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0225"/>
  <workbookPr autoCompressPictures="0"/>
  <bookViews>
    <workbookView xWindow="2000" yWindow="1760" windowWidth="43840" windowHeight="24160" tabRatio="476" firstSheet="1" activeTab="2"/>
  </bookViews>
  <sheets>
    <sheet name="Document Control Information" sheetId="15" r:id="rId1"/>
    <sheet name="Priority Task Identification" sheetId="12" r:id="rId2"/>
    <sheet name="OMAT TBRA" sheetId="14" r:id="rId3"/>
    <sheet name="Safe Design Information" sheetId="13" r:id="rId4"/>
    <sheet name="DPRefs" sheetId="11" r:id="rId5"/>
    <sheet name="A&amp;W@H" sheetId="2" r:id="rId6"/>
    <sheet name="Tires" sheetId="3" r:id="rId7"/>
    <sheet name="ExpHE" sheetId="6" r:id="rId8"/>
    <sheet name="Fire" sheetId="5" r:id="rId9"/>
    <sheet name="MOC" sheetId="8" r:id="rId10"/>
    <sheet name="HIF" sheetId="7" r:id="rId11"/>
    <sheet name="ManTasks" sheetId="9" r:id="rId12"/>
    <sheet name="CSRWA" sheetId="4" r:id="rId13"/>
  </sheets>
  <externalReferences>
    <externalReference r:id="rId14"/>
  </externalReferences>
  <definedNames>
    <definedName name="Consequence">'[1]Appendix 1 - Names'!$D$3:$H$3</definedName>
    <definedName name="Frequency">'[1]Appendix 1 - Names'!$C$4:$C$10</definedName>
    <definedName name="Matrix">'[1]Appendix 1 - Names'!$D$4:$H$10</definedName>
    <definedName name="_xlnm.Print_Titles" localSheetId="5">'A&amp;W@H'!$A:$A,'A&amp;W@H'!$1:$1</definedName>
    <definedName name="_xlnm.Print_Titles" localSheetId="12">CSRWA!$A:$A,CSRWA!$1:$1</definedName>
    <definedName name="_xlnm.Print_Titles" localSheetId="7">ExpHE!$A:$A,ExpHE!$1:$1</definedName>
    <definedName name="_xlnm.Print_Titles" localSheetId="8">Fire!$A:$A,Fire!$1:$1</definedName>
    <definedName name="_xlnm.Print_Titles" localSheetId="10">HIF!$A:$A,HIF!$1:$1</definedName>
    <definedName name="_xlnm.Print_Titles" localSheetId="11">ManTasks!$A:$A,ManTasks!$1:$1</definedName>
    <definedName name="_xlnm.Print_Titles" localSheetId="9">MOC!$A:$A,MOC!$1:$1</definedName>
    <definedName name="_xlnm.Print_Titles" localSheetId="6">Tires!$A:$A,Tires!$1:$1</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U115" i="12" l="1"/>
  <c r="AT115" i="12"/>
  <c r="AS115" i="12"/>
  <c r="AR115" i="12"/>
  <c r="AQ115" i="12"/>
  <c r="AP115" i="12"/>
  <c r="AO115" i="12"/>
  <c r="AN115" i="12"/>
  <c r="AM115" i="12"/>
  <c r="AL115" i="12"/>
  <c r="AK115" i="12"/>
  <c r="AJ115" i="12"/>
  <c r="AI115" i="12"/>
  <c r="AH115" i="12"/>
  <c r="AG115" i="12"/>
  <c r="AF115" i="12"/>
  <c r="AE115" i="12"/>
  <c r="AD115" i="12"/>
  <c r="AC115" i="12"/>
  <c r="AB115" i="12"/>
  <c r="AU114" i="12"/>
  <c r="AT114" i="12"/>
  <c r="AS114" i="12"/>
  <c r="AR114" i="12"/>
  <c r="AQ114" i="12"/>
  <c r="AP114" i="12"/>
  <c r="AO114" i="12"/>
  <c r="AN114" i="12"/>
  <c r="AM114" i="12"/>
  <c r="AL114" i="12"/>
  <c r="AK114" i="12"/>
  <c r="AJ114" i="12"/>
  <c r="AI114" i="12"/>
  <c r="AH114" i="12"/>
  <c r="AG114" i="12"/>
  <c r="AF114" i="12"/>
  <c r="AE114" i="12"/>
  <c r="AD114" i="12"/>
  <c r="AC114" i="12"/>
  <c r="AB114" i="12"/>
  <c r="AU113" i="12"/>
  <c r="AT113" i="12"/>
  <c r="AS113" i="12"/>
  <c r="AR113" i="12"/>
  <c r="AQ113" i="12"/>
  <c r="AP113" i="12"/>
  <c r="AO113" i="12"/>
  <c r="AN113" i="12"/>
  <c r="AM113" i="12"/>
  <c r="AL113" i="12"/>
  <c r="AK113" i="12"/>
  <c r="AJ113" i="12"/>
  <c r="AI113" i="12"/>
  <c r="AH113" i="12"/>
  <c r="AG113" i="12"/>
  <c r="AF113" i="12"/>
  <c r="AE113" i="12"/>
  <c r="AD113" i="12"/>
  <c r="AC113" i="12"/>
  <c r="AB113" i="12"/>
  <c r="AU112" i="12"/>
  <c r="AT112" i="12"/>
  <c r="AS112" i="12"/>
  <c r="AR112" i="12"/>
  <c r="AQ112" i="12"/>
  <c r="AP112" i="12"/>
  <c r="AO112" i="12"/>
  <c r="AN112" i="12"/>
  <c r="AM112" i="12"/>
  <c r="AL112" i="12"/>
  <c r="AK112" i="12"/>
  <c r="AJ112" i="12"/>
  <c r="AI112" i="12"/>
  <c r="AH112" i="12"/>
  <c r="AG112" i="12"/>
  <c r="AF112" i="12"/>
  <c r="AE112" i="12"/>
  <c r="AD112" i="12"/>
  <c r="AC112" i="12"/>
  <c r="AB112" i="12"/>
  <c r="AU111" i="12"/>
  <c r="AT111" i="12"/>
  <c r="AS111" i="12"/>
  <c r="AR111" i="12"/>
  <c r="AQ111" i="12"/>
  <c r="AP111" i="12"/>
  <c r="AO111" i="12"/>
  <c r="AN111" i="12"/>
  <c r="AM111" i="12"/>
  <c r="AL111" i="12"/>
  <c r="AK111" i="12"/>
  <c r="AJ111" i="12"/>
  <c r="AI111" i="12"/>
  <c r="AH111" i="12"/>
  <c r="AG111" i="12"/>
  <c r="AF111" i="12"/>
  <c r="AE111" i="12"/>
  <c r="AD111" i="12"/>
  <c r="AC111" i="12"/>
  <c r="AB111" i="12"/>
  <c r="AU110" i="12"/>
  <c r="AT110" i="12"/>
  <c r="AS110" i="12"/>
  <c r="AR110" i="12"/>
  <c r="AQ110" i="12"/>
  <c r="AP110" i="12"/>
  <c r="AO110" i="12"/>
  <c r="AN110" i="12"/>
  <c r="AM110" i="12"/>
  <c r="AL110" i="12"/>
  <c r="AK110" i="12"/>
  <c r="AJ110" i="12"/>
  <c r="AI110" i="12"/>
  <c r="AH110" i="12"/>
  <c r="AG110" i="12"/>
  <c r="AF110" i="12"/>
  <c r="AE110" i="12"/>
  <c r="AD110" i="12"/>
  <c r="AC110" i="12"/>
  <c r="AB110" i="12"/>
  <c r="AU109" i="12"/>
  <c r="AT109" i="12"/>
  <c r="AS109" i="12"/>
  <c r="AR109" i="12"/>
  <c r="AQ109" i="12"/>
  <c r="AP109" i="12"/>
  <c r="AO109" i="12"/>
  <c r="AN109" i="12"/>
  <c r="AM109" i="12"/>
  <c r="AL109" i="12"/>
  <c r="AK109" i="12"/>
  <c r="AJ109" i="12"/>
  <c r="AI109" i="12"/>
  <c r="AH109" i="12"/>
  <c r="AG109" i="12"/>
  <c r="AF109" i="12"/>
  <c r="AE109" i="12"/>
  <c r="AD109" i="12"/>
  <c r="AC109" i="12"/>
  <c r="AB109" i="12"/>
  <c r="AU108" i="12"/>
  <c r="AT108" i="12"/>
  <c r="AS108" i="12"/>
  <c r="AR108" i="12"/>
  <c r="AQ108" i="12"/>
  <c r="AP108" i="12"/>
  <c r="AO108" i="12"/>
  <c r="AN108" i="12"/>
  <c r="AM108" i="12"/>
  <c r="AL108" i="12"/>
  <c r="AK108" i="12"/>
  <c r="AJ108" i="12"/>
  <c r="AI108" i="12"/>
  <c r="AH108" i="12"/>
  <c r="AG108" i="12"/>
  <c r="AF108" i="12"/>
  <c r="AE108" i="12"/>
  <c r="AD108" i="12"/>
  <c r="AC108" i="12"/>
  <c r="AB108" i="12"/>
  <c r="AU107" i="12"/>
  <c r="AT107" i="12"/>
  <c r="AS107" i="12"/>
  <c r="AR107" i="12"/>
  <c r="AQ107" i="12"/>
  <c r="AP107" i="12"/>
  <c r="AO107" i="12"/>
  <c r="AN107" i="12"/>
  <c r="AM107" i="12"/>
  <c r="AL107" i="12"/>
  <c r="AK107" i="12"/>
  <c r="AJ107" i="12"/>
  <c r="AI107" i="12"/>
  <c r="AH107" i="12"/>
  <c r="AG107" i="12"/>
  <c r="AF107" i="12"/>
  <c r="AE107" i="12"/>
  <c r="AD107" i="12"/>
  <c r="AC107" i="12"/>
  <c r="AB107" i="12"/>
  <c r="AU106" i="12"/>
  <c r="AT106" i="12"/>
  <c r="AS106" i="12"/>
  <c r="AR106" i="12"/>
  <c r="AQ106" i="12"/>
  <c r="AP106" i="12"/>
  <c r="AO106" i="12"/>
  <c r="AN106" i="12"/>
  <c r="AM106" i="12"/>
  <c r="AL106" i="12"/>
  <c r="AK106" i="12"/>
  <c r="AJ106" i="12"/>
  <c r="AI106" i="12"/>
  <c r="AH106" i="12"/>
  <c r="AG106" i="12"/>
  <c r="AF106" i="12"/>
  <c r="AE106" i="12"/>
  <c r="AD106" i="12"/>
  <c r="AC106" i="12"/>
  <c r="AB106" i="12"/>
  <c r="AU105" i="12"/>
  <c r="AT105" i="12"/>
  <c r="AS105" i="12"/>
  <c r="AR105" i="12"/>
  <c r="AQ105" i="12"/>
  <c r="AP105" i="12"/>
  <c r="AO105" i="12"/>
  <c r="AN105" i="12"/>
  <c r="AM105" i="12"/>
  <c r="AL105" i="12"/>
  <c r="AK105" i="12"/>
  <c r="AJ105" i="12"/>
  <c r="AI105" i="12"/>
  <c r="AH105" i="12"/>
  <c r="AG105" i="12"/>
  <c r="AF105" i="12"/>
  <c r="AE105" i="12"/>
  <c r="AD105" i="12"/>
  <c r="AC105" i="12"/>
  <c r="AB105" i="12"/>
  <c r="AU104" i="12"/>
  <c r="AT104" i="12"/>
  <c r="AS104" i="12"/>
  <c r="AR104" i="12"/>
  <c r="AQ104" i="12"/>
  <c r="AP104" i="12"/>
  <c r="AO104" i="12"/>
  <c r="AN104" i="12"/>
  <c r="AM104" i="12"/>
  <c r="AL104" i="12"/>
  <c r="AK104" i="12"/>
  <c r="AJ104" i="12"/>
  <c r="AI104" i="12"/>
  <c r="AH104" i="12"/>
  <c r="AG104" i="12"/>
  <c r="AF104" i="12"/>
  <c r="AE104" i="12"/>
  <c r="AD104" i="12"/>
  <c r="AC104" i="12"/>
  <c r="AB104" i="12"/>
  <c r="AU103" i="12"/>
  <c r="AT103" i="12"/>
  <c r="AS103" i="12"/>
  <c r="AR103" i="12"/>
  <c r="AQ103" i="12"/>
  <c r="AP103" i="12"/>
  <c r="AO103" i="12"/>
  <c r="AN103" i="12"/>
  <c r="AM103" i="12"/>
  <c r="AL103" i="12"/>
  <c r="AK103" i="12"/>
  <c r="AJ103" i="12"/>
  <c r="AI103" i="12"/>
  <c r="AH103" i="12"/>
  <c r="AG103" i="12"/>
  <c r="AF103" i="12"/>
  <c r="AE103" i="12"/>
  <c r="AD103" i="12"/>
  <c r="AC103" i="12"/>
  <c r="AB103" i="12"/>
  <c r="AU102" i="12"/>
  <c r="AT102" i="12"/>
  <c r="AS102" i="12"/>
  <c r="AR102" i="12"/>
  <c r="AQ102" i="12"/>
  <c r="AP102" i="12"/>
  <c r="AO102" i="12"/>
  <c r="AN102" i="12"/>
  <c r="AM102" i="12"/>
  <c r="AL102" i="12"/>
  <c r="AK102" i="12"/>
  <c r="AJ102" i="12"/>
  <c r="AI102" i="12"/>
  <c r="AH102" i="12"/>
  <c r="AG102" i="12"/>
  <c r="AF102" i="12"/>
  <c r="AE102" i="12"/>
  <c r="AD102" i="12"/>
  <c r="AC102" i="12"/>
  <c r="AB102" i="12"/>
  <c r="AU101" i="12"/>
  <c r="AT101" i="12"/>
  <c r="AS101" i="12"/>
  <c r="AR101" i="12"/>
  <c r="AQ101" i="12"/>
  <c r="AP101" i="12"/>
  <c r="AO101" i="12"/>
  <c r="AN101" i="12"/>
  <c r="AM101" i="12"/>
  <c r="AL101" i="12"/>
  <c r="AK101" i="12"/>
  <c r="AJ101" i="12"/>
  <c r="AI101" i="12"/>
  <c r="AH101" i="12"/>
  <c r="AG101" i="12"/>
  <c r="AF101" i="12"/>
  <c r="AE101" i="12"/>
  <c r="AD101" i="12"/>
  <c r="AC101" i="12"/>
  <c r="AB101" i="12"/>
  <c r="AU100" i="12"/>
  <c r="AT100" i="12"/>
  <c r="AS100" i="12"/>
  <c r="AR100" i="12"/>
  <c r="AQ100" i="12"/>
  <c r="AP100" i="12"/>
  <c r="AO100" i="12"/>
  <c r="AN100" i="12"/>
  <c r="AM100" i="12"/>
  <c r="AL100" i="12"/>
  <c r="AK100" i="12"/>
  <c r="AJ100" i="12"/>
  <c r="AI100" i="12"/>
  <c r="AH100" i="12"/>
  <c r="AG100" i="12"/>
  <c r="AF100" i="12"/>
  <c r="AE100" i="12"/>
  <c r="AD100" i="12"/>
  <c r="AC100" i="12"/>
  <c r="AB100" i="12"/>
  <c r="AU99" i="12"/>
  <c r="AT99" i="12"/>
  <c r="AS99" i="12"/>
  <c r="AR99" i="12"/>
  <c r="AQ99" i="12"/>
  <c r="AP99" i="12"/>
  <c r="AO99" i="12"/>
  <c r="AN99" i="12"/>
  <c r="AM99" i="12"/>
  <c r="AL99" i="12"/>
  <c r="AK99" i="12"/>
  <c r="AJ99" i="12"/>
  <c r="AI99" i="12"/>
  <c r="AH99" i="12"/>
  <c r="AG99" i="12"/>
  <c r="AF99" i="12"/>
  <c r="AE99" i="12"/>
  <c r="AD99" i="12"/>
  <c r="AC99" i="12"/>
  <c r="AB99" i="12"/>
  <c r="AU98" i="12"/>
  <c r="AT98" i="12"/>
  <c r="AS98" i="12"/>
  <c r="AR98" i="12"/>
  <c r="AQ98" i="12"/>
  <c r="AP98" i="12"/>
  <c r="AO98" i="12"/>
  <c r="AN98" i="12"/>
  <c r="AM98" i="12"/>
  <c r="AL98" i="12"/>
  <c r="AK98" i="12"/>
  <c r="AJ98" i="12"/>
  <c r="AI98" i="12"/>
  <c r="AH98" i="12"/>
  <c r="AG98" i="12"/>
  <c r="AF98" i="12"/>
  <c r="AE98" i="12"/>
  <c r="AD98" i="12"/>
  <c r="AC98" i="12"/>
  <c r="AB98" i="12"/>
  <c r="AU97" i="12"/>
  <c r="AT97" i="12"/>
  <c r="AS97" i="12"/>
  <c r="AR97" i="12"/>
  <c r="AQ97" i="12"/>
  <c r="AP97" i="12"/>
  <c r="AO97" i="12"/>
  <c r="AN97" i="12"/>
  <c r="AM97" i="12"/>
  <c r="AL97" i="12"/>
  <c r="AK97" i="12"/>
  <c r="AJ97" i="12"/>
  <c r="AI97" i="12"/>
  <c r="AH97" i="12"/>
  <c r="AG97" i="12"/>
  <c r="AF97" i="12"/>
  <c r="AE97" i="12"/>
  <c r="AD97" i="12"/>
  <c r="AC97" i="12"/>
  <c r="AB97" i="12"/>
  <c r="AU96" i="12"/>
  <c r="AT96" i="12"/>
  <c r="AS96" i="12"/>
  <c r="AR96" i="12"/>
  <c r="AQ96" i="12"/>
  <c r="AP96" i="12"/>
  <c r="AO96" i="12"/>
  <c r="AN96" i="12"/>
  <c r="AM96" i="12"/>
  <c r="AL96" i="12"/>
  <c r="AK96" i="12"/>
  <c r="AJ96" i="12"/>
  <c r="AI96" i="12"/>
  <c r="AH96" i="12"/>
  <c r="AG96" i="12"/>
  <c r="AF96" i="12"/>
  <c r="AE96" i="12"/>
  <c r="AD96" i="12"/>
  <c r="AC96" i="12"/>
  <c r="AB96" i="12"/>
  <c r="AU95" i="12"/>
  <c r="AT95" i="12"/>
  <c r="AS95" i="12"/>
  <c r="AR95" i="12"/>
  <c r="AQ95" i="12"/>
  <c r="AP95" i="12"/>
  <c r="AO95" i="12"/>
  <c r="AN95" i="12"/>
  <c r="AM95" i="12"/>
  <c r="AL95" i="12"/>
  <c r="AK95" i="12"/>
  <c r="AJ95" i="12"/>
  <c r="AI95" i="12"/>
  <c r="AH95" i="12"/>
  <c r="AG95" i="12"/>
  <c r="AF95" i="12"/>
  <c r="AE95" i="12"/>
  <c r="AD95" i="12"/>
  <c r="AC95" i="12"/>
  <c r="AB95" i="12"/>
  <c r="AU94" i="12"/>
  <c r="AT94" i="12"/>
  <c r="AS94" i="12"/>
  <c r="AR94" i="12"/>
  <c r="AQ94" i="12"/>
  <c r="AP94" i="12"/>
  <c r="AO94" i="12"/>
  <c r="AN94" i="12"/>
  <c r="AM94" i="12"/>
  <c r="AL94" i="12"/>
  <c r="AK94" i="12"/>
  <c r="AJ94" i="12"/>
  <c r="AI94" i="12"/>
  <c r="AH94" i="12"/>
  <c r="AG94" i="12"/>
  <c r="AF94" i="12"/>
  <c r="AE94" i="12"/>
  <c r="AD94" i="12"/>
  <c r="AC94" i="12"/>
  <c r="AB94" i="12"/>
  <c r="AU93" i="12"/>
  <c r="AT93" i="12"/>
  <c r="AS93" i="12"/>
  <c r="AR93" i="12"/>
  <c r="AQ93" i="12"/>
  <c r="AP93" i="12"/>
  <c r="AO93" i="12"/>
  <c r="AN93" i="12"/>
  <c r="AM93" i="12"/>
  <c r="AL93" i="12"/>
  <c r="AK93" i="12"/>
  <c r="AJ93" i="12"/>
  <c r="AI93" i="12"/>
  <c r="AH93" i="12"/>
  <c r="AG93" i="12"/>
  <c r="AF93" i="12"/>
  <c r="AE93" i="12"/>
  <c r="AD93" i="12"/>
  <c r="AC93" i="12"/>
  <c r="AB93" i="12"/>
  <c r="AU92" i="12"/>
  <c r="AT92" i="12"/>
  <c r="AS92" i="12"/>
  <c r="AR92" i="12"/>
  <c r="AQ92" i="12"/>
  <c r="AP92" i="12"/>
  <c r="AO92" i="12"/>
  <c r="AN92" i="12"/>
  <c r="AM92" i="12"/>
  <c r="AL92" i="12"/>
  <c r="AK92" i="12"/>
  <c r="AJ92" i="12"/>
  <c r="AI92" i="12"/>
  <c r="AH92" i="12"/>
  <c r="AG92" i="12"/>
  <c r="AF92" i="12"/>
  <c r="AE92" i="12"/>
  <c r="AD92" i="12"/>
  <c r="AC92" i="12"/>
  <c r="AB92" i="12"/>
  <c r="AU91" i="12"/>
  <c r="AT91" i="12"/>
  <c r="AS91" i="12"/>
  <c r="AR91" i="12"/>
  <c r="AQ91" i="12"/>
  <c r="AP91" i="12"/>
  <c r="AO91" i="12"/>
  <c r="AN91" i="12"/>
  <c r="AM91" i="12"/>
  <c r="AL91" i="12"/>
  <c r="AK91" i="12"/>
  <c r="AJ91" i="12"/>
  <c r="AI91" i="12"/>
  <c r="AH91" i="12"/>
  <c r="AG91" i="12"/>
  <c r="AF91" i="12"/>
  <c r="AE91" i="12"/>
  <c r="AD91" i="12"/>
  <c r="AC91" i="12"/>
  <c r="AB91" i="12"/>
  <c r="AU90" i="12"/>
  <c r="AT90" i="12"/>
  <c r="AS90" i="12"/>
  <c r="AR90" i="12"/>
  <c r="AQ90" i="12"/>
  <c r="AP90" i="12"/>
  <c r="AO90" i="12"/>
  <c r="AN90" i="12"/>
  <c r="AM90" i="12"/>
  <c r="AL90" i="12"/>
  <c r="AK90" i="12"/>
  <c r="AJ90" i="12"/>
  <c r="AI90" i="12"/>
  <c r="AH90" i="12"/>
  <c r="AG90" i="12"/>
  <c r="AF90" i="12"/>
  <c r="AE90" i="12"/>
  <c r="AD90" i="12"/>
  <c r="AC90" i="12"/>
  <c r="AB90" i="12"/>
  <c r="AU89" i="12"/>
  <c r="AT89" i="12"/>
  <c r="AS89" i="12"/>
  <c r="AR89" i="12"/>
  <c r="AQ89" i="12"/>
  <c r="AP89" i="12"/>
  <c r="AO89" i="12"/>
  <c r="AN89" i="12"/>
  <c r="AM89" i="12"/>
  <c r="AL89" i="12"/>
  <c r="AK89" i="12"/>
  <c r="AJ89" i="12"/>
  <c r="AI89" i="12"/>
  <c r="AH89" i="12"/>
  <c r="AG89" i="12"/>
  <c r="AF89" i="12"/>
  <c r="AE89" i="12"/>
  <c r="AD89" i="12"/>
  <c r="AC89" i="12"/>
  <c r="AB89" i="12"/>
  <c r="AU88" i="12"/>
  <c r="AT88" i="12"/>
  <c r="AS88" i="12"/>
  <c r="AR88" i="12"/>
  <c r="AQ88" i="12"/>
  <c r="AP88" i="12"/>
  <c r="AO88" i="12"/>
  <c r="AN88" i="12"/>
  <c r="AM88" i="12"/>
  <c r="AL88" i="12"/>
  <c r="AK88" i="12"/>
  <c r="AJ88" i="12"/>
  <c r="AI88" i="12"/>
  <c r="AH88" i="12"/>
  <c r="AG88" i="12"/>
  <c r="AF88" i="12"/>
  <c r="AE88" i="12"/>
  <c r="AD88" i="12"/>
  <c r="AC88" i="12"/>
  <c r="AB88" i="12"/>
  <c r="AU87" i="12"/>
  <c r="AT87" i="12"/>
  <c r="AS87" i="12"/>
  <c r="AR87" i="12"/>
  <c r="AQ87" i="12"/>
  <c r="AP87" i="12"/>
  <c r="AO87" i="12"/>
  <c r="AN87" i="12"/>
  <c r="AM87" i="12"/>
  <c r="AL87" i="12"/>
  <c r="AK87" i="12"/>
  <c r="AJ87" i="12"/>
  <c r="AI87" i="12"/>
  <c r="AH87" i="12"/>
  <c r="AG87" i="12"/>
  <c r="AF87" i="12"/>
  <c r="AE87" i="12"/>
  <c r="AD87" i="12"/>
  <c r="AC87" i="12"/>
  <c r="AB87" i="12"/>
  <c r="AU86" i="12"/>
  <c r="AT86" i="12"/>
  <c r="AS86" i="12"/>
  <c r="AR86" i="12"/>
  <c r="AQ86" i="12"/>
  <c r="AP86" i="12"/>
  <c r="AO86" i="12"/>
  <c r="AN86" i="12"/>
  <c r="AM86" i="12"/>
  <c r="AL86" i="12"/>
  <c r="AK86" i="12"/>
  <c r="AJ86" i="12"/>
  <c r="AI86" i="12"/>
  <c r="AH86" i="12"/>
  <c r="AG86" i="12"/>
  <c r="AF86" i="12"/>
  <c r="AE86" i="12"/>
  <c r="AD86" i="12"/>
  <c r="AC86" i="12"/>
  <c r="AB86" i="12"/>
  <c r="AU85" i="12"/>
  <c r="AT85" i="12"/>
  <c r="AS85" i="12"/>
  <c r="AR85" i="12"/>
  <c r="AQ85" i="12"/>
  <c r="AP85" i="12"/>
  <c r="AO85" i="12"/>
  <c r="AN85" i="12"/>
  <c r="AM85" i="12"/>
  <c r="AL85" i="12"/>
  <c r="AK85" i="12"/>
  <c r="AJ85" i="12"/>
  <c r="AI85" i="12"/>
  <c r="AH85" i="12"/>
  <c r="AG85" i="12"/>
  <c r="AF85" i="12"/>
  <c r="AE85" i="12"/>
  <c r="AD85" i="12"/>
  <c r="AC85" i="12"/>
  <c r="AB85" i="12"/>
  <c r="AU84" i="12"/>
  <c r="AT84" i="12"/>
  <c r="AS84" i="12"/>
  <c r="AR84" i="12"/>
  <c r="AQ84" i="12"/>
  <c r="AP84" i="12"/>
  <c r="AO84" i="12"/>
  <c r="AN84" i="12"/>
  <c r="AM84" i="12"/>
  <c r="AL84" i="12"/>
  <c r="AK84" i="12"/>
  <c r="AJ84" i="12"/>
  <c r="AI84" i="12"/>
  <c r="AH84" i="12"/>
  <c r="AG84" i="12"/>
  <c r="AF84" i="12"/>
  <c r="AE84" i="12"/>
  <c r="AD84" i="12"/>
  <c r="AC84" i="12"/>
  <c r="AB84" i="12"/>
  <c r="AU83" i="12"/>
  <c r="AT83" i="12"/>
  <c r="AS83" i="12"/>
  <c r="AR83" i="12"/>
  <c r="AQ83" i="12"/>
  <c r="AP83" i="12"/>
  <c r="AO83" i="12"/>
  <c r="AN83" i="12"/>
  <c r="AM83" i="12"/>
  <c r="AL83" i="12"/>
  <c r="AK83" i="12"/>
  <c r="AJ83" i="12"/>
  <c r="AI83" i="12"/>
  <c r="AH83" i="12"/>
  <c r="AG83" i="12"/>
  <c r="AF83" i="12"/>
  <c r="AE83" i="12"/>
  <c r="AD83" i="12"/>
  <c r="AC83" i="12"/>
  <c r="AB83" i="12"/>
  <c r="AU82" i="12"/>
  <c r="AT82" i="12"/>
  <c r="AS82" i="12"/>
  <c r="AR82" i="12"/>
  <c r="AQ82" i="12"/>
  <c r="AP82" i="12"/>
  <c r="AO82" i="12"/>
  <c r="AN82" i="12"/>
  <c r="AM82" i="12"/>
  <c r="AL82" i="12"/>
  <c r="AK82" i="12"/>
  <c r="AJ82" i="12"/>
  <c r="AI82" i="12"/>
  <c r="AH82" i="12"/>
  <c r="AG82" i="12"/>
  <c r="AF82" i="12"/>
  <c r="AE82" i="12"/>
  <c r="AD82" i="12"/>
  <c r="AC82" i="12"/>
  <c r="AB82" i="12"/>
  <c r="AU81" i="12"/>
  <c r="AT81" i="12"/>
  <c r="AS81" i="12"/>
  <c r="AR81" i="12"/>
  <c r="AQ81" i="12"/>
  <c r="AP81" i="12"/>
  <c r="AO81" i="12"/>
  <c r="AN81" i="12"/>
  <c r="AM81" i="12"/>
  <c r="AL81" i="12"/>
  <c r="AK81" i="12"/>
  <c r="AJ81" i="12"/>
  <c r="AI81" i="12"/>
  <c r="AH81" i="12"/>
  <c r="AG81" i="12"/>
  <c r="AF81" i="12"/>
  <c r="AE81" i="12"/>
  <c r="AD81" i="12"/>
  <c r="AC81" i="12"/>
  <c r="AB81" i="12"/>
  <c r="AU80" i="12"/>
  <c r="AT80" i="12"/>
  <c r="AS80" i="12"/>
  <c r="AR80" i="12"/>
  <c r="AQ80" i="12"/>
  <c r="AP80" i="12"/>
  <c r="AO80" i="12"/>
  <c r="AN80" i="12"/>
  <c r="AM80" i="12"/>
  <c r="AL80" i="12"/>
  <c r="AK80" i="12"/>
  <c r="AJ80" i="12"/>
  <c r="AI80" i="12"/>
  <c r="AH80" i="12"/>
  <c r="AG80" i="12"/>
  <c r="AF80" i="12"/>
  <c r="AE80" i="12"/>
  <c r="AD80" i="12"/>
  <c r="AC80" i="12"/>
  <c r="AB80" i="12"/>
  <c r="AU79" i="12"/>
  <c r="AT79" i="12"/>
  <c r="AS79" i="12"/>
  <c r="AR79" i="12"/>
  <c r="AQ79" i="12"/>
  <c r="AP79" i="12"/>
  <c r="AO79" i="12"/>
  <c r="AN79" i="12"/>
  <c r="AM79" i="12"/>
  <c r="AL79" i="12"/>
  <c r="AK79" i="12"/>
  <c r="AJ79" i="12"/>
  <c r="AI79" i="12"/>
  <c r="AH79" i="12"/>
  <c r="AG79" i="12"/>
  <c r="AF79" i="12"/>
  <c r="AE79" i="12"/>
  <c r="AD79" i="12"/>
  <c r="AC79" i="12"/>
  <c r="AB79" i="12"/>
  <c r="AU78" i="12"/>
  <c r="AT78" i="12"/>
  <c r="AS78" i="12"/>
  <c r="AR78" i="12"/>
  <c r="AQ78" i="12"/>
  <c r="AP78" i="12"/>
  <c r="AO78" i="12"/>
  <c r="AN78" i="12"/>
  <c r="AM78" i="12"/>
  <c r="AL78" i="12"/>
  <c r="AK78" i="12"/>
  <c r="AJ78" i="12"/>
  <c r="AI78" i="12"/>
  <c r="AH78" i="12"/>
  <c r="AG78" i="12"/>
  <c r="AF78" i="12"/>
  <c r="AE78" i="12"/>
  <c r="AD78" i="12"/>
  <c r="AC78" i="12"/>
  <c r="AB78" i="12"/>
  <c r="AU77" i="12"/>
  <c r="AT77" i="12"/>
  <c r="AS77" i="12"/>
  <c r="AR77" i="12"/>
  <c r="AQ77" i="12"/>
  <c r="AP77" i="12"/>
  <c r="AO77" i="12"/>
  <c r="AN77" i="12"/>
  <c r="AM77" i="12"/>
  <c r="AL77" i="12"/>
  <c r="AK77" i="12"/>
  <c r="AJ77" i="12"/>
  <c r="AI77" i="12"/>
  <c r="AH77" i="12"/>
  <c r="AG77" i="12"/>
  <c r="AF77" i="12"/>
  <c r="AE77" i="12"/>
  <c r="AD77" i="12"/>
  <c r="AC77" i="12"/>
  <c r="AB77" i="12"/>
  <c r="AU76" i="12"/>
  <c r="AT76" i="12"/>
  <c r="AS76" i="12"/>
  <c r="AR76" i="12"/>
  <c r="AQ76" i="12"/>
  <c r="AP76" i="12"/>
  <c r="AO76" i="12"/>
  <c r="AN76" i="12"/>
  <c r="AM76" i="12"/>
  <c r="AL76" i="12"/>
  <c r="AK76" i="12"/>
  <c r="AJ76" i="12"/>
  <c r="AI76" i="12"/>
  <c r="AH76" i="12"/>
  <c r="AG76" i="12"/>
  <c r="AF76" i="12"/>
  <c r="AE76" i="12"/>
  <c r="AD76" i="12"/>
  <c r="AC76" i="12"/>
  <c r="AB76" i="12"/>
  <c r="AU75" i="12"/>
  <c r="AT75" i="12"/>
  <c r="AS75" i="12"/>
  <c r="AR75" i="12"/>
  <c r="AQ75" i="12"/>
  <c r="AP75" i="12"/>
  <c r="AO75" i="12"/>
  <c r="AN75" i="12"/>
  <c r="AM75" i="12"/>
  <c r="AL75" i="12"/>
  <c r="AK75" i="12"/>
  <c r="AJ75" i="12"/>
  <c r="AI75" i="12"/>
  <c r="AH75" i="12"/>
  <c r="AG75" i="12"/>
  <c r="AF75" i="12"/>
  <c r="AE75" i="12"/>
  <c r="AD75" i="12"/>
  <c r="AC75" i="12"/>
  <c r="AB75" i="12"/>
  <c r="AU74" i="12"/>
  <c r="AT74" i="12"/>
  <c r="AS74" i="12"/>
  <c r="AR74" i="12"/>
  <c r="AQ74" i="12"/>
  <c r="AP74" i="12"/>
  <c r="AO74" i="12"/>
  <c r="AN74" i="12"/>
  <c r="AM74" i="12"/>
  <c r="AL74" i="12"/>
  <c r="AK74" i="12"/>
  <c r="AJ74" i="12"/>
  <c r="AI74" i="12"/>
  <c r="AH74" i="12"/>
  <c r="AG74" i="12"/>
  <c r="AF74" i="12"/>
  <c r="AE74" i="12"/>
  <c r="AD74" i="12"/>
  <c r="AC74" i="12"/>
  <c r="AB74" i="12"/>
  <c r="AU73" i="12"/>
  <c r="AT73" i="12"/>
  <c r="AS73" i="12"/>
  <c r="AR73" i="12"/>
  <c r="AQ73" i="12"/>
  <c r="AP73" i="12"/>
  <c r="AO73" i="12"/>
  <c r="AN73" i="12"/>
  <c r="AM73" i="12"/>
  <c r="AL73" i="12"/>
  <c r="AK73" i="12"/>
  <c r="AJ73" i="12"/>
  <c r="AI73" i="12"/>
  <c r="AH73" i="12"/>
  <c r="AG73" i="12"/>
  <c r="AF73" i="12"/>
  <c r="AE73" i="12"/>
  <c r="AD73" i="12"/>
  <c r="AC73" i="12"/>
  <c r="AB73" i="12"/>
  <c r="AU72" i="12"/>
  <c r="AT72" i="12"/>
  <c r="AS72" i="12"/>
  <c r="AR72" i="12"/>
  <c r="AQ72" i="12"/>
  <c r="AP72" i="12"/>
  <c r="AO72" i="12"/>
  <c r="AN72" i="12"/>
  <c r="AM72" i="12"/>
  <c r="AL72" i="12"/>
  <c r="AK72" i="12"/>
  <c r="AJ72" i="12"/>
  <c r="AI72" i="12"/>
  <c r="AH72" i="12"/>
  <c r="AG72" i="12"/>
  <c r="AF72" i="12"/>
  <c r="AE72" i="12"/>
  <c r="AD72" i="12"/>
  <c r="AC72" i="12"/>
  <c r="AB72" i="12"/>
  <c r="AU71" i="12"/>
  <c r="AT71" i="12"/>
  <c r="AS71" i="12"/>
  <c r="AR71" i="12"/>
  <c r="AQ71" i="12"/>
  <c r="AP71" i="12"/>
  <c r="AO71" i="12"/>
  <c r="AN71" i="12"/>
  <c r="AM71" i="12"/>
  <c r="AL71" i="12"/>
  <c r="AK71" i="12"/>
  <c r="AJ71" i="12"/>
  <c r="AI71" i="12"/>
  <c r="AH71" i="12"/>
  <c r="AG71" i="12"/>
  <c r="AF71" i="12"/>
  <c r="AE71" i="12"/>
  <c r="AD71" i="12"/>
  <c r="AC71" i="12"/>
  <c r="AB71" i="12"/>
  <c r="AU70" i="12"/>
  <c r="AT70" i="12"/>
  <c r="AS70" i="12"/>
  <c r="AR70" i="12"/>
  <c r="AQ70" i="12"/>
  <c r="AP70" i="12"/>
  <c r="AO70" i="12"/>
  <c r="AN70" i="12"/>
  <c r="AM70" i="12"/>
  <c r="AL70" i="12"/>
  <c r="AK70" i="12"/>
  <c r="AJ70" i="12"/>
  <c r="AI70" i="12"/>
  <c r="AH70" i="12"/>
  <c r="AG70" i="12"/>
  <c r="AF70" i="12"/>
  <c r="AE70" i="12"/>
  <c r="AD70" i="12"/>
  <c r="AC70" i="12"/>
  <c r="AB70" i="12"/>
  <c r="AU69" i="12"/>
  <c r="AT69" i="12"/>
  <c r="AS69" i="12"/>
  <c r="AR69" i="12"/>
  <c r="AQ69" i="12"/>
  <c r="AP69" i="12"/>
  <c r="AO69" i="12"/>
  <c r="AN69" i="12"/>
  <c r="AM69" i="12"/>
  <c r="AL69" i="12"/>
  <c r="AK69" i="12"/>
  <c r="AJ69" i="12"/>
  <c r="AI69" i="12"/>
  <c r="AH69" i="12"/>
  <c r="AG69" i="12"/>
  <c r="AF69" i="12"/>
  <c r="AE69" i="12"/>
  <c r="AD69" i="12"/>
  <c r="AC69" i="12"/>
  <c r="AB69" i="12"/>
  <c r="AU68" i="12"/>
  <c r="AT68" i="12"/>
  <c r="AS68" i="12"/>
  <c r="AR68" i="12"/>
  <c r="AQ68" i="12"/>
  <c r="AP68" i="12"/>
  <c r="AO68" i="12"/>
  <c r="AN68" i="12"/>
  <c r="AM68" i="12"/>
  <c r="AL68" i="12"/>
  <c r="AK68" i="12"/>
  <c r="AJ68" i="12"/>
  <c r="AI68" i="12"/>
  <c r="AH68" i="12"/>
  <c r="AG68" i="12"/>
  <c r="AF68" i="12"/>
  <c r="AE68" i="12"/>
  <c r="AD68" i="12"/>
  <c r="AC68" i="12"/>
  <c r="AB68" i="12"/>
  <c r="AU67" i="12"/>
  <c r="AT67" i="12"/>
  <c r="AS67" i="12"/>
  <c r="AR67" i="12"/>
  <c r="AQ67" i="12"/>
  <c r="AP67" i="12"/>
  <c r="AO67" i="12"/>
  <c r="AN67" i="12"/>
  <c r="AM67" i="12"/>
  <c r="AL67" i="12"/>
  <c r="AK67" i="12"/>
  <c r="AJ67" i="12"/>
  <c r="AI67" i="12"/>
  <c r="AH67" i="12"/>
  <c r="AG67" i="12"/>
  <c r="AF67" i="12"/>
  <c r="AE67" i="12"/>
  <c r="AD67" i="12"/>
  <c r="AC67" i="12"/>
  <c r="AB67" i="12"/>
  <c r="AU66" i="12"/>
  <c r="AT66" i="12"/>
  <c r="AS66" i="12"/>
  <c r="AR66" i="12"/>
  <c r="AQ66" i="12"/>
  <c r="AP66" i="12"/>
  <c r="AO66" i="12"/>
  <c r="AN66" i="12"/>
  <c r="AM66" i="12"/>
  <c r="AL66" i="12"/>
  <c r="AK66" i="12"/>
  <c r="AJ66" i="12"/>
  <c r="AI66" i="12"/>
  <c r="AH66" i="12"/>
  <c r="AG66" i="12"/>
  <c r="AF66" i="12"/>
  <c r="AE66" i="12"/>
  <c r="AD66" i="12"/>
  <c r="AC66" i="12"/>
  <c r="AB66" i="12"/>
  <c r="AU65" i="12"/>
  <c r="AT65" i="12"/>
  <c r="AS65" i="12"/>
  <c r="AR65" i="12"/>
  <c r="AQ65" i="12"/>
  <c r="AP65" i="12"/>
  <c r="AO65" i="12"/>
  <c r="AN65" i="12"/>
  <c r="AM65" i="12"/>
  <c r="AL65" i="12"/>
  <c r="AK65" i="12"/>
  <c r="AJ65" i="12"/>
  <c r="AI65" i="12"/>
  <c r="AH65" i="12"/>
  <c r="AG65" i="12"/>
  <c r="AF65" i="12"/>
  <c r="AE65" i="12"/>
  <c r="AD65" i="12"/>
  <c r="AC65" i="12"/>
  <c r="AB65" i="12"/>
  <c r="AU64" i="12"/>
  <c r="AT64" i="12"/>
  <c r="AS64" i="12"/>
  <c r="AR64" i="12"/>
  <c r="AQ64" i="12"/>
  <c r="AP64" i="12"/>
  <c r="AO64" i="12"/>
  <c r="AN64" i="12"/>
  <c r="AM64" i="12"/>
  <c r="AL64" i="12"/>
  <c r="AK64" i="12"/>
  <c r="AJ64" i="12"/>
  <c r="AI64" i="12"/>
  <c r="AH64" i="12"/>
  <c r="AG64" i="12"/>
  <c r="AF64" i="12"/>
  <c r="AE64" i="12"/>
  <c r="AD64" i="12"/>
  <c r="AC64" i="12"/>
  <c r="AB64" i="12"/>
  <c r="AU63" i="12"/>
  <c r="AT63" i="12"/>
  <c r="AS63" i="12"/>
  <c r="AR63" i="12"/>
  <c r="AQ63" i="12"/>
  <c r="AP63" i="12"/>
  <c r="AO63" i="12"/>
  <c r="AN63" i="12"/>
  <c r="AM63" i="12"/>
  <c r="AL63" i="12"/>
  <c r="AK63" i="12"/>
  <c r="AJ63" i="12"/>
  <c r="AI63" i="12"/>
  <c r="AH63" i="12"/>
  <c r="AG63" i="12"/>
  <c r="AF63" i="12"/>
  <c r="AE63" i="12"/>
  <c r="AD63" i="12"/>
  <c r="AC63" i="12"/>
  <c r="AB63" i="12"/>
  <c r="AU62" i="12"/>
  <c r="AT62" i="12"/>
  <c r="AS62" i="12"/>
  <c r="AR62" i="12"/>
  <c r="AQ62" i="12"/>
  <c r="AP62" i="12"/>
  <c r="AO62" i="12"/>
  <c r="AN62" i="12"/>
  <c r="AM62" i="12"/>
  <c r="AL62" i="12"/>
  <c r="AK62" i="12"/>
  <c r="AJ62" i="12"/>
  <c r="AI62" i="12"/>
  <c r="AH62" i="12"/>
  <c r="AG62" i="12"/>
  <c r="AF62" i="12"/>
  <c r="AE62" i="12"/>
  <c r="AD62" i="12"/>
  <c r="AC62" i="12"/>
  <c r="AB62" i="12"/>
  <c r="AU61" i="12"/>
  <c r="AT61" i="12"/>
  <c r="AS61" i="12"/>
  <c r="AR61" i="12"/>
  <c r="AQ61" i="12"/>
  <c r="AP61" i="12"/>
  <c r="AO61" i="12"/>
  <c r="AN61" i="12"/>
  <c r="AM61" i="12"/>
  <c r="AL61" i="12"/>
  <c r="AK61" i="12"/>
  <c r="AJ61" i="12"/>
  <c r="AI61" i="12"/>
  <c r="AH61" i="12"/>
  <c r="AG61" i="12"/>
  <c r="AF61" i="12"/>
  <c r="AE61" i="12"/>
  <c r="AD61" i="12"/>
  <c r="AC61" i="12"/>
  <c r="AB61" i="12"/>
  <c r="AU60" i="12"/>
  <c r="AT60" i="12"/>
  <c r="AS60" i="12"/>
  <c r="AR60" i="12"/>
  <c r="AQ60" i="12"/>
  <c r="AP60" i="12"/>
  <c r="AO60" i="12"/>
  <c r="AN60" i="12"/>
  <c r="AM60" i="12"/>
  <c r="AL60" i="12"/>
  <c r="AK60" i="12"/>
  <c r="AJ60" i="12"/>
  <c r="AI60" i="12"/>
  <c r="AH60" i="12"/>
  <c r="AG60" i="12"/>
  <c r="AF60" i="12"/>
  <c r="AE60" i="12"/>
  <c r="AD60" i="12"/>
  <c r="AC60" i="12"/>
  <c r="AB60" i="12"/>
  <c r="AU59" i="12"/>
  <c r="AT59" i="12"/>
  <c r="AS59" i="12"/>
  <c r="AR59" i="12"/>
  <c r="AQ59" i="12"/>
  <c r="AP59" i="12"/>
  <c r="AO59" i="12"/>
  <c r="AN59" i="12"/>
  <c r="AM59" i="12"/>
  <c r="AL59" i="12"/>
  <c r="AK59" i="12"/>
  <c r="AJ59" i="12"/>
  <c r="AI59" i="12"/>
  <c r="AH59" i="12"/>
  <c r="AG59" i="12"/>
  <c r="AF59" i="12"/>
  <c r="AE59" i="12"/>
  <c r="AD59" i="12"/>
  <c r="AC59" i="12"/>
  <c r="AB59" i="12"/>
  <c r="AU58" i="12"/>
  <c r="AT58" i="12"/>
  <c r="AS58" i="12"/>
  <c r="AR58" i="12"/>
  <c r="AQ58" i="12"/>
  <c r="AP58" i="12"/>
  <c r="AO58" i="12"/>
  <c r="AN58" i="12"/>
  <c r="AM58" i="12"/>
  <c r="AL58" i="12"/>
  <c r="AK58" i="12"/>
  <c r="AJ58" i="12"/>
  <c r="AI58" i="12"/>
  <c r="AH58" i="12"/>
  <c r="AG58" i="12"/>
  <c r="AF58" i="12"/>
  <c r="AE58" i="12"/>
  <c r="AD58" i="12"/>
  <c r="AC58" i="12"/>
  <c r="AB58" i="12"/>
  <c r="AU57" i="12"/>
  <c r="AT57" i="12"/>
  <c r="AS57" i="12"/>
  <c r="AR57" i="12"/>
  <c r="AQ57" i="12"/>
  <c r="AP57" i="12"/>
  <c r="AO57" i="12"/>
  <c r="AN57" i="12"/>
  <c r="AM57" i="12"/>
  <c r="AL57" i="12"/>
  <c r="AK57" i="12"/>
  <c r="AJ57" i="12"/>
  <c r="AI57" i="12"/>
  <c r="AH57" i="12"/>
  <c r="AG57" i="12"/>
  <c r="AF57" i="12"/>
  <c r="AE57" i="12"/>
  <c r="AD57" i="12"/>
  <c r="AC57" i="12"/>
  <c r="AB57" i="12"/>
  <c r="AU56" i="12"/>
  <c r="AT56" i="12"/>
  <c r="AS56" i="12"/>
  <c r="AR56" i="12"/>
  <c r="AQ56" i="12"/>
  <c r="AP56" i="12"/>
  <c r="AO56" i="12"/>
  <c r="AN56" i="12"/>
  <c r="AM56" i="12"/>
  <c r="AL56" i="12"/>
  <c r="AK56" i="12"/>
  <c r="AJ56" i="12"/>
  <c r="AI56" i="12"/>
  <c r="AH56" i="12"/>
  <c r="AG56" i="12"/>
  <c r="AF56" i="12"/>
  <c r="AE56" i="12"/>
  <c r="AD56" i="12"/>
  <c r="AC56" i="12"/>
  <c r="AB56" i="12"/>
  <c r="AU55" i="12"/>
  <c r="AT55" i="12"/>
  <c r="AS55" i="12"/>
  <c r="AR55" i="12"/>
  <c r="AQ55" i="12"/>
  <c r="AP55" i="12"/>
  <c r="AO55" i="12"/>
  <c r="AN55" i="12"/>
  <c r="AM55" i="12"/>
  <c r="AL55" i="12"/>
  <c r="AK55" i="12"/>
  <c r="AJ55" i="12"/>
  <c r="AI55" i="12"/>
  <c r="AH55" i="12"/>
  <c r="AG55" i="12"/>
  <c r="AF55" i="12"/>
  <c r="AE55" i="12"/>
  <c r="AD55" i="12"/>
  <c r="AC55" i="12"/>
  <c r="AB55" i="12"/>
  <c r="AU54" i="12"/>
  <c r="AT54" i="12"/>
  <c r="AS54" i="12"/>
  <c r="AR54" i="12"/>
  <c r="AQ54" i="12"/>
  <c r="AP54" i="12"/>
  <c r="AO54" i="12"/>
  <c r="AN54" i="12"/>
  <c r="AM54" i="12"/>
  <c r="AL54" i="12"/>
  <c r="AK54" i="12"/>
  <c r="AJ54" i="12"/>
  <c r="AI54" i="12"/>
  <c r="AH54" i="12"/>
  <c r="AG54" i="12"/>
  <c r="AF54" i="12"/>
  <c r="AE54" i="12"/>
  <c r="AD54" i="12"/>
  <c r="AC54" i="12"/>
  <c r="AB54" i="12"/>
  <c r="AU53" i="12"/>
  <c r="AT53" i="12"/>
  <c r="AS53" i="12"/>
  <c r="AR53" i="12"/>
  <c r="AQ53" i="12"/>
  <c r="AP53" i="12"/>
  <c r="AO53" i="12"/>
  <c r="AN53" i="12"/>
  <c r="AM53" i="12"/>
  <c r="AL53" i="12"/>
  <c r="AK53" i="12"/>
  <c r="AJ53" i="12"/>
  <c r="AI53" i="12"/>
  <c r="AH53" i="12"/>
  <c r="AG53" i="12"/>
  <c r="AF53" i="12"/>
  <c r="AE53" i="12"/>
  <c r="AD53" i="12"/>
  <c r="AC53" i="12"/>
  <c r="AB53" i="12"/>
  <c r="AU52" i="12"/>
  <c r="AT52" i="12"/>
  <c r="AS52" i="12"/>
  <c r="AR52" i="12"/>
  <c r="AQ52" i="12"/>
  <c r="AP52" i="12"/>
  <c r="AO52" i="12"/>
  <c r="AN52" i="12"/>
  <c r="AM52" i="12"/>
  <c r="AL52" i="12"/>
  <c r="AK52" i="12"/>
  <c r="AJ52" i="12"/>
  <c r="AI52" i="12"/>
  <c r="AH52" i="12"/>
  <c r="AG52" i="12"/>
  <c r="AF52" i="12"/>
  <c r="AE52" i="12"/>
  <c r="AD52" i="12"/>
  <c r="AC52" i="12"/>
  <c r="AB52" i="12"/>
  <c r="AU51" i="12"/>
  <c r="AT51" i="12"/>
  <c r="AS51" i="12"/>
  <c r="AR51" i="12"/>
  <c r="AQ51" i="12"/>
  <c r="AP51" i="12"/>
  <c r="AO51" i="12"/>
  <c r="AN51" i="12"/>
  <c r="AM51" i="12"/>
  <c r="AL51" i="12"/>
  <c r="AK51" i="12"/>
  <c r="AJ51" i="12"/>
  <c r="AI51" i="12"/>
  <c r="AH51" i="12"/>
  <c r="AG51" i="12"/>
  <c r="AF51" i="12"/>
  <c r="AE51" i="12"/>
  <c r="AD51" i="12"/>
  <c r="AC51" i="12"/>
  <c r="AB51" i="12"/>
  <c r="AU50" i="12"/>
  <c r="AT50" i="12"/>
  <c r="AS50" i="12"/>
  <c r="AR50" i="12"/>
  <c r="AQ50" i="12"/>
  <c r="AP50" i="12"/>
  <c r="AO50" i="12"/>
  <c r="AN50" i="12"/>
  <c r="AM50" i="12"/>
  <c r="AL50" i="12"/>
  <c r="AK50" i="12"/>
  <c r="AJ50" i="12"/>
  <c r="AI50" i="12"/>
  <c r="AH50" i="12"/>
  <c r="AG50" i="12"/>
  <c r="AF50" i="12"/>
  <c r="AE50" i="12"/>
  <c r="AD50" i="12"/>
  <c r="AC50" i="12"/>
  <c r="AB50" i="12"/>
  <c r="AU49" i="12"/>
  <c r="AT49" i="12"/>
  <c r="AS49" i="12"/>
  <c r="AR49" i="12"/>
  <c r="AQ49" i="12"/>
  <c r="AP49" i="12"/>
  <c r="AO49" i="12"/>
  <c r="AN49" i="12"/>
  <c r="AM49" i="12"/>
  <c r="AL49" i="12"/>
  <c r="AK49" i="12"/>
  <c r="AJ49" i="12"/>
  <c r="AI49" i="12"/>
  <c r="AH49" i="12"/>
  <c r="AG49" i="12"/>
  <c r="AF49" i="12"/>
  <c r="AE49" i="12"/>
  <c r="AD49" i="12"/>
  <c r="AC49" i="12"/>
  <c r="AB49" i="12"/>
  <c r="AU48" i="12"/>
  <c r="AT48" i="12"/>
  <c r="AS48" i="12"/>
  <c r="AR48" i="12"/>
  <c r="AQ48" i="12"/>
  <c r="AP48" i="12"/>
  <c r="AO48" i="12"/>
  <c r="AN48" i="12"/>
  <c r="AM48" i="12"/>
  <c r="AL48" i="12"/>
  <c r="AK48" i="12"/>
  <c r="AJ48" i="12"/>
  <c r="AI48" i="12"/>
  <c r="AH48" i="12"/>
  <c r="AG48" i="12"/>
  <c r="AF48" i="12"/>
  <c r="AE48" i="12"/>
  <c r="AD48" i="12"/>
  <c r="AC48" i="12"/>
  <c r="AB48" i="12"/>
  <c r="AU47" i="12"/>
  <c r="AT47" i="12"/>
  <c r="AS47" i="12"/>
  <c r="AR47" i="12"/>
  <c r="AQ47" i="12"/>
  <c r="AP47" i="12"/>
  <c r="AO47" i="12"/>
  <c r="AN47" i="12"/>
  <c r="AM47" i="12"/>
  <c r="AL47" i="12"/>
  <c r="AK47" i="12"/>
  <c r="AJ47" i="12"/>
  <c r="AI47" i="12"/>
  <c r="AH47" i="12"/>
  <c r="AG47" i="12"/>
  <c r="AF47" i="12"/>
  <c r="AE47" i="12"/>
  <c r="AD47" i="12"/>
  <c r="AC47" i="12"/>
  <c r="AB47" i="12"/>
  <c r="AU46" i="12"/>
  <c r="AT46" i="12"/>
  <c r="AS46" i="12"/>
  <c r="AR46" i="12"/>
  <c r="AQ46" i="12"/>
  <c r="AP46" i="12"/>
  <c r="AO46" i="12"/>
  <c r="AN46" i="12"/>
  <c r="AM46" i="12"/>
  <c r="AL46" i="12"/>
  <c r="AK46" i="12"/>
  <c r="AJ46" i="12"/>
  <c r="AI46" i="12"/>
  <c r="AH46" i="12"/>
  <c r="AG46" i="12"/>
  <c r="AF46" i="12"/>
  <c r="AE46" i="12"/>
  <c r="AD46" i="12"/>
  <c r="AC46" i="12"/>
  <c r="AB46" i="12"/>
  <c r="AU45" i="12"/>
  <c r="AT45" i="12"/>
  <c r="AS45" i="12"/>
  <c r="AR45" i="12"/>
  <c r="AQ45" i="12"/>
  <c r="AP45" i="12"/>
  <c r="AO45" i="12"/>
  <c r="AN45" i="12"/>
  <c r="AM45" i="12"/>
  <c r="AL45" i="12"/>
  <c r="AK45" i="12"/>
  <c r="AJ45" i="12"/>
  <c r="AI45" i="12"/>
  <c r="AH45" i="12"/>
  <c r="AG45" i="12"/>
  <c r="AF45" i="12"/>
  <c r="AE45" i="12"/>
  <c r="AD45" i="12"/>
  <c r="AC45" i="12"/>
  <c r="AB45" i="12"/>
  <c r="AU44" i="12"/>
  <c r="AT44" i="12"/>
  <c r="AS44" i="12"/>
  <c r="AR44" i="12"/>
  <c r="AQ44" i="12"/>
  <c r="AP44" i="12"/>
  <c r="AO44" i="12"/>
  <c r="AN44" i="12"/>
  <c r="AM44" i="12"/>
  <c r="AL44" i="12"/>
  <c r="AK44" i="12"/>
  <c r="AJ44" i="12"/>
  <c r="AI44" i="12"/>
  <c r="AH44" i="12"/>
  <c r="AG44" i="12"/>
  <c r="AF44" i="12"/>
  <c r="AE44" i="12"/>
  <c r="AD44" i="12"/>
  <c r="AC44" i="12"/>
  <c r="AB44" i="12"/>
  <c r="AU43" i="12"/>
  <c r="AT43" i="12"/>
  <c r="AS43" i="12"/>
  <c r="AR43" i="12"/>
  <c r="AQ43" i="12"/>
  <c r="AP43" i="12"/>
  <c r="AO43" i="12"/>
  <c r="AN43" i="12"/>
  <c r="AM43" i="12"/>
  <c r="AL43" i="12"/>
  <c r="AK43" i="12"/>
  <c r="AJ43" i="12"/>
  <c r="AI43" i="12"/>
  <c r="AH43" i="12"/>
  <c r="AG43" i="12"/>
  <c r="AF43" i="12"/>
  <c r="AE43" i="12"/>
  <c r="AD43" i="12"/>
  <c r="AC43" i="12"/>
  <c r="AB43" i="12"/>
  <c r="AU42" i="12"/>
  <c r="AT42" i="12"/>
  <c r="AS42" i="12"/>
  <c r="AR42" i="12"/>
  <c r="AQ42" i="12"/>
  <c r="AP42" i="12"/>
  <c r="AO42" i="12"/>
  <c r="AN42" i="12"/>
  <c r="AM42" i="12"/>
  <c r="AL42" i="12"/>
  <c r="AK42" i="12"/>
  <c r="AJ42" i="12"/>
  <c r="AI42" i="12"/>
  <c r="AH42" i="12"/>
  <c r="AG42" i="12"/>
  <c r="AF42" i="12"/>
  <c r="AE42" i="12"/>
  <c r="AD42" i="12"/>
  <c r="AC42" i="12"/>
  <c r="AB42" i="12"/>
  <c r="AU41" i="12"/>
  <c r="AT41" i="12"/>
  <c r="AS41" i="12"/>
  <c r="AR41" i="12"/>
  <c r="AQ41" i="12"/>
  <c r="AP41" i="12"/>
  <c r="AO41" i="12"/>
  <c r="AN41" i="12"/>
  <c r="AM41" i="12"/>
  <c r="AL41" i="12"/>
  <c r="AK41" i="12"/>
  <c r="AJ41" i="12"/>
  <c r="AI41" i="12"/>
  <c r="AH41" i="12"/>
  <c r="AG41" i="12"/>
  <c r="AF41" i="12"/>
  <c r="AE41" i="12"/>
  <c r="AD41" i="12"/>
  <c r="AC41" i="12"/>
  <c r="AB41" i="12"/>
  <c r="AU40" i="12"/>
  <c r="AT40" i="12"/>
  <c r="AS40" i="12"/>
  <c r="AR40" i="12"/>
  <c r="AQ40" i="12"/>
  <c r="AP40" i="12"/>
  <c r="AO40" i="12"/>
  <c r="AN40" i="12"/>
  <c r="AM40" i="12"/>
  <c r="AL40" i="12"/>
  <c r="AK40" i="12"/>
  <c r="AJ40" i="12"/>
  <c r="AI40" i="12"/>
  <c r="AH40" i="12"/>
  <c r="AG40" i="12"/>
  <c r="AF40" i="12"/>
  <c r="AE40" i="12"/>
  <c r="AD40" i="12"/>
  <c r="AC40" i="12"/>
  <c r="AB40" i="12"/>
  <c r="AU39" i="12"/>
  <c r="AT39" i="12"/>
  <c r="AS39" i="12"/>
  <c r="AR39" i="12"/>
  <c r="AQ39" i="12"/>
  <c r="AP39" i="12"/>
  <c r="AO39" i="12"/>
  <c r="AN39" i="12"/>
  <c r="AM39" i="12"/>
  <c r="AL39" i="12"/>
  <c r="AK39" i="12"/>
  <c r="AJ39" i="12"/>
  <c r="AI39" i="12"/>
  <c r="AH39" i="12"/>
  <c r="AG39" i="12"/>
  <c r="AF39" i="12"/>
  <c r="AE39" i="12"/>
  <c r="AD39" i="12"/>
  <c r="AC39" i="12"/>
  <c r="AB39" i="12"/>
  <c r="AU38" i="12"/>
  <c r="AT38" i="12"/>
  <c r="AS38" i="12"/>
  <c r="AR38" i="12"/>
  <c r="AQ38" i="12"/>
  <c r="AP38" i="12"/>
  <c r="AO38" i="12"/>
  <c r="AN38" i="12"/>
  <c r="AM38" i="12"/>
  <c r="AL38" i="12"/>
  <c r="AK38" i="12"/>
  <c r="AJ38" i="12"/>
  <c r="AI38" i="12"/>
  <c r="AH38" i="12"/>
  <c r="AG38" i="12"/>
  <c r="AF38" i="12"/>
  <c r="AE38" i="12"/>
  <c r="AD38" i="12"/>
  <c r="AC38" i="12"/>
  <c r="AB38" i="12"/>
  <c r="AU37" i="12"/>
  <c r="AT37" i="12"/>
  <c r="AS37" i="12"/>
  <c r="AR37" i="12"/>
  <c r="AQ37" i="12"/>
  <c r="AP37" i="12"/>
  <c r="AO37" i="12"/>
  <c r="AN37" i="12"/>
  <c r="AM37" i="12"/>
  <c r="AL37" i="12"/>
  <c r="AK37" i="12"/>
  <c r="AJ37" i="12"/>
  <c r="AI37" i="12"/>
  <c r="AH37" i="12"/>
  <c r="AG37" i="12"/>
  <c r="AF37" i="12"/>
  <c r="AE37" i="12"/>
  <c r="AD37" i="12"/>
  <c r="AC37" i="12"/>
  <c r="AB37" i="12"/>
  <c r="AU36" i="12"/>
  <c r="AT36" i="12"/>
  <c r="AS36" i="12"/>
  <c r="AR36" i="12"/>
  <c r="AQ36" i="12"/>
  <c r="AP36" i="12"/>
  <c r="AO36" i="12"/>
  <c r="AN36" i="12"/>
  <c r="AM36" i="12"/>
  <c r="AL36" i="12"/>
  <c r="AK36" i="12"/>
  <c r="AJ36" i="12"/>
  <c r="AI36" i="12"/>
  <c r="AH36" i="12"/>
  <c r="AG36" i="12"/>
  <c r="AF36" i="12"/>
  <c r="AE36" i="12"/>
  <c r="AD36" i="12"/>
  <c r="AC36" i="12"/>
  <c r="AB36" i="12"/>
  <c r="AU35" i="12"/>
  <c r="AT35" i="12"/>
  <c r="AS35" i="12"/>
  <c r="AR35" i="12"/>
  <c r="AQ35" i="12"/>
  <c r="AP35" i="12"/>
  <c r="AO35" i="12"/>
  <c r="AN35" i="12"/>
  <c r="AM35" i="12"/>
  <c r="AL35" i="12"/>
  <c r="AK35" i="12"/>
  <c r="AJ35" i="12"/>
  <c r="AI35" i="12"/>
  <c r="AH35" i="12"/>
  <c r="AG35" i="12"/>
  <c r="AF35" i="12"/>
  <c r="AE35" i="12"/>
  <c r="AD35" i="12"/>
  <c r="AC35" i="12"/>
  <c r="AB35" i="12"/>
  <c r="AU34" i="12"/>
  <c r="AT34" i="12"/>
  <c r="AS34" i="12"/>
  <c r="AR34" i="12"/>
  <c r="AQ34" i="12"/>
  <c r="AP34" i="12"/>
  <c r="AO34" i="12"/>
  <c r="AN34" i="12"/>
  <c r="AM34" i="12"/>
  <c r="AL34" i="12"/>
  <c r="AK34" i="12"/>
  <c r="AJ34" i="12"/>
  <c r="AI34" i="12"/>
  <c r="AH34" i="12"/>
  <c r="AG34" i="12"/>
  <c r="AF34" i="12"/>
  <c r="AE34" i="12"/>
  <c r="AD34" i="12"/>
  <c r="AC34" i="12"/>
  <c r="AB34" i="12"/>
  <c r="AU33" i="12"/>
  <c r="AT33" i="12"/>
  <c r="AS33" i="12"/>
  <c r="AR33" i="12"/>
  <c r="AQ33" i="12"/>
  <c r="AP33" i="12"/>
  <c r="AO33" i="12"/>
  <c r="AN33" i="12"/>
  <c r="AM33" i="12"/>
  <c r="AL33" i="12"/>
  <c r="AK33" i="12"/>
  <c r="AJ33" i="12"/>
  <c r="AI33" i="12"/>
  <c r="AH33" i="12"/>
  <c r="AG33" i="12"/>
  <c r="AF33" i="12"/>
  <c r="AE33" i="12"/>
  <c r="AD33" i="12"/>
  <c r="AC33" i="12"/>
  <c r="AB33" i="12"/>
  <c r="AU32" i="12"/>
  <c r="AT32" i="12"/>
  <c r="AS32" i="12"/>
  <c r="AR32" i="12"/>
  <c r="AQ32" i="12"/>
  <c r="AP32" i="12"/>
  <c r="AO32" i="12"/>
  <c r="AN32" i="12"/>
  <c r="AM32" i="12"/>
  <c r="AL32" i="12"/>
  <c r="AK32" i="12"/>
  <c r="AJ32" i="12"/>
  <c r="AI32" i="12"/>
  <c r="AH32" i="12"/>
  <c r="AG32" i="12"/>
  <c r="AF32" i="12"/>
  <c r="AE32" i="12"/>
  <c r="AD32" i="12"/>
  <c r="AC32" i="12"/>
  <c r="AB32" i="12"/>
  <c r="AU31" i="12"/>
  <c r="AT31" i="12"/>
  <c r="AS31" i="12"/>
  <c r="AR31" i="12"/>
  <c r="AQ31" i="12"/>
  <c r="AP31" i="12"/>
  <c r="AO31" i="12"/>
  <c r="AN31" i="12"/>
  <c r="AM31" i="12"/>
  <c r="AL31" i="12"/>
  <c r="AK31" i="12"/>
  <c r="AJ31" i="12"/>
  <c r="AI31" i="12"/>
  <c r="AH31" i="12"/>
  <c r="AG31" i="12"/>
  <c r="AF31" i="12"/>
  <c r="AE31" i="12"/>
  <c r="AD31" i="12"/>
  <c r="AC31" i="12"/>
  <c r="AB31" i="12"/>
  <c r="AU30" i="12"/>
  <c r="AT30" i="12"/>
  <c r="AS30" i="12"/>
  <c r="AR30" i="12"/>
  <c r="AQ30" i="12"/>
  <c r="AP30" i="12"/>
  <c r="AO30" i="12"/>
  <c r="AN30" i="12"/>
  <c r="AM30" i="12"/>
  <c r="AL30" i="12"/>
  <c r="AK30" i="12"/>
  <c r="AJ30" i="12"/>
  <c r="AI30" i="12"/>
  <c r="AH30" i="12"/>
  <c r="AG30" i="12"/>
  <c r="AF30" i="12"/>
  <c r="AE30" i="12"/>
  <c r="AD30" i="12"/>
  <c r="AC30" i="12"/>
  <c r="AB30" i="12"/>
  <c r="AU29" i="12"/>
  <c r="AT29" i="12"/>
  <c r="AS29" i="12"/>
  <c r="AR29" i="12"/>
  <c r="AQ29" i="12"/>
  <c r="AP29" i="12"/>
  <c r="AO29" i="12"/>
  <c r="AN29" i="12"/>
  <c r="AM29" i="12"/>
  <c r="AL29" i="12"/>
  <c r="AK29" i="12"/>
  <c r="AJ29" i="12"/>
  <c r="AI29" i="12"/>
  <c r="AH29" i="12"/>
  <c r="AG29" i="12"/>
  <c r="AF29" i="12"/>
  <c r="AE29" i="12"/>
  <c r="AD29" i="12"/>
  <c r="AC29" i="12"/>
  <c r="AB29" i="12"/>
  <c r="AU28" i="12"/>
  <c r="AT28" i="12"/>
  <c r="AS28" i="12"/>
  <c r="AR28" i="12"/>
  <c r="AQ28" i="12"/>
  <c r="AP28" i="12"/>
  <c r="AO28" i="12"/>
  <c r="AN28" i="12"/>
  <c r="AM28" i="12"/>
  <c r="AL28" i="12"/>
  <c r="AK28" i="12"/>
  <c r="AJ28" i="12"/>
  <c r="AI28" i="12"/>
  <c r="AH28" i="12"/>
  <c r="AG28" i="12"/>
  <c r="AF28" i="12"/>
  <c r="AE28" i="12"/>
  <c r="AD28" i="12"/>
  <c r="AC28" i="12"/>
  <c r="AB28" i="12"/>
  <c r="AU27" i="12"/>
  <c r="AT27" i="12"/>
  <c r="AS27" i="12"/>
  <c r="AR27" i="12"/>
  <c r="AQ27" i="12"/>
  <c r="AP27" i="12"/>
  <c r="AO27" i="12"/>
  <c r="AN27" i="12"/>
  <c r="AM27" i="12"/>
  <c r="AL27" i="12"/>
  <c r="AK27" i="12"/>
  <c r="AJ27" i="12"/>
  <c r="AI27" i="12"/>
  <c r="AH27" i="12"/>
  <c r="AG27" i="12"/>
  <c r="AF27" i="12"/>
  <c r="AE27" i="12"/>
  <c r="AD27" i="12"/>
  <c r="AC27" i="12"/>
  <c r="AB27" i="12"/>
  <c r="AU26" i="12"/>
  <c r="AT26" i="12"/>
  <c r="AS26" i="12"/>
  <c r="AR26" i="12"/>
  <c r="AQ26" i="12"/>
  <c r="AP26" i="12"/>
  <c r="AO26" i="12"/>
  <c r="AN26" i="12"/>
  <c r="AM26" i="12"/>
  <c r="AL26" i="12"/>
  <c r="AK26" i="12"/>
  <c r="AJ26" i="12"/>
  <c r="AI26" i="12"/>
  <c r="AH26" i="12"/>
  <c r="AG26" i="12"/>
  <c r="AF26" i="12"/>
  <c r="AE26" i="12"/>
  <c r="AD26" i="12"/>
  <c r="AC26" i="12"/>
  <c r="AB26" i="12"/>
  <c r="AU25" i="12"/>
  <c r="AT25" i="12"/>
  <c r="AS25" i="12"/>
  <c r="AR25" i="12"/>
  <c r="AQ25" i="12"/>
  <c r="AP25" i="12"/>
  <c r="AO25" i="12"/>
  <c r="AN25" i="12"/>
  <c r="AM25" i="12"/>
  <c r="AL25" i="12"/>
  <c r="AK25" i="12"/>
  <c r="AJ25" i="12"/>
  <c r="AI25" i="12"/>
  <c r="AH25" i="12"/>
  <c r="AG25" i="12"/>
  <c r="AF25" i="12"/>
  <c r="AE25" i="12"/>
  <c r="AD25" i="12"/>
  <c r="AC25" i="12"/>
  <c r="AB25" i="12"/>
  <c r="AU24" i="12"/>
  <c r="AT24" i="12"/>
  <c r="AS24" i="12"/>
  <c r="AR24" i="12"/>
  <c r="AQ24" i="12"/>
  <c r="AP24" i="12"/>
  <c r="AO24" i="12"/>
  <c r="AN24" i="12"/>
  <c r="AM24" i="12"/>
  <c r="AL24" i="12"/>
  <c r="AK24" i="12"/>
  <c r="AJ24" i="12"/>
  <c r="AI24" i="12"/>
  <c r="AH24" i="12"/>
  <c r="AG24" i="12"/>
  <c r="AF24" i="12"/>
  <c r="AE24" i="12"/>
  <c r="AD24" i="12"/>
  <c r="AC24" i="12"/>
  <c r="AB24" i="12"/>
  <c r="AU23" i="12"/>
  <c r="AT23" i="12"/>
  <c r="AS23" i="12"/>
  <c r="AR23" i="12"/>
  <c r="AQ23" i="12"/>
  <c r="AP23" i="12"/>
  <c r="AO23" i="12"/>
  <c r="AN23" i="12"/>
  <c r="AM23" i="12"/>
  <c r="AL23" i="12"/>
  <c r="AK23" i="12"/>
  <c r="AJ23" i="12"/>
  <c r="AI23" i="12"/>
  <c r="AH23" i="12"/>
  <c r="AG23" i="12"/>
  <c r="AF23" i="12"/>
  <c r="AE23" i="12"/>
  <c r="AD23" i="12"/>
  <c r="AC23" i="12"/>
  <c r="AB23" i="12"/>
  <c r="AU22" i="12"/>
  <c r="AT22" i="12"/>
  <c r="AS22" i="12"/>
  <c r="AR22" i="12"/>
  <c r="AQ22" i="12"/>
  <c r="AP22" i="12"/>
  <c r="AO22" i="12"/>
  <c r="AN22" i="12"/>
  <c r="AM22" i="12"/>
  <c r="AL22" i="12"/>
  <c r="AK22" i="12"/>
  <c r="AJ22" i="12"/>
  <c r="AI22" i="12"/>
  <c r="AH22" i="12"/>
  <c r="AG22" i="12"/>
  <c r="AF22" i="12"/>
  <c r="AE22" i="12"/>
  <c r="AD22" i="12"/>
  <c r="AC22" i="12"/>
  <c r="AB22" i="12"/>
  <c r="AU21" i="12"/>
  <c r="AT21" i="12"/>
  <c r="AS21" i="12"/>
  <c r="AR21" i="12"/>
  <c r="AQ21" i="12"/>
  <c r="AP21" i="12"/>
  <c r="AO21" i="12"/>
  <c r="AN21" i="12"/>
  <c r="AM21" i="12"/>
  <c r="AL21" i="12"/>
  <c r="AK21" i="12"/>
  <c r="AJ21" i="12"/>
  <c r="AI21" i="12"/>
  <c r="AH21" i="12"/>
  <c r="AG21" i="12"/>
  <c r="AF21" i="12"/>
  <c r="AE21" i="12"/>
  <c r="AD21" i="12"/>
  <c r="AC21" i="12"/>
  <c r="AB21" i="12"/>
  <c r="AU20" i="12"/>
  <c r="AT20" i="12"/>
  <c r="AS20" i="12"/>
  <c r="AR20" i="12"/>
  <c r="AQ20" i="12"/>
  <c r="AP20" i="12"/>
  <c r="AO20" i="12"/>
  <c r="AN20" i="12"/>
  <c r="AM20" i="12"/>
  <c r="AL20" i="12"/>
  <c r="AK20" i="12"/>
  <c r="AJ20" i="12"/>
  <c r="AI20" i="12"/>
  <c r="AH20" i="12"/>
  <c r="AG20" i="12"/>
  <c r="AF20" i="12"/>
  <c r="AE20" i="12"/>
  <c r="AD20" i="12"/>
  <c r="AC20" i="12"/>
  <c r="AB20" i="12"/>
  <c r="AU19" i="12"/>
  <c r="AT19" i="12"/>
  <c r="AS19" i="12"/>
  <c r="AR19" i="12"/>
  <c r="AQ19" i="12"/>
  <c r="AP19" i="12"/>
  <c r="AO19" i="12"/>
  <c r="AN19" i="12"/>
  <c r="AM19" i="12"/>
  <c r="AL19" i="12"/>
  <c r="AK19" i="12"/>
  <c r="AJ19" i="12"/>
  <c r="AI19" i="12"/>
  <c r="AH19" i="12"/>
  <c r="AG19" i="12"/>
  <c r="AF19" i="12"/>
  <c r="AE19" i="12"/>
  <c r="AD19" i="12"/>
  <c r="AC19" i="12"/>
  <c r="AB19" i="12"/>
  <c r="AU18" i="12"/>
  <c r="AT18" i="12"/>
  <c r="AS18" i="12"/>
  <c r="AR18" i="12"/>
  <c r="AQ18" i="12"/>
  <c r="AP18" i="12"/>
  <c r="AO18" i="12"/>
  <c r="AN18" i="12"/>
  <c r="AM18" i="12"/>
  <c r="AL18" i="12"/>
  <c r="AK18" i="12"/>
  <c r="AJ18" i="12"/>
  <c r="AI18" i="12"/>
  <c r="AH18" i="12"/>
  <c r="AG18" i="12"/>
  <c r="AF18" i="12"/>
  <c r="AE18" i="12"/>
  <c r="AD18" i="12"/>
  <c r="AC18" i="12"/>
  <c r="AB18" i="12"/>
  <c r="AU17" i="12"/>
  <c r="AT17" i="12"/>
  <c r="AS17" i="12"/>
  <c r="AR17" i="12"/>
  <c r="AQ17" i="12"/>
  <c r="AP17" i="12"/>
  <c r="AO17" i="12"/>
  <c r="AN17" i="12"/>
  <c r="AM17" i="12"/>
  <c r="AL17" i="12"/>
  <c r="AK17" i="12"/>
  <c r="AJ17" i="12"/>
  <c r="AI17" i="12"/>
  <c r="AH17" i="12"/>
  <c r="AG17" i="12"/>
  <c r="AF17" i="12"/>
  <c r="AE17" i="12"/>
  <c r="AD17" i="12"/>
  <c r="AC17" i="12"/>
  <c r="AB17" i="12"/>
  <c r="AX17" i="12"/>
  <c r="Y17" i="12"/>
  <c r="AC8" i="14"/>
  <c r="G9" i="14"/>
  <c r="AI8" i="14"/>
  <c r="AC25" i="14"/>
  <c r="AC24" i="14"/>
  <c r="AC23" i="14"/>
  <c r="AC22" i="14"/>
  <c r="AC21" i="14"/>
  <c r="AC20" i="14"/>
  <c r="AC19" i="14"/>
  <c r="AC18" i="14"/>
  <c r="G26" i="14"/>
  <c r="G25" i="14"/>
  <c r="G24" i="14"/>
  <c r="G23" i="14"/>
  <c r="G22" i="14"/>
  <c r="G21" i="14"/>
  <c r="G20" i="14"/>
  <c r="G19" i="14"/>
  <c r="AC17" i="14"/>
  <c r="G18" i="14"/>
  <c r="AC16" i="14"/>
  <c r="G17" i="14"/>
  <c r="AC15" i="14"/>
  <c r="AC14" i="14"/>
  <c r="AC13" i="14"/>
  <c r="AC12" i="14"/>
  <c r="G16" i="14"/>
  <c r="G15" i="14"/>
  <c r="G14" i="14"/>
  <c r="G13" i="14"/>
  <c r="AC11" i="14"/>
  <c r="G12" i="14"/>
  <c r="AC10" i="14"/>
  <c r="G11" i="14"/>
  <c r="AC9" i="14"/>
  <c r="G10" i="14"/>
  <c r="AX18" i="12"/>
  <c r="Y115" i="12"/>
  <c r="Y114" i="12"/>
  <c r="Y113" i="12"/>
  <c r="Y112" i="12"/>
  <c r="Y111" i="12"/>
  <c r="Y110" i="12"/>
  <c r="Y109" i="12"/>
  <c r="Y108" i="12"/>
  <c r="Y107" i="12"/>
  <c r="Y106" i="12"/>
  <c r="Y105" i="12"/>
  <c r="Y104" i="12"/>
  <c r="Y103" i="12"/>
  <c r="Y102" i="12"/>
  <c r="Y101" i="12"/>
  <c r="Y100" i="12"/>
  <c r="Y99" i="12"/>
  <c r="Y98" i="12"/>
  <c r="Y97" i="12"/>
  <c r="Y96" i="12"/>
  <c r="Y95" i="12"/>
  <c r="Y94" i="12"/>
  <c r="Y93" i="12"/>
  <c r="Y92" i="12"/>
  <c r="Y91" i="12"/>
  <c r="Y90" i="12"/>
  <c r="Y89" i="12"/>
  <c r="Y88" i="12"/>
  <c r="Y87" i="12"/>
  <c r="Y86" i="12"/>
  <c r="Y85" i="12"/>
  <c r="Y84" i="12"/>
  <c r="Y83" i="12"/>
  <c r="Y82" i="12"/>
  <c r="Y81" i="12"/>
  <c r="Y80" i="12"/>
  <c r="Y79" i="12"/>
  <c r="Y78" i="12"/>
  <c r="Y77" i="12"/>
  <c r="Y76" i="12"/>
  <c r="Y75" i="12"/>
  <c r="Y74" i="12"/>
  <c r="Y73" i="12"/>
  <c r="Y72" i="12"/>
  <c r="Y71" i="12"/>
  <c r="Y70" i="12"/>
  <c r="Y69" i="12"/>
  <c r="Y68" i="12"/>
  <c r="Y67" i="12"/>
  <c r="Y66" i="12"/>
  <c r="Y65" i="12"/>
  <c r="Y64" i="12"/>
  <c r="Y63" i="12"/>
  <c r="Y62" i="12"/>
  <c r="Y61" i="12"/>
  <c r="Y60" i="12"/>
  <c r="Y59" i="12"/>
  <c r="Y58" i="12"/>
  <c r="Y57" i="12"/>
  <c r="Y56" i="12"/>
  <c r="Y55" i="12"/>
  <c r="Y54" i="12"/>
  <c r="Y53" i="12"/>
  <c r="Y52" i="12"/>
  <c r="Y51" i="12"/>
  <c r="Y50" i="12"/>
  <c r="Y49" i="12"/>
  <c r="Y48" i="12"/>
  <c r="Y47" i="12"/>
  <c r="Y46" i="12"/>
  <c r="Y45" i="12"/>
  <c r="Y44" i="12"/>
  <c r="Y43" i="12"/>
  <c r="Y42" i="12"/>
  <c r="Y41" i="12"/>
  <c r="Y40" i="12"/>
  <c r="Y39" i="12"/>
  <c r="Y38" i="12"/>
  <c r="Y37" i="12"/>
  <c r="Y36" i="12"/>
  <c r="Y35" i="12"/>
  <c r="Y34" i="12"/>
  <c r="Y33" i="12"/>
  <c r="Y32" i="12"/>
  <c r="Y31" i="12"/>
  <c r="Y30" i="12"/>
  <c r="Y29" i="12"/>
  <c r="Y28" i="12"/>
  <c r="Y27" i="12"/>
  <c r="Y26" i="12"/>
  <c r="Y25" i="12"/>
  <c r="Y24" i="12"/>
  <c r="Y23" i="12"/>
  <c r="Y22" i="12"/>
  <c r="Y21" i="12"/>
  <c r="Y20" i="12"/>
  <c r="Y19" i="12"/>
  <c r="AA18" i="12"/>
  <c r="Y18" i="12"/>
  <c r="AW16" i="12"/>
  <c r="AV16" i="12"/>
  <c r="AU16" i="12"/>
</calcChain>
</file>

<file path=xl/sharedStrings.xml><?xml version="1.0" encoding="utf-8"?>
<sst xmlns="http://schemas.openxmlformats.org/spreadsheetml/2006/main" count="658" uniqueCount="336">
  <si>
    <r>
      <t>1.</t>
    </r>
    <r>
      <rPr>
        <sz val="12"/>
        <color indexed="8"/>
        <rFont val="Times New Roman"/>
        <family val="1"/>
      </rPr>
      <t xml:space="preserve"> </t>
    </r>
    <r>
      <rPr>
        <sz val="12"/>
        <color indexed="8"/>
        <rFont val="Arial"/>
        <family val="2"/>
      </rPr>
      <t>Harm from fire arising from damage (including heating, melting and chaffing) to electrical cables and components; hydraulic hoses; and fuel lines due to design inadequacies, including
     a. poor location
     b. inadequate segregation of fuel and ignition sources
     c. flaws in clamping or restraints</t>
    </r>
  </si>
  <si>
    <r>
      <t>2.</t>
    </r>
    <r>
      <rPr>
        <sz val="12"/>
        <color indexed="8"/>
        <rFont val="Times New Roman"/>
        <family val="1"/>
      </rPr>
      <t xml:space="preserve"> </t>
    </r>
    <r>
      <rPr>
        <sz val="12"/>
        <color indexed="8"/>
        <rFont val="Arial"/>
        <family val="2"/>
      </rPr>
      <t xml:space="preserve">Harm from fire arising from heat generated by surface frictions (including tires) </t>
    </r>
  </si>
  <si>
    <r>
      <t>3.</t>
    </r>
    <r>
      <rPr>
        <sz val="12"/>
        <color indexed="8"/>
        <rFont val="Times New Roman"/>
        <family val="1"/>
      </rPr>
      <t xml:space="preserve"> </t>
    </r>
    <r>
      <rPr>
        <sz val="12"/>
        <color indexed="8"/>
        <rFont val="Arial"/>
        <family val="2"/>
      </rPr>
      <t>Harm from fire igniting in, or being propagated by, the build up of combustible material e.g. dirt, oily rags</t>
    </r>
  </si>
  <si>
    <t>DP 8.
Confined Spaces &amp; Restricted Work Areas</t>
  </si>
  <si>
    <r>
      <t>1.</t>
    </r>
    <r>
      <rPr>
        <sz val="12"/>
        <color indexed="8"/>
        <rFont val="Times New Roman"/>
        <family val="1"/>
      </rPr>
      <t> </t>
    </r>
    <r>
      <rPr>
        <sz val="12"/>
        <color indexed="8"/>
        <rFont val="Arial"/>
        <family val="2"/>
      </rPr>
      <t>Asphyxiation from irrespirable atmosphere due to lack of adequate ventilation</t>
    </r>
  </si>
  <si>
    <r>
      <t>2.</t>
    </r>
    <r>
      <rPr>
        <sz val="12"/>
        <color indexed="8"/>
        <rFont val="Times New Roman"/>
        <family val="1"/>
      </rPr>
      <t> </t>
    </r>
    <r>
      <rPr>
        <sz val="12"/>
        <color indexed="8"/>
        <rFont val="Arial"/>
        <family val="2"/>
      </rPr>
      <t>Harm from excessive heat due to lack of adequate ventilation or proximity to heat radiating components</t>
    </r>
  </si>
  <si>
    <r>
      <t>3.</t>
    </r>
    <r>
      <rPr>
        <sz val="12"/>
        <color indexed="8"/>
        <rFont val="Times New Roman"/>
        <family val="1"/>
      </rPr>
      <t> </t>
    </r>
    <r>
      <rPr>
        <sz val="12"/>
        <color indexed="8"/>
        <rFont val="Arial"/>
        <family val="2"/>
      </rPr>
      <t>Physical injury due to inadequate ergonomic design that restricts worker movement to perform work or access/egress</t>
    </r>
  </si>
  <si>
    <r>
      <t>4.</t>
    </r>
    <r>
      <rPr>
        <sz val="12"/>
        <color indexed="8"/>
        <rFont val="Times New Roman"/>
        <family val="1"/>
      </rPr>
      <t> </t>
    </r>
    <r>
      <rPr>
        <sz val="12"/>
        <color indexed="8"/>
        <rFont val="Arial"/>
        <family val="2"/>
      </rPr>
      <t>Injury or illness from fire or chemical hazards due to the routing of hosing or piping within confined space</t>
    </r>
  </si>
  <si>
    <r>
      <t>5.</t>
    </r>
    <r>
      <rPr>
        <sz val="12"/>
        <color indexed="8"/>
        <rFont val="Times New Roman"/>
        <family val="1"/>
      </rPr>
      <t> </t>
    </r>
    <r>
      <rPr>
        <sz val="12"/>
        <color indexed="8"/>
        <rFont val="Arial"/>
        <family val="2"/>
      </rPr>
      <t>Burns from contact with hydraulic hoses or piping within confined space</t>
    </r>
  </si>
  <si>
    <r>
      <t>6.</t>
    </r>
    <r>
      <rPr>
        <sz val="12"/>
        <color indexed="8"/>
        <rFont val="Times New Roman"/>
        <family val="1"/>
      </rPr>
      <t> </t>
    </r>
    <r>
      <rPr>
        <sz val="12"/>
        <color indexed="8"/>
        <rFont val="Arial"/>
        <family val="2"/>
      </rPr>
      <t>Harm due to engulfment from materials or inundation by gas or liquids</t>
    </r>
  </si>
  <si>
    <r>
      <t>8.</t>
    </r>
    <r>
      <rPr>
        <sz val="12"/>
        <color indexed="8"/>
        <rFont val="Times New Roman"/>
        <family val="1"/>
      </rPr>
      <t> </t>
    </r>
    <r>
      <rPr>
        <sz val="12"/>
        <color indexed="8"/>
        <rFont val="Arial"/>
        <family val="2"/>
      </rPr>
      <t xml:space="preserve">Harm due to rescue difficulties associated with difficult or minimal access </t>
    </r>
  </si>
  <si>
    <t>DP 6.
Health Impacting Factors</t>
  </si>
  <si>
    <r>
      <t>1.</t>
    </r>
    <r>
      <rPr>
        <sz val="12"/>
        <color indexed="8"/>
        <rFont val="Times New Roman"/>
        <family val="1"/>
      </rPr>
      <t xml:space="preserve">     </t>
    </r>
    <r>
      <rPr>
        <sz val="12"/>
        <color indexed="8"/>
        <rFont val="Arial"/>
        <family val="2"/>
      </rPr>
      <t xml:space="preserve">Harm from exposure to energies such as heat; electricity; radiation; compressed air; high pressure fluids, including hydraulic fluids; and falling objects </t>
    </r>
  </si>
  <si>
    <r>
      <t>4.</t>
    </r>
    <r>
      <rPr>
        <sz val="12"/>
        <color indexed="8"/>
        <rFont val="Times New Roman"/>
        <family val="1"/>
      </rPr>
      <t xml:space="preserve">     </t>
    </r>
    <r>
      <rPr>
        <sz val="12"/>
        <color indexed="8"/>
        <rFont val="Arial"/>
        <family val="2"/>
      </rPr>
      <t>Injury from being struck by a release of poorly secured moving or rotating equipment or components</t>
    </r>
  </si>
  <si>
    <t>Task Frequency</t>
    <phoneticPr fontId="41" type="noConversion"/>
  </si>
  <si>
    <t xml:space="preserve">             Consequence Input</t>
    <phoneticPr fontId="41" type="noConversion"/>
  </si>
  <si>
    <r>
      <t>4.</t>
    </r>
    <r>
      <rPr>
        <sz val="12"/>
        <color indexed="8"/>
        <rFont val="Times New Roman"/>
        <family val="1"/>
      </rPr>
      <t xml:space="preserve">      </t>
    </r>
    <r>
      <rPr>
        <sz val="12"/>
        <color indexed="8"/>
        <rFont val="Arial"/>
        <family val="2"/>
      </rPr>
      <t>Harm from materials falling off platforms on to persons below</t>
    </r>
  </si>
  <si>
    <r>
      <t>8.</t>
    </r>
    <r>
      <rPr>
        <sz val="12"/>
        <color indexed="8"/>
        <rFont val="Times New Roman"/>
        <family val="1"/>
      </rPr>
      <t>  </t>
    </r>
    <r>
      <rPr>
        <sz val="12"/>
        <color indexed="8"/>
        <rFont val="Arial"/>
        <family val="2"/>
      </rPr>
      <t xml:space="preserve">Harm from exposure to:
     a. Energy induced in hydraulic systems from cylinders.
     b. Energy inadvertently released by secondary systems eg fire systems, air bags.
     c. Residual energy retained after isolation and apparent de-energisation eg in springs, ropes, conveyor systems, accumulators, receiver tanks and fire systems
     d. Energy released from pressure vessels that have not been safely depressurised, including premature removal of radiator caps </t>
    </r>
  </si>
  <si>
    <r>
      <t>9.</t>
    </r>
    <r>
      <rPr>
        <sz val="12"/>
        <color indexed="8"/>
        <rFont val="Times New Roman"/>
        <family val="1"/>
      </rPr>
      <t>   </t>
    </r>
    <r>
      <rPr>
        <sz val="12"/>
        <color indexed="8"/>
        <rFont val="Arial"/>
        <family val="2"/>
      </rPr>
      <t>Harm from exposure to harmful energy due to 
      a. unintended activation of controls
      b. failure to isolate and secure components with stored energy eg raised, slewed or articulated equipment</t>
    </r>
  </si>
  <si>
    <r>
      <t>10.</t>
    </r>
    <r>
      <rPr>
        <sz val="12"/>
        <color indexed="8"/>
        <rFont val="Times New Roman"/>
        <family val="1"/>
      </rPr>
      <t xml:space="preserve">  </t>
    </r>
    <r>
      <rPr>
        <sz val="12"/>
        <color indexed="8"/>
        <rFont val="Arial"/>
        <family val="2"/>
      </rPr>
      <t xml:space="preserve">Harm from exposure to high pressure fluids as a result of failure of components, hoses, pipes or fittings due to:
        a. Corrosion
        b. Excessive pressure build up
        c. Damage (eg from fallen material)
</t>
    </r>
  </si>
  <si>
    <t>DP 7.
Manual Tasks</t>
  </si>
  <si>
    <r>
      <t>5.</t>
    </r>
    <r>
      <rPr>
        <sz val="12"/>
        <color indexed="8"/>
        <rFont val="Times New Roman"/>
        <family val="1"/>
      </rPr>
      <t xml:space="preserve">      </t>
    </r>
    <r>
      <rPr>
        <sz val="12"/>
        <color indexed="8"/>
        <rFont val="Arial"/>
        <family val="2"/>
      </rPr>
      <t>Injury caused by fasteners, brackets hoses, and fittings that protrude into the walkways and work areas</t>
    </r>
  </si>
  <si>
    <r>
      <t>6.</t>
    </r>
    <r>
      <rPr>
        <sz val="12"/>
        <color indexed="8"/>
        <rFont val="Times New Roman"/>
        <family val="1"/>
      </rPr>
      <t xml:space="preserve">      </t>
    </r>
    <r>
      <rPr>
        <sz val="12"/>
        <color indexed="8"/>
        <rFont val="Arial"/>
        <family val="2"/>
      </rPr>
      <t>Injury from falls caused by using chains as part of the handrail or ladder opening protection</t>
    </r>
  </si>
  <si>
    <r>
      <t>5.</t>
    </r>
    <r>
      <rPr>
        <sz val="12"/>
        <color indexed="8"/>
        <rFont val="Times New Roman"/>
        <family val="1"/>
      </rPr>
      <t xml:space="preserve">     </t>
    </r>
    <r>
      <rPr>
        <sz val="12"/>
        <color indexed="8"/>
        <rFont val="Arial"/>
        <family val="2"/>
      </rPr>
      <t>Entrapment, entanglement, and/or crushing from moving equipment such as: arms, jaws, gates, doors, pull down ropes/chains, winches and foot clamps</t>
    </r>
  </si>
  <si>
    <r>
      <t>6.</t>
    </r>
    <r>
      <rPr>
        <sz val="12"/>
        <color indexed="8"/>
        <rFont val="Times New Roman"/>
        <family val="1"/>
      </rPr>
      <t xml:space="preserve"> </t>
    </r>
    <r>
      <rPr>
        <sz val="12"/>
        <color indexed="8"/>
        <rFont val="Arial"/>
        <family val="2"/>
      </rPr>
      <t>Injury to personnel, either during normal operation or in the event of a roll over or other accident, from inhalation, ingestion, skin abrasion, slips, trips or other mechanism due to:
     a. FSS components that are poorly located
     b. Accidental actuation of the FSS</t>
    </r>
  </si>
  <si>
    <r>
      <t>6.</t>
    </r>
    <r>
      <rPr>
        <sz val="12"/>
        <color indexed="8"/>
        <rFont val="Times New Roman"/>
        <family val="1"/>
      </rPr>
      <t xml:space="preserve">     </t>
    </r>
    <r>
      <rPr>
        <sz val="12"/>
        <color indexed="8"/>
        <rFont val="Arial"/>
        <family val="2"/>
      </rPr>
      <t>Scalding or burning from exposure to accessible hot surfaces including but not limited to, engines, hot exhaust, engine components, cooling systems and hydraulic components</t>
    </r>
  </si>
  <si>
    <r>
      <t>7.</t>
    </r>
    <r>
      <rPr>
        <sz val="12"/>
        <color indexed="8"/>
        <rFont val="Times New Roman"/>
        <family val="1"/>
      </rPr>
      <t xml:space="preserve">     </t>
    </r>
    <r>
      <rPr>
        <sz val="12"/>
        <color indexed="8"/>
        <rFont val="Arial"/>
        <family val="2"/>
      </rPr>
      <t>Electrocution or burning from contact with electrical switches, wires or devices</t>
    </r>
  </si>
  <si>
    <t>No.</t>
    <phoneticPr fontId="41" type="noConversion"/>
  </si>
  <si>
    <r>
      <t>7.</t>
    </r>
    <r>
      <rPr>
        <sz val="12"/>
        <color indexed="8"/>
        <rFont val="Times New Roman"/>
        <family val="1"/>
      </rPr>
      <t xml:space="preserve"> </t>
    </r>
    <r>
      <rPr>
        <sz val="12"/>
        <color indexed="8"/>
        <rFont val="Arial"/>
        <family val="2"/>
      </rPr>
      <t xml:space="preserve">Harm from excessive/uncontrolled spread of fire, due to: 
     a. Lack of automatic engine shutdown and/or isolation of fuel sources
     b. Inactivation of FSS due to the effects of fire and/or other damage 
     c. Delayed activation of FSS due to difficult access to FSS controls
     d. Reduced effectiveness of FSS as a result of OEM fitted options, such as noise suppression blankets </t>
    </r>
  </si>
  <si>
    <t>Date:</t>
  </si>
  <si>
    <t>Location:</t>
  </si>
  <si>
    <t>Task Step ID #</t>
  </si>
  <si>
    <t>Relevant DP</t>
  </si>
  <si>
    <t>Current Design Controls</t>
  </si>
  <si>
    <t>Suggested New Design Controls</t>
  </si>
  <si>
    <t>Event Likelihood</t>
  </si>
  <si>
    <t>Risk Ranking</t>
  </si>
  <si>
    <t>Consequence</t>
  </si>
  <si>
    <t>Likelihood</t>
  </si>
  <si>
    <t>Minor</t>
  </si>
  <si>
    <t>Major</t>
  </si>
  <si>
    <t>Catastrophic</t>
  </si>
  <si>
    <t>Extreme</t>
  </si>
  <si>
    <t>Medium</t>
  </si>
  <si>
    <t>High</t>
  </si>
  <si>
    <t>Low</t>
  </si>
  <si>
    <t>Very Low</t>
  </si>
  <si>
    <t>Likely</t>
  </si>
  <si>
    <t>Possible</t>
  </si>
  <si>
    <t>Unlikely</t>
  </si>
  <si>
    <r>
      <t>2.</t>
    </r>
    <r>
      <rPr>
        <sz val="12"/>
        <color indexed="8"/>
        <rFont val="Times New Roman"/>
        <family val="1"/>
      </rPr>
      <t xml:space="preserve">     </t>
    </r>
    <r>
      <rPr>
        <sz val="12"/>
        <color indexed="8"/>
        <rFont val="Arial"/>
        <family val="2"/>
      </rPr>
      <t>Friction burns, injection or other harm due to working in close proximity to</t>
    </r>
    <r>
      <rPr>
        <b/>
        <sz val="12"/>
        <color indexed="8"/>
        <rFont val="Arial"/>
        <family val="2"/>
      </rPr>
      <t xml:space="preserve"> </t>
    </r>
    <r>
      <rPr>
        <sz val="12"/>
        <color indexed="8"/>
        <rFont val="Arial"/>
        <family val="2"/>
      </rPr>
      <t xml:space="preserve">hydraulic equipment or systems </t>
    </r>
  </si>
  <si>
    <r>
      <t>3.</t>
    </r>
    <r>
      <rPr>
        <sz val="12"/>
        <color indexed="8"/>
        <rFont val="Times New Roman"/>
        <family val="1"/>
      </rPr>
      <t xml:space="preserve">     </t>
    </r>
    <r>
      <rPr>
        <sz val="12"/>
        <color indexed="8"/>
        <rFont val="Arial"/>
        <family val="2"/>
      </rPr>
      <t>Entanglement in rotating parts including engine fans; pulleys; drive belts; gears; drive drums; rollers; and rotating shafts, including drill rods and steels</t>
    </r>
  </si>
  <si>
    <r>
      <t>3.</t>
    </r>
    <r>
      <rPr>
        <sz val="12"/>
        <color indexed="8"/>
        <rFont val="Times New Roman"/>
        <family val="1"/>
      </rPr>
      <t xml:space="preserve">      </t>
    </r>
    <r>
      <rPr>
        <sz val="12"/>
        <color indexed="8"/>
        <rFont val="Arial"/>
        <family val="2"/>
      </rPr>
      <t>Harm due to entrapment or obstruction should normal access be blocked by fire (including tire heating) or machine damage</t>
    </r>
  </si>
  <si>
    <r>
      <t>1.</t>
    </r>
    <r>
      <rPr>
        <sz val="12"/>
        <color indexed="8"/>
        <rFont val="Times New Roman"/>
        <family val="1"/>
      </rPr>
      <t xml:space="preserve">      </t>
    </r>
    <r>
      <rPr>
        <sz val="12"/>
        <color indexed="8"/>
        <rFont val="Arial"/>
        <family val="2"/>
      </rPr>
      <t>Injury during access to equipment and its routine service and inspection points, work platforms and operator workstation due to poor location of service and inspection points, lack of fall from height protection, slippery surfaces, accumulation of dirt or other material,  or poorly lit environment</t>
    </r>
  </si>
  <si>
    <r>
      <t>2.</t>
    </r>
    <r>
      <rPr>
        <sz val="12"/>
        <color indexed="8"/>
        <rFont val="Times New Roman"/>
        <family val="1"/>
      </rPr>
      <t xml:space="preserve">      </t>
    </r>
    <r>
      <rPr>
        <sz val="12"/>
        <color indexed="8"/>
        <rFont val="Arial"/>
        <family val="2"/>
      </rPr>
      <t xml:space="preserve">Sprains and strains during access to equipment due to the need to adopt ergonomically difficult body positions to negotiate the designed access point or system </t>
    </r>
  </si>
  <si>
    <t>4. Harm from noise levels that induce hearing loss, mental and/or physical fatigue for personnel in the workshop and other working environments due to maintenance activities associated with the equipment</t>
  </si>
  <si>
    <t>1. Musculoskeletal injury from exposure to the following risk factors or combinations thereof: 
       a. forceful exertion 
       b. awkward or static posture
       c. repetition or prolonged duration
       d. Hand arm &amp;/or whole body vibration [insert link to WBV DP]
(including carrying, lifting, reaching, pushing or pulling, grasping, manipulating, striking, throwing, or holding a load ) 
due to manual tasks associated with installing, operating and maintaining the equipment</t>
  </si>
  <si>
    <t>2. Crush injury occurring during operation and maintenance tasks due to poorly designed crush and pinch point locations</t>
  </si>
  <si>
    <t>3. Injury occurring during operation and maintenance tasks (eg. falling material, handling liquids, machine consumables and spillage) due to no/inadequate design for these activities</t>
  </si>
  <si>
    <t>4. Injury resulting from slips, trips and falls due to uneven work surfaces or platforms</t>
  </si>
  <si>
    <t>5. Injury due to inappropriate access and/or egress [insert link to Access &amp; Working at Heights DP]</t>
  </si>
  <si>
    <r>
      <t>7.</t>
    </r>
    <r>
      <rPr>
        <b/>
        <sz val="12"/>
        <color indexed="8"/>
        <rFont val="Times New Roman"/>
        <family val="1"/>
      </rPr>
      <t xml:space="preserve">      </t>
    </r>
    <r>
      <rPr>
        <sz val="12"/>
        <color indexed="8"/>
        <rFont val="Arial"/>
        <family val="2"/>
      </rPr>
      <t xml:space="preserve">Injury from collisions due to restricted operator vision from the cabin due to machine access and platform structures, and/or their location </t>
    </r>
  </si>
  <si>
    <t>DP 2.
Tires &amp; Rims</t>
  </si>
  <si>
    <t>DP 3.
Exposure to Harmful Energies</t>
  </si>
  <si>
    <t>DP 4.
Fire</t>
  </si>
  <si>
    <t>DP 5.
Machine Operation &amp; Controls</t>
  </si>
  <si>
    <t>6. Injury due to use of inappropriate tools for manual tasks associated with installing, operating and maintaining the equipment</t>
  </si>
  <si>
    <r>
      <t>4.</t>
    </r>
    <r>
      <rPr>
        <sz val="12"/>
        <color indexed="8"/>
        <rFont val="Times New Roman"/>
        <family val="1"/>
      </rPr>
      <t xml:space="preserve"> </t>
    </r>
    <r>
      <rPr>
        <sz val="12"/>
        <color indexed="8"/>
        <rFont val="Arial"/>
        <family val="2"/>
      </rPr>
      <t>Harm from entrapment in the cabin due to fire blocking emergency egress</t>
    </r>
  </si>
  <si>
    <r>
      <t>5.</t>
    </r>
    <r>
      <rPr>
        <sz val="12"/>
        <color indexed="8"/>
        <rFont val="Times New Roman"/>
        <family val="1"/>
      </rPr>
      <t xml:space="preserve"> </t>
    </r>
    <r>
      <rPr>
        <sz val="12"/>
        <color indexed="8"/>
        <rFont val="Arial"/>
        <family val="2"/>
      </rPr>
      <t>Harm from entry into hazard zones due to the location of isolation points</t>
    </r>
  </si>
  <si>
    <t xml:space="preserve">7. Entrapment due to lack of alternate route of egress in an emergency </t>
  </si>
  <si>
    <t>Caught between moving objects</t>
  </si>
  <si>
    <t>Struck by/contact with materials, substances or moving objects</t>
  </si>
  <si>
    <t>Task Type</t>
  </si>
  <si>
    <t>1. Harm from exposure to health hazards such as 
     a. extreme temperatures
     b. excessive vibration and noise levels
     c. respirable dust, DPM and other particulates within the operating workspace due to:
         I. Inadequate or no climate control
         II. Inadequate attenuation and restraint systems
         III. Open windows/doors
         IV. Inadequate window/door seals</t>
  </si>
  <si>
    <t xml:space="preserve">2. Injury due to failure of critical control systems, such as
        a. Electronic systems
        b. Computer systems
        c. Equipment controls
being damaged (bridging, abrasion, etc.) by respirable dust, DPM and/or other particulates entering these systems </t>
  </si>
  <si>
    <t>3. Harm from inadvertent exposure to health hazards, including
     a. respirable dust, DPM or particulate hazards
     b. fibres in brake and other lining materials 
     c. excessive levels of noise 
     d. excessive vibration 
due to operators not being aware of deterioration of equipment, such as uncaptured machine degradation, design limits or conditions</t>
  </si>
  <si>
    <t>DP
References
 click on reference number to move to DP source information</t>
  </si>
  <si>
    <t>DP 1.
Access &amp; Working at Heights</t>
  </si>
  <si>
    <t>11. Harm, including mental overload, from warnings and alarms being overlooked, ignored or not heard due to these:
      a. Not being seen/heard or understood
      b. Not being reliable or sufficiently sensitive
      c. Being over sensitive
      d. Not fully integrated or interlocked with other warning systems
      e. Being over-used,  tampered with or compromised in any way e.g. being turned off</t>
  </si>
  <si>
    <t>2. Injury due to workstation design &amp; external structures, including:
     a. Protruding structures
     b. Sharp edges
     c. Structures not adequately fixed to equipment
     d. Roll over protection structures (ROPS)
     e. Intrusion into the cab by other equipment, such as the tray of another haul truck</t>
  </si>
  <si>
    <t>5. Harm caused by distraction and/or impaired ability to hear audible warnings or alarms (e.g horns, directional reversing alarms) due to 
     a. excessive and/or high impact noise levels generated by equipment
     b. excessive levels of spectator noise penetrating the operator workspace</t>
  </si>
  <si>
    <t>6. Acute or cumulative musculoskeletal injury, adverse health effects to body organs and increased levels of fatigue from excessive levels of whole-body vibration, especially in conjunction with sustained and/or awkward postures, due to poor ergonomic design of equipment</t>
  </si>
  <si>
    <t xml:space="preserve">7.  Injury during handling of equipment components due to 
      a. excessive weight and/or 
      b. lack of suitable lifting points or hand holds combined with awkward positioning
</t>
  </si>
  <si>
    <t>7. Harm from loss of machine stability while operating, tramming, articulating or relocating due to 
     a. Inappropriate gear selection or over speed conditions on a grade
     b. Working outside limits of lifting capacity and operating radius
     c. Incorrect load placement or overloading, which may cause loss of steering control
     d. Failure of stability devices (eg.  outriggers)
     e. Failure to warn operator when design limits are being exceeded</t>
  </si>
  <si>
    <t>7.     Harm from pyrolysis / explosion of the tire and rim assembly due to e.g. improperly fitted tire/rim under correct inflation pressure</t>
  </si>
  <si>
    <t>9.     Harm due to tire or rim failure occurring because there is no provision for repair history or previous duty to be linked to individual tires and rims</t>
  </si>
  <si>
    <t>10. Harm due to tire operating condition becoming critical without the operator’s knowledge</t>
  </si>
  <si>
    <t>11. Musculoskeletal or crush injury caused by mounting and dismounting of spare tires from storage or carriers</t>
  </si>
  <si>
    <t>8. Harm due to 
    a. wheel nuts falling off
    b. stud failure due to over-torque
    c. failure to retorque some time after fitment</t>
  </si>
  <si>
    <t>8. Harm from incorrect use of equipment controls, incorrect/inaccurate calibration or ineffective maintenance due to poorly designed controls and displays, including:
     a. lack of understanding  or misunderstanding about function of the control or display
     b. counter-intuitive design and configuration
     c. inconsistency in display or function in comparison with other controls or displays (within vehicle)
     d. not appropriately considering simultaneous control operation
     e. ability for unintentional operation or selection 
     f. unexpected operating mode (mode errors)
     g. frequently used and/or safety critical controls not being located within the zone of reach
     h. insufficient clearance around controls and other workstation equipment</t>
  </si>
  <si>
    <t>9. Harm from misinterpretation of information due to displays or labels being:
     a. Illegible
     b. Incomprehensible
     c. Not visible
     d. Inappropriately located
     e. Not using universal symbols or standardized terminology
     f. Not durable</t>
  </si>
  <si>
    <t>10. Harm due to difficult access to communication systems, such as no two-way radio provision in cabin</t>
  </si>
  <si>
    <t>Fall from heights</t>
  </si>
  <si>
    <t>Asphyxiation from exposure to irrespirable atmosphere</t>
  </si>
  <si>
    <t>Harm from excessive heat</t>
  </si>
  <si>
    <t>Restricted movement</t>
  </si>
  <si>
    <t>Harm from fire/ chemical hazards</t>
  </si>
  <si>
    <t>Contact with hydraulic hoses or piping</t>
  </si>
  <si>
    <t>Entrapment due to blocked egress</t>
  </si>
  <si>
    <t>Rescue difficulties</t>
  </si>
  <si>
    <t>Uncontrolled release of pressure</t>
  </si>
  <si>
    <t>Struck by/ caught between during maintenance</t>
  </si>
  <si>
    <t>Exposure to peripheral vibration</t>
  </si>
  <si>
    <t>Assembly failure</t>
  </si>
  <si>
    <t>Rim or tire failure</t>
  </si>
  <si>
    <t>Pyrolysis/ explosion of tire &amp; rim assembly</t>
  </si>
  <si>
    <t xml:space="preserve">3. Injury or illness from physical and/or mental fatigue due to:
     a. Inadequate control of environmental conditions in the cab e.g. heat, cold, dust
     b. Inadequate illumination of cab and displays 
     c. Glare from reflective sources
     d. Whole-body and hand/arm vibration  </t>
  </si>
  <si>
    <t>4. Harm from impaired visibility (including distorted or degraded vision) or impaired awareness of hazards in a variety of operating conditions due to:
    a. inadequate lighting for headlights, tail, reversing, turn, brake, strobe, flashing lights, etc
    b. inadequately lit inspection areas
    c. lack of fit for purpose receptacles for light fittings that suit standard &amp; alternative lights
    d. devices (mirrors, cameras, windscreen wipers and washers etc) that are not fit for purpose</t>
  </si>
  <si>
    <t>5. Harm from restricted or impeded operator vision of the surrounding environment and for tool operation, due to:
     a. Cab layout, location of windows and external structures (catwalks, handrails, protective structures, line of site mirrors, etc.)
     b. Poorly located or designed internal attachments, such as screens, hardware, equipment displays, sun blinds, etc</t>
  </si>
  <si>
    <t>6. Harm from collisions due to persons and small vehicles being encouraged/forced, by the equipment design, to locate on the operator’s blind side</t>
  </si>
  <si>
    <t>Striking protrusion during access/egress</t>
  </si>
  <si>
    <t>Access systems restricting visibility</t>
  </si>
  <si>
    <t>Fire arising from damage to electrical cables, hydraulic hoses, fuel lines</t>
  </si>
  <si>
    <t>Heat generated by surface frictions</t>
  </si>
  <si>
    <t>Ignition of combustible materials</t>
  </si>
  <si>
    <t>Fire blocking emergency egress</t>
  </si>
  <si>
    <t>Isolation points located in fire hazard zones</t>
  </si>
  <si>
    <t>Accidental / delayed activation of FSS</t>
  </si>
  <si>
    <t>Struck by/ contact with FSS components</t>
  </si>
  <si>
    <t>Uncontrolled spread of fire</t>
  </si>
  <si>
    <t xml:space="preserve">Musculoskeletal injury from manual tasks risk factors </t>
  </si>
  <si>
    <t>Struck by protrusion into work space</t>
  </si>
  <si>
    <t>Harm from adverse environmental conditions</t>
  </si>
  <si>
    <t>1. Musculoskeletal injury or illness due to workstation design, including seat and seatbelt design, openings and cab height, that promotes biomechanically compromised postures for the 5th percentile female to 95th percentile male body dimensions including:
    a. Inappropriate or compromised head / neck posture due to restricted visibility and/or control and display positioning
    b. Inappropriate or compromised hand/wrist posture due to mechanism required to manipulate/grasp control
    c. Inappropriate or compromised shoulder and back posture due to extended reach to controls
    d. Excessive forces required to appropriately operate buttons, triggers, hand &amp; foot controls, levers and other devices
    e. Inappropriate or compromised posture due to lack of adjustability of seat, pedals, steering wheel / controls, monitors/displays
    f. Postures arising from  poor seat and belt design, resulting in improper operator utilization e.g.
         i. Inadequate lumbar support and adjustability
         ii. Inadequate reduction of exposure to whole-body vibration</t>
  </si>
  <si>
    <t>Failure of control systems</t>
  </si>
  <si>
    <t>Musculoskeletal injury due to exposure to manual tasks risk factors</t>
  </si>
  <si>
    <t>Caught between/ struck by moving parts or tools</t>
  </si>
  <si>
    <t>Struck by falling materials or liquids</t>
  </si>
  <si>
    <t>Harm due to respirable dust exposure</t>
  </si>
  <si>
    <t>Harm due to DPMs or other particulates exposure</t>
  </si>
  <si>
    <t>Harm due to noise exposure</t>
  </si>
  <si>
    <t>Musculoskeletal injury from exposure to manual tasks risk factors</t>
  </si>
  <si>
    <t>1. Harm due to uncontrolled release of pressure from the tire and rim assembly during operation and maintenance due to:
    a. Overly complicated rim assembly systems that drive unwanted behaviours such as
         i. Failure to remove pressure from tires
         ii. Failure to follow the correct procedure or sequence when attempting to maintain or remove them
     b. Inter-reliance of components</t>
  </si>
  <si>
    <t xml:space="preserve">
Task Description</t>
    <phoneticPr fontId="41" type="noConversion"/>
  </si>
  <si>
    <t>Oper</t>
  </si>
  <si>
    <t>Task</t>
    <phoneticPr fontId="41" type="noConversion"/>
  </si>
  <si>
    <t>Task Frequency</t>
    <phoneticPr fontId="41" type="noConversion"/>
  </si>
  <si>
    <t>Monthly</t>
    <phoneticPr fontId="41" type="noConversion"/>
  </si>
  <si>
    <t>Weekly</t>
    <phoneticPr fontId="41" type="noConversion"/>
  </si>
  <si>
    <t>2. Crush injury during maintenance activities due to:
     a. Physical size of the wheels
     b. Need to have people working inside the arms of tire manipulators
     c. Impractical and inaccessible jacking points</t>
  </si>
  <si>
    <t>3.     Strain and sprains during maintenance activities</t>
  </si>
  <si>
    <t>4.     Chronic health implications (e.g. musculoskeletal disorders (MSDs), white finger, hearing loss) from high frequency use of maintenance tooling</t>
  </si>
  <si>
    <t>5.     Harm due to abnormal rim condition that becomes evident only when the rim fastening system is released</t>
  </si>
  <si>
    <t>6.     Harm due to assembly failure from mismatched components on multiple component rim assemblies</t>
  </si>
  <si>
    <t>Fall from height</t>
  </si>
  <si>
    <t>Fall on same level</t>
  </si>
  <si>
    <t>Sprain/strain injury during maintenance</t>
  </si>
  <si>
    <t>Blocked access/ egress</t>
  </si>
  <si>
    <t>Falling materials</t>
  </si>
  <si>
    <t>Frequency</t>
    <phoneticPr fontId="41" type="noConversion"/>
  </si>
  <si>
    <t>Consequence</t>
    <phoneticPr fontId="41" type="noConversion"/>
  </si>
  <si>
    <t>Consequence</t>
    <phoneticPr fontId="41" type="noConversion"/>
  </si>
  <si>
    <t>Struck by / contact with hot surfaces</t>
  </si>
  <si>
    <t xml:space="preserve">Struck by/ contact  with electrical components </t>
  </si>
  <si>
    <t>Struck by/ contact with compressed air</t>
  </si>
  <si>
    <t>Struck by/ contact with high pressure fluids</t>
  </si>
  <si>
    <t>Struck by/ contact with/ caught between moving/ falling objects</t>
  </si>
  <si>
    <t xml:space="preserve">Exposure to radiation </t>
  </si>
  <si>
    <t>Residual energy in isolated systems</t>
  </si>
  <si>
    <t>Unintended or erroneous activation of operational controls</t>
  </si>
  <si>
    <t>Failure of components, hoses, pipes or fittings</t>
  </si>
  <si>
    <t>Minor – inconvenience
No/minor medical treatment</t>
    <phoneticPr fontId="41" type="noConversion"/>
  </si>
  <si>
    <t>Moderate – reversible injuries, Medical treatment 
1 person</t>
    <phoneticPr fontId="41" type="noConversion"/>
  </si>
  <si>
    <t>Serious – extensive injuries
Irreversible disability/impairment 1+ persons</t>
    <phoneticPr fontId="41" type="noConversion"/>
  </si>
  <si>
    <t>Severe – single fatality OR
Severe &amp; irreversible impairment
1+ persons</t>
    <phoneticPr fontId="41" type="noConversion"/>
  </si>
  <si>
    <t>Catastrophic – multiple fatalities</t>
    <phoneticPr fontId="41" type="noConversion"/>
  </si>
  <si>
    <t>Harm from whole-body vibration exposure</t>
  </si>
  <si>
    <t>Collisions due to restricted visibility</t>
  </si>
  <si>
    <t>Loss of machine stability</t>
  </si>
  <si>
    <t>Inadvertent/erroneous operation of controls</t>
  </si>
  <si>
    <t>Incorrect understanding of displays or labels</t>
  </si>
  <si>
    <t>Missed or ineffective communication</t>
  </si>
  <si>
    <t>Alarms being undetected, misunderstood or ignored</t>
  </si>
  <si>
    <t>Harm due to  extreme temperature exposure</t>
  </si>
  <si>
    <t>Fire</t>
    <phoneticPr fontId="41" type="noConversion"/>
  </si>
  <si>
    <t>Collisions</t>
    <phoneticPr fontId="41" type="noConversion"/>
  </si>
  <si>
    <t xml:space="preserve">Harm due to whole-body vibration exposure </t>
  </si>
  <si>
    <t>Harm due to peripheral vibration exposure</t>
  </si>
  <si>
    <t>Task Frequency</t>
    <phoneticPr fontId="41" type="noConversion"/>
  </si>
  <si>
    <t>Annually</t>
    <phoneticPr fontId="41" type="noConversion"/>
  </si>
  <si>
    <t>Semi Annually</t>
    <phoneticPr fontId="41" type="noConversion"/>
  </si>
  <si>
    <t>Monthly</t>
    <phoneticPr fontId="41" type="noConversion"/>
  </si>
  <si>
    <t>Weekly</t>
    <phoneticPr fontId="41" type="noConversion"/>
  </si>
  <si>
    <t>Daily</t>
    <phoneticPr fontId="41" type="noConversion"/>
  </si>
  <si>
    <t>Multiple per day</t>
    <phoneticPr fontId="41" type="noConversion"/>
  </si>
  <si>
    <t>Continual</t>
    <phoneticPr fontId="41" type="noConversion"/>
  </si>
  <si>
    <t xml:space="preserve">    Potential Unwanted Events</t>
  </si>
  <si>
    <t>Detailed Potential Unwanted Events (PUEs)</t>
  </si>
  <si>
    <t>EMESRT Design Philosophy (DP) Potential Unwanted Events</t>
  </si>
  <si>
    <t>Potential Unwanted Event</t>
  </si>
  <si>
    <t>Suggested Administrative Controls</t>
  </si>
  <si>
    <t>Fire</t>
  </si>
  <si>
    <t>Extreme temperature exposure</t>
  </si>
  <si>
    <t>Noise exposure</t>
  </si>
  <si>
    <t xml:space="preserve">Whole-body or peripheral vibration exposure </t>
  </si>
  <si>
    <t>Maximum Reasonable Consequence</t>
  </si>
  <si>
    <t>Task</t>
  </si>
  <si>
    <t xml:space="preserve">Evaluation of the design feature/s including reference to additional documentation / reports </t>
  </si>
  <si>
    <t>Equipment Details:</t>
  </si>
  <si>
    <t>Risk Assessment reference number:</t>
  </si>
  <si>
    <t>Design feature/s which control the risk of injury or illness</t>
  </si>
  <si>
    <t>Select</t>
  </si>
  <si>
    <r>
      <t xml:space="preserve">PRIORITY TASK IDENTIFICATION </t>
    </r>
    <r>
      <rPr>
        <b/>
        <sz val="18"/>
        <color rgb="FF0070C0"/>
        <rFont val="Helvetica"/>
      </rPr>
      <t>(for OEM records only)</t>
    </r>
  </si>
  <si>
    <t>Suggested administrative controls</t>
  </si>
  <si>
    <t>Risk assessment participants</t>
  </si>
  <si>
    <t>Risk assessment reference number:</t>
  </si>
  <si>
    <t>EMESRT Design Evaluation for Equipment Procurement (EDEEP)</t>
  </si>
  <si>
    <r>
      <rPr>
        <b/>
        <sz val="28"/>
        <color rgb="FF0070C0"/>
        <rFont val="Helvetica"/>
      </rPr>
      <t>EDEEP - Safe Design Information</t>
    </r>
    <r>
      <rPr>
        <b/>
        <sz val="26"/>
        <color rgb="FF0070C0"/>
        <rFont val="Helvetica"/>
      </rPr>
      <t xml:space="preserve"> </t>
    </r>
    <r>
      <rPr>
        <b/>
        <sz val="16"/>
        <color rgb="FF0070C0"/>
        <rFont val="Helvetica"/>
      </rPr>
      <t>(to be supplied to potential purchaser)</t>
    </r>
  </si>
  <si>
    <t/>
  </si>
  <si>
    <t>EMESRT DP</t>
  </si>
  <si>
    <t>Potential Unwanted Events</t>
  </si>
  <si>
    <t xml:space="preserve">Detailed Potential Unwanted Events (PUEs) </t>
  </si>
  <si>
    <t>Detailed Potential Unwanted Events  (PUEs)</t>
  </si>
  <si>
    <t xml:space="preserve">Potential Unwanted Events </t>
  </si>
  <si>
    <t>Document Control Information (eg., author, revision history)</t>
  </si>
  <si>
    <r>
      <t xml:space="preserve">OMAT Task-Based Risk Assessment </t>
    </r>
    <r>
      <rPr>
        <b/>
        <sz val="20"/>
        <color rgb="FF0070C0"/>
        <rFont val="Helvetica"/>
      </rPr>
      <t>(for OEM records only)</t>
    </r>
  </si>
  <si>
    <t>Egress blocked during emergency</t>
  </si>
  <si>
    <r>
      <t xml:space="preserve">Wheel assembly, </t>
    </r>
    <r>
      <rPr>
        <b/>
        <sz val="11"/>
        <rFont val="Calibri"/>
        <family val="2"/>
        <scheme val="minor"/>
      </rPr>
      <t>Rim or tire failure</t>
    </r>
    <r>
      <rPr>
        <b/>
        <sz val="11"/>
        <rFont val="Calibri"/>
        <family val="2"/>
      </rPr>
      <t>, explosion</t>
    </r>
    <r>
      <rPr>
        <b/>
        <sz val="11"/>
        <rFont val="Calibri"/>
        <family val="2"/>
        <scheme val="minor"/>
      </rPr>
      <t xml:space="preserve">
</t>
    </r>
  </si>
  <si>
    <t>Wheel assembly, rim or tire failure</t>
  </si>
  <si>
    <t>Exposure to hazardous manual tasks</t>
  </si>
  <si>
    <t>Exposure to irrespirable atmosphere in confined space</t>
  </si>
  <si>
    <t>Failure of control system</t>
  </si>
  <si>
    <t xml:space="preserve">Exposure to DPMs or other particulates </t>
  </si>
  <si>
    <t>Respirable dust exposure</t>
  </si>
  <si>
    <t>Inadvertent or erroneous operation of a control</t>
  </si>
  <si>
    <t>Incorrect understanding of display or label</t>
  </si>
  <si>
    <t>Failure to respond to an alarm</t>
  </si>
  <si>
    <t>Collision</t>
  </si>
  <si>
    <t>Inadvertent or erroneous operation of controls</t>
  </si>
  <si>
    <t>Incorrect understanding of a display or label</t>
  </si>
  <si>
    <t>Exposure to DPM or other particulates</t>
  </si>
  <si>
    <t>Shiftly</t>
  </si>
  <si>
    <t>Many times per shift</t>
  </si>
  <si>
    <t>Quarterly</t>
  </si>
  <si>
    <t>Annually</t>
  </si>
  <si>
    <t>Roof Bolting</t>
  </si>
  <si>
    <t>Rib Bolting</t>
  </si>
  <si>
    <t>Break away</t>
  </si>
  <si>
    <t>Tramming</t>
  </si>
  <si>
    <t>Equipment details</t>
  </si>
  <si>
    <t>Pre-start inspection</t>
  </si>
  <si>
    <t>Changing picks</t>
  </si>
  <si>
    <t>Filling oil</t>
  </si>
  <si>
    <t>Cutting &amp; loading</t>
  </si>
  <si>
    <t>etc</t>
  </si>
  <si>
    <t>Monthly inspections</t>
  </si>
  <si>
    <t>Minor – No treatment or first aid only</t>
  </si>
  <si>
    <t>Medium - Medical treatment, no lost time</t>
  </si>
  <si>
    <t xml:space="preserve">Serious – Lost time injury
</t>
  </si>
  <si>
    <t>Severe – Single fatality or severe irreversible injury / illness</t>
  </si>
  <si>
    <t>Catastrophic – Multiple fatalities or severe irreversible injuries</t>
  </si>
  <si>
    <t>Name of Task:  Roof Bolting</t>
  </si>
  <si>
    <t>Access platform</t>
  </si>
  <si>
    <t>Walk along platform to bolting workstation</t>
  </si>
  <si>
    <t>Place drill steel in chuck</t>
  </si>
  <si>
    <t>Place roof mesh into position</t>
  </si>
  <si>
    <t>Remove drill steel</t>
  </si>
  <si>
    <t>Place bolt in chuck</t>
  </si>
  <si>
    <t>Operate controls to raise bolt to roof</t>
  </si>
  <si>
    <t>Place resin in drill hole and raise bolt using controls</t>
  </si>
  <si>
    <t>ID#</t>
  </si>
  <si>
    <t>Hazardous Manual Tasks</t>
  </si>
  <si>
    <t>Main</t>
  </si>
  <si>
    <t>Fall on level</t>
  </si>
  <si>
    <t>Serious</t>
  </si>
  <si>
    <t>Almost Certain</t>
  </si>
  <si>
    <t>Rare</t>
  </si>
  <si>
    <t>Operate controls to raise timber jack, drill into roof, lower chuck</t>
  </si>
  <si>
    <t>Operate controls to bolt, lower chuck</t>
  </si>
  <si>
    <t>Manual Tasks</t>
  </si>
  <si>
    <t>Access</t>
  </si>
  <si>
    <t>Machine operation and controls</t>
  </si>
  <si>
    <t>Retrieve bolt, plate and chemicals</t>
  </si>
  <si>
    <t>Provision of storage pod allowing bolts and plates and other supplies to be accessed without requring awkward postures.</t>
  </si>
  <si>
    <t xml:space="preserve">Ensure supply pod is loaded onto CM via LHD. </t>
  </si>
  <si>
    <t>Would be eliminated by automated bolting.</t>
  </si>
  <si>
    <t>Platform is single level and sufficiently wide to allow miners wearing self-rescuer and battery to walk without turning sideways. Storage locations are provided for dril steels, chemicals, plates etc which do not impinge on the walkway  and reduce the risk of tripping hazards. Platform handrails are provided.</t>
  </si>
  <si>
    <t>Consider task rotation</t>
  </si>
  <si>
    <t>Consider task rotation.</t>
  </si>
  <si>
    <t>Ensure good house keeping.</t>
  </si>
  <si>
    <t>Provision of a height adjustable platform would allow the reach distance to be minimised regardless of cutting height. Would be eliminated by automated bolting (and  automated mesh placement) or use of a spray on polymer to provide skin protection.</t>
  </si>
  <si>
    <t>A mesh carrier is provided which allows a mesh to be loaded via LHD and brought forward to the bolting rigs without manual handling. A step is provided to allow bolters to reach roof mesh.</t>
  </si>
  <si>
    <t>1 - retrieve bolting materials</t>
  </si>
  <si>
    <t xml:space="preserve"> 2 - walk along platform</t>
  </si>
  <si>
    <t>3, 6, 7 - handle drill steel and bolts</t>
  </si>
  <si>
    <t>4 - place mesh in position</t>
  </si>
  <si>
    <t>5, 8, 9, 10 - operate bolting controls</t>
  </si>
  <si>
    <t>Hazardous manual tasks</t>
  </si>
  <si>
    <t>Inadvertant or erroneous control operation</t>
  </si>
  <si>
    <t xml:space="preserve">Training and supervision to ensure two-handed control is not defeated. </t>
  </si>
  <si>
    <t>Guarding is provided to prevent inadvertent operation from falling materials. Controls are shape coded and in consistent loactions to reduce selection errors. Directional control-response relationships are compatible.</t>
  </si>
  <si>
    <t xml:space="preserve">Training and objective assessment of operator competency. </t>
  </si>
  <si>
    <t>Control layout and design allows operation without exposure to awkward postures or forceful exertions.</t>
  </si>
  <si>
    <t>Ensure different shape handles cannot be swapped during maintenance. Would be eliminated by automated bolting.</t>
  </si>
  <si>
    <t xml:space="preserve">Task Process Map Reference: </t>
  </si>
  <si>
    <t>Roof bolting</t>
  </si>
  <si>
    <t>Inadvertent or erroneous operation</t>
  </si>
  <si>
    <t>Harmful energies</t>
  </si>
  <si>
    <t>Manual tasks</t>
  </si>
  <si>
    <t>Access &amp; WAH</t>
  </si>
  <si>
    <t>Task  #</t>
  </si>
  <si>
    <t>Equipment Details: Worked example - Integrated Bolter Miner</t>
  </si>
  <si>
    <t>Customers should ensure that the bolting supply pod is loaded on to the CM via LHD, and should consider task rotation.  Training in the correct use of the platform height adjustment is required.</t>
  </si>
  <si>
    <t>Drill rigs are oriented to place drill head close to platform. Platform space adjacent to bolting rigs is ample to allow miner wearing self-rescuer and battery to get as close as possible to drill head, reducing reach distance to 0.5m.</t>
  </si>
  <si>
    <t>Training and Supervision to ensure that two-handed operation is not defeated.</t>
  </si>
  <si>
    <t xml:space="preserve">Training, and an objective assessment of operator competency, is recommended prior to operator certification. </t>
  </si>
  <si>
    <t>Struck by materials / Caught between moving objects</t>
  </si>
  <si>
    <t>Two handed control operation is required for fast feed operations. Hydraulic hosing in the operator workstation is behind covers or otherwise protected.</t>
  </si>
  <si>
    <r>
      <rPr>
        <sz val="14"/>
        <color indexed="8"/>
        <rFont val="Arial"/>
        <family val="2"/>
      </rPr>
      <t xml:space="preserve">Guarding is provided to prevent inadvertent operation from falling materials. </t>
    </r>
    <r>
      <rPr>
        <sz val="14"/>
        <color indexed="8"/>
        <rFont val="Arial"/>
        <family val="2"/>
      </rPr>
      <t>Controls are shape coded and in consistent locations to reduce selection errors.</t>
    </r>
    <r>
      <rPr>
        <b/>
        <sz val="14"/>
        <color indexed="8"/>
        <rFont val="Arial"/>
        <family val="2"/>
      </rPr>
      <t xml:space="preserve"> </t>
    </r>
    <r>
      <rPr>
        <sz val="14"/>
        <color indexed="8"/>
        <rFont val="Arial"/>
        <family val="2"/>
      </rPr>
      <t>The controls cannot be interchanged during maintenance. Directional control-response relationships are compatible.</t>
    </r>
  </si>
  <si>
    <r>
      <rPr>
        <sz val="14"/>
        <color indexed="8"/>
        <rFont val="Arial"/>
        <family val="2"/>
      </rPr>
      <t xml:space="preserve">Two handed control operation is required for fast feed operations. </t>
    </r>
    <r>
      <rPr>
        <sz val="14"/>
        <color indexed="8"/>
        <rFont val="Arial"/>
        <family val="2"/>
      </rPr>
      <t>Hydraulic hosing in the operator workstation is behind covers or otherwise protected.</t>
    </r>
  </si>
  <si>
    <r>
      <rPr>
        <sz val="14"/>
        <color indexed="8"/>
        <rFont val="Arial"/>
        <family val="2"/>
      </rPr>
      <t xml:space="preserve">Provision of a storage pod allowing bolts and plates and other supplies to be accessed without requring awkward postures. </t>
    </r>
    <r>
      <rPr>
        <sz val="14"/>
        <color indexed="8"/>
        <rFont val="Arial"/>
        <family val="2"/>
      </rPr>
      <t xml:space="preserve">Drill rigs are oriented to place drill head close to platform. </t>
    </r>
    <r>
      <rPr>
        <sz val="14"/>
        <color indexed="8"/>
        <rFont val="Arial"/>
        <family val="2"/>
      </rPr>
      <t xml:space="preserve">Platform space adjacent to bolting rigs is ample to allow miner wearing self-rescuer and battery to get as close as possible to drill head, reducing reach distance to 0.5m. </t>
    </r>
    <r>
      <rPr>
        <sz val="14"/>
        <color indexed="8"/>
        <rFont val="Arial"/>
        <family val="2"/>
      </rPr>
      <t xml:space="preserve">A mesh carrier is provided which allows a mesh to be loaded via LHD and brought forward to the bolting rigs without manual handling. </t>
    </r>
    <r>
      <rPr>
        <sz val="14"/>
        <color indexed="8"/>
        <rFont val="Arial"/>
        <family val="2"/>
      </rPr>
      <t xml:space="preserve"> An adjustable height platform is provided to minimise awkward postures associated with reaching roof mesh. </t>
    </r>
    <r>
      <rPr>
        <sz val="14"/>
        <color indexed="8"/>
        <rFont val="Arial"/>
        <family val="2"/>
      </rPr>
      <t>Control layout and design allows operation without exposure to awkward postures or forceful exertions.</t>
    </r>
  </si>
  <si>
    <t xml:space="preserve">Engineering control prevents the operator from having a hand in a hazardous zone during fast-feed operations. The design meets the requirements of MDG 35.1 and MDG 41(see audits in Attachment D and E respectively). </t>
  </si>
  <si>
    <t xml:space="preserve">Training and supervision to ensure the platform is maintained clear of materials. </t>
  </si>
  <si>
    <t>Platform is single level and sufficiently wide to allow miners wearing self-rescuer and battery to walk without turning sideways. Storage locations are provided for dril steels, chemicals, plates etc which do not impinge on the walkway  and reduce the risk of tripping hazards. Platform lighting and handrails are provided.</t>
  </si>
  <si>
    <t>See Attachment A for platform dimensions with respect to maximum likely operator size. Attachment A also provides photographs illustrating the location of bolting supply storage and handrails provided. A lighting survey is provided in Attachment G. These design features reduce the risk of falling on the platform ALARP.</t>
  </si>
  <si>
    <t xml:space="preserve">Attachment A provides general arrangement drawings which illustrates the space available on the platform and at the bolting workstation in relationship to the dimension of a large male wearing self-rescuer and cap lamp battery. The attached manual tasks risk evaluation (Attachment B) provides a detailed analysis of the manual tasks risks conducted by an independent ergonomist which concludes that while a risk of musculoskeletal injury remains as a consequence of the manual bolting process, the engineering controls employed reduce the risk of manual tasks related injuries ALARP. An assessment of the layout of bolting controls as required by MDG35.1 is provided (Attachment C). </t>
  </si>
  <si>
    <t>An evaluation of the Human Machine Interface conducted by an independent ergonomist (Attachment F) concludes that while the risk of of inadvertent or erroneous operation remains, it has been reduced to ALARP.</t>
  </si>
  <si>
    <t>Assessment reference number: Worked Example - Integrated Bolter Miner</t>
  </si>
  <si>
    <t>No.</t>
  </si>
  <si>
    <t xml:space="preserve">Team: </t>
  </si>
  <si>
    <t>Task Steps (from process map)</t>
  </si>
  <si>
    <t>Total inherent risk score</t>
  </si>
  <si>
    <t>Control Evaluation</t>
  </si>
  <si>
    <t>Platform lighting would reduce the risk further, requires careful placement to ensure no glare in operator's eyes. Lighting survey required.</t>
  </si>
  <si>
    <t>Passive engineering control which reduces risk of tripping. Assess via general arrangement drawing with respect to large male with rescuer &amp; battery.</t>
  </si>
  <si>
    <t>Engineering control prevents the operator from having a hand in a hazardous zone during fast-feed operations. Operator is isolated from hydraulic fluid as far as possible. Audit with respect to MDG35.1 &amp; MDG41</t>
  </si>
  <si>
    <t>Passive engineering control which reduces manual tasks risks ALARP. MDG35.1 requires assessment of reach distances etc.</t>
  </si>
  <si>
    <t>Engineering control will reduce but not eliminate probability of unwanted event. Shape coded controls could be swapped during maintenance. Requires ergonomist to assess HMI.</t>
  </si>
  <si>
    <t>Passive engineering control which reduces exposure to awkward postures. Task still requires repeated manual handling - manual task risk evaluation required.</t>
  </si>
  <si>
    <t>Passive engineering control which reduces reach distances, and thus shoulder load during these tasks steps. The task still requires repeated manual handling - manual tasks risk evaluation required.</t>
  </si>
  <si>
    <t>The engineering control allows bolters the option of reducing the awkward posture required to reach roof mesh, however it creates a slip/trip hazard. manual tasks risk evaluation required.</t>
  </si>
  <si>
    <t>Moderate</t>
  </si>
  <si>
    <t>Critical</t>
  </si>
  <si>
    <t>The information below summarises the outcomes of a task based risk assessment involving experienced mining company-based operational and maintenance staff</t>
  </si>
  <si>
    <t>Worked Example - Underground Coal Integrated Bolter Miner</t>
  </si>
  <si>
    <t>Facilitator:</t>
  </si>
</sst>
</file>

<file path=xl/styles.xml><?xml version="1.0" encoding="utf-8"?>
<styleSheet xmlns="http://schemas.openxmlformats.org/spreadsheetml/2006/main" xmlns:mc="http://schemas.openxmlformats.org/markup-compatibility/2006" xmlns:x14ac="http://schemas.microsoft.com/office/spreadsheetml/2009/9/ac" mc:Ignorable="x14ac">
  <fonts count="68" x14ac:knownFonts="1">
    <font>
      <sz val="11"/>
      <color theme="1"/>
      <name val="Calibri"/>
      <family val="2"/>
      <scheme val="minor"/>
    </font>
    <font>
      <b/>
      <sz val="12"/>
      <color indexed="9"/>
      <name val="Arial"/>
      <family val="2"/>
    </font>
    <font>
      <b/>
      <sz val="12"/>
      <name val="Arial"/>
      <family val="2"/>
    </font>
    <font>
      <b/>
      <sz val="12"/>
      <color indexed="8"/>
      <name val="Arial"/>
      <family val="2"/>
    </font>
    <font>
      <b/>
      <sz val="11"/>
      <color theme="1"/>
      <name val="Calibri"/>
      <family val="2"/>
      <scheme val="minor"/>
    </font>
    <font>
      <sz val="12"/>
      <color indexed="8"/>
      <name val="Times New Roman"/>
      <family val="1"/>
    </font>
    <font>
      <sz val="12"/>
      <color indexed="8"/>
      <name val="Arial"/>
      <family val="2"/>
    </font>
    <font>
      <b/>
      <sz val="10"/>
      <color indexed="9"/>
      <name val="Arial"/>
      <family val="2"/>
    </font>
    <font>
      <sz val="10"/>
      <color theme="1"/>
      <name val="Calibri"/>
      <family val="2"/>
      <scheme val="minor"/>
    </font>
    <font>
      <b/>
      <sz val="11"/>
      <name val="Calibri"/>
      <family val="2"/>
      <scheme val="minor"/>
    </font>
    <font>
      <u/>
      <sz val="11"/>
      <color indexed="12"/>
      <name val="Calibri"/>
      <family val="2"/>
    </font>
    <font>
      <sz val="11"/>
      <color indexed="12"/>
      <name val="Calibri"/>
      <family val="2"/>
    </font>
    <font>
      <sz val="11"/>
      <color indexed="8"/>
      <name val="Helvetica"/>
    </font>
    <font>
      <b/>
      <sz val="16"/>
      <color theme="0"/>
      <name val="Calibri"/>
      <family val="2"/>
      <scheme val="minor"/>
    </font>
    <font>
      <b/>
      <sz val="16"/>
      <color theme="1"/>
      <name val="Calibri"/>
      <family val="2"/>
      <scheme val="minor"/>
    </font>
    <font>
      <sz val="16"/>
      <color indexed="8"/>
      <name val="Helvetica"/>
    </font>
    <font>
      <sz val="16"/>
      <color indexed="8"/>
      <name val="Arial"/>
      <family val="2"/>
    </font>
    <font>
      <b/>
      <sz val="16"/>
      <color indexed="8"/>
      <name val="Helvetica"/>
    </font>
    <font>
      <sz val="18"/>
      <color indexed="8"/>
      <name val="Arial"/>
    </font>
    <font>
      <sz val="12"/>
      <color theme="1"/>
      <name val="Calibri"/>
      <family val="2"/>
      <scheme val="minor"/>
    </font>
    <font>
      <b/>
      <sz val="12"/>
      <color theme="1"/>
      <name val="Calibri"/>
      <family val="2"/>
      <scheme val="minor"/>
    </font>
    <font>
      <b/>
      <sz val="14"/>
      <color theme="1"/>
      <name val="Calibri"/>
      <family val="2"/>
      <scheme val="minor"/>
    </font>
    <font>
      <sz val="11"/>
      <color indexed="8"/>
      <name val="Calibri"/>
      <family val="2"/>
    </font>
    <font>
      <sz val="11"/>
      <color indexed="8"/>
      <name val="Calibri"/>
      <family val="2"/>
    </font>
    <font>
      <b/>
      <sz val="12"/>
      <color indexed="8"/>
      <name val="Calibri"/>
      <family val="2"/>
    </font>
    <font>
      <b/>
      <sz val="28"/>
      <color rgb="FFFF0000"/>
      <name val="Calibri"/>
      <family val="2"/>
      <scheme val="minor"/>
    </font>
    <font>
      <b/>
      <sz val="24"/>
      <color rgb="FF0070C0"/>
      <name val="Helvetica"/>
    </font>
    <font>
      <b/>
      <sz val="16"/>
      <color indexed="9"/>
      <name val="Arial"/>
      <family val="2"/>
    </font>
    <font>
      <sz val="16"/>
      <color theme="1"/>
      <name val="Calibri"/>
      <family val="2"/>
      <scheme val="minor"/>
    </font>
    <font>
      <sz val="14"/>
      <color indexed="8"/>
      <name val="Arial"/>
      <family val="2"/>
    </font>
    <font>
      <b/>
      <sz val="14"/>
      <color indexed="8"/>
      <name val="Arial"/>
      <family val="2"/>
    </font>
    <font>
      <b/>
      <sz val="14"/>
      <color indexed="8"/>
      <name val="Times New Roman"/>
      <family val="1"/>
    </font>
    <font>
      <b/>
      <sz val="12"/>
      <color indexed="8"/>
      <name val="Times New Roman"/>
      <family val="1"/>
    </font>
    <font>
      <sz val="14"/>
      <color rgb="FF1F497D"/>
      <name val="Arial"/>
      <family val="2"/>
    </font>
    <font>
      <sz val="14"/>
      <color indexed="8"/>
      <name val="Arial"/>
      <family val="2"/>
    </font>
    <font>
      <b/>
      <sz val="14"/>
      <color rgb="FF1F497D"/>
      <name val="Arial"/>
      <family val="2"/>
    </font>
    <font>
      <b/>
      <sz val="14"/>
      <color indexed="8"/>
      <name val="Arial"/>
      <family val="2"/>
    </font>
    <font>
      <b/>
      <sz val="14"/>
      <color rgb="FF7030A0"/>
      <name val="Arial"/>
      <family val="2"/>
    </font>
    <font>
      <b/>
      <sz val="14"/>
      <name val="Arial"/>
      <family val="2"/>
    </font>
    <font>
      <b/>
      <sz val="14"/>
      <name val="Times New Roman"/>
      <family val="1"/>
    </font>
    <font>
      <b/>
      <sz val="14"/>
      <name val="Calibri"/>
      <family val="2"/>
    </font>
    <font>
      <sz val="8"/>
      <name val="Verdana"/>
    </font>
    <font>
      <b/>
      <sz val="11"/>
      <color indexed="8"/>
      <name val="Calibri"/>
      <family val="2"/>
    </font>
    <font>
      <b/>
      <sz val="16"/>
      <color indexed="8"/>
      <name val="Calibri"/>
      <family val="2"/>
    </font>
    <font>
      <b/>
      <sz val="16"/>
      <name val="Calibri"/>
    </font>
    <font>
      <sz val="11"/>
      <name val="Calibri"/>
      <family val="2"/>
    </font>
    <font>
      <b/>
      <sz val="12"/>
      <name val="Calibri"/>
      <family val="2"/>
    </font>
    <font>
      <u/>
      <sz val="11"/>
      <name val="Calibri"/>
      <family val="2"/>
    </font>
    <font>
      <b/>
      <sz val="11"/>
      <name val="Calibri"/>
      <family val="2"/>
    </font>
    <font>
      <b/>
      <sz val="14"/>
      <color indexed="8"/>
      <name val="Calibri"/>
      <family val="2"/>
    </font>
    <font>
      <b/>
      <sz val="18"/>
      <color indexed="30"/>
      <name val="Helvetica"/>
    </font>
    <font>
      <sz val="14"/>
      <color theme="1"/>
      <name val="Calibri"/>
      <scheme val="minor"/>
    </font>
    <font>
      <b/>
      <sz val="16"/>
      <name val="Arial"/>
      <family val="2"/>
    </font>
    <font>
      <b/>
      <sz val="26"/>
      <color rgb="FF0070C0"/>
      <name val="Helvetica"/>
    </font>
    <font>
      <u/>
      <sz val="11"/>
      <color theme="11"/>
      <name val="Calibri"/>
      <family val="2"/>
      <scheme val="minor"/>
    </font>
    <font>
      <sz val="14"/>
      <color rgb="FF000000"/>
      <name val="Arial"/>
      <family val="2"/>
    </font>
    <font>
      <sz val="12"/>
      <color rgb="FF9C6500"/>
      <name val="Calibri"/>
      <family val="2"/>
      <scheme val="minor"/>
    </font>
    <font>
      <b/>
      <sz val="20"/>
      <color rgb="FF0070C0"/>
      <name val="Helvetica"/>
    </font>
    <font>
      <b/>
      <sz val="18"/>
      <color rgb="FF0070C0"/>
      <name val="Helvetica"/>
    </font>
    <font>
      <b/>
      <sz val="16"/>
      <color rgb="FF0070C0"/>
      <name val="Helvetica"/>
    </font>
    <font>
      <b/>
      <sz val="28"/>
      <color rgb="FF0070C0"/>
      <name val="Helvetica"/>
    </font>
    <font>
      <sz val="18"/>
      <color theme="1"/>
      <name val="Calibri"/>
      <scheme val="minor"/>
    </font>
    <font>
      <b/>
      <sz val="18"/>
      <color theme="1"/>
      <name val="Calibri"/>
      <scheme val="minor"/>
    </font>
    <font>
      <sz val="20"/>
      <color theme="1"/>
      <name val="Calibri"/>
      <scheme val="minor"/>
    </font>
    <font>
      <b/>
      <sz val="20"/>
      <color theme="1"/>
      <name val="Calibri"/>
      <family val="2"/>
      <scheme val="minor"/>
    </font>
    <font>
      <sz val="20"/>
      <color indexed="8"/>
      <name val="Helvetica"/>
    </font>
    <font>
      <u/>
      <sz val="16"/>
      <name val="Calibri"/>
    </font>
    <font>
      <sz val="20"/>
      <color rgb="FF000090"/>
      <name val="Calibri"/>
      <scheme val="minor"/>
    </font>
  </fonts>
  <fills count="44">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indexed="45"/>
        <bgColor indexed="64"/>
      </patternFill>
    </fill>
    <fill>
      <patternFill patternType="solid">
        <fgColor indexed="47"/>
        <bgColor indexed="64"/>
      </patternFill>
    </fill>
    <fill>
      <patternFill patternType="solid">
        <fgColor indexed="43"/>
        <bgColor indexed="64"/>
      </patternFill>
    </fill>
    <fill>
      <patternFill patternType="solid">
        <fgColor indexed="60"/>
        <bgColor indexed="64"/>
      </patternFill>
    </fill>
    <fill>
      <patternFill patternType="solid">
        <fgColor indexed="57"/>
        <bgColor indexed="64"/>
      </patternFill>
    </fill>
    <fill>
      <patternFill patternType="solid">
        <fgColor indexed="22"/>
        <bgColor indexed="64"/>
      </patternFill>
    </fill>
    <fill>
      <patternFill patternType="solid">
        <fgColor indexed="16"/>
        <bgColor indexed="64"/>
      </patternFill>
    </fill>
    <fill>
      <patternFill patternType="solid">
        <fgColor indexed="53"/>
        <bgColor indexed="64"/>
      </patternFill>
    </fill>
    <fill>
      <patternFill patternType="solid">
        <fgColor indexed="19"/>
        <bgColor indexed="64"/>
      </patternFill>
    </fill>
    <fill>
      <patternFill patternType="solid">
        <fgColor indexed="17"/>
        <bgColor indexed="64"/>
      </patternFill>
    </fill>
    <fill>
      <patternFill patternType="solid">
        <fgColor indexed="21"/>
        <bgColor indexed="64"/>
      </patternFill>
    </fill>
    <fill>
      <patternFill patternType="solid">
        <fgColor indexed="12"/>
        <bgColor indexed="64"/>
      </patternFill>
    </fill>
    <fill>
      <patternFill patternType="solid">
        <fgColor indexed="54"/>
        <bgColor indexed="64"/>
      </patternFill>
    </fill>
    <fill>
      <patternFill patternType="solid">
        <fgColor indexed="23"/>
        <bgColor indexed="64"/>
      </patternFill>
    </fill>
    <fill>
      <patternFill patternType="solid">
        <fgColor indexed="10"/>
        <bgColor indexed="64"/>
      </patternFill>
    </fill>
    <fill>
      <patternFill patternType="solid">
        <fgColor indexed="52"/>
        <bgColor indexed="64"/>
      </patternFill>
    </fill>
    <fill>
      <patternFill patternType="solid">
        <fgColor indexed="50"/>
        <bgColor indexed="64"/>
      </patternFill>
    </fill>
    <fill>
      <patternFill patternType="solid">
        <fgColor indexed="49"/>
        <bgColor indexed="64"/>
      </patternFill>
    </fill>
    <fill>
      <patternFill patternType="solid">
        <fgColor indexed="48"/>
        <bgColor indexed="64"/>
      </patternFill>
    </fill>
    <fill>
      <patternFill patternType="solid">
        <fgColor indexed="20"/>
        <bgColor indexed="64"/>
      </patternFill>
    </fill>
    <fill>
      <patternFill patternType="solid">
        <fgColor indexed="55"/>
        <bgColor indexed="64"/>
      </patternFill>
    </fill>
    <fill>
      <patternFill patternType="solid">
        <fgColor indexed="14"/>
        <bgColor indexed="64"/>
      </patternFill>
    </fill>
    <fill>
      <patternFill patternType="solid">
        <fgColor indexed="51"/>
        <bgColor indexed="64"/>
      </patternFill>
    </fill>
    <fill>
      <patternFill patternType="solid">
        <fgColor indexed="13"/>
        <bgColor indexed="64"/>
      </patternFill>
    </fill>
    <fill>
      <patternFill patternType="solid">
        <fgColor indexed="11"/>
        <bgColor indexed="64"/>
      </patternFill>
    </fill>
    <fill>
      <patternFill patternType="solid">
        <fgColor indexed="15"/>
        <bgColor indexed="64"/>
      </patternFill>
    </fill>
    <fill>
      <patternFill patternType="solid">
        <fgColor indexed="40"/>
        <bgColor indexed="64"/>
      </patternFill>
    </fill>
    <fill>
      <patternFill patternType="solid">
        <fgColor indexed="61"/>
        <bgColor indexed="64"/>
      </patternFill>
    </fill>
    <fill>
      <patternFill patternType="solid">
        <fgColor indexed="41"/>
        <bgColor indexed="64"/>
      </patternFill>
    </fill>
    <fill>
      <patternFill patternType="solid">
        <fgColor indexed="42"/>
        <bgColor indexed="64"/>
      </patternFill>
    </fill>
    <fill>
      <patternFill patternType="solid">
        <fgColor indexed="44"/>
        <bgColor indexed="64"/>
      </patternFill>
    </fill>
    <fill>
      <patternFill patternType="solid">
        <fgColor indexed="46"/>
        <bgColor indexed="64"/>
      </patternFill>
    </fill>
    <fill>
      <patternFill patternType="solid">
        <fgColor indexed="31"/>
        <bgColor indexed="64"/>
      </patternFill>
    </fill>
    <fill>
      <patternFill patternType="solid">
        <fgColor rgb="FFFFFFFE"/>
        <bgColor rgb="FF000000"/>
      </patternFill>
    </fill>
    <fill>
      <patternFill patternType="solid">
        <fgColor rgb="FFFFEB9C"/>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4" tint="0.59999389629810485"/>
        <bgColor indexed="64"/>
      </patternFill>
    </fill>
  </fills>
  <borders count="2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auto="1"/>
      </bottom>
      <diagonal/>
    </border>
    <border>
      <left/>
      <right style="thin">
        <color auto="1"/>
      </right>
      <top style="medium">
        <color auto="1"/>
      </top>
      <bottom/>
      <diagonal/>
    </border>
    <border>
      <left/>
      <right style="thin">
        <color auto="1"/>
      </right>
      <top style="thin">
        <color auto="1"/>
      </top>
      <bottom/>
      <diagonal/>
    </border>
  </borders>
  <cellStyleXfs count="58">
    <xf numFmtId="0" fontId="0" fillId="0" borderId="0"/>
    <xf numFmtId="0" fontId="10" fillId="0" borderId="0" applyNumberFormat="0" applyFill="0" applyBorder="0" applyAlignment="0" applyProtection="0">
      <alignment vertical="top"/>
      <protection locked="0"/>
    </xf>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6" fillId="38" borderId="0" applyNumberFormat="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cellStyleXfs>
  <cellXfs count="234">
    <xf numFmtId="0" fontId="0" fillId="0" borderId="0" xfId="0"/>
    <xf numFmtId="0" fontId="2" fillId="0" borderId="0" xfId="0" applyFont="1" applyFill="1" applyBorder="1" applyAlignment="1">
      <alignment vertical="top" wrapText="1"/>
    </xf>
    <xf numFmtId="0" fontId="0" fillId="0" borderId="0" xfId="0" applyBorder="1"/>
    <xf numFmtId="0" fontId="6" fillId="0" borderId="0" xfId="0" applyFont="1"/>
    <xf numFmtId="0" fontId="6" fillId="0" borderId="4" xfId="0" applyFont="1" applyBorder="1" applyAlignment="1">
      <alignment horizontal="left" vertical="top" wrapText="1" indent="2"/>
    </xf>
    <xf numFmtId="0" fontId="8" fillId="0" borderId="0" xfId="0" applyFont="1"/>
    <xf numFmtId="0" fontId="2" fillId="0" borderId="4" xfId="0" applyFont="1" applyFill="1" applyBorder="1" applyAlignment="1">
      <alignment vertical="top" wrapText="1"/>
    </xf>
    <xf numFmtId="0" fontId="9" fillId="0" borderId="0" xfId="0" applyFont="1" applyFill="1"/>
    <xf numFmtId="0" fontId="4" fillId="0" borderId="0" xfId="0" applyFont="1" applyAlignment="1">
      <alignment horizontal="center"/>
    </xf>
    <xf numFmtId="0" fontId="0" fillId="0" borderId="0" xfId="0" applyFont="1"/>
    <xf numFmtId="0" fontId="11" fillId="0" borderId="0" xfId="1" applyFont="1" applyAlignment="1" applyProtection="1">
      <alignment horizontal="left"/>
    </xf>
    <xf numFmtId="0" fontId="10" fillId="0" borderId="0" xfId="1" applyAlignment="1" applyProtection="1">
      <alignment horizontal="left"/>
    </xf>
    <xf numFmtId="0" fontId="12" fillId="0" borderId="0" xfId="0" applyFont="1"/>
    <xf numFmtId="0" fontId="0" fillId="0" borderId="0" xfId="0" applyFont="1" applyFill="1" applyBorder="1" applyAlignment="1">
      <alignment horizontal="center" vertical="center" wrapText="1"/>
    </xf>
    <xf numFmtId="0" fontId="15" fillId="2" borderId="4" xfId="0" applyFont="1" applyFill="1" applyBorder="1" applyAlignment="1">
      <alignment horizontal="center" vertical="center"/>
    </xf>
    <xf numFmtId="0" fontId="12" fillId="0" borderId="0" xfId="0" applyFont="1" applyBorder="1"/>
    <xf numFmtId="0" fontId="12" fillId="0" borderId="0" xfId="0" applyFont="1" applyFill="1" applyBorder="1"/>
    <xf numFmtId="0" fontId="0" fillId="0" borderId="0" xfId="0" applyAlignment="1">
      <alignment horizontal="left" vertical="top" wrapText="1"/>
    </xf>
    <xf numFmtId="0" fontId="19" fillId="0" borderId="0" xfId="0" applyFont="1"/>
    <xf numFmtId="0" fontId="20" fillId="0" borderId="0" xfId="0" applyFont="1" applyAlignment="1">
      <alignment horizontal="center" vertical="center" wrapText="1"/>
    </xf>
    <xf numFmtId="0" fontId="22" fillId="0" borderId="16" xfId="0" applyFont="1" applyBorder="1"/>
    <xf numFmtId="0" fontId="22" fillId="0" borderId="18" xfId="0" applyFont="1" applyBorder="1"/>
    <xf numFmtId="0" fontId="22" fillId="0" borderId="19" xfId="0" applyFont="1" applyBorder="1"/>
    <xf numFmtId="0" fontId="20" fillId="0" borderId="0" xfId="0" applyFont="1" applyAlignment="1">
      <alignment horizontal="center" vertical="center"/>
    </xf>
    <xf numFmtId="0" fontId="24" fillId="0" borderId="18" xfId="0" applyFont="1" applyBorder="1" applyAlignment="1">
      <alignment horizontal="center"/>
    </xf>
    <xf numFmtId="0" fontId="28" fillId="0" borderId="0" xfId="0" applyFont="1"/>
    <xf numFmtId="0" fontId="6" fillId="0" borderId="4" xfId="0" applyFont="1" applyFill="1" applyBorder="1" applyAlignment="1">
      <alignment horizontal="left" vertical="top" wrapText="1" indent="2"/>
    </xf>
    <xf numFmtId="0" fontId="6" fillId="0" borderId="5" xfId="0" applyFont="1" applyFill="1" applyBorder="1" applyAlignment="1">
      <alignment horizontal="left" vertical="top" wrapText="1" indent="2"/>
    </xf>
    <xf numFmtId="0" fontId="3" fillId="0" borderId="6" xfId="0" applyFont="1" applyFill="1" applyBorder="1" applyAlignment="1">
      <alignment horizontal="left" vertical="top" wrapText="1" indent="2"/>
    </xf>
    <xf numFmtId="0" fontId="35" fillId="0" borderId="4" xfId="0" applyFont="1" applyFill="1" applyBorder="1" applyAlignment="1">
      <alignment horizontal="center" vertical="center" wrapText="1"/>
    </xf>
    <xf numFmtId="0" fontId="30" fillId="0" borderId="4" xfId="0" applyFont="1" applyFill="1" applyBorder="1" applyAlignment="1">
      <alignment horizontal="center" vertical="center" wrapText="1"/>
    </xf>
    <xf numFmtId="0" fontId="36" fillId="0" borderId="5" xfId="0" applyFont="1" applyFill="1" applyBorder="1" applyAlignment="1">
      <alignment horizontal="center" vertical="center" wrapText="1"/>
    </xf>
    <xf numFmtId="0" fontId="30" fillId="0" borderId="5" xfId="0" applyFont="1" applyFill="1" applyBorder="1" applyAlignment="1">
      <alignment horizontal="center" vertical="center" wrapText="1"/>
    </xf>
    <xf numFmtId="0" fontId="31" fillId="0" borderId="6" xfId="0" applyFont="1" applyFill="1" applyBorder="1" applyAlignment="1">
      <alignment horizontal="center" vertical="center" wrapText="1"/>
    </xf>
    <xf numFmtId="0" fontId="36" fillId="0" borderId="6" xfId="0" applyFont="1" applyFill="1" applyBorder="1" applyAlignment="1">
      <alignment horizontal="center" vertical="center" wrapText="1"/>
    </xf>
    <xf numFmtId="0" fontId="0" fillId="0" borderId="0" xfId="0" applyAlignment="1">
      <alignment horizontal="center" vertical="center"/>
    </xf>
    <xf numFmtId="0" fontId="29" fillId="0" borderId="4" xfId="0" applyFont="1" applyBorder="1" applyAlignment="1">
      <alignment horizontal="center" vertical="center" wrapText="1"/>
    </xf>
    <xf numFmtId="0" fontId="30" fillId="0" borderId="4" xfId="0" applyFont="1" applyBorder="1" applyAlignment="1">
      <alignment horizontal="center" vertical="center" wrapText="1"/>
    </xf>
    <xf numFmtId="0" fontId="37" fillId="0" borderId="4" xfId="0" applyFont="1" applyBorder="1" applyAlignment="1">
      <alignment horizontal="center" vertical="center" wrapText="1"/>
    </xf>
    <xf numFmtId="0" fontId="34" fillId="0" borderId="4" xfId="0" applyFont="1" applyBorder="1" applyAlignment="1">
      <alignment horizontal="center" vertical="center" wrapText="1"/>
    </xf>
    <xf numFmtId="0" fontId="33" fillId="0" borderId="4" xfId="0" applyFont="1" applyBorder="1" applyAlignment="1">
      <alignment horizontal="center" vertical="center" wrapText="1"/>
    </xf>
    <xf numFmtId="0" fontId="36" fillId="0" borderId="4" xfId="0" applyFont="1" applyBorder="1" applyAlignment="1">
      <alignment horizontal="center" vertical="center" wrapText="1"/>
    </xf>
    <xf numFmtId="0" fontId="37" fillId="0" borderId="4" xfId="0" applyFont="1" applyFill="1" applyBorder="1" applyAlignment="1">
      <alignment horizontal="center" vertical="center" wrapText="1"/>
    </xf>
    <xf numFmtId="0" fontId="38" fillId="0" borderId="4" xfId="0" applyFont="1" applyFill="1" applyBorder="1" applyAlignment="1">
      <alignment horizontal="center" vertical="center" wrapText="1"/>
    </xf>
    <xf numFmtId="2" fontId="38" fillId="0" borderId="4" xfId="0" applyNumberFormat="1" applyFont="1" applyFill="1" applyBorder="1" applyAlignment="1">
      <alignment horizontal="center" vertical="center" wrapText="1"/>
    </xf>
    <xf numFmtId="0" fontId="28" fillId="0" borderId="0" xfId="0" applyFont="1" applyAlignment="1">
      <alignment horizontal="center" vertical="center"/>
    </xf>
    <xf numFmtId="0" fontId="39" fillId="0" borderId="4" xfId="0" applyFont="1" applyFill="1" applyBorder="1" applyAlignment="1">
      <alignment horizontal="center" vertical="center" wrapText="1"/>
    </xf>
    <xf numFmtId="0" fontId="38" fillId="0" borderId="4" xfId="0" applyNumberFormat="1" applyFont="1" applyFill="1" applyBorder="1" applyAlignment="1">
      <alignment horizontal="center" vertical="center" wrapText="1"/>
    </xf>
    <xf numFmtId="0" fontId="40" fillId="0" borderId="4" xfId="0" applyNumberFormat="1" applyFont="1" applyFill="1" applyBorder="1" applyAlignment="1">
      <alignment horizontal="center" vertical="center" wrapText="1"/>
    </xf>
    <xf numFmtId="0" fontId="6" fillId="0" borderId="4" xfId="0" applyFont="1" applyFill="1" applyBorder="1" applyAlignment="1">
      <alignment horizontal="left" vertical="top" wrapText="1"/>
    </xf>
    <xf numFmtId="0" fontId="8" fillId="0" borderId="0" xfId="0" applyFont="1" applyAlignment="1">
      <alignment horizontal="center" vertical="center"/>
    </xf>
    <xf numFmtId="0" fontId="6" fillId="0" borderId="4" xfId="0" applyFont="1" applyBorder="1" applyAlignment="1">
      <alignment horizontal="left" vertical="top" wrapText="1"/>
    </xf>
    <xf numFmtId="0" fontId="38" fillId="0" borderId="4" xfId="0" applyFont="1" applyBorder="1" applyAlignment="1">
      <alignment horizontal="center" vertical="center" wrapText="1"/>
    </xf>
    <xf numFmtId="0" fontId="21" fillId="0" borderId="0" xfId="0" applyFont="1" applyAlignment="1">
      <alignment horizontal="center" vertical="center"/>
    </xf>
    <xf numFmtId="0" fontId="43" fillId="5" borderId="2" xfId="0" applyFont="1" applyFill="1" applyBorder="1" applyAlignment="1">
      <alignment horizontal="center" vertical="center" wrapText="1"/>
    </xf>
    <xf numFmtId="0" fontId="14" fillId="5" borderId="0" xfId="0" applyFont="1" applyFill="1" applyBorder="1" applyAlignment="1">
      <alignment horizontal="center" vertical="center" wrapText="1"/>
    </xf>
    <xf numFmtId="0" fontId="4" fillId="5" borderId="0" xfId="0" applyFont="1" applyFill="1" applyBorder="1" applyAlignment="1">
      <alignment horizontal="center"/>
    </xf>
    <xf numFmtId="0" fontId="17" fillId="4" borderId="10" xfId="0" applyFont="1" applyFill="1" applyBorder="1" applyAlignment="1">
      <alignment horizontal="center" vertical="center"/>
    </xf>
    <xf numFmtId="0" fontId="42" fillId="5" borderId="0" xfId="0" applyFont="1" applyFill="1" applyAlignment="1">
      <alignment horizontal="center"/>
    </xf>
    <xf numFmtId="0" fontId="0" fillId="5" borderId="0" xfId="0" applyFill="1" applyAlignment="1">
      <alignment horizontal="center" vertical="center"/>
    </xf>
    <xf numFmtId="0" fontId="9" fillId="5" borderId="4" xfId="0" applyFont="1" applyFill="1" applyBorder="1" applyAlignment="1">
      <alignment horizontal="center" vertical="top" wrapText="1"/>
    </xf>
    <xf numFmtId="0" fontId="4" fillId="5" borderId="4" xfId="0" applyFont="1" applyFill="1" applyBorder="1" applyAlignment="1">
      <alignment horizontal="center"/>
    </xf>
    <xf numFmtId="0" fontId="9" fillId="5" borderId="4" xfId="0" applyFont="1" applyFill="1" applyBorder="1" applyAlignment="1">
      <alignment vertical="top" wrapText="1"/>
    </xf>
    <xf numFmtId="0" fontId="27" fillId="10" borderId="4"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35" fillId="12" borderId="4" xfId="0" applyFont="1" applyFill="1" applyBorder="1" applyAlignment="1">
      <alignment horizontal="center" vertical="center" wrapText="1"/>
    </xf>
    <xf numFmtId="0" fontId="31" fillId="12" borderId="4" xfId="0" applyFont="1" applyFill="1" applyBorder="1" applyAlignment="1">
      <alignment horizontal="center" vertical="center" wrapText="1"/>
    </xf>
    <xf numFmtId="0" fontId="30" fillId="12" borderId="4" xfId="0" applyFont="1" applyFill="1" applyBorder="1" applyAlignment="1">
      <alignment horizontal="center" vertical="center" wrapText="1"/>
    </xf>
    <xf numFmtId="0" fontId="30" fillId="12" borderId="5" xfId="0" applyFont="1" applyFill="1" applyBorder="1" applyAlignment="1">
      <alignment horizontal="center" vertical="center" wrapText="1"/>
    </xf>
    <xf numFmtId="0" fontId="36" fillId="12" borderId="6" xfId="0" applyFont="1" applyFill="1" applyBorder="1" applyAlignment="1">
      <alignment horizontal="center" vertical="center" wrapText="1"/>
    </xf>
    <xf numFmtId="0" fontId="27" fillId="13" borderId="4"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30" fillId="15" borderId="4" xfId="0" applyFont="1" applyFill="1" applyBorder="1" applyAlignment="1">
      <alignment horizontal="center" vertical="center" wrapText="1"/>
    </xf>
    <xf numFmtId="0" fontId="36" fillId="15" borderId="4" xfId="0" applyFont="1" applyFill="1" applyBorder="1" applyAlignment="1">
      <alignment horizontal="center" vertical="center" wrapText="1"/>
    </xf>
    <xf numFmtId="2" fontId="36" fillId="15" borderId="4" xfId="0" applyNumberFormat="1" applyFont="1" applyFill="1" applyBorder="1" applyAlignment="1">
      <alignment horizontal="center" vertical="center" wrapText="1"/>
    </xf>
    <xf numFmtId="0" fontId="27" fillId="16" borderId="4" xfId="0" applyFont="1" applyFill="1" applyBorder="1" applyAlignment="1">
      <alignment horizontal="center" vertical="center" wrapText="1"/>
    </xf>
    <xf numFmtId="0" fontId="1" fillId="17" borderId="4" xfId="0" applyFont="1" applyFill="1" applyBorder="1" applyAlignment="1">
      <alignment horizontal="center" vertical="center" wrapText="1"/>
    </xf>
    <xf numFmtId="0" fontId="38" fillId="18" borderId="4" xfId="0" applyFont="1" applyFill="1" applyBorder="1" applyAlignment="1">
      <alignment horizontal="center" vertical="center" wrapText="1"/>
    </xf>
    <xf numFmtId="2" fontId="38" fillId="18" borderId="4" xfId="0" applyNumberFormat="1" applyFont="1" applyFill="1" applyBorder="1" applyAlignment="1">
      <alignment horizontal="center" vertical="center" wrapText="1"/>
    </xf>
    <xf numFmtId="0" fontId="27" fillId="19" borderId="4" xfId="0" applyFont="1" applyFill="1" applyBorder="1" applyAlignment="1">
      <alignment horizontal="center" vertical="center" wrapText="1"/>
    </xf>
    <xf numFmtId="0" fontId="1" fillId="20" borderId="4" xfId="0" applyFont="1" applyFill="1" applyBorder="1" applyAlignment="1">
      <alignment horizontal="center" vertical="center" wrapText="1"/>
    </xf>
    <xf numFmtId="0" fontId="38" fillId="8" borderId="4" xfId="0" applyFont="1" applyFill="1" applyBorder="1" applyAlignment="1">
      <alignment horizontal="center" vertical="center" wrapText="1"/>
    </xf>
    <xf numFmtId="0" fontId="39" fillId="8" borderId="4" xfId="0" applyFont="1" applyFill="1" applyBorder="1" applyAlignment="1">
      <alignment horizontal="center" vertical="center" wrapText="1"/>
    </xf>
    <xf numFmtId="0" fontId="27" fillId="21" borderId="4" xfId="0" applyFont="1" applyFill="1" applyBorder="1" applyAlignment="1">
      <alignment horizontal="center" vertical="center" wrapText="1"/>
    </xf>
    <xf numFmtId="0" fontId="7" fillId="22" borderId="4" xfId="0" applyFont="1" applyFill="1" applyBorder="1" applyAlignment="1">
      <alignment horizontal="center" vertical="center" wrapText="1"/>
    </xf>
    <xf numFmtId="0" fontId="38" fillId="23" borderId="4" xfId="0" applyFont="1" applyFill="1" applyBorder="1" applyAlignment="1">
      <alignment horizontal="center" vertical="center" wrapText="1"/>
    </xf>
    <xf numFmtId="2" fontId="38" fillId="23" borderId="4" xfId="0" applyNumberFormat="1" applyFont="1" applyFill="1" applyBorder="1" applyAlignment="1">
      <alignment horizontal="center" vertical="center" wrapText="1"/>
    </xf>
    <xf numFmtId="0" fontId="27" fillId="24" borderId="4" xfId="0" applyFont="1" applyFill="1" applyBorder="1" applyAlignment="1">
      <alignment horizontal="center" vertical="center" wrapText="1"/>
    </xf>
    <xf numFmtId="0" fontId="7" fillId="25" borderId="4" xfId="0" applyFont="1" applyFill="1" applyBorder="1" applyAlignment="1">
      <alignment horizontal="center" vertical="center" wrapText="1"/>
    </xf>
    <xf numFmtId="0" fontId="38" fillId="26" borderId="4" xfId="0" applyNumberFormat="1" applyFont="1" applyFill="1" applyBorder="1" applyAlignment="1">
      <alignment horizontal="center" vertical="center" wrapText="1"/>
    </xf>
    <xf numFmtId="0" fontId="27" fillId="27" borderId="4" xfId="0" applyFont="1" applyFill="1" applyBorder="1" applyAlignment="1">
      <alignment horizontal="center" vertical="center" wrapText="1"/>
    </xf>
    <xf numFmtId="0" fontId="1" fillId="28" borderId="4" xfId="0" applyFont="1" applyFill="1" applyBorder="1" applyAlignment="1">
      <alignment horizontal="center" vertical="center" wrapText="1"/>
    </xf>
    <xf numFmtId="0" fontId="38" fillId="29" borderId="4" xfId="0" applyFont="1" applyFill="1" applyBorder="1" applyAlignment="1">
      <alignment horizontal="center" vertical="center" wrapText="1"/>
    </xf>
    <xf numFmtId="0" fontId="27" fillId="30" borderId="4" xfId="0" applyFont="1" applyFill="1" applyBorder="1" applyAlignment="1">
      <alignment horizontal="center" vertical="center" wrapText="1"/>
    </xf>
    <xf numFmtId="0" fontId="1" fillId="31" borderId="4" xfId="0" applyFont="1" applyFill="1" applyBorder="1" applyAlignment="1">
      <alignment horizontal="center" vertical="center" wrapText="1"/>
    </xf>
    <xf numFmtId="0" fontId="30" fillId="9" borderId="4"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22" fillId="33" borderId="19" xfId="0" applyFont="1" applyFill="1" applyBorder="1"/>
    <xf numFmtId="0" fontId="23" fillId="32" borderId="19" xfId="0" applyFont="1" applyFill="1" applyBorder="1"/>
    <xf numFmtId="0" fontId="22" fillId="34" borderId="19" xfId="0" applyFont="1" applyFill="1" applyBorder="1"/>
    <xf numFmtId="0" fontId="22" fillId="35" borderId="19" xfId="0" applyFont="1" applyFill="1" applyBorder="1"/>
    <xf numFmtId="0" fontId="22" fillId="12" borderId="19" xfId="0" applyFont="1" applyFill="1" applyBorder="1"/>
    <xf numFmtId="0" fontId="47" fillId="0" borderId="4" xfId="1" applyFont="1" applyBorder="1" applyAlignment="1" applyProtection="1"/>
    <xf numFmtId="0" fontId="47" fillId="0" borderId="0" xfId="1" applyFont="1" applyAlignment="1" applyProtection="1"/>
    <xf numFmtId="2" fontId="47" fillId="0" borderId="4" xfId="1" applyNumberFormat="1" applyFont="1" applyBorder="1" applyAlignment="1" applyProtection="1"/>
    <xf numFmtId="0" fontId="45" fillId="0" borderId="0" xfId="0" applyFont="1"/>
    <xf numFmtId="0" fontId="45" fillId="0" borderId="4" xfId="0" applyFont="1" applyBorder="1"/>
    <xf numFmtId="0" fontId="13" fillId="5" borderId="0"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13" fillId="5" borderId="15" xfId="0" applyFont="1" applyFill="1" applyBorder="1" applyAlignment="1">
      <alignment horizontal="center" vertical="center" wrapText="1"/>
    </xf>
    <xf numFmtId="0" fontId="15" fillId="36" borderId="4" xfId="0" applyFont="1" applyFill="1" applyBorder="1" applyAlignment="1">
      <alignment horizontal="center" vertical="center"/>
    </xf>
    <xf numFmtId="0" fontId="15" fillId="36" borderId="0" xfId="0" applyFont="1" applyFill="1" applyBorder="1" applyAlignment="1">
      <alignment horizontal="center" vertical="center"/>
    </xf>
    <xf numFmtId="0" fontId="48" fillId="5" borderId="4" xfId="0" applyFont="1" applyFill="1" applyBorder="1" applyAlignment="1">
      <alignment vertical="top" wrapText="1"/>
    </xf>
    <xf numFmtId="0" fontId="26" fillId="0" borderId="0" xfId="0" applyFont="1" applyAlignment="1">
      <alignment horizontal="left" vertical="top" wrapText="1"/>
    </xf>
    <xf numFmtId="0" fontId="25" fillId="0" borderId="0" xfId="0" applyFont="1" applyAlignment="1">
      <alignment horizontal="center" vertical="top"/>
    </xf>
    <xf numFmtId="0" fontId="49" fillId="0" borderId="0" xfId="0" applyFont="1"/>
    <xf numFmtId="0" fontId="50" fillId="0" borderId="0" xfId="0" applyFont="1" applyAlignment="1">
      <alignment horizontal="left" vertical="top" wrapText="1"/>
    </xf>
    <xf numFmtId="0" fontId="50" fillId="0" borderId="0" xfId="0" applyFont="1" applyAlignment="1">
      <alignment horizontal="left" vertical="top"/>
    </xf>
    <xf numFmtId="0" fontId="40" fillId="5" borderId="0" xfId="0" applyFont="1" applyFill="1" applyBorder="1" applyAlignment="1">
      <alignment horizontal="center" vertical="top" wrapText="1"/>
    </xf>
    <xf numFmtId="0" fontId="40" fillId="5" borderId="0" xfId="0" applyFont="1" applyFill="1" applyBorder="1" applyAlignment="1">
      <alignment horizontal="center"/>
    </xf>
    <xf numFmtId="0" fontId="51" fillId="0" borderId="0" xfId="0" applyFont="1"/>
    <xf numFmtId="0" fontId="29" fillId="7" borderId="4" xfId="0" applyFont="1" applyFill="1" applyBorder="1" applyAlignment="1">
      <alignment vertical="top" wrapText="1"/>
    </xf>
    <xf numFmtId="0" fontId="53" fillId="0" borderId="0" xfId="0" applyFont="1" applyAlignment="1">
      <alignment horizontal="left" vertical="center" wrapText="1"/>
    </xf>
    <xf numFmtId="0" fontId="14" fillId="0" borderId="0" xfId="0" applyFont="1"/>
    <xf numFmtId="0" fontId="22" fillId="0" borderId="7" xfId="0" applyFont="1" applyFill="1" applyBorder="1"/>
    <xf numFmtId="0" fontId="55" fillId="37" borderId="4" xfId="0" applyFont="1" applyFill="1" applyBorder="1" applyAlignment="1">
      <alignment vertical="top" wrapText="1"/>
    </xf>
    <xf numFmtId="0" fontId="22" fillId="0" borderId="9" xfId="0" applyFont="1" applyFill="1" applyBorder="1"/>
    <xf numFmtId="0" fontId="26" fillId="0" borderId="0" xfId="0" applyFont="1" applyAlignment="1">
      <alignment horizontal="left" vertical="center" wrapText="1"/>
    </xf>
    <xf numFmtId="0" fontId="21" fillId="0" borderId="0" xfId="0" applyFont="1"/>
    <xf numFmtId="0" fontId="0" fillId="39" borderId="0" xfId="0" applyFill="1"/>
    <xf numFmtId="0" fontId="53" fillId="39" borderId="0" xfId="0" applyFont="1" applyFill="1" applyAlignment="1">
      <alignment horizontal="left" vertical="center"/>
    </xf>
    <xf numFmtId="0" fontId="0" fillId="39" borderId="0" xfId="0" applyFill="1" applyAlignment="1">
      <alignment wrapText="1"/>
    </xf>
    <xf numFmtId="0" fontId="14" fillId="39" borderId="0" xfId="0" applyFont="1" applyFill="1"/>
    <xf numFmtId="0" fontId="53" fillId="39" borderId="0" xfId="0" applyFont="1" applyFill="1" applyAlignment="1">
      <alignment horizontal="left" vertical="center" wrapText="1"/>
    </xf>
    <xf numFmtId="0" fontId="51" fillId="39" borderId="0" xfId="0" applyFont="1" applyFill="1"/>
    <xf numFmtId="0" fontId="53" fillId="0" borderId="0" xfId="0" applyFont="1" applyAlignment="1">
      <alignment horizontal="left" vertical="center" wrapText="1"/>
    </xf>
    <xf numFmtId="0" fontId="26" fillId="0" borderId="0" xfId="0" applyFont="1" applyAlignment="1">
      <alignment horizontal="left" vertical="center" wrapText="1"/>
    </xf>
    <xf numFmtId="0" fontId="57" fillId="0" borderId="0" xfId="0" applyFont="1" applyAlignment="1">
      <alignment horizontal="left" vertical="top"/>
    </xf>
    <xf numFmtId="0" fontId="61" fillId="39" borderId="0" xfId="0" applyFont="1" applyFill="1"/>
    <xf numFmtId="0" fontId="20" fillId="39" borderId="0" xfId="0" applyFont="1" applyFill="1" applyAlignment="1">
      <alignment horizontal="center" vertical="center" wrapText="1"/>
    </xf>
    <xf numFmtId="0" fontId="29" fillId="39" borderId="0" xfId="0" applyFont="1" applyFill="1" applyBorder="1" applyAlignment="1">
      <alignment vertical="top" wrapText="1"/>
    </xf>
    <xf numFmtId="0" fontId="18" fillId="39" borderId="0" xfId="0" applyFont="1" applyFill="1" applyBorder="1" applyAlignment="1">
      <alignment vertical="top" wrapText="1"/>
    </xf>
    <xf numFmtId="0" fontId="62" fillId="39" borderId="0" xfId="0" applyFont="1" applyFill="1"/>
    <xf numFmtId="0" fontId="29" fillId="39" borderId="0" xfId="0" applyFont="1" applyFill="1" applyBorder="1" applyAlignment="1">
      <alignment horizontal="center" vertical="top" wrapText="1"/>
    </xf>
    <xf numFmtId="0" fontId="55" fillId="37" borderId="23" xfId="0" applyFont="1" applyFill="1" applyBorder="1" applyAlignment="1">
      <alignment vertical="top" wrapText="1"/>
    </xf>
    <xf numFmtId="0" fontId="40" fillId="6" borderId="0" xfId="0" applyFont="1" applyFill="1" applyBorder="1" applyAlignment="1">
      <alignment horizontal="center" vertical="top" wrapText="1"/>
    </xf>
    <xf numFmtId="0" fontId="40" fillId="6" borderId="0" xfId="0" applyFont="1" applyFill="1" applyBorder="1" applyAlignment="1">
      <alignment horizontal="center"/>
    </xf>
    <xf numFmtId="0" fontId="44" fillId="5" borderId="0" xfId="0" applyFont="1" applyFill="1" applyBorder="1" applyAlignment="1">
      <alignment horizontal="center" vertical="center" wrapText="1"/>
    </xf>
    <xf numFmtId="0" fontId="15" fillId="3" borderId="22" xfId="0" applyFont="1" applyFill="1" applyBorder="1" applyAlignment="1">
      <alignment horizontal="center" vertical="center" wrapText="1"/>
    </xf>
    <xf numFmtId="0" fontId="15" fillId="3" borderId="22" xfId="0" applyFont="1" applyFill="1" applyBorder="1" applyAlignment="1" applyProtection="1">
      <alignment horizontal="center" vertical="center"/>
    </xf>
    <xf numFmtId="0" fontId="15" fillId="3" borderId="22" xfId="0" applyFont="1" applyFill="1" applyBorder="1" applyAlignment="1" applyProtection="1">
      <alignment horizontal="center" vertical="center"/>
      <protection locked="0"/>
    </xf>
    <xf numFmtId="0" fontId="15" fillId="3" borderId="14" xfId="0" applyFont="1" applyFill="1" applyBorder="1" applyAlignment="1" applyProtection="1">
      <alignment horizontal="left" vertical="top" wrapText="1"/>
    </xf>
    <xf numFmtId="0" fontId="15" fillId="3" borderId="22" xfId="0" applyFont="1" applyFill="1" applyBorder="1" applyAlignment="1" applyProtection="1">
      <alignment horizontal="center" vertical="center" wrapText="1"/>
    </xf>
    <xf numFmtId="0" fontId="15" fillId="7" borderId="22" xfId="0" applyFont="1" applyFill="1" applyBorder="1" applyAlignment="1" applyProtection="1">
      <alignment horizontal="center" vertical="center"/>
      <protection locked="0"/>
    </xf>
    <xf numFmtId="0" fontId="16" fillId="3" borderId="14" xfId="0" applyFont="1" applyFill="1" applyBorder="1" applyAlignment="1">
      <alignment horizontal="left" vertical="center" wrapText="1"/>
    </xf>
    <xf numFmtId="0" fontId="16" fillId="3" borderId="14" xfId="0" applyFont="1" applyFill="1" applyBorder="1" applyAlignment="1">
      <alignment horizontal="left" vertical="top" wrapText="1"/>
    </xf>
    <xf numFmtId="0" fontId="17" fillId="0" borderId="22" xfId="0" applyFont="1" applyFill="1" applyBorder="1" applyAlignment="1">
      <alignment horizontal="center" vertical="center"/>
    </xf>
    <xf numFmtId="0" fontId="15" fillId="0" borderId="22" xfId="0" applyFont="1" applyFill="1" applyBorder="1" applyAlignment="1">
      <alignment vertical="center"/>
    </xf>
    <xf numFmtId="0" fontId="15" fillId="0" borderId="22" xfId="0" applyFont="1" applyFill="1" applyBorder="1" applyAlignment="1">
      <alignment vertical="center" wrapText="1"/>
    </xf>
    <xf numFmtId="0" fontId="63" fillId="0" borderId="0" xfId="0" applyFont="1"/>
    <xf numFmtId="0" fontId="64" fillId="5" borderId="0" xfId="0" applyFont="1" applyFill="1" applyBorder="1" applyAlignment="1">
      <alignment horizontal="center"/>
    </xf>
    <xf numFmtId="0" fontId="65" fillId="2" borderId="23" xfId="0" applyFont="1" applyFill="1" applyBorder="1" applyAlignment="1">
      <alignment horizontal="center" vertical="center"/>
    </xf>
    <xf numFmtId="0" fontId="65" fillId="36" borderId="23" xfId="0" applyFont="1" applyFill="1" applyBorder="1" applyAlignment="1">
      <alignment horizontal="center" vertical="center"/>
    </xf>
    <xf numFmtId="49" fontId="66" fillId="6" borderId="0" xfId="1" applyNumberFormat="1" applyFont="1" applyFill="1" applyBorder="1" applyAlignment="1" applyProtection="1">
      <alignment vertical="top" wrapText="1"/>
    </xf>
    <xf numFmtId="0" fontId="66" fillId="6" borderId="0" xfId="1" applyFont="1" applyFill="1" applyBorder="1" applyAlignment="1" applyProtection="1">
      <alignment vertical="top" wrapText="1"/>
    </xf>
    <xf numFmtId="0" fontId="44" fillId="6" borderId="4" xfId="0" applyFont="1" applyFill="1" applyBorder="1" applyAlignment="1">
      <alignment horizontal="center" vertical="center" wrapText="1"/>
    </xf>
    <xf numFmtId="0" fontId="43" fillId="6" borderId="4" xfId="0" applyFont="1" applyFill="1" applyBorder="1" applyAlignment="1">
      <alignment horizontal="center" vertical="center" wrapText="1"/>
    </xf>
    <xf numFmtId="0" fontId="28" fillId="0" borderId="0" xfId="0" applyFont="1" applyFill="1" applyBorder="1" applyAlignment="1">
      <alignment horizontal="center" vertical="center" wrapText="1"/>
    </xf>
    <xf numFmtId="0" fontId="28" fillId="0" borderId="0" xfId="0" applyFont="1" applyFill="1"/>
    <xf numFmtId="0" fontId="56" fillId="40" borderId="0" xfId="32" applyFill="1" applyAlignment="1">
      <alignment horizontal="left" vertical="center" wrapText="1"/>
    </xf>
    <xf numFmtId="0" fontId="26" fillId="40" borderId="0" xfId="0" applyFont="1" applyFill="1" applyAlignment="1">
      <alignment horizontal="left" vertical="center" wrapText="1"/>
    </xf>
    <xf numFmtId="0" fontId="67" fillId="40" borderId="0" xfId="32" applyFont="1" applyFill="1" applyAlignment="1">
      <alignment vertical="center"/>
    </xf>
    <xf numFmtId="0" fontId="22" fillId="32" borderId="19" xfId="0" applyFont="1" applyFill="1" applyBorder="1"/>
    <xf numFmtId="0" fontId="52" fillId="2" borderId="4" xfId="0" applyFont="1" applyFill="1" applyBorder="1" applyAlignment="1">
      <alignment horizontal="center" vertical="center" wrapText="1" readingOrder="1"/>
    </xf>
    <xf numFmtId="0" fontId="14" fillId="42" borderId="0" xfId="0" applyFont="1" applyFill="1"/>
    <xf numFmtId="0" fontId="28" fillId="42" borderId="0" xfId="0" applyFont="1" applyFill="1"/>
    <xf numFmtId="0" fontId="14" fillId="43" borderId="0" xfId="0" applyFont="1" applyFill="1"/>
    <xf numFmtId="0" fontId="53" fillId="43" borderId="0" xfId="0" applyFont="1" applyFill="1" applyAlignment="1">
      <alignment horizontal="left" vertical="center" wrapText="1"/>
    </xf>
    <xf numFmtId="0" fontId="21" fillId="40" borderId="0" xfId="0" applyFont="1" applyFill="1"/>
    <xf numFmtId="0" fontId="21" fillId="40" borderId="0" xfId="0" applyFont="1" applyFill="1" applyAlignment="1">
      <alignment horizontal="center" vertical="center"/>
    </xf>
    <xf numFmtId="0" fontId="62" fillId="40" borderId="0" xfId="0" applyFont="1" applyFill="1"/>
    <xf numFmtId="0" fontId="0" fillId="4" borderId="0" xfId="0" applyFill="1" applyAlignment="1"/>
    <xf numFmtId="0" fontId="0" fillId="4" borderId="0" xfId="0" applyFill="1" applyAlignment="1">
      <alignment horizontal="center" vertical="center" textRotation="90"/>
    </xf>
    <xf numFmtId="0" fontId="17" fillId="4" borderId="11" xfId="0" applyFont="1" applyFill="1" applyBorder="1" applyAlignment="1">
      <alignment horizontal="center" vertical="center"/>
    </xf>
    <xf numFmtId="0" fontId="17" fillId="4" borderId="0" xfId="0" applyFont="1" applyFill="1" applyBorder="1" applyAlignment="1">
      <alignment horizontal="center" vertical="center"/>
    </xf>
    <xf numFmtId="0" fontId="0" fillId="0" borderId="0" xfId="0" applyAlignment="1">
      <alignment vertical="center"/>
    </xf>
    <xf numFmtId="0" fontId="0" fillId="0" borderId="0" xfId="0" applyAlignment="1">
      <alignment horizontal="left"/>
    </xf>
    <xf numFmtId="0" fontId="0" fillId="0" borderId="0" xfId="0" applyAlignment="1">
      <alignment horizontal="left" vertical="center" wrapText="1"/>
    </xf>
    <xf numFmtId="0" fontId="17" fillId="4" borderId="13" xfId="0" applyFont="1" applyFill="1" applyBorder="1" applyAlignment="1">
      <alignment horizontal="center" vertical="center"/>
    </xf>
    <xf numFmtId="0" fontId="17" fillId="4" borderId="10" xfId="0" applyFont="1" applyFill="1" applyBorder="1" applyAlignment="1">
      <alignment horizontal="center" vertical="center"/>
    </xf>
    <xf numFmtId="0" fontId="17" fillId="4" borderId="12" xfId="0" applyFont="1" applyFill="1" applyBorder="1" applyAlignment="1">
      <alignment horizontal="center" vertical="center"/>
    </xf>
    <xf numFmtId="0" fontId="0" fillId="4" borderId="0" xfId="0" applyFill="1" applyAlignment="1">
      <alignment horizontal="left"/>
    </xf>
    <xf numFmtId="0" fontId="53" fillId="0" borderId="0" xfId="0" applyFont="1" applyAlignment="1">
      <alignment horizontal="left" vertical="center" wrapText="1"/>
    </xf>
    <xf numFmtId="0" fontId="26" fillId="0" borderId="0" xfId="0" applyFont="1" applyAlignment="1">
      <alignment horizontal="left" vertical="center" wrapText="1"/>
    </xf>
    <xf numFmtId="0" fontId="40" fillId="4" borderId="0" xfId="0" applyFont="1" applyFill="1" applyBorder="1" applyAlignment="1">
      <alignment horizontal="left" vertical="center" wrapText="1"/>
    </xf>
    <xf numFmtId="0" fontId="40" fillId="4" borderId="2" xfId="0" applyFont="1" applyFill="1" applyBorder="1" applyAlignment="1">
      <alignment horizontal="left" vertical="center" wrapText="1"/>
    </xf>
    <xf numFmtId="0" fontId="40" fillId="4" borderId="25" xfId="0" applyFont="1" applyFill="1" applyBorder="1" applyAlignment="1">
      <alignment horizontal="left" vertical="center" wrapText="1"/>
    </xf>
    <xf numFmtId="0" fontId="43" fillId="4" borderId="0" xfId="0" applyFont="1" applyFill="1" applyBorder="1" applyAlignment="1">
      <alignment horizontal="center" vertical="center" wrapText="1"/>
    </xf>
    <xf numFmtId="0" fontId="44" fillId="4" borderId="0" xfId="0" applyFont="1" applyFill="1" applyBorder="1" applyAlignment="1">
      <alignment horizontal="center" vertical="center" wrapText="1"/>
    </xf>
    <xf numFmtId="0" fontId="43" fillId="5" borderId="2" xfId="0" applyFont="1" applyFill="1" applyBorder="1" applyAlignment="1">
      <alignment horizontal="center" vertical="center" wrapText="1"/>
    </xf>
    <xf numFmtId="0" fontId="40" fillId="5" borderId="0" xfId="0" applyFont="1" applyFill="1" applyBorder="1" applyAlignment="1">
      <alignment horizontal="left" vertical="center" wrapText="1"/>
    </xf>
    <xf numFmtId="0" fontId="40" fillId="5" borderId="24" xfId="0" applyFont="1" applyFill="1" applyBorder="1" applyAlignment="1">
      <alignment horizontal="left" vertical="center" wrapText="1"/>
    </xf>
    <xf numFmtId="0" fontId="40" fillId="5" borderId="19" xfId="0" applyFont="1" applyFill="1" applyBorder="1" applyAlignment="1">
      <alignment horizontal="left" vertical="center" wrapText="1"/>
    </xf>
    <xf numFmtId="0" fontId="43" fillId="5" borderId="1"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5" borderId="0" xfId="0" applyFont="1" applyFill="1" applyBorder="1" applyAlignment="1">
      <alignment horizontal="center" vertical="center" wrapText="1"/>
    </xf>
    <xf numFmtId="0" fontId="24" fillId="0" borderId="20" xfId="0" applyFont="1" applyBorder="1" applyAlignment="1">
      <alignment horizontal="center"/>
    </xf>
    <xf numFmtId="0" fontId="24" fillId="0" borderId="21" xfId="0" applyFont="1" applyBorder="1" applyAlignment="1">
      <alignment horizontal="center"/>
    </xf>
    <xf numFmtId="0" fontId="24" fillId="0" borderId="17" xfId="0" applyFont="1" applyBorder="1" applyAlignment="1">
      <alignment horizontal="center"/>
    </xf>
    <xf numFmtId="0" fontId="20" fillId="41" borderId="4" xfId="0" applyFont="1" applyFill="1" applyBorder="1" applyAlignment="1">
      <alignment horizontal="left"/>
    </xf>
    <xf numFmtId="0" fontId="3" fillId="4" borderId="1" xfId="0" applyFont="1" applyFill="1" applyBorder="1" applyAlignment="1">
      <alignment vertical="top" wrapText="1"/>
    </xf>
    <xf numFmtId="0" fontId="3" fillId="4" borderId="2" xfId="0" applyFont="1" applyFill="1" applyBorder="1" applyAlignment="1">
      <alignment vertical="top" wrapText="1"/>
    </xf>
    <xf numFmtId="0" fontId="3" fillId="4" borderId="3" xfId="0" applyFont="1" applyFill="1" applyBorder="1" applyAlignment="1">
      <alignment vertical="top" wrapText="1"/>
    </xf>
    <xf numFmtId="0" fontId="46" fillId="0" borderId="0" xfId="0" applyFont="1" applyAlignment="1">
      <alignment horizontal="center" vertical="center" wrapText="1"/>
    </xf>
    <xf numFmtId="0" fontId="27" fillId="10" borderId="4" xfId="0" applyFont="1" applyFill="1" applyBorder="1" applyAlignment="1">
      <alignment horizontal="center" vertical="center" wrapText="1"/>
    </xf>
    <xf numFmtId="0" fontId="27" fillId="13" borderId="4" xfId="0" applyFont="1" applyFill="1" applyBorder="1" applyAlignment="1">
      <alignment horizontal="center" vertical="center" wrapText="1"/>
    </xf>
    <xf numFmtId="0" fontId="27" fillId="16" borderId="4" xfId="0" applyFont="1" applyFill="1" applyBorder="1" applyAlignment="1">
      <alignment horizontal="center" vertical="center" wrapText="1"/>
    </xf>
    <xf numFmtId="0" fontId="27" fillId="19" borderId="4" xfId="0" applyFont="1" applyFill="1" applyBorder="1" applyAlignment="1">
      <alignment horizontal="center" vertical="center" wrapText="1"/>
    </xf>
    <xf numFmtId="0" fontId="27" fillId="21" borderId="4" xfId="0" applyFont="1" applyFill="1" applyBorder="1" applyAlignment="1">
      <alignment horizontal="center" vertical="center" wrapText="1"/>
    </xf>
    <xf numFmtId="0" fontId="27" fillId="24" borderId="4" xfId="0" applyFont="1" applyFill="1" applyBorder="1" applyAlignment="1">
      <alignment horizontal="center" vertical="center" wrapText="1"/>
    </xf>
    <xf numFmtId="0" fontId="27" fillId="27" borderId="4" xfId="0" applyFont="1" applyFill="1" applyBorder="1" applyAlignment="1">
      <alignment horizontal="center" vertical="center" wrapText="1"/>
    </xf>
    <xf numFmtId="0" fontId="6" fillId="0" borderId="4" xfId="0" applyFont="1" applyBorder="1" applyAlignment="1">
      <alignment horizontal="left" vertical="top" wrapText="1"/>
    </xf>
    <xf numFmtId="0" fontId="38" fillId="0" borderId="4" xfId="0" applyFont="1" applyBorder="1" applyAlignment="1">
      <alignment horizontal="center" vertical="center" wrapText="1"/>
    </xf>
    <xf numFmtId="0" fontId="38" fillId="29" borderId="4" xfId="0" applyFont="1" applyFill="1" applyBorder="1" applyAlignment="1">
      <alignment horizontal="center" vertical="center" wrapText="1"/>
    </xf>
    <xf numFmtId="0" fontId="27" fillId="30" borderId="14" xfId="0" applyFont="1" applyFill="1" applyBorder="1" applyAlignment="1">
      <alignment horizontal="center" vertical="center" wrapText="1"/>
    </xf>
    <xf numFmtId="0" fontId="27" fillId="30" borderId="22" xfId="0" applyFont="1" applyFill="1" applyBorder="1" applyAlignment="1">
      <alignment horizontal="center" vertical="center" wrapText="1"/>
    </xf>
    <xf numFmtId="0" fontId="27" fillId="30" borderId="23" xfId="0" applyFont="1" applyFill="1" applyBorder="1" applyAlignment="1">
      <alignment horizontal="center" vertical="center" wrapText="1"/>
    </xf>
    <xf numFmtId="0" fontId="20" fillId="41" borderId="14" xfId="0" applyFont="1" applyFill="1" applyBorder="1" applyAlignment="1">
      <alignment horizontal="left"/>
    </xf>
    <xf numFmtId="0" fontId="20" fillId="41" borderId="22" xfId="0" applyFont="1" applyFill="1" applyBorder="1" applyAlignment="1">
      <alignment horizontal="left"/>
    </xf>
    <xf numFmtId="0" fontId="20" fillId="41" borderId="23" xfId="0" applyFont="1" applyFill="1" applyBorder="1" applyAlignment="1">
      <alignment horizontal="center" vertical="center"/>
    </xf>
    <xf numFmtId="0" fontId="20" fillId="41" borderId="10" xfId="0" applyFont="1" applyFill="1" applyBorder="1" applyAlignment="1">
      <alignment horizontal="left"/>
    </xf>
    <xf numFmtId="0" fontId="20" fillId="41" borderId="11" xfId="0" applyFont="1" applyFill="1" applyBorder="1" applyAlignment="1">
      <alignment horizontal="left"/>
    </xf>
    <xf numFmtId="0" fontId="20" fillId="41" borderId="26" xfId="0" applyFont="1" applyFill="1" applyBorder="1" applyAlignment="1">
      <alignment horizontal="center" vertical="center"/>
    </xf>
  </cellXfs>
  <cellStyles count="58">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Hyperlink" xfId="1" builtinId="8"/>
    <cellStyle name="Neutral" xfId="32" builtinId="28"/>
    <cellStyle name="Normal" xfId="0" builtinId="0"/>
  </cellStyles>
  <dxfs count="12">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ill>
        <patternFill>
          <bgColor theme="0"/>
        </patternFill>
      </fill>
    </dxf>
    <dxf>
      <font>
        <color auto="1"/>
      </font>
      <fill>
        <patternFill>
          <bgColor rgb="FFFFC000"/>
        </patternFill>
      </fill>
    </dxf>
    <dxf>
      <fill>
        <patternFill>
          <bgColor rgb="FFFF0000"/>
        </patternFill>
      </fill>
    </dxf>
    <dxf>
      <fill>
        <patternFill>
          <bgColor rgb="FFC00000"/>
        </patternFill>
      </fill>
    </dxf>
    <dxf>
      <fill>
        <patternFill>
          <bgColor rgb="FFFFFF00"/>
        </patternFill>
      </fill>
    </dxf>
    <dxf>
      <fill>
        <patternFill>
          <bgColor rgb="FFFFFF66"/>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CED8DA"/>
      <rgbColor rgb="00717C82"/>
      <rgbColor rgb="00F0E5CE"/>
      <rgbColor rgb="00364C55"/>
      <rgbColor rgb="00979A84"/>
      <rgbColor rgb="00C3C6C6"/>
      <rgbColor rgb="00545655"/>
      <rgbColor rgb="00BD9C62"/>
      <rgbColor rgb="00000090"/>
      <rgbColor rgb="00CBC9C5"/>
      <rgbColor rgb="00D5CCC2"/>
      <rgbColor rgb="00D5BD91"/>
      <rgbColor rgb="00F1E9D8"/>
      <rgbColor rgb="008199A1"/>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BFA776"/>
      <rgbColor rgb="00767774"/>
      <rgbColor rgb="005E605E"/>
      <rgbColor rgb="00E2B880"/>
      <rgbColor rgb="0095928E"/>
      <rgbColor rgb="00B5691D"/>
      <rgbColor rgb="00B8B5B0"/>
      <rgbColor rgb="00D19857"/>
      <rgbColor rgb="0097877D"/>
      <rgbColor rgb="006B584E"/>
      <rgbColor rgb="0098A59C"/>
      <rgbColor rgb="00D8D8C8"/>
      <rgbColor rgb="00677C73"/>
      <rgbColor rgb="00858481"/>
      <rgbColor rgb="004A6772"/>
      <rgbColor rgb="00667158"/>
      <rgbColor rgb="00003366"/>
      <rgbColor rgb="00DADFDB"/>
      <rgbColor rgb="00003300"/>
      <rgbColor rgb="00333300"/>
      <rgbColor rgb="00FFFFFE"/>
      <rgbColor rgb="00D5C3A1"/>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externalLink" Target="externalLinks/externalLink1.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 Id="rId18"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dr:twoCellAnchor>
    <xdr:from>
      <xdr:col>91</xdr:col>
      <xdr:colOff>1095375</xdr:colOff>
      <xdr:row>1</xdr:row>
      <xdr:rowOff>104775</xdr:rowOff>
    </xdr:from>
    <xdr:to>
      <xdr:col>91</xdr:col>
      <xdr:colOff>1390650</xdr:colOff>
      <xdr:row>1</xdr:row>
      <xdr:rowOff>104776</xdr:rowOff>
    </xdr:to>
    <xdr:cxnSp macro="">
      <xdr:nvCxnSpPr>
        <xdr:cNvPr id="2" name="Straight Arrow Connector 1"/>
        <xdr:cNvCxnSpPr/>
      </xdr:nvCxnSpPr>
      <xdr:spPr>
        <a:xfrm flipV="1">
          <a:off x="18383250" y="295275"/>
          <a:ext cx="0" cy="1"/>
        </a:xfrm>
        <a:prstGeom prst="straightConnector1">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qjjoy/Documents/JKTech%20OMAT/Komatsu%20OMAT/Komatsu%20OMAT%20Course/OMAT%20CTI%20Proces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MAT Process Map"/>
      <sheetName val="Graphic Process Map"/>
      <sheetName val="Facilitation Materials"/>
      <sheetName val="Task List"/>
      <sheetName val="1. Critical Task Identification"/>
      <sheetName val="2. Task Flow Chart"/>
      <sheetName val="3. Risk Identification"/>
      <sheetName val="4. Solution Options"/>
      <sheetName val="5. Feedback &amp; Action Plan"/>
      <sheetName val="6. Equipment Risk Register"/>
      <sheetName val="Appendix 1 - Names"/>
      <sheetName val="Equipment &amp; Task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D3">
            <v>1</v>
          </cell>
          <cell r="E3">
            <v>2</v>
          </cell>
          <cell r="F3">
            <v>3</v>
          </cell>
          <cell r="G3">
            <v>4</v>
          </cell>
          <cell r="H3">
            <v>5</v>
          </cell>
        </row>
        <row r="4">
          <cell r="C4">
            <v>1</v>
          </cell>
          <cell r="D4">
            <v>1</v>
          </cell>
          <cell r="E4">
            <v>5</v>
          </cell>
          <cell r="F4">
            <v>25</v>
          </cell>
          <cell r="G4">
            <v>75</v>
          </cell>
          <cell r="H4">
            <v>100</v>
          </cell>
        </row>
        <row r="5">
          <cell r="C5">
            <v>2</v>
          </cell>
          <cell r="D5">
            <v>2</v>
          </cell>
          <cell r="E5">
            <v>10</v>
          </cell>
          <cell r="F5">
            <v>50</v>
          </cell>
          <cell r="G5">
            <v>150</v>
          </cell>
          <cell r="H5">
            <v>200</v>
          </cell>
        </row>
        <row r="6">
          <cell r="C6">
            <v>3</v>
          </cell>
          <cell r="D6">
            <v>3</v>
          </cell>
          <cell r="E6">
            <v>15</v>
          </cell>
          <cell r="F6">
            <v>75</v>
          </cell>
          <cell r="G6">
            <v>225</v>
          </cell>
          <cell r="H6">
            <v>300</v>
          </cell>
        </row>
        <row r="7">
          <cell r="C7">
            <v>4</v>
          </cell>
          <cell r="D7">
            <v>4</v>
          </cell>
          <cell r="E7">
            <v>20</v>
          </cell>
          <cell r="F7">
            <v>100</v>
          </cell>
          <cell r="G7">
            <v>300</v>
          </cell>
          <cell r="H7">
            <v>400</v>
          </cell>
        </row>
        <row r="8">
          <cell r="C8">
            <v>5</v>
          </cell>
          <cell r="D8">
            <v>5</v>
          </cell>
          <cell r="E8">
            <v>25</v>
          </cell>
          <cell r="F8">
            <v>125</v>
          </cell>
          <cell r="G8">
            <v>375</v>
          </cell>
          <cell r="H8">
            <v>500</v>
          </cell>
        </row>
        <row r="9">
          <cell r="C9">
            <v>6</v>
          </cell>
          <cell r="D9">
            <v>6</v>
          </cell>
          <cell r="E9">
            <v>30</v>
          </cell>
          <cell r="F9">
            <v>150</v>
          </cell>
          <cell r="G9">
            <v>450</v>
          </cell>
          <cell r="H9">
            <v>600</v>
          </cell>
        </row>
        <row r="10">
          <cell r="C10">
            <v>7</v>
          </cell>
          <cell r="D10">
            <v>7</v>
          </cell>
          <cell r="E10">
            <v>35</v>
          </cell>
          <cell r="F10">
            <v>175</v>
          </cell>
          <cell r="G10">
            <v>525</v>
          </cell>
          <cell r="H10">
            <v>700</v>
          </cell>
        </row>
      </sheetData>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37"/>
  <sheetViews>
    <sheetView workbookViewId="0">
      <selection activeCell="A18" sqref="A18"/>
    </sheetView>
  </sheetViews>
  <sheetFormatPr baseColWidth="10" defaultRowHeight="14" x14ac:dyDescent="0"/>
  <sheetData>
    <row r="2" spans="2:15" ht="66" customHeight="1">
      <c r="B2" s="130"/>
      <c r="C2" s="131" t="s">
        <v>206</v>
      </c>
      <c r="D2" s="132"/>
      <c r="E2" s="132"/>
      <c r="F2" s="132"/>
      <c r="G2" s="132"/>
      <c r="H2" s="132"/>
      <c r="I2" s="132"/>
      <c r="J2" s="132"/>
      <c r="K2" s="132"/>
      <c r="L2" s="132"/>
      <c r="M2" s="132"/>
      <c r="N2" s="132"/>
      <c r="O2" s="130"/>
    </row>
    <row r="3" spans="2:15" ht="26" customHeight="1">
      <c r="B3" s="133" t="s">
        <v>198</v>
      </c>
      <c r="C3" s="131"/>
      <c r="D3" s="132"/>
      <c r="E3" s="132"/>
      <c r="F3" s="132"/>
      <c r="G3" s="132"/>
      <c r="H3" s="132"/>
      <c r="I3" s="132"/>
      <c r="J3" s="132"/>
      <c r="K3" s="132"/>
      <c r="L3" s="132"/>
      <c r="M3" s="132"/>
      <c r="N3" s="132"/>
      <c r="O3" s="130"/>
    </row>
    <row r="4" spans="2:15" ht="20" customHeight="1">
      <c r="B4" s="130"/>
      <c r="C4" s="134"/>
      <c r="D4" s="130"/>
      <c r="E4" s="130"/>
      <c r="F4" s="130"/>
      <c r="G4" s="130"/>
      <c r="H4" s="130"/>
      <c r="I4" s="130"/>
      <c r="J4" s="130"/>
      <c r="K4" s="130"/>
      <c r="L4" s="130"/>
      <c r="M4" s="130"/>
      <c r="N4" s="130"/>
      <c r="O4" s="130"/>
    </row>
    <row r="5" spans="2:15" ht="27">
      <c r="B5" s="133" t="s">
        <v>205</v>
      </c>
      <c r="C5" s="134"/>
      <c r="D5" s="130"/>
      <c r="E5" s="130"/>
      <c r="F5" s="130"/>
      <c r="G5" s="130"/>
      <c r="H5" s="130"/>
      <c r="I5" s="130"/>
      <c r="J5" s="130"/>
      <c r="K5" s="130"/>
      <c r="L5" s="130"/>
      <c r="M5" s="130"/>
      <c r="N5" s="130"/>
      <c r="O5" s="130"/>
    </row>
    <row r="6" spans="2:15">
      <c r="B6" s="130"/>
      <c r="C6" s="130"/>
      <c r="D6" s="130"/>
      <c r="E6" s="130"/>
      <c r="F6" s="130"/>
      <c r="G6" s="130"/>
      <c r="H6" s="130"/>
      <c r="I6" s="130"/>
      <c r="J6" s="130"/>
      <c r="K6" s="130"/>
      <c r="L6" s="130"/>
      <c r="M6" s="130"/>
      <c r="N6" s="130"/>
      <c r="O6" s="130"/>
    </row>
    <row r="7" spans="2:15" ht="24" customHeight="1">
      <c r="B7" s="133" t="s">
        <v>204</v>
      </c>
      <c r="C7" s="130"/>
      <c r="D7" s="130"/>
      <c r="E7" s="130"/>
      <c r="F7" s="130"/>
      <c r="G7" s="130"/>
      <c r="H7" s="130"/>
      <c r="I7" s="130"/>
      <c r="J7" s="130"/>
      <c r="K7" s="130"/>
      <c r="L7" s="130"/>
      <c r="M7" s="130"/>
      <c r="N7" s="130"/>
      <c r="O7" s="130"/>
    </row>
    <row r="8" spans="2:15">
      <c r="B8" s="130"/>
      <c r="C8" s="130"/>
      <c r="D8" s="130"/>
      <c r="E8" s="130"/>
      <c r="F8" s="130"/>
      <c r="G8" s="130"/>
      <c r="H8" s="130"/>
      <c r="I8" s="130"/>
      <c r="J8" s="130"/>
      <c r="K8" s="130"/>
      <c r="L8" s="130"/>
      <c r="M8" s="130"/>
      <c r="N8" s="130"/>
      <c r="O8" s="130"/>
    </row>
    <row r="9" spans="2:15">
      <c r="B9" s="130"/>
      <c r="C9" s="130"/>
      <c r="D9" s="130"/>
      <c r="E9" s="130"/>
      <c r="F9" s="130"/>
      <c r="G9" s="130"/>
      <c r="H9" s="130"/>
      <c r="I9" s="130"/>
      <c r="J9" s="130"/>
      <c r="K9" s="130"/>
      <c r="L9" s="130"/>
      <c r="M9" s="130"/>
      <c r="N9" s="130"/>
      <c r="O9" s="130"/>
    </row>
    <row r="10" spans="2:15">
      <c r="B10" s="130"/>
      <c r="C10" s="130"/>
      <c r="D10" s="130"/>
      <c r="E10" s="130"/>
      <c r="F10" s="130"/>
      <c r="G10" s="130"/>
      <c r="H10" s="130"/>
      <c r="I10" s="130"/>
      <c r="J10" s="130"/>
      <c r="K10" s="130"/>
      <c r="L10" s="130"/>
      <c r="M10" s="130"/>
      <c r="N10" s="130"/>
      <c r="O10" s="130"/>
    </row>
    <row r="11" spans="2:15">
      <c r="B11" s="130"/>
      <c r="C11" s="130"/>
      <c r="D11" s="130"/>
      <c r="E11" s="130"/>
      <c r="F11" s="130"/>
      <c r="G11" s="130"/>
      <c r="H11" s="130"/>
      <c r="I11" s="130"/>
      <c r="J11" s="130"/>
      <c r="K11" s="130"/>
      <c r="L11" s="130"/>
      <c r="M11" s="130"/>
      <c r="N11" s="130"/>
      <c r="O11" s="130"/>
    </row>
    <row r="12" spans="2:15" ht="18">
      <c r="B12" s="135"/>
      <c r="C12" s="130"/>
      <c r="D12" s="130"/>
      <c r="E12" s="130"/>
      <c r="F12" s="130"/>
      <c r="G12" s="130"/>
      <c r="H12" s="130"/>
      <c r="I12" s="130"/>
      <c r="J12" s="130"/>
      <c r="K12" s="130"/>
      <c r="L12" s="130"/>
      <c r="M12" s="130"/>
      <c r="N12" s="130"/>
      <c r="O12" s="130"/>
    </row>
    <row r="13" spans="2:15" ht="18">
      <c r="B13" s="135"/>
      <c r="C13" s="130"/>
      <c r="D13" s="130"/>
      <c r="E13" s="130"/>
      <c r="F13" s="130"/>
      <c r="G13" s="130"/>
      <c r="H13" s="130"/>
      <c r="I13" s="130"/>
      <c r="J13" s="130"/>
      <c r="K13" s="130"/>
      <c r="L13" s="130"/>
      <c r="M13" s="130"/>
      <c r="N13" s="130"/>
      <c r="O13" s="130"/>
    </row>
    <row r="14" spans="2:15" ht="18">
      <c r="B14" s="135"/>
      <c r="C14" s="130"/>
      <c r="D14" s="130"/>
      <c r="E14" s="130"/>
      <c r="F14" s="130"/>
      <c r="G14" s="130"/>
      <c r="H14" s="130"/>
      <c r="I14" s="130"/>
      <c r="J14" s="130"/>
      <c r="K14" s="130"/>
      <c r="L14" s="130"/>
      <c r="M14" s="130"/>
      <c r="N14" s="130"/>
      <c r="O14" s="130"/>
    </row>
    <row r="15" spans="2:15" ht="18">
      <c r="B15" s="135"/>
      <c r="C15" s="130"/>
      <c r="D15" s="130"/>
      <c r="E15" s="130"/>
      <c r="F15" s="130"/>
      <c r="G15" s="130"/>
      <c r="H15" s="130"/>
      <c r="I15" s="130"/>
      <c r="J15" s="130"/>
      <c r="K15" s="130"/>
      <c r="L15" s="130"/>
      <c r="M15" s="130"/>
      <c r="N15" s="130"/>
      <c r="O15" s="130"/>
    </row>
    <row r="16" spans="2:15">
      <c r="B16" s="130"/>
      <c r="C16" s="130"/>
      <c r="D16" s="130"/>
      <c r="E16" s="130"/>
      <c r="F16" s="130"/>
      <c r="G16" s="130"/>
      <c r="H16" s="130"/>
      <c r="I16" s="130"/>
      <c r="J16" s="130"/>
      <c r="K16" s="130"/>
      <c r="L16" s="130"/>
      <c r="M16" s="130"/>
      <c r="N16" s="130"/>
      <c r="O16" s="130"/>
    </row>
    <row r="17" spans="2:15">
      <c r="B17" s="130"/>
      <c r="C17" s="130"/>
      <c r="D17" s="130"/>
      <c r="E17" s="130"/>
      <c r="F17" s="130"/>
      <c r="G17" s="130"/>
      <c r="H17" s="130"/>
      <c r="I17" s="130"/>
      <c r="J17" s="130"/>
      <c r="K17" s="130"/>
      <c r="L17" s="130"/>
      <c r="M17" s="130"/>
      <c r="N17" s="130"/>
      <c r="O17" s="130"/>
    </row>
    <row r="18" spans="2:15" ht="20">
      <c r="B18" s="133"/>
      <c r="C18" s="130"/>
      <c r="D18" s="130"/>
      <c r="E18" s="130"/>
      <c r="F18" s="130"/>
      <c r="G18" s="130"/>
      <c r="H18" s="130"/>
      <c r="I18" s="130"/>
      <c r="J18" s="130"/>
      <c r="K18" s="130"/>
      <c r="L18" s="130"/>
      <c r="M18" s="130"/>
      <c r="N18" s="130"/>
      <c r="O18" s="130"/>
    </row>
    <row r="19" spans="2:15">
      <c r="B19" s="130"/>
      <c r="C19" s="130"/>
      <c r="D19" s="130"/>
      <c r="E19" s="130"/>
      <c r="F19" s="130"/>
      <c r="G19" s="130"/>
      <c r="H19" s="130"/>
      <c r="I19" s="130"/>
      <c r="J19" s="130"/>
      <c r="K19" s="130"/>
      <c r="L19" s="130"/>
      <c r="M19" s="130"/>
      <c r="N19" s="130"/>
      <c r="O19" s="130"/>
    </row>
    <row r="20" spans="2:15" ht="20">
      <c r="B20" s="133" t="s">
        <v>214</v>
      </c>
      <c r="C20" s="130"/>
      <c r="D20" s="130"/>
      <c r="E20" s="130"/>
      <c r="F20" s="130"/>
      <c r="G20" s="130"/>
      <c r="H20" s="130"/>
      <c r="I20" s="130"/>
      <c r="J20" s="130"/>
      <c r="K20" s="130"/>
      <c r="L20" s="130"/>
      <c r="M20" s="130"/>
      <c r="N20" s="130"/>
      <c r="O20" s="130"/>
    </row>
    <row r="21" spans="2:15">
      <c r="B21" s="130"/>
      <c r="C21" s="130"/>
      <c r="D21" s="130"/>
      <c r="E21" s="130"/>
      <c r="F21" s="130"/>
      <c r="G21" s="130"/>
      <c r="H21" s="130"/>
      <c r="I21" s="130"/>
      <c r="J21" s="130"/>
      <c r="K21" s="130"/>
      <c r="L21" s="130"/>
      <c r="M21" s="130"/>
      <c r="N21" s="130"/>
      <c r="O21" s="130"/>
    </row>
    <row r="22" spans="2:15">
      <c r="B22" s="130"/>
      <c r="C22" s="130"/>
      <c r="D22" s="130"/>
      <c r="E22" s="130"/>
      <c r="F22" s="130"/>
      <c r="G22" s="130"/>
      <c r="H22" s="130"/>
      <c r="I22" s="130"/>
      <c r="J22" s="130"/>
      <c r="K22" s="130"/>
      <c r="L22" s="130"/>
      <c r="M22" s="130"/>
      <c r="N22" s="130"/>
      <c r="O22" s="130"/>
    </row>
    <row r="23" spans="2:15">
      <c r="B23" s="130"/>
      <c r="C23" s="130"/>
      <c r="D23" s="130"/>
      <c r="E23" s="130"/>
      <c r="F23" s="130"/>
      <c r="G23" s="130"/>
      <c r="H23" s="130"/>
      <c r="I23" s="130"/>
      <c r="J23" s="130"/>
      <c r="K23" s="130"/>
      <c r="L23" s="130"/>
      <c r="M23" s="130"/>
      <c r="N23" s="130"/>
      <c r="O23" s="130"/>
    </row>
    <row r="24" spans="2:15">
      <c r="B24" s="130"/>
      <c r="C24" s="130"/>
      <c r="D24" s="130"/>
      <c r="E24" s="130"/>
      <c r="F24" s="130"/>
      <c r="G24" s="130"/>
      <c r="H24" s="130"/>
      <c r="I24" s="130"/>
      <c r="J24" s="130"/>
      <c r="K24" s="130"/>
      <c r="L24" s="130"/>
      <c r="M24" s="130"/>
      <c r="N24" s="130"/>
      <c r="O24" s="130"/>
    </row>
    <row r="25" spans="2:15">
      <c r="B25" s="130"/>
      <c r="C25" s="130"/>
      <c r="D25" s="130"/>
      <c r="E25" s="130"/>
      <c r="F25" s="130"/>
      <c r="G25" s="130"/>
      <c r="H25" s="130"/>
      <c r="I25" s="130"/>
      <c r="J25" s="130"/>
      <c r="K25" s="130"/>
      <c r="L25" s="130"/>
      <c r="M25" s="130"/>
      <c r="N25" s="130"/>
      <c r="O25" s="130"/>
    </row>
    <row r="26" spans="2:15">
      <c r="B26" s="130"/>
      <c r="C26" s="130"/>
      <c r="D26" s="130"/>
      <c r="E26" s="130"/>
      <c r="F26" s="130"/>
      <c r="G26" s="130"/>
      <c r="H26" s="130"/>
      <c r="I26" s="130"/>
      <c r="J26" s="130"/>
      <c r="K26" s="130"/>
      <c r="L26" s="130"/>
      <c r="M26" s="130"/>
      <c r="N26" s="130"/>
      <c r="O26" s="130"/>
    </row>
    <row r="27" spans="2:15">
      <c r="B27" s="130"/>
      <c r="C27" s="130"/>
      <c r="D27" s="130"/>
      <c r="E27" s="130"/>
      <c r="F27" s="130"/>
      <c r="G27" s="130"/>
      <c r="H27" s="130"/>
      <c r="I27" s="130"/>
      <c r="J27" s="130"/>
      <c r="K27" s="130"/>
      <c r="L27" s="130"/>
      <c r="M27" s="130"/>
      <c r="N27" s="130"/>
      <c r="O27" s="130"/>
    </row>
    <row r="28" spans="2:15">
      <c r="B28" s="130"/>
      <c r="C28" s="130"/>
      <c r="D28" s="130"/>
      <c r="E28" s="130"/>
      <c r="F28" s="130"/>
      <c r="G28" s="130"/>
      <c r="H28" s="130"/>
      <c r="I28" s="130"/>
      <c r="J28" s="130"/>
      <c r="K28" s="130"/>
      <c r="L28" s="130"/>
      <c r="M28" s="130"/>
      <c r="N28" s="130"/>
      <c r="O28" s="130"/>
    </row>
    <row r="29" spans="2:15">
      <c r="B29" s="130"/>
      <c r="C29" s="130"/>
      <c r="D29" s="130"/>
      <c r="E29" s="130"/>
      <c r="F29" s="130"/>
      <c r="G29" s="130"/>
      <c r="H29" s="130"/>
      <c r="I29" s="130"/>
      <c r="J29" s="130"/>
      <c r="K29" s="130"/>
      <c r="L29" s="130"/>
      <c r="M29" s="130"/>
      <c r="N29" s="130"/>
      <c r="O29" s="130"/>
    </row>
    <row r="30" spans="2:15">
      <c r="B30" s="130"/>
      <c r="C30" s="130"/>
      <c r="D30" s="130"/>
      <c r="E30" s="130"/>
      <c r="F30" s="130"/>
      <c r="G30" s="130"/>
      <c r="H30" s="130"/>
      <c r="I30" s="130"/>
      <c r="J30" s="130"/>
      <c r="K30" s="130"/>
      <c r="L30" s="130"/>
      <c r="M30" s="130"/>
      <c r="N30" s="130"/>
      <c r="O30" s="130"/>
    </row>
    <row r="31" spans="2:15">
      <c r="B31" s="130"/>
      <c r="C31" s="130"/>
      <c r="D31" s="130"/>
      <c r="E31" s="130"/>
      <c r="F31" s="130"/>
      <c r="G31" s="130"/>
      <c r="H31" s="130"/>
      <c r="I31" s="130"/>
      <c r="J31" s="130"/>
      <c r="K31" s="130"/>
      <c r="L31" s="130"/>
      <c r="M31" s="130"/>
      <c r="N31" s="130"/>
      <c r="O31" s="130"/>
    </row>
    <row r="32" spans="2:15">
      <c r="B32" s="130"/>
      <c r="C32" s="130"/>
      <c r="D32" s="130"/>
      <c r="E32" s="130"/>
      <c r="F32" s="130"/>
      <c r="G32" s="130"/>
      <c r="H32" s="130"/>
      <c r="I32" s="130"/>
      <c r="J32" s="130"/>
      <c r="K32" s="130"/>
      <c r="L32" s="130"/>
      <c r="M32" s="130"/>
      <c r="N32" s="130"/>
      <c r="O32" s="130"/>
    </row>
    <row r="33" spans="2:15">
      <c r="B33" s="130"/>
      <c r="C33" s="130"/>
      <c r="D33" s="130"/>
      <c r="E33" s="130"/>
      <c r="F33" s="130"/>
      <c r="G33" s="130"/>
      <c r="H33" s="130"/>
      <c r="I33" s="130"/>
      <c r="J33" s="130"/>
      <c r="K33" s="130"/>
      <c r="L33" s="130"/>
      <c r="M33" s="130"/>
      <c r="N33" s="130"/>
      <c r="O33" s="130"/>
    </row>
    <row r="34" spans="2:15">
      <c r="B34" s="130"/>
      <c r="C34" s="130"/>
      <c r="D34" s="130"/>
      <c r="E34" s="130"/>
      <c r="F34" s="130"/>
      <c r="G34" s="130"/>
      <c r="H34" s="130"/>
      <c r="I34" s="130"/>
      <c r="J34" s="130"/>
      <c r="K34" s="130"/>
      <c r="L34" s="130"/>
      <c r="M34" s="130"/>
      <c r="N34" s="130"/>
      <c r="O34" s="130"/>
    </row>
    <row r="35" spans="2:15">
      <c r="B35" s="130"/>
      <c r="C35" s="130"/>
      <c r="D35" s="130"/>
      <c r="E35" s="130"/>
      <c r="F35" s="130"/>
      <c r="G35" s="130"/>
      <c r="H35" s="130"/>
      <c r="I35" s="130"/>
      <c r="J35" s="130"/>
      <c r="K35" s="130"/>
      <c r="L35" s="130"/>
      <c r="M35" s="130"/>
      <c r="N35" s="130"/>
      <c r="O35" s="130"/>
    </row>
    <row r="36" spans="2:15">
      <c r="B36" s="130"/>
      <c r="C36" s="130"/>
      <c r="D36" s="130"/>
      <c r="E36" s="130"/>
      <c r="F36" s="130"/>
      <c r="G36" s="130"/>
      <c r="H36" s="130"/>
      <c r="I36" s="130"/>
      <c r="J36" s="130"/>
      <c r="K36" s="130"/>
      <c r="L36" s="130"/>
      <c r="M36" s="130"/>
      <c r="N36" s="130"/>
      <c r="O36" s="130"/>
    </row>
    <row r="37" spans="2:15">
      <c r="B37" s="130"/>
      <c r="C37" s="130"/>
      <c r="D37" s="130"/>
      <c r="E37" s="130"/>
      <c r="F37" s="130"/>
      <c r="G37" s="130"/>
      <c r="H37" s="130"/>
      <c r="I37" s="130"/>
      <c r="J37" s="130"/>
      <c r="K37" s="130"/>
      <c r="L37" s="130"/>
      <c r="M37" s="130"/>
      <c r="N37" s="130"/>
      <c r="O37" s="130"/>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S122"/>
  <sheetViews>
    <sheetView workbookViewId="0">
      <selection activeCell="F16" sqref="F16"/>
    </sheetView>
  </sheetViews>
  <sheetFormatPr baseColWidth="10" defaultColWidth="8.83203125" defaultRowHeight="25" x14ac:dyDescent="0"/>
  <cols>
    <col min="1" max="1" width="4.5" style="25" customWidth="1"/>
    <col min="2" max="2" width="22.6640625" customWidth="1"/>
    <col min="3" max="3" width="9.5" customWidth="1"/>
    <col min="4" max="4" width="17.33203125" customWidth="1"/>
    <col min="5" max="5" width="11.6640625" customWidth="1"/>
    <col min="6" max="8" width="14.6640625" customWidth="1"/>
    <col min="9" max="9" width="11.83203125" customWidth="1"/>
    <col min="10" max="10" width="12.33203125" customWidth="1"/>
    <col min="11" max="11" width="10.5" customWidth="1"/>
    <col min="12" max="12" width="16.5" customWidth="1"/>
    <col min="13" max="13" width="12.6640625" customWidth="1"/>
    <col min="14" max="14" width="11.1640625" customWidth="1"/>
    <col min="15" max="15" width="14.6640625" customWidth="1"/>
    <col min="16" max="16" width="17.1640625" customWidth="1"/>
    <col min="17" max="17" width="16.1640625" customWidth="1"/>
    <col min="18" max="18" width="15.6640625" customWidth="1"/>
    <col min="19" max="20" width="14.6640625" customWidth="1"/>
    <col min="21" max="21" width="12.1640625" customWidth="1"/>
    <col min="22" max="24" width="14.6640625" customWidth="1"/>
    <col min="25" max="25" width="13.33203125" style="160" customWidth="1"/>
    <col min="26" max="48" width="14.6640625" hidden="1" customWidth="1"/>
    <col min="49" max="49" width="8.83203125" hidden="1" customWidth="1"/>
    <col min="50" max="87" width="0" hidden="1" customWidth="1"/>
    <col min="88" max="90" width="13.6640625" hidden="1" customWidth="1"/>
  </cols>
  <sheetData>
    <row r="2" spans="1:97" ht="49" customHeight="1">
      <c r="B2" s="193" t="s">
        <v>202</v>
      </c>
      <c r="C2" s="194"/>
      <c r="D2" s="194"/>
      <c r="E2" s="194"/>
      <c r="F2" s="194"/>
      <c r="G2" s="194"/>
      <c r="H2" s="194"/>
      <c r="I2" s="194"/>
      <c r="J2" s="194"/>
      <c r="K2" s="194"/>
      <c r="L2" s="194"/>
      <c r="M2" s="194"/>
      <c r="N2" s="194"/>
      <c r="O2" s="194"/>
      <c r="P2" s="194"/>
      <c r="Q2" s="194"/>
      <c r="R2" s="194"/>
      <c r="X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10"/>
      <c r="CK2" s="10"/>
      <c r="CL2" s="10"/>
      <c r="CM2" s="11"/>
      <c r="CN2" s="11"/>
    </row>
    <row r="3" spans="1:97" ht="22" customHeight="1">
      <c r="B3" s="114"/>
      <c r="C3" s="114"/>
      <c r="D3" s="118" t="s">
        <v>136</v>
      </c>
      <c r="E3" s="114"/>
      <c r="F3" s="114"/>
      <c r="G3" s="114"/>
      <c r="H3" s="118" t="s">
        <v>195</v>
      </c>
      <c r="I3" s="114"/>
      <c r="J3" s="114"/>
      <c r="K3" s="114"/>
      <c r="L3" s="114"/>
      <c r="M3" s="114"/>
      <c r="N3" s="114"/>
      <c r="O3" s="114"/>
      <c r="P3" s="114"/>
      <c r="Q3" s="114"/>
      <c r="R3" s="114"/>
      <c r="S3" s="115"/>
      <c r="T3" s="115"/>
      <c r="U3" s="115"/>
      <c r="V3" s="115"/>
      <c r="W3" s="115"/>
      <c r="X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10"/>
      <c r="CK3" s="10"/>
      <c r="CL3" s="10"/>
      <c r="CM3" s="11"/>
      <c r="CN3" s="11"/>
    </row>
    <row r="4" spans="1:97" ht="22" customHeight="1">
      <c r="B4" s="114"/>
      <c r="C4" s="114"/>
      <c r="D4" s="117">
        <v>1</v>
      </c>
      <c r="E4" s="118" t="s">
        <v>234</v>
      </c>
      <c r="F4" s="114"/>
      <c r="G4" s="114"/>
      <c r="H4" s="117">
        <v>1</v>
      </c>
      <c r="I4" s="118" t="s">
        <v>246</v>
      </c>
      <c r="J4" s="114"/>
      <c r="K4" s="114"/>
      <c r="L4" s="114"/>
      <c r="M4" s="114"/>
      <c r="N4" s="114"/>
      <c r="O4" s="114"/>
      <c r="P4" s="114"/>
      <c r="Q4" s="114"/>
      <c r="R4" s="114"/>
      <c r="S4" s="115"/>
      <c r="T4" s="115"/>
      <c r="U4" s="115"/>
      <c r="V4" s="115"/>
      <c r="W4" s="115"/>
      <c r="X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10"/>
      <c r="CK4" s="10"/>
      <c r="CL4" s="10"/>
      <c r="CM4" s="11"/>
      <c r="CN4" s="11"/>
    </row>
    <row r="5" spans="1:97" ht="22" customHeight="1">
      <c r="B5" s="114"/>
      <c r="C5" s="114"/>
      <c r="D5" s="117">
        <v>2</v>
      </c>
      <c r="E5" s="118" t="s">
        <v>233</v>
      </c>
      <c r="F5" s="114"/>
      <c r="G5" s="114"/>
      <c r="H5" s="117">
        <v>2</v>
      </c>
      <c r="I5" s="118" t="s">
        <v>247</v>
      </c>
      <c r="J5" s="114"/>
      <c r="K5" s="114"/>
      <c r="L5" s="114"/>
      <c r="M5" s="114"/>
      <c r="N5" s="114"/>
      <c r="O5" s="114"/>
      <c r="P5" s="114"/>
      <c r="Q5" s="114"/>
      <c r="R5" s="114"/>
      <c r="S5" s="115"/>
      <c r="T5" s="115"/>
      <c r="U5" s="115"/>
      <c r="V5" s="115"/>
      <c r="W5" s="115"/>
      <c r="X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10"/>
      <c r="CK5" s="10"/>
      <c r="CL5" s="10"/>
      <c r="CM5" s="11"/>
      <c r="CN5" s="11"/>
    </row>
    <row r="6" spans="1:97" ht="22" customHeight="1">
      <c r="B6" s="114"/>
      <c r="C6" s="114"/>
      <c r="D6" s="117">
        <v>3</v>
      </c>
      <c r="E6" s="118" t="s">
        <v>137</v>
      </c>
      <c r="F6" s="114"/>
      <c r="G6" s="114"/>
      <c r="H6" s="117">
        <v>3</v>
      </c>
      <c r="I6" s="118" t="s">
        <v>248</v>
      </c>
      <c r="J6" s="114"/>
      <c r="K6" s="114"/>
      <c r="L6" s="114"/>
      <c r="M6" s="114"/>
      <c r="N6" s="114"/>
      <c r="O6" s="114"/>
      <c r="P6" s="114"/>
      <c r="Q6" s="114"/>
      <c r="R6" s="114"/>
      <c r="S6" s="115"/>
      <c r="T6" s="115"/>
      <c r="U6" s="115"/>
      <c r="V6" s="115"/>
      <c r="W6" s="115"/>
      <c r="X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10"/>
      <c r="CK6" s="10"/>
      <c r="CL6" s="10"/>
      <c r="CM6" s="11"/>
      <c r="CN6" s="11"/>
    </row>
    <row r="7" spans="1:97" ht="22" customHeight="1">
      <c r="B7" s="114"/>
      <c r="C7" s="114"/>
      <c r="D7" s="117">
        <v>4</v>
      </c>
      <c r="E7" s="118" t="s">
        <v>138</v>
      </c>
      <c r="F7" s="114"/>
      <c r="G7" s="114"/>
      <c r="H7" s="117">
        <v>4</v>
      </c>
      <c r="I7" s="118" t="s">
        <v>249</v>
      </c>
      <c r="J7" s="114"/>
      <c r="K7" s="114"/>
      <c r="L7" s="114"/>
      <c r="M7" s="114"/>
      <c r="N7" s="114"/>
      <c r="O7" s="114"/>
      <c r="P7" s="114"/>
      <c r="Q7" s="114"/>
      <c r="R7" s="114"/>
      <c r="S7" s="115"/>
      <c r="T7" s="115"/>
      <c r="U7" s="115"/>
      <c r="V7" s="115"/>
      <c r="W7" s="115"/>
      <c r="X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10"/>
      <c r="CK7" s="10"/>
      <c r="CL7" s="10"/>
      <c r="CM7" s="11"/>
      <c r="CN7" s="11"/>
    </row>
    <row r="8" spans="1:97" ht="22" customHeight="1">
      <c r="B8" s="114"/>
      <c r="C8" s="114"/>
      <c r="D8" s="117">
        <v>5</v>
      </c>
      <c r="E8" s="118" t="s">
        <v>231</v>
      </c>
      <c r="F8" s="114"/>
      <c r="G8" s="114"/>
      <c r="H8" s="117">
        <v>5</v>
      </c>
      <c r="I8" s="118" t="s">
        <v>250</v>
      </c>
      <c r="J8" s="114"/>
      <c r="K8" s="114"/>
      <c r="L8" s="114"/>
      <c r="M8" s="114"/>
      <c r="N8" s="114"/>
      <c r="O8" s="114"/>
      <c r="P8" s="114"/>
      <c r="Q8" s="114"/>
      <c r="R8" s="114"/>
      <c r="S8" s="115"/>
      <c r="T8" s="115"/>
      <c r="U8" s="115"/>
      <c r="V8" s="115"/>
      <c r="W8" s="115"/>
      <c r="X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10"/>
      <c r="CK8" s="10"/>
      <c r="CL8" s="10"/>
      <c r="CM8" s="11"/>
      <c r="CN8" s="11"/>
    </row>
    <row r="9" spans="1:97" ht="22" customHeight="1">
      <c r="B9" s="114"/>
      <c r="C9" s="114"/>
      <c r="D9" s="117">
        <v>6</v>
      </c>
      <c r="E9" s="118" t="s">
        <v>232</v>
      </c>
      <c r="F9" s="114"/>
      <c r="G9" s="114"/>
      <c r="H9" s="114"/>
      <c r="I9" s="114"/>
      <c r="J9" s="114"/>
      <c r="K9" s="114"/>
      <c r="L9" s="114"/>
      <c r="M9" s="114"/>
      <c r="N9" s="114"/>
      <c r="O9" s="114"/>
      <c r="P9" s="114"/>
      <c r="Q9" s="114"/>
      <c r="R9" s="114"/>
      <c r="S9" s="115"/>
      <c r="T9" s="115"/>
      <c r="U9" s="115"/>
      <c r="V9" s="115"/>
      <c r="W9" s="115"/>
      <c r="X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10"/>
      <c r="CK9" s="10"/>
      <c r="CL9" s="10"/>
      <c r="CM9" s="11"/>
      <c r="CN9" s="11"/>
    </row>
    <row r="10" spans="1:97" ht="22" customHeight="1">
      <c r="B10" s="114"/>
      <c r="C10" s="114"/>
      <c r="D10" s="117"/>
      <c r="E10" s="118"/>
      <c r="F10" s="114"/>
      <c r="G10" s="114"/>
      <c r="H10" s="114"/>
      <c r="I10" s="114"/>
      <c r="J10" s="114"/>
      <c r="K10" s="114"/>
      <c r="L10" s="114"/>
      <c r="M10" s="114"/>
      <c r="N10" s="114"/>
      <c r="O10" s="114"/>
      <c r="P10" s="114"/>
      <c r="Q10" s="114"/>
      <c r="R10" s="114"/>
      <c r="S10" s="115"/>
      <c r="T10" s="115"/>
      <c r="U10" s="115"/>
      <c r="V10" s="115"/>
      <c r="W10" s="115"/>
      <c r="X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10"/>
      <c r="CK10" s="10"/>
      <c r="CL10" s="10"/>
      <c r="CM10" s="11"/>
      <c r="CN10" s="11"/>
    </row>
    <row r="11" spans="1:97" ht="22" customHeight="1">
      <c r="B11" s="138" t="s">
        <v>239</v>
      </c>
      <c r="C11" s="114"/>
      <c r="E11" s="118" t="s">
        <v>334</v>
      </c>
      <c r="F11" s="114"/>
      <c r="G11" s="114"/>
      <c r="H11" s="114"/>
      <c r="I11" s="114"/>
      <c r="J11" s="114"/>
      <c r="K11" s="114"/>
      <c r="L11" s="114"/>
      <c r="M11" s="114"/>
      <c r="N11" s="114"/>
      <c r="O11" s="114"/>
      <c r="P11" s="114"/>
      <c r="Q11" s="114"/>
      <c r="R11" s="114"/>
      <c r="S11" s="115"/>
      <c r="T11" s="115"/>
      <c r="U11" s="115"/>
      <c r="V11" s="115"/>
      <c r="W11" s="115"/>
      <c r="X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10"/>
      <c r="CK11" s="10"/>
      <c r="CL11" s="10"/>
      <c r="CM11" s="11"/>
      <c r="CN11" s="11"/>
    </row>
    <row r="12" spans="1:97" ht="22" customHeight="1" thickBot="1">
      <c r="B12" s="114"/>
      <c r="C12" s="114"/>
      <c r="F12" s="114"/>
      <c r="G12" s="114"/>
      <c r="H12" s="114"/>
      <c r="I12" s="114"/>
      <c r="J12" s="114"/>
      <c r="K12" s="114"/>
      <c r="L12" s="114"/>
      <c r="M12" s="114"/>
      <c r="N12" s="114"/>
      <c r="O12" s="114"/>
      <c r="P12" s="114"/>
      <c r="Q12" s="114"/>
      <c r="R12" s="114"/>
      <c r="S12" s="115"/>
      <c r="T12" s="115"/>
      <c r="U12" s="115"/>
      <c r="V12" s="115"/>
      <c r="W12" s="115"/>
      <c r="X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10"/>
      <c r="CK12" s="10"/>
      <c r="CL12" s="10"/>
      <c r="CM12" s="11"/>
      <c r="CN12" s="11"/>
    </row>
    <row r="13" spans="1:97" ht="21" customHeight="1">
      <c r="B13" s="198" t="s">
        <v>133</v>
      </c>
      <c r="C13" s="198" t="s">
        <v>72</v>
      </c>
      <c r="D13" s="199" t="s">
        <v>14</v>
      </c>
      <c r="E13" s="195" t="s">
        <v>15</v>
      </c>
      <c r="F13" s="195"/>
      <c r="G13" s="195"/>
      <c r="H13" s="195"/>
      <c r="I13" s="195"/>
      <c r="J13" s="195"/>
      <c r="K13" s="195"/>
      <c r="L13" s="195"/>
      <c r="M13" s="195"/>
      <c r="N13" s="195"/>
      <c r="O13" s="195"/>
      <c r="P13" s="195"/>
      <c r="Q13" s="195"/>
      <c r="R13" s="195"/>
      <c r="S13" s="195"/>
      <c r="T13" s="195"/>
      <c r="U13" s="195"/>
      <c r="V13" s="195"/>
      <c r="W13" s="195"/>
      <c r="X13" s="195"/>
      <c r="Y13" s="195"/>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7"/>
      <c r="AW13" s="200"/>
      <c r="AX13" s="200"/>
      <c r="AY13" s="200"/>
      <c r="AZ13" s="200"/>
      <c r="BA13" s="200"/>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204"/>
      <c r="CF13" s="200"/>
      <c r="CG13" s="200"/>
      <c r="CH13" s="200"/>
      <c r="CI13" s="200"/>
      <c r="CJ13" s="110"/>
      <c r="CK13" s="107"/>
      <c r="CL13" s="107"/>
      <c r="CM13" s="13"/>
      <c r="CN13" s="13"/>
      <c r="CO13" s="9"/>
      <c r="CP13" s="9"/>
      <c r="CQ13" s="9"/>
      <c r="CR13" s="9"/>
      <c r="CS13" s="13"/>
    </row>
    <row r="14" spans="1:97" ht="21" customHeight="1" thickBot="1">
      <c r="B14" s="198"/>
      <c r="C14" s="198"/>
      <c r="D14" s="199"/>
      <c r="E14" s="201" t="s">
        <v>186</v>
      </c>
      <c r="F14" s="201"/>
      <c r="G14" s="201"/>
      <c r="H14" s="201"/>
      <c r="I14" s="201"/>
      <c r="J14" s="201"/>
      <c r="K14" s="201"/>
      <c r="L14" s="201"/>
      <c r="M14" s="201"/>
      <c r="N14" s="201"/>
      <c r="O14" s="201"/>
      <c r="P14" s="201"/>
      <c r="Q14" s="201"/>
      <c r="R14" s="201"/>
      <c r="S14" s="201"/>
      <c r="T14" s="201"/>
      <c r="U14" s="201"/>
      <c r="V14" s="201"/>
      <c r="W14" s="201"/>
      <c r="X14" s="201"/>
      <c r="Y14" s="201"/>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3"/>
      <c r="AW14" s="205"/>
      <c r="AX14" s="206"/>
      <c r="AY14" s="206"/>
      <c r="AZ14" s="206"/>
      <c r="BA14" s="206"/>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206"/>
      <c r="CF14" s="206"/>
      <c r="CG14" s="206"/>
      <c r="CH14" s="206"/>
      <c r="CI14" s="206"/>
      <c r="CJ14" s="109"/>
      <c r="CK14" s="107"/>
      <c r="CL14" s="107"/>
      <c r="CM14" s="13"/>
      <c r="CN14" s="13"/>
      <c r="CO14" s="9"/>
      <c r="CP14" s="9"/>
      <c r="CQ14" s="13"/>
      <c r="CR14" s="13"/>
      <c r="CS14" s="13"/>
    </row>
    <row r="15" spans="1:97" ht="21" customHeight="1">
      <c r="B15" s="198"/>
      <c r="C15" s="198"/>
      <c r="D15" s="199"/>
      <c r="E15" s="146">
        <v>1</v>
      </c>
      <c r="F15" s="146">
        <v>2</v>
      </c>
      <c r="G15" s="146">
        <v>3</v>
      </c>
      <c r="H15" s="146">
        <v>4</v>
      </c>
      <c r="I15" s="146">
        <v>5</v>
      </c>
      <c r="J15" s="147">
        <v>6</v>
      </c>
      <c r="K15" s="147">
        <v>7</v>
      </c>
      <c r="L15" s="147">
        <v>8</v>
      </c>
      <c r="M15" s="147">
        <v>9</v>
      </c>
      <c r="N15" s="147">
        <v>10</v>
      </c>
      <c r="O15" s="147">
        <v>11</v>
      </c>
      <c r="P15" s="147">
        <v>12</v>
      </c>
      <c r="Q15" s="147">
        <v>13</v>
      </c>
      <c r="R15" s="147">
        <v>14</v>
      </c>
      <c r="S15" s="147">
        <v>15</v>
      </c>
      <c r="T15" s="147">
        <v>16</v>
      </c>
      <c r="U15" s="147">
        <v>17</v>
      </c>
      <c r="V15" s="147">
        <v>18</v>
      </c>
      <c r="W15" s="147">
        <v>19</v>
      </c>
      <c r="X15" s="147">
        <v>20</v>
      </c>
      <c r="Y15" s="161"/>
      <c r="Z15" s="56"/>
      <c r="AA15" s="56"/>
      <c r="AB15" s="119"/>
      <c r="AC15" s="119"/>
      <c r="AD15" s="119"/>
      <c r="AE15" s="119"/>
      <c r="AF15" s="119"/>
      <c r="AG15" s="119"/>
      <c r="AH15" s="120"/>
      <c r="AI15" s="120"/>
      <c r="AJ15" s="120"/>
      <c r="AK15" s="120"/>
      <c r="AL15" s="120"/>
      <c r="AM15" s="120"/>
      <c r="AN15" s="120"/>
      <c r="AO15" s="120"/>
      <c r="AP15" s="120"/>
      <c r="AQ15" s="120"/>
      <c r="AR15" s="120"/>
      <c r="AS15" s="120"/>
      <c r="AT15" s="120"/>
      <c r="AU15" s="120"/>
      <c r="AV15" s="120"/>
      <c r="AW15" s="56"/>
      <c r="BA15" s="56"/>
      <c r="BB15" s="56"/>
      <c r="BC15" s="56"/>
      <c r="BD15" s="56"/>
      <c r="BE15" s="56"/>
      <c r="BF15" s="56"/>
      <c r="BG15" s="56"/>
      <c r="BH15" s="56"/>
      <c r="BI15" s="56"/>
      <c r="BJ15" s="56"/>
      <c r="BK15" s="56"/>
      <c r="BL15" s="56"/>
      <c r="BM15" s="56"/>
      <c r="BN15" s="109"/>
      <c r="BO15" s="107"/>
      <c r="BP15" s="107"/>
      <c r="BQ15" s="13"/>
      <c r="BR15" s="13"/>
      <c r="BS15" s="9"/>
      <c r="BT15" s="9"/>
      <c r="BU15" s="13"/>
      <c r="BV15" s="13"/>
      <c r="BW15" s="13"/>
    </row>
    <row r="16" spans="1:97" s="25" customFormat="1" ht="176" customHeight="1">
      <c r="A16" s="25" t="s">
        <v>27</v>
      </c>
      <c r="B16" s="198"/>
      <c r="C16" s="198"/>
      <c r="D16" s="199"/>
      <c r="E16" s="164" t="s">
        <v>144</v>
      </c>
      <c r="F16" s="165" t="s">
        <v>145</v>
      </c>
      <c r="G16" s="165" t="s">
        <v>216</v>
      </c>
      <c r="H16" s="165" t="s">
        <v>71</v>
      </c>
      <c r="I16" s="165" t="s">
        <v>70</v>
      </c>
      <c r="J16" s="165" t="s">
        <v>218</v>
      </c>
      <c r="K16" s="165" t="s">
        <v>191</v>
      </c>
      <c r="L16" s="165" t="s">
        <v>219</v>
      </c>
      <c r="M16" s="165" t="s">
        <v>227</v>
      </c>
      <c r="N16" s="165" t="s">
        <v>168</v>
      </c>
      <c r="O16" s="165" t="s">
        <v>228</v>
      </c>
      <c r="P16" s="165" t="s">
        <v>229</v>
      </c>
      <c r="Q16" s="165" t="s">
        <v>226</v>
      </c>
      <c r="R16" s="165" t="s">
        <v>192</v>
      </c>
      <c r="S16" s="165" t="s">
        <v>223</v>
      </c>
      <c r="T16" s="165" t="s">
        <v>230</v>
      </c>
      <c r="U16" s="165" t="s">
        <v>193</v>
      </c>
      <c r="V16" s="165" t="s">
        <v>194</v>
      </c>
      <c r="W16" s="165" t="s">
        <v>124</v>
      </c>
      <c r="X16" s="165" t="s">
        <v>220</v>
      </c>
      <c r="Y16" s="148" t="s">
        <v>321</v>
      </c>
      <c r="Z16" s="112"/>
      <c r="AA16" s="107"/>
      <c r="AB16" s="166">
        <v>1</v>
      </c>
      <c r="AC16" s="166">
        <v>2</v>
      </c>
      <c r="AD16" s="166">
        <v>3</v>
      </c>
      <c r="AE16" s="166">
        <v>4</v>
      </c>
      <c r="AF16" s="166">
        <v>5</v>
      </c>
      <c r="AG16" s="166">
        <v>6</v>
      </c>
      <c r="AH16" s="166">
        <v>7</v>
      </c>
      <c r="AI16" s="166">
        <v>8</v>
      </c>
      <c r="AJ16" s="166">
        <v>9</v>
      </c>
      <c r="AK16" s="166">
        <v>10</v>
      </c>
      <c r="AL16" s="166">
        <v>11</v>
      </c>
      <c r="AM16" s="166">
        <v>12</v>
      </c>
      <c r="AN16" s="166">
        <v>13</v>
      </c>
      <c r="AO16" s="166">
        <v>14</v>
      </c>
      <c r="AP16" s="166">
        <v>15</v>
      </c>
      <c r="AQ16" s="166">
        <v>16</v>
      </c>
      <c r="AR16" s="166">
        <v>17</v>
      </c>
      <c r="AS16" s="166">
        <v>18</v>
      </c>
      <c r="AT16" s="166">
        <v>19</v>
      </c>
      <c r="AU16" s="166">
        <f t="shared" ref="AU16" si="0">X15</f>
        <v>20</v>
      </c>
      <c r="AV16" s="166" t="e">
        <f>#REF!</f>
        <v>#REF!</v>
      </c>
      <c r="AW16" s="167" t="e">
        <f>#REF!</f>
        <v>#REF!</v>
      </c>
      <c r="BA16" s="168"/>
    </row>
    <row r="17" spans="1:70" ht="27" customHeight="1">
      <c r="A17" s="25">
        <v>1</v>
      </c>
      <c r="B17" s="152" t="s">
        <v>252</v>
      </c>
      <c r="C17" s="153" t="s">
        <v>134</v>
      </c>
      <c r="D17" s="150">
        <v>6</v>
      </c>
      <c r="E17" s="154"/>
      <c r="F17" s="154">
        <v>3</v>
      </c>
      <c r="G17" s="154"/>
      <c r="H17" s="154"/>
      <c r="I17" s="154"/>
      <c r="J17" s="154"/>
      <c r="K17" s="154"/>
      <c r="L17" s="154"/>
      <c r="M17" s="154"/>
      <c r="N17" s="154"/>
      <c r="O17" s="154"/>
      <c r="P17" s="154"/>
      <c r="Q17" s="154"/>
      <c r="R17" s="154"/>
      <c r="S17" s="154"/>
      <c r="T17" s="154"/>
      <c r="U17" s="154"/>
      <c r="V17" s="154"/>
      <c r="W17" s="154"/>
      <c r="X17" s="154"/>
      <c r="Y17" s="162">
        <f>SUM(AB17:AU17)</f>
        <v>150</v>
      </c>
      <c r="AA17" s="116" t="s">
        <v>135</v>
      </c>
      <c r="AB17" s="14" t="str">
        <f>IF(ISERROR(HLOOKUP(E17,$BM$19:$BR25,$D17+1)),"",HLOOKUP(E17,$BM$19:$BR25,$D17+1))</f>
        <v/>
      </c>
      <c r="AC17" s="14">
        <f>IF(ISERROR(HLOOKUP(F17,$BM$19:$BR25,$D17+1)),"",HLOOKUP(F17,$BM$19:$BR25,$D17+1))</f>
        <v>150</v>
      </c>
      <c r="AD17" s="14" t="str">
        <f>IF(ISERROR(HLOOKUP(G17,$BM$19:$BR25,$D17+1)),"",HLOOKUP(G17,$BM$19:$BR25,$D17+1))</f>
        <v/>
      </c>
      <c r="AE17" s="14" t="str">
        <f>IF(ISERROR(HLOOKUP(H17,$BM$19:$BR25,$D17+1)),"",HLOOKUP(H17,$BM$19:$BR25,$D17+1))</f>
        <v/>
      </c>
      <c r="AF17" s="14" t="str">
        <f>IF(ISERROR(HLOOKUP(I17,$BM$19:$BR25,$D17+1)),"",HLOOKUP(I17,$BM$19:$BR25,$D17+1))</f>
        <v/>
      </c>
      <c r="AG17" s="14" t="str">
        <f>IF(ISERROR(HLOOKUP(J17,$BM$19:$BR25,$D17+1)),"",HLOOKUP(J17,$BM$19:$BR25,$D17+1))</f>
        <v/>
      </c>
      <c r="AH17" s="14" t="str">
        <f>IF(ISERROR(HLOOKUP(K17,$BM$19:$BR25,$D17+1)),"",HLOOKUP(K17,$BM$19:$BR25,$D17+1))</f>
        <v/>
      </c>
      <c r="AI17" s="14" t="str">
        <f>IF(ISERROR(HLOOKUP(L17,$BM$19:$BR25,$D17+1)),"",HLOOKUP(L17,$BM$19:$BR25,$D17+1))</f>
        <v/>
      </c>
      <c r="AJ17" s="14" t="str">
        <f>IF(ISERROR(HLOOKUP(M17,$BM$19:$BR25,$D17+1)),"",HLOOKUP(M17,$BM$19:$BR25,$D17+1))</f>
        <v/>
      </c>
      <c r="AK17" s="14" t="str">
        <f>IF(ISERROR(HLOOKUP(N17,$BM$19:$BR25,$D17+1)),"",HLOOKUP(N17,$BM$19:$BR25,$D17+1))</f>
        <v/>
      </c>
      <c r="AL17" s="14" t="str">
        <f>IF(ISERROR(HLOOKUP(O17,$BM$19:$BR25,$D17+1)),"",HLOOKUP(O17,$BM$19:$BR25,$D17+1))</f>
        <v/>
      </c>
      <c r="AM17" s="14" t="str">
        <f>IF(ISERROR(HLOOKUP(P17,$BM$19:$BR25,$D17+1)),"",HLOOKUP(P17,$BM$19:$BR25,$D17+1))</f>
        <v/>
      </c>
      <c r="AN17" s="14" t="str">
        <f>IF(ISERROR(HLOOKUP(Q17,$BM$19:$BR25,$D17+1)),"",HLOOKUP(Q17,$BM$19:$BR25,$D17+1))</f>
        <v/>
      </c>
      <c r="AO17" s="14" t="str">
        <f>IF(ISERROR(HLOOKUP(R17,$BM$19:$BR25,$D17+1)),"",HLOOKUP(R17,$BM$19:$BR25,$D17+1))</f>
        <v/>
      </c>
      <c r="AP17" s="14" t="str">
        <f>IF(ISERROR(HLOOKUP(S17,$BM$19:$BR25,$D17+1)),"",HLOOKUP(S17,$BM$19:$BR25,$D17+1))</f>
        <v/>
      </c>
      <c r="AQ17" s="14" t="str">
        <f>IF(ISERROR(HLOOKUP(T17,$BM$19:$BR25,$D17+1)),"",HLOOKUP(T17,$BM$19:$BR25,$D17+1))</f>
        <v/>
      </c>
      <c r="AR17" s="14" t="str">
        <f>IF(ISERROR(HLOOKUP(U17,$BM$19:$BR25,$D17+1)),"",HLOOKUP(U17,$BM$19:$BR25,$D17+1))</f>
        <v/>
      </c>
      <c r="AS17" s="14" t="str">
        <f>IF(ISERROR(HLOOKUP(V17,$BM$19:$BR25,$D17+1)),"",HLOOKUP(V17,$BM$19:$BR25,$D17+1))</f>
        <v/>
      </c>
      <c r="AT17" s="14" t="str">
        <f>IF(ISERROR(HLOOKUP(W17,$BM$19:$BR25,$D17+1)),"",HLOOKUP(W17,$BM$19:$BR25,$D17+1))</f>
        <v/>
      </c>
      <c r="AU17" s="14" t="str">
        <f>IF(ISERROR(HLOOKUP(X17,$BM$19:$BR25,$D17+1)),"",HLOOKUP(X17,$BM$19:$BR25,$D17+1))</f>
        <v/>
      </c>
      <c r="AV17" s="14" t="s">
        <v>208</v>
      </c>
      <c r="AW17" s="14" t="s">
        <v>208</v>
      </c>
      <c r="AX17">
        <f>SUM(AB17:AV17)</f>
        <v>150</v>
      </c>
      <c r="BA17" s="15"/>
    </row>
    <row r="18" spans="1:70" ht="27" customHeight="1">
      <c r="A18" s="25">
        <v>2</v>
      </c>
      <c r="B18" s="155" t="s">
        <v>235</v>
      </c>
      <c r="C18" s="149" t="s">
        <v>134</v>
      </c>
      <c r="D18" s="150">
        <v>6</v>
      </c>
      <c r="E18" s="151">
        <v>2</v>
      </c>
      <c r="F18" s="151">
        <v>2</v>
      </c>
      <c r="G18" s="151"/>
      <c r="H18" s="151">
        <v>3</v>
      </c>
      <c r="I18" s="151">
        <v>3</v>
      </c>
      <c r="J18" s="151"/>
      <c r="K18" s="151"/>
      <c r="L18" s="151">
        <v>3</v>
      </c>
      <c r="M18" s="151"/>
      <c r="N18" s="151"/>
      <c r="O18" s="151">
        <v>4</v>
      </c>
      <c r="P18" s="151"/>
      <c r="Q18" s="151">
        <v>1</v>
      </c>
      <c r="R18" s="151"/>
      <c r="S18" s="151"/>
      <c r="T18" s="151"/>
      <c r="U18" s="151">
        <v>3</v>
      </c>
      <c r="V18" s="151"/>
      <c r="W18" s="151"/>
      <c r="X18" s="151"/>
      <c r="Y18" s="162">
        <f t="shared" ref="Y18:Y48" si="1">SUM(AB18:AW18)</f>
        <v>1116</v>
      </c>
      <c r="Z18" s="25"/>
      <c r="AA18" t="str">
        <f>B18</f>
        <v>Roof Bolting</v>
      </c>
      <c r="AB18" s="14">
        <f>IF(ISERROR(HLOOKUP(E18,$BM$19:$BR26,$D18+1)),"",HLOOKUP(E18,$BM$19:$BR26,$D18+1))</f>
        <v>30</v>
      </c>
      <c r="AC18" s="14">
        <f>IF(ISERROR(HLOOKUP(F18,$BM$19:$BR26,$D18+1)),"",HLOOKUP(F18,$BM$19:$BR26,$D18+1))</f>
        <v>30</v>
      </c>
      <c r="AD18" s="14" t="str">
        <f>IF(ISERROR(HLOOKUP(G18,$BM$19:$BR26,$D18+1)),"",HLOOKUP(G18,$BM$19:$BR26,$D18+1))</f>
        <v/>
      </c>
      <c r="AE18" s="14">
        <f>IF(ISERROR(HLOOKUP(H18,$BM$19:$BR26,$D18+1)),"",HLOOKUP(H18,$BM$19:$BR26,$D18+1))</f>
        <v>150</v>
      </c>
      <c r="AF18" s="14">
        <f>IF(ISERROR(HLOOKUP(I18,$BM$19:$BR26,$D18+1)),"",HLOOKUP(I18,$BM$19:$BR26,$D18+1))</f>
        <v>150</v>
      </c>
      <c r="AG18" s="14" t="str">
        <f>IF(ISERROR(HLOOKUP(J18,$BM$19:$BR26,$D18+1)),"",HLOOKUP(J18,$BM$19:$BR26,$D18+1))</f>
        <v/>
      </c>
      <c r="AH18" s="14" t="str">
        <f>IF(ISERROR(HLOOKUP(K18,$BM$19:$BR26,$D18+1)),"",HLOOKUP(K18,$BM$19:$BR26,$D18+1))</f>
        <v/>
      </c>
      <c r="AI18" s="14">
        <f>IF(ISERROR(HLOOKUP(L18,$BM$19:$BR26,$D18+1)),"",HLOOKUP(L18,$BM$19:$BR26,$D18+1))</f>
        <v>150</v>
      </c>
      <c r="AJ18" s="14" t="str">
        <f>IF(ISERROR(HLOOKUP(M18,$BM$19:$BR26,$D18+1)),"",HLOOKUP(M18,$BM$19:$BR26,$D18+1))</f>
        <v/>
      </c>
      <c r="AK18" s="14" t="str">
        <f>IF(ISERROR(HLOOKUP(N18,$BM$19:$BR26,$D18+1)),"",HLOOKUP(N18,$BM$19:$BR26,$D18+1))</f>
        <v/>
      </c>
      <c r="AL18" s="14">
        <f>IF(ISERROR(HLOOKUP(O18,$BM$19:$BR26,$D18+1)),"",HLOOKUP(O18,$BM$19:$BR26,$D18+1))</f>
        <v>450</v>
      </c>
      <c r="AM18" s="14" t="str">
        <f>IF(ISERROR(HLOOKUP(P18,$BM$19:$BR26,$D18+1)),"",HLOOKUP(P18,$BM$19:$BR26,$D18+1))</f>
        <v/>
      </c>
      <c r="AN18" s="14">
        <f>IF(ISERROR(HLOOKUP(Q18,$BM$19:$BR26,$D18+1)),"",HLOOKUP(Q18,$BM$19:$BR26,$D18+1))</f>
        <v>6</v>
      </c>
      <c r="AO18" s="14" t="str">
        <f>IF(ISERROR(HLOOKUP(R18,$BM$19:$BR26,$D18+1)),"",HLOOKUP(R18,$BM$19:$BR26,$D18+1))</f>
        <v/>
      </c>
      <c r="AP18" s="14" t="str">
        <f>IF(ISERROR(HLOOKUP(S18,$BM$19:$BR26,$D18+1)),"",HLOOKUP(S18,$BM$19:$BR26,$D18+1))</f>
        <v/>
      </c>
      <c r="AQ18" s="14" t="str">
        <f>IF(ISERROR(HLOOKUP(T18,$BM$19:$BR26,$D18+1)),"",HLOOKUP(T18,$BM$19:$BR26,$D18+1))</f>
        <v/>
      </c>
      <c r="AR18" s="14">
        <f>IF(ISERROR(HLOOKUP(U18,$BM$19:$BR26,$D18+1)),"",HLOOKUP(U18,$BM$19:$BR26,$D18+1))</f>
        <v>150</v>
      </c>
      <c r="AS18" s="14" t="str">
        <f>IF(ISERROR(HLOOKUP(V18,$BM$19:$BR26,$D18+1)),"",HLOOKUP(V18,$BM$19:$BR26,$D18+1))</f>
        <v/>
      </c>
      <c r="AT18" s="14" t="str">
        <f>IF(ISERROR(HLOOKUP(W18,$BM$19:$BR26,$D18+1)),"",HLOOKUP(W18,$BM$19:$BR26,$D18+1))</f>
        <v/>
      </c>
      <c r="AU18" s="14" t="str">
        <f>IF(ISERROR(HLOOKUP(X18,$BM$19:$BR26,$D18+1)),"",HLOOKUP(X18,$BM$19:$BR26,$D18+1))</f>
        <v/>
      </c>
      <c r="AV18" s="14" t="s">
        <v>208</v>
      </c>
      <c r="AW18" s="14" t="s">
        <v>208</v>
      </c>
      <c r="AX18" s="25" t="str">
        <f>B18</f>
        <v>Roof Bolting</v>
      </c>
      <c r="BA18" s="15"/>
      <c r="BB18" s="192" t="s">
        <v>178</v>
      </c>
      <c r="BC18" s="192"/>
      <c r="BD18" s="192"/>
      <c r="BE18" s="192"/>
      <c r="BG18" s="192" t="s">
        <v>150</v>
      </c>
      <c r="BH18" s="192"/>
      <c r="BI18" s="192"/>
      <c r="BJ18" s="192"/>
      <c r="BN18" s="182" t="s">
        <v>151</v>
      </c>
      <c r="BO18" s="182"/>
      <c r="BP18" s="182"/>
      <c r="BQ18" s="182"/>
      <c r="BR18" s="182"/>
    </row>
    <row r="19" spans="1:70" ht="27" customHeight="1">
      <c r="A19" s="25">
        <v>3</v>
      </c>
      <c r="B19" s="156" t="s">
        <v>236</v>
      </c>
      <c r="C19" s="149" t="s">
        <v>134</v>
      </c>
      <c r="D19" s="150">
        <v>3</v>
      </c>
      <c r="E19" s="151"/>
      <c r="F19" s="151">
        <v>2</v>
      </c>
      <c r="G19" s="151"/>
      <c r="H19" s="151">
        <v>3</v>
      </c>
      <c r="I19" s="151">
        <v>3</v>
      </c>
      <c r="J19" s="151"/>
      <c r="K19" s="151"/>
      <c r="L19" s="151">
        <v>3</v>
      </c>
      <c r="M19" s="151"/>
      <c r="N19" s="151"/>
      <c r="O19" s="151">
        <v>4</v>
      </c>
      <c r="P19" s="151"/>
      <c r="Q19" s="151"/>
      <c r="R19" s="151"/>
      <c r="S19" s="151"/>
      <c r="T19" s="151"/>
      <c r="U19" s="151">
        <v>3</v>
      </c>
      <c r="V19" s="151"/>
      <c r="W19" s="151"/>
      <c r="X19" s="151"/>
      <c r="Y19" s="162">
        <f t="shared" si="1"/>
        <v>540</v>
      </c>
      <c r="Z19" s="112"/>
      <c r="AA19" s="112"/>
      <c r="AB19" s="14" t="str">
        <f>IF(ISERROR(HLOOKUP(E19,$BM$19:$BR27,$D19+1)),"",HLOOKUP(E19,$BM$19:$BR27,$D19+1))</f>
        <v/>
      </c>
      <c r="AC19" s="14">
        <f>IF(ISERROR(HLOOKUP(F19,$BM$19:$BR27,$D19+1)),"",HLOOKUP(F19,$BM$19:$BR27,$D19+1))</f>
        <v>15</v>
      </c>
      <c r="AD19" s="14" t="str">
        <f>IF(ISERROR(HLOOKUP(G19,$BM$19:$BR27,$D19+1)),"",HLOOKUP(G19,$BM$19:$BR27,$D19+1))</f>
        <v/>
      </c>
      <c r="AE19" s="14">
        <f>IF(ISERROR(HLOOKUP(H19,$BM$19:$BR27,$D19+1)),"",HLOOKUP(H19,$BM$19:$BR27,$D19+1))</f>
        <v>75</v>
      </c>
      <c r="AF19" s="14">
        <f>IF(ISERROR(HLOOKUP(I19,$BM$19:$BR27,$D19+1)),"",HLOOKUP(I19,$BM$19:$BR27,$D19+1))</f>
        <v>75</v>
      </c>
      <c r="AG19" s="14" t="str">
        <f>IF(ISERROR(HLOOKUP(J19,$BM$19:$BR27,$D19+1)),"",HLOOKUP(J19,$BM$19:$BR27,$D19+1))</f>
        <v/>
      </c>
      <c r="AH19" s="14" t="str">
        <f>IF(ISERROR(HLOOKUP(K19,$BM$19:$BR27,$D19+1)),"",HLOOKUP(K19,$BM$19:$BR27,$D19+1))</f>
        <v/>
      </c>
      <c r="AI19" s="14">
        <f>IF(ISERROR(HLOOKUP(L19,$BM$19:$BR27,$D19+1)),"",HLOOKUP(L19,$BM$19:$BR27,$D19+1))</f>
        <v>75</v>
      </c>
      <c r="AJ19" s="14" t="str">
        <f>IF(ISERROR(HLOOKUP(M19,$BM$19:$BR27,$D19+1)),"",HLOOKUP(M19,$BM$19:$BR27,$D19+1))</f>
        <v/>
      </c>
      <c r="AK19" s="14" t="str">
        <f>IF(ISERROR(HLOOKUP(N19,$BM$19:$BR27,$D19+1)),"",HLOOKUP(N19,$BM$19:$BR27,$D19+1))</f>
        <v/>
      </c>
      <c r="AL19" s="14">
        <f>IF(ISERROR(HLOOKUP(O19,$BM$19:$BR27,$D19+1)),"",HLOOKUP(O19,$BM$19:$BR27,$D19+1))</f>
        <v>225</v>
      </c>
      <c r="AM19" s="14" t="str">
        <f>IF(ISERROR(HLOOKUP(P19,$BM$19:$BR27,$D19+1)),"",HLOOKUP(P19,$BM$19:$BR27,$D19+1))</f>
        <v/>
      </c>
      <c r="AN19" s="14" t="str">
        <f>IF(ISERROR(HLOOKUP(Q19,$BM$19:$BR27,$D19+1)),"",HLOOKUP(Q19,$BM$19:$BR27,$D19+1))</f>
        <v/>
      </c>
      <c r="AO19" s="14" t="str">
        <f>IF(ISERROR(HLOOKUP(R19,$BM$19:$BR27,$D19+1)),"",HLOOKUP(R19,$BM$19:$BR27,$D19+1))</f>
        <v/>
      </c>
      <c r="AP19" s="14" t="str">
        <f>IF(ISERROR(HLOOKUP(S19,$BM$19:$BR27,$D19+1)),"",HLOOKUP(S19,$BM$19:$BR27,$D19+1))</f>
        <v/>
      </c>
      <c r="AQ19" s="14" t="str">
        <f>IF(ISERROR(HLOOKUP(T19,$BM$19:$BR27,$D19+1)),"",HLOOKUP(T19,$BM$19:$BR27,$D19+1))</f>
        <v/>
      </c>
      <c r="AR19" s="14">
        <f>IF(ISERROR(HLOOKUP(U19,$BM$19:$BR27,$D19+1)),"",HLOOKUP(U19,$BM$19:$BR27,$D19+1))</f>
        <v>75</v>
      </c>
      <c r="AS19" s="14" t="str">
        <f>IF(ISERROR(HLOOKUP(V19,$BM$19:$BR27,$D19+1)),"",HLOOKUP(V19,$BM$19:$BR27,$D19+1))</f>
        <v/>
      </c>
      <c r="AT19" s="14" t="str">
        <f>IF(ISERROR(HLOOKUP(W19,$BM$19:$BR27,$D19+1)),"",HLOOKUP(W19,$BM$19:$BR27,$D19+1))</f>
        <v/>
      </c>
      <c r="AU19" s="14" t="str">
        <f>IF(ISERROR(HLOOKUP(X19,$BM$19:$BR27,$D19+1)),"",HLOOKUP(X19,$BM$19:$BR27,$D19+1))</f>
        <v/>
      </c>
      <c r="AV19" s="14" t="s">
        <v>208</v>
      </c>
      <c r="AW19" s="14" t="s">
        <v>208</v>
      </c>
      <c r="BA19" s="15"/>
      <c r="BB19" s="57">
        <v>1</v>
      </c>
      <c r="BC19" s="187" t="s">
        <v>179</v>
      </c>
      <c r="BD19" s="187"/>
      <c r="BE19" s="187"/>
      <c r="BG19" s="190">
        <v>1</v>
      </c>
      <c r="BH19" s="188" t="s">
        <v>161</v>
      </c>
      <c r="BI19" s="188"/>
      <c r="BJ19" s="188"/>
      <c r="BN19" s="59">
        <v>1</v>
      </c>
      <c r="BO19" s="59">
        <v>2</v>
      </c>
      <c r="BP19" s="59">
        <v>3</v>
      </c>
      <c r="BQ19" s="59">
        <v>4</v>
      </c>
      <c r="BR19" s="59">
        <v>5</v>
      </c>
    </row>
    <row r="20" spans="1:70" ht="27" customHeight="1">
      <c r="A20" s="25">
        <v>4</v>
      </c>
      <c r="B20" s="156" t="s">
        <v>243</v>
      </c>
      <c r="C20" s="149" t="s">
        <v>134</v>
      </c>
      <c r="D20" s="150">
        <v>6</v>
      </c>
      <c r="E20" s="151"/>
      <c r="F20" s="151">
        <v>2</v>
      </c>
      <c r="G20" s="151"/>
      <c r="H20" s="151"/>
      <c r="I20" s="151"/>
      <c r="J20" s="151"/>
      <c r="K20" s="151"/>
      <c r="L20" s="151"/>
      <c r="M20" s="151"/>
      <c r="N20" s="151"/>
      <c r="O20" s="151"/>
      <c r="P20" s="151"/>
      <c r="Q20" s="151"/>
      <c r="R20" s="151"/>
      <c r="S20" s="151">
        <v>4</v>
      </c>
      <c r="T20" s="151"/>
      <c r="U20" s="151">
        <v>3</v>
      </c>
      <c r="V20" s="151"/>
      <c r="W20" s="151"/>
      <c r="X20" s="151"/>
      <c r="Y20" s="162">
        <f t="shared" si="1"/>
        <v>630</v>
      </c>
      <c r="Z20" s="112"/>
      <c r="AA20" s="112"/>
      <c r="AB20" s="14" t="str">
        <f>IF(ISERROR(HLOOKUP(E20,$BM$19:$BR28,$D20+1)),"",HLOOKUP(E20,$BM$19:$BR28,$D20+1))</f>
        <v/>
      </c>
      <c r="AC20" s="14">
        <f>IF(ISERROR(HLOOKUP(F20,$BM$19:$BR28,$D20+1)),"",HLOOKUP(F20,$BM$19:$BR28,$D20+1))</f>
        <v>30</v>
      </c>
      <c r="AD20" s="14" t="str">
        <f>IF(ISERROR(HLOOKUP(G20,$BM$19:$BR28,$D20+1)),"",HLOOKUP(G20,$BM$19:$BR28,$D20+1))</f>
        <v/>
      </c>
      <c r="AE20" s="14" t="str">
        <f>IF(ISERROR(HLOOKUP(H20,$BM$19:$BR28,$D20+1)),"",HLOOKUP(H20,$BM$19:$BR28,$D20+1))</f>
        <v/>
      </c>
      <c r="AF20" s="14" t="str">
        <f>IF(ISERROR(HLOOKUP(I20,$BM$19:$BR28,$D20+1)),"",HLOOKUP(I20,$BM$19:$BR28,$D20+1))</f>
        <v/>
      </c>
      <c r="AG20" s="14" t="str">
        <f>IF(ISERROR(HLOOKUP(J20,$BM$19:$BR28,$D20+1)),"",HLOOKUP(J20,$BM$19:$BR28,$D20+1))</f>
        <v/>
      </c>
      <c r="AH20" s="14" t="str">
        <f>IF(ISERROR(HLOOKUP(K20,$BM$19:$BR28,$D20+1)),"",HLOOKUP(K20,$BM$19:$BR28,$D20+1))</f>
        <v/>
      </c>
      <c r="AI20" s="14" t="str">
        <f>IF(ISERROR(HLOOKUP(L20,$BM$19:$BR28,$D20+1)),"",HLOOKUP(L20,$BM$19:$BR28,$D20+1))</f>
        <v/>
      </c>
      <c r="AJ20" s="14" t="str">
        <f>IF(ISERROR(HLOOKUP(M20,$BM$19:$BR28,$D20+1)),"",HLOOKUP(M20,$BM$19:$BR28,$D20+1))</f>
        <v/>
      </c>
      <c r="AK20" s="14" t="str">
        <f>IF(ISERROR(HLOOKUP(N20,$BM$19:$BR28,$D20+1)),"",HLOOKUP(N20,$BM$19:$BR28,$D20+1))</f>
        <v/>
      </c>
      <c r="AL20" s="14" t="str">
        <f>IF(ISERROR(HLOOKUP(O20,$BM$19:$BR28,$D20+1)),"",HLOOKUP(O20,$BM$19:$BR28,$D20+1))</f>
        <v/>
      </c>
      <c r="AM20" s="14" t="str">
        <f>IF(ISERROR(HLOOKUP(P20,$BM$19:$BR28,$D20+1)),"",HLOOKUP(P20,$BM$19:$BR28,$D20+1))</f>
        <v/>
      </c>
      <c r="AN20" s="14" t="str">
        <f>IF(ISERROR(HLOOKUP(Q20,$BM$19:$BR28,$D20+1)),"",HLOOKUP(Q20,$BM$19:$BR28,$D20+1))</f>
        <v/>
      </c>
      <c r="AO20" s="14" t="str">
        <f>IF(ISERROR(HLOOKUP(R20,$BM$19:$BR28,$D20+1)),"",HLOOKUP(R20,$BM$19:$BR28,$D20+1))</f>
        <v/>
      </c>
      <c r="AP20" s="14">
        <f>IF(ISERROR(HLOOKUP(S20,$BM$19:$BR28,$D20+1)),"",HLOOKUP(S20,$BM$19:$BR28,$D20+1))</f>
        <v>450</v>
      </c>
      <c r="AQ20" s="14" t="str">
        <f>IF(ISERROR(HLOOKUP(T20,$BM$19:$BR28,$D20+1)),"",HLOOKUP(T20,$BM$19:$BR28,$D20+1))</f>
        <v/>
      </c>
      <c r="AR20" s="14">
        <f>IF(ISERROR(HLOOKUP(U20,$BM$19:$BR28,$D20+1)),"",HLOOKUP(U20,$BM$19:$BR28,$D20+1))</f>
        <v>150</v>
      </c>
      <c r="AS20" s="14" t="str">
        <f>IF(ISERROR(HLOOKUP(V20,$BM$19:$BR28,$D20+1)),"",HLOOKUP(V20,$BM$19:$BR28,$D20+1))</f>
        <v/>
      </c>
      <c r="AT20" s="14" t="str">
        <f>IF(ISERROR(HLOOKUP(W20,$BM$19:$BR28,$D20+1)),"",HLOOKUP(W20,$BM$19:$BR28,$D20+1))</f>
        <v/>
      </c>
      <c r="AU20" s="14" t="str">
        <f>IF(ISERROR(HLOOKUP(X20,$BM$19:$BR28,$D20+1)),"",HLOOKUP(X20,$BM$19:$BR28,$D20+1))</f>
        <v/>
      </c>
      <c r="AV20" s="14" t="s">
        <v>208</v>
      </c>
      <c r="AW20" s="14" t="s">
        <v>208</v>
      </c>
      <c r="BA20" s="15"/>
      <c r="BB20" s="57">
        <v>2</v>
      </c>
      <c r="BC20" s="187" t="s">
        <v>180</v>
      </c>
      <c r="BD20" s="187"/>
      <c r="BE20" s="187"/>
      <c r="BG20" s="191"/>
      <c r="BH20" s="188"/>
      <c r="BI20" s="188"/>
      <c r="BJ20" s="188"/>
      <c r="BL20" s="183" t="s">
        <v>149</v>
      </c>
      <c r="BM20" s="58">
        <v>1</v>
      </c>
      <c r="BN20" s="35">
        <v>1</v>
      </c>
      <c r="BO20" s="35">
        <v>5</v>
      </c>
      <c r="BP20" s="35">
        <v>25</v>
      </c>
      <c r="BQ20" s="35">
        <v>75</v>
      </c>
      <c r="BR20" s="35">
        <v>100</v>
      </c>
    </row>
    <row r="21" spans="1:70" ht="27" customHeight="1">
      <c r="A21" s="25">
        <v>5</v>
      </c>
      <c r="B21" s="156" t="s">
        <v>237</v>
      </c>
      <c r="C21" s="149" t="s">
        <v>134</v>
      </c>
      <c r="D21" s="150">
        <v>4</v>
      </c>
      <c r="E21" s="151"/>
      <c r="F21" s="151">
        <v>2</v>
      </c>
      <c r="G21" s="151"/>
      <c r="H21" s="151"/>
      <c r="I21" s="151"/>
      <c r="J21" s="151"/>
      <c r="K21" s="151"/>
      <c r="L21" s="151"/>
      <c r="M21" s="151"/>
      <c r="N21" s="151"/>
      <c r="O21" s="151"/>
      <c r="P21" s="151"/>
      <c r="Q21" s="151"/>
      <c r="R21" s="151"/>
      <c r="S21" s="151"/>
      <c r="T21" s="151"/>
      <c r="U21" s="151"/>
      <c r="V21" s="151"/>
      <c r="W21" s="151"/>
      <c r="X21" s="151"/>
      <c r="Y21" s="162">
        <f t="shared" si="1"/>
        <v>20</v>
      </c>
      <c r="Z21" s="112"/>
      <c r="AA21" s="112"/>
      <c r="AB21" s="14" t="str">
        <f>IF(ISERROR(HLOOKUP(E21,$BM$19:$BR29,$D21+1)),"",HLOOKUP(E21,$BM$19:$BR29,$D21+1))</f>
        <v/>
      </c>
      <c r="AC21" s="14">
        <f>IF(ISERROR(HLOOKUP(F21,$BM$19:$BR29,$D21+1)),"",HLOOKUP(F21,$BM$19:$BR29,$D21+1))</f>
        <v>20</v>
      </c>
      <c r="AD21" s="14" t="str">
        <f>IF(ISERROR(HLOOKUP(G21,$BM$19:$BR29,$D21+1)),"",HLOOKUP(G21,$BM$19:$BR29,$D21+1))</f>
        <v/>
      </c>
      <c r="AE21" s="14" t="str">
        <f>IF(ISERROR(HLOOKUP(H21,$BM$19:$BR29,$D21+1)),"",HLOOKUP(H21,$BM$19:$BR29,$D21+1))</f>
        <v/>
      </c>
      <c r="AF21" s="14" t="str">
        <f>IF(ISERROR(HLOOKUP(I21,$BM$19:$BR29,$D21+1)),"",HLOOKUP(I21,$BM$19:$BR29,$D21+1))</f>
        <v/>
      </c>
      <c r="AG21" s="14" t="str">
        <f>IF(ISERROR(HLOOKUP(J21,$BM$19:$BR29,$D21+1)),"",HLOOKUP(J21,$BM$19:$BR29,$D21+1))</f>
        <v/>
      </c>
      <c r="AH21" s="14" t="str">
        <f>IF(ISERROR(HLOOKUP(K21,$BM$19:$BR29,$D21+1)),"",HLOOKUP(K21,$BM$19:$BR29,$D21+1))</f>
        <v/>
      </c>
      <c r="AI21" s="14" t="str">
        <f>IF(ISERROR(HLOOKUP(L21,$BM$19:$BR29,$D21+1)),"",HLOOKUP(L21,$BM$19:$BR29,$D21+1))</f>
        <v/>
      </c>
      <c r="AJ21" s="14" t="str">
        <f>IF(ISERROR(HLOOKUP(M21,$BM$19:$BR29,$D21+1)),"",HLOOKUP(M21,$BM$19:$BR29,$D21+1))</f>
        <v/>
      </c>
      <c r="AK21" s="14" t="str">
        <f>IF(ISERROR(HLOOKUP(N21,$BM$19:$BR29,$D21+1)),"",HLOOKUP(N21,$BM$19:$BR29,$D21+1))</f>
        <v/>
      </c>
      <c r="AL21" s="14" t="str">
        <f>IF(ISERROR(HLOOKUP(O21,$BM$19:$BR29,$D21+1)),"",HLOOKUP(O21,$BM$19:$BR29,$D21+1))</f>
        <v/>
      </c>
      <c r="AM21" s="14" t="str">
        <f>IF(ISERROR(HLOOKUP(P21,$BM$19:$BR29,$D21+1)),"",HLOOKUP(P21,$BM$19:$BR29,$D21+1))</f>
        <v/>
      </c>
      <c r="AN21" s="14" t="str">
        <f>IF(ISERROR(HLOOKUP(Q21,$BM$19:$BR29,$D21+1)),"",HLOOKUP(Q21,$BM$19:$BR29,$D21+1))</f>
        <v/>
      </c>
      <c r="AO21" s="14" t="str">
        <f>IF(ISERROR(HLOOKUP(R21,$BM$19:$BR29,$D21+1)),"",HLOOKUP(R21,$BM$19:$BR29,$D21+1))</f>
        <v/>
      </c>
      <c r="AP21" s="14" t="str">
        <f>IF(ISERROR(HLOOKUP(S21,$BM$19:$BR29,$D21+1)),"",HLOOKUP(S21,$BM$19:$BR29,$D21+1))</f>
        <v/>
      </c>
      <c r="AQ21" s="14" t="str">
        <f>IF(ISERROR(HLOOKUP(T21,$BM$19:$BR29,$D21+1)),"",HLOOKUP(T21,$BM$19:$BR29,$D21+1))</f>
        <v/>
      </c>
      <c r="AR21" s="14" t="str">
        <f>IF(ISERROR(HLOOKUP(U21,$BM$19:$BR29,$D21+1)),"",HLOOKUP(U21,$BM$19:$BR29,$D21+1))</f>
        <v/>
      </c>
      <c r="AS21" s="14" t="str">
        <f>IF(ISERROR(HLOOKUP(V21,$BM$19:$BR29,$D21+1)),"",HLOOKUP(V21,$BM$19:$BR29,$D21+1))</f>
        <v/>
      </c>
      <c r="AT21" s="14" t="str">
        <f>IF(ISERROR(HLOOKUP(W21,$BM$19:$BR29,$D21+1)),"",HLOOKUP(W21,$BM$19:$BR29,$D21+1))</f>
        <v/>
      </c>
      <c r="AU21" s="14" t="str">
        <f>IF(ISERROR(HLOOKUP(X21,$BM$19:$BR29,$D21+1)),"",HLOOKUP(X21,$BM$19:$BR29,$D21+1))</f>
        <v/>
      </c>
      <c r="AV21" s="14" t="s">
        <v>208</v>
      </c>
      <c r="AW21" s="14" t="s">
        <v>208</v>
      </c>
      <c r="BA21" s="15"/>
      <c r="BB21" s="57">
        <v>3</v>
      </c>
      <c r="BC21" s="187" t="s">
        <v>181</v>
      </c>
      <c r="BD21" s="187"/>
      <c r="BE21" s="187"/>
      <c r="BG21" s="190">
        <v>2</v>
      </c>
      <c r="BH21" s="188" t="s">
        <v>162</v>
      </c>
      <c r="BI21" s="188"/>
      <c r="BJ21" s="188"/>
      <c r="BL21" s="183"/>
      <c r="BM21" s="58">
        <v>2</v>
      </c>
      <c r="BN21" s="35">
        <v>2</v>
      </c>
      <c r="BO21" s="35">
        <v>10</v>
      </c>
      <c r="BP21" s="35">
        <v>50</v>
      </c>
      <c r="BQ21" s="35">
        <v>150</v>
      </c>
      <c r="BR21" s="35">
        <v>200</v>
      </c>
    </row>
    <row r="22" spans="1:70" ht="27" customHeight="1">
      <c r="A22" s="25">
        <v>6</v>
      </c>
      <c r="B22" s="156" t="s">
        <v>238</v>
      </c>
      <c r="C22" s="149" t="s">
        <v>134</v>
      </c>
      <c r="D22" s="150">
        <v>4</v>
      </c>
      <c r="E22" s="151"/>
      <c r="F22" s="151">
        <v>3</v>
      </c>
      <c r="G22" s="151"/>
      <c r="H22" s="151"/>
      <c r="I22" s="151"/>
      <c r="J22" s="151"/>
      <c r="K22" s="151"/>
      <c r="L22" s="151"/>
      <c r="M22" s="151">
        <v>4</v>
      </c>
      <c r="N22" s="151"/>
      <c r="O22" s="151">
        <v>4</v>
      </c>
      <c r="P22" s="151"/>
      <c r="Q22" s="151">
        <v>1</v>
      </c>
      <c r="R22" s="151"/>
      <c r="S22" s="151"/>
      <c r="T22" s="151"/>
      <c r="U22" s="151"/>
      <c r="V22" s="151"/>
      <c r="W22" s="151"/>
      <c r="X22" s="151"/>
      <c r="Y22" s="162">
        <f t="shared" si="1"/>
        <v>704</v>
      </c>
      <c r="Z22" s="112"/>
      <c r="AA22" s="112"/>
      <c r="AB22" s="14" t="str">
        <f>IF(ISERROR(HLOOKUP(E22,$BM$19:$BR30,$D22+1)),"",HLOOKUP(E22,$BM$19:$BR30,$D22+1))</f>
        <v/>
      </c>
      <c r="AC22" s="14">
        <f>IF(ISERROR(HLOOKUP(F22,$BM$19:$BR30,$D22+1)),"",HLOOKUP(F22,$BM$19:$BR30,$D22+1))</f>
        <v>100</v>
      </c>
      <c r="AD22" s="14" t="str">
        <f>IF(ISERROR(HLOOKUP(G22,$BM$19:$BR30,$D22+1)),"",HLOOKUP(G22,$BM$19:$BR30,$D22+1))</f>
        <v/>
      </c>
      <c r="AE22" s="14" t="str">
        <f>IF(ISERROR(HLOOKUP(H22,$BM$19:$BR30,$D22+1)),"",HLOOKUP(H22,$BM$19:$BR30,$D22+1))</f>
        <v/>
      </c>
      <c r="AF22" s="14" t="str">
        <f>IF(ISERROR(HLOOKUP(I22,$BM$19:$BR30,$D22+1)),"",HLOOKUP(I22,$BM$19:$BR30,$D22+1))</f>
        <v/>
      </c>
      <c r="AG22" s="14" t="str">
        <f>IF(ISERROR(HLOOKUP(J22,$BM$19:$BR30,$D22+1)),"",HLOOKUP(J22,$BM$19:$BR30,$D22+1))</f>
        <v/>
      </c>
      <c r="AH22" s="14" t="str">
        <f>IF(ISERROR(HLOOKUP(K22,$BM$19:$BR30,$D22+1)),"",HLOOKUP(K22,$BM$19:$BR30,$D22+1))</f>
        <v/>
      </c>
      <c r="AI22" s="14" t="str">
        <f>IF(ISERROR(HLOOKUP(L22,$BM$19:$BR30,$D22+1)),"",HLOOKUP(L22,$BM$19:$BR30,$D22+1))</f>
        <v/>
      </c>
      <c r="AJ22" s="14">
        <f>IF(ISERROR(HLOOKUP(M22,$BM$19:$BR30,$D22+1)),"",HLOOKUP(M22,$BM$19:$BR30,$D22+1))</f>
        <v>300</v>
      </c>
      <c r="AK22" s="14" t="str">
        <f>IF(ISERROR(HLOOKUP(N22,$BM$19:$BR30,$D22+1)),"",HLOOKUP(N22,$BM$19:$BR30,$D22+1))</f>
        <v/>
      </c>
      <c r="AL22" s="14">
        <f>IF(ISERROR(HLOOKUP(O22,$BM$19:$BR30,$D22+1)),"",HLOOKUP(O22,$BM$19:$BR30,$D22+1))</f>
        <v>300</v>
      </c>
      <c r="AM22" s="14" t="str">
        <f>IF(ISERROR(HLOOKUP(P22,$BM$19:$BR30,$D22+1)),"",HLOOKUP(P22,$BM$19:$BR30,$D22+1))</f>
        <v/>
      </c>
      <c r="AN22" s="14">
        <f>IF(ISERROR(HLOOKUP(Q22,$BM$19:$BR30,$D22+1)),"",HLOOKUP(Q22,$BM$19:$BR30,$D22+1))</f>
        <v>4</v>
      </c>
      <c r="AO22" s="14" t="str">
        <f>IF(ISERROR(HLOOKUP(R22,$BM$19:$BR30,$D22+1)),"",HLOOKUP(R22,$BM$19:$BR30,$D22+1))</f>
        <v/>
      </c>
      <c r="AP22" s="14" t="str">
        <f>IF(ISERROR(HLOOKUP(S22,$BM$19:$BR30,$D22+1)),"",HLOOKUP(S22,$BM$19:$BR30,$D22+1))</f>
        <v/>
      </c>
      <c r="AQ22" s="14" t="str">
        <f>IF(ISERROR(HLOOKUP(T22,$BM$19:$BR30,$D22+1)),"",HLOOKUP(T22,$BM$19:$BR30,$D22+1))</f>
        <v/>
      </c>
      <c r="AR22" s="14" t="str">
        <f>IF(ISERROR(HLOOKUP(U22,$BM$19:$BR30,$D22+1)),"",HLOOKUP(U22,$BM$19:$BR30,$D22+1))</f>
        <v/>
      </c>
      <c r="AS22" s="14" t="str">
        <f>IF(ISERROR(HLOOKUP(V22,$BM$19:$BR30,$D22+1)),"",HLOOKUP(V22,$BM$19:$BR30,$D22+1))</f>
        <v/>
      </c>
      <c r="AT22" s="14" t="str">
        <f>IF(ISERROR(HLOOKUP(W22,$BM$19:$BR30,$D22+1)),"",HLOOKUP(W22,$BM$19:$BR30,$D22+1))</f>
        <v/>
      </c>
      <c r="AU22" s="14" t="str">
        <f>IF(ISERROR(HLOOKUP(X22,$BM$19:$BR30,$D22+1)),"",HLOOKUP(X22,$BM$19:$BR30,$D22+1))</f>
        <v/>
      </c>
      <c r="AV22" s="14" t="s">
        <v>208</v>
      </c>
      <c r="AW22" s="14" t="s">
        <v>208</v>
      </c>
      <c r="BA22" s="15"/>
      <c r="BB22" s="57">
        <v>4</v>
      </c>
      <c r="BC22" s="187" t="s">
        <v>182</v>
      </c>
      <c r="BD22" s="187"/>
      <c r="BE22" s="187"/>
      <c r="BG22" s="191"/>
      <c r="BH22" s="188"/>
      <c r="BI22" s="188"/>
      <c r="BJ22" s="188"/>
      <c r="BL22" s="183"/>
      <c r="BM22" s="58">
        <v>3</v>
      </c>
      <c r="BN22" s="35">
        <v>3</v>
      </c>
      <c r="BO22" s="35">
        <v>15</v>
      </c>
      <c r="BP22" s="35">
        <v>75</v>
      </c>
      <c r="BQ22" s="35">
        <v>225</v>
      </c>
      <c r="BR22" s="35">
        <v>300</v>
      </c>
    </row>
    <row r="23" spans="1:70" ht="38" customHeight="1">
      <c r="A23" s="25">
        <v>7</v>
      </c>
      <c r="B23" s="156" t="s">
        <v>240</v>
      </c>
      <c r="C23" s="149" t="s">
        <v>262</v>
      </c>
      <c r="D23" s="150">
        <v>5</v>
      </c>
      <c r="E23" s="151"/>
      <c r="F23" s="151">
        <v>2</v>
      </c>
      <c r="G23" s="151"/>
      <c r="H23" s="151"/>
      <c r="I23" s="151"/>
      <c r="J23" s="151"/>
      <c r="K23" s="151"/>
      <c r="L23" s="151"/>
      <c r="M23" s="151"/>
      <c r="N23" s="151"/>
      <c r="O23" s="151"/>
      <c r="P23" s="151"/>
      <c r="Q23" s="151"/>
      <c r="R23" s="151"/>
      <c r="S23" s="151"/>
      <c r="T23" s="151"/>
      <c r="U23" s="151"/>
      <c r="V23" s="151"/>
      <c r="W23" s="151"/>
      <c r="X23" s="151"/>
      <c r="Y23" s="162">
        <f t="shared" si="1"/>
        <v>25</v>
      </c>
      <c r="Z23" s="112"/>
      <c r="AA23" s="112"/>
      <c r="AB23" s="14" t="str">
        <f>IF(ISERROR(HLOOKUP(E23,$BM$19:$BR31,$D23+1)),"",HLOOKUP(E23,$BM$19:$BR31,$D23+1))</f>
        <v/>
      </c>
      <c r="AC23" s="14">
        <f>IF(ISERROR(HLOOKUP(F23,$BM$19:$BR31,$D23+1)),"",HLOOKUP(F23,$BM$19:$BR31,$D23+1))</f>
        <v>25</v>
      </c>
      <c r="AD23" s="14" t="str">
        <f>IF(ISERROR(HLOOKUP(G23,$BM$19:$BR31,$D23+1)),"",HLOOKUP(G23,$BM$19:$BR31,$D23+1))</f>
        <v/>
      </c>
      <c r="AE23" s="14" t="str">
        <f>IF(ISERROR(HLOOKUP(H23,$BM$19:$BR31,$D23+1)),"",HLOOKUP(H23,$BM$19:$BR31,$D23+1))</f>
        <v/>
      </c>
      <c r="AF23" s="14" t="str">
        <f>IF(ISERROR(HLOOKUP(I23,$BM$19:$BR31,$D23+1)),"",HLOOKUP(I23,$BM$19:$BR31,$D23+1))</f>
        <v/>
      </c>
      <c r="AG23" s="14" t="str">
        <f>IF(ISERROR(HLOOKUP(J23,$BM$19:$BR31,$D23+1)),"",HLOOKUP(J23,$BM$19:$BR31,$D23+1))</f>
        <v/>
      </c>
      <c r="AH23" s="14" t="str">
        <f>IF(ISERROR(HLOOKUP(K23,$BM$19:$BR31,$D23+1)),"",HLOOKUP(K23,$BM$19:$BR31,$D23+1))</f>
        <v/>
      </c>
      <c r="AI23" s="14" t="str">
        <f>IF(ISERROR(HLOOKUP(L23,$BM$19:$BR31,$D23+1)),"",HLOOKUP(L23,$BM$19:$BR31,$D23+1))</f>
        <v/>
      </c>
      <c r="AJ23" s="14" t="str">
        <f>IF(ISERROR(HLOOKUP(M23,$BM$19:$BR31,$D23+1)),"",HLOOKUP(M23,$BM$19:$BR31,$D23+1))</f>
        <v/>
      </c>
      <c r="AK23" s="14" t="str">
        <f>IF(ISERROR(HLOOKUP(N23,$BM$19:$BR31,$D23+1)),"",HLOOKUP(N23,$BM$19:$BR31,$D23+1))</f>
        <v/>
      </c>
      <c r="AL23" s="14" t="str">
        <f>IF(ISERROR(HLOOKUP(O23,$BM$19:$BR31,$D23+1)),"",HLOOKUP(O23,$BM$19:$BR31,$D23+1))</f>
        <v/>
      </c>
      <c r="AM23" s="14" t="str">
        <f>IF(ISERROR(HLOOKUP(P23,$BM$19:$BR31,$D23+1)),"",HLOOKUP(P23,$BM$19:$BR31,$D23+1))</f>
        <v/>
      </c>
      <c r="AN23" s="14" t="str">
        <f>IF(ISERROR(HLOOKUP(Q23,$BM$19:$BR31,$D23+1)),"",HLOOKUP(Q23,$BM$19:$BR31,$D23+1))</f>
        <v/>
      </c>
      <c r="AO23" s="14" t="str">
        <f>IF(ISERROR(HLOOKUP(R23,$BM$19:$BR31,$D23+1)),"",HLOOKUP(R23,$BM$19:$BR31,$D23+1))</f>
        <v/>
      </c>
      <c r="AP23" s="14" t="str">
        <f>IF(ISERROR(HLOOKUP(S23,$BM$19:$BR31,$D23+1)),"",HLOOKUP(S23,$BM$19:$BR31,$D23+1))</f>
        <v/>
      </c>
      <c r="AQ23" s="14" t="str">
        <f>IF(ISERROR(HLOOKUP(T23,$BM$19:$BR31,$D23+1)),"",HLOOKUP(T23,$BM$19:$BR31,$D23+1))</f>
        <v/>
      </c>
      <c r="AR23" s="14" t="str">
        <f>IF(ISERROR(HLOOKUP(U23,$BM$19:$BR31,$D23+1)),"",HLOOKUP(U23,$BM$19:$BR31,$D23+1))</f>
        <v/>
      </c>
      <c r="AS23" s="14" t="str">
        <f>IF(ISERROR(HLOOKUP(V23,$BM$19:$BR31,$D23+1)),"",HLOOKUP(V23,$BM$19:$BR31,$D23+1))</f>
        <v/>
      </c>
      <c r="AT23" s="14" t="str">
        <f>IF(ISERROR(HLOOKUP(W23,$BM$19:$BR31,$D23+1)),"",HLOOKUP(W23,$BM$19:$BR31,$D23+1))</f>
        <v/>
      </c>
      <c r="AU23" s="14" t="str">
        <f>IF(ISERROR(HLOOKUP(X23,$BM$19:$BR31,$D23+1)),"",HLOOKUP(X23,$BM$19:$BR31,$D23+1))</f>
        <v/>
      </c>
      <c r="AV23" s="14" t="s">
        <v>208</v>
      </c>
      <c r="AW23" s="14" t="s">
        <v>208</v>
      </c>
      <c r="BA23" s="15"/>
      <c r="BB23" s="57">
        <v>5</v>
      </c>
      <c r="BC23" s="187" t="s">
        <v>183</v>
      </c>
      <c r="BD23" s="187"/>
      <c r="BE23" s="187"/>
      <c r="BG23" s="190">
        <v>3</v>
      </c>
      <c r="BH23" s="188" t="s">
        <v>163</v>
      </c>
      <c r="BI23" s="188"/>
      <c r="BJ23" s="188"/>
      <c r="BL23" s="183"/>
      <c r="BM23" s="58">
        <v>4</v>
      </c>
      <c r="BN23" s="35">
        <v>4</v>
      </c>
      <c r="BO23" s="35">
        <v>20</v>
      </c>
      <c r="BP23" s="35">
        <v>100</v>
      </c>
      <c r="BQ23" s="35">
        <v>300</v>
      </c>
      <c r="BR23" s="35">
        <v>400</v>
      </c>
    </row>
    <row r="24" spans="1:70" ht="27" customHeight="1">
      <c r="A24" s="25">
        <v>8</v>
      </c>
      <c r="B24" s="156" t="s">
        <v>241</v>
      </c>
      <c r="C24" s="149" t="s">
        <v>262</v>
      </c>
      <c r="D24" s="150">
        <v>4</v>
      </c>
      <c r="E24" s="151"/>
      <c r="F24" s="151">
        <v>2</v>
      </c>
      <c r="G24" s="151"/>
      <c r="H24" s="151">
        <v>4</v>
      </c>
      <c r="I24" s="151"/>
      <c r="J24" s="151"/>
      <c r="K24" s="151"/>
      <c r="L24" s="151">
        <v>3</v>
      </c>
      <c r="M24" s="151"/>
      <c r="N24" s="151"/>
      <c r="O24" s="151"/>
      <c r="P24" s="151"/>
      <c r="Q24" s="151"/>
      <c r="R24" s="151"/>
      <c r="S24" s="151"/>
      <c r="T24" s="151"/>
      <c r="U24" s="151"/>
      <c r="V24" s="151"/>
      <c r="W24" s="151"/>
      <c r="X24" s="151"/>
      <c r="Y24" s="162">
        <f t="shared" si="1"/>
        <v>420</v>
      </c>
      <c r="Z24" s="112"/>
      <c r="AA24" s="112"/>
      <c r="AB24" s="14" t="str">
        <f>IF(ISERROR(HLOOKUP(E24,$BM$19:$BR32,$D24+1)),"",HLOOKUP(E24,$BM$19:$BR32,$D24+1))</f>
        <v/>
      </c>
      <c r="AC24" s="14">
        <f>IF(ISERROR(HLOOKUP(F24,$BM$19:$BR32,$D24+1)),"",HLOOKUP(F24,$BM$19:$BR32,$D24+1))</f>
        <v>20</v>
      </c>
      <c r="AD24" s="14" t="str">
        <f>IF(ISERROR(HLOOKUP(G24,$BM$19:$BR32,$D24+1)),"",HLOOKUP(G24,$BM$19:$BR32,$D24+1))</f>
        <v/>
      </c>
      <c r="AE24" s="14">
        <f>IF(ISERROR(HLOOKUP(H24,$BM$19:$BR32,$D24+1)),"",HLOOKUP(H24,$BM$19:$BR32,$D24+1))</f>
        <v>300</v>
      </c>
      <c r="AF24" s="14" t="str">
        <f>IF(ISERROR(HLOOKUP(I24,$BM$19:$BR32,$D24+1)),"",HLOOKUP(I24,$BM$19:$BR32,$D24+1))</f>
        <v/>
      </c>
      <c r="AG24" s="14" t="str">
        <f>IF(ISERROR(HLOOKUP(J24,$BM$19:$BR32,$D24+1)),"",HLOOKUP(J24,$BM$19:$BR32,$D24+1))</f>
        <v/>
      </c>
      <c r="AH24" s="14" t="str">
        <f>IF(ISERROR(HLOOKUP(K24,$BM$19:$BR32,$D24+1)),"",HLOOKUP(K24,$BM$19:$BR32,$D24+1))</f>
        <v/>
      </c>
      <c r="AI24" s="14">
        <f>IF(ISERROR(HLOOKUP(L24,$BM$19:$BR32,$D24+1)),"",HLOOKUP(L24,$BM$19:$BR32,$D24+1))</f>
        <v>100</v>
      </c>
      <c r="AJ24" s="14" t="str">
        <f>IF(ISERROR(HLOOKUP(M24,$BM$19:$BR32,$D24+1)),"",HLOOKUP(M24,$BM$19:$BR32,$D24+1))</f>
        <v/>
      </c>
      <c r="AK24" s="14" t="str">
        <f>IF(ISERROR(HLOOKUP(N24,$BM$19:$BR32,$D24+1)),"",HLOOKUP(N24,$BM$19:$BR32,$D24+1))</f>
        <v/>
      </c>
      <c r="AL24" s="14" t="str">
        <f>IF(ISERROR(HLOOKUP(O24,$BM$19:$BR32,$D24+1)),"",HLOOKUP(O24,$BM$19:$BR32,$D24+1))</f>
        <v/>
      </c>
      <c r="AM24" s="14" t="str">
        <f>IF(ISERROR(HLOOKUP(P24,$BM$19:$BR32,$D24+1)),"",HLOOKUP(P24,$BM$19:$BR32,$D24+1))</f>
        <v/>
      </c>
      <c r="AN24" s="14" t="str">
        <f>IF(ISERROR(HLOOKUP(Q24,$BM$19:$BR32,$D24+1)),"",HLOOKUP(Q24,$BM$19:$BR32,$D24+1))</f>
        <v/>
      </c>
      <c r="AO24" s="14" t="str">
        <f>IF(ISERROR(HLOOKUP(R24,$BM$19:$BR32,$D24+1)),"",HLOOKUP(R24,$BM$19:$BR32,$D24+1))</f>
        <v/>
      </c>
      <c r="AP24" s="14" t="str">
        <f>IF(ISERROR(HLOOKUP(S24,$BM$19:$BR32,$D24+1)),"",HLOOKUP(S24,$BM$19:$BR32,$D24+1))</f>
        <v/>
      </c>
      <c r="AQ24" s="14" t="str">
        <f>IF(ISERROR(HLOOKUP(T24,$BM$19:$BR32,$D24+1)),"",HLOOKUP(T24,$BM$19:$BR32,$D24+1))</f>
        <v/>
      </c>
      <c r="AR24" s="14" t="str">
        <f>IF(ISERROR(HLOOKUP(U24,$BM$19:$BR32,$D24+1)),"",HLOOKUP(U24,$BM$19:$BR32,$D24+1))</f>
        <v/>
      </c>
      <c r="AS24" s="14" t="str">
        <f>IF(ISERROR(HLOOKUP(V24,$BM$19:$BR32,$D24+1)),"",HLOOKUP(V24,$BM$19:$BR32,$D24+1))</f>
        <v/>
      </c>
      <c r="AT24" s="14" t="str">
        <f>IF(ISERROR(HLOOKUP(W24,$BM$19:$BR32,$D24+1)),"",HLOOKUP(W24,$BM$19:$BR32,$D24+1))</f>
        <v/>
      </c>
      <c r="AU24" s="14" t="str">
        <f>IF(ISERROR(HLOOKUP(X24,$BM$19:$BR32,$D24+1)),"",HLOOKUP(X24,$BM$19:$BR32,$D24+1))</f>
        <v/>
      </c>
      <c r="AV24" s="14" t="s">
        <v>208</v>
      </c>
      <c r="AW24" s="14" t="s">
        <v>208</v>
      </c>
      <c r="BA24" s="15"/>
      <c r="BB24" s="57">
        <v>6</v>
      </c>
      <c r="BC24" s="187" t="s">
        <v>184</v>
      </c>
      <c r="BD24" s="187"/>
      <c r="BE24" s="187"/>
      <c r="BG24" s="191"/>
      <c r="BH24" s="188"/>
      <c r="BI24" s="188"/>
      <c r="BJ24" s="188"/>
      <c r="BL24" s="183"/>
      <c r="BM24" s="58">
        <v>5</v>
      </c>
      <c r="BN24" s="35">
        <v>5</v>
      </c>
      <c r="BO24" s="35">
        <v>25</v>
      </c>
      <c r="BP24" s="35">
        <v>125</v>
      </c>
      <c r="BQ24" s="35">
        <v>375</v>
      </c>
      <c r="BR24" s="35">
        <v>500</v>
      </c>
    </row>
    <row r="25" spans="1:70" ht="27" customHeight="1">
      <c r="A25" s="25">
        <v>9</v>
      </c>
      <c r="B25" s="156" t="s">
        <v>242</v>
      </c>
      <c r="C25" s="149" t="s">
        <v>262</v>
      </c>
      <c r="D25" s="150">
        <v>5</v>
      </c>
      <c r="E25" s="151"/>
      <c r="F25" s="151">
        <v>3</v>
      </c>
      <c r="G25" s="151"/>
      <c r="H25" s="151"/>
      <c r="I25" s="151"/>
      <c r="J25" s="151"/>
      <c r="K25" s="151"/>
      <c r="L25" s="151">
        <v>3</v>
      </c>
      <c r="M25" s="151"/>
      <c r="N25" s="151"/>
      <c r="O25" s="151"/>
      <c r="P25" s="151"/>
      <c r="Q25" s="151"/>
      <c r="R25" s="151"/>
      <c r="S25" s="151"/>
      <c r="T25" s="151"/>
      <c r="U25" s="151"/>
      <c r="V25" s="151"/>
      <c r="W25" s="151"/>
      <c r="X25" s="151"/>
      <c r="Y25" s="162">
        <f t="shared" si="1"/>
        <v>250</v>
      </c>
      <c r="Z25" s="112"/>
      <c r="AA25" s="112"/>
      <c r="AB25" s="14" t="str">
        <f>IF(ISERROR(HLOOKUP(E25,$BM$19:$BR33,$D25+1)),"",HLOOKUP(E25,$BM$19:$BR33,$D25+1))</f>
        <v/>
      </c>
      <c r="AC25" s="14">
        <f>IF(ISERROR(HLOOKUP(F25,$BM$19:$BR33,$D25+1)),"",HLOOKUP(F25,$BM$19:$BR33,$D25+1))</f>
        <v>125</v>
      </c>
      <c r="AD25" s="14" t="str">
        <f>IF(ISERROR(HLOOKUP(G25,$BM$19:$BR33,$D25+1)),"",HLOOKUP(G25,$BM$19:$BR33,$D25+1))</f>
        <v/>
      </c>
      <c r="AE25" s="14" t="str">
        <f>IF(ISERROR(HLOOKUP(H25,$BM$19:$BR33,$D25+1)),"",HLOOKUP(H25,$BM$19:$BR33,$D25+1))</f>
        <v/>
      </c>
      <c r="AF25" s="14" t="str">
        <f>IF(ISERROR(HLOOKUP(I25,$BM$19:$BR33,$D25+1)),"",HLOOKUP(I25,$BM$19:$BR33,$D25+1))</f>
        <v/>
      </c>
      <c r="AG25" s="14" t="str">
        <f>IF(ISERROR(HLOOKUP(J25,$BM$19:$BR33,$D25+1)),"",HLOOKUP(J25,$BM$19:$BR33,$D25+1))</f>
        <v/>
      </c>
      <c r="AH25" s="14" t="str">
        <f>IF(ISERROR(HLOOKUP(K25,$BM$19:$BR33,$D25+1)),"",HLOOKUP(K25,$BM$19:$BR33,$D25+1))</f>
        <v/>
      </c>
      <c r="AI25" s="14">
        <f>IF(ISERROR(HLOOKUP(L25,$BM$19:$BR33,$D25+1)),"",HLOOKUP(L25,$BM$19:$BR33,$D25+1))</f>
        <v>125</v>
      </c>
      <c r="AJ25" s="14" t="str">
        <f>IF(ISERROR(HLOOKUP(M25,$BM$19:$BR33,$D25+1)),"",HLOOKUP(M25,$BM$19:$BR33,$D25+1))</f>
        <v/>
      </c>
      <c r="AK25" s="14" t="str">
        <f>IF(ISERROR(HLOOKUP(N25,$BM$19:$BR33,$D25+1)),"",HLOOKUP(N25,$BM$19:$BR33,$D25+1))</f>
        <v/>
      </c>
      <c r="AL25" s="14" t="str">
        <f>IF(ISERROR(HLOOKUP(O25,$BM$19:$BR33,$D25+1)),"",HLOOKUP(O25,$BM$19:$BR33,$D25+1))</f>
        <v/>
      </c>
      <c r="AM25" s="14" t="str">
        <f>IF(ISERROR(HLOOKUP(P25,$BM$19:$BR33,$D25+1)),"",HLOOKUP(P25,$BM$19:$BR33,$D25+1))</f>
        <v/>
      </c>
      <c r="AN25" s="14" t="str">
        <f>IF(ISERROR(HLOOKUP(Q25,$BM$19:$BR33,$D25+1)),"",HLOOKUP(Q25,$BM$19:$BR33,$D25+1))</f>
        <v/>
      </c>
      <c r="AO25" s="14" t="str">
        <f>IF(ISERROR(HLOOKUP(R25,$BM$19:$BR33,$D25+1)),"",HLOOKUP(R25,$BM$19:$BR33,$D25+1))</f>
        <v/>
      </c>
      <c r="AP25" s="14" t="str">
        <f>IF(ISERROR(HLOOKUP(S25,$BM$19:$BR33,$D25+1)),"",HLOOKUP(S25,$BM$19:$BR33,$D25+1))</f>
        <v/>
      </c>
      <c r="AQ25" s="14" t="str">
        <f>IF(ISERROR(HLOOKUP(T25,$BM$19:$BR33,$D25+1)),"",HLOOKUP(T25,$BM$19:$BR33,$D25+1))</f>
        <v/>
      </c>
      <c r="AR25" s="14" t="str">
        <f>IF(ISERROR(HLOOKUP(U25,$BM$19:$BR33,$D25+1)),"",HLOOKUP(U25,$BM$19:$BR33,$D25+1))</f>
        <v/>
      </c>
      <c r="AS25" s="14" t="str">
        <f>IF(ISERROR(HLOOKUP(V25,$BM$19:$BR33,$D25+1)),"",HLOOKUP(V25,$BM$19:$BR33,$D25+1))</f>
        <v/>
      </c>
      <c r="AT25" s="14" t="str">
        <f>IF(ISERROR(HLOOKUP(W25,$BM$19:$BR33,$D25+1)),"",HLOOKUP(W25,$BM$19:$BR33,$D25+1))</f>
        <v/>
      </c>
      <c r="AU25" s="14" t="str">
        <f>IF(ISERROR(HLOOKUP(X25,$BM$19:$BR33,$D25+1)),"",HLOOKUP(X25,$BM$19:$BR33,$D25+1))</f>
        <v/>
      </c>
      <c r="AV25" s="14" t="s">
        <v>208</v>
      </c>
      <c r="AW25" s="14" t="s">
        <v>208</v>
      </c>
      <c r="BA25" s="15"/>
      <c r="BB25" s="57">
        <v>7</v>
      </c>
      <c r="BC25" s="187" t="s">
        <v>185</v>
      </c>
      <c r="BD25" s="187"/>
      <c r="BE25" s="187"/>
      <c r="BG25" s="184">
        <v>4</v>
      </c>
      <c r="BH25" s="188" t="s">
        <v>164</v>
      </c>
      <c r="BI25" s="188"/>
      <c r="BJ25" s="188"/>
      <c r="BL25" s="183"/>
      <c r="BM25" s="58">
        <v>6</v>
      </c>
      <c r="BN25" s="35">
        <v>6</v>
      </c>
      <c r="BO25" s="35">
        <v>30</v>
      </c>
      <c r="BP25" s="35">
        <v>150</v>
      </c>
      <c r="BQ25" s="35">
        <v>450</v>
      </c>
      <c r="BR25" s="35">
        <v>600</v>
      </c>
    </row>
    <row r="26" spans="1:70" ht="39" customHeight="1">
      <c r="A26" s="25">
        <v>10</v>
      </c>
      <c r="B26" s="156" t="s">
        <v>245</v>
      </c>
      <c r="C26" s="149" t="s">
        <v>262</v>
      </c>
      <c r="D26" s="150">
        <v>3</v>
      </c>
      <c r="E26" s="151"/>
      <c r="F26" s="151">
        <v>2</v>
      </c>
      <c r="G26" s="151"/>
      <c r="H26" s="151"/>
      <c r="I26" s="151"/>
      <c r="J26" s="151"/>
      <c r="K26" s="151"/>
      <c r="L26" s="151"/>
      <c r="M26" s="151"/>
      <c r="N26" s="151"/>
      <c r="O26" s="151"/>
      <c r="P26" s="151"/>
      <c r="Q26" s="151"/>
      <c r="R26" s="151"/>
      <c r="S26" s="151"/>
      <c r="T26" s="151"/>
      <c r="U26" s="151"/>
      <c r="V26" s="151"/>
      <c r="W26" s="151"/>
      <c r="X26" s="151"/>
      <c r="Y26" s="162">
        <f t="shared" si="1"/>
        <v>15</v>
      </c>
      <c r="Z26" s="112"/>
      <c r="AA26" s="112"/>
      <c r="AB26" s="14" t="str">
        <f>IF(ISERROR(HLOOKUP(E26,$BM$19:$BR34,$D26+1)),"",HLOOKUP(E26,$BM$19:$BR34,$D26+1))</f>
        <v/>
      </c>
      <c r="AC26" s="14">
        <f>IF(ISERROR(HLOOKUP(F26,$BM$19:$BR34,$D26+1)),"",HLOOKUP(F26,$BM$19:$BR34,$D26+1))</f>
        <v>15</v>
      </c>
      <c r="AD26" s="14" t="str">
        <f>IF(ISERROR(HLOOKUP(G26,$BM$19:$BR34,$D26+1)),"",HLOOKUP(G26,$BM$19:$BR34,$D26+1))</f>
        <v/>
      </c>
      <c r="AE26" s="14" t="str">
        <f>IF(ISERROR(HLOOKUP(H26,$BM$19:$BR34,$D26+1)),"",HLOOKUP(H26,$BM$19:$BR34,$D26+1))</f>
        <v/>
      </c>
      <c r="AF26" s="14" t="str">
        <f>IF(ISERROR(HLOOKUP(I26,$BM$19:$BR34,$D26+1)),"",HLOOKUP(I26,$BM$19:$BR34,$D26+1))</f>
        <v/>
      </c>
      <c r="AG26" s="14" t="str">
        <f>IF(ISERROR(HLOOKUP(J26,$BM$19:$BR34,$D26+1)),"",HLOOKUP(J26,$BM$19:$BR34,$D26+1))</f>
        <v/>
      </c>
      <c r="AH26" s="14" t="str">
        <f>IF(ISERROR(HLOOKUP(K26,$BM$19:$BR34,$D26+1)),"",HLOOKUP(K26,$BM$19:$BR34,$D26+1))</f>
        <v/>
      </c>
      <c r="AI26" s="14" t="str">
        <f>IF(ISERROR(HLOOKUP(L26,$BM$19:$BR34,$D26+1)),"",HLOOKUP(L26,$BM$19:$BR34,$D26+1))</f>
        <v/>
      </c>
      <c r="AJ26" s="14" t="str">
        <f>IF(ISERROR(HLOOKUP(M26,$BM$19:$BR34,$D26+1)),"",HLOOKUP(M26,$BM$19:$BR34,$D26+1))</f>
        <v/>
      </c>
      <c r="AK26" s="14" t="str">
        <f>IF(ISERROR(HLOOKUP(N26,$BM$19:$BR34,$D26+1)),"",HLOOKUP(N26,$BM$19:$BR34,$D26+1))</f>
        <v/>
      </c>
      <c r="AL26" s="14" t="str">
        <f>IF(ISERROR(HLOOKUP(O26,$BM$19:$BR34,$D26+1)),"",HLOOKUP(O26,$BM$19:$BR34,$D26+1))</f>
        <v/>
      </c>
      <c r="AM26" s="14" t="str">
        <f>IF(ISERROR(HLOOKUP(P26,$BM$19:$BR34,$D26+1)),"",HLOOKUP(P26,$BM$19:$BR34,$D26+1))</f>
        <v/>
      </c>
      <c r="AN26" s="14" t="str">
        <f>IF(ISERROR(HLOOKUP(Q26,$BM$19:$BR34,$D26+1)),"",HLOOKUP(Q26,$BM$19:$BR34,$D26+1))</f>
        <v/>
      </c>
      <c r="AO26" s="14" t="str">
        <f>IF(ISERROR(HLOOKUP(R26,$BM$19:$BR34,$D26+1)),"",HLOOKUP(R26,$BM$19:$BR34,$D26+1))</f>
        <v/>
      </c>
      <c r="AP26" s="14" t="str">
        <f>IF(ISERROR(HLOOKUP(S26,$BM$19:$BR34,$D26+1)),"",HLOOKUP(S26,$BM$19:$BR34,$D26+1))</f>
        <v/>
      </c>
      <c r="AQ26" s="14" t="str">
        <f>IF(ISERROR(HLOOKUP(T26,$BM$19:$BR34,$D26+1)),"",HLOOKUP(T26,$BM$19:$BR34,$D26+1))</f>
        <v/>
      </c>
      <c r="AR26" s="14" t="str">
        <f>IF(ISERROR(HLOOKUP(U26,$BM$19:$BR34,$D26+1)),"",HLOOKUP(U26,$BM$19:$BR34,$D26+1))</f>
        <v/>
      </c>
      <c r="AS26" s="14" t="str">
        <f>IF(ISERROR(HLOOKUP(V26,$BM$19:$BR34,$D26+1)),"",HLOOKUP(V26,$BM$19:$BR34,$D26+1))</f>
        <v/>
      </c>
      <c r="AT26" s="14" t="str">
        <f>IF(ISERROR(HLOOKUP(W26,$BM$19:$BR34,$D26+1)),"",HLOOKUP(W26,$BM$19:$BR34,$D26+1))</f>
        <v/>
      </c>
      <c r="AU26" s="14" t="str">
        <f>IF(ISERROR(HLOOKUP(X26,$BM$19:$BR34,$D26+1)),"",HLOOKUP(X26,$BM$19:$BR34,$D26+1))</f>
        <v/>
      </c>
      <c r="AV26" s="14" t="s">
        <v>208</v>
      </c>
      <c r="AW26" s="14" t="s">
        <v>208</v>
      </c>
      <c r="BA26" s="15"/>
      <c r="BG26" s="189"/>
      <c r="BH26" s="188"/>
      <c r="BI26" s="188"/>
      <c r="BJ26" s="188"/>
    </row>
    <row r="27" spans="1:70" ht="27" customHeight="1">
      <c r="A27" s="25">
        <v>11</v>
      </c>
      <c r="B27" s="156" t="s">
        <v>244</v>
      </c>
      <c r="C27" s="149"/>
      <c r="D27" s="150"/>
      <c r="E27" s="151"/>
      <c r="F27" s="151"/>
      <c r="G27" s="151"/>
      <c r="H27" s="151"/>
      <c r="I27" s="151"/>
      <c r="J27" s="151"/>
      <c r="K27" s="151"/>
      <c r="L27" s="151"/>
      <c r="M27" s="151"/>
      <c r="N27" s="151"/>
      <c r="O27" s="151"/>
      <c r="P27" s="151"/>
      <c r="Q27" s="151"/>
      <c r="R27" s="151"/>
      <c r="S27" s="151"/>
      <c r="T27" s="151"/>
      <c r="U27" s="151"/>
      <c r="V27" s="151"/>
      <c r="W27" s="151"/>
      <c r="X27" s="151"/>
      <c r="Y27" s="162">
        <f t="shared" si="1"/>
        <v>0</v>
      </c>
      <c r="Z27" s="112"/>
      <c r="AA27" s="112"/>
      <c r="AB27" s="14" t="str">
        <f>IF(ISERROR(HLOOKUP(E27,$BM$19:$BR35,$D27+1)),"",HLOOKUP(E27,$BM$19:$BR35,$D27+1))</f>
        <v/>
      </c>
      <c r="AC27" s="14" t="str">
        <f>IF(ISERROR(HLOOKUP(F27,$BM$19:$BR35,$D27+1)),"",HLOOKUP(F27,$BM$19:$BR35,$D27+1))</f>
        <v/>
      </c>
      <c r="AD27" s="14" t="str">
        <f>IF(ISERROR(HLOOKUP(G27,$BM$19:$BR35,$D27+1)),"",HLOOKUP(G27,$BM$19:$BR35,$D27+1))</f>
        <v/>
      </c>
      <c r="AE27" s="14" t="str">
        <f>IF(ISERROR(HLOOKUP(H27,$BM$19:$BR35,$D27+1)),"",HLOOKUP(H27,$BM$19:$BR35,$D27+1))</f>
        <v/>
      </c>
      <c r="AF27" s="14" t="str">
        <f>IF(ISERROR(HLOOKUP(I27,$BM$19:$BR35,$D27+1)),"",HLOOKUP(I27,$BM$19:$BR35,$D27+1))</f>
        <v/>
      </c>
      <c r="AG27" s="14" t="str">
        <f>IF(ISERROR(HLOOKUP(J27,$BM$19:$BR35,$D27+1)),"",HLOOKUP(J27,$BM$19:$BR35,$D27+1))</f>
        <v/>
      </c>
      <c r="AH27" s="14" t="str">
        <f>IF(ISERROR(HLOOKUP(K27,$BM$19:$BR35,$D27+1)),"",HLOOKUP(K27,$BM$19:$BR35,$D27+1))</f>
        <v/>
      </c>
      <c r="AI27" s="14" t="str">
        <f>IF(ISERROR(HLOOKUP(L27,$BM$19:$BR35,$D27+1)),"",HLOOKUP(L27,$BM$19:$BR35,$D27+1))</f>
        <v/>
      </c>
      <c r="AJ27" s="14" t="str">
        <f>IF(ISERROR(HLOOKUP(M27,$BM$19:$BR35,$D27+1)),"",HLOOKUP(M27,$BM$19:$BR35,$D27+1))</f>
        <v/>
      </c>
      <c r="AK27" s="14" t="str">
        <f>IF(ISERROR(HLOOKUP(N27,$BM$19:$BR35,$D27+1)),"",HLOOKUP(N27,$BM$19:$BR35,$D27+1))</f>
        <v/>
      </c>
      <c r="AL27" s="14" t="str">
        <f>IF(ISERROR(HLOOKUP(O27,$BM$19:$BR35,$D27+1)),"",HLOOKUP(O27,$BM$19:$BR35,$D27+1))</f>
        <v/>
      </c>
      <c r="AM27" s="14" t="str">
        <f>IF(ISERROR(HLOOKUP(P27,$BM$19:$BR35,$D27+1)),"",HLOOKUP(P27,$BM$19:$BR35,$D27+1))</f>
        <v/>
      </c>
      <c r="AN27" s="14" t="str">
        <f>IF(ISERROR(HLOOKUP(Q27,$BM$19:$BR35,$D27+1)),"",HLOOKUP(Q27,$BM$19:$BR35,$D27+1))</f>
        <v/>
      </c>
      <c r="AO27" s="14" t="str">
        <f>IF(ISERROR(HLOOKUP(R27,$BM$19:$BR35,$D27+1)),"",HLOOKUP(R27,$BM$19:$BR35,$D27+1))</f>
        <v/>
      </c>
      <c r="AP27" s="14" t="str">
        <f>IF(ISERROR(HLOOKUP(S27,$BM$19:$BR35,$D27+1)),"",HLOOKUP(S27,$BM$19:$BR35,$D27+1))</f>
        <v/>
      </c>
      <c r="AQ27" s="14" t="str">
        <f>IF(ISERROR(HLOOKUP(T27,$BM$19:$BR35,$D27+1)),"",HLOOKUP(T27,$BM$19:$BR35,$D27+1))</f>
        <v/>
      </c>
      <c r="AR27" s="14" t="str">
        <f>IF(ISERROR(HLOOKUP(U27,$BM$19:$BR35,$D27+1)),"",HLOOKUP(U27,$BM$19:$BR35,$D27+1))</f>
        <v/>
      </c>
      <c r="AS27" s="14" t="str">
        <f>IF(ISERROR(HLOOKUP(V27,$BM$19:$BR35,$D27+1)),"",HLOOKUP(V27,$BM$19:$BR35,$D27+1))</f>
        <v/>
      </c>
      <c r="AT27" s="14" t="str">
        <f>IF(ISERROR(HLOOKUP(W27,$BM$19:$BR35,$D27+1)),"",HLOOKUP(W27,$BM$19:$BR35,$D27+1))</f>
        <v/>
      </c>
      <c r="AU27" s="14" t="str">
        <f>IF(ISERROR(HLOOKUP(X27,$BM$19:$BR35,$D27+1)),"",HLOOKUP(X27,$BM$19:$BR35,$D27+1))</f>
        <v/>
      </c>
      <c r="AV27" s="14" t="s">
        <v>208</v>
      </c>
      <c r="AW27" s="14" t="s">
        <v>208</v>
      </c>
      <c r="BA27" s="15"/>
      <c r="BG27" s="184">
        <v>5</v>
      </c>
      <c r="BH27" s="186" t="s">
        <v>165</v>
      </c>
      <c r="BI27" s="186"/>
      <c r="BJ27" s="186"/>
    </row>
    <row r="28" spans="1:70" ht="27" customHeight="1">
      <c r="A28" s="25">
        <v>12</v>
      </c>
      <c r="B28" s="156"/>
      <c r="C28" s="153"/>
      <c r="D28" s="150"/>
      <c r="E28" s="151"/>
      <c r="F28" s="151"/>
      <c r="G28" s="151"/>
      <c r="H28" s="151"/>
      <c r="I28" s="151"/>
      <c r="J28" s="151"/>
      <c r="K28" s="151"/>
      <c r="L28" s="151"/>
      <c r="M28" s="151"/>
      <c r="N28" s="151"/>
      <c r="O28" s="151"/>
      <c r="P28" s="151"/>
      <c r="Q28" s="151"/>
      <c r="R28" s="151"/>
      <c r="S28" s="151"/>
      <c r="T28" s="151"/>
      <c r="U28" s="151"/>
      <c r="V28" s="151"/>
      <c r="W28" s="151"/>
      <c r="X28" s="151"/>
      <c r="Y28" s="163">
        <f t="shared" si="1"/>
        <v>0</v>
      </c>
      <c r="Z28" s="112"/>
      <c r="AA28" s="112"/>
      <c r="AB28" s="14" t="str">
        <f>IF(ISERROR(HLOOKUP(E28,$BM$19:$BR36,$D28+1)),"",HLOOKUP(E28,$BM$19:$BR36,$D28+1))</f>
        <v/>
      </c>
      <c r="AC28" s="14" t="str">
        <f>IF(ISERROR(HLOOKUP(F28,$BM$19:$BR36,$D28+1)),"",HLOOKUP(F28,$BM$19:$BR36,$D28+1))</f>
        <v/>
      </c>
      <c r="AD28" s="14" t="str">
        <f>IF(ISERROR(HLOOKUP(G28,$BM$19:$BR36,$D28+1)),"",HLOOKUP(G28,$BM$19:$BR36,$D28+1))</f>
        <v/>
      </c>
      <c r="AE28" s="14" t="str">
        <f>IF(ISERROR(HLOOKUP(H28,$BM$19:$BR36,$D28+1)),"",HLOOKUP(H28,$BM$19:$BR36,$D28+1))</f>
        <v/>
      </c>
      <c r="AF28" s="14" t="str">
        <f>IF(ISERROR(HLOOKUP(I28,$BM$19:$BR36,$D28+1)),"",HLOOKUP(I28,$BM$19:$BR36,$D28+1))</f>
        <v/>
      </c>
      <c r="AG28" s="14" t="str">
        <f>IF(ISERROR(HLOOKUP(J28,$BM$19:$BR36,$D28+1)),"",HLOOKUP(J28,$BM$19:$BR36,$D28+1))</f>
        <v/>
      </c>
      <c r="AH28" s="14" t="str">
        <f>IF(ISERROR(HLOOKUP(K28,$BM$19:$BR36,$D28+1)),"",HLOOKUP(K28,$BM$19:$BR36,$D28+1))</f>
        <v/>
      </c>
      <c r="AI28" s="14" t="str">
        <f>IF(ISERROR(HLOOKUP(L28,$BM$19:$BR36,$D28+1)),"",HLOOKUP(L28,$BM$19:$BR36,$D28+1))</f>
        <v/>
      </c>
      <c r="AJ28" s="14" t="str">
        <f>IF(ISERROR(HLOOKUP(M28,$BM$19:$BR36,$D28+1)),"",HLOOKUP(M28,$BM$19:$BR36,$D28+1))</f>
        <v/>
      </c>
      <c r="AK28" s="14" t="str">
        <f>IF(ISERROR(HLOOKUP(N28,$BM$19:$BR36,$D28+1)),"",HLOOKUP(N28,$BM$19:$BR36,$D28+1))</f>
        <v/>
      </c>
      <c r="AL28" s="14" t="str">
        <f>IF(ISERROR(HLOOKUP(O28,$BM$19:$BR36,$D28+1)),"",HLOOKUP(O28,$BM$19:$BR36,$D28+1))</f>
        <v/>
      </c>
      <c r="AM28" s="14" t="str">
        <f>IF(ISERROR(HLOOKUP(P28,$BM$19:$BR36,$D28+1)),"",HLOOKUP(P28,$BM$19:$BR36,$D28+1))</f>
        <v/>
      </c>
      <c r="AN28" s="14" t="str">
        <f>IF(ISERROR(HLOOKUP(Q28,$BM$19:$BR36,$D28+1)),"",HLOOKUP(Q28,$BM$19:$BR36,$D28+1))</f>
        <v/>
      </c>
      <c r="AO28" s="14" t="str">
        <f>IF(ISERROR(HLOOKUP(R28,$BM$19:$BR36,$D28+1)),"",HLOOKUP(R28,$BM$19:$BR36,$D28+1))</f>
        <v/>
      </c>
      <c r="AP28" s="14" t="str">
        <f>IF(ISERROR(HLOOKUP(S28,$BM$19:$BR36,$D28+1)),"",HLOOKUP(S28,$BM$19:$BR36,$D28+1))</f>
        <v/>
      </c>
      <c r="AQ28" s="14" t="str">
        <f>IF(ISERROR(HLOOKUP(T28,$BM$19:$BR36,$D28+1)),"",HLOOKUP(T28,$BM$19:$BR36,$D28+1))</f>
        <v/>
      </c>
      <c r="AR28" s="14" t="str">
        <f>IF(ISERROR(HLOOKUP(U28,$BM$19:$BR36,$D28+1)),"",HLOOKUP(U28,$BM$19:$BR36,$D28+1))</f>
        <v/>
      </c>
      <c r="AS28" s="14" t="str">
        <f>IF(ISERROR(HLOOKUP(V28,$BM$19:$BR36,$D28+1)),"",HLOOKUP(V28,$BM$19:$BR36,$D28+1))</f>
        <v/>
      </c>
      <c r="AT28" s="14" t="str">
        <f>IF(ISERROR(HLOOKUP(W28,$BM$19:$BR36,$D28+1)),"",HLOOKUP(W28,$BM$19:$BR36,$D28+1))</f>
        <v/>
      </c>
      <c r="AU28" s="14" t="str">
        <f>IF(ISERROR(HLOOKUP(X28,$BM$19:$BR36,$D28+1)),"",HLOOKUP(X28,$BM$19:$BR36,$D28+1))</f>
        <v/>
      </c>
      <c r="AV28" s="111" t="s">
        <v>208</v>
      </c>
      <c r="AW28" s="111" t="s">
        <v>208</v>
      </c>
      <c r="BA28" s="108"/>
      <c r="BG28" s="185"/>
      <c r="BH28" s="186"/>
      <c r="BI28" s="186"/>
      <c r="BJ28" s="186"/>
    </row>
    <row r="29" spans="1:70" ht="27" customHeight="1">
      <c r="A29" s="25">
        <v>13</v>
      </c>
      <c r="B29" s="156"/>
      <c r="C29" s="153"/>
      <c r="D29" s="150"/>
      <c r="E29" s="151"/>
      <c r="F29" s="151"/>
      <c r="G29" s="151"/>
      <c r="H29" s="151"/>
      <c r="I29" s="151"/>
      <c r="J29" s="151"/>
      <c r="K29" s="151"/>
      <c r="L29" s="151"/>
      <c r="M29" s="151"/>
      <c r="N29" s="151"/>
      <c r="O29" s="151"/>
      <c r="P29" s="151"/>
      <c r="Q29" s="151"/>
      <c r="R29" s="151"/>
      <c r="S29" s="151"/>
      <c r="T29" s="151"/>
      <c r="U29" s="151"/>
      <c r="V29" s="151"/>
      <c r="W29" s="151"/>
      <c r="X29" s="151"/>
      <c r="Y29" s="163">
        <f t="shared" si="1"/>
        <v>0</v>
      </c>
      <c r="Z29" s="112"/>
      <c r="AA29" s="112"/>
      <c r="AB29" s="14" t="str">
        <f>IF(ISERROR(HLOOKUP(E29,$BM$19:$BR37,$D29+1)),"",HLOOKUP(E29,$BM$19:$BR37,$D29+1))</f>
        <v/>
      </c>
      <c r="AC29" s="14" t="str">
        <f>IF(ISERROR(HLOOKUP(F29,$BM$19:$BR37,$D29+1)),"",HLOOKUP(F29,$BM$19:$BR37,$D29+1))</f>
        <v/>
      </c>
      <c r="AD29" s="14" t="str">
        <f>IF(ISERROR(HLOOKUP(G29,$BM$19:$BR37,$D29+1)),"",HLOOKUP(G29,$BM$19:$BR37,$D29+1))</f>
        <v/>
      </c>
      <c r="AE29" s="14" t="str">
        <f>IF(ISERROR(HLOOKUP(H29,$BM$19:$BR37,$D29+1)),"",HLOOKUP(H29,$BM$19:$BR37,$D29+1))</f>
        <v/>
      </c>
      <c r="AF29" s="14" t="str">
        <f>IF(ISERROR(HLOOKUP(I29,$BM$19:$BR37,$D29+1)),"",HLOOKUP(I29,$BM$19:$BR37,$D29+1))</f>
        <v/>
      </c>
      <c r="AG29" s="14" t="str">
        <f>IF(ISERROR(HLOOKUP(J29,$BM$19:$BR37,$D29+1)),"",HLOOKUP(J29,$BM$19:$BR37,$D29+1))</f>
        <v/>
      </c>
      <c r="AH29" s="14" t="str">
        <f>IF(ISERROR(HLOOKUP(K29,$BM$19:$BR37,$D29+1)),"",HLOOKUP(K29,$BM$19:$BR37,$D29+1))</f>
        <v/>
      </c>
      <c r="AI29" s="14" t="str">
        <f>IF(ISERROR(HLOOKUP(L29,$BM$19:$BR37,$D29+1)),"",HLOOKUP(L29,$BM$19:$BR37,$D29+1))</f>
        <v/>
      </c>
      <c r="AJ29" s="14" t="str">
        <f>IF(ISERROR(HLOOKUP(M29,$BM$19:$BR37,$D29+1)),"",HLOOKUP(M29,$BM$19:$BR37,$D29+1))</f>
        <v/>
      </c>
      <c r="AK29" s="14" t="str">
        <f>IF(ISERROR(HLOOKUP(N29,$BM$19:$BR37,$D29+1)),"",HLOOKUP(N29,$BM$19:$BR37,$D29+1))</f>
        <v/>
      </c>
      <c r="AL29" s="14" t="str">
        <f>IF(ISERROR(HLOOKUP(O29,$BM$19:$BR37,$D29+1)),"",HLOOKUP(O29,$BM$19:$BR37,$D29+1))</f>
        <v/>
      </c>
      <c r="AM29" s="14" t="str">
        <f>IF(ISERROR(HLOOKUP(P29,$BM$19:$BR37,$D29+1)),"",HLOOKUP(P29,$BM$19:$BR37,$D29+1))</f>
        <v/>
      </c>
      <c r="AN29" s="14" t="str">
        <f>IF(ISERROR(HLOOKUP(Q29,$BM$19:$BR37,$D29+1)),"",HLOOKUP(Q29,$BM$19:$BR37,$D29+1))</f>
        <v/>
      </c>
      <c r="AO29" s="14" t="str">
        <f>IF(ISERROR(HLOOKUP(R29,$BM$19:$BR37,$D29+1)),"",HLOOKUP(R29,$BM$19:$BR37,$D29+1))</f>
        <v/>
      </c>
      <c r="AP29" s="14" t="str">
        <f>IF(ISERROR(HLOOKUP(S29,$BM$19:$BR37,$D29+1)),"",HLOOKUP(S29,$BM$19:$BR37,$D29+1))</f>
        <v/>
      </c>
      <c r="AQ29" s="14" t="str">
        <f>IF(ISERROR(HLOOKUP(T29,$BM$19:$BR37,$D29+1)),"",HLOOKUP(T29,$BM$19:$BR37,$D29+1))</f>
        <v/>
      </c>
      <c r="AR29" s="14" t="str">
        <f>IF(ISERROR(HLOOKUP(U29,$BM$19:$BR37,$D29+1)),"",HLOOKUP(U29,$BM$19:$BR37,$D29+1))</f>
        <v/>
      </c>
      <c r="AS29" s="14" t="str">
        <f>IF(ISERROR(HLOOKUP(V29,$BM$19:$BR37,$D29+1)),"",HLOOKUP(V29,$BM$19:$BR37,$D29+1))</f>
        <v/>
      </c>
      <c r="AT29" s="14" t="str">
        <f>IF(ISERROR(HLOOKUP(W29,$BM$19:$BR37,$D29+1)),"",HLOOKUP(W29,$BM$19:$BR37,$D29+1))</f>
        <v/>
      </c>
      <c r="AU29" s="14" t="str">
        <f>IF(ISERROR(HLOOKUP(X29,$BM$19:$BR37,$D29+1)),"",HLOOKUP(X29,$BM$19:$BR37,$D29+1))</f>
        <v/>
      </c>
      <c r="AV29" s="111" t="s">
        <v>208</v>
      </c>
      <c r="AW29" s="111" t="s">
        <v>208</v>
      </c>
      <c r="BA29" s="108"/>
    </row>
    <row r="30" spans="1:70" ht="27" customHeight="1">
      <c r="A30" s="25">
        <v>14</v>
      </c>
      <c r="B30" s="156"/>
      <c r="C30" s="153"/>
      <c r="D30" s="150"/>
      <c r="E30" s="151"/>
      <c r="F30" s="151"/>
      <c r="G30" s="151"/>
      <c r="H30" s="151"/>
      <c r="I30" s="151"/>
      <c r="J30" s="151"/>
      <c r="K30" s="151"/>
      <c r="L30" s="151"/>
      <c r="M30" s="151"/>
      <c r="N30" s="151"/>
      <c r="O30" s="151"/>
      <c r="P30" s="151"/>
      <c r="Q30" s="151"/>
      <c r="R30" s="151"/>
      <c r="S30" s="151"/>
      <c r="T30" s="151"/>
      <c r="U30" s="151"/>
      <c r="V30" s="151"/>
      <c r="W30" s="151"/>
      <c r="X30" s="151"/>
      <c r="Y30" s="163">
        <f t="shared" si="1"/>
        <v>0</v>
      </c>
      <c r="Z30" s="112"/>
      <c r="AA30" s="112"/>
      <c r="AB30" s="14" t="str">
        <f>IF(ISERROR(HLOOKUP(E30,$BM$19:$BR38,$D30+1)),"",HLOOKUP(E30,$BM$19:$BR38,$D30+1))</f>
        <v/>
      </c>
      <c r="AC30" s="14" t="str">
        <f>IF(ISERROR(HLOOKUP(F30,$BM$19:$BR38,$D30+1)),"",HLOOKUP(F30,$BM$19:$BR38,$D30+1))</f>
        <v/>
      </c>
      <c r="AD30" s="14" t="str">
        <f>IF(ISERROR(HLOOKUP(G30,$BM$19:$BR38,$D30+1)),"",HLOOKUP(G30,$BM$19:$BR38,$D30+1))</f>
        <v/>
      </c>
      <c r="AE30" s="14" t="str">
        <f>IF(ISERROR(HLOOKUP(H30,$BM$19:$BR38,$D30+1)),"",HLOOKUP(H30,$BM$19:$BR38,$D30+1))</f>
        <v/>
      </c>
      <c r="AF30" s="14" t="str">
        <f>IF(ISERROR(HLOOKUP(I30,$BM$19:$BR38,$D30+1)),"",HLOOKUP(I30,$BM$19:$BR38,$D30+1))</f>
        <v/>
      </c>
      <c r="AG30" s="14" t="str">
        <f>IF(ISERROR(HLOOKUP(J30,$BM$19:$BR38,$D30+1)),"",HLOOKUP(J30,$BM$19:$BR38,$D30+1))</f>
        <v/>
      </c>
      <c r="AH30" s="14" t="str">
        <f>IF(ISERROR(HLOOKUP(K30,$BM$19:$BR38,$D30+1)),"",HLOOKUP(K30,$BM$19:$BR38,$D30+1))</f>
        <v/>
      </c>
      <c r="AI30" s="14" t="str">
        <f>IF(ISERROR(HLOOKUP(L30,$BM$19:$BR38,$D30+1)),"",HLOOKUP(L30,$BM$19:$BR38,$D30+1))</f>
        <v/>
      </c>
      <c r="AJ30" s="14" t="str">
        <f>IF(ISERROR(HLOOKUP(M30,$BM$19:$BR38,$D30+1)),"",HLOOKUP(M30,$BM$19:$BR38,$D30+1))</f>
        <v/>
      </c>
      <c r="AK30" s="14" t="str">
        <f>IF(ISERROR(HLOOKUP(N30,$BM$19:$BR38,$D30+1)),"",HLOOKUP(N30,$BM$19:$BR38,$D30+1))</f>
        <v/>
      </c>
      <c r="AL30" s="14" t="str">
        <f>IF(ISERROR(HLOOKUP(O30,$BM$19:$BR38,$D30+1)),"",HLOOKUP(O30,$BM$19:$BR38,$D30+1))</f>
        <v/>
      </c>
      <c r="AM30" s="14" t="str">
        <f>IF(ISERROR(HLOOKUP(P30,$BM$19:$BR38,$D30+1)),"",HLOOKUP(P30,$BM$19:$BR38,$D30+1))</f>
        <v/>
      </c>
      <c r="AN30" s="14" t="str">
        <f>IF(ISERROR(HLOOKUP(Q30,$BM$19:$BR38,$D30+1)),"",HLOOKUP(Q30,$BM$19:$BR38,$D30+1))</f>
        <v/>
      </c>
      <c r="AO30" s="14" t="str">
        <f>IF(ISERROR(HLOOKUP(R30,$BM$19:$BR38,$D30+1)),"",HLOOKUP(R30,$BM$19:$BR38,$D30+1))</f>
        <v/>
      </c>
      <c r="AP30" s="14" t="str">
        <f>IF(ISERROR(HLOOKUP(S30,$BM$19:$BR38,$D30+1)),"",HLOOKUP(S30,$BM$19:$BR38,$D30+1))</f>
        <v/>
      </c>
      <c r="AQ30" s="14" t="str">
        <f>IF(ISERROR(HLOOKUP(T30,$BM$19:$BR38,$D30+1)),"",HLOOKUP(T30,$BM$19:$BR38,$D30+1))</f>
        <v/>
      </c>
      <c r="AR30" s="14" t="str">
        <f>IF(ISERROR(HLOOKUP(U30,$BM$19:$BR38,$D30+1)),"",HLOOKUP(U30,$BM$19:$BR38,$D30+1))</f>
        <v/>
      </c>
      <c r="AS30" s="14" t="str">
        <f>IF(ISERROR(HLOOKUP(V30,$BM$19:$BR38,$D30+1)),"",HLOOKUP(V30,$BM$19:$BR38,$D30+1))</f>
        <v/>
      </c>
      <c r="AT30" s="14" t="str">
        <f>IF(ISERROR(HLOOKUP(W30,$BM$19:$BR38,$D30+1)),"",HLOOKUP(W30,$BM$19:$BR38,$D30+1))</f>
        <v/>
      </c>
      <c r="AU30" s="14" t="str">
        <f>IF(ISERROR(HLOOKUP(X30,$BM$19:$BR38,$D30+1)),"",HLOOKUP(X30,$BM$19:$BR38,$D30+1))</f>
        <v/>
      </c>
      <c r="AV30" s="111" t="s">
        <v>208</v>
      </c>
      <c r="AW30" s="111" t="s">
        <v>208</v>
      </c>
      <c r="BA30" s="108"/>
    </row>
    <row r="31" spans="1:70" ht="27" customHeight="1">
      <c r="A31" s="25">
        <v>15</v>
      </c>
      <c r="B31" s="156"/>
      <c r="C31" s="153"/>
      <c r="D31" s="150"/>
      <c r="E31" s="151"/>
      <c r="F31" s="151"/>
      <c r="G31" s="151"/>
      <c r="H31" s="151"/>
      <c r="I31" s="151"/>
      <c r="J31" s="151"/>
      <c r="K31" s="151"/>
      <c r="L31" s="151"/>
      <c r="M31" s="151"/>
      <c r="N31" s="151"/>
      <c r="O31" s="151"/>
      <c r="P31" s="151"/>
      <c r="Q31" s="151"/>
      <c r="R31" s="151"/>
      <c r="S31" s="151"/>
      <c r="T31" s="151"/>
      <c r="U31" s="151"/>
      <c r="V31" s="151"/>
      <c r="W31" s="151"/>
      <c r="X31" s="151"/>
      <c r="Y31" s="163">
        <f t="shared" si="1"/>
        <v>0</v>
      </c>
      <c r="Z31" s="112"/>
      <c r="AA31" s="112"/>
      <c r="AB31" s="14" t="str">
        <f>IF(ISERROR(HLOOKUP(E31,$BM$19:$BR39,$D31+1)),"",HLOOKUP(E31,$BM$19:$BR39,$D31+1))</f>
        <v/>
      </c>
      <c r="AC31" s="14" t="str">
        <f>IF(ISERROR(HLOOKUP(F31,$BM$19:$BR39,$D31+1)),"",HLOOKUP(F31,$BM$19:$BR39,$D31+1))</f>
        <v/>
      </c>
      <c r="AD31" s="14" t="str">
        <f>IF(ISERROR(HLOOKUP(G31,$BM$19:$BR39,$D31+1)),"",HLOOKUP(G31,$BM$19:$BR39,$D31+1))</f>
        <v/>
      </c>
      <c r="AE31" s="14" t="str">
        <f>IF(ISERROR(HLOOKUP(H31,$BM$19:$BR39,$D31+1)),"",HLOOKUP(H31,$BM$19:$BR39,$D31+1))</f>
        <v/>
      </c>
      <c r="AF31" s="14" t="str">
        <f>IF(ISERROR(HLOOKUP(I31,$BM$19:$BR39,$D31+1)),"",HLOOKUP(I31,$BM$19:$BR39,$D31+1))</f>
        <v/>
      </c>
      <c r="AG31" s="14" t="str">
        <f>IF(ISERROR(HLOOKUP(J31,$BM$19:$BR39,$D31+1)),"",HLOOKUP(J31,$BM$19:$BR39,$D31+1))</f>
        <v/>
      </c>
      <c r="AH31" s="14" t="str">
        <f>IF(ISERROR(HLOOKUP(K31,$BM$19:$BR39,$D31+1)),"",HLOOKUP(K31,$BM$19:$BR39,$D31+1))</f>
        <v/>
      </c>
      <c r="AI31" s="14" t="str">
        <f>IF(ISERROR(HLOOKUP(L31,$BM$19:$BR39,$D31+1)),"",HLOOKUP(L31,$BM$19:$BR39,$D31+1))</f>
        <v/>
      </c>
      <c r="AJ31" s="14" t="str">
        <f>IF(ISERROR(HLOOKUP(M31,$BM$19:$BR39,$D31+1)),"",HLOOKUP(M31,$BM$19:$BR39,$D31+1))</f>
        <v/>
      </c>
      <c r="AK31" s="14" t="str">
        <f>IF(ISERROR(HLOOKUP(N31,$BM$19:$BR39,$D31+1)),"",HLOOKUP(N31,$BM$19:$BR39,$D31+1))</f>
        <v/>
      </c>
      <c r="AL31" s="14" t="str">
        <f>IF(ISERROR(HLOOKUP(O31,$BM$19:$BR39,$D31+1)),"",HLOOKUP(O31,$BM$19:$BR39,$D31+1))</f>
        <v/>
      </c>
      <c r="AM31" s="14" t="str">
        <f>IF(ISERROR(HLOOKUP(P31,$BM$19:$BR39,$D31+1)),"",HLOOKUP(P31,$BM$19:$BR39,$D31+1))</f>
        <v/>
      </c>
      <c r="AN31" s="14" t="str">
        <f>IF(ISERROR(HLOOKUP(Q31,$BM$19:$BR39,$D31+1)),"",HLOOKUP(Q31,$BM$19:$BR39,$D31+1))</f>
        <v/>
      </c>
      <c r="AO31" s="14" t="str">
        <f>IF(ISERROR(HLOOKUP(R31,$BM$19:$BR39,$D31+1)),"",HLOOKUP(R31,$BM$19:$BR39,$D31+1))</f>
        <v/>
      </c>
      <c r="AP31" s="14" t="str">
        <f>IF(ISERROR(HLOOKUP(S31,$BM$19:$BR39,$D31+1)),"",HLOOKUP(S31,$BM$19:$BR39,$D31+1))</f>
        <v/>
      </c>
      <c r="AQ31" s="14" t="str">
        <f>IF(ISERROR(HLOOKUP(T31,$BM$19:$BR39,$D31+1)),"",HLOOKUP(T31,$BM$19:$BR39,$D31+1))</f>
        <v/>
      </c>
      <c r="AR31" s="14" t="str">
        <f>IF(ISERROR(HLOOKUP(U31,$BM$19:$BR39,$D31+1)),"",HLOOKUP(U31,$BM$19:$BR39,$D31+1))</f>
        <v/>
      </c>
      <c r="AS31" s="14" t="str">
        <f>IF(ISERROR(HLOOKUP(V31,$BM$19:$BR39,$D31+1)),"",HLOOKUP(V31,$BM$19:$BR39,$D31+1))</f>
        <v/>
      </c>
      <c r="AT31" s="14" t="str">
        <f>IF(ISERROR(HLOOKUP(W31,$BM$19:$BR39,$D31+1)),"",HLOOKUP(W31,$BM$19:$BR39,$D31+1))</f>
        <v/>
      </c>
      <c r="AU31" s="14" t="str">
        <f>IF(ISERROR(HLOOKUP(X31,$BM$19:$BR39,$D31+1)),"",HLOOKUP(X31,$BM$19:$BR39,$D31+1))</f>
        <v/>
      </c>
      <c r="AV31" s="111" t="s">
        <v>208</v>
      </c>
      <c r="AW31" s="111" t="s">
        <v>208</v>
      </c>
      <c r="BA31" s="15"/>
    </row>
    <row r="32" spans="1:70" ht="27" customHeight="1">
      <c r="A32" s="25">
        <v>16</v>
      </c>
      <c r="B32" s="156"/>
      <c r="C32" s="153"/>
      <c r="D32" s="150"/>
      <c r="E32" s="151"/>
      <c r="F32" s="151"/>
      <c r="G32" s="151"/>
      <c r="H32" s="151"/>
      <c r="I32" s="151"/>
      <c r="J32" s="151"/>
      <c r="K32" s="151"/>
      <c r="L32" s="151"/>
      <c r="M32" s="151"/>
      <c r="N32" s="151"/>
      <c r="O32" s="151"/>
      <c r="P32" s="151"/>
      <c r="Q32" s="151"/>
      <c r="R32" s="151"/>
      <c r="S32" s="151"/>
      <c r="T32" s="151"/>
      <c r="U32" s="151"/>
      <c r="V32" s="151"/>
      <c r="W32" s="151"/>
      <c r="X32" s="151"/>
      <c r="Y32" s="163">
        <f t="shared" si="1"/>
        <v>0</v>
      </c>
      <c r="Z32" s="112"/>
      <c r="AA32" s="112"/>
      <c r="AB32" s="14" t="str">
        <f>IF(ISERROR(HLOOKUP(E32,$BM$19:$BR40,$D32+1)),"",HLOOKUP(E32,$BM$19:$BR40,$D32+1))</f>
        <v/>
      </c>
      <c r="AC32" s="14" t="str">
        <f>IF(ISERROR(HLOOKUP(F32,$BM$19:$BR40,$D32+1)),"",HLOOKUP(F32,$BM$19:$BR40,$D32+1))</f>
        <v/>
      </c>
      <c r="AD32" s="14" t="str">
        <f>IF(ISERROR(HLOOKUP(G32,$BM$19:$BR40,$D32+1)),"",HLOOKUP(G32,$BM$19:$BR40,$D32+1))</f>
        <v/>
      </c>
      <c r="AE32" s="14" t="str">
        <f>IF(ISERROR(HLOOKUP(H32,$BM$19:$BR40,$D32+1)),"",HLOOKUP(H32,$BM$19:$BR40,$D32+1))</f>
        <v/>
      </c>
      <c r="AF32" s="14" t="str">
        <f>IF(ISERROR(HLOOKUP(I32,$BM$19:$BR40,$D32+1)),"",HLOOKUP(I32,$BM$19:$BR40,$D32+1))</f>
        <v/>
      </c>
      <c r="AG32" s="14" t="str">
        <f>IF(ISERROR(HLOOKUP(J32,$BM$19:$BR40,$D32+1)),"",HLOOKUP(J32,$BM$19:$BR40,$D32+1))</f>
        <v/>
      </c>
      <c r="AH32" s="14" t="str">
        <f>IF(ISERROR(HLOOKUP(K32,$BM$19:$BR40,$D32+1)),"",HLOOKUP(K32,$BM$19:$BR40,$D32+1))</f>
        <v/>
      </c>
      <c r="AI32" s="14" t="str">
        <f>IF(ISERROR(HLOOKUP(L32,$BM$19:$BR40,$D32+1)),"",HLOOKUP(L32,$BM$19:$BR40,$D32+1))</f>
        <v/>
      </c>
      <c r="AJ32" s="14" t="str">
        <f>IF(ISERROR(HLOOKUP(M32,$BM$19:$BR40,$D32+1)),"",HLOOKUP(M32,$BM$19:$BR40,$D32+1))</f>
        <v/>
      </c>
      <c r="AK32" s="14" t="str">
        <f>IF(ISERROR(HLOOKUP(N32,$BM$19:$BR40,$D32+1)),"",HLOOKUP(N32,$BM$19:$BR40,$D32+1))</f>
        <v/>
      </c>
      <c r="AL32" s="14" t="str">
        <f>IF(ISERROR(HLOOKUP(O32,$BM$19:$BR40,$D32+1)),"",HLOOKUP(O32,$BM$19:$BR40,$D32+1))</f>
        <v/>
      </c>
      <c r="AM32" s="14" t="str">
        <f>IF(ISERROR(HLOOKUP(P32,$BM$19:$BR40,$D32+1)),"",HLOOKUP(P32,$BM$19:$BR40,$D32+1))</f>
        <v/>
      </c>
      <c r="AN32" s="14" t="str">
        <f>IF(ISERROR(HLOOKUP(Q32,$BM$19:$BR40,$D32+1)),"",HLOOKUP(Q32,$BM$19:$BR40,$D32+1))</f>
        <v/>
      </c>
      <c r="AO32" s="14" t="str">
        <f>IF(ISERROR(HLOOKUP(R32,$BM$19:$BR40,$D32+1)),"",HLOOKUP(R32,$BM$19:$BR40,$D32+1))</f>
        <v/>
      </c>
      <c r="AP32" s="14" t="str">
        <f>IF(ISERROR(HLOOKUP(S32,$BM$19:$BR40,$D32+1)),"",HLOOKUP(S32,$BM$19:$BR40,$D32+1))</f>
        <v/>
      </c>
      <c r="AQ32" s="14" t="str">
        <f>IF(ISERROR(HLOOKUP(T32,$BM$19:$BR40,$D32+1)),"",HLOOKUP(T32,$BM$19:$BR40,$D32+1))</f>
        <v/>
      </c>
      <c r="AR32" s="14" t="str">
        <f>IF(ISERROR(HLOOKUP(U32,$BM$19:$BR40,$D32+1)),"",HLOOKUP(U32,$BM$19:$BR40,$D32+1))</f>
        <v/>
      </c>
      <c r="AS32" s="14" t="str">
        <f>IF(ISERROR(HLOOKUP(V32,$BM$19:$BR40,$D32+1)),"",HLOOKUP(V32,$BM$19:$BR40,$D32+1))</f>
        <v/>
      </c>
      <c r="AT32" s="14" t="str">
        <f>IF(ISERROR(HLOOKUP(W32,$BM$19:$BR40,$D32+1)),"",HLOOKUP(W32,$BM$19:$BR40,$D32+1))</f>
        <v/>
      </c>
      <c r="AU32" s="14" t="str">
        <f>IF(ISERROR(HLOOKUP(X32,$BM$19:$BR40,$D32+1)),"",HLOOKUP(X32,$BM$19:$BR40,$D32+1))</f>
        <v/>
      </c>
      <c r="AV32" s="111" t="s">
        <v>208</v>
      </c>
      <c r="AW32" s="111" t="s">
        <v>208</v>
      </c>
      <c r="BA32" s="16"/>
    </row>
    <row r="33" spans="1:53" ht="27" customHeight="1">
      <c r="A33" s="25">
        <v>17</v>
      </c>
      <c r="B33" s="156"/>
      <c r="C33" s="153"/>
      <c r="D33" s="150"/>
      <c r="E33" s="151"/>
      <c r="F33" s="151"/>
      <c r="G33" s="151"/>
      <c r="H33" s="151"/>
      <c r="I33" s="151"/>
      <c r="J33" s="151"/>
      <c r="K33" s="151"/>
      <c r="L33" s="151"/>
      <c r="M33" s="151"/>
      <c r="N33" s="151"/>
      <c r="O33" s="151"/>
      <c r="P33" s="151"/>
      <c r="Q33" s="151"/>
      <c r="R33" s="151"/>
      <c r="S33" s="151"/>
      <c r="T33" s="151"/>
      <c r="U33" s="151"/>
      <c r="V33" s="151"/>
      <c r="W33" s="151"/>
      <c r="X33" s="151"/>
      <c r="Y33" s="163">
        <f t="shared" si="1"/>
        <v>0</v>
      </c>
      <c r="Z33" s="112"/>
      <c r="AA33" s="112"/>
      <c r="AB33" s="14" t="str">
        <f>IF(ISERROR(HLOOKUP(E33,$BM$19:$BR41,$D33+1)),"",HLOOKUP(E33,$BM$19:$BR41,$D33+1))</f>
        <v/>
      </c>
      <c r="AC33" s="14" t="str">
        <f>IF(ISERROR(HLOOKUP(F33,$BM$19:$BR41,$D33+1)),"",HLOOKUP(F33,$BM$19:$BR41,$D33+1))</f>
        <v/>
      </c>
      <c r="AD33" s="14" t="str">
        <f>IF(ISERROR(HLOOKUP(G33,$BM$19:$BR41,$D33+1)),"",HLOOKUP(G33,$BM$19:$BR41,$D33+1))</f>
        <v/>
      </c>
      <c r="AE33" s="14" t="str">
        <f>IF(ISERROR(HLOOKUP(H33,$BM$19:$BR41,$D33+1)),"",HLOOKUP(H33,$BM$19:$BR41,$D33+1))</f>
        <v/>
      </c>
      <c r="AF33" s="14" t="str">
        <f>IF(ISERROR(HLOOKUP(I33,$BM$19:$BR41,$D33+1)),"",HLOOKUP(I33,$BM$19:$BR41,$D33+1))</f>
        <v/>
      </c>
      <c r="AG33" s="14" t="str">
        <f>IF(ISERROR(HLOOKUP(J33,$BM$19:$BR41,$D33+1)),"",HLOOKUP(J33,$BM$19:$BR41,$D33+1))</f>
        <v/>
      </c>
      <c r="AH33" s="14" t="str">
        <f>IF(ISERROR(HLOOKUP(K33,$BM$19:$BR41,$D33+1)),"",HLOOKUP(K33,$BM$19:$BR41,$D33+1))</f>
        <v/>
      </c>
      <c r="AI33" s="14" t="str">
        <f>IF(ISERROR(HLOOKUP(L33,$BM$19:$BR41,$D33+1)),"",HLOOKUP(L33,$BM$19:$BR41,$D33+1))</f>
        <v/>
      </c>
      <c r="AJ33" s="14" t="str">
        <f>IF(ISERROR(HLOOKUP(M33,$BM$19:$BR41,$D33+1)),"",HLOOKUP(M33,$BM$19:$BR41,$D33+1))</f>
        <v/>
      </c>
      <c r="AK33" s="14" t="str">
        <f>IF(ISERROR(HLOOKUP(N33,$BM$19:$BR41,$D33+1)),"",HLOOKUP(N33,$BM$19:$BR41,$D33+1))</f>
        <v/>
      </c>
      <c r="AL33" s="14" t="str">
        <f>IF(ISERROR(HLOOKUP(O33,$BM$19:$BR41,$D33+1)),"",HLOOKUP(O33,$BM$19:$BR41,$D33+1))</f>
        <v/>
      </c>
      <c r="AM33" s="14" t="str">
        <f>IF(ISERROR(HLOOKUP(P33,$BM$19:$BR41,$D33+1)),"",HLOOKUP(P33,$BM$19:$BR41,$D33+1))</f>
        <v/>
      </c>
      <c r="AN33" s="14" t="str">
        <f>IF(ISERROR(HLOOKUP(Q33,$BM$19:$BR41,$D33+1)),"",HLOOKUP(Q33,$BM$19:$BR41,$D33+1))</f>
        <v/>
      </c>
      <c r="AO33" s="14" t="str">
        <f>IF(ISERROR(HLOOKUP(R33,$BM$19:$BR41,$D33+1)),"",HLOOKUP(R33,$BM$19:$BR41,$D33+1))</f>
        <v/>
      </c>
      <c r="AP33" s="14" t="str">
        <f>IF(ISERROR(HLOOKUP(S33,$BM$19:$BR41,$D33+1)),"",HLOOKUP(S33,$BM$19:$BR41,$D33+1))</f>
        <v/>
      </c>
      <c r="AQ33" s="14" t="str">
        <f>IF(ISERROR(HLOOKUP(T33,$BM$19:$BR41,$D33+1)),"",HLOOKUP(T33,$BM$19:$BR41,$D33+1))</f>
        <v/>
      </c>
      <c r="AR33" s="14" t="str">
        <f>IF(ISERROR(HLOOKUP(U33,$BM$19:$BR41,$D33+1)),"",HLOOKUP(U33,$BM$19:$BR41,$D33+1))</f>
        <v/>
      </c>
      <c r="AS33" s="14" t="str">
        <f>IF(ISERROR(HLOOKUP(V33,$BM$19:$BR41,$D33+1)),"",HLOOKUP(V33,$BM$19:$BR41,$D33+1))</f>
        <v/>
      </c>
      <c r="AT33" s="14" t="str">
        <f>IF(ISERROR(HLOOKUP(W33,$BM$19:$BR41,$D33+1)),"",HLOOKUP(W33,$BM$19:$BR41,$D33+1))</f>
        <v/>
      </c>
      <c r="AU33" s="14" t="str">
        <f>IF(ISERROR(HLOOKUP(X33,$BM$19:$BR41,$D33+1)),"",HLOOKUP(X33,$BM$19:$BR41,$D33+1))</f>
        <v/>
      </c>
      <c r="AV33" s="111" t="s">
        <v>208</v>
      </c>
      <c r="AW33" s="111" t="s">
        <v>208</v>
      </c>
      <c r="BA33" s="16"/>
    </row>
    <row r="34" spans="1:53" ht="27" customHeight="1">
      <c r="A34" s="25">
        <v>18</v>
      </c>
      <c r="B34" s="156"/>
      <c r="C34" s="153"/>
      <c r="D34" s="150"/>
      <c r="E34" s="151"/>
      <c r="F34" s="151"/>
      <c r="G34" s="151"/>
      <c r="H34" s="151"/>
      <c r="I34" s="151"/>
      <c r="J34" s="151"/>
      <c r="K34" s="151"/>
      <c r="L34" s="151"/>
      <c r="M34" s="151"/>
      <c r="N34" s="151"/>
      <c r="O34" s="151"/>
      <c r="P34" s="151"/>
      <c r="Q34" s="151"/>
      <c r="R34" s="151"/>
      <c r="S34" s="151"/>
      <c r="T34" s="151"/>
      <c r="U34" s="151"/>
      <c r="V34" s="151"/>
      <c r="W34" s="151"/>
      <c r="X34" s="151"/>
      <c r="Y34" s="163">
        <f t="shared" si="1"/>
        <v>0</v>
      </c>
      <c r="Z34" s="112"/>
      <c r="AA34" s="112"/>
      <c r="AB34" s="14" t="str">
        <f>IF(ISERROR(HLOOKUP(E34,$BM$19:$BR42,$D34+1)),"",HLOOKUP(E34,$BM$19:$BR42,$D34+1))</f>
        <v/>
      </c>
      <c r="AC34" s="14" t="str">
        <f>IF(ISERROR(HLOOKUP(F34,$BM$19:$BR42,$D34+1)),"",HLOOKUP(F34,$BM$19:$BR42,$D34+1))</f>
        <v/>
      </c>
      <c r="AD34" s="14" t="str">
        <f>IF(ISERROR(HLOOKUP(G34,$BM$19:$BR42,$D34+1)),"",HLOOKUP(G34,$BM$19:$BR42,$D34+1))</f>
        <v/>
      </c>
      <c r="AE34" s="14" t="str">
        <f>IF(ISERROR(HLOOKUP(H34,$BM$19:$BR42,$D34+1)),"",HLOOKUP(H34,$BM$19:$BR42,$D34+1))</f>
        <v/>
      </c>
      <c r="AF34" s="14" t="str">
        <f>IF(ISERROR(HLOOKUP(I34,$BM$19:$BR42,$D34+1)),"",HLOOKUP(I34,$BM$19:$BR42,$D34+1))</f>
        <v/>
      </c>
      <c r="AG34" s="14" t="str">
        <f>IF(ISERROR(HLOOKUP(J34,$BM$19:$BR42,$D34+1)),"",HLOOKUP(J34,$BM$19:$BR42,$D34+1))</f>
        <v/>
      </c>
      <c r="AH34" s="14" t="str">
        <f>IF(ISERROR(HLOOKUP(K34,$BM$19:$BR42,$D34+1)),"",HLOOKUP(K34,$BM$19:$BR42,$D34+1))</f>
        <v/>
      </c>
      <c r="AI34" s="14" t="str">
        <f>IF(ISERROR(HLOOKUP(L34,$BM$19:$BR42,$D34+1)),"",HLOOKUP(L34,$BM$19:$BR42,$D34+1))</f>
        <v/>
      </c>
      <c r="AJ34" s="14" t="str">
        <f>IF(ISERROR(HLOOKUP(M34,$BM$19:$BR42,$D34+1)),"",HLOOKUP(M34,$BM$19:$BR42,$D34+1))</f>
        <v/>
      </c>
      <c r="AK34" s="14" t="str">
        <f>IF(ISERROR(HLOOKUP(N34,$BM$19:$BR42,$D34+1)),"",HLOOKUP(N34,$BM$19:$BR42,$D34+1))</f>
        <v/>
      </c>
      <c r="AL34" s="14" t="str">
        <f>IF(ISERROR(HLOOKUP(O34,$BM$19:$BR42,$D34+1)),"",HLOOKUP(O34,$BM$19:$BR42,$D34+1))</f>
        <v/>
      </c>
      <c r="AM34" s="14" t="str">
        <f>IF(ISERROR(HLOOKUP(P34,$BM$19:$BR42,$D34+1)),"",HLOOKUP(P34,$BM$19:$BR42,$D34+1))</f>
        <v/>
      </c>
      <c r="AN34" s="14" t="str">
        <f>IF(ISERROR(HLOOKUP(Q34,$BM$19:$BR42,$D34+1)),"",HLOOKUP(Q34,$BM$19:$BR42,$D34+1))</f>
        <v/>
      </c>
      <c r="AO34" s="14" t="str">
        <f>IF(ISERROR(HLOOKUP(R34,$BM$19:$BR42,$D34+1)),"",HLOOKUP(R34,$BM$19:$BR42,$D34+1))</f>
        <v/>
      </c>
      <c r="AP34" s="14" t="str">
        <f>IF(ISERROR(HLOOKUP(S34,$BM$19:$BR42,$D34+1)),"",HLOOKUP(S34,$BM$19:$BR42,$D34+1))</f>
        <v/>
      </c>
      <c r="AQ34" s="14" t="str">
        <f>IF(ISERROR(HLOOKUP(T34,$BM$19:$BR42,$D34+1)),"",HLOOKUP(T34,$BM$19:$BR42,$D34+1))</f>
        <v/>
      </c>
      <c r="AR34" s="14" t="str">
        <f>IF(ISERROR(HLOOKUP(U34,$BM$19:$BR42,$D34+1)),"",HLOOKUP(U34,$BM$19:$BR42,$D34+1))</f>
        <v/>
      </c>
      <c r="AS34" s="14" t="str">
        <f>IF(ISERROR(HLOOKUP(V34,$BM$19:$BR42,$D34+1)),"",HLOOKUP(V34,$BM$19:$BR42,$D34+1))</f>
        <v/>
      </c>
      <c r="AT34" s="14" t="str">
        <f>IF(ISERROR(HLOOKUP(W34,$BM$19:$BR42,$D34+1)),"",HLOOKUP(W34,$BM$19:$BR42,$D34+1))</f>
        <v/>
      </c>
      <c r="AU34" s="14" t="str">
        <f>IF(ISERROR(HLOOKUP(X34,$BM$19:$BR42,$D34+1)),"",HLOOKUP(X34,$BM$19:$BR42,$D34+1))</f>
        <v/>
      </c>
      <c r="AV34" s="111" t="s">
        <v>208</v>
      </c>
      <c r="AW34" s="111" t="s">
        <v>208</v>
      </c>
      <c r="BA34" s="16"/>
    </row>
    <row r="35" spans="1:53" ht="27" customHeight="1">
      <c r="A35" s="25">
        <v>19</v>
      </c>
      <c r="B35" s="156"/>
      <c r="C35" s="153"/>
      <c r="D35" s="150"/>
      <c r="E35" s="151"/>
      <c r="F35" s="157"/>
      <c r="G35" s="158"/>
      <c r="H35" s="158"/>
      <c r="I35" s="158"/>
      <c r="J35" s="151"/>
      <c r="K35" s="151"/>
      <c r="L35" s="151"/>
      <c r="M35" s="151"/>
      <c r="N35" s="151"/>
      <c r="O35" s="151"/>
      <c r="P35" s="151"/>
      <c r="Q35" s="151"/>
      <c r="R35" s="151"/>
      <c r="S35" s="151"/>
      <c r="T35" s="151"/>
      <c r="U35" s="151"/>
      <c r="V35" s="151"/>
      <c r="W35" s="151"/>
      <c r="X35" s="151"/>
      <c r="Y35" s="163">
        <f t="shared" si="1"/>
        <v>0</v>
      </c>
      <c r="Z35" s="112"/>
      <c r="AA35" s="112"/>
      <c r="AB35" s="14" t="str">
        <f>IF(ISERROR(HLOOKUP(E35,$BM$19:$BR43,$D35+1)),"",HLOOKUP(E35,$BM$19:$BR43,$D35+1))</f>
        <v/>
      </c>
      <c r="AC35" s="14" t="str">
        <f>IF(ISERROR(HLOOKUP(F35,$BM$19:$BR43,$D35+1)),"",HLOOKUP(F35,$BM$19:$BR43,$D35+1))</f>
        <v/>
      </c>
      <c r="AD35" s="14" t="str">
        <f>IF(ISERROR(HLOOKUP(G35,$BM$19:$BR43,$D35+1)),"",HLOOKUP(G35,$BM$19:$BR43,$D35+1))</f>
        <v/>
      </c>
      <c r="AE35" s="14" t="str">
        <f>IF(ISERROR(HLOOKUP(H35,$BM$19:$BR43,$D35+1)),"",HLOOKUP(H35,$BM$19:$BR43,$D35+1))</f>
        <v/>
      </c>
      <c r="AF35" s="14" t="str">
        <f>IF(ISERROR(HLOOKUP(I35,$BM$19:$BR43,$D35+1)),"",HLOOKUP(I35,$BM$19:$BR43,$D35+1))</f>
        <v/>
      </c>
      <c r="AG35" s="14" t="str">
        <f>IF(ISERROR(HLOOKUP(J35,$BM$19:$BR43,$D35+1)),"",HLOOKUP(J35,$BM$19:$BR43,$D35+1))</f>
        <v/>
      </c>
      <c r="AH35" s="14" t="str">
        <f>IF(ISERROR(HLOOKUP(K35,$BM$19:$BR43,$D35+1)),"",HLOOKUP(K35,$BM$19:$BR43,$D35+1))</f>
        <v/>
      </c>
      <c r="AI35" s="14" t="str">
        <f>IF(ISERROR(HLOOKUP(L35,$BM$19:$BR43,$D35+1)),"",HLOOKUP(L35,$BM$19:$BR43,$D35+1))</f>
        <v/>
      </c>
      <c r="AJ35" s="14" t="str">
        <f>IF(ISERROR(HLOOKUP(M35,$BM$19:$BR43,$D35+1)),"",HLOOKUP(M35,$BM$19:$BR43,$D35+1))</f>
        <v/>
      </c>
      <c r="AK35" s="14" t="str">
        <f>IF(ISERROR(HLOOKUP(N35,$BM$19:$BR43,$D35+1)),"",HLOOKUP(N35,$BM$19:$BR43,$D35+1))</f>
        <v/>
      </c>
      <c r="AL35" s="14" t="str">
        <f>IF(ISERROR(HLOOKUP(O35,$BM$19:$BR43,$D35+1)),"",HLOOKUP(O35,$BM$19:$BR43,$D35+1))</f>
        <v/>
      </c>
      <c r="AM35" s="14" t="str">
        <f>IF(ISERROR(HLOOKUP(P35,$BM$19:$BR43,$D35+1)),"",HLOOKUP(P35,$BM$19:$BR43,$D35+1))</f>
        <v/>
      </c>
      <c r="AN35" s="14" t="str">
        <f>IF(ISERROR(HLOOKUP(Q35,$BM$19:$BR43,$D35+1)),"",HLOOKUP(Q35,$BM$19:$BR43,$D35+1))</f>
        <v/>
      </c>
      <c r="AO35" s="14" t="str">
        <f>IF(ISERROR(HLOOKUP(R35,$BM$19:$BR43,$D35+1)),"",HLOOKUP(R35,$BM$19:$BR43,$D35+1))</f>
        <v/>
      </c>
      <c r="AP35" s="14" t="str">
        <f>IF(ISERROR(HLOOKUP(S35,$BM$19:$BR43,$D35+1)),"",HLOOKUP(S35,$BM$19:$BR43,$D35+1))</f>
        <v/>
      </c>
      <c r="AQ35" s="14" t="str">
        <f>IF(ISERROR(HLOOKUP(T35,$BM$19:$BR43,$D35+1)),"",HLOOKUP(T35,$BM$19:$BR43,$D35+1))</f>
        <v/>
      </c>
      <c r="AR35" s="14" t="str">
        <f>IF(ISERROR(HLOOKUP(U35,$BM$19:$BR43,$D35+1)),"",HLOOKUP(U35,$BM$19:$BR43,$D35+1))</f>
        <v/>
      </c>
      <c r="AS35" s="14" t="str">
        <f>IF(ISERROR(HLOOKUP(V35,$BM$19:$BR43,$D35+1)),"",HLOOKUP(V35,$BM$19:$BR43,$D35+1))</f>
        <v/>
      </c>
      <c r="AT35" s="14" t="str">
        <f>IF(ISERROR(HLOOKUP(W35,$BM$19:$BR43,$D35+1)),"",HLOOKUP(W35,$BM$19:$BR43,$D35+1))</f>
        <v/>
      </c>
      <c r="AU35" s="14" t="str">
        <f>IF(ISERROR(HLOOKUP(X35,$BM$19:$BR43,$D35+1)),"",HLOOKUP(X35,$BM$19:$BR43,$D35+1))</f>
        <v/>
      </c>
      <c r="AV35" s="111" t="s">
        <v>208</v>
      </c>
      <c r="AW35" s="111" t="s">
        <v>208</v>
      </c>
      <c r="BA35" s="16"/>
    </row>
    <row r="36" spans="1:53" ht="27" customHeight="1">
      <c r="A36" s="25">
        <v>20</v>
      </c>
      <c r="B36" s="156"/>
      <c r="C36" s="153"/>
      <c r="D36" s="150"/>
      <c r="E36" s="151"/>
      <c r="F36" s="157"/>
      <c r="G36" s="159"/>
      <c r="H36" s="159"/>
      <c r="I36" s="159"/>
      <c r="J36" s="151"/>
      <c r="K36" s="151"/>
      <c r="L36" s="151"/>
      <c r="M36" s="151"/>
      <c r="N36" s="151"/>
      <c r="O36" s="151"/>
      <c r="P36" s="151"/>
      <c r="Q36" s="151"/>
      <c r="R36" s="151"/>
      <c r="S36" s="151"/>
      <c r="T36" s="151"/>
      <c r="U36" s="151"/>
      <c r="V36" s="151"/>
      <c r="W36" s="151"/>
      <c r="X36" s="151"/>
      <c r="Y36" s="163">
        <f t="shared" si="1"/>
        <v>0</v>
      </c>
      <c r="Z36" s="112"/>
      <c r="AA36" s="112"/>
      <c r="AB36" s="14" t="str">
        <f>IF(ISERROR(HLOOKUP(E36,$BM$19:$BR44,$D36+1)),"",HLOOKUP(E36,$BM$19:$BR44,$D36+1))</f>
        <v/>
      </c>
      <c r="AC36" s="14" t="str">
        <f>IF(ISERROR(HLOOKUP(F36,$BM$19:$BR44,$D36+1)),"",HLOOKUP(F36,$BM$19:$BR44,$D36+1))</f>
        <v/>
      </c>
      <c r="AD36" s="14" t="str">
        <f>IF(ISERROR(HLOOKUP(G36,$BM$19:$BR44,$D36+1)),"",HLOOKUP(G36,$BM$19:$BR44,$D36+1))</f>
        <v/>
      </c>
      <c r="AE36" s="14" t="str">
        <f>IF(ISERROR(HLOOKUP(H36,$BM$19:$BR44,$D36+1)),"",HLOOKUP(H36,$BM$19:$BR44,$D36+1))</f>
        <v/>
      </c>
      <c r="AF36" s="14" t="str">
        <f>IF(ISERROR(HLOOKUP(I36,$BM$19:$BR44,$D36+1)),"",HLOOKUP(I36,$BM$19:$BR44,$D36+1))</f>
        <v/>
      </c>
      <c r="AG36" s="14" t="str">
        <f>IF(ISERROR(HLOOKUP(J36,$BM$19:$BR44,$D36+1)),"",HLOOKUP(J36,$BM$19:$BR44,$D36+1))</f>
        <v/>
      </c>
      <c r="AH36" s="14" t="str">
        <f>IF(ISERROR(HLOOKUP(K36,$BM$19:$BR44,$D36+1)),"",HLOOKUP(K36,$BM$19:$BR44,$D36+1))</f>
        <v/>
      </c>
      <c r="AI36" s="14" t="str">
        <f>IF(ISERROR(HLOOKUP(L36,$BM$19:$BR44,$D36+1)),"",HLOOKUP(L36,$BM$19:$BR44,$D36+1))</f>
        <v/>
      </c>
      <c r="AJ36" s="14" t="str">
        <f>IF(ISERROR(HLOOKUP(M36,$BM$19:$BR44,$D36+1)),"",HLOOKUP(M36,$BM$19:$BR44,$D36+1))</f>
        <v/>
      </c>
      <c r="AK36" s="14" t="str">
        <f>IF(ISERROR(HLOOKUP(N36,$BM$19:$BR44,$D36+1)),"",HLOOKUP(N36,$BM$19:$BR44,$D36+1))</f>
        <v/>
      </c>
      <c r="AL36" s="14" t="str">
        <f>IF(ISERROR(HLOOKUP(O36,$BM$19:$BR44,$D36+1)),"",HLOOKUP(O36,$BM$19:$BR44,$D36+1))</f>
        <v/>
      </c>
      <c r="AM36" s="14" t="str">
        <f>IF(ISERROR(HLOOKUP(P36,$BM$19:$BR44,$D36+1)),"",HLOOKUP(P36,$BM$19:$BR44,$D36+1))</f>
        <v/>
      </c>
      <c r="AN36" s="14" t="str">
        <f>IF(ISERROR(HLOOKUP(Q36,$BM$19:$BR44,$D36+1)),"",HLOOKUP(Q36,$BM$19:$BR44,$D36+1))</f>
        <v/>
      </c>
      <c r="AO36" s="14" t="str">
        <f>IF(ISERROR(HLOOKUP(R36,$BM$19:$BR44,$D36+1)),"",HLOOKUP(R36,$BM$19:$BR44,$D36+1))</f>
        <v/>
      </c>
      <c r="AP36" s="14" t="str">
        <f>IF(ISERROR(HLOOKUP(S36,$BM$19:$BR44,$D36+1)),"",HLOOKUP(S36,$BM$19:$BR44,$D36+1))</f>
        <v/>
      </c>
      <c r="AQ36" s="14" t="str">
        <f>IF(ISERROR(HLOOKUP(T36,$BM$19:$BR44,$D36+1)),"",HLOOKUP(T36,$BM$19:$BR44,$D36+1))</f>
        <v/>
      </c>
      <c r="AR36" s="14" t="str">
        <f>IF(ISERROR(HLOOKUP(U36,$BM$19:$BR44,$D36+1)),"",HLOOKUP(U36,$BM$19:$BR44,$D36+1))</f>
        <v/>
      </c>
      <c r="AS36" s="14" t="str">
        <f>IF(ISERROR(HLOOKUP(V36,$BM$19:$BR44,$D36+1)),"",HLOOKUP(V36,$BM$19:$BR44,$D36+1))</f>
        <v/>
      </c>
      <c r="AT36" s="14" t="str">
        <f>IF(ISERROR(HLOOKUP(W36,$BM$19:$BR44,$D36+1)),"",HLOOKUP(W36,$BM$19:$BR44,$D36+1))</f>
        <v/>
      </c>
      <c r="AU36" s="14" t="str">
        <f>IF(ISERROR(HLOOKUP(X36,$BM$19:$BR44,$D36+1)),"",HLOOKUP(X36,$BM$19:$BR44,$D36+1))</f>
        <v/>
      </c>
      <c r="AV36" s="111" t="s">
        <v>208</v>
      </c>
      <c r="AW36" s="111" t="s">
        <v>208</v>
      </c>
      <c r="BA36" s="16"/>
    </row>
    <row r="37" spans="1:53" ht="27" customHeight="1">
      <c r="A37" s="25">
        <v>21</v>
      </c>
      <c r="B37" s="156"/>
      <c r="C37" s="153"/>
      <c r="D37" s="150"/>
      <c r="E37" s="151"/>
      <c r="F37" s="157"/>
      <c r="G37" s="159"/>
      <c r="H37" s="159"/>
      <c r="I37" s="159"/>
      <c r="J37" s="151"/>
      <c r="K37" s="151"/>
      <c r="L37" s="151"/>
      <c r="M37" s="151"/>
      <c r="N37" s="151"/>
      <c r="O37" s="151"/>
      <c r="P37" s="151"/>
      <c r="Q37" s="151"/>
      <c r="R37" s="151"/>
      <c r="S37" s="151"/>
      <c r="T37" s="151"/>
      <c r="U37" s="151"/>
      <c r="V37" s="151"/>
      <c r="W37" s="151"/>
      <c r="X37" s="151"/>
      <c r="Y37" s="163">
        <f t="shared" si="1"/>
        <v>0</v>
      </c>
      <c r="Z37" s="112"/>
      <c r="AA37" s="112"/>
      <c r="AB37" s="14" t="str">
        <f>IF(ISERROR(HLOOKUP(E37,$BM$19:$BR45,$D37+1)),"",HLOOKUP(E37,$BM$19:$BR45,$D37+1))</f>
        <v/>
      </c>
      <c r="AC37" s="14" t="str">
        <f>IF(ISERROR(HLOOKUP(F37,$BM$19:$BR45,$D37+1)),"",HLOOKUP(F37,$BM$19:$BR45,$D37+1))</f>
        <v/>
      </c>
      <c r="AD37" s="14" t="str">
        <f>IF(ISERROR(HLOOKUP(G37,$BM$19:$BR45,$D37+1)),"",HLOOKUP(G37,$BM$19:$BR45,$D37+1))</f>
        <v/>
      </c>
      <c r="AE37" s="14" t="str">
        <f>IF(ISERROR(HLOOKUP(H37,$BM$19:$BR45,$D37+1)),"",HLOOKUP(H37,$BM$19:$BR45,$D37+1))</f>
        <v/>
      </c>
      <c r="AF37" s="14" t="str">
        <f>IF(ISERROR(HLOOKUP(I37,$BM$19:$BR45,$D37+1)),"",HLOOKUP(I37,$BM$19:$BR45,$D37+1))</f>
        <v/>
      </c>
      <c r="AG37" s="14" t="str">
        <f>IF(ISERROR(HLOOKUP(J37,$BM$19:$BR45,$D37+1)),"",HLOOKUP(J37,$BM$19:$BR45,$D37+1))</f>
        <v/>
      </c>
      <c r="AH37" s="14" t="str">
        <f>IF(ISERROR(HLOOKUP(K37,$BM$19:$BR45,$D37+1)),"",HLOOKUP(K37,$BM$19:$BR45,$D37+1))</f>
        <v/>
      </c>
      <c r="AI37" s="14" t="str">
        <f>IF(ISERROR(HLOOKUP(L37,$BM$19:$BR45,$D37+1)),"",HLOOKUP(L37,$BM$19:$BR45,$D37+1))</f>
        <v/>
      </c>
      <c r="AJ37" s="14" t="str">
        <f>IF(ISERROR(HLOOKUP(M37,$BM$19:$BR45,$D37+1)),"",HLOOKUP(M37,$BM$19:$BR45,$D37+1))</f>
        <v/>
      </c>
      <c r="AK37" s="14" t="str">
        <f>IF(ISERROR(HLOOKUP(N37,$BM$19:$BR45,$D37+1)),"",HLOOKUP(N37,$BM$19:$BR45,$D37+1))</f>
        <v/>
      </c>
      <c r="AL37" s="14" t="str">
        <f>IF(ISERROR(HLOOKUP(O37,$BM$19:$BR45,$D37+1)),"",HLOOKUP(O37,$BM$19:$BR45,$D37+1))</f>
        <v/>
      </c>
      <c r="AM37" s="14" t="str">
        <f>IF(ISERROR(HLOOKUP(P37,$BM$19:$BR45,$D37+1)),"",HLOOKUP(P37,$BM$19:$BR45,$D37+1))</f>
        <v/>
      </c>
      <c r="AN37" s="14" t="str">
        <f>IF(ISERROR(HLOOKUP(Q37,$BM$19:$BR45,$D37+1)),"",HLOOKUP(Q37,$BM$19:$BR45,$D37+1))</f>
        <v/>
      </c>
      <c r="AO37" s="14" t="str">
        <f>IF(ISERROR(HLOOKUP(R37,$BM$19:$BR45,$D37+1)),"",HLOOKUP(R37,$BM$19:$BR45,$D37+1))</f>
        <v/>
      </c>
      <c r="AP37" s="14" t="str">
        <f>IF(ISERROR(HLOOKUP(S37,$BM$19:$BR45,$D37+1)),"",HLOOKUP(S37,$BM$19:$BR45,$D37+1))</f>
        <v/>
      </c>
      <c r="AQ37" s="14" t="str">
        <f>IF(ISERROR(HLOOKUP(T37,$BM$19:$BR45,$D37+1)),"",HLOOKUP(T37,$BM$19:$BR45,$D37+1))</f>
        <v/>
      </c>
      <c r="AR37" s="14" t="str">
        <f>IF(ISERROR(HLOOKUP(U37,$BM$19:$BR45,$D37+1)),"",HLOOKUP(U37,$BM$19:$BR45,$D37+1))</f>
        <v/>
      </c>
      <c r="AS37" s="14" t="str">
        <f>IF(ISERROR(HLOOKUP(V37,$BM$19:$BR45,$D37+1)),"",HLOOKUP(V37,$BM$19:$BR45,$D37+1))</f>
        <v/>
      </c>
      <c r="AT37" s="14" t="str">
        <f>IF(ISERROR(HLOOKUP(W37,$BM$19:$BR45,$D37+1)),"",HLOOKUP(W37,$BM$19:$BR45,$D37+1))</f>
        <v/>
      </c>
      <c r="AU37" s="14" t="str">
        <f>IF(ISERROR(HLOOKUP(X37,$BM$19:$BR45,$D37+1)),"",HLOOKUP(X37,$BM$19:$BR45,$D37+1))</f>
        <v/>
      </c>
      <c r="AV37" s="111" t="s">
        <v>208</v>
      </c>
      <c r="AW37" s="111" t="s">
        <v>208</v>
      </c>
      <c r="BA37" s="15"/>
    </row>
    <row r="38" spans="1:53" ht="27" customHeight="1">
      <c r="A38" s="25">
        <v>22</v>
      </c>
      <c r="B38" s="156"/>
      <c r="C38" s="153"/>
      <c r="D38" s="150"/>
      <c r="E38" s="151"/>
      <c r="F38" s="157"/>
      <c r="G38" s="159"/>
      <c r="H38" s="159"/>
      <c r="I38" s="159"/>
      <c r="J38" s="151"/>
      <c r="K38" s="151"/>
      <c r="L38" s="151"/>
      <c r="M38" s="151"/>
      <c r="N38" s="151"/>
      <c r="O38" s="151"/>
      <c r="P38" s="151"/>
      <c r="Q38" s="151"/>
      <c r="R38" s="151"/>
      <c r="S38" s="151"/>
      <c r="T38" s="151"/>
      <c r="U38" s="151"/>
      <c r="V38" s="151"/>
      <c r="W38" s="151"/>
      <c r="X38" s="151"/>
      <c r="Y38" s="163">
        <f t="shared" si="1"/>
        <v>0</v>
      </c>
      <c r="Z38" s="112"/>
      <c r="AA38" s="112"/>
      <c r="AB38" s="14" t="str">
        <f>IF(ISERROR(HLOOKUP(E38,$BM$19:$BR46,$D38+1)),"",HLOOKUP(E38,$BM$19:$BR46,$D38+1))</f>
        <v/>
      </c>
      <c r="AC38" s="14" t="str">
        <f>IF(ISERROR(HLOOKUP(F38,$BM$19:$BR46,$D38+1)),"",HLOOKUP(F38,$BM$19:$BR46,$D38+1))</f>
        <v/>
      </c>
      <c r="AD38" s="14" t="str">
        <f>IF(ISERROR(HLOOKUP(G38,$BM$19:$BR46,$D38+1)),"",HLOOKUP(G38,$BM$19:$BR46,$D38+1))</f>
        <v/>
      </c>
      <c r="AE38" s="14" t="str">
        <f>IF(ISERROR(HLOOKUP(H38,$BM$19:$BR46,$D38+1)),"",HLOOKUP(H38,$BM$19:$BR46,$D38+1))</f>
        <v/>
      </c>
      <c r="AF38" s="14" t="str">
        <f>IF(ISERROR(HLOOKUP(I38,$BM$19:$BR46,$D38+1)),"",HLOOKUP(I38,$BM$19:$BR46,$D38+1))</f>
        <v/>
      </c>
      <c r="AG38" s="14" t="str">
        <f>IF(ISERROR(HLOOKUP(J38,$BM$19:$BR46,$D38+1)),"",HLOOKUP(J38,$BM$19:$BR46,$D38+1))</f>
        <v/>
      </c>
      <c r="AH38" s="14" t="str">
        <f>IF(ISERROR(HLOOKUP(K38,$BM$19:$BR46,$D38+1)),"",HLOOKUP(K38,$BM$19:$BR46,$D38+1))</f>
        <v/>
      </c>
      <c r="AI38" s="14" t="str">
        <f>IF(ISERROR(HLOOKUP(L38,$BM$19:$BR46,$D38+1)),"",HLOOKUP(L38,$BM$19:$BR46,$D38+1))</f>
        <v/>
      </c>
      <c r="AJ38" s="14" t="str">
        <f>IF(ISERROR(HLOOKUP(M38,$BM$19:$BR46,$D38+1)),"",HLOOKUP(M38,$BM$19:$BR46,$D38+1))</f>
        <v/>
      </c>
      <c r="AK38" s="14" t="str">
        <f>IF(ISERROR(HLOOKUP(N38,$BM$19:$BR46,$D38+1)),"",HLOOKUP(N38,$BM$19:$BR46,$D38+1))</f>
        <v/>
      </c>
      <c r="AL38" s="14" t="str">
        <f>IF(ISERROR(HLOOKUP(O38,$BM$19:$BR46,$D38+1)),"",HLOOKUP(O38,$BM$19:$BR46,$D38+1))</f>
        <v/>
      </c>
      <c r="AM38" s="14" t="str">
        <f>IF(ISERROR(HLOOKUP(P38,$BM$19:$BR46,$D38+1)),"",HLOOKUP(P38,$BM$19:$BR46,$D38+1))</f>
        <v/>
      </c>
      <c r="AN38" s="14" t="str">
        <f>IF(ISERROR(HLOOKUP(Q38,$BM$19:$BR46,$D38+1)),"",HLOOKUP(Q38,$BM$19:$BR46,$D38+1))</f>
        <v/>
      </c>
      <c r="AO38" s="14" t="str">
        <f>IF(ISERROR(HLOOKUP(R38,$BM$19:$BR46,$D38+1)),"",HLOOKUP(R38,$BM$19:$BR46,$D38+1))</f>
        <v/>
      </c>
      <c r="AP38" s="14" t="str">
        <f>IF(ISERROR(HLOOKUP(S38,$BM$19:$BR46,$D38+1)),"",HLOOKUP(S38,$BM$19:$BR46,$D38+1))</f>
        <v/>
      </c>
      <c r="AQ38" s="14" t="str">
        <f>IF(ISERROR(HLOOKUP(T38,$BM$19:$BR46,$D38+1)),"",HLOOKUP(T38,$BM$19:$BR46,$D38+1))</f>
        <v/>
      </c>
      <c r="AR38" s="14" t="str">
        <f>IF(ISERROR(HLOOKUP(U38,$BM$19:$BR46,$D38+1)),"",HLOOKUP(U38,$BM$19:$BR46,$D38+1))</f>
        <v/>
      </c>
      <c r="AS38" s="14" t="str">
        <f>IF(ISERROR(HLOOKUP(V38,$BM$19:$BR46,$D38+1)),"",HLOOKUP(V38,$BM$19:$BR46,$D38+1))</f>
        <v/>
      </c>
      <c r="AT38" s="14" t="str">
        <f>IF(ISERROR(HLOOKUP(W38,$BM$19:$BR46,$D38+1)),"",HLOOKUP(W38,$BM$19:$BR46,$D38+1))</f>
        <v/>
      </c>
      <c r="AU38" s="14" t="str">
        <f>IF(ISERROR(HLOOKUP(X38,$BM$19:$BR46,$D38+1)),"",HLOOKUP(X38,$BM$19:$BR46,$D38+1))</f>
        <v/>
      </c>
      <c r="AV38" s="111" t="s">
        <v>208</v>
      </c>
      <c r="AW38" s="111" t="s">
        <v>208</v>
      </c>
      <c r="BA38" s="15"/>
    </row>
    <row r="39" spans="1:53" ht="27" customHeight="1">
      <c r="A39" s="25">
        <v>23</v>
      </c>
      <c r="B39" s="156"/>
      <c r="C39" s="153"/>
      <c r="D39" s="150"/>
      <c r="E39" s="151"/>
      <c r="F39" s="157"/>
      <c r="G39" s="159"/>
      <c r="H39" s="159"/>
      <c r="I39" s="159"/>
      <c r="J39" s="151"/>
      <c r="K39" s="151"/>
      <c r="L39" s="151"/>
      <c r="M39" s="151"/>
      <c r="N39" s="151"/>
      <c r="O39" s="151"/>
      <c r="P39" s="151"/>
      <c r="Q39" s="151"/>
      <c r="R39" s="151"/>
      <c r="S39" s="151"/>
      <c r="T39" s="151"/>
      <c r="U39" s="151"/>
      <c r="V39" s="151"/>
      <c r="W39" s="151"/>
      <c r="X39" s="151"/>
      <c r="Y39" s="163">
        <f t="shared" si="1"/>
        <v>0</v>
      </c>
      <c r="Z39" s="112"/>
      <c r="AA39" s="112"/>
      <c r="AB39" s="14" t="str">
        <f>IF(ISERROR(HLOOKUP(E39,$BM$19:$BR47,$D39+1)),"",HLOOKUP(E39,$BM$19:$BR47,$D39+1))</f>
        <v/>
      </c>
      <c r="AC39" s="14" t="str">
        <f>IF(ISERROR(HLOOKUP(F39,$BM$19:$BR47,$D39+1)),"",HLOOKUP(F39,$BM$19:$BR47,$D39+1))</f>
        <v/>
      </c>
      <c r="AD39" s="14" t="str">
        <f>IF(ISERROR(HLOOKUP(G39,$BM$19:$BR47,$D39+1)),"",HLOOKUP(G39,$BM$19:$BR47,$D39+1))</f>
        <v/>
      </c>
      <c r="AE39" s="14" t="str">
        <f>IF(ISERROR(HLOOKUP(H39,$BM$19:$BR47,$D39+1)),"",HLOOKUP(H39,$BM$19:$BR47,$D39+1))</f>
        <v/>
      </c>
      <c r="AF39" s="14" t="str">
        <f>IF(ISERROR(HLOOKUP(I39,$BM$19:$BR47,$D39+1)),"",HLOOKUP(I39,$BM$19:$BR47,$D39+1))</f>
        <v/>
      </c>
      <c r="AG39" s="14" t="str">
        <f>IF(ISERROR(HLOOKUP(J39,$BM$19:$BR47,$D39+1)),"",HLOOKUP(J39,$BM$19:$BR47,$D39+1))</f>
        <v/>
      </c>
      <c r="AH39" s="14" t="str">
        <f>IF(ISERROR(HLOOKUP(K39,$BM$19:$BR47,$D39+1)),"",HLOOKUP(K39,$BM$19:$BR47,$D39+1))</f>
        <v/>
      </c>
      <c r="AI39" s="14" t="str">
        <f>IF(ISERROR(HLOOKUP(L39,$BM$19:$BR47,$D39+1)),"",HLOOKUP(L39,$BM$19:$BR47,$D39+1))</f>
        <v/>
      </c>
      <c r="AJ39" s="14" t="str">
        <f>IF(ISERROR(HLOOKUP(M39,$BM$19:$BR47,$D39+1)),"",HLOOKUP(M39,$BM$19:$BR47,$D39+1))</f>
        <v/>
      </c>
      <c r="AK39" s="14" t="str">
        <f>IF(ISERROR(HLOOKUP(N39,$BM$19:$BR47,$D39+1)),"",HLOOKUP(N39,$BM$19:$BR47,$D39+1))</f>
        <v/>
      </c>
      <c r="AL39" s="14" t="str">
        <f>IF(ISERROR(HLOOKUP(O39,$BM$19:$BR47,$D39+1)),"",HLOOKUP(O39,$BM$19:$BR47,$D39+1))</f>
        <v/>
      </c>
      <c r="AM39" s="14" t="str">
        <f>IF(ISERROR(HLOOKUP(P39,$BM$19:$BR47,$D39+1)),"",HLOOKUP(P39,$BM$19:$BR47,$D39+1))</f>
        <v/>
      </c>
      <c r="AN39" s="14" t="str">
        <f>IF(ISERROR(HLOOKUP(Q39,$BM$19:$BR47,$D39+1)),"",HLOOKUP(Q39,$BM$19:$BR47,$D39+1))</f>
        <v/>
      </c>
      <c r="AO39" s="14" t="str">
        <f>IF(ISERROR(HLOOKUP(R39,$BM$19:$BR47,$D39+1)),"",HLOOKUP(R39,$BM$19:$BR47,$D39+1))</f>
        <v/>
      </c>
      <c r="AP39" s="14" t="str">
        <f>IF(ISERROR(HLOOKUP(S39,$BM$19:$BR47,$D39+1)),"",HLOOKUP(S39,$BM$19:$BR47,$D39+1))</f>
        <v/>
      </c>
      <c r="AQ39" s="14" t="str">
        <f>IF(ISERROR(HLOOKUP(T39,$BM$19:$BR47,$D39+1)),"",HLOOKUP(T39,$BM$19:$BR47,$D39+1))</f>
        <v/>
      </c>
      <c r="AR39" s="14" t="str">
        <f>IF(ISERROR(HLOOKUP(U39,$BM$19:$BR47,$D39+1)),"",HLOOKUP(U39,$BM$19:$BR47,$D39+1))</f>
        <v/>
      </c>
      <c r="AS39" s="14" t="str">
        <f>IF(ISERROR(HLOOKUP(V39,$BM$19:$BR47,$D39+1)),"",HLOOKUP(V39,$BM$19:$BR47,$D39+1))</f>
        <v/>
      </c>
      <c r="AT39" s="14" t="str">
        <f>IF(ISERROR(HLOOKUP(W39,$BM$19:$BR47,$D39+1)),"",HLOOKUP(W39,$BM$19:$BR47,$D39+1))</f>
        <v/>
      </c>
      <c r="AU39" s="14" t="str">
        <f>IF(ISERROR(HLOOKUP(X39,$BM$19:$BR47,$D39+1)),"",HLOOKUP(X39,$BM$19:$BR47,$D39+1))</f>
        <v/>
      </c>
      <c r="AV39" s="111" t="s">
        <v>208</v>
      </c>
      <c r="AW39" s="111" t="s">
        <v>208</v>
      </c>
      <c r="BA39" s="15"/>
    </row>
    <row r="40" spans="1:53" ht="27" customHeight="1">
      <c r="A40" s="25">
        <v>24</v>
      </c>
      <c r="B40" s="156"/>
      <c r="C40" s="153"/>
      <c r="D40" s="150"/>
      <c r="E40" s="151"/>
      <c r="F40" s="157"/>
      <c r="G40" s="159"/>
      <c r="H40" s="159"/>
      <c r="I40" s="159"/>
      <c r="J40" s="151"/>
      <c r="K40" s="151"/>
      <c r="L40" s="151"/>
      <c r="M40" s="151"/>
      <c r="N40" s="151"/>
      <c r="O40" s="151"/>
      <c r="P40" s="151"/>
      <c r="Q40" s="151"/>
      <c r="R40" s="151"/>
      <c r="S40" s="151"/>
      <c r="T40" s="151"/>
      <c r="U40" s="151"/>
      <c r="V40" s="151"/>
      <c r="W40" s="151"/>
      <c r="X40" s="151"/>
      <c r="Y40" s="163">
        <f t="shared" si="1"/>
        <v>0</v>
      </c>
      <c r="Z40" s="112"/>
      <c r="AA40" s="112"/>
      <c r="AB40" s="14" t="str">
        <f>IF(ISERROR(HLOOKUP(E40,$BM$19:$BR48,$D40+1)),"",HLOOKUP(E40,$BM$19:$BR48,$D40+1))</f>
        <v/>
      </c>
      <c r="AC40" s="14" t="str">
        <f>IF(ISERROR(HLOOKUP(F40,$BM$19:$BR48,$D40+1)),"",HLOOKUP(F40,$BM$19:$BR48,$D40+1))</f>
        <v/>
      </c>
      <c r="AD40" s="14" t="str">
        <f>IF(ISERROR(HLOOKUP(G40,$BM$19:$BR48,$D40+1)),"",HLOOKUP(G40,$BM$19:$BR48,$D40+1))</f>
        <v/>
      </c>
      <c r="AE40" s="14" t="str">
        <f>IF(ISERROR(HLOOKUP(H40,$BM$19:$BR48,$D40+1)),"",HLOOKUP(H40,$BM$19:$BR48,$D40+1))</f>
        <v/>
      </c>
      <c r="AF40" s="14" t="str">
        <f>IF(ISERROR(HLOOKUP(I40,$BM$19:$BR48,$D40+1)),"",HLOOKUP(I40,$BM$19:$BR48,$D40+1))</f>
        <v/>
      </c>
      <c r="AG40" s="14" t="str">
        <f>IF(ISERROR(HLOOKUP(J40,$BM$19:$BR48,$D40+1)),"",HLOOKUP(J40,$BM$19:$BR48,$D40+1))</f>
        <v/>
      </c>
      <c r="AH40" s="14" t="str">
        <f>IF(ISERROR(HLOOKUP(K40,$BM$19:$BR48,$D40+1)),"",HLOOKUP(K40,$BM$19:$BR48,$D40+1))</f>
        <v/>
      </c>
      <c r="AI40" s="14" t="str">
        <f>IF(ISERROR(HLOOKUP(L40,$BM$19:$BR48,$D40+1)),"",HLOOKUP(L40,$BM$19:$BR48,$D40+1))</f>
        <v/>
      </c>
      <c r="AJ40" s="14" t="str">
        <f>IF(ISERROR(HLOOKUP(M40,$BM$19:$BR48,$D40+1)),"",HLOOKUP(M40,$BM$19:$BR48,$D40+1))</f>
        <v/>
      </c>
      <c r="AK40" s="14" t="str">
        <f>IF(ISERROR(HLOOKUP(N40,$BM$19:$BR48,$D40+1)),"",HLOOKUP(N40,$BM$19:$BR48,$D40+1))</f>
        <v/>
      </c>
      <c r="AL40" s="14" t="str">
        <f>IF(ISERROR(HLOOKUP(O40,$BM$19:$BR48,$D40+1)),"",HLOOKUP(O40,$BM$19:$BR48,$D40+1))</f>
        <v/>
      </c>
      <c r="AM40" s="14" t="str">
        <f>IF(ISERROR(HLOOKUP(P40,$BM$19:$BR48,$D40+1)),"",HLOOKUP(P40,$BM$19:$BR48,$D40+1))</f>
        <v/>
      </c>
      <c r="AN40" s="14" t="str">
        <f>IF(ISERROR(HLOOKUP(Q40,$BM$19:$BR48,$D40+1)),"",HLOOKUP(Q40,$BM$19:$BR48,$D40+1))</f>
        <v/>
      </c>
      <c r="AO40" s="14" t="str">
        <f>IF(ISERROR(HLOOKUP(R40,$BM$19:$BR48,$D40+1)),"",HLOOKUP(R40,$BM$19:$BR48,$D40+1))</f>
        <v/>
      </c>
      <c r="AP40" s="14" t="str">
        <f>IF(ISERROR(HLOOKUP(S40,$BM$19:$BR48,$D40+1)),"",HLOOKUP(S40,$BM$19:$BR48,$D40+1))</f>
        <v/>
      </c>
      <c r="AQ40" s="14" t="str">
        <f>IF(ISERROR(HLOOKUP(T40,$BM$19:$BR48,$D40+1)),"",HLOOKUP(T40,$BM$19:$BR48,$D40+1))</f>
        <v/>
      </c>
      <c r="AR40" s="14" t="str">
        <f>IF(ISERROR(HLOOKUP(U40,$BM$19:$BR48,$D40+1)),"",HLOOKUP(U40,$BM$19:$BR48,$D40+1))</f>
        <v/>
      </c>
      <c r="AS40" s="14" t="str">
        <f>IF(ISERROR(HLOOKUP(V40,$BM$19:$BR48,$D40+1)),"",HLOOKUP(V40,$BM$19:$BR48,$D40+1))</f>
        <v/>
      </c>
      <c r="AT40" s="14" t="str">
        <f>IF(ISERROR(HLOOKUP(W40,$BM$19:$BR48,$D40+1)),"",HLOOKUP(W40,$BM$19:$BR48,$D40+1))</f>
        <v/>
      </c>
      <c r="AU40" s="14" t="str">
        <f>IF(ISERROR(HLOOKUP(X40,$BM$19:$BR48,$D40+1)),"",HLOOKUP(X40,$BM$19:$BR48,$D40+1))</f>
        <v/>
      </c>
      <c r="AV40" s="111" t="s">
        <v>208</v>
      </c>
      <c r="AW40" s="111" t="s">
        <v>208</v>
      </c>
      <c r="BA40" s="15"/>
    </row>
    <row r="41" spans="1:53" ht="27" customHeight="1">
      <c r="A41" s="25">
        <v>25</v>
      </c>
      <c r="B41" s="156"/>
      <c r="C41" s="153"/>
      <c r="D41" s="150"/>
      <c r="E41" s="151"/>
      <c r="F41" s="157"/>
      <c r="G41" s="159"/>
      <c r="H41" s="159"/>
      <c r="I41" s="159"/>
      <c r="J41" s="151"/>
      <c r="K41" s="151"/>
      <c r="L41" s="151"/>
      <c r="M41" s="151"/>
      <c r="N41" s="151"/>
      <c r="O41" s="151"/>
      <c r="P41" s="151"/>
      <c r="Q41" s="151"/>
      <c r="R41" s="151"/>
      <c r="S41" s="151"/>
      <c r="T41" s="151"/>
      <c r="U41" s="151"/>
      <c r="V41" s="151"/>
      <c r="W41" s="151"/>
      <c r="X41" s="151"/>
      <c r="Y41" s="163">
        <f t="shared" si="1"/>
        <v>0</v>
      </c>
      <c r="Z41" s="112"/>
      <c r="AA41" s="112"/>
      <c r="AB41" s="14" t="str">
        <f>IF(ISERROR(HLOOKUP(E41,$BM$19:$BR49,$D41+1)),"",HLOOKUP(E41,$BM$19:$BR49,$D41+1))</f>
        <v/>
      </c>
      <c r="AC41" s="14" t="str">
        <f>IF(ISERROR(HLOOKUP(F41,$BM$19:$BR49,$D41+1)),"",HLOOKUP(F41,$BM$19:$BR49,$D41+1))</f>
        <v/>
      </c>
      <c r="AD41" s="14" t="str">
        <f>IF(ISERROR(HLOOKUP(G41,$BM$19:$BR49,$D41+1)),"",HLOOKUP(G41,$BM$19:$BR49,$D41+1))</f>
        <v/>
      </c>
      <c r="AE41" s="14" t="str">
        <f>IF(ISERROR(HLOOKUP(H41,$BM$19:$BR49,$D41+1)),"",HLOOKUP(H41,$BM$19:$BR49,$D41+1))</f>
        <v/>
      </c>
      <c r="AF41" s="14" t="str">
        <f>IF(ISERROR(HLOOKUP(I41,$BM$19:$BR49,$D41+1)),"",HLOOKUP(I41,$BM$19:$BR49,$D41+1))</f>
        <v/>
      </c>
      <c r="AG41" s="14" t="str">
        <f>IF(ISERROR(HLOOKUP(J41,$BM$19:$BR49,$D41+1)),"",HLOOKUP(J41,$BM$19:$BR49,$D41+1))</f>
        <v/>
      </c>
      <c r="AH41" s="14" t="str">
        <f>IF(ISERROR(HLOOKUP(K41,$BM$19:$BR49,$D41+1)),"",HLOOKUP(K41,$BM$19:$BR49,$D41+1))</f>
        <v/>
      </c>
      <c r="AI41" s="14" t="str">
        <f>IF(ISERROR(HLOOKUP(L41,$BM$19:$BR49,$D41+1)),"",HLOOKUP(L41,$BM$19:$BR49,$D41+1))</f>
        <v/>
      </c>
      <c r="AJ41" s="14" t="str">
        <f>IF(ISERROR(HLOOKUP(M41,$BM$19:$BR49,$D41+1)),"",HLOOKUP(M41,$BM$19:$BR49,$D41+1))</f>
        <v/>
      </c>
      <c r="AK41" s="14" t="str">
        <f>IF(ISERROR(HLOOKUP(N41,$BM$19:$BR49,$D41+1)),"",HLOOKUP(N41,$BM$19:$BR49,$D41+1))</f>
        <v/>
      </c>
      <c r="AL41" s="14" t="str">
        <f>IF(ISERROR(HLOOKUP(O41,$BM$19:$BR49,$D41+1)),"",HLOOKUP(O41,$BM$19:$BR49,$D41+1))</f>
        <v/>
      </c>
      <c r="AM41" s="14" t="str">
        <f>IF(ISERROR(HLOOKUP(P41,$BM$19:$BR49,$D41+1)),"",HLOOKUP(P41,$BM$19:$BR49,$D41+1))</f>
        <v/>
      </c>
      <c r="AN41" s="14" t="str">
        <f>IF(ISERROR(HLOOKUP(Q41,$BM$19:$BR49,$D41+1)),"",HLOOKUP(Q41,$BM$19:$BR49,$D41+1))</f>
        <v/>
      </c>
      <c r="AO41" s="14" t="str">
        <f>IF(ISERROR(HLOOKUP(R41,$BM$19:$BR49,$D41+1)),"",HLOOKUP(R41,$BM$19:$BR49,$D41+1))</f>
        <v/>
      </c>
      <c r="AP41" s="14" t="str">
        <f>IF(ISERROR(HLOOKUP(S41,$BM$19:$BR49,$D41+1)),"",HLOOKUP(S41,$BM$19:$BR49,$D41+1))</f>
        <v/>
      </c>
      <c r="AQ41" s="14" t="str">
        <f>IF(ISERROR(HLOOKUP(T41,$BM$19:$BR49,$D41+1)),"",HLOOKUP(T41,$BM$19:$BR49,$D41+1))</f>
        <v/>
      </c>
      <c r="AR41" s="14" t="str">
        <f>IF(ISERROR(HLOOKUP(U41,$BM$19:$BR49,$D41+1)),"",HLOOKUP(U41,$BM$19:$BR49,$D41+1))</f>
        <v/>
      </c>
      <c r="AS41" s="14" t="str">
        <f>IF(ISERROR(HLOOKUP(V41,$BM$19:$BR49,$D41+1)),"",HLOOKUP(V41,$BM$19:$BR49,$D41+1))</f>
        <v/>
      </c>
      <c r="AT41" s="14" t="str">
        <f>IF(ISERROR(HLOOKUP(W41,$BM$19:$BR49,$D41+1)),"",HLOOKUP(W41,$BM$19:$BR49,$D41+1))</f>
        <v/>
      </c>
      <c r="AU41" s="14" t="str">
        <f>IF(ISERROR(HLOOKUP(X41,$BM$19:$BR49,$D41+1)),"",HLOOKUP(X41,$BM$19:$BR49,$D41+1))</f>
        <v/>
      </c>
      <c r="AV41" s="111" t="s">
        <v>208</v>
      </c>
      <c r="AW41" s="111" t="s">
        <v>208</v>
      </c>
      <c r="BA41" s="15"/>
    </row>
    <row r="42" spans="1:53" ht="27" customHeight="1">
      <c r="A42" s="25">
        <v>26</v>
      </c>
      <c r="B42" s="156"/>
      <c r="C42" s="153"/>
      <c r="D42" s="150"/>
      <c r="E42" s="151"/>
      <c r="F42" s="157"/>
      <c r="G42" s="159"/>
      <c r="H42" s="159"/>
      <c r="I42" s="159"/>
      <c r="J42" s="151"/>
      <c r="K42" s="151"/>
      <c r="L42" s="151"/>
      <c r="M42" s="151"/>
      <c r="N42" s="151"/>
      <c r="O42" s="151"/>
      <c r="P42" s="151"/>
      <c r="Q42" s="151"/>
      <c r="R42" s="151"/>
      <c r="S42" s="151"/>
      <c r="T42" s="151"/>
      <c r="U42" s="151"/>
      <c r="V42" s="151"/>
      <c r="W42" s="151"/>
      <c r="X42" s="151"/>
      <c r="Y42" s="163">
        <f t="shared" si="1"/>
        <v>0</v>
      </c>
      <c r="Z42" s="112"/>
      <c r="AA42" s="112"/>
      <c r="AB42" s="14" t="str">
        <f>IF(ISERROR(HLOOKUP(E42,$BM$19:$BR50,$D42+1)),"",HLOOKUP(E42,$BM$19:$BR50,$D42+1))</f>
        <v/>
      </c>
      <c r="AC42" s="14" t="str">
        <f>IF(ISERROR(HLOOKUP(F42,$BM$19:$BR50,$D42+1)),"",HLOOKUP(F42,$BM$19:$BR50,$D42+1))</f>
        <v/>
      </c>
      <c r="AD42" s="14" t="str">
        <f>IF(ISERROR(HLOOKUP(G42,$BM$19:$BR50,$D42+1)),"",HLOOKUP(G42,$BM$19:$BR50,$D42+1))</f>
        <v/>
      </c>
      <c r="AE42" s="14" t="str">
        <f>IF(ISERROR(HLOOKUP(H42,$BM$19:$BR50,$D42+1)),"",HLOOKUP(H42,$BM$19:$BR50,$D42+1))</f>
        <v/>
      </c>
      <c r="AF42" s="14" t="str">
        <f>IF(ISERROR(HLOOKUP(I42,$BM$19:$BR50,$D42+1)),"",HLOOKUP(I42,$BM$19:$BR50,$D42+1))</f>
        <v/>
      </c>
      <c r="AG42" s="14" t="str">
        <f>IF(ISERROR(HLOOKUP(J42,$BM$19:$BR50,$D42+1)),"",HLOOKUP(J42,$BM$19:$BR50,$D42+1))</f>
        <v/>
      </c>
      <c r="AH42" s="14" t="str">
        <f>IF(ISERROR(HLOOKUP(K42,$BM$19:$BR50,$D42+1)),"",HLOOKUP(K42,$BM$19:$BR50,$D42+1))</f>
        <v/>
      </c>
      <c r="AI42" s="14" t="str">
        <f>IF(ISERROR(HLOOKUP(L42,$BM$19:$BR50,$D42+1)),"",HLOOKUP(L42,$BM$19:$BR50,$D42+1))</f>
        <v/>
      </c>
      <c r="AJ42" s="14" t="str">
        <f>IF(ISERROR(HLOOKUP(M42,$BM$19:$BR50,$D42+1)),"",HLOOKUP(M42,$BM$19:$BR50,$D42+1))</f>
        <v/>
      </c>
      <c r="AK42" s="14" t="str">
        <f>IF(ISERROR(HLOOKUP(N42,$BM$19:$BR50,$D42+1)),"",HLOOKUP(N42,$BM$19:$BR50,$D42+1))</f>
        <v/>
      </c>
      <c r="AL42" s="14" t="str">
        <f>IF(ISERROR(HLOOKUP(O42,$BM$19:$BR50,$D42+1)),"",HLOOKUP(O42,$BM$19:$BR50,$D42+1))</f>
        <v/>
      </c>
      <c r="AM42" s="14" t="str">
        <f>IF(ISERROR(HLOOKUP(P42,$BM$19:$BR50,$D42+1)),"",HLOOKUP(P42,$BM$19:$BR50,$D42+1))</f>
        <v/>
      </c>
      <c r="AN42" s="14" t="str">
        <f>IF(ISERROR(HLOOKUP(Q42,$BM$19:$BR50,$D42+1)),"",HLOOKUP(Q42,$BM$19:$BR50,$D42+1))</f>
        <v/>
      </c>
      <c r="AO42" s="14" t="str">
        <f>IF(ISERROR(HLOOKUP(R42,$BM$19:$BR50,$D42+1)),"",HLOOKUP(R42,$BM$19:$BR50,$D42+1))</f>
        <v/>
      </c>
      <c r="AP42" s="14" t="str">
        <f>IF(ISERROR(HLOOKUP(S42,$BM$19:$BR50,$D42+1)),"",HLOOKUP(S42,$BM$19:$BR50,$D42+1))</f>
        <v/>
      </c>
      <c r="AQ42" s="14" t="str">
        <f>IF(ISERROR(HLOOKUP(T42,$BM$19:$BR50,$D42+1)),"",HLOOKUP(T42,$BM$19:$BR50,$D42+1))</f>
        <v/>
      </c>
      <c r="AR42" s="14" t="str">
        <f>IF(ISERROR(HLOOKUP(U42,$BM$19:$BR50,$D42+1)),"",HLOOKUP(U42,$BM$19:$BR50,$D42+1))</f>
        <v/>
      </c>
      <c r="AS42" s="14" t="str">
        <f>IF(ISERROR(HLOOKUP(V42,$BM$19:$BR50,$D42+1)),"",HLOOKUP(V42,$BM$19:$BR50,$D42+1))</f>
        <v/>
      </c>
      <c r="AT42" s="14" t="str">
        <f>IF(ISERROR(HLOOKUP(W42,$BM$19:$BR50,$D42+1)),"",HLOOKUP(W42,$BM$19:$BR50,$D42+1))</f>
        <v/>
      </c>
      <c r="AU42" s="14" t="str">
        <f>IF(ISERROR(HLOOKUP(X42,$BM$19:$BR50,$D42+1)),"",HLOOKUP(X42,$BM$19:$BR50,$D42+1))</f>
        <v/>
      </c>
      <c r="AV42" s="111" t="s">
        <v>208</v>
      </c>
      <c r="AW42" s="111" t="s">
        <v>208</v>
      </c>
      <c r="BA42" s="15"/>
    </row>
    <row r="43" spans="1:53" ht="27" customHeight="1">
      <c r="A43" s="25">
        <v>27</v>
      </c>
      <c r="B43" s="156"/>
      <c r="C43" s="153"/>
      <c r="D43" s="150"/>
      <c r="E43" s="151"/>
      <c r="F43" s="157"/>
      <c r="G43" s="159"/>
      <c r="H43" s="159"/>
      <c r="I43" s="159"/>
      <c r="J43" s="151"/>
      <c r="K43" s="151"/>
      <c r="L43" s="151"/>
      <c r="M43" s="151"/>
      <c r="N43" s="151"/>
      <c r="O43" s="151"/>
      <c r="P43" s="151"/>
      <c r="Q43" s="151"/>
      <c r="R43" s="151"/>
      <c r="S43" s="151"/>
      <c r="T43" s="151"/>
      <c r="U43" s="151"/>
      <c r="V43" s="151"/>
      <c r="W43" s="151"/>
      <c r="X43" s="151"/>
      <c r="Y43" s="163">
        <f t="shared" si="1"/>
        <v>0</v>
      </c>
      <c r="Z43" s="112"/>
      <c r="AA43" s="112"/>
      <c r="AB43" s="14" t="str">
        <f>IF(ISERROR(HLOOKUP(E43,$BM$19:$BR51,$D43+1)),"",HLOOKUP(E43,$BM$19:$BR51,$D43+1))</f>
        <v/>
      </c>
      <c r="AC43" s="14" t="str">
        <f>IF(ISERROR(HLOOKUP(F43,$BM$19:$BR51,$D43+1)),"",HLOOKUP(F43,$BM$19:$BR51,$D43+1))</f>
        <v/>
      </c>
      <c r="AD43" s="14" t="str">
        <f>IF(ISERROR(HLOOKUP(G43,$BM$19:$BR51,$D43+1)),"",HLOOKUP(G43,$BM$19:$BR51,$D43+1))</f>
        <v/>
      </c>
      <c r="AE43" s="14" t="str">
        <f>IF(ISERROR(HLOOKUP(H43,$BM$19:$BR51,$D43+1)),"",HLOOKUP(H43,$BM$19:$BR51,$D43+1))</f>
        <v/>
      </c>
      <c r="AF43" s="14" t="str">
        <f>IF(ISERROR(HLOOKUP(I43,$BM$19:$BR51,$D43+1)),"",HLOOKUP(I43,$BM$19:$BR51,$D43+1))</f>
        <v/>
      </c>
      <c r="AG43" s="14" t="str">
        <f>IF(ISERROR(HLOOKUP(J43,$BM$19:$BR51,$D43+1)),"",HLOOKUP(J43,$BM$19:$BR51,$D43+1))</f>
        <v/>
      </c>
      <c r="AH43" s="14" t="str">
        <f>IF(ISERROR(HLOOKUP(K43,$BM$19:$BR51,$D43+1)),"",HLOOKUP(K43,$BM$19:$BR51,$D43+1))</f>
        <v/>
      </c>
      <c r="AI43" s="14" t="str">
        <f>IF(ISERROR(HLOOKUP(L43,$BM$19:$BR51,$D43+1)),"",HLOOKUP(L43,$BM$19:$BR51,$D43+1))</f>
        <v/>
      </c>
      <c r="AJ43" s="14" t="str">
        <f>IF(ISERROR(HLOOKUP(M43,$BM$19:$BR51,$D43+1)),"",HLOOKUP(M43,$BM$19:$BR51,$D43+1))</f>
        <v/>
      </c>
      <c r="AK43" s="14" t="str">
        <f>IF(ISERROR(HLOOKUP(N43,$BM$19:$BR51,$D43+1)),"",HLOOKUP(N43,$BM$19:$BR51,$D43+1))</f>
        <v/>
      </c>
      <c r="AL43" s="14" t="str">
        <f>IF(ISERROR(HLOOKUP(O43,$BM$19:$BR51,$D43+1)),"",HLOOKUP(O43,$BM$19:$BR51,$D43+1))</f>
        <v/>
      </c>
      <c r="AM43" s="14" t="str">
        <f>IF(ISERROR(HLOOKUP(P43,$BM$19:$BR51,$D43+1)),"",HLOOKUP(P43,$BM$19:$BR51,$D43+1))</f>
        <v/>
      </c>
      <c r="AN43" s="14" t="str">
        <f>IF(ISERROR(HLOOKUP(Q43,$BM$19:$BR51,$D43+1)),"",HLOOKUP(Q43,$BM$19:$BR51,$D43+1))</f>
        <v/>
      </c>
      <c r="AO43" s="14" t="str">
        <f>IF(ISERROR(HLOOKUP(R43,$BM$19:$BR51,$D43+1)),"",HLOOKUP(R43,$BM$19:$BR51,$D43+1))</f>
        <v/>
      </c>
      <c r="AP43" s="14" t="str">
        <f>IF(ISERROR(HLOOKUP(S43,$BM$19:$BR51,$D43+1)),"",HLOOKUP(S43,$BM$19:$BR51,$D43+1))</f>
        <v/>
      </c>
      <c r="AQ43" s="14" t="str">
        <f>IF(ISERROR(HLOOKUP(T43,$BM$19:$BR51,$D43+1)),"",HLOOKUP(T43,$BM$19:$BR51,$D43+1))</f>
        <v/>
      </c>
      <c r="AR43" s="14" t="str">
        <f>IF(ISERROR(HLOOKUP(U43,$BM$19:$BR51,$D43+1)),"",HLOOKUP(U43,$BM$19:$BR51,$D43+1))</f>
        <v/>
      </c>
      <c r="AS43" s="14" t="str">
        <f>IF(ISERROR(HLOOKUP(V43,$BM$19:$BR51,$D43+1)),"",HLOOKUP(V43,$BM$19:$BR51,$D43+1))</f>
        <v/>
      </c>
      <c r="AT43" s="14" t="str">
        <f>IF(ISERROR(HLOOKUP(W43,$BM$19:$BR51,$D43+1)),"",HLOOKUP(W43,$BM$19:$BR51,$D43+1))</f>
        <v/>
      </c>
      <c r="AU43" s="14" t="str">
        <f>IF(ISERROR(HLOOKUP(X43,$BM$19:$BR51,$D43+1)),"",HLOOKUP(X43,$BM$19:$BR51,$D43+1))</f>
        <v/>
      </c>
      <c r="AV43" s="111" t="s">
        <v>208</v>
      </c>
      <c r="AW43" s="111" t="s">
        <v>208</v>
      </c>
      <c r="BA43" s="15"/>
    </row>
    <row r="44" spans="1:53" ht="27" customHeight="1">
      <c r="A44" s="25">
        <v>28</v>
      </c>
      <c r="B44" s="156"/>
      <c r="C44" s="153"/>
      <c r="D44" s="150"/>
      <c r="E44" s="151"/>
      <c r="F44" s="157"/>
      <c r="G44" s="159"/>
      <c r="H44" s="159"/>
      <c r="I44" s="159"/>
      <c r="J44" s="151"/>
      <c r="K44" s="151"/>
      <c r="L44" s="151"/>
      <c r="M44" s="151"/>
      <c r="N44" s="151"/>
      <c r="O44" s="151"/>
      <c r="P44" s="151"/>
      <c r="Q44" s="151"/>
      <c r="R44" s="151"/>
      <c r="S44" s="151"/>
      <c r="T44" s="151"/>
      <c r="U44" s="151"/>
      <c r="V44" s="151"/>
      <c r="W44" s="151"/>
      <c r="X44" s="151"/>
      <c r="Y44" s="163">
        <f t="shared" si="1"/>
        <v>0</v>
      </c>
      <c r="Z44" s="112"/>
      <c r="AA44" s="112"/>
      <c r="AB44" s="14" t="str">
        <f>IF(ISERROR(HLOOKUP(E44,$BM$19:$BR52,$D44+1)),"",HLOOKUP(E44,$BM$19:$BR52,$D44+1))</f>
        <v/>
      </c>
      <c r="AC44" s="14" t="str">
        <f>IF(ISERROR(HLOOKUP(F44,$BM$19:$BR52,$D44+1)),"",HLOOKUP(F44,$BM$19:$BR52,$D44+1))</f>
        <v/>
      </c>
      <c r="AD44" s="14" t="str">
        <f>IF(ISERROR(HLOOKUP(G44,$BM$19:$BR52,$D44+1)),"",HLOOKUP(G44,$BM$19:$BR52,$D44+1))</f>
        <v/>
      </c>
      <c r="AE44" s="14" t="str">
        <f>IF(ISERROR(HLOOKUP(H44,$BM$19:$BR52,$D44+1)),"",HLOOKUP(H44,$BM$19:$BR52,$D44+1))</f>
        <v/>
      </c>
      <c r="AF44" s="14" t="str">
        <f>IF(ISERROR(HLOOKUP(I44,$BM$19:$BR52,$D44+1)),"",HLOOKUP(I44,$BM$19:$BR52,$D44+1))</f>
        <v/>
      </c>
      <c r="AG44" s="14" t="str">
        <f>IF(ISERROR(HLOOKUP(J44,$BM$19:$BR52,$D44+1)),"",HLOOKUP(J44,$BM$19:$BR52,$D44+1))</f>
        <v/>
      </c>
      <c r="AH44" s="14" t="str">
        <f>IF(ISERROR(HLOOKUP(K44,$BM$19:$BR52,$D44+1)),"",HLOOKUP(K44,$BM$19:$BR52,$D44+1))</f>
        <v/>
      </c>
      <c r="AI44" s="14" t="str">
        <f>IF(ISERROR(HLOOKUP(L44,$BM$19:$BR52,$D44+1)),"",HLOOKUP(L44,$BM$19:$BR52,$D44+1))</f>
        <v/>
      </c>
      <c r="AJ44" s="14" t="str">
        <f>IF(ISERROR(HLOOKUP(M44,$BM$19:$BR52,$D44+1)),"",HLOOKUP(M44,$BM$19:$BR52,$D44+1))</f>
        <v/>
      </c>
      <c r="AK44" s="14" t="str">
        <f>IF(ISERROR(HLOOKUP(N44,$BM$19:$BR52,$D44+1)),"",HLOOKUP(N44,$BM$19:$BR52,$D44+1))</f>
        <v/>
      </c>
      <c r="AL44" s="14" t="str">
        <f>IF(ISERROR(HLOOKUP(O44,$BM$19:$BR52,$D44+1)),"",HLOOKUP(O44,$BM$19:$BR52,$D44+1))</f>
        <v/>
      </c>
      <c r="AM44" s="14" t="str">
        <f>IF(ISERROR(HLOOKUP(P44,$BM$19:$BR52,$D44+1)),"",HLOOKUP(P44,$BM$19:$BR52,$D44+1))</f>
        <v/>
      </c>
      <c r="AN44" s="14" t="str">
        <f>IF(ISERROR(HLOOKUP(Q44,$BM$19:$BR52,$D44+1)),"",HLOOKUP(Q44,$BM$19:$BR52,$D44+1))</f>
        <v/>
      </c>
      <c r="AO44" s="14" t="str">
        <f>IF(ISERROR(HLOOKUP(R44,$BM$19:$BR52,$D44+1)),"",HLOOKUP(R44,$BM$19:$BR52,$D44+1))</f>
        <v/>
      </c>
      <c r="AP44" s="14" t="str">
        <f>IF(ISERROR(HLOOKUP(S44,$BM$19:$BR52,$D44+1)),"",HLOOKUP(S44,$BM$19:$BR52,$D44+1))</f>
        <v/>
      </c>
      <c r="AQ44" s="14" t="str">
        <f>IF(ISERROR(HLOOKUP(T44,$BM$19:$BR52,$D44+1)),"",HLOOKUP(T44,$BM$19:$BR52,$D44+1))</f>
        <v/>
      </c>
      <c r="AR44" s="14" t="str">
        <f>IF(ISERROR(HLOOKUP(U44,$BM$19:$BR52,$D44+1)),"",HLOOKUP(U44,$BM$19:$BR52,$D44+1))</f>
        <v/>
      </c>
      <c r="AS44" s="14" t="str">
        <f>IF(ISERROR(HLOOKUP(V44,$BM$19:$BR52,$D44+1)),"",HLOOKUP(V44,$BM$19:$BR52,$D44+1))</f>
        <v/>
      </c>
      <c r="AT44" s="14" t="str">
        <f>IF(ISERROR(HLOOKUP(W44,$BM$19:$BR52,$D44+1)),"",HLOOKUP(W44,$BM$19:$BR52,$D44+1))</f>
        <v/>
      </c>
      <c r="AU44" s="14" t="str">
        <f>IF(ISERROR(HLOOKUP(X44,$BM$19:$BR52,$D44+1)),"",HLOOKUP(X44,$BM$19:$BR52,$D44+1))</f>
        <v/>
      </c>
      <c r="AV44" s="111" t="s">
        <v>208</v>
      </c>
      <c r="AW44" s="111" t="s">
        <v>208</v>
      </c>
      <c r="BA44" s="15"/>
    </row>
    <row r="45" spans="1:53" ht="27" customHeight="1">
      <c r="A45" s="25">
        <v>29</v>
      </c>
      <c r="B45" s="156"/>
      <c r="C45" s="153"/>
      <c r="D45" s="150"/>
      <c r="E45" s="151"/>
      <c r="F45" s="151"/>
      <c r="G45" s="151"/>
      <c r="H45" s="151"/>
      <c r="I45" s="151"/>
      <c r="J45" s="151"/>
      <c r="K45" s="151"/>
      <c r="L45" s="151"/>
      <c r="M45" s="151"/>
      <c r="N45" s="151"/>
      <c r="O45" s="151"/>
      <c r="P45" s="151"/>
      <c r="Q45" s="151"/>
      <c r="R45" s="151"/>
      <c r="S45" s="151"/>
      <c r="T45" s="151"/>
      <c r="U45" s="151"/>
      <c r="V45" s="151"/>
      <c r="W45" s="151"/>
      <c r="X45" s="151"/>
      <c r="Y45" s="163">
        <f t="shared" si="1"/>
        <v>0</v>
      </c>
      <c r="Z45" s="112"/>
      <c r="AA45" s="112"/>
      <c r="AB45" s="14" t="str">
        <f>IF(ISERROR(HLOOKUP(E45,$BM$19:$BR53,$D45+1)),"",HLOOKUP(E45,$BM$19:$BR53,$D45+1))</f>
        <v/>
      </c>
      <c r="AC45" s="14" t="str">
        <f>IF(ISERROR(HLOOKUP(F45,$BM$19:$BR53,$D45+1)),"",HLOOKUP(F45,$BM$19:$BR53,$D45+1))</f>
        <v/>
      </c>
      <c r="AD45" s="14" t="str">
        <f>IF(ISERROR(HLOOKUP(G45,$BM$19:$BR53,$D45+1)),"",HLOOKUP(G45,$BM$19:$BR53,$D45+1))</f>
        <v/>
      </c>
      <c r="AE45" s="14" t="str">
        <f>IF(ISERROR(HLOOKUP(H45,$BM$19:$BR53,$D45+1)),"",HLOOKUP(H45,$BM$19:$BR53,$D45+1))</f>
        <v/>
      </c>
      <c r="AF45" s="14" t="str">
        <f>IF(ISERROR(HLOOKUP(I45,$BM$19:$BR53,$D45+1)),"",HLOOKUP(I45,$BM$19:$BR53,$D45+1))</f>
        <v/>
      </c>
      <c r="AG45" s="14" t="str">
        <f>IF(ISERROR(HLOOKUP(J45,$BM$19:$BR53,$D45+1)),"",HLOOKUP(J45,$BM$19:$BR53,$D45+1))</f>
        <v/>
      </c>
      <c r="AH45" s="14" t="str">
        <f>IF(ISERROR(HLOOKUP(K45,$BM$19:$BR53,$D45+1)),"",HLOOKUP(K45,$BM$19:$BR53,$D45+1))</f>
        <v/>
      </c>
      <c r="AI45" s="14" t="str">
        <f>IF(ISERROR(HLOOKUP(L45,$BM$19:$BR53,$D45+1)),"",HLOOKUP(L45,$BM$19:$BR53,$D45+1))</f>
        <v/>
      </c>
      <c r="AJ45" s="14" t="str">
        <f>IF(ISERROR(HLOOKUP(M45,$BM$19:$BR53,$D45+1)),"",HLOOKUP(M45,$BM$19:$BR53,$D45+1))</f>
        <v/>
      </c>
      <c r="AK45" s="14" t="str">
        <f>IF(ISERROR(HLOOKUP(N45,$BM$19:$BR53,$D45+1)),"",HLOOKUP(N45,$BM$19:$BR53,$D45+1))</f>
        <v/>
      </c>
      <c r="AL45" s="14" t="str">
        <f>IF(ISERROR(HLOOKUP(O45,$BM$19:$BR53,$D45+1)),"",HLOOKUP(O45,$BM$19:$BR53,$D45+1))</f>
        <v/>
      </c>
      <c r="AM45" s="14" t="str">
        <f>IF(ISERROR(HLOOKUP(P45,$BM$19:$BR53,$D45+1)),"",HLOOKUP(P45,$BM$19:$BR53,$D45+1))</f>
        <v/>
      </c>
      <c r="AN45" s="14" t="str">
        <f>IF(ISERROR(HLOOKUP(Q45,$BM$19:$BR53,$D45+1)),"",HLOOKUP(Q45,$BM$19:$BR53,$D45+1))</f>
        <v/>
      </c>
      <c r="AO45" s="14" t="str">
        <f>IF(ISERROR(HLOOKUP(R45,$BM$19:$BR53,$D45+1)),"",HLOOKUP(R45,$BM$19:$BR53,$D45+1))</f>
        <v/>
      </c>
      <c r="AP45" s="14" t="str">
        <f>IF(ISERROR(HLOOKUP(S45,$BM$19:$BR53,$D45+1)),"",HLOOKUP(S45,$BM$19:$BR53,$D45+1))</f>
        <v/>
      </c>
      <c r="AQ45" s="14" t="str">
        <f>IF(ISERROR(HLOOKUP(T45,$BM$19:$BR53,$D45+1)),"",HLOOKUP(T45,$BM$19:$BR53,$D45+1))</f>
        <v/>
      </c>
      <c r="AR45" s="14" t="str">
        <f>IF(ISERROR(HLOOKUP(U45,$BM$19:$BR53,$D45+1)),"",HLOOKUP(U45,$BM$19:$BR53,$D45+1))</f>
        <v/>
      </c>
      <c r="AS45" s="14" t="str">
        <f>IF(ISERROR(HLOOKUP(V45,$BM$19:$BR53,$D45+1)),"",HLOOKUP(V45,$BM$19:$BR53,$D45+1))</f>
        <v/>
      </c>
      <c r="AT45" s="14" t="str">
        <f>IF(ISERROR(HLOOKUP(W45,$BM$19:$BR53,$D45+1)),"",HLOOKUP(W45,$BM$19:$BR53,$D45+1))</f>
        <v/>
      </c>
      <c r="AU45" s="14" t="str">
        <f>IF(ISERROR(HLOOKUP(X45,$BM$19:$BR53,$D45+1)),"",HLOOKUP(X45,$BM$19:$BR53,$D45+1))</f>
        <v/>
      </c>
      <c r="AV45" s="111" t="s">
        <v>208</v>
      </c>
      <c r="AW45" s="111" t="s">
        <v>208</v>
      </c>
      <c r="BA45" s="15"/>
    </row>
    <row r="46" spans="1:53" ht="27" customHeight="1">
      <c r="A46" s="25">
        <v>30</v>
      </c>
      <c r="B46" s="156"/>
      <c r="C46" s="153"/>
      <c r="D46" s="150"/>
      <c r="E46" s="151"/>
      <c r="F46" s="151"/>
      <c r="G46" s="151"/>
      <c r="H46" s="151"/>
      <c r="I46" s="151"/>
      <c r="J46" s="151"/>
      <c r="K46" s="151"/>
      <c r="L46" s="151"/>
      <c r="M46" s="151"/>
      <c r="N46" s="151"/>
      <c r="O46" s="151"/>
      <c r="P46" s="151"/>
      <c r="Q46" s="151"/>
      <c r="R46" s="151"/>
      <c r="S46" s="151"/>
      <c r="T46" s="151"/>
      <c r="U46" s="151"/>
      <c r="V46" s="151"/>
      <c r="W46" s="151"/>
      <c r="X46" s="151"/>
      <c r="Y46" s="163">
        <f t="shared" si="1"/>
        <v>0</v>
      </c>
      <c r="Z46" s="112"/>
      <c r="AA46" s="112"/>
      <c r="AB46" s="14" t="str">
        <f>IF(ISERROR(HLOOKUP(E46,$BM$19:$BR54,$D46+1)),"",HLOOKUP(E46,$BM$19:$BR54,$D46+1))</f>
        <v/>
      </c>
      <c r="AC46" s="14" t="str">
        <f>IF(ISERROR(HLOOKUP(F46,$BM$19:$BR54,$D46+1)),"",HLOOKUP(F46,$BM$19:$BR54,$D46+1))</f>
        <v/>
      </c>
      <c r="AD46" s="14" t="str">
        <f>IF(ISERROR(HLOOKUP(G46,$BM$19:$BR54,$D46+1)),"",HLOOKUP(G46,$BM$19:$BR54,$D46+1))</f>
        <v/>
      </c>
      <c r="AE46" s="14" t="str">
        <f>IF(ISERROR(HLOOKUP(H46,$BM$19:$BR54,$D46+1)),"",HLOOKUP(H46,$BM$19:$BR54,$D46+1))</f>
        <v/>
      </c>
      <c r="AF46" s="14" t="str">
        <f>IF(ISERROR(HLOOKUP(I46,$BM$19:$BR54,$D46+1)),"",HLOOKUP(I46,$BM$19:$BR54,$D46+1))</f>
        <v/>
      </c>
      <c r="AG46" s="14" t="str">
        <f>IF(ISERROR(HLOOKUP(J46,$BM$19:$BR54,$D46+1)),"",HLOOKUP(J46,$BM$19:$BR54,$D46+1))</f>
        <v/>
      </c>
      <c r="AH46" s="14" t="str">
        <f>IF(ISERROR(HLOOKUP(K46,$BM$19:$BR54,$D46+1)),"",HLOOKUP(K46,$BM$19:$BR54,$D46+1))</f>
        <v/>
      </c>
      <c r="AI46" s="14" t="str">
        <f>IF(ISERROR(HLOOKUP(L46,$BM$19:$BR54,$D46+1)),"",HLOOKUP(L46,$BM$19:$BR54,$D46+1))</f>
        <v/>
      </c>
      <c r="AJ46" s="14" t="str">
        <f>IF(ISERROR(HLOOKUP(M46,$BM$19:$BR54,$D46+1)),"",HLOOKUP(M46,$BM$19:$BR54,$D46+1))</f>
        <v/>
      </c>
      <c r="AK46" s="14" t="str">
        <f>IF(ISERROR(HLOOKUP(N46,$BM$19:$BR54,$D46+1)),"",HLOOKUP(N46,$BM$19:$BR54,$D46+1))</f>
        <v/>
      </c>
      <c r="AL46" s="14" t="str">
        <f>IF(ISERROR(HLOOKUP(O46,$BM$19:$BR54,$D46+1)),"",HLOOKUP(O46,$BM$19:$BR54,$D46+1))</f>
        <v/>
      </c>
      <c r="AM46" s="14" t="str">
        <f>IF(ISERROR(HLOOKUP(P46,$BM$19:$BR54,$D46+1)),"",HLOOKUP(P46,$BM$19:$BR54,$D46+1))</f>
        <v/>
      </c>
      <c r="AN46" s="14" t="str">
        <f>IF(ISERROR(HLOOKUP(Q46,$BM$19:$BR54,$D46+1)),"",HLOOKUP(Q46,$BM$19:$BR54,$D46+1))</f>
        <v/>
      </c>
      <c r="AO46" s="14" t="str">
        <f>IF(ISERROR(HLOOKUP(R46,$BM$19:$BR54,$D46+1)),"",HLOOKUP(R46,$BM$19:$BR54,$D46+1))</f>
        <v/>
      </c>
      <c r="AP46" s="14" t="str">
        <f>IF(ISERROR(HLOOKUP(S46,$BM$19:$BR54,$D46+1)),"",HLOOKUP(S46,$BM$19:$BR54,$D46+1))</f>
        <v/>
      </c>
      <c r="AQ46" s="14" t="str">
        <f>IF(ISERROR(HLOOKUP(T46,$BM$19:$BR54,$D46+1)),"",HLOOKUP(T46,$BM$19:$BR54,$D46+1))</f>
        <v/>
      </c>
      <c r="AR46" s="14" t="str">
        <f>IF(ISERROR(HLOOKUP(U46,$BM$19:$BR54,$D46+1)),"",HLOOKUP(U46,$BM$19:$BR54,$D46+1))</f>
        <v/>
      </c>
      <c r="AS46" s="14" t="str">
        <f>IF(ISERROR(HLOOKUP(V46,$BM$19:$BR54,$D46+1)),"",HLOOKUP(V46,$BM$19:$BR54,$D46+1))</f>
        <v/>
      </c>
      <c r="AT46" s="14" t="str">
        <f>IF(ISERROR(HLOOKUP(W46,$BM$19:$BR54,$D46+1)),"",HLOOKUP(W46,$BM$19:$BR54,$D46+1))</f>
        <v/>
      </c>
      <c r="AU46" s="14" t="str">
        <f>IF(ISERROR(HLOOKUP(X46,$BM$19:$BR54,$D46+1)),"",HLOOKUP(X46,$BM$19:$BR54,$D46+1))</f>
        <v/>
      </c>
      <c r="AV46" s="111" t="s">
        <v>208</v>
      </c>
      <c r="AW46" s="111" t="s">
        <v>208</v>
      </c>
      <c r="BA46" s="15"/>
    </row>
    <row r="47" spans="1:53" ht="27" customHeight="1">
      <c r="A47" s="25">
        <v>31</v>
      </c>
      <c r="B47" s="156"/>
      <c r="C47" s="153"/>
      <c r="D47" s="150"/>
      <c r="E47" s="151"/>
      <c r="F47" s="151"/>
      <c r="G47" s="151"/>
      <c r="H47" s="151"/>
      <c r="I47" s="151"/>
      <c r="J47" s="151"/>
      <c r="K47" s="151"/>
      <c r="L47" s="151"/>
      <c r="M47" s="151"/>
      <c r="N47" s="151"/>
      <c r="O47" s="151"/>
      <c r="P47" s="151"/>
      <c r="Q47" s="151"/>
      <c r="R47" s="151"/>
      <c r="S47" s="151"/>
      <c r="T47" s="151"/>
      <c r="U47" s="151"/>
      <c r="V47" s="151"/>
      <c r="W47" s="151"/>
      <c r="X47" s="151"/>
      <c r="Y47" s="163">
        <f t="shared" si="1"/>
        <v>0</v>
      </c>
      <c r="Z47" s="112"/>
      <c r="AA47" s="112"/>
      <c r="AB47" s="14" t="str">
        <f>IF(ISERROR(HLOOKUP(E47,$BM$19:$BR55,$D47+1)),"",HLOOKUP(E47,$BM$19:$BR55,$D47+1))</f>
        <v/>
      </c>
      <c r="AC47" s="14" t="str">
        <f>IF(ISERROR(HLOOKUP(F47,$BM$19:$BR55,$D47+1)),"",HLOOKUP(F47,$BM$19:$BR55,$D47+1))</f>
        <v/>
      </c>
      <c r="AD47" s="14" t="str">
        <f>IF(ISERROR(HLOOKUP(G47,$BM$19:$BR55,$D47+1)),"",HLOOKUP(G47,$BM$19:$BR55,$D47+1))</f>
        <v/>
      </c>
      <c r="AE47" s="14" t="str">
        <f>IF(ISERROR(HLOOKUP(H47,$BM$19:$BR55,$D47+1)),"",HLOOKUP(H47,$BM$19:$BR55,$D47+1))</f>
        <v/>
      </c>
      <c r="AF47" s="14" t="str">
        <f>IF(ISERROR(HLOOKUP(I47,$BM$19:$BR55,$D47+1)),"",HLOOKUP(I47,$BM$19:$BR55,$D47+1))</f>
        <v/>
      </c>
      <c r="AG47" s="14" t="str">
        <f>IF(ISERROR(HLOOKUP(J47,$BM$19:$BR55,$D47+1)),"",HLOOKUP(J47,$BM$19:$BR55,$D47+1))</f>
        <v/>
      </c>
      <c r="AH47" s="14" t="str">
        <f>IF(ISERROR(HLOOKUP(K47,$BM$19:$BR55,$D47+1)),"",HLOOKUP(K47,$BM$19:$BR55,$D47+1))</f>
        <v/>
      </c>
      <c r="AI47" s="14" t="str">
        <f>IF(ISERROR(HLOOKUP(L47,$BM$19:$BR55,$D47+1)),"",HLOOKUP(L47,$BM$19:$BR55,$D47+1))</f>
        <v/>
      </c>
      <c r="AJ47" s="14" t="str">
        <f>IF(ISERROR(HLOOKUP(M47,$BM$19:$BR55,$D47+1)),"",HLOOKUP(M47,$BM$19:$BR55,$D47+1))</f>
        <v/>
      </c>
      <c r="AK47" s="14" t="str">
        <f>IF(ISERROR(HLOOKUP(N47,$BM$19:$BR55,$D47+1)),"",HLOOKUP(N47,$BM$19:$BR55,$D47+1))</f>
        <v/>
      </c>
      <c r="AL47" s="14" t="str">
        <f>IF(ISERROR(HLOOKUP(O47,$BM$19:$BR55,$D47+1)),"",HLOOKUP(O47,$BM$19:$BR55,$D47+1))</f>
        <v/>
      </c>
      <c r="AM47" s="14" t="str">
        <f>IF(ISERROR(HLOOKUP(P47,$BM$19:$BR55,$D47+1)),"",HLOOKUP(P47,$BM$19:$BR55,$D47+1))</f>
        <v/>
      </c>
      <c r="AN47" s="14" t="str">
        <f>IF(ISERROR(HLOOKUP(Q47,$BM$19:$BR55,$D47+1)),"",HLOOKUP(Q47,$BM$19:$BR55,$D47+1))</f>
        <v/>
      </c>
      <c r="AO47" s="14" t="str">
        <f>IF(ISERROR(HLOOKUP(R47,$BM$19:$BR55,$D47+1)),"",HLOOKUP(R47,$BM$19:$BR55,$D47+1))</f>
        <v/>
      </c>
      <c r="AP47" s="14" t="str">
        <f>IF(ISERROR(HLOOKUP(S47,$BM$19:$BR55,$D47+1)),"",HLOOKUP(S47,$BM$19:$BR55,$D47+1))</f>
        <v/>
      </c>
      <c r="AQ47" s="14" t="str">
        <f>IF(ISERROR(HLOOKUP(T47,$BM$19:$BR55,$D47+1)),"",HLOOKUP(T47,$BM$19:$BR55,$D47+1))</f>
        <v/>
      </c>
      <c r="AR47" s="14" t="str">
        <f>IF(ISERROR(HLOOKUP(U47,$BM$19:$BR55,$D47+1)),"",HLOOKUP(U47,$BM$19:$BR55,$D47+1))</f>
        <v/>
      </c>
      <c r="AS47" s="14" t="str">
        <f>IF(ISERROR(HLOOKUP(V47,$BM$19:$BR55,$D47+1)),"",HLOOKUP(V47,$BM$19:$BR55,$D47+1))</f>
        <v/>
      </c>
      <c r="AT47" s="14" t="str">
        <f>IF(ISERROR(HLOOKUP(W47,$BM$19:$BR55,$D47+1)),"",HLOOKUP(W47,$BM$19:$BR55,$D47+1))</f>
        <v/>
      </c>
      <c r="AU47" s="14" t="str">
        <f>IF(ISERROR(HLOOKUP(X47,$BM$19:$BR55,$D47+1)),"",HLOOKUP(X47,$BM$19:$BR55,$D47+1))</f>
        <v/>
      </c>
      <c r="AV47" s="111" t="s">
        <v>208</v>
      </c>
      <c r="AW47" s="111" t="s">
        <v>208</v>
      </c>
      <c r="BA47" s="15"/>
    </row>
    <row r="48" spans="1:53" ht="27" customHeight="1">
      <c r="A48" s="25">
        <v>32</v>
      </c>
      <c r="B48" s="156"/>
      <c r="C48" s="153"/>
      <c r="D48" s="150"/>
      <c r="E48" s="151"/>
      <c r="F48" s="151"/>
      <c r="G48" s="151"/>
      <c r="H48" s="151"/>
      <c r="I48" s="151"/>
      <c r="J48" s="151"/>
      <c r="K48" s="151"/>
      <c r="L48" s="151"/>
      <c r="M48" s="151"/>
      <c r="N48" s="151"/>
      <c r="O48" s="151"/>
      <c r="P48" s="151"/>
      <c r="Q48" s="151"/>
      <c r="R48" s="151"/>
      <c r="S48" s="151"/>
      <c r="T48" s="151"/>
      <c r="U48" s="151"/>
      <c r="V48" s="151"/>
      <c r="W48" s="151"/>
      <c r="X48" s="151"/>
      <c r="Y48" s="163">
        <f t="shared" si="1"/>
        <v>0</v>
      </c>
      <c r="Z48" s="112"/>
      <c r="AA48" s="112"/>
      <c r="AB48" s="14" t="str">
        <f>IF(ISERROR(HLOOKUP(E48,$BM$19:$BR56,$D48+1)),"",HLOOKUP(E48,$BM$19:$BR56,$D48+1))</f>
        <v/>
      </c>
      <c r="AC48" s="14" t="str">
        <f>IF(ISERROR(HLOOKUP(F48,$BM$19:$BR56,$D48+1)),"",HLOOKUP(F48,$BM$19:$BR56,$D48+1))</f>
        <v/>
      </c>
      <c r="AD48" s="14" t="str">
        <f>IF(ISERROR(HLOOKUP(G48,$BM$19:$BR56,$D48+1)),"",HLOOKUP(G48,$BM$19:$BR56,$D48+1))</f>
        <v/>
      </c>
      <c r="AE48" s="14" t="str">
        <f>IF(ISERROR(HLOOKUP(H48,$BM$19:$BR56,$D48+1)),"",HLOOKUP(H48,$BM$19:$BR56,$D48+1))</f>
        <v/>
      </c>
      <c r="AF48" s="14" t="str">
        <f>IF(ISERROR(HLOOKUP(I48,$BM$19:$BR56,$D48+1)),"",HLOOKUP(I48,$BM$19:$BR56,$D48+1))</f>
        <v/>
      </c>
      <c r="AG48" s="14" t="str">
        <f>IF(ISERROR(HLOOKUP(J48,$BM$19:$BR56,$D48+1)),"",HLOOKUP(J48,$BM$19:$BR56,$D48+1))</f>
        <v/>
      </c>
      <c r="AH48" s="14" t="str">
        <f>IF(ISERROR(HLOOKUP(K48,$BM$19:$BR56,$D48+1)),"",HLOOKUP(K48,$BM$19:$BR56,$D48+1))</f>
        <v/>
      </c>
      <c r="AI48" s="14" t="str">
        <f>IF(ISERROR(HLOOKUP(L48,$BM$19:$BR56,$D48+1)),"",HLOOKUP(L48,$BM$19:$BR56,$D48+1))</f>
        <v/>
      </c>
      <c r="AJ48" s="14" t="str">
        <f>IF(ISERROR(HLOOKUP(M48,$BM$19:$BR56,$D48+1)),"",HLOOKUP(M48,$BM$19:$BR56,$D48+1))</f>
        <v/>
      </c>
      <c r="AK48" s="14" t="str">
        <f>IF(ISERROR(HLOOKUP(N48,$BM$19:$BR56,$D48+1)),"",HLOOKUP(N48,$BM$19:$BR56,$D48+1))</f>
        <v/>
      </c>
      <c r="AL48" s="14" t="str">
        <f>IF(ISERROR(HLOOKUP(O48,$BM$19:$BR56,$D48+1)),"",HLOOKUP(O48,$BM$19:$BR56,$D48+1))</f>
        <v/>
      </c>
      <c r="AM48" s="14" t="str">
        <f>IF(ISERROR(HLOOKUP(P48,$BM$19:$BR56,$D48+1)),"",HLOOKUP(P48,$BM$19:$BR56,$D48+1))</f>
        <v/>
      </c>
      <c r="AN48" s="14" t="str">
        <f>IF(ISERROR(HLOOKUP(Q48,$BM$19:$BR56,$D48+1)),"",HLOOKUP(Q48,$BM$19:$BR56,$D48+1))</f>
        <v/>
      </c>
      <c r="AO48" s="14" t="str">
        <f>IF(ISERROR(HLOOKUP(R48,$BM$19:$BR56,$D48+1)),"",HLOOKUP(R48,$BM$19:$BR56,$D48+1))</f>
        <v/>
      </c>
      <c r="AP48" s="14" t="str">
        <f>IF(ISERROR(HLOOKUP(S48,$BM$19:$BR56,$D48+1)),"",HLOOKUP(S48,$BM$19:$BR56,$D48+1))</f>
        <v/>
      </c>
      <c r="AQ48" s="14" t="str">
        <f>IF(ISERROR(HLOOKUP(T48,$BM$19:$BR56,$D48+1)),"",HLOOKUP(T48,$BM$19:$BR56,$D48+1))</f>
        <v/>
      </c>
      <c r="AR48" s="14" t="str">
        <f>IF(ISERROR(HLOOKUP(U48,$BM$19:$BR56,$D48+1)),"",HLOOKUP(U48,$BM$19:$BR56,$D48+1))</f>
        <v/>
      </c>
      <c r="AS48" s="14" t="str">
        <f>IF(ISERROR(HLOOKUP(V48,$BM$19:$BR56,$D48+1)),"",HLOOKUP(V48,$BM$19:$BR56,$D48+1))</f>
        <v/>
      </c>
      <c r="AT48" s="14" t="str">
        <f>IF(ISERROR(HLOOKUP(W48,$BM$19:$BR56,$D48+1)),"",HLOOKUP(W48,$BM$19:$BR56,$D48+1))</f>
        <v/>
      </c>
      <c r="AU48" s="14" t="str">
        <f>IF(ISERROR(HLOOKUP(X48,$BM$19:$BR56,$D48+1)),"",HLOOKUP(X48,$BM$19:$BR56,$D48+1))</f>
        <v/>
      </c>
      <c r="AV48" s="111" t="s">
        <v>208</v>
      </c>
      <c r="AW48" s="111" t="s">
        <v>208</v>
      </c>
      <c r="BA48" s="15"/>
    </row>
    <row r="49" spans="1:53" ht="27" customHeight="1">
      <c r="A49" s="25">
        <v>33</v>
      </c>
      <c r="B49" s="156"/>
      <c r="C49" s="153"/>
      <c r="D49" s="150"/>
      <c r="E49" s="151"/>
      <c r="F49" s="151"/>
      <c r="G49" s="151"/>
      <c r="H49" s="151"/>
      <c r="I49" s="151"/>
      <c r="J49" s="151"/>
      <c r="K49" s="151"/>
      <c r="L49" s="151"/>
      <c r="M49" s="151"/>
      <c r="N49" s="151"/>
      <c r="O49" s="151"/>
      <c r="P49" s="151"/>
      <c r="Q49" s="151"/>
      <c r="R49" s="151"/>
      <c r="S49" s="151"/>
      <c r="T49" s="151"/>
      <c r="U49" s="151"/>
      <c r="V49" s="151"/>
      <c r="W49" s="151"/>
      <c r="X49" s="151"/>
      <c r="Y49" s="163">
        <f t="shared" ref="Y49:Y80" si="2">SUM(AB49:AW49)</f>
        <v>0</v>
      </c>
      <c r="Z49" s="112"/>
      <c r="AA49" s="112"/>
      <c r="AB49" s="14" t="str">
        <f>IF(ISERROR(HLOOKUP(E49,$BM$19:$BR57,$D49+1)),"",HLOOKUP(E49,$BM$19:$BR57,$D49+1))</f>
        <v/>
      </c>
      <c r="AC49" s="14" t="str">
        <f>IF(ISERROR(HLOOKUP(F49,$BM$19:$BR57,$D49+1)),"",HLOOKUP(F49,$BM$19:$BR57,$D49+1))</f>
        <v/>
      </c>
      <c r="AD49" s="14" t="str">
        <f>IF(ISERROR(HLOOKUP(G49,$BM$19:$BR57,$D49+1)),"",HLOOKUP(G49,$BM$19:$BR57,$D49+1))</f>
        <v/>
      </c>
      <c r="AE49" s="14" t="str">
        <f>IF(ISERROR(HLOOKUP(H49,$BM$19:$BR57,$D49+1)),"",HLOOKUP(H49,$BM$19:$BR57,$D49+1))</f>
        <v/>
      </c>
      <c r="AF49" s="14" t="str">
        <f>IF(ISERROR(HLOOKUP(I49,$BM$19:$BR57,$D49+1)),"",HLOOKUP(I49,$BM$19:$BR57,$D49+1))</f>
        <v/>
      </c>
      <c r="AG49" s="14" t="str">
        <f>IF(ISERROR(HLOOKUP(J49,$BM$19:$BR57,$D49+1)),"",HLOOKUP(J49,$BM$19:$BR57,$D49+1))</f>
        <v/>
      </c>
      <c r="AH49" s="14" t="str">
        <f>IF(ISERROR(HLOOKUP(K49,$BM$19:$BR57,$D49+1)),"",HLOOKUP(K49,$BM$19:$BR57,$D49+1))</f>
        <v/>
      </c>
      <c r="AI49" s="14" t="str">
        <f>IF(ISERROR(HLOOKUP(L49,$BM$19:$BR57,$D49+1)),"",HLOOKUP(L49,$BM$19:$BR57,$D49+1))</f>
        <v/>
      </c>
      <c r="AJ49" s="14" t="str">
        <f>IF(ISERROR(HLOOKUP(M49,$BM$19:$BR57,$D49+1)),"",HLOOKUP(M49,$BM$19:$BR57,$D49+1))</f>
        <v/>
      </c>
      <c r="AK49" s="14" t="str">
        <f>IF(ISERROR(HLOOKUP(N49,$BM$19:$BR57,$D49+1)),"",HLOOKUP(N49,$BM$19:$BR57,$D49+1))</f>
        <v/>
      </c>
      <c r="AL49" s="14" t="str">
        <f>IF(ISERROR(HLOOKUP(O49,$BM$19:$BR57,$D49+1)),"",HLOOKUP(O49,$BM$19:$BR57,$D49+1))</f>
        <v/>
      </c>
      <c r="AM49" s="14" t="str">
        <f>IF(ISERROR(HLOOKUP(P49,$BM$19:$BR57,$D49+1)),"",HLOOKUP(P49,$BM$19:$BR57,$D49+1))</f>
        <v/>
      </c>
      <c r="AN49" s="14" t="str">
        <f>IF(ISERROR(HLOOKUP(Q49,$BM$19:$BR57,$D49+1)),"",HLOOKUP(Q49,$BM$19:$BR57,$D49+1))</f>
        <v/>
      </c>
      <c r="AO49" s="14" t="str">
        <f>IF(ISERROR(HLOOKUP(R49,$BM$19:$BR57,$D49+1)),"",HLOOKUP(R49,$BM$19:$BR57,$D49+1))</f>
        <v/>
      </c>
      <c r="AP49" s="14" t="str">
        <f>IF(ISERROR(HLOOKUP(S49,$BM$19:$BR57,$D49+1)),"",HLOOKUP(S49,$BM$19:$BR57,$D49+1))</f>
        <v/>
      </c>
      <c r="AQ49" s="14" t="str">
        <f>IF(ISERROR(HLOOKUP(T49,$BM$19:$BR57,$D49+1)),"",HLOOKUP(T49,$BM$19:$BR57,$D49+1))</f>
        <v/>
      </c>
      <c r="AR49" s="14" t="str">
        <f>IF(ISERROR(HLOOKUP(U49,$BM$19:$BR57,$D49+1)),"",HLOOKUP(U49,$BM$19:$BR57,$D49+1))</f>
        <v/>
      </c>
      <c r="AS49" s="14" t="str">
        <f>IF(ISERROR(HLOOKUP(V49,$BM$19:$BR57,$D49+1)),"",HLOOKUP(V49,$BM$19:$BR57,$D49+1))</f>
        <v/>
      </c>
      <c r="AT49" s="14" t="str">
        <f>IF(ISERROR(HLOOKUP(W49,$BM$19:$BR57,$D49+1)),"",HLOOKUP(W49,$BM$19:$BR57,$D49+1))</f>
        <v/>
      </c>
      <c r="AU49" s="14" t="str">
        <f>IF(ISERROR(HLOOKUP(X49,$BM$19:$BR57,$D49+1)),"",HLOOKUP(X49,$BM$19:$BR57,$D49+1))</f>
        <v/>
      </c>
      <c r="AV49" s="111" t="s">
        <v>208</v>
      </c>
      <c r="AW49" s="111" t="s">
        <v>208</v>
      </c>
      <c r="BA49" s="15"/>
    </row>
    <row r="50" spans="1:53" ht="27" customHeight="1">
      <c r="A50" s="25">
        <v>34</v>
      </c>
      <c r="B50" s="156"/>
      <c r="C50" s="153"/>
      <c r="D50" s="150"/>
      <c r="E50" s="151"/>
      <c r="F50" s="151"/>
      <c r="G50" s="151"/>
      <c r="H50" s="151"/>
      <c r="I50" s="151"/>
      <c r="J50" s="151"/>
      <c r="K50" s="151"/>
      <c r="L50" s="151"/>
      <c r="M50" s="151"/>
      <c r="N50" s="151"/>
      <c r="O50" s="151"/>
      <c r="P50" s="151"/>
      <c r="Q50" s="151"/>
      <c r="R50" s="151"/>
      <c r="S50" s="151"/>
      <c r="T50" s="151"/>
      <c r="U50" s="151"/>
      <c r="V50" s="151"/>
      <c r="W50" s="151"/>
      <c r="X50" s="151"/>
      <c r="Y50" s="163">
        <f t="shared" si="2"/>
        <v>0</v>
      </c>
      <c r="Z50" s="112"/>
      <c r="AA50" s="112"/>
      <c r="AB50" s="14" t="str">
        <f>IF(ISERROR(HLOOKUP(E50,$BM$19:$BR58,$D50+1)),"",HLOOKUP(E50,$BM$19:$BR58,$D50+1))</f>
        <v/>
      </c>
      <c r="AC50" s="14" t="str">
        <f>IF(ISERROR(HLOOKUP(F50,$BM$19:$BR58,$D50+1)),"",HLOOKUP(F50,$BM$19:$BR58,$D50+1))</f>
        <v/>
      </c>
      <c r="AD50" s="14" t="str">
        <f>IF(ISERROR(HLOOKUP(G50,$BM$19:$BR58,$D50+1)),"",HLOOKUP(G50,$BM$19:$BR58,$D50+1))</f>
        <v/>
      </c>
      <c r="AE50" s="14" t="str">
        <f>IF(ISERROR(HLOOKUP(H50,$BM$19:$BR58,$D50+1)),"",HLOOKUP(H50,$BM$19:$BR58,$D50+1))</f>
        <v/>
      </c>
      <c r="AF50" s="14" t="str">
        <f>IF(ISERROR(HLOOKUP(I50,$BM$19:$BR58,$D50+1)),"",HLOOKUP(I50,$BM$19:$BR58,$D50+1))</f>
        <v/>
      </c>
      <c r="AG50" s="14" t="str">
        <f>IF(ISERROR(HLOOKUP(J50,$BM$19:$BR58,$D50+1)),"",HLOOKUP(J50,$BM$19:$BR58,$D50+1))</f>
        <v/>
      </c>
      <c r="AH50" s="14" t="str">
        <f>IF(ISERROR(HLOOKUP(K50,$BM$19:$BR58,$D50+1)),"",HLOOKUP(K50,$BM$19:$BR58,$D50+1))</f>
        <v/>
      </c>
      <c r="AI50" s="14" t="str">
        <f>IF(ISERROR(HLOOKUP(L50,$BM$19:$BR58,$D50+1)),"",HLOOKUP(L50,$BM$19:$BR58,$D50+1))</f>
        <v/>
      </c>
      <c r="AJ50" s="14" t="str">
        <f>IF(ISERROR(HLOOKUP(M50,$BM$19:$BR58,$D50+1)),"",HLOOKUP(M50,$BM$19:$BR58,$D50+1))</f>
        <v/>
      </c>
      <c r="AK50" s="14" t="str">
        <f>IF(ISERROR(HLOOKUP(N50,$BM$19:$BR58,$D50+1)),"",HLOOKUP(N50,$BM$19:$BR58,$D50+1))</f>
        <v/>
      </c>
      <c r="AL50" s="14" t="str">
        <f>IF(ISERROR(HLOOKUP(O50,$BM$19:$BR58,$D50+1)),"",HLOOKUP(O50,$BM$19:$BR58,$D50+1))</f>
        <v/>
      </c>
      <c r="AM50" s="14" t="str">
        <f>IF(ISERROR(HLOOKUP(P50,$BM$19:$BR58,$D50+1)),"",HLOOKUP(P50,$BM$19:$BR58,$D50+1))</f>
        <v/>
      </c>
      <c r="AN50" s="14" t="str">
        <f>IF(ISERROR(HLOOKUP(Q50,$BM$19:$BR58,$D50+1)),"",HLOOKUP(Q50,$BM$19:$BR58,$D50+1))</f>
        <v/>
      </c>
      <c r="AO50" s="14" t="str">
        <f>IF(ISERROR(HLOOKUP(R50,$BM$19:$BR58,$D50+1)),"",HLOOKUP(R50,$BM$19:$BR58,$D50+1))</f>
        <v/>
      </c>
      <c r="AP50" s="14" t="str">
        <f>IF(ISERROR(HLOOKUP(S50,$BM$19:$BR58,$D50+1)),"",HLOOKUP(S50,$BM$19:$BR58,$D50+1))</f>
        <v/>
      </c>
      <c r="AQ50" s="14" t="str">
        <f>IF(ISERROR(HLOOKUP(T50,$BM$19:$BR58,$D50+1)),"",HLOOKUP(T50,$BM$19:$BR58,$D50+1))</f>
        <v/>
      </c>
      <c r="AR50" s="14" t="str">
        <f>IF(ISERROR(HLOOKUP(U50,$BM$19:$BR58,$D50+1)),"",HLOOKUP(U50,$BM$19:$BR58,$D50+1))</f>
        <v/>
      </c>
      <c r="AS50" s="14" t="str">
        <f>IF(ISERROR(HLOOKUP(V50,$BM$19:$BR58,$D50+1)),"",HLOOKUP(V50,$BM$19:$BR58,$D50+1))</f>
        <v/>
      </c>
      <c r="AT50" s="14" t="str">
        <f>IF(ISERROR(HLOOKUP(W50,$BM$19:$BR58,$D50+1)),"",HLOOKUP(W50,$BM$19:$BR58,$D50+1))</f>
        <v/>
      </c>
      <c r="AU50" s="14" t="str">
        <f>IF(ISERROR(HLOOKUP(X50,$BM$19:$BR58,$D50+1)),"",HLOOKUP(X50,$BM$19:$BR58,$D50+1))</f>
        <v/>
      </c>
      <c r="AV50" s="111" t="s">
        <v>208</v>
      </c>
      <c r="AW50" s="111" t="s">
        <v>208</v>
      </c>
      <c r="BA50" s="15"/>
    </row>
    <row r="51" spans="1:53" ht="27" customHeight="1">
      <c r="A51" s="25">
        <v>35</v>
      </c>
      <c r="B51" s="156"/>
      <c r="C51" s="153"/>
      <c r="D51" s="150"/>
      <c r="E51" s="151"/>
      <c r="F51" s="151"/>
      <c r="G51" s="151"/>
      <c r="H51" s="151"/>
      <c r="I51" s="151"/>
      <c r="J51" s="151"/>
      <c r="K51" s="151"/>
      <c r="L51" s="151"/>
      <c r="M51" s="151"/>
      <c r="N51" s="151"/>
      <c r="O51" s="151"/>
      <c r="P51" s="151"/>
      <c r="Q51" s="151"/>
      <c r="R51" s="151"/>
      <c r="S51" s="151"/>
      <c r="T51" s="151"/>
      <c r="U51" s="151"/>
      <c r="V51" s="151"/>
      <c r="W51" s="151"/>
      <c r="X51" s="151"/>
      <c r="Y51" s="163">
        <f t="shared" si="2"/>
        <v>0</v>
      </c>
      <c r="Z51" s="112"/>
      <c r="AA51" s="112"/>
      <c r="AB51" s="14" t="str">
        <f>IF(ISERROR(HLOOKUP(E51,$BM$19:$BR59,$D51+1)),"",HLOOKUP(E51,$BM$19:$BR59,$D51+1))</f>
        <v/>
      </c>
      <c r="AC51" s="14" t="str">
        <f>IF(ISERROR(HLOOKUP(F51,$BM$19:$BR59,$D51+1)),"",HLOOKUP(F51,$BM$19:$BR59,$D51+1))</f>
        <v/>
      </c>
      <c r="AD51" s="14" t="str">
        <f>IF(ISERROR(HLOOKUP(G51,$BM$19:$BR59,$D51+1)),"",HLOOKUP(G51,$BM$19:$BR59,$D51+1))</f>
        <v/>
      </c>
      <c r="AE51" s="14" t="str">
        <f>IF(ISERROR(HLOOKUP(H51,$BM$19:$BR59,$D51+1)),"",HLOOKUP(H51,$BM$19:$BR59,$D51+1))</f>
        <v/>
      </c>
      <c r="AF51" s="14" t="str">
        <f>IF(ISERROR(HLOOKUP(I51,$BM$19:$BR59,$D51+1)),"",HLOOKUP(I51,$BM$19:$BR59,$D51+1))</f>
        <v/>
      </c>
      <c r="AG51" s="14" t="str">
        <f>IF(ISERROR(HLOOKUP(J51,$BM$19:$BR59,$D51+1)),"",HLOOKUP(J51,$BM$19:$BR59,$D51+1))</f>
        <v/>
      </c>
      <c r="AH51" s="14" t="str">
        <f>IF(ISERROR(HLOOKUP(K51,$BM$19:$BR59,$D51+1)),"",HLOOKUP(K51,$BM$19:$BR59,$D51+1))</f>
        <v/>
      </c>
      <c r="AI51" s="14" t="str">
        <f>IF(ISERROR(HLOOKUP(L51,$BM$19:$BR59,$D51+1)),"",HLOOKUP(L51,$BM$19:$BR59,$D51+1))</f>
        <v/>
      </c>
      <c r="AJ51" s="14" t="str">
        <f>IF(ISERROR(HLOOKUP(M51,$BM$19:$BR59,$D51+1)),"",HLOOKUP(M51,$BM$19:$BR59,$D51+1))</f>
        <v/>
      </c>
      <c r="AK51" s="14" t="str">
        <f>IF(ISERROR(HLOOKUP(N51,$BM$19:$BR59,$D51+1)),"",HLOOKUP(N51,$BM$19:$BR59,$D51+1))</f>
        <v/>
      </c>
      <c r="AL51" s="14" t="str">
        <f>IF(ISERROR(HLOOKUP(O51,$BM$19:$BR59,$D51+1)),"",HLOOKUP(O51,$BM$19:$BR59,$D51+1))</f>
        <v/>
      </c>
      <c r="AM51" s="14" t="str">
        <f>IF(ISERROR(HLOOKUP(P51,$BM$19:$BR59,$D51+1)),"",HLOOKUP(P51,$BM$19:$BR59,$D51+1))</f>
        <v/>
      </c>
      <c r="AN51" s="14" t="str">
        <f>IF(ISERROR(HLOOKUP(Q51,$BM$19:$BR59,$D51+1)),"",HLOOKUP(Q51,$BM$19:$BR59,$D51+1))</f>
        <v/>
      </c>
      <c r="AO51" s="14" t="str">
        <f>IF(ISERROR(HLOOKUP(R51,$BM$19:$BR59,$D51+1)),"",HLOOKUP(R51,$BM$19:$BR59,$D51+1))</f>
        <v/>
      </c>
      <c r="AP51" s="14" t="str">
        <f>IF(ISERROR(HLOOKUP(S51,$BM$19:$BR59,$D51+1)),"",HLOOKUP(S51,$BM$19:$BR59,$D51+1))</f>
        <v/>
      </c>
      <c r="AQ51" s="14" t="str">
        <f>IF(ISERROR(HLOOKUP(T51,$BM$19:$BR59,$D51+1)),"",HLOOKUP(T51,$BM$19:$BR59,$D51+1))</f>
        <v/>
      </c>
      <c r="AR51" s="14" t="str">
        <f>IF(ISERROR(HLOOKUP(U51,$BM$19:$BR59,$D51+1)),"",HLOOKUP(U51,$BM$19:$BR59,$D51+1))</f>
        <v/>
      </c>
      <c r="AS51" s="14" t="str">
        <f>IF(ISERROR(HLOOKUP(V51,$BM$19:$BR59,$D51+1)),"",HLOOKUP(V51,$BM$19:$BR59,$D51+1))</f>
        <v/>
      </c>
      <c r="AT51" s="14" t="str">
        <f>IF(ISERROR(HLOOKUP(W51,$BM$19:$BR59,$D51+1)),"",HLOOKUP(W51,$BM$19:$BR59,$D51+1))</f>
        <v/>
      </c>
      <c r="AU51" s="14" t="str">
        <f>IF(ISERROR(HLOOKUP(X51,$BM$19:$BR59,$D51+1)),"",HLOOKUP(X51,$BM$19:$BR59,$D51+1))</f>
        <v/>
      </c>
      <c r="AV51" s="111" t="s">
        <v>208</v>
      </c>
      <c r="AW51" s="111" t="s">
        <v>208</v>
      </c>
      <c r="BA51" s="15"/>
    </row>
    <row r="52" spans="1:53" ht="27" customHeight="1">
      <c r="A52" s="25">
        <v>36</v>
      </c>
      <c r="B52" s="156"/>
      <c r="C52" s="153"/>
      <c r="D52" s="150"/>
      <c r="E52" s="151"/>
      <c r="F52" s="151"/>
      <c r="G52" s="151"/>
      <c r="H52" s="151"/>
      <c r="I52" s="151"/>
      <c r="J52" s="151"/>
      <c r="K52" s="151"/>
      <c r="L52" s="151"/>
      <c r="M52" s="151"/>
      <c r="N52" s="151"/>
      <c r="O52" s="151"/>
      <c r="P52" s="151"/>
      <c r="Q52" s="151"/>
      <c r="R52" s="151"/>
      <c r="S52" s="151"/>
      <c r="T52" s="151"/>
      <c r="U52" s="151"/>
      <c r="V52" s="151"/>
      <c r="W52" s="151"/>
      <c r="X52" s="151"/>
      <c r="Y52" s="163">
        <f t="shared" si="2"/>
        <v>0</v>
      </c>
      <c r="Z52" s="112"/>
      <c r="AA52" s="112"/>
      <c r="AB52" s="14" t="str">
        <f>IF(ISERROR(HLOOKUP(E52,$BM$19:$BR60,$D52+1)),"",HLOOKUP(E52,$BM$19:$BR60,$D52+1))</f>
        <v/>
      </c>
      <c r="AC52" s="14" t="str">
        <f>IF(ISERROR(HLOOKUP(F52,$BM$19:$BR60,$D52+1)),"",HLOOKUP(F52,$BM$19:$BR60,$D52+1))</f>
        <v/>
      </c>
      <c r="AD52" s="14" t="str">
        <f>IF(ISERROR(HLOOKUP(G52,$BM$19:$BR60,$D52+1)),"",HLOOKUP(G52,$BM$19:$BR60,$D52+1))</f>
        <v/>
      </c>
      <c r="AE52" s="14" t="str">
        <f>IF(ISERROR(HLOOKUP(H52,$BM$19:$BR60,$D52+1)),"",HLOOKUP(H52,$BM$19:$BR60,$D52+1))</f>
        <v/>
      </c>
      <c r="AF52" s="14" t="str">
        <f>IF(ISERROR(HLOOKUP(I52,$BM$19:$BR60,$D52+1)),"",HLOOKUP(I52,$BM$19:$BR60,$D52+1))</f>
        <v/>
      </c>
      <c r="AG52" s="14" t="str">
        <f>IF(ISERROR(HLOOKUP(J52,$BM$19:$BR60,$D52+1)),"",HLOOKUP(J52,$BM$19:$BR60,$D52+1))</f>
        <v/>
      </c>
      <c r="AH52" s="14" t="str">
        <f>IF(ISERROR(HLOOKUP(K52,$BM$19:$BR60,$D52+1)),"",HLOOKUP(K52,$BM$19:$BR60,$D52+1))</f>
        <v/>
      </c>
      <c r="AI52" s="14" t="str">
        <f>IF(ISERROR(HLOOKUP(L52,$BM$19:$BR60,$D52+1)),"",HLOOKUP(L52,$BM$19:$BR60,$D52+1))</f>
        <v/>
      </c>
      <c r="AJ52" s="14" t="str">
        <f>IF(ISERROR(HLOOKUP(M52,$BM$19:$BR60,$D52+1)),"",HLOOKUP(M52,$BM$19:$BR60,$D52+1))</f>
        <v/>
      </c>
      <c r="AK52" s="14" t="str">
        <f>IF(ISERROR(HLOOKUP(N52,$BM$19:$BR60,$D52+1)),"",HLOOKUP(N52,$BM$19:$BR60,$D52+1))</f>
        <v/>
      </c>
      <c r="AL52" s="14" t="str">
        <f>IF(ISERROR(HLOOKUP(O52,$BM$19:$BR60,$D52+1)),"",HLOOKUP(O52,$BM$19:$BR60,$D52+1))</f>
        <v/>
      </c>
      <c r="AM52" s="14" t="str">
        <f>IF(ISERROR(HLOOKUP(P52,$BM$19:$BR60,$D52+1)),"",HLOOKUP(P52,$BM$19:$BR60,$D52+1))</f>
        <v/>
      </c>
      <c r="AN52" s="14" t="str">
        <f>IF(ISERROR(HLOOKUP(Q52,$BM$19:$BR60,$D52+1)),"",HLOOKUP(Q52,$BM$19:$BR60,$D52+1))</f>
        <v/>
      </c>
      <c r="AO52" s="14" t="str">
        <f>IF(ISERROR(HLOOKUP(R52,$BM$19:$BR60,$D52+1)),"",HLOOKUP(R52,$BM$19:$BR60,$D52+1))</f>
        <v/>
      </c>
      <c r="AP52" s="14" t="str">
        <f>IF(ISERROR(HLOOKUP(S52,$BM$19:$BR60,$D52+1)),"",HLOOKUP(S52,$BM$19:$BR60,$D52+1))</f>
        <v/>
      </c>
      <c r="AQ52" s="14" t="str">
        <f>IF(ISERROR(HLOOKUP(T52,$BM$19:$BR60,$D52+1)),"",HLOOKUP(T52,$BM$19:$BR60,$D52+1))</f>
        <v/>
      </c>
      <c r="AR52" s="14" t="str">
        <f>IF(ISERROR(HLOOKUP(U52,$BM$19:$BR60,$D52+1)),"",HLOOKUP(U52,$BM$19:$BR60,$D52+1))</f>
        <v/>
      </c>
      <c r="AS52" s="14" t="str">
        <f>IF(ISERROR(HLOOKUP(V52,$BM$19:$BR60,$D52+1)),"",HLOOKUP(V52,$BM$19:$BR60,$D52+1))</f>
        <v/>
      </c>
      <c r="AT52" s="14" t="str">
        <f>IF(ISERROR(HLOOKUP(W52,$BM$19:$BR60,$D52+1)),"",HLOOKUP(W52,$BM$19:$BR60,$D52+1))</f>
        <v/>
      </c>
      <c r="AU52" s="14" t="str">
        <f>IF(ISERROR(HLOOKUP(X52,$BM$19:$BR60,$D52+1)),"",HLOOKUP(X52,$BM$19:$BR60,$D52+1))</f>
        <v/>
      </c>
      <c r="AV52" s="111" t="s">
        <v>208</v>
      </c>
      <c r="AW52" s="111" t="s">
        <v>208</v>
      </c>
      <c r="BA52" s="15"/>
    </row>
    <row r="53" spans="1:53" ht="27" customHeight="1">
      <c r="A53" s="25">
        <v>37</v>
      </c>
      <c r="B53" s="156"/>
      <c r="C53" s="153"/>
      <c r="D53" s="150"/>
      <c r="E53" s="151"/>
      <c r="F53" s="151"/>
      <c r="G53" s="151"/>
      <c r="H53" s="151"/>
      <c r="I53" s="151"/>
      <c r="J53" s="151"/>
      <c r="K53" s="151"/>
      <c r="L53" s="151"/>
      <c r="M53" s="151"/>
      <c r="N53" s="151"/>
      <c r="O53" s="151"/>
      <c r="P53" s="151"/>
      <c r="Q53" s="151"/>
      <c r="R53" s="151"/>
      <c r="S53" s="151"/>
      <c r="T53" s="151"/>
      <c r="U53" s="151"/>
      <c r="V53" s="151"/>
      <c r="W53" s="151"/>
      <c r="X53" s="151"/>
      <c r="Y53" s="163">
        <f t="shared" si="2"/>
        <v>0</v>
      </c>
      <c r="Z53" s="112"/>
      <c r="AA53" s="112"/>
      <c r="AB53" s="14" t="str">
        <f>IF(ISERROR(HLOOKUP(E53,$BM$19:$BR61,$D53+1)),"",HLOOKUP(E53,$BM$19:$BR61,$D53+1))</f>
        <v/>
      </c>
      <c r="AC53" s="14" t="str">
        <f>IF(ISERROR(HLOOKUP(F53,$BM$19:$BR61,$D53+1)),"",HLOOKUP(F53,$BM$19:$BR61,$D53+1))</f>
        <v/>
      </c>
      <c r="AD53" s="14" t="str">
        <f>IF(ISERROR(HLOOKUP(G53,$BM$19:$BR61,$D53+1)),"",HLOOKUP(G53,$BM$19:$BR61,$D53+1))</f>
        <v/>
      </c>
      <c r="AE53" s="14" t="str">
        <f>IF(ISERROR(HLOOKUP(H53,$BM$19:$BR61,$D53+1)),"",HLOOKUP(H53,$BM$19:$BR61,$D53+1))</f>
        <v/>
      </c>
      <c r="AF53" s="14" t="str">
        <f>IF(ISERROR(HLOOKUP(I53,$BM$19:$BR61,$D53+1)),"",HLOOKUP(I53,$BM$19:$BR61,$D53+1))</f>
        <v/>
      </c>
      <c r="AG53" s="14" t="str">
        <f>IF(ISERROR(HLOOKUP(J53,$BM$19:$BR61,$D53+1)),"",HLOOKUP(J53,$BM$19:$BR61,$D53+1))</f>
        <v/>
      </c>
      <c r="AH53" s="14" t="str">
        <f>IF(ISERROR(HLOOKUP(K53,$BM$19:$BR61,$D53+1)),"",HLOOKUP(K53,$BM$19:$BR61,$D53+1))</f>
        <v/>
      </c>
      <c r="AI53" s="14" t="str">
        <f>IF(ISERROR(HLOOKUP(L53,$BM$19:$BR61,$D53+1)),"",HLOOKUP(L53,$BM$19:$BR61,$D53+1))</f>
        <v/>
      </c>
      <c r="AJ53" s="14" t="str">
        <f>IF(ISERROR(HLOOKUP(M53,$BM$19:$BR61,$D53+1)),"",HLOOKUP(M53,$BM$19:$BR61,$D53+1))</f>
        <v/>
      </c>
      <c r="AK53" s="14" t="str">
        <f>IF(ISERROR(HLOOKUP(N53,$BM$19:$BR61,$D53+1)),"",HLOOKUP(N53,$BM$19:$BR61,$D53+1))</f>
        <v/>
      </c>
      <c r="AL53" s="14" t="str">
        <f>IF(ISERROR(HLOOKUP(O53,$BM$19:$BR61,$D53+1)),"",HLOOKUP(O53,$BM$19:$BR61,$D53+1))</f>
        <v/>
      </c>
      <c r="AM53" s="14" t="str">
        <f>IF(ISERROR(HLOOKUP(P53,$BM$19:$BR61,$D53+1)),"",HLOOKUP(P53,$BM$19:$BR61,$D53+1))</f>
        <v/>
      </c>
      <c r="AN53" s="14" t="str">
        <f>IF(ISERROR(HLOOKUP(Q53,$BM$19:$BR61,$D53+1)),"",HLOOKUP(Q53,$BM$19:$BR61,$D53+1))</f>
        <v/>
      </c>
      <c r="AO53" s="14" t="str">
        <f>IF(ISERROR(HLOOKUP(R53,$BM$19:$BR61,$D53+1)),"",HLOOKUP(R53,$BM$19:$BR61,$D53+1))</f>
        <v/>
      </c>
      <c r="AP53" s="14" t="str">
        <f>IF(ISERROR(HLOOKUP(S53,$BM$19:$BR61,$D53+1)),"",HLOOKUP(S53,$BM$19:$BR61,$D53+1))</f>
        <v/>
      </c>
      <c r="AQ53" s="14" t="str">
        <f>IF(ISERROR(HLOOKUP(T53,$BM$19:$BR61,$D53+1)),"",HLOOKUP(T53,$BM$19:$BR61,$D53+1))</f>
        <v/>
      </c>
      <c r="AR53" s="14" t="str">
        <f>IF(ISERROR(HLOOKUP(U53,$BM$19:$BR61,$D53+1)),"",HLOOKUP(U53,$BM$19:$BR61,$D53+1))</f>
        <v/>
      </c>
      <c r="AS53" s="14" t="str">
        <f>IF(ISERROR(HLOOKUP(V53,$BM$19:$BR61,$D53+1)),"",HLOOKUP(V53,$BM$19:$BR61,$D53+1))</f>
        <v/>
      </c>
      <c r="AT53" s="14" t="str">
        <f>IF(ISERROR(HLOOKUP(W53,$BM$19:$BR61,$D53+1)),"",HLOOKUP(W53,$BM$19:$BR61,$D53+1))</f>
        <v/>
      </c>
      <c r="AU53" s="14" t="str">
        <f>IF(ISERROR(HLOOKUP(X53,$BM$19:$BR61,$D53+1)),"",HLOOKUP(X53,$BM$19:$BR61,$D53+1))</f>
        <v/>
      </c>
      <c r="AV53" s="111" t="s">
        <v>208</v>
      </c>
      <c r="AW53" s="111" t="s">
        <v>208</v>
      </c>
      <c r="BA53" s="12"/>
    </row>
    <row r="54" spans="1:53" ht="27" customHeight="1">
      <c r="A54" s="25">
        <v>38</v>
      </c>
      <c r="B54" s="156"/>
      <c r="C54" s="153"/>
      <c r="D54" s="150"/>
      <c r="E54" s="151"/>
      <c r="F54" s="151"/>
      <c r="G54" s="151"/>
      <c r="H54" s="151"/>
      <c r="I54" s="151"/>
      <c r="J54" s="151"/>
      <c r="K54" s="151"/>
      <c r="L54" s="151"/>
      <c r="M54" s="151"/>
      <c r="N54" s="151"/>
      <c r="O54" s="151"/>
      <c r="P54" s="151"/>
      <c r="Q54" s="151"/>
      <c r="R54" s="151"/>
      <c r="S54" s="151"/>
      <c r="T54" s="151"/>
      <c r="U54" s="151"/>
      <c r="V54" s="151"/>
      <c r="W54" s="151"/>
      <c r="X54" s="151"/>
      <c r="Y54" s="163">
        <f t="shared" si="2"/>
        <v>0</v>
      </c>
      <c r="Z54" s="112"/>
      <c r="AA54" s="112"/>
      <c r="AB54" s="14" t="str">
        <f>IF(ISERROR(HLOOKUP(E54,$BM$19:$BR62,$D54+1)),"",HLOOKUP(E54,$BM$19:$BR62,$D54+1))</f>
        <v/>
      </c>
      <c r="AC54" s="14" t="str">
        <f>IF(ISERROR(HLOOKUP(F54,$BM$19:$BR62,$D54+1)),"",HLOOKUP(F54,$BM$19:$BR62,$D54+1))</f>
        <v/>
      </c>
      <c r="AD54" s="14" t="str">
        <f>IF(ISERROR(HLOOKUP(G54,$BM$19:$BR62,$D54+1)),"",HLOOKUP(G54,$BM$19:$BR62,$D54+1))</f>
        <v/>
      </c>
      <c r="AE54" s="14" t="str">
        <f>IF(ISERROR(HLOOKUP(H54,$BM$19:$BR62,$D54+1)),"",HLOOKUP(H54,$BM$19:$BR62,$D54+1))</f>
        <v/>
      </c>
      <c r="AF54" s="14" t="str">
        <f>IF(ISERROR(HLOOKUP(I54,$BM$19:$BR62,$D54+1)),"",HLOOKUP(I54,$BM$19:$BR62,$D54+1))</f>
        <v/>
      </c>
      <c r="AG54" s="14" t="str">
        <f>IF(ISERROR(HLOOKUP(J54,$BM$19:$BR62,$D54+1)),"",HLOOKUP(J54,$BM$19:$BR62,$D54+1))</f>
        <v/>
      </c>
      <c r="AH54" s="14" t="str">
        <f>IF(ISERROR(HLOOKUP(K54,$BM$19:$BR62,$D54+1)),"",HLOOKUP(K54,$BM$19:$BR62,$D54+1))</f>
        <v/>
      </c>
      <c r="AI54" s="14" t="str">
        <f>IF(ISERROR(HLOOKUP(L54,$BM$19:$BR62,$D54+1)),"",HLOOKUP(L54,$BM$19:$BR62,$D54+1))</f>
        <v/>
      </c>
      <c r="AJ54" s="14" t="str">
        <f>IF(ISERROR(HLOOKUP(M54,$BM$19:$BR62,$D54+1)),"",HLOOKUP(M54,$BM$19:$BR62,$D54+1))</f>
        <v/>
      </c>
      <c r="AK54" s="14" t="str">
        <f>IF(ISERROR(HLOOKUP(N54,$BM$19:$BR62,$D54+1)),"",HLOOKUP(N54,$BM$19:$BR62,$D54+1))</f>
        <v/>
      </c>
      <c r="AL54" s="14" t="str">
        <f>IF(ISERROR(HLOOKUP(O54,$BM$19:$BR62,$D54+1)),"",HLOOKUP(O54,$BM$19:$BR62,$D54+1))</f>
        <v/>
      </c>
      <c r="AM54" s="14" t="str">
        <f>IF(ISERROR(HLOOKUP(P54,$BM$19:$BR62,$D54+1)),"",HLOOKUP(P54,$BM$19:$BR62,$D54+1))</f>
        <v/>
      </c>
      <c r="AN54" s="14" t="str">
        <f>IF(ISERROR(HLOOKUP(Q54,$BM$19:$BR62,$D54+1)),"",HLOOKUP(Q54,$BM$19:$BR62,$D54+1))</f>
        <v/>
      </c>
      <c r="AO54" s="14" t="str">
        <f>IF(ISERROR(HLOOKUP(R54,$BM$19:$BR62,$D54+1)),"",HLOOKUP(R54,$BM$19:$BR62,$D54+1))</f>
        <v/>
      </c>
      <c r="AP54" s="14" t="str">
        <f>IF(ISERROR(HLOOKUP(S54,$BM$19:$BR62,$D54+1)),"",HLOOKUP(S54,$BM$19:$BR62,$D54+1))</f>
        <v/>
      </c>
      <c r="AQ54" s="14" t="str">
        <f>IF(ISERROR(HLOOKUP(T54,$BM$19:$BR62,$D54+1)),"",HLOOKUP(T54,$BM$19:$BR62,$D54+1))</f>
        <v/>
      </c>
      <c r="AR54" s="14" t="str">
        <f>IF(ISERROR(HLOOKUP(U54,$BM$19:$BR62,$D54+1)),"",HLOOKUP(U54,$BM$19:$BR62,$D54+1))</f>
        <v/>
      </c>
      <c r="AS54" s="14" t="str">
        <f>IF(ISERROR(HLOOKUP(V54,$BM$19:$BR62,$D54+1)),"",HLOOKUP(V54,$BM$19:$BR62,$D54+1))</f>
        <v/>
      </c>
      <c r="AT54" s="14" t="str">
        <f>IF(ISERROR(HLOOKUP(W54,$BM$19:$BR62,$D54+1)),"",HLOOKUP(W54,$BM$19:$BR62,$D54+1))</f>
        <v/>
      </c>
      <c r="AU54" s="14" t="str">
        <f>IF(ISERROR(HLOOKUP(X54,$BM$19:$BR62,$D54+1)),"",HLOOKUP(X54,$BM$19:$BR62,$D54+1))</f>
        <v/>
      </c>
      <c r="AV54" s="111" t="s">
        <v>208</v>
      </c>
      <c r="AW54" s="111" t="s">
        <v>208</v>
      </c>
      <c r="BA54" s="12"/>
    </row>
    <row r="55" spans="1:53" ht="27" customHeight="1">
      <c r="A55" s="25">
        <v>39</v>
      </c>
      <c r="B55" s="156"/>
      <c r="C55" s="153"/>
      <c r="D55" s="150"/>
      <c r="E55" s="151"/>
      <c r="F55" s="151"/>
      <c r="G55" s="151"/>
      <c r="H55" s="151"/>
      <c r="I55" s="151"/>
      <c r="J55" s="151"/>
      <c r="K55" s="151"/>
      <c r="L55" s="151"/>
      <c r="M55" s="151"/>
      <c r="N55" s="151"/>
      <c r="O55" s="151"/>
      <c r="P55" s="151"/>
      <c r="Q55" s="151"/>
      <c r="R55" s="151"/>
      <c r="S55" s="151"/>
      <c r="T55" s="151"/>
      <c r="U55" s="151"/>
      <c r="V55" s="151"/>
      <c r="W55" s="151"/>
      <c r="X55" s="151"/>
      <c r="Y55" s="163">
        <f t="shared" si="2"/>
        <v>0</v>
      </c>
      <c r="Z55" s="112"/>
      <c r="AA55" s="112"/>
      <c r="AB55" s="14" t="str">
        <f>IF(ISERROR(HLOOKUP(E55,$BM$19:$BR63,$D55+1)),"",HLOOKUP(E55,$BM$19:$BR63,$D55+1))</f>
        <v/>
      </c>
      <c r="AC55" s="14" t="str">
        <f>IF(ISERROR(HLOOKUP(F55,$BM$19:$BR63,$D55+1)),"",HLOOKUP(F55,$BM$19:$BR63,$D55+1))</f>
        <v/>
      </c>
      <c r="AD55" s="14" t="str">
        <f>IF(ISERROR(HLOOKUP(G55,$BM$19:$BR63,$D55+1)),"",HLOOKUP(G55,$BM$19:$BR63,$D55+1))</f>
        <v/>
      </c>
      <c r="AE55" s="14" t="str">
        <f>IF(ISERROR(HLOOKUP(H55,$BM$19:$BR63,$D55+1)),"",HLOOKUP(H55,$BM$19:$BR63,$D55+1))</f>
        <v/>
      </c>
      <c r="AF55" s="14" t="str">
        <f>IF(ISERROR(HLOOKUP(I55,$BM$19:$BR63,$D55+1)),"",HLOOKUP(I55,$BM$19:$BR63,$D55+1))</f>
        <v/>
      </c>
      <c r="AG55" s="14" t="str">
        <f>IF(ISERROR(HLOOKUP(J55,$BM$19:$BR63,$D55+1)),"",HLOOKUP(J55,$BM$19:$BR63,$D55+1))</f>
        <v/>
      </c>
      <c r="AH55" s="14" t="str">
        <f>IF(ISERROR(HLOOKUP(K55,$BM$19:$BR63,$D55+1)),"",HLOOKUP(K55,$BM$19:$BR63,$D55+1))</f>
        <v/>
      </c>
      <c r="AI55" s="14" t="str">
        <f>IF(ISERROR(HLOOKUP(L55,$BM$19:$BR63,$D55+1)),"",HLOOKUP(L55,$BM$19:$BR63,$D55+1))</f>
        <v/>
      </c>
      <c r="AJ55" s="14" t="str">
        <f>IF(ISERROR(HLOOKUP(M55,$BM$19:$BR63,$D55+1)),"",HLOOKUP(M55,$BM$19:$BR63,$D55+1))</f>
        <v/>
      </c>
      <c r="AK55" s="14" t="str">
        <f>IF(ISERROR(HLOOKUP(N55,$BM$19:$BR63,$D55+1)),"",HLOOKUP(N55,$BM$19:$BR63,$D55+1))</f>
        <v/>
      </c>
      <c r="AL55" s="14" t="str">
        <f>IF(ISERROR(HLOOKUP(O55,$BM$19:$BR63,$D55+1)),"",HLOOKUP(O55,$BM$19:$BR63,$D55+1))</f>
        <v/>
      </c>
      <c r="AM55" s="14" t="str">
        <f>IF(ISERROR(HLOOKUP(P55,$BM$19:$BR63,$D55+1)),"",HLOOKUP(P55,$BM$19:$BR63,$D55+1))</f>
        <v/>
      </c>
      <c r="AN55" s="14" t="str">
        <f>IF(ISERROR(HLOOKUP(Q55,$BM$19:$BR63,$D55+1)),"",HLOOKUP(Q55,$BM$19:$BR63,$D55+1))</f>
        <v/>
      </c>
      <c r="AO55" s="14" t="str">
        <f>IF(ISERROR(HLOOKUP(R55,$BM$19:$BR63,$D55+1)),"",HLOOKUP(R55,$BM$19:$BR63,$D55+1))</f>
        <v/>
      </c>
      <c r="AP55" s="14" t="str">
        <f>IF(ISERROR(HLOOKUP(S55,$BM$19:$BR63,$D55+1)),"",HLOOKUP(S55,$BM$19:$BR63,$D55+1))</f>
        <v/>
      </c>
      <c r="AQ55" s="14" t="str">
        <f>IF(ISERROR(HLOOKUP(T55,$BM$19:$BR63,$D55+1)),"",HLOOKUP(T55,$BM$19:$BR63,$D55+1))</f>
        <v/>
      </c>
      <c r="AR55" s="14" t="str">
        <f>IF(ISERROR(HLOOKUP(U55,$BM$19:$BR63,$D55+1)),"",HLOOKUP(U55,$BM$19:$BR63,$D55+1))</f>
        <v/>
      </c>
      <c r="AS55" s="14" t="str">
        <f>IF(ISERROR(HLOOKUP(V55,$BM$19:$BR63,$D55+1)),"",HLOOKUP(V55,$BM$19:$BR63,$D55+1))</f>
        <v/>
      </c>
      <c r="AT55" s="14" t="str">
        <f>IF(ISERROR(HLOOKUP(W55,$BM$19:$BR63,$D55+1)),"",HLOOKUP(W55,$BM$19:$BR63,$D55+1))</f>
        <v/>
      </c>
      <c r="AU55" s="14" t="str">
        <f>IF(ISERROR(HLOOKUP(X55,$BM$19:$BR63,$D55+1)),"",HLOOKUP(X55,$BM$19:$BR63,$D55+1))</f>
        <v/>
      </c>
      <c r="AV55" s="111" t="s">
        <v>208</v>
      </c>
      <c r="AW55" s="111" t="s">
        <v>208</v>
      </c>
      <c r="BA55" s="12"/>
    </row>
    <row r="56" spans="1:53" ht="27" customHeight="1">
      <c r="A56" s="25">
        <v>40</v>
      </c>
      <c r="B56" s="156"/>
      <c r="C56" s="153"/>
      <c r="D56" s="150"/>
      <c r="E56" s="151"/>
      <c r="F56" s="151"/>
      <c r="G56" s="151"/>
      <c r="H56" s="151"/>
      <c r="I56" s="151"/>
      <c r="J56" s="151"/>
      <c r="K56" s="151"/>
      <c r="L56" s="151"/>
      <c r="M56" s="151"/>
      <c r="N56" s="151"/>
      <c r="O56" s="151"/>
      <c r="P56" s="151"/>
      <c r="Q56" s="151"/>
      <c r="R56" s="151"/>
      <c r="S56" s="151"/>
      <c r="T56" s="151"/>
      <c r="U56" s="151"/>
      <c r="V56" s="151"/>
      <c r="W56" s="151"/>
      <c r="X56" s="151"/>
      <c r="Y56" s="163">
        <f t="shared" si="2"/>
        <v>0</v>
      </c>
      <c r="Z56" s="112"/>
      <c r="AA56" s="112"/>
      <c r="AB56" s="14" t="str">
        <f>IF(ISERROR(HLOOKUP(E56,$BM$19:$BR64,$D56+1)),"",HLOOKUP(E56,$BM$19:$BR64,$D56+1))</f>
        <v/>
      </c>
      <c r="AC56" s="14" t="str">
        <f>IF(ISERROR(HLOOKUP(F56,$BM$19:$BR64,$D56+1)),"",HLOOKUP(F56,$BM$19:$BR64,$D56+1))</f>
        <v/>
      </c>
      <c r="AD56" s="14" t="str">
        <f>IF(ISERROR(HLOOKUP(G56,$BM$19:$BR64,$D56+1)),"",HLOOKUP(G56,$BM$19:$BR64,$D56+1))</f>
        <v/>
      </c>
      <c r="AE56" s="14" t="str">
        <f>IF(ISERROR(HLOOKUP(H56,$BM$19:$BR64,$D56+1)),"",HLOOKUP(H56,$BM$19:$BR64,$D56+1))</f>
        <v/>
      </c>
      <c r="AF56" s="14" t="str">
        <f>IF(ISERROR(HLOOKUP(I56,$BM$19:$BR64,$D56+1)),"",HLOOKUP(I56,$BM$19:$BR64,$D56+1))</f>
        <v/>
      </c>
      <c r="AG56" s="14" t="str">
        <f>IF(ISERROR(HLOOKUP(J56,$BM$19:$BR64,$D56+1)),"",HLOOKUP(J56,$BM$19:$BR64,$D56+1))</f>
        <v/>
      </c>
      <c r="AH56" s="14" t="str">
        <f>IF(ISERROR(HLOOKUP(K56,$BM$19:$BR64,$D56+1)),"",HLOOKUP(K56,$BM$19:$BR64,$D56+1))</f>
        <v/>
      </c>
      <c r="AI56" s="14" t="str">
        <f>IF(ISERROR(HLOOKUP(L56,$BM$19:$BR64,$D56+1)),"",HLOOKUP(L56,$BM$19:$BR64,$D56+1))</f>
        <v/>
      </c>
      <c r="AJ56" s="14" t="str">
        <f>IF(ISERROR(HLOOKUP(M56,$BM$19:$BR64,$D56+1)),"",HLOOKUP(M56,$BM$19:$BR64,$D56+1))</f>
        <v/>
      </c>
      <c r="AK56" s="14" t="str">
        <f>IF(ISERROR(HLOOKUP(N56,$BM$19:$BR64,$D56+1)),"",HLOOKUP(N56,$BM$19:$BR64,$D56+1))</f>
        <v/>
      </c>
      <c r="AL56" s="14" t="str">
        <f>IF(ISERROR(HLOOKUP(O56,$BM$19:$BR64,$D56+1)),"",HLOOKUP(O56,$BM$19:$BR64,$D56+1))</f>
        <v/>
      </c>
      <c r="AM56" s="14" t="str">
        <f>IF(ISERROR(HLOOKUP(P56,$BM$19:$BR64,$D56+1)),"",HLOOKUP(P56,$BM$19:$BR64,$D56+1))</f>
        <v/>
      </c>
      <c r="AN56" s="14" t="str">
        <f>IF(ISERROR(HLOOKUP(Q56,$BM$19:$BR64,$D56+1)),"",HLOOKUP(Q56,$BM$19:$BR64,$D56+1))</f>
        <v/>
      </c>
      <c r="AO56" s="14" t="str">
        <f>IF(ISERROR(HLOOKUP(R56,$BM$19:$BR64,$D56+1)),"",HLOOKUP(R56,$BM$19:$BR64,$D56+1))</f>
        <v/>
      </c>
      <c r="AP56" s="14" t="str">
        <f>IF(ISERROR(HLOOKUP(S56,$BM$19:$BR64,$D56+1)),"",HLOOKUP(S56,$BM$19:$BR64,$D56+1))</f>
        <v/>
      </c>
      <c r="AQ56" s="14" t="str">
        <f>IF(ISERROR(HLOOKUP(T56,$BM$19:$BR64,$D56+1)),"",HLOOKUP(T56,$BM$19:$BR64,$D56+1))</f>
        <v/>
      </c>
      <c r="AR56" s="14" t="str">
        <f>IF(ISERROR(HLOOKUP(U56,$BM$19:$BR64,$D56+1)),"",HLOOKUP(U56,$BM$19:$BR64,$D56+1))</f>
        <v/>
      </c>
      <c r="AS56" s="14" t="str">
        <f>IF(ISERROR(HLOOKUP(V56,$BM$19:$BR64,$D56+1)),"",HLOOKUP(V56,$BM$19:$BR64,$D56+1))</f>
        <v/>
      </c>
      <c r="AT56" s="14" t="str">
        <f>IF(ISERROR(HLOOKUP(W56,$BM$19:$BR64,$D56+1)),"",HLOOKUP(W56,$BM$19:$BR64,$D56+1))</f>
        <v/>
      </c>
      <c r="AU56" s="14" t="str">
        <f>IF(ISERROR(HLOOKUP(X56,$BM$19:$BR64,$D56+1)),"",HLOOKUP(X56,$BM$19:$BR64,$D56+1))</f>
        <v/>
      </c>
      <c r="AV56" s="111" t="s">
        <v>208</v>
      </c>
      <c r="AW56" s="111" t="s">
        <v>208</v>
      </c>
      <c r="BA56" s="12"/>
    </row>
    <row r="57" spans="1:53" ht="27" customHeight="1">
      <c r="A57" s="25">
        <v>41</v>
      </c>
      <c r="B57" s="156"/>
      <c r="C57" s="153"/>
      <c r="D57" s="150"/>
      <c r="E57" s="151"/>
      <c r="F57" s="151"/>
      <c r="G57" s="151"/>
      <c r="H57" s="151"/>
      <c r="I57" s="151"/>
      <c r="J57" s="151"/>
      <c r="K57" s="151"/>
      <c r="L57" s="151"/>
      <c r="M57" s="151"/>
      <c r="N57" s="151"/>
      <c r="O57" s="151"/>
      <c r="P57" s="151"/>
      <c r="Q57" s="151"/>
      <c r="R57" s="151"/>
      <c r="S57" s="151"/>
      <c r="T57" s="151"/>
      <c r="U57" s="151"/>
      <c r="V57" s="151"/>
      <c r="W57" s="151"/>
      <c r="X57" s="151"/>
      <c r="Y57" s="163">
        <f t="shared" si="2"/>
        <v>0</v>
      </c>
      <c r="Z57" s="112"/>
      <c r="AA57" s="112"/>
      <c r="AB57" s="14" t="str">
        <f>IF(ISERROR(HLOOKUP(E57,$BM$19:$BR65,$D57+1)),"",HLOOKUP(E57,$BM$19:$BR65,$D57+1))</f>
        <v/>
      </c>
      <c r="AC57" s="14" t="str">
        <f>IF(ISERROR(HLOOKUP(F57,$BM$19:$BR65,$D57+1)),"",HLOOKUP(F57,$BM$19:$BR65,$D57+1))</f>
        <v/>
      </c>
      <c r="AD57" s="14" t="str">
        <f>IF(ISERROR(HLOOKUP(G57,$BM$19:$BR65,$D57+1)),"",HLOOKUP(G57,$BM$19:$BR65,$D57+1))</f>
        <v/>
      </c>
      <c r="AE57" s="14" t="str">
        <f>IF(ISERROR(HLOOKUP(H57,$BM$19:$BR65,$D57+1)),"",HLOOKUP(H57,$BM$19:$BR65,$D57+1))</f>
        <v/>
      </c>
      <c r="AF57" s="14" t="str">
        <f>IF(ISERROR(HLOOKUP(I57,$BM$19:$BR65,$D57+1)),"",HLOOKUP(I57,$BM$19:$BR65,$D57+1))</f>
        <v/>
      </c>
      <c r="AG57" s="14" t="str">
        <f>IF(ISERROR(HLOOKUP(J57,$BM$19:$BR65,$D57+1)),"",HLOOKUP(J57,$BM$19:$BR65,$D57+1))</f>
        <v/>
      </c>
      <c r="AH57" s="14" t="str">
        <f>IF(ISERROR(HLOOKUP(K57,$BM$19:$BR65,$D57+1)),"",HLOOKUP(K57,$BM$19:$BR65,$D57+1))</f>
        <v/>
      </c>
      <c r="AI57" s="14" t="str">
        <f>IF(ISERROR(HLOOKUP(L57,$BM$19:$BR65,$D57+1)),"",HLOOKUP(L57,$BM$19:$BR65,$D57+1))</f>
        <v/>
      </c>
      <c r="AJ57" s="14" t="str">
        <f>IF(ISERROR(HLOOKUP(M57,$BM$19:$BR65,$D57+1)),"",HLOOKUP(M57,$BM$19:$BR65,$D57+1))</f>
        <v/>
      </c>
      <c r="AK57" s="14" t="str">
        <f>IF(ISERROR(HLOOKUP(N57,$BM$19:$BR65,$D57+1)),"",HLOOKUP(N57,$BM$19:$BR65,$D57+1))</f>
        <v/>
      </c>
      <c r="AL57" s="14" t="str">
        <f>IF(ISERROR(HLOOKUP(O57,$BM$19:$BR65,$D57+1)),"",HLOOKUP(O57,$BM$19:$BR65,$D57+1))</f>
        <v/>
      </c>
      <c r="AM57" s="14" t="str">
        <f>IF(ISERROR(HLOOKUP(P57,$BM$19:$BR65,$D57+1)),"",HLOOKUP(P57,$BM$19:$BR65,$D57+1))</f>
        <v/>
      </c>
      <c r="AN57" s="14" t="str">
        <f>IF(ISERROR(HLOOKUP(Q57,$BM$19:$BR65,$D57+1)),"",HLOOKUP(Q57,$BM$19:$BR65,$D57+1))</f>
        <v/>
      </c>
      <c r="AO57" s="14" t="str">
        <f>IF(ISERROR(HLOOKUP(R57,$BM$19:$BR65,$D57+1)),"",HLOOKUP(R57,$BM$19:$BR65,$D57+1))</f>
        <v/>
      </c>
      <c r="AP57" s="14" t="str">
        <f>IF(ISERROR(HLOOKUP(S57,$BM$19:$BR65,$D57+1)),"",HLOOKUP(S57,$BM$19:$BR65,$D57+1))</f>
        <v/>
      </c>
      <c r="AQ57" s="14" t="str">
        <f>IF(ISERROR(HLOOKUP(T57,$BM$19:$BR65,$D57+1)),"",HLOOKUP(T57,$BM$19:$BR65,$D57+1))</f>
        <v/>
      </c>
      <c r="AR57" s="14" t="str">
        <f>IF(ISERROR(HLOOKUP(U57,$BM$19:$BR65,$D57+1)),"",HLOOKUP(U57,$BM$19:$BR65,$D57+1))</f>
        <v/>
      </c>
      <c r="AS57" s="14" t="str">
        <f>IF(ISERROR(HLOOKUP(V57,$BM$19:$BR65,$D57+1)),"",HLOOKUP(V57,$BM$19:$BR65,$D57+1))</f>
        <v/>
      </c>
      <c r="AT57" s="14" t="str">
        <f>IF(ISERROR(HLOOKUP(W57,$BM$19:$BR65,$D57+1)),"",HLOOKUP(W57,$BM$19:$BR65,$D57+1))</f>
        <v/>
      </c>
      <c r="AU57" s="14" t="str">
        <f>IF(ISERROR(HLOOKUP(X57,$BM$19:$BR65,$D57+1)),"",HLOOKUP(X57,$BM$19:$BR65,$D57+1))</f>
        <v/>
      </c>
      <c r="AV57" s="111" t="s">
        <v>208</v>
      </c>
      <c r="AW57" s="111" t="s">
        <v>208</v>
      </c>
      <c r="BA57" s="12"/>
    </row>
    <row r="58" spans="1:53" ht="27" customHeight="1">
      <c r="A58" s="25">
        <v>42</v>
      </c>
      <c r="B58" s="156"/>
      <c r="C58" s="153"/>
      <c r="D58" s="150"/>
      <c r="E58" s="151"/>
      <c r="F58" s="151"/>
      <c r="G58" s="151"/>
      <c r="H58" s="151"/>
      <c r="I58" s="151"/>
      <c r="J58" s="151"/>
      <c r="K58" s="151"/>
      <c r="L58" s="151"/>
      <c r="M58" s="151"/>
      <c r="N58" s="151"/>
      <c r="O58" s="151"/>
      <c r="P58" s="151"/>
      <c r="Q58" s="151"/>
      <c r="R58" s="151"/>
      <c r="S58" s="151"/>
      <c r="T58" s="151"/>
      <c r="U58" s="151"/>
      <c r="V58" s="151"/>
      <c r="W58" s="151"/>
      <c r="X58" s="151"/>
      <c r="Y58" s="163">
        <f t="shared" si="2"/>
        <v>0</v>
      </c>
      <c r="Z58" s="112"/>
      <c r="AA58" s="112"/>
      <c r="AB58" s="14" t="str">
        <f>IF(ISERROR(HLOOKUP(E58,$BM$19:$BR66,$D58+1)),"",HLOOKUP(E58,$BM$19:$BR66,$D58+1))</f>
        <v/>
      </c>
      <c r="AC58" s="14" t="str">
        <f>IF(ISERROR(HLOOKUP(F58,$BM$19:$BR66,$D58+1)),"",HLOOKUP(F58,$BM$19:$BR66,$D58+1))</f>
        <v/>
      </c>
      <c r="AD58" s="14" t="str">
        <f>IF(ISERROR(HLOOKUP(G58,$BM$19:$BR66,$D58+1)),"",HLOOKUP(G58,$BM$19:$BR66,$D58+1))</f>
        <v/>
      </c>
      <c r="AE58" s="14" t="str">
        <f>IF(ISERROR(HLOOKUP(H58,$BM$19:$BR66,$D58+1)),"",HLOOKUP(H58,$BM$19:$BR66,$D58+1))</f>
        <v/>
      </c>
      <c r="AF58" s="14" t="str">
        <f>IF(ISERROR(HLOOKUP(I58,$BM$19:$BR66,$D58+1)),"",HLOOKUP(I58,$BM$19:$BR66,$D58+1))</f>
        <v/>
      </c>
      <c r="AG58" s="14" t="str">
        <f>IF(ISERROR(HLOOKUP(J58,$BM$19:$BR66,$D58+1)),"",HLOOKUP(J58,$BM$19:$BR66,$D58+1))</f>
        <v/>
      </c>
      <c r="AH58" s="14" t="str">
        <f>IF(ISERROR(HLOOKUP(K58,$BM$19:$BR66,$D58+1)),"",HLOOKUP(K58,$BM$19:$BR66,$D58+1))</f>
        <v/>
      </c>
      <c r="AI58" s="14" t="str">
        <f>IF(ISERROR(HLOOKUP(L58,$BM$19:$BR66,$D58+1)),"",HLOOKUP(L58,$BM$19:$BR66,$D58+1))</f>
        <v/>
      </c>
      <c r="AJ58" s="14" t="str">
        <f>IF(ISERROR(HLOOKUP(M58,$BM$19:$BR66,$D58+1)),"",HLOOKUP(M58,$BM$19:$BR66,$D58+1))</f>
        <v/>
      </c>
      <c r="AK58" s="14" t="str">
        <f>IF(ISERROR(HLOOKUP(N58,$BM$19:$BR66,$D58+1)),"",HLOOKUP(N58,$BM$19:$BR66,$D58+1))</f>
        <v/>
      </c>
      <c r="AL58" s="14" t="str">
        <f>IF(ISERROR(HLOOKUP(O58,$BM$19:$BR66,$D58+1)),"",HLOOKUP(O58,$BM$19:$BR66,$D58+1))</f>
        <v/>
      </c>
      <c r="AM58" s="14" t="str">
        <f>IF(ISERROR(HLOOKUP(P58,$BM$19:$BR66,$D58+1)),"",HLOOKUP(P58,$BM$19:$BR66,$D58+1))</f>
        <v/>
      </c>
      <c r="AN58" s="14" t="str">
        <f>IF(ISERROR(HLOOKUP(Q58,$BM$19:$BR66,$D58+1)),"",HLOOKUP(Q58,$BM$19:$BR66,$D58+1))</f>
        <v/>
      </c>
      <c r="AO58" s="14" t="str">
        <f>IF(ISERROR(HLOOKUP(R58,$BM$19:$BR66,$D58+1)),"",HLOOKUP(R58,$BM$19:$BR66,$D58+1))</f>
        <v/>
      </c>
      <c r="AP58" s="14" t="str">
        <f>IF(ISERROR(HLOOKUP(S58,$BM$19:$BR66,$D58+1)),"",HLOOKUP(S58,$BM$19:$BR66,$D58+1))</f>
        <v/>
      </c>
      <c r="AQ58" s="14" t="str">
        <f>IF(ISERROR(HLOOKUP(T58,$BM$19:$BR66,$D58+1)),"",HLOOKUP(T58,$BM$19:$BR66,$D58+1))</f>
        <v/>
      </c>
      <c r="AR58" s="14" t="str">
        <f>IF(ISERROR(HLOOKUP(U58,$BM$19:$BR66,$D58+1)),"",HLOOKUP(U58,$BM$19:$BR66,$D58+1))</f>
        <v/>
      </c>
      <c r="AS58" s="14" t="str">
        <f>IF(ISERROR(HLOOKUP(V58,$BM$19:$BR66,$D58+1)),"",HLOOKUP(V58,$BM$19:$BR66,$D58+1))</f>
        <v/>
      </c>
      <c r="AT58" s="14" t="str">
        <f>IF(ISERROR(HLOOKUP(W58,$BM$19:$BR66,$D58+1)),"",HLOOKUP(W58,$BM$19:$BR66,$D58+1))</f>
        <v/>
      </c>
      <c r="AU58" s="14" t="str">
        <f>IF(ISERROR(HLOOKUP(X58,$BM$19:$BR66,$D58+1)),"",HLOOKUP(X58,$BM$19:$BR66,$D58+1))</f>
        <v/>
      </c>
      <c r="AV58" s="111" t="s">
        <v>208</v>
      </c>
      <c r="AW58" s="111" t="s">
        <v>208</v>
      </c>
      <c r="BA58" s="12"/>
    </row>
    <row r="59" spans="1:53" ht="27" customHeight="1">
      <c r="A59" s="25">
        <v>43</v>
      </c>
      <c r="B59" s="156"/>
      <c r="C59" s="153"/>
      <c r="D59" s="150"/>
      <c r="E59" s="151"/>
      <c r="F59" s="151"/>
      <c r="G59" s="151"/>
      <c r="H59" s="151"/>
      <c r="I59" s="151"/>
      <c r="J59" s="151"/>
      <c r="K59" s="151"/>
      <c r="L59" s="151"/>
      <c r="M59" s="151"/>
      <c r="N59" s="151"/>
      <c r="O59" s="151"/>
      <c r="P59" s="151"/>
      <c r="Q59" s="151"/>
      <c r="R59" s="151"/>
      <c r="S59" s="151"/>
      <c r="T59" s="151"/>
      <c r="U59" s="151"/>
      <c r="V59" s="151"/>
      <c r="W59" s="151"/>
      <c r="X59" s="151"/>
      <c r="Y59" s="163">
        <f t="shared" si="2"/>
        <v>0</v>
      </c>
      <c r="Z59" s="112"/>
      <c r="AA59" s="112"/>
      <c r="AB59" s="14" t="str">
        <f>IF(ISERROR(HLOOKUP(E59,$BM$19:$BR67,$D59+1)),"",HLOOKUP(E59,$BM$19:$BR67,$D59+1))</f>
        <v/>
      </c>
      <c r="AC59" s="14" t="str">
        <f>IF(ISERROR(HLOOKUP(F59,$BM$19:$BR67,$D59+1)),"",HLOOKUP(F59,$BM$19:$BR67,$D59+1))</f>
        <v/>
      </c>
      <c r="AD59" s="14" t="str">
        <f>IF(ISERROR(HLOOKUP(G59,$BM$19:$BR67,$D59+1)),"",HLOOKUP(G59,$BM$19:$BR67,$D59+1))</f>
        <v/>
      </c>
      <c r="AE59" s="14" t="str">
        <f>IF(ISERROR(HLOOKUP(H59,$BM$19:$BR67,$D59+1)),"",HLOOKUP(H59,$BM$19:$BR67,$D59+1))</f>
        <v/>
      </c>
      <c r="AF59" s="14" t="str">
        <f>IF(ISERROR(HLOOKUP(I59,$BM$19:$BR67,$D59+1)),"",HLOOKUP(I59,$BM$19:$BR67,$D59+1))</f>
        <v/>
      </c>
      <c r="AG59" s="14" t="str">
        <f>IF(ISERROR(HLOOKUP(J59,$BM$19:$BR67,$D59+1)),"",HLOOKUP(J59,$BM$19:$BR67,$D59+1))</f>
        <v/>
      </c>
      <c r="AH59" s="14" t="str">
        <f>IF(ISERROR(HLOOKUP(K59,$BM$19:$BR67,$D59+1)),"",HLOOKUP(K59,$BM$19:$BR67,$D59+1))</f>
        <v/>
      </c>
      <c r="AI59" s="14" t="str">
        <f>IF(ISERROR(HLOOKUP(L59,$BM$19:$BR67,$D59+1)),"",HLOOKUP(L59,$BM$19:$BR67,$D59+1))</f>
        <v/>
      </c>
      <c r="AJ59" s="14" t="str">
        <f>IF(ISERROR(HLOOKUP(M59,$BM$19:$BR67,$D59+1)),"",HLOOKUP(M59,$BM$19:$BR67,$D59+1))</f>
        <v/>
      </c>
      <c r="AK59" s="14" t="str">
        <f>IF(ISERROR(HLOOKUP(N59,$BM$19:$BR67,$D59+1)),"",HLOOKUP(N59,$BM$19:$BR67,$D59+1))</f>
        <v/>
      </c>
      <c r="AL59" s="14" t="str">
        <f>IF(ISERROR(HLOOKUP(O59,$BM$19:$BR67,$D59+1)),"",HLOOKUP(O59,$BM$19:$BR67,$D59+1))</f>
        <v/>
      </c>
      <c r="AM59" s="14" t="str">
        <f>IF(ISERROR(HLOOKUP(P59,$BM$19:$BR67,$D59+1)),"",HLOOKUP(P59,$BM$19:$BR67,$D59+1))</f>
        <v/>
      </c>
      <c r="AN59" s="14" t="str">
        <f>IF(ISERROR(HLOOKUP(Q59,$BM$19:$BR67,$D59+1)),"",HLOOKUP(Q59,$BM$19:$BR67,$D59+1))</f>
        <v/>
      </c>
      <c r="AO59" s="14" t="str">
        <f>IF(ISERROR(HLOOKUP(R59,$BM$19:$BR67,$D59+1)),"",HLOOKUP(R59,$BM$19:$BR67,$D59+1))</f>
        <v/>
      </c>
      <c r="AP59" s="14" t="str">
        <f>IF(ISERROR(HLOOKUP(S59,$BM$19:$BR67,$D59+1)),"",HLOOKUP(S59,$BM$19:$BR67,$D59+1))</f>
        <v/>
      </c>
      <c r="AQ59" s="14" t="str">
        <f>IF(ISERROR(HLOOKUP(T59,$BM$19:$BR67,$D59+1)),"",HLOOKUP(T59,$BM$19:$BR67,$D59+1))</f>
        <v/>
      </c>
      <c r="AR59" s="14" t="str">
        <f>IF(ISERROR(HLOOKUP(U59,$BM$19:$BR67,$D59+1)),"",HLOOKUP(U59,$BM$19:$BR67,$D59+1))</f>
        <v/>
      </c>
      <c r="AS59" s="14" t="str">
        <f>IF(ISERROR(HLOOKUP(V59,$BM$19:$BR67,$D59+1)),"",HLOOKUP(V59,$BM$19:$BR67,$D59+1))</f>
        <v/>
      </c>
      <c r="AT59" s="14" t="str">
        <f>IF(ISERROR(HLOOKUP(W59,$BM$19:$BR67,$D59+1)),"",HLOOKUP(W59,$BM$19:$BR67,$D59+1))</f>
        <v/>
      </c>
      <c r="AU59" s="14" t="str">
        <f>IF(ISERROR(HLOOKUP(X59,$BM$19:$BR67,$D59+1)),"",HLOOKUP(X59,$BM$19:$BR67,$D59+1))</f>
        <v/>
      </c>
      <c r="AV59" s="111" t="s">
        <v>208</v>
      </c>
      <c r="AW59" s="111" t="s">
        <v>208</v>
      </c>
      <c r="BA59" s="12"/>
    </row>
    <row r="60" spans="1:53" ht="27" customHeight="1">
      <c r="A60" s="25">
        <v>44</v>
      </c>
      <c r="B60" s="156"/>
      <c r="C60" s="153"/>
      <c r="D60" s="150"/>
      <c r="E60" s="151"/>
      <c r="F60" s="151"/>
      <c r="G60" s="151"/>
      <c r="H60" s="151"/>
      <c r="I60" s="151"/>
      <c r="J60" s="151"/>
      <c r="K60" s="151"/>
      <c r="L60" s="151"/>
      <c r="M60" s="151"/>
      <c r="N60" s="151"/>
      <c r="O60" s="151"/>
      <c r="P60" s="151"/>
      <c r="Q60" s="151"/>
      <c r="R60" s="151"/>
      <c r="S60" s="151"/>
      <c r="T60" s="151"/>
      <c r="U60" s="151"/>
      <c r="V60" s="151"/>
      <c r="W60" s="151"/>
      <c r="X60" s="151"/>
      <c r="Y60" s="163">
        <f t="shared" si="2"/>
        <v>0</v>
      </c>
      <c r="Z60" s="112"/>
      <c r="AA60" s="112"/>
      <c r="AB60" s="14" t="str">
        <f>IF(ISERROR(HLOOKUP(E60,$BM$19:$BR68,$D60+1)),"",HLOOKUP(E60,$BM$19:$BR68,$D60+1))</f>
        <v/>
      </c>
      <c r="AC60" s="14" t="str">
        <f>IF(ISERROR(HLOOKUP(F60,$BM$19:$BR68,$D60+1)),"",HLOOKUP(F60,$BM$19:$BR68,$D60+1))</f>
        <v/>
      </c>
      <c r="AD60" s="14" t="str">
        <f>IF(ISERROR(HLOOKUP(G60,$BM$19:$BR68,$D60+1)),"",HLOOKUP(G60,$BM$19:$BR68,$D60+1))</f>
        <v/>
      </c>
      <c r="AE60" s="14" t="str">
        <f>IF(ISERROR(HLOOKUP(H60,$BM$19:$BR68,$D60+1)),"",HLOOKUP(H60,$BM$19:$BR68,$D60+1))</f>
        <v/>
      </c>
      <c r="AF60" s="14" t="str">
        <f>IF(ISERROR(HLOOKUP(I60,$BM$19:$BR68,$D60+1)),"",HLOOKUP(I60,$BM$19:$BR68,$D60+1))</f>
        <v/>
      </c>
      <c r="AG60" s="14" t="str">
        <f>IF(ISERROR(HLOOKUP(J60,$BM$19:$BR68,$D60+1)),"",HLOOKUP(J60,$BM$19:$BR68,$D60+1))</f>
        <v/>
      </c>
      <c r="AH60" s="14" t="str">
        <f>IF(ISERROR(HLOOKUP(K60,$BM$19:$BR68,$D60+1)),"",HLOOKUP(K60,$BM$19:$BR68,$D60+1))</f>
        <v/>
      </c>
      <c r="AI60" s="14" t="str">
        <f>IF(ISERROR(HLOOKUP(L60,$BM$19:$BR68,$D60+1)),"",HLOOKUP(L60,$BM$19:$BR68,$D60+1))</f>
        <v/>
      </c>
      <c r="AJ60" s="14" t="str">
        <f>IF(ISERROR(HLOOKUP(M60,$BM$19:$BR68,$D60+1)),"",HLOOKUP(M60,$BM$19:$BR68,$D60+1))</f>
        <v/>
      </c>
      <c r="AK60" s="14" t="str">
        <f>IF(ISERROR(HLOOKUP(N60,$BM$19:$BR68,$D60+1)),"",HLOOKUP(N60,$BM$19:$BR68,$D60+1))</f>
        <v/>
      </c>
      <c r="AL60" s="14" t="str">
        <f>IF(ISERROR(HLOOKUP(O60,$BM$19:$BR68,$D60+1)),"",HLOOKUP(O60,$BM$19:$BR68,$D60+1))</f>
        <v/>
      </c>
      <c r="AM60" s="14" t="str">
        <f>IF(ISERROR(HLOOKUP(P60,$BM$19:$BR68,$D60+1)),"",HLOOKUP(P60,$BM$19:$BR68,$D60+1))</f>
        <v/>
      </c>
      <c r="AN60" s="14" t="str">
        <f>IF(ISERROR(HLOOKUP(Q60,$BM$19:$BR68,$D60+1)),"",HLOOKUP(Q60,$BM$19:$BR68,$D60+1))</f>
        <v/>
      </c>
      <c r="AO60" s="14" t="str">
        <f>IF(ISERROR(HLOOKUP(R60,$BM$19:$BR68,$D60+1)),"",HLOOKUP(R60,$BM$19:$BR68,$D60+1))</f>
        <v/>
      </c>
      <c r="AP60" s="14" t="str">
        <f>IF(ISERROR(HLOOKUP(S60,$BM$19:$BR68,$D60+1)),"",HLOOKUP(S60,$BM$19:$BR68,$D60+1))</f>
        <v/>
      </c>
      <c r="AQ60" s="14" t="str">
        <f>IF(ISERROR(HLOOKUP(T60,$BM$19:$BR68,$D60+1)),"",HLOOKUP(T60,$BM$19:$BR68,$D60+1))</f>
        <v/>
      </c>
      <c r="AR60" s="14" t="str">
        <f>IF(ISERROR(HLOOKUP(U60,$BM$19:$BR68,$D60+1)),"",HLOOKUP(U60,$BM$19:$BR68,$D60+1))</f>
        <v/>
      </c>
      <c r="AS60" s="14" t="str">
        <f>IF(ISERROR(HLOOKUP(V60,$BM$19:$BR68,$D60+1)),"",HLOOKUP(V60,$BM$19:$BR68,$D60+1))</f>
        <v/>
      </c>
      <c r="AT60" s="14" t="str">
        <f>IF(ISERROR(HLOOKUP(W60,$BM$19:$BR68,$D60+1)),"",HLOOKUP(W60,$BM$19:$BR68,$D60+1))</f>
        <v/>
      </c>
      <c r="AU60" s="14" t="str">
        <f>IF(ISERROR(HLOOKUP(X60,$BM$19:$BR68,$D60+1)),"",HLOOKUP(X60,$BM$19:$BR68,$D60+1))</f>
        <v/>
      </c>
      <c r="AV60" s="111" t="s">
        <v>208</v>
      </c>
      <c r="AW60" s="111" t="s">
        <v>208</v>
      </c>
      <c r="BA60" s="12"/>
    </row>
    <row r="61" spans="1:53" ht="27" customHeight="1">
      <c r="A61" s="25">
        <v>45</v>
      </c>
      <c r="B61" s="156"/>
      <c r="C61" s="153"/>
      <c r="D61" s="150"/>
      <c r="E61" s="151"/>
      <c r="F61" s="151"/>
      <c r="G61" s="151"/>
      <c r="H61" s="151"/>
      <c r="I61" s="151"/>
      <c r="J61" s="151"/>
      <c r="K61" s="151"/>
      <c r="L61" s="151"/>
      <c r="M61" s="151"/>
      <c r="N61" s="151"/>
      <c r="O61" s="151"/>
      <c r="P61" s="151"/>
      <c r="Q61" s="151"/>
      <c r="R61" s="151"/>
      <c r="S61" s="151"/>
      <c r="T61" s="151"/>
      <c r="U61" s="151"/>
      <c r="V61" s="151"/>
      <c r="W61" s="151"/>
      <c r="X61" s="151"/>
      <c r="Y61" s="163">
        <f t="shared" si="2"/>
        <v>0</v>
      </c>
      <c r="Z61" s="112"/>
      <c r="AA61" s="112"/>
      <c r="AB61" s="14" t="str">
        <f>IF(ISERROR(HLOOKUP(E61,$BM$19:$BR69,$D61+1)),"",HLOOKUP(E61,$BM$19:$BR69,$D61+1))</f>
        <v/>
      </c>
      <c r="AC61" s="14" t="str">
        <f>IF(ISERROR(HLOOKUP(F61,$BM$19:$BR69,$D61+1)),"",HLOOKUP(F61,$BM$19:$BR69,$D61+1))</f>
        <v/>
      </c>
      <c r="AD61" s="14" t="str">
        <f>IF(ISERROR(HLOOKUP(G61,$BM$19:$BR69,$D61+1)),"",HLOOKUP(G61,$BM$19:$BR69,$D61+1))</f>
        <v/>
      </c>
      <c r="AE61" s="14" t="str">
        <f>IF(ISERROR(HLOOKUP(H61,$BM$19:$BR69,$D61+1)),"",HLOOKUP(H61,$BM$19:$BR69,$D61+1))</f>
        <v/>
      </c>
      <c r="AF61" s="14" t="str">
        <f>IF(ISERROR(HLOOKUP(I61,$BM$19:$BR69,$D61+1)),"",HLOOKUP(I61,$BM$19:$BR69,$D61+1))</f>
        <v/>
      </c>
      <c r="AG61" s="14" t="str">
        <f>IF(ISERROR(HLOOKUP(J61,$BM$19:$BR69,$D61+1)),"",HLOOKUP(J61,$BM$19:$BR69,$D61+1))</f>
        <v/>
      </c>
      <c r="AH61" s="14" t="str">
        <f>IF(ISERROR(HLOOKUP(K61,$BM$19:$BR69,$D61+1)),"",HLOOKUP(K61,$BM$19:$BR69,$D61+1))</f>
        <v/>
      </c>
      <c r="AI61" s="14" t="str">
        <f>IF(ISERROR(HLOOKUP(L61,$BM$19:$BR69,$D61+1)),"",HLOOKUP(L61,$BM$19:$BR69,$D61+1))</f>
        <v/>
      </c>
      <c r="AJ61" s="14" t="str">
        <f>IF(ISERROR(HLOOKUP(M61,$BM$19:$BR69,$D61+1)),"",HLOOKUP(M61,$BM$19:$BR69,$D61+1))</f>
        <v/>
      </c>
      <c r="AK61" s="14" t="str">
        <f>IF(ISERROR(HLOOKUP(N61,$BM$19:$BR69,$D61+1)),"",HLOOKUP(N61,$BM$19:$BR69,$D61+1))</f>
        <v/>
      </c>
      <c r="AL61" s="14" t="str">
        <f>IF(ISERROR(HLOOKUP(O61,$BM$19:$BR69,$D61+1)),"",HLOOKUP(O61,$BM$19:$BR69,$D61+1))</f>
        <v/>
      </c>
      <c r="AM61" s="14" t="str">
        <f>IF(ISERROR(HLOOKUP(P61,$BM$19:$BR69,$D61+1)),"",HLOOKUP(P61,$BM$19:$BR69,$D61+1))</f>
        <v/>
      </c>
      <c r="AN61" s="14" t="str">
        <f>IF(ISERROR(HLOOKUP(Q61,$BM$19:$BR69,$D61+1)),"",HLOOKUP(Q61,$BM$19:$BR69,$D61+1))</f>
        <v/>
      </c>
      <c r="AO61" s="14" t="str">
        <f>IF(ISERROR(HLOOKUP(R61,$BM$19:$BR69,$D61+1)),"",HLOOKUP(R61,$BM$19:$BR69,$D61+1))</f>
        <v/>
      </c>
      <c r="AP61" s="14" t="str">
        <f>IF(ISERROR(HLOOKUP(S61,$BM$19:$BR69,$D61+1)),"",HLOOKUP(S61,$BM$19:$BR69,$D61+1))</f>
        <v/>
      </c>
      <c r="AQ61" s="14" t="str">
        <f>IF(ISERROR(HLOOKUP(T61,$BM$19:$BR69,$D61+1)),"",HLOOKUP(T61,$BM$19:$BR69,$D61+1))</f>
        <v/>
      </c>
      <c r="AR61" s="14" t="str">
        <f>IF(ISERROR(HLOOKUP(U61,$BM$19:$BR69,$D61+1)),"",HLOOKUP(U61,$BM$19:$BR69,$D61+1))</f>
        <v/>
      </c>
      <c r="AS61" s="14" t="str">
        <f>IF(ISERROR(HLOOKUP(V61,$BM$19:$BR69,$D61+1)),"",HLOOKUP(V61,$BM$19:$BR69,$D61+1))</f>
        <v/>
      </c>
      <c r="AT61" s="14" t="str">
        <f>IF(ISERROR(HLOOKUP(W61,$BM$19:$BR69,$D61+1)),"",HLOOKUP(W61,$BM$19:$BR69,$D61+1))</f>
        <v/>
      </c>
      <c r="AU61" s="14" t="str">
        <f>IF(ISERROR(HLOOKUP(X61,$BM$19:$BR69,$D61+1)),"",HLOOKUP(X61,$BM$19:$BR69,$D61+1))</f>
        <v/>
      </c>
      <c r="AV61" s="111" t="s">
        <v>208</v>
      </c>
      <c r="AW61" s="111" t="s">
        <v>208</v>
      </c>
      <c r="BA61" s="12"/>
    </row>
    <row r="62" spans="1:53" ht="27" customHeight="1">
      <c r="A62" s="25">
        <v>46</v>
      </c>
      <c r="B62" s="156"/>
      <c r="C62" s="153"/>
      <c r="D62" s="150"/>
      <c r="E62" s="151"/>
      <c r="F62" s="151"/>
      <c r="G62" s="151"/>
      <c r="H62" s="151"/>
      <c r="I62" s="151"/>
      <c r="J62" s="151"/>
      <c r="K62" s="151"/>
      <c r="L62" s="151"/>
      <c r="M62" s="151"/>
      <c r="N62" s="151"/>
      <c r="O62" s="151"/>
      <c r="P62" s="151"/>
      <c r="Q62" s="151"/>
      <c r="R62" s="151"/>
      <c r="S62" s="151"/>
      <c r="T62" s="151"/>
      <c r="U62" s="151"/>
      <c r="V62" s="151"/>
      <c r="W62" s="151"/>
      <c r="X62" s="151"/>
      <c r="Y62" s="163">
        <f t="shared" si="2"/>
        <v>0</v>
      </c>
      <c r="Z62" s="112"/>
      <c r="AA62" s="112"/>
      <c r="AB62" s="14" t="str">
        <f>IF(ISERROR(HLOOKUP(E62,$BM$19:$BR70,$D62+1)),"",HLOOKUP(E62,$BM$19:$BR70,$D62+1))</f>
        <v/>
      </c>
      <c r="AC62" s="14" t="str">
        <f>IF(ISERROR(HLOOKUP(F62,$BM$19:$BR70,$D62+1)),"",HLOOKUP(F62,$BM$19:$BR70,$D62+1))</f>
        <v/>
      </c>
      <c r="AD62" s="14" t="str">
        <f>IF(ISERROR(HLOOKUP(G62,$BM$19:$BR70,$D62+1)),"",HLOOKUP(G62,$BM$19:$BR70,$D62+1))</f>
        <v/>
      </c>
      <c r="AE62" s="14" t="str">
        <f>IF(ISERROR(HLOOKUP(H62,$BM$19:$BR70,$D62+1)),"",HLOOKUP(H62,$BM$19:$BR70,$D62+1))</f>
        <v/>
      </c>
      <c r="AF62" s="14" t="str">
        <f>IF(ISERROR(HLOOKUP(I62,$BM$19:$BR70,$D62+1)),"",HLOOKUP(I62,$BM$19:$BR70,$D62+1))</f>
        <v/>
      </c>
      <c r="AG62" s="14" t="str">
        <f>IF(ISERROR(HLOOKUP(J62,$BM$19:$BR70,$D62+1)),"",HLOOKUP(J62,$BM$19:$BR70,$D62+1))</f>
        <v/>
      </c>
      <c r="AH62" s="14" t="str">
        <f>IF(ISERROR(HLOOKUP(K62,$BM$19:$BR70,$D62+1)),"",HLOOKUP(K62,$BM$19:$BR70,$D62+1))</f>
        <v/>
      </c>
      <c r="AI62" s="14" t="str">
        <f>IF(ISERROR(HLOOKUP(L62,$BM$19:$BR70,$D62+1)),"",HLOOKUP(L62,$BM$19:$BR70,$D62+1))</f>
        <v/>
      </c>
      <c r="AJ62" s="14" t="str">
        <f>IF(ISERROR(HLOOKUP(M62,$BM$19:$BR70,$D62+1)),"",HLOOKUP(M62,$BM$19:$BR70,$D62+1))</f>
        <v/>
      </c>
      <c r="AK62" s="14" t="str">
        <f>IF(ISERROR(HLOOKUP(N62,$BM$19:$BR70,$D62+1)),"",HLOOKUP(N62,$BM$19:$BR70,$D62+1))</f>
        <v/>
      </c>
      <c r="AL62" s="14" t="str">
        <f>IF(ISERROR(HLOOKUP(O62,$BM$19:$BR70,$D62+1)),"",HLOOKUP(O62,$BM$19:$BR70,$D62+1))</f>
        <v/>
      </c>
      <c r="AM62" s="14" t="str">
        <f>IF(ISERROR(HLOOKUP(P62,$BM$19:$BR70,$D62+1)),"",HLOOKUP(P62,$BM$19:$BR70,$D62+1))</f>
        <v/>
      </c>
      <c r="AN62" s="14" t="str">
        <f>IF(ISERROR(HLOOKUP(Q62,$BM$19:$BR70,$D62+1)),"",HLOOKUP(Q62,$BM$19:$BR70,$D62+1))</f>
        <v/>
      </c>
      <c r="AO62" s="14" t="str">
        <f>IF(ISERROR(HLOOKUP(R62,$BM$19:$BR70,$D62+1)),"",HLOOKUP(R62,$BM$19:$BR70,$D62+1))</f>
        <v/>
      </c>
      <c r="AP62" s="14" t="str">
        <f>IF(ISERROR(HLOOKUP(S62,$BM$19:$BR70,$D62+1)),"",HLOOKUP(S62,$BM$19:$BR70,$D62+1))</f>
        <v/>
      </c>
      <c r="AQ62" s="14" t="str">
        <f>IF(ISERROR(HLOOKUP(T62,$BM$19:$BR70,$D62+1)),"",HLOOKUP(T62,$BM$19:$BR70,$D62+1))</f>
        <v/>
      </c>
      <c r="AR62" s="14" t="str">
        <f>IF(ISERROR(HLOOKUP(U62,$BM$19:$BR70,$D62+1)),"",HLOOKUP(U62,$BM$19:$BR70,$D62+1))</f>
        <v/>
      </c>
      <c r="AS62" s="14" t="str">
        <f>IF(ISERROR(HLOOKUP(V62,$BM$19:$BR70,$D62+1)),"",HLOOKUP(V62,$BM$19:$BR70,$D62+1))</f>
        <v/>
      </c>
      <c r="AT62" s="14" t="str">
        <f>IF(ISERROR(HLOOKUP(W62,$BM$19:$BR70,$D62+1)),"",HLOOKUP(W62,$BM$19:$BR70,$D62+1))</f>
        <v/>
      </c>
      <c r="AU62" s="14" t="str">
        <f>IF(ISERROR(HLOOKUP(X62,$BM$19:$BR70,$D62+1)),"",HLOOKUP(X62,$BM$19:$BR70,$D62+1))</f>
        <v/>
      </c>
      <c r="AV62" s="111" t="s">
        <v>208</v>
      </c>
      <c r="AW62" s="111" t="s">
        <v>208</v>
      </c>
      <c r="BA62" s="12"/>
    </row>
    <row r="63" spans="1:53" ht="27" customHeight="1">
      <c r="A63" s="25">
        <v>47</v>
      </c>
      <c r="B63" s="156"/>
      <c r="C63" s="153"/>
      <c r="D63" s="150"/>
      <c r="E63" s="151"/>
      <c r="F63" s="151"/>
      <c r="G63" s="151"/>
      <c r="H63" s="151"/>
      <c r="I63" s="151"/>
      <c r="J63" s="151"/>
      <c r="K63" s="151"/>
      <c r="L63" s="151"/>
      <c r="M63" s="151"/>
      <c r="N63" s="151"/>
      <c r="O63" s="151"/>
      <c r="P63" s="151"/>
      <c r="Q63" s="151"/>
      <c r="R63" s="151"/>
      <c r="S63" s="151"/>
      <c r="T63" s="151"/>
      <c r="U63" s="151"/>
      <c r="V63" s="151"/>
      <c r="W63" s="151"/>
      <c r="X63" s="151"/>
      <c r="Y63" s="163">
        <f t="shared" si="2"/>
        <v>0</v>
      </c>
      <c r="Z63" s="112"/>
      <c r="AA63" s="112"/>
      <c r="AB63" s="14" t="str">
        <f>IF(ISERROR(HLOOKUP(E63,$BM$19:$BR71,$D63+1)),"",HLOOKUP(E63,$BM$19:$BR71,$D63+1))</f>
        <v/>
      </c>
      <c r="AC63" s="14" t="str">
        <f>IF(ISERROR(HLOOKUP(F63,$BM$19:$BR71,$D63+1)),"",HLOOKUP(F63,$BM$19:$BR71,$D63+1))</f>
        <v/>
      </c>
      <c r="AD63" s="14" t="str">
        <f>IF(ISERROR(HLOOKUP(G63,$BM$19:$BR71,$D63+1)),"",HLOOKUP(G63,$BM$19:$BR71,$D63+1))</f>
        <v/>
      </c>
      <c r="AE63" s="14" t="str">
        <f>IF(ISERROR(HLOOKUP(H63,$BM$19:$BR71,$D63+1)),"",HLOOKUP(H63,$BM$19:$BR71,$D63+1))</f>
        <v/>
      </c>
      <c r="AF63" s="14" t="str">
        <f>IF(ISERROR(HLOOKUP(I63,$BM$19:$BR71,$D63+1)),"",HLOOKUP(I63,$BM$19:$BR71,$D63+1))</f>
        <v/>
      </c>
      <c r="AG63" s="14" t="str">
        <f>IF(ISERROR(HLOOKUP(J63,$BM$19:$BR71,$D63+1)),"",HLOOKUP(J63,$BM$19:$BR71,$D63+1))</f>
        <v/>
      </c>
      <c r="AH63" s="14" t="str">
        <f>IF(ISERROR(HLOOKUP(K63,$BM$19:$BR71,$D63+1)),"",HLOOKUP(K63,$BM$19:$BR71,$D63+1))</f>
        <v/>
      </c>
      <c r="AI63" s="14" t="str">
        <f>IF(ISERROR(HLOOKUP(L63,$BM$19:$BR71,$D63+1)),"",HLOOKUP(L63,$BM$19:$BR71,$D63+1))</f>
        <v/>
      </c>
      <c r="AJ63" s="14" t="str">
        <f>IF(ISERROR(HLOOKUP(M63,$BM$19:$BR71,$D63+1)),"",HLOOKUP(M63,$BM$19:$BR71,$D63+1))</f>
        <v/>
      </c>
      <c r="AK63" s="14" t="str">
        <f>IF(ISERROR(HLOOKUP(N63,$BM$19:$BR71,$D63+1)),"",HLOOKUP(N63,$BM$19:$BR71,$D63+1))</f>
        <v/>
      </c>
      <c r="AL63" s="14" t="str">
        <f>IF(ISERROR(HLOOKUP(O63,$BM$19:$BR71,$D63+1)),"",HLOOKUP(O63,$BM$19:$BR71,$D63+1))</f>
        <v/>
      </c>
      <c r="AM63" s="14" t="str">
        <f>IF(ISERROR(HLOOKUP(P63,$BM$19:$BR71,$D63+1)),"",HLOOKUP(P63,$BM$19:$BR71,$D63+1))</f>
        <v/>
      </c>
      <c r="AN63" s="14" t="str">
        <f>IF(ISERROR(HLOOKUP(Q63,$BM$19:$BR71,$D63+1)),"",HLOOKUP(Q63,$BM$19:$BR71,$D63+1))</f>
        <v/>
      </c>
      <c r="AO63" s="14" t="str">
        <f>IF(ISERROR(HLOOKUP(R63,$BM$19:$BR71,$D63+1)),"",HLOOKUP(R63,$BM$19:$BR71,$D63+1))</f>
        <v/>
      </c>
      <c r="AP63" s="14" t="str">
        <f>IF(ISERROR(HLOOKUP(S63,$BM$19:$BR71,$D63+1)),"",HLOOKUP(S63,$BM$19:$BR71,$D63+1))</f>
        <v/>
      </c>
      <c r="AQ63" s="14" t="str">
        <f>IF(ISERROR(HLOOKUP(T63,$BM$19:$BR71,$D63+1)),"",HLOOKUP(T63,$BM$19:$BR71,$D63+1))</f>
        <v/>
      </c>
      <c r="AR63" s="14" t="str">
        <f>IF(ISERROR(HLOOKUP(U63,$BM$19:$BR71,$D63+1)),"",HLOOKUP(U63,$BM$19:$BR71,$D63+1))</f>
        <v/>
      </c>
      <c r="AS63" s="14" t="str">
        <f>IF(ISERROR(HLOOKUP(V63,$BM$19:$BR71,$D63+1)),"",HLOOKUP(V63,$BM$19:$BR71,$D63+1))</f>
        <v/>
      </c>
      <c r="AT63" s="14" t="str">
        <f>IF(ISERROR(HLOOKUP(W63,$BM$19:$BR71,$D63+1)),"",HLOOKUP(W63,$BM$19:$BR71,$D63+1))</f>
        <v/>
      </c>
      <c r="AU63" s="14" t="str">
        <f>IF(ISERROR(HLOOKUP(X63,$BM$19:$BR71,$D63+1)),"",HLOOKUP(X63,$BM$19:$BR71,$D63+1))</f>
        <v/>
      </c>
      <c r="AV63" s="111" t="s">
        <v>208</v>
      </c>
      <c r="AW63" s="111" t="s">
        <v>208</v>
      </c>
      <c r="BA63" s="12"/>
    </row>
    <row r="64" spans="1:53" ht="27" customHeight="1">
      <c r="A64" s="25">
        <v>48</v>
      </c>
      <c r="B64" s="156"/>
      <c r="C64" s="153"/>
      <c r="D64" s="150"/>
      <c r="E64" s="151"/>
      <c r="F64" s="151"/>
      <c r="G64" s="151"/>
      <c r="H64" s="151"/>
      <c r="I64" s="151"/>
      <c r="J64" s="151"/>
      <c r="K64" s="151"/>
      <c r="L64" s="151"/>
      <c r="M64" s="151"/>
      <c r="N64" s="151"/>
      <c r="O64" s="151"/>
      <c r="P64" s="151"/>
      <c r="Q64" s="151"/>
      <c r="R64" s="151"/>
      <c r="S64" s="151"/>
      <c r="T64" s="151"/>
      <c r="U64" s="151"/>
      <c r="V64" s="151"/>
      <c r="W64" s="151"/>
      <c r="X64" s="151"/>
      <c r="Y64" s="163">
        <f t="shared" si="2"/>
        <v>0</v>
      </c>
      <c r="Z64" s="112"/>
      <c r="AA64" s="112"/>
      <c r="AB64" s="14" t="str">
        <f>IF(ISERROR(HLOOKUP(E64,$BM$19:$BR72,$D64+1)),"",HLOOKUP(E64,$BM$19:$BR72,$D64+1))</f>
        <v/>
      </c>
      <c r="AC64" s="14" t="str">
        <f>IF(ISERROR(HLOOKUP(F64,$BM$19:$BR72,$D64+1)),"",HLOOKUP(F64,$BM$19:$BR72,$D64+1))</f>
        <v/>
      </c>
      <c r="AD64" s="14" t="str">
        <f>IF(ISERROR(HLOOKUP(G64,$BM$19:$BR72,$D64+1)),"",HLOOKUP(G64,$BM$19:$BR72,$D64+1))</f>
        <v/>
      </c>
      <c r="AE64" s="14" t="str">
        <f>IF(ISERROR(HLOOKUP(H64,$BM$19:$BR72,$D64+1)),"",HLOOKUP(H64,$BM$19:$BR72,$D64+1))</f>
        <v/>
      </c>
      <c r="AF64" s="14" t="str">
        <f>IF(ISERROR(HLOOKUP(I64,$BM$19:$BR72,$D64+1)),"",HLOOKUP(I64,$BM$19:$BR72,$D64+1))</f>
        <v/>
      </c>
      <c r="AG64" s="14" t="str">
        <f>IF(ISERROR(HLOOKUP(J64,$BM$19:$BR72,$D64+1)),"",HLOOKUP(J64,$BM$19:$BR72,$D64+1))</f>
        <v/>
      </c>
      <c r="AH64" s="14" t="str">
        <f>IF(ISERROR(HLOOKUP(K64,$BM$19:$BR72,$D64+1)),"",HLOOKUP(K64,$BM$19:$BR72,$D64+1))</f>
        <v/>
      </c>
      <c r="AI64" s="14" t="str">
        <f>IF(ISERROR(HLOOKUP(L64,$BM$19:$BR72,$D64+1)),"",HLOOKUP(L64,$BM$19:$BR72,$D64+1))</f>
        <v/>
      </c>
      <c r="AJ64" s="14" t="str">
        <f>IF(ISERROR(HLOOKUP(M64,$BM$19:$BR72,$D64+1)),"",HLOOKUP(M64,$BM$19:$BR72,$D64+1))</f>
        <v/>
      </c>
      <c r="AK64" s="14" t="str">
        <f>IF(ISERROR(HLOOKUP(N64,$BM$19:$BR72,$D64+1)),"",HLOOKUP(N64,$BM$19:$BR72,$D64+1))</f>
        <v/>
      </c>
      <c r="AL64" s="14" t="str">
        <f>IF(ISERROR(HLOOKUP(O64,$BM$19:$BR72,$D64+1)),"",HLOOKUP(O64,$BM$19:$BR72,$D64+1))</f>
        <v/>
      </c>
      <c r="AM64" s="14" t="str">
        <f>IF(ISERROR(HLOOKUP(P64,$BM$19:$BR72,$D64+1)),"",HLOOKUP(P64,$BM$19:$BR72,$D64+1))</f>
        <v/>
      </c>
      <c r="AN64" s="14" t="str">
        <f>IF(ISERROR(HLOOKUP(Q64,$BM$19:$BR72,$D64+1)),"",HLOOKUP(Q64,$BM$19:$BR72,$D64+1))</f>
        <v/>
      </c>
      <c r="AO64" s="14" t="str">
        <f>IF(ISERROR(HLOOKUP(R64,$BM$19:$BR72,$D64+1)),"",HLOOKUP(R64,$BM$19:$BR72,$D64+1))</f>
        <v/>
      </c>
      <c r="AP64" s="14" t="str">
        <f>IF(ISERROR(HLOOKUP(S64,$BM$19:$BR72,$D64+1)),"",HLOOKUP(S64,$BM$19:$BR72,$D64+1))</f>
        <v/>
      </c>
      <c r="AQ64" s="14" t="str">
        <f>IF(ISERROR(HLOOKUP(T64,$BM$19:$BR72,$D64+1)),"",HLOOKUP(T64,$BM$19:$BR72,$D64+1))</f>
        <v/>
      </c>
      <c r="AR64" s="14" t="str">
        <f>IF(ISERROR(HLOOKUP(U64,$BM$19:$BR72,$D64+1)),"",HLOOKUP(U64,$BM$19:$BR72,$D64+1))</f>
        <v/>
      </c>
      <c r="AS64" s="14" t="str">
        <f>IF(ISERROR(HLOOKUP(V64,$BM$19:$BR72,$D64+1)),"",HLOOKUP(V64,$BM$19:$BR72,$D64+1))</f>
        <v/>
      </c>
      <c r="AT64" s="14" t="str">
        <f>IF(ISERROR(HLOOKUP(W64,$BM$19:$BR72,$D64+1)),"",HLOOKUP(W64,$BM$19:$BR72,$D64+1))</f>
        <v/>
      </c>
      <c r="AU64" s="14" t="str">
        <f>IF(ISERROR(HLOOKUP(X64,$BM$19:$BR72,$D64+1)),"",HLOOKUP(X64,$BM$19:$BR72,$D64+1))</f>
        <v/>
      </c>
      <c r="AV64" s="111" t="s">
        <v>208</v>
      </c>
      <c r="AW64" s="111" t="s">
        <v>208</v>
      </c>
      <c r="BA64" s="12"/>
    </row>
    <row r="65" spans="1:53" ht="27" customHeight="1">
      <c r="A65" s="25">
        <v>49</v>
      </c>
      <c r="B65" s="156"/>
      <c r="C65" s="153"/>
      <c r="D65" s="150"/>
      <c r="E65" s="151"/>
      <c r="F65" s="151"/>
      <c r="G65" s="151"/>
      <c r="H65" s="151"/>
      <c r="I65" s="151"/>
      <c r="J65" s="151"/>
      <c r="K65" s="151"/>
      <c r="L65" s="151"/>
      <c r="M65" s="151"/>
      <c r="N65" s="151"/>
      <c r="O65" s="151"/>
      <c r="P65" s="151"/>
      <c r="Q65" s="151"/>
      <c r="R65" s="151"/>
      <c r="S65" s="151"/>
      <c r="T65" s="151"/>
      <c r="U65" s="151"/>
      <c r="V65" s="151"/>
      <c r="W65" s="151"/>
      <c r="X65" s="151"/>
      <c r="Y65" s="163">
        <f t="shared" si="2"/>
        <v>0</v>
      </c>
      <c r="Z65" s="112"/>
      <c r="AA65" s="112"/>
      <c r="AB65" s="14" t="str">
        <f>IF(ISERROR(HLOOKUP(E65,$BM$19:$BR73,$D65+1)),"",HLOOKUP(E65,$BM$19:$BR73,$D65+1))</f>
        <v/>
      </c>
      <c r="AC65" s="14" t="str">
        <f>IF(ISERROR(HLOOKUP(F65,$BM$19:$BR73,$D65+1)),"",HLOOKUP(F65,$BM$19:$BR73,$D65+1))</f>
        <v/>
      </c>
      <c r="AD65" s="14" t="str">
        <f>IF(ISERROR(HLOOKUP(G65,$BM$19:$BR73,$D65+1)),"",HLOOKUP(G65,$BM$19:$BR73,$D65+1))</f>
        <v/>
      </c>
      <c r="AE65" s="14" t="str">
        <f>IF(ISERROR(HLOOKUP(H65,$BM$19:$BR73,$D65+1)),"",HLOOKUP(H65,$BM$19:$BR73,$D65+1))</f>
        <v/>
      </c>
      <c r="AF65" s="14" t="str">
        <f>IF(ISERROR(HLOOKUP(I65,$BM$19:$BR73,$D65+1)),"",HLOOKUP(I65,$BM$19:$BR73,$D65+1))</f>
        <v/>
      </c>
      <c r="AG65" s="14" t="str">
        <f>IF(ISERROR(HLOOKUP(J65,$BM$19:$BR73,$D65+1)),"",HLOOKUP(J65,$BM$19:$BR73,$D65+1))</f>
        <v/>
      </c>
      <c r="AH65" s="14" t="str">
        <f>IF(ISERROR(HLOOKUP(K65,$BM$19:$BR73,$D65+1)),"",HLOOKUP(K65,$BM$19:$BR73,$D65+1))</f>
        <v/>
      </c>
      <c r="AI65" s="14" t="str">
        <f>IF(ISERROR(HLOOKUP(L65,$BM$19:$BR73,$D65+1)),"",HLOOKUP(L65,$BM$19:$BR73,$D65+1))</f>
        <v/>
      </c>
      <c r="AJ65" s="14" t="str">
        <f>IF(ISERROR(HLOOKUP(M65,$BM$19:$BR73,$D65+1)),"",HLOOKUP(M65,$BM$19:$BR73,$D65+1))</f>
        <v/>
      </c>
      <c r="AK65" s="14" t="str">
        <f>IF(ISERROR(HLOOKUP(N65,$BM$19:$BR73,$D65+1)),"",HLOOKUP(N65,$BM$19:$BR73,$D65+1))</f>
        <v/>
      </c>
      <c r="AL65" s="14" t="str">
        <f>IF(ISERROR(HLOOKUP(O65,$BM$19:$BR73,$D65+1)),"",HLOOKUP(O65,$BM$19:$BR73,$D65+1))</f>
        <v/>
      </c>
      <c r="AM65" s="14" t="str">
        <f>IF(ISERROR(HLOOKUP(P65,$BM$19:$BR73,$D65+1)),"",HLOOKUP(P65,$BM$19:$BR73,$D65+1))</f>
        <v/>
      </c>
      <c r="AN65" s="14" t="str">
        <f>IF(ISERROR(HLOOKUP(Q65,$BM$19:$BR73,$D65+1)),"",HLOOKUP(Q65,$BM$19:$BR73,$D65+1))</f>
        <v/>
      </c>
      <c r="AO65" s="14" t="str">
        <f>IF(ISERROR(HLOOKUP(R65,$BM$19:$BR73,$D65+1)),"",HLOOKUP(R65,$BM$19:$BR73,$D65+1))</f>
        <v/>
      </c>
      <c r="AP65" s="14" t="str">
        <f>IF(ISERROR(HLOOKUP(S65,$BM$19:$BR73,$D65+1)),"",HLOOKUP(S65,$BM$19:$BR73,$D65+1))</f>
        <v/>
      </c>
      <c r="AQ65" s="14" t="str">
        <f>IF(ISERROR(HLOOKUP(T65,$BM$19:$BR73,$D65+1)),"",HLOOKUP(T65,$BM$19:$BR73,$D65+1))</f>
        <v/>
      </c>
      <c r="AR65" s="14" t="str">
        <f>IF(ISERROR(HLOOKUP(U65,$BM$19:$BR73,$D65+1)),"",HLOOKUP(U65,$BM$19:$BR73,$D65+1))</f>
        <v/>
      </c>
      <c r="AS65" s="14" t="str">
        <f>IF(ISERROR(HLOOKUP(V65,$BM$19:$BR73,$D65+1)),"",HLOOKUP(V65,$BM$19:$BR73,$D65+1))</f>
        <v/>
      </c>
      <c r="AT65" s="14" t="str">
        <f>IF(ISERROR(HLOOKUP(W65,$BM$19:$BR73,$D65+1)),"",HLOOKUP(W65,$BM$19:$BR73,$D65+1))</f>
        <v/>
      </c>
      <c r="AU65" s="14" t="str">
        <f>IF(ISERROR(HLOOKUP(X65,$BM$19:$BR73,$D65+1)),"",HLOOKUP(X65,$BM$19:$BR73,$D65+1))</f>
        <v/>
      </c>
      <c r="AV65" s="111" t="s">
        <v>208</v>
      </c>
      <c r="AW65" s="111" t="s">
        <v>208</v>
      </c>
      <c r="BA65" s="12"/>
    </row>
    <row r="66" spans="1:53" ht="27" customHeight="1">
      <c r="A66" s="25">
        <v>50</v>
      </c>
      <c r="B66" s="156"/>
      <c r="C66" s="153"/>
      <c r="D66" s="150"/>
      <c r="E66" s="151"/>
      <c r="F66" s="151"/>
      <c r="G66" s="151"/>
      <c r="H66" s="151"/>
      <c r="I66" s="151"/>
      <c r="J66" s="151"/>
      <c r="K66" s="151"/>
      <c r="L66" s="151"/>
      <c r="M66" s="151"/>
      <c r="N66" s="151"/>
      <c r="O66" s="151"/>
      <c r="P66" s="151"/>
      <c r="Q66" s="151"/>
      <c r="R66" s="151"/>
      <c r="S66" s="151"/>
      <c r="T66" s="151"/>
      <c r="U66" s="151"/>
      <c r="V66" s="151"/>
      <c r="W66" s="151"/>
      <c r="X66" s="151"/>
      <c r="Y66" s="163">
        <f t="shared" si="2"/>
        <v>0</v>
      </c>
      <c r="Z66" s="112"/>
      <c r="AA66" s="112"/>
      <c r="AB66" s="14" t="str">
        <f>IF(ISERROR(HLOOKUP(E66,$BM$19:$BR74,$D66+1)),"",HLOOKUP(E66,$BM$19:$BR74,$D66+1))</f>
        <v/>
      </c>
      <c r="AC66" s="14" t="str">
        <f>IF(ISERROR(HLOOKUP(F66,$BM$19:$BR74,$D66+1)),"",HLOOKUP(F66,$BM$19:$BR74,$D66+1))</f>
        <v/>
      </c>
      <c r="AD66" s="14" t="str">
        <f>IF(ISERROR(HLOOKUP(G66,$BM$19:$BR74,$D66+1)),"",HLOOKUP(G66,$BM$19:$BR74,$D66+1))</f>
        <v/>
      </c>
      <c r="AE66" s="14" t="str">
        <f>IF(ISERROR(HLOOKUP(H66,$BM$19:$BR74,$D66+1)),"",HLOOKUP(H66,$BM$19:$BR74,$D66+1))</f>
        <v/>
      </c>
      <c r="AF66" s="14" t="str">
        <f>IF(ISERROR(HLOOKUP(I66,$BM$19:$BR74,$D66+1)),"",HLOOKUP(I66,$BM$19:$BR74,$D66+1))</f>
        <v/>
      </c>
      <c r="AG66" s="14" t="str">
        <f>IF(ISERROR(HLOOKUP(J66,$BM$19:$BR74,$D66+1)),"",HLOOKUP(J66,$BM$19:$BR74,$D66+1))</f>
        <v/>
      </c>
      <c r="AH66" s="14" t="str">
        <f>IF(ISERROR(HLOOKUP(K66,$BM$19:$BR74,$D66+1)),"",HLOOKUP(K66,$BM$19:$BR74,$D66+1))</f>
        <v/>
      </c>
      <c r="AI66" s="14" t="str">
        <f>IF(ISERROR(HLOOKUP(L66,$BM$19:$BR74,$D66+1)),"",HLOOKUP(L66,$BM$19:$BR74,$D66+1))</f>
        <v/>
      </c>
      <c r="AJ66" s="14" t="str">
        <f>IF(ISERROR(HLOOKUP(M66,$BM$19:$BR74,$D66+1)),"",HLOOKUP(M66,$BM$19:$BR74,$D66+1))</f>
        <v/>
      </c>
      <c r="AK66" s="14" t="str">
        <f>IF(ISERROR(HLOOKUP(N66,$BM$19:$BR74,$D66+1)),"",HLOOKUP(N66,$BM$19:$BR74,$D66+1))</f>
        <v/>
      </c>
      <c r="AL66" s="14" t="str">
        <f>IF(ISERROR(HLOOKUP(O66,$BM$19:$BR74,$D66+1)),"",HLOOKUP(O66,$BM$19:$BR74,$D66+1))</f>
        <v/>
      </c>
      <c r="AM66" s="14" t="str">
        <f>IF(ISERROR(HLOOKUP(P66,$BM$19:$BR74,$D66+1)),"",HLOOKUP(P66,$BM$19:$BR74,$D66+1))</f>
        <v/>
      </c>
      <c r="AN66" s="14" t="str">
        <f>IF(ISERROR(HLOOKUP(Q66,$BM$19:$BR74,$D66+1)),"",HLOOKUP(Q66,$BM$19:$BR74,$D66+1))</f>
        <v/>
      </c>
      <c r="AO66" s="14" t="str">
        <f>IF(ISERROR(HLOOKUP(R66,$BM$19:$BR74,$D66+1)),"",HLOOKUP(R66,$BM$19:$BR74,$D66+1))</f>
        <v/>
      </c>
      <c r="AP66" s="14" t="str">
        <f>IF(ISERROR(HLOOKUP(S66,$BM$19:$BR74,$D66+1)),"",HLOOKUP(S66,$BM$19:$BR74,$D66+1))</f>
        <v/>
      </c>
      <c r="AQ66" s="14" t="str">
        <f>IF(ISERROR(HLOOKUP(T66,$BM$19:$BR74,$D66+1)),"",HLOOKUP(T66,$BM$19:$BR74,$D66+1))</f>
        <v/>
      </c>
      <c r="AR66" s="14" t="str">
        <f>IF(ISERROR(HLOOKUP(U66,$BM$19:$BR74,$D66+1)),"",HLOOKUP(U66,$BM$19:$BR74,$D66+1))</f>
        <v/>
      </c>
      <c r="AS66" s="14" t="str">
        <f>IF(ISERROR(HLOOKUP(V66,$BM$19:$BR74,$D66+1)),"",HLOOKUP(V66,$BM$19:$BR74,$D66+1))</f>
        <v/>
      </c>
      <c r="AT66" s="14" t="str">
        <f>IF(ISERROR(HLOOKUP(W66,$BM$19:$BR74,$D66+1)),"",HLOOKUP(W66,$BM$19:$BR74,$D66+1))</f>
        <v/>
      </c>
      <c r="AU66" s="14" t="str">
        <f>IF(ISERROR(HLOOKUP(X66,$BM$19:$BR74,$D66+1)),"",HLOOKUP(X66,$BM$19:$BR74,$D66+1))</f>
        <v/>
      </c>
      <c r="AV66" s="111" t="s">
        <v>208</v>
      </c>
      <c r="AW66" s="111" t="s">
        <v>208</v>
      </c>
    </row>
    <row r="67" spans="1:53" ht="27" customHeight="1">
      <c r="A67" s="25">
        <v>51</v>
      </c>
      <c r="B67" s="156"/>
      <c r="C67" s="153"/>
      <c r="D67" s="150"/>
      <c r="E67" s="151"/>
      <c r="F67" s="151"/>
      <c r="G67" s="151"/>
      <c r="H67" s="151"/>
      <c r="I67" s="151"/>
      <c r="J67" s="151"/>
      <c r="K67" s="151"/>
      <c r="L67" s="151"/>
      <c r="M67" s="151"/>
      <c r="N67" s="151"/>
      <c r="O67" s="151"/>
      <c r="P67" s="151"/>
      <c r="Q67" s="151"/>
      <c r="R67" s="151"/>
      <c r="S67" s="151"/>
      <c r="T67" s="151"/>
      <c r="U67" s="151"/>
      <c r="V67" s="151"/>
      <c r="W67" s="151"/>
      <c r="X67" s="151"/>
      <c r="Y67" s="163">
        <f t="shared" si="2"/>
        <v>0</v>
      </c>
      <c r="Z67" s="112"/>
      <c r="AA67" s="112"/>
      <c r="AB67" s="14" t="str">
        <f>IF(ISERROR(HLOOKUP(E67,$BM$19:$BR75,$D67+1)),"",HLOOKUP(E67,$BM$19:$BR75,$D67+1))</f>
        <v/>
      </c>
      <c r="AC67" s="14" t="str">
        <f>IF(ISERROR(HLOOKUP(F67,$BM$19:$BR75,$D67+1)),"",HLOOKUP(F67,$BM$19:$BR75,$D67+1))</f>
        <v/>
      </c>
      <c r="AD67" s="14" t="str">
        <f>IF(ISERROR(HLOOKUP(G67,$BM$19:$BR75,$D67+1)),"",HLOOKUP(G67,$BM$19:$BR75,$D67+1))</f>
        <v/>
      </c>
      <c r="AE67" s="14" t="str">
        <f>IF(ISERROR(HLOOKUP(H67,$BM$19:$BR75,$D67+1)),"",HLOOKUP(H67,$BM$19:$BR75,$D67+1))</f>
        <v/>
      </c>
      <c r="AF67" s="14" t="str">
        <f>IF(ISERROR(HLOOKUP(I67,$BM$19:$BR75,$D67+1)),"",HLOOKUP(I67,$BM$19:$BR75,$D67+1))</f>
        <v/>
      </c>
      <c r="AG67" s="14" t="str">
        <f>IF(ISERROR(HLOOKUP(J67,$BM$19:$BR75,$D67+1)),"",HLOOKUP(J67,$BM$19:$BR75,$D67+1))</f>
        <v/>
      </c>
      <c r="AH67" s="14" t="str">
        <f>IF(ISERROR(HLOOKUP(K67,$BM$19:$BR75,$D67+1)),"",HLOOKUP(K67,$BM$19:$BR75,$D67+1))</f>
        <v/>
      </c>
      <c r="AI67" s="14" t="str">
        <f>IF(ISERROR(HLOOKUP(L67,$BM$19:$BR75,$D67+1)),"",HLOOKUP(L67,$BM$19:$BR75,$D67+1))</f>
        <v/>
      </c>
      <c r="AJ67" s="14" t="str">
        <f>IF(ISERROR(HLOOKUP(M67,$BM$19:$BR75,$D67+1)),"",HLOOKUP(M67,$BM$19:$BR75,$D67+1))</f>
        <v/>
      </c>
      <c r="AK67" s="14" t="str">
        <f>IF(ISERROR(HLOOKUP(N67,$BM$19:$BR75,$D67+1)),"",HLOOKUP(N67,$BM$19:$BR75,$D67+1))</f>
        <v/>
      </c>
      <c r="AL67" s="14" t="str">
        <f>IF(ISERROR(HLOOKUP(O67,$BM$19:$BR75,$D67+1)),"",HLOOKUP(O67,$BM$19:$BR75,$D67+1))</f>
        <v/>
      </c>
      <c r="AM67" s="14" t="str">
        <f>IF(ISERROR(HLOOKUP(P67,$BM$19:$BR75,$D67+1)),"",HLOOKUP(P67,$BM$19:$BR75,$D67+1))</f>
        <v/>
      </c>
      <c r="AN67" s="14" t="str">
        <f>IF(ISERROR(HLOOKUP(Q67,$BM$19:$BR75,$D67+1)),"",HLOOKUP(Q67,$BM$19:$BR75,$D67+1))</f>
        <v/>
      </c>
      <c r="AO67" s="14" t="str">
        <f>IF(ISERROR(HLOOKUP(R67,$BM$19:$BR75,$D67+1)),"",HLOOKUP(R67,$BM$19:$BR75,$D67+1))</f>
        <v/>
      </c>
      <c r="AP67" s="14" t="str">
        <f>IF(ISERROR(HLOOKUP(S67,$BM$19:$BR75,$D67+1)),"",HLOOKUP(S67,$BM$19:$BR75,$D67+1))</f>
        <v/>
      </c>
      <c r="AQ67" s="14" t="str">
        <f>IF(ISERROR(HLOOKUP(T67,$BM$19:$BR75,$D67+1)),"",HLOOKUP(T67,$BM$19:$BR75,$D67+1))</f>
        <v/>
      </c>
      <c r="AR67" s="14" t="str">
        <f>IF(ISERROR(HLOOKUP(U67,$BM$19:$BR75,$D67+1)),"",HLOOKUP(U67,$BM$19:$BR75,$D67+1))</f>
        <v/>
      </c>
      <c r="AS67" s="14" t="str">
        <f>IF(ISERROR(HLOOKUP(V67,$BM$19:$BR75,$D67+1)),"",HLOOKUP(V67,$BM$19:$BR75,$D67+1))</f>
        <v/>
      </c>
      <c r="AT67" s="14" t="str">
        <f>IF(ISERROR(HLOOKUP(W67,$BM$19:$BR75,$D67+1)),"",HLOOKUP(W67,$BM$19:$BR75,$D67+1))</f>
        <v/>
      </c>
      <c r="AU67" s="14" t="str">
        <f>IF(ISERROR(HLOOKUP(X67,$BM$19:$BR75,$D67+1)),"",HLOOKUP(X67,$BM$19:$BR75,$D67+1))</f>
        <v/>
      </c>
      <c r="AV67" s="111" t="s">
        <v>208</v>
      </c>
      <c r="AW67" s="111" t="s">
        <v>208</v>
      </c>
    </row>
    <row r="68" spans="1:53" ht="27" customHeight="1">
      <c r="A68" s="25">
        <v>52</v>
      </c>
      <c r="B68" s="156"/>
      <c r="C68" s="153"/>
      <c r="D68" s="150"/>
      <c r="E68" s="151"/>
      <c r="F68" s="151"/>
      <c r="G68" s="151"/>
      <c r="H68" s="151"/>
      <c r="I68" s="151"/>
      <c r="J68" s="151"/>
      <c r="K68" s="151"/>
      <c r="L68" s="151"/>
      <c r="M68" s="151"/>
      <c r="N68" s="151"/>
      <c r="O68" s="151"/>
      <c r="P68" s="151"/>
      <c r="Q68" s="151"/>
      <c r="R68" s="151"/>
      <c r="S68" s="151"/>
      <c r="T68" s="151"/>
      <c r="U68" s="151"/>
      <c r="V68" s="151"/>
      <c r="W68" s="151"/>
      <c r="X68" s="151"/>
      <c r="Y68" s="163">
        <f t="shared" si="2"/>
        <v>0</v>
      </c>
      <c r="Z68" s="112"/>
      <c r="AA68" s="112"/>
      <c r="AB68" s="14" t="str">
        <f>IF(ISERROR(HLOOKUP(E68,$BM$19:$BR76,$D68+1)),"",HLOOKUP(E68,$BM$19:$BR76,$D68+1))</f>
        <v/>
      </c>
      <c r="AC68" s="14" t="str">
        <f>IF(ISERROR(HLOOKUP(F68,$BM$19:$BR76,$D68+1)),"",HLOOKUP(F68,$BM$19:$BR76,$D68+1))</f>
        <v/>
      </c>
      <c r="AD68" s="14" t="str">
        <f>IF(ISERROR(HLOOKUP(G68,$BM$19:$BR76,$D68+1)),"",HLOOKUP(G68,$BM$19:$BR76,$D68+1))</f>
        <v/>
      </c>
      <c r="AE68" s="14" t="str">
        <f>IF(ISERROR(HLOOKUP(H68,$BM$19:$BR76,$D68+1)),"",HLOOKUP(H68,$BM$19:$BR76,$D68+1))</f>
        <v/>
      </c>
      <c r="AF68" s="14" t="str">
        <f>IF(ISERROR(HLOOKUP(I68,$BM$19:$BR76,$D68+1)),"",HLOOKUP(I68,$BM$19:$BR76,$D68+1))</f>
        <v/>
      </c>
      <c r="AG68" s="14" t="str">
        <f>IF(ISERROR(HLOOKUP(J68,$BM$19:$BR76,$D68+1)),"",HLOOKUP(J68,$BM$19:$BR76,$D68+1))</f>
        <v/>
      </c>
      <c r="AH68" s="14" t="str">
        <f>IF(ISERROR(HLOOKUP(K68,$BM$19:$BR76,$D68+1)),"",HLOOKUP(K68,$BM$19:$BR76,$D68+1))</f>
        <v/>
      </c>
      <c r="AI68" s="14" t="str">
        <f>IF(ISERROR(HLOOKUP(L68,$BM$19:$BR76,$D68+1)),"",HLOOKUP(L68,$BM$19:$BR76,$D68+1))</f>
        <v/>
      </c>
      <c r="AJ68" s="14" t="str">
        <f>IF(ISERROR(HLOOKUP(M68,$BM$19:$BR76,$D68+1)),"",HLOOKUP(M68,$BM$19:$BR76,$D68+1))</f>
        <v/>
      </c>
      <c r="AK68" s="14" t="str">
        <f>IF(ISERROR(HLOOKUP(N68,$BM$19:$BR76,$D68+1)),"",HLOOKUP(N68,$BM$19:$BR76,$D68+1))</f>
        <v/>
      </c>
      <c r="AL68" s="14" t="str">
        <f>IF(ISERROR(HLOOKUP(O68,$BM$19:$BR76,$D68+1)),"",HLOOKUP(O68,$BM$19:$BR76,$D68+1))</f>
        <v/>
      </c>
      <c r="AM68" s="14" t="str">
        <f>IF(ISERROR(HLOOKUP(P68,$BM$19:$BR76,$D68+1)),"",HLOOKUP(P68,$BM$19:$BR76,$D68+1))</f>
        <v/>
      </c>
      <c r="AN68" s="14" t="str">
        <f>IF(ISERROR(HLOOKUP(Q68,$BM$19:$BR76,$D68+1)),"",HLOOKUP(Q68,$BM$19:$BR76,$D68+1))</f>
        <v/>
      </c>
      <c r="AO68" s="14" t="str">
        <f>IF(ISERROR(HLOOKUP(R68,$BM$19:$BR76,$D68+1)),"",HLOOKUP(R68,$BM$19:$BR76,$D68+1))</f>
        <v/>
      </c>
      <c r="AP68" s="14" t="str">
        <f>IF(ISERROR(HLOOKUP(S68,$BM$19:$BR76,$D68+1)),"",HLOOKUP(S68,$BM$19:$BR76,$D68+1))</f>
        <v/>
      </c>
      <c r="AQ68" s="14" t="str">
        <f>IF(ISERROR(HLOOKUP(T68,$BM$19:$BR76,$D68+1)),"",HLOOKUP(T68,$BM$19:$BR76,$D68+1))</f>
        <v/>
      </c>
      <c r="AR68" s="14" t="str">
        <f>IF(ISERROR(HLOOKUP(U68,$BM$19:$BR76,$D68+1)),"",HLOOKUP(U68,$BM$19:$BR76,$D68+1))</f>
        <v/>
      </c>
      <c r="AS68" s="14" t="str">
        <f>IF(ISERROR(HLOOKUP(V68,$BM$19:$BR76,$D68+1)),"",HLOOKUP(V68,$BM$19:$BR76,$D68+1))</f>
        <v/>
      </c>
      <c r="AT68" s="14" t="str">
        <f>IF(ISERROR(HLOOKUP(W68,$BM$19:$BR76,$D68+1)),"",HLOOKUP(W68,$BM$19:$BR76,$D68+1))</f>
        <v/>
      </c>
      <c r="AU68" s="14" t="str">
        <f>IF(ISERROR(HLOOKUP(X68,$BM$19:$BR76,$D68+1)),"",HLOOKUP(X68,$BM$19:$BR76,$D68+1))</f>
        <v/>
      </c>
      <c r="AV68" s="111" t="s">
        <v>208</v>
      </c>
      <c r="AW68" s="111" t="s">
        <v>208</v>
      </c>
    </row>
    <row r="69" spans="1:53" ht="27" customHeight="1">
      <c r="A69" s="25">
        <v>53</v>
      </c>
      <c r="B69" s="156"/>
      <c r="C69" s="153"/>
      <c r="D69" s="150"/>
      <c r="E69" s="151"/>
      <c r="F69" s="151"/>
      <c r="G69" s="151"/>
      <c r="H69" s="151"/>
      <c r="I69" s="151"/>
      <c r="J69" s="151"/>
      <c r="K69" s="151"/>
      <c r="L69" s="151"/>
      <c r="M69" s="151"/>
      <c r="N69" s="151"/>
      <c r="O69" s="151"/>
      <c r="P69" s="151"/>
      <c r="Q69" s="151"/>
      <c r="R69" s="151"/>
      <c r="S69" s="151"/>
      <c r="T69" s="151"/>
      <c r="U69" s="151"/>
      <c r="V69" s="151"/>
      <c r="W69" s="151"/>
      <c r="X69" s="151"/>
      <c r="Y69" s="163">
        <f t="shared" si="2"/>
        <v>0</v>
      </c>
      <c r="Z69" s="112"/>
      <c r="AA69" s="112"/>
      <c r="AB69" s="14" t="str">
        <f>IF(ISERROR(HLOOKUP(E69,$BM$19:$BR77,$D69+1)),"",HLOOKUP(E69,$BM$19:$BR77,$D69+1))</f>
        <v/>
      </c>
      <c r="AC69" s="14" t="str">
        <f>IF(ISERROR(HLOOKUP(F69,$BM$19:$BR77,$D69+1)),"",HLOOKUP(F69,$BM$19:$BR77,$D69+1))</f>
        <v/>
      </c>
      <c r="AD69" s="14" t="str">
        <f>IF(ISERROR(HLOOKUP(G69,$BM$19:$BR77,$D69+1)),"",HLOOKUP(G69,$BM$19:$BR77,$D69+1))</f>
        <v/>
      </c>
      <c r="AE69" s="14" t="str">
        <f>IF(ISERROR(HLOOKUP(H69,$BM$19:$BR77,$D69+1)),"",HLOOKUP(H69,$BM$19:$BR77,$D69+1))</f>
        <v/>
      </c>
      <c r="AF69" s="14" t="str">
        <f>IF(ISERROR(HLOOKUP(I69,$BM$19:$BR77,$D69+1)),"",HLOOKUP(I69,$BM$19:$BR77,$D69+1))</f>
        <v/>
      </c>
      <c r="AG69" s="14" t="str">
        <f>IF(ISERROR(HLOOKUP(J69,$BM$19:$BR77,$D69+1)),"",HLOOKUP(J69,$BM$19:$BR77,$D69+1))</f>
        <v/>
      </c>
      <c r="AH69" s="14" t="str">
        <f>IF(ISERROR(HLOOKUP(K69,$BM$19:$BR77,$D69+1)),"",HLOOKUP(K69,$BM$19:$BR77,$D69+1))</f>
        <v/>
      </c>
      <c r="AI69" s="14" t="str">
        <f>IF(ISERROR(HLOOKUP(L69,$BM$19:$BR77,$D69+1)),"",HLOOKUP(L69,$BM$19:$BR77,$D69+1))</f>
        <v/>
      </c>
      <c r="AJ69" s="14" t="str">
        <f>IF(ISERROR(HLOOKUP(M69,$BM$19:$BR77,$D69+1)),"",HLOOKUP(M69,$BM$19:$BR77,$D69+1))</f>
        <v/>
      </c>
      <c r="AK69" s="14" t="str">
        <f>IF(ISERROR(HLOOKUP(N69,$BM$19:$BR77,$D69+1)),"",HLOOKUP(N69,$BM$19:$BR77,$D69+1))</f>
        <v/>
      </c>
      <c r="AL69" s="14" t="str">
        <f>IF(ISERROR(HLOOKUP(O69,$BM$19:$BR77,$D69+1)),"",HLOOKUP(O69,$BM$19:$BR77,$D69+1))</f>
        <v/>
      </c>
      <c r="AM69" s="14" t="str">
        <f>IF(ISERROR(HLOOKUP(P69,$BM$19:$BR77,$D69+1)),"",HLOOKUP(P69,$BM$19:$BR77,$D69+1))</f>
        <v/>
      </c>
      <c r="AN69" s="14" t="str">
        <f>IF(ISERROR(HLOOKUP(Q69,$BM$19:$BR77,$D69+1)),"",HLOOKUP(Q69,$BM$19:$BR77,$D69+1))</f>
        <v/>
      </c>
      <c r="AO69" s="14" t="str">
        <f>IF(ISERROR(HLOOKUP(R69,$BM$19:$BR77,$D69+1)),"",HLOOKUP(R69,$BM$19:$BR77,$D69+1))</f>
        <v/>
      </c>
      <c r="AP69" s="14" t="str">
        <f>IF(ISERROR(HLOOKUP(S69,$BM$19:$BR77,$D69+1)),"",HLOOKUP(S69,$BM$19:$BR77,$D69+1))</f>
        <v/>
      </c>
      <c r="AQ69" s="14" t="str">
        <f>IF(ISERROR(HLOOKUP(T69,$BM$19:$BR77,$D69+1)),"",HLOOKUP(T69,$BM$19:$BR77,$D69+1))</f>
        <v/>
      </c>
      <c r="AR69" s="14" t="str">
        <f>IF(ISERROR(HLOOKUP(U69,$BM$19:$BR77,$D69+1)),"",HLOOKUP(U69,$BM$19:$BR77,$D69+1))</f>
        <v/>
      </c>
      <c r="AS69" s="14" t="str">
        <f>IF(ISERROR(HLOOKUP(V69,$BM$19:$BR77,$D69+1)),"",HLOOKUP(V69,$BM$19:$BR77,$D69+1))</f>
        <v/>
      </c>
      <c r="AT69" s="14" t="str">
        <f>IF(ISERROR(HLOOKUP(W69,$BM$19:$BR77,$D69+1)),"",HLOOKUP(W69,$BM$19:$BR77,$D69+1))</f>
        <v/>
      </c>
      <c r="AU69" s="14" t="str">
        <f>IF(ISERROR(HLOOKUP(X69,$BM$19:$BR77,$D69+1)),"",HLOOKUP(X69,$BM$19:$BR77,$D69+1))</f>
        <v/>
      </c>
      <c r="AV69" s="111" t="s">
        <v>208</v>
      </c>
      <c r="AW69" s="111" t="s">
        <v>208</v>
      </c>
    </row>
    <row r="70" spans="1:53" ht="27" customHeight="1">
      <c r="A70" s="25">
        <v>54</v>
      </c>
      <c r="B70" s="156"/>
      <c r="C70" s="153"/>
      <c r="D70" s="150"/>
      <c r="E70" s="151"/>
      <c r="F70" s="151"/>
      <c r="G70" s="151"/>
      <c r="H70" s="151"/>
      <c r="I70" s="151"/>
      <c r="J70" s="151"/>
      <c r="K70" s="151"/>
      <c r="L70" s="151"/>
      <c r="M70" s="151"/>
      <c r="N70" s="151"/>
      <c r="O70" s="151"/>
      <c r="P70" s="151"/>
      <c r="Q70" s="151"/>
      <c r="R70" s="151"/>
      <c r="S70" s="151"/>
      <c r="T70" s="151"/>
      <c r="U70" s="151"/>
      <c r="V70" s="151"/>
      <c r="W70" s="151"/>
      <c r="X70" s="151"/>
      <c r="Y70" s="163">
        <f t="shared" si="2"/>
        <v>0</v>
      </c>
      <c r="Z70" s="112"/>
      <c r="AA70" s="112"/>
      <c r="AB70" s="14" t="str">
        <f>IF(ISERROR(HLOOKUP(E70,$BM$19:$BR78,$D70+1)),"",HLOOKUP(E70,$BM$19:$BR78,$D70+1))</f>
        <v/>
      </c>
      <c r="AC70" s="14" t="str">
        <f>IF(ISERROR(HLOOKUP(F70,$BM$19:$BR78,$D70+1)),"",HLOOKUP(F70,$BM$19:$BR78,$D70+1))</f>
        <v/>
      </c>
      <c r="AD70" s="14" t="str">
        <f>IF(ISERROR(HLOOKUP(G70,$BM$19:$BR78,$D70+1)),"",HLOOKUP(G70,$BM$19:$BR78,$D70+1))</f>
        <v/>
      </c>
      <c r="AE70" s="14" t="str">
        <f>IF(ISERROR(HLOOKUP(H70,$BM$19:$BR78,$D70+1)),"",HLOOKUP(H70,$BM$19:$BR78,$D70+1))</f>
        <v/>
      </c>
      <c r="AF70" s="14" t="str">
        <f>IF(ISERROR(HLOOKUP(I70,$BM$19:$BR78,$D70+1)),"",HLOOKUP(I70,$BM$19:$BR78,$D70+1))</f>
        <v/>
      </c>
      <c r="AG70" s="14" t="str">
        <f>IF(ISERROR(HLOOKUP(J70,$BM$19:$BR78,$D70+1)),"",HLOOKUP(J70,$BM$19:$BR78,$D70+1))</f>
        <v/>
      </c>
      <c r="AH70" s="14" t="str">
        <f>IF(ISERROR(HLOOKUP(K70,$BM$19:$BR78,$D70+1)),"",HLOOKUP(K70,$BM$19:$BR78,$D70+1))</f>
        <v/>
      </c>
      <c r="AI70" s="14" t="str">
        <f>IF(ISERROR(HLOOKUP(L70,$BM$19:$BR78,$D70+1)),"",HLOOKUP(L70,$BM$19:$BR78,$D70+1))</f>
        <v/>
      </c>
      <c r="AJ70" s="14" t="str">
        <f>IF(ISERROR(HLOOKUP(M70,$BM$19:$BR78,$D70+1)),"",HLOOKUP(M70,$BM$19:$BR78,$D70+1))</f>
        <v/>
      </c>
      <c r="AK70" s="14" t="str">
        <f>IF(ISERROR(HLOOKUP(N70,$BM$19:$BR78,$D70+1)),"",HLOOKUP(N70,$BM$19:$BR78,$D70+1))</f>
        <v/>
      </c>
      <c r="AL70" s="14" t="str">
        <f>IF(ISERROR(HLOOKUP(O70,$BM$19:$BR78,$D70+1)),"",HLOOKUP(O70,$BM$19:$BR78,$D70+1))</f>
        <v/>
      </c>
      <c r="AM70" s="14" t="str">
        <f>IF(ISERROR(HLOOKUP(P70,$BM$19:$BR78,$D70+1)),"",HLOOKUP(P70,$BM$19:$BR78,$D70+1))</f>
        <v/>
      </c>
      <c r="AN70" s="14" t="str">
        <f>IF(ISERROR(HLOOKUP(Q70,$BM$19:$BR78,$D70+1)),"",HLOOKUP(Q70,$BM$19:$BR78,$D70+1))</f>
        <v/>
      </c>
      <c r="AO70" s="14" t="str">
        <f>IF(ISERROR(HLOOKUP(R70,$BM$19:$BR78,$D70+1)),"",HLOOKUP(R70,$BM$19:$BR78,$D70+1))</f>
        <v/>
      </c>
      <c r="AP70" s="14" t="str">
        <f>IF(ISERROR(HLOOKUP(S70,$BM$19:$BR78,$D70+1)),"",HLOOKUP(S70,$BM$19:$BR78,$D70+1))</f>
        <v/>
      </c>
      <c r="AQ70" s="14" t="str">
        <f>IF(ISERROR(HLOOKUP(T70,$BM$19:$BR78,$D70+1)),"",HLOOKUP(T70,$BM$19:$BR78,$D70+1))</f>
        <v/>
      </c>
      <c r="AR70" s="14" t="str">
        <f>IF(ISERROR(HLOOKUP(U70,$BM$19:$BR78,$D70+1)),"",HLOOKUP(U70,$BM$19:$BR78,$D70+1))</f>
        <v/>
      </c>
      <c r="AS70" s="14" t="str">
        <f>IF(ISERROR(HLOOKUP(V70,$BM$19:$BR78,$D70+1)),"",HLOOKUP(V70,$BM$19:$BR78,$D70+1))</f>
        <v/>
      </c>
      <c r="AT70" s="14" t="str">
        <f>IF(ISERROR(HLOOKUP(W70,$BM$19:$BR78,$D70+1)),"",HLOOKUP(W70,$BM$19:$BR78,$D70+1))</f>
        <v/>
      </c>
      <c r="AU70" s="14" t="str">
        <f>IF(ISERROR(HLOOKUP(X70,$BM$19:$BR78,$D70+1)),"",HLOOKUP(X70,$BM$19:$BR78,$D70+1))</f>
        <v/>
      </c>
      <c r="AV70" s="111" t="s">
        <v>208</v>
      </c>
      <c r="AW70" s="111" t="s">
        <v>208</v>
      </c>
    </row>
    <row r="71" spans="1:53" ht="27" customHeight="1">
      <c r="A71" s="25">
        <v>56</v>
      </c>
      <c r="B71" s="156"/>
      <c r="C71" s="153"/>
      <c r="D71" s="150"/>
      <c r="E71" s="151"/>
      <c r="F71" s="151"/>
      <c r="G71" s="151"/>
      <c r="H71" s="151"/>
      <c r="I71" s="151"/>
      <c r="J71" s="151"/>
      <c r="K71" s="151"/>
      <c r="L71" s="151"/>
      <c r="M71" s="151"/>
      <c r="N71" s="151"/>
      <c r="O71" s="151"/>
      <c r="P71" s="151"/>
      <c r="Q71" s="151"/>
      <c r="R71" s="151"/>
      <c r="S71" s="151"/>
      <c r="T71" s="151"/>
      <c r="U71" s="151"/>
      <c r="V71" s="151"/>
      <c r="W71" s="151"/>
      <c r="X71" s="151"/>
      <c r="Y71" s="163">
        <f t="shared" si="2"/>
        <v>0</v>
      </c>
      <c r="Z71" s="112"/>
      <c r="AA71" s="112"/>
      <c r="AB71" s="14" t="str">
        <f>IF(ISERROR(HLOOKUP(E71,$BM$19:$BR79,$D71+1)),"",HLOOKUP(E71,$BM$19:$BR79,$D71+1))</f>
        <v/>
      </c>
      <c r="AC71" s="14" t="str">
        <f>IF(ISERROR(HLOOKUP(F71,$BM$19:$BR79,$D71+1)),"",HLOOKUP(F71,$BM$19:$BR79,$D71+1))</f>
        <v/>
      </c>
      <c r="AD71" s="14" t="str">
        <f>IF(ISERROR(HLOOKUP(G71,$BM$19:$BR79,$D71+1)),"",HLOOKUP(G71,$BM$19:$BR79,$D71+1))</f>
        <v/>
      </c>
      <c r="AE71" s="14" t="str">
        <f>IF(ISERROR(HLOOKUP(H71,$BM$19:$BR79,$D71+1)),"",HLOOKUP(H71,$BM$19:$BR79,$D71+1))</f>
        <v/>
      </c>
      <c r="AF71" s="14" t="str">
        <f>IF(ISERROR(HLOOKUP(I71,$BM$19:$BR79,$D71+1)),"",HLOOKUP(I71,$BM$19:$BR79,$D71+1))</f>
        <v/>
      </c>
      <c r="AG71" s="14" t="str">
        <f>IF(ISERROR(HLOOKUP(J71,$BM$19:$BR79,$D71+1)),"",HLOOKUP(J71,$BM$19:$BR79,$D71+1))</f>
        <v/>
      </c>
      <c r="AH71" s="14" t="str">
        <f>IF(ISERROR(HLOOKUP(K71,$BM$19:$BR79,$D71+1)),"",HLOOKUP(K71,$BM$19:$BR79,$D71+1))</f>
        <v/>
      </c>
      <c r="AI71" s="14" t="str">
        <f>IF(ISERROR(HLOOKUP(L71,$BM$19:$BR79,$D71+1)),"",HLOOKUP(L71,$BM$19:$BR79,$D71+1))</f>
        <v/>
      </c>
      <c r="AJ71" s="14" t="str">
        <f>IF(ISERROR(HLOOKUP(M71,$BM$19:$BR79,$D71+1)),"",HLOOKUP(M71,$BM$19:$BR79,$D71+1))</f>
        <v/>
      </c>
      <c r="AK71" s="14" t="str">
        <f>IF(ISERROR(HLOOKUP(N71,$BM$19:$BR79,$D71+1)),"",HLOOKUP(N71,$BM$19:$BR79,$D71+1))</f>
        <v/>
      </c>
      <c r="AL71" s="14" t="str">
        <f>IF(ISERROR(HLOOKUP(O71,$BM$19:$BR79,$D71+1)),"",HLOOKUP(O71,$BM$19:$BR79,$D71+1))</f>
        <v/>
      </c>
      <c r="AM71" s="14" t="str">
        <f>IF(ISERROR(HLOOKUP(P71,$BM$19:$BR79,$D71+1)),"",HLOOKUP(P71,$BM$19:$BR79,$D71+1))</f>
        <v/>
      </c>
      <c r="AN71" s="14" t="str">
        <f>IF(ISERROR(HLOOKUP(Q71,$BM$19:$BR79,$D71+1)),"",HLOOKUP(Q71,$BM$19:$BR79,$D71+1))</f>
        <v/>
      </c>
      <c r="AO71" s="14" t="str">
        <f>IF(ISERROR(HLOOKUP(R71,$BM$19:$BR79,$D71+1)),"",HLOOKUP(R71,$BM$19:$BR79,$D71+1))</f>
        <v/>
      </c>
      <c r="AP71" s="14" t="str">
        <f>IF(ISERROR(HLOOKUP(S71,$BM$19:$BR79,$D71+1)),"",HLOOKUP(S71,$BM$19:$BR79,$D71+1))</f>
        <v/>
      </c>
      <c r="AQ71" s="14" t="str">
        <f>IF(ISERROR(HLOOKUP(T71,$BM$19:$BR79,$D71+1)),"",HLOOKUP(T71,$BM$19:$BR79,$D71+1))</f>
        <v/>
      </c>
      <c r="AR71" s="14" t="str">
        <f>IF(ISERROR(HLOOKUP(U71,$BM$19:$BR79,$D71+1)),"",HLOOKUP(U71,$BM$19:$BR79,$D71+1))</f>
        <v/>
      </c>
      <c r="AS71" s="14" t="str">
        <f>IF(ISERROR(HLOOKUP(V71,$BM$19:$BR79,$D71+1)),"",HLOOKUP(V71,$BM$19:$BR79,$D71+1))</f>
        <v/>
      </c>
      <c r="AT71" s="14" t="str">
        <f>IF(ISERROR(HLOOKUP(W71,$BM$19:$BR79,$D71+1)),"",HLOOKUP(W71,$BM$19:$BR79,$D71+1))</f>
        <v/>
      </c>
      <c r="AU71" s="14" t="str">
        <f>IF(ISERROR(HLOOKUP(X71,$BM$19:$BR79,$D71+1)),"",HLOOKUP(X71,$BM$19:$BR79,$D71+1))</f>
        <v/>
      </c>
      <c r="AV71" s="111" t="s">
        <v>208</v>
      </c>
      <c r="AW71" s="111" t="s">
        <v>208</v>
      </c>
    </row>
    <row r="72" spans="1:53" ht="27" customHeight="1">
      <c r="A72" s="25">
        <v>57</v>
      </c>
      <c r="B72" s="156"/>
      <c r="C72" s="153"/>
      <c r="D72" s="150"/>
      <c r="E72" s="151"/>
      <c r="F72" s="151"/>
      <c r="G72" s="151"/>
      <c r="H72" s="151"/>
      <c r="I72" s="151"/>
      <c r="J72" s="151"/>
      <c r="K72" s="151"/>
      <c r="L72" s="151"/>
      <c r="M72" s="151"/>
      <c r="N72" s="151"/>
      <c r="O72" s="151"/>
      <c r="P72" s="151"/>
      <c r="Q72" s="151"/>
      <c r="R72" s="151"/>
      <c r="S72" s="151"/>
      <c r="T72" s="151"/>
      <c r="U72" s="151"/>
      <c r="V72" s="151"/>
      <c r="W72" s="151"/>
      <c r="X72" s="151"/>
      <c r="Y72" s="163">
        <f t="shared" si="2"/>
        <v>0</v>
      </c>
      <c r="Z72" s="112"/>
      <c r="AA72" s="112"/>
      <c r="AB72" s="14" t="str">
        <f>IF(ISERROR(HLOOKUP(E72,$BM$19:$BR80,$D72+1)),"",HLOOKUP(E72,$BM$19:$BR80,$D72+1))</f>
        <v/>
      </c>
      <c r="AC72" s="14" t="str">
        <f>IF(ISERROR(HLOOKUP(F72,$BM$19:$BR80,$D72+1)),"",HLOOKUP(F72,$BM$19:$BR80,$D72+1))</f>
        <v/>
      </c>
      <c r="AD72" s="14" t="str">
        <f>IF(ISERROR(HLOOKUP(G72,$BM$19:$BR80,$D72+1)),"",HLOOKUP(G72,$BM$19:$BR80,$D72+1))</f>
        <v/>
      </c>
      <c r="AE72" s="14" t="str">
        <f>IF(ISERROR(HLOOKUP(H72,$BM$19:$BR80,$D72+1)),"",HLOOKUP(H72,$BM$19:$BR80,$D72+1))</f>
        <v/>
      </c>
      <c r="AF72" s="14" t="str">
        <f>IF(ISERROR(HLOOKUP(I72,$BM$19:$BR80,$D72+1)),"",HLOOKUP(I72,$BM$19:$BR80,$D72+1))</f>
        <v/>
      </c>
      <c r="AG72" s="14" t="str">
        <f>IF(ISERROR(HLOOKUP(J72,$BM$19:$BR80,$D72+1)),"",HLOOKUP(J72,$BM$19:$BR80,$D72+1))</f>
        <v/>
      </c>
      <c r="AH72" s="14" t="str">
        <f>IF(ISERROR(HLOOKUP(K72,$BM$19:$BR80,$D72+1)),"",HLOOKUP(K72,$BM$19:$BR80,$D72+1))</f>
        <v/>
      </c>
      <c r="AI72" s="14" t="str">
        <f>IF(ISERROR(HLOOKUP(L72,$BM$19:$BR80,$D72+1)),"",HLOOKUP(L72,$BM$19:$BR80,$D72+1))</f>
        <v/>
      </c>
      <c r="AJ72" s="14" t="str">
        <f>IF(ISERROR(HLOOKUP(M72,$BM$19:$BR80,$D72+1)),"",HLOOKUP(M72,$BM$19:$BR80,$D72+1))</f>
        <v/>
      </c>
      <c r="AK72" s="14" t="str">
        <f>IF(ISERROR(HLOOKUP(N72,$BM$19:$BR80,$D72+1)),"",HLOOKUP(N72,$BM$19:$BR80,$D72+1))</f>
        <v/>
      </c>
      <c r="AL72" s="14" t="str">
        <f>IF(ISERROR(HLOOKUP(O72,$BM$19:$BR80,$D72+1)),"",HLOOKUP(O72,$BM$19:$BR80,$D72+1))</f>
        <v/>
      </c>
      <c r="AM72" s="14" t="str">
        <f>IF(ISERROR(HLOOKUP(P72,$BM$19:$BR80,$D72+1)),"",HLOOKUP(P72,$BM$19:$BR80,$D72+1))</f>
        <v/>
      </c>
      <c r="AN72" s="14" t="str">
        <f>IF(ISERROR(HLOOKUP(Q72,$BM$19:$BR80,$D72+1)),"",HLOOKUP(Q72,$BM$19:$BR80,$D72+1))</f>
        <v/>
      </c>
      <c r="AO72" s="14" t="str">
        <f>IF(ISERROR(HLOOKUP(R72,$BM$19:$BR80,$D72+1)),"",HLOOKUP(R72,$BM$19:$BR80,$D72+1))</f>
        <v/>
      </c>
      <c r="AP72" s="14" t="str">
        <f>IF(ISERROR(HLOOKUP(S72,$BM$19:$BR80,$D72+1)),"",HLOOKUP(S72,$BM$19:$BR80,$D72+1))</f>
        <v/>
      </c>
      <c r="AQ72" s="14" t="str">
        <f>IF(ISERROR(HLOOKUP(T72,$BM$19:$BR80,$D72+1)),"",HLOOKUP(T72,$BM$19:$BR80,$D72+1))</f>
        <v/>
      </c>
      <c r="AR72" s="14" t="str">
        <f>IF(ISERROR(HLOOKUP(U72,$BM$19:$BR80,$D72+1)),"",HLOOKUP(U72,$BM$19:$BR80,$D72+1))</f>
        <v/>
      </c>
      <c r="AS72" s="14" t="str">
        <f>IF(ISERROR(HLOOKUP(V72,$BM$19:$BR80,$D72+1)),"",HLOOKUP(V72,$BM$19:$BR80,$D72+1))</f>
        <v/>
      </c>
      <c r="AT72" s="14" t="str">
        <f>IF(ISERROR(HLOOKUP(W72,$BM$19:$BR80,$D72+1)),"",HLOOKUP(W72,$BM$19:$BR80,$D72+1))</f>
        <v/>
      </c>
      <c r="AU72" s="14" t="str">
        <f>IF(ISERROR(HLOOKUP(X72,$BM$19:$BR80,$D72+1)),"",HLOOKUP(X72,$BM$19:$BR80,$D72+1))</f>
        <v/>
      </c>
      <c r="AV72" s="111" t="s">
        <v>208</v>
      </c>
      <c r="AW72" s="111" t="s">
        <v>208</v>
      </c>
    </row>
    <row r="73" spans="1:53" ht="27" customHeight="1">
      <c r="A73" s="25">
        <v>58</v>
      </c>
      <c r="B73" s="156"/>
      <c r="C73" s="153"/>
      <c r="D73" s="150"/>
      <c r="E73" s="151"/>
      <c r="F73" s="151"/>
      <c r="G73" s="151"/>
      <c r="H73" s="151"/>
      <c r="I73" s="151"/>
      <c r="J73" s="151"/>
      <c r="K73" s="151"/>
      <c r="L73" s="151"/>
      <c r="M73" s="151"/>
      <c r="N73" s="151"/>
      <c r="O73" s="151"/>
      <c r="P73" s="151"/>
      <c r="Q73" s="151"/>
      <c r="R73" s="151"/>
      <c r="S73" s="151"/>
      <c r="T73" s="151"/>
      <c r="U73" s="151"/>
      <c r="V73" s="151"/>
      <c r="W73" s="151"/>
      <c r="X73" s="151"/>
      <c r="Y73" s="163">
        <f t="shared" si="2"/>
        <v>0</v>
      </c>
      <c r="Z73" s="112"/>
      <c r="AA73" s="112"/>
      <c r="AB73" s="14" t="str">
        <f>IF(ISERROR(HLOOKUP(E73,$BM$19:$BR81,$D73+1)),"",HLOOKUP(E73,$BM$19:$BR81,$D73+1))</f>
        <v/>
      </c>
      <c r="AC73" s="14" t="str">
        <f>IF(ISERROR(HLOOKUP(F73,$BM$19:$BR81,$D73+1)),"",HLOOKUP(F73,$BM$19:$BR81,$D73+1))</f>
        <v/>
      </c>
      <c r="AD73" s="14" t="str">
        <f>IF(ISERROR(HLOOKUP(G73,$BM$19:$BR81,$D73+1)),"",HLOOKUP(G73,$BM$19:$BR81,$D73+1))</f>
        <v/>
      </c>
      <c r="AE73" s="14" t="str">
        <f>IF(ISERROR(HLOOKUP(H73,$BM$19:$BR81,$D73+1)),"",HLOOKUP(H73,$BM$19:$BR81,$D73+1))</f>
        <v/>
      </c>
      <c r="AF73" s="14" t="str">
        <f>IF(ISERROR(HLOOKUP(I73,$BM$19:$BR81,$D73+1)),"",HLOOKUP(I73,$BM$19:$BR81,$D73+1))</f>
        <v/>
      </c>
      <c r="AG73" s="14" t="str">
        <f>IF(ISERROR(HLOOKUP(J73,$BM$19:$BR81,$D73+1)),"",HLOOKUP(J73,$BM$19:$BR81,$D73+1))</f>
        <v/>
      </c>
      <c r="AH73" s="14" t="str">
        <f>IF(ISERROR(HLOOKUP(K73,$BM$19:$BR81,$D73+1)),"",HLOOKUP(K73,$BM$19:$BR81,$D73+1))</f>
        <v/>
      </c>
      <c r="AI73" s="14" t="str">
        <f>IF(ISERROR(HLOOKUP(L73,$BM$19:$BR81,$D73+1)),"",HLOOKUP(L73,$BM$19:$BR81,$D73+1))</f>
        <v/>
      </c>
      <c r="AJ73" s="14" t="str">
        <f>IF(ISERROR(HLOOKUP(M73,$BM$19:$BR81,$D73+1)),"",HLOOKUP(M73,$BM$19:$BR81,$D73+1))</f>
        <v/>
      </c>
      <c r="AK73" s="14" t="str">
        <f>IF(ISERROR(HLOOKUP(N73,$BM$19:$BR81,$D73+1)),"",HLOOKUP(N73,$BM$19:$BR81,$D73+1))</f>
        <v/>
      </c>
      <c r="AL73" s="14" t="str">
        <f>IF(ISERROR(HLOOKUP(O73,$BM$19:$BR81,$D73+1)),"",HLOOKUP(O73,$BM$19:$BR81,$D73+1))</f>
        <v/>
      </c>
      <c r="AM73" s="14" t="str">
        <f>IF(ISERROR(HLOOKUP(P73,$BM$19:$BR81,$D73+1)),"",HLOOKUP(P73,$BM$19:$BR81,$D73+1))</f>
        <v/>
      </c>
      <c r="AN73" s="14" t="str">
        <f>IF(ISERROR(HLOOKUP(Q73,$BM$19:$BR81,$D73+1)),"",HLOOKUP(Q73,$BM$19:$BR81,$D73+1))</f>
        <v/>
      </c>
      <c r="AO73" s="14" t="str">
        <f>IF(ISERROR(HLOOKUP(R73,$BM$19:$BR81,$D73+1)),"",HLOOKUP(R73,$BM$19:$BR81,$D73+1))</f>
        <v/>
      </c>
      <c r="AP73" s="14" t="str">
        <f>IF(ISERROR(HLOOKUP(S73,$BM$19:$BR81,$D73+1)),"",HLOOKUP(S73,$BM$19:$BR81,$D73+1))</f>
        <v/>
      </c>
      <c r="AQ73" s="14" t="str">
        <f>IF(ISERROR(HLOOKUP(T73,$BM$19:$BR81,$D73+1)),"",HLOOKUP(T73,$BM$19:$BR81,$D73+1))</f>
        <v/>
      </c>
      <c r="AR73" s="14" t="str">
        <f>IF(ISERROR(HLOOKUP(U73,$BM$19:$BR81,$D73+1)),"",HLOOKUP(U73,$BM$19:$BR81,$D73+1))</f>
        <v/>
      </c>
      <c r="AS73" s="14" t="str">
        <f>IF(ISERROR(HLOOKUP(V73,$BM$19:$BR81,$D73+1)),"",HLOOKUP(V73,$BM$19:$BR81,$D73+1))</f>
        <v/>
      </c>
      <c r="AT73" s="14" t="str">
        <f>IF(ISERROR(HLOOKUP(W73,$BM$19:$BR81,$D73+1)),"",HLOOKUP(W73,$BM$19:$BR81,$D73+1))</f>
        <v/>
      </c>
      <c r="AU73" s="14" t="str">
        <f>IF(ISERROR(HLOOKUP(X73,$BM$19:$BR81,$D73+1)),"",HLOOKUP(X73,$BM$19:$BR81,$D73+1))</f>
        <v/>
      </c>
      <c r="AV73" s="111" t="s">
        <v>208</v>
      </c>
      <c r="AW73" s="111" t="s">
        <v>208</v>
      </c>
    </row>
    <row r="74" spans="1:53" ht="27" customHeight="1">
      <c r="A74" s="25">
        <v>59</v>
      </c>
      <c r="B74" s="156"/>
      <c r="C74" s="153"/>
      <c r="D74" s="150"/>
      <c r="E74" s="151"/>
      <c r="F74" s="151"/>
      <c r="G74" s="151"/>
      <c r="H74" s="151"/>
      <c r="I74" s="151"/>
      <c r="J74" s="151"/>
      <c r="K74" s="151"/>
      <c r="L74" s="151"/>
      <c r="M74" s="151"/>
      <c r="N74" s="151"/>
      <c r="O74" s="151"/>
      <c r="P74" s="151"/>
      <c r="Q74" s="151"/>
      <c r="R74" s="151"/>
      <c r="S74" s="151"/>
      <c r="T74" s="151"/>
      <c r="U74" s="151"/>
      <c r="V74" s="151"/>
      <c r="W74" s="151"/>
      <c r="X74" s="151"/>
      <c r="Y74" s="163">
        <f t="shared" si="2"/>
        <v>0</v>
      </c>
      <c r="Z74" s="112"/>
      <c r="AA74" s="112"/>
      <c r="AB74" s="14" t="str">
        <f>IF(ISERROR(HLOOKUP(E74,$BM$19:$BR82,$D74+1)),"",HLOOKUP(E74,$BM$19:$BR82,$D74+1))</f>
        <v/>
      </c>
      <c r="AC74" s="14" t="str">
        <f>IF(ISERROR(HLOOKUP(F74,$BM$19:$BR82,$D74+1)),"",HLOOKUP(F74,$BM$19:$BR82,$D74+1))</f>
        <v/>
      </c>
      <c r="AD74" s="14" t="str">
        <f>IF(ISERROR(HLOOKUP(G74,$BM$19:$BR82,$D74+1)),"",HLOOKUP(G74,$BM$19:$BR82,$D74+1))</f>
        <v/>
      </c>
      <c r="AE74" s="14" t="str">
        <f>IF(ISERROR(HLOOKUP(H74,$BM$19:$BR82,$D74+1)),"",HLOOKUP(H74,$BM$19:$BR82,$D74+1))</f>
        <v/>
      </c>
      <c r="AF74" s="14" t="str">
        <f>IF(ISERROR(HLOOKUP(I74,$BM$19:$BR82,$D74+1)),"",HLOOKUP(I74,$BM$19:$BR82,$D74+1))</f>
        <v/>
      </c>
      <c r="AG74" s="14" t="str">
        <f>IF(ISERROR(HLOOKUP(J74,$BM$19:$BR82,$D74+1)),"",HLOOKUP(J74,$BM$19:$BR82,$D74+1))</f>
        <v/>
      </c>
      <c r="AH74" s="14" t="str">
        <f>IF(ISERROR(HLOOKUP(K74,$BM$19:$BR82,$D74+1)),"",HLOOKUP(K74,$BM$19:$BR82,$D74+1))</f>
        <v/>
      </c>
      <c r="AI74" s="14" t="str">
        <f>IF(ISERROR(HLOOKUP(L74,$BM$19:$BR82,$D74+1)),"",HLOOKUP(L74,$BM$19:$BR82,$D74+1))</f>
        <v/>
      </c>
      <c r="AJ74" s="14" t="str">
        <f>IF(ISERROR(HLOOKUP(M74,$BM$19:$BR82,$D74+1)),"",HLOOKUP(M74,$BM$19:$BR82,$D74+1))</f>
        <v/>
      </c>
      <c r="AK74" s="14" t="str">
        <f>IF(ISERROR(HLOOKUP(N74,$BM$19:$BR82,$D74+1)),"",HLOOKUP(N74,$BM$19:$BR82,$D74+1))</f>
        <v/>
      </c>
      <c r="AL74" s="14" t="str">
        <f>IF(ISERROR(HLOOKUP(O74,$BM$19:$BR82,$D74+1)),"",HLOOKUP(O74,$BM$19:$BR82,$D74+1))</f>
        <v/>
      </c>
      <c r="AM74" s="14" t="str">
        <f>IF(ISERROR(HLOOKUP(P74,$BM$19:$BR82,$D74+1)),"",HLOOKUP(P74,$BM$19:$BR82,$D74+1))</f>
        <v/>
      </c>
      <c r="AN74" s="14" t="str">
        <f>IF(ISERROR(HLOOKUP(Q74,$BM$19:$BR82,$D74+1)),"",HLOOKUP(Q74,$BM$19:$BR82,$D74+1))</f>
        <v/>
      </c>
      <c r="AO74" s="14" t="str">
        <f>IF(ISERROR(HLOOKUP(R74,$BM$19:$BR82,$D74+1)),"",HLOOKUP(R74,$BM$19:$BR82,$D74+1))</f>
        <v/>
      </c>
      <c r="AP74" s="14" t="str">
        <f>IF(ISERROR(HLOOKUP(S74,$BM$19:$BR82,$D74+1)),"",HLOOKUP(S74,$BM$19:$BR82,$D74+1))</f>
        <v/>
      </c>
      <c r="AQ74" s="14" t="str">
        <f>IF(ISERROR(HLOOKUP(T74,$BM$19:$BR82,$D74+1)),"",HLOOKUP(T74,$BM$19:$BR82,$D74+1))</f>
        <v/>
      </c>
      <c r="AR74" s="14" t="str">
        <f>IF(ISERROR(HLOOKUP(U74,$BM$19:$BR82,$D74+1)),"",HLOOKUP(U74,$BM$19:$BR82,$D74+1))</f>
        <v/>
      </c>
      <c r="AS74" s="14" t="str">
        <f>IF(ISERROR(HLOOKUP(V74,$BM$19:$BR82,$D74+1)),"",HLOOKUP(V74,$BM$19:$BR82,$D74+1))</f>
        <v/>
      </c>
      <c r="AT74" s="14" t="str">
        <f>IF(ISERROR(HLOOKUP(W74,$BM$19:$BR82,$D74+1)),"",HLOOKUP(W74,$BM$19:$BR82,$D74+1))</f>
        <v/>
      </c>
      <c r="AU74" s="14" t="str">
        <f>IF(ISERROR(HLOOKUP(X74,$BM$19:$BR82,$D74+1)),"",HLOOKUP(X74,$BM$19:$BR82,$D74+1))</f>
        <v/>
      </c>
      <c r="AV74" s="111" t="s">
        <v>208</v>
      </c>
      <c r="AW74" s="111" t="s">
        <v>208</v>
      </c>
    </row>
    <row r="75" spans="1:53" ht="27" customHeight="1">
      <c r="A75" s="25">
        <v>60</v>
      </c>
      <c r="B75" s="156"/>
      <c r="C75" s="153"/>
      <c r="D75" s="150"/>
      <c r="E75" s="151"/>
      <c r="F75" s="151"/>
      <c r="G75" s="151"/>
      <c r="H75" s="151"/>
      <c r="I75" s="151"/>
      <c r="J75" s="151"/>
      <c r="K75" s="151"/>
      <c r="L75" s="151"/>
      <c r="M75" s="151"/>
      <c r="N75" s="151"/>
      <c r="O75" s="151"/>
      <c r="P75" s="151"/>
      <c r="Q75" s="151"/>
      <c r="R75" s="151"/>
      <c r="S75" s="151"/>
      <c r="T75" s="151"/>
      <c r="U75" s="151"/>
      <c r="V75" s="151"/>
      <c r="W75" s="151"/>
      <c r="X75" s="151"/>
      <c r="Y75" s="163">
        <f t="shared" si="2"/>
        <v>0</v>
      </c>
      <c r="Z75" s="112"/>
      <c r="AA75" s="112"/>
      <c r="AB75" s="14" t="str">
        <f>IF(ISERROR(HLOOKUP(E75,$BM$19:$BR83,$D75+1)),"",HLOOKUP(E75,$BM$19:$BR83,$D75+1))</f>
        <v/>
      </c>
      <c r="AC75" s="14" t="str">
        <f>IF(ISERROR(HLOOKUP(F75,$BM$19:$BR83,$D75+1)),"",HLOOKUP(F75,$BM$19:$BR83,$D75+1))</f>
        <v/>
      </c>
      <c r="AD75" s="14" t="str">
        <f>IF(ISERROR(HLOOKUP(G75,$BM$19:$BR83,$D75+1)),"",HLOOKUP(G75,$BM$19:$BR83,$D75+1))</f>
        <v/>
      </c>
      <c r="AE75" s="14" t="str">
        <f>IF(ISERROR(HLOOKUP(H75,$BM$19:$BR83,$D75+1)),"",HLOOKUP(H75,$BM$19:$BR83,$D75+1))</f>
        <v/>
      </c>
      <c r="AF75" s="14" t="str">
        <f>IF(ISERROR(HLOOKUP(I75,$BM$19:$BR83,$D75+1)),"",HLOOKUP(I75,$BM$19:$BR83,$D75+1))</f>
        <v/>
      </c>
      <c r="AG75" s="14" t="str">
        <f>IF(ISERROR(HLOOKUP(J75,$BM$19:$BR83,$D75+1)),"",HLOOKUP(J75,$BM$19:$BR83,$D75+1))</f>
        <v/>
      </c>
      <c r="AH75" s="14" t="str">
        <f>IF(ISERROR(HLOOKUP(K75,$BM$19:$BR83,$D75+1)),"",HLOOKUP(K75,$BM$19:$BR83,$D75+1))</f>
        <v/>
      </c>
      <c r="AI75" s="14" t="str">
        <f>IF(ISERROR(HLOOKUP(L75,$BM$19:$BR83,$D75+1)),"",HLOOKUP(L75,$BM$19:$BR83,$D75+1))</f>
        <v/>
      </c>
      <c r="AJ75" s="14" t="str">
        <f>IF(ISERROR(HLOOKUP(M75,$BM$19:$BR83,$D75+1)),"",HLOOKUP(M75,$BM$19:$BR83,$D75+1))</f>
        <v/>
      </c>
      <c r="AK75" s="14" t="str">
        <f>IF(ISERROR(HLOOKUP(N75,$BM$19:$BR83,$D75+1)),"",HLOOKUP(N75,$BM$19:$BR83,$D75+1))</f>
        <v/>
      </c>
      <c r="AL75" s="14" t="str">
        <f>IF(ISERROR(HLOOKUP(O75,$BM$19:$BR83,$D75+1)),"",HLOOKUP(O75,$BM$19:$BR83,$D75+1))</f>
        <v/>
      </c>
      <c r="AM75" s="14" t="str">
        <f>IF(ISERROR(HLOOKUP(P75,$BM$19:$BR83,$D75+1)),"",HLOOKUP(P75,$BM$19:$BR83,$D75+1))</f>
        <v/>
      </c>
      <c r="AN75" s="14" t="str">
        <f>IF(ISERROR(HLOOKUP(Q75,$BM$19:$BR83,$D75+1)),"",HLOOKUP(Q75,$BM$19:$BR83,$D75+1))</f>
        <v/>
      </c>
      <c r="AO75" s="14" t="str">
        <f>IF(ISERROR(HLOOKUP(R75,$BM$19:$BR83,$D75+1)),"",HLOOKUP(R75,$BM$19:$BR83,$D75+1))</f>
        <v/>
      </c>
      <c r="AP75" s="14" t="str">
        <f>IF(ISERROR(HLOOKUP(S75,$BM$19:$BR83,$D75+1)),"",HLOOKUP(S75,$BM$19:$BR83,$D75+1))</f>
        <v/>
      </c>
      <c r="AQ75" s="14" t="str">
        <f>IF(ISERROR(HLOOKUP(T75,$BM$19:$BR83,$D75+1)),"",HLOOKUP(T75,$BM$19:$BR83,$D75+1))</f>
        <v/>
      </c>
      <c r="AR75" s="14" t="str">
        <f>IF(ISERROR(HLOOKUP(U75,$BM$19:$BR83,$D75+1)),"",HLOOKUP(U75,$BM$19:$BR83,$D75+1))</f>
        <v/>
      </c>
      <c r="AS75" s="14" t="str">
        <f>IF(ISERROR(HLOOKUP(V75,$BM$19:$BR83,$D75+1)),"",HLOOKUP(V75,$BM$19:$BR83,$D75+1))</f>
        <v/>
      </c>
      <c r="AT75" s="14" t="str">
        <f>IF(ISERROR(HLOOKUP(W75,$BM$19:$BR83,$D75+1)),"",HLOOKUP(W75,$BM$19:$BR83,$D75+1))</f>
        <v/>
      </c>
      <c r="AU75" s="14" t="str">
        <f>IF(ISERROR(HLOOKUP(X75,$BM$19:$BR83,$D75+1)),"",HLOOKUP(X75,$BM$19:$BR83,$D75+1))</f>
        <v/>
      </c>
      <c r="AV75" s="111" t="s">
        <v>208</v>
      </c>
      <c r="AW75" s="111" t="s">
        <v>208</v>
      </c>
    </row>
    <row r="76" spans="1:53" ht="27" customHeight="1">
      <c r="A76" s="25">
        <v>61</v>
      </c>
      <c r="B76" s="156"/>
      <c r="C76" s="153"/>
      <c r="D76" s="150"/>
      <c r="E76" s="151"/>
      <c r="F76" s="151"/>
      <c r="G76" s="151"/>
      <c r="H76" s="151"/>
      <c r="I76" s="151"/>
      <c r="J76" s="151"/>
      <c r="K76" s="151"/>
      <c r="L76" s="151"/>
      <c r="M76" s="151"/>
      <c r="N76" s="151"/>
      <c r="O76" s="151"/>
      <c r="P76" s="151"/>
      <c r="Q76" s="151"/>
      <c r="R76" s="151"/>
      <c r="S76" s="151"/>
      <c r="T76" s="151"/>
      <c r="U76" s="151"/>
      <c r="V76" s="151"/>
      <c r="W76" s="151"/>
      <c r="X76" s="151"/>
      <c r="Y76" s="163">
        <f t="shared" si="2"/>
        <v>0</v>
      </c>
      <c r="Z76" s="112"/>
      <c r="AA76" s="112"/>
      <c r="AB76" s="14" t="str">
        <f>IF(ISERROR(HLOOKUP(E76,$BM$19:$BR84,$D76+1)),"",HLOOKUP(E76,$BM$19:$BR84,$D76+1))</f>
        <v/>
      </c>
      <c r="AC76" s="14" t="str">
        <f>IF(ISERROR(HLOOKUP(F76,$BM$19:$BR84,$D76+1)),"",HLOOKUP(F76,$BM$19:$BR84,$D76+1))</f>
        <v/>
      </c>
      <c r="AD76" s="14" t="str">
        <f>IF(ISERROR(HLOOKUP(G76,$BM$19:$BR84,$D76+1)),"",HLOOKUP(G76,$BM$19:$BR84,$D76+1))</f>
        <v/>
      </c>
      <c r="AE76" s="14" t="str">
        <f>IF(ISERROR(HLOOKUP(H76,$BM$19:$BR84,$D76+1)),"",HLOOKUP(H76,$BM$19:$BR84,$D76+1))</f>
        <v/>
      </c>
      <c r="AF76" s="14" t="str">
        <f>IF(ISERROR(HLOOKUP(I76,$BM$19:$BR84,$D76+1)),"",HLOOKUP(I76,$BM$19:$BR84,$D76+1))</f>
        <v/>
      </c>
      <c r="AG76" s="14" t="str">
        <f>IF(ISERROR(HLOOKUP(J76,$BM$19:$BR84,$D76+1)),"",HLOOKUP(J76,$BM$19:$BR84,$D76+1))</f>
        <v/>
      </c>
      <c r="AH76" s="14" t="str">
        <f>IF(ISERROR(HLOOKUP(K76,$BM$19:$BR84,$D76+1)),"",HLOOKUP(K76,$BM$19:$BR84,$D76+1))</f>
        <v/>
      </c>
      <c r="AI76" s="14" t="str">
        <f>IF(ISERROR(HLOOKUP(L76,$BM$19:$BR84,$D76+1)),"",HLOOKUP(L76,$BM$19:$BR84,$D76+1))</f>
        <v/>
      </c>
      <c r="AJ76" s="14" t="str">
        <f>IF(ISERROR(HLOOKUP(M76,$BM$19:$BR84,$D76+1)),"",HLOOKUP(M76,$BM$19:$BR84,$D76+1))</f>
        <v/>
      </c>
      <c r="AK76" s="14" t="str">
        <f>IF(ISERROR(HLOOKUP(N76,$BM$19:$BR84,$D76+1)),"",HLOOKUP(N76,$BM$19:$BR84,$D76+1))</f>
        <v/>
      </c>
      <c r="AL76" s="14" t="str">
        <f>IF(ISERROR(HLOOKUP(O76,$BM$19:$BR84,$D76+1)),"",HLOOKUP(O76,$BM$19:$BR84,$D76+1))</f>
        <v/>
      </c>
      <c r="AM76" s="14" t="str">
        <f>IF(ISERROR(HLOOKUP(P76,$BM$19:$BR84,$D76+1)),"",HLOOKUP(P76,$BM$19:$BR84,$D76+1))</f>
        <v/>
      </c>
      <c r="AN76" s="14" t="str">
        <f>IF(ISERROR(HLOOKUP(Q76,$BM$19:$BR84,$D76+1)),"",HLOOKUP(Q76,$BM$19:$BR84,$D76+1))</f>
        <v/>
      </c>
      <c r="AO76" s="14" t="str">
        <f>IF(ISERROR(HLOOKUP(R76,$BM$19:$BR84,$D76+1)),"",HLOOKUP(R76,$BM$19:$BR84,$D76+1))</f>
        <v/>
      </c>
      <c r="AP76" s="14" t="str">
        <f>IF(ISERROR(HLOOKUP(S76,$BM$19:$BR84,$D76+1)),"",HLOOKUP(S76,$BM$19:$BR84,$D76+1))</f>
        <v/>
      </c>
      <c r="AQ76" s="14" t="str">
        <f>IF(ISERROR(HLOOKUP(T76,$BM$19:$BR84,$D76+1)),"",HLOOKUP(T76,$BM$19:$BR84,$D76+1))</f>
        <v/>
      </c>
      <c r="AR76" s="14" t="str">
        <f>IF(ISERROR(HLOOKUP(U76,$BM$19:$BR84,$D76+1)),"",HLOOKUP(U76,$BM$19:$BR84,$D76+1))</f>
        <v/>
      </c>
      <c r="AS76" s="14" t="str">
        <f>IF(ISERROR(HLOOKUP(V76,$BM$19:$BR84,$D76+1)),"",HLOOKUP(V76,$BM$19:$BR84,$D76+1))</f>
        <v/>
      </c>
      <c r="AT76" s="14" t="str">
        <f>IF(ISERROR(HLOOKUP(W76,$BM$19:$BR84,$D76+1)),"",HLOOKUP(W76,$BM$19:$BR84,$D76+1))</f>
        <v/>
      </c>
      <c r="AU76" s="14" t="str">
        <f>IF(ISERROR(HLOOKUP(X76,$BM$19:$BR84,$D76+1)),"",HLOOKUP(X76,$BM$19:$BR84,$D76+1))</f>
        <v/>
      </c>
      <c r="AV76" s="111" t="s">
        <v>208</v>
      </c>
      <c r="AW76" s="111" t="s">
        <v>208</v>
      </c>
    </row>
    <row r="77" spans="1:53" ht="27" customHeight="1">
      <c r="A77" s="25">
        <v>62</v>
      </c>
      <c r="B77" s="156"/>
      <c r="C77" s="153"/>
      <c r="D77" s="150"/>
      <c r="E77" s="151"/>
      <c r="F77" s="151"/>
      <c r="G77" s="151"/>
      <c r="H77" s="151"/>
      <c r="I77" s="151"/>
      <c r="J77" s="151"/>
      <c r="K77" s="151"/>
      <c r="L77" s="151"/>
      <c r="M77" s="151"/>
      <c r="N77" s="151"/>
      <c r="O77" s="151"/>
      <c r="P77" s="151"/>
      <c r="Q77" s="151"/>
      <c r="R77" s="151"/>
      <c r="S77" s="151"/>
      <c r="T77" s="151"/>
      <c r="U77" s="151"/>
      <c r="V77" s="151"/>
      <c r="W77" s="151"/>
      <c r="X77" s="151"/>
      <c r="Y77" s="163">
        <f t="shared" si="2"/>
        <v>0</v>
      </c>
      <c r="Z77" s="112"/>
      <c r="AA77" s="112"/>
      <c r="AB77" s="14" t="str">
        <f>IF(ISERROR(HLOOKUP(E77,$BM$19:$BR85,$D77+1)),"",HLOOKUP(E77,$BM$19:$BR85,$D77+1))</f>
        <v/>
      </c>
      <c r="AC77" s="14" t="str">
        <f>IF(ISERROR(HLOOKUP(F77,$BM$19:$BR85,$D77+1)),"",HLOOKUP(F77,$BM$19:$BR85,$D77+1))</f>
        <v/>
      </c>
      <c r="AD77" s="14" t="str">
        <f>IF(ISERROR(HLOOKUP(G77,$BM$19:$BR85,$D77+1)),"",HLOOKUP(G77,$BM$19:$BR85,$D77+1))</f>
        <v/>
      </c>
      <c r="AE77" s="14" t="str">
        <f>IF(ISERROR(HLOOKUP(H77,$BM$19:$BR85,$D77+1)),"",HLOOKUP(H77,$BM$19:$BR85,$D77+1))</f>
        <v/>
      </c>
      <c r="AF77" s="14" t="str">
        <f>IF(ISERROR(HLOOKUP(I77,$BM$19:$BR85,$D77+1)),"",HLOOKUP(I77,$BM$19:$BR85,$D77+1))</f>
        <v/>
      </c>
      <c r="AG77" s="14" t="str">
        <f>IF(ISERROR(HLOOKUP(J77,$BM$19:$BR85,$D77+1)),"",HLOOKUP(J77,$BM$19:$BR85,$D77+1))</f>
        <v/>
      </c>
      <c r="AH77" s="14" t="str">
        <f>IF(ISERROR(HLOOKUP(K77,$BM$19:$BR85,$D77+1)),"",HLOOKUP(K77,$BM$19:$BR85,$D77+1))</f>
        <v/>
      </c>
      <c r="AI77" s="14" t="str">
        <f>IF(ISERROR(HLOOKUP(L77,$BM$19:$BR85,$D77+1)),"",HLOOKUP(L77,$BM$19:$BR85,$D77+1))</f>
        <v/>
      </c>
      <c r="AJ77" s="14" t="str">
        <f>IF(ISERROR(HLOOKUP(M77,$BM$19:$BR85,$D77+1)),"",HLOOKUP(M77,$BM$19:$BR85,$D77+1))</f>
        <v/>
      </c>
      <c r="AK77" s="14" t="str">
        <f>IF(ISERROR(HLOOKUP(N77,$BM$19:$BR85,$D77+1)),"",HLOOKUP(N77,$BM$19:$BR85,$D77+1))</f>
        <v/>
      </c>
      <c r="AL77" s="14" t="str">
        <f>IF(ISERROR(HLOOKUP(O77,$BM$19:$BR85,$D77+1)),"",HLOOKUP(O77,$BM$19:$BR85,$D77+1))</f>
        <v/>
      </c>
      <c r="AM77" s="14" t="str">
        <f>IF(ISERROR(HLOOKUP(P77,$BM$19:$BR85,$D77+1)),"",HLOOKUP(P77,$BM$19:$BR85,$D77+1))</f>
        <v/>
      </c>
      <c r="AN77" s="14" t="str">
        <f>IF(ISERROR(HLOOKUP(Q77,$BM$19:$BR85,$D77+1)),"",HLOOKUP(Q77,$BM$19:$BR85,$D77+1))</f>
        <v/>
      </c>
      <c r="AO77" s="14" t="str">
        <f>IF(ISERROR(HLOOKUP(R77,$BM$19:$BR85,$D77+1)),"",HLOOKUP(R77,$BM$19:$BR85,$D77+1))</f>
        <v/>
      </c>
      <c r="AP77" s="14" t="str">
        <f>IF(ISERROR(HLOOKUP(S77,$BM$19:$BR85,$D77+1)),"",HLOOKUP(S77,$BM$19:$BR85,$D77+1))</f>
        <v/>
      </c>
      <c r="AQ77" s="14" t="str">
        <f>IF(ISERROR(HLOOKUP(T77,$BM$19:$BR85,$D77+1)),"",HLOOKUP(T77,$BM$19:$BR85,$D77+1))</f>
        <v/>
      </c>
      <c r="AR77" s="14" t="str">
        <f>IF(ISERROR(HLOOKUP(U77,$BM$19:$BR85,$D77+1)),"",HLOOKUP(U77,$BM$19:$BR85,$D77+1))</f>
        <v/>
      </c>
      <c r="AS77" s="14" t="str">
        <f>IF(ISERROR(HLOOKUP(V77,$BM$19:$BR85,$D77+1)),"",HLOOKUP(V77,$BM$19:$BR85,$D77+1))</f>
        <v/>
      </c>
      <c r="AT77" s="14" t="str">
        <f>IF(ISERROR(HLOOKUP(W77,$BM$19:$BR85,$D77+1)),"",HLOOKUP(W77,$BM$19:$BR85,$D77+1))</f>
        <v/>
      </c>
      <c r="AU77" s="14" t="str">
        <f>IF(ISERROR(HLOOKUP(X77,$BM$19:$BR85,$D77+1)),"",HLOOKUP(X77,$BM$19:$BR85,$D77+1))</f>
        <v/>
      </c>
      <c r="AV77" s="111" t="s">
        <v>208</v>
      </c>
      <c r="AW77" s="111" t="s">
        <v>208</v>
      </c>
    </row>
    <row r="78" spans="1:53" ht="27" customHeight="1">
      <c r="A78" s="25">
        <v>63</v>
      </c>
      <c r="B78" s="156"/>
      <c r="C78" s="153"/>
      <c r="D78" s="150"/>
      <c r="E78" s="151"/>
      <c r="F78" s="151"/>
      <c r="G78" s="151"/>
      <c r="H78" s="151"/>
      <c r="I78" s="151"/>
      <c r="J78" s="151"/>
      <c r="K78" s="151"/>
      <c r="L78" s="151"/>
      <c r="M78" s="151"/>
      <c r="N78" s="151"/>
      <c r="O78" s="151"/>
      <c r="P78" s="151"/>
      <c r="Q78" s="151"/>
      <c r="R78" s="151"/>
      <c r="S78" s="151"/>
      <c r="T78" s="151"/>
      <c r="U78" s="151"/>
      <c r="V78" s="151"/>
      <c r="W78" s="151"/>
      <c r="X78" s="151"/>
      <c r="Y78" s="163">
        <f t="shared" si="2"/>
        <v>0</v>
      </c>
      <c r="Z78" s="112"/>
      <c r="AA78" s="112"/>
      <c r="AB78" s="14" t="str">
        <f>IF(ISERROR(HLOOKUP(E78,$BM$19:$BR86,$D78+1)),"",HLOOKUP(E78,$BM$19:$BR86,$D78+1))</f>
        <v/>
      </c>
      <c r="AC78" s="14" t="str">
        <f>IF(ISERROR(HLOOKUP(F78,$BM$19:$BR86,$D78+1)),"",HLOOKUP(F78,$BM$19:$BR86,$D78+1))</f>
        <v/>
      </c>
      <c r="AD78" s="14" t="str">
        <f>IF(ISERROR(HLOOKUP(G78,$BM$19:$BR86,$D78+1)),"",HLOOKUP(G78,$BM$19:$BR86,$D78+1))</f>
        <v/>
      </c>
      <c r="AE78" s="14" t="str">
        <f>IF(ISERROR(HLOOKUP(H78,$BM$19:$BR86,$D78+1)),"",HLOOKUP(H78,$BM$19:$BR86,$D78+1))</f>
        <v/>
      </c>
      <c r="AF78" s="14" t="str">
        <f>IF(ISERROR(HLOOKUP(I78,$BM$19:$BR86,$D78+1)),"",HLOOKUP(I78,$BM$19:$BR86,$D78+1))</f>
        <v/>
      </c>
      <c r="AG78" s="14" t="str">
        <f>IF(ISERROR(HLOOKUP(J78,$BM$19:$BR86,$D78+1)),"",HLOOKUP(J78,$BM$19:$BR86,$D78+1))</f>
        <v/>
      </c>
      <c r="AH78" s="14" t="str">
        <f>IF(ISERROR(HLOOKUP(K78,$BM$19:$BR86,$D78+1)),"",HLOOKUP(K78,$BM$19:$BR86,$D78+1))</f>
        <v/>
      </c>
      <c r="AI78" s="14" t="str">
        <f>IF(ISERROR(HLOOKUP(L78,$BM$19:$BR86,$D78+1)),"",HLOOKUP(L78,$BM$19:$BR86,$D78+1))</f>
        <v/>
      </c>
      <c r="AJ78" s="14" t="str">
        <f>IF(ISERROR(HLOOKUP(M78,$BM$19:$BR86,$D78+1)),"",HLOOKUP(M78,$BM$19:$BR86,$D78+1))</f>
        <v/>
      </c>
      <c r="AK78" s="14" t="str">
        <f>IF(ISERROR(HLOOKUP(N78,$BM$19:$BR86,$D78+1)),"",HLOOKUP(N78,$BM$19:$BR86,$D78+1))</f>
        <v/>
      </c>
      <c r="AL78" s="14" t="str">
        <f>IF(ISERROR(HLOOKUP(O78,$BM$19:$BR86,$D78+1)),"",HLOOKUP(O78,$BM$19:$BR86,$D78+1))</f>
        <v/>
      </c>
      <c r="AM78" s="14" t="str">
        <f>IF(ISERROR(HLOOKUP(P78,$BM$19:$BR86,$D78+1)),"",HLOOKUP(P78,$BM$19:$BR86,$D78+1))</f>
        <v/>
      </c>
      <c r="AN78" s="14" t="str">
        <f>IF(ISERROR(HLOOKUP(Q78,$BM$19:$BR86,$D78+1)),"",HLOOKUP(Q78,$BM$19:$BR86,$D78+1))</f>
        <v/>
      </c>
      <c r="AO78" s="14" t="str">
        <f>IF(ISERROR(HLOOKUP(R78,$BM$19:$BR86,$D78+1)),"",HLOOKUP(R78,$BM$19:$BR86,$D78+1))</f>
        <v/>
      </c>
      <c r="AP78" s="14" t="str">
        <f>IF(ISERROR(HLOOKUP(S78,$BM$19:$BR86,$D78+1)),"",HLOOKUP(S78,$BM$19:$BR86,$D78+1))</f>
        <v/>
      </c>
      <c r="AQ78" s="14" t="str">
        <f>IF(ISERROR(HLOOKUP(T78,$BM$19:$BR86,$D78+1)),"",HLOOKUP(T78,$BM$19:$BR86,$D78+1))</f>
        <v/>
      </c>
      <c r="AR78" s="14" t="str">
        <f>IF(ISERROR(HLOOKUP(U78,$BM$19:$BR86,$D78+1)),"",HLOOKUP(U78,$BM$19:$BR86,$D78+1))</f>
        <v/>
      </c>
      <c r="AS78" s="14" t="str">
        <f>IF(ISERROR(HLOOKUP(V78,$BM$19:$BR86,$D78+1)),"",HLOOKUP(V78,$BM$19:$BR86,$D78+1))</f>
        <v/>
      </c>
      <c r="AT78" s="14" t="str">
        <f>IF(ISERROR(HLOOKUP(W78,$BM$19:$BR86,$D78+1)),"",HLOOKUP(W78,$BM$19:$BR86,$D78+1))</f>
        <v/>
      </c>
      <c r="AU78" s="14" t="str">
        <f>IF(ISERROR(HLOOKUP(X78,$BM$19:$BR86,$D78+1)),"",HLOOKUP(X78,$BM$19:$BR86,$D78+1))</f>
        <v/>
      </c>
      <c r="AV78" s="111" t="s">
        <v>208</v>
      </c>
      <c r="AW78" s="111" t="s">
        <v>208</v>
      </c>
    </row>
    <row r="79" spans="1:53" ht="27" customHeight="1">
      <c r="A79" s="25">
        <v>64</v>
      </c>
      <c r="B79" s="156"/>
      <c r="C79" s="153"/>
      <c r="D79" s="150"/>
      <c r="E79" s="151"/>
      <c r="F79" s="151"/>
      <c r="G79" s="151"/>
      <c r="H79" s="151"/>
      <c r="I79" s="151"/>
      <c r="J79" s="151"/>
      <c r="K79" s="151"/>
      <c r="L79" s="151"/>
      <c r="M79" s="151"/>
      <c r="N79" s="151"/>
      <c r="O79" s="151"/>
      <c r="P79" s="151"/>
      <c r="Q79" s="151"/>
      <c r="R79" s="151"/>
      <c r="S79" s="151"/>
      <c r="T79" s="151"/>
      <c r="U79" s="151"/>
      <c r="V79" s="151"/>
      <c r="W79" s="151"/>
      <c r="X79" s="151"/>
      <c r="Y79" s="163">
        <f t="shared" si="2"/>
        <v>0</v>
      </c>
      <c r="Z79" s="112"/>
      <c r="AA79" s="112"/>
      <c r="AB79" s="14" t="str">
        <f>IF(ISERROR(HLOOKUP(E79,$BM$19:$BR87,$D79+1)),"",HLOOKUP(E79,$BM$19:$BR87,$D79+1))</f>
        <v/>
      </c>
      <c r="AC79" s="14" t="str">
        <f>IF(ISERROR(HLOOKUP(F79,$BM$19:$BR87,$D79+1)),"",HLOOKUP(F79,$BM$19:$BR87,$D79+1))</f>
        <v/>
      </c>
      <c r="AD79" s="14" t="str">
        <f>IF(ISERROR(HLOOKUP(G79,$BM$19:$BR87,$D79+1)),"",HLOOKUP(G79,$BM$19:$BR87,$D79+1))</f>
        <v/>
      </c>
      <c r="AE79" s="14" t="str">
        <f>IF(ISERROR(HLOOKUP(H79,$BM$19:$BR87,$D79+1)),"",HLOOKUP(H79,$BM$19:$BR87,$D79+1))</f>
        <v/>
      </c>
      <c r="AF79" s="14" t="str">
        <f>IF(ISERROR(HLOOKUP(I79,$BM$19:$BR87,$D79+1)),"",HLOOKUP(I79,$BM$19:$BR87,$D79+1))</f>
        <v/>
      </c>
      <c r="AG79" s="14" t="str">
        <f>IF(ISERROR(HLOOKUP(J79,$BM$19:$BR87,$D79+1)),"",HLOOKUP(J79,$BM$19:$BR87,$D79+1))</f>
        <v/>
      </c>
      <c r="AH79" s="14" t="str">
        <f>IF(ISERROR(HLOOKUP(K79,$BM$19:$BR87,$D79+1)),"",HLOOKUP(K79,$BM$19:$BR87,$D79+1))</f>
        <v/>
      </c>
      <c r="AI79" s="14" t="str">
        <f>IF(ISERROR(HLOOKUP(L79,$BM$19:$BR87,$D79+1)),"",HLOOKUP(L79,$BM$19:$BR87,$D79+1))</f>
        <v/>
      </c>
      <c r="AJ79" s="14" t="str">
        <f>IF(ISERROR(HLOOKUP(M79,$BM$19:$BR87,$D79+1)),"",HLOOKUP(M79,$BM$19:$BR87,$D79+1))</f>
        <v/>
      </c>
      <c r="AK79" s="14" t="str">
        <f>IF(ISERROR(HLOOKUP(N79,$BM$19:$BR87,$D79+1)),"",HLOOKUP(N79,$BM$19:$BR87,$D79+1))</f>
        <v/>
      </c>
      <c r="AL79" s="14" t="str">
        <f>IF(ISERROR(HLOOKUP(O79,$BM$19:$BR87,$D79+1)),"",HLOOKUP(O79,$BM$19:$BR87,$D79+1))</f>
        <v/>
      </c>
      <c r="AM79" s="14" t="str">
        <f>IF(ISERROR(HLOOKUP(P79,$BM$19:$BR87,$D79+1)),"",HLOOKUP(P79,$BM$19:$BR87,$D79+1))</f>
        <v/>
      </c>
      <c r="AN79" s="14" t="str">
        <f>IF(ISERROR(HLOOKUP(Q79,$BM$19:$BR87,$D79+1)),"",HLOOKUP(Q79,$BM$19:$BR87,$D79+1))</f>
        <v/>
      </c>
      <c r="AO79" s="14" t="str">
        <f>IF(ISERROR(HLOOKUP(R79,$BM$19:$BR87,$D79+1)),"",HLOOKUP(R79,$BM$19:$BR87,$D79+1))</f>
        <v/>
      </c>
      <c r="AP79" s="14" t="str">
        <f>IF(ISERROR(HLOOKUP(S79,$BM$19:$BR87,$D79+1)),"",HLOOKUP(S79,$BM$19:$BR87,$D79+1))</f>
        <v/>
      </c>
      <c r="AQ79" s="14" t="str">
        <f>IF(ISERROR(HLOOKUP(T79,$BM$19:$BR87,$D79+1)),"",HLOOKUP(T79,$BM$19:$BR87,$D79+1))</f>
        <v/>
      </c>
      <c r="AR79" s="14" t="str">
        <f>IF(ISERROR(HLOOKUP(U79,$BM$19:$BR87,$D79+1)),"",HLOOKUP(U79,$BM$19:$BR87,$D79+1))</f>
        <v/>
      </c>
      <c r="AS79" s="14" t="str">
        <f>IF(ISERROR(HLOOKUP(V79,$BM$19:$BR87,$D79+1)),"",HLOOKUP(V79,$BM$19:$BR87,$D79+1))</f>
        <v/>
      </c>
      <c r="AT79" s="14" t="str">
        <f>IF(ISERROR(HLOOKUP(W79,$BM$19:$BR87,$D79+1)),"",HLOOKUP(W79,$BM$19:$BR87,$D79+1))</f>
        <v/>
      </c>
      <c r="AU79" s="14" t="str">
        <f>IF(ISERROR(HLOOKUP(X79,$BM$19:$BR87,$D79+1)),"",HLOOKUP(X79,$BM$19:$BR87,$D79+1))</f>
        <v/>
      </c>
      <c r="AV79" s="111" t="s">
        <v>208</v>
      </c>
      <c r="AW79" s="111" t="s">
        <v>208</v>
      </c>
    </row>
    <row r="80" spans="1:53" ht="27" customHeight="1">
      <c r="A80" s="25">
        <v>65</v>
      </c>
      <c r="B80" s="156"/>
      <c r="C80" s="153"/>
      <c r="D80" s="150"/>
      <c r="E80" s="151"/>
      <c r="F80" s="151"/>
      <c r="G80" s="151"/>
      <c r="H80" s="151"/>
      <c r="I80" s="151"/>
      <c r="J80" s="151"/>
      <c r="K80" s="151"/>
      <c r="L80" s="151"/>
      <c r="M80" s="151"/>
      <c r="N80" s="151"/>
      <c r="O80" s="151"/>
      <c r="P80" s="151"/>
      <c r="Q80" s="151"/>
      <c r="R80" s="151"/>
      <c r="S80" s="151"/>
      <c r="T80" s="151"/>
      <c r="U80" s="151"/>
      <c r="V80" s="151"/>
      <c r="W80" s="151"/>
      <c r="X80" s="151"/>
      <c r="Y80" s="163">
        <f t="shared" si="2"/>
        <v>0</v>
      </c>
      <c r="Z80" s="112"/>
      <c r="AA80" s="112"/>
      <c r="AB80" s="14" t="str">
        <f>IF(ISERROR(HLOOKUP(E80,$BM$19:$BR88,$D80+1)),"",HLOOKUP(E80,$BM$19:$BR88,$D80+1))</f>
        <v/>
      </c>
      <c r="AC80" s="14" t="str">
        <f>IF(ISERROR(HLOOKUP(F80,$BM$19:$BR88,$D80+1)),"",HLOOKUP(F80,$BM$19:$BR88,$D80+1))</f>
        <v/>
      </c>
      <c r="AD80" s="14" t="str">
        <f>IF(ISERROR(HLOOKUP(G80,$BM$19:$BR88,$D80+1)),"",HLOOKUP(G80,$BM$19:$BR88,$D80+1))</f>
        <v/>
      </c>
      <c r="AE80" s="14" t="str">
        <f>IF(ISERROR(HLOOKUP(H80,$BM$19:$BR88,$D80+1)),"",HLOOKUP(H80,$BM$19:$BR88,$D80+1))</f>
        <v/>
      </c>
      <c r="AF80" s="14" t="str">
        <f>IF(ISERROR(HLOOKUP(I80,$BM$19:$BR88,$D80+1)),"",HLOOKUP(I80,$BM$19:$BR88,$D80+1))</f>
        <v/>
      </c>
      <c r="AG80" s="14" t="str">
        <f>IF(ISERROR(HLOOKUP(J80,$BM$19:$BR88,$D80+1)),"",HLOOKUP(J80,$BM$19:$BR88,$D80+1))</f>
        <v/>
      </c>
      <c r="AH80" s="14" t="str">
        <f>IF(ISERROR(HLOOKUP(K80,$BM$19:$BR88,$D80+1)),"",HLOOKUP(K80,$BM$19:$BR88,$D80+1))</f>
        <v/>
      </c>
      <c r="AI80" s="14" t="str">
        <f>IF(ISERROR(HLOOKUP(L80,$BM$19:$BR88,$D80+1)),"",HLOOKUP(L80,$BM$19:$BR88,$D80+1))</f>
        <v/>
      </c>
      <c r="AJ80" s="14" t="str">
        <f>IF(ISERROR(HLOOKUP(M80,$BM$19:$BR88,$D80+1)),"",HLOOKUP(M80,$BM$19:$BR88,$D80+1))</f>
        <v/>
      </c>
      <c r="AK80" s="14" t="str">
        <f>IF(ISERROR(HLOOKUP(N80,$BM$19:$BR88,$D80+1)),"",HLOOKUP(N80,$BM$19:$BR88,$D80+1))</f>
        <v/>
      </c>
      <c r="AL80" s="14" t="str">
        <f>IF(ISERROR(HLOOKUP(O80,$BM$19:$BR88,$D80+1)),"",HLOOKUP(O80,$BM$19:$BR88,$D80+1))</f>
        <v/>
      </c>
      <c r="AM80" s="14" t="str">
        <f>IF(ISERROR(HLOOKUP(P80,$BM$19:$BR88,$D80+1)),"",HLOOKUP(P80,$BM$19:$BR88,$D80+1))</f>
        <v/>
      </c>
      <c r="AN80" s="14" t="str">
        <f>IF(ISERROR(HLOOKUP(Q80,$BM$19:$BR88,$D80+1)),"",HLOOKUP(Q80,$BM$19:$BR88,$D80+1))</f>
        <v/>
      </c>
      <c r="AO80" s="14" t="str">
        <f>IF(ISERROR(HLOOKUP(R80,$BM$19:$BR88,$D80+1)),"",HLOOKUP(R80,$BM$19:$BR88,$D80+1))</f>
        <v/>
      </c>
      <c r="AP80" s="14" t="str">
        <f>IF(ISERROR(HLOOKUP(S80,$BM$19:$BR88,$D80+1)),"",HLOOKUP(S80,$BM$19:$BR88,$D80+1))</f>
        <v/>
      </c>
      <c r="AQ80" s="14" t="str">
        <f>IF(ISERROR(HLOOKUP(T80,$BM$19:$BR88,$D80+1)),"",HLOOKUP(T80,$BM$19:$BR88,$D80+1))</f>
        <v/>
      </c>
      <c r="AR80" s="14" t="str">
        <f>IF(ISERROR(HLOOKUP(U80,$BM$19:$BR88,$D80+1)),"",HLOOKUP(U80,$BM$19:$BR88,$D80+1))</f>
        <v/>
      </c>
      <c r="AS80" s="14" t="str">
        <f>IF(ISERROR(HLOOKUP(V80,$BM$19:$BR88,$D80+1)),"",HLOOKUP(V80,$BM$19:$BR88,$D80+1))</f>
        <v/>
      </c>
      <c r="AT80" s="14" t="str">
        <f>IF(ISERROR(HLOOKUP(W80,$BM$19:$BR88,$D80+1)),"",HLOOKUP(W80,$BM$19:$BR88,$D80+1))</f>
        <v/>
      </c>
      <c r="AU80" s="14" t="str">
        <f>IF(ISERROR(HLOOKUP(X80,$BM$19:$BR88,$D80+1)),"",HLOOKUP(X80,$BM$19:$BR88,$D80+1))</f>
        <v/>
      </c>
      <c r="AV80" s="111" t="s">
        <v>208</v>
      </c>
      <c r="AW80" s="111" t="s">
        <v>208</v>
      </c>
    </row>
    <row r="81" spans="1:49" ht="27" customHeight="1">
      <c r="A81" s="25">
        <v>66</v>
      </c>
      <c r="B81" s="156"/>
      <c r="C81" s="153"/>
      <c r="D81" s="150"/>
      <c r="E81" s="151"/>
      <c r="F81" s="151"/>
      <c r="G81" s="151"/>
      <c r="H81" s="151"/>
      <c r="I81" s="151"/>
      <c r="J81" s="151"/>
      <c r="K81" s="151"/>
      <c r="L81" s="151"/>
      <c r="M81" s="151"/>
      <c r="N81" s="151"/>
      <c r="O81" s="151"/>
      <c r="P81" s="151"/>
      <c r="Q81" s="151"/>
      <c r="R81" s="151"/>
      <c r="S81" s="151"/>
      <c r="T81" s="151"/>
      <c r="U81" s="151"/>
      <c r="V81" s="151"/>
      <c r="W81" s="151"/>
      <c r="X81" s="151"/>
      <c r="Y81" s="163">
        <f t="shared" ref="Y81:Y115" si="3">SUM(AB81:AW81)</f>
        <v>0</v>
      </c>
      <c r="Z81" s="112"/>
      <c r="AA81" s="112"/>
      <c r="AB81" s="14" t="str">
        <f>IF(ISERROR(HLOOKUP(E81,$BM$19:$BR89,$D81+1)),"",HLOOKUP(E81,$BM$19:$BR89,$D81+1))</f>
        <v/>
      </c>
      <c r="AC81" s="14" t="str">
        <f>IF(ISERROR(HLOOKUP(F81,$BM$19:$BR89,$D81+1)),"",HLOOKUP(F81,$BM$19:$BR89,$D81+1))</f>
        <v/>
      </c>
      <c r="AD81" s="14" t="str">
        <f>IF(ISERROR(HLOOKUP(G81,$BM$19:$BR89,$D81+1)),"",HLOOKUP(G81,$BM$19:$BR89,$D81+1))</f>
        <v/>
      </c>
      <c r="AE81" s="14" t="str">
        <f>IF(ISERROR(HLOOKUP(H81,$BM$19:$BR89,$D81+1)),"",HLOOKUP(H81,$BM$19:$BR89,$D81+1))</f>
        <v/>
      </c>
      <c r="AF81" s="14" t="str">
        <f>IF(ISERROR(HLOOKUP(I81,$BM$19:$BR89,$D81+1)),"",HLOOKUP(I81,$BM$19:$BR89,$D81+1))</f>
        <v/>
      </c>
      <c r="AG81" s="14" t="str">
        <f>IF(ISERROR(HLOOKUP(J81,$BM$19:$BR89,$D81+1)),"",HLOOKUP(J81,$BM$19:$BR89,$D81+1))</f>
        <v/>
      </c>
      <c r="AH81" s="14" t="str">
        <f>IF(ISERROR(HLOOKUP(K81,$BM$19:$BR89,$D81+1)),"",HLOOKUP(K81,$BM$19:$BR89,$D81+1))</f>
        <v/>
      </c>
      <c r="AI81" s="14" t="str">
        <f>IF(ISERROR(HLOOKUP(L81,$BM$19:$BR89,$D81+1)),"",HLOOKUP(L81,$BM$19:$BR89,$D81+1))</f>
        <v/>
      </c>
      <c r="AJ81" s="14" t="str">
        <f>IF(ISERROR(HLOOKUP(M81,$BM$19:$BR89,$D81+1)),"",HLOOKUP(M81,$BM$19:$BR89,$D81+1))</f>
        <v/>
      </c>
      <c r="AK81" s="14" t="str">
        <f>IF(ISERROR(HLOOKUP(N81,$BM$19:$BR89,$D81+1)),"",HLOOKUP(N81,$BM$19:$BR89,$D81+1))</f>
        <v/>
      </c>
      <c r="AL81" s="14" t="str">
        <f>IF(ISERROR(HLOOKUP(O81,$BM$19:$BR89,$D81+1)),"",HLOOKUP(O81,$BM$19:$BR89,$D81+1))</f>
        <v/>
      </c>
      <c r="AM81" s="14" t="str">
        <f>IF(ISERROR(HLOOKUP(P81,$BM$19:$BR89,$D81+1)),"",HLOOKUP(P81,$BM$19:$BR89,$D81+1))</f>
        <v/>
      </c>
      <c r="AN81" s="14" t="str">
        <f>IF(ISERROR(HLOOKUP(Q81,$BM$19:$BR89,$D81+1)),"",HLOOKUP(Q81,$BM$19:$BR89,$D81+1))</f>
        <v/>
      </c>
      <c r="AO81" s="14" t="str">
        <f>IF(ISERROR(HLOOKUP(R81,$BM$19:$BR89,$D81+1)),"",HLOOKUP(R81,$BM$19:$BR89,$D81+1))</f>
        <v/>
      </c>
      <c r="AP81" s="14" t="str">
        <f>IF(ISERROR(HLOOKUP(S81,$BM$19:$BR89,$D81+1)),"",HLOOKUP(S81,$BM$19:$BR89,$D81+1))</f>
        <v/>
      </c>
      <c r="AQ81" s="14" t="str">
        <f>IF(ISERROR(HLOOKUP(T81,$BM$19:$BR89,$D81+1)),"",HLOOKUP(T81,$BM$19:$BR89,$D81+1))</f>
        <v/>
      </c>
      <c r="AR81" s="14" t="str">
        <f>IF(ISERROR(HLOOKUP(U81,$BM$19:$BR89,$D81+1)),"",HLOOKUP(U81,$BM$19:$BR89,$D81+1))</f>
        <v/>
      </c>
      <c r="AS81" s="14" t="str">
        <f>IF(ISERROR(HLOOKUP(V81,$BM$19:$BR89,$D81+1)),"",HLOOKUP(V81,$BM$19:$BR89,$D81+1))</f>
        <v/>
      </c>
      <c r="AT81" s="14" t="str">
        <f>IF(ISERROR(HLOOKUP(W81,$BM$19:$BR89,$D81+1)),"",HLOOKUP(W81,$BM$19:$BR89,$D81+1))</f>
        <v/>
      </c>
      <c r="AU81" s="14" t="str">
        <f>IF(ISERROR(HLOOKUP(X81,$BM$19:$BR89,$D81+1)),"",HLOOKUP(X81,$BM$19:$BR89,$D81+1))</f>
        <v/>
      </c>
      <c r="AV81" s="111" t="s">
        <v>208</v>
      </c>
      <c r="AW81" s="111" t="s">
        <v>208</v>
      </c>
    </row>
    <row r="82" spans="1:49" ht="27" customHeight="1">
      <c r="A82" s="25">
        <v>67</v>
      </c>
      <c r="B82" s="156"/>
      <c r="C82" s="153"/>
      <c r="D82" s="150"/>
      <c r="E82" s="151"/>
      <c r="F82" s="151"/>
      <c r="G82" s="151"/>
      <c r="H82" s="151"/>
      <c r="I82" s="151"/>
      <c r="J82" s="151"/>
      <c r="K82" s="151"/>
      <c r="L82" s="151"/>
      <c r="M82" s="151"/>
      <c r="N82" s="151"/>
      <c r="O82" s="151"/>
      <c r="P82" s="151"/>
      <c r="Q82" s="151"/>
      <c r="R82" s="151"/>
      <c r="S82" s="151"/>
      <c r="T82" s="151"/>
      <c r="U82" s="151"/>
      <c r="V82" s="151"/>
      <c r="W82" s="151"/>
      <c r="X82" s="151"/>
      <c r="Y82" s="163">
        <f t="shared" si="3"/>
        <v>0</v>
      </c>
      <c r="Z82" s="112"/>
      <c r="AA82" s="112"/>
      <c r="AB82" s="14" t="str">
        <f>IF(ISERROR(HLOOKUP(E82,$BM$19:$BR90,$D82+1)),"",HLOOKUP(E82,$BM$19:$BR90,$D82+1))</f>
        <v/>
      </c>
      <c r="AC82" s="14" t="str">
        <f>IF(ISERROR(HLOOKUP(F82,$BM$19:$BR90,$D82+1)),"",HLOOKUP(F82,$BM$19:$BR90,$D82+1))</f>
        <v/>
      </c>
      <c r="AD82" s="14" t="str">
        <f>IF(ISERROR(HLOOKUP(G82,$BM$19:$BR90,$D82+1)),"",HLOOKUP(G82,$BM$19:$BR90,$D82+1))</f>
        <v/>
      </c>
      <c r="AE82" s="14" t="str">
        <f>IF(ISERROR(HLOOKUP(H82,$BM$19:$BR90,$D82+1)),"",HLOOKUP(H82,$BM$19:$BR90,$D82+1))</f>
        <v/>
      </c>
      <c r="AF82" s="14" t="str">
        <f>IF(ISERROR(HLOOKUP(I82,$BM$19:$BR90,$D82+1)),"",HLOOKUP(I82,$BM$19:$BR90,$D82+1))</f>
        <v/>
      </c>
      <c r="AG82" s="14" t="str">
        <f>IF(ISERROR(HLOOKUP(J82,$BM$19:$BR90,$D82+1)),"",HLOOKUP(J82,$BM$19:$BR90,$D82+1))</f>
        <v/>
      </c>
      <c r="AH82" s="14" t="str">
        <f>IF(ISERROR(HLOOKUP(K82,$BM$19:$BR90,$D82+1)),"",HLOOKUP(K82,$BM$19:$BR90,$D82+1))</f>
        <v/>
      </c>
      <c r="AI82" s="14" t="str">
        <f>IF(ISERROR(HLOOKUP(L82,$BM$19:$BR90,$D82+1)),"",HLOOKUP(L82,$BM$19:$BR90,$D82+1))</f>
        <v/>
      </c>
      <c r="AJ82" s="14" t="str">
        <f>IF(ISERROR(HLOOKUP(M82,$BM$19:$BR90,$D82+1)),"",HLOOKUP(M82,$BM$19:$BR90,$D82+1))</f>
        <v/>
      </c>
      <c r="AK82" s="14" t="str">
        <f>IF(ISERROR(HLOOKUP(N82,$BM$19:$BR90,$D82+1)),"",HLOOKUP(N82,$BM$19:$BR90,$D82+1))</f>
        <v/>
      </c>
      <c r="AL82" s="14" t="str">
        <f>IF(ISERROR(HLOOKUP(O82,$BM$19:$BR90,$D82+1)),"",HLOOKUP(O82,$BM$19:$BR90,$D82+1))</f>
        <v/>
      </c>
      <c r="AM82" s="14" t="str">
        <f>IF(ISERROR(HLOOKUP(P82,$BM$19:$BR90,$D82+1)),"",HLOOKUP(P82,$BM$19:$BR90,$D82+1))</f>
        <v/>
      </c>
      <c r="AN82" s="14" t="str">
        <f>IF(ISERROR(HLOOKUP(Q82,$BM$19:$BR90,$D82+1)),"",HLOOKUP(Q82,$BM$19:$BR90,$D82+1))</f>
        <v/>
      </c>
      <c r="AO82" s="14" t="str">
        <f>IF(ISERROR(HLOOKUP(R82,$BM$19:$BR90,$D82+1)),"",HLOOKUP(R82,$BM$19:$BR90,$D82+1))</f>
        <v/>
      </c>
      <c r="AP82" s="14" t="str">
        <f>IF(ISERROR(HLOOKUP(S82,$BM$19:$BR90,$D82+1)),"",HLOOKUP(S82,$BM$19:$BR90,$D82+1))</f>
        <v/>
      </c>
      <c r="AQ82" s="14" t="str">
        <f>IF(ISERROR(HLOOKUP(T82,$BM$19:$BR90,$D82+1)),"",HLOOKUP(T82,$BM$19:$BR90,$D82+1))</f>
        <v/>
      </c>
      <c r="AR82" s="14" t="str">
        <f>IF(ISERROR(HLOOKUP(U82,$BM$19:$BR90,$D82+1)),"",HLOOKUP(U82,$BM$19:$BR90,$D82+1))</f>
        <v/>
      </c>
      <c r="AS82" s="14" t="str">
        <f>IF(ISERROR(HLOOKUP(V82,$BM$19:$BR90,$D82+1)),"",HLOOKUP(V82,$BM$19:$BR90,$D82+1))</f>
        <v/>
      </c>
      <c r="AT82" s="14" t="str">
        <f>IF(ISERROR(HLOOKUP(W82,$BM$19:$BR90,$D82+1)),"",HLOOKUP(W82,$BM$19:$BR90,$D82+1))</f>
        <v/>
      </c>
      <c r="AU82" s="14" t="str">
        <f>IF(ISERROR(HLOOKUP(X82,$BM$19:$BR90,$D82+1)),"",HLOOKUP(X82,$BM$19:$BR90,$D82+1))</f>
        <v/>
      </c>
      <c r="AV82" s="111" t="s">
        <v>208</v>
      </c>
      <c r="AW82" s="111" t="s">
        <v>208</v>
      </c>
    </row>
    <row r="83" spans="1:49" ht="27" customHeight="1">
      <c r="A83" s="25">
        <v>68</v>
      </c>
      <c r="B83" s="156"/>
      <c r="C83" s="153"/>
      <c r="D83" s="150"/>
      <c r="E83" s="151"/>
      <c r="F83" s="151"/>
      <c r="G83" s="151"/>
      <c r="H83" s="151"/>
      <c r="I83" s="151"/>
      <c r="J83" s="151"/>
      <c r="K83" s="151"/>
      <c r="L83" s="151"/>
      <c r="M83" s="151"/>
      <c r="N83" s="151"/>
      <c r="O83" s="151"/>
      <c r="P83" s="151"/>
      <c r="Q83" s="151"/>
      <c r="R83" s="151"/>
      <c r="S83" s="151"/>
      <c r="T83" s="151"/>
      <c r="U83" s="151"/>
      <c r="V83" s="151"/>
      <c r="W83" s="151"/>
      <c r="X83" s="151"/>
      <c r="Y83" s="163">
        <f t="shared" si="3"/>
        <v>0</v>
      </c>
      <c r="Z83" s="112"/>
      <c r="AA83" s="112"/>
      <c r="AB83" s="14" t="str">
        <f>IF(ISERROR(HLOOKUP(E83,$BM$19:$BR91,$D83+1)),"",HLOOKUP(E83,$BM$19:$BR91,$D83+1))</f>
        <v/>
      </c>
      <c r="AC83" s="14" t="str">
        <f>IF(ISERROR(HLOOKUP(F83,$BM$19:$BR91,$D83+1)),"",HLOOKUP(F83,$BM$19:$BR91,$D83+1))</f>
        <v/>
      </c>
      <c r="AD83" s="14" t="str">
        <f>IF(ISERROR(HLOOKUP(G83,$BM$19:$BR91,$D83+1)),"",HLOOKUP(G83,$BM$19:$BR91,$D83+1))</f>
        <v/>
      </c>
      <c r="AE83" s="14" t="str">
        <f>IF(ISERROR(HLOOKUP(H83,$BM$19:$BR91,$D83+1)),"",HLOOKUP(H83,$BM$19:$BR91,$D83+1))</f>
        <v/>
      </c>
      <c r="AF83" s="14" t="str">
        <f>IF(ISERROR(HLOOKUP(I83,$BM$19:$BR91,$D83+1)),"",HLOOKUP(I83,$BM$19:$BR91,$D83+1))</f>
        <v/>
      </c>
      <c r="AG83" s="14" t="str">
        <f>IF(ISERROR(HLOOKUP(J83,$BM$19:$BR91,$D83+1)),"",HLOOKUP(J83,$BM$19:$BR91,$D83+1))</f>
        <v/>
      </c>
      <c r="AH83" s="14" t="str">
        <f>IF(ISERROR(HLOOKUP(K83,$BM$19:$BR91,$D83+1)),"",HLOOKUP(K83,$BM$19:$BR91,$D83+1))</f>
        <v/>
      </c>
      <c r="AI83" s="14" t="str">
        <f>IF(ISERROR(HLOOKUP(L83,$BM$19:$BR91,$D83+1)),"",HLOOKUP(L83,$BM$19:$BR91,$D83+1))</f>
        <v/>
      </c>
      <c r="AJ83" s="14" t="str">
        <f>IF(ISERROR(HLOOKUP(M83,$BM$19:$BR91,$D83+1)),"",HLOOKUP(M83,$BM$19:$BR91,$D83+1))</f>
        <v/>
      </c>
      <c r="AK83" s="14" t="str">
        <f>IF(ISERROR(HLOOKUP(N83,$BM$19:$BR91,$D83+1)),"",HLOOKUP(N83,$BM$19:$BR91,$D83+1))</f>
        <v/>
      </c>
      <c r="AL83" s="14" t="str">
        <f>IF(ISERROR(HLOOKUP(O83,$BM$19:$BR91,$D83+1)),"",HLOOKUP(O83,$BM$19:$BR91,$D83+1))</f>
        <v/>
      </c>
      <c r="AM83" s="14" t="str">
        <f>IF(ISERROR(HLOOKUP(P83,$BM$19:$BR91,$D83+1)),"",HLOOKUP(P83,$BM$19:$BR91,$D83+1))</f>
        <v/>
      </c>
      <c r="AN83" s="14" t="str">
        <f>IF(ISERROR(HLOOKUP(Q83,$BM$19:$BR91,$D83+1)),"",HLOOKUP(Q83,$BM$19:$BR91,$D83+1))</f>
        <v/>
      </c>
      <c r="AO83" s="14" t="str">
        <f>IF(ISERROR(HLOOKUP(R83,$BM$19:$BR91,$D83+1)),"",HLOOKUP(R83,$BM$19:$BR91,$D83+1))</f>
        <v/>
      </c>
      <c r="AP83" s="14" t="str">
        <f>IF(ISERROR(HLOOKUP(S83,$BM$19:$BR91,$D83+1)),"",HLOOKUP(S83,$BM$19:$BR91,$D83+1))</f>
        <v/>
      </c>
      <c r="AQ83" s="14" t="str">
        <f>IF(ISERROR(HLOOKUP(T83,$BM$19:$BR91,$D83+1)),"",HLOOKUP(T83,$BM$19:$BR91,$D83+1))</f>
        <v/>
      </c>
      <c r="AR83" s="14" t="str">
        <f>IF(ISERROR(HLOOKUP(U83,$BM$19:$BR91,$D83+1)),"",HLOOKUP(U83,$BM$19:$BR91,$D83+1))</f>
        <v/>
      </c>
      <c r="AS83" s="14" t="str">
        <f>IF(ISERROR(HLOOKUP(V83,$BM$19:$BR91,$D83+1)),"",HLOOKUP(V83,$BM$19:$BR91,$D83+1))</f>
        <v/>
      </c>
      <c r="AT83" s="14" t="str">
        <f>IF(ISERROR(HLOOKUP(W83,$BM$19:$BR91,$D83+1)),"",HLOOKUP(W83,$BM$19:$BR91,$D83+1))</f>
        <v/>
      </c>
      <c r="AU83" s="14" t="str">
        <f>IF(ISERROR(HLOOKUP(X83,$BM$19:$BR91,$D83+1)),"",HLOOKUP(X83,$BM$19:$BR91,$D83+1))</f>
        <v/>
      </c>
      <c r="AV83" s="111" t="s">
        <v>208</v>
      </c>
      <c r="AW83" s="111" t="s">
        <v>208</v>
      </c>
    </row>
    <row r="84" spans="1:49" ht="27" customHeight="1">
      <c r="A84" s="25">
        <v>69</v>
      </c>
      <c r="B84" s="156"/>
      <c r="C84" s="153"/>
      <c r="D84" s="150"/>
      <c r="E84" s="151"/>
      <c r="F84" s="151"/>
      <c r="G84" s="151"/>
      <c r="H84" s="151"/>
      <c r="I84" s="151"/>
      <c r="J84" s="151"/>
      <c r="K84" s="151"/>
      <c r="L84" s="151"/>
      <c r="M84" s="151"/>
      <c r="N84" s="151"/>
      <c r="O84" s="151"/>
      <c r="P84" s="151"/>
      <c r="Q84" s="151"/>
      <c r="R84" s="151"/>
      <c r="S84" s="151"/>
      <c r="T84" s="151"/>
      <c r="U84" s="151"/>
      <c r="V84" s="151"/>
      <c r="W84" s="151"/>
      <c r="X84" s="151"/>
      <c r="Y84" s="163">
        <f t="shared" si="3"/>
        <v>0</v>
      </c>
      <c r="Z84" s="112"/>
      <c r="AA84" s="112"/>
      <c r="AB84" s="14" t="str">
        <f>IF(ISERROR(HLOOKUP(E84,$BM$19:$BR92,$D84+1)),"",HLOOKUP(E84,$BM$19:$BR92,$D84+1))</f>
        <v/>
      </c>
      <c r="AC84" s="14" t="str">
        <f>IF(ISERROR(HLOOKUP(F84,$BM$19:$BR92,$D84+1)),"",HLOOKUP(F84,$BM$19:$BR92,$D84+1))</f>
        <v/>
      </c>
      <c r="AD84" s="14" t="str">
        <f>IF(ISERROR(HLOOKUP(G84,$BM$19:$BR92,$D84+1)),"",HLOOKUP(G84,$BM$19:$BR92,$D84+1))</f>
        <v/>
      </c>
      <c r="AE84" s="14" t="str">
        <f>IF(ISERROR(HLOOKUP(H84,$BM$19:$BR92,$D84+1)),"",HLOOKUP(H84,$BM$19:$BR92,$D84+1))</f>
        <v/>
      </c>
      <c r="AF84" s="14" t="str">
        <f>IF(ISERROR(HLOOKUP(I84,$BM$19:$BR92,$D84+1)),"",HLOOKUP(I84,$BM$19:$BR92,$D84+1))</f>
        <v/>
      </c>
      <c r="AG84" s="14" t="str">
        <f>IF(ISERROR(HLOOKUP(J84,$BM$19:$BR92,$D84+1)),"",HLOOKUP(J84,$BM$19:$BR92,$D84+1))</f>
        <v/>
      </c>
      <c r="AH84" s="14" t="str">
        <f>IF(ISERROR(HLOOKUP(K84,$BM$19:$BR92,$D84+1)),"",HLOOKUP(K84,$BM$19:$BR92,$D84+1))</f>
        <v/>
      </c>
      <c r="AI84" s="14" t="str">
        <f>IF(ISERROR(HLOOKUP(L84,$BM$19:$BR92,$D84+1)),"",HLOOKUP(L84,$BM$19:$BR92,$D84+1))</f>
        <v/>
      </c>
      <c r="AJ84" s="14" t="str">
        <f>IF(ISERROR(HLOOKUP(M84,$BM$19:$BR92,$D84+1)),"",HLOOKUP(M84,$BM$19:$BR92,$D84+1))</f>
        <v/>
      </c>
      <c r="AK84" s="14" t="str">
        <f>IF(ISERROR(HLOOKUP(N84,$BM$19:$BR92,$D84+1)),"",HLOOKUP(N84,$BM$19:$BR92,$D84+1))</f>
        <v/>
      </c>
      <c r="AL84" s="14" t="str">
        <f>IF(ISERROR(HLOOKUP(O84,$BM$19:$BR92,$D84+1)),"",HLOOKUP(O84,$BM$19:$BR92,$D84+1))</f>
        <v/>
      </c>
      <c r="AM84" s="14" t="str">
        <f>IF(ISERROR(HLOOKUP(P84,$BM$19:$BR92,$D84+1)),"",HLOOKUP(P84,$BM$19:$BR92,$D84+1))</f>
        <v/>
      </c>
      <c r="AN84" s="14" t="str">
        <f>IF(ISERROR(HLOOKUP(Q84,$BM$19:$BR92,$D84+1)),"",HLOOKUP(Q84,$BM$19:$BR92,$D84+1))</f>
        <v/>
      </c>
      <c r="AO84" s="14" t="str">
        <f>IF(ISERROR(HLOOKUP(R84,$BM$19:$BR92,$D84+1)),"",HLOOKUP(R84,$BM$19:$BR92,$D84+1))</f>
        <v/>
      </c>
      <c r="AP84" s="14" t="str">
        <f>IF(ISERROR(HLOOKUP(S84,$BM$19:$BR92,$D84+1)),"",HLOOKUP(S84,$BM$19:$BR92,$D84+1))</f>
        <v/>
      </c>
      <c r="AQ84" s="14" t="str">
        <f>IF(ISERROR(HLOOKUP(T84,$BM$19:$BR92,$D84+1)),"",HLOOKUP(T84,$BM$19:$BR92,$D84+1))</f>
        <v/>
      </c>
      <c r="AR84" s="14" t="str">
        <f>IF(ISERROR(HLOOKUP(U84,$BM$19:$BR92,$D84+1)),"",HLOOKUP(U84,$BM$19:$BR92,$D84+1))</f>
        <v/>
      </c>
      <c r="AS84" s="14" t="str">
        <f>IF(ISERROR(HLOOKUP(V84,$BM$19:$BR92,$D84+1)),"",HLOOKUP(V84,$BM$19:$BR92,$D84+1))</f>
        <v/>
      </c>
      <c r="AT84" s="14" t="str">
        <f>IF(ISERROR(HLOOKUP(W84,$BM$19:$BR92,$D84+1)),"",HLOOKUP(W84,$BM$19:$BR92,$D84+1))</f>
        <v/>
      </c>
      <c r="AU84" s="14" t="str">
        <f>IF(ISERROR(HLOOKUP(X84,$BM$19:$BR92,$D84+1)),"",HLOOKUP(X84,$BM$19:$BR92,$D84+1))</f>
        <v/>
      </c>
      <c r="AV84" s="111" t="s">
        <v>208</v>
      </c>
      <c r="AW84" s="111" t="s">
        <v>208</v>
      </c>
    </row>
    <row r="85" spans="1:49" ht="27" customHeight="1">
      <c r="A85" s="25">
        <v>70</v>
      </c>
      <c r="B85" s="156"/>
      <c r="C85" s="153"/>
      <c r="D85" s="150"/>
      <c r="E85" s="151"/>
      <c r="F85" s="151"/>
      <c r="G85" s="151"/>
      <c r="H85" s="151"/>
      <c r="I85" s="151"/>
      <c r="J85" s="151"/>
      <c r="K85" s="151"/>
      <c r="L85" s="151"/>
      <c r="M85" s="151"/>
      <c r="N85" s="151"/>
      <c r="O85" s="151"/>
      <c r="P85" s="151"/>
      <c r="Q85" s="151"/>
      <c r="R85" s="151"/>
      <c r="S85" s="151"/>
      <c r="T85" s="151"/>
      <c r="U85" s="151"/>
      <c r="V85" s="151"/>
      <c r="W85" s="151"/>
      <c r="X85" s="151"/>
      <c r="Y85" s="163">
        <f t="shared" si="3"/>
        <v>0</v>
      </c>
      <c r="Z85" s="112"/>
      <c r="AA85" s="112"/>
      <c r="AB85" s="14" t="str">
        <f>IF(ISERROR(HLOOKUP(E85,$BM$19:$BR93,$D85+1)),"",HLOOKUP(E85,$BM$19:$BR93,$D85+1))</f>
        <v/>
      </c>
      <c r="AC85" s="14" t="str">
        <f>IF(ISERROR(HLOOKUP(F85,$BM$19:$BR93,$D85+1)),"",HLOOKUP(F85,$BM$19:$BR93,$D85+1))</f>
        <v/>
      </c>
      <c r="AD85" s="14" t="str">
        <f>IF(ISERROR(HLOOKUP(G85,$BM$19:$BR93,$D85+1)),"",HLOOKUP(G85,$BM$19:$BR93,$D85+1))</f>
        <v/>
      </c>
      <c r="AE85" s="14" t="str">
        <f>IF(ISERROR(HLOOKUP(H85,$BM$19:$BR93,$D85+1)),"",HLOOKUP(H85,$BM$19:$BR93,$D85+1))</f>
        <v/>
      </c>
      <c r="AF85" s="14" t="str">
        <f>IF(ISERROR(HLOOKUP(I85,$BM$19:$BR93,$D85+1)),"",HLOOKUP(I85,$BM$19:$BR93,$D85+1))</f>
        <v/>
      </c>
      <c r="AG85" s="14" t="str">
        <f>IF(ISERROR(HLOOKUP(J85,$BM$19:$BR93,$D85+1)),"",HLOOKUP(J85,$BM$19:$BR93,$D85+1))</f>
        <v/>
      </c>
      <c r="AH85" s="14" t="str">
        <f>IF(ISERROR(HLOOKUP(K85,$BM$19:$BR93,$D85+1)),"",HLOOKUP(K85,$BM$19:$BR93,$D85+1))</f>
        <v/>
      </c>
      <c r="AI85" s="14" t="str">
        <f>IF(ISERROR(HLOOKUP(L85,$BM$19:$BR93,$D85+1)),"",HLOOKUP(L85,$BM$19:$BR93,$D85+1))</f>
        <v/>
      </c>
      <c r="AJ85" s="14" t="str">
        <f>IF(ISERROR(HLOOKUP(M85,$BM$19:$BR93,$D85+1)),"",HLOOKUP(M85,$BM$19:$BR93,$D85+1))</f>
        <v/>
      </c>
      <c r="AK85" s="14" t="str">
        <f>IF(ISERROR(HLOOKUP(N85,$BM$19:$BR93,$D85+1)),"",HLOOKUP(N85,$BM$19:$BR93,$D85+1))</f>
        <v/>
      </c>
      <c r="AL85" s="14" t="str">
        <f>IF(ISERROR(HLOOKUP(O85,$BM$19:$BR93,$D85+1)),"",HLOOKUP(O85,$BM$19:$BR93,$D85+1))</f>
        <v/>
      </c>
      <c r="AM85" s="14" t="str">
        <f>IF(ISERROR(HLOOKUP(P85,$BM$19:$BR93,$D85+1)),"",HLOOKUP(P85,$BM$19:$BR93,$D85+1))</f>
        <v/>
      </c>
      <c r="AN85" s="14" t="str">
        <f>IF(ISERROR(HLOOKUP(Q85,$BM$19:$BR93,$D85+1)),"",HLOOKUP(Q85,$BM$19:$BR93,$D85+1))</f>
        <v/>
      </c>
      <c r="AO85" s="14" t="str">
        <f>IF(ISERROR(HLOOKUP(R85,$BM$19:$BR93,$D85+1)),"",HLOOKUP(R85,$BM$19:$BR93,$D85+1))</f>
        <v/>
      </c>
      <c r="AP85" s="14" t="str">
        <f>IF(ISERROR(HLOOKUP(S85,$BM$19:$BR93,$D85+1)),"",HLOOKUP(S85,$BM$19:$BR93,$D85+1))</f>
        <v/>
      </c>
      <c r="AQ85" s="14" t="str">
        <f>IF(ISERROR(HLOOKUP(T85,$BM$19:$BR93,$D85+1)),"",HLOOKUP(T85,$BM$19:$BR93,$D85+1))</f>
        <v/>
      </c>
      <c r="AR85" s="14" t="str">
        <f>IF(ISERROR(HLOOKUP(U85,$BM$19:$BR93,$D85+1)),"",HLOOKUP(U85,$BM$19:$BR93,$D85+1))</f>
        <v/>
      </c>
      <c r="AS85" s="14" t="str">
        <f>IF(ISERROR(HLOOKUP(V85,$BM$19:$BR93,$D85+1)),"",HLOOKUP(V85,$BM$19:$BR93,$D85+1))</f>
        <v/>
      </c>
      <c r="AT85" s="14" t="str">
        <f>IF(ISERROR(HLOOKUP(W85,$BM$19:$BR93,$D85+1)),"",HLOOKUP(W85,$BM$19:$BR93,$D85+1))</f>
        <v/>
      </c>
      <c r="AU85" s="14" t="str">
        <f>IF(ISERROR(HLOOKUP(X85,$BM$19:$BR93,$D85+1)),"",HLOOKUP(X85,$BM$19:$BR93,$D85+1))</f>
        <v/>
      </c>
      <c r="AV85" s="111" t="s">
        <v>208</v>
      </c>
      <c r="AW85" s="111" t="s">
        <v>208</v>
      </c>
    </row>
    <row r="86" spans="1:49" ht="27" customHeight="1">
      <c r="A86" s="25">
        <v>71</v>
      </c>
      <c r="B86" s="156"/>
      <c r="C86" s="153"/>
      <c r="D86" s="150"/>
      <c r="E86" s="151"/>
      <c r="F86" s="151"/>
      <c r="G86" s="151"/>
      <c r="H86" s="151"/>
      <c r="I86" s="151"/>
      <c r="J86" s="151"/>
      <c r="K86" s="151"/>
      <c r="L86" s="151"/>
      <c r="M86" s="151"/>
      <c r="N86" s="151"/>
      <c r="O86" s="151"/>
      <c r="P86" s="151"/>
      <c r="Q86" s="151"/>
      <c r="R86" s="151"/>
      <c r="S86" s="151"/>
      <c r="T86" s="151"/>
      <c r="U86" s="151"/>
      <c r="V86" s="151"/>
      <c r="W86" s="151"/>
      <c r="X86" s="151"/>
      <c r="Y86" s="163">
        <f t="shared" si="3"/>
        <v>0</v>
      </c>
      <c r="Z86" s="112"/>
      <c r="AA86" s="112"/>
      <c r="AB86" s="14" t="str">
        <f>IF(ISERROR(HLOOKUP(E86,$BM$19:$BR94,$D86+1)),"",HLOOKUP(E86,$BM$19:$BR94,$D86+1))</f>
        <v/>
      </c>
      <c r="AC86" s="14" t="str">
        <f>IF(ISERROR(HLOOKUP(F86,$BM$19:$BR94,$D86+1)),"",HLOOKUP(F86,$BM$19:$BR94,$D86+1))</f>
        <v/>
      </c>
      <c r="AD86" s="14" t="str">
        <f>IF(ISERROR(HLOOKUP(G86,$BM$19:$BR94,$D86+1)),"",HLOOKUP(G86,$BM$19:$BR94,$D86+1))</f>
        <v/>
      </c>
      <c r="AE86" s="14" t="str">
        <f>IF(ISERROR(HLOOKUP(H86,$BM$19:$BR94,$D86+1)),"",HLOOKUP(H86,$BM$19:$BR94,$D86+1))</f>
        <v/>
      </c>
      <c r="AF86" s="14" t="str">
        <f>IF(ISERROR(HLOOKUP(I86,$BM$19:$BR94,$D86+1)),"",HLOOKUP(I86,$BM$19:$BR94,$D86+1))</f>
        <v/>
      </c>
      <c r="AG86" s="14" t="str">
        <f>IF(ISERROR(HLOOKUP(J86,$BM$19:$BR94,$D86+1)),"",HLOOKUP(J86,$BM$19:$BR94,$D86+1))</f>
        <v/>
      </c>
      <c r="AH86" s="14" t="str">
        <f>IF(ISERROR(HLOOKUP(K86,$BM$19:$BR94,$D86+1)),"",HLOOKUP(K86,$BM$19:$BR94,$D86+1))</f>
        <v/>
      </c>
      <c r="AI86" s="14" t="str">
        <f>IF(ISERROR(HLOOKUP(L86,$BM$19:$BR94,$D86+1)),"",HLOOKUP(L86,$BM$19:$BR94,$D86+1))</f>
        <v/>
      </c>
      <c r="AJ86" s="14" t="str">
        <f>IF(ISERROR(HLOOKUP(M86,$BM$19:$BR94,$D86+1)),"",HLOOKUP(M86,$BM$19:$BR94,$D86+1))</f>
        <v/>
      </c>
      <c r="AK86" s="14" t="str">
        <f>IF(ISERROR(HLOOKUP(N86,$BM$19:$BR94,$D86+1)),"",HLOOKUP(N86,$BM$19:$BR94,$D86+1))</f>
        <v/>
      </c>
      <c r="AL86" s="14" t="str">
        <f>IF(ISERROR(HLOOKUP(O86,$BM$19:$BR94,$D86+1)),"",HLOOKUP(O86,$BM$19:$BR94,$D86+1))</f>
        <v/>
      </c>
      <c r="AM86" s="14" t="str">
        <f>IF(ISERROR(HLOOKUP(P86,$BM$19:$BR94,$D86+1)),"",HLOOKUP(P86,$BM$19:$BR94,$D86+1))</f>
        <v/>
      </c>
      <c r="AN86" s="14" t="str">
        <f>IF(ISERROR(HLOOKUP(Q86,$BM$19:$BR94,$D86+1)),"",HLOOKUP(Q86,$BM$19:$BR94,$D86+1))</f>
        <v/>
      </c>
      <c r="AO86" s="14" t="str">
        <f>IF(ISERROR(HLOOKUP(R86,$BM$19:$BR94,$D86+1)),"",HLOOKUP(R86,$BM$19:$BR94,$D86+1))</f>
        <v/>
      </c>
      <c r="AP86" s="14" t="str">
        <f>IF(ISERROR(HLOOKUP(S86,$BM$19:$BR94,$D86+1)),"",HLOOKUP(S86,$BM$19:$BR94,$D86+1))</f>
        <v/>
      </c>
      <c r="AQ86" s="14" t="str">
        <f>IF(ISERROR(HLOOKUP(T86,$BM$19:$BR94,$D86+1)),"",HLOOKUP(T86,$BM$19:$BR94,$D86+1))</f>
        <v/>
      </c>
      <c r="AR86" s="14" t="str">
        <f>IF(ISERROR(HLOOKUP(U86,$BM$19:$BR94,$D86+1)),"",HLOOKUP(U86,$BM$19:$BR94,$D86+1))</f>
        <v/>
      </c>
      <c r="AS86" s="14" t="str">
        <f>IF(ISERROR(HLOOKUP(V86,$BM$19:$BR94,$D86+1)),"",HLOOKUP(V86,$BM$19:$BR94,$D86+1))</f>
        <v/>
      </c>
      <c r="AT86" s="14" t="str">
        <f>IF(ISERROR(HLOOKUP(W86,$BM$19:$BR94,$D86+1)),"",HLOOKUP(W86,$BM$19:$BR94,$D86+1))</f>
        <v/>
      </c>
      <c r="AU86" s="14" t="str">
        <f>IF(ISERROR(HLOOKUP(X86,$BM$19:$BR94,$D86+1)),"",HLOOKUP(X86,$BM$19:$BR94,$D86+1))</f>
        <v/>
      </c>
      <c r="AV86" s="111" t="s">
        <v>208</v>
      </c>
      <c r="AW86" s="111" t="s">
        <v>208</v>
      </c>
    </row>
    <row r="87" spans="1:49" ht="27" customHeight="1">
      <c r="A87" s="25">
        <v>72</v>
      </c>
      <c r="B87" s="156"/>
      <c r="C87" s="153"/>
      <c r="D87" s="150"/>
      <c r="E87" s="151"/>
      <c r="F87" s="151"/>
      <c r="G87" s="151"/>
      <c r="H87" s="151"/>
      <c r="I87" s="151"/>
      <c r="J87" s="151"/>
      <c r="K87" s="151"/>
      <c r="L87" s="151"/>
      <c r="M87" s="151"/>
      <c r="N87" s="151"/>
      <c r="O87" s="151"/>
      <c r="P87" s="151"/>
      <c r="Q87" s="151"/>
      <c r="R87" s="151"/>
      <c r="S87" s="151"/>
      <c r="T87" s="151"/>
      <c r="U87" s="151"/>
      <c r="V87" s="151"/>
      <c r="W87" s="151"/>
      <c r="X87" s="151"/>
      <c r="Y87" s="163">
        <f t="shared" si="3"/>
        <v>0</v>
      </c>
      <c r="Z87" s="112"/>
      <c r="AA87" s="112"/>
      <c r="AB87" s="14" t="str">
        <f>IF(ISERROR(HLOOKUP(E87,$BM$19:$BR95,$D87+1)),"",HLOOKUP(E87,$BM$19:$BR95,$D87+1))</f>
        <v/>
      </c>
      <c r="AC87" s="14" t="str">
        <f>IF(ISERROR(HLOOKUP(F87,$BM$19:$BR95,$D87+1)),"",HLOOKUP(F87,$BM$19:$BR95,$D87+1))</f>
        <v/>
      </c>
      <c r="AD87" s="14" t="str">
        <f>IF(ISERROR(HLOOKUP(G87,$BM$19:$BR95,$D87+1)),"",HLOOKUP(G87,$BM$19:$BR95,$D87+1))</f>
        <v/>
      </c>
      <c r="AE87" s="14" t="str">
        <f>IF(ISERROR(HLOOKUP(H87,$BM$19:$BR95,$D87+1)),"",HLOOKUP(H87,$BM$19:$BR95,$D87+1))</f>
        <v/>
      </c>
      <c r="AF87" s="14" t="str">
        <f>IF(ISERROR(HLOOKUP(I87,$BM$19:$BR95,$D87+1)),"",HLOOKUP(I87,$BM$19:$BR95,$D87+1))</f>
        <v/>
      </c>
      <c r="AG87" s="14" t="str">
        <f>IF(ISERROR(HLOOKUP(J87,$BM$19:$BR95,$D87+1)),"",HLOOKUP(J87,$BM$19:$BR95,$D87+1))</f>
        <v/>
      </c>
      <c r="AH87" s="14" t="str">
        <f>IF(ISERROR(HLOOKUP(K87,$BM$19:$BR95,$D87+1)),"",HLOOKUP(K87,$BM$19:$BR95,$D87+1))</f>
        <v/>
      </c>
      <c r="AI87" s="14" t="str">
        <f>IF(ISERROR(HLOOKUP(L87,$BM$19:$BR95,$D87+1)),"",HLOOKUP(L87,$BM$19:$BR95,$D87+1))</f>
        <v/>
      </c>
      <c r="AJ87" s="14" t="str">
        <f>IF(ISERROR(HLOOKUP(M87,$BM$19:$BR95,$D87+1)),"",HLOOKUP(M87,$BM$19:$BR95,$D87+1))</f>
        <v/>
      </c>
      <c r="AK87" s="14" t="str">
        <f>IF(ISERROR(HLOOKUP(N87,$BM$19:$BR95,$D87+1)),"",HLOOKUP(N87,$BM$19:$BR95,$D87+1))</f>
        <v/>
      </c>
      <c r="AL87" s="14" t="str">
        <f>IF(ISERROR(HLOOKUP(O87,$BM$19:$BR95,$D87+1)),"",HLOOKUP(O87,$BM$19:$BR95,$D87+1))</f>
        <v/>
      </c>
      <c r="AM87" s="14" t="str">
        <f>IF(ISERROR(HLOOKUP(P87,$BM$19:$BR95,$D87+1)),"",HLOOKUP(P87,$BM$19:$BR95,$D87+1))</f>
        <v/>
      </c>
      <c r="AN87" s="14" t="str">
        <f>IF(ISERROR(HLOOKUP(Q87,$BM$19:$BR95,$D87+1)),"",HLOOKUP(Q87,$BM$19:$BR95,$D87+1))</f>
        <v/>
      </c>
      <c r="AO87" s="14" t="str">
        <f>IF(ISERROR(HLOOKUP(R87,$BM$19:$BR95,$D87+1)),"",HLOOKUP(R87,$BM$19:$BR95,$D87+1))</f>
        <v/>
      </c>
      <c r="AP87" s="14" t="str">
        <f>IF(ISERROR(HLOOKUP(S87,$BM$19:$BR95,$D87+1)),"",HLOOKUP(S87,$BM$19:$BR95,$D87+1))</f>
        <v/>
      </c>
      <c r="AQ87" s="14" t="str">
        <f>IF(ISERROR(HLOOKUP(T87,$BM$19:$BR95,$D87+1)),"",HLOOKUP(T87,$BM$19:$BR95,$D87+1))</f>
        <v/>
      </c>
      <c r="AR87" s="14" t="str">
        <f>IF(ISERROR(HLOOKUP(U87,$BM$19:$BR95,$D87+1)),"",HLOOKUP(U87,$BM$19:$BR95,$D87+1))</f>
        <v/>
      </c>
      <c r="AS87" s="14" t="str">
        <f>IF(ISERROR(HLOOKUP(V87,$BM$19:$BR95,$D87+1)),"",HLOOKUP(V87,$BM$19:$BR95,$D87+1))</f>
        <v/>
      </c>
      <c r="AT87" s="14" t="str">
        <f>IF(ISERROR(HLOOKUP(W87,$BM$19:$BR95,$D87+1)),"",HLOOKUP(W87,$BM$19:$BR95,$D87+1))</f>
        <v/>
      </c>
      <c r="AU87" s="14" t="str">
        <f>IF(ISERROR(HLOOKUP(X87,$BM$19:$BR95,$D87+1)),"",HLOOKUP(X87,$BM$19:$BR95,$D87+1))</f>
        <v/>
      </c>
      <c r="AV87" s="111" t="s">
        <v>208</v>
      </c>
      <c r="AW87" s="111" t="s">
        <v>208</v>
      </c>
    </row>
    <row r="88" spans="1:49" ht="27" customHeight="1">
      <c r="A88" s="25">
        <v>73</v>
      </c>
      <c r="B88" s="156"/>
      <c r="C88" s="153"/>
      <c r="D88" s="150"/>
      <c r="E88" s="151"/>
      <c r="F88" s="151"/>
      <c r="G88" s="151"/>
      <c r="H88" s="151"/>
      <c r="I88" s="151"/>
      <c r="J88" s="151"/>
      <c r="K88" s="151"/>
      <c r="L88" s="151"/>
      <c r="M88" s="151"/>
      <c r="N88" s="151"/>
      <c r="O88" s="151"/>
      <c r="P88" s="151"/>
      <c r="Q88" s="151"/>
      <c r="R88" s="151"/>
      <c r="S88" s="151"/>
      <c r="T88" s="151"/>
      <c r="U88" s="151"/>
      <c r="V88" s="151"/>
      <c r="W88" s="151"/>
      <c r="X88" s="151"/>
      <c r="Y88" s="163">
        <f t="shared" si="3"/>
        <v>0</v>
      </c>
      <c r="Z88" s="112"/>
      <c r="AA88" s="112"/>
      <c r="AB88" s="14" t="str">
        <f>IF(ISERROR(HLOOKUP(E88,$BM$19:$BR96,$D88+1)),"",HLOOKUP(E88,$BM$19:$BR96,$D88+1))</f>
        <v/>
      </c>
      <c r="AC88" s="14" t="str">
        <f>IF(ISERROR(HLOOKUP(F88,$BM$19:$BR96,$D88+1)),"",HLOOKUP(F88,$BM$19:$BR96,$D88+1))</f>
        <v/>
      </c>
      <c r="AD88" s="14" t="str">
        <f>IF(ISERROR(HLOOKUP(G88,$BM$19:$BR96,$D88+1)),"",HLOOKUP(G88,$BM$19:$BR96,$D88+1))</f>
        <v/>
      </c>
      <c r="AE88" s="14" t="str">
        <f>IF(ISERROR(HLOOKUP(H88,$BM$19:$BR96,$D88+1)),"",HLOOKUP(H88,$BM$19:$BR96,$D88+1))</f>
        <v/>
      </c>
      <c r="AF88" s="14" t="str">
        <f>IF(ISERROR(HLOOKUP(I88,$BM$19:$BR96,$D88+1)),"",HLOOKUP(I88,$BM$19:$BR96,$D88+1))</f>
        <v/>
      </c>
      <c r="AG88" s="14" t="str">
        <f>IF(ISERROR(HLOOKUP(J88,$BM$19:$BR96,$D88+1)),"",HLOOKUP(J88,$BM$19:$BR96,$D88+1))</f>
        <v/>
      </c>
      <c r="AH88" s="14" t="str">
        <f>IF(ISERROR(HLOOKUP(K88,$BM$19:$BR96,$D88+1)),"",HLOOKUP(K88,$BM$19:$BR96,$D88+1))</f>
        <v/>
      </c>
      <c r="AI88" s="14" t="str">
        <f>IF(ISERROR(HLOOKUP(L88,$BM$19:$BR96,$D88+1)),"",HLOOKUP(L88,$BM$19:$BR96,$D88+1))</f>
        <v/>
      </c>
      <c r="AJ88" s="14" t="str">
        <f>IF(ISERROR(HLOOKUP(M88,$BM$19:$BR96,$D88+1)),"",HLOOKUP(M88,$BM$19:$BR96,$D88+1))</f>
        <v/>
      </c>
      <c r="AK88" s="14" t="str">
        <f>IF(ISERROR(HLOOKUP(N88,$BM$19:$BR96,$D88+1)),"",HLOOKUP(N88,$BM$19:$BR96,$D88+1))</f>
        <v/>
      </c>
      <c r="AL88" s="14" t="str">
        <f>IF(ISERROR(HLOOKUP(O88,$BM$19:$BR96,$D88+1)),"",HLOOKUP(O88,$BM$19:$BR96,$D88+1))</f>
        <v/>
      </c>
      <c r="AM88" s="14" t="str">
        <f>IF(ISERROR(HLOOKUP(P88,$BM$19:$BR96,$D88+1)),"",HLOOKUP(P88,$BM$19:$BR96,$D88+1))</f>
        <v/>
      </c>
      <c r="AN88" s="14" t="str">
        <f>IF(ISERROR(HLOOKUP(Q88,$BM$19:$BR96,$D88+1)),"",HLOOKUP(Q88,$BM$19:$BR96,$D88+1))</f>
        <v/>
      </c>
      <c r="AO88" s="14" t="str">
        <f>IF(ISERROR(HLOOKUP(R88,$BM$19:$BR96,$D88+1)),"",HLOOKUP(R88,$BM$19:$BR96,$D88+1))</f>
        <v/>
      </c>
      <c r="AP88" s="14" t="str">
        <f>IF(ISERROR(HLOOKUP(S88,$BM$19:$BR96,$D88+1)),"",HLOOKUP(S88,$BM$19:$BR96,$D88+1))</f>
        <v/>
      </c>
      <c r="AQ88" s="14" t="str">
        <f>IF(ISERROR(HLOOKUP(T88,$BM$19:$BR96,$D88+1)),"",HLOOKUP(T88,$BM$19:$BR96,$D88+1))</f>
        <v/>
      </c>
      <c r="AR88" s="14" t="str">
        <f>IF(ISERROR(HLOOKUP(U88,$BM$19:$BR96,$D88+1)),"",HLOOKUP(U88,$BM$19:$BR96,$D88+1))</f>
        <v/>
      </c>
      <c r="AS88" s="14" t="str">
        <f>IF(ISERROR(HLOOKUP(V88,$BM$19:$BR96,$D88+1)),"",HLOOKUP(V88,$BM$19:$BR96,$D88+1))</f>
        <v/>
      </c>
      <c r="AT88" s="14" t="str">
        <f>IF(ISERROR(HLOOKUP(W88,$BM$19:$BR96,$D88+1)),"",HLOOKUP(W88,$BM$19:$BR96,$D88+1))</f>
        <v/>
      </c>
      <c r="AU88" s="14" t="str">
        <f>IF(ISERROR(HLOOKUP(X88,$BM$19:$BR96,$D88+1)),"",HLOOKUP(X88,$BM$19:$BR96,$D88+1))</f>
        <v/>
      </c>
      <c r="AV88" s="111" t="s">
        <v>208</v>
      </c>
      <c r="AW88" s="111" t="s">
        <v>208</v>
      </c>
    </row>
    <row r="89" spans="1:49" ht="27" customHeight="1">
      <c r="A89" s="25">
        <v>74</v>
      </c>
      <c r="B89" s="156"/>
      <c r="C89" s="153"/>
      <c r="D89" s="150"/>
      <c r="E89" s="151"/>
      <c r="F89" s="151"/>
      <c r="G89" s="151"/>
      <c r="H89" s="151"/>
      <c r="I89" s="151"/>
      <c r="J89" s="151"/>
      <c r="K89" s="151"/>
      <c r="L89" s="151"/>
      <c r="M89" s="151"/>
      <c r="N89" s="151"/>
      <c r="O89" s="151"/>
      <c r="P89" s="151"/>
      <c r="Q89" s="151"/>
      <c r="R89" s="151"/>
      <c r="S89" s="151"/>
      <c r="T89" s="151"/>
      <c r="U89" s="151"/>
      <c r="V89" s="151"/>
      <c r="W89" s="151"/>
      <c r="X89" s="151"/>
      <c r="Y89" s="163">
        <f t="shared" si="3"/>
        <v>0</v>
      </c>
      <c r="Z89" s="112"/>
      <c r="AA89" s="112"/>
      <c r="AB89" s="14" t="str">
        <f>IF(ISERROR(HLOOKUP(E89,$BM$19:$BR97,$D89+1)),"",HLOOKUP(E89,$BM$19:$BR97,$D89+1))</f>
        <v/>
      </c>
      <c r="AC89" s="14" t="str">
        <f>IF(ISERROR(HLOOKUP(F89,$BM$19:$BR97,$D89+1)),"",HLOOKUP(F89,$BM$19:$BR97,$D89+1))</f>
        <v/>
      </c>
      <c r="AD89" s="14" t="str">
        <f>IF(ISERROR(HLOOKUP(G89,$BM$19:$BR97,$D89+1)),"",HLOOKUP(G89,$BM$19:$BR97,$D89+1))</f>
        <v/>
      </c>
      <c r="AE89" s="14" t="str">
        <f>IF(ISERROR(HLOOKUP(H89,$BM$19:$BR97,$D89+1)),"",HLOOKUP(H89,$BM$19:$BR97,$D89+1))</f>
        <v/>
      </c>
      <c r="AF89" s="14" t="str">
        <f>IF(ISERROR(HLOOKUP(I89,$BM$19:$BR97,$D89+1)),"",HLOOKUP(I89,$BM$19:$BR97,$D89+1))</f>
        <v/>
      </c>
      <c r="AG89" s="14" t="str">
        <f>IF(ISERROR(HLOOKUP(J89,$BM$19:$BR97,$D89+1)),"",HLOOKUP(J89,$BM$19:$BR97,$D89+1))</f>
        <v/>
      </c>
      <c r="AH89" s="14" t="str">
        <f>IF(ISERROR(HLOOKUP(K89,$BM$19:$BR97,$D89+1)),"",HLOOKUP(K89,$BM$19:$BR97,$D89+1))</f>
        <v/>
      </c>
      <c r="AI89" s="14" t="str">
        <f>IF(ISERROR(HLOOKUP(L89,$BM$19:$BR97,$D89+1)),"",HLOOKUP(L89,$BM$19:$BR97,$D89+1))</f>
        <v/>
      </c>
      <c r="AJ89" s="14" t="str">
        <f>IF(ISERROR(HLOOKUP(M89,$BM$19:$BR97,$D89+1)),"",HLOOKUP(M89,$BM$19:$BR97,$D89+1))</f>
        <v/>
      </c>
      <c r="AK89" s="14" t="str">
        <f>IF(ISERROR(HLOOKUP(N89,$BM$19:$BR97,$D89+1)),"",HLOOKUP(N89,$BM$19:$BR97,$D89+1))</f>
        <v/>
      </c>
      <c r="AL89" s="14" t="str">
        <f>IF(ISERROR(HLOOKUP(O89,$BM$19:$BR97,$D89+1)),"",HLOOKUP(O89,$BM$19:$BR97,$D89+1))</f>
        <v/>
      </c>
      <c r="AM89" s="14" t="str">
        <f>IF(ISERROR(HLOOKUP(P89,$BM$19:$BR97,$D89+1)),"",HLOOKUP(P89,$BM$19:$BR97,$D89+1))</f>
        <v/>
      </c>
      <c r="AN89" s="14" t="str">
        <f>IF(ISERROR(HLOOKUP(Q89,$BM$19:$BR97,$D89+1)),"",HLOOKUP(Q89,$BM$19:$BR97,$D89+1))</f>
        <v/>
      </c>
      <c r="AO89" s="14" t="str">
        <f>IF(ISERROR(HLOOKUP(R89,$BM$19:$BR97,$D89+1)),"",HLOOKUP(R89,$BM$19:$BR97,$D89+1))</f>
        <v/>
      </c>
      <c r="AP89" s="14" t="str">
        <f>IF(ISERROR(HLOOKUP(S89,$BM$19:$BR97,$D89+1)),"",HLOOKUP(S89,$BM$19:$BR97,$D89+1))</f>
        <v/>
      </c>
      <c r="AQ89" s="14" t="str">
        <f>IF(ISERROR(HLOOKUP(T89,$BM$19:$BR97,$D89+1)),"",HLOOKUP(T89,$BM$19:$BR97,$D89+1))</f>
        <v/>
      </c>
      <c r="AR89" s="14" t="str">
        <f>IF(ISERROR(HLOOKUP(U89,$BM$19:$BR97,$D89+1)),"",HLOOKUP(U89,$BM$19:$BR97,$D89+1))</f>
        <v/>
      </c>
      <c r="AS89" s="14" t="str">
        <f>IF(ISERROR(HLOOKUP(V89,$BM$19:$BR97,$D89+1)),"",HLOOKUP(V89,$BM$19:$BR97,$D89+1))</f>
        <v/>
      </c>
      <c r="AT89" s="14" t="str">
        <f>IF(ISERROR(HLOOKUP(W89,$BM$19:$BR97,$D89+1)),"",HLOOKUP(W89,$BM$19:$BR97,$D89+1))</f>
        <v/>
      </c>
      <c r="AU89" s="14" t="str">
        <f>IF(ISERROR(HLOOKUP(X89,$BM$19:$BR97,$D89+1)),"",HLOOKUP(X89,$BM$19:$BR97,$D89+1))</f>
        <v/>
      </c>
      <c r="AV89" s="111" t="s">
        <v>208</v>
      </c>
      <c r="AW89" s="111" t="s">
        <v>208</v>
      </c>
    </row>
    <row r="90" spans="1:49" ht="27" customHeight="1">
      <c r="A90" s="25">
        <v>75</v>
      </c>
      <c r="B90" s="156"/>
      <c r="C90" s="153"/>
      <c r="D90" s="150"/>
      <c r="E90" s="151"/>
      <c r="F90" s="151"/>
      <c r="G90" s="151"/>
      <c r="H90" s="151"/>
      <c r="I90" s="151"/>
      <c r="J90" s="151"/>
      <c r="K90" s="151"/>
      <c r="L90" s="151"/>
      <c r="M90" s="151"/>
      <c r="N90" s="151"/>
      <c r="O90" s="151"/>
      <c r="P90" s="151"/>
      <c r="Q90" s="151"/>
      <c r="R90" s="151"/>
      <c r="S90" s="151"/>
      <c r="T90" s="151"/>
      <c r="U90" s="151"/>
      <c r="V90" s="151"/>
      <c r="W90" s="151"/>
      <c r="X90" s="151"/>
      <c r="Y90" s="163">
        <f t="shared" si="3"/>
        <v>0</v>
      </c>
      <c r="Z90" s="112"/>
      <c r="AA90" s="112"/>
      <c r="AB90" s="14" t="str">
        <f>IF(ISERROR(HLOOKUP(E90,$BM$19:$BR98,$D90+1)),"",HLOOKUP(E90,$BM$19:$BR98,$D90+1))</f>
        <v/>
      </c>
      <c r="AC90" s="14" t="str">
        <f>IF(ISERROR(HLOOKUP(F90,$BM$19:$BR98,$D90+1)),"",HLOOKUP(F90,$BM$19:$BR98,$D90+1))</f>
        <v/>
      </c>
      <c r="AD90" s="14" t="str">
        <f>IF(ISERROR(HLOOKUP(G90,$BM$19:$BR98,$D90+1)),"",HLOOKUP(G90,$BM$19:$BR98,$D90+1))</f>
        <v/>
      </c>
      <c r="AE90" s="14" t="str">
        <f>IF(ISERROR(HLOOKUP(H90,$BM$19:$BR98,$D90+1)),"",HLOOKUP(H90,$BM$19:$BR98,$D90+1))</f>
        <v/>
      </c>
      <c r="AF90" s="14" t="str">
        <f>IF(ISERROR(HLOOKUP(I90,$BM$19:$BR98,$D90+1)),"",HLOOKUP(I90,$BM$19:$BR98,$D90+1))</f>
        <v/>
      </c>
      <c r="AG90" s="14" t="str">
        <f>IF(ISERROR(HLOOKUP(J90,$BM$19:$BR98,$D90+1)),"",HLOOKUP(J90,$BM$19:$BR98,$D90+1))</f>
        <v/>
      </c>
      <c r="AH90" s="14" t="str">
        <f>IF(ISERROR(HLOOKUP(K90,$BM$19:$BR98,$D90+1)),"",HLOOKUP(K90,$BM$19:$BR98,$D90+1))</f>
        <v/>
      </c>
      <c r="AI90" s="14" t="str">
        <f>IF(ISERROR(HLOOKUP(L90,$BM$19:$BR98,$D90+1)),"",HLOOKUP(L90,$BM$19:$BR98,$D90+1))</f>
        <v/>
      </c>
      <c r="AJ90" s="14" t="str">
        <f>IF(ISERROR(HLOOKUP(M90,$BM$19:$BR98,$D90+1)),"",HLOOKUP(M90,$BM$19:$BR98,$D90+1))</f>
        <v/>
      </c>
      <c r="AK90" s="14" t="str">
        <f>IF(ISERROR(HLOOKUP(N90,$BM$19:$BR98,$D90+1)),"",HLOOKUP(N90,$BM$19:$BR98,$D90+1))</f>
        <v/>
      </c>
      <c r="AL90" s="14" t="str">
        <f>IF(ISERROR(HLOOKUP(O90,$BM$19:$BR98,$D90+1)),"",HLOOKUP(O90,$BM$19:$BR98,$D90+1))</f>
        <v/>
      </c>
      <c r="AM90" s="14" t="str">
        <f>IF(ISERROR(HLOOKUP(P90,$BM$19:$BR98,$D90+1)),"",HLOOKUP(P90,$BM$19:$BR98,$D90+1))</f>
        <v/>
      </c>
      <c r="AN90" s="14" t="str">
        <f>IF(ISERROR(HLOOKUP(Q90,$BM$19:$BR98,$D90+1)),"",HLOOKUP(Q90,$BM$19:$BR98,$D90+1))</f>
        <v/>
      </c>
      <c r="AO90" s="14" t="str">
        <f>IF(ISERROR(HLOOKUP(R90,$BM$19:$BR98,$D90+1)),"",HLOOKUP(R90,$BM$19:$BR98,$D90+1))</f>
        <v/>
      </c>
      <c r="AP90" s="14" t="str">
        <f>IF(ISERROR(HLOOKUP(S90,$BM$19:$BR98,$D90+1)),"",HLOOKUP(S90,$BM$19:$BR98,$D90+1))</f>
        <v/>
      </c>
      <c r="AQ90" s="14" t="str">
        <f>IF(ISERROR(HLOOKUP(T90,$BM$19:$BR98,$D90+1)),"",HLOOKUP(T90,$BM$19:$BR98,$D90+1))</f>
        <v/>
      </c>
      <c r="AR90" s="14" t="str">
        <f>IF(ISERROR(HLOOKUP(U90,$BM$19:$BR98,$D90+1)),"",HLOOKUP(U90,$BM$19:$BR98,$D90+1))</f>
        <v/>
      </c>
      <c r="AS90" s="14" t="str">
        <f>IF(ISERROR(HLOOKUP(V90,$BM$19:$BR98,$D90+1)),"",HLOOKUP(V90,$BM$19:$BR98,$D90+1))</f>
        <v/>
      </c>
      <c r="AT90" s="14" t="str">
        <f>IF(ISERROR(HLOOKUP(W90,$BM$19:$BR98,$D90+1)),"",HLOOKUP(W90,$BM$19:$BR98,$D90+1))</f>
        <v/>
      </c>
      <c r="AU90" s="14" t="str">
        <f>IF(ISERROR(HLOOKUP(X90,$BM$19:$BR98,$D90+1)),"",HLOOKUP(X90,$BM$19:$BR98,$D90+1))</f>
        <v/>
      </c>
      <c r="AV90" s="111" t="s">
        <v>208</v>
      </c>
      <c r="AW90" s="111" t="s">
        <v>208</v>
      </c>
    </row>
    <row r="91" spans="1:49" ht="27" customHeight="1">
      <c r="A91" s="25">
        <v>76</v>
      </c>
      <c r="B91" s="156"/>
      <c r="C91" s="153"/>
      <c r="D91" s="150"/>
      <c r="E91" s="151"/>
      <c r="F91" s="151"/>
      <c r="G91" s="151"/>
      <c r="H91" s="151"/>
      <c r="I91" s="151"/>
      <c r="J91" s="151"/>
      <c r="K91" s="151"/>
      <c r="L91" s="151"/>
      <c r="M91" s="151"/>
      <c r="N91" s="151"/>
      <c r="O91" s="151"/>
      <c r="P91" s="151"/>
      <c r="Q91" s="151"/>
      <c r="R91" s="151"/>
      <c r="S91" s="151"/>
      <c r="T91" s="151"/>
      <c r="U91" s="151"/>
      <c r="V91" s="151"/>
      <c r="W91" s="151"/>
      <c r="X91" s="151"/>
      <c r="Y91" s="163">
        <f t="shared" si="3"/>
        <v>0</v>
      </c>
      <c r="Z91" s="112"/>
      <c r="AA91" s="112"/>
      <c r="AB91" s="14" t="str">
        <f>IF(ISERROR(HLOOKUP(E91,$BM$19:$BR99,$D91+1)),"",HLOOKUP(E91,$BM$19:$BR99,$D91+1))</f>
        <v/>
      </c>
      <c r="AC91" s="14" t="str">
        <f>IF(ISERROR(HLOOKUP(F91,$BM$19:$BR99,$D91+1)),"",HLOOKUP(F91,$BM$19:$BR99,$D91+1))</f>
        <v/>
      </c>
      <c r="AD91" s="14" t="str">
        <f>IF(ISERROR(HLOOKUP(G91,$BM$19:$BR99,$D91+1)),"",HLOOKUP(G91,$BM$19:$BR99,$D91+1))</f>
        <v/>
      </c>
      <c r="AE91" s="14" t="str">
        <f>IF(ISERROR(HLOOKUP(H91,$BM$19:$BR99,$D91+1)),"",HLOOKUP(H91,$BM$19:$BR99,$D91+1))</f>
        <v/>
      </c>
      <c r="AF91" s="14" t="str">
        <f>IF(ISERROR(HLOOKUP(I91,$BM$19:$BR99,$D91+1)),"",HLOOKUP(I91,$BM$19:$BR99,$D91+1))</f>
        <v/>
      </c>
      <c r="AG91" s="14" t="str">
        <f>IF(ISERROR(HLOOKUP(J91,$BM$19:$BR99,$D91+1)),"",HLOOKUP(J91,$BM$19:$BR99,$D91+1))</f>
        <v/>
      </c>
      <c r="AH91" s="14" t="str">
        <f>IF(ISERROR(HLOOKUP(K91,$BM$19:$BR99,$D91+1)),"",HLOOKUP(K91,$BM$19:$BR99,$D91+1))</f>
        <v/>
      </c>
      <c r="AI91" s="14" t="str">
        <f>IF(ISERROR(HLOOKUP(L91,$BM$19:$BR99,$D91+1)),"",HLOOKUP(L91,$BM$19:$BR99,$D91+1))</f>
        <v/>
      </c>
      <c r="AJ91" s="14" t="str">
        <f>IF(ISERROR(HLOOKUP(M91,$BM$19:$BR99,$D91+1)),"",HLOOKUP(M91,$BM$19:$BR99,$D91+1))</f>
        <v/>
      </c>
      <c r="AK91" s="14" t="str">
        <f>IF(ISERROR(HLOOKUP(N91,$BM$19:$BR99,$D91+1)),"",HLOOKUP(N91,$BM$19:$BR99,$D91+1))</f>
        <v/>
      </c>
      <c r="AL91" s="14" t="str">
        <f>IF(ISERROR(HLOOKUP(O91,$BM$19:$BR99,$D91+1)),"",HLOOKUP(O91,$BM$19:$BR99,$D91+1))</f>
        <v/>
      </c>
      <c r="AM91" s="14" t="str">
        <f>IF(ISERROR(HLOOKUP(P91,$BM$19:$BR99,$D91+1)),"",HLOOKUP(P91,$BM$19:$BR99,$D91+1))</f>
        <v/>
      </c>
      <c r="AN91" s="14" t="str">
        <f>IF(ISERROR(HLOOKUP(Q91,$BM$19:$BR99,$D91+1)),"",HLOOKUP(Q91,$BM$19:$BR99,$D91+1))</f>
        <v/>
      </c>
      <c r="AO91" s="14" t="str">
        <f>IF(ISERROR(HLOOKUP(R91,$BM$19:$BR99,$D91+1)),"",HLOOKUP(R91,$BM$19:$BR99,$D91+1))</f>
        <v/>
      </c>
      <c r="AP91" s="14" t="str">
        <f>IF(ISERROR(HLOOKUP(S91,$BM$19:$BR99,$D91+1)),"",HLOOKUP(S91,$BM$19:$BR99,$D91+1))</f>
        <v/>
      </c>
      <c r="AQ91" s="14" t="str">
        <f>IF(ISERROR(HLOOKUP(T91,$BM$19:$BR99,$D91+1)),"",HLOOKUP(T91,$BM$19:$BR99,$D91+1))</f>
        <v/>
      </c>
      <c r="AR91" s="14" t="str">
        <f>IF(ISERROR(HLOOKUP(U91,$BM$19:$BR99,$D91+1)),"",HLOOKUP(U91,$BM$19:$BR99,$D91+1))</f>
        <v/>
      </c>
      <c r="AS91" s="14" t="str">
        <f>IF(ISERROR(HLOOKUP(V91,$BM$19:$BR99,$D91+1)),"",HLOOKUP(V91,$BM$19:$BR99,$D91+1))</f>
        <v/>
      </c>
      <c r="AT91" s="14" t="str">
        <f>IF(ISERROR(HLOOKUP(W91,$BM$19:$BR99,$D91+1)),"",HLOOKUP(W91,$BM$19:$BR99,$D91+1))</f>
        <v/>
      </c>
      <c r="AU91" s="14" t="str">
        <f>IF(ISERROR(HLOOKUP(X91,$BM$19:$BR99,$D91+1)),"",HLOOKUP(X91,$BM$19:$BR99,$D91+1))</f>
        <v/>
      </c>
      <c r="AV91" s="111" t="s">
        <v>208</v>
      </c>
      <c r="AW91" s="111" t="s">
        <v>208</v>
      </c>
    </row>
    <row r="92" spans="1:49" ht="27" customHeight="1">
      <c r="A92" s="25">
        <v>77</v>
      </c>
      <c r="B92" s="156"/>
      <c r="C92" s="153"/>
      <c r="D92" s="150"/>
      <c r="E92" s="151"/>
      <c r="F92" s="151"/>
      <c r="G92" s="151"/>
      <c r="H92" s="151"/>
      <c r="I92" s="151"/>
      <c r="J92" s="151"/>
      <c r="K92" s="151"/>
      <c r="L92" s="151"/>
      <c r="M92" s="151"/>
      <c r="N92" s="151"/>
      <c r="O92" s="151"/>
      <c r="P92" s="151"/>
      <c r="Q92" s="151"/>
      <c r="R92" s="151"/>
      <c r="S92" s="151"/>
      <c r="T92" s="151"/>
      <c r="U92" s="151"/>
      <c r="V92" s="151"/>
      <c r="W92" s="151"/>
      <c r="X92" s="151"/>
      <c r="Y92" s="163">
        <f t="shared" si="3"/>
        <v>0</v>
      </c>
      <c r="Z92" s="112"/>
      <c r="AA92" s="112"/>
      <c r="AB92" s="14" t="str">
        <f>IF(ISERROR(HLOOKUP(E92,$BM$19:$BR100,$D92+1)),"",HLOOKUP(E92,$BM$19:$BR100,$D92+1))</f>
        <v/>
      </c>
      <c r="AC92" s="14" t="str">
        <f>IF(ISERROR(HLOOKUP(F92,$BM$19:$BR100,$D92+1)),"",HLOOKUP(F92,$BM$19:$BR100,$D92+1))</f>
        <v/>
      </c>
      <c r="AD92" s="14" t="str">
        <f>IF(ISERROR(HLOOKUP(G92,$BM$19:$BR100,$D92+1)),"",HLOOKUP(G92,$BM$19:$BR100,$D92+1))</f>
        <v/>
      </c>
      <c r="AE92" s="14" t="str">
        <f>IF(ISERROR(HLOOKUP(H92,$BM$19:$BR100,$D92+1)),"",HLOOKUP(H92,$BM$19:$BR100,$D92+1))</f>
        <v/>
      </c>
      <c r="AF92" s="14" t="str">
        <f>IF(ISERROR(HLOOKUP(I92,$BM$19:$BR100,$D92+1)),"",HLOOKUP(I92,$BM$19:$BR100,$D92+1))</f>
        <v/>
      </c>
      <c r="AG92" s="14" t="str">
        <f>IF(ISERROR(HLOOKUP(J92,$BM$19:$BR100,$D92+1)),"",HLOOKUP(J92,$BM$19:$BR100,$D92+1))</f>
        <v/>
      </c>
      <c r="AH92" s="14" t="str">
        <f>IF(ISERROR(HLOOKUP(K92,$BM$19:$BR100,$D92+1)),"",HLOOKUP(K92,$BM$19:$BR100,$D92+1))</f>
        <v/>
      </c>
      <c r="AI92" s="14" t="str">
        <f>IF(ISERROR(HLOOKUP(L92,$BM$19:$BR100,$D92+1)),"",HLOOKUP(L92,$BM$19:$BR100,$D92+1))</f>
        <v/>
      </c>
      <c r="AJ92" s="14" t="str">
        <f>IF(ISERROR(HLOOKUP(M92,$BM$19:$BR100,$D92+1)),"",HLOOKUP(M92,$BM$19:$BR100,$D92+1))</f>
        <v/>
      </c>
      <c r="AK92" s="14" t="str">
        <f>IF(ISERROR(HLOOKUP(N92,$BM$19:$BR100,$D92+1)),"",HLOOKUP(N92,$BM$19:$BR100,$D92+1))</f>
        <v/>
      </c>
      <c r="AL92" s="14" t="str">
        <f>IF(ISERROR(HLOOKUP(O92,$BM$19:$BR100,$D92+1)),"",HLOOKUP(O92,$BM$19:$BR100,$D92+1))</f>
        <v/>
      </c>
      <c r="AM92" s="14" t="str">
        <f>IF(ISERROR(HLOOKUP(P92,$BM$19:$BR100,$D92+1)),"",HLOOKUP(P92,$BM$19:$BR100,$D92+1))</f>
        <v/>
      </c>
      <c r="AN92" s="14" t="str">
        <f>IF(ISERROR(HLOOKUP(Q92,$BM$19:$BR100,$D92+1)),"",HLOOKUP(Q92,$BM$19:$BR100,$D92+1))</f>
        <v/>
      </c>
      <c r="AO92" s="14" t="str">
        <f>IF(ISERROR(HLOOKUP(R92,$BM$19:$BR100,$D92+1)),"",HLOOKUP(R92,$BM$19:$BR100,$D92+1))</f>
        <v/>
      </c>
      <c r="AP92" s="14" t="str">
        <f>IF(ISERROR(HLOOKUP(S92,$BM$19:$BR100,$D92+1)),"",HLOOKUP(S92,$BM$19:$BR100,$D92+1))</f>
        <v/>
      </c>
      <c r="AQ92" s="14" t="str">
        <f>IF(ISERROR(HLOOKUP(T92,$BM$19:$BR100,$D92+1)),"",HLOOKUP(T92,$BM$19:$BR100,$D92+1))</f>
        <v/>
      </c>
      <c r="AR92" s="14" t="str">
        <f>IF(ISERROR(HLOOKUP(U92,$BM$19:$BR100,$D92+1)),"",HLOOKUP(U92,$BM$19:$BR100,$D92+1))</f>
        <v/>
      </c>
      <c r="AS92" s="14" t="str">
        <f>IF(ISERROR(HLOOKUP(V92,$BM$19:$BR100,$D92+1)),"",HLOOKUP(V92,$BM$19:$BR100,$D92+1))</f>
        <v/>
      </c>
      <c r="AT92" s="14" t="str">
        <f>IF(ISERROR(HLOOKUP(W92,$BM$19:$BR100,$D92+1)),"",HLOOKUP(W92,$BM$19:$BR100,$D92+1))</f>
        <v/>
      </c>
      <c r="AU92" s="14" t="str">
        <f>IF(ISERROR(HLOOKUP(X92,$BM$19:$BR100,$D92+1)),"",HLOOKUP(X92,$BM$19:$BR100,$D92+1))</f>
        <v/>
      </c>
      <c r="AV92" s="111" t="s">
        <v>208</v>
      </c>
      <c r="AW92" s="111" t="s">
        <v>208</v>
      </c>
    </row>
    <row r="93" spans="1:49" ht="27" customHeight="1">
      <c r="A93" s="25">
        <v>78</v>
      </c>
      <c r="B93" s="156"/>
      <c r="C93" s="153"/>
      <c r="D93" s="150"/>
      <c r="E93" s="151"/>
      <c r="F93" s="151"/>
      <c r="G93" s="151"/>
      <c r="H93" s="151"/>
      <c r="I93" s="151"/>
      <c r="J93" s="151"/>
      <c r="K93" s="151"/>
      <c r="L93" s="151"/>
      <c r="M93" s="151"/>
      <c r="N93" s="151"/>
      <c r="O93" s="151"/>
      <c r="P93" s="151"/>
      <c r="Q93" s="151"/>
      <c r="R93" s="151"/>
      <c r="S93" s="151"/>
      <c r="T93" s="151"/>
      <c r="U93" s="151"/>
      <c r="V93" s="151"/>
      <c r="W93" s="151"/>
      <c r="X93" s="151"/>
      <c r="Y93" s="163">
        <f t="shared" si="3"/>
        <v>0</v>
      </c>
      <c r="Z93" s="112"/>
      <c r="AA93" s="112"/>
      <c r="AB93" s="14" t="str">
        <f>IF(ISERROR(HLOOKUP(E93,$BM$19:$BR101,$D93+1)),"",HLOOKUP(E93,$BM$19:$BR101,$D93+1))</f>
        <v/>
      </c>
      <c r="AC93" s="14" t="str">
        <f>IF(ISERROR(HLOOKUP(F93,$BM$19:$BR101,$D93+1)),"",HLOOKUP(F93,$BM$19:$BR101,$D93+1))</f>
        <v/>
      </c>
      <c r="AD93" s="14" t="str">
        <f>IF(ISERROR(HLOOKUP(G93,$BM$19:$BR101,$D93+1)),"",HLOOKUP(G93,$BM$19:$BR101,$D93+1))</f>
        <v/>
      </c>
      <c r="AE93" s="14" t="str">
        <f>IF(ISERROR(HLOOKUP(H93,$BM$19:$BR101,$D93+1)),"",HLOOKUP(H93,$BM$19:$BR101,$D93+1))</f>
        <v/>
      </c>
      <c r="AF93" s="14" t="str">
        <f>IF(ISERROR(HLOOKUP(I93,$BM$19:$BR101,$D93+1)),"",HLOOKUP(I93,$BM$19:$BR101,$D93+1))</f>
        <v/>
      </c>
      <c r="AG93" s="14" t="str">
        <f>IF(ISERROR(HLOOKUP(J93,$BM$19:$BR101,$D93+1)),"",HLOOKUP(J93,$BM$19:$BR101,$D93+1))</f>
        <v/>
      </c>
      <c r="AH93" s="14" t="str">
        <f>IF(ISERROR(HLOOKUP(K93,$BM$19:$BR101,$D93+1)),"",HLOOKUP(K93,$BM$19:$BR101,$D93+1))</f>
        <v/>
      </c>
      <c r="AI93" s="14" t="str">
        <f>IF(ISERROR(HLOOKUP(L93,$BM$19:$BR101,$D93+1)),"",HLOOKUP(L93,$BM$19:$BR101,$D93+1))</f>
        <v/>
      </c>
      <c r="AJ93" s="14" t="str">
        <f>IF(ISERROR(HLOOKUP(M93,$BM$19:$BR101,$D93+1)),"",HLOOKUP(M93,$BM$19:$BR101,$D93+1))</f>
        <v/>
      </c>
      <c r="AK93" s="14" t="str">
        <f>IF(ISERROR(HLOOKUP(N93,$BM$19:$BR101,$D93+1)),"",HLOOKUP(N93,$BM$19:$BR101,$D93+1))</f>
        <v/>
      </c>
      <c r="AL93" s="14" t="str">
        <f>IF(ISERROR(HLOOKUP(O93,$BM$19:$BR101,$D93+1)),"",HLOOKUP(O93,$BM$19:$BR101,$D93+1))</f>
        <v/>
      </c>
      <c r="AM93" s="14" t="str">
        <f>IF(ISERROR(HLOOKUP(P93,$BM$19:$BR101,$D93+1)),"",HLOOKUP(P93,$BM$19:$BR101,$D93+1))</f>
        <v/>
      </c>
      <c r="AN93" s="14" t="str">
        <f>IF(ISERROR(HLOOKUP(Q93,$BM$19:$BR101,$D93+1)),"",HLOOKUP(Q93,$BM$19:$BR101,$D93+1))</f>
        <v/>
      </c>
      <c r="AO93" s="14" t="str">
        <f>IF(ISERROR(HLOOKUP(R93,$BM$19:$BR101,$D93+1)),"",HLOOKUP(R93,$BM$19:$BR101,$D93+1))</f>
        <v/>
      </c>
      <c r="AP93" s="14" t="str">
        <f>IF(ISERROR(HLOOKUP(S93,$BM$19:$BR101,$D93+1)),"",HLOOKUP(S93,$BM$19:$BR101,$D93+1))</f>
        <v/>
      </c>
      <c r="AQ93" s="14" t="str">
        <f>IF(ISERROR(HLOOKUP(T93,$BM$19:$BR101,$D93+1)),"",HLOOKUP(T93,$BM$19:$BR101,$D93+1))</f>
        <v/>
      </c>
      <c r="AR93" s="14" t="str">
        <f>IF(ISERROR(HLOOKUP(U93,$BM$19:$BR101,$D93+1)),"",HLOOKUP(U93,$BM$19:$BR101,$D93+1))</f>
        <v/>
      </c>
      <c r="AS93" s="14" t="str">
        <f>IF(ISERROR(HLOOKUP(V93,$BM$19:$BR101,$D93+1)),"",HLOOKUP(V93,$BM$19:$BR101,$D93+1))</f>
        <v/>
      </c>
      <c r="AT93" s="14" t="str">
        <f>IF(ISERROR(HLOOKUP(W93,$BM$19:$BR101,$D93+1)),"",HLOOKUP(W93,$BM$19:$BR101,$D93+1))</f>
        <v/>
      </c>
      <c r="AU93" s="14" t="str">
        <f>IF(ISERROR(HLOOKUP(X93,$BM$19:$BR101,$D93+1)),"",HLOOKUP(X93,$BM$19:$BR101,$D93+1))</f>
        <v/>
      </c>
      <c r="AV93" s="111" t="s">
        <v>208</v>
      </c>
      <c r="AW93" s="111" t="s">
        <v>208</v>
      </c>
    </row>
    <row r="94" spans="1:49" ht="27" customHeight="1">
      <c r="A94" s="25">
        <v>79</v>
      </c>
      <c r="B94" s="156"/>
      <c r="C94" s="153"/>
      <c r="D94" s="150"/>
      <c r="E94" s="151"/>
      <c r="F94" s="151"/>
      <c r="G94" s="151"/>
      <c r="H94" s="151"/>
      <c r="I94" s="151"/>
      <c r="J94" s="151"/>
      <c r="K94" s="151"/>
      <c r="L94" s="151"/>
      <c r="M94" s="151"/>
      <c r="N94" s="151"/>
      <c r="O94" s="151"/>
      <c r="P94" s="151"/>
      <c r="Q94" s="151"/>
      <c r="R94" s="151"/>
      <c r="S94" s="151"/>
      <c r="T94" s="151"/>
      <c r="U94" s="151"/>
      <c r="V94" s="151"/>
      <c r="W94" s="151"/>
      <c r="X94" s="151"/>
      <c r="Y94" s="163">
        <f t="shared" si="3"/>
        <v>0</v>
      </c>
      <c r="Z94" s="112"/>
      <c r="AA94" s="112"/>
      <c r="AB94" s="14" t="str">
        <f>IF(ISERROR(HLOOKUP(E94,$BM$19:$BR102,$D94+1)),"",HLOOKUP(E94,$BM$19:$BR102,$D94+1))</f>
        <v/>
      </c>
      <c r="AC94" s="14" t="str">
        <f>IF(ISERROR(HLOOKUP(F94,$BM$19:$BR102,$D94+1)),"",HLOOKUP(F94,$BM$19:$BR102,$D94+1))</f>
        <v/>
      </c>
      <c r="AD94" s="14" t="str">
        <f>IF(ISERROR(HLOOKUP(G94,$BM$19:$BR102,$D94+1)),"",HLOOKUP(G94,$BM$19:$BR102,$D94+1))</f>
        <v/>
      </c>
      <c r="AE94" s="14" t="str">
        <f>IF(ISERROR(HLOOKUP(H94,$BM$19:$BR102,$D94+1)),"",HLOOKUP(H94,$BM$19:$BR102,$D94+1))</f>
        <v/>
      </c>
      <c r="AF94" s="14" t="str">
        <f>IF(ISERROR(HLOOKUP(I94,$BM$19:$BR102,$D94+1)),"",HLOOKUP(I94,$BM$19:$BR102,$D94+1))</f>
        <v/>
      </c>
      <c r="AG94" s="14" t="str">
        <f>IF(ISERROR(HLOOKUP(J94,$BM$19:$BR102,$D94+1)),"",HLOOKUP(J94,$BM$19:$BR102,$D94+1))</f>
        <v/>
      </c>
      <c r="AH94" s="14" t="str">
        <f>IF(ISERROR(HLOOKUP(K94,$BM$19:$BR102,$D94+1)),"",HLOOKUP(K94,$BM$19:$BR102,$D94+1))</f>
        <v/>
      </c>
      <c r="AI94" s="14" t="str">
        <f>IF(ISERROR(HLOOKUP(L94,$BM$19:$BR102,$D94+1)),"",HLOOKUP(L94,$BM$19:$BR102,$D94+1))</f>
        <v/>
      </c>
      <c r="AJ94" s="14" t="str">
        <f>IF(ISERROR(HLOOKUP(M94,$BM$19:$BR102,$D94+1)),"",HLOOKUP(M94,$BM$19:$BR102,$D94+1))</f>
        <v/>
      </c>
      <c r="AK94" s="14" t="str">
        <f>IF(ISERROR(HLOOKUP(N94,$BM$19:$BR102,$D94+1)),"",HLOOKUP(N94,$BM$19:$BR102,$D94+1))</f>
        <v/>
      </c>
      <c r="AL94" s="14" t="str">
        <f>IF(ISERROR(HLOOKUP(O94,$BM$19:$BR102,$D94+1)),"",HLOOKUP(O94,$BM$19:$BR102,$D94+1))</f>
        <v/>
      </c>
      <c r="AM94" s="14" t="str">
        <f>IF(ISERROR(HLOOKUP(P94,$BM$19:$BR102,$D94+1)),"",HLOOKUP(P94,$BM$19:$BR102,$D94+1))</f>
        <v/>
      </c>
      <c r="AN94" s="14" t="str">
        <f>IF(ISERROR(HLOOKUP(Q94,$BM$19:$BR102,$D94+1)),"",HLOOKUP(Q94,$BM$19:$BR102,$D94+1))</f>
        <v/>
      </c>
      <c r="AO94" s="14" t="str">
        <f>IF(ISERROR(HLOOKUP(R94,$BM$19:$BR102,$D94+1)),"",HLOOKUP(R94,$BM$19:$BR102,$D94+1))</f>
        <v/>
      </c>
      <c r="AP94" s="14" t="str">
        <f>IF(ISERROR(HLOOKUP(S94,$BM$19:$BR102,$D94+1)),"",HLOOKUP(S94,$BM$19:$BR102,$D94+1))</f>
        <v/>
      </c>
      <c r="AQ94" s="14" t="str">
        <f>IF(ISERROR(HLOOKUP(T94,$BM$19:$BR102,$D94+1)),"",HLOOKUP(T94,$BM$19:$BR102,$D94+1))</f>
        <v/>
      </c>
      <c r="AR94" s="14" t="str">
        <f>IF(ISERROR(HLOOKUP(U94,$BM$19:$BR102,$D94+1)),"",HLOOKUP(U94,$BM$19:$BR102,$D94+1))</f>
        <v/>
      </c>
      <c r="AS94" s="14" t="str">
        <f>IF(ISERROR(HLOOKUP(V94,$BM$19:$BR102,$D94+1)),"",HLOOKUP(V94,$BM$19:$BR102,$D94+1))</f>
        <v/>
      </c>
      <c r="AT94" s="14" t="str">
        <f>IF(ISERROR(HLOOKUP(W94,$BM$19:$BR102,$D94+1)),"",HLOOKUP(W94,$BM$19:$BR102,$D94+1))</f>
        <v/>
      </c>
      <c r="AU94" s="14" t="str">
        <f>IF(ISERROR(HLOOKUP(X94,$BM$19:$BR102,$D94+1)),"",HLOOKUP(X94,$BM$19:$BR102,$D94+1))</f>
        <v/>
      </c>
      <c r="AV94" s="111" t="s">
        <v>208</v>
      </c>
      <c r="AW94" s="111" t="s">
        <v>208</v>
      </c>
    </row>
    <row r="95" spans="1:49" ht="27" customHeight="1">
      <c r="A95" s="25">
        <v>80</v>
      </c>
      <c r="B95" s="156"/>
      <c r="C95" s="153"/>
      <c r="D95" s="150"/>
      <c r="E95" s="151"/>
      <c r="F95" s="151"/>
      <c r="G95" s="151"/>
      <c r="H95" s="151"/>
      <c r="I95" s="151"/>
      <c r="J95" s="151"/>
      <c r="K95" s="151"/>
      <c r="L95" s="151"/>
      <c r="M95" s="151"/>
      <c r="N95" s="151"/>
      <c r="O95" s="151"/>
      <c r="P95" s="151"/>
      <c r="Q95" s="151"/>
      <c r="R95" s="151"/>
      <c r="S95" s="151"/>
      <c r="T95" s="151"/>
      <c r="U95" s="151"/>
      <c r="V95" s="151"/>
      <c r="W95" s="151"/>
      <c r="X95" s="151"/>
      <c r="Y95" s="163">
        <f t="shared" si="3"/>
        <v>0</v>
      </c>
      <c r="Z95" s="112"/>
      <c r="AA95" s="112"/>
      <c r="AB95" s="14" t="str">
        <f>IF(ISERROR(HLOOKUP(E95,$BM$19:$BR103,$D95+1)),"",HLOOKUP(E95,$BM$19:$BR103,$D95+1))</f>
        <v/>
      </c>
      <c r="AC95" s="14" t="str">
        <f>IF(ISERROR(HLOOKUP(F95,$BM$19:$BR103,$D95+1)),"",HLOOKUP(F95,$BM$19:$BR103,$D95+1))</f>
        <v/>
      </c>
      <c r="AD95" s="14" t="str">
        <f>IF(ISERROR(HLOOKUP(G95,$BM$19:$BR103,$D95+1)),"",HLOOKUP(G95,$BM$19:$BR103,$D95+1))</f>
        <v/>
      </c>
      <c r="AE95" s="14" t="str">
        <f>IF(ISERROR(HLOOKUP(H95,$BM$19:$BR103,$D95+1)),"",HLOOKUP(H95,$BM$19:$BR103,$D95+1))</f>
        <v/>
      </c>
      <c r="AF95" s="14" t="str">
        <f>IF(ISERROR(HLOOKUP(I95,$BM$19:$BR103,$D95+1)),"",HLOOKUP(I95,$BM$19:$BR103,$D95+1))</f>
        <v/>
      </c>
      <c r="AG95" s="14" t="str">
        <f>IF(ISERROR(HLOOKUP(J95,$BM$19:$BR103,$D95+1)),"",HLOOKUP(J95,$BM$19:$BR103,$D95+1))</f>
        <v/>
      </c>
      <c r="AH95" s="14" t="str">
        <f>IF(ISERROR(HLOOKUP(K95,$BM$19:$BR103,$D95+1)),"",HLOOKUP(K95,$BM$19:$BR103,$D95+1))</f>
        <v/>
      </c>
      <c r="AI95" s="14" t="str">
        <f>IF(ISERROR(HLOOKUP(L95,$BM$19:$BR103,$D95+1)),"",HLOOKUP(L95,$BM$19:$BR103,$D95+1))</f>
        <v/>
      </c>
      <c r="AJ95" s="14" t="str">
        <f>IF(ISERROR(HLOOKUP(M95,$BM$19:$BR103,$D95+1)),"",HLOOKUP(M95,$BM$19:$BR103,$D95+1))</f>
        <v/>
      </c>
      <c r="AK95" s="14" t="str">
        <f>IF(ISERROR(HLOOKUP(N95,$BM$19:$BR103,$D95+1)),"",HLOOKUP(N95,$BM$19:$BR103,$D95+1))</f>
        <v/>
      </c>
      <c r="AL95" s="14" t="str">
        <f>IF(ISERROR(HLOOKUP(O95,$BM$19:$BR103,$D95+1)),"",HLOOKUP(O95,$BM$19:$BR103,$D95+1))</f>
        <v/>
      </c>
      <c r="AM95" s="14" t="str">
        <f>IF(ISERROR(HLOOKUP(P95,$BM$19:$BR103,$D95+1)),"",HLOOKUP(P95,$BM$19:$BR103,$D95+1))</f>
        <v/>
      </c>
      <c r="AN95" s="14" t="str">
        <f>IF(ISERROR(HLOOKUP(Q95,$BM$19:$BR103,$D95+1)),"",HLOOKUP(Q95,$BM$19:$BR103,$D95+1))</f>
        <v/>
      </c>
      <c r="AO95" s="14" t="str">
        <f>IF(ISERROR(HLOOKUP(R95,$BM$19:$BR103,$D95+1)),"",HLOOKUP(R95,$BM$19:$BR103,$D95+1))</f>
        <v/>
      </c>
      <c r="AP95" s="14" t="str">
        <f>IF(ISERROR(HLOOKUP(S95,$BM$19:$BR103,$D95+1)),"",HLOOKUP(S95,$BM$19:$BR103,$D95+1))</f>
        <v/>
      </c>
      <c r="AQ95" s="14" t="str">
        <f>IF(ISERROR(HLOOKUP(T95,$BM$19:$BR103,$D95+1)),"",HLOOKUP(T95,$BM$19:$BR103,$D95+1))</f>
        <v/>
      </c>
      <c r="AR95" s="14" t="str">
        <f>IF(ISERROR(HLOOKUP(U95,$BM$19:$BR103,$D95+1)),"",HLOOKUP(U95,$BM$19:$BR103,$D95+1))</f>
        <v/>
      </c>
      <c r="AS95" s="14" t="str">
        <f>IF(ISERROR(HLOOKUP(V95,$BM$19:$BR103,$D95+1)),"",HLOOKUP(V95,$BM$19:$BR103,$D95+1))</f>
        <v/>
      </c>
      <c r="AT95" s="14" t="str">
        <f>IF(ISERROR(HLOOKUP(W95,$BM$19:$BR103,$D95+1)),"",HLOOKUP(W95,$BM$19:$BR103,$D95+1))</f>
        <v/>
      </c>
      <c r="AU95" s="14" t="str">
        <f>IF(ISERROR(HLOOKUP(X95,$BM$19:$BR103,$D95+1)),"",HLOOKUP(X95,$BM$19:$BR103,$D95+1))</f>
        <v/>
      </c>
      <c r="AV95" s="111" t="s">
        <v>208</v>
      </c>
      <c r="AW95" s="111" t="s">
        <v>208</v>
      </c>
    </row>
    <row r="96" spans="1:49" ht="27" customHeight="1">
      <c r="A96" s="25">
        <v>81</v>
      </c>
      <c r="B96" s="156"/>
      <c r="C96" s="153"/>
      <c r="D96" s="150"/>
      <c r="E96" s="151"/>
      <c r="F96" s="151"/>
      <c r="G96" s="151"/>
      <c r="H96" s="151"/>
      <c r="I96" s="151"/>
      <c r="J96" s="151"/>
      <c r="K96" s="151"/>
      <c r="L96" s="151"/>
      <c r="M96" s="151"/>
      <c r="N96" s="151"/>
      <c r="O96" s="151"/>
      <c r="P96" s="151"/>
      <c r="Q96" s="151"/>
      <c r="R96" s="151"/>
      <c r="S96" s="151"/>
      <c r="T96" s="151"/>
      <c r="U96" s="151"/>
      <c r="V96" s="151"/>
      <c r="W96" s="151"/>
      <c r="X96" s="151"/>
      <c r="Y96" s="163">
        <f t="shared" si="3"/>
        <v>0</v>
      </c>
      <c r="Z96" s="112"/>
      <c r="AA96" s="112"/>
      <c r="AB96" s="14" t="str">
        <f>IF(ISERROR(HLOOKUP(E96,$BM$19:$BR104,$D96+1)),"",HLOOKUP(E96,$BM$19:$BR104,$D96+1))</f>
        <v/>
      </c>
      <c r="AC96" s="14" t="str">
        <f>IF(ISERROR(HLOOKUP(F96,$BM$19:$BR104,$D96+1)),"",HLOOKUP(F96,$BM$19:$BR104,$D96+1))</f>
        <v/>
      </c>
      <c r="AD96" s="14" t="str">
        <f>IF(ISERROR(HLOOKUP(G96,$BM$19:$BR104,$D96+1)),"",HLOOKUP(G96,$BM$19:$BR104,$D96+1))</f>
        <v/>
      </c>
      <c r="AE96" s="14" t="str">
        <f>IF(ISERROR(HLOOKUP(H96,$BM$19:$BR104,$D96+1)),"",HLOOKUP(H96,$BM$19:$BR104,$D96+1))</f>
        <v/>
      </c>
      <c r="AF96" s="14" t="str">
        <f>IF(ISERROR(HLOOKUP(I96,$BM$19:$BR104,$D96+1)),"",HLOOKUP(I96,$BM$19:$BR104,$D96+1))</f>
        <v/>
      </c>
      <c r="AG96" s="14" t="str">
        <f>IF(ISERROR(HLOOKUP(J96,$BM$19:$BR104,$D96+1)),"",HLOOKUP(J96,$BM$19:$BR104,$D96+1))</f>
        <v/>
      </c>
      <c r="AH96" s="14" t="str">
        <f>IF(ISERROR(HLOOKUP(K96,$BM$19:$BR104,$D96+1)),"",HLOOKUP(K96,$BM$19:$BR104,$D96+1))</f>
        <v/>
      </c>
      <c r="AI96" s="14" t="str">
        <f>IF(ISERROR(HLOOKUP(L96,$BM$19:$BR104,$D96+1)),"",HLOOKUP(L96,$BM$19:$BR104,$D96+1))</f>
        <v/>
      </c>
      <c r="AJ96" s="14" t="str">
        <f>IF(ISERROR(HLOOKUP(M96,$BM$19:$BR104,$D96+1)),"",HLOOKUP(M96,$BM$19:$BR104,$D96+1))</f>
        <v/>
      </c>
      <c r="AK96" s="14" t="str">
        <f>IF(ISERROR(HLOOKUP(N96,$BM$19:$BR104,$D96+1)),"",HLOOKUP(N96,$BM$19:$BR104,$D96+1))</f>
        <v/>
      </c>
      <c r="AL96" s="14" t="str">
        <f>IF(ISERROR(HLOOKUP(O96,$BM$19:$BR104,$D96+1)),"",HLOOKUP(O96,$BM$19:$BR104,$D96+1))</f>
        <v/>
      </c>
      <c r="AM96" s="14" t="str">
        <f>IF(ISERROR(HLOOKUP(P96,$BM$19:$BR104,$D96+1)),"",HLOOKUP(P96,$BM$19:$BR104,$D96+1))</f>
        <v/>
      </c>
      <c r="AN96" s="14" t="str">
        <f>IF(ISERROR(HLOOKUP(Q96,$BM$19:$BR104,$D96+1)),"",HLOOKUP(Q96,$BM$19:$BR104,$D96+1))</f>
        <v/>
      </c>
      <c r="AO96" s="14" t="str">
        <f>IF(ISERROR(HLOOKUP(R96,$BM$19:$BR104,$D96+1)),"",HLOOKUP(R96,$BM$19:$BR104,$D96+1))</f>
        <v/>
      </c>
      <c r="AP96" s="14" t="str">
        <f>IF(ISERROR(HLOOKUP(S96,$BM$19:$BR104,$D96+1)),"",HLOOKUP(S96,$BM$19:$BR104,$D96+1))</f>
        <v/>
      </c>
      <c r="AQ96" s="14" t="str">
        <f>IF(ISERROR(HLOOKUP(T96,$BM$19:$BR104,$D96+1)),"",HLOOKUP(T96,$BM$19:$BR104,$D96+1))</f>
        <v/>
      </c>
      <c r="AR96" s="14" t="str">
        <f>IF(ISERROR(HLOOKUP(U96,$BM$19:$BR104,$D96+1)),"",HLOOKUP(U96,$BM$19:$BR104,$D96+1))</f>
        <v/>
      </c>
      <c r="AS96" s="14" t="str">
        <f>IF(ISERROR(HLOOKUP(V96,$BM$19:$BR104,$D96+1)),"",HLOOKUP(V96,$BM$19:$BR104,$D96+1))</f>
        <v/>
      </c>
      <c r="AT96" s="14" t="str">
        <f>IF(ISERROR(HLOOKUP(W96,$BM$19:$BR104,$D96+1)),"",HLOOKUP(W96,$BM$19:$BR104,$D96+1))</f>
        <v/>
      </c>
      <c r="AU96" s="14" t="str">
        <f>IF(ISERROR(HLOOKUP(X96,$BM$19:$BR104,$D96+1)),"",HLOOKUP(X96,$BM$19:$BR104,$D96+1))</f>
        <v/>
      </c>
      <c r="AV96" s="111" t="s">
        <v>208</v>
      </c>
      <c r="AW96" s="111" t="s">
        <v>208</v>
      </c>
    </row>
    <row r="97" spans="1:49" ht="27" customHeight="1">
      <c r="A97" s="25">
        <v>82</v>
      </c>
      <c r="B97" s="156"/>
      <c r="C97" s="153"/>
      <c r="D97" s="150"/>
      <c r="E97" s="151"/>
      <c r="F97" s="151"/>
      <c r="G97" s="151"/>
      <c r="H97" s="151"/>
      <c r="I97" s="151"/>
      <c r="J97" s="151"/>
      <c r="K97" s="151"/>
      <c r="L97" s="151"/>
      <c r="M97" s="151"/>
      <c r="N97" s="151"/>
      <c r="O97" s="151"/>
      <c r="P97" s="151"/>
      <c r="Q97" s="151"/>
      <c r="R97" s="151"/>
      <c r="S97" s="151"/>
      <c r="T97" s="151"/>
      <c r="U97" s="151"/>
      <c r="V97" s="151"/>
      <c r="W97" s="151"/>
      <c r="X97" s="151"/>
      <c r="Y97" s="163">
        <f t="shared" si="3"/>
        <v>0</v>
      </c>
      <c r="Z97" s="112"/>
      <c r="AA97" s="112"/>
      <c r="AB97" s="14" t="str">
        <f>IF(ISERROR(HLOOKUP(E97,$BM$19:$BR105,$D97+1)),"",HLOOKUP(E97,$BM$19:$BR105,$D97+1))</f>
        <v/>
      </c>
      <c r="AC97" s="14" t="str">
        <f>IF(ISERROR(HLOOKUP(F97,$BM$19:$BR105,$D97+1)),"",HLOOKUP(F97,$BM$19:$BR105,$D97+1))</f>
        <v/>
      </c>
      <c r="AD97" s="14" t="str">
        <f>IF(ISERROR(HLOOKUP(G97,$BM$19:$BR105,$D97+1)),"",HLOOKUP(G97,$BM$19:$BR105,$D97+1))</f>
        <v/>
      </c>
      <c r="AE97" s="14" t="str">
        <f>IF(ISERROR(HLOOKUP(H97,$BM$19:$BR105,$D97+1)),"",HLOOKUP(H97,$BM$19:$BR105,$D97+1))</f>
        <v/>
      </c>
      <c r="AF97" s="14" t="str">
        <f>IF(ISERROR(HLOOKUP(I97,$BM$19:$BR105,$D97+1)),"",HLOOKUP(I97,$BM$19:$BR105,$D97+1))</f>
        <v/>
      </c>
      <c r="AG97" s="14" t="str">
        <f>IF(ISERROR(HLOOKUP(J97,$BM$19:$BR105,$D97+1)),"",HLOOKUP(J97,$BM$19:$BR105,$D97+1))</f>
        <v/>
      </c>
      <c r="AH97" s="14" t="str">
        <f>IF(ISERROR(HLOOKUP(K97,$BM$19:$BR105,$D97+1)),"",HLOOKUP(K97,$BM$19:$BR105,$D97+1))</f>
        <v/>
      </c>
      <c r="AI97" s="14" t="str">
        <f>IF(ISERROR(HLOOKUP(L97,$BM$19:$BR105,$D97+1)),"",HLOOKUP(L97,$BM$19:$BR105,$D97+1))</f>
        <v/>
      </c>
      <c r="AJ97" s="14" t="str">
        <f>IF(ISERROR(HLOOKUP(M97,$BM$19:$BR105,$D97+1)),"",HLOOKUP(M97,$BM$19:$BR105,$D97+1))</f>
        <v/>
      </c>
      <c r="AK97" s="14" t="str">
        <f>IF(ISERROR(HLOOKUP(N97,$BM$19:$BR105,$D97+1)),"",HLOOKUP(N97,$BM$19:$BR105,$D97+1))</f>
        <v/>
      </c>
      <c r="AL97" s="14" t="str">
        <f>IF(ISERROR(HLOOKUP(O97,$BM$19:$BR105,$D97+1)),"",HLOOKUP(O97,$BM$19:$BR105,$D97+1))</f>
        <v/>
      </c>
      <c r="AM97" s="14" t="str">
        <f>IF(ISERROR(HLOOKUP(P97,$BM$19:$BR105,$D97+1)),"",HLOOKUP(P97,$BM$19:$BR105,$D97+1))</f>
        <v/>
      </c>
      <c r="AN97" s="14" t="str">
        <f>IF(ISERROR(HLOOKUP(Q97,$BM$19:$BR105,$D97+1)),"",HLOOKUP(Q97,$BM$19:$BR105,$D97+1))</f>
        <v/>
      </c>
      <c r="AO97" s="14" t="str">
        <f>IF(ISERROR(HLOOKUP(R97,$BM$19:$BR105,$D97+1)),"",HLOOKUP(R97,$BM$19:$BR105,$D97+1))</f>
        <v/>
      </c>
      <c r="AP97" s="14" t="str">
        <f>IF(ISERROR(HLOOKUP(S97,$BM$19:$BR105,$D97+1)),"",HLOOKUP(S97,$BM$19:$BR105,$D97+1))</f>
        <v/>
      </c>
      <c r="AQ97" s="14" t="str">
        <f>IF(ISERROR(HLOOKUP(T97,$BM$19:$BR105,$D97+1)),"",HLOOKUP(T97,$BM$19:$BR105,$D97+1))</f>
        <v/>
      </c>
      <c r="AR97" s="14" t="str">
        <f>IF(ISERROR(HLOOKUP(U97,$BM$19:$BR105,$D97+1)),"",HLOOKUP(U97,$BM$19:$BR105,$D97+1))</f>
        <v/>
      </c>
      <c r="AS97" s="14" t="str">
        <f>IF(ISERROR(HLOOKUP(V97,$BM$19:$BR105,$D97+1)),"",HLOOKUP(V97,$BM$19:$BR105,$D97+1))</f>
        <v/>
      </c>
      <c r="AT97" s="14" t="str">
        <f>IF(ISERROR(HLOOKUP(W97,$BM$19:$BR105,$D97+1)),"",HLOOKUP(W97,$BM$19:$BR105,$D97+1))</f>
        <v/>
      </c>
      <c r="AU97" s="14" t="str">
        <f>IF(ISERROR(HLOOKUP(X97,$BM$19:$BR105,$D97+1)),"",HLOOKUP(X97,$BM$19:$BR105,$D97+1))</f>
        <v/>
      </c>
      <c r="AV97" s="111" t="s">
        <v>208</v>
      </c>
      <c r="AW97" s="111" t="s">
        <v>208</v>
      </c>
    </row>
    <row r="98" spans="1:49" ht="27" customHeight="1">
      <c r="A98" s="25">
        <v>83</v>
      </c>
      <c r="B98" s="156"/>
      <c r="C98" s="153"/>
      <c r="D98" s="150"/>
      <c r="E98" s="151"/>
      <c r="F98" s="151"/>
      <c r="G98" s="151"/>
      <c r="H98" s="151"/>
      <c r="I98" s="151"/>
      <c r="J98" s="151"/>
      <c r="K98" s="151"/>
      <c r="L98" s="151"/>
      <c r="M98" s="151"/>
      <c r="N98" s="151"/>
      <c r="O98" s="151"/>
      <c r="P98" s="151"/>
      <c r="Q98" s="151"/>
      <c r="R98" s="151"/>
      <c r="S98" s="151"/>
      <c r="T98" s="151"/>
      <c r="U98" s="151"/>
      <c r="V98" s="151"/>
      <c r="W98" s="151"/>
      <c r="X98" s="151"/>
      <c r="Y98" s="163">
        <f t="shared" si="3"/>
        <v>0</v>
      </c>
      <c r="Z98" s="112"/>
      <c r="AA98" s="112"/>
      <c r="AB98" s="14" t="str">
        <f>IF(ISERROR(HLOOKUP(E98,$BM$19:$BR106,$D98+1)),"",HLOOKUP(E98,$BM$19:$BR106,$D98+1))</f>
        <v/>
      </c>
      <c r="AC98" s="14" t="str">
        <f>IF(ISERROR(HLOOKUP(F98,$BM$19:$BR106,$D98+1)),"",HLOOKUP(F98,$BM$19:$BR106,$D98+1))</f>
        <v/>
      </c>
      <c r="AD98" s="14" t="str">
        <f>IF(ISERROR(HLOOKUP(G98,$BM$19:$BR106,$D98+1)),"",HLOOKUP(G98,$BM$19:$BR106,$D98+1))</f>
        <v/>
      </c>
      <c r="AE98" s="14" t="str">
        <f>IF(ISERROR(HLOOKUP(H98,$BM$19:$BR106,$D98+1)),"",HLOOKUP(H98,$BM$19:$BR106,$D98+1))</f>
        <v/>
      </c>
      <c r="AF98" s="14" t="str">
        <f>IF(ISERROR(HLOOKUP(I98,$BM$19:$BR106,$D98+1)),"",HLOOKUP(I98,$BM$19:$BR106,$D98+1))</f>
        <v/>
      </c>
      <c r="AG98" s="14" t="str">
        <f>IF(ISERROR(HLOOKUP(J98,$BM$19:$BR106,$D98+1)),"",HLOOKUP(J98,$BM$19:$BR106,$D98+1))</f>
        <v/>
      </c>
      <c r="AH98" s="14" t="str">
        <f>IF(ISERROR(HLOOKUP(K98,$BM$19:$BR106,$D98+1)),"",HLOOKUP(K98,$BM$19:$BR106,$D98+1))</f>
        <v/>
      </c>
      <c r="AI98" s="14" t="str">
        <f>IF(ISERROR(HLOOKUP(L98,$BM$19:$BR106,$D98+1)),"",HLOOKUP(L98,$BM$19:$BR106,$D98+1))</f>
        <v/>
      </c>
      <c r="AJ98" s="14" t="str">
        <f>IF(ISERROR(HLOOKUP(M98,$BM$19:$BR106,$D98+1)),"",HLOOKUP(M98,$BM$19:$BR106,$D98+1))</f>
        <v/>
      </c>
      <c r="AK98" s="14" t="str">
        <f>IF(ISERROR(HLOOKUP(N98,$BM$19:$BR106,$D98+1)),"",HLOOKUP(N98,$BM$19:$BR106,$D98+1))</f>
        <v/>
      </c>
      <c r="AL98" s="14" t="str">
        <f>IF(ISERROR(HLOOKUP(O98,$BM$19:$BR106,$D98+1)),"",HLOOKUP(O98,$BM$19:$BR106,$D98+1))</f>
        <v/>
      </c>
      <c r="AM98" s="14" t="str">
        <f>IF(ISERROR(HLOOKUP(P98,$BM$19:$BR106,$D98+1)),"",HLOOKUP(P98,$BM$19:$BR106,$D98+1))</f>
        <v/>
      </c>
      <c r="AN98" s="14" t="str">
        <f>IF(ISERROR(HLOOKUP(Q98,$BM$19:$BR106,$D98+1)),"",HLOOKUP(Q98,$BM$19:$BR106,$D98+1))</f>
        <v/>
      </c>
      <c r="AO98" s="14" t="str">
        <f>IF(ISERROR(HLOOKUP(R98,$BM$19:$BR106,$D98+1)),"",HLOOKUP(R98,$BM$19:$BR106,$D98+1))</f>
        <v/>
      </c>
      <c r="AP98" s="14" t="str">
        <f>IF(ISERROR(HLOOKUP(S98,$BM$19:$BR106,$D98+1)),"",HLOOKUP(S98,$BM$19:$BR106,$D98+1))</f>
        <v/>
      </c>
      <c r="AQ98" s="14" t="str">
        <f>IF(ISERROR(HLOOKUP(T98,$BM$19:$BR106,$D98+1)),"",HLOOKUP(T98,$BM$19:$BR106,$D98+1))</f>
        <v/>
      </c>
      <c r="AR98" s="14" t="str">
        <f>IF(ISERROR(HLOOKUP(U98,$BM$19:$BR106,$D98+1)),"",HLOOKUP(U98,$BM$19:$BR106,$D98+1))</f>
        <v/>
      </c>
      <c r="AS98" s="14" t="str">
        <f>IF(ISERROR(HLOOKUP(V98,$BM$19:$BR106,$D98+1)),"",HLOOKUP(V98,$BM$19:$BR106,$D98+1))</f>
        <v/>
      </c>
      <c r="AT98" s="14" t="str">
        <f>IF(ISERROR(HLOOKUP(W98,$BM$19:$BR106,$D98+1)),"",HLOOKUP(W98,$BM$19:$BR106,$D98+1))</f>
        <v/>
      </c>
      <c r="AU98" s="14" t="str">
        <f>IF(ISERROR(HLOOKUP(X98,$BM$19:$BR106,$D98+1)),"",HLOOKUP(X98,$BM$19:$BR106,$D98+1))</f>
        <v/>
      </c>
      <c r="AV98" s="111" t="s">
        <v>208</v>
      </c>
      <c r="AW98" s="111" t="s">
        <v>208</v>
      </c>
    </row>
    <row r="99" spans="1:49" ht="27" customHeight="1">
      <c r="A99" s="25">
        <v>84</v>
      </c>
      <c r="B99" s="156"/>
      <c r="C99" s="153"/>
      <c r="D99" s="150"/>
      <c r="E99" s="151"/>
      <c r="F99" s="151"/>
      <c r="G99" s="151"/>
      <c r="H99" s="151"/>
      <c r="I99" s="151"/>
      <c r="J99" s="151"/>
      <c r="K99" s="151"/>
      <c r="L99" s="151"/>
      <c r="M99" s="151"/>
      <c r="N99" s="151"/>
      <c r="O99" s="151"/>
      <c r="P99" s="151"/>
      <c r="Q99" s="151"/>
      <c r="R99" s="151"/>
      <c r="S99" s="151"/>
      <c r="T99" s="151"/>
      <c r="U99" s="151"/>
      <c r="V99" s="151"/>
      <c r="W99" s="151"/>
      <c r="X99" s="151"/>
      <c r="Y99" s="163">
        <f t="shared" si="3"/>
        <v>0</v>
      </c>
      <c r="Z99" s="112"/>
      <c r="AA99" s="112"/>
      <c r="AB99" s="14" t="str">
        <f>IF(ISERROR(HLOOKUP(E99,$BM$19:$BR107,$D99+1)),"",HLOOKUP(E99,$BM$19:$BR107,$D99+1))</f>
        <v/>
      </c>
      <c r="AC99" s="14" t="str">
        <f>IF(ISERROR(HLOOKUP(F99,$BM$19:$BR107,$D99+1)),"",HLOOKUP(F99,$BM$19:$BR107,$D99+1))</f>
        <v/>
      </c>
      <c r="AD99" s="14" t="str">
        <f>IF(ISERROR(HLOOKUP(G99,$BM$19:$BR107,$D99+1)),"",HLOOKUP(G99,$BM$19:$BR107,$D99+1))</f>
        <v/>
      </c>
      <c r="AE99" s="14" t="str">
        <f>IF(ISERROR(HLOOKUP(H99,$BM$19:$BR107,$D99+1)),"",HLOOKUP(H99,$BM$19:$BR107,$D99+1))</f>
        <v/>
      </c>
      <c r="AF99" s="14" t="str">
        <f>IF(ISERROR(HLOOKUP(I99,$BM$19:$BR107,$D99+1)),"",HLOOKUP(I99,$BM$19:$BR107,$D99+1))</f>
        <v/>
      </c>
      <c r="AG99" s="14" t="str">
        <f>IF(ISERROR(HLOOKUP(J99,$BM$19:$BR107,$D99+1)),"",HLOOKUP(J99,$BM$19:$BR107,$D99+1))</f>
        <v/>
      </c>
      <c r="AH99" s="14" t="str">
        <f>IF(ISERROR(HLOOKUP(K99,$BM$19:$BR107,$D99+1)),"",HLOOKUP(K99,$BM$19:$BR107,$D99+1))</f>
        <v/>
      </c>
      <c r="AI99" s="14" t="str">
        <f>IF(ISERROR(HLOOKUP(L99,$BM$19:$BR107,$D99+1)),"",HLOOKUP(L99,$BM$19:$BR107,$D99+1))</f>
        <v/>
      </c>
      <c r="AJ99" s="14" t="str">
        <f>IF(ISERROR(HLOOKUP(M99,$BM$19:$BR107,$D99+1)),"",HLOOKUP(M99,$BM$19:$BR107,$D99+1))</f>
        <v/>
      </c>
      <c r="AK99" s="14" t="str">
        <f>IF(ISERROR(HLOOKUP(N99,$BM$19:$BR107,$D99+1)),"",HLOOKUP(N99,$BM$19:$BR107,$D99+1))</f>
        <v/>
      </c>
      <c r="AL99" s="14" t="str">
        <f>IF(ISERROR(HLOOKUP(O99,$BM$19:$BR107,$D99+1)),"",HLOOKUP(O99,$BM$19:$BR107,$D99+1))</f>
        <v/>
      </c>
      <c r="AM99" s="14" t="str">
        <f>IF(ISERROR(HLOOKUP(P99,$BM$19:$BR107,$D99+1)),"",HLOOKUP(P99,$BM$19:$BR107,$D99+1))</f>
        <v/>
      </c>
      <c r="AN99" s="14" t="str">
        <f>IF(ISERROR(HLOOKUP(Q99,$BM$19:$BR107,$D99+1)),"",HLOOKUP(Q99,$BM$19:$BR107,$D99+1))</f>
        <v/>
      </c>
      <c r="AO99" s="14" t="str">
        <f>IF(ISERROR(HLOOKUP(R99,$BM$19:$BR107,$D99+1)),"",HLOOKUP(R99,$BM$19:$BR107,$D99+1))</f>
        <v/>
      </c>
      <c r="AP99" s="14" t="str">
        <f>IF(ISERROR(HLOOKUP(S99,$BM$19:$BR107,$D99+1)),"",HLOOKUP(S99,$BM$19:$BR107,$D99+1))</f>
        <v/>
      </c>
      <c r="AQ99" s="14" t="str">
        <f>IF(ISERROR(HLOOKUP(T99,$BM$19:$BR107,$D99+1)),"",HLOOKUP(T99,$BM$19:$BR107,$D99+1))</f>
        <v/>
      </c>
      <c r="AR99" s="14" t="str">
        <f>IF(ISERROR(HLOOKUP(U99,$BM$19:$BR107,$D99+1)),"",HLOOKUP(U99,$BM$19:$BR107,$D99+1))</f>
        <v/>
      </c>
      <c r="AS99" s="14" t="str">
        <f>IF(ISERROR(HLOOKUP(V99,$BM$19:$BR107,$D99+1)),"",HLOOKUP(V99,$BM$19:$BR107,$D99+1))</f>
        <v/>
      </c>
      <c r="AT99" s="14" t="str">
        <f>IF(ISERROR(HLOOKUP(W99,$BM$19:$BR107,$D99+1)),"",HLOOKUP(W99,$BM$19:$BR107,$D99+1))</f>
        <v/>
      </c>
      <c r="AU99" s="14" t="str">
        <f>IF(ISERROR(HLOOKUP(X99,$BM$19:$BR107,$D99+1)),"",HLOOKUP(X99,$BM$19:$BR107,$D99+1))</f>
        <v/>
      </c>
      <c r="AV99" s="111" t="s">
        <v>208</v>
      </c>
      <c r="AW99" s="111" t="s">
        <v>208</v>
      </c>
    </row>
    <row r="100" spans="1:49" ht="27" customHeight="1">
      <c r="A100" s="25">
        <v>85</v>
      </c>
      <c r="B100" s="156"/>
      <c r="C100" s="153"/>
      <c r="D100" s="150"/>
      <c r="E100" s="151"/>
      <c r="F100" s="151"/>
      <c r="G100" s="151"/>
      <c r="H100" s="151"/>
      <c r="I100" s="151"/>
      <c r="J100" s="151"/>
      <c r="K100" s="151"/>
      <c r="L100" s="151"/>
      <c r="M100" s="151"/>
      <c r="N100" s="151"/>
      <c r="O100" s="151"/>
      <c r="P100" s="151"/>
      <c r="Q100" s="151"/>
      <c r="R100" s="151"/>
      <c r="S100" s="151"/>
      <c r="T100" s="151"/>
      <c r="U100" s="151"/>
      <c r="V100" s="151"/>
      <c r="W100" s="151"/>
      <c r="X100" s="151"/>
      <c r="Y100" s="163">
        <f t="shared" si="3"/>
        <v>0</v>
      </c>
      <c r="Z100" s="112"/>
      <c r="AA100" s="112"/>
      <c r="AB100" s="14" t="str">
        <f>IF(ISERROR(HLOOKUP(E100,$BM$19:$BR108,$D100+1)),"",HLOOKUP(E100,$BM$19:$BR108,$D100+1))</f>
        <v/>
      </c>
      <c r="AC100" s="14" t="str">
        <f>IF(ISERROR(HLOOKUP(F100,$BM$19:$BR108,$D100+1)),"",HLOOKUP(F100,$BM$19:$BR108,$D100+1))</f>
        <v/>
      </c>
      <c r="AD100" s="14" t="str">
        <f>IF(ISERROR(HLOOKUP(G100,$BM$19:$BR108,$D100+1)),"",HLOOKUP(G100,$BM$19:$BR108,$D100+1))</f>
        <v/>
      </c>
      <c r="AE100" s="14" t="str">
        <f>IF(ISERROR(HLOOKUP(H100,$BM$19:$BR108,$D100+1)),"",HLOOKUP(H100,$BM$19:$BR108,$D100+1))</f>
        <v/>
      </c>
      <c r="AF100" s="14" t="str">
        <f>IF(ISERROR(HLOOKUP(I100,$BM$19:$BR108,$D100+1)),"",HLOOKUP(I100,$BM$19:$BR108,$D100+1))</f>
        <v/>
      </c>
      <c r="AG100" s="14" t="str">
        <f>IF(ISERROR(HLOOKUP(J100,$BM$19:$BR108,$D100+1)),"",HLOOKUP(J100,$BM$19:$BR108,$D100+1))</f>
        <v/>
      </c>
      <c r="AH100" s="14" t="str">
        <f>IF(ISERROR(HLOOKUP(K100,$BM$19:$BR108,$D100+1)),"",HLOOKUP(K100,$BM$19:$BR108,$D100+1))</f>
        <v/>
      </c>
      <c r="AI100" s="14" t="str">
        <f>IF(ISERROR(HLOOKUP(L100,$BM$19:$BR108,$D100+1)),"",HLOOKUP(L100,$BM$19:$BR108,$D100+1))</f>
        <v/>
      </c>
      <c r="AJ100" s="14" t="str">
        <f>IF(ISERROR(HLOOKUP(M100,$BM$19:$BR108,$D100+1)),"",HLOOKUP(M100,$BM$19:$BR108,$D100+1))</f>
        <v/>
      </c>
      <c r="AK100" s="14" t="str">
        <f>IF(ISERROR(HLOOKUP(N100,$BM$19:$BR108,$D100+1)),"",HLOOKUP(N100,$BM$19:$BR108,$D100+1))</f>
        <v/>
      </c>
      <c r="AL100" s="14" t="str">
        <f>IF(ISERROR(HLOOKUP(O100,$BM$19:$BR108,$D100+1)),"",HLOOKUP(O100,$BM$19:$BR108,$D100+1))</f>
        <v/>
      </c>
      <c r="AM100" s="14" t="str">
        <f>IF(ISERROR(HLOOKUP(P100,$BM$19:$BR108,$D100+1)),"",HLOOKUP(P100,$BM$19:$BR108,$D100+1))</f>
        <v/>
      </c>
      <c r="AN100" s="14" t="str">
        <f>IF(ISERROR(HLOOKUP(Q100,$BM$19:$BR108,$D100+1)),"",HLOOKUP(Q100,$BM$19:$BR108,$D100+1))</f>
        <v/>
      </c>
      <c r="AO100" s="14" t="str">
        <f>IF(ISERROR(HLOOKUP(R100,$BM$19:$BR108,$D100+1)),"",HLOOKUP(R100,$BM$19:$BR108,$D100+1))</f>
        <v/>
      </c>
      <c r="AP100" s="14" t="str">
        <f>IF(ISERROR(HLOOKUP(S100,$BM$19:$BR108,$D100+1)),"",HLOOKUP(S100,$BM$19:$BR108,$D100+1))</f>
        <v/>
      </c>
      <c r="AQ100" s="14" t="str">
        <f>IF(ISERROR(HLOOKUP(T100,$BM$19:$BR108,$D100+1)),"",HLOOKUP(T100,$BM$19:$BR108,$D100+1))</f>
        <v/>
      </c>
      <c r="AR100" s="14" t="str">
        <f>IF(ISERROR(HLOOKUP(U100,$BM$19:$BR108,$D100+1)),"",HLOOKUP(U100,$BM$19:$BR108,$D100+1))</f>
        <v/>
      </c>
      <c r="AS100" s="14" t="str">
        <f>IF(ISERROR(HLOOKUP(V100,$BM$19:$BR108,$D100+1)),"",HLOOKUP(V100,$BM$19:$BR108,$D100+1))</f>
        <v/>
      </c>
      <c r="AT100" s="14" t="str">
        <f>IF(ISERROR(HLOOKUP(W100,$BM$19:$BR108,$D100+1)),"",HLOOKUP(W100,$BM$19:$BR108,$D100+1))</f>
        <v/>
      </c>
      <c r="AU100" s="14" t="str">
        <f>IF(ISERROR(HLOOKUP(X100,$BM$19:$BR108,$D100+1)),"",HLOOKUP(X100,$BM$19:$BR108,$D100+1))</f>
        <v/>
      </c>
      <c r="AV100" s="111" t="s">
        <v>208</v>
      </c>
      <c r="AW100" s="111" t="s">
        <v>208</v>
      </c>
    </row>
    <row r="101" spans="1:49" ht="27" customHeight="1">
      <c r="A101" s="25">
        <v>86</v>
      </c>
      <c r="B101" s="156"/>
      <c r="C101" s="153"/>
      <c r="D101" s="150"/>
      <c r="E101" s="151"/>
      <c r="F101" s="151"/>
      <c r="G101" s="151"/>
      <c r="H101" s="151"/>
      <c r="I101" s="151"/>
      <c r="J101" s="151"/>
      <c r="K101" s="151"/>
      <c r="L101" s="151"/>
      <c r="M101" s="151"/>
      <c r="N101" s="151"/>
      <c r="O101" s="151"/>
      <c r="P101" s="151"/>
      <c r="Q101" s="151"/>
      <c r="R101" s="151"/>
      <c r="S101" s="151"/>
      <c r="T101" s="151"/>
      <c r="U101" s="151"/>
      <c r="V101" s="151"/>
      <c r="W101" s="151"/>
      <c r="X101" s="151"/>
      <c r="Y101" s="163">
        <f t="shared" si="3"/>
        <v>0</v>
      </c>
      <c r="Z101" s="112"/>
      <c r="AA101" s="112"/>
      <c r="AB101" s="14" t="str">
        <f>IF(ISERROR(HLOOKUP(E101,$BM$19:$BR109,$D101+1)),"",HLOOKUP(E101,$BM$19:$BR109,$D101+1))</f>
        <v/>
      </c>
      <c r="AC101" s="14" t="str">
        <f>IF(ISERROR(HLOOKUP(F101,$BM$19:$BR109,$D101+1)),"",HLOOKUP(F101,$BM$19:$BR109,$D101+1))</f>
        <v/>
      </c>
      <c r="AD101" s="14" t="str">
        <f>IF(ISERROR(HLOOKUP(G101,$BM$19:$BR109,$D101+1)),"",HLOOKUP(G101,$BM$19:$BR109,$D101+1))</f>
        <v/>
      </c>
      <c r="AE101" s="14" t="str">
        <f>IF(ISERROR(HLOOKUP(H101,$BM$19:$BR109,$D101+1)),"",HLOOKUP(H101,$BM$19:$BR109,$D101+1))</f>
        <v/>
      </c>
      <c r="AF101" s="14" t="str">
        <f>IF(ISERROR(HLOOKUP(I101,$BM$19:$BR109,$D101+1)),"",HLOOKUP(I101,$BM$19:$BR109,$D101+1))</f>
        <v/>
      </c>
      <c r="AG101" s="14" t="str">
        <f>IF(ISERROR(HLOOKUP(J101,$BM$19:$BR109,$D101+1)),"",HLOOKUP(J101,$BM$19:$BR109,$D101+1))</f>
        <v/>
      </c>
      <c r="AH101" s="14" t="str">
        <f>IF(ISERROR(HLOOKUP(K101,$BM$19:$BR109,$D101+1)),"",HLOOKUP(K101,$BM$19:$BR109,$D101+1))</f>
        <v/>
      </c>
      <c r="AI101" s="14" t="str">
        <f>IF(ISERROR(HLOOKUP(L101,$BM$19:$BR109,$D101+1)),"",HLOOKUP(L101,$BM$19:$BR109,$D101+1))</f>
        <v/>
      </c>
      <c r="AJ101" s="14" t="str">
        <f>IF(ISERROR(HLOOKUP(M101,$BM$19:$BR109,$D101+1)),"",HLOOKUP(M101,$BM$19:$BR109,$D101+1))</f>
        <v/>
      </c>
      <c r="AK101" s="14" t="str">
        <f>IF(ISERROR(HLOOKUP(N101,$BM$19:$BR109,$D101+1)),"",HLOOKUP(N101,$BM$19:$BR109,$D101+1))</f>
        <v/>
      </c>
      <c r="AL101" s="14" t="str">
        <f>IF(ISERROR(HLOOKUP(O101,$BM$19:$BR109,$D101+1)),"",HLOOKUP(O101,$BM$19:$BR109,$D101+1))</f>
        <v/>
      </c>
      <c r="AM101" s="14" t="str">
        <f>IF(ISERROR(HLOOKUP(P101,$BM$19:$BR109,$D101+1)),"",HLOOKUP(P101,$BM$19:$BR109,$D101+1))</f>
        <v/>
      </c>
      <c r="AN101" s="14" t="str">
        <f>IF(ISERROR(HLOOKUP(Q101,$BM$19:$BR109,$D101+1)),"",HLOOKUP(Q101,$BM$19:$BR109,$D101+1))</f>
        <v/>
      </c>
      <c r="AO101" s="14" t="str">
        <f>IF(ISERROR(HLOOKUP(R101,$BM$19:$BR109,$D101+1)),"",HLOOKUP(R101,$BM$19:$BR109,$D101+1))</f>
        <v/>
      </c>
      <c r="AP101" s="14" t="str">
        <f>IF(ISERROR(HLOOKUP(S101,$BM$19:$BR109,$D101+1)),"",HLOOKUP(S101,$BM$19:$BR109,$D101+1))</f>
        <v/>
      </c>
      <c r="AQ101" s="14" t="str">
        <f>IF(ISERROR(HLOOKUP(T101,$BM$19:$BR109,$D101+1)),"",HLOOKUP(T101,$BM$19:$BR109,$D101+1))</f>
        <v/>
      </c>
      <c r="AR101" s="14" t="str">
        <f>IF(ISERROR(HLOOKUP(U101,$BM$19:$BR109,$D101+1)),"",HLOOKUP(U101,$BM$19:$BR109,$D101+1))</f>
        <v/>
      </c>
      <c r="AS101" s="14" t="str">
        <f>IF(ISERROR(HLOOKUP(V101,$BM$19:$BR109,$D101+1)),"",HLOOKUP(V101,$BM$19:$BR109,$D101+1))</f>
        <v/>
      </c>
      <c r="AT101" s="14" t="str">
        <f>IF(ISERROR(HLOOKUP(W101,$BM$19:$BR109,$D101+1)),"",HLOOKUP(W101,$BM$19:$BR109,$D101+1))</f>
        <v/>
      </c>
      <c r="AU101" s="14" t="str">
        <f>IF(ISERROR(HLOOKUP(X101,$BM$19:$BR109,$D101+1)),"",HLOOKUP(X101,$BM$19:$BR109,$D101+1))</f>
        <v/>
      </c>
      <c r="AV101" s="111" t="s">
        <v>208</v>
      </c>
      <c r="AW101" s="111" t="s">
        <v>208</v>
      </c>
    </row>
    <row r="102" spans="1:49" ht="27" customHeight="1">
      <c r="A102" s="25">
        <v>87</v>
      </c>
      <c r="B102" s="156"/>
      <c r="C102" s="153"/>
      <c r="D102" s="150"/>
      <c r="E102" s="151"/>
      <c r="F102" s="151"/>
      <c r="G102" s="151"/>
      <c r="H102" s="151"/>
      <c r="I102" s="151"/>
      <c r="J102" s="151"/>
      <c r="K102" s="151"/>
      <c r="L102" s="151"/>
      <c r="M102" s="151"/>
      <c r="N102" s="151"/>
      <c r="O102" s="151"/>
      <c r="P102" s="151"/>
      <c r="Q102" s="151"/>
      <c r="R102" s="151"/>
      <c r="S102" s="151"/>
      <c r="T102" s="151"/>
      <c r="U102" s="151"/>
      <c r="V102" s="151"/>
      <c r="W102" s="151"/>
      <c r="X102" s="151"/>
      <c r="Y102" s="163">
        <f t="shared" si="3"/>
        <v>0</v>
      </c>
      <c r="Z102" s="112"/>
      <c r="AA102" s="112"/>
      <c r="AB102" s="14" t="str">
        <f>IF(ISERROR(HLOOKUP(E102,$BM$19:$BR110,$D102+1)),"",HLOOKUP(E102,$BM$19:$BR110,$D102+1))</f>
        <v/>
      </c>
      <c r="AC102" s="14" t="str">
        <f>IF(ISERROR(HLOOKUP(F102,$BM$19:$BR110,$D102+1)),"",HLOOKUP(F102,$BM$19:$BR110,$D102+1))</f>
        <v/>
      </c>
      <c r="AD102" s="14" t="str">
        <f>IF(ISERROR(HLOOKUP(G102,$BM$19:$BR110,$D102+1)),"",HLOOKUP(G102,$BM$19:$BR110,$D102+1))</f>
        <v/>
      </c>
      <c r="AE102" s="14" t="str">
        <f>IF(ISERROR(HLOOKUP(H102,$BM$19:$BR110,$D102+1)),"",HLOOKUP(H102,$BM$19:$BR110,$D102+1))</f>
        <v/>
      </c>
      <c r="AF102" s="14" t="str">
        <f>IF(ISERROR(HLOOKUP(I102,$BM$19:$BR110,$D102+1)),"",HLOOKUP(I102,$BM$19:$BR110,$D102+1))</f>
        <v/>
      </c>
      <c r="AG102" s="14" t="str">
        <f>IF(ISERROR(HLOOKUP(J102,$BM$19:$BR110,$D102+1)),"",HLOOKUP(J102,$BM$19:$BR110,$D102+1))</f>
        <v/>
      </c>
      <c r="AH102" s="14" t="str">
        <f>IF(ISERROR(HLOOKUP(K102,$BM$19:$BR110,$D102+1)),"",HLOOKUP(K102,$BM$19:$BR110,$D102+1))</f>
        <v/>
      </c>
      <c r="AI102" s="14" t="str">
        <f>IF(ISERROR(HLOOKUP(L102,$BM$19:$BR110,$D102+1)),"",HLOOKUP(L102,$BM$19:$BR110,$D102+1))</f>
        <v/>
      </c>
      <c r="AJ102" s="14" t="str">
        <f>IF(ISERROR(HLOOKUP(M102,$BM$19:$BR110,$D102+1)),"",HLOOKUP(M102,$BM$19:$BR110,$D102+1))</f>
        <v/>
      </c>
      <c r="AK102" s="14" t="str">
        <f>IF(ISERROR(HLOOKUP(N102,$BM$19:$BR110,$D102+1)),"",HLOOKUP(N102,$BM$19:$BR110,$D102+1))</f>
        <v/>
      </c>
      <c r="AL102" s="14" t="str">
        <f>IF(ISERROR(HLOOKUP(O102,$BM$19:$BR110,$D102+1)),"",HLOOKUP(O102,$BM$19:$BR110,$D102+1))</f>
        <v/>
      </c>
      <c r="AM102" s="14" t="str">
        <f>IF(ISERROR(HLOOKUP(P102,$BM$19:$BR110,$D102+1)),"",HLOOKUP(P102,$BM$19:$BR110,$D102+1))</f>
        <v/>
      </c>
      <c r="AN102" s="14" t="str">
        <f>IF(ISERROR(HLOOKUP(Q102,$BM$19:$BR110,$D102+1)),"",HLOOKUP(Q102,$BM$19:$BR110,$D102+1))</f>
        <v/>
      </c>
      <c r="AO102" s="14" t="str">
        <f>IF(ISERROR(HLOOKUP(R102,$BM$19:$BR110,$D102+1)),"",HLOOKUP(R102,$BM$19:$BR110,$D102+1))</f>
        <v/>
      </c>
      <c r="AP102" s="14" t="str">
        <f>IF(ISERROR(HLOOKUP(S102,$BM$19:$BR110,$D102+1)),"",HLOOKUP(S102,$BM$19:$BR110,$D102+1))</f>
        <v/>
      </c>
      <c r="AQ102" s="14" t="str">
        <f>IF(ISERROR(HLOOKUP(T102,$BM$19:$BR110,$D102+1)),"",HLOOKUP(T102,$BM$19:$BR110,$D102+1))</f>
        <v/>
      </c>
      <c r="AR102" s="14" t="str">
        <f>IF(ISERROR(HLOOKUP(U102,$BM$19:$BR110,$D102+1)),"",HLOOKUP(U102,$BM$19:$BR110,$D102+1))</f>
        <v/>
      </c>
      <c r="AS102" s="14" t="str">
        <f>IF(ISERROR(HLOOKUP(V102,$BM$19:$BR110,$D102+1)),"",HLOOKUP(V102,$BM$19:$BR110,$D102+1))</f>
        <v/>
      </c>
      <c r="AT102" s="14" t="str">
        <f>IF(ISERROR(HLOOKUP(W102,$BM$19:$BR110,$D102+1)),"",HLOOKUP(W102,$BM$19:$BR110,$D102+1))</f>
        <v/>
      </c>
      <c r="AU102" s="14" t="str">
        <f>IF(ISERROR(HLOOKUP(X102,$BM$19:$BR110,$D102+1)),"",HLOOKUP(X102,$BM$19:$BR110,$D102+1))</f>
        <v/>
      </c>
      <c r="AV102" s="111" t="s">
        <v>208</v>
      </c>
      <c r="AW102" s="111" t="s">
        <v>208</v>
      </c>
    </row>
    <row r="103" spans="1:49" ht="27" customHeight="1">
      <c r="A103" s="25">
        <v>88</v>
      </c>
      <c r="B103" s="156"/>
      <c r="C103" s="153"/>
      <c r="D103" s="150"/>
      <c r="E103" s="151"/>
      <c r="F103" s="151"/>
      <c r="G103" s="151"/>
      <c r="H103" s="151"/>
      <c r="I103" s="151"/>
      <c r="J103" s="151"/>
      <c r="K103" s="151"/>
      <c r="L103" s="151"/>
      <c r="M103" s="151"/>
      <c r="N103" s="151"/>
      <c r="O103" s="151"/>
      <c r="P103" s="151"/>
      <c r="Q103" s="151"/>
      <c r="R103" s="151"/>
      <c r="S103" s="151"/>
      <c r="T103" s="151"/>
      <c r="U103" s="151"/>
      <c r="V103" s="151"/>
      <c r="W103" s="151"/>
      <c r="X103" s="151"/>
      <c r="Y103" s="163">
        <f t="shared" si="3"/>
        <v>0</v>
      </c>
      <c r="Z103" s="112"/>
      <c r="AA103" s="112"/>
      <c r="AB103" s="14" t="str">
        <f>IF(ISERROR(HLOOKUP(E103,$BM$19:$BR111,$D103+1)),"",HLOOKUP(E103,$BM$19:$BR111,$D103+1))</f>
        <v/>
      </c>
      <c r="AC103" s="14" t="str">
        <f>IF(ISERROR(HLOOKUP(F103,$BM$19:$BR111,$D103+1)),"",HLOOKUP(F103,$BM$19:$BR111,$D103+1))</f>
        <v/>
      </c>
      <c r="AD103" s="14" t="str">
        <f>IF(ISERROR(HLOOKUP(G103,$BM$19:$BR111,$D103+1)),"",HLOOKUP(G103,$BM$19:$BR111,$D103+1))</f>
        <v/>
      </c>
      <c r="AE103" s="14" t="str">
        <f>IF(ISERROR(HLOOKUP(H103,$BM$19:$BR111,$D103+1)),"",HLOOKUP(H103,$BM$19:$BR111,$D103+1))</f>
        <v/>
      </c>
      <c r="AF103" s="14" t="str">
        <f>IF(ISERROR(HLOOKUP(I103,$BM$19:$BR111,$D103+1)),"",HLOOKUP(I103,$BM$19:$BR111,$D103+1))</f>
        <v/>
      </c>
      <c r="AG103" s="14" t="str">
        <f>IF(ISERROR(HLOOKUP(J103,$BM$19:$BR111,$D103+1)),"",HLOOKUP(J103,$BM$19:$BR111,$D103+1))</f>
        <v/>
      </c>
      <c r="AH103" s="14" t="str">
        <f>IF(ISERROR(HLOOKUP(K103,$BM$19:$BR111,$D103+1)),"",HLOOKUP(K103,$BM$19:$BR111,$D103+1))</f>
        <v/>
      </c>
      <c r="AI103" s="14" t="str">
        <f>IF(ISERROR(HLOOKUP(L103,$BM$19:$BR111,$D103+1)),"",HLOOKUP(L103,$BM$19:$BR111,$D103+1))</f>
        <v/>
      </c>
      <c r="AJ103" s="14" t="str">
        <f>IF(ISERROR(HLOOKUP(M103,$BM$19:$BR111,$D103+1)),"",HLOOKUP(M103,$BM$19:$BR111,$D103+1))</f>
        <v/>
      </c>
      <c r="AK103" s="14" t="str">
        <f>IF(ISERROR(HLOOKUP(N103,$BM$19:$BR111,$D103+1)),"",HLOOKUP(N103,$BM$19:$BR111,$D103+1))</f>
        <v/>
      </c>
      <c r="AL103" s="14" t="str">
        <f>IF(ISERROR(HLOOKUP(O103,$BM$19:$BR111,$D103+1)),"",HLOOKUP(O103,$BM$19:$BR111,$D103+1))</f>
        <v/>
      </c>
      <c r="AM103" s="14" t="str">
        <f>IF(ISERROR(HLOOKUP(P103,$BM$19:$BR111,$D103+1)),"",HLOOKUP(P103,$BM$19:$BR111,$D103+1))</f>
        <v/>
      </c>
      <c r="AN103" s="14" t="str">
        <f>IF(ISERROR(HLOOKUP(Q103,$BM$19:$BR111,$D103+1)),"",HLOOKUP(Q103,$BM$19:$BR111,$D103+1))</f>
        <v/>
      </c>
      <c r="AO103" s="14" t="str">
        <f>IF(ISERROR(HLOOKUP(R103,$BM$19:$BR111,$D103+1)),"",HLOOKUP(R103,$BM$19:$BR111,$D103+1))</f>
        <v/>
      </c>
      <c r="AP103" s="14" t="str">
        <f>IF(ISERROR(HLOOKUP(S103,$BM$19:$BR111,$D103+1)),"",HLOOKUP(S103,$BM$19:$BR111,$D103+1))</f>
        <v/>
      </c>
      <c r="AQ103" s="14" t="str">
        <f>IF(ISERROR(HLOOKUP(T103,$BM$19:$BR111,$D103+1)),"",HLOOKUP(T103,$BM$19:$BR111,$D103+1))</f>
        <v/>
      </c>
      <c r="AR103" s="14" t="str">
        <f>IF(ISERROR(HLOOKUP(U103,$BM$19:$BR111,$D103+1)),"",HLOOKUP(U103,$BM$19:$BR111,$D103+1))</f>
        <v/>
      </c>
      <c r="AS103" s="14" t="str">
        <f>IF(ISERROR(HLOOKUP(V103,$BM$19:$BR111,$D103+1)),"",HLOOKUP(V103,$BM$19:$BR111,$D103+1))</f>
        <v/>
      </c>
      <c r="AT103" s="14" t="str">
        <f>IF(ISERROR(HLOOKUP(W103,$BM$19:$BR111,$D103+1)),"",HLOOKUP(W103,$BM$19:$BR111,$D103+1))</f>
        <v/>
      </c>
      <c r="AU103" s="14" t="str">
        <f>IF(ISERROR(HLOOKUP(X103,$BM$19:$BR111,$D103+1)),"",HLOOKUP(X103,$BM$19:$BR111,$D103+1))</f>
        <v/>
      </c>
      <c r="AV103" s="111" t="s">
        <v>208</v>
      </c>
      <c r="AW103" s="111" t="s">
        <v>208</v>
      </c>
    </row>
    <row r="104" spans="1:49" ht="27" customHeight="1">
      <c r="A104" s="25">
        <v>89</v>
      </c>
      <c r="B104" s="156"/>
      <c r="C104" s="153"/>
      <c r="D104" s="150"/>
      <c r="E104" s="151"/>
      <c r="F104" s="151"/>
      <c r="G104" s="151"/>
      <c r="H104" s="151"/>
      <c r="I104" s="151"/>
      <c r="J104" s="151"/>
      <c r="K104" s="151"/>
      <c r="L104" s="151"/>
      <c r="M104" s="151"/>
      <c r="N104" s="151"/>
      <c r="O104" s="151"/>
      <c r="P104" s="151"/>
      <c r="Q104" s="151"/>
      <c r="R104" s="151"/>
      <c r="S104" s="151"/>
      <c r="T104" s="151"/>
      <c r="U104" s="151"/>
      <c r="V104" s="151"/>
      <c r="W104" s="151"/>
      <c r="X104" s="151"/>
      <c r="Y104" s="163">
        <f t="shared" si="3"/>
        <v>0</v>
      </c>
      <c r="Z104" s="112"/>
      <c r="AA104" s="112"/>
      <c r="AB104" s="14" t="str">
        <f>IF(ISERROR(HLOOKUP(E104,$BM$19:$BR112,$D104+1)),"",HLOOKUP(E104,$BM$19:$BR112,$D104+1))</f>
        <v/>
      </c>
      <c r="AC104" s="14" t="str">
        <f>IF(ISERROR(HLOOKUP(F104,$BM$19:$BR112,$D104+1)),"",HLOOKUP(F104,$BM$19:$BR112,$D104+1))</f>
        <v/>
      </c>
      <c r="AD104" s="14" t="str">
        <f>IF(ISERROR(HLOOKUP(G104,$BM$19:$BR112,$D104+1)),"",HLOOKUP(G104,$BM$19:$BR112,$D104+1))</f>
        <v/>
      </c>
      <c r="AE104" s="14" t="str">
        <f>IF(ISERROR(HLOOKUP(H104,$BM$19:$BR112,$D104+1)),"",HLOOKUP(H104,$BM$19:$BR112,$D104+1))</f>
        <v/>
      </c>
      <c r="AF104" s="14" t="str">
        <f>IF(ISERROR(HLOOKUP(I104,$BM$19:$BR112,$D104+1)),"",HLOOKUP(I104,$BM$19:$BR112,$D104+1))</f>
        <v/>
      </c>
      <c r="AG104" s="14" t="str">
        <f>IF(ISERROR(HLOOKUP(J104,$BM$19:$BR112,$D104+1)),"",HLOOKUP(J104,$BM$19:$BR112,$D104+1))</f>
        <v/>
      </c>
      <c r="AH104" s="14" t="str">
        <f>IF(ISERROR(HLOOKUP(K104,$BM$19:$BR112,$D104+1)),"",HLOOKUP(K104,$BM$19:$BR112,$D104+1))</f>
        <v/>
      </c>
      <c r="AI104" s="14" t="str">
        <f>IF(ISERROR(HLOOKUP(L104,$BM$19:$BR112,$D104+1)),"",HLOOKUP(L104,$BM$19:$BR112,$D104+1))</f>
        <v/>
      </c>
      <c r="AJ104" s="14" t="str">
        <f>IF(ISERROR(HLOOKUP(M104,$BM$19:$BR112,$D104+1)),"",HLOOKUP(M104,$BM$19:$BR112,$D104+1))</f>
        <v/>
      </c>
      <c r="AK104" s="14" t="str">
        <f>IF(ISERROR(HLOOKUP(N104,$BM$19:$BR112,$D104+1)),"",HLOOKUP(N104,$BM$19:$BR112,$D104+1))</f>
        <v/>
      </c>
      <c r="AL104" s="14" t="str">
        <f>IF(ISERROR(HLOOKUP(O104,$BM$19:$BR112,$D104+1)),"",HLOOKUP(O104,$BM$19:$BR112,$D104+1))</f>
        <v/>
      </c>
      <c r="AM104" s="14" t="str">
        <f>IF(ISERROR(HLOOKUP(P104,$BM$19:$BR112,$D104+1)),"",HLOOKUP(P104,$BM$19:$BR112,$D104+1))</f>
        <v/>
      </c>
      <c r="AN104" s="14" t="str">
        <f>IF(ISERROR(HLOOKUP(Q104,$BM$19:$BR112,$D104+1)),"",HLOOKUP(Q104,$BM$19:$BR112,$D104+1))</f>
        <v/>
      </c>
      <c r="AO104" s="14" t="str">
        <f>IF(ISERROR(HLOOKUP(R104,$BM$19:$BR112,$D104+1)),"",HLOOKUP(R104,$BM$19:$BR112,$D104+1))</f>
        <v/>
      </c>
      <c r="AP104" s="14" t="str">
        <f>IF(ISERROR(HLOOKUP(S104,$BM$19:$BR112,$D104+1)),"",HLOOKUP(S104,$BM$19:$BR112,$D104+1))</f>
        <v/>
      </c>
      <c r="AQ104" s="14" t="str">
        <f>IF(ISERROR(HLOOKUP(T104,$BM$19:$BR112,$D104+1)),"",HLOOKUP(T104,$BM$19:$BR112,$D104+1))</f>
        <v/>
      </c>
      <c r="AR104" s="14" t="str">
        <f>IF(ISERROR(HLOOKUP(U104,$BM$19:$BR112,$D104+1)),"",HLOOKUP(U104,$BM$19:$BR112,$D104+1))</f>
        <v/>
      </c>
      <c r="AS104" s="14" t="str">
        <f>IF(ISERROR(HLOOKUP(V104,$BM$19:$BR112,$D104+1)),"",HLOOKUP(V104,$BM$19:$BR112,$D104+1))</f>
        <v/>
      </c>
      <c r="AT104" s="14" t="str">
        <f>IF(ISERROR(HLOOKUP(W104,$BM$19:$BR112,$D104+1)),"",HLOOKUP(W104,$BM$19:$BR112,$D104+1))</f>
        <v/>
      </c>
      <c r="AU104" s="14" t="str">
        <f>IF(ISERROR(HLOOKUP(X104,$BM$19:$BR112,$D104+1)),"",HLOOKUP(X104,$BM$19:$BR112,$D104+1))</f>
        <v/>
      </c>
      <c r="AV104" s="111" t="s">
        <v>208</v>
      </c>
      <c r="AW104" s="111" t="s">
        <v>208</v>
      </c>
    </row>
    <row r="105" spans="1:49" ht="27" customHeight="1">
      <c r="A105" s="25">
        <v>90</v>
      </c>
      <c r="B105" s="156"/>
      <c r="C105" s="153"/>
      <c r="D105" s="150"/>
      <c r="E105" s="151"/>
      <c r="F105" s="151"/>
      <c r="G105" s="151"/>
      <c r="H105" s="151"/>
      <c r="I105" s="151"/>
      <c r="J105" s="151"/>
      <c r="K105" s="151"/>
      <c r="L105" s="151"/>
      <c r="M105" s="151"/>
      <c r="N105" s="151"/>
      <c r="O105" s="151"/>
      <c r="P105" s="151"/>
      <c r="Q105" s="151"/>
      <c r="R105" s="151"/>
      <c r="S105" s="151"/>
      <c r="T105" s="151"/>
      <c r="U105" s="151"/>
      <c r="V105" s="151"/>
      <c r="W105" s="151"/>
      <c r="X105" s="151"/>
      <c r="Y105" s="163">
        <f t="shared" si="3"/>
        <v>0</v>
      </c>
      <c r="Z105" s="112"/>
      <c r="AA105" s="112"/>
      <c r="AB105" s="14" t="str">
        <f>IF(ISERROR(HLOOKUP(E105,$BM$19:$BR113,$D105+1)),"",HLOOKUP(E105,$BM$19:$BR113,$D105+1))</f>
        <v/>
      </c>
      <c r="AC105" s="14" t="str">
        <f>IF(ISERROR(HLOOKUP(F105,$BM$19:$BR113,$D105+1)),"",HLOOKUP(F105,$BM$19:$BR113,$D105+1))</f>
        <v/>
      </c>
      <c r="AD105" s="14" t="str">
        <f>IF(ISERROR(HLOOKUP(G105,$BM$19:$BR113,$D105+1)),"",HLOOKUP(G105,$BM$19:$BR113,$D105+1))</f>
        <v/>
      </c>
      <c r="AE105" s="14" t="str">
        <f>IF(ISERROR(HLOOKUP(H105,$BM$19:$BR113,$D105+1)),"",HLOOKUP(H105,$BM$19:$BR113,$D105+1))</f>
        <v/>
      </c>
      <c r="AF105" s="14" t="str">
        <f>IF(ISERROR(HLOOKUP(I105,$BM$19:$BR113,$D105+1)),"",HLOOKUP(I105,$BM$19:$BR113,$D105+1))</f>
        <v/>
      </c>
      <c r="AG105" s="14" t="str">
        <f>IF(ISERROR(HLOOKUP(J105,$BM$19:$BR113,$D105+1)),"",HLOOKUP(J105,$BM$19:$BR113,$D105+1))</f>
        <v/>
      </c>
      <c r="AH105" s="14" t="str">
        <f>IF(ISERROR(HLOOKUP(K105,$BM$19:$BR113,$D105+1)),"",HLOOKUP(K105,$BM$19:$BR113,$D105+1))</f>
        <v/>
      </c>
      <c r="AI105" s="14" t="str">
        <f>IF(ISERROR(HLOOKUP(L105,$BM$19:$BR113,$D105+1)),"",HLOOKUP(L105,$BM$19:$BR113,$D105+1))</f>
        <v/>
      </c>
      <c r="AJ105" s="14" t="str">
        <f>IF(ISERROR(HLOOKUP(M105,$BM$19:$BR113,$D105+1)),"",HLOOKUP(M105,$BM$19:$BR113,$D105+1))</f>
        <v/>
      </c>
      <c r="AK105" s="14" t="str">
        <f>IF(ISERROR(HLOOKUP(N105,$BM$19:$BR113,$D105+1)),"",HLOOKUP(N105,$BM$19:$BR113,$D105+1))</f>
        <v/>
      </c>
      <c r="AL105" s="14" t="str">
        <f>IF(ISERROR(HLOOKUP(O105,$BM$19:$BR113,$D105+1)),"",HLOOKUP(O105,$BM$19:$BR113,$D105+1))</f>
        <v/>
      </c>
      <c r="AM105" s="14" t="str">
        <f>IF(ISERROR(HLOOKUP(P105,$BM$19:$BR113,$D105+1)),"",HLOOKUP(P105,$BM$19:$BR113,$D105+1))</f>
        <v/>
      </c>
      <c r="AN105" s="14" t="str">
        <f>IF(ISERROR(HLOOKUP(Q105,$BM$19:$BR113,$D105+1)),"",HLOOKUP(Q105,$BM$19:$BR113,$D105+1))</f>
        <v/>
      </c>
      <c r="AO105" s="14" t="str">
        <f>IF(ISERROR(HLOOKUP(R105,$BM$19:$BR113,$D105+1)),"",HLOOKUP(R105,$BM$19:$BR113,$D105+1))</f>
        <v/>
      </c>
      <c r="AP105" s="14" t="str">
        <f>IF(ISERROR(HLOOKUP(S105,$BM$19:$BR113,$D105+1)),"",HLOOKUP(S105,$BM$19:$BR113,$D105+1))</f>
        <v/>
      </c>
      <c r="AQ105" s="14" t="str">
        <f>IF(ISERROR(HLOOKUP(T105,$BM$19:$BR113,$D105+1)),"",HLOOKUP(T105,$BM$19:$BR113,$D105+1))</f>
        <v/>
      </c>
      <c r="AR105" s="14" t="str">
        <f>IF(ISERROR(HLOOKUP(U105,$BM$19:$BR113,$D105+1)),"",HLOOKUP(U105,$BM$19:$BR113,$D105+1))</f>
        <v/>
      </c>
      <c r="AS105" s="14" t="str">
        <f>IF(ISERROR(HLOOKUP(V105,$BM$19:$BR113,$D105+1)),"",HLOOKUP(V105,$BM$19:$BR113,$D105+1))</f>
        <v/>
      </c>
      <c r="AT105" s="14" t="str">
        <f>IF(ISERROR(HLOOKUP(W105,$BM$19:$BR113,$D105+1)),"",HLOOKUP(W105,$BM$19:$BR113,$D105+1))</f>
        <v/>
      </c>
      <c r="AU105" s="14" t="str">
        <f>IF(ISERROR(HLOOKUP(X105,$BM$19:$BR113,$D105+1)),"",HLOOKUP(X105,$BM$19:$BR113,$D105+1))</f>
        <v/>
      </c>
      <c r="AV105" s="111" t="s">
        <v>208</v>
      </c>
      <c r="AW105" s="111" t="s">
        <v>208</v>
      </c>
    </row>
    <row r="106" spans="1:49" ht="27" customHeight="1">
      <c r="A106" s="25">
        <v>91</v>
      </c>
      <c r="B106" s="156"/>
      <c r="C106" s="153"/>
      <c r="D106" s="150"/>
      <c r="E106" s="151"/>
      <c r="F106" s="151"/>
      <c r="G106" s="151"/>
      <c r="H106" s="151"/>
      <c r="I106" s="151"/>
      <c r="J106" s="151"/>
      <c r="K106" s="151"/>
      <c r="L106" s="151"/>
      <c r="M106" s="151"/>
      <c r="N106" s="151"/>
      <c r="O106" s="151"/>
      <c r="P106" s="151"/>
      <c r="Q106" s="151"/>
      <c r="R106" s="151"/>
      <c r="S106" s="151"/>
      <c r="T106" s="151"/>
      <c r="U106" s="151"/>
      <c r="V106" s="151"/>
      <c r="W106" s="151"/>
      <c r="X106" s="151"/>
      <c r="Y106" s="163">
        <f t="shared" si="3"/>
        <v>0</v>
      </c>
      <c r="Z106" s="112"/>
      <c r="AA106" s="112"/>
      <c r="AB106" s="14" t="str">
        <f>IF(ISERROR(HLOOKUP(E106,$BM$19:$BR114,$D106+1)),"",HLOOKUP(E106,$BM$19:$BR114,$D106+1))</f>
        <v/>
      </c>
      <c r="AC106" s="14" t="str">
        <f>IF(ISERROR(HLOOKUP(F106,$BM$19:$BR114,$D106+1)),"",HLOOKUP(F106,$BM$19:$BR114,$D106+1))</f>
        <v/>
      </c>
      <c r="AD106" s="14" t="str">
        <f>IF(ISERROR(HLOOKUP(G106,$BM$19:$BR114,$D106+1)),"",HLOOKUP(G106,$BM$19:$BR114,$D106+1))</f>
        <v/>
      </c>
      <c r="AE106" s="14" t="str">
        <f>IF(ISERROR(HLOOKUP(H106,$BM$19:$BR114,$D106+1)),"",HLOOKUP(H106,$BM$19:$BR114,$D106+1))</f>
        <v/>
      </c>
      <c r="AF106" s="14" t="str">
        <f>IF(ISERROR(HLOOKUP(I106,$BM$19:$BR114,$D106+1)),"",HLOOKUP(I106,$BM$19:$BR114,$D106+1))</f>
        <v/>
      </c>
      <c r="AG106" s="14" t="str">
        <f>IF(ISERROR(HLOOKUP(J106,$BM$19:$BR114,$D106+1)),"",HLOOKUP(J106,$BM$19:$BR114,$D106+1))</f>
        <v/>
      </c>
      <c r="AH106" s="14" t="str">
        <f>IF(ISERROR(HLOOKUP(K106,$BM$19:$BR114,$D106+1)),"",HLOOKUP(K106,$BM$19:$BR114,$D106+1))</f>
        <v/>
      </c>
      <c r="AI106" s="14" t="str">
        <f>IF(ISERROR(HLOOKUP(L106,$BM$19:$BR114,$D106+1)),"",HLOOKUP(L106,$BM$19:$BR114,$D106+1))</f>
        <v/>
      </c>
      <c r="AJ106" s="14" t="str">
        <f>IF(ISERROR(HLOOKUP(M106,$BM$19:$BR114,$D106+1)),"",HLOOKUP(M106,$BM$19:$BR114,$D106+1))</f>
        <v/>
      </c>
      <c r="AK106" s="14" t="str">
        <f>IF(ISERROR(HLOOKUP(N106,$BM$19:$BR114,$D106+1)),"",HLOOKUP(N106,$BM$19:$BR114,$D106+1))</f>
        <v/>
      </c>
      <c r="AL106" s="14" t="str">
        <f>IF(ISERROR(HLOOKUP(O106,$BM$19:$BR114,$D106+1)),"",HLOOKUP(O106,$BM$19:$BR114,$D106+1))</f>
        <v/>
      </c>
      <c r="AM106" s="14" t="str">
        <f>IF(ISERROR(HLOOKUP(P106,$BM$19:$BR114,$D106+1)),"",HLOOKUP(P106,$BM$19:$BR114,$D106+1))</f>
        <v/>
      </c>
      <c r="AN106" s="14" t="str">
        <f>IF(ISERROR(HLOOKUP(Q106,$BM$19:$BR114,$D106+1)),"",HLOOKUP(Q106,$BM$19:$BR114,$D106+1))</f>
        <v/>
      </c>
      <c r="AO106" s="14" t="str">
        <f>IF(ISERROR(HLOOKUP(R106,$BM$19:$BR114,$D106+1)),"",HLOOKUP(R106,$BM$19:$BR114,$D106+1))</f>
        <v/>
      </c>
      <c r="AP106" s="14" t="str">
        <f>IF(ISERROR(HLOOKUP(S106,$BM$19:$BR114,$D106+1)),"",HLOOKUP(S106,$BM$19:$BR114,$D106+1))</f>
        <v/>
      </c>
      <c r="AQ106" s="14" t="str">
        <f>IF(ISERROR(HLOOKUP(T106,$BM$19:$BR114,$D106+1)),"",HLOOKUP(T106,$BM$19:$BR114,$D106+1))</f>
        <v/>
      </c>
      <c r="AR106" s="14" t="str">
        <f>IF(ISERROR(HLOOKUP(U106,$BM$19:$BR114,$D106+1)),"",HLOOKUP(U106,$BM$19:$BR114,$D106+1))</f>
        <v/>
      </c>
      <c r="AS106" s="14" t="str">
        <f>IF(ISERROR(HLOOKUP(V106,$BM$19:$BR114,$D106+1)),"",HLOOKUP(V106,$BM$19:$BR114,$D106+1))</f>
        <v/>
      </c>
      <c r="AT106" s="14" t="str">
        <f>IF(ISERROR(HLOOKUP(W106,$BM$19:$BR114,$D106+1)),"",HLOOKUP(W106,$BM$19:$BR114,$D106+1))</f>
        <v/>
      </c>
      <c r="AU106" s="14" t="str">
        <f>IF(ISERROR(HLOOKUP(X106,$BM$19:$BR114,$D106+1)),"",HLOOKUP(X106,$BM$19:$BR114,$D106+1))</f>
        <v/>
      </c>
      <c r="AV106" s="111" t="s">
        <v>208</v>
      </c>
      <c r="AW106" s="111" t="s">
        <v>208</v>
      </c>
    </row>
    <row r="107" spans="1:49" ht="27" customHeight="1">
      <c r="A107" s="25">
        <v>92</v>
      </c>
      <c r="B107" s="156"/>
      <c r="C107" s="153"/>
      <c r="D107" s="150"/>
      <c r="E107" s="151"/>
      <c r="F107" s="151"/>
      <c r="G107" s="151"/>
      <c r="H107" s="151"/>
      <c r="I107" s="151"/>
      <c r="J107" s="151"/>
      <c r="K107" s="151"/>
      <c r="L107" s="151"/>
      <c r="M107" s="151"/>
      <c r="N107" s="151"/>
      <c r="O107" s="151"/>
      <c r="P107" s="151"/>
      <c r="Q107" s="151"/>
      <c r="R107" s="151"/>
      <c r="S107" s="151"/>
      <c r="T107" s="151"/>
      <c r="U107" s="151"/>
      <c r="V107" s="151"/>
      <c r="W107" s="151"/>
      <c r="X107" s="151"/>
      <c r="Y107" s="163">
        <f t="shared" si="3"/>
        <v>0</v>
      </c>
      <c r="Z107" s="112"/>
      <c r="AA107" s="112"/>
      <c r="AB107" s="14" t="str">
        <f>IF(ISERROR(HLOOKUP(E107,$BM$19:$BR115,$D107+1)),"",HLOOKUP(E107,$BM$19:$BR115,$D107+1))</f>
        <v/>
      </c>
      <c r="AC107" s="14" t="str">
        <f>IF(ISERROR(HLOOKUP(F107,$BM$19:$BR115,$D107+1)),"",HLOOKUP(F107,$BM$19:$BR115,$D107+1))</f>
        <v/>
      </c>
      <c r="AD107" s="14" t="str">
        <f>IF(ISERROR(HLOOKUP(G107,$BM$19:$BR115,$D107+1)),"",HLOOKUP(G107,$BM$19:$BR115,$D107+1))</f>
        <v/>
      </c>
      <c r="AE107" s="14" t="str">
        <f>IF(ISERROR(HLOOKUP(H107,$BM$19:$BR115,$D107+1)),"",HLOOKUP(H107,$BM$19:$BR115,$D107+1))</f>
        <v/>
      </c>
      <c r="AF107" s="14" t="str">
        <f>IF(ISERROR(HLOOKUP(I107,$BM$19:$BR115,$D107+1)),"",HLOOKUP(I107,$BM$19:$BR115,$D107+1))</f>
        <v/>
      </c>
      <c r="AG107" s="14" t="str">
        <f>IF(ISERROR(HLOOKUP(J107,$BM$19:$BR115,$D107+1)),"",HLOOKUP(J107,$BM$19:$BR115,$D107+1))</f>
        <v/>
      </c>
      <c r="AH107" s="14" t="str">
        <f>IF(ISERROR(HLOOKUP(K107,$BM$19:$BR115,$D107+1)),"",HLOOKUP(K107,$BM$19:$BR115,$D107+1))</f>
        <v/>
      </c>
      <c r="AI107" s="14" t="str">
        <f>IF(ISERROR(HLOOKUP(L107,$BM$19:$BR115,$D107+1)),"",HLOOKUP(L107,$BM$19:$BR115,$D107+1))</f>
        <v/>
      </c>
      <c r="AJ107" s="14" t="str">
        <f>IF(ISERROR(HLOOKUP(M107,$BM$19:$BR115,$D107+1)),"",HLOOKUP(M107,$BM$19:$BR115,$D107+1))</f>
        <v/>
      </c>
      <c r="AK107" s="14" t="str">
        <f>IF(ISERROR(HLOOKUP(N107,$BM$19:$BR115,$D107+1)),"",HLOOKUP(N107,$BM$19:$BR115,$D107+1))</f>
        <v/>
      </c>
      <c r="AL107" s="14" t="str">
        <f>IF(ISERROR(HLOOKUP(O107,$BM$19:$BR115,$D107+1)),"",HLOOKUP(O107,$BM$19:$BR115,$D107+1))</f>
        <v/>
      </c>
      <c r="AM107" s="14" t="str">
        <f>IF(ISERROR(HLOOKUP(P107,$BM$19:$BR115,$D107+1)),"",HLOOKUP(P107,$BM$19:$BR115,$D107+1))</f>
        <v/>
      </c>
      <c r="AN107" s="14" t="str">
        <f>IF(ISERROR(HLOOKUP(Q107,$BM$19:$BR115,$D107+1)),"",HLOOKUP(Q107,$BM$19:$BR115,$D107+1))</f>
        <v/>
      </c>
      <c r="AO107" s="14" t="str">
        <f>IF(ISERROR(HLOOKUP(R107,$BM$19:$BR115,$D107+1)),"",HLOOKUP(R107,$BM$19:$BR115,$D107+1))</f>
        <v/>
      </c>
      <c r="AP107" s="14" t="str">
        <f>IF(ISERROR(HLOOKUP(S107,$BM$19:$BR115,$D107+1)),"",HLOOKUP(S107,$BM$19:$BR115,$D107+1))</f>
        <v/>
      </c>
      <c r="AQ107" s="14" t="str">
        <f>IF(ISERROR(HLOOKUP(T107,$BM$19:$BR115,$D107+1)),"",HLOOKUP(T107,$BM$19:$BR115,$D107+1))</f>
        <v/>
      </c>
      <c r="AR107" s="14" t="str">
        <f>IF(ISERROR(HLOOKUP(U107,$BM$19:$BR115,$D107+1)),"",HLOOKUP(U107,$BM$19:$BR115,$D107+1))</f>
        <v/>
      </c>
      <c r="AS107" s="14" t="str">
        <f>IF(ISERROR(HLOOKUP(V107,$BM$19:$BR115,$D107+1)),"",HLOOKUP(V107,$BM$19:$BR115,$D107+1))</f>
        <v/>
      </c>
      <c r="AT107" s="14" t="str">
        <f>IF(ISERROR(HLOOKUP(W107,$BM$19:$BR115,$D107+1)),"",HLOOKUP(W107,$BM$19:$BR115,$D107+1))</f>
        <v/>
      </c>
      <c r="AU107" s="14" t="str">
        <f>IF(ISERROR(HLOOKUP(X107,$BM$19:$BR115,$D107+1)),"",HLOOKUP(X107,$BM$19:$BR115,$D107+1))</f>
        <v/>
      </c>
      <c r="AV107" s="111" t="s">
        <v>208</v>
      </c>
      <c r="AW107" s="111" t="s">
        <v>208</v>
      </c>
    </row>
    <row r="108" spans="1:49" ht="27" customHeight="1">
      <c r="A108" s="25">
        <v>93</v>
      </c>
      <c r="B108" s="156"/>
      <c r="C108" s="153"/>
      <c r="D108" s="150"/>
      <c r="E108" s="151"/>
      <c r="F108" s="151"/>
      <c r="G108" s="151"/>
      <c r="H108" s="151"/>
      <c r="I108" s="151"/>
      <c r="J108" s="151"/>
      <c r="K108" s="151"/>
      <c r="L108" s="151"/>
      <c r="M108" s="151"/>
      <c r="N108" s="151"/>
      <c r="O108" s="151"/>
      <c r="P108" s="151"/>
      <c r="Q108" s="151"/>
      <c r="R108" s="151"/>
      <c r="S108" s="151"/>
      <c r="T108" s="151"/>
      <c r="U108" s="151"/>
      <c r="V108" s="151"/>
      <c r="W108" s="151"/>
      <c r="X108" s="151"/>
      <c r="Y108" s="163">
        <f t="shared" si="3"/>
        <v>0</v>
      </c>
      <c r="Z108" s="112"/>
      <c r="AA108" s="112"/>
      <c r="AB108" s="14" t="str">
        <f>IF(ISERROR(HLOOKUP(E108,$BM$19:$BR116,$D108+1)),"",HLOOKUP(E108,$BM$19:$BR116,$D108+1))</f>
        <v/>
      </c>
      <c r="AC108" s="14" t="str">
        <f>IF(ISERROR(HLOOKUP(F108,$BM$19:$BR116,$D108+1)),"",HLOOKUP(F108,$BM$19:$BR116,$D108+1))</f>
        <v/>
      </c>
      <c r="AD108" s="14" t="str">
        <f>IF(ISERROR(HLOOKUP(G108,$BM$19:$BR116,$D108+1)),"",HLOOKUP(G108,$BM$19:$BR116,$D108+1))</f>
        <v/>
      </c>
      <c r="AE108" s="14" t="str">
        <f>IF(ISERROR(HLOOKUP(H108,$BM$19:$BR116,$D108+1)),"",HLOOKUP(H108,$BM$19:$BR116,$D108+1))</f>
        <v/>
      </c>
      <c r="AF108" s="14" t="str">
        <f>IF(ISERROR(HLOOKUP(I108,$BM$19:$BR116,$D108+1)),"",HLOOKUP(I108,$BM$19:$BR116,$D108+1))</f>
        <v/>
      </c>
      <c r="AG108" s="14" t="str">
        <f>IF(ISERROR(HLOOKUP(J108,$BM$19:$BR116,$D108+1)),"",HLOOKUP(J108,$BM$19:$BR116,$D108+1))</f>
        <v/>
      </c>
      <c r="AH108" s="14" t="str">
        <f>IF(ISERROR(HLOOKUP(K108,$BM$19:$BR116,$D108+1)),"",HLOOKUP(K108,$BM$19:$BR116,$D108+1))</f>
        <v/>
      </c>
      <c r="AI108" s="14" t="str">
        <f>IF(ISERROR(HLOOKUP(L108,$BM$19:$BR116,$D108+1)),"",HLOOKUP(L108,$BM$19:$BR116,$D108+1))</f>
        <v/>
      </c>
      <c r="AJ108" s="14" t="str">
        <f>IF(ISERROR(HLOOKUP(M108,$BM$19:$BR116,$D108+1)),"",HLOOKUP(M108,$BM$19:$BR116,$D108+1))</f>
        <v/>
      </c>
      <c r="AK108" s="14" t="str">
        <f>IF(ISERROR(HLOOKUP(N108,$BM$19:$BR116,$D108+1)),"",HLOOKUP(N108,$BM$19:$BR116,$D108+1))</f>
        <v/>
      </c>
      <c r="AL108" s="14" t="str">
        <f>IF(ISERROR(HLOOKUP(O108,$BM$19:$BR116,$D108+1)),"",HLOOKUP(O108,$BM$19:$BR116,$D108+1))</f>
        <v/>
      </c>
      <c r="AM108" s="14" t="str">
        <f>IF(ISERROR(HLOOKUP(P108,$BM$19:$BR116,$D108+1)),"",HLOOKUP(P108,$BM$19:$BR116,$D108+1))</f>
        <v/>
      </c>
      <c r="AN108" s="14" t="str">
        <f>IF(ISERROR(HLOOKUP(Q108,$BM$19:$BR116,$D108+1)),"",HLOOKUP(Q108,$BM$19:$BR116,$D108+1))</f>
        <v/>
      </c>
      <c r="AO108" s="14" t="str">
        <f>IF(ISERROR(HLOOKUP(R108,$BM$19:$BR116,$D108+1)),"",HLOOKUP(R108,$BM$19:$BR116,$D108+1))</f>
        <v/>
      </c>
      <c r="AP108" s="14" t="str">
        <f>IF(ISERROR(HLOOKUP(S108,$BM$19:$BR116,$D108+1)),"",HLOOKUP(S108,$BM$19:$BR116,$D108+1))</f>
        <v/>
      </c>
      <c r="AQ108" s="14" t="str">
        <f>IF(ISERROR(HLOOKUP(T108,$BM$19:$BR116,$D108+1)),"",HLOOKUP(T108,$BM$19:$BR116,$D108+1))</f>
        <v/>
      </c>
      <c r="AR108" s="14" t="str">
        <f>IF(ISERROR(HLOOKUP(U108,$BM$19:$BR116,$D108+1)),"",HLOOKUP(U108,$BM$19:$BR116,$D108+1))</f>
        <v/>
      </c>
      <c r="AS108" s="14" t="str">
        <f>IF(ISERROR(HLOOKUP(V108,$BM$19:$BR116,$D108+1)),"",HLOOKUP(V108,$BM$19:$BR116,$D108+1))</f>
        <v/>
      </c>
      <c r="AT108" s="14" t="str">
        <f>IF(ISERROR(HLOOKUP(W108,$BM$19:$BR116,$D108+1)),"",HLOOKUP(W108,$BM$19:$BR116,$D108+1))</f>
        <v/>
      </c>
      <c r="AU108" s="14" t="str">
        <f>IF(ISERROR(HLOOKUP(X108,$BM$19:$BR116,$D108+1)),"",HLOOKUP(X108,$BM$19:$BR116,$D108+1))</f>
        <v/>
      </c>
      <c r="AV108" s="111" t="s">
        <v>208</v>
      </c>
      <c r="AW108" s="111" t="s">
        <v>208</v>
      </c>
    </row>
    <row r="109" spans="1:49" ht="27" customHeight="1">
      <c r="A109" s="25">
        <v>94</v>
      </c>
      <c r="B109" s="156"/>
      <c r="C109" s="153"/>
      <c r="D109" s="150"/>
      <c r="E109" s="151"/>
      <c r="F109" s="151"/>
      <c r="G109" s="151"/>
      <c r="H109" s="151"/>
      <c r="I109" s="151"/>
      <c r="J109" s="151"/>
      <c r="K109" s="151"/>
      <c r="L109" s="151"/>
      <c r="M109" s="151"/>
      <c r="N109" s="151"/>
      <c r="O109" s="151"/>
      <c r="P109" s="151"/>
      <c r="Q109" s="151"/>
      <c r="R109" s="151"/>
      <c r="S109" s="151"/>
      <c r="T109" s="151"/>
      <c r="U109" s="151"/>
      <c r="V109" s="151"/>
      <c r="W109" s="151"/>
      <c r="X109" s="151"/>
      <c r="Y109" s="163">
        <f t="shared" si="3"/>
        <v>0</v>
      </c>
      <c r="Z109" s="112"/>
      <c r="AA109" s="112"/>
      <c r="AB109" s="14" t="str">
        <f>IF(ISERROR(HLOOKUP(E109,$BM$19:$BR117,$D109+1)),"",HLOOKUP(E109,$BM$19:$BR117,$D109+1))</f>
        <v/>
      </c>
      <c r="AC109" s="14" t="str">
        <f>IF(ISERROR(HLOOKUP(F109,$BM$19:$BR117,$D109+1)),"",HLOOKUP(F109,$BM$19:$BR117,$D109+1))</f>
        <v/>
      </c>
      <c r="AD109" s="14" t="str">
        <f>IF(ISERROR(HLOOKUP(G109,$BM$19:$BR117,$D109+1)),"",HLOOKUP(G109,$BM$19:$BR117,$D109+1))</f>
        <v/>
      </c>
      <c r="AE109" s="14" t="str">
        <f>IF(ISERROR(HLOOKUP(H109,$BM$19:$BR117,$D109+1)),"",HLOOKUP(H109,$BM$19:$BR117,$D109+1))</f>
        <v/>
      </c>
      <c r="AF109" s="14" t="str">
        <f>IF(ISERROR(HLOOKUP(I109,$BM$19:$BR117,$D109+1)),"",HLOOKUP(I109,$BM$19:$BR117,$D109+1))</f>
        <v/>
      </c>
      <c r="AG109" s="14" t="str">
        <f>IF(ISERROR(HLOOKUP(J109,$BM$19:$BR117,$D109+1)),"",HLOOKUP(J109,$BM$19:$BR117,$D109+1))</f>
        <v/>
      </c>
      <c r="AH109" s="14" t="str">
        <f>IF(ISERROR(HLOOKUP(K109,$BM$19:$BR117,$D109+1)),"",HLOOKUP(K109,$BM$19:$BR117,$D109+1))</f>
        <v/>
      </c>
      <c r="AI109" s="14" t="str">
        <f>IF(ISERROR(HLOOKUP(L109,$BM$19:$BR117,$D109+1)),"",HLOOKUP(L109,$BM$19:$BR117,$D109+1))</f>
        <v/>
      </c>
      <c r="AJ109" s="14" t="str">
        <f>IF(ISERROR(HLOOKUP(M109,$BM$19:$BR117,$D109+1)),"",HLOOKUP(M109,$BM$19:$BR117,$D109+1))</f>
        <v/>
      </c>
      <c r="AK109" s="14" t="str">
        <f>IF(ISERROR(HLOOKUP(N109,$BM$19:$BR117,$D109+1)),"",HLOOKUP(N109,$BM$19:$BR117,$D109+1))</f>
        <v/>
      </c>
      <c r="AL109" s="14" t="str">
        <f>IF(ISERROR(HLOOKUP(O109,$BM$19:$BR117,$D109+1)),"",HLOOKUP(O109,$BM$19:$BR117,$D109+1))</f>
        <v/>
      </c>
      <c r="AM109" s="14" t="str">
        <f>IF(ISERROR(HLOOKUP(P109,$BM$19:$BR117,$D109+1)),"",HLOOKUP(P109,$BM$19:$BR117,$D109+1))</f>
        <v/>
      </c>
      <c r="AN109" s="14" t="str">
        <f>IF(ISERROR(HLOOKUP(Q109,$BM$19:$BR117,$D109+1)),"",HLOOKUP(Q109,$BM$19:$BR117,$D109+1))</f>
        <v/>
      </c>
      <c r="AO109" s="14" t="str">
        <f>IF(ISERROR(HLOOKUP(R109,$BM$19:$BR117,$D109+1)),"",HLOOKUP(R109,$BM$19:$BR117,$D109+1))</f>
        <v/>
      </c>
      <c r="AP109" s="14" t="str">
        <f>IF(ISERROR(HLOOKUP(S109,$BM$19:$BR117,$D109+1)),"",HLOOKUP(S109,$BM$19:$BR117,$D109+1))</f>
        <v/>
      </c>
      <c r="AQ109" s="14" t="str">
        <f>IF(ISERROR(HLOOKUP(T109,$BM$19:$BR117,$D109+1)),"",HLOOKUP(T109,$BM$19:$BR117,$D109+1))</f>
        <v/>
      </c>
      <c r="AR109" s="14" t="str">
        <f>IF(ISERROR(HLOOKUP(U109,$BM$19:$BR117,$D109+1)),"",HLOOKUP(U109,$BM$19:$BR117,$D109+1))</f>
        <v/>
      </c>
      <c r="AS109" s="14" t="str">
        <f>IF(ISERROR(HLOOKUP(V109,$BM$19:$BR117,$D109+1)),"",HLOOKUP(V109,$BM$19:$BR117,$D109+1))</f>
        <v/>
      </c>
      <c r="AT109" s="14" t="str">
        <f>IF(ISERROR(HLOOKUP(W109,$BM$19:$BR117,$D109+1)),"",HLOOKUP(W109,$BM$19:$BR117,$D109+1))</f>
        <v/>
      </c>
      <c r="AU109" s="14" t="str">
        <f>IF(ISERROR(HLOOKUP(X109,$BM$19:$BR117,$D109+1)),"",HLOOKUP(X109,$BM$19:$BR117,$D109+1))</f>
        <v/>
      </c>
      <c r="AV109" s="111" t="s">
        <v>208</v>
      </c>
      <c r="AW109" s="111" t="s">
        <v>208</v>
      </c>
    </row>
    <row r="110" spans="1:49" ht="27" customHeight="1">
      <c r="A110" s="25">
        <v>95</v>
      </c>
      <c r="B110" s="156"/>
      <c r="C110" s="153"/>
      <c r="D110" s="150"/>
      <c r="E110" s="151"/>
      <c r="F110" s="151"/>
      <c r="G110" s="151"/>
      <c r="H110" s="151"/>
      <c r="I110" s="151"/>
      <c r="J110" s="151"/>
      <c r="K110" s="151"/>
      <c r="L110" s="151"/>
      <c r="M110" s="151"/>
      <c r="N110" s="151"/>
      <c r="O110" s="151"/>
      <c r="P110" s="151"/>
      <c r="Q110" s="151"/>
      <c r="R110" s="151"/>
      <c r="S110" s="151"/>
      <c r="T110" s="151"/>
      <c r="U110" s="151"/>
      <c r="V110" s="151"/>
      <c r="W110" s="151"/>
      <c r="X110" s="151"/>
      <c r="Y110" s="163">
        <f t="shared" si="3"/>
        <v>0</v>
      </c>
      <c r="Z110" s="112"/>
      <c r="AA110" s="112"/>
      <c r="AB110" s="14" t="str">
        <f>IF(ISERROR(HLOOKUP(E110,$BM$19:$BR118,$D110+1)),"",HLOOKUP(E110,$BM$19:$BR118,$D110+1))</f>
        <v/>
      </c>
      <c r="AC110" s="14" t="str">
        <f>IF(ISERROR(HLOOKUP(F110,$BM$19:$BR118,$D110+1)),"",HLOOKUP(F110,$BM$19:$BR118,$D110+1))</f>
        <v/>
      </c>
      <c r="AD110" s="14" t="str">
        <f>IF(ISERROR(HLOOKUP(G110,$BM$19:$BR118,$D110+1)),"",HLOOKUP(G110,$BM$19:$BR118,$D110+1))</f>
        <v/>
      </c>
      <c r="AE110" s="14" t="str">
        <f>IF(ISERROR(HLOOKUP(H110,$BM$19:$BR118,$D110+1)),"",HLOOKUP(H110,$BM$19:$BR118,$D110+1))</f>
        <v/>
      </c>
      <c r="AF110" s="14" t="str">
        <f>IF(ISERROR(HLOOKUP(I110,$BM$19:$BR118,$D110+1)),"",HLOOKUP(I110,$BM$19:$BR118,$D110+1))</f>
        <v/>
      </c>
      <c r="AG110" s="14" t="str">
        <f>IF(ISERROR(HLOOKUP(J110,$BM$19:$BR118,$D110+1)),"",HLOOKUP(J110,$BM$19:$BR118,$D110+1))</f>
        <v/>
      </c>
      <c r="AH110" s="14" t="str">
        <f>IF(ISERROR(HLOOKUP(K110,$BM$19:$BR118,$D110+1)),"",HLOOKUP(K110,$BM$19:$BR118,$D110+1))</f>
        <v/>
      </c>
      <c r="AI110" s="14" t="str">
        <f>IF(ISERROR(HLOOKUP(L110,$BM$19:$BR118,$D110+1)),"",HLOOKUP(L110,$BM$19:$BR118,$D110+1))</f>
        <v/>
      </c>
      <c r="AJ110" s="14" t="str">
        <f>IF(ISERROR(HLOOKUP(M110,$BM$19:$BR118,$D110+1)),"",HLOOKUP(M110,$BM$19:$BR118,$D110+1))</f>
        <v/>
      </c>
      <c r="AK110" s="14" t="str">
        <f>IF(ISERROR(HLOOKUP(N110,$BM$19:$BR118,$D110+1)),"",HLOOKUP(N110,$BM$19:$BR118,$D110+1))</f>
        <v/>
      </c>
      <c r="AL110" s="14" t="str">
        <f>IF(ISERROR(HLOOKUP(O110,$BM$19:$BR118,$D110+1)),"",HLOOKUP(O110,$BM$19:$BR118,$D110+1))</f>
        <v/>
      </c>
      <c r="AM110" s="14" t="str">
        <f>IF(ISERROR(HLOOKUP(P110,$BM$19:$BR118,$D110+1)),"",HLOOKUP(P110,$BM$19:$BR118,$D110+1))</f>
        <v/>
      </c>
      <c r="AN110" s="14" t="str">
        <f>IF(ISERROR(HLOOKUP(Q110,$BM$19:$BR118,$D110+1)),"",HLOOKUP(Q110,$BM$19:$BR118,$D110+1))</f>
        <v/>
      </c>
      <c r="AO110" s="14" t="str">
        <f>IF(ISERROR(HLOOKUP(R110,$BM$19:$BR118,$D110+1)),"",HLOOKUP(R110,$BM$19:$BR118,$D110+1))</f>
        <v/>
      </c>
      <c r="AP110" s="14" t="str">
        <f>IF(ISERROR(HLOOKUP(S110,$BM$19:$BR118,$D110+1)),"",HLOOKUP(S110,$BM$19:$BR118,$D110+1))</f>
        <v/>
      </c>
      <c r="AQ110" s="14" t="str">
        <f>IF(ISERROR(HLOOKUP(T110,$BM$19:$BR118,$D110+1)),"",HLOOKUP(T110,$BM$19:$BR118,$D110+1))</f>
        <v/>
      </c>
      <c r="AR110" s="14" t="str">
        <f>IF(ISERROR(HLOOKUP(U110,$BM$19:$BR118,$D110+1)),"",HLOOKUP(U110,$BM$19:$BR118,$D110+1))</f>
        <v/>
      </c>
      <c r="AS110" s="14" t="str">
        <f>IF(ISERROR(HLOOKUP(V110,$BM$19:$BR118,$D110+1)),"",HLOOKUP(V110,$BM$19:$BR118,$D110+1))</f>
        <v/>
      </c>
      <c r="AT110" s="14" t="str">
        <f>IF(ISERROR(HLOOKUP(W110,$BM$19:$BR118,$D110+1)),"",HLOOKUP(W110,$BM$19:$BR118,$D110+1))</f>
        <v/>
      </c>
      <c r="AU110" s="14" t="str">
        <f>IF(ISERROR(HLOOKUP(X110,$BM$19:$BR118,$D110+1)),"",HLOOKUP(X110,$BM$19:$BR118,$D110+1))</f>
        <v/>
      </c>
      <c r="AV110" s="111" t="s">
        <v>208</v>
      </c>
      <c r="AW110" s="111" t="s">
        <v>208</v>
      </c>
    </row>
    <row r="111" spans="1:49" ht="27" customHeight="1">
      <c r="A111" s="25">
        <v>96</v>
      </c>
      <c r="B111" s="156"/>
      <c r="C111" s="153"/>
      <c r="D111" s="150"/>
      <c r="E111" s="151"/>
      <c r="F111" s="151"/>
      <c r="G111" s="151"/>
      <c r="H111" s="151"/>
      <c r="I111" s="151"/>
      <c r="J111" s="151"/>
      <c r="K111" s="151"/>
      <c r="L111" s="151"/>
      <c r="M111" s="151"/>
      <c r="N111" s="151"/>
      <c r="O111" s="151"/>
      <c r="P111" s="151"/>
      <c r="Q111" s="151"/>
      <c r="R111" s="151"/>
      <c r="S111" s="151"/>
      <c r="T111" s="151"/>
      <c r="U111" s="151"/>
      <c r="V111" s="151"/>
      <c r="W111" s="151"/>
      <c r="X111" s="151"/>
      <c r="Y111" s="163">
        <f t="shared" si="3"/>
        <v>0</v>
      </c>
      <c r="Z111" s="112"/>
      <c r="AA111" s="112"/>
      <c r="AB111" s="14" t="str">
        <f>IF(ISERROR(HLOOKUP(E111,$BM$19:$BR119,$D111+1)),"",HLOOKUP(E111,$BM$19:$BR119,$D111+1))</f>
        <v/>
      </c>
      <c r="AC111" s="14" t="str">
        <f>IF(ISERROR(HLOOKUP(F111,$BM$19:$BR119,$D111+1)),"",HLOOKUP(F111,$BM$19:$BR119,$D111+1))</f>
        <v/>
      </c>
      <c r="AD111" s="14" t="str">
        <f>IF(ISERROR(HLOOKUP(G111,$BM$19:$BR119,$D111+1)),"",HLOOKUP(G111,$BM$19:$BR119,$D111+1))</f>
        <v/>
      </c>
      <c r="AE111" s="14" t="str">
        <f>IF(ISERROR(HLOOKUP(H111,$BM$19:$BR119,$D111+1)),"",HLOOKUP(H111,$BM$19:$BR119,$D111+1))</f>
        <v/>
      </c>
      <c r="AF111" s="14" t="str">
        <f>IF(ISERROR(HLOOKUP(I111,$BM$19:$BR119,$D111+1)),"",HLOOKUP(I111,$BM$19:$BR119,$D111+1))</f>
        <v/>
      </c>
      <c r="AG111" s="14" t="str">
        <f>IF(ISERROR(HLOOKUP(J111,$BM$19:$BR119,$D111+1)),"",HLOOKUP(J111,$BM$19:$BR119,$D111+1))</f>
        <v/>
      </c>
      <c r="AH111" s="14" t="str">
        <f>IF(ISERROR(HLOOKUP(K111,$BM$19:$BR119,$D111+1)),"",HLOOKUP(K111,$BM$19:$BR119,$D111+1))</f>
        <v/>
      </c>
      <c r="AI111" s="14" t="str">
        <f>IF(ISERROR(HLOOKUP(L111,$BM$19:$BR119,$D111+1)),"",HLOOKUP(L111,$BM$19:$BR119,$D111+1))</f>
        <v/>
      </c>
      <c r="AJ111" s="14" t="str">
        <f>IF(ISERROR(HLOOKUP(M111,$BM$19:$BR119,$D111+1)),"",HLOOKUP(M111,$BM$19:$BR119,$D111+1))</f>
        <v/>
      </c>
      <c r="AK111" s="14" t="str">
        <f>IF(ISERROR(HLOOKUP(N111,$BM$19:$BR119,$D111+1)),"",HLOOKUP(N111,$BM$19:$BR119,$D111+1))</f>
        <v/>
      </c>
      <c r="AL111" s="14" t="str">
        <f>IF(ISERROR(HLOOKUP(O111,$BM$19:$BR119,$D111+1)),"",HLOOKUP(O111,$BM$19:$BR119,$D111+1))</f>
        <v/>
      </c>
      <c r="AM111" s="14" t="str">
        <f>IF(ISERROR(HLOOKUP(P111,$BM$19:$BR119,$D111+1)),"",HLOOKUP(P111,$BM$19:$BR119,$D111+1))</f>
        <v/>
      </c>
      <c r="AN111" s="14" t="str">
        <f>IF(ISERROR(HLOOKUP(Q111,$BM$19:$BR119,$D111+1)),"",HLOOKUP(Q111,$BM$19:$BR119,$D111+1))</f>
        <v/>
      </c>
      <c r="AO111" s="14" t="str">
        <f>IF(ISERROR(HLOOKUP(R111,$BM$19:$BR119,$D111+1)),"",HLOOKUP(R111,$BM$19:$BR119,$D111+1))</f>
        <v/>
      </c>
      <c r="AP111" s="14" t="str">
        <f>IF(ISERROR(HLOOKUP(S111,$BM$19:$BR119,$D111+1)),"",HLOOKUP(S111,$BM$19:$BR119,$D111+1))</f>
        <v/>
      </c>
      <c r="AQ111" s="14" t="str">
        <f>IF(ISERROR(HLOOKUP(T111,$BM$19:$BR119,$D111+1)),"",HLOOKUP(T111,$BM$19:$BR119,$D111+1))</f>
        <v/>
      </c>
      <c r="AR111" s="14" t="str">
        <f>IF(ISERROR(HLOOKUP(U111,$BM$19:$BR119,$D111+1)),"",HLOOKUP(U111,$BM$19:$BR119,$D111+1))</f>
        <v/>
      </c>
      <c r="AS111" s="14" t="str">
        <f>IF(ISERROR(HLOOKUP(V111,$BM$19:$BR119,$D111+1)),"",HLOOKUP(V111,$BM$19:$BR119,$D111+1))</f>
        <v/>
      </c>
      <c r="AT111" s="14" t="str">
        <f>IF(ISERROR(HLOOKUP(W111,$BM$19:$BR119,$D111+1)),"",HLOOKUP(W111,$BM$19:$BR119,$D111+1))</f>
        <v/>
      </c>
      <c r="AU111" s="14" t="str">
        <f>IF(ISERROR(HLOOKUP(X111,$BM$19:$BR119,$D111+1)),"",HLOOKUP(X111,$BM$19:$BR119,$D111+1))</f>
        <v/>
      </c>
      <c r="AV111" s="111" t="s">
        <v>208</v>
      </c>
      <c r="AW111" s="111" t="s">
        <v>208</v>
      </c>
    </row>
    <row r="112" spans="1:49" ht="27" customHeight="1">
      <c r="A112" s="25">
        <v>97</v>
      </c>
      <c r="B112" s="156"/>
      <c r="C112" s="153"/>
      <c r="D112" s="150"/>
      <c r="E112" s="151"/>
      <c r="F112" s="151"/>
      <c r="G112" s="151"/>
      <c r="H112" s="151"/>
      <c r="I112" s="151"/>
      <c r="J112" s="151"/>
      <c r="K112" s="151"/>
      <c r="L112" s="151"/>
      <c r="M112" s="151"/>
      <c r="N112" s="151"/>
      <c r="O112" s="151"/>
      <c r="P112" s="151"/>
      <c r="Q112" s="151"/>
      <c r="R112" s="151"/>
      <c r="S112" s="151"/>
      <c r="T112" s="151"/>
      <c r="U112" s="151"/>
      <c r="V112" s="151"/>
      <c r="W112" s="151"/>
      <c r="X112" s="151"/>
      <c r="Y112" s="162">
        <f t="shared" si="3"/>
        <v>0</v>
      </c>
      <c r="Z112" s="112"/>
      <c r="AA112" s="112"/>
      <c r="AB112" s="14" t="str">
        <f>IF(ISERROR(HLOOKUP(E112,$BM$19:$BR120,$D112+1)),"",HLOOKUP(E112,$BM$19:$BR120,$D112+1))</f>
        <v/>
      </c>
      <c r="AC112" s="14" t="str">
        <f>IF(ISERROR(HLOOKUP(F112,$BM$19:$BR120,$D112+1)),"",HLOOKUP(F112,$BM$19:$BR120,$D112+1))</f>
        <v/>
      </c>
      <c r="AD112" s="14" t="str">
        <f>IF(ISERROR(HLOOKUP(G112,$BM$19:$BR120,$D112+1)),"",HLOOKUP(G112,$BM$19:$BR120,$D112+1))</f>
        <v/>
      </c>
      <c r="AE112" s="14" t="str">
        <f>IF(ISERROR(HLOOKUP(H112,$BM$19:$BR120,$D112+1)),"",HLOOKUP(H112,$BM$19:$BR120,$D112+1))</f>
        <v/>
      </c>
      <c r="AF112" s="14" t="str">
        <f>IF(ISERROR(HLOOKUP(I112,$BM$19:$BR120,$D112+1)),"",HLOOKUP(I112,$BM$19:$BR120,$D112+1))</f>
        <v/>
      </c>
      <c r="AG112" s="14" t="str">
        <f>IF(ISERROR(HLOOKUP(J112,$BM$19:$BR120,$D112+1)),"",HLOOKUP(J112,$BM$19:$BR120,$D112+1))</f>
        <v/>
      </c>
      <c r="AH112" s="14" t="str">
        <f>IF(ISERROR(HLOOKUP(K112,$BM$19:$BR120,$D112+1)),"",HLOOKUP(K112,$BM$19:$BR120,$D112+1))</f>
        <v/>
      </c>
      <c r="AI112" s="14" t="str">
        <f>IF(ISERROR(HLOOKUP(L112,$BM$19:$BR120,$D112+1)),"",HLOOKUP(L112,$BM$19:$BR120,$D112+1))</f>
        <v/>
      </c>
      <c r="AJ112" s="14" t="str">
        <f>IF(ISERROR(HLOOKUP(M112,$BM$19:$BR120,$D112+1)),"",HLOOKUP(M112,$BM$19:$BR120,$D112+1))</f>
        <v/>
      </c>
      <c r="AK112" s="14" t="str">
        <f>IF(ISERROR(HLOOKUP(N112,$BM$19:$BR120,$D112+1)),"",HLOOKUP(N112,$BM$19:$BR120,$D112+1))</f>
        <v/>
      </c>
      <c r="AL112" s="14" t="str">
        <f>IF(ISERROR(HLOOKUP(O112,$BM$19:$BR120,$D112+1)),"",HLOOKUP(O112,$BM$19:$BR120,$D112+1))</f>
        <v/>
      </c>
      <c r="AM112" s="14" t="str">
        <f>IF(ISERROR(HLOOKUP(P112,$BM$19:$BR120,$D112+1)),"",HLOOKUP(P112,$BM$19:$BR120,$D112+1))</f>
        <v/>
      </c>
      <c r="AN112" s="14" t="str">
        <f>IF(ISERROR(HLOOKUP(Q112,$BM$19:$BR120,$D112+1)),"",HLOOKUP(Q112,$BM$19:$BR120,$D112+1))</f>
        <v/>
      </c>
      <c r="AO112" s="14" t="str">
        <f>IF(ISERROR(HLOOKUP(R112,$BM$19:$BR120,$D112+1)),"",HLOOKUP(R112,$BM$19:$BR120,$D112+1))</f>
        <v/>
      </c>
      <c r="AP112" s="14" t="str">
        <f>IF(ISERROR(HLOOKUP(S112,$BM$19:$BR120,$D112+1)),"",HLOOKUP(S112,$BM$19:$BR120,$D112+1))</f>
        <v/>
      </c>
      <c r="AQ112" s="14" t="str">
        <f>IF(ISERROR(HLOOKUP(T112,$BM$19:$BR120,$D112+1)),"",HLOOKUP(T112,$BM$19:$BR120,$D112+1))</f>
        <v/>
      </c>
      <c r="AR112" s="14" t="str">
        <f>IF(ISERROR(HLOOKUP(U112,$BM$19:$BR120,$D112+1)),"",HLOOKUP(U112,$BM$19:$BR120,$D112+1))</f>
        <v/>
      </c>
      <c r="AS112" s="14" t="str">
        <f>IF(ISERROR(HLOOKUP(V112,$BM$19:$BR120,$D112+1)),"",HLOOKUP(V112,$BM$19:$BR120,$D112+1))</f>
        <v/>
      </c>
      <c r="AT112" s="14" t="str">
        <f>IF(ISERROR(HLOOKUP(W112,$BM$19:$BR120,$D112+1)),"",HLOOKUP(W112,$BM$19:$BR120,$D112+1))</f>
        <v/>
      </c>
      <c r="AU112" s="14" t="str">
        <f>IF(ISERROR(HLOOKUP(X112,$BM$19:$BR120,$D112+1)),"",HLOOKUP(X112,$BM$19:$BR120,$D112+1))</f>
        <v/>
      </c>
      <c r="AV112" s="14" t="s">
        <v>208</v>
      </c>
      <c r="AW112" s="14" t="s">
        <v>208</v>
      </c>
    </row>
    <row r="113" spans="1:49" ht="27" customHeight="1">
      <c r="A113" s="25">
        <v>98</v>
      </c>
      <c r="B113" s="156"/>
      <c r="C113" s="153"/>
      <c r="D113" s="150"/>
      <c r="E113" s="151"/>
      <c r="F113" s="151"/>
      <c r="G113" s="151"/>
      <c r="H113" s="151"/>
      <c r="I113" s="151"/>
      <c r="J113" s="151"/>
      <c r="K113" s="151"/>
      <c r="L113" s="151"/>
      <c r="M113" s="151"/>
      <c r="N113" s="151"/>
      <c r="O113" s="151"/>
      <c r="P113" s="151"/>
      <c r="Q113" s="151"/>
      <c r="R113" s="151"/>
      <c r="S113" s="151"/>
      <c r="T113" s="151"/>
      <c r="U113" s="151"/>
      <c r="V113" s="151"/>
      <c r="W113" s="151"/>
      <c r="X113" s="151"/>
      <c r="Y113" s="162">
        <f t="shared" si="3"/>
        <v>0</v>
      </c>
      <c r="Z113" s="112"/>
      <c r="AA113" s="112"/>
      <c r="AB113" s="14" t="str">
        <f>IF(ISERROR(HLOOKUP(E113,$BM$19:$BR121,$D113+1)),"",HLOOKUP(E113,$BM$19:$BR121,$D113+1))</f>
        <v/>
      </c>
      <c r="AC113" s="14" t="str">
        <f>IF(ISERROR(HLOOKUP(F113,$BM$19:$BR121,$D113+1)),"",HLOOKUP(F113,$BM$19:$BR121,$D113+1))</f>
        <v/>
      </c>
      <c r="AD113" s="14" t="str">
        <f>IF(ISERROR(HLOOKUP(G113,$BM$19:$BR121,$D113+1)),"",HLOOKUP(G113,$BM$19:$BR121,$D113+1))</f>
        <v/>
      </c>
      <c r="AE113" s="14" t="str">
        <f>IF(ISERROR(HLOOKUP(H113,$BM$19:$BR121,$D113+1)),"",HLOOKUP(H113,$BM$19:$BR121,$D113+1))</f>
        <v/>
      </c>
      <c r="AF113" s="14" t="str">
        <f>IF(ISERROR(HLOOKUP(I113,$BM$19:$BR121,$D113+1)),"",HLOOKUP(I113,$BM$19:$BR121,$D113+1))</f>
        <v/>
      </c>
      <c r="AG113" s="14" t="str">
        <f>IF(ISERROR(HLOOKUP(J113,$BM$19:$BR121,$D113+1)),"",HLOOKUP(J113,$BM$19:$BR121,$D113+1))</f>
        <v/>
      </c>
      <c r="AH113" s="14" t="str">
        <f>IF(ISERROR(HLOOKUP(K113,$BM$19:$BR121,$D113+1)),"",HLOOKUP(K113,$BM$19:$BR121,$D113+1))</f>
        <v/>
      </c>
      <c r="AI113" s="14" t="str">
        <f>IF(ISERROR(HLOOKUP(L113,$BM$19:$BR121,$D113+1)),"",HLOOKUP(L113,$BM$19:$BR121,$D113+1))</f>
        <v/>
      </c>
      <c r="AJ113" s="14" t="str">
        <f>IF(ISERROR(HLOOKUP(M113,$BM$19:$BR121,$D113+1)),"",HLOOKUP(M113,$BM$19:$BR121,$D113+1))</f>
        <v/>
      </c>
      <c r="AK113" s="14" t="str">
        <f>IF(ISERROR(HLOOKUP(N113,$BM$19:$BR121,$D113+1)),"",HLOOKUP(N113,$BM$19:$BR121,$D113+1))</f>
        <v/>
      </c>
      <c r="AL113" s="14" t="str">
        <f>IF(ISERROR(HLOOKUP(O113,$BM$19:$BR121,$D113+1)),"",HLOOKUP(O113,$BM$19:$BR121,$D113+1))</f>
        <v/>
      </c>
      <c r="AM113" s="14" t="str">
        <f>IF(ISERROR(HLOOKUP(P113,$BM$19:$BR121,$D113+1)),"",HLOOKUP(P113,$BM$19:$BR121,$D113+1))</f>
        <v/>
      </c>
      <c r="AN113" s="14" t="str">
        <f>IF(ISERROR(HLOOKUP(Q113,$BM$19:$BR121,$D113+1)),"",HLOOKUP(Q113,$BM$19:$BR121,$D113+1))</f>
        <v/>
      </c>
      <c r="AO113" s="14" t="str">
        <f>IF(ISERROR(HLOOKUP(R113,$BM$19:$BR121,$D113+1)),"",HLOOKUP(R113,$BM$19:$BR121,$D113+1))</f>
        <v/>
      </c>
      <c r="AP113" s="14" t="str">
        <f>IF(ISERROR(HLOOKUP(S113,$BM$19:$BR121,$D113+1)),"",HLOOKUP(S113,$BM$19:$BR121,$D113+1))</f>
        <v/>
      </c>
      <c r="AQ113" s="14" t="str">
        <f>IF(ISERROR(HLOOKUP(T113,$BM$19:$BR121,$D113+1)),"",HLOOKUP(T113,$BM$19:$BR121,$D113+1))</f>
        <v/>
      </c>
      <c r="AR113" s="14" t="str">
        <f>IF(ISERROR(HLOOKUP(U113,$BM$19:$BR121,$D113+1)),"",HLOOKUP(U113,$BM$19:$BR121,$D113+1))</f>
        <v/>
      </c>
      <c r="AS113" s="14" t="str">
        <f>IF(ISERROR(HLOOKUP(V113,$BM$19:$BR121,$D113+1)),"",HLOOKUP(V113,$BM$19:$BR121,$D113+1))</f>
        <v/>
      </c>
      <c r="AT113" s="14" t="str">
        <f>IF(ISERROR(HLOOKUP(W113,$BM$19:$BR121,$D113+1)),"",HLOOKUP(W113,$BM$19:$BR121,$D113+1))</f>
        <v/>
      </c>
      <c r="AU113" s="14" t="str">
        <f>IF(ISERROR(HLOOKUP(X113,$BM$19:$BR121,$D113+1)),"",HLOOKUP(X113,$BM$19:$BR121,$D113+1))</f>
        <v/>
      </c>
      <c r="AV113" s="14" t="s">
        <v>208</v>
      </c>
      <c r="AW113" s="14" t="s">
        <v>208</v>
      </c>
    </row>
    <row r="114" spans="1:49" ht="27" customHeight="1">
      <c r="A114" s="25">
        <v>99</v>
      </c>
      <c r="B114" s="156"/>
      <c r="C114" s="153"/>
      <c r="D114" s="150"/>
      <c r="E114" s="151"/>
      <c r="F114" s="151"/>
      <c r="G114" s="151"/>
      <c r="H114" s="151"/>
      <c r="I114" s="151"/>
      <c r="J114" s="151"/>
      <c r="K114" s="151"/>
      <c r="L114" s="151"/>
      <c r="M114" s="151"/>
      <c r="N114" s="151"/>
      <c r="O114" s="151"/>
      <c r="P114" s="151"/>
      <c r="Q114" s="151"/>
      <c r="R114" s="151"/>
      <c r="S114" s="151"/>
      <c r="T114" s="151"/>
      <c r="U114" s="151"/>
      <c r="V114" s="151"/>
      <c r="W114" s="151"/>
      <c r="X114" s="151"/>
      <c r="Y114" s="162">
        <f t="shared" si="3"/>
        <v>0</v>
      </c>
      <c r="Z114" s="112"/>
      <c r="AA114" s="112"/>
      <c r="AB114" s="14" t="str">
        <f>IF(ISERROR(HLOOKUP(E114,$BM$19:$BR122,$D114+1)),"",HLOOKUP(E114,$BM$19:$BR122,$D114+1))</f>
        <v/>
      </c>
      <c r="AC114" s="14" t="str">
        <f>IF(ISERROR(HLOOKUP(F114,$BM$19:$BR122,$D114+1)),"",HLOOKUP(F114,$BM$19:$BR122,$D114+1))</f>
        <v/>
      </c>
      <c r="AD114" s="14" t="str">
        <f>IF(ISERROR(HLOOKUP(G114,$BM$19:$BR122,$D114+1)),"",HLOOKUP(G114,$BM$19:$BR122,$D114+1))</f>
        <v/>
      </c>
      <c r="AE114" s="14" t="str">
        <f>IF(ISERROR(HLOOKUP(H114,$BM$19:$BR122,$D114+1)),"",HLOOKUP(H114,$BM$19:$BR122,$D114+1))</f>
        <v/>
      </c>
      <c r="AF114" s="14" t="str">
        <f>IF(ISERROR(HLOOKUP(I114,$BM$19:$BR122,$D114+1)),"",HLOOKUP(I114,$BM$19:$BR122,$D114+1))</f>
        <v/>
      </c>
      <c r="AG114" s="14" t="str">
        <f>IF(ISERROR(HLOOKUP(J114,$BM$19:$BR122,$D114+1)),"",HLOOKUP(J114,$BM$19:$BR122,$D114+1))</f>
        <v/>
      </c>
      <c r="AH114" s="14" t="str">
        <f>IF(ISERROR(HLOOKUP(K114,$BM$19:$BR122,$D114+1)),"",HLOOKUP(K114,$BM$19:$BR122,$D114+1))</f>
        <v/>
      </c>
      <c r="AI114" s="14" t="str">
        <f>IF(ISERROR(HLOOKUP(L114,$BM$19:$BR122,$D114+1)),"",HLOOKUP(L114,$BM$19:$BR122,$D114+1))</f>
        <v/>
      </c>
      <c r="AJ114" s="14" t="str">
        <f>IF(ISERROR(HLOOKUP(M114,$BM$19:$BR122,$D114+1)),"",HLOOKUP(M114,$BM$19:$BR122,$D114+1))</f>
        <v/>
      </c>
      <c r="AK114" s="14" t="str">
        <f>IF(ISERROR(HLOOKUP(N114,$BM$19:$BR122,$D114+1)),"",HLOOKUP(N114,$BM$19:$BR122,$D114+1))</f>
        <v/>
      </c>
      <c r="AL114" s="14" t="str">
        <f>IF(ISERROR(HLOOKUP(O114,$BM$19:$BR122,$D114+1)),"",HLOOKUP(O114,$BM$19:$BR122,$D114+1))</f>
        <v/>
      </c>
      <c r="AM114" s="14" t="str">
        <f>IF(ISERROR(HLOOKUP(P114,$BM$19:$BR122,$D114+1)),"",HLOOKUP(P114,$BM$19:$BR122,$D114+1))</f>
        <v/>
      </c>
      <c r="AN114" s="14" t="str">
        <f>IF(ISERROR(HLOOKUP(Q114,$BM$19:$BR122,$D114+1)),"",HLOOKUP(Q114,$BM$19:$BR122,$D114+1))</f>
        <v/>
      </c>
      <c r="AO114" s="14" t="str">
        <f>IF(ISERROR(HLOOKUP(R114,$BM$19:$BR122,$D114+1)),"",HLOOKUP(R114,$BM$19:$BR122,$D114+1))</f>
        <v/>
      </c>
      <c r="AP114" s="14" t="str">
        <f>IF(ISERROR(HLOOKUP(S114,$BM$19:$BR122,$D114+1)),"",HLOOKUP(S114,$BM$19:$BR122,$D114+1))</f>
        <v/>
      </c>
      <c r="AQ114" s="14" t="str">
        <f>IF(ISERROR(HLOOKUP(T114,$BM$19:$BR122,$D114+1)),"",HLOOKUP(T114,$BM$19:$BR122,$D114+1))</f>
        <v/>
      </c>
      <c r="AR114" s="14" t="str">
        <f>IF(ISERROR(HLOOKUP(U114,$BM$19:$BR122,$D114+1)),"",HLOOKUP(U114,$BM$19:$BR122,$D114+1))</f>
        <v/>
      </c>
      <c r="AS114" s="14" t="str">
        <f>IF(ISERROR(HLOOKUP(V114,$BM$19:$BR122,$D114+1)),"",HLOOKUP(V114,$BM$19:$BR122,$D114+1))</f>
        <v/>
      </c>
      <c r="AT114" s="14" t="str">
        <f>IF(ISERROR(HLOOKUP(W114,$BM$19:$BR122,$D114+1)),"",HLOOKUP(W114,$BM$19:$BR122,$D114+1))</f>
        <v/>
      </c>
      <c r="AU114" s="14" t="str">
        <f>IF(ISERROR(HLOOKUP(X114,$BM$19:$BR122,$D114+1)),"",HLOOKUP(X114,$BM$19:$BR122,$D114+1))</f>
        <v/>
      </c>
      <c r="AV114" s="14" t="s">
        <v>208</v>
      </c>
      <c r="AW114" s="14" t="s">
        <v>208</v>
      </c>
    </row>
    <row r="115" spans="1:49" ht="27" customHeight="1">
      <c r="A115" s="25">
        <v>100</v>
      </c>
      <c r="B115" s="156"/>
      <c r="C115" s="153"/>
      <c r="D115" s="150"/>
      <c r="E115" s="151"/>
      <c r="F115" s="151"/>
      <c r="G115" s="151"/>
      <c r="H115" s="151"/>
      <c r="I115" s="151"/>
      <c r="J115" s="151"/>
      <c r="K115" s="151"/>
      <c r="L115" s="151"/>
      <c r="M115" s="151"/>
      <c r="N115" s="151"/>
      <c r="O115" s="151"/>
      <c r="P115" s="151"/>
      <c r="Q115" s="151"/>
      <c r="R115" s="151"/>
      <c r="S115" s="151"/>
      <c r="T115" s="151"/>
      <c r="U115" s="151"/>
      <c r="V115" s="151"/>
      <c r="W115" s="151"/>
      <c r="X115" s="151"/>
      <c r="Y115" s="163">
        <f t="shared" si="3"/>
        <v>0</v>
      </c>
      <c r="Z115" s="112"/>
      <c r="AA115" s="112"/>
      <c r="AB115" s="14" t="str">
        <f>IF(ISERROR(HLOOKUP(E115,$BM$19:$BR123,$D115+1)),"",HLOOKUP(E115,$BM$19:$BR123,$D115+1))</f>
        <v/>
      </c>
      <c r="AC115" s="14" t="str">
        <f>IF(ISERROR(HLOOKUP(F115,$BM$19:$BR123,$D115+1)),"",HLOOKUP(F115,$BM$19:$BR123,$D115+1))</f>
        <v/>
      </c>
      <c r="AD115" s="14" t="str">
        <f>IF(ISERROR(HLOOKUP(G115,$BM$19:$BR123,$D115+1)),"",HLOOKUP(G115,$BM$19:$BR123,$D115+1))</f>
        <v/>
      </c>
      <c r="AE115" s="14" t="str">
        <f>IF(ISERROR(HLOOKUP(H115,$BM$19:$BR123,$D115+1)),"",HLOOKUP(H115,$BM$19:$BR123,$D115+1))</f>
        <v/>
      </c>
      <c r="AF115" s="14" t="str">
        <f>IF(ISERROR(HLOOKUP(I115,$BM$19:$BR123,$D115+1)),"",HLOOKUP(I115,$BM$19:$BR123,$D115+1))</f>
        <v/>
      </c>
      <c r="AG115" s="14" t="str">
        <f>IF(ISERROR(HLOOKUP(J115,$BM$19:$BR123,$D115+1)),"",HLOOKUP(J115,$BM$19:$BR123,$D115+1))</f>
        <v/>
      </c>
      <c r="AH115" s="14" t="str">
        <f>IF(ISERROR(HLOOKUP(K115,$BM$19:$BR123,$D115+1)),"",HLOOKUP(K115,$BM$19:$BR123,$D115+1))</f>
        <v/>
      </c>
      <c r="AI115" s="14" t="str">
        <f>IF(ISERROR(HLOOKUP(L115,$BM$19:$BR123,$D115+1)),"",HLOOKUP(L115,$BM$19:$BR123,$D115+1))</f>
        <v/>
      </c>
      <c r="AJ115" s="14" t="str">
        <f>IF(ISERROR(HLOOKUP(M115,$BM$19:$BR123,$D115+1)),"",HLOOKUP(M115,$BM$19:$BR123,$D115+1))</f>
        <v/>
      </c>
      <c r="AK115" s="14" t="str">
        <f>IF(ISERROR(HLOOKUP(N115,$BM$19:$BR123,$D115+1)),"",HLOOKUP(N115,$BM$19:$BR123,$D115+1))</f>
        <v/>
      </c>
      <c r="AL115" s="14" t="str">
        <f>IF(ISERROR(HLOOKUP(O115,$BM$19:$BR123,$D115+1)),"",HLOOKUP(O115,$BM$19:$BR123,$D115+1))</f>
        <v/>
      </c>
      <c r="AM115" s="14" t="str">
        <f>IF(ISERROR(HLOOKUP(P115,$BM$19:$BR123,$D115+1)),"",HLOOKUP(P115,$BM$19:$BR123,$D115+1))</f>
        <v/>
      </c>
      <c r="AN115" s="14" t="str">
        <f>IF(ISERROR(HLOOKUP(Q115,$BM$19:$BR123,$D115+1)),"",HLOOKUP(Q115,$BM$19:$BR123,$D115+1))</f>
        <v/>
      </c>
      <c r="AO115" s="14" t="str">
        <f>IF(ISERROR(HLOOKUP(R115,$BM$19:$BR123,$D115+1)),"",HLOOKUP(R115,$BM$19:$BR123,$D115+1))</f>
        <v/>
      </c>
      <c r="AP115" s="14" t="str">
        <f>IF(ISERROR(HLOOKUP(S115,$BM$19:$BR123,$D115+1)),"",HLOOKUP(S115,$BM$19:$BR123,$D115+1))</f>
        <v/>
      </c>
      <c r="AQ115" s="14" t="str">
        <f>IF(ISERROR(HLOOKUP(T115,$BM$19:$BR123,$D115+1)),"",HLOOKUP(T115,$BM$19:$BR123,$D115+1))</f>
        <v/>
      </c>
      <c r="AR115" s="14" t="str">
        <f>IF(ISERROR(HLOOKUP(U115,$BM$19:$BR123,$D115+1)),"",HLOOKUP(U115,$BM$19:$BR123,$D115+1))</f>
        <v/>
      </c>
      <c r="AS115" s="14" t="str">
        <f>IF(ISERROR(HLOOKUP(V115,$BM$19:$BR123,$D115+1)),"",HLOOKUP(V115,$BM$19:$BR123,$D115+1))</f>
        <v/>
      </c>
      <c r="AT115" s="14" t="str">
        <f>IF(ISERROR(HLOOKUP(W115,$BM$19:$BR123,$D115+1)),"",HLOOKUP(W115,$BM$19:$BR123,$D115+1))</f>
        <v/>
      </c>
      <c r="AU115" s="14" t="str">
        <f>IF(ISERROR(HLOOKUP(X115,$BM$19:$BR123,$D115+1)),"",HLOOKUP(X115,$BM$19:$BR123,$D115+1))</f>
        <v/>
      </c>
      <c r="AV115" s="111" t="s">
        <v>208</v>
      </c>
      <c r="AW115" s="111" t="s">
        <v>208</v>
      </c>
    </row>
    <row r="116" spans="1:49">
      <c r="B116" s="17"/>
    </row>
    <row r="117" spans="1:49">
      <c r="B117" s="17"/>
    </row>
    <row r="118" spans="1:49">
      <c r="B118" s="17"/>
    </row>
    <row r="119" spans="1:49">
      <c r="B119" s="17"/>
    </row>
    <row r="120" spans="1:49">
      <c r="B120" s="17"/>
    </row>
    <row r="121" spans="1:49">
      <c r="B121" s="17"/>
    </row>
    <row r="122" spans="1:49">
      <c r="B122" s="17"/>
    </row>
  </sheetData>
  <mergeCells count="31">
    <mergeCell ref="BH19:BJ20"/>
    <mergeCell ref="BG18:BJ18"/>
    <mergeCell ref="BC20:BE20"/>
    <mergeCell ref="BC21:BE21"/>
    <mergeCell ref="BC22:BE22"/>
    <mergeCell ref="AW13:BA13"/>
    <mergeCell ref="E14:AV14"/>
    <mergeCell ref="CE13:CI13"/>
    <mergeCell ref="AW14:BA14"/>
    <mergeCell ref="CE14:CI14"/>
    <mergeCell ref="B2:R2"/>
    <mergeCell ref="E13:AV13"/>
    <mergeCell ref="B13:B16"/>
    <mergeCell ref="C13:C16"/>
    <mergeCell ref="D13:D16"/>
    <mergeCell ref="BN18:BR18"/>
    <mergeCell ref="BL20:BL25"/>
    <mergeCell ref="BG27:BG28"/>
    <mergeCell ref="BH27:BJ28"/>
    <mergeCell ref="BC23:BE23"/>
    <mergeCell ref="BC24:BE24"/>
    <mergeCell ref="BC25:BE25"/>
    <mergeCell ref="BH25:BJ26"/>
    <mergeCell ref="BG25:BG26"/>
    <mergeCell ref="BH23:BJ24"/>
    <mergeCell ref="BG23:BG24"/>
    <mergeCell ref="BB18:BE18"/>
    <mergeCell ref="BC19:BE19"/>
    <mergeCell ref="BH21:BJ22"/>
    <mergeCell ref="BG21:BG22"/>
    <mergeCell ref="BG19:BG20"/>
  </mergeCells>
  <phoneticPr fontId="41" type="noConversion"/>
  <conditionalFormatting sqref="E17:P34 E35:E44 J35:P44 E45:P115 Q17:X115">
    <cfRule type="cellIs" dxfId="11" priority="18" operator="equal">
      <formula>1</formula>
    </cfRule>
    <cfRule type="cellIs" dxfId="10" priority="19" operator="equal">
      <formula>2</formula>
    </cfRule>
    <cfRule type="cellIs" dxfId="9" priority="20" operator="equal">
      <formula>5</formula>
    </cfRule>
    <cfRule type="cellIs" dxfId="8" priority="21" operator="equal">
      <formula>4</formula>
    </cfRule>
    <cfRule type="cellIs" dxfId="7" priority="22" operator="equal">
      <formula>3</formula>
    </cfRule>
  </conditionalFormatting>
  <conditionalFormatting sqref="Y18:AA115 Y17 Z16">
    <cfRule type="cellIs" dxfId="6" priority="16" operator="equal">
      <formula>0</formula>
    </cfRule>
  </conditionalFormatting>
  <dataValidations count="3">
    <dataValidation type="list" allowBlank="1" showInputMessage="1" showErrorMessage="1" sqref="E28:E115 F45:I115 F28:I34 E17:X27 J28:X115">
      <formula1>$H$4:$H$9</formula1>
    </dataValidation>
    <dataValidation type="list" allowBlank="1" showInputMessage="1" showErrorMessage="1" sqref="C17:C115">
      <formula1>"Oper, Main"</formula1>
    </dataValidation>
    <dataValidation type="list" allowBlank="1" showInputMessage="1" showErrorMessage="1" sqref="D17:D115">
      <formula1>$D$4:$D$12</formula1>
    </dataValidation>
  </dataValidations>
  <hyperlinks>
    <hyperlink ref="CJ2:CN2" location="'OMAT%20Process%20Map'!A8" display="'OMAT%20Process%20Map'!A8"/>
    <hyperlink ref="E16" location="'DPRefs'!B4" display="Fall from height"/>
    <hyperlink ref="F16" location="'DPRefs'!C4" display="Fall on same level"/>
    <hyperlink ref="H16" location="'DPRefs'!E4" display="Struck by/contact with materials, substances or moving objects"/>
    <hyperlink ref="I16" location="'DPRefs'!F4" display="Caught between moving objects"/>
    <hyperlink ref="J16" location="'DPRefs'!G4" display="Rim or tire failure"/>
    <hyperlink ref="K16" location="'DPRefs'!H4" display="Fire arising from damage to electrical cables, hydraulic hoses, fuel lines"/>
    <hyperlink ref="L16" location="'DPRefs'!I4" display="Musculoskeletal injury from manual tasks risk factors "/>
    <hyperlink ref="M16" location="'DPRefs'!J4" display="Collisions due to restricted visibility"/>
    <hyperlink ref="N16" location="'DPRefs'!K4" display="Loss of machine stability"/>
    <hyperlink ref="O16" location="'DPRefs'!L4" display="Inadvertent/erroneous operation of controls"/>
    <hyperlink ref="P16" location="'DPRefs'!M4" display="Incorrect understanding of displays or labels"/>
    <hyperlink ref="R16" location="'DPRefs'!o4" display="Harm due to  extreme temperature exposure"/>
    <hyperlink ref="S16" location="'DPRefs'!p4" display="Harm due to dust exposure"/>
    <hyperlink ref="T16" location="'DPRefs'!q4" display="Harm due to DPMs or other particulates exposure"/>
    <hyperlink ref="U16" location="'DPRefs'!r4" display="Harm due to noise exposure"/>
    <hyperlink ref="V16" location="'DPRefs'!s4" display="Harm due to whole-body or peripheral vibration exposure "/>
    <hyperlink ref="X16" location="'DPRefs'!u4" display="Asphyxiation in confined space"/>
    <hyperlink ref="G16" location="'DPRefs'!D4" display="Blocked access/ egress"/>
    <hyperlink ref="W16" location="'DPRefs'!t4" display="Failure of control systems"/>
    <hyperlink ref="Q16" location="'DPRefs'!N4" display="Failure to respond to alarm"/>
  </hyperlinks>
  <pageMargins left="0.70866141732283472" right="0.70866141732283472" top="0.74803149606299213" bottom="0.74803149606299213" header="0.31496062992125984" footer="0.31496062992125984"/>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I27"/>
  <sheetViews>
    <sheetView tabSelected="1" topLeftCell="A10" workbookViewId="0">
      <selection activeCell="I29" sqref="I28:I29"/>
    </sheetView>
  </sheetViews>
  <sheetFormatPr baseColWidth="10" defaultColWidth="8.83203125" defaultRowHeight="18" x14ac:dyDescent="0"/>
  <cols>
    <col min="1" max="1" width="8.6640625" style="129" customWidth="1"/>
    <col min="2" max="2" width="12.1640625" customWidth="1"/>
    <col min="3" max="3" width="21.6640625" customWidth="1"/>
    <col min="4" max="4" width="11.5" customWidth="1"/>
    <col min="5" max="5" width="13.6640625" customWidth="1"/>
    <col min="6" max="6" width="14.5" customWidth="1"/>
    <col min="7" max="7" width="11" customWidth="1"/>
    <col min="8" max="8" width="57.33203125" customWidth="1"/>
    <col min="9" max="9" width="40" customWidth="1"/>
    <col min="10" max="10" width="44.33203125" customWidth="1"/>
    <col min="11" max="11" width="21.83203125" customWidth="1"/>
    <col min="12" max="13" width="10.5" customWidth="1"/>
    <col min="14" max="14" width="51.6640625" customWidth="1"/>
    <col min="15" max="15" width="17.6640625" customWidth="1"/>
    <col min="16" max="16" width="31.1640625" customWidth="1"/>
    <col min="17" max="17" width="15.5" customWidth="1"/>
    <col min="18" max="22" width="11.5" customWidth="1"/>
    <col min="23" max="35" width="8.83203125" customWidth="1"/>
  </cols>
  <sheetData>
    <row r="2" spans="1:35" ht="80" customHeight="1">
      <c r="C2" s="193" t="s">
        <v>215</v>
      </c>
      <c r="D2" s="194"/>
      <c r="E2" s="194"/>
      <c r="F2" s="194"/>
      <c r="G2" s="194"/>
      <c r="H2" s="194"/>
      <c r="I2" s="194"/>
      <c r="J2" s="194"/>
      <c r="K2" s="194"/>
      <c r="L2" s="194"/>
      <c r="M2" s="194"/>
      <c r="N2" s="194"/>
      <c r="O2" s="194"/>
      <c r="P2" s="194"/>
      <c r="Q2" s="194"/>
      <c r="R2" s="194"/>
      <c r="S2" s="194"/>
      <c r="T2" s="194"/>
      <c r="U2" s="194"/>
      <c r="V2" s="194"/>
      <c r="W2" s="194"/>
    </row>
    <row r="3" spans="1:35" ht="46" customHeight="1">
      <c r="A3" s="179"/>
      <c r="B3" s="172" t="s">
        <v>317</v>
      </c>
      <c r="C3" s="170"/>
      <c r="D3" s="170"/>
      <c r="E3" s="170"/>
      <c r="F3" s="170"/>
      <c r="G3" s="170"/>
      <c r="H3" s="171"/>
      <c r="I3" s="171"/>
      <c r="J3" s="171"/>
      <c r="K3" s="171"/>
      <c r="L3" s="180"/>
      <c r="M3" s="137"/>
      <c r="N3" s="137"/>
      <c r="O3" s="137"/>
      <c r="P3" s="128"/>
      <c r="Q3" s="128"/>
      <c r="R3" s="128"/>
      <c r="S3" s="128"/>
      <c r="T3" s="128"/>
      <c r="U3" s="128"/>
      <c r="V3" s="128"/>
      <c r="W3" s="128"/>
    </row>
    <row r="4" spans="1:35">
      <c r="A4" s="179" t="s">
        <v>196</v>
      </c>
      <c r="B4" s="210" t="s">
        <v>251</v>
      </c>
      <c r="C4" s="210"/>
      <c r="D4" s="210"/>
      <c r="E4" s="210"/>
      <c r="F4" s="210"/>
      <c r="G4" s="210"/>
      <c r="H4" s="228"/>
      <c r="I4" s="231" t="s">
        <v>29</v>
      </c>
      <c r="J4" s="232"/>
      <c r="K4" s="233"/>
      <c r="L4" s="180"/>
    </row>
    <row r="5" spans="1:35">
      <c r="A5" s="179" t="s">
        <v>318</v>
      </c>
      <c r="B5" s="210" t="s">
        <v>294</v>
      </c>
      <c r="C5" s="210"/>
      <c r="D5" s="210"/>
      <c r="E5" s="210"/>
      <c r="F5" s="210"/>
      <c r="G5" s="210"/>
      <c r="H5" s="228"/>
      <c r="I5" s="231" t="s">
        <v>30</v>
      </c>
      <c r="J5" s="232"/>
      <c r="K5" s="233"/>
      <c r="L5" s="180"/>
    </row>
    <row r="6" spans="1:35">
      <c r="A6" s="179"/>
      <c r="B6" s="210" t="s">
        <v>319</v>
      </c>
      <c r="C6" s="210"/>
      <c r="D6" s="210"/>
      <c r="E6" s="210"/>
      <c r="F6" s="210"/>
      <c r="G6" s="210"/>
      <c r="H6" s="228"/>
      <c r="I6" s="228" t="s">
        <v>335</v>
      </c>
      <c r="J6" s="229"/>
      <c r="K6" s="230"/>
      <c r="L6" s="180"/>
    </row>
    <row r="7" spans="1:35" s="23" customFormat="1">
      <c r="A7" s="180"/>
      <c r="B7" s="180"/>
      <c r="C7" s="180"/>
      <c r="D7" s="180"/>
      <c r="E7" s="180"/>
      <c r="F7" s="180"/>
      <c r="G7" s="180"/>
      <c r="H7" s="180"/>
      <c r="I7" s="180"/>
      <c r="J7" s="180"/>
      <c r="K7" s="180"/>
      <c r="L7" s="180"/>
      <c r="M7"/>
      <c r="N7"/>
      <c r="O7"/>
    </row>
    <row r="8" spans="1:35" s="19" customFormat="1" ht="46" thickBot="1">
      <c r="A8" s="181">
        <v>2</v>
      </c>
      <c r="B8" s="96" t="s">
        <v>31</v>
      </c>
      <c r="C8" s="96" t="s">
        <v>189</v>
      </c>
      <c r="D8" s="96" t="s">
        <v>32</v>
      </c>
      <c r="E8" s="96" t="s">
        <v>35</v>
      </c>
      <c r="F8" s="96" t="s">
        <v>195</v>
      </c>
      <c r="G8" s="96" t="s">
        <v>36</v>
      </c>
      <c r="H8" s="96" t="s">
        <v>33</v>
      </c>
      <c r="I8" s="96" t="s">
        <v>322</v>
      </c>
      <c r="J8" s="96" t="s">
        <v>34</v>
      </c>
      <c r="K8" s="96" t="s">
        <v>190</v>
      </c>
      <c r="L8" s="180"/>
      <c r="M8" s="130"/>
      <c r="N8" s="143" t="s">
        <v>320</v>
      </c>
      <c r="O8" s="130"/>
      <c r="P8" s="140"/>
      <c r="AC8" s="19">
        <f t="shared" ref="AC8:AC25" si="0">VLOOKUP(F9,Z$11:AA$15,2,FALSE)</f>
        <v>1</v>
      </c>
      <c r="AI8" s="19" t="e">
        <f>VLOOKUP(G9,$AF$9:$AG$13,2,FALSE)</f>
        <v>#N/A</v>
      </c>
    </row>
    <row r="9" spans="1:35" ht="86" thickBot="1">
      <c r="A9" s="179"/>
      <c r="B9" s="122" t="s">
        <v>282</v>
      </c>
      <c r="C9" s="122" t="s">
        <v>261</v>
      </c>
      <c r="D9" s="122" t="s">
        <v>269</v>
      </c>
      <c r="E9" s="122" t="s">
        <v>265</v>
      </c>
      <c r="F9" s="122" t="s">
        <v>39</v>
      </c>
      <c r="G9" s="122" t="str">
        <f t="shared" ref="G9:G26" si="1">VLOOKUP(E9,Q$11:V$15,AC8+1,FALSE)</f>
        <v>Moderate</v>
      </c>
      <c r="H9" s="122" t="s">
        <v>273</v>
      </c>
      <c r="I9" s="122" t="s">
        <v>328</v>
      </c>
      <c r="J9" s="122" t="s">
        <v>275</v>
      </c>
      <c r="K9" s="122" t="s">
        <v>274</v>
      </c>
      <c r="L9" s="180"/>
      <c r="M9" s="144" t="s">
        <v>260</v>
      </c>
      <c r="N9" s="141"/>
      <c r="O9" s="141"/>
      <c r="P9" s="142"/>
      <c r="Q9" s="20"/>
      <c r="R9" s="207" t="s">
        <v>37</v>
      </c>
      <c r="S9" s="208"/>
      <c r="T9" s="208"/>
      <c r="U9" s="208"/>
      <c r="V9" s="209"/>
      <c r="AC9" s="19">
        <f t="shared" si="0"/>
        <v>2</v>
      </c>
      <c r="AF9" s="101" t="s">
        <v>46</v>
      </c>
      <c r="AG9">
        <v>1</v>
      </c>
    </row>
    <row r="10" spans="1:35" ht="103" thickBot="1">
      <c r="A10" s="179"/>
      <c r="B10" s="122" t="s">
        <v>283</v>
      </c>
      <c r="C10" s="122" t="s">
        <v>145</v>
      </c>
      <c r="D10" s="122" t="s">
        <v>270</v>
      </c>
      <c r="E10" s="122" t="s">
        <v>48</v>
      </c>
      <c r="F10" s="122" t="s">
        <v>43</v>
      </c>
      <c r="G10" s="122" t="str">
        <f t="shared" si="1"/>
        <v>Moderate</v>
      </c>
      <c r="H10" s="122" t="s">
        <v>276</v>
      </c>
      <c r="I10" s="122" t="s">
        <v>324</v>
      </c>
      <c r="J10" s="122" t="s">
        <v>323</v>
      </c>
      <c r="K10" s="122" t="s">
        <v>279</v>
      </c>
      <c r="L10" s="180"/>
      <c r="M10" s="139">
        <v>1</v>
      </c>
      <c r="N10" s="139" t="s">
        <v>272</v>
      </c>
      <c r="O10" s="141"/>
      <c r="P10" s="142"/>
      <c r="Q10" s="24" t="s">
        <v>38</v>
      </c>
      <c r="R10" s="22" t="s">
        <v>39</v>
      </c>
      <c r="S10" s="22" t="s">
        <v>43</v>
      </c>
      <c r="T10" s="22" t="s">
        <v>264</v>
      </c>
      <c r="U10" s="22" t="s">
        <v>40</v>
      </c>
      <c r="V10" s="22" t="s">
        <v>41</v>
      </c>
      <c r="W10" s="127" t="s">
        <v>201</v>
      </c>
      <c r="AC10" s="19">
        <f t="shared" si="0"/>
        <v>3</v>
      </c>
      <c r="AF10" s="100" t="s">
        <v>45</v>
      </c>
      <c r="AG10">
        <v>2</v>
      </c>
    </row>
    <row r="11" spans="1:35" ht="103" thickBot="1">
      <c r="A11" s="179"/>
      <c r="B11" s="122" t="s">
        <v>284</v>
      </c>
      <c r="C11" s="122" t="s">
        <v>261</v>
      </c>
      <c r="D11" s="122" t="s">
        <v>269</v>
      </c>
      <c r="E11" s="122" t="s">
        <v>265</v>
      </c>
      <c r="F11" s="122" t="s">
        <v>264</v>
      </c>
      <c r="G11" s="122" t="str">
        <f t="shared" si="1"/>
        <v>Critical</v>
      </c>
      <c r="H11" s="122" t="s">
        <v>303</v>
      </c>
      <c r="I11" s="122" t="s">
        <v>329</v>
      </c>
      <c r="J11" s="122" t="s">
        <v>275</v>
      </c>
      <c r="K11" s="122" t="s">
        <v>278</v>
      </c>
      <c r="L11" s="180"/>
      <c r="M11" s="139">
        <v>2</v>
      </c>
      <c r="N11" s="139" t="s">
        <v>253</v>
      </c>
      <c r="O11" s="141"/>
      <c r="P11" s="142"/>
      <c r="Q11" s="21" t="s">
        <v>265</v>
      </c>
      <c r="R11" s="100" t="s">
        <v>331</v>
      </c>
      <c r="S11" s="173" t="s">
        <v>44</v>
      </c>
      <c r="T11" s="173" t="s">
        <v>332</v>
      </c>
      <c r="U11" s="173" t="s">
        <v>332</v>
      </c>
      <c r="V11" s="173" t="s">
        <v>332</v>
      </c>
      <c r="Z11" s="22" t="s">
        <v>39</v>
      </c>
      <c r="AA11">
        <v>1</v>
      </c>
      <c r="AC11" s="19">
        <f t="shared" si="0"/>
        <v>2</v>
      </c>
      <c r="AF11" s="99" t="s">
        <v>43</v>
      </c>
      <c r="AG11">
        <v>3</v>
      </c>
    </row>
    <row r="12" spans="1:35" ht="120" thickBot="1">
      <c r="A12" s="179"/>
      <c r="B12" s="122" t="s">
        <v>285</v>
      </c>
      <c r="C12" s="122" t="s">
        <v>261</v>
      </c>
      <c r="D12" s="122" t="s">
        <v>269</v>
      </c>
      <c r="E12" s="122" t="s">
        <v>265</v>
      </c>
      <c r="F12" s="122" t="s">
        <v>43</v>
      </c>
      <c r="G12" s="122" t="str">
        <f t="shared" si="1"/>
        <v>High</v>
      </c>
      <c r="H12" s="122" t="s">
        <v>281</v>
      </c>
      <c r="I12" s="122" t="s">
        <v>330</v>
      </c>
      <c r="J12" s="122" t="s">
        <v>280</v>
      </c>
      <c r="K12" s="122" t="s">
        <v>277</v>
      </c>
      <c r="L12" s="180"/>
      <c r="M12" s="139">
        <v>3</v>
      </c>
      <c r="N12" s="139" t="s">
        <v>254</v>
      </c>
      <c r="O12" s="141"/>
      <c r="P12" s="142"/>
      <c r="Q12" s="21" t="s">
        <v>47</v>
      </c>
      <c r="R12" s="100" t="s">
        <v>331</v>
      </c>
      <c r="S12" s="173" t="s">
        <v>44</v>
      </c>
      <c r="T12" s="173" t="s">
        <v>44</v>
      </c>
      <c r="U12" s="173" t="s">
        <v>332</v>
      </c>
      <c r="V12" s="173" t="s">
        <v>332</v>
      </c>
      <c r="Z12" s="22" t="s">
        <v>43</v>
      </c>
      <c r="AA12">
        <v>2</v>
      </c>
      <c r="AC12" s="19">
        <f t="shared" si="0"/>
        <v>4</v>
      </c>
      <c r="AF12" s="98" t="s">
        <v>44</v>
      </c>
      <c r="AG12">
        <v>4</v>
      </c>
    </row>
    <row r="13" spans="1:35" ht="120" thickBot="1">
      <c r="A13" s="179"/>
      <c r="B13" s="122" t="s">
        <v>286</v>
      </c>
      <c r="C13" s="122" t="s">
        <v>306</v>
      </c>
      <c r="D13" s="122" t="s">
        <v>271</v>
      </c>
      <c r="E13" s="122" t="s">
        <v>48</v>
      </c>
      <c r="F13" s="122" t="s">
        <v>40</v>
      </c>
      <c r="G13" s="122" t="str">
        <f t="shared" si="1"/>
        <v>Critical</v>
      </c>
      <c r="H13" s="122" t="s">
        <v>307</v>
      </c>
      <c r="I13" s="122" t="s">
        <v>325</v>
      </c>
      <c r="J13" s="122" t="s">
        <v>275</v>
      </c>
      <c r="K13" s="122" t="s">
        <v>289</v>
      </c>
      <c r="L13" s="180"/>
      <c r="M13" s="139">
        <v>4</v>
      </c>
      <c r="N13" s="139" t="s">
        <v>255</v>
      </c>
      <c r="O13" s="141"/>
      <c r="P13" s="142"/>
      <c r="Q13" s="21" t="s">
        <v>48</v>
      </c>
      <c r="R13" s="100" t="s">
        <v>45</v>
      </c>
      <c r="S13" s="100" t="s">
        <v>331</v>
      </c>
      <c r="T13" s="99" t="s">
        <v>44</v>
      </c>
      <c r="U13" s="173" t="s">
        <v>332</v>
      </c>
      <c r="V13" s="173" t="s">
        <v>332</v>
      </c>
      <c r="Z13" s="22" t="s">
        <v>264</v>
      </c>
      <c r="AA13">
        <v>3</v>
      </c>
      <c r="AC13" s="19">
        <f t="shared" si="0"/>
        <v>4</v>
      </c>
      <c r="AF13" s="97" t="s">
        <v>42</v>
      </c>
      <c r="AG13">
        <v>5</v>
      </c>
    </row>
    <row r="14" spans="1:35" ht="86" thickBot="1">
      <c r="A14" s="179"/>
      <c r="B14" s="122" t="s">
        <v>286</v>
      </c>
      <c r="C14" s="122" t="s">
        <v>288</v>
      </c>
      <c r="D14" s="122" t="s">
        <v>271</v>
      </c>
      <c r="E14" s="122" t="s">
        <v>47</v>
      </c>
      <c r="F14" s="122" t="s">
        <v>40</v>
      </c>
      <c r="G14" s="122" t="str">
        <f t="shared" si="1"/>
        <v>Critical</v>
      </c>
      <c r="H14" s="122" t="s">
        <v>290</v>
      </c>
      <c r="I14" s="122" t="s">
        <v>327</v>
      </c>
      <c r="J14" s="122" t="s">
        <v>293</v>
      </c>
      <c r="K14" s="122" t="s">
        <v>291</v>
      </c>
      <c r="L14" s="180"/>
      <c r="M14" s="139">
        <v>5</v>
      </c>
      <c r="N14" s="139" t="s">
        <v>267</v>
      </c>
      <c r="O14" s="141"/>
      <c r="P14" s="142"/>
      <c r="Q14" s="21" t="s">
        <v>49</v>
      </c>
      <c r="R14" s="100" t="s">
        <v>45</v>
      </c>
      <c r="S14" s="100" t="s">
        <v>45</v>
      </c>
      <c r="T14" s="100" t="s">
        <v>331</v>
      </c>
      <c r="U14" s="99" t="s">
        <v>44</v>
      </c>
      <c r="V14" s="173" t="s">
        <v>332</v>
      </c>
      <c r="Z14" s="22" t="s">
        <v>40</v>
      </c>
      <c r="AA14">
        <v>4</v>
      </c>
      <c r="AC14" s="19">
        <f t="shared" si="0"/>
        <v>1</v>
      </c>
    </row>
    <row r="15" spans="1:35" ht="69" thickBot="1">
      <c r="A15" s="179"/>
      <c r="B15" s="122" t="s">
        <v>286</v>
      </c>
      <c r="C15" s="122" t="s">
        <v>287</v>
      </c>
      <c r="D15" s="122" t="s">
        <v>269</v>
      </c>
      <c r="E15" s="122" t="s">
        <v>48</v>
      </c>
      <c r="F15" s="122" t="s">
        <v>39</v>
      </c>
      <c r="G15" s="122" t="str">
        <f t="shared" si="1"/>
        <v>Low</v>
      </c>
      <c r="H15" s="122" t="s">
        <v>292</v>
      </c>
      <c r="I15" s="122" t="s">
        <v>326</v>
      </c>
      <c r="J15" s="122" t="s">
        <v>275</v>
      </c>
      <c r="K15" s="122"/>
      <c r="L15" s="180"/>
      <c r="M15" s="139">
        <v>6</v>
      </c>
      <c r="N15" s="139" t="s">
        <v>256</v>
      </c>
      <c r="O15" s="141"/>
      <c r="P15" s="142"/>
      <c r="Q15" s="21" t="s">
        <v>266</v>
      </c>
      <c r="R15" s="101" t="s">
        <v>45</v>
      </c>
      <c r="S15" s="100" t="s">
        <v>45</v>
      </c>
      <c r="T15" s="100" t="s">
        <v>331</v>
      </c>
      <c r="U15" s="99" t="s">
        <v>44</v>
      </c>
      <c r="V15" s="99" t="s">
        <v>44</v>
      </c>
      <c r="Z15" s="22" t="s">
        <v>41</v>
      </c>
      <c r="AA15">
        <v>5</v>
      </c>
      <c r="AC15" s="19" t="e">
        <f t="shared" si="0"/>
        <v>#N/A</v>
      </c>
    </row>
    <row r="16" spans="1:35" ht="23">
      <c r="A16" s="179"/>
      <c r="B16" s="122"/>
      <c r="C16" s="122"/>
      <c r="D16" s="122"/>
      <c r="E16" s="122" t="s">
        <v>201</v>
      </c>
      <c r="F16" s="122" t="s">
        <v>201</v>
      </c>
      <c r="G16" s="122" t="e">
        <f t="shared" si="1"/>
        <v>#N/A</v>
      </c>
      <c r="H16" s="122"/>
      <c r="I16" s="122"/>
      <c r="J16" s="122"/>
      <c r="K16" s="122"/>
      <c r="L16" s="180"/>
      <c r="M16" s="139">
        <v>7</v>
      </c>
      <c r="N16" s="139" t="s">
        <v>257</v>
      </c>
      <c r="O16" s="141"/>
      <c r="P16" s="142"/>
      <c r="Q16" s="125" t="s">
        <v>201</v>
      </c>
      <c r="AC16" s="19" t="e">
        <f t="shared" si="0"/>
        <v>#N/A</v>
      </c>
    </row>
    <row r="17" spans="1:29" ht="23">
      <c r="A17" s="179"/>
      <c r="B17" s="122"/>
      <c r="C17" s="122"/>
      <c r="D17" s="122"/>
      <c r="E17" s="122" t="s">
        <v>201</v>
      </c>
      <c r="F17" s="122" t="s">
        <v>201</v>
      </c>
      <c r="G17" s="122" t="e">
        <f t="shared" si="1"/>
        <v>#N/A</v>
      </c>
      <c r="H17" s="122"/>
      <c r="I17" s="122"/>
      <c r="J17" s="122"/>
      <c r="K17" s="122"/>
      <c r="L17" s="180"/>
      <c r="M17" s="139">
        <v>8</v>
      </c>
      <c r="N17" s="139" t="s">
        <v>258</v>
      </c>
      <c r="O17" s="141"/>
      <c r="P17" s="142"/>
      <c r="AC17" s="19" t="e">
        <f t="shared" si="0"/>
        <v>#N/A</v>
      </c>
    </row>
    <row r="18" spans="1:29" ht="28" customHeight="1">
      <c r="A18" s="180"/>
      <c r="B18" s="122"/>
      <c r="C18" s="122"/>
      <c r="D18" s="122"/>
      <c r="E18" s="122" t="s">
        <v>201</v>
      </c>
      <c r="F18" s="122" t="s">
        <v>201</v>
      </c>
      <c r="G18" s="122" t="e">
        <f t="shared" si="1"/>
        <v>#N/A</v>
      </c>
      <c r="H18" s="122"/>
      <c r="I18" s="122"/>
      <c r="J18" s="122"/>
      <c r="K18" s="122"/>
      <c r="L18" s="180"/>
      <c r="M18" s="139">
        <v>9</v>
      </c>
      <c r="N18" s="139" t="s">
        <v>259</v>
      </c>
      <c r="O18" s="141"/>
      <c r="P18" s="142"/>
      <c r="AC18" s="19" t="e">
        <f t="shared" si="0"/>
        <v>#N/A</v>
      </c>
    </row>
    <row r="19" spans="1:29" ht="29" customHeight="1">
      <c r="A19" s="180"/>
      <c r="B19" s="122"/>
      <c r="C19" s="122"/>
      <c r="D19" s="122"/>
      <c r="E19" s="122" t="s">
        <v>201</v>
      </c>
      <c r="F19" s="122" t="s">
        <v>201</v>
      </c>
      <c r="G19" s="122" t="e">
        <f t="shared" si="1"/>
        <v>#N/A</v>
      </c>
      <c r="H19" s="122"/>
      <c r="I19" s="122"/>
      <c r="J19" s="122"/>
      <c r="K19" s="122"/>
      <c r="L19" s="180"/>
      <c r="M19" s="139">
        <v>10</v>
      </c>
      <c r="N19" s="139" t="s">
        <v>268</v>
      </c>
      <c r="O19" s="141"/>
      <c r="P19" s="142"/>
      <c r="AC19" s="19" t="e">
        <f t="shared" si="0"/>
        <v>#N/A</v>
      </c>
    </row>
    <row r="20" spans="1:29" ht="24" customHeight="1">
      <c r="A20" s="180"/>
      <c r="B20" s="122"/>
      <c r="C20" s="122"/>
      <c r="D20" s="122"/>
      <c r="E20" s="122" t="s">
        <v>201</v>
      </c>
      <c r="F20" s="122" t="s">
        <v>201</v>
      </c>
      <c r="G20" s="122" t="e">
        <f t="shared" si="1"/>
        <v>#N/A</v>
      </c>
      <c r="H20" s="122"/>
      <c r="I20" s="122"/>
      <c r="J20" s="122"/>
      <c r="K20" s="122"/>
      <c r="L20" s="180"/>
      <c r="M20" s="141"/>
      <c r="N20" s="141"/>
      <c r="O20" s="141"/>
      <c r="P20" s="142"/>
      <c r="AC20" s="19" t="e">
        <f t="shared" si="0"/>
        <v>#N/A</v>
      </c>
    </row>
    <row r="21" spans="1:29" ht="21">
      <c r="A21" s="180"/>
      <c r="B21" s="122"/>
      <c r="C21" s="122"/>
      <c r="D21" s="122"/>
      <c r="E21" s="122" t="s">
        <v>201</v>
      </c>
      <c r="F21" s="122" t="s">
        <v>201</v>
      </c>
      <c r="G21" s="122" t="e">
        <f t="shared" si="1"/>
        <v>#N/A</v>
      </c>
      <c r="H21" s="122"/>
      <c r="I21" s="122"/>
      <c r="J21" s="122"/>
      <c r="K21" s="122"/>
      <c r="L21" s="180"/>
      <c r="M21" s="141"/>
      <c r="N21" s="141"/>
      <c r="O21" s="141"/>
      <c r="P21" s="142"/>
      <c r="AC21" s="19" t="e">
        <f t="shared" si="0"/>
        <v>#N/A</v>
      </c>
    </row>
    <row r="22" spans="1:29" ht="21">
      <c r="A22" s="180"/>
      <c r="B22" s="122"/>
      <c r="C22" s="122"/>
      <c r="D22" s="122"/>
      <c r="E22" s="122" t="s">
        <v>201</v>
      </c>
      <c r="F22" s="122" t="s">
        <v>201</v>
      </c>
      <c r="G22" s="122" t="e">
        <f t="shared" si="1"/>
        <v>#N/A</v>
      </c>
      <c r="H22" s="122"/>
      <c r="I22" s="122"/>
      <c r="J22" s="122"/>
      <c r="K22" s="122"/>
      <c r="L22" s="180"/>
      <c r="M22" s="141"/>
      <c r="N22" s="141"/>
      <c r="O22" s="141"/>
      <c r="P22" s="142"/>
      <c r="AC22" s="19" t="e">
        <f t="shared" si="0"/>
        <v>#N/A</v>
      </c>
    </row>
    <row r="23" spans="1:29" ht="21">
      <c r="A23" s="180"/>
      <c r="B23" s="122"/>
      <c r="C23" s="122"/>
      <c r="D23" s="122"/>
      <c r="E23" s="122" t="s">
        <v>201</v>
      </c>
      <c r="F23" s="122" t="s">
        <v>201</v>
      </c>
      <c r="G23" s="122" t="e">
        <f t="shared" si="1"/>
        <v>#N/A</v>
      </c>
      <c r="H23" s="122"/>
      <c r="I23" s="122"/>
      <c r="J23" s="122"/>
      <c r="K23" s="122"/>
      <c r="L23" s="180"/>
      <c r="M23" s="141"/>
      <c r="N23" s="141"/>
      <c r="O23" s="141"/>
      <c r="P23" s="142"/>
      <c r="AC23" s="19" t="e">
        <f t="shared" si="0"/>
        <v>#N/A</v>
      </c>
    </row>
    <row r="24" spans="1:29" ht="21">
      <c r="A24" s="180"/>
      <c r="B24" s="122"/>
      <c r="C24" s="122"/>
      <c r="D24" s="122"/>
      <c r="E24" s="122" t="s">
        <v>201</v>
      </c>
      <c r="F24" s="122" t="s">
        <v>201</v>
      </c>
      <c r="G24" s="122" t="e">
        <f t="shared" si="1"/>
        <v>#N/A</v>
      </c>
      <c r="H24" s="122"/>
      <c r="I24" s="122"/>
      <c r="J24" s="122"/>
      <c r="K24" s="122"/>
      <c r="L24" s="180"/>
      <c r="M24" s="141"/>
      <c r="N24" s="141"/>
      <c r="O24" s="141"/>
      <c r="P24" s="142"/>
      <c r="AC24" s="19" t="e">
        <f t="shared" si="0"/>
        <v>#N/A</v>
      </c>
    </row>
    <row r="25" spans="1:29" ht="21">
      <c r="A25" s="180"/>
      <c r="B25" s="122"/>
      <c r="C25" s="122"/>
      <c r="D25" s="122"/>
      <c r="E25" s="126" t="s">
        <v>201</v>
      </c>
      <c r="F25" s="122" t="s">
        <v>201</v>
      </c>
      <c r="G25" s="122" t="e">
        <f t="shared" si="1"/>
        <v>#N/A</v>
      </c>
      <c r="H25" s="122"/>
      <c r="I25" s="122"/>
      <c r="J25" s="122"/>
      <c r="K25" s="122"/>
      <c r="L25" s="180"/>
      <c r="M25" s="141"/>
      <c r="N25" s="141"/>
      <c r="O25" s="141"/>
      <c r="P25" s="142"/>
      <c r="AC25" s="19" t="e">
        <f t="shared" si="0"/>
        <v>#N/A</v>
      </c>
    </row>
    <row r="26" spans="1:29" ht="21">
      <c r="A26" s="180"/>
      <c r="B26" s="122"/>
      <c r="C26" s="122"/>
      <c r="D26" s="122"/>
      <c r="E26" s="126" t="s">
        <v>201</v>
      </c>
      <c r="F26" s="122" t="s">
        <v>201</v>
      </c>
      <c r="G26" s="122" t="e">
        <f t="shared" si="1"/>
        <v>#N/A</v>
      </c>
      <c r="H26" s="122"/>
      <c r="I26" s="122"/>
      <c r="J26" s="122"/>
      <c r="K26" s="122"/>
      <c r="L26" s="180"/>
      <c r="M26" s="141"/>
      <c r="N26" s="141"/>
      <c r="O26" s="141"/>
      <c r="P26" s="142"/>
      <c r="AC26" s="19"/>
    </row>
    <row r="27" spans="1:29">
      <c r="A27" s="180"/>
      <c r="B27" s="180"/>
      <c r="C27" s="180"/>
      <c r="D27" s="180"/>
      <c r="E27" s="180"/>
      <c r="F27" s="180"/>
      <c r="G27" s="180"/>
      <c r="H27" s="180"/>
      <c r="I27" s="180"/>
      <c r="J27" s="180"/>
      <c r="K27" s="180"/>
      <c r="L27" s="180"/>
      <c r="AC27" s="19"/>
    </row>
  </sheetData>
  <mergeCells count="8">
    <mergeCell ref="C2:W2"/>
    <mergeCell ref="R9:V9"/>
    <mergeCell ref="B4:H4"/>
    <mergeCell ref="B5:H5"/>
    <mergeCell ref="B6:H6"/>
    <mergeCell ref="I4:J4"/>
    <mergeCell ref="I5:J5"/>
    <mergeCell ref="I6:J6"/>
  </mergeCells>
  <phoneticPr fontId="41" type="noConversion"/>
  <conditionalFormatting sqref="AI8">
    <cfRule type="containsText" dxfId="5" priority="120" operator="containsText" text="3">
      <formula>NOT(ISERROR(SEARCH("3",AI8)))</formula>
    </cfRule>
  </conditionalFormatting>
  <conditionalFormatting sqref="G9:G26">
    <cfRule type="containsText" dxfId="4" priority="115" operator="containsText" text="Low">
      <formula>NOT(ISERROR(SEARCH("Low",G9)))</formula>
    </cfRule>
    <cfRule type="containsText" dxfId="3" priority="116" operator="containsText" text="Low">
      <formula>NOT(ISERROR(SEARCH("Low",G9)))</formula>
    </cfRule>
    <cfRule type="containsText" dxfId="2" priority="117" operator="containsText" text="Moderate">
      <formula>NOT(ISERROR(SEARCH("Moderate",G9)))</formula>
    </cfRule>
    <cfRule type="containsText" dxfId="1" priority="118" operator="containsText" text="High">
      <formula>NOT(ISERROR(SEARCH("High",G9)))</formula>
    </cfRule>
    <cfRule type="containsText" dxfId="0" priority="119" operator="containsText" text="Critical">
      <formula>NOT(ISERROR(SEARCH("Critical",G9)))</formula>
    </cfRule>
  </conditionalFormatting>
  <dataValidations count="2">
    <dataValidation type="list" showErrorMessage="1" sqref="E9:E24">
      <formula1>$Q$11:$Q$16</formula1>
    </dataValidation>
    <dataValidation type="list" showInputMessage="1" showErrorMessage="1" sqref="F9:F26">
      <formula1>$R$10:$W$10</formula1>
    </dataValidation>
  </dataValidations>
  <pageMargins left="0.70866141732283472" right="0.70866141732283472" top="0.74803149606299213" bottom="0.74803149606299213" header="0.31496062992125984" footer="0.31496062992125984"/>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29"/>
  <sheetViews>
    <sheetView topLeftCell="A2" zoomScale="125" zoomScaleNormal="125" zoomScalePageLayoutView="125" workbookViewId="0">
      <selection activeCell="I9" sqref="I9"/>
    </sheetView>
  </sheetViews>
  <sheetFormatPr baseColWidth="10" defaultColWidth="8.83203125" defaultRowHeight="14" x14ac:dyDescent="0"/>
  <cols>
    <col min="1" max="1" width="4.33203125" customWidth="1"/>
    <col min="2" max="2" width="7.1640625" customWidth="1"/>
    <col min="3" max="3" width="15.1640625" customWidth="1"/>
    <col min="4" max="4" width="18.5" customWidth="1"/>
    <col min="5" max="5" width="14.5" customWidth="1"/>
    <col min="6" max="6" width="54" customWidth="1"/>
    <col min="7" max="7" width="65.83203125" customWidth="1"/>
    <col min="8" max="8" width="43.5" customWidth="1"/>
    <col min="9" max="9" width="42.83203125" customWidth="1"/>
    <col min="10" max="10" width="39" customWidth="1"/>
  </cols>
  <sheetData>
    <row r="1" spans="2:20" ht="55" customHeight="1">
      <c r="C1" s="193" t="s">
        <v>207</v>
      </c>
      <c r="D1" s="193"/>
      <c r="E1" s="193"/>
      <c r="F1" s="193"/>
      <c r="G1" s="193"/>
      <c r="H1" s="193"/>
      <c r="I1" s="193"/>
      <c r="J1" s="193"/>
      <c r="K1" s="193"/>
      <c r="L1" s="193"/>
      <c r="M1" s="193"/>
      <c r="N1" s="193"/>
      <c r="O1" s="193"/>
      <c r="P1" s="193"/>
      <c r="Q1" s="193"/>
      <c r="R1" s="193"/>
      <c r="S1" s="193"/>
      <c r="T1" s="193"/>
    </row>
    <row r="2" spans="2:20" ht="24" customHeight="1">
      <c r="B2" s="177" t="s">
        <v>301</v>
      </c>
      <c r="C2" s="178"/>
      <c r="D2" s="178"/>
      <c r="E2" s="178"/>
      <c r="F2" s="178"/>
      <c r="G2" s="178"/>
      <c r="H2" s="178"/>
      <c r="I2" s="123"/>
      <c r="J2" s="123"/>
      <c r="K2" s="123"/>
      <c r="L2" s="123"/>
      <c r="M2" s="123"/>
      <c r="N2" s="123"/>
      <c r="O2" s="123"/>
      <c r="P2" s="123"/>
      <c r="Q2" s="123"/>
      <c r="R2" s="123"/>
      <c r="S2" s="123"/>
      <c r="T2" s="123"/>
    </row>
    <row r="3" spans="2:20" ht="24" customHeight="1">
      <c r="B3" s="177" t="s">
        <v>199</v>
      </c>
      <c r="C3" s="178"/>
      <c r="D3" s="178"/>
      <c r="E3" s="178"/>
      <c r="F3" s="178"/>
      <c r="G3" s="178"/>
      <c r="H3" s="178"/>
      <c r="I3" s="123"/>
      <c r="J3" s="123"/>
      <c r="K3" s="123"/>
      <c r="L3" s="123"/>
      <c r="M3" s="123"/>
      <c r="N3" s="123"/>
      <c r="O3" s="123"/>
      <c r="P3" s="123"/>
      <c r="Q3" s="123"/>
      <c r="R3" s="123"/>
      <c r="S3" s="123"/>
      <c r="T3" s="123"/>
    </row>
    <row r="4" spans="2:20" ht="24" customHeight="1">
      <c r="B4" s="124"/>
      <c r="C4" s="123"/>
      <c r="D4" s="136"/>
      <c r="E4" s="123"/>
      <c r="F4" s="123"/>
      <c r="G4" s="123"/>
      <c r="H4" s="123"/>
      <c r="I4" s="123"/>
      <c r="J4" s="123"/>
      <c r="K4" s="123"/>
      <c r="L4" s="123"/>
      <c r="M4" s="123"/>
      <c r="N4" s="123"/>
      <c r="O4" s="123"/>
      <c r="P4" s="123"/>
      <c r="Q4" s="123"/>
      <c r="R4" s="123"/>
      <c r="S4" s="123"/>
      <c r="T4" s="123"/>
    </row>
    <row r="5" spans="2:20" ht="20">
      <c r="B5" s="175" t="s">
        <v>333</v>
      </c>
      <c r="C5" s="176"/>
      <c r="D5" s="176"/>
      <c r="E5" s="176"/>
      <c r="F5" s="176"/>
      <c r="G5" s="176"/>
      <c r="H5" s="176"/>
      <c r="I5" s="169"/>
      <c r="J5" s="169"/>
    </row>
    <row r="6" spans="2:20" ht="20">
      <c r="B6" s="25"/>
      <c r="C6" s="25"/>
      <c r="D6" s="25"/>
      <c r="E6" s="25"/>
      <c r="F6" s="25"/>
      <c r="G6" s="25"/>
      <c r="H6" s="25"/>
      <c r="I6" s="25"/>
      <c r="J6" s="25"/>
    </row>
    <row r="7" spans="2:20" s="18" customFormat="1" ht="69" customHeight="1">
      <c r="B7" s="174" t="s">
        <v>300</v>
      </c>
      <c r="C7" s="174" t="s">
        <v>196</v>
      </c>
      <c r="D7" s="174" t="s">
        <v>189</v>
      </c>
      <c r="E7" s="174" t="s">
        <v>209</v>
      </c>
      <c r="F7" s="174" t="s">
        <v>200</v>
      </c>
      <c r="G7" s="174" t="s">
        <v>197</v>
      </c>
      <c r="H7" s="174" t="s">
        <v>203</v>
      </c>
    </row>
    <row r="8" spans="2:20" ht="255">
      <c r="B8" s="122">
        <v>2</v>
      </c>
      <c r="C8" s="122" t="s">
        <v>295</v>
      </c>
      <c r="D8" s="122" t="s">
        <v>261</v>
      </c>
      <c r="E8" s="122" t="s">
        <v>298</v>
      </c>
      <c r="F8" s="122" t="s">
        <v>310</v>
      </c>
      <c r="G8" s="122" t="s">
        <v>315</v>
      </c>
      <c r="H8" s="122" t="s">
        <v>302</v>
      </c>
    </row>
    <row r="9" spans="2:20" ht="68">
      <c r="B9" s="122">
        <v>2</v>
      </c>
      <c r="C9" s="122" t="s">
        <v>295</v>
      </c>
      <c r="D9" s="122" t="s">
        <v>306</v>
      </c>
      <c r="E9" s="122" t="s">
        <v>297</v>
      </c>
      <c r="F9" s="122" t="s">
        <v>309</v>
      </c>
      <c r="G9" s="122" t="s">
        <v>311</v>
      </c>
      <c r="H9" s="122" t="s">
        <v>304</v>
      </c>
    </row>
    <row r="10" spans="2:20" ht="102">
      <c r="B10" s="122">
        <v>2</v>
      </c>
      <c r="C10" s="122" t="s">
        <v>295</v>
      </c>
      <c r="D10" s="122" t="s">
        <v>296</v>
      </c>
      <c r="E10" s="122" t="s">
        <v>271</v>
      </c>
      <c r="F10" s="122" t="s">
        <v>308</v>
      </c>
      <c r="G10" s="122" t="s">
        <v>316</v>
      </c>
      <c r="H10" s="122" t="s">
        <v>305</v>
      </c>
    </row>
    <row r="11" spans="2:20" ht="119">
      <c r="B11" s="122">
        <v>2</v>
      </c>
      <c r="C11" s="126" t="s">
        <v>295</v>
      </c>
      <c r="D11" s="145" t="s">
        <v>263</v>
      </c>
      <c r="E11" s="122" t="s">
        <v>299</v>
      </c>
      <c r="F11" s="122" t="s">
        <v>313</v>
      </c>
      <c r="G11" s="122" t="s">
        <v>314</v>
      </c>
      <c r="H11" s="122" t="s">
        <v>312</v>
      </c>
    </row>
    <row r="12" spans="2:20" ht="17">
      <c r="B12" s="122"/>
      <c r="C12" s="122"/>
      <c r="D12" s="122"/>
      <c r="E12" s="122"/>
      <c r="F12" s="122"/>
      <c r="G12" s="122"/>
      <c r="H12" s="122"/>
    </row>
    <row r="13" spans="2:20" ht="17">
      <c r="B13" s="122"/>
      <c r="C13" s="122"/>
      <c r="D13" s="122"/>
      <c r="E13" s="122"/>
      <c r="F13" s="122"/>
      <c r="G13" s="122"/>
      <c r="H13" s="122"/>
    </row>
    <row r="14" spans="2:20" ht="17">
      <c r="B14" s="122"/>
      <c r="C14" s="122"/>
      <c r="D14" s="122"/>
      <c r="E14" s="122"/>
      <c r="F14" s="122"/>
      <c r="G14" s="122"/>
      <c r="H14" s="122"/>
    </row>
    <row r="15" spans="2:20" ht="17">
      <c r="B15" s="122"/>
      <c r="C15" s="122"/>
      <c r="D15" s="122"/>
      <c r="E15" s="122"/>
      <c r="F15" s="122"/>
      <c r="G15" s="122"/>
      <c r="H15" s="122"/>
    </row>
    <row r="16" spans="2:20" ht="17">
      <c r="B16" s="122"/>
      <c r="C16" s="122"/>
      <c r="D16" s="122"/>
      <c r="E16" s="122"/>
      <c r="F16" s="122"/>
      <c r="G16" s="122"/>
      <c r="H16" s="122"/>
    </row>
    <row r="17" spans="2:10" ht="17">
      <c r="B17" s="122"/>
      <c r="C17" s="122"/>
      <c r="D17" s="122"/>
      <c r="E17" s="122"/>
      <c r="F17" s="122"/>
      <c r="G17" s="122"/>
      <c r="H17" s="122"/>
    </row>
    <row r="18" spans="2:10" ht="17">
      <c r="B18" s="122"/>
      <c r="C18" s="122"/>
      <c r="D18" s="122"/>
      <c r="E18" s="122"/>
      <c r="F18" s="122"/>
      <c r="G18" s="122"/>
      <c r="H18" s="122"/>
    </row>
    <row r="19" spans="2:10" ht="17">
      <c r="B19" s="122"/>
      <c r="C19" s="122"/>
      <c r="D19" s="122"/>
      <c r="E19" s="122"/>
      <c r="F19" s="122"/>
      <c r="G19" s="122"/>
      <c r="H19" s="122"/>
    </row>
    <row r="20" spans="2:10" ht="17">
      <c r="B20" s="122"/>
      <c r="C20" s="122"/>
      <c r="D20" s="122"/>
      <c r="E20" s="122"/>
      <c r="F20" s="122"/>
      <c r="G20" s="122"/>
      <c r="H20" s="122"/>
    </row>
    <row r="21" spans="2:10" ht="17">
      <c r="B21" s="122"/>
      <c r="C21" s="122"/>
      <c r="D21" s="122"/>
      <c r="E21" s="122"/>
      <c r="F21" s="122"/>
      <c r="G21" s="122"/>
      <c r="H21" s="122"/>
    </row>
    <row r="22" spans="2:10" ht="17">
      <c r="B22" s="122"/>
      <c r="C22" s="122"/>
      <c r="D22" s="122"/>
      <c r="E22" s="122"/>
      <c r="F22" s="122"/>
      <c r="G22" s="122"/>
      <c r="H22" s="122"/>
    </row>
    <row r="23" spans="2:10" ht="17">
      <c r="B23" s="122"/>
      <c r="C23" s="122"/>
      <c r="D23" s="122"/>
      <c r="E23" s="122"/>
      <c r="F23" s="122"/>
      <c r="G23" s="122"/>
      <c r="H23" s="122"/>
    </row>
    <row r="24" spans="2:10" ht="17">
      <c r="B24" s="122"/>
      <c r="C24" s="122"/>
      <c r="D24" s="122"/>
      <c r="E24" s="122"/>
      <c r="F24" s="122"/>
      <c r="G24" s="122"/>
      <c r="H24" s="122"/>
    </row>
    <row r="25" spans="2:10" ht="17">
      <c r="B25" s="122"/>
      <c r="C25" s="122"/>
      <c r="D25" s="122"/>
      <c r="E25" s="122"/>
      <c r="F25" s="122"/>
      <c r="G25" s="122"/>
      <c r="H25" s="122"/>
    </row>
    <row r="26" spans="2:10" ht="17">
      <c r="B26" s="122"/>
      <c r="C26" s="122"/>
      <c r="D26" s="122"/>
      <c r="E26" s="122"/>
      <c r="F26" s="122"/>
      <c r="G26" s="122"/>
      <c r="H26" s="122"/>
    </row>
    <row r="27" spans="2:10" ht="17">
      <c r="B27" s="122"/>
      <c r="C27" s="122"/>
      <c r="D27" s="122"/>
      <c r="E27" s="122"/>
      <c r="F27" s="122"/>
      <c r="G27" s="122"/>
      <c r="H27" s="122"/>
    </row>
    <row r="28" spans="2:10" ht="17">
      <c r="B28" s="122"/>
      <c r="C28" s="122"/>
      <c r="D28" s="122"/>
      <c r="E28" s="122"/>
      <c r="F28" s="122"/>
      <c r="G28" s="122"/>
      <c r="H28" s="122"/>
    </row>
    <row r="29" spans="2:10" ht="18">
      <c r="B29" s="121"/>
      <c r="C29" s="121"/>
      <c r="D29" s="121"/>
      <c r="E29" s="121"/>
      <c r="F29" s="121"/>
      <c r="G29" s="121"/>
      <c r="H29" s="121"/>
      <c r="I29" s="121"/>
      <c r="J29" s="121"/>
    </row>
  </sheetData>
  <mergeCells count="1">
    <mergeCell ref="C1:T1"/>
  </mergeCells>
  <phoneticPr fontId="41" type="noConversion"/>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4"/>
  <sheetViews>
    <sheetView topLeftCell="B1" zoomScale="150" workbookViewId="0">
      <selection activeCell="E9" sqref="E9"/>
    </sheetView>
  </sheetViews>
  <sheetFormatPr baseColWidth="10" defaultColWidth="8.83203125" defaultRowHeight="14" x14ac:dyDescent="0"/>
  <cols>
    <col min="1" max="1" width="13.83203125" customWidth="1"/>
    <col min="2" max="2" width="10.83203125" customWidth="1"/>
    <col min="3" max="3" width="8.5" customWidth="1"/>
    <col min="4" max="4" width="15" customWidth="1"/>
    <col min="5" max="5" width="15.33203125" customWidth="1"/>
    <col min="6" max="6" width="16.6640625" customWidth="1"/>
    <col min="7" max="7" width="10.1640625" customWidth="1"/>
    <col min="8" max="8" width="12.5" customWidth="1"/>
    <col min="9" max="9" width="14.6640625" customWidth="1"/>
    <col min="10" max="10" width="14.33203125" customWidth="1"/>
    <col min="11" max="11" width="11.5" customWidth="1"/>
    <col min="12" max="12" width="12.5" customWidth="1"/>
    <col min="13" max="13" width="14.1640625" customWidth="1"/>
    <col min="14" max="14" width="13.33203125" customWidth="1"/>
    <col min="15" max="15" width="12.33203125" customWidth="1"/>
    <col min="16" max="16" width="16.1640625" customWidth="1"/>
    <col min="17" max="17" width="14.83203125" customWidth="1"/>
    <col min="18" max="18" width="18.83203125" customWidth="1"/>
    <col min="19" max="19" width="17.33203125" customWidth="1"/>
    <col min="20" max="20" width="13.83203125" customWidth="1"/>
    <col min="21" max="21" width="17" customWidth="1"/>
    <col min="22" max="22" width="13.6640625" customWidth="1"/>
    <col min="23" max="23" width="15.5" customWidth="1"/>
    <col min="24" max="24" width="18.1640625" customWidth="1"/>
    <col min="25" max="25" width="12.33203125" customWidth="1"/>
    <col min="26" max="26" width="16.33203125" customWidth="1"/>
    <col min="27" max="27" width="13.5" customWidth="1"/>
    <col min="28" max="28" width="11.6640625" customWidth="1"/>
    <col min="29" max="29" width="10.33203125" customWidth="1"/>
    <col min="30" max="30" width="13.6640625" customWidth="1"/>
    <col min="31" max="31" width="16.33203125" customWidth="1"/>
    <col min="32" max="33" width="17.1640625" customWidth="1"/>
    <col min="34" max="34" width="14.5" customWidth="1"/>
    <col min="35" max="35" width="14.1640625" customWidth="1"/>
    <col min="36" max="36" width="14" customWidth="1"/>
    <col min="37" max="37" width="13.6640625" customWidth="1"/>
    <col min="38" max="39" width="13.83203125" customWidth="1"/>
    <col min="40" max="40" width="11.33203125" customWidth="1"/>
    <col min="41" max="41" width="11" customWidth="1"/>
    <col min="42" max="42" width="16.33203125" customWidth="1"/>
    <col min="43" max="43" width="12.33203125" customWidth="1"/>
    <col min="44" max="44" width="15.1640625" customWidth="1"/>
    <col min="45" max="45" width="13.5" customWidth="1"/>
    <col min="46" max="46" width="11.83203125" customWidth="1"/>
  </cols>
  <sheetData>
    <row r="1" spans="1:21" ht="15" thickBot="1"/>
    <row r="2" spans="1:21" ht="15">
      <c r="B2" s="211" t="s">
        <v>188</v>
      </c>
      <c r="C2" s="212"/>
      <c r="D2" s="212"/>
      <c r="E2" s="212"/>
      <c r="F2" s="212"/>
      <c r="G2" s="212"/>
      <c r="H2" s="213"/>
    </row>
    <row r="3" spans="1:21" s="8" customFormat="1">
      <c r="B3" s="60">
        <v>1</v>
      </c>
      <c r="C3" s="60">
        <v>2</v>
      </c>
      <c r="D3" s="60">
        <v>3</v>
      </c>
      <c r="E3" s="60">
        <v>4</v>
      </c>
      <c r="F3" s="60">
        <v>5</v>
      </c>
      <c r="G3" s="61">
        <v>6</v>
      </c>
      <c r="H3" s="61">
        <v>7</v>
      </c>
      <c r="I3" s="61">
        <v>8</v>
      </c>
      <c r="J3" s="61">
        <v>9</v>
      </c>
      <c r="K3" s="61">
        <v>10</v>
      </c>
      <c r="L3" s="61">
        <v>11</v>
      </c>
      <c r="M3" s="61">
        <v>12</v>
      </c>
      <c r="N3" s="61">
        <v>13</v>
      </c>
      <c r="O3" s="61">
        <v>14</v>
      </c>
      <c r="P3" s="61">
        <v>15</v>
      </c>
      <c r="Q3" s="61">
        <v>16</v>
      </c>
      <c r="R3" s="61">
        <v>17</v>
      </c>
      <c r="S3" s="61">
        <v>18</v>
      </c>
      <c r="T3" s="61">
        <v>19</v>
      </c>
      <c r="U3" s="61">
        <v>20</v>
      </c>
    </row>
    <row r="4" spans="1:21" s="7" customFormat="1" ht="90" customHeight="1">
      <c r="B4" s="62" t="s">
        <v>144</v>
      </c>
      <c r="C4" s="62" t="s">
        <v>145</v>
      </c>
      <c r="D4" s="62" t="s">
        <v>216</v>
      </c>
      <c r="E4" s="62" t="s">
        <v>71</v>
      </c>
      <c r="F4" s="62" t="s">
        <v>70</v>
      </c>
      <c r="G4" s="113" t="s">
        <v>217</v>
      </c>
      <c r="H4" s="62" t="s">
        <v>174</v>
      </c>
      <c r="I4" s="62" t="s">
        <v>219</v>
      </c>
      <c r="J4" s="62" t="s">
        <v>175</v>
      </c>
      <c r="K4" s="62" t="s">
        <v>168</v>
      </c>
      <c r="L4" s="62" t="s">
        <v>224</v>
      </c>
      <c r="M4" s="62" t="s">
        <v>225</v>
      </c>
      <c r="N4" s="62" t="s">
        <v>226</v>
      </c>
      <c r="O4" s="62" t="s">
        <v>192</v>
      </c>
      <c r="P4" s="62" t="s">
        <v>223</v>
      </c>
      <c r="Q4" s="62" t="s">
        <v>222</v>
      </c>
      <c r="R4" s="62" t="s">
        <v>130</v>
      </c>
      <c r="S4" s="62" t="s">
        <v>194</v>
      </c>
      <c r="T4" s="62" t="s">
        <v>221</v>
      </c>
      <c r="U4" s="62" t="s">
        <v>220</v>
      </c>
    </row>
    <row r="5" spans="1:21" s="105" customFormat="1" ht="15" customHeight="1">
      <c r="A5" s="214" t="s">
        <v>76</v>
      </c>
      <c r="B5" s="102">
        <v>1.1000000000000001</v>
      </c>
      <c r="C5" s="102">
        <v>1.1000000000000001</v>
      </c>
      <c r="D5" s="103">
        <v>1.3</v>
      </c>
      <c r="E5" s="102">
        <v>1.4</v>
      </c>
      <c r="F5" s="103">
        <v>2.2000000000000002</v>
      </c>
      <c r="G5" s="102">
        <v>2.5</v>
      </c>
      <c r="H5" s="102">
        <v>4.0999999999999996</v>
      </c>
      <c r="I5" s="102">
        <v>5.0999999999999996</v>
      </c>
      <c r="J5" s="102">
        <v>5.4</v>
      </c>
      <c r="K5" s="102">
        <v>5.7</v>
      </c>
      <c r="L5" s="102">
        <v>5.8</v>
      </c>
      <c r="M5" s="102">
        <v>5.9</v>
      </c>
      <c r="N5" s="102">
        <v>5.1100000000000003</v>
      </c>
      <c r="O5" s="102">
        <v>6.1</v>
      </c>
      <c r="P5" s="102">
        <v>6.1</v>
      </c>
      <c r="Q5" s="102">
        <v>6.1</v>
      </c>
      <c r="R5" s="102">
        <v>6.1</v>
      </c>
      <c r="S5" s="102">
        <v>6.1</v>
      </c>
      <c r="T5" s="102">
        <v>6.2</v>
      </c>
      <c r="U5" s="102">
        <v>8.1</v>
      </c>
    </row>
    <row r="6" spans="1:21" s="105" customFormat="1">
      <c r="A6" s="214"/>
      <c r="B6" s="102">
        <v>1.6</v>
      </c>
      <c r="C6" s="102">
        <v>7.4</v>
      </c>
      <c r="D6" s="102">
        <v>4.4000000000000004</v>
      </c>
      <c r="E6" s="102">
        <v>1.5</v>
      </c>
      <c r="F6" s="102">
        <v>3.5</v>
      </c>
      <c r="G6" s="102">
        <v>2.8</v>
      </c>
      <c r="H6" s="102">
        <v>4.2</v>
      </c>
      <c r="I6" s="102">
        <v>7.1</v>
      </c>
      <c r="J6" s="102">
        <v>5.5</v>
      </c>
      <c r="K6" s="106"/>
      <c r="L6" s="102">
        <v>3.9</v>
      </c>
      <c r="M6" s="106"/>
      <c r="N6" s="106"/>
      <c r="O6" s="102">
        <v>8.1999999999999993</v>
      </c>
      <c r="P6" s="102">
        <v>6.3</v>
      </c>
      <c r="Q6" s="102">
        <v>6.3</v>
      </c>
      <c r="R6" s="102">
        <v>6.3</v>
      </c>
      <c r="S6" s="102">
        <v>6.3</v>
      </c>
      <c r="T6" s="106"/>
      <c r="U6" s="102">
        <v>8.6</v>
      </c>
    </row>
    <row r="7" spans="1:21" s="105" customFormat="1">
      <c r="A7" s="214"/>
      <c r="B7" s="102">
        <v>7.5</v>
      </c>
      <c r="C7" s="106"/>
      <c r="D7" s="102">
        <v>8.6999999999999993</v>
      </c>
      <c r="E7" s="102">
        <v>2.1</v>
      </c>
      <c r="F7" s="102">
        <v>3.3</v>
      </c>
      <c r="G7" s="102">
        <v>2.9</v>
      </c>
      <c r="H7" s="102">
        <v>4.3</v>
      </c>
      <c r="I7" s="102">
        <v>7.7</v>
      </c>
      <c r="J7" s="102">
        <v>5.6</v>
      </c>
      <c r="K7" s="106"/>
      <c r="L7" s="106"/>
      <c r="M7" s="106"/>
      <c r="N7" s="106"/>
      <c r="O7" s="106"/>
      <c r="P7" s="106"/>
      <c r="Q7" s="106"/>
      <c r="R7" s="102">
        <v>6.4</v>
      </c>
      <c r="S7" s="102">
        <v>6.6</v>
      </c>
      <c r="T7" s="106"/>
      <c r="U7" s="102">
        <v>8.4</v>
      </c>
    </row>
    <row r="8" spans="1:21" s="105" customFormat="1" ht="15">
      <c r="A8" s="214"/>
      <c r="B8" s="6"/>
      <c r="C8" s="6"/>
      <c r="D8" s="106"/>
      <c r="E8" s="102">
        <v>3.1</v>
      </c>
      <c r="F8" s="102">
        <v>3.4</v>
      </c>
      <c r="G8" s="102">
        <v>2.1</v>
      </c>
      <c r="H8" s="102">
        <v>4.5</v>
      </c>
      <c r="I8" s="102">
        <v>8.3000000000000007</v>
      </c>
      <c r="J8" s="104">
        <v>5.0999999999999996</v>
      </c>
      <c r="K8" s="106"/>
      <c r="L8" s="106"/>
      <c r="M8" s="106"/>
      <c r="N8" s="106"/>
      <c r="O8" s="6"/>
      <c r="P8" s="106"/>
      <c r="Q8" s="106"/>
      <c r="R8" s="102">
        <v>6.5</v>
      </c>
      <c r="S8" s="102">
        <v>2.4</v>
      </c>
      <c r="T8" s="106"/>
      <c r="U8" s="102">
        <v>8.8000000000000007</v>
      </c>
    </row>
    <row r="9" spans="1:21" s="105" customFormat="1">
      <c r="A9" s="214"/>
      <c r="B9" s="106"/>
      <c r="C9" s="106"/>
      <c r="D9" s="106"/>
      <c r="E9" s="102">
        <v>3.2</v>
      </c>
      <c r="F9" s="102">
        <v>7.2</v>
      </c>
      <c r="G9" s="102">
        <v>2.6</v>
      </c>
      <c r="H9" s="102">
        <v>4.5999999999999996</v>
      </c>
      <c r="I9" s="102">
        <v>2.2999999999999998</v>
      </c>
      <c r="J9" s="106"/>
      <c r="K9" s="106"/>
      <c r="L9" s="106"/>
      <c r="M9" s="106"/>
      <c r="N9" s="106"/>
      <c r="O9" s="106"/>
      <c r="P9" s="106"/>
      <c r="Q9" s="106"/>
      <c r="R9" s="106"/>
      <c r="S9" s="106"/>
      <c r="T9" s="106"/>
      <c r="U9" s="106"/>
    </row>
    <row r="10" spans="1:21" s="105" customFormat="1">
      <c r="A10" s="214"/>
      <c r="B10" s="106"/>
      <c r="C10" s="106"/>
      <c r="D10" s="106"/>
      <c r="E10" s="102">
        <v>3.6</v>
      </c>
      <c r="F10" s="102">
        <v>7.6</v>
      </c>
      <c r="G10" s="102">
        <v>2.7</v>
      </c>
      <c r="H10" s="102">
        <v>4.7</v>
      </c>
      <c r="I10" s="102">
        <v>2.11</v>
      </c>
      <c r="J10" s="106"/>
      <c r="K10" s="106"/>
      <c r="L10" s="106"/>
      <c r="M10" s="106"/>
      <c r="N10" s="106"/>
      <c r="O10" s="106"/>
      <c r="P10" s="106"/>
      <c r="Q10" s="106"/>
      <c r="R10" s="106"/>
      <c r="S10" s="106"/>
      <c r="T10" s="106"/>
      <c r="U10" s="106"/>
    </row>
    <row r="11" spans="1:21" s="105" customFormat="1">
      <c r="A11" s="214"/>
      <c r="B11" s="106"/>
      <c r="C11" s="106"/>
      <c r="D11" s="106"/>
      <c r="E11" s="102">
        <v>3.7</v>
      </c>
      <c r="F11" s="102">
        <v>7.7</v>
      </c>
      <c r="G11" s="106"/>
      <c r="H11" s="106"/>
      <c r="I11" s="106"/>
      <c r="J11" s="106"/>
      <c r="K11" s="106"/>
      <c r="L11" s="106"/>
      <c r="M11" s="106"/>
      <c r="N11" s="106"/>
      <c r="O11" s="106"/>
      <c r="P11" s="106"/>
      <c r="Q11" s="106"/>
      <c r="R11" s="106"/>
      <c r="S11" s="106"/>
      <c r="T11" s="106"/>
      <c r="U11" s="106"/>
    </row>
    <row r="12" spans="1:21" s="105" customFormat="1">
      <c r="A12" s="214"/>
      <c r="B12" s="106"/>
      <c r="C12" s="106"/>
      <c r="D12" s="106"/>
      <c r="E12" s="102">
        <v>3.8</v>
      </c>
      <c r="F12" s="106"/>
      <c r="G12" s="106"/>
      <c r="H12" s="106"/>
      <c r="I12" s="106"/>
      <c r="J12" s="106"/>
      <c r="K12" s="106"/>
      <c r="L12" s="106"/>
      <c r="M12" s="106"/>
      <c r="N12" s="106"/>
      <c r="O12" s="106"/>
      <c r="P12" s="106"/>
      <c r="Q12" s="106"/>
      <c r="R12" s="106"/>
      <c r="S12" s="106"/>
      <c r="T12" s="106"/>
      <c r="U12" s="106"/>
    </row>
    <row r="13" spans="1:21" s="105" customFormat="1">
      <c r="A13" s="214"/>
      <c r="B13" s="106"/>
      <c r="C13" s="106"/>
      <c r="D13" s="106"/>
      <c r="E13" s="104">
        <v>3.1</v>
      </c>
      <c r="F13" s="106"/>
      <c r="G13" s="106"/>
      <c r="H13" s="106"/>
      <c r="I13" s="106"/>
      <c r="J13" s="106"/>
      <c r="K13" s="106"/>
      <c r="L13" s="106"/>
      <c r="M13" s="106"/>
      <c r="N13" s="106"/>
      <c r="O13" s="106"/>
      <c r="P13" s="106"/>
      <c r="Q13" s="106"/>
      <c r="R13" s="106"/>
      <c r="S13" s="106"/>
      <c r="T13" s="106"/>
      <c r="U13" s="106"/>
    </row>
    <row r="14" spans="1:21" s="105" customFormat="1">
      <c r="A14" s="214"/>
      <c r="B14" s="106"/>
      <c r="C14" s="106"/>
      <c r="D14" s="106"/>
      <c r="E14" s="102">
        <v>4.5999999999999996</v>
      </c>
      <c r="F14" s="106"/>
      <c r="G14" s="106"/>
      <c r="H14" s="106"/>
      <c r="I14" s="106"/>
      <c r="J14" s="106"/>
      <c r="K14" s="106"/>
      <c r="L14" s="106"/>
      <c r="M14" s="106"/>
      <c r="N14" s="106"/>
      <c r="O14" s="106"/>
      <c r="P14" s="106"/>
      <c r="Q14" s="106"/>
      <c r="R14" s="106"/>
      <c r="S14" s="106"/>
      <c r="T14" s="106"/>
      <c r="U14" s="106"/>
    </row>
    <row r="15" spans="1:21" s="105" customFormat="1">
      <c r="A15" s="214"/>
      <c r="B15" s="106"/>
      <c r="C15" s="106"/>
      <c r="D15" s="106"/>
      <c r="E15" s="102">
        <v>5.2</v>
      </c>
      <c r="F15" s="106"/>
      <c r="G15" s="106"/>
      <c r="H15" s="106"/>
      <c r="I15" s="106"/>
      <c r="J15" s="106"/>
      <c r="K15" s="106"/>
      <c r="L15" s="106"/>
      <c r="M15" s="106"/>
      <c r="N15" s="106"/>
      <c r="O15" s="106"/>
      <c r="P15" s="106"/>
      <c r="Q15" s="106"/>
      <c r="R15" s="106"/>
      <c r="S15" s="106"/>
      <c r="T15" s="106"/>
      <c r="U15" s="106"/>
    </row>
    <row r="16" spans="1:21" s="105" customFormat="1">
      <c r="A16" s="214"/>
      <c r="B16" s="106"/>
      <c r="C16" s="106"/>
      <c r="D16" s="106"/>
      <c r="E16" s="102">
        <v>7.3</v>
      </c>
      <c r="F16" s="106"/>
      <c r="G16" s="106"/>
      <c r="H16" s="106"/>
      <c r="I16" s="106"/>
      <c r="J16" s="106"/>
      <c r="K16" s="106"/>
      <c r="L16" s="106"/>
      <c r="M16" s="106"/>
      <c r="N16" s="106"/>
      <c r="O16" s="106"/>
      <c r="P16" s="106"/>
      <c r="Q16" s="106"/>
      <c r="R16" s="106"/>
      <c r="S16" s="106"/>
      <c r="T16" s="106"/>
      <c r="U16" s="106"/>
    </row>
    <row r="17" spans="1:21" s="105" customFormat="1">
      <c r="A17" s="214"/>
      <c r="B17" s="106"/>
      <c r="C17" s="106"/>
      <c r="D17" s="106"/>
      <c r="E17" s="102">
        <v>8.5</v>
      </c>
      <c r="F17" s="106"/>
      <c r="G17" s="106"/>
      <c r="H17" s="106"/>
      <c r="I17" s="106"/>
      <c r="J17" s="106"/>
      <c r="K17" s="106"/>
      <c r="L17" s="106"/>
      <c r="M17" s="106"/>
      <c r="N17" s="106"/>
      <c r="O17" s="106"/>
      <c r="P17" s="106"/>
      <c r="Q17" s="106"/>
      <c r="R17" s="106"/>
      <c r="S17" s="106"/>
      <c r="T17" s="106"/>
      <c r="U17" s="106"/>
    </row>
    <row r="18" spans="1:21" s="105" customFormat="1" ht="2" customHeight="1">
      <c r="A18" s="214"/>
      <c r="B18"/>
      <c r="C18"/>
      <c r="D18"/>
      <c r="E18"/>
      <c r="F18"/>
      <c r="G18"/>
      <c r="H18"/>
      <c r="I18"/>
      <c r="J18"/>
      <c r="K18"/>
      <c r="L18"/>
      <c r="M18"/>
      <c r="N18"/>
      <c r="O18"/>
      <c r="P18"/>
      <c r="Q18"/>
      <c r="R18"/>
      <c r="S18"/>
      <c r="T18"/>
      <c r="U18"/>
    </row>
    <row r="19" spans="1:21" s="105" customFormat="1" hidden="1">
      <c r="A19" s="214"/>
      <c r="B19"/>
      <c r="C19"/>
      <c r="D19"/>
      <c r="E19"/>
      <c r="F19"/>
      <c r="G19"/>
      <c r="H19"/>
      <c r="I19"/>
      <c r="J19"/>
      <c r="K19"/>
      <c r="L19"/>
      <c r="M19"/>
      <c r="N19"/>
      <c r="O19"/>
      <c r="P19"/>
      <c r="Q19"/>
      <c r="R19"/>
      <c r="S19"/>
      <c r="T19"/>
      <c r="U19"/>
    </row>
    <row r="20" spans="1:21" s="105" customFormat="1" hidden="1">
      <c r="A20" s="214"/>
      <c r="B20"/>
      <c r="C20"/>
      <c r="D20"/>
      <c r="E20"/>
      <c r="F20"/>
      <c r="G20"/>
      <c r="H20"/>
      <c r="I20"/>
      <c r="J20"/>
      <c r="K20"/>
      <c r="L20"/>
      <c r="M20"/>
      <c r="N20"/>
      <c r="O20"/>
      <c r="P20"/>
      <c r="Q20"/>
      <c r="R20"/>
      <c r="S20"/>
      <c r="T20"/>
      <c r="U20"/>
    </row>
    <row r="21" spans="1:21" s="105" customFormat="1" hidden="1">
      <c r="A21" s="214"/>
      <c r="B21"/>
      <c r="C21"/>
      <c r="D21"/>
      <c r="E21"/>
      <c r="F21"/>
      <c r="G21"/>
      <c r="H21"/>
      <c r="I21"/>
      <c r="J21"/>
      <c r="K21"/>
      <c r="L21"/>
      <c r="M21"/>
      <c r="N21"/>
      <c r="O21"/>
      <c r="P21"/>
      <c r="Q21"/>
      <c r="R21"/>
      <c r="S21"/>
      <c r="T21"/>
      <c r="U21"/>
    </row>
    <row r="22" spans="1:21" s="105" customFormat="1" ht="15" hidden="1">
      <c r="A22" s="214"/>
      <c r="B22"/>
      <c r="C22"/>
      <c r="D22"/>
      <c r="E22"/>
      <c r="F22" s="1"/>
      <c r="G22" s="1"/>
      <c r="H22"/>
      <c r="I22"/>
      <c r="J22"/>
      <c r="K22"/>
      <c r="L22"/>
      <c r="M22"/>
      <c r="N22"/>
      <c r="O22"/>
      <c r="P22"/>
      <c r="Q22"/>
      <c r="R22"/>
      <c r="S22"/>
      <c r="T22"/>
      <c r="U22"/>
    </row>
    <row r="23" spans="1:21" s="105" customFormat="1" hidden="1">
      <c r="A23" s="214"/>
      <c r="B23"/>
      <c r="C23"/>
      <c r="D23"/>
      <c r="E23"/>
      <c r="F23"/>
      <c r="G23"/>
      <c r="H23"/>
      <c r="I23"/>
      <c r="J23"/>
      <c r="K23"/>
      <c r="L23"/>
      <c r="M23"/>
      <c r="N23"/>
      <c r="O23"/>
      <c r="P23"/>
      <c r="Q23"/>
      <c r="R23"/>
      <c r="S23"/>
      <c r="T23"/>
      <c r="U23"/>
    </row>
    <row r="24" spans="1:21" s="105" customFormat="1" hidden="1">
      <c r="A24" s="214"/>
      <c r="B24"/>
      <c r="C24"/>
      <c r="D24"/>
      <c r="E24"/>
      <c r="F24"/>
      <c r="G24"/>
      <c r="H24"/>
      <c r="I24"/>
      <c r="J24"/>
      <c r="K24"/>
      <c r="L24"/>
      <c r="M24"/>
      <c r="N24"/>
      <c r="O24"/>
      <c r="P24"/>
      <c r="Q24"/>
      <c r="R24"/>
      <c r="S24"/>
      <c r="T24"/>
      <c r="U24"/>
    </row>
  </sheetData>
  <mergeCells count="2">
    <mergeCell ref="B2:H2"/>
    <mergeCell ref="A5:A24"/>
  </mergeCells>
  <phoneticPr fontId="41" type="noConversion"/>
  <hyperlinks>
    <hyperlink ref="B5" location="'A&amp;W@H'!B3" display="'A&amp;W@H'!B3"/>
    <hyperlink ref="B6" location="'A&amp;W@H'!B8" display="'A&amp;W@H'!B8"/>
    <hyperlink ref="B7" location="ManTasks!F8" display="ManTasks!F8"/>
    <hyperlink ref="C5" location="'A&amp;W@H'!B3" display="'A&amp;W@H'!B3"/>
    <hyperlink ref="C6" location="ManTasks!E7" display="ManTasks!E7"/>
    <hyperlink ref="E5" location="'A&amp;W@H'!F6" display="'A&amp;W@H'!F6"/>
    <hyperlink ref="E6" location="'A&amp;W@H'!G7" display="'A&amp;W@H'!G7"/>
    <hyperlink ref="E15" location="MOC!C4" display="MOC!C4"/>
    <hyperlink ref="E8" location="ExpHE!B3" display="ExpHE!B3"/>
    <hyperlink ref="E10" location="ExpHE!B8" display="ExpHE!B8"/>
    <hyperlink ref="E17" location="CSRWA!G7" display="CSRWA!G7"/>
    <hyperlink ref="E11" location="ExpHE!C9" display="ExpHE!C9"/>
    <hyperlink ref="E12" location="ExpHE!D10" display="ExpHE!D10"/>
    <hyperlink ref="E9" location="ExpHE!E4" display="ExpHE!E4"/>
    <hyperlink ref="E13" location="ExpHE!E12" display="ExpHE!E12"/>
    <hyperlink ref="E14" location="Fire!G8" display="Fire!G8"/>
    <hyperlink ref="E16" location="ManTasks!D6" display="ManTasks!D6"/>
    <hyperlink ref="F5" location="Tires!C4" display="Tires!C4"/>
    <hyperlink ref="F6" location="ExpHE!F7" display="ExpHE!F7"/>
    <hyperlink ref="G5" location="Tires!G7" display="Tires!G7"/>
    <hyperlink ref="G6" location="Tires!G10" display="Tires!G10"/>
    <hyperlink ref="G7" location="Tires!G11" display="Tires!G11"/>
    <hyperlink ref="G8" location="Tires!B3" display="Tires!B3"/>
    <hyperlink ref="H5" location="Fire!B3" display="Fire!B3"/>
    <hyperlink ref="I8" location="CSRWA!D5" display="CSRWA!D5"/>
    <hyperlink ref="I7" location="ManTasks!B10" display="ManTasks!B10"/>
    <hyperlink ref="I6" location="ManTasks!B3" display="ManTasks!B3"/>
    <hyperlink ref="I5" location="MOC!B3" display="MOC!B3"/>
    <hyperlink ref="J5" location="MOC!F6" display="MOC!F6"/>
    <hyperlink ref="J6" location="MOC!F7" display="MOC!F7"/>
    <hyperlink ref="J7" location="MOC!F8" display="MOC!F8"/>
    <hyperlink ref="K5" location="MOC!G9" display="MOC!G9"/>
    <hyperlink ref="L5" location="MOC!H10" display="MOC!H10"/>
    <hyperlink ref="M5" location="MOC!I11" display="MOC!I11"/>
    <hyperlink ref="J8" location="MOC!J12" display="MOC!J12"/>
    <hyperlink ref="N5" location="MOC!K13" display="MOC!K13"/>
    <hyperlink ref="O5" location="HIF!B3" display="HIF!B3"/>
    <hyperlink ref="P5" location="HIF!C3" display="HIF!C3"/>
    <hyperlink ref="Q5" location="HIF!D3" display="HIF!D3"/>
    <hyperlink ref="R5" location="HIF!E3" display="HIF!E3"/>
    <hyperlink ref="S5" location="HIF!F3" display="HIF!F3"/>
    <hyperlink ref="P6" location="HIF!C5" display="HIF!C5"/>
    <hyperlink ref="Q6" location="HIF!D5" display="HIF!D5"/>
    <hyperlink ref="R6" location="HIF!E5" display="HIF!E5"/>
    <hyperlink ref="S6" location="HIF!F5" display="HIF!F5"/>
    <hyperlink ref="R7" location="HIF!E6" display="HIF!E6"/>
    <hyperlink ref="R8" location="HIF!E7" display="HIF!E7"/>
    <hyperlink ref="S7" location="HIF!F8" display="HIF!F8"/>
    <hyperlink ref="O6" location="CSRWA!C4" display="CSRWA!C4"/>
    <hyperlink ref="U5" location="CSRWA!B3" display="CSRWA!B3"/>
    <hyperlink ref="U6" location="CSRWA!B8" display="CSRWA!B8"/>
    <hyperlink ref="U8" location="CSRWA!I10" display="CSRWA!I10"/>
    <hyperlink ref="I9" location="Tires!D5" display="Tires!D5"/>
    <hyperlink ref="I10" location="Tires!D13" display="Tires!D13"/>
    <hyperlink ref="F7" location="ExpHE!F5" display="ExpHE!F5"/>
    <hyperlink ref="F8" location="ExpHE!F6" display="ExpHE!F6"/>
    <hyperlink ref="E7" location="Tires!B3" display="Tires!B3"/>
    <hyperlink ref="F9" location="ManTasks!C5" display="ManTasks!C5"/>
    <hyperlink ref="F10" location="ManTasks!C9" display="ManTasks!C9"/>
    <hyperlink ref="F11" location="ManTasks!C10" display="ManTasks!C10"/>
    <hyperlink ref="G9" location="Tires!F8" display="Tires!F8"/>
    <hyperlink ref="G10" location="Tires!H9" display="Tires!H9"/>
    <hyperlink ref="H6" location="Fire!C4" display="Fire!C4"/>
    <hyperlink ref="H7" location="Fire!D5" display="Fire!D5"/>
    <hyperlink ref="H8" location="Fire!F7" display="Fire!F7"/>
    <hyperlink ref="H9" location="Fire!G8" display="Fire!G8"/>
    <hyperlink ref="H10" location="Fire!G9" display="Fire!G9"/>
    <hyperlink ref="L6" location="ExpHE!G11" display="ExpHE!G11"/>
    <hyperlink ref="U7" location="CSRWA!F6" display="CSRWA!F6"/>
    <hyperlink ref="S8" location="Tires!E6" display="Tires!E6"/>
    <hyperlink ref="T5" location="HIF!H4" display="HIF!H4"/>
    <hyperlink ref="D6" location="Fire!e6" display="Fire!e6"/>
    <hyperlink ref="D7" location="CSRWA!h9" display="CSRWA!h9"/>
    <hyperlink ref="D5" location="'A&amp;W@H'!e5" display="'A&amp;W@H'!e5"/>
  </hyperlinks>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B3" sqref="B3"/>
    </sheetView>
  </sheetViews>
  <sheetFormatPr baseColWidth="10" defaultColWidth="8.83203125" defaultRowHeight="14" x14ac:dyDescent="0"/>
  <cols>
    <col min="1" max="1" width="43.5" customWidth="1"/>
    <col min="2" max="8" width="23.5" customWidth="1"/>
  </cols>
  <sheetData>
    <row r="1" spans="1:8" s="25" customFormat="1" ht="41.25" customHeight="1">
      <c r="A1" s="63" t="s">
        <v>77</v>
      </c>
      <c r="B1" s="215" t="s">
        <v>210</v>
      </c>
      <c r="C1" s="215"/>
      <c r="D1" s="215"/>
      <c r="E1" s="215"/>
      <c r="F1" s="215"/>
      <c r="G1" s="215"/>
      <c r="H1" s="215"/>
    </row>
    <row r="2" spans="1:8" ht="52.5" customHeight="1">
      <c r="A2" s="64" t="s">
        <v>187</v>
      </c>
      <c r="B2" s="64" t="s">
        <v>144</v>
      </c>
      <c r="C2" s="64" t="s">
        <v>145</v>
      </c>
      <c r="D2" s="64" t="s">
        <v>146</v>
      </c>
      <c r="E2" s="64" t="s">
        <v>147</v>
      </c>
      <c r="F2" s="64" t="s">
        <v>148</v>
      </c>
      <c r="G2" s="64" t="s">
        <v>110</v>
      </c>
      <c r="H2" s="64" t="s">
        <v>111</v>
      </c>
    </row>
    <row r="3" spans="1:8" ht="120">
      <c r="A3" s="26" t="s">
        <v>53</v>
      </c>
      <c r="B3" s="65">
        <v>1.1000000000000001</v>
      </c>
      <c r="C3" s="66">
        <v>1.1000000000000001</v>
      </c>
      <c r="D3" s="29"/>
      <c r="E3" s="29"/>
      <c r="F3" s="29"/>
      <c r="G3" s="29"/>
      <c r="H3" s="29"/>
    </row>
    <row r="4" spans="1:8" ht="81.75" customHeight="1">
      <c r="A4" s="26" t="s">
        <v>54</v>
      </c>
      <c r="B4" s="30"/>
      <c r="C4" s="30"/>
      <c r="D4" s="67">
        <v>1.2</v>
      </c>
      <c r="E4" s="30"/>
      <c r="F4" s="30"/>
      <c r="G4" s="30"/>
      <c r="H4" s="30"/>
    </row>
    <row r="5" spans="1:8" ht="69.75" customHeight="1">
      <c r="A5" s="26" t="s">
        <v>52</v>
      </c>
      <c r="B5" s="30"/>
      <c r="C5" s="30"/>
      <c r="D5" s="30"/>
      <c r="E5" s="67">
        <v>1.3</v>
      </c>
      <c r="F5" s="30"/>
      <c r="G5" s="30"/>
      <c r="H5" s="30"/>
    </row>
    <row r="6" spans="1:8" ht="30">
      <c r="A6" s="26" t="s">
        <v>16</v>
      </c>
      <c r="B6" s="29"/>
      <c r="C6" s="29"/>
      <c r="D6" s="30"/>
      <c r="E6" s="30"/>
      <c r="F6" s="67">
        <v>1.4</v>
      </c>
      <c r="G6" s="30"/>
      <c r="H6" s="30"/>
    </row>
    <row r="7" spans="1:8" ht="64.5" customHeight="1">
      <c r="A7" s="27" t="s">
        <v>21</v>
      </c>
      <c r="B7" s="31"/>
      <c r="C7" s="32"/>
      <c r="D7" s="32"/>
      <c r="E7" s="32"/>
      <c r="F7" s="32"/>
      <c r="G7" s="68">
        <v>1.5</v>
      </c>
      <c r="H7" s="32"/>
    </row>
    <row r="8" spans="1:8" s="2" customFormat="1" ht="45">
      <c r="A8" s="26" t="s">
        <v>22</v>
      </c>
      <c r="B8" s="66">
        <v>1.6</v>
      </c>
      <c r="C8" s="30"/>
      <c r="D8" s="30"/>
      <c r="E8" s="30"/>
      <c r="F8" s="30"/>
      <c r="G8" s="30"/>
      <c r="H8" s="30"/>
    </row>
    <row r="9" spans="1:8" ht="60">
      <c r="A9" s="28" t="s">
        <v>61</v>
      </c>
      <c r="B9" s="33"/>
      <c r="C9" s="34"/>
      <c r="D9" s="34"/>
      <c r="E9" s="34"/>
      <c r="F9" s="34"/>
      <c r="G9" s="34"/>
      <c r="H9" s="69">
        <v>1.7</v>
      </c>
    </row>
  </sheetData>
  <mergeCells count="1">
    <mergeCell ref="B1:H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zoomScaleSheetLayoutView="53" workbookViewId="0">
      <selection activeCell="H9" sqref="H9"/>
    </sheetView>
  </sheetViews>
  <sheetFormatPr baseColWidth="10" defaultColWidth="8.83203125" defaultRowHeight="15" x14ac:dyDescent="0"/>
  <cols>
    <col min="1" max="1" width="51.33203125" style="3" customWidth="1"/>
    <col min="2" max="8" width="26.33203125" customWidth="1"/>
    <col min="9" max="9" width="34.1640625" customWidth="1"/>
  </cols>
  <sheetData>
    <row r="1" spans="1:8" s="25" customFormat="1" ht="36">
      <c r="A1" s="70" t="s">
        <v>62</v>
      </c>
      <c r="B1" s="216" t="s">
        <v>210</v>
      </c>
      <c r="C1" s="216"/>
      <c r="D1" s="216"/>
      <c r="E1" s="216"/>
      <c r="F1" s="216"/>
      <c r="G1" s="216"/>
      <c r="H1" s="216"/>
    </row>
    <row r="2" spans="1:8" s="35" customFormat="1" ht="53.5" customHeight="1">
      <c r="A2" s="71" t="s">
        <v>211</v>
      </c>
      <c r="B2" s="71" t="s">
        <v>100</v>
      </c>
      <c r="C2" s="71" t="s">
        <v>101</v>
      </c>
      <c r="D2" s="71" t="s">
        <v>146</v>
      </c>
      <c r="E2" s="71" t="s">
        <v>102</v>
      </c>
      <c r="F2" s="71" t="s">
        <v>103</v>
      </c>
      <c r="G2" s="71" t="s">
        <v>104</v>
      </c>
      <c r="H2" s="71" t="s">
        <v>105</v>
      </c>
    </row>
    <row r="3" spans="1:8" ht="150">
      <c r="A3" s="4" t="s">
        <v>132</v>
      </c>
      <c r="B3" s="72">
        <v>2.1</v>
      </c>
      <c r="C3" s="36"/>
      <c r="D3" s="37"/>
      <c r="E3" s="37"/>
      <c r="F3" s="37"/>
      <c r="G3" s="37"/>
      <c r="H3" s="37"/>
    </row>
    <row r="4" spans="1:8" ht="75">
      <c r="A4" s="4" t="s">
        <v>139</v>
      </c>
      <c r="B4" s="38"/>
      <c r="C4" s="72">
        <v>2.2000000000000002</v>
      </c>
      <c r="D4" s="39"/>
      <c r="E4" s="39"/>
      <c r="F4" s="39"/>
      <c r="G4" s="39"/>
      <c r="H4" s="39"/>
    </row>
    <row r="5" spans="1:8" ht="33" customHeight="1">
      <c r="A5" s="4" t="s">
        <v>140</v>
      </c>
      <c r="B5" s="38"/>
      <c r="C5" s="40"/>
      <c r="D5" s="73">
        <v>2.2999999999999998</v>
      </c>
      <c r="E5" s="41"/>
      <c r="F5" s="41"/>
      <c r="G5" s="41"/>
      <c r="H5" s="41"/>
    </row>
    <row r="6" spans="1:8" ht="63" customHeight="1">
      <c r="A6" s="4" t="s">
        <v>141</v>
      </c>
      <c r="B6" s="38"/>
      <c r="C6" s="37"/>
      <c r="D6" s="41"/>
      <c r="E6" s="73">
        <v>2.4</v>
      </c>
      <c r="F6" s="41"/>
      <c r="G6" s="41"/>
      <c r="H6" s="41"/>
    </row>
    <row r="7" spans="1:8" ht="47.5" customHeight="1">
      <c r="A7" s="4" t="s">
        <v>142</v>
      </c>
      <c r="B7" s="38"/>
      <c r="C7" s="37"/>
      <c r="D7" s="41"/>
      <c r="E7" s="41"/>
      <c r="F7" s="41"/>
      <c r="G7" s="73">
        <v>2.5</v>
      </c>
      <c r="H7" s="41"/>
    </row>
    <row r="8" spans="1:8" ht="53.25" customHeight="1">
      <c r="A8" s="4" t="s">
        <v>143</v>
      </c>
      <c r="B8" s="38"/>
      <c r="C8" s="37"/>
      <c r="D8" s="41"/>
      <c r="E8" s="41"/>
      <c r="F8" s="73">
        <v>2.6</v>
      </c>
      <c r="G8" s="41"/>
      <c r="H8" s="41"/>
    </row>
    <row r="9" spans="1:8" ht="45">
      <c r="A9" s="4" t="s">
        <v>84</v>
      </c>
      <c r="B9" s="38"/>
      <c r="C9" s="37"/>
      <c r="D9" s="41"/>
      <c r="E9" s="41"/>
      <c r="F9" s="41"/>
      <c r="G9" s="41"/>
      <c r="H9" s="73">
        <v>2.7</v>
      </c>
    </row>
    <row r="10" spans="1:8" ht="60">
      <c r="A10" s="4" t="s">
        <v>88</v>
      </c>
      <c r="B10" s="38"/>
      <c r="C10" s="37"/>
      <c r="D10" s="41"/>
      <c r="E10" s="41"/>
      <c r="F10" s="41"/>
      <c r="G10" s="73">
        <v>2.8</v>
      </c>
      <c r="H10" s="41"/>
    </row>
    <row r="11" spans="1:8" ht="61.25" customHeight="1">
      <c r="A11" s="4" t="s">
        <v>85</v>
      </c>
      <c r="B11" s="38"/>
      <c r="C11" s="37"/>
      <c r="D11" s="41"/>
      <c r="E11" s="41"/>
      <c r="F11" s="41"/>
      <c r="G11" s="73">
        <v>2.9</v>
      </c>
      <c r="H11" s="41"/>
    </row>
    <row r="12" spans="1:8" ht="47.5" customHeight="1">
      <c r="A12" s="4" t="s">
        <v>86</v>
      </c>
      <c r="B12" s="38"/>
      <c r="C12" s="37"/>
      <c r="D12" s="41"/>
      <c r="E12" s="41"/>
      <c r="F12" s="41"/>
      <c r="G12" s="74">
        <v>2.1</v>
      </c>
      <c r="H12" s="41"/>
    </row>
    <row r="13" spans="1:8" ht="47" customHeight="1">
      <c r="A13" s="4" t="s">
        <v>87</v>
      </c>
      <c r="B13" s="42"/>
      <c r="C13" s="37"/>
      <c r="D13" s="73">
        <v>2.11</v>
      </c>
      <c r="E13" s="41"/>
      <c r="F13" s="41"/>
      <c r="G13" s="41"/>
      <c r="H13" s="41"/>
    </row>
  </sheetData>
  <mergeCells count="1">
    <mergeCell ref="B1:H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E4" sqref="E4"/>
    </sheetView>
  </sheetViews>
  <sheetFormatPr baseColWidth="10" defaultColWidth="8.83203125" defaultRowHeight="14" x14ac:dyDescent="0"/>
  <cols>
    <col min="1" max="1" width="54.5" customWidth="1"/>
    <col min="2" max="2" width="19.5" customWidth="1"/>
    <col min="3" max="3" width="21.5" customWidth="1"/>
    <col min="4" max="4" width="21.1640625" customWidth="1"/>
    <col min="5" max="5" width="21.5" customWidth="1"/>
    <col min="6" max="6" width="21.33203125" customWidth="1"/>
    <col min="7" max="7" width="15.6640625" customWidth="1"/>
    <col min="8" max="8" width="14.33203125" customWidth="1"/>
    <col min="9" max="9" width="17" customWidth="1"/>
    <col min="10" max="10" width="22.1640625" customWidth="1"/>
  </cols>
  <sheetData>
    <row r="1" spans="1:10" s="45" customFormat="1" ht="52.5" customHeight="1">
      <c r="A1" s="75" t="s">
        <v>63</v>
      </c>
      <c r="B1" s="217" t="s">
        <v>210</v>
      </c>
      <c r="C1" s="217"/>
      <c r="D1" s="217"/>
      <c r="E1" s="217"/>
      <c r="F1" s="217"/>
      <c r="G1" s="217"/>
      <c r="H1" s="217"/>
      <c r="I1" s="217"/>
      <c r="J1" s="217"/>
    </row>
    <row r="2" spans="1:10" s="35" customFormat="1" ht="83.5" customHeight="1">
      <c r="A2" s="76" t="s">
        <v>187</v>
      </c>
      <c r="B2" s="76" t="s">
        <v>152</v>
      </c>
      <c r="C2" s="76" t="s">
        <v>153</v>
      </c>
      <c r="D2" s="76" t="s">
        <v>154</v>
      </c>
      <c r="E2" s="76" t="s">
        <v>155</v>
      </c>
      <c r="F2" s="76" t="s">
        <v>156</v>
      </c>
      <c r="G2" s="76" t="s">
        <v>157</v>
      </c>
      <c r="H2" s="76" t="s">
        <v>158</v>
      </c>
      <c r="I2" s="76" t="s">
        <v>159</v>
      </c>
      <c r="J2" s="76" t="s">
        <v>160</v>
      </c>
    </row>
    <row r="3" spans="1:10" ht="45">
      <c r="A3" s="26" t="s">
        <v>12</v>
      </c>
      <c r="B3" s="77">
        <v>3.1</v>
      </c>
      <c r="C3" s="77">
        <v>3.1</v>
      </c>
      <c r="D3" s="77">
        <v>3.1</v>
      </c>
      <c r="E3" s="77">
        <v>3.1</v>
      </c>
      <c r="F3" s="77">
        <v>3.1</v>
      </c>
      <c r="G3" s="77">
        <v>3.1</v>
      </c>
      <c r="H3" s="43"/>
      <c r="I3" s="43"/>
      <c r="J3" s="43"/>
    </row>
    <row r="4" spans="1:10" ht="45">
      <c r="A4" s="26" t="s">
        <v>50</v>
      </c>
      <c r="B4" s="43"/>
      <c r="C4" s="43"/>
      <c r="D4" s="43"/>
      <c r="E4" s="77">
        <v>3.2</v>
      </c>
      <c r="F4" s="43"/>
      <c r="G4" s="43"/>
      <c r="H4" s="43"/>
      <c r="I4" s="43"/>
      <c r="J4" s="43"/>
    </row>
    <row r="5" spans="1:10" ht="45">
      <c r="A5" s="26" t="s">
        <v>51</v>
      </c>
      <c r="B5" s="43"/>
      <c r="C5" s="43"/>
      <c r="D5" s="43"/>
      <c r="E5" s="43"/>
      <c r="F5" s="77">
        <v>3.3</v>
      </c>
      <c r="G5" s="43"/>
      <c r="H5" s="43"/>
      <c r="I5" s="43"/>
      <c r="J5" s="43"/>
    </row>
    <row r="6" spans="1:10" ht="30">
      <c r="A6" s="26" t="s">
        <v>13</v>
      </c>
      <c r="B6" s="43"/>
      <c r="C6" s="43"/>
      <c r="D6" s="43"/>
      <c r="E6" s="43"/>
      <c r="F6" s="77">
        <v>3.4</v>
      </c>
      <c r="G6" s="43"/>
      <c r="H6" s="43"/>
      <c r="I6" s="43"/>
      <c r="J6" s="43"/>
    </row>
    <row r="7" spans="1:10" ht="45">
      <c r="A7" s="26" t="s">
        <v>23</v>
      </c>
      <c r="B7" s="43"/>
      <c r="C7" s="43"/>
      <c r="D7" s="43"/>
      <c r="E7" s="43"/>
      <c r="F7" s="77">
        <v>3.5</v>
      </c>
      <c r="G7" s="43"/>
      <c r="H7" s="43"/>
      <c r="I7" s="43"/>
      <c r="J7" s="43"/>
    </row>
    <row r="8" spans="1:10" ht="70.5" customHeight="1">
      <c r="A8" s="26" t="s">
        <v>25</v>
      </c>
      <c r="B8" s="77">
        <v>3.6</v>
      </c>
      <c r="C8" s="43"/>
      <c r="D8" s="43"/>
      <c r="E8" s="77">
        <v>3.6</v>
      </c>
      <c r="F8" s="43"/>
      <c r="G8" s="43"/>
      <c r="H8" s="43"/>
      <c r="I8" s="43"/>
      <c r="J8" s="43"/>
    </row>
    <row r="9" spans="1:10" ht="40.5" customHeight="1">
      <c r="A9" s="26" t="s">
        <v>26</v>
      </c>
      <c r="B9" s="43"/>
      <c r="C9" s="77">
        <v>3.7</v>
      </c>
      <c r="D9" s="43"/>
      <c r="E9" s="43"/>
      <c r="F9" s="43"/>
      <c r="G9" s="43"/>
      <c r="H9" s="43"/>
      <c r="I9" s="43"/>
      <c r="J9" s="43"/>
    </row>
    <row r="10" spans="1:10" ht="180">
      <c r="A10" s="26" t="s">
        <v>17</v>
      </c>
      <c r="B10" s="43"/>
      <c r="C10" s="43"/>
      <c r="D10" s="77">
        <v>3.8</v>
      </c>
      <c r="E10" s="77">
        <v>3.8</v>
      </c>
      <c r="F10" s="43"/>
      <c r="G10" s="77">
        <v>3.8</v>
      </c>
      <c r="H10" s="77">
        <v>3.8</v>
      </c>
      <c r="I10" s="43"/>
      <c r="J10" s="43"/>
    </row>
    <row r="11" spans="1:10" ht="75">
      <c r="A11" s="26" t="s">
        <v>18</v>
      </c>
      <c r="B11" s="43"/>
      <c r="C11" s="43"/>
      <c r="D11" s="43"/>
      <c r="E11" s="43"/>
      <c r="F11" s="43"/>
      <c r="G11" s="77">
        <v>3.9</v>
      </c>
      <c r="H11" s="77">
        <v>3.9</v>
      </c>
      <c r="I11" s="77">
        <v>3.9</v>
      </c>
      <c r="J11" s="43"/>
    </row>
    <row r="12" spans="1:10" ht="101.25" customHeight="1">
      <c r="A12" s="26" t="s">
        <v>19</v>
      </c>
      <c r="B12" s="43"/>
      <c r="C12" s="43"/>
      <c r="D12" s="43"/>
      <c r="E12" s="78">
        <v>3.1</v>
      </c>
      <c r="F12" s="44"/>
      <c r="G12" s="44"/>
      <c r="H12" s="44"/>
      <c r="I12" s="44"/>
      <c r="J12" s="78">
        <v>3.1</v>
      </c>
    </row>
  </sheetData>
  <mergeCells count="1">
    <mergeCell ref="B1:J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election activeCell="E6" sqref="E6"/>
    </sheetView>
  </sheetViews>
  <sheetFormatPr baseColWidth="10" defaultColWidth="8.83203125" defaultRowHeight="14" x14ac:dyDescent="0"/>
  <cols>
    <col min="1" max="1" width="44.6640625" customWidth="1"/>
    <col min="2" max="9" width="21.5" customWidth="1"/>
  </cols>
  <sheetData>
    <row r="1" spans="1:9" s="45" customFormat="1" ht="36">
      <c r="A1" s="79" t="s">
        <v>64</v>
      </c>
      <c r="B1" s="218" t="s">
        <v>210</v>
      </c>
      <c r="C1" s="218"/>
      <c r="D1" s="218"/>
      <c r="E1" s="218"/>
      <c r="F1" s="218"/>
      <c r="G1" s="218"/>
      <c r="H1" s="218"/>
      <c r="I1" s="218"/>
    </row>
    <row r="2" spans="1:9" s="35" customFormat="1" ht="78.75" customHeight="1">
      <c r="A2" s="80" t="s">
        <v>212</v>
      </c>
      <c r="B2" s="80" t="s">
        <v>112</v>
      </c>
      <c r="C2" s="80" t="s">
        <v>113</v>
      </c>
      <c r="D2" s="80" t="s">
        <v>114</v>
      </c>
      <c r="E2" s="80" t="s">
        <v>115</v>
      </c>
      <c r="F2" s="80" t="s">
        <v>116</v>
      </c>
      <c r="G2" s="80" t="s">
        <v>117</v>
      </c>
      <c r="H2" s="80" t="s">
        <v>118</v>
      </c>
      <c r="I2" s="80" t="s">
        <v>119</v>
      </c>
    </row>
    <row r="3" spans="1:9" ht="143.25" customHeight="1">
      <c r="A3" s="49" t="s">
        <v>0</v>
      </c>
      <c r="B3" s="81">
        <v>4.0999999999999996</v>
      </c>
      <c r="C3" s="43"/>
      <c r="D3" s="43"/>
      <c r="E3" s="43"/>
      <c r="F3" s="43"/>
      <c r="G3" s="43"/>
      <c r="H3" s="43"/>
      <c r="I3" s="43"/>
    </row>
    <row r="4" spans="1:9" ht="57" customHeight="1">
      <c r="A4" s="49" t="s">
        <v>1</v>
      </c>
      <c r="B4" s="43"/>
      <c r="C4" s="81">
        <v>4.2</v>
      </c>
      <c r="D4" s="43"/>
      <c r="E4" s="43"/>
      <c r="F4" s="43"/>
      <c r="G4" s="43"/>
      <c r="H4" s="43"/>
      <c r="I4" s="43"/>
    </row>
    <row r="5" spans="1:9" ht="54" customHeight="1">
      <c r="A5" s="49" t="s">
        <v>2</v>
      </c>
      <c r="B5" s="43"/>
      <c r="C5" s="43"/>
      <c r="D5" s="81">
        <v>4.3</v>
      </c>
      <c r="E5" s="43"/>
      <c r="F5" s="43"/>
      <c r="G5" s="43"/>
      <c r="H5" s="43"/>
      <c r="I5" s="43"/>
    </row>
    <row r="6" spans="1:9" ht="40.5" customHeight="1">
      <c r="A6" s="49" t="s">
        <v>67</v>
      </c>
      <c r="B6" s="43"/>
      <c r="C6" s="43"/>
      <c r="D6" s="46"/>
      <c r="E6" s="82">
        <v>4.4000000000000004</v>
      </c>
      <c r="F6" s="46"/>
      <c r="G6" s="46"/>
      <c r="H6" s="46"/>
      <c r="I6" s="46"/>
    </row>
    <row r="7" spans="1:9" ht="42.75" customHeight="1">
      <c r="A7" s="49" t="s">
        <v>68</v>
      </c>
      <c r="B7" s="43"/>
      <c r="C7" s="43"/>
      <c r="D7" s="43"/>
      <c r="E7" s="43"/>
      <c r="F7" s="81">
        <v>4.5</v>
      </c>
      <c r="G7" s="43"/>
      <c r="H7" s="43"/>
      <c r="I7" s="43"/>
    </row>
    <row r="8" spans="1:9" ht="132" customHeight="1">
      <c r="A8" s="49" t="s">
        <v>24</v>
      </c>
      <c r="B8" s="43"/>
      <c r="C8" s="43"/>
      <c r="D8" s="43"/>
      <c r="E8" s="43"/>
      <c r="F8" s="43"/>
      <c r="G8" s="81">
        <v>4.5999999999999996</v>
      </c>
      <c r="H8" s="81">
        <v>4.5999999999999996</v>
      </c>
      <c r="I8" s="43"/>
    </row>
    <row r="9" spans="1:9" ht="172.5" customHeight="1">
      <c r="A9" s="49" t="s">
        <v>28</v>
      </c>
      <c r="B9" s="43"/>
      <c r="C9" s="43"/>
      <c r="D9" s="43"/>
      <c r="E9" s="43"/>
      <c r="F9" s="43"/>
      <c r="G9" s="81">
        <v>4.7</v>
      </c>
      <c r="H9" s="43"/>
      <c r="I9" s="81">
        <v>4.7</v>
      </c>
    </row>
  </sheetData>
  <mergeCells count="1">
    <mergeCell ref="B1:I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zoomScaleSheetLayoutView="44" workbookViewId="0">
      <selection activeCell="C4" sqref="C4"/>
    </sheetView>
  </sheetViews>
  <sheetFormatPr baseColWidth="10" defaultColWidth="8.83203125" defaultRowHeight="14" x14ac:dyDescent="0"/>
  <cols>
    <col min="1" max="1" width="85.6640625" customWidth="1"/>
    <col min="2" max="11" width="21.6640625" customWidth="1"/>
    <col min="12" max="13" width="32" customWidth="1"/>
  </cols>
  <sheetData>
    <row r="1" spans="1:11" s="45" customFormat="1" ht="48" customHeight="1">
      <c r="A1" s="83" t="s">
        <v>65</v>
      </c>
      <c r="B1" s="219" t="s">
        <v>210</v>
      </c>
      <c r="C1" s="219"/>
      <c r="D1" s="219"/>
      <c r="E1" s="219"/>
      <c r="F1" s="219"/>
      <c r="G1" s="219"/>
      <c r="H1" s="219"/>
      <c r="I1" s="219"/>
      <c r="J1" s="219"/>
      <c r="K1" s="219"/>
    </row>
    <row r="2" spans="1:11" s="35" customFormat="1" ht="48" customHeight="1">
      <c r="A2" s="84" t="s">
        <v>187</v>
      </c>
      <c r="B2" s="84" t="s">
        <v>120</v>
      </c>
      <c r="C2" s="84" t="s">
        <v>121</v>
      </c>
      <c r="D2" s="84" t="s">
        <v>122</v>
      </c>
      <c r="E2" s="84" t="s">
        <v>166</v>
      </c>
      <c r="F2" s="84" t="s">
        <v>167</v>
      </c>
      <c r="G2" s="84" t="s">
        <v>168</v>
      </c>
      <c r="H2" s="84" t="s">
        <v>169</v>
      </c>
      <c r="I2" s="84" t="s">
        <v>170</v>
      </c>
      <c r="J2" s="84" t="s">
        <v>171</v>
      </c>
      <c r="K2" s="84" t="s">
        <v>172</v>
      </c>
    </row>
    <row r="3" spans="1:11" ht="255">
      <c r="A3" s="51" t="s">
        <v>123</v>
      </c>
      <c r="B3" s="85">
        <v>5.0999999999999996</v>
      </c>
      <c r="C3" s="43"/>
      <c r="D3" s="43"/>
      <c r="E3" s="85">
        <v>5.0999999999999996</v>
      </c>
      <c r="F3" s="43"/>
      <c r="G3" s="43"/>
      <c r="H3" s="43"/>
      <c r="I3" s="43"/>
      <c r="J3" s="43"/>
      <c r="K3" s="43"/>
    </row>
    <row r="4" spans="1:11" ht="90">
      <c r="A4" s="51" t="s">
        <v>79</v>
      </c>
      <c r="B4" s="43"/>
      <c r="C4" s="85">
        <v>5.2</v>
      </c>
      <c r="D4" s="43"/>
      <c r="E4" s="43"/>
      <c r="F4" s="43"/>
      <c r="G4" s="43"/>
      <c r="H4" s="43"/>
      <c r="I4" s="43"/>
      <c r="J4" s="43"/>
      <c r="K4" s="43"/>
    </row>
    <row r="5" spans="1:11" ht="75">
      <c r="A5" s="51" t="s">
        <v>106</v>
      </c>
      <c r="B5" s="43"/>
      <c r="C5" s="43"/>
      <c r="D5" s="85">
        <v>5.3</v>
      </c>
      <c r="E5" s="85">
        <v>5.3</v>
      </c>
      <c r="F5" s="43"/>
      <c r="G5" s="43"/>
      <c r="H5" s="43"/>
      <c r="I5" s="43"/>
      <c r="J5" s="43"/>
      <c r="K5" s="43"/>
    </row>
    <row r="6" spans="1:11" ht="90">
      <c r="A6" s="51" t="s">
        <v>107</v>
      </c>
      <c r="B6" s="43"/>
      <c r="C6" s="43"/>
      <c r="D6" s="43"/>
      <c r="E6" s="43"/>
      <c r="F6" s="85">
        <v>5.4</v>
      </c>
      <c r="G6" s="43"/>
      <c r="H6" s="43"/>
      <c r="I6" s="43"/>
      <c r="J6" s="43"/>
      <c r="K6" s="43"/>
    </row>
    <row r="7" spans="1:11" ht="90">
      <c r="A7" s="51" t="s">
        <v>108</v>
      </c>
      <c r="B7" s="43"/>
      <c r="C7" s="43"/>
      <c r="D7" s="43"/>
      <c r="E7" s="43"/>
      <c r="F7" s="85">
        <v>5.5</v>
      </c>
      <c r="G7" s="43"/>
      <c r="H7" s="43"/>
      <c r="I7" s="43"/>
      <c r="J7" s="43"/>
      <c r="K7" s="43"/>
    </row>
    <row r="8" spans="1:11" ht="30">
      <c r="A8" s="51" t="s">
        <v>109</v>
      </c>
      <c r="B8" s="43"/>
      <c r="C8" s="43"/>
      <c r="D8" s="43"/>
      <c r="E8" s="43"/>
      <c r="F8" s="85">
        <v>5.6</v>
      </c>
      <c r="G8" s="43"/>
      <c r="H8" s="43"/>
      <c r="I8" s="43"/>
      <c r="J8" s="43"/>
      <c r="K8" s="43"/>
    </row>
    <row r="9" spans="1:11" ht="105">
      <c r="A9" s="51" t="s">
        <v>83</v>
      </c>
      <c r="B9" s="43"/>
      <c r="C9" s="43"/>
      <c r="D9" s="43"/>
      <c r="E9" s="43"/>
      <c r="F9" s="43"/>
      <c r="G9" s="85">
        <v>5.7</v>
      </c>
      <c r="H9" s="43"/>
      <c r="I9" s="43"/>
      <c r="J9" s="43"/>
      <c r="K9" s="43"/>
    </row>
    <row r="10" spans="1:11" ht="165">
      <c r="A10" s="51" t="s">
        <v>89</v>
      </c>
      <c r="B10" s="43"/>
      <c r="C10" s="43"/>
      <c r="D10" s="43"/>
      <c r="E10" s="43"/>
      <c r="F10" s="43"/>
      <c r="G10" s="43"/>
      <c r="H10" s="85">
        <v>5.8</v>
      </c>
      <c r="I10" s="43"/>
      <c r="J10" s="43"/>
      <c r="K10" s="43"/>
    </row>
    <row r="11" spans="1:11" ht="105">
      <c r="A11" s="51" t="s">
        <v>90</v>
      </c>
      <c r="B11" s="43"/>
      <c r="C11" s="43"/>
      <c r="D11" s="43"/>
      <c r="E11" s="43"/>
      <c r="F11" s="43"/>
      <c r="G11" s="43"/>
      <c r="H11" s="43"/>
      <c r="I11" s="85">
        <v>5.9</v>
      </c>
      <c r="J11" s="43"/>
      <c r="K11" s="43"/>
    </row>
    <row r="12" spans="1:11" ht="30">
      <c r="A12" s="51" t="s">
        <v>91</v>
      </c>
      <c r="B12" s="43"/>
      <c r="C12" s="43"/>
      <c r="D12" s="43"/>
      <c r="E12" s="43"/>
      <c r="F12" s="43"/>
      <c r="G12" s="43"/>
      <c r="H12" s="43"/>
      <c r="I12" s="43"/>
      <c r="J12" s="86">
        <v>5.0999999999999996</v>
      </c>
      <c r="K12" s="43"/>
    </row>
    <row r="13" spans="1:11" ht="105">
      <c r="A13" s="51" t="s">
        <v>78</v>
      </c>
      <c r="B13" s="43"/>
      <c r="C13" s="43"/>
      <c r="D13" s="43"/>
      <c r="E13" s="43"/>
      <c r="F13" s="43"/>
      <c r="G13" s="43"/>
      <c r="H13" s="43"/>
      <c r="I13" s="43"/>
      <c r="J13" s="43"/>
      <c r="K13" s="85">
        <v>5.1100000000000003</v>
      </c>
    </row>
  </sheetData>
  <mergeCells count="1">
    <mergeCell ref="B1:K1"/>
  </mergeCells>
  <phoneticPr fontId="41" type="noConversion"/>
  <printOptions gridLines="1"/>
  <pageMargins left="0.70866141732283472" right="0.70866141732283472" top="0.74803149606299213" bottom="0.74803149606299213" header="0.31496062992125984" footer="0.31496062992125984"/>
  <rowBreaks count="1" manualBreakCount="1">
    <brk id="6" max="10" man="1"/>
  </rowBreaks>
  <colBreaks count="1" manualBreakCount="1">
    <brk id="4" max="1048575" man="1"/>
  </colBreaks>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A2" sqref="A2"/>
    </sheetView>
  </sheetViews>
  <sheetFormatPr baseColWidth="10" defaultColWidth="8.83203125" defaultRowHeight="14" x14ac:dyDescent="0"/>
  <cols>
    <col min="1" max="1" width="54.83203125" customWidth="1"/>
    <col min="2" max="8" width="19.6640625" customWidth="1"/>
    <col min="9" max="10" width="25.1640625" customWidth="1"/>
  </cols>
  <sheetData>
    <row r="1" spans="1:8" s="45" customFormat="1" ht="36">
      <c r="A1" s="87" t="s">
        <v>11</v>
      </c>
      <c r="B1" s="220" t="s">
        <v>210</v>
      </c>
      <c r="C1" s="220"/>
      <c r="D1" s="220"/>
      <c r="E1" s="220"/>
      <c r="F1" s="220"/>
      <c r="G1" s="220"/>
      <c r="H1" s="220"/>
    </row>
    <row r="2" spans="1:8" s="35" customFormat="1" ht="36">
      <c r="A2" s="88" t="s">
        <v>187</v>
      </c>
      <c r="B2" s="88" t="s">
        <v>173</v>
      </c>
      <c r="C2" s="88" t="s">
        <v>128</v>
      </c>
      <c r="D2" s="88" t="s">
        <v>129</v>
      </c>
      <c r="E2" s="88" t="s">
        <v>130</v>
      </c>
      <c r="F2" s="88" t="s">
        <v>176</v>
      </c>
      <c r="G2" s="88" t="s">
        <v>177</v>
      </c>
      <c r="H2" s="88" t="s">
        <v>124</v>
      </c>
    </row>
    <row r="3" spans="1:8" ht="135">
      <c r="A3" s="51" t="s">
        <v>73</v>
      </c>
      <c r="B3" s="89">
        <v>6.1</v>
      </c>
      <c r="C3" s="89">
        <v>6.1</v>
      </c>
      <c r="D3" s="89">
        <v>6.1</v>
      </c>
      <c r="E3" s="89">
        <v>6.1</v>
      </c>
      <c r="F3" s="89">
        <v>6.1</v>
      </c>
      <c r="G3" s="89">
        <v>6.1</v>
      </c>
      <c r="H3" s="47"/>
    </row>
    <row r="4" spans="1:8" ht="123.75" customHeight="1">
      <c r="A4" s="51" t="s">
        <v>74</v>
      </c>
      <c r="B4" s="48"/>
      <c r="C4" s="47"/>
      <c r="D4" s="47"/>
      <c r="E4" s="47"/>
      <c r="F4" s="47"/>
      <c r="G4" s="47"/>
      <c r="H4" s="89">
        <v>6.2</v>
      </c>
    </row>
    <row r="5" spans="1:8" ht="140.25" customHeight="1">
      <c r="A5" s="51" t="s">
        <v>75</v>
      </c>
      <c r="B5" s="47"/>
      <c r="C5" s="89">
        <v>6.3</v>
      </c>
      <c r="D5" s="89">
        <v>6.3</v>
      </c>
      <c r="E5" s="89">
        <v>6.3</v>
      </c>
      <c r="F5" s="89">
        <v>6.3</v>
      </c>
      <c r="G5" s="89">
        <v>6.3</v>
      </c>
      <c r="H5" s="47"/>
    </row>
    <row r="6" spans="1:8" ht="60">
      <c r="A6" s="49" t="s">
        <v>55</v>
      </c>
      <c r="B6" s="47"/>
      <c r="C6" s="47"/>
      <c r="D6" s="47"/>
      <c r="E6" s="89">
        <v>6.4</v>
      </c>
      <c r="F6" s="47"/>
      <c r="G6" s="47"/>
      <c r="H6" s="47"/>
    </row>
    <row r="7" spans="1:8" ht="105">
      <c r="A7" s="51" t="s">
        <v>80</v>
      </c>
      <c r="B7" s="47"/>
      <c r="C7" s="47"/>
      <c r="D7" s="47"/>
      <c r="E7" s="89">
        <v>6.5</v>
      </c>
      <c r="F7" s="47"/>
      <c r="G7" s="47"/>
      <c r="H7" s="47"/>
    </row>
    <row r="8" spans="1:8" ht="75">
      <c r="A8" s="51" t="s">
        <v>81</v>
      </c>
      <c r="B8" s="47"/>
      <c r="C8" s="47"/>
      <c r="D8" s="47"/>
      <c r="E8" s="47"/>
      <c r="F8" s="89">
        <v>6.6</v>
      </c>
      <c r="G8" s="47"/>
      <c r="H8" s="47"/>
    </row>
  </sheetData>
  <mergeCells count="1">
    <mergeCell ref="B1:H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A2" sqref="A2"/>
    </sheetView>
  </sheetViews>
  <sheetFormatPr baseColWidth="10" defaultColWidth="8.83203125" defaultRowHeight="14" x14ac:dyDescent="0"/>
  <cols>
    <col min="1" max="1" width="48.6640625" style="5" customWidth="1"/>
    <col min="2" max="6" width="23.33203125" style="5" customWidth="1"/>
    <col min="7" max="10" width="32.6640625" style="5" customWidth="1"/>
    <col min="11" max="16384" width="8.83203125" style="5"/>
  </cols>
  <sheetData>
    <row r="1" spans="1:6" s="45" customFormat="1" ht="36">
      <c r="A1" s="90" t="s">
        <v>20</v>
      </c>
      <c r="B1" s="221" t="s">
        <v>210</v>
      </c>
      <c r="C1" s="221"/>
      <c r="D1" s="221"/>
      <c r="E1" s="221"/>
      <c r="F1" s="221"/>
    </row>
    <row r="2" spans="1:6" s="50" customFormat="1" ht="60">
      <c r="A2" s="91" t="s">
        <v>211</v>
      </c>
      <c r="B2" s="91" t="s">
        <v>125</v>
      </c>
      <c r="C2" s="91" t="s">
        <v>126</v>
      </c>
      <c r="D2" s="91" t="s">
        <v>127</v>
      </c>
      <c r="E2" s="91" t="s">
        <v>145</v>
      </c>
      <c r="F2" s="91" t="s">
        <v>92</v>
      </c>
    </row>
    <row r="3" spans="1:6" ht="180">
      <c r="A3" s="51" t="s">
        <v>56</v>
      </c>
      <c r="B3" s="92">
        <v>7.1</v>
      </c>
      <c r="C3" s="52"/>
      <c r="D3" s="52"/>
      <c r="E3" s="52"/>
      <c r="F3" s="52"/>
    </row>
    <row r="4" spans="1:6" ht="30.5" customHeight="1">
      <c r="A4" s="222" t="s">
        <v>57</v>
      </c>
      <c r="B4" s="223"/>
      <c r="C4" s="224">
        <v>7.2</v>
      </c>
      <c r="D4" s="223"/>
      <c r="E4" s="223"/>
      <c r="F4" s="223"/>
    </row>
    <row r="5" spans="1:6" ht="21.75" customHeight="1">
      <c r="A5" s="222"/>
      <c r="B5" s="223"/>
      <c r="C5" s="224"/>
      <c r="D5" s="223"/>
      <c r="E5" s="223"/>
      <c r="F5" s="223"/>
    </row>
    <row r="6" spans="1:6" ht="74.25" customHeight="1">
      <c r="A6" s="51" t="s">
        <v>58</v>
      </c>
      <c r="B6" s="52"/>
      <c r="C6" s="52"/>
      <c r="D6" s="92">
        <v>7.3</v>
      </c>
      <c r="E6" s="52"/>
      <c r="F6" s="52"/>
    </row>
    <row r="7" spans="1:6" ht="41.25" customHeight="1">
      <c r="A7" s="51" t="s">
        <v>59</v>
      </c>
      <c r="B7" s="52"/>
      <c r="C7" s="52"/>
      <c r="D7" s="52"/>
      <c r="E7" s="92">
        <v>7.4</v>
      </c>
      <c r="F7" s="52"/>
    </row>
    <row r="8" spans="1:6" ht="54" customHeight="1">
      <c r="A8" s="51" t="s">
        <v>60</v>
      </c>
      <c r="B8" s="52"/>
      <c r="C8" s="52"/>
      <c r="D8" s="52"/>
      <c r="E8" s="52"/>
      <c r="F8" s="92">
        <v>7.5</v>
      </c>
    </row>
    <row r="9" spans="1:6" ht="45">
      <c r="A9" s="51" t="s">
        <v>66</v>
      </c>
      <c r="B9" s="52"/>
      <c r="C9" s="92">
        <v>7.6</v>
      </c>
      <c r="D9" s="52"/>
      <c r="E9" s="52"/>
      <c r="F9" s="52"/>
    </row>
    <row r="10" spans="1:6" ht="90">
      <c r="A10" s="51" t="s">
        <v>82</v>
      </c>
      <c r="B10" s="92">
        <v>7.7</v>
      </c>
      <c r="C10" s="92">
        <v>7.7</v>
      </c>
      <c r="D10" s="52"/>
      <c r="E10" s="52"/>
      <c r="F10" s="52"/>
    </row>
  </sheetData>
  <mergeCells count="7">
    <mergeCell ref="B1:F1"/>
    <mergeCell ref="A4:A5"/>
    <mergeCell ref="B4:B5"/>
    <mergeCell ref="C4:C5"/>
    <mergeCell ref="D4:D5"/>
    <mergeCell ref="E4:E5"/>
    <mergeCell ref="F4:F5"/>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activeCell="H9" sqref="H9"/>
    </sheetView>
  </sheetViews>
  <sheetFormatPr baseColWidth="10" defaultColWidth="8.83203125" defaultRowHeight="14" x14ac:dyDescent="0"/>
  <cols>
    <col min="1" max="1" width="47" customWidth="1"/>
    <col min="2" max="2" width="21.6640625" customWidth="1"/>
    <col min="3" max="3" width="14.33203125" customWidth="1"/>
    <col min="4" max="4" width="23.1640625" customWidth="1"/>
    <col min="5" max="5" width="12.6640625" customWidth="1"/>
    <col min="6" max="6" width="16.33203125" customWidth="1"/>
    <col min="7" max="7" width="15.5" customWidth="1"/>
    <col min="8" max="8" width="15" customWidth="1"/>
    <col min="9" max="9" width="12.1640625" customWidth="1"/>
  </cols>
  <sheetData>
    <row r="1" spans="1:9" s="25" customFormat="1" ht="54">
      <c r="A1" s="93" t="s">
        <v>3</v>
      </c>
      <c r="B1" s="225" t="s">
        <v>213</v>
      </c>
      <c r="C1" s="226"/>
      <c r="D1" s="226"/>
      <c r="E1" s="226"/>
      <c r="F1" s="226"/>
      <c r="G1" s="226"/>
      <c r="H1" s="226"/>
      <c r="I1" s="227"/>
    </row>
    <row r="2" spans="1:9" ht="60">
      <c r="A2" s="94" t="s">
        <v>187</v>
      </c>
      <c r="B2" s="94" t="s">
        <v>93</v>
      </c>
      <c r="C2" s="94" t="s">
        <v>94</v>
      </c>
      <c r="D2" s="94" t="s">
        <v>131</v>
      </c>
      <c r="E2" s="94" t="s">
        <v>95</v>
      </c>
      <c r="F2" s="94" t="s">
        <v>96</v>
      </c>
      <c r="G2" s="94" t="s">
        <v>97</v>
      </c>
      <c r="H2" s="94" t="s">
        <v>98</v>
      </c>
      <c r="I2" s="94" t="s">
        <v>99</v>
      </c>
    </row>
    <row r="3" spans="1:9" ht="36" customHeight="1">
      <c r="A3" s="51" t="s">
        <v>4</v>
      </c>
      <c r="B3" s="95">
        <v>8.1</v>
      </c>
      <c r="C3" s="37"/>
      <c r="D3" s="37"/>
      <c r="E3" s="37"/>
      <c r="F3" s="37"/>
      <c r="G3" s="37"/>
      <c r="H3" s="37"/>
      <c r="I3" s="37"/>
    </row>
    <row r="4" spans="1:9" ht="45">
      <c r="A4" s="51" t="s">
        <v>5</v>
      </c>
      <c r="B4" s="37"/>
      <c r="C4" s="95">
        <v>8.1999999999999993</v>
      </c>
      <c r="D4" s="37"/>
      <c r="E4" s="37"/>
      <c r="F4" s="37"/>
      <c r="G4" s="37"/>
      <c r="H4" s="37"/>
      <c r="I4" s="37"/>
    </row>
    <row r="5" spans="1:9" ht="45">
      <c r="A5" s="51" t="s">
        <v>6</v>
      </c>
      <c r="B5" s="37"/>
      <c r="C5" s="37"/>
      <c r="D5" s="95">
        <v>8.3000000000000007</v>
      </c>
      <c r="E5" s="95">
        <v>8.3000000000000007</v>
      </c>
      <c r="F5" s="37"/>
      <c r="G5" s="37"/>
      <c r="H5" s="37"/>
      <c r="I5" s="37"/>
    </row>
    <row r="6" spans="1:9" ht="30" customHeight="1">
      <c r="A6" s="51" t="s">
        <v>7</v>
      </c>
      <c r="B6" s="37"/>
      <c r="C6" s="37"/>
      <c r="D6" s="37"/>
      <c r="E6" s="37"/>
      <c r="F6" s="95">
        <v>8.4</v>
      </c>
      <c r="G6" s="37"/>
      <c r="H6" s="37"/>
      <c r="I6" s="37"/>
    </row>
    <row r="7" spans="1:9" ht="33.75" customHeight="1">
      <c r="A7" s="51" t="s">
        <v>8</v>
      </c>
      <c r="B7" s="37"/>
      <c r="C7" s="37"/>
      <c r="D7" s="37"/>
      <c r="E7" s="37"/>
      <c r="F7" s="37"/>
      <c r="G7" s="95">
        <v>8.5</v>
      </c>
      <c r="H7" s="37"/>
      <c r="I7" s="37"/>
    </row>
    <row r="8" spans="1:9" ht="30">
      <c r="A8" s="51" t="s">
        <v>9</v>
      </c>
      <c r="B8" s="95">
        <v>8.6</v>
      </c>
      <c r="C8" s="37"/>
      <c r="D8" s="37"/>
      <c r="E8" s="37"/>
      <c r="F8" s="37"/>
      <c r="G8" s="37"/>
      <c r="H8" s="37"/>
      <c r="I8" s="37"/>
    </row>
    <row r="9" spans="1:9" ht="30">
      <c r="A9" s="51" t="s">
        <v>69</v>
      </c>
      <c r="B9" s="53"/>
      <c r="C9" s="37"/>
      <c r="D9" s="37"/>
      <c r="E9" s="37"/>
      <c r="F9" s="37"/>
      <c r="G9" s="37"/>
      <c r="H9" s="95">
        <v>8.6999999999999993</v>
      </c>
      <c r="I9" s="37"/>
    </row>
    <row r="10" spans="1:9" ht="30">
      <c r="A10" s="51" t="s">
        <v>10</v>
      </c>
      <c r="B10" s="37"/>
      <c r="C10" s="37"/>
      <c r="D10" s="37"/>
      <c r="E10" s="37"/>
      <c r="F10" s="37"/>
      <c r="G10" s="37"/>
      <c r="H10" s="37"/>
      <c r="I10" s="95">
        <v>8.8000000000000007</v>
      </c>
    </row>
  </sheetData>
  <mergeCells count="1">
    <mergeCell ref="B1:I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Document Control Information</vt:lpstr>
      <vt:lpstr>Priority Task Identification</vt:lpstr>
      <vt:lpstr>OMAT TBRA</vt:lpstr>
      <vt:lpstr>Safe Design Information</vt:lpstr>
      <vt:lpstr>DPRefs</vt:lpstr>
      <vt:lpstr>A&amp;W@H</vt:lpstr>
      <vt:lpstr>Tires</vt:lpstr>
      <vt:lpstr>ExpHE</vt:lpstr>
      <vt:lpstr>Fire</vt:lpstr>
      <vt:lpstr>MOC</vt:lpstr>
      <vt:lpstr>HIF</vt:lpstr>
      <vt:lpstr>ManTasks</vt:lpstr>
      <vt:lpstr>CSRWA</vt:lpstr>
    </vt:vector>
  </TitlesOfParts>
  <Company>The University of Queensland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 Leveritt</dc:creator>
  <cp:lastModifiedBy>Robin Burgess-Limerick</cp:lastModifiedBy>
  <cp:lastPrinted>2012-07-23T00:34:39Z</cp:lastPrinted>
  <dcterms:created xsi:type="dcterms:W3CDTF">2011-11-15T10:47:19Z</dcterms:created>
  <dcterms:modified xsi:type="dcterms:W3CDTF">2012-09-05T23:09:31Z</dcterms:modified>
</cp:coreProperties>
</file>