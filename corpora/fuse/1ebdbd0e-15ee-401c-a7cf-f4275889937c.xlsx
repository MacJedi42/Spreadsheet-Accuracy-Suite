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drawings/drawing5.xml" ContentType="application/vnd.openxmlformats-officedocument.drawing+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codeName="ThisWorkbook" defaultThemeVersion="124226"/>
  <bookViews>
    <workbookView xWindow="12588" yWindow="-12" windowWidth="12636" windowHeight="12408" tabRatio="661" activeTab="1"/>
  </bookViews>
  <sheets>
    <sheet name="Start" sheetId="6" r:id="rId1"/>
    <sheet name="E Recomend" sheetId="2" r:id="rId2"/>
    <sheet name="Worksheet" sheetId="4" r:id="rId3"/>
    <sheet name="Sheet1" sheetId="13" r:id="rId4"/>
    <sheet name="CIP codes" sheetId="10" r:id="rId5"/>
    <sheet name="CIP codes (2)" sheetId="12" r:id="rId6"/>
    <sheet name="Database" sheetId="1" r:id="rId7"/>
    <sheet name="setup" sheetId="3" r:id="rId8"/>
    <sheet name="Worksheet K" sheetId="7" r:id="rId9"/>
    <sheet name="Clauses" sheetId="9" r:id="rId10"/>
    <sheet name="K" sheetId="11" r:id="rId11"/>
    <sheet name="APPENDIX B" sheetId="14" r:id="rId12"/>
    <sheet name="Appendix F" sheetId="15" r:id="rId13"/>
    <sheet name="Highest Degree" sheetId="16" r:id="rId14"/>
    <sheet name="Sheet5" sheetId="17" r:id="rId15"/>
  </sheets>
  <externalReferences>
    <externalReference r:id="rId16"/>
  </externalReferences>
  <definedNames>
    <definedName name="AcadDept">Worksheet!$F$70:$F$95</definedName>
    <definedName name="Address_1">Database!$M$2</definedName>
    <definedName name="Address_2">Database!$N$2</definedName>
    <definedName name="AdminRes">Worksheet!$C$37:$C$38</definedName>
    <definedName name="AppendixB">'APPENDIX B'!$A$7:$A$72</definedName>
    <definedName name="AppendixF">'Appendix F'!$A$6:$A$216</definedName>
    <definedName name="Beginning_Date">Database!$AD$2</definedName>
    <definedName name="Check10" localSheetId="1">'E Recomend'!#REF!</definedName>
    <definedName name="Check11" localSheetId="1">'E Recomend'!#REF!</definedName>
    <definedName name="Check6" localSheetId="1">'E Recomend'!$A$49</definedName>
    <definedName name="Check7" localSheetId="1">'E Recomend'!#REF!</definedName>
    <definedName name="Check8" localSheetId="1">'E Recomend'!$D$49</definedName>
    <definedName name="Check9" localSheetId="1">'E Recomend'!$F$49</definedName>
    <definedName name="CIP">'CIP codes (2)'!$B$2:$B$67</definedName>
    <definedName name="CIPCode" localSheetId="5">'CIP codes (2)'!$A$2:$A$67</definedName>
    <definedName name="CIPCode">'CIP codes'!$A$2:$A$67</definedName>
    <definedName name="CIPDescript" localSheetId="5">'CIP codes (2)'!$B$2:$B$67</definedName>
    <definedName name="CIPDescript">'CIP codes'!$B$2:$B$67</definedName>
    <definedName name="City">Database!$O$2</definedName>
    <definedName name="CollegeSchool">Worksheet!$E$340:$E$362</definedName>
    <definedName name="Contract_Period">Database!$AC$2</definedName>
    <definedName name="Country">Worksheet!$F$101:$F$337</definedName>
    <definedName name="country_into_link" localSheetId="14">Sheet5!#REF!</definedName>
    <definedName name="country_phone_link" localSheetId="14">Sheet5!#REF!</definedName>
    <definedName name="CountryCode">Worksheet!$G$101:$G$337</definedName>
    <definedName name="_xlnm.Database">Database!$A$1:$AF$2</definedName>
    <definedName name="DegreeType">Worksheet!$B$50:$B$55</definedName>
    <definedName name="Department">Database!$K$2</definedName>
    <definedName name="Depts">Worksheet!$E$379:$E$412</definedName>
    <definedName name="Disabled">Worksheet!$D$31:$D$32</definedName>
    <definedName name="Dropdown1" localSheetId="8">'Worksheet K'!$E$30</definedName>
    <definedName name="email">Database!$AB$2</definedName>
    <definedName name="End_Date">Database!$AE$2</definedName>
    <definedName name="Equity">Database!$S$2</definedName>
    <definedName name="ERecType">Worksheet!$B$368:$B$376</definedName>
    <definedName name="EthnicOrigin">Worksheet!$F$31:$F$40</definedName>
    <definedName name="First_Name">Database!$C$2</definedName>
    <definedName name="FTE">Database!$J$2</definedName>
    <definedName name="Gender">Worksheet!$E$31:$E$32</definedName>
    <definedName name="HighestDegree">'Highest Degree'!$A$4:$A$272</definedName>
    <definedName name="Hours_to_teach">Database!$AF$2</definedName>
    <definedName name="I9Received">Worksheet!$A$42:$A$43</definedName>
    <definedName name="ID">Database!$A$2</definedName>
    <definedName name="Last_Name">Database!$D$2</definedName>
    <definedName name="Mandated_Raise">Database!$R$2</definedName>
    <definedName name="Merit">Database!$F$2</definedName>
    <definedName name="OLE_LINK3" localSheetId="9">Clauses!$B$48</definedName>
    <definedName name="OLE_LINK5" localSheetId="9">Clauses!$B$20</definedName>
    <definedName name="Other">Database!$V$2</definedName>
    <definedName name="Percent_Increase">Database!$Y$2</definedName>
    <definedName name="PIN">Database!$Q$2</definedName>
    <definedName name="Pos">Database!$B$2</definedName>
    <definedName name="Prevailing_Salary">Database!$E$2</definedName>
    <definedName name="_xlnm.Print_Area" localSheetId="1">'E Recomend'!$A$1:$W$110</definedName>
    <definedName name="_xlnm.Print_Titles" localSheetId="1">'E Recomend'!$5:$5</definedName>
    <definedName name="Promotion">Database!$T$2</definedName>
    <definedName name="Rank">Database!$Z$2</definedName>
    <definedName name="Salutation">Database!$I$2</definedName>
    <definedName name="School_College">Database!$L$2</definedName>
    <definedName name="Schools">Worksheet!$E$340:$E$357</definedName>
    <definedName name="SourceFunds">Worksheet!$E$61:$E$63</definedName>
    <definedName name="SS">Database!$H$2</definedName>
    <definedName name="State">Database!$P$2</definedName>
    <definedName name="StateAgencyStatus">Worksheet!$F$44:$F$47</definedName>
    <definedName name="States">Worksheet!$E$73:$E$122</definedName>
    <definedName name="Stipend">Database!$U$2</definedName>
    <definedName name="Tag">Database!$G$2</definedName>
    <definedName name="Text1" localSheetId="1">'E Recomend'!$A$5</definedName>
    <definedName name="Text10" localSheetId="9">Clauses!$B$49</definedName>
    <definedName name="Text13" localSheetId="9">Clauses!$B$12</definedName>
    <definedName name="Text14" localSheetId="9">Clauses!$B$14</definedName>
    <definedName name="Text15" localSheetId="9">Clauses!$B$19</definedName>
    <definedName name="Text3" localSheetId="8">'Worksheet K'!$E$31</definedName>
    <definedName name="Title">Worksheet!$A$32:$A$38</definedName>
    <definedName name="Title1">Worksheet!$A$31:$A$38</definedName>
    <definedName name="Total_Salary">Database!$W$2</definedName>
    <definedName name="Track">Database!$AA$2</definedName>
    <definedName name="Veteran">Worksheet!$C$31:$C$32</definedName>
    <definedName name="Year">Database!$X$2</definedName>
  </definedNames>
  <calcPr calcId="144525" fullCalcOnLoad="1"/>
</workbook>
</file>

<file path=xl/calcChain.xml><?xml version="1.0" encoding="utf-8"?>
<calcChain xmlns="http://schemas.openxmlformats.org/spreadsheetml/2006/main">
  <c r="P98" i="2" l="1"/>
  <c r="Q98" i="2"/>
  <c r="P101" i="2"/>
  <c r="Q101" i="2"/>
  <c r="P95" i="2"/>
  <c r="Q95" i="2"/>
  <c r="D59" i="13"/>
  <c r="D58" i="13"/>
  <c r="D57" i="13"/>
  <c r="D56" i="13"/>
  <c r="D55" i="13"/>
  <c r="D54" i="13"/>
  <c r="D53" i="13"/>
  <c r="D52" i="13"/>
  <c r="C46" i="13"/>
  <c r="H45" i="13"/>
  <c r="C45" i="13"/>
  <c r="H44" i="13"/>
  <c r="C44" i="13"/>
  <c r="H43" i="13"/>
  <c r="C43" i="13"/>
  <c r="H42" i="13"/>
  <c r="C42" i="13"/>
  <c r="H41" i="13"/>
  <c r="C41" i="13"/>
  <c r="H40" i="13"/>
  <c r="C40" i="13"/>
  <c r="H39" i="13"/>
  <c r="C39" i="13"/>
  <c r="H38" i="13"/>
  <c r="C38" i="13"/>
  <c r="H37" i="13"/>
  <c r="C37" i="13"/>
  <c r="H36" i="13"/>
  <c r="C36" i="13"/>
  <c r="H35" i="13"/>
  <c r="C35" i="13"/>
  <c r="H34" i="13"/>
  <c r="C34" i="13"/>
  <c r="H33" i="13"/>
  <c r="C33" i="13"/>
  <c r="H32" i="13"/>
  <c r="C32" i="13"/>
  <c r="H31" i="13"/>
  <c r="C31" i="13"/>
  <c r="H30" i="13"/>
  <c r="C30" i="13"/>
  <c r="H29" i="13"/>
  <c r="G28" i="13"/>
  <c r="D27" i="13"/>
  <c r="D26" i="13"/>
  <c r="D25" i="13"/>
  <c r="D24" i="13"/>
  <c r="D23" i="13"/>
  <c r="D22" i="13"/>
  <c r="A22" i="13"/>
  <c r="D21" i="13"/>
  <c r="A21" i="13"/>
  <c r="A20" i="13"/>
  <c r="G61" i="2"/>
  <c r="H61" i="2"/>
  <c r="G63" i="2"/>
  <c r="I61" i="2"/>
  <c r="C80" i="2"/>
  <c r="B80" i="2"/>
  <c r="F70"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A32" i="2"/>
  <c r="H2" i="9"/>
  <c r="A5" i="11"/>
  <c r="A16" i="11"/>
  <c r="A19" i="2"/>
  <c r="A35" i="2"/>
  <c r="Z2" i="1"/>
  <c r="F70" i="10"/>
  <c r="A40" i="2"/>
  <c r="E52" i="2"/>
  <c r="C50" i="9"/>
  <c r="F63" i="2"/>
  <c r="C71" i="2"/>
  <c r="F71" i="2"/>
  <c r="B70" i="2"/>
  <c r="P99" i="2"/>
  <c r="Q99" i="2"/>
  <c r="F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B2" i="1"/>
  <c r="C2" i="1"/>
  <c r="D2" i="1"/>
  <c r="E2" i="1"/>
  <c r="H2" i="1"/>
  <c r="I2" i="1"/>
  <c r="K2" i="1"/>
  <c r="L2" i="1"/>
  <c r="M2" i="1"/>
  <c r="N2" i="1"/>
  <c r="O2" i="1"/>
  <c r="P2" i="1"/>
  <c r="U2" i="1"/>
  <c r="W2" i="1"/>
  <c r="AB2" i="1"/>
  <c r="N20" i="4"/>
  <c r="AC2" i="1"/>
  <c r="AD2" i="1"/>
  <c r="AE2" i="1"/>
  <c r="AG2" i="1"/>
  <c r="K1" i="4"/>
  <c r="AH2" i="1"/>
  <c r="AI2" i="1"/>
  <c r="AJ2" i="1"/>
  <c r="A20" i="3"/>
  <c r="A21" i="3"/>
  <c r="D21" i="3"/>
  <c r="A22" i="3"/>
  <c r="D22" i="3"/>
  <c r="D23" i="3"/>
  <c r="D24" i="3"/>
  <c r="D25" i="3"/>
  <c r="D26" i="3"/>
  <c r="D27" i="3"/>
  <c r="G28" i="3"/>
  <c r="C31" i="3"/>
  <c r="H30" i="3"/>
  <c r="C46" i="3"/>
  <c r="H45" i="3"/>
  <c r="C30" i="3"/>
  <c r="H29" i="3"/>
  <c r="C39" i="3"/>
  <c r="H38" i="3"/>
  <c r="C32" i="3"/>
  <c r="H31" i="3"/>
  <c r="C33" i="3"/>
  <c r="H32" i="3"/>
  <c r="C34" i="3"/>
  <c r="H33" i="3"/>
  <c r="C35" i="3"/>
  <c r="H34" i="3"/>
  <c r="C36" i="3"/>
  <c r="H35" i="3"/>
  <c r="C37" i="3"/>
  <c r="H36" i="3"/>
  <c r="C38" i="3"/>
  <c r="H37" i="3"/>
  <c r="C40" i="3"/>
  <c r="H39" i="3"/>
  <c r="C41" i="3"/>
  <c r="H40" i="3"/>
  <c r="C42" i="3"/>
  <c r="H41" i="3"/>
  <c r="C43" i="3"/>
  <c r="H42" i="3"/>
  <c r="C44" i="3"/>
  <c r="H43" i="3"/>
  <c r="C45" i="3"/>
  <c r="H44" i="3"/>
  <c r="D52" i="3"/>
  <c r="D53" i="3"/>
  <c r="D54" i="3"/>
  <c r="D55" i="3"/>
  <c r="D56" i="3"/>
  <c r="D57" i="3"/>
  <c r="D58" i="3"/>
  <c r="D59" i="3"/>
  <c r="N18" i="4"/>
  <c r="C3" i="7"/>
  <c r="E3" i="7"/>
  <c r="B3" i="7"/>
  <c r="B4" i="7"/>
  <c r="B5" i="7"/>
  <c r="E5" i="7"/>
  <c r="B6" i="7"/>
  <c r="C6" i="7"/>
  <c r="E6" i="7"/>
  <c r="B7" i="7"/>
  <c r="B8" i="7"/>
  <c r="B9" i="7"/>
  <c r="B10" i="7"/>
  <c r="H16" i="7"/>
  <c r="B12" i="7"/>
  <c r="F14" i="7"/>
  <c r="B35" i="7"/>
  <c r="E32" i="7"/>
  <c r="B52" i="9"/>
  <c r="H3" i="9"/>
  <c r="A6" i="11"/>
  <c r="H4" i="9"/>
  <c r="A7" i="11"/>
  <c r="C11" i="9"/>
  <c r="B10" i="9"/>
  <c r="C10" i="9"/>
  <c r="C12" i="9"/>
  <c r="C14" i="9"/>
  <c r="G25" i="9"/>
  <c r="G55" i="9"/>
  <c r="G57" i="9"/>
  <c r="F11" i="9"/>
  <c r="H54" i="9"/>
  <c r="I54" i="9"/>
  <c r="J54" i="9"/>
  <c r="L54" i="9"/>
  <c r="G26" i="9"/>
  <c r="G27" i="9"/>
  <c r="G39" i="9"/>
  <c r="G41" i="9"/>
  <c r="G42" i="9"/>
  <c r="G43" i="9"/>
  <c r="G44" i="9"/>
  <c r="G45" i="9"/>
  <c r="B46" i="9"/>
  <c r="G46" i="9"/>
  <c r="H46" i="9"/>
  <c r="G47" i="9"/>
  <c r="B51" i="9"/>
  <c r="H55" i="9"/>
  <c r="J55" i="9"/>
  <c r="L55" i="9"/>
  <c r="H56" i="9"/>
  <c r="J56" i="9"/>
  <c r="L56" i="9"/>
  <c r="H57" i="9"/>
  <c r="J57" i="9"/>
  <c r="L57" i="9"/>
  <c r="H58" i="9"/>
  <c r="I58" i="9"/>
  <c r="J58" i="9"/>
  <c r="L58" i="9"/>
  <c r="M58" i="9"/>
  <c r="H59" i="9"/>
  <c r="J59" i="9"/>
  <c r="L59" i="9"/>
  <c r="A22" i="11"/>
  <c r="A34" i="11"/>
  <c r="A35" i="11"/>
  <c r="A36" i="11"/>
  <c r="A37" i="11"/>
  <c r="A38" i="11"/>
  <c r="A39" i="11"/>
  <c r="A40" i="11"/>
  <c r="A41" i="11"/>
  <c r="AF2" i="1"/>
  <c r="A31" i="11"/>
  <c r="F28" i="3"/>
  <c r="C7" i="9"/>
  <c r="C17" i="9"/>
  <c r="C22" i="9"/>
  <c r="G14" i="7"/>
  <c r="B36" i="7"/>
  <c r="F48" i="9"/>
  <c r="E12" i="7"/>
  <c r="O28" i="7"/>
  <c r="N28" i="7"/>
  <c r="F28" i="13"/>
  <c r="T28" i="7"/>
  <c r="H12" i="7"/>
  <c r="H15" i="7"/>
  <c r="H14" i="7"/>
  <c r="B37" i="7"/>
  <c r="F53" i="9"/>
  <c r="C15" i="7"/>
  <c r="C14" i="7"/>
  <c r="B33" i="7"/>
  <c r="F5" i="9"/>
  <c r="X28" i="7"/>
  <c r="R28" i="7"/>
  <c r="Q28" i="7"/>
  <c r="E13" i="7"/>
  <c r="W28" i="7"/>
  <c r="E19" i="7"/>
  <c r="D12" i="7"/>
  <c r="U28" i="7"/>
  <c r="G9" i="9"/>
  <c r="C15" i="9"/>
  <c r="B8" i="9"/>
  <c r="B18" i="9"/>
  <c r="G49" i="9"/>
  <c r="G51" i="9"/>
  <c r="B50" i="9"/>
  <c r="G50" i="9"/>
  <c r="C9" i="9"/>
  <c r="J2" i="1"/>
  <c r="B13" i="7"/>
  <c r="B14" i="7"/>
  <c r="I14" i="7"/>
  <c r="B38" i="7"/>
  <c r="F60" i="9"/>
  <c r="H14" i="9"/>
  <c r="A21" i="11"/>
  <c r="C8" i="9"/>
  <c r="C18" i="9"/>
  <c r="C23" i="9"/>
  <c r="H9" i="9"/>
  <c r="A14" i="11"/>
  <c r="E14" i="7"/>
  <c r="B34" i="7"/>
  <c r="F24" i="9"/>
  <c r="H8" i="9"/>
  <c r="A13" i="11"/>
  <c r="E18" i="7"/>
  <c r="C17" i="7"/>
  <c r="C16" i="7"/>
  <c r="G8" i="9"/>
  <c r="C19" i="9"/>
  <c r="G10" i="9"/>
  <c r="H13" i="9"/>
  <c r="A20" i="11"/>
  <c r="H11" i="9"/>
  <c r="A18" i="11"/>
  <c r="H12" i="9"/>
  <c r="A19" i="11"/>
  <c r="H10" i="9"/>
  <c r="B23" i="9"/>
  <c r="G7" i="9"/>
  <c r="H6" i="9"/>
  <c r="A10" i="11"/>
  <c r="H7" i="9"/>
  <c r="A12" i="11"/>
  <c r="C20" i="9"/>
  <c r="G12" i="9"/>
  <c r="G11" i="9"/>
</calcChain>
</file>

<file path=xl/comments1.xml><?xml version="1.0" encoding="utf-8"?>
<comments xmlns="http://schemas.openxmlformats.org/spreadsheetml/2006/main">
  <authors>
    <author>ronald penny</author>
    <author>lrcenter</author>
  </authors>
  <commentList>
    <comment ref="A16" authorId="0">
      <text>
        <r>
          <rPr>
            <sz val="10"/>
            <color indexed="81"/>
            <rFont val="Tahoma"/>
            <family val="2"/>
          </rPr>
          <t xml:space="preserve">NCCU:Choose the appropriate identifiers. If a prospect identifies with more than one race he/she may choose multiple races.
</t>
        </r>
      </text>
    </comment>
    <comment ref="E40" authorId="1">
      <text>
        <r>
          <rPr>
            <b/>
            <sz val="8"/>
            <color indexed="81"/>
            <rFont val="Tahoma"/>
            <family val="2"/>
          </rPr>
          <t>NCCU: Choose the type of tenure track contract required for a tenure track member of the faculty</t>
        </r>
        <r>
          <rPr>
            <sz val="8"/>
            <color indexed="81"/>
            <rFont val="Tahoma"/>
            <family val="2"/>
          </rPr>
          <t xml:space="preserve">
</t>
        </r>
      </text>
    </comment>
    <comment ref="I40" authorId="1">
      <text>
        <r>
          <rPr>
            <b/>
            <sz val="8"/>
            <color indexed="81"/>
            <rFont val="Tahoma"/>
            <family val="2"/>
          </rPr>
          <t>If Other(please specify). If not selected, remove any entry from this space.</t>
        </r>
        <r>
          <rPr>
            <sz val="8"/>
            <color indexed="81"/>
            <rFont val="Tahoma"/>
            <family val="2"/>
          </rPr>
          <t xml:space="preserve">
</t>
        </r>
      </text>
    </comment>
    <comment ref="H54" authorId="1">
      <text>
        <r>
          <rPr>
            <sz val="8"/>
            <color indexed="81"/>
            <rFont val="Tahoma"/>
            <family val="2"/>
          </rPr>
          <t xml:space="preserve">Must be used for Grant funded positions.
</t>
        </r>
      </text>
    </comment>
    <comment ref="I54" authorId="1">
      <text>
        <r>
          <rPr>
            <sz val="8"/>
            <color indexed="81"/>
            <rFont val="Tahoma"/>
            <family val="2"/>
          </rPr>
          <t>FTE is required</t>
        </r>
      </text>
    </comment>
    <comment ref="W54" authorId="1">
      <text>
        <r>
          <rPr>
            <sz val="8"/>
            <color indexed="81"/>
            <rFont val="Tahoma"/>
            <family val="2"/>
          </rPr>
          <t xml:space="preserve">need org# from the dept the position is place.
</t>
        </r>
      </text>
    </comment>
    <comment ref="I72" authorId="0">
      <text>
        <r>
          <rPr>
            <b/>
            <sz val="10"/>
            <color indexed="81"/>
            <rFont val="Tahoma"/>
            <family val="2"/>
          </rPr>
          <t xml:space="preserve">NCCU: in order to release an existing state employee or NCCU employee to work on a grant a change of source of funds form may be required. </t>
        </r>
      </text>
    </comment>
  </commentList>
</comments>
</file>

<file path=xl/comments2.xml><?xml version="1.0" encoding="utf-8"?>
<comments xmlns="http://schemas.openxmlformats.org/spreadsheetml/2006/main">
  <authors>
    <author>lrcenter</author>
    <author>ronald penny</author>
  </authors>
  <commentList>
    <comment ref="N20" authorId="0">
      <text>
        <r>
          <rPr>
            <b/>
            <sz val="8"/>
            <color indexed="81"/>
            <rFont val="Tahoma"/>
            <family val="2"/>
          </rPr>
          <t>This is linked t the data based to give contract term.
Contract period collect data from e-recommend for typical periods
other is the unusual period on e-recomend</t>
        </r>
        <r>
          <rPr>
            <sz val="8"/>
            <color indexed="81"/>
            <rFont val="Tahoma"/>
            <family val="2"/>
          </rPr>
          <t xml:space="preserve">
</t>
        </r>
      </text>
    </comment>
    <comment ref="F30" authorId="1">
      <text>
        <r>
          <rPr>
            <sz val="10"/>
            <color indexed="81"/>
            <rFont val="Tahoma"/>
            <family val="2"/>
          </rPr>
          <t xml:space="preserve">NCCU:Choose the appropriate identifiers. If a prospect identifies with more than one race he/she may choose multiple races.
</t>
        </r>
      </text>
    </comment>
  </commentList>
</comments>
</file>

<file path=xl/sharedStrings.xml><?xml version="1.0" encoding="utf-8"?>
<sst xmlns="http://schemas.openxmlformats.org/spreadsheetml/2006/main" count="2723" uniqueCount="2229">
  <si>
    <t>MATHEW, MARY T</t>
  </si>
  <si>
    <t>MATTHEWS, CARRIE</t>
  </si>
  <si>
    <t>MAYNOR, LOUISE C</t>
  </si>
  <si>
    <t>MBA, ALICE</t>
  </si>
  <si>
    <t>MCCLELLAND, MARILY</t>
  </si>
  <si>
    <t>MCCOY, LAMISA D</t>
  </si>
  <si>
    <t>MCGEORGE, RICHARD E</t>
  </si>
  <si>
    <t>MCIVER, WANDA PARKE</t>
  </si>
  <si>
    <t>MCMILLIAN, MARCIEA</t>
  </si>
  <si>
    <t>MCMURRAY, HARVEY L</t>
  </si>
  <si>
    <t>MEDDOCK, ADRIENNE L</t>
  </si>
  <si>
    <t xml:space="preserve">MELIKYAN, HAYK M    </t>
  </si>
  <si>
    <t xml:space="preserve">MILLS, JANICE    </t>
  </si>
  <si>
    <t xml:space="preserve">MITCHELL, CHARLES I </t>
  </si>
  <si>
    <t xml:space="preserve">MIZELLE, RICHARD    </t>
  </si>
  <si>
    <t xml:space="preserve">MOFFIE, ROBERT     </t>
  </si>
  <si>
    <t>MOODY JR, EDWARD E</t>
  </si>
  <si>
    <t xml:space="preserve">MOORE-ASSEM, CAROL  </t>
  </si>
  <si>
    <t xml:space="preserve">MORGAN, LISA G     </t>
  </si>
  <si>
    <t xml:space="preserve">MORRIS, MARK W    </t>
  </si>
  <si>
    <t xml:space="preserve">MOSBY, EMMA L     </t>
  </si>
  <si>
    <t xml:space="preserve">MOSS, MATTIE E     </t>
  </si>
  <si>
    <t xml:space="preserve">MPARE, NELWYN J    </t>
  </si>
  <si>
    <t xml:space="preserve">MUKHOPADHYAY, SOMN  </t>
  </si>
  <si>
    <t xml:space="preserve">MURRAY, CAROL W    </t>
  </si>
  <si>
    <t xml:space="preserve">MURRAY, PERCY     </t>
  </si>
  <si>
    <t xml:space="preserve">MUTISYA, PHILLIPH M </t>
  </si>
  <si>
    <t xml:space="preserve">MYERS, JOHN A       </t>
  </si>
  <si>
    <t xml:space="preserve">NASIR, ABM E        </t>
  </si>
  <si>
    <t>NASS, DAVID J</t>
  </si>
  <si>
    <t>NASSER, MOHD W</t>
  </si>
  <si>
    <t>NEAL, SANDRA</t>
  </si>
  <si>
    <t>NELSON, FRANCES</t>
  </si>
  <si>
    <t>NESSLY,JR, LAURENC</t>
  </si>
  <si>
    <t>NEWHOUSE, BENJAMIN</t>
  </si>
  <si>
    <t>NORFORD, DEREK C</t>
  </si>
  <si>
    <t>NOWELL, III, WILLI</t>
  </si>
  <si>
    <t>NUNN, ELEANOR S</t>
  </si>
  <si>
    <t>NUNNALLEE, WALTER</t>
  </si>
  <si>
    <t>NWOSU, VERONICA C</t>
  </si>
  <si>
    <t>NYEIN, TUN KYAW</t>
  </si>
  <si>
    <t>O'DUOR, CHARLES D</t>
  </si>
  <si>
    <t>OAK, SEONGHEE</t>
  </si>
  <si>
    <t>OGEDE, ODE S</t>
  </si>
  <si>
    <t>OKEIYI, ESTHER</t>
  </si>
  <si>
    <t>OLIVER, COLON L</t>
  </si>
  <si>
    <t>OLIVER, SHARON J</t>
  </si>
  <si>
    <t xml:space="preserve">ONAFOWORA, LAURA    </t>
  </si>
  <si>
    <t xml:space="preserve">ORITSEJAFOR, EMMAN  </t>
  </si>
  <si>
    <t xml:space="preserve">ORNAT, STEVEN MICHA </t>
  </si>
  <si>
    <t xml:space="preserve">OSLER, II, JAMES E </t>
  </si>
  <si>
    <t xml:space="preserve">OTHMAN, MOHAMED     </t>
  </si>
  <si>
    <t xml:space="preserve">OWENS, IRENE      </t>
  </si>
  <si>
    <t>PARKER, BRENDA LORR</t>
  </si>
  <si>
    <t xml:space="preserve">PARKER, DEBRA O    </t>
  </si>
  <si>
    <t xml:space="preserve">PARKER, FREDDIE    </t>
  </si>
  <si>
    <t xml:space="preserve">PARKER, LIONELL     </t>
  </si>
  <si>
    <t xml:space="preserve">PENNY, RONALD G   </t>
  </si>
  <si>
    <t xml:space="preserve">PERRY, NICHELLE JON </t>
  </si>
  <si>
    <t xml:space="preserve">PERRY KEMP, BRIDGE  </t>
  </si>
  <si>
    <t xml:space="preserve">PETWAY, NORMA       </t>
  </si>
  <si>
    <t xml:space="preserve">PHIFER, KIMBERLY C  </t>
  </si>
  <si>
    <t xml:space="preserve">PHILLIPS, MARY     </t>
  </si>
  <si>
    <t xml:space="preserve">PINCKNEY, NANCY D  </t>
  </si>
  <si>
    <t xml:space="preserve">POLITANO, VIRGINIA </t>
  </si>
  <si>
    <t>POTTER, ELIZABETH P</t>
  </si>
  <si>
    <t xml:space="preserve">PRICE, MONICA A     </t>
  </si>
  <si>
    <t xml:space="preserve">RAGHUWANSHI, SANDE  </t>
  </si>
  <si>
    <t xml:space="preserve">REID, JORIM E       </t>
  </si>
  <si>
    <r>
      <t>This is a probationary appointment for a one (1) academic year period.  This appointment constitutes the 7</t>
    </r>
    <r>
      <rPr>
        <vertAlign val="superscript"/>
        <sz val="12"/>
        <rFont val="Book Antiqua"/>
        <family val="1"/>
      </rPr>
      <t>th</t>
    </r>
    <r>
      <rPr>
        <sz val="12"/>
        <rFont val="Book Antiqua"/>
        <family val="1"/>
      </rPr>
      <t xml:space="preserve">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</si>
  <si>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t xml:space="preserve">GILLESPIE, ROBIN CO </t>
  </si>
  <si>
    <t xml:space="preserve">GLEAN, PAMELA S     </t>
  </si>
  <si>
    <t xml:space="preserve">GLICK, SANDRA      </t>
  </si>
  <si>
    <t xml:space="preserve">GOKCEKUS, OMER      </t>
  </si>
  <si>
    <t xml:space="preserve">GOLDMAN, VINSTON J  </t>
  </si>
  <si>
    <t xml:space="preserve">GOODING, MARION    </t>
  </si>
  <si>
    <t xml:space="preserve">GOSNELL, RUSSELL    </t>
  </si>
  <si>
    <t>GRAHAM, FRANCES D</t>
  </si>
  <si>
    <t>GRANT, DELORES J</t>
  </si>
  <si>
    <t>GREEN, DAVID ALAN</t>
  </si>
  <si>
    <t>GREGORY, ROGER R</t>
  </si>
  <si>
    <t>GRIFFIN, CAROLENE</t>
  </si>
  <si>
    <t>GRIFFIN, GEORGE W</t>
  </si>
  <si>
    <t>GUOFEN, YU</t>
  </si>
  <si>
    <t>GUSEH, JAMES S</t>
  </si>
  <si>
    <t>HAKEEM, SALIH A</t>
  </si>
  <si>
    <t>HALL, JARVIS ALDEN</t>
  </si>
  <si>
    <t>HALL, TAMMIE E</t>
  </si>
  <si>
    <t>HAMMOND, THOMAS N</t>
  </si>
  <si>
    <t>HANES, ROBIN S</t>
  </si>
  <si>
    <t>HARDY, LEON B</t>
  </si>
  <si>
    <t>HAREWOOD, KEN R</t>
  </si>
  <si>
    <t>HARPER, JANICE</t>
  </si>
  <si>
    <t>HARPER, SHIRLEY R</t>
  </si>
  <si>
    <t xml:space="preserve">HARRELL, CHERI J   </t>
  </si>
  <si>
    <t xml:space="preserve">HARRELL, PAULA D    </t>
  </si>
  <si>
    <t xml:space="preserve">HARRINGTON-AUST, E </t>
  </si>
  <si>
    <t xml:space="preserve">HARRINGTON, JOHN    </t>
  </si>
  <si>
    <t xml:space="preserve">HARRIS, CLAUDIA S   </t>
  </si>
  <si>
    <t xml:space="preserve">HARRIS, JASPER      </t>
  </si>
  <si>
    <t xml:space="preserve">HART, DAREN L       </t>
  </si>
  <si>
    <t>HAYES,SR, WILLIAM L</t>
  </si>
  <si>
    <t xml:space="preserve">HAZEL, DEBORA EILEE </t>
  </si>
  <si>
    <t>HECK, WENDY L</t>
  </si>
  <si>
    <t>HENDERSON, JAMES H</t>
  </si>
  <si>
    <t>HENDERSON, SYBIL S</t>
  </si>
  <si>
    <t>HERNDON, GODFREY B</t>
  </si>
  <si>
    <t>HESTER, SUSAN L</t>
  </si>
  <si>
    <t>HIGH III, WALTER MA</t>
  </si>
  <si>
    <t>HILL, LORNA R</t>
  </si>
  <si>
    <t>HINNANT, RASHAUNTE</t>
  </si>
  <si>
    <t>HO, TRUC-NHU</t>
  </si>
  <si>
    <t>HOLLEY, TIMOTHY</t>
  </si>
  <si>
    <t>HOLLOWELL, GAIL P</t>
  </si>
  <si>
    <t>HOWLETT, ALLYN C</t>
  </si>
  <si>
    <t>HUANG, CHIEN JU</t>
  </si>
  <si>
    <t>HUGHLEY, CAREY</t>
  </si>
  <si>
    <t>HUGHLEY, JOHN H</t>
  </si>
  <si>
    <t>HUNTER, KAREN</t>
  </si>
  <si>
    <t>IRVING, EDWARD</t>
  </si>
  <si>
    <t>IYENGAR, RAGHAVAN</t>
  </si>
  <si>
    <t xml:space="preserve">IZYDORE, ROBERT     </t>
  </si>
  <si>
    <t xml:space="preserve">JACOBS, SYLVIA M   </t>
  </si>
  <si>
    <t xml:space="preserve">JACOBS, TYSHA N     </t>
  </si>
  <si>
    <t xml:space="preserve">JEFFERIES, DEBORAH  </t>
  </si>
  <si>
    <t xml:space="preserve">JEFFREYS, ARCELIA T </t>
  </si>
  <si>
    <t xml:space="preserve">JOHNSON, BERNICE D </t>
  </si>
  <si>
    <t xml:space="preserve">JOHNSON, FREDRICK   </t>
  </si>
  <si>
    <t xml:space="preserve">JOHNSON, MARQUS B  </t>
  </si>
  <si>
    <t xml:space="preserve">JOHNSON, UCHENNA    </t>
  </si>
  <si>
    <t>JOLLY, DAVID H</t>
  </si>
  <si>
    <t>JONES, BEVERLY W</t>
  </si>
  <si>
    <t>JOYNER, IRVING</t>
  </si>
  <si>
    <t>JOYNER JR, STEPHEN</t>
  </si>
  <si>
    <t>KALO, MONICA</t>
  </si>
  <si>
    <t>KARGAR, JAVAD</t>
  </si>
  <si>
    <t>KEATON, KAREN M</t>
  </si>
  <si>
    <t>KIM, KI HYON</t>
  </si>
  <si>
    <t>KIMARU, CHRISTOPHE</t>
  </si>
  <si>
    <r>
      <t>This is a probationary appointment for a one (1) academic year period.  This appointment constitutes the 4</t>
    </r>
    <r>
      <rPr>
        <vertAlign val="superscript"/>
        <sz val="12"/>
        <rFont val="Book Antiqua"/>
        <family val="1"/>
      </rPr>
      <t>th</t>
    </r>
    <r>
      <rPr>
        <sz val="12"/>
        <rFont val="Book Antiqua"/>
        <family val="1"/>
      </rPr>
      <t xml:space="preserve">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</si>
  <si>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r>
      <t>This is a probationary appointment for a one (1) academic year period.  This appointment constitutes the 5</t>
    </r>
    <r>
      <rPr>
        <vertAlign val="superscript"/>
        <sz val="12"/>
        <rFont val="Book Antiqua"/>
        <family val="1"/>
      </rPr>
      <t>th</t>
    </r>
    <r>
      <rPr>
        <sz val="12"/>
        <rFont val="Book Antiqua"/>
        <family val="1"/>
      </rPr>
      <t xml:space="preserve">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</si>
  <si>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r>
      <t>This is a probationary appointment for a one (1) academic year period.  This appointment constitutes the 6</t>
    </r>
    <r>
      <rPr>
        <vertAlign val="superscript"/>
        <sz val="12"/>
        <rFont val="Book Antiqua"/>
        <family val="1"/>
      </rPr>
      <t>th</t>
    </r>
    <r>
      <rPr>
        <sz val="12"/>
        <rFont val="Book Antiqua"/>
        <family val="1"/>
      </rPr>
      <t xml:space="preserve">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</si>
  <si>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r>
      <t xml:space="preserve">This is to offer you an appointment as an Employee Exempt from the State Personnel Act at North Carolina Central University. This offer is tendered subject to the </t>
    </r>
    <r>
      <rPr>
        <i/>
        <sz val="12"/>
        <rFont val="Book Antiqua"/>
        <family val="1"/>
      </rPr>
      <t>Code</t>
    </r>
    <r>
      <rPr>
        <sz val="12"/>
        <rFont val="Book Antiqua"/>
        <family val="1"/>
      </rPr>
      <t xml:space="preserve"> of the University of North Carolina and the Board of Governors of the University of North Carolina Personnel Policies for Designated Employees Exempt from the State Personnel Act, dated February 18, 1994, as originally adopted and subsequent revision. These policies shall determine the terms and conditions of employment particularly in the event there is a conflict that is not addressed in this document.  The position title is </t>
    </r>
  </si>
  <si>
    <t>Yes, the prospect is currently or within past 3 months was employed at NCCU</t>
  </si>
  <si>
    <r>
      <t>This is a probationary appointment for a one (1) academic year period.  This appointment constitutes the 2</t>
    </r>
    <r>
      <rPr>
        <vertAlign val="superscript"/>
        <sz val="12"/>
        <rFont val="Book Antiqua"/>
        <family val="1"/>
      </rPr>
      <t>nd</t>
    </r>
    <r>
      <rPr>
        <sz val="12"/>
        <rFont val="Book Antiqua"/>
        <family val="1"/>
      </rPr>
      <t xml:space="preserve">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</si>
  <si>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r>
      <t>This is a probationary appointment for a one (1) academic year period.  This appointment constitutes the 3</t>
    </r>
    <r>
      <rPr>
        <vertAlign val="superscript"/>
        <sz val="12"/>
        <rFont val="Book Antiqua"/>
        <family val="1"/>
      </rPr>
      <t>rd</t>
    </r>
    <r>
      <rPr>
        <sz val="12"/>
        <rFont val="Book Antiqua"/>
        <family val="1"/>
      </rPr>
      <t xml:space="preserve">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</si>
  <si>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r>
      <t>This is a probationary appointment for a one (1) academic year period.  This appointment constitutes the 1</t>
    </r>
    <r>
      <rPr>
        <vertAlign val="superscript"/>
        <sz val="12"/>
        <rFont val="Book Antiqua"/>
        <family val="1"/>
      </rPr>
      <t>st</t>
    </r>
    <r>
      <rPr>
        <sz val="12"/>
        <rFont val="Book Antiqua"/>
        <family val="1"/>
      </rPr>
      <t xml:space="preserve">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</si>
  <si>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r>
      <t xml:space="preserve">The expectations inherent in the tenure rules of the University include satisfactory completion of the requisite formal education, demonstration of professional competence, display of developed collegiality, and potential for future contribution, consistent with the needs and resources of the University.  This contract is governed by the pertinent provisions of the North Carolina Central University Tenure Policies and Regulations, Chapter Six of the </t>
    </r>
    <r>
      <rPr>
        <i/>
        <sz val="12"/>
        <rFont val="Book Antiqua"/>
        <family val="1"/>
      </rPr>
      <t>Code</t>
    </r>
    <r>
      <rPr>
        <sz val="12"/>
        <rFont val="Book Antiqua"/>
        <family val="1"/>
      </rPr>
      <t xml:space="preserve"> of The University of North Carolina and the Patent and Copyright Policies of North Carolina Central University.  The incidents of tenure applicable to your rank are, by reference, incorporated herein.  Tenure is granted by the Board of Governors upon recommendation through the administrative channels of the University.  Tenure, if granted, is in North Carolina Central University only, not in the University of North Carolina.</t>
    </r>
  </si>
  <si>
    <t>Provost and Vice Chancellor for Academic Affairs</t>
  </si>
  <si>
    <r>
      <t>This is a probationary appointment for a three (3) academic year period.  This appointment constitutes the 1</t>
    </r>
    <r>
      <rPr>
        <vertAlign val="superscript"/>
        <sz val="12"/>
        <rFont val="Book Antiqua"/>
        <family val="1"/>
      </rPr>
      <t>st</t>
    </r>
    <r>
      <rPr>
        <sz val="12"/>
        <rFont val="Book Antiqua"/>
        <family val="1"/>
      </rPr>
      <t xml:space="preserve"> of the allowable two (2) three-year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the Friday next following the commencement ceremony in May 2008.   </t>
    </r>
  </si>
  <si>
    <r>
      <t>This is a probationary appointment for a three (3) academic year period.  This appointment constitutes the 2</t>
    </r>
    <r>
      <rPr>
        <vertAlign val="superscript"/>
        <sz val="12"/>
        <rFont val="Book Antiqua"/>
        <family val="1"/>
      </rPr>
      <t>nd</t>
    </r>
    <r>
      <rPr>
        <sz val="12"/>
        <rFont val="Book Antiqua"/>
        <family val="1"/>
      </rPr>
      <t xml:space="preserve"> of the allowable two (2) three-year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the Friday next following the commencement ceremony in May 2008</t>
    </r>
  </si>
  <si>
    <t>This is a probationary appointment for a three (3) academic year period.  This appointment constitutes the allowable three-year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the Friday next following the commencement ceremony in May 2008.</t>
  </si>
  <si>
    <r>
      <t xml:space="preserve">This is to offer you an appointment as an Employee Exempt from the State Personnel Act with no faculty Appointment (hereafter EPA Non-Faculty) at North Carolina Central University. This offer is tendered subject to the </t>
    </r>
    <r>
      <rPr>
        <i/>
        <sz val="12"/>
        <rFont val="Book Antiqua"/>
        <family val="1"/>
      </rPr>
      <t>Code</t>
    </r>
    <r>
      <rPr>
        <sz val="12"/>
        <rFont val="Book Antiqua"/>
        <family val="1"/>
      </rPr>
      <t xml:space="preserve"> of the University of North Carolina and the Board of Governors of the University of North Carolina Personnel Policies for Designated Employees Exempt from the State Personnel Act, dated February 18, 1994, as originally adopted and subsequent revision.  The position title is </t>
    </r>
  </si>
  <si>
    <t xml:space="preserve">EPA Faculty  </t>
  </si>
  <si>
    <t>Complete clause Intro</t>
  </si>
  <si>
    <t>Complete clause Type of appointment</t>
  </si>
  <si>
    <r>
      <t>This is a probationary appointment for a one (1) academic year period.  This appointment constitutes the 1</t>
    </r>
    <r>
      <rPr>
        <vertAlign val="superscript"/>
        <sz val="12"/>
        <rFont val="Book Antiqua"/>
        <family val="1"/>
      </rPr>
      <t>st</t>
    </r>
    <r>
      <rPr>
        <sz val="12"/>
        <rFont val="Book Antiqua"/>
        <family val="1"/>
      </rPr>
      <t xml:space="preserve"> of the allowable two (2)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</si>
  <si>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t>Nursing - Registered Nurse Training (RN ASN BSN  MSN)</t>
  </si>
  <si>
    <t>Parks  Recreation and Leisure Facilities Management</t>
  </si>
  <si>
    <t>No Choice</t>
  </si>
  <si>
    <t>variables</t>
  </si>
  <si>
    <t>Clause</t>
  </si>
  <si>
    <r>
      <t>This is a probationary appointment for a one (1) academic year period.  This appointment constitutes the 2</t>
    </r>
    <r>
      <rPr>
        <vertAlign val="superscript"/>
        <sz val="12"/>
        <rFont val="Book Antiqua"/>
        <family val="1"/>
      </rPr>
      <t>nd</t>
    </r>
    <r>
      <rPr>
        <sz val="12"/>
        <rFont val="Book Antiqua"/>
        <family val="1"/>
      </rPr>
      <t xml:space="preserve"> of the allowable two (2)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t>
    </r>
  </si>
  <si>
    <t>EPA Faculty</t>
  </si>
  <si>
    <t>,</t>
  </si>
  <si>
    <t>.</t>
  </si>
  <si>
    <r>
      <t xml:space="preserve">You are, by this document, offered an appointment to the faculty of North Carolina Central University.  This appointment is subject to the pertinent provisions of the North Carolina Central University Tenure Policies and Regulations and Chapter Six of the </t>
    </r>
    <r>
      <rPr>
        <i/>
        <sz val="12"/>
        <rFont val="Book Antiqua"/>
        <family val="1"/>
      </rPr>
      <t>Code</t>
    </r>
    <r>
      <rPr>
        <sz val="12"/>
        <rFont val="Book Antiqua"/>
        <family val="1"/>
      </rPr>
      <t xml:space="preserve"> of the University of North Carolina.  Your appointment is to the faculty rank of  </t>
    </r>
  </si>
  <si>
    <t>FACULTY ADM</t>
  </si>
  <si>
    <t xml:space="preserve"> In addition to your faculty appointment, you are hereby offered an appointment as the</t>
  </si>
  <si>
    <t xml:space="preserve"> Your duties in that appointment are described in the position description and are incorporated by reference.</t>
  </si>
  <si>
    <r>
      <t xml:space="preserve">This is to offer you an appointment as a Senior Academic or Administrative </t>
    </r>
    <r>
      <rPr>
        <i/>
        <sz val="12"/>
        <rFont val="Book Antiqua"/>
        <family val="1"/>
      </rPr>
      <t>Officer</t>
    </r>
    <r>
      <rPr>
        <sz val="12"/>
        <rFont val="Book Antiqua"/>
        <family val="1"/>
      </rPr>
      <t xml:space="preserve"> (hereafter SAO) at North Carolina Central University. This offer is tendered subject to the </t>
    </r>
    <r>
      <rPr>
        <i/>
        <sz val="12"/>
        <rFont val="Book Antiqua"/>
        <family val="1"/>
      </rPr>
      <t>Code</t>
    </r>
    <r>
      <rPr>
        <sz val="12"/>
        <rFont val="Book Antiqua"/>
        <family val="1"/>
      </rPr>
      <t xml:space="preserve"> of the University of North Carolina and the Board of Governors of the University of North Carolina regulations on Senior Academic and Administrative Officers as adopted November 14, 1986 and as modified. The position title is</t>
    </r>
  </si>
  <si>
    <t>SAAO</t>
  </si>
  <si>
    <t xml:space="preserve">SAAO Faculty </t>
  </si>
  <si>
    <r>
      <t xml:space="preserve">  Further you are, by this document, offered an appointment to the faculty of North Carolina Central University.  This appointment is subject to the pertinent provisions of the North Carolina Central University Tenure Policies and Regulations and Chapter Six of the </t>
    </r>
    <r>
      <rPr>
        <i/>
        <sz val="12"/>
        <rFont val="Book Antiqua"/>
        <family val="1"/>
      </rPr>
      <t>Code</t>
    </r>
    <r>
      <rPr>
        <sz val="12"/>
        <rFont val="Book Antiqua"/>
        <family val="1"/>
      </rPr>
      <t xml:space="preserve"> of the University of North Carolina.  Your appointment is to the faculty rank of </t>
    </r>
  </si>
  <si>
    <t>Type of Tenure Track Contract</t>
  </si>
  <si>
    <t>Proposed Appointment Type?</t>
  </si>
  <si>
    <t xml:space="preserve">Proposed Rank </t>
  </si>
  <si>
    <t xml:space="preserve">Intro </t>
  </si>
  <si>
    <t>Type of appointment</t>
  </si>
  <si>
    <t>Salary</t>
  </si>
  <si>
    <t>Duties</t>
  </si>
  <si>
    <t xml:space="preserve">General </t>
  </si>
  <si>
    <t>Amount of Release Time (in credit hours)</t>
  </si>
  <si>
    <t>App. Type</t>
  </si>
  <si>
    <t>Rank</t>
  </si>
  <si>
    <t>Administrative/Tenure Status</t>
  </si>
  <si>
    <t xml:space="preserve">Ethnicity </t>
  </si>
  <si>
    <t>General Prospect &amp; Diversity Data</t>
  </si>
  <si>
    <t xml:space="preserve">Etnicity </t>
  </si>
  <si>
    <t>Yes,the prospect is currently employed by another campus in the UNC System</t>
  </si>
  <si>
    <t>Yes, the prospect is currently employed by another State Agency</t>
  </si>
  <si>
    <t>No, not employed with any state entity as an employee</t>
  </si>
  <si>
    <t>Other EPA with Faculty Rank (Tutors,Librarians,Researchers, Coaches, Counselors, etc.)</t>
  </si>
  <si>
    <t>Other EPA at will (Tutors,Librarians,Researchers, Coaches, Counselors, etc.)</t>
  </si>
  <si>
    <t>SAAO II Fixed Term (Asst/Assoc.VC's, Asst/Assoc. Deans, Unit Dir.)</t>
  </si>
  <si>
    <t>Other EPA Fixed Term (Tutors,Librarians,Researchers, Coaches, Counselors, etc.)</t>
  </si>
  <si>
    <t xml:space="preserve">Department of Crime Control and Public Safety,  </t>
  </si>
  <si>
    <t>Education/Teaching of Individuals with Vision Impairments  Including Blindness</t>
  </si>
  <si>
    <t xml:space="preserve">Special Education and Teaching- General </t>
  </si>
  <si>
    <t>Law (LL.B. J.D.)</t>
  </si>
  <si>
    <t>Family and Consumer Sciences/Human Sciences- General</t>
  </si>
  <si>
    <t>English Language and Literature- General</t>
  </si>
  <si>
    <t>Biology/Biological Sciences- General</t>
  </si>
  <si>
    <t>Mathematics- General</t>
  </si>
  <si>
    <t>Health and Physical Education- General</t>
  </si>
  <si>
    <t>Chemistry- General</t>
  </si>
  <si>
    <t>Physics- General</t>
  </si>
  <si>
    <t>Psychology- General</t>
  </si>
  <si>
    <t>Political Science and Government- General</t>
  </si>
  <si>
    <t>Drama and Dramatics/Theatre Arts- General</t>
  </si>
  <si>
    <t>Art/Art Studies- General</t>
  </si>
  <si>
    <t>Music- General</t>
  </si>
  <si>
    <t>Communication Disorders- General</t>
  </si>
  <si>
    <t>Business Administration and Management- General</t>
  </si>
  <si>
    <t>Hospitality Administration/Management- General</t>
  </si>
  <si>
    <t>History- General</t>
  </si>
  <si>
    <t>Instructional Position</t>
  </si>
  <si>
    <t>Lecturer/Visiting Lecturer</t>
  </si>
  <si>
    <t xml:space="preserve">
Comments</t>
  </si>
  <si>
    <t>other</t>
  </si>
  <si>
    <t>Proposed status</t>
  </si>
  <si>
    <t>The replacement is needed because</t>
  </si>
  <si>
    <t>Current Employment</t>
  </si>
  <si>
    <t>begin</t>
  </si>
  <si>
    <t>end</t>
  </si>
  <si>
    <t>January 3,2006</t>
  </si>
  <si>
    <t>July 1 2005</t>
  </si>
  <si>
    <t>faculty</t>
  </si>
  <si>
    <r>
      <t xml:space="preserve">You are, by this document, offered an appointment to the faculty of North Carolina Central University.  This appointment is subject to the pertinent provisions of the North Carolina Central University Tenure Policies and Regulations and Chapter Six of the </t>
    </r>
    <r>
      <rPr>
        <i/>
        <sz val="12"/>
        <rFont val="Book Antiqua"/>
        <family val="1"/>
      </rPr>
      <t>Code</t>
    </r>
    <r>
      <rPr>
        <sz val="12"/>
        <rFont val="Book Antiqua"/>
        <family val="1"/>
      </rPr>
      <t xml:space="preserve"> of the University of North Carolina.  Your appointment is to the faculty rank of </t>
    </r>
  </si>
  <si>
    <t>Punctuation</t>
  </si>
  <si>
    <t xml:space="preserve">North Carolina State University </t>
  </si>
  <si>
    <t>Business</t>
  </si>
  <si>
    <t>Law</t>
  </si>
  <si>
    <t xml:space="preserve">Library and Information Science </t>
  </si>
  <si>
    <t xml:space="preserve">Arts and Sciences </t>
  </si>
  <si>
    <t>Address 1:</t>
  </si>
  <si>
    <t>Address 2:</t>
  </si>
  <si>
    <t xml:space="preserve">State: </t>
  </si>
  <si>
    <t>Zip:</t>
  </si>
  <si>
    <t>Instructor</t>
  </si>
  <si>
    <t>Assistant Professor</t>
  </si>
  <si>
    <t>Associate Professor</t>
  </si>
  <si>
    <t>Adjunct Instructor</t>
  </si>
  <si>
    <t>Adjunct Assistant Professor</t>
  </si>
  <si>
    <t>Adjunct Associate Professor</t>
  </si>
  <si>
    <t>Adjunct Professor</t>
  </si>
  <si>
    <t>Professor</t>
  </si>
  <si>
    <t>Proposed Salary:</t>
  </si>
  <si>
    <t>Contract Period</t>
  </si>
  <si>
    <t>12-Month Appointment</t>
  </si>
  <si>
    <t>Fall Semester Only</t>
  </si>
  <si>
    <t>Spring Semester Only</t>
  </si>
  <si>
    <t>No Faculty Rank</t>
  </si>
  <si>
    <t>Tenure Status</t>
  </si>
  <si>
    <t>Tenured</t>
  </si>
  <si>
    <t>The allowable three year contract</t>
  </si>
  <si>
    <t>First of the allowable 2 one year contracts</t>
  </si>
  <si>
    <t>Second of the allowable 2 one year contracts</t>
  </si>
  <si>
    <t>First of the allowable 2 three year contracts</t>
  </si>
  <si>
    <t>Second of the allowable 2 three year contracts</t>
  </si>
  <si>
    <t>DUAL EMPLOYMENT (Specify the state agency)</t>
  </si>
  <si>
    <t>Faculty: Non-Tenure Track Appointment</t>
  </si>
  <si>
    <t xml:space="preserve">University of North Carolina at Asheville </t>
  </si>
  <si>
    <t xml:space="preserve">University of North Carolina at Chapel Hill </t>
  </si>
  <si>
    <t xml:space="preserve">University of North Carolina at Charlotte </t>
  </si>
  <si>
    <t xml:space="preserve">University of North Carolina at Greensboro </t>
  </si>
  <si>
    <t xml:space="preserve">University of North Carolina at Pembroke </t>
  </si>
  <si>
    <t xml:space="preserve">University of North Carolina at Wilmington </t>
  </si>
  <si>
    <t xml:space="preserve">Western Carolina University </t>
  </si>
  <si>
    <t xml:space="preserve">Winston Salem State University </t>
  </si>
  <si>
    <t>state Agency/UNC</t>
  </si>
  <si>
    <t>Position and Offer Data</t>
  </si>
  <si>
    <t>SAAO II at will (Asst/Assoc.VC's, Asst/Assoc. Deans, Unit Dir.)</t>
  </si>
  <si>
    <t>SAAO I with Faculty Rank (VC's, Deans,Dir. Of Library)</t>
  </si>
  <si>
    <t>SAAO I at will (VC's, Deans,Dir. Of Library)</t>
  </si>
  <si>
    <t>SAAO I Fixed Term (VC's, Deans,Dir. Of Library)</t>
  </si>
  <si>
    <t>State Funds</t>
  </si>
  <si>
    <t>Grant Funds</t>
  </si>
  <si>
    <t>9 month Academic Year Appointment</t>
  </si>
  <si>
    <t>contract period</t>
  </si>
  <si>
    <t>source of funds</t>
  </si>
  <si>
    <t>Adm. Or research duties</t>
  </si>
  <si>
    <t>Type of tenure track contract</t>
  </si>
  <si>
    <t xml:space="preserve">Funding </t>
  </si>
  <si>
    <t>Benf.</t>
  </si>
  <si>
    <t xml:space="preserve">Determining Options (in E recommend) </t>
  </si>
  <si>
    <t>type of appt</t>
  </si>
  <si>
    <t>Visiting Instructor</t>
  </si>
  <si>
    <t>Visiting Assistant Professor</t>
  </si>
  <si>
    <t>Visiting Professor</t>
  </si>
  <si>
    <t>Visiting Associate Professor</t>
  </si>
  <si>
    <t>Proposed rank</t>
  </si>
  <si>
    <t>10-Month Appointment</t>
  </si>
  <si>
    <t>EPA</t>
  </si>
  <si>
    <t>I1</t>
  </si>
  <si>
    <t>Vet status</t>
  </si>
  <si>
    <t xml:space="preserve">disable </t>
  </si>
  <si>
    <t>Clinical Instructor</t>
  </si>
  <si>
    <t xml:space="preserve">Type of Appointment </t>
  </si>
  <si>
    <t>Teaching Assignment</t>
  </si>
  <si>
    <t>Course Number</t>
  </si>
  <si>
    <t>Credit Hours</t>
  </si>
  <si>
    <t>CIP Code for Depart.</t>
  </si>
  <si>
    <t xml:space="preserve">          </t>
  </si>
  <si>
    <t xml:space="preserve">      </t>
  </si>
  <si>
    <t xml:space="preserve">     </t>
  </si>
  <si>
    <t xml:space="preserve">             </t>
  </si>
  <si>
    <t xml:space="preserve">    </t>
  </si>
  <si>
    <t xml:space="preserve">   </t>
  </si>
  <si>
    <t xml:space="preserve">            </t>
  </si>
  <si>
    <t xml:space="preserve">Tenured Faculty </t>
  </si>
  <si>
    <t>Tenure Track Faculty - Probationary Appointment</t>
  </si>
  <si>
    <t>Codes</t>
  </si>
  <si>
    <t>9m</t>
  </si>
  <si>
    <t>10m</t>
  </si>
  <si>
    <t>11m</t>
  </si>
  <si>
    <t>12m</t>
  </si>
  <si>
    <t>Fall</t>
  </si>
  <si>
    <t>Spring</t>
  </si>
  <si>
    <t>NO</t>
  </si>
  <si>
    <t>YES</t>
  </si>
  <si>
    <t>Fiscal 12-Month Appointment</t>
  </si>
  <si>
    <t xml:space="preserve">TENURE AND NON TRACK faculty </t>
  </si>
  <si>
    <t>INSTRUCTORSPROB.</t>
  </si>
  <si>
    <t>Chair/Director</t>
  </si>
  <si>
    <t xml:space="preserve">State agency/university </t>
  </si>
  <si>
    <t xml:space="preserve">Department of Administration,  </t>
  </si>
  <si>
    <t xml:space="preserve">N.C. Board of Ethics </t>
  </si>
  <si>
    <t xml:space="preserve">Office of Administrative Hearings,  </t>
  </si>
  <si>
    <t xml:space="preserve">Department of Agriculture and Consumer Services </t>
  </si>
  <si>
    <t xml:space="preserve">Office of the State Auditor,  </t>
  </si>
  <si>
    <t xml:space="preserve">Department of Commerce,  </t>
  </si>
  <si>
    <t xml:space="preserve">Office of the State Controller,  </t>
  </si>
  <si>
    <t xml:space="preserve">Department of Correction,  </t>
  </si>
  <si>
    <t>Replacement for a Regular Faculty member on Leave</t>
  </si>
  <si>
    <t xml:space="preserve">Department of Cultural Resources,  </t>
  </si>
  <si>
    <t xml:space="preserve">Department of Environment and Natural Resources,   </t>
  </si>
  <si>
    <t xml:space="preserve">Office of the Governor,  </t>
  </si>
  <si>
    <t xml:space="preserve">Office of State Budget and Management, </t>
  </si>
  <si>
    <t xml:space="preserve">Office of Information Technology Services,  </t>
  </si>
  <si>
    <t xml:space="preserve">Health and Wellness Commission </t>
  </si>
  <si>
    <t xml:space="preserve">Department of Health and Human Services,  </t>
  </si>
  <si>
    <t xml:space="preserve">Department of Insurance,  </t>
  </si>
  <si>
    <t xml:space="preserve">Department of Justice,  </t>
  </si>
  <si>
    <t>Research Position</t>
  </si>
  <si>
    <t>Date</t>
  </si>
  <si>
    <t>Comptroller</t>
  </si>
  <si>
    <t>Source of Funds</t>
  </si>
  <si>
    <t xml:space="preserve">Adjunct Preceptor </t>
  </si>
  <si>
    <t>middle initial</t>
  </si>
  <si>
    <t>Middle Initial</t>
  </si>
  <si>
    <t>Name &amp; Title of Prospective Employee:</t>
  </si>
  <si>
    <t>next fiscal year</t>
  </si>
  <si>
    <t xml:space="preserve">Office of the Lieutenant Governor,  </t>
  </si>
  <si>
    <t xml:space="preserve">North Carolina Center for Nursing </t>
  </si>
  <si>
    <t xml:space="preserve">North Carolina Community Colleges </t>
  </si>
  <si>
    <t xml:space="preserve">Office of State Personnel,  </t>
  </si>
  <si>
    <t xml:space="preserve">Department of Public Instruction,  </t>
  </si>
  <si>
    <t xml:space="preserve">Department of Revenue,  </t>
  </si>
  <si>
    <t>SAAO II with Faculty Rank (Asst/Assoc.VC's, Asst/Assoc. Deans, Unit Dir.)</t>
  </si>
  <si>
    <t xml:space="preserve">Elizabeth City State University </t>
  </si>
  <si>
    <t xml:space="preserve">Fayetteville State University </t>
  </si>
  <si>
    <t xml:space="preserve">North Carolina Agricultural and Technical State University </t>
  </si>
  <si>
    <t xml:space="preserve">North Carolina Central University </t>
  </si>
  <si>
    <t xml:space="preserve">North Carolina School of the Arts </t>
  </si>
  <si>
    <t xml:space="preserve">Department of Juvenile Justice and Delinquency Prevention,  </t>
  </si>
  <si>
    <t xml:space="preserve">Department of Labor,  </t>
  </si>
  <si>
    <t xml:space="preserve">Department of the Secretary of State,  </t>
  </si>
  <si>
    <t xml:space="preserve">State Board of Elections </t>
  </si>
  <si>
    <t xml:space="preserve">State Health Plan </t>
  </si>
  <si>
    <t xml:space="preserve">Department of Transportation,  </t>
  </si>
  <si>
    <t xml:space="preserve">Department of the State Treasurer  </t>
  </si>
  <si>
    <t xml:space="preserve">North Carolina General Assembly </t>
  </si>
  <si>
    <t>Administrative Office of the Courts</t>
  </si>
  <si>
    <t xml:space="preserve">Appalachian State University </t>
  </si>
  <si>
    <t xml:space="preserve">East Carolina University </t>
  </si>
  <si>
    <t>Veteran:</t>
  </si>
  <si>
    <t>Disabled:</t>
  </si>
  <si>
    <t>School</t>
  </si>
  <si>
    <t>Education</t>
  </si>
  <si>
    <t>Total Salary</t>
  </si>
  <si>
    <t>Year</t>
  </si>
  <si>
    <t>Percent Increase</t>
  </si>
  <si>
    <t xml:space="preserve">Rank </t>
  </si>
  <si>
    <t>Track</t>
  </si>
  <si>
    <t xml:space="preserve">Title </t>
  </si>
  <si>
    <t xml:space="preserve">Department: </t>
  </si>
  <si>
    <t xml:space="preserve"> </t>
  </si>
  <si>
    <t>SS# :</t>
  </si>
  <si>
    <t>Date of Birth:</t>
  </si>
  <si>
    <t>mm/dd/yy</t>
  </si>
  <si>
    <t>Gender</t>
  </si>
  <si>
    <t>Female</t>
  </si>
  <si>
    <t>Male</t>
  </si>
  <si>
    <t>Gender:</t>
  </si>
  <si>
    <t>Ethnic Origin</t>
  </si>
  <si>
    <t>White Not Hispanic or Latino</t>
  </si>
  <si>
    <t>White Hispanic or Latino</t>
  </si>
  <si>
    <t>Race</t>
  </si>
  <si>
    <t>Black or African American not Hispanic or Latino</t>
  </si>
  <si>
    <t>Asian not Hispanic or Latino</t>
  </si>
  <si>
    <t>Native Hawaiian or Other Pacific Islander not Hispanic or Latino</t>
  </si>
  <si>
    <t>American Indian or Alaska Native not Hispanic or Latino</t>
  </si>
  <si>
    <t>Admin Stipend</t>
  </si>
  <si>
    <t>CONTRACT PERIOD</t>
  </si>
  <si>
    <t>FULL TIME</t>
  </si>
  <si>
    <t>BENEFITS</t>
  </si>
  <si>
    <t>Faculty: Temporary/Fixed Term Appointment</t>
  </si>
  <si>
    <t>Faculty: Permanent Tenure</t>
  </si>
  <si>
    <t>Faculty: Probationary Tenure Track Appointment</t>
  </si>
  <si>
    <t>Faculty: Part-Time Appointment Only</t>
  </si>
  <si>
    <t xml:space="preserve">Part-Time EPA Non-Faculty </t>
  </si>
  <si>
    <t xml:space="preserve">Position Number </t>
  </si>
  <si>
    <t>Amount</t>
  </si>
  <si>
    <t xml:space="preserve">Percentage of Time </t>
  </si>
  <si>
    <t xml:space="preserve">Total </t>
  </si>
  <si>
    <t xml:space="preserve">Research </t>
  </si>
  <si>
    <t>11-Month Appointment</t>
  </si>
  <si>
    <t>Artists/Writers in Residence</t>
  </si>
  <si>
    <t>Adjunct Lecturer</t>
  </si>
  <si>
    <t>Faculty Preceptor</t>
  </si>
  <si>
    <t>Instructor/Tutor/Counselor</t>
  </si>
  <si>
    <t>Research Assistant Professor</t>
  </si>
  <si>
    <t>Research Associate Professor</t>
  </si>
  <si>
    <t>Research Professor</t>
  </si>
  <si>
    <t>Administrative Duties</t>
  </si>
  <si>
    <t xml:space="preserve">Coach/Assistant Coach </t>
  </si>
  <si>
    <t>Project/Grant Title and Number</t>
  </si>
  <si>
    <t>Employment Period</t>
  </si>
  <si>
    <t xml:space="preserve">to </t>
  </si>
  <si>
    <t>If Administrative or Research, Proposed Title?</t>
  </si>
  <si>
    <t>Non-Tenure Track Faculty</t>
  </si>
  <si>
    <t>Budget Data</t>
  </si>
  <si>
    <t>At Will</t>
  </si>
  <si>
    <t>State and Grant Funds</t>
  </si>
  <si>
    <t>Administrative Position</t>
  </si>
  <si>
    <t>Visiting/Adjunct Instructor</t>
  </si>
  <si>
    <t>Clinical Professor</t>
  </si>
  <si>
    <t>Clinical Associate Professor</t>
  </si>
  <si>
    <t>Clinical Assistant Professor</t>
  </si>
  <si>
    <t>Geology/Earth Science</t>
  </si>
  <si>
    <t>Criminal Justice/Law Enforcement Administration</t>
  </si>
  <si>
    <t>Criminal Justice/Safety Studies</t>
  </si>
  <si>
    <t>Public Administration</t>
  </si>
  <si>
    <t>Social Work</t>
  </si>
  <si>
    <t>Geography</t>
  </si>
  <si>
    <t>Sociology</t>
  </si>
  <si>
    <t>Jazz/Jazz Studies (NEW)</t>
  </si>
  <si>
    <t>Athletic Training/Trainer</t>
  </si>
  <si>
    <t>Public Health Education and Promotion</t>
  </si>
  <si>
    <t>Therapeutic Recreation/Recreational Therapy</t>
  </si>
  <si>
    <t>Accounting</t>
  </si>
  <si>
    <t>email to : epaservices@nccu.edu</t>
  </si>
  <si>
    <t>Duration of Project/Grant</t>
  </si>
  <si>
    <t xml:space="preserve">Reason for Release Time </t>
  </si>
  <si>
    <t xml:space="preserve">A replacement position </t>
  </si>
  <si>
    <t xml:space="preserve">email </t>
  </si>
  <si>
    <t xml:space="preserve">Telephone (primary): </t>
  </si>
  <si>
    <t xml:space="preserve">Telephone (other): </t>
  </si>
  <si>
    <t>Email:</t>
  </si>
  <si>
    <t xml:space="preserve">Not Applicable </t>
  </si>
  <si>
    <t xml:space="preserve">Days for Benefits </t>
  </si>
  <si>
    <t>Beginning Date</t>
  </si>
  <si>
    <t>End Date</t>
  </si>
  <si>
    <t xml:space="preserve">Hours to teach </t>
  </si>
  <si>
    <t xml:space="preserve">Not applicable </t>
  </si>
  <si>
    <t>Visiting/Adjunct Professor</t>
  </si>
  <si>
    <t>Visiting/Adjunct Associate Professor</t>
  </si>
  <si>
    <t>Visiting/Adjunct Assistant Professor</t>
  </si>
  <si>
    <t xml:space="preserve">Other (please specify) </t>
  </si>
  <si>
    <t>Total</t>
  </si>
  <si>
    <t>The incumbent resigned</t>
  </si>
  <si>
    <t>The incumbent is on leave</t>
  </si>
  <si>
    <t>The incumbent has retired</t>
  </si>
  <si>
    <t>The incumbent has been released</t>
  </si>
  <si>
    <t>The incumbent has been transferred</t>
  </si>
  <si>
    <t xml:space="preserve">A new position </t>
  </si>
  <si>
    <t>CIP Code</t>
  </si>
  <si>
    <t>release</t>
  </si>
  <si>
    <t>benefit f56</t>
  </si>
  <si>
    <t>Unknown</t>
  </si>
  <si>
    <t>030104</t>
  </si>
  <si>
    <t>Environmental Science (NEW)</t>
  </si>
  <si>
    <t>090102</t>
  </si>
  <si>
    <t>Mass Communication/ Media Studies</t>
  </si>
  <si>
    <t>Information Science/Studies</t>
  </si>
  <si>
    <t>Computer Science</t>
  </si>
  <si>
    <t xml:space="preserve">Curriculum and Instruction </t>
  </si>
  <si>
    <t>Secondary School Administration/Principalship (NEW)</t>
  </si>
  <si>
    <t xml:space="preserve">Educational/Instructional Media Design </t>
  </si>
  <si>
    <t>Education/Teaching of Individuals with Emotional Disturbances</t>
  </si>
  <si>
    <t>Education/Teaching of Individuals with Mental Retardation</t>
  </si>
  <si>
    <t>Education/Teaching of Individuals with Specific Learning Disabilities</t>
  </si>
  <si>
    <t>Counselor Education/School Counseling and Guidance Services</t>
  </si>
  <si>
    <t>Senior Academic and Administrative Officer</t>
  </si>
  <si>
    <t xml:space="preserve">EPA Non-Faculty </t>
  </si>
  <si>
    <t xml:space="preserve">Graduate Student Assistant </t>
  </si>
  <si>
    <t>ID</t>
  </si>
  <si>
    <t>Pos #</t>
  </si>
  <si>
    <t>First Name</t>
  </si>
  <si>
    <t>Last Name</t>
  </si>
  <si>
    <t>Prevailing Salary</t>
  </si>
  <si>
    <t>Merit</t>
  </si>
  <si>
    <t>Tag</t>
  </si>
  <si>
    <t>SS#</t>
  </si>
  <si>
    <t>Salutation</t>
  </si>
  <si>
    <t>FTE</t>
  </si>
  <si>
    <t>Department</t>
  </si>
  <si>
    <t>School/College</t>
  </si>
  <si>
    <t>Address 1</t>
  </si>
  <si>
    <t>Address 2</t>
  </si>
  <si>
    <t>City</t>
  </si>
  <si>
    <t>State</t>
  </si>
  <si>
    <t>PIN</t>
  </si>
  <si>
    <t>Mandated Raise</t>
  </si>
  <si>
    <t>Equity</t>
  </si>
  <si>
    <t>Promotion</t>
  </si>
  <si>
    <t>Stipend</t>
  </si>
  <si>
    <t>Other</t>
  </si>
  <si>
    <t>D3</t>
  </si>
  <si>
    <t xml:space="preserve">As the Departmental Chair or a Program Director, the duties of your position are contained within the job description and policies as they exist or may be modified.  Those documents are incorporated by reference herein. </t>
  </si>
  <si>
    <t xml:space="preserve">                                 </t>
  </si>
  <si>
    <t>FACULTY ADM DUTY</t>
  </si>
  <si>
    <t>ADM DUTY</t>
  </si>
  <si>
    <t>FACULTY DUTY</t>
  </si>
  <si>
    <t>With regards to your faculty appointment, this is a probationary appointment for a       academic year period.  This appointment constitutes the      of the allowable      year terms for your tenure track rank.  With regards to your administrative, instructional or research appointment, this position is categorized as employment at will.  The continuation of this portion of your appointment is subject discontinuation at anytime at the discretion of the Chancellor.</t>
  </si>
  <si>
    <t xml:space="preserve">Complete CLAUSE SALARY </t>
  </si>
  <si>
    <t>Main Salary</t>
  </si>
  <si>
    <t>Grant</t>
  </si>
  <si>
    <t>Complete duties</t>
  </si>
  <si>
    <t>P1</t>
  </si>
  <si>
    <t>P2</t>
  </si>
  <si>
    <t>P3</t>
  </si>
  <si>
    <t>P4</t>
  </si>
  <si>
    <t>P41</t>
  </si>
  <si>
    <t>P5</t>
  </si>
  <si>
    <t>I2</t>
  </si>
  <si>
    <t>I3</t>
  </si>
  <si>
    <t>I4</t>
  </si>
  <si>
    <t>I5</t>
  </si>
  <si>
    <t>I6</t>
  </si>
  <si>
    <t>I7</t>
  </si>
  <si>
    <t>TEN</t>
  </si>
  <si>
    <t>AW1</t>
  </si>
  <si>
    <t>FT1</t>
  </si>
  <si>
    <t>FT2</t>
  </si>
  <si>
    <t>FT3</t>
  </si>
  <si>
    <t>FT4</t>
  </si>
  <si>
    <t>FT5</t>
  </si>
  <si>
    <t>TEN2</t>
  </si>
  <si>
    <t>NON TENURE</t>
  </si>
  <si>
    <t>PROBTIOARY AND TENURE</t>
  </si>
  <si>
    <t>TEN3</t>
  </si>
  <si>
    <t>Principal Investigator</t>
  </si>
  <si>
    <t>Dean</t>
  </si>
  <si>
    <t>Provost/Vice Chancellor</t>
  </si>
  <si>
    <t>Contract Clauses</t>
  </si>
  <si>
    <t>TENURE</t>
  </si>
  <si>
    <t>College Student Counseling and Personnel Services</t>
  </si>
  <si>
    <t>Elementary Education and Teaching</t>
  </si>
  <si>
    <t>Junior High/Intermediate/Middle School Education and Teaching</t>
  </si>
  <si>
    <t>Kindergarten/PreSchool Education and Teaching (NEW)</t>
  </si>
  <si>
    <t>Art Teacher Education</t>
  </si>
  <si>
    <t>English/Language Arts Teacher Education</t>
  </si>
  <si>
    <t>Health Teacher Education</t>
  </si>
  <si>
    <t>Family and Consumer Sciences/Home Economics Teacher Education</t>
  </si>
  <si>
    <t xml:space="preserve">Mathematics Teacher Education </t>
  </si>
  <si>
    <t>Music Teacher Education</t>
  </si>
  <si>
    <t>Physical Education Teaching and Coaching</t>
  </si>
  <si>
    <t>Biology Teacher Education</t>
  </si>
  <si>
    <t>Chemistry Teacher Education</t>
  </si>
  <si>
    <t>Drama and Dance Teacher Education</t>
  </si>
  <si>
    <t>French Language Teacher Education</t>
  </si>
  <si>
    <t xml:space="preserve">History Teacher Education </t>
  </si>
  <si>
    <t>Physics Teacher Education</t>
  </si>
  <si>
    <t>Spanish Language Teacher Education</t>
  </si>
  <si>
    <t>French Language and Literature</t>
  </si>
  <si>
    <t>Spanish Language and Literature</t>
  </si>
  <si>
    <t>Library Science/Librarianship</t>
  </si>
  <si>
    <r>
      <t xml:space="preserve">This contract is governed by the pertinent provisions of the North Carolina Central University Tenure Policies and Regulations, Chapter Six of the </t>
    </r>
    <r>
      <rPr>
        <i/>
        <sz val="12"/>
        <rFont val="Book Antiqua"/>
        <family val="1"/>
      </rPr>
      <t>Code</t>
    </r>
    <r>
      <rPr>
        <sz val="12"/>
        <rFont val="Book Antiqua"/>
        <family val="1"/>
      </rPr>
      <t xml:space="preserve"> of The University of North Carolina and the Patent and Copyright Policies of North Carolina Central University.  </t>
    </r>
  </si>
  <si>
    <r>
      <t xml:space="preserve">This is to offer you an appointment as a Senior Academic or Administrative Officer (hereafter SAO) at North Carolina Central University. This offer is tendered subject to the </t>
    </r>
    <r>
      <rPr>
        <i/>
        <sz val="12"/>
        <rFont val="Book Antiqua"/>
        <family val="1"/>
      </rPr>
      <t>Code</t>
    </r>
    <r>
      <rPr>
        <sz val="12"/>
        <rFont val="Book Antiqua"/>
        <family val="1"/>
      </rPr>
      <t xml:space="preserve"> of the University of North Carolina and the Board of Governors of the University of North Carolina regulations on Senior Academic and Administrative Officers as adopted November 14, 1986 and as modified. These policies shall determine the terms and conditions of employment particularly</t>
    </r>
    <r>
      <rPr>
        <b/>
        <sz val="12"/>
        <rFont val="Book Antiqua"/>
        <family val="1"/>
      </rPr>
      <t xml:space="preserve"> </t>
    </r>
    <r>
      <rPr>
        <sz val="12"/>
        <rFont val="Book Antiqua"/>
        <family val="1"/>
      </rPr>
      <t xml:space="preserve">in the event there is a conflict that is not addressed in this document. The position title is  </t>
    </r>
  </si>
  <si>
    <t>LEAVE</t>
  </si>
  <si>
    <t>D5</t>
  </si>
  <si>
    <t xml:space="preserve">Your primary duty will be teaching, but you will also be expected to advise students and participate in the normal functioning of your Department and School.  This means that, among other responsibilities, you will be expected to participate in the Faculty Institute, all University convocations and commencement ceremonies.  In addition you shall evaluate and grade students' in a timely manner and maintain regularly scheduled office hours in order to advise and assist students.   </t>
  </si>
  <si>
    <t>D6</t>
  </si>
  <si>
    <t xml:space="preserve">Your primary duty will be teaching, but you will also be expected to participate in some of the normal functioning of your Department and School for non-tenure track faculty.  </t>
  </si>
  <si>
    <t>As a member of the faculty you will also be expected to advise students and participate in the normal functioning of your Department and School.  This means that, among other responsibilities, you will be expected to participate in the Faculty Institute, all University convocations and commencement ceremonies.  In addition you shall evaluate and grade students' in a timely manner and maintain regularly scheduled office hours in order to advise and assist students.</t>
  </si>
  <si>
    <t>ADD DUTIES</t>
  </si>
  <si>
    <t>DUTTON, MARILYN M</t>
  </si>
  <si>
    <t>EASLEY, MARY P</t>
  </si>
  <si>
    <t>EATON, SHERRY COLE</t>
  </si>
  <si>
    <t>EATON, TYRONE</t>
  </si>
  <si>
    <t>ECTOR, VICTORIA R</t>
  </si>
  <si>
    <t>EDGERTON, SUSAN L</t>
  </si>
  <si>
    <t>EDMISTON, ELIZABET</t>
  </si>
  <si>
    <t>EDMONDS, ANN J</t>
  </si>
  <si>
    <t>ELLERBE, JAMES L</t>
  </si>
  <si>
    <t>ELLIOTT, JEFFREY M</t>
  </si>
  <si>
    <t>ELLIS, JOYCE</t>
  </si>
  <si>
    <t>EPPS, JAMES</t>
  </si>
  <si>
    <t>ERNST, JANIS</t>
  </si>
  <si>
    <t>ESTEP, ERICA E</t>
  </si>
  <si>
    <t>EVANS, BEVERLY S</t>
  </si>
  <si>
    <t>EVANS, THOMAS G</t>
  </si>
  <si>
    <t>NO BENEFITS</t>
  </si>
  <si>
    <t xml:space="preserve">Consistent with the applicable provisions of the Administrative Code and the law of the state of North Carolina, this position includes eligibility for the State Health Plan, an employer supported retirement plan as well as other supplemental benefits. </t>
  </si>
  <si>
    <t xml:space="preserve">Consistent with the applicable provisions of the Administrative Code and the law of the state of North Carolina, this position includes eligibility for the State Health Plan, an employer supported retirement plan as well as other supplemental benefits.   In accordance with the policies of the Board of Governors of the University of North Carolina, you may be eligible for leave including annual leave, sick leave, University Holidays and Family and Medical Leave. </t>
  </si>
  <si>
    <t xml:space="preserve">Consistent with the applicable provisions of Administrative Code and the law of the state of North Carolina, this position is not eligibility for benefits. </t>
  </si>
  <si>
    <t>Offer of Contract</t>
  </si>
  <si>
    <t>STATE APPROPRIATIONS</t>
  </si>
  <si>
    <t xml:space="preserve">The signature below indicates acceptance of the terms of the contract. </t>
  </si>
  <si>
    <t xml:space="preserve">Date </t>
  </si>
  <si>
    <t>The expectations inherent in the employment of non-tenure track faculty at the University include satisfactory completion of the requisite formal education, demonstration of professional competence, display of developed collegiality, the evaluation and grading of students in a timely manner, and the maintenance of student conference hours in order to discuss with students grade appeals or provide advise on other academic issues.</t>
  </si>
  <si>
    <t>ALSTON III, JOHNNY</t>
  </si>
  <si>
    <t xml:space="preserve">ANSPAUGH, SHERYL     </t>
  </si>
  <si>
    <t>APPLEGATE, KATHEIN</t>
  </si>
  <si>
    <t>ASBERRY, DARRELL R</t>
  </si>
  <si>
    <t>AWUMEY, EMMANUEL M</t>
  </si>
  <si>
    <t>BACON, ELLEN H</t>
  </si>
  <si>
    <t>BAILEY, CANDACE L</t>
  </si>
  <si>
    <t>BAILEY, EDRINA</t>
  </si>
  <si>
    <t>BAINES, TYRONE R</t>
  </si>
  <si>
    <t>BALDWIN, ETTA</t>
  </si>
  <si>
    <t>BALLARD, ROBERT M</t>
  </si>
  <si>
    <t>BANERJEE, SUMANA</t>
  </si>
  <si>
    <t>BANKS, JOY</t>
  </si>
  <si>
    <t xml:space="preserve">APPLEGATE, KATHERI     </t>
  </si>
  <si>
    <t>BANKS, RICHARD</t>
  </si>
  <si>
    <t>BANKS, YOLANDA PATR</t>
  </si>
  <si>
    <t>BARNAS, TIFFANY</t>
  </si>
  <si>
    <t>BARNES, TAMIKA</t>
  </si>
  <si>
    <t>BARNETT, ALBERT P</t>
  </si>
  <si>
    <t>BATTLE, JOSEPH</t>
  </si>
  <si>
    <t>BECKWITH, JAMES P</t>
  </si>
  <si>
    <t>BELFON, SHEILA M</t>
  </si>
  <si>
    <t>BELL-LUCAS, SARAH</t>
  </si>
  <si>
    <t>BENTON, CRAIG M</t>
  </si>
  <si>
    <t>BILLINGSLEY, KATRI</t>
  </si>
  <si>
    <t>BLACK, JAMES C</t>
  </si>
  <si>
    <t>BOCKTING, MARGARET</t>
  </si>
  <si>
    <t>BONDAREV, IGOR</t>
  </si>
  <si>
    <t>BORDEN, PAULA D</t>
  </si>
  <si>
    <t>BOULWARE, KIENUS P</t>
  </si>
  <si>
    <t>BOUYER, DEANNA</t>
  </si>
  <si>
    <t>BOWDEN, JAMES W</t>
  </si>
  <si>
    <t>BOWEN, CHARLES E</t>
  </si>
  <si>
    <t>BOWEN, KRISTEN</t>
  </si>
  <si>
    <t>BOWLING, LEWIS D</t>
  </si>
  <si>
    <t>BOWMAN, LUISA</t>
  </si>
  <si>
    <t>BOWMAN-MEDHIN, CHE</t>
  </si>
  <si>
    <t>BRACY, PAULETTA B</t>
  </si>
  <si>
    <t>BRADSHAW, MARCIA</t>
  </si>
  <si>
    <t>BRADY, GARY M</t>
  </si>
  <si>
    <t>BRATTS, JEANNINE W</t>
  </si>
  <si>
    <t>CABUKOGLU, SERAFET</t>
  </si>
  <si>
    <t>CARL, LISA A</t>
  </si>
  <si>
    <t>CAROO, AGATHA</t>
  </si>
  <si>
    <t>CARVER, FRANKLIN B</t>
  </si>
  <si>
    <t>CARVER, MELVIN J</t>
  </si>
  <si>
    <t>CATSALIS, MARIE L</t>
  </si>
  <si>
    <t>CHAMBERS, BRETT</t>
  </si>
  <si>
    <t>CHAPMAN JR, ROBERT</t>
  </si>
  <si>
    <t>CHIANG, CHIICHAO C</t>
  </si>
  <si>
    <t>CHICQUOR, ISABEL</t>
  </si>
  <si>
    <t>CHILDS, RANDAL V</t>
  </si>
  <si>
    <t>CHO, YOUNGIL</t>
  </si>
  <si>
    <t>CLAMP, JOHN C</t>
  </si>
  <si>
    <t>CLARK, VERNON</t>
  </si>
  <si>
    <t>CLEMONS, CHERESA</t>
  </si>
  <si>
    <t>CLEMONS, KAWACHI</t>
  </si>
  <si>
    <t>CLIETTE, GEORGE E</t>
  </si>
  <si>
    <t>CLIFT-PELLOW, ARLE</t>
  </si>
  <si>
    <t xml:space="preserve">BRIDGES, SHEILA J   </t>
  </si>
  <si>
    <t xml:space="preserve">BRINSON, LESLIE C  </t>
  </si>
  <si>
    <t xml:space="preserve">BROADWAY, RODERICK </t>
  </si>
  <si>
    <t xml:space="preserve">BROBST, JENNIFER A  </t>
  </si>
  <si>
    <t xml:space="preserve">BROOKS, JAMES BYRON </t>
  </si>
  <si>
    <t xml:space="preserve">BRYANT, BEVERLY A   </t>
  </si>
  <si>
    <t xml:space="preserve">BURGIN, ROBERT E    </t>
  </si>
  <si>
    <t>COGDELL, KIMBERLY</t>
  </si>
  <si>
    <t>COLLINS, ALFREDIA</t>
  </si>
  <si>
    <t>COVINGTON, CHRISTI</t>
  </si>
  <si>
    <t>CRAIG-TAYLOR, PHYL</t>
  </si>
  <si>
    <t>CRAWFORD-TURNER, A</t>
  </si>
  <si>
    <t>CREECY, ROBERT F</t>
  </si>
  <si>
    <t>CROWE III, BENJAMI</t>
  </si>
  <si>
    <t>CUTLER, KENNETH A</t>
  </si>
  <si>
    <t>DACONS-BROCK, KARE</t>
  </si>
  <si>
    <t>DAVIES, JAMES CHARL</t>
  </si>
  <si>
    <t>DAVIS, SANDRA E</t>
  </si>
  <si>
    <t>DEBELA, ACHAMELEH</t>
  </si>
  <si>
    <t>DELAUDER, SAUNDRA F</t>
  </si>
  <si>
    <t>DEPYSSLER, BRUCE</t>
  </si>
  <si>
    <t>DICKERSON, HENRY P</t>
  </si>
  <si>
    <t>DOUGLAS, RONALD S</t>
  </si>
  <si>
    <t>DOXEY, TIA M</t>
  </si>
  <si>
    <t>DRAPER, THORNTON</t>
  </si>
  <si>
    <t>DUTTA, GOURI S</t>
  </si>
  <si>
    <t>DUTTA, JYOTSNA M</t>
  </si>
  <si>
    <r>
      <t xml:space="preserve">Your faculty appointment is conferred with Permanent Tenure.  Thus your faculty services will commence on August 11, 2005 and continues consistent with the provisions of the NCCU Tenure Policies and Regulations and Chapter Six of the </t>
    </r>
    <r>
      <rPr>
        <i/>
        <sz val="12"/>
        <rFont val="Book Antiqua"/>
        <family val="1"/>
      </rPr>
      <t>Code</t>
    </r>
    <r>
      <rPr>
        <sz val="12"/>
        <rFont val="Book Antiqua"/>
        <family val="1"/>
      </rPr>
      <t xml:space="preserve"> of the University of North Carolina.  The conferral of permanent tenure grants to members of the faculty a continuing faculty contract.  The period of service for tenured faculty is each academic year, which is generally defined in practices as commencing on the date of the Faculty Institute and ending the Friday next following the commencement ceremony in May for the academic year.</t>
    </r>
  </si>
  <si>
    <t xml:space="preserve">Your employment shall commence on   </t>
  </si>
  <si>
    <t xml:space="preserve"> This position is categorized as employment at will and is subject to discontinuation at anytime at the discretion of the Chancellor.  </t>
  </si>
  <si>
    <t>This is a non-tenure track appointment for a fixed term of one fiscal year.  The period covered by this appointment will be from July 1, 2005 to June 30, 2006</t>
  </si>
  <si>
    <t xml:space="preserve">This is a non-tenure track appointment for a fixed term of one academic year.  The period covered by this appointment will be from August 11, 2005 to May 12, 2006.   </t>
  </si>
  <si>
    <t>This is a non-tenure track appointment for the Fall academic semester.  The period covered by this appointment will be from August 11, 2005 to December 22, 2005.</t>
  </si>
  <si>
    <t xml:space="preserve">This is a non-tenure track appointment for Spring academic semester.  The period covered by this appointment will be from January 3, 2006 to the Friday next following the commencement ceremony in May 12, 2006.   </t>
  </si>
  <si>
    <t>This appointment is for a fixed term. The period of service covered by this appointment will commence on        and end on      .</t>
  </si>
  <si>
    <t>ABOU-CHACRA, RANIM</t>
  </si>
  <si>
    <t>ABRAHAM, SOLOMON</t>
  </si>
  <si>
    <t>AICHER JR, JOSEPH R</t>
  </si>
  <si>
    <t>ALEXANDER, PEGGY W</t>
  </si>
  <si>
    <t>ALLEN, BEVERLY J</t>
  </si>
  <si>
    <t>ALLEN, EDWARD N</t>
  </si>
  <si>
    <t xml:space="preserve">Regarding your teaching duty you will also be expected to advise students and participate in the normal functioning of your Department and School.  This means that, among other responsibilities, you will be expected to participate in the Faculty Institute, all University convocations and commencement ceremonies.  In addition you shall evaluate and grade students' in a timely manner and maintain regularly scheduled office hours in order to advise and assist students.   The normal class load is 12 credit hours per semester, and classes may be scheduled in the evenings and on the weekends. However, in recognition of your other duties, the number of course hours will vary. </t>
  </si>
  <si>
    <t xml:space="preserve">The normal class load is 12 credit hours per semester, and classes may be scheduled in the evenings and on the weekends.    </t>
  </si>
  <si>
    <t>The normal class load is 12 credit hours per semester, and classes may be scheduled in the evenings and on the weekends.   In consideration of the additional responsibilities as Chairs/Director of an academic department or program, the university hereby reduces your faculty workload by six (6) credit hours.  This reduction shall remain in effect for the duration of this contract period except in the event that the duties of Chairs/Director are voluntarily or involuntarily removed from your responsibility.</t>
  </si>
  <si>
    <t xml:space="preserve">Thus your faculty service continues consistent with the provisions of the NCCU Tenure Policies and Regulations and Chapter Six of the Code of the University of North Carolina.  </t>
  </si>
  <si>
    <t>This is a probationary appointment for a three (3) academic year period.  This appointment constitutes the allowable three-year term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the Friday next following the commencement ceremony in May 2008.</t>
  </si>
  <si>
    <r>
      <t xml:space="preserve">Your faculty appointment is conferred with Permanent Tenure.  Thus your faculty services will commence on August 11, 2005 and continues consistent with the provisions of the NCCU Tenure Policies and Regulations and Chapter Six of the </t>
    </r>
    <r>
      <rPr>
        <i/>
        <sz val="12"/>
        <rFont val="Book Antiqua"/>
        <family val="1"/>
      </rPr>
      <t>Code</t>
    </r>
    <r>
      <rPr>
        <sz val="12"/>
        <rFont val="Book Antiqua"/>
        <family val="1"/>
      </rPr>
      <t xml:space="preserve"> of the University of North Carolina.  The conferral of permanent tenure grants to members of the faculty a continuing faculty contract.  The period of service for tenured faculty is each academic year on a continuing basis. An academic year is generally defined in practices as commencing on the date of the Faculty Institute and ending the Friday next following the commencement ceremony in May for the academic year.</t>
    </r>
  </si>
  <si>
    <t xml:space="preserve">Your primary duty will be teaching, but you will also be expected to advise students and participate in the normal functioning of your Department and School.  This means that, among other responsibilities, you will be expected to participate in the Faculty Institute, all University convocations and commencement ceremonies.  In addition you shall evaluate and grade students' in a timely manner and maintain regularly scheduled office hours in order to advise and assist students.   The normal class load is 12 credit hours per semester, and classes may be scheduled in the evenings and on the weekends. However, the number of course hours may vary. </t>
  </si>
  <si>
    <t>TOWNSEND, RICHARD D</t>
  </si>
  <si>
    <t>TRUCKENBROD, STEVE</t>
  </si>
  <si>
    <t>TULIS, DAVID A</t>
  </si>
  <si>
    <t>TURNER, VERA F</t>
  </si>
  <si>
    <t>TYLER, DORIS R</t>
  </si>
  <si>
    <t>TYMAS, BARON T</t>
  </si>
  <si>
    <t>UMBERGER, WALLACE R</t>
  </si>
  <si>
    <t>VANN, ANDRE D</t>
  </si>
  <si>
    <t>VANN-JOHNSON, JOAN</t>
  </si>
  <si>
    <t>VAUGHAN, SAMUEL E</t>
  </si>
  <si>
    <t>VAVRA, SANDRA</t>
  </si>
  <si>
    <t>VAZQUEZ, LORI</t>
  </si>
  <si>
    <t>VELEZ, LOUIS A</t>
  </si>
  <si>
    <t>VICK, MCDONALD</t>
  </si>
  <si>
    <t>VITAL, GERI R</t>
  </si>
  <si>
    <t>VLAHOVIC, GORDANA</t>
  </si>
  <si>
    <t>VOGLER, MARY F</t>
  </si>
  <si>
    <t>WADE, BRENDA J</t>
  </si>
  <si>
    <t>WALKER, BRAD</t>
  </si>
  <si>
    <t>WALKER, DINA CAROL</t>
  </si>
  <si>
    <t>WANG, KAI</t>
  </si>
  <si>
    <t>WANG, XINGWU</t>
  </si>
  <si>
    <t>WARD, ACIE LOUELLA</t>
  </si>
  <si>
    <t>WARD, GREGG R</t>
  </si>
  <si>
    <t>WARE, MICHELE S</t>
  </si>
  <si>
    <t>WASHINGTON, VICTOR</t>
  </si>
  <si>
    <t>WATFORD-PAYLOR, SH</t>
  </si>
  <si>
    <t>WEBB, KAYE R</t>
  </si>
  <si>
    <t>WESSENE, KONGITE</t>
  </si>
  <si>
    <t>WHITE, SANDRA L</t>
  </si>
  <si>
    <t>WHITE, TONI T</t>
  </si>
  <si>
    <t>WHITTINGTON, DAWAY</t>
  </si>
  <si>
    <t>WICKER, INGRID L</t>
  </si>
  <si>
    <t>WIGFALL, PATRICIA M</t>
  </si>
  <si>
    <t>WIGGINS, CRYSTAL JO</t>
  </si>
  <si>
    <t>WIGGINS, IRA</t>
  </si>
  <si>
    <t>WILDER, JENNIFER A</t>
  </si>
  <si>
    <t>WILKERSON, WENDELL</t>
  </si>
  <si>
    <t>WILLIAMS, ANDREW P</t>
  </si>
  <si>
    <t>WILLIAMS, CHARMINI</t>
  </si>
  <si>
    <t>WILLIAMS,FRED J</t>
  </si>
  <si>
    <t>WILLIAMS,HARRIS E</t>
  </si>
  <si>
    <t>WILLIAMS,NAOMI S</t>
  </si>
  <si>
    <t>WILLIAMS, VEOLA S</t>
  </si>
  <si>
    <t>WILSON, ANTOINETTE</t>
  </si>
  <si>
    <t>WILSON, CARLTON E</t>
  </si>
  <si>
    <t>WILSON, GEORGE P</t>
  </si>
  <si>
    <t>WILSON,JR, GROVER</t>
  </si>
  <si>
    <t>WINDERS, REBECCA</t>
  </si>
  <si>
    <t xml:space="preserve">WITHERSPOON, DAWN P  </t>
  </si>
  <si>
    <t xml:space="preserve">WOMBLE, VIRGINIA F   </t>
  </si>
  <si>
    <t xml:space="preserve">WOOD, MARY C        </t>
  </si>
  <si>
    <t xml:space="preserve">WOODARD, PATRICIA P </t>
  </si>
  <si>
    <t xml:space="preserve">WOODS, LAURA DALE  </t>
  </si>
  <si>
    <t xml:space="preserve">WORTHAM, ROBERT A  </t>
  </si>
  <si>
    <t>WRIGHT, MARY ELIZABETH</t>
  </si>
  <si>
    <t xml:space="preserve">WU, MARVIN          </t>
  </si>
  <si>
    <t xml:space="preserve">XAUBET, HORACIO     </t>
  </si>
  <si>
    <t xml:space="preserve">YAN, HONGJIN        </t>
  </si>
  <si>
    <t xml:space="preserve">YARBROUGH, KEVA MAR  </t>
  </si>
  <si>
    <t xml:space="preserve">YARLAGADDA, MEGHNA  </t>
  </si>
  <si>
    <t xml:space="preserve">YEH, LI-AN         </t>
  </si>
  <si>
    <t xml:space="preserve">YOO, EUN YOUNG     </t>
  </si>
  <si>
    <t xml:space="preserve">YOSHIDA, CLIFFORD D </t>
  </si>
  <si>
    <t xml:space="preserve">ZAMBONE,ALANA M </t>
  </si>
  <si>
    <t xml:space="preserve">Type in Pass code </t>
  </si>
  <si>
    <t xml:space="preserve">REID, MARGARET L   </t>
  </si>
  <si>
    <t xml:space="preserve">REUBEN, LUCY J    </t>
  </si>
  <si>
    <t xml:space="preserve">RICHARDSON, RICARD </t>
  </si>
  <si>
    <t xml:space="preserve">RIGGS, MELVIN L     </t>
  </si>
  <si>
    <t xml:space="preserve">RINGER, THOMAS M  </t>
  </si>
  <si>
    <t>ROBERSON, DAWNE Y</t>
  </si>
  <si>
    <t>ROBINSON, CARL L</t>
  </si>
  <si>
    <t>ROBINSON, ELWOOD</t>
  </si>
  <si>
    <t>ROBINSON, ISAAC A</t>
  </si>
  <si>
    <t>ROBINSON, JOLI</t>
  </si>
  <si>
    <t>RODGERS, KENNETH</t>
  </si>
  <si>
    <t>ROGERS, KAYE T</t>
  </si>
  <si>
    <t>ROLAND, E JOYCE</t>
  </si>
  <si>
    <t>ROMOCKI, LAHOMA S</t>
  </si>
  <si>
    <t>ROSEBORO, LATONYA</t>
  </si>
  <si>
    <t>ROUNTREE, WENDY A</t>
  </si>
  <si>
    <t>ROYAL, CHADWICK</t>
  </si>
  <si>
    <t xml:space="preserve">ROYAL, CHADWICK      </t>
  </si>
  <si>
    <t xml:space="preserve">RUCKER, STACI PATTE  </t>
  </si>
  <si>
    <t xml:space="preserve">RUCKER, STACI PATTE </t>
  </si>
  <si>
    <t xml:space="preserve">RUDD, MILDRED AUDRE </t>
  </si>
  <si>
    <t xml:space="preserve">RUFFIN, CYNTHIA ANN </t>
  </si>
  <si>
    <t xml:space="preserve">RUGGIERO, ANNA       </t>
  </si>
  <si>
    <t xml:space="preserve">RUSSELL, LETITIA D  </t>
  </si>
  <si>
    <t xml:space="preserve">SADLER, THOMAS       </t>
  </si>
  <si>
    <t xml:space="preserve">SAHOO, BIJOY K     </t>
  </si>
  <si>
    <t>SALAAM, KHADIJAH</t>
  </si>
  <si>
    <t>SALAMA, IBRAHIM</t>
  </si>
  <si>
    <t>SALIIM, ERIC T</t>
  </si>
  <si>
    <t>SANGSTER, MINNIE</t>
  </si>
  <si>
    <t>SAUNDERS, SHARON</t>
  </si>
  <si>
    <t>SCHEFT, THOMAS W</t>
  </si>
  <si>
    <t>SCHELKOPF, JOHN B</t>
  </si>
  <si>
    <t>SCHNEIDER, DORIS A</t>
  </si>
  <si>
    <t>SCHONFELD, GITA</t>
  </si>
  <si>
    <t>SCHOOLER JR, JAMES</t>
  </si>
  <si>
    <t>SCOTT, DIANE</t>
  </si>
  <si>
    <t>SCOTT, LYDIA ANN</t>
  </si>
  <si>
    <t>SCRIMSHER, SHERYL L</t>
  </si>
  <si>
    <t>SEAY, CAMERON W</t>
  </si>
  <si>
    <t>SEIGLER, TIMOTHY</t>
  </si>
  <si>
    <t>SENDLINGER, SHAWN C</t>
  </si>
  <si>
    <t>SERBA, KYLE E</t>
  </si>
  <si>
    <t>SESAY, JOHN SANPHA</t>
  </si>
  <si>
    <t>SETTLE, STACEY E</t>
  </si>
  <si>
    <t>SHAW, BRENDA R</t>
  </si>
  <si>
    <t>SHIM, JOONG-YOUN</t>
  </si>
  <si>
    <t>SHOAF, JAMES</t>
  </si>
  <si>
    <t>SIGL, DORIS M</t>
  </si>
  <si>
    <t>SIMMONS JR, JOE H</t>
  </si>
  <si>
    <t>SIMMONS, MARCIA W</t>
  </si>
  <si>
    <t>SIMPSON, BRENNETTA</t>
  </si>
  <si>
    <t>SIMPSON, MILES</t>
  </si>
  <si>
    <t>SINCLAIR, HOPE</t>
  </si>
  <si>
    <t>SINGLETON, KENNETH</t>
  </si>
  <si>
    <t>SLIGH DEWALT, CASS</t>
  </si>
  <si>
    <t>SMITH, CHARLES E</t>
  </si>
  <si>
    <t>SMITH, GEORGE D</t>
  </si>
  <si>
    <t>SMITH, JAN E</t>
  </si>
  <si>
    <t>SMITH, LAURA</t>
  </si>
  <si>
    <t>SMITH, LEONORA S</t>
  </si>
  <si>
    <t>SOLARI, FRANCES P</t>
  </si>
  <si>
    <t>SOMASUNDARAM, CHAN</t>
  </si>
  <si>
    <t>SOPER, REBECCA J</t>
  </si>
  <si>
    <t>SOUTHERLAND, JOHNN</t>
  </si>
  <si>
    <t>SOUTHERLAND, MONTE</t>
  </si>
  <si>
    <t>SPENCE, JERRY</t>
  </si>
  <si>
    <t>SPENCER, SHARON L</t>
  </si>
  <si>
    <t>SPENCER, YVONNE G</t>
  </si>
  <si>
    <t>SRIVASTAVA, DEEPAK</t>
  </si>
  <si>
    <t>SROKA, JOSEPH</t>
  </si>
  <si>
    <t>STANBACK, BARRY S</t>
  </si>
  <si>
    <t>STEPPE-JONES, C</t>
  </si>
  <si>
    <t>STEWART, SHAWN E</t>
  </si>
  <si>
    <t>STIEFVATER, ROBERT</t>
  </si>
  <si>
    <t>STINSON, DARRIN M</t>
  </si>
  <si>
    <t>STOTLER, JAMES</t>
  </si>
  <si>
    <t>STRAUSS, RAQUEL</t>
  </si>
  <si>
    <t>SUGGS, HENRY LEWIS</t>
  </si>
  <si>
    <t>SUSLOV, VLADIMIR</t>
  </si>
  <si>
    <t>SWAIN, DEBORAH E</t>
  </si>
  <si>
    <t>TATE, TERESA H</t>
  </si>
  <si>
    <t>TAZEWELL, MARY A</t>
  </si>
  <si>
    <t>TEAL, RODRIQUEZ</t>
  </si>
  <si>
    <t>THOMAS, ABDUL K</t>
  </si>
  <si>
    <t>THOMAS, SABRINA</t>
  </si>
  <si>
    <t>THOMPSON-MORAN, AS</t>
  </si>
  <si>
    <t>THOMPSON-ROGERS, G</t>
  </si>
  <si>
    <t>THORPE, EDITH L</t>
  </si>
  <si>
    <t>THORPE, NATALIE C</t>
  </si>
  <si>
    <t>TIEN, ALICE</t>
  </si>
  <si>
    <t>TIPPER, TELFORD JOS</t>
  </si>
  <si>
    <t>TODD, PATRICK R</t>
  </si>
  <si>
    <t>TOKUTA, ALADE O</t>
  </si>
  <si>
    <t>TOWEH, TEEBEH</t>
  </si>
  <si>
    <t>KNECHT, DUANE M</t>
  </si>
  <si>
    <t>KUWAHARA, KULDIP</t>
  </si>
  <si>
    <t>KWON, SUNG-SIK</t>
  </si>
  <si>
    <t>LADAPO, JONATHAN A</t>
  </si>
  <si>
    <t>LAMBETH, JOHN D</t>
  </si>
  <si>
    <t>LANE, DEBORAH P</t>
  </si>
  <si>
    <t>LAVELLE, LYDIA E</t>
  </si>
  <si>
    <t>LAWRENCE, WILLIAM</t>
  </si>
  <si>
    <t>LAWS, SONYA A</t>
  </si>
  <si>
    <t>LAWSON, J RINALDO</t>
  </si>
  <si>
    <t>LAWSON, MICHAEL A</t>
  </si>
  <si>
    <t>LAYTON, THOMAS</t>
  </si>
  <si>
    <t>LEE, SANGHYUN</t>
  </si>
  <si>
    <t>LEWIS, H DONELL</t>
  </si>
  <si>
    <t>LINDSEY, LYDIA</t>
  </si>
  <si>
    <t>LOTCHIN, PHYLLIS</t>
  </si>
  <si>
    <t>LOVE, CINDY R</t>
  </si>
  <si>
    <t>MACK JR, CLAYTON</t>
  </si>
  <si>
    <t>MAINUDDIN, ROLIN</t>
  </si>
  <si>
    <t>MANN, JESSE A</t>
  </si>
  <si>
    <t>MARKOFF, DIANE M</t>
  </si>
  <si>
    <t>MARROW, GREGORY</t>
  </si>
  <si>
    <t>EPA RECOMMENDATION FOR PERSONNEL ACTION</t>
  </si>
  <si>
    <t>City:</t>
  </si>
  <si>
    <t>Fund#</t>
  </si>
  <si>
    <t>Stipend Period</t>
  </si>
  <si>
    <r>
      <t xml:space="preserve">American Indian or Alaska Native </t>
    </r>
    <r>
      <rPr>
        <i/>
        <sz val="10"/>
        <rFont val="Arial"/>
        <family val="2"/>
      </rPr>
      <t>and</t>
    </r>
    <r>
      <rPr>
        <sz val="10"/>
        <rFont val="Arial"/>
        <family val="2"/>
      </rPr>
      <t xml:space="preserve"> Black or African American not Hispanic or Latino</t>
    </r>
  </si>
  <si>
    <r>
      <t xml:space="preserve">American Indian or Alaska Native </t>
    </r>
    <r>
      <rPr>
        <i/>
        <sz val="10"/>
        <rFont val="Arial"/>
        <family val="2"/>
      </rPr>
      <t>and</t>
    </r>
    <r>
      <rPr>
        <sz val="10"/>
        <rFont val="Arial"/>
        <family val="2"/>
      </rPr>
      <t xml:space="preserve"> White not Hispanic or Latino</t>
    </r>
  </si>
  <si>
    <r>
      <t xml:space="preserve">Asian </t>
    </r>
    <r>
      <rPr>
        <i/>
        <sz val="10"/>
        <rFont val="Arial"/>
        <family val="2"/>
      </rPr>
      <t>and</t>
    </r>
    <r>
      <rPr>
        <sz val="10"/>
        <rFont val="Arial"/>
        <family val="2"/>
      </rPr>
      <t xml:space="preserve"> White not Hispanic or Latino</t>
    </r>
  </si>
  <si>
    <r>
      <t xml:space="preserve">Black or African American </t>
    </r>
    <r>
      <rPr>
        <i/>
        <sz val="10"/>
        <rFont val="Arial"/>
        <family val="2"/>
      </rPr>
      <t>and</t>
    </r>
    <r>
      <rPr>
        <sz val="10"/>
        <rFont val="Arial"/>
        <family val="2"/>
      </rPr>
      <t xml:space="preserve"> White not Hispanic or Latino</t>
    </r>
  </si>
  <si>
    <t>Title</t>
  </si>
  <si>
    <t>Dr</t>
  </si>
  <si>
    <t>Miss</t>
  </si>
  <si>
    <t>Ms</t>
  </si>
  <si>
    <t>Mr</t>
  </si>
  <si>
    <t>Prof</t>
  </si>
  <si>
    <t>Mrs</t>
  </si>
  <si>
    <t>Rev</t>
  </si>
  <si>
    <t>New</t>
  </si>
  <si>
    <t>Revised</t>
  </si>
  <si>
    <t>E-Rec Type</t>
  </si>
  <si>
    <t>Veteran</t>
  </si>
  <si>
    <t>No</t>
  </si>
  <si>
    <t>Yes</t>
  </si>
  <si>
    <t>Disabled</t>
  </si>
  <si>
    <t>Currently Employed by State agency?</t>
  </si>
  <si>
    <t>Number</t>
  </si>
  <si>
    <t>Library &amp; Information Sciences</t>
  </si>
  <si>
    <t>College/School</t>
  </si>
  <si>
    <t>Behavioral &amp; Social Sciences</t>
  </si>
  <si>
    <t>Liberal Arts</t>
  </si>
  <si>
    <t>Science &amp; Technology</t>
  </si>
  <si>
    <t>AdminResearch</t>
  </si>
  <si>
    <t>If full-time with benefits use annualized salary</t>
  </si>
  <si>
    <t>CIP Codes</t>
  </si>
  <si>
    <t>CIP Description</t>
  </si>
  <si>
    <t>030104 Environmental Science (NEW)</t>
  </si>
  <si>
    <t>090102 Mass Communication/ Media Studies</t>
  </si>
  <si>
    <t>110401 Information Science/Studies</t>
  </si>
  <si>
    <t>110701 Computer Science</t>
  </si>
  <si>
    <t xml:space="preserve">130301 Curriculum and Instruction </t>
  </si>
  <si>
    <t>130409 Secondary School Administration/Principalship (NEW)</t>
  </si>
  <si>
    <t xml:space="preserve">130501 Educational/Instructional Media Design </t>
  </si>
  <si>
    <t xml:space="preserve">131001 Special Education and Teaching- General </t>
  </si>
  <si>
    <t>131005 Education/Teaching of Individuals with Emotional Disturbances</t>
  </si>
  <si>
    <t>Certificates</t>
  </si>
  <si>
    <t>Associate's degree</t>
  </si>
  <si>
    <t>Bachelor's degree</t>
  </si>
  <si>
    <t>Master's degree</t>
  </si>
  <si>
    <t>Doctoral degree</t>
  </si>
  <si>
    <t>Professional degree</t>
  </si>
  <si>
    <t>TYPES OF DEGREES</t>
  </si>
  <si>
    <t>Highest Degree Earned:</t>
  </si>
  <si>
    <t>New Hires Only</t>
  </si>
  <si>
    <t>Date of Degree:</t>
  </si>
  <si>
    <t>Name of Institution</t>
  </si>
  <si>
    <t>State of Degree:</t>
  </si>
  <si>
    <t>Major:</t>
  </si>
  <si>
    <t>Date Tenure Track Began:</t>
  </si>
  <si>
    <t>Banner#</t>
  </si>
  <si>
    <t>Org#</t>
  </si>
  <si>
    <t>Account#</t>
  </si>
  <si>
    <t>Dept Org#</t>
  </si>
  <si>
    <t>Stipend will need FTE also</t>
  </si>
  <si>
    <t>Approval Signatures Below</t>
  </si>
  <si>
    <t>HR Only</t>
  </si>
  <si>
    <t>I-9 received</t>
  </si>
  <si>
    <t>I-9 Received</t>
  </si>
  <si>
    <t>Name:</t>
  </si>
  <si>
    <t>Phone#:</t>
  </si>
  <si>
    <t>131006 Education/Teaching of Individuals with Mental Retardation</t>
  </si>
  <si>
    <t>131009 Education/Teaching of Individuals with Vision Impairments  Including Blindness</t>
  </si>
  <si>
    <t>131011 Education/Teaching of Individuals with Specific Learning Disabilities</t>
  </si>
  <si>
    <t>131101 Counselor Education/School Counseling and Guidance Services</t>
  </si>
  <si>
    <t>131102 College Student Counseling and Personnel Services</t>
  </si>
  <si>
    <t>131202 Elementary Education and Teaching</t>
  </si>
  <si>
    <t>Start (i.e. July 1, 2011)</t>
  </si>
  <si>
    <t>End (i.e.June 30, 2012)</t>
  </si>
  <si>
    <t>Title III</t>
  </si>
  <si>
    <t>1 or more years break in service employee is considered new</t>
  </si>
  <si>
    <t>Must have title</t>
  </si>
  <si>
    <t>10034</t>
  </si>
  <si>
    <t>1310</t>
  </si>
  <si>
    <t>617185</t>
  </si>
  <si>
    <t>17185</t>
  </si>
  <si>
    <t>Alabama</t>
  </si>
  <si>
    <t>Alaska</t>
  </si>
  <si>
    <t>Arizona</t>
  </si>
  <si>
    <t>Arkansas</t>
  </si>
  <si>
    <t>California</t>
  </si>
  <si>
    <t>Colorado</t>
  </si>
  <si>
    <t>Connecticut</t>
  </si>
  <si>
    <t>Delaware</t>
  </si>
  <si>
    <t>Florida</t>
  </si>
  <si>
    <t>Georgia</t>
  </si>
  <si>
    <t>Hawaii</t>
  </si>
  <si>
    <t>Idaho</t>
  </si>
  <si>
    <t>Illinois</t>
  </si>
  <si>
    <t>Indiana</t>
  </si>
  <si>
    <t>Iowa</t>
  </si>
  <si>
    <t>Kansas</t>
  </si>
  <si>
    <t xml:space="preserve">Kentucky </t>
  </si>
  <si>
    <t xml:space="preserve">Louisiana </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</si>
  <si>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</si>
  <si>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</si>
  <si>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</si>
  <si>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</si>
  <si>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</si>
  <si>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</si>
  <si>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</si>
  <si>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</si>
  <si>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</si>
  <si>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</si>
  <si>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</si>
  <si>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</si>
  <si>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</si>
  <si>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</si>
  <si>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</si>
  <si>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</si>
  <si>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</si>
  <si>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 xml:space="preserve">Oklahoma </t>
  </si>
  <si>
    <t>Oregon</t>
  </si>
  <si>
    <t>Pennsylvania</t>
  </si>
  <si>
    <t>Rhode Island</t>
  </si>
  <si>
    <t>South Carolina</t>
  </si>
  <si>
    <t>South Dakota</t>
  </si>
  <si>
    <t>Tennessee</t>
  </si>
  <si>
    <t>Texas</t>
  </si>
  <si>
    <t>Utah</t>
  </si>
  <si>
    <t>Vermont</t>
  </si>
  <si>
    <t>Virginia</t>
  </si>
  <si>
    <t>Washington</t>
  </si>
  <si>
    <t>West Virginia</t>
  </si>
  <si>
    <t>Wisconsin</t>
  </si>
  <si>
    <t>Wyoming</t>
  </si>
  <si>
    <t>Date Degree was Awarded:</t>
  </si>
  <si>
    <t xml:space="preserve">State </t>
  </si>
  <si>
    <t>Non-state</t>
  </si>
  <si>
    <t>201010</t>
  </si>
  <si>
    <t>Data Info</t>
  </si>
  <si>
    <t>Crime Check</t>
  </si>
  <si>
    <t>Tax Forms</t>
  </si>
  <si>
    <t>Return</t>
  </si>
  <si>
    <t>131203 Junior High/Intermediate/Middle School Education and Teaching</t>
  </si>
  <si>
    <t>131209 Kindergarten/PreSchool Education and Teaching (NEW)</t>
  </si>
  <si>
    <t>131302 Art Teacher Education</t>
  </si>
  <si>
    <t>131305 English/Language Arts Teacher Education</t>
  </si>
  <si>
    <t>131307 Health Teacher Education</t>
  </si>
  <si>
    <t>131308 Family and Consumer Sciences/Home Economics Teacher Education</t>
  </si>
  <si>
    <t xml:space="preserve">131311 Mathematics Teacher Education </t>
  </si>
  <si>
    <t>131312 Music Teacher Education</t>
  </si>
  <si>
    <t>131314 Physical Education Teaching and Coaching</t>
  </si>
  <si>
    <t>131322 Biology Teacher Education</t>
  </si>
  <si>
    <t>131323 Chemistry Teacher Education</t>
  </si>
  <si>
    <t>131324 Drama and Dance Teacher Education</t>
  </si>
  <si>
    <t>131325 French Language Teacher Education</t>
  </si>
  <si>
    <t xml:space="preserve">131328 History Teacher Education </t>
  </si>
  <si>
    <t>131329 Physics Teacher Education</t>
  </si>
  <si>
    <t>131330 Spanish Language Teacher Education</t>
  </si>
  <si>
    <t>160901 French Language and Literature</t>
  </si>
  <si>
    <t>160905 Spanish Language and Literature</t>
  </si>
  <si>
    <t>190101 Family and Consumer Sciences/Human Sciences- General</t>
  </si>
  <si>
    <t>220101 Law (LL.B. J.D.)</t>
  </si>
  <si>
    <t>230101 English Language and Literature- General</t>
  </si>
  <si>
    <t>250101 Library Science/Librarianship</t>
  </si>
  <si>
    <t>260101 Biology/Biological Sciences- General</t>
  </si>
  <si>
    <t>270101 Mathematics- General</t>
  </si>
  <si>
    <t>310301 Parks  Recreation and Leisure Facilities Management</t>
  </si>
  <si>
    <t>310501 Health and Physical Education- General</t>
  </si>
  <si>
    <t>400501 Chemistry- General</t>
  </si>
  <si>
    <t>400601 Geology/Earth Science</t>
  </si>
  <si>
    <t>400801 Physics- General</t>
  </si>
  <si>
    <t>420101 Psychology- General</t>
  </si>
  <si>
    <t>430103 Criminal Justice/Law Enforcement Administration</t>
  </si>
  <si>
    <t>430104 Criminal Justice/Safety Studies</t>
  </si>
  <si>
    <t>440401 Public Administration</t>
  </si>
  <si>
    <t>440701 Social Work</t>
  </si>
  <si>
    <t>450701 Geography</t>
  </si>
  <si>
    <t>451001 Political Science and Government- General</t>
  </si>
  <si>
    <t>451101 Sociology</t>
  </si>
  <si>
    <t>500501 Drama and Dramatics/Theatre Arts- General</t>
  </si>
  <si>
    <t>500701 Art/Art Studies- General</t>
  </si>
  <si>
    <t>500901 Music- General</t>
  </si>
  <si>
    <t>500910 Jazz/Jazz Studies (NEW)</t>
  </si>
  <si>
    <t>510201 Communication Disorders- General</t>
  </si>
  <si>
    <t>510913 Athletic Training/Trainer</t>
  </si>
  <si>
    <t>511601 Nursing - Registered Nurse Training (RN ASN BSN  MSN)</t>
  </si>
  <si>
    <t>512207 Public Health Education and Promotion</t>
  </si>
  <si>
    <t>512309 Therapeutic Recreation/Recreational Therapy</t>
  </si>
  <si>
    <t>520201 Business Administration and Management- General</t>
  </si>
  <si>
    <t>520301 Accounting</t>
  </si>
  <si>
    <t>520901 Hospitality Administration/Management- General</t>
  </si>
  <si>
    <t>540101 History- General</t>
  </si>
  <si>
    <t>Addendum (addition to original contract)</t>
  </si>
  <si>
    <t>Atty</t>
  </si>
  <si>
    <t>Kwesi E. Aggrey, Ph.D.</t>
  </si>
  <si>
    <t>Replacement</t>
  </si>
  <si>
    <t>Reappointment</t>
  </si>
  <si>
    <t>Art</t>
  </si>
  <si>
    <t>Biology</t>
  </si>
  <si>
    <t>Chemistry</t>
  </si>
  <si>
    <t>Criminal Justice</t>
  </si>
  <si>
    <t>English &amp; Mass Communications</t>
  </si>
  <si>
    <t>Environmental, Earth &amp; Geospatial Sciences</t>
  </si>
  <si>
    <t>Global Studies</t>
  </si>
  <si>
    <t>History</t>
  </si>
  <si>
    <t>Human Sciences</t>
  </si>
  <si>
    <t>Mathematics &amp; Computer Science</t>
  </si>
  <si>
    <t>Military Science</t>
  </si>
  <si>
    <t>Modern Foreign Languages</t>
  </si>
  <si>
    <t>Music</t>
  </si>
  <si>
    <t>Nursing</t>
  </si>
  <si>
    <t>Pharmaceutical Sciences (and BRITE)</t>
  </si>
  <si>
    <t>Physical Education and Recreation</t>
  </si>
  <si>
    <t>Physics</t>
  </si>
  <si>
    <t>Political Science</t>
  </si>
  <si>
    <t>Public Health Education</t>
  </si>
  <si>
    <t>Psychology</t>
  </si>
  <si>
    <t>Theatre/Drama</t>
  </si>
  <si>
    <t>Code Administrative Title</t>
  </si>
  <si>
    <t>051 Academic Advisor</t>
  </si>
  <si>
    <t>038 Acting Chairman</t>
  </si>
  <si>
    <t>041 Acting Director</t>
  </si>
  <si>
    <t>043 Affirmative Action Officer</t>
  </si>
  <si>
    <t>044 Archivist</t>
  </si>
  <si>
    <t>026 Assistant Coach</t>
  </si>
  <si>
    <t>007 Assistant Dean</t>
  </si>
  <si>
    <t>011 Assistant Director</t>
  </si>
  <si>
    <t>036 Assistant Dormitory Supervisor</t>
  </si>
  <si>
    <t>004 Assistant Vice Chancellor</t>
  </si>
  <si>
    <t>024 Assistant to Vice Chancellor</t>
  </si>
  <si>
    <t>017 Assistant to the Chancellor</t>
  </si>
  <si>
    <t>033 Assistant to the Dean</t>
  </si>
  <si>
    <t>006 Associate Dean</t>
  </si>
  <si>
    <t>010 Associate Director</t>
  </si>
  <si>
    <t>003 Associate Vice Chancellor</t>
  </si>
  <si>
    <t>028 Associate/Assistant Librarian</t>
  </si>
  <si>
    <t>065 Asst Athletic Trainer</t>
  </si>
  <si>
    <t>052 Athletic Trainer</t>
  </si>
  <si>
    <t>001 Chancellor</t>
  </si>
  <si>
    <t>050 Chief Information Officer</t>
  </si>
  <si>
    <t>053 Clinical Supervisor</t>
  </si>
  <si>
    <t>032 Coach</t>
  </si>
  <si>
    <t>068 Communication Disorders</t>
  </si>
  <si>
    <t>027 Communication Specialist</t>
  </si>
  <si>
    <t>022 Coordinator</t>
  </si>
  <si>
    <t>020 Counselor</t>
  </si>
  <si>
    <t>069 Counselor Education</t>
  </si>
  <si>
    <t>064 Curriculum and Instruction</t>
  </si>
  <si>
    <t>005 Dean</t>
  </si>
  <si>
    <t>008 Department Chair</t>
  </si>
  <si>
    <t>009 Director</t>
  </si>
  <si>
    <t>035 Dormitory Supervisor</t>
  </si>
  <si>
    <t>067 Educ Leadership Research Tech</t>
  </si>
  <si>
    <t>018 Executive Assistant to the Chancellor</t>
  </si>
  <si>
    <t>040 Interim Associate Dean</t>
  </si>
  <si>
    <t>056 Interim Coach</t>
  </si>
  <si>
    <t>030 Interim Dean</t>
  </si>
  <si>
    <t>054 Interim Department Chair</t>
  </si>
  <si>
    <t>071 Interim Department Co-Chair</t>
  </si>
  <si>
    <t>055 Interim Director</t>
  </si>
  <si>
    <t>042 Interim Executive Assistant to the Chancellor</t>
  </si>
  <si>
    <t>066 Interim Provost</t>
  </si>
  <si>
    <t>039 Interim Vice Chancellor</t>
  </si>
  <si>
    <t>023 Librarian</t>
  </si>
  <si>
    <t>048 Manager</t>
  </si>
  <si>
    <t>999 No Administrative Title</t>
  </si>
  <si>
    <t>057 Ombudsperson</t>
  </si>
  <si>
    <t>037 Pharmacist</t>
  </si>
  <si>
    <t>046 Physician</t>
  </si>
  <si>
    <t>058 Physician Extender</t>
  </si>
  <si>
    <t>034 Program Officer</t>
  </si>
  <si>
    <t>059 Provost</t>
  </si>
  <si>
    <t>047 Radio Producer</t>
  </si>
  <si>
    <t>012 Registrar</t>
  </si>
  <si>
    <t>021 Research Assistant/Lab Assistant</t>
  </si>
  <si>
    <t>025 Research Associate</t>
  </si>
  <si>
    <t>049 Research Scientist</t>
  </si>
  <si>
    <t>061 Research Specialist</t>
  </si>
  <si>
    <t>031 Scout</t>
  </si>
  <si>
    <t>062 Special Assistant</t>
  </si>
  <si>
    <t>070 Special Education</t>
  </si>
  <si>
    <t>045 Supervising Attorney</t>
  </si>
  <si>
    <t>019 Tutor/Counselor</t>
  </si>
  <si>
    <t>063 Veterinarian</t>
  </si>
  <si>
    <t>002 Vice Chancellor</t>
  </si>
  <si>
    <t>APPENDIX B: Alphabetic Listing of the Administrative Title Code Table 1</t>
  </si>
  <si>
    <t>Showing the Chair Flag, Code, Number of Occurances, and Title</t>
  </si>
  <si>
    <t>From the Fall 2008 PDF</t>
  </si>
  <si>
    <t>North Carolina Central University</t>
  </si>
  <si>
    <r>
      <t xml:space="preserve">APPENDIX F: Alphabetic Listing of the Function Code Table </t>
    </r>
    <r>
      <rPr>
        <b/>
        <sz val="10"/>
        <rFont val="Times New Roman"/>
        <family val="1"/>
      </rPr>
      <t>1</t>
    </r>
  </si>
  <si>
    <t>Showing Rank Granting Dept Flag, and Number of Occurances of Home Departments,</t>
  </si>
  <si>
    <t>Depts of Rank, and Functions. From the Fall 2008 PDF</t>
  </si>
  <si>
    <t>Code Department Title</t>
  </si>
  <si>
    <t>0010721 Academic Advising</t>
  </si>
  <si>
    <t>2630000 Academic Computing Center</t>
  </si>
  <si>
    <t>2700000 Academic Services</t>
  </si>
  <si>
    <t>0010405 Academic Support Center</t>
  </si>
  <si>
    <t>2130000 Academic Support Program</t>
  </si>
  <si>
    <t>2300502 Accounting</t>
  </si>
  <si>
    <t>4130000 Accounting Operations (Travel)</t>
  </si>
  <si>
    <t>0030169 Accounts Payable</t>
  </si>
  <si>
    <t>0030269 Admin Data Processing</t>
  </si>
  <si>
    <t>0040400 Admin. Asst. for Student Org</t>
  </si>
  <si>
    <t>0010135 Administrative Computing</t>
  </si>
  <si>
    <t>4200000 Administrative Data Processing</t>
  </si>
  <si>
    <t>0030800 Administrative Officer</t>
  </si>
  <si>
    <t>0001710 Admissions</t>
  </si>
  <si>
    <t>0030474 Air Conditioning</t>
  </si>
  <si>
    <t>0010701 Art</t>
  </si>
  <si>
    <t>0010250 Art Museum</t>
  </si>
  <si>
    <t>0010610 Assoc Dean, Sponsored Research</t>
  </si>
  <si>
    <t>0040200 Assoc V/C, Dean of Students</t>
  </si>
  <si>
    <t>0040144 Assoc V/C, Dir Counseling Center</t>
  </si>
  <si>
    <t>0010400 Assoc. V/C Academic Services</t>
  </si>
  <si>
    <t>0010127 Assoc. V/C Rsrch,Eval Plng</t>
  </si>
  <si>
    <t>0030700 Asst V/C for Business</t>
  </si>
  <si>
    <t>0001051 Asst to Chancellor</t>
  </si>
  <si>
    <t>0040248 Asst. Dean of Students</t>
  </si>
  <si>
    <t>0020100 Asst. to V/C Dir of Commun Relat</t>
  </si>
  <si>
    <t>5600000 Athletics</t>
  </si>
  <si>
    <t>0030470 Automotive</t>
  </si>
  <si>
    <t>0001091 BRITE</t>
  </si>
  <si>
    <t>0030707 Barber/Beauty Shop</t>
  </si>
  <si>
    <t>4120000 Billing/Receivables (Bursar)</t>
  </si>
  <si>
    <t>0010702 Biology</t>
  </si>
  <si>
    <t>2100401 Biomed/Biotech Reasearch Inst (BBRI)</t>
  </si>
  <si>
    <t>0001090 Biomed/Biotech Research Inst (BBRI)</t>
  </si>
  <si>
    <t>0030705 Bookstore</t>
  </si>
  <si>
    <t>4700000 Budget Office</t>
  </si>
  <si>
    <t>0030850 Budget Officer</t>
  </si>
  <si>
    <t>0030476 Building Maintenace</t>
  </si>
  <si>
    <t>2300506 Bus Mgmnt and Admin</t>
  </si>
  <si>
    <t>4500000 Business</t>
  </si>
  <si>
    <t>2300838 Business Education</t>
  </si>
  <si>
    <t>3110000 Campus Religious Life</t>
  </si>
  <si>
    <t>0040130 Career Counseling Placement</t>
  </si>
  <si>
    <t>3400000 Career Counseling and Placement</t>
  </si>
  <si>
    <t>0020600 Career Placement</t>
  </si>
  <si>
    <t>0030481 Carpentry Shop</t>
  </si>
  <si>
    <t>0030156 Cash Management</t>
  </si>
  <si>
    <t>2110000 Center for Academic Enrichment</t>
  </si>
  <si>
    <t>0010440 Center for International Studies</t>
  </si>
  <si>
    <t>2740000 Center of International Studies</t>
  </si>
  <si>
    <t>0030760 Central Stores</t>
  </si>
  <si>
    <t>0001049 Chancellor</t>
  </si>
  <si>
    <t>0010703 Chemistry</t>
  </si>
  <si>
    <t>2100000 College of Arts and Sciences</t>
  </si>
  <si>
    <t>2900810 Communication Disorders</t>
  </si>
  <si>
    <t>0010722 Communications Disorders</t>
  </si>
  <si>
    <t>0010851 Community Service</t>
  </si>
  <si>
    <t>0030140 Comptroller</t>
  </si>
  <si>
    <t>0010530 Continuing Education</t>
  </si>
  <si>
    <t>0030158 Contracts/Grants</t>
  </si>
  <si>
    <t>2900815 Counselor Education</t>
  </si>
  <si>
    <t>0010724 Criminal Justice</t>
  </si>
  <si>
    <t>2900820 Curriculum and Instruction</t>
  </si>
  <si>
    <t>0010700 Dean, College of Arts Sciences</t>
  </si>
  <si>
    <t>0010600 Dean, Graduate Studies</t>
  </si>
  <si>
    <t>0010500 Dean, University College</t>
  </si>
  <si>
    <t>0040230 Dir of Campus Religious Life</t>
  </si>
  <si>
    <t>0010443 Director of Admissions</t>
  </si>
  <si>
    <t>0020365 Director of Alumni Affairs</t>
  </si>
  <si>
    <t>0001060 Director of Athletics</t>
  </si>
  <si>
    <t>0020270 Director of Development</t>
  </si>
  <si>
    <t>0030473 Director of Physical Plant</t>
  </si>
  <si>
    <t>0001080 Director of Public Relations</t>
  </si>
  <si>
    <t>0040500 Director of Residence Operations</t>
  </si>
  <si>
    <t>0040140 Director of Student Activities</t>
  </si>
  <si>
    <t>0001052 Director, Internal Audit</t>
  </si>
  <si>
    <t>0010332 Director, Library Services</t>
  </si>
  <si>
    <t>0010337 Director, Teaching and Learning</t>
  </si>
  <si>
    <t>0010510 Distance Education</t>
  </si>
  <si>
    <t>0010704 Dramatic Art</t>
  </si>
  <si>
    <t>2101007 Dramatic Arts</t>
  </si>
  <si>
    <t>5400000 Duplicating/Copying</t>
  </si>
  <si>
    <t>2300517 Economics</t>
  </si>
  <si>
    <t>2900805 Educ Leadership Research Tech</t>
  </si>
  <si>
    <t>0010705 Education</t>
  </si>
  <si>
    <t>0030479 Electrical Shop</t>
  </si>
  <si>
    <t>0030159 Endowment Accounting</t>
  </si>
  <si>
    <t>0010706 English</t>
  </si>
  <si>
    <t>0001700 Enrollment Manager</t>
  </si>
  <si>
    <t>0010636 Environmental Science</t>
  </si>
  <si>
    <t>0010520 Evening College</t>
  </si>
  <si>
    <t>2800000 Extended Studies</t>
  </si>
  <si>
    <t>0030730 Facilities Coordinator</t>
  </si>
  <si>
    <t>0010900 Faculty Senate</t>
  </si>
  <si>
    <t>0030340 Federal Loans</t>
  </si>
  <si>
    <t>0030168 Federal Trust Appr. Acct.</t>
  </si>
  <si>
    <t>4110000 Federal/Trust Accounting</t>
  </si>
  <si>
    <t>0001730 Financial Aid</t>
  </si>
  <si>
    <t>0030165 Financial Reporting</t>
  </si>
  <si>
    <t>2101002 Fine Arts</t>
  </si>
  <si>
    <t>0030350 Fixed Assets</t>
  </si>
  <si>
    <t>0030710 Food Services</t>
  </si>
  <si>
    <t>0030010 Fund Clearing Organization Code</t>
  </si>
  <si>
    <t>0010707 Geography</t>
  </si>
  <si>
    <t>0030482 Grounds Supervisor</t>
  </si>
  <si>
    <t>0001200 Health Safety (OSHA)</t>
  </si>
  <si>
    <t>0010460 Health Careers</t>
  </si>
  <si>
    <t>0010708 Health Education</t>
  </si>
  <si>
    <t>0040120 Health Services</t>
  </si>
  <si>
    <t>0030475 Heating Plant</t>
  </si>
  <si>
    <t>2102200 History</t>
  </si>
  <si>
    <t>0010709 History/Social Science</t>
  </si>
  <si>
    <t>0010430 Honors Program</t>
  </si>
  <si>
    <t>0030483 Housekeeping</t>
  </si>
  <si>
    <t>0030557 Human Resources</t>
  </si>
  <si>
    <t>0010710 Human Sciences</t>
  </si>
  <si>
    <t>0033990 Indirect Cost</t>
  </si>
  <si>
    <t>0001600 Information Technology</t>
  </si>
  <si>
    <t>0010140 Inst for Minority Issues</t>
  </si>
  <si>
    <t>2620000 Institute on Desegration</t>
  </si>
  <si>
    <t>0010120 Institutional Studies</t>
  </si>
  <si>
    <t>0010225 Law Library</t>
  </si>
  <si>
    <t>2030000 Learning Resources</t>
  </si>
  <si>
    <t>0001050 Legal Asst to Chancellor</t>
  </si>
  <si>
    <t>2020000 Library Services</t>
  </si>
  <si>
    <t>0030478 Locksmith</t>
  </si>
  <si>
    <t>2101700 Mathematics</t>
  </si>
  <si>
    <t>0010711 Mathematics Computer Science</t>
  </si>
  <si>
    <t>0010727 Military Science (ROTC)</t>
  </si>
  <si>
    <t>0010712 Modern Foreign Languages</t>
  </si>
  <si>
    <t>0010713 Music</t>
  </si>
  <si>
    <t>0020410 News Bureau</t>
  </si>
  <si>
    <t>0010714 Nursing</t>
  </si>
  <si>
    <t>5200000 Office of Alumni Affairs</t>
  </si>
  <si>
    <t>1100000 Office of Assistant to the Chancellor</t>
  </si>
  <si>
    <t>3100000 Office of Dean of Students</t>
  </si>
  <si>
    <t>5500000 Office of Development</t>
  </si>
  <si>
    <t>2610000 Office of Institutional Studies</t>
  </si>
  <si>
    <t>4920000 Office of Inventory</t>
  </si>
  <si>
    <t>4300000 Office of Personnel</t>
  </si>
  <si>
    <t>5100000 Office of Public Relations</t>
  </si>
  <si>
    <t>4910000 Office of Purchasing</t>
  </si>
  <si>
    <t>2600000 Office of Research, Evaluation Planning</t>
  </si>
  <si>
    <t>2210000 Office of Sponsored Research</t>
  </si>
  <si>
    <t>4000000 Office of VC for Financial Affairs</t>
  </si>
  <si>
    <t>3000000 Office of VC for Student Affairs</t>
  </si>
  <si>
    <t>1000000 Office of the Chancellor</t>
  </si>
  <si>
    <t>4100000 Office of the Comptroller</t>
  </si>
  <si>
    <t>2710000 Office of the Registrar</t>
  </si>
  <si>
    <t>2000000 Office of the VC for Academic Affairs</t>
  </si>
  <si>
    <t>5000000 Office of the VC for Development</t>
  </si>
  <si>
    <t>0030480 Paint Shop</t>
  </si>
  <si>
    <t>0030155 Payroll</t>
  </si>
  <si>
    <t>0010715 Philosophy</t>
  </si>
  <si>
    <t>0020420 Photographer</t>
  </si>
  <si>
    <t>0010716 Physical Ed and Recreation</t>
  </si>
  <si>
    <t>2100835 Physical Education/Recreation</t>
  </si>
  <si>
    <t>4550000 Physical Plant</t>
  </si>
  <si>
    <t>0010717 Physics</t>
  </si>
  <si>
    <t>0030477 Plumbing Shop</t>
  </si>
  <si>
    <t>0010718 Political Science</t>
  </si>
  <si>
    <t>0030740 Post Office</t>
  </si>
  <si>
    <t>0030460 Preventive Maintenance</t>
  </si>
  <si>
    <t>2104902 Program of Environmental Science</t>
  </si>
  <si>
    <t>2102102 Program of Public Administration</t>
  </si>
  <si>
    <t>2102104 Program of Social Work</t>
  </si>
  <si>
    <t>0010719 Psychology</t>
  </si>
  <si>
    <t>0020500 Public Administration</t>
  </si>
  <si>
    <t>0030659 Purchasing</t>
  </si>
  <si>
    <t>0010723 Radio Station</t>
  </si>
  <si>
    <t>0001720 Registrar</t>
  </si>
  <si>
    <t>0030720 Residence Operations</t>
  </si>
  <si>
    <t>0030347 Scholarship and Student Aid</t>
  </si>
  <si>
    <t>0010800 School of Business</t>
  </si>
  <si>
    <t>0010825 School of Business - Dean</t>
  </si>
  <si>
    <t>2900800 School of Education</t>
  </si>
  <si>
    <t>2200000 School of Graduate Studies</t>
  </si>
  <si>
    <t>0010223 School of Law</t>
  </si>
  <si>
    <t>0010850 School of Lib/Info Science</t>
  </si>
  <si>
    <t>0010824 School of Lib/Info Science - Dean</t>
  </si>
  <si>
    <t>2500000 School of Library and Information Science</t>
  </si>
  <si>
    <t>5700000 Security</t>
  </si>
  <si>
    <t>0010333 Shepard Library</t>
  </si>
  <si>
    <t>0010720 Sociology</t>
  </si>
  <si>
    <t>2900825 Special Education</t>
  </si>
  <si>
    <t>4930000 Storeroom (Central Stores)</t>
  </si>
  <si>
    <t>0030054 Student Accounting</t>
  </si>
  <si>
    <t>3420000 Student Activities</t>
  </si>
  <si>
    <t>4600000 Student Financial Aid</t>
  </si>
  <si>
    <t>0040600 Student Government</t>
  </si>
  <si>
    <t>3300000 Student Health Services</t>
  </si>
  <si>
    <t>0030750 Student Stores</t>
  </si>
  <si>
    <t>0040300 Student Union</t>
  </si>
  <si>
    <t>0010529 Summer School</t>
  </si>
  <si>
    <t>0010470 Summer Ventures</t>
  </si>
  <si>
    <t>0038000 Surplus Property</t>
  </si>
  <si>
    <t>0030900 Systems and Procedures</t>
  </si>
  <si>
    <t>0030770 Tickets/Vending</t>
  </si>
  <si>
    <t>0020110 Title III Coordinator</t>
  </si>
  <si>
    <t>0020111 Title III Internal Auditor</t>
  </si>
  <si>
    <t>0030157 Travel Office</t>
  </si>
  <si>
    <t>0010735 Undergraduate Dean</t>
  </si>
  <si>
    <t>2730000 University Honors Program</t>
  </si>
  <si>
    <t>0001070 University Police</t>
  </si>
  <si>
    <t>0010442 University Registrar</t>
  </si>
  <si>
    <t>0010450 University Testing</t>
  </si>
  <si>
    <t>5300000 University and Community Relations</t>
  </si>
  <si>
    <t>0010034 V/C Academic Affairs</t>
  </si>
  <si>
    <t>0030053 V/C Financial Affairs</t>
  </si>
  <si>
    <t>0020066 V/C Institutional Advancement</t>
  </si>
  <si>
    <t>0040041 V/C Student Affairs</t>
  </si>
  <si>
    <t>Sorted by Title</t>
  </si>
  <si>
    <t>Abbr Title Level</t>
  </si>
  <si>
    <t>ABD: "ALL BUT DISSERTATION" 3</t>
  </si>
  <si>
    <t>AAS: ASSOCIATE IN APPLIED SCIENCE 5</t>
  </si>
  <si>
    <t>AA: ASSOCIATE IN ARTS 5</t>
  </si>
  <si>
    <t>AS: ASSOCIATE IN SCIENCES 5</t>
  </si>
  <si>
    <t>BSHE: BACHELOR OF SCIENCE IN HOME ECONOMICS 4</t>
  </si>
  <si>
    <t>BSIE: BACHELOR OF SCIENCE IN INDUSTRIAL ENGINEERING 4</t>
  </si>
  <si>
    <t>BSIM: BACHELOR OF SCIENCE IN INDUSTRIAL MANAGEMENT 4</t>
  </si>
  <si>
    <t>BARCH: BACHELOR OF ARCHITECTURE 4</t>
  </si>
  <si>
    <t>AB: BACHELOR OF ARTS 4</t>
  </si>
  <si>
    <t>BA: 4</t>
  </si>
  <si>
    <t>BABA: BACHELOR OF ARTS IN BUSINESS ADMINISTRATION 4</t>
  </si>
  <si>
    <t>BAED: BACHELOR OF ARTS IN EDUCATION 4</t>
  </si>
  <si>
    <t>ABLS: BACHELOR OF ARTS IN LIBRARY SCIENCE 4</t>
  </si>
  <si>
    <t>BALS: 4</t>
  </si>
  <si>
    <t>BMED: BACHELOR OF ARTS IN MUSIC EDUCATION 4</t>
  </si>
  <si>
    <t>BAT: BACHELOR OF ARTS IN TEACHING 4</t>
  </si>
  <si>
    <t>BBA: BACHELOR OF BUSINESS ADMINISTRATION 4</t>
  </si>
  <si>
    <t>BCHE: BACHELOR OF CHEMICAL ENGINEERING 4</t>
  </si>
  <si>
    <t>BCE: BACHELOR OF CIVIL ENGINEERING 4</t>
  </si>
  <si>
    <t>BCOM: BACHELOR OF COMMERCE 4</t>
  </si>
  <si>
    <t>BCA: BACHELOR OF CREATIVE ARTS 4</t>
  </si>
  <si>
    <t>BD: BACHELOR OF DIVINITY 2</t>
  </si>
  <si>
    <t>EDB: BACHELOR OF EDUCATION 4</t>
  </si>
  <si>
    <t>BEE: BACHELOR OF ELECTRICAL ENGINEERING 4</t>
  </si>
  <si>
    <t>BAE: BACHELOR OF ENGINEERING (IN AEROSPACE OR AGRICULTURE) 4</t>
  </si>
  <si>
    <t>BE: BACHELOR OF ENGINEERING IN TECHNOLOGY 4</t>
  </si>
  <si>
    <t>BET: BACHELOR OF ENGINEERING TECHNOLOGY 4</t>
  </si>
  <si>
    <t>BED: BACHELOR OF ENVIRONMENTAL DESIGN 4</t>
  </si>
  <si>
    <t>BFA: BACHELOR OF FINE ARTS 4</t>
  </si>
  <si>
    <t>BGS: BACHELOR OF GENERAL STUDIES 4</t>
  </si>
  <si>
    <t>BHS: BACHELOR OF HEALTH SCIENCE 4</t>
  </si>
  <si>
    <t>BIE: BACHELOR OF INDUSTRIAL ENGINEERING 4</t>
  </si>
  <si>
    <t>BJ: BACHELOR OF JOURNALISM 4</t>
  </si>
  <si>
    <t>BLA: BACHELOR OF LANDSCAPE ARCHITECTURE 4</t>
  </si>
  <si>
    <t>LLB: BACHELOR OF LAW 2</t>
  </si>
  <si>
    <t>BLS: BACHELOR OF LIBRARY SCIENCE 4</t>
  </si>
  <si>
    <t>MBBS: BACHELOR OF MEDICINE, BACHELOR OF SURGERY 4</t>
  </si>
  <si>
    <t>BM: BACHELOR OF MUSIC 4</t>
  </si>
  <si>
    <t>BME: BACHELOR OF MUSIC EDUCATION 4</t>
  </si>
  <si>
    <t>BMA: BACHELOR OF MUSICAL ARTS 4</t>
  </si>
  <si>
    <t>PHB: BACHELOR OF PHILOSOPHY 4</t>
  </si>
  <si>
    <t>BPD: BACHELOR OF PRODUCT DESIGN 4</t>
  </si>
  <si>
    <t>BSPH: BACHELOR OF SCEINCE IN PUBLIC HEALTH 4</t>
  </si>
  <si>
    <t>BS: BACHELOR OF SCIENCE 4</t>
  </si>
  <si>
    <t>BSAS: BACHELOR OF SCIENCE IN APPLIED SCIENCE 4</t>
  </si>
  <si>
    <t>BSBE: BACHELOR OF SCIENCE IN BASIC EDUCATION 4</t>
  </si>
  <si>
    <t>BSBA: BACHELOR OF SCIENCE IN BUSINESS ADMINISTRATION 4</t>
  </si>
  <si>
    <t>BSCE: BACHELOR OF SCIENCE IN CIVIL ENGINEERING 4</t>
  </si>
  <si>
    <t>BCS: BACHELOR OF SCIENCE IN COMMERCE 4</t>
  </si>
  <si>
    <t>BSCPE: BACHELOR OF SCIENCE IN COMPUTER ENGINEERING 4</t>
  </si>
  <si>
    <t>BSC: BACHELOR OF SCIENCE IN CRIMINAL JUSTICE 4</t>
  </si>
  <si>
    <t>BSED: BACHELOR OF SCIENCE IN EDUCATION 4</t>
  </si>
  <si>
    <t>BSEE: BACHELOR OF SCIENCE IN ELECTRONIC (OR ELECTRICAL) ENGINEERING 4</t>
  </si>
  <si>
    <t>BSE: BACHELOR OF SCIENCE IN ENGINEERING 4</t>
  </si>
  <si>
    <t>BSET: BACHELOR OF SCIENCE IN ENGINEERING TECHNOLOGY 4</t>
  </si>
  <si>
    <t>BSF: BACHELOR OF SCIENCE IN FORESTRY 4</t>
  </si>
  <si>
    <t>BSLS: BACHELOR OF SCIENCE IN LIBRARY SCIENCE 4</t>
  </si>
  <si>
    <t>BSME: BACHELOR OF SCIENCE IN MECHANICAL ENGINEERING 4</t>
  </si>
  <si>
    <t>BSM: BACHELOR OF SCIENCE IN MUSIC 4</t>
  </si>
  <si>
    <t>BSN: BACHELOR OF SCIENCE IN NURSING 4</t>
  </si>
  <si>
    <t>BSPE: BACHELOR OF SCIENCE IN PHYSICAL EDUCATION 4</t>
  </si>
  <si>
    <t>BSP: BACHELOR OF SCIENCE PROFESSIONAL 4</t>
  </si>
  <si>
    <t>BSS: BACHELOR OF SOCIAL SCIENCES 4</t>
  </si>
  <si>
    <t>BSW: BACHELOR OF SOCIAL WORK 4</t>
  </si>
  <si>
    <t>BT: BACHELOR OF TECHNOLOGY 4</t>
  </si>
  <si>
    <t>BVS: BACHELOR OF VETERINARY SCIENCE 4</t>
  </si>
  <si>
    <t>CAGS: CERTIFICATE OF ADVANCED GRADUATE STUDY (6TH YEAR) 3</t>
  </si>
  <si>
    <t>CAS: CERTIFICATE OF ADVANCED STUDY (6TH YEAR) 3</t>
  </si>
  <si>
    <t>CDP: CERTIFICATE OF DATA PROCESSING 6</t>
  </si>
  <si>
    <t>CDA: CERTIFIED DENTAL ASSISTANT 6</t>
  </si>
  <si>
    <t>CPA: CERTIFIED PUBLIC ACCOUNTANT 6</t>
  </si>
  <si>
    <t>D: DIPLOMA 6</t>
  </si>
  <si>
    <t>FDIPL: DIPLOMATE (FOREIGN) 7</t>
  </si>
  <si>
    <t>FDDC: DOCTOR EN DERECHO CIVIL (FOREIGN) 1</t>
  </si>
  <si>
    <t>AD: DOCTOR OF ARTS 1</t>
  </si>
  <si>
    <t>AUD: DOCTOR OF AUDIOLOGY 1</t>
  </si>
  <si>
    <t>DBA: DOCTOR OF BUSINESS ADMINISTRATION 1</t>
  </si>
  <si>
    <t>DC: DOCTOR OF CHIROPRACTY 2</t>
  </si>
  <si>
    <t>DCC: DOCTOR OF CHRISTIAN COUNSELING 1</t>
  </si>
  <si>
    <t>DCE: DOCTOR OF CIVIL ENGINEERING 1</t>
  </si>
  <si>
    <t>DCS: DOCTOR OF COMMERCIAL SCIENCE 1</t>
  </si>
  <si>
    <t>DMD: DOCTOR OF DENTAL MEDICINE 2</t>
  </si>
  <si>
    <t>DDS: DOCTOR OF DENTAL SURGERY 2</t>
  </si>
  <si>
    <t>DD: DOCTOR OF DIVINITY 7</t>
  </si>
  <si>
    <t>DED: DOCTOR OF EDUCATION 1</t>
  </si>
  <si>
    <t>DENGR: DOCTOR OF ENGINEERING 1</t>
  </si>
  <si>
    <t>DENGS: DOCTOR OF ENGINEERING SCIENCES 1</t>
  </si>
  <si>
    <t>DFA: DOCTOR OF FINE ARTS 1</t>
  </si>
  <si>
    <t>DF: DOCTOR OF FORESTRY 1</t>
  </si>
  <si>
    <t>DIT: DOCTOR OF INDUSTRY AND TECHNOLOGY 1</t>
  </si>
  <si>
    <t>JD: DOCTOR OF JURIS PRUDENCE 2</t>
  </si>
  <si>
    <t>LLD: DOCTOR OF LEARNED LAW 7</t>
  </si>
  <si>
    <t>DLS: DOCTOR OF LIBRARY SCIENCE 1</t>
  </si>
  <si>
    <t>MD: DOCTOR OF MEDICINE 2</t>
  </si>
  <si>
    <t>FDCH: DOCTOR OF MEDICINE (FOREIGN) 2</t>
  </si>
  <si>
    <t>DMIN: DOCTOR OF MINISTRY 2</t>
  </si>
  <si>
    <t>DML: DOCTOR OF MODERN LANGUAGES 1</t>
  </si>
  <si>
    <t>DM: DOCTOR OF MUSIC 1</t>
  </si>
  <si>
    <t>DMED: DOCTOR OF MUSIC EDUCATION 1</t>
  </si>
  <si>
    <t>DMA: DOCTOR OF MUSICAL ARTS 1</t>
  </si>
  <si>
    <t>FDNS: DOCTOR OF NATURAL SCIENCE(FOREIGN) 1</t>
  </si>
  <si>
    <t>DNP: DOCTOR OF NURSING PRACTICE 1</t>
  </si>
  <si>
    <t>DNSC: DOCTOR OF NURSING SCIENCE 1</t>
  </si>
  <si>
    <t>DO: DOCTOR OF OPHTHALMOLOGY 2</t>
  </si>
  <si>
    <t>OD: DOCTOR OF OPTOMETRY 2</t>
  </si>
  <si>
    <t>DOM: DOCTOR OF OSTEOPATHIC MEDICINE 2</t>
  </si>
  <si>
    <t>DRPED: DOCTOR OF PEDAGOGY 1</t>
  </si>
  <si>
    <t>PHCYD: DOCTOR OF PHARMACY 1</t>
  </si>
  <si>
    <t>PHD: DOCTOR OF PHILOSOPHY 1</t>
  </si>
  <si>
    <t>DPE: DOCTOR OF PHYSICAL EDUCATION 1</t>
  </si>
  <si>
    <t>DPT: DOCTOR OF PHYSICAL THERAPY 1</t>
  </si>
  <si>
    <t>DPM: DOCTOR OF PODIATRIC MEDICINE 2</t>
  </si>
  <si>
    <t>PSYD: DOCTOR OF PSYCHOLOGY 1</t>
  </si>
  <si>
    <t>DPA: DOCTOR OF PUBLIC ADMINISTRATION (OR AFFAIRS) 1</t>
  </si>
  <si>
    <t>DPH: DOCTOR OF PUBLIC HEALTH 1</t>
  </si>
  <si>
    <t>DRREC: DOCTOR OF RECREATION 1</t>
  </si>
  <si>
    <t>RHD: DOCTOR OF REHABILITATION 1</t>
  </si>
  <si>
    <t>STD: DOCTOR OF SACRED THEOLOGY 1</t>
  </si>
  <si>
    <t>DS: DOCTOR OF SCIENCE 1</t>
  </si>
  <si>
    <t>SJD: DOCTOR OF SCIENCE IN JURIS PRUDENCE 1</t>
  </si>
  <si>
    <t>DSN: DOCTOR OF SCIENCE IN NURSING 1</t>
  </si>
  <si>
    <t>DSW: DOCTOR OF SOCIAL WORK 1</t>
  </si>
  <si>
    <t>THD: DOCTOR OF THEOLOGY 1</t>
  </si>
  <si>
    <t>DVM: DOCTOR OF VETERINARY MEDICINE 2</t>
  </si>
  <si>
    <t>EE: ELECTRICAL ENGINEER 4</t>
  </si>
  <si>
    <t>FNP: FAMILY NURSE PRACTITIONER 3</t>
  </si>
  <si>
    <t>BAS: FOREIGN BACHELOR'S LEVEL DEGREE 4</t>
  </si>
  <si>
    <t>FRED: FOREIGN DEGREE 7</t>
  </si>
  <si>
    <t>FD: FOREIGN DOCTORATE LEVEL DEGREE 1</t>
  </si>
  <si>
    <t>FP: FOREIGN FIRST PROFESSIONAL LEVEL DEGREE 2</t>
  </si>
  <si>
    <t>FLFM: FOREIGN LANGUAGE DEGREE 3</t>
  </si>
  <si>
    <t>FM: FOREIGN MASTER'S LEVEL DEGREE 3</t>
  </si>
  <si>
    <t>HSD: HEALTH SCIENCE DOCTORATE 1</t>
  </si>
  <si>
    <t>HD: HONORARY DOCTORATE 7</t>
  </si>
  <si>
    <t>LPN: LICENSED PRACTICAL NURSE 6</t>
  </si>
  <si>
    <t>LFM: LICENTA IN FILOLOGIA MODERNA 3</t>
  </si>
  <si>
    <t>LAR: LICENTIATE IN ARTS 3</t>
  </si>
  <si>
    <t>LDA: LICENTIATE IN DRAMATIC ARTS 3</t>
  </si>
  <si>
    <t>MACC: MASTER OF ACCOUNTANCY 3</t>
  </si>
  <si>
    <t>MAC: MASTER OF ACCOUNTING 3</t>
  </si>
  <si>
    <t>MAGRI: MASTER OF AGRICULTURE 3</t>
  </si>
  <si>
    <t>MAE: MASTER OF AGRICULTURE EDUCATION 3</t>
  </si>
  <si>
    <t>MAA: MASTER OF APPLIED ANTHROPOLOGY 3</t>
  </si>
  <si>
    <t>MSTAT: MASTER OF APPLIED STATISTICS 3</t>
  </si>
  <si>
    <t>MARCH: MASTER OF ARCHITECTURE 3</t>
  </si>
  <si>
    <t>AM: MASTER OF ARTS 3</t>
  </si>
  <si>
    <t>MACT: MASTER OF ARTS IN COLLEGE TEACHING 3</t>
  </si>
  <si>
    <t>MAED: MASTER OF ARTS IN EDUCATION 3</t>
  </si>
  <si>
    <t>AMLS: MASTER OF ARTS IN LIBRARY SCIENCE 3</t>
  </si>
  <si>
    <t>MASA: MASTER OF ARTS IN SPORTS ADMINISTRATION 3</t>
  </si>
  <si>
    <t>MAT: MASTER OF ARTS IN TEACHING 3</t>
  </si>
  <si>
    <t>MBA: MASTER OF BUSINESS ADMINISTRATION 3</t>
  </si>
  <si>
    <t>MBSE: MASTER OF BUSINESS EDUCATION 3</t>
  </si>
  <si>
    <t>MBS: MASTER OF BUSINESS SCIENCE 3</t>
  </si>
  <si>
    <t>MCHE: MASTER OF CHEMICAL ENGINEERING 3</t>
  </si>
  <si>
    <t>MCRP: MASTER OF CITY &amp; REGIONAL PLANNING 3</t>
  </si>
  <si>
    <t>MCP: MASTER OF CITY PLANNING 3</t>
  </si>
  <si>
    <t>MCE: MASTER OF CIVIL ENGINEERING 3</t>
  </si>
  <si>
    <t>MCM: MASTER OF CONSTRUCTION MANAGEMENT 3</t>
  </si>
  <si>
    <t>MCJ: MASTER OF CRIMINAL JUSTICE 3</t>
  </si>
  <si>
    <t>MDIV: MASTER OF DIVINITY 2</t>
  </si>
  <si>
    <t>MADED: MASTER OF DRIVER EDUCATION 3</t>
  </si>
  <si>
    <t>ME: MASTER OF ECONOMICS 3</t>
  </si>
  <si>
    <t>EDM: MASTER OF EDUCATION 3</t>
  </si>
  <si>
    <t>MEA: MASTER OF EDUCATIONAL ADMINISTRATION 3</t>
  </si>
  <si>
    <t>MENGR: MASTER OF ENGINEERING 3</t>
  </si>
  <si>
    <t>MEND: MASTER OF ENVIRONMENTAL DESIGN 3</t>
  </si>
  <si>
    <t>MSEH: MASTER OF ENVIRONMENTAL HEALTH 3</t>
  </si>
  <si>
    <t>MEM: MASTER OF ENVIRONMENTAL MANAGEMENT 3</t>
  </si>
  <si>
    <t>MES: MASTER OF EXPERIMENTAL STATISTICS (OR ENGINEERING SCIENCES) 3</t>
  </si>
  <si>
    <t>MFA: MASTER OF FINE ARTS 3</t>
  </si>
  <si>
    <t>MFS: MASTER OF FOREST SCIENCE 3</t>
  </si>
  <si>
    <t>MF: MASTER OF FORESTRY 3</t>
  </si>
  <si>
    <t>MGA: MASTER OF GOVERNMENTAL ADMINISTRATION 3</t>
  </si>
  <si>
    <t>MHAD: MASTER OF HEALTH ADMINISTRATION 3</t>
  </si>
  <si>
    <t>MHE: MASTER OF HOME ECONOMICS 3</t>
  </si>
  <si>
    <t>MHA: MASTER OF HOSPITAL ADMINISTRATION 3</t>
  </si>
  <si>
    <t>MHDL: MASTER OF HUMAN DEVELOPMENT AND LEARNING 3</t>
  </si>
  <si>
    <t>MIA: MASTER OF INDUSTRIAL ARTS 3</t>
  </si>
  <si>
    <t>MIE: MASTER OF INDUSTRIAL ENGINEERING 3</t>
  </si>
  <si>
    <t>MIT: MASTER OF INDUSTRIAL TECHNOLOGY 3</t>
  </si>
  <si>
    <t>MIS: MASTER OF INFORMATION SCIENCES 3</t>
  </si>
  <si>
    <t>MI: MASTER OF INSURANCE 3</t>
  </si>
  <si>
    <t>MIM: MASTER OF INTERNATIONAL MANAGEMENT 3</t>
  </si>
  <si>
    <t>MIR: MASTER OF INTERNATIONAL RELATIONS 3</t>
  </si>
  <si>
    <t>MLA: MASTER OF LANDSCAPE ARCHITECTURE 3</t>
  </si>
  <si>
    <t>LLM: MASTER OF LAW 3</t>
  </si>
  <si>
    <t>ML: MASTER OF LETTERS 3</t>
  </si>
  <si>
    <t>ALM: MASTER OF LIBERAL ARTS 3</t>
  </si>
  <si>
    <t>MLN: MASTER OF LIBRARIANSHIP 3</t>
  </si>
  <si>
    <t>MLIS: MASTER OF LIBRARY INFORMATION SCIENCES 3</t>
  </si>
  <si>
    <t>MLS: MASTER OF LIBRARY SCIENCE (OR LIBRARY SERVICES OR LIFE SCIENCES) 3</t>
  </si>
  <si>
    <t>LITM: MASTER OF LITERATURE 3</t>
  </si>
  <si>
    <t>FMLIT: MASTER OF LITERATURE (FOREIGN) 3</t>
  </si>
  <si>
    <t>MMGT: MASTER OF MANAGEMENT 3</t>
  </si>
  <si>
    <t>MMC: MASTER OF MASS COMMUNICATION 3</t>
  </si>
  <si>
    <t>MSME: MASTER OF MECHANICAL (OR MATERIALS) ENGINEERING 3</t>
  </si>
  <si>
    <t>MM: MASTER OF MUSIC 3</t>
  </si>
  <si>
    <t>MME: MASTER OF MUSIC EDUCATION 3</t>
  </si>
  <si>
    <t>MMA: MASTER OF MUSICAL ARTS 3</t>
  </si>
  <si>
    <t>MNO: MASTER OF NON-PROFIT ORGANIZATION 3</t>
  </si>
  <si>
    <t>MNE: MASTER OF NUCLEAR ENGINEERING 3</t>
  </si>
  <si>
    <t>MN: MASTER OF NURSING 3</t>
  </si>
  <si>
    <t>MNED: MASTER OF NURSING EDUCATION 3</t>
  </si>
  <si>
    <t>MNSC: MASTER OF NURSING SCIENCE 3</t>
  </si>
  <si>
    <t>MPRTM: MASTER OF PARKS &amp; RECREATION TRAVEL MANAGEMENT 3</t>
  </si>
  <si>
    <t>MPHL: MASTER OF PHILOSOPHY 3</t>
  </si>
  <si>
    <t>FMPHL: MASTER OF PHILOSOPHY (FOREIGN) 3</t>
  </si>
  <si>
    <t>MPT: MASTER OF PHYSICAL THERAPY 3</t>
  </si>
  <si>
    <t>MP: MASTER OF PHYSICS 3</t>
  </si>
  <si>
    <t>MPL: MASTER OF PLANNING 3</t>
  </si>
  <si>
    <t>MPPPM: MASTER OF PLANT PROTECTION OF PEST MANAGEMENT 3</t>
  </si>
  <si>
    <t>MPD: MASTER OF PRODUCT DESIGN 3</t>
  </si>
  <si>
    <t>MPW: MASTER OF PROFESSIONAL WRITING 3</t>
  </si>
  <si>
    <t>MPM: MASTER OF PROJECT MANAGEMENT•• 3</t>
  </si>
  <si>
    <t>MPIA: MASTER OF PUBLIC &amp; INTERNAL AFFAIRS 3</t>
  </si>
  <si>
    <t>MPA: MASTER OF PUBLIC ADMINISTRATION (OR AFFAIRS) 3</t>
  </si>
  <si>
    <t>MPPM: MASTER OF PUBLIC AND PRIVATE MANAGEMENT 3</t>
  </si>
  <si>
    <t>MPH: MASTER OF PUBLIC HEALTH 3</t>
  </si>
  <si>
    <t>MPP: MASTER OF PUBLIC POLICY 3</t>
  </si>
  <si>
    <t>MRE: MASTER OF RECREATION EDUCATION 3</t>
  </si>
  <si>
    <t>MRR: MASTER OF RECREATION RESOURCES 3</t>
  </si>
  <si>
    <t>MRP: MASTER OF REGIONAL PLANNING 3</t>
  </si>
  <si>
    <t>MSRCO: MASTER OF REHABILITATION COUNSELING 3</t>
  </si>
  <si>
    <t>MSM: MASTER OF SACRED MUSIC 3</t>
  </si>
  <si>
    <t>STM: MASTER OF SACRED THEOLOGY 3</t>
  </si>
  <si>
    <t>MSAD: MASTER OF SCHOOL ADMINISTRATION 3</t>
  </si>
  <si>
    <t>MS: MASTER OF SCIENCE 3</t>
  </si>
  <si>
    <t>MSA: MASTER OF SCIENCE IN ACCOUNTING 3</t>
  </si>
  <si>
    <t>MSAS: MASTER OF SCIENCE IN ADMINISTRATIVE SERVICES 3</t>
  </si>
  <si>
    <t>MSBA: MASTER OF SCIENCE IN BUSINESS ADMINISTRATION 3</t>
  </si>
  <si>
    <t>MSBE: MASTER OF SCIENCE IN BUSINESS EDUCATION 3</t>
  </si>
  <si>
    <t>MSCE: MASTER OF SCIENCE IN CIVIL ENGINEERING 3</t>
  </si>
  <si>
    <t>MSED: MASTER OF SCIENCE IN EDUCATION 3</t>
  </si>
  <si>
    <t>MSEE: MASTER OF SCIENCE IN ELECTRONIC (OR ELECTRICAL, OR ENVIRONMENTAL) 3</t>
  </si>
  <si>
    <t>MSE: MASTER OF SCIENCE IN ENGINEERING 3</t>
  </si>
  <si>
    <t>MSEM: MASTER OF SCIENCE IN ENGINEERING MECHANICS 3</t>
  </si>
  <si>
    <t>MSES: MASTER OF SCIENCE IN ENVIRONMENTAL SCIENCE 3</t>
  </si>
  <si>
    <t>MSF: MASTER OF SCIENCE IN FORESTRY 3</t>
  </si>
  <si>
    <t>MSHE: MASTER OF SCIENCE IN HOME ECONOMICS 3</t>
  </si>
  <si>
    <t>MSJ: MASTER OF SCIENCE IN JOURNALISM 3</t>
  </si>
  <si>
    <t>MSLS: MASTER OF SCIENCE IN LIBRARY SCIENCE 3</t>
  </si>
  <si>
    <t>MSNE: MASTER OF SCIENCE IN NUCLEAR ENGINEERING 3</t>
  </si>
  <si>
    <t>MSN: MASTER OF SCIENCE IN NURSING 3</t>
  </si>
  <si>
    <t>MSNMB: MASTER OF SCIENCE IN NURSING/MASTER OF BUSINESS ADMINISTRATION 3</t>
  </si>
  <si>
    <t>MSPE: MASTER OF SCIENCE IN PHYSICAL EDUCATION 3</t>
  </si>
  <si>
    <t>MSPH: MASTER OF SCIENCE IN PUBLIC HEALTH 3</t>
  </si>
  <si>
    <t>MSSW: MASTER OF SCIENCE IN SOCIAL WELFARE 3</t>
  </si>
  <si>
    <t>MSSA: MASTER OF SCIENCE IN SPORTS ADMINISTRATION 3</t>
  </si>
  <si>
    <t>MST: MASTER OF SCIENCE IN TEACHING 3</t>
  </si>
  <si>
    <t>MSTX: MASTER OF SCIENCE IN TEXTILES 3</t>
  </si>
  <si>
    <t>MSS: MASTER OF SOCIAL SCIENCES 3</t>
  </si>
  <si>
    <t>MSW: MASTER OF SOCIAL WORK 3</t>
  </si>
  <si>
    <t>MSP: MASTER OF SPEECH PATHOLOGY 3</t>
  </si>
  <si>
    <t>MAS: MASTER OF STATISTICS (OR SOCIOLOGY) 3</t>
  </si>
  <si>
    <t>MTID: MASTER OF TECHNOLOGY FOR INTERNATIONAL DEVELOPMENT 3</t>
  </si>
  <si>
    <t>MTH: MASTER OF THEOLOGY 3</t>
  </si>
  <si>
    <t>MUA: MASTER OF URBAN ADMINISTRATION 3</t>
  </si>
  <si>
    <t>MUP: MASTER OF URBAN PLANNING 3</t>
  </si>
  <si>
    <t>MWT: MASTER OF WOOD TECHNOLOGY 3</t>
  </si>
  <si>
    <t>MUSE: MASTER URBAN SYSTEM ENGINEER 3</t>
  </si>
  <si>
    <t>MHS: MASTERS, HEALTH SCIENCES 3</t>
  </si>
  <si>
    <t>ZZZZZ: NO DEGREE 9</t>
  </si>
  <si>
    <t>PE: PHYSICIAN EXTENDER 3</t>
  </si>
  <si>
    <t>PC: PROFESSIONAL CERTIFICATE 6</t>
  </si>
  <si>
    <t>PD: PROFESSIONAL DIPLOMA 6</t>
  </si>
  <si>
    <t>RN: REGISTERED NURSE 6</t>
  </si>
  <si>
    <t>EDS: SPECIALIST IN EDUCATION 7</t>
  </si>
  <si>
    <t>SSP: SPECIALIST IN SCHOOL PSYCHOLOGY 7</t>
  </si>
  <si>
    <r>
      <t xml:space="preserve">Highest Earned Degree Abbreviations </t>
    </r>
    <r>
      <rPr>
        <b/>
        <sz val="10"/>
        <rFont val="Arial"/>
        <family val="2"/>
      </rPr>
      <t>1</t>
    </r>
  </si>
  <si>
    <t>1 = Nonresident Alien</t>
  </si>
  <si>
    <t>2 = Race and Ethnicity Unknown</t>
  </si>
  <si>
    <t>3 = Hispanics of any race</t>
  </si>
  <si>
    <t>4 = American Indiam or Alaska Native (For non-Hispanics only)</t>
  </si>
  <si>
    <t>5 = Asian (For non-Hispanics only)</t>
  </si>
  <si>
    <t>6 = Black or African American (For non-Hispanics only)</t>
  </si>
  <si>
    <t>7 = Native Hawaiian or Other Pacific Islander (For non-Hispanics only)</t>
  </si>
  <si>
    <t>8 = White (For non-Hispanics only)</t>
  </si>
  <si>
    <t>9 = Two or more races</t>
  </si>
  <si>
    <t xml:space="preserve">If you are currently employed with any North Carolina State agency you need to complete the Dual Employment form, in place of the E-Rec. </t>
  </si>
  <si>
    <t>Department Rank for Administrator:</t>
  </si>
  <si>
    <t>Afghanistan</t>
  </si>
  <si>
    <t>AF / AFG </t>
  </si>
  <si>
    <t>Albania</t>
  </si>
  <si>
    <t>AL / ALB </t>
  </si>
  <si>
    <t>Algeria</t>
  </si>
  <si>
    <t>DZ / DZA </t>
  </si>
  <si>
    <t>American Samoa</t>
  </si>
  <si>
    <t>AS / ASM </t>
  </si>
  <si>
    <t>Andorra</t>
  </si>
  <si>
    <t>AD / AND </t>
  </si>
  <si>
    <t>Angola</t>
  </si>
  <si>
    <t>AO / AGO </t>
  </si>
  <si>
    <t>Anguilla</t>
  </si>
  <si>
    <t>AI / AIA </t>
  </si>
  <si>
    <t>Antarctica</t>
  </si>
  <si>
    <t>AQ / ATA </t>
  </si>
  <si>
    <t>Antigua and Barbuda</t>
  </si>
  <si>
    <t>AG / ATG </t>
  </si>
  <si>
    <t>Argentina</t>
  </si>
  <si>
    <t>AR / ARG </t>
  </si>
  <si>
    <t>Armenia</t>
  </si>
  <si>
    <t>AM / ARM </t>
  </si>
  <si>
    <t>Aruba</t>
  </si>
  <si>
    <t>AW / ABW </t>
  </si>
  <si>
    <t>Australia</t>
  </si>
  <si>
    <t>AU / AUS </t>
  </si>
  <si>
    <t>Austria</t>
  </si>
  <si>
    <t>AT / AUT </t>
  </si>
  <si>
    <t>Azerbaijan</t>
  </si>
  <si>
    <t>AZ / AZE </t>
  </si>
  <si>
    <t>Bahamas</t>
  </si>
  <si>
    <t>BS / BHS </t>
  </si>
  <si>
    <t>Bahrain</t>
  </si>
  <si>
    <t>BH / BHR </t>
  </si>
  <si>
    <t>Bangladesh</t>
  </si>
  <si>
    <t>BD / BGD </t>
  </si>
  <si>
    <t>Barbados</t>
  </si>
  <si>
    <t>BB / BRB </t>
  </si>
  <si>
    <t>Belarus</t>
  </si>
  <si>
    <t>BY / BLR </t>
  </si>
  <si>
    <t>Belgium</t>
  </si>
  <si>
    <t>BE / BEL </t>
  </si>
  <si>
    <t>Belize</t>
  </si>
  <si>
    <t>BZ / BLZ </t>
  </si>
  <si>
    <t>Benin</t>
  </si>
  <si>
    <t>BJ / BEN </t>
  </si>
  <si>
    <t>Bermuda</t>
  </si>
  <si>
    <t>BM / BMU </t>
  </si>
  <si>
    <t>Bhutan</t>
  </si>
  <si>
    <t>BT / BTN </t>
  </si>
  <si>
    <t>Bolivia</t>
  </si>
  <si>
    <t>BO / BOL </t>
  </si>
  <si>
    <t>Bosnia and Herzegovina</t>
  </si>
  <si>
    <t>BA / BIH </t>
  </si>
  <si>
    <t>Botswana</t>
  </si>
  <si>
    <t>BW / BWA </t>
  </si>
  <si>
    <t>Brazil</t>
  </si>
  <si>
    <t>BR / BRA </t>
  </si>
  <si>
    <t>British Indian Ocean Territory</t>
  </si>
  <si>
    <t>IO / IOT </t>
  </si>
  <si>
    <t>British Virgin Islands</t>
  </si>
  <si>
    <t>VG / VGB </t>
  </si>
  <si>
    <t>Brunei</t>
  </si>
  <si>
    <t>BN / BRN </t>
  </si>
  <si>
    <t>Bulgaria</t>
  </si>
  <si>
    <t>BG / BGR </t>
  </si>
  <si>
    <t>Burkina Faso</t>
  </si>
  <si>
    <t>BF / BFA </t>
  </si>
  <si>
    <t>Burma (Myanmar)</t>
  </si>
  <si>
    <t>MM / MMR </t>
  </si>
  <si>
    <t>Burundi</t>
  </si>
  <si>
    <t>BI / BDI </t>
  </si>
  <si>
    <t>Cambodia</t>
  </si>
  <si>
    <t>KH / KHM </t>
  </si>
  <si>
    <t>Cameroon</t>
  </si>
  <si>
    <t>CM / CMR </t>
  </si>
  <si>
    <t>Canada</t>
  </si>
  <si>
    <t>CA / CAN </t>
  </si>
  <si>
    <t>Cape Verde</t>
  </si>
  <si>
    <t>CV / CPV </t>
  </si>
  <si>
    <t>Cayman Islands</t>
  </si>
  <si>
    <t>KY / CYM </t>
  </si>
  <si>
    <t>Central African Republic</t>
  </si>
  <si>
    <t>CF / CAF </t>
  </si>
  <si>
    <t>Chad</t>
  </si>
  <si>
    <t>TD / TCD </t>
  </si>
  <si>
    <t>Chile</t>
  </si>
  <si>
    <t>CL / CHL </t>
  </si>
  <si>
    <t>China</t>
  </si>
  <si>
    <t>CN / CHN </t>
  </si>
  <si>
    <t>Christmas Island</t>
  </si>
  <si>
    <t>CX / CXR </t>
  </si>
  <si>
    <t>Cocos (Keeling) Islands</t>
  </si>
  <si>
    <t>CC / CCK </t>
  </si>
  <si>
    <t>Colombia</t>
  </si>
  <si>
    <t>CO / COL </t>
  </si>
  <si>
    <t>Comoros</t>
  </si>
  <si>
    <t>KM / COM </t>
  </si>
  <si>
    <t>Cook Islands</t>
  </si>
  <si>
    <t>CK / COK </t>
  </si>
  <si>
    <t>Costa Rica</t>
  </si>
  <si>
    <t>CR / CRC </t>
  </si>
  <si>
    <t>Croatia</t>
  </si>
  <si>
    <t>HR / HRV </t>
  </si>
  <si>
    <t>Cuba</t>
  </si>
  <si>
    <t>CU / CUB </t>
  </si>
  <si>
    <t>Cyprus</t>
  </si>
  <si>
    <t>CY / CYP </t>
  </si>
  <si>
    <t>Czech Republic</t>
  </si>
  <si>
    <t>CZ / CZE </t>
  </si>
  <si>
    <t>Democratic Republic of the Congo</t>
  </si>
  <si>
    <t>CD / COD </t>
  </si>
  <si>
    <t>Denmark</t>
  </si>
  <si>
    <t>DK / DNK </t>
  </si>
  <si>
    <t>Djibouti</t>
  </si>
  <si>
    <t>DJ / DJI </t>
  </si>
  <si>
    <t>Dominica</t>
  </si>
  <si>
    <t>DM / DMA </t>
  </si>
  <si>
    <t>Dominican Republic</t>
  </si>
  <si>
    <t>DO / DOM </t>
  </si>
  <si>
    <t>Ecuador</t>
  </si>
  <si>
    <t>EC / ECU </t>
  </si>
  <si>
    <t>Egypt</t>
  </si>
  <si>
    <t>EG / EGY </t>
  </si>
  <si>
    <t>El Salvador</t>
  </si>
  <si>
    <t>SV / SLV </t>
  </si>
  <si>
    <t>Equatorial Guinea</t>
  </si>
  <si>
    <t>GQ / GNQ </t>
  </si>
  <si>
    <t>Eritrea</t>
  </si>
  <si>
    <t>ER / ERI </t>
  </si>
  <si>
    <t>Estonia</t>
  </si>
  <si>
    <t>EE / EST </t>
  </si>
  <si>
    <t>Ethiopia</t>
  </si>
  <si>
    <t>ET / ETH </t>
  </si>
  <si>
    <t>Falkland Islands</t>
  </si>
  <si>
    <t>FK / FLK </t>
  </si>
  <si>
    <t>Faroe Islands</t>
  </si>
  <si>
    <t>FO / FRO </t>
  </si>
  <si>
    <t>Fiji</t>
  </si>
  <si>
    <t>FJ / FJI </t>
  </si>
  <si>
    <t>Finland</t>
  </si>
  <si>
    <t>FI / FIN </t>
  </si>
  <si>
    <t>France</t>
  </si>
  <si>
    <t>FR / FRA </t>
  </si>
  <si>
    <t>French Polynesia</t>
  </si>
  <si>
    <t>PF / PYF </t>
  </si>
  <si>
    <t>Gabon</t>
  </si>
  <si>
    <t>GA / GAB </t>
  </si>
  <si>
    <t>Gambia</t>
  </si>
  <si>
    <t>GM / GMB </t>
  </si>
  <si>
    <t>Gaza Strip</t>
  </si>
  <si>
    <t>/  </t>
  </si>
  <si>
    <t>GE / GEO </t>
  </si>
  <si>
    <t>Germany</t>
  </si>
  <si>
    <t>DE / DEU </t>
  </si>
  <si>
    <t>Ghana</t>
  </si>
  <si>
    <t>GH / GHA </t>
  </si>
  <si>
    <t>Gibraltar</t>
  </si>
  <si>
    <t>GI / GIB </t>
  </si>
  <si>
    <t>Greece</t>
  </si>
  <si>
    <t>GR / GRC </t>
  </si>
  <si>
    <t>Greenland</t>
  </si>
  <si>
    <t>GL / GRL </t>
  </si>
  <si>
    <t>Grenada</t>
  </si>
  <si>
    <t>GD / GRD </t>
  </si>
  <si>
    <t>Guam</t>
  </si>
  <si>
    <t>GU / GUM </t>
  </si>
  <si>
    <t>Guatemala</t>
  </si>
  <si>
    <t>GT / GTM </t>
  </si>
  <si>
    <t>Guinea</t>
  </si>
  <si>
    <t>GN / GIN </t>
  </si>
  <si>
    <t>Guinea-Bissau</t>
  </si>
  <si>
    <t>GW / GNB </t>
  </si>
  <si>
    <t>Guyana</t>
  </si>
  <si>
    <t>GY / GUY </t>
  </si>
  <si>
    <t>Haiti</t>
  </si>
  <si>
    <t>HT / HTI </t>
  </si>
  <si>
    <t>Holy See (Vatican City)</t>
  </si>
  <si>
    <t>VA / VAT </t>
  </si>
  <si>
    <t>Honduras</t>
  </si>
  <si>
    <t>HN / HND </t>
  </si>
  <si>
    <t>Hong Kong</t>
  </si>
  <si>
    <t>HK / HKG </t>
  </si>
  <si>
    <t>Hungary</t>
  </si>
  <si>
    <t>HU / HUN </t>
  </si>
  <si>
    <t>Iceland</t>
  </si>
  <si>
    <t>IS / IS </t>
  </si>
  <si>
    <t>India</t>
  </si>
  <si>
    <t>IN / IND </t>
  </si>
  <si>
    <t>Indonesia</t>
  </si>
  <si>
    <t>ID / IDN </t>
  </si>
  <si>
    <t>Iran</t>
  </si>
  <si>
    <t>IR / IRN </t>
  </si>
  <si>
    <t>Iraq</t>
  </si>
  <si>
    <t>IQ / IRQ </t>
  </si>
  <si>
    <t>Ireland</t>
  </si>
  <si>
    <t>IE / IRL </t>
  </si>
  <si>
    <t>Isle of Man</t>
  </si>
  <si>
    <t>IM / IMN </t>
  </si>
  <si>
    <t>Israel</t>
  </si>
  <si>
    <t>IL / ISR </t>
  </si>
  <si>
    <t>Italy</t>
  </si>
  <si>
    <t>IT / ITA </t>
  </si>
  <si>
    <t>Ivory Coast</t>
  </si>
  <si>
    <t>CI / CIV </t>
  </si>
  <si>
    <t>Jamaica</t>
  </si>
  <si>
    <t>JM / JAM </t>
  </si>
  <si>
    <t>Japan</t>
  </si>
  <si>
    <t>JP / JPN </t>
  </si>
  <si>
    <t>Jersey</t>
  </si>
  <si>
    <t>JE / JEY </t>
  </si>
  <si>
    <t>Jordan</t>
  </si>
  <si>
    <t>JO / JOR </t>
  </si>
  <si>
    <t>Kazakhstan</t>
  </si>
  <si>
    <t>KZ / KAZ </t>
  </si>
  <si>
    <t>Kenya</t>
  </si>
  <si>
    <t>KE / KEN </t>
  </si>
  <si>
    <t>Kiribati</t>
  </si>
  <si>
    <t>KI / KIR </t>
  </si>
  <si>
    <t>Kosovo</t>
  </si>
  <si>
    <t>Kuwait</t>
  </si>
  <si>
    <t>KW / KWT </t>
  </si>
  <si>
    <t>Kyrgyzstan</t>
  </si>
  <si>
    <t>KG / KGZ </t>
  </si>
  <si>
    <t>Laos</t>
  </si>
  <si>
    <t>LA / LAO </t>
  </si>
  <si>
    <t>Latvia</t>
  </si>
  <si>
    <t>LV / LVA </t>
  </si>
  <si>
    <t>Lebanon</t>
  </si>
  <si>
    <t>LB / LBN </t>
  </si>
  <si>
    <t>Lesotho</t>
  </si>
  <si>
    <t>LS / LSO </t>
  </si>
  <si>
    <t>Liberia</t>
  </si>
  <si>
    <t>LR / LBR </t>
  </si>
  <si>
    <t>Libya</t>
  </si>
  <si>
    <t>LY / LBY </t>
  </si>
  <si>
    <t>Liechtenstein</t>
  </si>
  <si>
    <t>LI / LIE </t>
  </si>
  <si>
    <t>Lithuania</t>
  </si>
  <si>
    <t>LT / LTU </t>
  </si>
  <si>
    <t>Luxembourg</t>
  </si>
  <si>
    <t>LU / LUX </t>
  </si>
  <si>
    <t>Macau</t>
  </si>
  <si>
    <t>MO / MAC </t>
  </si>
  <si>
    <t>Macedonia</t>
  </si>
  <si>
    <t>MK / MKD </t>
  </si>
  <si>
    <t>Madagascar</t>
  </si>
  <si>
    <t>MG / MDG </t>
  </si>
  <si>
    <t>Malawi</t>
  </si>
  <si>
    <t>MW / MWI </t>
  </si>
  <si>
    <t>Malaysia</t>
  </si>
  <si>
    <t>MY / MYS </t>
  </si>
  <si>
    <t>Maldives</t>
  </si>
  <si>
    <t>MV / MDV </t>
  </si>
  <si>
    <t>Mali</t>
  </si>
  <si>
    <t>ML / MLI </t>
  </si>
  <si>
    <t>Malta</t>
  </si>
  <si>
    <t>MT / MLT </t>
  </si>
  <si>
    <t>Marshall Islands</t>
  </si>
  <si>
    <t>MH / MHL </t>
  </si>
  <si>
    <t>Mauritania</t>
  </si>
  <si>
    <t>MR / MRT </t>
  </si>
  <si>
    <t>Mauritius</t>
  </si>
  <si>
    <t>MU / MUS </t>
  </si>
  <si>
    <t>Mayotte</t>
  </si>
  <si>
    <t>YT / MYT </t>
  </si>
  <si>
    <t>Mexico</t>
  </si>
  <si>
    <t>MX / MEX </t>
  </si>
  <si>
    <t>Micronesia</t>
  </si>
  <si>
    <t>FM / FSM </t>
  </si>
  <si>
    <t>Moldova</t>
  </si>
  <si>
    <t>MD / MDA </t>
  </si>
  <si>
    <t>Monaco</t>
  </si>
  <si>
    <t>MC / MCO </t>
  </si>
  <si>
    <t>Mongolia</t>
  </si>
  <si>
    <t>MN / MNG </t>
  </si>
  <si>
    <t>Montenegro</t>
  </si>
  <si>
    <t>ME / MNE </t>
  </si>
  <si>
    <t>Montserrat</t>
  </si>
  <si>
    <t>MS / MSR </t>
  </si>
  <si>
    <t>Morocco</t>
  </si>
  <si>
    <t>MA / MAR </t>
  </si>
  <si>
    <t>Mozambique</t>
  </si>
  <si>
    <t>MZ / MOZ </t>
  </si>
  <si>
    <t>Namibia</t>
  </si>
  <si>
    <t>NA / NAM </t>
  </si>
  <si>
    <t>Nauru</t>
  </si>
  <si>
    <t>NR / NRU </t>
  </si>
  <si>
    <t>Nepal</t>
  </si>
  <si>
    <t>NP / NPL </t>
  </si>
  <si>
    <t>Netherlands</t>
  </si>
  <si>
    <t>NL / NLD </t>
  </si>
  <si>
    <t>Netherlands Antilles</t>
  </si>
  <si>
    <t>AN / ANT </t>
  </si>
  <si>
    <t>New Caledonia</t>
  </si>
  <si>
    <t>NC / NCL </t>
  </si>
  <si>
    <t>New Zealand</t>
  </si>
  <si>
    <t>NZ / NZL </t>
  </si>
  <si>
    <t>Nicaragua</t>
  </si>
  <si>
    <t>NI / NIC </t>
  </si>
  <si>
    <t>Niger</t>
  </si>
  <si>
    <t>NE / NER </t>
  </si>
  <si>
    <t>Nigeria</t>
  </si>
  <si>
    <t>NG / NGA </t>
  </si>
  <si>
    <t>Niue</t>
  </si>
  <si>
    <t>NU / NIU </t>
  </si>
  <si>
    <t>Norfolk Island</t>
  </si>
  <si>
    <t>/ NFK </t>
  </si>
  <si>
    <t>North Korea</t>
  </si>
  <si>
    <t>KP / PRK </t>
  </si>
  <si>
    <t>Northern Mariana Islands</t>
  </si>
  <si>
    <t>MP / MNP </t>
  </si>
  <si>
    <t>Norway</t>
  </si>
  <si>
    <t>NO / NOR </t>
  </si>
  <si>
    <t>Oman</t>
  </si>
  <si>
    <t>OM / OMN </t>
  </si>
  <si>
    <t>Pakistan</t>
  </si>
  <si>
    <t>PK / PAK </t>
  </si>
  <si>
    <t>Palau</t>
  </si>
  <si>
    <t>PW / PLW </t>
  </si>
  <si>
    <t>Panama</t>
  </si>
  <si>
    <t>PA / PAN </t>
  </si>
  <si>
    <t>Papua New Guinea</t>
  </si>
  <si>
    <t>PG / PNG </t>
  </si>
  <si>
    <t>Paraguay</t>
  </si>
  <si>
    <t>PY / PRY </t>
  </si>
  <si>
    <t>Peru</t>
  </si>
  <si>
    <t>PE / PER </t>
  </si>
  <si>
    <t>Philippines</t>
  </si>
  <si>
    <t>PH / PHL </t>
  </si>
  <si>
    <t>Pitcairn Islands</t>
  </si>
  <si>
    <t>PN / PCN </t>
  </si>
  <si>
    <t>Poland</t>
  </si>
  <si>
    <t>PL / POL </t>
  </si>
  <si>
    <t>Portugal</t>
  </si>
  <si>
    <t>PT / PRT </t>
  </si>
  <si>
    <t>Puerto Rico</t>
  </si>
  <si>
    <t>PR / PRI </t>
  </si>
  <si>
    <t>Qatar</t>
  </si>
  <si>
    <t>QA / QAT </t>
  </si>
  <si>
    <t>Republic of the Congo</t>
  </si>
  <si>
    <t>CG / COG </t>
  </si>
  <si>
    <t>Romania</t>
  </si>
  <si>
    <t>RO / ROU </t>
  </si>
  <si>
    <t>Russia</t>
  </si>
  <si>
    <t>RU / RUS </t>
  </si>
  <si>
    <t>Rwanda</t>
  </si>
  <si>
    <t>RW / RWA </t>
  </si>
  <si>
    <t>Saint Barthelemy</t>
  </si>
  <si>
    <t>BL / BLM </t>
  </si>
  <si>
    <t>Saint Helena</t>
  </si>
  <si>
    <t>SH / SHN </t>
  </si>
  <si>
    <t>Saint Kitts and Nevis</t>
  </si>
  <si>
    <t>KN / KNA </t>
  </si>
  <si>
    <t>Saint Lucia</t>
  </si>
  <si>
    <t>LC / LCA </t>
  </si>
  <si>
    <t>Saint Martin</t>
  </si>
  <si>
    <t>MF / MAF </t>
  </si>
  <si>
    <t>Saint Pierre and Miquelon</t>
  </si>
  <si>
    <t>PM / SPM </t>
  </si>
  <si>
    <t>Saint Vincent and the Grenadines</t>
  </si>
  <si>
    <t>VC / VCT </t>
  </si>
  <si>
    <t>Samoa</t>
  </si>
  <si>
    <t>WS / WSM </t>
  </si>
  <si>
    <t>San Marino</t>
  </si>
  <si>
    <t>SM / SMR </t>
  </si>
  <si>
    <t>Sao Tome and Principe</t>
  </si>
  <si>
    <t>ST / STP </t>
  </si>
  <si>
    <t>Saudi Arabia</t>
  </si>
  <si>
    <t>SA / SAU </t>
  </si>
  <si>
    <t>Senegal</t>
  </si>
  <si>
    <t>SN / SEN </t>
  </si>
  <si>
    <t>Serbia</t>
  </si>
  <si>
    <t>RS / SRB </t>
  </si>
  <si>
    <t>Seychelles</t>
  </si>
  <si>
    <t>SC / SYC </t>
  </si>
  <si>
    <t>Sierra Leone</t>
  </si>
  <si>
    <t>SL / SLE </t>
  </si>
  <si>
    <t>Singapore</t>
  </si>
  <si>
    <t>SG / SGP </t>
  </si>
  <si>
    <t>Slovakia</t>
  </si>
  <si>
    <t>SK / SVK </t>
  </si>
  <si>
    <t>Slovenia</t>
  </si>
  <si>
    <t>SI / SVN </t>
  </si>
  <si>
    <t>Solomon Islands</t>
  </si>
  <si>
    <t>SB / SLB </t>
  </si>
  <si>
    <t>Somalia</t>
  </si>
  <si>
    <t>SO / SOM </t>
  </si>
  <si>
    <t>South Africa</t>
  </si>
  <si>
    <t>ZA / ZAF </t>
  </si>
  <si>
    <t>South Korea</t>
  </si>
  <si>
    <t>KR / KOR </t>
  </si>
  <si>
    <t>Spain</t>
  </si>
  <si>
    <t>ES / ESP </t>
  </si>
  <si>
    <t>Sri Lanka</t>
  </si>
  <si>
    <t>LK / LKA </t>
  </si>
  <si>
    <t>Sudan</t>
  </si>
  <si>
    <t>SD / SDN </t>
  </si>
  <si>
    <t>Suriname</t>
  </si>
  <si>
    <t>SR / SUR </t>
  </si>
  <si>
    <t>Svalbard</t>
  </si>
  <si>
    <t>SJ / SJM </t>
  </si>
  <si>
    <t>Swaziland</t>
  </si>
  <si>
    <t>SZ / SWZ </t>
  </si>
  <si>
    <t>Sweden</t>
  </si>
  <si>
    <t>SE / SWE </t>
  </si>
  <si>
    <t>Switzerland</t>
  </si>
  <si>
    <t>CH / CHE </t>
  </si>
  <si>
    <t>Syria</t>
  </si>
  <si>
    <t>SY / SYR </t>
  </si>
  <si>
    <t>Taiwan</t>
  </si>
  <si>
    <t>TW / TWN </t>
  </si>
  <si>
    <t>Tajikistan</t>
  </si>
  <si>
    <t>TJ / TJK </t>
  </si>
  <si>
    <t>Tanzania</t>
  </si>
  <si>
    <t>TZ / TZA </t>
  </si>
  <si>
    <t>Thailand</t>
  </si>
  <si>
    <t>TH / THA </t>
  </si>
  <si>
    <t>Timor-Leste</t>
  </si>
  <si>
    <t>TL / TLS </t>
  </si>
  <si>
    <t>Togo</t>
  </si>
  <si>
    <t>TG / TGO </t>
  </si>
  <si>
    <t>Tokelau</t>
  </si>
  <si>
    <t>TK / TKL </t>
  </si>
  <si>
    <t>Tonga</t>
  </si>
  <si>
    <t>TO / TON </t>
  </si>
  <si>
    <t>Trinidad and Tobago</t>
  </si>
  <si>
    <t>TT / TTO </t>
  </si>
  <si>
    <t>Tunisia</t>
  </si>
  <si>
    <t>TN / TUN </t>
  </si>
  <si>
    <t>Turkey</t>
  </si>
  <si>
    <t>TR / TUR </t>
  </si>
  <si>
    <t>Turkmenistan</t>
  </si>
  <si>
    <t>TM / TKM </t>
  </si>
  <si>
    <t>Turks and Caicos Islands</t>
  </si>
  <si>
    <t>TC / TCA </t>
  </si>
  <si>
    <t>Tuvalu</t>
  </si>
  <si>
    <t>TV / TUV </t>
  </si>
  <si>
    <t>Uganda</t>
  </si>
  <si>
    <t>UG / UGA </t>
  </si>
  <si>
    <t>Ukraine</t>
  </si>
  <si>
    <t>UA / UKR </t>
  </si>
  <si>
    <t>United Arab Emirates</t>
  </si>
  <si>
    <t>AE / ARE </t>
  </si>
  <si>
    <t>United Kingdom</t>
  </si>
  <si>
    <t>GB / GBR </t>
  </si>
  <si>
    <t>United States</t>
  </si>
  <si>
    <t>US / USA </t>
  </si>
  <si>
    <t>Uruguay</t>
  </si>
  <si>
    <t>UY / URY </t>
  </si>
  <si>
    <t>US Virgin Islands</t>
  </si>
  <si>
    <t>VI / VIR </t>
  </si>
  <si>
    <t>Uzbekistan</t>
  </si>
  <si>
    <t>UZ / UZB </t>
  </si>
  <si>
    <t>Vanuatu</t>
  </si>
  <si>
    <t>VU / VUT </t>
  </si>
  <si>
    <t>Venezuela</t>
  </si>
  <si>
    <t>VE / VEN </t>
  </si>
  <si>
    <t>Vietnam</t>
  </si>
  <si>
    <t>VN / VNM </t>
  </si>
  <si>
    <t>Wallis and Futuna</t>
  </si>
  <si>
    <t>WF / WLF </t>
  </si>
  <si>
    <t>West Bank</t>
  </si>
  <si>
    <t>Western Sahara</t>
  </si>
  <si>
    <t>EH / ESH </t>
  </si>
  <si>
    <t>Yemen</t>
  </si>
  <si>
    <t>YE / YEM </t>
  </si>
  <si>
    <t>Zambia</t>
  </si>
  <si>
    <t>ZM / ZMB </t>
  </si>
  <si>
    <t>Zimbabwe</t>
  </si>
  <si>
    <t>ZW / ZWE </t>
  </si>
  <si>
    <t>Country</t>
  </si>
  <si>
    <t>Country Code</t>
  </si>
  <si>
    <t>Country Code:</t>
  </si>
  <si>
    <t>or Country</t>
  </si>
  <si>
    <t xml:space="preserve">Tenure </t>
  </si>
  <si>
    <t>Has The Prospective Employee ever been Employed by an UNC Campus, NCCU or another State agency?</t>
  </si>
  <si>
    <t>Yes, the prospect was employed by another State Agency</t>
  </si>
  <si>
    <t>Yes, the prospect was employed by another campus in the UNC System</t>
  </si>
  <si>
    <t>Yes, the prospect within the past 3 months was employed at NCCU</t>
  </si>
  <si>
    <t>University College</t>
  </si>
  <si>
    <t>Academic Department:</t>
  </si>
  <si>
    <t>Aerospace Studies</t>
  </si>
  <si>
    <t xml:space="preserve">Academic Departments </t>
  </si>
  <si>
    <t>Institute for Homeland Security &amp; Workforce Development</t>
  </si>
  <si>
    <t>Juvenile Justice Institute (JJI)</t>
  </si>
  <si>
    <t>Institute for the Study of Minority Issues - ISMI</t>
  </si>
  <si>
    <t>Center for Innovation in Health Disparities Research</t>
  </si>
  <si>
    <t>Dispute Resolution Institute</t>
  </si>
  <si>
    <t>Health Careers Center</t>
  </si>
  <si>
    <t>Biotechnological &amp; Pharmaceutical Law</t>
  </si>
  <si>
    <t>Biomanufacturing Research Institute and Technology Enterprise (BRITE)</t>
  </si>
  <si>
    <t>Biomedical Biotechnical Research Institute (BBRI)</t>
  </si>
  <si>
    <t>Institute for Civic Engagement and Social Change (ICESC)</t>
  </si>
  <si>
    <t>College/School/Institute:</t>
  </si>
  <si>
    <t>Chancellor</t>
  </si>
  <si>
    <t>Stipend Only</t>
  </si>
  <si>
    <t>Budget/Contracts/Grants Officer</t>
  </si>
  <si>
    <t>Preparer Contact Information (type information only)</t>
  </si>
  <si>
    <t>Above must give an explanation for stipend or need for additional funds</t>
  </si>
  <si>
    <t>Centers for Research Excellence in Science and Technology (CREST)</t>
  </si>
  <si>
    <t>Graduate Studies</t>
  </si>
  <si>
    <t>Division of Extended Studies</t>
  </si>
  <si>
    <t>Distance Education</t>
  </si>
  <si>
    <t>University Honors Program</t>
  </si>
  <si>
    <t>Undergraduate Studies</t>
  </si>
  <si>
    <t>Departments</t>
  </si>
  <si>
    <t>Student Affairs &amp; Enrollment Management</t>
  </si>
  <si>
    <t>Environmental &amp; Occupational Health &amp; Safety</t>
  </si>
  <si>
    <t>Facilities</t>
  </si>
  <si>
    <t>Institutional Advancement</t>
  </si>
  <si>
    <t>Administration &amp; Finance</t>
  </si>
  <si>
    <t>Internal Audit</t>
  </si>
  <si>
    <t>Quality Service Initiative</t>
  </si>
  <si>
    <t>Facilities Management</t>
  </si>
  <si>
    <t>Human Resources</t>
  </si>
  <si>
    <t>Academic Affairs</t>
  </si>
  <si>
    <t>Board of Trustees</t>
  </si>
  <si>
    <t>Office of Public Relations</t>
  </si>
  <si>
    <t>Auxiliary &amp; Business Services</t>
  </si>
  <si>
    <t>Dean of Students</t>
  </si>
  <si>
    <t>Purchasing</t>
  </si>
  <si>
    <t>Budget and Finance</t>
  </si>
  <si>
    <t>Central Receiving</t>
  </si>
  <si>
    <t>Center For Science, Math and Technology Education</t>
  </si>
  <si>
    <t>Center for University Teaching &amp; Learning</t>
  </si>
  <si>
    <t>The Writing Studio</t>
  </si>
  <si>
    <t>Office of National and International Fellowships</t>
  </si>
  <si>
    <t>Institute for the Study of Minority Issues</t>
  </si>
  <si>
    <t>Research, Evaluation &amp; Planning</t>
  </si>
  <si>
    <t>Institute for Civic Engagement and Social Change</t>
  </si>
  <si>
    <t>Academic Community Service Learning Program (ACSLP)</t>
  </si>
  <si>
    <t>Office of International Affairs</t>
  </si>
  <si>
    <t>NCCU African-American Jazz Research Institute (NAJRI)</t>
  </si>
  <si>
    <t>Foundation</t>
  </si>
  <si>
    <t>Office of the Provost</t>
  </si>
  <si>
    <t>Office of the Chancellor</t>
  </si>
  <si>
    <t>James E. Shepard Memorial Library</t>
  </si>
  <si>
    <t>Law Library</t>
  </si>
  <si>
    <t>If Response is "Yes", please give the Prospect's last place of employment.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</si>
</sst>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5" formatCode="&quot;$&quot;#,##0_);\(&quot;$&quot;#,##0\)"/>
    <numFmt numFmtId="7" formatCode="&quot;$&quot;#,##0.00_);\(&quot;$&quot;#,##0.00\)"/>
    <numFmt numFmtId="44" formatCode="_(&quot;$&quot;* #,##0.00_);_(&quot;$&quot;* \(#,##0.00\);_(&quot;$&quot;* &quot;-&quot;??_);_(@_)"/>
    <numFmt numFmtId="164" formatCode="&quot;$&quot;#,##0.00"/>
    <numFmt numFmtId="169" formatCode="000\-00\-0000"/>
    <numFmt numFmtId="171" formatCode="mm/dd/yy;@"/>
    <numFmt numFmtId="173" formatCode="\(###\)\ ###\-####"/>
    <numFmt numFmtId="174" formatCode="0.0"/>
    <numFmt numFmtId="175" formatCode="###\-####"/>
    <numFmt numFmtId="177" formatCode="#\-#####\-####"/>
    <numFmt numFmtId="179" formatCode="mmmm\ d\,\ yyyy"/>
    <numFmt numFmtId="182" formatCode="0000"/>
    <numFmt numFmtId="183" formatCode="m/d/yyyy;@"/>
    <numFmt numFmtId="184" formatCode="[$-409]mmmm\ d\,\ yyyy;@"/>
    <numFmt numFmtId="190" formatCode="_(&quot;$&quot;* #,##0_);_(&quot;$&quot;* \(#,##0\);_(&quot;$&quot;* &quot;-&quot;??_);_(@_)"/>
  </numFmts>
  <fonts count="69" x14ac:knownFonts="1">
    <font>
      <sz val="10"/>
      <name val="Arial"/>
    </font>
    <font>
      <sz val="10"/>
      <name val="Arial"/>
    </font>
    <font>
      <b/>
      <sz val="10"/>
      <color indexed="10"/>
      <name val="Arial"/>
      <family val="2"/>
    </font>
    <font>
      <b/>
      <sz val="10"/>
      <name val="Times New Roman"/>
      <family val="1"/>
    </font>
    <font>
      <sz val="10"/>
      <name val="Book Antiqua"/>
      <family val="1"/>
    </font>
    <font>
      <b/>
      <sz val="10"/>
      <name val="Arial"/>
      <family val="2"/>
    </font>
    <font>
      <u/>
      <sz val="10"/>
      <color indexed="12"/>
      <name val="Arial"/>
      <family val="2"/>
    </font>
    <font>
      <sz val="8"/>
      <name val="Tahoma"/>
      <family val="2"/>
    </font>
    <font>
      <sz val="12"/>
      <name val="Book Antiqua"/>
      <family val="1"/>
    </font>
    <font>
      <sz val="8"/>
      <color indexed="81"/>
      <name val="Tahoma"/>
      <family val="2"/>
    </font>
    <font>
      <b/>
      <sz val="8"/>
      <color indexed="81"/>
      <name val="Tahoma"/>
      <family val="2"/>
    </font>
    <font>
      <sz val="10"/>
      <name val="Arial"/>
      <family val="2"/>
    </font>
    <font>
      <sz val="10"/>
      <color indexed="81"/>
      <name val="Tahoma"/>
      <family val="2"/>
    </font>
    <font>
      <b/>
      <sz val="10"/>
      <color indexed="81"/>
      <name val="Tahoma"/>
      <family val="2"/>
    </font>
    <font>
      <b/>
      <sz val="12"/>
      <name val="Arial"/>
      <family val="2"/>
    </font>
    <font>
      <sz val="12"/>
      <name val="Arial"/>
      <family val="2"/>
    </font>
    <font>
      <b/>
      <sz val="10"/>
      <color indexed="16"/>
      <name val="Arial"/>
      <family val="2"/>
    </font>
    <font>
      <sz val="10"/>
      <name val="Arial"/>
      <family val="2"/>
    </font>
    <font>
      <i/>
      <sz val="10"/>
      <name val="Arial"/>
      <family val="2"/>
    </font>
    <font>
      <sz val="10"/>
      <color indexed="9"/>
      <name val="Arial"/>
      <family val="2"/>
    </font>
    <font>
      <b/>
      <sz val="10"/>
      <color indexed="59"/>
      <name val="Arial"/>
      <family val="2"/>
    </font>
    <font>
      <b/>
      <i/>
      <sz val="10"/>
      <color indexed="10"/>
      <name val="Arial"/>
      <family val="2"/>
    </font>
    <font>
      <i/>
      <sz val="8"/>
      <name val="Arial"/>
      <family val="2"/>
    </font>
    <font>
      <b/>
      <sz val="9"/>
      <name val="Arial"/>
      <family val="2"/>
    </font>
    <font>
      <b/>
      <i/>
      <sz val="9"/>
      <name val="Arial"/>
      <family val="2"/>
    </font>
    <font>
      <i/>
      <sz val="9"/>
      <name val="Arial"/>
      <family val="2"/>
    </font>
    <font>
      <sz val="9"/>
      <name val="Arial"/>
      <family val="2"/>
    </font>
    <font>
      <sz val="8"/>
      <name val="Arial"/>
      <family val="2"/>
    </font>
    <font>
      <b/>
      <sz val="12"/>
      <color indexed="9"/>
      <name val="Arial"/>
      <family val="2"/>
    </font>
    <font>
      <b/>
      <sz val="12"/>
      <color indexed="10"/>
      <name val="Arial"/>
      <family val="2"/>
    </font>
    <font>
      <sz val="12"/>
      <color indexed="22"/>
      <name val="Arial"/>
      <family val="2"/>
    </font>
    <font>
      <sz val="12"/>
      <color indexed="9"/>
      <name val="Arial"/>
      <family val="2"/>
    </font>
    <font>
      <sz val="10"/>
      <color indexed="9"/>
      <name val="Arial"/>
      <family val="2"/>
    </font>
    <font>
      <u/>
      <sz val="9"/>
      <color indexed="12"/>
      <name val="Arial"/>
      <family val="2"/>
    </font>
    <font>
      <i/>
      <sz val="12"/>
      <name val="Book Antiqua"/>
      <family val="1"/>
    </font>
    <font>
      <b/>
      <sz val="12"/>
      <name val="Book Antiqua"/>
      <family val="1"/>
    </font>
    <font>
      <b/>
      <sz val="12"/>
      <color indexed="22"/>
      <name val="Book Antiqua"/>
      <family val="1"/>
    </font>
    <font>
      <b/>
      <sz val="14"/>
      <color indexed="22"/>
      <name val="Arial"/>
      <family val="2"/>
    </font>
    <font>
      <b/>
      <sz val="12"/>
      <color indexed="22"/>
      <name val="Arial"/>
      <family val="2"/>
    </font>
    <font>
      <b/>
      <sz val="14"/>
      <color indexed="9"/>
      <name val="Book Antiqua"/>
      <family val="1"/>
    </font>
    <font>
      <b/>
      <sz val="14"/>
      <color indexed="9"/>
      <name val="Arial"/>
      <family val="2"/>
    </font>
    <font>
      <b/>
      <sz val="10"/>
      <color indexed="9"/>
      <name val="Arial"/>
      <family val="2"/>
    </font>
    <font>
      <vertAlign val="superscript"/>
      <sz val="12"/>
      <name val="Book Antiqua"/>
      <family val="1"/>
    </font>
    <font>
      <b/>
      <sz val="10"/>
      <color indexed="9"/>
      <name val="Arial"/>
      <family val="2"/>
    </font>
    <font>
      <b/>
      <sz val="12"/>
      <color indexed="9"/>
      <name val="Book Antiqua"/>
      <family val="1"/>
    </font>
    <font>
      <sz val="14"/>
      <color indexed="22"/>
      <name val="Arial"/>
      <family val="2"/>
    </font>
    <font>
      <sz val="10"/>
      <color indexed="10"/>
      <name val="Arial"/>
      <family val="2"/>
    </font>
    <font>
      <b/>
      <sz val="12"/>
      <color indexed="10"/>
      <name val="Book Antiqua"/>
      <family val="1"/>
    </font>
    <font>
      <b/>
      <sz val="14"/>
      <color indexed="10"/>
      <name val="Arial"/>
      <family val="2"/>
    </font>
    <font>
      <sz val="12"/>
      <color indexed="8"/>
      <name val="Verdana"/>
      <family val="2"/>
    </font>
    <font>
      <sz val="8"/>
      <name val="Arial"/>
      <family val="2"/>
    </font>
    <font>
      <b/>
      <i/>
      <sz val="10"/>
      <color indexed="22"/>
      <name val="Arial"/>
      <family val="2"/>
    </font>
    <font>
      <b/>
      <sz val="12"/>
      <name val="Arial"/>
      <family val="2"/>
    </font>
    <font>
      <sz val="10"/>
      <name val="Arial"/>
      <family val="2"/>
    </font>
    <font>
      <sz val="10"/>
      <color indexed="16"/>
      <name val="Arial"/>
      <family val="2"/>
    </font>
    <font>
      <sz val="10"/>
      <name val="Arial"/>
      <family val="2"/>
    </font>
    <font>
      <i/>
      <sz val="10"/>
      <name val="Arial"/>
      <family val="2"/>
    </font>
    <font>
      <u/>
      <sz val="10"/>
      <name val="Arial"/>
      <family val="2"/>
    </font>
    <font>
      <b/>
      <i/>
      <sz val="8"/>
      <name val="Arial"/>
      <family val="2"/>
    </font>
    <font>
      <sz val="9"/>
      <name val="Courier"/>
      <family val="3"/>
    </font>
    <font>
      <b/>
      <sz val="12"/>
      <name val="Times New Roman"/>
      <family val="1"/>
    </font>
    <font>
      <b/>
      <i/>
      <sz val="9"/>
      <color theme="0"/>
      <name val="Arial"/>
      <family val="2"/>
    </font>
    <font>
      <b/>
      <sz val="10"/>
      <color theme="0"/>
      <name val="Arial"/>
      <family val="2"/>
    </font>
    <font>
      <b/>
      <sz val="10"/>
      <color rgb="FFFFFF00"/>
      <name val="Arial"/>
      <family val="2"/>
    </font>
    <font>
      <sz val="10"/>
      <color rgb="FFFFFF00"/>
      <name val="Arial"/>
      <family val="2"/>
    </font>
    <font>
      <b/>
      <sz val="9"/>
      <color rgb="FFFFFF00"/>
      <name val="Arial"/>
      <family val="2"/>
    </font>
    <font>
      <b/>
      <sz val="9"/>
      <color theme="0"/>
      <name val="Arial"/>
      <family val="2"/>
    </font>
    <font>
      <sz val="8"/>
      <color rgb="FF000000"/>
      <name val="Arial"/>
      <family val="2"/>
    </font>
    <font>
      <b/>
      <i/>
      <sz val="10"/>
      <color rgb="FFFF0000"/>
      <name val="Arial"/>
      <family val="2"/>
    </font>
  </fonts>
  <fills count="20">
    <fill>
      <patternFill patternType="none"/>
    </fill>
    <fill>
      <patternFill patternType="gray125"/>
    </fill>
    <fill>
      <patternFill patternType="solid">
        <fgColor indexed="16"/>
        <bgColor indexed="64"/>
      </patternFill>
    </fill>
    <fill>
      <patternFill patternType="solid">
        <fgColor indexed="22"/>
        <bgColor indexed="64"/>
      </patternFill>
    </fill>
    <fill>
      <patternFill patternType="solid">
        <fgColor indexed="43"/>
        <bgColor indexed="64"/>
      </patternFill>
    </fill>
    <fill>
      <patternFill patternType="solid">
        <fgColor indexed="9"/>
        <bgColor indexed="64"/>
      </patternFill>
    </fill>
    <fill>
      <patternFill patternType="solid">
        <fgColor indexed="53"/>
        <bgColor indexed="64"/>
      </patternFill>
    </fill>
    <fill>
      <patternFill patternType="solid">
        <fgColor indexed="60"/>
        <bgColor indexed="64"/>
      </patternFill>
    </fill>
    <fill>
      <patternFill patternType="solid">
        <fgColor indexed="52"/>
        <bgColor indexed="64"/>
      </patternFill>
    </fill>
    <fill>
      <patternFill patternType="solid">
        <fgColor indexed="13"/>
        <bgColor indexed="64"/>
      </patternFill>
    </fill>
    <fill>
      <patternFill patternType="solid">
        <fgColor indexed="19"/>
        <bgColor indexed="64"/>
      </patternFill>
    </fill>
    <fill>
      <patternFill patternType="solid">
        <fgColor indexed="63"/>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17"/>
        <bgColor indexed="64"/>
      </patternFill>
    </fill>
    <fill>
      <patternFill patternType="solid">
        <fgColor theme="0"/>
        <bgColor indexed="64"/>
      </patternFill>
    </fill>
    <fill>
      <patternFill patternType="solid">
        <fgColor rgb="FF900000"/>
        <bgColor indexed="64"/>
      </patternFill>
    </fill>
    <fill>
      <patternFill patternType="solid">
        <fgColor rgb="FFFFFF90"/>
        <bgColor indexed="64"/>
      </patternFill>
    </fill>
    <fill>
      <patternFill patternType="solid">
        <fgColor rgb="FFFFFF99"/>
        <bgColor indexed="64"/>
      </patternFill>
    </fill>
  </fills>
  <borders count="47">
    <border>
      <left/>
      <right/>
      <top/>
      <bottom/>
      <diagonal/>
    </border>
    <border>
      <left/>
      <right/>
      <top/>
      <bottom style="medium">
        <color indexed="64"/>
      </bottom>
      <diagonal/>
    </border>
    <border>
      <left/>
      <right/>
      <top style="medium">
        <color indexed="64"/>
      </top>
      <bottom/>
      <diagonal/>
    </border>
    <border>
      <left/>
      <right/>
      <top/>
      <bottom style="thin">
        <color indexed="16"/>
      </bottom>
      <diagonal/>
    </border>
    <border>
      <left style="thin">
        <color indexed="16"/>
      </left>
      <right style="thin">
        <color indexed="16"/>
      </right>
      <top style="thin">
        <color indexed="16"/>
      </top>
      <bottom style="thin">
        <color indexed="16"/>
      </bottom>
      <diagonal/>
    </border>
    <border>
      <left style="thin">
        <color indexed="64"/>
      </left>
      <right/>
      <top/>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medium">
        <color indexed="64"/>
      </left>
      <right style="medium">
        <color indexed="64"/>
      </right>
      <top/>
      <bottom style="medium">
        <color indexed="64"/>
      </bottom>
      <diagonal/>
    </border>
    <border>
      <left/>
      <right/>
      <top style="thin">
        <color indexed="16"/>
      </top>
      <bottom/>
      <diagonal/>
    </border>
    <border>
      <left style="thin">
        <color indexed="16"/>
      </left>
      <right style="thin">
        <color indexed="16"/>
      </right>
      <top/>
      <bottom style="thin">
        <color indexed="16"/>
      </bottom>
      <diagonal/>
    </border>
    <border>
      <left style="medium">
        <color indexed="16"/>
      </left>
      <right/>
      <top style="medium">
        <color indexed="16"/>
      </top>
      <bottom/>
      <diagonal/>
    </border>
    <border>
      <left/>
      <right/>
      <top style="medium">
        <color indexed="16"/>
      </top>
      <bottom/>
      <diagonal/>
    </border>
    <border>
      <left/>
      <right style="medium">
        <color indexed="16"/>
      </right>
      <top style="medium">
        <color indexed="16"/>
      </top>
      <bottom/>
      <diagonal/>
    </border>
    <border>
      <left style="medium">
        <color indexed="16"/>
      </left>
      <right style="hair">
        <color indexed="16"/>
      </right>
      <top style="thin">
        <color indexed="16"/>
      </top>
      <bottom style="hair">
        <color indexed="16"/>
      </bottom>
      <diagonal/>
    </border>
    <border>
      <left style="hair">
        <color indexed="16"/>
      </left>
      <right style="hair">
        <color indexed="16"/>
      </right>
      <top style="thin">
        <color indexed="16"/>
      </top>
      <bottom style="hair">
        <color indexed="16"/>
      </bottom>
      <diagonal/>
    </border>
    <border>
      <left style="hair">
        <color indexed="16"/>
      </left>
      <right style="medium">
        <color indexed="16"/>
      </right>
      <top style="thin">
        <color indexed="16"/>
      </top>
      <bottom style="hair">
        <color indexed="16"/>
      </bottom>
      <diagonal/>
    </border>
    <border>
      <left style="medium">
        <color indexed="16"/>
      </left>
      <right style="hair">
        <color indexed="16"/>
      </right>
      <top style="hair">
        <color indexed="16"/>
      </top>
      <bottom style="hair">
        <color indexed="16"/>
      </bottom>
      <diagonal/>
    </border>
    <border>
      <left style="hair">
        <color indexed="16"/>
      </left>
      <right style="hair">
        <color indexed="16"/>
      </right>
      <top style="hair">
        <color indexed="16"/>
      </top>
      <bottom style="hair">
        <color indexed="16"/>
      </bottom>
      <diagonal/>
    </border>
    <border>
      <left style="hair">
        <color indexed="16"/>
      </left>
      <right style="medium">
        <color indexed="16"/>
      </right>
      <top style="hair">
        <color indexed="16"/>
      </top>
      <bottom style="hair">
        <color indexed="16"/>
      </bottom>
      <diagonal/>
    </border>
    <border>
      <left style="medium">
        <color indexed="16"/>
      </left>
      <right style="hair">
        <color indexed="16"/>
      </right>
      <top style="hair">
        <color indexed="16"/>
      </top>
      <bottom style="medium">
        <color indexed="16"/>
      </bottom>
      <diagonal/>
    </border>
    <border>
      <left style="hair">
        <color indexed="16"/>
      </left>
      <right style="hair">
        <color indexed="16"/>
      </right>
      <top style="hair">
        <color indexed="16"/>
      </top>
      <bottom style="medium">
        <color indexed="16"/>
      </bottom>
      <diagonal/>
    </border>
    <border>
      <left style="hair">
        <color indexed="16"/>
      </left>
      <right style="medium">
        <color indexed="16"/>
      </right>
      <top style="hair">
        <color indexed="16"/>
      </top>
      <bottom style="medium">
        <color indexed="16"/>
      </bottom>
      <diagonal/>
    </border>
    <border>
      <left/>
      <right/>
      <top style="thin">
        <color indexed="16"/>
      </top>
      <bottom style="thin">
        <color indexed="16"/>
      </bottom>
      <diagonal/>
    </border>
    <border>
      <left style="thin">
        <color indexed="16"/>
      </left>
      <right/>
      <top style="thin">
        <color indexed="16"/>
      </top>
      <bottom style="thin">
        <color indexed="16"/>
      </bottom>
      <diagonal/>
    </border>
    <border>
      <left/>
      <right style="thin">
        <color indexed="16"/>
      </right>
      <top style="thin">
        <color indexed="16"/>
      </top>
      <bottom style="thin">
        <color indexed="16"/>
      </bottom>
      <diagonal/>
    </border>
    <border>
      <left style="thin">
        <color indexed="16"/>
      </left>
      <right/>
      <top style="thin">
        <color indexed="16"/>
      </top>
      <bottom/>
      <diagonal/>
    </border>
    <border>
      <left/>
      <right style="thin">
        <color indexed="16"/>
      </right>
      <top style="thin">
        <color indexed="16"/>
      </top>
      <bottom/>
      <diagonal/>
    </border>
    <border>
      <left style="thin">
        <color indexed="16"/>
      </left>
      <right/>
      <top/>
      <bottom style="thin">
        <color indexed="16"/>
      </bottom>
      <diagonal/>
    </border>
    <border>
      <left/>
      <right style="thin">
        <color indexed="16"/>
      </right>
      <top/>
      <bottom style="thin">
        <color indexed="16"/>
      </bottom>
      <diagonal/>
    </border>
    <border>
      <left/>
      <right/>
      <top/>
      <bottom style="thin">
        <color rgb="FF900000"/>
      </bottom>
      <diagonal/>
    </border>
    <border>
      <left style="thin">
        <color rgb="FF900000"/>
      </left>
      <right style="thin">
        <color rgb="FF900000"/>
      </right>
      <top style="thin">
        <color rgb="FF900000"/>
      </top>
      <bottom style="thin">
        <color rgb="FF900000"/>
      </bottom>
      <diagonal/>
    </border>
    <border>
      <left style="medium">
        <color rgb="FFE0E0E0"/>
      </left>
      <right/>
      <top/>
      <bottom style="medium">
        <color rgb="FFE0E0E0"/>
      </bottom>
      <diagonal/>
    </border>
    <border>
      <left style="medium">
        <color rgb="FFE0E0E0"/>
      </left>
      <right/>
      <top style="medium">
        <color rgb="FFD5DFE8"/>
      </top>
      <bottom style="medium">
        <color rgb="FFE0E0E0"/>
      </bottom>
      <diagonal/>
    </border>
    <border>
      <left style="medium">
        <color rgb="FFE0E0E0"/>
      </left>
      <right style="medium">
        <color rgb="FFD5DFE8"/>
      </right>
      <top style="medium">
        <color rgb="FFD5DFE8"/>
      </top>
      <bottom style="medium">
        <color rgb="FFE0E0E0"/>
      </bottom>
      <diagonal/>
    </border>
    <border>
      <left style="medium">
        <color rgb="FFE0E0E0"/>
      </left>
      <right style="medium">
        <color rgb="FFD5DFE8"/>
      </right>
      <top/>
      <bottom style="medium">
        <color rgb="FFE0E0E0"/>
      </bottom>
      <diagonal/>
    </border>
    <border>
      <left style="medium">
        <color rgb="FFE0E0E0"/>
      </left>
      <right/>
      <top/>
      <bottom style="medium">
        <color rgb="FFD5DFE8"/>
      </bottom>
      <diagonal/>
    </border>
    <border>
      <left style="medium">
        <color rgb="FFE0E0E0"/>
      </left>
      <right style="medium">
        <color rgb="FFD5DFE8"/>
      </right>
      <top/>
      <bottom style="medium">
        <color rgb="FFD5DFE8"/>
      </bottom>
      <diagonal/>
    </border>
    <border>
      <left/>
      <right/>
      <top style="medium">
        <color rgb="FFFFFFFF"/>
      </top>
      <bottom/>
      <diagonal/>
    </border>
    <border>
      <left/>
      <right/>
      <top style="thin">
        <color rgb="FF900000"/>
      </top>
      <bottom style="thin">
        <color rgb="FF900000"/>
      </bottom>
      <diagonal/>
    </border>
    <border>
      <left/>
      <right/>
      <top style="thin">
        <color rgb="FF900000"/>
      </top>
      <bottom/>
      <diagonal/>
    </border>
    <border>
      <left style="thin">
        <color indexed="16"/>
      </left>
      <right/>
      <top style="thin">
        <color rgb="FF900000"/>
      </top>
      <bottom style="thin">
        <color indexed="16"/>
      </bottom>
      <diagonal/>
    </border>
    <border>
      <left/>
      <right style="thin">
        <color indexed="16"/>
      </right>
      <top style="thin">
        <color rgb="FF900000"/>
      </top>
      <bottom style="thin">
        <color indexed="16"/>
      </bottom>
      <diagonal/>
    </border>
    <border>
      <left style="thin">
        <color rgb="FF900000"/>
      </left>
      <right/>
      <top style="thin">
        <color rgb="FF900000"/>
      </top>
      <bottom style="thin">
        <color rgb="FF900000"/>
      </bottom>
      <diagonal/>
    </border>
    <border>
      <left/>
      <right style="thin">
        <color rgb="FF900000"/>
      </right>
      <top style="thin">
        <color rgb="FF900000"/>
      </top>
      <bottom style="thin">
        <color rgb="FF900000"/>
      </bottom>
      <diagonal/>
    </border>
    <border>
      <left/>
      <right/>
      <top style="thin">
        <color rgb="FF900000"/>
      </top>
      <bottom style="thin">
        <color indexed="16"/>
      </bottom>
      <diagonal/>
    </border>
  </borders>
  <cellStyleXfs count="4">
    <xf numFmtId="0" fontId="0" fillId="0" borderId="0"/>
    <xf numFmtId="44" fontId="1" fillId="0" borderId="0" applyFont="0" applyFill="0" applyBorder="0" applyAlignment="0" applyProtection="0"/>
    <xf numFmtId="0" fontId="6" fillId="0" borderId="0" applyNumberFormat="0" applyFill="0" applyBorder="0" applyAlignment="0" applyProtection="0">
      <alignment vertical="top"/>
      <protection locked="0"/>
    </xf>
    <xf numFmtId="9" fontId="1" fillId="0" borderId="0" applyFont="0" applyFill="0" applyBorder="0" applyAlignment="0" applyProtection="0"/>
  </cellStyleXfs>
  <cellXfs count="392">
    <xf numFmtId="0" fontId="0" fillId="0" borderId="0" xfId="0"/>
    <xf numFmtId="0" fontId="0" fillId="2" borderId="0" xfId="0" applyFill="1"/>
    <xf numFmtId="0" fontId="0" fillId="3" borderId="0" xfId="0" applyFill="1"/>
    <xf numFmtId="0" fontId="0" fillId="2" borderId="1" xfId="0" applyFill="1" applyBorder="1"/>
    <xf numFmtId="0" fontId="0" fillId="3" borderId="1" xfId="0" applyFill="1" applyBorder="1"/>
    <xf numFmtId="0" fontId="0" fillId="0" borderId="0" xfId="0" applyFill="1"/>
    <xf numFmtId="0" fontId="0" fillId="3" borderId="2" xfId="0" applyFill="1" applyBorder="1"/>
    <xf numFmtId="0" fontId="14" fillId="0" borderId="0" xfId="0" applyFont="1" applyAlignment="1">
      <alignment horizontal="center" vertical="top" wrapText="1"/>
    </xf>
    <xf numFmtId="0" fontId="14" fillId="0" borderId="0" xfId="0" applyFont="1" applyAlignment="1">
      <alignment horizontal="center" wrapText="1"/>
    </xf>
    <xf numFmtId="0" fontId="15" fillId="0" borderId="0" xfId="0" applyFont="1" applyAlignment="1">
      <alignment wrapText="1"/>
    </xf>
    <xf numFmtId="0" fontId="18" fillId="0" borderId="0" xfId="0" applyFont="1" applyBorder="1" applyAlignment="1">
      <alignment horizontal="center"/>
    </xf>
    <xf numFmtId="0" fontId="17" fillId="0" borderId="0" xfId="0" applyFont="1" applyBorder="1"/>
    <xf numFmtId="0" fontId="16" fillId="0" borderId="0" xfId="0" applyFont="1" applyFill="1" applyBorder="1" applyAlignment="1"/>
    <xf numFmtId="0" fontId="5" fillId="4" borderId="0" xfId="0" applyFont="1" applyFill="1" applyBorder="1" applyAlignment="1">
      <alignment horizontal="center"/>
    </xf>
    <xf numFmtId="0" fontId="5" fillId="4" borderId="0" xfId="0" applyFont="1" applyFill="1" applyBorder="1"/>
    <xf numFmtId="0" fontId="5" fillId="0" borderId="0" xfId="0" applyFont="1" applyBorder="1" applyAlignment="1">
      <alignment horizontal="center"/>
    </xf>
    <xf numFmtId="0" fontId="5" fillId="0" borderId="0" xfId="0" applyFont="1" applyFill="1" applyBorder="1" applyAlignment="1">
      <alignment horizontal="left" vertical="top" wrapText="1"/>
    </xf>
    <xf numFmtId="0" fontId="17" fillId="0" borderId="0" xfId="0" applyFont="1" applyFill="1" applyBorder="1"/>
    <xf numFmtId="0" fontId="5" fillId="0" borderId="0" xfId="0" applyFont="1" applyFill="1" applyBorder="1" applyAlignment="1"/>
    <xf numFmtId="0" fontId="5" fillId="0" borderId="0" xfId="0" applyFont="1" applyFill="1" applyBorder="1" applyAlignment="1">
      <alignment horizontal="center"/>
    </xf>
    <xf numFmtId="0" fontId="17" fillId="4" borderId="0" xfId="0" applyFont="1" applyFill="1" applyBorder="1"/>
    <xf numFmtId="49" fontId="19" fillId="0" borderId="0" xfId="0" applyNumberFormat="1" applyFont="1" applyBorder="1"/>
    <xf numFmtId="0" fontId="23" fillId="4" borderId="0" xfId="0" applyFont="1" applyFill="1" applyBorder="1" applyAlignment="1">
      <alignment vertical="top" wrapText="1"/>
    </xf>
    <xf numFmtId="0" fontId="23" fillId="0" borderId="0" xfId="0" applyFont="1" applyBorder="1" applyAlignment="1">
      <alignment vertical="top" wrapText="1"/>
    </xf>
    <xf numFmtId="0" fontId="23" fillId="4" borderId="0" xfId="0" applyFont="1" applyFill="1" applyBorder="1" applyAlignment="1">
      <alignment horizontal="left"/>
    </xf>
    <xf numFmtId="0" fontId="23" fillId="0" borderId="0" xfId="0" applyFont="1" applyFill="1" applyBorder="1" applyAlignment="1">
      <alignment horizontal="left" vertical="top" wrapText="1"/>
    </xf>
    <xf numFmtId="0" fontId="23" fillId="4" borderId="0" xfId="0" applyFont="1" applyFill="1" applyBorder="1" applyAlignment="1"/>
    <xf numFmtId="0" fontId="23" fillId="0" borderId="0" xfId="0" applyFont="1" applyFill="1" applyBorder="1" applyAlignment="1"/>
    <xf numFmtId="0" fontId="26" fillId="0" borderId="0" xfId="0" applyFont="1" applyBorder="1"/>
    <xf numFmtId="0" fontId="23" fillId="0" borderId="0" xfId="0" applyFont="1" applyFill="1" applyBorder="1" applyAlignment="1">
      <alignment vertical="top" wrapText="1"/>
    </xf>
    <xf numFmtId="0" fontId="5" fillId="5" borderId="3" xfId="0" applyFont="1" applyFill="1" applyBorder="1" applyAlignment="1" applyProtection="1">
      <alignment horizontal="center"/>
      <protection locked="0"/>
    </xf>
    <xf numFmtId="0" fontId="5" fillId="5" borderId="3" xfId="0" applyFont="1" applyFill="1" applyBorder="1" applyAlignment="1" applyProtection="1">
      <alignment horizontal="center" wrapText="1"/>
      <protection locked="0"/>
    </xf>
    <xf numFmtId="0" fontId="24" fillId="5" borderId="0" xfId="0" applyFont="1" applyFill="1" applyBorder="1" applyAlignment="1">
      <alignment horizontal="center" vertical="top" wrapText="1"/>
    </xf>
    <xf numFmtId="0" fontId="22" fillId="5" borderId="0" xfId="0" applyFont="1" applyFill="1" applyBorder="1" applyAlignment="1">
      <alignment horizontal="center"/>
    </xf>
    <xf numFmtId="0" fontId="18" fillId="5" borderId="0" xfId="0" applyFont="1" applyFill="1" applyBorder="1" applyAlignment="1">
      <alignment horizontal="center"/>
    </xf>
    <xf numFmtId="0" fontId="23" fillId="5" borderId="0" xfId="0" applyFont="1" applyFill="1" applyBorder="1" applyAlignment="1">
      <alignment horizontal="left"/>
    </xf>
    <xf numFmtId="169" fontId="17" fillId="5" borderId="0" xfId="0" applyNumberFormat="1" applyFont="1" applyFill="1" applyBorder="1" applyAlignment="1">
      <alignment horizontal="center"/>
    </xf>
    <xf numFmtId="0" fontId="23" fillId="5" borderId="0" xfId="0" applyFont="1" applyFill="1" applyBorder="1" applyAlignment="1">
      <alignment vertical="top" wrapText="1"/>
    </xf>
    <xf numFmtId="0" fontId="5" fillId="5" borderId="0" xfId="0" applyFont="1" applyFill="1" applyBorder="1" applyAlignment="1">
      <alignment horizontal="center"/>
    </xf>
    <xf numFmtId="0" fontId="17" fillId="5" borderId="0" xfId="0" applyFont="1" applyFill="1" applyBorder="1"/>
    <xf numFmtId="0" fontId="25" fillId="5" borderId="0" xfId="0" applyFont="1" applyFill="1" applyBorder="1" applyAlignment="1">
      <alignment horizontal="center"/>
    </xf>
    <xf numFmtId="0" fontId="5" fillId="5" borderId="0" xfId="0" applyFont="1" applyFill="1" applyBorder="1" applyAlignment="1"/>
    <xf numFmtId="0" fontId="5" fillId="5" borderId="0" xfId="0" applyFont="1" applyFill="1" applyBorder="1" applyAlignment="1">
      <alignment horizontal="left"/>
    </xf>
    <xf numFmtId="0" fontId="5" fillId="5" borderId="0" xfId="0" applyFont="1" applyFill="1" applyBorder="1" applyAlignment="1">
      <alignment vertical="top" wrapText="1"/>
    </xf>
    <xf numFmtId="0" fontId="5" fillId="5" borderId="0" xfId="0" applyFont="1" applyFill="1" applyBorder="1" applyAlignment="1">
      <alignment horizontal="left" vertical="top" wrapText="1"/>
    </xf>
    <xf numFmtId="0" fontId="5" fillId="5" borderId="0" xfId="0" applyFont="1" applyFill="1" applyBorder="1" applyAlignment="1">
      <alignment horizontal="right" vertical="top" wrapText="1"/>
    </xf>
    <xf numFmtId="0" fontId="2" fillId="5" borderId="0" xfId="0" applyFont="1" applyFill="1" applyBorder="1" applyAlignment="1">
      <alignment vertical="top" wrapText="1"/>
    </xf>
    <xf numFmtId="0" fontId="5" fillId="5" borderId="0" xfId="0" applyFont="1" applyFill="1" applyBorder="1" applyAlignment="1">
      <alignment horizontal="center" vertical="top" wrapText="1"/>
    </xf>
    <xf numFmtId="0" fontId="23" fillId="5" borderId="0" xfId="0" applyFont="1" applyFill="1" applyBorder="1" applyAlignment="1">
      <alignment horizontal="left" vertical="top" wrapText="1"/>
    </xf>
    <xf numFmtId="0" fontId="5" fillId="5" borderId="0" xfId="0" applyFont="1" applyFill="1" applyBorder="1" applyAlignment="1">
      <alignment horizontal="center" vertical="center" wrapText="1"/>
    </xf>
    <xf numFmtId="7" fontId="5" fillId="5" borderId="0" xfId="0" applyNumberFormat="1" applyFont="1" applyFill="1" applyBorder="1" applyAlignment="1">
      <alignment horizontal="center"/>
    </xf>
    <xf numFmtId="9" fontId="5" fillId="5" borderId="4" xfId="3" applyFont="1" applyFill="1" applyBorder="1" applyProtection="1">
      <protection locked="0"/>
    </xf>
    <xf numFmtId="0" fontId="2" fillId="5" borderId="0" xfId="0" applyFont="1" applyFill="1" applyBorder="1" applyAlignment="1">
      <alignment horizontal="center"/>
    </xf>
    <xf numFmtId="9" fontId="5" fillId="0" borderId="4" xfId="3" applyFont="1" applyBorder="1"/>
    <xf numFmtId="0" fontId="5" fillId="5" borderId="0" xfId="0" applyFont="1" applyFill="1" applyBorder="1" applyAlignment="1">
      <alignment horizontal="right"/>
    </xf>
    <xf numFmtId="0" fontId="18" fillId="5" borderId="0" xfId="0" applyNumberFormat="1" applyFont="1" applyFill="1" applyBorder="1" applyAlignment="1">
      <alignment horizontal="center"/>
    </xf>
    <xf numFmtId="2" fontId="18" fillId="5" borderId="0" xfId="0" applyNumberFormat="1" applyFont="1" applyFill="1" applyBorder="1" applyAlignment="1">
      <alignment horizontal="center"/>
    </xf>
    <xf numFmtId="0" fontId="2" fillId="5" borderId="0" xfId="0" applyFont="1" applyFill="1" applyBorder="1"/>
    <xf numFmtId="0" fontId="21" fillId="5" borderId="0" xfId="0" applyFont="1" applyFill="1" applyBorder="1" applyAlignment="1">
      <alignment horizontal="center"/>
    </xf>
    <xf numFmtId="0" fontId="2" fillId="5" borderId="0" xfId="0" applyNumberFormat="1" applyFont="1" applyFill="1" applyBorder="1"/>
    <xf numFmtId="0" fontId="27" fillId="5" borderId="0" xfId="0" applyFont="1" applyFill="1" applyBorder="1"/>
    <xf numFmtId="14" fontId="17" fillId="5" borderId="3" xfId="0" applyNumberFormat="1" applyFont="1" applyFill="1" applyBorder="1" applyProtection="1"/>
    <xf numFmtId="0" fontId="23" fillId="5" borderId="4" xfId="0" applyNumberFormat="1" applyFont="1" applyFill="1" applyBorder="1" applyAlignment="1" applyProtection="1">
      <alignment horizontal="center" wrapText="1"/>
      <protection locked="0"/>
    </xf>
    <xf numFmtId="0" fontId="28" fillId="2" borderId="0" xfId="0" applyFont="1" applyFill="1" applyAlignment="1">
      <alignment horizontal="center" wrapText="1"/>
    </xf>
    <xf numFmtId="0" fontId="15" fillId="3" borderId="0" xfId="0" applyFont="1" applyFill="1" applyAlignment="1">
      <alignment wrapText="1"/>
    </xf>
    <xf numFmtId="0" fontId="14" fillId="0" borderId="0" xfId="0" applyFont="1" applyAlignment="1">
      <alignment wrapText="1"/>
    </xf>
    <xf numFmtId="0" fontId="15" fillId="0" borderId="0" xfId="0" applyFont="1" applyFill="1" applyAlignment="1">
      <alignment wrapText="1"/>
    </xf>
    <xf numFmtId="0" fontId="29" fillId="0" borderId="0" xfId="0" applyFont="1" applyAlignment="1">
      <alignment horizontal="center" wrapText="1"/>
    </xf>
    <xf numFmtId="0" fontId="29" fillId="0" borderId="0" xfId="0" applyFont="1" applyFill="1" applyAlignment="1">
      <alignment horizontal="center" wrapText="1"/>
    </xf>
    <xf numFmtId="0" fontId="30" fillId="0" borderId="0" xfId="0" applyFont="1" applyAlignment="1">
      <alignment wrapText="1"/>
    </xf>
    <xf numFmtId="0" fontId="15" fillId="0" borderId="0" xfId="0" applyFont="1" applyAlignment="1">
      <alignment horizontal="right" wrapText="1"/>
    </xf>
    <xf numFmtId="0" fontId="8" fillId="0" borderId="0" xfId="0" applyFont="1" applyAlignment="1">
      <alignment horizontal="left"/>
    </xf>
    <xf numFmtId="0" fontId="8" fillId="0" borderId="0" xfId="0" applyFont="1" applyAlignment="1">
      <alignment horizontal="left" indent="3"/>
    </xf>
    <xf numFmtId="0" fontId="0" fillId="0" borderId="0" xfId="0" applyAlignment="1">
      <alignment vertical="top" wrapText="1"/>
    </xf>
    <xf numFmtId="0" fontId="31" fillId="5" borderId="0" xfId="0" applyFont="1" applyFill="1" applyAlignment="1">
      <alignment wrapText="1"/>
    </xf>
    <xf numFmtId="0" fontId="28" fillId="5" borderId="0" xfId="0" applyFont="1" applyFill="1" applyBorder="1" applyAlignment="1">
      <alignment horizontal="center" wrapText="1"/>
    </xf>
    <xf numFmtId="0" fontId="31" fillId="5" borderId="0" xfId="0" applyFont="1" applyFill="1" applyAlignment="1">
      <alignment vertical="top" wrapText="1"/>
    </xf>
    <xf numFmtId="0" fontId="31" fillId="5" borderId="0" xfId="0" applyFont="1" applyFill="1" applyBorder="1" applyAlignment="1">
      <alignment wrapText="1"/>
    </xf>
    <xf numFmtId="0" fontId="15" fillId="5" borderId="0" xfId="0" applyFont="1" applyFill="1" applyAlignment="1">
      <alignment wrapText="1"/>
    </xf>
    <xf numFmtId="0" fontId="15" fillId="5" borderId="0" xfId="0" applyFont="1" applyFill="1" applyAlignment="1">
      <alignment horizontal="left" wrapText="1"/>
    </xf>
    <xf numFmtId="0" fontId="5" fillId="0" borderId="0" xfId="0" quotePrefix="1" applyFont="1" applyAlignment="1">
      <alignment horizontal="right"/>
    </xf>
    <xf numFmtId="0" fontId="5" fillId="0" borderId="0" xfId="0" applyFont="1"/>
    <xf numFmtId="0" fontId="15" fillId="6" borderId="0" xfId="0" applyFont="1" applyFill="1" applyAlignment="1">
      <alignment wrapText="1"/>
    </xf>
    <xf numFmtId="0" fontId="14" fillId="6" borderId="0" xfId="0" applyFont="1" applyFill="1" applyAlignment="1">
      <alignment wrapText="1"/>
    </xf>
    <xf numFmtId="0" fontId="14" fillId="6" borderId="0" xfId="0" applyFont="1" applyFill="1" applyAlignment="1">
      <alignment horizontal="center" wrapText="1"/>
    </xf>
    <xf numFmtId="182" fontId="1" fillId="0" borderId="0" xfId="0" applyNumberFormat="1" applyFont="1" applyBorder="1"/>
    <xf numFmtId="0" fontId="1" fillId="0" borderId="0" xfId="0" applyFont="1" applyBorder="1"/>
    <xf numFmtId="182" fontId="1" fillId="0" borderId="0" xfId="0" applyNumberFormat="1" applyFont="1" applyFill="1" applyBorder="1"/>
    <xf numFmtId="0" fontId="1" fillId="0" borderId="0" xfId="0" applyFont="1" applyFill="1" applyBorder="1"/>
    <xf numFmtId="183" fontId="17" fillId="5" borderId="3" xfId="0" applyNumberFormat="1" applyFont="1" applyFill="1" applyBorder="1"/>
    <xf numFmtId="183" fontId="17" fillId="5" borderId="3" xfId="0" applyNumberFormat="1" applyFont="1" applyFill="1" applyBorder="1" applyProtection="1"/>
    <xf numFmtId="0" fontId="5" fillId="0" borderId="0" xfId="0" applyFont="1" applyAlignment="1">
      <alignment horizontal="left"/>
    </xf>
    <xf numFmtId="0" fontId="0" fillId="7" borderId="0" xfId="0" applyFill="1"/>
    <xf numFmtId="0" fontId="8" fillId="0" borderId="0" xfId="0" applyFont="1" applyAlignment="1">
      <alignment horizontal="left" vertical="top" wrapText="1"/>
    </xf>
    <xf numFmtId="0" fontId="8" fillId="0" borderId="0" xfId="0" applyFont="1"/>
    <xf numFmtId="0" fontId="8" fillId="0" borderId="0" xfId="0" applyFont="1" applyAlignment="1">
      <alignment vertical="top" wrapText="1"/>
    </xf>
    <xf numFmtId="0" fontId="15" fillId="8" borderId="0" xfId="0" applyFont="1" applyFill="1" applyAlignment="1">
      <alignment wrapText="1"/>
    </xf>
    <xf numFmtId="0" fontId="0" fillId="0" borderId="0" xfId="0" applyBorder="1" applyAlignment="1">
      <alignment vertical="top" wrapText="1"/>
    </xf>
    <xf numFmtId="0" fontId="0" fillId="0" borderId="5" xfId="0" applyBorder="1" applyAlignment="1">
      <alignment vertical="top" wrapText="1"/>
    </xf>
    <xf numFmtId="0" fontId="8" fillId="0" borderId="0" xfId="0" applyFont="1" applyAlignment="1">
      <alignment vertical="top"/>
    </xf>
    <xf numFmtId="0" fontId="0" fillId="0" borderId="0" xfId="0" applyAlignment="1">
      <alignment vertical="top"/>
    </xf>
    <xf numFmtId="0" fontId="0" fillId="0" borderId="5" xfId="0" applyBorder="1" applyAlignment="1">
      <alignment vertical="top"/>
    </xf>
    <xf numFmtId="0" fontId="0" fillId="0" borderId="0" xfId="0" applyBorder="1" applyAlignment="1">
      <alignment vertical="top"/>
    </xf>
    <xf numFmtId="0" fontId="32" fillId="0" borderId="0" xfId="0" applyFont="1" applyFill="1" applyAlignment="1">
      <alignment vertical="top"/>
    </xf>
    <xf numFmtId="0" fontId="0" fillId="0" borderId="0" xfId="0" applyAlignment="1">
      <alignment horizontal="center" vertical="top"/>
    </xf>
    <xf numFmtId="0" fontId="32" fillId="0" borderId="0" xfId="0" applyFont="1" applyFill="1" applyAlignment="1">
      <alignment horizontal="center" vertical="top"/>
    </xf>
    <xf numFmtId="0" fontId="0" fillId="9" borderId="0" xfId="0" applyFill="1" applyAlignment="1">
      <alignment horizontal="center" vertical="top"/>
    </xf>
    <xf numFmtId="0" fontId="0" fillId="0" borderId="0" xfId="0" applyAlignment="1">
      <alignment horizontal="center" vertical="top" wrapText="1"/>
    </xf>
    <xf numFmtId="0" fontId="8" fillId="9" borderId="0" xfId="0" applyFont="1" applyFill="1" applyAlignment="1">
      <alignment horizontal="center" vertical="top" wrapText="1"/>
    </xf>
    <xf numFmtId="0" fontId="8" fillId="0" borderId="0" xfId="0" applyFont="1" applyAlignment="1">
      <alignment horizontal="center" vertical="top"/>
    </xf>
    <xf numFmtId="0" fontId="0" fillId="0" borderId="0" xfId="0" applyFill="1" applyAlignment="1">
      <alignment horizontal="center" vertical="top"/>
    </xf>
    <xf numFmtId="0" fontId="0" fillId="10" borderId="0" xfId="0" applyFill="1" applyAlignment="1">
      <alignment vertical="top" wrapText="1"/>
    </xf>
    <xf numFmtId="0" fontId="43" fillId="10" borderId="0" xfId="0" applyFont="1" applyFill="1" applyAlignment="1">
      <alignment horizontal="center" vertical="top"/>
    </xf>
    <xf numFmtId="0" fontId="41" fillId="10" borderId="0" xfId="0" applyFont="1" applyFill="1" applyAlignment="1">
      <alignment horizontal="center" vertical="top" wrapText="1"/>
    </xf>
    <xf numFmtId="0" fontId="43" fillId="10" borderId="0" xfId="0" applyFont="1" applyFill="1" applyAlignment="1">
      <alignment horizontal="center" vertical="top" wrapText="1"/>
    </xf>
    <xf numFmtId="0" fontId="28" fillId="10" borderId="0" xfId="0" applyFont="1" applyFill="1" applyAlignment="1">
      <alignment horizontal="center" vertical="top"/>
    </xf>
    <xf numFmtId="0" fontId="44" fillId="10" borderId="0" xfId="0" applyFont="1" applyFill="1" applyAlignment="1">
      <alignment horizontal="center" vertical="top"/>
    </xf>
    <xf numFmtId="0" fontId="39" fillId="11" borderId="0" xfId="0" applyFont="1" applyFill="1" applyAlignment="1">
      <alignment horizontal="center" vertical="top"/>
    </xf>
    <xf numFmtId="0" fontId="40" fillId="11" borderId="0" xfId="0" applyFont="1" applyFill="1" applyAlignment="1">
      <alignment horizontal="center" vertical="top"/>
    </xf>
    <xf numFmtId="0" fontId="40" fillId="11" borderId="0" xfId="0" applyFont="1" applyFill="1" applyAlignment="1">
      <alignment vertical="top"/>
    </xf>
    <xf numFmtId="0" fontId="39" fillId="0" borderId="0" xfId="0" applyFont="1" applyFill="1" applyAlignment="1">
      <alignment horizontal="center" vertical="top"/>
    </xf>
    <xf numFmtId="0" fontId="40" fillId="0" borderId="0" xfId="0" applyFont="1" applyFill="1" applyAlignment="1">
      <alignment horizontal="center" vertical="top"/>
    </xf>
    <xf numFmtId="0" fontId="40" fillId="0" borderId="0" xfId="0" applyFont="1" applyFill="1" applyAlignment="1">
      <alignment vertical="top"/>
    </xf>
    <xf numFmtId="0" fontId="32" fillId="0" borderId="0" xfId="0" applyFont="1" applyFill="1" applyBorder="1" applyAlignment="1">
      <alignment vertical="top"/>
    </xf>
    <xf numFmtId="0" fontId="36" fillId="2" borderId="0" xfId="0" applyFont="1" applyFill="1" applyAlignment="1">
      <alignment horizontal="center" vertical="top"/>
    </xf>
    <xf numFmtId="0" fontId="38" fillId="2" borderId="0" xfId="0" applyFont="1" applyFill="1" applyAlignment="1">
      <alignment horizontal="center" vertical="top"/>
    </xf>
    <xf numFmtId="0" fontId="38" fillId="2" borderId="0" xfId="0" applyFont="1" applyFill="1" applyAlignment="1">
      <alignment vertical="top"/>
    </xf>
    <xf numFmtId="0" fontId="37" fillId="2" borderId="0" xfId="0" applyFont="1" applyFill="1" applyAlignment="1">
      <alignment horizontal="center" vertical="top"/>
    </xf>
    <xf numFmtId="0" fontId="0" fillId="2" borderId="5" xfId="0" applyFill="1" applyBorder="1" applyAlignment="1">
      <alignment vertical="top"/>
    </xf>
    <xf numFmtId="0" fontId="8" fillId="0" borderId="0" xfId="0" applyFont="1" applyAlignment="1">
      <alignment wrapText="1"/>
    </xf>
    <xf numFmtId="179" fontId="0" fillId="0" borderId="0" xfId="0" applyNumberFormat="1" applyAlignment="1">
      <alignment vertical="top"/>
    </xf>
    <xf numFmtId="0" fontId="45" fillId="2" borderId="0" xfId="0" applyFont="1" applyFill="1"/>
    <xf numFmtId="0" fontId="8" fillId="0" borderId="0" xfId="0" applyFont="1" applyAlignment="1">
      <alignment vertical="center" wrapText="1"/>
    </xf>
    <xf numFmtId="0" fontId="0" fillId="9" borderId="0" xfId="0" applyFill="1" applyAlignment="1">
      <alignment vertical="top" wrapText="1"/>
    </xf>
    <xf numFmtId="0" fontId="0" fillId="12" borderId="0" xfId="0" applyFill="1" applyAlignment="1">
      <alignment vertical="top" wrapText="1"/>
    </xf>
    <xf numFmtId="0" fontId="0" fillId="13" borderId="0" xfId="0" applyFill="1" applyAlignment="1">
      <alignment horizontal="center" vertical="top"/>
    </xf>
    <xf numFmtId="0" fontId="0" fillId="13" borderId="0" xfId="0" applyFill="1" applyAlignment="1">
      <alignment vertical="top"/>
    </xf>
    <xf numFmtId="0" fontId="0" fillId="13" borderId="5" xfId="0" applyFill="1" applyBorder="1" applyAlignment="1">
      <alignment vertical="top"/>
    </xf>
    <xf numFmtId="0" fontId="0" fillId="13" borderId="0" xfId="0" applyFill="1" applyBorder="1" applyAlignment="1">
      <alignment vertical="top"/>
    </xf>
    <xf numFmtId="0" fontId="36" fillId="13" borderId="0" xfId="0" applyFont="1" applyFill="1" applyAlignment="1">
      <alignment horizontal="center" vertical="top"/>
    </xf>
    <xf numFmtId="0" fontId="38" fillId="13" borderId="0" xfId="0" applyFont="1" applyFill="1" applyAlignment="1">
      <alignment horizontal="center" vertical="top"/>
    </xf>
    <xf numFmtId="0" fontId="38" fillId="13" borderId="0" xfId="0" applyFont="1" applyFill="1" applyAlignment="1">
      <alignment vertical="top"/>
    </xf>
    <xf numFmtId="0" fontId="28" fillId="13" borderId="0" xfId="0" applyFont="1" applyFill="1" applyAlignment="1">
      <alignment horizontal="center" vertical="top"/>
    </xf>
    <xf numFmtId="0" fontId="37" fillId="13" borderId="0" xfId="0" applyFont="1" applyFill="1" applyAlignment="1">
      <alignment horizontal="center" vertical="top"/>
    </xf>
    <xf numFmtId="0" fontId="35" fillId="0" borderId="0" xfId="0" applyFont="1"/>
    <xf numFmtId="44" fontId="0" fillId="0" borderId="0" xfId="1" applyFont="1" applyAlignment="1">
      <alignment vertical="top" wrapText="1"/>
    </xf>
    <xf numFmtId="7" fontId="15" fillId="0" borderId="0" xfId="0" applyNumberFormat="1" applyFont="1" applyAlignment="1">
      <alignment wrapText="1"/>
    </xf>
    <xf numFmtId="0" fontId="46" fillId="14" borderId="0" xfId="0" applyFont="1" applyFill="1" applyAlignment="1">
      <alignment horizontal="center" vertical="top"/>
    </xf>
    <xf numFmtId="0" fontId="47" fillId="14" borderId="0" xfId="0" applyFont="1" applyFill="1" applyAlignment="1">
      <alignment horizontal="center" vertical="top"/>
    </xf>
    <xf numFmtId="0" fontId="29" fillId="14" borderId="0" xfId="0" applyFont="1" applyFill="1" applyAlignment="1">
      <alignment horizontal="center" vertical="top"/>
    </xf>
    <xf numFmtId="0" fontId="29" fillId="14" borderId="0" xfId="0" applyFont="1" applyFill="1" applyAlignment="1">
      <alignment vertical="top"/>
    </xf>
    <xf numFmtId="0" fontId="48" fillId="14" borderId="0" xfId="0" applyFont="1" applyFill="1" applyAlignment="1">
      <alignment horizontal="center" vertical="top"/>
    </xf>
    <xf numFmtId="0" fontId="46" fillId="14" borderId="5" xfId="0" applyFont="1" applyFill="1" applyBorder="1" applyAlignment="1">
      <alignment vertical="top"/>
    </xf>
    <xf numFmtId="0" fontId="46" fillId="14" borderId="0" xfId="0" applyFont="1" applyFill="1" applyBorder="1" applyAlignment="1">
      <alignment vertical="top"/>
    </xf>
    <xf numFmtId="0" fontId="46" fillId="14" borderId="0" xfId="0" applyFont="1" applyFill="1" applyAlignment="1">
      <alignment vertical="top"/>
    </xf>
    <xf numFmtId="0" fontId="8" fillId="0" borderId="0" xfId="0" applyFont="1" applyAlignment="1">
      <alignment horizontal="left" wrapText="1"/>
    </xf>
    <xf numFmtId="0" fontId="0" fillId="0" borderId="5" xfId="0" applyBorder="1" applyAlignment="1">
      <alignment horizontal="left" vertical="top" wrapText="1"/>
    </xf>
    <xf numFmtId="0" fontId="49" fillId="0" borderId="0" xfId="0" applyFont="1" applyAlignment="1">
      <alignment horizontal="left" vertical="top" wrapText="1"/>
    </xf>
    <xf numFmtId="0" fontId="19" fillId="15" borderId="0" xfId="0" applyFont="1" applyFill="1" applyAlignment="1">
      <alignment horizontal="center" vertical="top"/>
    </xf>
    <xf numFmtId="0" fontId="44" fillId="15" borderId="0" xfId="0" applyFont="1" applyFill="1" applyAlignment="1">
      <alignment horizontal="center" vertical="top"/>
    </xf>
    <xf numFmtId="0" fontId="28" fillId="15" borderId="0" xfId="0" applyFont="1" applyFill="1" applyAlignment="1">
      <alignment horizontal="center" vertical="top"/>
    </xf>
    <xf numFmtId="0" fontId="28" fillId="15" borderId="0" xfId="0" applyFont="1" applyFill="1" applyAlignment="1">
      <alignment vertical="top"/>
    </xf>
    <xf numFmtId="0" fontId="40" fillId="15" borderId="0" xfId="0" applyFont="1" applyFill="1" applyAlignment="1">
      <alignment horizontal="center" vertical="top"/>
    </xf>
    <xf numFmtId="0" fontId="19" fillId="15" borderId="5" xfId="0" applyFont="1" applyFill="1" applyBorder="1" applyAlignment="1">
      <alignment vertical="top"/>
    </xf>
    <xf numFmtId="0" fontId="19" fillId="15" borderId="0" xfId="0" applyFont="1" applyFill="1" applyBorder="1" applyAlignment="1">
      <alignment vertical="top"/>
    </xf>
    <xf numFmtId="0" fontId="19" fillId="15" borderId="0" xfId="0" applyFont="1" applyFill="1" applyAlignment="1">
      <alignment vertical="top"/>
    </xf>
    <xf numFmtId="0" fontId="0" fillId="0" borderId="0" xfId="0" applyNumberFormat="1" applyFill="1"/>
    <xf numFmtId="0" fontId="0" fillId="0" borderId="0" xfId="0" applyNumberFormat="1"/>
    <xf numFmtId="0" fontId="53" fillId="0" borderId="0" xfId="0" applyFont="1"/>
    <xf numFmtId="0" fontId="53" fillId="0" borderId="0" xfId="0" applyFont="1" applyBorder="1"/>
    <xf numFmtId="49" fontId="0" fillId="0" borderId="0" xfId="0" applyNumberFormat="1" applyAlignment="1">
      <alignment vertical="top"/>
    </xf>
    <xf numFmtId="0" fontId="0" fillId="0" borderId="0" xfId="0" applyNumberFormat="1" applyBorder="1" applyAlignment="1">
      <alignment vertical="top" wrapText="1"/>
    </xf>
    <xf numFmtId="0" fontId="54" fillId="0" borderId="5" xfId="0" applyFont="1" applyBorder="1" applyAlignment="1">
      <alignment vertical="top"/>
    </xf>
    <xf numFmtId="3" fontId="0" fillId="0" borderId="0" xfId="0" applyNumberFormat="1" applyAlignment="1">
      <alignment vertical="top"/>
    </xf>
    <xf numFmtId="0" fontId="5" fillId="0" borderId="0" xfId="0" applyFont="1" applyAlignment="1">
      <alignment horizontal="center"/>
    </xf>
    <xf numFmtId="0" fontId="55" fillId="0" borderId="0" xfId="0" applyFont="1"/>
    <xf numFmtId="0" fontId="55" fillId="0" borderId="0" xfId="0" applyFont="1" applyAlignment="1">
      <alignment horizontal="left" vertical="top" wrapText="1"/>
    </xf>
    <xf numFmtId="0" fontId="55" fillId="0" borderId="0" xfId="0" applyFont="1" applyAlignment="1">
      <alignment horizontal="center"/>
    </xf>
    <xf numFmtId="0" fontId="55" fillId="0" borderId="6" xfId="0" applyFont="1" applyBorder="1" applyAlignment="1">
      <alignment horizontal="center"/>
    </xf>
    <xf numFmtId="0" fontId="55" fillId="0" borderId="0" xfId="0" applyFont="1" applyAlignment="1">
      <alignment horizontal="left"/>
    </xf>
    <xf numFmtId="177" fontId="55" fillId="0" borderId="0" xfId="0" applyNumberFormat="1" applyFont="1" applyAlignment="1">
      <alignment horizontal="left"/>
    </xf>
    <xf numFmtId="0" fontId="23" fillId="16" borderId="0" xfId="0" applyFont="1" applyFill="1" applyBorder="1" applyAlignment="1">
      <alignment horizontal="left"/>
    </xf>
    <xf numFmtId="0" fontId="17" fillId="0" borderId="4" xfId="0" applyFont="1" applyBorder="1" applyAlignment="1" applyProtection="1">
      <protection locked="0"/>
    </xf>
    <xf numFmtId="0" fontId="55" fillId="0" borderId="7" xfId="0" applyFont="1" applyFill="1" applyBorder="1" applyAlignment="1">
      <alignment horizontal="center"/>
    </xf>
    <xf numFmtId="164" fontId="5" fillId="0" borderId="7" xfId="0" applyNumberFormat="1" applyFont="1" applyFill="1" applyBorder="1" applyAlignment="1">
      <alignment horizontal="center"/>
    </xf>
    <xf numFmtId="0" fontId="5" fillId="0" borderId="7" xfId="0" applyFont="1" applyFill="1" applyBorder="1" applyAlignment="1">
      <alignment horizontal="center"/>
    </xf>
    <xf numFmtId="0" fontId="55" fillId="0" borderId="8" xfId="0" applyFont="1" applyFill="1" applyBorder="1" applyAlignment="1">
      <alignment horizontal="center"/>
    </xf>
    <xf numFmtId="0" fontId="55" fillId="0" borderId="0" xfId="0" applyFont="1" applyFill="1"/>
    <xf numFmtId="175" fontId="55" fillId="0" borderId="0" xfId="0" applyNumberFormat="1" applyFont="1" applyFill="1"/>
    <xf numFmtId="7" fontId="55" fillId="0" borderId="0" xfId="0" applyNumberFormat="1" applyFont="1" applyFill="1"/>
    <xf numFmtId="169" fontId="55" fillId="0" borderId="0" xfId="0" applyNumberFormat="1" applyFont="1" applyFill="1"/>
    <xf numFmtId="174" fontId="55" fillId="0" borderId="0" xfId="0" applyNumberFormat="1" applyFont="1" applyFill="1"/>
    <xf numFmtId="44" fontId="55" fillId="0" borderId="0" xfId="0" applyNumberFormat="1" applyFont="1" applyFill="1"/>
    <xf numFmtId="171" fontId="55" fillId="0" borderId="0" xfId="0" applyNumberFormat="1" applyFont="1" applyFill="1"/>
    <xf numFmtId="0" fontId="5" fillId="0" borderId="0" xfId="0" applyFont="1" applyFill="1"/>
    <xf numFmtId="0" fontId="3" fillId="0" borderId="0" xfId="0" applyFont="1" applyFill="1"/>
    <xf numFmtId="0" fontId="5" fillId="0" borderId="0" xfId="0" applyFont="1" applyFill="1" applyAlignment="1">
      <alignment horizontal="left" indent="1"/>
    </xf>
    <xf numFmtId="0" fontId="4" fillId="0" borderId="0" xfId="0" applyFont="1" applyFill="1"/>
    <xf numFmtId="0" fontId="4" fillId="0" borderId="0" xfId="0" applyFont="1" applyFill="1" applyAlignment="1"/>
    <xf numFmtId="0" fontId="8" fillId="0" borderId="9" xfId="0" applyFont="1" applyFill="1" applyBorder="1" applyAlignment="1">
      <alignment vertical="top" wrapText="1"/>
    </xf>
    <xf numFmtId="0" fontId="35" fillId="0" borderId="9" xfId="0" applyFont="1" applyFill="1" applyBorder="1" applyAlignment="1">
      <alignment vertical="top" wrapText="1"/>
    </xf>
    <xf numFmtId="0" fontId="55" fillId="0" borderId="0" xfId="0" applyFont="1" applyFill="1" applyAlignment="1">
      <alignment horizontal="left"/>
    </xf>
    <xf numFmtId="49" fontId="55" fillId="0" borderId="0" xfId="0" applyNumberFormat="1" applyFont="1" applyFill="1"/>
    <xf numFmtId="0" fontId="55" fillId="0" borderId="0" xfId="0" applyFont="1" applyFill="1" applyAlignment="1">
      <alignment horizontal="left" indent="1"/>
    </xf>
    <xf numFmtId="0" fontId="55" fillId="0" borderId="0" xfId="0" applyFont="1" applyFill="1" applyAlignment="1">
      <alignment horizontal="center"/>
    </xf>
    <xf numFmtId="0" fontId="55" fillId="0" borderId="0" xfId="0" applyFont="1" applyFill="1" applyBorder="1"/>
    <xf numFmtId="179" fontId="55" fillId="0" borderId="0" xfId="0" applyNumberFormat="1" applyFont="1" applyFill="1"/>
    <xf numFmtId="0" fontId="57" fillId="0" borderId="9" xfId="2" applyFont="1" applyFill="1" applyBorder="1" applyAlignment="1" applyProtection="1">
      <alignment vertical="top" wrapText="1"/>
    </xf>
    <xf numFmtId="0" fontId="55" fillId="0" borderId="0" xfId="0" applyFont="1" applyFill="1" applyBorder="1" applyAlignment="1">
      <alignment vertical="center" wrapText="1"/>
    </xf>
    <xf numFmtId="0" fontId="55" fillId="0" borderId="0" xfId="0" applyFont="1" applyFill="1" applyBorder="1" applyAlignment="1">
      <alignment horizontal="center"/>
    </xf>
    <xf numFmtId="0" fontId="5" fillId="0" borderId="0" xfId="0" applyFont="1" applyFill="1" applyBorder="1"/>
    <xf numFmtId="182" fontId="52" fillId="5" borderId="3" xfId="0" applyNumberFormat="1" applyFont="1" applyFill="1" applyBorder="1" applyAlignment="1" applyProtection="1">
      <alignment horizontal="center"/>
      <protection locked="0"/>
    </xf>
    <xf numFmtId="0" fontId="52" fillId="5" borderId="3" xfId="0" applyFont="1" applyFill="1" applyBorder="1" applyAlignment="1" applyProtection="1">
      <alignment horizontal="center"/>
      <protection locked="0"/>
    </xf>
    <xf numFmtId="2" fontId="5" fillId="5" borderId="4" xfId="0" applyNumberFormat="1" applyFont="1" applyFill="1" applyBorder="1" applyAlignment="1" applyProtection="1">
      <alignment horizontal="center"/>
      <protection locked="0"/>
    </xf>
    <xf numFmtId="0" fontId="5" fillId="5" borderId="31" xfId="0" applyFont="1" applyFill="1" applyBorder="1" applyAlignment="1">
      <alignment horizontal="center"/>
    </xf>
    <xf numFmtId="0" fontId="18" fillId="5" borderId="31" xfId="0" applyFont="1" applyFill="1" applyBorder="1" applyAlignment="1">
      <alignment horizontal="center"/>
    </xf>
    <xf numFmtId="0" fontId="17" fillId="5" borderId="3" xfId="0" applyFont="1" applyFill="1" applyBorder="1" applyAlignment="1" applyProtection="1">
      <protection locked="0"/>
    </xf>
    <xf numFmtId="0" fontId="17" fillId="5" borderId="0" xfId="0" applyFont="1" applyFill="1" applyBorder="1" applyAlignment="1" applyProtection="1">
      <protection locked="0"/>
    </xf>
    <xf numFmtId="184" fontId="17" fillId="5" borderId="3" xfId="0" applyNumberFormat="1" applyFont="1" applyFill="1" applyBorder="1" applyAlignment="1" applyProtection="1">
      <protection locked="0"/>
    </xf>
    <xf numFmtId="0" fontId="5" fillId="0" borderId="0" xfId="0" applyFont="1" applyFill="1" applyBorder="1" applyAlignment="1">
      <alignment horizontal="center" vertical="center" wrapText="1"/>
    </xf>
    <xf numFmtId="0" fontId="5" fillId="4" borderId="0" xfId="0" applyFont="1" applyFill="1" applyBorder="1" applyAlignment="1"/>
    <xf numFmtId="0" fontId="23" fillId="0" borderId="0" xfId="0" applyFont="1" applyFill="1" applyBorder="1" applyAlignment="1">
      <alignment horizontal="center" vertical="top" wrapText="1"/>
    </xf>
    <xf numFmtId="0" fontId="17" fillId="0" borderId="0" xfId="0" applyFont="1" applyFill="1" applyBorder="1" applyAlignment="1">
      <alignment vertical="top" wrapText="1"/>
    </xf>
    <xf numFmtId="0" fontId="11" fillId="0" borderId="0" xfId="0" applyFont="1"/>
    <xf numFmtId="0" fontId="11" fillId="0" borderId="0" xfId="0" quotePrefix="1" applyFont="1"/>
    <xf numFmtId="0" fontId="33" fillId="0" borderId="0" xfId="2" applyFont="1" applyFill="1" applyBorder="1" applyAlignment="1" applyProtection="1">
      <alignment horizontal="center" vertical="center" wrapText="1"/>
    </xf>
    <xf numFmtId="0" fontId="22" fillId="0" borderId="0" xfId="0" applyFont="1" applyFill="1" applyBorder="1" applyAlignment="1">
      <alignment horizontal="center"/>
    </xf>
    <xf numFmtId="0" fontId="23" fillId="0" borderId="0" xfId="0" applyFont="1" applyFill="1" applyBorder="1" applyAlignment="1">
      <alignment horizontal="left"/>
    </xf>
    <xf numFmtId="0" fontId="22" fillId="0" borderId="0" xfId="0" applyFont="1" applyFill="1" applyBorder="1" applyAlignment="1"/>
    <xf numFmtId="0" fontId="26" fillId="0" borderId="0" xfId="0" applyFont="1" applyFill="1" applyBorder="1"/>
    <xf numFmtId="0" fontId="17" fillId="0" borderId="31" xfId="0" applyFont="1" applyFill="1" applyBorder="1" applyAlignment="1"/>
    <xf numFmtId="0" fontId="23" fillId="4" borderId="0" xfId="0" applyFont="1" applyFill="1" applyBorder="1" applyAlignment="1">
      <alignment horizontal="center" wrapText="1"/>
    </xf>
    <xf numFmtId="0" fontId="5" fillId="4" borderId="0" xfId="0" applyFont="1" applyFill="1" applyBorder="1" applyAlignment="1">
      <alignment horizontal="center" wrapText="1"/>
    </xf>
    <xf numFmtId="0" fontId="5" fillId="4" borderId="10" xfId="0" applyFont="1" applyFill="1" applyBorder="1" applyAlignment="1">
      <alignment vertical="top" wrapText="1"/>
    </xf>
    <xf numFmtId="2" fontId="5" fillId="0" borderId="4" xfId="0" applyNumberFormat="1" applyFont="1" applyBorder="1" applyAlignment="1">
      <alignment horizontal="center"/>
    </xf>
    <xf numFmtId="5" fontId="5" fillId="5" borderId="4" xfId="1" applyNumberFormat="1" applyFont="1" applyFill="1" applyBorder="1" applyProtection="1">
      <protection locked="0"/>
    </xf>
    <xf numFmtId="5" fontId="5" fillId="0" borderId="4" xfId="1" applyNumberFormat="1" applyFont="1" applyBorder="1" applyProtection="1">
      <protection locked="0"/>
    </xf>
    <xf numFmtId="5" fontId="5" fillId="5" borderId="0" xfId="1" applyNumberFormat="1" applyFont="1" applyFill="1" applyBorder="1"/>
    <xf numFmtId="0" fontId="5" fillId="0" borderId="0" xfId="0" applyFont="1" applyFill="1" applyBorder="1" applyAlignment="1">
      <alignment wrapText="1"/>
    </xf>
    <xf numFmtId="0" fontId="0" fillId="0" borderId="0" xfId="0" applyFill="1" applyBorder="1" applyAlignment="1"/>
    <xf numFmtId="0" fontId="61" fillId="17" borderId="0" xfId="0" applyFont="1" applyFill="1" applyBorder="1" applyAlignment="1">
      <alignment horizontal="right"/>
    </xf>
    <xf numFmtId="0" fontId="51" fillId="0" borderId="0" xfId="0" applyFont="1" applyFill="1" applyBorder="1" applyAlignment="1">
      <alignment horizontal="center" vertical="top" wrapText="1"/>
    </xf>
    <xf numFmtId="0" fontId="17" fillId="5" borderId="0" xfId="0" applyFont="1" applyFill="1" applyBorder="1" applyAlignment="1">
      <alignment horizontal="left"/>
    </xf>
    <xf numFmtId="0" fontId="26" fillId="5" borderId="0" xfId="0" applyFont="1" applyFill="1" applyBorder="1" applyAlignment="1">
      <alignment horizontal="left"/>
    </xf>
    <xf numFmtId="0" fontId="11" fillId="0" borderId="0" xfId="0" applyFont="1" applyFill="1" applyBorder="1"/>
    <xf numFmtId="0" fontId="23" fillId="18" borderId="0" xfId="0" applyFont="1" applyFill="1" applyBorder="1" applyAlignment="1">
      <alignment vertical="top" wrapText="1"/>
    </xf>
    <xf numFmtId="0" fontId="18" fillId="0" borderId="0" xfId="0" applyFont="1" applyFill="1" applyBorder="1"/>
    <xf numFmtId="0" fontId="18" fillId="0" borderId="0" xfId="0" applyFont="1" applyBorder="1"/>
    <xf numFmtId="2" fontId="62" fillId="17" borderId="0" xfId="0" applyNumberFormat="1" applyFont="1" applyFill="1" applyBorder="1" applyAlignment="1">
      <alignment horizontal="center"/>
    </xf>
    <xf numFmtId="1" fontId="62" fillId="17" borderId="0" xfId="0" applyNumberFormat="1" applyFont="1" applyFill="1" applyBorder="1" applyAlignment="1">
      <alignment horizontal="center"/>
    </xf>
    <xf numFmtId="5" fontId="5" fillId="5" borderId="11" xfId="1" applyNumberFormat="1" applyFont="1" applyFill="1" applyBorder="1" applyProtection="1">
      <protection locked="0"/>
    </xf>
    <xf numFmtId="9" fontId="5" fillId="5" borderId="11" xfId="3" applyFont="1" applyFill="1" applyBorder="1" applyProtection="1">
      <protection locked="0"/>
    </xf>
    <xf numFmtId="2" fontId="5" fillId="5" borderId="11" xfId="0" applyNumberFormat="1" applyFont="1" applyFill="1" applyBorder="1" applyAlignment="1" applyProtection="1">
      <alignment horizontal="center"/>
      <protection locked="0"/>
    </xf>
    <xf numFmtId="0" fontId="63" fillId="17" borderId="32" xfId="0" applyFont="1" applyFill="1" applyBorder="1" applyAlignment="1">
      <alignment horizontal="center" wrapText="1"/>
    </xf>
    <xf numFmtId="0" fontId="64" fillId="17" borderId="32" xfId="0" applyFont="1" applyFill="1" applyBorder="1"/>
    <xf numFmtId="49" fontId="63" fillId="17" borderId="32" xfId="0" applyNumberFormat="1" applyFont="1" applyFill="1" applyBorder="1" applyAlignment="1">
      <alignment horizontal="center" wrapText="1"/>
    </xf>
    <xf numFmtId="49" fontId="23" fillId="5" borderId="11" xfId="0" applyNumberFormat="1" applyFont="1" applyFill="1" applyBorder="1" applyAlignment="1" applyProtection="1">
      <alignment horizontal="center" wrapText="1"/>
      <protection locked="0"/>
    </xf>
    <xf numFmtId="49" fontId="5" fillId="5" borderId="4" xfId="0" applyNumberFormat="1" applyFont="1" applyFill="1" applyBorder="1" applyAlignment="1" applyProtection="1">
      <protection locked="0"/>
    </xf>
    <xf numFmtId="49" fontId="65" fillId="17" borderId="32" xfId="0" applyNumberFormat="1" applyFont="1" applyFill="1" applyBorder="1" applyAlignment="1">
      <alignment horizontal="center" wrapText="1"/>
    </xf>
    <xf numFmtId="49" fontId="23" fillId="5" borderId="4" xfId="0" applyNumberFormat="1" applyFont="1" applyFill="1" applyBorder="1" applyAlignment="1" applyProtection="1">
      <alignment horizontal="center" wrapText="1"/>
      <protection locked="0"/>
    </xf>
    <xf numFmtId="2" fontId="63" fillId="17" borderId="32" xfId="0" applyNumberFormat="1" applyFont="1" applyFill="1" applyBorder="1" applyAlignment="1">
      <alignment horizontal="center" wrapText="1"/>
    </xf>
    <xf numFmtId="190" fontId="63" fillId="17" borderId="32" xfId="1" applyNumberFormat="1" applyFont="1" applyFill="1" applyBorder="1" applyAlignment="1">
      <alignment horizontal="center" wrapText="1"/>
    </xf>
    <xf numFmtId="9" fontId="63" fillId="17" borderId="32" xfId="3" applyFont="1" applyFill="1" applyBorder="1" applyAlignment="1">
      <alignment horizontal="center" wrapText="1"/>
    </xf>
    <xf numFmtId="0" fontId="5" fillId="0" borderId="3" xfId="0" applyFont="1" applyBorder="1" applyAlignment="1" applyProtection="1">
      <protection locked="0"/>
    </xf>
    <xf numFmtId="0" fontId="22" fillId="5" borderId="0" xfId="0" applyFont="1" applyFill="1" applyBorder="1" applyAlignment="1"/>
    <xf numFmtId="0" fontId="0" fillId="0" borderId="0" xfId="0" applyBorder="1" applyAlignment="1" applyProtection="1">
      <protection locked="0"/>
    </xf>
    <xf numFmtId="0" fontId="5" fillId="4" borderId="0" xfId="0" applyFont="1" applyFill="1" applyBorder="1" applyAlignment="1">
      <alignment vertical="top" wrapText="1"/>
    </xf>
    <xf numFmtId="0" fontId="0" fillId="0" borderId="0" xfId="0" applyAlignment="1">
      <alignment horizontal="left" vertical="center" wrapText="1"/>
    </xf>
    <xf numFmtId="0" fontId="22" fillId="0" borderId="0" xfId="0" applyFont="1" applyBorder="1" applyAlignment="1"/>
    <xf numFmtId="0" fontId="23" fillId="4" borderId="0" xfId="0" applyFont="1" applyFill="1" applyBorder="1" applyAlignment="1">
      <alignment wrapText="1"/>
    </xf>
    <xf numFmtId="0" fontId="17" fillId="5" borderId="31" xfId="0" applyFont="1" applyFill="1" applyBorder="1"/>
    <xf numFmtId="182" fontId="52" fillId="5" borderId="3" xfId="0" applyNumberFormat="1" applyFont="1" applyFill="1" applyBorder="1" applyAlignment="1" applyProtection="1">
      <protection locked="0"/>
    </xf>
    <xf numFmtId="0" fontId="5" fillId="5" borderId="10" xfId="0" applyFont="1" applyFill="1" applyBorder="1" applyAlignment="1"/>
    <xf numFmtId="0" fontId="66" fillId="17" borderId="12" xfId="0" applyFont="1" applyFill="1" applyBorder="1" applyAlignment="1">
      <alignment horizontal="center"/>
    </xf>
    <xf numFmtId="0" fontId="66" fillId="17" borderId="13" xfId="0" applyFont="1" applyFill="1" applyBorder="1" applyAlignment="1">
      <alignment horizontal="center"/>
    </xf>
    <xf numFmtId="0" fontId="66" fillId="17" borderId="14" xfId="0" applyFont="1" applyFill="1" applyBorder="1" applyAlignment="1">
      <alignment horizontal="center"/>
    </xf>
    <xf numFmtId="0" fontId="23" fillId="5" borderId="15" xfId="0" applyFont="1" applyFill="1" applyBorder="1" applyAlignment="1" applyProtection="1">
      <alignment vertical="top" wrapText="1"/>
      <protection locked="0"/>
    </xf>
    <xf numFmtId="0" fontId="17" fillId="5" borderId="16" xfId="0" applyFont="1" applyFill="1" applyBorder="1" applyAlignment="1" applyProtection="1">
      <alignment horizontal="center"/>
      <protection locked="0"/>
    </xf>
    <xf numFmtId="2" fontId="5" fillId="5" borderId="17" xfId="0" applyNumberFormat="1" applyFont="1" applyFill="1" applyBorder="1" applyAlignment="1" applyProtection="1">
      <alignment horizontal="center"/>
      <protection locked="0"/>
    </xf>
    <xf numFmtId="0" fontId="23" fillId="5" borderId="18" xfId="0" applyFont="1" applyFill="1" applyBorder="1" applyAlignment="1" applyProtection="1">
      <alignment vertical="top" wrapText="1"/>
      <protection locked="0"/>
    </xf>
    <xf numFmtId="0" fontId="17" fillId="5" borderId="19" xfId="0" applyFont="1" applyFill="1" applyBorder="1" applyAlignment="1" applyProtection="1">
      <alignment horizontal="center"/>
      <protection locked="0"/>
    </xf>
    <xf numFmtId="2" fontId="5" fillId="5" borderId="20" xfId="0" applyNumberFormat="1" applyFont="1" applyFill="1" applyBorder="1" applyAlignment="1" applyProtection="1">
      <alignment horizontal="center"/>
      <protection locked="0"/>
    </xf>
    <xf numFmtId="0" fontId="17" fillId="5" borderId="18" xfId="0" applyFont="1" applyFill="1" applyBorder="1" applyAlignment="1" applyProtection="1">
      <protection locked="0"/>
    </xf>
    <xf numFmtId="0" fontId="23" fillId="5" borderId="21" xfId="0" applyFont="1" applyFill="1" applyBorder="1" applyAlignment="1">
      <alignment horizontal="right" vertical="top" wrapText="1"/>
    </xf>
    <xf numFmtId="0" fontId="17" fillId="5" borderId="22" xfId="0" applyFont="1" applyFill="1" applyBorder="1" applyAlignment="1" applyProtection="1">
      <alignment horizontal="center"/>
      <protection locked="0"/>
    </xf>
    <xf numFmtId="2" fontId="5" fillId="5" borderId="23" xfId="0" applyNumberFormat="1" applyFont="1" applyFill="1" applyBorder="1" applyAlignment="1" applyProtection="1">
      <alignment horizontal="center"/>
      <protection locked="0"/>
    </xf>
    <xf numFmtId="0" fontId="11" fillId="0" borderId="0" xfId="0" applyFont="1" applyAlignment="1">
      <alignment horizontal="center"/>
    </xf>
    <xf numFmtId="0" fontId="5" fillId="0" borderId="0" xfId="0" applyFont="1" applyFill="1" applyBorder="1" applyAlignment="1">
      <alignment horizontal="left"/>
    </xf>
    <xf numFmtId="0" fontId="3" fillId="0" borderId="0" xfId="0" applyFont="1" applyAlignment="1">
      <alignment vertical="center"/>
    </xf>
    <xf numFmtId="0" fontId="59" fillId="0" borderId="0" xfId="0" applyFont="1" applyAlignment="1">
      <alignment vertical="center"/>
    </xf>
    <xf numFmtId="0" fontId="5" fillId="0" borderId="0" xfId="0" applyFont="1" applyAlignment="1">
      <alignment vertical="center"/>
    </xf>
    <xf numFmtId="0" fontId="26" fillId="0" borderId="0" xfId="0" applyFont="1" applyAlignment="1">
      <alignment vertical="center"/>
    </xf>
    <xf numFmtId="0" fontId="60" fillId="0" borderId="0" xfId="0" applyFont="1" applyAlignment="1">
      <alignment vertical="center"/>
    </xf>
    <xf numFmtId="0" fontId="14" fillId="0" borderId="0" xfId="0" applyFont="1" applyAlignment="1">
      <alignment vertical="center"/>
    </xf>
    <xf numFmtId="7" fontId="5" fillId="0" borderId="0" xfId="0" applyNumberFormat="1" applyFont="1" applyFill="1" applyBorder="1" applyAlignment="1" applyProtection="1">
      <alignment horizontal="center" wrapText="1"/>
      <protection locked="0"/>
    </xf>
    <xf numFmtId="0" fontId="67" fillId="0" borderId="33" xfId="0" applyFont="1" applyBorder="1" applyAlignment="1">
      <alignment horizontal="center" vertical="top" wrapText="1"/>
    </xf>
    <xf numFmtId="0" fontId="67" fillId="0" borderId="34" xfId="0" applyFont="1" applyBorder="1" applyAlignment="1">
      <alignment horizontal="center" vertical="top" wrapText="1"/>
    </xf>
    <xf numFmtId="0" fontId="67" fillId="0" borderId="35" xfId="0" applyFont="1" applyBorder="1" applyAlignment="1">
      <alignment horizontal="center" vertical="top" wrapText="1"/>
    </xf>
    <xf numFmtId="0" fontId="67" fillId="0" borderId="36" xfId="0" applyFont="1" applyBorder="1" applyAlignment="1">
      <alignment horizontal="center" vertical="top" wrapText="1"/>
    </xf>
    <xf numFmtId="0" fontId="67" fillId="0" borderId="37" xfId="0" applyFont="1" applyBorder="1" applyAlignment="1">
      <alignment horizontal="center" vertical="top" wrapText="1"/>
    </xf>
    <xf numFmtId="0" fontId="67" fillId="0" borderId="38" xfId="0" applyFont="1" applyBorder="1" applyAlignment="1">
      <alignment horizontal="center" vertical="top" wrapText="1"/>
    </xf>
    <xf numFmtId="0" fontId="0" fillId="0" borderId="39" xfId="0" applyBorder="1"/>
    <xf numFmtId="0" fontId="0" fillId="0" borderId="0" xfId="0" applyBorder="1"/>
    <xf numFmtId="0" fontId="11" fillId="0" borderId="39" xfId="0" applyFont="1" applyFill="1" applyBorder="1"/>
    <xf numFmtId="0" fontId="11" fillId="0" borderId="0" xfId="0" applyFont="1" applyBorder="1"/>
    <xf numFmtId="0" fontId="11" fillId="0" borderId="39" xfId="0" applyFont="1" applyBorder="1" applyAlignment="1">
      <alignment vertical="center"/>
    </xf>
    <xf numFmtId="182" fontId="52" fillId="5" borderId="3" xfId="0" applyNumberFormat="1" applyFont="1" applyFill="1" applyBorder="1" applyAlignment="1" applyProtection="1">
      <alignment horizontal="left" vertical="top" wrapText="1"/>
      <protection locked="0"/>
    </xf>
    <xf numFmtId="0" fontId="52" fillId="5" borderId="3" xfId="0" applyFont="1" applyFill="1" applyBorder="1" applyAlignment="1" applyProtection="1">
      <alignment horizontal="left" vertical="top" wrapText="1"/>
      <protection locked="0"/>
    </xf>
    <xf numFmtId="0" fontId="51" fillId="2" borderId="44" xfId="0" applyFont="1" applyFill="1" applyBorder="1" applyAlignment="1">
      <alignment horizontal="left"/>
    </xf>
    <xf numFmtId="0" fontId="51" fillId="2" borderId="40" xfId="0" applyFont="1" applyFill="1" applyBorder="1" applyAlignment="1">
      <alignment horizontal="left"/>
    </xf>
    <xf numFmtId="0" fontId="51" fillId="2" borderId="45" xfId="0" applyFont="1" applyFill="1" applyBorder="1" applyAlignment="1">
      <alignment horizontal="left"/>
    </xf>
    <xf numFmtId="0" fontId="23" fillId="0" borderId="41" xfId="0" applyFont="1" applyBorder="1" applyAlignment="1">
      <alignment horizontal="left" vertical="top" wrapText="1"/>
    </xf>
    <xf numFmtId="0" fontId="17" fillId="0" borderId="40" xfId="0" applyFont="1" applyFill="1" applyBorder="1" applyAlignment="1">
      <alignment horizontal="center"/>
    </xf>
    <xf numFmtId="0" fontId="2" fillId="5" borderId="0" xfId="0" applyFont="1" applyFill="1" applyBorder="1" applyAlignment="1">
      <alignment horizontal="center"/>
    </xf>
    <xf numFmtId="0" fontId="5" fillId="4" borderId="0" xfId="0" applyFont="1" applyFill="1" applyBorder="1" applyAlignment="1">
      <alignment horizontal="left" wrapText="1"/>
    </xf>
    <xf numFmtId="0" fontId="5" fillId="5" borderId="10" xfId="0" applyFont="1" applyFill="1" applyBorder="1" applyAlignment="1">
      <alignment horizontal="left"/>
    </xf>
    <xf numFmtId="0" fontId="17" fillId="5" borderId="24" xfId="0" applyFont="1" applyFill="1" applyBorder="1" applyAlignment="1" applyProtection="1">
      <alignment horizontal="center"/>
      <protection locked="0"/>
    </xf>
    <xf numFmtId="0" fontId="17" fillId="5" borderId="26" xfId="0" applyFont="1" applyFill="1" applyBorder="1" applyAlignment="1" applyProtection="1">
      <alignment horizontal="center"/>
      <protection locked="0"/>
    </xf>
    <xf numFmtId="0" fontId="22" fillId="0" borderId="31" xfId="0" applyFont="1" applyBorder="1" applyAlignment="1">
      <alignment horizontal="center"/>
    </xf>
    <xf numFmtId="182" fontId="52" fillId="5" borderId="3" xfId="0" applyNumberFormat="1" applyFont="1" applyFill="1" applyBorder="1" applyAlignment="1" applyProtection="1">
      <alignment horizontal="left"/>
      <protection locked="0"/>
    </xf>
    <xf numFmtId="0" fontId="52" fillId="5" borderId="3" xfId="0" applyFont="1" applyFill="1" applyBorder="1" applyAlignment="1" applyProtection="1">
      <alignment horizontal="left"/>
      <protection locked="0"/>
    </xf>
    <xf numFmtId="0" fontId="68" fillId="5" borderId="31" xfId="0" applyFont="1" applyFill="1" applyBorder="1" applyAlignment="1">
      <alignment horizontal="center"/>
    </xf>
    <xf numFmtId="0" fontId="5" fillId="4" borderId="0" xfId="0" applyFont="1" applyFill="1" applyBorder="1" applyAlignment="1">
      <alignment horizontal="left" vertical="top" wrapText="1"/>
    </xf>
    <xf numFmtId="7" fontId="5" fillId="5" borderId="31" xfId="0" applyNumberFormat="1" applyFont="1" applyFill="1" applyBorder="1" applyAlignment="1" applyProtection="1">
      <alignment horizontal="center" wrapText="1"/>
      <protection locked="0"/>
    </xf>
    <xf numFmtId="0" fontId="5" fillId="0" borderId="41" xfId="0" applyFont="1" applyBorder="1" applyAlignment="1" applyProtection="1">
      <alignment horizontal="center"/>
      <protection locked="0"/>
    </xf>
    <xf numFmtId="0" fontId="0" fillId="0" borderId="31" xfId="0" applyBorder="1" applyAlignment="1" applyProtection="1">
      <alignment horizontal="center"/>
      <protection locked="0"/>
    </xf>
    <xf numFmtId="49" fontId="23" fillId="5" borderId="42" xfId="0" applyNumberFormat="1" applyFont="1" applyFill="1" applyBorder="1" applyAlignment="1" applyProtection="1">
      <alignment horizontal="center" wrapText="1"/>
      <protection locked="0"/>
    </xf>
    <xf numFmtId="49" fontId="23" fillId="5" borderId="43" xfId="0" applyNumberFormat="1" applyFont="1" applyFill="1" applyBorder="1" applyAlignment="1" applyProtection="1">
      <alignment horizontal="center" wrapText="1"/>
      <protection locked="0"/>
    </xf>
    <xf numFmtId="0" fontId="0" fillId="0" borderId="3" xfId="0" applyBorder="1" applyAlignment="1">
      <alignment horizontal="center"/>
    </xf>
    <xf numFmtId="49" fontId="17" fillId="0" borderId="0" xfId="0" applyNumberFormat="1" applyFont="1" applyBorder="1" applyAlignment="1" applyProtection="1">
      <alignment horizontal="center"/>
      <protection locked="0"/>
    </xf>
    <xf numFmtId="0" fontId="22" fillId="0" borderId="10" xfId="0" applyFont="1" applyBorder="1" applyAlignment="1">
      <alignment horizontal="center"/>
    </xf>
    <xf numFmtId="0" fontId="17" fillId="0" borderId="31" xfId="0" applyFont="1" applyFill="1" applyBorder="1" applyAlignment="1">
      <alignment horizontal="center" vertical="top" wrapText="1"/>
    </xf>
    <xf numFmtId="0" fontId="5" fillId="4" borderId="0" xfId="0" applyFont="1" applyFill="1" applyBorder="1" applyAlignment="1">
      <alignment horizontal="center" vertical="top" wrapText="1"/>
    </xf>
    <xf numFmtId="0" fontId="18" fillId="0" borderId="27" xfId="0" applyFont="1" applyBorder="1" applyAlignment="1" applyProtection="1">
      <alignment horizontal="center" wrapText="1"/>
      <protection locked="0"/>
    </xf>
    <xf numFmtId="0" fontId="18" fillId="0" borderId="10" xfId="0" applyFont="1" applyBorder="1" applyAlignment="1" applyProtection="1">
      <alignment horizontal="center" wrapText="1"/>
      <protection locked="0"/>
    </xf>
    <xf numFmtId="0" fontId="18" fillId="0" borderId="28" xfId="0" applyFont="1" applyBorder="1" applyAlignment="1" applyProtection="1">
      <alignment horizontal="center" wrapText="1"/>
      <protection locked="0"/>
    </xf>
    <xf numFmtId="0" fontId="18" fillId="0" borderId="29" xfId="0" applyFont="1" applyBorder="1" applyAlignment="1" applyProtection="1">
      <alignment horizontal="center" wrapText="1"/>
      <protection locked="0"/>
    </xf>
    <xf numFmtId="0" fontId="18" fillId="0" borderId="3" xfId="0" applyFont="1" applyBorder="1" applyAlignment="1" applyProtection="1">
      <alignment horizontal="center" wrapText="1"/>
      <protection locked="0"/>
    </xf>
    <xf numFmtId="0" fontId="18" fillId="0" borderId="30" xfId="0" applyFont="1" applyBorder="1" applyAlignment="1" applyProtection="1">
      <alignment horizontal="center" wrapText="1"/>
      <protection locked="0"/>
    </xf>
    <xf numFmtId="0" fontId="5" fillId="4" borderId="27" xfId="0" applyFont="1" applyFill="1" applyBorder="1" applyAlignment="1">
      <alignment horizontal="center" vertical="top" wrapText="1"/>
    </xf>
    <xf numFmtId="0" fontId="5" fillId="4" borderId="10" xfId="0" applyFont="1" applyFill="1" applyBorder="1" applyAlignment="1">
      <alignment horizontal="center" vertical="top" wrapText="1"/>
    </xf>
    <xf numFmtId="0" fontId="5" fillId="4" borderId="28" xfId="0" applyFont="1" applyFill="1" applyBorder="1" applyAlignment="1">
      <alignment horizontal="center" vertical="top" wrapText="1"/>
    </xf>
    <xf numFmtId="0" fontId="23" fillId="4" borderId="0" xfId="0" applyFont="1" applyFill="1" applyBorder="1" applyAlignment="1">
      <alignment horizontal="center" vertical="top" wrapText="1"/>
    </xf>
    <xf numFmtId="0" fontId="5" fillId="5" borderId="10" xfId="0" applyFont="1" applyFill="1" applyBorder="1" applyAlignment="1">
      <alignment horizontal="left" vertical="top" wrapText="1"/>
    </xf>
    <xf numFmtId="184" fontId="17" fillId="5" borderId="3" xfId="0" applyNumberFormat="1" applyFont="1" applyFill="1" applyBorder="1" applyAlignment="1" applyProtection="1">
      <alignment horizontal="center"/>
      <protection locked="0"/>
    </xf>
    <xf numFmtId="0" fontId="5" fillId="4" borderId="4" xfId="0" applyFont="1" applyFill="1" applyBorder="1" applyAlignment="1">
      <alignment horizontal="left" vertical="top" wrapText="1"/>
    </xf>
    <xf numFmtId="0" fontId="22" fillId="5" borderId="31" xfId="0" applyFont="1" applyFill="1" applyBorder="1" applyAlignment="1">
      <alignment horizontal="center"/>
    </xf>
    <xf numFmtId="0" fontId="5" fillId="5" borderId="0" xfId="0" applyFont="1" applyFill="1" applyBorder="1" applyAlignment="1">
      <alignment horizontal="left" vertical="top" wrapText="1"/>
    </xf>
    <xf numFmtId="0" fontId="5" fillId="5" borderId="0" xfId="0" applyFont="1" applyFill="1" applyBorder="1" applyAlignment="1">
      <alignment horizontal="center" vertical="top" wrapText="1"/>
    </xf>
    <xf numFmtId="0" fontId="51" fillId="17" borderId="44" xfId="0" applyFont="1" applyFill="1" applyBorder="1" applyAlignment="1">
      <alignment horizontal="left"/>
    </xf>
    <xf numFmtId="0" fontId="51" fillId="17" borderId="40" xfId="0" applyFont="1" applyFill="1" applyBorder="1" applyAlignment="1">
      <alignment horizontal="left"/>
    </xf>
    <xf numFmtId="0" fontId="51" fillId="17" borderId="45" xfId="0" applyFont="1" applyFill="1" applyBorder="1" applyAlignment="1">
      <alignment horizontal="left"/>
    </xf>
    <xf numFmtId="0" fontId="17" fillId="5" borderId="0" xfId="0" applyFont="1" applyFill="1" applyBorder="1" applyAlignment="1">
      <alignment horizontal="center"/>
    </xf>
    <xf numFmtId="0" fontId="17" fillId="5" borderId="3" xfId="0" applyFont="1" applyFill="1" applyBorder="1" applyAlignment="1" applyProtection="1">
      <alignment horizontal="center"/>
      <protection locked="0"/>
    </xf>
    <xf numFmtId="0" fontId="51" fillId="2" borderId="44" xfId="2" applyFont="1" applyFill="1" applyBorder="1" applyAlignment="1" applyProtection="1">
      <alignment horizontal="left" vertical="top" wrapText="1"/>
    </xf>
    <xf numFmtId="0" fontId="51" fillId="2" borderId="40" xfId="2" applyFont="1" applyFill="1" applyBorder="1" applyAlignment="1" applyProtection="1">
      <alignment horizontal="left" vertical="top" wrapText="1"/>
    </xf>
    <xf numFmtId="0" fontId="51" fillId="2" borderId="45" xfId="2" applyFont="1" applyFill="1" applyBorder="1" applyAlignment="1" applyProtection="1">
      <alignment horizontal="left" vertical="top" wrapText="1"/>
    </xf>
    <xf numFmtId="0" fontId="5" fillId="0" borderId="46" xfId="0" applyFont="1" applyBorder="1" applyAlignment="1" applyProtection="1">
      <alignment horizontal="center"/>
      <protection locked="0"/>
    </xf>
    <xf numFmtId="49" fontId="5" fillId="0" borderId="3" xfId="0" applyNumberFormat="1" applyFont="1" applyBorder="1" applyAlignment="1" applyProtection="1">
      <alignment horizontal="center"/>
      <protection locked="0"/>
    </xf>
    <xf numFmtId="0" fontId="5" fillId="0" borderId="31" xfId="0" applyFont="1" applyBorder="1" applyAlignment="1" applyProtection="1">
      <alignment horizontal="center"/>
      <protection locked="0"/>
    </xf>
    <xf numFmtId="0" fontId="22" fillId="5" borderId="0" xfId="0" applyFont="1" applyFill="1" applyBorder="1" applyAlignment="1">
      <alignment horizontal="center"/>
    </xf>
    <xf numFmtId="0" fontId="5" fillId="4" borderId="0" xfId="0" applyFont="1" applyFill="1" applyBorder="1" applyAlignment="1">
      <alignment horizontal="center" wrapText="1"/>
    </xf>
    <xf numFmtId="0" fontId="5" fillId="4" borderId="4" xfId="0" applyFont="1" applyFill="1" applyBorder="1" applyAlignment="1">
      <alignment horizontal="center" vertical="top" wrapText="1"/>
    </xf>
    <xf numFmtId="49" fontId="17" fillId="5" borderId="3" xfId="0" applyNumberFormat="1" applyFont="1" applyFill="1" applyBorder="1" applyAlignment="1" applyProtection="1">
      <alignment horizontal="center"/>
      <protection locked="0"/>
    </xf>
    <xf numFmtId="0" fontId="17" fillId="5" borderId="25" xfId="0" applyFont="1" applyFill="1" applyBorder="1" applyAlignment="1" applyProtection="1">
      <alignment horizontal="center"/>
      <protection locked="0"/>
    </xf>
    <xf numFmtId="0" fontId="20" fillId="5" borderId="0" xfId="0" applyFont="1" applyFill="1" applyBorder="1" applyAlignment="1">
      <alignment horizontal="center"/>
    </xf>
    <xf numFmtId="173" fontId="5" fillId="0" borderId="40" xfId="0" applyNumberFormat="1" applyFont="1" applyBorder="1" applyAlignment="1" applyProtection="1">
      <alignment horizontal="center"/>
      <protection locked="0"/>
    </xf>
    <xf numFmtId="173" fontId="5" fillId="0" borderId="31" xfId="0" applyNumberFormat="1" applyFont="1" applyBorder="1" applyAlignment="1" applyProtection="1">
      <alignment horizontal="center"/>
      <protection locked="0"/>
    </xf>
    <xf numFmtId="0" fontId="23" fillId="4" borderId="0" xfId="0" applyFont="1" applyFill="1" applyBorder="1" applyAlignment="1">
      <alignment horizontal="left"/>
    </xf>
    <xf numFmtId="0" fontId="23" fillId="0" borderId="31" xfId="0" applyFont="1" applyFill="1" applyBorder="1" applyAlignment="1">
      <alignment horizontal="center"/>
    </xf>
    <xf numFmtId="0" fontId="23" fillId="0" borderId="31" xfId="0" applyFont="1" applyFill="1" applyBorder="1" applyAlignment="1">
      <alignment horizontal="center" vertical="top" wrapText="1"/>
    </xf>
    <xf numFmtId="0" fontId="22" fillId="5" borderId="41" xfId="0" applyFont="1" applyFill="1" applyBorder="1" applyAlignment="1">
      <alignment horizontal="center"/>
    </xf>
    <xf numFmtId="0" fontId="5" fillId="0" borderId="0" xfId="0" applyFont="1" applyFill="1" applyBorder="1" applyAlignment="1">
      <alignment horizontal="left"/>
    </xf>
    <xf numFmtId="0" fontId="23" fillId="4" borderId="0" xfId="0" applyFont="1" applyFill="1" applyBorder="1" applyAlignment="1" applyProtection="1">
      <alignment horizontal="left" vertical="top" wrapText="1"/>
      <protection hidden="1"/>
    </xf>
    <xf numFmtId="0" fontId="23" fillId="4" borderId="0" xfId="0" applyFont="1" applyFill="1" applyBorder="1" applyAlignment="1">
      <alignment horizontal="left" wrapText="1"/>
    </xf>
    <xf numFmtId="0" fontId="23" fillId="4" borderId="0" xfId="0" applyFont="1" applyFill="1" applyBorder="1" applyAlignment="1">
      <alignment horizontal="left" vertical="top" wrapText="1"/>
    </xf>
    <xf numFmtId="0" fontId="5" fillId="5" borderId="0" xfId="0" applyFont="1" applyFill="1" applyBorder="1" applyAlignment="1" applyProtection="1">
      <alignment horizontal="center"/>
      <protection locked="0"/>
    </xf>
    <xf numFmtId="49" fontId="63" fillId="17" borderId="32" xfId="0" applyNumberFormat="1" applyFont="1" applyFill="1" applyBorder="1" applyAlignment="1">
      <alignment horizontal="center" wrapText="1"/>
    </xf>
    <xf numFmtId="0" fontId="23" fillId="4" borderId="41" xfId="0" applyFont="1" applyFill="1" applyBorder="1" applyAlignment="1">
      <alignment horizontal="left"/>
    </xf>
    <xf numFmtId="0" fontId="18" fillId="0" borderId="31" xfId="0" applyFont="1" applyBorder="1" applyAlignment="1">
      <alignment horizontal="center"/>
    </xf>
    <xf numFmtId="0" fontId="5" fillId="19" borderId="31" xfId="0" applyFont="1" applyFill="1" applyBorder="1" applyAlignment="1">
      <alignment horizontal="center"/>
    </xf>
    <xf numFmtId="0" fontId="5" fillId="5" borderId="31" xfId="0" applyFont="1" applyFill="1" applyBorder="1" applyAlignment="1">
      <alignment horizontal="center"/>
    </xf>
    <xf numFmtId="0" fontId="5" fillId="5" borderId="31" xfId="0" applyFont="1" applyFill="1" applyBorder="1" applyAlignment="1">
      <alignment horizontal="center" wrapText="1"/>
    </xf>
    <xf numFmtId="0" fontId="5" fillId="0" borderId="40" xfId="0" applyFont="1" applyBorder="1" applyAlignment="1" applyProtection="1">
      <alignment horizontal="center"/>
      <protection locked="0"/>
    </xf>
    <xf numFmtId="169" fontId="5" fillId="5" borderId="31" xfId="0" applyNumberFormat="1" applyFont="1" applyFill="1" applyBorder="1" applyAlignment="1" applyProtection="1">
      <alignment horizontal="center"/>
      <protection locked="0"/>
    </xf>
    <xf numFmtId="0" fontId="33" fillId="0" borderId="31" xfId="2" applyFont="1" applyFill="1" applyBorder="1" applyAlignment="1" applyProtection="1">
      <alignment horizontal="center" vertical="center" wrapText="1"/>
    </xf>
    <xf numFmtId="0" fontId="18" fillId="5" borderId="0" xfId="0" applyFont="1" applyFill="1" applyBorder="1" applyAlignment="1">
      <alignment horizontal="center"/>
    </xf>
    <xf numFmtId="0" fontId="5" fillId="5" borderId="0" xfId="0" applyFont="1" applyFill="1" applyBorder="1" applyAlignment="1">
      <alignment horizontal="left" vertical="center" wrapText="1"/>
    </xf>
    <xf numFmtId="0" fontId="58" fillId="4" borderId="24" xfId="0" applyFont="1" applyFill="1" applyBorder="1" applyAlignment="1">
      <alignment horizontal="left" vertical="top" wrapText="1"/>
    </xf>
    <xf numFmtId="0" fontId="17" fillId="4" borderId="0" xfId="0" applyFont="1" applyFill="1" applyBorder="1" applyAlignment="1">
      <alignment horizontal="center" vertical="top" wrapText="1"/>
    </xf>
    <xf numFmtId="0" fontId="15" fillId="0" borderId="0" xfId="0" applyFont="1" applyAlignment="1">
      <alignment horizontal="center" wrapText="1"/>
    </xf>
    <xf numFmtId="0" fontId="27" fillId="0" borderId="0" xfId="0" applyFont="1" applyAlignment="1">
      <alignment horizontal="center" wrapText="1"/>
    </xf>
  </cellXfs>
  <cellStyles count="4">
    <cellStyle name="Currency" xfId="1" builtinId="4"/>
    <cellStyle name="Hyperlink" xfId="2" builtinId="8"/>
    <cellStyle name="Normal" xfId="0" builtinId="0"/>
    <cellStyle name="Percent" xfId="3" builtinId="5"/>
  </cellStyles>
  <dxfs count="1">
    <dxf>
      <font>
        <strike val="0"/>
        <condense val="0"/>
        <extend val="0"/>
        <u val="none"/>
        <color auto="1"/>
      </font>
      <fill>
        <patternFill patternType="solid">
          <bgColor indexed="22"/>
        </patternFill>
      </fill>
      <border>
        <left/>
        <right/>
        <top/>
        <bottom style="thin">
          <color indexed="16"/>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activeX1.xml><?xml version="1.0" encoding="utf-8"?>
<ax:ocx xmlns:ax="http://schemas.microsoft.com/office/2006/activeX" xmlns:r="http://schemas.openxmlformats.org/officeDocument/2006/relationships" ax:classid="{5512D11C-5CC6-11CF-8D67-00AA00BDCE1D}" ax:persistence="persistStream" r:id="rId1"/>
</file>

<file path=xl/activeX/activeX2.xml><?xml version="1.0" encoding="utf-8"?>
<ax:ocx xmlns:ax="http://schemas.microsoft.com/office/2006/activeX" xmlns:r="http://schemas.openxmlformats.org/officeDocument/2006/relationships" ax:classid="{5512D11C-5CC6-11CF-8D67-00AA00BDCE1D}" ax:persistence="persistStream" r:id="rId1"/>
</file>

<file path=xl/activeX/activeX3.xml><?xml version="1.0" encoding="utf-8"?>
<ax:ocx xmlns:ax="http://schemas.microsoft.com/office/2006/activeX" xmlns:r="http://schemas.openxmlformats.org/officeDocument/2006/relationships" ax:classid="{5512D11C-5CC6-11CF-8D67-00AA00BDCE1D}" ax:persistence="persistStream" r:id="rId1"/>
</file>

<file path=xl/activeX/activeX4.xml><?xml version="1.0" encoding="utf-8"?>
<ax:ocx xmlns:ax="http://schemas.microsoft.com/office/2006/activeX" xmlns:r="http://schemas.openxmlformats.org/officeDocument/2006/relationships" ax:classid="{5512D11C-5CC6-11CF-8D67-00AA00BDCE1D}" ax:persistence="persistStream" r:id="rId1"/>
</file>

<file path=xl/activeX/activeX5.xml><?xml version="1.0" encoding="utf-8"?>
<ax:ocx xmlns:ax="http://schemas.microsoft.com/office/2006/activeX" xmlns:r="http://schemas.openxmlformats.org/officeDocument/2006/relationships" ax:classid="{5512D11C-5CC6-11CF-8D67-00AA00BDCE1D}" ax:persistence="persistStream" r:id="rId1"/>
</file>

<file path=xl/activeX/activeX6.xml><?xml version="1.0" encoding="utf-8"?>
<ax:ocx xmlns:ax="http://schemas.microsoft.com/office/2006/activeX" xmlns:r="http://schemas.openxmlformats.org/officeDocument/2006/relationships" ax:classid="{5512D122-5CC6-11CF-8D67-00AA00BDCE1D}" ax:persistence="persistStream" r:id="rId1"/>
</file>

<file path=xl/activeX/activeX7.xml><?xml version="1.0" encoding="utf-8"?>
<ax:ocx xmlns:ax="http://schemas.microsoft.com/office/2006/activeX" xmlns:r="http://schemas.openxmlformats.org/officeDocument/2006/relationships" ax:classid="{5512D122-5CC6-11CF-8D67-00AA00BDCE1D}" ax:persistence="persistStream" r:id="rId1"/>
</file>

<file path=xl/ctrlProps/ctrlProp1.xml><?xml version="1.0" encoding="utf-8"?>
<formControlPr xmlns="http://schemas.microsoft.com/office/spreadsheetml/2009/9/main" objectType="Drop" dropLines="64" dropStyle="combo" dx="20" fmlaLink="Worksheet!$F$15" fmlaRange="setup!$B$83:$B$132" sel="27" val="6"/>
</file>

<file path=xl/ctrlProps/ctrlProp2.xml><?xml version="1.0" encoding="utf-8"?>
<formControlPr xmlns="http://schemas.microsoft.com/office/spreadsheetml/2009/9/main" objectType="Drop" dropLines="64" dropStyle="combo" dx="20" fmlaLink="Worksheet!$H$15" fmlaRange="setup!$C$30:$C$46" val="0"/>
</file>

<file path=xl/ctrlProps/ctrlProp3.xml><?xml version="1.0" encoding="utf-8"?>
<formControlPr xmlns="http://schemas.microsoft.com/office/spreadsheetml/2009/9/main" objectType="Drop" dropLines="80" dropStyle="combo" dx="20" fmlaLink="Worksheet!$I$15" fmlaRange="setup!$C$2:$C$13" sel="2" val="0"/>
</file>

<file path=xl/ctrlProps/ctrlProp4.xml><?xml version="1.0" encoding="utf-8"?>
<formControlPr xmlns="http://schemas.microsoft.com/office/spreadsheetml/2009/9/main" objectType="List" dx="20" fmlaLink="Worksheet!$J$15" fmlaRange="setup!$D$21:$D$27"/>
</file>

<file path=xl/ctrlProps/ctrlProp5.xml><?xml version="1.0" encoding="utf-8"?>
<formControlPr xmlns="http://schemas.microsoft.com/office/spreadsheetml/2009/9/main" objectType="List" dx="20" fmlaLink="Worksheet!$N$15" fmlaRange="setup!$D$52:$D$59" val="0"/>
</file>

<file path=xl/ctrlProps/ctrlProp6.xml><?xml version="1.0" encoding="utf-8"?>
<formControlPr xmlns="http://schemas.microsoft.com/office/spreadsheetml/2009/9/main" objectType="List" dx="20" fmlaLink="[1]Worksheet!$O$15" fmlaRange="[1]setup!$A$20:$A$22" sel="0" val="0"/>
</file>

<file path=xl/ctrlProps/ctrlProp7.xml><?xml version="1.0" encoding="utf-8"?>
<formControlPr xmlns="http://schemas.microsoft.com/office/spreadsheetml/2009/9/main" objectType="Radio" firstButton="1" fmlaLink="$D$2"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Radio" lockText="1"/>
</file>

<file path=xl/ctrlProps/ctrlProp11.xml><?xml version="1.0" encoding="utf-8"?>
<formControlPr xmlns="http://schemas.microsoft.com/office/spreadsheetml/2009/9/main" objectType="Radio" lockText="1"/>
</file>

<file path=xl/ctrlProps/ctrlProp12.xml><?xml version="1.0" encoding="utf-8"?>
<formControlPr xmlns="http://schemas.microsoft.com/office/spreadsheetml/2009/9/main" objectType="Radio" lockText="1"/>
</file>

<file path=xl/ctrlProps/ctrlProp13.xml><?xml version="1.0" encoding="utf-8"?>
<formControlPr xmlns="http://schemas.microsoft.com/office/spreadsheetml/2009/9/main" objectType="Radio" lockText="1"/>
</file>

<file path=xl/ctrlProps/ctrlProp14.xml><?xml version="1.0" encoding="utf-8"?>
<formControlPr xmlns="http://schemas.microsoft.com/office/spreadsheetml/2009/9/main" objectType="Radio" lockText="1"/>
</file>

<file path=xl/ctrlProps/ctrlProp15.xml><?xml version="1.0" encoding="utf-8"?>
<formControlPr xmlns="http://schemas.microsoft.com/office/spreadsheetml/2009/9/main" objectType="Radio" lockText="1"/>
</file>

<file path=xl/ctrlProps/ctrlProp16.xml><?xml version="1.0" encoding="utf-8"?>
<formControlPr xmlns="http://schemas.microsoft.com/office/spreadsheetml/2009/9/main" objectType="Radio" lockText="1"/>
</file>

<file path=xl/ctrlProps/ctrlProp17.xml><?xml version="1.0" encoding="utf-8"?>
<formControlPr xmlns="http://schemas.microsoft.com/office/spreadsheetml/2009/9/main" objectType="Radio" lockText="1"/>
</file>

<file path=xl/ctrlProps/ctrlProp18.xml><?xml version="1.0" encoding="utf-8"?>
<formControlPr xmlns="http://schemas.microsoft.com/office/spreadsheetml/2009/9/main" objectType="Radio" lockText="1"/>
</file>

<file path=xl/ctrlProps/ctrlProp19.xml><?xml version="1.0" encoding="utf-8"?>
<formControlPr xmlns="http://schemas.microsoft.com/office/spreadsheetml/2009/9/main" objectType="Radio" lockText="1"/>
</file>

<file path=xl/ctrlProps/ctrlProp20.xml><?xml version="1.0" encoding="utf-8"?>
<formControlPr xmlns="http://schemas.microsoft.com/office/spreadsheetml/2009/9/main" objectType="Radio" lockText="1"/>
</file>

<file path=xl/ctrlProps/ctrlProp21.xml><?xml version="1.0" encoding="utf-8"?>
<formControlPr xmlns="http://schemas.microsoft.com/office/spreadsheetml/2009/9/main" objectType="Radio" lockText="1"/>
</file>

<file path=xl/ctrlProps/ctrlProp22.xml><?xml version="1.0" encoding="utf-8"?>
<formControlPr xmlns="http://schemas.microsoft.com/office/spreadsheetml/2009/9/main" objectType="Radio" lockText="1"/>
</file>

<file path=xl/ctrlProps/ctrlProp23.xml><?xml version="1.0" encoding="utf-8"?>
<formControlPr xmlns="http://schemas.microsoft.com/office/spreadsheetml/2009/9/main" objectType="Radio" lockText="1"/>
</file>

<file path=xl/ctrlProps/ctrlProp24.xml><?xml version="1.0" encoding="utf-8"?>
<formControlPr xmlns="http://schemas.microsoft.com/office/spreadsheetml/2009/9/main" objectType="Radio" lockText="1"/>
</file>

<file path=xl/ctrlProps/ctrlProp25.xml><?xml version="1.0" encoding="utf-8"?>
<formControlPr xmlns="http://schemas.microsoft.com/office/spreadsheetml/2009/9/main" objectType="Radio" lockText="1"/>
</file>

<file path=xl/ctrlProps/ctrlProp26.xml><?xml version="1.0" encoding="utf-8"?>
<formControlPr xmlns="http://schemas.microsoft.com/office/spreadsheetml/2009/9/main" objectType="Radio" lockText="1"/>
</file>

<file path=xl/ctrlProps/ctrlProp27.xml><?xml version="1.0" encoding="utf-8"?>
<formControlPr xmlns="http://schemas.microsoft.com/office/spreadsheetml/2009/9/main" objectType="Radio" lockText="1"/>
</file>

<file path=xl/ctrlProps/ctrlProp28.xml><?xml version="1.0" encoding="utf-8"?>
<formControlPr xmlns="http://schemas.microsoft.com/office/spreadsheetml/2009/9/main" objectType="Radio" lockText="1"/>
</file>

<file path=xl/ctrlProps/ctrlProp29.xml><?xml version="1.0" encoding="utf-8"?>
<formControlPr xmlns="http://schemas.microsoft.com/office/spreadsheetml/2009/9/main" objectType="Radio" lockText="1"/>
</file>

<file path=xl/ctrlProps/ctrlProp30.xml><?xml version="1.0" encoding="utf-8"?>
<formControlPr xmlns="http://schemas.microsoft.com/office/spreadsheetml/2009/9/main" objectType="Radio" lockText="1"/>
</file>

<file path=xl/ctrlProps/ctrlProp31.xml><?xml version="1.0" encoding="utf-8"?>
<formControlPr xmlns="http://schemas.microsoft.com/office/spreadsheetml/2009/9/main" objectType="Radio" lockText="1"/>
</file>

<file path=xl/ctrlProps/ctrlProp32.xml><?xml version="1.0" encoding="utf-8"?>
<formControlPr xmlns="http://schemas.microsoft.com/office/spreadsheetml/2009/9/main" objectType="Radio" lockText="1"/>
</file>

<file path=xl/ctrlProps/ctrlProp33.xml><?xml version="1.0" encoding="utf-8"?>
<formControlPr xmlns="http://schemas.microsoft.com/office/spreadsheetml/2009/9/main" objectType="Radio" lockText="1"/>
</file>

<file path=xl/ctrlProps/ctrlProp34.xml><?xml version="1.0" encoding="utf-8"?>
<formControlPr xmlns="http://schemas.microsoft.com/office/spreadsheetml/2009/9/main" objectType="Radio" lockText="1"/>
</file>

<file path=xl/ctrlProps/ctrlProp35.xml><?xml version="1.0" encoding="utf-8"?>
<formControlPr xmlns="http://schemas.microsoft.com/office/spreadsheetml/2009/9/main" objectType="Radio" lockText="1"/>
</file>

<file path=xl/ctrlProps/ctrlProp36.xml><?xml version="1.0" encoding="utf-8"?>
<formControlPr xmlns="http://schemas.microsoft.com/office/spreadsheetml/2009/9/main" objectType="Radio" lockText="1"/>
</file>

<file path=xl/ctrlProps/ctrlProp37.xml><?xml version="1.0" encoding="utf-8"?>
<formControlPr xmlns="http://schemas.microsoft.com/office/spreadsheetml/2009/9/main" objectType="Radio" lockText="1"/>
</file>

<file path=xl/ctrlProps/ctrlProp38.xml><?xml version="1.0" encoding="utf-8"?>
<formControlPr xmlns="http://schemas.microsoft.com/office/spreadsheetml/2009/9/main" objectType="Radio" lockText="1"/>
</file>

<file path=xl/ctrlProps/ctrlProp39.xml><?xml version="1.0" encoding="utf-8"?>
<formControlPr xmlns="http://schemas.microsoft.com/office/spreadsheetml/2009/9/main" objectType="Radio" lockText="1"/>
</file>

<file path=xl/ctrlProps/ctrlProp40.xml><?xml version="1.0" encoding="utf-8"?>
<formControlPr xmlns="http://schemas.microsoft.com/office/spreadsheetml/2009/9/main" objectType="Radio" lockText="1"/>
</file>

<file path=xl/ctrlProps/ctrlProp41.xml><?xml version="1.0" encoding="utf-8"?>
<formControlPr xmlns="http://schemas.microsoft.com/office/spreadsheetml/2009/9/main" objectType="Radio" lockText="1"/>
</file>

<file path=xl/ctrlProps/ctrlProp42.xml><?xml version="1.0" encoding="utf-8"?>
<formControlPr xmlns="http://schemas.microsoft.com/office/spreadsheetml/2009/9/main" objectType="Radio" lockText="1"/>
</file>

<file path=xl/ctrlProps/ctrlProp43.xml><?xml version="1.0" encoding="utf-8"?>
<formControlPr xmlns="http://schemas.microsoft.com/office/spreadsheetml/2009/9/main" objectType="Radio" lockText="1"/>
</file>

<file path=xl/ctrlProps/ctrlProp44.xml><?xml version="1.0" encoding="utf-8"?>
<formControlPr xmlns="http://schemas.microsoft.com/office/spreadsheetml/2009/9/main" objectType="Radio" lockText="1"/>
</file>

<file path=xl/ctrlProps/ctrlProp45.xml><?xml version="1.0" encoding="utf-8"?>
<formControlPr xmlns="http://schemas.microsoft.com/office/spreadsheetml/2009/9/main" objectType="Radio" lockText="1"/>
</file>

<file path=xl/ctrlProps/ctrlProp46.xml><?xml version="1.0" encoding="utf-8"?>
<formControlPr xmlns="http://schemas.microsoft.com/office/spreadsheetml/2009/9/main" objectType="Radio" lockText="1"/>
</file>

<file path=xl/ctrlProps/ctrlProp47.xml><?xml version="1.0" encoding="utf-8"?>
<formControlPr xmlns="http://schemas.microsoft.com/office/spreadsheetml/2009/9/main" objectType="Radio" lockText="1"/>
</file>

<file path=xl/ctrlProps/ctrlProp48.xml><?xml version="1.0" encoding="utf-8"?>
<formControlPr xmlns="http://schemas.microsoft.com/office/spreadsheetml/2009/9/main" objectType="Radio" lockText="1"/>
</file>

<file path=xl/ctrlProps/ctrlProp49.xml><?xml version="1.0" encoding="utf-8"?>
<formControlPr xmlns="http://schemas.microsoft.com/office/spreadsheetml/2009/9/main" objectType="Radio" lockText="1"/>
</file>

<file path=xl/ctrlProps/ctrlProp50.xml><?xml version="1.0" encoding="utf-8"?>
<formControlPr xmlns="http://schemas.microsoft.com/office/spreadsheetml/2009/9/main" objectType="Radio" lockText="1"/>
</file>

<file path=xl/ctrlProps/ctrlProp51.xml><?xml version="1.0" encoding="utf-8"?>
<formControlPr xmlns="http://schemas.microsoft.com/office/spreadsheetml/2009/9/main" objectType="Radio" lockText="1"/>
</file>

<file path=xl/ctrlProps/ctrlProp52.xml><?xml version="1.0" encoding="utf-8"?>
<formControlPr xmlns="http://schemas.microsoft.com/office/spreadsheetml/2009/9/main" objectType="Radio" lockText="1"/>
</file>

<file path=xl/ctrlProps/ctrlProp53.xml><?xml version="1.0" encoding="utf-8"?>
<formControlPr xmlns="http://schemas.microsoft.com/office/spreadsheetml/2009/9/main" objectType="Radio" lockText="1"/>
</file>

<file path=xl/ctrlProps/ctrlProp54.xml><?xml version="1.0" encoding="utf-8"?>
<formControlPr xmlns="http://schemas.microsoft.com/office/spreadsheetml/2009/9/main" objectType="Radio" lockText="1"/>
</file>

<file path=xl/ctrlProps/ctrlProp55.xml><?xml version="1.0" encoding="utf-8"?>
<formControlPr xmlns="http://schemas.microsoft.com/office/spreadsheetml/2009/9/main" objectType="Radio" lockText="1"/>
</file>

<file path=xl/ctrlProps/ctrlProp56.xml><?xml version="1.0" encoding="utf-8"?>
<formControlPr xmlns="http://schemas.microsoft.com/office/spreadsheetml/2009/9/main" objectType="Radio" lockText="1"/>
</file>

<file path=xl/ctrlProps/ctrlProp57.xml><?xml version="1.0" encoding="utf-8"?>
<formControlPr xmlns="http://schemas.microsoft.com/office/spreadsheetml/2009/9/main" objectType="Radio" lockText="1"/>
</file>

<file path=xl/ctrlProps/ctrlProp58.xml><?xml version="1.0" encoding="utf-8"?>
<formControlPr xmlns="http://schemas.microsoft.com/office/spreadsheetml/2009/9/main" objectType="Radio" lockText="1"/>
</file>

<file path=xl/ctrlProps/ctrlProp59.xml><?xml version="1.0" encoding="utf-8"?>
<formControlPr xmlns="http://schemas.microsoft.com/office/spreadsheetml/2009/9/main" objectType="Radio" lockText="1"/>
</file>

<file path=xl/ctrlProps/ctrlProp60.xml><?xml version="1.0" encoding="utf-8"?>
<formControlPr xmlns="http://schemas.microsoft.com/office/spreadsheetml/2009/9/main" objectType="Radio" lockText="1"/>
</file>

<file path=xl/ctrlProps/ctrlProp61.xml><?xml version="1.0" encoding="utf-8"?>
<formControlPr xmlns="http://schemas.microsoft.com/office/spreadsheetml/2009/9/main" objectType="Radio" lockText="1"/>
</file>

<file path=xl/ctrlProps/ctrlProp62.xml><?xml version="1.0" encoding="utf-8"?>
<formControlPr xmlns="http://schemas.microsoft.com/office/spreadsheetml/2009/9/main" objectType="Radio" lockText="1"/>
</file>

<file path=xl/ctrlProps/ctrlProp63.xml><?xml version="1.0" encoding="utf-8"?>
<formControlPr xmlns="http://schemas.microsoft.com/office/spreadsheetml/2009/9/main" objectType="Radio" lockText="1"/>
</file>

<file path=xl/ctrlProps/ctrlProp64.xml><?xml version="1.0" encoding="utf-8"?>
<formControlPr xmlns="http://schemas.microsoft.com/office/spreadsheetml/2009/9/main" objectType="Radio" lockText="1"/>
</file>

<file path=xl/ctrlProps/ctrlProp65.xml><?xml version="1.0" encoding="utf-8"?>
<formControlPr xmlns="http://schemas.microsoft.com/office/spreadsheetml/2009/9/main" objectType="Radio" lockText="1"/>
</file>

<file path=xl/ctrlProps/ctrlProp66.xml><?xml version="1.0" encoding="utf-8"?>
<formControlPr xmlns="http://schemas.microsoft.com/office/spreadsheetml/2009/9/main" objectType="Radio" lockText="1"/>
</file>

<file path=xl/ctrlProps/ctrlProp67.xml><?xml version="1.0" encoding="utf-8"?>
<formControlPr xmlns="http://schemas.microsoft.com/office/spreadsheetml/2009/9/main" objectType="Radio" lockText="1"/>
</file>

<file path=xl/ctrlProps/ctrlProp68.xml><?xml version="1.0" encoding="utf-8"?>
<formControlPr xmlns="http://schemas.microsoft.com/office/spreadsheetml/2009/9/main" objectType="Radio" lockText="1"/>
</file>

<file path=xl/ctrlProps/ctrlProp69.xml><?xml version="1.0" encoding="utf-8"?>
<formControlPr xmlns="http://schemas.microsoft.com/office/spreadsheetml/2009/9/main" objectType="Radio" lockText="1"/>
</file>

<file path=xl/ctrlProps/ctrlProp70.xml><?xml version="1.0" encoding="utf-8"?>
<formControlPr xmlns="http://schemas.microsoft.com/office/spreadsheetml/2009/9/main" objectType="Radio" lockText="1"/>
</file>

<file path=xl/ctrlProps/ctrlProp71.xml><?xml version="1.0" encoding="utf-8"?>
<formControlPr xmlns="http://schemas.microsoft.com/office/spreadsheetml/2009/9/main" objectType="Radio" lockText="1"/>
</file>

<file path=xl/ctrlProps/ctrlProp72.xml><?xml version="1.0" encoding="utf-8"?>
<formControlPr xmlns="http://schemas.microsoft.com/office/spreadsheetml/2009/9/main" objectType="Radio" checked="Checked" lockText="1"/>
</file>

<file path=xl/ctrlProps/ctrlProp73.xml><?xml version="1.0" encoding="utf-8"?>
<formControlPr xmlns="http://schemas.microsoft.com/office/spreadsheetml/2009/9/main" objectType="Radio" firstButton="1" fmlaLink="$D$2" lockText="1"/>
</file>

<file path=xl/ctrlProps/ctrlProp74.xml><?xml version="1.0" encoding="utf-8"?>
<formControlPr xmlns="http://schemas.microsoft.com/office/spreadsheetml/2009/9/main" objectType="Radio" lockText="1"/>
</file>

<file path=xl/ctrlProps/ctrlProp75.xml><?xml version="1.0" encoding="utf-8"?>
<formControlPr xmlns="http://schemas.microsoft.com/office/spreadsheetml/2009/9/main" objectType="Radio" lockText="1"/>
</file>

<file path=xl/ctrlProps/ctrlProp76.xml><?xml version="1.0" encoding="utf-8"?>
<formControlPr xmlns="http://schemas.microsoft.com/office/spreadsheetml/2009/9/main" objectType="Radio" lockText="1"/>
</file>

<file path=xl/ctrlProps/ctrlProp77.xml><?xml version="1.0" encoding="utf-8"?>
<formControlPr xmlns="http://schemas.microsoft.com/office/spreadsheetml/2009/9/main" objectType="Radio" lockText="1"/>
</file>

<file path=xl/ctrlProps/ctrlProp78.xml><?xml version="1.0" encoding="utf-8"?>
<formControlPr xmlns="http://schemas.microsoft.com/office/spreadsheetml/2009/9/main" objectType="Radio" lockText="1"/>
</file>

<file path=xl/ctrlProps/ctrlProp79.xml><?xml version="1.0" encoding="utf-8"?>
<formControlPr xmlns="http://schemas.microsoft.com/office/spreadsheetml/2009/9/main" objectType="Radio" lockText="1"/>
</file>

<file path=xl/ctrlProps/ctrlProp80.xml><?xml version="1.0" encoding="utf-8"?>
<formControlPr xmlns="http://schemas.microsoft.com/office/spreadsheetml/2009/9/main" objectType="Radio" lockText="1"/>
</file>

<file path=xl/ctrlProps/ctrlProp81.xml><?xml version="1.0" encoding="utf-8"?>
<formControlPr xmlns="http://schemas.microsoft.com/office/spreadsheetml/2009/9/main" objectType="Radio" lockText="1"/>
</file>

<file path=xl/ctrlProps/ctrlProp82.xml><?xml version="1.0" encoding="utf-8"?>
<formControlPr xmlns="http://schemas.microsoft.com/office/spreadsheetml/2009/9/main" objectType="Radio" lockText="1"/>
</file>

<file path=xl/ctrlProps/ctrlProp83.xml><?xml version="1.0" encoding="utf-8"?>
<formControlPr xmlns="http://schemas.microsoft.com/office/spreadsheetml/2009/9/main" objectType="Radio" lockText="1"/>
</file>

<file path=xl/ctrlProps/ctrlProp84.xml><?xml version="1.0" encoding="utf-8"?>
<formControlPr xmlns="http://schemas.microsoft.com/office/spreadsheetml/2009/9/main" objectType="Radio" lockText="1"/>
</file>

<file path=xl/ctrlProps/ctrlProp85.xml><?xml version="1.0" encoding="utf-8"?>
<formControlPr xmlns="http://schemas.microsoft.com/office/spreadsheetml/2009/9/main" objectType="Radio" lockText="1"/>
</file>

<file path=xl/ctrlProps/ctrlProp86.xml><?xml version="1.0" encoding="utf-8"?>
<formControlPr xmlns="http://schemas.microsoft.com/office/spreadsheetml/2009/9/main" objectType="Radio" lockText="1"/>
</file>

<file path=xl/ctrlProps/ctrlProp87.xml><?xml version="1.0" encoding="utf-8"?>
<formControlPr xmlns="http://schemas.microsoft.com/office/spreadsheetml/2009/9/main" objectType="Radio" lockText="1"/>
</file>

<file path=xl/ctrlProps/ctrlProp88.xml><?xml version="1.0" encoding="utf-8"?>
<formControlPr xmlns="http://schemas.microsoft.com/office/spreadsheetml/2009/9/main" objectType="Radio" lockText="1"/>
</file>

<file path=xl/ctrlProps/ctrlProp89.xml><?xml version="1.0" encoding="utf-8"?>
<formControlPr xmlns="http://schemas.microsoft.com/office/spreadsheetml/2009/9/main" objectType="Radio" lockText="1"/>
</file>

<file path=xl/ctrlProps/ctrlProp90.xml><?xml version="1.0" encoding="utf-8"?>
<formControlPr xmlns="http://schemas.microsoft.com/office/spreadsheetml/2009/9/main" objectType="Radio" lockText="1"/>
</file>

<file path=xl/ctrlProps/ctrlProp91.xml><?xml version="1.0" encoding="utf-8"?>
<formControlPr xmlns="http://schemas.microsoft.com/office/spreadsheetml/2009/9/main" objectType="Radio" lockText="1"/>
</file>

<file path=xl/ctrlProps/ctrlProp92.xml><?xml version="1.0" encoding="utf-8"?>
<formControlPr xmlns="http://schemas.microsoft.com/office/spreadsheetml/2009/9/main" objectType="Radio" lockText="1"/>
</file>

<file path=xl/ctrlProps/ctrlProp93.xml><?xml version="1.0" encoding="utf-8"?>
<formControlPr xmlns="http://schemas.microsoft.com/office/spreadsheetml/2009/9/main" objectType="Radio" lockText="1"/>
</file>

<file path=xl/ctrlProps/ctrlProp94.xml><?xml version="1.0" encoding="utf-8"?>
<formControlPr xmlns="http://schemas.microsoft.com/office/spreadsheetml/2009/9/main" objectType="Radio" lockText="1"/>
</file>

<file path=xl/ctrlProps/ctrlProp95.xml><?xml version="1.0" encoding="utf-8"?>
<formControlPr xmlns="http://schemas.microsoft.com/office/spreadsheetml/2009/9/main" objectType="Radio" lockText="1"/>
</file>

<file path=xl/ctrlProps/ctrlProp96.xml><?xml version="1.0" encoding="utf-8"?>
<formControlPr xmlns="http://schemas.microsoft.com/office/spreadsheetml/2009/9/main" objectType="Radio" lockText="1"/>
</file>

<file path=xl/ctrlProps/ctrlProp97.xml><?xml version="1.0" encoding="utf-8"?>
<formControlPr xmlns="http://schemas.microsoft.com/office/spreadsheetml/2009/9/main" objectType="Radio" lockText="1"/>
</file>

<file path=xl/ctrlProps/ctrlProp98.xml><?xml version="1.0" encoding="utf-8"?>
<formControlPr xmlns="http://schemas.microsoft.com/office/spreadsheetml/2009/9/main" objectType="Radio" lockText="1"/>
</file>

<file path=xl/ctrlProps/ctrlProp99.xml><?xml version="1.0" encoding="utf-8"?>
<formControlPr xmlns="http://schemas.microsoft.com/office/spreadsheetml/2009/9/main" objectType="Radio" lockText="1"/>
</file>

<file path=xl/ctrlProps/ctrlProp100.xml><?xml version="1.0" encoding="utf-8"?>
<formControlPr xmlns="http://schemas.microsoft.com/office/spreadsheetml/2009/9/main" objectType="Radio" lockText="1"/>
</file>

<file path=xl/ctrlProps/ctrlProp101.xml><?xml version="1.0" encoding="utf-8"?>
<formControlPr xmlns="http://schemas.microsoft.com/office/spreadsheetml/2009/9/main" objectType="Radio" lockText="1"/>
</file>

<file path=xl/ctrlProps/ctrlProp102.xml><?xml version="1.0" encoding="utf-8"?>
<formControlPr xmlns="http://schemas.microsoft.com/office/spreadsheetml/2009/9/main" objectType="Radio" lockText="1"/>
</file>

<file path=xl/ctrlProps/ctrlProp103.xml><?xml version="1.0" encoding="utf-8"?>
<formControlPr xmlns="http://schemas.microsoft.com/office/spreadsheetml/2009/9/main" objectType="Radio" lockText="1"/>
</file>

<file path=xl/ctrlProps/ctrlProp104.xml><?xml version="1.0" encoding="utf-8"?>
<formControlPr xmlns="http://schemas.microsoft.com/office/spreadsheetml/2009/9/main" objectType="Radio" lockText="1"/>
</file>

<file path=xl/ctrlProps/ctrlProp105.xml><?xml version="1.0" encoding="utf-8"?>
<formControlPr xmlns="http://schemas.microsoft.com/office/spreadsheetml/2009/9/main" objectType="Radio" lockText="1"/>
</file>

<file path=xl/ctrlProps/ctrlProp106.xml><?xml version="1.0" encoding="utf-8"?>
<formControlPr xmlns="http://schemas.microsoft.com/office/spreadsheetml/2009/9/main" objectType="Radio" lockText="1"/>
</file>

<file path=xl/ctrlProps/ctrlProp107.xml><?xml version="1.0" encoding="utf-8"?>
<formControlPr xmlns="http://schemas.microsoft.com/office/spreadsheetml/2009/9/main" objectType="Radio" lockText="1"/>
</file>

<file path=xl/ctrlProps/ctrlProp108.xml><?xml version="1.0" encoding="utf-8"?>
<formControlPr xmlns="http://schemas.microsoft.com/office/spreadsheetml/2009/9/main" objectType="Radio" lockText="1"/>
</file>

<file path=xl/ctrlProps/ctrlProp109.xml><?xml version="1.0" encoding="utf-8"?>
<formControlPr xmlns="http://schemas.microsoft.com/office/spreadsheetml/2009/9/main" objectType="Radio" lockText="1"/>
</file>

<file path=xl/ctrlProps/ctrlProp110.xml><?xml version="1.0" encoding="utf-8"?>
<formControlPr xmlns="http://schemas.microsoft.com/office/spreadsheetml/2009/9/main" objectType="Radio" lockText="1"/>
</file>

<file path=xl/ctrlProps/ctrlProp111.xml><?xml version="1.0" encoding="utf-8"?>
<formControlPr xmlns="http://schemas.microsoft.com/office/spreadsheetml/2009/9/main" objectType="Radio" lockText="1"/>
</file>

<file path=xl/ctrlProps/ctrlProp112.xml><?xml version="1.0" encoding="utf-8"?>
<formControlPr xmlns="http://schemas.microsoft.com/office/spreadsheetml/2009/9/main" objectType="Radio" lockText="1"/>
</file>

<file path=xl/ctrlProps/ctrlProp113.xml><?xml version="1.0" encoding="utf-8"?>
<formControlPr xmlns="http://schemas.microsoft.com/office/spreadsheetml/2009/9/main" objectType="Radio" lockText="1"/>
</file>

<file path=xl/ctrlProps/ctrlProp114.xml><?xml version="1.0" encoding="utf-8"?>
<formControlPr xmlns="http://schemas.microsoft.com/office/spreadsheetml/2009/9/main" objectType="Radio" lockText="1"/>
</file>

<file path=xl/ctrlProps/ctrlProp115.xml><?xml version="1.0" encoding="utf-8"?>
<formControlPr xmlns="http://schemas.microsoft.com/office/spreadsheetml/2009/9/main" objectType="Radio" lockText="1"/>
</file>

<file path=xl/ctrlProps/ctrlProp116.xml><?xml version="1.0" encoding="utf-8"?>
<formControlPr xmlns="http://schemas.microsoft.com/office/spreadsheetml/2009/9/main" objectType="Radio" lockText="1"/>
</file>

<file path=xl/ctrlProps/ctrlProp117.xml><?xml version="1.0" encoding="utf-8"?>
<formControlPr xmlns="http://schemas.microsoft.com/office/spreadsheetml/2009/9/main" objectType="Radio" lockText="1"/>
</file>

<file path=xl/ctrlProps/ctrlProp118.xml><?xml version="1.0" encoding="utf-8"?>
<formControlPr xmlns="http://schemas.microsoft.com/office/spreadsheetml/2009/9/main" objectType="Radio" lockText="1"/>
</file>

<file path=xl/ctrlProps/ctrlProp119.xml><?xml version="1.0" encoding="utf-8"?>
<formControlPr xmlns="http://schemas.microsoft.com/office/spreadsheetml/2009/9/main" objectType="Radio" lockText="1"/>
</file>

<file path=xl/ctrlProps/ctrlProp120.xml><?xml version="1.0" encoding="utf-8"?>
<formControlPr xmlns="http://schemas.microsoft.com/office/spreadsheetml/2009/9/main" objectType="Radio" lockText="1"/>
</file>

<file path=xl/ctrlProps/ctrlProp121.xml><?xml version="1.0" encoding="utf-8"?>
<formControlPr xmlns="http://schemas.microsoft.com/office/spreadsheetml/2009/9/main" objectType="Radio" lockText="1"/>
</file>

<file path=xl/ctrlProps/ctrlProp122.xml><?xml version="1.0" encoding="utf-8"?>
<formControlPr xmlns="http://schemas.microsoft.com/office/spreadsheetml/2009/9/main" objectType="Radio" lockText="1"/>
</file>

<file path=xl/ctrlProps/ctrlProp123.xml><?xml version="1.0" encoding="utf-8"?>
<formControlPr xmlns="http://schemas.microsoft.com/office/spreadsheetml/2009/9/main" objectType="Radio" lockText="1"/>
</file>

<file path=xl/ctrlProps/ctrlProp124.xml><?xml version="1.0" encoding="utf-8"?>
<formControlPr xmlns="http://schemas.microsoft.com/office/spreadsheetml/2009/9/main" objectType="Radio" lockText="1"/>
</file>

<file path=xl/ctrlProps/ctrlProp125.xml><?xml version="1.0" encoding="utf-8"?>
<formControlPr xmlns="http://schemas.microsoft.com/office/spreadsheetml/2009/9/main" objectType="Radio" lockText="1"/>
</file>

<file path=xl/ctrlProps/ctrlProp126.xml><?xml version="1.0" encoding="utf-8"?>
<formControlPr xmlns="http://schemas.microsoft.com/office/spreadsheetml/2009/9/main" objectType="Radio" lockText="1"/>
</file>

<file path=xl/ctrlProps/ctrlProp127.xml><?xml version="1.0" encoding="utf-8"?>
<formControlPr xmlns="http://schemas.microsoft.com/office/spreadsheetml/2009/9/main" objectType="Radio" lockText="1"/>
</file>

<file path=xl/ctrlProps/ctrlProp128.xml><?xml version="1.0" encoding="utf-8"?>
<formControlPr xmlns="http://schemas.microsoft.com/office/spreadsheetml/2009/9/main" objectType="Radio" lockText="1"/>
</file>

<file path=xl/ctrlProps/ctrlProp129.xml><?xml version="1.0" encoding="utf-8"?>
<formControlPr xmlns="http://schemas.microsoft.com/office/spreadsheetml/2009/9/main" objectType="Radio" lockText="1"/>
</file>

<file path=xl/ctrlProps/ctrlProp130.xml><?xml version="1.0" encoding="utf-8"?>
<formControlPr xmlns="http://schemas.microsoft.com/office/spreadsheetml/2009/9/main" objectType="Radio" lockText="1"/>
</file>

<file path=xl/ctrlProps/ctrlProp131.xml><?xml version="1.0" encoding="utf-8"?>
<formControlPr xmlns="http://schemas.microsoft.com/office/spreadsheetml/2009/9/main" objectType="Radio" lockText="1"/>
</file>

<file path=xl/ctrlProps/ctrlProp132.xml><?xml version="1.0" encoding="utf-8"?>
<formControlPr xmlns="http://schemas.microsoft.com/office/spreadsheetml/2009/9/main" objectType="Radio" lockText="1"/>
</file>

<file path=xl/ctrlProps/ctrlProp133.xml><?xml version="1.0" encoding="utf-8"?>
<formControlPr xmlns="http://schemas.microsoft.com/office/spreadsheetml/2009/9/main" objectType="Radio" lockText="1"/>
</file>

<file path=xl/ctrlProps/ctrlProp134.xml><?xml version="1.0" encoding="utf-8"?>
<formControlPr xmlns="http://schemas.microsoft.com/office/spreadsheetml/2009/9/main" objectType="Radio" lockText="1"/>
</file>

<file path=xl/ctrlProps/ctrlProp135.xml><?xml version="1.0" encoding="utf-8"?>
<formControlPr xmlns="http://schemas.microsoft.com/office/spreadsheetml/2009/9/main" objectType="Radio" lockText="1"/>
</file>

<file path=xl/ctrlProps/ctrlProp136.xml><?xml version="1.0" encoding="utf-8"?>
<formControlPr xmlns="http://schemas.microsoft.com/office/spreadsheetml/2009/9/main" objectType="Radio" lockText="1"/>
</file>

<file path=xl/ctrlProps/ctrlProp137.xml><?xml version="1.0" encoding="utf-8"?>
<formControlPr xmlns="http://schemas.microsoft.com/office/spreadsheetml/2009/9/main" objectType="Radio" lockText="1"/>
</file>

<file path=xl/ctrlProps/ctrlProp138.xml><?xml version="1.0" encoding="utf-8"?>
<formControlPr xmlns="http://schemas.microsoft.com/office/spreadsheetml/2009/9/main" objectType="Radio" checked="Checked" lockText="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3" Type="http://schemas.openxmlformats.org/officeDocument/2006/relationships/image" Target="../media/image8.emf"/><Relationship Id="rId7" Type="http://schemas.openxmlformats.org/officeDocument/2006/relationships/image" Target="../media/image4.emf"/><Relationship Id="rId2" Type="http://schemas.openxmlformats.org/officeDocument/2006/relationships/image" Target="../media/image9.emf"/><Relationship Id="rId1" Type="http://schemas.openxmlformats.org/officeDocument/2006/relationships/image" Target="../media/image10.emf"/><Relationship Id="rId6" Type="http://schemas.openxmlformats.org/officeDocument/2006/relationships/image" Target="../media/image5.emf"/><Relationship Id="rId5" Type="http://schemas.openxmlformats.org/officeDocument/2006/relationships/image" Target="../media/image6.emf"/><Relationship Id="rId4"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6</xdr:col>
      <xdr:colOff>548640</xdr:colOff>
      <xdr:row>15</xdr:row>
      <xdr:rowOff>28575</xdr:rowOff>
    </xdr:from>
    <xdr:to>
      <xdr:col>12</xdr:col>
      <xdr:colOff>605790</xdr:colOff>
      <xdr:row>20</xdr:row>
      <xdr:rowOff>104775</xdr:rowOff>
    </xdr:to>
    <xdr:sp macro="" textlink="">
      <xdr:nvSpPr>
        <xdr:cNvPr id="1025" name="WordArt 1"/>
        <xdr:cNvSpPr>
          <a:spLocks noChangeArrowheads="1" noChangeShapeType="1" noTextEdit="1"/>
        </xdr:cNvSpPr>
      </xdr:nvSpPr>
      <xdr:spPr bwMode="auto">
        <a:xfrm>
          <a:off x="4876800" y="2466975"/>
          <a:ext cx="4400550" cy="885825"/>
        </a:xfrm>
        <a:prstGeom prst="rect">
          <a:avLst/>
        </a:prstGeom>
      </xdr:spPr>
      <xdr:txBody>
        <a:bodyPr wrap="none" fromWordArt="1">
          <a:prstTxWarp prst="textPlain">
            <a:avLst>
              <a:gd name="adj" fmla="val 50000"/>
            </a:avLst>
          </a:prstTxWarp>
        </a:bodyPr>
        <a:lstStyle/>
        <a:p>
          <a:pPr algn="ctr" rtl="0"/>
          <a:r>
            <a:rPr lang="en-US" sz="3600" kern="10" spc="0">
              <a:ln w="9525">
                <a:solidFill>
                  <a:srgbClr val="000000"/>
                </a:solidFill>
                <a:round/>
                <a:headEnd/>
                <a:tailEnd/>
              </a:ln>
              <a:solidFill>
                <a:srgbClr val="900000"/>
              </a:solidFill>
              <a:effectLst/>
              <a:latin typeface="BernhardFashion BT"/>
            </a:rPr>
            <a:t>-Recommend</a:t>
          </a:r>
        </a:p>
      </xdr:txBody>
    </xdr:sp>
    <xdr:clientData/>
  </xdr:twoCellAnchor>
  <xdr:twoCellAnchor editAs="oneCell">
    <xdr:from>
      <xdr:col>5</xdr:col>
      <xdr:colOff>175260</xdr:colOff>
      <xdr:row>11</xdr:row>
      <xdr:rowOff>0</xdr:rowOff>
    </xdr:from>
    <xdr:to>
      <xdr:col>6</xdr:col>
      <xdr:colOff>624840</xdr:colOff>
      <xdr:row>26</xdr:row>
      <xdr:rowOff>91440</xdr:rowOff>
    </xdr:to>
    <xdr:pic>
      <xdr:nvPicPr>
        <xdr:cNvPr id="1590" name="Picture 6"/>
        <xdr:cNvPicPr>
          <a:picLocks noChangeAspect="1" noChangeArrowheads="1"/>
        </xdr:cNvPicPr>
      </xdr:nvPicPr>
      <xdr:blipFill>
        <a:blip xmlns:r="http://schemas.openxmlformats.org/officeDocument/2006/relationships" r:embed="rId1">
          <a:lum contrast="70000"/>
          <a:extLst>
            <a:ext uri="{28A0092B-C50C-407E-A947-70E740481C1C}">
              <a14:useLocalDpi xmlns:a14="http://schemas.microsoft.com/office/drawing/2010/main" val="0"/>
            </a:ext>
          </a:extLst>
        </a:blip>
        <a:srcRect/>
        <a:stretch>
          <a:fillRect/>
        </a:stretch>
      </xdr:blipFill>
      <xdr:spPr bwMode="auto">
        <a:xfrm rot="-938588">
          <a:off x="3909060" y="1844040"/>
          <a:ext cx="1196340" cy="2621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937260</xdr:colOff>
          <xdr:row>19</xdr:row>
          <xdr:rowOff>137160</xdr:rowOff>
        </xdr:from>
        <xdr:to>
          <xdr:col>22</xdr:col>
          <xdr:colOff>419100</xdr:colOff>
          <xdr:row>21</xdr:row>
          <xdr:rowOff>38100</xdr:rowOff>
        </xdr:to>
        <xdr:sp macro="" textlink="">
          <xdr:nvSpPr>
            <xdr:cNvPr id="2054" name="Drop Down 6" hidden="1">
              <a:extLst>
                <a:ext uri="{63B3BB69-23CF-44E3-9099-C40C66FF867C}">
                  <a14:compatExt spid="_x0000_s2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518160</xdr:colOff>
          <xdr:row>29</xdr:row>
          <xdr:rowOff>7620</xdr:rowOff>
        </xdr:from>
        <xdr:to>
          <xdr:col>3</xdr:col>
          <xdr:colOff>822960</xdr:colOff>
          <xdr:row>29</xdr:row>
          <xdr:rowOff>198120</xdr:rowOff>
        </xdr:to>
        <xdr:sp macro="" textlink="">
          <xdr:nvSpPr>
            <xdr:cNvPr id="2055" name="Drop Down 7"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22860</xdr:rowOff>
        </xdr:from>
        <xdr:to>
          <xdr:col>8</xdr:col>
          <xdr:colOff>160020</xdr:colOff>
          <xdr:row>28</xdr:row>
          <xdr:rowOff>38100</xdr:rowOff>
        </xdr:to>
        <xdr:sp macro="" textlink="">
          <xdr:nvSpPr>
            <xdr:cNvPr id="2056" name="Drop Down 8"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30480</xdr:rowOff>
        </xdr:from>
        <xdr:to>
          <xdr:col>7</xdr:col>
          <xdr:colOff>167640</xdr:colOff>
          <xdr:row>41</xdr:row>
          <xdr:rowOff>160020</xdr:rowOff>
        </xdr:to>
        <xdr:sp macro="" textlink="">
          <xdr:nvSpPr>
            <xdr:cNvPr id="2057" name="List Box 9" hidden="1">
              <a:extLst>
                <a:ext uri="{63B3BB69-23CF-44E3-9099-C40C66FF867C}">
                  <a14:compatExt spid="_x0000_s2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30480</xdr:colOff>
          <xdr:row>40</xdr:row>
          <xdr:rowOff>45720</xdr:rowOff>
        </xdr:from>
        <xdr:to>
          <xdr:col>2</xdr:col>
          <xdr:colOff>312420</xdr:colOff>
          <xdr:row>42</xdr:row>
          <xdr:rowOff>22860</xdr:rowOff>
        </xdr:to>
        <xdr:sp macro="" textlink="">
          <xdr:nvSpPr>
            <xdr:cNvPr id="2059" name="List Box 11" hidden="1">
              <a:extLst>
                <a:ext uri="{63B3BB69-23CF-44E3-9099-C40C66FF867C}">
                  <a14:compatExt spid="_x0000_s2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31</xdr:row>
          <xdr:rowOff>0</xdr:rowOff>
        </xdr:from>
        <xdr:to>
          <xdr:col>22</xdr:col>
          <xdr:colOff>1005840</xdr:colOff>
          <xdr:row>32</xdr:row>
          <xdr:rowOff>91440</xdr:rowOff>
        </xdr:to>
        <xdr:sp macro="" textlink="">
          <xdr:nvSpPr>
            <xdr:cNvPr id="2164" name="List Box 116" hidden="1">
              <a:extLst>
                <a:ext uri="{63B3BB69-23CF-44E3-9099-C40C66FF867C}">
                  <a14:compatExt spid="_x0000_s2164"/>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0</xdr:colOff>
      <xdr:row>406</xdr:row>
      <xdr:rowOff>0</xdr:rowOff>
    </xdr:from>
    <xdr:to>
      <xdr:col>5</xdr:col>
      <xdr:colOff>30480</xdr:colOff>
      <xdr:row>406</xdr:row>
      <xdr:rowOff>7620</xdr:rowOff>
    </xdr:to>
    <xdr:pic>
      <xdr:nvPicPr>
        <xdr:cNvPr id="5626" name="Picture 2"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27" name="Picture 5"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28" name="Picture 7"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29" name="Picture 8"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0" name="Picture 9"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1" name="Picture 10"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2" name="Picture 11"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3" name="Picture 12"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4" name="Picture 13"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5" name="Picture 14"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6" name="Picture 15"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406</xdr:row>
      <xdr:rowOff>0</xdr:rowOff>
    </xdr:from>
    <xdr:to>
      <xdr:col>5</xdr:col>
      <xdr:colOff>30480</xdr:colOff>
      <xdr:row>406</xdr:row>
      <xdr:rowOff>7620</xdr:rowOff>
    </xdr:to>
    <xdr:pic>
      <xdr:nvPicPr>
        <xdr:cNvPr id="5637" name="Picture 16" descr="divide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3220" y="65227200"/>
          <a:ext cx="187452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xdr:row>
          <xdr:rowOff>7620</xdr:rowOff>
        </xdr:from>
        <xdr:to>
          <xdr:col>13</xdr:col>
          <xdr:colOff>91440</xdr:colOff>
          <xdr:row>2</xdr:row>
          <xdr:rowOff>30480</xdr:rowOff>
        </xdr:to>
        <xdr:sp macro="" textlink="">
          <xdr:nvSpPr>
            <xdr:cNvPr id="8193" name="Option Button 1" hidden="1">
              <a:extLst>
                <a:ext uri="{63B3BB69-23CF-44E3-9099-C40C66FF867C}">
                  <a14:compatExt spid="_x0000_s81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7620</xdr:rowOff>
        </xdr:from>
        <xdr:to>
          <xdr:col>13</xdr:col>
          <xdr:colOff>91440</xdr:colOff>
          <xdr:row>3</xdr:row>
          <xdr:rowOff>30480</xdr:rowOff>
        </xdr:to>
        <xdr:sp macro="" textlink="">
          <xdr:nvSpPr>
            <xdr:cNvPr id="8194" name="Option Button 2" hidden="1">
              <a:extLst>
                <a:ext uri="{63B3BB69-23CF-44E3-9099-C40C66FF867C}">
                  <a14:compatExt spid="_x0000_s8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xdr:row>
          <xdr:rowOff>7620</xdr:rowOff>
        </xdr:from>
        <xdr:to>
          <xdr:col>13</xdr:col>
          <xdr:colOff>91440</xdr:colOff>
          <xdr:row>4</xdr:row>
          <xdr:rowOff>30480</xdr:rowOff>
        </xdr:to>
        <xdr:sp macro="" textlink="">
          <xdr:nvSpPr>
            <xdr:cNvPr id="8195" name="Option Button 3" hidden="1">
              <a:extLst>
                <a:ext uri="{63B3BB69-23CF-44E3-9099-C40C66FF867C}">
                  <a14:compatExt spid="_x0000_s8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7620</xdr:rowOff>
        </xdr:from>
        <xdr:to>
          <xdr:col>13</xdr:col>
          <xdr:colOff>91440</xdr:colOff>
          <xdr:row>5</xdr:row>
          <xdr:rowOff>30480</xdr:rowOff>
        </xdr:to>
        <xdr:sp macro="" textlink="">
          <xdr:nvSpPr>
            <xdr:cNvPr id="8196" name="Option Button 4" hidden="1">
              <a:extLst>
                <a:ext uri="{63B3BB69-23CF-44E3-9099-C40C66FF867C}">
                  <a14:compatExt spid="_x0000_s8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xdr:row>
          <xdr:rowOff>7620</xdr:rowOff>
        </xdr:from>
        <xdr:to>
          <xdr:col>13</xdr:col>
          <xdr:colOff>91440</xdr:colOff>
          <xdr:row>6</xdr:row>
          <xdr:rowOff>30480</xdr:rowOff>
        </xdr:to>
        <xdr:sp macro="" textlink="">
          <xdr:nvSpPr>
            <xdr:cNvPr id="8197" name="Option Button 5" hidden="1">
              <a:extLst>
                <a:ext uri="{63B3BB69-23CF-44E3-9099-C40C66FF867C}">
                  <a14:compatExt spid="_x0000_s8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7620</xdr:rowOff>
        </xdr:from>
        <xdr:to>
          <xdr:col>13</xdr:col>
          <xdr:colOff>91440</xdr:colOff>
          <xdr:row>7</xdr:row>
          <xdr:rowOff>30480</xdr:rowOff>
        </xdr:to>
        <xdr:sp macro="" textlink="">
          <xdr:nvSpPr>
            <xdr:cNvPr id="8198" name="Option Button 6" hidden="1">
              <a:extLst>
                <a:ext uri="{63B3BB69-23CF-44E3-9099-C40C66FF867C}">
                  <a14:compatExt spid="_x0000_s8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7620</xdr:rowOff>
        </xdr:from>
        <xdr:to>
          <xdr:col>13</xdr:col>
          <xdr:colOff>91440</xdr:colOff>
          <xdr:row>8</xdr:row>
          <xdr:rowOff>30480</xdr:rowOff>
        </xdr:to>
        <xdr:sp macro="" textlink="">
          <xdr:nvSpPr>
            <xdr:cNvPr id="8199" name="Option Button 7" hidden="1">
              <a:extLst>
                <a:ext uri="{63B3BB69-23CF-44E3-9099-C40C66FF867C}">
                  <a14:compatExt spid="_x0000_s8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7620</xdr:rowOff>
        </xdr:from>
        <xdr:to>
          <xdr:col>13</xdr:col>
          <xdr:colOff>91440</xdr:colOff>
          <xdr:row>9</xdr:row>
          <xdr:rowOff>30480</xdr:rowOff>
        </xdr:to>
        <xdr:sp macro="" textlink="">
          <xdr:nvSpPr>
            <xdr:cNvPr id="8200" name="Option Button 8" hidden="1">
              <a:extLst>
                <a:ext uri="{63B3BB69-23CF-44E3-9099-C40C66FF867C}">
                  <a14:compatExt spid="_x0000_s8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7620</xdr:rowOff>
        </xdr:from>
        <xdr:to>
          <xdr:col>13</xdr:col>
          <xdr:colOff>91440</xdr:colOff>
          <xdr:row>10</xdr:row>
          <xdr:rowOff>30480</xdr:rowOff>
        </xdr:to>
        <xdr:sp macro="" textlink="">
          <xdr:nvSpPr>
            <xdr:cNvPr id="8201" name="Option Button 9" hidden="1">
              <a:extLst>
                <a:ext uri="{63B3BB69-23CF-44E3-9099-C40C66FF867C}">
                  <a14:compatExt spid="_x0000_s8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7620</xdr:rowOff>
        </xdr:from>
        <xdr:to>
          <xdr:col>13</xdr:col>
          <xdr:colOff>91440</xdr:colOff>
          <xdr:row>11</xdr:row>
          <xdr:rowOff>30480</xdr:rowOff>
        </xdr:to>
        <xdr:sp macro="" textlink="">
          <xdr:nvSpPr>
            <xdr:cNvPr id="8202" name="Option Button 10" hidden="1">
              <a:extLst>
                <a:ext uri="{63B3BB69-23CF-44E3-9099-C40C66FF867C}">
                  <a14:compatExt spid="_x0000_s82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7620</xdr:rowOff>
        </xdr:from>
        <xdr:to>
          <xdr:col>13</xdr:col>
          <xdr:colOff>91440</xdr:colOff>
          <xdr:row>12</xdr:row>
          <xdr:rowOff>30480</xdr:rowOff>
        </xdr:to>
        <xdr:sp macro="" textlink="">
          <xdr:nvSpPr>
            <xdr:cNvPr id="8203" name="Option Button 11" hidden="1">
              <a:extLst>
                <a:ext uri="{63B3BB69-23CF-44E3-9099-C40C66FF867C}">
                  <a14:compatExt spid="_x0000_s8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7620</xdr:rowOff>
        </xdr:from>
        <xdr:to>
          <xdr:col>13</xdr:col>
          <xdr:colOff>91440</xdr:colOff>
          <xdr:row>13</xdr:row>
          <xdr:rowOff>30480</xdr:rowOff>
        </xdr:to>
        <xdr:sp macro="" textlink="">
          <xdr:nvSpPr>
            <xdr:cNvPr id="8204" name="Option Button 12" hidden="1">
              <a:extLst>
                <a:ext uri="{63B3BB69-23CF-44E3-9099-C40C66FF867C}">
                  <a14:compatExt spid="_x0000_s8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13</xdr:row>
          <xdr:rowOff>7620</xdr:rowOff>
        </xdr:from>
        <xdr:to>
          <xdr:col>13</xdr:col>
          <xdr:colOff>91440</xdr:colOff>
          <xdr:row>14</xdr:row>
          <xdr:rowOff>30480</xdr:rowOff>
        </xdr:to>
        <xdr:sp macro="" textlink="">
          <xdr:nvSpPr>
            <xdr:cNvPr id="8205" name="Option Button 13" hidden="1">
              <a:extLst>
                <a:ext uri="{63B3BB69-23CF-44E3-9099-C40C66FF867C}">
                  <a14:compatExt spid="_x0000_s8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xdr:row>
          <xdr:rowOff>7620</xdr:rowOff>
        </xdr:from>
        <xdr:to>
          <xdr:col>13</xdr:col>
          <xdr:colOff>91440</xdr:colOff>
          <xdr:row>15</xdr:row>
          <xdr:rowOff>30480</xdr:rowOff>
        </xdr:to>
        <xdr:sp macro="" textlink="">
          <xdr:nvSpPr>
            <xdr:cNvPr id="8206" name="Option Button 14" hidden="1">
              <a:extLst>
                <a:ext uri="{63B3BB69-23CF-44E3-9099-C40C66FF867C}">
                  <a14:compatExt spid="_x0000_s82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xdr:row>
          <xdr:rowOff>7620</xdr:rowOff>
        </xdr:from>
        <xdr:to>
          <xdr:col>13</xdr:col>
          <xdr:colOff>91440</xdr:colOff>
          <xdr:row>16</xdr:row>
          <xdr:rowOff>30480</xdr:rowOff>
        </xdr:to>
        <xdr:sp macro="" textlink="">
          <xdr:nvSpPr>
            <xdr:cNvPr id="8207" name="Option Button 15" hidden="1">
              <a:extLst>
                <a:ext uri="{63B3BB69-23CF-44E3-9099-C40C66FF867C}">
                  <a14:compatExt spid="_x0000_s82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xdr:row>
          <xdr:rowOff>7620</xdr:rowOff>
        </xdr:from>
        <xdr:to>
          <xdr:col>13</xdr:col>
          <xdr:colOff>91440</xdr:colOff>
          <xdr:row>17</xdr:row>
          <xdr:rowOff>30480</xdr:rowOff>
        </xdr:to>
        <xdr:sp macro="" textlink="">
          <xdr:nvSpPr>
            <xdr:cNvPr id="8208" name="Option Button 16" hidden="1">
              <a:extLst>
                <a:ext uri="{63B3BB69-23CF-44E3-9099-C40C66FF867C}">
                  <a14:compatExt spid="_x0000_s82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7620</xdr:rowOff>
        </xdr:from>
        <xdr:to>
          <xdr:col>13</xdr:col>
          <xdr:colOff>91440</xdr:colOff>
          <xdr:row>18</xdr:row>
          <xdr:rowOff>30480</xdr:rowOff>
        </xdr:to>
        <xdr:sp macro="" textlink="">
          <xdr:nvSpPr>
            <xdr:cNvPr id="8209" name="Option Button 17" hidden="1">
              <a:extLst>
                <a:ext uri="{63B3BB69-23CF-44E3-9099-C40C66FF867C}">
                  <a14:compatExt spid="_x0000_s82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xdr:row>
          <xdr:rowOff>7620</xdr:rowOff>
        </xdr:from>
        <xdr:to>
          <xdr:col>13</xdr:col>
          <xdr:colOff>91440</xdr:colOff>
          <xdr:row>19</xdr:row>
          <xdr:rowOff>30480</xdr:rowOff>
        </xdr:to>
        <xdr:sp macro="" textlink="">
          <xdr:nvSpPr>
            <xdr:cNvPr id="8210" name="Option Button 18" hidden="1">
              <a:extLst>
                <a:ext uri="{63B3BB69-23CF-44E3-9099-C40C66FF867C}">
                  <a14:compatExt spid="_x0000_s82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xdr:row>
          <xdr:rowOff>7620</xdr:rowOff>
        </xdr:from>
        <xdr:to>
          <xdr:col>13</xdr:col>
          <xdr:colOff>91440</xdr:colOff>
          <xdr:row>20</xdr:row>
          <xdr:rowOff>30480</xdr:rowOff>
        </xdr:to>
        <xdr:sp macro="" textlink="">
          <xdr:nvSpPr>
            <xdr:cNvPr id="8211" name="Option Button 19" hidden="1">
              <a:extLst>
                <a:ext uri="{63B3BB69-23CF-44E3-9099-C40C66FF867C}">
                  <a14:compatExt spid="_x0000_s82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7620</xdr:rowOff>
        </xdr:from>
        <xdr:to>
          <xdr:col>13</xdr:col>
          <xdr:colOff>91440</xdr:colOff>
          <xdr:row>21</xdr:row>
          <xdr:rowOff>30480</xdr:rowOff>
        </xdr:to>
        <xdr:sp macro="" textlink="">
          <xdr:nvSpPr>
            <xdr:cNvPr id="8212" name="Option Button 20" hidden="1">
              <a:extLst>
                <a:ext uri="{63B3BB69-23CF-44E3-9099-C40C66FF867C}">
                  <a14:compatExt spid="_x0000_s82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21</xdr:row>
          <xdr:rowOff>7620</xdr:rowOff>
        </xdr:from>
        <xdr:to>
          <xdr:col>13</xdr:col>
          <xdr:colOff>91440</xdr:colOff>
          <xdr:row>22</xdr:row>
          <xdr:rowOff>30480</xdr:rowOff>
        </xdr:to>
        <xdr:sp macro="" textlink="">
          <xdr:nvSpPr>
            <xdr:cNvPr id="8213" name="Option Button 21" hidden="1">
              <a:extLst>
                <a:ext uri="{63B3BB69-23CF-44E3-9099-C40C66FF867C}">
                  <a14:compatExt spid="_x0000_s82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xdr:row>
          <xdr:rowOff>7620</xdr:rowOff>
        </xdr:from>
        <xdr:to>
          <xdr:col>13</xdr:col>
          <xdr:colOff>91440</xdr:colOff>
          <xdr:row>23</xdr:row>
          <xdr:rowOff>30480</xdr:rowOff>
        </xdr:to>
        <xdr:sp macro="" textlink="">
          <xdr:nvSpPr>
            <xdr:cNvPr id="8214" name="Option Button 22" hidden="1">
              <a:extLst>
                <a:ext uri="{63B3BB69-23CF-44E3-9099-C40C66FF867C}">
                  <a14:compatExt spid="_x0000_s82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xdr:row>
          <xdr:rowOff>7620</xdr:rowOff>
        </xdr:from>
        <xdr:to>
          <xdr:col>13</xdr:col>
          <xdr:colOff>91440</xdr:colOff>
          <xdr:row>24</xdr:row>
          <xdr:rowOff>30480</xdr:rowOff>
        </xdr:to>
        <xdr:sp macro="" textlink="">
          <xdr:nvSpPr>
            <xdr:cNvPr id="8215" name="Option Button 23" hidden="1">
              <a:extLst>
                <a:ext uri="{63B3BB69-23CF-44E3-9099-C40C66FF867C}">
                  <a14:compatExt spid="_x0000_s82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7620</xdr:rowOff>
        </xdr:from>
        <xdr:to>
          <xdr:col>13</xdr:col>
          <xdr:colOff>91440</xdr:colOff>
          <xdr:row>25</xdr:row>
          <xdr:rowOff>30480</xdr:rowOff>
        </xdr:to>
        <xdr:sp macro="" textlink="">
          <xdr:nvSpPr>
            <xdr:cNvPr id="8216" name="Option Button 24" hidden="1">
              <a:extLst>
                <a:ext uri="{63B3BB69-23CF-44E3-9099-C40C66FF867C}">
                  <a14:compatExt spid="_x0000_s82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7620</xdr:rowOff>
        </xdr:from>
        <xdr:to>
          <xdr:col>13</xdr:col>
          <xdr:colOff>91440</xdr:colOff>
          <xdr:row>26</xdr:row>
          <xdr:rowOff>30480</xdr:rowOff>
        </xdr:to>
        <xdr:sp macro="" textlink="">
          <xdr:nvSpPr>
            <xdr:cNvPr id="8217" name="Option Button 25" hidden="1">
              <a:extLst>
                <a:ext uri="{63B3BB69-23CF-44E3-9099-C40C66FF867C}">
                  <a14:compatExt spid="_x0000_s82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26</xdr:row>
          <xdr:rowOff>7620</xdr:rowOff>
        </xdr:from>
        <xdr:to>
          <xdr:col>13</xdr:col>
          <xdr:colOff>91440</xdr:colOff>
          <xdr:row>27</xdr:row>
          <xdr:rowOff>30480</xdr:rowOff>
        </xdr:to>
        <xdr:sp macro="" textlink="">
          <xdr:nvSpPr>
            <xdr:cNvPr id="8218" name="Option Button 26" hidden="1">
              <a:extLst>
                <a:ext uri="{63B3BB69-23CF-44E3-9099-C40C66FF867C}">
                  <a14:compatExt spid="_x0000_s82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xdr:row>
          <xdr:rowOff>7620</xdr:rowOff>
        </xdr:from>
        <xdr:to>
          <xdr:col>13</xdr:col>
          <xdr:colOff>91440</xdr:colOff>
          <xdr:row>28</xdr:row>
          <xdr:rowOff>30480</xdr:rowOff>
        </xdr:to>
        <xdr:sp macro="" textlink="">
          <xdr:nvSpPr>
            <xdr:cNvPr id="8219" name="Option Button 27" hidden="1">
              <a:extLst>
                <a:ext uri="{63B3BB69-23CF-44E3-9099-C40C66FF867C}">
                  <a14:compatExt spid="_x0000_s82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7620</xdr:rowOff>
        </xdr:from>
        <xdr:to>
          <xdr:col>13</xdr:col>
          <xdr:colOff>91440</xdr:colOff>
          <xdr:row>29</xdr:row>
          <xdr:rowOff>30480</xdr:rowOff>
        </xdr:to>
        <xdr:sp macro="" textlink="">
          <xdr:nvSpPr>
            <xdr:cNvPr id="8220" name="Option Button 28" hidden="1">
              <a:extLst>
                <a:ext uri="{63B3BB69-23CF-44E3-9099-C40C66FF867C}">
                  <a14:compatExt spid="_x0000_s82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7620</xdr:rowOff>
        </xdr:from>
        <xdr:to>
          <xdr:col>13</xdr:col>
          <xdr:colOff>91440</xdr:colOff>
          <xdr:row>30</xdr:row>
          <xdr:rowOff>30480</xdr:rowOff>
        </xdr:to>
        <xdr:sp macro="" textlink="">
          <xdr:nvSpPr>
            <xdr:cNvPr id="8221" name="Option Button 29" hidden="1">
              <a:extLst>
                <a:ext uri="{63B3BB69-23CF-44E3-9099-C40C66FF867C}">
                  <a14:compatExt spid="_x0000_s82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7620</xdr:rowOff>
        </xdr:from>
        <xdr:to>
          <xdr:col>13</xdr:col>
          <xdr:colOff>91440</xdr:colOff>
          <xdr:row>31</xdr:row>
          <xdr:rowOff>30480</xdr:rowOff>
        </xdr:to>
        <xdr:sp macro="" textlink="">
          <xdr:nvSpPr>
            <xdr:cNvPr id="8222" name="Option Button 30" hidden="1">
              <a:extLst>
                <a:ext uri="{63B3BB69-23CF-44E3-9099-C40C66FF867C}">
                  <a14:compatExt spid="_x0000_s82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7620</xdr:rowOff>
        </xdr:from>
        <xdr:to>
          <xdr:col>13</xdr:col>
          <xdr:colOff>91440</xdr:colOff>
          <xdr:row>32</xdr:row>
          <xdr:rowOff>30480</xdr:rowOff>
        </xdr:to>
        <xdr:sp macro="" textlink="">
          <xdr:nvSpPr>
            <xdr:cNvPr id="8223" name="Option Button 31" hidden="1">
              <a:extLst>
                <a:ext uri="{63B3BB69-23CF-44E3-9099-C40C66FF867C}">
                  <a14:compatExt spid="_x0000_s82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xdr:row>
          <xdr:rowOff>7620</xdr:rowOff>
        </xdr:from>
        <xdr:to>
          <xdr:col>13</xdr:col>
          <xdr:colOff>91440</xdr:colOff>
          <xdr:row>33</xdr:row>
          <xdr:rowOff>30480</xdr:rowOff>
        </xdr:to>
        <xdr:sp macro="" textlink="">
          <xdr:nvSpPr>
            <xdr:cNvPr id="8224" name="Option Button 32" hidden="1">
              <a:extLst>
                <a:ext uri="{63B3BB69-23CF-44E3-9099-C40C66FF867C}">
                  <a14:compatExt spid="_x0000_s82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33</xdr:row>
          <xdr:rowOff>7620</xdr:rowOff>
        </xdr:from>
        <xdr:to>
          <xdr:col>13</xdr:col>
          <xdr:colOff>91440</xdr:colOff>
          <xdr:row>34</xdr:row>
          <xdr:rowOff>30480</xdr:rowOff>
        </xdr:to>
        <xdr:sp macro="" textlink="">
          <xdr:nvSpPr>
            <xdr:cNvPr id="8225" name="Option Button 33" hidden="1">
              <a:extLst>
                <a:ext uri="{63B3BB69-23CF-44E3-9099-C40C66FF867C}">
                  <a14:compatExt spid="_x0000_s82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7620</xdr:rowOff>
        </xdr:from>
        <xdr:to>
          <xdr:col>13</xdr:col>
          <xdr:colOff>91440</xdr:colOff>
          <xdr:row>35</xdr:row>
          <xdr:rowOff>30480</xdr:rowOff>
        </xdr:to>
        <xdr:sp macro="" textlink="">
          <xdr:nvSpPr>
            <xdr:cNvPr id="8226" name="Option Button 34" hidden="1">
              <a:extLst>
                <a:ext uri="{63B3BB69-23CF-44E3-9099-C40C66FF867C}">
                  <a14:compatExt spid="_x0000_s82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xdr:row>
          <xdr:rowOff>7620</xdr:rowOff>
        </xdr:from>
        <xdr:to>
          <xdr:col>13</xdr:col>
          <xdr:colOff>91440</xdr:colOff>
          <xdr:row>36</xdr:row>
          <xdr:rowOff>30480</xdr:rowOff>
        </xdr:to>
        <xdr:sp macro="" textlink="">
          <xdr:nvSpPr>
            <xdr:cNvPr id="8227" name="Option Button 35" hidden="1">
              <a:extLst>
                <a:ext uri="{63B3BB69-23CF-44E3-9099-C40C66FF867C}">
                  <a14:compatExt spid="_x0000_s82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36</xdr:row>
          <xdr:rowOff>7620</xdr:rowOff>
        </xdr:from>
        <xdr:to>
          <xdr:col>13</xdr:col>
          <xdr:colOff>91440</xdr:colOff>
          <xdr:row>37</xdr:row>
          <xdr:rowOff>30480</xdr:rowOff>
        </xdr:to>
        <xdr:sp macro="" textlink="">
          <xdr:nvSpPr>
            <xdr:cNvPr id="8228" name="Option Button 36" hidden="1">
              <a:extLst>
                <a:ext uri="{63B3BB69-23CF-44E3-9099-C40C66FF867C}">
                  <a14:compatExt spid="_x0000_s82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37</xdr:row>
          <xdr:rowOff>7620</xdr:rowOff>
        </xdr:from>
        <xdr:to>
          <xdr:col>13</xdr:col>
          <xdr:colOff>91440</xdr:colOff>
          <xdr:row>38</xdr:row>
          <xdr:rowOff>30480</xdr:rowOff>
        </xdr:to>
        <xdr:sp macro="" textlink="">
          <xdr:nvSpPr>
            <xdr:cNvPr id="8229" name="Option Button 37" hidden="1">
              <a:extLst>
                <a:ext uri="{63B3BB69-23CF-44E3-9099-C40C66FF867C}">
                  <a14:compatExt spid="_x0000_s82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7620</xdr:rowOff>
        </xdr:from>
        <xdr:to>
          <xdr:col>13</xdr:col>
          <xdr:colOff>91440</xdr:colOff>
          <xdr:row>39</xdr:row>
          <xdr:rowOff>30480</xdr:rowOff>
        </xdr:to>
        <xdr:sp macro="" textlink="">
          <xdr:nvSpPr>
            <xdr:cNvPr id="8230" name="Option Button 38" hidden="1">
              <a:extLst>
                <a:ext uri="{63B3BB69-23CF-44E3-9099-C40C66FF867C}">
                  <a14:compatExt spid="_x0000_s82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7620</xdr:rowOff>
        </xdr:from>
        <xdr:to>
          <xdr:col>13</xdr:col>
          <xdr:colOff>91440</xdr:colOff>
          <xdr:row>40</xdr:row>
          <xdr:rowOff>30480</xdr:rowOff>
        </xdr:to>
        <xdr:sp macro="" textlink="">
          <xdr:nvSpPr>
            <xdr:cNvPr id="8231" name="Option Button 39" hidden="1">
              <a:extLst>
                <a:ext uri="{63B3BB69-23CF-44E3-9099-C40C66FF867C}">
                  <a14:compatExt spid="_x0000_s82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40</xdr:row>
          <xdr:rowOff>7620</xdr:rowOff>
        </xdr:from>
        <xdr:to>
          <xdr:col>13</xdr:col>
          <xdr:colOff>91440</xdr:colOff>
          <xdr:row>41</xdr:row>
          <xdr:rowOff>30480</xdr:rowOff>
        </xdr:to>
        <xdr:sp macro="" textlink="">
          <xdr:nvSpPr>
            <xdr:cNvPr id="8232" name="Option Button 40" hidden="1">
              <a:extLst>
                <a:ext uri="{63B3BB69-23CF-44E3-9099-C40C66FF867C}">
                  <a14:compatExt spid="_x0000_s82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7620</xdr:rowOff>
        </xdr:from>
        <xdr:to>
          <xdr:col>13</xdr:col>
          <xdr:colOff>91440</xdr:colOff>
          <xdr:row>42</xdr:row>
          <xdr:rowOff>30480</xdr:rowOff>
        </xdr:to>
        <xdr:sp macro="" textlink="">
          <xdr:nvSpPr>
            <xdr:cNvPr id="8233" name="Option Button 41" hidden="1">
              <a:extLst>
                <a:ext uri="{63B3BB69-23CF-44E3-9099-C40C66FF867C}">
                  <a14:compatExt spid="_x0000_s82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42</xdr:row>
          <xdr:rowOff>7620</xdr:rowOff>
        </xdr:from>
        <xdr:to>
          <xdr:col>13</xdr:col>
          <xdr:colOff>91440</xdr:colOff>
          <xdr:row>43</xdr:row>
          <xdr:rowOff>30480</xdr:rowOff>
        </xdr:to>
        <xdr:sp macro="" textlink="">
          <xdr:nvSpPr>
            <xdr:cNvPr id="8234" name="Option Button 42" hidden="1">
              <a:extLst>
                <a:ext uri="{63B3BB69-23CF-44E3-9099-C40C66FF867C}">
                  <a14:compatExt spid="_x0000_s82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43</xdr:row>
          <xdr:rowOff>7620</xdr:rowOff>
        </xdr:from>
        <xdr:to>
          <xdr:col>13</xdr:col>
          <xdr:colOff>91440</xdr:colOff>
          <xdr:row>44</xdr:row>
          <xdr:rowOff>30480</xdr:rowOff>
        </xdr:to>
        <xdr:sp macro="" textlink="">
          <xdr:nvSpPr>
            <xdr:cNvPr id="8235" name="Option Button 43" hidden="1">
              <a:extLst>
                <a:ext uri="{63B3BB69-23CF-44E3-9099-C40C66FF867C}">
                  <a14:compatExt spid="_x0000_s82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44</xdr:row>
          <xdr:rowOff>7620</xdr:rowOff>
        </xdr:from>
        <xdr:to>
          <xdr:col>13</xdr:col>
          <xdr:colOff>91440</xdr:colOff>
          <xdr:row>45</xdr:row>
          <xdr:rowOff>30480</xdr:rowOff>
        </xdr:to>
        <xdr:sp macro="" textlink="">
          <xdr:nvSpPr>
            <xdr:cNvPr id="8236" name="Option Button 44" hidden="1">
              <a:extLst>
                <a:ext uri="{63B3BB69-23CF-44E3-9099-C40C66FF867C}">
                  <a14:compatExt spid="_x0000_s82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45</xdr:row>
          <xdr:rowOff>7620</xdr:rowOff>
        </xdr:from>
        <xdr:to>
          <xdr:col>13</xdr:col>
          <xdr:colOff>91440</xdr:colOff>
          <xdr:row>46</xdr:row>
          <xdr:rowOff>30480</xdr:rowOff>
        </xdr:to>
        <xdr:sp macro="" textlink="">
          <xdr:nvSpPr>
            <xdr:cNvPr id="8237" name="Option Button 45" hidden="1">
              <a:extLst>
                <a:ext uri="{63B3BB69-23CF-44E3-9099-C40C66FF867C}">
                  <a14:compatExt spid="_x0000_s82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7620</xdr:rowOff>
        </xdr:from>
        <xdr:to>
          <xdr:col>13</xdr:col>
          <xdr:colOff>91440</xdr:colOff>
          <xdr:row>47</xdr:row>
          <xdr:rowOff>30480</xdr:rowOff>
        </xdr:to>
        <xdr:sp macro="" textlink="">
          <xdr:nvSpPr>
            <xdr:cNvPr id="8238" name="Option Button 46" hidden="1">
              <a:extLst>
                <a:ext uri="{63B3BB69-23CF-44E3-9099-C40C66FF867C}">
                  <a14:compatExt spid="_x0000_s82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47</xdr:row>
          <xdr:rowOff>7620</xdr:rowOff>
        </xdr:from>
        <xdr:to>
          <xdr:col>13</xdr:col>
          <xdr:colOff>91440</xdr:colOff>
          <xdr:row>48</xdr:row>
          <xdr:rowOff>30480</xdr:rowOff>
        </xdr:to>
        <xdr:sp macro="" textlink="">
          <xdr:nvSpPr>
            <xdr:cNvPr id="8239" name="Option Button 47" hidden="1">
              <a:extLst>
                <a:ext uri="{63B3BB69-23CF-44E3-9099-C40C66FF867C}">
                  <a14:compatExt spid="_x0000_s82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48</xdr:row>
          <xdr:rowOff>7620</xdr:rowOff>
        </xdr:from>
        <xdr:to>
          <xdr:col>13</xdr:col>
          <xdr:colOff>91440</xdr:colOff>
          <xdr:row>49</xdr:row>
          <xdr:rowOff>30480</xdr:rowOff>
        </xdr:to>
        <xdr:sp macro="" textlink="">
          <xdr:nvSpPr>
            <xdr:cNvPr id="8240" name="Option Button 48" hidden="1">
              <a:extLst>
                <a:ext uri="{63B3BB69-23CF-44E3-9099-C40C66FF867C}">
                  <a14:compatExt spid="_x0000_s82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49</xdr:row>
          <xdr:rowOff>7620</xdr:rowOff>
        </xdr:from>
        <xdr:to>
          <xdr:col>13</xdr:col>
          <xdr:colOff>91440</xdr:colOff>
          <xdr:row>50</xdr:row>
          <xdr:rowOff>30480</xdr:rowOff>
        </xdr:to>
        <xdr:sp macro="" textlink="">
          <xdr:nvSpPr>
            <xdr:cNvPr id="8241" name="Option Button 49" hidden="1">
              <a:extLst>
                <a:ext uri="{63B3BB69-23CF-44E3-9099-C40C66FF867C}">
                  <a14:compatExt spid="_x0000_s82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50</xdr:row>
          <xdr:rowOff>7620</xdr:rowOff>
        </xdr:from>
        <xdr:to>
          <xdr:col>13</xdr:col>
          <xdr:colOff>91440</xdr:colOff>
          <xdr:row>51</xdr:row>
          <xdr:rowOff>30480</xdr:rowOff>
        </xdr:to>
        <xdr:sp macro="" textlink="">
          <xdr:nvSpPr>
            <xdr:cNvPr id="8242" name="Option Button 50" hidden="1">
              <a:extLst>
                <a:ext uri="{63B3BB69-23CF-44E3-9099-C40C66FF867C}">
                  <a14:compatExt spid="_x0000_s82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7620</xdr:rowOff>
        </xdr:from>
        <xdr:to>
          <xdr:col>13</xdr:col>
          <xdr:colOff>91440</xdr:colOff>
          <xdr:row>52</xdr:row>
          <xdr:rowOff>30480</xdr:rowOff>
        </xdr:to>
        <xdr:sp macro="" textlink="">
          <xdr:nvSpPr>
            <xdr:cNvPr id="8243" name="Option Button 51" hidden="1">
              <a:extLst>
                <a:ext uri="{63B3BB69-23CF-44E3-9099-C40C66FF867C}">
                  <a14:compatExt spid="_x0000_s82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52</xdr:row>
          <xdr:rowOff>7620</xdr:rowOff>
        </xdr:from>
        <xdr:to>
          <xdr:col>13</xdr:col>
          <xdr:colOff>91440</xdr:colOff>
          <xdr:row>53</xdr:row>
          <xdr:rowOff>30480</xdr:rowOff>
        </xdr:to>
        <xdr:sp macro="" textlink="">
          <xdr:nvSpPr>
            <xdr:cNvPr id="8244" name="Option Button 52" hidden="1">
              <a:extLst>
                <a:ext uri="{63B3BB69-23CF-44E3-9099-C40C66FF867C}">
                  <a14:compatExt spid="_x0000_s82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53</xdr:row>
          <xdr:rowOff>7620</xdr:rowOff>
        </xdr:from>
        <xdr:to>
          <xdr:col>13</xdr:col>
          <xdr:colOff>91440</xdr:colOff>
          <xdr:row>54</xdr:row>
          <xdr:rowOff>30480</xdr:rowOff>
        </xdr:to>
        <xdr:sp macro="" textlink="">
          <xdr:nvSpPr>
            <xdr:cNvPr id="8245" name="Option Button 53" hidden="1">
              <a:extLst>
                <a:ext uri="{63B3BB69-23CF-44E3-9099-C40C66FF867C}">
                  <a14:compatExt spid="_x0000_s82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54</xdr:row>
          <xdr:rowOff>7620</xdr:rowOff>
        </xdr:from>
        <xdr:to>
          <xdr:col>13</xdr:col>
          <xdr:colOff>91440</xdr:colOff>
          <xdr:row>55</xdr:row>
          <xdr:rowOff>30480</xdr:rowOff>
        </xdr:to>
        <xdr:sp macro="" textlink="">
          <xdr:nvSpPr>
            <xdr:cNvPr id="8246" name="Option Button 54" hidden="1">
              <a:extLst>
                <a:ext uri="{63B3BB69-23CF-44E3-9099-C40C66FF867C}">
                  <a14:compatExt spid="_x0000_s82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55</xdr:row>
          <xdr:rowOff>7620</xdr:rowOff>
        </xdr:from>
        <xdr:to>
          <xdr:col>13</xdr:col>
          <xdr:colOff>91440</xdr:colOff>
          <xdr:row>56</xdr:row>
          <xdr:rowOff>30480</xdr:rowOff>
        </xdr:to>
        <xdr:sp macro="" textlink="">
          <xdr:nvSpPr>
            <xdr:cNvPr id="8247" name="Option Button 55" hidden="1">
              <a:extLst>
                <a:ext uri="{63B3BB69-23CF-44E3-9099-C40C66FF867C}">
                  <a14:compatExt spid="_x0000_s82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56</xdr:row>
          <xdr:rowOff>7620</xdr:rowOff>
        </xdr:from>
        <xdr:to>
          <xdr:col>13</xdr:col>
          <xdr:colOff>91440</xdr:colOff>
          <xdr:row>57</xdr:row>
          <xdr:rowOff>30480</xdr:rowOff>
        </xdr:to>
        <xdr:sp macro="" textlink="">
          <xdr:nvSpPr>
            <xdr:cNvPr id="8248" name="Option Button 56" hidden="1">
              <a:extLst>
                <a:ext uri="{63B3BB69-23CF-44E3-9099-C40C66FF867C}">
                  <a14:compatExt spid="_x0000_s82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57</xdr:row>
          <xdr:rowOff>7620</xdr:rowOff>
        </xdr:from>
        <xdr:to>
          <xdr:col>13</xdr:col>
          <xdr:colOff>91440</xdr:colOff>
          <xdr:row>58</xdr:row>
          <xdr:rowOff>30480</xdr:rowOff>
        </xdr:to>
        <xdr:sp macro="" textlink="">
          <xdr:nvSpPr>
            <xdr:cNvPr id="8249" name="Option Button 57" hidden="1">
              <a:extLst>
                <a:ext uri="{63B3BB69-23CF-44E3-9099-C40C66FF867C}">
                  <a14:compatExt spid="_x0000_s82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58</xdr:row>
          <xdr:rowOff>7620</xdr:rowOff>
        </xdr:from>
        <xdr:to>
          <xdr:col>13</xdr:col>
          <xdr:colOff>91440</xdr:colOff>
          <xdr:row>59</xdr:row>
          <xdr:rowOff>30480</xdr:rowOff>
        </xdr:to>
        <xdr:sp macro="" textlink="">
          <xdr:nvSpPr>
            <xdr:cNvPr id="8250" name="Option Button 58" hidden="1">
              <a:extLst>
                <a:ext uri="{63B3BB69-23CF-44E3-9099-C40C66FF867C}">
                  <a14:compatExt spid="_x0000_s82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59</xdr:row>
          <xdr:rowOff>7620</xdr:rowOff>
        </xdr:from>
        <xdr:to>
          <xdr:col>13</xdr:col>
          <xdr:colOff>91440</xdr:colOff>
          <xdr:row>60</xdr:row>
          <xdr:rowOff>30480</xdr:rowOff>
        </xdr:to>
        <xdr:sp macro="" textlink="">
          <xdr:nvSpPr>
            <xdr:cNvPr id="8251" name="Option Button 59" hidden="1">
              <a:extLst>
                <a:ext uri="{63B3BB69-23CF-44E3-9099-C40C66FF867C}">
                  <a14:compatExt spid="_x0000_s82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60</xdr:row>
          <xdr:rowOff>7620</xdr:rowOff>
        </xdr:from>
        <xdr:to>
          <xdr:col>13</xdr:col>
          <xdr:colOff>91440</xdr:colOff>
          <xdr:row>61</xdr:row>
          <xdr:rowOff>7620</xdr:rowOff>
        </xdr:to>
        <xdr:sp macro="" textlink="">
          <xdr:nvSpPr>
            <xdr:cNvPr id="8252" name="Option Button 60" hidden="1">
              <a:extLst>
                <a:ext uri="{63B3BB69-23CF-44E3-9099-C40C66FF867C}">
                  <a14:compatExt spid="_x0000_s82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61</xdr:row>
          <xdr:rowOff>7620</xdr:rowOff>
        </xdr:from>
        <xdr:to>
          <xdr:col>13</xdr:col>
          <xdr:colOff>91440</xdr:colOff>
          <xdr:row>62</xdr:row>
          <xdr:rowOff>30480</xdr:rowOff>
        </xdr:to>
        <xdr:sp macro="" textlink="">
          <xdr:nvSpPr>
            <xdr:cNvPr id="8253" name="Option Button 61" hidden="1">
              <a:extLst>
                <a:ext uri="{63B3BB69-23CF-44E3-9099-C40C66FF867C}">
                  <a14:compatExt spid="_x0000_s82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62</xdr:row>
          <xdr:rowOff>7620</xdr:rowOff>
        </xdr:from>
        <xdr:to>
          <xdr:col>13</xdr:col>
          <xdr:colOff>91440</xdr:colOff>
          <xdr:row>63</xdr:row>
          <xdr:rowOff>30480</xdr:rowOff>
        </xdr:to>
        <xdr:sp macro="" textlink="">
          <xdr:nvSpPr>
            <xdr:cNvPr id="8254" name="Option Button 62" hidden="1">
              <a:extLst>
                <a:ext uri="{63B3BB69-23CF-44E3-9099-C40C66FF867C}">
                  <a14:compatExt spid="_x0000_s82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62</xdr:row>
          <xdr:rowOff>198120</xdr:rowOff>
        </xdr:from>
        <xdr:to>
          <xdr:col>13</xdr:col>
          <xdr:colOff>91440</xdr:colOff>
          <xdr:row>64</xdr:row>
          <xdr:rowOff>0</xdr:rowOff>
        </xdr:to>
        <xdr:sp macro="" textlink="">
          <xdr:nvSpPr>
            <xdr:cNvPr id="8255" name="Option Button 63" hidden="1">
              <a:extLst>
                <a:ext uri="{63B3BB69-23CF-44E3-9099-C40C66FF867C}">
                  <a14:compatExt spid="_x0000_s82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64</xdr:row>
          <xdr:rowOff>7620</xdr:rowOff>
        </xdr:from>
        <xdr:to>
          <xdr:col>13</xdr:col>
          <xdr:colOff>91440</xdr:colOff>
          <xdr:row>65</xdr:row>
          <xdr:rowOff>7620</xdr:rowOff>
        </xdr:to>
        <xdr:sp macro="" textlink="">
          <xdr:nvSpPr>
            <xdr:cNvPr id="8256" name="Option Button 64" hidden="1">
              <a:extLst>
                <a:ext uri="{63B3BB69-23CF-44E3-9099-C40C66FF867C}">
                  <a14:compatExt spid="_x0000_s82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65</xdr:row>
          <xdr:rowOff>7620</xdr:rowOff>
        </xdr:from>
        <xdr:to>
          <xdr:col>13</xdr:col>
          <xdr:colOff>91440</xdr:colOff>
          <xdr:row>66</xdr:row>
          <xdr:rowOff>7620</xdr:rowOff>
        </xdr:to>
        <xdr:sp macro="" textlink="">
          <xdr:nvSpPr>
            <xdr:cNvPr id="8257" name="Option Button 65" hidden="1">
              <a:extLst>
                <a:ext uri="{63B3BB69-23CF-44E3-9099-C40C66FF867C}">
                  <a14:compatExt spid="_x0000_s82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66</xdr:row>
          <xdr:rowOff>7620</xdr:rowOff>
        </xdr:from>
        <xdr:to>
          <xdr:col>13</xdr:col>
          <xdr:colOff>91440</xdr:colOff>
          <xdr:row>67</xdr:row>
          <xdr:rowOff>68580</xdr:rowOff>
        </xdr:to>
        <xdr:sp macro="" textlink="">
          <xdr:nvSpPr>
            <xdr:cNvPr id="8258" name="Option Button 66" hidden="1">
              <a:extLst>
                <a:ext uri="{63B3BB69-23CF-44E3-9099-C40C66FF867C}">
                  <a14:compatExt spid="_x0000_s8258"/>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xdr:row>
          <xdr:rowOff>7620</xdr:rowOff>
        </xdr:from>
        <xdr:to>
          <xdr:col>13</xdr:col>
          <xdr:colOff>91440</xdr:colOff>
          <xdr:row>2</xdr:row>
          <xdr:rowOff>30480</xdr:rowOff>
        </xdr:to>
        <xdr:sp macro="" textlink="">
          <xdr:nvSpPr>
            <xdr:cNvPr id="11265" name="Option Button 1" hidden="1">
              <a:extLst>
                <a:ext uri="{63B3BB69-23CF-44E3-9099-C40C66FF867C}">
                  <a14:compatExt spid="_x0000_s112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xdr:row>
          <xdr:rowOff>7620</xdr:rowOff>
        </xdr:from>
        <xdr:to>
          <xdr:col>13</xdr:col>
          <xdr:colOff>91440</xdr:colOff>
          <xdr:row>3</xdr:row>
          <xdr:rowOff>30480</xdr:rowOff>
        </xdr:to>
        <xdr:sp macro="" textlink="">
          <xdr:nvSpPr>
            <xdr:cNvPr id="11266" name="Option Button 2" hidden="1">
              <a:extLst>
                <a:ext uri="{63B3BB69-23CF-44E3-9099-C40C66FF867C}">
                  <a14:compatExt spid="_x0000_s112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xdr:row>
          <xdr:rowOff>7620</xdr:rowOff>
        </xdr:from>
        <xdr:to>
          <xdr:col>13</xdr:col>
          <xdr:colOff>91440</xdr:colOff>
          <xdr:row>4</xdr:row>
          <xdr:rowOff>30480</xdr:rowOff>
        </xdr:to>
        <xdr:sp macro="" textlink="">
          <xdr:nvSpPr>
            <xdr:cNvPr id="11267" name="Option Button 3" hidden="1">
              <a:extLst>
                <a:ext uri="{63B3BB69-23CF-44E3-9099-C40C66FF867C}">
                  <a14:compatExt spid="_x0000_s112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7620</xdr:rowOff>
        </xdr:from>
        <xdr:to>
          <xdr:col>13</xdr:col>
          <xdr:colOff>91440</xdr:colOff>
          <xdr:row>5</xdr:row>
          <xdr:rowOff>30480</xdr:rowOff>
        </xdr:to>
        <xdr:sp macro="" textlink="">
          <xdr:nvSpPr>
            <xdr:cNvPr id="11268" name="Option Button 4" hidden="1">
              <a:extLst>
                <a:ext uri="{63B3BB69-23CF-44E3-9099-C40C66FF867C}">
                  <a14:compatExt spid="_x0000_s112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xdr:row>
          <xdr:rowOff>7620</xdr:rowOff>
        </xdr:from>
        <xdr:to>
          <xdr:col>13</xdr:col>
          <xdr:colOff>91440</xdr:colOff>
          <xdr:row>6</xdr:row>
          <xdr:rowOff>30480</xdr:rowOff>
        </xdr:to>
        <xdr:sp macro="" textlink="">
          <xdr:nvSpPr>
            <xdr:cNvPr id="11269" name="Option Button 5" hidden="1">
              <a:extLst>
                <a:ext uri="{63B3BB69-23CF-44E3-9099-C40C66FF867C}">
                  <a14:compatExt spid="_x0000_s112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xdr:row>
          <xdr:rowOff>7620</xdr:rowOff>
        </xdr:from>
        <xdr:to>
          <xdr:col>13</xdr:col>
          <xdr:colOff>91440</xdr:colOff>
          <xdr:row>7</xdr:row>
          <xdr:rowOff>30480</xdr:rowOff>
        </xdr:to>
        <xdr:sp macro="" textlink="">
          <xdr:nvSpPr>
            <xdr:cNvPr id="11270" name="Option Button 6" hidden="1">
              <a:extLst>
                <a:ext uri="{63B3BB69-23CF-44E3-9099-C40C66FF867C}">
                  <a14:compatExt spid="_x0000_s112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7620</xdr:rowOff>
        </xdr:from>
        <xdr:to>
          <xdr:col>13</xdr:col>
          <xdr:colOff>91440</xdr:colOff>
          <xdr:row>8</xdr:row>
          <xdr:rowOff>30480</xdr:rowOff>
        </xdr:to>
        <xdr:sp macro="" textlink="">
          <xdr:nvSpPr>
            <xdr:cNvPr id="11271" name="Option Button 7" hidden="1">
              <a:extLst>
                <a:ext uri="{63B3BB69-23CF-44E3-9099-C40C66FF867C}">
                  <a14:compatExt spid="_x0000_s112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7620</xdr:rowOff>
        </xdr:from>
        <xdr:to>
          <xdr:col>13</xdr:col>
          <xdr:colOff>91440</xdr:colOff>
          <xdr:row>9</xdr:row>
          <xdr:rowOff>30480</xdr:rowOff>
        </xdr:to>
        <xdr:sp macro="" textlink="">
          <xdr:nvSpPr>
            <xdr:cNvPr id="11272" name="Option Button 8" hidden="1">
              <a:extLst>
                <a:ext uri="{63B3BB69-23CF-44E3-9099-C40C66FF867C}">
                  <a14:compatExt spid="_x0000_s112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7620</xdr:rowOff>
        </xdr:from>
        <xdr:to>
          <xdr:col>13</xdr:col>
          <xdr:colOff>91440</xdr:colOff>
          <xdr:row>10</xdr:row>
          <xdr:rowOff>30480</xdr:rowOff>
        </xdr:to>
        <xdr:sp macro="" textlink="">
          <xdr:nvSpPr>
            <xdr:cNvPr id="11273" name="Option Button 9" hidden="1">
              <a:extLst>
                <a:ext uri="{63B3BB69-23CF-44E3-9099-C40C66FF867C}">
                  <a14:compatExt spid="_x0000_s112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7620</xdr:rowOff>
        </xdr:from>
        <xdr:to>
          <xdr:col>13</xdr:col>
          <xdr:colOff>91440</xdr:colOff>
          <xdr:row>11</xdr:row>
          <xdr:rowOff>30480</xdr:rowOff>
        </xdr:to>
        <xdr:sp macro="" textlink="">
          <xdr:nvSpPr>
            <xdr:cNvPr id="11274" name="Option Button 10" hidden="1">
              <a:extLst>
                <a:ext uri="{63B3BB69-23CF-44E3-9099-C40C66FF867C}">
                  <a14:compatExt spid="_x0000_s112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7620</xdr:rowOff>
        </xdr:from>
        <xdr:to>
          <xdr:col>13</xdr:col>
          <xdr:colOff>91440</xdr:colOff>
          <xdr:row>12</xdr:row>
          <xdr:rowOff>30480</xdr:rowOff>
        </xdr:to>
        <xdr:sp macro="" textlink="">
          <xdr:nvSpPr>
            <xdr:cNvPr id="11275" name="Option Button 11" hidden="1">
              <a:extLst>
                <a:ext uri="{63B3BB69-23CF-44E3-9099-C40C66FF867C}">
                  <a14:compatExt spid="_x0000_s112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7620</xdr:rowOff>
        </xdr:from>
        <xdr:to>
          <xdr:col>13</xdr:col>
          <xdr:colOff>91440</xdr:colOff>
          <xdr:row>13</xdr:row>
          <xdr:rowOff>30480</xdr:rowOff>
        </xdr:to>
        <xdr:sp macro="" textlink="">
          <xdr:nvSpPr>
            <xdr:cNvPr id="11276" name="Option Button 12" hidden="1">
              <a:extLst>
                <a:ext uri="{63B3BB69-23CF-44E3-9099-C40C66FF867C}">
                  <a14:compatExt spid="_x0000_s112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13</xdr:row>
          <xdr:rowOff>7620</xdr:rowOff>
        </xdr:from>
        <xdr:to>
          <xdr:col>13</xdr:col>
          <xdr:colOff>91440</xdr:colOff>
          <xdr:row>14</xdr:row>
          <xdr:rowOff>30480</xdr:rowOff>
        </xdr:to>
        <xdr:sp macro="" textlink="">
          <xdr:nvSpPr>
            <xdr:cNvPr id="11277" name="Option Button 13" hidden="1">
              <a:extLst>
                <a:ext uri="{63B3BB69-23CF-44E3-9099-C40C66FF867C}">
                  <a14:compatExt spid="_x0000_s112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14</xdr:row>
          <xdr:rowOff>7620</xdr:rowOff>
        </xdr:from>
        <xdr:to>
          <xdr:col>13</xdr:col>
          <xdr:colOff>91440</xdr:colOff>
          <xdr:row>15</xdr:row>
          <xdr:rowOff>30480</xdr:rowOff>
        </xdr:to>
        <xdr:sp macro="" textlink="">
          <xdr:nvSpPr>
            <xdr:cNvPr id="11278" name="Option Button 14" hidden="1">
              <a:extLst>
                <a:ext uri="{63B3BB69-23CF-44E3-9099-C40C66FF867C}">
                  <a14:compatExt spid="_x0000_s112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15</xdr:row>
          <xdr:rowOff>7620</xdr:rowOff>
        </xdr:from>
        <xdr:to>
          <xdr:col>13</xdr:col>
          <xdr:colOff>91440</xdr:colOff>
          <xdr:row>16</xdr:row>
          <xdr:rowOff>30480</xdr:rowOff>
        </xdr:to>
        <xdr:sp macro="" textlink="">
          <xdr:nvSpPr>
            <xdr:cNvPr id="11279" name="Option Button 15" hidden="1">
              <a:extLst>
                <a:ext uri="{63B3BB69-23CF-44E3-9099-C40C66FF867C}">
                  <a14:compatExt spid="_x0000_s112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xdr:row>
          <xdr:rowOff>7620</xdr:rowOff>
        </xdr:from>
        <xdr:to>
          <xdr:col>13</xdr:col>
          <xdr:colOff>91440</xdr:colOff>
          <xdr:row>17</xdr:row>
          <xdr:rowOff>30480</xdr:rowOff>
        </xdr:to>
        <xdr:sp macro="" textlink="">
          <xdr:nvSpPr>
            <xdr:cNvPr id="11280" name="Option Button 16" hidden="1">
              <a:extLst>
                <a:ext uri="{63B3BB69-23CF-44E3-9099-C40C66FF867C}">
                  <a14:compatExt spid="_x0000_s112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17</xdr:row>
          <xdr:rowOff>7620</xdr:rowOff>
        </xdr:from>
        <xdr:to>
          <xdr:col>13</xdr:col>
          <xdr:colOff>91440</xdr:colOff>
          <xdr:row>18</xdr:row>
          <xdr:rowOff>30480</xdr:rowOff>
        </xdr:to>
        <xdr:sp macro="" textlink="">
          <xdr:nvSpPr>
            <xdr:cNvPr id="11281" name="Option Button 17" hidden="1">
              <a:extLst>
                <a:ext uri="{63B3BB69-23CF-44E3-9099-C40C66FF867C}">
                  <a14:compatExt spid="_x0000_s112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xdr:row>
          <xdr:rowOff>7620</xdr:rowOff>
        </xdr:from>
        <xdr:to>
          <xdr:col>13</xdr:col>
          <xdr:colOff>91440</xdr:colOff>
          <xdr:row>19</xdr:row>
          <xdr:rowOff>30480</xdr:rowOff>
        </xdr:to>
        <xdr:sp macro="" textlink="">
          <xdr:nvSpPr>
            <xdr:cNvPr id="11282" name="Option Button 18" hidden="1">
              <a:extLst>
                <a:ext uri="{63B3BB69-23CF-44E3-9099-C40C66FF867C}">
                  <a14:compatExt spid="_x0000_s112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19</xdr:row>
          <xdr:rowOff>7620</xdr:rowOff>
        </xdr:from>
        <xdr:to>
          <xdr:col>13</xdr:col>
          <xdr:colOff>91440</xdr:colOff>
          <xdr:row>20</xdr:row>
          <xdr:rowOff>30480</xdr:rowOff>
        </xdr:to>
        <xdr:sp macro="" textlink="">
          <xdr:nvSpPr>
            <xdr:cNvPr id="11283" name="Option Button 19" hidden="1">
              <a:extLst>
                <a:ext uri="{63B3BB69-23CF-44E3-9099-C40C66FF867C}">
                  <a14:compatExt spid="_x0000_s112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7620</xdr:rowOff>
        </xdr:from>
        <xdr:to>
          <xdr:col>13</xdr:col>
          <xdr:colOff>91440</xdr:colOff>
          <xdr:row>21</xdr:row>
          <xdr:rowOff>30480</xdr:rowOff>
        </xdr:to>
        <xdr:sp macro="" textlink="">
          <xdr:nvSpPr>
            <xdr:cNvPr id="11284" name="Option Button 20" hidden="1">
              <a:extLst>
                <a:ext uri="{63B3BB69-23CF-44E3-9099-C40C66FF867C}">
                  <a14:compatExt spid="_x0000_s112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21</xdr:row>
          <xdr:rowOff>7620</xdr:rowOff>
        </xdr:from>
        <xdr:to>
          <xdr:col>13</xdr:col>
          <xdr:colOff>91440</xdr:colOff>
          <xdr:row>22</xdr:row>
          <xdr:rowOff>30480</xdr:rowOff>
        </xdr:to>
        <xdr:sp macro="" textlink="">
          <xdr:nvSpPr>
            <xdr:cNvPr id="11285" name="Option Button 21" hidden="1">
              <a:extLst>
                <a:ext uri="{63B3BB69-23CF-44E3-9099-C40C66FF867C}">
                  <a14:compatExt spid="_x0000_s112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22</xdr:row>
          <xdr:rowOff>7620</xdr:rowOff>
        </xdr:from>
        <xdr:to>
          <xdr:col>13</xdr:col>
          <xdr:colOff>91440</xdr:colOff>
          <xdr:row>23</xdr:row>
          <xdr:rowOff>30480</xdr:rowOff>
        </xdr:to>
        <xdr:sp macro="" textlink="">
          <xdr:nvSpPr>
            <xdr:cNvPr id="11286" name="Option Button 22" hidden="1">
              <a:extLst>
                <a:ext uri="{63B3BB69-23CF-44E3-9099-C40C66FF867C}">
                  <a14:compatExt spid="_x0000_s112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xdr:row>
          <xdr:rowOff>7620</xdr:rowOff>
        </xdr:from>
        <xdr:to>
          <xdr:col>13</xdr:col>
          <xdr:colOff>91440</xdr:colOff>
          <xdr:row>24</xdr:row>
          <xdr:rowOff>30480</xdr:rowOff>
        </xdr:to>
        <xdr:sp macro="" textlink="">
          <xdr:nvSpPr>
            <xdr:cNvPr id="11287" name="Option Button 23" hidden="1">
              <a:extLst>
                <a:ext uri="{63B3BB69-23CF-44E3-9099-C40C66FF867C}">
                  <a14:compatExt spid="_x0000_s112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7620</xdr:rowOff>
        </xdr:from>
        <xdr:to>
          <xdr:col>13</xdr:col>
          <xdr:colOff>91440</xdr:colOff>
          <xdr:row>25</xdr:row>
          <xdr:rowOff>30480</xdr:rowOff>
        </xdr:to>
        <xdr:sp macro="" textlink="">
          <xdr:nvSpPr>
            <xdr:cNvPr id="11288" name="Option Button 24" hidden="1">
              <a:extLst>
                <a:ext uri="{63B3BB69-23CF-44E3-9099-C40C66FF867C}">
                  <a14:compatExt spid="_x0000_s112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7620</xdr:rowOff>
        </xdr:from>
        <xdr:to>
          <xdr:col>13</xdr:col>
          <xdr:colOff>91440</xdr:colOff>
          <xdr:row>26</xdr:row>
          <xdr:rowOff>30480</xdr:rowOff>
        </xdr:to>
        <xdr:sp macro="" textlink="">
          <xdr:nvSpPr>
            <xdr:cNvPr id="11289" name="Option Button 25" hidden="1">
              <a:extLst>
                <a:ext uri="{63B3BB69-23CF-44E3-9099-C40C66FF867C}">
                  <a14:compatExt spid="_x0000_s112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26</xdr:row>
          <xdr:rowOff>7620</xdr:rowOff>
        </xdr:from>
        <xdr:to>
          <xdr:col>13</xdr:col>
          <xdr:colOff>91440</xdr:colOff>
          <xdr:row>27</xdr:row>
          <xdr:rowOff>30480</xdr:rowOff>
        </xdr:to>
        <xdr:sp macro="" textlink="">
          <xdr:nvSpPr>
            <xdr:cNvPr id="11290" name="Option Button 26" hidden="1">
              <a:extLst>
                <a:ext uri="{63B3BB69-23CF-44E3-9099-C40C66FF867C}">
                  <a14:compatExt spid="_x0000_s112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27</xdr:row>
          <xdr:rowOff>7620</xdr:rowOff>
        </xdr:from>
        <xdr:to>
          <xdr:col>13</xdr:col>
          <xdr:colOff>91440</xdr:colOff>
          <xdr:row>28</xdr:row>
          <xdr:rowOff>30480</xdr:rowOff>
        </xdr:to>
        <xdr:sp macro="" textlink="">
          <xdr:nvSpPr>
            <xdr:cNvPr id="11291" name="Option Button 27" hidden="1">
              <a:extLst>
                <a:ext uri="{63B3BB69-23CF-44E3-9099-C40C66FF867C}">
                  <a14:compatExt spid="_x0000_s112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7620</xdr:rowOff>
        </xdr:from>
        <xdr:to>
          <xdr:col>13</xdr:col>
          <xdr:colOff>91440</xdr:colOff>
          <xdr:row>29</xdr:row>
          <xdr:rowOff>30480</xdr:rowOff>
        </xdr:to>
        <xdr:sp macro="" textlink="">
          <xdr:nvSpPr>
            <xdr:cNvPr id="11292" name="Option Button 28" hidden="1">
              <a:extLst>
                <a:ext uri="{63B3BB69-23CF-44E3-9099-C40C66FF867C}">
                  <a14:compatExt spid="_x0000_s112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7620</xdr:rowOff>
        </xdr:from>
        <xdr:to>
          <xdr:col>13</xdr:col>
          <xdr:colOff>91440</xdr:colOff>
          <xdr:row>30</xdr:row>
          <xdr:rowOff>30480</xdr:rowOff>
        </xdr:to>
        <xdr:sp macro="" textlink="">
          <xdr:nvSpPr>
            <xdr:cNvPr id="11293" name="Option Button 29" hidden="1">
              <a:extLst>
                <a:ext uri="{63B3BB69-23CF-44E3-9099-C40C66FF867C}">
                  <a14:compatExt spid="_x0000_s112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7620</xdr:rowOff>
        </xdr:from>
        <xdr:to>
          <xdr:col>13</xdr:col>
          <xdr:colOff>91440</xdr:colOff>
          <xdr:row>31</xdr:row>
          <xdr:rowOff>30480</xdr:rowOff>
        </xdr:to>
        <xdr:sp macro="" textlink="">
          <xdr:nvSpPr>
            <xdr:cNvPr id="11294" name="Option Button 30" hidden="1">
              <a:extLst>
                <a:ext uri="{63B3BB69-23CF-44E3-9099-C40C66FF867C}">
                  <a14:compatExt spid="_x0000_s112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31</xdr:row>
          <xdr:rowOff>7620</xdr:rowOff>
        </xdr:from>
        <xdr:to>
          <xdr:col>13</xdr:col>
          <xdr:colOff>91440</xdr:colOff>
          <xdr:row>32</xdr:row>
          <xdr:rowOff>30480</xdr:rowOff>
        </xdr:to>
        <xdr:sp macro="" textlink="">
          <xdr:nvSpPr>
            <xdr:cNvPr id="11295" name="Option Button 31" hidden="1">
              <a:extLst>
                <a:ext uri="{63B3BB69-23CF-44E3-9099-C40C66FF867C}">
                  <a14:compatExt spid="_x0000_s112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xdr:row>
          <xdr:rowOff>7620</xdr:rowOff>
        </xdr:from>
        <xdr:to>
          <xdr:col>13</xdr:col>
          <xdr:colOff>91440</xdr:colOff>
          <xdr:row>33</xdr:row>
          <xdr:rowOff>30480</xdr:rowOff>
        </xdr:to>
        <xdr:sp macro="" textlink="">
          <xdr:nvSpPr>
            <xdr:cNvPr id="11296" name="Option Button 32" hidden="1">
              <a:extLst>
                <a:ext uri="{63B3BB69-23CF-44E3-9099-C40C66FF867C}">
                  <a14:compatExt spid="_x0000_s112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33</xdr:row>
          <xdr:rowOff>7620</xdr:rowOff>
        </xdr:from>
        <xdr:to>
          <xdr:col>13</xdr:col>
          <xdr:colOff>91440</xdr:colOff>
          <xdr:row>34</xdr:row>
          <xdr:rowOff>30480</xdr:rowOff>
        </xdr:to>
        <xdr:sp macro="" textlink="">
          <xdr:nvSpPr>
            <xdr:cNvPr id="11297" name="Option Button 33" hidden="1">
              <a:extLst>
                <a:ext uri="{63B3BB69-23CF-44E3-9099-C40C66FF867C}">
                  <a14:compatExt spid="_x0000_s112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34</xdr:row>
          <xdr:rowOff>7620</xdr:rowOff>
        </xdr:from>
        <xdr:to>
          <xdr:col>13</xdr:col>
          <xdr:colOff>91440</xdr:colOff>
          <xdr:row>35</xdr:row>
          <xdr:rowOff>30480</xdr:rowOff>
        </xdr:to>
        <xdr:sp macro="" textlink="">
          <xdr:nvSpPr>
            <xdr:cNvPr id="11298" name="Option Button 34" hidden="1">
              <a:extLst>
                <a:ext uri="{63B3BB69-23CF-44E3-9099-C40C66FF867C}">
                  <a14:compatExt spid="_x0000_s112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35</xdr:row>
          <xdr:rowOff>7620</xdr:rowOff>
        </xdr:from>
        <xdr:to>
          <xdr:col>13</xdr:col>
          <xdr:colOff>91440</xdr:colOff>
          <xdr:row>36</xdr:row>
          <xdr:rowOff>30480</xdr:rowOff>
        </xdr:to>
        <xdr:sp macro="" textlink="">
          <xdr:nvSpPr>
            <xdr:cNvPr id="11299" name="Option Button 35" hidden="1">
              <a:extLst>
                <a:ext uri="{63B3BB69-23CF-44E3-9099-C40C66FF867C}">
                  <a14:compatExt spid="_x0000_s112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36</xdr:row>
          <xdr:rowOff>7620</xdr:rowOff>
        </xdr:from>
        <xdr:to>
          <xdr:col>13</xdr:col>
          <xdr:colOff>91440</xdr:colOff>
          <xdr:row>37</xdr:row>
          <xdr:rowOff>30480</xdr:rowOff>
        </xdr:to>
        <xdr:sp macro="" textlink="">
          <xdr:nvSpPr>
            <xdr:cNvPr id="11300" name="Option Button 36" hidden="1">
              <a:extLst>
                <a:ext uri="{63B3BB69-23CF-44E3-9099-C40C66FF867C}">
                  <a14:compatExt spid="_x0000_s113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37</xdr:row>
          <xdr:rowOff>7620</xdr:rowOff>
        </xdr:from>
        <xdr:to>
          <xdr:col>13</xdr:col>
          <xdr:colOff>91440</xdr:colOff>
          <xdr:row>38</xdr:row>
          <xdr:rowOff>30480</xdr:rowOff>
        </xdr:to>
        <xdr:sp macro="" textlink="">
          <xdr:nvSpPr>
            <xdr:cNvPr id="11301" name="Option Button 37" hidden="1">
              <a:extLst>
                <a:ext uri="{63B3BB69-23CF-44E3-9099-C40C66FF867C}">
                  <a14:compatExt spid="_x0000_s113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7620</xdr:rowOff>
        </xdr:from>
        <xdr:to>
          <xdr:col>13</xdr:col>
          <xdr:colOff>91440</xdr:colOff>
          <xdr:row>39</xdr:row>
          <xdr:rowOff>30480</xdr:rowOff>
        </xdr:to>
        <xdr:sp macro="" textlink="">
          <xdr:nvSpPr>
            <xdr:cNvPr id="11302" name="Option Button 38" hidden="1">
              <a:extLst>
                <a:ext uri="{63B3BB69-23CF-44E3-9099-C40C66FF867C}">
                  <a14:compatExt spid="_x0000_s113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7620</xdr:rowOff>
        </xdr:from>
        <xdr:to>
          <xdr:col>13</xdr:col>
          <xdr:colOff>91440</xdr:colOff>
          <xdr:row>40</xdr:row>
          <xdr:rowOff>30480</xdr:rowOff>
        </xdr:to>
        <xdr:sp macro="" textlink="">
          <xdr:nvSpPr>
            <xdr:cNvPr id="11303" name="Option Button 39" hidden="1">
              <a:extLst>
                <a:ext uri="{63B3BB69-23CF-44E3-9099-C40C66FF867C}">
                  <a14:compatExt spid="_x0000_s113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40</xdr:row>
          <xdr:rowOff>7620</xdr:rowOff>
        </xdr:from>
        <xdr:to>
          <xdr:col>13</xdr:col>
          <xdr:colOff>91440</xdr:colOff>
          <xdr:row>41</xdr:row>
          <xdr:rowOff>30480</xdr:rowOff>
        </xdr:to>
        <xdr:sp macro="" textlink="">
          <xdr:nvSpPr>
            <xdr:cNvPr id="11304" name="Option Button 40" hidden="1">
              <a:extLst>
                <a:ext uri="{63B3BB69-23CF-44E3-9099-C40C66FF867C}">
                  <a14:compatExt spid="_x0000_s113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7620</xdr:rowOff>
        </xdr:from>
        <xdr:to>
          <xdr:col>13</xdr:col>
          <xdr:colOff>91440</xdr:colOff>
          <xdr:row>42</xdr:row>
          <xdr:rowOff>30480</xdr:rowOff>
        </xdr:to>
        <xdr:sp macro="" textlink="">
          <xdr:nvSpPr>
            <xdr:cNvPr id="11305" name="Option Button 41" hidden="1">
              <a:extLst>
                <a:ext uri="{63B3BB69-23CF-44E3-9099-C40C66FF867C}">
                  <a14:compatExt spid="_x0000_s113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42</xdr:row>
          <xdr:rowOff>7620</xdr:rowOff>
        </xdr:from>
        <xdr:to>
          <xdr:col>13</xdr:col>
          <xdr:colOff>91440</xdr:colOff>
          <xdr:row>43</xdr:row>
          <xdr:rowOff>30480</xdr:rowOff>
        </xdr:to>
        <xdr:sp macro="" textlink="">
          <xdr:nvSpPr>
            <xdr:cNvPr id="11306" name="Option Button 42" hidden="1">
              <a:extLst>
                <a:ext uri="{63B3BB69-23CF-44E3-9099-C40C66FF867C}">
                  <a14:compatExt spid="_x0000_s113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43</xdr:row>
          <xdr:rowOff>7620</xdr:rowOff>
        </xdr:from>
        <xdr:to>
          <xdr:col>13</xdr:col>
          <xdr:colOff>91440</xdr:colOff>
          <xdr:row>44</xdr:row>
          <xdr:rowOff>30480</xdr:rowOff>
        </xdr:to>
        <xdr:sp macro="" textlink="">
          <xdr:nvSpPr>
            <xdr:cNvPr id="11307" name="Option Button 43" hidden="1">
              <a:extLst>
                <a:ext uri="{63B3BB69-23CF-44E3-9099-C40C66FF867C}">
                  <a14:compatExt spid="_x0000_s113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44</xdr:row>
          <xdr:rowOff>7620</xdr:rowOff>
        </xdr:from>
        <xdr:to>
          <xdr:col>13</xdr:col>
          <xdr:colOff>91440</xdr:colOff>
          <xdr:row>45</xdr:row>
          <xdr:rowOff>30480</xdr:rowOff>
        </xdr:to>
        <xdr:sp macro="" textlink="">
          <xdr:nvSpPr>
            <xdr:cNvPr id="11308" name="Option Button 44" hidden="1">
              <a:extLst>
                <a:ext uri="{63B3BB69-23CF-44E3-9099-C40C66FF867C}">
                  <a14:compatExt spid="_x0000_s113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45</xdr:row>
          <xdr:rowOff>7620</xdr:rowOff>
        </xdr:from>
        <xdr:to>
          <xdr:col>13</xdr:col>
          <xdr:colOff>91440</xdr:colOff>
          <xdr:row>46</xdr:row>
          <xdr:rowOff>30480</xdr:rowOff>
        </xdr:to>
        <xdr:sp macro="" textlink="">
          <xdr:nvSpPr>
            <xdr:cNvPr id="11309" name="Option Button 45" hidden="1">
              <a:extLst>
                <a:ext uri="{63B3BB69-23CF-44E3-9099-C40C66FF867C}">
                  <a14:compatExt spid="_x0000_s113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7620</xdr:rowOff>
        </xdr:from>
        <xdr:to>
          <xdr:col>13</xdr:col>
          <xdr:colOff>91440</xdr:colOff>
          <xdr:row>47</xdr:row>
          <xdr:rowOff>30480</xdr:rowOff>
        </xdr:to>
        <xdr:sp macro="" textlink="">
          <xdr:nvSpPr>
            <xdr:cNvPr id="11310" name="Option Button 46" hidden="1">
              <a:extLst>
                <a:ext uri="{63B3BB69-23CF-44E3-9099-C40C66FF867C}">
                  <a14:compatExt spid="_x0000_s113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47</xdr:row>
          <xdr:rowOff>7620</xdr:rowOff>
        </xdr:from>
        <xdr:to>
          <xdr:col>13</xdr:col>
          <xdr:colOff>91440</xdr:colOff>
          <xdr:row>48</xdr:row>
          <xdr:rowOff>30480</xdr:rowOff>
        </xdr:to>
        <xdr:sp macro="" textlink="">
          <xdr:nvSpPr>
            <xdr:cNvPr id="11311" name="Option Button 47" hidden="1">
              <a:extLst>
                <a:ext uri="{63B3BB69-23CF-44E3-9099-C40C66FF867C}">
                  <a14:compatExt spid="_x0000_s113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48</xdr:row>
          <xdr:rowOff>7620</xdr:rowOff>
        </xdr:from>
        <xdr:to>
          <xdr:col>13</xdr:col>
          <xdr:colOff>91440</xdr:colOff>
          <xdr:row>49</xdr:row>
          <xdr:rowOff>30480</xdr:rowOff>
        </xdr:to>
        <xdr:sp macro="" textlink="">
          <xdr:nvSpPr>
            <xdr:cNvPr id="11312" name="Option Button 48" hidden="1">
              <a:extLst>
                <a:ext uri="{63B3BB69-23CF-44E3-9099-C40C66FF867C}">
                  <a14:compatExt spid="_x0000_s113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49</xdr:row>
          <xdr:rowOff>7620</xdr:rowOff>
        </xdr:from>
        <xdr:to>
          <xdr:col>13</xdr:col>
          <xdr:colOff>91440</xdr:colOff>
          <xdr:row>50</xdr:row>
          <xdr:rowOff>30480</xdr:rowOff>
        </xdr:to>
        <xdr:sp macro="" textlink="">
          <xdr:nvSpPr>
            <xdr:cNvPr id="11313" name="Option Button 49" hidden="1">
              <a:extLst>
                <a:ext uri="{63B3BB69-23CF-44E3-9099-C40C66FF867C}">
                  <a14:compatExt spid="_x0000_s113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50</xdr:row>
          <xdr:rowOff>7620</xdr:rowOff>
        </xdr:from>
        <xdr:to>
          <xdr:col>13</xdr:col>
          <xdr:colOff>91440</xdr:colOff>
          <xdr:row>51</xdr:row>
          <xdr:rowOff>30480</xdr:rowOff>
        </xdr:to>
        <xdr:sp macro="" textlink="">
          <xdr:nvSpPr>
            <xdr:cNvPr id="11314" name="Option Button 50" hidden="1">
              <a:extLst>
                <a:ext uri="{63B3BB69-23CF-44E3-9099-C40C66FF867C}">
                  <a14:compatExt spid="_x0000_s113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51</xdr:row>
          <xdr:rowOff>7620</xdr:rowOff>
        </xdr:from>
        <xdr:to>
          <xdr:col>13</xdr:col>
          <xdr:colOff>91440</xdr:colOff>
          <xdr:row>52</xdr:row>
          <xdr:rowOff>30480</xdr:rowOff>
        </xdr:to>
        <xdr:sp macro="" textlink="">
          <xdr:nvSpPr>
            <xdr:cNvPr id="11315" name="Option Button 51" hidden="1">
              <a:extLst>
                <a:ext uri="{63B3BB69-23CF-44E3-9099-C40C66FF867C}">
                  <a14:compatExt spid="_x0000_s113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52</xdr:row>
          <xdr:rowOff>7620</xdr:rowOff>
        </xdr:from>
        <xdr:to>
          <xdr:col>13</xdr:col>
          <xdr:colOff>91440</xdr:colOff>
          <xdr:row>53</xdr:row>
          <xdr:rowOff>30480</xdr:rowOff>
        </xdr:to>
        <xdr:sp macro="" textlink="">
          <xdr:nvSpPr>
            <xdr:cNvPr id="11316" name="Option Button 52" hidden="1">
              <a:extLst>
                <a:ext uri="{63B3BB69-23CF-44E3-9099-C40C66FF867C}">
                  <a14:compatExt spid="_x0000_s113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53</xdr:row>
          <xdr:rowOff>7620</xdr:rowOff>
        </xdr:from>
        <xdr:to>
          <xdr:col>13</xdr:col>
          <xdr:colOff>91440</xdr:colOff>
          <xdr:row>54</xdr:row>
          <xdr:rowOff>30480</xdr:rowOff>
        </xdr:to>
        <xdr:sp macro="" textlink="">
          <xdr:nvSpPr>
            <xdr:cNvPr id="11317" name="Option Button 53" hidden="1">
              <a:extLst>
                <a:ext uri="{63B3BB69-23CF-44E3-9099-C40C66FF867C}">
                  <a14:compatExt spid="_x0000_s113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54</xdr:row>
          <xdr:rowOff>7620</xdr:rowOff>
        </xdr:from>
        <xdr:to>
          <xdr:col>13</xdr:col>
          <xdr:colOff>91440</xdr:colOff>
          <xdr:row>55</xdr:row>
          <xdr:rowOff>30480</xdr:rowOff>
        </xdr:to>
        <xdr:sp macro="" textlink="">
          <xdr:nvSpPr>
            <xdr:cNvPr id="11318" name="Option Button 54" hidden="1">
              <a:extLst>
                <a:ext uri="{63B3BB69-23CF-44E3-9099-C40C66FF867C}">
                  <a14:compatExt spid="_x0000_s113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55</xdr:row>
          <xdr:rowOff>7620</xdr:rowOff>
        </xdr:from>
        <xdr:to>
          <xdr:col>13</xdr:col>
          <xdr:colOff>91440</xdr:colOff>
          <xdr:row>56</xdr:row>
          <xdr:rowOff>30480</xdr:rowOff>
        </xdr:to>
        <xdr:sp macro="" textlink="">
          <xdr:nvSpPr>
            <xdr:cNvPr id="11319" name="Option Button 55" hidden="1">
              <a:extLst>
                <a:ext uri="{63B3BB69-23CF-44E3-9099-C40C66FF867C}">
                  <a14:compatExt spid="_x0000_s113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56</xdr:row>
          <xdr:rowOff>7620</xdr:rowOff>
        </xdr:from>
        <xdr:to>
          <xdr:col>13</xdr:col>
          <xdr:colOff>91440</xdr:colOff>
          <xdr:row>57</xdr:row>
          <xdr:rowOff>30480</xdr:rowOff>
        </xdr:to>
        <xdr:sp macro="" textlink="">
          <xdr:nvSpPr>
            <xdr:cNvPr id="11320" name="Option Button 56" hidden="1">
              <a:extLst>
                <a:ext uri="{63B3BB69-23CF-44E3-9099-C40C66FF867C}">
                  <a14:compatExt spid="_x0000_s113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57</xdr:row>
          <xdr:rowOff>7620</xdr:rowOff>
        </xdr:from>
        <xdr:to>
          <xdr:col>13</xdr:col>
          <xdr:colOff>91440</xdr:colOff>
          <xdr:row>58</xdr:row>
          <xdr:rowOff>30480</xdr:rowOff>
        </xdr:to>
        <xdr:sp macro="" textlink="">
          <xdr:nvSpPr>
            <xdr:cNvPr id="11321" name="Option Button 57" hidden="1">
              <a:extLst>
                <a:ext uri="{63B3BB69-23CF-44E3-9099-C40C66FF867C}">
                  <a14:compatExt spid="_x0000_s113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58</xdr:row>
          <xdr:rowOff>7620</xdr:rowOff>
        </xdr:from>
        <xdr:to>
          <xdr:col>13</xdr:col>
          <xdr:colOff>91440</xdr:colOff>
          <xdr:row>59</xdr:row>
          <xdr:rowOff>30480</xdr:rowOff>
        </xdr:to>
        <xdr:sp macro="" textlink="">
          <xdr:nvSpPr>
            <xdr:cNvPr id="11322" name="Option Button 58" hidden="1">
              <a:extLst>
                <a:ext uri="{63B3BB69-23CF-44E3-9099-C40C66FF867C}">
                  <a14:compatExt spid="_x0000_s113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59</xdr:row>
          <xdr:rowOff>7620</xdr:rowOff>
        </xdr:from>
        <xdr:to>
          <xdr:col>13</xdr:col>
          <xdr:colOff>91440</xdr:colOff>
          <xdr:row>60</xdr:row>
          <xdr:rowOff>30480</xdr:rowOff>
        </xdr:to>
        <xdr:sp macro="" textlink="">
          <xdr:nvSpPr>
            <xdr:cNvPr id="11323" name="Option Button 59" hidden="1">
              <a:extLst>
                <a:ext uri="{63B3BB69-23CF-44E3-9099-C40C66FF867C}">
                  <a14:compatExt spid="_x0000_s113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60</xdr:row>
          <xdr:rowOff>7620</xdr:rowOff>
        </xdr:from>
        <xdr:to>
          <xdr:col>13</xdr:col>
          <xdr:colOff>91440</xdr:colOff>
          <xdr:row>61</xdr:row>
          <xdr:rowOff>7620</xdr:rowOff>
        </xdr:to>
        <xdr:sp macro="" textlink="">
          <xdr:nvSpPr>
            <xdr:cNvPr id="11324" name="Option Button 60" hidden="1">
              <a:extLst>
                <a:ext uri="{63B3BB69-23CF-44E3-9099-C40C66FF867C}">
                  <a14:compatExt spid="_x0000_s113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61</xdr:row>
          <xdr:rowOff>7620</xdr:rowOff>
        </xdr:from>
        <xdr:to>
          <xdr:col>13</xdr:col>
          <xdr:colOff>91440</xdr:colOff>
          <xdr:row>62</xdr:row>
          <xdr:rowOff>30480</xdr:rowOff>
        </xdr:to>
        <xdr:sp macro="" textlink="">
          <xdr:nvSpPr>
            <xdr:cNvPr id="11325" name="Option Button 61" hidden="1">
              <a:extLst>
                <a:ext uri="{63B3BB69-23CF-44E3-9099-C40C66FF867C}">
                  <a14:compatExt spid="_x0000_s113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62</xdr:row>
          <xdr:rowOff>7620</xdr:rowOff>
        </xdr:from>
        <xdr:to>
          <xdr:col>13</xdr:col>
          <xdr:colOff>91440</xdr:colOff>
          <xdr:row>63</xdr:row>
          <xdr:rowOff>30480</xdr:rowOff>
        </xdr:to>
        <xdr:sp macro="" textlink="">
          <xdr:nvSpPr>
            <xdr:cNvPr id="11326" name="Option Button 62" hidden="1">
              <a:extLst>
                <a:ext uri="{63B3BB69-23CF-44E3-9099-C40C66FF867C}">
                  <a14:compatExt spid="_x0000_s113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62</xdr:row>
          <xdr:rowOff>198120</xdr:rowOff>
        </xdr:from>
        <xdr:to>
          <xdr:col>13</xdr:col>
          <xdr:colOff>91440</xdr:colOff>
          <xdr:row>64</xdr:row>
          <xdr:rowOff>0</xdr:rowOff>
        </xdr:to>
        <xdr:sp macro="" textlink="">
          <xdr:nvSpPr>
            <xdr:cNvPr id="11327" name="Option Button 63" hidden="1">
              <a:extLst>
                <a:ext uri="{63B3BB69-23CF-44E3-9099-C40C66FF867C}">
                  <a14:compatExt spid="_x0000_s113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64</xdr:row>
          <xdr:rowOff>7620</xdr:rowOff>
        </xdr:from>
        <xdr:to>
          <xdr:col>13</xdr:col>
          <xdr:colOff>91440</xdr:colOff>
          <xdr:row>65</xdr:row>
          <xdr:rowOff>7620</xdr:rowOff>
        </xdr:to>
        <xdr:sp macro="" textlink="">
          <xdr:nvSpPr>
            <xdr:cNvPr id="11328" name="Option Button 64" hidden="1">
              <a:extLst>
                <a:ext uri="{63B3BB69-23CF-44E3-9099-C40C66FF867C}">
                  <a14:compatExt spid="_x0000_s113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65</xdr:row>
          <xdr:rowOff>7620</xdr:rowOff>
        </xdr:from>
        <xdr:to>
          <xdr:col>13</xdr:col>
          <xdr:colOff>91440</xdr:colOff>
          <xdr:row>66</xdr:row>
          <xdr:rowOff>7620</xdr:rowOff>
        </xdr:to>
        <xdr:sp macro="" textlink="">
          <xdr:nvSpPr>
            <xdr:cNvPr id="11329" name="Option Button 65" hidden="1">
              <a:extLst>
                <a:ext uri="{63B3BB69-23CF-44E3-9099-C40C66FF867C}">
                  <a14:compatExt spid="_x0000_s113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66</xdr:row>
          <xdr:rowOff>7620</xdr:rowOff>
        </xdr:from>
        <xdr:to>
          <xdr:col>13</xdr:col>
          <xdr:colOff>91440</xdr:colOff>
          <xdr:row>67</xdr:row>
          <xdr:rowOff>68580</xdr:rowOff>
        </xdr:to>
        <xdr:sp macro="" textlink="">
          <xdr:nvSpPr>
            <xdr:cNvPr id="11330" name="Option Button 66" hidden="1">
              <a:extLst>
                <a:ext uri="{63B3BB69-23CF-44E3-9099-C40C66FF867C}">
                  <a14:compatExt spid="_x0000_s11330"/>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1470660</xdr:colOff>
      <xdr:row>23</xdr:row>
      <xdr:rowOff>160020</xdr:rowOff>
    </xdr:from>
    <xdr:to>
      <xdr:col>0</xdr:col>
      <xdr:colOff>4594860</xdr:colOff>
      <xdr:row>23</xdr:row>
      <xdr:rowOff>160020</xdr:rowOff>
    </xdr:to>
    <xdr:sp macro="" textlink="">
      <xdr:nvSpPr>
        <xdr:cNvPr id="26669" name="Line -1023"/>
        <xdr:cNvSpPr>
          <a:spLocks noChangeShapeType="1"/>
        </xdr:cNvSpPr>
      </xdr:nvSpPr>
      <xdr:spPr bwMode="auto">
        <a:xfrm flipV="1">
          <a:off x="1470660" y="6682740"/>
          <a:ext cx="3124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1447800</xdr:colOff>
      <xdr:row>30</xdr:row>
      <xdr:rowOff>7620</xdr:rowOff>
    </xdr:from>
    <xdr:to>
      <xdr:col>0</xdr:col>
      <xdr:colOff>5029200</xdr:colOff>
      <xdr:row>30</xdr:row>
      <xdr:rowOff>7620</xdr:rowOff>
    </xdr:to>
    <xdr:sp macro="" textlink="">
      <xdr:nvSpPr>
        <xdr:cNvPr id="26670" name="Line -1022"/>
        <xdr:cNvSpPr>
          <a:spLocks noChangeShapeType="1"/>
        </xdr:cNvSpPr>
      </xdr:nvSpPr>
      <xdr:spPr bwMode="auto">
        <a:xfrm>
          <a:off x="1447800" y="8389620"/>
          <a:ext cx="35814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3177540</xdr:colOff>
      <xdr:row>26</xdr:row>
      <xdr:rowOff>297180</xdr:rowOff>
    </xdr:from>
    <xdr:to>
      <xdr:col>0</xdr:col>
      <xdr:colOff>4960620</xdr:colOff>
      <xdr:row>26</xdr:row>
      <xdr:rowOff>297180</xdr:rowOff>
    </xdr:to>
    <xdr:sp macro="" textlink="">
      <xdr:nvSpPr>
        <xdr:cNvPr id="26671" name="Line -1021"/>
        <xdr:cNvSpPr>
          <a:spLocks noChangeShapeType="1"/>
        </xdr:cNvSpPr>
      </xdr:nvSpPr>
      <xdr:spPr bwMode="auto">
        <a:xfrm>
          <a:off x="3177540" y="7322820"/>
          <a:ext cx="178308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3223260</xdr:colOff>
      <xdr:row>31</xdr:row>
      <xdr:rowOff>266700</xdr:rowOff>
    </xdr:from>
    <xdr:to>
      <xdr:col>0</xdr:col>
      <xdr:colOff>5273040</xdr:colOff>
      <xdr:row>31</xdr:row>
      <xdr:rowOff>266700</xdr:rowOff>
    </xdr:to>
    <xdr:sp macro="" textlink="">
      <xdr:nvSpPr>
        <xdr:cNvPr id="26672" name="Line -1019"/>
        <xdr:cNvSpPr>
          <a:spLocks noChangeShapeType="1"/>
        </xdr:cNvSpPr>
      </xdr:nvSpPr>
      <xdr:spPr bwMode="auto">
        <a:xfrm>
          <a:off x="3223260" y="8839200"/>
          <a:ext cx="204978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2331720</xdr:colOff>
      <xdr:row>0</xdr:row>
      <xdr:rowOff>83820</xdr:rowOff>
    </xdr:from>
    <xdr:to>
      <xdr:col>0</xdr:col>
      <xdr:colOff>3337560</xdr:colOff>
      <xdr:row>0</xdr:row>
      <xdr:rowOff>1226820</xdr:rowOff>
    </xdr:to>
    <xdr:pic>
      <xdr:nvPicPr>
        <xdr:cNvPr id="26673" name="Picture -101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1720" y="83820"/>
          <a:ext cx="100584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237</xdr:row>
          <xdr:rowOff>0</xdr:rowOff>
        </xdr:from>
        <xdr:to>
          <xdr:col>0</xdr:col>
          <xdr:colOff>1737360</xdr:colOff>
          <xdr:row>238</xdr:row>
          <xdr:rowOff>53340</xdr:rowOff>
        </xdr:to>
        <xdr:sp macro="" textlink="">
          <xdr:nvSpPr>
            <xdr:cNvPr id="16387" name="Control 3" hidden="1">
              <a:extLst>
                <a:ext uri="{63B3BB69-23CF-44E3-9099-C40C66FF867C}">
                  <a14:compatExt spid="_x0000_s163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237</xdr:row>
          <xdr:rowOff>0</xdr:rowOff>
        </xdr:from>
        <xdr:to>
          <xdr:col>1</xdr:col>
          <xdr:colOff>91440</xdr:colOff>
          <xdr:row>238</xdr:row>
          <xdr:rowOff>53340</xdr:rowOff>
        </xdr:to>
        <xdr:sp macro="" textlink="">
          <xdr:nvSpPr>
            <xdr:cNvPr id="16389" name="Control 5" hidden="1">
              <a:extLst>
                <a:ext uri="{63B3BB69-23CF-44E3-9099-C40C66FF867C}">
                  <a14:compatExt spid="_x0000_s163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237</xdr:row>
          <xdr:rowOff>0</xdr:rowOff>
        </xdr:from>
        <xdr:to>
          <xdr:col>0</xdr:col>
          <xdr:colOff>914400</xdr:colOff>
          <xdr:row>238</xdr:row>
          <xdr:rowOff>53340</xdr:rowOff>
        </xdr:to>
        <xdr:sp macro="" textlink="">
          <xdr:nvSpPr>
            <xdr:cNvPr id="16390" name="Control 6" hidden="1">
              <a:extLst>
                <a:ext uri="{63B3BB69-23CF-44E3-9099-C40C66FF867C}">
                  <a14:compatExt spid="_x0000_s163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237</xdr:row>
          <xdr:rowOff>0</xdr:rowOff>
        </xdr:from>
        <xdr:to>
          <xdr:col>0</xdr:col>
          <xdr:colOff>914400</xdr:colOff>
          <xdr:row>238</xdr:row>
          <xdr:rowOff>53340</xdr:rowOff>
        </xdr:to>
        <xdr:sp macro="" textlink="">
          <xdr:nvSpPr>
            <xdr:cNvPr id="16391" name="Control 7" hidden="1">
              <a:extLst>
                <a:ext uri="{63B3BB69-23CF-44E3-9099-C40C66FF867C}">
                  <a14:compatExt spid="_x0000_s163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237</xdr:row>
          <xdr:rowOff>0</xdr:rowOff>
        </xdr:from>
        <xdr:to>
          <xdr:col>2</xdr:col>
          <xdr:colOff>304800</xdr:colOff>
          <xdr:row>238</xdr:row>
          <xdr:rowOff>53340</xdr:rowOff>
        </xdr:to>
        <xdr:sp macro="" textlink="">
          <xdr:nvSpPr>
            <xdr:cNvPr id="16392" name="Control 8" hidden="1">
              <a:extLst>
                <a:ext uri="{63B3BB69-23CF-44E3-9099-C40C66FF867C}">
                  <a14:compatExt spid="_x0000_s163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237</xdr:row>
          <xdr:rowOff>0</xdr:rowOff>
        </xdr:from>
        <xdr:to>
          <xdr:col>2</xdr:col>
          <xdr:colOff>304800</xdr:colOff>
          <xdr:row>238</xdr:row>
          <xdr:rowOff>53340</xdr:rowOff>
        </xdr:to>
        <xdr:sp macro="" textlink="">
          <xdr:nvSpPr>
            <xdr:cNvPr id="16393" name="Control 9" hidden="1">
              <a:extLst>
                <a:ext uri="{63B3BB69-23CF-44E3-9099-C40C66FF867C}">
                  <a14:compatExt spid="_x0000_s163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237</xdr:row>
          <xdr:rowOff>0</xdr:rowOff>
        </xdr:from>
        <xdr:to>
          <xdr:col>2</xdr:col>
          <xdr:colOff>304800</xdr:colOff>
          <xdr:row>238</xdr:row>
          <xdr:rowOff>53340</xdr:rowOff>
        </xdr:to>
        <xdr:sp macro="" textlink="">
          <xdr:nvSpPr>
            <xdr:cNvPr id="16394" name="Control 10" hidden="1">
              <a:extLst>
                <a:ext uri="{63B3BB69-23CF-44E3-9099-C40C66FF867C}">
                  <a14:compatExt spid="_x0000_s16394"/>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ABF%20Info\HR\Copy%20of%20E-Rec%20docu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E Recomend"/>
      <sheetName val="CIP codes"/>
      <sheetName val="Database"/>
      <sheetName val="setup"/>
      <sheetName val="Worksheet"/>
      <sheetName val="Worksheet K"/>
      <sheetName val="Clauses"/>
      <sheetName val="K"/>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3" Type="http://schemas.openxmlformats.org/officeDocument/2006/relationships/hyperlink" Target="http://www.hwtfc.org/" TargetMode="External"/><Relationship Id="rId18" Type="http://schemas.openxmlformats.org/officeDocument/2006/relationships/hyperlink" Target="http://www.nclabor.com/" TargetMode="External"/><Relationship Id="rId26" Type="http://schemas.openxmlformats.org/officeDocument/2006/relationships/hyperlink" Target="http://www.app.sboe.state.nc.us/" TargetMode="External"/><Relationship Id="rId39" Type="http://schemas.openxmlformats.org/officeDocument/2006/relationships/hyperlink" Target="http://www.ncsu.edu/" TargetMode="External"/><Relationship Id="rId21" Type="http://schemas.openxmlformats.org/officeDocument/2006/relationships/hyperlink" Target="http://www.ncccs.cc.nc.us/" TargetMode="External"/><Relationship Id="rId34" Type="http://schemas.openxmlformats.org/officeDocument/2006/relationships/hyperlink" Target="http://www.ecsu.edu/" TargetMode="External"/><Relationship Id="rId42" Type="http://schemas.openxmlformats.org/officeDocument/2006/relationships/hyperlink" Target="http://www.uncc.edu/" TargetMode="External"/><Relationship Id="rId47" Type="http://schemas.openxmlformats.org/officeDocument/2006/relationships/hyperlink" Target="http://www.wssu.edu/" TargetMode="External"/><Relationship Id="rId7" Type="http://schemas.openxmlformats.org/officeDocument/2006/relationships/hyperlink" Target="http://www.nccrimecontrol.org/" TargetMode="External"/><Relationship Id="rId2" Type="http://schemas.openxmlformats.org/officeDocument/2006/relationships/hyperlink" Target="http://www.oah.state.nc.us/" TargetMode="External"/><Relationship Id="rId16" Type="http://schemas.openxmlformats.org/officeDocument/2006/relationships/hyperlink" Target="http://www.ncdoj.com/" TargetMode="External"/><Relationship Id="rId29" Type="http://schemas.openxmlformats.org/officeDocument/2006/relationships/hyperlink" Target="http://www.nctreasurer.com/" TargetMode="External"/><Relationship Id="rId1" Type="http://schemas.openxmlformats.org/officeDocument/2006/relationships/hyperlink" Target="http://www.doa.state.nc.us/ethics" TargetMode="External"/><Relationship Id="rId6" Type="http://schemas.openxmlformats.org/officeDocument/2006/relationships/hyperlink" Target="http://www.doc.state.nc.us/" TargetMode="External"/><Relationship Id="rId11" Type="http://schemas.openxmlformats.org/officeDocument/2006/relationships/hyperlink" Target="http://www.osbm.state.nc.us/osbm/index.html" TargetMode="External"/><Relationship Id="rId24" Type="http://schemas.openxmlformats.org/officeDocument/2006/relationships/hyperlink" Target="http://www.dor.state.nc.us/" TargetMode="External"/><Relationship Id="rId32" Type="http://schemas.openxmlformats.org/officeDocument/2006/relationships/hyperlink" Target="http://www.appstate.edu/" TargetMode="External"/><Relationship Id="rId37" Type="http://schemas.openxmlformats.org/officeDocument/2006/relationships/hyperlink" Target="http://www.nccu.edu/" TargetMode="External"/><Relationship Id="rId40" Type="http://schemas.openxmlformats.org/officeDocument/2006/relationships/hyperlink" Target="http://www.unca.edu/" TargetMode="External"/><Relationship Id="rId45" Type="http://schemas.openxmlformats.org/officeDocument/2006/relationships/hyperlink" Target="http://www.uncwil.edu/" TargetMode="External"/><Relationship Id="rId5" Type="http://schemas.openxmlformats.org/officeDocument/2006/relationships/hyperlink" Target="http://www.ncosc.net/" TargetMode="External"/><Relationship Id="rId15" Type="http://schemas.openxmlformats.org/officeDocument/2006/relationships/hyperlink" Target="http://www.ncdoi.com/" TargetMode="External"/><Relationship Id="rId23" Type="http://schemas.openxmlformats.org/officeDocument/2006/relationships/hyperlink" Target="http://www.dpi.state.nc.us/" TargetMode="External"/><Relationship Id="rId28" Type="http://schemas.openxmlformats.org/officeDocument/2006/relationships/hyperlink" Target="http://www.dot.state.nc.us/" TargetMode="External"/><Relationship Id="rId36" Type="http://schemas.openxmlformats.org/officeDocument/2006/relationships/hyperlink" Target="http://www.ncat.edu/" TargetMode="External"/><Relationship Id="rId10" Type="http://schemas.openxmlformats.org/officeDocument/2006/relationships/hyperlink" Target="http://www.governor.state.nc.us/" TargetMode="External"/><Relationship Id="rId19" Type="http://schemas.openxmlformats.org/officeDocument/2006/relationships/hyperlink" Target="http://www.ltgov.state.nc.us/" TargetMode="External"/><Relationship Id="rId31" Type="http://schemas.openxmlformats.org/officeDocument/2006/relationships/hyperlink" Target="http://www.nccourts.org/" TargetMode="External"/><Relationship Id="rId44" Type="http://schemas.openxmlformats.org/officeDocument/2006/relationships/hyperlink" Target="http://www.uncp.edu/" TargetMode="External"/><Relationship Id="rId4" Type="http://schemas.openxmlformats.org/officeDocument/2006/relationships/hyperlink" Target="http://www.nccommerce.com/" TargetMode="External"/><Relationship Id="rId9" Type="http://schemas.openxmlformats.org/officeDocument/2006/relationships/hyperlink" Target="http://www.enr.state.nc.us/" TargetMode="External"/><Relationship Id="rId14" Type="http://schemas.openxmlformats.org/officeDocument/2006/relationships/hyperlink" Target="http://www.dhhs.state.nc.us/" TargetMode="External"/><Relationship Id="rId22" Type="http://schemas.openxmlformats.org/officeDocument/2006/relationships/hyperlink" Target="http://www.osp.state.nc.us/ExternalHome/index.htm" TargetMode="External"/><Relationship Id="rId27" Type="http://schemas.openxmlformats.org/officeDocument/2006/relationships/hyperlink" Target="http://statehealthplan.state.nc.us/" TargetMode="External"/><Relationship Id="rId30" Type="http://schemas.openxmlformats.org/officeDocument/2006/relationships/hyperlink" Target="http://www.ncleg.net/" TargetMode="External"/><Relationship Id="rId35" Type="http://schemas.openxmlformats.org/officeDocument/2006/relationships/hyperlink" Target="http://www.uncfsu.edu/" TargetMode="External"/><Relationship Id="rId43" Type="http://schemas.openxmlformats.org/officeDocument/2006/relationships/hyperlink" Target="http://www.uncg.edu/" TargetMode="External"/><Relationship Id="rId8" Type="http://schemas.openxmlformats.org/officeDocument/2006/relationships/hyperlink" Target="http://www.ncdcr.gov/" TargetMode="External"/><Relationship Id="rId3" Type="http://schemas.openxmlformats.org/officeDocument/2006/relationships/hyperlink" Target="http://www.ncauditor.net/" TargetMode="External"/><Relationship Id="rId12" Type="http://schemas.openxmlformats.org/officeDocument/2006/relationships/hyperlink" Target="http://www.its.state.nc.us/" TargetMode="External"/><Relationship Id="rId17" Type="http://schemas.openxmlformats.org/officeDocument/2006/relationships/hyperlink" Target="http://www.juvjus.state.nc.us/" TargetMode="External"/><Relationship Id="rId25" Type="http://schemas.openxmlformats.org/officeDocument/2006/relationships/hyperlink" Target="http://www.secstate.state.nc.us/" TargetMode="External"/><Relationship Id="rId33" Type="http://schemas.openxmlformats.org/officeDocument/2006/relationships/hyperlink" Target="http://www.ecu.edu/" TargetMode="External"/><Relationship Id="rId38" Type="http://schemas.openxmlformats.org/officeDocument/2006/relationships/hyperlink" Target="http://www.ncarts.edu/" TargetMode="External"/><Relationship Id="rId46" Type="http://schemas.openxmlformats.org/officeDocument/2006/relationships/hyperlink" Target="http://www.wcu.edu/" TargetMode="External"/><Relationship Id="rId20" Type="http://schemas.openxmlformats.org/officeDocument/2006/relationships/hyperlink" Target="http://www.nursenc.org/" TargetMode="External"/><Relationship Id="rId41" Type="http://schemas.openxmlformats.org/officeDocument/2006/relationships/hyperlink" Target="http://www.unc.edu/" TargetMode="External"/></Relationships>
</file>

<file path=xl/worksheets/_rels/sheet5.xml.rels><?xml version="1.0" encoding="UTF-8" standalone="yes"?>
<Relationships xmlns="http://schemas.openxmlformats.org/package/2006/relationships"><Relationship Id="rId26" Type="http://schemas.openxmlformats.org/officeDocument/2006/relationships/ctrlProp" Target="../ctrlProps/ctrlProp30.xml"/><Relationship Id="rId21" Type="http://schemas.openxmlformats.org/officeDocument/2006/relationships/ctrlProp" Target="../ctrlProps/ctrlProp25.xml"/><Relationship Id="rId34" Type="http://schemas.openxmlformats.org/officeDocument/2006/relationships/ctrlProp" Target="../ctrlProps/ctrlProp38.xml"/><Relationship Id="rId42" Type="http://schemas.openxmlformats.org/officeDocument/2006/relationships/ctrlProp" Target="../ctrlProps/ctrlProp46.xml"/><Relationship Id="rId47" Type="http://schemas.openxmlformats.org/officeDocument/2006/relationships/ctrlProp" Target="../ctrlProps/ctrlProp51.xml"/><Relationship Id="rId50" Type="http://schemas.openxmlformats.org/officeDocument/2006/relationships/ctrlProp" Target="../ctrlProps/ctrlProp54.xml"/><Relationship Id="rId55" Type="http://schemas.openxmlformats.org/officeDocument/2006/relationships/ctrlProp" Target="../ctrlProps/ctrlProp59.xml"/><Relationship Id="rId63" Type="http://schemas.openxmlformats.org/officeDocument/2006/relationships/ctrlProp" Target="../ctrlProps/ctrlProp67.xml"/><Relationship Id="rId68" Type="http://schemas.openxmlformats.org/officeDocument/2006/relationships/ctrlProp" Target="../ctrlProps/ctrlProp72.xml"/><Relationship Id="rId7" Type="http://schemas.openxmlformats.org/officeDocument/2006/relationships/ctrlProp" Target="../ctrlProps/ctrlProp11.xml"/><Relationship Id="rId2" Type="http://schemas.openxmlformats.org/officeDocument/2006/relationships/vmlDrawing" Target="../drawings/vmlDrawing3.vml"/><Relationship Id="rId16" Type="http://schemas.openxmlformats.org/officeDocument/2006/relationships/ctrlProp" Target="../ctrlProps/ctrlProp20.xml"/><Relationship Id="rId29" Type="http://schemas.openxmlformats.org/officeDocument/2006/relationships/ctrlProp" Target="../ctrlProps/ctrlProp33.xml"/><Relationship Id="rId11" Type="http://schemas.openxmlformats.org/officeDocument/2006/relationships/ctrlProp" Target="../ctrlProps/ctrlProp15.xml"/><Relationship Id="rId24" Type="http://schemas.openxmlformats.org/officeDocument/2006/relationships/ctrlProp" Target="../ctrlProps/ctrlProp28.xml"/><Relationship Id="rId32" Type="http://schemas.openxmlformats.org/officeDocument/2006/relationships/ctrlProp" Target="../ctrlProps/ctrlProp36.xml"/><Relationship Id="rId37" Type="http://schemas.openxmlformats.org/officeDocument/2006/relationships/ctrlProp" Target="../ctrlProps/ctrlProp41.xml"/><Relationship Id="rId40" Type="http://schemas.openxmlformats.org/officeDocument/2006/relationships/ctrlProp" Target="../ctrlProps/ctrlProp44.xml"/><Relationship Id="rId45" Type="http://schemas.openxmlformats.org/officeDocument/2006/relationships/ctrlProp" Target="../ctrlProps/ctrlProp49.xml"/><Relationship Id="rId53" Type="http://schemas.openxmlformats.org/officeDocument/2006/relationships/ctrlProp" Target="../ctrlProps/ctrlProp57.xml"/><Relationship Id="rId58" Type="http://schemas.openxmlformats.org/officeDocument/2006/relationships/ctrlProp" Target="../ctrlProps/ctrlProp62.xml"/><Relationship Id="rId66" Type="http://schemas.openxmlformats.org/officeDocument/2006/relationships/ctrlProp" Target="../ctrlProps/ctrlProp70.xml"/><Relationship Id="rId5" Type="http://schemas.openxmlformats.org/officeDocument/2006/relationships/ctrlProp" Target="../ctrlProps/ctrlProp9.xml"/><Relationship Id="rId61" Type="http://schemas.openxmlformats.org/officeDocument/2006/relationships/ctrlProp" Target="../ctrlProps/ctrlProp65.xml"/><Relationship Id="rId19" Type="http://schemas.openxmlformats.org/officeDocument/2006/relationships/ctrlProp" Target="../ctrlProps/ctrlProp23.xml"/><Relationship Id="rId14" Type="http://schemas.openxmlformats.org/officeDocument/2006/relationships/ctrlProp" Target="../ctrlProps/ctrlProp18.xml"/><Relationship Id="rId22" Type="http://schemas.openxmlformats.org/officeDocument/2006/relationships/ctrlProp" Target="../ctrlProps/ctrlProp26.xml"/><Relationship Id="rId27" Type="http://schemas.openxmlformats.org/officeDocument/2006/relationships/ctrlProp" Target="../ctrlProps/ctrlProp31.xml"/><Relationship Id="rId30" Type="http://schemas.openxmlformats.org/officeDocument/2006/relationships/ctrlProp" Target="../ctrlProps/ctrlProp34.xml"/><Relationship Id="rId35" Type="http://schemas.openxmlformats.org/officeDocument/2006/relationships/ctrlProp" Target="../ctrlProps/ctrlProp39.xml"/><Relationship Id="rId43" Type="http://schemas.openxmlformats.org/officeDocument/2006/relationships/ctrlProp" Target="../ctrlProps/ctrlProp47.xml"/><Relationship Id="rId48" Type="http://schemas.openxmlformats.org/officeDocument/2006/relationships/ctrlProp" Target="../ctrlProps/ctrlProp52.xml"/><Relationship Id="rId56" Type="http://schemas.openxmlformats.org/officeDocument/2006/relationships/ctrlProp" Target="../ctrlProps/ctrlProp60.xml"/><Relationship Id="rId64" Type="http://schemas.openxmlformats.org/officeDocument/2006/relationships/ctrlProp" Target="../ctrlProps/ctrlProp68.xml"/><Relationship Id="rId8" Type="http://schemas.openxmlformats.org/officeDocument/2006/relationships/ctrlProp" Target="../ctrlProps/ctrlProp12.xml"/><Relationship Id="rId51" Type="http://schemas.openxmlformats.org/officeDocument/2006/relationships/ctrlProp" Target="../ctrlProps/ctrlProp55.xml"/><Relationship Id="rId3" Type="http://schemas.openxmlformats.org/officeDocument/2006/relationships/ctrlProp" Target="../ctrlProps/ctrlProp7.xml"/><Relationship Id="rId12" Type="http://schemas.openxmlformats.org/officeDocument/2006/relationships/ctrlProp" Target="../ctrlProps/ctrlProp16.xml"/><Relationship Id="rId17" Type="http://schemas.openxmlformats.org/officeDocument/2006/relationships/ctrlProp" Target="../ctrlProps/ctrlProp21.xml"/><Relationship Id="rId25" Type="http://schemas.openxmlformats.org/officeDocument/2006/relationships/ctrlProp" Target="../ctrlProps/ctrlProp29.xml"/><Relationship Id="rId33" Type="http://schemas.openxmlformats.org/officeDocument/2006/relationships/ctrlProp" Target="../ctrlProps/ctrlProp37.xml"/><Relationship Id="rId38" Type="http://schemas.openxmlformats.org/officeDocument/2006/relationships/ctrlProp" Target="../ctrlProps/ctrlProp42.xml"/><Relationship Id="rId46" Type="http://schemas.openxmlformats.org/officeDocument/2006/relationships/ctrlProp" Target="../ctrlProps/ctrlProp50.xml"/><Relationship Id="rId59" Type="http://schemas.openxmlformats.org/officeDocument/2006/relationships/ctrlProp" Target="../ctrlProps/ctrlProp63.xml"/><Relationship Id="rId67" Type="http://schemas.openxmlformats.org/officeDocument/2006/relationships/ctrlProp" Target="../ctrlProps/ctrlProp71.xml"/><Relationship Id="rId20" Type="http://schemas.openxmlformats.org/officeDocument/2006/relationships/ctrlProp" Target="../ctrlProps/ctrlProp24.xml"/><Relationship Id="rId41" Type="http://schemas.openxmlformats.org/officeDocument/2006/relationships/ctrlProp" Target="../ctrlProps/ctrlProp45.xml"/><Relationship Id="rId54" Type="http://schemas.openxmlformats.org/officeDocument/2006/relationships/ctrlProp" Target="../ctrlProps/ctrlProp58.xml"/><Relationship Id="rId62" Type="http://schemas.openxmlformats.org/officeDocument/2006/relationships/ctrlProp" Target="../ctrlProps/ctrlProp66.xml"/><Relationship Id="rId1" Type="http://schemas.openxmlformats.org/officeDocument/2006/relationships/drawing" Target="../drawings/drawing4.xml"/><Relationship Id="rId6" Type="http://schemas.openxmlformats.org/officeDocument/2006/relationships/ctrlProp" Target="../ctrlProps/ctrlProp10.xml"/><Relationship Id="rId15" Type="http://schemas.openxmlformats.org/officeDocument/2006/relationships/ctrlProp" Target="../ctrlProps/ctrlProp19.xml"/><Relationship Id="rId23" Type="http://schemas.openxmlformats.org/officeDocument/2006/relationships/ctrlProp" Target="../ctrlProps/ctrlProp27.xml"/><Relationship Id="rId28" Type="http://schemas.openxmlformats.org/officeDocument/2006/relationships/ctrlProp" Target="../ctrlProps/ctrlProp32.xml"/><Relationship Id="rId36" Type="http://schemas.openxmlformats.org/officeDocument/2006/relationships/ctrlProp" Target="../ctrlProps/ctrlProp40.xml"/><Relationship Id="rId49" Type="http://schemas.openxmlformats.org/officeDocument/2006/relationships/ctrlProp" Target="../ctrlProps/ctrlProp53.xml"/><Relationship Id="rId57" Type="http://schemas.openxmlformats.org/officeDocument/2006/relationships/ctrlProp" Target="../ctrlProps/ctrlProp61.xml"/><Relationship Id="rId10" Type="http://schemas.openxmlformats.org/officeDocument/2006/relationships/ctrlProp" Target="../ctrlProps/ctrlProp14.xml"/><Relationship Id="rId31" Type="http://schemas.openxmlformats.org/officeDocument/2006/relationships/ctrlProp" Target="../ctrlProps/ctrlProp35.xml"/><Relationship Id="rId44" Type="http://schemas.openxmlformats.org/officeDocument/2006/relationships/ctrlProp" Target="../ctrlProps/ctrlProp48.xml"/><Relationship Id="rId52" Type="http://schemas.openxmlformats.org/officeDocument/2006/relationships/ctrlProp" Target="../ctrlProps/ctrlProp56.xml"/><Relationship Id="rId60" Type="http://schemas.openxmlformats.org/officeDocument/2006/relationships/ctrlProp" Target="../ctrlProps/ctrlProp64.xml"/><Relationship Id="rId65" Type="http://schemas.openxmlformats.org/officeDocument/2006/relationships/ctrlProp" Target="../ctrlProps/ctrlProp69.xml"/><Relationship Id="rId4" Type="http://schemas.openxmlformats.org/officeDocument/2006/relationships/ctrlProp" Target="../ctrlProps/ctrlProp8.xml"/><Relationship Id="rId9" Type="http://schemas.openxmlformats.org/officeDocument/2006/relationships/ctrlProp" Target="../ctrlProps/ctrlProp13.xml"/><Relationship Id="rId13" Type="http://schemas.openxmlformats.org/officeDocument/2006/relationships/ctrlProp" Target="../ctrlProps/ctrlProp17.xml"/><Relationship Id="rId18" Type="http://schemas.openxmlformats.org/officeDocument/2006/relationships/ctrlProp" Target="../ctrlProps/ctrlProp22.xml"/><Relationship Id="rId39" Type="http://schemas.openxmlformats.org/officeDocument/2006/relationships/ctrlProp" Target="../ctrlProps/ctrlProp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95.xml"/><Relationship Id="rId21" Type="http://schemas.openxmlformats.org/officeDocument/2006/relationships/ctrlProp" Target="../ctrlProps/ctrlProp90.xml"/><Relationship Id="rId42" Type="http://schemas.openxmlformats.org/officeDocument/2006/relationships/ctrlProp" Target="../ctrlProps/ctrlProp111.xml"/><Relationship Id="rId47" Type="http://schemas.openxmlformats.org/officeDocument/2006/relationships/ctrlProp" Target="../ctrlProps/ctrlProp116.xml"/><Relationship Id="rId63" Type="http://schemas.openxmlformats.org/officeDocument/2006/relationships/ctrlProp" Target="../ctrlProps/ctrlProp132.xml"/><Relationship Id="rId68" Type="http://schemas.openxmlformats.org/officeDocument/2006/relationships/ctrlProp" Target="../ctrlProps/ctrlProp137.xml"/><Relationship Id="rId7" Type="http://schemas.openxmlformats.org/officeDocument/2006/relationships/ctrlProp" Target="../ctrlProps/ctrlProp76.xml"/><Relationship Id="rId2" Type="http://schemas.openxmlformats.org/officeDocument/2006/relationships/drawing" Target="../drawings/drawing5.xml"/><Relationship Id="rId16" Type="http://schemas.openxmlformats.org/officeDocument/2006/relationships/ctrlProp" Target="../ctrlProps/ctrlProp85.xml"/><Relationship Id="rId29" Type="http://schemas.openxmlformats.org/officeDocument/2006/relationships/ctrlProp" Target="../ctrlProps/ctrlProp98.xml"/><Relationship Id="rId11" Type="http://schemas.openxmlformats.org/officeDocument/2006/relationships/ctrlProp" Target="../ctrlProps/ctrlProp80.xml"/><Relationship Id="rId24" Type="http://schemas.openxmlformats.org/officeDocument/2006/relationships/ctrlProp" Target="../ctrlProps/ctrlProp93.xml"/><Relationship Id="rId32" Type="http://schemas.openxmlformats.org/officeDocument/2006/relationships/ctrlProp" Target="../ctrlProps/ctrlProp101.xml"/><Relationship Id="rId37" Type="http://schemas.openxmlformats.org/officeDocument/2006/relationships/ctrlProp" Target="../ctrlProps/ctrlProp106.xml"/><Relationship Id="rId40" Type="http://schemas.openxmlformats.org/officeDocument/2006/relationships/ctrlProp" Target="../ctrlProps/ctrlProp109.xml"/><Relationship Id="rId45" Type="http://schemas.openxmlformats.org/officeDocument/2006/relationships/ctrlProp" Target="../ctrlProps/ctrlProp114.xml"/><Relationship Id="rId53" Type="http://schemas.openxmlformats.org/officeDocument/2006/relationships/ctrlProp" Target="../ctrlProps/ctrlProp122.xml"/><Relationship Id="rId58" Type="http://schemas.openxmlformats.org/officeDocument/2006/relationships/ctrlProp" Target="../ctrlProps/ctrlProp127.xml"/><Relationship Id="rId66" Type="http://schemas.openxmlformats.org/officeDocument/2006/relationships/ctrlProp" Target="../ctrlProps/ctrlProp135.xml"/><Relationship Id="rId5" Type="http://schemas.openxmlformats.org/officeDocument/2006/relationships/ctrlProp" Target="../ctrlProps/ctrlProp74.xml"/><Relationship Id="rId61" Type="http://schemas.openxmlformats.org/officeDocument/2006/relationships/ctrlProp" Target="../ctrlProps/ctrlProp130.xml"/><Relationship Id="rId19" Type="http://schemas.openxmlformats.org/officeDocument/2006/relationships/ctrlProp" Target="../ctrlProps/ctrlProp88.xml"/><Relationship Id="rId14" Type="http://schemas.openxmlformats.org/officeDocument/2006/relationships/ctrlProp" Target="../ctrlProps/ctrlProp83.xml"/><Relationship Id="rId22" Type="http://schemas.openxmlformats.org/officeDocument/2006/relationships/ctrlProp" Target="../ctrlProps/ctrlProp91.xml"/><Relationship Id="rId27" Type="http://schemas.openxmlformats.org/officeDocument/2006/relationships/ctrlProp" Target="../ctrlProps/ctrlProp96.xml"/><Relationship Id="rId30" Type="http://schemas.openxmlformats.org/officeDocument/2006/relationships/ctrlProp" Target="../ctrlProps/ctrlProp99.xml"/><Relationship Id="rId35" Type="http://schemas.openxmlformats.org/officeDocument/2006/relationships/ctrlProp" Target="../ctrlProps/ctrlProp104.xml"/><Relationship Id="rId43" Type="http://schemas.openxmlformats.org/officeDocument/2006/relationships/ctrlProp" Target="../ctrlProps/ctrlProp112.xml"/><Relationship Id="rId48" Type="http://schemas.openxmlformats.org/officeDocument/2006/relationships/ctrlProp" Target="../ctrlProps/ctrlProp117.xml"/><Relationship Id="rId56" Type="http://schemas.openxmlformats.org/officeDocument/2006/relationships/ctrlProp" Target="../ctrlProps/ctrlProp125.xml"/><Relationship Id="rId64" Type="http://schemas.openxmlformats.org/officeDocument/2006/relationships/ctrlProp" Target="../ctrlProps/ctrlProp133.xml"/><Relationship Id="rId69" Type="http://schemas.openxmlformats.org/officeDocument/2006/relationships/ctrlProp" Target="../ctrlProps/ctrlProp138.xml"/><Relationship Id="rId8" Type="http://schemas.openxmlformats.org/officeDocument/2006/relationships/ctrlProp" Target="../ctrlProps/ctrlProp77.xml"/><Relationship Id="rId51" Type="http://schemas.openxmlformats.org/officeDocument/2006/relationships/ctrlProp" Target="../ctrlProps/ctrlProp120.xml"/><Relationship Id="rId3" Type="http://schemas.openxmlformats.org/officeDocument/2006/relationships/vmlDrawing" Target="../drawings/vmlDrawing4.vml"/><Relationship Id="rId12" Type="http://schemas.openxmlformats.org/officeDocument/2006/relationships/ctrlProp" Target="../ctrlProps/ctrlProp81.xml"/><Relationship Id="rId17" Type="http://schemas.openxmlformats.org/officeDocument/2006/relationships/ctrlProp" Target="../ctrlProps/ctrlProp86.xml"/><Relationship Id="rId25" Type="http://schemas.openxmlformats.org/officeDocument/2006/relationships/ctrlProp" Target="../ctrlProps/ctrlProp94.xml"/><Relationship Id="rId33" Type="http://schemas.openxmlformats.org/officeDocument/2006/relationships/ctrlProp" Target="../ctrlProps/ctrlProp102.xml"/><Relationship Id="rId38" Type="http://schemas.openxmlformats.org/officeDocument/2006/relationships/ctrlProp" Target="../ctrlProps/ctrlProp107.xml"/><Relationship Id="rId46" Type="http://schemas.openxmlformats.org/officeDocument/2006/relationships/ctrlProp" Target="../ctrlProps/ctrlProp115.xml"/><Relationship Id="rId59" Type="http://schemas.openxmlformats.org/officeDocument/2006/relationships/ctrlProp" Target="../ctrlProps/ctrlProp128.xml"/><Relationship Id="rId67" Type="http://schemas.openxmlformats.org/officeDocument/2006/relationships/ctrlProp" Target="../ctrlProps/ctrlProp136.xml"/><Relationship Id="rId20" Type="http://schemas.openxmlformats.org/officeDocument/2006/relationships/ctrlProp" Target="../ctrlProps/ctrlProp89.xml"/><Relationship Id="rId41" Type="http://schemas.openxmlformats.org/officeDocument/2006/relationships/ctrlProp" Target="../ctrlProps/ctrlProp110.xml"/><Relationship Id="rId54" Type="http://schemas.openxmlformats.org/officeDocument/2006/relationships/ctrlProp" Target="../ctrlProps/ctrlProp123.xml"/><Relationship Id="rId62" Type="http://schemas.openxmlformats.org/officeDocument/2006/relationships/ctrlProp" Target="../ctrlProps/ctrlProp131.xml"/><Relationship Id="rId1" Type="http://schemas.openxmlformats.org/officeDocument/2006/relationships/printerSettings" Target="../printerSettings/printerSettings3.bin"/><Relationship Id="rId6" Type="http://schemas.openxmlformats.org/officeDocument/2006/relationships/ctrlProp" Target="../ctrlProps/ctrlProp75.xml"/><Relationship Id="rId15" Type="http://schemas.openxmlformats.org/officeDocument/2006/relationships/ctrlProp" Target="../ctrlProps/ctrlProp84.xml"/><Relationship Id="rId23" Type="http://schemas.openxmlformats.org/officeDocument/2006/relationships/ctrlProp" Target="../ctrlProps/ctrlProp92.xml"/><Relationship Id="rId28" Type="http://schemas.openxmlformats.org/officeDocument/2006/relationships/ctrlProp" Target="../ctrlProps/ctrlProp97.xml"/><Relationship Id="rId36" Type="http://schemas.openxmlformats.org/officeDocument/2006/relationships/ctrlProp" Target="../ctrlProps/ctrlProp105.xml"/><Relationship Id="rId49" Type="http://schemas.openxmlformats.org/officeDocument/2006/relationships/ctrlProp" Target="../ctrlProps/ctrlProp118.xml"/><Relationship Id="rId57" Type="http://schemas.openxmlformats.org/officeDocument/2006/relationships/ctrlProp" Target="../ctrlProps/ctrlProp126.xml"/><Relationship Id="rId10" Type="http://schemas.openxmlformats.org/officeDocument/2006/relationships/ctrlProp" Target="../ctrlProps/ctrlProp79.xml"/><Relationship Id="rId31" Type="http://schemas.openxmlformats.org/officeDocument/2006/relationships/ctrlProp" Target="../ctrlProps/ctrlProp100.xml"/><Relationship Id="rId44" Type="http://schemas.openxmlformats.org/officeDocument/2006/relationships/ctrlProp" Target="../ctrlProps/ctrlProp113.xml"/><Relationship Id="rId52" Type="http://schemas.openxmlformats.org/officeDocument/2006/relationships/ctrlProp" Target="../ctrlProps/ctrlProp121.xml"/><Relationship Id="rId60" Type="http://schemas.openxmlformats.org/officeDocument/2006/relationships/ctrlProp" Target="../ctrlProps/ctrlProp129.xml"/><Relationship Id="rId65" Type="http://schemas.openxmlformats.org/officeDocument/2006/relationships/ctrlProp" Target="../ctrlProps/ctrlProp134.xml"/><Relationship Id="rId4" Type="http://schemas.openxmlformats.org/officeDocument/2006/relationships/ctrlProp" Target="../ctrlProps/ctrlProp73.xml"/><Relationship Id="rId9" Type="http://schemas.openxmlformats.org/officeDocument/2006/relationships/ctrlProp" Target="../ctrlProps/ctrlProp78.xml"/><Relationship Id="rId13" Type="http://schemas.openxmlformats.org/officeDocument/2006/relationships/ctrlProp" Target="../ctrlProps/ctrlProp82.xml"/><Relationship Id="rId18" Type="http://schemas.openxmlformats.org/officeDocument/2006/relationships/ctrlProp" Target="../ctrlProps/ctrlProp87.xml"/><Relationship Id="rId39" Type="http://schemas.openxmlformats.org/officeDocument/2006/relationships/ctrlProp" Target="../ctrlProps/ctrlProp108.xml"/><Relationship Id="rId34" Type="http://schemas.openxmlformats.org/officeDocument/2006/relationships/ctrlProp" Target="../ctrlProps/ctrlProp103.xml"/><Relationship Id="rId50" Type="http://schemas.openxmlformats.org/officeDocument/2006/relationships/ctrlProp" Target="../ctrlProps/ctrlProp119.xml"/><Relationship Id="rId55" Type="http://schemas.openxmlformats.org/officeDocument/2006/relationships/ctrlProp" Target="../ctrlProps/ctrlProp124.xml"/></Relationships>
</file>

<file path=xl/worksheets/_rels/sheet8.xml.rels><?xml version="1.0" encoding="UTF-8" standalone="yes"?>
<Relationships xmlns="http://schemas.openxmlformats.org/package/2006/relationships"><Relationship Id="rId13" Type="http://schemas.openxmlformats.org/officeDocument/2006/relationships/hyperlink" Target="http://www.hwtfc.org/" TargetMode="External"/><Relationship Id="rId18" Type="http://schemas.openxmlformats.org/officeDocument/2006/relationships/hyperlink" Target="http://www.nclabor.com/" TargetMode="External"/><Relationship Id="rId26" Type="http://schemas.openxmlformats.org/officeDocument/2006/relationships/hyperlink" Target="http://www.app.sboe.state.nc.us/" TargetMode="External"/><Relationship Id="rId39" Type="http://schemas.openxmlformats.org/officeDocument/2006/relationships/hyperlink" Target="http://www.ncsu.edu/" TargetMode="External"/><Relationship Id="rId21" Type="http://schemas.openxmlformats.org/officeDocument/2006/relationships/hyperlink" Target="http://www.ncccs.cc.nc.us/" TargetMode="External"/><Relationship Id="rId34" Type="http://schemas.openxmlformats.org/officeDocument/2006/relationships/hyperlink" Target="http://www.ecsu.edu/" TargetMode="External"/><Relationship Id="rId42" Type="http://schemas.openxmlformats.org/officeDocument/2006/relationships/hyperlink" Target="http://www.uncc.edu/" TargetMode="External"/><Relationship Id="rId47" Type="http://schemas.openxmlformats.org/officeDocument/2006/relationships/hyperlink" Target="http://www.wssu.edu/" TargetMode="External"/><Relationship Id="rId7" Type="http://schemas.openxmlformats.org/officeDocument/2006/relationships/hyperlink" Target="http://www.nccrimecontrol.org/" TargetMode="External"/><Relationship Id="rId2" Type="http://schemas.openxmlformats.org/officeDocument/2006/relationships/hyperlink" Target="http://www.oah.state.nc.us/" TargetMode="External"/><Relationship Id="rId16" Type="http://schemas.openxmlformats.org/officeDocument/2006/relationships/hyperlink" Target="http://www.ncdoj.com/" TargetMode="External"/><Relationship Id="rId29" Type="http://schemas.openxmlformats.org/officeDocument/2006/relationships/hyperlink" Target="http://www.nctreasurer.com/" TargetMode="External"/><Relationship Id="rId1" Type="http://schemas.openxmlformats.org/officeDocument/2006/relationships/hyperlink" Target="http://www.doa.state.nc.us/ethics" TargetMode="External"/><Relationship Id="rId6" Type="http://schemas.openxmlformats.org/officeDocument/2006/relationships/hyperlink" Target="http://www.doc.state.nc.us/" TargetMode="External"/><Relationship Id="rId11" Type="http://schemas.openxmlformats.org/officeDocument/2006/relationships/hyperlink" Target="http://www.osbm.state.nc.us/osbm/index.html" TargetMode="External"/><Relationship Id="rId24" Type="http://schemas.openxmlformats.org/officeDocument/2006/relationships/hyperlink" Target="http://www.dor.state.nc.us/" TargetMode="External"/><Relationship Id="rId32" Type="http://schemas.openxmlformats.org/officeDocument/2006/relationships/hyperlink" Target="http://www.appstate.edu/" TargetMode="External"/><Relationship Id="rId37" Type="http://schemas.openxmlformats.org/officeDocument/2006/relationships/hyperlink" Target="http://www.nccu.edu/" TargetMode="External"/><Relationship Id="rId40" Type="http://schemas.openxmlformats.org/officeDocument/2006/relationships/hyperlink" Target="http://www.unca.edu/" TargetMode="External"/><Relationship Id="rId45" Type="http://schemas.openxmlformats.org/officeDocument/2006/relationships/hyperlink" Target="http://www.uncwil.edu/" TargetMode="External"/><Relationship Id="rId5" Type="http://schemas.openxmlformats.org/officeDocument/2006/relationships/hyperlink" Target="http://www.ncosc.net/" TargetMode="External"/><Relationship Id="rId15" Type="http://schemas.openxmlformats.org/officeDocument/2006/relationships/hyperlink" Target="http://www.ncdoi.com/" TargetMode="External"/><Relationship Id="rId23" Type="http://schemas.openxmlformats.org/officeDocument/2006/relationships/hyperlink" Target="http://www.dpi.state.nc.us/" TargetMode="External"/><Relationship Id="rId28" Type="http://schemas.openxmlformats.org/officeDocument/2006/relationships/hyperlink" Target="http://www.dot.state.nc.us/" TargetMode="External"/><Relationship Id="rId36" Type="http://schemas.openxmlformats.org/officeDocument/2006/relationships/hyperlink" Target="http://www.ncat.edu/" TargetMode="External"/><Relationship Id="rId10" Type="http://schemas.openxmlformats.org/officeDocument/2006/relationships/hyperlink" Target="http://www.governor.state.nc.us/" TargetMode="External"/><Relationship Id="rId19" Type="http://schemas.openxmlformats.org/officeDocument/2006/relationships/hyperlink" Target="http://www.ltgov.state.nc.us/" TargetMode="External"/><Relationship Id="rId31" Type="http://schemas.openxmlformats.org/officeDocument/2006/relationships/hyperlink" Target="http://www.nccourts.org/" TargetMode="External"/><Relationship Id="rId44" Type="http://schemas.openxmlformats.org/officeDocument/2006/relationships/hyperlink" Target="http://www.uncp.edu/" TargetMode="External"/><Relationship Id="rId4" Type="http://schemas.openxmlformats.org/officeDocument/2006/relationships/hyperlink" Target="http://www.nccommerce.com/" TargetMode="External"/><Relationship Id="rId9" Type="http://schemas.openxmlformats.org/officeDocument/2006/relationships/hyperlink" Target="http://www.enr.state.nc.us/" TargetMode="External"/><Relationship Id="rId14" Type="http://schemas.openxmlformats.org/officeDocument/2006/relationships/hyperlink" Target="http://www.dhhs.state.nc.us/" TargetMode="External"/><Relationship Id="rId22" Type="http://schemas.openxmlformats.org/officeDocument/2006/relationships/hyperlink" Target="http://www.osp.state.nc.us/ExternalHome/index.htm" TargetMode="External"/><Relationship Id="rId27" Type="http://schemas.openxmlformats.org/officeDocument/2006/relationships/hyperlink" Target="http://statehealthplan.state.nc.us/" TargetMode="External"/><Relationship Id="rId30" Type="http://schemas.openxmlformats.org/officeDocument/2006/relationships/hyperlink" Target="http://www.ncleg.net/" TargetMode="External"/><Relationship Id="rId35" Type="http://schemas.openxmlformats.org/officeDocument/2006/relationships/hyperlink" Target="http://www.uncfsu.edu/" TargetMode="External"/><Relationship Id="rId43" Type="http://schemas.openxmlformats.org/officeDocument/2006/relationships/hyperlink" Target="http://www.uncg.edu/" TargetMode="External"/><Relationship Id="rId48" Type="http://schemas.openxmlformats.org/officeDocument/2006/relationships/printerSettings" Target="../printerSettings/printerSettings4.bin"/><Relationship Id="rId8" Type="http://schemas.openxmlformats.org/officeDocument/2006/relationships/hyperlink" Target="http://www.ncdcr.gov/" TargetMode="External"/><Relationship Id="rId3" Type="http://schemas.openxmlformats.org/officeDocument/2006/relationships/hyperlink" Target="http://www.ncauditor.net/" TargetMode="External"/><Relationship Id="rId12" Type="http://schemas.openxmlformats.org/officeDocument/2006/relationships/hyperlink" Target="http://www.its.state.nc.us/" TargetMode="External"/><Relationship Id="rId17" Type="http://schemas.openxmlformats.org/officeDocument/2006/relationships/hyperlink" Target="http://www.juvjus.state.nc.us/" TargetMode="External"/><Relationship Id="rId25" Type="http://schemas.openxmlformats.org/officeDocument/2006/relationships/hyperlink" Target="http://www.secstate.state.nc.us/" TargetMode="External"/><Relationship Id="rId33" Type="http://schemas.openxmlformats.org/officeDocument/2006/relationships/hyperlink" Target="http://www.ecu.edu/" TargetMode="External"/><Relationship Id="rId38" Type="http://schemas.openxmlformats.org/officeDocument/2006/relationships/hyperlink" Target="http://www.ncarts.edu/" TargetMode="External"/><Relationship Id="rId46" Type="http://schemas.openxmlformats.org/officeDocument/2006/relationships/hyperlink" Target="http://www.wcu.edu/" TargetMode="External"/><Relationship Id="rId20" Type="http://schemas.openxmlformats.org/officeDocument/2006/relationships/hyperlink" Target="http://www.nursenc.org/" TargetMode="External"/><Relationship Id="rId41" Type="http://schemas.openxmlformats.org/officeDocument/2006/relationships/hyperlink" Target="http://www.unc.edu/"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8" Type="http://schemas.openxmlformats.org/officeDocument/2006/relationships/image" Target="../media/image6.emf"/><Relationship Id="rId13" Type="http://schemas.openxmlformats.org/officeDocument/2006/relationships/control" Target="../activeX/activeX6.xml"/><Relationship Id="rId3" Type="http://schemas.openxmlformats.org/officeDocument/2006/relationships/control" Target="../activeX/activeX1.xml"/><Relationship Id="rId7" Type="http://schemas.openxmlformats.org/officeDocument/2006/relationships/control" Target="../activeX/activeX3.xml"/><Relationship Id="rId12" Type="http://schemas.openxmlformats.org/officeDocument/2006/relationships/image" Target="../media/image8.emf"/><Relationship Id="rId2" Type="http://schemas.openxmlformats.org/officeDocument/2006/relationships/vmlDrawing" Target="../drawings/vmlDrawing5.vml"/><Relationship Id="rId16" Type="http://schemas.openxmlformats.org/officeDocument/2006/relationships/image" Target="../media/image10.emf"/><Relationship Id="rId1" Type="http://schemas.openxmlformats.org/officeDocument/2006/relationships/drawing" Target="../drawings/drawing7.xml"/><Relationship Id="rId6" Type="http://schemas.openxmlformats.org/officeDocument/2006/relationships/image" Target="../media/image5.emf"/><Relationship Id="rId11" Type="http://schemas.openxmlformats.org/officeDocument/2006/relationships/control" Target="../activeX/activeX5.xml"/><Relationship Id="rId5" Type="http://schemas.openxmlformats.org/officeDocument/2006/relationships/control" Target="../activeX/activeX2.xml"/><Relationship Id="rId15" Type="http://schemas.openxmlformats.org/officeDocument/2006/relationships/control" Target="../activeX/activeX7.xml"/><Relationship Id="rId10" Type="http://schemas.openxmlformats.org/officeDocument/2006/relationships/image" Target="../media/image7.emf"/><Relationship Id="rId4" Type="http://schemas.openxmlformats.org/officeDocument/2006/relationships/image" Target="../media/image4.emf"/><Relationship Id="rId9" Type="http://schemas.openxmlformats.org/officeDocument/2006/relationships/control" Target="../activeX/activeX4.xml"/><Relationship Id="rId14" Type="http://schemas.openxmlformats.org/officeDocument/2006/relationships/image" Target="../media/image9.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3:AA32"/>
  <sheetViews>
    <sheetView topLeftCell="A4" zoomScaleNormal="100" workbookViewId="0">
      <selection activeCell="D58" sqref="D58"/>
    </sheetView>
  </sheetViews>
  <sheetFormatPr defaultColWidth="10.88671875" defaultRowHeight="13.2" x14ac:dyDescent="0.25"/>
  <cols>
    <col min="1" max="16384" width="10.88671875" style="1"/>
  </cols>
  <sheetData>
    <row r="13" spans="1:27" ht="13.8" thickBot="1" x14ac:dyDescent="0.3">
      <c r="A13" s="3"/>
      <c r="C13" s="3"/>
      <c r="E13" s="3"/>
      <c r="F13" s="3"/>
      <c r="G13" s="3"/>
      <c r="H13" s="3"/>
      <c r="I13" s="3"/>
      <c r="J13" s="3"/>
      <c r="K13" s="3"/>
      <c r="L13" s="3"/>
      <c r="M13" s="3"/>
      <c r="N13" s="3"/>
      <c r="O13" s="3"/>
      <c r="P13" s="3"/>
    </row>
    <row r="14" spans="1:27" x14ac:dyDescent="0.25">
      <c r="A14" s="2"/>
      <c r="B14" s="6"/>
      <c r="C14" s="2"/>
      <c r="D14" s="6"/>
      <c r="E14" s="2"/>
      <c r="F14" s="2"/>
      <c r="G14" s="2"/>
      <c r="H14" s="2"/>
      <c r="I14" s="2"/>
      <c r="J14" s="2"/>
      <c r="K14" s="2"/>
      <c r="L14" s="2"/>
      <c r="M14" s="2"/>
      <c r="N14" s="2"/>
      <c r="O14" s="2"/>
      <c r="P14" s="2"/>
      <c r="Q14" s="6"/>
      <c r="R14" s="6"/>
      <c r="S14" s="6"/>
      <c r="T14" s="6"/>
      <c r="U14" s="6"/>
      <c r="V14" s="6"/>
      <c r="W14" s="6"/>
      <c r="X14" s="6"/>
      <c r="Y14" s="6"/>
      <c r="Z14" s="6"/>
      <c r="AA14" s="6"/>
    </row>
    <row r="15" spans="1:27"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3.8" thickBo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9" spans="1:27" ht="17.399999999999999" x14ac:dyDescent="0.3">
      <c r="E29" s="131" t="s">
        <v>452</v>
      </c>
      <c r="F29" s="131"/>
      <c r="G29" s="131"/>
    </row>
    <row r="32" spans="1:27" x14ac:dyDescent="0.25">
      <c r="I32" s="1" t="s">
        <v>387</v>
      </c>
    </row>
  </sheetData>
  <phoneticPr fontId="0" type="noConversion"/>
  <pageMargins left="0.75" right="0.75" top="1" bottom="1" header="0.5" footer="0.5"/>
  <pageSetup scale="41" orientation="landscape" horizontalDpi="4294967292" verticalDpi="4294967292"/>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X562"/>
  <sheetViews>
    <sheetView tabSelected="1" view="pageBreakPreview" zoomScaleNormal="100" zoomScaleSheetLayoutView="100" workbookViewId="0">
      <selection activeCell="Z22" sqref="Z22"/>
    </sheetView>
  </sheetViews>
  <sheetFormatPr defaultColWidth="9.109375" defaultRowHeight="13.2" x14ac:dyDescent="0.25"/>
  <cols>
    <col min="1" max="1" width="13" style="23" customWidth="1"/>
    <col min="2" max="2" width="12.109375" style="11" bestFit="1" customWidth="1"/>
    <col min="3" max="3" width="8.109375" style="11" customWidth="1"/>
    <col min="4" max="4" width="13" style="11" customWidth="1"/>
    <col min="5" max="5" width="10.6640625" style="11" customWidth="1"/>
    <col min="6" max="6" width="14.33203125" style="11" customWidth="1"/>
    <col min="7" max="7" width="13.44140625" style="11" customWidth="1"/>
    <col min="8" max="8" width="12.109375" style="11" customWidth="1"/>
    <col min="9" max="9" width="12.33203125" style="11" customWidth="1"/>
    <col min="10" max="12" width="9.109375" style="11" hidden="1" customWidth="1"/>
    <col min="13" max="13" width="23.44140625" style="11" hidden="1" customWidth="1"/>
    <col min="14" max="20" width="9.109375" style="11" hidden="1" customWidth="1"/>
    <col min="21" max="22" width="0" style="11" hidden="1" customWidth="1"/>
    <col min="23" max="23" width="15.109375" style="11" customWidth="1"/>
    <col min="24" max="16384" width="9.109375" style="11"/>
  </cols>
  <sheetData>
    <row r="1" spans="1:24" ht="16.5" customHeight="1" x14ac:dyDescent="0.25">
      <c r="A1" s="372" t="s">
        <v>903</v>
      </c>
      <c r="B1" s="372"/>
      <c r="C1" s="372"/>
      <c r="D1" s="372"/>
      <c r="E1" s="18"/>
      <c r="F1" s="269" t="s">
        <v>921</v>
      </c>
      <c r="G1" s="380"/>
      <c r="H1" s="380"/>
      <c r="I1" s="380"/>
      <c r="J1" s="12"/>
    </row>
    <row r="2" spans="1:24" s="17" customFormat="1" ht="16.5" customHeight="1" x14ac:dyDescent="0.25">
      <c r="A2" s="287"/>
      <c r="B2" s="287"/>
      <c r="C2" s="287"/>
      <c r="D2" s="287"/>
      <c r="E2" s="18"/>
      <c r="F2" s="264" t="s">
        <v>980</v>
      </c>
      <c r="G2" s="264"/>
      <c r="H2" s="264"/>
      <c r="I2" s="264"/>
      <c r="J2" s="12"/>
    </row>
    <row r="3" spans="1:24" ht="16.5" customHeight="1" x14ac:dyDescent="0.25">
      <c r="A3" s="321" t="s">
        <v>1687</v>
      </c>
      <c r="B3" s="321"/>
      <c r="C3" s="321"/>
      <c r="D3" s="321"/>
      <c r="E3" s="321"/>
      <c r="F3" s="321"/>
      <c r="G3" s="321"/>
      <c r="H3" s="321"/>
      <c r="I3" s="321"/>
      <c r="J3" s="321"/>
      <c r="K3" s="321"/>
      <c r="L3" s="321"/>
      <c r="M3" s="321"/>
      <c r="N3" s="321"/>
      <c r="O3" s="321"/>
      <c r="P3" s="321"/>
      <c r="Q3" s="321"/>
      <c r="R3" s="321"/>
      <c r="S3" s="321"/>
      <c r="T3" s="321"/>
      <c r="U3" s="321"/>
      <c r="V3" s="321"/>
      <c r="W3" s="321"/>
    </row>
    <row r="4" spans="1:24" s="247" customFormat="1" ht="12.75" customHeight="1" x14ac:dyDescent="0.25">
      <c r="A4" s="354" t="s">
        <v>187</v>
      </c>
      <c r="B4" s="355"/>
      <c r="C4" s="355"/>
      <c r="D4" s="355"/>
      <c r="E4" s="355"/>
      <c r="F4" s="355"/>
      <c r="G4" s="355"/>
      <c r="H4" s="355"/>
      <c r="I4" s="355"/>
      <c r="J4" s="355"/>
      <c r="K4" s="355"/>
      <c r="L4" s="355"/>
      <c r="M4" s="355"/>
      <c r="N4" s="355"/>
      <c r="O4" s="355"/>
      <c r="P4" s="355"/>
      <c r="Q4" s="355"/>
      <c r="R4" s="355"/>
      <c r="S4" s="355"/>
      <c r="T4" s="355"/>
      <c r="U4" s="355"/>
      <c r="V4" s="355"/>
      <c r="W4" s="356"/>
    </row>
    <row r="5" spans="1:24" ht="24.75" customHeight="1" x14ac:dyDescent="0.25">
      <c r="A5" s="373" t="s">
        <v>351</v>
      </c>
      <c r="B5" s="373"/>
      <c r="C5" s="31" t="s">
        <v>308</v>
      </c>
      <c r="D5" s="30" t="s">
        <v>387</v>
      </c>
      <c r="E5" s="30" t="s">
        <v>387</v>
      </c>
      <c r="F5" s="376" t="s">
        <v>387</v>
      </c>
      <c r="G5" s="376"/>
      <c r="H5" s="24" t="s">
        <v>388</v>
      </c>
      <c r="I5" s="384"/>
      <c r="J5" s="384"/>
      <c r="K5" s="384"/>
      <c r="L5" s="384"/>
      <c r="M5" s="384"/>
      <c r="N5" s="384"/>
      <c r="O5" s="384"/>
      <c r="P5" s="384"/>
      <c r="Q5" s="384"/>
      <c r="R5" s="384"/>
      <c r="S5" s="384"/>
      <c r="T5" s="384"/>
      <c r="U5" s="384"/>
      <c r="V5" s="384"/>
      <c r="W5" s="384"/>
    </row>
    <row r="6" spans="1:24" s="10" customFormat="1" ht="12" customHeight="1" x14ac:dyDescent="0.25">
      <c r="A6" s="32"/>
      <c r="C6" s="33" t="s">
        <v>385</v>
      </c>
      <c r="D6" s="33" t="s">
        <v>499</v>
      </c>
      <c r="E6" s="33" t="s">
        <v>350</v>
      </c>
      <c r="F6" s="371" t="s">
        <v>500</v>
      </c>
      <c r="G6" s="371"/>
      <c r="H6" s="34"/>
      <c r="I6" s="34"/>
      <c r="W6" s="34"/>
    </row>
    <row r="7" spans="1:24" s="10" customFormat="1" ht="12" customHeight="1" x14ac:dyDescent="0.25">
      <c r="A7" s="35"/>
      <c r="B7" s="36"/>
      <c r="C7" s="36"/>
      <c r="D7" s="34"/>
      <c r="E7" s="34"/>
      <c r="F7" s="34"/>
      <c r="G7" s="34"/>
      <c r="H7" s="34"/>
      <c r="I7" s="34"/>
      <c r="J7" s="34"/>
      <c r="K7" s="34"/>
      <c r="L7" s="34"/>
      <c r="M7" s="34"/>
      <c r="N7" s="34"/>
      <c r="O7" s="34"/>
      <c r="P7" s="34"/>
      <c r="Q7" s="34"/>
      <c r="R7" s="34"/>
      <c r="S7" s="34"/>
      <c r="T7" s="34"/>
      <c r="U7" s="34"/>
      <c r="V7" s="34"/>
      <c r="W7" s="34"/>
    </row>
    <row r="8" spans="1:24" s="10" customFormat="1" ht="15.75" customHeight="1" x14ac:dyDescent="0.25">
      <c r="A8" s="22" t="s">
        <v>235</v>
      </c>
      <c r="B8" s="359" t="s">
        <v>387</v>
      </c>
      <c r="C8" s="359"/>
      <c r="D8" s="359"/>
      <c r="E8" s="359"/>
      <c r="F8" s="22" t="s">
        <v>236</v>
      </c>
      <c r="G8" s="359"/>
      <c r="H8" s="359"/>
      <c r="I8" s="359"/>
      <c r="J8" s="359"/>
      <c r="K8" s="359"/>
      <c r="L8" s="359"/>
      <c r="M8" s="359"/>
      <c r="N8" s="359"/>
      <c r="O8" s="359"/>
      <c r="P8" s="359"/>
      <c r="Q8" s="359"/>
      <c r="R8" s="359"/>
      <c r="S8" s="359"/>
      <c r="T8" s="359"/>
      <c r="U8" s="359"/>
      <c r="V8" s="359"/>
      <c r="W8" s="359"/>
    </row>
    <row r="9" spans="1:24" s="10" customFormat="1" ht="15.75" customHeight="1" x14ac:dyDescent="0.25">
      <c r="A9" s="22" t="s">
        <v>904</v>
      </c>
      <c r="B9" s="383"/>
      <c r="C9" s="383"/>
      <c r="D9" s="383"/>
      <c r="E9" s="383"/>
      <c r="F9" s="22" t="s">
        <v>237</v>
      </c>
      <c r="G9" s="357"/>
      <c r="H9" s="357"/>
      <c r="I9" s="22" t="s">
        <v>238</v>
      </c>
      <c r="J9" s="263"/>
      <c r="K9" s="263"/>
      <c r="L9" s="263"/>
      <c r="M9" s="263"/>
      <c r="N9" s="263"/>
      <c r="O9" s="263"/>
      <c r="P9" s="263"/>
      <c r="Q9" s="263"/>
      <c r="R9" s="263"/>
      <c r="S9" s="263"/>
      <c r="T9" s="263"/>
      <c r="U9" s="263"/>
      <c r="V9" s="263"/>
      <c r="W9" s="263"/>
    </row>
    <row r="10" spans="1:24" s="10" customFormat="1" ht="15.75" customHeight="1" x14ac:dyDescent="0.25">
      <c r="A10" s="22" t="s">
        <v>2160</v>
      </c>
      <c r="B10" s="324"/>
      <c r="C10" s="324"/>
      <c r="D10" s="324"/>
      <c r="E10" s="324"/>
      <c r="F10" s="22" t="s">
        <v>2162</v>
      </c>
      <c r="G10" s="325"/>
      <c r="H10" s="325"/>
      <c r="I10" s="325"/>
      <c r="J10" s="325"/>
      <c r="K10" s="325"/>
      <c r="L10" s="325"/>
      <c r="M10" s="325"/>
      <c r="N10" s="325"/>
      <c r="O10" s="325"/>
      <c r="P10" s="325"/>
      <c r="Q10" s="325"/>
      <c r="R10" s="325"/>
      <c r="S10" s="325"/>
      <c r="T10" s="325"/>
      <c r="U10" s="325"/>
      <c r="V10" s="325"/>
      <c r="W10" s="325"/>
    </row>
    <row r="11" spans="1:24" s="10" customFormat="1" ht="15.75" customHeight="1" x14ac:dyDescent="0.25">
      <c r="A11" s="375" t="s">
        <v>457</v>
      </c>
      <c r="B11" s="375"/>
      <c r="C11" s="366"/>
      <c r="D11" s="366"/>
      <c r="E11" s="366"/>
      <c r="F11" s="374" t="s">
        <v>458</v>
      </c>
      <c r="G11" s="374"/>
      <c r="H11" s="358"/>
      <c r="I11" s="358"/>
      <c r="J11" s="358"/>
      <c r="K11" s="358"/>
      <c r="L11" s="358"/>
      <c r="M11" s="358"/>
      <c r="N11" s="358"/>
      <c r="O11" s="358"/>
      <c r="P11" s="358"/>
      <c r="Q11" s="358"/>
      <c r="R11" s="358"/>
      <c r="S11" s="358"/>
      <c r="T11" s="358"/>
      <c r="U11" s="358"/>
      <c r="V11" s="358"/>
      <c r="W11" s="358"/>
    </row>
    <row r="12" spans="1:24" s="10" customFormat="1" ht="15.75" customHeight="1" x14ac:dyDescent="0.25">
      <c r="A12" s="22" t="s">
        <v>459</v>
      </c>
      <c r="B12" s="367" t="s">
        <v>387</v>
      </c>
      <c r="C12" s="367"/>
      <c r="D12" s="367"/>
      <c r="E12" s="367"/>
      <c r="F12" s="24" t="s">
        <v>389</v>
      </c>
      <c r="G12" s="325"/>
      <c r="H12" s="325"/>
      <c r="I12" s="325"/>
      <c r="J12" s="325"/>
      <c r="K12" s="325"/>
      <c r="L12" s="325"/>
      <c r="M12" s="325"/>
      <c r="N12" s="325"/>
      <c r="O12" s="325"/>
      <c r="P12" s="325"/>
      <c r="Q12" s="325"/>
      <c r="R12" s="325"/>
      <c r="S12" s="325"/>
      <c r="T12" s="325"/>
      <c r="U12" s="325"/>
      <c r="V12" s="325"/>
      <c r="W12" s="325"/>
      <c r="X12" s="265"/>
    </row>
    <row r="13" spans="1:24" s="10" customFormat="1" ht="15.75" customHeight="1" x14ac:dyDescent="0.25">
      <c r="A13" s="37"/>
      <c r="B13" s="38"/>
      <c r="C13" s="38"/>
      <c r="D13" s="38"/>
      <c r="E13" s="37"/>
      <c r="F13" s="37"/>
      <c r="G13" s="371" t="s">
        <v>390</v>
      </c>
      <c r="H13" s="371"/>
      <c r="I13" s="371"/>
      <c r="J13" s="371"/>
      <c r="K13" s="371"/>
      <c r="L13" s="371"/>
      <c r="M13" s="371"/>
      <c r="N13" s="371"/>
      <c r="O13" s="371"/>
      <c r="P13" s="371"/>
      <c r="Q13" s="371"/>
      <c r="R13" s="371"/>
      <c r="S13" s="371"/>
      <c r="T13" s="371"/>
      <c r="U13" s="371"/>
      <c r="V13" s="371"/>
      <c r="W13" s="371"/>
    </row>
    <row r="14" spans="1:24" s="10" customFormat="1" ht="17.25" customHeight="1" x14ac:dyDescent="0.25">
      <c r="A14" s="13" t="s">
        <v>376</v>
      </c>
      <c r="B14" s="214"/>
      <c r="D14" s="14" t="s">
        <v>377</v>
      </c>
      <c r="E14" s="215"/>
      <c r="G14" s="24" t="s">
        <v>394</v>
      </c>
      <c r="H14" s="379"/>
      <c r="I14" s="379"/>
      <c r="J14" s="379"/>
      <c r="K14" s="379"/>
      <c r="L14" s="379"/>
      <c r="M14" s="379"/>
      <c r="N14" s="379"/>
      <c r="O14" s="379"/>
      <c r="P14" s="379"/>
      <c r="Q14" s="379"/>
      <c r="R14" s="379"/>
      <c r="S14" s="379"/>
      <c r="T14" s="379"/>
      <c r="U14" s="379"/>
      <c r="V14" s="379"/>
      <c r="W14" s="379"/>
    </row>
    <row r="15" spans="1:24" s="10" customFormat="1" ht="15.75" customHeight="1" x14ac:dyDescent="0.25">
      <c r="A15" s="40"/>
      <c r="B15" s="386"/>
      <c r="C15" s="386"/>
      <c r="D15" s="386"/>
      <c r="E15" s="34"/>
      <c r="F15" s="34"/>
      <c r="G15" s="34"/>
      <c r="H15" s="34"/>
      <c r="I15" s="34"/>
    </row>
    <row r="16" spans="1:24" x14ac:dyDescent="0.25">
      <c r="A16" s="24" t="s">
        <v>395</v>
      </c>
      <c r="B16" s="381"/>
      <c r="C16" s="381"/>
      <c r="D16" s="381"/>
      <c r="E16" s="381"/>
      <c r="F16" s="381"/>
      <c r="G16" s="381"/>
      <c r="H16" s="381"/>
      <c r="I16" s="381"/>
      <c r="J16" s="381"/>
      <c r="K16" s="381"/>
      <c r="L16" s="381"/>
      <c r="M16" s="381"/>
      <c r="N16" s="381"/>
      <c r="O16" s="381"/>
      <c r="P16" s="381"/>
      <c r="Q16" s="381"/>
      <c r="R16" s="381"/>
      <c r="S16" s="381"/>
      <c r="T16" s="381"/>
      <c r="U16" s="381"/>
      <c r="V16" s="381"/>
      <c r="W16" s="381"/>
    </row>
    <row r="17" spans="1:23" x14ac:dyDescent="0.25">
      <c r="A17" s="181"/>
      <c r="B17" s="42"/>
      <c r="C17" s="42"/>
      <c r="D17" s="39"/>
      <c r="E17" s="39"/>
      <c r="F17" s="39"/>
      <c r="G17" s="39"/>
      <c r="H17" s="39"/>
      <c r="I17" s="39"/>
    </row>
    <row r="18" spans="1:23" ht="12.75" customHeight="1" x14ac:dyDescent="0.25">
      <c r="A18" s="322" t="s">
        <v>2165</v>
      </c>
      <c r="B18" s="322"/>
      <c r="C18" s="322"/>
      <c r="D18" s="322"/>
      <c r="E18" s="322"/>
      <c r="F18" s="322"/>
      <c r="G18" s="322"/>
      <c r="H18" s="322"/>
      <c r="I18" s="322"/>
      <c r="J18" s="322"/>
      <c r="K18" s="322"/>
      <c r="L18" s="322"/>
      <c r="M18" s="322"/>
      <c r="N18" s="322"/>
      <c r="O18" s="322"/>
      <c r="P18" s="322"/>
      <c r="Q18" s="322"/>
      <c r="R18" s="322"/>
      <c r="S18" s="322"/>
      <c r="T18" s="322"/>
      <c r="U18" s="322"/>
      <c r="V18" s="322"/>
      <c r="W18" s="322"/>
    </row>
    <row r="19" spans="1:23" x14ac:dyDescent="0.25">
      <c r="A19" s="382" t="str">
        <f>IF(Worksheet!D15&lt;4,"New employment-Full employment package is needed","")</f>
        <v/>
      </c>
      <c r="B19" s="382"/>
      <c r="C19" s="382"/>
      <c r="D19" s="382"/>
      <c r="E19" s="382"/>
      <c r="F19" s="382"/>
      <c r="G19" s="382"/>
      <c r="H19" s="382"/>
      <c r="I19" s="382"/>
      <c r="J19" s="382"/>
      <c r="K19" s="382"/>
      <c r="L19" s="382"/>
      <c r="M19" s="382"/>
      <c r="N19" s="382"/>
      <c r="O19" s="382"/>
      <c r="P19" s="382"/>
      <c r="Q19" s="382"/>
      <c r="R19" s="382"/>
      <c r="S19" s="382"/>
      <c r="T19" s="382"/>
      <c r="U19" s="382"/>
      <c r="V19" s="382"/>
      <c r="W19" s="382"/>
    </row>
    <row r="20" spans="1:23" s="17" customFormat="1" ht="11.25" customHeight="1" x14ac:dyDescent="0.25">
      <c r="A20" s="48"/>
      <c r="B20" s="44"/>
      <c r="C20" s="44"/>
      <c r="D20" s="44"/>
      <c r="E20" s="45"/>
      <c r="F20" s="46"/>
      <c r="G20" s="46"/>
      <c r="H20" s="46"/>
      <c r="I20" s="46"/>
    </row>
    <row r="21" spans="1:23" ht="12.75" customHeight="1" x14ac:dyDescent="0.25">
      <c r="A21" s="322" t="s">
        <v>2228</v>
      </c>
      <c r="B21" s="322"/>
      <c r="C21" s="322"/>
      <c r="D21" s="322"/>
      <c r="E21" s="322"/>
      <c r="F21" s="322"/>
      <c r="G21" s="322"/>
      <c r="H21" s="322"/>
      <c r="I21" s="47"/>
    </row>
    <row r="22" spans="1:23" ht="15" customHeight="1" x14ac:dyDescent="0.25">
      <c r="A22" s="48"/>
      <c r="B22" s="44"/>
      <c r="C22" s="16"/>
      <c r="D22" s="43"/>
      <c r="E22" s="43"/>
      <c r="F22" s="47"/>
      <c r="G22" s="47"/>
      <c r="H22" s="47"/>
      <c r="I22" s="47"/>
    </row>
    <row r="23" spans="1:23" s="246" customFormat="1" x14ac:dyDescent="0.25">
      <c r="A23" s="354" t="s">
        <v>271</v>
      </c>
      <c r="B23" s="355"/>
      <c r="C23" s="355"/>
      <c r="D23" s="355"/>
      <c r="E23" s="355"/>
      <c r="F23" s="355"/>
      <c r="G23" s="355"/>
      <c r="H23" s="355"/>
      <c r="I23" s="355"/>
      <c r="J23" s="355"/>
      <c r="K23" s="355"/>
      <c r="L23" s="355"/>
      <c r="M23" s="355"/>
      <c r="N23" s="355"/>
      <c r="O23" s="355"/>
      <c r="P23" s="355"/>
      <c r="Q23" s="355"/>
      <c r="R23" s="355"/>
      <c r="S23" s="355"/>
      <c r="T23" s="355"/>
      <c r="U23" s="355"/>
      <c r="V23" s="355"/>
      <c r="W23" s="356"/>
    </row>
    <row r="24" spans="1:23" x14ac:dyDescent="0.25">
      <c r="A24" s="378" t="s">
        <v>2183</v>
      </c>
      <c r="B24" s="378"/>
      <c r="C24" s="383"/>
      <c r="D24" s="383"/>
      <c r="E24" s="383"/>
      <c r="F24" s="383"/>
      <c r="G24" s="368" t="s">
        <v>2170</v>
      </c>
      <c r="H24" s="368"/>
      <c r="I24" s="383"/>
      <c r="J24" s="383"/>
      <c r="K24" s="383"/>
      <c r="L24" s="383"/>
      <c r="M24" s="383"/>
      <c r="N24" s="383"/>
      <c r="O24" s="383"/>
      <c r="P24" s="383"/>
      <c r="Q24" s="383"/>
      <c r="R24" s="383"/>
      <c r="S24" s="383"/>
      <c r="T24" s="383"/>
      <c r="U24" s="383"/>
      <c r="V24" s="383"/>
      <c r="W24" s="383"/>
    </row>
    <row r="25" spans="1:23" x14ac:dyDescent="0.25">
      <c r="A25" s="27"/>
      <c r="B25" s="38"/>
      <c r="C25" s="38"/>
      <c r="D25" s="38"/>
      <c r="E25" s="18"/>
      <c r="F25" s="38"/>
      <c r="G25" s="38"/>
      <c r="H25" s="38"/>
      <c r="I25" s="39"/>
    </row>
    <row r="26" spans="1:23" x14ac:dyDescent="0.25">
      <c r="A26" s="26" t="s">
        <v>386</v>
      </c>
      <c r="B26" s="359" t="s">
        <v>387</v>
      </c>
      <c r="C26" s="359"/>
      <c r="D26" s="359"/>
      <c r="E26" s="359"/>
      <c r="F26" s="359"/>
    </row>
    <row r="27" spans="1:23" x14ac:dyDescent="0.25">
      <c r="A27" s="27"/>
      <c r="B27" s="38"/>
      <c r="C27" s="38"/>
      <c r="D27" s="38"/>
      <c r="E27" s="18"/>
      <c r="F27" s="38"/>
      <c r="G27" s="38"/>
      <c r="H27" s="38"/>
      <c r="I27" s="39"/>
      <c r="M27" s="11" t="s">
        <v>387</v>
      </c>
    </row>
    <row r="28" spans="1:23" x14ac:dyDescent="0.25">
      <c r="A28" s="375" t="s">
        <v>175</v>
      </c>
      <c r="B28" s="375"/>
      <c r="C28" s="375"/>
      <c r="D28" s="38"/>
      <c r="E28" s="41"/>
      <c r="F28" s="38"/>
      <c r="G28" s="38"/>
      <c r="H28" s="38"/>
      <c r="I28" s="39"/>
    </row>
    <row r="29" spans="1:23" x14ac:dyDescent="0.25">
      <c r="A29" s="28"/>
      <c r="B29" s="38"/>
      <c r="C29" s="38"/>
      <c r="D29" s="38"/>
      <c r="E29" s="41"/>
      <c r="F29" s="39"/>
      <c r="G29" s="39"/>
      <c r="H29" s="39"/>
      <c r="I29" s="39"/>
    </row>
    <row r="30" spans="1:23" ht="17.25" customHeight="1" x14ac:dyDescent="0.25">
      <c r="A30" s="314" t="s">
        <v>176</v>
      </c>
      <c r="B30" s="314"/>
      <c r="C30" s="39"/>
      <c r="D30" s="49"/>
      <c r="E30" s="17"/>
      <c r="F30" s="368" t="s">
        <v>959</v>
      </c>
      <c r="G30" s="368"/>
      <c r="H30" s="381"/>
      <c r="I30" s="381"/>
      <c r="J30" s="381"/>
      <c r="K30" s="381"/>
      <c r="L30" s="381"/>
      <c r="M30" s="381"/>
      <c r="N30" s="381"/>
      <c r="O30" s="381"/>
      <c r="P30" s="381"/>
      <c r="Q30" s="381"/>
      <c r="R30" s="381"/>
      <c r="S30" s="381"/>
      <c r="T30" s="381"/>
      <c r="U30" s="381"/>
      <c r="V30" s="381"/>
      <c r="W30" s="381"/>
    </row>
    <row r="31" spans="1:23" s="17" customFormat="1" ht="12.75" customHeight="1" x14ac:dyDescent="0.25">
      <c r="A31" s="16"/>
      <c r="B31" s="16"/>
      <c r="D31" s="219"/>
      <c r="E31" s="18"/>
      <c r="F31" s="18"/>
      <c r="G31" s="18"/>
      <c r="H31" s="18"/>
      <c r="I31" s="18"/>
    </row>
    <row r="32" spans="1:23" x14ac:dyDescent="0.25">
      <c r="A32" s="375" t="str">
        <f>IF(Worksheet!D16=4,"Is/Will the employee be tenured?",IF(Worksheet!D16=5,"Is/Will the employee be tenured?", IF(Worksheet!D16=6,"Is/Will the employee be tenured?",IF(Worksheet!$I$15&gt;6,"The primary purpose of this position is non-facuty in the area of:","Does the Position have any Administrative or Research duties beyond that normally expected of Faculty?"))))</f>
        <v>Does the Position have any Administrative or Research duties beyond that normally expected of Faculty?</v>
      </c>
      <c r="B32" s="375"/>
      <c r="C32" s="375"/>
      <c r="D32" s="375"/>
      <c r="E32" s="375"/>
      <c r="F32" s="375"/>
      <c r="G32" s="375"/>
      <c r="H32" s="375"/>
      <c r="I32" s="18"/>
      <c r="J32" s="18"/>
      <c r="K32" s="18"/>
      <c r="L32" s="18"/>
      <c r="M32" s="18"/>
      <c r="N32" s="18"/>
      <c r="O32" s="18"/>
      <c r="P32" s="18"/>
      <c r="Q32" s="18"/>
      <c r="R32" s="18"/>
      <c r="S32" s="18"/>
      <c r="T32" s="18"/>
      <c r="U32" s="18"/>
      <c r="V32" s="18"/>
      <c r="W32" s="17"/>
    </row>
    <row r="33" spans="1:24" s="17" customFormat="1" x14ac:dyDescent="0.25">
      <c r="A33" s="25"/>
      <c r="B33" s="25"/>
      <c r="C33" s="25"/>
      <c r="D33" s="25"/>
      <c r="E33" s="25"/>
      <c r="F33" s="25"/>
      <c r="G33" s="25"/>
      <c r="H33" s="25"/>
      <c r="I33" s="18"/>
      <c r="J33" s="18"/>
      <c r="K33" s="18"/>
      <c r="L33" s="18"/>
      <c r="M33" s="18"/>
      <c r="N33" s="18"/>
      <c r="O33" s="18"/>
      <c r="P33" s="18"/>
      <c r="Q33" s="18"/>
      <c r="R33" s="18"/>
      <c r="S33" s="18"/>
      <c r="T33" s="18"/>
      <c r="U33" s="18"/>
      <c r="V33" s="18"/>
    </row>
    <row r="34" spans="1:24" s="17" customFormat="1" x14ac:dyDescent="0.25">
      <c r="A34" s="322" t="s">
        <v>430</v>
      </c>
      <c r="B34" s="322"/>
      <c r="C34" s="322"/>
      <c r="D34" s="322"/>
      <c r="E34" s="370"/>
      <c r="F34" s="370"/>
      <c r="G34" s="370"/>
      <c r="H34" s="370"/>
      <c r="I34" s="370"/>
      <c r="J34" s="370"/>
      <c r="K34" s="370"/>
      <c r="L34" s="370"/>
      <c r="M34" s="370"/>
      <c r="N34" s="370"/>
      <c r="O34" s="370"/>
      <c r="P34" s="370"/>
      <c r="Q34" s="370"/>
      <c r="R34" s="370"/>
      <c r="S34" s="370"/>
      <c r="T34" s="370"/>
      <c r="U34" s="370"/>
      <c r="V34" s="370"/>
      <c r="W34" s="370"/>
    </row>
    <row r="35" spans="1:24" ht="12.75" customHeight="1" x14ac:dyDescent="0.25">
      <c r="A35" s="387" t="str">
        <f>IF(Worksheet!$H$15=11,"For your unit this rank is equivalent to what tenure track or non tenure track faculty rank?",IF(Worksheet!$H$15=12,"For your unit this rank is equivalent to what tenure track or non tenure track faculty rank?",""))</f>
        <v/>
      </c>
      <c r="B35" s="387"/>
      <c r="C35" s="387"/>
      <c r="D35" s="387"/>
      <c r="E35" s="371" t="s">
        <v>981</v>
      </c>
      <c r="F35" s="371"/>
      <c r="G35" s="371"/>
      <c r="H35" s="371"/>
      <c r="I35" s="371"/>
      <c r="J35" s="371"/>
      <c r="K35" s="371"/>
      <c r="L35" s="371"/>
      <c r="M35" s="371"/>
      <c r="N35" s="371"/>
      <c r="O35" s="371"/>
      <c r="P35" s="371"/>
      <c r="Q35" s="371"/>
      <c r="R35" s="371"/>
      <c r="S35" s="371"/>
      <c r="T35" s="371"/>
      <c r="U35" s="371"/>
      <c r="V35" s="371"/>
      <c r="W35" s="371"/>
      <c r="X35" s="17"/>
    </row>
    <row r="36" spans="1:24" ht="12.75" customHeight="1" x14ac:dyDescent="0.25">
      <c r="A36" s="322" t="s">
        <v>247</v>
      </c>
      <c r="B36" s="322"/>
      <c r="C36" s="323" t="s">
        <v>387</v>
      </c>
      <c r="D36" s="323"/>
      <c r="E36" s="323"/>
      <c r="F36" s="323"/>
      <c r="G36" s="266" t="s">
        <v>302</v>
      </c>
      <c r="H36" s="385"/>
      <c r="I36" s="385"/>
      <c r="J36" s="385"/>
      <c r="K36" s="385"/>
      <c r="L36" s="385"/>
      <c r="M36" s="385"/>
      <c r="N36" s="385"/>
      <c r="O36" s="385"/>
      <c r="P36" s="385"/>
      <c r="Q36" s="385"/>
      <c r="R36" s="385"/>
      <c r="S36" s="385"/>
      <c r="T36" s="385"/>
      <c r="U36" s="385"/>
      <c r="V36" s="385"/>
      <c r="W36" s="385"/>
    </row>
    <row r="37" spans="1:24" s="17" customFormat="1" x14ac:dyDescent="0.25">
      <c r="A37" s="16"/>
      <c r="B37" s="16"/>
      <c r="C37" s="371" t="s">
        <v>934</v>
      </c>
      <c r="D37" s="371"/>
      <c r="E37" s="371"/>
      <c r="F37" s="371"/>
      <c r="G37" s="16"/>
      <c r="H37" s="225"/>
      <c r="I37" s="225"/>
      <c r="J37" s="225"/>
      <c r="K37" s="225"/>
      <c r="L37" s="225"/>
      <c r="M37" s="225"/>
      <c r="N37" s="225"/>
      <c r="O37" s="225"/>
      <c r="P37" s="225"/>
      <c r="Q37" s="225"/>
      <c r="R37" s="225"/>
      <c r="S37" s="225"/>
      <c r="T37" s="225"/>
      <c r="U37" s="225"/>
      <c r="V37" s="225"/>
    </row>
    <row r="38" spans="1:24" ht="12.75" customHeight="1" x14ac:dyDescent="0.25">
      <c r="A38" s="322" t="s">
        <v>1688</v>
      </c>
      <c r="B38" s="322"/>
      <c r="C38" s="322"/>
      <c r="D38" s="323"/>
      <c r="E38" s="323"/>
      <c r="F38" s="323"/>
      <c r="W38" s="17"/>
    </row>
    <row r="39" spans="1:24" s="17" customFormat="1" ht="12.75" customHeight="1" x14ac:dyDescent="0.25">
      <c r="A39" s="16"/>
      <c r="B39" s="16"/>
      <c r="C39" s="294"/>
      <c r="D39" s="294"/>
      <c r="E39" s="294"/>
      <c r="F39" s="294"/>
    </row>
    <row r="40" spans="1:24" x14ac:dyDescent="0.25">
      <c r="A40" s="332" t="str">
        <f>IF(Worksheet!I15&gt;=4, " Contract Period for the Administrative Appointment","Annual Service Obligation for Faculty Appointment")</f>
        <v>Annual Service Obligation for Faculty Appointment</v>
      </c>
      <c r="B40" s="332"/>
      <c r="C40" s="332"/>
      <c r="D40" s="332"/>
      <c r="E40" s="18"/>
      <c r="F40" s="220" t="s">
        <v>174</v>
      </c>
      <c r="G40" s="220"/>
      <c r="H40" s="220"/>
      <c r="I40" s="19" t="s">
        <v>387</v>
      </c>
    </row>
    <row r="41" spans="1:24" s="17" customFormat="1" x14ac:dyDescent="0.25">
      <c r="A41" s="227"/>
      <c r="B41" s="227"/>
      <c r="C41" s="226"/>
      <c r="D41" s="226"/>
      <c r="E41" s="228"/>
      <c r="F41" s="16"/>
      <c r="G41" s="16"/>
      <c r="H41" s="225"/>
      <c r="I41" s="225"/>
      <c r="J41" s="225"/>
      <c r="K41" s="225"/>
      <c r="L41" s="225"/>
      <c r="M41" s="225"/>
      <c r="N41" s="225"/>
      <c r="O41" s="225"/>
      <c r="P41" s="225"/>
      <c r="Q41" s="225"/>
      <c r="R41" s="225"/>
      <c r="S41" s="225"/>
      <c r="T41" s="225"/>
      <c r="U41" s="225"/>
      <c r="V41" s="225"/>
      <c r="W41" s="225"/>
    </row>
    <row r="42" spans="1:24" s="17" customFormat="1" x14ac:dyDescent="0.25">
      <c r="A42" s="227"/>
      <c r="B42" s="227"/>
      <c r="C42" s="226"/>
      <c r="D42" s="226"/>
      <c r="E42" s="228"/>
      <c r="F42" s="16"/>
      <c r="G42" s="16"/>
      <c r="H42" s="225"/>
      <c r="I42" s="225"/>
      <c r="J42" s="225"/>
      <c r="K42" s="225"/>
      <c r="L42" s="225"/>
      <c r="M42" s="225"/>
      <c r="N42" s="225"/>
      <c r="O42" s="225"/>
      <c r="P42" s="225"/>
      <c r="Q42" s="225"/>
      <c r="R42" s="225"/>
      <c r="S42" s="225"/>
      <c r="T42" s="225"/>
      <c r="U42" s="225"/>
      <c r="V42" s="225"/>
      <c r="W42" s="225"/>
    </row>
    <row r="43" spans="1:24" x14ac:dyDescent="0.25">
      <c r="A43" s="347"/>
      <c r="B43" s="347"/>
      <c r="C43" s="360"/>
      <c r="D43" s="360"/>
      <c r="E43" s="360"/>
      <c r="F43" s="50"/>
      <c r="G43" s="50"/>
      <c r="H43" s="352" t="s">
        <v>387</v>
      </c>
      <c r="I43" s="352"/>
    </row>
    <row r="44" spans="1:24" s="246" customFormat="1" x14ac:dyDescent="0.25">
      <c r="A44" s="308" t="s">
        <v>954</v>
      </c>
      <c r="B44" s="309"/>
      <c r="C44" s="309"/>
      <c r="D44" s="309"/>
      <c r="E44" s="309"/>
      <c r="F44" s="309"/>
      <c r="G44" s="309"/>
      <c r="H44" s="309"/>
      <c r="I44" s="309"/>
      <c r="J44" s="309"/>
      <c r="K44" s="309"/>
      <c r="L44" s="309"/>
      <c r="M44" s="309"/>
      <c r="N44" s="309"/>
      <c r="O44" s="309"/>
      <c r="P44" s="309"/>
      <c r="Q44" s="309"/>
      <c r="R44" s="309"/>
      <c r="S44" s="309"/>
      <c r="T44" s="309"/>
      <c r="U44" s="309"/>
      <c r="V44" s="309"/>
      <c r="W44" s="310"/>
    </row>
    <row r="45" spans="1:24" s="17" customFormat="1" x14ac:dyDescent="0.25">
      <c r="A45" s="368" t="s">
        <v>953</v>
      </c>
      <c r="B45" s="368"/>
      <c r="C45" s="346"/>
      <c r="D45" s="346"/>
      <c r="E45" s="346"/>
      <c r="F45" s="378" t="s">
        <v>956</v>
      </c>
      <c r="G45" s="378"/>
      <c r="H45" s="369"/>
      <c r="I45" s="369"/>
      <c r="J45" s="369"/>
      <c r="K45" s="369"/>
      <c r="L45" s="369"/>
      <c r="M45" s="369"/>
      <c r="N45" s="369"/>
      <c r="O45" s="369"/>
      <c r="P45" s="369"/>
      <c r="Q45" s="369"/>
      <c r="R45" s="369"/>
      <c r="S45" s="369"/>
      <c r="T45" s="369"/>
      <c r="U45" s="369"/>
      <c r="V45" s="369"/>
      <c r="W45" s="369"/>
    </row>
    <row r="46" spans="1:24" hidden="1" x14ac:dyDescent="0.25">
      <c r="A46" s="28"/>
      <c r="F46" s="26" t="s">
        <v>955</v>
      </c>
    </row>
    <row r="47" spans="1:24" s="17" customFormat="1" x14ac:dyDescent="0.25">
      <c r="A47" s="29"/>
    </row>
    <row r="48" spans="1:24" s="17" customFormat="1" x14ac:dyDescent="0.25">
      <c r="A48" s="368" t="s">
        <v>1036</v>
      </c>
      <c r="B48" s="368"/>
      <c r="C48" s="369"/>
      <c r="D48" s="369"/>
      <c r="E48" s="26" t="s">
        <v>957</v>
      </c>
      <c r="F48" s="230"/>
      <c r="G48" s="26" t="s">
        <v>2163</v>
      </c>
      <c r="H48" s="230"/>
      <c r="I48" s="26" t="s">
        <v>958</v>
      </c>
      <c r="J48" s="230"/>
      <c r="K48" s="230"/>
      <c r="L48" s="230"/>
      <c r="M48" s="230"/>
      <c r="N48" s="230"/>
      <c r="O48" s="230"/>
      <c r="P48" s="230"/>
      <c r="Q48" s="230"/>
      <c r="R48" s="230"/>
      <c r="S48" s="230"/>
      <c r="T48" s="230"/>
      <c r="U48" s="230"/>
      <c r="V48" s="230"/>
      <c r="W48" s="230"/>
    </row>
    <row r="49" spans="1:23" s="17" customFormat="1" x14ac:dyDescent="0.25">
      <c r="A49" s="229" t="s">
        <v>387</v>
      </c>
    </row>
    <row r="50" spans="1:23" s="246" customFormat="1" x14ac:dyDescent="0.25">
      <c r="A50" s="349" t="s">
        <v>432</v>
      </c>
      <c r="B50" s="350"/>
      <c r="C50" s="350"/>
      <c r="D50" s="350"/>
      <c r="E50" s="350"/>
      <c r="F50" s="350"/>
      <c r="G50" s="350"/>
      <c r="H50" s="350"/>
      <c r="I50" s="350"/>
      <c r="J50" s="350"/>
      <c r="K50" s="350"/>
      <c r="L50" s="350"/>
      <c r="M50" s="350"/>
      <c r="N50" s="350"/>
      <c r="O50" s="350"/>
      <c r="P50" s="350"/>
      <c r="Q50" s="350"/>
      <c r="R50" s="350"/>
      <c r="S50" s="350"/>
      <c r="T50" s="350"/>
      <c r="U50" s="350"/>
      <c r="V50" s="350"/>
      <c r="W50" s="351"/>
    </row>
    <row r="51" spans="1:23" hidden="1" x14ac:dyDescent="0.25"/>
    <row r="52" spans="1:23" ht="27" customHeight="1" x14ac:dyDescent="0.25">
      <c r="A52" s="22" t="s">
        <v>347</v>
      </c>
      <c r="D52" s="39"/>
      <c r="E52" s="314" t="str">
        <f>IF(Worksheet!$M$15&gt;=2," For Non-State funds identify the source of the Grant funds?","")</f>
        <v xml:space="preserve"> For Non-State funds identify the source of the Grant funds?</v>
      </c>
      <c r="F52" s="314"/>
      <c r="G52" s="314"/>
      <c r="H52" s="328"/>
      <c r="I52" s="328"/>
      <c r="J52" s="328"/>
      <c r="K52" s="328"/>
      <c r="L52" s="328"/>
      <c r="M52" s="328"/>
      <c r="N52" s="328"/>
      <c r="O52" s="328"/>
      <c r="P52" s="328"/>
      <c r="Q52" s="328"/>
      <c r="R52" s="328"/>
      <c r="S52" s="328"/>
      <c r="T52" s="328"/>
      <c r="U52" s="328"/>
      <c r="V52" s="328"/>
      <c r="W52" s="328"/>
    </row>
    <row r="53" spans="1:23" s="17" customFormat="1" x14ac:dyDescent="0.25">
      <c r="A53" s="29"/>
      <c r="E53" s="238"/>
      <c r="F53" s="238"/>
      <c r="G53" s="239"/>
      <c r="H53" s="239"/>
      <c r="I53" s="239"/>
    </row>
    <row r="54" spans="1:23" ht="26.4" x14ac:dyDescent="0.25">
      <c r="A54" s="231" t="s">
        <v>412</v>
      </c>
      <c r="B54" s="232" t="s">
        <v>960</v>
      </c>
      <c r="C54" s="361" t="s">
        <v>905</v>
      </c>
      <c r="D54" s="361"/>
      <c r="E54" s="232" t="s">
        <v>961</v>
      </c>
      <c r="F54" s="232" t="s">
        <v>962</v>
      </c>
      <c r="G54" s="232" t="s">
        <v>413</v>
      </c>
      <c r="H54" s="232" t="s">
        <v>414</v>
      </c>
      <c r="I54" s="232" t="s">
        <v>506</v>
      </c>
      <c r="W54" s="232" t="s">
        <v>963</v>
      </c>
    </row>
    <row r="55" spans="1:23" x14ac:dyDescent="0.25">
      <c r="A55" s="258" t="s">
        <v>985</v>
      </c>
      <c r="B55" s="255" t="s">
        <v>984</v>
      </c>
      <c r="C55" s="377" t="s">
        <v>1039</v>
      </c>
      <c r="D55" s="377"/>
      <c r="E55" s="255" t="s">
        <v>982</v>
      </c>
      <c r="F55" s="255" t="s">
        <v>983</v>
      </c>
      <c r="G55" s="261">
        <v>15000</v>
      </c>
      <c r="H55" s="262">
        <v>0.5</v>
      </c>
      <c r="I55" s="260">
        <v>1</v>
      </c>
      <c r="J55" s="254"/>
      <c r="K55" s="254"/>
      <c r="L55" s="254"/>
      <c r="M55" s="254"/>
      <c r="N55" s="254"/>
      <c r="O55" s="254"/>
      <c r="P55" s="254"/>
      <c r="Q55" s="254"/>
      <c r="R55" s="254"/>
      <c r="S55" s="254"/>
      <c r="T55" s="254"/>
      <c r="U55" s="254"/>
      <c r="V55" s="254"/>
      <c r="W55" s="253">
        <v>10705</v>
      </c>
    </row>
    <row r="56" spans="1:23" ht="16.5" customHeight="1" x14ac:dyDescent="0.25">
      <c r="A56" s="256"/>
      <c r="B56" s="256"/>
      <c r="C56" s="326"/>
      <c r="D56" s="327"/>
      <c r="E56" s="256"/>
      <c r="F56" s="256"/>
      <c r="G56" s="250">
        <v>0</v>
      </c>
      <c r="H56" s="251" t="s">
        <v>387</v>
      </c>
      <c r="I56" s="252"/>
      <c r="W56" s="256"/>
    </row>
    <row r="57" spans="1:23" ht="16.5" customHeight="1" x14ac:dyDescent="0.25">
      <c r="A57" s="259"/>
      <c r="B57" s="259"/>
      <c r="C57" s="326"/>
      <c r="D57" s="327"/>
      <c r="E57" s="257"/>
      <c r="F57" s="257"/>
      <c r="G57" s="235">
        <v>0</v>
      </c>
      <c r="H57" s="51"/>
      <c r="I57" s="213"/>
      <c r="W57" s="256"/>
    </row>
    <row r="58" spans="1:23" ht="16.5" customHeight="1" x14ac:dyDescent="0.25">
      <c r="A58" s="259"/>
      <c r="B58" s="259"/>
      <c r="C58" s="326"/>
      <c r="D58" s="327"/>
      <c r="E58" s="257"/>
      <c r="F58" s="257"/>
      <c r="G58" s="235">
        <v>0</v>
      </c>
      <c r="H58" s="51" t="s">
        <v>387</v>
      </c>
      <c r="I58" s="213"/>
      <c r="W58" s="256"/>
    </row>
    <row r="59" spans="1:23" x14ac:dyDescent="0.25">
      <c r="A59" s="388" t="s">
        <v>964</v>
      </c>
      <c r="B59" s="388"/>
      <c r="C59" s="388"/>
      <c r="D59" s="233"/>
      <c r="E59" s="233"/>
      <c r="F59" s="233"/>
      <c r="G59" s="233"/>
      <c r="H59" s="233"/>
      <c r="I59" s="233"/>
      <c r="W59" s="233"/>
    </row>
    <row r="60" spans="1:23" x14ac:dyDescent="0.25">
      <c r="A60" s="62"/>
      <c r="B60" s="62"/>
      <c r="C60" s="326"/>
      <c r="D60" s="327"/>
      <c r="E60" s="182"/>
      <c r="F60" s="182"/>
      <c r="G60" s="236">
        <v>0</v>
      </c>
      <c r="H60" s="20"/>
      <c r="I60" s="20"/>
      <c r="W60" s="20"/>
    </row>
    <row r="61" spans="1:23" ht="16.5" customHeight="1" x14ac:dyDescent="0.25">
      <c r="A61" s="348"/>
      <c r="B61" s="348"/>
      <c r="C61" s="348"/>
      <c r="D61" s="54"/>
      <c r="E61" s="54"/>
      <c r="F61" s="54" t="s">
        <v>415</v>
      </c>
      <c r="G61" s="237">
        <f>SUM(G56:G58)+G60</f>
        <v>0</v>
      </c>
      <c r="H61" s="53">
        <f>SUM(H56:H58)</f>
        <v>0</v>
      </c>
      <c r="I61" s="234">
        <f>SUM(I56:J58)</f>
        <v>0</v>
      </c>
    </row>
    <row r="62" spans="1:23" ht="16.5" customHeight="1" x14ac:dyDescent="0.25">
      <c r="A62" s="47"/>
      <c r="B62" s="47"/>
      <c r="C62" s="47"/>
      <c r="D62" s="54"/>
      <c r="E62" s="54"/>
      <c r="F62" s="54"/>
      <c r="G62" s="54"/>
      <c r="H62" s="54"/>
      <c r="I62" s="54"/>
      <c r="J62" s="54"/>
      <c r="K62" s="54"/>
      <c r="L62" s="54"/>
      <c r="M62" s="54"/>
      <c r="N62" s="54"/>
      <c r="O62" s="54"/>
      <c r="P62" s="54"/>
      <c r="Q62" s="54"/>
      <c r="R62" s="54"/>
      <c r="S62" s="54"/>
      <c r="T62" s="54"/>
      <c r="U62" s="54"/>
      <c r="V62" s="54"/>
      <c r="W62" s="54"/>
    </row>
    <row r="63" spans="1:23" x14ac:dyDescent="0.25">
      <c r="A63" s="52"/>
      <c r="B63" s="52"/>
      <c r="C63" s="52"/>
      <c r="D63" s="52"/>
      <c r="E63" s="52" t="s">
        <v>304</v>
      </c>
      <c r="F63" s="38" t="str">
        <f>IF(G61&gt;1,"&gt; 100%-Check","")</f>
        <v/>
      </c>
      <c r="G63" s="348" t="str">
        <f>IF(H61&gt;1,"&gt;1 FTE-Check","")</f>
        <v/>
      </c>
      <c r="H63" s="348"/>
      <c r="I63" s="39"/>
      <c r="J63" s="39"/>
      <c r="K63" s="39"/>
      <c r="L63" s="39"/>
      <c r="M63" s="39"/>
      <c r="N63" s="39"/>
      <c r="O63" s="39"/>
      <c r="P63" s="39"/>
      <c r="Q63" s="39"/>
      <c r="R63" s="39"/>
      <c r="S63" s="39"/>
      <c r="T63" s="39"/>
      <c r="U63" s="39"/>
      <c r="V63" s="39"/>
      <c r="W63" s="39"/>
    </row>
    <row r="64" spans="1:23" x14ac:dyDescent="0.25">
      <c r="A64" s="365" t="s">
        <v>306</v>
      </c>
      <c r="B64" s="365"/>
      <c r="C64" s="365"/>
      <c r="D64" s="365"/>
      <c r="E64" s="365"/>
      <c r="F64" s="313"/>
      <c r="G64" s="313"/>
      <c r="H64" s="313"/>
      <c r="I64" s="39"/>
      <c r="J64" s="39"/>
      <c r="K64" s="39"/>
      <c r="L64" s="39"/>
      <c r="M64" s="39"/>
      <c r="N64" s="39"/>
      <c r="O64" s="39"/>
      <c r="P64" s="39"/>
      <c r="Q64" s="39"/>
      <c r="R64" s="39"/>
      <c r="S64" s="39"/>
      <c r="T64" s="39"/>
      <c r="U64" s="39"/>
      <c r="V64" s="39"/>
      <c r="W64" s="39"/>
    </row>
    <row r="65" spans="1:23" ht="15" customHeight="1" x14ac:dyDescent="0.25">
      <c r="A65" s="322" t="s">
        <v>428</v>
      </c>
      <c r="B65" s="322"/>
      <c r="C65" s="329" t="s">
        <v>387</v>
      </c>
      <c r="D65" s="329"/>
      <c r="E65" s="38" t="s">
        <v>387</v>
      </c>
      <c r="F65" s="363" t="s">
        <v>387</v>
      </c>
      <c r="G65" s="363"/>
      <c r="H65" s="55" t="s">
        <v>307</v>
      </c>
      <c r="I65" s="56"/>
      <c r="W65" s="39"/>
    </row>
    <row r="66" spans="1:23" x14ac:dyDescent="0.25">
      <c r="A66" s="37"/>
      <c r="B66" s="39"/>
      <c r="C66" s="330" t="s">
        <v>977</v>
      </c>
      <c r="D66" s="330"/>
      <c r="E66" s="60"/>
      <c r="F66" s="330" t="s">
        <v>978</v>
      </c>
      <c r="G66" s="330"/>
      <c r="H66" s="34" t="s">
        <v>387</v>
      </c>
      <c r="I66" s="34"/>
      <c r="W66" s="39"/>
    </row>
    <row r="67" spans="1:23" x14ac:dyDescent="0.25">
      <c r="A67" s="37"/>
      <c r="B67" s="39"/>
      <c r="C67" s="39"/>
      <c r="D67" s="39"/>
      <c r="E67" s="39"/>
      <c r="F67" s="39"/>
      <c r="G67" s="39"/>
      <c r="H67" s="39"/>
      <c r="I67" s="34"/>
      <c r="W67" s="39"/>
    </row>
    <row r="68" spans="1:23" ht="15" customHeight="1" x14ac:dyDescent="0.25">
      <c r="A68" s="322" t="s">
        <v>906</v>
      </c>
      <c r="B68" s="322"/>
      <c r="C68" s="329" t="s">
        <v>387</v>
      </c>
      <c r="D68" s="329"/>
      <c r="E68" s="38" t="s">
        <v>387</v>
      </c>
      <c r="F68" s="363" t="s">
        <v>387</v>
      </c>
      <c r="G68" s="363"/>
      <c r="H68" s="55" t="s">
        <v>307</v>
      </c>
      <c r="I68" s="56"/>
      <c r="W68" s="39"/>
    </row>
    <row r="69" spans="1:23" x14ac:dyDescent="0.25">
      <c r="A69" s="37"/>
      <c r="B69" s="39"/>
      <c r="C69" s="330" t="s">
        <v>977</v>
      </c>
      <c r="D69" s="330"/>
      <c r="E69" s="60"/>
      <c r="F69" s="330" t="s">
        <v>978</v>
      </c>
      <c r="G69" s="330"/>
      <c r="H69" s="34" t="s">
        <v>387</v>
      </c>
      <c r="I69" s="34"/>
      <c r="W69" s="39"/>
    </row>
    <row r="70" spans="1:23" x14ac:dyDescent="0.25">
      <c r="A70" s="37"/>
      <c r="B70" s="59" t="str">
        <f>IF(C71&lt;setup!A6,IF('E Recomend'!F71&gt;=setup!A6,"This contract crosses fiscal years.Check funding carefully.",""),"")</f>
        <v/>
      </c>
      <c r="C70" s="58"/>
      <c r="D70" s="58"/>
      <c r="E70" s="57"/>
      <c r="F70" s="58"/>
      <c r="G70" s="34"/>
      <c r="H70" s="34" t="s">
        <v>308</v>
      </c>
      <c r="I70" s="34"/>
      <c r="W70" s="39"/>
    </row>
    <row r="71" spans="1:23" hidden="1" x14ac:dyDescent="0.25">
      <c r="C71" s="21" t="str">
        <f>C65</f>
        <v xml:space="preserve"> </v>
      </c>
      <c r="F71" s="21" t="str">
        <f>F65</f>
        <v xml:space="preserve"> </v>
      </c>
      <c r="H71" s="313" t="s">
        <v>387</v>
      </c>
      <c r="I71" s="313"/>
    </row>
    <row r="72" spans="1:23" ht="24.75" customHeight="1" thickBot="1" x14ac:dyDescent="0.3">
      <c r="A72" s="339" t="s">
        <v>299</v>
      </c>
      <c r="B72" s="340"/>
      <c r="C72" s="340"/>
      <c r="D72" s="340"/>
      <c r="E72" s="340"/>
      <c r="F72" s="341"/>
      <c r="G72" s="345" t="s">
        <v>182</v>
      </c>
      <c r="H72" s="345"/>
      <c r="I72" s="362" t="s">
        <v>454</v>
      </c>
      <c r="J72" s="362"/>
      <c r="K72" s="362"/>
      <c r="L72" s="362"/>
      <c r="M72" s="362"/>
      <c r="N72" s="362"/>
      <c r="O72" s="362"/>
      <c r="P72" s="362"/>
      <c r="Q72" s="362"/>
      <c r="R72" s="362"/>
      <c r="S72" s="362"/>
      <c r="T72" s="362"/>
      <c r="U72" s="362"/>
      <c r="V72" s="362"/>
      <c r="W72" s="362"/>
    </row>
    <row r="73" spans="1:23" x14ac:dyDescent="0.25">
      <c r="A73" s="273" t="s">
        <v>300</v>
      </c>
      <c r="B73" s="274" t="s">
        <v>301</v>
      </c>
      <c r="C73" s="275" t="s">
        <v>506</v>
      </c>
      <c r="D73" s="273" t="s">
        <v>300</v>
      </c>
      <c r="E73" s="274" t="s">
        <v>301</v>
      </c>
      <c r="F73" s="275" t="s">
        <v>506</v>
      </c>
      <c r="G73" s="316">
        <v>0</v>
      </c>
      <c r="H73" s="317"/>
      <c r="I73" s="364"/>
      <c r="J73" s="316"/>
      <c r="K73" s="316"/>
      <c r="L73" s="316"/>
      <c r="M73" s="316"/>
      <c r="N73" s="316"/>
      <c r="O73" s="316"/>
      <c r="P73" s="316"/>
      <c r="Q73" s="316"/>
      <c r="R73" s="316"/>
      <c r="S73" s="316"/>
      <c r="T73" s="316"/>
      <c r="U73" s="316"/>
      <c r="V73" s="316"/>
      <c r="W73" s="316"/>
    </row>
    <row r="74" spans="1:23" x14ac:dyDescent="0.25">
      <c r="A74" s="276"/>
      <c r="B74" s="277">
        <v>0</v>
      </c>
      <c r="C74" s="278">
        <v>0</v>
      </c>
      <c r="D74" s="276"/>
      <c r="E74" s="277">
        <v>0</v>
      </c>
      <c r="F74" s="278">
        <v>0</v>
      </c>
      <c r="G74" s="39"/>
      <c r="H74" s="39" t="s">
        <v>303</v>
      </c>
      <c r="I74" s="39"/>
      <c r="J74" s="39"/>
      <c r="K74" s="39"/>
      <c r="L74" s="39"/>
      <c r="M74" s="39"/>
      <c r="N74" s="39"/>
      <c r="O74" s="39"/>
      <c r="P74" s="39"/>
      <c r="Q74" s="39"/>
      <c r="R74" s="39"/>
      <c r="S74" s="39"/>
      <c r="T74" s="39"/>
      <c r="U74" s="39"/>
      <c r="V74" s="39"/>
      <c r="W74" s="39"/>
    </row>
    <row r="75" spans="1:23" x14ac:dyDescent="0.25">
      <c r="A75" s="279"/>
      <c r="B75" s="280">
        <v>0</v>
      </c>
      <c r="C75" s="281">
        <v>0</v>
      </c>
      <c r="D75" s="279"/>
      <c r="E75" s="280">
        <v>0</v>
      </c>
      <c r="F75" s="281">
        <v>0</v>
      </c>
      <c r="G75" s="39"/>
      <c r="H75" s="39" t="s">
        <v>309</v>
      </c>
      <c r="I75" s="39"/>
      <c r="J75" s="39"/>
      <c r="K75" s="39"/>
      <c r="L75" s="39"/>
      <c r="M75" s="39"/>
      <c r="N75" s="39"/>
      <c r="O75" s="39"/>
      <c r="P75" s="39"/>
      <c r="Q75" s="39"/>
      <c r="R75" s="39"/>
      <c r="S75" s="39"/>
      <c r="T75" s="39"/>
      <c r="U75" s="39"/>
      <c r="V75" s="39"/>
      <c r="W75" s="39"/>
    </row>
    <row r="76" spans="1:23" x14ac:dyDescent="0.25">
      <c r="A76" s="279"/>
      <c r="B76" s="280">
        <v>0</v>
      </c>
      <c r="C76" s="281">
        <v>0</v>
      </c>
      <c r="D76" s="279"/>
      <c r="E76" s="280">
        <v>0</v>
      </c>
      <c r="F76" s="281">
        <v>0</v>
      </c>
      <c r="G76" s="39"/>
      <c r="H76" s="39" t="s">
        <v>304</v>
      </c>
      <c r="I76" s="39"/>
      <c r="W76" s="39"/>
    </row>
    <row r="77" spans="1:23" x14ac:dyDescent="0.25">
      <c r="A77" s="279"/>
      <c r="B77" s="280">
        <v>0</v>
      </c>
      <c r="C77" s="281">
        <v>0</v>
      </c>
      <c r="D77" s="282"/>
      <c r="E77" s="280">
        <v>0</v>
      </c>
      <c r="F77" s="281">
        <v>0</v>
      </c>
      <c r="G77" s="39"/>
      <c r="H77" s="39" t="s">
        <v>305</v>
      </c>
      <c r="I77" s="39"/>
      <c r="W77" s="39"/>
    </row>
    <row r="78" spans="1:23" x14ac:dyDescent="0.25">
      <c r="A78" s="279"/>
      <c r="B78" s="280">
        <v>0</v>
      </c>
      <c r="C78" s="281">
        <v>0</v>
      </c>
      <c r="D78" s="282"/>
      <c r="E78" s="280">
        <v>0</v>
      </c>
      <c r="F78" s="281">
        <v>0</v>
      </c>
      <c r="G78" s="39"/>
      <c r="H78" s="39" t="s">
        <v>307</v>
      </c>
      <c r="I78" s="39"/>
      <c r="W78" s="39"/>
    </row>
    <row r="79" spans="1:23" ht="13.8" thickBot="1" x14ac:dyDescent="0.3">
      <c r="A79" s="283"/>
      <c r="B79" s="284">
        <v>0</v>
      </c>
      <c r="C79" s="285">
        <v>0</v>
      </c>
      <c r="D79" s="283"/>
      <c r="E79" s="284">
        <v>0</v>
      </c>
      <c r="F79" s="285">
        <v>0</v>
      </c>
      <c r="G79" s="39"/>
      <c r="H79" s="39" t="s">
        <v>308</v>
      </c>
      <c r="I79" s="39"/>
      <c r="W79" s="39"/>
    </row>
    <row r="80" spans="1:23" x14ac:dyDescent="0.25">
      <c r="A80" s="240" t="s">
        <v>470</v>
      </c>
      <c r="B80" s="249">
        <f>SUM(B74:B79,E74:E79)</f>
        <v>0</v>
      </c>
      <c r="C80" s="248">
        <f>SUM(C74:C79,F74:F79)</f>
        <v>0</v>
      </c>
      <c r="D80" s="39"/>
      <c r="E80" s="39"/>
      <c r="F80" s="39"/>
      <c r="G80" s="39"/>
      <c r="H80" s="39" t="s">
        <v>307</v>
      </c>
      <c r="I80" s="39"/>
      <c r="W80" s="39"/>
    </row>
    <row r="81" spans="1:23" x14ac:dyDescent="0.25">
      <c r="A81" s="37"/>
      <c r="B81" s="39"/>
      <c r="C81" s="39"/>
      <c r="D81" s="39"/>
      <c r="E81" s="39"/>
      <c r="F81" s="39"/>
      <c r="G81" s="39"/>
      <c r="H81" s="39" t="s">
        <v>305</v>
      </c>
      <c r="I81" s="39"/>
      <c r="W81" s="39"/>
    </row>
    <row r="82" spans="1:23" x14ac:dyDescent="0.25">
      <c r="A82" s="332" t="s">
        <v>427</v>
      </c>
      <c r="B82" s="332"/>
      <c r="C82" s="332"/>
      <c r="D82" s="353"/>
      <c r="E82" s="353"/>
      <c r="F82" s="217"/>
      <c r="G82" s="216"/>
      <c r="H82" s="216"/>
      <c r="I82" s="216"/>
    </row>
    <row r="83" spans="1:23" x14ac:dyDescent="0.25">
      <c r="A83" s="37"/>
      <c r="B83" s="39"/>
      <c r="C83" s="39"/>
      <c r="D83" s="330" t="s">
        <v>911</v>
      </c>
      <c r="E83" s="330"/>
      <c r="F83" s="39"/>
      <c r="G83" s="330" t="s">
        <v>927</v>
      </c>
      <c r="H83" s="330"/>
      <c r="I83" s="330"/>
      <c r="W83" s="39"/>
    </row>
    <row r="84" spans="1:23" x14ac:dyDescent="0.25">
      <c r="A84" s="332" t="s">
        <v>453</v>
      </c>
      <c r="B84" s="332"/>
      <c r="C84" s="332"/>
      <c r="D84" s="344"/>
      <c r="E84" s="344"/>
      <c r="F84" s="15" t="s">
        <v>429</v>
      </c>
      <c r="G84" s="344"/>
      <c r="H84" s="344"/>
      <c r="I84" s="344"/>
      <c r="J84" s="218"/>
      <c r="K84" s="218"/>
      <c r="L84" s="218"/>
      <c r="M84" s="218"/>
      <c r="N84" s="218"/>
      <c r="O84" s="218"/>
      <c r="P84" s="218"/>
      <c r="Q84" s="218"/>
      <c r="R84" s="218"/>
      <c r="S84" s="218"/>
      <c r="T84" s="218"/>
      <c r="U84" s="218"/>
      <c r="V84" s="218"/>
      <c r="W84" s="39"/>
    </row>
    <row r="85" spans="1:23" x14ac:dyDescent="0.25">
      <c r="A85" s="37"/>
      <c r="B85" s="39"/>
      <c r="C85" s="268"/>
      <c r="D85" s="330" t="s">
        <v>977</v>
      </c>
      <c r="E85" s="330"/>
      <c r="F85" s="268"/>
      <c r="G85" s="330" t="s">
        <v>978</v>
      </c>
      <c r="H85" s="330"/>
      <c r="I85" s="330"/>
      <c r="W85" s="39"/>
    </row>
    <row r="86" spans="1:23" ht="15" customHeight="1" x14ac:dyDescent="0.25">
      <c r="A86" s="342" t="s">
        <v>218</v>
      </c>
      <c r="B86" s="333" t="s">
        <v>387</v>
      </c>
      <c r="C86" s="334"/>
      <c r="D86" s="334"/>
      <c r="E86" s="334"/>
      <c r="F86" s="334"/>
      <c r="G86" s="334"/>
      <c r="H86" s="334"/>
      <c r="I86" s="334"/>
      <c r="J86" s="334"/>
      <c r="K86" s="334"/>
      <c r="L86" s="334"/>
      <c r="M86" s="334"/>
      <c r="N86" s="334"/>
      <c r="O86" s="334"/>
      <c r="P86" s="334"/>
      <c r="Q86" s="334"/>
      <c r="R86" s="334"/>
      <c r="S86" s="334"/>
      <c r="T86" s="334"/>
      <c r="U86" s="334"/>
      <c r="V86" s="334"/>
      <c r="W86" s="335"/>
    </row>
    <row r="87" spans="1:23" ht="15" customHeight="1" x14ac:dyDescent="0.25">
      <c r="A87" s="342"/>
      <c r="B87" s="336"/>
      <c r="C87" s="337"/>
      <c r="D87" s="337"/>
      <c r="E87" s="337"/>
      <c r="F87" s="337"/>
      <c r="G87" s="337"/>
      <c r="H87" s="337"/>
      <c r="I87" s="337"/>
      <c r="J87" s="337"/>
      <c r="K87" s="337"/>
      <c r="L87" s="337"/>
      <c r="M87" s="337"/>
      <c r="N87" s="337"/>
      <c r="O87" s="337"/>
      <c r="P87" s="337"/>
      <c r="Q87" s="337"/>
      <c r="R87" s="337"/>
      <c r="S87" s="337"/>
      <c r="T87" s="337"/>
      <c r="U87" s="337"/>
      <c r="V87" s="337"/>
      <c r="W87" s="338"/>
    </row>
    <row r="88" spans="1:23" s="17" customFormat="1" ht="15" customHeight="1" x14ac:dyDescent="0.25">
      <c r="A88" s="221"/>
      <c r="B88" s="318" t="s">
        <v>2188</v>
      </c>
      <c r="C88" s="318"/>
      <c r="D88" s="318"/>
      <c r="E88" s="318"/>
      <c r="F88" s="318"/>
      <c r="G88" s="318"/>
      <c r="H88" s="318"/>
      <c r="I88" s="318"/>
      <c r="W88" s="39"/>
    </row>
    <row r="89" spans="1:23" s="246" customFormat="1" x14ac:dyDescent="0.25">
      <c r="A89" s="308" t="s">
        <v>2187</v>
      </c>
      <c r="B89" s="309"/>
      <c r="C89" s="309"/>
      <c r="D89" s="309"/>
      <c r="E89" s="309"/>
      <c r="F89" s="309"/>
      <c r="G89" s="309"/>
      <c r="H89" s="309"/>
      <c r="I89" s="309"/>
      <c r="J89" s="309"/>
      <c r="K89" s="309"/>
      <c r="L89" s="309"/>
      <c r="M89" s="309"/>
      <c r="N89" s="309"/>
      <c r="O89" s="309"/>
      <c r="P89" s="309"/>
      <c r="Q89" s="309"/>
      <c r="R89" s="309"/>
      <c r="S89" s="309"/>
      <c r="T89" s="309"/>
      <c r="U89" s="309"/>
      <c r="V89" s="309"/>
      <c r="W89" s="310"/>
    </row>
    <row r="90" spans="1:23" s="17" customFormat="1" ht="15.75" customHeight="1" x14ac:dyDescent="0.25">
      <c r="A90" s="26" t="s">
        <v>969</v>
      </c>
      <c r="B90" s="331"/>
      <c r="C90" s="331"/>
      <c r="D90" s="331"/>
      <c r="E90" s="26" t="s">
        <v>970</v>
      </c>
      <c r="F90" s="312"/>
      <c r="G90" s="312"/>
      <c r="H90" s="26" t="s">
        <v>459</v>
      </c>
      <c r="I90" s="312"/>
      <c r="J90" s="312"/>
      <c r="K90" s="312"/>
      <c r="L90" s="312"/>
      <c r="M90" s="312"/>
      <c r="N90" s="312"/>
      <c r="O90" s="312"/>
      <c r="P90" s="312"/>
      <c r="Q90" s="312"/>
      <c r="R90" s="312"/>
      <c r="S90" s="312"/>
      <c r="T90" s="312"/>
      <c r="U90" s="312"/>
      <c r="V90" s="312"/>
      <c r="W90" s="312"/>
    </row>
    <row r="91" spans="1:23" s="17" customFormat="1" x14ac:dyDescent="0.25">
      <c r="A91" s="222"/>
      <c r="B91" s="222"/>
      <c r="C91" s="222"/>
      <c r="H91" s="17" t="s">
        <v>304</v>
      </c>
      <c r="W91" s="39"/>
    </row>
    <row r="92" spans="1:23" s="246" customFormat="1" x14ac:dyDescent="0.25">
      <c r="A92" s="308" t="s">
        <v>965</v>
      </c>
      <c r="B92" s="309"/>
      <c r="C92" s="309"/>
      <c r="D92" s="309"/>
      <c r="E92" s="309"/>
      <c r="F92" s="309"/>
      <c r="G92" s="309"/>
      <c r="H92" s="309"/>
      <c r="I92" s="309"/>
      <c r="J92" s="309"/>
      <c r="K92" s="309"/>
      <c r="L92" s="309"/>
      <c r="M92" s="309"/>
      <c r="N92" s="309"/>
      <c r="O92" s="309"/>
      <c r="P92" s="309"/>
      <c r="Q92" s="309"/>
      <c r="R92" s="309"/>
      <c r="S92" s="309"/>
      <c r="T92" s="309"/>
      <c r="U92" s="309"/>
      <c r="V92" s="309"/>
      <c r="W92" s="310"/>
    </row>
    <row r="93" spans="1:23" s="17" customFormat="1" x14ac:dyDescent="0.25">
      <c r="A93" s="241"/>
      <c r="B93" s="241"/>
      <c r="C93" s="241"/>
      <c r="D93" s="241"/>
      <c r="E93" s="241"/>
      <c r="H93" s="241"/>
      <c r="I93" s="241"/>
      <c r="W93" s="39"/>
    </row>
    <row r="94" spans="1:23" ht="15.6" x14ac:dyDescent="0.3">
      <c r="A94" s="306"/>
      <c r="B94" s="307"/>
      <c r="C94" s="307"/>
      <c r="D94" s="89" t="s">
        <v>387</v>
      </c>
      <c r="E94" s="39"/>
      <c r="F94" s="39"/>
      <c r="G94" s="211" t="s">
        <v>387</v>
      </c>
      <c r="H94" s="212"/>
      <c r="I94" s="212"/>
      <c r="L94" s="11" t="s">
        <v>387</v>
      </c>
      <c r="W94" s="89" t="s">
        <v>387</v>
      </c>
    </row>
    <row r="95" spans="1:23" ht="15" customHeight="1" x14ac:dyDescent="0.25">
      <c r="A95" s="343" t="s">
        <v>553</v>
      </c>
      <c r="B95" s="343"/>
      <c r="C95" s="44"/>
      <c r="D95" s="38" t="s">
        <v>345</v>
      </c>
      <c r="E95" s="39"/>
      <c r="F95" s="39"/>
      <c r="G95" s="343" t="s">
        <v>979</v>
      </c>
      <c r="H95" s="343"/>
      <c r="L95">
        <v>6843</v>
      </c>
      <c r="M95" t="s">
        <v>707</v>
      </c>
      <c r="P95" s="11" t="e">
        <f>#REF!</f>
        <v>#REF!</v>
      </c>
      <c r="Q95" s="85" t="e">
        <f>VLOOKUP(P95,$L$98:$M$562,2,FALSE)</f>
        <v>#REF!</v>
      </c>
      <c r="T95" s="86"/>
      <c r="W95" s="38" t="s">
        <v>345</v>
      </c>
    </row>
    <row r="96" spans="1:23" x14ac:dyDescent="0.25">
      <c r="A96" s="48"/>
      <c r="B96" s="242"/>
      <c r="C96" s="242"/>
      <c r="D96" s="39"/>
      <c r="E96" s="39"/>
      <c r="F96" s="39"/>
      <c r="G96" s="39" t="s">
        <v>387</v>
      </c>
      <c r="H96" s="39"/>
      <c r="I96" s="39"/>
      <c r="W96" s="39"/>
    </row>
    <row r="97" spans="1:23" ht="15.6" x14ac:dyDescent="0.3">
      <c r="A97" s="319"/>
      <c r="B97" s="320"/>
      <c r="C97" s="320"/>
      <c r="D97" s="61"/>
      <c r="E97" s="39"/>
      <c r="F97" s="39"/>
      <c r="G97" s="211" t="s">
        <v>387</v>
      </c>
      <c r="H97" s="212"/>
      <c r="I97" s="212"/>
      <c r="L97" s="11" t="s">
        <v>387</v>
      </c>
      <c r="W97" s="89" t="s">
        <v>387</v>
      </c>
    </row>
    <row r="98" spans="1:23" ht="12.75" customHeight="1" x14ac:dyDescent="0.25">
      <c r="A98" s="315" t="s">
        <v>324</v>
      </c>
      <c r="B98" s="315"/>
      <c r="C98" s="315"/>
      <c r="D98" s="38" t="s">
        <v>345</v>
      </c>
      <c r="E98" s="39"/>
      <c r="F98" s="39"/>
      <c r="G98" s="343" t="s">
        <v>555</v>
      </c>
      <c r="H98" s="343"/>
      <c r="L98">
        <v>6843</v>
      </c>
      <c r="M98" t="s">
        <v>707</v>
      </c>
      <c r="P98" s="11" t="e">
        <f>#REF!</f>
        <v>#REF!</v>
      </c>
      <c r="Q98" s="85" t="e">
        <f>VLOOKUP(P98,$L$98:$M$562,2,FALSE)</f>
        <v>#REF!</v>
      </c>
      <c r="T98" s="86"/>
      <c r="W98" s="38" t="s">
        <v>345</v>
      </c>
    </row>
    <row r="99" spans="1:23" ht="15" customHeight="1" x14ac:dyDescent="0.25">
      <c r="A99" s="48"/>
      <c r="B99" s="242"/>
      <c r="C99" s="242"/>
      <c r="D99" s="39"/>
      <c r="E99" s="39"/>
      <c r="F99" s="39"/>
      <c r="G99" s="39"/>
      <c r="H99" s="39"/>
      <c r="I99" s="39"/>
      <c r="L99">
        <v>4170</v>
      </c>
      <c r="M99" t="s">
        <v>708</v>
      </c>
      <c r="P99" s="11" t="e">
        <f>#REF!</f>
        <v>#REF!</v>
      </c>
      <c r="Q99" s="85" t="e">
        <f>VLOOKUP(P99,$L$98:$M$562,2,FALSE)</f>
        <v>#REF!</v>
      </c>
      <c r="T99" s="86"/>
      <c r="W99" s="39"/>
    </row>
    <row r="100" spans="1:23" ht="13.5" customHeight="1" x14ac:dyDescent="0.3">
      <c r="A100" s="306" t="s">
        <v>387</v>
      </c>
      <c r="B100" s="307"/>
      <c r="C100" s="307"/>
      <c r="D100" s="90" t="s">
        <v>387</v>
      </c>
      <c r="E100" s="39"/>
      <c r="F100" s="39"/>
      <c r="G100" s="271" t="s">
        <v>387</v>
      </c>
      <c r="H100" s="271"/>
      <c r="I100" s="271"/>
      <c r="W100" s="89" t="s">
        <v>387</v>
      </c>
    </row>
    <row r="101" spans="1:23" ht="13.5" customHeight="1" x14ac:dyDescent="0.25">
      <c r="A101" s="315" t="s">
        <v>554</v>
      </c>
      <c r="B101" s="315"/>
      <c r="C101" s="315"/>
      <c r="D101" s="38" t="s">
        <v>345</v>
      </c>
      <c r="E101" s="39"/>
      <c r="F101" s="39"/>
      <c r="G101" s="343" t="s">
        <v>2184</v>
      </c>
      <c r="H101" s="343"/>
      <c r="L101">
        <v>6843</v>
      </c>
      <c r="M101" t="s">
        <v>707</v>
      </c>
      <c r="P101" s="11" t="e">
        <f>#REF!</f>
        <v>#REF!</v>
      </c>
      <c r="Q101" s="85" t="e">
        <f>VLOOKUP(P101,$L$98:$M$562,2,FALSE)</f>
        <v>#REF!</v>
      </c>
      <c r="T101" s="86"/>
      <c r="W101" s="38" t="s">
        <v>345</v>
      </c>
    </row>
    <row r="102" spans="1:23" ht="15" customHeight="1" x14ac:dyDescent="0.25">
      <c r="A102" s="243"/>
      <c r="B102" s="243"/>
      <c r="C102" s="242"/>
      <c r="D102" s="39"/>
      <c r="E102" s="39"/>
      <c r="F102" s="39"/>
      <c r="L102">
        <v>2582</v>
      </c>
      <c r="M102" t="s">
        <v>709</v>
      </c>
      <c r="Q102" s="85"/>
      <c r="T102" s="86"/>
    </row>
    <row r="103" spans="1:23" ht="15.6" x14ac:dyDescent="0.3">
      <c r="A103" s="319"/>
      <c r="B103" s="320"/>
      <c r="C103" s="320"/>
      <c r="D103" s="89" t="s">
        <v>387</v>
      </c>
      <c r="E103" s="39"/>
      <c r="F103" s="39"/>
      <c r="G103" s="271" t="s">
        <v>387</v>
      </c>
      <c r="H103" s="271"/>
      <c r="I103" s="271"/>
      <c r="L103">
        <v>1233</v>
      </c>
      <c r="M103" t="s">
        <v>710</v>
      </c>
      <c r="Q103" s="85"/>
      <c r="T103" s="86"/>
      <c r="W103" s="89" t="s">
        <v>387</v>
      </c>
    </row>
    <row r="104" spans="1:23" ht="12.75" customHeight="1" x14ac:dyDescent="0.25">
      <c r="A104" s="343" t="s">
        <v>2186</v>
      </c>
      <c r="B104" s="343"/>
      <c r="C104" s="343"/>
      <c r="D104" s="38" t="s">
        <v>345</v>
      </c>
      <c r="E104" s="39"/>
      <c r="G104" s="272" t="s">
        <v>346</v>
      </c>
      <c r="H104" s="272"/>
      <c r="I104" s="242" t="s">
        <v>305</v>
      </c>
      <c r="L104">
        <v>1309</v>
      </c>
      <c r="M104" t="s">
        <v>711</v>
      </c>
      <c r="Q104" s="85"/>
      <c r="T104" s="86"/>
      <c r="W104" s="38" t="s">
        <v>345</v>
      </c>
    </row>
    <row r="105" spans="1:23" x14ac:dyDescent="0.25">
      <c r="A105" s="243"/>
      <c r="B105" s="243"/>
      <c r="C105" s="242"/>
      <c r="D105" s="39"/>
      <c r="E105" s="39"/>
      <c r="F105" s="243"/>
      <c r="G105" s="243"/>
      <c r="H105" s="242"/>
      <c r="I105" s="39"/>
      <c r="L105">
        <v>3934</v>
      </c>
      <c r="M105" t="s">
        <v>712</v>
      </c>
      <c r="Q105" s="85"/>
      <c r="T105" s="86"/>
      <c r="W105" s="39"/>
    </row>
    <row r="106" spans="1:23" x14ac:dyDescent="0.25">
      <c r="A106" s="37"/>
      <c r="B106" s="39"/>
      <c r="C106" s="39"/>
      <c r="D106" s="39"/>
      <c r="E106" s="39"/>
      <c r="F106" s="39"/>
      <c r="G106" s="39"/>
      <c r="H106" s="39"/>
      <c r="I106" s="39"/>
      <c r="J106" s="39"/>
      <c r="K106" s="39"/>
      <c r="L106" s="39"/>
      <c r="M106" s="39"/>
      <c r="N106" s="39"/>
      <c r="O106" s="39"/>
      <c r="P106" s="39"/>
      <c r="Q106" s="39"/>
      <c r="R106" s="39"/>
      <c r="S106" s="39"/>
      <c r="T106" s="39"/>
      <c r="U106" s="39"/>
      <c r="V106" s="39"/>
      <c r="W106" s="39"/>
    </row>
    <row r="107" spans="1:23" s="246" customFormat="1" x14ac:dyDescent="0.25">
      <c r="A107" s="308" t="s">
        <v>966</v>
      </c>
      <c r="B107" s="309"/>
      <c r="C107" s="309"/>
      <c r="D107" s="309"/>
      <c r="E107" s="309"/>
      <c r="F107" s="309"/>
      <c r="G107" s="309"/>
      <c r="H107" s="309"/>
      <c r="I107" s="309"/>
      <c r="J107" s="309"/>
      <c r="K107" s="309"/>
      <c r="L107" s="309"/>
      <c r="M107" s="309"/>
      <c r="N107" s="309"/>
      <c r="O107" s="309"/>
      <c r="P107" s="309"/>
      <c r="Q107" s="309"/>
      <c r="R107" s="309"/>
      <c r="S107" s="309"/>
      <c r="T107" s="309"/>
      <c r="U107" s="309"/>
      <c r="V107" s="309"/>
      <c r="W107" s="310"/>
    </row>
    <row r="108" spans="1:23" ht="12.75" customHeight="1" x14ac:dyDescent="0.25">
      <c r="A108" s="311"/>
      <c r="B108" s="311"/>
      <c r="C108" s="311"/>
      <c r="D108" s="311"/>
      <c r="E108" s="311"/>
      <c r="F108" s="311"/>
      <c r="G108" s="311"/>
      <c r="H108" s="311"/>
      <c r="I108" s="311"/>
    </row>
    <row r="109" spans="1:23" ht="24" x14ac:dyDescent="0.25">
      <c r="A109" s="245" t="s">
        <v>967</v>
      </c>
      <c r="B109" s="270"/>
      <c r="C109" s="245" t="s">
        <v>1040</v>
      </c>
      <c r="D109" s="270"/>
      <c r="E109" s="245" t="s">
        <v>1041</v>
      </c>
      <c r="F109" s="270"/>
      <c r="G109" s="245" t="s">
        <v>1042</v>
      </c>
      <c r="H109" s="270"/>
      <c r="I109" s="39"/>
      <c r="L109">
        <v>6182</v>
      </c>
      <c r="M109" t="s">
        <v>613</v>
      </c>
      <c r="Q109" s="85"/>
      <c r="S109" s="86"/>
      <c r="T109" s="86"/>
      <c r="W109" s="39"/>
    </row>
    <row r="110" spans="1:23" x14ac:dyDescent="0.25">
      <c r="A110" s="37"/>
      <c r="B110" s="39"/>
      <c r="C110" s="39"/>
      <c r="D110" s="39"/>
      <c r="E110" s="39"/>
      <c r="F110" s="39"/>
      <c r="G110" s="39"/>
      <c r="H110" s="39"/>
      <c r="I110" s="39"/>
      <c r="J110" s="39"/>
      <c r="K110" s="39"/>
      <c r="L110" s="39"/>
      <c r="M110" s="39"/>
      <c r="N110" s="39"/>
      <c r="O110" s="39"/>
      <c r="P110" s="39"/>
      <c r="Q110" s="39"/>
      <c r="R110" s="39"/>
      <c r="S110" s="39"/>
      <c r="T110" s="39"/>
      <c r="U110" s="39"/>
      <c r="V110" s="39"/>
      <c r="W110" s="39"/>
    </row>
    <row r="111" spans="1:23" x14ac:dyDescent="0.25">
      <c r="A111" s="37"/>
      <c r="B111" s="39"/>
      <c r="C111" s="39"/>
      <c r="D111" s="39"/>
      <c r="E111" s="39"/>
      <c r="F111" s="39"/>
      <c r="G111" s="39"/>
      <c r="H111" s="39"/>
      <c r="I111" s="39"/>
      <c r="L111">
        <v>4130</v>
      </c>
      <c r="M111" t="s">
        <v>614</v>
      </c>
    </row>
    <row r="112" spans="1:23" x14ac:dyDescent="0.25">
      <c r="A112" s="37"/>
      <c r="B112" s="39"/>
      <c r="C112" s="39"/>
      <c r="D112" s="39"/>
      <c r="E112" s="39"/>
      <c r="F112" s="39"/>
      <c r="G112" s="39"/>
      <c r="H112" s="39"/>
      <c r="I112" s="39"/>
      <c r="L112">
        <v>4349</v>
      </c>
      <c r="M112" t="s">
        <v>626</v>
      </c>
      <c r="V112" s="85"/>
      <c r="W112" s="86"/>
    </row>
    <row r="113" spans="1:23" x14ac:dyDescent="0.25">
      <c r="A113" s="37"/>
      <c r="B113" s="39"/>
      <c r="C113" s="39"/>
      <c r="D113" s="39"/>
      <c r="E113" s="39"/>
      <c r="F113" s="39"/>
      <c r="G113" s="39"/>
      <c r="H113" s="39"/>
      <c r="I113" s="39"/>
      <c r="L113">
        <v>4349</v>
      </c>
      <c r="M113" t="s">
        <v>615</v>
      </c>
      <c r="V113" s="85"/>
      <c r="W113" s="86"/>
    </row>
    <row r="114" spans="1:23" x14ac:dyDescent="0.25">
      <c r="A114" s="37"/>
      <c r="B114" s="39"/>
      <c r="C114" s="39"/>
      <c r="D114" s="39"/>
      <c r="E114" s="39"/>
      <c r="F114" s="39"/>
      <c r="G114" s="39"/>
      <c r="H114" s="39"/>
      <c r="I114" s="39"/>
      <c r="L114">
        <v>9119</v>
      </c>
      <c r="M114" t="s">
        <v>616</v>
      </c>
      <c r="V114" s="85"/>
      <c r="W114" s="86"/>
    </row>
    <row r="115" spans="1:23" x14ac:dyDescent="0.25">
      <c r="A115" s="37"/>
      <c r="B115" s="39"/>
      <c r="C115" s="39"/>
      <c r="D115" s="39"/>
      <c r="E115" s="39"/>
      <c r="F115" s="39"/>
      <c r="G115" s="39"/>
      <c r="H115" s="39"/>
      <c r="I115" s="39"/>
      <c r="L115">
        <v>2366</v>
      </c>
      <c r="M115" t="s">
        <v>617</v>
      </c>
      <c r="V115" s="87"/>
      <c r="W115" s="88"/>
    </row>
    <row r="116" spans="1:23" x14ac:dyDescent="0.25">
      <c r="A116" s="37"/>
      <c r="B116" s="39"/>
      <c r="C116" s="39"/>
      <c r="D116" s="39"/>
      <c r="E116" s="39"/>
      <c r="F116" s="39"/>
      <c r="G116" s="39"/>
      <c r="H116" s="39"/>
      <c r="I116" s="39"/>
      <c r="L116">
        <v>2575</v>
      </c>
      <c r="M116" t="s">
        <v>618</v>
      </c>
      <c r="V116" s="87"/>
      <c r="W116" s="88"/>
    </row>
    <row r="117" spans="1:23" x14ac:dyDescent="0.25">
      <c r="A117" s="37"/>
      <c r="B117" s="39"/>
      <c r="C117" s="39"/>
      <c r="D117" s="39"/>
      <c r="E117" s="39"/>
      <c r="F117" s="39"/>
      <c r="G117" s="39"/>
      <c r="H117" s="39"/>
      <c r="I117" s="39"/>
      <c r="L117">
        <v>2575</v>
      </c>
      <c r="M117" t="s">
        <v>618</v>
      </c>
      <c r="V117" s="85"/>
      <c r="W117" s="88"/>
    </row>
    <row r="118" spans="1:23" x14ac:dyDescent="0.25">
      <c r="A118" s="37"/>
      <c r="B118" s="39"/>
      <c r="C118" s="39"/>
      <c r="D118" s="39"/>
      <c r="E118" s="39"/>
      <c r="F118" s="39"/>
      <c r="G118" s="39"/>
      <c r="H118" s="39"/>
      <c r="I118" s="39"/>
      <c r="L118">
        <v>3020</v>
      </c>
      <c r="M118" t="s">
        <v>619</v>
      </c>
      <c r="V118" s="85"/>
      <c r="W118" s="88"/>
    </row>
    <row r="119" spans="1:23" x14ac:dyDescent="0.25">
      <c r="A119" s="37"/>
      <c r="B119" s="39"/>
      <c r="C119" s="39"/>
      <c r="D119" s="39"/>
      <c r="E119" s="39"/>
      <c r="F119" s="39"/>
      <c r="G119" s="39"/>
      <c r="H119" s="39"/>
      <c r="I119" s="39"/>
      <c r="L119">
        <v>824</v>
      </c>
      <c r="M119" t="s">
        <v>620</v>
      </c>
      <c r="V119" s="85"/>
      <c r="W119" s="88"/>
    </row>
    <row r="120" spans="1:23" x14ac:dyDescent="0.25">
      <c r="A120" s="29"/>
      <c r="B120" s="17"/>
      <c r="C120" s="17"/>
      <c r="D120" s="17"/>
      <c r="E120" s="17"/>
      <c r="F120" s="17"/>
      <c r="G120" s="17"/>
      <c r="H120" s="17"/>
      <c r="I120" s="17"/>
      <c r="L120">
        <v>3077</v>
      </c>
      <c r="M120" t="s">
        <v>621</v>
      </c>
      <c r="V120" s="85"/>
      <c r="W120" s="88"/>
    </row>
    <row r="121" spans="1:23" x14ac:dyDescent="0.25">
      <c r="A121" s="29"/>
      <c r="B121" s="17"/>
      <c r="C121" s="17"/>
      <c r="D121" s="17"/>
      <c r="E121" s="17"/>
      <c r="F121" s="17"/>
      <c r="G121" s="17"/>
      <c r="H121" s="17"/>
      <c r="I121" s="17"/>
      <c r="L121">
        <v>5672</v>
      </c>
      <c r="M121" t="s">
        <v>622</v>
      </c>
      <c r="V121" s="85"/>
      <c r="W121" s="88"/>
    </row>
    <row r="122" spans="1:23" x14ac:dyDescent="0.25">
      <c r="A122" s="29"/>
      <c r="B122" s="17"/>
      <c r="C122" s="17"/>
      <c r="D122" s="17"/>
      <c r="E122" s="17"/>
      <c r="F122" s="17"/>
      <c r="G122" s="17"/>
      <c r="H122" s="17"/>
      <c r="I122" s="17"/>
      <c r="L122">
        <v>3083</v>
      </c>
      <c r="M122" t="s">
        <v>623</v>
      </c>
      <c r="V122" s="85"/>
      <c r="W122" s="88"/>
    </row>
    <row r="123" spans="1:23" x14ac:dyDescent="0.25">
      <c r="A123" s="29"/>
      <c r="B123" s="17"/>
      <c r="C123" s="17"/>
      <c r="D123" s="17"/>
      <c r="E123" s="17"/>
      <c r="F123" s="17"/>
      <c r="G123" s="17"/>
      <c r="H123" s="17"/>
      <c r="I123" s="17"/>
      <c r="L123">
        <v>7806</v>
      </c>
      <c r="M123" t="s">
        <v>624</v>
      </c>
      <c r="V123" s="85"/>
      <c r="W123" s="88"/>
    </row>
    <row r="124" spans="1:23" x14ac:dyDescent="0.25">
      <c r="A124" s="29"/>
      <c r="B124" s="17"/>
      <c r="C124" s="17"/>
      <c r="D124" s="17"/>
      <c r="E124" s="17"/>
      <c r="F124" s="17"/>
      <c r="G124" s="17"/>
      <c r="H124" s="17"/>
      <c r="I124" s="17"/>
      <c r="L124">
        <v>7185</v>
      </c>
      <c r="M124" t="s">
        <v>625</v>
      </c>
      <c r="V124" s="85"/>
      <c r="W124" s="88"/>
    </row>
    <row r="125" spans="1:23" x14ac:dyDescent="0.25">
      <c r="A125" s="29"/>
      <c r="B125" s="17"/>
      <c r="C125" s="17"/>
      <c r="D125" s="17"/>
      <c r="E125" s="17"/>
      <c r="F125" s="17"/>
      <c r="G125" s="17"/>
      <c r="H125" s="17"/>
      <c r="I125" s="17"/>
      <c r="L125">
        <v>1386</v>
      </c>
      <c r="M125" t="s">
        <v>627</v>
      </c>
      <c r="V125" s="85"/>
      <c r="W125" s="88"/>
    </row>
    <row r="126" spans="1:23" x14ac:dyDescent="0.25">
      <c r="A126" s="29"/>
      <c r="B126" s="17"/>
      <c r="C126" s="17"/>
      <c r="D126" s="17"/>
      <c r="E126" s="17"/>
      <c r="F126" s="17"/>
      <c r="G126" s="17"/>
      <c r="H126" s="17"/>
      <c r="I126" s="17"/>
      <c r="L126">
        <v>1863</v>
      </c>
      <c r="M126" t="s">
        <v>628</v>
      </c>
      <c r="V126" s="85"/>
      <c r="W126" s="86"/>
    </row>
    <row r="127" spans="1:23" x14ac:dyDescent="0.25">
      <c r="A127" s="29"/>
      <c r="B127" s="17"/>
      <c r="C127" s="17"/>
      <c r="D127" s="17"/>
      <c r="E127" s="17"/>
      <c r="F127" s="17"/>
      <c r="G127" s="17"/>
      <c r="H127" s="17"/>
      <c r="I127" s="17"/>
      <c r="L127">
        <v>5959</v>
      </c>
      <c r="M127" t="s">
        <v>629</v>
      </c>
      <c r="V127" s="85"/>
      <c r="W127" s="17"/>
    </row>
    <row r="128" spans="1:23" x14ac:dyDescent="0.25">
      <c r="L128">
        <v>6262</v>
      </c>
      <c r="M128" t="s">
        <v>630</v>
      </c>
      <c r="V128" s="85"/>
      <c r="W128" s="17"/>
    </row>
    <row r="129" spans="12:23" x14ac:dyDescent="0.25">
      <c r="L129">
        <v>1485</v>
      </c>
      <c r="M129" t="s">
        <v>631</v>
      </c>
      <c r="V129" s="85"/>
      <c r="W129" s="17"/>
    </row>
    <row r="130" spans="12:23" x14ac:dyDescent="0.25">
      <c r="L130">
        <v>1485</v>
      </c>
      <c r="M130" t="s">
        <v>631</v>
      </c>
      <c r="V130" s="85"/>
      <c r="W130" s="17"/>
    </row>
    <row r="131" spans="12:23" x14ac:dyDescent="0.25">
      <c r="L131">
        <v>4990</v>
      </c>
      <c r="M131" t="s">
        <v>632</v>
      </c>
      <c r="V131" s="85"/>
      <c r="W131" s="17"/>
    </row>
    <row r="132" spans="12:23" x14ac:dyDescent="0.25">
      <c r="L132">
        <v>308</v>
      </c>
      <c r="M132" t="s">
        <v>633</v>
      </c>
      <c r="V132" s="85"/>
      <c r="W132" s="17"/>
    </row>
    <row r="133" spans="12:23" x14ac:dyDescent="0.25">
      <c r="L133">
        <v>3571</v>
      </c>
      <c r="M133" t="s">
        <v>634</v>
      </c>
    </row>
    <row r="134" spans="12:23" x14ac:dyDescent="0.25">
      <c r="L134">
        <v>2911</v>
      </c>
      <c r="M134" t="s">
        <v>635</v>
      </c>
      <c r="N134" s="11" t="s">
        <v>387</v>
      </c>
    </row>
    <row r="135" spans="12:23" x14ac:dyDescent="0.25">
      <c r="L135" s="166">
        <v>137</v>
      </c>
      <c r="M135" s="5" t="s">
        <v>636</v>
      </c>
    </row>
    <row r="136" spans="12:23" x14ac:dyDescent="0.25">
      <c r="L136" s="166">
        <v>7060</v>
      </c>
      <c r="M136" s="5" t="s">
        <v>637</v>
      </c>
    </row>
    <row r="137" spans="12:23" x14ac:dyDescent="0.25">
      <c r="L137" s="166">
        <v>9647</v>
      </c>
      <c r="M137" s="5" t="s">
        <v>638</v>
      </c>
    </row>
    <row r="138" spans="12:23" x14ac:dyDescent="0.25">
      <c r="L138" s="166">
        <v>9575</v>
      </c>
      <c r="M138" s="5" t="s">
        <v>639</v>
      </c>
    </row>
    <row r="139" spans="12:23" x14ac:dyDescent="0.25">
      <c r="L139" s="166">
        <v>5198</v>
      </c>
      <c r="M139" s="5" t="s">
        <v>640</v>
      </c>
    </row>
    <row r="140" spans="12:23" x14ac:dyDescent="0.25">
      <c r="L140" s="166">
        <v>5198</v>
      </c>
      <c r="M140" s="5" t="s">
        <v>640</v>
      </c>
    </row>
    <row r="141" spans="12:23" x14ac:dyDescent="0.25">
      <c r="L141" s="166">
        <v>3682</v>
      </c>
      <c r="M141" s="5" t="s">
        <v>641</v>
      </c>
    </row>
    <row r="142" spans="12:23" x14ac:dyDescent="0.25">
      <c r="L142" s="166">
        <v>6018</v>
      </c>
      <c r="M142" s="5" t="s">
        <v>642</v>
      </c>
    </row>
    <row r="143" spans="12:23" x14ac:dyDescent="0.25">
      <c r="L143" s="166">
        <v>1952</v>
      </c>
      <c r="M143" s="5" t="s">
        <v>643</v>
      </c>
    </row>
    <row r="144" spans="12:23" x14ac:dyDescent="0.25">
      <c r="L144" s="166">
        <v>4616</v>
      </c>
      <c r="M144" s="5" t="s">
        <v>644</v>
      </c>
    </row>
    <row r="145" spans="12:13" x14ac:dyDescent="0.25">
      <c r="L145" s="166">
        <v>4038</v>
      </c>
      <c r="M145" s="5" t="s">
        <v>645</v>
      </c>
    </row>
    <row r="146" spans="12:13" x14ac:dyDescent="0.25">
      <c r="L146" s="166">
        <v>1395</v>
      </c>
      <c r="M146" s="5" t="s">
        <v>646</v>
      </c>
    </row>
    <row r="147" spans="12:13" x14ac:dyDescent="0.25">
      <c r="L147" s="166">
        <v>6522</v>
      </c>
      <c r="M147" s="5" t="s">
        <v>647</v>
      </c>
    </row>
    <row r="148" spans="12:13" x14ac:dyDescent="0.25">
      <c r="L148" s="167">
        <v>1376</v>
      </c>
      <c r="M148" t="s">
        <v>648</v>
      </c>
    </row>
    <row r="149" spans="12:13" x14ac:dyDescent="0.25">
      <c r="L149" s="167">
        <v>2309</v>
      </c>
      <c r="M149" t="s">
        <v>649</v>
      </c>
    </row>
    <row r="150" spans="12:13" x14ac:dyDescent="0.25">
      <c r="L150" s="167">
        <v>6435</v>
      </c>
      <c r="M150" t="s">
        <v>650</v>
      </c>
    </row>
    <row r="151" spans="12:13" x14ac:dyDescent="0.25">
      <c r="L151" s="167">
        <v>6435</v>
      </c>
      <c r="M151" t="s">
        <v>650</v>
      </c>
    </row>
    <row r="152" spans="12:13" x14ac:dyDescent="0.25">
      <c r="L152" s="167">
        <v>1760</v>
      </c>
      <c r="M152" t="s">
        <v>651</v>
      </c>
    </row>
    <row r="153" spans="12:13" x14ac:dyDescent="0.25">
      <c r="L153" s="167">
        <v>1760</v>
      </c>
      <c r="M153" t="s">
        <v>651</v>
      </c>
    </row>
    <row r="154" spans="12:13" x14ac:dyDescent="0.25">
      <c r="L154" s="167">
        <v>6696</v>
      </c>
      <c r="M154" t="s">
        <v>652</v>
      </c>
    </row>
    <row r="155" spans="12:13" x14ac:dyDescent="0.25">
      <c r="L155" s="167">
        <v>8558</v>
      </c>
      <c r="M155" t="s">
        <v>653</v>
      </c>
    </row>
    <row r="156" spans="12:13" x14ac:dyDescent="0.25">
      <c r="L156" s="167">
        <v>4424</v>
      </c>
      <c r="M156" t="s">
        <v>672</v>
      </c>
    </row>
    <row r="157" spans="12:13" x14ac:dyDescent="0.25">
      <c r="L157" s="167">
        <v>5399</v>
      </c>
      <c r="M157" t="s">
        <v>673</v>
      </c>
    </row>
    <row r="158" spans="12:13" x14ac:dyDescent="0.25">
      <c r="L158" s="167">
        <v>7860</v>
      </c>
      <c r="M158" t="s">
        <v>674</v>
      </c>
    </row>
    <row r="159" spans="12:13" x14ac:dyDescent="0.25">
      <c r="L159" s="167">
        <v>8494</v>
      </c>
      <c r="M159" t="s">
        <v>675</v>
      </c>
    </row>
    <row r="160" spans="12:13" x14ac:dyDescent="0.25">
      <c r="L160" s="167">
        <v>3056</v>
      </c>
      <c r="M160" t="s">
        <v>676</v>
      </c>
    </row>
    <row r="161" spans="12:13" x14ac:dyDescent="0.25">
      <c r="L161" s="167">
        <v>4964</v>
      </c>
      <c r="M161" t="s">
        <v>677</v>
      </c>
    </row>
    <row r="162" spans="12:13" x14ac:dyDescent="0.25">
      <c r="L162" s="167">
        <v>113</v>
      </c>
      <c r="M162" t="s">
        <v>678</v>
      </c>
    </row>
    <row r="163" spans="12:13" x14ac:dyDescent="0.25">
      <c r="L163" s="167">
        <v>2885</v>
      </c>
      <c r="M163" t="s">
        <v>654</v>
      </c>
    </row>
    <row r="164" spans="12:13" x14ac:dyDescent="0.25">
      <c r="L164" s="167">
        <v>1672</v>
      </c>
      <c r="M164" t="s">
        <v>655</v>
      </c>
    </row>
    <row r="165" spans="12:13" x14ac:dyDescent="0.25">
      <c r="L165" s="167">
        <v>3503</v>
      </c>
      <c r="M165" t="s">
        <v>656</v>
      </c>
    </row>
    <row r="166" spans="12:13" x14ac:dyDescent="0.25">
      <c r="L166" s="167">
        <v>9284</v>
      </c>
      <c r="M166" t="s">
        <v>657</v>
      </c>
    </row>
    <row r="167" spans="12:13" x14ac:dyDescent="0.25">
      <c r="L167" s="167">
        <v>5833</v>
      </c>
      <c r="M167" t="s">
        <v>658</v>
      </c>
    </row>
    <row r="168" spans="12:13" x14ac:dyDescent="0.25">
      <c r="L168" s="167">
        <v>901</v>
      </c>
      <c r="M168" t="s">
        <v>659</v>
      </c>
    </row>
    <row r="169" spans="12:13" x14ac:dyDescent="0.25">
      <c r="L169" s="167">
        <v>4874</v>
      </c>
      <c r="M169" t="s">
        <v>660</v>
      </c>
    </row>
    <row r="170" spans="12:13" x14ac:dyDescent="0.25">
      <c r="L170" s="167">
        <v>8163</v>
      </c>
      <c r="M170" t="s">
        <v>661</v>
      </c>
    </row>
    <row r="171" spans="12:13" x14ac:dyDescent="0.25">
      <c r="L171" s="167">
        <v>278</v>
      </c>
      <c r="M171" t="s">
        <v>662</v>
      </c>
    </row>
    <row r="172" spans="12:13" x14ac:dyDescent="0.25">
      <c r="L172" s="167">
        <v>8240</v>
      </c>
      <c r="M172" t="s">
        <v>663</v>
      </c>
    </row>
    <row r="173" spans="12:13" x14ac:dyDescent="0.25">
      <c r="L173" s="167">
        <v>2119</v>
      </c>
      <c r="M173" t="s">
        <v>664</v>
      </c>
    </row>
    <row r="174" spans="12:13" x14ac:dyDescent="0.25">
      <c r="L174" s="167">
        <v>72</v>
      </c>
      <c r="M174" t="s">
        <v>665</v>
      </c>
    </row>
    <row r="175" spans="12:13" x14ac:dyDescent="0.25">
      <c r="L175" s="167">
        <v>7292</v>
      </c>
      <c r="M175" t="s">
        <v>666</v>
      </c>
    </row>
    <row r="176" spans="12:13" x14ac:dyDescent="0.25">
      <c r="L176" s="167">
        <v>9021</v>
      </c>
      <c r="M176" t="s">
        <v>667</v>
      </c>
    </row>
    <row r="177" spans="12:13" x14ac:dyDescent="0.25">
      <c r="L177" s="167">
        <v>6705</v>
      </c>
      <c r="M177" t="s">
        <v>668</v>
      </c>
    </row>
    <row r="178" spans="12:13" x14ac:dyDescent="0.25">
      <c r="L178" s="167">
        <v>3071</v>
      </c>
      <c r="M178" t="s">
        <v>669</v>
      </c>
    </row>
    <row r="179" spans="12:13" x14ac:dyDescent="0.25">
      <c r="L179" s="167">
        <v>9608</v>
      </c>
      <c r="M179" t="s">
        <v>670</v>
      </c>
    </row>
    <row r="180" spans="12:13" x14ac:dyDescent="0.25">
      <c r="L180" s="167">
        <v>6158</v>
      </c>
      <c r="M180" t="s">
        <v>671</v>
      </c>
    </row>
    <row r="181" spans="12:13" x14ac:dyDescent="0.25">
      <c r="L181" s="167">
        <v>7120</v>
      </c>
      <c r="M181" t="s">
        <v>679</v>
      </c>
    </row>
    <row r="182" spans="12:13" x14ac:dyDescent="0.25">
      <c r="L182" s="167">
        <v>3010</v>
      </c>
      <c r="M182" t="s">
        <v>680</v>
      </c>
    </row>
    <row r="183" spans="12:13" x14ac:dyDescent="0.25">
      <c r="L183" s="167">
        <v>3328</v>
      </c>
      <c r="M183" t="s">
        <v>681</v>
      </c>
    </row>
    <row r="184" spans="12:13" x14ac:dyDescent="0.25">
      <c r="L184" s="167">
        <v>6347</v>
      </c>
      <c r="M184" t="s">
        <v>682</v>
      </c>
    </row>
    <row r="185" spans="12:13" x14ac:dyDescent="0.25">
      <c r="L185" s="167">
        <v>2653</v>
      </c>
      <c r="M185" t="s">
        <v>683</v>
      </c>
    </row>
    <row r="186" spans="12:13" x14ac:dyDescent="0.25">
      <c r="L186" s="167">
        <v>2519</v>
      </c>
      <c r="M186" t="s">
        <v>684</v>
      </c>
    </row>
    <row r="187" spans="12:13" x14ac:dyDescent="0.25">
      <c r="L187" s="167">
        <v>6125</v>
      </c>
      <c r="M187" t="s">
        <v>685</v>
      </c>
    </row>
    <row r="188" spans="12:13" x14ac:dyDescent="0.25">
      <c r="L188" s="167">
        <v>6117</v>
      </c>
      <c r="M188" t="s">
        <v>686</v>
      </c>
    </row>
    <row r="189" spans="12:13" x14ac:dyDescent="0.25">
      <c r="L189" s="167">
        <v>660</v>
      </c>
      <c r="M189" t="s">
        <v>687</v>
      </c>
    </row>
    <row r="190" spans="12:13" x14ac:dyDescent="0.25">
      <c r="L190" s="167">
        <v>3808</v>
      </c>
      <c r="M190" t="s">
        <v>688</v>
      </c>
    </row>
    <row r="191" spans="12:13" x14ac:dyDescent="0.25">
      <c r="L191" s="167">
        <v>6536</v>
      </c>
      <c r="M191" t="s">
        <v>689</v>
      </c>
    </row>
    <row r="192" spans="12:13" x14ac:dyDescent="0.25">
      <c r="L192" s="167">
        <v>1143</v>
      </c>
      <c r="M192" t="s">
        <v>690</v>
      </c>
    </row>
    <row r="193" spans="12:13" x14ac:dyDescent="0.25">
      <c r="L193" s="167">
        <v>9065</v>
      </c>
      <c r="M193" t="s">
        <v>691</v>
      </c>
    </row>
    <row r="194" spans="12:13" x14ac:dyDescent="0.25">
      <c r="L194" s="167">
        <v>7076</v>
      </c>
      <c r="M194" t="s">
        <v>692</v>
      </c>
    </row>
    <row r="195" spans="12:13" x14ac:dyDescent="0.25">
      <c r="L195" s="167">
        <v>3645</v>
      </c>
      <c r="M195" t="s">
        <v>693</v>
      </c>
    </row>
    <row r="196" spans="12:13" x14ac:dyDescent="0.25">
      <c r="L196" s="167">
        <v>7759</v>
      </c>
      <c r="M196" t="s">
        <v>694</v>
      </c>
    </row>
    <row r="197" spans="12:13" x14ac:dyDescent="0.25">
      <c r="L197" s="167">
        <v>4702</v>
      </c>
      <c r="M197" t="s">
        <v>695</v>
      </c>
    </row>
    <row r="198" spans="12:13" x14ac:dyDescent="0.25">
      <c r="L198" s="167">
        <v>8794</v>
      </c>
      <c r="M198" t="s">
        <v>696</v>
      </c>
    </row>
    <row r="199" spans="12:13" x14ac:dyDescent="0.25">
      <c r="L199" s="167">
        <v>3438</v>
      </c>
      <c r="M199" t="s">
        <v>697</v>
      </c>
    </row>
    <row r="200" spans="12:13" x14ac:dyDescent="0.25">
      <c r="L200" s="167">
        <v>1188</v>
      </c>
      <c r="M200" t="s">
        <v>698</v>
      </c>
    </row>
    <row r="201" spans="12:13" x14ac:dyDescent="0.25">
      <c r="L201" s="167">
        <v>1188</v>
      </c>
      <c r="M201" t="s">
        <v>698</v>
      </c>
    </row>
    <row r="202" spans="12:13" x14ac:dyDescent="0.25">
      <c r="L202" s="167">
        <v>9402</v>
      </c>
      <c r="M202" t="s">
        <v>588</v>
      </c>
    </row>
    <row r="203" spans="12:13" x14ac:dyDescent="0.25">
      <c r="L203" s="167">
        <v>4941</v>
      </c>
      <c r="M203" t="s">
        <v>589</v>
      </c>
    </row>
    <row r="204" spans="12:13" x14ac:dyDescent="0.25">
      <c r="L204" s="167">
        <v>3798</v>
      </c>
      <c r="M204" t="s">
        <v>590</v>
      </c>
    </row>
    <row r="205" spans="12:13" x14ac:dyDescent="0.25">
      <c r="L205" s="167">
        <v>4871</v>
      </c>
      <c r="M205" t="s">
        <v>591</v>
      </c>
    </row>
    <row r="206" spans="12:13" x14ac:dyDescent="0.25">
      <c r="L206" s="167">
        <v>8243</v>
      </c>
      <c r="M206" t="s">
        <v>592</v>
      </c>
    </row>
    <row r="207" spans="12:13" x14ac:dyDescent="0.25">
      <c r="L207" s="167">
        <v>6096</v>
      </c>
      <c r="M207" t="s">
        <v>593</v>
      </c>
    </row>
    <row r="208" spans="12:13" x14ac:dyDescent="0.25">
      <c r="L208" s="167">
        <v>3970</v>
      </c>
      <c r="M208" t="s">
        <v>594</v>
      </c>
    </row>
    <row r="209" spans="12:13" x14ac:dyDescent="0.25">
      <c r="L209" s="167">
        <v>9231</v>
      </c>
      <c r="M209" t="s">
        <v>595</v>
      </c>
    </row>
    <row r="210" spans="12:13" x14ac:dyDescent="0.25">
      <c r="L210" s="167">
        <v>1079</v>
      </c>
      <c r="M210" t="s">
        <v>596</v>
      </c>
    </row>
    <row r="211" spans="12:13" x14ac:dyDescent="0.25">
      <c r="L211" s="167">
        <v>133</v>
      </c>
      <c r="M211" t="s">
        <v>597</v>
      </c>
    </row>
    <row r="212" spans="12:13" x14ac:dyDescent="0.25">
      <c r="L212" s="167">
        <v>1034</v>
      </c>
      <c r="M212" t="s">
        <v>598</v>
      </c>
    </row>
    <row r="213" spans="12:13" x14ac:dyDescent="0.25">
      <c r="L213" s="167">
        <v>7538</v>
      </c>
      <c r="M213" t="s">
        <v>599</v>
      </c>
    </row>
    <row r="214" spans="12:13" x14ac:dyDescent="0.25">
      <c r="L214" s="167">
        <v>4722</v>
      </c>
      <c r="M214" t="s">
        <v>600</v>
      </c>
    </row>
    <row r="215" spans="12:13" x14ac:dyDescent="0.25">
      <c r="L215" s="167">
        <v>9681</v>
      </c>
      <c r="M215" t="s">
        <v>601</v>
      </c>
    </row>
    <row r="216" spans="12:13" x14ac:dyDescent="0.25">
      <c r="L216" s="167">
        <v>5599</v>
      </c>
      <c r="M216" t="s">
        <v>602</v>
      </c>
    </row>
    <row r="217" spans="12:13" x14ac:dyDescent="0.25">
      <c r="L217" s="167">
        <v>6066</v>
      </c>
      <c r="M217" t="s">
        <v>603</v>
      </c>
    </row>
    <row r="218" spans="12:13" x14ac:dyDescent="0.25">
      <c r="L218">
        <v>4834</v>
      </c>
      <c r="M218" s="168" t="s">
        <v>70</v>
      </c>
    </row>
    <row r="219" spans="12:13" x14ac:dyDescent="0.25">
      <c r="L219">
        <v>4486</v>
      </c>
      <c r="M219" s="168" t="s">
        <v>71</v>
      </c>
    </row>
    <row r="220" spans="12:13" x14ac:dyDescent="0.25">
      <c r="L220">
        <v>1509</v>
      </c>
      <c r="M220" s="168" t="s">
        <v>72</v>
      </c>
    </row>
    <row r="221" spans="12:13" x14ac:dyDescent="0.25">
      <c r="L221">
        <v>1616</v>
      </c>
      <c r="M221" s="168" t="s">
        <v>73</v>
      </c>
    </row>
    <row r="222" spans="12:13" x14ac:dyDescent="0.25">
      <c r="L222">
        <v>726</v>
      </c>
      <c r="M222" s="168" t="s">
        <v>74</v>
      </c>
    </row>
    <row r="223" spans="12:13" x14ac:dyDescent="0.25">
      <c r="L223">
        <v>5963</v>
      </c>
      <c r="M223" s="168" t="s">
        <v>75</v>
      </c>
    </row>
    <row r="224" spans="12:13" x14ac:dyDescent="0.25">
      <c r="L224">
        <v>8396</v>
      </c>
      <c r="M224" s="168" t="s">
        <v>76</v>
      </c>
    </row>
    <row r="225" spans="12:13" x14ac:dyDescent="0.25">
      <c r="L225">
        <v>8535</v>
      </c>
      <c r="M225" s="168" t="s">
        <v>77</v>
      </c>
    </row>
    <row r="226" spans="12:13" x14ac:dyDescent="0.25">
      <c r="L226">
        <v>5307</v>
      </c>
      <c r="M226" s="168" t="s">
        <v>78</v>
      </c>
    </row>
    <row r="227" spans="12:13" x14ac:dyDescent="0.25">
      <c r="L227">
        <v>1457</v>
      </c>
      <c r="M227" s="168" t="s">
        <v>79</v>
      </c>
    </row>
    <row r="228" spans="12:13" x14ac:dyDescent="0.25">
      <c r="L228">
        <v>6496</v>
      </c>
      <c r="M228" s="168" t="s">
        <v>80</v>
      </c>
    </row>
    <row r="229" spans="12:13" x14ac:dyDescent="0.25">
      <c r="L229">
        <v>9919</v>
      </c>
      <c r="M229" s="168" t="s">
        <v>81</v>
      </c>
    </row>
    <row r="230" spans="12:13" x14ac:dyDescent="0.25">
      <c r="L230">
        <v>2220</v>
      </c>
      <c r="M230" s="168" t="s">
        <v>82</v>
      </c>
    </row>
    <row r="231" spans="12:13" x14ac:dyDescent="0.25">
      <c r="L231">
        <v>7361</v>
      </c>
      <c r="M231" s="168" t="s">
        <v>83</v>
      </c>
    </row>
    <row r="232" spans="12:13" x14ac:dyDescent="0.25">
      <c r="L232">
        <v>8480</v>
      </c>
      <c r="M232" s="168" t="s">
        <v>84</v>
      </c>
    </row>
    <row r="233" spans="12:13" x14ac:dyDescent="0.25">
      <c r="L233">
        <v>7858</v>
      </c>
      <c r="M233" s="168" t="s">
        <v>85</v>
      </c>
    </row>
    <row r="234" spans="12:13" x14ac:dyDescent="0.25">
      <c r="L234">
        <v>3185</v>
      </c>
      <c r="M234" s="168" t="s">
        <v>86</v>
      </c>
    </row>
    <row r="235" spans="12:13" x14ac:dyDescent="0.25">
      <c r="L235">
        <v>7349</v>
      </c>
      <c r="M235" s="168" t="s">
        <v>87</v>
      </c>
    </row>
    <row r="236" spans="12:13" x14ac:dyDescent="0.25">
      <c r="L236">
        <v>6505</v>
      </c>
      <c r="M236" s="168" t="s">
        <v>88</v>
      </c>
    </row>
    <row r="237" spans="12:13" x14ac:dyDescent="0.25">
      <c r="L237">
        <v>5743</v>
      </c>
      <c r="M237" s="168" t="s">
        <v>89</v>
      </c>
    </row>
    <row r="238" spans="12:13" x14ac:dyDescent="0.25">
      <c r="L238">
        <v>8794</v>
      </c>
      <c r="M238" s="168" t="s">
        <v>90</v>
      </c>
    </row>
    <row r="239" spans="12:13" x14ac:dyDescent="0.25">
      <c r="L239">
        <v>1766</v>
      </c>
      <c r="M239" s="168" t="s">
        <v>91</v>
      </c>
    </row>
    <row r="240" spans="12:13" x14ac:dyDescent="0.25">
      <c r="L240">
        <v>1766</v>
      </c>
      <c r="M240" s="168" t="s">
        <v>91</v>
      </c>
    </row>
    <row r="241" spans="12:13" x14ac:dyDescent="0.25">
      <c r="L241">
        <v>4965</v>
      </c>
      <c r="M241" s="168" t="s">
        <v>92</v>
      </c>
    </row>
    <row r="242" spans="12:13" x14ac:dyDescent="0.25">
      <c r="L242">
        <v>6292</v>
      </c>
      <c r="M242" s="168" t="s">
        <v>93</v>
      </c>
    </row>
    <row r="243" spans="12:13" x14ac:dyDescent="0.25">
      <c r="L243">
        <v>330</v>
      </c>
      <c r="M243" s="168" t="s">
        <v>94</v>
      </c>
    </row>
    <row r="244" spans="12:13" x14ac:dyDescent="0.25">
      <c r="L244">
        <v>9353</v>
      </c>
      <c r="M244" s="168" t="s">
        <v>95</v>
      </c>
    </row>
    <row r="245" spans="12:13" x14ac:dyDescent="0.25">
      <c r="L245">
        <v>655</v>
      </c>
      <c r="M245" s="168" t="s">
        <v>96</v>
      </c>
    </row>
    <row r="246" spans="12:13" x14ac:dyDescent="0.25">
      <c r="L246">
        <v>403</v>
      </c>
      <c r="M246" s="168" t="s">
        <v>97</v>
      </c>
    </row>
    <row r="247" spans="12:13" x14ac:dyDescent="0.25">
      <c r="L247">
        <v>3397</v>
      </c>
      <c r="M247" s="168" t="s">
        <v>98</v>
      </c>
    </row>
    <row r="248" spans="12:13" x14ac:dyDescent="0.25">
      <c r="L248">
        <v>4062</v>
      </c>
      <c r="M248" s="168" t="s">
        <v>99</v>
      </c>
    </row>
    <row r="249" spans="12:13" x14ac:dyDescent="0.25">
      <c r="L249">
        <v>5174</v>
      </c>
      <c r="M249" s="168" t="s">
        <v>100</v>
      </c>
    </row>
    <row r="250" spans="12:13" x14ac:dyDescent="0.25">
      <c r="L250">
        <v>9500</v>
      </c>
      <c r="M250" s="168" t="s">
        <v>101</v>
      </c>
    </row>
    <row r="251" spans="12:13" x14ac:dyDescent="0.25">
      <c r="L251">
        <v>2762</v>
      </c>
      <c r="M251" s="168" t="s">
        <v>102</v>
      </c>
    </row>
    <row r="252" spans="12:13" x14ac:dyDescent="0.25">
      <c r="L252">
        <v>6549</v>
      </c>
      <c r="M252" s="168" t="s">
        <v>103</v>
      </c>
    </row>
    <row r="253" spans="12:13" x14ac:dyDescent="0.25">
      <c r="L253">
        <v>6949</v>
      </c>
      <c r="M253" s="168" t="s">
        <v>104</v>
      </c>
    </row>
    <row r="254" spans="12:13" x14ac:dyDescent="0.25">
      <c r="L254">
        <v>986</v>
      </c>
      <c r="M254" s="168" t="s">
        <v>105</v>
      </c>
    </row>
    <row r="255" spans="12:13" x14ac:dyDescent="0.25">
      <c r="L255">
        <v>4392</v>
      </c>
      <c r="M255" s="168" t="s">
        <v>106</v>
      </c>
    </row>
    <row r="256" spans="12:13" x14ac:dyDescent="0.25">
      <c r="L256">
        <v>965</v>
      </c>
      <c r="M256" s="168" t="s">
        <v>107</v>
      </c>
    </row>
    <row r="257" spans="12:13" x14ac:dyDescent="0.25">
      <c r="L257">
        <v>8545</v>
      </c>
      <c r="M257" s="168" t="s">
        <v>108</v>
      </c>
    </row>
    <row r="258" spans="12:13" x14ac:dyDescent="0.25">
      <c r="L258">
        <v>9971</v>
      </c>
      <c r="M258" s="168" t="s">
        <v>109</v>
      </c>
    </row>
    <row r="259" spans="12:13" x14ac:dyDescent="0.25">
      <c r="L259">
        <v>9386</v>
      </c>
      <c r="M259" s="168" t="s">
        <v>110</v>
      </c>
    </row>
    <row r="260" spans="12:13" x14ac:dyDescent="0.25">
      <c r="L260">
        <v>5553</v>
      </c>
      <c r="M260" s="168" t="s">
        <v>111</v>
      </c>
    </row>
    <row r="261" spans="12:13" x14ac:dyDescent="0.25">
      <c r="L261">
        <v>8215</v>
      </c>
      <c r="M261" s="168" t="s">
        <v>112</v>
      </c>
    </row>
    <row r="262" spans="12:13" x14ac:dyDescent="0.25">
      <c r="L262">
        <v>7196</v>
      </c>
      <c r="M262" s="168" t="s">
        <v>113</v>
      </c>
    </row>
    <row r="263" spans="12:13" x14ac:dyDescent="0.25">
      <c r="L263">
        <v>478</v>
      </c>
      <c r="M263" s="168" t="s">
        <v>114</v>
      </c>
    </row>
    <row r="264" spans="12:13" x14ac:dyDescent="0.25">
      <c r="L264">
        <v>3019</v>
      </c>
      <c r="M264" s="168" t="s">
        <v>115</v>
      </c>
    </row>
    <row r="265" spans="12:13" x14ac:dyDescent="0.25">
      <c r="L265">
        <v>8831</v>
      </c>
      <c r="M265" s="168" t="s">
        <v>116</v>
      </c>
    </row>
    <row r="266" spans="12:13" x14ac:dyDescent="0.25">
      <c r="L266">
        <v>3443</v>
      </c>
      <c r="M266" s="168" t="s">
        <v>117</v>
      </c>
    </row>
    <row r="267" spans="12:13" x14ac:dyDescent="0.25">
      <c r="L267">
        <v>8707</v>
      </c>
      <c r="M267" s="168" t="s">
        <v>118</v>
      </c>
    </row>
    <row r="268" spans="12:13" x14ac:dyDescent="0.25">
      <c r="L268">
        <v>8925</v>
      </c>
      <c r="M268" s="168" t="s">
        <v>119</v>
      </c>
    </row>
    <row r="269" spans="12:13" x14ac:dyDescent="0.25">
      <c r="L269">
        <v>9082</v>
      </c>
      <c r="M269" s="168" t="s">
        <v>120</v>
      </c>
    </row>
    <row r="270" spans="12:13" x14ac:dyDescent="0.25">
      <c r="L270">
        <v>4134</v>
      </c>
      <c r="M270" s="168" t="s">
        <v>121</v>
      </c>
    </row>
    <row r="271" spans="12:13" x14ac:dyDescent="0.25">
      <c r="L271">
        <v>7438</v>
      </c>
      <c r="M271" s="168" t="s">
        <v>122</v>
      </c>
    </row>
    <row r="272" spans="12:13" x14ac:dyDescent="0.25">
      <c r="L272">
        <v>1279</v>
      </c>
      <c r="M272" s="168" t="s">
        <v>123</v>
      </c>
    </row>
    <row r="273" spans="12:13" x14ac:dyDescent="0.25">
      <c r="L273">
        <v>981</v>
      </c>
      <c r="M273" s="168" t="s">
        <v>124</v>
      </c>
    </row>
    <row r="274" spans="12:13" x14ac:dyDescent="0.25">
      <c r="L274">
        <v>1076</v>
      </c>
      <c r="M274" s="168" t="s">
        <v>125</v>
      </c>
    </row>
    <row r="275" spans="12:13" x14ac:dyDescent="0.25">
      <c r="L275">
        <v>1079</v>
      </c>
      <c r="M275" s="168" t="s">
        <v>126</v>
      </c>
    </row>
    <row r="276" spans="12:13" x14ac:dyDescent="0.25">
      <c r="L276">
        <v>231</v>
      </c>
      <c r="M276" s="168" t="s">
        <v>127</v>
      </c>
    </row>
    <row r="277" spans="12:13" x14ac:dyDescent="0.25">
      <c r="L277">
        <v>8209</v>
      </c>
      <c r="M277" s="168" t="s">
        <v>128</v>
      </c>
    </row>
    <row r="278" spans="12:13" x14ac:dyDescent="0.25">
      <c r="L278">
        <v>9588</v>
      </c>
      <c r="M278" s="168" t="s">
        <v>129</v>
      </c>
    </row>
    <row r="279" spans="12:13" x14ac:dyDescent="0.25">
      <c r="L279">
        <v>8511</v>
      </c>
      <c r="M279" s="168" t="s">
        <v>130</v>
      </c>
    </row>
    <row r="280" spans="12:13" x14ac:dyDescent="0.25">
      <c r="L280">
        <v>2812</v>
      </c>
      <c r="M280" s="168" t="s">
        <v>131</v>
      </c>
    </row>
    <row r="281" spans="12:13" x14ac:dyDescent="0.25">
      <c r="L281">
        <v>1552</v>
      </c>
      <c r="M281" s="168" t="s">
        <v>132</v>
      </c>
    </row>
    <row r="282" spans="12:13" x14ac:dyDescent="0.25">
      <c r="L282">
        <v>7621</v>
      </c>
      <c r="M282" s="168" t="s">
        <v>133</v>
      </c>
    </row>
    <row r="283" spans="12:13" x14ac:dyDescent="0.25">
      <c r="L283">
        <v>9630</v>
      </c>
      <c r="M283" s="168" t="s">
        <v>134</v>
      </c>
    </row>
    <row r="284" spans="12:13" x14ac:dyDescent="0.25">
      <c r="L284">
        <v>1781</v>
      </c>
      <c r="M284" s="168" t="s">
        <v>135</v>
      </c>
    </row>
    <row r="285" spans="12:13" x14ac:dyDescent="0.25">
      <c r="L285">
        <v>118</v>
      </c>
      <c r="M285" s="168" t="s">
        <v>136</v>
      </c>
    </row>
    <row r="286" spans="12:13" x14ac:dyDescent="0.25">
      <c r="L286">
        <v>4759</v>
      </c>
      <c r="M286" s="168" t="s">
        <v>137</v>
      </c>
    </row>
    <row r="287" spans="12:13" x14ac:dyDescent="0.25">
      <c r="L287">
        <v>4759</v>
      </c>
      <c r="M287" s="168" t="s">
        <v>137</v>
      </c>
    </row>
    <row r="288" spans="12:13" x14ac:dyDescent="0.25">
      <c r="L288">
        <v>514</v>
      </c>
      <c r="M288" s="168" t="s">
        <v>138</v>
      </c>
    </row>
    <row r="289" spans="12:13" x14ac:dyDescent="0.25">
      <c r="L289">
        <v>7408</v>
      </c>
      <c r="M289" s="168" t="s">
        <v>881</v>
      </c>
    </row>
    <row r="290" spans="12:13" x14ac:dyDescent="0.25">
      <c r="L290">
        <v>1780</v>
      </c>
      <c r="M290" s="168" t="s">
        <v>882</v>
      </c>
    </row>
    <row r="291" spans="12:13" x14ac:dyDescent="0.25">
      <c r="L291">
        <v>2120</v>
      </c>
      <c r="M291" s="168" t="s">
        <v>883</v>
      </c>
    </row>
    <row r="292" spans="12:13" x14ac:dyDescent="0.25">
      <c r="L292">
        <v>5665</v>
      </c>
      <c r="M292" s="168" t="s">
        <v>884</v>
      </c>
    </row>
    <row r="293" spans="12:13" x14ac:dyDescent="0.25">
      <c r="L293">
        <v>5193</v>
      </c>
      <c r="M293" s="168" t="s">
        <v>885</v>
      </c>
    </row>
    <row r="294" spans="12:13" x14ac:dyDescent="0.25">
      <c r="L294">
        <v>8619</v>
      </c>
      <c r="M294" s="168" t="s">
        <v>886</v>
      </c>
    </row>
    <row r="295" spans="12:13" x14ac:dyDescent="0.25">
      <c r="L295">
        <v>2312</v>
      </c>
      <c r="M295" s="168" t="s">
        <v>887</v>
      </c>
    </row>
    <row r="296" spans="12:13" x14ac:dyDescent="0.25">
      <c r="L296">
        <v>2395</v>
      </c>
      <c r="M296" s="168" t="s">
        <v>888</v>
      </c>
    </row>
    <row r="297" spans="12:13" x14ac:dyDescent="0.25">
      <c r="L297">
        <v>805</v>
      </c>
      <c r="M297" s="168" t="s">
        <v>889</v>
      </c>
    </row>
    <row r="298" spans="12:13" x14ac:dyDescent="0.25">
      <c r="L298">
        <v>1231</v>
      </c>
      <c r="M298" s="168" t="s">
        <v>890</v>
      </c>
    </row>
    <row r="299" spans="12:13" x14ac:dyDescent="0.25">
      <c r="L299">
        <v>6048</v>
      </c>
      <c r="M299" s="168" t="s">
        <v>891</v>
      </c>
    </row>
    <row r="300" spans="12:13" x14ac:dyDescent="0.25">
      <c r="L300">
        <v>3259</v>
      </c>
      <c r="M300" s="168" t="s">
        <v>892</v>
      </c>
    </row>
    <row r="301" spans="12:13" x14ac:dyDescent="0.25">
      <c r="L301">
        <v>4169</v>
      </c>
      <c r="M301" s="168" t="s">
        <v>893</v>
      </c>
    </row>
    <row r="302" spans="12:13" x14ac:dyDescent="0.25">
      <c r="L302">
        <v>8151</v>
      </c>
      <c r="M302" s="168" t="s">
        <v>894</v>
      </c>
    </row>
    <row r="303" spans="12:13" x14ac:dyDescent="0.25">
      <c r="L303">
        <v>6421</v>
      </c>
      <c r="M303" s="168" t="s">
        <v>895</v>
      </c>
    </row>
    <row r="304" spans="12:13" x14ac:dyDescent="0.25">
      <c r="L304">
        <v>9691</v>
      </c>
      <c r="M304" s="168" t="s">
        <v>896</v>
      </c>
    </row>
    <row r="305" spans="12:13" x14ac:dyDescent="0.25">
      <c r="L305">
        <v>2430</v>
      </c>
      <c r="M305" s="168" t="s">
        <v>897</v>
      </c>
    </row>
    <row r="306" spans="12:13" x14ac:dyDescent="0.25">
      <c r="L306">
        <v>550</v>
      </c>
      <c r="M306" s="168" t="s">
        <v>898</v>
      </c>
    </row>
    <row r="307" spans="12:13" x14ac:dyDescent="0.25">
      <c r="L307">
        <v>7884</v>
      </c>
      <c r="M307" s="168" t="s">
        <v>899</v>
      </c>
    </row>
    <row r="308" spans="12:13" x14ac:dyDescent="0.25">
      <c r="L308">
        <v>950</v>
      </c>
      <c r="M308" s="168" t="s">
        <v>900</v>
      </c>
    </row>
    <row r="309" spans="12:13" x14ac:dyDescent="0.25">
      <c r="L309">
        <v>396</v>
      </c>
      <c r="M309" s="168" t="s">
        <v>901</v>
      </c>
    </row>
    <row r="310" spans="12:13" x14ac:dyDescent="0.25">
      <c r="L310">
        <v>4476</v>
      </c>
      <c r="M310" s="168" t="s">
        <v>902</v>
      </c>
    </row>
    <row r="311" spans="12:13" x14ac:dyDescent="0.25">
      <c r="L311">
        <v>1219</v>
      </c>
      <c r="M311" s="168" t="s">
        <v>0</v>
      </c>
    </row>
    <row r="312" spans="12:13" x14ac:dyDescent="0.25">
      <c r="L312">
        <v>3995</v>
      </c>
      <c r="M312" s="168" t="s">
        <v>1</v>
      </c>
    </row>
    <row r="313" spans="12:13" x14ac:dyDescent="0.25">
      <c r="L313">
        <v>6273</v>
      </c>
      <c r="M313" s="168" t="s">
        <v>2</v>
      </c>
    </row>
    <row r="314" spans="12:13" x14ac:dyDescent="0.25">
      <c r="L314">
        <v>13</v>
      </c>
      <c r="M314" s="168" t="s">
        <v>3</v>
      </c>
    </row>
    <row r="315" spans="12:13" x14ac:dyDescent="0.25">
      <c r="L315">
        <v>358</v>
      </c>
      <c r="M315" s="168" t="s">
        <v>4</v>
      </c>
    </row>
    <row r="316" spans="12:13" x14ac:dyDescent="0.25">
      <c r="L316">
        <v>358</v>
      </c>
      <c r="M316" s="168" t="s">
        <v>4</v>
      </c>
    </row>
    <row r="317" spans="12:13" x14ac:dyDescent="0.25">
      <c r="L317">
        <v>1369</v>
      </c>
      <c r="M317" s="168" t="s">
        <v>5</v>
      </c>
    </row>
    <row r="318" spans="12:13" x14ac:dyDescent="0.25">
      <c r="L318">
        <v>5227</v>
      </c>
      <c r="M318" s="168" t="s">
        <v>6</v>
      </c>
    </row>
    <row r="319" spans="12:13" x14ac:dyDescent="0.25">
      <c r="L319">
        <v>9816</v>
      </c>
      <c r="M319" s="168" t="s">
        <v>7</v>
      </c>
    </row>
    <row r="320" spans="12:13" x14ac:dyDescent="0.25">
      <c r="L320">
        <v>9774</v>
      </c>
      <c r="M320" s="168" t="s">
        <v>8</v>
      </c>
    </row>
    <row r="321" spans="12:13" x14ac:dyDescent="0.25">
      <c r="L321">
        <v>4608</v>
      </c>
      <c r="M321" s="168" t="s">
        <v>9</v>
      </c>
    </row>
    <row r="322" spans="12:13" x14ac:dyDescent="0.25">
      <c r="L322">
        <v>724</v>
      </c>
      <c r="M322" s="168" t="s">
        <v>10</v>
      </c>
    </row>
    <row r="323" spans="12:13" x14ac:dyDescent="0.25">
      <c r="L323">
        <v>2465</v>
      </c>
      <c r="M323" s="168" t="s">
        <v>11</v>
      </c>
    </row>
    <row r="324" spans="12:13" x14ac:dyDescent="0.25">
      <c r="L324">
        <v>958</v>
      </c>
      <c r="M324" s="168" t="s">
        <v>12</v>
      </c>
    </row>
    <row r="325" spans="12:13" x14ac:dyDescent="0.25">
      <c r="L325">
        <v>9720</v>
      </c>
      <c r="M325" s="168" t="s">
        <v>13</v>
      </c>
    </row>
    <row r="326" spans="12:13" x14ac:dyDescent="0.25">
      <c r="L326">
        <v>5240</v>
      </c>
      <c r="M326" s="168" t="s">
        <v>14</v>
      </c>
    </row>
    <row r="327" spans="12:13" x14ac:dyDescent="0.25">
      <c r="L327">
        <v>4484</v>
      </c>
      <c r="M327" s="168" t="s">
        <v>15</v>
      </c>
    </row>
    <row r="328" spans="12:13" x14ac:dyDescent="0.25">
      <c r="L328">
        <v>5048</v>
      </c>
      <c r="M328" s="168" t="s">
        <v>16</v>
      </c>
    </row>
    <row r="329" spans="12:13" x14ac:dyDescent="0.25">
      <c r="L329">
        <v>2612</v>
      </c>
      <c r="M329" s="168" t="s">
        <v>17</v>
      </c>
    </row>
    <row r="330" spans="12:13" x14ac:dyDescent="0.25">
      <c r="L330">
        <v>5230</v>
      </c>
      <c r="M330" s="168" t="s">
        <v>18</v>
      </c>
    </row>
    <row r="331" spans="12:13" x14ac:dyDescent="0.25">
      <c r="L331">
        <v>499</v>
      </c>
      <c r="M331" s="168" t="s">
        <v>19</v>
      </c>
    </row>
    <row r="332" spans="12:13" x14ac:dyDescent="0.25">
      <c r="L332">
        <v>5374</v>
      </c>
      <c r="M332" s="168" t="s">
        <v>20</v>
      </c>
    </row>
    <row r="333" spans="12:13" x14ac:dyDescent="0.25">
      <c r="L333">
        <v>4197</v>
      </c>
      <c r="M333" s="168" t="s">
        <v>21</v>
      </c>
    </row>
    <row r="334" spans="12:13" x14ac:dyDescent="0.25">
      <c r="L334">
        <v>8206</v>
      </c>
      <c r="M334" s="168" t="s">
        <v>22</v>
      </c>
    </row>
    <row r="335" spans="12:13" x14ac:dyDescent="0.25">
      <c r="L335">
        <v>3134</v>
      </c>
      <c r="M335" s="168" t="s">
        <v>23</v>
      </c>
    </row>
    <row r="336" spans="12:13" x14ac:dyDescent="0.25">
      <c r="L336">
        <v>4510</v>
      </c>
      <c r="M336" s="168" t="s">
        <v>24</v>
      </c>
    </row>
    <row r="337" spans="12:13" x14ac:dyDescent="0.25">
      <c r="L337">
        <v>7860</v>
      </c>
      <c r="M337" s="168" t="s">
        <v>25</v>
      </c>
    </row>
    <row r="338" spans="12:13" x14ac:dyDescent="0.25">
      <c r="L338">
        <v>2627</v>
      </c>
      <c r="M338" s="168" t="s">
        <v>26</v>
      </c>
    </row>
    <row r="339" spans="12:13" x14ac:dyDescent="0.25">
      <c r="L339">
        <v>4350</v>
      </c>
      <c r="M339" s="168" t="s">
        <v>27</v>
      </c>
    </row>
    <row r="340" spans="12:13" x14ac:dyDescent="0.25">
      <c r="L340">
        <v>997</v>
      </c>
      <c r="M340" s="168" t="s">
        <v>28</v>
      </c>
    </row>
    <row r="341" spans="12:13" x14ac:dyDescent="0.25">
      <c r="L341">
        <v>823</v>
      </c>
      <c r="M341" s="168" t="s">
        <v>29</v>
      </c>
    </row>
    <row r="342" spans="12:13" x14ac:dyDescent="0.25">
      <c r="L342">
        <v>8636</v>
      </c>
      <c r="M342" s="168" t="s">
        <v>30</v>
      </c>
    </row>
    <row r="343" spans="12:13" x14ac:dyDescent="0.25">
      <c r="L343">
        <v>2341</v>
      </c>
      <c r="M343" s="168" t="s">
        <v>31</v>
      </c>
    </row>
    <row r="344" spans="12:13" x14ac:dyDescent="0.25">
      <c r="L344">
        <v>9861</v>
      </c>
      <c r="M344" s="168" t="s">
        <v>32</v>
      </c>
    </row>
    <row r="345" spans="12:13" x14ac:dyDescent="0.25">
      <c r="L345">
        <v>5940</v>
      </c>
      <c r="M345" s="168" t="s">
        <v>33</v>
      </c>
    </row>
    <row r="346" spans="12:13" x14ac:dyDescent="0.25">
      <c r="L346">
        <v>2957</v>
      </c>
      <c r="M346" s="168" t="s">
        <v>34</v>
      </c>
    </row>
    <row r="347" spans="12:13" x14ac:dyDescent="0.25">
      <c r="L347">
        <v>5993</v>
      </c>
      <c r="M347" s="168" t="s">
        <v>35</v>
      </c>
    </row>
    <row r="348" spans="12:13" x14ac:dyDescent="0.25">
      <c r="L348">
        <v>2562</v>
      </c>
      <c r="M348" s="168" t="s">
        <v>36</v>
      </c>
    </row>
    <row r="349" spans="12:13" x14ac:dyDescent="0.25">
      <c r="L349">
        <v>7200</v>
      </c>
      <c r="M349" s="168" t="s">
        <v>37</v>
      </c>
    </row>
    <row r="350" spans="12:13" x14ac:dyDescent="0.25">
      <c r="L350">
        <v>362</v>
      </c>
      <c r="M350" s="168" t="s">
        <v>38</v>
      </c>
    </row>
    <row r="351" spans="12:13" x14ac:dyDescent="0.25">
      <c r="L351">
        <v>6230</v>
      </c>
      <c r="M351" s="168" t="s">
        <v>39</v>
      </c>
    </row>
    <row r="352" spans="12:13" x14ac:dyDescent="0.25">
      <c r="L352">
        <v>6235</v>
      </c>
      <c r="M352" s="168" t="s">
        <v>40</v>
      </c>
    </row>
    <row r="353" spans="12:13" x14ac:dyDescent="0.25">
      <c r="L353">
        <v>9798</v>
      </c>
      <c r="M353" s="168" t="s">
        <v>41</v>
      </c>
    </row>
    <row r="354" spans="12:13" x14ac:dyDescent="0.25">
      <c r="L354">
        <v>8506</v>
      </c>
      <c r="M354" s="168" t="s">
        <v>42</v>
      </c>
    </row>
    <row r="355" spans="12:13" x14ac:dyDescent="0.25">
      <c r="L355">
        <v>1591</v>
      </c>
      <c r="M355" s="168" t="s">
        <v>43</v>
      </c>
    </row>
    <row r="356" spans="12:13" x14ac:dyDescent="0.25">
      <c r="L356">
        <v>6772</v>
      </c>
      <c r="M356" s="168" t="s">
        <v>44</v>
      </c>
    </row>
    <row r="357" spans="12:13" x14ac:dyDescent="0.25">
      <c r="L357">
        <v>586</v>
      </c>
      <c r="M357" s="168" t="s">
        <v>45</v>
      </c>
    </row>
    <row r="358" spans="12:13" x14ac:dyDescent="0.25">
      <c r="L358">
        <v>7372</v>
      </c>
      <c r="M358" s="168" t="s">
        <v>46</v>
      </c>
    </row>
    <row r="359" spans="12:13" x14ac:dyDescent="0.25">
      <c r="L359">
        <v>4145</v>
      </c>
      <c r="M359" s="168" t="s">
        <v>47</v>
      </c>
    </row>
    <row r="360" spans="12:13" x14ac:dyDescent="0.25">
      <c r="L360">
        <v>8776</v>
      </c>
      <c r="M360" s="168" t="s">
        <v>48</v>
      </c>
    </row>
    <row r="361" spans="12:13" x14ac:dyDescent="0.25">
      <c r="L361">
        <v>6943</v>
      </c>
      <c r="M361" s="168" t="s">
        <v>49</v>
      </c>
    </row>
    <row r="362" spans="12:13" x14ac:dyDescent="0.25">
      <c r="L362">
        <v>7336</v>
      </c>
      <c r="M362" s="168" t="s">
        <v>50</v>
      </c>
    </row>
    <row r="363" spans="12:13" x14ac:dyDescent="0.25">
      <c r="L363">
        <v>8752</v>
      </c>
      <c r="M363" s="168" t="s">
        <v>51</v>
      </c>
    </row>
    <row r="364" spans="12:13" x14ac:dyDescent="0.25">
      <c r="L364">
        <v>417</v>
      </c>
      <c r="M364" s="168" t="s">
        <v>52</v>
      </c>
    </row>
    <row r="365" spans="12:13" x14ac:dyDescent="0.25">
      <c r="L365">
        <v>437</v>
      </c>
      <c r="M365" s="168" t="s">
        <v>53</v>
      </c>
    </row>
    <row r="366" spans="12:13" x14ac:dyDescent="0.25">
      <c r="L366">
        <v>3228</v>
      </c>
      <c r="M366" s="168" t="s">
        <v>54</v>
      </c>
    </row>
    <row r="367" spans="12:13" x14ac:dyDescent="0.25">
      <c r="L367">
        <v>4372</v>
      </c>
      <c r="M367" s="168" t="s">
        <v>55</v>
      </c>
    </row>
    <row r="368" spans="12:13" x14ac:dyDescent="0.25">
      <c r="L368">
        <v>7298</v>
      </c>
      <c r="M368" s="168" t="s">
        <v>56</v>
      </c>
    </row>
    <row r="369" spans="12:13" x14ac:dyDescent="0.25">
      <c r="L369">
        <v>1417</v>
      </c>
      <c r="M369" s="168" t="s">
        <v>57</v>
      </c>
    </row>
    <row r="370" spans="12:13" x14ac:dyDescent="0.25">
      <c r="L370">
        <v>2078</v>
      </c>
      <c r="M370" s="168" t="s">
        <v>58</v>
      </c>
    </row>
    <row r="371" spans="12:13" x14ac:dyDescent="0.25">
      <c r="L371">
        <v>5667</v>
      </c>
      <c r="M371" s="168" t="s">
        <v>59</v>
      </c>
    </row>
    <row r="372" spans="12:13" x14ac:dyDescent="0.25">
      <c r="L372">
        <v>6681</v>
      </c>
      <c r="M372" s="168" t="s">
        <v>60</v>
      </c>
    </row>
    <row r="373" spans="12:13" x14ac:dyDescent="0.25">
      <c r="L373">
        <v>7184</v>
      </c>
      <c r="M373" s="168" t="s">
        <v>61</v>
      </c>
    </row>
    <row r="374" spans="12:13" x14ac:dyDescent="0.25">
      <c r="L374">
        <v>8903</v>
      </c>
      <c r="M374" s="168" t="s">
        <v>62</v>
      </c>
    </row>
    <row r="375" spans="12:13" x14ac:dyDescent="0.25">
      <c r="L375">
        <v>9912</v>
      </c>
      <c r="M375" s="168" t="s">
        <v>63</v>
      </c>
    </row>
    <row r="376" spans="12:13" x14ac:dyDescent="0.25">
      <c r="L376">
        <v>3012</v>
      </c>
      <c r="M376" s="168" t="s">
        <v>64</v>
      </c>
    </row>
    <row r="377" spans="12:13" x14ac:dyDescent="0.25">
      <c r="L377">
        <v>8778</v>
      </c>
      <c r="M377" s="168" t="s">
        <v>65</v>
      </c>
    </row>
    <row r="378" spans="12:13" x14ac:dyDescent="0.25">
      <c r="L378">
        <v>2298</v>
      </c>
      <c r="M378" s="168" t="s">
        <v>66</v>
      </c>
    </row>
    <row r="379" spans="12:13" x14ac:dyDescent="0.25">
      <c r="L379">
        <v>5688</v>
      </c>
      <c r="M379" s="168" t="s">
        <v>67</v>
      </c>
    </row>
    <row r="380" spans="12:13" x14ac:dyDescent="0.25">
      <c r="L380">
        <v>4407</v>
      </c>
      <c r="M380" s="168" t="s">
        <v>68</v>
      </c>
    </row>
    <row r="381" spans="12:13" x14ac:dyDescent="0.25">
      <c r="L381">
        <v>2589</v>
      </c>
      <c r="M381" s="168" t="s">
        <v>786</v>
      </c>
    </row>
    <row r="382" spans="12:13" x14ac:dyDescent="0.25">
      <c r="L382">
        <v>1779</v>
      </c>
      <c r="M382" s="168" t="s">
        <v>787</v>
      </c>
    </row>
    <row r="383" spans="12:13" x14ac:dyDescent="0.25">
      <c r="L383">
        <v>5435</v>
      </c>
      <c r="M383" s="168" t="s">
        <v>788</v>
      </c>
    </row>
    <row r="384" spans="12:13" x14ac:dyDescent="0.25">
      <c r="L384">
        <v>7271</v>
      </c>
      <c r="M384" s="168" t="s">
        <v>789</v>
      </c>
    </row>
    <row r="385" spans="12:13" x14ac:dyDescent="0.25">
      <c r="L385">
        <v>1926</v>
      </c>
      <c r="M385" s="168" t="s">
        <v>790</v>
      </c>
    </row>
    <row r="386" spans="12:13" x14ac:dyDescent="0.25">
      <c r="L386">
        <v>1761</v>
      </c>
      <c r="M386" s="168" t="s">
        <v>791</v>
      </c>
    </row>
    <row r="387" spans="12:13" x14ac:dyDescent="0.25">
      <c r="L387">
        <v>4110</v>
      </c>
      <c r="M387" s="168" t="s">
        <v>792</v>
      </c>
    </row>
    <row r="388" spans="12:13" x14ac:dyDescent="0.25">
      <c r="L388">
        <v>1562</v>
      </c>
      <c r="M388" s="168" t="s">
        <v>793</v>
      </c>
    </row>
    <row r="389" spans="12:13" x14ac:dyDescent="0.25">
      <c r="L389">
        <v>1562</v>
      </c>
      <c r="M389" s="168" t="s">
        <v>793</v>
      </c>
    </row>
    <row r="390" spans="12:13" x14ac:dyDescent="0.25">
      <c r="L390">
        <v>2293</v>
      </c>
      <c r="M390" s="168" t="s">
        <v>794</v>
      </c>
    </row>
    <row r="391" spans="12:13" x14ac:dyDescent="0.25">
      <c r="L391">
        <v>8315</v>
      </c>
      <c r="M391" s="168" t="s">
        <v>795</v>
      </c>
    </row>
    <row r="392" spans="12:13" x14ac:dyDescent="0.25">
      <c r="L392">
        <v>3585</v>
      </c>
      <c r="M392" s="168" t="s">
        <v>796</v>
      </c>
    </row>
    <row r="393" spans="12:13" x14ac:dyDescent="0.25">
      <c r="L393">
        <v>5382</v>
      </c>
      <c r="M393" s="168" t="s">
        <v>797</v>
      </c>
    </row>
    <row r="394" spans="12:13" x14ac:dyDescent="0.25">
      <c r="L394">
        <v>1476</v>
      </c>
      <c r="M394" s="168" t="s">
        <v>798</v>
      </c>
    </row>
    <row r="395" spans="12:13" x14ac:dyDescent="0.25">
      <c r="L395">
        <v>1476</v>
      </c>
      <c r="M395" s="168" t="s">
        <v>798</v>
      </c>
    </row>
    <row r="396" spans="12:13" x14ac:dyDescent="0.25">
      <c r="L396">
        <v>5426</v>
      </c>
      <c r="M396" s="168" t="s">
        <v>799</v>
      </c>
    </row>
    <row r="397" spans="12:13" x14ac:dyDescent="0.25">
      <c r="L397">
        <v>5426</v>
      </c>
      <c r="M397" s="168" t="s">
        <v>799</v>
      </c>
    </row>
    <row r="398" spans="12:13" x14ac:dyDescent="0.25">
      <c r="L398">
        <v>364</v>
      </c>
      <c r="M398" s="168" t="s">
        <v>800</v>
      </c>
    </row>
    <row r="399" spans="12:13" x14ac:dyDescent="0.25">
      <c r="L399">
        <v>3490</v>
      </c>
      <c r="M399" s="168" t="s">
        <v>801</v>
      </c>
    </row>
    <row r="400" spans="12:13" x14ac:dyDescent="0.25">
      <c r="L400">
        <v>6187</v>
      </c>
      <c r="M400" s="168" t="s">
        <v>802</v>
      </c>
    </row>
    <row r="401" spans="12:13" x14ac:dyDescent="0.25">
      <c r="L401">
        <v>6187</v>
      </c>
      <c r="M401" s="168" t="s">
        <v>803</v>
      </c>
    </row>
    <row r="402" spans="12:13" x14ac:dyDescent="0.25">
      <c r="L402">
        <v>8231</v>
      </c>
      <c r="M402" s="168" t="s">
        <v>804</v>
      </c>
    </row>
    <row r="403" spans="12:13" x14ac:dyDescent="0.25">
      <c r="L403">
        <v>8231</v>
      </c>
      <c r="M403" s="168" t="s">
        <v>805</v>
      </c>
    </row>
    <row r="404" spans="12:13" x14ac:dyDescent="0.25">
      <c r="L404">
        <v>9194</v>
      </c>
      <c r="M404" s="168" t="s">
        <v>806</v>
      </c>
    </row>
    <row r="405" spans="12:13" x14ac:dyDescent="0.25">
      <c r="L405">
        <v>6082</v>
      </c>
      <c r="M405" s="168" t="s">
        <v>807</v>
      </c>
    </row>
    <row r="406" spans="12:13" x14ac:dyDescent="0.25">
      <c r="L406">
        <v>9558</v>
      </c>
      <c r="M406" s="168" t="s">
        <v>808</v>
      </c>
    </row>
    <row r="407" spans="12:13" x14ac:dyDescent="0.25">
      <c r="L407">
        <v>4341</v>
      </c>
      <c r="M407" s="168" t="s">
        <v>809</v>
      </c>
    </row>
    <row r="408" spans="12:13" x14ac:dyDescent="0.25">
      <c r="L408">
        <v>6140</v>
      </c>
      <c r="M408" s="168" t="s">
        <v>810</v>
      </c>
    </row>
    <row r="409" spans="12:13" x14ac:dyDescent="0.25">
      <c r="L409">
        <v>973</v>
      </c>
      <c r="M409" s="168" t="s">
        <v>811</v>
      </c>
    </row>
    <row r="410" spans="12:13" x14ac:dyDescent="0.25">
      <c r="L410">
        <v>1820</v>
      </c>
      <c r="M410" s="168" t="s">
        <v>812</v>
      </c>
    </row>
    <row r="411" spans="12:13" x14ac:dyDescent="0.25">
      <c r="L411">
        <v>1820</v>
      </c>
      <c r="M411" s="168" t="s">
        <v>812</v>
      </c>
    </row>
    <row r="412" spans="12:13" x14ac:dyDescent="0.25">
      <c r="L412">
        <v>683</v>
      </c>
      <c r="M412" s="168" t="s">
        <v>813</v>
      </c>
    </row>
    <row r="413" spans="12:13" x14ac:dyDescent="0.25">
      <c r="L413">
        <v>683</v>
      </c>
      <c r="M413" s="168" t="s">
        <v>813</v>
      </c>
    </row>
    <row r="414" spans="12:13" x14ac:dyDescent="0.25">
      <c r="L414">
        <v>4499</v>
      </c>
      <c r="M414" s="168" t="s">
        <v>814</v>
      </c>
    </row>
    <row r="415" spans="12:13" x14ac:dyDescent="0.25">
      <c r="L415">
        <v>7814</v>
      </c>
      <c r="M415" s="168" t="s">
        <v>815</v>
      </c>
    </row>
    <row r="416" spans="12:13" x14ac:dyDescent="0.25">
      <c r="L416">
        <v>2567</v>
      </c>
      <c r="M416" s="168" t="s">
        <v>816</v>
      </c>
    </row>
    <row r="417" spans="12:13" x14ac:dyDescent="0.25">
      <c r="L417">
        <v>2880</v>
      </c>
      <c r="M417" s="168" t="s">
        <v>817</v>
      </c>
    </row>
    <row r="418" spans="12:13" x14ac:dyDescent="0.25">
      <c r="L418">
        <v>2880</v>
      </c>
      <c r="M418" s="168" t="s">
        <v>817</v>
      </c>
    </row>
    <row r="419" spans="12:13" x14ac:dyDescent="0.25">
      <c r="L419">
        <v>2320</v>
      </c>
      <c r="M419" s="168" t="s">
        <v>818</v>
      </c>
    </row>
    <row r="420" spans="12:13" x14ac:dyDescent="0.25">
      <c r="L420">
        <v>4864</v>
      </c>
      <c r="M420" s="168" t="s">
        <v>819</v>
      </c>
    </row>
    <row r="421" spans="12:13" x14ac:dyDescent="0.25">
      <c r="L421">
        <v>5506</v>
      </c>
      <c r="M421" s="168" t="s">
        <v>820</v>
      </c>
    </row>
    <row r="422" spans="12:13" x14ac:dyDescent="0.25">
      <c r="L422">
        <v>3914</v>
      </c>
      <c r="M422" s="168" t="s">
        <v>821</v>
      </c>
    </row>
    <row r="423" spans="12:13" x14ac:dyDescent="0.25">
      <c r="L423">
        <v>3914</v>
      </c>
      <c r="M423" s="168" t="s">
        <v>821</v>
      </c>
    </row>
    <row r="424" spans="12:13" x14ac:dyDescent="0.25">
      <c r="L424">
        <v>3835</v>
      </c>
      <c r="M424" s="168" t="s">
        <v>822</v>
      </c>
    </row>
    <row r="425" spans="12:13" x14ac:dyDescent="0.25">
      <c r="L425">
        <v>6607</v>
      </c>
      <c r="M425" s="168" t="s">
        <v>823</v>
      </c>
    </row>
    <row r="426" spans="12:13" x14ac:dyDescent="0.25">
      <c r="L426">
        <v>9321</v>
      </c>
      <c r="M426" s="168" t="s">
        <v>824</v>
      </c>
    </row>
    <row r="427" spans="12:13" x14ac:dyDescent="0.25">
      <c r="L427">
        <v>3241</v>
      </c>
      <c r="M427" s="168" t="s">
        <v>825</v>
      </c>
    </row>
    <row r="428" spans="12:13" x14ac:dyDescent="0.25">
      <c r="L428">
        <v>1770</v>
      </c>
      <c r="M428" s="168" t="s">
        <v>826</v>
      </c>
    </row>
    <row r="429" spans="12:13" x14ac:dyDescent="0.25">
      <c r="L429">
        <v>2359</v>
      </c>
      <c r="M429" s="168" t="s">
        <v>827</v>
      </c>
    </row>
    <row r="430" spans="12:13" x14ac:dyDescent="0.25">
      <c r="L430">
        <v>2359</v>
      </c>
      <c r="M430" s="168" t="s">
        <v>827</v>
      </c>
    </row>
    <row r="431" spans="12:13" x14ac:dyDescent="0.25">
      <c r="L431">
        <v>422</v>
      </c>
      <c r="M431" s="168" t="s">
        <v>828</v>
      </c>
    </row>
    <row r="432" spans="12:13" x14ac:dyDescent="0.25">
      <c r="L432">
        <v>3653</v>
      </c>
      <c r="M432" s="168" t="s">
        <v>829</v>
      </c>
    </row>
    <row r="433" spans="12:13" x14ac:dyDescent="0.25">
      <c r="L433">
        <v>2624</v>
      </c>
      <c r="M433" s="168" t="s">
        <v>830</v>
      </c>
    </row>
    <row r="434" spans="12:13" x14ac:dyDescent="0.25">
      <c r="L434">
        <v>4876</v>
      </c>
      <c r="M434" s="168" t="s">
        <v>831</v>
      </c>
    </row>
    <row r="435" spans="12:13" x14ac:dyDescent="0.25">
      <c r="L435">
        <v>4876</v>
      </c>
      <c r="M435" s="168" t="s">
        <v>831</v>
      </c>
    </row>
    <row r="436" spans="12:13" x14ac:dyDescent="0.25">
      <c r="L436">
        <v>3884</v>
      </c>
      <c r="M436" s="168" t="s">
        <v>832</v>
      </c>
    </row>
    <row r="437" spans="12:13" x14ac:dyDescent="0.25">
      <c r="L437">
        <v>1139</v>
      </c>
      <c r="M437" s="168" t="s">
        <v>833</v>
      </c>
    </row>
    <row r="438" spans="12:13" x14ac:dyDescent="0.25">
      <c r="L438">
        <v>1139</v>
      </c>
      <c r="M438" s="168" t="s">
        <v>833</v>
      </c>
    </row>
    <row r="439" spans="12:13" x14ac:dyDescent="0.25">
      <c r="L439">
        <v>2026</v>
      </c>
      <c r="M439" s="168" t="s">
        <v>834</v>
      </c>
    </row>
    <row r="440" spans="12:13" x14ac:dyDescent="0.25">
      <c r="L440">
        <v>3038</v>
      </c>
      <c r="M440" s="168" t="s">
        <v>835</v>
      </c>
    </row>
    <row r="441" spans="12:13" x14ac:dyDescent="0.25">
      <c r="L441">
        <v>3423</v>
      </c>
      <c r="M441" s="168" t="s">
        <v>836</v>
      </c>
    </row>
    <row r="442" spans="12:13" x14ac:dyDescent="0.25">
      <c r="L442">
        <v>935</v>
      </c>
      <c r="M442" s="168" t="s">
        <v>837</v>
      </c>
    </row>
    <row r="443" spans="12:13" x14ac:dyDescent="0.25">
      <c r="L443">
        <v>6469</v>
      </c>
      <c r="M443" s="168" t="s">
        <v>838</v>
      </c>
    </row>
    <row r="444" spans="12:13" x14ac:dyDescent="0.25">
      <c r="L444">
        <v>6469</v>
      </c>
      <c r="M444" s="168" t="s">
        <v>838</v>
      </c>
    </row>
    <row r="445" spans="12:13" x14ac:dyDescent="0.25">
      <c r="L445">
        <v>7629</v>
      </c>
      <c r="M445" s="168" t="s">
        <v>839</v>
      </c>
    </row>
    <row r="446" spans="12:13" x14ac:dyDescent="0.25">
      <c r="L446">
        <v>8649</v>
      </c>
      <c r="M446" s="168" t="s">
        <v>840</v>
      </c>
    </row>
    <row r="447" spans="12:13" x14ac:dyDescent="0.25">
      <c r="L447">
        <v>9118</v>
      </c>
      <c r="M447" s="168" t="s">
        <v>841</v>
      </c>
    </row>
    <row r="448" spans="12:13" x14ac:dyDescent="0.25">
      <c r="L448">
        <v>8430</v>
      </c>
      <c r="M448" s="168" t="s">
        <v>842</v>
      </c>
    </row>
    <row r="449" spans="12:13" x14ac:dyDescent="0.25">
      <c r="L449">
        <v>4053</v>
      </c>
      <c r="M449" s="168" t="s">
        <v>843</v>
      </c>
    </row>
    <row r="450" spans="12:13" x14ac:dyDescent="0.25">
      <c r="L450">
        <v>3434</v>
      </c>
      <c r="M450" s="168" t="s">
        <v>844</v>
      </c>
    </row>
    <row r="451" spans="12:13" x14ac:dyDescent="0.25">
      <c r="L451">
        <v>96</v>
      </c>
      <c r="M451" s="168" t="s">
        <v>845</v>
      </c>
    </row>
    <row r="452" spans="12:13" x14ac:dyDescent="0.25">
      <c r="L452">
        <v>8734</v>
      </c>
      <c r="M452" s="168" t="s">
        <v>846</v>
      </c>
    </row>
    <row r="453" spans="12:13" x14ac:dyDescent="0.25">
      <c r="L453">
        <v>4319</v>
      </c>
      <c r="M453" s="168" t="s">
        <v>847</v>
      </c>
    </row>
    <row r="454" spans="12:13" x14ac:dyDescent="0.25">
      <c r="L454">
        <v>4960</v>
      </c>
      <c r="M454" s="168" t="s">
        <v>848</v>
      </c>
    </row>
    <row r="455" spans="12:13" x14ac:dyDescent="0.25">
      <c r="L455">
        <v>2723</v>
      </c>
      <c r="M455" s="168" t="s">
        <v>849</v>
      </c>
    </row>
    <row r="456" spans="12:13" x14ac:dyDescent="0.25">
      <c r="L456">
        <v>28</v>
      </c>
      <c r="M456" s="168" t="s">
        <v>850</v>
      </c>
    </row>
    <row r="457" spans="12:13" x14ac:dyDescent="0.25">
      <c r="L457">
        <v>6746</v>
      </c>
      <c r="M457" s="168" t="s">
        <v>851</v>
      </c>
    </row>
    <row r="458" spans="12:13" x14ac:dyDescent="0.25">
      <c r="L458">
        <v>6889</v>
      </c>
      <c r="M458" s="168" t="s">
        <v>852</v>
      </c>
    </row>
    <row r="459" spans="12:13" x14ac:dyDescent="0.25">
      <c r="L459">
        <v>9586</v>
      </c>
      <c r="M459" s="168" t="s">
        <v>853</v>
      </c>
    </row>
    <row r="460" spans="12:13" x14ac:dyDescent="0.25">
      <c r="L460">
        <v>9586</v>
      </c>
      <c r="M460" s="168" t="s">
        <v>853</v>
      </c>
    </row>
    <row r="461" spans="12:13" x14ac:dyDescent="0.25">
      <c r="L461">
        <v>6208</v>
      </c>
      <c r="M461" s="168" t="s">
        <v>854</v>
      </c>
    </row>
    <row r="462" spans="12:13" x14ac:dyDescent="0.25">
      <c r="L462">
        <v>4752</v>
      </c>
      <c r="M462" s="168" t="s">
        <v>855</v>
      </c>
    </row>
    <row r="463" spans="12:13" x14ac:dyDescent="0.25">
      <c r="L463">
        <v>1465</v>
      </c>
      <c r="M463" s="168" t="s">
        <v>856</v>
      </c>
    </row>
    <row r="464" spans="12:13" x14ac:dyDescent="0.25">
      <c r="L464">
        <v>1465</v>
      </c>
      <c r="M464" s="168" t="s">
        <v>856</v>
      </c>
    </row>
    <row r="465" spans="12:13" x14ac:dyDescent="0.25">
      <c r="L465">
        <v>9422</v>
      </c>
      <c r="M465" s="168" t="s">
        <v>857</v>
      </c>
    </row>
    <row r="466" spans="12:13" x14ac:dyDescent="0.25">
      <c r="L466">
        <v>5828</v>
      </c>
      <c r="M466" s="168" t="s">
        <v>858</v>
      </c>
    </row>
    <row r="467" spans="12:13" x14ac:dyDescent="0.25">
      <c r="L467">
        <v>4337</v>
      </c>
      <c r="M467" s="168" t="s">
        <v>859</v>
      </c>
    </row>
    <row r="468" spans="12:13" x14ac:dyDescent="0.25">
      <c r="L468">
        <v>1213</v>
      </c>
      <c r="M468" s="168" t="s">
        <v>860</v>
      </c>
    </row>
    <row r="469" spans="12:13" x14ac:dyDescent="0.25">
      <c r="L469">
        <v>7193</v>
      </c>
      <c r="M469" s="168" t="s">
        <v>861</v>
      </c>
    </row>
    <row r="470" spans="12:13" x14ac:dyDescent="0.25">
      <c r="L470">
        <v>924</v>
      </c>
      <c r="M470" s="168" t="s">
        <v>862</v>
      </c>
    </row>
    <row r="471" spans="12:13" x14ac:dyDescent="0.25">
      <c r="L471">
        <v>7940</v>
      </c>
      <c r="M471" s="168" t="s">
        <v>863</v>
      </c>
    </row>
    <row r="472" spans="12:13" x14ac:dyDescent="0.25">
      <c r="L472">
        <v>9130</v>
      </c>
      <c r="M472" s="168" t="s">
        <v>864</v>
      </c>
    </row>
    <row r="473" spans="12:13" x14ac:dyDescent="0.25">
      <c r="L473">
        <v>2407</v>
      </c>
      <c r="M473" s="168" t="s">
        <v>865</v>
      </c>
    </row>
    <row r="474" spans="12:13" x14ac:dyDescent="0.25">
      <c r="L474">
        <v>5446</v>
      </c>
      <c r="M474" s="168" t="s">
        <v>866</v>
      </c>
    </row>
    <row r="475" spans="12:13" x14ac:dyDescent="0.25">
      <c r="L475">
        <v>2265</v>
      </c>
      <c r="M475" s="168" t="s">
        <v>867</v>
      </c>
    </row>
    <row r="476" spans="12:13" x14ac:dyDescent="0.25">
      <c r="L476">
        <v>1810</v>
      </c>
      <c r="M476" s="168" t="s">
        <v>868</v>
      </c>
    </row>
    <row r="477" spans="12:13" x14ac:dyDescent="0.25">
      <c r="L477">
        <v>786</v>
      </c>
      <c r="M477" s="168" t="s">
        <v>869</v>
      </c>
    </row>
    <row r="478" spans="12:13" x14ac:dyDescent="0.25">
      <c r="L478">
        <v>1176</v>
      </c>
      <c r="M478" s="168" t="s">
        <v>870</v>
      </c>
    </row>
    <row r="479" spans="12:13" x14ac:dyDescent="0.25">
      <c r="L479">
        <v>660</v>
      </c>
      <c r="M479" s="168" t="s">
        <v>871</v>
      </c>
    </row>
    <row r="480" spans="12:13" x14ac:dyDescent="0.25">
      <c r="L480">
        <v>681</v>
      </c>
      <c r="M480" s="168" t="s">
        <v>872</v>
      </c>
    </row>
    <row r="481" spans="12:13" x14ac:dyDescent="0.25">
      <c r="L481">
        <v>5382</v>
      </c>
      <c r="M481" s="168" t="s">
        <v>873</v>
      </c>
    </row>
    <row r="482" spans="12:13" x14ac:dyDescent="0.25">
      <c r="L482">
        <v>3596</v>
      </c>
      <c r="M482" s="168" t="s">
        <v>874</v>
      </c>
    </row>
    <row r="483" spans="12:13" x14ac:dyDescent="0.25">
      <c r="L483">
        <v>5769</v>
      </c>
      <c r="M483" s="168" t="s">
        <v>875</v>
      </c>
    </row>
    <row r="484" spans="12:13" x14ac:dyDescent="0.25">
      <c r="L484">
        <v>5769</v>
      </c>
      <c r="M484" s="168" t="s">
        <v>875</v>
      </c>
    </row>
    <row r="485" spans="12:13" x14ac:dyDescent="0.25">
      <c r="L485">
        <v>153</v>
      </c>
      <c r="M485" s="168" t="s">
        <v>876</v>
      </c>
    </row>
    <row r="486" spans="12:13" x14ac:dyDescent="0.25">
      <c r="L486">
        <v>8311</v>
      </c>
      <c r="M486" s="168" t="s">
        <v>877</v>
      </c>
    </row>
    <row r="487" spans="12:13" x14ac:dyDescent="0.25">
      <c r="L487">
        <v>8948</v>
      </c>
      <c r="M487" s="168" t="s">
        <v>878</v>
      </c>
    </row>
    <row r="488" spans="12:13" x14ac:dyDescent="0.25">
      <c r="L488">
        <v>6457</v>
      </c>
      <c r="M488" s="168" t="s">
        <v>879</v>
      </c>
    </row>
    <row r="489" spans="12:13" x14ac:dyDescent="0.25">
      <c r="L489">
        <v>5084</v>
      </c>
      <c r="M489" s="168" t="s">
        <v>880</v>
      </c>
    </row>
    <row r="490" spans="12:13" x14ac:dyDescent="0.25">
      <c r="L490">
        <v>2657</v>
      </c>
      <c r="M490" s="168" t="s">
        <v>720</v>
      </c>
    </row>
    <row r="491" spans="12:13" x14ac:dyDescent="0.25">
      <c r="L491">
        <v>8536</v>
      </c>
      <c r="M491" s="168" t="s">
        <v>721</v>
      </c>
    </row>
    <row r="492" spans="12:13" x14ac:dyDescent="0.25">
      <c r="L492">
        <v>530</v>
      </c>
      <c r="M492" s="168" t="s">
        <v>722</v>
      </c>
    </row>
    <row r="493" spans="12:13" x14ac:dyDescent="0.25">
      <c r="L493">
        <v>8323</v>
      </c>
      <c r="M493" s="168" t="s">
        <v>723</v>
      </c>
    </row>
    <row r="494" spans="12:13" x14ac:dyDescent="0.25">
      <c r="L494">
        <v>2827</v>
      </c>
      <c r="M494" s="168" t="s">
        <v>724</v>
      </c>
    </row>
    <row r="495" spans="12:13" x14ac:dyDescent="0.25">
      <c r="L495">
        <v>4825</v>
      </c>
      <c r="M495" s="168" t="s">
        <v>725</v>
      </c>
    </row>
    <row r="496" spans="12:13" x14ac:dyDescent="0.25">
      <c r="L496">
        <v>1177</v>
      </c>
      <c r="M496" s="168" t="s">
        <v>726</v>
      </c>
    </row>
    <row r="497" spans="12:13" x14ac:dyDescent="0.25">
      <c r="L497">
        <v>7738</v>
      </c>
      <c r="M497" s="168" t="s">
        <v>727</v>
      </c>
    </row>
    <row r="498" spans="12:13" x14ac:dyDescent="0.25">
      <c r="L498">
        <v>9751</v>
      </c>
      <c r="M498" s="168" t="s">
        <v>728</v>
      </c>
    </row>
    <row r="499" spans="12:13" x14ac:dyDescent="0.25">
      <c r="L499">
        <v>6632</v>
      </c>
      <c r="M499" s="168" t="s">
        <v>729</v>
      </c>
    </row>
    <row r="500" spans="12:13" x14ac:dyDescent="0.25">
      <c r="L500">
        <v>5320</v>
      </c>
      <c r="M500" s="168" t="s">
        <v>730</v>
      </c>
    </row>
    <row r="501" spans="12:13" x14ac:dyDescent="0.25">
      <c r="L501">
        <v>5320</v>
      </c>
      <c r="M501" s="168" t="s">
        <v>730</v>
      </c>
    </row>
    <row r="502" spans="12:13" x14ac:dyDescent="0.25">
      <c r="L502">
        <v>9941</v>
      </c>
      <c r="M502" s="168" t="s">
        <v>731</v>
      </c>
    </row>
    <row r="503" spans="12:13" x14ac:dyDescent="0.25">
      <c r="L503">
        <v>119</v>
      </c>
      <c r="M503" s="168" t="s">
        <v>732</v>
      </c>
    </row>
    <row r="504" spans="12:13" x14ac:dyDescent="0.25">
      <c r="L504">
        <v>6318</v>
      </c>
      <c r="M504" s="168" t="s">
        <v>733</v>
      </c>
    </row>
    <row r="505" spans="12:13" x14ac:dyDescent="0.25">
      <c r="L505">
        <v>793</v>
      </c>
      <c r="M505" s="168" t="s">
        <v>734</v>
      </c>
    </row>
    <row r="506" spans="12:13" x14ac:dyDescent="0.25">
      <c r="L506">
        <v>2809</v>
      </c>
      <c r="M506" s="168" t="s">
        <v>735</v>
      </c>
    </row>
    <row r="507" spans="12:13" x14ac:dyDescent="0.25">
      <c r="L507">
        <v>5294</v>
      </c>
      <c r="M507" s="168" t="s">
        <v>736</v>
      </c>
    </row>
    <row r="508" spans="12:13" x14ac:dyDescent="0.25">
      <c r="L508">
        <v>1261</v>
      </c>
      <c r="M508" s="168" t="s">
        <v>737</v>
      </c>
    </row>
    <row r="509" spans="12:13" x14ac:dyDescent="0.25">
      <c r="L509">
        <v>8817</v>
      </c>
      <c r="M509" s="168" t="s">
        <v>738</v>
      </c>
    </row>
    <row r="510" spans="12:13" x14ac:dyDescent="0.25">
      <c r="L510">
        <v>7258</v>
      </c>
      <c r="M510" s="168" t="s">
        <v>739</v>
      </c>
    </row>
    <row r="511" spans="12:13" x14ac:dyDescent="0.25">
      <c r="L511">
        <v>3761</v>
      </c>
      <c r="M511" s="168" t="s">
        <v>740</v>
      </c>
    </row>
    <row r="512" spans="12:13" x14ac:dyDescent="0.25">
      <c r="L512">
        <v>3761</v>
      </c>
      <c r="M512" s="168" t="s">
        <v>740</v>
      </c>
    </row>
    <row r="513" spans="12:13" x14ac:dyDescent="0.25">
      <c r="L513">
        <v>5736</v>
      </c>
      <c r="M513" s="168" t="s">
        <v>741</v>
      </c>
    </row>
    <row r="514" spans="12:13" x14ac:dyDescent="0.25">
      <c r="L514">
        <v>2087</v>
      </c>
      <c r="M514" s="168" t="s">
        <v>742</v>
      </c>
    </row>
    <row r="515" spans="12:13" x14ac:dyDescent="0.25">
      <c r="L515">
        <v>9534</v>
      </c>
      <c r="M515" s="168" t="s">
        <v>743</v>
      </c>
    </row>
    <row r="516" spans="12:13" x14ac:dyDescent="0.25">
      <c r="L516">
        <v>4710</v>
      </c>
      <c r="M516" s="168" t="s">
        <v>744</v>
      </c>
    </row>
    <row r="517" spans="12:13" x14ac:dyDescent="0.25">
      <c r="L517">
        <v>1224</v>
      </c>
      <c r="M517" s="168" t="s">
        <v>745</v>
      </c>
    </row>
    <row r="518" spans="12:13" x14ac:dyDescent="0.25">
      <c r="L518">
        <v>5709</v>
      </c>
      <c r="M518" s="168" t="s">
        <v>746</v>
      </c>
    </row>
    <row r="519" spans="12:13" x14ac:dyDescent="0.25">
      <c r="L519">
        <v>415</v>
      </c>
      <c r="M519" s="168" t="s">
        <v>747</v>
      </c>
    </row>
    <row r="520" spans="12:13" x14ac:dyDescent="0.25">
      <c r="L520">
        <v>5956</v>
      </c>
      <c r="M520" s="168" t="s">
        <v>748</v>
      </c>
    </row>
    <row r="521" spans="12:13" x14ac:dyDescent="0.25">
      <c r="L521">
        <v>8067</v>
      </c>
      <c r="M521" s="168" t="s">
        <v>749</v>
      </c>
    </row>
    <row r="522" spans="12:13" x14ac:dyDescent="0.25">
      <c r="L522">
        <v>5992</v>
      </c>
      <c r="M522" s="168" t="s">
        <v>750</v>
      </c>
    </row>
    <row r="523" spans="12:13" x14ac:dyDescent="0.25">
      <c r="L523">
        <v>1412</v>
      </c>
      <c r="M523" s="168" t="s">
        <v>751</v>
      </c>
    </row>
    <row r="524" spans="12:13" x14ac:dyDescent="0.25">
      <c r="L524">
        <v>850</v>
      </c>
      <c r="M524" s="168" t="s">
        <v>752</v>
      </c>
    </row>
    <row r="525" spans="12:13" x14ac:dyDescent="0.25">
      <c r="L525">
        <v>850</v>
      </c>
      <c r="M525" s="168" t="s">
        <v>752</v>
      </c>
    </row>
    <row r="526" spans="12:13" x14ac:dyDescent="0.25">
      <c r="L526">
        <v>3009</v>
      </c>
      <c r="M526" s="168" t="s">
        <v>753</v>
      </c>
    </row>
    <row r="527" spans="12:13" x14ac:dyDescent="0.25">
      <c r="L527">
        <v>1618</v>
      </c>
      <c r="M527" s="168" t="s">
        <v>754</v>
      </c>
    </row>
    <row r="528" spans="12:13" x14ac:dyDescent="0.25">
      <c r="L528">
        <v>4525</v>
      </c>
      <c r="M528" s="168" t="s">
        <v>755</v>
      </c>
    </row>
    <row r="529" spans="12:13" x14ac:dyDescent="0.25">
      <c r="L529">
        <v>5999</v>
      </c>
      <c r="M529" s="168" t="s">
        <v>756</v>
      </c>
    </row>
    <row r="530" spans="12:13" x14ac:dyDescent="0.25">
      <c r="L530">
        <v>8433</v>
      </c>
      <c r="M530" s="168" t="s">
        <v>757</v>
      </c>
    </row>
    <row r="531" spans="12:13" x14ac:dyDescent="0.25">
      <c r="L531">
        <v>244</v>
      </c>
      <c r="M531" s="168" t="s">
        <v>758</v>
      </c>
    </row>
    <row r="532" spans="12:13" x14ac:dyDescent="0.25">
      <c r="L532">
        <v>244</v>
      </c>
      <c r="M532" s="168" t="s">
        <v>758</v>
      </c>
    </row>
    <row r="533" spans="12:13" x14ac:dyDescent="0.25">
      <c r="L533">
        <v>600</v>
      </c>
      <c r="M533" s="168" t="s">
        <v>759</v>
      </c>
    </row>
    <row r="534" spans="12:13" x14ac:dyDescent="0.25">
      <c r="L534">
        <v>600</v>
      </c>
      <c r="M534" s="168" t="s">
        <v>759</v>
      </c>
    </row>
    <row r="535" spans="12:13" x14ac:dyDescent="0.25">
      <c r="L535">
        <v>5499</v>
      </c>
      <c r="M535" s="168" t="s">
        <v>760</v>
      </c>
    </row>
    <row r="536" spans="12:13" x14ac:dyDescent="0.25">
      <c r="L536">
        <v>9732</v>
      </c>
      <c r="M536" s="168" t="s">
        <v>761</v>
      </c>
    </row>
    <row r="537" spans="12:13" x14ac:dyDescent="0.25">
      <c r="L537">
        <v>3407</v>
      </c>
      <c r="M537" s="168" t="s">
        <v>762</v>
      </c>
    </row>
    <row r="538" spans="12:13" x14ac:dyDescent="0.25">
      <c r="L538">
        <v>5257</v>
      </c>
      <c r="M538" s="168" t="s">
        <v>763</v>
      </c>
    </row>
    <row r="539" spans="12:13" x14ac:dyDescent="0.25">
      <c r="L539">
        <v>1365</v>
      </c>
      <c r="M539" s="168" t="s">
        <v>764</v>
      </c>
    </row>
    <row r="540" spans="12:13" x14ac:dyDescent="0.25">
      <c r="L540">
        <v>5680</v>
      </c>
      <c r="M540" s="168" t="s">
        <v>765</v>
      </c>
    </row>
    <row r="541" spans="12:13" x14ac:dyDescent="0.25">
      <c r="L541">
        <v>3099</v>
      </c>
      <c r="M541" s="168" t="s">
        <v>766</v>
      </c>
    </row>
    <row r="542" spans="12:13" x14ac:dyDescent="0.25">
      <c r="L542">
        <v>3099</v>
      </c>
      <c r="M542" s="168" t="s">
        <v>766</v>
      </c>
    </row>
    <row r="543" spans="12:13" x14ac:dyDescent="0.25">
      <c r="L543">
        <v>1900</v>
      </c>
      <c r="M543" s="168" t="s">
        <v>767</v>
      </c>
    </row>
    <row r="544" spans="12:13" x14ac:dyDescent="0.25">
      <c r="L544">
        <v>2484</v>
      </c>
      <c r="M544" s="168" t="s">
        <v>768</v>
      </c>
    </row>
    <row r="545" spans="12:13" x14ac:dyDescent="0.25">
      <c r="L545">
        <v>2484</v>
      </c>
      <c r="M545" s="168" t="s">
        <v>768</v>
      </c>
    </row>
    <row r="546" spans="12:13" x14ac:dyDescent="0.25">
      <c r="L546">
        <v>5769</v>
      </c>
      <c r="M546" s="168" t="s">
        <v>769</v>
      </c>
    </row>
    <row r="547" spans="12:13" x14ac:dyDescent="0.25">
      <c r="L547">
        <v>3503</v>
      </c>
      <c r="M547" s="168" t="s">
        <v>770</v>
      </c>
    </row>
    <row r="548" spans="12:13" x14ac:dyDescent="0.25">
      <c r="L548">
        <v>8275</v>
      </c>
      <c r="M548" s="168" t="s">
        <v>771</v>
      </c>
    </row>
    <row r="549" spans="12:13" x14ac:dyDescent="0.25">
      <c r="L549">
        <v>5488</v>
      </c>
      <c r="M549" s="168" t="s">
        <v>772</v>
      </c>
    </row>
    <row r="550" spans="12:13" x14ac:dyDescent="0.25">
      <c r="L550">
        <v>1902</v>
      </c>
      <c r="M550" s="168" t="s">
        <v>773</v>
      </c>
    </row>
    <row r="551" spans="12:13" x14ac:dyDescent="0.25">
      <c r="L551">
        <v>8584</v>
      </c>
      <c r="M551" s="168" t="s">
        <v>774</v>
      </c>
    </row>
    <row r="552" spans="12:13" x14ac:dyDescent="0.25">
      <c r="L552">
        <v>3073</v>
      </c>
      <c r="M552" s="168" t="s">
        <v>775</v>
      </c>
    </row>
    <row r="553" spans="12:13" x14ac:dyDescent="0.25">
      <c r="L553">
        <v>3545</v>
      </c>
      <c r="M553" s="168" t="s">
        <v>776</v>
      </c>
    </row>
    <row r="554" spans="12:13" x14ac:dyDescent="0.25">
      <c r="L554">
        <v>291</v>
      </c>
      <c r="M554" s="168" t="s">
        <v>777</v>
      </c>
    </row>
    <row r="555" spans="12:13" x14ac:dyDescent="0.25">
      <c r="L555">
        <v>5944</v>
      </c>
      <c r="M555" s="168" t="s">
        <v>778</v>
      </c>
    </row>
    <row r="556" spans="12:13" x14ac:dyDescent="0.25">
      <c r="L556">
        <v>6233</v>
      </c>
      <c r="M556" s="168" t="s">
        <v>779</v>
      </c>
    </row>
    <row r="557" spans="12:13" x14ac:dyDescent="0.25">
      <c r="L557">
        <v>3980</v>
      </c>
      <c r="M557" s="168" t="s">
        <v>780</v>
      </c>
    </row>
    <row r="558" spans="12:13" x14ac:dyDescent="0.25">
      <c r="L558">
        <v>5108</v>
      </c>
      <c r="M558" s="168" t="s">
        <v>781</v>
      </c>
    </row>
    <row r="559" spans="12:13" x14ac:dyDescent="0.25">
      <c r="L559">
        <v>9000</v>
      </c>
      <c r="M559" s="168" t="s">
        <v>782</v>
      </c>
    </row>
    <row r="560" spans="12:13" x14ac:dyDescent="0.25">
      <c r="L560">
        <v>4799</v>
      </c>
      <c r="M560" s="168" t="s">
        <v>783</v>
      </c>
    </row>
    <row r="561" spans="12:13" x14ac:dyDescent="0.25">
      <c r="L561">
        <v>1497</v>
      </c>
      <c r="M561" s="168" t="s">
        <v>784</v>
      </c>
    </row>
    <row r="562" spans="12:13" x14ac:dyDescent="0.25">
      <c r="L562" s="11">
        <v>0</v>
      </c>
      <c r="M562" s="169" t="s">
        <v>785</v>
      </c>
    </row>
  </sheetData>
  <sheetProtection selectLockedCells="1"/>
  <mergeCells count="119">
    <mergeCell ref="A104:C104"/>
    <mergeCell ref="G101:H101"/>
    <mergeCell ref="B26:F26"/>
    <mergeCell ref="C56:D56"/>
    <mergeCell ref="A59:C59"/>
    <mergeCell ref="G85:I85"/>
    <mergeCell ref="I5:W5"/>
    <mergeCell ref="H36:W36"/>
    <mergeCell ref="B15:D15"/>
    <mergeCell ref="A32:H32"/>
    <mergeCell ref="B16:W16"/>
    <mergeCell ref="A35:D35"/>
    <mergeCell ref="C24:F24"/>
    <mergeCell ref="A24:B24"/>
    <mergeCell ref="B8:E8"/>
    <mergeCell ref="B9:E9"/>
    <mergeCell ref="I24:W24"/>
    <mergeCell ref="G24:H24"/>
    <mergeCell ref="A21:H21"/>
    <mergeCell ref="F6:G6"/>
    <mergeCell ref="C55:D55"/>
    <mergeCell ref="A28:C28"/>
    <mergeCell ref="F45:G45"/>
    <mergeCell ref="C37:F37"/>
    <mergeCell ref="A45:B45"/>
    <mergeCell ref="G13:W13"/>
    <mergeCell ref="H14:W14"/>
    <mergeCell ref="F30:G30"/>
    <mergeCell ref="H30:W30"/>
    <mergeCell ref="A18:W18"/>
    <mergeCell ref="E35:W35"/>
    <mergeCell ref="H45:W45"/>
    <mergeCell ref="A1:D1"/>
    <mergeCell ref="A5:B5"/>
    <mergeCell ref="F11:G11"/>
    <mergeCell ref="A11:B11"/>
    <mergeCell ref="F5:G5"/>
    <mergeCell ref="G12:W12"/>
    <mergeCell ref="G1:I1"/>
    <mergeCell ref="A19:W19"/>
    <mergeCell ref="I73:W73"/>
    <mergeCell ref="F65:G65"/>
    <mergeCell ref="A64:E64"/>
    <mergeCell ref="G83:I83"/>
    <mergeCell ref="C11:E11"/>
    <mergeCell ref="B12:E12"/>
    <mergeCell ref="A36:B36"/>
    <mergeCell ref="A48:B48"/>
    <mergeCell ref="C48:D48"/>
    <mergeCell ref="C36:F36"/>
    <mergeCell ref="A4:W4"/>
    <mergeCell ref="A23:W23"/>
    <mergeCell ref="G9:H9"/>
    <mergeCell ref="H11:W11"/>
    <mergeCell ref="G8:W8"/>
    <mergeCell ref="C43:E43"/>
    <mergeCell ref="A34:D34"/>
    <mergeCell ref="A40:D40"/>
    <mergeCell ref="A30:B30"/>
    <mergeCell ref="E34:W34"/>
    <mergeCell ref="A43:B43"/>
    <mergeCell ref="A61:C61"/>
    <mergeCell ref="A50:W50"/>
    <mergeCell ref="H43:I43"/>
    <mergeCell ref="A92:W92"/>
    <mergeCell ref="A82:C82"/>
    <mergeCell ref="D82:E82"/>
    <mergeCell ref="C60:D60"/>
    <mergeCell ref="G63:H63"/>
    <mergeCell ref="D84:E84"/>
    <mergeCell ref="A65:B65"/>
    <mergeCell ref="C65:D65"/>
    <mergeCell ref="G84:I84"/>
    <mergeCell ref="G72:H72"/>
    <mergeCell ref="A68:B68"/>
    <mergeCell ref="C45:E45"/>
    <mergeCell ref="C54:D54"/>
    <mergeCell ref="C69:D69"/>
    <mergeCell ref="I72:W72"/>
    <mergeCell ref="F68:G68"/>
    <mergeCell ref="A86:A87"/>
    <mergeCell ref="A95:B95"/>
    <mergeCell ref="A97:C97"/>
    <mergeCell ref="A100:C100"/>
    <mergeCell ref="I90:W90"/>
    <mergeCell ref="D83:E83"/>
    <mergeCell ref="D85:E85"/>
    <mergeCell ref="G98:H98"/>
    <mergeCell ref="G95:H95"/>
    <mergeCell ref="C57:D57"/>
    <mergeCell ref="C68:D68"/>
    <mergeCell ref="C66:D66"/>
    <mergeCell ref="F69:G69"/>
    <mergeCell ref="F66:G66"/>
    <mergeCell ref="B90:D90"/>
    <mergeCell ref="A84:C84"/>
    <mergeCell ref="B86:W87"/>
    <mergeCell ref="A72:F72"/>
    <mergeCell ref="H71:I71"/>
    <mergeCell ref="G73:H73"/>
    <mergeCell ref="B88:I88"/>
    <mergeCell ref="A103:C103"/>
    <mergeCell ref="A3:W3"/>
    <mergeCell ref="A38:C38"/>
    <mergeCell ref="D38:F38"/>
    <mergeCell ref="B10:E10"/>
    <mergeCell ref="G10:W10"/>
    <mergeCell ref="C58:D58"/>
    <mergeCell ref="H52:W52"/>
    <mergeCell ref="A94:C94"/>
    <mergeCell ref="A44:W44"/>
    <mergeCell ref="A108:I108"/>
    <mergeCell ref="A107:W107"/>
    <mergeCell ref="F90:G90"/>
    <mergeCell ref="F64:H64"/>
    <mergeCell ref="E52:G52"/>
    <mergeCell ref="A98:C98"/>
    <mergeCell ref="A101:C101"/>
    <mergeCell ref="A89:W89"/>
  </mergeCells>
  <phoneticPr fontId="0" type="noConversion"/>
  <conditionalFormatting sqref="I40">
    <cfRule type="expression" dxfId="0" priority="1" stopIfTrue="1">
      <formula>COUNTIF(D:E,"Indicate the contract period")</formula>
    </cfRule>
  </conditionalFormatting>
  <dataValidations count="28">
    <dataValidation type="list" allowBlank="1" showInputMessage="1" showErrorMessage="1" sqref="B109 D109 F109 H109">
      <formula1>I9Received</formula1>
    </dataValidation>
    <dataValidation type="list" allowBlank="1" showInputMessage="1" showErrorMessage="1" sqref="C41:D42">
      <formula1>DegreeType</formula1>
    </dataValidation>
    <dataValidation type="list" allowBlank="1" showInputMessage="1" showErrorMessage="1" sqref="H41:W42 I37:V37 H36:H37">
      <formula1>CIP</formula1>
    </dataValidation>
    <dataValidation type="list" allowBlank="1" showInputMessage="1" showErrorMessage="1" sqref="B14">
      <formula1>Veteran</formula1>
    </dataValidation>
    <dataValidation type="list" allowBlank="1" showInputMessage="1" showErrorMessage="1" sqref="E14">
      <formula1>Disabled</formula1>
    </dataValidation>
    <dataValidation type="list" allowBlank="1" showInputMessage="1" showErrorMessage="1" sqref="B16">
      <formula1>EthnicOrigin</formula1>
    </dataValidation>
    <dataValidation type="list" allowBlank="1" showInputMessage="1" showErrorMessage="1" sqref="A19">
      <formula1>StateAgencyStatus</formula1>
    </dataValidation>
    <dataValidation type="list" allowBlank="1" showInputMessage="1" showErrorMessage="1" sqref="C24">
      <formula1>CollegeSchool</formula1>
    </dataValidation>
    <dataValidation type="list" allowBlank="1" showInputMessage="1" showErrorMessage="1" sqref="G1">
      <formula1>ERecType</formula1>
    </dataValidation>
    <dataValidation type="list" allowBlank="1" showInputMessage="1" showErrorMessage="1" sqref="H14">
      <formula1>Gender</formula1>
    </dataValidation>
    <dataValidation type="textLength" errorStyle="information" operator="equal" allowBlank="1" showInputMessage="1" showErrorMessage="1" errorTitle="5 figures in cell" error="Only 5 numbers are allowed in this cell." promptTitle="Position Number" prompt="Only 5 numbers are allowed in this cell." sqref="A56:A58 A60">
      <formula1>5</formula1>
    </dataValidation>
    <dataValidation type="textLength" errorStyle="information" operator="equal" allowBlank="1" showInputMessage="1" showErrorMessage="1" errorTitle="6 figures in cell" error="Only 6 numbers are allowed in this cell." promptTitle="Banner Number" prompt="Only 6 numbers are allowed in this cell." sqref="B60 B56:B58">
      <formula1>6</formula1>
    </dataValidation>
    <dataValidation type="textLength" errorStyle="information" operator="equal" allowBlank="1" showInputMessage="1" showErrorMessage="1" errorTitle="5 figures in cell" error="Only 5 numbers are allowed in this cell." promptTitle="Org Number" prompt="Only 5 numbers are allowed in this cell." sqref="E56 W56:W58">
      <formula1>5</formula1>
    </dataValidation>
    <dataValidation allowBlank="1" showInputMessage="1" showErrorMessage="1" promptTitle="Example" prompt="Example of the data need in each field." sqref="A55:C55 E55:V55"/>
    <dataValidation allowBlank="1" showInputMessage="1" showErrorMessage="1" promptTitle="Department Org#" prompt="The org# will be the same unless the department funding the position is different from the department holding the position." sqref="W55"/>
    <dataValidation type="textLength" operator="equal" allowBlank="1" showInputMessage="1" showErrorMessage="1" sqref="I5:W5">
      <formula1>9</formula1>
    </dataValidation>
    <dataValidation type="list" allowBlank="1" showInputMessage="1" showErrorMessage="1" sqref="G9:H9 F48">
      <formula1>States</formula1>
    </dataValidation>
    <dataValidation type="list" allowBlank="1" showInputMessage="1" showErrorMessage="1" sqref="B52">
      <formula1>SourceFunds</formula1>
    </dataValidation>
    <dataValidation type="textLength" errorStyle="information" operator="equal" allowBlank="1" showInputMessage="1" showErrorMessage="1" errorTitle="5 figures in cell" error="Only 6 numbers are allowed in this cell." promptTitle="Fund Number" prompt="Only 6 numbers are allowed in this cell." sqref="C56:D58 C60:D60">
      <formula1>6</formula1>
    </dataValidation>
    <dataValidation type="textLength" errorStyle="information" operator="equal" allowBlank="1" showInputMessage="1" showErrorMessage="1" errorTitle="5 figures in cell" error="Only 5 numbers are allowed in this cell." promptTitle="Position Number" prompt="Only 4 numbers are allowed in this cell." sqref="F56">
      <formula1>4</formula1>
    </dataValidation>
    <dataValidation type="list" allowBlank="1" showInputMessage="1" showErrorMessage="1" sqref="E34:W34">
      <formula1>AppendixB</formula1>
    </dataValidation>
    <dataValidation type="list" allowBlank="1" showInputMessage="1" showErrorMessage="1" sqref="C45:E45">
      <formula1>HighestDegree</formula1>
    </dataValidation>
    <dataValidation type="list" allowBlank="1" showInputMessage="1" showErrorMessage="1" sqref="D38:F38">
      <formula1>AppendixF</formula1>
    </dataValidation>
    <dataValidation type="list" allowBlank="1" showInputMessage="1" showErrorMessage="1" sqref="G10:W10">
      <formula1>CountryCode</formula1>
    </dataValidation>
    <dataValidation type="list" allowBlank="1" showInputMessage="1" showErrorMessage="1" sqref="B10:E10 H48">
      <formula1>Country</formula1>
    </dataValidation>
    <dataValidation type="list" allowBlank="1" showInputMessage="1" showErrorMessage="1" sqref="I24">
      <formula1>AcadDept</formula1>
    </dataValidation>
    <dataValidation type="list" allowBlank="1" showInputMessage="1" showErrorMessage="1" sqref="C5">
      <formula1>Title1</formula1>
    </dataValidation>
    <dataValidation type="list" allowBlank="1" showInputMessage="1" showErrorMessage="1" sqref="B26">
      <formula1>Depts</formula1>
    </dataValidation>
  </dataValidations>
  <printOptions horizontalCentered="1"/>
  <pageMargins left="0.18" right="0.17" top="0.41" bottom="0.64" header="0.19" footer="0.46"/>
  <pageSetup scale="83" fitToHeight="0" orientation="portrait" cellComments="asDisplayed" r:id="rId1"/>
  <headerFooter alignWithMargins="0"/>
  <rowBreaks count="1" manualBreakCount="1">
    <brk id="62" max="22" man="1"/>
  </rowBreaks>
  <drawing r:id="rId2"/>
  <legacyDrawing r:id="rId3"/>
  <mc:AlternateContent xmlns:mc="http://schemas.openxmlformats.org/markup-compatibility/2006">
    <mc:Choice Requires="x14">
      <controls>
        <mc:AlternateContent xmlns:mc="http://schemas.openxmlformats.org/markup-compatibility/2006">
          <mc:Choice Requires="x14">
            <control shapeId="2054" r:id="rId4" name="Drop Down 6">
              <controlPr defaultSize="0" autoLine="0" autoPict="0">
                <anchor moveWithCells="1">
                  <from>
                    <xdr:col>5</xdr:col>
                    <xdr:colOff>937260</xdr:colOff>
                    <xdr:row>20</xdr:row>
                    <xdr:rowOff>0</xdr:rowOff>
                  </from>
                  <to>
                    <xdr:col>22</xdr:col>
                    <xdr:colOff>419100</xdr:colOff>
                    <xdr:row>21</xdr:row>
                    <xdr:rowOff>38100</xdr:rowOff>
                  </to>
                </anchor>
              </controlPr>
            </control>
          </mc:Choice>
        </mc:AlternateContent>
        <mc:AlternateContent xmlns:mc="http://schemas.openxmlformats.org/markup-compatibility/2006">
          <mc:Choice Requires="x14">
            <control shapeId="2055" r:id="rId5" name="Drop Down 7">
              <controlPr defaultSize="0" autoLine="0" autoPict="0">
                <anchor moveWithCells="1">
                  <from>
                    <xdr:col>1</xdr:col>
                    <xdr:colOff>518160</xdr:colOff>
                    <xdr:row>29</xdr:row>
                    <xdr:rowOff>7620</xdr:rowOff>
                  </from>
                  <to>
                    <xdr:col>3</xdr:col>
                    <xdr:colOff>822960</xdr:colOff>
                    <xdr:row>29</xdr:row>
                    <xdr:rowOff>198120</xdr:rowOff>
                  </to>
                </anchor>
              </controlPr>
            </control>
          </mc:Choice>
        </mc:AlternateContent>
        <mc:AlternateContent xmlns:mc="http://schemas.openxmlformats.org/markup-compatibility/2006">
          <mc:Choice Requires="x14">
            <control shapeId="2056" r:id="rId6" name="Drop Down 8">
              <controlPr defaultSize="0" autoLine="0" autoPict="0">
                <anchor moveWithCells="1">
                  <from>
                    <xdr:col>3</xdr:col>
                    <xdr:colOff>0</xdr:colOff>
                    <xdr:row>27</xdr:row>
                    <xdr:rowOff>22860</xdr:rowOff>
                  </from>
                  <to>
                    <xdr:col>8</xdr:col>
                    <xdr:colOff>160020</xdr:colOff>
                    <xdr:row>28</xdr:row>
                    <xdr:rowOff>38100</xdr:rowOff>
                  </to>
                </anchor>
              </controlPr>
            </control>
          </mc:Choice>
        </mc:AlternateContent>
        <mc:AlternateContent xmlns:mc="http://schemas.openxmlformats.org/markup-compatibility/2006">
          <mc:Choice Requires="x14">
            <control shapeId="2057" r:id="rId7" name="List Box 9">
              <controlPr defaultSize="0" autoLine="0" autoPict="0">
                <anchor moveWithCells="1">
                  <from>
                    <xdr:col>5</xdr:col>
                    <xdr:colOff>0</xdr:colOff>
                    <xdr:row>40</xdr:row>
                    <xdr:rowOff>30480</xdr:rowOff>
                  </from>
                  <to>
                    <xdr:col>7</xdr:col>
                    <xdr:colOff>167640</xdr:colOff>
                    <xdr:row>41</xdr:row>
                    <xdr:rowOff>160020</xdr:rowOff>
                  </to>
                </anchor>
              </controlPr>
            </control>
          </mc:Choice>
        </mc:AlternateContent>
        <mc:AlternateContent xmlns:mc="http://schemas.openxmlformats.org/markup-compatibility/2006">
          <mc:Choice Requires="x14">
            <control shapeId="2059" r:id="rId8" name="List Box 11">
              <controlPr defaultSize="0" autoLine="0" autoPict="0">
                <anchor moveWithCells="1">
                  <from>
                    <xdr:col>0</xdr:col>
                    <xdr:colOff>30480</xdr:colOff>
                    <xdr:row>40</xdr:row>
                    <xdr:rowOff>45720</xdr:rowOff>
                  </from>
                  <to>
                    <xdr:col>2</xdr:col>
                    <xdr:colOff>312420</xdr:colOff>
                    <xdr:row>42</xdr:row>
                    <xdr:rowOff>22860</xdr:rowOff>
                  </to>
                </anchor>
              </controlPr>
            </control>
          </mc:Choice>
        </mc:AlternateContent>
        <mc:AlternateContent xmlns:mc="http://schemas.openxmlformats.org/markup-compatibility/2006">
          <mc:Choice Requires="x14">
            <control shapeId="2164" r:id="rId9" name="List Box 116">
              <controlPr defaultSize="0" autoLine="0" autoPict="0">
                <anchor moveWithCells="1">
                  <from>
                    <xdr:col>8</xdr:col>
                    <xdr:colOff>7620</xdr:colOff>
                    <xdr:row>31</xdr:row>
                    <xdr:rowOff>0</xdr:rowOff>
                  </from>
                  <to>
                    <xdr:col>22</xdr:col>
                    <xdr:colOff>1005840</xdr:colOff>
                    <xdr:row>32</xdr:row>
                    <xdr:rowOff>91440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P420"/>
  <sheetViews>
    <sheetView topLeftCell="A386" workbookViewId="0">
      <selection activeCell="F364" sqref="F364"/>
    </sheetView>
  </sheetViews>
  <sheetFormatPr defaultColWidth="9.109375" defaultRowHeight="13.2" x14ac:dyDescent="0.25"/>
  <cols>
    <col min="1" max="1" width="9.109375" style="205"/>
    <col min="2" max="2" width="15" style="205" customWidth="1"/>
    <col min="3" max="4" width="9.109375" style="205"/>
    <col min="5" max="5" width="26.88671875" style="205" bestFit="1" customWidth="1"/>
    <col min="6" max="6" width="72.5546875" style="205" customWidth="1"/>
    <col min="7" max="7" width="9.109375" style="205"/>
    <col min="8" max="9" width="12.6640625" style="205" customWidth="1"/>
    <col min="10" max="15" width="9.109375" style="205"/>
    <col min="16" max="16" width="12.44140625" style="205" customWidth="1"/>
    <col min="17" max="16384" width="9.109375" style="205"/>
  </cols>
  <sheetData>
    <row r="1" spans="1:16" hidden="1" x14ac:dyDescent="0.25">
      <c r="A1" s="205">
        <v>2</v>
      </c>
      <c r="B1" s="205">
        <v>3</v>
      </c>
      <c r="C1" s="205">
        <v>1</v>
      </c>
      <c r="D1" s="205">
        <v>1</v>
      </c>
      <c r="G1" s="205">
        <v>2</v>
      </c>
      <c r="H1" s="205">
        <v>1</v>
      </c>
      <c r="I1" s="205">
        <v>6</v>
      </c>
      <c r="K1" s="205">
        <f>IF(Database!AG2=4,1, IF(Database!AG2=8,1,0))</f>
        <v>0</v>
      </c>
    </row>
    <row r="2" spans="1:16" hidden="1" x14ac:dyDescent="0.25">
      <c r="C2" s="205">
        <v>1</v>
      </c>
    </row>
    <row r="3" spans="1:16" hidden="1" x14ac:dyDescent="0.25"/>
    <row r="4" spans="1:16" hidden="1" x14ac:dyDescent="0.25"/>
    <row r="5" spans="1:16" hidden="1" x14ac:dyDescent="0.25"/>
    <row r="6" spans="1:16" hidden="1" x14ac:dyDescent="0.25"/>
    <row r="7" spans="1:16" hidden="1" x14ac:dyDescent="0.25"/>
    <row r="8" spans="1:16" hidden="1" x14ac:dyDescent="0.25"/>
    <row r="9" spans="1:16" hidden="1" x14ac:dyDescent="0.25"/>
    <row r="10" spans="1:16" hidden="1" x14ac:dyDescent="0.25">
      <c r="C10" s="205">
        <v>2</v>
      </c>
    </row>
    <row r="11" spans="1:16" hidden="1" x14ac:dyDescent="0.25">
      <c r="C11" s="205">
        <v>3</v>
      </c>
    </row>
    <row r="12" spans="1:16" hidden="1" x14ac:dyDescent="0.25"/>
    <row r="13" spans="1:16" hidden="1" x14ac:dyDescent="0.25">
      <c r="A13" s="205">
        <v>1</v>
      </c>
      <c r="B13" s="205">
        <v>3</v>
      </c>
    </row>
    <row r="14" spans="1:16" s="208" customFormat="1" ht="52.8" hidden="1" x14ac:dyDescent="0.25">
      <c r="A14" s="208" t="s">
        <v>295</v>
      </c>
      <c r="B14" s="208" t="s">
        <v>296</v>
      </c>
      <c r="C14" s="208" t="s">
        <v>188</v>
      </c>
      <c r="D14" s="208" t="s">
        <v>222</v>
      </c>
      <c r="F14" s="208" t="s">
        <v>270</v>
      </c>
      <c r="H14" s="208" t="s">
        <v>291</v>
      </c>
      <c r="I14" s="208" t="s">
        <v>220</v>
      </c>
      <c r="J14" s="208" t="s">
        <v>286</v>
      </c>
      <c r="K14" s="208" t="s">
        <v>291</v>
      </c>
      <c r="M14" s="208" t="s">
        <v>280</v>
      </c>
      <c r="N14" s="208" t="s">
        <v>279</v>
      </c>
      <c r="O14" s="208" t="s">
        <v>281</v>
      </c>
      <c r="P14" s="208" t="s">
        <v>221</v>
      </c>
    </row>
    <row r="15" spans="1:16" hidden="1" x14ac:dyDescent="0.25">
      <c r="A15" s="205">
        <v>2</v>
      </c>
      <c r="B15" s="205">
        <v>2</v>
      </c>
      <c r="C15" s="205">
        <v>0</v>
      </c>
      <c r="D15" s="205">
        <v>4</v>
      </c>
      <c r="F15" s="205">
        <v>27</v>
      </c>
      <c r="H15" s="205">
        <v>1</v>
      </c>
      <c r="I15" s="205">
        <v>2</v>
      </c>
      <c r="J15" s="205">
        <v>1</v>
      </c>
      <c r="K15" s="205">
        <v>1</v>
      </c>
      <c r="M15" s="205">
        <v>2</v>
      </c>
      <c r="N15" s="205">
        <v>1</v>
      </c>
      <c r="O15" s="205">
        <v>1</v>
      </c>
      <c r="P15" s="205">
        <v>6</v>
      </c>
    </row>
    <row r="16" spans="1:16" hidden="1" x14ac:dyDescent="0.25">
      <c r="A16" s="205" t="s">
        <v>387</v>
      </c>
    </row>
    <row r="17" spans="1:14" hidden="1" x14ac:dyDescent="0.25">
      <c r="A17" s="205" t="s">
        <v>391</v>
      </c>
      <c r="N17" s="209" t="s">
        <v>219</v>
      </c>
    </row>
    <row r="18" spans="1:14" hidden="1" x14ac:dyDescent="0.25">
      <c r="A18" s="205">
        <v>1</v>
      </c>
      <c r="N18" s="205" t="str">
        <f>'E Recomend'!I40</f>
        <v xml:space="preserve"> </v>
      </c>
    </row>
    <row r="19" spans="1:14" hidden="1" x14ac:dyDescent="0.25"/>
    <row r="20" spans="1:14" hidden="1" x14ac:dyDescent="0.25">
      <c r="N20" s="205">
        <f>IF(N15=7,N18,N15)</f>
        <v>1</v>
      </c>
    </row>
    <row r="21" spans="1:14" hidden="1" x14ac:dyDescent="0.25"/>
    <row r="22" spans="1:14" hidden="1" x14ac:dyDescent="0.25"/>
    <row r="23" spans="1:14" hidden="1" x14ac:dyDescent="0.25">
      <c r="I23" s="205" t="s">
        <v>227</v>
      </c>
    </row>
    <row r="24" spans="1:14" hidden="1" x14ac:dyDescent="0.25"/>
    <row r="25" spans="1:14" hidden="1" x14ac:dyDescent="0.25"/>
    <row r="26" spans="1:14" hidden="1" x14ac:dyDescent="0.25"/>
    <row r="27" spans="1:14" hidden="1" x14ac:dyDescent="0.25"/>
    <row r="28" spans="1:14" hidden="1" x14ac:dyDescent="0.25"/>
    <row r="30" spans="1:14" s="210" customFormat="1" x14ac:dyDescent="0.25">
      <c r="A30" s="210" t="s">
        <v>911</v>
      </c>
      <c r="C30" s="210" t="s">
        <v>922</v>
      </c>
      <c r="D30" s="210" t="s">
        <v>925</v>
      </c>
      <c r="E30" s="210" t="s">
        <v>391</v>
      </c>
      <c r="F30" s="210" t="s">
        <v>395</v>
      </c>
    </row>
    <row r="31" spans="1:14" x14ac:dyDescent="0.25">
      <c r="A31" s="244" t="s">
        <v>1095</v>
      </c>
      <c r="C31" s="205" t="s">
        <v>923</v>
      </c>
      <c r="D31" s="205" t="s">
        <v>923</v>
      </c>
      <c r="E31" s="205" t="s">
        <v>392</v>
      </c>
      <c r="F31" s="244" t="s">
        <v>1678</v>
      </c>
    </row>
    <row r="32" spans="1:14" x14ac:dyDescent="0.25">
      <c r="A32" s="205" t="s">
        <v>912</v>
      </c>
      <c r="C32" s="205" t="s">
        <v>924</v>
      </c>
      <c r="D32" s="205" t="s">
        <v>924</v>
      </c>
      <c r="E32" s="205" t="s">
        <v>393</v>
      </c>
      <c r="F32" s="244" t="s">
        <v>1679</v>
      </c>
    </row>
    <row r="33" spans="1:14" x14ac:dyDescent="0.25">
      <c r="A33" s="205" t="s">
        <v>913</v>
      </c>
      <c r="F33" s="244" t="s">
        <v>1680</v>
      </c>
    </row>
    <row r="34" spans="1:14" x14ac:dyDescent="0.25">
      <c r="A34" s="205" t="s">
        <v>915</v>
      </c>
      <c r="F34" s="244" t="s">
        <v>1681</v>
      </c>
    </row>
    <row r="35" spans="1:14" x14ac:dyDescent="0.25">
      <c r="A35" s="205" t="s">
        <v>917</v>
      </c>
      <c r="F35" s="244" t="s">
        <v>1682</v>
      </c>
    </row>
    <row r="36" spans="1:14" x14ac:dyDescent="0.25">
      <c r="A36" s="205" t="s">
        <v>914</v>
      </c>
      <c r="C36" s="210" t="s">
        <v>933</v>
      </c>
      <c r="F36" s="244" t="s">
        <v>1683</v>
      </c>
    </row>
    <row r="37" spans="1:14" x14ac:dyDescent="0.25">
      <c r="A37" s="205" t="s">
        <v>916</v>
      </c>
      <c r="C37" s="205" t="s">
        <v>923</v>
      </c>
      <c r="F37" s="244" t="s">
        <v>1684</v>
      </c>
    </row>
    <row r="38" spans="1:14" x14ac:dyDescent="0.25">
      <c r="A38" s="205" t="s">
        <v>918</v>
      </c>
      <c r="C38" s="205" t="s">
        <v>924</v>
      </c>
      <c r="F38" s="244" t="s">
        <v>1685</v>
      </c>
    </row>
    <row r="39" spans="1:14" x14ac:dyDescent="0.25">
      <c r="F39" s="244" t="s">
        <v>1686</v>
      </c>
    </row>
    <row r="40" spans="1:14" x14ac:dyDescent="0.25">
      <c r="F40" s="244" t="s">
        <v>480</v>
      </c>
    </row>
    <row r="41" spans="1:14" x14ac:dyDescent="0.25">
      <c r="A41" s="210" t="s">
        <v>968</v>
      </c>
    </row>
    <row r="42" spans="1:14" x14ac:dyDescent="0.25">
      <c r="A42" s="244" t="s">
        <v>923</v>
      </c>
    </row>
    <row r="43" spans="1:14" ht="12.75" customHeight="1" x14ac:dyDescent="0.25">
      <c r="A43" s="244" t="s">
        <v>924</v>
      </c>
      <c r="F43" s="210" t="s">
        <v>926</v>
      </c>
      <c r="G43" s="210"/>
      <c r="H43" s="210"/>
      <c r="J43" s="210"/>
      <c r="K43" s="210"/>
      <c r="L43" s="210"/>
      <c r="M43" s="210"/>
      <c r="N43" s="210"/>
    </row>
    <row r="44" spans="1:14" x14ac:dyDescent="0.25">
      <c r="F44" s="205" t="s">
        <v>191</v>
      </c>
    </row>
    <row r="45" spans="1:14" x14ac:dyDescent="0.25">
      <c r="F45" s="244" t="s">
        <v>2166</v>
      </c>
    </row>
    <row r="46" spans="1:14" x14ac:dyDescent="0.25">
      <c r="F46" s="244" t="s">
        <v>2167</v>
      </c>
    </row>
    <row r="47" spans="1:14" x14ac:dyDescent="0.25">
      <c r="F47" s="244" t="s">
        <v>2168</v>
      </c>
    </row>
    <row r="49" spans="2:8" x14ac:dyDescent="0.25">
      <c r="B49" s="210" t="s">
        <v>952</v>
      </c>
      <c r="F49" s="210" t="s">
        <v>386</v>
      </c>
    </row>
    <row r="50" spans="2:8" x14ac:dyDescent="0.25">
      <c r="B50" t="s">
        <v>946</v>
      </c>
    </row>
    <row r="51" spans="2:8" x14ac:dyDescent="0.25">
      <c r="B51" t="s">
        <v>947</v>
      </c>
    </row>
    <row r="52" spans="2:8" x14ac:dyDescent="0.25">
      <c r="B52" t="s">
        <v>948</v>
      </c>
    </row>
    <row r="53" spans="2:8" x14ac:dyDescent="0.25">
      <c r="B53" t="s">
        <v>949</v>
      </c>
    </row>
    <row r="54" spans="2:8" x14ac:dyDescent="0.25">
      <c r="B54" t="s">
        <v>950</v>
      </c>
    </row>
    <row r="55" spans="2:8" x14ac:dyDescent="0.25">
      <c r="B55" t="s">
        <v>951</v>
      </c>
    </row>
    <row r="57" spans="2:8" x14ac:dyDescent="0.25">
      <c r="F57" s="375"/>
      <c r="G57" s="375"/>
      <c r="H57" s="375"/>
    </row>
    <row r="58" spans="2:8" x14ac:dyDescent="0.25">
      <c r="B58" s="389"/>
      <c r="C58" s="389"/>
      <c r="D58" s="389"/>
    </row>
    <row r="60" spans="2:8" x14ac:dyDescent="0.25">
      <c r="E60" s="210" t="s">
        <v>347</v>
      </c>
    </row>
    <row r="61" spans="2:8" x14ac:dyDescent="0.25">
      <c r="E61" s="244" t="s">
        <v>528</v>
      </c>
    </row>
    <row r="62" spans="2:8" x14ac:dyDescent="0.25">
      <c r="E62" s="244" t="s">
        <v>1037</v>
      </c>
    </row>
    <row r="63" spans="2:8" x14ac:dyDescent="0.25">
      <c r="E63" s="244" t="s">
        <v>1038</v>
      </c>
    </row>
    <row r="66" spans="2:6" x14ac:dyDescent="0.25">
      <c r="B66" s="314"/>
      <c r="C66" s="314"/>
    </row>
    <row r="69" spans="2:6" x14ac:dyDescent="0.25">
      <c r="F69" s="210" t="s">
        <v>2172</v>
      </c>
    </row>
    <row r="70" spans="2:6" x14ac:dyDescent="0.25">
      <c r="F70" s="205" t="s">
        <v>2171</v>
      </c>
    </row>
    <row r="71" spans="2:6" x14ac:dyDescent="0.25">
      <c r="F71" s="205" t="s">
        <v>1099</v>
      </c>
    </row>
    <row r="72" spans="2:6" x14ac:dyDescent="0.25">
      <c r="E72" s="210" t="s">
        <v>512</v>
      </c>
      <c r="F72" s="205" t="s">
        <v>1100</v>
      </c>
    </row>
    <row r="73" spans="2:6" x14ac:dyDescent="0.25">
      <c r="E73" t="s">
        <v>986</v>
      </c>
      <c r="F73" s="205" t="s">
        <v>1101</v>
      </c>
    </row>
    <row r="74" spans="2:6" x14ac:dyDescent="0.25">
      <c r="E74" t="s">
        <v>987</v>
      </c>
      <c r="F74" s="205" t="s">
        <v>1102</v>
      </c>
    </row>
    <row r="75" spans="2:6" x14ac:dyDescent="0.25">
      <c r="E75" t="s">
        <v>988</v>
      </c>
      <c r="F75" s="244" t="s">
        <v>554</v>
      </c>
    </row>
    <row r="76" spans="2:6" x14ac:dyDescent="0.25">
      <c r="E76" t="s">
        <v>989</v>
      </c>
      <c r="F76" s="205" t="s">
        <v>1103</v>
      </c>
    </row>
    <row r="77" spans="2:6" x14ac:dyDescent="0.25">
      <c r="E77" t="s">
        <v>990</v>
      </c>
      <c r="F77" s="205" t="s">
        <v>1104</v>
      </c>
    </row>
    <row r="78" spans="2:6" x14ac:dyDescent="0.25">
      <c r="E78" t="s">
        <v>991</v>
      </c>
      <c r="F78" s="205" t="s">
        <v>1105</v>
      </c>
    </row>
    <row r="79" spans="2:6" x14ac:dyDescent="0.25">
      <c r="E79" t="s">
        <v>992</v>
      </c>
      <c r="F79" s="205" t="s">
        <v>1106</v>
      </c>
    </row>
    <row r="80" spans="2:6" x14ac:dyDescent="0.25">
      <c r="E80" t="s">
        <v>993</v>
      </c>
      <c r="F80" s="205" t="s">
        <v>1107</v>
      </c>
    </row>
    <row r="81" spans="5:6" x14ac:dyDescent="0.25">
      <c r="E81" t="s">
        <v>994</v>
      </c>
      <c r="F81" s="205" t="s">
        <v>1108</v>
      </c>
    </row>
    <row r="82" spans="5:6" x14ac:dyDescent="0.25">
      <c r="E82" t="s">
        <v>995</v>
      </c>
      <c r="F82" s="205" t="s">
        <v>1109</v>
      </c>
    </row>
    <row r="83" spans="5:6" x14ac:dyDescent="0.25">
      <c r="E83" t="s">
        <v>996</v>
      </c>
      <c r="F83" s="205" t="s">
        <v>1110</v>
      </c>
    </row>
    <row r="84" spans="5:6" x14ac:dyDescent="0.25">
      <c r="E84" t="s">
        <v>997</v>
      </c>
      <c r="F84" s="205" t="s">
        <v>1111</v>
      </c>
    </row>
    <row r="85" spans="5:6" x14ac:dyDescent="0.25">
      <c r="E85" t="s">
        <v>998</v>
      </c>
      <c r="F85" s="205" t="s">
        <v>1112</v>
      </c>
    </row>
    <row r="86" spans="5:6" x14ac:dyDescent="0.25">
      <c r="E86" t="s">
        <v>999</v>
      </c>
      <c r="F86" s="205" t="s">
        <v>1113</v>
      </c>
    </row>
    <row r="87" spans="5:6" x14ac:dyDescent="0.25">
      <c r="E87" t="s">
        <v>1000</v>
      </c>
      <c r="F87" s="205" t="s">
        <v>1114</v>
      </c>
    </row>
    <row r="88" spans="5:6" x14ac:dyDescent="0.25">
      <c r="E88" t="s">
        <v>1001</v>
      </c>
      <c r="F88" s="205" t="s">
        <v>1115</v>
      </c>
    </row>
    <row r="89" spans="5:6" x14ac:dyDescent="0.25">
      <c r="E89" t="s">
        <v>1002</v>
      </c>
      <c r="F89" s="205" t="s">
        <v>1116</v>
      </c>
    </row>
    <row r="90" spans="5:6" x14ac:dyDescent="0.25">
      <c r="E90" t="s">
        <v>1003</v>
      </c>
      <c r="F90" s="205" t="s">
        <v>1118</v>
      </c>
    </row>
    <row r="91" spans="5:6" x14ac:dyDescent="0.25">
      <c r="E91" t="s">
        <v>1004</v>
      </c>
      <c r="F91" s="205" t="s">
        <v>443</v>
      </c>
    </row>
    <row r="92" spans="5:6" x14ac:dyDescent="0.25">
      <c r="E92" t="s">
        <v>1005</v>
      </c>
      <c r="F92" s="205" t="s">
        <v>1117</v>
      </c>
    </row>
    <row r="93" spans="5:6" x14ac:dyDescent="0.25">
      <c r="E93" t="s">
        <v>1006</v>
      </c>
      <c r="F93" s="205" t="s">
        <v>444</v>
      </c>
    </row>
    <row r="94" spans="5:6" x14ac:dyDescent="0.25">
      <c r="E94" t="s">
        <v>1007</v>
      </c>
      <c r="F94" s="205" t="s">
        <v>446</v>
      </c>
    </row>
    <row r="95" spans="5:6" x14ac:dyDescent="0.25">
      <c r="E95" t="s">
        <v>1008</v>
      </c>
      <c r="F95" s="205" t="s">
        <v>1119</v>
      </c>
    </row>
    <row r="96" spans="5:6" x14ac:dyDescent="0.25">
      <c r="E96" t="s">
        <v>1009</v>
      </c>
    </row>
    <row r="97" spans="5:7" x14ac:dyDescent="0.25">
      <c r="E97" t="s">
        <v>1010</v>
      </c>
      <c r="G97" s="267"/>
    </row>
    <row r="98" spans="5:7" x14ac:dyDescent="0.25">
      <c r="E98" t="s">
        <v>1011</v>
      </c>
    </row>
    <row r="99" spans="5:7" x14ac:dyDescent="0.25">
      <c r="E99" t="s">
        <v>1012</v>
      </c>
    </row>
    <row r="100" spans="5:7" ht="13.8" thickBot="1" x14ac:dyDescent="0.3">
      <c r="E100" t="s">
        <v>1013</v>
      </c>
      <c r="F100" s="210" t="s">
        <v>2160</v>
      </c>
      <c r="G100" s="210" t="s">
        <v>2161</v>
      </c>
    </row>
    <row r="101" spans="5:7" ht="13.8" thickBot="1" x14ac:dyDescent="0.3">
      <c r="E101" t="s">
        <v>1014</v>
      </c>
      <c r="F101" t="s">
        <v>1689</v>
      </c>
      <c r="G101" s="296" t="s">
        <v>1690</v>
      </c>
    </row>
    <row r="102" spans="5:7" ht="13.8" thickBot="1" x14ac:dyDescent="0.3">
      <c r="E102" t="s">
        <v>1015</v>
      </c>
      <c r="F102" t="s">
        <v>1691</v>
      </c>
      <c r="G102" s="295" t="s">
        <v>1692</v>
      </c>
    </row>
    <row r="103" spans="5:7" ht="13.8" thickBot="1" x14ac:dyDescent="0.3">
      <c r="E103" t="s">
        <v>1016</v>
      </c>
      <c r="F103" t="s">
        <v>1693</v>
      </c>
      <c r="G103" s="295" t="s">
        <v>1694</v>
      </c>
    </row>
    <row r="104" spans="5:7" ht="13.8" thickBot="1" x14ac:dyDescent="0.3">
      <c r="E104" t="s">
        <v>1017</v>
      </c>
      <c r="F104" t="s">
        <v>1695</v>
      </c>
      <c r="G104" s="295" t="s">
        <v>1696</v>
      </c>
    </row>
    <row r="105" spans="5:7" ht="13.8" thickBot="1" x14ac:dyDescent="0.3">
      <c r="E105" t="s">
        <v>1018</v>
      </c>
      <c r="F105" t="s">
        <v>1697</v>
      </c>
      <c r="G105" s="295" t="s">
        <v>1698</v>
      </c>
    </row>
    <row r="106" spans="5:7" ht="13.8" thickBot="1" x14ac:dyDescent="0.3">
      <c r="E106" t="s">
        <v>1019</v>
      </c>
      <c r="F106" t="s">
        <v>1699</v>
      </c>
      <c r="G106" s="295" t="s">
        <v>1700</v>
      </c>
    </row>
    <row r="107" spans="5:7" ht="13.8" thickBot="1" x14ac:dyDescent="0.3">
      <c r="E107" t="s">
        <v>1020</v>
      </c>
      <c r="F107" t="s">
        <v>1701</v>
      </c>
      <c r="G107" s="295" t="s">
        <v>1702</v>
      </c>
    </row>
    <row r="108" spans="5:7" ht="13.8" thickBot="1" x14ac:dyDescent="0.3">
      <c r="E108" t="s">
        <v>1021</v>
      </c>
      <c r="F108" t="s">
        <v>1703</v>
      </c>
      <c r="G108" s="295" t="s">
        <v>1704</v>
      </c>
    </row>
    <row r="109" spans="5:7" ht="13.8" thickBot="1" x14ac:dyDescent="0.3">
      <c r="E109" t="s">
        <v>1022</v>
      </c>
      <c r="F109" t="s">
        <v>1705</v>
      </c>
      <c r="G109" s="295" t="s">
        <v>1706</v>
      </c>
    </row>
    <row r="110" spans="5:7" ht="13.8" thickBot="1" x14ac:dyDescent="0.3">
      <c r="E110" t="s">
        <v>1023</v>
      </c>
      <c r="F110" t="s">
        <v>1707</v>
      </c>
      <c r="G110" s="295" t="s">
        <v>1708</v>
      </c>
    </row>
    <row r="111" spans="5:7" ht="13.8" thickBot="1" x14ac:dyDescent="0.3">
      <c r="E111" t="s">
        <v>1024</v>
      </c>
      <c r="F111" t="s">
        <v>1709</v>
      </c>
      <c r="G111" s="295" t="s">
        <v>1710</v>
      </c>
    </row>
    <row r="112" spans="5:7" ht="13.8" thickBot="1" x14ac:dyDescent="0.3">
      <c r="E112" t="s">
        <v>1025</v>
      </c>
      <c r="F112" t="s">
        <v>1711</v>
      </c>
      <c r="G112" s="295" t="s">
        <v>1712</v>
      </c>
    </row>
    <row r="113" spans="5:7" ht="13.8" thickBot="1" x14ac:dyDescent="0.3">
      <c r="E113" t="s">
        <v>1026</v>
      </c>
      <c r="F113" t="s">
        <v>1713</v>
      </c>
      <c r="G113" s="295" t="s">
        <v>1714</v>
      </c>
    </row>
    <row r="114" spans="5:7" ht="13.8" thickBot="1" x14ac:dyDescent="0.3">
      <c r="E114" t="s">
        <v>1027</v>
      </c>
      <c r="F114" t="s">
        <v>1715</v>
      </c>
      <c r="G114" s="295" t="s">
        <v>1716</v>
      </c>
    </row>
    <row r="115" spans="5:7" ht="13.8" thickBot="1" x14ac:dyDescent="0.3">
      <c r="E115" t="s">
        <v>1028</v>
      </c>
      <c r="F115" t="s">
        <v>1717</v>
      </c>
      <c r="G115" s="295" t="s">
        <v>1718</v>
      </c>
    </row>
    <row r="116" spans="5:7" ht="13.8" thickBot="1" x14ac:dyDescent="0.3">
      <c r="E116" t="s">
        <v>1029</v>
      </c>
      <c r="F116" t="s">
        <v>1719</v>
      </c>
      <c r="G116" s="295" t="s">
        <v>1720</v>
      </c>
    </row>
    <row r="117" spans="5:7" ht="13.8" thickBot="1" x14ac:dyDescent="0.3">
      <c r="E117" t="s">
        <v>1030</v>
      </c>
      <c r="F117" t="s">
        <v>1721</v>
      </c>
      <c r="G117" s="295" t="s">
        <v>1722</v>
      </c>
    </row>
    <row r="118" spans="5:7" ht="13.8" thickBot="1" x14ac:dyDescent="0.3">
      <c r="E118" t="s">
        <v>1031</v>
      </c>
      <c r="F118" t="s">
        <v>1723</v>
      </c>
      <c r="G118" s="295" t="s">
        <v>1724</v>
      </c>
    </row>
    <row r="119" spans="5:7" ht="13.8" thickBot="1" x14ac:dyDescent="0.3">
      <c r="E119" t="s">
        <v>1032</v>
      </c>
      <c r="F119" t="s">
        <v>1725</v>
      </c>
      <c r="G119" s="295" t="s">
        <v>1726</v>
      </c>
    </row>
    <row r="120" spans="5:7" ht="13.8" thickBot="1" x14ac:dyDescent="0.3">
      <c r="E120" t="s">
        <v>1033</v>
      </c>
      <c r="F120" t="s">
        <v>1727</v>
      </c>
      <c r="G120" s="295" t="s">
        <v>1728</v>
      </c>
    </row>
    <row r="121" spans="5:7" ht="13.8" thickBot="1" x14ac:dyDescent="0.3">
      <c r="E121" t="s">
        <v>1034</v>
      </c>
      <c r="F121" t="s">
        <v>1729</v>
      </c>
      <c r="G121" s="295" t="s">
        <v>1730</v>
      </c>
    </row>
    <row r="122" spans="5:7" ht="13.8" thickBot="1" x14ac:dyDescent="0.3">
      <c r="E122" t="s">
        <v>1035</v>
      </c>
      <c r="F122" t="s">
        <v>1731</v>
      </c>
      <c r="G122" s="295" t="s">
        <v>1732</v>
      </c>
    </row>
    <row r="123" spans="5:7" ht="13.8" thickBot="1" x14ac:dyDescent="0.3">
      <c r="F123" t="s">
        <v>1733</v>
      </c>
      <c r="G123" s="295" t="s">
        <v>1734</v>
      </c>
    </row>
    <row r="124" spans="5:7" ht="13.8" thickBot="1" x14ac:dyDescent="0.3">
      <c r="F124" t="s">
        <v>1735</v>
      </c>
      <c r="G124" s="295" t="s">
        <v>1736</v>
      </c>
    </row>
    <row r="125" spans="5:7" ht="13.8" thickBot="1" x14ac:dyDescent="0.3">
      <c r="F125" t="s">
        <v>1737</v>
      </c>
      <c r="G125" s="295" t="s">
        <v>1738</v>
      </c>
    </row>
    <row r="126" spans="5:7" ht="13.8" thickBot="1" x14ac:dyDescent="0.3">
      <c r="F126" t="s">
        <v>1739</v>
      </c>
      <c r="G126" s="295" t="s">
        <v>1740</v>
      </c>
    </row>
    <row r="127" spans="5:7" ht="13.8" thickBot="1" x14ac:dyDescent="0.3">
      <c r="F127" t="s">
        <v>1741</v>
      </c>
      <c r="G127" s="295" t="s">
        <v>1742</v>
      </c>
    </row>
    <row r="128" spans="5:7" ht="13.8" thickBot="1" x14ac:dyDescent="0.3">
      <c r="F128" t="s">
        <v>1743</v>
      </c>
      <c r="G128" s="295" t="s">
        <v>1744</v>
      </c>
    </row>
    <row r="129" spans="6:7" ht="13.8" thickBot="1" x14ac:dyDescent="0.3">
      <c r="F129" t="s">
        <v>1745</v>
      </c>
      <c r="G129" s="295" t="s">
        <v>1746</v>
      </c>
    </row>
    <row r="130" spans="6:7" ht="13.8" thickBot="1" x14ac:dyDescent="0.3">
      <c r="F130" t="s">
        <v>1747</v>
      </c>
      <c r="G130" s="295" t="s">
        <v>1748</v>
      </c>
    </row>
    <row r="131" spans="6:7" ht="13.8" thickBot="1" x14ac:dyDescent="0.3">
      <c r="F131" t="s">
        <v>1749</v>
      </c>
      <c r="G131" s="295" t="s">
        <v>1750</v>
      </c>
    </row>
    <row r="132" spans="6:7" ht="13.8" thickBot="1" x14ac:dyDescent="0.3">
      <c r="F132" t="s">
        <v>1751</v>
      </c>
      <c r="G132" s="295" t="s">
        <v>1752</v>
      </c>
    </row>
    <row r="133" spans="6:7" ht="13.8" thickBot="1" x14ac:dyDescent="0.3">
      <c r="F133" t="s">
        <v>1753</v>
      </c>
      <c r="G133" s="295" t="s">
        <v>1754</v>
      </c>
    </row>
    <row r="134" spans="6:7" ht="13.8" thickBot="1" x14ac:dyDescent="0.3">
      <c r="F134" t="s">
        <v>1755</v>
      </c>
      <c r="G134" s="295" t="s">
        <v>1756</v>
      </c>
    </row>
    <row r="135" spans="6:7" ht="13.8" thickBot="1" x14ac:dyDescent="0.3">
      <c r="F135" t="s">
        <v>1757</v>
      </c>
      <c r="G135" s="295" t="s">
        <v>1758</v>
      </c>
    </row>
    <row r="136" spans="6:7" ht="13.8" thickBot="1" x14ac:dyDescent="0.3">
      <c r="F136" t="s">
        <v>1759</v>
      </c>
      <c r="G136" s="295" t="s">
        <v>1760</v>
      </c>
    </row>
    <row r="137" spans="6:7" ht="13.8" thickBot="1" x14ac:dyDescent="0.3">
      <c r="F137" t="s">
        <v>1761</v>
      </c>
      <c r="G137" s="295" t="s">
        <v>1762</v>
      </c>
    </row>
    <row r="138" spans="6:7" ht="13.8" thickBot="1" x14ac:dyDescent="0.3">
      <c r="F138" t="s">
        <v>1763</v>
      </c>
      <c r="G138" s="295" t="s">
        <v>1764</v>
      </c>
    </row>
    <row r="139" spans="6:7" ht="13.8" thickBot="1" x14ac:dyDescent="0.3">
      <c r="F139" t="s">
        <v>1765</v>
      </c>
      <c r="G139" s="295" t="s">
        <v>1766</v>
      </c>
    </row>
    <row r="140" spans="6:7" ht="13.8" thickBot="1" x14ac:dyDescent="0.3">
      <c r="F140" t="s">
        <v>1767</v>
      </c>
      <c r="G140" s="295" t="s">
        <v>1768</v>
      </c>
    </row>
    <row r="141" spans="6:7" ht="13.8" thickBot="1" x14ac:dyDescent="0.3">
      <c r="F141" t="s">
        <v>1769</v>
      </c>
      <c r="G141" s="295" t="s">
        <v>1770</v>
      </c>
    </row>
    <row r="142" spans="6:7" ht="13.8" thickBot="1" x14ac:dyDescent="0.3">
      <c r="F142" t="s">
        <v>1771</v>
      </c>
      <c r="G142" s="295" t="s">
        <v>1772</v>
      </c>
    </row>
    <row r="143" spans="6:7" ht="13.8" thickBot="1" x14ac:dyDescent="0.3">
      <c r="F143" t="s">
        <v>1773</v>
      </c>
      <c r="G143" s="295" t="s">
        <v>1774</v>
      </c>
    </row>
    <row r="144" spans="6:7" ht="13.8" thickBot="1" x14ac:dyDescent="0.3">
      <c r="F144" t="s">
        <v>1775</v>
      </c>
      <c r="G144" s="295" t="s">
        <v>1776</v>
      </c>
    </row>
    <row r="145" spans="6:7" ht="13.8" thickBot="1" x14ac:dyDescent="0.3">
      <c r="F145" t="s">
        <v>1777</v>
      </c>
      <c r="G145" s="295" t="s">
        <v>1778</v>
      </c>
    </row>
    <row r="146" spans="6:7" ht="13.8" thickBot="1" x14ac:dyDescent="0.3">
      <c r="F146" t="s">
        <v>1779</v>
      </c>
      <c r="G146" s="295" t="s">
        <v>1780</v>
      </c>
    </row>
    <row r="147" spans="6:7" ht="13.8" thickBot="1" x14ac:dyDescent="0.3">
      <c r="F147" t="s">
        <v>1781</v>
      </c>
      <c r="G147" s="295" t="s">
        <v>1782</v>
      </c>
    </row>
    <row r="148" spans="6:7" ht="13.8" thickBot="1" x14ac:dyDescent="0.3">
      <c r="F148" t="s">
        <v>1783</v>
      </c>
      <c r="G148" s="295" t="s">
        <v>1784</v>
      </c>
    </row>
    <row r="149" spans="6:7" ht="13.8" thickBot="1" x14ac:dyDescent="0.3">
      <c r="F149" t="s">
        <v>1785</v>
      </c>
      <c r="G149" s="295" t="s">
        <v>1786</v>
      </c>
    </row>
    <row r="150" spans="6:7" ht="13.8" thickBot="1" x14ac:dyDescent="0.3">
      <c r="F150" t="s">
        <v>1787</v>
      </c>
      <c r="G150" s="295" t="s">
        <v>1788</v>
      </c>
    </row>
    <row r="151" spans="6:7" ht="13.8" thickBot="1" x14ac:dyDescent="0.3">
      <c r="F151" t="s">
        <v>1789</v>
      </c>
      <c r="G151" s="295" t="s">
        <v>1790</v>
      </c>
    </row>
    <row r="152" spans="6:7" ht="13.8" thickBot="1" x14ac:dyDescent="0.3">
      <c r="F152" t="s">
        <v>1791</v>
      </c>
      <c r="G152" s="295" t="s">
        <v>1792</v>
      </c>
    </row>
    <row r="153" spans="6:7" ht="13.8" thickBot="1" x14ac:dyDescent="0.3">
      <c r="F153" t="s">
        <v>1793</v>
      </c>
      <c r="G153" s="295" t="s">
        <v>1794</v>
      </c>
    </row>
    <row r="154" spans="6:7" ht="13.8" thickBot="1" x14ac:dyDescent="0.3">
      <c r="F154" t="s">
        <v>1795</v>
      </c>
      <c r="G154" s="295" t="s">
        <v>1796</v>
      </c>
    </row>
    <row r="155" spans="6:7" ht="13.8" thickBot="1" x14ac:dyDescent="0.3">
      <c r="F155" t="s">
        <v>1797</v>
      </c>
      <c r="G155" s="295" t="s">
        <v>1798</v>
      </c>
    </row>
    <row r="156" spans="6:7" ht="13.8" thickBot="1" x14ac:dyDescent="0.3">
      <c r="F156" t="s">
        <v>1799</v>
      </c>
      <c r="G156" s="295" t="s">
        <v>1800</v>
      </c>
    </row>
    <row r="157" spans="6:7" ht="13.8" thickBot="1" x14ac:dyDescent="0.3">
      <c r="F157" t="s">
        <v>1801</v>
      </c>
      <c r="G157" s="295" t="s">
        <v>1802</v>
      </c>
    </row>
    <row r="158" spans="6:7" ht="13.8" thickBot="1" x14ac:dyDescent="0.3">
      <c r="F158" t="s">
        <v>1803</v>
      </c>
      <c r="G158" s="295" t="s">
        <v>1804</v>
      </c>
    </row>
    <row r="159" spans="6:7" ht="13.8" thickBot="1" x14ac:dyDescent="0.3">
      <c r="F159" t="s">
        <v>1805</v>
      </c>
      <c r="G159" s="295" t="s">
        <v>1806</v>
      </c>
    </row>
    <row r="160" spans="6:7" ht="13.8" thickBot="1" x14ac:dyDescent="0.3">
      <c r="F160" t="s">
        <v>1807</v>
      </c>
      <c r="G160" s="295" t="s">
        <v>1808</v>
      </c>
    </row>
    <row r="161" spans="6:7" ht="13.8" thickBot="1" x14ac:dyDescent="0.3">
      <c r="F161" t="s">
        <v>1809</v>
      </c>
      <c r="G161" s="295" t="s">
        <v>1810</v>
      </c>
    </row>
    <row r="162" spans="6:7" ht="13.8" thickBot="1" x14ac:dyDescent="0.3">
      <c r="F162" t="s">
        <v>1811</v>
      </c>
      <c r="G162" s="295" t="s">
        <v>1812</v>
      </c>
    </row>
    <row r="163" spans="6:7" ht="13.8" thickBot="1" x14ac:dyDescent="0.3">
      <c r="F163" t="s">
        <v>1813</v>
      </c>
      <c r="G163" s="295" t="s">
        <v>1814</v>
      </c>
    </row>
    <row r="164" spans="6:7" ht="13.8" thickBot="1" x14ac:dyDescent="0.3">
      <c r="F164" t="s">
        <v>1815</v>
      </c>
      <c r="G164" s="295" t="s">
        <v>1816</v>
      </c>
    </row>
    <row r="165" spans="6:7" ht="13.8" thickBot="1" x14ac:dyDescent="0.3">
      <c r="F165" t="s">
        <v>1817</v>
      </c>
      <c r="G165" s="295" t="s">
        <v>1818</v>
      </c>
    </row>
    <row r="166" spans="6:7" ht="13.8" thickBot="1" x14ac:dyDescent="0.3">
      <c r="F166" t="s">
        <v>1819</v>
      </c>
      <c r="G166" s="295" t="s">
        <v>1820</v>
      </c>
    </row>
    <row r="167" spans="6:7" ht="13.8" thickBot="1" x14ac:dyDescent="0.3">
      <c r="F167" t="s">
        <v>1821</v>
      </c>
      <c r="G167" s="295" t="s">
        <v>1822</v>
      </c>
    </row>
    <row r="168" spans="6:7" ht="13.8" thickBot="1" x14ac:dyDescent="0.3">
      <c r="F168" t="s">
        <v>1823</v>
      </c>
      <c r="G168" s="295" t="s">
        <v>1824</v>
      </c>
    </row>
    <row r="169" spans="6:7" ht="13.8" thickBot="1" x14ac:dyDescent="0.3">
      <c r="F169" t="s">
        <v>1825</v>
      </c>
      <c r="G169" s="295" t="s">
        <v>1826</v>
      </c>
    </row>
    <row r="170" spans="6:7" ht="13.8" thickBot="1" x14ac:dyDescent="0.3">
      <c r="F170" t="s">
        <v>1827</v>
      </c>
      <c r="G170" s="295" t="s">
        <v>1828</v>
      </c>
    </row>
    <row r="171" spans="6:7" ht="13.8" thickBot="1" x14ac:dyDescent="0.3">
      <c r="F171" t="s">
        <v>1829</v>
      </c>
      <c r="G171" s="295" t="s">
        <v>1830</v>
      </c>
    </row>
    <row r="172" spans="6:7" ht="13.8" thickBot="1" x14ac:dyDescent="0.3">
      <c r="F172" t="s">
        <v>1831</v>
      </c>
      <c r="G172" s="295" t="s">
        <v>1832</v>
      </c>
    </row>
    <row r="173" spans="6:7" ht="13.8" thickBot="1" x14ac:dyDescent="0.3">
      <c r="F173" t="s">
        <v>1833</v>
      </c>
      <c r="G173" s="295" t="s">
        <v>1834</v>
      </c>
    </row>
    <row r="174" spans="6:7" ht="13.8" thickBot="1" x14ac:dyDescent="0.3">
      <c r="F174" t="s">
        <v>1835</v>
      </c>
      <c r="G174" s="295" t="s">
        <v>1836</v>
      </c>
    </row>
    <row r="175" spans="6:7" ht="13.8" thickBot="1" x14ac:dyDescent="0.3">
      <c r="F175" t="s">
        <v>1837</v>
      </c>
      <c r="G175" s="295" t="s">
        <v>1838</v>
      </c>
    </row>
    <row r="176" spans="6:7" ht="13.8" thickBot="1" x14ac:dyDescent="0.3">
      <c r="F176" t="s">
        <v>1839</v>
      </c>
      <c r="G176" s="295" t="s">
        <v>1840</v>
      </c>
    </row>
    <row r="177" spans="6:7" ht="13.8" thickBot="1" x14ac:dyDescent="0.3">
      <c r="F177" t="s">
        <v>995</v>
      </c>
      <c r="G177" s="295" t="s">
        <v>1841</v>
      </c>
    </row>
    <row r="178" spans="6:7" ht="13.8" thickBot="1" x14ac:dyDescent="0.3">
      <c r="F178" t="s">
        <v>1842</v>
      </c>
      <c r="G178" s="295" t="s">
        <v>1843</v>
      </c>
    </row>
    <row r="179" spans="6:7" ht="13.8" thickBot="1" x14ac:dyDescent="0.3">
      <c r="F179" t="s">
        <v>1844</v>
      </c>
      <c r="G179" s="295" t="s">
        <v>1845</v>
      </c>
    </row>
    <row r="180" spans="6:7" ht="13.8" thickBot="1" x14ac:dyDescent="0.3">
      <c r="F180" t="s">
        <v>1846</v>
      </c>
      <c r="G180" s="295" t="s">
        <v>1847</v>
      </c>
    </row>
    <row r="181" spans="6:7" ht="13.8" thickBot="1" x14ac:dyDescent="0.3">
      <c r="F181" t="s">
        <v>1848</v>
      </c>
      <c r="G181" s="295" t="s">
        <v>1849</v>
      </c>
    </row>
    <row r="182" spans="6:7" ht="13.8" thickBot="1" x14ac:dyDescent="0.3">
      <c r="F182" t="s">
        <v>1850</v>
      </c>
      <c r="G182" s="295" t="s">
        <v>1851</v>
      </c>
    </row>
    <row r="183" spans="6:7" ht="13.8" thickBot="1" x14ac:dyDescent="0.3">
      <c r="F183" t="s">
        <v>1852</v>
      </c>
      <c r="G183" s="295" t="s">
        <v>1853</v>
      </c>
    </row>
    <row r="184" spans="6:7" ht="13.8" thickBot="1" x14ac:dyDescent="0.3">
      <c r="F184" t="s">
        <v>1854</v>
      </c>
      <c r="G184" s="295" t="s">
        <v>1855</v>
      </c>
    </row>
    <row r="185" spans="6:7" ht="13.8" thickBot="1" x14ac:dyDescent="0.3">
      <c r="F185" t="s">
        <v>1856</v>
      </c>
      <c r="G185" s="295" t="s">
        <v>1857</v>
      </c>
    </row>
    <row r="186" spans="6:7" ht="13.8" thickBot="1" x14ac:dyDescent="0.3">
      <c r="F186" t="s">
        <v>1858</v>
      </c>
      <c r="G186" s="295" t="s">
        <v>1859</v>
      </c>
    </row>
    <row r="187" spans="6:7" ht="13.8" thickBot="1" x14ac:dyDescent="0.3">
      <c r="F187" t="s">
        <v>1860</v>
      </c>
      <c r="G187" s="295" t="s">
        <v>1861</v>
      </c>
    </row>
    <row r="188" spans="6:7" ht="13.8" thickBot="1" x14ac:dyDescent="0.3">
      <c r="F188" t="s">
        <v>1862</v>
      </c>
      <c r="G188" s="295" t="s">
        <v>1863</v>
      </c>
    </row>
    <row r="189" spans="6:7" ht="13.8" thickBot="1" x14ac:dyDescent="0.3">
      <c r="F189" t="s">
        <v>1864</v>
      </c>
      <c r="G189" s="295" t="s">
        <v>1865</v>
      </c>
    </row>
    <row r="190" spans="6:7" ht="13.8" thickBot="1" x14ac:dyDescent="0.3">
      <c r="F190" t="s">
        <v>1866</v>
      </c>
      <c r="G190" s="295" t="s">
        <v>1867</v>
      </c>
    </row>
    <row r="191" spans="6:7" ht="13.8" thickBot="1" x14ac:dyDescent="0.3">
      <c r="F191" t="s">
        <v>1868</v>
      </c>
      <c r="G191" s="295" t="s">
        <v>1869</v>
      </c>
    </row>
    <row r="192" spans="6:7" ht="13.8" thickBot="1" x14ac:dyDescent="0.3">
      <c r="F192" t="s">
        <v>1870</v>
      </c>
      <c r="G192" s="295" t="s">
        <v>1871</v>
      </c>
    </row>
    <row r="193" spans="6:7" ht="13.8" thickBot="1" x14ac:dyDescent="0.3">
      <c r="F193" t="s">
        <v>1872</v>
      </c>
      <c r="G193" s="295" t="s">
        <v>1873</v>
      </c>
    </row>
    <row r="194" spans="6:7" ht="13.8" thickBot="1" x14ac:dyDescent="0.3">
      <c r="F194" t="s">
        <v>1874</v>
      </c>
      <c r="G194" s="295" t="s">
        <v>1875</v>
      </c>
    </row>
    <row r="195" spans="6:7" ht="13.8" thickBot="1" x14ac:dyDescent="0.3">
      <c r="F195" t="s">
        <v>1876</v>
      </c>
      <c r="G195" s="295" t="s">
        <v>1877</v>
      </c>
    </row>
    <row r="196" spans="6:7" ht="13.8" thickBot="1" x14ac:dyDescent="0.3">
      <c r="F196" t="s">
        <v>1878</v>
      </c>
      <c r="G196" s="295" t="s">
        <v>1879</v>
      </c>
    </row>
    <row r="197" spans="6:7" ht="13.8" thickBot="1" x14ac:dyDescent="0.3">
      <c r="F197" t="s">
        <v>1880</v>
      </c>
      <c r="G197" s="295" t="s">
        <v>1881</v>
      </c>
    </row>
    <row r="198" spans="6:7" ht="13.8" thickBot="1" x14ac:dyDescent="0.3">
      <c r="F198" t="s">
        <v>1882</v>
      </c>
      <c r="G198" s="295" t="s">
        <v>1883</v>
      </c>
    </row>
    <row r="199" spans="6:7" ht="13.8" thickBot="1" x14ac:dyDescent="0.3">
      <c r="F199" t="s">
        <v>1884</v>
      </c>
      <c r="G199" s="295" t="s">
        <v>1885</v>
      </c>
    </row>
    <row r="200" spans="6:7" ht="13.8" thickBot="1" x14ac:dyDescent="0.3">
      <c r="F200" t="s">
        <v>1886</v>
      </c>
      <c r="G200" s="295" t="s">
        <v>1887</v>
      </c>
    </row>
    <row r="201" spans="6:7" ht="13.8" thickBot="1" x14ac:dyDescent="0.3">
      <c r="F201" t="s">
        <v>1888</v>
      </c>
      <c r="G201" s="295" t="s">
        <v>1889</v>
      </c>
    </row>
    <row r="202" spans="6:7" ht="13.8" thickBot="1" x14ac:dyDescent="0.3">
      <c r="F202" t="s">
        <v>1890</v>
      </c>
      <c r="G202" s="295" t="s">
        <v>1891</v>
      </c>
    </row>
    <row r="203" spans="6:7" ht="13.8" thickBot="1" x14ac:dyDescent="0.3">
      <c r="F203" t="s">
        <v>1892</v>
      </c>
      <c r="G203" s="295" t="s">
        <v>1893</v>
      </c>
    </row>
    <row r="204" spans="6:7" ht="13.8" thickBot="1" x14ac:dyDescent="0.3">
      <c r="F204" t="s">
        <v>1894</v>
      </c>
      <c r="G204" s="295" t="s">
        <v>1895</v>
      </c>
    </row>
    <row r="205" spans="6:7" ht="13.8" thickBot="1" x14ac:dyDescent="0.3">
      <c r="F205" t="s">
        <v>1896</v>
      </c>
      <c r="G205" s="295" t="s">
        <v>1897</v>
      </c>
    </row>
    <row r="206" spans="6:7" ht="13.8" thickBot="1" x14ac:dyDescent="0.3">
      <c r="F206" t="s">
        <v>1898</v>
      </c>
      <c r="G206" s="295" t="s">
        <v>1899</v>
      </c>
    </row>
    <row r="207" spans="6:7" ht="13.8" thickBot="1" x14ac:dyDescent="0.3">
      <c r="F207" t="s">
        <v>1900</v>
      </c>
      <c r="G207" s="295" t="s">
        <v>1901</v>
      </c>
    </row>
    <row r="208" spans="6:7" ht="13.8" thickBot="1" x14ac:dyDescent="0.3">
      <c r="F208" t="s">
        <v>1902</v>
      </c>
      <c r="G208" s="295" t="s">
        <v>1903</v>
      </c>
    </row>
    <row r="209" spans="6:7" ht="13.8" thickBot="1" x14ac:dyDescent="0.3">
      <c r="F209" t="s">
        <v>1904</v>
      </c>
      <c r="G209" s="295" t="s">
        <v>1905</v>
      </c>
    </row>
    <row r="210" spans="6:7" ht="13.8" thickBot="1" x14ac:dyDescent="0.3">
      <c r="F210" t="s">
        <v>1906</v>
      </c>
      <c r="G210" s="295" t="s">
        <v>1907</v>
      </c>
    </row>
    <row r="211" spans="6:7" ht="13.8" thickBot="1" x14ac:dyDescent="0.3">
      <c r="F211" t="s">
        <v>1908</v>
      </c>
      <c r="G211" s="295" t="s">
        <v>1840</v>
      </c>
    </row>
    <row r="212" spans="6:7" ht="13.8" thickBot="1" x14ac:dyDescent="0.3">
      <c r="F212" t="s">
        <v>1909</v>
      </c>
      <c r="G212" s="295" t="s">
        <v>1910</v>
      </c>
    </row>
    <row r="213" spans="6:7" ht="13.8" thickBot="1" x14ac:dyDescent="0.3">
      <c r="F213" t="s">
        <v>1911</v>
      </c>
      <c r="G213" s="295" t="s">
        <v>1912</v>
      </c>
    </row>
    <row r="214" spans="6:7" ht="13.8" thickBot="1" x14ac:dyDescent="0.3">
      <c r="F214" t="s">
        <v>1913</v>
      </c>
      <c r="G214" s="295" t="s">
        <v>1914</v>
      </c>
    </row>
    <row r="215" spans="6:7" ht="13.8" thickBot="1" x14ac:dyDescent="0.3">
      <c r="F215" t="s">
        <v>1915</v>
      </c>
      <c r="G215" s="295" t="s">
        <v>1916</v>
      </c>
    </row>
    <row r="216" spans="6:7" ht="13.8" thickBot="1" x14ac:dyDescent="0.3">
      <c r="F216" t="s">
        <v>1917</v>
      </c>
      <c r="G216" s="295" t="s">
        <v>1918</v>
      </c>
    </row>
    <row r="217" spans="6:7" ht="13.8" thickBot="1" x14ac:dyDescent="0.3">
      <c r="F217" t="s">
        <v>1919</v>
      </c>
      <c r="G217" s="295" t="s">
        <v>1920</v>
      </c>
    </row>
    <row r="218" spans="6:7" ht="13.8" thickBot="1" x14ac:dyDescent="0.3">
      <c r="F218" t="s">
        <v>1921</v>
      </c>
      <c r="G218" s="295" t="s">
        <v>1922</v>
      </c>
    </row>
    <row r="219" spans="6:7" ht="13.8" thickBot="1" x14ac:dyDescent="0.3">
      <c r="F219" t="s">
        <v>1923</v>
      </c>
      <c r="G219" s="295" t="s">
        <v>1924</v>
      </c>
    </row>
    <row r="220" spans="6:7" ht="13.8" thickBot="1" x14ac:dyDescent="0.3">
      <c r="F220" t="s">
        <v>1925</v>
      </c>
      <c r="G220" s="295" t="s">
        <v>1926</v>
      </c>
    </row>
    <row r="221" spans="6:7" ht="13.8" thickBot="1" x14ac:dyDescent="0.3">
      <c r="F221" t="s">
        <v>1927</v>
      </c>
      <c r="G221" s="295" t="s">
        <v>1928</v>
      </c>
    </row>
    <row r="222" spans="6:7" ht="13.8" thickBot="1" x14ac:dyDescent="0.3">
      <c r="F222" t="s">
        <v>1929</v>
      </c>
      <c r="G222" s="295" t="s">
        <v>1930</v>
      </c>
    </row>
    <row r="223" spans="6:7" ht="13.8" thickBot="1" x14ac:dyDescent="0.3">
      <c r="F223" t="s">
        <v>1931</v>
      </c>
      <c r="G223" s="295" t="s">
        <v>1932</v>
      </c>
    </row>
    <row r="224" spans="6:7" ht="13.8" thickBot="1" x14ac:dyDescent="0.3">
      <c r="F224" t="s">
        <v>1933</v>
      </c>
      <c r="G224" s="295" t="s">
        <v>1934</v>
      </c>
    </row>
    <row r="225" spans="6:7" ht="13.8" thickBot="1" x14ac:dyDescent="0.3">
      <c r="F225" t="s">
        <v>1935</v>
      </c>
      <c r="G225" s="295" t="s">
        <v>1936</v>
      </c>
    </row>
    <row r="226" spans="6:7" ht="13.8" thickBot="1" x14ac:dyDescent="0.3">
      <c r="F226" t="s">
        <v>1937</v>
      </c>
      <c r="G226" s="295" t="s">
        <v>1938</v>
      </c>
    </row>
    <row r="227" spans="6:7" ht="13.8" thickBot="1" x14ac:dyDescent="0.3">
      <c r="F227" t="s">
        <v>1939</v>
      </c>
      <c r="G227" s="295" t="s">
        <v>1940</v>
      </c>
    </row>
    <row r="228" spans="6:7" ht="13.8" thickBot="1" x14ac:dyDescent="0.3">
      <c r="F228" t="s">
        <v>1941</v>
      </c>
      <c r="G228" s="295" t="s">
        <v>1942</v>
      </c>
    </row>
    <row r="229" spans="6:7" ht="13.8" thickBot="1" x14ac:dyDescent="0.3">
      <c r="F229" t="s">
        <v>1943</v>
      </c>
      <c r="G229" s="295" t="s">
        <v>1944</v>
      </c>
    </row>
    <row r="230" spans="6:7" ht="13.8" thickBot="1" x14ac:dyDescent="0.3">
      <c r="F230" t="s">
        <v>1945</v>
      </c>
      <c r="G230" s="295" t="s">
        <v>1946</v>
      </c>
    </row>
    <row r="231" spans="6:7" ht="13.8" thickBot="1" x14ac:dyDescent="0.3">
      <c r="F231" t="s">
        <v>1947</v>
      </c>
      <c r="G231" s="295" t="s">
        <v>1948</v>
      </c>
    </row>
    <row r="232" spans="6:7" ht="13.8" thickBot="1" x14ac:dyDescent="0.3">
      <c r="F232" t="s">
        <v>1949</v>
      </c>
      <c r="G232" s="295" t="s">
        <v>1950</v>
      </c>
    </row>
    <row r="233" spans="6:7" ht="13.8" thickBot="1" x14ac:dyDescent="0.3">
      <c r="F233" t="s">
        <v>1951</v>
      </c>
      <c r="G233" s="295" t="s">
        <v>1952</v>
      </c>
    </row>
    <row r="234" spans="6:7" ht="13.8" thickBot="1" x14ac:dyDescent="0.3">
      <c r="F234" t="s">
        <v>1953</v>
      </c>
      <c r="G234" s="295" t="s">
        <v>1954</v>
      </c>
    </row>
    <row r="235" spans="6:7" ht="13.8" thickBot="1" x14ac:dyDescent="0.3">
      <c r="F235" t="s">
        <v>1955</v>
      </c>
      <c r="G235" s="295" t="s">
        <v>1956</v>
      </c>
    </row>
    <row r="236" spans="6:7" ht="13.8" thickBot="1" x14ac:dyDescent="0.3">
      <c r="F236" t="s">
        <v>1957</v>
      </c>
      <c r="G236" s="295" t="s">
        <v>1958</v>
      </c>
    </row>
    <row r="237" spans="6:7" ht="13.8" thickBot="1" x14ac:dyDescent="0.3">
      <c r="F237" t="s">
        <v>1959</v>
      </c>
      <c r="G237" s="295" t="s">
        <v>1960</v>
      </c>
    </row>
    <row r="238" spans="6:7" ht="13.8" thickBot="1" x14ac:dyDescent="0.3">
      <c r="F238" t="s">
        <v>1961</v>
      </c>
      <c r="G238" s="295" t="s">
        <v>1962</v>
      </c>
    </row>
    <row r="239" spans="6:7" ht="13.8" thickBot="1" x14ac:dyDescent="0.3">
      <c r="F239" t="s">
        <v>1963</v>
      </c>
      <c r="G239" s="295" t="s">
        <v>1964</v>
      </c>
    </row>
    <row r="240" spans="6:7" ht="13.8" thickBot="1" x14ac:dyDescent="0.3">
      <c r="F240" t="s">
        <v>1965</v>
      </c>
      <c r="G240" s="295" t="s">
        <v>1966</v>
      </c>
    </row>
    <row r="241" spans="6:7" ht="13.8" thickBot="1" x14ac:dyDescent="0.3">
      <c r="F241" t="s">
        <v>1967</v>
      </c>
      <c r="G241" s="295" t="s">
        <v>1968</v>
      </c>
    </row>
    <row r="242" spans="6:7" ht="13.8" thickBot="1" x14ac:dyDescent="0.3">
      <c r="F242" t="s">
        <v>1969</v>
      </c>
      <c r="G242" s="295" t="s">
        <v>1970</v>
      </c>
    </row>
    <row r="243" spans="6:7" ht="13.8" thickBot="1" x14ac:dyDescent="0.3">
      <c r="F243" t="s">
        <v>1971</v>
      </c>
      <c r="G243" s="295" t="s">
        <v>1972</v>
      </c>
    </row>
    <row r="244" spans="6:7" ht="13.8" thickBot="1" x14ac:dyDescent="0.3">
      <c r="F244" t="s">
        <v>1973</v>
      </c>
      <c r="G244" s="295" t="s">
        <v>1974</v>
      </c>
    </row>
    <row r="245" spans="6:7" ht="13.8" thickBot="1" x14ac:dyDescent="0.3">
      <c r="F245" t="s">
        <v>1975</v>
      </c>
      <c r="G245" s="295" t="s">
        <v>1976</v>
      </c>
    </row>
    <row r="246" spans="6:7" ht="13.8" thickBot="1" x14ac:dyDescent="0.3">
      <c r="F246" t="s">
        <v>1977</v>
      </c>
      <c r="G246" s="295" t="s">
        <v>1978</v>
      </c>
    </row>
    <row r="247" spans="6:7" ht="13.8" thickBot="1" x14ac:dyDescent="0.3">
      <c r="F247" t="s">
        <v>1979</v>
      </c>
      <c r="G247" s="295" t="s">
        <v>1980</v>
      </c>
    </row>
    <row r="248" spans="6:7" ht="13.8" thickBot="1" x14ac:dyDescent="0.3">
      <c r="F248" t="s">
        <v>1981</v>
      </c>
      <c r="G248" s="295" t="s">
        <v>1982</v>
      </c>
    </row>
    <row r="249" spans="6:7" ht="13.8" thickBot="1" x14ac:dyDescent="0.3">
      <c r="F249" t="s">
        <v>1983</v>
      </c>
      <c r="G249" s="295" t="s">
        <v>1984</v>
      </c>
    </row>
    <row r="250" spans="6:7" ht="13.8" thickBot="1" x14ac:dyDescent="0.3">
      <c r="F250" t="s">
        <v>1985</v>
      </c>
      <c r="G250" s="295" t="s">
        <v>1986</v>
      </c>
    </row>
    <row r="251" spans="6:7" ht="13.8" thickBot="1" x14ac:dyDescent="0.3">
      <c r="F251" t="s">
        <v>1987</v>
      </c>
      <c r="G251" s="295" t="s">
        <v>1988</v>
      </c>
    </row>
    <row r="252" spans="6:7" ht="13.8" thickBot="1" x14ac:dyDescent="0.3">
      <c r="F252" t="s">
        <v>1989</v>
      </c>
      <c r="G252" s="295" t="s">
        <v>1990</v>
      </c>
    </row>
    <row r="253" spans="6:7" ht="13.8" thickBot="1" x14ac:dyDescent="0.3">
      <c r="F253" t="s">
        <v>1991</v>
      </c>
      <c r="G253" s="295" t="s">
        <v>1992</v>
      </c>
    </row>
    <row r="254" spans="6:7" ht="13.8" thickBot="1" x14ac:dyDescent="0.3">
      <c r="F254" t="s">
        <v>1993</v>
      </c>
      <c r="G254" s="295" t="s">
        <v>1994</v>
      </c>
    </row>
    <row r="255" spans="6:7" ht="13.8" thickBot="1" x14ac:dyDescent="0.3">
      <c r="F255" t="s">
        <v>1995</v>
      </c>
      <c r="G255" s="295" t="s">
        <v>1996</v>
      </c>
    </row>
    <row r="256" spans="6:7" ht="13.8" thickBot="1" x14ac:dyDescent="0.3">
      <c r="F256" t="s">
        <v>1997</v>
      </c>
      <c r="G256" s="295" t="s">
        <v>1998</v>
      </c>
    </row>
    <row r="257" spans="6:7" ht="13.8" thickBot="1" x14ac:dyDescent="0.3">
      <c r="F257" t="s">
        <v>1999</v>
      </c>
      <c r="G257" s="295" t="s">
        <v>2000</v>
      </c>
    </row>
    <row r="258" spans="6:7" ht="13.8" thickBot="1" x14ac:dyDescent="0.3">
      <c r="F258" t="s">
        <v>2001</v>
      </c>
      <c r="G258" s="295" t="s">
        <v>2002</v>
      </c>
    </row>
    <row r="259" spans="6:7" ht="13.8" thickBot="1" x14ac:dyDescent="0.3">
      <c r="F259" t="s">
        <v>2003</v>
      </c>
      <c r="G259" s="295" t="s">
        <v>2004</v>
      </c>
    </row>
    <row r="260" spans="6:7" ht="13.8" thickBot="1" x14ac:dyDescent="0.3">
      <c r="F260" t="s">
        <v>2005</v>
      </c>
      <c r="G260" s="295" t="s">
        <v>2006</v>
      </c>
    </row>
    <row r="261" spans="6:7" ht="13.8" thickBot="1" x14ac:dyDescent="0.3">
      <c r="F261" t="s">
        <v>2007</v>
      </c>
      <c r="G261" s="295" t="s">
        <v>2008</v>
      </c>
    </row>
    <row r="262" spans="6:7" ht="13.8" thickBot="1" x14ac:dyDescent="0.3">
      <c r="F262" t="s">
        <v>2009</v>
      </c>
      <c r="G262" s="295" t="s">
        <v>2010</v>
      </c>
    </row>
    <row r="263" spans="6:7" ht="13.8" thickBot="1" x14ac:dyDescent="0.3">
      <c r="F263" t="s">
        <v>2011</v>
      </c>
      <c r="G263" s="295" t="s">
        <v>2012</v>
      </c>
    </row>
    <row r="264" spans="6:7" ht="13.8" thickBot="1" x14ac:dyDescent="0.3">
      <c r="F264" t="s">
        <v>2013</v>
      </c>
      <c r="G264" s="295" t="s">
        <v>2014</v>
      </c>
    </row>
    <row r="265" spans="6:7" ht="13.8" thickBot="1" x14ac:dyDescent="0.3">
      <c r="F265" t="s">
        <v>2015</v>
      </c>
      <c r="G265" s="295" t="s">
        <v>2016</v>
      </c>
    </row>
    <row r="266" spans="6:7" ht="13.8" thickBot="1" x14ac:dyDescent="0.3">
      <c r="F266" t="s">
        <v>2017</v>
      </c>
      <c r="G266" s="295" t="s">
        <v>2018</v>
      </c>
    </row>
    <row r="267" spans="6:7" ht="13.8" thickBot="1" x14ac:dyDescent="0.3">
      <c r="F267" t="s">
        <v>2019</v>
      </c>
      <c r="G267" s="295" t="s">
        <v>2020</v>
      </c>
    </row>
    <row r="268" spans="6:7" ht="13.8" thickBot="1" x14ac:dyDescent="0.3">
      <c r="F268" t="s">
        <v>2021</v>
      </c>
      <c r="G268" s="295" t="s">
        <v>2022</v>
      </c>
    </row>
    <row r="269" spans="6:7" ht="13.8" thickBot="1" x14ac:dyDescent="0.3">
      <c r="F269" t="s">
        <v>2023</v>
      </c>
      <c r="G269" s="295" t="s">
        <v>2024</v>
      </c>
    </row>
    <row r="270" spans="6:7" ht="13.8" thickBot="1" x14ac:dyDescent="0.3">
      <c r="F270" t="s">
        <v>2025</v>
      </c>
      <c r="G270" s="295" t="s">
        <v>2026</v>
      </c>
    </row>
    <row r="271" spans="6:7" ht="13.8" thickBot="1" x14ac:dyDescent="0.3">
      <c r="F271" t="s">
        <v>2027</v>
      </c>
      <c r="G271" s="295" t="s">
        <v>2028</v>
      </c>
    </row>
    <row r="272" spans="6:7" ht="13.8" thickBot="1" x14ac:dyDescent="0.3">
      <c r="F272" t="s">
        <v>2029</v>
      </c>
      <c r="G272" s="295" t="s">
        <v>2030</v>
      </c>
    </row>
    <row r="273" spans="6:7" ht="13.8" thickBot="1" x14ac:dyDescent="0.3">
      <c r="F273" t="s">
        <v>2031</v>
      </c>
      <c r="G273" s="295" t="s">
        <v>2032</v>
      </c>
    </row>
    <row r="274" spans="6:7" ht="13.8" thickBot="1" x14ac:dyDescent="0.3">
      <c r="F274" t="s">
        <v>2033</v>
      </c>
      <c r="G274" s="295" t="s">
        <v>2034</v>
      </c>
    </row>
    <row r="275" spans="6:7" ht="13.8" thickBot="1" x14ac:dyDescent="0.3">
      <c r="F275" t="s">
        <v>2035</v>
      </c>
      <c r="G275" s="295" t="s">
        <v>2036</v>
      </c>
    </row>
    <row r="276" spans="6:7" ht="13.8" thickBot="1" x14ac:dyDescent="0.3">
      <c r="F276" t="s">
        <v>2037</v>
      </c>
      <c r="G276" s="295" t="s">
        <v>2038</v>
      </c>
    </row>
    <row r="277" spans="6:7" ht="13.8" thickBot="1" x14ac:dyDescent="0.3">
      <c r="F277" t="s">
        <v>2039</v>
      </c>
      <c r="G277" s="295" t="s">
        <v>2040</v>
      </c>
    </row>
    <row r="278" spans="6:7" ht="13.8" thickBot="1" x14ac:dyDescent="0.3">
      <c r="F278" t="s">
        <v>2041</v>
      </c>
      <c r="G278" s="295" t="s">
        <v>2042</v>
      </c>
    </row>
    <row r="279" spans="6:7" ht="13.8" thickBot="1" x14ac:dyDescent="0.3">
      <c r="F279" t="s">
        <v>2043</v>
      </c>
      <c r="G279" s="295" t="s">
        <v>2044</v>
      </c>
    </row>
    <row r="280" spans="6:7" ht="13.8" thickBot="1" x14ac:dyDescent="0.3">
      <c r="F280" t="s">
        <v>2045</v>
      </c>
      <c r="G280" s="295" t="s">
        <v>2046</v>
      </c>
    </row>
    <row r="281" spans="6:7" ht="13.8" thickBot="1" x14ac:dyDescent="0.3">
      <c r="F281" t="s">
        <v>2047</v>
      </c>
      <c r="G281" s="295" t="s">
        <v>2048</v>
      </c>
    </row>
    <row r="282" spans="6:7" ht="13.8" thickBot="1" x14ac:dyDescent="0.3">
      <c r="F282" t="s">
        <v>2049</v>
      </c>
      <c r="G282" s="295" t="s">
        <v>2050</v>
      </c>
    </row>
    <row r="283" spans="6:7" ht="13.8" thickBot="1" x14ac:dyDescent="0.3">
      <c r="F283" t="s">
        <v>2051</v>
      </c>
      <c r="G283" s="295" t="s">
        <v>2052</v>
      </c>
    </row>
    <row r="284" spans="6:7" ht="13.8" thickBot="1" x14ac:dyDescent="0.3">
      <c r="F284" t="s">
        <v>2053</v>
      </c>
      <c r="G284" s="295" t="s">
        <v>2054</v>
      </c>
    </row>
    <row r="285" spans="6:7" ht="13.8" thickBot="1" x14ac:dyDescent="0.3">
      <c r="F285" t="s">
        <v>2055</v>
      </c>
      <c r="G285" s="295" t="s">
        <v>2056</v>
      </c>
    </row>
    <row r="286" spans="6:7" ht="13.8" thickBot="1" x14ac:dyDescent="0.3">
      <c r="F286" t="s">
        <v>2057</v>
      </c>
      <c r="G286" s="295" t="s">
        <v>2058</v>
      </c>
    </row>
    <row r="287" spans="6:7" ht="13.8" thickBot="1" x14ac:dyDescent="0.3">
      <c r="F287" t="s">
        <v>2059</v>
      </c>
      <c r="G287" s="295" t="s">
        <v>2060</v>
      </c>
    </row>
    <row r="288" spans="6:7" ht="13.8" thickBot="1" x14ac:dyDescent="0.3">
      <c r="F288" t="s">
        <v>2061</v>
      </c>
      <c r="G288" s="295" t="s">
        <v>2062</v>
      </c>
    </row>
    <row r="289" spans="6:7" ht="13.8" thickBot="1" x14ac:dyDescent="0.3">
      <c r="F289" t="s">
        <v>2063</v>
      </c>
      <c r="G289" s="295" t="s">
        <v>2064</v>
      </c>
    </row>
    <row r="290" spans="6:7" ht="13.8" thickBot="1" x14ac:dyDescent="0.3">
      <c r="F290" t="s">
        <v>2065</v>
      </c>
      <c r="G290" s="295" t="s">
        <v>2066</v>
      </c>
    </row>
    <row r="291" spans="6:7" ht="13.8" thickBot="1" x14ac:dyDescent="0.3">
      <c r="F291" t="s">
        <v>2067</v>
      </c>
      <c r="G291" s="295" t="s">
        <v>2068</v>
      </c>
    </row>
    <row r="292" spans="6:7" ht="13.8" thickBot="1" x14ac:dyDescent="0.3">
      <c r="F292" t="s">
        <v>2069</v>
      </c>
      <c r="G292" s="295" t="s">
        <v>2070</v>
      </c>
    </row>
    <row r="293" spans="6:7" ht="13.8" thickBot="1" x14ac:dyDescent="0.3">
      <c r="F293" t="s">
        <v>2071</v>
      </c>
      <c r="G293" s="295" t="s">
        <v>2072</v>
      </c>
    </row>
    <row r="294" spans="6:7" ht="13.8" thickBot="1" x14ac:dyDescent="0.3">
      <c r="F294" t="s">
        <v>2073</v>
      </c>
      <c r="G294" s="295" t="s">
        <v>2074</v>
      </c>
    </row>
    <row r="295" spans="6:7" ht="13.8" thickBot="1" x14ac:dyDescent="0.3">
      <c r="F295" t="s">
        <v>2075</v>
      </c>
      <c r="G295" s="295" t="s">
        <v>2076</v>
      </c>
    </row>
    <row r="296" spans="6:7" ht="13.8" thickBot="1" x14ac:dyDescent="0.3">
      <c r="F296" t="s">
        <v>2077</v>
      </c>
      <c r="G296" s="295" t="s">
        <v>2078</v>
      </c>
    </row>
    <row r="297" spans="6:7" ht="13.8" thickBot="1" x14ac:dyDescent="0.3">
      <c r="F297" t="s">
        <v>2079</v>
      </c>
      <c r="G297" s="295" t="s">
        <v>2080</v>
      </c>
    </row>
    <row r="298" spans="6:7" ht="13.8" thickBot="1" x14ac:dyDescent="0.3">
      <c r="F298" t="s">
        <v>2081</v>
      </c>
      <c r="G298" s="295" t="s">
        <v>2082</v>
      </c>
    </row>
    <row r="299" spans="6:7" ht="13.8" thickBot="1" x14ac:dyDescent="0.3">
      <c r="F299" t="s">
        <v>2083</v>
      </c>
      <c r="G299" s="295" t="s">
        <v>2084</v>
      </c>
    </row>
    <row r="300" spans="6:7" ht="13.8" thickBot="1" x14ac:dyDescent="0.3">
      <c r="F300" t="s">
        <v>2085</v>
      </c>
      <c r="G300" s="295" t="s">
        <v>2086</v>
      </c>
    </row>
    <row r="301" spans="6:7" ht="13.8" thickBot="1" x14ac:dyDescent="0.3">
      <c r="F301" t="s">
        <v>2087</v>
      </c>
      <c r="G301" s="295" t="s">
        <v>2088</v>
      </c>
    </row>
    <row r="302" spans="6:7" ht="13.8" thickBot="1" x14ac:dyDescent="0.3">
      <c r="F302" t="s">
        <v>2089</v>
      </c>
      <c r="G302" s="295" t="s">
        <v>2090</v>
      </c>
    </row>
    <row r="303" spans="6:7" ht="13.8" thickBot="1" x14ac:dyDescent="0.3">
      <c r="F303" t="s">
        <v>2091</v>
      </c>
      <c r="G303" s="295" t="s">
        <v>2092</v>
      </c>
    </row>
    <row r="304" spans="6:7" ht="13.8" thickBot="1" x14ac:dyDescent="0.3">
      <c r="F304" t="s">
        <v>2093</v>
      </c>
      <c r="G304" s="295" t="s">
        <v>2094</v>
      </c>
    </row>
    <row r="305" spans="6:7" ht="13.8" thickBot="1" x14ac:dyDescent="0.3">
      <c r="F305" t="s">
        <v>2095</v>
      </c>
      <c r="G305" s="295" t="s">
        <v>2096</v>
      </c>
    </row>
    <row r="306" spans="6:7" ht="13.8" thickBot="1" x14ac:dyDescent="0.3">
      <c r="F306" t="s">
        <v>2097</v>
      </c>
      <c r="G306" s="295" t="s">
        <v>2098</v>
      </c>
    </row>
    <row r="307" spans="6:7" ht="13.8" thickBot="1" x14ac:dyDescent="0.3">
      <c r="F307" t="s">
        <v>2099</v>
      </c>
      <c r="G307" s="295" t="s">
        <v>2100</v>
      </c>
    </row>
    <row r="308" spans="6:7" ht="13.8" thickBot="1" x14ac:dyDescent="0.3">
      <c r="F308" t="s">
        <v>2101</v>
      </c>
      <c r="G308" s="295" t="s">
        <v>2102</v>
      </c>
    </row>
    <row r="309" spans="6:7" ht="13.8" thickBot="1" x14ac:dyDescent="0.3">
      <c r="F309" t="s">
        <v>2103</v>
      </c>
      <c r="G309" s="295" t="s">
        <v>2104</v>
      </c>
    </row>
    <row r="310" spans="6:7" ht="13.8" thickBot="1" x14ac:dyDescent="0.3">
      <c r="F310" t="s">
        <v>2105</v>
      </c>
      <c r="G310" s="295" t="s">
        <v>2106</v>
      </c>
    </row>
    <row r="311" spans="6:7" ht="13.8" thickBot="1" x14ac:dyDescent="0.3">
      <c r="F311" t="s">
        <v>2107</v>
      </c>
      <c r="G311" s="295" t="s">
        <v>2108</v>
      </c>
    </row>
    <row r="312" spans="6:7" ht="13.8" thickBot="1" x14ac:dyDescent="0.3">
      <c r="F312" t="s">
        <v>2109</v>
      </c>
      <c r="G312" s="295" t="s">
        <v>2110</v>
      </c>
    </row>
    <row r="313" spans="6:7" ht="13.8" thickBot="1" x14ac:dyDescent="0.3">
      <c r="F313" t="s">
        <v>2111</v>
      </c>
      <c r="G313" s="295" t="s">
        <v>2112</v>
      </c>
    </row>
    <row r="314" spans="6:7" ht="13.8" thickBot="1" x14ac:dyDescent="0.3">
      <c r="F314" t="s">
        <v>2113</v>
      </c>
      <c r="G314" s="295" t="s">
        <v>2114</v>
      </c>
    </row>
    <row r="315" spans="6:7" ht="13.8" thickBot="1" x14ac:dyDescent="0.3">
      <c r="F315" t="s">
        <v>2115</v>
      </c>
      <c r="G315" s="295" t="s">
        <v>2116</v>
      </c>
    </row>
    <row r="316" spans="6:7" ht="13.8" thickBot="1" x14ac:dyDescent="0.3">
      <c r="F316" t="s">
        <v>2117</v>
      </c>
      <c r="G316" s="295" t="s">
        <v>2118</v>
      </c>
    </row>
    <row r="317" spans="6:7" ht="13.8" thickBot="1" x14ac:dyDescent="0.3">
      <c r="F317" t="s">
        <v>2119</v>
      </c>
      <c r="G317" s="295" t="s">
        <v>2120</v>
      </c>
    </row>
    <row r="318" spans="6:7" ht="13.8" thickBot="1" x14ac:dyDescent="0.3">
      <c r="F318" t="s">
        <v>2121</v>
      </c>
      <c r="G318" s="295" t="s">
        <v>2122</v>
      </c>
    </row>
    <row r="319" spans="6:7" ht="13.8" thickBot="1" x14ac:dyDescent="0.3">
      <c r="F319" t="s">
        <v>2123</v>
      </c>
      <c r="G319" s="295" t="s">
        <v>2124</v>
      </c>
    </row>
    <row r="320" spans="6:7" ht="13.8" thickBot="1" x14ac:dyDescent="0.3">
      <c r="F320" t="s">
        <v>2125</v>
      </c>
      <c r="G320" s="295" t="s">
        <v>2126</v>
      </c>
    </row>
    <row r="321" spans="6:7" ht="13.8" thickBot="1" x14ac:dyDescent="0.3">
      <c r="F321" t="s">
        <v>2127</v>
      </c>
      <c r="G321" s="295" t="s">
        <v>2128</v>
      </c>
    </row>
    <row r="322" spans="6:7" ht="13.8" thickBot="1" x14ac:dyDescent="0.3">
      <c r="F322" t="s">
        <v>2129</v>
      </c>
      <c r="G322" s="295" t="s">
        <v>2130</v>
      </c>
    </row>
    <row r="323" spans="6:7" ht="13.8" thickBot="1" x14ac:dyDescent="0.3">
      <c r="F323" t="s">
        <v>2131</v>
      </c>
      <c r="G323" s="295" t="s">
        <v>2132</v>
      </c>
    </row>
    <row r="324" spans="6:7" ht="13.8" thickBot="1" x14ac:dyDescent="0.3">
      <c r="F324" t="s">
        <v>2133</v>
      </c>
      <c r="G324" s="295" t="s">
        <v>2134</v>
      </c>
    </row>
    <row r="325" spans="6:7" ht="13.8" thickBot="1" x14ac:dyDescent="0.3">
      <c r="F325" t="s">
        <v>2135</v>
      </c>
      <c r="G325" s="295" t="s">
        <v>2136</v>
      </c>
    </row>
    <row r="326" spans="6:7" ht="13.8" thickBot="1" x14ac:dyDescent="0.3">
      <c r="F326" t="s">
        <v>2137</v>
      </c>
      <c r="G326" s="295" t="s">
        <v>2138</v>
      </c>
    </row>
    <row r="327" spans="6:7" ht="13.8" thickBot="1" x14ac:dyDescent="0.3">
      <c r="F327" t="s">
        <v>2139</v>
      </c>
      <c r="G327" s="295" t="s">
        <v>2140</v>
      </c>
    </row>
    <row r="328" spans="6:7" ht="13.8" thickBot="1" x14ac:dyDescent="0.3">
      <c r="F328" t="s">
        <v>2141</v>
      </c>
      <c r="G328" s="295" t="s">
        <v>2142</v>
      </c>
    </row>
    <row r="329" spans="6:7" ht="13.8" thickBot="1" x14ac:dyDescent="0.3">
      <c r="F329" t="s">
        <v>2143</v>
      </c>
      <c r="G329" s="295" t="s">
        <v>2144</v>
      </c>
    </row>
    <row r="330" spans="6:7" ht="13.8" thickBot="1" x14ac:dyDescent="0.3">
      <c r="F330" t="s">
        <v>2145</v>
      </c>
      <c r="G330" s="295" t="s">
        <v>2146</v>
      </c>
    </row>
    <row r="331" spans="6:7" ht="13.8" thickBot="1" x14ac:dyDescent="0.3">
      <c r="F331" t="s">
        <v>2147</v>
      </c>
      <c r="G331" s="295" t="s">
        <v>2148</v>
      </c>
    </row>
    <row r="332" spans="6:7" ht="13.8" thickBot="1" x14ac:dyDescent="0.3">
      <c r="F332" t="s">
        <v>2149</v>
      </c>
      <c r="G332" s="295" t="s">
        <v>2150</v>
      </c>
    </row>
    <row r="333" spans="6:7" ht="13.8" thickBot="1" x14ac:dyDescent="0.3">
      <c r="F333" t="s">
        <v>2151</v>
      </c>
      <c r="G333" s="295" t="s">
        <v>1840</v>
      </c>
    </row>
    <row r="334" spans="6:7" ht="13.8" thickBot="1" x14ac:dyDescent="0.3">
      <c r="F334" t="s">
        <v>2152</v>
      </c>
      <c r="G334" s="295" t="s">
        <v>2153</v>
      </c>
    </row>
    <row r="335" spans="6:7" ht="13.8" thickBot="1" x14ac:dyDescent="0.3">
      <c r="F335" t="s">
        <v>2154</v>
      </c>
      <c r="G335" s="295" t="s">
        <v>2155</v>
      </c>
    </row>
    <row r="336" spans="6:7" ht="13.8" thickBot="1" x14ac:dyDescent="0.3">
      <c r="F336" t="s">
        <v>2156</v>
      </c>
      <c r="G336" s="295" t="s">
        <v>2157</v>
      </c>
    </row>
    <row r="337" spans="5:7" ht="13.8" thickBot="1" x14ac:dyDescent="0.3">
      <c r="F337" t="s">
        <v>2158</v>
      </c>
      <c r="G337" s="299" t="s">
        <v>2159</v>
      </c>
    </row>
    <row r="339" spans="5:7" x14ac:dyDescent="0.25">
      <c r="E339" s="210" t="s">
        <v>929</v>
      </c>
    </row>
    <row r="340" spans="5:7" x14ac:dyDescent="0.25">
      <c r="E340" t="s">
        <v>930</v>
      </c>
    </row>
    <row r="341" spans="5:7" x14ac:dyDescent="0.25">
      <c r="E341" t="s">
        <v>2180</v>
      </c>
    </row>
    <row r="342" spans="5:7" x14ac:dyDescent="0.25">
      <c r="E342" t="s">
        <v>2181</v>
      </c>
    </row>
    <row r="343" spans="5:7" x14ac:dyDescent="0.25">
      <c r="E343" t="s">
        <v>2179</v>
      </c>
    </row>
    <row r="344" spans="5:7" x14ac:dyDescent="0.25">
      <c r="E344" t="s">
        <v>231</v>
      </c>
    </row>
    <row r="345" spans="5:7" x14ac:dyDescent="0.25">
      <c r="E345" t="s">
        <v>2176</v>
      </c>
    </row>
    <row r="346" spans="5:7" x14ac:dyDescent="0.25">
      <c r="E346" s="223" t="s">
        <v>2189</v>
      </c>
    </row>
    <row r="347" spans="5:7" x14ac:dyDescent="0.25">
      <c r="E347" t="s">
        <v>2177</v>
      </c>
    </row>
    <row r="348" spans="5:7" x14ac:dyDescent="0.25">
      <c r="E348" s="223" t="s">
        <v>2192</v>
      </c>
    </row>
    <row r="349" spans="5:7" x14ac:dyDescent="0.25">
      <c r="E349" t="s">
        <v>2191</v>
      </c>
    </row>
    <row r="350" spans="5:7" x14ac:dyDescent="0.25">
      <c r="E350" t="s">
        <v>379</v>
      </c>
    </row>
    <row r="351" spans="5:7" x14ac:dyDescent="0.25">
      <c r="E351" t="s">
        <v>2190</v>
      </c>
    </row>
    <row r="352" spans="5:7" x14ac:dyDescent="0.25">
      <c r="E352" t="s">
        <v>2178</v>
      </c>
    </row>
    <row r="353" spans="2:5" x14ac:dyDescent="0.25">
      <c r="E353" t="s">
        <v>2182</v>
      </c>
    </row>
    <row r="354" spans="2:5" x14ac:dyDescent="0.25">
      <c r="E354" t="s">
        <v>2173</v>
      </c>
    </row>
    <row r="355" spans="2:5" x14ac:dyDescent="0.25">
      <c r="E355" t="s">
        <v>2175</v>
      </c>
    </row>
    <row r="356" spans="2:5" x14ac:dyDescent="0.25">
      <c r="E356" t="s">
        <v>2174</v>
      </c>
    </row>
    <row r="357" spans="2:5" x14ac:dyDescent="0.25">
      <c r="E357" t="s">
        <v>232</v>
      </c>
    </row>
    <row r="358" spans="2:5" x14ac:dyDescent="0.25">
      <c r="E358" t="s">
        <v>931</v>
      </c>
    </row>
    <row r="359" spans="2:5" x14ac:dyDescent="0.25">
      <c r="E359" t="s">
        <v>928</v>
      </c>
    </row>
    <row r="360" spans="2:5" x14ac:dyDescent="0.25">
      <c r="E360" t="s">
        <v>932</v>
      </c>
    </row>
    <row r="361" spans="2:5" x14ac:dyDescent="0.25">
      <c r="E361" t="s">
        <v>2194</v>
      </c>
    </row>
    <row r="362" spans="2:5" x14ac:dyDescent="0.25">
      <c r="E362" t="s">
        <v>2169</v>
      </c>
    </row>
    <row r="367" spans="2:5" x14ac:dyDescent="0.25">
      <c r="B367" s="210" t="s">
        <v>921</v>
      </c>
    </row>
    <row r="368" spans="2:5" x14ac:dyDescent="0.25">
      <c r="B368" s="244" t="s">
        <v>1094</v>
      </c>
    </row>
    <row r="369" spans="2:5" x14ac:dyDescent="0.25">
      <c r="B369" s="205" t="s">
        <v>919</v>
      </c>
    </row>
    <row r="370" spans="2:5" x14ac:dyDescent="0.25">
      <c r="B370" s="244" t="s">
        <v>516</v>
      </c>
    </row>
    <row r="371" spans="2:5" x14ac:dyDescent="0.25">
      <c r="B371" s="244" t="s">
        <v>1098</v>
      </c>
    </row>
    <row r="372" spans="2:5" x14ac:dyDescent="0.25">
      <c r="B372" s="244" t="s">
        <v>1097</v>
      </c>
    </row>
    <row r="373" spans="2:5" x14ac:dyDescent="0.25">
      <c r="B373" s="244" t="s">
        <v>1043</v>
      </c>
    </row>
    <row r="374" spans="2:5" x14ac:dyDescent="0.25">
      <c r="B374" s="205" t="s">
        <v>920</v>
      </c>
    </row>
    <row r="375" spans="2:5" x14ac:dyDescent="0.25">
      <c r="B375" s="244" t="s">
        <v>2185</v>
      </c>
    </row>
    <row r="376" spans="2:5" x14ac:dyDescent="0.25">
      <c r="B376" s="244" t="s">
        <v>2164</v>
      </c>
    </row>
    <row r="378" spans="2:5" ht="13.8" thickBot="1" x14ac:dyDescent="0.3">
      <c r="E378" s="210" t="s">
        <v>2195</v>
      </c>
    </row>
    <row r="379" spans="2:5" x14ac:dyDescent="0.25">
      <c r="E379" s="301" t="s">
        <v>2205</v>
      </c>
    </row>
    <row r="380" spans="2:5" ht="13.8" thickBot="1" x14ac:dyDescent="0.3">
      <c r="E380" t="s">
        <v>2220</v>
      </c>
    </row>
    <row r="381" spans="2:5" x14ac:dyDescent="0.25">
      <c r="E381" s="301" t="s">
        <v>2200</v>
      </c>
    </row>
    <row r="382" spans="2:5" x14ac:dyDescent="0.25">
      <c r="E382" t="s">
        <v>2208</v>
      </c>
    </row>
    <row r="383" spans="2:5" x14ac:dyDescent="0.25">
      <c r="E383" s="302" t="s">
        <v>2206</v>
      </c>
    </row>
    <row r="384" spans="2:5" ht="13.8" thickBot="1" x14ac:dyDescent="0.3">
      <c r="E384" s="244" t="s">
        <v>2211</v>
      </c>
    </row>
    <row r="385" spans="5:5" x14ac:dyDescent="0.25">
      <c r="E385" s="301" t="s">
        <v>2213</v>
      </c>
    </row>
    <row r="386" spans="5:5" ht="13.8" thickBot="1" x14ac:dyDescent="0.3">
      <c r="E386" t="s">
        <v>2214</v>
      </c>
    </row>
    <row r="387" spans="5:5" x14ac:dyDescent="0.25">
      <c r="E387" s="303" t="s">
        <v>2212</v>
      </c>
    </row>
    <row r="388" spans="5:5" ht="13.8" thickBot="1" x14ac:dyDescent="0.3">
      <c r="E388" s="302" t="s">
        <v>2209</v>
      </c>
    </row>
    <row r="389" spans="5:5" x14ac:dyDescent="0.25">
      <c r="E389" s="301" t="s">
        <v>2197</v>
      </c>
    </row>
    <row r="390" spans="5:5" ht="13.8" thickBot="1" x14ac:dyDescent="0.3">
      <c r="E390" s="302" t="s">
        <v>2198</v>
      </c>
    </row>
    <row r="391" spans="5:5" x14ac:dyDescent="0.25">
      <c r="E391" s="301" t="s">
        <v>2203</v>
      </c>
    </row>
    <row r="392" spans="5:5" x14ac:dyDescent="0.25">
      <c r="E392" s="304" t="s">
        <v>2223</v>
      </c>
    </row>
    <row r="393" spans="5:5" ht="13.8" thickBot="1" x14ac:dyDescent="0.3">
      <c r="E393" s="302" t="s">
        <v>2204</v>
      </c>
    </row>
    <row r="394" spans="5:5" x14ac:dyDescent="0.25">
      <c r="E394" s="305" t="s">
        <v>2219</v>
      </c>
    </row>
    <row r="395" spans="5:5" x14ac:dyDescent="0.25">
      <c r="E395" t="s">
        <v>2217</v>
      </c>
    </row>
    <row r="396" spans="5:5" x14ac:dyDescent="0.25">
      <c r="E396" t="s">
        <v>2199</v>
      </c>
    </row>
    <row r="397" spans="5:5" x14ac:dyDescent="0.25">
      <c r="E397" t="s">
        <v>2199</v>
      </c>
    </row>
    <row r="398" spans="5:5" x14ac:dyDescent="0.25">
      <c r="E398" s="302" t="s">
        <v>2201</v>
      </c>
    </row>
    <row r="399" spans="5:5" x14ac:dyDescent="0.25">
      <c r="E399" s="304" t="s">
        <v>2226</v>
      </c>
    </row>
    <row r="400" spans="5:5" x14ac:dyDescent="0.25">
      <c r="E400" s="302" t="s">
        <v>2227</v>
      </c>
    </row>
    <row r="401" spans="5:5" x14ac:dyDescent="0.25">
      <c r="E401" t="s">
        <v>2222</v>
      </c>
    </row>
    <row r="402" spans="5:5" x14ac:dyDescent="0.25">
      <c r="E402" t="s">
        <v>2221</v>
      </c>
    </row>
    <row r="403" spans="5:5" x14ac:dyDescent="0.25">
      <c r="E403" t="s">
        <v>2216</v>
      </c>
    </row>
    <row r="404" spans="5:5" x14ac:dyDescent="0.25">
      <c r="E404" t="s">
        <v>2207</v>
      </c>
    </row>
    <row r="405" spans="5:5" x14ac:dyDescent="0.25">
      <c r="E405" s="244" t="s">
        <v>2225</v>
      </c>
    </row>
    <row r="406" spans="5:5" x14ac:dyDescent="0.25">
      <c r="E406" s="304" t="s">
        <v>2224</v>
      </c>
    </row>
    <row r="407" spans="5:5" x14ac:dyDescent="0.25">
      <c r="E407" s="244" t="s">
        <v>2210</v>
      </c>
    </row>
    <row r="408" spans="5:5" x14ac:dyDescent="0.25">
      <c r="E408" t="s">
        <v>2202</v>
      </c>
    </row>
    <row r="409" spans="5:5" x14ac:dyDescent="0.25">
      <c r="E409" t="s">
        <v>2218</v>
      </c>
    </row>
    <row r="410" spans="5:5" x14ac:dyDescent="0.25">
      <c r="E410" s="302" t="s">
        <v>2196</v>
      </c>
    </row>
    <row r="411" spans="5:5" x14ac:dyDescent="0.25">
      <c r="E411" t="s">
        <v>2215</v>
      </c>
    </row>
    <row r="412" spans="5:5" x14ac:dyDescent="0.25">
      <c r="E412" t="s">
        <v>2193</v>
      </c>
    </row>
    <row r="413" spans="5:5" x14ac:dyDescent="0.25">
      <c r="E413"/>
    </row>
    <row r="414" spans="5:5" x14ac:dyDescent="0.25">
      <c r="E414"/>
    </row>
    <row r="415" spans="5:5" x14ac:dyDescent="0.25">
      <c r="E415"/>
    </row>
    <row r="416" spans="5:5" x14ac:dyDescent="0.25">
      <c r="E416"/>
    </row>
    <row r="417" spans="5:5" x14ac:dyDescent="0.25">
      <c r="E417"/>
    </row>
    <row r="418" spans="5:5" x14ac:dyDescent="0.25">
      <c r="E418"/>
    </row>
    <row r="419" spans="5:5" x14ac:dyDescent="0.25">
      <c r="E419"/>
    </row>
    <row r="420" spans="5:5" x14ac:dyDescent="0.25">
      <c r="E420"/>
    </row>
  </sheetData>
  <mergeCells count="3">
    <mergeCell ref="B58:D58"/>
    <mergeCell ref="F57:H57"/>
    <mergeCell ref="B66:C66"/>
  </mergeCells>
  <phoneticPr fontId="0" type="noConversion"/>
  <dataValidations count="1">
    <dataValidation type="list" allowBlank="1" showInputMessage="1" showErrorMessage="1" promptTitle="Title" sqref="A31:A38">
      <formula1>$A$31:$A$38</formula1>
    </dataValidation>
  </dataValidations>
  <pageMargins left="0.75" right="0.75" top="1" bottom="1" header="0.5" footer="0.5"/>
  <pageSetup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
  <sheetViews>
    <sheetView topLeftCell="B88" workbookViewId="0">
      <selection activeCell="C11" sqref="C11"/>
    </sheetView>
  </sheetViews>
  <sheetFormatPr defaultRowHeight="20.25" customHeight="1" x14ac:dyDescent="0.25"/>
  <cols>
    <col min="1" max="1" width="28.44140625" style="187" customWidth="1"/>
    <col min="2" max="2" width="41.44140625" style="187" customWidth="1"/>
    <col min="3" max="3" width="72" style="187" customWidth="1"/>
    <col min="4" max="4" width="22.6640625" style="201" customWidth="1"/>
    <col min="5" max="5" width="15" style="187" customWidth="1"/>
    <col min="6" max="6" width="19.44140625" style="187" customWidth="1"/>
    <col min="7" max="16384" width="8.88671875" style="187"/>
  </cols>
  <sheetData>
    <row r="1" spans="1:3" ht="20.25" customHeight="1" x14ac:dyDescent="0.25">
      <c r="A1" s="194" t="s">
        <v>391</v>
      </c>
      <c r="B1" s="194" t="s">
        <v>398</v>
      </c>
      <c r="C1" s="187" t="s">
        <v>253</v>
      </c>
    </row>
    <row r="2" spans="1:3" ht="20.25" customHeight="1" x14ac:dyDescent="0.25">
      <c r="A2" s="187" t="s">
        <v>392</v>
      </c>
      <c r="B2" s="201" t="s">
        <v>907</v>
      </c>
      <c r="C2" s="187" t="s">
        <v>310</v>
      </c>
    </row>
    <row r="3" spans="1:3" ht="20.25" customHeight="1" x14ac:dyDescent="0.25">
      <c r="A3" s="187" t="s">
        <v>393</v>
      </c>
      <c r="B3" s="201" t="s">
        <v>908</v>
      </c>
      <c r="C3" s="187" t="s">
        <v>311</v>
      </c>
    </row>
    <row r="4" spans="1:3" ht="20.25" customHeight="1" x14ac:dyDescent="0.25">
      <c r="B4" s="201" t="s">
        <v>402</v>
      </c>
      <c r="C4" s="187" t="s">
        <v>431</v>
      </c>
    </row>
    <row r="5" spans="1:3" ht="20.25" customHeight="1" x14ac:dyDescent="0.25">
      <c r="A5" s="187" t="s">
        <v>352</v>
      </c>
      <c r="B5" s="201" t="s">
        <v>909</v>
      </c>
      <c r="C5" s="187" t="s">
        <v>273</v>
      </c>
    </row>
    <row r="6" spans="1:3" ht="20.25" customHeight="1" x14ac:dyDescent="0.25">
      <c r="A6" s="202">
        <v>38534</v>
      </c>
      <c r="B6" s="201" t="s">
        <v>400</v>
      </c>
      <c r="C6" s="187" t="s">
        <v>359</v>
      </c>
    </row>
    <row r="7" spans="1:3" ht="20.25" customHeight="1" x14ac:dyDescent="0.25">
      <c r="A7" s="202" t="s">
        <v>387</v>
      </c>
      <c r="B7" s="201" t="s">
        <v>910</v>
      </c>
      <c r="C7" s="187" t="s">
        <v>192</v>
      </c>
    </row>
    <row r="8" spans="1:3" ht="20.25" customHeight="1" x14ac:dyDescent="0.25">
      <c r="B8" s="201" t="s">
        <v>399</v>
      </c>
      <c r="C8" s="187" t="s">
        <v>274</v>
      </c>
    </row>
    <row r="9" spans="1:3" ht="20.25" customHeight="1" x14ac:dyDescent="0.25">
      <c r="B9" s="201" t="s">
        <v>401</v>
      </c>
      <c r="C9" s="187" t="s">
        <v>272</v>
      </c>
    </row>
    <row r="10" spans="1:3" ht="20.25" customHeight="1" x14ac:dyDescent="0.25">
      <c r="B10" s="201" t="s">
        <v>397</v>
      </c>
      <c r="C10" s="187" t="s">
        <v>193</v>
      </c>
    </row>
    <row r="11" spans="1:3" ht="20.25" customHeight="1" x14ac:dyDescent="0.25">
      <c r="B11" s="201" t="s">
        <v>396</v>
      </c>
      <c r="C11" s="187" t="s">
        <v>275</v>
      </c>
    </row>
    <row r="12" spans="1:3" ht="20.25" customHeight="1" x14ac:dyDescent="0.25">
      <c r="B12" s="201" t="s">
        <v>480</v>
      </c>
      <c r="C12" s="187" t="s">
        <v>194</v>
      </c>
    </row>
    <row r="13" spans="1:3" ht="20.25" customHeight="1" x14ac:dyDescent="0.25">
      <c r="B13" s="203"/>
      <c r="C13" s="187" t="s">
        <v>195</v>
      </c>
    </row>
    <row r="14" spans="1:3" ht="20.25" customHeight="1" x14ac:dyDescent="0.25">
      <c r="A14" s="195" t="s">
        <v>376</v>
      </c>
      <c r="B14" s="196" t="s">
        <v>378</v>
      </c>
      <c r="C14" s="187" t="s">
        <v>191</v>
      </c>
    </row>
    <row r="15" spans="1:3" ht="20.25" customHeight="1" x14ac:dyDescent="0.3">
      <c r="A15" s="204" t="s">
        <v>320</v>
      </c>
      <c r="B15" s="197" t="s">
        <v>234</v>
      </c>
      <c r="C15" s="187" t="s">
        <v>190</v>
      </c>
    </row>
    <row r="16" spans="1:3" ht="20.25" customHeight="1" x14ac:dyDescent="0.3">
      <c r="A16" s="204" t="s">
        <v>319</v>
      </c>
      <c r="B16" s="197" t="s">
        <v>231</v>
      </c>
      <c r="C16" s="187" t="s">
        <v>189</v>
      </c>
    </row>
    <row r="17" spans="1:8" ht="20.25" customHeight="1" x14ac:dyDescent="0.3">
      <c r="A17" s="204" t="s">
        <v>435</v>
      </c>
      <c r="B17" s="197" t="s">
        <v>379</v>
      </c>
      <c r="C17" s="187" t="s">
        <v>143</v>
      </c>
    </row>
    <row r="18" spans="1:8" ht="20.25" customHeight="1" x14ac:dyDescent="0.3">
      <c r="A18" s="204" t="s">
        <v>344</v>
      </c>
      <c r="B18" s="197" t="s">
        <v>232</v>
      </c>
    </row>
    <row r="19" spans="1:8" ht="20.25" customHeight="1" x14ac:dyDescent="0.3">
      <c r="A19" s="204" t="s">
        <v>216</v>
      </c>
      <c r="B19" s="197" t="s">
        <v>233</v>
      </c>
    </row>
    <row r="20" spans="1:8" ht="20.25" customHeight="1" x14ac:dyDescent="0.25">
      <c r="A20" s="187" t="str">
        <f>IF(Worksheet!$I$15=3,A16,IF(Worksheet!$I$15&lt;3,"NO",IF(Worksheet!$I$15=4,C2,IF(Worksheet!$I$15=5,C2,IF(Worksheet!$I$15=6,C2,IF(Worksheet!$I$15&gt;=7,"",A17))))))</f>
        <v>NO</v>
      </c>
    </row>
    <row r="21" spans="1:8" ht="20.25" customHeight="1" x14ac:dyDescent="0.3">
      <c r="A21" s="187" t="str">
        <f>IF(Worksheet!$I$15=3,A15,IF(Worksheet!$I$15&lt;3,"YES",IF(Worksheet!$I$15=4,C3,IF(Worksheet!$I$15=5,C3,IF(Worksheet!$I$15=6,C3,IF(Worksheet!$I$15&gt;=7,"",A17))))))</f>
        <v>YES</v>
      </c>
      <c r="B21" s="197" t="s">
        <v>239</v>
      </c>
      <c r="C21" s="187" t="s">
        <v>256</v>
      </c>
      <c r="D21" s="201" t="str">
        <f>IF(Worksheet!I15=1,"",IF(Worksheet!I15&gt;3,"",IF(Worksheet!I15=3,"Fixed Term Appointment",IF(Worksheet!$H$15=4,setup!C25,IF(Worksheet!$H$15=3,setup!C21,IF(Worksheet!$H$15=2,setup!C21,"The First of the allowable 7 one year contracts"))))))</f>
        <v>The First of the allowable 7 one year contracts</v>
      </c>
    </row>
    <row r="22" spans="1:8" ht="20.25" customHeight="1" x14ac:dyDescent="0.3">
      <c r="A22" s="187" t="str">
        <f>IF(Worksheet!$I$15=3,"",IF(Worksheet!$I$15&lt;3,"Chair",IF(Worksheet!$I$15=4,C4,IF(Worksheet!$I$15=5,C4,IF(Worksheet!$I$15=6,C4,IF(Worksheet!$I$15&gt;=7,"",A17))))))</f>
        <v>Chair</v>
      </c>
      <c r="B22" s="197" t="s">
        <v>240</v>
      </c>
      <c r="C22" s="187" t="s">
        <v>257</v>
      </c>
      <c r="D22" s="201" t="str">
        <f>IF(Worksheet!I15=1,"",IF(Worksheet!I15&gt;=3,"",IF(Worksheet!$H$15=4,"",IF(Worksheet!$H$15=3,setup!C22,IF(Worksheet!$H$15=2,setup!C22,"The Second of the allowable 7 one year contracts")))))</f>
        <v>The Second of the allowable 7 one year contracts</v>
      </c>
    </row>
    <row r="23" spans="1:8" ht="20.25" customHeight="1" x14ac:dyDescent="0.3">
      <c r="B23" s="197" t="s">
        <v>241</v>
      </c>
      <c r="C23" s="187" t="s">
        <v>258</v>
      </c>
      <c r="D23" s="201" t="str">
        <f>IF(Worksheet!I15=1,"",IF(Worksheet!I15&gt;=3,"",IF(Worksheet!$H$15=4,"",IF(Worksheet!$H$15=3,C25,IF(Worksheet!$H$15=2,setup!C23,"The Third of the allowable 7 one year contracts")))))</f>
        <v>The Third of the allowable 7 one year contracts</v>
      </c>
    </row>
    <row r="24" spans="1:8" ht="20.25" customHeight="1" x14ac:dyDescent="0.3">
      <c r="B24" s="197" t="s">
        <v>246</v>
      </c>
      <c r="C24" s="187" t="s">
        <v>259</v>
      </c>
      <c r="D24" s="201" t="str">
        <f>IF(Worksheet!I15=1,"",IF(Worksheet!I15&gt;=3,"",IF(Worksheet!$H$15=4,"",IF(Worksheet!$H$15=3,"",IF(Worksheet!$H$15=2,setup!C24,"The Fourth of the allowable 7 one year contracts")))))</f>
        <v>The Fourth of the allowable 7 one year contracts</v>
      </c>
    </row>
    <row r="25" spans="1:8" ht="20.25" customHeight="1" x14ac:dyDescent="0.3">
      <c r="A25" s="187" t="s">
        <v>419</v>
      </c>
      <c r="B25" s="197" t="s">
        <v>242</v>
      </c>
      <c r="C25" s="187" t="s">
        <v>255</v>
      </c>
      <c r="D25" s="201" t="str">
        <f>IF(Worksheet!I15=1,"",IF(Worksheet!I15&gt;=3,"",IF(Worksheet!$H$15=1,"The Fifth of the allowable 7 one year contracts","")))</f>
        <v>The Fifth of the allowable 7 one year contracts</v>
      </c>
    </row>
    <row r="26" spans="1:8" ht="20.25" customHeight="1" x14ac:dyDescent="0.3">
      <c r="A26" s="187" t="s">
        <v>217</v>
      </c>
      <c r="B26" s="197" t="s">
        <v>243</v>
      </c>
      <c r="D26" s="201" t="str">
        <f>IF(Worksheet!I15=1,"",IF(Worksheet!I15&gt;=3,"",IF(Worksheet!$H$15=1,"The Sixth of the allowable 7 one year contracts","")))</f>
        <v>The Sixth of the allowable 7 one year contracts</v>
      </c>
    </row>
    <row r="27" spans="1:8" ht="20.25" customHeight="1" x14ac:dyDescent="0.3">
      <c r="A27" s="187" t="s">
        <v>348</v>
      </c>
      <c r="B27" s="197" t="s">
        <v>244</v>
      </c>
      <c r="D27" s="201" t="str">
        <f>IF(Worksheet!I15=1,"",IF(Worksheet!I15&gt;=3,"",IF(Worksheet!$H$15=1,"The Seventh of the allowable 7 one year contracts","")))</f>
        <v>The Seventh of the allowable 7 one year contracts</v>
      </c>
    </row>
    <row r="28" spans="1:8" ht="20.25" customHeight="1" x14ac:dyDescent="0.3">
      <c r="A28" s="187" t="s">
        <v>420</v>
      </c>
      <c r="B28" s="197" t="s">
        <v>245</v>
      </c>
      <c r="F28" s="187" t="str">
        <f>VLOOKUP(G28,G29:H46,2,FALSE)</f>
        <v>Instructor</v>
      </c>
      <c r="G28" s="194">
        <f>Worksheet!H15</f>
        <v>1</v>
      </c>
    </row>
    <row r="29" spans="1:8" ht="20.25" customHeight="1" x14ac:dyDescent="0.3">
      <c r="A29" s="187" t="s">
        <v>421</v>
      </c>
      <c r="B29" s="197" t="s">
        <v>287</v>
      </c>
      <c r="G29" s="201">
        <v>1</v>
      </c>
      <c r="H29" s="187" t="str">
        <f>C30</f>
        <v>Instructor</v>
      </c>
    </row>
    <row r="30" spans="1:8" ht="20.25" customHeight="1" x14ac:dyDescent="0.3">
      <c r="A30" s="187" t="s">
        <v>422</v>
      </c>
      <c r="B30" s="197" t="s">
        <v>288</v>
      </c>
      <c r="C30" s="187" t="str">
        <f>IF(Worksheet!$I$15=1,B22,IF(Worksheet!$I$15=3,B25,IF(Worksheet!$I$15&gt;=7,"No Rank",B21)))</f>
        <v>Instructor</v>
      </c>
      <c r="G30" s="201">
        <v>2</v>
      </c>
      <c r="H30" s="187" t="str">
        <f t="shared" ref="H30:H45" si="0">C31</f>
        <v>Assistant Professor</v>
      </c>
    </row>
    <row r="31" spans="1:8" ht="20.25" customHeight="1" x14ac:dyDescent="0.3">
      <c r="A31" s="187" t="s">
        <v>423</v>
      </c>
      <c r="B31" s="197" t="s">
        <v>290</v>
      </c>
      <c r="C31" s="187" t="str">
        <f>IF(Worksheet!$I$15=1,B23,IF(Worksheet!$I$15=3,B26,IF(Worksheet!$I$15&gt;=7,"",B22)))</f>
        <v>Assistant Professor</v>
      </c>
      <c r="G31" s="201">
        <v>3</v>
      </c>
      <c r="H31" s="187" t="str">
        <f t="shared" si="0"/>
        <v>Associate Professor</v>
      </c>
    </row>
    <row r="32" spans="1:8" ht="20.25" customHeight="1" x14ac:dyDescent="0.3">
      <c r="A32" s="187" t="s">
        <v>424</v>
      </c>
      <c r="B32" s="197" t="s">
        <v>289</v>
      </c>
      <c r="C32" s="187" t="str">
        <f>IF(Worksheet!$I$15=1,B24,IF(Worksheet!$I$15=3,B27,IF(Worksheet!$I$15&gt;=7,"",B23)))</f>
        <v>Associate Professor</v>
      </c>
      <c r="G32" s="201">
        <v>4</v>
      </c>
      <c r="H32" s="187" t="str">
        <f t="shared" si="0"/>
        <v>Professor</v>
      </c>
    </row>
    <row r="33" spans="1:8" ht="20.25" customHeight="1" x14ac:dyDescent="0.3">
      <c r="A33" s="187" t="s">
        <v>418</v>
      </c>
      <c r="B33" s="197"/>
      <c r="C33" s="187" t="str">
        <f>IF(Worksheet!$I$15=1,"",IF(Worksheet!$I$15=3,B28,IF(Worksheet!$I$15&gt;=7,"",B24)))</f>
        <v>Professor</v>
      </c>
      <c r="G33" s="201">
        <v>5</v>
      </c>
      <c r="H33" s="187" t="str">
        <f t="shared" si="0"/>
        <v/>
      </c>
    </row>
    <row r="34" spans="1:8" ht="20.25" customHeight="1" x14ac:dyDescent="0.3">
      <c r="B34" s="197" t="s">
        <v>249</v>
      </c>
      <c r="C34" s="187" t="str">
        <f>IF(Worksheet!$I$15&lt;3,"",IF(Worksheet!$I$15=3,B29,IF(Worksheet!$I$15&gt;=7,"",B29)))</f>
        <v/>
      </c>
      <c r="G34" s="201">
        <v>6</v>
      </c>
      <c r="H34" s="187" t="str">
        <f t="shared" si="0"/>
        <v/>
      </c>
    </row>
    <row r="35" spans="1:8" ht="20.25" customHeight="1" x14ac:dyDescent="0.3">
      <c r="B35" s="197" t="s">
        <v>250</v>
      </c>
      <c r="C35" s="187" t="str">
        <f>IF(Worksheet!$I$15&lt;3,"",IF(Worksheet!$I$15=3,B30,IF(Worksheet!$I$15&gt;=7,"",B30)))</f>
        <v/>
      </c>
      <c r="G35" s="201">
        <v>7</v>
      </c>
      <c r="H35" s="187" t="str">
        <f t="shared" si="0"/>
        <v/>
      </c>
    </row>
    <row r="36" spans="1:8" ht="20.25" customHeight="1" x14ac:dyDescent="0.3">
      <c r="B36" s="197" t="s">
        <v>251</v>
      </c>
      <c r="C36" s="187" t="str">
        <f>IF(Worksheet!$I$15&lt;3,"",IF(Worksheet!$I$15=3,B31,IF(Worksheet!$I$15&gt;=7,"",B31)))</f>
        <v/>
      </c>
      <c r="G36" s="201">
        <v>8</v>
      </c>
      <c r="H36" s="187" t="str">
        <f t="shared" si="0"/>
        <v/>
      </c>
    </row>
    <row r="37" spans="1:8" ht="20.25" customHeight="1" x14ac:dyDescent="0.3">
      <c r="B37" s="197" t="s">
        <v>469</v>
      </c>
      <c r="C37" s="187" t="str">
        <f>IF(Worksheet!$I$15&lt;3,"",IF(Worksheet!$I$15=3,B32,IF(Worksheet!$I$15&gt;=7,"",B32)))</f>
        <v/>
      </c>
      <c r="G37" s="201">
        <v>9</v>
      </c>
      <c r="H37" s="187" t="str">
        <f t="shared" si="0"/>
        <v/>
      </c>
    </row>
    <row r="38" spans="1:8" ht="20.25" customHeight="1" x14ac:dyDescent="0.3">
      <c r="B38" s="197"/>
      <c r="C38" s="205" t="str">
        <f>IF(Worksheet!$I$15&lt;=2,"",IF(Worksheet!$I$15&gt;=7,"",A25))</f>
        <v/>
      </c>
      <c r="G38" s="201">
        <v>10</v>
      </c>
      <c r="H38" s="187" t="str">
        <f t="shared" si="0"/>
        <v/>
      </c>
    </row>
    <row r="39" spans="1:8" ht="20.25" customHeight="1" x14ac:dyDescent="0.3">
      <c r="B39" s="197" t="s">
        <v>409</v>
      </c>
      <c r="C39" s="205" t="str">
        <f>IF(Worksheet!$I$15&lt;=2,"",IF(Worksheet!$I$15&gt;=7,"",A26))</f>
        <v/>
      </c>
      <c r="G39" s="201">
        <v>11</v>
      </c>
      <c r="H39" s="187" t="str">
        <f t="shared" si="0"/>
        <v/>
      </c>
    </row>
    <row r="40" spans="1:8" ht="20.25" customHeight="1" x14ac:dyDescent="0.3">
      <c r="B40" s="198" t="s">
        <v>407</v>
      </c>
      <c r="C40" s="205" t="str">
        <f>IF(Worksheet!$I$15&lt;=2,"",IF(Worksheet!$I$15&gt;=7,"",A27))</f>
        <v/>
      </c>
      <c r="G40" s="201">
        <v>12</v>
      </c>
      <c r="H40" s="187" t="str">
        <f t="shared" si="0"/>
        <v/>
      </c>
    </row>
    <row r="41" spans="1:8" ht="20.25" customHeight="1" x14ac:dyDescent="0.3">
      <c r="B41" s="197" t="s">
        <v>261</v>
      </c>
      <c r="C41" s="205" t="str">
        <f>IF(Worksheet!$I$15&lt;=2,"",IF(Worksheet!$I$15&gt;=7,"",A28))</f>
        <v/>
      </c>
      <c r="G41" s="201">
        <v>13</v>
      </c>
      <c r="H41" s="187" t="str">
        <f t="shared" si="0"/>
        <v/>
      </c>
    </row>
    <row r="42" spans="1:8" ht="20.25" customHeight="1" x14ac:dyDescent="0.3">
      <c r="B42" s="197" t="s">
        <v>410</v>
      </c>
      <c r="C42" s="205" t="str">
        <f>IF(Worksheet!$I$15&lt;=2,"",IF(Worksheet!$I$15&gt;=7,"",A29))</f>
        <v/>
      </c>
      <c r="G42" s="201">
        <v>14</v>
      </c>
      <c r="H42" s="187" t="str">
        <f t="shared" si="0"/>
        <v/>
      </c>
    </row>
    <row r="43" spans="1:8" ht="20.25" customHeight="1" x14ac:dyDescent="0.3">
      <c r="B43" s="197" t="s">
        <v>408</v>
      </c>
      <c r="C43" s="205" t="str">
        <f>IF(Worksheet!$I$15&lt;=2,"",IF(Worksheet!$I$15&gt;=7,"",A30))</f>
        <v/>
      </c>
      <c r="G43" s="201">
        <v>15</v>
      </c>
      <c r="H43" s="187" t="str">
        <f t="shared" si="0"/>
        <v/>
      </c>
    </row>
    <row r="44" spans="1:8" ht="20.25" customHeight="1" x14ac:dyDescent="0.3">
      <c r="B44" s="197" t="s">
        <v>334</v>
      </c>
      <c r="C44" s="205" t="str">
        <f>IF(Worksheet!$I$15&lt;=2,"",IF(Worksheet!$I$15&gt;=7,"",A31))</f>
        <v/>
      </c>
      <c r="G44" s="201">
        <v>16</v>
      </c>
      <c r="H44" s="187" t="str">
        <f t="shared" si="0"/>
        <v/>
      </c>
    </row>
    <row r="45" spans="1:8" ht="20.25" customHeight="1" x14ac:dyDescent="0.3">
      <c r="B45" s="197" t="s">
        <v>495</v>
      </c>
      <c r="C45" s="205" t="str">
        <f>IF(Worksheet!$I$15&lt;=2,"",IF(Worksheet!$I$15&gt;=7,"",A32))</f>
        <v/>
      </c>
      <c r="G45" s="201">
        <v>17</v>
      </c>
      <c r="H45" s="187" t="str">
        <f t="shared" si="0"/>
        <v/>
      </c>
    </row>
    <row r="46" spans="1:8" ht="20.25" customHeight="1" x14ac:dyDescent="0.3">
      <c r="B46" s="197" t="s">
        <v>411</v>
      </c>
      <c r="C46" s="205" t="str">
        <f>IF(Worksheet!$I$15&lt;=2,"",IF(Worksheet!$I$15&gt;=7,"",A33))</f>
        <v/>
      </c>
    </row>
    <row r="47" spans="1:8" ht="20.25" customHeight="1" x14ac:dyDescent="0.3">
      <c r="B47" s="197" t="s">
        <v>260</v>
      </c>
    </row>
    <row r="48" spans="1:8" ht="20.25" customHeight="1" x14ac:dyDescent="0.3">
      <c r="B48" s="197" t="s">
        <v>496</v>
      </c>
    </row>
    <row r="49" spans="2:6" ht="20.25" customHeight="1" x14ac:dyDescent="0.3">
      <c r="B49" s="197" t="s">
        <v>494</v>
      </c>
      <c r="C49" s="187" t="s">
        <v>387</v>
      </c>
    </row>
    <row r="51" spans="2:6" ht="20.25" customHeight="1" x14ac:dyDescent="0.3">
      <c r="B51" s="197" t="s">
        <v>416</v>
      </c>
      <c r="E51" s="187" t="s">
        <v>223</v>
      </c>
      <c r="F51" s="187" t="s">
        <v>224</v>
      </c>
    </row>
    <row r="52" spans="2:6" ht="20.25" customHeight="1" x14ac:dyDescent="0.3">
      <c r="B52" s="197" t="s">
        <v>425</v>
      </c>
      <c r="C52" s="197" t="s">
        <v>278</v>
      </c>
      <c r="D52" s="201" t="str">
        <f>IF(Worksheet!$I$15=1,"Permanent",IF(Worksheet!$I$15=7,"At Will",IF(Worksheet!$I$15=8,"At Will",IF(Worksheet!$I$15=9,"At Will",setup!C52))))</f>
        <v>9 month Academic Year Appointment</v>
      </c>
      <c r="E52" s="206">
        <v>38575</v>
      </c>
    </row>
    <row r="53" spans="2:6" ht="20.25" customHeight="1" x14ac:dyDescent="0.3">
      <c r="B53" s="197" t="s">
        <v>426</v>
      </c>
      <c r="C53" s="197" t="s">
        <v>292</v>
      </c>
      <c r="D53" s="201" t="str">
        <f>IF(Worksheet!$I$15=1,"",IF(Worksheet!$I$15=7,"",IF(Worksheet!$I$15=8,"",IF(Worksheet!$I$15=9,"",IF(Worksheet!$I$15=3,C56,setup!C53)))))</f>
        <v>10-Month Appointment</v>
      </c>
      <c r="E53" s="206">
        <v>38575</v>
      </c>
    </row>
    <row r="54" spans="2:6" ht="20.25" customHeight="1" x14ac:dyDescent="0.3">
      <c r="B54" s="197" t="s">
        <v>469</v>
      </c>
      <c r="C54" s="197" t="s">
        <v>417</v>
      </c>
      <c r="D54" s="201" t="str">
        <f>IF(Worksheet!$I$15=1,"",IF(Worksheet!$I$15=7,"",IF(Worksheet!$I$15=8,"",IF(Worksheet!$I$15=9,"",IF(Worksheet!$I$15=3,C57,setup!C54)))))</f>
        <v>11-Month Appointment</v>
      </c>
      <c r="E54" s="206">
        <v>38575</v>
      </c>
    </row>
    <row r="55" spans="2:6" ht="20.25" customHeight="1" x14ac:dyDescent="0.3">
      <c r="B55" s="197" t="s">
        <v>460</v>
      </c>
      <c r="C55" s="197" t="s">
        <v>321</v>
      </c>
      <c r="D55" s="201" t="str">
        <f>IF(Worksheet!$I$15=1,"",IF(Worksheet!$I$15=7,"",IF(Worksheet!$I$15=8,"",IF(Worksheet!$I$15=9,"",IF(Worksheet!$I$15=3,C58,setup!C55)))))</f>
        <v>Fiscal 12-Month Appointment</v>
      </c>
      <c r="E55" s="206" t="s">
        <v>226</v>
      </c>
    </row>
    <row r="56" spans="2:6" ht="20.25" customHeight="1" x14ac:dyDescent="0.3">
      <c r="C56" s="197" t="s">
        <v>250</v>
      </c>
      <c r="D56" s="201" t="str">
        <f>IF(Worksheet!$I$15=1,"",IF(Worksheet!$I$15=2,"",IF(Worksheet!$I$15=7,"",IF(Worksheet!$I$15=8,"",IF(Worksheet!$I$15=9,"",IF(Worksheet!$I$15=3,"",C56))))))</f>
        <v/>
      </c>
      <c r="E56" s="206">
        <v>38579</v>
      </c>
    </row>
    <row r="57" spans="2:6" ht="20.25" customHeight="1" x14ac:dyDescent="0.3">
      <c r="B57" s="197" t="s">
        <v>476</v>
      </c>
      <c r="C57" s="197" t="s">
        <v>251</v>
      </c>
      <c r="D57" s="201" t="str">
        <f>IF(Worksheet!$I$15=1,"",IF(Worksheet!$I$15=2,"",IF(Worksheet!$I$15=7,"",IF(Worksheet!$I$15=8,"",IF(Worksheet!$I$15=9,"",IF(Worksheet!$I$15=3,"",C57))))))</f>
        <v/>
      </c>
      <c r="E57" s="206" t="s">
        <v>225</v>
      </c>
    </row>
    <row r="58" spans="2:6" ht="20.25" customHeight="1" x14ac:dyDescent="0.3">
      <c r="B58" s="197" t="s">
        <v>455</v>
      </c>
      <c r="C58" s="197" t="s">
        <v>469</v>
      </c>
      <c r="D58" s="201" t="str">
        <f>IF(Worksheet!$I$15=1,"",IF(Worksheet!$I$15=2,"",IF(Worksheet!$I$15=7,"",IF(Worksheet!$I$15=8,"",IF(Worksheet!$I$15=9,"",IF(Worksheet!$I$15=3,"",C58))))))</f>
        <v/>
      </c>
      <c r="E58" s="206" t="s">
        <v>387</v>
      </c>
    </row>
    <row r="59" spans="2:6" ht="20.25" customHeight="1" x14ac:dyDescent="0.3">
      <c r="B59" s="197" t="s">
        <v>471</v>
      </c>
      <c r="D59" s="201" t="str">
        <f>IF(Worksheet!$I$15=4,"At Will",IF(Worksheet!$I$15=5,"At Will",IF(Worksheet!$I$15=6,"At Will",IF(Worksheet!I15&gt;=10,"",""))))</f>
        <v/>
      </c>
    </row>
    <row r="60" spans="2:6" ht="20.25" customHeight="1" x14ac:dyDescent="0.3">
      <c r="B60" s="197" t="s">
        <v>472</v>
      </c>
      <c r="C60" s="197" t="s">
        <v>387</v>
      </c>
      <c r="D60" s="201" t="s">
        <v>387</v>
      </c>
    </row>
    <row r="61" spans="2:6" ht="20.25" customHeight="1" x14ac:dyDescent="0.3">
      <c r="B61" s="197" t="s">
        <v>473</v>
      </c>
      <c r="C61" s="187" t="s">
        <v>433</v>
      </c>
      <c r="D61" s="201" t="s">
        <v>387</v>
      </c>
    </row>
    <row r="62" spans="2:6" ht="20.25" customHeight="1" x14ac:dyDescent="0.3">
      <c r="B62" s="197" t="s">
        <v>474</v>
      </c>
    </row>
    <row r="63" spans="2:6" ht="20.25" customHeight="1" x14ac:dyDescent="0.3">
      <c r="B63" s="197" t="s">
        <v>475</v>
      </c>
    </row>
    <row r="64" spans="2:6" ht="20.25" customHeight="1" x14ac:dyDescent="0.3">
      <c r="B64" s="197" t="s">
        <v>465</v>
      </c>
    </row>
    <row r="65" spans="2:3" ht="20.25" customHeight="1" x14ac:dyDescent="0.3">
      <c r="C65" s="197" t="s">
        <v>276</v>
      </c>
    </row>
    <row r="66" spans="2:3" ht="20.25" customHeight="1" x14ac:dyDescent="0.3">
      <c r="B66" s="197" t="s">
        <v>461</v>
      </c>
      <c r="C66" s="197" t="s">
        <v>277</v>
      </c>
    </row>
    <row r="67" spans="2:3" ht="20.25" customHeight="1" x14ac:dyDescent="0.3">
      <c r="B67" s="201">
        <v>270</v>
      </c>
      <c r="C67" s="197" t="s">
        <v>434</v>
      </c>
    </row>
    <row r="69" spans="2:3" ht="20.25" customHeight="1" x14ac:dyDescent="0.25">
      <c r="B69" s="187" t="s">
        <v>246</v>
      </c>
    </row>
    <row r="70" spans="2:3" ht="20.25" customHeight="1" x14ac:dyDescent="0.25">
      <c r="B70" s="187" t="s">
        <v>241</v>
      </c>
    </row>
    <row r="71" spans="2:3" ht="20.25" customHeight="1" x14ac:dyDescent="0.25">
      <c r="B71" s="187" t="s">
        <v>240</v>
      </c>
    </row>
    <row r="72" spans="2:3" ht="20.25" customHeight="1" x14ac:dyDescent="0.25">
      <c r="B72" s="187" t="s">
        <v>239</v>
      </c>
    </row>
    <row r="73" spans="2:3" ht="20.25" customHeight="1" x14ac:dyDescent="0.25">
      <c r="B73" s="187" t="s">
        <v>466</v>
      </c>
    </row>
    <row r="74" spans="2:3" ht="20.25" customHeight="1" x14ac:dyDescent="0.25">
      <c r="B74" s="187" t="s">
        <v>467</v>
      </c>
    </row>
    <row r="75" spans="2:3" ht="20.25" customHeight="1" x14ac:dyDescent="0.25">
      <c r="B75" s="187" t="s">
        <v>468</v>
      </c>
    </row>
    <row r="76" spans="2:3" ht="20.25" customHeight="1" x14ac:dyDescent="0.25">
      <c r="B76" s="187" t="s">
        <v>436</v>
      </c>
    </row>
    <row r="77" spans="2:3" ht="20.25" customHeight="1" x14ac:dyDescent="0.25">
      <c r="B77" s="187" t="s">
        <v>437</v>
      </c>
    </row>
    <row r="78" spans="2:3" ht="20.25" customHeight="1" x14ac:dyDescent="0.25">
      <c r="B78" s="187" t="s">
        <v>438</v>
      </c>
    </row>
    <row r="79" spans="2:3" ht="20.25" customHeight="1" x14ac:dyDescent="0.25">
      <c r="B79" s="187" t="s">
        <v>439</v>
      </c>
    </row>
    <row r="80" spans="2:3" ht="20.25" customHeight="1" x14ac:dyDescent="0.25">
      <c r="B80" s="187" t="s">
        <v>297</v>
      </c>
    </row>
    <row r="81" spans="2:2" ht="20.25" customHeight="1" x14ac:dyDescent="0.25">
      <c r="B81" s="187" t="s">
        <v>252</v>
      </c>
    </row>
    <row r="82" spans="2:2" ht="20.25" customHeight="1" x14ac:dyDescent="0.25">
      <c r="B82" s="187" t="s">
        <v>325</v>
      </c>
    </row>
    <row r="83" spans="2:2" ht="20.25" customHeight="1" thickBot="1" x14ac:dyDescent="0.3">
      <c r="B83" s="207" t="s">
        <v>373</v>
      </c>
    </row>
    <row r="84" spans="2:2" ht="20.25" customHeight="1" thickBot="1" x14ac:dyDescent="0.3">
      <c r="B84" s="207" t="s">
        <v>374</v>
      </c>
    </row>
    <row r="85" spans="2:2" ht="20.25" customHeight="1" x14ac:dyDescent="0.25">
      <c r="B85" s="187" t="s">
        <v>326</v>
      </c>
    </row>
    <row r="86" spans="2:2" ht="20.25" customHeight="1" thickBot="1" x14ac:dyDescent="0.3">
      <c r="B86" s="199" t="s">
        <v>329</v>
      </c>
    </row>
    <row r="87" spans="2:2" ht="20.25" customHeight="1" thickBot="1" x14ac:dyDescent="0.3">
      <c r="B87" s="207" t="s">
        <v>331</v>
      </c>
    </row>
    <row r="88" spans="2:2" ht="20.25" customHeight="1" thickBot="1" x14ac:dyDescent="0.3">
      <c r="B88" s="207" t="s">
        <v>333</v>
      </c>
    </row>
    <row r="89" spans="2:2" ht="20.25" customHeight="1" thickBot="1" x14ac:dyDescent="0.3">
      <c r="B89" s="207" t="s">
        <v>196</v>
      </c>
    </row>
    <row r="90" spans="2:2" ht="20.25" customHeight="1" thickBot="1" x14ac:dyDescent="0.3">
      <c r="B90" s="207" t="s">
        <v>335</v>
      </c>
    </row>
    <row r="91" spans="2:2" ht="20.25" customHeight="1" thickBot="1" x14ac:dyDescent="0.3">
      <c r="B91" s="207" t="s">
        <v>336</v>
      </c>
    </row>
    <row r="92" spans="2:2" ht="20.25" customHeight="1" thickBot="1" x14ac:dyDescent="0.3">
      <c r="B92" s="207" t="s">
        <v>341</v>
      </c>
    </row>
    <row r="93" spans="2:2" ht="20.25" customHeight="1" thickBot="1" x14ac:dyDescent="0.3">
      <c r="B93" s="207" t="s">
        <v>342</v>
      </c>
    </row>
    <row r="94" spans="2:2" ht="20.25" customHeight="1" thickBot="1" x14ac:dyDescent="0.3">
      <c r="B94" s="207" t="s">
        <v>343</v>
      </c>
    </row>
    <row r="95" spans="2:2" ht="20.25" customHeight="1" thickBot="1" x14ac:dyDescent="0.3">
      <c r="B95" s="207" t="s">
        <v>365</v>
      </c>
    </row>
    <row r="96" spans="2:2" ht="20.25" customHeight="1" thickBot="1" x14ac:dyDescent="0.3">
      <c r="B96" s="207" t="s">
        <v>366</v>
      </c>
    </row>
    <row r="97" spans="2:2" ht="20.25" customHeight="1" thickBot="1" x14ac:dyDescent="0.3">
      <c r="B97" s="207" t="s">
        <v>357</v>
      </c>
    </row>
    <row r="98" spans="2:2" ht="20.25" customHeight="1" thickBot="1" x14ac:dyDescent="0.3">
      <c r="B98" s="207" t="s">
        <v>358</v>
      </c>
    </row>
    <row r="99" spans="2:2" ht="20.25" customHeight="1" thickBot="1" x14ac:dyDescent="0.3">
      <c r="B99" s="207" t="s">
        <v>367</v>
      </c>
    </row>
    <row r="100" spans="2:2" ht="20.25" customHeight="1" thickBot="1" x14ac:dyDescent="0.3">
      <c r="B100" s="207" t="s">
        <v>371</v>
      </c>
    </row>
    <row r="101" spans="2:2" ht="20.25" customHeight="1" thickBot="1" x14ac:dyDescent="0.3">
      <c r="B101" s="207" t="s">
        <v>370</v>
      </c>
    </row>
    <row r="102" spans="2:2" ht="20.25" customHeight="1" thickBot="1" x14ac:dyDescent="0.3">
      <c r="B102" s="207" t="s">
        <v>375</v>
      </c>
    </row>
    <row r="103" spans="2:2" ht="20.25" customHeight="1" thickBot="1" x14ac:dyDescent="0.3">
      <c r="B103" s="207" t="s">
        <v>360</v>
      </c>
    </row>
    <row r="104" spans="2:2" ht="20.25" customHeight="1" thickBot="1" x14ac:dyDescent="0.3">
      <c r="B104" s="207" t="s">
        <v>361</v>
      </c>
    </row>
    <row r="105" spans="2:2" ht="20.25" customHeight="1" thickBot="1" x14ac:dyDescent="0.3">
      <c r="B105" s="207" t="s">
        <v>340</v>
      </c>
    </row>
    <row r="106" spans="2:2" ht="20.25" customHeight="1" thickBot="1" x14ac:dyDescent="0.3">
      <c r="B106" s="207" t="s">
        <v>327</v>
      </c>
    </row>
    <row r="107" spans="2:2" ht="20.25" customHeight="1" thickBot="1" x14ac:dyDescent="0.3">
      <c r="B107" s="207" t="s">
        <v>362</v>
      </c>
    </row>
    <row r="108" spans="2:2" ht="20.25" customHeight="1" thickBot="1" x14ac:dyDescent="0.3">
      <c r="B108" s="207" t="s">
        <v>354</v>
      </c>
    </row>
    <row r="109" spans="2:2" ht="20.25" customHeight="1" thickBot="1" x14ac:dyDescent="0.3">
      <c r="B109" s="207" t="s">
        <v>363</v>
      </c>
    </row>
    <row r="110" spans="2:2" ht="20.25" customHeight="1" thickBot="1" x14ac:dyDescent="0.3">
      <c r="B110" s="207" t="s">
        <v>355</v>
      </c>
    </row>
    <row r="111" spans="2:2" ht="20.25" customHeight="1" thickBot="1" x14ac:dyDescent="0.3">
      <c r="B111" s="207" t="s">
        <v>372</v>
      </c>
    </row>
    <row r="112" spans="2:2" ht="20.25" customHeight="1" thickBot="1" x14ac:dyDescent="0.3">
      <c r="B112" s="207" t="s">
        <v>364</v>
      </c>
    </row>
    <row r="113" spans="2:2" ht="20.25" customHeight="1" thickBot="1" x14ac:dyDescent="0.3">
      <c r="B113" s="207" t="s">
        <v>230</v>
      </c>
    </row>
    <row r="114" spans="2:2" ht="20.25" customHeight="1" thickBot="1" x14ac:dyDescent="0.3">
      <c r="B114" s="207" t="s">
        <v>328</v>
      </c>
    </row>
    <row r="115" spans="2:2" ht="20.25" customHeight="1" thickBot="1" x14ac:dyDescent="0.3">
      <c r="B115" s="207" t="s">
        <v>339</v>
      </c>
    </row>
    <row r="116" spans="2:2" ht="20.25" customHeight="1" thickBot="1" x14ac:dyDescent="0.3">
      <c r="B116" s="207" t="s">
        <v>338</v>
      </c>
    </row>
    <row r="117" spans="2:2" ht="20.25" customHeight="1" thickBot="1" x14ac:dyDescent="0.3">
      <c r="B117" s="207" t="s">
        <v>356</v>
      </c>
    </row>
    <row r="118" spans="2:2" ht="20.25" customHeight="1" thickBot="1" x14ac:dyDescent="0.3">
      <c r="B118" s="207" t="s">
        <v>337</v>
      </c>
    </row>
    <row r="119" spans="2:2" ht="20.25" customHeight="1" thickBot="1" x14ac:dyDescent="0.3">
      <c r="B119" s="207" t="s">
        <v>353</v>
      </c>
    </row>
    <row r="120" spans="2:2" ht="20.25" customHeight="1" thickBot="1" x14ac:dyDescent="0.3">
      <c r="B120" s="207" t="s">
        <v>330</v>
      </c>
    </row>
    <row r="121" spans="2:2" ht="20.25" customHeight="1" thickBot="1" x14ac:dyDescent="0.3">
      <c r="B121" s="207" t="s">
        <v>332</v>
      </c>
    </row>
    <row r="122" spans="2:2" ht="20.25" customHeight="1" thickBot="1" x14ac:dyDescent="0.3">
      <c r="B122" s="207" t="s">
        <v>368</v>
      </c>
    </row>
    <row r="123" spans="2:2" ht="20.25" customHeight="1" thickBot="1" x14ac:dyDescent="0.3">
      <c r="B123" s="207" t="s">
        <v>369</v>
      </c>
    </row>
    <row r="124" spans="2:2" ht="20.25" customHeight="1" thickBot="1" x14ac:dyDescent="0.3">
      <c r="B124" s="207" t="s">
        <v>262</v>
      </c>
    </row>
    <row r="125" spans="2:2" ht="20.25" customHeight="1" thickBot="1" x14ac:dyDescent="0.3">
      <c r="B125" s="207" t="s">
        <v>263</v>
      </c>
    </row>
    <row r="126" spans="2:2" ht="20.25" customHeight="1" thickBot="1" x14ac:dyDescent="0.3">
      <c r="B126" s="207" t="s">
        <v>264</v>
      </c>
    </row>
    <row r="127" spans="2:2" ht="20.25" customHeight="1" thickBot="1" x14ac:dyDescent="0.3">
      <c r="B127" s="207" t="s">
        <v>265</v>
      </c>
    </row>
    <row r="128" spans="2:2" ht="20.25" customHeight="1" thickBot="1" x14ac:dyDescent="0.3">
      <c r="B128" s="207" t="s">
        <v>266</v>
      </c>
    </row>
    <row r="129" spans="2:2" ht="20.25" customHeight="1" thickBot="1" x14ac:dyDescent="0.3">
      <c r="B129" s="207" t="s">
        <v>267</v>
      </c>
    </row>
    <row r="130" spans="2:2" ht="20.25" customHeight="1" thickBot="1" x14ac:dyDescent="0.3">
      <c r="B130" s="207" t="s">
        <v>268</v>
      </c>
    </row>
    <row r="131" spans="2:2" ht="20.25" customHeight="1" thickBot="1" x14ac:dyDescent="0.3">
      <c r="B131" s="207" t="s">
        <v>269</v>
      </c>
    </row>
    <row r="132" spans="2:2" ht="20.25" customHeight="1" thickBot="1" x14ac:dyDescent="0.3">
      <c r="B132" s="200" t="s">
        <v>460</v>
      </c>
    </row>
  </sheetData>
  <hyperlinks>
    <hyperlink ref="B106" r:id="rId1" tooltip="N.C. Board of Ethics" display="http://www.doa.state.nc.us/ethics"/>
    <hyperlink ref="B114" r:id="rId2" tooltip="Office of Administrative Hearings" display="http://www.oah.state.nc.us/"/>
    <hyperlink ref="B120" r:id="rId3" tooltip="Office of State Auditor" display="http://www.ncauditor.net/"/>
    <hyperlink ref="B87" r:id="rId4" tooltip="Department of Commerce" display="http://www.nccommerce.com/"/>
    <hyperlink ref="B121" r:id="rId5" tooltip="Office of the State Controller" display="http://www.ncosc.net/"/>
    <hyperlink ref="B88" r:id="rId6" tooltip="Department of Correction" display="http://www.doc.state.nc.us/"/>
    <hyperlink ref="B89" r:id="rId7" display="http://www.nccrimecontrol.org/"/>
    <hyperlink ref="B90" r:id="rId8" tooltip="Department of Cultural Resources" display="http://www.ncdcr.gov/"/>
    <hyperlink ref="B91" r:id="rId9" tooltip="Department of Environment and Natural Resources" display="http://www.enr.state.nc.us/"/>
    <hyperlink ref="B118" r:id="rId10" tooltip="Office of the Governor" display="http://www.governor.state.nc.us/"/>
    <hyperlink ref="B116" r:id="rId11" tooltip="Office of Budget and Management" display="http://www.osbm.state.nc.us/osbm/index.html"/>
    <hyperlink ref="B115" r:id="rId12" tooltip="Office of Information Technology Services" display="http://www.its.state.nc.us/"/>
    <hyperlink ref="B105" r:id="rId13" tooltip="Health and Wellness Commission" display="http://www.hwtfc.org/"/>
    <hyperlink ref="B92" r:id="rId14" tooltip="Department of Health and Human Services" display="http://www.dhhs.state.nc.us/"/>
    <hyperlink ref="B93" r:id="rId15" display="http://www.ncdoi.com/"/>
    <hyperlink ref="B94" r:id="rId16" display="http://www.ncdoj.com/"/>
    <hyperlink ref="B95" r:id="rId17" tooltip="Department of Juvenile Justice and Delinquency Prevention" display="http://www.juvjus.state.nc.us/"/>
    <hyperlink ref="B96" r:id="rId18" tooltip="Department of Labor" display="http://www.nclabor.com/"/>
    <hyperlink ref="B119" r:id="rId19" tooltip="Office of the Lieutenant Governor" display="http://www.ltgov.state.nc.us/"/>
    <hyperlink ref="B108" r:id="rId20" tooltip="North Carolina Center for Nursing" display="http://www.nursenc.org/"/>
    <hyperlink ref="B110" r:id="rId21" tooltip="North Carolina Community Colleges" display="http://www.ncccs.cc.nc.us/"/>
    <hyperlink ref="B117" r:id="rId22" tooltip="Office of State Personnel" display="http://www.osp.state.nc.us/ExternalHome/index.htm"/>
    <hyperlink ref="B97" r:id="rId23" tooltip="Department of Public Instruction" display="http://www.dpi.state.nc.us/"/>
    <hyperlink ref="B98" r:id="rId24" tooltip="Department of Revenue" display="http://www.dor.state.nc.us/"/>
    <hyperlink ref="B99" r:id="rId25" tooltip="Department of Secretary of State" display="http://www.secstate.state.nc.us/"/>
    <hyperlink ref="B122" r:id="rId26" tooltip="State Board of Elections" display="http://www.app.sboe.state.nc.us/"/>
    <hyperlink ref="B123" r:id="rId27" tooltip="State Health Plan" display="http://statehealthplan.state.nc.us/"/>
    <hyperlink ref="B101" r:id="rId28" tooltip="Department of Transportation" display="http://www.dot.state.nc.us/"/>
    <hyperlink ref="B100" r:id="rId29" tooltip="Department of the State Treasurer" display="http://www.nctreasurer.com/"/>
    <hyperlink ref="B111" r:id="rId30" tooltip="North Carolina General Assembly" display="http://www.ncleg.net/"/>
    <hyperlink ref="B83" r:id="rId31" tooltip="Administrative Office of the Courts" display="http://www.nccourts.org/"/>
    <hyperlink ref="B84" r:id="rId32" display="http://www.appstate.edu/"/>
    <hyperlink ref="B102" r:id="rId33" display="http://www.ecu.edu/"/>
    <hyperlink ref="B103" r:id="rId34" display="http://www.ecsu.edu/"/>
    <hyperlink ref="B104" r:id="rId35" display="http://www.uncfsu.edu/"/>
    <hyperlink ref="B107" r:id="rId36" display="http://www.ncat.edu/"/>
    <hyperlink ref="B109" r:id="rId37" display="http://www.nccu.edu/"/>
    <hyperlink ref="B112" r:id="rId38" display="http://www.ncarts.edu/"/>
    <hyperlink ref="B113" r:id="rId39" display="http://www.ncsu.edu/"/>
    <hyperlink ref="B124" r:id="rId40" display="http://www.unca.edu/"/>
    <hyperlink ref="B125" r:id="rId41" display="http://www.unc.edu/"/>
    <hyperlink ref="B126" r:id="rId42" display="http://www.uncc.edu/"/>
    <hyperlink ref="B127" r:id="rId43" display="http://www.uncg.edu/"/>
    <hyperlink ref="B128" r:id="rId44" display="http://www.uncp.edu/"/>
    <hyperlink ref="B129" r:id="rId45" display="http://www.uncwil.edu/"/>
    <hyperlink ref="B130" r:id="rId46" display="http://www.wcu.edu/"/>
    <hyperlink ref="B131" r:id="rId47" display="http://www.wssu.edu/"/>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70"/>
  <sheetViews>
    <sheetView topLeftCell="A31" workbookViewId="0">
      <selection activeCell="O10" sqref="O10"/>
    </sheetView>
  </sheetViews>
  <sheetFormatPr defaultRowHeight="13.2" x14ac:dyDescent="0.25"/>
  <cols>
    <col min="1" max="1" width="8.88671875" customWidth="1"/>
    <col min="2" max="2" width="68.88671875" customWidth="1"/>
    <col min="3" max="3" width="3.33203125" customWidth="1"/>
    <col min="4" max="4" width="8.88671875" hidden="1" customWidth="1"/>
    <col min="5" max="5" width="4.109375" hidden="1" customWidth="1"/>
    <col min="6" max="6" width="25.44140625" hidden="1" customWidth="1"/>
    <col min="7" max="13" width="8.88671875" hidden="1" customWidth="1"/>
  </cols>
  <sheetData>
    <row r="1" spans="1:6" s="81" customFormat="1" x14ac:dyDescent="0.25">
      <c r="A1" s="81" t="s">
        <v>935</v>
      </c>
      <c r="B1" s="81" t="s">
        <v>936</v>
      </c>
    </row>
    <row r="2" spans="1:6" ht="16.5" customHeight="1" x14ac:dyDescent="0.25">
      <c r="A2" s="80" t="s">
        <v>481</v>
      </c>
      <c r="B2" t="s">
        <v>482</v>
      </c>
      <c r="D2">
        <v>66</v>
      </c>
      <c r="E2">
        <v>1</v>
      </c>
      <c r="F2" s="91" t="str">
        <f>CONCATENATE(A2,B2)</f>
        <v>030104Environmental Science (NEW)</v>
      </c>
    </row>
    <row r="3" spans="1:6" ht="16.5" customHeight="1" x14ac:dyDescent="0.25">
      <c r="A3" s="80" t="s">
        <v>483</v>
      </c>
      <c r="B3" t="s">
        <v>484</v>
      </c>
      <c r="E3">
        <v>2</v>
      </c>
      <c r="F3" s="91" t="str">
        <f t="shared" ref="F3:F66" si="0">CONCATENATE(A3,B3)</f>
        <v>090102Mass Communication/ Media Studies</v>
      </c>
    </row>
    <row r="4" spans="1:6" ht="16.5" customHeight="1" x14ac:dyDescent="0.25">
      <c r="A4" s="81">
        <v>110401</v>
      </c>
      <c r="B4" t="s">
        <v>485</v>
      </c>
      <c r="E4">
        <v>3</v>
      </c>
      <c r="F4" s="91" t="str">
        <f t="shared" si="0"/>
        <v>110401Information Science/Studies</v>
      </c>
    </row>
    <row r="5" spans="1:6" ht="16.5" customHeight="1" x14ac:dyDescent="0.25">
      <c r="A5" s="81">
        <v>110701</v>
      </c>
      <c r="B5" t="s">
        <v>486</v>
      </c>
      <c r="E5">
        <v>4</v>
      </c>
      <c r="F5" s="91" t="str">
        <f t="shared" si="0"/>
        <v>110701Computer Science</v>
      </c>
    </row>
    <row r="6" spans="1:6" ht="16.5" customHeight="1" x14ac:dyDescent="0.25">
      <c r="A6" s="81">
        <v>130301</v>
      </c>
      <c r="B6" t="s">
        <v>487</v>
      </c>
      <c r="E6">
        <v>5</v>
      </c>
      <c r="F6" s="91" t="str">
        <f t="shared" si="0"/>
        <v xml:space="preserve">130301Curriculum and Instruction </v>
      </c>
    </row>
    <row r="7" spans="1:6" ht="16.5" customHeight="1" x14ac:dyDescent="0.25">
      <c r="A7" s="81">
        <v>130409</v>
      </c>
      <c r="B7" t="s">
        <v>488</v>
      </c>
      <c r="E7">
        <v>6</v>
      </c>
      <c r="F7" s="91" t="str">
        <f t="shared" si="0"/>
        <v>130409Secondary School Administration/Principalship (NEW)</v>
      </c>
    </row>
    <row r="8" spans="1:6" ht="16.5" customHeight="1" x14ac:dyDescent="0.25">
      <c r="A8" s="81">
        <v>130501</v>
      </c>
      <c r="B8" t="s">
        <v>489</v>
      </c>
      <c r="E8">
        <v>7</v>
      </c>
      <c r="F8" s="91" t="str">
        <f t="shared" si="0"/>
        <v xml:space="preserve">130501Educational/Instructional Media Design </v>
      </c>
    </row>
    <row r="9" spans="1:6" ht="16.5" customHeight="1" x14ac:dyDescent="0.25">
      <c r="A9" s="81">
        <v>131001</v>
      </c>
      <c r="B9" t="s">
        <v>198</v>
      </c>
      <c r="E9">
        <v>8</v>
      </c>
      <c r="F9" s="91" t="str">
        <f t="shared" si="0"/>
        <v xml:space="preserve">131001Special Education and Teaching- General </v>
      </c>
    </row>
    <row r="10" spans="1:6" ht="16.5" customHeight="1" x14ac:dyDescent="0.25">
      <c r="A10" s="81">
        <v>131005</v>
      </c>
      <c r="B10" t="s">
        <v>490</v>
      </c>
      <c r="E10">
        <v>9</v>
      </c>
      <c r="F10" s="91" t="str">
        <f t="shared" si="0"/>
        <v>131005Education/Teaching of Individuals with Emotional Disturbances</v>
      </c>
    </row>
    <row r="11" spans="1:6" ht="16.5" customHeight="1" x14ac:dyDescent="0.25">
      <c r="A11" s="81">
        <v>131006</v>
      </c>
      <c r="B11" t="s">
        <v>491</v>
      </c>
      <c r="E11">
        <v>10</v>
      </c>
      <c r="F11" s="91" t="str">
        <f t="shared" si="0"/>
        <v>131006Education/Teaching of Individuals with Mental Retardation</v>
      </c>
    </row>
    <row r="12" spans="1:6" ht="16.5" customHeight="1" x14ac:dyDescent="0.25">
      <c r="A12" s="81">
        <v>131009</v>
      </c>
      <c r="B12" t="s">
        <v>197</v>
      </c>
      <c r="E12">
        <v>11</v>
      </c>
      <c r="F12" s="91" t="str">
        <f t="shared" si="0"/>
        <v>131009Education/Teaching of Individuals with Vision Impairments  Including Blindness</v>
      </c>
    </row>
    <row r="13" spans="1:6" ht="16.5" customHeight="1" x14ac:dyDescent="0.25">
      <c r="A13" s="81">
        <v>131011</v>
      </c>
      <c r="B13" t="s">
        <v>492</v>
      </c>
      <c r="E13">
        <v>12</v>
      </c>
      <c r="F13" s="91" t="str">
        <f t="shared" si="0"/>
        <v>131011Education/Teaching of Individuals with Specific Learning Disabilities</v>
      </c>
    </row>
    <row r="14" spans="1:6" ht="16.5" customHeight="1" x14ac:dyDescent="0.25">
      <c r="A14" s="81">
        <v>131101</v>
      </c>
      <c r="B14" t="s">
        <v>493</v>
      </c>
      <c r="E14">
        <v>13</v>
      </c>
      <c r="F14" s="91" t="str">
        <f t="shared" si="0"/>
        <v>131101Counselor Education/School Counseling and Guidance Services</v>
      </c>
    </row>
    <row r="15" spans="1:6" ht="16.5" customHeight="1" x14ac:dyDescent="0.25">
      <c r="A15" s="81">
        <v>131102</v>
      </c>
      <c r="B15" t="s">
        <v>558</v>
      </c>
      <c r="E15">
        <v>14</v>
      </c>
      <c r="F15" s="91" t="str">
        <f t="shared" si="0"/>
        <v>131102College Student Counseling and Personnel Services</v>
      </c>
    </row>
    <row r="16" spans="1:6" ht="16.5" customHeight="1" x14ac:dyDescent="0.25">
      <c r="A16" s="81">
        <v>131202</v>
      </c>
      <c r="B16" t="s">
        <v>559</v>
      </c>
      <c r="E16">
        <v>15</v>
      </c>
      <c r="F16" s="91" t="str">
        <f t="shared" si="0"/>
        <v>131202Elementary Education and Teaching</v>
      </c>
    </row>
    <row r="17" spans="1:6" ht="16.5" customHeight="1" x14ac:dyDescent="0.25">
      <c r="A17" s="81">
        <v>131203</v>
      </c>
      <c r="B17" t="s">
        <v>560</v>
      </c>
      <c r="E17">
        <v>16</v>
      </c>
      <c r="F17" s="91" t="str">
        <f t="shared" si="0"/>
        <v>131203Junior High/Intermediate/Middle School Education and Teaching</v>
      </c>
    </row>
    <row r="18" spans="1:6" ht="16.5" customHeight="1" x14ac:dyDescent="0.25">
      <c r="A18" s="81">
        <v>131209</v>
      </c>
      <c r="B18" t="s">
        <v>561</v>
      </c>
      <c r="E18">
        <v>17</v>
      </c>
      <c r="F18" s="91" t="str">
        <f t="shared" si="0"/>
        <v>131209Kindergarten/PreSchool Education and Teaching (NEW)</v>
      </c>
    </row>
    <row r="19" spans="1:6" ht="16.5" customHeight="1" x14ac:dyDescent="0.25">
      <c r="A19" s="81">
        <v>131302</v>
      </c>
      <c r="B19" t="s">
        <v>562</v>
      </c>
      <c r="E19">
        <v>18</v>
      </c>
      <c r="F19" s="91" t="str">
        <f t="shared" si="0"/>
        <v>131302Art Teacher Education</v>
      </c>
    </row>
    <row r="20" spans="1:6" ht="16.5" customHeight="1" x14ac:dyDescent="0.25">
      <c r="A20" s="81">
        <v>131305</v>
      </c>
      <c r="B20" t="s">
        <v>563</v>
      </c>
      <c r="E20">
        <v>19</v>
      </c>
      <c r="F20" s="91" t="str">
        <f t="shared" si="0"/>
        <v>131305English/Language Arts Teacher Education</v>
      </c>
    </row>
    <row r="21" spans="1:6" ht="16.5" customHeight="1" x14ac:dyDescent="0.25">
      <c r="A21" s="81">
        <v>131307</v>
      </c>
      <c r="B21" t="s">
        <v>564</v>
      </c>
      <c r="E21">
        <v>20</v>
      </c>
      <c r="F21" s="91" t="str">
        <f t="shared" si="0"/>
        <v>131307Health Teacher Education</v>
      </c>
    </row>
    <row r="22" spans="1:6" ht="16.5" customHeight="1" x14ac:dyDescent="0.25">
      <c r="A22" s="81">
        <v>131308</v>
      </c>
      <c r="B22" t="s">
        <v>565</v>
      </c>
      <c r="E22">
        <v>21</v>
      </c>
      <c r="F22" s="91" t="str">
        <f t="shared" si="0"/>
        <v>131308Family and Consumer Sciences/Home Economics Teacher Education</v>
      </c>
    </row>
    <row r="23" spans="1:6" ht="16.5" customHeight="1" x14ac:dyDescent="0.25">
      <c r="A23" s="81">
        <v>131311</v>
      </c>
      <c r="B23" t="s">
        <v>566</v>
      </c>
      <c r="E23">
        <v>22</v>
      </c>
      <c r="F23" s="91" t="str">
        <f t="shared" si="0"/>
        <v xml:space="preserve">131311Mathematics Teacher Education </v>
      </c>
    </row>
    <row r="24" spans="1:6" ht="16.5" customHeight="1" x14ac:dyDescent="0.25">
      <c r="A24" s="81">
        <v>131312</v>
      </c>
      <c r="B24" t="s">
        <v>567</v>
      </c>
      <c r="E24">
        <v>23</v>
      </c>
      <c r="F24" s="91" t="str">
        <f t="shared" si="0"/>
        <v>131312Music Teacher Education</v>
      </c>
    </row>
    <row r="25" spans="1:6" ht="16.5" customHeight="1" x14ac:dyDescent="0.25">
      <c r="A25" s="81">
        <v>131314</v>
      </c>
      <c r="B25" t="s">
        <v>568</v>
      </c>
      <c r="E25">
        <v>24</v>
      </c>
      <c r="F25" s="91" t="str">
        <f t="shared" si="0"/>
        <v>131314Physical Education Teaching and Coaching</v>
      </c>
    </row>
    <row r="26" spans="1:6" ht="16.5" customHeight="1" x14ac:dyDescent="0.25">
      <c r="A26" s="81">
        <v>131322</v>
      </c>
      <c r="B26" t="s">
        <v>569</v>
      </c>
      <c r="E26">
        <v>25</v>
      </c>
      <c r="F26" s="91" t="str">
        <f t="shared" si="0"/>
        <v>131322Biology Teacher Education</v>
      </c>
    </row>
    <row r="27" spans="1:6" ht="16.5" customHeight="1" x14ac:dyDescent="0.25">
      <c r="A27" s="81">
        <v>131323</v>
      </c>
      <c r="B27" t="s">
        <v>570</v>
      </c>
      <c r="E27">
        <v>26</v>
      </c>
      <c r="F27" s="91" t="str">
        <f t="shared" si="0"/>
        <v>131323Chemistry Teacher Education</v>
      </c>
    </row>
    <row r="28" spans="1:6" ht="16.5" customHeight="1" x14ac:dyDescent="0.25">
      <c r="A28" s="81">
        <v>131324</v>
      </c>
      <c r="B28" t="s">
        <v>571</v>
      </c>
      <c r="E28">
        <v>27</v>
      </c>
      <c r="F28" s="91" t="str">
        <f t="shared" si="0"/>
        <v>131324Drama and Dance Teacher Education</v>
      </c>
    </row>
    <row r="29" spans="1:6" ht="16.5" customHeight="1" x14ac:dyDescent="0.25">
      <c r="A29" s="81">
        <v>131325</v>
      </c>
      <c r="B29" t="s">
        <v>572</v>
      </c>
      <c r="E29">
        <v>28</v>
      </c>
      <c r="F29" s="91" t="str">
        <f t="shared" si="0"/>
        <v>131325French Language Teacher Education</v>
      </c>
    </row>
    <row r="30" spans="1:6" ht="16.5" customHeight="1" x14ac:dyDescent="0.25">
      <c r="A30" s="81">
        <v>131328</v>
      </c>
      <c r="B30" t="s">
        <v>573</v>
      </c>
      <c r="E30">
        <v>29</v>
      </c>
      <c r="F30" s="91" t="str">
        <f t="shared" si="0"/>
        <v xml:space="preserve">131328History Teacher Education </v>
      </c>
    </row>
    <row r="31" spans="1:6" ht="16.5" customHeight="1" x14ac:dyDescent="0.25">
      <c r="A31" s="81">
        <v>131329</v>
      </c>
      <c r="B31" t="s">
        <v>574</v>
      </c>
      <c r="E31">
        <v>30</v>
      </c>
      <c r="F31" s="91" t="str">
        <f t="shared" si="0"/>
        <v>131329Physics Teacher Education</v>
      </c>
    </row>
    <row r="32" spans="1:6" ht="16.5" customHeight="1" x14ac:dyDescent="0.25">
      <c r="A32" s="81">
        <v>131330</v>
      </c>
      <c r="B32" t="s">
        <v>575</v>
      </c>
      <c r="E32">
        <v>31</v>
      </c>
      <c r="F32" s="91" t="str">
        <f t="shared" si="0"/>
        <v>131330Spanish Language Teacher Education</v>
      </c>
    </row>
    <row r="33" spans="1:6" ht="16.5" customHeight="1" x14ac:dyDescent="0.25">
      <c r="A33" s="81">
        <v>160901</v>
      </c>
      <c r="B33" t="s">
        <v>576</v>
      </c>
      <c r="E33">
        <v>32</v>
      </c>
      <c r="F33" s="91" t="str">
        <f t="shared" si="0"/>
        <v>160901French Language and Literature</v>
      </c>
    </row>
    <row r="34" spans="1:6" ht="16.5" customHeight="1" x14ac:dyDescent="0.25">
      <c r="A34" s="81">
        <v>160905</v>
      </c>
      <c r="B34" t="s">
        <v>577</v>
      </c>
      <c r="E34">
        <v>33</v>
      </c>
      <c r="F34" s="91" t="str">
        <f t="shared" si="0"/>
        <v>160905Spanish Language and Literature</v>
      </c>
    </row>
    <row r="35" spans="1:6" ht="16.5" customHeight="1" x14ac:dyDescent="0.25">
      <c r="A35" s="81">
        <v>190101</v>
      </c>
      <c r="B35" t="s">
        <v>200</v>
      </c>
      <c r="E35">
        <v>34</v>
      </c>
      <c r="F35" s="91" t="str">
        <f t="shared" si="0"/>
        <v>190101Family and Consumer Sciences/Human Sciences- General</v>
      </c>
    </row>
    <row r="36" spans="1:6" ht="16.5" customHeight="1" x14ac:dyDescent="0.25">
      <c r="A36" s="81">
        <v>220101</v>
      </c>
      <c r="B36" t="s">
        <v>199</v>
      </c>
      <c r="E36">
        <v>35</v>
      </c>
      <c r="F36" s="91" t="str">
        <f t="shared" si="0"/>
        <v>220101Law (LL.B. J.D.)</v>
      </c>
    </row>
    <row r="37" spans="1:6" ht="16.5" customHeight="1" x14ac:dyDescent="0.25">
      <c r="A37" s="81">
        <v>230101</v>
      </c>
      <c r="B37" t="s">
        <v>201</v>
      </c>
      <c r="E37">
        <v>36</v>
      </c>
      <c r="F37" s="91" t="str">
        <f t="shared" si="0"/>
        <v>230101English Language and Literature- General</v>
      </c>
    </row>
    <row r="38" spans="1:6" ht="16.5" customHeight="1" x14ac:dyDescent="0.25">
      <c r="A38" s="81">
        <v>250101</v>
      </c>
      <c r="B38" t="s">
        <v>578</v>
      </c>
      <c r="E38">
        <v>37</v>
      </c>
      <c r="F38" s="91" t="str">
        <f t="shared" si="0"/>
        <v>250101Library Science/Librarianship</v>
      </c>
    </row>
    <row r="39" spans="1:6" ht="16.5" customHeight="1" x14ac:dyDescent="0.25">
      <c r="A39" s="81">
        <v>260101</v>
      </c>
      <c r="B39" t="s">
        <v>202</v>
      </c>
      <c r="E39">
        <v>38</v>
      </c>
      <c r="F39" s="91" t="str">
        <f t="shared" si="0"/>
        <v>260101Biology/Biological Sciences- General</v>
      </c>
    </row>
    <row r="40" spans="1:6" ht="16.5" customHeight="1" x14ac:dyDescent="0.25">
      <c r="A40" s="81">
        <v>270101</v>
      </c>
      <c r="B40" t="s">
        <v>203</v>
      </c>
      <c r="E40">
        <v>39</v>
      </c>
      <c r="F40" s="91" t="str">
        <f t="shared" si="0"/>
        <v>270101Mathematics- General</v>
      </c>
    </row>
    <row r="41" spans="1:6" ht="16.5" customHeight="1" x14ac:dyDescent="0.25">
      <c r="A41" s="81">
        <v>310301</v>
      </c>
      <c r="B41" t="s">
        <v>158</v>
      </c>
      <c r="E41">
        <v>40</v>
      </c>
      <c r="F41" s="91" t="str">
        <f t="shared" si="0"/>
        <v>310301Parks  Recreation and Leisure Facilities Management</v>
      </c>
    </row>
    <row r="42" spans="1:6" ht="16.5" customHeight="1" x14ac:dyDescent="0.25">
      <c r="A42" s="81">
        <v>310501</v>
      </c>
      <c r="B42" t="s">
        <v>204</v>
      </c>
      <c r="E42">
        <v>41</v>
      </c>
      <c r="F42" s="91" t="str">
        <f t="shared" si="0"/>
        <v>310501Health and Physical Education- General</v>
      </c>
    </row>
    <row r="43" spans="1:6" ht="16.5" customHeight="1" x14ac:dyDescent="0.25">
      <c r="A43" s="81">
        <v>400501</v>
      </c>
      <c r="B43" t="s">
        <v>205</v>
      </c>
      <c r="E43">
        <v>42</v>
      </c>
      <c r="F43" s="91" t="str">
        <f t="shared" si="0"/>
        <v>400501Chemistry- General</v>
      </c>
    </row>
    <row r="44" spans="1:6" ht="16.5" customHeight="1" x14ac:dyDescent="0.25">
      <c r="A44" s="81">
        <v>400601</v>
      </c>
      <c r="B44" t="s">
        <v>440</v>
      </c>
      <c r="E44">
        <v>43</v>
      </c>
      <c r="F44" s="91" t="str">
        <f t="shared" si="0"/>
        <v>400601Geology/Earth Science</v>
      </c>
    </row>
    <row r="45" spans="1:6" ht="16.5" customHeight="1" x14ac:dyDescent="0.25">
      <c r="A45" s="81">
        <v>400801</v>
      </c>
      <c r="B45" t="s">
        <v>206</v>
      </c>
      <c r="E45">
        <v>44</v>
      </c>
      <c r="F45" s="91" t="str">
        <f t="shared" si="0"/>
        <v>400801Physics- General</v>
      </c>
    </row>
    <row r="46" spans="1:6" ht="16.5" customHeight="1" x14ac:dyDescent="0.25">
      <c r="A46" s="81">
        <v>420101</v>
      </c>
      <c r="B46" t="s">
        <v>207</v>
      </c>
      <c r="E46">
        <v>45</v>
      </c>
      <c r="F46" s="91" t="str">
        <f t="shared" si="0"/>
        <v>420101Psychology- General</v>
      </c>
    </row>
    <row r="47" spans="1:6" ht="16.5" customHeight="1" x14ac:dyDescent="0.25">
      <c r="A47" s="81">
        <v>430103</v>
      </c>
      <c r="B47" t="s">
        <v>441</v>
      </c>
      <c r="E47">
        <v>46</v>
      </c>
      <c r="F47" s="91" t="str">
        <f t="shared" si="0"/>
        <v>430103Criminal Justice/Law Enforcement Administration</v>
      </c>
    </row>
    <row r="48" spans="1:6" ht="16.5" customHeight="1" x14ac:dyDescent="0.25">
      <c r="A48" s="81">
        <v>430104</v>
      </c>
      <c r="B48" t="s">
        <v>442</v>
      </c>
      <c r="E48">
        <v>47</v>
      </c>
      <c r="F48" s="91" t="str">
        <f t="shared" si="0"/>
        <v>430104Criminal Justice/Safety Studies</v>
      </c>
    </row>
    <row r="49" spans="1:6" ht="16.5" customHeight="1" x14ac:dyDescent="0.25">
      <c r="A49" s="81">
        <v>440401</v>
      </c>
      <c r="B49" t="s">
        <v>443</v>
      </c>
      <c r="E49">
        <v>48</v>
      </c>
      <c r="F49" s="91" t="str">
        <f t="shared" si="0"/>
        <v>440401Public Administration</v>
      </c>
    </row>
    <row r="50" spans="1:6" ht="16.5" customHeight="1" x14ac:dyDescent="0.25">
      <c r="A50" s="81">
        <v>440701</v>
      </c>
      <c r="B50" t="s">
        <v>444</v>
      </c>
      <c r="E50">
        <v>49</v>
      </c>
      <c r="F50" s="91" t="str">
        <f t="shared" si="0"/>
        <v>440701Social Work</v>
      </c>
    </row>
    <row r="51" spans="1:6" ht="16.5" customHeight="1" x14ac:dyDescent="0.25">
      <c r="A51" s="81">
        <v>450701</v>
      </c>
      <c r="B51" t="s">
        <v>445</v>
      </c>
      <c r="E51">
        <v>50</v>
      </c>
      <c r="F51" s="91" t="str">
        <f t="shared" si="0"/>
        <v>450701Geography</v>
      </c>
    </row>
    <row r="52" spans="1:6" ht="16.5" customHeight="1" x14ac:dyDescent="0.25">
      <c r="A52" s="81">
        <v>451001</v>
      </c>
      <c r="B52" t="s">
        <v>208</v>
      </c>
      <c r="E52">
        <v>51</v>
      </c>
      <c r="F52" s="91" t="str">
        <f t="shared" si="0"/>
        <v>451001Political Science and Government- General</v>
      </c>
    </row>
    <row r="53" spans="1:6" ht="16.5" customHeight="1" x14ac:dyDescent="0.25">
      <c r="A53" s="81">
        <v>451101</v>
      </c>
      <c r="B53" t="s">
        <v>446</v>
      </c>
      <c r="E53">
        <v>52</v>
      </c>
      <c r="F53" s="91" t="str">
        <f t="shared" si="0"/>
        <v>451101Sociology</v>
      </c>
    </row>
    <row r="54" spans="1:6" ht="16.5" customHeight="1" x14ac:dyDescent="0.25">
      <c r="A54" s="81">
        <v>500501</v>
      </c>
      <c r="B54" t="s">
        <v>209</v>
      </c>
      <c r="E54">
        <v>53</v>
      </c>
      <c r="F54" s="91" t="str">
        <f t="shared" si="0"/>
        <v>500501Drama and Dramatics/Theatre Arts- General</v>
      </c>
    </row>
    <row r="55" spans="1:6" ht="16.5" customHeight="1" x14ac:dyDescent="0.25">
      <c r="A55" s="81">
        <v>500701</v>
      </c>
      <c r="B55" t="s">
        <v>210</v>
      </c>
      <c r="E55">
        <v>54</v>
      </c>
      <c r="F55" s="91" t="str">
        <f t="shared" si="0"/>
        <v>500701Art/Art Studies- General</v>
      </c>
    </row>
    <row r="56" spans="1:6" ht="16.5" customHeight="1" x14ac:dyDescent="0.25">
      <c r="A56" s="81">
        <v>500901</v>
      </c>
      <c r="B56" t="s">
        <v>211</v>
      </c>
      <c r="E56">
        <v>55</v>
      </c>
      <c r="F56" s="91" t="str">
        <f t="shared" si="0"/>
        <v>500901Music- General</v>
      </c>
    </row>
    <row r="57" spans="1:6" ht="16.5" customHeight="1" x14ac:dyDescent="0.25">
      <c r="A57" s="81">
        <v>500910</v>
      </c>
      <c r="B57" t="s">
        <v>447</v>
      </c>
      <c r="E57">
        <v>56</v>
      </c>
      <c r="F57" s="91" t="str">
        <f t="shared" si="0"/>
        <v>500910Jazz/Jazz Studies (NEW)</v>
      </c>
    </row>
    <row r="58" spans="1:6" ht="16.5" customHeight="1" x14ac:dyDescent="0.25">
      <c r="A58" s="81">
        <v>510201</v>
      </c>
      <c r="B58" t="s">
        <v>212</v>
      </c>
      <c r="E58">
        <v>57</v>
      </c>
      <c r="F58" s="91" t="str">
        <f t="shared" si="0"/>
        <v>510201Communication Disorders- General</v>
      </c>
    </row>
    <row r="59" spans="1:6" ht="16.5" customHeight="1" x14ac:dyDescent="0.25">
      <c r="A59" s="81">
        <v>510913</v>
      </c>
      <c r="B59" t="s">
        <v>448</v>
      </c>
      <c r="E59">
        <v>58</v>
      </c>
      <c r="F59" s="91" t="str">
        <f t="shared" si="0"/>
        <v>510913Athletic Training/Trainer</v>
      </c>
    </row>
    <row r="60" spans="1:6" ht="16.5" customHeight="1" x14ac:dyDescent="0.25">
      <c r="A60" s="81">
        <v>511601</v>
      </c>
      <c r="B60" t="s">
        <v>157</v>
      </c>
      <c r="E60">
        <v>59</v>
      </c>
      <c r="F60" s="91" t="str">
        <f t="shared" si="0"/>
        <v>511601Nursing - Registered Nurse Training (RN ASN BSN  MSN)</v>
      </c>
    </row>
    <row r="61" spans="1:6" ht="16.5" customHeight="1" x14ac:dyDescent="0.25">
      <c r="A61" s="81">
        <v>512207</v>
      </c>
      <c r="B61" t="s">
        <v>449</v>
      </c>
      <c r="E61">
        <v>60</v>
      </c>
      <c r="F61" s="91" t="str">
        <f t="shared" si="0"/>
        <v>512207Public Health Education and Promotion</v>
      </c>
    </row>
    <row r="62" spans="1:6" ht="16.5" customHeight="1" x14ac:dyDescent="0.25">
      <c r="A62" s="81">
        <v>512309</v>
      </c>
      <c r="B62" t="s">
        <v>450</v>
      </c>
      <c r="E62">
        <v>61</v>
      </c>
      <c r="F62" s="91" t="str">
        <f t="shared" si="0"/>
        <v>512309Therapeutic Recreation/Recreational Therapy</v>
      </c>
    </row>
    <row r="63" spans="1:6" ht="16.5" customHeight="1" x14ac:dyDescent="0.25">
      <c r="A63" s="81">
        <v>520201</v>
      </c>
      <c r="B63" t="s">
        <v>213</v>
      </c>
      <c r="E63">
        <v>62</v>
      </c>
      <c r="F63" s="91" t="str">
        <f t="shared" si="0"/>
        <v>520201Business Administration and Management- General</v>
      </c>
    </row>
    <row r="64" spans="1:6" ht="16.5" customHeight="1" x14ac:dyDescent="0.25">
      <c r="A64" s="81">
        <v>520301</v>
      </c>
      <c r="B64" t="s">
        <v>451</v>
      </c>
      <c r="E64">
        <v>63</v>
      </c>
      <c r="F64" s="91" t="str">
        <f t="shared" si="0"/>
        <v>520301Accounting</v>
      </c>
    </row>
    <row r="65" spans="1:6" ht="16.5" customHeight="1" x14ac:dyDescent="0.25">
      <c r="A65" s="81">
        <v>520901</v>
      </c>
      <c r="B65" t="s">
        <v>214</v>
      </c>
      <c r="E65">
        <v>64</v>
      </c>
      <c r="F65" s="91" t="str">
        <f t="shared" si="0"/>
        <v>520901Hospitality Administration/Management- General</v>
      </c>
    </row>
    <row r="66" spans="1:6" ht="16.5" customHeight="1" x14ac:dyDescent="0.25">
      <c r="A66" s="81">
        <v>540101</v>
      </c>
      <c r="B66" t="s">
        <v>215</v>
      </c>
      <c r="E66">
        <v>65</v>
      </c>
      <c r="F66" s="91" t="str">
        <f t="shared" si="0"/>
        <v>540101History- General</v>
      </c>
    </row>
    <row r="67" spans="1:6" x14ac:dyDescent="0.25">
      <c r="B67" t="s">
        <v>159</v>
      </c>
      <c r="E67">
        <v>66</v>
      </c>
      <c r="F67" s="92" t="s">
        <v>387</v>
      </c>
    </row>
    <row r="70" spans="1:6" x14ac:dyDescent="0.25">
      <c r="F70" s="81" t="str">
        <f>VLOOKUP(D2,E2:F68,2,FALSE)</f>
        <v xml:space="preserve"> </v>
      </c>
    </row>
  </sheetData>
  <phoneticPr fontId="0" type="noConversion"/>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8193" r:id="rId3" name="Option Button 1">
              <controlPr defaultSize="0" autoFill="0" autoLine="0" autoPict="0">
                <anchor moveWithCells="1">
                  <from>
                    <xdr:col>2</xdr:col>
                    <xdr:colOff>0</xdr:colOff>
                    <xdr:row>1</xdr:row>
                    <xdr:rowOff>7620</xdr:rowOff>
                  </from>
                  <to>
                    <xdr:col>13</xdr:col>
                    <xdr:colOff>91440</xdr:colOff>
                    <xdr:row>2</xdr:row>
                    <xdr:rowOff>30480</xdr:rowOff>
                  </to>
                </anchor>
              </controlPr>
            </control>
          </mc:Choice>
        </mc:AlternateContent>
        <mc:AlternateContent xmlns:mc="http://schemas.openxmlformats.org/markup-compatibility/2006">
          <mc:Choice Requires="x14">
            <control shapeId="8194" r:id="rId4" name="Option Button 2">
              <controlPr defaultSize="0" autoFill="0" autoLine="0" autoPict="0">
                <anchor moveWithCells="1">
                  <from>
                    <xdr:col>2</xdr:col>
                    <xdr:colOff>0</xdr:colOff>
                    <xdr:row>2</xdr:row>
                    <xdr:rowOff>7620</xdr:rowOff>
                  </from>
                  <to>
                    <xdr:col>13</xdr:col>
                    <xdr:colOff>91440</xdr:colOff>
                    <xdr:row>3</xdr:row>
                    <xdr:rowOff>30480</xdr:rowOff>
                  </to>
                </anchor>
              </controlPr>
            </control>
          </mc:Choice>
        </mc:AlternateContent>
        <mc:AlternateContent xmlns:mc="http://schemas.openxmlformats.org/markup-compatibility/2006">
          <mc:Choice Requires="x14">
            <control shapeId="8195" r:id="rId5" name="Option Button 3">
              <controlPr defaultSize="0" autoFill="0" autoLine="0" autoPict="0">
                <anchor moveWithCells="1">
                  <from>
                    <xdr:col>2</xdr:col>
                    <xdr:colOff>0</xdr:colOff>
                    <xdr:row>3</xdr:row>
                    <xdr:rowOff>7620</xdr:rowOff>
                  </from>
                  <to>
                    <xdr:col>13</xdr:col>
                    <xdr:colOff>91440</xdr:colOff>
                    <xdr:row>4</xdr:row>
                    <xdr:rowOff>30480</xdr:rowOff>
                  </to>
                </anchor>
              </controlPr>
            </control>
          </mc:Choice>
        </mc:AlternateContent>
        <mc:AlternateContent xmlns:mc="http://schemas.openxmlformats.org/markup-compatibility/2006">
          <mc:Choice Requires="x14">
            <control shapeId="8196" r:id="rId6" name="Option Button 4">
              <controlPr defaultSize="0" autoFill="0" autoLine="0" autoPict="0">
                <anchor moveWithCells="1">
                  <from>
                    <xdr:col>2</xdr:col>
                    <xdr:colOff>0</xdr:colOff>
                    <xdr:row>4</xdr:row>
                    <xdr:rowOff>7620</xdr:rowOff>
                  </from>
                  <to>
                    <xdr:col>13</xdr:col>
                    <xdr:colOff>91440</xdr:colOff>
                    <xdr:row>5</xdr:row>
                    <xdr:rowOff>30480</xdr:rowOff>
                  </to>
                </anchor>
              </controlPr>
            </control>
          </mc:Choice>
        </mc:AlternateContent>
        <mc:AlternateContent xmlns:mc="http://schemas.openxmlformats.org/markup-compatibility/2006">
          <mc:Choice Requires="x14">
            <control shapeId="8197" r:id="rId7" name="Option Button 5">
              <controlPr defaultSize="0" autoFill="0" autoLine="0" autoPict="0">
                <anchor moveWithCells="1">
                  <from>
                    <xdr:col>2</xdr:col>
                    <xdr:colOff>0</xdr:colOff>
                    <xdr:row>5</xdr:row>
                    <xdr:rowOff>7620</xdr:rowOff>
                  </from>
                  <to>
                    <xdr:col>13</xdr:col>
                    <xdr:colOff>91440</xdr:colOff>
                    <xdr:row>6</xdr:row>
                    <xdr:rowOff>30480</xdr:rowOff>
                  </to>
                </anchor>
              </controlPr>
            </control>
          </mc:Choice>
        </mc:AlternateContent>
        <mc:AlternateContent xmlns:mc="http://schemas.openxmlformats.org/markup-compatibility/2006">
          <mc:Choice Requires="x14">
            <control shapeId="8198" r:id="rId8" name="Option Button 6">
              <controlPr defaultSize="0" autoFill="0" autoLine="0" autoPict="0">
                <anchor moveWithCells="1">
                  <from>
                    <xdr:col>2</xdr:col>
                    <xdr:colOff>0</xdr:colOff>
                    <xdr:row>6</xdr:row>
                    <xdr:rowOff>7620</xdr:rowOff>
                  </from>
                  <to>
                    <xdr:col>13</xdr:col>
                    <xdr:colOff>91440</xdr:colOff>
                    <xdr:row>7</xdr:row>
                    <xdr:rowOff>30480</xdr:rowOff>
                  </to>
                </anchor>
              </controlPr>
            </control>
          </mc:Choice>
        </mc:AlternateContent>
        <mc:AlternateContent xmlns:mc="http://schemas.openxmlformats.org/markup-compatibility/2006">
          <mc:Choice Requires="x14">
            <control shapeId="8199" r:id="rId9" name="Option Button 7">
              <controlPr defaultSize="0" autoFill="0" autoLine="0" autoPict="0">
                <anchor moveWithCells="1">
                  <from>
                    <xdr:col>2</xdr:col>
                    <xdr:colOff>0</xdr:colOff>
                    <xdr:row>7</xdr:row>
                    <xdr:rowOff>7620</xdr:rowOff>
                  </from>
                  <to>
                    <xdr:col>13</xdr:col>
                    <xdr:colOff>91440</xdr:colOff>
                    <xdr:row>8</xdr:row>
                    <xdr:rowOff>30480</xdr:rowOff>
                  </to>
                </anchor>
              </controlPr>
            </control>
          </mc:Choice>
        </mc:AlternateContent>
        <mc:AlternateContent xmlns:mc="http://schemas.openxmlformats.org/markup-compatibility/2006">
          <mc:Choice Requires="x14">
            <control shapeId="8200" r:id="rId10" name="Option Button 8">
              <controlPr defaultSize="0" autoFill="0" autoLine="0" autoPict="0">
                <anchor moveWithCells="1">
                  <from>
                    <xdr:col>2</xdr:col>
                    <xdr:colOff>0</xdr:colOff>
                    <xdr:row>8</xdr:row>
                    <xdr:rowOff>7620</xdr:rowOff>
                  </from>
                  <to>
                    <xdr:col>13</xdr:col>
                    <xdr:colOff>91440</xdr:colOff>
                    <xdr:row>9</xdr:row>
                    <xdr:rowOff>30480</xdr:rowOff>
                  </to>
                </anchor>
              </controlPr>
            </control>
          </mc:Choice>
        </mc:AlternateContent>
        <mc:AlternateContent xmlns:mc="http://schemas.openxmlformats.org/markup-compatibility/2006">
          <mc:Choice Requires="x14">
            <control shapeId="8201" r:id="rId11" name="Option Button 9">
              <controlPr defaultSize="0" autoFill="0" autoLine="0" autoPict="0">
                <anchor moveWithCells="1">
                  <from>
                    <xdr:col>2</xdr:col>
                    <xdr:colOff>0</xdr:colOff>
                    <xdr:row>9</xdr:row>
                    <xdr:rowOff>7620</xdr:rowOff>
                  </from>
                  <to>
                    <xdr:col>13</xdr:col>
                    <xdr:colOff>91440</xdr:colOff>
                    <xdr:row>10</xdr:row>
                    <xdr:rowOff>30480</xdr:rowOff>
                  </to>
                </anchor>
              </controlPr>
            </control>
          </mc:Choice>
        </mc:AlternateContent>
        <mc:AlternateContent xmlns:mc="http://schemas.openxmlformats.org/markup-compatibility/2006">
          <mc:Choice Requires="x14">
            <control shapeId="8202" r:id="rId12" name="Option Button 10">
              <controlPr defaultSize="0" autoFill="0" autoLine="0" autoPict="0">
                <anchor moveWithCells="1">
                  <from>
                    <xdr:col>2</xdr:col>
                    <xdr:colOff>0</xdr:colOff>
                    <xdr:row>10</xdr:row>
                    <xdr:rowOff>7620</xdr:rowOff>
                  </from>
                  <to>
                    <xdr:col>13</xdr:col>
                    <xdr:colOff>91440</xdr:colOff>
                    <xdr:row>11</xdr:row>
                    <xdr:rowOff>30480</xdr:rowOff>
                  </to>
                </anchor>
              </controlPr>
            </control>
          </mc:Choice>
        </mc:AlternateContent>
        <mc:AlternateContent xmlns:mc="http://schemas.openxmlformats.org/markup-compatibility/2006">
          <mc:Choice Requires="x14">
            <control shapeId="8203" r:id="rId13" name="Option Button 11">
              <controlPr defaultSize="0" autoFill="0" autoLine="0" autoPict="0">
                <anchor moveWithCells="1">
                  <from>
                    <xdr:col>2</xdr:col>
                    <xdr:colOff>0</xdr:colOff>
                    <xdr:row>11</xdr:row>
                    <xdr:rowOff>7620</xdr:rowOff>
                  </from>
                  <to>
                    <xdr:col>13</xdr:col>
                    <xdr:colOff>91440</xdr:colOff>
                    <xdr:row>12</xdr:row>
                    <xdr:rowOff>30480</xdr:rowOff>
                  </to>
                </anchor>
              </controlPr>
            </control>
          </mc:Choice>
        </mc:AlternateContent>
        <mc:AlternateContent xmlns:mc="http://schemas.openxmlformats.org/markup-compatibility/2006">
          <mc:Choice Requires="x14">
            <control shapeId="8204" r:id="rId14" name="Option Button 12">
              <controlPr defaultSize="0" autoFill="0" autoLine="0" autoPict="0">
                <anchor moveWithCells="1">
                  <from>
                    <xdr:col>2</xdr:col>
                    <xdr:colOff>0</xdr:colOff>
                    <xdr:row>12</xdr:row>
                    <xdr:rowOff>7620</xdr:rowOff>
                  </from>
                  <to>
                    <xdr:col>13</xdr:col>
                    <xdr:colOff>91440</xdr:colOff>
                    <xdr:row>13</xdr:row>
                    <xdr:rowOff>30480</xdr:rowOff>
                  </to>
                </anchor>
              </controlPr>
            </control>
          </mc:Choice>
        </mc:AlternateContent>
        <mc:AlternateContent xmlns:mc="http://schemas.openxmlformats.org/markup-compatibility/2006">
          <mc:Choice Requires="x14">
            <control shapeId="8205" r:id="rId15" name="Option Button 13">
              <controlPr defaultSize="0" autoFill="0" autoLine="0" autoPict="0">
                <anchor moveWithCells="1">
                  <from>
                    <xdr:col>2</xdr:col>
                    <xdr:colOff>0</xdr:colOff>
                    <xdr:row>13</xdr:row>
                    <xdr:rowOff>7620</xdr:rowOff>
                  </from>
                  <to>
                    <xdr:col>13</xdr:col>
                    <xdr:colOff>91440</xdr:colOff>
                    <xdr:row>14</xdr:row>
                    <xdr:rowOff>30480</xdr:rowOff>
                  </to>
                </anchor>
              </controlPr>
            </control>
          </mc:Choice>
        </mc:AlternateContent>
        <mc:AlternateContent xmlns:mc="http://schemas.openxmlformats.org/markup-compatibility/2006">
          <mc:Choice Requires="x14">
            <control shapeId="8206" r:id="rId16" name="Option Button 14">
              <controlPr defaultSize="0" autoFill="0" autoLine="0" autoPict="0">
                <anchor moveWithCells="1">
                  <from>
                    <xdr:col>2</xdr:col>
                    <xdr:colOff>0</xdr:colOff>
                    <xdr:row>14</xdr:row>
                    <xdr:rowOff>7620</xdr:rowOff>
                  </from>
                  <to>
                    <xdr:col>13</xdr:col>
                    <xdr:colOff>91440</xdr:colOff>
                    <xdr:row>15</xdr:row>
                    <xdr:rowOff>30480</xdr:rowOff>
                  </to>
                </anchor>
              </controlPr>
            </control>
          </mc:Choice>
        </mc:AlternateContent>
        <mc:AlternateContent xmlns:mc="http://schemas.openxmlformats.org/markup-compatibility/2006">
          <mc:Choice Requires="x14">
            <control shapeId="8207" r:id="rId17" name="Option Button 15">
              <controlPr defaultSize="0" autoFill="0" autoLine="0" autoPict="0">
                <anchor moveWithCells="1">
                  <from>
                    <xdr:col>2</xdr:col>
                    <xdr:colOff>0</xdr:colOff>
                    <xdr:row>15</xdr:row>
                    <xdr:rowOff>7620</xdr:rowOff>
                  </from>
                  <to>
                    <xdr:col>13</xdr:col>
                    <xdr:colOff>91440</xdr:colOff>
                    <xdr:row>16</xdr:row>
                    <xdr:rowOff>30480</xdr:rowOff>
                  </to>
                </anchor>
              </controlPr>
            </control>
          </mc:Choice>
        </mc:AlternateContent>
        <mc:AlternateContent xmlns:mc="http://schemas.openxmlformats.org/markup-compatibility/2006">
          <mc:Choice Requires="x14">
            <control shapeId="8208" r:id="rId18" name="Option Button 16">
              <controlPr defaultSize="0" autoFill="0" autoLine="0" autoPict="0">
                <anchor moveWithCells="1">
                  <from>
                    <xdr:col>2</xdr:col>
                    <xdr:colOff>0</xdr:colOff>
                    <xdr:row>16</xdr:row>
                    <xdr:rowOff>7620</xdr:rowOff>
                  </from>
                  <to>
                    <xdr:col>13</xdr:col>
                    <xdr:colOff>91440</xdr:colOff>
                    <xdr:row>17</xdr:row>
                    <xdr:rowOff>30480</xdr:rowOff>
                  </to>
                </anchor>
              </controlPr>
            </control>
          </mc:Choice>
        </mc:AlternateContent>
        <mc:AlternateContent xmlns:mc="http://schemas.openxmlformats.org/markup-compatibility/2006">
          <mc:Choice Requires="x14">
            <control shapeId="8209" r:id="rId19" name="Option Button 17">
              <controlPr defaultSize="0" autoFill="0" autoLine="0" autoPict="0">
                <anchor moveWithCells="1">
                  <from>
                    <xdr:col>2</xdr:col>
                    <xdr:colOff>0</xdr:colOff>
                    <xdr:row>17</xdr:row>
                    <xdr:rowOff>7620</xdr:rowOff>
                  </from>
                  <to>
                    <xdr:col>13</xdr:col>
                    <xdr:colOff>91440</xdr:colOff>
                    <xdr:row>18</xdr:row>
                    <xdr:rowOff>30480</xdr:rowOff>
                  </to>
                </anchor>
              </controlPr>
            </control>
          </mc:Choice>
        </mc:AlternateContent>
        <mc:AlternateContent xmlns:mc="http://schemas.openxmlformats.org/markup-compatibility/2006">
          <mc:Choice Requires="x14">
            <control shapeId="8210" r:id="rId20" name="Option Button 18">
              <controlPr defaultSize="0" autoFill="0" autoLine="0" autoPict="0">
                <anchor moveWithCells="1">
                  <from>
                    <xdr:col>2</xdr:col>
                    <xdr:colOff>0</xdr:colOff>
                    <xdr:row>18</xdr:row>
                    <xdr:rowOff>7620</xdr:rowOff>
                  </from>
                  <to>
                    <xdr:col>13</xdr:col>
                    <xdr:colOff>91440</xdr:colOff>
                    <xdr:row>19</xdr:row>
                    <xdr:rowOff>30480</xdr:rowOff>
                  </to>
                </anchor>
              </controlPr>
            </control>
          </mc:Choice>
        </mc:AlternateContent>
        <mc:AlternateContent xmlns:mc="http://schemas.openxmlformats.org/markup-compatibility/2006">
          <mc:Choice Requires="x14">
            <control shapeId="8211" r:id="rId21" name="Option Button 19">
              <controlPr defaultSize="0" autoFill="0" autoLine="0" autoPict="0">
                <anchor moveWithCells="1">
                  <from>
                    <xdr:col>2</xdr:col>
                    <xdr:colOff>0</xdr:colOff>
                    <xdr:row>19</xdr:row>
                    <xdr:rowOff>7620</xdr:rowOff>
                  </from>
                  <to>
                    <xdr:col>13</xdr:col>
                    <xdr:colOff>91440</xdr:colOff>
                    <xdr:row>20</xdr:row>
                    <xdr:rowOff>30480</xdr:rowOff>
                  </to>
                </anchor>
              </controlPr>
            </control>
          </mc:Choice>
        </mc:AlternateContent>
        <mc:AlternateContent xmlns:mc="http://schemas.openxmlformats.org/markup-compatibility/2006">
          <mc:Choice Requires="x14">
            <control shapeId="8212" r:id="rId22" name="Option Button 20">
              <controlPr defaultSize="0" autoFill="0" autoLine="0" autoPict="0">
                <anchor moveWithCells="1">
                  <from>
                    <xdr:col>2</xdr:col>
                    <xdr:colOff>0</xdr:colOff>
                    <xdr:row>20</xdr:row>
                    <xdr:rowOff>7620</xdr:rowOff>
                  </from>
                  <to>
                    <xdr:col>13</xdr:col>
                    <xdr:colOff>91440</xdr:colOff>
                    <xdr:row>21</xdr:row>
                    <xdr:rowOff>30480</xdr:rowOff>
                  </to>
                </anchor>
              </controlPr>
            </control>
          </mc:Choice>
        </mc:AlternateContent>
        <mc:AlternateContent xmlns:mc="http://schemas.openxmlformats.org/markup-compatibility/2006">
          <mc:Choice Requires="x14">
            <control shapeId="8213" r:id="rId23" name="Option Button 21">
              <controlPr defaultSize="0" autoFill="0" autoLine="0" autoPict="0">
                <anchor moveWithCells="1">
                  <from>
                    <xdr:col>2</xdr:col>
                    <xdr:colOff>0</xdr:colOff>
                    <xdr:row>21</xdr:row>
                    <xdr:rowOff>7620</xdr:rowOff>
                  </from>
                  <to>
                    <xdr:col>13</xdr:col>
                    <xdr:colOff>91440</xdr:colOff>
                    <xdr:row>22</xdr:row>
                    <xdr:rowOff>30480</xdr:rowOff>
                  </to>
                </anchor>
              </controlPr>
            </control>
          </mc:Choice>
        </mc:AlternateContent>
        <mc:AlternateContent xmlns:mc="http://schemas.openxmlformats.org/markup-compatibility/2006">
          <mc:Choice Requires="x14">
            <control shapeId="8214" r:id="rId24" name="Option Button 22">
              <controlPr defaultSize="0" autoFill="0" autoLine="0" autoPict="0">
                <anchor moveWithCells="1">
                  <from>
                    <xdr:col>2</xdr:col>
                    <xdr:colOff>0</xdr:colOff>
                    <xdr:row>22</xdr:row>
                    <xdr:rowOff>7620</xdr:rowOff>
                  </from>
                  <to>
                    <xdr:col>13</xdr:col>
                    <xdr:colOff>91440</xdr:colOff>
                    <xdr:row>23</xdr:row>
                    <xdr:rowOff>30480</xdr:rowOff>
                  </to>
                </anchor>
              </controlPr>
            </control>
          </mc:Choice>
        </mc:AlternateContent>
        <mc:AlternateContent xmlns:mc="http://schemas.openxmlformats.org/markup-compatibility/2006">
          <mc:Choice Requires="x14">
            <control shapeId="8215" r:id="rId25" name="Option Button 23">
              <controlPr defaultSize="0" autoFill="0" autoLine="0" autoPict="0">
                <anchor moveWithCells="1">
                  <from>
                    <xdr:col>2</xdr:col>
                    <xdr:colOff>0</xdr:colOff>
                    <xdr:row>23</xdr:row>
                    <xdr:rowOff>7620</xdr:rowOff>
                  </from>
                  <to>
                    <xdr:col>13</xdr:col>
                    <xdr:colOff>91440</xdr:colOff>
                    <xdr:row>24</xdr:row>
                    <xdr:rowOff>30480</xdr:rowOff>
                  </to>
                </anchor>
              </controlPr>
            </control>
          </mc:Choice>
        </mc:AlternateContent>
        <mc:AlternateContent xmlns:mc="http://schemas.openxmlformats.org/markup-compatibility/2006">
          <mc:Choice Requires="x14">
            <control shapeId="8216" r:id="rId26" name="Option Button 24">
              <controlPr defaultSize="0" autoFill="0" autoLine="0" autoPict="0">
                <anchor moveWithCells="1">
                  <from>
                    <xdr:col>2</xdr:col>
                    <xdr:colOff>0</xdr:colOff>
                    <xdr:row>24</xdr:row>
                    <xdr:rowOff>7620</xdr:rowOff>
                  </from>
                  <to>
                    <xdr:col>13</xdr:col>
                    <xdr:colOff>91440</xdr:colOff>
                    <xdr:row>25</xdr:row>
                    <xdr:rowOff>30480</xdr:rowOff>
                  </to>
                </anchor>
              </controlPr>
            </control>
          </mc:Choice>
        </mc:AlternateContent>
        <mc:AlternateContent xmlns:mc="http://schemas.openxmlformats.org/markup-compatibility/2006">
          <mc:Choice Requires="x14">
            <control shapeId="8217" r:id="rId27" name="Option Button 25">
              <controlPr defaultSize="0" autoFill="0" autoLine="0" autoPict="0">
                <anchor moveWithCells="1">
                  <from>
                    <xdr:col>2</xdr:col>
                    <xdr:colOff>0</xdr:colOff>
                    <xdr:row>25</xdr:row>
                    <xdr:rowOff>7620</xdr:rowOff>
                  </from>
                  <to>
                    <xdr:col>13</xdr:col>
                    <xdr:colOff>91440</xdr:colOff>
                    <xdr:row>26</xdr:row>
                    <xdr:rowOff>30480</xdr:rowOff>
                  </to>
                </anchor>
              </controlPr>
            </control>
          </mc:Choice>
        </mc:AlternateContent>
        <mc:AlternateContent xmlns:mc="http://schemas.openxmlformats.org/markup-compatibility/2006">
          <mc:Choice Requires="x14">
            <control shapeId="8218" r:id="rId28" name="Option Button 26">
              <controlPr defaultSize="0" autoFill="0" autoLine="0" autoPict="0">
                <anchor moveWithCells="1">
                  <from>
                    <xdr:col>2</xdr:col>
                    <xdr:colOff>0</xdr:colOff>
                    <xdr:row>26</xdr:row>
                    <xdr:rowOff>7620</xdr:rowOff>
                  </from>
                  <to>
                    <xdr:col>13</xdr:col>
                    <xdr:colOff>91440</xdr:colOff>
                    <xdr:row>27</xdr:row>
                    <xdr:rowOff>30480</xdr:rowOff>
                  </to>
                </anchor>
              </controlPr>
            </control>
          </mc:Choice>
        </mc:AlternateContent>
        <mc:AlternateContent xmlns:mc="http://schemas.openxmlformats.org/markup-compatibility/2006">
          <mc:Choice Requires="x14">
            <control shapeId="8219" r:id="rId29" name="Option Button 27">
              <controlPr defaultSize="0" autoFill="0" autoLine="0" autoPict="0">
                <anchor moveWithCells="1">
                  <from>
                    <xdr:col>2</xdr:col>
                    <xdr:colOff>0</xdr:colOff>
                    <xdr:row>27</xdr:row>
                    <xdr:rowOff>7620</xdr:rowOff>
                  </from>
                  <to>
                    <xdr:col>13</xdr:col>
                    <xdr:colOff>91440</xdr:colOff>
                    <xdr:row>28</xdr:row>
                    <xdr:rowOff>30480</xdr:rowOff>
                  </to>
                </anchor>
              </controlPr>
            </control>
          </mc:Choice>
        </mc:AlternateContent>
        <mc:AlternateContent xmlns:mc="http://schemas.openxmlformats.org/markup-compatibility/2006">
          <mc:Choice Requires="x14">
            <control shapeId="8220" r:id="rId30" name="Option Button 28">
              <controlPr defaultSize="0" autoFill="0" autoLine="0" autoPict="0">
                <anchor moveWithCells="1">
                  <from>
                    <xdr:col>2</xdr:col>
                    <xdr:colOff>0</xdr:colOff>
                    <xdr:row>28</xdr:row>
                    <xdr:rowOff>7620</xdr:rowOff>
                  </from>
                  <to>
                    <xdr:col>13</xdr:col>
                    <xdr:colOff>91440</xdr:colOff>
                    <xdr:row>29</xdr:row>
                    <xdr:rowOff>30480</xdr:rowOff>
                  </to>
                </anchor>
              </controlPr>
            </control>
          </mc:Choice>
        </mc:AlternateContent>
        <mc:AlternateContent xmlns:mc="http://schemas.openxmlformats.org/markup-compatibility/2006">
          <mc:Choice Requires="x14">
            <control shapeId="8221" r:id="rId31" name="Option Button 29">
              <controlPr defaultSize="0" autoFill="0" autoLine="0" autoPict="0">
                <anchor moveWithCells="1">
                  <from>
                    <xdr:col>2</xdr:col>
                    <xdr:colOff>0</xdr:colOff>
                    <xdr:row>29</xdr:row>
                    <xdr:rowOff>7620</xdr:rowOff>
                  </from>
                  <to>
                    <xdr:col>13</xdr:col>
                    <xdr:colOff>91440</xdr:colOff>
                    <xdr:row>30</xdr:row>
                    <xdr:rowOff>30480</xdr:rowOff>
                  </to>
                </anchor>
              </controlPr>
            </control>
          </mc:Choice>
        </mc:AlternateContent>
        <mc:AlternateContent xmlns:mc="http://schemas.openxmlformats.org/markup-compatibility/2006">
          <mc:Choice Requires="x14">
            <control shapeId="8222" r:id="rId32" name="Option Button 30">
              <controlPr defaultSize="0" autoFill="0" autoLine="0" autoPict="0">
                <anchor moveWithCells="1">
                  <from>
                    <xdr:col>2</xdr:col>
                    <xdr:colOff>0</xdr:colOff>
                    <xdr:row>30</xdr:row>
                    <xdr:rowOff>7620</xdr:rowOff>
                  </from>
                  <to>
                    <xdr:col>13</xdr:col>
                    <xdr:colOff>91440</xdr:colOff>
                    <xdr:row>31</xdr:row>
                    <xdr:rowOff>30480</xdr:rowOff>
                  </to>
                </anchor>
              </controlPr>
            </control>
          </mc:Choice>
        </mc:AlternateContent>
        <mc:AlternateContent xmlns:mc="http://schemas.openxmlformats.org/markup-compatibility/2006">
          <mc:Choice Requires="x14">
            <control shapeId="8223" r:id="rId33" name="Option Button 31">
              <controlPr defaultSize="0" autoFill="0" autoLine="0" autoPict="0">
                <anchor moveWithCells="1">
                  <from>
                    <xdr:col>2</xdr:col>
                    <xdr:colOff>0</xdr:colOff>
                    <xdr:row>31</xdr:row>
                    <xdr:rowOff>7620</xdr:rowOff>
                  </from>
                  <to>
                    <xdr:col>13</xdr:col>
                    <xdr:colOff>91440</xdr:colOff>
                    <xdr:row>32</xdr:row>
                    <xdr:rowOff>30480</xdr:rowOff>
                  </to>
                </anchor>
              </controlPr>
            </control>
          </mc:Choice>
        </mc:AlternateContent>
        <mc:AlternateContent xmlns:mc="http://schemas.openxmlformats.org/markup-compatibility/2006">
          <mc:Choice Requires="x14">
            <control shapeId="8224" r:id="rId34" name="Option Button 32">
              <controlPr defaultSize="0" autoFill="0" autoLine="0" autoPict="0">
                <anchor moveWithCells="1">
                  <from>
                    <xdr:col>2</xdr:col>
                    <xdr:colOff>0</xdr:colOff>
                    <xdr:row>32</xdr:row>
                    <xdr:rowOff>7620</xdr:rowOff>
                  </from>
                  <to>
                    <xdr:col>13</xdr:col>
                    <xdr:colOff>91440</xdr:colOff>
                    <xdr:row>33</xdr:row>
                    <xdr:rowOff>30480</xdr:rowOff>
                  </to>
                </anchor>
              </controlPr>
            </control>
          </mc:Choice>
        </mc:AlternateContent>
        <mc:AlternateContent xmlns:mc="http://schemas.openxmlformats.org/markup-compatibility/2006">
          <mc:Choice Requires="x14">
            <control shapeId="8225" r:id="rId35" name="Option Button 33">
              <controlPr defaultSize="0" autoFill="0" autoLine="0" autoPict="0">
                <anchor moveWithCells="1">
                  <from>
                    <xdr:col>2</xdr:col>
                    <xdr:colOff>0</xdr:colOff>
                    <xdr:row>33</xdr:row>
                    <xdr:rowOff>7620</xdr:rowOff>
                  </from>
                  <to>
                    <xdr:col>13</xdr:col>
                    <xdr:colOff>91440</xdr:colOff>
                    <xdr:row>34</xdr:row>
                    <xdr:rowOff>30480</xdr:rowOff>
                  </to>
                </anchor>
              </controlPr>
            </control>
          </mc:Choice>
        </mc:AlternateContent>
        <mc:AlternateContent xmlns:mc="http://schemas.openxmlformats.org/markup-compatibility/2006">
          <mc:Choice Requires="x14">
            <control shapeId="8226" r:id="rId36" name="Option Button 34">
              <controlPr defaultSize="0" autoFill="0" autoLine="0" autoPict="0">
                <anchor moveWithCells="1">
                  <from>
                    <xdr:col>2</xdr:col>
                    <xdr:colOff>0</xdr:colOff>
                    <xdr:row>34</xdr:row>
                    <xdr:rowOff>7620</xdr:rowOff>
                  </from>
                  <to>
                    <xdr:col>13</xdr:col>
                    <xdr:colOff>91440</xdr:colOff>
                    <xdr:row>35</xdr:row>
                    <xdr:rowOff>30480</xdr:rowOff>
                  </to>
                </anchor>
              </controlPr>
            </control>
          </mc:Choice>
        </mc:AlternateContent>
        <mc:AlternateContent xmlns:mc="http://schemas.openxmlformats.org/markup-compatibility/2006">
          <mc:Choice Requires="x14">
            <control shapeId="8227" r:id="rId37" name="Option Button 35">
              <controlPr defaultSize="0" autoFill="0" autoLine="0" autoPict="0">
                <anchor moveWithCells="1">
                  <from>
                    <xdr:col>2</xdr:col>
                    <xdr:colOff>0</xdr:colOff>
                    <xdr:row>35</xdr:row>
                    <xdr:rowOff>7620</xdr:rowOff>
                  </from>
                  <to>
                    <xdr:col>13</xdr:col>
                    <xdr:colOff>91440</xdr:colOff>
                    <xdr:row>36</xdr:row>
                    <xdr:rowOff>30480</xdr:rowOff>
                  </to>
                </anchor>
              </controlPr>
            </control>
          </mc:Choice>
        </mc:AlternateContent>
        <mc:AlternateContent xmlns:mc="http://schemas.openxmlformats.org/markup-compatibility/2006">
          <mc:Choice Requires="x14">
            <control shapeId="8228" r:id="rId38" name="Option Button 36">
              <controlPr defaultSize="0" autoFill="0" autoLine="0" autoPict="0">
                <anchor moveWithCells="1">
                  <from>
                    <xdr:col>2</xdr:col>
                    <xdr:colOff>0</xdr:colOff>
                    <xdr:row>36</xdr:row>
                    <xdr:rowOff>7620</xdr:rowOff>
                  </from>
                  <to>
                    <xdr:col>13</xdr:col>
                    <xdr:colOff>91440</xdr:colOff>
                    <xdr:row>37</xdr:row>
                    <xdr:rowOff>30480</xdr:rowOff>
                  </to>
                </anchor>
              </controlPr>
            </control>
          </mc:Choice>
        </mc:AlternateContent>
        <mc:AlternateContent xmlns:mc="http://schemas.openxmlformats.org/markup-compatibility/2006">
          <mc:Choice Requires="x14">
            <control shapeId="8229" r:id="rId39" name="Option Button 37">
              <controlPr defaultSize="0" autoFill="0" autoLine="0" autoPict="0">
                <anchor moveWithCells="1">
                  <from>
                    <xdr:col>2</xdr:col>
                    <xdr:colOff>0</xdr:colOff>
                    <xdr:row>37</xdr:row>
                    <xdr:rowOff>7620</xdr:rowOff>
                  </from>
                  <to>
                    <xdr:col>13</xdr:col>
                    <xdr:colOff>91440</xdr:colOff>
                    <xdr:row>38</xdr:row>
                    <xdr:rowOff>30480</xdr:rowOff>
                  </to>
                </anchor>
              </controlPr>
            </control>
          </mc:Choice>
        </mc:AlternateContent>
        <mc:AlternateContent xmlns:mc="http://schemas.openxmlformats.org/markup-compatibility/2006">
          <mc:Choice Requires="x14">
            <control shapeId="8230" r:id="rId40" name="Option Button 38">
              <controlPr defaultSize="0" autoFill="0" autoLine="0" autoPict="0">
                <anchor moveWithCells="1">
                  <from>
                    <xdr:col>2</xdr:col>
                    <xdr:colOff>0</xdr:colOff>
                    <xdr:row>38</xdr:row>
                    <xdr:rowOff>7620</xdr:rowOff>
                  </from>
                  <to>
                    <xdr:col>13</xdr:col>
                    <xdr:colOff>91440</xdr:colOff>
                    <xdr:row>39</xdr:row>
                    <xdr:rowOff>30480</xdr:rowOff>
                  </to>
                </anchor>
              </controlPr>
            </control>
          </mc:Choice>
        </mc:AlternateContent>
        <mc:AlternateContent xmlns:mc="http://schemas.openxmlformats.org/markup-compatibility/2006">
          <mc:Choice Requires="x14">
            <control shapeId="8231" r:id="rId41" name="Option Button 39">
              <controlPr defaultSize="0" autoFill="0" autoLine="0" autoPict="0">
                <anchor moveWithCells="1">
                  <from>
                    <xdr:col>2</xdr:col>
                    <xdr:colOff>0</xdr:colOff>
                    <xdr:row>39</xdr:row>
                    <xdr:rowOff>7620</xdr:rowOff>
                  </from>
                  <to>
                    <xdr:col>13</xdr:col>
                    <xdr:colOff>91440</xdr:colOff>
                    <xdr:row>40</xdr:row>
                    <xdr:rowOff>30480</xdr:rowOff>
                  </to>
                </anchor>
              </controlPr>
            </control>
          </mc:Choice>
        </mc:AlternateContent>
        <mc:AlternateContent xmlns:mc="http://schemas.openxmlformats.org/markup-compatibility/2006">
          <mc:Choice Requires="x14">
            <control shapeId="8232" r:id="rId42" name="Option Button 40">
              <controlPr defaultSize="0" autoFill="0" autoLine="0" autoPict="0">
                <anchor moveWithCells="1">
                  <from>
                    <xdr:col>2</xdr:col>
                    <xdr:colOff>0</xdr:colOff>
                    <xdr:row>40</xdr:row>
                    <xdr:rowOff>7620</xdr:rowOff>
                  </from>
                  <to>
                    <xdr:col>13</xdr:col>
                    <xdr:colOff>91440</xdr:colOff>
                    <xdr:row>41</xdr:row>
                    <xdr:rowOff>30480</xdr:rowOff>
                  </to>
                </anchor>
              </controlPr>
            </control>
          </mc:Choice>
        </mc:AlternateContent>
        <mc:AlternateContent xmlns:mc="http://schemas.openxmlformats.org/markup-compatibility/2006">
          <mc:Choice Requires="x14">
            <control shapeId="8233" r:id="rId43" name="Option Button 41">
              <controlPr defaultSize="0" autoFill="0" autoLine="0" autoPict="0">
                <anchor moveWithCells="1">
                  <from>
                    <xdr:col>2</xdr:col>
                    <xdr:colOff>0</xdr:colOff>
                    <xdr:row>41</xdr:row>
                    <xdr:rowOff>7620</xdr:rowOff>
                  </from>
                  <to>
                    <xdr:col>13</xdr:col>
                    <xdr:colOff>91440</xdr:colOff>
                    <xdr:row>42</xdr:row>
                    <xdr:rowOff>30480</xdr:rowOff>
                  </to>
                </anchor>
              </controlPr>
            </control>
          </mc:Choice>
        </mc:AlternateContent>
        <mc:AlternateContent xmlns:mc="http://schemas.openxmlformats.org/markup-compatibility/2006">
          <mc:Choice Requires="x14">
            <control shapeId="8234" r:id="rId44" name="Option Button 42">
              <controlPr defaultSize="0" autoFill="0" autoLine="0" autoPict="0">
                <anchor moveWithCells="1">
                  <from>
                    <xdr:col>2</xdr:col>
                    <xdr:colOff>0</xdr:colOff>
                    <xdr:row>42</xdr:row>
                    <xdr:rowOff>7620</xdr:rowOff>
                  </from>
                  <to>
                    <xdr:col>13</xdr:col>
                    <xdr:colOff>91440</xdr:colOff>
                    <xdr:row>43</xdr:row>
                    <xdr:rowOff>30480</xdr:rowOff>
                  </to>
                </anchor>
              </controlPr>
            </control>
          </mc:Choice>
        </mc:AlternateContent>
        <mc:AlternateContent xmlns:mc="http://schemas.openxmlformats.org/markup-compatibility/2006">
          <mc:Choice Requires="x14">
            <control shapeId="8235" r:id="rId45" name="Option Button 43">
              <controlPr defaultSize="0" autoFill="0" autoLine="0" autoPict="0">
                <anchor moveWithCells="1">
                  <from>
                    <xdr:col>2</xdr:col>
                    <xdr:colOff>0</xdr:colOff>
                    <xdr:row>43</xdr:row>
                    <xdr:rowOff>7620</xdr:rowOff>
                  </from>
                  <to>
                    <xdr:col>13</xdr:col>
                    <xdr:colOff>91440</xdr:colOff>
                    <xdr:row>44</xdr:row>
                    <xdr:rowOff>30480</xdr:rowOff>
                  </to>
                </anchor>
              </controlPr>
            </control>
          </mc:Choice>
        </mc:AlternateContent>
        <mc:AlternateContent xmlns:mc="http://schemas.openxmlformats.org/markup-compatibility/2006">
          <mc:Choice Requires="x14">
            <control shapeId="8236" r:id="rId46" name="Option Button 44">
              <controlPr defaultSize="0" autoFill="0" autoLine="0" autoPict="0">
                <anchor moveWithCells="1">
                  <from>
                    <xdr:col>2</xdr:col>
                    <xdr:colOff>0</xdr:colOff>
                    <xdr:row>44</xdr:row>
                    <xdr:rowOff>7620</xdr:rowOff>
                  </from>
                  <to>
                    <xdr:col>13</xdr:col>
                    <xdr:colOff>91440</xdr:colOff>
                    <xdr:row>45</xdr:row>
                    <xdr:rowOff>30480</xdr:rowOff>
                  </to>
                </anchor>
              </controlPr>
            </control>
          </mc:Choice>
        </mc:AlternateContent>
        <mc:AlternateContent xmlns:mc="http://schemas.openxmlformats.org/markup-compatibility/2006">
          <mc:Choice Requires="x14">
            <control shapeId="8237" r:id="rId47" name="Option Button 45">
              <controlPr defaultSize="0" autoFill="0" autoLine="0" autoPict="0">
                <anchor moveWithCells="1">
                  <from>
                    <xdr:col>2</xdr:col>
                    <xdr:colOff>0</xdr:colOff>
                    <xdr:row>45</xdr:row>
                    <xdr:rowOff>7620</xdr:rowOff>
                  </from>
                  <to>
                    <xdr:col>13</xdr:col>
                    <xdr:colOff>91440</xdr:colOff>
                    <xdr:row>46</xdr:row>
                    <xdr:rowOff>30480</xdr:rowOff>
                  </to>
                </anchor>
              </controlPr>
            </control>
          </mc:Choice>
        </mc:AlternateContent>
        <mc:AlternateContent xmlns:mc="http://schemas.openxmlformats.org/markup-compatibility/2006">
          <mc:Choice Requires="x14">
            <control shapeId="8238" r:id="rId48" name="Option Button 46">
              <controlPr defaultSize="0" autoFill="0" autoLine="0" autoPict="0">
                <anchor moveWithCells="1">
                  <from>
                    <xdr:col>2</xdr:col>
                    <xdr:colOff>0</xdr:colOff>
                    <xdr:row>46</xdr:row>
                    <xdr:rowOff>7620</xdr:rowOff>
                  </from>
                  <to>
                    <xdr:col>13</xdr:col>
                    <xdr:colOff>91440</xdr:colOff>
                    <xdr:row>47</xdr:row>
                    <xdr:rowOff>30480</xdr:rowOff>
                  </to>
                </anchor>
              </controlPr>
            </control>
          </mc:Choice>
        </mc:AlternateContent>
        <mc:AlternateContent xmlns:mc="http://schemas.openxmlformats.org/markup-compatibility/2006">
          <mc:Choice Requires="x14">
            <control shapeId="8239" r:id="rId49" name="Option Button 47">
              <controlPr defaultSize="0" autoFill="0" autoLine="0" autoPict="0">
                <anchor moveWithCells="1">
                  <from>
                    <xdr:col>2</xdr:col>
                    <xdr:colOff>0</xdr:colOff>
                    <xdr:row>47</xdr:row>
                    <xdr:rowOff>7620</xdr:rowOff>
                  </from>
                  <to>
                    <xdr:col>13</xdr:col>
                    <xdr:colOff>91440</xdr:colOff>
                    <xdr:row>48</xdr:row>
                    <xdr:rowOff>30480</xdr:rowOff>
                  </to>
                </anchor>
              </controlPr>
            </control>
          </mc:Choice>
        </mc:AlternateContent>
        <mc:AlternateContent xmlns:mc="http://schemas.openxmlformats.org/markup-compatibility/2006">
          <mc:Choice Requires="x14">
            <control shapeId="8240" r:id="rId50" name="Option Button 48">
              <controlPr defaultSize="0" autoFill="0" autoLine="0" autoPict="0">
                <anchor moveWithCells="1">
                  <from>
                    <xdr:col>2</xdr:col>
                    <xdr:colOff>0</xdr:colOff>
                    <xdr:row>48</xdr:row>
                    <xdr:rowOff>7620</xdr:rowOff>
                  </from>
                  <to>
                    <xdr:col>13</xdr:col>
                    <xdr:colOff>91440</xdr:colOff>
                    <xdr:row>49</xdr:row>
                    <xdr:rowOff>30480</xdr:rowOff>
                  </to>
                </anchor>
              </controlPr>
            </control>
          </mc:Choice>
        </mc:AlternateContent>
        <mc:AlternateContent xmlns:mc="http://schemas.openxmlformats.org/markup-compatibility/2006">
          <mc:Choice Requires="x14">
            <control shapeId="8241" r:id="rId51" name="Option Button 49">
              <controlPr defaultSize="0" autoFill="0" autoLine="0" autoPict="0">
                <anchor moveWithCells="1">
                  <from>
                    <xdr:col>2</xdr:col>
                    <xdr:colOff>0</xdr:colOff>
                    <xdr:row>49</xdr:row>
                    <xdr:rowOff>7620</xdr:rowOff>
                  </from>
                  <to>
                    <xdr:col>13</xdr:col>
                    <xdr:colOff>91440</xdr:colOff>
                    <xdr:row>50</xdr:row>
                    <xdr:rowOff>30480</xdr:rowOff>
                  </to>
                </anchor>
              </controlPr>
            </control>
          </mc:Choice>
        </mc:AlternateContent>
        <mc:AlternateContent xmlns:mc="http://schemas.openxmlformats.org/markup-compatibility/2006">
          <mc:Choice Requires="x14">
            <control shapeId="8242" r:id="rId52" name="Option Button 50">
              <controlPr defaultSize="0" autoFill="0" autoLine="0" autoPict="0">
                <anchor moveWithCells="1">
                  <from>
                    <xdr:col>2</xdr:col>
                    <xdr:colOff>0</xdr:colOff>
                    <xdr:row>50</xdr:row>
                    <xdr:rowOff>7620</xdr:rowOff>
                  </from>
                  <to>
                    <xdr:col>13</xdr:col>
                    <xdr:colOff>91440</xdr:colOff>
                    <xdr:row>51</xdr:row>
                    <xdr:rowOff>30480</xdr:rowOff>
                  </to>
                </anchor>
              </controlPr>
            </control>
          </mc:Choice>
        </mc:AlternateContent>
        <mc:AlternateContent xmlns:mc="http://schemas.openxmlformats.org/markup-compatibility/2006">
          <mc:Choice Requires="x14">
            <control shapeId="8243" r:id="rId53" name="Option Button 51">
              <controlPr defaultSize="0" autoFill="0" autoLine="0" autoPict="0">
                <anchor moveWithCells="1">
                  <from>
                    <xdr:col>2</xdr:col>
                    <xdr:colOff>0</xdr:colOff>
                    <xdr:row>51</xdr:row>
                    <xdr:rowOff>7620</xdr:rowOff>
                  </from>
                  <to>
                    <xdr:col>13</xdr:col>
                    <xdr:colOff>91440</xdr:colOff>
                    <xdr:row>52</xdr:row>
                    <xdr:rowOff>30480</xdr:rowOff>
                  </to>
                </anchor>
              </controlPr>
            </control>
          </mc:Choice>
        </mc:AlternateContent>
        <mc:AlternateContent xmlns:mc="http://schemas.openxmlformats.org/markup-compatibility/2006">
          <mc:Choice Requires="x14">
            <control shapeId="8244" r:id="rId54" name="Option Button 52">
              <controlPr defaultSize="0" autoFill="0" autoLine="0" autoPict="0">
                <anchor moveWithCells="1">
                  <from>
                    <xdr:col>2</xdr:col>
                    <xdr:colOff>0</xdr:colOff>
                    <xdr:row>52</xdr:row>
                    <xdr:rowOff>7620</xdr:rowOff>
                  </from>
                  <to>
                    <xdr:col>13</xdr:col>
                    <xdr:colOff>91440</xdr:colOff>
                    <xdr:row>53</xdr:row>
                    <xdr:rowOff>30480</xdr:rowOff>
                  </to>
                </anchor>
              </controlPr>
            </control>
          </mc:Choice>
        </mc:AlternateContent>
        <mc:AlternateContent xmlns:mc="http://schemas.openxmlformats.org/markup-compatibility/2006">
          <mc:Choice Requires="x14">
            <control shapeId="8245" r:id="rId55" name="Option Button 53">
              <controlPr defaultSize="0" autoFill="0" autoLine="0" autoPict="0">
                <anchor moveWithCells="1">
                  <from>
                    <xdr:col>2</xdr:col>
                    <xdr:colOff>0</xdr:colOff>
                    <xdr:row>53</xdr:row>
                    <xdr:rowOff>7620</xdr:rowOff>
                  </from>
                  <to>
                    <xdr:col>13</xdr:col>
                    <xdr:colOff>91440</xdr:colOff>
                    <xdr:row>54</xdr:row>
                    <xdr:rowOff>30480</xdr:rowOff>
                  </to>
                </anchor>
              </controlPr>
            </control>
          </mc:Choice>
        </mc:AlternateContent>
        <mc:AlternateContent xmlns:mc="http://schemas.openxmlformats.org/markup-compatibility/2006">
          <mc:Choice Requires="x14">
            <control shapeId="8246" r:id="rId56" name="Option Button 54">
              <controlPr defaultSize="0" autoFill="0" autoLine="0" autoPict="0">
                <anchor moveWithCells="1">
                  <from>
                    <xdr:col>2</xdr:col>
                    <xdr:colOff>0</xdr:colOff>
                    <xdr:row>54</xdr:row>
                    <xdr:rowOff>7620</xdr:rowOff>
                  </from>
                  <to>
                    <xdr:col>13</xdr:col>
                    <xdr:colOff>91440</xdr:colOff>
                    <xdr:row>55</xdr:row>
                    <xdr:rowOff>30480</xdr:rowOff>
                  </to>
                </anchor>
              </controlPr>
            </control>
          </mc:Choice>
        </mc:AlternateContent>
        <mc:AlternateContent xmlns:mc="http://schemas.openxmlformats.org/markup-compatibility/2006">
          <mc:Choice Requires="x14">
            <control shapeId="8247" r:id="rId57" name="Option Button 55">
              <controlPr defaultSize="0" autoFill="0" autoLine="0" autoPict="0">
                <anchor moveWithCells="1">
                  <from>
                    <xdr:col>2</xdr:col>
                    <xdr:colOff>0</xdr:colOff>
                    <xdr:row>55</xdr:row>
                    <xdr:rowOff>7620</xdr:rowOff>
                  </from>
                  <to>
                    <xdr:col>13</xdr:col>
                    <xdr:colOff>91440</xdr:colOff>
                    <xdr:row>56</xdr:row>
                    <xdr:rowOff>30480</xdr:rowOff>
                  </to>
                </anchor>
              </controlPr>
            </control>
          </mc:Choice>
        </mc:AlternateContent>
        <mc:AlternateContent xmlns:mc="http://schemas.openxmlformats.org/markup-compatibility/2006">
          <mc:Choice Requires="x14">
            <control shapeId="8248" r:id="rId58" name="Option Button 56">
              <controlPr defaultSize="0" autoFill="0" autoLine="0" autoPict="0">
                <anchor moveWithCells="1">
                  <from>
                    <xdr:col>2</xdr:col>
                    <xdr:colOff>0</xdr:colOff>
                    <xdr:row>56</xdr:row>
                    <xdr:rowOff>7620</xdr:rowOff>
                  </from>
                  <to>
                    <xdr:col>13</xdr:col>
                    <xdr:colOff>91440</xdr:colOff>
                    <xdr:row>57</xdr:row>
                    <xdr:rowOff>30480</xdr:rowOff>
                  </to>
                </anchor>
              </controlPr>
            </control>
          </mc:Choice>
        </mc:AlternateContent>
        <mc:AlternateContent xmlns:mc="http://schemas.openxmlformats.org/markup-compatibility/2006">
          <mc:Choice Requires="x14">
            <control shapeId="8249" r:id="rId59" name="Option Button 57">
              <controlPr defaultSize="0" autoFill="0" autoLine="0" autoPict="0">
                <anchor moveWithCells="1">
                  <from>
                    <xdr:col>2</xdr:col>
                    <xdr:colOff>0</xdr:colOff>
                    <xdr:row>57</xdr:row>
                    <xdr:rowOff>7620</xdr:rowOff>
                  </from>
                  <to>
                    <xdr:col>13</xdr:col>
                    <xdr:colOff>91440</xdr:colOff>
                    <xdr:row>58</xdr:row>
                    <xdr:rowOff>30480</xdr:rowOff>
                  </to>
                </anchor>
              </controlPr>
            </control>
          </mc:Choice>
        </mc:AlternateContent>
        <mc:AlternateContent xmlns:mc="http://schemas.openxmlformats.org/markup-compatibility/2006">
          <mc:Choice Requires="x14">
            <control shapeId="8250" r:id="rId60" name="Option Button 58">
              <controlPr defaultSize="0" autoFill="0" autoLine="0" autoPict="0">
                <anchor moveWithCells="1">
                  <from>
                    <xdr:col>2</xdr:col>
                    <xdr:colOff>0</xdr:colOff>
                    <xdr:row>58</xdr:row>
                    <xdr:rowOff>7620</xdr:rowOff>
                  </from>
                  <to>
                    <xdr:col>13</xdr:col>
                    <xdr:colOff>91440</xdr:colOff>
                    <xdr:row>59</xdr:row>
                    <xdr:rowOff>30480</xdr:rowOff>
                  </to>
                </anchor>
              </controlPr>
            </control>
          </mc:Choice>
        </mc:AlternateContent>
        <mc:AlternateContent xmlns:mc="http://schemas.openxmlformats.org/markup-compatibility/2006">
          <mc:Choice Requires="x14">
            <control shapeId="8251" r:id="rId61" name="Option Button 59">
              <controlPr defaultSize="0" autoFill="0" autoLine="0" autoPict="0">
                <anchor moveWithCells="1">
                  <from>
                    <xdr:col>2</xdr:col>
                    <xdr:colOff>0</xdr:colOff>
                    <xdr:row>59</xdr:row>
                    <xdr:rowOff>7620</xdr:rowOff>
                  </from>
                  <to>
                    <xdr:col>13</xdr:col>
                    <xdr:colOff>91440</xdr:colOff>
                    <xdr:row>60</xdr:row>
                    <xdr:rowOff>30480</xdr:rowOff>
                  </to>
                </anchor>
              </controlPr>
            </control>
          </mc:Choice>
        </mc:AlternateContent>
        <mc:AlternateContent xmlns:mc="http://schemas.openxmlformats.org/markup-compatibility/2006">
          <mc:Choice Requires="x14">
            <control shapeId="8252" r:id="rId62" name="Option Button 60">
              <controlPr defaultSize="0" autoFill="0" autoLine="0" autoPict="0">
                <anchor moveWithCells="1">
                  <from>
                    <xdr:col>2</xdr:col>
                    <xdr:colOff>0</xdr:colOff>
                    <xdr:row>60</xdr:row>
                    <xdr:rowOff>7620</xdr:rowOff>
                  </from>
                  <to>
                    <xdr:col>13</xdr:col>
                    <xdr:colOff>91440</xdr:colOff>
                    <xdr:row>61</xdr:row>
                    <xdr:rowOff>7620</xdr:rowOff>
                  </to>
                </anchor>
              </controlPr>
            </control>
          </mc:Choice>
        </mc:AlternateContent>
        <mc:AlternateContent xmlns:mc="http://schemas.openxmlformats.org/markup-compatibility/2006">
          <mc:Choice Requires="x14">
            <control shapeId="8253" r:id="rId63" name="Option Button 61">
              <controlPr defaultSize="0" autoFill="0" autoLine="0" autoPict="0">
                <anchor moveWithCells="1">
                  <from>
                    <xdr:col>2</xdr:col>
                    <xdr:colOff>0</xdr:colOff>
                    <xdr:row>61</xdr:row>
                    <xdr:rowOff>7620</xdr:rowOff>
                  </from>
                  <to>
                    <xdr:col>13</xdr:col>
                    <xdr:colOff>91440</xdr:colOff>
                    <xdr:row>62</xdr:row>
                    <xdr:rowOff>30480</xdr:rowOff>
                  </to>
                </anchor>
              </controlPr>
            </control>
          </mc:Choice>
        </mc:AlternateContent>
        <mc:AlternateContent xmlns:mc="http://schemas.openxmlformats.org/markup-compatibility/2006">
          <mc:Choice Requires="x14">
            <control shapeId="8254" r:id="rId64" name="Option Button 62">
              <controlPr defaultSize="0" autoFill="0" autoLine="0" autoPict="0">
                <anchor moveWithCells="1">
                  <from>
                    <xdr:col>2</xdr:col>
                    <xdr:colOff>0</xdr:colOff>
                    <xdr:row>62</xdr:row>
                    <xdr:rowOff>7620</xdr:rowOff>
                  </from>
                  <to>
                    <xdr:col>13</xdr:col>
                    <xdr:colOff>91440</xdr:colOff>
                    <xdr:row>63</xdr:row>
                    <xdr:rowOff>30480</xdr:rowOff>
                  </to>
                </anchor>
              </controlPr>
            </control>
          </mc:Choice>
        </mc:AlternateContent>
        <mc:AlternateContent xmlns:mc="http://schemas.openxmlformats.org/markup-compatibility/2006">
          <mc:Choice Requires="x14">
            <control shapeId="8255" r:id="rId65" name="Option Button 63">
              <controlPr defaultSize="0" autoFill="0" autoLine="0" autoPict="0">
                <anchor moveWithCells="1">
                  <from>
                    <xdr:col>2</xdr:col>
                    <xdr:colOff>0</xdr:colOff>
                    <xdr:row>62</xdr:row>
                    <xdr:rowOff>198120</xdr:rowOff>
                  </from>
                  <to>
                    <xdr:col>13</xdr:col>
                    <xdr:colOff>91440</xdr:colOff>
                    <xdr:row>64</xdr:row>
                    <xdr:rowOff>0</xdr:rowOff>
                  </to>
                </anchor>
              </controlPr>
            </control>
          </mc:Choice>
        </mc:AlternateContent>
        <mc:AlternateContent xmlns:mc="http://schemas.openxmlformats.org/markup-compatibility/2006">
          <mc:Choice Requires="x14">
            <control shapeId="8256" r:id="rId66" name="Option Button 64">
              <controlPr defaultSize="0" autoFill="0" autoLine="0" autoPict="0">
                <anchor moveWithCells="1">
                  <from>
                    <xdr:col>2</xdr:col>
                    <xdr:colOff>0</xdr:colOff>
                    <xdr:row>64</xdr:row>
                    <xdr:rowOff>7620</xdr:rowOff>
                  </from>
                  <to>
                    <xdr:col>13</xdr:col>
                    <xdr:colOff>91440</xdr:colOff>
                    <xdr:row>65</xdr:row>
                    <xdr:rowOff>7620</xdr:rowOff>
                  </to>
                </anchor>
              </controlPr>
            </control>
          </mc:Choice>
        </mc:AlternateContent>
        <mc:AlternateContent xmlns:mc="http://schemas.openxmlformats.org/markup-compatibility/2006">
          <mc:Choice Requires="x14">
            <control shapeId="8257" r:id="rId67" name="Option Button 65">
              <controlPr defaultSize="0" autoFill="0" autoLine="0" autoPict="0">
                <anchor moveWithCells="1">
                  <from>
                    <xdr:col>2</xdr:col>
                    <xdr:colOff>0</xdr:colOff>
                    <xdr:row>65</xdr:row>
                    <xdr:rowOff>7620</xdr:rowOff>
                  </from>
                  <to>
                    <xdr:col>13</xdr:col>
                    <xdr:colOff>91440</xdr:colOff>
                    <xdr:row>66</xdr:row>
                    <xdr:rowOff>7620</xdr:rowOff>
                  </to>
                </anchor>
              </controlPr>
            </control>
          </mc:Choice>
        </mc:AlternateContent>
        <mc:AlternateContent xmlns:mc="http://schemas.openxmlformats.org/markup-compatibility/2006">
          <mc:Choice Requires="x14">
            <control shapeId="8258" r:id="rId68" name="Option Button 66">
              <controlPr defaultSize="0" autoFill="0" autoLine="0" autoPict="0">
                <anchor moveWithCells="1">
                  <from>
                    <xdr:col>2</xdr:col>
                    <xdr:colOff>0</xdr:colOff>
                    <xdr:row>66</xdr:row>
                    <xdr:rowOff>7620</xdr:rowOff>
                  </from>
                  <to>
                    <xdr:col>13</xdr:col>
                    <xdr:colOff>91440</xdr:colOff>
                    <xdr:row>67</xdr:row>
                    <xdr:rowOff>68580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0"/>
  <sheetViews>
    <sheetView topLeftCell="A37" workbookViewId="0">
      <selection activeCell="B61" sqref="B61"/>
    </sheetView>
  </sheetViews>
  <sheetFormatPr defaultRowHeight="13.2" x14ac:dyDescent="0.25"/>
  <cols>
    <col min="1" max="1" width="8.88671875" customWidth="1"/>
    <col min="2" max="2" width="68.88671875" customWidth="1"/>
    <col min="3" max="3" width="3.33203125" customWidth="1"/>
    <col min="4" max="4" width="8.88671875" hidden="1" customWidth="1"/>
    <col min="5" max="5" width="4.109375" hidden="1" customWidth="1"/>
    <col min="6" max="6" width="25.44140625" hidden="1" customWidth="1"/>
    <col min="7" max="13" width="8.88671875" hidden="1" customWidth="1"/>
  </cols>
  <sheetData>
    <row r="1" spans="1:6" s="81" customFormat="1" x14ac:dyDescent="0.25">
      <c r="A1" s="81" t="s">
        <v>935</v>
      </c>
      <c r="B1" s="81" t="s">
        <v>936</v>
      </c>
    </row>
    <row r="2" spans="1:6" ht="16.5" customHeight="1" x14ac:dyDescent="0.25">
      <c r="A2" s="80" t="s">
        <v>481</v>
      </c>
      <c r="B2" s="224" t="s">
        <v>937</v>
      </c>
      <c r="D2">
        <v>66</v>
      </c>
      <c r="E2">
        <v>1</v>
      </c>
      <c r="F2" s="91" t="str">
        <f>CONCATENATE(A2,B2)</f>
        <v>030104030104 Environmental Science (NEW)</v>
      </c>
    </row>
    <row r="3" spans="1:6" ht="16.5" customHeight="1" x14ac:dyDescent="0.25">
      <c r="A3" s="80" t="s">
        <v>483</v>
      </c>
      <c r="B3" s="224" t="s">
        <v>938</v>
      </c>
      <c r="E3">
        <v>2</v>
      </c>
      <c r="F3" s="91" t="str">
        <f t="shared" ref="F3:F66" si="0">CONCATENATE(A3,B3)</f>
        <v>090102090102 Mass Communication/ Media Studies</v>
      </c>
    </row>
    <row r="4" spans="1:6" ht="16.5" customHeight="1" x14ac:dyDescent="0.25">
      <c r="A4" s="81">
        <v>110401</v>
      </c>
      <c r="B4" s="223" t="s">
        <v>939</v>
      </c>
      <c r="E4">
        <v>3</v>
      </c>
      <c r="F4" s="91" t="str">
        <f t="shared" si="0"/>
        <v>110401110401 Information Science/Studies</v>
      </c>
    </row>
    <row r="5" spans="1:6" ht="16.5" customHeight="1" x14ac:dyDescent="0.25">
      <c r="A5" s="81">
        <v>110701</v>
      </c>
      <c r="B5" s="223" t="s">
        <v>940</v>
      </c>
      <c r="E5">
        <v>4</v>
      </c>
      <c r="F5" s="91" t="str">
        <f t="shared" si="0"/>
        <v>110701110701 Computer Science</v>
      </c>
    </row>
    <row r="6" spans="1:6" ht="16.5" customHeight="1" x14ac:dyDescent="0.25">
      <c r="A6" s="81">
        <v>130301</v>
      </c>
      <c r="B6" s="223" t="s">
        <v>941</v>
      </c>
      <c r="E6">
        <v>5</v>
      </c>
      <c r="F6" s="91" t="str">
        <f t="shared" si="0"/>
        <v xml:space="preserve">130301130301 Curriculum and Instruction </v>
      </c>
    </row>
    <row r="7" spans="1:6" ht="16.5" customHeight="1" x14ac:dyDescent="0.25">
      <c r="A7" s="81">
        <v>130409</v>
      </c>
      <c r="B7" s="223" t="s">
        <v>942</v>
      </c>
      <c r="E7">
        <v>6</v>
      </c>
      <c r="F7" s="91" t="str">
        <f t="shared" si="0"/>
        <v>130409130409 Secondary School Administration/Principalship (NEW)</v>
      </c>
    </row>
    <row r="8" spans="1:6" ht="16.5" customHeight="1" x14ac:dyDescent="0.25">
      <c r="A8" s="81">
        <v>130501</v>
      </c>
      <c r="B8" s="223" t="s">
        <v>943</v>
      </c>
      <c r="E8">
        <v>7</v>
      </c>
      <c r="F8" s="91" t="str">
        <f t="shared" si="0"/>
        <v xml:space="preserve">130501130501 Educational/Instructional Media Design </v>
      </c>
    </row>
    <row r="9" spans="1:6" ht="16.5" customHeight="1" x14ac:dyDescent="0.25">
      <c r="A9" s="81">
        <v>131001</v>
      </c>
      <c r="B9" s="223" t="s">
        <v>944</v>
      </c>
      <c r="E9">
        <v>8</v>
      </c>
      <c r="F9" s="91" t="str">
        <f t="shared" si="0"/>
        <v xml:space="preserve">131001131001 Special Education and Teaching- General </v>
      </c>
    </row>
    <row r="10" spans="1:6" ht="16.5" customHeight="1" x14ac:dyDescent="0.25">
      <c r="A10" s="81">
        <v>131005</v>
      </c>
      <c r="B10" s="223" t="s">
        <v>945</v>
      </c>
      <c r="E10">
        <v>9</v>
      </c>
      <c r="F10" s="91" t="str">
        <f t="shared" si="0"/>
        <v>131005131005 Education/Teaching of Individuals with Emotional Disturbances</v>
      </c>
    </row>
    <row r="11" spans="1:6" ht="16.5" customHeight="1" x14ac:dyDescent="0.25">
      <c r="A11" s="81">
        <v>131006</v>
      </c>
      <c r="B11" t="s">
        <v>971</v>
      </c>
      <c r="E11">
        <v>10</v>
      </c>
      <c r="F11" s="91" t="str">
        <f t="shared" si="0"/>
        <v>131006131006 Education/Teaching of Individuals with Mental Retardation</v>
      </c>
    </row>
    <row r="12" spans="1:6" ht="16.5" customHeight="1" x14ac:dyDescent="0.25">
      <c r="A12" s="81">
        <v>131009</v>
      </c>
      <c r="B12" t="s">
        <v>972</v>
      </c>
      <c r="E12">
        <v>11</v>
      </c>
      <c r="F12" s="91" t="str">
        <f t="shared" si="0"/>
        <v>131009131009 Education/Teaching of Individuals with Vision Impairments  Including Blindness</v>
      </c>
    </row>
    <row r="13" spans="1:6" ht="16.5" customHeight="1" x14ac:dyDescent="0.25">
      <c r="A13" s="81">
        <v>131011</v>
      </c>
      <c r="B13" t="s">
        <v>973</v>
      </c>
      <c r="E13">
        <v>12</v>
      </c>
      <c r="F13" s="91" t="str">
        <f t="shared" si="0"/>
        <v>131011131011 Education/Teaching of Individuals with Specific Learning Disabilities</v>
      </c>
    </row>
    <row r="14" spans="1:6" ht="16.5" customHeight="1" x14ac:dyDescent="0.25">
      <c r="A14" s="81">
        <v>131101</v>
      </c>
      <c r="B14" t="s">
        <v>974</v>
      </c>
      <c r="E14">
        <v>13</v>
      </c>
      <c r="F14" s="91" t="str">
        <f t="shared" si="0"/>
        <v>131101131101 Counselor Education/School Counseling and Guidance Services</v>
      </c>
    </row>
    <row r="15" spans="1:6" ht="16.5" customHeight="1" x14ac:dyDescent="0.25">
      <c r="A15" s="81">
        <v>131102</v>
      </c>
      <c r="B15" t="s">
        <v>975</v>
      </c>
      <c r="E15">
        <v>14</v>
      </c>
      <c r="F15" s="91" t="str">
        <f t="shared" si="0"/>
        <v>131102131102 College Student Counseling and Personnel Services</v>
      </c>
    </row>
    <row r="16" spans="1:6" ht="16.5" customHeight="1" x14ac:dyDescent="0.25">
      <c r="A16" s="81">
        <v>131202</v>
      </c>
      <c r="B16" t="s">
        <v>976</v>
      </c>
      <c r="E16">
        <v>15</v>
      </c>
      <c r="F16" s="91" t="str">
        <f t="shared" si="0"/>
        <v>131202131202 Elementary Education and Teaching</v>
      </c>
    </row>
    <row r="17" spans="1:6" ht="16.5" customHeight="1" x14ac:dyDescent="0.25">
      <c r="A17" s="81">
        <v>131203</v>
      </c>
      <c r="B17" t="s">
        <v>1044</v>
      </c>
      <c r="E17">
        <v>16</v>
      </c>
      <c r="F17" s="91" t="str">
        <f t="shared" si="0"/>
        <v>131203131203 Junior High/Intermediate/Middle School Education and Teaching</v>
      </c>
    </row>
    <row r="18" spans="1:6" ht="16.5" customHeight="1" x14ac:dyDescent="0.25">
      <c r="A18" s="81">
        <v>131209</v>
      </c>
      <c r="B18" t="s">
        <v>1045</v>
      </c>
      <c r="E18">
        <v>17</v>
      </c>
      <c r="F18" s="91" t="str">
        <f t="shared" si="0"/>
        <v>131209131209 Kindergarten/PreSchool Education and Teaching (NEW)</v>
      </c>
    </row>
    <row r="19" spans="1:6" ht="16.5" customHeight="1" x14ac:dyDescent="0.25">
      <c r="A19" s="81">
        <v>131302</v>
      </c>
      <c r="B19" t="s">
        <v>1046</v>
      </c>
      <c r="E19">
        <v>18</v>
      </c>
      <c r="F19" s="91" t="str">
        <f t="shared" si="0"/>
        <v>131302131302 Art Teacher Education</v>
      </c>
    </row>
    <row r="20" spans="1:6" ht="16.5" customHeight="1" x14ac:dyDescent="0.25">
      <c r="A20" s="81">
        <v>131305</v>
      </c>
      <c r="B20" t="s">
        <v>1047</v>
      </c>
      <c r="E20">
        <v>19</v>
      </c>
      <c r="F20" s="91" t="str">
        <f t="shared" si="0"/>
        <v>131305131305 English/Language Arts Teacher Education</v>
      </c>
    </row>
    <row r="21" spans="1:6" ht="16.5" customHeight="1" x14ac:dyDescent="0.25">
      <c r="A21" s="81">
        <v>131307</v>
      </c>
      <c r="B21" t="s">
        <v>1048</v>
      </c>
      <c r="E21">
        <v>20</v>
      </c>
      <c r="F21" s="91" t="str">
        <f t="shared" si="0"/>
        <v>131307131307 Health Teacher Education</v>
      </c>
    </row>
    <row r="22" spans="1:6" ht="16.5" customHeight="1" x14ac:dyDescent="0.25">
      <c r="A22" s="81">
        <v>131308</v>
      </c>
      <c r="B22" t="s">
        <v>1049</v>
      </c>
      <c r="E22">
        <v>21</v>
      </c>
      <c r="F22" s="91" t="str">
        <f t="shared" si="0"/>
        <v>131308131308 Family and Consumer Sciences/Home Economics Teacher Education</v>
      </c>
    </row>
    <row r="23" spans="1:6" ht="16.5" customHeight="1" x14ac:dyDescent="0.25">
      <c r="A23" s="81">
        <v>131311</v>
      </c>
      <c r="B23" t="s">
        <v>1050</v>
      </c>
      <c r="E23">
        <v>22</v>
      </c>
      <c r="F23" s="91" t="str">
        <f t="shared" si="0"/>
        <v xml:space="preserve">131311131311 Mathematics Teacher Education </v>
      </c>
    </row>
    <row r="24" spans="1:6" ht="16.5" customHeight="1" x14ac:dyDescent="0.25">
      <c r="A24" s="81">
        <v>131312</v>
      </c>
      <c r="B24" t="s">
        <v>1051</v>
      </c>
      <c r="E24">
        <v>23</v>
      </c>
      <c r="F24" s="91" t="str">
        <f t="shared" si="0"/>
        <v>131312131312 Music Teacher Education</v>
      </c>
    </row>
    <row r="25" spans="1:6" ht="16.5" customHeight="1" x14ac:dyDescent="0.25">
      <c r="A25" s="81">
        <v>131314</v>
      </c>
      <c r="B25" t="s">
        <v>1052</v>
      </c>
      <c r="E25">
        <v>24</v>
      </c>
      <c r="F25" s="91" t="str">
        <f t="shared" si="0"/>
        <v>131314131314 Physical Education Teaching and Coaching</v>
      </c>
    </row>
    <row r="26" spans="1:6" ht="16.5" customHeight="1" x14ac:dyDescent="0.25">
      <c r="A26" s="81">
        <v>131322</v>
      </c>
      <c r="B26" t="s">
        <v>1053</v>
      </c>
      <c r="E26">
        <v>25</v>
      </c>
      <c r="F26" s="91" t="str">
        <f t="shared" si="0"/>
        <v>131322131322 Biology Teacher Education</v>
      </c>
    </row>
    <row r="27" spans="1:6" ht="16.5" customHeight="1" x14ac:dyDescent="0.25">
      <c r="A27" s="81">
        <v>131323</v>
      </c>
      <c r="B27" t="s">
        <v>1054</v>
      </c>
      <c r="E27">
        <v>26</v>
      </c>
      <c r="F27" s="91" t="str">
        <f t="shared" si="0"/>
        <v>131323131323 Chemistry Teacher Education</v>
      </c>
    </row>
    <row r="28" spans="1:6" ht="16.5" customHeight="1" x14ac:dyDescent="0.25">
      <c r="A28" s="81">
        <v>131324</v>
      </c>
      <c r="B28" t="s">
        <v>1055</v>
      </c>
      <c r="E28">
        <v>27</v>
      </c>
      <c r="F28" s="91" t="str">
        <f t="shared" si="0"/>
        <v>131324131324 Drama and Dance Teacher Education</v>
      </c>
    </row>
    <row r="29" spans="1:6" ht="16.5" customHeight="1" x14ac:dyDescent="0.25">
      <c r="A29" s="81">
        <v>131325</v>
      </c>
      <c r="B29" t="s">
        <v>1056</v>
      </c>
      <c r="E29">
        <v>28</v>
      </c>
      <c r="F29" s="91" t="str">
        <f t="shared" si="0"/>
        <v>131325131325 French Language Teacher Education</v>
      </c>
    </row>
    <row r="30" spans="1:6" ht="16.5" customHeight="1" x14ac:dyDescent="0.25">
      <c r="A30" s="81">
        <v>131328</v>
      </c>
      <c r="B30" t="s">
        <v>1057</v>
      </c>
      <c r="E30">
        <v>29</v>
      </c>
      <c r="F30" s="91" t="str">
        <f t="shared" si="0"/>
        <v xml:space="preserve">131328131328 History Teacher Education </v>
      </c>
    </row>
    <row r="31" spans="1:6" ht="16.5" customHeight="1" x14ac:dyDescent="0.25">
      <c r="A31" s="81">
        <v>131329</v>
      </c>
      <c r="B31" t="s">
        <v>1058</v>
      </c>
      <c r="E31">
        <v>30</v>
      </c>
      <c r="F31" s="91" t="str">
        <f t="shared" si="0"/>
        <v>131329131329 Physics Teacher Education</v>
      </c>
    </row>
    <row r="32" spans="1:6" ht="16.5" customHeight="1" x14ac:dyDescent="0.25">
      <c r="A32" s="81">
        <v>131330</v>
      </c>
      <c r="B32" t="s">
        <v>1059</v>
      </c>
      <c r="E32">
        <v>31</v>
      </c>
      <c r="F32" s="91" t="str">
        <f t="shared" si="0"/>
        <v>131330131330 Spanish Language Teacher Education</v>
      </c>
    </row>
    <row r="33" spans="1:6" ht="16.5" customHeight="1" x14ac:dyDescent="0.25">
      <c r="A33" s="81">
        <v>160901</v>
      </c>
      <c r="B33" t="s">
        <v>1060</v>
      </c>
      <c r="E33">
        <v>32</v>
      </c>
      <c r="F33" s="91" t="str">
        <f t="shared" si="0"/>
        <v>160901160901 French Language and Literature</v>
      </c>
    </row>
    <row r="34" spans="1:6" ht="16.5" customHeight="1" x14ac:dyDescent="0.25">
      <c r="A34" s="81">
        <v>160905</v>
      </c>
      <c r="B34" t="s">
        <v>1061</v>
      </c>
      <c r="E34">
        <v>33</v>
      </c>
      <c r="F34" s="91" t="str">
        <f t="shared" si="0"/>
        <v>160905160905 Spanish Language and Literature</v>
      </c>
    </row>
    <row r="35" spans="1:6" ht="16.5" customHeight="1" x14ac:dyDescent="0.25">
      <c r="A35" s="81">
        <v>190101</v>
      </c>
      <c r="B35" t="s">
        <v>1062</v>
      </c>
      <c r="E35">
        <v>34</v>
      </c>
      <c r="F35" s="91" t="str">
        <f t="shared" si="0"/>
        <v>190101190101 Family and Consumer Sciences/Human Sciences- General</v>
      </c>
    </row>
    <row r="36" spans="1:6" ht="16.5" customHeight="1" x14ac:dyDescent="0.25">
      <c r="A36" s="81">
        <v>220101</v>
      </c>
      <c r="B36" t="s">
        <v>1063</v>
      </c>
      <c r="E36">
        <v>35</v>
      </c>
      <c r="F36" s="91" t="str">
        <f t="shared" si="0"/>
        <v>220101220101 Law (LL.B. J.D.)</v>
      </c>
    </row>
    <row r="37" spans="1:6" ht="16.5" customHeight="1" x14ac:dyDescent="0.25">
      <c r="A37" s="81">
        <v>230101</v>
      </c>
      <c r="B37" t="s">
        <v>1064</v>
      </c>
      <c r="E37">
        <v>36</v>
      </c>
      <c r="F37" s="91" t="str">
        <f t="shared" si="0"/>
        <v>230101230101 English Language and Literature- General</v>
      </c>
    </row>
    <row r="38" spans="1:6" ht="16.5" customHeight="1" x14ac:dyDescent="0.25">
      <c r="A38" s="81">
        <v>250101</v>
      </c>
      <c r="B38" t="s">
        <v>1065</v>
      </c>
      <c r="E38">
        <v>37</v>
      </c>
      <c r="F38" s="91" t="str">
        <f t="shared" si="0"/>
        <v>250101250101 Library Science/Librarianship</v>
      </c>
    </row>
    <row r="39" spans="1:6" ht="16.5" customHeight="1" x14ac:dyDescent="0.25">
      <c r="A39" s="81">
        <v>260101</v>
      </c>
      <c r="B39" t="s">
        <v>1066</v>
      </c>
      <c r="E39">
        <v>38</v>
      </c>
      <c r="F39" s="91" t="str">
        <f t="shared" si="0"/>
        <v>260101260101 Biology/Biological Sciences- General</v>
      </c>
    </row>
    <row r="40" spans="1:6" ht="16.5" customHeight="1" x14ac:dyDescent="0.25">
      <c r="A40" s="81">
        <v>270101</v>
      </c>
      <c r="B40" t="s">
        <v>1067</v>
      </c>
      <c r="E40">
        <v>39</v>
      </c>
      <c r="F40" s="91" t="str">
        <f t="shared" si="0"/>
        <v>270101270101 Mathematics- General</v>
      </c>
    </row>
    <row r="41" spans="1:6" ht="16.5" customHeight="1" x14ac:dyDescent="0.25">
      <c r="A41" s="81">
        <v>310301</v>
      </c>
      <c r="B41" t="s">
        <v>1068</v>
      </c>
      <c r="E41">
        <v>40</v>
      </c>
      <c r="F41" s="91" t="str">
        <f t="shared" si="0"/>
        <v>310301310301 Parks  Recreation and Leisure Facilities Management</v>
      </c>
    </row>
    <row r="42" spans="1:6" ht="16.5" customHeight="1" x14ac:dyDescent="0.25">
      <c r="A42" s="81">
        <v>310501</v>
      </c>
      <c r="B42" t="s">
        <v>1069</v>
      </c>
      <c r="E42">
        <v>41</v>
      </c>
      <c r="F42" s="91" t="str">
        <f t="shared" si="0"/>
        <v>310501310501 Health and Physical Education- General</v>
      </c>
    </row>
    <row r="43" spans="1:6" ht="16.5" customHeight="1" x14ac:dyDescent="0.25">
      <c r="A43" s="81">
        <v>400501</v>
      </c>
      <c r="B43" t="s">
        <v>1070</v>
      </c>
      <c r="E43">
        <v>42</v>
      </c>
      <c r="F43" s="91" t="str">
        <f t="shared" si="0"/>
        <v>400501400501 Chemistry- General</v>
      </c>
    </row>
    <row r="44" spans="1:6" ht="16.5" customHeight="1" x14ac:dyDescent="0.25">
      <c r="A44" s="81">
        <v>400601</v>
      </c>
      <c r="B44" t="s">
        <v>1071</v>
      </c>
      <c r="E44">
        <v>43</v>
      </c>
      <c r="F44" s="91" t="str">
        <f t="shared" si="0"/>
        <v>400601400601 Geology/Earth Science</v>
      </c>
    </row>
    <row r="45" spans="1:6" ht="16.5" customHeight="1" x14ac:dyDescent="0.25">
      <c r="A45" s="81">
        <v>400801</v>
      </c>
      <c r="B45" t="s">
        <v>1072</v>
      </c>
      <c r="E45">
        <v>44</v>
      </c>
      <c r="F45" s="91" t="str">
        <f t="shared" si="0"/>
        <v>400801400801 Physics- General</v>
      </c>
    </row>
    <row r="46" spans="1:6" ht="16.5" customHeight="1" x14ac:dyDescent="0.25">
      <c r="A46" s="81">
        <v>420101</v>
      </c>
      <c r="B46" t="s">
        <v>1073</v>
      </c>
      <c r="E46">
        <v>45</v>
      </c>
      <c r="F46" s="91" t="str">
        <f t="shared" si="0"/>
        <v>420101420101 Psychology- General</v>
      </c>
    </row>
    <row r="47" spans="1:6" ht="16.5" customHeight="1" x14ac:dyDescent="0.25">
      <c r="A47" s="81">
        <v>430103</v>
      </c>
      <c r="B47" t="s">
        <v>1074</v>
      </c>
      <c r="E47">
        <v>46</v>
      </c>
      <c r="F47" s="91" t="str">
        <f t="shared" si="0"/>
        <v>430103430103 Criminal Justice/Law Enforcement Administration</v>
      </c>
    </row>
    <row r="48" spans="1:6" ht="16.5" customHeight="1" x14ac:dyDescent="0.25">
      <c r="A48" s="81">
        <v>430104</v>
      </c>
      <c r="B48" t="s">
        <v>1075</v>
      </c>
      <c r="E48">
        <v>47</v>
      </c>
      <c r="F48" s="91" t="str">
        <f t="shared" si="0"/>
        <v>430104430104 Criminal Justice/Safety Studies</v>
      </c>
    </row>
    <row r="49" spans="1:6" ht="16.5" customHeight="1" x14ac:dyDescent="0.25">
      <c r="A49" s="81">
        <v>440401</v>
      </c>
      <c r="B49" t="s">
        <v>1076</v>
      </c>
      <c r="E49">
        <v>48</v>
      </c>
      <c r="F49" s="91" t="str">
        <f t="shared" si="0"/>
        <v>440401440401 Public Administration</v>
      </c>
    </row>
    <row r="50" spans="1:6" ht="16.5" customHeight="1" x14ac:dyDescent="0.25">
      <c r="A50" s="81">
        <v>440701</v>
      </c>
      <c r="B50" t="s">
        <v>1077</v>
      </c>
      <c r="E50">
        <v>49</v>
      </c>
      <c r="F50" s="91" t="str">
        <f t="shared" si="0"/>
        <v>440701440701 Social Work</v>
      </c>
    </row>
    <row r="51" spans="1:6" ht="16.5" customHeight="1" x14ac:dyDescent="0.25">
      <c r="A51" s="81">
        <v>450701</v>
      </c>
      <c r="B51" t="s">
        <v>1078</v>
      </c>
      <c r="E51">
        <v>50</v>
      </c>
      <c r="F51" s="91" t="str">
        <f t="shared" si="0"/>
        <v>450701450701 Geography</v>
      </c>
    </row>
    <row r="52" spans="1:6" ht="16.5" customHeight="1" x14ac:dyDescent="0.25">
      <c r="A52" s="81">
        <v>451001</v>
      </c>
      <c r="B52" t="s">
        <v>1079</v>
      </c>
      <c r="E52">
        <v>51</v>
      </c>
      <c r="F52" s="91" t="str">
        <f t="shared" si="0"/>
        <v>451001451001 Political Science and Government- General</v>
      </c>
    </row>
    <row r="53" spans="1:6" ht="16.5" customHeight="1" x14ac:dyDescent="0.25">
      <c r="A53" s="81">
        <v>451101</v>
      </c>
      <c r="B53" t="s">
        <v>1080</v>
      </c>
      <c r="E53">
        <v>52</v>
      </c>
      <c r="F53" s="91" t="str">
        <f t="shared" si="0"/>
        <v>451101451101 Sociology</v>
      </c>
    </row>
    <row r="54" spans="1:6" ht="16.5" customHeight="1" x14ac:dyDescent="0.25">
      <c r="A54" s="81">
        <v>500501</v>
      </c>
      <c r="B54" t="s">
        <v>1081</v>
      </c>
      <c r="E54">
        <v>53</v>
      </c>
      <c r="F54" s="91" t="str">
        <f t="shared" si="0"/>
        <v>500501500501 Drama and Dramatics/Theatre Arts- General</v>
      </c>
    </row>
    <row r="55" spans="1:6" ht="16.5" customHeight="1" x14ac:dyDescent="0.25">
      <c r="A55" s="81">
        <v>500701</v>
      </c>
      <c r="B55" t="s">
        <v>1082</v>
      </c>
      <c r="E55">
        <v>54</v>
      </c>
      <c r="F55" s="91" t="str">
        <f t="shared" si="0"/>
        <v>500701500701 Art/Art Studies- General</v>
      </c>
    </row>
    <row r="56" spans="1:6" ht="16.5" customHeight="1" x14ac:dyDescent="0.25">
      <c r="A56" s="81">
        <v>500901</v>
      </c>
      <c r="B56" t="s">
        <v>1083</v>
      </c>
      <c r="E56">
        <v>55</v>
      </c>
      <c r="F56" s="91" t="str">
        <f t="shared" si="0"/>
        <v>500901500901 Music- General</v>
      </c>
    </row>
    <row r="57" spans="1:6" ht="16.5" customHeight="1" x14ac:dyDescent="0.25">
      <c r="A57" s="81">
        <v>500910</v>
      </c>
      <c r="B57" t="s">
        <v>1084</v>
      </c>
      <c r="E57">
        <v>56</v>
      </c>
      <c r="F57" s="91" t="str">
        <f t="shared" si="0"/>
        <v>500910500910 Jazz/Jazz Studies (NEW)</v>
      </c>
    </row>
    <row r="58" spans="1:6" ht="16.5" customHeight="1" x14ac:dyDescent="0.25">
      <c r="A58" s="81">
        <v>510201</v>
      </c>
      <c r="B58" t="s">
        <v>1085</v>
      </c>
      <c r="E58">
        <v>57</v>
      </c>
      <c r="F58" s="91" t="str">
        <f t="shared" si="0"/>
        <v>510201510201 Communication Disorders- General</v>
      </c>
    </row>
    <row r="59" spans="1:6" ht="16.5" customHeight="1" x14ac:dyDescent="0.25">
      <c r="A59" s="81">
        <v>510913</v>
      </c>
      <c r="B59" t="s">
        <v>1086</v>
      </c>
      <c r="E59">
        <v>58</v>
      </c>
      <c r="F59" s="91" t="str">
        <f t="shared" si="0"/>
        <v>510913510913 Athletic Training/Trainer</v>
      </c>
    </row>
    <row r="60" spans="1:6" ht="16.5" customHeight="1" x14ac:dyDescent="0.25">
      <c r="A60" s="81">
        <v>511601</v>
      </c>
      <c r="B60" t="s">
        <v>1087</v>
      </c>
      <c r="E60">
        <v>59</v>
      </c>
      <c r="F60" s="91" t="str">
        <f t="shared" si="0"/>
        <v>511601511601 Nursing - Registered Nurse Training (RN ASN BSN  MSN)</v>
      </c>
    </row>
    <row r="61" spans="1:6" ht="16.5" customHeight="1" x14ac:dyDescent="0.25">
      <c r="A61" s="81">
        <v>512207</v>
      </c>
      <c r="B61" t="s">
        <v>1088</v>
      </c>
      <c r="E61">
        <v>60</v>
      </c>
      <c r="F61" s="91" t="str">
        <f t="shared" si="0"/>
        <v>512207512207 Public Health Education and Promotion</v>
      </c>
    </row>
    <row r="62" spans="1:6" ht="16.5" customHeight="1" x14ac:dyDescent="0.25">
      <c r="A62" s="81">
        <v>512309</v>
      </c>
      <c r="B62" t="s">
        <v>1089</v>
      </c>
      <c r="E62">
        <v>61</v>
      </c>
      <c r="F62" s="91" t="str">
        <f t="shared" si="0"/>
        <v>512309512309 Therapeutic Recreation/Recreational Therapy</v>
      </c>
    </row>
    <row r="63" spans="1:6" ht="16.5" customHeight="1" x14ac:dyDescent="0.25">
      <c r="A63" s="81">
        <v>520201</v>
      </c>
      <c r="B63" t="s">
        <v>1090</v>
      </c>
      <c r="E63">
        <v>62</v>
      </c>
      <c r="F63" s="91" t="str">
        <f t="shared" si="0"/>
        <v>520201520201 Business Administration and Management- General</v>
      </c>
    </row>
    <row r="64" spans="1:6" ht="16.5" customHeight="1" x14ac:dyDescent="0.25">
      <c r="A64" s="81">
        <v>520301</v>
      </c>
      <c r="B64" t="s">
        <v>1091</v>
      </c>
      <c r="E64">
        <v>63</v>
      </c>
      <c r="F64" s="91" t="str">
        <f t="shared" si="0"/>
        <v>520301520301 Accounting</v>
      </c>
    </row>
    <row r="65" spans="1:6" ht="16.5" customHeight="1" x14ac:dyDescent="0.25">
      <c r="A65" s="81">
        <v>520901</v>
      </c>
      <c r="B65" t="s">
        <v>1092</v>
      </c>
      <c r="E65">
        <v>64</v>
      </c>
      <c r="F65" s="91" t="str">
        <f t="shared" si="0"/>
        <v>520901520901 Hospitality Administration/Management- General</v>
      </c>
    </row>
    <row r="66" spans="1:6" ht="16.5" customHeight="1" x14ac:dyDescent="0.25">
      <c r="A66" s="81">
        <v>540101</v>
      </c>
      <c r="B66" t="s">
        <v>1093</v>
      </c>
      <c r="E66">
        <v>65</v>
      </c>
      <c r="F66" s="91" t="str">
        <f t="shared" si="0"/>
        <v>540101540101 History- General</v>
      </c>
    </row>
    <row r="67" spans="1:6" x14ac:dyDescent="0.25">
      <c r="B67" t="s">
        <v>159</v>
      </c>
      <c r="E67">
        <v>66</v>
      </c>
      <c r="F67" s="92" t="s">
        <v>387</v>
      </c>
    </row>
    <row r="70" spans="1:6" x14ac:dyDescent="0.25">
      <c r="F70" s="81" t="str">
        <f>VLOOKUP(D2,E2:F68,2,FALSE)</f>
        <v xml:space="preserve"> </v>
      </c>
    </row>
  </sheetData>
  <pageMargins left="0.75" right="0.75" top="1" bottom="1" header="0.5" footer="0.5"/>
  <pageSetup orientation="portrait" horizontalDpi="4294967294"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1265" r:id="rId4" name="Option Button 1">
              <controlPr defaultSize="0" autoFill="0" autoLine="0" autoPict="0">
                <anchor moveWithCells="1">
                  <from>
                    <xdr:col>2</xdr:col>
                    <xdr:colOff>0</xdr:colOff>
                    <xdr:row>1</xdr:row>
                    <xdr:rowOff>7620</xdr:rowOff>
                  </from>
                  <to>
                    <xdr:col>13</xdr:col>
                    <xdr:colOff>91440</xdr:colOff>
                    <xdr:row>2</xdr:row>
                    <xdr:rowOff>30480</xdr:rowOff>
                  </to>
                </anchor>
              </controlPr>
            </control>
          </mc:Choice>
        </mc:AlternateContent>
        <mc:AlternateContent xmlns:mc="http://schemas.openxmlformats.org/markup-compatibility/2006">
          <mc:Choice Requires="x14">
            <control shapeId="11266" r:id="rId5" name="Option Button 2">
              <controlPr defaultSize="0" autoFill="0" autoLine="0" autoPict="0">
                <anchor moveWithCells="1">
                  <from>
                    <xdr:col>2</xdr:col>
                    <xdr:colOff>0</xdr:colOff>
                    <xdr:row>2</xdr:row>
                    <xdr:rowOff>7620</xdr:rowOff>
                  </from>
                  <to>
                    <xdr:col>13</xdr:col>
                    <xdr:colOff>91440</xdr:colOff>
                    <xdr:row>3</xdr:row>
                    <xdr:rowOff>30480</xdr:rowOff>
                  </to>
                </anchor>
              </controlPr>
            </control>
          </mc:Choice>
        </mc:AlternateContent>
        <mc:AlternateContent xmlns:mc="http://schemas.openxmlformats.org/markup-compatibility/2006">
          <mc:Choice Requires="x14">
            <control shapeId="11267" r:id="rId6" name="Option Button 3">
              <controlPr defaultSize="0" autoFill="0" autoLine="0" autoPict="0">
                <anchor moveWithCells="1">
                  <from>
                    <xdr:col>2</xdr:col>
                    <xdr:colOff>0</xdr:colOff>
                    <xdr:row>3</xdr:row>
                    <xdr:rowOff>7620</xdr:rowOff>
                  </from>
                  <to>
                    <xdr:col>13</xdr:col>
                    <xdr:colOff>91440</xdr:colOff>
                    <xdr:row>4</xdr:row>
                    <xdr:rowOff>30480</xdr:rowOff>
                  </to>
                </anchor>
              </controlPr>
            </control>
          </mc:Choice>
        </mc:AlternateContent>
        <mc:AlternateContent xmlns:mc="http://schemas.openxmlformats.org/markup-compatibility/2006">
          <mc:Choice Requires="x14">
            <control shapeId="11268" r:id="rId7" name="Option Button 4">
              <controlPr defaultSize="0" autoFill="0" autoLine="0" autoPict="0">
                <anchor moveWithCells="1">
                  <from>
                    <xdr:col>2</xdr:col>
                    <xdr:colOff>0</xdr:colOff>
                    <xdr:row>4</xdr:row>
                    <xdr:rowOff>7620</xdr:rowOff>
                  </from>
                  <to>
                    <xdr:col>13</xdr:col>
                    <xdr:colOff>91440</xdr:colOff>
                    <xdr:row>5</xdr:row>
                    <xdr:rowOff>30480</xdr:rowOff>
                  </to>
                </anchor>
              </controlPr>
            </control>
          </mc:Choice>
        </mc:AlternateContent>
        <mc:AlternateContent xmlns:mc="http://schemas.openxmlformats.org/markup-compatibility/2006">
          <mc:Choice Requires="x14">
            <control shapeId="11269" r:id="rId8" name="Option Button 5">
              <controlPr defaultSize="0" autoFill="0" autoLine="0" autoPict="0">
                <anchor moveWithCells="1">
                  <from>
                    <xdr:col>2</xdr:col>
                    <xdr:colOff>0</xdr:colOff>
                    <xdr:row>5</xdr:row>
                    <xdr:rowOff>7620</xdr:rowOff>
                  </from>
                  <to>
                    <xdr:col>13</xdr:col>
                    <xdr:colOff>91440</xdr:colOff>
                    <xdr:row>6</xdr:row>
                    <xdr:rowOff>30480</xdr:rowOff>
                  </to>
                </anchor>
              </controlPr>
            </control>
          </mc:Choice>
        </mc:AlternateContent>
        <mc:AlternateContent xmlns:mc="http://schemas.openxmlformats.org/markup-compatibility/2006">
          <mc:Choice Requires="x14">
            <control shapeId="11270" r:id="rId9" name="Option Button 6">
              <controlPr defaultSize="0" autoFill="0" autoLine="0" autoPict="0">
                <anchor moveWithCells="1">
                  <from>
                    <xdr:col>2</xdr:col>
                    <xdr:colOff>0</xdr:colOff>
                    <xdr:row>6</xdr:row>
                    <xdr:rowOff>7620</xdr:rowOff>
                  </from>
                  <to>
                    <xdr:col>13</xdr:col>
                    <xdr:colOff>91440</xdr:colOff>
                    <xdr:row>7</xdr:row>
                    <xdr:rowOff>30480</xdr:rowOff>
                  </to>
                </anchor>
              </controlPr>
            </control>
          </mc:Choice>
        </mc:AlternateContent>
        <mc:AlternateContent xmlns:mc="http://schemas.openxmlformats.org/markup-compatibility/2006">
          <mc:Choice Requires="x14">
            <control shapeId="11271" r:id="rId10" name="Option Button 7">
              <controlPr defaultSize="0" autoFill="0" autoLine="0" autoPict="0">
                <anchor moveWithCells="1">
                  <from>
                    <xdr:col>2</xdr:col>
                    <xdr:colOff>0</xdr:colOff>
                    <xdr:row>7</xdr:row>
                    <xdr:rowOff>7620</xdr:rowOff>
                  </from>
                  <to>
                    <xdr:col>13</xdr:col>
                    <xdr:colOff>91440</xdr:colOff>
                    <xdr:row>8</xdr:row>
                    <xdr:rowOff>30480</xdr:rowOff>
                  </to>
                </anchor>
              </controlPr>
            </control>
          </mc:Choice>
        </mc:AlternateContent>
        <mc:AlternateContent xmlns:mc="http://schemas.openxmlformats.org/markup-compatibility/2006">
          <mc:Choice Requires="x14">
            <control shapeId="11272" r:id="rId11" name="Option Button 8">
              <controlPr defaultSize="0" autoFill="0" autoLine="0" autoPict="0">
                <anchor moveWithCells="1">
                  <from>
                    <xdr:col>2</xdr:col>
                    <xdr:colOff>0</xdr:colOff>
                    <xdr:row>8</xdr:row>
                    <xdr:rowOff>7620</xdr:rowOff>
                  </from>
                  <to>
                    <xdr:col>13</xdr:col>
                    <xdr:colOff>91440</xdr:colOff>
                    <xdr:row>9</xdr:row>
                    <xdr:rowOff>30480</xdr:rowOff>
                  </to>
                </anchor>
              </controlPr>
            </control>
          </mc:Choice>
        </mc:AlternateContent>
        <mc:AlternateContent xmlns:mc="http://schemas.openxmlformats.org/markup-compatibility/2006">
          <mc:Choice Requires="x14">
            <control shapeId="11273" r:id="rId12" name="Option Button 9">
              <controlPr defaultSize="0" autoFill="0" autoLine="0" autoPict="0">
                <anchor moveWithCells="1">
                  <from>
                    <xdr:col>2</xdr:col>
                    <xdr:colOff>0</xdr:colOff>
                    <xdr:row>9</xdr:row>
                    <xdr:rowOff>7620</xdr:rowOff>
                  </from>
                  <to>
                    <xdr:col>13</xdr:col>
                    <xdr:colOff>91440</xdr:colOff>
                    <xdr:row>10</xdr:row>
                    <xdr:rowOff>30480</xdr:rowOff>
                  </to>
                </anchor>
              </controlPr>
            </control>
          </mc:Choice>
        </mc:AlternateContent>
        <mc:AlternateContent xmlns:mc="http://schemas.openxmlformats.org/markup-compatibility/2006">
          <mc:Choice Requires="x14">
            <control shapeId="11274" r:id="rId13" name="Option Button 10">
              <controlPr defaultSize="0" autoFill="0" autoLine="0" autoPict="0">
                <anchor moveWithCells="1">
                  <from>
                    <xdr:col>2</xdr:col>
                    <xdr:colOff>0</xdr:colOff>
                    <xdr:row>10</xdr:row>
                    <xdr:rowOff>7620</xdr:rowOff>
                  </from>
                  <to>
                    <xdr:col>13</xdr:col>
                    <xdr:colOff>91440</xdr:colOff>
                    <xdr:row>11</xdr:row>
                    <xdr:rowOff>30480</xdr:rowOff>
                  </to>
                </anchor>
              </controlPr>
            </control>
          </mc:Choice>
        </mc:AlternateContent>
        <mc:AlternateContent xmlns:mc="http://schemas.openxmlformats.org/markup-compatibility/2006">
          <mc:Choice Requires="x14">
            <control shapeId="11275" r:id="rId14" name="Option Button 11">
              <controlPr defaultSize="0" autoFill="0" autoLine="0" autoPict="0">
                <anchor moveWithCells="1">
                  <from>
                    <xdr:col>2</xdr:col>
                    <xdr:colOff>0</xdr:colOff>
                    <xdr:row>11</xdr:row>
                    <xdr:rowOff>7620</xdr:rowOff>
                  </from>
                  <to>
                    <xdr:col>13</xdr:col>
                    <xdr:colOff>91440</xdr:colOff>
                    <xdr:row>12</xdr:row>
                    <xdr:rowOff>30480</xdr:rowOff>
                  </to>
                </anchor>
              </controlPr>
            </control>
          </mc:Choice>
        </mc:AlternateContent>
        <mc:AlternateContent xmlns:mc="http://schemas.openxmlformats.org/markup-compatibility/2006">
          <mc:Choice Requires="x14">
            <control shapeId="11276" r:id="rId15" name="Option Button 12">
              <controlPr defaultSize="0" autoFill="0" autoLine="0" autoPict="0">
                <anchor moveWithCells="1">
                  <from>
                    <xdr:col>2</xdr:col>
                    <xdr:colOff>0</xdr:colOff>
                    <xdr:row>12</xdr:row>
                    <xdr:rowOff>7620</xdr:rowOff>
                  </from>
                  <to>
                    <xdr:col>13</xdr:col>
                    <xdr:colOff>91440</xdr:colOff>
                    <xdr:row>13</xdr:row>
                    <xdr:rowOff>30480</xdr:rowOff>
                  </to>
                </anchor>
              </controlPr>
            </control>
          </mc:Choice>
        </mc:AlternateContent>
        <mc:AlternateContent xmlns:mc="http://schemas.openxmlformats.org/markup-compatibility/2006">
          <mc:Choice Requires="x14">
            <control shapeId="11277" r:id="rId16" name="Option Button 13">
              <controlPr defaultSize="0" autoFill="0" autoLine="0" autoPict="0">
                <anchor moveWithCells="1">
                  <from>
                    <xdr:col>2</xdr:col>
                    <xdr:colOff>0</xdr:colOff>
                    <xdr:row>13</xdr:row>
                    <xdr:rowOff>7620</xdr:rowOff>
                  </from>
                  <to>
                    <xdr:col>13</xdr:col>
                    <xdr:colOff>91440</xdr:colOff>
                    <xdr:row>14</xdr:row>
                    <xdr:rowOff>30480</xdr:rowOff>
                  </to>
                </anchor>
              </controlPr>
            </control>
          </mc:Choice>
        </mc:AlternateContent>
        <mc:AlternateContent xmlns:mc="http://schemas.openxmlformats.org/markup-compatibility/2006">
          <mc:Choice Requires="x14">
            <control shapeId="11278" r:id="rId17" name="Option Button 14">
              <controlPr defaultSize="0" autoFill="0" autoLine="0" autoPict="0">
                <anchor moveWithCells="1">
                  <from>
                    <xdr:col>2</xdr:col>
                    <xdr:colOff>0</xdr:colOff>
                    <xdr:row>14</xdr:row>
                    <xdr:rowOff>7620</xdr:rowOff>
                  </from>
                  <to>
                    <xdr:col>13</xdr:col>
                    <xdr:colOff>91440</xdr:colOff>
                    <xdr:row>15</xdr:row>
                    <xdr:rowOff>30480</xdr:rowOff>
                  </to>
                </anchor>
              </controlPr>
            </control>
          </mc:Choice>
        </mc:AlternateContent>
        <mc:AlternateContent xmlns:mc="http://schemas.openxmlformats.org/markup-compatibility/2006">
          <mc:Choice Requires="x14">
            <control shapeId="11279" r:id="rId18" name="Option Button 15">
              <controlPr defaultSize="0" autoFill="0" autoLine="0" autoPict="0">
                <anchor moveWithCells="1">
                  <from>
                    <xdr:col>2</xdr:col>
                    <xdr:colOff>0</xdr:colOff>
                    <xdr:row>15</xdr:row>
                    <xdr:rowOff>7620</xdr:rowOff>
                  </from>
                  <to>
                    <xdr:col>13</xdr:col>
                    <xdr:colOff>91440</xdr:colOff>
                    <xdr:row>16</xdr:row>
                    <xdr:rowOff>30480</xdr:rowOff>
                  </to>
                </anchor>
              </controlPr>
            </control>
          </mc:Choice>
        </mc:AlternateContent>
        <mc:AlternateContent xmlns:mc="http://schemas.openxmlformats.org/markup-compatibility/2006">
          <mc:Choice Requires="x14">
            <control shapeId="11280" r:id="rId19" name="Option Button 16">
              <controlPr defaultSize="0" autoFill="0" autoLine="0" autoPict="0">
                <anchor moveWithCells="1">
                  <from>
                    <xdr:col>2</xdr:col>
                    <xdr:colOff>0</xdr:colOff>
                    <xdr:row>16</xdr:row>
                    <xdr:rowOff>7620</xdr:rowOff>
                  </from>
                  <to>
                    <xdr:col>13</xdr:col>
                    <xdr:colOff>91440</xdr:colOff>
                    <xdr:row>17</xdr:row>
                    <xdr:rowOff>30480</xdr:rowOff>
                  </to>
                </anchor>
              </controlPr>
            </control>
          </mc:Choice>
        </mc:AlternateContent>
        <mc:AlternateContent xmlns:mc="http://schemas.openxmlformats.org/markup-compatibility/2006">
          <mc:Choice Requires="x14">
            <control shapeId="11281" r:id="rId20" name="Option Button 17">
              <controlPr defaultSize="0" autoFill="0" autoLine="0" autoPict="0">
                <anchor moveWithCells="1">
                  <from>
                    <xdr:col>2</xdr:col>
                    <xdr:colOff>0</xdr:colOff>
                    <xdr:row>17</xdr:row>
                    <xdr:rowOff>7620</xdr:rowOff>
                  </from>
                  <to>
                    <xdr:col>13</xdr:col>
                    <xdr:colOff>91440</xdr:colOff>
                    <xdr:row>18</xdr:row>
                    <xdr:rowOff>30480</xdr:rowOff>
                  </to>
                </anchor>
              </controlPr>
            </control>
          </mc:Choice>
        </mc:AlternateContent>
        <mc:AlternateContent xmlns:mc="http://schemas.openxmlformats.org/markup-compatibility/2006">
          <mc:Choice Requires="x14">
            <control shapeId="11282" r:id="rId21" name="Option Button 18">
              <controlPr defaultSize="0" autoFill="0" autoLine="0" autoPict="0">
                <anchor moveWithCells="1">
                  <from>
                    <xdr:col>2</xdr:col>
                    <xdr:colOff>0</xdr:colOff>
                    <xdr:row>18</xdr:row>
                    <xdr:rowOff>7620</xdr:rowOff>
                  </from>
                  <to>
                    <xdr:col>13</xdr:col>
                    <xdr:colOff>91440</xdr:colOff>
                    <xdr:row>19</xdr:row>
                    <xdr:rowOff>30480</xdr:rowOff>
                  </to>
                </anchor>
              </controlPr>
            </control>
          </mc:Choice>
        </mc:AlternateContent>
        <mc:AlternateContent xmlns:mc="http://schemas.openxmlformats.org/markup-compatibility/2006">
          <mc:Choice Requires="x14">
            <control shapeId="11283" r:id="rId22" name="Option Button 19">
              <controlPr defaultSize="0" autoFill="0" autoLine="0" autoPict="0">
                <anchor moveWithCells="1">
                  <from>
                    <xdr:col>2</xdr:col>
                    <xdr:colOff>0</xdr:colOff>
                    <xdr:row>19</xdr:row>
                    <xdr:rowOff>7620</xdr:rowOff>
                  </from>
                  <to>
                    <xdr:col>13</xdr:col>
                    <xdr:colOff>91440</xdr:colOff>
                    <xdr:row>20</xdr:row>
                    <xdr:rowOff>30480</xdr:rowOff>
                  </to>
                </anchor>
              </controlPr>
            </control>
          </mc:Choice>
        </mc:AlternateContent>
        <mc:AlternateContent xmlns:mc="http://schemas.openxmlformats.org/markup-compatibility/2006">
          <mc:Choice Requires="x14">
            <control shapeId="11284" r:id="rId23" name="Option Button 20">
              <controlPr defaultSize="0" autoFill="0" autoLine="0" autoPict="0">
                <anchor moveWithCells="1">
                  <from>
                    <xdr:col>2</xdr:col>
                    <xdr:colOff>0</xdr:colOff>
                    <xdr:row>20</xdr:row>
                    <xdr:rowOff>7620</xdr:rowOff>
                  </from>
                  <to>
                    <xdr:col>13</xdr:col>
                    <xdr:colOff>91440</xdr:colOff>
                    <xdr:row>21</xdr:row>
                    <xdr:rowOff>30480</xdr:rowOff>
                  </to>
                </anchor>
              </controlPr>
            </control>
          </mc:Choice>
        </mc:AlternateContent>
        <mc:AlternateContent xmlns:mc="http://schemas.openxmlformats.org/markup-compatibility/2006">
          <mc:Choice Requires="x14">
            <control shapeId="11285" r:id="rId24" name="Option Button 21">
              <controlPr defaultSize="0" autoFill="0" autoLine="0" autoPict="0">
                <anchor moveWithCells="1">
                  <from>
                    <xdr:col>2</xdr:col>
                    <xdr:colOff>0</xdr:colOff>
                    <xdr:row>21</xdr:row>
                    <xdr:rowOff>7620</xdr:rowOff>
                  </from>
                  <to>
                    <xdr:col>13</xdr:col>
                    <xdr:colOff>91440</xdr:colOff>
                    <xdr:row>22</xdr:row>
                    <xdr:rowOff>30480</xdr:rowOff>
                  </to>
                </anchor>
              </controlPr>
            </control>
          </mc:Choice>
        </mc:AlternateContent>
        <mc:AlternateContent xmlns:mc="http://schemas.openxmlformats.org/markup-compatibility/2006">
          <mc:Choice Requires="x14">
            <control shapeId="11286" r:id="rId25" name="Option Button 22">
              <controlPr defaultSize="0" autoFill="0" autoLine="0" autoPict="0">
                <anchor moveWithCells="1">
                  <from>
                    <xdr:col>2</xdr:col>
                    <xdr:colOff>0</xdr:colOff>
                    <xdr:row>22</xdr:row>
                    <xdr:rowOff>7620</xdr:rowOff>
                  </from>
                  <to>
                    <xdr:col>13</xdr:col>
                    <xdr:colOff>91440</xdr:colOff>
                    <xdr:row>23</xdr:row>
                    <xdr:rowOff>30480</xdr:rowOff>
                  </to>
                </anchor>
              </controlPr>
            </control>
          </mc:Choice>
        </mc:AlternateContent>
        <mc:AlternateContent xmlns:mc="http://schemas.openxmlformats.org/markup-compatibility/2006">
          <mc:Choice Requires="x14">
            <control shapeId="11287" r:id="rId26" name="Option Button 23">
              <controlPr defaultSize="0" autoFill="0" autoLine="0" autoPict="0">
                <anchor moveWithCells="1">
                  <from>
                    <xdr:col>2</xdr:col>
                    <xdr:colOff>0</xdr:colOff>
                    <xdr:row>23</xdr:row>
                    <xdr:rowOff>7620</xdr:rowOff>
                  </from>
                  <to>
                    <xdr:col>13</xdr:col>
                    <xdr:colOff>91440</xdr:colOff>
                    <xdr:row>24</xdr:row>
                    <xdr:rowOff>30480</xdr:rowOff>
                  </to>
                </anchor>
              </controlPr>
            </control>
          </mc:Choice>
        </mc:AlternateContent>
        <mc:AlternateContent xmlns:mc="http://schemas.openxmlformats.org/markup-compatibility/2006">
          <mc:Choice Requires="x14">
            <control shapeId="11288" r:id="rId27" name="Option Button 24">
              <controlPr defaultSize="0" autoFill="0" autoLine="0" autoPict="0">
                <anchor moveWithCells="1">
                  <from>
                    <xdr:col>2</xdr:col>
                    <xdr:colOff>0</xdr:colOff>
                    <xdr:row>24</xdr:row>
                    <xdr:rowOff>7620</xdr:rowOff>
                  </from>
                  <to>
                    <xdr:col>13</xdr:col>
                    <xdr:colOff>91440</xdr:colOff>
                    <xdr:row>25</xdr:row>
                    <xdr:rowOff>30480</xdr:rowOff>
                  </to>
                </anchor>
              </controlPr>
            </control>
          </mc:Choice>
        </mc:AlternateContent>
        <mc:AlternateContent xmlns:mc="http://schemas.openxmlformats.org/markup-compatibility/2006">
          <mc:Choice Requires="x14">
            <control shapeId="11289" r:id="rId28" name="Option Button 25">
              <controlPr defaultSize="0" autoFill="0" autoLine="0" autoPict="0">
                <anchor moveWithCells="1">
                  <from>
                    <xdr:col>2</xdr:col>
                    <xdr:colOff>0</xdr:colOff>
                    <xdr:row>25</xdr:row>
                    <xdr:rowOff>7620</xdr:rowOff>
                  </from>
                  <to>
                    <xdr:col>13</xdr:col>
                    <xdr:colOff>91440</xdr:colOff>
                    <xdr:row>26</xdr:row>
                    <xdr:rowOff>30480</xdr:rowOff>
                  </to>
                </anchor>
              </controlPr>
            </control>
          </mc:Choice>
        </mc:AlternateContent>
        <mc:AlternateContent xmlns:mc="http://schemas.openxmlformats.org/markup-compatibility/2006">
          <mc:Choice Requires="x14">
            <control shapeId="11290" r:id="rId29" name="Option Button 26">
              <controlPr defaultSize="0" autoFill="0" autoLine="0" autoPict="0">
                <anchor moveWithCells="1">
                  <from>
                    <xdr:col>2</xdr:col>
                    <xdr:colOff>0</xdr:colOff>
                    <xdr:row>26</xdr:row>
                    <xdr:rowOff>7620</xdr:rowOff>
                  </from>
                  <to>
                    <xdr:col>13</xdr:col>
                    <xdr:colOff>91440</xdr:colOff>
                    <xdr:row>27</xdr:row>
                    <xdr:rowOff>30480</xdr:rowOff>
                  </to>
                </anchor>
              </controlPr>
            </control>
          </mc:Choice>
        </mc:AlternateContent>
        <mc:AlternateContent xmlns:mc="http://schemas.openxmlformats.org/markup-compatibility/2006">
          <mc:Choice Requires="x14">
            <control shapeId="11291" r:id="rId30" name="Option Button 27">
              <controlPr defaultSize="0" autoFill="0" autoLine="0" autoPict="0">
                <anchor moveWithCells="1">
                  <from>
                    <xdr:col>2</xdr:col>
                    <xdr:colOff>0</xdr:colOff>
                    <xdr:row>27</xdr:row>
                    <xdr:rowOff>7620</xdr:rowOff>
                  </from>
                  <to>
                    <xdr:col>13</xdr:col>
                    <xdr:colOff>91440</xdr:colOff>
                    <xdr:row>28</xdr:row>
                    <xdr:rowOff>30480</xdr:rowOff>
                  </to>
                </anchor>
              </controlPr>
            </control>
          </mc:Choice>
        </mc:AlternateContent>
        <mc:AlternateContent xmlns:mc="http://schemas.openxmlformats.org/markup-compatibility/2006">
          <mc:Choice Requires="x14">
            <control shapeId="11292" r:id="rId31" name="Option Button 28">
              <controlPr defaultSize="0" autoFill="0" autoLine="0" autoPict="0">
                <anchor moveWithCells="1">
                  <from>
                    <xdr:col>2</xdr:col>
                    <xdr:colOff>0</xdr:colOff>
                    <xdr:row>28</xdr:row>
                    <xdr:rowOff>7620</xdr:rowOff>
                  </from>
                  <to>
                    <xdr:col>13</xdr:col>
                    <xdr:colOff>91440</xdr:colOff>
                    <xdr:row>29</xdr:row>
                    <xdr:rowOff>30480</xdr:rowOff>
                  </to>
                </anchor>
              </controlPr>
            </control>
          </mc:Choice>
        </mc:AlternateContent>
        <mc:AlternateContent xmlns:mc="http://schemas.openxmlformats.org/markup-compatibility/2006">
          <mc:Choice Requires="x14">
            <control shapeId="11293" r:id="rId32" name="Option Button 29">
              <controlPr defaultSize="0" autoFill="0" autoLine="0" autoPict="0">
                <anchor moveWithCells="1">
                  <from>
                    <xdr:col>2</xdr:col>
                    <xdr:colOff>0</xdr:colOff>
                    <xdr:row>29</xdr:row>
                    <xdr:rowOff>7620</xdr:rowOff>
                  </from>
                  <to>
                    <xdr:col>13</xdr:col>
                    <xdr:colOff>91440</xdr:colOff>
                    <xdr:row>30</xdr:row>
                    <xdr:rowOff>30480</xdr:rowOff>
                  </to>
                </anchor>
              </controlPr>
            </control>
          </mc:Choice>
        </mc:AlternateContent>
        <mc:AlternateContent xmlns:mc="http://schemas.openxmlformats.org/markup-compatibility/2006">
          <mc:Choice Requires="x14">
            <control shapeId="11294" r:id="rId33" name="Option Button 30">
              <controlPr defaultSize="0" autoFill="0" autoLine="0" autoPict="0">
                <anchor moveWithCells="1">
                  <from>
                    <xdr:col>2</xdr:col>
                    <xdr:colOff>0</xdr:colOff>
                    <xdr:row>30</xdr:row>
                    <xdr:rowOff>7620</xdr:rowOff>
                  </from>
                  <to>
                    <xdr:col>13</xdr:col>
                    <xdr:colOff>91440</xdr:colOff>
                    <xdr:row>31</xdr:row>
                    <xdr:rowOff>30480</xdr:rowOff>
                  </to>
                </anchor>
              </controlPr>
            </control>
          </mc:Choice>
        </mc:AlternateContent>
        <mc:AlternateContent xmlns:mc="http://schemas.openxmlformats.org/markup-compatibility/2006">
          <mc:Choice Requires="x14">
            <control shapeId="11295" r:id="rId34" name="Option Button 31">
              <controlPr defaultSize="0" autoFill="0" autoLine="0" autoPict="0">
                <anchor moveWithCells="1">
                  <from>
                    <xdr:col>2</xdr:col>
                    <xdr:colOff>0</xdr:colOff>
                    <xdr:row>31</xdr:row>
                    <xdr:rowOff>7620</xdr:rowOff>
                  </from>
                  <to>
                    <xdr:col>13</xdr:col>
                    <xdr:colOff>91440</xdr:colOff>
                    <xdr:row>32</xdr:row>
                    <xdr:rowOff>30480</xdr:rowOff>
                  </to>
                </anchor>
              </controlPr>
            </control>
          </mc:Choice>
        </mc:AlternateContent>
        <mc:AlternateContent xmlns:mc="http://schemas.openxmlformats.org/markup-compatibility/2006">
          <mc:Choice Requires="x14">
            <control shapeId="11296" r:id="rId35" name="Option Button 32">
              <controlPr defaultSize="0" autoFill="0" autoLine="0" autoPict="0">
                <anchor moveWithCells="1">
                  <from>
                    <xdr:col>2</xdr:col>
                    <xdr:colOff>0</xdr:colOff>
                    <xdr:row>32</xdr:row>
                    <xdr:rowOff>7620</xdr:rowOff>
                  </from>
                  <to>
                    <xdr:col>13</xdr:col>
                    <xdr:colOff>91440</xdr:colOff>
                    <xdr:row>33</xdr:row>
                    <xdr:rowOff>30480</xdr:rowOff>
                  </to>
                </anchor>
              </controlPr>
            </control>
          </mc:Choice>
        </mc:AlternateContent>
        <mc:AlternateContent xmlns:mc="http://schemas.openxmlformats.org/markup-compatibility/2006">
          <mc:Choice Requires="x14">
            <control shapeId="11297" r:id="rId36" name="Option Button 33">
              <controlPr defaultSize="0" autoFill="0" autoLine="0" autoPict="0">
                <anchor moveWithCells="1">
                  <from>
                    <xdr:col>2</xdr:col>
                    <xdr:colOff>0</xdr:colOff>
                    <xdr:row>33</xdr:row>
                    <xdr:rowOff>7620</xdr:rowOff>
                  </from>
                  <to>
                    <xdr:col>13</xdr:col>
                    <xdr:colOff>91440</xdr:colOff>
                    <xdr:row>34</xdr:row>
                    <xdr:rowOff>30480</xdr:rowOff>
                  </to>
                </anchor>
              </controlPr>
            </control>
          </mc:Choice>
        </mc:AlternateContent>
        <mc:AlternateContent xmlns:mc="http://schemas.openxmlformats.org/markup-compatibility/2006">
          <mc:Choice Requires="x14">
            <control shapeId="11298" r:id="rId37" name="Option Button 34">
              <controlPr defaultSize="0" autoFill="0" autoLine="0" autoPict="0">
                <anchor moveWithCells="1">
                  <from>
                    <xdr:col>2</xdr:col>
                    <xdr:colOff>0</xdr:colOff>
                    <xdr:row>34</xdr:row>
                    <xdr:rowOff>7620</xdr:rowOff>
                  </from>
                  <to>
                    <xdr:col>13</xdr:col>
                    <xdr:colOff>91440</xdr:colOff>
                    <xdr:row>35</xdr:row>
                    <xdr:rowOff>30480</xdr:rowOff>
                  </to>
                </anchor>
              </controlPr>
            </control>
          </mc:Choice>
        </mc:AlternateContent>
        <mc:AlternateContent xmlns:mc="http://schemas.openxmlformats.org/markup-compatibility/2006">
          <mc:Choice Requires="x14">
            <control shapeId="11299" r:id="rId38" name="Option Button 35">
              <controlPr defaultSize="0" autoFill="0" autoLine="0" autoPict="0">
                <anchor moveWithCells="1">
                  <from>
                    <xdr:col>2</xdr:col>
                    <xdr:colOff>0</xdr:colOff>
                    <xdr:row>35</xdr:row>
                    <xdr:rowOff>7620</xdr:rowOff>
                  </from>
                  <to>
                    <xdr:col>13</xdr:col>
                    <xdr:colOff>91440</xdr:colOff>
                    <xdr:row>36</xdr:row>
                    <xdr:rowOff>30480</xdr:rowOff>
                  </to>
                </anchor>
              </controlPr>
            </control>
          </mc:Choice>
        </mc:AlternateContent>
        <mc:AlternateContent xmlns:mc="http://schemas.openxmlformats.org/markup-compatibility/2006">
          <mc:Choice Requires="x14">
            <control shapeId="11300" r:id="rId39" name="Option Button 36">
              <controlPr defaultSize="0" autoFill="0" autoLine="0" autoPict="0">
                <anchor moveWithCells="1">
                  <from>
                    <xdr:col>2</xdr:col>
                    <xdr:colOff>0</xdr:colOff>
                    <xdr:row>36</xdr:row>
                    <xdr:rowOff>7620</xdr:rowOff>
                  </from>
                  <to>
                    <xdr:col>13</xdr:col>
                    <xdr:colOff>91440</xdr:colOff>
                    <xdr:row>37</xdr:row>
                    <xdr:rowOff>30480</xdr:rowOff>
                  </to>
                </anchor>
              </controlPr>
            </control>
          </mc:Choice>
        </mc:AlternateContent>
        <mc:AlternateContent xmlns:mc="http://schemas.openxmlformats.org/markup-compatibility/2006">
          <mc:Choice Requires="x14">
            <control shapeId="11301" r:id="rId40" name="Option Button 37">
              <controlPr defaultSize="0" autoFill="0" autoLine="0" autoPict="0">
                <anchor moveWithCells="1">
                  <from>
                    <xdr:col>2</xdr:col>
                    <xdr:colOff>0</xdr:colOff>
                    <xdr:row>37</xdr:row>
                    <xdr:rowOff>7620</xdr:rowOff>
                  </from>
                  <to>
                    <xdr:col>13</xdr:col>
                    <xdr:colOff>91440</xdr:colOff>
                    <xdr:row>38</xdr:row>
                    <xdr:rowOff>30480</xdr:rowOff>
                  </to>
                </anchor>
              </controlPr>
            </control>
          </mc:Choice>
        </mc:AlternateContent>
        <mc:AlternateContent xmlns:mc="http://schemas.openxmlformats.org/markup-compatibility/2006">
          <mc:Choice Requires="x14">
            <control shapeId="11302" r:id="rId41" name="Option Button 38">
              <controlPr defaultSize="0" autoFill="0" autoLine="0" autoPict="0">
                <anchor moveWithCells="1">
                  <from>
                    <xdr:col>2</xdr:col>
                    <xdr:colOff>0</xdr:colOff>
                    <xdr:row>38</xdr:row>
                    <xdr:rowOff>7620</xdr:rowOff>
                  </from>
                  <to>
                    <xdr:col>13</xdr:col>
                    <xdr:colOff>91440</xdr:colOff>
                    <xdr:row>39</xdr:row>
                    <xdr:rowOff>30480</xdr:rowOff>
                  </to>
                </anchor>
              </controlPr>
            </control>
          </mc:Choice>
        </mc:AlternateContent>
        <mc:AlternateContent xmlns:mc="http://schemas.openxmlformats.org/markup-compatibility/2006">
          <mc:Choice Requires="x14">
            <control shapeId="11303" r:id="rId42" name="Option Button 39">
              <controlPr defaultSize="0" autoFill="0" autoLine="0" autoPict="0">
                <anchor moveWithCells="1">
                  <from>
                    <xdr:col>2</xdr:col>
                    <xdr:colOff>0</xdr:colOff>
                    <xdr:row>39</xdr:row>
                    <xdr:rowOff>7620</xdr:rowOff>
                  </from>
                  <to>
                    <xdr:col>13</xdr:col>
                    <xdr:colOff>91440</xdr:colOff>
                    <xdr:row>40</xdr:row>
                    <xdr:rowOff>30480</xdr:rowOff>
                  </to>
                </anchor>
              </controlPr>
            </control>
          </mc:Choice>
        </mc:AlternateContent>
        <mc:AlternateContent xmlns:mc="http://schemas.openxmlformats.org/markup-compatibility/2006">
          <mc:Choice Requires="x14">
            <control shapeId="11304" r:id="rId43" name="Option Button 40">
              <controlPr defaultSize="0" autoFill="0" autoLine="0" autoPict="0">
                <anchor moveWithCells="1">
                  <from>
                    <xdr:col>2</xdr:col>
                    <xdr:colOff>0</xdr:colOff>
                    <xdr:row>40</xdr:row>
                    <xdr:rowOff>7620</xdr:rowOff>
                  </from>
                  <to>
                    <xdr:col>13</xdr:col>
                    <xdr:colOff>91440</xdr:colOff>
                    <xdr:row>41</xdr:row>
                    <xdr:rowOff>30480</xdr:rowOff>
                  </to>
                </anchor>
              </controlPr>
            </control>
          </mc:Choice>
        </mc:AlternateContent>
        <mc:AlternateContent xmlns:mc="http://schemas.openxmlformats.org/markup-compatibility/2006">
          <mc:Choice Requires="x14">
            <control shapeId="11305" r:id="rId44" name="Option Button 41">
              <controlPr defaultSize="0" autoFill="0" autoLine="0" autoPict="0">
                <anchor moveWithCells="1">
                  <from>
                    <xdr:col>2</xdr:col>
                    <xdr:colOff>0</xdr:colOff>
                    <xdr:row>41</xdr:row>
                    <xdr:rowOff>7620</xdr:rowOff>
                  </from>
                  <to>
                    <xdr:col>13</xdr:col>
                    <xdr:colOff>91440</xdr:colOff>
                    <xdr:row>42</xdr:row>
                    <xdr:rowOff>30480</xdr:rowOff>
                  </to>
                </anchor>
              </controlPr>
            </control>
          </mc:Choice>
        </mc:AlternateContent>
        <mc:AlternateContent xmlns:mc="http://schemas.openxmlformats.org/markup-compatibility/2006">
          <mc:Choice Requires="x14">
            <control shapeId="11306" r:id="rId45" name="Option Button 42">
              <controlPr defaultSize="0" autoFill="0" autoLine="0" autoPict="0">
                <anchor moveWithCells="1">
                  <from>
                    <xdr:col>2</xdr:col>
                    <xdr:colOff>0</xdr:colOff>
                    <xdr:row>42</xdr:row>
                    <xdr:rowOff>7620</xdr:rowOff>
                  </from>
                  <to>
                    <xdr:col>13</xdr:col>
                    <xdr:colOff>91440</xdr:colOff>
                    <xdr:row>43</xdr:row>
                    <xdr:rowOff>30480</xdr:rowOff>
                  </to>
                </anchor>
              </controlPr>
            </control>
          </mc:Choice>
        </mc:AlternateContent>
        <mc:AlternateContent xmlns:mc="http://schemas.openxmlformats.org/markup-compatibility/2006">
          <mc:Choice Requires="x14">
            <control shapeId="11307" r:id="rId46" name="Option Button 43">
              <controlPr defaultSize="0" autoFill="0" autoLine="0" autoPict="0">
                <anchor moveWithCells="1">
                  <from>
                    <xdr:col>2</xdr:col>
                    <xdr:colOff>0</xdr:colOff>
                    <xdr:row>43</xdr:row>
                    <xdr:rowOff>7620</xdr:rowOff>
                  </from>
                  <to>
                    <xdr:col>13</xdr:col>
                    <xdr:colOff>91440</xdr:colOff>
                    <xdr:row>44</xdr:row>
                    <xdr:rowOff>30480</xdr:rowOff>
                  </to>
                </anchor>
              </controlPr>
            </control>
          </mc:Choice>
        </mc:AlternateContent>
        <mc:AlternateContent xmlns:mc="http://schemas.openxmlformats.org/markup-compatibility/2006">
          <mc:Choice Requires="x14">
            <control shapeId="11308" r:id="rId47" name="Option Button 44">
              <controlPr defaultSize="0" autoFill="0" autoLine="0" autoPict="0">
                <anchor moveWithCells="1">
                  <from>
                    <xdr:col>2</xdr:col>
                    <xdr:colOff>0</xdr:colOff>
                    <xdr:row>44</xdr:row>
                    <xdr:rowOff>7620</xdr:rowOff>
                  </from>
                  <to>
                    <xdr:col>13</xdr:col>
                    <xdr:colOff>91440</xdr:colOff>
                    <xdr:row>45</xdr:row>
                    <xdr:rowOff>30480</xdr:rowOff>
                  </to>
                </anchor>
              </controlPr>
            </control>
          </mc:Choice>
        </mc:AlternateContent>
        <mc:AlternateContent xmlns:mc="http://schemas.openxmlformats.org/markup-compatibility/2006">
          <mc:Choice Requires="x14">
            <control shapeId="11309" r:id="rId48" name="Option Button 45">
              <controlPr defaultSize="0" autoFill="0" autoLine="0" autoPict="0">
                <anchor moveWithCells="1">
                  <from>
                    <xdr:col>2</xdr:col>
                    <xdr:colOff>0</xdr:colOff>
                    <xdr:row>45</xdr:row>
                    <xdr:rowOff>7620</xdr:rowOff>
                  </from>
                  <to>
                    <xdr:col>13</xdr:col>
                    <xdr:colOff>91440</xdr:colOff>
                    <xdr:row>46</xdr:row>
                    <xdr:rowOff>30480</xdr:rowOff>
                  </to>
                </anchor>
              </controlPr>
            </control>
          </mc:Choice>
        </mc:AlternateContent>
        <mc:AlternateContent xmlns:mc="http://schemas.openxmlformats.org/markup-compatibility/2006">
          <mc:Choice Requires="x14">
            <control shapeId="11310" r:id="rId49" name="Option Button 46">
              <controlPr defaultSize="0" autoFill="0" autoLine="0" autoPict="0">
                <anchor moveWithCells="1">
                  <from>
                    <xdr:col>2</xdr:col>
                    <xdr:colOff>0</xdr:colOff>
                    <xdr:row>46</xdr:row>
                    <xdr:rowOff>7620</xdr:rowOff>
                  </from>
                  <to>
                    <xdr:col>13</xdr:col>
                    <xdr:colOff>91440</xdr:colOff>
                    <xdr:row>47</xdr:row>
                    <xdr:rowOff>30480</xdr:rowOff>
                  </to>
                </anchor>
              </controlPr>
            </control>
          </mc:Choice>
        </mc:AlternateContent>
        <mc:AlternateContent xmlns:mc="http://schemas.openxmlformats.org/markup-compatibility/2006">
          <mc:Choice Requires="x14">
            <control shapeId="11311" r:id="rId50" name="Option Button 47">
              <controlPr defaultSize="0" autoFill="0" autoLine="0" autoPict="0">
                <anchor moveWithCells="1">
                  <from>
                    <xdr:col>2</xdr:col>
                    <xdr:colOff>0</xdr:colOff>
                    <xdr:row>47</xdr:row>
                    <xdr:rowOff>7620</xdr:rowOff>
                  </from>
                  <to>
                    <xdr:col>13</xdr:col>
                    <xdr:colOff>91440</xdr:colOff>
                    <xdr:row>48</xdr:row>
                    <xdr:rowOff>30480</xdr:rowOff>
                  </to>
                </anchor>
              </controlPr>
            </control>
          </mc:Choice>
        </mc:AlternateContent>
        <mc:AlternateContent xmlns:mc="http://schemas.openxmlformats.org/markup-compatibility/2006">
          <mc:Choice Requires="x14">
            <control shapeId="11312" r:id="rId51" name="Option Button 48">
              <controlPr defaultSize="0" autoFill="0" autoLine="0" autoPict="0">
                <anchor moveWithCells="1">
                  <from>
                    <xdr:col>2</xdr:col>
                    <xdr:colOff>0</xdr:colOff>
                    <xdr:row>48</xdr:row>
                    <xdr:rowOff>7620</xdr:rowOff>
                  </from>
                  <to>
                    <xdr:col>13</xdr:col>
                    <xdr:colOff>91440</xdr:colOff>
                    <xdr:row>49</xdr:row>
                    <xdr:rowOff>30480</xdr:rowOff>
                  </to>
                </anchor>
              </controlPr>
            </control>
          </mc:Choice>
        </mc:AlternateContent>
        <mc:AlternateContent xmlns:mc="http://schemas.openxmlformats.org/markup-compatibility/2006">
          <mc:Choice Requires="x14">
            <control shapeId="11313" r:id="rId52" name="Option Button 49">
              <controlPr defaultSize="0" autoFill="0" autoLine="0" autoPict="0">
                <anchor moveWithCells="1">
                  <from>
                    <xdr:col>2</xdr:col>
                    <xdr:colOff>0</xdr:colOff>
                    <xdr:row>49</xdr:row>
                    <xdr:rowOff>7620</xdr:rowOff>
                  </from>
                  <to>
                    <xdr:col>13</xdr:col>
                    <xdr:colOff>91440</xdr:colOff>
                    <xdr:row>50</xdr:row>
                    <xdr:rowOff>30480</xdr:rowOff>
                  </to>
                </anchor>
              </controlPr>
            </control>
          </mc:Choice>
        </mc:AlternateContent>
        <mc:AlternateContent xmlns:mc="http://schemas.openxmlformats.org/markup-compatibility/2006">
          <mc:Choice Requires="x14">
            <control shapeId="11314" r:id="rId53" name="Option Button 50">
              <controlPr defaultSize="0" autoFill="0" autoLine="0" autoPict="0">
                <anchor moveWithCells="1">
                  <from>
                    <xdr:col>2</xdr:col>
                    <xdr:colOff>0</xdr:colOff>
                    <xdr:row>50</xdr:row>
                    <xdr:rowOff>7620</xdr:rowOff>
                  </from>
                  <to>
                    <xdr:col>13</xdr:col>
                    <xdr:colOff>91440</xdr:colOff>
                    <xdr:row>51</xdr:row>
                    <xdr:rowOff>30480</xdr:rowOff>
                  </to>
                </anchor>
              </controlPr>
            </control>
          </mc:Choice>
        </mc:AlternateContent>
        <mc:AlternateContent xmlns:mc="http://schemas.openxmlformats.org/markup-compatibility/2006">
          <mc:Choice Requires="x14">
            <control shapeId="11315" r:id="rId54" name="Option Button 51">
              <controlPr defaultSize="0" autoFill="0" autoLine="0" autoPict="0">
                <anchor moveWithCells="1">
                  <from>
                    <xdr:col>2</xdr:col>
                    <xdr:colOff>0</xdr:colOff>
                    <xdr:row>51</xdr:row>
                    <xdr:rowOff>7620</xdr:rowOff>
                  </from>
                  <to>
                    <xdr:col>13</xdr:col>
                    <xdr:colOff>91440</xdr:colOff>
                    <xdr:row>52</xdr:row>
                    <xdr:rowOff>30480</xdr:rowOff>
                  </to>
                </anchor>
              </controlPr>
            </control>
          </mc:Choice>
        </mc:AlternateContent>
        <mc:AlternateContent xmlns:mc="http://schemas.openxmlformats.org/markup-compatibility/2006">
          <mc:Choice Requires="x14">
            <control shapeId="11316" r:id="rId55" name="Option Button 52">
              <controlPr defaultSize="0" autoFill="0" autoLine="0" autoPict="0">
                <anchor moveWithCells="1">
                  <from>
                    <xdr:col>2</xdr:col>
                    <xdr:colOff>0</xdr:colOff>
                    <xdr:row>52</xdr:row>
                    <xdr:rowOff>7620</xdr:rowOff>
                  </from>
                  <to>
                    <xdr:col>13</xdr:col>
                    <xdr:colOff>91440</xdr:colOff>
                    <xdr:row>53</xdr:row>
                    <xdr:rowOff>30480</xdr:rowOff>
                  </to>
                </anchor>
              </controlPr>
            </control>
          </mc:Choice>
        </mc:AlternateContent>
        <mc:AlternateContent xmlns:mc="http://schemas.openxmlformats.org/markup-compatibility/2006">
          <mc:Choice Requires="x14">
            <control shapeId="11317" r:id="rId56" name="Option Button 53">
              <controlPr defaultSize="0" autoFill="0" autoLine="0" autoPict="0">
                <anchor moveWithCells="1">
                  <from>
                    <xdr:col>2</xdr:col>
                    <xdr:colOff>0</xdr:colOff>
                    <xdr:row>53</xdr:row>
                    <xdr:rowOff>7620</xdr:rowOff>
                  </from>
                  <to>
                    <xdr:col>13</xdr:col>
                    <xdr:colOff>91440</xdr:colOff>
                    <xdr:row>54</xdr:row>
                    <xdr:rowOff>30480</xdr:rowOff>
                  </to>
                </anchor>
              </controlPr>
            </control>
          </mc:Choice>
        </mc:AlternateContent>
        <mc:AlternateContent xmlns:mc="http://schemas.openxmlformats.org/markup-compatibility/2006">
          <mc:Choice Requires="x14">
            <control shapeId="11318" r:id="rId57" name="Option Button 54">
              <controlPr defaultSize="0" autoFill="0" autoLine="0" autoPict="0">
                <anchor moveWithCells="1">
                  <from>
                    <xdr:col>2</xdr:col>
                    <xdr:colOff>0</xdr:colOff>
                    <xdr:row>54</xdr:row>
                    <xdr:rowOff>7620</xdr:rowOff>
                  </from>
                  <to>
                    <xdr:col>13</xdr:col>
                    <xdr:colOff>91440</xdr:colOff>
                    <xdr:row>55</xdr:row>
                    <xdr:rowOff>30480</xdr:rowOff>
                  </to>
                </anchor>
              </controlPr>
            </control>
          </mc:Choice>
        </mc:AlternateContent>
        <mc:AlternateContent xmlns:mc="http://schemas.openxmlformats.org/markup-compatibility/2006">
          <mc:Choice Requires="x14">
            <control shapeId="11319" r:id="rId58" name="Option Button 55">
              <controlPr defaultSize="0" autoFill="0" autoLine="0" autoPict="0">
                <anchor moveWithCells="1">
                  <from>
                    <xdr:col>2</xdr:col>
                    <xdr:colOff>0</xdr:colOff>
                    <xdr:row>55</xdr:row>
                    <xdr:rowOff>7620</xdr:rowOff>
                  </from>
                  <to>
                    <xdr:col>13</xdr:col>
                    <xdr:colOff>91440</xdr:colOff>
                    <xdr:row>56</xdr:row>
                    <xdr:rowOff>30480</xdr:rowOff>
                  </to>
                </anchor>
              </controlPr>
            </control>
          </mc:Choice>
        </mc:AlternateContent>
        <mc:AlternateContent xmlns:mc="http://schemas.openxmlformats.org/markup-compatibility/2006">
          <mc:Choice Requires="x14">
            <control shapeId="11320" r:id="rId59" name="Option Button 56">
              <controlPr defaultSize="0" autoFill="0" autoLine="0" autoPict="0">
                <anchor moveWithCells="1">
                  <from>
                    <xdr:col>2</xdr:col>
                    <xdr:colOff>0</xdr:colOff>
                    <xdr:row>56</xdr:row>
                    <xdr:rowOff>7620</xdr:rowOff>
                  </from>
                  <to>
                    <xdr:col>13</xdr:col>
                    <xdr:colOff>91440</xdr:colOff>
                    <xdr:row>57</xdr:row>
                    <xdr:rowOff>30480</xdr:rowOff>
                  </to>
                </anchor>
              </controlPr>
            </control>
          </mc:Choice>
        </mc:AlternateContent>
        <mc:AlternateContent xmlns:mc="http://schemas.openxmlformats.org/markup-compatibility/2006">
          <mc:Choice Requires="x14">
            <control shapeId="11321" r:id="rId60" name="Option Button 57">
              <controlPr defaultSize="0" autoFill="0" autoLine="0" autoPict="0">
                <anchor moveWithCells="1">
                  <from>
                    <xdr:col>2</xdr:col>
                    <xdr:colOff>0</xdr:colOff>
                    <xdr:row>57</xdr:row>
                    <xdr:rowOff>7620</xdr:rowOff>
                  </from>
                  <to>
                    <xdr:col>13</xdr:col>
                    <xdr:colOff>91440</xdr:colOff>
                    <xdr:row>58</xdr:row>
                    <xdr:rowOff>30480</xdr:rowOff>
                  </to>
                </anchor>
              </controlPr>
            </control>
          </mc:Choice>
        </mc:AlternateContent>
        <mc:AlternateContent xmlns:mc="http://schemas.openxmlformats.org/markup-compatibility/2006">
          <mc:Choice Requires="x14">
            <control shapeId="11322" r:id="rId61" name="Option Button 58">
              <controlPr defaultSize="0" autoFill="0" autoLine="0" autoPict="0">
                <anchor moveWithCells="1">
                  <from>
                    <xdr:col>2</xdr:col>
                    <xdr:colOff>0</xdr:colOff>
                    <xdr:row>58</xdr:row>
                    <xdr:rowOff>7620</xdr:rowOff>
                  </from>
                  <to>
                    <xdr:col>13</xdr:col>
                    <xdr:colOff>91440</xdr:colOff>
                    <xdr:row>59</xdr:row>
                    <xdr:rowOff>30480</xdr:rowOff>
                  </to>
                </anchor>
              </controlPr>
            </control>
          </mc:Choice>
        </mc:AlternateContent>
        <mc:AlternateContent xmlns:mc="http://schemas.openxmlformats.org/markup-compatibility/2006">
          <mc:Choice Requires="x14">
            <control shapeId="11323" r:id="rId62" name="Option Button 59">
              <controlPr defaultSize="0" autoFill="0" autoLine="0" autoPict="0">
                <anchor moveWithCells="1">
                  <from>
                    <xdr:col>2</xdr:col>
                    <xdr:colOff>0</xdr:colOff>
                    <xdr:row>59</xdr:row>
                    <xdr:rowOff>7620</xdr:rowOff>
                  </from>
                  <to>
                    <xdr:col>13</xdr:col>
                    <xdr:colOff>91440</xdr:colOff>
                    <xdr:row>60</xdr:row>
                    <xdr:rowOff>30480</xdr:rowOff>
                  </to>
                </anchor>
              </controlPr>
            </control>
          </mc:Choice>
        </mc:AlternateContent>
        <mc:AlternateContent xmlns:mc="http://schemas.openxmlformats.org/markup-compatibility/2006">
          <mc:Choice Requires="x14">
            <control shapeId="11324" r:id="rId63" name="Option Button 60">
              <controlPr defaultSize="0" autoFill="0" autoLine="0" autoPict="0">
                <anchor moveWithCells="1">
                  <from>
                    <xdr:col>2</xdr:col>
                    <xdr:colOff>0</xdr:colOff>
                    <xdr:row>60</xdr:row>
                    <xdr:rowOff>7620</xdr:rowOff>
                  </from>
                  <to>
                    <xdr:col>13</xdr:col>
                    <xdr:colOff>91440</xdr:colOff>
                    <xdr:row>61</xdr:row>
                    <xdr:rowOff>7620</xdr:rowOff>
                  </to>
                </anchor>
              </controlPr>
            </control>
          </mc:Choice>
        </mc:AlternateContent>
        <mc:AlternateContent xmlns:mc="http://schemas.openxmlformats.org/markup-compatibility/2006">
          <mc:Choice Requires="x14">
            <control shapeId="11325" r:id="rId64" name="Option Button 61">
              <controlPr defaultSize="0" autoFill="0" autoLine="0" autoPict="0">
                <anchor moveWithCells="1">
                  <from>
                    <xdr:col>2</xdr:col>
                    <xdr:colOff>0</xdr:colOff>
                    <xdr:row>61</xdr:row>
                    <xdr:rowOff>7620</xdr:rowOff>
                  </from>
                  <to>
                    <xdr:col>13</xdr:col>
                    <xdr:colOff>91440</xdr:colOff>
                    <xdr:row>62</xdr:row>
                    <xdr:rowOff>30480</xdr:rowOff>
                  </to>
                </anchor>
              </controlPr>
            </control>
          </mc:Choice>
        </mc:AlternateContent>
        <mc:AlternateContent xmlns:mc="http://schemas.openxmlformats.org/markup-compatibility/2006">
          <mc:Choice Requires="x14">
            <control shapeId="11326" r:id="rId65" name="Option Button 62">
              <controlPr defaultSize="0" autoFill="0" autoLine="0" autoPict="0">
                <anchor moveWithCells="1">
                  <from>
                    <xdr:col>2</xdr:col>
                    <xdr:colOff>0</xdr:colOff>
                    <xdr:row>62</xdr:row>
                    <xdr:rowOff>7620</xdr:rowOff>
                  </from>
                  <to>
                    <xdr:col>13</xdr:col>
                    <xdr:colOff>91440</xdr:colOff>
                    <xdr:row>63</xdr:row>
                    <xdr:rowOff>30480</xdr:rowOff>
                  </to>
                </anchor>
              </controlPr>
            </control>
          </mc:Choice>
        </mc:AlternateContent>
        <mc:AlternateContent xmlns:mc="http://schemas.openxmlformats.org/markup-compatibility/2006">
          <mc:Choice Requires="x14">
            <control shapeId="11327" r:id="rId66" name="Option Button 63">
              <controlPr defaultSize="0" autoFill="0" autoLine="0" autoPict="0">
                <anchor moveWithCells="1">
                  <from>
                    <xdr:col>2</xdr:col>
                    <xdr:colOff>0</xdr:colOff>
                    <xdr:row>62</xdr:row>
                    <xdr:rowOff>198120</xdr:rowOff>
                  </from>
                  <to>
                    <xdr:col>13</xdr:col>
                    <xdr:colOff>91440</xdr:colOff>
                    <xdr:row>64</xdr:row>
                    <xdr:rowOff>0</xdr:rowOff>
                  </to>
                </anchor>
              </controlPr>
            </control>
          </mc:Choice>
        </mc:AlternateContent>
        <mc:AlternateContent xmlns:mc="http://schemas.openxmlformats.org/markup-compatibility/2006">
          <mc:Choice Requires="x14">
            <control shapeId="11328" r:id="rId67" name="Option Button 64">
              <controlPr defaultSize="0" autoFill="0" autoLine="0" autoPict="0">
                <anchor moveWithCells="1">
                  <from>
                    <xdr:col>2</xdr:col>
                    <xdr:colOff>0</xdr:colOff>
                    <xdr:row>64</xdr:row>
                    <xdr:rowOff>7620</xdr:rowOff>
                  </from>
                  <to>
                    <xdr:col>13</xdr:col>
                    <xdr:colOff>91440</xdr:colOff>
                    <xdr:row>65</xdr:row>
                    <xdr:rowOff>7620</xdr:rowOff>
                  </to>
                </anchor>
              </controlPr>
            </control>
          </mc:Choice>
        </mc:AlternateContent>
        <mc:AlternateContent xmlns:mc="http://schemas.openxmlformats.org/markup-compatibility/2006">
          <mc:Choice Requires="x14">
            <control shapeId="11329" r:id="rId68" name="Option Button 65">
              <controlPr defaultSize="0" autoFill="0" autoLine="0" autoPict="0">
                <anchor moveWithCells="1">
                  <from>
                    <xdr:col>2</xdr:col>
                    <xdr:colOff>0</xdr:colOff>
                    <xdr:row>65</xdr:row>
                    <xdr:rowOff>7620</xdr:rowOff>
                  </from>
                  <to>
                    <xdr:col>13</xdr:col>
                    <xdr:colOff>91440</xdr:colOff>
                    <xdr:row>66</xdr:row>
                    <xdr:rowOff>7620</xdr:rowOff>
                  </to>
                </anchor>
              </controlPr>
            </control>
          </mc:Choice>
        </mc:AlternateContent>
        <mc:AlternateContent xmlns:mc="http://schemas.openxmlformats.org/markup-compatibility/2006">
          <mc:Choice Requires="x14">
            <control shapeId="11330" r:id="rId69" name="Option Button 66">
              <controlPr defaultSize="0" autoFill="0" autoLine="0" autoPict="0">
                <anchor moveWithCells="1">
                  <from>
                    <xdr:col>2</xdr:col>
                    <xdr:colOff>0</xdr:colOff>
                    <xdr:row>66</xdr:row>
                    <xdr:rowOff>7620</xdr:rowOff>
                  </from>
                  <to>
                    <xdr:col>13</xdr:col>
                    <xdr:colOff>91440</xdr:colOff>
                    <xdr:row>67</xdr:row>
                    <xdr:rowOff>68580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J2"/>
  <sheetViews>
    <sheetView topLeftCell="C1" workbookViewId="0">
      <selection activeCell="P2" sqref="P2"/>
    </sheetView>
  </sheetViews>
  <sheetFormatPr defaultColWidth="11" defaultRowHeight="13.2" x14ac:dyDescent="0.25"/>
  <cols>
    <col min="1" max="1" width="11" style="187" customWidth="1"/>
    <col min="2" max="4" width="14.44140625" style="187" customWidth="1"/>
    <col min="5" max="5" width="17.109375" style="187" customWidth="1"/>
    <col min="6" max="10" width="14.44140625" style="187" customWidth="1"/>
    <col min="11" max="11" width="20.88671875" style="187" customWidth="1"/>
    <col min="12" max="27" width="14.44140625" style="187" customWidth="1"/>
    <col min="28" max="28" width="17.33203125" style="187" customWidth="1"/>
    <col min="29" max="29" width="15.109375" style="187" customWidth="1"/>
    <col min="30" max="30" width="15.44140625" style="187" customWidth="1"/>
    <col min="31" max="31" width="11" style="187" customWidth="1"/>
    <col min="32" max="32" width="14.44140625" style="187" customWidth="1"/>
    <col min="33" max="33" width="22.44140625" style="187" customWidth="1"/>
    <col min="34" max="16384" width="11" style="187"/>
  </cols>
  <sheetData>
    <row r="1" spans="1:36" x14ac:dyDescent="0.25">
      <c r="A1" s="183" t="s">
        <v>497</v>
      </c>
      <c r="B1" s="183" t="s">
        <v>498</v>
      </c>
      <c r="C1" s="183" t="s">
        <v>499</v>
      </c>
      <c r="D1" s="183" t="s">
        <v>500</v>
      </c>
      <c r="E1" s="184" t="s">
        <v>501</v>
      </c>
      <c r="F1" s="184" t="s">
        <v>502</v>
      </c>
      <c r="G1" s="183" t="s">
        <v>503</v>
      </c>
      <c r="H1" s="185" t="s">
        <v>504</v>
      </c>
      <c r="I1" s="183" t="s">
        <v>505</v>
      </c>
      <c r="J1" s="183" t="s">
        <v>506</v>
      </c>
      <c r="K1" s="183" t="s">
        <v>507</v>
      </c>
      <c r="L1" s="183" t="s">
        <v>508</v>
      </c>
      <c r="M1" s="183" t="s">
        <v>509</v>
      </c>
      <c r="N1" s="183" t="s">
        <v>510</v>
      </c>
      <c r="O1" s="183" t="s">
        <v>511</v>
      </c>
      <c r="P1" s="183" t="s">
        <v>512</v>
      </c>
      <c r="Q1" s="183" t="s">
        <v>513</v>
      </c>
      <c r="R1" s="183" t="s">
        <v>514</v>
      </c>
      <c r="S1" s="183" t="s">
        <v>515</v>
      </c>
      <c r="T1" s="183" t="s">
        <v>516</v>
      </c>
      <c r="U1" s="183" t="s">
        <v>517</v>
      </c>
      <c r="V1" s="183" t="s">
        <v>518</v>
      </c>
      <c r="W1" s="183" t="s">
        <v>380</v>
      </c>
      <c r="X1" s="183" t="s">
        <v>381</v>
      </c>
      <c r="Y1" s="183" t="s">
        <v>382</v>
      </c>
      <c r="Z1" s="186" t="s">
        <v>383</v>
      </c>
      <c r="AA1" s="186" t="s">
        <v>384</v>
      </c>
      <c r="AB1" s="186" t="s">
        <v>456</v>
      </c>
      <c r="AC1" s="186" t="s">
        <v>248</v>
      </c>
      <c r="AD1" s="186" t="s">
        <v>462</v>
      </c>
      <c r="AE1" s="186" t="s">
        <v>463</v>
      </c>
      <c r="AF1" s="186" t="s">
        <v>464</v>
      </c>
      <c r="AG1" s="186" t="s">
        <v>298</v>
      </c>
      <c r="AH1" s="186" t="s">
        <v>477</v>
      </c>
      <c r="AI1" s="186" t="s">
        <v>186</v>
      </c>
      <c r="AJ1" s="186" t="s">
        <v>349</v>
      </c>
    </row>
    <row r="2" spans="1:36" x14ac:dyDescent="0.25">
      <c r="B2" s="188">
        <f>'E Recomend'!A56</f>
        <v>0</v>
      </c>
      <c r="C2" s="187" t="str">
        <f>'E Recomend'!D5</f>
        <v xml:space="preserve"> </v>
      </c>
      <c r="D2" s="187" t="str">
        <f>'E Recomend'!F5</f>
        <v xml:space="preserve"> </v>
      </c>
      <c r="E2" s="189" t="e">
        <f>'E Recomend'!#REF!</f>
        <v>#REF!</v>
      </c>
      <c r="H2" s="190" t="str">
        <f>'E Recomend'!H5</f>
        <v>SS# :</v>
      </c>
      <c r="I2" s="187" t="str">
        <f>'E Recomend'!D5</f>
        <v xml:space="preserve"> </v>
      </c>
      <c r="J2" s="191">
        <f>'E Recomend'!H61</f>
        <v>0</v>
      </c>
      <c r="K2" s="187" t="str">
        <f>'E Recomend'!B26</f>
        <v xml:space="preserve"> </v>
      </c>
      <c r="L2" s="187">
        <f>'E Recomend'!J24</f>
        <v>0</v>
      </c>
      <c r="M2" s="187" t="str">
        <f>'E Recomend'!B8</f>
        <v xml:space="preserve"> </v>
      </c>
      <c r="N2" s="187">
        <f>'E Recomend'!B9</f>
        <v>0</v>
      </c>
      <c r="O2" s="187" t="e">
        <f>'E Recomend'!#REF!</f>
        <v>#REF!</v>
      </c>
      <c r="P2" s="187">
        <f>'E Recomend'!G9</f>
        <v>0</v>
      </c>
      <c r="U2" s="192">
        <f>'E Recomend'!F60</f>
        <v>0</v>
      </c>
      <c r="W2" s="192" t="e">
        <f>SUM(U2:V2,R2,E2,F2)</f>
        <v>#REF!</v>
      </c>
      <c r="Z2" s="187">
        <f>Worksheet!$H$15</f>
        <v>1</v>
      </c>
      <c r="AB2" s="187" t="e">
        <f>'E Recomend'!#REF!</f>
        <v>#REF!</v>
      </c>
      <c r="AC2" s="187">
        <f>Worksheet!N20</f>
        <v>1</v>
      </c>
      <c r="AD2" s="193" t="str">
        <f>'E Recomend'!C65</f>
        <v xml:space="preserve"> </v>
      </c>
      <c r="AE2" s="193" t="str">
        <f>'E Recomend'!F65</f>
        <v xml:space="preserve"> </v>
      </c>
      <c r="AF2" s="187">
        <f>'E Recomend'!B79</f>
        <v>0</v>
      </c>
      <c r="AG2" s="187">
        <f>Worksheet!$J$15</f>
        <v>1</v>
      </c>
      <c r="AH2" s="187" t="str">
        <f>'E Recomend'!H43</f>
        <v xml:space="preserve"> </v>
      </c>
      <c r="AI2" s="187">
        <f>Worksheet!$C$15</f>
        <v>0</v>
      </c>
      <c r="AJ2" s="187" t="str">
        <f>'E Recomend'!E5</f>
        <v xml:space="preserve"> </v>
      </c>
    </row>
  </sheetData>
  <phoneticPr fontId="0"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143"/>
  <sheetViews>
    <sheetView topLeftCell="A144" zoomScale="75" zoomScaleNormal="75" workbookViewId="0">
      <selection activeCell="A144" sqref="A1:IV65536"/>
    </sheetView>
  </sheetViews>
  <sheetFormatPr defaultRowHeight="13.2" x14ac:dyDescent="0.25"/>
  <cols>
    <col min="1" max="1" width="28.44140625" style="187" customWidth="1"/>
    <col min="2" max="2" width="41.44140625" style="187" customWidth="1"/>
    <col min="3" max="3" width="72" style="187" customWidth="1"/>
    <col min="4" max="4" width="22.6640625" style="201" customWidth="1"/>
    <col min="5" max="5" width="15" style="187" customWidth="1"/>
    <col min="6" max="6" width="19.44140625" style="187" customWidth="1"/>
    <col min="7" max="16384" width="8.88671875" style="187"/>
  </cols>
  <sheetData>
    <row r="1" spans="1:3" hidden="1" x14ac:dyDescent="0.25">
      <c r="A1" s="194" t="s">
        <v>391</v>
      </c>
      <c r="B1" s="194" t="s">
        <v>398</v>
      </c>
      <c r="C1" s="187" t="s">
        <v>253</v>
      </c>
    </row>
    <row r="2" spans="1:3" hidden="1" x14ac:dyDescent="0.25">
      <c r="A2" s="187" t="s">
        <v>392</v>
      </c>
      <c r="B2" s="201" t="s">
        <v>907</v>
      </c>
      <c r="C2" s="187" t="s">
        <v>310</v>
      </c>
    </row>
    <row r="3" spans="1:3" hidden="1" x14ac:dyDescent="0.25">
      <c r="A3" s="187" t="s">
        <v>393</v>
      </c>
      <c r="B3" s="201" t="s">
        <v>908</v>
      </c>
      <c r="C3" s="187" t="s">
        <v>311</v>
      </c>
    </row>
    <row r="4" spans="1:3" hidden="1" x14ac:dyDescent="0.25">
      <c r="B4" s="201" t="s">
        <v>402</v>
      </c>
      <c r="C4" s="187" t="s">
        <v>431</v>
      </c>
    </row>
    <row r="5" spans="1:3" hidden="1" x14ac:dyDescent="0.25">
      <c r="A5" s="187" t="s">
        <v>352</v>
      </c>
      <c r="B5" s="201" t="s">
        <v>909</v>
      </c>
      <c r="C5" s="187" t="s">
        <v>273</v>
      </c>
    </row>
    <row r="6" spans="1:3" hidden="1" x14ac:dyDescent="0.25">
      <c r="A6" s="202">
        <v>38534</v>
      </c>
      <c r="B6" s="201" t="s">
        <v>400</v>
      </c>
      <c r="C6" s="187" t="s">
        <v>359</v>
      </c>
    </row>
    <row r="7" spans="1:3" hidden="1" x14ac:dyDescent="0.25">
      <c r="A7" s="202" t="s">
        <v>387</v>
      </c>
      <c r="B7" s="201" t="s">
        <v>910</v>
      </c>
      <c r="C7" s="187" t="s">
        <v>192</v>
      </c>
    </row>
    <row r="8" spans="1:3" hidden="1" x14ac:dyDescent="0.25">
      <c r="B8" s="201" t="s">
        <v>399</v>
      </c>
      <c r="C8" s="187" t="s">
        <v>274</v>
      </c>
    </row>
    <row r="9" spans="1:3" hidden="1" x14ac:dyDescent="0.25">
      <c r="B9" s="201" t="s">
        <v>401</v>
      </c>
      <c r="C9" s="187" t="s">
        <v>272</v>
      </c>
    </row>
    <row r="10" spans="1:3" hidden="1" x14ac:dyDescent="0.25">
      <c r="B10" s="201" t="s">
        <v>397</v>
      </c>
      <c r="C10" s="187" t="s">
        <v>193</v>
      </c>
    </row>
    <row r="11" spans="1:3" hidden="1" x14ac:dyDescent="0.25">
      <c r="B11" s="201" t="s">
        <v>396</v>
      </c>
      <c r="C11" s="187" t="s">
        <v>275</v>
      </c>
    </row>
    <row r="12" spans="1:3" hidden="1" x14ac:dyDescent="0.25">
      <c r="B12" s="201" t="s">
        <v>480</v>
      </c>
      <c r="C12" s="187" t="s">
        <v>194</v>
      </c>
    </row>
    <row r="13" spans="1:3" hidden="1" x14ac:dyDescent="0.25">
      <c r="B13" s="203"/>
      <c r="C13" s="187" t="s">
        <v>195</v>
      </c>
    </row>
    <row r="14" spans="1:3" hidden="1" x14ac:dyDescent="0.25">
      <c r="A14" s="195" t="s">
        <v>376</v>
      </c>
      <c r="B14" s="196" t="s">
        <v>378</v>
      </c>
      <c r="C14" s="187" t="s">
        <v>191</v>
      </c>
    </row>
    <row r="15" spans="1:3" ht="13.8" hidden="1" x14ac:dyDescent="0.3">
      <c r="A15" s="204" t="s">
        <v>320</v>
      </c>
      <c r="B15" s="197" t="s">
        <v>234</v>
      </c>
      <c r="C15" s="187" t="s">
        <v>190</v>
      </c>
    </row>
    <row r="16" spans="1:3" ht="13.8" hidden="1" x14ac:dyDescent="0.3">
      <c r="A16" s="204" t="s">
        <v>319</v>
      </c>
      <c r="B16" s="197" t="s">
        <v>231</v>
      </c>
      <c r="C16" s="187" t="s">
        <v>189</v>
      </c>
    </row>
    <row r="17" spans="1:8" ht="13.8" hidden="1" x14ac:dyDescent="0.3">
      <c r="A17" s="204" t="s">
        <v>435</v>
      </c>
      <c r="B17" s="197" t="s">
        <v>379</v>
      </c>
      <c r="C17" s="187" t="s">
        <v>143</v>
      </c>
    </row>
    <row r="18" spans="1:8" ht="13.8" hidden="1" x14ac:dyDescent="0.3">
      <c r="A18" s="204" t="s">
        <v>344</v>
      </c>
      <c r="B18" s="197" t="s">
        <v>232</v>
      </c>
    </row>
    <row r="19" spans="1:8" ht="13.8" hidden="1" x14ac:dyDescent="0.3">
      <c r="A19" s="204" t="s">
        <v>216</v>
      </c>
      <c r="B19" s="197" t="s">
        <v>233</v>
      </c>
    </row>
    <row r="20" spans="1:8" hidden="1" x14ac:dyDescent="0.25">
      <c r="A20" s="187" t="str">
        <f>IF(Worksheet!$I$15=3,A16,IF(Worksheet!$I$15&lt;3,"NO",IF(Worksheet!$I$15=4,C2,IF(Worksheet!$I$15=5,C2,IF(Worksheet!$I$15=6,C2,IF(Worksheet!$I$15&gt;=7,"",A17))))))</f>
        <v>NO</v>
      </c>
    </row>
    <row r="21" spans="1:8" ht="13.8" hidden="1" x14ac:dyDescent="0.3">
      <c r="A21" s="187" t="str">
        <f>IF(Worksheet!$I$15=3,A15,IF(Worksheet!$I$15&lt;3,"YES",IF(Worksheet!$I$15=4,C3,IF(Worksheet!$I$15=5,C3,IF(Worksheet!$I$15=6,C3,IF(Worksheet!$I$15&gt;=7,"",A17))))))</f>
        <v>YES</v>
      </c>
      <c r="B21" s="197" t="s">
        <v>239</v>
      </c>
      <c r="C21" s="187" t="s">
        <v>256</v>
      </c>
      <c r="D21" s="201" t="str">
        <f>IF(Worksheet!I15=1,"",IF(Worksheet!I15&gt;3,"",IF(Worksheet!I15=3,"Fixed Term Appointment",IF(Worksheet!$H$15=4,setup!C25,IF(Worksheet!$H$15=3,setup!C21,IF(Worksheet!$H$15=2,setup!C21,"The First of the allowable 7 one year contracts"))))))</f>
        <v>The First of the allowable 7 one year contracts</v>
      </c>
    </row>
    <row r="22" spans="1:8" ht="13.8" hidden="1" x14ac:dyDescent="0.3">
      <c r="A22" s="187" t="str">
        <f>IF(Worksheet!$I$15=3,"",IF(Worksheet!$I$15&lt;3,"Chair",IF(Worksheet!$I$15=4,C4,IF(Worksheet!$I$15=5,C4,IF(Worksheet!$I$15=6,C4,IF(Worksheet!$I$15&gt;=7,"",A17))))))</f>
        <v>Chair</v>
      </c>
      <c r="B22" s="197" t="s">
        <v>240</v>
      </c>
      <c r="C22" s="187" t="s">
        <v>257</v>
      </c>
      <c r="D22" s="201" t="str">
        <f>IF(Worksheet!I15=1,"",IF(Worksheet!I15&gt;=3,"",IF(Worksheet!$H$15=4,"",IF(Worksheet!$H$15=3,setup!C22,IF(Worksheet!$H$15=2,setup!C22,"The Second of the allowable 7 one year contracts")))))</f>
        <v>The Second of the allowable 7 one year contracts</v>
      </c>
    </row>
    <row r="23" spans="1:8" ht="13.8" hidden="1" x14ac:dyDescent="0.3">
      <c r="B23" s="197" t="s">
        <v>241</v>
      </c>
      <c r="C23" s="187" t="s">
        <v>258</v>
      </c>
      <c r="D23" s="201" t="str">
        <f>IF(Worksheet!I15=1,"",IF(Worksheet!I15&gt;=3,"",IF(Worksheet!$H$15=4,"",IF(Worksheet!$H$15=3,C25,IF(Worksheet!$H$15=2,setup!C23,"The Third of the allowable 7 one year contracts")))))</f>
        <v>The Third of the allowable 7 one year contracts</v>
      </c>
    </row>
    <row r="24" spans="1:8" ht="13.8" hidden="1" x14ac:dyDescent="0.3">
      <c r="B24" s="197" t="s">
        <v>246</v>
      </c>
      <c r="C24" s="187" t="s">
        <v>259</v>
      </c>
      <c r="D24" s="201" t="str">
        <f>IF(Worksheet!I15=1,"",IF(Worksheet!I15&gt;=3,"",IF(Worksheet!$H$15=4,"",IF(Worksheet!$H$15=3,"",IF(Worksheet!$H$15=2,setup!C24,"The Fourth of the allowable 7 one year contracts")))))</f>
        <v>The Fourth of the allowable 7 one year contracts</v>
      </c>
    </row>
    <row r="25" spans="1:8" ht="13.8" hidden="1" x14ac:dyDescent="0.3">
      <c r="A25" s="187" t="s">
        <v>419</v>
      </c>
      <c r="B25" s="197" t="s">
        <v>242</v>
      </c>
      <c r="C25" s="187" t="s">
        <v>255</v>
      </c>
      <c r="D25" s="201" t="str">
        <f>IF(Worksheet!I15=1,"",IF(Worksheet!I15&gt;=3,"",IF(Worksheet!$H$15=1,"The Fifth of the allowable 7 one year contracts","")))</f>
        <v>The Fifth of the allowable 7 one year contracts</v>
      </c>
    </row>
    <row r="26" spans="1:8" ht="13.8" hidden="1" x14ac:dyDescent="0.3">
      <c r="A26" s="187" t="s">
        <v>217</v>
      </c>
      <c r="B26" s="197" t="s">
        <v>243</v>
      </c>
      <c r="D26" s="201" t="str">
        <f>IF(Worksheet!I15=1,"",IF(Worksheet!I15&gt;=3,"",IF(Worksheet!$H$15=1,"The Sixth of the allowable 7 one year contracts","")))</f>
        <v>The Sixth of the allowable 7 one year contracts</v>
      </c>
    </row>
    <row r="27" spans="1:8" ht="13.8" hidden="1" x14ac:dyDescent="0.3">
      <c r="A27" s="187" t="s">
        <v>348</v>
      </c>
      <c r="B27" s="197" t="s">
        <v>244</v>
      </c>
      <c r="D27" s="201" t="str">
        <f>IF(Worksheet!I15=1,"",IF(Worksheet!I15&gt;=3,"",IF(Worksheet!$H$15=1,"The Seventh of the allowable 7 one year contracts","")))</f>
        <v>The Seventh of the allowable 7 one year contracts</v>
      </c>
    </row>
    <row r="28" spans="1:8" ht="13.8" hidden="1" x14ac:dyDescent="0.3">
      <c r="A28" s="187" t="s">
        <v>420</v>
      </c>
      <c r="B28" s="197" t="s">
        <v>245</v>
      </c>
      <c r="F28" s="187" t="str">
        <f>VLOOKUP(G28,G29:H46,2,FALSE)</f>
        <v>Instructor</v>
      </c>
      <c r="G28" s="194">
        <f>Worksheet!H15</f>
        <v>1</v>
      </c>
    </row>
    <row r="29" spans="1:8" ht="13.8" hidden="1" x14ac:dyDescent="0.3">
      <c r="A29" s="187" t="s">
        <v>421</v>
      </c>
      <c r="B29" s="197" t="s">
        <v>287</v>
      </c>
      <c r="G29" s="201">
        <v>1</v>
      </c>
      <c r="H29" s="187" t="str">
        <f>C30</f>
        <v>Instructor</v>
      </c>
    </row>
    <row r="30" spans="1:8" ht="13.8" hidden="1" x14ac:dyDescent="0.3">
      <c r="A30" s="187" t="s">
        <v>422</v>
      </c>
      <c r="B30" s="197" t="s">
        <v>288</v>
      </c>
      <c r="C30" s="187" t="str">
        <f>IF(Worksheet!$I$15=1,B22,IF(Worksheet!$I$15=3,B25,IF(Worksheet!$I$15&gt;=7,"No Rank",B21)))</f>
        <v>Instructor</v>
      </c>
      <c r="G30" s="201">
        <v>2</v>
      </c>
      <c r="H30" s="187" t="str">
        <f t="shared" ref="H30:H45" si="0">C31</f>
        <v>Assistant Professor</v>
      </c>
    </row>
    <row r="31" spans="1:8" ht="13.8" hidden="1" x14ac:dyDescent="0.3">
      <c r="A31" s="187" t="s">
        <v>423</v>
      </c>
      <c r="B31" s="197" t="s">
        <v>290</v>
      </c>
      <c r="C31" s="187" t="str">
        <f>IF(Worksheet!$I$15=1,B23,IF(Worksheet!$I$15=3,B26,IF(Worksheet!$I$15&gt;=7,"",B22)))</f>
        <v>Assistant Professor</v>
      </c>
      <c r="G31" s="201">
        <v>3</v>
      </c>
      <c r="H31" s="187" t="str">
        <f t="shared" si="0"/>
        <v>Associate Professor</v>
      </c>
    </row>
    <row r="32" spans="1:8" ht="13.8" hidden="1" x14ac:dyDescent="0.3">
      <c r="A32" s="187" t="s">
        <v>424</v>
      </c>
      <c r="B32" s="197" t="s">
        <v>289</v>
      </c>
      <c r="C32" s="187" t="str">
        <f>IF(Worksheet!$I$15=1,B24,IF(Worksheet!$I$15=3,B27,IF(Worksheet!$I$15&gt;=7,"",B23)))</f>
        <v>Associate Professor</v>
      </c>
      <c r="G32" s="201">
        <v>4</v>
      </c>
      <c r="H32" s="187" t="str">
        <f t="shared" si="0"/>
        <v>Professor</v>
      </c>
    </row>
    <row r="33" spans="1:8" ht="13.8" hidden="1" x14ac:dyDescent="0.3">
      <c r="A33" s="187" t="s">
        <v>418</v>
      </c>
      <c r="B33" s="197"/>
      <c r="C33" s="187" t="str">
        <f>IF(Worksheet!$I$15=1,"",IF(Worksheet!$I$15=3,B28,IF(Worksheet!$I$15&gt;=7,"",B24)))</f>
        <v>Professor</v>
      </c>
      <c r="G33" s="201">
        <v>5</v>
      </c>
      <c r="H33" s="187" t="str">
        <f t="shared" si="0"/>
        <v/>
      </c>
    </row>
    <row r="34" spans="1:8" ht="13.8" hidden="1" x14ac:dyDescent="0.3">
      <c r="B34" s="197" t="s">
        <v>249</v>
      </c>
      <c r="C34" s="187" t="str">
        <f>IF(Worksheet!$I$15&lt;3,"",IF(Worksheet!$I$15=3,B29,IF(Worksheet!$I$15&gt;=7,"",B29)))</f>
        <v/>
      </c>
      <c r="G34" s="201">
        <v>6</v>
      </c>
      <c r="H34" s="187" t="str">
        <f t="shared" si="0"/>
        <v/>
      </c>
    </row>
    <row r="35" spans="1:8" ht="13.8" hidden="1" x14ac:dyDescent="0.3">
      <c r="B35" s="197" t="s">
        <v>250</v>
      </c>
      <c r="C35" s="187" t="str">
        <f>IF(Worksheet!$I$15&lt;3,"",IF(Worksheet!$I$15=3,B30,IF(Worksheet!$I$15&gt;=7,"",B30)))</f>
        <v/>
      </c>
      <c r="G35" s="201">
        <v>7</v>
      </c>
      <c r="H35" s="187" t="str">
        <f t="shared" si="0"/>
        <v/>
      </c>
    </row>
    <row r="36" spans="1:8" ht="13.8" hidden="1" x14ac:dyDescent="0.3">
      <c r="B36" s="197" t="s">
        <v>251</v>
      </c>
      <c r="C36" s="187" t="str">
        <f>IF(Worksheet!$I$15&lt;3,"",IF(Worksheet!$I$15=3,B31,IF(Worksheet!$I$15&gt;=7,"",B31)))</f>
        <v/>
      </c>
      <c r="G36" s="201">
        <v>8</v>
      </c>
      <c r="H36" s="187" t="str">
        <f t="shared" si="0"/>
        <v/>
      </c>
    </row>
    <row r="37" spans="1:8" ht="13.8" hidden="1" x14ac:dyDescent="0.3">
      <c r="B37" s="197" t="s">
        <v>469</v>
      </c>
      <c r="C37" s="187" t="str">
        <f>IF(Worksheet!$I$15&lt;3,"",IF(Worksheet!$I$15=3,B32,IF(Worksheet!$I$15&gt;=7,"",B32)))</f>
        <v/>
      </c>
      <c r="G37" s="201">
        <v>9</v>
      </c>
      <c r="H37" s="187" t="str">
        <f t="shared" si="0"/>
        <v/>
      </c>
    </row>
    <row r="38" spans="1:8" ht="13.8" hidden="1" x14ac:dyDescent="0.3">
      <c r="B38" s="197"/>
      <c r="C38" s="205" t="str">
        <f>IF(Worksheet!$I$15&lt;=2,"",IF(Worksheet!$I$15&gt;=7,"",A25))</f>
        <v/>
      </c>
      <c r="G38" s="201">
        <v>10</v>
      </c>
      <c r="H38" s="187" t="str">
        <f t="shared" si="0"/>
        <v/>
      </c>
    </row>
    <row r="39" spans="1:8" ht="13.8" hidden="1" x14ac:dyDescent="0.3">
      <c r="B39" s="197" t="s">
        <v>409</v>
      </c>
      <c r="C39" s="205" t="str">
        <f>IF(Worksheet!$I$15&lt;=2,"",IF(Worksheet!$I$15&gt;=7,"",A26))</f>
        <v/>
      </c>
      <c r="G39" s="201">
        <v>11</v>
      </c>
      <c r="H39" s="187" t="str">
        <f t="shared" si="0"/>
        <v/>
      </c>
    </row>
    <row r="40" spans="1:8" ht="13.8" hidden="1" x14ac:dyDescent="0.3">
      <c r="B40" s="198" t="s">
        <v>407</v>
      </c>
      <c r="C40" s="205" t="str">
        <f>IF(Worksheet!$I$15&lt;=2,"",IF(Worksheet!$I$15&gt;=7,"",A27))</f>
        <v/>
      </c>
      <c r="G40" s="201">
        <v>12</v>
      </c>
      <c r="H40" s="187" t="str">
        <f t="shared" si="0"/>
        <v/>
      </c>
    </row>
    <row r="41" spans="1:8" ht="13.8" hidden="1" x14ac:dyDescent="0.3">
      <c r="B41" s="197" t="s">
        <v>261</v>
      </c>
      <c r="C41" s="205" t="str">
        <f>IF(Worksheet!$I$15&lt;=2,"",IF(Worksheet!$I$15&gt;=7,"",A28))</f>
        <v/>
      </c>
      <c r="G41" s="201">
        <v>13</v>
      </c>
      <c r="H41" s="187" t="str">
        <f t="shared" si="0"/>
        <v/>
      </c>
    </row>
    <row r="42" spans="1:8" ht="13.8" hidden="1" x14ac:dyDescent="0.3">
      <c r="B42" s="197" t="s">
        <v>410</v>
      </c>
      <c r="C42" s="205" t="str">
        <f>IF(Worksheet!$I$15&lt;=2,"",IF(Worksheet!$I$15&gt;=7,"",A29))</f>
        <v/>
      </c>
      <c r="G42" s="201">
        <v>14</v>
      </c>
      <c r="H42" s="187" t="str">
        <f t="shared" si="0"/>
        <v/>
      </c>
    </row>
    <row r="43" spans="1:8" ht="13.8" hidden="1" x14ac:dyDescent="0.3">
      <c r="B43" s="197" t="s">
        <v>408</v>
      </c>
      <c r="C43" s="205" t="str">
        <f>IF(Worksheet!$I$15&lt;=2,"",IF(Worksheet!$I$15&gt;=7,"",A30))</f>
        <v/>
      </c>
      <c r="G43" s="201">
        <v>15</v>
      </c>
      <c r="H43" s="187" t="str">
        <f t="shared" si="0"/>
        <v/>
      </c>
    </row>
    <row r="44" spans="1:8" ht="13.8" hidden="1" x14ac:dyDescent="0.3">
      <c r="B44" s="197" t="s">
        <v>334</v>
      </c>
      <c r="C44" s="205" t="str">
        <f>IF(Worksheet!$I$15&lt;=2,"",IF(Worksheet!$I$15&gt;=7,"",A31))</f>
        <v/>
      </c>
      <c r="G44" s="201">
        <v>16</v>
      </c>
      <c r="H44" s="187" t="str">
        <f t="shared" si="0"/>
        <v/>
      </c>
    </row>
    <row r="45" spans="1:8" ht="13.8" hidden="1" x14ac:dyDescent="0.3">
      <c r="B45" s="197" t="s">
        <v>495</v>
      </c>
      <c r="C45" s="205" t="str">
        <f>IF(Worksheet!$I$15&lt;=2,"",IF(Worksheet!$I$15&gt;=7,"",A32))</f>
        <v/>
      </c>
      <c r="G45" s="201">
        <v>17</v>
      </c>
      <c r="H45" s="187" t="str">
        <f t="shared" si="0"/>
        <v/>
      </c>
    </row>
    <row r="46" spans="1:8" ht="13.8" hidden="1" x14ac:dyDescent="0.3">
      <c r="B46" s="197" t="s">
        <v>411</v>
      </c>
      <c r="C46" s="205" t="str">
        <f>IF(Worksheet!$I$15&lt;=2,"",IF(Worksheet!$I$15&gt;=7,"",A33))</f>
        <v/>
      </c>
    </row>
    <row r="47" spans="1:8" ht="13.8" hidden="1" x14ac:dyDescent="0.3">
      <c r="B47" s="197" t="s">
        <v>260</v>
      </c>
    </row>
    <row r="48" spans="1:8" ht="13.8" hidden="1" x14ac:dyDescent="0.3">
      <c r="B48" s="197" t="s">
        <v>496</v>
      </c>
    </row>
    <row r="49" spans="2:6" ht="13.8" hidden="1" x14ac:dyDescent="0.3">
      <c r="B49" s="197" t="s">
        <v>494</v>
      </c>
      <c r="C49" s="187" t="s">
        <v>387</v>
      </c>
    </row>
    <row r="50" spans="2:6" hidden="1" x14ac:dyDescent="0.25"/>
    <row r="51" spans="2:6" ht="13.8" hidden="1" x14ac:dyDescent="0.3">
      <c r="B51" s="197" t="s">
        <v>416</v>
      </c>
      <c r="E51" s="187" t="s">
        <v>223</v>
      </c>
      <c r="F51" s="187" t="s">
        <v>224</v>
      </c>
    </row>
    <row r="52" spans="2:6" ht="13.8" hidden="1" x14ac:dyDescent="0.3">
      <c r="B52" s="197" t="s">
        <v>425</v>
      </c>
      <c r="C52" s="197" t="s">
        <v>278</v>
      </c>
      <c r="D52" s="201" t="str">
        <f>IF(Worksheet!$I$15=1,"Permanent",IF(Worksheet!$I$15=7,"At Will",IF(Worksheet!$I$15=8,"At Will",IF(Worksheet!$I$15=9,"At Will",setup!C52))))</f>
        <v>9 month Academic Year Appointment</v>
      </c>
      <c r="E52" s="206">
        <v>38575</v>
      </c>
    </row>
    <row r="53" spans="2:6" ht="13.8" hidden="1" x14ac:dyDescent="0.3">
      <c r="B53" s="197" t="s">
        <v>426</v>
      </c>
      <c r="C53" s="197" t="s">
        <v>292</v>
      </c>
      <c r="D53" s="201" t="str">
        <f>IF(Worksheet!$I$15=1,"",IF(Worksheet!$I$15=7,"",IF(Worksheet!$I$15=8,"",IF(Worksheet!$I$15=9,"",IF(Worksheet!$I$15=3,C56,setup!C53)))))</f>
        <v>10-Month Appointment</v>
      </c>
      <c r="E53" s="206">
        <v>38575</v>
      </c>
    </row>
    <row r="54" spans="2:6" ht="13.8" hidden="1" x14ac:dyDescent="0.3">
      <c r="B54" s="197" t="s">
        <v>469</v>
      </c>
      <c r="C54" s="197" t="s">
        <v>417</v>
      </c>
      <c r="D54" s="201" t="str">
        <f>IF(Worksheet!$I$15=1,"",IF(Worksheet!$I$15=7,"",IF(Worksheet!$I$15=8,"",IF(Worksheet!$I$15=9,"",IF(Worksheet!$I$15=3,C57,setup!C54)))))</f>
        <v>11-Month Appointment</v>
      </c>
      <c r="E54" s="206">
        <v>38575</v>
      </c>
    </row>
    <row r="55" spans="2:6" ht="13.8" hidden="1" x14ac:dyDescent="0.3">
      <c r="B55" s="197" t="s">
        <v>460</v>
      </c>
      <c r="C55" s="197" t="s">
        <v>321</v>
      </c>
      <c r="D55" s="201" t="str">
        <f>IF(Worksheet!$I$15=1,"",IF(Worksheet!$I$15=7,"",IF(Worksheet!$I$15=8,"",IF(Worksheet!$I$15=9,"",IF(Worksheet!$I$15=3,C58,setup!C55)))))</f>
        <v>Fiscal 12-Month Appointment</v>
      </c>
      <c r="E55" s="206" t="s">
        <v>226</v>
      </c>
    </row>
    <row r="56" spans="2:6" ht="13.8" hidden="1" x14ac:dyDescent="0.3">
      <c r="C56" s="197" t="s">
        <v>250</v>
      </c>
      <c r="D56" s="201" t="str">
        <f>IF(Worksheet!$I$15=1,"",IF(Worksheet!$I$15=2,"",IF(Worksheet!$I$15=7,"",IF(Worksheet!$I$15=8,"",IF(Worksheet!$I$15=9,"",IF(Worksheet!$I$15=3,"",C56))))))</f>
        <v/>
      </c>
      <c r="E56" s="206">
        <v>38579</v>
      </c>
    </row>
    <row r="57" spans="2:6" ht="13.8" hidden="1" x14ac:dyDescent="0.3">
      <c r="B57" s="197" t="s">
        <v>476</v>
      </c>
      <c r="C57" s="197" t="s">
        <v>251</v>
      </c>
      <c r="D57" s="201" t="str">
        <f>IF(Worksheet!$I$15=1,"",IF(Worksheet!$I$15=2,"",IF(Worksheet!$I$15=7,"",IF(Worksheet!$I$15=8,"",IF(Worksheet!$I$15=9,"",IF(Worksheet!$I$15=3,"",C57))))))</f>
        <v/>
      </c>
      <c r="E57" s="206" t="s">
        <v>225</v>
      </c>
    </row>
    <row r="58" spans="2:6" ht="13.8" hidden="1" x14ac:dyDescent="0.3">
      <c r="B58" s="197" t="s">
        <v>455</v>
      </c>
      <c r="C58" s="197" t="s">
        <v>469</v>
      </c>
      <c r="D58" s="201" t="str">
        <f>IF(Worksheet!$I$15=1,"",IF(Worksheet!$I$15=2,"",IF(Worksheet!$I$15=7,"",IF(Worksheet!$I$15=8,"",IF(Worksheet!$I$15=9,"",IF(Worksheet!$I$15=3,"",C58))))))</f>
        <v/>
      </c>
      <c r="E58" s="206" t="s">
        <v>387</v>
      </c>
    </row>
    <row r="59" spans="2:6" ht="13.8" hidden="1" x14ac:dyDescent="0.3">
      <c r="B59" s="197" t="s">
        <v>471</v>
      </c>
      <c r="D59" s="201" t="str">
        <f>IF(Worksheet!$I$15=4,"At Will",IF(Worksheet!$I$15=5,"At Will",IF(Worksheet!$I$15=6,"At Will",IF(Worksheet!I15&gt;=10,"",""))))</f>
        <v/>
      </c>
    </row>
    <row r="60" spans="2:6" ht="13.8" hidden="1" x14ac:dyDescent="0.3">
      <c r="B60" s="197" t="s">
        <v>472</v>
      </c>
      <c r="C60" s="197" t="s">
        <v>387</v>
      </c>
      <c r="D60" s="201" t="s">
        <v>387</v>
      </c>
    </row>
    <row r="61" spans="2:6" ht="13.8" hidden="1" x14ac:dyDescent="0.3">
      <c r="B61" s="197" t="s">
        <v>473</v>
      </c>
      <c r="C61" s="187" t="s">
        <v>433</v>
      </c>
      <c r="D61" s="201" t="s">
        <v>387</v>
      </c>
    </row>
    <row r="62" spans="2:6" ht="13.8" hidden="1" x14ac:dyDescent="0.3">
      <c r="B62" s="197" t="s">
        <v>474</v>
      </c>
    </row>
    <row r="63" spans="2:6" ht="13.8" hidden="1" x14ac:dyDescent="0.3">
      <c r="B63" s="197" t="s">
        <v>475</v>
      </c>
    </row>
    <row r="64" spans="2:6" ht="13.8" hidden="1" x14ac:dyDescent="0.3">
      <c r="B64" s="197" t="s">
        <v>465</v>
      </c>
    </row>
    <row r="65" spans="2:3" ht="13.8" hidden="1" x14ac:dyDescent="0.3">
      <c r="C65" s="197" t="s">
        <v>276</v>
      </c>
    </row>
    <row r="66" spans="2:3" ht="13.8" hidden="1" x14ac:dyDescent="0.3">
      <c r="B66" s="197" t="s">
        <v>461</v>
      </c>
      <c r="C66" s="197" t="s">
        <v>277</v>
      </c>
    </row>
    <row r="67" spans="2:3" ht="13.8" hidden="1" x14ac:dyDescent="0.3">
      <c r="B67" s="201">
        <v>270</v>
      </c>
      <c r="C67" s="197" t="s">
        <v>434</v>
      </c>
    </row>
    <row r="68" spans="2:3" hidden="1" x14ac:dyDescent="0.25"/>
    <row r="69" spans="2:3" hidden="1" x14ac:dyDescent="0.25">
      <c r="B69" s="187" t="s">
        <v>246</v>
      </c>
    </row>
    <row r="70" spans="2:3" hidden="1" x14ac:dyDescent="0.25">
      <c r="B70" s="187" t="s">
        <v>241</v>
      </c>
    </row>
    <row r="71" spans="2:3" hidden="1" x14ac:dyDescent="0.25">
      <c r="B71" s="187" t="s">
        <v>240</v>
      </c>
    </row>
    <row r="72" spans="2:3" hidden="1" x14ac:dyDescent="0.25">
      <c r="B72" s="187" t="s">
        <v>239</v>
      </c>
    </row>
    <row r="73" spans="2:3" hidden="1" x14ac:dyDescent="0.25">
      <c r="B73" s="187" t="s">
        <v>466</v>
      </c>
    </row>
    <row r="74" spans="2:3" hidden="1" x14ac:dyDescent="0.25">
      <c r="B74" s="187" t="s">
        <v>467</v>
      </c>
    </row>
    <row r="75" spans="2:3" hidden="1" x14ac:dyDescent="0.25">
      <c r="B75" s="187" t="s">
        <v>468</v>
      </c>
    </row>
    <row r="76" spans="2:3" hidden="1" x14ac:dyDescent="0.25">
      <c r="B76" s="187" t="s">
        <v>436</v>
      </c>
    </row>
    <row r="77" spans="2:3" hidden="1" x14ac:dyDescent="0.25">
      <c r="B77" s="187" t="s">
        <v>437</v>
      </c>
    </row>
    <row r="78" spans="2:3" hidden="1" x14ac:dyDescent="0.25">
      <c r="B78" s="187" t="s">
        <v>438</v>
      </c>
    </row>
    <row r="79" spans="2:3" hidden="1" x14ac:dyDescent="0.25">
      <c r="B79" s="187" t="s">
        <v>439</v>
      </c>
    </row>
    <row r="80" spans="2:3" hidden="1" x14ac:dyDescent="0.25">
      <c r="B80" s="187" t="s">
        <v>297</v>
      </c>
    </row>
    <row r="81" spans="2:2" hidden="1" x14ac:dyDescent="0.25">
      <c r="B81" s="187" t="s">
        <v>252</v>
      </c>
    </row>
    <row r="82" spans="2:2" hidden="1" x14ac:dyDescent="0.25">
      <c r="B82" s="187" t="s">
        <v>325</v>
      </c>
    </row>
    <row r="83" spans="2:2" ht="13.8" hidden="1" thickBot="1" x14ac:dyDescent="0.3">
      <c r="B83" s="207" t="s">
        <v>373</v>
      </c>
    </row>
    <row r="84" spans="2:2" ht="13.8" hidden="1" thickBot="1" x14ac:dyDescent="0.3">
      <c r="B84" s="207" t="s">
        <v>374</v>
      </c>
    </row>
    <row r="85" spans="2:2" hidden="1" x14ac:dyDescent="0.25">
      <c r="B85" s="187" t="s">
        <v>326</v>
      </c>
    </row>
    <row r="86" spans="2:2" ht="31.8" hidden="1" thickBot="1" x14ac:dyDescent="0.3">
      <c r="B86" s="199" t="s">
        <v>329</v>
      </c>
    </row>
    <row r="87" spans="2:2" ht="13.8" hidden="1" thickBot="1" x14ac:dyDescent="0.3">
      <c r="B87" s="207" t="s">
        <v>331</v>
      </c>
    </row>
    <row r="88" spans="2:2" ht="13.8" hidden="1" thickBot="1" x14ac:dyDescent="0.3">
      <c r="B88" s="207" t="s">
        <v>333</v>
      </c>
    </row>
    <row r="89" spans="2:2" ht="13.8" hidden="1" thickBot="1" x14ac:dyDescent="0.3">
      <c r="B89" s="207" t="s">
        <v>196</v>
      </c>
    </row>
    <row r="90" spans="2:2" ht="13.8" hidden="1" thickBot="1" x14ac:dyDescent="0.3">
      <c r="B90" s="207" t="s">
        <v>335</v>
      </c>
    </row>
    <row r="91" spans="2:2" ht="27" hidden="1" thickBot="1" x14ac:dyDescent="0.3">
      <c r="B91" s="207" t="s">
        <v>336</v>
      </c>
    </row>
    <row r="92" spans="2:2" ht="13.8" hidden="1" thickBot="1" x14ac:dyDescent="0.3">
      <c r="B92" s="207" t="s">
        <v>341</v>
      </c>
    </row>
    <row r="93" spans="2:2" ht="13.8" hidden="1" thickBot="1" x14ac:dyDescent="0.3">
      <c r="B93" s="207" t="s">
        <v>342</v>
      </c>
    </row>
    <row r="94" spans="2:2" ht="13.8" hidden="1" thickBot="1" x14ac:dyDescent="0.3">
      <c r="B94" s="207" t="s">
        <v>343</v>
      </c>
    </row>
    <row r="95" spans="2:2" ht="27" hidden="1" thickBot="1" x14ac:dyDescent="0.3">
      <c r="B95" s="207" t="s">
        <v>365</v>
      </c>
    </row>
    <row r="96" spans="2:2" ht="13.8" hidden="1" thickBot="1" x14ac:dyDescent="0.3">
      <c r="B96" s="207" t="s">
        <v>366</v>
      </c>
    </row>
    <row r="97" spans="2:2" ht="13.8" hidden="1" thickBot="1" x14ac:dyDescent="0.3">
      <c r="B97" s="207" t="s">
        <v>357</v>
      </c>
    </row>
    <row r="98" spans="2:2" ht="13.8" hidden="1" thickBot="1" x14ac:dyDescent="0.3">
      <c r="B98" s="207" t="s">
        <v>358</v>
      </c>
    </row>
    <row r="99" spans="2:2" ht="13.8" hidden="1" thickBot="1" x14ac:dyDescent="0.3">
      <c r="B99" s="207" t="s">
        <v>367</v>
      </c>
    </row>
    <row r="100" spans="2:2" ht="13.8" hidden="1" thickBot="1" x14ac:dyDescent="0.3">
      <c r="B100" s="207" t="s">
        <v>371</v>
      </c>
    </row>
    <row r="101" spans="2:2" ht="13.8" hidden="1" thickBot="1" x14ac:dyDescent="0.3">
      <c r="B101" s="207" t="s">
        <v>370</v>
      </c>
    </row>
    <row r="102" spans="2:2" ht="13.8" hidden="1" thickBot="1" x14ac:dyDescent="0.3">
      <c r="B102" s="207" t="s">
        <v>375</v>
      </c>
    </row>
    <row r="103" spans="2:2" ht="13.8" hidden="1" thickBot="1" x14ac:dyDescent="0.3">
      <c r="B103" s="207" t="s">
        <v>360</v>
      </c>
    </row>
    <row r="104" spans="2:2" ht="13.8" hidden="1" thickBot="1" x14ac:dyDescent="0.3">
      <c r="B104" s="207" t="s">
        <v>361</v>
      </c>
    </row>
    <row r="105" spans="2:2" ht="13.8" hidden="1" thickBot="1" x14ac:dyDescent="0.3">
      <c r="B105" s="207" t="s">
        <v>340</v>
      </c>
    </row>
    <row r="106" spans="2:2" ht="13.8" hidden="1" thickBot="1" x14ac:dyDescent="0.3">
      <c r="B106" s="207" t="s">
        <v>327</v>
      </c>
    </row>
    <row r="107" spans="2:2" ht="27" hidden="1" thickBot="1" x14ac:dyDescent="0.3">
      <c r="B107" s="207" t="s">
        <v>362</v>
      </c>
    </row>
    <row r="108" spans="2:2" ht="13.8" hidden="1" thickBot="1" x14ac:dyDescent="0.3">
      <c r="B108" s="207" t="s">
        <v>354</v>
      </c>
    </row>
    <row r="109" spans="2:2" ht="13.8" hidden="1" thickBot="1" x14ac:dyDescent="0.3">
      <c r="B109" s="207" t="s">
        <v>363</v>
      </c>
    </row>
    <row r="110" spans="2:2" ht="13.8" hidden="1" thickBot="1" x14ac:dyDescent="0.3">
      <c r="B110" s="207" t="s">
        <v>355</v>
      </c>
    </row>
    <row r="111" spans="2:2" ht="13.8" hidden="1" thickBot="1" x14ac:dyDescent="0.3">
      <c r="B111" s="207" t="s">
        <v>372</v>
      </c>
    </row>
    <row r="112" spans="2:2" ht="13.8" hidden="1" thickBot="1" x14ac:dyDescent="0.3">
      <c r="B112" s="207" t="s">
        <v>364</v>
      </c>
    </row>
    <row r="113" spans="2:2" ht="13.8" hidden="1" thickBot="1" x14ac:dyDescent="0.3">
      <c r="B113" s="207" t="s">
        <v>230</v>
      </c>
    </row>
    <row r="114" spans="2:2" ht="13.8" hidden="1" thickBot="1" x14ac:dyDescent="0.3">
      <c r="B114" s="207" t="s">
        <v>328</v>
      </c>
    </row>
    <row r="115" spans="2:2" ht="13.8" hidden="1" thickBot="1" x14ac:dyDescent="0.3">
      <c r="B115" s="207" t="s">
        <v>339</v>
      </c>
    </row>
    <row r="116" spans="2:2" ht="13.8" hidden="1" thickBot="1" x14ac:dyDescent="0.3">
      <c r="B116" s="207" t="s">
        <v>338</v>
      </c>
    </row>
    <row r="117" spans="2:2" ht="13.8" hidden="1" thickBot="1" x14ac:dyDescent="0.3">
      <c r="B117" s="207" t="s">
        <v>356</v>
      </c>
    </row>
    <row r="118" spans="2:2" ht="13.8" hidden="1" thickBot="1" x14ac:dyDescent="0.3">
      <c r="B118" s="207" t="s">
        <v>337</v>
      </c>
    </row>
    <row r="119" spans="2:2" ht="13.8" hidden="1" thickBot="1" x14ac:dyDescent="0.3">
      <c r="B119" s="207" t="s">
        <v>353</v>
      </c>
    </row>
    <row r="120" spans="2:2" ht="13.8" hidden="1" thickBot="1" x14ac:dyDescent="0.3">
      <c r="B120" s="207" t="s">
        <v>330</v>
      </c>
    </row>
    <row r="121" spans="2:2" ht="13.8" hidden="1" thickBot="1" x14ac:dyDescent="0.3">
      <c r="B121" s="207" t="s">
        <v>332</v>
      </c>
    </row>
    <row r="122" spans="2:2" ht="13.8" hidden="1" thickBot="1" x14ac:dyDescent="0.3">
      <c r="B122" s="207" t="s">
        <v>368</v>
      </c>
    </row>
    <row r="123" spans="2:2" ht="13.8" hidden="1" thickBot="1" x14ac:dyDescent="0.3">
      <c r="B123" s="207" t="s">
        <v>369</v>
      </c>
    </row>
    <row r="124" spans="2:2" ht="13.8" hidden="1" thickBot="1" x14ac:dyDescent="0.3">
      <c r="B124" s="207" t="s">
        <v>262</v>
      </c>
    </row>
    <row r="125" spans="2:2" ht="13.8" hidden="1" thickBot="1" x14ac:dyDescent="0.3">
      <c r="B125" s="207" t="s">
        <v>263</v>
      </c>
    </row>
    <row r="126" spans="2:2" ht="13.8" hidden="1" thickBot="1" x14ac:dyDescent="0.3">
      <c r="B126" s="207" t="s">
        <v>264</v>
      </c>
    </row>
    <row r="127" spans="2:2" ht="13.8" hidden="1" thickBot="1" x14ac:dyDescent="0.3">
      <c r="B127" s="207" t="s">
        <v>265</v>
      </c>
    </row>
    <row r="128" spans="2:2" ht="13.8" hidden="1" thickBot="1" x14ac:dyDescent="0.3">
      <c r="B128" s="207" t="s">
        <v>266</v>
      </c>
    </row>
    <row r="129" spans="2:2" ht="13.8" hidden="1" thickBot="1" x14ac:dyDescent="0.3">
      <c r="B129" s="207" t="s">
        <v>267</v>
      </c>
    </row>
    <row r="130" spans="2:2" ht="13.8" hidden="1" thickBot="1" x14ac:dyDescent="0.3">
      <c r="B130" s="207" t="s">
        <v>268</v>
      </c>
    </row>
    <row r="131" spans="2:2" ht="13.8" hidden="1" thickBot="1" x14ac:dyDescent="0.3">
      <c r="B131" s="207" t="s">
        <v>269</v>
      </c>
    </row>
    <row r="132" spans="2:2" ht="16.2" hidden="1" thickBot="1" x14ac:dyDescent="0.3">
      <c r="B132" s="200" t="s">
        <v>460</v>
      </c>
    </row>
    <row r="133" spans="2:2" hidden="1" x14ac:dyDescent="0.25"/>
    <row r="134" spans="2:2" hidden="1" x14ac:dyDescent="0.25"/>
    <row r="135" spans="2:2" hidden="1" x14ac:dyDescent="0.25"/>
    <row r="136" spans="2:2" hidden="1" x14ac:dyDescent="0.25"/>
    <row r="137" spans="2:2" hidden="1" x14ac:dyDescent="0.25"/>
    <row r="138" spans="2:2" hidden="1" x14ac:dyDescent="0.25"/>
    <row r="139" spans="2:2" hidden="1" x14ac:dyDescent="0.25"/>
    <row r="140" spans="2:2" hidden="1" x14ac:dyDescent="0.25"/>
    <row r="141" spans="2:2" hidden="1" x14ac:dyDescent="0.25"/>
    <row r="142" spans="2:2" hidden="1" x14ac:dyDescent="0.25"/>
    <row r="143" spans="2:2" ht="59.25" hidden="1" customHeight="1" x14ac:dyDescent="0.25"/>
  </sheetData>
  <phoneticPr fontId="0" type="noConversion"/>
  <hyperlinks>
    <hyperlink ref="B106" r:id="rId1" tooltip="N.C. Board of Ethics" display="http://www.doa.state.nc.us/ethics"/>
    <hyperlink ref="B114" r:id="rId2" tooltip="Office of Administrative Hearings" display="http://www.oah.state.nc.us/"/>
    <hyperlink ref="B120" r:id="rId3" tooltip="Office of State Auditor" display="http://www.ncauditor.net/"/>
    <hyperlink ref="B87" r:id="rId4" tooltip="Department of Commerce" display="http://www.nccommerce.com/"/>
    <hyperlink ref="B121" r:id="rId5" tooltip="Office of the State Controller" display="http://www.ncosc.net/"/>
    <hyperlink ref="B88" r:id="rId6" tooltip="Department of Correction" display="http://www.doc.state.nc.us/"/>
    <hyperlink ref="B89" r:id="rId7" display="http://www.nccrimecontrol.org/"/>
    <hyperlink ref="B90" r:id="rId8" tooltip="Department of Cultural Resources" display="http://www.ncdcr.gov/"/>
    <hyperlink ref="B91" r:id="rId9" tooltip="Department of Environment and Natural Resources" display="http://www.enr.state.nc.us/"/>
    <hyperlink ref="B118" r:id="rId10" tooltip="Office of the Governor" display="http://www.governor.state.nc.us/"/>
    <hyperlink ref="B116" r:id="rId11" tooltip="Office of Budget and Management" display="http://www.osbm.state.nc.us/osbm/index.html"/>
    <hyperlink ref="B115" r:id="rId12" tooltip="Office of Information Technology Services" display="http://www.its.state.nc.us/"/>
    <hyperlink ref="B105" r:id="rId13" tooltip="Health and Wellness Commission" display="http://www.hwtfc.org/"/>
    <hyperlink ref="B92" r:id="rId14" tooltip="Department of Health and Human Services" display="http://www.dhhs.state.nc.us/"/>
    <hyperlink ref="B93" r:id="rId15" display="http://www.ncdoi.com/"/>
    <hyperlink ref="B94" r:id="rId16" display="http://www.ncdoj.com/"/>
    <hyperlink ref="B95" r:id="rId17" tooltip="Department of Juvenile Justice and Delinquency Prevention" display="http://www.juvjus.state.nc.us/"/>
    <hyperlink ref="B96" r:id="rId18" tooltip="Department of Labor" display="http://www.nclabor.com/"/>
    <hyperlink ref="B119" r:id="rId19" tooltip="Office of the Lieutenant Governor" display="http://www.ltgov.state.nc.us/"/>
    <hyperlink ref="B108" r:id="rId20" tooltip="North Carolina Center for Nursing" display="http://www.nursenc.org/"/>
    <hyperlink ref="B110" r:id="rId21" tooltip="North Carolina Community Colleges" display="http://www.ncccs.cc.nc.us/"/>
    <hyperlink ref="B117" r:id="rId22" tooltip="Office of State Personnel" display="http://www.osp.state.nc.us/ExternalHome/index.htm"/>
    <hyperlink ref="B97" r:id="rId23" tooltip="Department of Public Instruction" display="http://www.dpi.state.nc.us/"/>
    <hyperlink ref="B98" r:id="rId24" tooltip="Department of Revenue" display="http://www.dor.state.nc.us/"/>
    <hyperlink ref="B99" r:id="rId25" tooltip="Department of Secretary of State" display="http://www.secstate.state.nc.us/"/>
    <hyperlink ref="B122" r:id="rId26" tooltip="State Board of Elections" display="http://www.app.sboe.state.nc.us/"/>
    <hyperlink ref="B123" r:id="rId27" tooltip="State Health Plan" display="http://statehealthplan.state.nc.us/"/>
    <hyperlink ref="B101" r:id="rId28" tooltip="Department of Transportation" display="http://www.dot.state.nc.us/"/>
    <hyperlink ref="B100" r:id="rId29" tooltip="Department of the State Treasurer" display="http://www.nctreasurer.com/"/>
    <hyperlink ref="B111" r:id="rId30" tooltip="North Carolina General Assembly" display="http://www.ncleg.net/"/>
    <hyperlink ref="B83" r:id="rId31" tooltip="Administrative Office of the Courts" display="http://www.nccourts.org/"/>
    <hyperlink ref="B84" r:id="rId32" display="http://www.appstate.edu/"/>
    <hyperlink ref="B102" r:id="rId33" display="http://www.ecu.edu/"/>
    <hyperlink ref="B103" r:id="rId34" display="http://www.ecsu.edu/"/>
    <hyperlink ref="B104" r:id="rId35" display="http://www.uncfsu.edu/"/>
    <hyperlink ref="B107" r:id="rId36" display="http://www.ncat.edu/"/>
    <hyperlink ref="B109" r:id="rId37" display="http://www.nccu.edu/"/>
    <hyperlink ref="B112" r:id="rId38" display="http://www.ncarts.edu/"/>
    <hyperlink ref="B113" r:id="rId39" display="http://www.ncsu.edu/"/>
    <hyperlink ref="B124" r:id="rId40" display="http://www.unca.edu/"/>
    <hyperlink ref="B125" r:id="rId41" display="http://www.unc.edu/"/>
    <hyperlink ref="B126" r:id="rId42" display="http://www.uncc.edu/"/>
    <hyperlink ref="B127" r:id="rId43" display="http://www.uncg.edu/"/>
    <hyperlink ref="B128" r:id="rId44" display="http://www.uncp.edu/"/>
    <hyperlink ref="B129" r:id="rId45" display="http://www.uncwil.edu/"/>
    <hyperlink ref="B130" r:id="rId46" display="http://www.wcu.edu/"/>
    <hyperlink ref="B131" r:id="rId47" display="http://www.wssu.edu/"/>
  </hyperlinks>
  <pageMargins left="0.75" right="0.75" top="1" bottom="1" header="0.5" footer="0.5"/>
  <pageSetup orientation="portrait" r:id="rId48"/>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Y57"/>
  <sheetViews>
    <sheetView topLeftCell="F16" zoomScale="75" workbookViewId="0">
      <selection activeCell="C37" sqref="C37"/>
    </sheetView>
  </sheetViews>
  <sheetFormatPr defaultColWidth="9.109375" defaultRowHeight="15" x14ac:dyDescent="0.25"/>
  <cols>
    <col min="1" max="1" width="26.88671875" style="9" customWidth="1"/>
    <col min="2" max="2" width="15" style="9" customWidth="1"/>
    <col min="3" max="3" width="38.33203125" style="9" customWidth="1"/>
    <col min="4" max="4" width="8.33203125" style="9" customWidth="1"/>
    <col min="5" max="5" width="16.88671875" style="9" customWidth="1"/>
    <col min="6" max="7" width="9.109375" style="9"/>
    <col min="8" max="8" width="10.88671875" style="9" customWidth="1"/>
    <col min="9" max="9" width="12.88671875" style="9" customWidth="1"/>
    <col min="10" max="10" width="14.6640625" style="9" customWidth="1"/>
    <col min="11" max="16384" width="9.109375" style="9"/>
  </cols>
  <sheetData>
    <row r="1" spans="1:10" s="7" customFormat="1" ht="35.1" customHeight="1" x14ac:dyDescent="0.25">
      <c r="C1" s="7" t="s">
        <v>177</v>
      </c>
      <c r="E1" s="7" t="s">
        <v>178</v>
      </c>
      <c r="F1" s="7" t="s">
        <v>248</v>
      </c>
      <c r="G1" s="7" t="s">
        <v>179</v>
      </c>
      <c r="H1" s="7" t="s">
        <v>180</v>
      </c>
      <c r="I1" s="7" t="s">
        <v>284</v>
      </c>
      <c r="J1" s="7" t="s">
        <v>181</v>
      </c>
    </row>
    <row r="2" spans="1:10" ht="31.2" x14ac:dyDescent="0.3">
      <c r="A2" s="8" t="s">
        <v>285</v>
      </c>
      <c r="C2" s="75"/>
      <c r="D2" s="75"/>
      <c r="E2" s="75"/>
      <c r="F2" s="77"/>
      <c r="G2" s="75"/>
      <c r="H2" s="75"/>
      <c r="I2" s="75"/>
      <c r="J2" s="77"/>
    </row>
    <row r="3" spans="1:10" ht="33.75" customHeight="1" x14ac:dyDescent="0.3">
      <c r="A3" s="9" t="s">
        <v>183</v>
      </c>
      <c r="B3" s="63">
        <f>E3</f>
        <v>2</v>
      </c>
      <c r="C3" s="75">
        <f>Worksheet!I15</f>
        <v>2</v>
      </c>
      <c r="D3" s="75"/>
      <c r="E3" s="75">
        <f>C3</f>
        <v>2</v>
      </c>
      <c r="F3" s="77"/>
      <c r="G3" s="75"/>
      <c r="H3" s="75"/>
      <c r="I3" s="75"/>
      <c r="J3" s="77"/>
    </row>
    <row r="4" spans="1:10" ht="33.75" customHeight="1" x14ac:dyDescent="0.3">
      <c r="A4" s="9" t="s">
        <v>184</v>
      </c>
      <c r="B4" s="63">
        <f>Worksheet!H15</f>
        <v>1</v>
      </c>
      <c r="C4" s="75"/>
      <c r="D4" s="75"/>
      <c r="E4" s="75"/>
      <c r="F4" s="77"/>
      <c r="G4" s="75"/>
      <c r="H4" s="75"/>
      <c r="I4" s="75"/>
      <c r="J4" s="77"/>
    </row>
    <row r="5" spans="1:10" ht="33.75" customHeight="1" x14ac:dyDescent="0.3">
      <c r="A5" s="9" t="s">
        <v>248</v>
      </c>
      <c r="B5" s="63">
        <f>Worksheet!$N$15</f>
        <v>1</v>
      </c>
      <c r="C5" s="75"/>
      <c r="D5" s="75"/>
      <c r="E5" s="75">
        <f>Worksheet!$N$15</f>
        <v>1</v>
      </c>
      <c r="F5" s="77"/>
      <c r="G5" s="75"/>
      <c r="H5" s="75"/>
      <c r="I5" s="75"/>
      <c r="J5" s="77"/>
    </row>
    <row r="6" spans="1:10" ht="33.75" customHeight="1" x14ac:dyDescent="0.3">
      <c r="A6" s="9" t="s">
        <v>185</v>
      </c>
      <c r="B6" s="67">
        <f>Worksheet!$O$15</f>
        <v>1</v>
      </c>
      <c r="C6" s="75">
        <f>Worksheet!O15</f>
        <v>1</v>
      </c>
      <c r="D6" s="75"/>
      <c r="E6" s="75">
        <f>Worksheet!$O$15</f>
        <v>1</v>
      </c>
      <c r="F6" s="77"/>
      <c r="G6" s="75"/>
      <c r="H6" s="75"/>
      <c r="I6" s="75"/>
      <c r="J6" s="77"/>
    </row>
    <row r="7" spans="1:10" x14ac:dyDescent="0.25">
      <c r="A7" s="9" t="s">
        <v>403</v>
      </c>
      <c r="B7" s="9">
        <f>IF('E Recomend'!F60&gt;0,1,0)</f>
        <v>0</v>
      </c>
      <c r="C7" s="77"/>
      <c r="D7" s="77"/>
      <c r="E7" s="77"/>
      <c r="F7" s="77"/>
      <c r="G7" s="77"/>
      <c r="H7" s="77"/>
      <c r="I7" s="77"/>
      <c r="J7" s="77"/>
    </row>
    <row r="8" spans="1:10" ht="33.75" customHeight="1" x14ac:dyDescent="0.3">
      <c r="A8" s="9" t="s">
        <v>282</v>
      </c>
      <c r="B8" s="63">
        <f>Worksheet!J15</f>
        <v>1</v>
      </c>
      <c r="C8" s="75"/>
      <c r="D8" s="75"/>
      <c r="E8" s="75"/>
      <c r="F8" s="77"/>
      <c r="G8" s="75"/>
      <c r="H8" s="75"/>
      <c r="I8" s="75"/>
      <c r="J8" s="77"/>
    </row>
    <row r="9" spans="1:10" ht="33.75" customHeight="1" x14ac:dyDescent="0.3">
      <c r="A9" s="9" t="s">
        <v>283</v>
      </c>
      <c r="B9" s="68">
        <f>Worksheet!M15</f>
        <v>2</v>
      </c>
      <c r="C9" s="75"/>
      <c r="D9" s="75"/>
      <c r="E9" s="75"/>
      <c r="F9" s="77"/>
      <c r="G9" s="75"/>
      <c r="H9" s="75"/>
      <c r="I9" s="75"/>
      <c r="J9" s="77"/>
    </row>
    <row r="10" spans="1:10" ht="33.75" customHeight="1" x14ac:dyDescent="0.3">
      <c r="A10" s="9" t="s">
        <v>478</v>
      </c>
      <c r="B10" s="67" t="str">
        <f>'E Recomend'!F73</f>
        <v>FTE</v>
      </c>
      <c r="C10" s="75"/>
      <c r="D10" s="75"/>
      <c r="E10" s="75"/>
      <c r="F10" s="77"/>
      <c r="G10" s="75"/>
      <c r="H10" s="75"/>
      <c r="I10" s="75"/>
      <c r="J10" s="77"/>
    </row>
    <row r="11" spans="1:10" ht="15.6" x14ac:dyDescent="0.3">
      <c r="A11" s="9" t="s">
        <v>479</v>
      </c>
      <c r="C11" s="75"/>
      <c r="D11" s="75"/>
      <c r="E11" s="77"/>
      <c r="F11" s="77"/>
      <c r="G11" s="75"/>
      <c r="H11" s="75"/>
      <c r="I11" s="75"/>
      <c r="J11" s="77"/>
    </row>
    <row r="12" spans="1:10" ht="15.6" x14ac:dyDescent="0.3">
      <c r="A12" s="70" t="s">
        <v>404</v>
      </c>
      <c r="B12" s="67">
        <f>IF(Worksheet!$N$15&lt;=2,1,IF(Worksheet!$N$15=4,2,IF(Worksheet!$N$15=3,2,0)))</f>
        <v>1</v>
      </c>
      <c r="C12" s="74"/>
      <c r="D12" s="79" t="str">
        <f>CONCATENATE(B3,B5)</f>
        <v>21</v>
      </c>
      <c r="E12" s="76" t="str">
        <f>CONCATENATE(B4,B8)</f>
        <v>11</v>
      </c>
      <c r="F12" s="74"/>
      <c r="G12" s="76"/>
      <c r="H12" s="78" t="str">
        <f>CONCATENATE(B6,B3)</f>
        <v>12</v>
      </c>
      <c r="I12" s="74"/>
      <c r="J12" s="74"/>
    </row>
    <row r="13" spans="1:10" x14ac:dyDescent="0.25">
      <c r="A13" s="70" t="s">
        <v>405</v>
      </c>
      <c r="B13" s="9">
        <f>IF('E Recomend'!H61&gt;=0.75,1,0)</f>
        <v>0</v>
      </c>
      <c r="C13" s="74"/>
      <c r="D13" s="74"/>
      <c r="E13" s="78" t="str">
        <f>CONCATENATE(B3,B6)</f>
        <v>21</v>
      </c>
      <c r="F13" s="74"/>
      <c r="G13" s="74"/>
      <c r="H13" s="74"/>
      <c r="I13" s="74"/>
      <c r="J13" s="74"/>
    </row>
    <row r="14" spans="1:10" ht="30" x14ac:dyDescent="0.25">
      <c r="A14" s="70" t="s">
        <v>406</v>
      </c>
      <c r="B14" s="9">
        <f>SUM(B12:B13)</f>
        <v>1</v>
      </c>
      <c r="C14" s="64">
        <f>C15</f>
        <v>1310</v>
      </c>
      <c r="D14" s="64"/>
      <c r="E14" s="96" t="str">
        <f>IF(N28&gt;0,N28,IF(Q28&gt;0,Q28,IF(T28&gt;0,T28,IF(W28&gt;0,W28,""))))</f>
        <v>I1</v>
      </c>
      <c r="F14" s="64" t="str">
        <f>IF(Worksheet!I15=1,"9 months",IF(Worksheet!N15=1,"9 months",IF(Worksheet!N15=2,"10 months",IF(Worksheet!N15=3,"11 months",IF(Worksheet!N15=4,"12 months",IF(Worksheet!N15=5,"4.5 (Fall Semester)",IF(Worksheet!N15=6,"4.5 (Spring Semester)",IF(Worksheet!N15=7,"Other","At Will"))))))))</f>
        <v>9 months</v>
      </c>
      <c r="G14" s="64" t="str">
        <f>IF(B7=1,"Stipend",IF(B9=1,"Salary","Grant"))</f>
        <v>Grant</v>
      </c>
      <c r="H14" s="64" t="str">
        <f>H15</f>
        <v>D5</v>
      </c>
      <c r="I14" s="64" t="str">
        <f>IF(B14=3,"LEAVE",IF(B14=2,"BENEFITS","NO BENEFITS"))</f>
        <v>NO BENEFITS</v>
      </c>
      <c r="J14" s="78"/>
    </row>
    <row r="15" spans="1:10" ht="33.75" customHeight="1" x14ac:dyDescent="0.25">
      <c r="C15" s="9">
        <f>IF(B3&gt;3,C16,IF(B3&lt;=3,IF(B6=1,1310,IF(B6&gt;1,1311,""))))</f>
        <v>1310</v>
      </c>
      <c r="D15" s="69" t="s">
        <v>322</v>
      </c>
      <c r="F15" s="9" t="s">
        <v>387</v>
      </c>
      <c r="H15" s="9" t="str">
        <f>IF(H12="32","D3",IF(H12="31","D3",H16))</f>
        <v>D5</v>
      </c>
    </row>
    <row r="16" spans="1:10" ht="60.6" x14ac:dyDescent="0.3">
      <c r="C16" s="9">
        <f>IF(B3=4,1111,IF(B3=5,1111,IF(B3=7,1110,IF(B3=8,1110,IF(B3=10,1110,IF(B3=11,1110,C17))))))</f>
        <v>1310</v>
      </c>
      <c r="D16" s="69" t="s">
        <v>323</v>
      </c>
      <c r="F16" s="65" t="s">
        <v>312</v>
      </c>
      <c r="H16" s="9" t="str">
        <f>IF(B10&gt;0,"D5",IF(B3&lt;=2,"FACULTY DUTY",IF(B3=3,"D6",IF(B3&gt;=7,"ADM DUTY","FACULTY ADM DUTY"))))</f>
        <v>D5</v>
      </c>
    </row>
    <row r="17" spans="2:25" x14ac:dyDescent="0.25">
      <c r="C17" s="9">
        <f>IF(B3=6,"EPA FACULTY",IF(B3=9,"EPA",IF(B3=12,"EPA",C15)))</f>
        <v>1310</v>
      </c>
      <c r="D17" s="69"/>
      <c r="F17" s="9" t="s">
        <v>254</v>
      </c>
    </row>
    <row r="18" spans="2:25" x14ac:dyDescent="0.25">
      <c r="D18" s="69"/>
      <c r="E18" s="9">
        <f>IF(E12="17","I7",IF(E12="21","P1",IF(E12="22","P2",IF(E12="23","P3",IF(E12="24","P4",IF(E12="41","P5",E19))))))</f>
        <v>0</v>
      </c>
      <c r="F18" s="9" t="s">
        <v>313</v>
      </c>
    </row>
    <row r="19" spans="2:25" x14ac:dyDescent="0.25">
      <c r="D19" s="69"/>
      <c r="E19" s="9">
        <f>IF(B3=4,"EPA Tenured",IF(B3=5,"EPA Tenured",IF(B3=6,"EPA Tenured",E15)))</f>
        <v>0</v>
      </c>
      <c r="F19" s="9" t="s">
        <v>314</v>
      </c>
    </row>
    <row r="20" spans="2:25" x14ac:dyDescent="0.25">
      <c r="D20" s="69"/>
      <c r="F20" s="9" t="s">
        <v>315</v>
      </c>
    </row>
    <row r="21" spans="2:25" x14ac:dyDescent="0.25">
      <c r="D21" s="69"/>
      <c r="F21" s="9" t="s">
        <v>316</v>
      </c>
    </row>
    <row r="22" spans="2:25" x14ac:dyDescent="0.25">
      <c r="C22" s="9" t="s">
        <v>294</v>
      </c>
      <c r="D22" s="69"/>
      <c r="F22" s="9" t="s">
        <v>317</v>
      </c>
    </row>
    <row r="23" spans="2:25" x14ac:dyDescent="0.25">
      <c r="F23" s="9" t="s">
        <v>318</v>
      </c>
    </row>
    <row r="24" spans="2:25" x14ac:dyDescent="0.25">
      <c r="F24" s="9" t="s">
        <v>518</v>
      </c>
    </row>
    <row r="25" spans="2:25" x14ac:dyDescent="0.25">
      <c r="C25" s="9" t="s">
        <v>387</v>
      </c>
      <c r="F25" s="9" t="s">
        <v>433</v>
      </c>
    </row>
    <row r="26" spans="2:25" ht="21" customHeight="1" x14ac:dyDescent="0.25">
      <c r="N26" s="391" t="s">
        <v>551</v>
      </c>
      <c r="O26" s="391"/>
      <c r="Q26" s="390" t="s">
        <v>550</v>
      </c>
      <c r="R26" s="390"/>
      <c r="T26" s="390" t="s">
        <v>293</v>
      </c>
      <c r="U26" s="390"/>
      <c r="X26" s="390" t="s">
        <v>557</v>
      </c>
      <c r="Y26" s="390"/>
    </row>
    <row r="28" spans="2:25" ht="15.6" x14ac:dyDescent="0.3">
      <c r="N28" s="83" t="str">
        <f>IF(B3=2,VLOOKUP(O28,O29:P46,2,FALSE),0)</f>
        <v>I1</v>
      </c>
      <c r="O28" s="9">
        <f>(B3*100)+(B4*10)+B8</f>
        <v>211</v>
      </c>
      <c r="Q28" s="82">
        <f>IF(B3&gt;=7,VLOOKUP(R28,R29:S59,2,FALSE),IF(B3=3,VLOOKUP(R28,R29:S59,2,FALSE),0))</f>
        <v>0</v>
      </c>
      <c r="R28" s="9">
        <f>(B3*1000)+B5</f>
        <v>2001</v>
      </c>
      <c r="T28" s="82">
        <f>IF(B3&lt;=3,0,IF(B3&lt;=6,VLOOKUP(U28,U29:V37,2,FALSE),0))</f>
        <v>0</v>
      </c>
      <c r="U28" s="9">
        <f>(B3*100)+B6</f>
        <v>201</v>
      </c>
      <c r="W28" s="82">
        <f>IF(B3=1,VLOOKUP(X28,X29:Y32,2,FALSE),0)</f>
        <v>0</v>
      </c>
      <c r="X28" s="9">
        <f>(B3*10)+B4</f>
        <v>21</v>
      </c>
    </row>
    <row r="29" spans="2:25" x14ac:dyDescent="0.25">
      <c r="O29" s="9">
        <v>221</v>
      </c>
      <c r="P29" s="9" t="s">
        <v>530</v>
      </c>
      <c r="R29" s="9">
        <v>7001</v>
      </c>
      <c r="S29" s="9" t="s">
        <v>543</v>
      </c>
      <c r="U29" s="9">
        <v>401</v>
      </c>
      <c r="V29" s="9" t="s">
        <v>549</v>
      </c>
      <c r="X29" s="9">
        <v>11</v>
      </c>
      <c r="Y29" s="9" t="s">
        <v>542</v>
      </c>
    </row>
    <row r="30" spans="2:25" ht="15.6" x14ac:dyDescent="0.3">
      <c r="E30" s="72"/>
      <c r="O30" s="9">
        <v>231</v>
      </c>
      <c r="P30" s="9" t="s">
        <v>530</v>
      </c>
      <c r="R30" s="9">
        <v>8001</v>
      </c>
      <c r="S30" s="9" t="s">
        <v>543</v>
      </c>
      <c r="U30" s="9">
        <v>501</v>
      </c>
      <c r="V30" s="9" t="s">
        <v>549</v>
      </c>
      <c r="X30" s="9">
        <v>12</v>
      </c>
      <c r="Y30" s="9" t="s">
        <v>542</v>
      </c>
    </row>
    <row r="31" spans="2:25" ht="15.6" x14ac:dyDescent="0.3">
      <c r="E31" s="72"/>
      <c r="O31" s="9">
        <v>222</v>
      </c>
      <c r="P31" s="9" t="s">
        <v>531</v>
      </c>
      <c r="R31" s="9">
        <v>9001</v>
      </c>
      <c r="S31" s="9" t="s">
        <v>543</v>
      </c>
      <c r="U31" s="9">
        <v>601</v>
      </c>
      <c r="V31" s="9" t="s">
        <v>549</v>
      </c>
      <c r="X31" s="9">
        <v>13</v>
      </c>
      <c r="Y31" s="9" t="s">
        <v>542</v>
      </c>
    </row>
    <row r="32" spans="2:25" ht="31.2" x14ac:dyDescent="0.3">
      <c r="B32" s="84" t="s">
        <v>556</v>
      </c>
      <c r="D32" s="9" t="s">
        <v>527</v>
      </c>
      <c r="E32" s="146">
        <f>SUM('E Recomend'!F56:F58)</f>
        <v>0</v>
      </c>
      <c r="O32" s="9">
        <v>232</v>
      </c>
      <c r="P32" s="71" t="s">
        <v>531</v>
      </c>
      <c r="R32" s="9">
        <v>3001</v>
      </c>
      <c r="S32" s="9" t="s">
        <v>544</v>
      </c>
      <c r="U32" s="9">
        <v>402</v>
      </c>
      <c r="V32" s="9" t="s">
        <v>552</v>
      </c>
    </row>
    <row r="33" spans="2:22" ht="30.75" customHeight="1" x14ac:dyDescent="0.25">
      <c r="B33" s="9">
        <f>C14</f>
        <v>1310</v>
      </c>
      <c r="O33" s="9">
        <v>223</v>
      </c>
      <c r="P33" s="9" t="s">
        <v>532</v>
      </c>
      <c r="R33" s="9">
        <v>3002</v>
      </c>
      <c r="S33" s="9" t="s">
        <v>545</v>
      </c>
      <c r="U33" s="9">
        <v>502</v>
      </c>
      <c r="V33" s="9" t="s">
        <v>552</v>
      </c>
    </row>
    <row r="34" spans="2:22" x14ac:dyDescent="0.25">
      <c r="B34" s="9" t="str">
        <f>E14</f>
        <v>I1</v>
      </c>
      <c r="O34" s="9">
        <v>224</v>
      </c>
      <c r="P34" s="9" t="s">
        <v>533</v>
      </c>
      <c r="R34" s="9">
        <v>3003</v>
      </c>
      <c r="S34" s="9" t="s">
        <v>546</v>
      </c>
      <c r="U34" s="9">
        <v>602</v>
      </c>
      <c r="V34" s="9" t="s">
        <v>552</v>
      </c>
    </row>
    <row r="35" spans="2:22" x14ac:dyDescent="0.25">
      <c r="B35" s="9" t="str">
        <f>F14</f>
        <v>9 months</v>
      </c>
      <c r="O35" s="9">
        <v>233</v>
      </c>
      <c r="P35" s="9" t="s">
        <v>534</v>
      </c>
      <c r="R35" s="9">
        <v>3004</v>
      </c>
      <c r="S35" s="9" t="s">
        <v>547</v>
      </c>
      <c r="U35" s="9">
        <v>403</v>
      </c>
      <c r="V35" s="9" t="s">
        <v>547</v>
      </c>
    </row>
    <row r="36" spans="2:22" x14ac:dyDescent="0.25">
      <c r="B36" s="9" t="str">
        <f>G14</f>
        <v>Grant</v>
      </c>
      <c r="O36" s="9">
        <v>241</v>
      </c>
      <c r="P36" s="9" t="s">
        <v>535</v>
      </c>
      <c r="R36" s="9">
        <v>10004</v>
      </c>
      <c r="S36" s="9" t="s">
        <v>548</v>
      </c>
      <c r="U36" s="9">
        <v>503</v>
      </c>
      <c r="V36" s="9" t="s">
        <v>547</v>
      </c>
    </row>
    <row r="37" spans="2:22" x14ac:dyDescent="0.25">
      <c r="B37" s="9" t="str">
        <f>H14</f>
        <v>D5</v>
      </c>
      <c r="O37" s="9">
        <v>211</v>
      </c>
      <c r="P37" s="9" t="s">
        <v>294</v>
      </c>
      <c r="R37" s="9">
        <v>11004</v>
      </c>
      <c r="S37" s="9" t="s">
        <v>548</v>
      </c>
      <c r="U37" s="9">
        <v>603</v>
      </c>
      <c r="V37" s="9" t="s">
        <v>547</v>
      </c>
    </row>
    <row r="38" spans="2:22" ht="30" x14ac:dyDescent="0.25">
      <c r="B38" s="9" t="str">
        <f>I14</f>
        <v>NO BENEFITS</v>
      </c>
      <c r="O38" s="9">
        <v>212</v>
      </c>
      <c r="P38" s="9" t="s">
        <v>536</v>
      </c>
      <c r="R38" s="9">
        <v>12004</v>
      </c>
      <c r="S38" s="9" t="s">
        <v>548</v>
      </c>
    </row>
    <row r="39" spans="2:22" x14ac:dyDescent="0.25">
      <c r="L39" s="66"/>
      <c r="O39" s="9">
        <v>213</v>
      </c>
      <c r="P39" s="9" t="s">
        <v>537</v>
      </c>
      <c r="R39" s="9">
        <v>10001</v>
      </c>
      <c r="S39" s="9" t="s">
        <v>547</v>
      </c>
    </row>
    <row r="40" spans="2:22" x14ac:dyDescent="0.25">
      <c r="O40" s="9">
        <v>214</v>
      </c>
      <c r="P40" s="9" t="s">
        <v>538</v>
      </c>
      <c r="R40" s="9">
        <v>10002</v>
      </c>
      <c r="S40" s="9" t="s">
        <v>547</v>
      </c>
    </row>
    <row r="41" spans="2:22" x14ac:dyDescent="0.25">
      <c r="O41" s="9">
        <v>215</v>
      </c>
      <c r="P41" s="9" t="s">
        <v>539</v>
      </c>
      <c r="R41" s="9">
        <v>10003</v>
      </c>
      <c r="S41" s="9" t="s">
        <v>547</v>
      </c>
    </row>
    <row r="42" spans="2:22" x14ac:dyDescent="0.25">
      <c r="O42" s="9">
        <v>216</v>
      </c>
      <c r="P42" s="9" t="s">
        <v>540</v>
      </c>
      <c r="R42" s="9">
        <v>10005</v>
      </c>
      <c r="S42" s="9" t="s">
        <v>547</v>
      </c>
    </row>
    <row r="43" spans="2:22" x14ac:dyDescent="0.25">
      <c r="O43" s="9">
        <v>217</v>
      </c>
      <c r="P43" s="9" t="s">
        <v>541</v>
      </c>
      <c r="R43" s="9">
        <v>10006</v>
      </c>
      <c r="S43" s="9" t="s">
        <v>547</v>
      </c>
    </row>
    <row r="44" spans="2:22" x14ac:dyDescent="0.25">
      <c r="R44" s="9">
        <v>10007</v>
      </c>
      <c r="S44" s="9" t="s">
        <v>547</v>
      </c>
    </row>
    <row r="45" spans="2:22" x14ac:dyDescent="0.25">
      <c r="R45" s="9">
        <v>11001</v>
      </c>
      <c r="S45" s="9" t="s">
        <v>547</v>
      </c>
    </row>
    <row r="46" spans="2:22" x14ac:dyDescent="0.25">
      <c r="R46" s="9">
        <v>11002</v>
      </c>
      <c r="S46" s="9" t="s">
        <v>547</v>
      </c>
    </row>
    <row r="47" spans="2:22" x14ac:dyDescent="0.25">
      <c r="R47" s="9">
        <v>11003</v>
      </c>
      <c r="S47" s="9" t="s">
        <v>547</v>
      </c>
    </row>
    <row r="48" spans="2:22" x14ac:dyDescent="0.25">
      <c r="R48" s="9">
        <v>11005</v>
      </c>
      <c r="S48" s="9" t="s">
        <v>547</v>
      </c>
    </row>
    <row r="49" spans="15:19" x14ac:dyDescent="0.25">
      <c r="R49" s="9">
        <v>11006</v>
      </c>
      <c r="S49" s="9" t="s">
        <v>547</v>
      </c>
    </row>
    <row r="50" spans="15:19" x14ac:dyDescent="0.25">
      <c r="R50" s="9">
        <v>11007</v>
      </c>
      <c r="S50" s="9" t="s">
        <v>547</v>
      </c>
    </row>
    <row r="51" spans="15:19" x14ac:dyDescent="0.25">
      <c r="R51" s="9">
        <v>12001</v>
      </c>
      <c r="S51" s="9" t="s">
        <v>547</v>
      </c>
    </row>
    <row r="52" spans="15:19" x14ac:dyDescent="0.25">
      <c r="R52" s="9">
        <v>12002</v>
      </c>
      <c r="S52" s="9" t="s">
        <v>547</v>
      </c>
    </row>
    <row r="53" spans="15:19" x14ac:dyDescent="0.25">
      <c r="R53" s="9">
        <v>12003</v>
      </c>
      <c r="S53" s="9" t="s">
        <v>547</v>
      </c>
    </row>
    <row r="54" spans="15:19" x14ac:dyDescent="0.25">
      <c r="R54" s="9">
        <v>12005</v>
      </c>
      <c r="S54" s="9" t="s">
        <v>547</v>
      </c>
    </row>
    <row r="55" spans="15:19" x14ac:dyDescent="0.25">
      <c r="R55" s="9">
        <v>12006</v>
      </c>
      <c r="S55" s="9" t="s">
        <v>547</v>
      </c>
    </row>
    <row r="56" spans="15:19" x14ac:dyDescent="0.25">
      <c r="R56" s="9">
        <v>12007</v>
      </c>
      <c r="S56" s="9" t="s">
        <v>547</v>
      </c>
    </row>
    <row r="57" spans="15:19" x14ac:dyDescent="0.25">
      <c r="O57" s="9" t="s">
        <v>387</v>
      </c>
      <c r="Q57" s="9" t="s">
        <v>387</v>
      </c>
    </row>
  </sheetData>
  <mergeCells count="4">
    <mergeCell ref="T26:U26"/>
    <mergeCell ref="Q26:R26"/>
    <mergeCell ref="N26:O26"/>
    <mergeCell ref="X26:Y26"/>
  </mergeCells>
  <phoneticPr fontId="0" type="noConversion"/>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63"/>
  <sheetViews>
    <sheetView topLeftCell="F59" zoomScale="75" zoomScaleNormal="75" zoomScaleSheetLayoutView="100" workbookViewId="0">
      <selection activeCell="H11" sqref="H11"/>
    </sheetView>
  </sheetViews>
  <sheetFormatPr defaultColWidth="11.44140625" defaultRowHeight="15.6" x14ac:dyDescent="0.25"/>
  <cols>
    <col min="1" max="1" width="14.88671875" style="104" customWidth="1"/>
    <col min="2" max="2" width="52.88671875" style="99" customWidth="1"/>
    <col min="3" max="3" width="39.88671875" style="100" customWidth="1"/>
    <col min="4" max="4" width="17.109375" style="100" customWidth="1"/>
    <col min="5" max="5" width="11.33203125" style="100" customWidth="1"/>
    <col min="6" max="6" width="11.33203125" style="112" customWidth="1"/>
    <col min="7" max="7" width="93" style="100" customWidth="1"/>
    <col min="8" max="8" width="34.109375" style="101" customWidth="1"/>
    <col min="9" max="9" width="51.33203125" style="102" customWidth="1"/>
    <col min="10" max="16384" width="11.44140625" style="100"/>
  </cols>
  <sheetData>
    <row r="1" spans="1:9" x14ac:dyDescent="0.25">
      <c r="I1" s="102" t="s">
        <v>387</v>
      </c>
    </row>
    <row r="2" spans="1:9" x14ac:dyDescent="0.25">
      <c r="H2" s="101" t="str">
        <f>CONCATENATE('E Recomend'!C5,I1,'E Recomend'!D5,I1,'E Recomend'!E5,I1,'E Recomend'!F5)</f>
        <v xml:space="preserve">         </v>
      </c>
    </row>
    <row r="3" spans="1:9" x14ac:dyDescent="0.25">
      <c r="H3" s="101" t="str">
        <f>'E Recomend'!B8</f>
        <v xml:space="preserve"> </v>
      </c>
      <c r="I3" s="102" t="s">
        <v>164</v>
      </c>
    </row>
    <row r="4" spans="1:9" x14ac:dyDescent="0.25">
      <c r="H4" s="101" t="e">
        <f>CONCATENATE('E Recomend'!#REF!,I3," ",'E Recomend'!G9,I1,'E Recomend'!#REF!)</f>
        <v>#REF!</v>
      </c>
    </row>
    <row r="5" spans="1:9" ht="24" customHeight="1" x14ac:dyDescent="0.25">
      <c r="B5" s="117" t="s">
        <v>161</v>
      </c>
      <c r="C5" s="118" t="s">
        <v>160</v>
      </c>
      <c r="D5" s="119" t="s">
        <v>229</v>
      </c>
      <c r="E5" s="119"/>
      <c r="F5" s="113">
        <f>'Worksheet K'!B33</f>
        <v>1310</v>
      </c>
      <c r="G5" s="118" t="s">
        <v>154</v>
      </c>
    </row>
    <row r="6" spans="1:9" s="103" customFormat="1" ht="186" customHeight="1" x14ac:dyDescent="0.25">
      <c r="A6" s="105"/>
      <c r="B6" s="120"/>
      <c r="C6" s="121"/>
      <c r="D6" s="122"/>
      <c r="E6" s="122"/>
      <c r="F6" s="113"/>
      <c r="G6" s="121"/>
      <c r="H6" s="98" t="str">
        <f>VLOOKUP(F5,F7:G12,2,FALSE)</f>
        <v>You are, by this document, offered an appointment to the faculty of North Carolina Central University.  This appointment is subject to the pertinent provisions of the North Carolina Central University Tenure Policies and Regulations and Chapter Six of the Code of the University of North Carolina.  Your appointment is to the faculty rank of Instructor. Your faculty appointment is in the Department of    within the College of 0.</v>
      </c>
      <c r="I6" s="123"/>
    </row>
    <row r="7" spans="1:9" ht="374.1" customHeight="1" x14ac:dyDescent="0.25">
      <c r="A7" s="106" t="s">
        <v>227</v>
      </c>
      <c r="B7" s="93" t="s">
        <v>228</v>
      </c>
      <c r="C7" s="73" t="str">
        <f>setup!F28</f>
        <v>Instructor</v>
      </c>
      <c r="D7" s="100" t="s">
        <v>165</v>
      </c>
      <c r="F7" s="114">
        <v>1310</v>
      </c>
      <c r="G7" s="73" t="str">
        <f>CONCATENATE(B7,C7,". ",B8," ",C8,D8)</f>
        <v>You are, by this document, offered an appointment to the faculty of North Carolina Central University.  This appointment is subject to the pertinent provisions of the North Carolina Central University Tenure Policies and Regulations and Chapter Six of the Code of the University of North Carolina.  Your appointment is to the faculty rank of Instructor. Your faculty appointment is in the Department of    within the College of 0.</v>
      </c>
      <c r="H7" s="98" t="str">
        <f>VLOOKUP(F24,F25:G47,2,FALSE)</f>
        <v xml:space="preserve">This is a probationary appointment for a one (1) academic year period.  This appointment constitutes the 1st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v>
      </c>
      <c r="I7" s="97"/>
    </row>
    <row r="8" spans="1:9" ht="105" customHeight="1" x14ac:dyDescent="0.25">
      <c r="A8" s="107"/>
      <c r="B8" s="93" t="str">
        <f>B10</f>
        <v xml:space="preserve">Your faculty appointment is in the Department of </v>
      </c>
      <c r="C8" s="100" t="str">
        <f>IF(C11=FALSE,CONCATENATE('E Recomend'!B26," within the College of ",C10),C10)</f>
        <v xml:space="preserve">  within the College of 0</v>
      </c>
      <c r="D8" s="100" t="s">
        <v>165</v>
      </c>
      <c r="F8" s="114">
        <v>1311</v>
      </c>
      <c r="G8" s="73" t="str">
        <f>CONCATENATE(B9,C9,D9," ",B10," ",C8,D10,B12," ",C12,D12,B13 )</f>
        <v>You are, by this document, offered an appointment to the faculty of North Carolina Central University.  This appointment is subject to the pertinent provisions of the North Carolina Central University Tenure Policies and Regulations and Chapter Six of the Code of the University of North Carolina.  Your appointment is to the faculty rank of  Instructor. Your faculty appointment is in the Department of    within the College of 0. In addition to your faculty appointment, you are hereby offered an appointment as the  . Your duties in that appointment are described in the position description and are incorporated by reference.</v>
      </c>
      <c r="H8" s="98" t="str">
        <f>IF(F24=F46,I46,"")</f>
        <v/>
      </c>
    </row>
    <row r="9" spans="1:9" ht="132" customHeight="1" x14ac:dyDescent="0.25">
      <c r="A9" s="108" t="s">
        <v>167</v>
      </c>
      <c r="B9" s="93" t="s">
        <v>166</v>
      </c>
      <c r="C9" s="100" t="str">
        <f>C7</f>
        <v>Instructor</v>
      </c>
      <c r="D9" s="100" t="s">
        <v>165</v>
      </c>
      <c r="F9" s="112">
        <v>1110</v>
      </c>
      <c r="G9" s="73" t="str">
        <f>CONCATENATE(B14," ",C14,D14)</f>
        <v>This is to offer you an appointment as a Senior Academic or Administrative Officer (hereafter SAO) at North Carolina Central University. This offer is tendered subject to the Code of the University of North Carolina and the Board of Governors of the University of North Carolina regulations on Senior Academic and Administrative Officers as adopted November 14, 1986 and as modified. The position title is  .</v>
      </c>
      <c r="H9" s="98" t="str">
        <f>VLOOKUP(F48,F49:G51,2,FALSE)</f>
        <v>Your total salary will be $Total .00 for 9 months service per year. This salary will be reviewed and may be adjusted each year in accordance with the standing policies of NCCU and the Board of Governors. Your position is financed by non-appropriated funds through the .  The continuation of the position, and your continued presence in it, depend upon the availability of these funds.</v>
      </c>
    </row>
    <row r="10" spans="1:9" ht="255" customHeight="1" x14ac:dyDescent="0.25">
      <c r="A10" s="107"/>
      <c r="B10" s="93" t="str">
        <f>IF(C11=FALSE,"Your faculty appointment is in the Department of ","Your faculty appointment is in the School of")</f>
        <v xml:space="preserve">Your faculty appointment is in the Department of </v>
      </c>
      <c r="C10" s="100">
        <f>'E Recomend'!J24</f>
        <v>0</v>
      </c>
      <c r="D10" s="100" t="s">
        <v>165</v>
      </c>
      <c r="F10" s="114">
        <v>1111</v>
      </c>
      <c r="G10" s="73" t="str">
        <f>CONCATENATE(B15,C15,D15,B17,C17,D17," ",B18," ",C18,D18)</f>
        <v>This is to offer you an appointment as a Senior Academic or Administrative Officer (hereafter SAO) at North Carolina Central University. This offer is tendered subject to the Code of the University of North Carolina and the Board of Governors of the University of North Carolina regulations on Senior Academic and Administrative Officers as adopted November 14, 1986 and as modified. These policies shall determine the terms and conditions of employment particularly in the event there is a conflict that is not addressed in this document. The position title is   .  Further you are, by this document, offered an appointment to the faculty of North Carolina Central University.  This appointment is subject to the pertinent provisions of the North Carolina Central University Tenure Policies and Regulations and Chapter Six of the Code of the University of North Carolina.  Your appointment is to the faculty rank of Instructor. Your faculty appointment is in the Department of    within the College of 0.</v>
      </c>
      <c r="H10" s="98" t="str">
        <f>VLOOKUP(F53,F54:G58,2,FALSE)</f>
        <v xml:space="preserve">Your primary duty will be teaching, but you will also be expected to advise students and participate in the normal functioning of your Department and School.  This means that, among other responsibilities, you will be expected to participate in the Faculty Institute, all University convocations and commencement ceremonies.  In addition you shall evaluate and grade students' in a timely manner and maintain regularly scheduled office hours in order to advise and assist students.   </v>
      </c>
    </row>
    <row r="11" spans="1:9" ht="167.1" customHeight="1" x14ac:dyDescent="0.25">
      <c r="B11" s="93" t="s">
        <v>387</v>
      </c>
      <c r="C11" s="100" t="b">
        <f>ISNONTEXT('E Recomend'!B26)</f>
        <v>0</v>
      </c>
      <c r="F11" s="114" t="str">
        <f>A19</f>
        <v>EPA</v>
      </c>
      <c r="G11" s="73" t="str">
        <f>CONCATENATE(Text15,C19,D19)</f>
        <v>This is to offer you an appointment as an Employee Exempt from the State Personnel Act with no faculty Appointment (hereafter EPA Non-Faculty) at North Carolina Central University. This offer is tendered subject to the Code of the University of North Carolina and the Board of Governors of the University of North Carolina Personnel Policies for Designated Employees Exempt from the State Personnel Act, dated February 18, 1994, as originally adopted and subsequent revision.  The position title is  .</v>
      </c>
      <c r="H11" s="98" t="str">
        <f>VLOOKUP(F53,H54:I59,2,FALSE)</f>
        <v>The expectations inherent in the tenure rules of the University include satisfactory completion of the requisite formal education, demonstration of professional competence, display of developed collegiality, and potential for future contribution, consistent with the needs and resources of the University.  This contract is governed by the pertinent provisions of the North Carolina Central University Tenure Policies and Regulations, Chapter Six of the Code of The University of North Carolina and the Patent and Copyright Policies of North Carolina Central University.  The incidents of tenure applicable to your rank are, by reference, incorporated herein.  Tenure is granted by the Board of Governors upon recommendation through the administrative channels of the University.  Tenure, if granted, is in North Carolina Central University only, not in the University of North Carolina.</v>
      </c>
    </row>
    <row r="12" spans="1:9" ht="225" customHeight="1" x14ac:dyDescent="0.25">
      <c r="B12" s="95" t="s">
        <v>168</v>
      </c>
      <c r="C12" s="100" t="str">
        <f>'E Recomend'!C36</f>
        <v xml:space="preserve"> </v>
      </c>
      <c r="D12" s="100" t="s">
        <v>165</v>
      </c>
      <c r="F12" s="112" t="s">
        <v>163</v>
      </c>
      <c r="G12" s="73" t="str">
        <f>CONCATENATE(OLE_LINK5,C20,D20,B22,C22,D22,B23," ",C23,D23)</f>
        <v>This is to offer you an appointment as an Employee Exempt from the State Personnel Act at North Carolina Central University. This offer is tendered subject to the Code of the University of North Carolina and the Board of Governors of the University of North Carolina Personnel Policies for Designated Employees Exempt from the State Personnel Act, dated February 18, 1994, as originally adopted and subsequent revision. These policies shall determine the terms and conditions of employment particularly in the event there is a conflict that is not addressed in this document.  The position title is  .  Further you are, by this document, offered an appointment to the faculty of North Carolina Central University.  This appointment is subject to the pertinent provisions of the North Carolina Central University Tenure Policies and Regulations and Chapter Six of the Code of the University of North Carolina.  Your appointment is to the faculty rank of Instructor.Your faculty appointment is in the Department of    within the College of 0.</v>
      </c>
      <c r="H12" s="98" t="str">
        <f>VLOOKUP(F53,J54:K59,2,FALSE)</f>
        <v xml:space="preserve">The normal class load is 12 credit hours per semester, and classes may be scheduled in the evenings and on the weekends.    </v>
      </c>
    </row>
    <row r="13" spans="1:9" ht="98.1" customHeight="1" x14ac:dyDescent="0.25">
      <c r="B13" s="95" t="s">
        <v>169</v>
      </c>
      <c r="H13" s="98" t="str">
        <f>VLOOKUP(F53,L54:M59,2,FALSE)</f>
        <v>In consideration of the additional responsibilities assigned by this contract beyond the typical faculty duties, the university hereby reduces your faculty workload by FTE credit hours. This reduction shall remain in effect for the duration of this contract period except in the event that the duties assigned in addition to the faculty duties are voluntarily or involuntarily removed from your responsibility</v>
      </c>
    </row>
    <row r="14" spans="1:9" ht="141.6" x14ac:dyDescent="0.25">
      <c r="A14" s="108" t="s">
        <v>171</v>
      </c>
      <c r="B14" s="93" t="s">
        <v>170</v>
      </c>
      <c r="C14" s="100" t="str">
        <f>C12</f>
        <v xml:space="preserve"> </v>
      </c>
      <c r="D14" s="100" t="s">
        <v>165</v>
      </c>
      <c r="H14" s="98" t="str">
        <f>VLOOKUP(F60,F61:G63,2,FALSE)</f>
        <v xml:space="preserve">Consistent with the applicable provisions of Administrative Code and the law of the state of North Carolina, this position is not eligibility for benefits. </v>
      </c>
    </row>
    <row r="15" spans="1:9" ht="210.75" customHeight="1" x14ac:dyDescent="0.25">
      <c r="A15" s="108" t="s">
        <v>172</v>
      </c>
      <c r="B15" s="93" t="s">
        <v>580</v>
      </c>
      <c r="C15" s="100" t="str">
        <f>C14</f>
        <v xml:space="preserve"> </v>
      </c>
      <c r="D15" s="100" t="s">
        <v>165</v>
      </c>
      <c r="H15" s="98" t="s">
        <v>387</v>
      </c>
    </row>
    <row r="16" spans="1:9" x14ac:dyDescent="0.25">
      <c r="B16" s="93"/>
      <c r="H16" s="101" t="s">
        <v>387</v>
      </c>
    </row>
    <row r="17" spans="1:8" ht="125.4" x14ac:dyDescent="0.25">
      <c r="B17" s="93" t="s">
        <v>173</v>
      </c>
      <c r="C17" s="100" t="str">
        <f>C7</f>
        <v>Instructor</v>
      </c>
      <c r="D17" s="100" t="s">
        <v>165</v>
      </c>
      <c r="H17" s="101" t="s">
        <v>387</v>
      </c>
    </row>
    <row r="18" spans="1:8" x14ac:dyDescent="0.25">
      <c r="B18" s="93" t="str">
        <f>B10</f>
        <v xml:space="preserve">Your faculty appointment is in the Department of </v>
      </c>
      <c r="C18" s="100" t="str">
        <f>C8</f>
        <v xml:space="preserve">  within the College of 0</v>
      </c>
      <c r="D18" s="100" t="s">
        <v>165</v>
      </c>
    </row>
    <row r="19" spans="1:8" ht="172.2" x14ac:dyDescent="0.25">
      <c r="A19" s="108" t="s">
        <v>293</v>
      </c>
      <c r="B19" s="95" t="s">
        <v>152</v>
      </c>
      <c r="C19" s="100" t="str">
        <f>C15</f>
        <v xml:space="preserve"> </v>
      </c>
      <c r="D19" s="100" t="s">
        <v>165</v>
      </c>
    </row>
    <row r="20" spans="1:8" ht="203.4" x14ac:dyDescent="0.25">
      <c r="A20" s="109" t="s">
        <v>153</v>
      </c>
      <c r="B20" s="93" t="s">
        <v>142</v>
      </c>
      <c r="C20" s="100" t="str">
        <f>C19</f>
        <v xml:space="preserve"> </v>
      </c>
      <c r="D20" s="100" t="s">
        <v>165</v>
      </c>
    </row>
    <row r="21" spans="1:8" x14ac:dyDescent="0.25">
      <c r="B21" s="93"/>
    </row>
    <row r="22" spans="1:8" ht="125.4" x14ac:dyDescent="0.25">
      <c r="B22" s="93" t="s">
        <v>173</v>
      </c>
      <c r="C22" s="100" t="str">
        <f>C17</f>
        <v>Instructor</v>
      </c>
      <c r="D22" s="100" t="s">
        <v>165</v>
      </c>
    </row>
    <row r="23" spans="1:8" x14ac:dyDescent="0.25">
      <c r="B23" s="93" t="str">
        <f>B8</f>
        <v xml:space="preserve">Your faculty appointment is in the Department of </v>
      </c>
      <c r="C23" s="100" t="str">
        <f>C18</f>
        <v xml:space="preserve">  within the College of 0</v>
      </c>
      <c r="D23" s="100" t="s">
        <v>165</v>
      </c>
    </row>
    <row r="24" spans="1:8" ht="17.399999999999999" x14ac:dyDescent="0.25">
      <c r="B24" s="124" t="s">
        <v>161</v>
      </c>
      <c r="C24" s="125" t="s">
        <v>160</v>
      </c>
      <c r="D24" s="126" t="s">
        <v>229</v>
      </c>
      <c r="E24" s="126"/>
      <c r="F24" s="115" t="str">
        <f>'Worksheet K'!B34</f>
        <v>I1</v>
      </c>
      <c r="G24" s="127" t="s">
        <v>155</v>
      </c>
      <c r="H24" s="128"/>
    </row>
    <row r="25" spans="1:8" ht="233.25" customHeight="1" x14ac:dyDescent="0.25">
      <c r="A25" s="109" t="s">
        <v>530</v>
      </c>
      <c r="B25" s="95" t="s">
        <v>156</v>
      </c>
      <c r="F25" s="116" t="s">
        <v>530</v>
      </c>
      <c r="G25" s="73" t="str">
        <f>B25</f>
        <v xml:space="preserve">This is a probationary appointment for a one (1) academic year period.  This appointment constitutes the 1st of the allowable two (2)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v>
      </c>
    </row>
    <row r="26" spans="1:8" ht="189.6" x14ac:dyDescent="0.25">
      <c r="A26" s="104" t="s">
        <v>531</v>
      </c>
      <c r="B26" s="95" t="s">
        <v>162</v>
      </c>
      <c r="F26" s="112" t="s">
        <v>531</v>
      </c>
      <c r="G26" s="73" t="str">
        <f>B26</f>
        <v xml:space="preserve">This is a probationary appointment for a one (1) academic year period.  This appointment constitutes the 2nd of the allowable two (2)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v>
      </c>
    </row>
    <row r="27" spans="1:8" ht="205.2" x14ac:dyDescent="0.25">
      <c r="A27" s="104" t="s">
        <v>532</v>
      </c>
      <c r="B27" s="95" t="s">
        <v>149</v>
      </c>
      <c r="F27" s="112" t="s">
        <v>532</v>
      </c>
      <c r="G27" s="73" t="str">
        <f>B27</f>
        <v xml:space="preserve">This is a probationary appointment for a three (3) academic year period.  This appointment constitutes the 1st of the allowable two (2) three-year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the Friday next following the commencement ceremony in May 2008.   </v>
      </c>
    </row>
    <row r="28" spans="1:8" ht="205.2" x14ac:dyDescent="0.25">
      <c r="A28" s="104" t="s">
        <v>533</v>
      </c>
      <c r="B28" s="95" t="s">
        <v>150</v>
      </c>
      <c r="F28" s="112" t="s">
        <v>533</v>
      </c>
      <c r="G28" s="95" t="s">
        <v>150</v>
      </c>
    </row>
    <row r="29" spans="1:8" ht="187.2" x14ac:dyDescent="0.25">
      <c r="A29" s="104" t="s">
        <v>534</v>
      </c>
      <c r="B29" s="95" t="s">
        <v>151</v>
      </c>
      <c r="C29" s="73"/>
      <c r="D29" s="73"/>
      <c r="E29" s="73"/>
      <c r="F29" s="114" t="s">
        <v>534</v>
      </c>
      <c r="G29" s="95" t="s">
        <v>717</v>
      </c>
    </row>
    <row r="30" spans="1:8" ht="247.5" customHeight="1" x14ac:dyDescent="0.25">
      <c r="A30" s="110" t="s">
        <v>535</v>
      </c>
      <c r="B30" s="95" t="s">
        <v>151</v>
      </c>
      <c r="C30" s="73"/>
      <c r="D30" s="73"/>
      <c r="E30" s="73"/>
      <c r="F30" s="114" t="s">
        <v>535</v>
      </c>
      <c r="G30" s="95" t="s">
        <v>717</v>
      </c>
    </row>
    <row r="31" spans="1:8" ht="189.6" x14ac:dyDescent="0.25">
      <c r="A31" s="104" t="s">
        <v>294</v>
      </c>
      <c r="B31" s="95" t="s">
        <v>146</v>
      </c>
      <c r="F31" s="112" t="s">
        <v>294</v>
      </c>
      <c r="G31" s="95" t="s">
        <v>146</v>
      </c>
    </row>
    <row r="32" spans="1:8" ht="189.6" x14ac:dyDescent="0.25">
      <c r="A32" s="104" t="s">
        <v>536</v>
      </c>
      <c r="B32" s="95" t="s">
        <v>144</v>
      </c>
      <c r="F32" s="112" t="s">
        <v>536</v>
      </c>
      <c r="G32" s="95" t="s">
        <v>144</v>
      </c>
    </row>
    <row r="33" spans="1:9" ht="189.6" x14ac:dyDescent="0.25">
      <c r="A33" s="104" t="s">
        <v>537</v>
      </c>
      <c r="B33" s="95" t="s">
        <v>145</v>
      </c>
      <c r="F33" s="112" t="s">
        <v>537</v>
      </c>
      <c r="G33" s="95" t="s">
        <v>145</v>
      </c>
    </row>
    <row r="34" spans="1:9" ht="189.6" x14ac:dyDescent="0.25">
      <c r="A34" s="104" t="s">
        <v>538</v>
      </c>
      <c r="B34" s="95" t="s">
        <v>139</v>
      </c>
      <c r="F34" s="112" t="s">
        <v>538</v>
      </c>
      <c r="G34" s="95" t="s">
        <v>139</v>
      </c>
    </row>
    <row r="35" spans="1:9" ht="189.6" x14ac:dyDescent="0.25">
      <c r="A35" s="104" t="s">
        <v>539</v>
      </c>
      <c r="B35" s="95" t="s">
        <v>140</v>
      </c>
      <c r="F35" s="112" t="s">
        <v>539</v>
      </c>
      <c r="G35" s="95" t="s">
        <v>140</v>
      </c>
    </row>
    <row r="36" spans="1:9" ht="189.6" x14ac:dyDescent="0.3">
      <c r="A36" s="104" t="s">
        <v>540</v>
      </c>
      <c r="B36" s="129" t="s">
        <v>141</v>
      </c>
      <c r="F36" s="112" t="s">
        <v>540</v>
      </c>
      <c r="G36" s="95" t="s">
        <v>141</v>
      </c>
    </row>
    <row r="37" spans="1:9" ht="189.6" x14ac:dyDescent="0.25">
      <c r="A37" s="104" t="s">
        <v>541</v>
      </c>
      <c r="B37" s="95" t="s">
        <v>69</v>
      </c>
      <c r="F37" s="112" t="s">
        <v>541</v>
      </c>
      <c r="G37" s="95" t="s">
        <v>69</v>
      </c>
    </row>
    <row r="38" spans="1:9" s="73" customFormat="1" ht="219" x14ac:dyDescent="0.25">
      <c r="A38" s="107" t="s">
        <v>542</v>
      </c>
      <c r="B38" s="95" t="s">
        <v>699</v>
      </c>
      <c r="F38" s="114" t="s">
        <v>542</v>
      </c>
      <c r="G38" s="95" t="s">
        <v>718</v>
      </c>
      <c r="H38" s="98"/>
      <c r="I38" s="97"/>
    </row>
    <row r="39" spans="1:9" ht="26.4" x14ac:dyDescent="0.3">
      <c r="A39" s="71" t="s">
        <v>543</v>
      </c>
      <c r="B39" s="94" t="s">
        <v>700</v>
      </c>
      <c r="C39" s="170"/>
      <c r="D39" s="100" t="s">
        <v>165</v>
      </c>
      <c r="F39" s="112" t="s">
        <v>543</v>
      </c>
      <c r="G39" s="111" t="str">
        <f>CONCATENATE("Your employment shall commence on"," ",'E Recomend'!C65,C39,D39,B40)</f>
        <v xml:space="preserve">Your employment shall commence on  . This position is categorized as employment at will and is subject to discontinuation at anytime at the discretion of the Chancellor.  </v>
      </c>
    </row>
    <row r="40" spans="1:9" ht="46.8" x14ac:dyDescent="0.3">
      <c r="B40" s="129" t="s">
        <v>701</v>
      </c>
    </row>
    <row r="41" spans="1:9" ht="62.4" x14ac:dyDescent="0.25">
      <c r="A41" s="104" t="s">
        <v>548</v>
      </c>
      <c r="B41" s="95" t="s">
        <v>702</v>
      </c>
      <c r="F41" s="112" t="s">
        <v>548</v>
      </c>
      <c r="G41" s="73" t="str">
        <f t="shared" ref="G41:G47" si="0">B41</f>
        <v>This is a non-tenure track appointment for a fixed term of one fiscal year.  The period covered by this appointment will be from July 1, 2005 to June 30, 2006</v>
      </c>
    </row>
    <row r="42" spans="1:9" ht="62.4" x14ac:dyDescent="0.3">
      <c r="A42" s="104" t="s">
        <v>544</v>
      </c>
      <c r="B42" s="129" t="s">
        <v>703</v>
      </c>
      <c r="F42" s="112" t="s">
        <v>544</v>
      </c>
      <c r="G42" s="73" t="str">
        <f t="shared" si="0"/>
        <v xml:space="preserve">This is a non-tenure track appointment for a fixed term of one academic year.  The period covered by this appointment will be from August 11, 2005 to May 12, 2006.   </v>
      </c>
    </row>
    <row r="43" spans="1:9" ht="62.4" x14ac:dyDescent="0.3">
      <c r="A43" s="104" t="s">
        <v>545</v>
      </c>
      <c r="B43" s="129" t="s">
        <v>704</v>
      </c>
      <c r="F43" s="112" t="s">
        <v>545</v>
      </c>
      <c r="G43" s="73" t="str">
        <f t="shared" si="0"/>
        <v>This is a non-tenure track appointment for the Fall academic semester.  The period covered by this appointment will be from August 11, 2005 to December 22, 2005.</v>
      </c>
    </row>
    <row r="44" spans="1:9" ht="78" x14ac:dyDescent="0.3">
      <c r="A44" s="104" t="s">
        <v>546</v>
      </c>
      <c r="B44" s="129" t="s">
        <v>705</v>
      </c>
      <c r="F44" s="112" t="s">
        <v>546</v>
      </c>
      <c r="G44" s="73" t="str">
        <f t="shared" si="0"/>
        <v xml:space="preserve">This is a non-tenure track appointment for Spring academic semester.  The period covered by this appointment will be from January 3, 2006 to the Friday next following the commencement ceremony in May 12, 2006.   </v>
      </c>
    </row>
    <row r="45" spans="1:9" ht="46.8" x14ac:dyDescent="0.3">
      <c r="A45" s="104" t="s">
        <v>547</v>
      </c>
      <c r="B45" s="129" t="s">
        <v>706</v>
      </c>
      <c r="C45" s="130" t="s">
        <v>387</v>
      </c>
      <c r="D45" s="130" t="s">
        <v>387</v>
      </c>
      <c r="F45" s="112" t="s">
        <v>547</v>
      </c>
      <c r="G45" s="73" t="str">
        <f t="shared" si="0"/>
        <v>This appointment is for a fixed term. The period of service covered by this appointment will commence on        and end on      .</v>
      </c>
    </row>
    <row r="46" spans="1:9" ht="60" customHeight="1" x14ac:dyDescent="0.25">
      <c r="A46" s="104" t="s">
        <v>549</v>
      </c>
      <c r="B46" s="95" t="str">
        <f>CONCATENATE("Your employment shall commence on "," ",'E Recomend'!C65, ".","  ","With regards to your faculty appointment, you have been conferred with permanent tenure." )</f>
        <v>Your employment shall commence on   .  With regards to your faculty appointment, you have been conferred with permanent tenure.</v>
      </c>
      <c r="F46" s="112" t="s">
        <v>549</v>
      </c>
      <c r="G46" s="134" t="str">
        <f t="shared" si="0"/>
        <v>Your employment shall commence on   .  With regards to your faculty appointment, you have been conferred with permanent tenure.</v>
      </c>
      <c r="H46" s="172" t="str">
        <f>F46</f>
        <v>TEN2</v>
      </c>
      <c r="I46" s="171" t="s">
        <v>716</v>
      </c>
    </row>
    <row r="47" spans="1:9" ht="156" x14ac:dyDescent="0.25">
      <c r="A47" s="104" t="s">
        <v>552</v>
      </c>
      <c r="B47" s="132" t="s">
        <v>525</v>
      </c>
      <c r="F47" s="112" t="s">
        <v>552</v>
      </c>
      <c r="G47" s="133" t="str">
        <f t="shared" si="0"/>
        <v>With regards to your faculty appointment, this is a probationary appointment for a       academic year period.  This appointment constitutes the      of the allowable      year terms for your tenure track rank.  With regards to your administrative, instructional or research appointment, this position is categorized as employment at will.  The continuation of this portion of your appointment is subject discontinuation at anytime at the discretion of the Chancellor.</v>
      </c>
      <c r="H47" s="101" t="s">
        <v>387</v>
      </c>
      <c r="I47" s="171" t="s">
        <v>387</v>
      </c>
    </row>
    <row r="48" spans="1:9" s="136" customFormat="1" ht="17.399999999999999" x14ac:dyDescent="0.25">
      <c r="A48" s="135"/>
      <c r="B48" s="139" t="s">
        <v>161</v>
      </c>
      <c r="C48" s="140" t="s">
        <v>160</v>
      </c>
      <c r="D48" s="141" t="s">
        <v>229</v>
      </c>
      <c r="E48" s="141"/>
      <c r="F48" s="142" t="str">
        <f>'Worksheet K'!B36</f>
        <v>Grant</v>
      </c>
      <c r="G48" s="143" t="s">
        <v>526</v>
      </c>
      <c r="H48" s="137"/>
      <c r="I48" s="138"/>
    </row>
    <row r="49" spans="1:13" ht="60.75" customHeight="1" x14ac:dyDescent="0.3">
      <c r="B49" s="144" t="s">
        <v>387</v>
      </c>
      <c r="F49" s="112" t="s">
        <v>179</v>
      </c>
      <c r="G49" s="145" t="str">
        <f>CONCATENATE("Your total salary will be $",'E Recomend'!F61,".00 ","for"," ",'Worksheet K'!B35," ","service per year. This salary will be reviewed and may be adjusted each year in accordance with the standing policies of NCCU and the Board of Governors.")</f>
        <v>Your total salary will be $Total .00 for 9 months service per year. This salary will be reviewed and may be adjusted each year in accordance with the standing policies of NCCU and the Board of Governors.</v>
      </c>
    </row>
    <row r="50" spans="1:13" ht="92.4" x14ac:dyDescent="0.25">
      <c r="B50" s="145" t="str">
        <f>CONCATENATE("Your total salary will be $",C50,".00 ","for"," ",'Worksheet K'!B35," ","service per year.")</f>
        <v>Your total salary will be $Total .00 for 9 months service per year.</v>
      </c>
      <c r="C50" s="173" t="str">
        <f>'E Recomend'!F61</f>
        <v xml:space="preserve">Total </v>
      </c>
      <c r="D50" s="100" t="s">
        <v>387</v>
      </c>
      <c r="F50" s="112" t="s">
        <v>517</v>
      </c>
      <c r="G50" s="73" t="str">
        <f>CONCATENATE(B50,B51,B52)</f>
        <v>Your total salary will be $Total .00 for 9 months service per year. Your total salary is comprised of a base salary associated with your appointment as a member of the faculty and an administrative stipend associated with your appointment as  .Your based salary associated with your faculty appointment is $0.00. Your administrative stipend of $.00 is associated with your SAAO appointment. Since your administrative stipend is associated with your position as   you can expect to receive the stipend as long as you serve in your administrative position.  When you leave the Office, the stipend will be automatically detached from your salary.  The detachment will be without evaluation and without appeal.</v>
      </c>
    </row>
    <row r="51" spans="1:13" ht="62.4" x14ac:dyDescent="0.25">
      <c r="B51" s="95" t="str">
        <f>CONCATENATE(" Your total salary is comprised of a base salary associated with your appointment as a member of the faculty and an administrative stipend associated with your appointment as"," ",'E Recomend'!C36,".")</f>
        <v xml:space="preserve"> Your total salary is comprised of a base salary associated with your appointment as a member of the faculty and an administrative stipend associated with your appointment as  .</v>
      </c>
      <c r="F51" s="112" t="s">
        <v>528</v>
      </c>
      <c r="G51" s="73" t="str">
        <f>CONCATENATE(G49," ","Your position is financed by non-appropriated funds through the ",'E Recomend'!G52,".  ","The continuation of the position, and your continued presence in it, depend upon the availability of these funds.")</f>
        <v>Your total salary will be $Total .00 for 9 months service per year. This salary will be reviewed and may be adjusted each year in accordance with the standing policies of NCCU and the Board of Governors. Your position is financed by non-appropriated funds through the .  The continuation of the position, and your continued presence in it, depend upon the availability of these funds.</v>
      </c>
    </row>
    <row r="52" spans="1:13" ht="57" customHeight="1" x14ac:dyDescent="0.25">
      <c r="B52" s="132" t="str">
        <f>CONCATENATE("Your based salary associated with your faculty appointment is"," ","$",'Worksheet K'!E32,".00."," ","Your administrative stipend of"," $",'E Recomend'!F60,".00 ","is associated with your SAAO appointment. Since your administrative stipend is associated with your position as"," ",'E Recomend'!C36," ","you can expect to receive the stipend as long as you serve in your administrative position.  When you leave the Office, the stipend will be automatically detached from your salary.  The detachment will be without evaluation and without appeal.")</f>
        <v>Your based salary associated with your faculty appointment is $0.00. Your administrative stipend of $.00 is associated with your SAAO appointment. Since your administrative stipend is associated with your position as   you can expect to receive the stipend as long as you serve in your administrative position.  When you leave the Office, the stipend will be automatically detached from your salary.  The detachment will be without evaluation and without appeal.</v>
      </c>
      <c r="G52" s="73" t="s">
        <v>387</v>
      </c>
    </row>
    <row r="53" spans="1:13" s="154" customFormat="1" ht="17.399999999999999" x14ac:dyDescent="0.25">
      <c r="A53" s="147"/>
      <c r="B53" s="148" t="s">
        <v>161</v>
      </c>
      <c r="C53" s="149" t="s">
        <v>160</v>
      </c>
      <c r="D53" s="150" t="s">
        <v>229</v>
      </c>
      <c r="E53" s="150"/>
      <c r="F53" s="149" t="str">
        <f>'Worksheet K'!B37</f>
        <v>D5</v>
      </c>
      <c r="G53" s="151" t="s">
        <v>529</v>
      </c>
      <c r="H53" s="152" t="s">
        <v>587</v>
      </c>
      <c r="I53" s="153"/>
    </row>
    <row r="54" spans="1:13" ht="132" customHeight="1" x14ac:dyDescent="0.25">
      <c r="B54" s="93"/>
      <c r="D54" s="100" t="s">
        <v>387</v>
      </c>
      <c r="F54" s="114" t="s">
        <v>524</v>
      </c>
      <c r="G54" s="93" t="s">
        <v>719</v>
      </c>
      <c r="H54" s="101" t="str">
        <f>$F54</f>
        <v>FACULTY DUTY</v>
      </c>
      <c r="I54" s="156" t="str">
        <f>K56</f>
        <v>The expectations inherent in the tenure rules of the University include satisfactory completion of the requisite formal education, demonstration of professional competence, display of developed collegiality, and potential for future contribution, consistent with the needs and resources of the University.  This contract is governed by the pertinent provisions of the North Carolina Central University Tenure Policies and Regulations, Chapter Six of the Code of The University of North Carolina and the Patent and Copyright Policies of North Carolina Central University.  The incidents of tenure applicable to your rank are, by reference, incorporated herein.  Tenure is granted by the Board of Governors upon recommendation through the administrative channels of the University.  Tenure, if granted, is in North Carolina Central University only, not in the University of North Carolina.</v>
      </c>
      <c r="J54" s="101" t="str">
        <f t="shared" ref="J54:J59" si="1">$F54</f>
        <v>FACULTY DUTY</v>
      </c>
      <c r="L54" s="101" t="str">
        <f t="shared" ref="L54:L59" si="2">$F54</f>
        <v>FACULTY DUTY</v>
      </c>
      <c r="M54" s="100" t="s">
        <v>387</v>
      </c>
    </row>
    <row r="55" spans="1:13" ht="65.099999999999994" customHeight="1" x14ac:dyDescent="0.3">
      <c r="B55" s="94"/>
      <c r="F55" s="114" t="s">
        <v>523</v>
      </c>
      <c r="G55" s="93" t="str">
        <f>CONCATENATE("With respect to your appointment as ",'E Recomend'!C36,", ","the duties of your position are contained within the job description as it exists or may be modified.  That description is incorporated by reference herein.")</f>
        <v>With respect to your appointment as  , the duties of your position are contained within the job description as it exists or may be modified.  That description is incorporated by reference herein.</v>
      </c>
      <c r="H55" s="101" t="str">
        <f>$F55</f>
        <v>ADM DUTY</v>
      </c>
      <c r="I55" s="101"/>
      <c r="J55" s="101" t="str">
        <f t="shared" si="1"/>
        <v>ADM DUTY</v>
      </c>
      <c r="K55" s="102"/>
      <c r="L55" s="101" t="str">
        <f t="shared" si="2"/>
        <v>ADM DUTY</v>
      </c>
      <c r="M55" s="100" t="s">
        <v>387</v>
      </c>
    </row>
    <row r="56" spans="1:13" ht="131.1" customHeight="1" x14ac:dyDescent="0.3">
      <c r="B56" s="155"/>
      <c r="F56" s="112" t="s">
        <v>519</v>
      </c>
      <c r="G56" s="93" t="s">
        <v>520</v>
      </c>
      <c r="H56" s="101" t="str">
        <f>$F56</f>
        <v>D3</v>
      </c>
      <c r="I56" s="157" t="s">
        <v>586</v>
      </c>
      <c r="J56" s="101" t="str">
        <f t="shared" si="1"/>
        <v>D3</v>
      </c>
      <c r="K56" s="93" t="s">
        <v>147</v>
      </c>
      <c r="L56" s="101" t="str">
        <f t="shared" si="2"/>
        <v>D3</v>
      </c>
      <c r="M56" s="155" t="s">
        <v>715</v>
      </c>
    </row>
    <row r="57" spans="1:13" ht="409.6" x14ac:dyDescent="0.3">
      <c r="F57" s="114" t="s">
        <v>522</v>
      </c>
      <c r="G57" s="93" t="str">
        <f>G55</f>
        <v>With respect to your appointment as  , the duties of your position are contained within the job description as it exists or may be modified.  That description is incorporated by reference herein.</v>
      </c>
      <c r="H57" s="101" t="str">
        <f>$F57</f>
        <v>FACULTY ADM DUTY</v>
      </c>
      <c r="I57" s="93" t="s">
        <v>713</v>
      </c>
      <c r="J57" s="101" t="str">
        <f t="shared" si="1"/>
        <v>FACULTY ADM DUTY</v>
      </c>
      <c r="K57" s="155" t="s">
        <v>147</v>
      </c>
      <c r="L57" s="101" t="str">
        <f t="shared" si="2"/>
        <v>FACULTY ADM DUTY</v>
      </c>
      <c r="M57" s="100" t="s">
        <v>387</v>
      </c>
    </row>
    <row r="58" spans="1:13" ht="409.6" x14ac:dyDescent="0.25">
      <c r="F58" s="112" t="s">
        <v>582</v>
      </c>
      <c r="G58" s="93" t="s">
        <v>583</v>
      </c>
      <c r="H58" s="101" t="str">
        <f>$F58</f>
        <v>D5</v>
      </c>
      <c r="I58" s="97" t="str">
        <f>K56</f>
        <v>The expectations inherent in the tenure rules of the University include satisfactory completion of the requisite formal education, demonstration of professional competence, display of developed collegiality, and potential for future contribution, consistent with the needs and resources of the University.  This contract is governed by the pertinent provisions of the North Carolina Central University Tenure Policies and Regulations, Chapter Six of the Code of The University of North Carolina and the Patent and Copyright Policies of North Carolina Central University.  The incidents of tenure applicable to your rank are, by reference, incorporated herein.  Tenure is granted by the Board of Governors upon recommendation through the administrative channels of the University.  Tenure, if granted, is in North Carolina Central University only, not in the University of North Carolina.</v>
      </c>
      <c r="J58" s="101" t="str">
        <f t="shared" si="1"/>
        <v>D5</v>
      </c>
      <c r="K58" s="73" t="s">
        <v>714</v>
      </c>
      <c r="L58" s="101" t="str">
        <f t="shared" si="2"/>
        <v>D5</v>
      </c>
      <c r="M58" s="73" t="str">
        <f>CONCATENATE("In consideration of the additional responsibilities assigned by this contract beyond the typical faculty duties, the university hereby reduces your faculty workload by ",'E Recomend'!F73," credit hours. This reduction shall remain in effect for the duration of this contract period except in the event that the duties assigned in addition to the faculty duties are voluntarily or involuntarily removed from your responsibility" )</f>
        <v>In consideration of the additional responsibilities assigned by this contract beyond the typical faculty duties, the university hereby reduces your faculty workload by FTE credit hours. This reduction shall remain in effect for the duration of this contract period except in the event that the duties assigned in addition to the faculty duties are voluntarily or involuntarily removed from your responsibility</v>
      </c>
    </row>
    <row r="59" spans="1:13" ht="140.1" customHeight="1" x14ac:dyDescent="0.25">
      <c r="F59" s="112" t="s">
        <v>584</v>
      </c>
      <c r="G59" s="93" t="s">
        <v>585</v>
      </c>
      <c r="H59" s="101" t="str">
        <f>F59</f>
        <v>D6</v>
      </c>
      <c r="I59" s="93" t="s">
        <v>612</v>
      </c>
      <c r="J59" s="100" t="str">
        <f t="shared" si="1"/>
        <v>D6</v>
      </c>
      <c r="K59" s="93" t="s">
        <v>579</v>
      </c>
      <c r="L59" s="100" t="str">
        <f t="shared" si="2"/>
        <v>D6</v>
      </c>
      <c r="M59" s="100" t="s">
        <v>387</v>
      </c>
    </row>
    <row r="60" spans="1:13" s="165" customFormat="1" ht="17.399999999999999" x14ac:dyDescent="0.25">
      <c r="A60" s="158"/>
      <c r="B60" s="159" t="s">
        <v>161</v>
      </c>
      <c r="C60" s="160" t="s">
        <v>160</v>
      </c>
      <c r="D60" s="161" t="s">
        <v>229</v>
      </c>
      <c r="E60" s="161"/>
      <c r="F60" s="160" t="str">
        <f>'Worksheet K'!B38</f>
        <v>NO BENEFITS</v>
      </c>
      <c r="G60" s="162" t="s">
        <v>529</v>
      </c>
      <c r="H60" s="163" t="s">
        <v>587</v>
      </c>
      <c r="I60" s="164"/>
    </row>
    <row r="61" spans="1:13" ht="93.6" x14ac:dyDescent="0.3">
      <c r="B61" s="99" t="s">
        <v>521</v>
      </c>
      <c r="F61" s="112" t="s">
        <v>581</v>
      </c>
      <c r="G61" s="129" t="s">
        <v>606</v>
      </c>
      <c r="H61" s="101" t="s">
        <v>387</v>
      </c>
    </row>
    <row r="62" spans="1:13" ht="46.8" x14ac:dyDescent="0.3">
      <c r="F62" s="112" t="s">
        <v>406</v>
      </c>
      <c r="G62" s="129" t="s">
        <v>605</v>
      </c>
      <c r="H62" s="101" t="s">
        <v>387</v>
      </c>
    </row>
    <row r="63" spans="1:13" ht="41.1" customHeight="1" x14ac:dyDescent="0.3">
      <c r="F63" s="112" t="s">
        <v>604</v>
      </c>
      <c r="G63" s="129" t="s">
        <v>607</v>
      </c>
      <c r="H63" s="101" t="s">
        <v>387</v>
      </c>
    </row>
  </sheetData>
  <phoneticPr fontId="0" type="noConversion"/>
  <pageMargins left="0.75" right="0.75" top="1" bottom="1" header="0.5" footer="0.5"/>
  <pageSetup scale="85" orientation="landscape"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41"/>
  <sheetViews>
    <sheetView topLeftCell="A12" zoomScaleNormal="100" workbookViewId="0">
      <selection activeCell="A30" sqref="A30"/>
    </sheetView>
  </sheetViews>
  <sheetFormatPr defaultColWidth="11.44140625" defaultRowHeight="13.2" x14ac:dyDescent="0.25"/>
  <cols>
    <col min="1" max="1" width="86.88671875" style="175" customWidth="1"/>
    <col min="2" max="16384" width="11.44140625" style="175"/>
  </cols>
  <sheetData>
    <row r="1" spans="1:1" ht="101.1" customHeight="1" x14ac:dyDescent="0.25"/>
    <row r="2" spans="1:1" x14ac:dyDescent="0.25">
      <c r="A2" s="174" t="s">
        <v>363</v>
      </c>
    </row>
    <row r="3" spans="1:1" x14ac:dyDescent="0.25">
      <c r="A3" s="174" t="s">
        <v>608</v>
      </c>
    </row>
    <row r="5" spans="1:1" x14ac:dyDescent="0.25">
      <c r="A5" s="175" t="str">
        <f>CONCATENATE(Clauses!H2)</f>
        <v xml:space="preserve">         </v>
      </c>
    </row>
    <row r="6" spans="1:1" x14ac:dyDescent="0.25">
      <c r="A6" s="175" t="str">
        <f>Clauses!H3</f>
        <v xml:space="preserve"> </v>
      </c>
    </row>
    <row r="7" spans="1:1" x14ac:dyDescent="0.25">
      <c r="A7" s="175" t="e">
        <f>Clauses!H4</f>
        <v>#REF!</v>
      </c>
    </row>
    <row r="10" spans="1:1" ht="66" x14ac:dyDescent="0.25">
      <c r="A10" s="176" t="str">
        <f>Clauses!H6</f>
        <v>You are, by this document, offered an appointment to the faculty of North Carolina Central University.  This appointment is subject to the pertinent provisions of the North Carolina Central University Tenure Policies and Regulations and Chapter Six of the Code of the University of North Carolina.  Your appointment is to the faculty rank of Instructor. Your faculty appointment is in the Department of    within the College of 0.</v>
      </c>
    </row>
    <row r="11" spans="1:1" x14ac:dyDescent="0.25">
      <c r="A11" s="176"/>
    </row>
    <row r="12" spans="1:1" ht="30" customHeight="1" x14ac:dyDescent="0.25">
      <c r="A12" s="176" t="str">
        <f>Clauses!H7</f>
        <v xml:space="preserve">This is a probationary appointment for a one (1) academic year period.  This appointment constitutes the 1st of the allowable seven (7) one-year terms for your tenure track rank.  The period of service for fulltime faculty is each academic year, which is generally defined in practices as commencing on the date of the Faculty Institute and ending the Friday next following the commencement ceremony in May for the academic year. The period covered by this appointment will be from August 11, 2005 to May 12, 2006.   </v>
      </c>
    </row>
    <row r="13" spans="1:1" x14ac:dyDescent="0.25">
      <c r="A13" s="176" t="str">
        <f>Clauses!H8</f>
        <v/>
      </c>
    </row>
    <row r="14" spans="1:1" ht="52.8" x14ac:dyDescent="0.25">
      <c r="A14" s="176" t="str">
        <f>Clauses!H9</f>
        <v>Your total salary will be $Total .00 for 9 months service per year. This salary will be reviewed and may be adjusted each year in accordance with the standing policies of NCCU and the Board of Governors. Your position is financed by non-appropriated funds through the .  The continuation of the position, and your continued presence in it, depend upon the availability of these funds.</v>
      </c>
    </row>
    <row r="15" spans="1:1" x14ac:dyDescent="0.25">
      <c r="A15" s="176"/>
    </row>
    <row r="16" spans="1:1" ht="53.25" customHeight="1" x14ac:dyDescent="0.25">
      <c r="A16" s="176" t="str">
        <f>Clauses!G54</f>
        <v xml:space="preserve">Your primary duty will be teaching, but you will also be expected to advise students and participate in the normal functioning of your Department and School.  This means that, among other responsibilities, you will be expected to participate in the Faculty Institute, all University convocations and commencement ceremonies.  In addition you shall evaluate and grade students' in a timely manner and maintain regularly scheduled office hours in order to advise and assist students.   The normal class load is 12 credit hours per semester, and classes may be scheduled in the evenings and on the weekends. However, the number of course hours may vary. </v>
      </c>
    </row>
    <row r="17" spans="1:1" x14ac:dyDescent="0.25">
      <c r="A17" s="176"/>
    </row>
    <row r="18" spans="1:1" ht="10.5" hidden="1" customHeight="1" x14ac:dyDescent="0.25">
      <c r="A18" s="176" t="str">
        <f>Clauses!H11</f>
        <v>The expectations inherent in the tenure rules of the University include satisfactory completion of the requisite formal education, demonstration of professional competence, display of developed collegiality, and potential for future contribution, consistent with the needs and resources of the University.  This contract is governed by the pertinent provisions of the North Carolina Central University Tenure Policies and Regulations, Chapter Six of the Code of The University of North Carolina and the Patent and Copyright Policies of North Carolina Central University.  The incidents of tenure applicable to your rank are, by reference, incorporated herein.  Tenure is granted by the Board of Governors upon recommendation through the administrative channels of the University.  Tenure, if granted, is in North Carolina Central University only, not in the University of North Carolina.</v>
      </c>
    </row>
    <row r="19" spans="1:1" ht="26.4" hidden="1" x14ac:dyDescent="0.25">
      <c r="A19" s="176" t="str">
        <f>IF(Clauses!H12&lt;=0,"",Clauses!H12)</f>
        <v xml:space="preserve">The normal class load is 12 credit hours per semester, and classes may be scheduled in the evenings and on the weekends.    </v>
      </c>
    </row>
    <row r="20" spans="1:1" ht="14.25" hidden="1" customHeight="1" x14ac:dyDescent="0.25">
      <c r="A20" s="176" t="str">
        <f>IF(Clauses!H13&lt;=0,"",Clauses!H13)</f>
        <v>In consideration of the additional responsibilities assigned by this contract beyond the typical faculty duties, the university hereby reduces your faculty workload by FTE credit hours. This reduction shall remain in effect for the duration of this contract period except in the event that the duties assigned in addition to the faculty duties are voluntarily or involuntarily removed from your responsibility</v>
      </c>
    </row>
    <row r="21" spans="1:1" ht="26.4" x14ac:dyDescent="0.25">
      <c r="A21" s="176" t="str">
        <f>Clauses!H14</f>
        <v xml:space="preserve">Consistent with the applicable provisions of Administrative Code and the law of the state of North Carolina, this position is not eligibility for benefits. </v>
      </c>
    </row>
    <row r="22" spans="1:1" x14ac:dyDescent="0.25">
      <c r="A22" s="176" t="str">
        <f>Clauses!H15</f>
        <v xml:space="preserve"> </v>
      </c>
    </row>
    <row r="25" spans="1:1" x14ac:dyDescent="0.25">
      <c r="A25" s="286" t="s">
        <v>1096</v>
      </c>
    </row>
    <row r="26" spans="1:1" x14ac:dyDescent="0.25">
      <c r="A26" s="177" t="s">
        <v>148</v>
      </c>
    </row>
    <row r="27" spans="1:1" ht="24" customHeight="1" x14ac:dyDescent="0.25">
      <c r="A27" s="177" t="s">
        <v>611</v>
      </c>
    </row>
    <row r="28" spans="1:1" ht="24" customHeight="1" x14ac:dyDescent="0.25">
      <c r="A28" s="178"/>
    </row>
    <row r="29" spans="1:1" ht="36.75" customHeight="1" x14ac:dyDescent="0.25">
      <c r="A29" s="175" t="s">
        <v>610</v>
      </c>
    </row>
    <row r="30" spans="1:1" ht="22.5" customHeight="1" x14ac:dyDescent="0.25"/>
    <row r="31" spans="1:1" ht="15" customHeight="1" x14ac:dyDescent="0.25">
      <c r="A31" s="177" t="str">
        <f>Clauses!H2</f>
        <v xml:space="preserve">         </v>
      </c>
    </row>
    <row r="32" spans="1:1" ht="24" customHeight="1" x14ac:dyDescent="0.25">
      <c r="A32" s="177" t="s">
        <v>345</v>
      </c>
    </row>
    <row r="33" spans="1:1" x14ac:dyDescent="0.25">
      <c r="A33" s="179" t="s">
        <v>609</v>
      </c>
    </row>
    <row r="34" spans="1:1" x14ac:dyDescent="0.25">
      <c r="A34" s="180" t="str">
        <f>CONCATENATE("Budget Item no.",'E Recomend'!B56)</f>
        <v>Budget Item no.</v>
      </c>
    </row>
    <row r="35" spans="1:1" hidden="1" x14ac:dyDescent="0.25">
      <c r="A35" s="180">
        <f>'E Recomend'!B58</f>
        <v>0</v>
      </c>
    </row>
    <row r="36" spans="1:1" hidden="1" x14ac:dyDescent="0.25">
      <c r="A36" s="179" t="e">
        <f>'E Recomend'!#REF!</f>
        <v>#REF!</v>
      </c>
    </row>
    <row r="37" spans="1:1" hidden="1" x14ac:dyDescent="0.25">
      <c r="A37" s="179" t="e">
        <f>'E Recomend'!#REF!</f>
        <v>#REF!</v>
      </c>
    </row>
    <row r="38" spans="1:1" x14ac:dyDescent="0.25">
      <c r="A38" s="179" t="str">
        <f>CONCATENATE("Position no.",'E Recomend'!A56)</f>
        <v>Position no.</v>
      </c>
    </row>
    <row r="39" spans="1:1" x14ac:dyDescent="0.25">
      <c r="A39" s="175">
        <f>'E Recomend'!A58</f>
        <v>0</v>
      </c>
    </row>
    <row r="40" spans="1:1" x14ac:dyDescent="0.25">
      <c r="A40" s="175" t="e">
        <f>'E Recomend'!#REF!</f>
        <v>#REF!</v>
      </c>
    </row>
    <row r="41" spans="1:1" x14ac:dyDescent="0.25">
      <c r="A41" s="175" t="e">
        <f>'E Recomend'!#REF!</f>
        <v>#REF!</v>
      </c>
    </row>
  </sheetData>
  <phoneticPr fontId="50" type="noConversion"/>
  <pageMargins left="0.75" right="0.53" top="1" bottom="1" header="0.5" footer="0.5"/>
  <pageSetup orientation="portrait" horizontalDpi="4294967292" verticalDpi="4294967292"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
  <sheetViews>
    <sheetView topLeftCell="A4" workbookViewId="0">
      <selection activeCell="A7" sqref="A7:A72"/>
    </sheetView>
  </sheetViews>
  <sheetFormatPr defaultColWidth="9.109375" defaultRowHeight="13.2" x14ac:dyDescent="0.25"/>
  <cols>
    <col min="1" max="1" width="58.6640625" style="223" bestFit="1" customWidth="1"/>
    <col min="2" max="16384" width="9.109375" style="223"/>
  </cols>
  <sheetData>
    <row r="1" spans="1:1" x14ac:dyDescent="0.25">
      <c r="A1" s="223" t="s">
        <v>1187</v>
      </c>
    </row>
    <row r="2" spans="1:1" x14ac:dyDescent="0.25">
      <c r="A2" s="223" t="s">
        <v>1188</v>
      </c>
    </row>
    <row r="3" spans="1:1" x14ac:dyDescent="0.25">
      <c r="A3" s="223" t="s">
        <v>1189</v>
      </c>
    </row>
    <row r="4" spans="1:1" x14ac:dyDescent="0.25">
      <c r="A4" s="223" t="s">
        <v>1190</v>
      </c>
    </row>
    <row r="6" spans="1:1" x14ac:dyDescent="0.25">
      <c r="A6" s="290" t="s">
        <v>1120</v>
      </c>
    </row>
    <row r="7" spans="1:1" x14ac:dyDescent="0.25">
      <c r="A7" s="291" t="s">
        <v>1121</v>
      </c>
    </row>
    <row r="8" spans="1:1" x14ac:dyDescent="0.25">
      <c r="A8" s="291" t="s">
        <v>1122</v>
      </c>
    </row>
    <row r="9" spans="1:1" x14ac:dyDescent="0.25">
      <c r="A9" s="291" t="s">
        <v>1123</v>
      </c>
    </row>
    <row r="10" spans="1:1" x14ac:dyDescent="0.25">
      <c r="A10" s="291" t="s">
        <v>1124</v>
      </c>
    </row>
    <row r="11" spans="1:1" x14ac:dyDescent="0.25">
      <c r="A11" s="291" t="s">
        <v>1125</v>
      </c>
    </row>
    <row r="12" spans="1:1" x14ac:dyDescent="0.25">
      <c r="A12" s="291" t="s">
        <v>1126</v>
      </c>
    </row>
    <row r="13" spans="1:1" x14ac:dyDescent="0.25">
      <c r="A13" s="291" t="s">
        <v>1127</v>
      </c>
    </row>
    <row r="14" spans="1:1" x14ac:dyDescent="0.25">
      <c r="A14" s="291" t="s">
        <v>1128</v>
      </c>
    </row>
    <row r="15" spans="1:1" x14ac:dyDescent="0.25">
      <c r="A15" s="291" t="s">
        <v>1129</v>
      </c>
    </row>
    <row r="16" spans="1:1" x14ac:dyDescent="0.25">
      <c r="A16" s="291" t="s">
        <v>1130</v>
      </c>
    </row>
    <row r="17" spans="1:1" x14ac:dyDescent="0.25">
      <c r="A17" s="291" t="s">
        <v>1131</v>
      </c>
    </row>
    <row r="18" spans="1:1" x14ac:dyDescent="0.25">
      <c r="A18" s="291" t="s">
        <v>1132</v>
      </c>
    </row>
    <row r="19" spans="1:1" x14ac:dyDescent="0.25">
      <c r="A19" s="291" t="s">
        <v>1133</v>
      </c>
    </row>
    <row r="20" spans="1:1" x14ac:dyDescent="0.25">
      <c r="A20" s="291" t="s">
        <v>1134</v>
      </c>
    </row>
    <row r="21" spans="1:1" x14ac:dyDescent="0.25">
      <c r="A21" s="291" t="s">
        <v>1135</v>
      </c>
    </row>
    <row r="22" spans="1:1" x14ac:dyDescent="0.25">
      <c r="A22" s="291" t="s">
        <v>1136</v>
      </c>
    </row>
    <row r="23" spans="1:1" x14ac:dyDescent="0.25">
      <c r="A23" s="291" t="s">
        <v>1137</v>
      </c>
    </row>
    <row r="24" spans="1:1" x14ac:dyDescent="0.25">
      <c r="A24" s="291" t="s">
        <v>1138</v>
      </c>
    </row>
    <row r="25" spans="1:1" x14ac:dyDescent="0.25">
      <c r="A25" s="291" t="s">
        <v>1139</v>
      </c>
    </row>
    <row r="26" spans="1:1" x14ac:dyDescent="0.25">
      <c r="A26" s="291" t="s">
        <v>1140</v>
      </c>
    </row>
    <row r="27" spans="1:1" x14ac:dyDescent="0.25">
      <c r="A27" s="291" t="s">
        <v>1141</v>
      </c>
    </row>
    <row r="28" spans="1:1" x14ac:dyDescent="0.25">
      <c r="A28" s="291" t="s">
        <v>1142</v>
      </c>
    </row>
    <row r="29" spans="1:1" x14ac:dyDescent="0.25">
      <c r="A29" s="291" t="s">
        <v>1143</v>
      </c>
    </row>
    <row r="30" spans="1:1" x14ac:dyDescent="0.25">
      <c r="A30" s="291" t="s">
        <v>1144</v>
      </c>
    </row>
    <row r="31" spans="1:1" x14ac:dyDescent="0.25">
      <c r="A31" s="291" t="s">
        <v>1145</v>
      </c>
    </row>
    <row r="32" spans="1:1" x14ac:dyDescent="0.25">
      <c r="A32" s="291" t="s">
        <v>1146</v>
      </c>
    </row>
    <row r="33" spans="1:1" x14ac:dyDescent="0.25">
      <c r="A33" s="291" t="s">
        <v>1147</v>
      </c>
    </row>
    <row r="34" spans="1:1" x14ac:dyDescent="0.25">
      <c r="A34" s="291" t="s">
        <v>1148</v>
      </c>
    </row>
    <row r="35" spans="1:1" x14ac:dyDescent="0.25">
      <c r="A35" s="291" t="s">
        <v>1149</v>
      </c>
    </row>
    <row r="36" spans="1:1" x14ac:dyDescent="0.25">
      <c r="A36" s="291" t="s">
        <v>1150</v>
      </c>
    </row>
    <row r="37" spans="1:1" x14ac:dyDescent="0.25">
      <c r="A37" s="291" t="s">
        <v>1151</v>
      </c>
    </row>
    <row r="38" spans="1:1" x14ac:dyDescent="0.25">
      <c r="A38" s="291" t="s">
        <v>1152</v>
      </c>
    </row>
    <row r="39" spans="1:1" x14ac:dyDescent="0.25">
      <c r="A39" s="291" t="s">
        <v>1153</v>
      </c>
    </row>
    <row r="40" spans="1:1" x14ac:dyDescent="0.25">
      <c r="A40" s="291" t="s">
        <v>1154</v>
      </c>
    </row>
    <row r="41" spans="1:1" x14ac:dyDescent="0.25">
      <c r="A41" s="291" t="s">
        <v>1155</v>
      </c>
    </row>
    <row r="42" spans="1:1" x14ac:dyDescent="0.25">
      <c r="A42" s="291" t="s">
        <v>1156</v>
      </c>
    </row>
    <row r="43" spans="1:1" x14ac:dyDescent="0.25">
      <c r="A43" s="291" t="s">
        <v>1157</v>
      </c>
    </row>
    <row r="44" spans="1:1" x14ac:dyDescent="0.25">
      <c r="A44" s="291" t="s">
        <v>1158</v>
      </c>
    </row>
    <row r="45" spans="1:1" x14ac:dyDescent="0.25">
      <c r="A45" s="291" t="s">
        <v>1159</v>
      </c>
    </row>
    <row r="46" spans="1:1" x14ac:dyDescent="0.25">
      <c r="A46" s="291" t="s">
        <v>1160</v>
      </c>
    </row>
    <row r="47" spans="1:1" x14ac:dyDescent="0.25">
      <c r="A47" s="291" t="s">
        <v>1161</v>
      </c>
    </row>
    <row r="48" spans="1:1" x14ac:dyDescent="0.25">
      <c r="A48" s="291" t="s">
        <v>1162</v>
      </c>
    </row>
    <row r="49" spans="1:1" x14ac:dyDescent="0.25">
      <c r="A49" s="291" t="s">
        <v>1163</v>
      </c>
    </row>
    <row r="50" spans="1:1" x14ac:dyDescent="0.25">
      <c r="A50" s="291" t="s">
        <v>1164</v>
      </c>
    </row>
    <row r="51" spans="1:1" x14ac:dyDescent="0.25">
      <c r="A51" s="291" t="s">
        <v>1165</v>
      </c>
    </row>
    <row r="52" spans="1:1" x14ac:dyDescent="0.25">
      <c r="A52" s="291" t="s">
        <v>1166</v>
      </c>
    </row>
    <row r="53" spans="1:1" x14ac:dyDescent="0.25">
      <c r="A53" s="291" t="s">
        <v>1167</v>
      </c>
    </row>
    <row r="54" spans="1:1" x14ac:dyDescent="0.25">
      <c r="A54" s="291" t="s">
        <v>1168</v>
      </c>
    </row>
    <row r="55" spans="1:1" x14ac:dyDescent="0.25">
      <c r="A55" s="291" t="s">
        <v>1169</v>
      </c>
    </row>
    <row r="56" spans="1:1" x14ac:dyDescent="0.25">
      <c r="A56" s="291" t="s">
        <v>1170</v>
      </c>
    </row>
    <row r="57" spans="1:1" x14ac:dyDescent="0.25">
      <c r="A57" s="291" t="s">
        <v>1171</v>
      </c>
    </row>
    <row r="58" spans="1:1" x14ac:dyDescent="0.25">
      <c r="A58" s="291" t="s">
        <v>1172</v>
      </c>
    </row>
    <row r="59" spans="1:1" x14ac:dyDescent="0.25">
      <c r="A59" s="291" t="s">
        <v>1173</v>
      </c>
    </row>
    <row r="60" spans="1:1" x14ac:dyDescent="0.25">
      <c r="A60" s="291" t="s">
        <v>1174</v>
      </c>
    </row>
    <row r="61" spans="1:1" x14ac:dyDescent="0.25">
      <c r="A61" s="291" t="s">
        <v>1175</v>
      </c>
    </row>
    <row r="62" spans="1:1" x14ac:dyDescent="0.25">
      <c r="A62" s="291" t="s">
        <v>1176</v>
      </c>
    </row>
    <row r="63" spans="1:1" x14ac:dyDescent="0.25">
      <c r="A63" s="291" t="s">
        <v>1177</v>
      </c>
    </row>
    <row r="64" spans="1:1" x14ac:dyDescent="0.25">
      <c r="A64" s="291" t="s">
        <v>1178</v>
      </c>
    </row>
    <row r="65" spans="1:1" x14ac:dyDescent="0.25">
      <c r="A65" s="291" t="s">
        <v>1179</v>
      </c>
    </row>
    <row r="66" spans="1:1" x14ac:dyDescent="0.25">
      <c r="A66" s="291" t="s">
        <v>1180</v>
      </c>
    </row>
    <row r="67" spans="1:1" x14ac:dyDescent="0.25">
      <c r="A67" s="291" t="s">
        <v>1181</v>
      </c>
    </row>
    <row r="68" spans="1:1" x14ac:dyDescent="0.25">
      <c r="A68" s="291" t="s">
        <v>1182</v>
      </c>
    </row>
    <row r="69" spans="1:1" x14ac:dyDescent="0.25">
      <c r="A69" s="291" t="s">
        <v>1183</v>
      </c>
    </row>
    <row r="70" spans="1:1" x14ac:dyDescent="0.25">
      <c r="A70" s="291" t="s">
        <v>1184</v>
      </c>
    </row>
    <row r="71" spans="1:1" x14ac:dyDescent="0.25">
      <c r="A71" s="291" t="s">
        <v>1185</v>
      </c>
    </row>
    <row r="72" spans="1:1" x14ac:dyDescent="0.25">
      <c r="A72" s="291" t="s">
        <v>1186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6"/>
  <sheetViews>
    <sheetView workbookViewId="0">
      <selection activeCell="A7" sqref="A7"/>
    </sheetView>
  </sheetViews>
  <sheetFormatPr defaultRowHeight="13.2" x14ac:dyDescent="0.25"/>
  <sheetData>
    <row r="1" spans="1:1" ht="15.6" x14ac:dyDescent="0.25">
      <c r="A1" s="292" t="s">
        <v>1191</v>
      </c>
    </row>
    <row r="2" spans="1:1" ht="15.6" x14ac:dyDescent="0.25">
      <c r="A2" s="292" t="s">
        <v>1192</v>
      </c>
    </row>
    <row r="3" spans="1:1" ht="15.6" x14ac:dyDescent="0.25">
      <c r="A3" s="292" t="s">
        <v>1193</v>
      </c>
    </row>
    <row r="4" spans="1:1" ht="15.6" x14ac:dyDescent="0.25">
      <c r="A4" s="292" t="s">
        <v>1190</v>
      </c>
    </row>
    <row r="5" spans="1:1" x14ac:dyDescent="0.25">
      <c r="A5" s="288" t="s">
        <v>1194</v>
      </c>
    </row>
    <row r="6" spans="1:1" x14ac:dyDescent="0.25">
      <c r="A6" s="289" t="s">
        <v>1195</v>
      </c>
    </row>
    <row r="7" spans="1:1" x14ac:dyDescent="0.25">
      <c r="A7" s="289" t="s">
        <v>1196</v>
      </c>
    </row>
    <row r="8" spans="1:1" x14ac:dyDescent="0.25">
      <c r="A8" s="289" t="s">
        <v>1197</v>
      </c>
    </row>
    <row r="9" spans="1:1" x14ac:dyDescent="0.25">
      <c r="A9" s="289" t="s">
        <v>1198</v>
      </c>
    </row>
    <row r="10" spans="1:1" x14ac:dyDescent="0.25">
      <c r="A10" s="289" t="s">
        <v>1199</v>
      </c>
    </row>
    <row r="11" spans="1:1" x14ac:dyDescent="0.25">
      <c r="A11" s="289" t="s">
        <v>1200</v>
      </c>
    </row>
    <row r="12" spans="1:1" x14ac:dyDescent="0.25">
      <c r="A12" s="289" t="s">
        <v>1201</v>
      </c>
    </row>
    <row r="13" spans="1:1" x14ac:dyDescent="0.25">
      <c r="A13" s="289" t="s">
        <v>1202</v>
      </c>
    </row>
    <row r="14" spans="1:1" x14ac:dyDescent="0.25">
      <c r="A14" s="289" t="s">
        <v>1203</v>
      </c>
    </row>
    <row r="15" spans="1:1" x14ac:dyDescent="0.25">
      <c r="A15" s="289" t="s">
        <v>1204</v>
      </c>
    </row>
    <row r="16" spans="1:1" x14ac:dyDescent="0.25">
      <c r="A16" s="289" t="s">
        <v>1205</v>
      </c>
    </row>
    <row r="17" spans="1:1" x14ac:dyDescent="0.25">
      <c r="A17" s="289" t="s">
        <v>1206</v>
      </c>
    </row>
    <row r="18" spans="1:1" x14ac:dyDescent="0.25">
      <c r="A18" s="289" t="s">
        <v>1207</v>
      </c>
    </row>
    <row r="19" spans="1:1" x14ac:dyDescent="0.25">
      <c r="A19" s="289" t="s">
        <v>1208</v>
      </c>
    </row>
    <row r="20" spans="1:1" x14ac:dyDescent="0.25">
      <c r="A20" s="289" t="s">
        <v>1209</v>
      </c>
    </row>
    <row r="21" spans="1:1" x14ac:dyDescent="0.25">
      <c r="A21" s="289" t="s">
        <v>1210</v>
      </c>
    </row>
    <row r="22" spans="1:1" x14ac:dyDescent="0.25">
      <c r="A22" s="289" t="s">
        <v>1211</v>
      </c>
    </row>
    <row r="23" spans="1:1" x14ac:dyDescent="0.25">
      <c r="A23" s="289" t="s">
        <v>1212</v>
      </c>
    </row>
    <row r="24" spans="1:1" x14ac:dyDescent="0.25">
      <c r="A24" s="289" t="s">
        <v>1213</v>
      </c>
    </row>
    <row r="25" spans="1:1" x14ac:dyDescent="0.25">
      <c r="A25" s="289" t="s">
        <v>1214</v>
      </c>
    </row>
    <row r="26" spans="1:1" x14ac:dyDescent="0.25">
      <c r="A26" s="289" t="s">
        <v>1215</v>
      </c>
    </row>
    <row r="27" spans="1:1" x14ac:dyDescent="0.25">
      <c r="A27" s="289" t="s">
        <v>1216</v>
      </c>
    </row>
    <row r="28" spans="1:1" x14ac:dyDescent="0.25">
      <c r="A28" s="289" t="s">
        <v>1217</v>
      </c>
    </row>
    <row r="29" spans="1:1" x14ac:dyDescent="0.25">
      <c r="A29" s="289" t="s">
        <v>1218</v>
      </c>
    </row>
    <row r="30" spans="1:1" x14ac:dyDescent="0.25">
      <c r="A30" s="289" t="s">
        <v>1219</v>
      </c>
    </row>
    <row r="31" spans="1:1" x14ac:dyDescent="0.25">
      <c r="A31" s="289" t="s">
        <v>1220</v>
      </c>
    </row>
    <row r="32" spans="1:1" x14ac:dyDescent="0.25">
      <c r="A32" s="289" t="s">
        <v>1221</v>
      </c>
    </row>
    <row r="33" spans="1:1" x14ac:dyDescent="0.25">
      <c r="A33" s="289" t="s">
        <v>1222</v>
      </c>
    </row>
    <row r="34" spans="1:1" x14ac:dyDescent="0.25">
      <c r="A34" s="289" t="s">
        <v>1223</v>
      </c>
    </row>
    <row r="35" spans="1:1" x14ac:dyDescent="0.25">
      <c r="A35" s="289" t="s">
        <v>1224</v>
      </c>
    </row>
    <row r="36" spans="1:1" x14ac:dyDescent="0.25">
      <c r="A36" s="289" t="s">
        <v>1225</v>
      </c>
    </row>
    <row r="37" spans="1:1" x14ac:dyDescent="0.25">
      <c r="A37" s="289" t="s">
        <v>1226</v>
      </c>
    </row>
    <row r="38" spans="1:1" x14ac:dyDescent="0.25">
      <c r="A38" s="289" t="s">
        <v>1227</v>
      </c>
    </row>
    <row r="39" spans="1:1" x14ac:dyDescent="0.25">
      <c r="A39" s="289" t="s">
        <v>1228</v>
      </c>
    </row>
    <row r="40" spans="1:1" x14ac:dyDescent="0.25">
      <c r="A40" s="289" t="s">
        <v>1229</v>
      </c>
    </row>
    <row r="41" spans="1:1" x14ac:dyDescent="0.25">
      <c r="A41" s="289" t="s">
        <v>1230</v>
      </c>
    </row>
    <row r="42" spans="1:1" x14ac:dyDescent="0.25">
      <c r="A42" s="289" t="s">
        <v>1231</v>
      </c>
    </row>
    <row r="43" spans="1:1" x14ac:dyDescent="0.25">
      <c r="A43" s="289" t="s">
        <v>1232</v>
      </c>
    </row>
    <row r="44" spans="1:1" x14ac:dyDescent="0.25">
      <c r="A44" s="289" t="s">
        <v>1233</v>
      </c>
    </row>
    <row r="45" spans="1:1" x14ac:dyDescent="0.25">
      <c r="A45" s="289" t="s">
        <v>1234</v>
      </c>
    </row>
    <row r="46" spans="1:1" x14ac:dyDescent="0.25">
      <c r="A46" s="289" t="s">
        <v>1235</v>
      </c>
    </row>
    <row r="47" spans="1:1" x14ac:dyDescent="0.25">
      <c r="A47" s="289" t="s">
        <v>1236</v>
      </c>
    </row>
    <row r="48" spans="1:1" x14ac:dyDescent="0.25">
      <c r="A48" s="289" t="s">
        <v>1237</v>
      </c>
    </row>
    <row r="49" spans="1:1" x14ac:dyDescent="0.25">
      <c r="A49" s="289" t="s">
        <v>1238</v>
      </c>
    </row>
    <row r="50" spans="1:1" x14ac:dyDescent="0.25">
      <c r="A50" s="289" t="s">
        <v>1239</v>
      </c>
    </row>
    <row r="51" spans="1:1" x14ac:dyDescent="0.25">
      <c r="A51" s="289" t="s">
        <v>1240</v>
      </c>
    </row>
    <row r="52" spans="1:1" x14ac:dyDescent="0.25">
      <c r="A52" s="289" t="s">
        <v>1241</v>
      </c>
    </row>
    <row r="53" spans="1:1" x14ac:dyDescent="0.25">
      <c r="A53" s="289" t="s">
        <v>1242</v>
      </c>
    </row>
    <row r="54" spans="1:1" x14ac:dyDescent="0.25">
      <c r="A54" s="289" t="s">
        <v>1243</v>
      </c>
    </row>
    <row r="55" spans="1:1" x14ac:dyDescent="0.25">
      <c r="A55" s="289" t="s">
        <v>1244</v>
      </c>
    </row>
    <row r="56" spans="1:1" x14ac:dyDescent="0.25">
      <c r="A56" s="289" t="s">
        <v>1245</v>
      </c>
    </row>
    <row r="57" spans="1:1" x14ac:dyDescent="0.25">
      <c r="A57" s="289" t="s">
        <v>1246</v>
      </c>
    </row>
    <row r="58" spans="1:1" x14ac:dyDescent="0.25">
      <c r="A58" s="289" t="s">
        <v>1247</v>
      </c>
    </row>
    <row r="59" spans="1:1" x14ac:dyDescent="0.25">
      <c r="A59" s="289" t="s">
        <v>1248</v>
      </c>
    </row>
    <row r="60" spans="1:1" x14ac:dyDescent="0.25">
      <c r="A60" s="289" t="s">
        <v>1249</v>
      </c>
    </row>
    <row r="61" spans="1:1" x14ac:dyDescent="0.25">
      <c r="A61" s="289" t="s">
        <v>1250</v>
      </c>
    </row>
    <row r="62" spans="1:1" x14ac:dyDescent="0.25">
      <c r="A62" s="289" t="s">
        <v>1251</v>
      </c>
    </row>
    <row r="63" spans="1:1" x14ac:dyDescent="0.25">
      <c r="A63" s="289" t="s">
        <v>1252</v>
      </c>
    </row>
    <row r="64" spans="1:1" x14ac:dyDescent="0.25">
      <c r="A64" s="289" t="s">
        <v>1253</v>
      </c>
    </row>
    <row r="65" spans="1:1" x14ac:dyDescent="0.25">
      <c r="A65" s="289" t="s">
        <v>1254</v>
      </c>
    </row>
    <row r="66" spans="1:1" x14ac:dyDescent="0.25">
      <c r="A66" s="289" t="s">
        <v>1255</v>
      </c>
    </row>
    <row r="67" spans="1:1" x14ac:dyDescent="0.25">
      <c r="A67" s="289" t="s">
        <v>1256</v>
      </c>
    </row>
    <row r="68" spans="1:1" x14ac:dyDescent="0.25">
      <c r="A68" s="289" t="s">
        <v>1257</v>
      </c>
    </row>
    <row r="69" spans="1:1" x14ac:dyDescent="0.25">
      <c r="A69" s="289" t="s">
        <v>1258</v>
      </c>
    </row>
    <row r="70" spans="1:1" x14ac:dyDescent="0.25">
      <c r="A70" s="289" t="s">
        <v>1259</v>
      </c>
    </row>
    <row r="71" spans="1:1" x14ac:dyDescent="0.25">
      <c r="A71" s="289" t="s">
        <v>1260</v>
      </c>
    </row>
    <row r="72" spans="1:1" x14ac:dyDescent="0.25">
      <c r="A72" s="289" t="s">
        <v>1261</v>
      </c>
    </row>
    <row r="73" spans="1:1" x14ac:dyDescent="0.25">
      <c r="A73" s="289" t="s">
        <v>1262</v>
      </c>
    </row>
    <row r="74" spans="1:1" x14ac:dyDescent="0.25">
      <c r="A74" s="289" t="s">
        <v>1263</v>
      </c>
    </row>
    <row r="75" spans="1:1" x14ac:dyDescent="0.25">
      <c r="A75" s="289" t="s">
        <v>1264</v>
      </c>
    </row>
    <row r="76" spans="1:1" x14ac:dyDescent="0.25">
      <c r="A76" s="289" t="s">
        <v>1265</v>
      </c>
    </row>
    <row r="77" spans="1:1" x14ac:dyDescent="0.25">
      <c r="A77" s="289" t="s">
        <v>1266</v>
      </c>
    </row>
    <row r="78" spans="1:1" x14ac:dyDescent="0.25">
      <c r="A78" s="289" t="s">
        <v>1267</v>
      </c>
    </row>
    <row r="79" spans="1:1" x14ac:dyDescent="0.25">
      <c r="A79" s="289" t="s">
        <v>1268</v>
      </c>
    </row>
    <row r="80" spans="1:1" x14ac:dyDescent="0.25">
      <c r="A80" s="289" t="s">
        <v>1269</v>
      </c>
    </row>
    <row r="81" spans="1:1" x14ac:dyDescent="0.25">
      <c r="A81" s="289" t="s">
        <v>1270</v>
      </c>
    </row>
    <row r="82" spans="1:1" x14ac:dyDescent="0.25">
      <c r="A82" s="289" t="s">
        <v>1271</v>
      </c>
    </row>
    <row r="83" spans="1:1" x14ac:dyDescent="0.25">
      <c r="A83" s="289" t="s">
        <v>1272</v>
      </c>
    </row>
    <row r="84" spans="1:1" x14ac:dyDescent="0.25">
      <c r="A84" s="289" t="s">
        <v>1273</v>
      </c>
    </row>
    <row r="85" spans="1:1" x14ac:dyDescent="0.25">
      <c r="A85" s="289" t="s">
        <v>1274</v>
      </c>
    </row>
    <row r="86" spans="1:1" x14ac:dyDescent="0.25">
      <c r="A86" s="289" t="s">
        <v>1275</v>
      </c>
    </row>
    <row r="87" spans="1:1" x14ac:dyDescent="0.25">
      <c r="A87" s="289" t="s">
        <v>1276</v>
      </c>
    </row>
    <row r="88" spans="1:1" x14ac:dyDescent="0.25">
      <c r="A88" s="289" t="s">
        <v>1277</v>
      </c>
    </row>
    <row r="89" spans="1:1" x14ac:dyDescent="0.25">
      <c r="A89" s="289" t="s">
        <v>1278</v>
      </c>
    </row>
    <row r="90" spans="1:1" x14ac:dyDescent="0.25">
      <c r="A90" s="289" t="s">
        <v>1279</v>
      </c>
    </row>
    <row r="91" spans="1:1" x14ac:dyDescent="0.25">
      <c r="A91" s="289" t="s">
        <v>1280</v>
      </c>
    </row>
    <row r="92" spans="1:1" x14ac:dyDescent="0.25">
      <c r="A92" s="289" t="s">
        <v>1281</v>
      </c>
    </row>
    <row r="93" spans="1:1" x14ac:dyDescent="0.25">
      <c r="A93" s="289" t="s">
        <v>1282</v>
      </c>
    </row>
    <row r="94" spans="1:1" x14ac:dyDescent="0.25">
      <c r="A94" s="289" t="s">
        <v>1283</v>
      </c>
    </row>
    <row r="95" spans="1:1" x14ac:dyDescent="0.25">
      <c r="A95" s="289" t="s">
        <v>1284</v>
      </c>
    </row>
    <row r="96" spans="1:1" x14ac:dyDescent="0.25">
      <c r="A96" s="289" t="s">
        <v>1285</v>
      </c>
    </row>
    <row r="97" spans="1:1" x14ac:dyDescent="0.25">
      <c r="A97" s="289" t="s">
        <v>1286</v>
      </c>
    </row>
    <row r="98" spans="1:1" x14ac:dyDescent="0.25">
      <c r="A98" s="289" t="s">
        <v>1287</v>
      </c>
    </row>
    <row r="99" spans="1:1" x14ac:dyDescent="0.25">
      <c r="A99" s="289" t="s">
        <v>1288</v>
      </c>
    </row>
    <row r="100" spans="1:1" x14ac:dyDescent="0.25">
      <c r="A100" s="289" t="s">
        <v>1289</v>
      </c>
    </row>
    <row r="101" spans="1:1" x14ac:dyDescent="0.25">
      <c r="A101" s="289" t="s">
        <v>1290</v>
      </c>
    </row>
    <row r="102" spans="1:1" x14ac:dyDescent="0.25">
      <c r="A102" s="289" t="s">
        <v>1291</v>
      </c>
    </row>
    <row r="103" spans="1:1" x14ac:dyDescent="0.25">
      <c r="A103" s="289" t="s">
        <v>1292</v>
      </c>
    </row>
    <row r="104" spans="1:1" x14ac:dyDescent="0.25">
      <c r="A104" s="289" t="s">
        <v>1293</v>
      </c>
    </row>
    <row r="105" spans="1:1" x14ac:dyDescent="0.25">
      <c r="A105" s="289" t="s">
        <v>1294</v>
      </c>
    </row>
    <row r="106" spans="1:1" x14ac:dyDescent="0.25">
      <c r="A106" s="289" t="s">
        <v>1295</v>
      </c>
    </row>
    <row r="107" spans="1:1" x14ac:dyDescent="0.25">
      <c r="A107" s="289" t="s">
        <v>1296</v>
      </c>
    </row>
    <row r="108" spans="1:1" x14ac:dyDescent="0.25">
      <c r="A108" s="289" t="s">
        <v>1297</v>
      </c>
    </row>
    <row r="109" spans="1:1" x14ac:dyDescent="0.25">
      <c r="A109" s="289" t="s">
        <v>1298</v>
      </c>
    </row>
    <row r="110" spans="1:1" x14ac:dyDescent="0.25">
      <c r="A110" s="289" t="s">
        <v>1299</v>
      </c>
    </row>
    <row r="111" spans="1:1" x14ac:dyDescent="0.25">
      <c r="A111" s="289" t="s">
        <v>1300</v>
      </c>
    </row>
    <row r="112" spans="1:1" x14ac:dyDescent="0.25">
      <c r="A112" s="289" t="s">
        <v>1301</v>
      </c>
    </row>
    <row r="113" spans="1:1" x14ac:dyDescent="0.25">
      <c r="A113" s="289" t="s">
        <v>1302</v>
      </c>
    </row>
    <row r="114" spans="1:1" x14ac:dyDescent="0.25">
      <c r="A114" s="289" t="s">
        <v>1303</v>
      </c>
    </row>
    <row r="115" spans="1:1" x14ac:dyDescent="0.25">
      <c r="A115" s="289" t="s">
        <v>1304</v>
      </c>
    </row>
    <row r="116" spans="1:1" x14ac:dyDescent="0.25">
      <c r="A116" s="289" t="s">
        <v>1305</v>
      </c>
    </row>
    <row r="117" spans="1:1" x14ac:dyDescent="0.25">
      <c r="A117" s="289" t="s">
        <v>1306</v>
      </c>
    </row>
    <row r="118" spans="1:1" x14ac:dyDescent="0.25">
      <c r="A118" s="289" t="s">
        <v>1307</v>
      </c>
    </row>
    <row r="119" spans="1:1" x14ac:dyDescent="0.25">
      <c r="A119" s="289" t="s">
        <v>1308</v>
      </c>
    </row>
    <row r="120" spans="1:1" x14ac:dyDescent="0.25">
      <c r="A120" s="289" t="s">
        <v>1309</v>
      </c>
    </row>
    <row r="121" spans="1:1" x14ac:dyDescent="0.25">
      <c r="A121" s="289" t="s">
        <v>1310</v>
      </c>
    </row>
    <row r="122" spans="1:1" x14ac:dyDescent="0.25">
      <c r="A122" s="289" t="s">
        <v>1311</v>
      </c>
    </row>
    <row r="123" spans="1:1" x14ac:dyDescent="0.25">
      <c r="A123" s="289" t="s">
        <v>1312</v>
      </c>
    </row>
    <row r="124" spans="1:1" x14ac:dyDescent="0.25">
      <c r="A124" s="289" t="s">
        <v>1313</v>
      </c>
    </row>
    <row r="125" spans="1:1" x14ac:dyDescent="0.25">
      <c r="A125" s="289" t="s">
        <v>1314</v>
      </c>
    </row>
    <row r="126" spans="1:1" x14ac:dyDescent="0.25">
      <c r="A126" s="289" t="s">
        <v>1315</v>
      </c>
    </row>
    <row r="127" spans="1:1" x14ac:dyDescent="0.25">
      <c r="A127" s="289" t="s">
        <v>1316</v>
      </c>
    </row>
    <row r="128" spans="1:1" x14ac:dyDescent="0.25">
      <c r="A128" s="289" t="s">
        <v>1317</v>
      </c>
    </row>
    <row r="129" spans="1:1" x14ac:dyDescent="0.25">
      <c r="A129" s="289" t="s">
        <v>1318</v>
      </c>
    </row>
    <row r="130" spans="1:1" x14ac:dyDescent="0.25">
      <c r="A130" s="289" t="s">
        <v>1319</v>
      </c>
    </row>
    <row r="131" spans="1:1" x14ac:dyDescent="0.25">
      <c r="A131" s="289" t="s">
        <v>1320</v>
      </c>
    </row>
    <row r="132" spans="1:1" x14ac:dyDescent="0.25">
      <c r="A132" s="289" t="s">
        <v>1321</v>
      </c>
    </row>
    <row r="133" spans="1:1" x14ac:dyDescent="0.25">
      <c r="A133" s="289" t="s">
        <v>1322</v>
      </c>
    </row>
    <row r="134" spans="1:1" x14ac:dyDescent="0.25">
      <c r="A134" s="289" t="s">
        <v>1323</v>
      </c>
    </row>
    <row r="135" spans="1:1" x14ac:dyDescent="0.25">
      <c r="A135" s="289" t="s">
        <v>1324</v>
      </c>
    </row>
    <row r="136" spans="1:1" x14ac:dyDescent="0.25">
      <c r="A136" s="289" t="s">
        <v>1325</v>
      </c>
    </row>
    <row r="137" spans="1:1" x14ac:dyDescent="0.25">
      <c r="A137" s="289" t="s">
        <v>1326</v>
      </c>
    </row>
    <row r="138" spans="1:1" x14ac:dyDescent="0.25">
      <c r="A138" s="289" t="s">
        <v>1327</v>
      </c>
    </row>
    <row r="139" spans="1:1" x14ac:dyDescent="0.25">
      <c r="A139" s="289" t="s">
        <v>1328</v>
      </c>
    </row>
    <row r="140" spans="1:1" x14ac:dyDescent="0.25">
      <c r="A140" s="289" t="s">
        <v>1329</v>
      </c>
    </row>
    <row r="141" spans="1:1" x14ac:dyDescent="0.25">
      <c r="A141" s="289" t="s">
        <v>1330</v>
      </c>
    </row>
    <row r="142" spans="1:1" x14ac:dyDescent="0.25">
      <c r="A142" s="289" t="s">
        <v>1331</v>
      </c>
    </row>
    <row r="143" spans="1:1" x14ac:dyDescent="0.25">
      <c r="A143" s="289" t="s">
        <v>1332</v>
      </c>
    </row>
    <row r="144" spans="1:1" x14ac:dyDescent="0.25">
      <c r="A144" s="289" t="s">
        <v>1333</v>
      </c>
    </row>
    <row r="145" spans="1:1" x14ac:dyDescent="0.25">
      <c r="A145" s="289" t="s">
        <v>1334</v>
      </c>
    </row>
    <row r="146" spans="1:1" x14ac:dyDescent="0.25">
      <c r="A146" s="289" t="s">
        <v>1335</v>
      </c>
    </row>
    <row r="147" spans="1:1" x14ac:dyDescent="0.25">
      <c r="A147" s="289" t="s">
        <v>1336</v>
      </c>
    </row>
    <row r="148" spans="1:1" x14ac:dyDescent="0.25">
      <c r="A148" s="289" t="s">
        <v>1337</v>
      </c>
    </row>
    <row r="149" spans="1:1" x14ac:dyDescent="0.25">
      <c r="A149" s="289" t="s">
        <v>1338</v>
      </c>
    </row>
    <row r="150" spans="1:1" x14ac:dyDescent="0.25">
      <c r="A150" s="289" t="s">
        <v>1339</v>
      </c>
    </row>
    <row r="151" spans="1:1" x14ac:dyDescent="0.25">
      <c r="A151" s="289" t="s">
        <v>1340</v>
      </c>
    </row>
    <row r="152" spans="1:1" x14ac:dyDescent="0.25">
      <c r="A152" s="289" t="s">
        <v>1341</v>
      </c>
    </row>
    <row r="153" spans="1:1" x14ac:dyDescent="0.25">
      <c r="A153" s="289" t="s">
        <v>1342</v>
      </c>
    </row>
    <row r="154" spans="1:1" x14ac:dyDescent="0.25">
      <c r="A154" s="289" t="s">
        <v>1343</v>
      </c>
    </row>
    <row r="155" spans="1:1" x14ac:dyDescent="0.25">
      <c r="A155" s="289" t="s">
        <v>1344</v>
      </c>
    </row>
    <row r="156" spans="1:1" x14ac:dyDescent="0.25">
      <c r="A156" s="289" t="s">
        <v>1345</v>
      </c>
    </row>
    <row r="157" spans="1:1" x14ac:dyDescent="0.25">
      <c r="A157" s="289" t="s">
        <v>1346</v>
      </c>
    </row>
    <row r="158" spans="1:1" x14ac:dyDescent="0.25">
      <c r="A158" s="289" t="s">
        <v>1347</v>
      </c>
    </row>
    <row r="159" spans="1:1" x14ac:dyDescent="0.25">
      <c r="A159" s="289" t="s">
        <v>1348</v>
      </c>
    </row>
    <row r="160" spans="1:1" x14ac:dyDescent="0.25">
      <c r="A160" s="289" t="s">
        <v>1349</v>
      </c>
    </row>
    <row r="161" spans="1:1" x14ac:dyDescent="0.25">
      <c r="A161" s="289" t="s">
        <v>1350</v>
      </c>
    </row>
    <row r="162" spans="1:1" x14ac:dyDescent="0.25">
      <c r="A162" s="289" t="s">
        <v>1351</v>
      </c>
    </row>
    <row r="163" spans="1:1" x14ac:dyDescent="0.25">
      <c r="A163" s="289" t="s">
        <v>1352</v>
      </c>
    </row>
    <row r="164" spans="1:1" x14ac:dyDescent="0.25">
      <c r="A164" s="289" t="s">
        <v>1353</v>
      </c>
    </row>
    <row r="165" spans="1:1" x14ac:dyDescent="0.25">
      <c r="A165" s="289" t="s">
        <v>1354</v>
      </c>
    </row>
    <row r="166" spans="1:1" x14ac:dyDescent="0.25">
      <c r="A166" s="289" t="s">
        <v>1355</v>
      </c>
    </row>
    <row r="167" spans="1:1" x14ac:dyDescent="0.25">
      <c r="A167" s="289" t="s">
        <v>1356</v>
      </c>
    </row>
    <row r="168" spans="1:1" x14ac:dyDescent="0.25">
      <c r="A168" s="289" t="s">
        <v>1357</v>
      </c>
    </row>
    <row r="169" spans="1:1" x14ac:dyDescent="0.25">
      <c r="A169" s="289" t="s">
        <v>1358</v>
      </c>
    </row>
    <row r="170" spans="1:1" x14ac:dyDescent="0.25">
      <c r="A170" s="289" t="s">
        <v>1359</v>
      </c>
    </row>
    <row r="171" spans="1:1" x14ac:dyDescent="0.25">
      <c r="A171" s="289" t="s">
        <v>1360</v>
      </c>
    </row>
    <row r="172" spans="1:1" x14ac:dyDescent="0.25">
      <c r="A172" s="289" t="s">
        <v>1361</v>
      </c>
    </row>
    <row r="173" spans="1:1" x14ac:dyDescent="0.25">
      <c r="A173" s="289" t="s">
        <v>1362</v>
      </c>
    </row>
    <row r="174" spans="1:1" x14ac:dyDescent="0.25">
      <c r="A174" s="289" t="s">
        <v>1363</v>
      </c>
    </row>
    <row r="175" spans="1:1" x14ac:dyDescent="0.25">
      <c r="A175" s="289" t="s">
        <v>1364</v>
      </c>
    </row>
    <row r="176" spans="1:1" x14ac:dyDescent="0.25">
      <c r="A176" s="289" t="s">
        <v>1365</v>
      </c>
    </row>
    <row r="177" spans="1:1" x14ac:dyDescent="0.25">
      <c r="A177" s="289" t="s">
        <v>1366</v>
      </c>
    </row>
    <row r="178" spans="1:1" x14ac:dyDescent="0.25">
      <c r="A178" s="289" t="s">
        <v>1367</v>
      </c>
    </row>
    <row r="179" spans="1:1" x14ac:dyDescent="0.25">
      <c r="A179" s="289" t="s">
        <v>1368</v>
      </c>
    </row>
    <row r="180" spans="1:1" x14ac:dyDescent="0.25">
      <c r="A180" s="289" t="s">
        <v>1369</v>
      </c>
    </row>
    <row r="181" spans="1:1" x14ac:dyDescent="0.25">
      <c r="A181" s="289" t="s">
        <v>1370</v>
      </c>
    </row>
    <row r="182" spans="1:1" x14ac:dyDescent="0.25">
      <c r="A182" s="289" t="s">
        <v>1371</v>
      </c>
    </row>
    <row r="183" spans="1:1" x14ac:dyDescent="0.25">
      <c r="A183" s="289" t="s">
        <v>1372</v>
      </c>
    </row>
    <row r="184" spans="1:1" x14ac:dyDescent="0.25">
      <c r="A184" s="289" t="s">
        <v>1373</v>
      </c>
    </row>
    <row r="185" spans="1:1" x14ac:dyDescent="0.25">
      <c r="A185" s="289" t="s">
        <v>1374</v>
      </c>
    </row>
    <row r="186" spans="1:1" x14ac:dyDescent="0.25">
      <c r="A186" s="289" t="s">
        <v>1375</v>
      </c>
    </row>
    <row r="187" spans="1:1" x14ac:dyDescent="0.25">
      <c r="A187" s="289" t="s">
        <v>1376</v>
      </c>
    </row>
    <row r="188" spans="1:1" x14ac:dyDescent="0.25">
      <c r="A188" s="289" t="s">
        <v>1377</v>
      </c>
    </row>
    <row r="189" spans="1:1" x14ac:dyDescent="0.25">
      <c r="A189" s="289" t="s">
        <v>1378</v>
      </c>
    </row>
    <row r="190" spans="1:1" x14ac:dyDescent="0.25">
      <c r="A190" s="289" t="s">
        <v>1379</v>
      </c>
    </row>
    <row r="191" spans="1:1" x14ac:dyDescent="0.25">
      <c r="A191" s="289" t="s">
        <v>1380</v>
      </c>
    </row>
    <row r="192" spans="1:1" x14ac:dyDescent="0.25">
      <c r="A192" s="289" t="s">
        <v>1381</v>
      </c>
    </row>
    <row r="193" spans="1:1" x14ac:dyDescent="0.25">
      <c r="A193" s="289" t="s">
        <v>1382</v>
      </c>
    </row>
    <row r="194" spans="1:1" x14ac:dyDescent="0.25">
      <c r="A194" s="289" t="s">
        <v>1383</v>
      </c>
    </row>
    <row r="195" spans="1:1" x14ac:dyDescent="0.25">
      <c r="A195" s="289" t="s">
        <v>1384</v>
      </c>
    </row>
    <row r="196" spans="1:1" x14ac:dyDescent="0.25">
      <c r="A196" s="289" t="s">
        <v>1385</v>
      </c>
    </row>
    <row r="197" spans="1:1" x14ac:dyDescent="0.25">
      <c r="A197" s="289" t="s">
        <v>1386</v>
      </c>
    </row>
    <row r="198" spans="1:1" x14ac:dyDescent="0.25">
      <c r="A198" s="289" t="s">
        <v>1387</v>
      </c>
    </row>
    <row r="199" spans="1:1" x14ac:dyDescent="0.25">
      <c r="A199" s="289" t="s">
        <v>1388</v>
      </c>
    </row>
    <row r="200" spans="1:1" x14ac:dyDescent="0.25">
      <c r="A200" s="289" t="s">
        <v>1389</v>
      </c>
    </row>
    <row r="201" spans="1:1" x14ac:dyDescent="0.25">
      <c r="A201" s="289" t="s">
        <v>1390</v>
      </c>
    </row>
    <row r="202" spans="1:1" x14ac:dyDescent="0.25">
      <c r="A202" s="289" t="s">
        <v>1391</v>
      </c>
    </row>
    <row r="203" spans="1:1" x14ac:dyDescent="0.25">
      <c r="A203" s="289" t="s">
        <v>1392</v>
      </c>
    </row>
    <row r="204" spans="1:1" x14ac:dyDescent="0.25">
      <c r="A204" s="289" t="s">
        <v>1393</v>
      </c>
    </row>
    <row r="205" spans="1:1" x14ac:dyDescent="0.25">
      <c r="A205" s="289" t="s">
        <v>1394</v>
      </c>
    </row>
    <row r="206" spans="1:1" x14ac:dyDescent="0.25">
      <c r="A206" s="289" t="s">
        <v>1395</v>
      </c>
    </row>
    <row r="207" spans="1:1" x14ac:dyDescent="0.25">
      <c r="A207" s="289" t="s">
        <v>1396</v>
      </c>
    </row>
    <row r="208" spans="1:1" x14ac:dyDescent="0.25">
      <c r="A208" s="289" t="s">
        <v>1397</v>
      </c>
    </row>
    <row r="209" spans="1:1" x14ac:dyDescent="0.25">
      <c r="A209" s="289" t="s">
        <v>1398</v>
      </c>
    </row>
    <row r="210" spans="1:1" x14ac:dyDescent="0.25">
      <c r="A210" s="289" t="s">
        <v>1399</v>
      </c>
    </row>
    <row r="211" spans="1:1" x14ac:dyDescent="0.25">
      <c r="A211" s="289" t="s">
        <v>1400</v>
      </c>
    </row>
    <row r="212" spans="1:1" x14ac:dyDescent="0.25">
      <c r="A212" s="289" t="s">
        <v>1401</v>
      </c>
    </row>
    <row r="213" spans="1:1" x14ac:dyDescent="0.25">
      <c r="A213" s="289" t="s">
        <v>1402</v>
      </c>
    </row>
    <row r="214" spans="1:1" x14ac:dyDescent="0.25">
      <c r="A214" s="289" t="s">
        <v>1403</v>
      </c>
    </row>
    <row r="215" spans="1:1" x14ac:dyDescent="0.25">
      <c r="A215" s="289" t="s">
        <v>1404</v>
      </c>
    </row>
    <row r="216" spans="1:1" x14ac:dyDescent="0.25">
      <c r="A216" s="289" t="s">
        <v>1405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2"/>
  <sheetViews>
    <sheetView workbookViewId="0">
      <selection activeCell="C7" sqref="C7"/>
    </sheetView>
  </sheetViews>
  <sheetFormatPr defaultRowHeight="13.2" x14ac:dyDescent="0.25"/>
  <cols>
    <col min="1" max="1" width="75" bestFit="1" customWidth="1"/>
  </cols>
  <sheetData>
    <row r="1" spans="1:1" ht="15.6" x14ac:dyDescent="0.25">
      <c r="A1" s="293" t="s">
        <v>1677</v>
      </c>
    </row>
    <row r="2" spans="1:1" ht="15.6" x14ac:dyDescent="0.25">
      <c r="A2" s="293" t="s">
        <v>1406</v>
      </c>
    </row>
    <row r="3" spans="1:1" x14ac:dyDescent="0.25">
      <c r="A3" s="290" t="s">
        <v>1407</v>
      </c>
    </row>
    <row r="4" spans="1:1" x14ac:dyDescent="0.25">
      <c r="A4" s="291" t="s">
        <v>1408</v>
      </c>
    </row>
    <row r="5" spans="1:1" x14ac:dyDescent="0.25">
      <c r="A5" s="291" t="s">
        <v>1409</v>
      </c>
    </row>
    <row r="6" spans="1:1" x14ac:dyDescent="0.25">
      <c r="A6" s="291" t="s">
        <v>1410</v>
      </c>
    </row>
    <row r="7" spans="1:1" x14ac:dyDescent="0.25">
      <c r="A7" s="291" t="s">
        <v>1411</v>
      </c>
    </row>
    <row r="8" spans="1:1" x14ac:dyDescent="0.25">
      <c r="A8" s="291" t="s">
        <v>1412</v>
      </c>
    </row>
    <row r="9" spans="1:1" x14ac:dyDescent="0.25">
      <c r="A9" s="291" t="s">
        <v>1413</v>
      </c>
    </row>
    <row r="10" spans="1:1" x14ac:dyDescent="0.25">
      <c r="A10" s="291" t="s">
        <v>1414</v>
      </c>
    </row>
    <row r="11" spans="1:1" x14ac:dyDescent="0.25">
      <c r="A11" s="291" t="s">
        <v>1415</v>
      </c>
    </row>
    <row r="12" spans="1:1" x14ac:dyDescent="0.25">
      <c r="A12" s="291" t="s">
        <v>1416</v>
      </c>
    </row>
    <row r="13" spans="1:1" x14ac:dyDescent="0.25">
      <c r="A13" s="291" t="s">
        <v>1417</v>
      </c>
    </row>
    <row r="14" spans="1:1" x14ac:dyDescent="0.25">
      <c r="A14" s="291" t="s">
        <v>1418</v>
      </c>
    </row>
    <row r="15" spans="1:1" x14ac:dyDescent="0.25">
      <c r="A15" s="291" t="s">
        <v>1419</v>
      </c>
    </row>
    <row r="16" spans="1:1" x14ac:dyDescent="0.25">
      <c r="A16" s="291" t="s">
        <v>1420</v>
      </c>
    </row>
    <row r="17" spans="1:1" x14ac:dyDescent="0.25">
      <c r="A17" s="291" t="s">
        <v>1421</v>
      </c>
    </row>
    <row r="18" spans="1:1" x14ac:dyDescent="0.25">
      <c r="A18" s="291" t="s">
        <v>1422</v>
      </c>
    </row>
    <row r="19" spans="1:1" x14ac:dyDescent="0.25">
      <c r="A19" s="291" t="s">
        <v>1423</v>
      </c>
    </row>
    <row r="20" spans="1:1" x14ac:dyDescent="0.25">
      <c r="A20" s="291" t="s">
        <v>1424</v>
      </c>
    </row>
    <row r="21" spans="1:1" x14ac:dyDescent="0.25">
      <c r="A21" s="291" t="s">
        <v>1425</v>
      </c>
    </row>
    <row r="22" spans="1:1" x14ac:dyDescent="0.25">
      <c r="A22" s="291" t="s">
        <v>1426</v>
      </c>
    </row>
    <row r="23" spans="1:1" x14ac:dyDescent="0.25">
      <c r="A23" s="291" t="s">
        <v>1427</v>
      </c>
    </row>
    <row r="24" spans="1:1" x14ac:dyDescent="0.25">
      <c r="A24" s="291" t="s">
        <v>1428</v>
      </c>
    </row>
    <row r="25" spans="1:1" x14ac:dyDescent="0.25">
      <c r="A25" s="291" t="s">
        <v>1429</v>
      </c>
    </row>
    <row r="26" spans="1:1" x14ac:dyDescent="0.25">
      <c r="A26" s="291" t="s">
        <v>1430</v>
      </c>
    </row>
    <row r="27" spans="1:1" x14ac:dyDescent="0.25">
      <c r="A27" s="291" t="s">
        <v>1431</v>
      </c>
    </row>
    <row r="28" spans="1:1" x14ac:dyDescent="0.25">
      <c r="A28" s="291" t="s">
        <v>1432</v>
      </c>
    </row>
    <row r="29" spans="1:1" x14ac:dyDescent="0.25">
      <c r="A29" s="291" t="s">
        <v>1433</v>
      </c>
    </row>
    <row r="30" spans="1:1" x14ac:dyDescent="0.25">
      <c r="A30" s="291" t="s">
        <v>1434</v>
      </c>
    </row>
    <row r="31" spans="1:1" x14ac:dyDescent="0.25">
      <c r="A31" s="291" t="s">
        <v>1435</v>
      </c>
    </row>
    <row r="32" spans="1:1" x14ac:dyDescent="0.25">
      <c r="A32" s="291" t="s">
        <v>1436</v>
      </c>
    </row>
    <row r="33" spans="1:1" x14ac:dyDescent="0.25">
      <c r="A33" s="291" t="s">
        <v>1437</v>
      </c>
    </row>
    <row r="34" spans="1:1" x14ac:dyDescent="0.25">
      <c r="A34" s="291" t="s">
        <v>1438</v>
      </c>
    </row>
    <row r="35" spans="1:1" x14ac:dyDescent="0.25">
      <c r="A35" s="291" t="s">
        <v>1439</v>
      </c>
    </row>
    <row r="36" spans="1:1" x14ac:dyDescent="0.25">
      <c r="A36" s="291" t="s">
        <v>1440</v>
      </c>
    </row>
    <row r="37" spans="1:1" x14ac:dyDescent="0.25">
      <c r="A37" s="291" t="s">
        <v>1441</v>
      </c>
    </row>
    <row r="38" spans="1:1" x14ac:dyDescent="0.25">
      <c r="A38" s="291" t="s">
        <v>1442</v>
      </c>
    </row>
    <row r="39" spans="1:1" x14ac:dyDescent="0.25">
      <c r="A39" s="291" t="s">
        <v>1443</v>
      </c>
    </row>
    <row r="40" spans="1:1" x14ac:dyDescent="0.25">
      <c r="A40" s="291" t="s">
        <v>1444</v>
      </c>
    </row>
    <row r="41" spans="1:1" x14ac:dyDescent="0.25">
      <c r="A41" s="291" t="s">
        <v>1445</v>
      </c>
    </row>
    <row r="42" spans="1:1" x14ac:dyDescent="0.25">
      <c r="A42" s="291" t="s">
        <v>1446</v>
      </c>
    </row>
    <row r="43" spans="1:1" x14ac:dyDescent="0.25">
      <c r="A43" s="291" t="s">
        <v>1447</v>
      </c>
    </row>
    <row r="44" spans="1:1" x14ac:dyDescent="0.25">
      <c r="A44" s="291" t="s">
        <v>1448</v>
      </c>
    </row>
    <row r="45" spans="1:1" x14ac:dyDescent="0.25">
      <c r="A45" s="291" t="s">
        <v>1449</v>
      </c>
    </row>
    <row r="46" spans="1:1" x14ac:dyDescent="0.25">
      <c r="A46" s="291" t="s">
        <v>1450</v>
      </c>
    </row>
    <row r="47" spans="1:1" x14ac:dyDescent="0.25">
      <c r="A47" s="291" t="s">
        <v>1451</v>
      </c>
    </row>
    <row r="48" spans="1:1" x14ac:dyDescent="0.25">
      <c r="A48" s="291" t="s">
        <v>1452</v>
      </c>
    </row>
    <row r="49" spans="1:1" x14ac:dyDescent="0.25">
      <c r="A49" s="291" t="s">
        <v>1453</v>
      </c>
    </row>
    <row r="50" spans="1:1" x14ac:dyDescent="0.25">
      <c r="A50" s="291" t="s">
        <v>1454</v>
      </c>
    </row>
    <row r="51" spans="1:1" x14ac:dyDescent="0.25">
      <c r="A51" s="291" t="s">
        <v>1455</v>
      </c>
    </row>
    <row r="52" spans="1:1" x14ac:dyDescent="0.25">
      <c r="A52" s="291" t="s">
        <v>1456</v>
      </c>
    </row>
    <row r="53" spans="1:1" x14ac:dyDescent="0.25">
      <c r="A53" s="291" t="s">
        <v>1457</v>
      </c>
    </row>
    <row r="54" spans="1:1" x14ac:dyDescent="0.25">
      <c r="A54" s="291" t="s">
        <v>1458</v>
      </c>
    </row>
    <row r="55" spans="1:1" x14ac:dyDescent="0.25">
      <c r="A55" s="291" t="s">
        <v>1459</v>
      </c>
    </row>
    <row r="56" spans="1:1" x14ac:dyDescent="0.25">
      <c r="A56" s="291" t="s">
        <v>1460</v>
      </c>
    </row>
    <row r="57" spans="1:1" x14ac:dyDescent="0.25">
      <c r="A57" s="291" t="s">
        <v>1461</v>
      </c>
    </row>
    <row r="58" spans="1:1" x14ac:dyDescent="0.25">
      <c r="A58" s="291" t="s">
        <v>1462</v>
      </c>
    </row>
    <row r="59" spans="1:1" x14ac:dyDescent="0.25">
      <c r="A59" s="291" t="s">
        <v>1463</v>
      </c>
    </row>
    <row r="60" spans="1:1" x14ac:dyDescent="0.25">
      <c r="A60" s="291" t="s">
        <v>1464</v>
      </c>
    </row>
    <row r="61" spans="1:1" x14ac:dyDescent="0.25">
      <c r="A61" s="291" t="s">
        <v>1465</v>
      </c>
    </row>
    <row r="62" spans="1:1" x14ac:dyDescent="0.25">
      <c r="A62" s="291" t="s">
        <v>1466</v>
      </c>
    </row>
    <row r="63" spans="1:1" x14ac:dyDescent="0.25">
      <c r="A63" s="291" t="s">
        <v>1467</v>
      </c>
    </row>
    <row r="64" spans="1:1" x14ac:dyDescent="0.25">
      <c r="A64" s="291" t="s">
        <v>1468</v>
      </c>
    </row>
    <row r="65" spans="1:1" x14ac:dyDescent="0.25">
      <c r="A65" s="291" t="s">
        <v>1469</v>
      </c>
    </row>
    <row r="66" spans="1:1" x14ac:dyDescent="0.25">
      <c r="A66" s="291" t="s">
        <v>1470</v>
      </c>
    </row>
    <row r="67" spans="1:1" x14ac:dyDescent="0.25">
      <c r="A67" s="291" t="s">
        <v>1471</v>
      </c>
    </row>
    <row r="68" spans="1:1" x14ac:dyDescent="0.25">
      <c r="A68" s="291" t="s">
        <v>1472</v>
      </c>
    </row>
    <row r="69" spans="1:1" x14ac:dyDescent="0.25">
      <c r="A69" s="291" t="s">
        <v>1473</v>
      </c>
    </row>
    <row r="70" spans="1:1" x14ac:dyDescent="0.25">
      <c r="A70" s="291" t="s">
        <v>1474</v>
      </c>
    </row>
    <row r="71" spans="1:1" x14ac:dyDescent="0.25">
      <c r="A71" s="291" t="s">
        <v>1475</v>
      </c>
    </row>
    <row r="72" spans="1:1" x14ac:dyDescent="0.25">
      <c r="A72" s="291" t="s">
        <v>1476</v>
      </c>
    </row>
    <row r="73" spans="1:1" x14ac:dyDescent="0.25">
      <c r="A73" s="291" t="s">
        <v>1477</v>
      </c>
    </row>
    <row r="74" spans="1:1" x14ac:dyDescent="0.25">
      <c r="A74" s="291" t="s">
        <v>1478</v>
      </c>
    </row>
    <row r="75" spans="1:1" x14ac:dyDescent="0.25">
      <c r="A75" s="291" t="s">
        <v>1479</v>
      </c>
    </row>
    <row r="76" spans="1:1" x14ac:dyDescent="0.25">
      <c r="A76" s="291" t="s">
        <v>1480</v>
      </c>
    </row>
    <row r="77" spans="1:1" x14ac:dyDescent="0.25">
      <c r="A77" s="291" t="s">
        <v>1481</v>
      </c>
    </row>
    <row r="78" spans="1:1" x14ac:dyDescent="0.25">
      <c r="A78" s="291" t="s">
        <v>1482</v>
      </c>
    </row>
    <row r="79" spans="1:1" x14ac:dyDescent="0.25">
      <c r="A79" s="291" t="s">
        <v>1483</v>
      </c>
    </row>
    <row r="80" spans="1:1" x14ac:dyDescent="0.25">
      <c r="A80" s="291" t="s">
        <v>1484</v>
      </c>
    </row>
    <row r="81" spans="1:1" x14ac:dyDescent="0.25">
      <c r="A81" s="291" t="s">
        <v>1485</v>
      </c>
    </row>
    <row r="82" spans="1:1" x14ac:dyDescent="0.25">
      <c r="A82" s="291" t="s">
        <v>1486</v>
      </c>
    </row>
    <row r="83" spans="1:1" x14ac:dyDescent="0.25">
      <c r="A83" s="291" t="s">
        <v>1487</v>
      </c>
    </row>
    <row r="84" spans="1:1" x14ac:dyDescent="0.25">
      <c r="A84" s="291" t="s">
        <v>1488</v>
      </c>
    </row>
    <row r="85" spans="1:1" x14ac:dyDescent="0.25">
      <c r="A85" s="291" t="s">
        <v>1489</v>
      </c>
    </row>
    <row r="86" spans="1:1" x14ac:dyDescent="0.25">
      <c r="A86" s="291" t="s">
        <v>1490</v>
      </c>
    </row>
    <row r="87" spans="1:1" x14ac:dyDescent="0.25">
      <c r="A87" s="291" t="s">
        <v>1491</v>
      </c>
    </row>
    <row r="88" spans="1:1" x14ac:dyDescent="0.25">
      <c r="A88" s="291" t="s">
        <v>1492</v>
      </c>
    </row>
    <row r="89" spans="1:1" x14ac:dyDescent="0.25">
      <c r="A89" s="291" t="s">
        <v>1493</v>
      </c>
    </row>
    <row r="90" spans="1:1" x14ac:dyDescent="0.25">
      <c r="A90" s="291" t="s">
        <v>1494</v>
      </c>
    </row>
    <row r="91" spans="1:1" x14ac:dyDescent="0.25">
      <c r="A91" s="291" t="s">
        <v>1495</v>
      </c>
    </row>
    <row r="92" spans="1:1" x14ac:dyDescent="0.25">
      <c r="A92" s="291" t="s">
        <v>1496</v>
      </c>
    </row>
    <row r="93" spans="1:1" x14ac:dyDescent="0.25">
      <c r="A93" s="291" t="s">
        <v>1497</v>
      </c>
    </row>
    <row r="94" spans="1:1" x14ac:dyDescent="0.25">
      <c r="A94" s="291" t="s">
        <v>1498</v>
      </c>
    </row>
    <row r="95" spans="1:1" x14ac:dyDescent="0.25">
      <c r="A95" s="291" t="s">
        <v>1499</v>
      </c>
    </row>
    <row r="96" spans="1:1" x14ac:dyDescent="0.25">
      <c r="A96" s="291" t="s">
        <v>1500</v>
      </c>
    </row>
    <row r="97" spans="1:1" x14ac:dyDescent="0.25">
      <c r="A97" s="291" t="s">
        <v>1501</v>
      </c>
    </row>
    <row r="98" spans="1:1" x14ac:dyDescent="0.25">
      <c r="A98" s="291" t="s">
        <v>1502</v>
      </c>
    </row>
    <row r="99" spans="1:1" x14ac:dyDescent="0.25">
      <c r="A99" s="291" t="s">
        <v>1503</v>
      </c>
    </row>
    <row r="100" spans="1:1" x14ac:dyDescent="0.25">
      <c r="A100" s="291" t="s">
        <v>1504</v>
      </c>
    </row>
    <row r="101" spans="1:1" x14ac:dyDescent="0.25">
      <c r="A101" s="291" t="s">
        <v>1505</v>
      </c>
    </row>
    <row r="102" spans="1:1" x14ac:dyDescent="0.25">
      <c r="A102" s="291" t="s">
        <v>1506</v>
      </c>
    </row>
    <row r="103" spans="1:1" x14ac:dyDescent="0.25">
      <c r="A103" s="291" t="s">
        <v>1507</v>
      </c>
    </row>
    <row r="104" spans="1:1" x14ac:dyDescent="0.25">
      <c r="A104" s="291" t="s">
        <v>1508</v>
      </c>
    </row>
    <row r="105" spans="1:1" x14ac:dyDescent="0.25">
      <c r="A105" s="291" t="s">
        <v>1509</v>
      </c>
    </row>
    <row r="106" spans="1:1" x14ac:dyDescent="0.25">
      <c r="A106" s="291" t="s">
        <v>1510</v>
      </c>
    </row>
    <row r="107" spans="1:1" x14ac:dyDescent="0.25">
      <c r="A107" s="291" t="s">
        <v>1511</v>
      </c>
    </row>
    <row r="108" spans="1:1" x14ac:dyDescent="0.25">
      <c r="A108" s="291" t="s">
        <v>1512</v>
      </c>
    </row>
    <row r="109" spans="1:1" x14ac:dyDescent="0.25">
      <c r="A109" s="291" t="s">
        <v>1513</v>
      </c>
    </row>
    <row r="110" spans="1:1" x14ac:dyDescent="0.25">
      <c r="A110" s="291" t="s">
        <v>1514</v>
      </c>
    </row>
    <row r="111" spans="1:1" x14ac:dyDescent="0.25">
      <c r="A111" s="291" t="s">
        <v>1515</v>
      </c>
    </row>
    <row r="112" spans="1:1" x14ac:dyDescent="0.25">
      <c r="A112" s="291" t="s">
        <v>1516</v>
      </c>
    </row>
    <row r="113" spans="1:1" x14ac:dyDescent="0.25">
      <c r="A113" s="291" t="s">
        <v>1517</v>
      </c>
    </row>
    <row r="114" spans="1:1" x14ac:dyDescent="0.25">
      <c r="A114" s="291" t="s">
        <v>1518</v>
      </c>
    </row>
    <row r="115" spans="1:1" x14ac:dyDescent="0.25">
      <c r="A115" s="291" t="s">
        <v>1519</v>
      </c>
    </row>
    <row r="116" spans="1:1" x14ac:dyDescent="0.25">
      <c r="A116" s="291" t="s">
        <v>1520</v>
      </c>
    </row>
    <row r="117" spans="1:1" x14ac:dyDescent="0.25">
      <c r="A117" s="291" t="s">
        <v>1521</v>
      </c>
    </row>
    <row r="118" spans="1:1" x14ac:dyDescent="0.25">
      <c r="A118" s="291" t="s">
        <v>1522</v>
      </c>
    </row>
    <row r="119" spans="1:1" x14ac:dyDescent="0.25">
      <c r="A119" s="291" t="s">
        <v>1523</v>
      </c>
    </row>
    <row r="120" spans="1:1" x14ac:dyDescent="0.25">
      <c r="A120" s="291" t="s">
        <v>1524</v>
      </c>
    </row>
    <row r="121" spans="1:1" x14ac:dyDescent="0.25">
      <c r="A121" s="291" t="s">
        <v>1525</v>
      </c>
    </row>
    <row r="122" spans="1:1" x14ac:dyDescent="0.25">
      <c r="A122" s="291" t="s">
        <v>1526</v>
      </c>
    </row>
    <row r="123" spans="1:1" x14ac:dyDescent="0.25">
      <c r="A123" s="291" t="s">
        <v>1527</v>
      </c>
    </row>
    <row r="124" spans="1:1" x14ac:dyDescent="0.25">
      <c r="A124" s="291" t="s">
        <v>1528</v>
      </c>
    </row>
    <row r="125" spans="1:1" x14ac:dyDescent="0.25">
      <c r="A125" s="291" t="s">
        <v>1529</v>
      </c>
    </row>
    <row r="126" spans="1:1" x14ac:dyDescent="0.25">
      <c r="A126" s="291" t="s">
        <v>1530</v>
      </c>
    </row>
    <row r="127" spans="1:1" x14ac:dyDescent="0.25">
      <c r="A127" s="291" t="s">
        <v>1531</v>
      </c>
    </row>
    <row r="128" spans="1:1" x14ac:dyDescent="0.25">
      <c r="A128" s="291" t="s">
        <v>1532</v>
      </c>
    </row>
    <row r="129" spans="1:1" x14ac:dyDescent="0.25">
      <c r="A129" s="291" t="s">
        <v>1533</v>
      </c>
    </row>
    <row r="130" spans="1:1" x14ac:dyDescent="0.25">
      <c r="A130" s="291" t="s">
        <v>1534</v>
      </c>
    </row>
    <row r="131" spans="1:1" x14ac:dyDescent="0.25">
      <c r="A131" s="291" t="s">
        <v>1535</v>
      </c>
    </row>
    <row r="132" spans="1:1" x14ac:dyDescent="0.25">
      <c r="A132" s="291" t="s">
        <v>1536</v>
      </c>
    </row>
    <row r="133" spans="1:1" x14ac:dyDescent="0.25">
      <c r="A133" s="291" t="s">
        <v>1537</v>
      </c>
    </row>
    <row r="134" spans="1:1" x14ac:dyDescent="0.25">
      <c r="A134" s="291" t="s">
        <v>1538</v>
      </c>
    </row>
    <row r="135" spans="1:1" x14ac:dyDescent="0.25">
      <c r="A135" s="291" t="s">
        <v>1539</v>
      </c>
    </row>
    <row r="136" spans="1:1" x14ac:dyDescent="0.25">
      <c r="A136" s="291" t="s">
        <v>1540</v>
      </c>
    </row>
    <row r="137" spans="1:1" x14ac:dyDescent="0.25">
      <c r="A137" s="291" t="s">
        <v>1541</v>
      </c>
    </row>
    <row r="138" spans="1:1" x14ac:dyDescent="0.25">
      <c r="A138" s="291" t="s">
        <v>1542</v>
      </c>
    </row>
    <row r="139" spans="1:1" x14ac:dyDescent="0.25">
      <c r="A139" s="291" t="s">
        <v>1543</v>
      </c>
    </row>
    <row r="140" spans="1:1" x14ac:dyDescent="0.25">
      <c r="A140" s="291" t="s">
        <v>1544</v>
      </c>
    </row>
    <row r="141" spans="1:1" x14ac:dyDescent="0.25">
      <c r="A141" s="291" t="s">
        <v>1545</v>
      </c>
    </row>
    <row r="142" spans="1:1" x14ac:dyDescent="0.25">
      <c r="A142" s="291" t="s">
        <v>1546</v>
      </c>
    </row>
    <row r="143" spans="1:1" x14ac:dyDescent="0.25">
      <c r="A143" s="291" t="s">
        <v>1547</v>
      </c>
    </row>
    <row r="144" spans="1:1" x14ac:dyDescent="0.25">
      <c r="A144" s="291" t="s">
        <v>1548</v>
      </c>
    </row>
    <row r="145" spans="1:1" x14ac:dyDescent="0.25">
      <c r="A145" s="291" t="s">
        <v>1549</v>
      </c>
    </row>
    <row r="146" spans="1:1" x14ac:dyDescent="0.25">
      <c r="A146" s="291" t="s">
        <v>1550</v>
      </c>
    </row>
    <row r="147" spans="1:1" x14ac:dyDescent="0.25">
      <c r="A147" s="291" t="s">
        <v>1551</v>
      </c>
    </row>
    <row r="148" spans="1:1" x14ac:dyDescent="0.25">
      <c r="A148" s="291" t="s">
        <v>1552</v>
      </c>
    </row>
    <row r="149" spans="1:1" x14ac:dyDescent="0.25">
      <c r="A149" s="291" t="s">
        <v>1553</v>
      </c>
    </row>
    <row r="150" spans="1:1" x14ac:dyDescent="0.25">
      <c r="A150" s="291" t="s">
        <v>1554</v>
      </c>
    </row>
    <row r="151" spans="1:1" x14ac:dyDescent="0.25">
      <c r="A151" s="291" t="s">
        <v>1555</v>
      </c>
    </row>
    <row r="152" spans="1:1" x14ac:dyDescent="0.25">
      <c r="A152" s="291" t="s">
        <v>1556</v>
      </c>
    </row>
    <row r="153" spans="1:1" x14ac:dyDescent="0.25">
      <c r="A153" s="291" t="s">
        <v>1557</v>
      </c>
    </row>
    <row r="154" spans="1:1" x14ac:dyDescent="0.25">
      <c r="A154" s="291" t="s">
        <v>1558</v>
      </c>
    </row>
    <row r="155" spans="1:1" x14ac:dyDescent="0.25">
      <c r="A155" s="291" t="s">
        <v>1559</v>
      </c>
    </row>
    <row r="156" spans="1:1" x14ac:dyDescent="0.25">
      <c r="A156" s="291" t="s">
        <v>1560</v>
      </c>
    </row>
    <row r="157" spans="1:1" x14ac:dyDescent="0.25">
      <c r="A157" s="291" t="s">
        <v>1561</v>
      </c>
    </row>
    <row r="158" spans="1:1" x14ac:dyDescent="0.25">
      <c r="A158" s="291" t="s">
        <v>1562</v>
      </c>
    </row>
    <row r="159" spans="1:1" x14ac:dyDescent="0.25">
      <c r="A159" s="291" t="s">
        <v>1563</v>
      </c>
    </row>
    <row r="160" spans="1:1" x14ac:dyDescent="0.25">
      <c r="A160" s="291" t="s">
        <v>1564</v>
      </c>
    </row>
    <row r="161" spans="1:1" x14ac:dyDescent="0.25">
      <c r="A161" s="291" t="s">
        <v>1565</v>
      </c>
    </row>
    <row r="162" spans="1:1" x14ac:dyDescent="0.25">
      <c r="A162" s="291" t="s">
        <v>1566</v>
      </c>
    </row>
    <row r="163" spans="1:1" x14ac:dyDescent="0.25">
      <c r="A163" s="291" t="s">
        <v>1567</v>
      </c>
    </row>
    <row r="164" spans="1:1" x14ac:dyDescent="0.25">
      <c r="A164" s="291" t="s">
        <v>1568</v>
      </c>
    </row>
    <row r="165" spans="1:1" x14ac:dyDescent="0.25">
      <c r="A165" s="291" t="s">
        <v>1569</v>
      </c>
    </row>
    <row r="166" spans="1:1" x14ac:dyDescent="0.25">
      <c r="A166" s="291" t="s">
        <v>1570</v>
      </c>
    </row>
    <row r="167" spans="1:1" x14ac:dyDescent="0.25">
      <c r="A167" s="291" t="s">
        <v>1571</v>
      </c>
    </row>
    <row r="168" spans="1:1" x14ac:dyDescent="0.25">
      <c r="A168" s="291" t="s">
        <v>1572</v>
      </c>
    </row>
    <row r="169" spans="1:1" x14ac:dyDescent="0.25">
      <c r="A169" s="291" t="s">
        <v>1573</v>
      </c>
    </row>
    <row r="170" spans="1:1" x14ac:dyDescent="0.25">
      <c r="A170" s="291" t="s">
        <v>1574</v>
      </c>
    </row>
    <row r="171" spans="1:1" x14ac:dyDescent="0.25">
      <c r="A171" s="291" t="s">
        <v>1575</v>
      </c>
    </row>
    <row r="172" spans="1:1" x14ac:dyDescent="0.25">
      <c r="A172" s="291" t="s">
        <v>1576</v>
      </c>
    </row>
    <row r="173" spans="1:1" x14ac:dyDescent="0.25">
      <c r="A173" s="291" t="s">
        <v>1577</v>
      </c>
    </row>
    <row r="174" spans="1:1" x14ac:dyDescent="0.25">
      <c r="A174" s="291" t="s">
        <v>1578</v>
      </c>
    </row>
    <row r="175" spans="1:1" x14ac:dyDescent="0.25">
      <c r="A175" s="291" t="s">
        <v>1579</v>
      </c>
    </row>
    <row r="176" spans="1:1" x14ac:dyDescent="0.25">
      <c r="A176" s="291" t="s">
        <v>1580</v>
      </c>
    </row>
    <row r="177" spans="1:1" x14ac:dyDescent="0.25">
      <c r="A177" s="291" t="s">
        <v>1581</v>
      </c>
    </row>
    <row r="178" spans="1:1" x14ac:dyDescent="0.25">
      <c r="A178" s="291" t="s">
        <v>1582</v>
      </c>
    </row>
    <row r="179" spans="1:1" x14ac:dyDescent="0.25">
      <c r="A179" s="291" t="s">
        <v>1583</v>
      </c>
    </row>
    <row r="180" spans="1:1" x14ac:dyDescent="0.25">
      <c r="A180" s="291" t="s">
        <v>1584</v>
      </c>
    </row>
    <row r="181" spans="1:1" x14ac:dyDescent="0.25">
      <c r="A181" s="291" t="s">
        <v>1585</v>
      </c>
    </row>
    <row r="182" spans="1:1" x14ac:dyDescent="0.25">
      <c r="A182" s="291" t="s">
        <v>1586</v>
      </c>
    </row>
    <row r="183" spans="1:1" x14ac:dyDescent="0.25">
      <c r="A183" s="291" t="s">
        <v>1587</v>
      </c>
    </row>
    <row r="184" spans="1:1" x14ac:dyDescent="0.25">
      <c r="A184" s="291" t="s">
        <v>1588</v>
      </c>
    </row>
    <row r="185" spans="1:1" x14ac:dyDescent="0.25">
      <c r="A185" s="291" t="s">
        <v>1589</v>
      </c>
    </row>
    <row r="186" spans="1:1" x14ac:dyDescent="0.25">
      <c r="A186" s="291" t="s">
        <v>1590</v>
      </c>
    </row>
    <row r="187" spans="1:1" x14ac:dyDescent="0.25">
      <c r="A187" s="291" t="s">
        <v>1591</v>
      </c>
    </row>
    <row r="188" spans="1:1" x14ac:dyDescent="0.25">
      <c r="A188" s="291" t="s">
        <v>1592</v>
      </c>
    </row>
    <row r="189" spans="1:1" x14ac:dyDescent="0.25">
      <c r="A189" s="291" t="s">
        <v>1593</v>
      </c>
    </row>
    <row r="190" spans="1:1" x14ac:dyDescent="0.25">
      <c r="A190" s="291" t="s">
        <v>1594</v>
      </c>
    </row>
    <row r="191" spans="1:1" x14ac:dyDescent="0.25">
      <c r="A191" s="291" t="s">
        <v>1595</v>
      </c>
    </row>
    <row r="192" spans="1:1" x14ac:dyDescent="0.25">
      <c r="A192" s="291" t="s">
        <v>1596</v>
      </c>
    </row>
    <row r="193" spans="1:1" x14ac:dyDescent="0.25">
      <c r="A193" s="291" t="s">
        <v>1597</v>
      </c>
    </row>
    <row r="194" spans="1:1" x14ac:dyDescent="0.25">
      <c r="A194" s="291" t="s">
        <v>1598</v>
      </c>
    </row>
    <row r="195" spans="1:1" x14ac:dyDescent="0.25">
      <c r="A195" s="291" t="s">
        <v>1599</v>
      </c>
    </row>
    <row r="196" spans="1:1" x14ac:dyDescent="0.25">
      <c r="A196" s="291" t="s">
        <v>1600</v>
      </c>
    </row>
    <row r="197" spans="1:1" x14ac:dyDescent="0.25">
      <c r="A197" s="291" t="s">
        <v>1601</v>
      </c>
    </row>
    <row r="198" spans="1:1" x14ac:dyDescent="0.25">
      <c r="A198" s="291" t="s">
        <v>1602</v>
      </c>
    </row>
    <row r="199" spans="1:1" x14ac:dyDescent="0.25">
      <c r="A199" s="291" t="s">
        <v>1603</v>
      </c>
    </row>
    <row r="200" spans="1:1" x14ac:dyDescent="0.25">
      <c r="A200" s="291" t="s">
        <v>1604</v>
      </c>
    </row>
    <row r="201" spans="1:1" x14ac:dyDescent="0.25">
      <c r="A201" s="291" t="s">
        <v>1605</v>
      </c>
    </row>
    <row r="202" spans="1:1" x14ac:dyDescent="0.25">
      <c r="A202" s="291" t="s">
        <v>1606</v>
      </c>
    </row>
    <row r="203" spans="1:1" x14ac:dyDescent="0.25">
      <c r="A203" s="291" t="s">
        <v>1607</v>
      </c>
    </row>
    <row r="204" spans="1:1" x14ac:dyDescent="0.25">
      <c r="A204" s="291" t="s">
        <v>1608</v>
      </c>
    </row>
    <row r="205" spans="1:1" x14ac:dyDescent="0.25">
      <c r="A205" s="291" t="s">
        <v>1609</v>
      </c>
    </row>
    <row r="206" spans="1:1" x14ac:dyDescent="0.25">
      <c r="A206" s="291" t="s">
        <v>1610</v>
      </c>
    </row>
    <row r="207" spans="1:1" x14ac:dyDescent="0.25">
      <c r="A207" s="291" t="s">
        <v>1611</v>
      </c>
    </row>
    <row r="208" spans="1:1" x14ac:dyDescent="0.25">
      <c r="A208" s="291" t="s">
        <v>1612</v>
      </c>
    </row>
    <row r="209" spans="1:1" x14ac:dyDescent="0.25">
      <c r="A209" s="291" t="s">
        <v>1613</v>
      </c>
    </row>
    <row r="210" spans="1:1" x14ac:dyDescent="0.25">
      <c r="A210" s="291" t="s">
        <v>1614</v>
      </c>
    </row>
    <row r="211" spans="1:1" x14ac:dyDescent="0.25">
      <c r="A211" s="291" t="s">
        <v>1615</v>
      </c>
    </row>
    <row r="212" spans="1:1" x14ac:dyDescent="0.25">
      <c r="A212" s="291" t="s">
        <v>1616</v>
      </c>
    </row>
    <row r="213" spans="1:1" x14ac:dyDescent="0.25">
      <c r="A213" s="291" t="s">
        <v>1617</v>
      </c>
    </row>
    <row r="214" spans="1:1" x14ac:dyDescent="0.25">
      <c r="A214" s="291" t="s">
        <v>1618</v>
      </c>
    </row>
    <row r="215" spans="1:1" x14ac:dyDescent="0.25">
      <c r="A215" s="291" t="s">
        <v>1619</v>
      </c>
    </row>
    <row r="216" spans="1:1" x14ac:dyDescent="0.25">
      <c r="A216" s="291" t="s">
        <v>1620</v>
      </c>
    </row>
    <row r="217" spans="1:1" x14ac:dyDescent="0.25">
      <c r="A217" s="291" t="s">
        <v>1621</v>
      </c>
    </row>
    <row r="218" spans="1:1" x14ac:dyDescent="0.25">
      <c r="A218" s="291" t="s">
        <v>1622</v>
      </c>
    </row>
    <row r="219" spans="1:1" x14ac:dyDescent="0.25">
      <c r="A219" s="291" t="s">
        <v>1623</v>
      </c>
    </row>
    <row r="220" spans="1:1" x14ac:dyDescent="0.25">
      <c r="A220" s="291" t="s">
        <v>1624</v>
      </c>
    </row>
    <row r="221" spans="1:1" x14ac:dyDescent="0.25">
      <c r="A221" s="291" t="s">
        <v>1625</v>
      </c>
    </row>
    <row r="222" spans="1:1" x14ac:dyDescent="0.25">
      <c r="A222" s="291" t="s">
        <v>1626</v>
      </c>
    </row>
    <row r="223" spans="1:1" x14ac:dyDescent="0.25">
      <c r="A223" s="291" t="s">
        <v>1627</v>
      </c>
    </row>
    <row r="224" spans="1:1" x14ac:dyDescent="0.25">
      <c r="A224" s="291" t="s">
        <v>1628</v>
      </c>
    </row>
    <row r="225" spans="1:1" x14ac:dyDescent="0.25">
      <c r="A225" s="291" t="s">
        <v>1629</v>
      </c>
    </row>
    <row r="226" spans="1:1" x14ac:dyDescent="0.25">
      <c r="A226" s="291" t="s">
        <v>1630</v>
      </c>
    </row>
    <row r="227" spans="1:1" x14ac:dyDescent="0.25">
      <c r="A227" s="291" t="s">
        <v>1631</v>
      </c>
    </row>
    <row r="228" spans="1:1" x14ac:dyDescent="0.25">
      <c r="A228" s="291" t="s">
        <v>1632</v>
      </c>
    </row>
    <row r="229" spans="1:1" x14ac:dyDescent="0.25">
      <c r="A229" s="291" t="s">
        <v>1633</v>
      </c>
    </row>
    <row r="230" spans="1:1" x14ac:dyDescent="0.25">
      <c r="A230" s="291" t="s">
        <v>1634</v>
      </c>
    </row>
    <row r="231" spans="1:1" x14ac:dyDescent="0.25">
      <c r="A231" s="291" t="s">
        <v>1635</v>
      </c>
    </row>
    <row r="232" spans="1:1" x14ac:dyDescent="0.25">
      <c r="A232" s="291" t="s">
        <v>1636</v>
      </c>
    </row>
    <row r="233" spans="1:1" x14ac:dyDescent="0.25">
      <c r="A233" s="291" t="s">
        <v>1637</v>
      </c>
    </row>
    <row r="234" spans="1:1" x14ac:dyDescent="0.25">
      <c r="A234" s="291" t="s">
        <v>1638</v>
      </c>
    </row>
    <row r="235" spans="1:1" x14ac:dyDescent="0.25">
      <c r="A235" s="291" t="s">
        <v>1639</v>
      </c>
    </row>
    <row r="236" spans="1:1" x14ac:dyDescent="0.25">
      <c r="A236" s="291" t="s">
        <v>1640</v>
      </c>
    </row>
    <row r="237" spans="1:1" x14ac:dyDescent="0.25">
      <c r="A237" s="291" t="s">
        <v>1641</v>
      </c>
    </row>
    <row r="238" spans="1:1" x14ac:dyDescent="0.25">
      <c r="A238" s="291" t="s">
        <v>1642</v>
      </c>
    </row>
    <row r="239" spans="1:1" x14ac:dyDescent="0.25">
      <c r="A239" s="291" t="s">
        <v>1643</v>
      </c>
    </row>
    <row r="240" spans="1:1" x14ac:dyDescent="0.25">
      <c r="A240" s="291" t="s">
        <v>1644</v>
      </c>
    </row>
    <row r="241" spans="1:1" x14ac:dyDescent="0.25">
      <c r="A241" s="291" t="s">
        <v>1645</v>
      </c>
    </row>
    <row r="242" spans="1:1" x14ac:dyDescent="0.25">
      <c r="A242" s="291" t="s">
        <v>1646</v>
      </c>
    </row>
    <row r="243" spans="1:1" x14ac:dyDescent="0.25">
      <c r="A243" s="291" t="s">
        <v>1647</v>
      </c>
    </row>
    <row r="244" spans="1:1" x14ac:dyDescent="0.25">
      <c r="A244" s="291" t="s">
        <v>1648</v>
      </c>
    </row>
    <row r="245" spans="1:1" x14ac:dyDescent="0.25">
      <c r="A245" s="291" t="s">
        <v>1649</v>
      </c>
    </row>
    <row r="246" spans="1:1" x14ac:dyDescent="0.25">
      <c r="A246" s="291" t="s">
        <v>1650</v>
      </c>
    </row>
    <row r="247" spans="1:1" x14ac:dyDescent="0.25">
      <c r="A247" s="291" t="s">
        <v>1651</v>
      </c>
    </row>
    <row r="248" spans="1:1" x14ac:dyDescent="0.25">
      <c r="A248" s="291" t="s">
        <v>1652</v>
      </c>
    </row>
    <row r="249" spans="1:1" x14ac:dyDescent="0.25">
      <c r="A249" s="291" t="s">
        <v>1653</v>
      </c>
    </row>
    <row r="250" spans="1:1" x14ac:dyDescent="0.25">
      <c r="A250" s="291" t="s">
        <v>1654</v>
      </c>
    </row>
    <row r="251" spans="1:1" x14ac:dyDescent="0.25">
      <c r="A251" s="291" t="s">
        <v>1655</v>
      </c>
    </row>
    <row r="252" spans="1:1" x14ac:dyDescent="0.25">
      <c r="A252" s="291" t="s">
        <v>1656</v>
      </c>
    </row>
    <row r="253" spans="1:1" x14ac:dyDescent="0.25">
      <c r="A253" s="291" t="s">
        <v>1657</v>
      </c>
    </row>
    <row r="254" spans="1:1" x14ac:dyDescent="0.25">
      <c r="A254" s="291" t="s">
        <v>1658</v>
      </c>
    </row>
    <row r="255" spans="1:1" x14ac:dyDescent="0.25">
      <c r="A255" s="291" t="s">
        <v>1659</v>
      </c>
    </row>
    <row r="256" spans="1:1" x14ac:dyDescent="0.25">
      <c r="A256" s="291" t="s">
        <v>1660</v>
      </c>
    </row>
    <row r="257" spans="1:1" x14ac:dyDescent="0.25">
      <c r="A257" s="291" t="s">
        <v>1661</v>
      </c>
    </row>
    <row r="258" spans="1:1" x14ac:dyDescent="0.25">
      <c r="A258" s="291" t="s">
        <v>1662</v>
      </c>
    </row>
    <row r="259" spans="1:1" x14ac:dyDescent="0.25">
      <c r="A259" s="291" t="s">
        <v>1663</v>
      </c>
    </row>
    <row r="260" spans="1:1" x14ac:dyDescent="0.25">
      <c r="A260" s="291" t="s">
        <v>1664</v>
      </c>
    </row>
    <row r="261" spans="1:1" x14ac:dyDescent="0.25">
      <c r="A261" s="291" t="s">
        <v>1665</v>
      </c>
    </row>
    <row r="262" spans="1:1" x14ac:dyDescent="0.25">
      <c r="A262" s="291" t="s">
        <v>1666</v>
      </c>
    </row>
    <row r="263" spans="1:1" x14ac:dyDescent="0.25">
      <c r="A263" s="291" t="s">
        <v>1667</v>
      </c>
    </row>
    <row r="264" spans="1:1" x14ac:dyDescent="0.25">
      <c r="A264" s="291" t="s">
        <v>1668</v>
      </c>
    </row>
    <row r="265" spans="1:1" x14ac:dyDescent="0.25">
      <c r="A265" s="291" t="s">
        <v>1669</v>
      </c>
    </row>
    <row r="266" spans="1:1" x14ac:dyDescent="0.25">
      <c r="A266" s="291" t="s">
        <v>1670</v>
      </c>
    </row>
    <row r="267" spans="1:1" x14ac:dyDescent="0.25">
      <c r="A267" s="291" t="s">
        <v>1671</v>
      </c>
    </row>
    <row r="268" spans="1:1" x14ac:dyDescent="0.25">
      <c r="A268" s="291" t="s">
        <v>1672</v>
      </c>
    </row>
    <row r="269" spans="1:1" x14ac:dyDescent="0.25">
      <c r="A269" s="291" t="s">
        <v>1673</v>
      </c>
    </row>
    <row r="270" spans="1:1" x14ac:dyDescent="0.25">
      <c r="A270" s="291" t="s">
        <v>1674</v>
      </c>
    </row>
    <row r="271" spans="1:1" x14ac:dyDescent="0.25">
      <c r="A271" s="291" t="s">
        <v>1675</v>
      </c>
    </row>
    <row r="272" spans="1:1" x14ac:dyDescent="0.25">
      <c r="A272" s="291" t="s">
        <v>1676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C1:F237"/>
  <sheetViews>
    <sheetView topLeftCell="A219" workbookViewId="0">
      <selection activeCell="B237" sqref="A1:B237"/>
    </sheetView>
  </sheetViews>
  <sheetFormatPr defaultRowHeight="14.25" customHeight="1" x14ac:dyDescent="0.25"/>
  <cols>
    <col min="1" max="1" width="31" customWidth="1"/>
  </cols>
  <sheetData>
    <row r="1" spans="3:6" ht="14.25" customHeight="1" thickBot="1" x14ac:dyDescent="0.3">
      <c r="C1" s="296"/>
      <c r="D1" s="296"/>
      <c r="E1" s="296"/>
      <c r="F1" s="297"/>
    </row>
    <row r="2" spans="3:6" ht="14.25" customHeight="1" thickBot="1" x14ac:dyDescent="0.3">
      <c r="C2" s="295"/>
      <c r="D2" s="295"/>
      <c r="E2" s="295"/>
      <c r="F2" s="298"/>
    </row>
    <row r="3" spans="3:6" ht="14.25" customHeight="1" thickBot="1" x14ac:dyDescent="0.3">
      <c r="C3" s="295"/>
      <c r="D3" s="295"/>
      <c r="E3" s="295"/>
      <c r="F3" s="298"/>
    </row>
    <row r="4" spans="3:6" ht="14.25" customHeight="1" thickBot="1" x14ac:dyDescent="0.3">
      <c r="C4" s="295"/>
      <c r="D4" s="295"/>
      <c r="E4" s="295"/>
      <c r="F4" s="298"/>
    </row>
    <row r="5" spans="3:6" ht="14.25" customHeight="1" thickBot="1" x14ac:dyDescent="0.3">
      <c r="C5" s="295"/>
      <c r="D5" s="295"/>
      <c r="E5" s="295"/>
      <c r="F5" s="298"/>
    </row>
    <row r="6" spans="3:6" ht="14.25" customHeight="1" thickBot="1" x14ac:dyDescent="0.3">
      <c r="C6" s="295"/>
      <c r="D6" s="295"/>
      <c r="E6" s="295"/>
      <c r="F6" s="298"/>
    </row>
    <row r="7" spans="3:6" ht="14.25" customHeight="1" thickBot="1" x14ac:dyDescent="0.3">
      <c r="C7" s="295"/>
      <c r="D7" s="295"/>
      <c r="E7" s="295"/>
      <c r="F7" s="298"/>
    </row>
    <row r="8" spans="3:6" ht="14.25" customHeight="1" thickBot="1" x14ac:dyDescent="0.3">
      <c r="C8" s="295"/>
      <c r="D8" s="295"/>
      <c r="E8" s="295"/>
      <c r="F8" s="298"/>
    </row>
    <row r="9" spans="3:6" ht="14.25" customHeight="1" thickBot="1" x14ac:dyDescent="0.3">
      <c r="C9" s="295"/>
      <c r="D9" s="295"/>
      <c r="E9" s="295"/>
      <c r="F9" s="298"/>
    </row>
    <row r="10" spans="3:6" ht="14.25" customHeight="1" thickBot="1" x14ac:dyDescent="0.3">
      <c r="C10" s="295"/>
      <c r="D10" s="295"/>
      <c r="E10" s="295"/>
      <c r="F10" s="298"/>
    </row>
    <row r="11" spans="3:6" ht="14.25" customHeight="1" thickBot="1" x14ac:dyDescent="0.3">
      <c r="C11" s="295"/>
      <c r="D11" s="295"/>
      <c r="E11" s="295"/>
      <c r="F11" s="298"/>
    </row>
    <row r="12" spans="3:6" ht="14.25" customHeight="1" thickBot="1" x14ac:dyDescent="0.3">
      <c r="C12" s="295"/>
      <c r="D12" s="295"/>
      <c r="E12" s="295"/>
      <c r="F12" s="298"/>
    </row>
    <row r="13" spans="3:6" ht="14.25" customHeight="1" thickBot="1" x14ac:dyDescent="0.3">
      <c r="C13" s="295"/>
      <c r="D13" s="295"/>
      <c r="E13" s="295"/>
      <c r="F13" s="298"/>
    </row>
    <row r="14" spans="3:6" ht="14.25" customHeight="1" thickBot="1" x14ac:dyDescent="0.3">
      <c r="C14" s="295"/>
      <c r="D14" s="295"/>
      <c r="E14" s="295"/>
      <c r="F14" s="298"/>
    </row>
    <row r="15" spans="3:6" ht="14.25" customHeight="1" thickBot="1" x14ac:dyDescent="0.3">
      <c r="C15" s="295"/>
      <c r="D15" s="295"/>
      <c r="E15" s="295"/>
      <c r="F15" s="298"/>
    </row>
    <row r="16" spans="3:6" ht="14.25" customHeight="1" thickBot="1" x14ac:dyDescent="0.3">
      <c r="C16" s="295"/>
      <c r="D16" s="295"/>
      <c r="E16" s="295"/>
      <c r="F16" s="298"/>
    </row>
    <row r="17" spans="3:6" ht="14.25" customHeight="1" thickBot="1" x14ac:dyDescent="0.3">
      <c r="C17" s="295"/>
      <c r="D17" s="295"/>
      <c r="E17" s="295"/>
      <c r="F17" s="298"/>
    </row>
    <row r="18" spans="3:6" ht="14.25" customHeight="1" thickBot="1" x14ac:dyDescent="0.3">
      <c r="C18" s="295"/>
      <c r="D18" s="295"/>
      <c r="E18" s="295"/>
      <c r="F18" s="298"/>
    </row>
    <row r="19" spans="3:6" ht="14.25" customHeight="1" thickBot="1" x14ac:dyDescent="0.3">
      <c r="C19" s="295"/>
      <c r="D19" s="295"/>
      <c r="E19" s="295"/>
      <c r="F19" s="298"/>
    </row>
    <row r="20" spans="3:6" ht="14.25" customHeight="1" thickBot="1" x14ac:dyDescent="0.3">
      <c r="C20" s="295"/>
      <c r="D20" s="295"/>
      <c r="E20" s="295"/>
      <c r="F20" s="298"/>
    </row>
    <row r="21" spans="3:6" ht="14.25" customHeight="1" thickBot="1" x14ac:dyDescent="0.3">
      <c r="C21" s="295"/>
      <c r="D21" s="295"/>
      <c r="E21" s="295"/>
      <c r="F21" s="298"/>
    </row>
    <row r="22" spans="3:6" ht="14.25" customHeight="1" thickBot="1" x14ac:dyDescent="0.3">
      <c r="C22" s="295"/>
      <c r="D22" s="295"/>
      <c r="E22" s="295"/>
      <c r="F22" s="298"/>
    </row>
    <row r="23" spans="3:6" ht="14.25" customHeight="1" thickBot="1" x14ac:dyDescent="0.3">
      <c r="C23" s="295"/>
      <c r="D23" s="295"/>
      <c r="E23" s="295"/>
      <c r="F23" s="298"/>
    </row>
    <row r="24" spans="3:6" ht="14.25" customHeight="1" thickBot="1" x14ac:dyDescent="0.3">
      <c r="C24" s="295"/>
      <c r="D24" s="295"/>
      <c r="E24" s="295"/>
      <c r="F24" s="298"/>
    </row>
    <row r="25" spans="3:6" ht="14.25" customHeight="1" thickBot="1" x14ac:dyDescent="0.3">
      <c r="C25" s="295"/>
      <c r="D25" s="295"/>
      <c r="E25" s="295"/>
      <c r="F25" s="298"/>
    </row>
    <row r="26" spans="3:6" ht="14.25" customHeight="1" thickBot="1" x14ac:dyDescent="0.3">
      <c r="C26" s="295"/>
      <c r="D26" s="295"/>
      <c r="E26" s="295"/>
      <c r="F26" s="298"/>
    </row>
    <row r="27" spans="3:6" ht="14.25" customHeight="1" thickBot="1" x14ac:dyDescent="0.3">
      <c r="C27" s="295"/>
      <c r="D27" s="295"/>
      <c r="E27" s="295"/>
      <c r="F27" s="298"/>
    </row>
    <row r="28" spans="3:6" ht="14.25" customHeight="1" thickBot="1" x14ac:dyDescent="0.3">
      <c r="C28" s="295"/>
      <c r="D28" s="295"/>
      <c r="E28" s="295"/>
      <c r="F28" s="298"/>
    </row>
    <row r="29" spans="3:6" ht="14.25" customHeight="1" thickBot="1" x14ac:dyDescent="0.3">
      <c r="C29" s="295"/>
      <c r="D29" s="295"/>
      <c r="E29" s="295"/>
      <c r="F29" s="298"/>
    </row>
    <row r="30" spans="3:6" ht="14.25" customHeight="1" thickBot="1" x14ac:dyDescent="0.3">
      <c r="C30" s="295"/>
      <c r="D30" s="295"/>
      <c r="E30" s="295"/>
      <c r="F30" s="298"/>
    </row>
    <row r="31" spans="3:6" ht="14.25" customHeight="1" thickBot="1" x14ac:dyDescent="0.3">
      <c r="C31" s="295"/>
      <c r="D31" s="295"/>
      <c r="E31" s="295"/>
      <c r="F31" s="298"/>
    </row>
    <row r="32" spans="3:6" ht="14.25" customHeight="1" thickBot="1" x14ac:dyDescent="0.3">
      <c r="C32" s="295"/>
      <c r="D32" s="295"/>
      <c r="E32" s="295"/>
      <c r="F32" s="298"/>
    </row>
    <row r="33" spans="3:6" ht="14.25" customHeight="1" thickBot="1" x14ac:dyDescent="0.3">
      <c r="C33" s="295"/>
      <c r="D33" s="295"/>
      <c r="E33" s="295"/>
      <c r="F33" s="298"/>
    </row>
    <row r="34" spans="3:6" ht="14.25" customHeight="1" thickBot="1" x14ac:dyDescent="0.3">
      <c r="C34" s="295"/>
      <c r="D34" s="295"/>
      <c r="E34" s="295"/>
      <c r="F34" s="298"/>
    </row>
    <row r="35" spans="3:6" ht="14.25" customHeight="1" thickBot="1" x14ac:dyDescent="0.3">
      <c r="C35" s="295"/>
      <c r="D35" s="295"/>
      <c r="E35" s="295"/>
      <c r="F35" s="298"/>
    </row>
    <row r="36" spans="3:6" ht="14.25" customHeight="1" thickBot="1" x14ac:dyDescent="0.3">
      <c r="C36" s="295"/>
      <c r="D36" s="295"/>
      <c r="E36" s="295"/>
      <c r="F36" s="298"/>
    </row>
    <row r="37" spans="3:6" ht="14.25" customHeight="1" thickBot="1" x14ac:dyDescent="0.3">
      <c r="C37" s="295"/>
      <c r="D37" s="295"/>
      <c r="E37" s="295"/>
      <c r="F37" s="298"/>
    </row>
    <row r="38" spans="3:6" ht="14.25" customHeight="1" thickBot="1" x14ac:dyDescent="0.3">
      <c r="C38" s="295"/>
      <c r="D38" s="295"/>
      <c r="E38" s="295"/>
      <c r="F38" s="298"/>
    </row>
    <row r="39" spans="3:6" ht="14.25" customHeight="1" thickBot="1" x14ac:dyDescent="0.3">
      <c r="C39" s="295"/>
      <c r="D39" s="295"/>
      <c r="E39" s="295"/>
      <c r="F39" s="298"/>
    </row>
    <row r="40" spans="3:6" ht="14.25" customHeight="1" thickBot="1" x14ac:dyDescent="0.3">
      <c r="C40" s="295"/>
      <c r="D40" s="295"/>
      <c r="E40" s="295"/>
      <c r="F40" s="298"/>
    </row>
    <row r="41" spans="3:6" ht="14.25" customHeight="1" thickBot="1" x14ac:dyDescent="0.3">
      <c r="C41" s="295"/>
      <c r="D41" s="295"/>
      <c r="E41" s="295"/>
      <c r="F41" s="298"/>
    </row>
    <row r="42" spans="3:6" ht="14.25" customHeight="1" thickBot="1" x14ac:dyDescent="0.3">
      <c r="C42" s="295"/>
      <c r="D42" s="295"/>
      <c r="E42" s="295"/>
      <c r="F42" s="298"/>
    </row>
    <row r="43" spans="3:6" ht="14.25" customHeight="1" thickBot="1" x14ac:dyDescent="0.3">
      <c r="C43" s="295"/>
      <c r="D43" s="295"/>
      <c r="E43" s="295"/>
      <c r="F43" s="298"/>
    </row>
    <row r="44" spans="3:6" ht="14.25" customHeight="1" thickBot="1" x14ac:dyDescent="0.3">
      <c r="C44" s="295"/>
      <c r="D44" s="295"/>
      <c r="E44" s="295"/>
      <c r="F44" s="298"/>
    </row>
    <row r="45" spans="3:6" ht="14.25" customHeight="1" thickBot="1" x14ac:dyDescent="0.3">
      <c r="C45" s="295"/>
      <c r="D45" s="295"/>
      <c r="E45" s="295"/>
      <c r="F45" s="298"/>
    </row>
    <row r="46" spans="3:6" ht="14.25" customHeight="1" thickBot="1" x14ac:dyDescent="0.3">
      <c r="C46" s="295"/>
      <c r="D46" s="295"/>
      <c r="E46" s="295"/>
      <c r="F46" s="298"/>
    </row>
    <row r="47" spans="3:6" ht="14.25" customHeight="1" thickBot="1" x14ac:dyDescent="0.3">
      <c r="C47" s="295"/>
      <c r="D47" s="295"/>
      <c r="E47" s="295"/>
      <c r="F47" s="298"/>
    </row>
    <row r="48" spans="3:6" ht="14.25" customHeight="1" thickBot="1" x14ac:dyDescent="0.3">
      <c r="C48" s="295"/>
      <c r="D48" s="295"/>
      <c r="E48" s="295"/>
      <c r="F48" s="298"/>
    </row>
    <row r="49" spans="3:6" ht="14.25" customHeight="1" thickBot="1" x14ac:dyDescent="0.3">
      <c r="C49" s="295"/>
      <c r="D49" s="295"/>
      <c r="E49" s="295"/>
      <c r="F49" s="298"/>
    </row>
    <row r="50" spans="3:6" ht="14.25" customHeight="1" thickBot="1" x14ac:dyDescent="0.3">
      <c r="C50" s="295"/>
      <c r="D50" s="295"/>
      <c r="E50" s="295"/>
      <c r="F50" s="298"/>
    </row>
    <row r="51" spans="3:6" ht="14.25" customHeight="1" thickBot="1" x14ac:dyDescent="0.3">
      <c r="C51" s="295"/>
      <c r="D51" s="295"/>
      <c r="E51" s="295"/>
      <c r="F51" s="298"/>
    </row>
    <row r="52" spans="3:6" ht="14.25" customHeight="1" thickBot="1" x14ac:dyDescent="0.3">
      <c r="C52" s="295"/>
      <c r="D52" s="295"/>
      <c r="E52" s="295"/>
      <c r="F52" s="298"/>
    </row>
    <row r="53" spans="3:6" ht="14.25" customHeight="1" thickBot="1" x14ac:dyDescent="0.3">
      <c r="C53" s="295"/>
      <c r="D53" s="295"/>
      <c r="E53" s="295"/>
      <c r="F53" s="298"/>
    </row>
    <row r="54" spans="3:6" ht="14.25" customHeight="1" thickBot="1" x14ac:dyDescent="0.3">
      <c r="C54" s="295"/>
      <c r="D54" s="295"/>
      <c r="E54" s="295"/>
      <c r="F54" s="298"/>
    </row>
    <row r="55" spans="3:6" ht="14.25" customHeight="1" thickBot="1" x14ac:dyDescent="0.3">
      <c r="C55" s="295"/>
      <c r="D55" s="295"/>
      <c r="E55" s="295"/>
      <c r="F55" s="298"/>
    </row>
    <row r="56" spans="3:6" ht="14.25" customHeight="1" thickBot="1" x14ac:dyDescent="0.3">
      <c r="C56" s="295"/>
      <c r="D56" s="295"/>
      <c r="E56" s="295"/>
      <c r="F56" s="298"/>
    </row>
    <row r="57" spans="3:6" ht="14.25" customHeight="1" thickBot="1" x14ac:dyDescent="0.3">
      <c r="C57" s="295"/>
      <c r="D57" s="295"/>
      <c r="E57" s="295"/>
      <c r="F57" s="298"/>
    </row>
    <row r="58" spans="3:6" ht="14.25" customHeight="1" thickBot="1" x14ac:dyDescent="0.3">
      <c r="C58" s="295"/>
      <c r="D58" s="295"/>
      <c r="E58" s="295"/>
      <c r="F58" s="298"/>
    </row>
    <row r="59" spans="3:6" ht="14.25" customHeight="1" thickBot="1" x14ac:dyDescent="0.3">
      <c r="C59" s="295"/>
      <c r="D59" s="295"/>
      <c r="E59" s="295"/>
      <c r="F59" s="298"/>
    </row>
    <row r="60" spans="3:6" ht="14.25" customHeight="1" thickBot="1" x14ac:dyDescent="0.3">
      <c r="C60" s="295"/>
      <c r="D60" s="295"/>
      <c r="E60" s="295"/>
      <c r="F60" s="298"/>
    </row>
    <row r="61" spans="3:6" ht="14.25" customHeight="1" thickBot="1" x14ac:dyDescent="0.3">
      <c r="C61" s="295"/>
      <c r="D61" s="295"/>
      <c r="E61" s="295"/>
      <c r="F61" s="298"/>
    </row>
    <row r="62" spans="3:6" ht="14.25" customHeight="1" thickBot="1" x14ac:dyDescent="0.3">
      <c r="C62" s="295"/>
      <c r="D62" s="295"/>
      <c r="E62" s="295"/>
      <c r="F62" s="298"/>
    </row>
    <row r="63" spans="3:6" ht="14.25" customHeight="1" thickBot="1" x14ac:dyDescent="0.3">
      <c r="C63" s="295"/>
      <c r="D63" s="295"/>
      <c r="E63" s="295"/>
      <c r="F63" s="298"/>
    </row>
    <row r="64" spans="3:6" ht="14.25" customHeight="1" thickBot="1" x14ac:dyDescent="0.3">
      <c r="C64" s="295"/>
      <c r="D64" s="295"/>
      <c r="E64" s="295"/>
      <c r="F64" s="298"/>
    </row>
    <row r="65" spans="3:6" ht="14.25" customHeight="1" thickBot="1" x14ac:dyDescent="0.3">
      <c r="C65" s="295"/>
      <c r="D65" s="295"/>
      <c r="E65" s="295"/>
      <c r="F65" s="298"/>
    </row>
    <row r="66" spans="3:6" ht="14.25" customHeight="1" thickBot="1" x14ac:dyDescent="0.3">
      <c r="C66" s="295"/>
      <c r="D66" s="295"/>
      <c r="E66" s="295"/>
      <c r="F66" s="298"/>
    </row>
    <row r="67" spans="3:6" ht="14.25" customHeight="1" thickBot="1" x14ac:dyDescent="0.3">
      <c r="C67" s="295"/>
      <c r="D67" s="295"/>
      <c r="E67" s="295"/>
      <c r="F67" s="298"/>
    </row>
    <row r="68" spans="3:6" ht="14.25" customHeight="1" thickBot="1" x14ac:dyDescent="0.3">
      <c r="C68" s="295"/>
      <c r="D68" s="295"/>
      <c r="E68" s="295"/>
      <c r="F68" s="298"/>
    </row>
    <row r="69" spans="3:6" ht="14.25" customHeight="1" thickBot="1" x14ac:dyDescent="0.3">
      <c r="C69" s="295"/>
      <c r="D69" s="295"/>
      <c r="E69" s="295"/>
      <c r="F69" s="298"/>
    </row>
    <row r="70" spans="3:6" ht="14.25" customHeight="1" thickBot="1" x14ac:dyDescent="0.3">
      <c r="C70" s="295"/>
      <c r="D70" s="295"/>
      <c r="E70" s="295"/>
      <c r="F70" s="298"/>
    </row>
    <row r="71" spans="3:6" ht="14.25" customHeight="1" thickBot="1" x14ac:dyDescent="0.3">
      <c r="C71" s="295"/>
      <c r="D71" s="295"/>
      <c r="E71" s="295"/>
      <c r="F71" s="298"/>
    </row>
    <row r="72" spans="3:6" ht="14.25" customHeight="1" thickBot="1" x14ac:dyDescent="0.3">
      <c r="C72" s="295"/>
      <c r="D72" s="295"/>
      <c r="E72" s="295"/>
      <c r="F72" s="298"/>
    </row>
    <row r="73" spans="3:6" ht="14.25" customHeight="1" thickBot="1" x14ac:dyDescent="0.3">
      <c r="C73" s="295"/>
      <c r="D73" s="295"/>
      <c r="E73" s="295"/>
      <c r="F73" s="298"/>
    </row>
    <row r="74" spans="3:6" ht="14.25" customHeight="1" thickBot="1" x14ac:dyDescent="0.3">
      <c r="C74" s="295"/>
      <c r="D74" s="295"/>
      <c r="E74" s="295"/>
      <c r="F74" s="298"/>
    </row>
    <row r="75" spans="3:6" ht="14.25" customHeight="1" thickBot="1" x14ac:dyDescent="0.3">
      <c r="C75" s="295"/>
      <c r="D75" s="295"/>
      <c r="E75" s="295"/>
      <c r="F75" s="298"/>
    </row>
    <row r="76" spans="3:6" ht="14.25" customHeight="1" thickBot="1" x14ac:dyDescent="0.3">
      <c r="C76" s="295"/>
      <c r="D76" s="295"/>
      <c r="E76" s="295"/>
      <c r="F76" s="298"/>
    </row>
    <row r="77" spans="3:6" ht="14.25" customHeight="1" thickBot="1" x14ac:dyDescent="0.3">
      <c r="C77" s="295"/>
      <c r="D77" s="295"/>
      <c r="E77" s="295"/>
      <c r="F77" s="298"/>
    </row>
    <row r="78" spans="3:6" ht="14.25" customHeight="1" thickBot="1" x14ac:dyDescent="0.3">
      <c r="C78" s="295"/>
      <c r="D78" s="295"/>
      <c r="E78" s="295"/>
      <c r="F78" s="298"/>
    </row>
    <row r="79" spans="3:6" ht="14.25" customHeight="1" thickBot="1" x14ac:dyDescent="0.3">
      <c r="C79" s="295"/>
      <c r="D79" s="295"/>
      <c r="E79" s="295"/>
      <c r="F79" s="298"/>
    </row>
    <row r="80" spans="3:6" ht="14.25" customHeight="1" thickBot="1" x14ac:dyDescent="0.3">
      <c r="C80" s="295"/>
      <c r="D80" s="295"/>
      <c r="E80" s="295"/>
      <c r="F80" s="298"/>
    </row>
    <row r="81" spans="3:6" ht="14.25" customHeight="1" thickBot="1" x14ac:dyDescent="0.3">
      <c r="C81" s="295"/>
      <c r="D81" s="295"/>
      <c r="E81" s="295"/>
      <c r="F81" s="298"/>
    </row>
    <row r="82" spans="3:6" ht="14.25" customHeight="1" thickBot="1" x14ac:dyDescent="0.3">
      <c r="C82" s="295"/>
      <c r="D82" s="295"/>
      <c r="E82" s="295"/>
      <c r="F82" s="298"/>
    </row>
    <row r="83" spans="3:6" ht="14.25" customHeight="1" thickBot="1" x14ac:dyDescent="0.3">
      <c r="C83" s="295"/>
      <c r="D83" s="295"/>
      <c r="E83" s="295"/>
      <c r="F83" s="298"/>
    </row>
    <row r="84" spans="3:6" ht="14.25" customHeight="1" thickBot="1" x14ac:dyDescent="0.3">
      <c r="C84" s="295"/>
      <c r="D84" s="295"/>
      <c r="E84" s="295"/>
      <c r="F84" s="298"/>
    </row>
    <row r="85" spans="3:6" ht="14.25" customHeight="1" thickBot="1" x14ac:dyDescent="0.3">
      <c r="C85" s="295"/>
      <c r="D85" s="295"/>
      <c r="E85" s="295"/>
      <c r="F85" s="298"/>
    </row>
    <row r="86" spans="3:6" ht="14.25" customHeight="1" thickBot="1" x14ac:dyDescent="0.3">
      <c r="C86" s="295"/>
      <c r="D86" s="295"/>
      <c r="E86" s="295"/>
      <c r="F86" s="298"/>
    </row>
    <row r="87" spans="3:6" ht="14.25" customHeight="1" thickBot="1" x14ac:dyDescent="0.3">
      <c r="C87" s="295"/>
      <c r="D87" s="295"/>
      <c r="E87" s="295"/>
      <c r="F87" s="298"/>
    </row>
    <row r="88" spans="3:6" ht="14.25" customHeight="1" thickBot="1" x14ac:dyDescent="0.3">
      <c r="C88" s="295"/>
      <c r="D88" s="295"/>
      <c r="E88" s="295"/>
      <c r="F88" s="298"/>
    </row>
    <row r="89" spans="3:6" ht="14.25" customHeight="1" thickBot="1" x14ac:dyDescent="0.3">
      <c r="C89" s="295"/>
      <c r="D89" s="295"/>
      <c r="E89" s="295"/>
      <c r="F89" s="298"/>
    </row>
    <row r="90" spans="3:6" ht="14.25" customHeight="1" thickBot="1" x14ac:dyDescent="0.3">
      <c r="C90" s="295"/>
      <c r="D90" s="295"/>
      <c r="E90" s="295"/>
      <c r="F90" s="298"/>
    </row>
    <row r="91" spans="3:6" ht="14.25" customHeight="1" thickBot="1" x14ac:dyDescent="0.3">
      <c r="C91" s="295"/>
      <c r="D91" s="295"/>
      <c r="E91" s="295"/>
      <c r="F91" s="298"/>
    </row>
    <row r="92" spans="3:6" ht="14.25" customHeight="1" thickBot="1" x14ac:dyDescent="0.3">
      <c r="C92" s="295"/>
      <c r="D92" s="295"/>
      <c r="E92" s="295"/>
      <c r="F92" s="298"/>
    </row>
    <row r="93" spans="3:6" ht="14.25" customHeight="1" thickBot="1" x14ac:dyDescent="0.3">
      <c r="C93" s="295"/>
      <c r="D93" s="295"/>
      <c r="E93" s="295"/>
      <c r="F93" s="298"/>
    </row>
    <row r="94" spans="3:6" ht="14.25" customHeight="1" thickBot="1" x14ac:dyDescent="0.3">
      <c r="C94" s="295"/>
      <c r="D94" s="295"/>
      <c r="E94" s="295"/>
      <c r="F94" s="298"/>
    </row>
    <row r="95" spans="3:6" ht="14.25" customHeight="1" thickBot="1" x14ac:dyDescent="0.3">
      <c r="C95" s="295"/>
      <c r="D95" s="295"/>
      <c r="E95" s="295"/>
      <c r="F95" s="298"/>
    </row>
    <row r="96" spans="3:6" ht="14.25" customHeight="1" thickBot="1" x14ac:dyDescent="0.3">
      <c r="C96" s="295"/>
      <c r="D96" s="295"/>
      <c r="E96" s="295"/>
      <c r="F96" s="298"/>
    </row>
    <row r="97" spans="3:6" ht="14.25" customHeight="1" thickBot="1" x14ac:dyDescent="0.3">
      <c r="C97" s="295"/>
      <c r="D97" s="295"/>
      <c r="E97" s="295"/>
      <c r="F97" s="298"/>
    </row>
    <row r="98" spans="3:6" ht="14.25" customHeight="1" thickBot="1" x14ac:dyDescent="0.3">
      <c r="C98" s="295"/>
      <c r="D98" s="295"/>
      <c r="E98" s="295"/>
      <c r="F98" s="298"/>
    </row>
    <row r="99" spans="3:6" ht="14.25" customHeight="1" thickBot="1" x14ac:dyDescent="0.3">
      <c r="C99" s="295"/>
      <c r="D99" s="295"/>
      <c r="E99" s="295"/>
      <c r="F99" s="298"/>
    </row>
    <row r="100" spans="3:6" ht="14.25" customHeight="1" thickBot="1" x14ac:dyDescent="0.3">
      <c r="C100" s="295"/>
      <c r="D100" s="295"/>
      <c r="E100" s="295"/>
      <c r="F100" s="298"/>
    </row>
    <row r="101" spans="3:6" ht="14.25" customHeight="1" thickBot="1" x14ac:dyDescent="0.3">
      <c r="C101" s="295"/>
      <c r="D101" s="295"/>
      <c r="E101" s="295"/>
      <c r="F101" s="298"/>
    </row>
    <row r="102" spans="3:6" ht="14.25" customHeight="1" thickBot="1" x14ac:dyDescent="0.3">
      <c r="C102" s="295"/>
      <c r="D102" s="295"/>
      <c r="E102" s="295"/>
      <c r="F102" s="298"/>
    </row>
    <row r="103" spans="3:6" ht="14.25" customHeight="1" thickBot="1" x14ac:dyDescent="0.3">
      <c r="C103" s="295"/>
      <c r="D103" s="295"/>
      <c r="E103" s="295"/>
      <c r="F103" s="298"/>
    </row>
    <row r="104" spans="3:6" ht="14.25" customHeight="1" thickBot="1" x14ac:dyDescent="0.3">
      <c r="C104" s="295"/>
      <c r="D104" s="295"/>
      <c r="E104" s="295"/>
      <c r="F104" s="298"/>
    </row>
    <row r="105" spans="3:6" ht="14.25" customHeight="1" thickBot="1" x14ac:dyDescent="0.3">
      <c r="C105" s="295"/>
      <c r="D105" s="295"/>
      <c r="E105" s="295"/>
      <c r="F105" s="298"/>
    </row>
    <row r="106" spans="3:6" ht="14.25" customHeight="1" thickBot="1" x14ac:dyDescent="0.3">
      <c r="C106" s="295"/>
      <c r="D106" s="295"/>
      <c r="E106" s="295"/>
      <c r="F106" s="298"/>
    </row>
    <row r="107" spans="3:6" ht="14.25" customHeight="1" thickBot="1" x14ac:dyDescent="0.3">
      <c r="C107" s="295"/>
      <c r="D107" s="295"/>
      <c r="E107" s="295"/>
      <c r="F107" s="298"/>
    </row>
    <row r="108" spans="3:6" ht="14.25" customHeight="1" thickBot="1" x14ac:dyDescent="0.3">
      <c r="C108" s="295"/>
      <c r="D108" s="295"/>
      <c r="E108" s="295"/>
      <c r="F108" s="298"/>
    </row>
    <row r="109" spans="3:6" ht="14.25" customHeight="1" thickBot="1" x14ac:dyDescent="0.3">
      <c r="C109" s="295"/>
      <c r="D109" s="295"/>
      <c r="E109" s="295"/>
      <c r="F109" s="298"/>
    </row>
    <row r="110" spans="3:6" ht="14.25" customHeight="1" thickBot="1" x14ac:dyDescent="0.3">
      <c r="C110" s="295"/>
      <c r="D110" s="295"/>
      <c r="E110" s="295"/>
      <c r="F110" s="298"/>
    </row>
    <row r="111" spans="3:6" ht="14.25" customHeight="1" thickBot="1" x14ac:dyDescent="0.3">
      <c r="C111" s="295"/>
      <c r="D111" s="295"/>
      <c r="E111" s="295"/>
      <c r="F111" s="298"/>
    </row>
    <row r="112" spans="3:6" ht="14.25" customHeight="1" thickBot="1" x14ac:dyDescent="0.3">
      <c r="C112" s="295"/>
      <c r="D112" s="295"/>
      <c r="E112" s="295"/>
      <c r="F112" s="298"/>
    </row>
    <row r="113" spans="3:6" ht="14.25" customHeight="1" thickBot="1" x14ac:dyDescent="0.3">
      <c r="C113" s="295"/>
      <c r="D113" s="295"/>
      <c r="E113" s="295"/>
      <c r="F113" s="298"/>
    </row>
    <row r="114" spans="3:6" ht="14.25" customHeight="1" thickBot="1" x14ac:dyDescent="0.3">
      <c r="C114" s="295"/>
      <c r="D114" s="295"/>
      <c r="E114" s="295"/>
      <c r="F114" s="298"/>
    </row>
    <row r="115" spans="3:6" ht="14.25" customHeight="1" thickBot="1" x14ac:dyDescent="0.3">
      <c r="C115" s="295"/>
      <c r="D115" s="295"/>
      <c r="E115" s="295"/>
      <c r="F115" s="298"/>
    </row>
    <row r="116" spans="3:6" ht="14.25" customHeight="1" thickBot="1" x14ac:dyDescent="0.3">
      <c r="C116" s="295"/>
      <c r="D116" s="295"/>
      <c r="E116" s="295"/>
      <c r="F116" s="298"/>
    </row>
    <row r="117" spans="3:6" ht="14.25" customHeight="1" thickBot="1" x14ac:dyDescent="0.3">
      <c r="C117" s="295"/>
      <c r="D117" s="295"/>
      <c r="E117" s="295"/>
      <c r="F117" s="298"/>
    </row>
    <row r="118" spans="3:6" ht="14.25" customHeight="1" thickBot="1" x14ac:dyDescent="0.3">
      <c r="C118" s="295"/>
      <c r="D118" s="295"/>
      <c r="E118" s="295"/>
      <c r="F118" s="298"/>
    </row>
    <row r="119" spans="3:6" ht="14.25" customHeight="1" thickBot="1" x14ac:dyDescent="0.3">
      <c r="C119" s="295"/>
      <c r="D119" s="295"/>
      <c r="E119" s="295"/>
      <c r="F119" s="298"/>
    </row>
    <row r="120" spans="3:6" ht="14.25" customHeight="1" thickBot="1" x14ac:dyDescent="0.3">
      <c r="C120" s="295"/>
      <c r="D120" s="295"/>
      <c r="E120" s="295"/>
      <c r="F120" s="298"/>
    </row>
    <row r="121" spans="3:6" ht="14.25" customHeight="1" thickBot="1" x14ac:dyDescent="0.3">
      <c r="C121" s="295"/>
      <c r="D121" s="295"/>
      <c r="E121" s="295"/>
      <c r="F121" s="298"/>
    </row>
    <row r="122" spans="3:6" ht="14.25" customHeight="1" thickBot="1" x14ac:dyDescent="0.3">
      <c r="C122" s="295"/>
      <c r="D122" s="295"/>
      <c r="E122" s="295"/>
      <c r="F122" s="298"/>
    </row>
    <row r="123" spans="3:6" ht="14.25" customHeight="1" thickBot="1" x14ac:dyDescent="0.3">
      <c r="C123" s="295"/>
      <c r="D123" s="295"/>
      <c r="E123" s="295"/>
      <c r="F123" s="298"/>
    </row>
    <row r="124" spans="3:6" ht="14.25" customHeight="1" thickBot="1" x14ac:dyDescent="0.3">
      <c r="C124" s="295"/>
      <c r="D124" s="295"/>
      <c r="E124" s="295"/>
      <c r="F124" s="298"/>
    </row>
    <row r="125" spans="3:6" ht="14.25" customHeight="1" thickBot="1" x14ac:dyDescent="0.3">
      <c r="C125" s="295"/>
      <c r="D125" s="295"/>
      <c r="E125" s="295"/>
      <c r="F125" s="298"/>
    </row>
    <row r="126" spans="3:6" ht="14.25" customHeight="1" thickBot="1" x14ac:dyDescent="0.3">
      <c r="C126" s="295"/>
      <c r="D126" s="295"/>
      <c r="E126" s="295"/>
      <c r="F126" s="298"/>
    </row>
    <row r="127" spans="3:6" ht="14.25" customHeight="1" thickBot="1" x14ac:dyDescent="0.3">
      <c r="C127" s="295"/>
      <c r="D127" s="295"/>
      <c r="E127" s="295"/>
      <c r="F127" s="298"/>
    </row>
    <row r="128" spans="3:6" ht="14.25" customHeight="1" thickBot="1" x14ac:dyDescent="0.3">
      <c r="C128" s="295"/>
      <c r="D128" s="295"/>
      <c r="E128" s="295"/>
      <c r="F128" s="298"/>
    </row>
    <row r="129" spans="3:6" ht="14.25" customHeight="1" thickBot="1" x14ac:dyDescent="0.3">
      <c r="C129" s="295"/>
      <c r="D129" s="295"/>
      <c r="E129" s="295"/>
      <c r="F129" s="298"/>
    </row>
    <row r="130" spans="3:6" ht="14.25" customHeight="1" thickBot="1" x14ac:dyDescent="0.3">
      <c r="C130" s="295"/>
      <c r="D130" s="295"/>
      <c r="E130" s="295"/>
      <c r="F130" s="298"/>
    </row>
    <row r="131" spans="3:6" ht="14.25" customHeight="1" thickBot="1" x14ac:dyDescent="0.3">
      <c r="C131" s="295"/>
      <c r="D131" s="295"/>
      <c r="E131" s="295"/>
      <c r="F131" s="298"/>
    </row>
    <row r="132" spans="3:6" ht="14.25" customHeight="1" thickBot="1" x14ac:dyDescent="0.3">
      <c r="C132" s="295"/>
      <c r="D132" s="295"/>
      <c r="E132" s="295"/>
      <c r="F132" s="298"/>
    </row>
    <row r="133" spans="3:6" ht="14.25" customHeight="1" thickBot="1" x14ac:dyDescent="0.3">
      <c r="C133" s="295"/>
      <c r="D133" s="295"/>
      <c r="E133" s="295"/>
      <c r="F133" s="298"/>
    </row>
    <row r="134" spans="3:6" ht="14.25" customHeight="1" thickBot="1" x14ac:dyDescent="0.3">
      <c r="C134" s="295"/>
      <c r="D134" s="295"/>
      <c r="E134" s="295"/>
      <c r="F134" s="298"/>
    </row>
    <row r="135" spans="3:6" ht="14.25" customHeight="1" thickBot="1" x14ac:dyDescent="0.3">
      <c r="C135" s="295"/>
      <c r="D135" s="295"/>
      <c r="E135" s="295"/>
      <c r="F135" s="298"/>
    </row>
    <row r="136" spans="3:6" ht="14.25" customHeight="1" thickBot="1" x14ac:dyDescent="0.3">
      <c r="C136" s="295"/>
      <c r="D136" s="295"/>
      <c r="E136" s="295"/>
      <c r="F136" s="298"/>
    </row>
    <row r="137" spans="3:6" ht="14.25" customHeight="1" thickBot="1" x14ac:dyDescent="0.3">
      <c r="C137" s="295"/>
      <c r="D137" s="295"/>
      <c r="E137" s="295"/>
      <c r="F137" s="298"/>
    </row>
    <row r="138" spans="3:6" ht="14.25" customHeight="1" thickBot="1" x14ac:dyDescent="0.3">
      <c r="C138" s="295"/>
      <c r="D138" s="295"/>
      <c r="E138" s="295"/>
      <c r="F138" s="298"/>
    </row>
    <row r="139" spans="3:6" ht="14.25" customHeight="1" thickBot="1" x14ac:dyDescent="0.3">
      <c r="C139" s="295"/>
      <c r="D139" s="295"/>
      <c r="E139" s="295"/>
      <c r="F139" s="298"/>
    </row>
    <row r="140" spans="3:6" ht="14.25" customHeight="1" thickBot="1" x14ac:dyDescent="0.3">
      <c r="C140" s="295"/>
      <c r="D140" s="295"/>
      <c r="E140" s="295"/>
      <c r="F140" s="298"/>
    </row>
    <row r="141" spans="3:6" ht="14.25" customHeight="1" thickBot="1" x14ac:dyDescent="0.3">
      <c r="C141" s="295"/>
      <c r="D141" s="295"/>
      <c r="E141" s="295"/>
      <c r="F141" s="298"/>
    </row>
    <row r="142" spans="3:6" ht="14.25" customHeight="1" thickBot="1" x14ac:dyDescent="0.3">
      <c r="C142" s="295"/>
      <c r="D142" s="295"/>
      <c r="E142" s="295"/>
      <c r="F142" s="298"/>
    </row>
    <row r="143" spans="3:6" ht="14.25" customHeight="1" thickBot="1" x14ac:dyDescent="0.3">
      <c r="C143" s="295"/>
      <c r="D143" s="295"/>
      <c r="E143" s="295"/>
      <c r="F143" s="298"/>
    </row>
    <row r="144" spans="3:6" ht="14.25" customHeight="1" thickBot="1" x14ac:dyDescent="0.3">
      <c r="C144" s="295"/>
      <c r="D144" s="295"/>
      <c r="E144" s="295"/>
      <c r="F144" s="298"/>
    </row>
    <row r="145" spans="3:6" ht="14.25" customHeight="1" thickBot="1" x14ac:dyDescent="0.3">
      <c r="C145" s="295"/>
      <c r="D145" s="295"/>
      <c r="E145" s="295"/>
      <c r="F145" s="298"/>
    </row>
    <row r="146" spans="3:6" ht="14.25" customHeight="1" thickBot="1" x14ac:dyDescent="0.3">
      <c r="C146" s="295"/>
      <c r="D146" s="295"/>
      <c r="E146" s="295"/>
      <c r="F146" s="298"/>
    </row>
    <row r="147" spans="3:6" ht="14.25" customHeight="1" thickBot="1" x14ac:dyDescent="0.3">
      <c r="C147" s="295"/>
      <c r="D147" s="295"/>
      <c r="E147" s="295"/>
      <c r="F147" s="298"/>
    </row>
    <row r="148" spans="3:6" ht="14.25" customHeight="1" thickBot="1" x14ac:dyDescent="0.3">
      <c r="C148" s="295"/>
      <c r="D148" s="295"/>
      <c r="E148" s="295"/>
      <c r="F148" s="298"/>
    </row>
    <row r="149" spans="3:6" ht="14.25" customHeight="1" thickBot="1" x14ac:dyDescent="0.3">
      <c r="C149" s="295"/>
      <c r="D149" s="295"/>
      <c r="E149" s="295"/>
      <c r="F149" s="298"/>
    </row>
    <row r="150" spans="3:6" ht="14.25" customHeight="1" thickBot="1" x14ac:dyDescent="0.3">
      <c r="C150" s="295"/>
      <c r="D150" s="295"/>
      <c r="E150" s="295"/>
      <c r="F150" s="298"/>
    </row>
    <row r="151" spans="3:6" ht="14.25" customHeight="1" thickBot="1" x14ac:dyDescent="0.3">
      <c r="C151" s="295"/>
      <c r="D151" s="295"/>
      <c r="E151" s="295"/>
      <c r="F151" s="298"/>
    </row>
    <row r="152" spans="3:6" ht="14.25" customHeight="1" thickBot="1" x14ac:dyDescent="0.3">
      <c r="C152" s="295"/>
      <c r="D152" s="295"/>
      <c r="E152" s="295"/>
      <c r="F152" s="298"/>
    </row>
    <row r="153" spans="3:6" ht="14.25" customHeight="1" thickBot="1" x14ac:dyDescent="0.3">
      <c r="C153" s="295"/>
      <c r="D153" s="295"/>
      <c r="E153" s="295"/>
      <c r="F153" s="298"/>
    </row>
    <row r="154" spans="3:6" ht="14.25" customHeight="1" thickBot="1" x14ac:dyDescent="0.3">
      <c r="C154" s="295"/>
      <c r="D154" s="295"/>
      <c r="E154" s="295"/>
      <c r="F154" s="298"/>
    </row>
    <row r="155" spans="3:6" ht="14.25" customHeight="1" thickBot="1" x14ac:dyDescent="0.3">
      <c r="C155" s="295"/>
      <c r="D155" s="295"/>
      <c r="E155" s="295"/>
      <c r="F155" s="298"/>
    </row>
    <row r="156" spans="3:6" ht="14.25" customHeight="1" thickBot="1" x14ac:dyDescent="0.3">
      <c r="C156" s="295"/>
      <c r="D156" s="295"/>
      <c r="E156" s="295"/>
      <c r="F156" s="298"/>
    </row>
    <row r="157" spans="3:6" ht="14.25" customHeight="1" thickBot="1" x14ac:dyDescent="0.3">
      <c r="C157" s="295"/>
      <c r="D157" s="295"/>
      <c r="E157" s="295"/>
      <c r="F157" s="298"/>
    </row>
    <row r="158" spans="3:6" ht="14.25" customHeight="1" thickBot="1" x14ac:dyDescent="0.3">
      <c r="C158" s="295"/>
      <c r="D158" s="295"/>
      <c r="E158" s="295"/>
      <c r="F158" s="298"/>
    </row>
    <row r="159" spans="3:6" ht="14.25" customHeight="1" thickBot="1" x14ac:dyDescent="0.3">
      <c r="C159" s="295"/>
      <c r="D159" s="295"/>
      <c r="E159" s="295"/>
      <c r="F159" s="298"/>
    </row>
    <row r="160" spans="3:6" ht="14.25" customHeight="1" thickBot="1" x14ac:dyDescent="0.3">
      <c r="C160" s="295"/>
      <c r="D160" s="295"/>
      <c r="E160" s="295"/>
      <c r="F160" s="298"/>
    </row>
    <row r="161" spans="3:6" ht="14.25" customHeight="1" thickBot="1" x14ac:dyDescent="0.3">
      <c r="C161" s="295"/>
      <c r="D161" s="295"/>
      <c r="E161" s="295"/>
      <c r="F161" s="298"/>
    </row>
    <row r="162" spans="3:6" ht="14.25" customHeight="1" thickBot="1" x14ac:dyDescent="0.3">
      <c r="C162" s="295"/>
      <c r="D162" s="295"/>
      <c r="E162" s="295"/>
      <c r="F162" s="298"/>
    </row>
    <row r="163" spans="3:6" ht="14.25" customHeight="1" thickBot="1" x14ac:dyDescent="0.3">
      <c r="C163" s="295"/>
      <c r="D163" s="295"/>
      <c r="E163" s="295"/>
      <c r="F163" s="298"/>
    </row>
    <row r="164" spans="3:6" ht="14.25" customHeight="1" thickBot="1" x14ac:dyDescent="0.3">
      <c r="C164" s="295"/>
      <c r="D164" s="295"/>
      <c r="E164" s="295"/>
      <c r="F164" s="298"/>
    </row>
    <row r="165" spans="3:6" ht="14.25" customHeight="1" thickBot="1" x14ac:dyDescent="0.3">
      <c r="C165" s="295"/>
      <c r="D165" s="295"/>
      <c r="E165" s="295"/>
      <c r="F165" s="298"/>
    </row>
    <row r="166" spans="3:6" ht="14.25" customHeight="1" thickBot="1" x14ac:dyDescent="0.3">
      <c r="C166" s="295"/>
      <c r="D166" s="295"/>
      <c r="E166" s="295"/>
      <c r="F166" s="298"/>
    </row>
    <row r="167" spans="3:6" ht="14.25" customHeight="1" thickBot="1" x14ac:dyDescent="0.3">
      <c r="C167" s="295"/>
      <c r="D167" s="295"/>
      <c r="E167" s="295"/>
      <c r="F167" s="298"/>
    </row>
    <row r="168" spans="3:6" ht="14.25" customHeight="1" thickBot="1" x14ac:dyDescent="0.3">
      <c r="C168" s="295"/>
      <c r="D168" s="295"/>
      <c r="E168" s="295"/>
      <c r="F168" s="298"/>
    </row>
    <row r="169" spans="3:6" ht="14.25" customHeight="1" thickBot="1" x14ac:dyDescent="0.3">
      <c r="C169" s="295"/>
      <c r="D169" s="295"/>
      <c r="E169" s="295"/>
      <c r="F169" s="298"/>
    </row>
    <row r="170" spans="3:6" ht="14.25" customHeight="1" thickBot="1" x14ac:dyDescent="0.3">
      <c r="C170" s="295"/>
      <c r="D170" s="295"/>
      <c r="E170" s="295"/>
      <c r="F170" s="298"/>
    </row>
    <row r="171" spans="3:6" ht="14.25" customHeight="1" thickBot="1" x14ac:dyDescent="0.3">
      <c r="C171" s="295"/>
      <c r="D171" s="295"/>
      <c r="E171" s="295"/>
      <c r="F171" s="298"/>
    </row>
    <row r="172" spans="3:6" ht="14.25" customHeight="1" thickBot="1" x14ac:dyDescent="0.3">
      <c r="C172" s="295"/>
      <c r="D172" s="295"/>
      <c r="E172" s="295"/>
      <c r="F172" s="298"/>
    </row>
    <row r="173" spans="3:6" ht="14.25" customHeight="1" thickBot="1" x14ac:dyDescent="0.3">
      <c r="C173" s="295"/>
      <c r="D173" s="295"/>
      <c r="E173" s="295"/>
      <c r="F173" s="298"/>
    </row>
    <row r="174" spans="3:6" ht="14.25" customHeight="1" thickBot="1" x14ac:dyDescent="0.3">
      <c r="C174" s="295"/>
      <c r="D174" s="295"/>
      <c r="E174" s="295"/>
      <c r="F174" s="298"/>
    </row>
    <row r="175" spans="3:6" ht="14.25" customHeight="1" thickBot="1" x14ac:dyDescent="0.3">
      <c r="C175" s="295"/>
      <c r="D175" s="295"/>
      <c r="E175" s="295"/>
      <c r="F175" s="298"/>
    </row>
    <row r="176" spans="3:6" ht="14.25" customHeight="1" thickBot="1" x14ac:dyDescent="0.3">
      <c r="C176" s="295"/>
      <c r="D176" s="295"/>
      <c r="E176" s="295"/>
      <c r="F176" s="298"/>
    </row>
    <row r="177" spans="3:6" ht="14.25" customHeight="1" thickBot="1" x14ac:dyDescent="0.3">
      <c r="C177" s="295"/>
      <c r="D177" s="295"/>
      <c r="E177" s="295"/>
      <c r="F177" s="298"/>
    </row>
    <row r="178" spans="3:6" ht="14.25" customHeight="1" thickBot="1" x14ac:dyDescent="0.3">
      <c r="C178" s="295"/>
      <c r="D178" s="295"/>
      <c r="E178" s="295"/>
      <c r="F178" s="298"/>
    </row>
    <row r="179" spans="3:6" ht="14.25" customHeight="1" thickBot="1" x14ac:dyDescent="0.3">
      <c r="C179" s="295"/>
      <c r="D179" s="295"/>
      <c r="E179" s="295"/>
      <c r="F179" s="298"/>
    </row>
    <row r="180" spans="3:6" ht="14.25" customHeight="1" thickBot="1" x14ac:dyDescent="0.3">
      <c r="C180" s="295"/>
      <c r="D180" s="295"/>
      <c r="E180" s="295"/>
      <c r="F180" s="298"/>
    </row>
    <row r="181" spans="3:6" ht="14.25" customHeight="1" thickBot="1" x14ac:dyDescent="0.3">
      <c r="C181" s="295"/>
      <c r="D181" s="295"/>
      <c r="E181" s="295"/>
      <c r="F181" s="298"/>
    </row>
    <row r="182" spans="3:6" ht="14.25" customHeight="1" thickBot="1" x14ac:dyDescent="0.3">
      <c r="C182" s="295"/>
      <c r="D182" s="295"/>
      <c r="E182" s="295"/>
      <c r="F182" s="298"/>
    </row>
    <row r="183" spans="3:6" ht="14.25" customHeight="1" thickBot="1" x14ac:dyDescent="0.3">
      <c r="C183" s="295"/>
      <c r="D183" s="295"/>
      <c r="E183" s="295"/>
      <c r="F183" s="298"/>
    </row>
    <row r="184" spans="3:6" ht="14.25" customHeight="1" thickBot="1" x14ac:dyDescent="0.3">
      <c r="C184" s="295"/>
      <c r="D184" s="295"/>
      <c r="E184" s="295"/>
      <c r="F184" s="298"/>
    </row>
    <row r="185" spans="3:6" ht="14.25" customHeight="1" thickBot="1" x14ac:dyDescent="0.3">
      <c r="C185" s="295"/>
      <c r="D185" s="295"/>
      <c r="E185" s="295"/>
      <c r="F185" s="298"/>
    </row>
    <row r="186" spans="3:6" ht="14.25" customHeight="1" thickBot="1" x14ac:dyDescent="0.3">
      <c r="C186" s="295"/>
      <c r="D186" s="295"/>
      <c r="E186" s="295"/>
      <c r="F186" s="298"/>
    </row>
    <row r="187" spans="3:6" ht="14.25" customHeight="1" thickBot="1" x14ac:dyDescent="0.3">
      <c r="C187" s="295"/>
      <c r="D187" s="295"/>
      <c r="E187" s="295"/>
      <c r="F187" s="298"/>
    </row>
    <row r="188" spans="3:6" ht="14.25" customHeight="1" thickBot="1" x14ac:dyDescent="0.3">
      <c r="C188" s="295"/>
      <c r="D188" s="295"/>
      <c r="E188" s="295"/>
      <c r="F188" s="298"/>
    </row>
    <row r="189" spans="3:6" ht="14.25" customHeight="1" thickBot="1" x14ac:dyDescent="0.3">
      <c r="C189" s="295"/>
      <c r="D189" s="295"/>
      <c r="E189" s="295"/>
      <c r="F189" s="298"/>
    </row>
    <row r="190" spans="3:6" ht="14.25" customHeight="1" thickBot="1" x14ac:dyDescent="0.3">
      <c r="C190" s="295"/>
      <c r="D190" s="295"/>
      <c r="E190" s="295"/>
      <c r="F190" s="298"/>
    </row>
    <row r="191" spans="3:6" ht="14.25" customHeight="1" thickBot="1" x14ac:dyDescent="0.3">
      <c r="C191" s="295"/>
      <c r="D191" s="295"/>
      <c r="E191" s="295"/>
      <c r="F191" s="298"/>
    </row>
    <row r="192" spans="3:6" ht="14.25" customHeight="1" thickBot="1" x14ac:dyDescent="0.3">
      <c r="C192" s="295"/>
      <c r="D192" s="295"/>
      <c r="E192" s="295"/>
      <c r="F192" s="298"/>
    </row>
    <row r="193" spans="3:6" ht="14.25" customHeight="1" thickBot="1" x14ac:dyDescent="0.3">
      <c r="C193" s="295"/>
      <c r="D193" s="295"/>
      <c r="E193" s="295"/>
      <c r="F193" s="298"/>
    </row>
    <row r="194" spans="3:6" ht="14.25" customHeight="1" thickBot="1" x14ac:dyDescent="0.3">
      <c r="C194" s="295"/>
      <c r="D194" s="295"/>
      <c r="E194" s="295"/>
      <c r="F194" s="298"/>
    </row>
    <row r="195" spans="3:6" ht="14.25" customHeight="1" thickBot="1" x14ac:dyDescent="0.3">
      <c r="C195" s="295"/>
      <c r="D195" s="295"/>
      <c r="E195" s="295"/>
      <c r="F195" s="298"/>
    </row>
    <row r="196" spans="3:6" ht="14.25" customHeight="1" thickBot="1" x14ac:dyDescent="0.3">
      <c r="C196" s="295"/>
      <c r="D196" s="295"/>
      <c r="E196" s="295"/>
      <c r="F196" s="298"/>
    </row>
    <row r="197" spans="3:6" ht="14.25" customHeight="1" thickBot="1" x14ac:dyDescent="0.3">
      <c r="C197" s="295"/>
      <c r="D197" s="295"/>
      <c r="E197" s="295"/>
      <c r="F197" s="298"/>
    </row>
    <row r="198" spans="3:6" ht="14.25" customHeight="1" thickBot="1" x14ac:dyDescent="0.3">
      <c r="C198" s="295"/>
      <c r="D198" s="295"/>
      <c r="E198" s="295"/>
      <c r="F198" s="298"/>
    </row>
    <row r="199" spans="3:6" ht="14.25" customHeight="1" thickBot="1" x14ac:dyDescent="0.3">
      <c r="C199" s="295"/>
      <c r="D199" s="295"/>
      <c r="E199" s="295"/>
      <c r="F199" s="298"/>
    </row>
    <row r="200" spans="3:6" ht="14.25" customHeight="1" thickBot="1" x14ac:dyDescent="0.3">
      <c r="C200" s="295"/>
      <c r="D200" s="295"/>
      <c r="E200" s="295"/>
      <c r="F200" s="298"/>
    </row>
    <row r="201" spans="3:6" ht="14.25" customHeight="1" thickBot="1" x14ac:dyDescent="0.3">
      <c r="C201" s="295"/>
      <c r="D201" s="295"/>
      <c r="E201" s="295"/>
      <c r="F201" s="298"/>
    </row>
    <row r="202" spans="3:6" ht="14.25" customHeight="1" thickBot="1" x14ac:dyDescent="0.3">
      <c r="C202" s="295"/>
      <c r="D202" s="295"/>
      <c r="E202" s="295"/>
      <c r="F202" s="298"/>
    </row>
    <row r="203" spans="3:6" ht="14.25" customHeight="1" thickBot="1" x14ac:dyDescent="0.3">
      <c r="C203" s="295"/>
      <c r="D203" s="295"/>
      <c r="E203" s="295"/>
      <c r="F203" s="298"/>
    </row>
    <row r="204" spans="3:6" ht="14.25" customHeight="1" thickBot="1" x14ac:dyDescent="0.3">
      <c r="C204" s="295"/>
      <c r="D204" s="295"/>
      <c r="E204" s="295"/>
      <c r="F204" s="298"/>
    </row>
    <row r="205" spans="3:6" ht="14.25" customHeight="1" thickBot="1" x14ac:dyDescent="0.3">
      <c r="C205" s="295"/>
      <c r="D205" s="295"/>
      <c r="E205" s="295"/>
      <c r="F205" s="298"/>
    </row>
    <row r="206" spans="3:6" ht="14.25" customHeight="1" thickBot="1" x14ac:dyDescent="0.3">
      <c r="C206" s="295"/>
      <c r="D206" s="295"/>
      <c r="E206" s="295"/>
      <c r="F206" s="298"/>
    </row>
    <row r="207" spans="3:6" ht="14.25" customHeight="1" thickBot="1" x14ac:dyDescent="0.3">
      <c r="C207" s="295"/>
      <c r="D207" s="295"/>
      <c r="E207" s="295"/>
      <c r="F207" s="298"/>
    </row>
    <row r="208" spans="3:6" ht="14.25" customHeight="1" thickBot="1" x14ac:dyDescent="0.3">
      <c r="C208" s="295"/>
      <c r="D208" s="295"/>
      <c r="E208" s="295"/>
      <c r="F208" s="298"/>
    </row>
    <row r="209" spans="3:6" ht="14.25" customHeight="1" thickBot="1" x14ac:dyDescent="0.3">
      <c r="C209" s="295"/>
      <c r="D209" s="295"/>
      <c r="E209" s="295"/>
      <c r="F209" s="298"/>
    </row>
    <row r="210" spans="3:6" ht="14.25" customHeight="1" thickBot="1" x14ac:dyDescent="0.3">
      <c r="C210" s="295"/>
      <c r="D210" s="295"/>
      <c r="E210" s="295"/>
      <c r="F210" s="298"/>
    </row>
    <row r="211" spans="3:6" ht="14.25" customHeight="1" thickBot="1" x14ac:dyDescent="0.3">
      <c r="C211" s="295"/>
      <c r="D211" s="295"/>
      <c r="E211" s="295"/>
      <c r="F211" s="298"/>
    </row>
    <row r="212" spans="3:6" ht="14.25" customHeight="1" thickBot="1" x14ac:dyDescent="0.3">
      <c r="C212" s="295"/>
      <c r="D212" s="295"/>
      <c r="E212" s="295"/>
      <c r="F212" s="298"/>
    </row>
    <row r="213" spans="3:6" ht="14.25" customHeight="1" thickBot="1" x14ac:dyDescent="0.3">
      <c r="C213" s="295"/>
      <c r="D213" s="295"/>
      <c r="E213" s="295"/>
      <c r="F213" s="298"/>
    </row>
    <row r="214" spans="3:6" ht="14.25" customHeight="1" thickBot="1" x14ac:dyDescent="0.3">
      <c r="C214" s="295"/>
      <c r="D214" s="295"/>
      <c r="E214" s="295"/>
      <c r="F214" s="298"/>
    </row>
    <row r="215" spans="3:6" ht="14.25" customHeight="1" thickBot="1" x14ac:dyDescent="0.3">
      <c r="C215" s="295"/>
      <c r="D215" s="295"/>
      <c r="E215" s="295"/>
      <c r="F215" s="298"/>
    </row>
    <row r="216" spans="3:6" ht="14.25" customHeight="1" thickBot="1" x14ac:dyDescent="0.3">
      <c r="C216" s="295"/>
      <c r="D216" s="295"/>
      <c r="E216" s="295"/>
      <c r="F216" s="298"/>
    </row>
    <row r="217" spans="3:6" ht="14.25" customHeight="1" thickBot="1" x14ac:dyDescent="0.3">
      <c r="C217" s="295"/>
      <c r="D217" s="295"/>
      <c r="E217" s="295"/>
      <c r="F217" s="298"/>
    </row>
    <row r="218" spans="3:6" ht="14.25" customHeight="1" thickBot="1" x14ac:dyDescent="0.3">
      <c r="C218" s="295"/>
      <c r="D218" s="295"/>
      <c r="E218" s="295"/>
      <c r="F218" s="298"/>
    </row>
    <row r="219" spans="3:6" ht="14.25" customHeight="1" thickBot="1" x14ac:dyDescent="0.3">
      <c r="C219" s="295"/>
      <c r="D219" s="295"/>
      <c r="E219" s="295"/>
      <c r="F219" s="298"/>
    </row>
    <row r="220" spans="3:6" ht="14.25" customHeight="1" thickBot="1" x14ac:dyDescent="0.3">
      <c r="C220" s="295"/>
      <c r="D220" s="295"/>
      <c r="E220" s="295"/>
      <c r="F220" s="298"/>
    </row>
    <row r="221" spans="3:6" ht="14.25" customHeight="1" thickBot="1" x14ac:dyDescent="0.3">
      <c r="C221" s="295"/>
      <c r="D221" s="295"/>
      <c r="E221" s="295"/>
      <c r="F221" s="298"/>
    </row>
    <row r="222" spans="3:6" ht="14.25" customHeight="1" thickBot="1" x14ac:dyDescent="0.3">
      <c r="C222" s="295"/>
      <c r="D222" s="295"/>
      <c r="E222" s="295"/>
      <c r="F222" s="298"/>
    </row>
    <row r="223" spans="3:6" ht="14.25" customHeight="1" thickBot="1" x14ac:dyDescent="0.3">
      <c r="C223" s="295"/>
      <c r="D223" s="295"/>
      <c r="E223" s="295"/>
      <c r="F223" s="298"/>
    </row>
    <row r="224" spans="3:6" ht="14.25" customHeight="1" thickBot="1" x14ac:dyDescent="0.3">
      <c r="C224" s="295"/>
      <c r="D224" s="295"/>
      <c r="E224" s="295"/>
      <c r="F224" s="298"/>
    </row>
    <row r="225" spans="3:6" ht="14.25" customHeight="1" thickBot="1" x14ac:dyDescent="0.3">
      <c r="C225" s="295"/>
      <c r="D225" s="295"/>
      <c r="E225" s="295"/>
      <c r="F225" s="298"/>
    </row>
    <row r="226" spans="3:6" ht="14.25" customHeight="1" thickBot="1" x14ac:dyDescent="0.3">
      <c r="C226" s="295"/>
      <c r="D226" s="295"/>
      <c r="E226" s="295"/>
      <c r="F226" s="298"/>
    </row>
    <row r="227" spans="3:6" ht="14.25" customHeight="1" thickBot="1" x14ac:dyDescent="0.3">
      <c r="C227" s="295"/>
      <c r="D227" s="295"/>
      <c r="E227" s="295"/>
      <c r="F227" s="298"/>
    </row>
    <row r="228" spans="3:6" ht="14.25" customHeight="1" thickBot="1" x14ac:dyDescent="0.3">
      <c r="C228" s="295"/>
      <c r="D228" s="295"/>
      <c r="E228" s="295"/>
      <c r="F228" s="298"/>
    </row>
    <row r="229" spans="3:6" ht="14.25" customHeight="1" thickBot="1" x14ac:dyDescent="0.3">
      <c r="C229" s="295"/>
      <c r="D229" s="295"/>
      <c r="E229" s="295"/>
      <c r="F229" s="298"/>
    </row>
    <row r="230" spans="3:6" ht="14.25" customHeight="1" thickBot="1" x14ac:dyDescent="0.3">
      <c r="C230" s="295"/>
      <c r="D230" s="295"/>
      <c r="E230" s="295"/>
      <c r="F230" s="298"/>
    </row>
    <row r="231" spans="3:6" ht="14.25" customHeight="1" thickBot="1" x14ac:dyDescent="0.3">
      <c r="C231" s="295"/>
      <c r="D231" s="295"/>
      <c r="E231" s="295"/>
      <c r="F231" s="298"/>
    </row>
    <row r="232" spans="3:6" ht="14.25" customHeight="1" thickBot="1" x14ac:dyDescent="0.3">
      <c r="C232" s="295"/>
      <c r="D232" s="295"/>
      <c r="E232" s="295"/>
      <c r="F232" s="298"/>
    </row>
    <row r="233" spans="3:6" ht="14.25" customHeight="1" thickBot="1" x14ac:dyDescent="0.3">
      <c r="C233" s="295"/>
      <c r="D233" s="295"/>
      <c r="E233" s="295"/>
      <c r="F233" s="298"/>
    </row>
    <row r="234" spans="3:6" ht="14.25" customHeight="1" thickBot="1" x14ac:dyDescent="0.3">
      <c r="C234" s="295"/>
      <c r="D234" s="295"/>
      <c r="E234" s="295"/>
      <c r="F234" s="298"/>
    </row>
    <row r="235" spans="3:6" ht="14.25" customHeight="1" thickBot="1" x14ac:dyDescent="0.3">
      <c r="C235" s="295"/>
      <c r="D235" s="295"/>
      <c r="E235" s="295"/>
      <c r="F235" s="298"/>
    </row>
    <row r="236" spans="3:6" ht="14.25" customHeight="1" thickBot="1" x14ac:dyDescent="0.3">
      <c r="C236" s="295"/>
      <c r="D236" s="295"/>
      <c r="E236" s="295"/>
      <c r="F236" s="298"/>
    </row>
    <row r="237" spans="3:6" ht="14.25" customHeight="1" thickBot="1" x14ac:dyDescent="0.3">
      <c r="C237" s="299"/>
      <c r="D237" s="299"/>
      <c r="E237" s="299"/>
      <c r="F237" s="300"/>
    </row>
  </sheetData>
  <pageMargins left="0.7" right="0.7" top="0.75" bottom="0.75" header="0.3" footer="0.3"/>
  <drawing r:id="rId1"/>
  <legacyDrawing r:id="rId2"/>
  <controls>
    <mc:AlternateContent xmlns:mc="http://schemas.openxmlformats.org/markup-compatibility/2006">
      <mc:Choice Requires="x14">
        <control shapeId="16394" r:id="rId3" name="Control 10">
          <controlPr defaultSize="0" r:id="rId4">
            <anchor moveWithCells="1">
              <from>
                <xdr:col>1</xdr:col>
                <xdr:colOff>0</xdr:colOff>
                <xdr:row>237</xdr:row>
                <xdr:rowOff>0</xdr:rowOff>
              </from>
              <to>
                <xdr:col>2</xdr:col>
                <xdr:colOff>304800</xdr:colOff>
                <xdr:row>238</xdr:row>
                <xdr:rowOff>53340</xdr:rowOff>
              </to>
            </anchor>
          </controlPr>
        </control>
      </mc:Choice>
      <mc:Fallback>
        <control shapeId="16394" r:id="rId3" name="Control 10"/>
      </mc:Fallback>
    </mc:AlternateContent>
    <mc:AlternateContent xmlns:mc="http://schemas.openxmlformats.org/markup-compatibility/2006">
      <mc:Choice Requires="x14">
        <control shapeId="16393" r:id="rId5" name="Control 9">
          <controlPr defaultSize="0" r:id="rId6">
            <anchor moveWithCells="1">
              <from>
                <xdr:col>1</xdr:col>
                <xdr:colOff>0</xdr:colOff>
                <xdr:row>237</xdr:row>
                <xdr:rowOff>0</xdr:rowOff>
              </from>
              <to>
                <xdr:col>2</xdr:col>
                <xdr:colOff>304800</xdr:colOff>
                <xdr:row>238</xdr:row>
                <xdr:rowOff>53340</xdr:rowOff>
              </to>
            </anchor>
          </controlPr>
        </control>
      </mc:Choice>
      <mc:Fallback>
        <control shapeId="16393" r:id="rId5" name="Control 9"/>
      </mc:Fallback>
    </mc:AlternateContent>
    <mc:AlternateContent xmlns:mc="http://schemas.openxmlformats.org/markup-compatibility/2006">
      <mc:Choice Requires="x14">
        <control shapeId="16392" r:id="rId7" name="Control 8">
          <controlPr defaultSize="0" r:id="rId8">
            <anchor moveWithCells="1">
              <from>
                <xdr:col>1</xdr:col>
                <xdr:colOff>0</xdr:colOff>
                <xdr:row>237</xdr:row>
                <xdr:rowOff>0</xdr:rowOff>
              </from>
              <to>
                <xdr:col>2</xdr:col>
                <xdr:colOff>304800</xdr:colOff>
                <xdr:row>238</xdr:row>
                <xdr:rowOff>53340</xdr:rowOff>
              </to>
            </anchor>
          </controlPr>
        </control>
      </mc:Choice>
      <mc:Fallback>
        <control shapeId="16392" r:id="rId7" name="Control 8"/>
      </mc:Fallback>
    </mc:AlternateContent>
    <mc:AlternateContent xmlns:mc="http://schemas.openxmlformats.org/markup-compatibility/2006">
      <mc:Choice Requires="x14">
        <control shapeId="16391" r:id="rId9" name="Control 7">
          <controlPr defaultSize="0" r:id="rId10">
            <anchor moveWithCells="1">
              <from>
                <xdr:col>0</xdr:col>
                <xdr:colOff>0</xdr:colOff>
                <xdr:row>237</xdr:row>
                <xdr:rowOff>0</xdr:rowOff>
              </from>
              <to>
                <xdr:col>0</xdr:col>
                <xdr:colOff>914400</xdr:colOff>
                <xdr:row>238</xdr:row>
                <xdr:rowOff>53340</xdr:rowOff>
              </to>
            </anchor>
          </controlPr>
        </control>
      </mc:Choice>
      <mc:Fallback>
        <control shapeId="16391" r:id="rId9" name="Control 7"/>
      </mc:Fallback>
    </mc:AlternateContent>
    <mc:AlternateContent xmlns:mc="http://schemas.openxmlformats.org/markup-compatibility/2006">
      <mc:Choice Requires="x14">
        <control shapeId="16390" r:id="rId11" name="Control 6">
          <controlPr defaultSize="0" r:id="rId12">
            <anchor moveWithCells="1">
              <from>
                <xdr:col>0</xdr:col>
                <xdr:colOff>0</xdr:colOff>
                <xdr:row>237</xdr:row>
                <xdr:rowOff>0</xdr:rowOff>
              </from>
              <to>
                <xdr:col>0</xdr:col>
                <xdr:colOff>914400</xdr:colOff>
                <xdr:row>238</xdr:row>
                <xdr:rowOff>53340</xdr:rowOff>
              </to>
            </anchor>
          </controlPr>
        </control>
      </mc:Choice>
      <mc:Fallback>
        <control shapeId="16390" r:id="rId11" name="Control 6"/>
      </mc:Fallback>
    </mc:AlternateContent>
    <mc:AlternateContent xmlns:mc="http://schemas.openxmlformats.org/markup-compatibility/2006">
      <mc:Choice Requires="x14">
        <control shapeId="16389" r:id="rId13" name="Control 5">
          <controlPr defaultSize="0" r:id="rId14">
            <anchor moveWithCells="1">
              <from>
                <xdr:col>0</xdr:col>
                <xdr:colOff>0</xdr:colOff>
                <xdr:row>237</xdr:row>
                <xdr:rowOff>0</xdr:rowOff>
              </from>
              <to>
                <xdr:col>1</xdr:col>
                <xdr:colOff>91440</xdr:colOff>
                <xdr:row>238</xdr:row>
                <xdr:rowOff>53340</xdr:rowOff>
              </to>
            </anchor>
          </controlPr>
        </control>
      </mc:Choice>
      <mc:Fallback>
        <control shapeId="16389" r:id="rId13" name="Control 5"/>
      </mc:Fallback>
    </mc:AlternateContent>
    <mc:AlternateContent xmlns:mc="http://schemas.openxmlformats.org/markup-compatibility/2006">
      <mc:Choice Requires="x14">
        <control shapeId="16387" r:id="rId15" name="Control 3">
          <controlPr defaultSize="0" r:id="rId16">
            <anchor moveWithCells="1">
              <from>
                <xdr:col>0</xdr:col>
                <xdr:colOff>0</xdr:colOff>
                <xdr:row>237</xdr:row>
                <xdr:rowOff>0</xdr:rowOff>
              </from>
              <to>
                <xdr:col>0</xdr:col>
                <xdr:colOff>1737360</xdr:colOff>
                <xdr:row>238</xdr:row>
                <xdr:rowOff>53340</xdr:rowOff>
              </to>
            </anchor>
          </controlPr>
        </control>
      </mc:Choice>
      <mc:Fallback>
        <control shapeId="16387" r:id="rId15" name="Control 3"/>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74</vt:i4>
      </vt:variant>
    </vt:vector>
  </HeadingPairs>
  <TitlesOfParts>
    <vt:vector size="89" baseType="lpstr">
      <vt:lpstr>Start</vt:lpstr>
      <vt:lpstr>E Recomend</vt:lpstr>
      <vt:lpstr>Worksheet</vt:lpstr>
      <vt:lpstr>Sheet1</vt:lpstr>
      <vt:lpstr>CIP codes</vt:lpstr>
      <vt:lpstr>CIP codes (2)</vt:lpstr>
      <vt:lpstr>Database</vt:lpstr>
      <vt:lpstr>setup</vt:lpstr>
      <vt:lpstr>Worksheet K</vt:lpstr>
      <vt:lpstr>Clauses</vt:lpstr>
      <vt:lpstr>K</vt:lpstr>
      <vt:lpstr>APPENDIX B</vt:lpstr>
      <vt:lpstr>Appendix F</vt:lpstr>
      <vt:lpstr>Highest Degree</vt:lpstr>
      <vt:lpstr>Sheet5</vt:lpstr>
      <vt:lpstr>AcadDept</vt:lpstr>
      <vt:lpstr>Address_1</vt:lpstr>
      <vt:lpstr>Address_2</vt:lpstr>
      <vt:lpstr>AdminRes</vt:lpstr>
      <vt:lpstr>AppendixB</vt:lpstr>
      <vt:lpstr>AppendixF</vt:lpstr>
      <vt:lpstr>Beginning_Date</vt:lpstr>
      <vt:lpstr>'E Recomend'!Check6</vt:lpstr>
      <vt:lpstr>'E Recomend'!Check8</vt:lpstr>
      <vt:lpstr>'E Recomend'!Check9</vt:lpstr>
      <vt:lpstr>CIP</vt:lpstr>
      <vt:lpstr>'CIP codes (2)'!CIPCode</vt:lpstr>
      <vt:lpstr>CIPCode</vt:lpstr>
      <vt:lpstr>'CIP codes (2)'!CIPDescript</vt:lpstr>
      <vt:lpstr>CIPDescript</vt:lpstr>
      <vt:lpstr>City</vt:lpstr>
      <vt:lpstr>CollegeSchool</vt:lpstr>
      <vt:lpstr>Contract_Period</vt:lpstr>
      <vt:lpstr>Country</vt:lpstr>
      <vt:lpstr>CountryCode</vt:lpstr>
      <vt:lpstr>Database</vt:lpstr>
      <vt:lpstr>DegreeType</vt:lpstr>
      <vt:lpstr>Department</vt:lpstr>
      <vt:lpstr>Depts</vt:lpstr>
      <vt:lpstr>Disabled</vt:lpstr>
      <vt:lpstr>'Worksheet K'!Dropdown1</vt:lpstr>
      <vt:lpstr>email</vt:lpstr>
      <vt:lpstr>End_Date</vt:lpstr>
      <vt:lpstr>Equity</vt:lpstr>
      <vt:lpstr>ERecType</vt:lpstr>
      <vt:lpstr>EthnicOrigin</vt:lpstr>
      <vt:lpstr>First_Name</vt:lpstr>
      <vt:lpstr>FTE</vt:lpstr>
      <vt:lpstr>Gender</vt:lpstr>
      <vt:lpstr>HighestDegree</vt:lpstr>
      <vt:lpstr>Hours_to_teach</vt:lpstr>
      <vt:lpstr>I9Received</vt:lpstr>
      <vt:lpstr>ID</vt:lpstr>
      <vt:lpstr>Last_Name</vt:lpstr>
      <vt:lpstr>Mandated_Raise</vt:lpstr>
      <vt:lpstr>Merit</vt:lpstr>
      <vt:lpstr>Clauses!OLE_LINK3</vt:lpstr>
      <vt:lpstr>Clauses!OLE_LINK5</vt:lpstr>
      <vt:lpstr>Other</vt:lpstr>
      <vt:lpstr>Percent_Increase</vt:lpstr>
      <vt:lpstr>PIN</vt:lpstr>
      <vt:lpstr>Pos</vt:lpstr>
      <vt:lpstr>Prevailing_Salary</vt:lpstr>
      <vt:lpstr>'E Recomend'!Print_Area</vt:lpstr>
      <vt:lpstr>'E Recomend'!Print_Titles</vt:lpstr>
      <vt:lpstr>Promotion</vt:lpstr>
      <vt:lpstr>Rank</vt:lpstr>
      <vt:lpstr>Salutation</vt:lpstr>
      <vt:lpstr>School_College</vt:lpstr>
      <vt:lpstr>Schools</vt:lpstr>
      <vt:lpstr>SourceFunds</vt:lpstr>
      <vt:lpstr>SS</vt:lpstr>
      <vt:lpstr>State</vt:lpstr>
      <vt:lpstr>StateAgencyStatus</vt:lpstr>
      <vt:lpstr>States</vt:lpstr>
      <vt:lpstr>Stipend</vt:lpstr>
      <vt:lpstr>Tag</vt:lpstr>
      <vt:lpstr>'E Recomend'!Text1</vt:lpstr>
      <vt:lpstr>Clauses!Text10</vt:lpstr>
      <vt:lpstr>Clauses!Text13</vt:lpstr>
      <vt:lpstr>Clauses!Text14</vt:lpstr>
      <vt:lpstr>Clauses!Text15</vt:lpstr>
      <vt:lpstr>'Worksheet K'!Text3</vt:lpstr>
      <vt:lpstr>Title</vt:lpstr>
      <vt:lpstr>Title1</vt:lpstr>
      <vt:lpstr>Total_Salary</vt:lpstr>
      <vt:lpstr>Track</vt:lpstr>
      <vt:lpstr>Veteran</vt:lpstr>
      <vt:lpstr>Year</vt:lpstr>
    </vt:vector>
  </TitlesOfParts>
  <Company>Penny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Penny Family</dc:creator>
  <cp:lastModifiedBy>Roper, Maria</cp:lastModifiedBy>
  <cp:lastPrinted>2011-01-26T14:06:21Z</cp:lastPrinted>
  <dcterms:created xsi:type="dcterms:W3CDTF">2005-05-03T19:15:33Z</dcterms:created>
  <dcterms:modified xsi:type="dcterms:W3CDTF">2012-07-12T20:39:34Z</dcterms:modified>
</cp:coreProperties>
</file>