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45" windowWidth="18975" windowHeight="11955" firstSheet="1" activeTab="1"/>
  </bookViews>
  <sheets>
    <sheet name="CB_DATA_" sheetId="4" state="veryHidden" r:id="rId1"/>
    <sheet name="Normal Demand" sheetId="1" r:id="rId2"/>
  </sheets>
  <definedNames>
    <definedName name="CB_010bcb2e420f4d3fb57b37fba45cce56" localSheetId="1" hidden="1">'Normal Demand'!$E$155</definedName>
    <definedName name="CB_0111b644f8594ccfb759a2790e7af83d" localSheetId="1" hidden="1">'Normal Demand'!$E$135</definedName>
    <definedName name="CB_014c7ec2380c4b7ea69732c840a4ecca" localSheetId="1" hidden="1">'Normal Demand'!$E$308</definedName>
    <definedName name="CB_0168f3c1d1e5457fa7bb7917f2b17bdc" localSheetId="1" hidden="1">'Normal Demand'!$E$296</definedName>
    <definedName name="CB_023d9964cca04e40962d4efb39437717" localSheetId="1" hidden="1">'Normal Demand'!$E$279</definedName>
    <definedName name="CB_02d05fd84b4d40fb94aa2edf916a5970" localSheetId="1" hidden="1">'Normal Demand'!$E$122</definedName>
    <definedName name="CB_0304ca36de3940a8aa3149c931e24ad2" localSheetId="1" hidden="1">'Normal Demand'!$E$282</definedName>
    <definedName name="CB_032ab1c2d5d94f528cdbcbbd896f14f0" localSheetId="1" hidden="1">'Normal Demand'!$E$287</definedName>
    <definedName name="CB_03692571d5874087a07c064f6f01ad40" localSheetId="1" hidden="1">'Normal Demand'!$E$366</definedName>
    <definedName name="CB_03ea846ecaf549fd82fc69aa90833b7e" localSheetId="1" hidden="1">'Normal Demand'!$E$121</definedName>
    <definedName name="CB_0444923feea9432ebdab08561906c7bb" localSheetId="1" hidden="1">'Normal Demand'!$E$137</definedName>
    <definedName name="CB_05768d278c9c442e81aebf5f8f8f8665" localSheetId="1" hidden="1">'Normal Demand'!$E$196</definedName>
    <definedName name="CB_06b4d724e79b4401977c1a43af97238e" localSheetId="1" hidden="1">'Normal Demand'!$E$229</definedName>
    <definedName name="CB_07e3c282c04a42b38572095e7d5317c0" localSheetId="1" hidden="1">'Normal Demand'!$E$112</definedName>
    <definedName name="CB_082230c6d8eb4ec4b26f1f806c23ac1c" localSheetId="1" hidden="1">'Normal Demand'!$E$322</definedName>
    <definedName name="CB_0849517d0c4c4b0c9ff4791099b06593" localSheetId="1" hidden="1">'Normal Demand'!$E$157</definedName>
    <definedName name="CB_08cc876b606f4bf3b70a9a8a0bed7ad9" localSheetId="1" hidden="1">'Normal Demand'!$E$183</definedName>
    <definedName name="CB_08d947176ba04d9db1efe278dd1834c5" localSheetId="1" hidden="1">'Normal Demand'!$E$6</definedName>
    <definedName name="CB_08e8d8ef59ca464bafb2bb5b0d4a059a" localSheetId="1" hidden="1">'Normal Demand'!$E$63</definedName>
    <definedName name="CB_08f4a3b7a14f4f968eb4d63d512f3207" localSheetId="1" hidden="1">'Normal Demand'!$E$76</definedName>
    <definedName name="CB_09d473fa21f24e2286b0d05a3c4ccc3d" localSheetId="1" hidden="1">'Normal Demand'!$E$172</definedName>
    <definedName name="CB_0a5c4a01556341af9b32bffa3fd31fcd" localSheetId="1" hidden="1">'Normal Demand'!$E$139</definedName>
    <definedName name="CB_0aaf15c8845f48b3b710362451976017" localSheetId="1" hidden="1">'Normal Demand'!$E$321</definedName>
    <definedName name="CB_0b1cadc1cd4246708ea483417537d151" localSheetId="1" hidden="1">'Normal Demand'!$E$66</definedName>
    <definedName name="CB_0b901fff215e4a09b88487fa35d40c48" localSheetId="1" hidden="1">'Normal Demand'!$E$193</definedName>
    <definedName name="CB_0bb0491414894bf5a172ba49152536ee" localSheetId="1" hidden="1">'Normal Demand'!$E$305</definedName>
    <definedName name="CB_0cf5d1ec080448d58b175c5143cf804a" localSheetId="1" hidden="1">'Normal Demand'!$E$16</definedName>
    <definedName name="CB_0d39b7a06a73454a9637d45569d4f316" localSheetId="1" hidden="1">'Normal Demand'!$E$21</definedName>
    <definedName name="CB_0d55a3f0973b4d90a36f7db43835584e" localSheetId="1" hidden="1">'Normal Demand'!$E$270</definedName>
    <definedName name="CB_0e3aac6b23f24dd9bc1f0226b41404ad" localSheetId="1" hidden="1">'Normal Demand'!$E$96</definedName>
    <definedName name="CB_0f49d183c8644189acf8065706a6a09c" localSheetId="1" hidden="1">'Normal Demand'!$E$60</definedName>
    <definedName name="CB_0fac4f7f57a94a599edbc64986feb28f" localSheetId="1" hidden="1">'Normal Demand'!$E$315</definedName>
    <definedName name="CB_10318adb98c145aea786f95ad9fbf6e1" localSheetId="1" hidden="1">'Normal Demand'!$E$73</definedName>
    <definedName name="CB_114a9f382d2a4b6dbb391d4b621ecf3b" localSheetId="1" hidden="1">'Normal Demand'!$E$85</definedName>
    <definedName name="CB_115f83a856084e68bb6c33710c2709a5" localSheetId="1" hidden="1">'Normal Demand'!$E$80</definedName>
    <definedName name="CB_119fdedb63ca42279fa7c3bcf9fdf1d4" localSheetId="1" hidden="1">'Normal Demand'!$E$8</definedName>
    <definedName name="CB_1219aa0726b94ef7b44d31e85b1dbdf4" localSheetId="1" hidden="1">'Normal Demand'!$E$235</definedName>
    <definedName name="CB_12fc2ef6d9d34371b4cfca4804b05465" localSheetId="1" hidden="1">'Normal Demand'!$E$280</definedName>
    <definedName name="CB_13379d45ffb2411997084fecbea51d2c" localSheetId="1" hidden="1">'Normal Demand'!$E$56</definedName>
    <definedName name="CB_1340c07e34074173bb307c6405e8ef05" localSheetId="1" hidden="1">'Normal Demand'!$E$314</definedName>
    <definedName name="CB_13806438fc8047038ad1614b5b69ed81" localSheetId="1" hidden="1">'Normal Demand'!$E$220</definedName>
    <definedName name="CB_1408dbc7529d48b6a587e83b571dcac0" localSheetId="1" hidden="1">'Normal Demand'!$E$339</definedName>
    <definedName name="CB_14dcb6c48ec44d1ab5ec8e9cd90a58ef" localSheetId="1" hidden="1">'Normal Demand'!$E$107</definedName>
    <definedName name="CB_15c868bf62b34be38a638b7d2f238ad0" localSheetId="1" hidden="1">'Normal Demand'!$E$261</definedName>
    <definedName name="CB_16692fcc19734640838e47ce363f88d2" localSheetId="1" hidden="1">'Normal Demand'!$E$232</definedName>
    <definedName name="CB_16f37f1d32a74270a300d0025786b6e7" localSheetId="1" hidden="1">'Normal Demand'!$E$178</definedName>
    <definedName name="CB_1a52e010b42547fba3ef52ac102a6f84" localSheetId="1" hidden="1">'Normal Demand'!$E$167</definedName>
    <definedName name="CB_1d1ca6020b87487ca864e5375a4775b3" localSheetId="1" hidden="1">'Normal Demand'!$E$263</definedName>
    <definedName name="CB_1d591130177a4d86a2155517db2bc9eb" localSheetId="1" hidden="1">'Normal Demand'!$E$362</definedName>
    <definedName name="CB_1eb556dc3aa34b0fa86d3c65074da76a" localSheetId="1" hidden="1">'Normal Demand'!$E$195</definedName>
    <definedName name="CB_1f49eb4fe2d54fa387893505531d2273" localSheetId="1" hidden="1">'Normal Demand'!$E$317</definedName>
    <definedName name="CB_210bde6091b8489cba3725be2c74a5f3" localSheetId="1" hidden="1">'Normal Demand'!$E$226</definedName>
    <definedName name="CB_211b134676384397b42232e4c177fe8e" localSheetId="1" hidden="1">'Normal Demand'!$E$332</definedName>
    <definedName name="CB_21ac644b4a3e4ce5af541645c5bcc954" localSheetId="1" hidden="1">'Normal Demand'!$E$31</definedName>
    <definedName name="CB_257f1025a25f40ec9d1fbc2284ab62ee" localSheetId="1" hidden="1">'Normal Demand'!$E$49</definedName>
    <definedName name="CB_25853d6ef51d4f7bbbb1fa81461035c8" localSheetId="1" hidden="1">'Normal Demand'!$E$349</definedName>
    <definedName name="CB_26afd34c0ba340fa8010aebb752b7701" localSheetId="1" hidden="1">'Normal Demand'!$E$40</definedName>
    <definedName name="CB_26cbde8cb30c4780a8e26bfd3e117343" localSheetId="1" hidden="1">'Normal Demand'!$E$116</definedName>
    <definedName name="CB_270a242a24c4458b89d9dd6f59ca6f2f" localSheetId="1" hidden="1">'Normal Demand'!$E$293</definedName>
    <definedName name="CB_2753e4e4225046d9bc355a8147339474" localSheetId="1" hidden="1">'Normal Demand'!$E$36</definedName>
    <definedName name="CB_295e60716456478387144cdd29db3447" localSheetId="1" hidden="1">'Normal Demand'!$E$161</definedName>
    <definedName name="CB_29a9d5dfbac74461a8d4b9a1ad67a5ec" localSheetId="1" hidden="1">'Normal Demand'!$E$26</definedName>
    <definedName name="CB_2a3bb115677d4e3d8749e7ef83e66c66" localSheetId="1" hidden="1">'Normal Demand'!$E$46</definedName>
    <definedName name="CB_2acb78a2145a46959b0617688a8e795e" localSheetId="1" hidden="1">'Normal Demand'!$E$223</definedName>
    <definedName name="CB_2b293ad8e2d0461e9698f16c85e40238" localSheetId="1" hidden="1">'Normal Demand'!$E$301</definedName>
    <definedName name="CB_2b9660deedeb423d9363787535cb3b85" localSheetId="1" hidden="1">'Normal Demand'!$E$23</definedName>
    <definedName name="CB_2c0ed172e6ed43948162f10873365f33" localSheetId="1" hidden="1">'Normal Demand'!$E$17</definedName>
    <definedName name="CB_2c88502e518e45afa4a78dd3fc7f70da" localSheetId="1" hidden="1">'Normal Demand'!$E$125</definedName>
    <definedName name="CB_2cd2094ce2f646f39aa25f91d2f91b09" localSheetId="1" hidden="1">'Normal Demand'!$E$105</definedName>
    <definedName name="CB_2edb04b35eab4ea9bc1479eb50b969a9" localSheetId="1" hidden="1">'Normal Demand'!$E$283</definedName>
    <definedName name="CB_2ee3db40e2d6446c9f44658451701d06" localSheetId="1" hidden="1">'Normal Demand'!$E$110</definedName>
    <definedName name="CB_2f30330835474bae86d9a93d918a81a9" localSheetId="1" hidden="1">'Normal Demand'!$E$14</definedName>
    <definedName name="CB_2f4e3a69163b4245859beb2e0e7262f6" localSheetId="1" hidden="1">'Normal Demand'!$E$95</definedName>
    <definedName name="CB_302ead420f394c848bb07cdd37cf1965" localSheetId="1" hidden="1">'Normal Demand'!$E$348</definedName>
    <definedName name="CB_308ff0c5640a460b94ec23d4dce49b6b" localSheetId="1" hidden="1">'Normal Demand'!$E$33</definedName>
    <definedName name="CB_30c91f65d44c4162853b5450cd079870" localSheetId="1" hidden="1">'Normal Demand'!$E$364</definedName>
    <definedName name="CB_310a22609f3748bfbdb3961b9361abe9" localSheetId="1" hidden="1">'Normal Demand'!$E$360</definedName>
    <definedName name="CB_31d84c8cb42545cc9a9c3d25885eeb3c" localSheetId="1" hidden="1">'Normal Demand'!$E$239</definedName>
    <definedName name="CB_32dfcddb7cd84fbf998680d9b7c2fa71" localSheetId="1" hidden="1">'Normal Demand'!$E$109</definedName>
    <definedName name="CB_3405d1ae4f2d4aad8bcd55a6b2be0e2d" localSheetId="1" hidden="1">'Normal Demand'!$E$117</definedName>
    <definedName name="CB_354786e1a01b4d81aab860c4de60ab86" localSheetId="1" hidden="1">'Normal Demand'!$E$119</definedName>
    <definedName name="CB_361f5aeebf694e3c8b5d54cf1d063c1f" localSheetId="1" hidden="1">'Normal Demand'!$E$79</definedName>
    <definedName name="CB_375a76ec849045b8ad76f5085389ba4b" localSheetId="1" hidden="1">'Normal Demand'!$E$355</definedName>
    <definedName name="CB_37d60aa403f54635a66bf33d93fae69d" localSheetId="1" hidden="1">'Normal Demand'!$E$347</definedName>
    <definedName name="CB_37fe0aee6d854a48b6837dcbdb5a283e" localSheetId="1" hidden="1">'Normal Demand'!$E$113</definedName>
    <definedName name="CB_38051211366a44199f526a913da5b443" localSheetId="1" hidden="1">'Normal Demand'!$E$304</definedName>
    <definedName name="CB_380c3f25f2ae4fd2ab5b2d26e48e23e6" localSheetId="1" hidden="1">'Normal Demand'!$E$43</definedName>
    <definedName name="CB_3a48f77059104e4caa1a20aa5fac4c59" localSheetId="1" hidden="1">'Normal Demand'!$E$148</definedName>
    <definedName name="CB_3abcb7151f884939bc250253cac27df2" localSheetId="1" hidden="1">'Normal Demand'!$E$272</definedName>
    <definedName name="CB_3bf1c098ba914dfd8eda4a70b46aea78" localSheetId="1" hidden="1">'Normal Demand'!$E$343</definedName>
    <definedName name="CB_3c48cd59a2a9433d939f6f8c79657583" localSheetId="1" hidden="1">'Normal Demand'!$E$224</definedName>
    <definedName name="CB_3cdb1aab2a1445058c620cc95da67762" localSheetId="1" hidden="1">'Normal Demand'!$E$295</definedName>
    <definedName name="CB_3d03c2c428904626b5c9c317287c5710" localSheetId="1" hidden="1">'Normal Demand'!$E$35</definedName>
    <definedName name="CB_3d112580af5a4597995bcf759c2fb802" localSheetId="1" hidden="1">'Normal Demand'!$E$34</definedName>
    <definedName name="CB_3f22ace9c9514d2182b70e2a1ec7e25a" localSheetId="1" hidden="1">'Normal Demand'!$E$189</definedName>
    <definedName name="CB_3ff21bb2496047efb5c34fe60bbdb1d3" localSheetId="1" hidden="1">'Normal Demand'!$E$192</definedName>
    <definedName name="CB_4098e13b7e8b4fadb63da4b182b2c36f" localSheetId="1" hidden="1">'Normal Demand'!$E$363</definedName>
    <definedName name="CB_40fbaccb637e4e8dbf8e336de0cef858" localSheetId="1" hidden="1">'Normal Demand'!$E$310</definedName>
    <definedName name="CB_41224a1abeb54f0aa3dd4bd1bc199e9b" localSheetId="1" hidden="1">'Normal Demand'!$E$143</definedName>
    <definedName name="CB_418e0c4a4e6c4256835ba0142216f943" localSheetId="1" hidden="1">'Normal Demand'!$E$357</definedName>
    <definedName name="CB_41ab3c57ba504ceabb46998940ae4328" localSheetId="1" hidden="1">'Normal Demand'!$E$358</definedName>
    <definedName name="CB_424770ad85ac444693bacab88b21ba18" localSheetId="1" hidden="1">'Normal Demand'!$E$24</definedName>
    <definedName name="CB_426ad881aef0436a92ac08c30302c425" localSheetId="1" hidden="1">'Normal Demand'!$E$104</definedName>
    <definedName name="CB_4278155b16bc487db08d2fd3d4e1a8fa" localSheetId="1" hidden="1">'Normal Demand'!$E$277</definedName>
    <definedName name="CB_4285ac5c47c04201b05a131a551bee85" localSheetId="1" hidden="1">'Normal Demand'!$E$221</definedName>
    <definedName name="CB_42eb8c46cc7a41da8b96b6cabc21f12c" localSheetId="1" hidden="1">'Normal Demand'!$E$118</definedName>
    <definedName name="CB_43c573809d994f549f3f7a71d33f2202" localSheetId="1" hidden="1">'Normal Demand'!$E$243</definedName>
    <definedName name="CB_43c898f27f86496782f6750a5c7e95b5" localSheetId="1" hidden="1">'Normal Demand'!$E$265</definedName>
    <definedName name="CB_43e172b610194a6db12ad21cfe183a9e" localSheetId="1" hidden="1">'Normal Demand'!$E$187</definedName>
    <definedName name="CB_45307ab7b0cd4e8ebb8f32cb0ef8d193" localSheetId="1" hidden="1">'Normal Demand'!$E$58</definedName>
    <definedName name="CB_4564a2d37db4442faa9b5ed763104037" localSheetId="1" hidden="1">'Normal Demand'!$E$77</definedName>
    <definedName name="CB_45680372aefa475a904d2877a0440d10" localSheetId="1" hidden="1">'Normal Demand'!$E$175</definedName>
    <definedName name="CB_4676f70155204655a7260246e367d920" localSheetId="1" hidden="1">'Normal Demand'!$E$82</definedName>
    <definedName name="CB_47908d92ed504305805d177d705a1a87" localSheetId="1" hidden="1">'Normal Demand'!$E$307</definedName>
    <definedName name="CB_48c0c0bb8676496fbbc225fe047b60cd" localSheetId="1" hidden="1">'Normal Demand'!$E$281</definedName>
    <definedName name="CB_4990f7c70d4141d1bef42cba55a7f7bf" localSheetId="1" hidden="1">'Normal Demand'!$E$323</definedName>
    <definedName name="CB_49a97bc9804a4f798ad45cdb2b6a8052" localSheetId="1" hidden="1">'Normal Demand'!$E$274</definedName>
    <definedName name="CB_4a507bfcff66418b990c1eb18f1d7222" localSheetId="1" hidden="1">'Normal Demand'!$E$262</definedName>
    <definedName name="CB_4b4046a21288487186905f3614c4960c" localSheetId="1" hidden="1">'Normal Demand'!$E$251</definedName>
    <definedName name="CB_4be943e551474d19901c76ea5c3867b6" localSheetId="1" hidden="1">'Normal Demand'!$E$309</definedName>
    <definedName name="CB_4c8962b9d614480189bb392efa125f97" localSheetId="1" hidden="1">'Normal Demand'!$E$288</definedName>
    <definedName name="CB_4d1bdfeabb8649b59b448dd5ce38752b" localSheetId="1" hidden="1">'Normal Demand'!$E$275</definedName>
    <definedName name="CB_4d50650c2bd44fd596cda055b15bb38a" localSheetId="1" hidden="1">'Normal Demand'!$E$210</definedName>
    <definedName name="CB_4d510d5ab0ab40a885f22e6d4c1af00d" localSheetId="1" hidden="1">'Normal Demand'!$E$285</definedName>
    <definedName name="CB_4f6c9965a78a425d82e03966ea3700d7" localSheetId="1" hidden="1">'Normal Demand'!$E$88</definedName>
    <definedName name="CB_4f8e29d21f3d46f18154b7f51a7d9923" localSheetId="1" hidden="1">'Normal Demand'!$E$353</definedName>
    <definedName name="CB_503aa40a606640a8ae8c05ea12502fce" localSheetId="1" hidden="1">'Normal Demand'!$E$306</definedName>
    <definedName name="CB_50db0d4ec8e04ebaac28719d68b07812" localSheetId="1" hidden="1">'Normal Demand'!$E$7</definedName>
    <definedName name="CB_52ff84c6e8564ed0810ce0f181c38875" localSheetId="1" hidden="1">'Normal Demand'!$E$254</definedName>
    <definedName name="CB_5334cdcad49a4b229cb371d04835098d" localSheetId="1" hidden="1">'Normal Demand'!$E$38</definedName>
    <definedName name="CB_5582fb9ebc284877b6a8ff1bcb493942" localSheetId="1" hidden="1">'Normal Demand'!$E$335</definedName>
    <definedName name="CB_55a49d0bc788427babb2ca6b404649a3" localSheetId="1" hidden="1">'Normal Demand'!$E$72</definedName>
    <definedName name="CB_5693e224bc5b4d828c8820fa88317108" localSheetId="1" hidden="1">'Normal Demand'!$E$57</definedName>
    <definedName name="CB_575ec5e35a8a4f65bd72cff8059b8962" localSheetId="1" hidden="1">'Normal Demand'!$E$47</definedName>
    <definedName name="CB_578159aced314485a0b4c55465d71437" localSheetId="1" hidden="1">'Normal Demand'!$E$28</definedName>
    <definedName name="CB_57e4322bde2042ce876ac4287e40c031" localSheetId="1" hidden="1">'Normal Demand'!$E$50</definedName>
    <definedName name="CB_5900a41b34394fecb7cf3188f5343e5e" localSheetId="1" hidden="1">'Normal Demand'!$E$342</definedName>
    <definedName name="CB_5af81b4ea67644da9d6d37e559919807" localSheetId="1" hidden="1">'Normal Demand'!$E$267</definedName>
    <definedName name="CB_5c7163b218d54361b36a44638e60ec84" localSheetId="1" hidden="1">'Normal Demand'!$E$356</definedName>
    <definedName name="CB_5eac6b1086a94b1baa1723a79eed454c" localSheetId="1" hidden="1">'Normal Demand'!$E$331</definedName>
    <definedName name="CB_5fc8e723cd6f4e8d8f702a8c4fc0bb04" localSheetId="1" hidden="1">'Normal Demand'!$E$133</definedName>
    <definedName name="CB_5fe15ea65fac45ad88fda78e9156d4a6" localSheetId="1" hidden="1">'Normal Demand'!$E$12</definedName>
    <definedName name="CB_608b5b6881734875ad2e415016a3690f" localSheetId="1" hidden="1">'Normal Demand'!$E$54</definedName>
    <definedName name="CB_60ce9d36b0ba41a9acbbdfbaebd01956" localSheetId="1" hidden="1">'Normal Demand'!$E$320</definedName>
    <definedName name="CB_6195a1545ddc4e0e9de08b7b8630456b" localSheetId="1" hidden="1">'Normal Demand'!$E$94</definedName>
    <definedName name="CB_6215a7bb724e417f99caab328c7f52a7" localSheetId="1" hidden="1">'Normal Demand'!$E$173</definedName>
    <definedName name="CB_62977718101d42dc84720ca7a30b3cf7" localSheetId="1" hidden="1">'Normal Demand'!$E$225</definedName>
    <definedName name="CB_629cf8722e5e4678909a728daba059ae" localSheetId="1" hidden="1">'Normal Demand'!$E$337</definedName>
    <definedName name="CB_62dfd33beb1a4efb80e289c63047beef" localSheetId="1" hidden="1">'Normal Demand'!$E$52</definedName>
    <definedName name="CB_64677308359f4c78975b5e7247023060" localSheetId="1" hidden="1">'Normal Demand'!$E$228</definedName>
    <definedName name="CB_64cbc1eb92484a13a5ddee9391c14d4a" localSheetId="1" hidden="1">'Normal Demand'!$E$123</definedName>
    <definedName name="CB_6525faa91cd54374bb7c9040aa0db7ed" localSheetId="1" hidden="1">'Normal Demand'!$E$367</definedName>
    <definedName name="CB_658cf93cc1b643ecb45b4a6717a8b486" localSheetId="1" hidden="1">'Normal Demand'!$E$184</definedName>
    <definedName name="CB_67a7031260c941959e0f0a761e68791f" localSheetId="1" hidden="1">'Normal Demand'!$E$248</definedName>
    <definedName name="CB_681efe12103f4970b277c4113479ae03" localSheetId="1" hidden="1">'Normal Demand'!$E$214</definedName>
    <definedName name="CB_6840baa2b74447ada7bfc80eeb95fd01" localSheetId="1" hidden="1">'Normal Demand'!$E$165</definedName>
    <definedName name="CB_687af01b987f47c38ab2a4a4b0569266" localSheetId="1" hidden="1">'Normal Demand'!$E$53</definedName>
    <definedName name="CB_6922af1477094135b3bb5804a36821cd" localSheetId="1" hidden="1">'Normal Demand'!$E$29</definedName>
    <definedName name="CB_6aa9ae5160934b4480a9d224a1908f5d" localSheetId="1" hidden="1">'Normal Demand'!$E$237</definedName>
    <definedName name="CB_6bc029072df141618044220ab5f592fc" localSheetId="1" hidden="1">'Normal Demand'!$E$354</definedName>
    <definedName name="CB_6c227786d55340cb91025fe51107125b" localSheetId="1" hidden="1">'Normal Demand'!$E$89</definedName>
    <definedName name="CB_6cc09a22c8ab40c6ae0c483c27bec1f2" localSheetId="1" hidden="1">'Normal Demand'!$E$145</definedName>
    <definedName name="CB_6d00f09f8f5c4d5e84bcce6f34e01db2" localSheetId="1" hidden="1">'Normal Demand'!$E$32</definedName>
    <definedName name="CB_6d80684e2c6c4d30978a28da27fb61b3" localSheetId="1" hidden="1">'Normal Demand'!$E$130</definedName>
    <definedName name="CB_6d8ba265df464058bbeb76abfdb17162" localSheetId="1" hidden="1">'Normal Demand'!$E$231</definedName>
    <definedName name="CB_6d94cd9c245b49a494ac5a0052fff8f0" localSheetId="1" hidden="1">'Normal Demand'!$E$203</definedName>
    <definedName name="CB_6db49c8ba7d443208c331d1f67c55bb6" localSheetId="1" hidden="1">'Normal Demand'!$E$268</definedName>
    <definedName name="CB_6e002f3222324efa84c04f8ae8854887" localSheetId="1" hidden="1">'Normal Demand'!$E$131</definedName>
    <definedName name="CB_6e084517b01b4f3f81d01bc1e0db9625" localSheetId="1" hidden="1">'Normal Demand'!$E$215</definedName>
    <definedName name="CB_6e7583e8083545c597191c44dc1c71e0" localSheetId="1" hidden="1">'Normal Demand'!$E$246</definedName>
    <definedName name="CB_728a6e7ab2654ae597c1d7357118fb2e" localSheetId="1" hidden="1">'Normal Demand'!$E$87</definedName>
    <definedName name="CB_737356706b6e49628c2bbcfb31454323" localSheetId="1" hidden="1">'Normal Demand'!$E$303</definedName>
    <definedName name="CB_73dc2d600a8042adb9e2964ba5372499" localSheetId="1" hidden="1">'Normal Demand'!$E$69</definedName>
    <definedName name="CB_7420dccae1444ebaa3421b4d6a1733aa" localSheetId="1" hidden="1">'Normal Demand'!$E$258</definedName>
    <definedName name="CB_751f5be367b74dd7b20e1685a5767323" localSheetId="1" hidden="1">'Normal Demand'!$E$78</definedName>
    <definedName name="CB_758f29051a8940b78d34d9099e983b87" localSheetId="1" hidden="1">'Normal Demand'!$E$266</definedName>
    <definedName name="CB_76455c5897fd48409799f1b31d732457" localSheetId="1" hidden="1">'Normal Demand'!$E$206</definedName>
    <definedName name="CB_76aa9d4427d2453ab46549b3fdb422e3" localSheetId="1" hidden="1">'Normal Demand'!$E$152</definedName>
    <definedName name="CB_76cf58af46214be9a5405930e992612c" localSheetId="1" hidden="1">'Normal Demand'!$E$37</definedName>
    <definedName name="CB_77694e2736d842cea70145f0e765f6b7" localSheetId="1" hidden="1">'Normal Demand'!$E$74</definedName>
    <definedName name="CB_777d632659b845758c498e33e6d3b08f" localSheetId="1" hidden="1">'Normal Demand'!$E$326</definedName>
    <definedName name="CB_7826f64b755c4fd6aa73ec7529d328d1" localSheetId="1" hidden="1">'Normal Demand'!$E$99</definedName>
    <definedName name="CB_79b1d160f5214b75b8efe68505f35a51" localSheetId="1" hidden="1">'Normal Demand'!$E$144</definedName>
    <definedName name="CB_79b38776fb3247178fb21ce002f6ff55" localSheetId="1" hidden="1">'Normal Demand'!$E$350</definedName>
    <definedName name="CB_79ba1817239a41459e4e6c54327e8207" localSheetId="1" hidden="1">'Normal Demand'!$E$278</definedName>
    <definedName name="CB_7af4ed6e62ca4f4e80308c02652ddc98" localSheetId="1" hidden="1">'Normal Demand'!$E$290</definedName>
    <definedName name="CB_7b3cde3b6ea24f7eadcdbb6a284d65c6" localSheetId="1" hidden="1">'Normal Demand'!$E$338</definedName>
    <definedName name="CB_7b70207d2eca4ca98b5f85ea43eadcef" localSheetId="1" hidden="1">'Normal Demand'!$E$149</definedName>
    <definedName name="CB_7bd45b146f414de693d67276a16b1f4f" localSheetId="1" hidden="1">'Normal Demand'!$E$245</definedName>
    <definedName name="CB_7c2bbe69c783476f9283db1d2430936d" localSheetId="1" hidden="1">'Normal Demand'!$E$318</definedName>
    <definedName name="CB_7cdb51edcdaf427a9a0685ba4f0f5abe" localSheetId="1" hidden="1">'Normal Demand'!$E$141</definedName>
    <definedName name="CB_7ec69886dc424bd1a2b17288c5300ca8" localSheetId="1" hidden="1">'Normal Demand'!$E$346</definedName>
    <definedName name="CB_80a4392fa01c40e3a509dbc60b107a2a" localSheetId="1" hidden="1">'Normal Demand'!$E$191</definedName>
    <definedName name="CB_81390e7315d44b18935ff75b8fe0493f" localSheetId="1" hidden="1">'Normal Demand'!$E$194</definedName>
    <definedName name="CB_828652bbb6af4827989ce47048478498" localSheetId="1" hidden="1">'Normal Demand'!$E$341</definedName>
    <definedName name="CB_834bc2d22be5492c90ff2a0c1717a672" localSheetId="1" hidden="1">'Normal Demand'!$E$197</definedName>
    <definedName name="CB_84644df2359c4253a2fb6ef0ad6cd5b2" localSheetId="1" hidden="1">'Normal Demand'!$E$250</definedName>
    <definedName name="CB_847722ba43934c4fb284be74e0db15cd" localSheetId="1" hidden="1">'Normal Demand'!$E$128</definedName>
    <definedName name="CB_849329c87bb741cdb802890f93f1e166" localSheetId="1" hidden="1">'Normal Demand'!$E$5</definedName>
    <definedName name="CB_859fb317153c4a91afddc2d8737d8902" localSheetId="1" hidden="1">'Normal Demand'!$E$153</definedName>
    <definedName name="CB_85b9b9e67bc942769338c507fa58fe70" localSheetId="1" hidden="1">'Normal Demand'!$E$269</definedName>
    <definedName name="CB_85d0ed3a4f6647d795e6415b10c26754" localSheetId="1" hidden="1">'Normal Demand'!$E$48</definedName>
    <definedName name="CB_85d39cac2f9048db9c16d8a6e455b794" localSheetId="1" hidden="1">'Normal Demand'!$E$25</definedName>
    <definedName name="CB_86b60ec4e6dc456bab59740d6f631804" localSheetId="1" hidden="1">'Normal Demand'!$E$4</definedName>
    <definedName name="CB_86cb4545a1cc41deaaa1806ec4646e61" localSheetId="1" hidden="1">'Normal Demand'!$E$114</definedName>
    <definedName name="CB_871b1898bc8f475a8614b8def2085203" localSheetId="1" hidden="1">'Normal Demand'!$E$333</definedName>
    <definedName name="CB_88812d2410f24c068dd5e0e090d13fd0" localSheetId="1" hidden="1">'Normal Demand'!$E$351</definedName>
    <definedName name="CB_88c0e3f233254cc7895f5ddc13367360" localSheetId="1" hidden="1">'Normal Demand'!$E$44</definedName>
    <definedName name="CB_89e863d4feac4226ba77e2fa35c7361c" localSheetId="1" hidden="1">'Normal Demand'!$E$180</definedName>
    <definedName name="CB_8a468e5a37da4c669cc89b9cb9488ea6" localSheetId="1" hidden="1">'Normal Demand'!$E$207</definedName>
    <definedName name="CB_8d33969fd2b240d89cdc2f899a87d7d8" localSheetId="1" hidden="1">'Normal Demand'!$E$213</definedName>
    <definedName name="CB_8ec62f4f893341e2be60a75d4e835f37" localSheetId="1" hidden="1">'Normal Demand'!$E$166</definedName>
    <definedName name="CB_8f4cbf90ac444bb380c5c6b9f1767477" localSheetId="1" hidden="1">'Normal Demand'!$E$181</definedName>
    <definedName name="CB_8f81c3e2da264ec78f51fd6b102f74b5" localSheetId="1" hidden="1">'Normal Demand'!$E$68</definedName>
    <definedName name="CB_900d6733dec547d69902b18193868360" localSheetId="1" hidden="1">'Normal Demand'!$E$92</definedName>
    <definedName name="CB_906f70004e6d41af895b5ce59b9ef3cc" localSheetId="1" hidden="1">'Normal Demand'!$E$86</definedName>
    <definedName name="CB_91fe88abfcfb453fb944271c9bd1be15" localSheetId="1" hidden="1">'Normal Demand'!$E$20</definedName>
    <definedName name="CB_93de0b68785f4bad88d6a3aba8efddca" localSheetId="1" hidden="1">'Normal Demand'!$E$234</definedName>
    <definedName name="CB_94245a53099945f9ae37564c7ce8a35f" localSheetId="1" hidden="1">'Normal Demand'!$E$75</definedName>
    <definedName name="CB_95a085e2cc434a4bb8dd6776a229bbf7" localSheetId="1" hidden="1">'Normal Demand'!$E$98</definedName>
    <definedName name="CB_95c362e7a84440dc8198439ef6e3ade4" localSheetId="1" hidden="1">'Normal Demand'!$E$211</definedName>
    <definedName name="CB_968c4d36d3c2427d9e375b2198afdb8c" localSheetId="1" hidden="1">'Normal Demand'!$E$84</definedName>
    <definedName name="CB_97339d211ff945f39a24159150bb3576" localSheetId="1" hidden="1">'Normal Demand'!$E$286</definedName>
    <definedName name="CB_978be50efd2e4be5b6f27921859ba853" localSheetId="1" hidden="1">'Normal Demand'!$E$18</definedName>
    <definedName name="CB_979c0ab8c3f841ceb6599c1433337c0f" localSheetId="1" hidden="1">'Normal Demand'!$E$61</definedName>
    <definedName name="CB_982b90d8172c4db9a66a19196d7879e2" localSheetId="1" hidden="1">'Normal Demand'!$E$97</definedName>
    <definedName name="CB_989429769612462082d29241a4b992ac" localSheetId="1" hidden="1">'Normal Demand'!$E$186</definedName>
    <definedName name="CB_9977b2cb21cb4c37b712f07cf8dac5c0" localSheetId="1" hidden="1">'Normal Demand'!$E$291</definedName>
    <definedName name="CB_9a1685115e104f2194fb1ccf9ecc41e8" localSheetId="1" hidden="1">'Normal Demand'!$E$299</definedName>
    <definedName name="CB_9a3f976256c946abaf34e950f520174d" localSheetId="1" hidden="1">'Normal Demand'!$M$370</definedName>
    <definedName name="CB_9ab357b171ba4a0c814e598f1dfc2e06" localSheetId="1" hidden="1">'Normal Demand'!$E$227</definedName>
    <definedName name="CB_9b7012949f9a48589fecf4c37a4fb557" localSheetId="1" hidden="1">'Normal Demand'!$E$15</definedName>
    <definedName name="CB_9baa78d54e2e4780a4280952bf0939b0" localSheetId="1" hidden="1">'Normal Demand'!$E$134</definedName>
    <definedName name="CB_9d24cbf6b7e7448e9839945bb1baea99" localSheetId="1" hidden="1">'Normal Demand'!$E$39</definedName>
    <definedName name="CB_9d7382296dc0428d8ffa721971a44bce" localSheetId="1" hidden="1">'Normal Demand'!$E$284</definedName>
    <definedName name="CB_9d9cda42750c4dd383f42ea2148b96c6" localSheetId="1" hidden="1">'Normal Demand'!$E$190</definedName>
    <definedName name="CB_9e1a8618bfe045fe87865d4562a9fd26" localSheetId="1" hidden="1">'Normal Demand'!$E$120</definedName>
    <definedName name="CB_9e3ab995a1954a639dededdfc8766f11" localSheetId="1" hidden="1">'Normal Demand'!$E$169</definedName>
    <definedName name="CB_9e4d507333574c259b9870fe3732e7bd" localSheetId="1" hidden="1">'Normal Demand'!$E$244</definedName>
    <definedName name="CB_9f12ed220f6540ceb011ad68b5ef4c03" localSheetId="1" hidden="1">'Normal Demand'!$E$129</definedName>
    <definedName name="CB_9f31f896b67c4175b58ccf2c8b72dfd4" localSheetId="1" hidden="1">'Normal Demand'!$E$345</definedName>
    <definedName name="CB_9f685b9e2d264fafa278384467ae2f3a" localSheetId="1" hidden="1">'Normal Demand'!$E$316</definedName>
    <definedName name="CB_a0f4b157d68a4b38a8c639f45b149baf" localSheetId="1" hidden="1">'Normal Demand'!$E$41</definedName>
    <definedName name="CB_a131be09ed1b4a4681eeadc6010c3715" localSheetId="1" hidden="1">'Normal Demand'!$E$138</definedName>
    <definedName name="CB_a2468746bab0449293b8df4692764fcf" localSheetId="1" hidden="1">'Normal Demand'!$E$19</definedName>
    <definedName name="CB_a291605b2c1b48d6bb88fb8fb4ee92e1" localSheetId="1" hidden="1">'Normal Demand'!$E$185</definedName>
    <definedName name="CB_a29a8463762d43689342b118c7a1d5da" localSheetId="1" hidden="1">'Normal Demand'!$E$324</definedName>
    <definedName name="CB_a2b6de06270b448b8327dd26f14c4a3c" localSheetId="1" hidden="1">'Normal Demand'!$E$230</definedName>
    <definedName name="CB_a3d3ad0f353142c7a94d7462839053e1" localSheetId="1" hidden="1">'Normal Demand'!$E$198</definedName>
    <definedName name="CB_a41d8ae470fd4d9dbf071ef46f1c2524" localSheetId="1" hidden="1">'Normal Demand'!$E$252</definedName>
    <definedName name="CB_a447e8d738154f899d238cf9de34d97a" localSheetId="1" hidden="1">'Normal Demand'!$E$297</definedName>
    <definedName name="CB_a45cf30966d0429f82b98ca0440e1025" localSheetId="1" hidden="1">'Normal Demand'!$E$168</definedName>
    <definedName name="CB_a611a408318a4c53a20d322e21370446" localSheetId="1" hidden="1">'Normal Demand'!$E$273</definedName>
    <definedName name="CB_a8389d14eacc418db35a731fbb7f382e" localSheetId="1" hidden="1">'Normal Demand'!$E$51</definedName>
    <definedName name="CB_a87e88d00b0e42aba40c199dd0bc93b1" localSheetId="1" hidden="1">'Normal Demand'!$E$368</definedName>
    <definedName name="CB_a89f5bda60f04cd6a6c63d08814a10de" localSheetId="1" hidden="1">'Normal Demand'!$E$264</definedName>
    <definedName name="CB_a95cfb0a6fe6490daf92cbba9bbc8d94" localSheetId="1" hidden="1">'Normal Demand'!$E$257</definedName>
    <definedName name="CB_a9b18665436e43a1b14fb8dd9a1507cd" localSheetId="1" hidden="1">'Normal Demand'!$E$271</definedName>
    <definedName name="CB_aa13304d2dba49218adfae16b7ddbfdb" localSheetId="1" hidden="1">'Normal Demand'!$E$340</definedName>
    <definedName name="CB_abc88030efb54e0fab2c2e5b9830f06b" localSheetId="1" hidden="1">'Normal Demand'!$E$13</definedName>
    <definedName name="CB_ad7c23d1b752486ba3461de7df19e9a2" localSheetId="1" hidden="1">'Normal Demand'!$E$289</definedName>
    <definedName name="CB_aecaa7a494014923a7abef93e7a05c64" localSheetId="1" hidden="1">'Normal Demand'!$E$330</definedName>
    <definedName name="CB_aee4d9b946724baa920feac384d3b1fe" localSheetId="1" hidden="1">'Normal Demand'!$E$325</definedName>
    <definedName name="CB_af071183088e4fc0a28c13d4e0c276bf" localSheetId="1" hidden="1">'Normal Demand'!$E$132</definedName>
    <definedName name="CB_af1b50b65f324dadbdef4c979ed95851" localSheetId="1" hidden="1">'Normal Demand'!$E$127</definedName>
    <definedName name="CB_b08c11108d504bd688d8cccbff620697" localSheetId="1" hidden="1">'Normal Demand'!$E$126</definedName>
    <definedName name="CB_b0b73a11ea424dec8828783fbbf1694d" localSheetId="1" hidden="1">'Normal Demand'!$E$204</definedName>
    <definedName name="CB_b0c7180d8a3742479a4f244c7e3c100a" localSheetId="1" hidden="1">'Normal Demand'!$H$372</definedName>
    <definedName name="CB_b0e91c0bb35a4b1d9e61ca45960c8c26" localSheetId="1" hidden="1">'Normal Demand'!$E$312</definedName>
    <definedName name="CB_b16c63c26a4e4c37897fd3fc63cda74c" localSheetId="1" hidden="1">'Normal Demand'!$E$238</definedName>
    <definedName name="CB_b1a19c4b4eae483f8dab0b480b08c3fd" localSheetId="1" hidden="1">'Normal Demand'!$E$100</definedName>
    <definedName name="CB_b2370631b9874f0286f9308588c374ce" localSheetId="1" hidden="1">'Normal Demand'!$E$336</definedName>
    <definedName name="CB_b2c6760fd7064d60b3773b110f9cc126" localSheetId="1" hidden="1">'Normal Demand'!$E$102</definedName>
    <definedName name="CB_b335f4f9a4a74cda8bb8eedaefc77ae6" localSheetId="1" hidden="1">'Normal Demand'!$E$236</definedName>
    <definedName name="CB_b33796810b8d4ea8ba10f52a769cbff8" localSheetId="1" hidden="1">'Normal Demand'!$E$81</definedName>
    <definedName name="CB_b371185400f14618b3b4c9584edaa0e9" localSheetId="1" hidden="1">'Normal Demand'!$E$150</definedName>
    <definedName name="CB_b4140cc088074fc587bee4c6735291f4" localSheetId="1" hidden="1">'Normal Demand'!$E$365</definedName>
    <definedName name="CB_b42df75b6e344ab78819399a5cc407d7" localSheetId="1" hidden="1">'Normal Demand'!$E$240</definedName>
    <definedName name="CB_b64e3ef478714f61a6746a15431c0f7a" localSheetId="1" hidden="1">'Normal Demand'!$E$298</definedName>
    <definedName name="CB_b7455f3af38a4a6eb0af0065984e028a" localSheetId="1" hidden="1">'Normal Demand'!$E$65</definedName>
    <definedName name="CB_b9d1e4dfac0d483b950557450cc1f685" localSheetId="1" hidden="1">'Normal Demand'!$E$302</definedName>
    <definedName name="CB_ba8d45e9de9044b78e200541528ac868" localSheetId="1" hidden="1">'Normal Demand'!$E$67</definedName>
    <definedName name="CB_bb42ae9fd6cf47198e44bbda0152c0bb" localSheetId="1" hidden="1">'Normal Demand'!$E$147</definedName>
    <definedName name="CB_bca993b2dc0442ba85a904cdf5d019f2" localSheetId="1" hidden="1">'Normal Demand'!$E$91</definedName>
    <definedName name="CB_bd6553657ee540da991b2f09a55a01b6" localSheetId="1" hidden="1">'Normal Demand'!$E$200</definedName>
    <definedName name="CB_be9ade7425544f0495251f65dfc35213" localSheetId="1" hidden="1">'Normal Demand'!$E$319</definedName>
    <definedName name="CB_bf0b2cfbac8a404f8a6ca47acb56d4be" localSheetId="1" hidden="1">'Normal Demand'!$H$370</definedName>
    <definedName name="CB_Block_00000000000000000000000000000000" localSheetId="1" hidden="1">"'7.0.0.0"</definedName>
    <definedName name="CB_Block_00000000000000000000000000000001" localSheetId="0" hidden="1">"'634284569322259995"</definedName>
    <definedName name="CB_Block_00000000000000000000000000000001" localSheetId="1" hidden="1">"'634284569328041356"</definedName>
    <definedName name="CB_Block_00000000000000000000000000000003" localSheetId="1" hidden="1">"'11.1.1448.0"</definedName>
    <definedName name="CB_BlockExt_00000000000000000000000000000003" localSheetId="1" hidden="1">"'11.1.2.0.00"</definedName>
    <definedName name="CB_c07ad9e552fa409d98ad266a2e8fb77b" localSheetId="1" hidden="1">'Normal Demand'!$E$159</definedName>
    <definedName name="CB_c09c118671c04b728e5461b1e23ae00d" localSheetId="1" hidden="1">'Normal Demand'!$E$151</definedName>
    <definedName name="CB_c19c3b61dee347eb901d969c0bbd7d7b" localSheetId="1" hidden="1">'Normal Demand'!$E$70</definedName>
    <definedName name="CB_c1ff1152fe104667a27aebfe69a10800" localSheetId="1" hidden="1">'Normal Demand'!$E$253</definedName>
    <definedName name="CB_c2008c2f80394860ad0ae7807ac938d9" localSheetId="1" hidden="1">'Normal Demand'!$E$222</definedName>
    <definedName name="CB_c30c939587994e3483dd5a1064848105" localSheetId="1" hidden="1">'Normal Demand'!$E$42</definedName>
    <definedName name="CB_c3af0687c22f4c5a830f5e55d90da354" localSheetId="1" hidden="1">'Normal Demand'!$E$140</definedName>
    <definedName name="CB_c45eb1561d31415b995a59e182aed898" localSheetId="1" hidden="1">'Normal Demand'!$E$344</definedName>
    <definedName name="CB_c4abefa008a24ff19558073857438c06" localSheetId="1" hidden="1">'Normal Demand'!$E$176</definedName>
    <definedName name="CB_c6cf8dbd099646e6b22e2bec1bff5f1f" localSheetId="1" hidden="1">'Normal Demand'!$E$30</definedName>
    <definedName name="CB_c7ecc9d88e4d435e8739ebf873b3bdde" localSheetId="1" hidden="1">'Normal Demand'!$E$162</definedName>
    <definedName name="CB_c8347ba4a1db45cbab45a2552fefb3b9" localSheetId="1" hidden="1">'Normal Demand'!$E$329</definedName>
    <definedName name="CB_c908945bb1ea4f15a96ab3e2f34c9cb2" localSheetId="1" hidden="1">'Normal Demand'!$E$101</definedName>
    <definedName name="CB_c9983c71a0994b5bbd2eb58f98fcfc28" localSheetId="1" hidden="1">'Normal Demand'!$E$174</definedName>
    <definedName name="CB_c9a3a323d8ba40c989f946cff2aaebb5" localSheetId="1" hidden="1">'Normal Demand'!$E$158</definedName>
    <definedName name="CB_cc6b69d970d440b482e562afb4768d62" localSheetId="1" hidden="1">'Normal Demand'!$E$108</definedName>
    <definedName name="CB_cc74213d52ce4900a9db166534614c4a" localSheetId="1" hidden="1">'Normal Demand'!$E$361</definedName>
    <definedName name="CB_ccaffd340bec432d95493240d1273cf1" localSheetId="1" hidden="1">'Normal Demand'!$E$311</definedName>
    <definedName name="CB_cd14aeb11039457993f98129e3ea3f8e" localSheetId="1" hidden="1">'Normal Demand'!$E$142</definedName>
    <definedName name="CB_cdcac55b3e964509bd73862a46ed79b8" localSheetId="1" hidden="1">'Normal Demand'!$E$188</definedName>
    <definedName name="CB_ce0f854428794cdd9bdcfb9a936df15f" localSheetId="1" hidden="1">'Normal Demand'!$E$260</definedName>
    <definedName name="CB_ce1fe6e2a8664990982d7364069adb1b" localSheetId="1" hidden="1">'Normal Demand'!$E$170</definedName>
    <definedName name="CB_ce8f13202545435f84aa2ed3dd8360ef" localSheetId="1" hidden="1">'Normal Demand'!$E$45</definedName>
    <definedName name="CB_ceac3184672844f3ab29518ca5b4060f" localSheetId="1" hidden="1">'Normal Demand'!$E$71</definedName>
    <definedName name="CB_cf74e88f92a44e8ea3f2371bd8da05d4" localSheetId="1" hidden="1">'Normal Demand'!$E$182</definedName>
    <definedName name="CB_d024ed847d7b4020a31a7b585f63fe5e" localSheetId="1" hidden="1">'Normal Demand'!$E$359</definedName>
    <definedName name="CB_d1c8da7a4d4349d0a15ba90743f60d2f" localSheetId="1" hidden="1">'Normal Demand'!$E$249</definedName>
    <definedName name="CB_d3047e8c96f54cf9adb3c55f020d9ad4" localSheetId="1" hidden="1">'Normal Demand'!$E$171</definedName>
    <definedName name="CB_d32b60ffff2542d384220f2036245e0f" localSheetId="1" hidden="1">'Normal Demand'!$E$199</definedName>
    <definedName name="CB_d3357e473d134844b93f3cefc65a07dd" localSheetId="1" hidden="1">'Normal Demand'!$E$177</definedName>
    <definedName name="CB_d722eada1313496f96ee69efc5d48dc7" localSheetId="1" hidden="1">'Normal Demand'!$E$352</definedName>
    <definedName name="CB_d73889460e2547a0b30339d8c5109176" localSheetId="1" hidden="1">'Normal Demand'!$E$55</definedName>
    <definedName name="CB_d7f4cc195f384006af61c63181f473fb" localSheetId="1" hidden="1">'Normal Demand'!$M$372</definedName>
    <definedName name="CB_d8775eec552042edb2a931fcfd7b4bb2" localSheetId="1" hidden="1">'Normal Demand'!$E$219</definedName>
    <definedName name="CB_d9a057f097354fe79b24093f29c3c6e4" localSheetId="1" hidden="1">'Normal Demand'!$E$313</definedName>
    <definedName name="CB_da791469d6fb43a0895d14b5e6c2979b" localSheetId="1" hidden="1">'Normal Demand'!$E$124</definedName>
    <definedName name="CB_dc434f29f851444f8c1c20e2a9d30390" localSheetId="1" hidden="1">'Normal Demand'!$E$160</definedName>
    <definedName name="CB_dc596705d95c495195fa08eeb3d939e4" localSheetId="1" hidden="1">'Normal Demand'!$E$179</definedName>
    <definedName name="CB_dc6b4add5bd646d3b23227ab5bf6a66d" localSheetId="1" hidden="1">'Normal Demand'!$E$247</definedName>
    <definedName name="CB_dcb48ecddd644a449ac295400b54e96c" localSheetId="1" hidden="1">'Normal Demand'!$E$300</definedName>
    <definedName name="CB_dcd269bc5b6e46039c0a80b2d418c85d" localSheetId="1" hidden="1">'Normal Demand'!$E$294</definedName>
    <definedName name="CB_dcd7782d60db4109b2d8afe39b1ca0b5" localSheetId="1" hidden="1">'Normal Demand'!$E$27</definedName>
    <definedName name="CB_ddbcc17cb27f4da19ae5ec95e8852b2c" localSheetId="1" hidden="1">'Normal Demand'!$E$242</definedName>
    <definedName name="CB_de04e645873c485aa678eec8904184ce" localSheetId="1" hidden="1">'Normal Demand'!$E$59</definedName>
    <definedName name="CB_df0e65d250844c61bfb3cc092c994a6f" localSheetId="1" hidden="1">'Normal Demand'!$E$156</definedName>
    <definedName name="CB_df96ce83bbf241c6bca7f8073664a1f7" localSheetId="1" hidden="1">'Normal Demand'!$E$217</definedName>
    <definedName name="CB_e00a428314364d989d3c640ea5fa22d0" localSheetId="1" hidden="1">'Normal Demand'!$E$64</definedName>
    <definedName name="CB_e01e354f087f4bb5bd1c39bcc779837c" localSheetId="1" hidden="1">'Normal Demand'!$E$163</definedName>
    <definedName name="CB_e16d674f8e1a498493546c6b7145789e" localSheetId="1" hidden="1">'Normal Demand'!$E$212</definedName>
    <definedName name="CB_e2a037784f48498ab4f42e911edc790a" localSheetId="1" hidden="1">'Normal Demand'!$E$208</definedName>
    <definedName name="CB_e2a945f94d7f48acb301b5abaa9aab1b" localSheetId="1" hidden="1">'Normal Demand'!$E$201</definedName>
    <definedName name="CB_e5b5c1566e6f40c48967b51cfd2e6db4" localSheetId="1" hidden="1">'Normal Demand'!$E$103</definedName>
    <definedName name="CB_e6165f933972440a87a4b7cfcef1881d" localSheetId="1" hidden="1">'Normal Demand'!$E$136</definedName>
    <definedName name="CB_e634de158e894416b80f5f5844c660c0" localSheetId="1" hidden="1">'Normal Demand'!$E$146</definedName>
    <definedName name="CB_e66c4f4cb1224fb6b3890b3036fa6b8a" localSheetId="1" hidden="1">'Normal Demand'!$E$10</definedName>
    <definedName name="CB_e6a2becd09f544ceab89b595537a1c41" localSheetId="1" hidden="1">'Normal Demand'!$E$328</definedName>
    <definedName name="CB_e6cd97aa6e67434fa6407b0ad48388d8" localSheetId="1" hidden="1">'Normal Demand'!$E$209</definedName>
    <definedName name="CB_e863e401fdd64bb0807089d86ef0d546" localSheetId="1" hidden="1">'Normal Demand'!$E$202</definedName>
    <definedName name="CB_e8ed0aba9604454a8f73fe1da20bbfcf" localSheetId="1" hidden="1">'Normal Demand'!$E$62</definedName>
    <definedName name="CB_e96892c745374d65ac251377c80e2bec" localSheetId="1" hidden="1">'Normal Demand'!$E$241</definedName>
    <definedName name="CB_ea7d649aacb44b20a816b4bae3976c84" localSheetId="1" hidden="1">'Normal Demand'!$E$115</definedName>
    <definedName name="CB_ed0ea4dbce99440c88a336393030446d" localSheetId="1" hidden="1">'Normal Demand'!$E$216</definedName>
    <definedName name="CB_ed8bf074259745eb921a81bc5b102b4a" localSheetId="1" hidden="1">'Normal Demand'!$E$334</definedName>
    <definedName name="CB_ede884a8e3d04183b6feb731a96aa066" localSheetId="1" hidden="1">'Normal Demand'!$E$11</definedName>
    <definedName name="CB_ee5551810a644f868c64591fae6d4e2f" localSheetId="1" hidden="1">'Normal Demand'!$E$218</definedName>
    <definedName name="CB_f2110d05b8254a0b9fc89e5119dea579" localSheetId="1" hidden="1">'Normal Demand'!$E$90</definedName>
    <definedName name="CB_f2d59f5da17a4cdf97744acc9ef521ea" localSheetId="1" hidden="1">'Normal Demand'!$E$259</definedName>
    <definedName name="CB_f3bcabbccade4bc7b7af53e431075094" localSheetId="1" hidden="1">'Normal Demand'!$E$106</definedName>
    <definedName name="CB_f45178d05e154a7388a2f6d51e99e1fb" localSheetId="1" hidden="1">'Normal Demand'!$E$233</definedName>
    <definedName name="CB_f4c1398190324ff88e6c5aa7123c3acf" localSheetId="1" hidden="1">'Normal Demand'!$E$9</definedName>
    <definedName name="CB_f68f4322d470474d9b9f17244abd3f2e" localSheetId="1" hidden="1">'Normal Demand'!$E$111</definedName>
    <definedName name="CB_f8c6436125a74ce29a52af7b671f2186" localSheetId="1" hidden="1">'Normal Demand'!$E$83</definedName>
    <definedName name="CB_f8ef453883bc41bdb9668f3120d52081" localSheetId="1" hidden="1">'Normal Demand'!$E$205</definedName>
    <definedName name="CB_fa5024d9f7eb4fe6b9abd0831b344714" localSheetId="1" hidden="1">'Normal Demand'!$E$164</definedName>
    <definedName name="CB_fa570ab6b03e414493a7ba589f98ec32" localSheetId="1" hidden="1">'Normal Demand'!$E$276</definedName>
    <definedName name="CB_fbf6616a77e442348da9c37bcecb4762" localSheetId="1" hidden="1">'Normal Demand'!$E$22</definedName>
    <definedName name="CB_fd5f0d7ab9ff45ab9529f0f6a6cb350b" localSheetId="1" hidden="1">'Normal Demand'!$E$327</definedName>
    <definedName name="CB_fd675040fb1e4422a3411049daa63377" localSheetId="1" hidden="1">'Normal Demand'!$E$93</definedName>
    <definedName name="CB_fdc8e6ecefd04e52a05bc9ae49e17b4b" localSheetId="1" hidden="1">'Normal Demand'!$E$154</definedName>
    <definedName name="CB_ff1b84b8587c420089f9935f15a2e527" localSheetId="1" hidden="1">'Normal Demand'!$E$255</definedName>
    <definedName name="CB_ffa212501e9c448e80ad5fd8654a1634" localSheetId="1" hidden="1">'Normal Demand'!$E$256</definedName>
    <definedName name="CB_ffd52f8136b64daaacabd381d05087c9" localSheetId="1" hidden="1">'Normal Demand'!$E$292</definedName>
    <definedName name="CBCR_00deb4a0cd604d56be9704a33498f547" localSheetId="1" hidden="1">'Normal Demand'!$B$2</definedName>
    <definedName name="CBCR_00e8981dd5da4d63b0ff4b3e794a4b9d" localSheetId="1" hidden="1">'Normal Demand'!$B$2</definedName>
    <definedName name="CBCR_024c56affde5417d95a7ad61d9ec8535" localSheetId="1" hidden="1">'Normal Demand'!$B$2</definedName>
    <definedName name="CBCR_0266f7df025443a2949f2f3b5188c5ad" localSheetId="1" hidden="1">'Normal Demand'!$B$1</definedName>
    <definedName name="CBCR_02faae169a0e4c6289d6a9b0833f0cda" localSheetId="1" hidden="1">'Normal Demand'!$B$1</definedName>
    <definedName name="CBCR_030e9d1b02714c37a649c1e2d94f9ab9" localSheetId="1" hidden="1">'Normal Demand'!$B$1</definedName>
    <definedName name="CBCR_0319694e1c8640208218089f65ea6331" localSheetId="1" hidden="1">'Normal Demand'!$B$2</definedName>
    <definedName name="CBCR_033e67a096ab41b183af7431e527fa45" localSheetId="1" hidden="1">'Normal Demand'!$B$2</definedName>
    <definedName name="CBCR_03619c193b604aecb102c5e1846f7273" localSheetId="1" hidden="1">'Normal Demand'!$B$2</definedName>
    <definedName name="CBCR_036dd25a91234231841c40f5a613ee9b" localSheetId="1" hidden="1">'Normal Demand'!$B$1</definedName>
    <definedName name="CBCR_036f61bb555e47d4983cc62ed2d0fd0d" localSheetId="1" hidden="1">'Normal Demand'!$B$1</definedName>
    <definedName name="CBCR_03a143255b64483e8569d94b2fc87d39" localSheetId="1" hidden="1">'Normal Demand'!$B$2</definedName>
    <definedName name="CBCR_03b054767bf94e39b15a87774a76dace" localSheetId="1" hidden="1">'Normal Demand'!$B$1</definedName>
    <definedName name="CBCR_03b6d7e4bfe74188b5db06466f93ab5e" localSheetId="1" hidden="1">'Normal Demand'!$B$1</definedName>
    <definedName name="CBCR_03da4cd8fdb341b79c3d30fa48883515" localSheetId="1" hidden="1">'Normal Demand'!$B$2</definedName>
    <definedName name="CBCR_05aea6bc0954475cb147ed28c7b724f7" localSheetId="1" hidden="1">'Normal Demand'!$B$2</definedName>
    <definedName name="CBCR_06a0755d923b4108963c8ed7ebe2b3f4" localSheetId="1" hidden="1">'Normal Demand'!$B$1</definedName>
    <definedName name="CBCR_07956e8191c24ff7875316799eea322c" localSheetId="1" hidden="1">'Normal Demand'!$B$1</definedName>
    <definedName name="CBCR_07a925f4fc61433ca359667fc78eb912" localSheetId="1" hidden="1">'Normal Demand'!$B$1</definedName>
    <definedName name="CBCR_0802a34220e442b7bae31f582aca1786" localSheetId="1" hidden="1">'Normal Demand'!$B$2</definedName>
    <definedName name="CBCR_08458741d68940518a318c415b994ae0" localSheetId="1" hidden="1">'Normal Demand'!$B$1</definedName>
    <definedName name="CBCR_085e8a26c9ff4f218d952f869cf8a76e" localSheetId="1" hidden="1">'Normal Demand'!$B$2</definedName>
    <definedName name="CBCR_0874d7e5917f4839bc701356c550cfd9" localSheetId="1" hidden="1">'Normal Demand'!$B$2</definedName>
    <definedName name="CBCR_089caa046d7c4d05abbfd87a975ed9f6" localSheetId="1" hidden="1">'Normal Demand'!$B$1</definedName>
    <definedName name="CBCR_08a3b55baaaa498f900edc163464a66d" localSheetId="1" hidden="1">'Normal Demand'!$B$1</definedName>
    <definedName name="CBCR_08aecec97170469288f60ecdd9187ade" localSheetId="1" hidden="1">'Normal Demand'!$B$2</definedName>
    <definedName name="CBCR_08b3cdfdb4794cac91b59373e4b5bbee" localSheetId="1" hidden="1">'Normal Demand'!$B$2</definedName>
    <definedName name="CBCR_08b5eb1ebba34c31b7ca6bf880071630" localSheetId="1" hidden="1">'Normal Demand'!$B$2</definedName>
    <definedName name="CBCR_08fa012edc544ff5a5b5c8f4ceb51024" localSheetId="1" hidden="1">'Normal Demand'!$B$1</definedName>
    <definedName name="CBCR_0937ee51678e4ad09a7a25d1c670e348" localSheetId="1" hidden="1">'Normal Demand'!$B$2</definedName>
    <definedName name="CBCR_0963780d1dfa464bae641465bf9e8a8e" localSheetId="1" hidden="1">'Normal Demand'!$B$1</definedName>
    <definedName name="CBCR_0a364c7bd89343daa305c16c1461e3ec" localSheetId="1" hidden="1">'Normal Demand'!$B$1</definedName>
    <definedName name="CBCR_0b2bbefb14794eccb69d94e9c09c51bb" localSheetId="1" hidden="1">'Normal Demand'!$B$1</definedName>
    <definedName name="CBCR_0c432735e3af46e9aec611e63cb5e27a" localSheetId="1" hidden="1">'Normal Demand'!$B$2</definedName>
    <definedName name="CBCR_0c72bfca3c07406b9b73ec7325e26cec" localSheetId="1" hidden="1">'Normal Demand'!$B$1</definedName>
    <definedName name="CBCR_0c82cd55c98e4d458e6824a1fa9f1c3a" localSheetId="1" hidden="1">'Normal Demand'!$B$2</definedName>
    <definedName name="CBCR_0c969bd5e46d42bd847024a2e47809fc" localSheetId="1" hidden="1">'Normal Demand'!$B$1</definedName>
    <definedName name="CBCR_0d63d68b4a6747e58071901203109f8e" localSheetId="1" hidden="1">'Normal Demand'!$B$1</definedName>
    <definedName name="CBCR_0d93c73cef8a48d391e393ccdb731c17" localSheetId="1" hidden="1">'Normal Demand'!$B$1</definedName>
    <definedName name="CBCR_0dc5df1b31244032ba58cefe396a6825" localSheetId="1" hidden="1">'Normal Demand'!$B$2</definedName>
    <definedName name="CBCR_0dd8a6bda5184b269411159342e7d709" localSheetId="1" hidden="1">'Normal Demand'!$B$1</definedName>
    <definedName name="CBCR_0de7817454fb469182930dfb7b98faae" localSheetId="1" hidden="1">'Normal Demand'!$B$2</definedName>
    <definedName name="CBCR_0dfb147b7c6f4b638d80daf160c36923" localSheetId="1" hidden="1">'Normal Demand'!$B$1</definedName>
    <definedName name="CBCR_0eca74070baa421e833f401efb072cdf" localSheetId="1" hidden="1">'Normal Demand'!$B$2</definedName>
    <definedName name="CBCR_0f26c82e16cc4dd0b53b4d6b30a1361c" localSheetId="1" hidden="1">'Normal Demand'!$B$1</definedName>
    <definedName name="CBCR_0f2bdaaedcb045f79dd750136a897f8e" localSheetId="1" hidden="1">'Normal Demand'!$B$2</definedName>
    <definedName name="CBCR_0f4a2555be0a45e99f712c60c9e4c6f5" localSheetId="1" hidden="1">'Normal Demand'!$B$1</definedName>
    <definedName name="CBCR_0f84d17993b249e0a079f6a03237e1c0" localSheetId="1" hidden="1">'Normal Demand'!$B$2</definedName>
    <definedName name="CBCR_0ff189cc7d7e4645a5006308e8c54b17" localSheetId="1" hidden="1">'Normal Demand'!$B$2</definedName>
    <definedName name="CBCR_103e15b42f44423396ed75850e21537c" localSheetId="1" hidden="1">'Normal Demand'!$B$1</definedName>
    <definedName name="CBCR_11f47ac66b894c87ab847f88e2d1e2e5" localSheetId="1" hidden="1">'Normal Demand'!$B$2</definedName>
    <definedName name="CBCR_12497425aee54afbbd81ec7520ac0c0d" localSheetId="1" hidden="1">'Normal Demand'!$B$1</definedName>
    <definedName name="CBCR_1329cf168a604e2db3739e8abd9845fc" localSheetId="1" hidden="1">'Normal Demand'!$B$2</definedName>
    <definedName name="CBCR_14defb38e82746a8a0c4a71ac57881b6" localSheetId="1" hidden="1">'Normal Demand'!$B$1</definedName>
    <definedName name="CBCR_1537a987d00f47ac80c620cdfb9ddb7e" localSheetId="1" hidden="1">'Normal Demand'!$B$1</definedName>
    <definedName name="CBCR_156bd28e99d74e4fa55bcbf61b0cdfe2" localSheetId="1" hidden="1">'Normal Demand'!$B$2</definedName>
    <definedName name="CBCR_15767357ab24489c8e1eee191ff1208c" localSheetId="1" hidden="1">'Normal Demand'!$B$2</definedName>
    <definedName name="CBCR_15823dc687f6435b8c7b68f42c6a3385" localSheetId="1" hidden="1">'Normal Demand'!$B$1</definedName>
    <definedName name="CBCR_15d0004b3e414c2c9d23bcb633e0b963" localSheetId="1" hidden="1">'Normal Demand'!$B$2</definedName>
    <definedName name="CBCR_165d00c101a14c58be12d4386c81fa4e" localSheetId="1" hidden="1">'Normal Demand'!$B$2</definedName>
    <definedName name="CBCR_16d28c62ba2c43c0860cb9346690dfc9" localSheetId="1" hidden="1">'Normal Demand'!$B$1</definedName>
    <definedName name="CBCR_16f741225bf14ecc9cdc18b9a0f31241" localSheetId="1" hidden="1">'Normal Demand'!$B$1</definedName>
    <definedName name="CBCR_17a0152f7d524fef86758123a1446116" localSheetId="1" hidden="1">'Normal Demand'!$B$1</definedName>
    <definedName name="CBCR_18156f2caf3b4559bc131bf97f01f628" localSheetId="1" hidden="1">'Normal Demand'!$B$2</definedName>
    <definedName name="CBCR_18f24238014d48f8bf6a8b1589f87aad" localSheetId="1" hidden="1">'Normal Demand'!$B$2</definedName>
    <definedName name="CBCR_19c510dd3d224ff6add1c495a44d3758" localSheetId="1" hidden="1">'Normal Demand'!$B$2</definedName>
    <definedName name="CBCR_19d72f28040c47efa42d4d44d319892a" localSheetId="1" hidden="1">'Normal Demand'!$B$1</definedName>
    <definedName name="CBCR_19eb438c9a6c4500920d106af981eac5" localSheetId="1" hidden="1">'Normal Demand'!$B$1</definedName>
    <definedName name="CBCR_1a73a624aca14014a3ff9d7a16f9310d" localSheetId="1" hidden="1">'Normal Demand'!$B$1</definedName>
    <definedName name="CBCR_1a7b3d6b7fe746d4a91a9e33fd2dc42d" localSheetId="1" hidden="1">'Normal Demand'!$B$1</definedName>
    <definedName name="CBCR_1b2023f50a8f41f7904f1c5733e5fb91" localSheetId="1" hidden="1">'Normal Demand'!$B$1</definedName>
    <definedName name="CBCR_1b3738c30b794a228361ba9f630b3bea" localSheetId="1" hidden="1">'Normal Demand'!$B$2</definedName>
    <definedName name="CBCR_1bee1305978a4ff8af400fffbe7afb77" localSheetId="1" hidden="1">'Normal Demand'!$B$1</definedName>
    <definedName name="CBCR_1c1c1976ecda455aa29b636453cf2656" localSheetId="1" hidden="1">'Normal Demand'!$B$2</definedName>
    <definedName name="CBCR_1c306fa840774b089fc46daf344fc751" localSheetId="1" hidden="1">'Normal Demand'!$B$2</definedName>
    <definedName name="CBCR_1dc6b30bf27a4bde800942e9c3776fb1" localSheetId="1" hidden="1">'Normal Demand'!$B$2</definedName>
    <definedName name="CBCR_1eb2646dc2924b89a9637c66bd426c29" localSheetId="1" hidden="1">'Normal Demand'!$B$2</definedName>
    <definedName name="CBCR_1ee7ec5bb0184f14a9d6d896eaf9092c" localSheetId="1" hidden="1">'Normal Demand'!$B$1</definedName>
    <definedName name="CBCR_1f473a5f173d44a8b3bdd5fd7415bd3e" localSheetId="1" hidden="1">'Normal Demand'!$B$1</definedName>
    <definedName name="CBCR_1f7d8e79394c4bfcb479a04a9a20c7b0" localSheetId="1" hidden="1">'Normal Demand'!$B$1</definedName>
    <definedName name="CBCR_1f8e60de9234464f80e9724a38136327" localSheetId="1" hidden="1">'Normal Demand'!$B$1</definedName>
    <definedName name="CBCR_1fd76578f32e4286b9afaea7a0c3d23d" localSheetId="1" hidden="1">'Normal Demand'!$B$1</definedName>
    <definedName name="CBCR_1fe3912cbdf2421e84fc8aa7b606fbd9" localSheetId="1" hidden="1">'Normal Demand'!$B$2</definedName>
    <definedName name="CBCR_201264eaff3247a7a48cae79819f1fa0" localSheetId="1" hidden="1">'Normal Demand'!$B$2</definedName>
    <definedName name="CBCR_2086ca83f871496fa29e4e0227e3f822" localSheetId="1" hidden="1">'Normal Demand'!$B$2</definedName>
    <definedName name="CBCR_20cf9203fa714c04987034a8f5ae97b7" localSheetId="1" hidden="1">'Normal Demand'!$B$1</definedName>
    <definedName name="CBCR_20e957b208d1475d8b9886cb6beca879" localSheetId="1" hidden="1">'Normal Demand'!$B$2</definedName>
    <definedName name="CBCR_212dcd22b57c4ba6900de300c963d3f1" localSheetId="1" hidden="1">'Normal Demand'!$B$1</definedName>
    <definedName name="CBCR_22bf6f5763a64007ad8c6c6374d63cac" localSheetId="1" hidden="1">'Normal Demand'!$B$1</definedName>
    <definedName name="CBCR_23ac3f3effa54f79a72e08a0488ae67a" localSheetId="1" hidden="1">'Normal Demand'!$B$2</definedName>
    <definedName name="CBCR_23ef221a369743b1b2e926750717e500" localSheetId="1" hidden="1">'Normal Demand'!$B$1</definedName>
    <definedName name="CBCR_24bbfc56b233407b85da9d6d842d36f1" localSheetId="1" hidden="1">'Normal Demand'!$B$2</definedName>
    <definedName name="CBCR_24d6c0783d4f4ca392d846545e59a0a3" localSheetId="1" hidden="1">'Normal Demand'!$B$2</definedName>
    <definedName name="CBCR_25b75c60b6d044718e878d5e420fb108" localSheetId="1" hidden="1">'Normal Demand'!$B$1</definedName>
    <definedName name="CBCR_25f4043829024d1586876ea81f4b451f" localSheetId="1" hidden="1">'Normal Demand'!$B$1</definedName>
    <definedName name="CBCR_2617886e93a84818b4ad5c5fdef702c0" localSheetId="1" hidden="1">'Normal Demand'!$B$1</definedName>
    <definedName name="CBCR_261fa8855a76407888c9128987152150" localSheetId="1" hidden="1">'Normal Demand'!$B$2</definedName>
    <definedName name="CBCR_26a55ff92c714d49af3336f01a7b31ca" localSheetId="1" hidden="1">'Normal Demand'!$B$2</definedName>
    <definedName name="CBCR_2768a89c4ef44270bbe16905ea905ec0" localSheetId="1" hidden="1">'Normal Demand'!$B$1</definedName>
    <definedName name="CBCR_277cfd474eaa4270bfa7568349317123" localSheetId="1" hidden="1">'Normal Demand'!$B$2</definedName>
    <definedName name="CBCR_27d64ba9d2db446895db3e2aa4f7fd9b" localSheetId="1" hidden="1">'Normal Demand'!$B$1</definedName>
    <definedName name="CBCR_286f70012341408b9a74930dbc6dc8f0" localSheetId="1" hidden="1">'Normal Demand'!$B$2</definedName>
    <definedName name="CBCR_28cdfe2e9301488e8b0023cee8db089d" localSheetId="1" hidden="1">'Normal Demand'!$B$1</definedName>
    <definedName name="CBCR_29721ed4c5ee4bc29ad724b35151e2ea" localSheetId="1" hidden="1">'Normal Demand'!$B$2</definedName>
    <definedName name="CBCR_29b19c9ae242427b84a3406905518aa9" localSheetId="1" hidden="1">'Normal Demand'!$B$1</definedName>
    <definedName name="CBCR_29ee487a07704c5eabf6224fa5ebdd1c" localSheetId="1" hidden="1">'Normal Demand'!$B$2</definedName>
    <definedName name="CBCR_29f7db96ffb740d480a555f62e70b2a5" localSheetId="1" hidden="1">'Normal Demand'!$B$1</definedName>
    <definedName name="CBCR_29ff2c43d9a245169a5f7ea1aaad6938" localSheetId="1" hidden="1">'Normal Demand'!$B$2</definedName>
    <definedName name="CBCR_2a0d39195db042b08d6375643fd4e66a" localSheetId="1" hidden="1">'Normal Demand'!$B$2</definedName>
    <definedName name="CBCR_2a1826fe17b442388d50ab6e844602dd" localSheetId="1" hidden="1">'Normal Demand'!$B$1</definedName>
    <definedName name="CBCR_2a330473553e4467b441dd453a7fabf7" localSheetId="1" hidden="1">'Normal Demand'!$B$2</definedName>
    <definedName name="CBCR_2a5ee3409b4c4b73bcd3d9f78c16bf9e" localSheetId="1" hidden="1">'Normal Demand'!$B$2</definedName>
    <definedName name="CBCR_2a7272c2d2eb4b88bce7a40cff964cbd" localSheetId="1" hidden="1">'Normal Demand'!$B$1</definedName>
    <definedName name="CBCR_2b0c24d09c6241cfa06c8fe363fe92a7" localSheetId="1" hidden="1">'Normal Demand'!$B$1</definedName>
    <definedName name="CBCR_2b105a93aefe4b5fadb6a640cb7e897b" localSheetId="1" hidden="1">'Normal Demand'!$B$1</definedName>
    <definedName name="CBCR_2bad810ada494bef8afd58ea116ad496" localSheetId="1" hidden="1">'Normal Demand'!$B$1</definedName>
    <definedName name="CBCR_2c12c4a554b34178a5afc1d7f27e4e9a" localSheetId="1" hidden="1">'Normal Demand'!$B$2</definedName>
    <definedName name="CBCR_2c5afa079fc84b0dba812a9c33e5fdaa" localSheetId="1" hidden="1">'Normal Demand'!$B$2</definedName>
    <definedName name="CBCR_2c768064b046460aa0e01d8544f64346" localSheetId="1" hidden="1">'Normal Demand'!$B$1</definedName>
    <definedName name="CBCR_2d8d6e0e82c8473ea031f512b84b49bf" localSheetId="1" hidden="1">'Normal Demand'!$B$1</definedName>
    <definedName name="CBCR_2e121767277b40319c2d2f2fac809df3" localSheetId="1" hidden="1">'Normal Demand'!$B$2</definedName>
    <definedName name="CBCR_2e1adf78b86c457ea2f126a2fb7e5fb0" localSheetId="1" hidden="1">'Normal Demand'!$B$1</definedName>
    <definedName name="CBCR_2ed6f95ec3ed4ae5b933e3036bed09d8" localSheetId="1" hidden="1">'Normal Demand'!$B$1</definedName>
    <definedName name="CBCR_2f88d52228f440829536165052db9b56" localSheetId="1" hidden="1">'Normal Demand'!$B$1</definedName>
    <definedName name="CBCR_2fa1ca5ff781434787036f27bc7154f7" localSheetId="1" hidden="1">'Normal Demand'!$B$2</definedName>
    <definedName name="CBCR_2feaa911bbe94a49a246fbffad53d802" localSheetId="1" hidden="1">'Normal Demand'!$B$2</definedName>
    <definedName name="CBCR_3092f1e575324250a548a05fce7d5be3" localSheetId="1" hidden="1">'Normal Demand'!$B$1</definedName>
    <definedName name="CBCR_30d01268dc294b24ac9474b8c2764591" localSheetId="1" hidden="1">'Normal Demand'!$B$1</definedName>
    <definedName name="CBCR_30dead647ee94baaac2b341839374f7d" localSheetId="1" hidden="1">'Normal Demand'!$B$2</definedName>
    <definedName name="CBCR_3109079f857444cf8be021cfc45e6e8d" localSheetId="1" hidden="1">'Normal Demand'!$B$2</definedName>
    <definedName name="CBCR_316b67ced03e4f95bc97733d488ab049" localSheetId="1" hidden="1">'Normal Demand'!$B$2</definedName>
    <definedName name="CBCR_31cf418ed625484fa4cf0ce4645d619b" localSheetId="1" hidden="1">'Normal Demand'!$B$1</definedName>
    <definedName name="CBCR_31ff77e4c458419caf090eb1c8a99ca6" localSheetId="1" hidden="1">'Normal Demand'!$B$1</definedName>
    <definedName name="CBCR_32521f0990604dae9a273ee29ef0b1a3" localSheetId="1" hidden="1">'Normal Demand'!$B$1</definedName>
    <definedName name="CBCR_328b3bbd190c475699f70eb2b8f47704" localSheetId="1" hidden="1">'Normal Demand'!$B$2</definedName>
    <definedName name="CBCR_328bc6d7046b458aa2f8f2633415a196" localSheetId="1" hidden="1">'Normal Demand'!$B$1</definedName>
    <definedName name="CBCR_32935f0d01af418bae4d50904aa6ab2c" localSheetId="1" hidden="1">'Normal Demand'!$B$2</definedName>
    <definedName name="CBCR_32baa39eeeaa41dcb88d2cbe2755b5b7" localSheetId="1" hidden="1">'Normal Demand'!$B$2</definedName>
    <definedName name="CBCR_330d9f0646fe40b0b6d864e3f7b18917" localSheetId="1" hidden="1">'Normal Demand'!$B$1</definedName>
    <definedName name="CBCR_331bc14dd9144cbb92af76c57e82fb34" localSheetId="1" hidden="1">'Normal Demand'!$B$2</definedName>
    <definedName name="CBCR_33784b2d45f3485ea8e4db4442c2cf5d" localSheetId="1" hidden="1">'Normal Demand'!$B$1</definedName>
    <definedName name="CBCR_33a79866f61948228d9f22500cee2a25" localSheetId="1" hidden="1">'Normal Demand'!$B$2</definedName>
    <definedName name="CBCR_33b1338214634934a8e21a8f7dc90ce7" localSheetId="1" hidden="1">'Normal Demand'!$B$1</definedName>
    <definedName name="CBCR_33d567012a3d4ecab8fb6444b5392cd3" localSheetId="1" hidden="1">'Normal Demand'!$B$1</definedName>
    <definedName name="CBCR_33e6f7efb7df4b0598fa707f11530954" localSheetId="1" hidden="1">'Normal Demand'!$B$1</definedName>
    <definedName name="CBCR_343cd6db4bdc4a4dbb723f2847c7692b" localSheetId="1" hidden="1">'Normal Demand'!$B$2</definedName>
    <definedName name="CBCR_3460869911994b9caf51acfcbeb55f6c" localSheetId="1" hidden="1">'Normal Demand'!$B$2</definedName>
    <definedName name="CBCR_3478b5331c7c45d0aa1483468d5a88be" localSheetId="1" hidden="1">'Normal Demand'!$B$2</definedName>
    <definedName name="CBCR_3480a2dc771745b1be6effa99a1e44af" localSheetId="1" hidden="1">'Normal Demand'!$B$2</definedName>
    <definedName name="CBCR_34d314c2eb8346218066acb9cea86aac" localSheetId="1" hidden="1">'Normal Demand'!$B$1</definedName>
    <definedName name="CBCR_34f328d645d24d53a3614d07cb88fdd3" localSheetId="1" hidden="1">'Normal Demand'!$B$2</definedName>
    <definedName name="CBCR_35450c033d2a42b98458d156df2ad701" localSheetId="1" hidden="1">'Normal Demand'!$B$1</definedName>
    <definedName name="CBCR_35a92ddff49f459bb54b74d1543711f2" localSheetId="1" hidden="1">'Normal Demand'!$B$1</definedName>
    <definedName name="CBCR_35c0d6eeb4d94d43a2ec0b503a887eaa" localSheetId="1" hidden="1">'Normal Demand'!$B$2</definedName>
    <definedName name="CBCR_35ddb1c365bc4a65a5ad97f9f0bf36d8" localSheetId="1" hidden="1">'Normal Demand'!$B$2</definedName>
    <definedName name="CBCR_36a44249fe7e49648cb5e727c214c7bb" localSheetId="1" hidden="1">'Normal Demand'!$B$2</definedName>
    <definedName name="CBCR_372bf4a187d8407c9bdd2d33c2b30745" localSheetId="1" hidden="1">'Normal Demand'!$B$1</definedName>
    <definedName name="CBCR_372cfc959d4341d5bee9c780e5ea315e" localSheetId="1" hidden="1">'Normal Demand'!$B$2</definedName>
    <definedName name="CBCR_37863c4cf0594a4f83d18dd9c1bd1f5a" localSheetId="1" hidden="1">'Normal Demand'!$B$1</definedName>
    <definedName name="CBCR_378b64654ee04d8897c0207571e40ca4" localSheetId="1" hidden="1">'Normal Demand'!$B$2</definedName>
    <definedName name="CBCR_37a4809a6e4044a1ab5a176b6521784c" localSheetId="1" hidden="1">'Normal Demand'!$B$1</definedName>
    <definedName name="CBCR_37aa611df5bb4d23acb171901b9aa819" localSheetId="1" hidden="1">'Normal Demand'!$B$2</definedName>
    <definedName name="CBCR_37ccb4cfefd343d8ae3d82d1c1bede1f" localSheetId="1" hidden="1">'Normal Demand'!$B$2</definedName>
    <definedName name="CBCR_37ec92d76d184ab78a44f623c9880759" localSheetId="1" hidden="1">'Normal Demand'!$B$2</definedName>
    <definedName name="CBCR_37fcd6a55cdf4694a53056dbb86fede8" localSheetId="1" hidden="1">'Normal Demand'!$B$1</definedName>
    <definedName name="CBCR_38047195cbb741179669dcf0433ed68f" localSheetId="1" hidden="1">'Normal Demand'!$B$1</definedName>
    <definedName name="CBCR_3845dd06916b4a76802a1d277525e24b" localSheetId="1" hidden="1">'Normal Demand'!$B$2</definedName>
    <definedName name="CBCR_385907ae947441528085fb0699c06296" localSheetId="1" hidden="1">'Normal Demand'!$B$1</definedName>
    <definedName name="CBCR_38e070a1ca984afdb4044da304da49e8" localSheetId="1" hidden="1">'Normal Demand'!$B$1</definedName>
    <definedName name="CBCR_39b91e9a544e4d4185c501b465a08600" localSheetId="1" hidden="1">'Normal Demand'!$B$2</definedName>
    <definedName name="CBCR_39cef0497d494619a31f203a81167572" localSheetId="1" hidden="1">'Normal Demand'!$B$2</definedName>
    <definedName name="CBCR_3b1ae9c770a84edf8d5daa0fa6bd5b4b" localSheetId="1" hidden="1">'Normal Demand'!$B$1</definedName>
    <definedName name="CBCR_3b35a9ebe31b4d3e863cb32cac2d367d" localSheetId="1" hidden="1">'Normal Demand'!$B$2</definedName>
    <definedName name="CBCR_3c102855b48941889be7d1d53fa7a014" localSheetId="1" hidden="1">'Normal Demand'!$B$2</definedName>
    <definedName name="CBCR_3c4ac98d3d194f7e8d2ece4382352125" localSheetId="1" hidden="1">'Normal Demand'!$B$1</definedName>
    <definedName name="CBCR_3cebc2bd74d4404391dbf06e5ac20d54" localSheetId="1" hidden="1">'Normal Demand'!$B$2</definedName>
    <definedName name="CBCR_3d003e1410894f4f8ce4cda135f9071f" localSheetId="1" hidden="1">'Normal Demand'!$B$2</definedName>
    <definedName name="CBCR_3d005270379748ebbe1addd74541b0f3" localSheetId="1" hidden="1">'Normal Demand'!$B$1</definedName>
    <definedName name="CBCR_3d214f7863894eba8fa2fca0d0dbbc63" localSheetId="1" hidden="1">'Normal Demand'!$B$2</definedName>
    <definedName name="CBCR_3dcf98b752644f1aa10c92ed98ca16e1" localSheetId="1" hidden="1">'Normal Demand'!$B$2</definedName>
    <definedName name="CBCR_3ddbce53fef64866a745c312aa4e64ec" localSheetId="1" hidden="1">'Normal Demand'!$B$2</definedName>
    <definedName name="CBCR_3df654a364c440e280aeaed64bbf605c" localSheetId="1" hidden="1">'Normal Demand'!$B$2</definedName>
    <definedName name="CBCR_3e1e0dfa57694cde8f06005d3c38a19f" localSheetId="1" hidden="1">'Normal Demand'!$B$1</definedName>
    <definedName name="CBCR_3e2191d63cc9476980c8ea029f365f05" localSheetId="1" hidden="1">'Normal Demand'!$B$2</definedName>
    <definedName name="CBCR_3e3bbc7b4bdd4259bb5ac62579d57725" localSheetId="1" hidden="1">'Normal Demand'!$B$2</definedName>
    <definedName name="CBCR_3f9983af8f0547bbb995cb1b35be8ad1" localSheetId="1" hidden="1">'Normal Demand'!$B$1</definedName>
    <definedName name="CBCR_3f9fdfe30db444adb40f98d2bba41f13" localSheetId="1" hidden="1">'Normal Demand'!$B$1</definedName>
    <definedName name="CBCR_3fa8802ff84e444a8ef410dd3bc9f9b9" localSheetId="1" hidden="1">'Normal Demand'!$B$1</definedName>
    <definedName name="CBCR_40e5f05a6e514e4ea0051f89e9ab5c9f" localSheetId="1" hidden="1">'Normal Demand'!$B$2</definedName>
    <definedName name="CBCR_410a1962cafa49889db46444e6416650" localSheetId="1" hidden="1">'Normal Demand'!$B$2</definedName>
    <definedName name="CBCR_41b44c3d951743258016cc333adbb03a" localSheetId="1" hidden="1">'Normal Demand'!$B$2</definedName>
    <definedName name="CBCR_4302c6072e5f40e985b4c628b95f734e" localSheetId="1" hidden="1">'Normal Demand'!$B$1</definedName>
    <definedName name="CBCR_43ae8fb30eb24c38a5c43aec9011d3c5" localSheetId="1" hidden="1">'Normal Demand'!$B$2</definedName>
    <definedName name="CBCR_4484845a17fd4b07a64b112b0a8a98b3" localSheetId="1" hidden="1">'Normal Demand'!$B$1</definedName>
    <definedName name="CBCR_44919c7e7538428489607f2e9b3eb652" localSheetId="1" hidden="1">'Normal Demand'!$B$2</definedName>
    <definedName name="CBCR_44df4466d0744150b7777661b3da2eb6" localSheetId="1" hidden="1">'Normal Demand'!$B$1</definedName>
    <definedName name="CBCR_45182737a1c34f9e93110eddafa5834a" localSheetId="1" hidden="1">'Normal Demand'!$B$1</definedName>
    <definedName name="CBCR_45450ae73b5b415bb0da685936ae9568" localSheetId="1" hidden="1">'Normal Demand'!$B$1</definedName>
    <definedName name="CBCR_45769f4ed592447f854a9a00d2aac582" localSheetId="1" hidden="1">'Normal Demand'!$B$2</definedName>
    <definedName name="CBCR_459ad46b39aa4173ba03dd84f38bab03" localSheetId="1" hidden="1">'Normal Demand'!$B$1</definedName>
    <definedName name="CBCR_45f30cc6ef8e426793762efe7fd8ff21" localSheetId="1" hidden="1">'Normal Demand'!$B$1</definedName>
    <definedName name="CBCR_4639fba921b64814b8270924c9027add" localSheetId="1" hidden="1">'Normal Demand'!$B$2</definedName>
    <definedName name="CBCR_4663674b9caf4dea9461185eebc7844a" localSheetId="1" hidden="1">'Normal Demand'!$B$1</definedName>
    <definedName name="CBCR_469e36f56b0a4f408df4be650dd5357b" localSheetId="1" hidden="1">'Normal Demand'!$B$1</definedName>
    <definedName name="CBCR_47b5f935aab144109d506a85da3c3ed3" localSheetId="1" hidden="1">'Normal Demand'!$B$2</definedName>
    <definedName name="CBCR_4862417f860142559cc98e450ea57856" localSheetId="1" hidden="1">'Normal Demand'!$B$1</definedName>
    <definedName name="CBCR_489f4149304e42e59af865b2dfa1636e" localSheetId="1" hidden="1">'Normal Demand'!$B$2</definedName>
    <definedName name="CBCR_4983153f754d44959469ec1586da2a15" localSheetId="1" hidden="1">'Normal Demand'!$B$1</definedName>
    <definedName name="CBCR_498f27830277401cbc1758b2b7bed9b3" localSheetId="1" hidden="1">'Normal Demand'!$B$2</definedName>
    <definedName name="CBCR_49b26ce6f2604802ae2796860b4f33f7" localSheetId="1" hidden="1">'Normal Demand'!$B$2</definedName>
    <definedName name="CBCR_49e4630c279e40d4bfb534550ff9dda9" localSheetId="1" hidden="1">'Normal Demand'!$B$1</definedName>
    <definedName name="CBCR_4ad4061b50954d2d80a9479b6ad7f02c" localSheetId="1" hidden="1">'Normal Demand'!$B$2</definedName>
    <definedName name="CBCR_4ae7a6a3cb944b9892b10e44ee2d4e99" localSheetId="1" hidden="1">'Normal Demand'!$B$2</definedName>
    <definedName name="CBCR_4b0ece235c7d46c6afc6758e50b6052b" localSheetId="1" hidden="1">'Normal Demand'!$B$1</definedName>
    <definedName name="CBCR_4b2e4ad64c3f478d8c63fe9ff8511446" localSheetId="1" hidden="1">'Normal Demand'!$B$1</definedName>
    <definedName name="CBCR_4bff1144f6384fe389922d84db4c28cb" localSheetId="1" hidden="1">'Normal Demand'!$B$2</definedName>
    <definedName name="CBCR_4c73390299584734a05f9b9702aafa49" localSheetId="1" hidden="1">'Normal Demand'!$B$2</definedName>
    <definedName name="CBCR_4c88430d4bb1410e810a7747f42ac2da" localSheetId="1" hidden="1">'Normal Demand'!$B$2</definedName>
    <definedName name="CBCR_4c9b9d3c3db241e893c06d9fcc17c223" localSheetId="1" hidden="1">'Normal Demand'!$B$2</definedName>
    <definedName name="CBCR_4d639419282e42f6b9ae4432c12a0e9b" localSheetId="1" hidden="1">'Normal Demand'!$B$2</definedName>
    <definedName name="CBCR_4d75daff80ec4624a8689f9135c6e669" localSheetId="1" hidden="1">'Normal Demand'!$B$1</definedName>
    <definedName name="CBCR_4e30b09477b4472980b2bbb542d27c68" localSheetId="1" hidden="1">'Normal Demand'!$B$1</definedName>
    <definedName name="CBCR_4ee59b05a17c424688690a014a731ad4" localSheetId="1" hidden="1">'Normal Demand'!$B$2</definedName>
    <definedName name="CBCR_4f1e1674f9f446f690be203d04eb18f1" localSheetId="1" hidden="1">'Normal Demand'!$B$2</definedName>
    <definedName name="CBCR_4f398d4eaa1c418290cec91224196978" localSheetId="1" hidden="1">'Normal Demand'!$B$2</definedName>
    <definedName name="CBCR_4fa6f2316d15440788772e72247ee371" localSheetId="1" hidden="1">'Normal Demand'!$B$2</definedName>
    <definedName name="CBCR_4fe03065b6ee40dd8cd97fcd50b5271f" localSheetId="1" hidden="1">'Normal Demand'!$B$2</definedName>
    <definedName name="CBCR_4fea62cbd8a94de0bd890aa08e2714e5" localSheetId="1" hidden="1">'Normal Demand'!$B$1</definedName>
    <definedName name="CBCR_5016e9b524e248b7ac9e43968f9c1876" localSheetId="1" hidden="1">'Normal Demand'!$B$1</definedName>
    <definedName name="CBCR_503343225580461f8704653933c2d580" localSheetId="1" hidden="1">'Normal Demand'!$B$2</definedName>
    <definedName name="CBCR_5074b37064f74e17a0f10acb0879acc6" localSheetId="1" hidden="1">'Normal Demand'!$B$2</definedName>
    <definedName name="CBCR_50789b74223a45e5bf1f85286c98f977" localSheetId="1" hidden="1">'Normal Demand'!$B$2</definedName>
    <definedName name="CBCR_50a16833faa140e5b6eed6a5d4a3b5ab" localSheetId="1" hidden="1">'Normal Demand'!$B$2</definedName>
    <definedName name="CBCR_50e61739eecf4245bf3bc9fff41d2e2e" localSheetId="1" hidden="1">'Normal Demand'!$B$2</definedName>
    <definedName name="CBCR_50e7b529d1e34f6fa9623a05bd1033d4" localSheetId="1" hidden="1">'Normal Demand'!$B$2</definedName>
    <definedName name="CBCR_515fc940a9dd460da482b325f5f49743" localSheetId="1" hidden="1">'Normal Demand'!$B$2</definedName>
    <definedName name="CBCR_51b94417754d40f193d7f350cd0c0355" localSheetId="1" hidden="1">'Normal Demand'!$B$1</definedName>
    <definedName name="CBCR_51d07d86427742b2bab3a353864aeed0" localSheetId="1" hidden="1">'Normal Demand'!$B$2</definedName>
    <definedName name="CBCR_51d44b76f49e49369364291c5a97c2eb" localSheetId="1" hidden="1">'Normal Demand'!$B$1</definedName>
    <definedName name="CBCR_52dbfba64a0849e3bd5fff374f928d81" localSheetId="1" hidden="1">'Normal Demand'!$B$2</definedName>
    <definedName name="CBCR_5385647e24374ae68fe4141f1fcde0bd" localSheetId="1" hidden="1">'Normal Demand'!$B$1</definedName>
    <definedName name="CBCR_545e5e9a19824eb1b624dad400807ac4" localSheetId="1" hidden="1">'Normal Demand'!$B$2</definedName>
    <definedName name="CBCR_54789928a21f49e28b44ece50308e8ea" localSheetId="1" hidden="1">'Normal Demand'!$B$1</definedName>
    <definedName name="CBCR_5483cab6b8b14a4cb1e2f08bf1ddaf4c" localSheetId="1" hidden="1">'Normal Demand'!$B$2</definedName>
    <definedName name="CBCR_54875ff0c5d04a8bbc2378da9126c22b" localSheetId="1" hidden="1">'Normal Demand'!$B$1</definedName>
    <definedName name="CBCR_54cd453ebcd34fcbaf498460fc91d4ca" localSheetId="1" hidden="1">'Normal Demand'!$B$2</definedName>
    <definedName name="CBCR_55cee4a3770a40d8b9f0c3d20331dfa7" localSheetId="1" hidden="1">'Normal Demand'!$B$1</definedName>
    <definedName name="CBCR_5678cde76c424d908fea7621a5748d94" localSheetId="1" hidden="1">'Normal Demand'!$B$2</definedName>
    <definedName name="CBCR_56829bb7f84645c4bfe88351fb6e2c75" localSheetId="1" hidden="1">'Normal Demand'!$B$2</definedName>
    <definedName name="CBCR_56d10984287740b78ab62df2e9c581dc" localSheetId="1" hidden="1">'Normal Demand'!$B$2</definedName>
    <definedName name="CBCR_572548e564ba4d1eb7c893d57133b212" localSheetId="1" hidden="1">'Normal Demand'!$B$2</definedName>
    <definedName name="CBCR_57706347fcbd4ac7a0428ba1aec24592" localSheetId="1" hidden="1">'Normal Demand'!$B$1</definedName>
    <definedName name="CBCR_57acb3e9478e479ebfd23c835dcdd574" localSheetId="1" hidden="1">'Normal Demand'!$B$1</definedName>
    <definedName name="CBCR_57f05a0510d24f7485c27ecc5ac33722" localSheetId="1" hidden="1">'Normal Demand'!$B$2</definedName>
    <definedName name="CBCR_58064575ab1d4c5a860f4780d60579a8" localSheetId="1" hidden="1">'Normal Demand'!$B$2</definedName>
    <definedName name="CBCR_581700cfd2c4496eba1e1a90e21d29aa" localSheetId="1" hidden="1">'Normal Demand'!$B$2</definedName>
    <definedName name="CBCR_58a19d1071ac4666b64fccd702d4ff5e" localSheetId="1" hidden="1">'Normal Demand'!$B$1</definedName>
    <definedName name="CBCR_5930dbad6b8b4f419cd721c62748091d" localSheetId="1" hidden="1">'Normal Demand'!$B$2</definedName>
    <definedName name="CBCR_59b749bd1c66454bbf868f247cd0e8af" localSheetId="1" hidden="1">'Normal Demand'!$B$2</definedName>
    <definedName name="CBCR_59ec40abd0134e85812cc8350e3f14d0" localSheetId="1" hidden="1">'Normal Demand'!$B$2</definedName>
    <definedName name="CBCR_5a14b231be5746fab8edfa4e605cfd72" localSheetId="1" hidden="1">'Normal Demand'!$B$2</definedName>
    <definedName name="CBCR_5a29871bc1ab43b4b082d1039cc43c5a" localSheetId="1" hidden="1">'Normal Demand'!$B$2</definedName>
    <definedName name="CBCR_5aa5c571f3234a5bb5f79f41b5871d2c" localSheetId="1" hidden="1">'Normal Demand'!$B$1</definedName>
    <definedName name="CBCR_5b7097246b124ff691f84d8a389c9ea3" localSheetId="1" hidden="1">'Normal Demand'!$B$2</definedName>
    <definedName name="CBCR_5c5ab50b99494522879b5f66f319669e" localSheetId="1" hidden="1">'Normal Demand'!$B$2</definedName>
    <definedName name="CBCR_5c6281edf46d4df1bd36b6819658bf6b" localSheetId="1" hidden="1">'Normal Demand'!$B$1</definedName>
    <definedName name="CBCR_5c9ef9dacaaf4dc198be698e10c51d8d" localSheetId="1" hidden="1">'Normal Demand'!$B$2</definedName>
    <definedName name="CBCR_5ccb7fb375b84dca8dad17e3f0c3d6ce" localSheetId="1" hidden="1">'Normal Demand'!$B$2</definedName>
    <definedName name="CBCR_5d3ff68022f045f399f87172f5689d1f" localSheetId="1" hidden="1">'Normal Demand'!$B$2</definedName>
    <definedName name="CBCR_5df08e9525b347b8ae8bb8ad00242272" localSheetId="1" hidden="1">'Normal Demand'!$B$1</definedName>
    <definedName name="CBCR_5e2884280a5442f0a163f1f1040894bb" localSheetId="1" hidden="1">'Normal Demand'!$B$1</definedName>
    <definedName name="CBCR_5ec0efeb56da4df3919b8d96588bbbba" localSheetId="1" hidden="1">'Normal Demand'!$B$2</definedName>
    <definedName name="CBCR_5f2f2282fa88482a9a2111515fce9788" localSheetId="1" hidden="1">'Normal Demand'!$B$1</definedName>
    <definedName name="CBCR_5f3675f8f44541d99efa46459e85588f" localSheetId="1" hidden="1">'Normal Demand'!$B$2</definedName>
    <definedName name="CBCR_5f74844f7b2d4367970c80de62fb5fae" localSheetId="1" hidden="1">'Normal Demand'!$B$2</definedName>
    <definedName name="CBCR_60362c299a074382b5605945cbd337ed" localSheetId="1" hidden="1">'Normal Demand'!$B$1</definedName>
    <definedName name="CBCR_604eb471bf9c4bf3ad5bfe23b47ea453" localSheetId="1" hidden="1">'Normal Demand'!$B$2</definedName>
    <definedName name="CBCR_607ffb52e5ea4a1eb1d2b193bcb40132" localSheetId="1" hidden="1">'Normal Demand'!$B$1</definedName>
    <definedName name="CBCR_60e4484fdaf846d5bfb5aabe9de75edc" localSheetId="1" hidden="1">'Normal Demand'!$B$1</definedName>
    <definedName name="CBCR_617b99b42af9425eaf3d892ae9263236" localSheetId="1" hidden="1">'Normal Demand'!$B$1</definedName>
    <definedName name="CBCR_61cae13321b4495582da4b5452823b7e" localSheetId="1" hidden="1">'Normal Demand'!$B$2</definedName>
    <definedName name="CBCR_62069fc472494a4190152632d31d0282" localSheetId="1" hidden="1">'Normal Demand'!$B$2</definedName>
    <definedName name="CBCR_633239bc3ace494ab76db8ce515691f9" localSheetId="1" hidden="1">'Normal Demand'!$B$2</definedName>
    <definedName name="CBCR_634a66a8286145ad915d2562cda9b171" localSheetId="1" hidden="1">'Normal Demand'!$B$2</definedName>
    <definedName name="CBCR_6398890d66c34e85aa1b87f6568c8e36" localSheetId="1" hidden="1">'Normal Demand'!$B$1</definedName>
    <definedName name="CBCR_63cc17a147904ab695e8e6efd3874be7" localSheetId="1" hidden="1">'Normal Demand'!$B$2</definedName>
    <definedName name="CBCR_6510d4c32eb146e48a38caba1f3d6f54" localSheetId="1" hidden="1">'Normal Demand'!$B$2</definedName>
    <definedName name="CBCR_6643ee2222924d61840fcf575f7e35e1" localSheetId="1" hidden="1">'Normal Demand'!$B$2</definedName>
    <definedName name="CBCR_66c7f68b201e402cbeb7ff323e2a43d6" localSheetId="1" hidden="1">'Normal Demand'!$B$2</definedName>
    <definedName name="CBCR_68b058f1f6614ffcb4693b785bc833af" localSheetId="1" hidden="1">'Normal Demand'!$B$2</definedName>
    <definedName name="CBCR_68d84db22dc649b38fc3962f9bba5dd1" localSheetId="1" hidden="1">'Normal Demand'!$B$1</definedName>
    <definedName name="CBCR_68de4b02c0b6402da11bfaecb4ff4a30" localSheetId="1" hidden="1">'Normal Demand'!$B$2</definedName>
    <definedName name="CBCR_69752cf114724be191235f701cf10dde" localSheetId="1" hidden="1">'Normal Demand'!$B$2</definedName>
    <definedName name="CBCR_6aa814f8b7be4525b1f3a63f2546b4c8" localSheetId="1" hidden="1">'Normal Demand'!$B$1</definedName>
    <definedName name="CBCR_6ac3db5ffe0044bdab2f6cbce2569a55" localSheetId="1" hidden="1">'Normal Demand'!$B$2</definedName>
    <definedName name="CBCR_6b0362a9414f476a870d15074ca30596" localSheetId="1" hidden="1">'Normal Demand'!$B$2</definedName>
    <definedName name="CBCR_6ba2f911c0184b329159da55670c0324" localSheetId="1" hidden="1">'Normal Demand'!$B$2</definedName>
    <definedName name="CBCR_6c1a3b51b7bf441e91f263d0adeeb189" localSheetId="1" hidden="1">'Normal Demand'!$B$2</definedName>
    <definedName name="CBCR_6c33fc53b4a94055ad9f84e0bf0b1fa1" localSheetId="1" hidden="1">'Normal Demand'!$B$1</definedName>
    <definedName name="CBCR_6d16eab523f145858cf5ba1c9b03d06f" localSheetId="1" hidden="1">'Normal Demand'!$B$1</definedName>
    <definedName name="CBCR_6d3a2f06f5ff4696b7724c91adffcc72" localSheetId="1" hidden="1">'Normal Demand'!$B$2</definedName>
    <definedName name="CBCR_6d667109558141728d380819bc7cac23" localSheetId="1" hidden="1">'Normal Demand'!$B$2</definedName>
    <definedName name="CBCR_6dc828ac399b4ca390b76607e58f30a7" localSheetId="1" hidden="1">'Normal Demand'!$B$1</definedName>
    <definedName name="CBCR_6dcf60e89c4e497daf8d34f5f13be137" localSheetId="1" hidden="1">'Normal Demand'!$B$2</definedName>
    <definedName name="CBCR_6e3f0fd63aca469e859e28a717581fb0" localSheetId="1" hidden="1">'Normal Demand'!$B$1</definedName>
    <definedName name="CBCR_6e7d3c0e4df5466883553b68aef40514" localSheetId="1" hidden="1">'Normal Demand'!$B$1</definedName>
    <definedName name="CBCR_6e8c26c1f22a4f81bbb3f76b2a89c532" localSheetId="1" hidden="1">'Normal Demand'!$B$1</definedName>
    <definedName name="CBCR_6f34ea9e75ca4a249f710afb005311cd" localSheetId="1" hidden="1">'Normal Demand'!$B$2</definedName>
    <definedName name="CBCR_6f4abb12d6714e9f8663f1c477998360" localSheetId="1" hidden="1">'Normal Demand'!$B$2</definedName>
    <definedName name="CBCR_6f5f0280896a4fabbf84bfef1bf5be9e" localSheetId="1" hidden="1">'Normal Demand'!$B$1</definedName>
    <definedName name="CBCR_6f931c47eefd49468463c8b28e6e0978" localSheetId="1" hidden="1">'Normal Demand'!$B$2</definedName>
    <definedName name="CBCR_6fbc2c517b9b48ffb209980f7dcb3910" localSheetId="1" hidden="1">'Normal Demand'!$B$2</definedName>
    <definedName name="CBCR_6feb15c0f1c7423d9336db631168198a" localSheetId="1" hidden="1">'Normal Demand'!$B$2</definedName>
    <definedName name="CBCR_7090e03d6d2249a1b06fdfbf32cf34a2" localSheetId="1" hidden="1">'Normal Demand'!$B$1</definedName>
    <definedName name="CBCR_70d6fe23847e40dd966995e47eb26ecb" localSheetId="1" hidden="1">'Normal Demand'!$B$2</definedName>
    <definedName name="CBCR_710727c1838a438e974861b27fd2dc76" localSheetId="1" hidden="1">'Normal Demand'!$B$1</definedName>
    <definedName name="CBCR_71a3475769d549c6b2ce2b1787f9f7e8" localSheetId="1" hidden="1">'Normal Demand'!$B$1</definedName>
    <definedName name="CBCR_71da7d2da02a4eeabf0260dd8c23d4a5" localSheetId="1" hidden="1">'Normal Demand'!$B$2</definedName>
    <definedName name="CBCR_71fc84294847464d9a08e11dec84bcd6" localSheetId="1" hidden="1">'Normal Demand'!$B$2</definedName>
    <definedName name="CBCR_721775a5a44f4b1697b4bad83cf2daf8" localSheetId="1" hidden="1">'Normal Demand'!$B$1</definedName>
    <definedName name="CBCR_724cedc1cad8424bbf12dde77ac2a7f6" localSheetId="1" hidden="1">'Normal Demand'!$B$2</definedName>
    <definedName name="CBCR_7358cea3633b43d089fdc1d1c1bc9aac" localSheetId="1" hidden="1">'Normal Demand'!$B$1</definedName>
    <definedName name="CBCR_73c1e0e2fdf045699963fc836daaadaa" localSheetId="1" hidden="1">'Normal Demand'!$B$2</definedName>
    <definedName name="CBCR_740f547868824fb4ae9e6eaf5081dd4f" localSheetId="1" hidden="1">'Normal Demand'!$B$2</definedName>
    <definedName name="CBCR_74c9eff0f5b34a508980d5bd4564f01c" localSheetId="1" hidden="1">'Normal Demand'!$B$1</definedName>
    <definedName name="CBCR_74cdf9b130144256b2b8b599f0f4730c" localSheetId="1" hidden="1">'Normal Demand'!$B$1</definedName>
    <definedName name="CBCR_750f3c0288fd4fc9b7d5bf6d24757b30" localSheetId="1" hidden="1">'Normal Demand'!$B$1</definedName>
    <definedName name="CBCR_754c247613dc47ba99730ff645835611" localSheetId="1" hidden="1">'Normal Demand'!$B$1</definedName>
    <definedName name="CBCR_7572d1e3f6664f3bb5f8a876423211de" localSheetId="1" hidden="1">'Normal Demand'!$B$1</definedName>
    <definedName name="CBCR_75f7ea62ea1c465f8e6441c2c131455b" localSheetId="1" hidden="1">'Normal Demand'!$B$2</definedName>
    <definedName name="CBCR_772874cee4e84e769652289936ad68ee" localSheetId="1" hidden="1">'Normal Demand'!$B$2</definedName>
    <definedName name="CBCR_77bd36ca81fa4d0e81903e709e5df444" localSheetId="1" hidden="1">'Normal Demand'!$B$2</definedName>
    <definedName name="CBCR_77c112090b6744238c9e58b095a075c0" localSheetId="1" hidden="1">'Normal Demand'!$B$2</definedName>
    <definedName name="CBCR_790c8123c6fc4ed9a52831ffb9b5587c" localSheetId="1" hidden="1">'Normal Demand'!$B$1</definedName>
    <definedName name="CBCR_7934491d23314a36958a7933f01488a9" localSheetId="1" hidden="1">'Normal Demand'!$B$2</definedName>
    <definedName name="CBCR_7a369a5f564e4d71b35d3f08c463760f" localSheetId="1" hidden="1">'Normal Demand'!$B$2</definedName>
    <definedName name="CBCR_7a38bc9f85d54372a77a0bc626c75c8d" localSheetId="1" hidden="1">'Normal Demand'!$B$2</definedName>
    <definedName name="CBCR_7a9b7391c7cd4a0c8fb5b5522755b0ec" localSheetId="1" hidden="1">'Normal Demand'!$B$2</definedName>
    <definedName name="CBCR_7b405ab21aa44e1a85afaba0c7431569" localSheetId="1" hidden="1">'Normal Demand'!$B$1</definedName>
    <definedName name="CBCR_7b78fc5dd2034e0986b4a32286389366" localSheetId="1" hidden="1">'Normal Demand'!$B$2</definedName>
    <definedName name="CBCR_7b8d99ce8aad4deba59571ca94600275" localSheetId="1" hidden="1">'Normal Demand'!$B$1</definedName>
    <definedName name="CBCR_7ba061f15d7b4dfb9c70164ad49a1d2b" localSheetId="1" hidden="1">'Normal Demand'!$B$1</definedName>
    <definedName name="CBCR_7c49f1a644b340ec916af1360b6d1eb7" localSheetId="1" hidden="1">'Normal Demand'!$B$1</definedName>
    <definedName name="CBCR_7c9dc717dc4a49119bbcbbed1bd7d16b" localSheetId="1" hidden="1">'Normal Demand'!$B$2</definedName>
    <definedName name="CBCR_7cbdfb01d37a4bafbe39b66c3f298471" localSheetId="1" hidden="1">'Normal Demand'!$B$1</definedName>
    <definedName name="CBCR_7d19144420a14ad89dc8629bb800055f" localSheetId="1" hidden="1">'Normal Demand'!$B$2</definedName>
    <definedName name="CBCR_7d417e6c53664dad82a3c5f4f706a9a0" localSheetId="1" hidden="1">'Normal Demand'!$B$1</definedName>
    <definedName name="CBCR_7d421de9fa6542028bec1eb996e6a56f" localSheetId="1" hidden="1">'Normal Demand'!$B$1</definedName>
    <definedName name="CBCR_7d93a500d15842d3bf4ddc531fcdb006" localSheetId="1" hidden="1">'Normal Demand'!$B$1</definedName>
    <definedName name="CBCR_7de305c3b48b4fbeac3e25845eed42ee" localSheetId="1" hidden="1">'Normal Demand'!$B$1</definedName>
    <definedName name="CBCR_7e882df53b1a4704b4b964be3e0ff7a6" localSheetId="1" hidden="1">'Normal Demand'!$B$2</definedName>
    <definedName name="CBCR_7e9c534097a64b47a4ef64a36ff3e9bf" localSheetId="1" hidden="1">'Normal Demand'!$B$2</definedName>
    <definedName name="CBCR_7ed6403e15c7406182896eb086a40874" localSheetId="1" hidden="1">'Normal Demand'!$B$1</definedName>
    <definedName name="CBCR_7f41d956b2c14d92877dd8b626178664" localSheetId="1" hidden="1">'Normal Demand'!$B$1</definedName>
    <definedName name="CBCR_7fc06344af2d4ec68a395a4176f09062" localSheetId="1" hidden="1">'Normal Demand'!$B$2</definedName>
    <definedName name="CBCR_7fd6a13fce754ea8b1dd409942ae79f0" localSheetId="1" hidden="1">'Normal Demand'!$B$2</definedName>
    <definedName name="CBCR_8027122cbdca4f88b26e7786a3d22ab8" localSheetId="1" hidden="1">'Normal Demand'!$B$2</definedName>
    <definedName name="CBCR_808e590521d54cf28d7f9c5e75268b28" localSheetId="1" hidden="1">'Normal Demand'!$B$1</definedName>
    <definedName name="CBCR_80bf30af93cb4101829a73acdfdb76d6" localSheetId="1" hidden="1">'Normal Demand'!$B$1</definedName>
    <definedName name="CBCR_80e4121a93bb41869874a5c0f0962bd3" localSheetId="1" hidden="1">'Normal Demand'!$B$1</definedName>
    <definedName name="CBCR_80e930124c4c4d9eb0b20ce4446963e3" localSheetId="1" hidden="1">'Normal Demand'!$B$2</definedName>
    <definedName name="CBCR_8100dca6875243a0acf231ddda15cfb3" localSheetId="1" hidden="1">'Normal Demand'!$B$1</definedName>
    <definedName name="CBCR_81fd7dffc3224f46ba36b2317125936e" localSheetId="1" hidden="1">'Normal Demand'!$B$2</definedName>
    <definedName name="CBCR_8201c74f629c4d01bd3f319f9d8f3308" localSheetId="1" hidden="1">'Normal Demand'!$B$2</definedName>
    <definedName name="CBCR_824f6a9d921b4efea2228101f64eb7c0" localSheetId="1" hidden="1">'Normal Demand'!$B$2</definedName>
    <definedName name="CBCR_82ca205f983c4bfba5f1068acb287198" localSheetId="1" hidden="1">'Normal Demand'!$B$2</definedName>
    <definedName name="CBCR_82f31d8dcd9d4b1e98dbfab1fb6ece84" localSheetId="1" hidden="1">'Normal Demand'!$B$1</definedName>
    <definedName name="CBCR_842677fc327d49a78f0c3533744c85ee" localSheetId="1" hidden="1">'Normal Demand'!$B$1</definedName>
    <definedName name="CBCR_8430f28ed02141d79fb983a52061c180" localSheetId="1" hidden="1">'Normal Demand'!$B$2</definedName>
    <definedName name="CBCR_84fc98878d2e4eaeb232fcbd50494549" localSheetId="1" hidden="1">'Normal Demand'!$B$1</definedName>
    <definedName name="CBCR_8586910eff6149d28b2e10bce0a0e6e7" localSheetId="1" hidden="1">'Normal Demand'!$B$2</definedName>
    <definedName name="CBCR_868a9dd6e7cc450e8843783875f4cc35" localSheetId="1" hidden="1">'Normal Demand'!$B$2</definedName>
    <definedName name="CBCR_8795ea57efb84345a61cc25a4bfefc97" localSheetId="1" hidden="1">'Normal Demand'!$B$2</definedName>
    <definedName name="CBCR_87b065f5d7ca4e44b9212a3c8fa9c113" localSheetId="1" hidden="1">'Normal Demand'!$B$1</definedName>
    <definedName name="CBCR_88003e9a7a7c470bb44c2c2aa7cc333d" localSheetId="1" hidden="1">'Normal Demand'!$B$1</definedName>
    <definedName name="CBCR_88200375008c4a858682f22457560828" localSheetId="1" hidden="1">'Normal Demand'!$B$2</definedName>
    <definedName name="CBCR_886d06ac70fa4d76a8d6dc3d4436bdc7" localSheetId="1" hidden="1">'Normal Demand'!$B$2</definedName>
    <definedName name="CBCR_888284c6d86f47a8bf35a2efd5f1a0a1" localSheetId="1" hidden="1">'Normal Demand'!$B$1</definedName>
    <definedName name="CBCR_8959979b40db45b7bffea97d8e1fc56d" localSheetId="1" hidden="1">'Normal Demand'!$B$2</definedName>
    <definedName name="CBCR_8990db6525e24c31a2befa11da300238" localSheetId="1" hidden="1">'Normal Demand'!$B$1</definedName>
    <definedName name="CBCR_89b78c09e1e5467bbb637f8afa0e5ae0" localSheetId="1" hidden="1">'Normal Demand'!$B$2</definedName>
    <definedName name="CBCR_89db4de689454fcc86f6f08d1f0edd57" localSheetId="1" hidden="1">'Normal Demand'!$B$1</definedName>
    <definedName name="CBCR_8a4ebb6b4f8f48bd830daa56f05bdebb" localSheetId="1" hidden="1">'Normal Demand'!$B$2</definedName>
    <definedName name="CBCR_8ac37a7eb50249c4bf7a403e8428f919" localSheetId="1" hidden="1">'Normal Demand'!$B$2</definedName>
    <definedName name="CBCR_8afc0379dc8e4b1cb50b2a6b14a83908" localSheetId="1" hidden="1">'Normal Demand'!$B$2</definedName>
    <definedName name="CBCR_8b5f1d5e96c94571ada54096a12ddd20" localSheetId="1" hidden="1">'Normal Demand'!$B$1</definedName>
    <definedName name="CBCR_8bb5fe5e620d4322841f9a9b20a723f3" localSheetId="1" hidden="1">'Normal Demand'!$B$2</definedName>
    <definedName name="CBCR_8c29281f29cd4704be62bfa7a8573617" localSheetId="1" hidden="1">'Normal Demand'!$B$2</definedName>
    <definedName name="CBCR_8c36da94d38e4cd48f71403d47bf9793" localSheetId="1" hidden="1">'Normal Demand'!$B$2</definedName>
    <definedName name="CBCR_8c978bb99dee4db2a1f8913199eb2a46" localSheetId="1" hidden="1">'Normal Demand'!$B$1</definedName>
    <definedName name="CBCR_8cad8427c0d347cc9612204b8bfcb0e7" localSheetId="1" hidden="1">'Normal Demand'!$B$1</definedName>
    <definedName name="CBCR_8cfe4dce8c9c4b918f53ce89766aa802" localSheetId="1" hidden="1">'Normal Demand'!$B$1</definedName>
    <definedName name="CBCR_8d2f015dbf004fa1878cd107ec5f1d8b" localSheetId="1" hidden="1">'Normal Demand'!$B$1</definedName>
    <definedName name="CBCR_8d5c99a59beb4ea7af79232cab518411" localSheetId="1" hidden="1">'Normal Demand'!$B$1</definedName>
    <definedName name="CBCR_8da6a42cbf0d473695f0d871490cef3c" localSheetId="1" hidden="1">'Normal Demand'!$B$1</definedName>
    <definedName name="CBCR_8dc1e4c9adfe44c5abf6d41373ffca24" localSheetId="1" hidden="1">'Normal Demand'!$B$1</definedName>
    <definedName name="CBCR_8eb4884f10144ee29de3007c7e81ca67" localSheetId="1" hidden="1">'Normal Demand'!$B$1</definedName>
    <definedName name="CBCR_8ecd134f40104fd2aed24409393e7c74" localSheetId="1" hidden="1">'Normal Demand'!$B$1</definedName>
    <definedName name="CBCR_8f569c995f6e4a6187d53b58307a7975" localSheetId="1" hidden="1">'Normal Demand'!$B$1</definedName>
    <definedName name="CBCR_904254ab22fd4ee29892f456a3399fd5" localSheetId="1" hidden="1">'Normal Demand'!$B$2</definedName>
    <definedName name="CBCR_905d624b060741aabb6da0515bce6d54" localSheetId="1" hidden="1">'Normal Demand'!$B$1</definedName>
    <definedName name="CBCR_90a22c64320c46b4b29a9cfc982e4164" localSheetId="1" hidden="1">'Normal Demand'!$B$2</definedName>
    <definedName name="CBCR_90b173722b3e4803ab43212dbfcf831d" localSheetId="1" hidden="1">'Normal Demand'!$B$2</definedName>
    <definedName name="CBCR_913e12d0a8aa4878a12b857849ca64d2" localSheetId="1" hidden="1">'Normal Demand'!$B$2</definedName>
    <definedName name="CBCR_922f7c54408e4487a7c508f00dfee73d" localSheetId="1" hidden="1">'Normal Demand'!$B$2</definedName>
    <definedName name="CBCR_92b2f2e95bc54634966c0ceac57da9fd" localSheetId="1" hidden="1">'Normal Demand'!$B$2</definedName>
    <definedName name="CBCR_92fddf4a11654256bda6ad12f94a2cd7" localSheetId="1" hidden="1">'Normal Demand'!$B$1</definedName>
    <definedName name="CBCR_939634083d70453e82f0a5d5467bba97" localSheetId="1" hidden="1">'Normal Demand'!$B$1</definedName>
    <definedName name="CBCR_93b1138a26054cc9a4c48e3f792182e3" localSheetId="1" hidden="1">'Normal Demand'!$B$2</definedName>
    <definedName name="CBCR_93dfc45dc18342718880af8f3c7986f5" localSheetId="1" hidden="1">'Normal Demand'!$B$1</definedName>
    <definedName name="CBCR_94485b49f7a247a3972735f09d6c1aa9" localSheetId="1" hidden="1">'Normal Demand'!$B$1</definedName>
    <definedName name="CBCR_94bf9b803a9a4fd0b6130f9cc2396b91" localSheetId="1" hidden="1">'Normal Demand'!$B$1</definedName>
    <definedName name="CBCR_94e40dd6e7ac4b1ca6d9e482aff7e406" localSheetId="1" hidden="1">'Normal Demand'!$B$1</definedName>
    <definedName name="CBCR_94f9ec93dcd648ebb7755256a3d8dfd7" localSheetId="1" hidden="1">'Normal Demand'!$B$2</definedName>
    <definedName name="CBCR_951be43b2e6a4714ad90b42d531c0915" localSheetId="1" hidden="1">'Normal Demand'!$B$1</definedName>
    <definedName name="CBCR_9597f43c9ac84e6d837d7d1c64a67662" localSheetId="1" hidden="1">'Normal Demand'!$B$2</definedName>
    <definedName name="CBCR_95ca9c969ae44674ae90dee3083b8e29" localSheetId="1" hidden="1">'Normal Demand'!$B$1</definedName>
    <definedName name="CBCR_96525c58fa9642f1be2df0a6d3112913" localSheetId="1" hidden="1">'Normal Demand'!$B$1</definedName>
    <definedName name="CBCR_96ae1012e5e64c808ef33068eb7bbce0" localSheetId="1" hidden="1">'Normal Demand'!$B$1</definedName>
    <definedName name="CBCR_96db29ba239e45a7aefa18b7554bdc25" localSheetId="1" hidden="1">'Normal Demand'!$B$1</definedName>
    <definedName name="CBCR_97b1450b6f674d20ae3cafa0dd2a1481" localSheetId="1" hidden="1">'Normal Demand'!$B$1</definedName>
    <definedName name="CBCR_987f491e873b49fda2f6b488175e58c5" localSheetId="1" hidden="1">'Normal Demand'!$B$2</definedName>
    <definedName name="CBCR_98de818cb87d4a6ead06b28de099f5b5" localSheetId="1" hidden="1">'Normal Demand'!$B$1</definedName>
    <definedName name="CBCR_9979d5199f5a40668c71cff1ece3a8a8" localSheetId="1" hidden="1">'Normal Demand'!$B$1</definedName>
    <definedName name="CBCR_9a3e788b447045b89bce5f2147023791" localSheetId="1" hidden="1">'Normal Demand'!$B$2</definedName>
    <definedName name="CBCR_9a7971d8c9ca4f0b9fbd6562655e5db6" localSheetId="1" hidden="1">'Normal Demand'!$B$2</definedName>
    <definedName name="CBCR_9bfbd9119f2c4a5eb318b4430d6097a4" localSheetId="1" hidden="1">'Normal Demand'!$B$1</definedName>
    <definedName name="CBCR_9c18514695cd4ecd98be4b6462947149" localSheetId="1" hidden="1">'Normal Demand'!$B$1</definedName>
    <definedName name="CBCR_9c6e62062fdf4dbfb95dd478f9c2ca05" localSheetId="1" hidden="1">'Normal Demand'!$B$1</definedName>
    <definedName name="CBCR_9c78661b2a7f42438899a55951b9aace" localSheetId="1" hidden="1">'Normal Demand'!$B$1</definedName>
    <definedName name="CBCR_9cb522a540584f49b13656a1e4dc4350" localSheetId="1" hidden="1">'Normal Demand'!$B$2</definedName>
    <definedName name="CBCR_9ce2fa75ae56411b87a7980ff4b3807c" localSheetId="1" hidden="1">'Normal Demand'!$B$2</definedName>
    <definedName name="CBCR_9d0b14e17c34416aacdb65ea86719b15" localSheetId="1" hidden="1">'Normal Demand'!$B$2</definedName>
    <definedName name="CBCR_9d1eef0011fe4f83bd46ab7594b9ce3f" localSheetId="1" hidden="1">'Normal Demand'!$B$2</definedName>
    <definedName name="CBCR_9d39157977c34c7b8f51cc3a98ab732b" localSheetId="1" hidden="1">'Normal Demand'!$B$2</definedName>
    <definedName name="CBCR_9d48984aa63c4b2c824146f0c4bb74b5" localSheetId="1" hidden="1">'Normal Demand'!$B$1</definedName>
    <definedName name="CBCR_9d557543dc394905aa8efb87b5257c5c" localSheetId="1" hidden="1">'Normal Demand'!$B$1</definedName>
    <definedName name="CBCR_9d59cee9d777415ca6c6bb409bf6fb57" localSheetId="1" hidden="1">'Normal Demand'!$B$1</definedName>
    <definedName name="CBCR_9d5b0391d5e74af98b9eb1cb49a53168" localSheetId="1" hidden="1">'Normal Demand'!$B$1</definedName>
    <definedName name="CBCR_9d654f0e46d149e3b75291e64d22a5a5" localSheetId="1" hidden="1">'Normal Demand'!$B$2</definedName>
    <definedName name="CBCR_9da28477f450493fa9af7b4137f79b54" localSheetId="1" hidden="1">'Normal Demand'!$B$1</definedName>
    <definedName name="CBCR_9dc85ff3baae4ccb93a075a046128780" localSheetId="1" hidden="1">'Normal Demand'!$B$1</definedName>
    <definedName name="CBCR_9dfd7ad7ae6543088744f76860386454" localSheetId="1" hidden="1">'Normal Demand'!$B$2</definedName>
    <definedName name="CBCR_9e1e940180544c1784c38ec17f5ac9c1" localSheetId="1" hidden="1">'Normal Demand'!$B$2</definedName>
    <definedName name="CBCR_9e28cf5614364bfe8459e5ab2f91b61d" localSheetId="1" hidden="1">'Normal Demand'!$B$2</definedName>
    <definedName name="CBCR_9e629c75938c48f1a10860b9390ac379" localSheetId="1" hidden="1">'Normal Demand'!$B$1</definedName>
    <definedName name="CBCR_9e72c0f1795c435886911032406b321d" localSheetId="1" hidden="1">'Normal Demand'!$B$1</definedName>
    <definedName name="CBCR_9eab38ad9a804171be19100335ee7797" localSheetId="1" hidden="1">'Normal Demand'!$B$1</definedName>
    <definedName name="CBCR_9ed31ef33dc54745a9665ad815e650e0" localSheetId="1" hidden="1">'Normal Demand'!$B$2</definedName>
    <definedName name="CBCR_9edd57509fec4b77a9574e13e2516d1e" localSheetId="1" hidden="1">'Normal Demand'!$B$1</definedName>
    <definedName name="CBCR_9edde4502d574bee932ba7e2f21f02bf" localSheetId="1" hidden="1">'Normal Demand'!$B$1</definedName>
    <definedName name="CBCR_9f0e25b07e90458d9dbd23d500c7b862" localSheetId="1" hidden="1">'Normal Demand'!$B$1</definedName>
    <definedName name="CBCR_9f4d28865dda4e4c962df3ba3a2fc4a0" localSheetId="1" hidden="1">'Normal Demand'!$B$1</definedName>
    <definedName name="CBCR_9f8ce13609d047fcb7fa0030b28a1a80" localSheetId="1" hidden="1">'Normal Demand'!$B$2</definedName>
    <definedName name="CBCR_a038fef5289b45869001493db2dfb2e3" localSheetId="1" hidden="1">'Normal Demand'!$B$2</definedName>
    <definedName name="CBCR_a0fd3ebe650f48e5b2cfe37a3af64b40" localSheetId="1" hidden="1">'Normal Demand'!$B$1</definedName>
    <definedName name="CBCR_a133acd1617f41d8b694aeddc70dbf84" localSheetId="1" hidden="1">'Normal Demand'!$B$2</definedName>
    <definedName name="CBCR_a19e0ac2d5304023b348ac84faf4d186" localSheetId="1" hidden="1">'Normal Demand'!$B$2</definedName>
    <definedName name="CBCR_a1d8528cf34f4be4801041e0d85c4da8" localSheetId="1" hidden="1">'Normal Demand'!$B$2</definedName>
    <definedName name="CBCR_a1f747f97a46400c8081e9420fb85c07" localSheetId="1" hidden="1">'Normal Demand'!$B$1</definedName>
    <definedName name="CBCR_a1f8dd4b21284ac396d352fbcce6c9ab" localSheetId="1" hidden="1">'Normal Demand'!$B$1</definedName>
    <definedName name="CBCR_a2530045a7934b838a935dd134c45ea1" localSheetId="1" hidden="1">'Normal Demand'!$B$1</definedName>
    <definedName name="CBCR_a25e0548873f48e79c3bd4f5f041c6a3" localSheetId="1" hidden="1">'Normal Demand'!$B$1</definedName>
    <definedName name="CBCR_a3c531224ece44018198c53e3575598a" localSheetId="1" hidden="1">'Normal Demand'!$B$2</definedName>
    <definedName name="CBCR_a4022374043c4c99871ab4fb34237f32" localSheetId="1" hidden="1">'Normal Demand'!$B$1</definedName>
    <definedName name="CBCR_a42d1544be18479da19a8d8ebe6e6ef0" localSheetId="1" hidden="1">'Normal Demand'!$B$2</definedName>
    <definedName name="CBCR_a47173f4121f4346869429c6cdbc230a" localSheetId="1" hidden="1">'Normal Demand'!$B$2</definedName>
    <definedName name="CBCR_a4a410ab91904ac1845d4e7293dc7dbe" localSheetId="1" hidden="1">'Normal Demand'!$B$2</definedName>
    <definedName name="CBCR_a4b920b3c7114e0c993ef1d5d0a7a143" localSheetId="1" hidden="1">'Normal Demand'!$B$2</definedName>
    <definedName name="CBCR_a4d5a71c37924faab911edcf895b7a21" localSheetId="1" hidden="1">'Normal Demand'!$B$1</definedName>
    <definedName name="CBCR_a50764db68144003954cac4a0a105d83" localSheetId="1" hidden="1">'Normal Demand'!$B$2</definedName>
    <definedName name="CBCR_a53c7409c3514e40976525c26a2771d2" localSheetId="1" hidden="1">'Normal Demand'!$B$2</definedName>
    <definedName name="CBCR_a544cd3fdf10430e9aec3fb7afbbac9f" localSheetId="1" hidden="1">'Normal Demand'!$B$1</definedName>
    <definedName name="CBCR_a6370b04529844568244fe127f741918" localSheetId="1" hidden="1">'Normal Demand'!$B$1</definedName>
    <definedName name="CBCR_a66850376d2e46459ca7a4d5312dfcdc" localSheetId="1" hidden="1">'Normal Demand'!$B$1</definedName>
    <definedName name="CBCR_a6713f44968949d58e0368fe2a989f6e" localSheetId="1" hidden="1">'Normal Demand'!$B$1</definedName>
    <definedName name="CBCR_a6a81b918808410cb77d56ed3ef16243" localSheetId="1" hidden="1">'Normal Demand'!$B$2</definedName>
    <definedName name="CBCR_a7c2be17a9044f4bbf64480af4e11721" localSheetId="1" hidden="1">'Normal Demand'!$B$1</definedName>
    <definedName name="CBCR_a7c5c17ed6954685b107bbbc368f3a62" localSheetId="1" hidden="1">'Normal Demand'!$B$1</definedName>
    <definedName name="CBCR_a7f9ef0267284d39909890cbaba3e9d6" localSheetId="1" hidden="1">'Normal Demand'!$B$1</definedName>
    <definedName name="CBCR_a86b0d99070d494da02f6a868c673962" localSheetId="1" hidden="1">'Normal Demand'!$B$2</definedName>
    <definedName name="CBCR_a8dcb508d80c4d09b94d42fd3bf8852d" localSheetId="1" hidden="1">'Normal Demand'!$B$1</definedName>
    <definedName name="CBCR_a8f14ba6b01f45ea936eb24eb93fb338" localSheetId="1" hidden="1">'Normal Demand'!$B$1</definedName>
    <definedName name="CBCR_a9578363448b4e93bc2c832c8f154847" localSheetId="1" hidden="1">'Normal Demand'!$B$2</definedName>
    <definedName name="CBCR_a974caf0f11941c19e93d9604e5661ce" localSheetId="1" hidden="1">'Normal Demand'!$B$2</definedName>
    <definedName name="CBCR_a9b63441c2274c62825ae7aaa5beb5ee" localSheetId="1" hidden="1">'Normal Demand'!$B$1</definedName>
    <definedName name="CBCR_a9e7659bea2e4b03ad1d8240c1c6952d" localSheetId="1" hidden="1">'Normal Demand'!$B$1</definedName>
    <definedName name="CBCR_aa48b9b36c9f4c2daae0e8a5de6e3117" localSheetId="1" hidden="1">'Normal Demand'!$B$2</definedName>
    <definedName name="CBCR_aa53699f868d42c48faf84459255ee0a" localSheetId="1" hidden="1">'Normal Demand'!$B$2</definedName>
    <definedName name="CBCR_aab2d536776e4f3e9d2f9099c1670ae9" localSheetId="1" hidden="1">'Normal Demand'!$B$2</definedName>
    <definedName name="CBCR_aaf2311e156b48308aba0c9aa70bb2f7" localSheetId="1" hidden="1">'Normal Demand'!$B$2</definedName>
    <definedName name="CBCR_aaffe832d22e4d2eb71cb83580b30c4d" localSheetId="1" hidden="1">'Normal Demand'!$B$1</definedName>
    <definedName name="CBCR_ac470ae118d7487a9ce0c08b56d9f2cb" localSheetId="1" hidden="1">'Normal Demand'!$B$2</definedName>
    <definedName name="CBCR_ac814d31fbe443259876201ebcae8f5b" localSheetId="1" hidden="1">'Normal Demand'!$B$1</definedName>
    <definedName name="CBCR_ac88eb9edd5847ff86dbb56020bc0104" localSheetId="1" hidden="1">'Normal Demand'!$B$1</definedName>
    <definedName name="CBCR_acb50d7b2a7d40acb5ac1685a5b094b6" localSheetId="1" hidden="1">'Normal Demand'!$B$1</definedName>
    <definedName name="CBCR_acbfda30ea3f4149a878728c8bb314cd" localSheetId="1" hidden="1">'Normal Demand'!$B$2</definedName>
    <definedName name="CBCR_ad6066143470491088d5e8214a0db7c8" localSheetId="1" hidden="1">'Normal Demand'!$B$2</definedName>
    <definedName name="CBCR_ae018fe90bc44e6c8ce984b6f2ecc4d1" localSheetId="1" hidden="1">'Normal Demand'!$B$2</definedName>
    <definedName name="CBCR_ae44fde9844d436780e192b5ed5f9083" localSheetId="1" hidden="1">'Normal Demand'!$B$2</definedName>
    <definedName name="CBCR_ae6e1b78b1fe4919a7d67c0f7572c7c5" localSheetId="1" hidden="1">'Normal Demand'!$B$2</definedName>
    <definedName name="CBCR_ae74dca7b9f441d9879783a469819337" localSheetId="1" hidden="1">'Normal Demand'!$B$1</definedName>
    <definedName name="CBCR_af175914e98f483f9baeeca3cc3159af" localSheetId="1" hidden="1">'Normal Demand'!$B$1</definedName>
    <definedName name="CBCR_af19cd40e09843fea427a4e67b2da921" localSheetId="1" hidden="1">'Normal Demand'!$B$1</definedName>
    <definedName name="CBCR_b158663e50834240a86a4c0b8747d943" localSheetId="1" hidden="1">'Normal Demand'!$B$2</definedName>
    <definedName name="CBCR_b18ea05d6f884c48baafcba7f8bdd1f2" localSheetId="1" hidden="1">'Normal Demand'!$B$2</definedName>
    <definedName name="CBCR_b1d69b13833f47e1b208a8440317dd57" localSheetId="1" hidden="1">'Normal Demand'!$B$1</definedName>
    <definedName name="CBCR_b1f1218be1f44af796a6ab0803090559" localSheetId="1" hidden="1">'Normal Demand'!$B$1</definedName>
    <definedName name="CBCR_b1f317c8278f4f4dbf4284e206f27433" localSheetId="1" hidden="1">'Normal Demand'!$B$1</definedName>
    <definedName name="CBCR_b2012f99bfe04ac29a6b5e90ca885f14" localSheetId="1" hidden="1">'Normal Demand'!$B$2</definedName>
    <definedName name="CBCR_b2c4c950cbee4c1cb66033bcde4778c9" localSheetId="1" hidden="1">'Normal Demand'!$B$1</definedName>
    <definedName name="CBCR_b3090858c8dc4b90bc8ac41cabfcd557" localSheetId="1" hidden="1">'Normal Demand'!$B$1</definedName>
    <definedName name="CBCR_b314ebed771a4d5383146b41424d6916" localSheetId="1" hidden="1">'Normal Demand'!$B$1</definedName>
    <definedName name="CBCR_b369d11a4fc54fb9a76ade5be2d9020b" localSheetId="1" hidden="1">'Normal Demand'!$B$1</definedName>
    <definedName name="CBCR_b3e13fa3d3c7408e8f0860ac9abf144e" localSheetId="1" hidden="1">'Normal Demand'!$B$1</definedName>
    <definedName name="CBCR_b3ec6e7b9b534142b1bef3da92d35496" localSheetId="1" hidden="1">'Normal Demand'!$B$1</definedName>
    <definedName name="CBCR_b4c0adb4470f461485c691641a69f4eb" localSheetId="1" hidden="1">'Normal Demand'!$B$2</definedName>
    <definedName name="CBCR_b4d5a14eb98547059f6a78d5409374c6" localSheetId="1" hidden="1">'Normal Demand'!$B$2</definedName>
    <definedName name="CBCR_b4f854b6146d45d39d47ccaee13d633f" localSheetId="1" hidden="1">'Normal Demand'!$B$1</definedName>
    <definedName name="CBCR_b51e231048354cc2988605631c815d6b" localSheetId="1" hidden="1">'Normal Demand'!$B$2</definedName>
    <definedName name="CBCR_b526df03615a450f89699b919e39a7cd" localSheetId="1" hidden="1">'Normal Demand'!$B$1</definedName>
    <definedName name="CBCR_b55b8a4772f94493939aba0a809c1a20" localSheetId="1" hidden="1">'Normal Demand'!$B$2</definedName>
    <definedName name="CBCR_b57484275cd145b99a87c12473a6b7ca" localSheetId="1" hidden="1">'Normal Demand'!$B$2</definedName>
    <definedName name="CBCR_b6093ee3b7cd4d508cb6e5c16ee5a476" localSheetId="1" hidden="1">'Normal Demand'!$B$2</definedName>
    <definedName name="CBCR_b67993917e6a4597999fd65c6d660496" localSheetId="1" hidden="1">'Normal Demand'!$B$1</definedName>
    <definedName name="CBCR_b6ca290111c141aba5e054ee8c1cb4d6" localSheetId="1" hidden="1">'Normal Demand'!$B$1</definedName>
    <definedName name="CBCR_b85aed017bda445fb82f757e18db27a7" localSheetId="1" hidden="1">'Normal Demand'!$B$1</definedName>
    <definedName name="CBCR_b86dea72a3bd43fb92089b116fc397e0" localSheetId="1" hidden="1">'Normal Demand'!$B$2</definedName>
    <definedName name="CBCR_b903a05e8dbc4430b2ac8aa815aa6808" localSheetId="1" hidden="1">'Normal Demand'!$B$2</definedName>
    <definedName name="CBCR_b9040175815043858c97a71aa364a19f" localSheetId="1" hidden="1">'Normal Demand'!$B$2</definedName>
    <definedName name="CBCR_b925ad8dd5594e29ad7418ff894e5535" localSheetId="1" hidden="1">'Normal Demand'!$B$1</definedName>
    <definedName name="CBCR_b96dccbcf2ea4d4a9e0bffde401957fe" localSheetId="1" hidden="1">'Normal Demand'!$B$1</definedName>
    <definedName name="CBCR_b99b8f215ac446e4874f19f9d3e97fcb" localSheetId="1" hidden="1">'Normal Demand'!$B$1</definedName>
    <definedName name="CBCR_b9af9a77b5044205af09b403122afa0a" localSheetId="1" hidden="1">'Normal Demand'!$B$1</definedName>
    <definedName name="CBCR_b9bbe086754a4c30bf6986525982e9f4" localSheetId="1" hidden="1">'Normal Demand'!$B$1</definedName>
    <definedName name="CBCR_b9bd1a6794a840b4920d2d94e54db0ca" localSheetId="1" hidden="1">'Normal Demand'!$B$1</definedName>
    <definedName name="CBCR_ba3cbb8b1ed9457d8767cf00eff77cfe" localSheetId="1" hidden="1">'Normal Demand'!$B$1</definedName>
    <definedName name="CBCR_ba60773c0ec540bdb5029c16b3847511" localSheetId="1" hidden="1">'Normal Demand'!$B$1</definedName>
    <definedName name="CBCR_ba79c9ac8f5c41e0bd1cd2e1e8e854e9" localSheetId="1" hidden="1">'Normal Demand'!$B$1</definedName>
    <definedName name="CBCR_ba81b5c6e54b4b6a9c71f1ae8c400270" localSheetId="1" hidden="1">'Normal Demand'!$B$1</definedName>
    <definedName name="CBCR_ba98c9c1d6bb4af59dfda43469aad12a" localSheetId="1" hidden="1">'Normal Demand'!$B$1</definedName>
    <definedName name="CBCR_ba9a09a572a149a0873a8863a755f2ad" localSheetId="1" hidden="1">'Normal Demand'!$B$2</definedName>
    <definedName name="CBCR_baad4adc045046419b41567cba780fdb" localSheetId="1" hidden="1">'Normal Demand'!$B$1</definedName>
    <definedName name="CBCR_bb7d75757dea4582a1b576ea844a411f" localSheetId="1" hidden="1">'Normal Demand'!$B$2</definedName>
    <definedName name="CBCR_bbe092a90a9a44488691c97d288200de" localSheetId="1" hidden="1">'Normal Demand'!$B$2</definedName>
    <definedName name="CBCR_bc0bc92ec2694194b5381b98cb92f410" localSheetId="1" hidden="1">'Normal Demand'!$B$2</definedName>
    <definedName name="CBCR_bc25256b058f44ffbae417620b8cc10d" localSheetId="1" hidden="1">'Normal Demand'!$B$1</definedName>
    <definedName name="CBCR_bc5955894be640729da5f779fdd96a79" localSheetId="1" hidden="1">'Normal Demand'!$B$1</definedName>
    <definedName name="CBCR_bef2425c250a45448e192277d969d10e" localSheetId="1" hidden="1">'Normal Demand'!$B$2</definedName>
    <definedName name="CBCR_bf1939b460f8400fa21df76942ac5e9a" localSheetId="1" hidden="1">'Normal Demand'!$B$2</definedName>
    <definedName name="CBCR_bf76e9a1a20640d28ad35b3b539722af" localSheetId="1" hidden="1">'Normal Demand'!$B$1</definedName>
    <definedName name="CBCR_bf7c51ab5c174861acfc9d4110aa297c" localSheetId="1" hidden="1">'Normal Demand'!$B$2</definedName>
    <definedName name="CBCR_bfd4f249dbc54c97a69b2358cd1df98a" localSheetId="1" hidden="1">'Normal Demand'!$B$2</definedName>
    <definedName name="CBCR_bfe633565a574f2884ec07da1f6be85a" localSheetId="1" hidden="1">'Normal Demand'!$B$2</definedName>
    <definedName name="CBCR_bffadea3c68140fca17ec329dbe66780" localSheetId="1" hidden="1">'Normal Demand'!$B$1</definedName>
    <definedName name="CBCR_c08c2ac928894b9ca49eeae80f86f673" localSheetId="1" hidden="1">'Normal Demand'!$B$2</definedName>
    <definedName name="CBCR_c0d394cf6623450380f78dd821d83ca1" localSheetId="1" hidden="1">'Normal Demand'!$B$2</definedName>
    <definedName name="CBCR_c11fe98d91474dc58ebf4a498972df62" localSheetId="1" hidden="1">'Normal Demand'!$B$1</definedName>
    <definedName name="CBCR_c15c019020894b8d9292c11bfed5c7ce" localSheetId="1" hidden="1">'Normal Demand'!$B$2</definedName>
    <definedName name="CBCR_c1e32779194e476b97b22df66888e2ff" localSheetId="1" hidden="1">'Normal Demand'!$B$2</definedName>
    <definedName name="CBCR_c20f0ac1eb7e4ca3ac88d9e091dd468f" localSheetId="1" hidden="1">'Normal Demand'!$B$1</definedName>
    <definedName name="CBCR_c236034b7f97434d84e86f3294dd9889" localSheetId="1" hidden="1">'Normal Demand'!$B$1</definedName>
    <definedName name="CBCR_c28797cf4989488ca24c3e787a8f694f" localSheetId="1" hidden="1">'Normal Demand'!$B$1</definedName>
    <definedName name="CBCR_c2906cf25d2f4328944a9f641aa55308" localSheetId="1" hidden="1">'Normal Demand'!$B$2</definedName>
    <definedName name="CBCR_c304c33e8cf8418c88b799760f2f7ddd" localSheetId="1" hidden="1">'Normal Demand'!$B$1</definedName>
    <definedName name="CBCR_c34e5b725b174f0ba50a82ca7cde7c95" localSheetId="1" hidden="1">'Normal Demand'!$B$1</definedName>
    <definedName name="CBCR_c35e77f461da4699951fce588944a3c8" localSheetId="1" hidden="1">'Normal Demand'!$B$2</definedName>
    <definedName name="CBCR_c394c07bf57046d2b958ad4770db71b7" localSheetId="1" hidden="1">'Normal Demand'!$B$1</definedName>
    <definedName name="CBCR_c3b73489d3ca49fbaa9265c542856d4a" localSheetId="1" hidden="1">'Normal Demand'!$B$2</definedName>
    <definedName name="CBCR_c3bb1786a83340cf8dd5fbc960d16b33" localSheetId="1" hidden="1">'Normal Demand'!$B$2</definedName>
    <definedName name="CBCR_c3fb3c3eaa244133b3e7f54131e67b28" localSheetId="1" hidden="1">'Normal Demand'!$B$1</definedName>
    <definedName name="CBCR_c3ff194e9b7446258c497ddb9af92e9b" localSheetId="1" hidden="1">'Normal Demand'!$B$1</definedName>
    <definedName name="CBCR_c404539ece6b4e62b5074eb0e1baad87" localSheetId="1" hidden="1">'Normal Demand'!$B$1</definedName>
    <definedName name="CBCR_c41c5d3a90e94cae8e23186d68013c59" localSheetId="1" hidden="1">'Normal Demand'!$B$1</definedName>
    <definedName name="CBCR_c42dc208546741cf8fee80381ccc5777" localSheetId="1" hidden="1">'Normal Demand'!$B$2</definedName>
    <definedName name="CBCR_c451704c211e4dbeaf2b62fbfc9ba7ed" localSheetId="1" hidden="1">'Normal Demand'!$B$1</definedName>
    <definedName name="CBCR_c47866c42c1940f79b1946866ae339f4" localSheetId="1" hidden="1">'Normal Demand'!$B$1</definedName>
    <definedName name="CBCR_c47ee2d4749e4f529551beb61c249ec0" localSheetId="1" hidden="1">'Normal Demand'!$B$1</definedName>
    <definedName name="CBCR_c4851d93f4434d1fa296855d45b27782" localSheetId="1" hidden="1">'Normal Demand'!$B$2</definedName>
    <definedName name="CBCR_c486c97003d64c6a8070a4ced384c516" localSheetId="1" hidden="1">'Normal Demand'!$B$2</definedName>
    <definedName name="CBCR_c54c48cb80a442fb8d53fb9eef7c9c32" localSheetId="1" hidden="1">'Normal Demand'!$B$1</definedName>
    <definedName name="CBCR_c5cb5a637ac0477da103ba50d90e5513" localSheetId="1" hidden="1">'Normal Demand'!$B$2</definedName>
    <definedName name="CBCR_c6234d86ac094280a8901b3ae95f714c" localSheetId="1" hidden="1">'Normal Demand'!$B$2</definedName>
    <definedName name="CBCR_c687824055534e249903b3a78c5c0601" localSheetId="1" hidden="1">'Normal Demand'!$B$2</definedName>
    <definedName name="CBCR_c6915333b9ae4a6b9879e1ee9a53ea63" localSheetId="1" hidden="1">'Normal Demand'!$B$1</definedName>
    <definedName name="CBCR_c6aa9b3fc8b946cea92584e14cac543d" localSheetId="1" hidden="1">'Normal Demand'!$B$1</definedName>
    <definedName name="CBCR_c6b35c2e18cc4ecb88e3eeea0fd7b001" localSheetId="1" hidden="1">'Normal Demand'!$B$1</definedName>
    <definedName name="CBCR_c7e2abbcf6a448d7ae964a284c657d2b" localSheetId="1" hidden="1">'Normal Demand'!$B$1</definedName>
    <definedName name="CBCR_c7f9f95b074b45fbab5498cf7315c232" localSheetId="1" hidden="1">'Normal Demand'!$B$2</definedName>
    <definedName name="CBCR_c83860ca57054a0e9ba1c4276052c415" localSheetId="1" hidden="1">'Normal Demand'!$B$2</definedName>
    <definedName name="CBCR_ca181446f74342afb4725a8db568efe7" localSheetId="1" hidden="1">'Normal Demand'!$B$2</definedName>
    <definedName name="CBCR_ca602681953e43bf96a390c15cb3b4d7" localSheetId="1" hidden="1">'Normal Demand'!$B$1</definedName>
    <definedName name="CBCR_cae96e77baf8414a83225f12977c654e" localSheetId="1" hidden="1">'Normal Demand'!$B$1</definedName>
    <definedName name="CBCR_cb87fbc4373546ab8271ff5cb2ad2a19" localSheetId="1" hidden="1">'Normal Demand'!$B$2</definedName>
    <definedName name="CBCR_cbc2971befd14511a0d9bc29891df820" localSheetId="1" hidden="1">'Normal Demand'!$B$1</definedName>
    <definedName name="CBCR_cc1c6e7f355843068d840f61cb1a46e8" localSheetId="1" hidden="1">'Normal Demand'!$B$2</definedName>
    <definedName name="CBCR_cc568b33a1b0440ea94d61d1aae0b9b8" localSheetId="1" hidden="1">'Normal Demand'!$B$1</definedName>
    <definedName name="CBCR_cd4d395e09604a3b9b37678745b68541" localSheetId="1" hidden="1">'Normal Demand'!$B$1</definedName>
    <definedName name="CBCR_ce2b03ff1a3c45ad8f19d8a3ad9b29f8" localSheetId="1" hidden="1">'Normal Demand'!$B$1</definedName>
    <definedName name="CBCR_ce420d17e0dd40e79a95b9f8661fffdd" localSheetId="1" hidden="1">'Normal Demand'!$B$2</definedName>
    <definedName name="CBCR_cf2250c41ad94a6e99dc11b0d086d201" localSheetId="1" hidden="1">'Normal Demand'!$B$2</definedName>
    <definedName name="CBCR_cf8d9813b56f45d1b69a82a97f04e951" localSheetId="1" hidden="1">'Normal Demand'!$B$2</definedName>
    <definedName name="CBCR_cf98b58fe81442bcbab3c88780ba73ea" localSheetId="1" hidden="1">'Normal Demand'!$B$1</definedName>
    <definedName name="CBCR_cfc4bdf4ba424364b66b96b390d3b308" localSheetId="1" hidden="1">'Normal Demand'!$B$1</definedName>
    <definedName name="CBCR_cfe57c6b16b548568c52d16a32fe9724" localSheetId="1" hidden="1">'Normal Demand'!$B$2</definedName>
    <definedName name="CBCR_d019b3ee2bb14908b2cf2546d4ca169c" localSheetId="1" hidden="1">'Normal Demand'!$B$1</definedName>
    <definedName name="CBCR_d02c692ee7ef42a292b8c1c4f7609672" localSheetId="1" hidden="1">'Normal Demand'!$B$1</definedName>
    <definedName name="CBCR_d03e6a8c00b348cd9fc5be93bba5ed83" localSheetId="1" hidden="1">'Normal Demand'!$B$1</definedName>
    <definedName name="CBCR_d03e74784f364c85a39d79cca9bc7324" localSheetId="1" hidden="1">'Normal Demand'!$B$2</definedName>
    <definedName name="CBCR_d074315cb12a4e3a8125a0091f5ef08d" localSheetId="1" hidden="1">'Normal Demand'!$B$1</definedName>
    <definedName name="CBCR_d1a586247ee34be1a2fc9c1624cbb7df" localSheetId="1" hidden="1">'Normal Demand'!$B$1</definedName>
    <definedName name="CBCR_d294c7567ef247a4b43cb82fb15a4a14" localSheetId="1" hidden="1">'Normal Demand'!$B$2</definedName>
    <definedName name="CBCR_d31d763f13cd4109a62aa1c3a1d8a4da" localSheetId="1" hidden="1">'Normal Demand'!$B$1</definedName>
    <definedName name="CBCR_d371581a6a2e40099256edad3cd7b968" localSheetId="1" hidden="1">'Normal Demand'!$B$1</definedName>
    <definedName name="CBCR_d37e3624106047de94855df3be162bf1" localSheetId="1" hidden="1">'Normal Demand'!$B$1</definedName>
    <definedName name="CBCR_d3cbc7ba13704833ace9a85c2c9cb14d" localSheetId="1" hidden="1">'Normal Demand'!$B$1</definedName>
    <definedName name="CBCR_d3d4e359cf554a3caf7b0805e46dda7b" localSheetId="1" hidden="1">'Normal Demand'!$B$2</definedName>
    <definedName name="CBCR_d46808513b2e473fbdacb8c26a8a5008" localSheetId="1" hidden="1">'Normal Demand'!$B$2</definedName>
    <definedName name="CBCR_d493138a3d224030a1f01b1ad08ff39a" localSheetId="1" hidden="1">'Normal Demand'!$B$2</definedName>
    <definedName name="CBCR_d511081968234723948666f27f44d9db" localSheetId="1" hidden="1">'Normal Demand'!$B$2</definedName>
    <definedName name="CBCR_d5b3620f4d92443c8087611afb7a3b00" localSheetId="1" hidden="1">'Normal Demand'!$B$2</definedName>
    <definedName name="CBCR_d627889bb30546eb9a0967eaf2290ae9" localSheetId="1" hidden="1">'Normal Demand'!$B$2</definedName>
    <definedName name="CBCR_d63056b94e024430a923fef196b09748" localSheetId="1" hidden="1">'Normal Demand'!$B$2</definedName>
    <definedName name="CBCR_d635eec866fb4f5085c653fd3b11ee4b" localSheetId="1" hidden="1">'Normal Demand'!$B$2</definedName>
    <definedName name="CBCR_d6640a5b528f46daa1c8fb536cd3160d" localSheetId="1" hidden="1">'Normal Demand'!$B$2</definedName>
    <definedName name="CBCR_d677a61f7d544dbab76622aa990727ea" localSheetId="1" hidden="1">'Normal Demand'!$B$1</definedName>
    <definedName name="CBCR_d72fa82bc696427f82fb98070d2c3275" localSheetId="1" hidden="1">'Normal Demand'!$B$2</definedName>
    <definedName name="CBCR_d8238f927d1e452ca44dd5f3fe9b3f0f" localSheetId="1" hidden="1">'Normal Demand'!$B$1</definedName>
    <definedName name="CBCR_d888535026954b6c8c46b24a5e961da7" localSheetId="1" hidden="1">'Normal Demand'!$B$1</definedName>
    <definedName name="CBCR_d92a2e9ddc9e459cad732e031372b61c" localSheetId="1" hidden="1">'Normal Demand'!$B$1</definedName>
    <definedName name="CBCR_d93df83dfbe74951b772249b7d394db7" localSheetId="1" hidden="1">'Normal Demand'!$B$1</definedName>
    <definedName name="CBCR_d97557069bb44fb7aad2724b566693c5" localSheetId="1" hidden="1">'Normal Demand'!$B$1</definedName>
    <definedName name="CBCR_d98ccd6a647b42eaadb024307ea33443" localSheetId="1" hidden="1">'Normal Demand'!$B$2</definedName>
    <definedName name="CBCR_d99b09803ff144d9b71e02172466689f" localSheetId="1" hidden="1">'Normal Demand'!$B$2</definedName>
    <definedName name="CBCR_da4736cbdc284494bd471f99256e2ede" localSheetId="1" hidden="1">'Normal Demand'!$B$1</definedName>
    <definedName name="CBCR_da5bf9fa472f4c10aea25b3421e68a61" localSheetId="1" hidden="1">'Normal Demand'!$B$1</definedName>
    <definedName name="CBCR_da6a44c2f0c1435c942e16d5b5f79207" localSheetId="1" hidden="1">'Normal Demand'!$B$2</definedName>
    <definedName name="CBCR_da7b28a9478c422b8a26bed28939ad5c" localSheetId="1" hidden="1">'Normal Demand'!$B$1</definedName>
    <definedName name="CBCR_daada07a3bfc4e2ca7bdef540bad29b4" localSheetId="1" hidden="1">'Normal Demand'!$B$2</definedName>
    <definedName name="CBCR_db22b0949d814ca2941164ff4538fdb0" localSheetId="1" hidden="1">'Normal Demand'!$B$1</definedName>
    <definedName name="CBCR_dbd8b2af64d047fda83f43fb5fc3a2bd" localSheetId="1" hidden="1">'Normal Demand'!$B$1</definedName>
    <definedName name="CBCR_dcb6510286404936bb84a7630de0e176" localSheetId="1" hidden="1">'Normal Demand'!$B$1</definedName>
    <definedName name="CBCR_dd06da1672bc462f837cc6f2d483585e" localSheetId="1" hidden="1">'Normal Demand'!$B$1</definedName>
    <definedName name="CBCR_dd5a7e0a656443188d68eb22a36b213f" localSheetId="1" hidden="1">'Normal Demand'!$B$1</definedName>
    <definedName name="CBCR_dd5f5d8b6049466c80a42564fb493274" localSheetId="1" hidden="1">'Normal Demand'!$B$1</definedName>
    <definedName name="CBCR_de1e6356cacf4e61a735cfd25798b497" localSheetId="1" hidden="1">'Normal Demand'!$B$1</definedName>
    <definedName name="CBCR_de28359ba4fb40b08e35898b7e5fbbc8" localSheetId="1" hidden="1">'Normal Demand'!$B$1</definedName>
    <definedName name="CBCR_de49cde7ca5e4cadbdecdb3cbe6b714a" localSheetId="1" hidden="1">'Normal Demand'!$B$2</definedName>
    <definedName name="CBCR_de592d3083314f2cb96b0adc817d7351" localSheetId="1" hidden="1">'Normal Demand'!$B$1</definedName>
    <definedName name="CBCR_deb833654031430593e62e5243047314" localSheetId="1" hidden="1">'Normal Demand'!$B$2</definedName>
    <definedName name="CBCR_e0322f36fc984797a864850cd95c95ad" localSheetId="1" hidden="1">'Normal Demand'!$B$1</definedName>
    <definedName name="CBCR_e045f8ac56984c998b77b18ce783166c" localSheetId="1" hidden="1">'Normal Demand'!$B$1</definedName>
    <definedName name="CBCR_e0c4d6e1230f4c559576b50b57202cfe" localSheetId="1" hidden="1">'Normal Demand'!$B$1</definedName>
    <definedName name="CBCR_e0edc96be9c8411bb7a25c1e13983503" localSheetId="1" hidden="1">'Normal Demand'!$B$1</definedName>
    <definedName name="CBCR_e15c281006534cf5a74a370500139b51" localSheetId="1" hidden="1">'Normal Demand'!$B$2</definedName>
    <definedName name="CBCR_e1d36c191a2e45dbb97dde9504fb61f0" localSheetId="1" hidden="1">'Normal Demand'!$B$2</definedName>
    <definedName name="CBCR_e24c72aadc9c4e06b9aa16c5627ec065" localSheetId="1" hidden="1">'Normal Demand'!$B$2</definedName>
    <definedName name="CBCR_e31304b7b6584a58a68f6f4787c0b991" localSheetId="1" hidden="1">'Normal Demand'!$B$2</definedName>
    <definedName name="CBCR_e3b236084db6456bad887580622cd979" localSheetId="1" hidden="1">'Normal Demand'!$B$2</definedName>
    <definedName name="CBCR_e3b97531ad6e4c119e137c09ca839052" localSheetId="1" hidden="1">'Normal Demand'!$B$2</definedName>
    <definedName name="CBCR_e472e72ba204412083e46c01d23c9504" localSheetId="1" hidden="1">'Normal Demand'!$B$2</definedName>
    <definedName name="CBCR_e4f4f75b886d46b8a92bb2e631ba1d3a" localSheetId="1" hidden="1">'Normal Demand'!$B$1</definedName>
    <definedName name="CBCR_e769aa8a1a494802bca739b5adf5f4b3" localSheetId="1" hidden="1">'Normal Demand'!$B$1</definedName>
    <definedName name="CBCR_e785053dd7ce4dfa9b0b25be25ce9858" localSheetId="1" hidden="1">'Normal Demand'!$B$1</definedName>
    <definedName name="CBCR_e796c22f42794aac861a09e79c30fdf0" localSheetId="1" hidden="1">'Normal Demand'!$B$1</definedName>
    <definedName name="CBCR_e798e38165e34338a7457f195e59faa8" localSheetId="1" hidden="1">'Normal Demand'!$B$1</definedName>
    <definedName name="CBCR_e7e663e75950425c8ce93aab6f96aca7" localSheetId="1" hidden="1">'Normal Demand'!$B$2</definedName>
    <definedName name="CBCR_e8657a4976cb408abce2cac55038b751" localSheetId="1" hidden="1">'Normal Demand'!$B$1</definedName>
    <definedName name="CBCR_e9269342b8eb403093ada2ec5eaa20f5" localSheetId="1" hidden="1">'Normal Demand'!$B$2</definedName>
    <definedName name="CBCR_e9744734203e49cf8c0eed8107667d57" localSheetId="1" hidden="1">'Normal Demand'!$B$2</definedName>
    <definedName name="CBCR_e9b96946f22b493a9d1fb7b616ad83b4" localSheetId="1" hidden="1">'Normal Demand'!$B$1</definedName>
    <definedName name="CBCR_e9c47ba6cc724bea8d18f762797fb775" localSheetId="1" hidden="1">'Normal Demand'!$B$2</definedName>
    <definedName name="CBCR_ea05f576c989417185e86383902bd6d4" localSheetId="1" hidden="1">'Normal Demand'!$B$2</definedName>
    <definedName name="CBCR_ea76537278ed46819b0c28934fb066ea" localSheetId="1" hidden="1">'Normal Demand'!$B$2</definedName>
    <definedName name="CBCR_eb8c97185fa640a2989b64727f07c4ab" localSheetId="1" hidden="1">'Normal Demand'!$B$2</definedName>
    <definedName name="CBCR_ebe177bde0b64636bdd7d92c27d89b98" localSheetId="1" hidden="1">'Normal Demand'!$B$2</definedName>
    <definedName name="CBCR_ec37e4fb27604e5ead80594a2fae8a33" localSheetId="1" hidden="1">'Normal Demand'!$B$1</definedName>
    <definedName name="CBCR_ec44371753d74640809aed55298202ba" localSheetId="1" hidden="1">'Normal Demand'!$B$1</definedName>
    <definedName name="CBCR_ec5aaeacec674ff39621b9e1bf275a14" localSheetId="1" hidden="1">'Normal Demand'!$B$2</definedName>
    <definedName name="CBCR_eca41cee7aa44ba5b83c55176f3cf515" localSheetId="1" hidden="1">'Normal Demand'!$B$2</definedName>
    <definedName name="CBCR_ed5129f7b5fa4122aef37790a2d38c35" localSheetId="1" hidden="1">'Normal Demand'!$B$1</definedName>
    <definedName name="CBCR_ed53478f89a6439894a320558eb21b19" localSheetId="1" hidden="1">'Normal Demand'!$B$1</definedName>
    <definedName name="CBCR_eda68040770b4fbeb1954847b22ce1d9" localSheetId="1" hidden="1">'Normal Demand'!$B$1</definedName>
    <definedName name="CBCR_ee3e5ff3ca0f465da1d8761ef9c60883" localSheetId="1" hidden="1">'Normal Demand'!$B$2</definedName>
    <definedName name="CBCR_efeabbc05186449d945e243ab1af57f7" localSheetId="1" hidden="1">'Normal Demand'!$B$1</definedName>
    <definedName name="CBCR_f0448324137942d9bda95b2b62ae553a" localSheetId="1" hidden="1">'Normal Demand'!$B$1</definedName>
    <definedName name="CBCR_f069c18601c841838f3eef266b63284a" localSheetId="1" hidden="1">'Normal Demand'!$B$1</definedName>
    <definedName name="CBCR_f0924bcbbf6748bab74bdd89487a921b" localSheetId="1" hidden="1">'Normal Demand'!$B$1</definedName>
    <definedName name="CBCR_f1518fc53b9541d385e3bed684ffe69d" localSheetId="1" hidden="1">'Normal Demand'!$B$2</definedName>
    <definedName name="CBCR_f1531aa82f0847f69f7720ed49a46fcb" localSheetId="1" hidden="1">'Normal Demand'!$B$2</definedName>
    <definedName name="CBCR_f1e4b5abe917406cbf7f4c63e763a1a5" localSheetId="1" hidden="1">'Normal Demand'!$B$2</definedName>
    <definedName name="CBCR_f1fbefe14fa948c7886faa41e464aa5b" localSheetId="1" hidden="1">'Normal Demand'!$B$1</definedName>
    <definedName name="CBCR_f22bb6a9e04643d4a5a2adeaf23567ce" localSheetId="1" hidden="1">'Normal Demand'!$B$2</definedName>
    <definedName name="CBCR_f2b79d369ef245be9ddbddd321f4ddcb" localSheetId="1" hidden="1">'Normal Demand'!$B$2</definedName>
    <definedName name="CBCR_f3011a5daaad4dcf9bce9a75908c2e45" localSheetId="1" hidden="1">'Normal Demand'!$B$1</definedName>
    <definedName name="CBCR_f30ad942033a4149933997e372bc3401" localSheetId="1" hidden="1">'Normal Demand'!$B$2</definedName>
    <definedName name="CBCR_f33b696e945741399472864378c58e59" localSheetId="1" hidden="1">'Normal Demand'!$B$1</definedName>
    <definedName name="CBCR_f351e29c90db4b73a27167f2ed44b0f6" localSheetId="1" hidden="1">'Normal Demand'!$B$2</definedName>
    <definedName name="CBCR_f381d4f11ea24aec92a3e4b24f662ea9" localSheetId="1" hidden="1">'Normal Demand'!$B$2</definedName>
    <definedName name="CBCR_f3a044a8ddec49e8ba743a7cb21eaa6c" localSheetId="1" hidden="1">'Normal Demand'!$B$2</definedName>
    <definedName name="CBCR_f3c4bd76c92e471a96dec3684ae27e3b" localSheetId="1" hidden="1">'Normal Demand'!$B$2</definedName>
    <definedName name="CBCR_f3dcdcf48dc143c2bf7d3ffa0e0c41d1" localSheetId="1" hidden="1">'Normal Demand'!$B$1</definedName>
    <definedName name="CBCR_f4e981a6b0d6419f8c44772d6be8c6ec" localSheetId="1" hidden="1">'Normal Demand'!$B$1</definedName>
    <definedName name="CBCR_f55e294ea7ab437f9c10e42b91c2feaf" localSheetId="1" hidden="1">'Normal Demand'!$B$1</definedName>
    <definedName name="CBCR_f57f11c4342c458f96ac2649cb34a4a0" localSheetId="1" hidden="1">'Normal Demand'!$B$2</definedName>
    <definedName name="CBCR_f690543f3a114c6591602a22cf5d900b" localSheetId="1" hidden="1">'Normal Demand'!$B$1</definedName>
    <definedName name="CBCR_f6cf98797789429ab2987117915b4e92" localSheetId="1" hidden="1">'Normal Demand'!$B$1</definedName>
    <definedName name="CBCR_f6e3e0945f7f4e41ba3e14e3502faf87" localSheetId="1" hidden="1">'Normal Demand'!$B$1</definedName>
    <definedName name="CBCR_f7b16b83bdae45f9bbf1b474c0c06215" localSheetId="1" hidden="1">'Normal Demand'!$B$2</definedName>
    <definedName name="CBCR_f85b74494d0349f396c95e573a14f4ae" localSheetId="1" hidden="1">'Normal Demand'!$B$1</definedName>
    <definedName name="CBCR_f8e9f6f95a6046fcac3bcbeea7d2aea9" localSheetId="1" hidden="1">'Normal Demand'!$B$1</definedName>
    <definedName name="CBCR_f968d4e79b90400b84bd0402d11822bd" localSheetId="1" hidden="1">'Normal Demand'!$B$2</definedName>
    <definedName name="CBCR_fa76c1b393c64857b1e71ce4d916fcc2" localSheetId="1" hidden="1">'Normal Demand'!$B$2</definedName>
    <definedName name="CBCR_faddc4fea20c4134810321360f717bb6" localSheetId="1" hidden="1">'Normal Demand'!$B$1</definedName>
    <definedName name="CBCR_fadff094172a4463b01514e2b467f904" localSheetId="1" hidden="1">'Normal Demand'!$B$1</definedName>
    <definedName name="CBCR_fb00d8bdafa94deb9b6b670f584d0c79" localSheetId="1" hidden="1">'Normal Demand'!$B$1</definedName>
    <definedName name="CBCR_fb598f6112b0463983028d390f33038a" localSheetId="1" hidden="1">'Normal Demand'!$B$2</definedName>
    <definedName name="CBCR_fb73042be41348ed9af727ce57e89bc0" localSheetId="1" hidden="1">'Normal Demand'!$B$1</definedName>
    <definedName name="CBCR_fbbd7f2b16eb478392d332111fac802b" localSheetId="1" hidden="1">'Normal Demand'!$B$2</definedName>
    <definedName name="CBCR_fbdf9d00e21e48fb9dc4a759e3633021" localSheetId="1" hidden="1">'Normal Demand'!$B$1</definedName>
    <definedName name="CBCR_fc8a2ddb922d479195e09271ddf07c7f" localSheetId="1" hidden="1">'Normal Demand'!$B$1</definedName>
    <definedName name="CBCR_fcdda3c56153465f98e9072df3062e37" localSheetId="1" hidden="1">'Normal Demand'!$B$2</definedName>
    <definedName name="CBCR_fd2222f355ea4ba89e686ccacd46ae2f" localSheetId="1" hidden="1">'Normal Demand'!$B$2</definedName>
    <definedName name="CBCR_fd2468c880964f47821f8c2bcb2f78d6" localSheetId="1" hidden="1">'Normal Demand'!$B$2</definedName>
    <definedName name="CBCR_fd394573cd264b78b6cfc448b9d9d5a5" localSheetId="1" hidden="1">'Normal Demand'!$B$1</definedName>
    <definedName name="CBCR_fd441964da844871b01f3ac7105d5c5b" localSheetId="1" hidden="1">'Normal Demand'!$B$2</definedName>
    <definedName name="CBCR_fe0cab61a70f41d7bf7a57302a4ddebc" localSheetId="1" hidden="1">'Normal Demand'!$B$2</definedName>
    <definedName name="CBCR_fe79e71c027a4a7483ec37ddbc16beeb" localSheetId="1" hidden="1">'Normal Demand'!$B$1</definedName>
    <definedName name="CBCR_ff7f53b16f3a439a81c28e014ff95975" localSheetId="1" hidden="1">'Normal Demand'!$B$2</definedName>
    <definedName name="CBCR_ff80aef5219c4499882e3611f446d597" localSheetId="1" hidden="1">'Normal Demand'!$B$2</definedName>
    <definedName name="CBWorkbookPriority" localSheetId="0" hidden="1">-1234543952</definedName>
    <definedName name="CBx_163be6cb8a0741ab9b63a1b7db98e7e4" localSheetId="0" hidden="1">"'CB_DATA_'!$A$1"</definedName>
    <definedName name="CBx_7e6625b714ca41da9d4c05ce3b892861" localSheetId="0" hidden="1">"'Normal Demand'!$A$1"</definedName>
    <definedName name="CBx_Sheet_Guid" localSheetId="0" hidden="1">"'163be6cb-8a07-41ab-9b63-a1b7db98e7e4"</definedName>
    <definedName name="CBx_Sheet_Guid" localSheetId="1" hidden="1">"'7e6625b7-14ca-41da-9d4c-05ce3b892861"</definedName>
    <definedName name="CBx_SheetRef" localSheetId="0" hidden="1">CB_DATA_!$A$14</definedName>
    <definedName name="CBx_SheetRef" localSheetId="1" hidden="1">CB_DATA_!$B$14</definedName>
    <definedName name="CBx_StorageType" localSheetId="0" hidden="1">2</definedName>
    <definedName name="CBx_StorageType" localSheetId="1" hidden="1">2</definedName>
  </definedNames>
  <calcPr calcId="144525"/>
</workbook>
</file>

<file path=xl/calcChain.xml><?xml version="1.0" encoding="utf-8"?>
<calcChain xmlns="http://schemas.openxmlformats.org/spreadsheetml/2006/main">
  <c r="P3" i="1" l="1"/>
  <c r="N3" i="1" s="1"/>
  <c r="K3" i="1"/>
  <c r="I3" i="1" s="1"/>
  <c r="J9" i="1" s="1"/>
  <c r="B11" i="4"/>
  <c r="A11" i="4"/>
  <c r="P2" i="4"/>
  <c r="G4"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4" i="1"/>
  <c r="F116" i="1"/>
  <c r="F118" i="1"/>
  <c r="F120" i="1"/>
  <c r="F122" i="1"/>
  <c r="F124" i="1"/>
  <c r="F126" i="1"/>
  <c r="F128" i="1"/>
  <c r="F130" i="1"/>
  <c r="F132" i="1"/>
  <c r="F134" i="1"/>
  <c r="F136" i="1"/>
  <c r="F138" i="1"/>
  <c r="F140" i="1"/>
  <c r="F142" i="1"/>
  <c r="F144" i="1"/>
  <c r="F146" i="1"/>
  <c r="F148" i="1"/>
  <c r="F150" i="1"/>
  <c r="F152" i="1"/>
  <c r="F154" i="1"/>
  <c r="F156" i="1"/>
  <c r="F158" i="1"/>
  <c r="F160" i="1"/>
  <c r="F162" i="1"/>
  <c r="F164" i="1"/>
  <c r="F166" i="1"/>
  <c r="F168" i="1"/>
  <c r="F170" i="1"/>
  <c r="F172" i="1"/>
  <c r="F174" i="1"/>
  <c r="F176" i="1"/>
  <c r="F178" i="1"/>
  <c r="F180" i="1"/>
  <c r="F182" i="1"/>
  <c r="F184" i="1"/>
  <c r="F186" i="1"/>
  <c r="F188" i="1"/>
  <c r="F190" i="1"/>
  <c r="F192" i="1"/>
  <c r="F194" i="1"/>
  <c r="F196" i="1"/>
  <c r="F198" i="1"/>
  <c r="F200" i="1"/>
  <c r="F202" i="1"/>
  <c r="F204" i="1"/>
  <c r="F206" i="1"/>
  <c r="F208" i="1"/>
  <c r="F210" i="1"/>
  <c r="F212" i="1"/>
  <c r="F214" i="1"/>
  <c r="F216" i="1"/>
  <c r="F218" i="1"/>
  <c r="F220" i="1"/>
  <c r="F222" i="1"/>
  <c r="F224" i="1"/>
  <c r="F226" i="1"/>
  <c r="F228" i="1"/>
  <c r="F230" i="1"/>
  <c r="F232" i="1"/>
  <c r="F234" i="1"/>
  <c r="F236" i="1"/>
  <c r="F238" i="1"/>
  <c r="F240" i="1"/>
  <c r="F242" i="1"/>
  <c r="F244" i="1"/>
  <c r="F246" i="1"/>
  <c r="F248" i="1"/>
  <c r="F250" i="1"/>
  <c r="F252" i="1"/>
  <c r="F254" i="1"/>
  <c r="F256" i="1"/>
  <c r="F258" i="1"/>
  <c r="F260" i="1"/>
  <c r="F262" i="1"/>
  <c r="F264" i="1"/>
  <c r="F266" i="1"/>
  <c r="F268" i="1"/>
  <c r="F270" i="1"/>
  <c r="F272" i="1"/>
  <c r="F274" i="1"/>
  <c r="F276" i="1"/>
  <c r="F278" i="1"/>
  <c r="F280" i="1"/>
  <c r="F282" i="1"/>
  <c r="F284" i="1"/>
  <c r="F286" i="1"/>
  <c r="F288" i="1"/>
  <c r="F290" i="1"/>
  <c r="F292" i="1"/>
  <c r="F294" i="1"/>
  <c r="F296" i="1"/>
  <c r="F298" i="1"/>
  <c r="F300" i="1"/>
  <c r="F302" i="1"/>
  <c r="F304" i="1"/>
  <c r="F306" i="1"/>
  <c r="F113" i="1"/>
  <c r="F115" i="1"/>
  <c r="F117" i="1"/>
  <c r="F119" i="1"/>
  <c r="F121" i="1"/>
  <c r="F123" i="1"/>
  <c r="F125" i="1"/>
  <c r="F127" i="1"/>
  <c r="F129" i="1"/>
  <c r="F131" i="1"/>
  <c r="F133" i="1"/>
  <c r="F135" i="1"/>
  <c r="F137" i="1"/>
  <c r="F139" i="1"/>
  <c r="F141" i="1"/>
  <c r="F143" i="1"/>
  <c r="F145" i="1"/>
  <c r="F147" i="1"/>
  <c r="F149" i="1"/>
  <c r="F151" i="1"/>
  <c r="F153" i="1"/>
  <c r="F155" i="1"/>
  <c r="F157" i="1"/>
  <c r="F159" i="1"/>
  <c r="F161" i="1"/>
  <c r="F163" i="1"/>
  <c r="F165" i="1"/>
  <c r="F167" i="1"/>
  <c r="F169" i="1"/>
  <c r="F171" i="1"/>
  <c r="F173" i="1"/>
  <c r="F175" i="1"/>
  <c r="F177" i="1"/>
  <c r="F179" i="1"/>
  <c r="F181" i="1"/>
  <c r="F183" i="1"/>
  <c r="F185" i="1"/>
  <c r="F187" i="1"/>
  <c r="F189" i="1"/>
  <c r="F191" i="1"/>
  <c r="F193" i="1"/>
  <c r="F195" i="1"/>
  <c r="F197" i="1"/>
  <c r="F199" i="1"/>
  <c r="F201" i="1"/>
  <c r="F203" i="1"/>
  <c r="F205" i="1"/>
  <c r="F207" i="1"/>
  <c r="F209" i="1"/>
  <c r="F211" i="1"/>
  <c r="F213" i="1"/>
  <c r="F215" i="1"/>
  <c r="F217" i="1"/>
  <c r="F219" i="1"/>
  <c r="F221" i="1"/>
  <c r="F223" i="1"/>
  <c r="F225" i="1"/>
  <c r="F227" i="1"/>
  <c r="F229" i="1"/>
  <c r="F231" i="1"/>
  <c r="F233" i="1"/>
  <c r="F235" i="1"/>
  <c r="F237" i="1"/>
  <c r="F239" i="1"/>
  <c r="F241" i="1"/>
  <c r="F243" i="1"/>
  <c r="F245" i="1"/>
  <c r="F247" i="1"/>
  <c r="F249" i="1"/>
  <c r="F251" i="1"/>
  <c r="F253" i="1"/>
  <c r="F255" i="1"/>
  <c r="F257" i="1"/>
  <c r="F259" i="1"/>
  <c r="F261" i="1"/>
  <c r="F263" i="1"/>
  <c r="F265" i="1"/>
  <c r="F267" i="1"/>
  <c r="F269" i="1"/>
  <c r="F271" i="1"/>
  <c r="F273" i="1"/>
  <c r="F275" i="1"/>
  <c r="F277" i="1"/>
  <c r="F279" i="1"/>
  <c r="F281" i="1"/>
  <c r="F283" i="1"/>
  <c r="F285" i="1"/>
  <c r="F287" i="1"/>
  <c r="F289" i="1"/>
  <c r="F291" i="1"/>
  <c r="F293" i="1"/>
  <c r="F295" i="1"/>
  <c r="F297" i="1"/>
  <c r="F299" i="1"/>
  <c r="F301" i="1"/>
  <c r="F303" i="1"/>
  <c r="F305"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H4" i="1"/>
  <c r="K4" i="1" l="1"/>
  <c r="G5" i="1" s="1"/>
  <c r="H5" i="1" l="1"/>
  <c r="K5" i="1"/>
  <c r="G6" i="1" s="1"/>
  <c r="K6" i="1" l="1"/>
  <c r="G7" i="1" s="1"/>
  <c r="H6" i="1"/>
  <c r="L4" i="1" l="1"/>
  <c r="P4" i="1" s="1"/>
  <c r="O9" i="1"/>
  <c r="H7" i="1"/>
  <c r="K7" i="1"/>
  <c r="G8" i="1" s="1"/>
  <c r="H8" i="1" l="1"/>
  <c r="R8" i="1" s="1"/>
  <c r="K8" i="1"/>
  <c r="G9" i="1" s="1"/>
  <c r="L5" i="1"/>
  <c r="M4" i="1"/>
  <c r="P5" i="1" l="1"/>
  <c r="L6" i="1" s="1"/>
  <c r="M5" i="1"/>
  <c r="K9" i="1"/>
  <c r="G10" i="1" s="1"/>
  <c r="H9" i="1"/>
  <c r="K10" i="1" l="1"/>
  <c r="G11" i="1" s="1"/>
  <c r="H10" i="1"/>
  <c r="P6" i="1"/>
  <c r="L7" i="1" s="1"/>
  <c r="M6" i="1"/>
  <c r="M7" i="1" l="1"/>
  <c r="P7" i="1"/>
  <c r="L8" i="1" s="1"/>
  <c r="K11" i="1"/>
  <c r="G12" i="1" s="1"/>
  <c r="H11" i="1"/>
  <c r="H12" i="1" l="1"/>
  <c r="K12" i="1"/>
  <c r="G13" i="1" s="1"/>
  <c r="P8" i="1"/>
  <c r="L9" i="1" s="1"/>
  <c r="M8" i="1"/>
  <c r="S8" i="1" s="1"/>
  <c r="H13" i="1" l="1"/>
  <c r="K13" i="1"/>
  <c r="P9" i="1"/>
  <c r="L10" i="1" s="1"/>
  <c r="M9" i="1"/>
  <c r="I13" i="1" l="1"/>
  <c r="J19" i="1" s="1"/>
  <c r="G14" i="1"/>
  <c r="M10" i="1"/>
  <c r="P10" i="1"/>
  <c r="L11" i="1" s="1"/>
  <c r="M11" i="1" l="1"/>
  <c r="P11" i="1"/>
  <c r="L12" i="1" s="1"/>
  <c r="K14" i="1"/>
  <c r="G15" i="1" s="1"/>
  <c r="H14" i="1"/>
  <c r="M12" i="1" l="1"/>
  <c r="P12" i="1"/>
  <c r="L13" i="1" s="1"/>
  <c r="H15" i="1"/>
  <c r="K15" i="1"/>
  <c r="G16" i="1" s="1"/>
  <c r="K16" i="1" l="1"/>
  <c r="G17" i="1" s="1"/>
  <c r="H16" i="1"/>
  <c r="P13" i="1"/>
  <c r="N13" i="1" s="1"/>
  <c r="M13" i="1"/>
  <c r="L14" i="1" l="1"/>
  <c r="O19" i="1"/>
  <c r="K17" i="1"/>
  <c r="G18" i="1" s="1"/>
  <c r="H17" i="1"/>
  <c r="K18" i="1" l="1"/>
  <c r="G19" i="1" s="1"/>
  <c r="H18" i="1"/>
  <c r="R18" i="1" s="1"/>
  <c r="M14" i="1"/>
  <c r="P14" i="1"/>
  <c r="L15" i="1" s="1"/>
  <c r="P15" i="1" l="1"/>
  <c r="L16" i="1" s="1"/>
  <c r="M15" i="1"/>
  <c r="K19" i="1"/>
  <c r="G20" i="1" s="1"/>
  <c r="H19" i="1"/>
  <c r="H20" i="1" l="1"/>
  <c r="K20" i="1"/>
  <c r="G21" i="1" s="1"/>
  <c r="P16" i="1"/>
  <c r="L17" i="1" s="1"/>
  <c r="M16" i="1"/>
  <c r="H21" i="1" l="1"/>
  <c r="K21" i="1"/>
  <c r="G22" i="1" s="1"/>
  <c r="M17" i="1"/>
  <c r="P17" i="1"/>
  <c r="L18" i="1" s="1"/>
  <c r="P18" i="1" l="1"/>
  <c r="L19" i="1" s="1"/>
  <c r="M18" i="1"/>
  <c r="S18" i="1" s="1"/>
  <c r="H22" i="1"/>
  <c r="K22" i="1"/>
  <c r="G23" i="1" s="1"/>
  <c r="K23" i="1" l="1"/>
  <c r="H23" i="1"/>
  <c r="P19" i="1"/>
  <c r="L20" i="1" s="1"/>
  <c r="M19" i="1"/>
  <c r="P20" i="1" l="1"/>
  <c r="L21" i="1" s="1"/>
  <c r="M20" i="1"/>
  <c r="I23" i="1"/>
  <c r="J29" i="1" s="1"/>
  <c r="G24" i="1"/>
  <c r="P21" i="1" l="1"/>
  <c r="L22" i="1" s="1"/>
  <c r="M21" i="1"/>
  <c r="H24" i="1"/>
  <c r="K24" i="1"/>
  <c r="G25" i="1" s="1"/>
  <c r="K25" i="1" l="1"/>
  <c r="G26" i="1" s="1"/>
  <c r="H25" i="1"/>
  <c r="P22" i="1"/>
  <c r="L23" i="1" s="1"/>
  <c r="M22" i="1"/>
  <c r="P23" i="1" l="1"/>
  <c r="N23" i="1" s="1"/>
  <c r="M23" i="1"/>
  <c r="H26" i="1"/>
  <c r="K26" i="1"/>
  <c r="G27" i="1" s="1"/>
  <c r="H27" i="1" l="1"/>
  <c r="K27" i="1"/>
  <c r="G28" i="1" s="1"/>
  <c r="L24" i="1"/>
  <c r="O29" i="1"/>
  <c r="H28" i="1" l="1"/>
  <c r="R28" i="1" s="1"/>
  <c r="K28" i="1"/>
  <c r="G29" i="1" s="1"/>
  <c r="M24" i="1"/>
  <c r="P24" i="1"/>
  <c r="L25" i="1" s="1"/>
  <c r="P25" i="1" l="1"/>
  <c r="L26" i="1" s="1"/>
  <c r="M25" i="1"/>
  <c r="H29" i="1"/>
  <c r="K29" i="1"/>
  <c r="G30" i="1" s="1"/>
  <c r="P26" i="1" l="1"/>
  <c r="L27" i="1" s="1"/>
  <c r="M26" i="1"/>
  <c r="H30" i="1"/>
  <c r="K30" i="1"/>
  <c r="G31" i="1" s="1"/>
  <c r="P27" i="1" l="1"/>
  <c r="L28" i="1" s="1"/>
  <c r="M27" i="1"/>
  <c r="K31" i="1"/>
  <c r="G32" i="1" s="1"/>
  <c r="H31" i="1"/>
  <c r="H32" i="1" l="1"/>
  <c r="K32" i="1"/>
  <c r="G33" i="1" s="1"/>
  <c r="M28" i="1"/>
  <c r="S28" i="1" s="1"/>
  <c r="P28" i="1"/>
  <c r="L29" i="1" s="1"/>
  <c r="M29" i="1" l="1"/>
  <c r="P29" i="1"/>
  <c r="L30" i="1" s="1"/>
  <c r="H33" i="1"/>
  <c r="K33" i="1"/>
  <c r="I33" i="1" l="1"/>
  <c r="J39" i="1" s="1"/>
  <c r="G34" i="1"/>
  <c r="P30" i="1"/>
  <c r="L31" i="1" s="1"/>
  <c r="M30" i="1"/>
  <c r="P31" i="1" l="1"/>
  <c r="L32" i="1" s="1"/>
  <c r="M31" i="1"/>
  <c r="K34" i="1"/>
  <c r="G35" i="1" s="1"/>
  <c r="H34" i="1"/>
  <c r="H35" i="1" l="1"/>
  <c r="K35" i="1"/>
  <c r="G36" i="1" s="1"/>
  <c r="P32" i="1"/>
  <c r="L33" i="1" s="1"/>
  <c r="M32" i="1"/>
  <c r="H36" i="1" l="1"/>
  <c r="K36" i="1"/>
  <c r="G37" i="1" s="1"/>
  <c r="P33" i="1"/>
  <c r="N33" i="1" s="1"/>
  <c r="M33" i="1"/>
  <c r="H37" i="1" l="1"/>
  <c r="K37" i="1"/>
  <c r="G38" i="1" s="1"/>
  <c r="L34" i="1"/>
  <c r="O39" i="1"/>
  <c r="K38" i="1" l="1"/>
  <c r="G39" i="1" s="1"/>
  <c r="H38" i="1"/>
  <c r="R38" i="1" s="1"/>
  <c r="M34" i="1"/>
  <c r="P34" i="1"/>
  <c r="L35" i="1" s="1"/>
  <c r="K39" i="1" l="1"/>
  <c r="G40" i="1" s="1"/>
  <c r="H39" i="1"/>
  <c r="M35" i="1"/>
  <c r="P35" i="1"/>
  <c r="L36" i="1" s="1"/>
  <c r="K40" i="1" l="1"/>
  <c r="G41" i="1" s="1"/>
  <c r="H40" i="1"/>
  <c r="P36" i="1"/>
  <c r="L37" i="1" s="1"/>
  <c r="M36" i="1"/>
  <c r="P37" i="1" l="1"/>
  <c r="L38" i="1" s="1"/>
  <c r="M37" i="1"/>
  <c r="K41" i="1"/>
  <c r="G42" i="1" s="1"/>
  <c r="H41" i="1"/>
  <c r="H42" i="1" l="1"/>
  <c r="K42" i="1"/>
  <c r="G43" i="1" s="1"/>
  <c r="M38" i="1"/>
  <c r="S38" i="1" s="1"/>
  <c r="P38" i="1"/>
  <c r="L39" i="1" s="1"/>
  <c r="P39" i="1" l="1"/>
  <c r="L40" i="1" s="1"/>
  <c r="M39" i="1"/>
  <c r="K43" i="1"/>
  <c r="H43" i="1"/>
  <c r="I43" i="1" l="1"/>
  <c r="J49" i="1" s="1"/>
  <c r="G44" i="1"/>
  <c r="P40" i="1"/>
  <c r="L41" i="1" s="1"/>
  <c r="M40" i="1"/>
  <c r="M41" i="1" l="1"/>
  <c r="P41" i="1"/>
  <c r="L42" i="1" s="1"/>
  <c r="K44" i="1"/>
  <c r="G45" i="1" s="1"/>
  <c r="H44" i="1"/>
  <c r="P42" i="1" l="1"/>
  <c r="L43" i="1" s="1"/>
  <c r="M42" i="1"/>
  <c r="H45" i="1"/>
  <c r="K45" i="1"/>
  <c r="G46" i="1" s="1"/>
  <c r="K46" i="1" l="1"/>
  <c r="G47" i="1" s="1"/>
  <c r="H46" i="1"/>
  <c r="P43" i="1"/>
  <c r="N43" i="1" s="1"/>
  <c r="M43" i="1"/>
  <c r="L44" i="1" l="1"/>
  <c r="O49" i="1"/>
  <c r="K47" i="1"/>
  <c r="G48" i="1" s="1"/>
  <c r="H47" i="1"/>
  <c r="H48" i="1" l="1"/>
  <c r="R48" i="1" s="1"/>
  <c r="K48" i="1"/>
  <c r="G49" i="1" s="1"/>
  <c r="M44" i="1"/>
  <c r="P44" i="1"/>
  <c r="L45" i="1" s="1"/>
  <c r="P45" i="1" l="1"/>
  <c r="L46" i="1" s="1"/>
  <c r="M45" i="1"/>
  <c r="H49" i="1"/>
  <c r="K49" i="1"/>
  <c r="G50" i="1" s="1"/>
  <c r="H50" i="1" l="1"/>
  <c r="K50" i="1"/>
  <c r="G51" i="1" s="1"/>
  <c r="P46" i="1"/>
  <c r="L47" i="1" s="1"/>
  <c r="M46" i="1"/>
  <c r="P47" i="1" l="1"/>
  <c r="L48" i="1" s="1"/>
  <c r="M47" i="1"/>
  <c r="H51" i="1"/>
  <c r="K51" i="1"/>
  <c r="G52" i="1" s="1"/>
  <c r="M48" i="1" l="1"/>
  <c r="S48" i="1" s="1"/>
  <c r="P48" i="1"/>
  <c r="L49" i="1" s="1"/>
  <c r="H52" i="1"/>
  <c r="K52" i="1"/>
  <c r="G53" i="1" s="1"/>
  <c r="K53" i="1" l="1"/>
  <c r="H53" i="1"/>
  <c r="M49" i="1"/>
  <c r="P49" i="1"/>
  <c r="L50" i="1" s="1"/>
  <c r="I53" i="1" l="1"/>
  <c r="J59" i="1" s="1"/>
  <c r="G54" i="1"/>
  <c r="P50" i="1"/>
  <c r="L51" i="1" s="1"/>
  <c r="M50" i="1"/>
  <c r="P51" i="1" l="1"/>
  <c r="L52" i="1" s="1"/>
  <c r="M51" i="1"/>
  <c r="H54" i="1"/>
  <c r="K54" i="1"/>
  <c r="G55" i="1" s="1"/>
  <c r="H55" i="1" l="1"/>
  <c r="K55" i="1"/>
  <c r="G56" i="1" s="1"/>
  <c r="M52" i="1"/>
  <c r="P52" i="1"/>
  <c r="L53" i="1" s="1"/>
  <c r="M53" i="1" l="1"/>
  <c r="P53" i="1"/>
  <c r="N53" i="1" s="1"/>
  <c r="H56" i="1"/>
  <c r="K56" i="1"/>
  <c r="G57" i="1" s="1"/>
  <c r="K57" i="1" l="1"/>
  <c r="G58" i="1" s="1"/>
  <c r="H57" i="1"/>
  <c r="L54" i="1"/>
  <c r="O59" i="1"/>
  <c r="M54" i="1" l="1"/>
  <c r="P54" i="1"/>
  <c r="L55" i="1" s="1"/>
  <c r="K58" i="1"/>
  <c r="G59" i="1" s="1"/>
  <c r="H58" i="1"/>
  <c r="R58" i="1" s="1"/>
  <c r="H59" i="1" l="1"/>
  <c r="K59" i="1"/>
  <c r="G60" i="1" s="1"/>
  <c r="P55" i="1"/>
  <c r="L56" i="1" s="1"/>
  <c r="M55" i="1"/>
  <c r="P56" i="1" l="1"/>
  <c r="L57" i="1" s="1"/>
  <c r="M56" i="1"/>
  <c r="H60" i="1"/>
  <c r="K60" i="1"/>
  <c r="G61" i="1" s="1"/>
  <c r="P57" i="1" l="1"/>
  <c r="L58" i="1" s="1"/>
  <c r="M57" i="1"/>
  <c r="K61" i="1"/>
  <c r="G62" i="1" s="1"/>
  <c r="H61" i="1"/>
  <c r="K62" i="1" l="1"/>
  <c r="G63" i="1" s="1"/>
  <c r="H62" i="1"/>
  <c r="M58" i="1"/>
  <c r="S58" i="1" s="1"/>
  <c r="P58" i="1"/>
  <c r="L59" i="1" s="1"/>
  <c r="P59" i="1" l="1"/>
  <c r="L60" i="1" s="1"/>
  <c r="M59" i="1"/>
  <c r="K63" i="1"/>
  <c r="H63" i="1"/>
  <c r="I63" i="1" l="1"/>
  <c r="J69" i="1" s="1"/>
  <c r="G64" i="1"/>
  <c r="P60" i="1"/>
  <c r="L61" i="1" s="1"/>
  <c r="M60" i="1"/>
  <c r="M61" i="1" l="1"/>
  <c r="P61" i="1"/>
  <c r="L62" i="1" s="1"/>
  <c r="H64" i="1"/>
  <c r="K64" i="1"/>
  <c r="G65" i="1" s="1"/>
  <c r="K65" i="1" l="1"/>
  <c r="G66" i="1" s="1"/>
  <c r="H65" i="1"/>
  <c r="P62" i="1"/>
  <c r="L63" i="1" s="1"/>
  <c r="M62" i="1"/>
  <c r="P63" i="1" l="1"/>
  <c r="N63" i="1" s="1"/>
  <c r="M63" i="1"/>
  <c r="K66" i="1"/>
  <c r="G67" i="1" s="1"/>
  <c r="H66" i="1"/>
  <c r="H67" i="1" l="1"/>
  <c r="K67" i="1"/>
  <c r="G68" i="1" s="1"/>
  <c r="L64" i="1"/>
  <c r="O69" i="1"/>
  <c r="H68" i="1" l="1"/>
  <c r="R68" i="1" s="1"/>
  <c r="K68" i="1"/>
  <c r="G69" i="1" s="1"/>
  <c r="M64" i="1"/>
  <c r="P64" i="1"/>
  <c r="L65" i="1" s="1"/>
  <c r="P65" i="1" l="1"/>
  <c r="L66" i="1" s="1"/>
  <c r="M65" i="1"/>
  <c r="H69" i="1"/>
  <c r="K69" i="1"/>
  <c r="G70" i="1" s="1"/>
  <c r="H70" i="1" l="1"/>
  <c r="K70" i="1"/>
  <c r="G71" i="1" s="1"/>
  <c r="P66" i="1"/>
  <c r="L67" i="1" s="1"/>
  <c r="M66" i="1"/>
  <c r="H71" i="1" l="1"/>
  <c r="K71" i="1"/>
  <c r="G72" i="1" s="1"/>
  <c r="P67" i="1"/>
  <c r="L68" i="1" s="1"/>
  <c r="M67" i="1"/>
  <c r="H72" i="1" l="1"/>
  <c r="K72" i="1"/>
  <c r="G73" i="1" s="1"/>
  <c r="M68" i="1"/>
  <c r="S68" i="1" s="1"/>
  <c r="P68" i="1"/>
  <c r="L69" i="1" s="1"/>
  <c r="M69" i="1" l="1"/>
  <c r="P69" i="1"/>
  <c r="L70" i="1" s="1"/>
  <c r="H73" i="1"/>
  <c r="K73" i="1"/>
  <c r="I73" i="1" l="1"/>
  <c r="J79" i="1" s="1"/>
  <c r="G74" i="1"/>
  <c r="P70" i="1"/>
  <c r="L71" i="1" s="1"/>
  <c r="M70" i="1"/>
  <c r="P71" i="1" l="1"/>
  <c r="L72" i="1" s="1"/>
  <c r="M71" i="1"/>
  <c r="H74" i="1"/>
  <c r="K74" i="1"/>
  <c r="G75" i="1" s="1"/>
  <c r="P72" i="1" l="1"/>
  <c r="L73" i="1" s="1"/>
  <c r="M72" i="1"/>
  <c r="K75" i="1"/>
  <c r="G76" i="1" s="1"/>
  <c r="H75" i="1"/>
  <c r="H76" i="1" l="1"/>
  <c r="K76" i="1"/>
  <c r="G77" i="1" s="1"/>
  <c r="P73" i="1"/>
  <c r="N73" i="1" s="1"/>
  <c r="M73" i="1"/>
  <c r="L74" i="1" l="1"/>
  <c r="O79" i="1"/>
  <c r="H77" i="1"/>
  <c r="K77" i="1"/>
  <c r="G78" i="1" s="1"/>
  <c r="H78" i="1" l="1"/>
  <c r="R78" i="1" s="1"/>
  <c r="K78" i="1"/>
  <c r="G79" i="1" s="1"/>
  <c r="M74" i="1"/>
  <c r="P74" i="1"/>
  <c r="L75" i="1" s="1"/>
  <c r="M75" i="1" l="1"/>
  <c r="P75" i="1"/>
  <c r="L76" i="1" s="1"/>
  <c r="K79" i="1"/>
  <c r="G80" i="1" s="1"/>
  <c r="H79" i="1"/>
  <c r="P76" i="1" l="1"/>
  <c r="L77" i="1" s="1"/>
  <c r="M76" i="1"/>
  <c r="H80" i="1"/>
  <c r="K80" i="1"/>
  <c r="G81" i="1" s="1"/>
  <c r="K81" i="1" l="1"/>
  <c r="G82" i="1" s="1"/>
  <c r="H81" i="1"/>
  <c r="P77" i="1"/>
  <c r="L78" i="1" s="1"/>
  <c r="M77" i="1"/>
  <c r="P78" i="1" l="1"/>
  <c r="L79" i="1" s="1"/>
  <c r="M78" i="1"/>
  <c r="S78" i="1" s="1"/>
  <c r="K82" i="1"/>
  <c r="G83" i="1" s="1"/>
  <c r="H82" i="1"/>
  <c r="K83" i="1" l="1"/>
  <c r="H83" i="1"/>
  <c r="M79" i="1"/>
  <c r="P79" i="1"/>
  <c r="L80" i="1" s="1"/>
  <c r="I83" i="1" l="1"/>
  <c r="J89" i="1" s="1"/>
  <c r="G84" i="1"/>
  <c r="P80" i="1"/>
  <c r="L81" i="1" s="1"/>
  <c r="M80" i="1"/>
  <c r="P81" i="1" l="1"/>
  <c r="L82" i="1" s="1"/>
  <c r="M81" i="1"/>
  <c r="K84" i="1"/>
  <c r="G85" i="1" s="1"/>
  <c r="H84" i="1"/>
  <c r="H85" i="1" l="1"/>
  <c r="K85" i="1"/>
  <c r="G86" i="1" s="1"/>
  <c r="P82" i="1"/>
  <c r="L83" i="1" s="1"/>
  <c r="M82" i="1"/>
  <c r="P83" i="1" l="1"/>
  <c r="N83" i="1" s="1"/>
  <c r="M83" i="1"/>
  <c r="K86" i="1"/>
  <c r="G87" i="1" s="1"/>
  <c r="H86" i="1"/>
  <c r="H87" i="1" l="1"/>
  <c r="K87" i="1"/>
  <c r="G88" i="1" s="1"/>
  <c r="O89" i="1"/>
  <c r="L84" i="1"/>
  <c r="M84" i="1" l="1"/>
  <c r="P84" i="1"/>
  <c r="L85" i="1" s="1"/>
  <c r="H88" i="1"/>
  <c r="R88" i="1" s="1"/>
  <c r="K88" i="1"/>
  <c r="G89" i="1" s="1"/>
  <c r="K89" i="1" l="1"/>
  <c r="G90" i="1" s="1"/>
  <c r="H89" i="1"/>
  <c r="M85" i="1"/>
  <c r="P85" i="1"/>
  <c r="L86" i="1" s="1"/>
  <c r="M86" i="1" l="1"/>
  <c r="P86" i="1"/>
  <c r="L87" i="1" s="1"/>
  <c r="H90" i="1"/>
  <c r="K90" i="1"/>
  <c r="G91" i="1" s="1"/>
  <c r="K91" i="1" l="1"/>
  <c r="G92" i="1" s="1"/>
  <c r="H91" i="1"/>
  <c r="P87" i="1"/>
  <c r="L88" i="1" s="1"/>
  <c r="M87" i="1"/>
  <c r="M88" i="1" l="1"/>
  <c r="S88" i="1" s="1"/>
  <c r="P88" i="1"/>
  <c r="L89" i="1" s="1"/>
  <c r="H92" i="1"/>
  <c r="K92" i="1"/>
  <c r="G93" i="1" s="1"/>
  <c r="H93" i="1" l="1"/>
  <c r="K93" i="1"/>
  <c r="P89" i="1"/>
  <c r="L90" i="1" s="1"/>
  <c r="M89" i="1"/>
  <c r="P90" i="1" l="1"/>
  <c r="L91" i="1" s="1"/>
  <c r="M90" i="1"/>
  <c r="I93" i="1"/>
  <c r="J99" i="1" s="1"/>
  <c r="G94" i="1"/>
  <c r="P91" i="1" l="1"/>
  <c r="L92" i="1" s="1"/>
  <c r="M91" i="1"/>
  <c r="K94" i="1"/>
  <c r="G95" i="1" s="1"/>
  <c r="H94" i="1"/>
  <c r="H95" i="1" l="1"/>
  <c r="K95" i="1"/>
  <c r="G96" i="1" s="1"/>
  <c r="P92" i="1"/>
  <c r="L93" i="1" s="1"/>
  <c r="M92" i="1"/>
  <c r="K96" i="1" l="1"/>
  <c r="G97" i="1" s="1"/>
  <c r="H96" i="1"/>
  <c r="P93" i="1"/>
  <c r="N93" i="1" s="1"/>
  <c r="M93" i="1"/>
  <c r="O99" i="1" l="1"/>
  <c r="L94" i="1"/>
  <c r="H97" i="1"/>
  <c r="K97" i="1"/>
  <c r="G98" i="1" s="1"/>
  <c r="H98" i="1" l="1"/>
  <c r="R98" i="1" s="1"/>
  <c r="K98" i="1"/>
  <c r="G99" i="1" s="1"/>
  <c r="M94" i="1"/>
  <c r="P94" i="1"/>
  <c r="L95" i="1" s="1"/>
  <c r="M95" i="1" l="1"/>
  <c r="P95" i="1"/>
  <c r="L96" i="1" s="1"/>
  <c r="H99" i="1"/>
  <c r="K99" i="1"/>
  <c r="G100" i="1" s="1"/>
  <c r="H100" i="1" l="1"/>
  <c r="K100" i="1"/>
  <c r="G101" i="1" s="1"/>
  <c r="P96" i="1"/>
  <c r="L97" i="1" s="1"/>
  <c r="M96" i="1"/>
  <c r="K101" i="1" l="1"/>
  <c r="G102" i="1" s="1"/>
  <c r="H101" i="1"/>
  <c r="P97" i="1"/>
  <c r="L98" i="1" s="1"/>
  <c r="M97" i="1"/>
  <c r="M98" i="1" l="1"/>
  <c r="P98" i="1"/>
  <c r="L99" i="1" s="1"/>
  <c r="H102" i="1"/>
  <c r="K102" i="1"/>
  <c r="G103" i="1" s="1"/>
  <c r="K103" i="1" l="1"/>
  <c r="H103" i="1"/>
  <c r="P99" i="1"/>
  <c r="L100" i="1" s="1"/>
  <c r="M99" i="1"/>
  <c r="P100" i="1" l="1"/>
  <c r="L101" i="1" s="1"/>
  <c r="M100" i="1"/>
  <c r="I103" i="1"/>
  <c r="J109" i="1" s="1"/>
  <c r="G104" i="1"/>
  <c r="P101" i="1" l="1"/>
  <c r="L102" i="1" s="1"/>
  <c r="M101" i="1"/>
  <c r="K104" i="1"/>
  <c r="G105" i="1" s="1"/>
  <c r="H104" i="1"/>
  <c r="H105" i="1" l="1"/>
  <c r="K105" i="1"/>
  <c r="G106" i="1" s="1"/>
  <c r="P102" i="1"/>
  <c r="L103" i="1" s="1"/>
  <c r="M102" i="1"/>
  <c r="K106" i="1" l="1"/>
  <c r="G107" i="1" s="1"/>
  <c r="H106" i="1"/>
  <c r="M103" i="1"/>
  <c r="P103" i="1"/>
  <c r="N103" i="1" s="1"/>
  <c r="O109" i="1" l="1"/>
  <c r="L104" i="1"/>
  <c r="K107" i="1"/>
  <c r="G108" i="1" s="1"/>
  <c r="H107" i="1"/>
  <c r="H108" i="1" l="1"/>
  <c r="R108" i="1" s="1"/>
  <c r="K108" i="1"/>
  <c r="G109" i="1" s="1"/>
  <c r="M104" i="1"/>
  <c r="P104" i="1"/>
  <c r="L105" i="1" s="1"/>
  <c r="M105" i="1" l="1"/>
  <c r="P105" i="1"/>
  <c r="L106" i="1" s="1"/>
  <c r="K109" i="1"/>
  <c r="G110" i="1" s="1"/>
  <c r="H109" i="1"/>
  <c r="K110" i="1" l="1"/>
  <c r="G111" i="1" s="1"/>
  <c r="H110" i="1"/>
  <c r="P106" i="1"/>
  <c r="L107" i="1" s="1"/>
  <c r="M106" i="1"/>
  <c r="P107" i="1" l="1"/>
  <c r="L108" i="1" s="1"/>
  <c r="M107" i="1"/>
  <c r="K111" i="1"/>
  <c r="G112" i="1" s="1"/>
  <c r="H111" i="1"/>
  <c r="H112" i="1" l="1"/>
  <c r="K112" i="1"/>
  <c r="G113" i="1" s="1"/>
  <c r="M108" i="1"/>
  <c r="S108" i="1" s="1"/>
  <c r="P108" i="1"/>
  <c r="L109" i="1" s="1"/>
  <c r="P109" i="1" l="1"/>
  <c r="L110" i="1" s="1"/>
  <c r="M109" i="1"/>
  <c r="K113" i="1"/>
  <c r="H113" i="1"/>
  <c r="I113" i="1" l="1"/>
  <c r="J119" i="1" s="1"/>
  <c r="G114" i="1"/>
  <c r="P110" i="1"/>
  <c r="L111" i="1" s="1"/>
  <c r="M110" i="1"/>
  <c r="P111" i="1" l="1"/>
  <c r="L112" i="1" s="1"/>
  <c r="M111" i="1"/>
  <c r="H114" i="1"/>
  <c r="K114" i="1"/>
  <c r="G115" i="1" s="1"/>
  <c r="K115" i="1" l="1"/>
  <c r="G116" i="1" s="1"/>
  <c r="H115" i="1"/>
  <c r="P112" i="1"/>
  <c r="L113" i="1" s="1"/>
  <c r="M112" i="1"/>
  <c r="P113" i="1" l="1"/>
  <c r="N113" i="1" s="1"/>
  <c r="M113" i="1"/>
  <c r="K116" i="1"/>
  <c r="G117" i="1" s="1"/>
  <c r="H116" i="1"/>
  <c r="H117" i="1" l="1"/>
  <c r="K117" i="1"/>
  <c r="G118" i="1" s="1"/>
  <c r="O119" i="1"/>
  <c r="L114" i="1"/>
  <c r="M114" i="1" l="1"/>
  <c r="P114" i="1"/>
  <c r="L115" i="1" s="1"/>
  <c r="H118" i="1"/>
  <c r="R118" i="1" s="1"/>
  <c r="K118" i="1"/>
  <c r="G119" i="1" s="1"/>
  <c r="K119" i="1" l="1"/>
  <c r="G120" i="1" s="1"/>
  <c r="H119" i="1"/>
  <c r="P115" i="1"/>
  <c r="L116" i="1" s="1"/>
  <c r="M115" i="1"/>
  <c r="P116" i="1" l="1"/>
  <c r="L117" i="1" s="1"/>
  <c r="M116" i="1"/>
  <c r="H120" i="1"/>
  <c r="K120" i="1"/>
  <c r="G121" i="1" s="1"/>
  <c r="P117" i="1" l="1"/>
  <c r="L118" i="1" s="1"/>
  <c r="M117" i="1"/>
  <c r="H121" i="1"/>
  <c r="K121" i="1"/>
  <c r="G122" i="1" s="1"/>
  <c r="M118" i="1" l="1"/>
  <c r="S118" i="1" s="1"/>
  <c r="P118" i="1"/>
  <c r="L119" i="1" s="1"/>
  <c r="K122" i="1"/>
  <c r="G123" i="1" s="1"/>
  <c r="H122" i="1"/>
  <c r="H123" i="1" l="1"/>
  <c r="K123" i="1"/>
  <c r="P119" i="1"/>
  <c r="L120" i="1" s="1"/>
  <c r="M119" i="1"/>
  <c r="M120" i="1" l="1"/>
  <c r="P120" i="1"/>
  <c r="L121" i="1" s="1"/>
  <c r="I123" i="1"/>
  <c r="J129" i="1" s="1"/>
  <c r="G124" i="1"/>
  <c r="H124" i="1" l="1"/>
  <c r="K124" i="1"/>
  <c r="G125" i="1" s="1"/>
  <c r="M121" i="1"/>
  <c r="P121" i="1"/>
  <c r="L122" i="1" s="1"/>
  <c r="M122" i="1" l="1"/>
  <c r="P122" i="1"/>
  <c r="L123" i="1" s="1"/>
  <c r="K125" i="1"/>
  <c r="G126" i="1" s="1"/>
  <c r="H125" i="1"/>
  <c r="H126" i="1" l="1"/>
  <c r="K126" i="1"/>
  <c r="G127" i="1" s="1"/>
  <c r="M123" i="1"/>
  <c r="P123" i="1"/>
  <c r="N123" i="1" s="1"/>
  <c r="O129" i="1" l="1"/>
  <c r="L124" i="1"/>
  <c r="H127" i="1"/>
  <c r="K127" i="1"/>
  <c r="G128" i="1" s="1"/>
  <c r="K128" i="1" l="1"/>
  <c r="G129" i="1" s="1"/>
  <c r="H128" i="1"/>
  <c r="R128" i="1" s="1"/>
  <c r="M124" i="1"/>
  <c r="P124" i="1"/>
  <c r="L125" i="1" s="1"/>
  <c r="K129" i="1" l="1"/>
  <c r="G130" i="1" s="1"/>
  <c r="H129" i="1"/>
  <c r="M125" i="1"/>
  <c r="P125" i="1"/>
  <c r="L126" i="1" s="1"/>
  <c r="H130" i="1" l="1"/>
  <c r="K130" i="1"/>
  <c r="G131" i="1" s="1"/>
  <c r="M126" i="1"/>
  <c r="P126" i="1"/>
  <c r="L127" i="1" s="1"/>
  <c r="M127" i="1" l="1"/>
  <c r="P127" i="1"/>
  <c r="L128" i="1" s="1"/>
  <c r="K131" i="1"/>
  <c r="G132" i="1" s="1"/>
  <c r="H131" i="1"/>
  <c r="K132" i="1" l="1"/>
  <c r="G133" i="1" s="1"/>
  <c r="H132" i="1"/>
  <c r="M128" i="1"/>
  <c r="S128" i="1" s="1"/>
  <c r="P128" i="1"/>
  <c r="L129" i="1" s="1"/>
  <c r="K133" i="1" l="1"/>
  <c r="H133" i="1"/>
  <c r="M129" i="1"/>
  <c r="P129" i="1"/>
  <c r="L130" i="1" s="1"/>
  <c r="I133" i="1" l="1"/>
  <c r="J139" i="1" s="1"/>
  <c r="G134" i="1"/>
  <c r="M130" i="1"/>
  <c r="P130" i="1"/>
  <c r="L131" i="1" s="1"/>
  <c r="M131" i="1" l="1"/>
  <c r="P131" i="1"/>
  <c r="L132" i="1" s="1"/>
  <c r="K134" i="1"/>
  <c r="G135" i="1" s="1"/>
  <c r="H134" i="1"/>
  <c r="H135" i="1" l="1"/>
  <c r="K135" i="1"/>
  <c r="G136" i="1" s="1"/>
  <c r="M132" i="1"/>
  <c r="P132" i="1"/>
  <c r="L133" i="1" s="1"/>
  <c r="M133" i="1" l="1"/>
  <c r="P133" i="1"/>
  <c r="N133" i="1" s="1"/>
  <c r="K136" i="1"/>
  <c r="G137" i="1" s="1"/>
  <c r="H136" i="1"/>
  <c r="H137" i="1" l="1"/>
  <c r="K137" i="1"/>
  <c r="G138" i="1" s="1"/>
  <c r="L134" i="1"/>
  <c r="O139" i="1"/>
  <c r="M134" i="1" l="1"/>
  <c r="P134" i="1"/>
  <c r="L135" i="1" s="1"/>
  <c r="K138" i="1"/>
  <c r="G139" i="1" s="1"/>
  <c r="H138" i="1"/>
  <c r="R138" i="1" s="1"/>
  <c r="H139" i="1" l="1"/>
  <c r="K139" i="1"/>
  <c r="G140" i="1" s="1"/>
  <c r="P135" i="1"/>
  <c r="L136" i="1" s="1"/>
  <c r="M135" i="1"/>
  <c r="H140" i="1" l="1"/>
  <c r="K140" i="1"/>
  <c r="G141" i="1" s="1"/>
  <c r="M136" i="1"/>
  <c r="P136" i="1"/>
  <c r="L137" i="1" s="1"/>
  <c r="M137" i="1" l="1"/>
  <c r="P137" i="1"/>
  <c r="L138" i="1" s="1"/>
  <c r="H141" i="1"/>
  <c r="K141" i="1"/>
  <c r="G142" i="1" s="1"/>
  <c r="H142" i="1" l="1"/>
  <c r="K142" i="1"/>
  <c r="G143" i="1" s="1"/>
  <c r="P138" i="1"/>
  <c r="L139" i="1" s="1"/>
  <c r="M138" i="1"/>
  <c r="S138" i="1" s="1"/>
  <c r="H143" i="1" l="1"/>
  <c r="K143" i="1"/>
  <c r="M139" i="1"/>
  <c r="P139" i="1"/>
  <c r="L140" i="1" s="1"/>
  <c r="P140" i="1" l="1"/>
  <c r="L141" i="1" s="1"/>
  <c r="M140" i="1"/>
  <c r="I143" i="1"/>
  <c r="J149" i="1" s="1"/>
  <c r="G144" i="1"/>
  <c r="P141" i="1" l="1"/>
  <c r="L142" i="1" s="1"/>
  <c r="M141" i="1"/>
  <c r="H144" i="1"/>
  <c r="K144" i="1"/>
  <c r="G145" i="1" s="1"/>
  <c r="P142" i="1" l="1"/>
  <c r="L143" i="1" s="1"/>
  <c r="M142" i="1"/>
  <c r="H145" i="1"/>
  <c r="K145" i="1"/>
  <c r="G146" i="1" s="1"/>
  <c r="P143" i="1" l="1"/>
  <c r="N143" i="1" s="1"/>
  <c r="M143" i="1"/>
  <c r="H146" i="1"/>
  <c r="K146" i="1"/>
  <c r="G147" i="1" s="1"/>
  <c r="L144" i="1" l="1"/>
  <c r="O149" i="1"/>
  <c r="H147" i="1"/>
  <c r="K147" i="1"/>
  <c r="G148" i="1" s="1"/>
  <c r="K148" i="1" l="1"/>
  <c r="G149" i="1" s="1"/>
  <c r="H148" i="1"/>
  <c r="R148" i="1" s="1"/>
  <c r="M144" i="1"/>
  <c r="P144" i="1"/>
  <c r="L145" i="1" s="1"/>
  <c r="K149" i="1" l="1"/>
  <c r="G150" i="1" s="1"/>
  <c r="H149" i="1"/>
  <c r="M145" i="1"/>
  <c r="P145" i="1"/>
  <c r="L146" i="1" s="1"/>
  <c r="K150" i="1" l="1"/>
  <c r="G151" i="1" s="1"/>
  <c r="H150" i="1"/>
  <c r="P146" i="1"/>
  <c r="L147" i="1" s="1"/>
  <c r="M146" i="1"/>
  <c r="M147" i="1" l="1"/>
  <c r="P147" i="1"/>
  <c r="L148" i="1" s="1"/>
  <c r="H151" i="1"/>
  <c r="K151" i="1"/>
  <c r="G152" i="1" s="1"/>
  <c r="H152" i="1" l="1"/>
  <c r="K152" i="1"/>
  <c r="G153" i="1" s="1"/>
  <c r="P148" i="1"/>
  <c r="L149" i="1" s="1"/>
  <c r="M148" i="1"/>
  <c r="S148" i="1" s="1"/>
  <c r="P149" i="1" l="1"/>
  <c r="L150" i="1" s="1"/>
  <c r="M149" i="1"/>
  <c r="H153" i="1"/>
  <c r="K153" i="1"/>
  <c r="P150" i="1" l="1"/>
  <c r="L151" i="1" s="1"/>
  <c r="M150" i="1"/>
  <c r="I153" i="1"/>
  <c r="J159" i="1" s="1"/>
  <c r="G154" i="1"/>
  <c r="P151" i="1" l="1"/>
  <c r="L152" i="1" s="1"/>
  <c r="M151" i="1"/>
  <c r="H154" i="1"/>
  <c r="K154" i="1"/>
  <c r="G155" i="1" s="1"/>
  <c r="H155" i="1" l="1"/>
  <c r="K155" i="1"/>
  <c r="G156" i="1" s="1"/>
  <c r="P152" i="1"/>
  <c r="L153" i="1" s="1"/>
  <c r="M152" i="1"/>
  <c r="H156" i="1" l="1"/>
  <c r="K156" i="1"/>
  <c r="G157" i="1" s="1"/>
  <c r="P153" i="1"/>
  <c r="N153" i="1" s="1"/>
  <c r="M153" i="1"/>
  <c r="K157" i="1" l="1"/>
  <c r="G158" i="1" s="1"/>
  <c r="H157" i="1"/>
  <c r="L154" i="1"/>
  <c r="O159" i="1"/>
  <c r="M154" i="1" l="1"/>
  <c r="P154" i="1"/>
  <c r="L155" i="1" s="1"/>
  <c r="H158" i="1"/>
  <c r="R158" i="1" s="1"/>
  <c r="K158" i="1"/>
  <c r="G159" i="1" s="1"/>
  <c r="H159" i="1" l="1"/>
  <c r="K159" i="1"/>
  <c r="G160" i="1" s="1"/>
  <c r="P155" i="1"/>
  <c r="L156" i="1" s="1"/>
  <c r="M155" i="1"/>
  <c r="P156" i="1" l="1"/>
  <c r="L157" i="1" s="1"/>
  <c r="M156" i="1"/>
  <c r="H160" i="1"/>
  <c r="K160" i="1"/>
  <c r="G161" i="1" s="1"/>
  <c r="P157" i="1" l="1"/>
  <c r="L158" i="1" s="1"/>
  <c r="M157" i="1"/>
  <c r="H161" i="1"/>
  <c r="K161" i="1"/>
  <c r="G162" i="1" s="1"/>
  <c r="M158" i="1" l="1"/>
  <c r="S158" i="1" s="1"/>
  <c r="P158" i="1"/>
  <c r="L159" i="1" s="1"/>
  <c r="H162" i="1"/>
  <c r="K162" i="1"/>
  <c r="G163" i="1" s="1"/>
  <c r="H163" i="1" l="1"/>
  <c r="K163" i="1"/>
  <c r="M159" i="1"/>
  <c r="P159" i="1"/>
  <c r="L160" i="1" s="1"/>
  <c r="P160" i="1" l="1"/>
  <c r="L161" i="1" s="1"/>
  <c r="M160" i="1"/>
  <c r="I163" i="1"/>
  <c r="J169" i="1" s="1"/>
  <c r="G164" i="1"/>
  <c r="P161" i="1" l="1"/>
  <c r="L162" i="1" s="1"/>
  <c r="M161" i="1"/>
  <c r="H164" i="1"/>
  <c r="K164" i="1"/>
  <c r="G165" i="1" s="1"/>
  <c r="K165" i="1" l="1"/>
  <c r="G166" i="1" s="1"/>
  <c r="H165" i="1"/>
  <c r="M162" i="1"/>
  <c r="P162" i="1"/>
  <c r="L163" i="1" s="1"/>
  <c r="M163" i="1" l="1"/>
  <c r="P163" i="1"/>
  <c r="N163" i="1" s="1"/>
  <c r="K166" i="1"/>
  <c r="G167" i="1" s="1"/>
  <c r="H166" i="1"/>
  <c r="L164" i="1" l="1"/>
  <c r="O169" i="1"/>
  <c r="H167" i="1"/>
  <c r="K167" i="1"/>
  <c r="G168" i="1" s="1"/>
  <c r="K168" i="1" l="1"/>
  <c r="G169" i="1" s="1"/>
  <c r="H168" i="1"/>
  <c r="R168" i="1" s="1"/>
  <c r="M164" i="1"/>
  <c r="P164" i="1"/>
  <c r="L165" i="1" s="1"/>
  <c r="K169" i="1" l="1"/>
  <c r="G170" i="1" s="1"/>
  <c r="H169" i="1"/>
  <c r="P165" i="1"/>
  <c r="L166" i="1" s="1"/>
  <c r="M165" i="1"/>
  <c r="P166" i="1" l="1"/>
  <c r="L167" i="1" s="1"/>
  <c r="M166" i="1"/>
  <c r="K170" i="1"/>
  <c r="G171" i="1" s="1"/>
  <c r="H170" i="1"/>
  <c r="K171" i="1" l="1"/>
  <c r="G172" i="1" s="1"/>
  <c r="H171" i="1"/>
  <c r="P167" i="1"/>
  <c r="L168" i="1" s="1"/>
  <c r="M167" i="1"/>
  <c r="P168" i="1" l="1"/>
  <c r="L169" i="1" s="1"/>
  <c r="M168" i="1"/>
  <c r="S168" i="1" s="1"/>
  <c r="K172" i="1"/>
  <c r="G173" i="1" s="1"/>
  <c r="H172" i="1"/>
  <c r="K173" i="1" l="1"/>
  <c r="H173" i="1"/>
  <c r="P169" i="1"/>
  <c r="L170" i="1" s="1"/>
  <c r="M169" i="1"/>
  <c r="P170" i="1" l="1"/>
  <c r="L171" i="1" s="1"/>
  <c r="M170" i="1"/>
  <c r="I173" i="1"/>
  <c r="J179" i="1" s="1"/>
  <c r="G174" i="1"/>
  <c r="P171" i="1" l="1"/>
  <c r="L172" i="1" s="1"/>
  <c r="M171" i="1"/>
  <c r="H174" i="1"/>
  <c r="K174" i="1"/>
  <c r="G175" i="1" s="1"/>
  <c r="P172" i="1" l="1"/>
  <c r="L173" i="1" s="1"/>
  <c r="M172" i="1"/>
  <c r="K175" i="1"/>
  <c r="G176" i="1" s="1"/>
  <c r="H175" i="1"/>
  <c r="K176" i="1" l="1"/>
  <c r="G177" i="1" s="1"/>
  <c r="H176" i="1"/>
  <c r="P173" i="1"/>
  <c r="N173" i="1" s="1"/>
  <c r="M173" i="1"/>
  <c r="L174" i="1" l="1"/>
  <c r="O179" i="1"/>
  <c r="K177" i="1"/>
  <c r="G178" i="1" s="1"/>
  <c r="H177" i="1"/>
  <c r="K178" i="1" l="1"/>
  <c r="G179" i="1" s="1"/>
  <c r="H178" i="1"/>
  <c r="R178" i="1" s="1"/>
  <c r="M174" i="1"/>
  <c r="P174" i="1"/>
  <c r="L175" i="1" s="1"/>
  <c r="M175" i="1" l="1"/>
  <c r="P175" i="1"/>
  <c r="L176" i="1" s="1"/>
  <c r="H179" i="1"/>
  <c r="K179" i="1"/>
  <c r="G180" i="1" s="1"/>
  <c r="H180" i="1" l="1"/>
  <c r="K180" i="1"/>
  <c r="G181" i="1" s="1"/>
  <c r="M176" i="1"/>
  <c r="P176" i="1"/>
  <c r="L177" i="1" s="1"/>
  <c r="M177" i="1" l="1"/>
  <c r="P177" i="1"/>
  <c r="L178" i="1" s="1"/>
  <c r="K181" i="1"/>
  <c r="G182" i="1" s="1"/>
  <c r="H181" i="1"/>
  <c r="H182" i="1" l="1"/>
  <c r="K182" i="1"/>
  <c r="G183" i="1" s="1"/>
  <c r="P178" i="1"/>
  <c r="L179" i="1" s="1"/>
  <c r="M178" i="1"/>
  <c r="S178" i="1" s="1"/>
  <c r="P179" i="1" l="1"/>
  <c r="L180" i="1" s="1"/>
  <c r="M179" i="1"/>
  <c r="H183" i="1"/>
  <c r="K183" i="1"/>
  <c r="P180" i="1" l="1"/>
  <c r="L181" i="1" s="1"/>
  <c r="M180" i="1"/>
  <c r="I183" i="1"/>
  <c r="J189" i="1" s="1"/>
  <c r="G184" i="1"/>
  <c r="M181" i="1" l="1"/>
  <c r="P181" i="1"/>
  <c r="L182" i="1" s="1"/>
  <c r="H184" i="1"/>
  <c r="K184" i="1"/>
  <c r="G185" i="1" s="1"/>
  <c r="K185" i="1" l="1"/>
  <c r="G186" i="1" s="1"/>
  <c r="H185" i="1"/>
  <c r="P182" i="1"/>
  <c r="L183" i="1" s="1"/>
  <c r="M182" i="1"/>
  <c r="M183" i="1" l="1"/>
  <c r="P183" i="1"/>
  <c r="N183" i="1" s="1"/>
  <c r="H186" i="1"/>
  <c r="K186" i="1"/>
  <c r="G187" i="1" s="1"/>
  <c r="K187" i="1" l="1"/>
  <c r="G188" i="1" s="1"/>
  <c r="H187" i="1"/>
  <c r="L184" i="1"/>
  <c r="O189" i="1"/>
  <c r="M184" i="1" l="1"/>
  <c r="P184" i="1"/>
  <c r="L185" i="1" s="1"/>
  <c r="K188" i="1"/>
  <c r="G189" i="1" s="1"/>
  <c r="H188" i="1"/>
  <c r="R188" i="1" s="1"/>
  <c r="H189" i="1" l="1"/>
  <c r="K189" i="1"/>
  <c r="G190" i="1" s="1"/>
  <c r="P185" i="1"/>
  <c r="L186" i="1" s="1"/>
  <c r="M185" i="1"/>
  <c r="M186" i="1" l="1"/>
  <c r="P186" i="1"/>
  <c r="L187" i="1" s="1"/>
  <c r="H190" i="1"/>
  <c r="K190" i="1"/>
  <c r="G191" i="1" s="1"/>
  <c r="K191" i="1" l="1"/>
  <c r="G192" i="1" s="1"/>
  <c r="H191" i="1"/>
  <c r="M187" i="1"/>
  <c r="P187" i="1"/>
  <c r="L188" i="1" s="1"/>
  <c r="K192" i="1" l="1"/>
  <c r="G193" i="1" s="1"/>
  <c r="H192" i="1"/>
  <c r="M188" i="1"/>
  <c r="S188" i="1" s="1"/>
  <c r="P188" i="1"/>
  <c r="L189" i="1" s="1"/>
  <c r="K193" i="1" l="1"/>
  <c r="H193" i="1"/>
  <c r="M189" i="1"/>
  <c r="P189" i="1"/>
  <c r="L190" i="1" s="1"/>
  <c r="I193" i="1" l="1"/>
  <c r="J199" i="1" s="1"/>
  <c r="G194" i="1"/>
  <c r="P190" i="1"/>
  <c r="L191" i="1" s="1"/>
  <c r="M190" i="1"/>
  <c r="P191" i="1" l="1"/>
  <c r="L192" i="1" s="1"/>
  <c r="M191" i="1"/>
  <c r="K194" i="1"/>
  <c r="G195" i="1" s="1"/>
  <c r="H194" i="1"/>
  <c r="H195" i="1" l="1"/>
  <c r="K195" i="1"/>
  <c r="G196" i="1" s="1"/>
  <c r="P192" i="1"/>
  <c r="L193" i="1" s="1"/>
  <c r="M192" i="1"/>
  <c r="K196" i="1" l="1"/>
  <c r="G197" i="1" s="1"/>
  <c r="H196" i="1"/>
  <c r="P193" i="1"/>
  <c r="N193" i="1" s="1"/>
  <c r="M193" i="1"/>
  <c r="H197" i="1" l="1"/>
  <c r="K197" i="1"/>
  <c r="G198" i="1" s="1"/>
  <c r="L194" i="1"/>
  <c r="O199" i="1"/>
  <c r="H198" i="1" l="1"/>
  <c r="R198" i="1" s="1"/>
  <c r="K198" i="1"/>
  <c r="G199" i="1" s="1"/>
  <c r="M194" i="1"/>
  <c r="P194" i="1"/>
  <c r="L195" i="1" s="1"/>
  <c r="M195" i="1" l="1"/>
  <c r="P195" i="1"/>
  <c r="L196" i="1" s="1"/>
  <c r="K199" i="1"/>
  <c r="G200" i="1" s="1"/>
  <c r="H199" i="1"/>
  <c r="H200" i="1" l="1"/>
  <c r="K200" i="1"/>
  <c r="G201" i="1" s="1"/>
  <c r="P196" i="1"/>
  <c r="L197" i="1" s="1"/>
  <c r="M196" i="1"/>
  <c r="M197" i="1" l="1"/>
  <c r="P197" i="1"/>
  <c r="L198" i="1" s="1"/>
  <c r="K201" i="1"/>
  <c r="G202" i="1" s="1"/>
  <c r="H201" i="1"/>
  <c r="M198" i="1" l="1"/>
  <c r="S198" i="1" s="1"/>
  <c r="P198" i="1"/>
  <c r="L199" i="1" s="1"/>
  <c r="H202" i="1"/>
  <c r="K202" i="1"/>
  <c r="G203" i="1" s="1"/>
  <c r="H203" i="1" l="1"/>
  <c r="K203" i="1"/>
  <c r="P199" i="1"/>
  <c r="L200" i="1" s="1"/>
  <c r="M199" i="1"/>
  <c r="I203" i="1" l="1"/>
  <c r="J209" i="1" s="1"/>
  <c r="G204" i="1"/>
  <c r="P200" i="1"/>
  <c r="L201" i="1" s="1"/>
  <c r="M200" i="1"/>
  <c r="P201" i="1" l="1"/>
  <c r="L202" i="1" s="1"/>
  <c r="M201" i="1"/>
  <c r="H204" i="1"/>
  <c r="K204" i="1"/>
  <c r="G205" i="1" s="1"/>
  <c r="H205" i="1" l="1"/>
  <c r="K205" i="1"/>
  <c r="G206" i="1" s="1"/>
  <c r="P202" i="1"/>
  <c r="L203" i="1" s="1"/>
  <c r="M202" i="1"/>
  <c r="K206" i="1" l="1"/>
  <c r="G207" i="1" s="1"/>
  <c r="H206" i="1"/>
  <c r="P203" i="1"/>
  <c r="N203" i="1" s="1"/>
  <c r="M203" i="1"/>
  <c r="L204" i="1" l="1"/>
  <c r="O209" i="1"/>
  <c r="K207" i="1"/>
  <c r="G208" i="1" s="1"/>
  <c r="H207" i="1"/>
  <c r="K208" i="1" l="1"/>
  <c r="G209" i="1" s="1"/>
  <c r="H208" i="1"/>
  <c r="R208" i="1" s="1"/>
  <c r="M204" i="1"/>
  <c r="P204" i="1"/>
  <c r="L205" i="1" s="1"/>
  <c r="H209" i="1" l="1"/>
  <c r="K209" i="1"/>
  <c r="G210" i="1" s="1"/>
  <c r="P205" i="1"/>
  <c r="L206" i="1" s="1"/>
  <c r="M205" i="1"/>
  <c r="P206" i="1" l="1"/>
  <c r="L207" i="1" s="1"/>
  <c r="M206" i="1"/>
  <c r="H210" i="1"/>
  <c r="K210" i="1"/>
  <c r="G211" i="1" s="1"/>
  <c r="P207" i="1" l="1"/>
  <c r="L208" i="1" s="1"/>
  <c r="M207" i="1"/>
  <c r="H211" i="1"/>
  <c r="K211" i="1"/>
  <c r="G212" i="1" s="1"/>
  <c r="H212" i="1" l="1"/>
  <c r="K212" i="1"/>
  <c r="G213" i="1" s="1"/>
  <c r="M208" i="1"/>
  <c r="S208" i="1" s="1"/>
  <c r="P208" i="1"/>
  <c r="L209" i="1" s="1"/>
  <c r="M209" i="1" l="1"/>
  <c r="P209" i="1"/>
  <c r="L210" i="1" s="1"/>
  <c r="H213" i="1"/>
  <c r="K213" i="1"/>
  <c r="I213" i="1" l="1"/>
  <c r="J219" i="1" s="1"/>
  <c r="G214" i="1"/>
  <c r="P210" i="1"/>
  <c r="L211" i="1" s="1"/>
  <c r="M210" i="1"/>
  <c r="M211" i="1" l="1"/>
  <c r="P211" i="1"/>
  <c r="L212" i="1" s="1"/>
  <c r="K214" i="1"/>
  <c r="G215" i="1" s="1"/>
  <c r="H214" i="1"/>
  <c r="K215" i="1" l="1"/>
  <c r="G216" i="1" s="1"/>
  <c r="H215" i="1"/>
  <c r="P212" i="1"/>
  <c r="L213" i="1" s="1"/>
  <c r="M212" i="1"/>
  <c r="P213" i="1" l="1"/>
  <c r="N213" i="1" s="1"/>
  <c r="M213" i="1"/>
  <c r="K216" i="1"/>
  <c r="G217" i="1" s="1"/>
  <c r="H216" i="1"/>
  <c r="H217" i="1" l="1"/>
  <c r="K217" i="1"/>
  <c r="G218" i="1" s="1"/>
  <c r="L214" i="1"/>
  <c r="O219" i="1"/>
  <c r="H218" i="1" l="1"/>
  <c r="R218" i="1" s="1"/>
  <c r="K218" i="1"/>
  <c r="G219" i="1" s="1"/>
  <c r="M214" i="1"/>
  <c r="P214" i="1"/>
  <c r="L215" i="1" s="1"/>
  <c r="M215" i="1" l="1"/>
  <c r="P215" i="1"/>
  <c r="L216" i="1" s="1"/>
  <c r="H219" i="1"/>
  <c r="K219" i="1"/>
  <c r="G220" i="1" s="1"/>
  <c r="K220" i="1" l="1"/>
  <c r="G221" i="1" s="1"/>
  <c r="H220" i="1"/>
  <c r="P216" i="1"/>
  <c r="L217" i="1" s="1"/>
  <c r="M216" i="1"/>
  <c r="P217" i="1" l="1"/>
  <c r="L218" i="1" s="1"/>
  <c r="M217" i="1"/>
  <c r="H221" i="1"/>
  <c r="K221" i="1"/>
  <c r="G222" i="1" s="1"/>
  <c r="K222" i="1" l="1"/>
  <c r="G223" i="1" s="1"/>
  <c r="H222" i="1"/>
  <c r="M218" i="1"/>
  <c r="S218" i="1" s="1"/>
  <c r="P218" i="1"/>
  <c r="L219" i="1" s="1"/>
  <c r="P219" i="1" l="1"/>
  <c r="L220" i="1" s="1"/>
  <c r="M219" i="1"/>
  <c r="K223" i="1"/>
  <c r="H223" i="1"/>
  <c r="I223" i="1" l="1"/>
  <c r="J229" i="1" s="1"/>
  <c r="G224" i="1"/>
  <c r="P220" i="1"/>
  <c r="L221" i="1" s="1"/>
  <c r="M220" i="1"/>
  <c r="M221" i="1" l="1"/>
  <c r="P221" i="1"/>
  <c r="L222" i="1" s="1"/>
  <c r="H224" i="1"/>
  <c r="K224" i="1"/>
  <c r="G225" i="1" s="1"/>
  <c r="H225" i="1" l="1"/>
  <c r="K225" i="1"/>
  <c r="G226" i="1" s="1"/>
  <c r="P222" i="1"/>
  <c r="L223" i="1" s="1"/>
  <c r="M222" i="1"/>
  <c r="H226" i="1" l="1"/>
  <c r="K226" i="1"/>
  <c r="G227" i="1" s="1"/>
  <c r="P223" i="1"/>
  <c r="N223" i="1" s="1"/>
  <c r="M223" i="1"/>
  <c r="H227" i="1" l="1"/>
  <c r="K227" i="1"/>
  <c r="G228" i="1" s="1"/>
  <c r="L224" i="1"/>
  <c r="O229" i="1"/>
  <c r="H228" i="1" l="1"/>
  <c r="R228" i="1" s="1"/>
  <c r="K228" i="1"/>
  <c r="G229" i="1" s="1"/>
  <c r="M224" i="1"/>
  <c r="P224" i="1"/>
  <c r="L225" i="1" s="1"/>
  <c r="P225" i="1" l="1"/>
  <c r="L226" i="1" s="1"/>
  <c r="M225" i="1"/>
  <c r="K229" i="1"/>
  <c r="G230" i="1" s="1"/>
  <c r="H229" i="1"/>
  <c r="P226" i="1" l="1"/>
  <c r="L227" i="1" s="1"/>
  <c r="M226" i="1"/>
  <c r="H230" i="1"/>
  <c r="K230" i="1"/>
  <c r="G231" i="1" s="1"/>
  <c r="P227" i="1" l="1"/>
  <c r="L228" i="1" s="1"/>
  <c r="M227" i="1"/>
  <c r="H231" i="1"/>
  <c r="K231" i="1"/>
  <c r="G232" i="1" s="1"/>
  <c r="M228" i="1" l="1"/>
  <c r="S228" i="1" s="1"/>
  <c r="P228" i="1"/>
  <c r="L229" i="1" s="1"/>
  <c r="H232" i="1"/>
  <c r="K232" i="1"/>
  <c r="G233" i="1" s="1"/>
  <c r="H233" i="1" l="1"/>
  <c r="K233" i="1"/>
  <c r="M229" i="1"/>
  <c r="P229" i="1"/>
  <c r="L230" i="1" s="1"/>
  <c r="M230" i="1" l="1"/>
  <c r="P230" i="1"/>
  <c r="L231" i="1" s="1"/>
  <c r="I233" i="1"/>
  <c r="J239" i="1" s="1"/>
  <c r="G234" i="1"/>
  <c r="H234" i="1" l="1"/>
  <c r="K234" i="1"/>
  <c r="G235" i="1" s="1"/>
  <c r="M231" i="1"/>
  <c r="P231" i="1"/>
  <c r="L232" i="1" s="1"/>
  <c r="M232" i="1" l="1"/>
  <c r="P232" i="1"/>
  <c r="L233" i="1" s="1"/>
  <c r="K235" i="1"/>
  <c r="G236" i="1" s="1"/>
  <c r="H235" i="1"/>
  <c r="P233" i="1" l="1"/>
  <c r="N233" i="1" s="1"/>
  <c r="M233" i="1"/>
  <c r="K236" i="1"/>
  <c r="G237" i="1" s="1"/>
  <c r="H236" i="1"/>
  <c r="K237" i="1" l="1"/>
  <c r="G238" i="1" s="1"/>
  <c r="H237" i="1"/>
  <c r="L234" i="1"/>
  <c r="O239" i="1"/>
  <c r="M234" i="1" l="1"/>
  <c r="P234" i="1"/>
  <c r="L235" i="1" s="1"/>
  <c r="K238" i="1"/>
  <c r="G239" i="1" s="1"/>
  <c r="H238" i="1"/>
  <c r="R238" i="1" s="1"/>
  <c r="K239" i="1" l="1"/>
  <c r="G240" i="1" s="1"/>
  <c r="H239" i="1"/>
  <c r="P235" i="1"/>
  <c r="L236" i="1" s="1"/>
  <c r="M235" i="1"/>
  <c r="P236" i="1" l="1"/>
  <c r="L237" i="1" s="1"/>
  <c r="M236" i="1"/>
  <c r="H240" i="1"/>
  <c r="K240" i="1"/>
  <c r="G241" i="1" s="1"/>
  <c r="P237" i="1" l="1"/>
  <c r="L238" i="1" s="1"/>
  <c r="M237" i="1"/>
  <c r="K241" i="1"/>
  <c r="G242" i="1" s="1"/>
  <c r="H241" i="1"/>
  <c r="K242" i="1" l="1"/>
  <c r="G243" i="1" s="1"/>
  <c r="H242" i="1"/>
  <c r="M238" i="1"/>
  <c r="S238" i="1" s="1"/>
  <c r="P238" i="1"/>
  <c r="L239" i="1" s="1"/>
  <c r="P239" i="1" l="1"/>
  <c r="L240" i="1" s="1"/>
  <c r="M239" i="1"/>
  <c r="H243" i="1"/>
  <c r="K243" i="1"/>
  <c r="I243" i="1" l="1"/>
  <c r="J249" i="1" s="1"/>
  <c r="G244" i="1"/>
  <c r="P240" i="1"/>
  <c r="L241" i="1" s="1"/>
  <c r="M240" i="1"/>
  <c r="P241" i="1" l="1"/>
  <c r="L242" i="1" s="1"/>
  <c r="M241" i="1"/>
  <c r="K244" i="1"/>
  <c r="G245" i="1" s="1"/>
  <c r="H244" i="1"/>
  <c r="K245" i="1" l="1"/>
  <c r="G246" i="1" s="1"/>
  <c r="H245" i="1"/>
  <c r="P242" i="1"/>
  <c r="L243" i="1" s="1"/>
  <c r="M242" i="1"/>
  <c r="P243" i="1" l="1"/>
  <c r="N243" i="1" s="1"/>
  <c r="M243" i="1"/>
  <c r="H246" i="1"/>
  <c r="K246" i="1"/>
  <c r="G247" i="1" s="1"/>
  <c r="H247" i="1" l="1"/>
  <c r="K247" i="1"/>
  <c r="G248" i="1" s="1"/>
  <c r="L244" i="1"/>
  <c r="O249" i="1"/>
  <c r="H248" i="1" l="1"/>
  <c r="R248" i="1" s="1"/>
  <c r="K248" i="1"/>
  <c r="G249" i="1" s="1"/>
  <c r="M244" i="1"/>
  <c r="P244" i="1"/>
  <c r="L245" i="1" s="1"/>
  <c r="P245" i="1" l="1"/>
  <c r="L246" i="1" s="1"/>
  <c r="M245" i="1"/>
  <c r="H249" i="1"/>
  <c r="K249" i="1"/>
  <c r="G250" i="1" s="1"/>
  <c r="P246" i="1" l="1"/>
  <c r="L247" i="1" s="1"/>
  <c r="M246" i="1"/>
  <c r="H250" i="1"/>
  <c r="K250" i="1"/>
  <c r="G251" i="1" s="1"/>
  <c r="P247" i="1" l="1"/>
  <c r="L248" i="1" s="1"/>
  <c r="M247" i="1"/>
  <c r="K251" i="1"/>
  <c r="G252" i="1" s="1"/>
  <c r="H251" i="1"/>
  <c r="H252" i="1" l="1"/>
  <c r="K252" i="1"/>
  <c r="G253" i="1" s="1"/>
  <c r="M248" i="1"/>
  <c r="S248" i="1" s="1"/>
  <c r="P248" i="1"/>
  <c r="L249" i="1" s="1"/>
  <c r="P249" i="1" l="1"/>
  <c r="L250" i="1" s="1"/>
  <c r="M249" i="1"/>
  <c r="H253" i="1"/>
  <c r="K253" i="1"/>
  <c r="I253" i="1" l="1"/>
  <c r="J259" i="1" s="1"/>
  <c r="G254" i="1"/>
  <c r="P250" i="1"/>
  <c r="L251" i="1" s="1"/>
  <c r="M250" i="1"/>
  <c r="P251" i="1" l="1"/>
  <c r="L252" i="1" s="1"/>
  <c r="M251" i="1"/>
  <c r="K254" i="1"/>
  <c r="G255" i="1" s="1"/>
  <c r="H254" i="1"/>
  <c r="H255" i="1" l="1"/>
  <c r="K255" i="1"/>
  <c r="G256" i="1" s="1"/>
  <c r="M252" i="1"/>
  <c r="P252" i="1"/>
  <c r="L253" i="1" s="1"/>
  <c r="P253" i="1" l="1"/>
  <c r="N253" i="1" s="1"/>
  <c r="M253" i="1"/>
  <c r="K256" i="1"/>
  <c r="G257" i="1" s="1"/>
  <c r="H256" i="1"/>
  <c r="H257" i="1" l="1"/>
  <c r="K257" i="1"/>
  <c r="G258" i="1" s="1"/>
  <c r="L254" i="1"/>
  <c r="O259" i="1"/>
  <c r="M254" i="1" l="1"/>
  <c r="P254" i="1"/>
  <c r="L255" i="1" s="1"/>
  <c r="K258" i="1"/>
  <c r="G259" i="1" s="1"/>
  <c r="H258" i="1"/>
  <c r="R258" i="1" s="1"/>
  <c r="K259" i="1" l="1"/>
  <c r="G260" i="1" s="1"/>
  <c r="H259" i="1"/>
  <c r="P255" i="1"/>
  <c r="L256" i="1" s="1"/>
  <c r="M255" i="1"/>
  <c r="P256" i="1" l="1"/>
  <c r="L257" i="1" s="1"/>
  <c r="M256" i="1"/>
  <c r="K260" i="1"/>
  <c r="G261" i="1" s="1"/>
  <c r="H260" i="1"/>
  <c r="K261" i="1" l="1"/>
  <c r="G262" i="1" s="1"/>
  <c r="H261" i="1"/>
  <c r="P257" i="1"/>
  <c r="L258" i="1" s="1"/>
  <c r="M257" i="1"/>
  <c r="M258" i="1" l="1"/>
  <c r="S258" i="1" s="1"/>
  <c r="P258" i="1"/>
  <c r="L259" i="1" s="1"/>
  <c r="H262" i="1"/>
  <c r="K262" i="1"/>
  <c r="G263" i="1" s="1"/>
  <c r="K263" i="1" l="1"/>
  <c r="H263" i="1"/>
  <c r="P259" i="1"/>
  <c r="L260" i="1" s="1"/>
  <c r="M259" i="1"/>
  <c r="M260" i="1" l="1"/>
  <c r="P260" i="1"/>
  <c r="L261" i="1" s="1"/>
  <c r="I263" i="1"/>
  <c r="J269" i="1" s="1"/>
  <c r="G264" i="1"/>
  <c r="K264" i="1" l="1"/>
  <c r="G265" i="1" s="1"/>
  <c r="H264" i="1"/>
  <c r="M261" i="1"/>
  <c r="P261" i="1"/>
  <c r="L262" i="1" s="1"/>
  <c r="P262" i="1" l="1"/>
  <c r="L263" i="1" s="1"/>
  <c r="M262" i="1"/>
  <c r="H265" i="1"/>
  <c r="K265" i="1"/>
  <c r="G266" i="1" s="1"/>
  <c r="K266" i="1" l="1"/>
  <c r="G267" i="1" s="1"/>
  <c r="H266" i="1"/>
  <c r="P263" i="1"/>
  <c r="N263" i="1" s="1"/>
  <c r="M263" i="1"/>
  <c r="L264" i="1" l="1"/>
  <c r="O269" i="1"/>
  <c r="K267" i="1"/>
  <c r="G268" i="1" s="1"/>
  <c r="H267" i="1"/>
  <c r="H268" i="1" l="1"/>
  <c r="R268" i="1" s="1"/>
  <c r="K268" i="1"/>
  <c r="G269" i="1" s="1"/>
  <c r="M264" i="1"/>
  <c r="P264" i="1"/>
  <c r="L265" i="1" s="1"/>
  <c r="P265" i="1" l="1"/>
  <c r="L266" i="1" s="1"/>
  <c r="M265" i="1"/>
  <c r="H269" i="1"/>
  <c r="K269" i="1"/>
  <c r="G270" i="1" s="1"/>
  <c r="H270" i="1" l="1"/>
  <c r="K270" i="1"/>
  <c r="G271" i="1" s="1"/>
  <c r="P266" i="1"/>
  <c r="L267" i="1" s="1"/>
  <c r="M266" i="1"/>
  <c r="H271" i="1" l="1"/>
  <c r="K271" i="1"/>
  <c r="G272" i="1" s="1"/>
  <c r="P267" i="1"/>
  <c r="L268" i="1" s="1"/>
  <c r="M267" i="1"/>
  <c r="H272" i="1" l="1"/>
  <c r="K272" i="1"/>
  <c r="G273" i="1" s="1"/>
  <c r="M268" i="1"/>
  <c r="S268" i="1" s="1"/>
  <c r="P268" i="1"/>
  <c r="L269" i="1" s="1"/>
  <c r="P269" i="1" l="1"/>
  <c r="L270" i="1" s="1"/>
  <c r="M269" i="1"/>
  <c r="K273" i="1"/>
  <c r="H273" i="1"/>
  <c r="I273" i="1" l="1"/>
  <c r="J279" i="1" s="1"/>
  <c r="G274" i="1"/>
  <c r="P270" i="1"/>
  <c r="L271" i="1" s="1"/>
  <c r="M270" i="1"/>
  <c r="P271" i="1" l="1"/>
  <c r="L272" i="1" s="1"/>
  <c r="M271" i="1"/>
  <c r="H274" i="1"/>
  <c r="K274" i="1"/>
  <c r="G275" i="1" s="1"/>
  <c r="H275" i="1" l="1"/>
  <c r="K275" i="1"/>
  <c r="G276" i="1" s="1"/>
  <c r="P272" i="1"/>
  <c r="L273" i="1" s="1"/>
  <c r="M272" i="1"/>
  <c r="K276" i="1" l="1"/>
  <c r="G277" i="1" s="1"/>
  <c r="H276" i="1"/>
  <c r="P273" i="1"/>
  <c r="N273" i="1" s="1"/>
  <c r="M273" i="1"/>
  <c r="L274" i="1" l="1"/>
  <c r="O279" i="1"/>
  <c r="K277" i="1"/>
  <c r="G278" i="1" s="1"/>
  <c r="H277" i="1"/>
  <c r="H278" i="1" l="1"/>
  <c r="R278" i="1" s="1"/>
  <c r="K278" i="1"/>
  <c r="G279" i="1" s="1"/>
  <c r="M274" i="1"/>
  <c r="P274" i="1"/>
  <c r="L275" i="1" s="1"/>
  <c r="P275" i="1" l="1"/>
  <c r="L276" i="1" s="1"/>
  <c r="M275" i="1"/>
  <c r="H279" i="1"/>
  <c r="K279" i="1"/>
  <c r="G280" i="1" s="1"/>
  <c r="P276" i="1" l="1"/>
  <c r="L277" i="1" s="1"/>
  <c r="M276" i="1"/>
  <c r="K280" i="1"/>
  <c r="G281" i="1" s="1"/>
  <c r="H280" i="1"/>
  <c r="K281" i="1" l="1"/>
  <c r="G282" i="1" s="1"/>
  <c r="H281" i="1"/>
  <c r="P277" i="1"/>
  <c r="L278" i="1" s="1"/>
  <c r="M277" i="1"/>
  <c r="M278" i="1" l="1"/>
  <c r="S278" i="1" s="1"/>
  <c r="P278" i="1"/>
  <c r="L279" i="1" s="1"/>
  <c r="K282" i="1"/>
  <c r="G283" i="1" s="1"/>
  <c r="H282" i="1"/>
  <c r="P279" i="1" l="1"/>
  <c r="L280" i="1" s="1"/>
  <c r="M279" i="1"/>
  <c r="K283" i="1"/>
  <c r="H283" i="1"/>
  <c r="I283" i="1" l="1"/>
  <c r="J289" i="1" s="1"/>
  <c r="G284" i="1"/>
  <c r="P280" i="1"/>
  <c r="L281" i="1" s="1"/>
  <c r="M280" i="1"/>
  <c r="P281" i="1" l="1"/>
  <c r="L282" i="1" s="1"/>
  <c r="M281" i="1"/>
  <c r="H284" i="1"/>
  <c r="K284" i="1"/>
  <c r="G285" i="1" s="1"/>
  <c r="M282" i="1" l="1"/>
  <c r="P282" i="1"/>
  <c r="L283" i="1" s="1"/>
  <c r="K285" i="1"/>
  <c r="G286" i="1" s="1"/>
  <c r="H285" i="1"/>
  <c r="K286" i="1" l="1"/>
  <c r="G287" i="1" s="1"/>
  <c r="H286" i="1"/>
  <c r="P283" i="1"/>
  <c r="N283" i="1" s="1"/>
  <c r="M283" i="1"/>
  <c r="L284" i="1" l="1"/>
  <c r="O289" i="1"/>
  <c r="H287" i="1"/>
  <c r="K287" i="1"/>
  <c r="G288" i="1" s="1"/>
  <c r="M284" i="1" l="1"/>
  <c r="P284" i="1"/>
  <c r="L285" i="1" s="1"/>
  <c r="K288" i="1"/>
  <c r="G289" i="1" s="1"/>
  <c r="H288" i="1"/>
  <c r="R288" i="1" s="1"/>
  <c r="K289" i="1" l="1"/>
  <c r="G290" i="1" s="1"/>
  <c r="H289" i="1"/>
  <c r="P285" i="1"/>
  <c r="L286" i="1" s="1"/>
  <c r="M285" i="1"/>
  <c r="P286" i="1" l="1"/>
  <c r="L287" i="1" s="1"/>
  <c r="M286" i="1"/>
  <c r="H290" i="1"/>
  <c r="K290" i="1"/>
  <c r="G291" i="1" s="1"/>
  <c r="H291" i="1" l="1"/>
  <c r="K291" i="1"/>
  <c r="G292" i="1" s="1"/>
  <c r="P287" i="1"/>
  <c r="L288" i="1" s="1"/>
  <c r="M287" i="1"/>
  <c r="H292" i="1" l="1"/>
  <c r="K292" i="1"/>
  <c r="G293" i="1" s="1"/>
  <c r="M288" i="1"/>
  <c r="S288" i="1" s="1"/>
  <c r="P288" i="1"/>
  <c r="L289" i="1" s="1"/>
  <c r="M289" i="1" l="1"/>
  <c r="P289" i="1"/>
  <c r="L290" i="1" s="1"/>
  <c r="H293" i="1"/>
  <c r="K293" i="1"/>
  <c r="I293" i="1" l="1"/>
  <c r="J299" i="1" s="1"/>
  <c r="G294" i="1"/>
  <c r="M290" i="1"/>
  <c r="P290" i="1"/>
  <c r="L291" i="1" s="1"/>
  <c r="P291" i="1" l="1"/>
  <c r="L292" i="1" s="1"/>
  <c r="M291" i="1"/>
  <c r="H294" i="1"/>
  <c r="K294" i="1"/>
  <c r="G295" i="1" s="1"/>
  <c r="P292" i="1" l="1"/>
  <c r="L293" i="1" s="1"/>
  <c r="M292" i="1"/>
  <c r="K295" i="1"/>
  <c r="G296" i="1" s="1"/>
  <c r="H295" i="1"/>
  <c r="K296" i="1" l="1"/>
  <c r="G297" i="1" s="1"/>
  <c r="H296" i="1"/>
  <c r="P293" i="1"/>
  <c r="N293" i="1" s="1"/>
  <c r="M293" i="1"/>
  <c r="L294" i="1" l="1"/>
  <c r="O299" i="1"/>
  <c r="H297" i="1"/>
  <c r="K297" i="1"/>
  <c r="G298" i="1" s="1"/>
  <c r="M294" i="1" l="1"/>
  <c r="P294" i="1"/>
  <c r="L295" i="1" s="1"/>
  <c r="H298" i="1"/>
  <c r="R298" i="1" s="1"/>
  <c r="K298" i="1"/>
  <c r="G299" i="1" s="1"/>
  <c r="K299" i="1" l="1"/>
  <c r="G300" i="1" s="1"/>
  <c r="H299" i="1"/>
  <c r="P295" i="1"/>
  <c r="L296" i="1" s="1"/>
  <c r="M295" i="1"/>
  <c r="P296" i="1" l="1"/>
  <c r="L297" i="1" s="1"/>
  <c r="M296" i="1"/>
  <c r="H300" i="1"/>
  <c r="K300" i="1"/>
  <c r="G301" i="1" s="1"/>
  <c r="P297" i="1" l="1"/>
  <c r="L298" i="1" s="1"/>
  <c r="M297" i="1"/>
  <c r="K301" i="1"/>
  <c r="G302" i="1" s="1"/>
  <c r="H301" i="1"/>
  <c r="K302" i="1" l="1"/>
  <c r="G303" i="1" s="1"/>
  <c r="H302" i="1"/>
  <c r="M298" i="1"/>
  <c r="S298" i="1" s="1"/>
  <c r="P298" i="1"/>
  <c r="L299" i="1" s="1"/>
  <c r="P299" i="1" l="1"/>
  <c r="L300" i="1" s="1"/>
  <c r="M299" i="1"/>
  <c r="K303" i="1"/>
  <c r="H303" i="1"/>
  <c r="I303" i="1" l="1"/>
  <c r="J309" i="1" s="1"/>
  <c r="G304" i="1"/>
  <c r="P300" i="1"/>
  <c r="L301" i="1" s="1"/>
  <c r="M300" i="1"/>
  <c r="M301" i="1" l="1"/>
  <c r="P301" i="1"/>
  <c r="L302" i="1" s="1"/>
  <c r="K304" i="1"/>
  <c r="G305" i="1" s="1"/>
  <c r="H304" i="1"/>
  <c r="K305" i="1" l="1"/>
  <c r="G306" i="1" s="1"/>
  <c r="H305" i="1"/>
  <c r="M302" i="1"/>
  <c r="P302" i="1"/>
  <c r="L303" i="1" s="1"/>
  <c r="H306" i="1" l="1"/>
  <c r="K306" i="1"/>
  <c r="G307" i="1" s="1"/>
  <c r="P303" i="1"/>
  <c r="N303" i="1" s="1"/>
  <c r="M303" i="1"/>
  <c r="L304" i="1" l="1"/>
  <c r="O309" i="1"/>
  <c r="K307" i="1"/>
  <c r="G308" i="1" s="1"/>
  <c r="H307" i="1"/>
  <c r="K308" i="1" l="1"/>
  <c r="G309" i="1" s="1"/>
  <c r="H308" i="1"/>
  <c r="R308" i="1" s="1"/>
  <c r="M304" i="1"/>
  <c r="P304" i="1"/>
  <c r="L305" i="1" s="1"/>
  <c r="P305" i="1" l="1"/>
  <c r="L306" i="1" s="1"/>
  <c r="M305" i="1"/>
  <c r="H309" i="1"/>
  <c r="K309" i="1"/>
  <c r="G310" i="1" s="1"/>
  <c r="K310" i="1" l="1"/>
  <c r="G311" i="1" s="1"/>
  <c r="H310" i="1"/>
  <c r="M306" i="1"/>
  <c r="P306" i="1"/>
  <c r="L307" i="1" s="1"/>
  <c r="M307" i="1" l="1"/>
  <c r="P307" i="1"/>
  <c r="L308" i="1" s="1"/>
  <c r="H311" i="1"/>
  <c r="K311" i="1"/>
  <c r="G312" i="1" s="1"/>
  <c r="H312" i="1" l="1"/>
  <c r="K312" i="1"/>
  <c r="G313" i="1" s="1"/>
  <c r="P308" i="1"/>
  <c r="L309" i="1" s="1"/>
  <c r="M308" i="1"/>
  <c r="S308" i="1" s="1"/>
  <c r="H313" i="1" l="1"/>
  <c r="K313" i="1"/>
  <c r="P309" i="1"/>
  <c r="L310" i="1" s="1"/>
  <c r="M309" i="1"/>
  <c r="I313" i="1" l="1"/>
  <c r="J319" i="1" s="1"/>
  <c r="G314" i="1"/>
  <c r="P310" i="1"/>
  <c r="L311" i="1" s="1"/>
  <c r="M310" i="1"/>
  <c r="P311" i="1" l="1"/>
  <c r="L312" i="1" s="1"/>
  <c r="M311" i="1"/>
  <c r="H314" i="1"/>
  <c r="K314" i="1"/>
  <c r="G315" i="1" s="1"/>
  <c r="H315" i="1" l="1"/>
  <c r="K315" i="1"/>
  <c r="G316" i="1" s="1"/>
  <c r="P312" i="1"/>
  <c r="L313" i="1" s="1"/>
  <c r="M312" i="1"/>
  <c r="K316" i="1" l="1"/>
  <c r="G317" i="1" s="1"/>
  <c r="H316" i="1"/>
  <c r="P313" i="1"/>
  <c r="N313" i="1" s="1"/>
  <c r="M313" i="1"/>
  <c r="L314" i="1" l="1"/>
  <c r="O319" i="1"/>
  <c r="K317" i="1"/>
  <c r="G318" i="1" s="1"/>
  <c r="H317" i="1"/>
  <c r="H318" i="1" l="1"/>
  <c r="R318" i="1" s="1"/>
  <c r="K318" i="1"/>
  <c r="G319" i="1" s="1"/>
  <c r="M314" i="1"/>
  <c r="P314" i="1"/>
  <c r="L315" i="1" s="1"/>
  <c r="P315" i="1" l="1"/>
  <c r="L316" i="1" s="1"/>
  <c r="M315" i="1"/>
  <c r="H319" i="1"/>
  <c r="K319" i="1"/>
  <c r="G320" i="1" s="1"/>
  <c r="P316" i="1" l="1"/>
  <c r="L317" i="1" s="1"/>
  <c r="M316" i="1"/>
  <c r="H320" i="1"/>
  <c r="K320" i="1"/>
  <c r="G321" i="1" s="1"/>
  <c r="P317" i="1" l="1"/>
  <c r="L318" i="1" s="1"/>
  <c r="M317" i="1"/>
  <c r="K321" i="1"/>
  <c r="G322" i="1" s="1"/>
  <c r="H321" i="1"/>
  <c r="H322" i="1" l="1"/>
  <c r="K322" i="1"/>
  <c r="G323" i="1" s="1"/>
  <c r="M318" i="1"/>
  <c r="S318" i="1" s="1"/>
  <c r="P318" i="1"/>
  <c r="L319" i="1" s="1"/>
  <c r="P319" i="1" l="1"/>
  <c r="L320" i="1" s="1"/>
  <c r="M319" i="1"/>
  <c r="K323" i="1"/>
  <c r="H323" i="1"/>
  <c r="I323" i="1" l="1"/>
  <c r="J329" i="1" s="1"/>
  <c r="G324" i="1"/>
  <c r="M320" i="1"/>
  <c r="P320" i="1"/>
  <c r="L321" i="1" s="1"/>
  <c r="M321" i="1" l="1"/>
  <c r="P321" i="1"/>
  <c r="L322" i="1" s="1"/>
  <c r="K324" i="1"/>
  <c r="G325" i="1" s="1"/>
  <c r="H324" i="1"/>
  <c r="M322" i="1" l="1"/>
  <c r="P322" i="1"/>
  <c r="L323" i="1" s="1"/>
  <c r="K325" i="1"/>
  <c r="G326" i="1" s="1"/>
  <c r="H325" i="1"/>
  <c r="M323" i="1" l="1"/>
  <c r="P323" i="1"/>
  <c r="N323" i="1" s="1"/>
  <c r="K326" i="1"/>
  <c r="G327" i="1" s="1"/>
  <c r="H326" i="1"/>
  <c r="L324" i="1" l="1"/>
  <c r="O329" i="1"/>
  <c r="K327" i="1"/>
  <c r="G328" i="1" s="1"/>
  <c r="H327" i="1"/>
  <c r="K328" i="1" l="1"/>
  <c r="G329" i="1" s="1"/>
  <c r="H328" i="1"/>
  <c r="R328" i="1" s="1"/>
  <c r="M324" i="1"/>
  <c r="P324" i="1"/>
  <c r="L325" i="1" s="1"/>
  <c r="K329" i="1" l="1"/>
  <c r="G330" i="1" s="1"/>
  <c r="H329" i="1"/>
  <c r="P325" i="1"/>
  <c r="L326" i="1" s="1"/>
  <c r="M325" i="1"/>
  <c r="P326" i="1" l="1"/>
  <c r="L327" i="1" s="1"/>
  <c r="M326" i="1"/>
  <c r="K330" i="1"/>
  <c r="G331" i="1" s="1"/>
  <c r="H330" i="1"/>
  <c r="H331" i="1" l="1"/>
  <c r="K331" i="1"/>
  <c r="G332" i="1" s="1"/>
  <c r="P327" i="1"/>
  <c r="L328" i="1" s="1"/>
  <c r="M327" i="1"/>
  <c r="K332" i="1" l="1"/>
  <c r="G333" i="1" s="1"/>
  <c r="H332" i="1"/>
  <c r="M328" i="1"/>
  <c r="S328" i="1" s="1"/>
  <c r="P328" i="1"/>
  <c r="L329" i="1" s="1"/>
  <c r="M329" i="1" l="1"/>
  <c r="P329" i="1"/>
  <c r="L330" i="1" s="1"/>
  <c r="H333" i="1"/>
  <c r="K333" i="1"/>
  <c r="I333" i="1" l="1"/>
  <c r="J339" i="1" s="1"/>
  <c r="G334" i="1"/>
  <c r="P330" i="1"/>
  <c r="L331" i="1" s="1"/>
  <c r="M330" i="1"/>
  <c r="P331" i="1" l="1"/>
  <c r="L332" i="1" s="1"/>
  <c r="M331" i="1"/>
  <c r="H334" i="1"/>
  <c r="K334" i="1"/>
  <c r="G335" i="1" s="1"/>
  <c r="H335" i="1" l="1"/>
  <c r="K335" i="1"/>
  <c r="G336" i="1" s="1"/>
  <c r="P332" i="1"/>
  <c r="L333" i="1" s="1"/>
  <c r="M332" i="1"/>
  <c r="H336" i="1" l="1"/>
  <c r="K336" i="1"/>
  <c r="G337" i="1" s="1"/>
  <c r="P333" i="1"/>
  <c r="N333" i="1" s="1"/>
  <c r="M333" i="1"/>
  <c r="H337" i="1" l="1"/>
  <c r="K337" i="1"/>
  <c r="G338" i="1" s="1"/>
  <c r="L334" i="1"/>
  <c r="O339" i="1"/>
  <c r="K338" i="1" l="1"/>
  <c r="G339" i="1" s="1"/>
  <c r="H338" i="1"/>
  <c r="R338" i="1" s="1"/>
  <c r="M334" i="1"/>
  <c r="P334" i="1"/>
  <c r="L335" i="1" s="1"/>
  <c r="H339" i="1" l="1"/>
  <c r="K339" i="1"/>
  <c r="G340" i="1" s="1"/>
  <c r="P335" i="1"/>
  <c r="L336" i="1" s="1"/>
  <c r="M335" i="1"/>
  <c r="K340" i="1" l="1"/>
  <c r="G341" i="1" s="1"/>
  <c r="H340" i="1"/>
  <c r="P336" i="1"/>
  <c r="L337" i="1" s="1"/>
  <c r="M336" i="1"/>
  <c r="P337" i="1" l="1"/>
  <c r="L338" i="1" s="1"/>
  <c r="M337" i="1"/>
  <c r="K341" i="1"/>
  <c r="G342" i="1" s="1"/>
  <c r="H341" i="1"/>
  <c r="H342" i="1" l="1"/>
  <c r="K342" i="1"/>
  <c r="G343" i="1" s="1"/>
  <c r="M338" i="1"/>
  <c r="S338" i="1" s="1"/>
  <c r="P338" i="1"/>
  <c r="L339" i="1" s="1"/>
  <c r="P339" i="1" l="1"/>
  <c r="L340" i="1" s="1"/>
  <c r="M339" i="1"/>
  <c r="K343" i="1"/>
  <c r="H343" i="1"/>
  <c r="I343" i="1" l="1"/>
  <c r="J349" i="1" s="1"/>
  <c r="G344" i="1"/>
  <c r="P340" i="1"/>
  <c r="L341" i="1" s="1"/>
  <c r="M340" i="1"/>
  <c r="P341" i="1" l="1"/>
  <c r="L342" i="1" s="1"/>
  <c r="M341" i="1"/>
  <c r="H344" i="1"/>
  <c r="K344" i="1"/>
  <c r="G345" i="1" s="1"/>
  <c r="P342" i="1" l="1"/>
  <c r="L343" i="1" s="1"/>
  <c r="M342" i="1"/>
  <c r="K345" i="1"/>
  <c r="G346" i="1" s="1"/>
  <c r="H345" i="1"/>
  <c r="K346" i="1" l="1"/>
  <c r="G347" i="1" s="1"/>
  <c r="H346" i="1"/>
  <c r="P343" i="1"/>
  <c r="N343" i="1" s="1"/>
  <c r="M343" i="1"/>
  <c r="L344" i="1" l="1"/>
  <c r="O349" i="1"/>
  <c r="K347" i="1"/>
  <c r="G348" i="1" s="1"/>
  <c r="H347" i="1"/>
  <c r="K348" i="1" l="1"/>
  <c r="G349" i="1" s="1"/>
  <c r="H348" i="1"/>
  <c r="R348" i="1" s="1"/>
  <c r="P344" i="1"/>
  <c r="L345" i="1" s="1"/>
  <c r="M344" i="1"/>
  <c r="M345" i="1" l="1"/>
  <c r="P345" i="1"/>
  <c r="L346" i="1" s="1"/>
  <c r="K349" i="1"/>
  <c r="G350" i="1" s="1"/>
  <c r="H349" i="1"/>
  <c r="H350" i="1" l="1"/>
  <c r="K350" i="1"/>
  <c r="G351" i="1" s="1"/>
  <c r="M346" i="1"/>
  <c r="P346" i="1"/>
  <c r="L347" i="1" s="1"/>
  <c r="P347" i="1" l="1"/>
  <c r="L348" i="1" s="1"/>
  <c r="M347" i="1"/>
  <c r="K351" i="1"/>
  <c r="G352" i="1" s="1"/>
  <c r="H351" i="1"/>
  <c r="K352" i="1" l="1"/>
  <c r="G353" i="1" s="1"/>
  <c r="H352" i="1"/>
  <c r="P348" i="1"/>
  <c r="L349" i="1" s="1"/>
  <c r="M348" i="1"/>
  <c r="S348" i="1" s="1"/>
  <c r="M349" i="1" l="1"/>
  <c r="P349" i="1"/>
  <c r="L350" i="1" s="1"/>
  <c r="H353" i="1"/>
  <c r="K353" i="1"/>
  <c r="I353" i="1" l="1"/>
  <c r="J359" i="1" s="1"/>
  <c r="G354" i="1"/>
  <c r="P350" i="1"/>
  <c r="L351" i="1" s="1"/>
  <c r="M350" i="1"/>
  <c r="M351" i="1" l="1"/>
  <c r="P351" i="1"/>
  <c r="L352" i="1" s="1"/>
  <c r="K354" i="1"/>
  <c r="G355" i="1" s="1"/>
  <c r="H354" i="1"/>
  <c r="P352" i="1" l="1"/>
  <c r="L353" i="1" s="1"/>
  <c r="M352" i="1"/>
  <c r="K355" i="1"/>
  <c r="G356" i="1" s="1"/>
  <c r="H355" i="1"/>
  <c r="H356" i="1" l="1"/>
  <c r="K356" i="1"/>
  <c r="G357" i="1" s="1"/>
  <c r="M353" i="1"/>
  <c r="P353" i="1"/>
  <c r="N353" i="1" s="1"/>
  <c r="L354" i="1" l="1"/>
  <c r="O359" i="1"/>
  <c r="H357" i="1"/>
  <c r="K357" i="1"/>
  <c r="G358" i="1" s="1"/>
  <c r="M354" i="1" l="1"/>
  <c r="P354" i="1"/>
  <c r="L355" i="1" s="1"/>
  <c r="H358" i="1"/>
  <c r="R358" i="1" s="1"/>
  <c r="K358" i="1"/>
  <c r="G359" i="1" s="1"/>
  <c r="H359" i="1" l="1"/>
  <c r="K359" i="1"/>
  <c r="G360" i="1" s="1"/>
  <c r="M355" i="1"/>
  <c r="P355" i="1"/>
  <c r="L356" i="1" s="1"/>
  <c r="M356" i="1" l="1"/>
  <c r="P356" i="1"/>
  <c r="L357" i="1" s="1"/>
  <c r="H360" i="1"/>
  <c r="K360" i="1"/>
  <c r="G361" i="1" s="1"/>
  <c r="K361" i="1" l="1"/>
  <c r="G362" i="1" s="1"/>
  <c r="H361" i="1"/>
  <c r="P357" i="1"/>
  <c r="L358" i="1" s="1"/>
  <c r="M357" i="1"/>
  <c r="H362" i="1" l="1"/>
  <c r="K362" i="1"/>
  <c r="G363" i="1" s="1"/>
  <c r="P358" i="1"/>
  <c r="L359" i="1" s="1"/>
  <c r="M358" i="1"/>
  <c r="S358" i="1" s="1"/>
  <c r="P359" i="1" l="1"/>
  <c r="L360" i="1" s="1"/>
  <c r="M359" i="1"/>
  <c r="H363" i="1"/>
  <c r="K363" i="1"/>
  <c r="M360" i="1" l="1"/>
  <c r="P360" i="1"/>
  <c r="L361" i="1" s="1"/>
  <c r="I363" i="1"/>
  <c r="G364" i="1"/>
  <c r="K364" i="1" l="1"/>
  <c r="G365" i="1" s="1"/>
  <c r="H364" i="1"/>
  <c r="P361" i="1"/>
  <c r="L362" i="1" s="1"/>
  <c r="M361" i="1"/>
  <c r="M362" i="1" l="1"/>
  <c r="P362" i="1"/>
  <c r="L363" i="1" s="1"/>
  <c r="K365" i="1"/>
  <c r="G366" i="1" s="1"/>
  <c r="H365" i="1"/>
  <c r="M363" i="1" l="1"/>
  <c r="P363" i="1"/>
  <c r="N363" i="1" s="1"/>
  <c r="H366" i="1"/>
  <c r="K366" i="1"/>
  <c r="G367" i="1" s="1"/>
  <c r="K367" i="1" l="1"/>
  <c r="G368" i="1" s="1"/>
  <c r="H367" i="1"/>
  <c r="L364" i="1"/>
  <c r="M364" i="1" l="1"/>
  <c r="P364" i="1"/>
  <c r="L365" i="1" s="1"/>
  <c r="K368" i="1"/>
  <c r="H368" i="1"/>
  <c r="H370" i="1" l="1"/>
  <c r="R368" i="1"/>
  <c r="H371" i="1" s="1"/>
  <c r="H372" i="1" s="1"/>
  <c r="M365" i="1"/>
  <c r="P365" i="1"/>
  <c r="L366" i="1" s="1"/>
  <c r="M366" i="1" l="1"/>
  <c r="P366" i="1"/>
  <c r="L367" i="1" s="1"/>
  <c r="M367" i="1" l="1"/>
  <c r="P367" i="1"/>
  <c r="L368" i="1" s="1"/>
  <c r="P368" i="1" l="1"/>
  <c r="M368" i="1"/>
  <c r="M370" i="1" l="1"/>
  <c r="S368" i="1"/>
  <c r="M371" i="1" s="1"/>
  <c r="M372" i="1" s="1"/>
</calcChain>
</file>

<file path=xl/sharedStrings.xml><?xml version="1.0" encoding="utf-8"?>
<sst xmlns="http://schemas.openxmlformats.org/spreadsheetml/2006/main" count="92" uniqueCount="67">
  <si>
    <t>Daily average demand:</t>
  </si>
  <si>
    <t>Daily standard deviation of demand:</t>
  </si>
  <si>
    <t>Review period (in days):</t>
  </si>
  <si>
    <t>Lead time (in days):</t>
  </si>
  <si>
    <t>Day</t>
  </si>
  <si>
    <t>Beginning Inventory</t>
  </si>
  <si>
    <t>Demand</t>
  </si>
  <si>
    <t>Units Ordered</t>
  </si>
  <si>
    <t>Units Received</t>
  </si>
  <si>
    <t>Ending Inventory</t>
  </si>
  <si>
    <t>Units Stocked Out</t>
  </si>
  <si>
    <t>Desired cycle service level:</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</si>
  <si>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</si>
  <si>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</si>
  <si>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</si>
  <si>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</si>
  <si>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</si>
  <si>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</si>
  <si>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</si>
  <si>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</si>
  <si>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</si>
  <si>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</si>
  <si>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</si>
  <si>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</si>
  <si>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163be6cb-8a07-41ab-9b63-a1b7db98e7e4</t>
  </si>
  <si>
    <t>CB_Block_0</t>
  </si>
  <si>
    <t>Decisioneering:7.0.0.0</t>
  </si>
  <si>
    <t>7e6625b7-14ca-41da-9d4c-05ce3b892861</t>
  </si>
  <si>
    <t>CB_Block_7.0.0.0:1</t>
  </si>
  <si>
    <t>CB_Block_7.0.0.0:15</t>
  </si>
  <si>
    <t>CB_Block_7.0.0.0:14</t>
  </si>
  <si>
    <t>CB_Block_7.0.0.0:13</t>
  </si>
  <si>
    <t>CB_Block_7.0.0.0:12</t>
  </si>
  <si>
    <t>CB_Block_7.0.0.0:11</t>
  </si>
  <si>
    <t>CB_Block_7.0.0.0:10</t>
  </si>
  <si>
    <t>CB_Block_7.0.0.0:9</t>
  </si>
  <si>
    <t>CB_Block_7.0.0.0:8</t>
  </si>
  <si>
    <t>CB_Block_7.0.0.0:7</t>
  </si>
  <si>
    <t>CB_Block_7.0.0.0:6</t>
  </si>
  <si>
    <t>CB_Block_7.0.0.0:5</t>
  </si>
  <si>
    <t>CB_Block_7.0.0.0:4</t>
  </si>
  <si>
    <t>CB_Block_7.0.0.0:3</t>
  </si>
  <si>
    <t>CB_Block_7.0.0.0:2</t>
  </si>
  <si>
    <t>Order-Up-To Level Considers Review Period and Lead Time</t>
  </si>
  <si>
    <t>Order-Up-To Level Considers Only Review Period</t>
  </si>
  <si>
    <t>Beginning Inventory:</t>
  </si>
  <si>
    <t>Integer Demand</t>
  </si>
  <si>
    <t>Total Stockouts:</t>
  </si>
  <si>
    <t>㜸〱敤㕣㕢㡣㈴㔵ㄹ敥慡改敡改敡㤹搹ㄹ㜶㜶ㄷ㤶敢㜰扦捣摡散㉣扢〲攲扡捣㠵扤戱㤷㘱㘷㜶㤱㈰㌶㌵摤愷㘶㙡户慢㝡愸慡㥥摤㐱㤴㐵ㄱ㐴㌱〶㝣㔰㄰㠵㄰㠳晡愰〹㍥㄰㔰㝣㌰㌱搱ㄸ㈰㍥㄰ㄳㄳ㑤㤰ㄸ㝤搰㤸㑤㠸〹㈶㈴昸㝤愷慡扡慢扢愷㙢㠶〶㜴㌰㔳扢晤敦愹㜳㍦攷扦㥥晦㍦戵㈹㈵㤵㑡扤㡢㠷晦昲㐹㌳㜱晥搴愲攷ぢ㍢㍦㕥㈹㤷㐵搱户㉡㡥㤷ㅦ㜵㕤㘳昱㠰攵昹㕤愸㤰㈹㔸㈸昷戴㠲㘷摤㉢戲㠵〵攱㝡愸愴愵㔲搹慣慥愲㥣㥤昰㌷㄰扤攸㙣搵㥢〶㤸ㅥㅦ㍢㍣㜳ㅣ扤㑥昹ㄵ㔷㙣ㄹ㍡ㄶ戴摤㌹㌲㤲挷㥦敤摢㙦挸㙦摤㌲㌴㕥㉤晢㔵㔷散㜴㐴搵㜷㡤昲㤶愱挹敡㑣搹㉡摥㉡ㄶ愷㉢㈷㠴戳㔳捣㙣扤㙥挶搸㝥挳挸昶ㅤ㍢捣ㅢ㙦扣愱ㄷ㐳愷づ㡤㡦㑤扡挲昴㍥愰㍥㌵㑥㜹晢㠴㈸㕡㕣㥢㄰慥攵捣收挷挷昰㌷㌶㝦扣㕤㥦㥦㥡ㄳ挲攷搰挲ㄵ㑥㔱㜸㍡ㅡ昶搸愳㥥㔷戵攷戹㜹扡扤ㅢ㑢㉤ㅡ㥥慦搹攳愲㕣搶敤愸搷慣㝤ㄸ㝢㔷㌶ㄶ㝢敤㈹攱㜸㤶㙦㉤㔸晥㘲挶㥥㐶㐷愵㍥晢愸㈷㡥ㄸ捥慣㌸㘴搸㐲戳昷㔴慤㔲㍡㜸㔲㕤㔷㐶㕤挴㈷㈶㤷㥦ㅦ昵散昱㌹挳㤵㌳昲戸㌱〹㜵㜷扢挵挶扡㤷戶敦㤷㔳㤷㈳戰捦换摢搷㐳挹㌱挳慤搵ㅣ㙥㕦㌳㕣㝣攳っ慥㙤㕦㍦戶㐷㡤㙤慥㙥摦㐶㙥㘵㘳㙤愵㈷愴㙦戹愳㔸㡣㥥㈱攸㈶挸ㄲ㄰㠱㝡㡥愰㠷愰ㄷ㐰㐹扦〵㉥㠹㌷㘴㤱㕡㌰搴挲㡣㕡㈸慡㠵㤲㕡㄰㙡挱㔴ぢ戳㙡㘱㑥㉤㔸㙡攱戸㕡㌸㠱㍡搱㤳敤敥㔶挳攷摦晢㝦㌰晡昴扦昶敦㝤昴昵㡦扤昶挷户㝥㝣㘷敦㍡㔴扡㉤㥣搴㠴㙢㥣〴愹搵愹㜸㕢㝥㉢晦㉣捦ㄵ㘰ち㜳㠷㜹扤㌹㌲㔲摡戱搵戸捥搰戸慣〴攴㌷㄰捡〰敡昶㥡户㕢㑥愹㜲㔲攲敥晣㌱挳ㄳ昵㡤ㅢづ换挶㉡㔵愷攴㥤户㜴攱㤴㙦昸攲摣收戲㝡㈷㉤捤愶挰㔶挲㤳攳㕤搸摣散㤸㔱慥㡡搱㔳㔶㔰㝣㐱㔳戱㍤改㔶㘶摡㤷敥㜶挵㍤戵搲㤶ㄹ㡤㐲愸㉤挸扥㕢㔶ㄹㄴ〵昳ㅡㅡ㥦慢㜸挲㤱搳ㅢ戶㈷慤攲〹攱㑥〹㡡㐴㔱㤲㑢摤挸愲㤰敢㠷て㍢㔸㈸戸戵㜴㐹㍣搷扣攵㤴て㘶ㄶ㈵捣㜷㕥戸晥攲戴㌱㔳ㄶ㥢ㅡ慡〴㘳愲㘰㜳㐳昶敥㑡戱敡㡤㔷ㅣ摦慤㤴ㅢ㑢㐶㑢ぢ〶㈴㑤改㘰愵㈴搲改㤴ㄴち㄰戸㕤㕤㡡㤲扡愶㍤㉦㐸㐴挴㔰㑣㐶㍥愷㤱散昲㐷戰㍡慣愲㉣㐸㤳敡㘵换㜴挶昹㑡ㄹ㤳挰㠱戱㌵㔱㝦㜰搰慢㤶改戶㠶戹て户戲慡づ㠶慢扦㘵㐱㌸晥㕥挳㈹㤵㠵㥢愸晤ㄴ捥㐸敦〷搰捥㐰㈰戴摤㍤慡㍡攵㤴戲愸㥤戴㑡晥㕣㘶㑥㔸戳㜳㍥昲愰㈱戳㔹㙥㙤换愳㥦㠵㉣㝤㍤挱㈰㐰㉥㤷捡㙣㘰愵㑣づ㑦㑡愳㜴㑡攰攵〶㐱捥㜶つ扣摣㙢敥戶捡扥〸㠴㜲扦〹㡣〴㕡㑤愲慦㡦㈴敡ㅡ挵㐰㘱㙣㌰挷㐱愵㠶攵昸㡢㜵扥㙤攱㤲㠰㠸搶㘴挱慡㤳〵ㄴ〵㡤昲㈰㠱搷㐰㌴㑤搲㈰戹㜲㡣㠸挸〶〹㥡ㅤ㍤㌷ㄲㄹ敢㈷挸〸搴㡦ㄳ㈱㙢㙦㙤㉦㈳㐸散慤㐴捡㐶㙤昹㜱㑤㥡㉤㘵换〷搲㙣㈳㌶㑥摦㐴㜰㌶挱㌹〴㥢〱㤴扦㐲挲㔱捡㈱摤昸攸攷攱㕤㍦㥦攰〲〰挸㈷㥤㌲㈷ㄴ㔵戴愱㔶㘲㐷戲㕥ㅦ散㘴㘹ㄴ〷愲㠸㤶㜱捤捥散戳㈵愲㐳慢㜳㜵攸摡戴搴戱㔷戴愷捤昸㜲㐸㤱〹㔵攳㙢㕤愶㙡㝣㈳㔸戵㐳扤㜵ㄱ㥡敡㐳〴ㄷ〳〴㡡㠵挶敥捡慣㜹㥡㤳ㅦ〹㤳㈸㌰㠴㍡㔴敥㈱ㄱ搳晣㑦㄰㜰㉤㐷㤷㌵晢㤹愶攰戰昹㤱户㥦户戴攷敤㄰改㑤㍡㜳㑤攷搰㔷昴ㅥ㉤攸㑢挰㕥捡㥦摡敡㤷换㔰慣㕦㑥㜰〵㐰㤳㝥攱挹晢扤㝡〹愴㐹㙣挷㌰户㥥ㅥㄷ㘹攱㑥㉦捥ぢ愹㝤㝡捤㘹挳㥤ㄵ㍥扣ㄷ晢㈶㘰〷㔷㕣㔷㤴㜱愰㉤挹っ㥥㕤捥㙥捣昴㜶扢ㄵ㥢昹㙢昶戱昷㤱㔰っ改戴摡㤵㙡戲㡦ㄳ散捣㤸扦㈹㐶㌹搴扦搷戵ㄷㄲ戱㐶㡤攴挵㜶挹㘷换㌵㐹搲㠱㈴戹ち摢慡㕦つ〰㈹愱晣扥慤㐴ㄹ㘶戵㉤戲㕡愳戵㑡敦㕥挲挹愴挹㝦搸㈲㐷㝡〲㘷敤ㄸ㝣〷㕥㥦㍤㘵搹㌵㘱搱㘳㑦ち户〸扦㠲㔵ㄶ戹挰㈵㑢㔱戳㈶㉢㍥㈲戲愲慢慢攵㉣㥤攰㕢㤳㜴搲㈴㈵ㄲ戹㍤戱㌰攱ㅣ㕥㈷㉡扡㈰㈹㔴ㄲ摣㐲㌵〹㐴捡㘳摤㌵ㄱ搳㠱㠸挹㘳攳昴㙢〹戶ㄲ㡣〰㘸慦㐱搲慣㜴攳ㄹち敢㕥愰㍢扢㔰㐸㘵㠹〶改ㅥ㝣戵慤戰摡捥㘱㜶㄰㝣ㅣ愰挹晣愱昳㌱㠱㄰㈵捡㘳㠴㐸㙢㐹㌷㡦㔹攲㈴㘹㘰㥤㠹愰搲㜸搵昳㉢㌶愳㑡㝤收㐴攵㔰挵㥦戰扣㜹㐴愱〶捤㌰㜱晢㥣㜰㐰㕤㉥㙣㥦愶扣捡晣扣㈸改收㔴愵ち搱戶㙦㘲㌵ㅣ捡戱㍥搸㤲昲㕣慥㉡㜸㍡㍢ㅢ愳ぢ㐵㥥㠸攱㙢愵㈷㜶㐵㥥㙦ㅥ晡晡敢㍢㍡㙤昹㘵搱㘳〶㑣挷㜴搶挴㉥㈲㙡㔰敡㌶愷攷㕣㈱㈶晡捣㍤慥㔵㉡㕢㡥㈰㌲㘰㘳㌲㔰㜷㐰捣㈲㐲㌰㔹㘱晣慦攲昴㤹搳慥攱㜸昳〶㠳㠹㡢敢ㅢ摥㘴㐸㐴㌳挷㉣挷挳㌰ㄲ㡢㑣昷㥢㔳㜳㤵㤳㠸搶㔶㙤㘷㡦㌱敦慤ち慣㤰攸㠳㐷愲㐶㔱ㄵ㔵㔵戲㙡戶㔳晣昰㐰㥥㑡㙤挳㉦㑤㈰㜱㤵搲攸㉦㑦搰摥戴敢挳昸っ敤㜴捥愹ㄷ㤱愳㕡㘶㔷愲ㄴ㈶愷敡㌷戰捤㡤〰晢昷ㅣ摤㔷㡦捡扤慦㜸戵㐶て㝦㠲㡣㤷㘴㔱ぢ㠲搰㍦户㉥㈰ㄵ收㤱㜲挰㠱挰㌸摦㥡挹㉦㘷捡㍡愴扥㜵昵攴㙥㐴㤱㝡捤〳挶㡣㈸㈳ㄶ㙤ㅢ晥扡攰㠵㘶慣㙤㤴扤戰㙣扣㘲摢〶㐹㡢㘴㌹㔵㌴㐸挱愳㔵扦㜲搰㜲㜴ㄳ㐰搲㕦㤸㘵㥣㐲㤶㜱㑡㘶昵㥡㐷ㄸㄶ㤴㘹昶㔵㤹㌵㕣换㥦戳慤㘲㤶㉦っ摤慤ち㥡〴㤳㔳昲㐶㑦㈴㌳㠶㥡慣昹愳㌰搹扣㍣搰㥤㠷ㅣ攵搶ㄱ晤愰㕣㔵挹攰㡦搲愱㘳〹〲㐶㝡㐹昵㥢搰㥢㈶㙦㐶㐰攴挸攷㑣㜴晦攲捣晤挸〹晣㜲挴㝡〲㠹挰㈳ㄸㄳ昲㜴㙦㘷捣愳㡥攵〳㝢挴搸㙥换㥦昰㠰㜲〰㈴攵昱昶㕣㠹搵㔸愳攱㥡㔶戸愸戵愸㐱㑤㕣搸㕡ㅥ搷ㅢ㤷㉤㔱ㅣ㘸㤴㤸㈲㔹慥㤲搴㉣㑢捣㜱㌵愹ㅡ㐵㉡敥㐸摢㈸㐹㙥搳晡扥㔳㡡扣て挵㈴㘹㈶愵敦㤴㠴㠲㈰㉦愹〳㍡㡡晥晡㘴昲㠸㐵㙢㘸〳攴愸愷㠲扣扥㌰ㅣ戸て㔷㑥㑡㈲ㄷ扥㠱扦搷㠵挹挳㔵扦愱挴㌸㌵ㄸ㤶㡣㤶换㠷ㅤ㔸〹㐵挳㉤慤ㄲ㤶挶摡〲つ㈳戹戳㔳敤ㅦ㙣㙦㡣ㄱ㐳㌶㘴㐸㈴挱てっ㌶〴㜳挵愲愹戴捥晡戸搵戵散㉣摦づち挳㤱ㄸ㤸昲㑢ㄳ㘲㐱㥡㘱㜵㑢㝥㔰㌶愸㥤ㄶ愵ㅣ搵捤搱ㄹて㉡摤愷ㅣて㔳㤲挱㜵昳〸摤㔲戸挰〰戱ㅢ愶㈶㡢㍥挲扡戵づ㜸㌲㔸㍤搸挱㡥〴㘱ㄳ㕡㘷㤴愰㤹〴挲㙤㕣〴㜹愷㐳㡣㐲㤰㥡昲昹攷㉥攵挹㈷昸晣㘸㔷㉡㑡㠴㑣挴㔰㔷㠲昵〰攴挶愳㤲攴愲挱㈸㔸ㅥ㐸㌶㈹戴㝡愳㍣㥡ㄸ㝤㌴昹㕣ㅦ㌷㜸ㄸ挷敡㈷摢㤴㜱挷捤户愰㑤换㡢敢捣㝤㑥戱㕣㉤〹愹㡡㈳㔹㉤㌵昲慡挰㤷扣晥ㄷ㜰㔳挲扥㠴㥢戲て㐷㈹㉥㤹㐸敡摣敥搶㍦㠵收㔲挸愱㡦㐰戶㌱昸㤸攰㤶㤳挱戰㤶㍢ち戴て搷搷㉦㉦挸㡢㜳㄰㘹㉤㔹㤴㘵〷㜰ㄷ慦ㄶ㐱㤶摣ㄶ慢㜶愰㜲愰㐲㥢㍤㤶戵搷ち戲㔶〵㡥戰捥㐰攰㘵㌲㌰㐶㍡攴づ㜶㤲㍡ㄳ㐶㜶捦摣㉦㕦㔳㘷㜶㠵挶㠷挲昸㉥㑦㐱㈹散㉡ㄸ㠹〶户㕡户扡ㄵ㐶㝥㘹㜹敢㌷〳㈸っ〱搳愰㐵捤挰挰ㄹ㐳㝡㜹〳㠷挱挸㠴攸㘸㍣㤰捡ㄸ攵㈰ㅣ昶㐰ㅡ戸㠹〷改改ち㤴㤰扦㐱㕥ち㡢敥㈵づ摢㌸〲㔵摣㑤㑤㤹㤳㠶㡦慢㉦捥收愶散搱㔲㠹收㉥晣㜳慢〲慢戸戶ㄱ㤸愳ㅢ㥡㉥㘴挹㌵搱扥扢戴愹㈰扣㈸戸㙤㈲扦搷昰㡢㜳㔳晥㘲㜰㘹慢㔳㤲搰㝥〱㝦挴㤲愳搳㘶㑥㍢扣㠴扡挰扤捦㥤㜰㉡㈷ㅤ㌹㉦捤攳㡤㍦㕡戱㝡㜷㌷㈷㤹㑢扤㡢㍦昲㔱㔳摡换攸㜱㈵搳㘶〷㜵〷〹晢㤱㑦㈰つ㠶㤰㑥愰ㄳ搸敥戵ㅢ〳愴㤳つ㑤㜴㈲〵挱ㅡ愱㌸戳ㅦㄸ愱㈸㍦〷㕡㐹㉣挱㤱ㅣ㝢晥ㅣ㔸㕦昹ㄹ㜲㠸㜰扣㠷㘲㐴扢ㄸ愹〴搴㐹㐱ㅥ㕥敦攰㘵㤰晦ㅦ㉣㐵摣扣㈴㍢晤ㄷ㤸㔹㜹愹ㄹ㐵ㄷㄲ㐵㉦戶愲㠸㠱搸昷ㄴ昲收散搷㡥㥡ㅦ晡戵摥晦攱㔱㜳㍦㌰捣㐷㕡㘳〸慡㌱ㄸ㕦㌳〶搴ㄶ㘳攰㜲ㄴ㑢㘳攰㔶戶㘱扣㍥㌰〶㐲㙦挷㐱㘴㉣㙦っ㌰㡡㤷㘰昲挵㠲慡㌱〷〶捦㕡㥢㙣㝡挲昶攲㝡慤昰㄰戹㠷㝡昲挶攱㝢㍡扢㌵㝢搲㜰つ㝢戳捣摦攳ち愸㉤㜷ㅡ昷戵㘵ㄳ戶㌸㜷挹ㄲ搹㘸〹慦㐴攴㑦㕦昳㥣慣散㤶㍡㌰ㄵ㍣㠱愳㕥挹㉡㤹昷攱ㄳ㔱㜸㐲㐸㝤㙥挳㑦昶晣昹摥〷㜷昱㕥㕡㐸慢ㅡ〳挱㥤〴攷㘹㌹㈰㝣ㅢ扢ㄲ戲㤱㥦摦ㅣ挴㠷㐸搶㝣㔹㡣ㄹ慥戴㜷㍣摤㡥㤲〱攱挵〸㌳㈰扥搵㘰㑣攲㠶㐳㘰㑣收㥢ㅣ㥢昲昳㈵改っ捣挷㈶㉥扤㜷㔱㠰㔰㘹慢戲㍡戴㉢戵㥦㐲改扣挷㠹㌴摡㠳㍣㕦昲㔱㤴攷㥢戵摡づ㙡㌵㘹㈶㉡挳愸ㄱ㐹㈹㐴ㅡ㐸㈱昱㈳ぢ㐳晦㔲㑡㑤㈲愱攵〱ㄲ㘲㘸捤挱㕣㥥晣搷㠴㠰愸㕤敦敢昰㔳ㄵ散㈲戰ㄸ㜹摤㍢㍤扢搲敡㡣㔴ㄳ㠳戲昲昴㜱ㅢㄲ昲㤸挲っ㐶㘹㘵敥ㄱ㈴愲㐷ㅢ㐱㙡挵㡥㈷づ搲㘷〷㈱戶㠰戱㌵㥢㕥戵㥣㝤㡢㔳挵ㅤて攸㤹㡣㔴ㄸ捥㝡㘶攳攸㈹愳㜱㐱搵㕣㤰㐵搸ㅦ㈴㙢㡤㝡挲㈲攸㉣㘷㌳捥㥦〸昳昱㝢㈰㤶て搷扢摥搸㕣㐲ㅤ攷㜴㘳㠱晣挱晥扡㌰㠱戱㌱㉡㌹〶ㄲ㜶㐵戵戲挱㈵昰㈹㌴㤱昶扣愲搷㤳ㅣ㑢㔱ㄸ㡤㡥㌸慢慢㔵晦㌳㑥㉤㌹㙢㥡戵ㄹ戰㙥搰晦挷㤰戱慣晥㔷ㄸ㘵㤳㈸扢㍤㑣昰㐵㘳愴㘴搹攰っ㜷〴㍥㙣㠴㘹攴ㄱ㔸㤷㐹〶户㠳搴ㄴ㍥㔱つ㡡愵〴㠷㠷㉢摤㝣〹愲搶㤶戶㙤㑦㕢〱挸㈸㤰昶㐳㠸愰戶敤㌹改搶㜳㙣收づ㘴㙦㌸㘸ㄵ摤㡡㔷㌱晤愱㈹㠴㜷㠷昸㠵㤹〹㥢㘷㔴㜹慥㔹愸㕤㡡㥤攸扤ㄳ㙤づㅤ㠶挰㍥㈴晣て㉡敡挸ㄸ挲捡㘲ㄶ晣摡㘸㈰ㄶ㐸愲㜶昰捥㌲㙦慢ㅡ㘵㝣愰㝡ㄸ㕥㑤㥦㔹慢㐲搹〵扥攵收扢ㄸ摣㍡摣挶扡ㄵ㥥ㅦ㔱捥㈳っ㈶㤷㜰攷㕤摣搷收㍤㘸慣ㅢ慥捤㘳捤捥扣㙢㌹敤晢挰改捡㐶㘹㈴ㄹ㡥挹敦㡥㜳晡㕤㠴㠸昳搰㍢扡㜲㔷㉣㝢ㅢ〴㥤㠷㥦㙤搳攵㌵㕣㠶愳㙣〵㜱敥捦愲愹㜲㌳〱㝥㝡㈱㑣昰㐵愱㍦敦㈶㈶㥥挱戲挸〰㐸愷㌲〶㐰㝢慡晥摥㔲㔴慤昰㘸㐱㉡捣㈹摦㐵㌹㜷㈹㔸㙤㠹㜹㌸㙡挸㈳〴搲扡〰㠸ㅥ㠵㐷〸㌹晥㤳㘸㔰ㅢ㝦ㄶ戹敤挷晦昶㤲攳㔳昹换昵挵晢ㅦ㠸㤴㠷㝥ㅣ挵晡〹㠲㌲㠱つ㌰㄰改㤰㝥㡡㐵捡㥡㑣㄰㐴㜸㘹ㄷ搲㜸㝥ㄷ晥晢挶慥㔷㕦攱昳㡦㕤㡡ㄴ㠴㈸㙡㕣〵〵愱㕣挵㘳昱㔵捣㈳户晤㉡扥戱搴㉡〶㈸㈳㌹ㄳ摤〵攸敢㔲㐸㉢㜲㔵ㅥㄲ摣㔰晥ㄴ㠹㔰㈴ㅡ㘶㌱㐰挴捡戶㔵㈴搰㤶㍢㉦摢㉥㈰ㄱ戵ㅤ㠸戶㐷攳㡥㈴㝣换㈳つ㈵摥㝤愴晢㈶ㄳ昸㕦㌳㠱㝡捣摡愱攳㜵㔵〸〹慣㡤ㅦ挷戶㤵敤㤹づ㠳晡捡㈳ㄱ㠶昶敥㡤㍥㤴㔲挳㌰ㄳ㈸㈴㌰㑤㐹㔱摣㐸攵㉢㔱攵攷㕦愸㝢㐹㔱㠰〷㘴ㄴ㔴㈶攵挹捡て㐷㤵户攱㈳㉣㔹㈷挵㑢〳㝣摥㠸㉡㤳㐲㘵攵㠷愲捡㝦摦戶戹㔶㌹㈲挸愰㘷㡤搴㤲㘰昴捡㘳㐰散㠳㙣㥥慥㌵㤳㡡戴挷っ戲㈹㐲㘵戴戸㉣㔵㘹㉦敥㝦戸昸㈴晡〰慥㌳攱搶〷愴㙤昰㍦㈳散挳㌵愷〹挳㌷昰挵昳〲攲换慥㉥摦搸㌸㘳ㅥ㜶㤱搱㙤敥昳㜰戸㉡慤㉡ㄲ㠱㕤㤰づ昶㜷ㄹ㍦㝣㠲つ㔹摦㡦㈸㉥愶昲摡㐸㘷㕡㐴挶㔲搲捡㠳ㄱ㘶㔳愷敢㌴愳㝦ㅥ挸㠱扣〴㘴㐲晦〲㘰㄰㝢搹挰㡣〱ち〲挹攵愷㤱搰ㅦ㈰昸㈲㐰㑥㈱搷㤳づ㌲㕦〲攸㡦晥㕦㡡愱〵改㌸㔱㤵晢愲挱攲㘴愴㝦㤹つㅥ〲攸㠲挷㔶〹㠹㌰愷㍦㡣㥣昸愰㤴㈰㜲搰㐷㔸昰㔵㠲慦〱攴㌴㑥㜶挵扢挶㌵㜵愸挲ㅥ㐵㔳㠵㕢㈱〵摡搷挳〴㕦戴搳〰㌷戵㌷㥡㜹㈶㡥扥攳㐷㜴戳攱㠳晤㕢昰〱晥㈲ㄷ摤㠵晦㝦㐴㤳ㄶ㝥㕡晤㐴㘷㝤㤱〹㌴捥㠷㍦ㄷ㥢晤㍥晡攱扡敡挶㈶㝢晣㈴㝥㔹㌵愳㍣㠰㝦㑦攳愷摣㠳ㄱ㌸ち㔵㙥ㄶ晥ㄶ搲㠰㉣㤸てぢ愸扢昴挷〰ㄴ攲㤸㜸搲ㅦ攷ㅢ㔱换晥昵㙦㠶〹扥㈸挴敢㘹㈶捡㘱昳㘸㐰攲㕡ㄶ㥣㘸ㅡ㤰昸㤷〵挷攳〳㝥ぢ戹㡡㐴ㄶㄲ㡤敡㠹㐸㑢㌳昷〹㠰扥慥㝥捥㡤敡㑥㍤愵ㄴ敦㉥摤㝤昷摢晤改愱㜳搳㥦扥戹昷㠹㌷㝥晢收攳慦㝦㘶攷摦摥㜹敡愹搷晦昲昸㉢敦扣㍣戳昳搷捦㍥晢慢晤㑦扦昲收㝡昳ㄹ昵㠵户て㍣㜳摦挸㠹晢敥㌱㡦㕥戳攷扥㍢㡥摦㌶㌲㜹搶㜰㔷㔷㜷昷㤵㠳扦㌹攷慡㠱搳昷扣愸晣昲て㘷㍢㡡㕣㉥〷ㄴ〰搱㌳挰㘵换㘹㝣〷〹㑣㠳㌳晥㔰愷挱攵㥥挶㑦㈹㠵ㅢ㌵㠶㤷㉣㥣ㅢ㥣㠰㉣㈸㌶ㄶ昴晣〷㘷㑡戴挰</t>
  </si>
  <si>
    <t>㜸〱敤㕣㕢㙣ㅣ搵ㄹ摥ㄹ敦慣㜷搶㜶㙣攲〴〸㤷㘰敥ㄷ㐷㑢ㅣ㤲〲愵㘹昰㈵㌷㐸㘲ㄳ㍢愱㠸搲㘵扣㝢挶㥥㘴㘷搶捣捣㍡㌱愵㙤㘸㈹㤴㕥㠴愰㔲㑢㈸㙤ㄱ慡㔰晢㔲〹ㅥ㄰戴昴愱㔲愵㔶ㄵ㔴㝤㐰㤵㉡戵ㄲ㐵㔵晢搰慡㡡搴ㄷㅥ㤰攸昷㥤㤹搹㥤摤昵㡥捤〲慤愹㍣挹晥㌹㜳敥攷晣搷昳晦㘷㤲㔲㔲愹搴㝢㜸昸㉦㥦㌴ㄳ㤷㑣㉦㜹扥戰昳攳㤵㜲㔹ㄴ㝤慢攲㜸昹㔱搷㌵㤶づ㔹㥥摦㠵ち㤹㠲㠵㜲㑦㉢㜸搶㠳㈲㕢㔸ㄴ慥㠷㑡㕡㉡㤵捤敡㉡捡搹〹㝦〳搱㡢捥㔶扤㘹㠰㤹昱戱挹搹ㄳ攸㜵摡慦戸㘲摢搰昱愰敤敥㤱㤱㍣晥散摣㜹㑢㝥晢戶愱昱㙡搹慦扡㘲户㈳慡扥㙢㤴户つ㑤㔵㘷换㔶昱㑥戱㌴㔳㌹㈹㥣摤㘲㜶晢㑤戳挶捥㕢㐶㜶敥摡㘵摥㝡敢㉤扤ㄸ㍡㜵㘴㝣㙣捡ㄵ愶昷㈱昵愹㜱捡㍢㈷㐴搱攲摡㠴㜰㉤㘷㉥㍦㍥㠶扦戱昹攳敤收晣昴扣㄰㍥㠷ㄶ慥㜰㡡挲搳搱戰挷ㅥ昵扣慡扤挰捤搳敤㝤㔸㙡搱昰㝣捤ㅥㄷ攵戲㙥㐷扤㘶敤㐹散㕤搹㔸敡戵愷㠵攳㔹扥戵㘸昹㑢ㄹ㝢〶ㅤ㤵晡散㘳㥥㌸㙡㌸㜳攲㠸㘱ぢ捤摥㕦戵㑡改攰㐹㜵㕤ㅢ㜵ㄱ㥦㤸㕣㝥㝥搴戳挷攷つ㔷捥挸攳挶㈴搴摤攷ㄶㅢ敢㕥搹扥㕦㑥㕤㡥挰㍥慦㙥㕦て㈵挷つ户㔶㜳戸㝤捤㜰昱㡤㌳戸戱㝤晤搸ㅥ㌵戶戹扥㝤ㅢ戹㤵㡤戵㤵㥥㤰扥攵㡥㘲㌱㝡㠶愰㥢㈰㑢㐰〴敡㌹㠲ㅥ㠲㕥〰㈵晤㙦㜰㐹扣㈱㡢搴㠲愱ㄶ㘶搵㐲㔱㉤㤴搴㠲㔰ぢ愶㕡㤸㔳ぢ昳㙡挱㔲ぢ㈷搴挲㐹搴㠹㥥㙣㜷户ㅡ㍥㑦㥣摤㍣㜹挳㥦㑥敤晤㑥昵愵搷㥣慤㑦㥦敤摤㠰㑡㜷㠵㤳㥡㜰㡤㔳㈰戵㍡ㄵ敦挸㙦攷㥦㤵戹〲㑣㘱敥㌲㙦㌶㐷㐶㑡扢戶ㅢ㌷ㄹㅡ㤷㤵㠰晣〶㐲ㄹ㐰摤㕥昳㙥换㈹㔵㑥㐹摣㕤㌲㘶㜸愲扥㜱挳㘱搹㔸愵敡㤴扣㡢㤷㉦㥣昶つ㕦㕣搴㕣㔶敦愴愵搹㌴搸㑡㜸㜲扣慤捤捤㡥ㅢ攵慡ㄸ㍤㙤〵挵㤷㌶ㄵ摢㔳㙥㘵戶㝤改㍥㔷㍣㔰㉢㙤㤹搱㈸㠴摡愲散扢㘵㤵㐱㔱㌰慦愱昱昹㡡㈷ㅣ㌹扤㘱㝢捡㉡㥥ㄴ敥戴愰㐸ㄴ㈵戹搴捤㉣ち戹㝥㜸搲挱㐲挱慤愵㉢攲戹收摥搳㍥㤸㔹㤴㌰摦〵攱晡㑢㌳挶㙣㔹㥣摦㔰㈵ㄸㄳ〵㕢ㅡ戲昷㔵㡡㔵㙦扣攲昸㙥愵摣㔸㌲㕡㕡㌴㈰㘹㑡㠷㉢㈵㤱㑥愷愴㔰㠰挰敤敡㔲㤴搴つ敤㜹㐱㈲㈲㠶㘲㌲昲㠵㡤㘴㤷㍦㡡搵㘱ㄵ㘵㐱㥡㔴慦㕡愱㌳捥㔷捡㤸〴づ㡣慤㠹晡㠳㠳㕥户㐲户㌵捣㝤戴㤵㔵㜵㌰㕣晤摥㐵攱昸〷っ愷㔴ㄶ㙥愲昶㔳㌸㈳扤ㅦ㐰㍢〷㠱搰㜶昷愸敡㤴搳捡㤲㜶捡㉡昹昳㤹㜹㘱捤捤晢挸㠳㠶捣㘶戹戵㉤㡦㝥ㅥ戲昴㡤〴㠳〰戹㕣㉡戳㠹㤵㌲㌹㍣㈹㡤搲㈹㠱㤷ㅢ〴㌹摢㌵昰㜲慦戹捦㉡晢㈲㄰捡晤㈶㌰ㄲ㘸㌵㠹扥㍥㤲愸㙢ㄴ〳㠵戱挹ㅣ〷㤵ㅡ㤶攳㉦搵昹戶㠵㑢〲㈲㕡㤷〵㙢㑥ㄶ㔰ㄴ㌴捡㠳〴㕥〳搱㌴㐹㠳攴捡㌱㈲㈲ㅢ㈴㘸㜶昴摣㐸㘴慣㥦㈰㈳㔰㍦㑥㠴慣扤扤扤㡣㈰戱户ㄲ㈹ㅢ戵攵挷㜵㘹戶㥣㉤ㅦ㐸戳捤搸㌸晤㝣㠲ぢ〸㉥㈴搸〲愰晣つㄲ㡥㔲づ改挶㐷扦ㄸ敦晡㈵〴㤷〲㐰㍥改㤴㌹愱愸愲つ戵ㅡ㍢㤲昵晡㘰㈷㑢愳㌸㄰㐵戴㡣㙢㜶㘶㥦㉤ㄱㅤ㕡㥤㙢㐳搷愶愵㡥扤愶㍤㙤挶㤷㐳㡡㑣愸ㅡ㕦敢ち㔵攳ㅢ挱慡ㅤ敡慤换搰㔴ㅦ㈲戸ㅣ㈰㔰㉣㌴㜶㔷㘷捤搳㥣晣㔸㤸㐴㠱㈱搴愱㜲て㠹㤸收㝦㠲㠰㙢㌹扡慣摢捦㌴〵㠷捤㡦扤晤扣慤㍤㙦㠷㐸㙦搲㤹敢㍡㠷扥愲昷㘹㐱㕦〱昶㔲晥摣㔶扦㕣㠵㘲晤㙡㠲㙢〰㥡昴ぢ㑦摥敦搷㑢㈰㑤㘲㍢㠶戹㡤昴戸㐸ぢ㜷㘶㘹㐱㐸敤搳㙢捥ㄸ敥㥣昰攱扤㌸㌸〱㍢戸攲扡愲㡣〳㙤㐹㘶昰散㜲㐱㘳愶户捦慤搸捣㕦户㡦扤㡦㠵㘲㐸愷搵慥㔴㤳㝤㥣㘰㘷挶晣㑤㌱捡愱晥扤愹扤㤰㠸㌵㙡㈴㉦戶㑢㍥㕢慥㑢㤲づ㈴挹㜵搸㔶晤㝡〰㐸〹攵て㙤㈵捡㌰慢㙤㤳搵ㅡ慤㔵㝡昷ㄲ㑥㈶㑤晥挳ㄶ㌹搲ㄳ㌸㙢挷攰㍢昰晡散㘹换慥〹㡢ㅥ㝢㑡戸㐵昸ㄵ慣戲挸〵㉥㔹㡡㥡㜵㔹昱㌱㤱ㄵ㕤㕤㉤㘷改〴摦㥡愴㤳㈶㈹㤱挸敤㠹㠵〹攷昰㍡㔱搱〵㐹愱㤲攰ㄶ慡㐹㈰㔲ㅥ敢慥㡢㤸づ㐴㑣ㅥㅢ愷摦㐸戰㥤㘰〴㐰晢ㅤ㈴捤㙡㌷㥥愱戰敥㐵扡戳ぢ㠵㔴㤶㘸㤰敥挱㌷摡ち慢㥤ㅣ㘶ㄷ挱㈷〰㥡捣ㅦ㍡ㅦㄳ〸㔱愲㍣㐶㠸戴㤶㜴昳戸㈵㑥㤱〶㌶㤸〸㉡㡤㔷㍤扦㘲㌳慡搴㘷㑥㔴㡥㔴晣〹换㕢㐰ㄴ㙡搰っㄳ㜷捦ぢ〷搴攵挲昶㘹捡慢㉣㉣㠸㤲㙥㑥㔷慡㄰㙤〷㈷搶挲愱ㅣ敢㠳㉤㈹捦攵慡㠲愷戳戳㌱扡㔰攴㠹ㄸ扥㔶㝡㘲㔷攵昹收愱慦扦扥愳㌳㤶㕦ㄶ㍤㘶挰㜴㑣㘷㑤散㈲愲〶愵㙥㜳㘶摥ㄵ㘲愲捦摣敦㕡愵戲攵〸㈲〳㌶㈶〳㜵㠷挴ㅣ㈲〴㔳ㄵ挶晦㉡㑥㥦㌹攳ㅡ㡥户㘰㌰㤸戸戴戱攱㑤㠶㐴㌴㜳捣㜲㍣っ㈳戱挸㜴扦㌹㍤㕦㌹㠵㘸㙤搵㜶昶ㅢぢ摥㥡挰ち㠹㍥㜸㈴㙡ㄴ㔵㔱㔵㈵慢㘶㍢挵てて攴愹搴づ晣搲〴ㄲ㔷㈹㡤晥昲〴敤㑤扢㍥㡣捦搰㑥攷㥣㝡ㄱ㌹慡㘵㜶㈵㑡㘱㜲慡㝥ぢ摢摣ち㜰挷晥㘳〷敢㔱戹てㄴ慦搶攸攱㑦㤰昱㤲㉣㙡㐱㄰晡攷㌶〴愴挲㍣㔲づ㌸㄰ㄸ攷㕢㌳昹攵㑣㔹㠷搴户愱㥥摣㠷㈸㔲慦㜹挸㤸ㄵ㘵挴愲㙤挳摦㄰扣搰㡣戵㡤戲ㄷ㤶㡤㔷㙣摢㈰㘹㤱㉣愷㡢〶㈹㜸戴敡㔷づ㕢㡥㙥〲㐸晡ぢ戳㡣搳挸㌲㑥换慣㕥昳㈸挳㠲㌲捤扥㉡㜳㠶㙢昹昳戶㔵捣昲㠵愱扢㌵㐱㤳㘰㜲㑡摥攸㠹㘴挶㔰㤳㌵㝦っ㈶㥢㤷〷扡昳㤰愳摣㍡愲ㅦ㤴慢㉡ㄹ晣㔱㍡㜴㉣㐱挰㐸㉦愹㝥ㅢ㝡搳攴捤〸㠸ㅣ昹㥣㡢敥㕦㥣晢ㄲ㜲〲扦ㅣ戱㥥㐰㈲昰〸挶㠴㍣摤摢ㄹ昳㤸㘳昹挰ㅥ㌱戶捦昲㈷㍣愰ㅣ〰㐹㜹扣扤㐸㘲㌵搶㘸戸愶ㄵ㉥㙢㉤㙡㔰ㄳ㕢㕢换攳㝡攳慡㘵㡡〳㡤ㄲ㔳㈴㉢㔵㤲㥡㘵㤹㌹慥㈵㔵愳㐸挵ㅤ㘹ㅢ㈵挹㙤㕡摦㜷㑡㤱て愰㤸㈴捤愴昴摤㤲㔰㄰攴㈵㜵㐰㐷搱㕦㥦㑣ㅥ戱㘸つ㙤㠰ㅣ昵㔴㤰搷ㄷ㠶〳て攲捡㐹㐹攴挲㌷昰昷㠶㌰㌹㔹昵ㅢ㑡㡣搳㠳㘱挹㘸戹㍣改挰㑡㈸ㅡ㙥㘹㡤戰㌴搶ㄶ㘸ㄸ挹㥤㥤㙡晦㘰㝢㘳㡣ㄸ戲㈱㐳㈲〹㝥㘰戰㈱㤸㉢ㄶ㑤愵㜵搶挷慤慥㘵㘷昹㜶㔸ㄸ㡥挴挰戴㕦㥡㄰㡢搲っ慢㕢昲㠳戲㐱敤戴㈸攵愸㙥㡥捥㝡㔰改㍥攵㜸㤸㤲っ慥㥢㐷改㤶挲〵〶㠸摤㌰㌵㔵昴ㄱ搶慤㜵挰㤳挱摡挱づ㜶㈴〸㥢搰㍡愳〴捤㈴㄰㙥攳㈲挸㍢ㅤ㘲ㄴ㠲搴㤴捦扦昶㈸捦㥣攵昳㤳㍤愹㈸ㄱ㌲ㄱ㐳㕤〹搶〳㤰ㅢ㡦㑡㤲㡢〶愳㘰㜹㈰搹愴搰敡㡤昲㘸㘲昴搱攴㜳㝤摣攰㘱ㅣ慢㥦㙣㔳挶ㅤ㌷摦㠲㌶㉤㉦㙤㌰て㍡挵㜲戵㈴愴㉡㡥㘴戵搴挸㙢〲㕦昲晡㕦挰㑤〹晢ㄲ㙥捡㐱ㅣ愵戸㘴㈲愹㜳扢㕢晦㌴㥡㑢㈱㠷㍥〲搹挶攰㘳㠲㕢㑥〶挳㕡敥㈸搰㍥摣㔸扦扣㈰㉦捥㐱愴戵㘴㔱㤶ㅤ挲㕤扣㕡〴㔹㜲㕢慣摡愱捡愱ち㙤昶㔸搶〱㉢挸㕡ㄳ㌸挲㍡〳㠱㤷挹挰ㄸ改㤰㍢搸㐹敡㕣ㄸ搹㍤昷㈵昹㥡㍡户㈷㌴㍥ㄴ挶㜷㜹ち㑡㘱㔷挱㐸㌴戸搵扡搵慤㌰昲㑢换㕢扦ㅤ㐰㘱〸㤸〶㉤㙡〶〶捥ㄸ搲㉢ㅢ㌸っ㐶㈶㐴㐷攳㠱㔴挶㈸〷攱戰〷搲挰㑤㍣㐸捦㔴愰㠴晣㑤昲㔲㔸㜴㉦㜱搸挶ㄱ愸攲㥥摦㤴㌹㘵昸戸晡攲㙣㘹捡ㅥ㉤㤵㘸敥挲㍦户㈶戰㡡㙢ㅢ㠱㌹扡愹改㐲㤶㕣ㄳ敤扢㉢㥢ち挲㡢㠲㍢㈶昲〷っ扦㌸㍦敤㉦〵㤷戶㍡㈵〹敤ㄷ昰㐷㉣㍢㍡㙤收戴挳㑢愸㡢摣晢摣㐹愷㜲捡㤱昳搲㍣摥昸愳ㄵ慢㜷㜷㜳㤲戹搴㝢昸㈳ㅦ㌵愵扤㠶ㅥ㔷㌳㙤㜶㔰㜷㤰戰ㅦ昹〴搲㘰〸改〴㍡㠱敤㕥扢㌱㐰㍡搹搴㐴㈷㔲㄰慣ㄳ㡡㌳昷愱ㄱ㡡昲㜳愰㤵挴ㄲㅣ挹戱攷㉦㠰昵㤵㥦㈱㠷〸挷㝢㈸㐶戴换㤱㑡㐰㥤ㄴ攴攱昵づ㕥〶昹晦挱㔲挴捤换戲搳㝦㠱㤹㤵㔷㥢㔱戴㤵㈸㝡愵ㄵ㐵っ挴扥慦㤰㌷㘷扦㝥搴晣挸慦昵晥て㡦㥡㜷〰挳㝣愴㌵㠶愰ㅡ㠳昱㌵㘳㐰㙤㌱〶慥㐶戱㌴〶敥㘴ㅢ挶敢〳㘳㈰昴㜶ㅣ㐶挶捡挶〰愳㜸〹㈶㕦㉣愸ㅡ㜳㘰昰慣㜵扥㑤㑦搸〱㕣慦ㄵㅥ㈲昷㔰㑦摥㌸㝣㑦ㄷ戴㘶㑦ㄹ慥㘱㙦㤱昹晢㕤〱戵攵捥攰扥戶㙣挲ㄶㄷ㉤㕢㈲ㅢ㉤攳㤵㠸晣改敢㥥㤳搵摤㔲〷愶㠲㈷㜰搴㉢㔹㈵昳〱㝣㈲ち㑦〸愹捦㙦晡改晥扦㍣昸挸ㅥ摥㑢ぢ㘹㔵㘳㈰戸㤳攰㍣㉤〷㠴㙦㘳㔷㐲㌶昳昳㥢挳昸㄰挹㕡㈸㡢㌱挳㤵昶㡥愷摢㔱㌲㈰扣ㄸ㘱〶挴户ㄶ㡣㐹摣㜰〸㡣挹㝣㤳㘳㔳㝥扥㈴㥤㠱昹搸挴愵昷㉥ち㄰㉡㙤㔵㔶㠷㜶愵昶ㄲ㤴捥晢㥣㐸愳㍤挸昳㈵ㅦ㐵㜹戱㔹慢敤愲㔶㤳㘶愲㌲㡣ㅡ㤱㤴㐲愴㠱ㄴㄲ㍦戲㌰昴㉦愵搴ㄴㄲ㕡ㅥ㈰㈱㠶搶ㅣ捣攵挹㝦㕤〸㠸摡昵扥づ㍦㔵挱㉥〲㡢㤱搷扤搳戳㉢慤捥㐸㌵㌱㈸㉢㑦ㅦ㜷㈱㈱㡦㈹捣㘰㤴㔶收ㅥ㐵㈲㝡戴ㄱ愴㔶敤㜸攲㈰㝤㜶㄰㘲ぢㄸ㕢戳改㔵换搹㝢㥤㉡敥㜸㐰捦㘴愴挲㜰㌶㌲ㅢ㐷㑦ㄹ㡤ぢ慡收㠲㉣挲晥㈰㔹㙢搴ㄳㄶ㐱㘷㌹㕢㜰晥㐴㤸㡦摦〳戱㝣戸摥昵收收ㄲ敡㌸愷ㅢぢ攴て昶搷搶〴挶挶愸攴ㄸ㐸搸㔵搵捡〶㤷挰愷搱㐴摡昳㡡㕥㑦㜲㉣㐵㘱㌴㍡攲慣慥㔶晤捦㌸戵攴慣ㄹ搶㘶挰扡㐱晦ㅦ㐷挶㡡晡㕦㘱㤴㑤愲散敥㌰挱ㄷ㡤㤱㤲ㄵ㠳㌳摣ㄱ昸戰ㄱ愶㤱㐷㘰㕤㈶ㄹ摣づ㔲搳昸㐴㌵㈸㤶ㄲㅣㅥ慥㜴昳㈵㠸㕡㕢摡戶㍤㙤〵㈰愳㐰摡㡦㈱㠲摡戶攷愴㕢捦戱㤹㝢㤰扤改戰㔵㜴㉢㕥挵昴㠷愶ㄱ摥ㅤ攲ㄷ㘶㈶㙣㥥㔱攵㠵㘶愱㜶㈵㜶愲昷㕥戴㌹㌲〹㠱㝤㐴昸ㅦ㔶搴㤱㌱㠴搵挵㉣昸戵搱㐰㉣㤰㐴敤攰㥤㘷摥㔵㌵捡昸㐰㜵ㄲ㕥㑤㥦㔹㙢㐲搹〵扥攵收扢ㄸ摣㍡摣挶扡ㄳ㥥ㅦ㔱捥㈳っ㈶㤷㜰敦㝤摣搷收㍤㘸慣ㅢ慥捤㘳捤捥扣㙢㌹敤㐷挰改敡㐶㘹㈴ㄹ㡥挹敦㡥㜳晡㝤㠴㠸昳搰㍢扡㝡㔷㉣㝢ㅢ〴㥤㠷㥦㙤搳攵㌵㕣㠶愳㙣ㄵ㜱敥捦愱愹㜲㍢〱㝥㝡㈱㑣昰㐵愱㍦敦㌶㈶㥥挳戲挸〰㐸愷㌲〶㐰㝢慡晥挱㜲㔴慤昰㘸㐱㉡捣㈹摦㐷㌹㜷㈹㔸㙤㠹㜹㌸㙡挸㈳〴搲扡〰㠸ㅥ㠵㐷〸㌹晥㌳㘸㔰ㅢ㝦づ戹敤挷㝦㝡搹昱愹晣攵晡攲晤て㐴捡㐳㍦㠱㘲晤㈴㐱㤹挰〶ㄸ㠸㜴㐸㍦挵㈲㘵㑤㈶〸㈲扣扡〷㘹㍣扦て晦㝤㙢捦ㅢ慦昳昹攷ㅥ㐵ち㐲ㄴ㌵慥㠲㠲㔰慥攲挹昸㉡ㄶ㤰摢㝥ㄵ㑦㉣户㡡〱捡㐸捥㐴㜷〱晡扡ㄴ搲㡡㕣㤵㠷〴㌷㤴㍦㐵㈲ㄴ㠹㠶㔹っ㄰戱戲㙤ㄵ〹戴攵捥换戶㡢㐸㐴㙤〷愲敤搱戸㈳〹摦昲㐸㐳㠹㜷ㅦ改扥挹〴晥搷㑣愰ㅥ戳㜶攸㜸㕤ㄳ㐲〲㙢攳挷戱㙤㘵㝢愶挳愰扥昲㜸㠴愱〳〷愲て愵搴㌰捣〴ち〹㑣㔳㔲ㄴ㌷㔲昹㕡㔴昹挵㤷敢㕥㔲ㄴ攰〱ㄹ〵㤵㐹㜹戲昲㘳㔱攵ㅤ昸〸㑢搶㐹昱搲〰㥦户愲捡愴㔰㔹昹搱愸昲㍦㜶㙣愹㔵㡥〸㌲攸㔹㈳戵㈴ㄸ扤昲ㄸ㄰晢㈰㥢愷㙢捤愴㈲敤㌱㠳㙣㡡㔰ㄹ㉤㉥㑢㔵摡㡢晢ㅦ㉥㍥㠹㍥㠴敢㑣戸昵〱㘹ㅢ晣捦〸〷㜱捤㘹挲昰つ㝣昱扣㠸昸戲慢换㌷㌶捥㤸㤳㉥㌲扡捤㠳ㅥづ㔷愵㌵㐵㈲戰ぢ搲挱晥慥攰㠷㑦戰㈱敢晢ㄱ挵挵㔴㕥ㅢ改㑣㡢挸㔸㑡㕡㜹㈴挲㙣敡㑣㥤㘶昴㉦〰㌹㤰㤷㠰㑣攸㕦〴っ㘲㉦㥢㤸㌱㐰㐱㈰戹晣っㄲ晡挳〴㕦〶挸㈹攴㝡搲㐱收㉢〰晤搱晦㑢㌱戴㈸ㅤ㈷慡昲㔰㌴㔸㥣㡣昴慦戲挱愳〰㕤昰搸㉡㈱ㄱ收昴挷㤰ㄳㅦ㤴ㄲ㐴づ晡㌸ぢ扥㑥昰つ㠰㥣挶挹慥㝡搷戸愶づ㔵搸㌷搱㔴攱㔶㐸㠱昶慤㌰挱ㄷ敤っ挰㙤敤㡤㘶㥥㠹愳敦昸ㄱ摤㙣昸㘰㝦㉦㍥挰㕦攲愲扢昰晦㡦㘸搲挲㑦慢㥦散慣㉦㌲㠱挶昹昰攷㘲戳㍦㐰㍦㕣㔷摤搸㘴㡦㥦挲㉦慢㘶㤴㠷昱敦ㄹ晣㤴〷㌰〲㐷愱捡捤挲摦㐲ㅡ㤰〵ぢ㘱〱㜵㤷晥㈴㠰㐲ㅣㄳ㑦晡㔳㝣㈳㙡搹扦晥敤㌰挱ㄷ㠵㜸㍤挳㐴㌹㙣ㅥつ㐸㕣换㠲㤳㑤〳ㄲ晦戲攰㐴㝣挰敦㈲㔷㤱挸㐲愲㔱㍤ㄱ㘹㘹收㥥〵攸敢敡攷摣愸敥搴搳㑡昱晥搲晤昷扦搳㥦ㅥ扡㈸晤㤹摢㝢捦扥昵摢户㥦㝡昳戳扢晦晥敥戳捦扥昹搷愷㕥㝦昷戵搹摤扦㝥晥昹㕦摤昱挳搷摦摥㘸㍥愷扥晣捥愱攷ㅥㅡ㌹昹搰〳收戱ㅢ昶㍦㜴捦㠹扢㐶愶捥ㅢ敥敡敡敥扥㜶昰㌷ㄷ㕥㌷㜰收㠱㔷㤴㕦晥昱〲㐷㤱换攵㠰〲㈰㝡〶戸㙣㌹㡤敦㈱㠱㘹㜰挶ㅦ改㌴戸摣㌳昸㈹愵㜰愳挶昰㤲㠵㜳㠳ㄳ㤰〵挵挶㠲㥥晦〰㈷戲戲挱</t>
  </si>
  <si>
    <t>㜸〱捤㥤〷㝣ㅣ挵昹晥㌵戲戴搶㥥㙤㜴㠰㑤戳〱摢㘰㥡挱㕣㉦〶㠳扢㌱搸ㄸ㕣㈰戴㠸扤扢㍤㉣慣㘲㈴戹搱㈱昴㕥㐳敦ㄸ㐲㌱摤㜴㐲㈷搴搰㐳敦㈵㤰㐰㠰搰ㄲ敡晦㜹㘶㘷昶昶㜶㔷㤲㤵㕦晥㥦㑦㑥㜷愳㥤昷㝤收㥤戹敦捥敥敤敤扥㜷㔷㈳㙡㙡㙡㝥挵㡤晦㜹慢攳挲戰㌹换㍡扢散搶㌱㤳摡㕢㕡散㘲㔷㜳㝢㕢攷㤸〹ㅤㅤ搶戲ㄹ捤㥤㕤晤㈰㌰㥡㥡攱敦慣㙦敡㙣㍥搰㙥㘸㕡㙣㜷㜴㐲㔴㕦㔳搳搰㘰搶挲扦慥㝡㐴㜵挵㘴㉢戳㡥〵㔴㌵愶挱愲㍦㡢〶ㄶ㈶㡢〸㡢〱㉣〶戲ㄸ挴㘲㌵ㄶ㡤㉣愲㉣㔶㘷戱〶㡢㌵㔹っ㘶㌱㠴挵㕡㉣搶㘶戱づぢ昶㙦慥挷㘲㈸㡡㠱挳㔰捣㥤㌴㜱㔶㘱㝦㍣㥢㌹㕤敤ㅤ昶㤶挳㜷㜳挶㍣㉥ㅥㅦ㠳扦㔴㉡㌷㈶戶攵昰㐹㡢㕡扡ㄶ㜵搸攳摡散㐵㕤ㅤ㔶换㤶挳㜷㔹㔴㘸㘹㉥敥㘴㉦㥢摢扥挰㙥ㅢ㘷ㄷ㘲挹㠲㤵捡挵㔳改㜴㌹㥦捦つ㕣ㅦ㤱㜷㥥㌴㜱㤷づ扢摣昹摦㡡戹〱㘳捥㥡㌴㜱捣捥㜶搷㝦㉢收㠶㠸㠹㤰㤳摢㕢慤收戶晦㔲搰㝡慥搳昴㘴扢搸捣㤵㙦摢ㅤ捤㙤晢㡤挱戰慢㐰愳㤶ㅤ㌳愱戳㜳㔱敢㐲捥愳㐹㜶㑢换㙣扢㉣㔷㝡敢攴捥慥㕤慣㡥搶捥㠱慤攴㘷㜷搸㙤㐵扢㜳戵搶㈹㑢㡢㜶㡢ㄲ㜶㌶戴敥㘶㜵散㙣戵摡㜵㕣㘸㙣㜵搶攱昴㤲摤搶搵摣戵㙣㔰敢扣㑥㝢戶搵戶㥦㑤㐹㝤敢戴㐵捤㈵㔱㔷㠷㝢㑤扦㑤挳㐶㈶㔷ㄴ挶搳㍡㘹扥搵搱㈵㙢㕣㠵昱㌰慤㘷扡挸㘷㔱㌵㉥㑥愹攱扥㔶㕣㘷㜳㥡㕢㜷戲㍢摡散ㄶ㜶挲㌵㌹摡㈷㤲㠰㥣昵攰㤲搲㑦㠷㙢㐹っ㔰ㅢㅦ㥦ぢ㝢㌱㠶愳㔸㜷攷昶㡥㔶㑣挸㤹戶搵㌶㉥ㅥ㡢㙤㌹愷慢㌴搹㕥㍣㉥㤱㌶㐷挰㙤㡥愴㜰㈳ㄴ〳㈶摢慤㔶㕢㘹㙣㌲ㄳㅢ㙢㙥㑣搷㈸ㄴ愲敥㜵㙣攳摥挸摣捥㙡㥢慣摡愶㐲㙤㔳戱戶愹㔴摢㘴搷㌶㤵㙢㥢昶慢㙤㥡㕦摢搴㕣摢戴㝦㙤搳〲㘸昴慤愱㝦晦㕡㜵摢收扤㜳挷㥦㜸攸㡡㔹户㡦扢昲收㈳㙦㜹戸㕤㜰戳㤶㝢㠵㑤戱搰挳㐸㌷㠳摢摣ㅣ㠵戱〵㡡㠸ㅡ㘹㍣㌹搶ㅣ㑤捦㤶㈸㠴㜸ㄱ〳攵㘰㍦㝢晥摢㠱㜵つ㉦敦㜰攲摡㝢敦㍡改搹挳㜷ㄴ摣㙦挸㕥挶㘰愱㠷㕥戶㘶慣ㄸち㈳㡥挲敤㈵㌳搶㑣搰㤳㐴㈱挴搳慡㤷愹挷㑥扤晣愶扢捦㤸㝣收㥤敦㑣㍤㘳昱慣㘷〵㜷㑣戲㤷㌴ㄶ㝡攸㈵挳㔸㔹ㄴ㐶づ㠵㑢㍤㥤ㅥ㙢收改ㅡ㡢㐲㠸㐷㔵㌷扢㙦㝢摤㠴㕤敥晥摢㡣㝢愶㥥㜷晣昸ㅢ㈶㙤㈶戸敢㤳摤㙣㡢㠵ㅥ扡ㄹ挷㔸摢愱㌰戶㐷愱㥦㑣〲挸挶搳㌳〱㠵㄰㝦㔴扤扣昳昲㌵㥢晦改㙥㙢昲ㅦ㕥扡敢戲ㄵ晢㉤晦㑣㜰㌳㤳扤㑣挲㐲て扤㑣㘶慣㈹㈸㡣愹㈸㉡㑦㈶㍥搶㥣㐶搷づ㈸㠴戸㐳㜵搳㝦昳〷ㄶ㝣戵㤵㌵攱昰挹㈳㈳㉢扦㍤攳㈷挱扤户散㘶㐷㉣昴搰捤㑥㡣㌵〳㠵㌱ㄳ㐵愵㥢摣㔸㜳㘷扡㘶愱㄰攲㈶搵捤戸ㄱ㕤㑦晦㜹㜶捤昴㙢摥㔸换㑥㔹㌳㜶ㄴ㝣㝤㤰摤散㡡㠵ㅥ扡㤹捤㔸㜳㔰ㄸ㜳㔱㘸㘶㜱昴㌲㡦㥥摤㔰〸㜱㡤敡攵搲㍢昲㠳㍡昷摦㜱捡敦戳㉦捤㙢㝥改敢戵挴〰戸㘵㉦扦挱㐲て扤散挱㔸㝢愲㌰昶㐲攱昶㤲ㅡ㙢敥㑤捦㍥㈸㠴戸㕣昵搲昱晣㙡㕢㝥晥昱㔹㤳㡥㈸㝣搵搰㤹㘹㑡ち扥挲挹㕥㥡戰搰㐳㉦晢挲㙤㕡㈸㡣〲㡡ち戲散㔸戳㐸㔷〹㠵㄰ㄷ愸㙥昶ㅤㄹ㠹㘷㉦戹㝦㠷晢㙥晤晤搰㌳慤敢㍥ㄵ㝣つ㤵摤㤴戱搰㐳㌷晢㌱搶㝣ㄴ㐶㌳ち晤㘴ㄲ㠹戱收晥昴㉣㐰㈱挴㔹慡㤷敢㉦㝣昱攸搳戶㝥㘳㠷ぢ搷㝡昵慡て攷摤㜱㤶攰㡢戴散愵ㄵぢ㍤昴搲挶㔸敤㈸㡣㠵㈸㉡㑦〶㥢收〱㜴㜵愰㄰攲㘴搵捤㔱㥦㙦晣摣㐱㠷っㅦ㝦挵㝡〷晤愶愹昸换㙦〵て〳㘴㌷㕤㔸攸愱㥢㐵㡣戵ㄸ㠵戱〴㐵愵ㅢ慣㥡愵㜴㉤㐳㈱挴㌱慡㥢ㅤ〷㥥㌲愱㘵攷摤㈶晥㙥慦㑢〷㡦㕣敢摦㤳〴て㌴㘴㌷〷㘱愱㠷㙥づ㘶慣㐳㔰ㄸ㠷愲㜰扢挹〰摡㘱㜴ㅤ㡥㐲㠸挳㔴㌷てっㅣ㝣㕢晦攳ㅥ㥤㜵散ㅦ㍦㝣慣㜳昶改摦〸ㅥ捡挸㙥㡥挴㐲て摤晣づ㙥昳㈸ㄴ挶搱㈸㉡摤㘰ㄷ㜰っ㕤挷愲㄰㘲愹敡收㠰㔱捤晤㡥㝤昹搸昱㤷ㅥ㙣捣㙡ㄷ㉢挶ぢㅥ㉣挹㙥㡥挷㐲て摤㥣挰㔸㈷愲㌰㑥攲㤲㝥ㄵㄹ㙢㥥捣敡㈹㈸㠴㌸㐰㜵戲昶戴搷ㅡ㉥㕤㜰搱捣㥢扦㜸㝦改㕢敢愴ㅥㄵ㍣ㄸ㤳㥤㥣㠶㠵ㅥ㍡㌹㥤戱捥㐰㘱㥣㠹挲㥤㘶㔸㌱㘷搱㜳㌶ち㈱昶㔷扤㙣戵昴㤵㌷摦搸搷㥣㜰换慢㌷㝥㜰挱戰㑢㔷ちㅥ敤挹㕥捥挱㐲て扤㥣换㔸攷愱㌰捥㐷㔱㈱㠶㕤昳〵㜴㕤㠸㐲㠸愲敡收戹攳づ晤挳㙡〳慥㥢㜸攵挰㜵㉦㝡敥摥㌳㙦ㄶ㐳攰㤶摤㕣㡣㠵ㅥ扡戹㠴戱㉥㐵㘱㕣挶㈵㐵っ㥤㕣捥敡ㄵ㈸㠴搸㕢㜵昲挶摢㤷慣晥㘴㜱搳㠹㤷㕣晤昰扤晦晥昹慢㤷〴㡦㔷㘵㈷换戱搰㐳㈷㔷㌱搶搵㈸㡣㍦愰㜰㥦㑢㍡㍦搶扣㠶慥㙢㔱〸㌱㑦㜵ㄳ㕢㝤㡦昵て㕣晢㤸㤹㤷て㤹户昶ㅢ愳㥦昸扢攰ㄱ戱散收㝡㉣昴搰捤ち挶扡〱㠵㜱㈳ち户㥢っ㕥〰㙥愲敢㘶ㄴ㐲散慣扡戱㌷㝣㈲㌶攳愵挲㠴愳户㤹扢换㌳晤捦㕤㈸搶㠱㕢㜶㜳㉢ㄶ㝡攸收㌶挶㕡㠹挲戸㥤㑢ちㄹ㌶晦㍢㔸扤ㄳ㠵㄰搳㔴㈷㐷攴ㅦ晣㈶㜱摡扦㘶㥤搲戲攷搵㙢㙣㍢昶㔹戱㉥摣戲㤳扢戱搰㐳㈷昷㌰搶扤㈸㡣晢㔰㔴㥥ぢ㘶搹ㅦ改扡ㅦ㠵㄰攳㔵㌷搷晣㌰捡㝥㜹㔸搷愴㝢づ㍥㙤晣戵㠳敥昸㕣慣〷户散收㐱㉣昴搰捤㐳㡣昵㌰ち攳ㄱㄴ㙥㌷㘹㙣晥㡦搲昵ㄸち㈱昲慡㥢捦ㄶ敦㤹㍤敤愸㍢愷慣㔸晣㙤挳㥣攳敦摥㐹っ㠵㕢㜶昳㌸ㄶ㝡攸收〹挶㝡ㄲ㠵昱ㄴ㡡㑡㌷搸晣㥦愶敢ㄹㄴ㐲㈴㔴㌷户ㄴて搸晢攵㜵慣㐹户敥㍦戹㜸捡扥㥦ㅤ㌵昰㔹戸㜷㔵〷㤴㤳㍢慣㈵㌸㐴慦ㅣ晤㈷挶挴昸搷晢摢ㅥ扣敢㈹愷换搹㜲㍣㕥㑡挷慣愴㔵㍦〲㘱㔷昵昸㥡晢搳㠱攵摤㥢摢㑡敤㑢攴〱昷戰㠹㔶愷㕤㌹晥ㅥ慤㝣ㄳ摢ㄷ戵㤵㍡㠷㠶㍢攷㜴㔹㕤昶㝡㝥㕦㈵㐸愰搹ㅣ扣ㅤ戱㍢㘵㝦ㅢ昸㥢敤㘶戵㉣戲㈷㉣㙤㜶摣敢晢摣㜸㌳搲㕥攸摥㍢戵挳㍥挰昵〶㐶㌴〱敦㤶ㄷ换搸㠱㘷改戸㥣㜱つ㥦㌴扦扤搳㙥㤳挳ㅢ摤扡㑢㜳㜱㠱摤㌱挷收㝢㙤扢㈴㥦敡㄰扡搴㍢愲搱戳摡昰㐴昱ㅥ愷㌴搲㙢㉤㑦㔹摡㘵户㤵散ㄲ挶扢搰敥攸㕡㌶搷㉡戴搸㙢㔵㐹㥣㍥攱㔸户捡㍣戵扤戸愸㜳㔲㝢㕢㔷㐷㝢㑢戵㘷㐲㘹戱㠵㜷㘱愵㤹敤㈵ㅢ㙦愲敡㜸慢ㄱ㌵晤晡〹㔱戳㐵搸㍢ㄹ挶敤ㅣ㈳㔷㠴㘷ㄵ慦㡦㜵扥㑥昵戴ㅢ㌳ㅢ捦づ捦愲挵收㥣慣摤戸㤷㘰㌲㉥挳㙣摥扤搰昳㥣㜸㘲㠲敡捤扡㔷换㌱扡㙢敥晦慦戸戶㜶㑤昵散愷㉣挶㍢搵ㅤ昰㡥慣挵敥攸昱戴㡡攰㠸捣攷㔰搴㙦㡤慤戹㕢㝡㜵㔰㠸愵㘲㔹晤㤲收㔲搷㝣㘳扥摤扣摦㝣ㅥ㄰攱搴㑢㐳〳搱〶㙥收ぢ㌰㤹㉦戲㜸〹㐵㈴㔲㘳扣㑣㤱ㄱ㌱晦攲搴敢㐷攲㝦摦摦〳搷愲㤵㈹摦㜳攳〴㐹㘷㝤敢搴昶㡥捥㝥晤挲㥥攵づ㔶攷晣㉥㑥捦㥥㥤㡣昷ち㡢㔷㔱搴㙦㡣愲搷户搸㡤㄰搵昱㑣挲愰搶挹㜶搹挲昹ㅢ戹㜵ぢ慢扥搵㌹㈵㌰搹敥㉣㥡㍣㜷㌰ㅤ摢捡㔲〳㑢搸昸〷戶㜲昶摢㑢扢㈶㕢㕤㔶晦㔶㥣㠵挰㕡㌲㈱ㅡ㉤㕢㌹㑢㙣㌹㐸摡㜴敢㠸慡㈱㐲㔴㉥㝡愲っ㤰〶㈷ㄲ㌶ㅣ㙣㉦㌵晤㔴搹昳㤳挰搸㌷挰㤳㌰晣ㄳ扤晡㙣〲㑥㜲㤴愶搹㙤㜳㤷㉤戴㍢㈹㙦㌰㝡㐴改摦扣ㄸ㙣㔶戱㌰慦慢戹愵㜳っ㐶㍡慤愳㝤搱挲晦㘶ㅣ挶㌲㕦㐳愱㙦昵㥢㘰ㄶ慦晡㜳〲慥㥡晥㡢戹㙥㥡㥡㙡ㅡㄸ㡤ㄶ㜳㈳ㄶ㥣慤〸昶㉢晥挹㥢昹ㄶ晥㐵㝡昲搵㡦㠲㘲㜴搸扥愰㥢㌳㉦昵搰て㙣〵愱戹ㅤ戶㍣㤷搴㈰㉢愰㍤愸㜵昷昶㡥〵㠵昶昶〵㥣㑦慢挹㕡攷㝣摢敥攲昹㤹〱敡㝣㤴㍣敦㈴㐴扦㝥㔵愷㔸㍣㈷㜲㌶㐴㝣攳㍤ㄴ㠳㈶戴戴っ搷ㄱ㍢㡤昷㘱敡㠷㌳㐵挶〷㔸ㄸ㌶慢愳㘴㜷㙣㌵㙦攱㔶㜳摢㠷攳㐴搲愲ㄶ换㌹昷扡戴愵㜳愹ㄸ〶〲㍣㌱㜲挷愸昲愱㑦づ㝥㝤挲㐵㌳敡晦扣捤昱㥢㔹㘲愸㜲〴捥换㙣㠶㤸㈳昰㌰㍦㐶㈱搶㠵㡣㝢ㄶ㉣㔷摦捣㑦㔰㌷㍦㘵昱㌷ㄴ搸㍦㐸攲搸㍤㝣收㔴挵收昸捦㕤㠴昹㌹㡢㝦愰㄰愳㔱㜰〳㌵扦㐰愱㙦㈲㡡昸㕣敦㜲摤㙤〱㜳㜰摤㝤つ㙢挴散挱㈷戶㠴㠲敢捦㈴㉦㤳㠴㑣搲ㄱ〶〲㠷〲愸㔷㡥挰㈹愳慤搱㑣〲昸㠹敤晢㐱ㄶづ攰ㄷ昶㐱㌰㈶㘷㥤〷㐰慤㔳ㄵ㌱昸㈴㠰㝥㌰㤸㍣㐷㉥ㄲ㌰㐹〰昵愸改㥢昸攱ㄷて㠰㌸捣㐱〰㈶㘳㥡㍤昸㐴ㄲ敤挲〰㝣㠹攰愱〰扥㔰㡥挰搹慣っ㈲㡤攰㈸搶攰㤰㍦㠷㉣ㅣ挰㘰戸捤㈱㉣搶㐲攱〱戰㡥㔳ㄵ㔹〴㤱〰搶愵㘸㍤ㄴ㈲て㤳〴㌰ㄴ㌵㝤ㄳㅦ㝡〱攴㘰づ〲搸㤰㌱捤ㅥ㝣㘲㉣摡㠵〱㜸扤㍢〰慦㈹㐷攰㍣摢㌸㐴ㅡ挱㔱㙣挶㈱扦搲㉤㠰㉤攰㌶㐷戳搸ㄲ㠵〷挰ㄸ愷㉡戶㐳㄰〹㘰㙢㡡㘲㈸挴㜸㤸㈴㠰㌸㙡晡㈶晥散〵戰㍤捣㐱〰㘹挶㌴㝢昰㠹〹㘸ㄷ〶攰㤱敥〰㍣慣ㅣ㠱㔳㠰㤳ㄱ㘹〴㐷戱ㅤ㍡ㄵて㜶ぢ㘰㍣摣收〴ㄶㄳ㔱㜸〰㑣㜶慡㘲ち㠲㐸〰㔳㈸㥡㡡㐲昰摣愰〴㌰つ㌵㝤ㄳ㜷㝡〱㑣㠵㌹〸㘰㈷挶㌴㝢昰㠹ㅤ搰㉥っ挰つ摤〱㔸愱ㅣ㠱㤳㤳㍢㈱搲〸㡥㘲㉥㠷㝣㕤户〰㜶㠳摢摣㥤挵㙦㔰㜸〰散改㔴挵っ〴㤱〰昶愲㘸㙦ㄴ㘲㘷㤸㈴㠰㝤㔰搳㌷㜱戹ㄷ挰㑣㤸㠳〰㉣挶㌴㝢昰㠹㔹㘸ㄷ〶攰摣敥〰㥣愳ㅣ㠱搳愶戳ㄱ㘹〴㐷戱㍦㠷㝣㜶户〰㕡攰㌶㕢㔹戴愱昰〰㔸攸㔴挵ㅣ〴㤱〰づ愰愸〳㠵㤸〷㤳〴搰㠹㥡扥㠹㤳扣〰收挲ㅣ〴戰㠴㌱捤ㅥ㝣㘲㌷戴ぢ〳㜰㘴㜷〰㡥㔰㡥挰ㄹ摤㍤㄰㘹〴㐷㜱㌸㠷㝣㔸户〰㡥㠴摢晣ㅤ㡢愳㔰㜸〰ㅣ攳㔴挵㥥〸㈲〱ㅣ㑢搱㜱㈸挴摥㌰㐹〰挷愳愶㙦㘲戱ㄷ挰㕥㌰〷〱㥣捣㤸㘶て㍥戱て摡㠵〱㘸改づ挰〲攵〸㥣㙣摥ㄷ㤱㐶㜰ㄴ扦攷㤰㥢扢〵㜰㉥摣收㜹㉣捥㐷攱〱㜰愱㔳ㄵㄶ㠲㐸〰ㄷ㔱㜴㌱ち㔱㠴㐹〲戸〴㌵㝤ㄳ晢㝡〱ㄴ㘰づ〲戸〲晡㠸搹㠳㑦㤴搰㉥っ挰㙥摤〱㤸愷ㅣ㠱搳攰㍣扤㍤㠲愳戸㥥㐳㥥搳㉤㠰ㅢ攰㌶㙦㘴㜱ㄳちて㠰㕢㥣慡㤸㡦㈰ㄲ挰慤ㄴ摤㠶㐲散て㤳〴戰ㄲ㌵㝤ㄳ㍢㝡〱㌴挳ㅣ〴㜰ㄷ㘳㥡㍤昸挴〲戴ぢ〳㌰扥㍢〰摢㉢㐷攰っ㝤ㅢ㈲㡤攰㈸ㅥ攲㤰挷㜵ぢ攰ㄱ戸捤㐷㔹㍣㠶挲〳攰㜱愷㉡摡ㄱ㐴〲㜸㠲愲㈷㔱㠸〳㘰㤲〰㥥㐲㑤摦㐴捡ぢ㘰㈱捣㐱〰捦㌲愶搹㠳㑦㜴愰㕤ㄸ㠰㉤扡〳戰戹㜲〴慥ㅤ㉣㐲愴ㄱㅣ挵慢ㅣ昲愶摤〲㜸ㅤ㙥昳つㄶ㙦愲昰〰㜸摢愹㡡挵〸㈲〱扣㐳搱扢㈸挴㔲㤸㈴㠰昷㔰搳㌷戱㠱ㄷ挰ㄲ㤸㠳〰㍥㘲㑣戳〷㥦㔸㠶㜶㘱〰〶㜷〷㘰㑤攵〸㕣搵㌸ㄸ㤱㐶㜰ㄴ晦攰㤰㔷敦ㄶ挰㤷㜰㥢㕦戱昸㈷ちて㠰㙦㥣慡㌸〴㐱㈴㠰㙦㈹晡づ㠵㌸っ㈶〹攰㝢搴昴㑤㌴㜸〱ㅣち㜳㄰挰㡦㡣㘹昶攰ㄳ㠷愳㕤ㄸ㠰㕦㝥敥收㔰昸㘷攵〸㕣㙦昹ㅤ㈲㡤攰㈸敡㙡㌱攴ㅦ㈱ぢ㍦ㄴ㌶攰㌶晢戳㘸㐰攱〱㄰㜱慡攲㈸〴ㄹ挹㐰〳㈸ㅡ㠸㐲ㅣ㠳慡〴㌰〸㌵㝤ㄳ晦㐴ㅦ敥㥢愱愳㘱づ〲㔸ㅤ晡㠸搹㠳㑦昰昲㑥ㄸ㠰㑦扡〳昰㔷攵〸㕣〹㍡〱㤱㈴㠰昵㌸攴㡦扡〵㌰っ㙥㜳㝤ㄶㅢ㜰㜴㤵㜷㠳挳㥤慡㌸ㄱ㠱㐶昲改㡣愰㘸㈴ち㜱㌲慡ㄲ挰㐶愸改㥢㜸搳ぢ攰㈴㤸㠳〰㌶㠵㍥㘲昶攰ㄳ愷愰㕤ㄸ㠰ㄷ扡〳昰扣㜲〴慥㔲㥤㡥㐸ㄲ㐰㡣㐳㝥戶㕢〰〹戸捤㈴㡢ㄴ㐷㔷〱㤰㜱慡攲っ〴ㅡ挹愷㤳愵㈸㠷㐲㥣㠵慡〴㤰㐷㑤摦挴㘳㕥〰㘷挲ㅣ〴㌰づ晡㠸搹㠳㑦㥣㡤㜶㘱〰敥敤づ挰㍤捡ㄱ戸㠰㜶㉥㈲㐹〰㔳㌹攴扢扡〵戰〳摣收㜴ㄶ㍢㜲㜴ㄵ〰㌳㥣慡㌸て㠱㐶昲改捣愴㘸㘷ㄴ攲〲㔴㈵㠰㔹愸改㥢戸挹ぢ攰㝣㤸㠳〰收㐰ㅦ㌱㝢昰㠹ぢ搱㉥っ挰㔵摤〱㔸慥ㅣ㠱㑢㝢㤷㈰㤲〴戰㌷㠷㝣㐵户〰㝥ぢ户搹挴㘲㕦㡥慥〲愰攰㔴挵愵〸㌴ㄲて戳㐸㔱〹㠵戸ㅣ㔵〹挰㐶㑤摦挴昹㕥〰㤷挱ㅣ〴搰っ㝤挴散挱㈷慥㐰扢㌰〰愷㜵〷攰㔴攵〸㕣㜶扣ち㤱㈴㠰づづ昹攴㙥〱㜴挱㙤㉥㘲戱㤸愳慢〰㔸敡㔴〵㉦㐹㡥攴搳㔹㐶搱㠱㈸挴㌵愸㑡〰〷愱愶㙦攲㈸㉦㠰㍦挰ㅣ〴㜰ㄸ昴ㄱ戳〷㥦戸ㄶ敤挲〰ㅣ搸ㅤ㠰㘵捡ㄱ戸㈰扡〲㤱㈴㠰攳㌸攴㈵摤〲㌸〱㙥昳㐴ㄶ㈷㜱㜴ㄵ〰愷㌸㔵㜱〳〲㡤攴搳㌹㤵愲搳㔰㠸㥢㔰㤵〰㑥㐷㑤摦㐴㥢ㄷ挰㡤㌰〷〱㥣つ㝤挴散挱㈷㙥㐶扢㌰〰愵敥〰ㄴ㤵㈳㜰愹昶㌶㐴㤲〰㉥收㤰慤㙥〱㕣ち户㜹ㄹ㡢换㌹扡ち㠰㉢㥤慡㔸㠹㐰㈳昹㜴㤶㔳㜴ㄵち㜱〷慡ㄲ挰搵愸改㥢昸㡤ㄷ挰敤㌰〷〱㕣〷㝤挴散挱㈷敥㐴扢㌰〰㍢㜷〷㘰愶㜲〴㉥㈳摦㠳㐸ㄲ挰㙤ㅣ昲㑥摤〲戸ㅤ㙥昳づㄶ㜷㜲㜴ㄵ〰㜷㍢㔵㜱㉦〲㡤攴搳戹㠷愲㝢㔱㠸㍦愲㉡〱摣㠷㥡扥㠹㠹㕥〰昷挱ㅣ〴昰㈰昴ㄱ戳〷㥦戸ㅦ敤挲〰攴扡〳㤰㔵㡥挰〵敥㠷㄰㐹〲㜸㤲㐳㑥㜷ぢ攰㘹戸捤㘷㔸晣ㄹ㠵〷挰㜳㑥㔵㍣㡣㐰㈳昹㜴㥥愷攸〵ㄴ攲㔱㔴㈵㠰ㄷ㔱搳㌷戱愵ㄷ挰㈳㌰〷〱扣〲㝤挴散挱㈷ㅥ㐳扢㌰〰㈳扢〳㌰㐲㌹〲㤷摥㥦㐰㈴〹攰㕤づ㜹挳㙥〱扣て户昹〱㡢て㌹扡捡っ昸搸愹㡡㈷ㄱ㘸㈴㥦捥㕦㈹晡〴㠵㜸ㅡ㔵〹攰㔳搴昴㑤慣攵〵昰ㄴ捣㐱〰㥦㐳ㅦ㌱㝢昰㠹㘷搰㉥っ挰挰敥〰っ㔰づ㝦㔲㐰晤㜳㠸搴㠷㡢戹〳㌸攰昲㙥捤昶ㄲ㕥㝤㕡慤㡣㤴摢㐹㡢㍡扢摡攵愵戲㐱攵挹敤㍢户㜷㑤㙥敥㕣搸㘲㉤㕢戳慣ㄶ㜶㥦㙦户攱㐲㜶〷慥㘷晢㙣敤ぢㄷ摡㈵戳㍣愷㝤㔱㐷搱㥥㍥昹㝦攱㐲㌷㥥ㅦ㔶㥤扣挶㕤㉢㜰晢捦慥摤搶愰㈵㘶〹㙥㌵昵㉦㈰愰晦ㄲ㥣㑣晣昵㕣㉥㤷㡢㔱〸ㅢ㉢㐴攷㌶㜷戵搸〳捡昲㔲戵㕣㙥㈸㠳㈲戲〳㑡晤换㜳攷攳搲搴攴㐱攵㘹ㅤ捤愵㤶收㌶㥢㉢㘳戰㈳㥤㘱敦㠷㑣㠰㕤摡㍢㥢㜹扤㘸㔰㜹㙥㠷搵搶戹㤰ㄷ㌵㡢换搶愸慡挹慢㥦昵攵㠹捤㙤㥤攸㐶慥㐵㉥㌷㤶攷捣㙦㕦㠲㜴晦㐵慤㙤搳慣㠵㥤晦ㄳ㙢㐵㜰戵挸㥢㕣㌵愲㔶搴搶㡡㠶摡㠶晦㜴晤ㄸ摦㘱ㅢ㕢搳㐹愴ㅥ㡥㜹摡搵搱㕣㔸㐴㘰戲㡦〴捡㍡ㄶ㜲ㅤ搶搴扦㠸㈵晦攵㑢捦㉡昴攵ㅥ㜰慣㔵㘹散愱㤷挱摤捦㔰慣て戹昹㍤㠶㌳昰㕦㈸㜶㥣㌶㙦㝡㈵㉢攷晦昴㠱㠴晡㤷㄰㜹㤵㤳㈰㠶㐰扣㥡㌳㠵㤸ㄸ挱ㄹ㠵㉤ㄳ㌳㠱㌵晦戴㡣㤴愵㠶㌳㜴戵捡攲㔴㕣㐷ㅦ㔸㥥㘱ㄵ散ㄶ㕣晥㙦戵扡㔶㜳㉡扣昶㡡㠴昵㑥攵㥢搴摥摡㙡㜱捡㌱敤㝥㑥搱㙡戱ㅢ捡ㄳㄶ㜵戵捦㙣㙥㌳换㈸攴扣㔴㈶㙢㈹㑣搶㔲攷㐲㝤㜹㌶搳㠲攴㌲㘳戵敦㘷㜵㌴㜷捤㙦㙤㉥㌶戰挲搴㥤晦㠹戹㡡晤㐷ㅤ㘰敡㥢摥㤷昸慦晣㍢搷摦戱扡挷㈰㔹㠶攸戸晡㌱愳㙢㠵㠱㍦昱ㅦ㘶㡤㘰捦㈳㕦㔰捣ㅦ㄰慤ㅥて戹㉢㤲㘳昹㔲㕥㡡挵攲㤷㠷㘱㡡捡㥤㤳昸ぢ〵㜸㤸㍦㐲捡〵㍥敡㕥㐱搱㘳㑡㐱㝦〸㈲㌳摡慤搲㔴慢㠸㡦搰昴㔷ㅦ愰㘹挰慡攵慥愶㈳捡㈴㡦㐹挸ㅢ㐲㍥搲攲㘶㕣挸㙥愰㘱づ㍥㈰㔴挷昴㄰挳㔹㠷戸摣摤慦愶扥㝥㐰㐳㔸㕦搳㜵慣㡤搵愵㜳敦〷㤰愶〷攲㝦戶㙢㙥㝢㍥摢㐸㐴扥㐴晤㠴㘵昳㘷㍥愷㔷㘱攴昳昱〹㝥愱攰㔷ㄴ昵慦挱改㕦㌷搵昹ㄶ挸捡㌰㈱慡㤳ㅦ㍤㘱㈶㐸〳戲㈶㘴ち㐹扤㝣㈲〳㍣愹ㅦ㠶㤳昵搱愰㍦捦㘲捣挱㉣户㑢ㄱ㘷晦捡ㄴㄳ扣㌲搴搴搶搶㘱㔵ㅢ晥戴戹㐰户〸搶㍡挷㤶㌹㈱㘲〳っ挱㘰㥥攰㥡摣㔸㄰扦㐹㈷收昲攳ㅤ㉦挳㡢㙢摡扦攲㥦扣㐵㈲㘶㉤戴㌵ㄱ昱ㄶ㑡つ㘰㈰㉤づ㈱愰挷昹㉦ㄴ攲㘳ㄸ㜹ㄸ攰㜹搱ㄲ㥦愰捡ㄷ慥ㅡ㠳㥦散㔹搵ㅤ愵昸ㄴ㉤戸戳㌴つ〶晥ㅢ㤶戸て㜲攷㘴〳慣扤捦挹捦搸〲て㤳ㅦㄴ搳㜳㔲㝣づ㡢㝥ㅡ㔸㙤晡㘹㐴愰㌱〷㔰昸㡦㜰挱㐰ち〶㔱昰〵〴㕣搹挶㙡愸慤攱㠳挸㑦㥥㠴㌰㡣㐲ち㠶㕦㝢㘲㝢ㄸ慥捥搸㙢㌰昶㑦㄰昸ㄹ晥〲㥢㘴㘸捡㑦㐷愱㔶攳㝢㘱ㄱ㕣㕤㤲搷㘰〶攱㤳慤攲戵ㄶ慣扤昳慡㐵㌳挹㙢㙤ㄹ挴愹〸㘶㈷㠴昰㕡〷ㅡ㜳㕤ち㤹戹㄰㈲㔸㡦㠲愱ㄴ㌰㤹㐱昲ㅡ㠶㕡㠰ㄷ㌲㜵㐳㜸㙤〰㈹㜸㌱慦㐱挷昶昰摡㤰戱㠷㌳㌶㜳㄰晣扣㤸㜸攰昰攲㡢戳扣昹㜹㌱㉤㐱昲ㅡ挹㈰捣㑦愸攲戵㌱慣扤昳㘲ㅥ〳敥昸㌴ㄴ㠳㘰㐱㍥㤸捣愰㠷散㤹㕦㥢㐰㘳㙥㑡㈱ㄳㅤ㐲〴㥢㔱戰㌹〵捣㝤㤰扣戶㐰㉤戰㤱昲搳㐰㈱挰戶㠴ㄶ挰㌶昴〴昷〰摢㡡挱挷㌰㌸㜳ㄶ晣挰㤸愸搰换〴㘳ㅡ㠳〴ㄶ㘳㄰收㌳㔴〱㑢挰摡㍢㌰收㍤攰㡥ㄳ愱っ愲㠱㌱昹㈱㠴㐷ちㅡ㌳㑤㈱ㄳ㈳㐲〴ㄹち戲ㄴ㌰㔷㐲〲换愱收㥦㘰晣㕣㔳〸慦戱㤰㠲ㄷ搳㈶㜴㙣て慦㙤ㄸ㝢㕢挶㘶㡡㠳㥦搷㜸搸㝡㤹㘰ㄳ㈰㤱扣戶㘳㤰㠹愸㔵昱ㅡて㙢敦扣㤸㈶㠱㍢㜲㈸ㄸ㐴昳㘲慥㠴ㅥ戲㘷㠲㑤㠴挶㥣㐴㈱昳㈸㐲〴㤳㈹㤸㐲〱㔳㉢㈴慦愹愸〵㈷ㄸㄲ昴㐳㠰敤〰㉤㠰㌱捤㐲〷昷〰㥢捥攰㍢㌲㌸㔳㈲晣挰㤸〷搱ぢ㌰㘶㐹㐸㘰㌳ㄸ㠴改ㄲ㔵挰㜶㠶戵㜷㘰㑣慢挰ㅤ㥦晡㘲㄰つ㡣戹ㄵ㝡挸ㅥ㘰扢㐰㘳敥㑡㈱昳㉥㐲〴戳㈹㤸㐳〱㔳㌱㈴戰戹愸〵㠱攱㔳㘰㈱挰㜶㠳ㄶ挰㉣㑦㜰て戰摤ㄹ晣㌷っ捥ㄴち㍦㌰收㑤昴戲㐵㌲慢㐲〲摢㤳㐱㤸㕥㔱〵㙣㙦㔸㝢〷挶㌴っ摣昱搱㌲〶搱挰㤸㡢ㄱ挲攳户搰㤸㑤ㄴ㌲㑦㈳㐴戰㉦〵ㄶ〵㑣摤㤰挰ち愸昹户㐸㝥㙡㉥㠴㔷〹㔲昰㘲ㄶ㠷㡥敤攱㘵㌳㜶㤹戱て㠷挰捦敢㐸搸㝡攱挵㈴っ挹㙢㍥㠳㌰ㅢ愳㡡搷晥戰昶捥㡢㔹ㅢ戸攳搳㙢っ愲㜹㌱㜵㐳て搹㌳挱㕡愰㌱㕢㈹㘴㕡㐷㠸愰㡤㠲㜶ち㤸改㈱㜹㉤㐴㉤挰ぢ㥦㌲〹攱搵〱㈹㜸㌱改㐳挷昶昰敡㘴㙣㝥慥㕥㌰㐱挳捦㡢㔹ㄹ扤㙣㤰捣搹㤰扣ㄶ㌳〸㤳㌷慡㜸㉤㠵戵㜷㕥㑣昲挰ㅤ愷昴ㄹ㐴昳㘲愶㠷ㅥ戲㠷搷㠱搰㤸〷㔱挸㉣㤰㄰挱挱ㄴㅣ㐲挱㈵㄰㐸㕥㠷愲ㄶ摣㈰昱㐹挶㄰㘰㠷㐳ぢ㘰㑣ㄲ搱挱㍤挰㡥㘰昰㈳ㄹ㥣〹ㅤ㝥㘰捣攲攸㘵㠲㌱挷㐳〲㍢㡡㐱㤸散㔱〵散ㄸ㔸㝢〷挶愴㄰摣昱ㄱ㍣〶搱挰㤸ㄹ愲㠷散〱㜶ㅣ㌴收昱ㄴ㌲㙢㈴㐴㜰〲〵㈷㔲挰㐴ㄲ〹散㈴搴晣ㄳ㡣㥦挹っ攱㜵ち愴攰挵㥣ㄲㅤ摢挳敢㔴挶㍥㡤戱㤹晦攱攷挵愴㡦㕥㈶ㄸ㔳㐲㈴慦㌳ㄸ㠴戹㈱㔵扣捥㠲戵㜷㕥捣㈱挱ㅤ㥦昳㘳㄰捤㡢㠹㈴㝡挸ㅥ㕥扦㠷挶㍣㠷㐲㈶㤹㠴〸捥愵攰㍣ち㤸㜷㈲㜹㥤㡦㕡㜰㠲㠵ㅦ戴㕥〸㉤㠰㌱〷㐵〷昷〰扢㠸挱㉦㘶㜰收㡢昸㠱㌱㐹愴ㄷ㘰㑣㈱㤱挰㉥㘵㄰收㤲㔴〱扢ㅣ搶摥㠱㌱攷〴㜷㝣㤸㤰㐱㌴戰㜷戰愴㠷散〱㜶㈵㌴收㜲ち摦つㄷ㕣㐵挱搵ㄴ扣〷㠱〴昶〷搴㠲挰挲㜷㘱搷㐲ぢ㘰捣㔹搱扤㝢㠰㕤挷攰搷㌳㌸昳㑢晣挰㤸㔴搲ぢ㌰愶㥣㐸㘰㌷㌰〸㜳㑦慡㠰摤〴㙢敦挰㤸愳㠲㍢㍥慦挸㈰ㅡㄸㄳ㔵昴㤰㍤挰㙥㠱挶扣㤵㐲㈶戱㠴〸㙥愳㘰㈵〵捣㙢㤱挰㙥㐷㉤〰㡣㥦昸つ搹㈴敦㠴ㄶ挰㤸攳愲㠳㝢㠰摤挵攰㜷㌳㜸ㅤ挶攴〷挶㈴㤴㕥㠰㌱㐵㐵〲扢㤷㐱㤸慢㔲〵散㡦戰昶づ㡣㌹㉤ㄸㅦ㍥ㄴ挹㈰ㅡㄸㄳ㕢昴㤰戱愸摦㜶㍦〰㡤昹㈰㠵㑣㝡〹ㄱ㍣㐴挱挳ㄴ㌰て㐶〲㝢〴戵㈰戰昰挳晣挷愰〵㌰收挴攸攰ㅥ㘰㝦㘲昰挷ㄹ㥣昹㉢㝥㘰㑣㕡㜱㠰搵㌳ち㙦〹㍣㍣㈷㜴〵㔳㕡㈴戰㈷ㄹ㠴戹㉤㔵挰㥥㠶戵㜷㘰捣㠱㤱挰㥥㘱㄰昴㈰ㅦ㈳㘰搵㐳挶愲〶昶㘷㘸捣㘷㈹㘴㤲㑣㠸攰㌹ち㥥愷㠰㜹㌳ㄲ搸ぢ愸慤敥㍢㑦ㄱ㡥敢㈵㈸㠱㡢ㄹ㌴㍡戴〷搷换っ晤ㄷ㠶㘶戶㡢ㅦㄷ㔳㕣㝡挱挵〴ㄸ㠹敢㔵〶㘱㈶㑣ㄵ慥搷㘱敤ㅤ㔷〶捤㈴慥㌷ㄸ㐴攳㘲摡㡣ㅥ㌲ㄶ㌵慥㌷愱㌱摦愲㌰ㄷ㉥㜸㥢㠲㜷㈸㘰㤶㡤挴昵㉥㙡㠱㤷挸昰ㅤ搸晢㤰㠲ㄷㄳ㙥㜴攷ㅥ㕥ㅦ㌰昶㠷㡣捤攴ㄸ㍦㉦㘶挴㐸㕥挶㐷㤰慣昲愹㌱收搰㐸㠶ㅦ㌳㌰㤳㘹慡ㄸ㝥〲㙢敦っ㤹㜴㈳ㄹ㝥捡㈰㥡㈱㌳㙦昴搳挰愲㘶昸㌷㘸捣扦㔳挸慣㥣㄰挱㘷ㄴ㝣㑥〱ㄳ㜵㈴挳㝦愰ㄶ摣㐶挳㑦㕤㝣〹㉤㈰㌲㘹㐷〷昷㐰晣㡡挱晦挹攰㑣戰昱㐳㘴㔶㑤㉦㤳㡥㌹㌷ㄲ搸㌷っ戲㉦㙡㔵挰扥㠳戵㜷㘰㑣搲㤱挰扥㘷㄰つ㡣㤹㍡㝡挸㔸搴挰晥〵㡤昹㙦ち㑢攱㠲ㅦ㈸昸㤱〲ㅢ〲〹散㈷搴晣摢㘸㌸慥㕦愰〴㉥愶昸攸扥㍤戸㝥㘵攸ㅡ㕣㌷㄰㑣挷昱攳㘲づ㡥㠳慢摢㔳㘳捣搰㤱戸㜰㙡戹㐶㉣㐶慤ちㄷ㍥扡扢ち戸㤶愲㤹挴㔵捦㈰ㅡㄷ昳㝡昴㤰戱愸㜱ㄹ搰㤸晤㈹㘴捥㑦㠸愰㠱〲㝥搱㤷㘰ㅡ㤰挴ㄵ㐱㉤㌰扦昸つ〶㈱㉦㥡〳愱〵㌰愶〴改攰ㅥ㘰㠳ㄸ㝣㌵〶㘷晡㡥ㅦㄸ㜳㜶㝡〱挶㡣ㅥ〹㉣捡㈰㑣敤愹〲戶〶慣扤捦㉦愶〰㐹㘰㙢㌲㠸〶挶㍣㈰㍤㘴㉣㙡㘰㠳愱㌱㠷㔰挸ㅣ愱㄰挱㕡ㄴ慣㑤〱搳㠶㈴戰㜵㔰ぢ〰攳㜷㌱㠴〰㕢て㕡〰㘳ち㤱づ敥〱㌶㤴挱㠷㌱㌸搳㝤晣挰㉥㠵慤㤷つ昲㌲㐸㈴戰つㄸ㠴愹㐰㔵挰㠶挳摡㍢㌰愶っ㐹㘰㈳ㄸ㐴〳㕢づ慢ㅥ㌲ㄶ㌵戰㤱搰㤸ㅢ㔱挸㥣愲㄰挱挶ㄴ㡣愲㠰㘹㐶ㄲ搸㈶愸昹㌷挸昰挳晥捤愰〴㉥㈶ㅣ改搰ㅥ㕣㥢㌳昴ㄶっ捤攴㈰㍦慥摢㘱敢㘵㝥㌱㕦㐸攲摡㤲㐱敥㐴慤ち搷ㄸ㔸㝢挷挵〴㈳㠹㙢㙢〶搱戸㤸㘵愴㠷㡣㐵㡤㉢〶㡤ㄹ愷㤰ㄹ㐸㈱㠲〴〵㐹ち㤸㤴㈴㜱愵㔰ぢ捥慦昰㔷捤っ戴〰昶愰㈷戸〷㔸㤶挱㜳っ捥㘴㈲㍦㌰㘶㄰昵〲㡣昹㐵ㄲ搸㔸〶㘱愲㔱ㄵ戰㙤㘱敤ㅤㄸㄳ㤲㈴戰㜱っ愲㠱㌱㉢㈹㠴挷㜶搰㤸摢㔳挸㡣愵㄰挱㜸ち㈶㔰挰㈴㈶〹㙣㈲㙡〱㘰晣愶㡦㤰つ㜲㌲戴〰挶㠴㈶ㅤ摣〳㙣ち㠳㑦㘵昰㜷㈱昰〳㘳挶㔱㉦挰㤸㡦㈴㠱敤挰㈰㑣㑣慡〲戶㈳慣扤〳㘳〲㤳〴戶ㄳ㠳㘸㘰捣㘲搲㐳挶愲㥥㘱㌳愰㌱㘷㔲挸っ愷㄰挱捥ㄴ捣愲㠰㐹㑦ㄲ搸㉥愸〵㠱㠵ㅦ挷捥㠶ㄶ挰㤸〰愵㠳㝢㠰捤㘱昰戹っ捥㜴〹㌹攸㜹慣愹㐱搷昳㤲户晦㑡㙥攰㉡扢散愱捣敢敤㜳扡㤶戵㈰挷㠱㡢扣戲敢㉣昱ㅡ㜵㐴摡㜰扤戹扤〳ㄷ挹敡晣㕦扦攰戶㝤ㄶㅤてㄸ散晢㙡ぢ搹㡣ㅥ㕥捥慦扦昶挷攰搷㌷戸敤㌹昰捡攷摣搹㠶㌷㘳㜷っ㜱昰捣收㘲㐷㝢㘷㝢戹㙢昸ㅣ攴敦っ攷㔷㠵㤴㙢㙡㘲ㄳ敡晦㠰㠸愱㝤昲㠹搵戵昱慢てㄷ昳愳昳㤱〵㙤敤㑢摡攴㘸敡㍢昹㡤㈹㤲㔷晦晥散㈶挲㝥㜸摢〸昰愲扣昴捦挶收ㅥ㈸〷昵㡢昲摡㌹敥㌵挶㥥愸㡦㥡㌴㜱搲散愶㘴扣㕣捥㘶敤㔴㌱㤵捥愵攲昹愲㔵㡥攵㘳㜶㈱㕥捣㔹㜹搴㌲挶㕥慥㌴㔳㡣㕢挹㐲㍡㕥挸ㄶ捡愹㔴摣捥挷换㠹㑣戲ㄴ戳㑡㌶ㅡ攴昲㔱㕥㤵㘷㜸㜳㙦戴㌱昷㐱ㄱ攵挵㜸㘹晡㉤㑤㑤㌴昱搲扣㌴㔱㈰愵昵戵㌸㐴㕡搵㉢收㘸㔴㈳ち愲㈸㑡挲慥敢摦㕦㡣昲㝤晥㍦㜰愵摤晤㌲〵挳攰㠵昶晡㡢㠱㜹搵ㅡ㔵慦㐵㌶收㠱㥥㔹攴戸㑢㈸㈲搱㝥㌰搰㘶搸愸慥㍥㘹㘲㔳昵ㄷ㔷ㅡ㘵㤸〷挲㉣㤳〹昰㡤㤸㥤挶㝥戰慣〶㡢㈷戳㈸㕡愷愲㤸昳攱㌴㐷戲㡦ㄱ㈸㠴〱扢㕣户ぢ㘰攷㠲㝣㌴挰捡敤㐱㥣㠵㈷挲㔹〸㐷㡤搱ち㐹户㔳㑢㥣〱ㄹ愷㔷昵昴㌰ㄱ〹捤㜰挶ㅢ㈵愶㐷〴㜵慥ㄹ㘳㈱敡捥昴挸摡昹㘲㍡㤹㡡攵戳㔶㈶㔵㐸㘵慤㤴㕤捥愴慣㘴愶㕣㑥摡昹㐲搹㌸愰㈲㉤愵攲㔹㍢〳㜹㈶㤳㉡㔹愵㕣挲㑡ㄶ搳攵㔴㌹ㅢ换㔸㜹㉢ㄶㅤ愰挲㥢ㅤ㘸㘳㜶愲㠸づ搴愶㉥㥡ㄶ搱㌴㐸㥢㕣㤵㠸搲㠴㠷㌸づ㑦㠱慢て换㌸㠱捤㈶〷愲㠸㐴㔷㠷㠱㌶攳㈰㔴㐳㔶挳挱㌰㔷慦㠶㐳㘰昱慦㠶㌵㔴ㄴ昳㔰㌸攵㌷㔸㥡㥢㈱愸ㄸっ扢㕣つ㐷挰敥慥㠶戵㘰㤵慢攱㔰っ㐸慦〶㤳慢㠱ㅢ戳㌸ㄸ搶㈰昱戵搱㠸ち昳㘸㤴㈰扥づ敡㤲昸㌱愸㍢挴㜳㜶戱ㄴ㑦愶捡愹㔸㍣㤶㉡㤷ㄲ㤶㕤㑡愴戰〲㤲昹愴㥤㉤㘶㔳挶戱慥㌴㥤㑦挶㑡〵慢㤴㈹攴ち㘸㠰慤户㤴㑤挴㡢㤹㐴㌶㤵㡢攵攳愵攸扡㉡扣㜹ㅣ摡㤸挷愳㠸慥愷㑤ㄵ攲㐳戵㠹〲㈹ㄵㅢ搰㠴㠷攸昰ㄲ㍦㤵晥搳㔰㐴愲ㅢ挲㠹㍢慥づ搰㐶扥㈶㤱㐶㠷㙢晢㔹㌴挵愸搸ㅡ㠵ㄸ挹㘰慣㥤〳扢换㜰㘳㔸㈵挳昹㕥㠶摣㑢㑡㠶攵㔰㠶愳搰㠸ち昳〲㤴㘰戸〹敡㤲攱㠵愸㍢っ㔳㘵㉢㔳㑥㈴攳㤹㔲㍣つ㜶搹㕣㉥㥢㑤搸搹㐴㈲㤵戵敤㘴㌶㙥㕣攴㑡㡢ㄹ换捡ㄷ㤲攵㘲慥㤰㑦㘵㡡戶㤵㑦㘰㐷㘸挷㔳㐵慢㤸㑥㈵㑢㔱㘶〸㌰扣㜹㌱摡㤸㤷愰㠸㙥愶㑤㤵㥤摡收摡攴慡挴㤶㌴攱㈱昶昶㌲㕣捥㈸㔷愱㠸㐴户㠲ㄳ昷ㅡ㤳㍢て㤳扢ち㤳㝢㠷攸ㄸ㙤扦㤶愶㉣ㄵㄹㄴ㈲挶㘰慣慤㠰摤㘵㤸㠰㔵㌲㥣敤㘵攸捥挳㕤㐲ㄹ昲㜲㍦㠲攰ㄴ㉡㑡㌰㑣愱㉥ㄹ摥㠲扡㥡㠷搹㝣摡戶搲㔹扢㕣挸愵㤲愹戴㤵㠹ㄷ㡢㠹戴㤵㉡㤴敤㜲㌱㥦㌵㙥㜵愵昹㑣愹㤰挸ㄷ慣㐴㌲㙦㐳㤸戵昰ㄵ㍤昱㕣㈱㥢㑥愷ち㈵戴㠹㌲㘹㐰㌲扣つ㙤捣㤵㈸愲ㄹ㙤慡捣挳慣㌶戹㉡㌱㤶㈶㍣挴㔴㉦挳㝢ㄸ攵㕥ㄴ㤱攸㌶㜰攲ㅥ㤸㠷摢㙡晢〳搴㙥㐷挵㌸ㄴ㘲㍢〶㘳敤㘱搸㕤㠶攳㘱㤵っ户昵㌲㜴攷攱搸㔰㠶ㄳ搰〸㐱㙡捣㍦愱〴挳㠹愸㑢㠶㡦愳敥㌰捣攷戳昹㔲㍡㥥捦㤷挱㉤㤶挹攴㡡搹㜸戱㕣㡥摢㐵㍢㘹攵慣㥣昱㠴㉢挵㍥㌳㘹摢〹摣昲㠹㔴㈹ㄳ捦愵㘲攵㘲㌹㥤挵ㄷ戲搹挹戴ㅤ㡦㑥㔲攱捤㈷搱挶㝣ち㐵㜴戲㌶㔵收攱ㄴ㙤愲㐰㑡挵づ㌴攱㈱㘲㕥㠶捦搳晦〲㡡㐸㜴㍡㥣戸〷收攱㡥摡晥ㄷ㙡愷㔰㌱ㄹ㠵㤸挱㘰慣扤〶扢换㜰㘷㔸㈵挳㑤㐲ㄹ㙥ㅣ捡㤰㔹〱〸㠲ㄳ㠲㈸挱㜰ㄷ搴㈵挳户㔱㔷っ㑢戱㐲ㅣㅢ㘴戶㤸挴㐱〷戶搶㘲愹㤰挱捣捣㘵戲昱㝣㈱㥥㌶摥㜱愵搸ㅢ挶攲㠹㑣づ㜳㉥㥦㉡㈴㔲㔶㌱㥦捡愶ち戹㘲㈲㥢㐹愵昳昱攸慥㉡扣昹㉥摡㤸敦愱㠸捥搶愶ち㐳㈶ㄸ挸搹敡慡挴㙥㌴攱㈱搶昳㌲晣㉢愳㝣㠲㈲ㄲ摤ㅤ㑥摣〳っ㝦愳敤㥦㔱㍢㠳㡡㥤㔰㠸㍤ㄹ㡣戵㉦㘰㜷ㄹ敥つ慢㘴ㄸ昵㌲㜴户攵搵㐲ㄹ㌲㔱〰㐱㙡捣慦㔱㠲攱㙦㔱㤷っ扦㐱摤㘱ㄸ挳㠱㕡㌱㤷戰攳㤹㘲㌱㔵〲搰㜴戲㠰㐹㔶㐸挶慣㜸ㄲ摢戵昱慤㉢㑤挵ぢ愹㔴㌱㔹捡愷攳搹㔴ㄲ晢挲ㄸㅢ㈵㤳㐹慢㔴挰ㄷ〴㕡搱㈶ㄵ摥晣づ㙤捣敦㔱㐴昷搵愶捡戶㙣㘹ㄳ〵㔲㉡㑡㌴攱㈱敡扣っ㝦愶晦ㄷㄴ㤱愸つ㈷敥㠱㙤戹慣敤戵昵㜰捥愱㘲㌶ち㌱㥦挱㔸慢㠷摤㘵戸㍦慣㤲攱て㍦㠴扤㉥晦ぢ搶攰敢昲〲㌴挲ㄸ㜰㑥ぢ愱挰戰〵㜵挹㌰㠲扡挳搰㑥挹㤷㄰散攵㘲㤸㠷㠹㔸㉥㘹攳昵㈲ㄶ㉦㈵㤲挵㝣㍡㤶㌲〶戸搲㔸づ㐷捥㔶㉣㤵㈹㘵㠱㍢㤶戶ち㠵㜲㈹㤷戵昲搹戴㕤捡㤷㌳搱㔶ㄵ摥ㅣ㠸㌶收㈰ㄴ搱㌶㙤慡㌰㘴ㅥ㠲㥣㠷慥㑡㜴搰㠴㠷昸〷㥥㠶㝢㈴戴㈶愳っ㐶ㄱ㠹㌲挹〰昷〰挳㉥㙤㕦㠷㕡㝥挵㠵戹〷ち戱㤸挱㔸ㅢち扢换㜰㈹慣㤲攱㠷㕥㠶敥晥昰晤㔰㠶换搰㐸㌲摣㄰愱挰昰㐰搴㈵挳攱愸㍢っ搳攵㐴㌹㤱挸㈵捡㔶㉥㤷挲昱㘱摥㑡挴攳昱㜴㍣㕤㉥摡㜹扣㑡ㅢ㈳㕣愹摣昱㔹㤹㠴㙤挵㡢愹㑣扡㥣戳㌳挰㕥㑣ㄴ攳㐹㝥㉤㝦㈱㝡㤰ち㙦㡥㐴ㅢ㜳㈳ㄴ搱㠳戵愹戲㉤㌳㌷㐱㌲愴㐰㑡挵攱㌴攱㈱㕥昵㌲摣㥣晥㉤㔰㐴愲㐷挰㠹㝢㘰㕢㍥㔲摢挷㔰㙢㔱戱㉦ち㜱ㄴ㠳戱ㄶ㠷摤㘵㜸っ慣㤲攱㥦扤っ摤㙤昹改㔰㠶捣㌱㤰っ搳〸〵㠶挷愱㉥ㄹ㘶㔰㜷ㄸ㈶慣㌴㡥㘱㜰㐰㔸挰㝢戶㐲㌶㔹㈸㤶戰戵㤶戳戹㘲㍣㔳㈸攷㙤㈳敢㑡㔳㜶㌲㔶㠸㘱ㅦ㤸挵㌶㥤㑤攴㜳戱㐲愲㔰㈸愴㔳㠹㔲㈲㕢捣攴愲挷慢昰㘶づ㙤捣㍣㡡攸〹摡㔴㤹㠷㈷㙡㤳慢ㄲ愷搰㠴㠷㜸挸换㜰㝢㐶ㄹ㡦㈲ㄲ㘵㉥〲敥㠱㜹㜸㥡戶㑦愶㜶㍥ㄵ晣摡づ㜱〶㠳戱㌶つ㜶㤷攱㔹戰㑡㠶㜷㝡ㄹ扡昳昰昶㔰㠶捣㍢㤰っ㜷㐲㈸㌰晣㍤敡㤲攱っ搴ㅤ㠶昸㜹〷㙣㥢㌶て㘵戲愹㜸㉥㔷㐸㤷ち戱㑣㉡㤳㈹攷㤳㔶㈱㙤ㅢ㌳㕤㘹㍣㔷㑥愴ㄲ㐹散〶㔳愵㔴慥㥣㉢㤴㌳㔶づ㉦㍢戹㝣ㄹ㕢戴㔵㡡㥥愳挲㥢㍢愳㡤㌹ぢ㐵昴㕣㙤慡捣挳昳戴㠹〲㈹ㄵㄷ搲㠴㠷戸摥换㜰ㅥ晤扢愱㠸㐴㤹㥥㠰㝢㘰ㅥ㕥慣敤㝢㔲摢㑥〵㍦摣㈲㉥㘵㌰搶昶㠱摤㘵㜸㌹慣㤲攱攵愱っ㉦つ㘵㜸〵ㅡ㐹㠶ㄶ㐲㠱攱㤵愸㑢㠶〵搴ㅤ㠶㈵ㅣ戱挴慣㜴㈱㥤挸㤵戱愷戳戰㥤收捡㜸㘱挹㘰㍥挶㌳戱㤲㔱㜴愵搸ぢ收换㜱扣㠱㑣ㄵ㌰㜱敤㘲ㅥ㉦攳㘵扣昰挴戰ㄶ攲㜶㈱ㅢ㕤慥挲㥢㈵戴㌱㙤ㄴ搱慢戴愹挲㤰㔹つ㜲㕢㜶㔵攲㕡㥡昰㄰扦昷㌲㕣挰㈸㉤㈸㈲搱敢攰挴㍤挰昰㝡㙤㕦㐸敤㘲㉡ㄶ㤱攱つっ挶㕡㈷散㉥挳㥢㘰㤵っ㑦ち㘵㜸㐲㈸挳㥢搱㐸㌲㕣㠲㔰㘰㜸ぢ敡㤲攱㔲搴搵㍣㑣㘰捡㘵㑢攵㔸〲㙦㔳㤲ㄶ㡥㕡昲搸㐳昲ㅣ㑢㉥㔷㑣㕢㈵㘳㤹㉢挵昱㑥㈱㔶捡攷㘳搹㔸㈹㤵挷晢敢㔸㠲㌳ㄱ㠷㤴㤹㙣㌲㥦㐹㐴㤹攳㈰改ㅣ㠸㌶收㐱㈸愲户㘹㔳㠵㈱ㄳㅤ愴㡡〲㤳㔲㜱㈷㑤㜸㠸挳扤っ㡦愰晦㐸ㄴ㤱攸㕤㜰攲ㅥ㘰㜸户戶ㅦ㐳敤㈱㔴昰晢㐷挴扤っ挶摡昱っ㑦ぢㅦ㝦㠴㔵㌲㕣ㅣ捡戰㉢㤴攱晤㘸㈴ㄹ㥥㡣㔰㘰昸〰敡㤲攱㈹愸敢㙤㌹㔳捥挴戱㔷㑢愷昱ㄲつ㌶戹㘴ㄱ㙦㠱昱慥戹ㄴ㉢㤷㌰て㑦㜵愵㜸㠳㥣㡥挷㑡搸㕦攲㥤㘰ㄹ昸㑡㈵扣戸攴㜱㙣㥥㉡㈵戳改㕣昴㐱ㄵ摥㍣つ㙤捣搳㔱㐴ㅦ搲愶ち挳㠷戵㠹〲㈹ㄵ㡦搱㠴㠷搸摦换昰ㅣ晡捦㐵ㄱ㠹㌲慦〱昷〰挳挷戵晤㐲㙡㡦愲攲㜷愴昵㈴散㤲攱㈵戰扢っ㥦㠶㔵㌲摣搷换搰㝤㑤昹㙤㈸挳㘷搰㐸㌲扣〲愱挰昰捦愸㑢㠶㔷愲敥㌰捣搸搹㔲戲ㄸ戳㔳愵㜲ㅡ㝢挱㕣㉥㤹挶ㄱ㘲㈶㠷㌷㜲愹㔸㍡㥥㌲㤶扢搲愴㥤㠸攳搴㐲〶㤰昱挲㤲挱㙢㑡㌱㘷㘳㌲收换㐹扣㑡挷搲㔱㘶㐲挸ㄹ㜶ㄵ摡㤸㔷愳㠸㍥愷㑤㤵搷㤴攷戵㠹〲㤳㔲昱ㄲ㑤㜸㠸戹㕥㠶㉢攸扦〱㐵㈴捡㘴〷摣〳慦㈹㝦搱昶㕢愸㍤㤱㡡ㄳ挸昰㔵〶㘳㙤㈵挳搳挲挷敢戰㑡㠶㍢㠶㌲摣㈱㤴攱ㅢ㘸㈴ㄹ摥㠵㔰㘰昸㈶敡㤲攱摤愸㍢っ戳搹㘲ㅣ㠷㠵㜹散搴戲㈹扥㘲ㄴ昳㜶㍡㠷㤷摦戴ㄵ换愶㡢㌱攳ㅥ㔷ㅡ㉢愷慣〴收㙢挱㡥㔹愹戴㡤户㠷搹㜸愲㤸㠹愱㐵慡㤸㈹愷愳㑣㡦㤰っ敦㐵ㅢ昳㍥ㄴ搱户戵愹挲昰ㅤ㙤㜲㔵攲㝤㥡昰㄰摢㜹ㄹ㍥捣㈸㡦愰㠸㐴㍦㠰ㄳ昷〰挳て戵晤㜱㙡捦愰㠲㕦愴㈲㍥㘶㌰搶㥥㠲摤㘵昸〹慣㤲㘱捡换搰㝤㕤㑥㠴㌲晣ㄴ㡤㈴挳㘷ㄱちっ晦㠶扡㘴昸ㅣ敡㡡㘱㍡㔶挶㍣㑣攴㜲攵㔲ち㈷ㄹち搹㔲ㅡ㉦戸㌸〱㤶㑤㘷昱㙥挵㜸摥㤵㤶ぢ㠵㔲戶㥣㈸挴㌳㌶㑥㑢收㤲昹㐴㈹㤹攴搱㘴搹㉡收㘲㠹㐲昴敦㉡扣昹〲摡㤸㉦愲㠸㝥愶㑤㤵㙤昹㜳㙤愲㐰㑡挵㤷㌴攱㈱㌶昳㌲㝣㡤晥搷㔱㐴愲㕦挱㠹㝢㘰㕢晥愷戶扦㑤敤㜹㔴昰扢㔸挴㌷っ挶摡㝢戰扢っ扦㠳㔵㌲摣挰换搰摤㤶㠷㠵㌲晣ㅥ㡤㈴挳㡦㄰ちっ晦㠵扡㘴昸㌱敡づ挳㝣挹㑡攴㜰挸㔷㑥攱㑤㐹㍥㔹挶㐱㜶ㄹ挷㝦昱㘴戶㥣捤攳搸捦昸慢㉢挵搹挵ㄴ㕥㐰㜲㌸㔹㤸挱昹挳㙣㉥ㄱ㉦攳捤㜲愱㔸㐸攰㜸戲㤴㠹晥㕢㠵㌷㍦㐱ㅢ昳㔳ㄴ搱ㅦ戴愹㌲て㝦搴㈶ち愴㔴晣㐲ㄳㅥ㘲つ㉦挳㉦攸晦ㄲ㐵㈴晡㉢㥣戸〷收㈱㥦㥤戴㝦㐳敤愵㔴㕣㠲㐲挸搴〷搶扥㠷摤㘵挸搴〷挹戰挱换搰㥤㠷㐶㈸挳㝡㌴㤲っ㝦㐴㈸㌰㌴㔰㤱っ㝦㐲摤㘱㤸㡢㤷㑢㜸㔹㉥ㄷ㤳㝣愱㐸㘵ち㌸攱㕤挰昹㐴㙣愶㌸攷㥡戱㡤㥦㕤㘹愲㤸捤攴㜰散㔸挰摢扤㔴㈶㠶户㝤㌶摥ㄳ收昰㝡㡥昳攴挹㔴㈶摡㕦㠵㌷㝦㐱ㅢ昳㔷ㄴ搱〶㙤慡捣㐳㔳㥢㕣㤵㘰㤲㠴㘴昸搳扦㍤敦昵敡つ㐴㌱㔰㐴愲㠳㈰㤰慣㝣攷て㤹㍡㈱敤ㄱ㙡昹ㅤ㉥收㔵㘴ㄸ㠵㕤捥挳㐱戰扢っ搷㠰㔵㌲晣㈷扡㜱捦㘳扢っ扦㠴㌵昸㝥㜹㑤㌴挲ㅤ㍦搵㠶㔰㘰㌸ㄸㄵ挹㜰つ搴ㅤ㠶㔶㉡ㅢ捦㈶㜱㔶ㅡ㤳㡡㈰㜲㤹㝣㉡㤱㉦攲昰戰㔰㑣攰挴㠳戱愶㉢戵戳昹㥣㥤捣挵㜱㕡㈷㤹㑡㈶㜳㔶㌶㤵挶捦㄰攰晣㘳㍡㕦戶慣㕣㜴㠸ち㙦づ㐶ㅢ㜳〸㡡㈸ㄳ㉡搸愳㔹㘱戸戶㌶戹㉡挱扣〹挹昰㘳㉦挳愱㡣㌲っ㐵㈴㍡ㄴ㠲㌰㠶挳戴㝤㌸戵晣ㅡㄸ㤳㕦㉡㈳㌶㠰㕤㌲摣〸㜶㤷攱㜰㔸㈵挳㌷扤っ摤㙤昹昵㔰㠶㑣㤳挰ㅤ㥦㐱㐳㈸㌰㘴㑡㠴㘴戸ㄹ敡㙡㕢㑥ㄶ攲㜱昰㐸㘴㘲改ㄴ㕥㜰㉤扣攵〳㈹㙣挸㠹㌸㑥攷㈴㡤捤㕤㘹慥㤴㉥收昳㔶㍡㕦挰晥搰挶㌹㔸㡡㤲㠹㈲摥捥攰㕣㘲㍣ㅥ㘵戲㠵〴戶〵摡㤸愳㔱㐴㤹㘳㈱㑤㤵㙤㜹㤴㌶戹㉡戱ㄹ㑤㘰㈴㥥昳㌲㡣㌳㑡〲㐵㈴扡㌹〴㤲愱敦㕡〰㔳㉣愴㍤㐳敤㑡㍥搵摢挸㔰㘶㑤戰㤶㠷摤㘵挸慣〹挹昰㌱㉦㐳㜷ㅥ㍥ㄲ捡㜰㙢㌴挲ㅤ㈷㜷ㄱちっ㘳愸㐸㠶摢愱敥㌰捣愶昰戲㕡㉥挷捡㘹扣昹戰搲㌸㌷㤳㡢攱㔵愵㤴㑡㘳㥦ㄷ挳戹慦敤㕤愹㘵㘷㙣㕣摤挴摢扢戲㥤捡挷昳㔶戶㤴挹ㄶ㘳㘵扣昸㘰㌳㉦愶愳捣挰㤰挰挶愳㡤㌹〱㐵㌴愱㑤㤵㜹㤸搴㈶ち㑣㑡〵昳㉢㈴挳扢扤っ愷搱扦〳㡡㐸㌴ぢ㐱搸㍣㘴搶㠵戴捦愰㤶㕦㐶㘳昲慢㙤㠴㑣愴㘰㙤ㄶ挳搳挲挷戶㔰㑢㠶㌷㠵㌲扣㈱㤴攱㌸㌴挲ㅤ㘷搶㄰ちっ户㐳㐵㌲㥣㡢扡㘲〸㈸攵㘲扡㔴㑡挴㤲㈹㍢㤶挷㝢ㄱ㕣〳挴㤹㥣㑣㌲㠷晤㘱挶㤸攷㑡敤㘲ㄲ㙦慣换〵㥣㜲㡤愵㙣㥣愷㉤攵㘲改㍣㡥㜷捡㤶㥤戳㤲挹㈸㤳㌲㈴挳摤搰挶摣ㅤ㐵㜴扣㌶㔵ㄸ㌲㌳愳㕡㈵㤸㜲㈱ㄹ㕥改㘵戸て愳晣ㄶ㐵㈴㍡〵㠲㌰㠶㔳戵扤㐰敤挳㝣慡て㤱搶づ戰ㄳ㥢㘹挳敥㌲㘴㙥㠵㘴㜸㝥㈸挳㜳㐳ㄹ敥㠴㐶戸搷㤸捤〸〵㠶捣愶㤰っ昷㐷摤㘱㠸㔳〶㠹㘴〹㘷㕤戲㝣㘱㐸攳慣㜴ㄶ㐷搸攵ㄴづ晣㠰㈵㤷㌶ㄶ戸搲㜲㌲ㅤ户戱慦捣攳敡ㅥ㑦昱㔸㠹㙣㍣㠳㠳ㅤ扢㠴㜷搰㌱㥣㍦㥣愹挲㥢㉤㘸㘳戶愲㠸㌲㍤㐳〲慢㌰㥣愵㑤ㄴ㐸愹㤸㑤ㄳㄸ㠹㔳扣っ㍢改敦㐲ㄱ㠹捥㠱㈰㡣攱㕣㙤㕦㑡敤㤳㝣慡晣㠲㥤攸㍣搸㜱挷敢㌸散㠳晡搵㌳搱㘰ㅢ摦ㄵ昹昰敦搳ㄸ敤晦㘱㤳㈹昸愱ㄲ收㈳搶昴挳ㄷ〹㌸ㅦ扦慦慢ㅤ晢㥦挵攲㌵㝦㝥晢〶ㅦ昵㐷攱戹晥ㅦ攲㜰㘶㔴㜲㌹ㄸ㜱㐳㍣捣㐳昰㠴敢昷挶搳㡤㠵つ戱愷㕦㤵㐴挳㥡㈱慤搳㍢㤱て㠰㕦㈷㥤摢㍥挱晤㘹换搵㜵㥥挰㘸晤㝢ㅢ愳㉡㤶〹㠵㑥㝣㜳㑢㤷慤㥢捤敡㜰摢攱昷㉢㤰ㄷ〲挷㘸晥㍡挷㤰㑡捤昳昵〵㐳㉢搶改㙤㥤昸㈵ㄹ扢愴㈳㜶攲㘳晣㜵戵晤㐴攸㌷㡡愸㥦㔲攰昷ㄵ㌰ㅡ㝥㑢㘶㝡㠹〰㠶㠶㝣㜹挳挴收㉥昹攵㈷挳攰ㄷ㈶㤳㑣㡣挳㠸㘹摣挶ㄳ㌷㡥搷ㅦ㡥昵戰捡㕤㔴㔳㘷㠷㥣ㅡㄱ昳〸挴ㄳ晢㈰㌲搱ぢ㜳㉦昶昱㍢摤㐷㐲ㅣ㡣㍥搸て攷㌰扥㜲㤳㘲㙥㄰摡㈴㤸㠱挲ち㠳㌵㌲㤱〳挷㘳㌵㔰㜹㙦㕦㙥慦㙡攳㥤晦つ敡㝦㜴㝣㈳戳㍥㘴㡢㝤挴㠸㌳㈶搴扦㝢搸㈵㕦㕤扢捤愸㡢㙥晣㔵晤㍦捣㘹戱㠷㙡㤱ㅦ㉦收愳挵㈸㔸捤昷㔸扣捦攲〳ㄴ㘲〹〶昱㍡扥搵㈱昰㍢て㡢㤵挳晦㍢て搱〵㠸㠴㍢摥攱㘲扣㠳晡㠹㜶㔴戸戹㠹㉥戴攰ㅣ㈷㈴昳㘴㍥攵づ㤸ㅤ㍥捣攴㌰㑥㠵㑤慥㠳㠴㔸〸㥤㠶ㄱ㌱㑦愷戸搳ㄵ㌳㤷挳㌸㔳㡢攳愲㐵㠹ㅤ昲㘷㔳捣㈳〵摤㕥㉣㔲ㄵ〹㤳改ㄸ㝤㠳挹摣㡤扥挱㍣ㄴ㉤挲㘰敥㠷㠱㠶挲㉣㉢㠷晦㌷㈳愲㑣攵挰ㅤ㐹〴㜸㔶㠰㜹㌴㉡ㄲ㘶〹㉤㕣㤸ㄷ昱㈹ㅦ〷㤷〳昳ㄸ㉣ㄹ㤷㔴昸散㕢挵攷㌲㡡㤹㐲攱㠸㡦愵昸ち㉤㑥㠸扤㤵搸㤹㤹换攱㘸㍣ㄵ㤲扥㈱㘳昲㐵摦㤰㥤㠵ㄶ㘱挸㜶㔷㘴〲昳㙦㌷攵昰晦捡㐴昴ㅣ㐴挲扤挶扣づ㘳〷戲ぢ㔰㤱挸收愲㠵㡢㙣〵㈹㕣っ㤷㐳攱㐲㉣ㄹ㌷㔶㈸散㔲㐵攱㘶㡡㤹㔲攱㠸㉦愲昸㔶㉤㡥㡢ㄹ㑡散捣扦㤵㜰㌴㉥㠷愴㙦挸慥搲㉤㔶㜹㤳㘵摡㐵ㄸ戲㘹㡡㑣〰搹㔴攵昰晦㉥㐵㜴〵㈲攱㡥㘳㌶㡣ㅤ挸㤸㙤㈱㤱㑤㐶ぢㄷ搹㝤愴㜰ㅢ㕣づ㠵㕢戰㘴摣慦㈹㈴挴㜸㐵挱㤹㌸て㔲扣搲ㄵ摦㑡昱挳㕡ㅣㄷ摢㉡戱㠳散㔱㌸ㅡ敦㠱愴㙦挸敥搵㉤㔶ㄹ搹〳㘸ㄱ㠶㉣慢挸〴㤰㘵㤴挳晦㑢ㄶ㔱收㘵攰㡥ㄳ㑥ㄸ㍢㤰㌱戹㐲㈲㑢愱㠵㡢散ㄹ㔲㘰㈲㠴㠳散㜱㉣ㄹ捦㔶㈸挴慡㈸㍣㑦㌱昳㈱ㅣ㌱㜳㉥㡣ㄷ戵㌸㈱戶㔴㘲㠷敦换㜰㌴㌲㌹愲㙦挸㕥搰㉤㔶ㄹㄹ㤳㉡挲㤰㙤慡挸〴㤰㙤愲ㅣ晥摦扥㠸扥㠶㐸戸攳ㅢ捤㌱㜶㈰㝢ぢㄵ㠹㙣㘳戴㜰㤱扤㐵ち敦挲攵㔰㜸ㅢ㑢挶㍢ㄵち挳慢㈸扣㐷㌱昳㈳ㅣ㌱㔳㉣㡣て戴㌸㉥㠶㈹戱㌳换㍥㠲愳㤱戹㄰㝤㐳昶㠹㙥戱捡挸㤸㐳ㄱ㠶㙣㙤㐵㈶㠰㙣㉤攵昰晦㕡㐶昴ぢ㐴挲ㅤㅦ愲挲搸㠱散㙢㔴㈴戲挱㘸攱㈲晢㥣ㄴ㤸收攰㔰昸〶㑢挶ㄷㄵち搱㉡ち㕦㔱晣扤㉢晥㤶攲慦戵㌸㈱〶㉡戱㌳换扥㠵愳昱㘷㐸晡㠶散ㄷ摤㘲㤵㤱㌱㘵㈲っ㔹㝦㐵㈶㠰捣㔰づ晦敦㙢㐴㤹㘴㠱敥昱㈹㈹㡣ㅤ挸㑣搴㈵戲㍡戴㜰㤱晤㑣ち捣㔷㜰㤰㌱㝤挲昸戵㐲愱愶㡡〲㝦ㅦ㕢㌰晢挱ㄱ㌳㠱挲攸〷㥢㜳扣㈸㝥晡㤷㜳慣攲捣戲㝡㌸ㅡ㤹改㠰㝢ㅦ㡥搸㤸ㄶ㈱㕢慣㌲戲㜵㈰ㅦ挵㈷敡㍢㘲晢ㅥ挳〹㍤挸昸㑥㌹晣扦挸ㄱㅤ㡡㐸ㄲ搹〰㡣ㅤ挸㤸ㄸ㈱㤱㝤㠳ㄶ㉥戲㐱愴挰㈴〶㠷挲㜰㉣ㄹ㡤ㄵち㕦㔶㔱㔸㥤㘲收㌲㌸攲ㄱㄴ慦愹挵〹昱㤹ㄲ㍢戳㙣〸ㅣ㡤㥢㐳㠲㝢ㅦ㤰㌱ぢ㐲戶㔸㘵㘴㑣㠸ㄸㄵ㠲散慦㡡㑣㘰㤶㝤慣ㅣ晥摦昰㠸㌲㠵㐲㈲ㅢ㡡戱〳ㄹ昳㈰㈴戲て搱挲㐵戶㍥㈹㌰ㅢ挱愱挰攴〸㘳挳ち㠵㜷慢㈸㡣愰㤸戹つ㡥㤸改ㄱ挶㐶㕡ㅣㄷ㙦㉡戱㌳换㐶挱搱挸㍣〶摣晢㠰㙣扣㙥戱捡挸㈶愳挵愸㄰㘴慦㈸㌲〱㘴㝦㔱づ晦慦㝥㐴㤹㌱㈱㤱㡤挶搸㠱㡣㘹てㄲ搹㑢㘸攱㈲摢㡡ㄴ㤸愲攰㔰㘰㉥㠴戱㜵㠵挲㜳㔵ㄴ攲ㄴ㌳㔳挱ㄱ㌳ㅢ挲㐸㙡㜱㐲㍣慤挴捥㉣㑢挳搱挸戴〵摣晢㠰㡣㌹づ戲挵㉡㈳摢ㄳ昲㔱㈱挸晥愴挸〴㤰㍤愶ㅣ晥摦〹㠹㌲㐱㐲㈲摢〶㘳〷㌲ぢ㜵㠹散ㄱ戴㜰㤱㡤㈳〵收ㅡ㌸ㄴ㤸晡㘰㙣㕦愱昰㐰ㄵ㠵〹ㄴ㌳㜳挱ㄱ㌳昹挱㤸愴挵㜱㜱慦ㄲ㍢戳㙣ちㅣ㡤捣㔲挰扤て挸㤸搲㈰㕢慣㌲㌲㘶㌷㡣ち㐱㜶㠷㈲ㄳ㐰㜶扢㜲昸㝦㔹㈴捡㝣〸㠹㙣㈷㡣ㅤ挸㤸搴㈰㤱摤㠶ㄶ㉥戲㤹愴挰慣〲㠷〲㌳ㅤ㡣㔹ㄵち㌷㔵㔱搸㤵㘲收㈱㌸㘲收㍡ㄸ㜳戴㌸㈱慥㔷㘲㘷㤶捤㠳愳昱〸㐸㜰敦〳㌲㘶㌰挸ㄶ慢㡣㡣挹っ愳㐲㤰㕤慤挸〴㤰㕤愵ㅣ晥摦㈲㠹ㅥ㡦㐸ㄲ搹㕥ㄸ㍢㤰㌱㠷㐱㈲扢ㄲ㉤㕣㘴晢㤰〲昳つㅣち㑣㙣㌰㥡㌴㠵戸戸㔴㔱㜰㈶㡥㐵㌱搳づㅣ㌱㔳ㅢ㡣愲ㄶ㈷挴㠵㑡散㈰戳攱㘸㘴づ〲敥㝤㐰挶㠴〵搹㘲㤵㤱㌱㜷㘱㔴〸戲㜳ㄴ㤹〰戲摦㉢㠷晦搷㑢愲捣㜶㤰挸ㄶ㘰散㐰挶㤴〵㠹散㉣戴㜰㤱戵㤲〲㜳〶ㅣち捣㘳㌰摡㌵㠵戸㌸㑤㔱㜰㤰ㅤ㐰㌱戳っㅣ㌱㌳ㄹ㡣㑥㉤㑥㠸㤳㤴搸㐱戶〸㡥㐶愶ㅣ攰摥〷㘴捣㑦㤰㉤㔶ㄹㄹ㔳ㄵ㐶㠵㈰㍢㔶㤱〹㈰㍢㐶㌹晣扦㜷ㄲ㘵㜲㠳㐴㜶㄰挶づ㘴捣㔰㤰挸㡥㐲ぢㄷ搹㈱愴挰㍣〱㠷〲搳ㄶ㡣挳㉡ㄴづ慦愲㜰〴挵捣㍡㜰挴㑣㕣㌰㝥愷挵㜱㜱戰ㄲ㍢㝣㡦㠶愳㤱ㄹ〶戸昷〱ㄹ搳ㄱ㘴㡢㔵㐶挶捣㠴㔱㈱挸㤶㈸㌲〱㘴㡢㤵挳晦ぢ㈹㔱收㌲㐸㘴㈷㘲散㐰挶㠴〴㠹慣ぢ㉤㕣㘴㈷㤳〲㤳〷ㅣち捣㔲㌰㑥慤㔰㔸㔸㐵攱㜴㡡㤹㐳攰㠸㤹愷㘰㥣愹挵〹搱愲挴捥㉣㍢ㅢ㡥㐶㈶ㄴ攰摥〷㘴捣㍥㤰㉤㔶ㄹㄹㄳㄱ㐶㠵㈰摢㑦㤱〹㈰㉢㉢㠷晦㌷㔵愲敦㈱㤲㐴㜶〱挶づ㘴捣㍦㤰挸㑡㘸攱㈲扢㠸ㄴ㤸㉢攰㔰㘰㔲㠲㜱㠹愶㄰ㄷ晢㉡ち捥挴戹㡣㘲愶っ㌸㘲愶㈵ㄸ㔷㘸㌱捥㤷㈹戱㠳㙣㌹ㅣ㡤捣ㅦ挰扤て挸㤸㙣㈰㕢慣㌲㌲收ㅤ㡣ち㐱戶扢㈲ㄳ㐰戶㥢㜲昸㝦㠵㈵捡㑣〵㠹散㍡㡣ㅤ挸㤸㙥㈰㤱捤㐵ぢㄷ搹ち㔲攰㐵㝦㠷〲㜳㄰㡣ㅢ㉢ㄴ㜶愹愲㜰㌳挵㑣㈱㜰挴捣㐲㌰㙥搵㘲㥣㉦㔳㘲㠷敦㑡㌸ㅡ敢昹摥慢㑦挸㤸㕢㈰㕢慣㌲㌲愶ㄹ㡣ち㐱㌶㑤㤱〹㈰㥢慡ㅣ晥摦㙤㠹づ㐲㈴㠹散ㅥ㡣ㅤ挸㔶㐷㕤㈲㥢㡣ㄶ㉥戲晢㐸㠱搷昸ㅤち㑣㌹㌰敥搷ㄴ㜰扥㑣㔱㜰㈶捥㠳ㄴて㜱挵㙢㔲晣戰ㄶ攳㝣㤹ㄲ㍢挸ㅥ㠵愳㜱㈸㈴㝤㐳挶㔴㠲扥㈱ㅢ㡥ㄶ㘱挸戲㡡㑣〰㔹㐶㌹晣扦昴ㄲ摤〸㤱㈴戲愷㌰㜶㈰㘳㌲㠱㐴㤶㐲ぢㄷ搹㌳愴挰㑢晡づ㌲㘶ㄸㄸ捦㙡ち〹ㄱ㔳ㄴㅣ㘴捦㔳㍣摡ㄵ㌳挷挰㜸㔱㡢攳㘲㑢㈵㜶㤰扤っ㐷㘳ㅣ㤲扥㈱㘳收㐰摦㤰㌱㠹㈰っ搹愶㡡㑣〰搹㈶捡攱晦㙤㤸㈸搳づ㈴戲㌷㌰㜶㈰ㅢ㠷扡㐴戶㌱㕡戸挸摥㈲㠵昱㜰㌹挸㤸㔰㘰扣㔳愱㌰扣㡡挲㝢ㄴ㑦㜰挵摢㔳晣㠱ㄶ㈷挴㌰㈵㜶昸㝥〴㐷㈳慦晤昷つㄹㄳ〵晡㠶㡣㌹〳㘱挸搶㔶㘴〲挸搶㔲づ晦慦挹㐴㘷㈱㤲㐴昶㜷㡣ㅤ挸收愰㉥㤱つ㐶ぢㄷ搹攷愴挰换晡づ㌲收てㄸ㕦㔴㈸㐴慢㈸㝣㐵㌱㉦晦㍢攲㜹ㄴ㝦慤挵㜱㌱㔰㠹㥤㔹昶㉤ㅣ㡤晢㐰搲㌷㘴捣ぢ攸ㅢ㌲愶〸㠴㈱敢慦挸〴㤰ㄹ捡攱晦晤㤹愸㡤㐸ㄲ搹㡦ㄸ㍢㤰㌱㌳㐰㈲慢㐳ぢㄷ搹捦愴挰慢昸づ〵愶ぢㄸ扦㔶㈸搴㔴㔱㄰つ㄰户扡攲〵ㄴ昷㠳㑤㕤摢晢改㝢敦戵扤㝡㌸ㅡ㍢㈱改ㅢ㌲愶〱昴つㄹ㌳〲挲㤰㝤㡦攱㠴㥦㉦㔳㡥挰㉦搶ㅣ㠴㐸扤晤㘲つ扦㉥挱敥㤴扦慡搲㠸搷㥣晡㌲扦攰㘱㐰搹㌱昳戲㍦扥攲愱戹愵㐵㝥㍢挲㐰晣挰㐴挷〲扢㘳〶㝥㐷〵㍦㉢㌱愷戹㔵㝤㍣ㅦ扦慦挲敦敢搷㍦㘱㘰捡ㅡㅢㅢ攵㔹ㅤ昸㑤㠳晥攵改㥤昸晤㥢㔲㐳敢㉥㔶㔷㤷摤搱昶扦昰敢ㄳ昸扥ち㝥㠹㈰㙥捥敦㑥㠴㝥㔵〴扦〳㈲昴ㅡ扢㈴㌶愶挲㘳〶㝥ㄹ㠵戹っ戵晣㕤㡡晦散愷㜰㡣〱㤸㘲晡㕢搲㑡㥥㕦㕡愹ㄳ摦㘰ㄵ㍢㔹㠳㠷搷晣捡㈱昳昲扤㌹〸㝡㘳㌵ㄴ晤㈶㜴戶捡㡣ㅢㄴㄱ戳ㄱㄶ昹ㅤ㉢戲愸愹㍦〴搳挰晦攴昸攵ㅤ晣捡戶㥡晡㈵捤愵慥昹挶㝣扢㜹扦昹㕤昸㤲㡥〱㝣挶晡㔶㜷〴㥡昶㤴㤸挰ㅤ㜰晦搶㈶慢愳挳㕡搶搰摡搴㘲户敤搷㌵扦愱㘹㌱昲㌰昰ぢ㌱搸敥ㅡㅡㅡ捣搵㌱ㅥ〷㌴㌶户愳ㄱ㤱㔱捤㌵扣搶ㄳ㘱攱㙣㌵搶㠴㌵ㅣ挱㘷愱〸㠶㐰㙦慣㠵愲ㅡ挱摡戰㜸㄰㠸㤳ㄱ㥢ㄸ昴㑤㥣㡥㡡ㅣ挶扡㔰扡㠳㍢㕢㕢搷昳㕡㉦㠰㤵㠳㌳㌹戸㍡昱㘱攸㐰搶㘷㡦ㅣ㐸㘵㍤㙣㐸ㄳ扦敢挶㔹て攲㈲挴愸ㅡ挴㘵扡扢ㄱ㔰扡㠳㔸慥慤㈳扤搶敢㘰㤵㠳攰㈴愹ㄳ㙦㠶づ㘲ㄴ㝢攴㠴愸っ㘲㔳㥡㍣㠳㔸攱ㅦ挴捤扡扢捤愱㜴〷戱㔲㕢户昰㕡敦搱㠳㜰㐸扣ㄴ㍡㠸慤搸㘳㌵㠹慤㝤㠳戸捦㍦㠸〷㜵㜷㜱㙦㜷㡦㙡㙢挲㙢㝤㑡て挲㈱昱㜴攸㈰搲散戱㥡㐴搶㌷㠸㘷晣㠳㜸㕥㜷㤷昷㜶昷戲戶㡥昵㕡摦愸ㅥ挴㈳愱㠳ㄸㄷㅣ挴昶扥㐱扣攵ㅦ挴㝢扡扢〹摥敥㍥搲搶㠹㕥敢摦昵㈰㥣搵㜱㙦攸㈰愶戰挷敡搵㌱捤㌷㠸捦晤㠳昸㑡㜷㌷摤摢摤户摡扡愳搷晡㘳昵㈰㙥ぢㅤ挴捣攰㈰㘶昹〶昱戳㝦㄰〲扢て戹㠹敥敡敤慥㕥㕢㘷㝢慤〳㘰昵㙣ㅤ搷㠷づ㘲ㅥ㝢慣㥥ㄳ扢晢〶㌱〸㜱慡㌶搱搵㜵㜷㝢㜸扢ㅢ愲慤㝢㝡慤㐳昵㈰㥣搵㜱㘵攸㈰昶㘱㡦搵慢愳挹㌷㠸昵晤㠳ㄸ愱扢戳扣摤㡤搲搶㠲搷㍡㕡て挲搹㍡㉥っㅤ㠴捤ㅥ慢㐹散攷ㅢ挴㔶晥㐱挴㜵㜷捤摥敥搲摡扡扦搷扡㑤昵㈰捥ちㅤ㐴㙢㜰㄰敤扥㐱㡣昳て㘲㠲敥敥〰㙦㜷㔳戴戵挳㙢摤愹㝡㄰㈷㠵づ㘲㔱㜰㄰㑢㝣㠳㤸改ㅦ挴慥扡扢㘵摥敥收㘹敢㠱㕥敢㕥搵㠳㌸㉡㜴㄰㠷〴〷㜱㤸㙦㄰晢昸〷㘱改敥㡥昰㜶㘷㙢敢㤱㕥敢〲㍤〸㘷㘲ㅥㅣ㍡㠸愳搹㘳昵挴㍣搶㌷㠸㔶晦㈰づ搰摤ㅤ敦敤㙥㤱戶㥥攰戵ㅥ㔴㍤㠸慥搰㐱㥣ㅣㅣ挴愹扥㐱ㅣ攲ㅦ挴ㄱ扡扢搳扤摤ㅤ慤慤㘷㜸慤㈷慡㐱ㄸ㘷挲ㅡ㝥㥣搱ㄲ㍡戰戳㌹㡡敡㉤收ㅣ㥡㍣慦慣㈷晢〷㜶扡ㅥ挲㜹摥㈱㥣慤慤攷㝢慤ㄷ愸㠱愹㘳㡣㔲攸㈰㉥㘲㡦搵慢攸ㄲ摦㈰㉥昲て攲㌲摤摤㘵摥敥㤶㙢敢攵㕥敢㜵㝡㄰捥扥㘳敦搰㐱㉣㘷㡦搵㈴慥昶つ㘲㠵㝦㄰㌷敢敥慥昱㜶户㔲㕢慦昵㕡敦愹ㅥ挴摣搰㐱慣〸づ攲㐶摦㈰敥昳て攲㐱摤摤捤摥敥ㅥ搵搶㕢扣搶愷昴㈰㥣㉤㘶㐶攸㈰㔶戲挷敡搵㜱㠷㙦㄰捦昸〷昱扣敥敥㉥㙦㜷㉦㙢敢摤㕥敢ㅢ㝡㄰捥敡㤸ㅣ㍡㠸晢搸㘳昵敡戸摦㌷㠸户晣㠳㜸㑦㜷昷愰户扢㡦戴昵㈱慦昵敦搵㠳搸㌶㜴㄰㡦〶〷昱㈷摦㈰㍥昷て攲㉢摤摤ㄳ摥敥扥搵搶㈷扤搶ㅦ慢〷㤱ちㅤ挴㌳挱㐱㍣敢ㅢ挴捦晥㐱〸〸攴㌱挶昳摥敥敡戵昵〵㡦戵㝥㄰㉡慢晣㔶㤰改搶㙢攲㑤㜳㡢㕤攴㙦㘵㑥挴㉦㉥㡥㙥挱㕢扡㔵昸㠱换ㄷ搱㡦㘸㘴挱户づ㉦愹〵㔶ㅡ㔷㔷ㄵ晣㐳㙤つ㙦㑤っ㐱㡤㐳㌴㕦愶㜹㙤攵㌳晦愲ㄶ㘴晢㜵㔵〵晦搰㝥㍤㙦㑤慣㡦㥡㙣晦ち捤ㅢ㉡㥦昹慡㕡㤰敤㐷愸ち晥愱晤㐸㙦㑤㡣㐲㑤戶㝦㡤收㑤㤵捦㝣㕤㉤挸昶㥢慢ち晥愱晤ㄶ摥㥡搸ち㌵搹晥つ㥡户㔶㍥昳㑤戵㈰摢挷㔵〵晦搰㍥攱慤㠹㌴㙡戲晤㕢㌴㘷㤵捦㝣㕢㉤挸昶㜹㔵挱㍦戴ㅦ敢慤㠹㜱愸挹昶敦搰扣扤昲㤹敦慡〵搹㝥㠲慡攰ㅦ摡㑦昴搶挴ㄴ搴㘴晢昷㘸㥥愶㝣收晢㙡㐱戶㥦慥㉡昸㠷昶㍢㝡㙢㘲㈶㙡戲晤〷㌴捦㔲㍥昳㐳戵㈰摢敦慡㉡昸㠷昶戳扤㌵㌱て㌵搹晥㈳㥡㜷㔷㍥昳㘳戵㈰摢敦愱㉡昸㠷昶㝢㝡㙢㘲ㅦ搴㘴晢扦搲摣愴㝣收㈷㙡㐱戶户㔴〵晦搰扥攰慤〹ㅢ㌵搹晥㔳㥡昷㔳㍥昳㙦㙡㐱戶㙦㔶ㄵ晣㐳晢晤扤㌵搱㡡㥡㙣晦㜷㥡摢㤵捦晣㑣㉤挸昶〷愸ち晥愱㝤㠷户㈶ㄶ愱㈶摢㝦㑥昳ㄲ攵㌳晦愱ㄶ㘴晢㘵慡㠲㝦㘸㝦愰户㈶づ㐱㑤戶晦㠲收挳㤴捦晣㔲㉤挸昶㐷愸ち晥愱晤㤱摥㥡㌸ㅡ㌵搹晥㉢㥡㡦㔵㍥昳㥦㙡㐱戶㍦㕥㔵昰て敤㑦昰搶挴挹愸挹昶㕦搳㝣慡昲㤹摦愸〵搹晥㜴㔵挱㍦戴㍦挳㕢ㄳ㘷愳㈶摢㝦㑢昳㌹捡㘷㝥愷ㄶ㘴晢昳㔴〵晦搰晥㝣㙦㑤㕣㠴㥡㙣晦㍤捤㤷㈸㥦昹㉦戵㈰摢㕦愶㉡昸㠷昶㤷㝢㙢㘲㌹㙡戲晤扦㘹扥㕡昹捣ㅦ搴㠲㙣㝦㡤慡攰ㅦ摡㕦敢慤㠹ㄵ愸挹昶㍦搲㝣愳昲㤹㍦愹〵搹晥㘶㔵挱㍦戴扦挵㕢ㄳ㉢㔱㤳敤㝦愶昹づ攵㌳㝦㔱ぢ戲晤㕤慡㠲㝦㘸㝦户户㈶敥㐳㑤戶晦㤵收晢㤵捦挴㔷捤换ㅤ戱㙣晦愰户㐵攳㐳摥㥡㜸ㄴ㌵搹㕥戰挵㥦㜴晢㕡㙦晢㈷扣㉤ㅡ㥦昴搶挴㌳扡㝤㍦戶㜸㔶户慦昳戶㝦摥摢愲昱〵㙦㑤挸㤷つ㍣㉤戳ㅥ㉤昴㉤捡㤷て㜹搶摣㠰ㄵ㘷捤㕦搶㜱晢㝢㔵㝣㤱㤰慡〶㐷昵㑡愸㡡㉦〵㔲ㄵ㜱㔴慦㘹㔵㔵㡦慦㙢搵㐰㐷㈵㜷攷ㅣ㔷㔵㡦摣慤换㔸慢㌹慡户㐲㘳㜱攷㉤㔵㔱㐷昵㑥愸㡡扢㘸愹㕡挳㔱扤愷㔵㔵㍤扥慦㔵㠳ㅤ㤵摣捤〶挶挵摤慤㡣戵㤶愳晡㐸挷慡㝡㡥摣愹㑡搵㍡㡥敡慦㕡㔵搵㈳㜷㥤㔲戵㥥愳晡㔴慢慡㘲晤㑤慢㠶㌹㉡戹晢攳戸慡㔴摣つ捡㔸ㅢ㌸慡捦㐳㘳㜱㘷㈷㔵挳ㅤ㤵摣㤵〵㘲㜱㤷㈶㔵㈳ㅤ㤵摣㘱〵㐸㜰挷㈵㔵ㅢ㍢㉡戹㕢ち愸戸㝢㤲慡㑤ㅣ㤵摣昹〴㝡攴㑥㐸慡㌶㜳㔴㜲ㄷㄳ㠸挵㕤㡤㔴㙤攱愸攴㡥㈴㄰㡢㍢ㄴ愹摡搲㔱挹摤㐵㐰挵摤㠶㔴㡤㜱㔴㜲愷㄰攸㤱㍢〷愹㡡㌹㉡戹改〷㘲㜱ㄷ㈰㔵〹㐷㈵㌷昰㠰㡡ㅢ扡㔴愵ㅣ㤵摣㡣〳㉡㙥捥㔲㤵㤱慡愸㕥挹㠲摢愷扣㥣昵挴㜷捥攵慣㠹㘸摢㠰敦㥣搶㔳㑡㜰摢㤴㡡挷慢ㄵ㠲㥢愳㜴晣挹攷攰ㄶ㈸ㅤ㡦昹ㅣ摣攸愴攳㔱㥦㠳摢㤹㜴㍣攲㜳㜰搳㤲㡥㠷㝤づ㙥㑤搲昱㤰捦挱つ㐸㍡ㅥ昴㌹戸捤㐸挷〳㍥〷㌷ㄳ改戸摦攷攰㤶㈱ㅤ㝦昴㌹戸㌱㐸挷㝤㍥〷攷扦㜴摣敢㜳㜰捡㑢挷㍤㍥〷㘷戹㜴摣敤㜳㜰㘲㑢挷㕤㍥〷攷戲㜴摣改㜳㜰晡㑡挷ㅤ㍥〷㘷慣㜴摣敥㜳㜰㤲㑡挷㑡㥦㠳昳㔲㍡㙥昳㌹㌸ㄵ愵攳㔶㥦㠳戳㑦㍡㙥昱㌹㌸攱愴攳收㙡挷㠰晦〷〹㔸慥㘹</t>
  </si>
  <si>
    <t>㜸〱捤㥤〷㜸ㅢ㔵昶昶㝤㥤㜸攲㔱ㄲ㍣㤰㠴㤶〰㜱㈰㄰〸〴昵ㄲ〸愴ㄷ㐸〸愴戱㔴㌳㤲㐶挴挴㈵搸㑥愳㠷愵㐳㘸㑢㕦㍡〴㜶改㉤搴戰昴戲㤴愵昷摥换挲搲换㔲扦昷扤㌳㜷㌴㥡ㄹ摢昱晥昷㝢㥥㤵愵攳戹攷扣昷摣慢㥦㘶㐶搲捣㤱㔴㈵慡慡慡㝥挷㠵晦㜹改捤㠵㈱戳㤷戵㜷㔸捤愳㈶戴㌶㌵㔹㠵㡥挶搶㤶昶㔱攳摡摡捣㘵搳ㅢ摢㍢㝡㐱愰㌵㌴㈲摥㕥搳搰摥㜸㤰㔵摢戰搸㙡㙢㠷愸愶慡慡戶㔶慦㐶㝣〳攷㘶愸㠶捥㕥㝡㙦ㅡ愸慡㜴㡤愶て㑤㉤㡤㑥ㄳ愱改㑢搳㡦愶㍦捤㕡㌴㜵㌴〶捤摡㌴敢搰っ愰ㄹ㐸㌳㠸㘶㕤㥡昵㘸搶愷攱昸晡㠶㌴㠳㘱晡つ㠱㤹㌳㘱晣捣晣〱戸㌷戳㍢㕡摢慣慤㠷捥戳攷㍣㈶ㄶㅢ㠵扦㘴㌲㍢㉡扡昵搰〹㡢㥡㍡ㄶ戵㔹㘳㕡慣㐵ㅤ㙤㘶搳搶㐳㜷㕤㤴㙦㙡㉣散㙣㉤㥢搳扡挰㙡ㄹ㘳攵愳㠹扣㤹捣挶㤲愹㔴㈹㤷换昶摢〸㤹㜷㤹㌰㝥搷㌶慢搴晥摦捡戹㌱㜳捥㥣㌰㝥搴㉥㔶挷㝦㉢攷㈶挸㠹㤴ㄳ㕢㥢捤挶㤶晦㔲搲ㅡ㍥愶愹㠹㔶愱㤱て扥㘵戵㌵戶散㍦ち搳慥〰㡤㔶㘶搴戸昶昶㐵捤ぢ戹ㅥ㑤戰㥡㥡㘶㔹㈵昹愰㌷㑦㙣敦搸搵㙣㙢㙥敦搷㑣㝥㔶㥢搵㔲戰摡搷㙡㥥戴戴㘰㌵㌹挲昶摡收㜹㘶摢㉥㘶戳搵㥢ぢ㜵捤昶㘳㌸慤㘸戵㜴㌴㜶㉣敢摦㍣户摤㥡㘵戶散㙦㔱㔲搳㍣㘵㔱㘳㔱昴敥㡤㙢㔵慦㉤挲㘶㈶ㅦ㈸捣愷㜹挲㝣戳慤㐳戶昸㄰挶挲戴㥥搵㐵摥㡢㡡㜹㜱㤵ㅡ敡敢挵挷㙣㜶㘳昳捥㔶㕢㡢搵挴㐱昸㐸㡥昴㠹㈴㈰晢㜱㜰㐹愹扢挳㐷㐹昴㜵㌶㍥摥ㄷ㡥愲つ㠵搹㘰㤷搶戶㘶慣㤰㌳㉣戳㘵㑣㉣ㅡ摤㝡㜶㐷㜱愲戵㜸㑣㍣愵搷㈳慣て愳㜰㔳㤸扥ㄳ慤㘶戳愵㌸㍡㤱㐸㡣搶㌷㘳㘸㌸㡣攸晤㉡戶㜱㙦㘶㙥㘷搵つ㘶㜵㐳扥扡愱㔰摤㔰慣㙥戰慡ㅢ㑡搵つ晢㔷㌷捣慦㙥㘸慣㙥㌸愰扡㘱〱㌴敡㔲摢愷㑦戵㜳㠹㘹㤹㥢㡥扤愳㝡收㌱晦㡥ㅥ㝤摣〳ㅤ晦㄰摣慣攵㕥㘱ぢ㉣㜴㌱搳ㄱ〸敢㕢挲㘸㕢挱㤴㘷㥡ㄹ慤㡦㘴㘸㙢ㄸ㈱㥥挳㑣㌹摢ㄹ搱〱㔷摤戹㑤晤戴ㄳ摥扡㙥摤摢摥戸攷㌵挱ㅤ㠷ㅣ㘶ㄴㄶ扡ㄸ㘶㕢收㡡挲㘸㌱ㄸ㜷㤸㘴㙥戴ㅥ㘷㈸〱㈳挴ㄳ捥㌰慦㝥㍡散愵〱〳㕡愷㥤昵慦挶㉦ㅥ㝡㝥挵㈳㠲扢㈶㌹㑣ちぢ㕤っ㤳㘶慥っ㡣㤶㠵㜱㠷㐹㘰㤸ㅣ㐳愳㘱㠴㜸挸ㄹ㘶昰攵㔵㝢攴㤲㥦捤扣敤愹搸㜱摦㈵㜷搸㔷㜰攷㈷㠷搹ㅥぢ㕤っ㌳㠶戹㜶㠰搱㜶㠴㈹てㄳㅤ慤㡦㘵㘸ㅣ㡣㄰㝦㜳㠶㌹㘷晤挱挷㥥戲㝡捦㈹挷っ扣晤捤慦㙢㘷昵ㄲ摣搲攴㌰ㄳ戰搰挵㌰ㄳ㤹㙢ㄲ㡣㌶ㄹ挶ㅤ㈶㠹㘱愶㌰㌴ㄵ㐶㠸摢搴㌰昷㝥戵摤㘹㜷晥㍡攳攴㔷㜷㕡㜸换〱㥦㉥ㄵ摣㠱换㘱㜶挲㐲ㄷ挳散捣㕣搳㘱戴ㄹ㌰攵㘱㤲愳昵㕤ㄸ㥡〹㈳挴つ捥㌰㤷㐷㕥捣㝣搷㉢㌵昹㡡〵摦㡣昹搳㑦ㅦ㕥㈰昸ㄴ㈱㠷搹つぢ㕤っ㌳㡢戹㘶挳㘸㜳㘰捡挳挴㐷敢㜳ㄹ㥡〷㈳挴㕦㥤㘱捥晡㌱㜶搱㈱户㉥ㅡ户敡愴愷戶㍥戱敤慤攷㐵㕦㠴攵㌰㝦挰㐲ㄷ挳散挱㕣㝢挲㘸㝢挱㤴㠷㐹㡤搶昷㘶㘸ㅦㄸ㈱㉥㜵㠶ㄹ㝦敤愸㘸慥敥愸改㈷摥㜰挸ㅢ㤹愷㌶戰〴㥦收攴㌰つ㔸攸㘲㤸晤㄰搶㑤ㄸ㉤て攳づ㤳㠸㡤搶ぢっㄵ㘱㠴昸戳㌳㑣挷㤷㈷㝥㝥昶昰㝦㑥㍡㝤挳攵慢昷㌲㐶敥㈴昸㐴㉡㠷㈹㘱愱㡢㘱昶㘷慥昹㌰㕡㈳㡣㍢㑣㍣㍤㕡㍦㠰愱〵㌰㐲㥣愱ㅥ㥢㠳㤳㡦扥㜶挹攳㤳慥㥥㜴改摣㙤扦戸昹づ挱愷㙡㌹㑣㌳ㄶ扡ㄸ愶㠵戹㕡㘱戴㠵㌰敥㌰㐹摣㥢〳ㄹ㙡㠳ㄱ㘲㠵㌳捣扣ㅢ昷㝤㌰戶搱㕥攳捥摤㜳㡦㜷㡥扣敥攵㜳〴㕦っ挸㘱㍡戰搰挵㌰㡢㤸㙢㌱㡣戶〴愶㍣っ㜶㡢㑢ㄹ㕡〶㈳挴㌱捥㌰挷㥣昳昰㘱攳㕦㝦㘶攷㑢㙦㙣㍢敥愱㘸扦扦〸扥摣㤰挳ㅣ㡣㠵㉥㠶㌹㠴戹づ㠵搱づ㠳㜱㠷㐹㘰ㄵ㌸㥣愱㈳㘰㠴㌸摣ㄹ㘶扢㌷户㍦昸搲㤶挳㘶㕥晢攴㕤〷㡣㤸㘱㍤㉣昸㠲㐶づ㜳㈴ㄶ扡ㄸ收㡦〸敢㐷挱㘸㐷挳戸挳挴戳愳昵㘳ㄸ㍡ㄶ㐶㠸愵捥㌰挶㠲㙢昶晤敢㌱㠳㜷扥㙡扤㑤慦扣昰昳㐹搳〵㕦㌲挹㘱㡥挷㐲ㄷ挳㥣挰㕣㈷挲㘸㈷挱戸挳㈴戰摤慣㘰攸㘴ㄸ㈱づ㜴㠶戹昰攷㈳攷㡥㔸扤㘴敡慤㝦昹㝤昰攳搳㜲攳〵㕦㤴挹㘱㑥挵㐲ㄷ挳㥣挶㕣愷挳㘸㝦㠲㜱㠷㐹㘲㑤㍢㠳愱㌳㘱㠴㌸挰ㄹ愶㘵捣搱挳㌷晡敥攰㤹㜷摤昸搳昲挹㐶敡㔱挱㤷㝤㜲㤸戳戱搰挵㌰攷㌰搷戹㌰摡㜹㌰敥㌰㜱散愱晦捣搰昹㌰㐲ㄴ㥣㘱㈶てㄸ㕣㥦㕤㝣昶㠴㕢㠶挵摦扦㙦挹㙦㈷㡢㐱〸换㘱㉥挴㐲ㄷ挳㕣挴㕣ㄷ挳㘸㤷挰戸挳㈴昱搸㕣捡搰㘵㌰㐲散敤っ戳搹㌶换㡦晢摡搰愶慦㜸攱敤户㑦㝤㘶挷愷〵㕦扡捡㘱㔶㘲愱㡢㘱慥㘰慥㉢㘱戴扦挰戸挳㈴㌰捣㕦ㄹ扡ち㐶㠸戹捥㌰㜷捤㍡收挸敢㙦摤㘲敡㌹攷扦扦㜰敡㤴愳捥ㄱ㝣㜱㉣㠷戹〶ぢ㕤っ㜳㉤㜳㕤〷愳㕤て攳づ㤳挴㤳昴つっ摤〸㈳挴㉥捥㌰㡢㡦扤㜹㔹晣攷昵愶㥣㜲搳㤰户慢扦晦㝤慥㔸ㅦ㘱㌹捣捤㔸攸㘲㤸㕢㤸㙢ㄵ㡣㜶㉢㡣㍢㑣ㅣ挳摣挶搰敤㌰㐲㑣㜱㠶戹晣捡挷慥ㄳ㘷㙣㍡敤捡慢扦昸搳㐷ㄷ敦㕤ㄴㅢ㈰㉣㠷戹ㄳぢ㕤っ㜳ㄷ㜳慤㠶搱敥㠶㜱㠷㐹攰昹收㙦っ摤〳㈳挴㔸㘷㤸戶ㅦ捦捦敦㍢㙡改攴㔳捦㙢㕢㜱昵挵㝢㕣㈷㌶㐴㔸づ㜳ㅦㄶ扡ㄸ收㝥收㝡〰㐶㝢㄰挶ㅤ㈶㠵㘷捦㠷ㄸ㝡ㄸ㐶㠸㥣㌳捣戳㕢㥥㍣㜳捣㈶㕦㑤㕥㍥攷戶敦㌶㍣昴摣㑤挵㘰㠴攵㌰㡦㘲愱㡢㘱晥捥㕣㡦挱㘸㡦挳戸挳㈴戰摤㍣挱搰㤳㌰㐲挴㥤㘱ㅥ㜹慤㜶攰〵戳㙥㥤扡昲搸㡦户摢㝤愳挷敥敤昷ㄴ挲扢㌹慦㉥㈷戶㤹㑢昰㝡扤晣㔶㈰㍥㉡捡扦敥摦〳攱㉤㔰㈹㔵捡㤴㘲戱㘲㉡㙡㈶捣㥡㝡愴㕤搳ㄷ摢摣慤昶㉢敤摥搸㔲㙣㕤㈲㕦㝤てㄹ㙦戶㕢攵ㄷ攳㈳㥤搸昸搶㐵㉤挵昶挱攱挱搹ㅤ㘶㠷戵愱㍦㔶㑥ㄲ攸㌶ㅢ敦㑤慣㜶㌹摥挶晥㙥昳捣愶㐵搶戸愵㡤㜶㜸㈳㕦ㄸ敦㑣㕡昳㥤㐷㈷户㔹〷扡搱挰㡣挶攱慤昳㘲㤹㍢㜰㉦敤㤰㍤慦愱ㄳ收户戶㕢㉤㜲㝡㈳㥢㜷㙤㉣㉣戰摡㘶㕢㝣攳㙤ㄵ攵㕤ㅤ挴㤰昳昶㘸攴捣ㄶ摣㔱扣攱㈹づ昳㝡㑢㤳㤶㜶㔸㉤㐵慢㠸昹㉥戴摡㍡㤶捤㌱昳㑤搶扡ㄵㄲ㝢㑣〴㌶愸㜰㑦㙥㉤㉣㙡㥦搰摡搲搱搶摡㔴ㄹㄹ㔷㕣㙣攲㉤㔹㜱㐶㙢搱挲㍢慡摥扣㔴㠹慡㕥扤㠴愸摡㉡散㙤つ昳戶㡦㤲て㠴攷㈱摥〸㡦昹晡㤵慢摤愸㔹戸㜷戸ㄷ㑤ㄶ搷挹敡捤扡㐹㈶昳㌲捤㤶㥤ぢ㍤昷㠹㐷㈹愸ㅥ搱戹㕡捥搱㝤攴晥晦㡡慢慢〷㌸昷㝥搲㘲扣㙤㥤㡡户㘷㑤㔶㕢㤷挷㔸〴㘷愴㍦つ㔳戳㉤戶收㑥改昵㠶㐲㉣ㄵ换㙡㤶㌴ㄶ㍢收㙢昳慤挶晤攷昳㜵ㄱ㡥挳搴搶ㄲ㙤攰愲㍦ぢ㤷晥ㅣ捤昳㌰㤱㐸㤵昶〲㐵㕡㐴㝦搱㙥搷っ挳晦㥥扦㈱慥㐶㉦㕤扥〱挷搱㤲昶㥡收挹慤㙤敤扤㝡㠵摤换愹㘶晢晣づ慥㥥㕤〷㤹敦㈵㥡㤷㘱㙡㌶㠳改昶晤㜶ㅤ㐴扤㜹㔸愱㝦昳㐴慢㘴攲㘰㡥摣扡㠵㔹搳㙣ㅦㅦ㤸㘸戵ㄷ㜴ㅥ㐸㤸㠶㙤㘵愹㠶㈵㙣晣晤㥡戹昶㕢㑢㍢㈶㥡ㅤ㘶㥦㘶ㅣ㤲挰愳愴㐳㌴㔲昶戲㤷搸戳扦昴愹摥ㄱ愷㠵っ㠶㕣昴㘴改㉢ㅤ㜶㈶㙣㌸搸㕥慡㝡㌹戶敢㍢㠱戹㙦㡣㍢愱昹㔷昴捡㐳ぢ㌸攲㔱㥣㘲戵捣㔹戶搰㙡愷扣㔶敢ㄲ愵㝦昳㘲戲㤹㠵晣摣㡥挶愶昶㔱㤸改㤴戶搶㐵ぢ晦㥢㜹㤸㑢㝦〵㐶㕤㙡㌶挷㕡扣收昷〹戸慡晡㉣收㘳搳搰㔰㔵换㙣昴攸㥢搲㜰㙤㐵戲摦昱㑦㕥昴㌷昰㉦搲㔵慣㘶㌸ㄴ㈳挳昶〵㥤ㅣ㠶愹㠱扥㕦㌳〸捤㘹戳攴㠱愵㕡搹〰敤晥捤扢户戶㉤挸户戶㉥攰晡戴㤶㙣戵捦户慣づㅥ慣改敢ㅣ㥣㤲〷愱㠴攸搵慢攲㜸㡢攷愸捥㈶挸慦扤〳搳㝦㕣㔳搳㔰㤵戱㕤㝢ㄷ慥㕥㌸㙣愴扤㠷㠵㈱㌳摢㡡㔶摢㌶㜳ㄷ㙥㌳愷㜵㈸㡥㉡㉤㙡㌲敤〳戱㑢㥢摡㤷㡡㈱㈰挰㠳㈴户つ㉦ㅤ昶搸挰㔷挷㕤㌰扤收ㅦ摢ㅤ㍦挲ㄴ㠳㥤㐰攰㈰捤〸攴慣挷㑤晦㄰㐶㙣〰ㄹ昷㉣㔸慥扣攸ㅦ愳慤㝦㐲昳㈹っ昶て㤲㌸㜶て㥦搹㑤戱㈵晥㜳ㄷ愱㝦㑥昳㉦ㄸ㌱ㄲ㠶ㅢ愸晥〵㡣扡〸〳昹昹戸换挷㙥㉢戸㠳㡦摤㌷昰㐶昴㉥㘲㘲㙢㈸昸昸改攴愵㤳㤰㑥㍡㐲㐳攲㔰〰㌵㑥㈰㜰昸㘸㕢㜴㤳〰㝥㘱晦㕥㤰㠵〳昸㡤㘳㄰㡣捥戵捥〳愰摡㙥㡡㈸㘲ㄲ㐰㉦㌸㜴ㅥ㌰ㄷ㜱戸㈴㠰ㅡ戴搴㐵晣昴㥢〷㐰っ敥㈰〰㥤㌹昵㉥㘲㈲㠱㝥㘱〰扥㐴昲㔰〰㕦㌸㠱挰㠱慤㌴㌲搵㜳ㄶ敢㜰捡㥦㐳ㄶづ㘰㈰挲晡㈰㥡㜵㘱㍣〰搶户㥢㈲㠳㈴ㄲ挰〶ㄴ㙤〸㈳㜲㜰㐹〰㠳搱㔲ㄷ昱扥ㄷ㐰ㄶ敥㈰㠰㑤㤸㔳敦㈲㈶㐶愳㕦ㄸ㠰㔷㍢〳昰㡡ㄳ〸ㅣ㜲ㅢ㠳㑣昵㥣挵〸㑥昹愵㑥〱㙣㠵戰㍥㤲㘶㙢ㄸて㠰㔱㜶㔳散㠰㈴ㄲ挰戶ㄴ㐵㘱挴㔸戸㈴㠰ㄸ㕡敡㈲晥攱〵戰㈳摣㐱〰㈹收搴扢㠸㠹㜱攸ㄷ〶攰挱捥〰㍣攰〴〲〷〳㈷㈲㔳㍤㘷戱〳〶ㄵ昷㜵ち㘰㉣挲晡㌸㥡昱㌰ㅥ〰ㄳ敤愶㤸㠴㈴ㄲ挰㈴㡡㈶挳〸ㅥ㈵㤴〰愶愰愵㉥攲㜶㉦㠰挹㜰〷〱散捣㥣㝡ㄷ㌱㌱ㄵ晤挲〰㕣搷ㄹ㠰㙢ㄵ〰晦㘱捡㥤㤱愹㥥戳㤸挳㈹㕦摤㈹㠰㜹〸敢扢搳晣〱挶〳㘰㑦扢㈹愶㈳㠹〴戰ㄷ㐵㝢挳㠸㕤攰㤲〰昶㐱㑢㕤挴愵㕥〰㌳攰づ〲㌰㤹㔳敦㈲㈶㘶愲㕦ㄸ㠰㜳㍡〳㜰戶ㄳ〸ㅣ㐰㥤㠵㑣昵㥣挵〱㥣昲㤹㥤〲㘸㐲㔸㙦愶㘹㠱昱〰㔸㘸㌷挵㙣㈴㤱〰づ愴愸つ㐶捣㠵㑢〲㘸㐷㑢㕤挴㐹㕥〰㜳攰づ〲㔸挲㥣㝡ㄷ㌱㌱て晤挲〰ㅣ搹ㄹ㠰攵㑥㈰㜰㘸㜷て㘴慡攷㉣㡥攰㤴て敦ㄴ挰㤱〸敢㝦愴㌹ち挶〳攰ㄸ扢㈹昶㐴ㄲ〹攰㔸㡡㡥㠳ㄱ㝢挳㈵〱ㅣ㡦㤶扡㠸挵㕥〰㝢挱ㅤ〴戰㠲㌹昵㉥㘲㘲ㅦ昴ぢ〳搰搴ㄹ㠰〵㑥㈰㜰搰㜹㍦㘴慡攷㉣捥攲㤴ㅢ㍢〵㜰づ挲晡戹㌴攷挱㜸〰㥣㙦㌷㠵㠹㈴ㄲ挰〵ㄴ㕤〸㈳ち㜰㐹〰ㄷ愱愵㉥㘲㍦㉦㠰㍣摣㐱〰㤷㐱ㅦ搱扢㠸㠹㈲晡㠵〱㤸搷ㄹ㠰戹㑥㈰㜰㌸㥣㠷戹敢㌹㡢㙢㌸攵搹㥤〲戸づ㘱晤㝡㥡ㅢ㘰㍣〰㙥戲㥢㘲㍥㤲㐸〰㌷㔳㜴ぢ㡣㌸〰㉥〹㘰ㄵ㕡敡㈲㜶昲〲㘸㠴㍢〸攰づ收搴扢㠸㠹〵攸ㄷ〶㘰㙣㘷〰㜶㜴〲㤷晢て搴户㈰㔳㍤㘷㜱㍦愷㍣愶㔳〰て㈲慣㍦㐴昳㌰㡣〷挰愳㜶㔳戴㈲㠹〴昰㜷㡡ㅥ㠳ㄱ〷挲㈵〱㍣㡥㤶扡㠸愴ㄷ挰㐲戸㠳〰㥥㘲㑥扤㡢㤸㘸㐳扦㌰〰㕢㜵〶㘰㑢㈷㄰㌸㠵戰〸㤹敡㌹㡢㤷㌹攵㉤㍡〵昰㉡挲晡㙢㌴慦挳㜸〰扣㘹㌷挵㘲㈴㤱〰摥愲攸㙤ㄸ戱ㄴ㉥〹攰ㅤ戴搴㐵㙣散〵戰〴敥㈰㠰て㤸㔳敦㈲㈶㤶愱㕦ㄸ㠰㠱㥤〱ㄸ攰〴〲㈷㌷づ㐱愶㝡捥攲㕦㥣昲摡㥤〲昸ㄲ㘱晤㉢㥡慦㘱㍣〰扥戵㥢攲㔰㈴㤱〰扥愳攸㝢ㄸ㜱㌸㕣ㄲ挰て㘸愹㡢愸昵〲㌸っ敥㈰㠰㥦㤹㔳敦㈲㈶㡥㐰扦㌰〰扦晤摡挹㑢攱㕦㥤㐰攰戴换ㅦ㤱愹㥥戳攸㕤㡤㈹晦っ㔹昸㑢㘱つ㘱扤て㑤㉤㡣〷㐰挴㙥㡡愳㤰㘴ㄸㄳ昵愵愸ㅦ㡣㌸〶㑤〹愰㍦㕡敡㈲扥挶ㄸ敥㥢愱愳攱づ〲㔸ㅢ晡㠸摥㐵㑣昰㉣㑦ㄸ㠰㡦㍢〳昰㤱ㄳ〸㥣㄰㍡〱㤹㈴㠰つ㌹攵て㍡〵㌰〴㘱㝤㈳㥡㡤㌹扢昲扢挱愱㜶㔳㥣㠸㐴挳㜸㜷敡㈹ㅡ〶㈳㔶愰㈹〱㙣㡡㤶扡㠸搷扤〰㑥㠲㍢〸㘰ぢ攸㈳㝡ㄷ㌱㜱㌲晡㠵〱㜸戶㌳〰捦㌸㠱挰愹慡搳㤰㐹〲㠸㜲捡㑦㜵ち㈰㡥戰㥥愰㐹㜲㜶㘵〰㘹扢㈹㑥㐷愲㘱扣㍢ㄹ㡡戲㌰攲っ㌴㈵㠰ㅣ㕡敡㈲ㅥ昶〲昸ㄳ摣㐱〰㘳愰㡦攸㕤挴挴㤹攸ㄷ〶㘰㜵㘷〰敥㜲〲㠱㤳㘸攷㈰㤳〴㌰㤹㔳扥愳㔳〰㔳ㄱ搶愷搱散挴搹㤵〱㑣户㥢攲㕣㈴ㅡ挶扢㌳㠳愲㕤㘰挴㥦搱㤴〰㘶愲愵㉥攲〶㉦㠰昳攰づ〲㤸つ㝤㐴敦㈲㈶捥㐷扦㌰〰㔷㜴〶㘰愵ㄳ〸㥣摥扢〸㤹㈴㠰扤㌹攵换㍡〵戰㉦挲㝡〳捤㝥㥣㕤ㄹ㐰摥㙥㡡㡢㤱㘸ㄸ㙥㝡㠱愲㈲㡣戸ㄴ㑤〹挰㐲㑢㕤挴㜹㕥〰㤷挰ㅤ〴搰〸㝤㐴敦㈲㈶㉥㐳扦㌰〰愷㜶〶攰ㄴ㈷㄰㌸昱㜸〵㌲㐹〰㙤㥣昲㡡㑥〱㜴㈰慣㉦愲㔹捣搹㤵〱㉣戵㥢㠲㈷㈵㠷昱敥㉣愳攸㈰ㄸ昱㔷㌴㈵㠰㠳搱㔲ㄷ㜱㤴ㄷ挰㕦攰づ〲㌸ㅣ晡㠸摥㐵㑣㕣㠵㝥㘱〰づ敡っ挰㌲㈷㄰㌸㈵㝡㉤㌲㐹〰挷㜱捡㑢㍡〵㜰〲挲晡㠹㌴㈷㜱㜶㘵〰㈷摢㑤㜱ㅤㄲつ攳摤㌹㠵愲㔳㘱挴つ㘸㑡〰愷愱愵㉥愲挵ぢ攰㝡戸㠳〰捥㠴㍥愲㜷ㄱㄳ㌷愲㕦ㄸ㠰㘲㘷〰ち㑥㈰㜰戲昶ㄶ㘴㤲〰㉥攴㤴捤㑥〱㕣㡣戰㝥〹捤愵㥣㕤ㄹ挰攵㜶㔳慣㐲愲㘱扣㍢㉢㈹扡〲㐶摣㠶愶〴㜰㈵㕡敡㈲晥攰〵㜰㉢摣㐱〰㔷㐳ㅦ搱扢㠸㠹摢搱㉦っ挰㉥㥤〱㤸攱〴〲愷㤱敦㐲㈶〹攰ㄶ㑥㜹攷㑥〱摣㡡戰㝥ㅢ捤敤㥣㕤ㄹ挰㥤㜶㔳慣㐶愲㘱扣㍢㜷㔱戴ㅡ㐶晣つ㑤〹攰㙥戴搴㐵㡣昷〲戸ㅢ敥㈰㠰晢愰㡦攸㕤挴挴㍤攸ㄷ〶㈰摢ㄹ㠰㡣ㄳ〸㥣攰扥ㅦ㤹㈴㠰挷㌸攵㔴愷〰㥥㐰㔸㝦㤲收ㅦ㌰ㅥ〰㑦摢㑤昱〰ㄲつ攳摤㜹㠶愲㘷㘱挴㐳㘸㑡〰捦愱愵㉥㘲㙢㉦㠰〷攱づ〲㜸〹晡㠸摥㐵㑣㍣㡣㝥㘱〰㠶㜵〶愰摥〹〴㑥扤晦ㅤ㤹㈴㠰户㌹攵㑤㍡〵昰㉥挲晡㝢㌴敦㜳㜶攵㌵攰㐳扢㈹ㅥ㐳愲㘱扣㍢ㅦ㔱昴㌱㡣㜸〲㑤〹攰ㄳ戴搴㐵慣敢〵昰㌸摣㐱〰㥦㐳ㅦ搱扢㠸㠹㈷搱㉦っ㐰扦捥〰昴㜵〲晥愲㠰㥡愷㤱愹〷㈷㜳晢㜲挲愵㜹㡤搶ㄲ㥥㝤㕡慢㠴晡摢〹㡢摡㍢㕡攵愹戲晥愵㠹慤扢戴㜶㑣㙣㙣㕦搸㘴㉥ㅢ㔰㜲ㄶ㜶㥦㙦戵攰㐴㜶ㅢ捥㘷晢㝣慤ぢㄷ㕡㐵扤㌴扢㜵㔱㕢挱㥡㌶昱㝦攱㐴㌷敥ㅦㅥ㍡㜹㡥扢㕡攰昲㥦㥤扢慤㐲㑦慣㈵戸㔴搵㍣㡢㠴晥㔳㜰戲ち搸㜳扡㕣㉥ㅡ㄰搶㤵㠹捥㘹散㘸戲晡㤶攴愹㙡戹㕣㕢〲㐵㔴〷ㄴ晢㤴收捣挷愹愹㠹晤㑢㔳摡ㅡ㡢㑤㡤㉤ㄶㅦ㡣㠱戶㜴扡戵㍦㉡〱㜶㙤㙤㙦攴昹愲晥愵㌹㙤㘶㑢晢㐲㥥搴㉣㉣㕢愷愲㈵捦㝥搶㤴挶㌷戶戴㘳ㄸ昹㈸㜲戹慥㌴㝢㝥敢ㄲ搴晥㉦㙡㙥㤹㘲㉥㙣晦㥦㜸㔴〴ㅦㄶ㜹㤱て㡤愸ㄶ搵搵愲戶扡昶㍦㝤㝣戴敦戱㡤つ戰慢慡㠷㘲㍤敤㘸㙢捣㉦㈲㌰㌹㐶ㅣ戶㌷㡤㝣っ慢㙡㥥挳㤲晦昴愵攷㈱昴搵ㅥ㜰慥ㄵ㌵敤愱愷挱摤て㔴㙣〴戹晥〳愶搳敦㐷㤸㥤愶捣㥤㔶慥捡昹㍦㝤㍡愱收㜹㘴㕥攳㈲㠸㐱㄰慦㘵慦㐲㉣㡣攰ㅡ㠵㉤ㄳ㙢〲㕢晥搵㌲㔲㤲ㅡ慥愱㙢㤵ㄷ㈷攳㍣㝡扦搲㜴㌳㙦㌵攱昴㝦戳搹戱㤶摤攰戹㔷㔴慦户㍢戱〹慤捤捤㈶㔷㌹搶攰捦㉥㤸㑤㔶㙤㘹摣愲㡥搶ㄹ㡤㉤㝡〹㐶慥㤷㡥换㕣ち㤷戹搴㍥㔱㕦㥡挵戲㈰戹捣㕣慤晢㥢㙤㡤ㅤ昳㥢ㅢぢ戵㙣戰㜴攷㝦㘲㕤挵晥愳㌷㘰慡㡢摡㤷昸捦晣摢攷摦昱㜰㡦㐲戱っ搱昱攱挷ㅡ㕤㉤㌴晣㠹晦戰㙡〴㝢ㅥ昹㠴愲晦㠴㙣㌵戸挹㕤㤱㥣换㤷昲㔴㉣ㄶ扦㍣ㅣ慢愸摣㌹㠹ㄷ㈹挰㑤晦ㄹ㔲㉥昰搶晢㈵㤸㉥㑢ち晡㐰㄰㤹摥㙡ㄶ㈷㥢〵㝣㥥愶㡦昳㘹㥡㕡㍣戴摣搵戴ㄹ㉣昲㤸㠰扡㈱搴㈳㉤㙥挴㠹散㕡㍡㘶攳搳㐲扤㔹ㅥ愲搹㡦㈱㑥㜷昷慡慡愹改㕢ㅢ㌶搶㌴㤵㙢㌳攷搴戹昷搳㐸搳〲昹㍦摢㉤扢㈳敦㙤㈴㈲㥦愲㝥挱戲晥㉢敦搳换㜰昲晥昸〴扦㔱昰㍢㑣捤㉢〸晡ㅦ㥢捡㝡ぢ㔴㘵攸㄰昵㤶㥦㐳㘱㈵㐸㉤慡㈶㘴〹㐹㡤扣㈳㝤㍤愵ㅦ㥡㕤昵㔱慢㍥摣愲捤挶㕡㙥ㄵ㈳昶晥㤵㈵㈶㜸㘶愸慡慥敥㡤㠷㕡昳㤷捤〵㠶㐵戲收搹㤶慣〹ㄱㅢ㘳ちㅡ敢〴〷㜰㘳㐱晥〶敦㘷㍤㕥㐰ㄴ攷戴㝦挷㍦㜹㠹㐴昴㙡㘸慢㈲攲つ㔸〵愰ㅦ㍤㌶㈱愰挷昱㉦ㄸ昱㈱㥣㝣ㄹ攰㜹搲ㄲㅦ愳挹㈷㉥ㅣ搵〳㈳㜹昱敤ㄴ挵㈷昰㜲挷愸㙢㑣昲㈹㤶戸扦㜱搷扦㕡㜸扢㕦晦㍥㘳て摣㜴㝥㐲㑣慤㝦攲㜳㜸搴㤴㌹扣㌳攵〸㌴㝡㕦ち晦ㄵ㉥攸㐷㐱㝦ち扥㠰㠰て慣戶ㄶ㕡㐱㘰㈸㌳つ〱㘶㐰ぢ㘰摦㜸㤲㝢㠰慤捤攴敢㌰昹㉦㄰昸㠱晤〶㕦㌷挰昸搸㐸㘰〳㤹㠴昷戶〲搸扡昰㜶て慣ㅡ摤㈴戰昵㘴ㄲ扢㈱㔸㡡㄰〲㙣㝤㘸昴つ㈸㘴㤹㐲㠸㘰㐳ち〶㔳挰捡〵〹㙣〸㕡〱㘰晣昰㑣〸戰㡤愱〵㌰㔶㌱愸攴ㅥ㘰㥢㌰昹㔰㈶㘷挵㠱ㅦㄸ换っ扡〱挶㈲〴〹㙣ㄸ㤳戰ㅡ愱〲搸㘶昰㜶て㡣㔵ぢ戸攲㠳㔰㑣㠲〵㜹㘳改㠲㥡戲㘷つ摢ㅣㅡ㝤ぢち㔹搶㄰㈲ㄸ㐱挱㤶ㄴ戰搲㐱〲摢ち慤〰㌰㝥っ㈸〴搸搶搰〲搸㈶㥥攴ㅥ㘰摢㌰昹㈸㈶㘷㠵㠲ㅦㄸ换ㄲ扡〱挶愲〵〹㉣捡㈴慣㕥愸〰ㄶ㠷户㝢㘰慣㜲挰ㄵ㠷㍤㤹㐴〱㘳愹㐳〸㡦㈴㌴㝡㡡㐲㤶㐱㠴〸搲ㄴ㘴㈸㘰㘵㠴〴㤶㐵㉢〸っ戵搲㈱挰㐶㐳ぢ㘰慣㤲㔰挹㍤挰戶㘳昲敤㤹㥣ㄵつ㝥㘰㘳攱敢〶搸㌸㐸㈴戰ㅤ㤸㘴㍣㕡ㄵ挰挶挲摢㍤㌰㔶㐵攰㡡㤲〹㈶㔱挰㔸ㅡ愱愶散㔹挳挶㐳愳㑦愰㤰㘵ㄳ㈱㠲㠹ㄴ㑣愲㠰㤵ㄴㄲ搸㘴戴〲挰昸搱慣㄰㘰㔳愱〵㌰㔶㔵愸攴ㅥ㘰搳㤸㝣㈷㈶㘷〵㠴ㅦㄸ换ㅥ扡〱挶愲〸〹㙣㍡㤳戰㍡愲〲搸㉥昰㜶て㡣㔵ㄴ戸攲攳㕥㑣愲㠰戱㤴㐲㑤搹〳㙣㔷㘸昴摤㈸㘴㤹㐵㠸㘰ㄶ〵戳㈹㘰攵㠵〴㌶〷慤㈰㌰ㄴ晤㠷〰㥢〷㉤㠰㤹㥥攴ㅥ㘰扢㌳昹ㅦ㤸㥣ㄵㄳ㝥㘰㉣㤳攸〶ㄸ㡢㈸㈴戰㍤㤹㠴搵ㄴㄵ挰昶㠶户㝢㘰慣扡挰ㄵ㥦㈸㘳ㄲ〵㡣愵ㄷ㈱㍣昶㠵㐶㙦愰㤰㘵ㄹ㈱㠲晤㈸㌰㈹㘰愵㠶〴㤶㐷㉢〸っㅦ晢〹〱㔶㠴ㄶ挰㔸戵愱㤲㝢㠰㔹㑣㕥㘲昲㈳㈰昰〳㍢ㄲ扥㙥㠰戱攸㐲〲㥢捦㈴慣扥愸〰㜶〰扣摤〳㘳㤵〶慥昸搰ㅡ㤳㈸㘰㉣搵㔰㔳昶慣㘱㑤搰攸捤ㄴ戲㡣㈳㐴搰㐲㐱㉢〵慣散㤰挰ㄶ愲ㄵ〴㠶㑦㝤㠵〰㙢㠳ㄶ挰㔸攵愱㤲㝢㠰戵㌳㌹㍦㔵㉦㔸㤱攱〷挶㌲㡣㙥㠰戱㐸㐳〲㕢捣㈴慣搶愸〰戶ㄴ摥敥㠱戱慡〳㔷ㅣ挳㘷ㄲ〵㡣愵ㅤ㙡捡ㅥ㘰〷㐱愳ㅦ㑣㈱换㍥㐲〴㠷㔰㜰㈸〵ㄷ㐱㈰㠱ㅤ㠶㔶〰ㄸ㍦挲ㄸ〲散〸㘸〱㡣㔵㈱㉡戹〷搸㜲㈶㍦㤲挹㔹挱攱〷挶戲㡤㙥㠰戱愸㐳〲㍢㡡㐹㔸摤㔱〱散ㄸ㜸扢〷挶㉡㄰㕣昱搱㍢㈶㔱挰㔸ち愲愶散〱㜶ㅣ㌴晡昱ㄴ戲㑣㈴㐴㜰〲〵㈷㔲挰捡ㄱ〹散㈴戴〲挰昸㘱捣㄰㘰㈷㐳ぢ㘰慣㈲㔱挹㍤挰㑥㘱昲㔳㤹㥣ㄵㅦ㝥㘰㉣昳攸〶ㄸ㡢㐰㈴戰搳㤹㠴搵㈰ㄵ挰捥㠰户㝢㘰慣ㅡ挱ㄵ㥦敥㘳ㄲ〵㡣愵㈳㙡捡ㅥ㘰㘷㐱愳㥦㑤㈱换㑡㐲〴攷㔰㜰㉥〵慣㌴㤱挰捥㐳㉢〰㡣ㅦ㉢つ〱㜶㍥戴〰挶慡ㄳ㤵摣〳散〲㈶扦㤰挹㔹㈱攲〷挶戲㤰㙥㠰戱㘸㐴〲扢㤸㐹㔸㍤㔲〱散㔲㜸扢〷挶㉡ㄳ㕣昱〱㐲㈶㔱挰摥挲㤲㥡戲〷搸攵搰攸㉢㈹㝣㍢㕣㜰〵〵㔷㔲昰づ〴ㄲ搸㕦搰ち〲挳〷㘴㐳㠰㕤〵㉤㠰戱㑡㐵㡤敥〱㜶㌵㤳㕦挳攴慣㈸昱〳㘳ㄹ㐹㌷挰㔸㘴㈲㠱㕤挷㈴慣㌶愹〰㜶〳扣摤〳㘳㔵ち慥昸㡣㈲㤳㈸㘰㉣㑤㔱㔳昶〰扢〹ㅡ晤㘶ち㔹戶ㄲ㈲戸㠵㠲㔵ㄴ戰㤲㐵〲扢ㄵ慤〰㌰㝥搴㌷〴搸敤搰〲ㄸ慢㕡㔴㜲て戰㍢㤸晣㑥㈶敦㡤㌹昹㠱戱散愴ㅢ㘰㉣㑡㤱挰㔶㌳〹慢㔳㉡㠰晤つ摥敥㠱戱㡡〵昳挳挷㈰㤹㐴〱㘳㈹㡢㥡㌲ㄶ搵㥢敦㝢愱搱敦愳㤰㘵㉥㈱㠲晢㈹㜸㠰〲㔶扥㐸㘰て愲ㄵ〰挶て㉤㠷〰㝢ㄸ㕡〰㘳ㄵ㡣㑡敥〱昶〸㤳㍦捡攴慣㔸昱〳㘳㤹㑡㌷挰㔸挴㈲㠱㍤挶㈴慣㘶愹〰昶〴扣摤〳㘳搵㡢〴昶㈴㤳㈸㘰昵昰慡㈹㘳㔱〱晢〷㌴晡㔳ㄴ戲㉣㈶㐴昰㌴〵捦㔰挰㑡ㄹ〹散㔹戴〲挰昸昱敢㄰㘰捦㐳ぢ㘰慣㥡㔱挹㍤挰㕥㘰昲ㄷ㤹㥣ㄵ㉥㝥㘰㉣㙢改〶ㄸ㡢㕥㈴戰㤷㤹㠴搵㉦ㄵ挰㕥㠵户㝢㘰㘹㜴㤳挰㕥㘳ㄲ〵㡣愵㌲㙡捡㔸㔴挰㕥㠷㐶㝦㠳挲㙣戸攰㑤ち摥愲㠰㤵㌵ㄲ搸摢㘸〵㠰昱㠳攴㈱挰摥㠵ㄶ挰㔸㘵愳㐶昷〰㝢㡦挹摦㘷㜲㔶挴昸㠱戱っ愶ㅢ㘰㉣㤲㤱挰㍥㘴ㄲ㔶换㔴〰晢ㄸ摥敥㠱戱慡㐶〲晢㠴㐹ㄴ㌰㤶搶愸㈹㘳㔱〱晢ㄴㅡ晤㥦ㄴ戲散㈶㐴昰ㄹ〵㥦㔳挰㑡ㅣ〹散㕦㘸〵㠰昱㈳昱㈱挰扥㠴ㄶ挰㔸㤵愳㤲㝢㠰㝤挵攴㕦㌳㌹㉢㘸晣挰㔸㌶搳つ㌰ㄶ搵㐸㘰摦㌲挹㝥㘸㔵〰晢ㅥ摥敥㠱戱ち㐷〲晢㠱㐹ㄴ㌰㤶攲愸㈹㘳㔱〱晢ㄱㅡ晤摦ㄴㄶ挳〵㍦㔱昰㌳〵ㄶ〴ㄲ搸㉦㘸〵㠰昱挳晤㈱挰㝥㠳ㄶ挰㔸挵愳㐶昷〰晢㥤挹慢㜰㙡㐰戰攲挶て㡣㘵㌶摤〰㘳ㄱ㡥〴㠶愳挷㔵㘲㌱㕡ㄵ挰昰改摣㌵〰戶ㄴ摤㈴戰ㅡ㈶㔱挰㔸扡愳愶㡣㐵〵㑣㠳㐶敦㐳㈱换㝡㐲〴戵ㄴ昰㡢扤〴㉢㝤㈴戰〸㕡〱㘰晣㥡㠲㄰㘰晤愰〵㌰㔶晤愸攴ㅥ㘰晤㤹㝣㉤㈶㘷㠵㡥ㅦㄸ换㜲扡〱挶愲ㅤ〹捣㘰ㄲ㔶敦㔴〰㕢〷摥敥搷㌰㔶昹㐸㘰〳㤸㐴〱㘳愹㡦㥡㌲ㄶㄵ戰㠱搰攸㠳㈸㘴ㄹ㔰㠸㘰㕤ち搶愳㠰㤵㐱ㄲ搸晡㘸〵㠰昱ぢㄷ㐲㠰㙤〸㉤㠰戱㑡㐸㈵昷〰ㅢ捣攴㐳㤸㥣ㄵ㍤㝥㘰ㄷ挳搷つ戰㑢㈰㤱挰㌶㘶ㄲ㔶晢㔴〰ㅢち㙦昷挰㔸ㄵ㈴㠱搵㌳㠹〲戶ㄲ㕥㌵㘵㉣㉡㘰挳愰搱㌷愵㤰㘵㐳㈱㠲捤㈸ㄸ㑥〱㉢㠹㈴戰捤搱ち〰攳㔷㐷㠴〰ㅢ〱㉤㠰戱慡㐸㈵昷〰摢㤲挹户㘲㜲㔶〰昹㠱摤ち㕦㌷挰㔸ㄴ㈴㠱㙤捤㈴户愳㔵〱㙣ㄴ扣摤〳㘳ㄵ㤱〴戶㉤㤳㈸㘰㉣㈵㔲㔳挶愲〲ㄶ㠵㐶㡦㔱挸㌲愳㄰㐱㥣㠲〴〵慣㍣㤲挰㤲㘸〵㠰昱㑢㌰㐲㠰愵愱〵戰晢㍣挹㍤挰㌲㑣㥥㘵㜲㔶っ昹㠱戱㑣愸ㅢ㘰㉣㈲㤲挰㐶㌳〹慢㠹㉡㠰㙤て㙦昷挰㔸㜵㈴㠱㡤㘱ㄲ〵㡣愵㐷㈱㍣㜶㠰㐶摦㤱㐲㤶㈵㠵〸挶㔲㌰㡥〲㔶㉡㐹㘰攳搱ち〰攳搷㜹㠴〰㥢〸㉤㠰戱㙡㐹㈵昷〰㥢挴攴㤳㤹晣㙤〸晣挰㔸㔶搴つ㌰ㄶㅤ㐹㘰㔳㤹㠴搵㐷ㄵ挰㜶㠲户㝢㘰慣㔲㤲挰㜶㘶ㄲ〵㡣愵㑡㙡捡㔸㔴㙢搸㜴㘸昴ㄹㄴ戲㡣㈹㐴戰ぢ〵㌳㈹㘰㘵㤳〴戶㉢㕡〱㘰晣㘲㤲㄰㘰戳愰〵㌰㔶㌹愹攴ㅥ㘰戳㤹㝣づ㤳戳㈶㐲㑥㝡㉥㕢捥愴㙢㜸㕥摢㝦扡㌶㜰㉡㕤㡥㔰攲㐹昵搹ㅤ换㥡㔰挸挰㐵㥥扥戵㤷㜸㈲㍡㈲㝤㌸愹摣摡㠶㤳㘳扤晤摦戱攰昶㝤ち〳昷ㅤ攸晢晥ち搹㡤ㄱ㥥戳慦戹敡攷攰㜷㌴戸晤㌹昱昲㠷搹搹㠷ㄷ㙤㜷㑣㜱攰㡣挶㐲㕢㙢㝢㙢愹㘳攸㙣ㄴ改っ攵昷㠱㤴慡慡愲攳㙡晥㠲㡣愱㘳昲㡥昵㙥攱㤷ㅤ㉥收攷攳㈳ぢ㕡㕡㤷戴挸搹搴戴昳㙢㔱㈴慦㍥㝤㌸㑣㠴攳昰戲㈹攰ㄹ㍣扦捦捥晡ㅥ戰晤㝢ㄹ㍣㐱㡥㙢㤵戶㈷摡挳㈷㡣㥦㌰慢㈱ㅤ㡦愶㜳愵㐲㌲ㄳ㑦收㤲㘶㌲㤶㡢挶㔲昱㜴㈲㕥㑣挴㡡搱㜸㌶慥敤攵㑡ㄳ㠵愴㔹挸㘵㡢㠹㘲㉣㤷㉣㘵慣㙣㌱㙥ㄵ慣㘴㈲ㅢ㑦愴攲戱㜸捡攰愹㜷愶搷昷㐶ㅦ㝤ㅦㄸ㠳㘷摣愵㙢㕦扡ㅡ攸攲昹昷㑡㔵㑤㌵㕥㈴慤改㘹㜱愴愸ㄲ㜹㔱㄰㐵㘱昵敥搳㐷っ昷㝤挸㍦㜰㍡摤晤挶〴㑤攳搹昴㥡ぢ㠱㜹捤㍡㔵㍥㡡散捣㤷㝡㝡㠱㜷愵〸ㄳ㌱㝡挱㐱㥦㘶愱戹昶㠴昱つ㤵㕦㔵愹㤵攰敥〷户慣ㄸ挰㜷㘰戶㙢晢挳戳ㄶ㍣㥥昲㈱愳户㤳㐵㥦㡦愰㍥㡣㘳搴挳〸つ㝥昹搸㉥㠰㥦ぢ昲㔶ぢ㉦户〷㜱〶敥〸搷㐲〴昰挱㔵㐸戸ㄶ㠹搳攱攱㥡㔴戹㈶攸攸㐴㠵摥ち㡢㌵㈱㠲㌶ㅦ〴㙤㈱摡昶㥡㤰挱挳㡡敦㐴㑤挶愳㘶㉣㘹ㄶ戳戹㘲㈱㥢㡥攷昲昹㙣㌴ㅡ挵㔷㥦㙡〷扡搲㐴捡捣挵㡢挵㔲㈹㤹㉢㈵㔳㤰愴㤲昹㑣戲ㄸ㑢㈵ㄳ㤹㔸慣ㄴ㌷晡㍡改昵㌶昴搱摢㘱㡣㝥捡㔵㕥ㄳ晡㉢㤷慢ㄲ〶㕤戸㠹攳㜰ㄷ昸㐸㘱ㄹ挷愷㤹攵㈰㤸㠸戱㌶ㅣ搲㐷攲㍡昹敡㐴㙡慣愳晣㠷搱戵㈵㝢㡤㠰ㄱ〳攱㤷っ㤷挳敦㌲㕣ㄷ㕥挹昰㌰っㄱ㘴㜸〸扣㐱㠶敢愱ㄳ㤲㔴改㐷挳㠲攱晡㘸㑢㠶挷愰㙤㌳㑣㘵㘳㤹㘸戴㔰㉡挶ぢ挹㘴㉥㙤攵捤㤸ㄵ㌳㜳㔱㉢ㅥ㉢挶㜳愶愹ㅤ敢㑡㘳戹㘲㈶㕥㡡㘷愳挹㈸戶㍥㝣㜳㐹㌲㕥㑣ㄶ㤳㐹㙣㜸戹㙣㉥㙥ㅡㅢ㌸改昵攳搰㐷㍦ㅥ挶搸㔰戹捡っ〷㉢㤷慢ㄲㅢ搳㠵㥢㘸昳㌲㍣㠵㔹㑥㠵㠹ㄸ㥢㈰㠸㙢㤵敥㘳㌸㔴昹捦愰㌶㑡挵戶㘴㌸㡣挹搸㍡ㅢ㝥㤷攱㘶昰㑡㠶昳㐳ㄹ㤶㐲ㄹ昲㝣㍣㤲㔴改㝦㠶〵挳捤搱㤶っ捦㐷摢㘶㔸㐸ㄵ昲㈹㌳㥤挸㤸㠵㘸㌲㤳㈹㥡㌱㝥晦㙥㉡㕡〴挶㔴㉡㤶搰㉥㜰愵搱㐲㉥㥤换ㄷ㔳㔶㌲㕤㑣挶昳挵㙣㌲ㄳ㡤㈷捤戸㤵捣㘴愳搸慢ㄹ㍣慢捦昴晡㠵攸愳㕦〴㘳㡣㔰慥㌲挳㉤㤵换㔵㠹慤改挲㑤散敤㘵戸㤲㔹慥㠰㠹ㄸ摢㈰㠸㙢㠰攱㈸攵扦㡡摡っㄵ㘹ㄸㄱ㘵㌲戶慥㠵摦㘵ㄸ㠷㔷㌲㥣ㄵ捡㜰搷㔰㠶㍣㐵㡦㈴㌸攴〹ぢ㠶㐹戴㈵挳㥢搰戶ㄹ㈶戱攵㈶㘳㤹㔲㌶ㅤ㡤㈵攳愹㔴慥㠰ㅤ户㤵㑣㐵㉤㌳㤵挹愶搲摡捤慥搴㑡攴攳㠹㜴㌴㥢㉣收搳挹㔴㍡㡦㉤㍦㥢㐹㘵愳改㜸扣㔰捣㘵㜲〶㑦昴㑢㠶户愰㡦扥ち挶㐸㉢㔷㤹㘱㐶戹㈸搰㈹ㄵ愳改挲㑤㑣昶㌲扣㡢昱搵㌰ㄱ㘳㍢〴㜱つ㌰摣㕥昹敦愵㜶〷㉡挶挰㠸ㅤ㤸㡣慤〷㤸㥥ㅥ摥挶挲㉢ㄹ㙥ㅦ捡㜰㜴㈸挳㜱攸㠴㈴㔵晡㈳戰㘰㌸ㅥ㙤挹昰㔱戴㙤㠶搱㐴㍡㤶㉢挴㜲㠹㝣㍡㥡㌴慤㐲㍥ㄶ㡤ㄷ㔲㔶㉣㥢㑣㤷㌲昱㑣㐲晢扢㉢㑤收戲㠹㔸㉡㔱捡愴戸〵攷㔲戹㘴㍡㘷ㄵ㘲愹㙣扡㘸挶捤㔸捡㤸攰愴搷ㅦ㐳ㅦ晤㜱ㄸ㘳愲㜲㤵ㄹ戲〰㐰㤲㜶㔵㘲㉡㕤戸㠹愸㤷攱㌳捣昲㉣㑣挴㤸㠶㈰慥〱㠶㍢㈹晦㡢搴㑥愲㘲㈲㘹㑤㘷㌲戶㕥㠱摦㘵戸ぢ扣㤲攱收愱っ㌷ぢ㘵挸ㄳ昹㐸㠲挳㜷戰㘰戸㉢摡㤲攱㥢㘸㉢㠶昹㘸㉡㤹㐹㘷昲愵㕣搲㑡攴昲戱㤴㤹捤㘴㌲㐹㌳〳㌴〵㑢㝢换㤵愶㐰㉣ㄹ㌵昳挵㘸㉣㤱戴戲搸㤳挶ぢ㠵㙣〲慢㙣愲ㄴ㑢ㄶ愳挶㙥㑥㝡晤㙤昴搱摦㠱㌱㘶㈹㔷㤹㈱㙢〲㈴㐳ち愴㔴捣愳ぢ㌷戱愱㤷攱㐷㡣㝦っㄳ㌱㜶㐷㄰搷〰挳㍦㈸晦㘷搴㑥愷㘲㘷ㄸ戱㈷㤳戱昵〵晣㉥挳扤攱㤵っ㡤㔰㠶㙢㠵㌲攴戹㝤㈴愹搲扦㠱〵挳㝤搱㤶っ扦㐵摢㘶ㄸ㌳㌳〹ㄳ㥢戳㔹挰昳㌲㌶㘷㌳㔱㉡攱戹挳㡣愵㑢戹㐴㉣㕡搴扥㜳愵昱㘸㉣㥥㑥㕡㘶愹㤴㠸㈷㌳㘶〶摦㕡㕥㌰慤㑣㉥ㅢ换㤵㘲㈵㌳㙡㌴㌸改昵敦搱㐷晦〱挶搸㑦戹捡っ㑤攵愲㐰㑡㐵㤱㉥摣㐴㙦㉦挳㕦ㄹ晦つ㈶㘲戰〴〰搷〰挳㤲昲㔷搷㈰㌸㥢㡡㔹㌰㘲㍥㤳戱㔵〳扦换昰〰㜸㈵挳㥦㝥ち㝢㕥晥ㄱ摥攰昳昲〲㜴挲ㅣ㜰㐸ち愹挰戰〹㙤挹㌰㠲戶捤㌰㤵挰㑥て捦戲㜱扣㐰挱戶㥣捥㤶慣㘴㉣ㄹ〳㤴㐲搱㡡收㡢㕡㕦㔷㙡攲搹㌸㙡㕡戱㔸戶㤸㐹㘶㌳㘶慥㘰㐵ぢ搱㙣㍥㤵㉥收㑡昱㐲摥㘸㜶搲敢晤搰㐷敦て㘳戴㈸㔷㤹㈱㉢〷攴㝡㐸㠱㤴㡡㌶扡㜰ㄳ晦挲摤㜰㕦摢っ㘰㝣㈰㑣挴㘰㔵〰慥〱㠶ㅤ捡扦㍥戵晣ㄲち㝤てㄸ戱㤸挹搸ㅡっ扦换㜰㈹扣㤲攱晢愱っ摦つ㘵戸っ㥤㈴挳㑤㤰ちって㐲㕢㌲ㅣ㡡戶戳ㅥ㈶攲戹㐲㈹㤶捥㥡搸ㅦ㕡昱㘲㍥㤱㐹攴慣㉣戶搸㕣㌶㤹㉡ㄵ戴㝡㔷㕡㑡攷戰搹㈷㑡〹㌳ㄶ㑢ㄶ搲愹㕣㉣ㅤ㡤㥢㜸㐲㈹愵昰㉣ㅥ捤ㅢ〷㍢改昵㘱攸愳㙦ち㘳ㅣ愲㕣㘵㠶㉣㈶㤰っ㕤㤵㌸㠲㉥摣挴换㕥㠶㕢㌲换㔶㌰ㄱ㘳㌹㠲戸〶ㄸㅥ愹晣愳愸㌵愹搸て㐶ㅣ挵㘴㙣挵攰㜷ㄹㅥ〳慦㘴昸㡦㔰㠶㑦㠴㌲㘴㔱㠰㘴㤸㐲㉡㌰㍣づ㙤挹㌰㡤戶捤㌰㔹㑡攰つㄴ戶㔰㌳㔶㐸挶戲昱㕣戴㘰ㄵ㜲戱㌸㥥慣昱㑡㈶㤳搵㌲慥㌴㔷㑣攱㕢㌷㜳昸挲㑤ぢ慢㙣㈹㤷捤攷慣㝣慣㤰㑦收捣㔴〲㡦㠲㜱扣㤳㕥捦愲㡦㥥㠳㌱㑥㔰慥㌲挳ㄳ㤵换㔵㠹㤳改挲㑤摣敦㘵戸㈳戳㡣㠵㠹ㄸ慣ㅤ挰㌵挰昰㔴攵㥦㐸敤㝣㉡昸挵ㅡ攲㜴㈶㘳㙢ち晣㉥挳㌳攰㤵っ㙦て㘵㜸㙢㈸㐳搶〹㐸㠶㍢㈳ㄵㄸ㥥㠵戶㘴㌸ㅤ㙤㥢㘱㍣㡤㕤㔹㌶㥢㑡攱㌹㈴ㄹ捤㘴戳㔹ㄲ捣收戲ㄹ扣㜳㡤愵愲摡っ㔷㥡㑦㔸㠵戴㤵挹攷昲愹〴戶昷㜸㍥㤶户㑡㠹㈲摦扣㈴㔲㜸㝤㙥㥣敤愴搷㜷㐱ㅦ㝤㈶㡣㜱㡥㜲㤵ㄹ㥥慢㕣慥㑡㥣㑦ㄷ㙥攲ㅡ㉦挳戹捣㌲て㈶㘲戰㥣〰搷〰挳ぢ㤵㝦㑦㙡㕢愹攰挷㑦挴挵㑣挶搶㍥昰扢っ㉦㠵㔷㌲扣㌴㤴攱挵愱っ㉦㐳㈷挹搰㐴㉡㌰扣ㅣ㙤挹㌰㡦戶挳㌰㥥㉦愵㑢愹㑣ㅡ捦㉣挹㘸㌴㠳ㄷ㝤㠵㜴〱慦戹㤳挵㜴愲㘰ㄶ戴㠲㉢挵扡㤶㑦㘷昰㡤愰搱㠴㤵㉣攵㔲昹㐲㉥㤳㐹㈴㡡挹㉣㌶晤㘸㌲㘷戰〰㐱㙥愵㐵昴搱㉤ㄸ攳ち攵㉡㌳㘴ㄵ㠲㔴㔱愰㔳㉡慥愲ぢ㌷㜱㤶㤷攱〲挶㥢㘰㈲挶搵〸攲ㅡ㘰㜸㡤昲㉦愴㜶㌱ㄵ㡢挸昰㍡㈶㘳慢㥤改改攱敤〶㜸㈵挳㤳㐲ㄹ㥥㄰捡昰㐶㜴㤲っ㤷㈰ㄵㄸ摥㠴戶㘴戸ㄴ㙤㥢㈱㥥㔷搳㠵㜸扣㤴㡣㘷㜰攴挴挴㥢攵㤸ㄹ捤挱㕢㐸㐴㑢挵㔲㔴㕢收㑡戳昱㠲ㄹ㡦攲搷㐳戲㌸㠶㤲㉦攱摤㑣㈹ㄶ挵㡥戴㤰㡦㘳慤捤㘵つ搶㈴㐸㍡〷愱㡦㝥㌰㡣㜱㡢㜲㤵ㄹ戲㌰㐱慡㈸搰㈹ㄵ户搳㠵㥢㌸挲换㜰㌹攳㐷挲㐴㡣㍢㄰挴㌵挰昰㑥攵㍦㠶摡㐳愹攰㌷㠴㠸搵㑣挶搶昱㑣㑦て㙦㝦㠳㔷㌲㕣ㅣ捡戰㈳㤴攱㍤攸㈴ㄹ慥㐰㉡㌰扣ㄷ㙤挹昰㘴戴㙤㠶改㉣㕥ㅦ㘶昱㌴㥣㑥挷㤲愵ㄲ昶㙥㘹扣摥挶㍢㤴㍣㕥晡㈵捣㤲㜶㡡㉢㑤㘴昰㕣㥤㌶㔳愹㐲戱〴㔵ㄲ㝢挱㈸㥥㤳㜱㜸㈲㕤戲㡡㔶搶戸捦㐹慦㥦㡡㍥晡㘹㌰挶晤捡㔵㘶昸㠰㜲戹㉡昱㌰㕤戸㠹〳扣っ捦㘶㤶㜳㘰㈲〶敢㄰㜰つ㌰㝣㔴昹捦愷昶㈸㉡晥㐸㕡㡦挱㉦ㄹ㕥〴扦换昰〹㜸㈵挳晤㐲ㄹ敥ㅢ捡昰㐹㜴㤲っ㉦㐳㉡㌰晣〷摡㤲攱攵㘸摢っ愳挵㐲慡㔸㡡攵ㄳ戱㜸㌲ㄹ㑤挴戱㜶㘵ぢ昸敥攰㐴㉥㙤愶戳昱㤴戶搲㤵收戳㈹ㄳㅢ㜲㉣㤳㉦㥡㐹㍣㘷攷戳㜱扣㘷挹攰㍤㑤㌱ㅦ挷敢㐵㠳㤵ぢ㜲つ扢〲㝤昴㉢㘱㡣愷㤵慢捣昰ㄹ攵㜲㔵攲㜹扡㜰ㄳ㜳扣っ慦㘵㤶敢㘰㈲〶㑢ㄳ㜰つ㌰㝣㔱昹㙦愲昶㐴㉡㑥㈰挳㤷㤹㡣慤㔵昰扢っ㕦㠵㔷㌲摣㈹㤴攱搴㔰㠶慦愱㤳㘴㜸〷㔲㠱攱敢㘸㑢㠶㜷愲㙤㌳㉣㥡㘹〰㈹挴㑢搱㐲㉣㤹㐸ㄵ㜲挹戸ㄵ㑢攳ㄹㄸ㕦㝡㥤㡢㐷㌳摡㕤慥㌴㤹挲昳㜶〶㐷㈷㘲㠵〴昶㠷ㄶ㕥㠳挷愲㔶戱㘸㤶挰㍤㤱㌴つㄶ㌳㐸㠶慢搱㐷扦ㅢ挶㜸㔳戹捡っ摦㔲㉥㔷㈵摥愵ぢ㌷戱㠳㤷攱〳捣昲㈰㑣挴㜸て㐱㕣〳っ摦㔷晥㐷愹㍤㥤ち㝥搵㠹昸㤰挹搸㝡ㅣ㝥㤷攱挷昰㑡㠶挹㔰㠶昱㔰㠶㥦愰㤳㘴昸ㄴ㔲㠱攱愷㘸㑢㠶㑦愳㙤㌳㉣攰攵戵㤹捦ㄷ㑡㐴㠹ㄷ捦愶㤵㑢攳㔸㑣㤶㉦〰㌳挵㜸㕥㝢挶㤵㘶㤲搱ㄲ摥ㄶ㘶搳搹㙣㍣㔹捡攳ㄵ㜹捥㑡攳㙤㑢㉡㥡㡤ㄵ㡢挹㤲昱㑦㈷扤晥㉣晡攸捦挱ㄸ㥦㈹㔷㤹攱攷捡㐵㠱㤴㡡㉦改挲㑤㡣昰㌲㝣㠵昱㔷㘱㈲挶㔷〸攲ㅡ㘰昸戵昲扦㐹敤戹㔴昰摢㔲挴户㑣挶搶㍢昰扢っ扦㠷㔷㌲摣㌸㤴攱㤰㔰㠶㍦愰㤳㘴昸〱㔲㠱攱㡦㘸㑢㠶ㅦ愲㙤㌳捣㐶戱㍥攱㑤㕣戲㠰扦㈲㕥昰㐵昳㜱扣㐴挴㔱搹㜴㉥㥤戰ㄲ摡㐷慥戴㠰㤷攱昱㌴摥搹愵昰扣㥣挰晢敢戴㤹挰换挹ㄸ㡥㥥㈵昲挹㘲挶昸户㤳㕥晦ㄸ㝤昴㑦㘰㡣㥦㤴慢捣昰㘷攵㜲㔵攲㌷扡㜰ㄳ敢㜸ㄹ㝥挱㉣㕦挲㐴㡣摦ㄱ挴㌵挰㤰昷㑥晡扦愵昶㘲㉡㉥㠲ㄱ戲㜲㠱慤ㅦ攰㜷ㄹ戲㜲㐱㌲慣つ㘵愸㠵㌲慣㐱㈷挹昰㘷愴〲㐳つつ挹昰ㄷ戴㙤㠶㜹㌳㠷㔷㠴㠵㔸㌱㥤挷㥡㔵㑡攵㡡㈵散敤ㄲ㈰㘸㥡挵㔸摣搴㝥㜵愵㌸㠷㤱㡤ㄷ㑢愹㐴㍥㘶攲㕤㕦㌲㥦捣㘳㥤捤㕢〹㉢㕡㉡㘵捣戴搱挷㐹慦晦㠶㍥晡敦㌰㐶慤㜲㤵ㄹ戲ㄴ㐲㙥昱ㄴ㐸愹㘰㡤㠳㘴昸换扦㍤敦昵㙡㌴挴㌵㤸㠸挱㌲㠷㌰㠶慣㝣㤰晥〸戵晣㤶ㄵ晤ち㌲㌴攰㤷敢㘱㝦昸㕤㠶敢挰㉢ㄹ㝥㡤㘱㠲挷戱扦㠴㌷昸㝥㜹〰㍡攱㡡㕦㔶㐳㉡㌰ㅣ㠸㠶㘴戸づ摡捥㝡ㄸ㉦攱晣㑦戶㠸㈳㠰挵㘴㍥㘶攱㑤㑢扥㘴收㘳愵㝣ㅡ愷㝣戲㐹㙤㠰㉢㉤愶戰晦挳㙡㠸愷㥡〴捥㈲㈵㜲㌸昶㤸㑥㤷攲㤹ㄲ㡥㘵攷㡡㜹㘳㤰㤳㕥ㅦ㠸㍥晡㈰ㄸ㠳昵㄰ㄲ㔸㤹攱㝡捡㐵㠱㤴ち㤶㍤㐸㠶ㅦ㝡ㄹづ㘶㝣〸㑣挴㘰攵㐳ㄸ挳㈱捡㍦㤴㕡㝥㔱㡢捥慦㝤ㄱㅢ挳㉦ㄹ㙥ち扦换㜰㈸扣㤲攱敢愱っ㕦つ㘵㔸㡦㑥戸攲㜳㘳㐸〵㠶慣㘸㤰っ㐷愰㙤㌳挴て㈵攰㙤㕡㈲㔱挲㥢扤㈴づ㕤〳㥤挵ㄷ㌰㐵ㅣ挱挱〱敥扣戶愵㉢㡤攲㔵㜷ㄱ慦㠵㤲㘶㍡㠳愳ㄴ㌸晡㡡㔷㠵搸つ㐴㜱㝣㈷㔷捡㕡〶㙢㈵㈴戰慤搰㐷ㅦ〹㘳戰㐴挲挷㜰戸㜲戹㉡㌱㠲㉥㌰ㄲ㑦㝢ㄹ挶㤸㈵づㄳ㌱㔸っㄱ挶㜰㉢攵㑦㔳扢㡡㜷昵ㄶ㌲㤴㈵て㙣攵攰㜷ㄹ戲攴㐱㌲㝣㌸㤴攱㠳愱っ户㐵㈷㕣㜱㜰ㄷ愹挰㌰㡡㠶㘴戸〳摡捥戶㥣挳改㤱ㄸづ㐷攳㝤ㅤ㑥㌴攲㠵㑤づ㉦㔳㘲愶㤹挰㔳ぢづ㙡㘹㍢扡㔲㥥戰挴晢㤹㔲㉣㔱㈸㈶㠱つ㠷捣昸㉥ㅢ㠷㈰㡡㔹㌳㔹㌴つ㤶㑦㐸㘰㘳搱㐷ㅦ〷㘳挴㤵慢扣ㅥ㈶㤴换㔵〹ㄶ㐷㐸㠶㜷㝡ㄹ㑥㘱㤶愹㌰ㄱ㈳〳㐱ㄸ㐳㤶㑣㐸晦㜴㙡昹㜵㌱㍡扦㝣㐶挸㉡〸戶㘶挲敦㌲摣ㅥ㙡挹昰㠶㔰㠶搷㠵㌲ㅣ㠳㑥戸攲挸ㅡ㔲㠱攱づ㘸㐸㠶㜳搰㜶搶挳ㄲ㡥㘳㈵㜱挲㌶㡦ㄳ㑣㠹㜴㈶㤷㠹ㄶ戲搱愲㤵㡥㤷昰昲挶戴戴戹慥㌴㕦㠸愷攲㌸〷挰搷攴攸㠱㌷㉡㌸㑣㤶挱㈹攲㝣戶㔰挰愱㐶㠳ㄵㄵ㤲攱㍣昴搱㜷㠷㌱挶㉡㔷㤹攱㌸攵㜲㔵㠲昵ㄲ㤲攱攵㕥㠶晢㌰换扥㌰ㄱ㘳ㄲ〴㘱っ㈷㉢㝦㥥摡〷㜸㔷敦㈷挳愹昰换㙤搹㠲摦㘵戸ㄳ扣㤲攱㜹愱っ捦〹㘵挸昲〸㕣慢昴㐶愴〲㐳㤶㐲㐸㠶〷愰㙤㌳挴换扤㈴捥㈸㤹㘹㉢ㄹ㑤㘲捤㌳戱〱〳㑣㍥㡤㈳づㄹ扣挲搱ㄶ戸搲㔴〹㡣㔳㈵〲㑣㈵㘳挵㕣㡥愷昶㜰㘶〵㠷捡㔲愹㙣戶㘴戰挸㐲㌲㙣㐲ㅦ扤ㄹ挶㘰㙤㠵㜴㤵ㄹ捥㔴㉥ち㜴㑡挵㉣扡挰㐸㥣散㘵搸捥㜸〷㑣挴㤸つ㐱ㄸ挳㌹捡扦㤴摡挷㜸㔷昹ㄵ㌸挶㕣昸㜱挵ㅢ㑥昸晢昷慡㘱㤵挰㜶扥搳改攱摦㜸㌱搲晦搳㈳㤳昰㔳㈲㉣㈷慣敡㠵㡦晡摢ㅦ㤰敦㕤㍤晡㍦换挵ㄳ昶晣㝥っ摥㙡㡥挲㝤晤㍦攴攱㥡㔱㉥挴㘰挶㑤㜰搳て挵ㅤ慥搹ㅢ㜷㌷ㅡ㌶挵慥㝥〴ㄲㅤ慢〶㌵㑦㙢挷挹㝣晣㤸攸㥣搶㜱敥㉦㔱慥慤㑥昲㡦㔴扦㠸㌱扣散ㄹ㤷㙦挷㜷慢㜴㔸慡摢捣㌶户ㅦ㝥㘱〲㐵ㅤ〸㡣攴敦㘷っ㉡户㍣㕦㌰㌰戸散㥤搶搲㡥摦㝡戱㡡㉡㘳㍢㍥㝣摦扢扡㤷〸晤捥て攷挷づ昸㡤〲捣㠶㕦㝢㤹㔶㈴㠰挱㈱㕦慦㌰扥戱㐳㝥㍤挹㄰挴㠵捥ちㄱ敤㜰㘲ㅡ戳搹昸捤攲㌵㐷攰㜱㔸攳㈱㉡愹㜳㐰慥㤶ㄱ㝤㌹昲㠹㝤㤰㤹攸㠵捥搲ㄲ敤㡦㙡㡣㤸㌸〴㘳㜰ㅣ慥㐷昸㔲㑣㡡戹㐱搰挵晥㠲攵㈳㉡㕥挷㉡っ扣摣慡㠲捡㝢昹㜲㐷愷㌵搶晥㕦敢晣㌷挶搶戱㘴㐳昶搸㐷搴㥦㍥慥收敤挳㉦晡敡慡敤㠶㕦㜰晤敦捥晦挳敤ㅥ㝢㌸㍤㜲㘳挵㝣昴ㄸづ慦晥づ捤扢㌴敦挱㠸㈵㤸搱慢昸摥㠵挰㉦㌱㉣㜶〲晥㕦㘲㌰㔸挱㠱㉢摥攱㘲扥晤㝢㠹㔶㌴戸戹㠹づ昴攰㍡㑥㐸晡ち摥攵㌶戸㙤㍥慣捤搰㑥㠱捦㝥っ挴㐲攸ㄴ㡣㠸㝥ㅡ挵敤慥㤸搵ㄹ摡㥦㤴㌸㈶㥡ㅣ戱つ昳㑣〴敡㔸㐶搱㌳㘴慣戹攸ㄹ戲挳搰㈳っ搹晥㤸㑥㈸戲㤲ㄳ昰晦㜶㠳戱ㅣ㤹㜰㐵愹〰收づ㘴㐷愳㈱㤱ㄵ搱挳㐵㜶〱㈹ㅣ㠷㤰㡤㡣愵ㄸ摡㐵㡡㐲㕣散攷㔰戰搷扦㑢㈸㘶㈵㠵㉤㘶㌱㠶㜶㤹ㄲ挷挴摥㡥搸㐶戶ㄲ㠱扡㔳㈰改ㄹ㌲㤶㔸昴っ搹ㄹ攸ㄱ㠶㙣㜷㠷㑣㘰㉤㥢攷〴晣扦昶㘰㥣㡤㑣戸㔶改㔷㘳敥㐰挶㈲ぢ㠹㙣づ㝡戸挸慥㈵㠵ぢㄱ戲㈹㥣㡦㈵敤㝡㐵㈱㉥㜶㜵㈸搸挸㙥愴㤸㠵ㄳ戶昸〲㡡㙦㔶攲㤸㤸敥㠸㙤㘴慢㄰愸㕢〹㐹捦㤰戱愲愲㘷挸慥㐲㡦㌰㘴㔳ㅣ㌲〱㘴㤳㥤挰㘰摦㑦戲ㅡ㉣挷挰ㄵ慦捣㌰㜷㈰㘳㑤㠵㐴㌶ㄱ㍤㕣㘴㜷㤳挲㉤〸搹ㄴ㙥挲㤲㜶㑦㤹挲搸ちち昷㔱捣㌲〸㕢㝣㌳挵て㈸㜱㕣㙣敦㠸㙤扥て㈱㔰挷㥡㠸㥥㈱㕢慤㝡慣昱扥散㕥昴〸㐳㤶㜱挸〴㤰愵㥤㠰晦ㄷ㈵っ㔶㕦攰㡡挳㑡㤸㍢㤰戱㠴㐲㈲㑢愲㠷㡢散㐹㔲㘰㈱㠳㑤攱㔱㉣㘹㑦㤵㈹㐴㉢㈸㍣㐳㌱换㈲㙣㌱㉢㉢戴攷㤴㌸㈶戶㜶挴昶㕡昶〲〲㜵㉣㠱攸ㄹ戲㘷㔵㡦㌵㐶挶搲㠹㌰㘴㕢㌸㘴〲挸㌶㜷〲攷昸㝥㠳挲㜸〵㤹㜰挵㌷㡢㘳敥㐰昶〶ㅡㄲ搹㘶攸攱㈲㝢㠳ㄴ摥㐶挸愶昰㈶㤶戴户捡ㄴ㠶㔶㔰㜸㠷㘲ㄶ㌹搸㘲ㄶ㔲㘸敦㈹㜱㕣っ㜱挴昶㕡昶〱〲㜵慣㜸攸ㄹ戲㡦㔵㡦㌵㐶挶㑡㠹㌰㘴敢㌹㘴〲挸搶㜵〲晥㕦慤㌰扥㐰㈶㕣昱㔹㈷捣ㅤ挸扥㐱㐳㈲ㅢ㠸ㅥ㉥戲捦㐹㠱挵っ㌶㠵㙦戱愴㝤愱㈸挴㠴攱㔰戰㔷㥣慦㈸㘶㑤㠳㉤㘶摤㠴昶㡤ㄲ挷㐵㍦㐷㙣㈳晢づ㠱扡㕦㈱改ㄹ戲摦㔴㡦㌵㐶㔶㡤〱挲㤰昵㜱挸〴㤰㘹㑥挰晦㍢ㄷ㐶つ㌲㘱㜸㝣㤸〹㜳〷㌲搶㐳㐸㘴扤搱挳㐵昶㉢㈹戰㜶挱愶挰㈲〹敤㜷㐵〱摦搷攲㔰戰㤱昱㈷慢〵㑢ㄸ㙣㌱换㈴戴㕥昰㌹慦㐸㝥昹搱晢㡡愴〶㠱㍡搶㌳攰摡㠳搷㘵㉣㝥㤰㍤搶ㄸ搹晡㤰て攷ㅤ昵扤㉥晢〱搳〹㝤㤱昱扤ㄳ昰晦㌲㠶㌱ㄸ㤹㈴戲扥㤸㍢㤰㙤㠲戶㐴昶㉤㝡戸挸晡㤳〲㡢㄰㙣ち㐳戱愴搵㤵㈹㝣㔹㐱㘱㙤㡡㔹搲㘰㡢敢㈹ㅥ愰挴㌱昱㤹㈳戶昹づ㐲愰㡥攵ぢ戸昶〰ㄹ㙢ㅤ㘴㡦㌵㐶㌶ち昲攱㈱挸㍥㜲挸〴搶戲て㥤㠰晦户㌴っㄶ㑡㐸㘴㠳㌱㜷㈰㘳戵㠳㐴昶㍥㝡戸挸㌶㈲〵搶ㅣ搸ㄴ㔸〲愱㙤愲㈸挴挵摢づ〵㝢㕢慢愷㤸ㄵっ戶㤸㐵㄰摡愶㑡ㅣㄳ慦㍢㘲ㅢ搹㜰〴敡㜶㠴〴搷ㅥ㈰ㅢ慢㝡慣㌱戲㠹攸㌱㍣〴搹㑢づ㤹〰戲ㄷ㥤㠰晦搷㌷っ搶㐵㐸㘴㈳㌱㜷㈰㘳㜱㠳㐴昶㍣㝡戸挸戶㈱〵㤶ㄸ搸ㄴ㔸昱愰㙤慢㈸挴挵搳づ〵ㅢ㔹㡣㘲ㄶ㉣搸㘲搶㍣㘸〹㈵㡥㠹㈷ㅣ戱㡤㉣㠵㐰ㅤ㡢ㄳ㜰敤〱㌲㔶㌲挸ㅥ㙢㡣㙣㑦挸㠷㠷㈰㝢挴㈱ㄳ㐰昶戰ㄳ昰晦㕥㠷挱㌲〸㠹㙣㍢捣ㅤ挸㑣戴㈵戲〷搱挳㐵㌶㠶ㄴ㔸㑣㘰㔳㘰㠱㠳戶㘳㤹挲扤ㄵㄴ挶㔱捣昲〳㕢捣ㄲ〷㙤㠲ㄲ挷挵㙡㐷㙣昳㥤㠴㐰ㅤ㙢ㄱ㜰敤〱㌲ㄶ㉥挸ㅥ㙢㡣㙣㈱攴挳㐳㤰摤收㤰〹㈰扢搵〹昸㝦攱挳㘰搵㠳㐴戶㌳收づ㘴㉣㕤㤰挸㙥㐱てㄷ搹っ㔲㘰敤㠰㑤㠱昵っ摡㑣㐵㈱㈶㙥㜰㈸搸㉢捥㙥ㄴ戳摡挰ㄶ戳愲㐱㥢慤挴㜱㜱㡤㈳戶㤱捤㐵愰㙥㌹㈴戸昶〰ㄹ敢ㄴ㘴㡦㌵㐶挶㤲㠵攱㈱挸慥㜴挸〴㤰㕤攱〴晣扦〹㘲戰挸㐱㈲摢ぢ㜳〷㌲㔶㉡㐸㘴㤷愳㠷㡢㙣ㅦ㔲㘰扤㠰㑤㠱攵ぢ㕡㐳㤹挲挵ㄵㄴ㑣㡡㔹㝤㘰㡢㔹挰愰ㄵ㤴㌸㈶捥㜷挴㌶㕦ぢ㠱㍡㔶ㅡ攰摡〳㘴㉣㑢㤰㍤搶ㄸㄹ㉢ㄴ㠶㠷㈰㍢摢㈱ㄳ㐰㜶㤶ㄳ昰晦㡡㠸㜱ㄱ㌲㐹㘴ぢ㌰㜷㈰㘳㘱㠲㐴㜶〶㝡戸挸㥡㐹㠱攵〱㌶〵㔶㉢㘸慤㡡㐲㕣㥣敡㔰戰㔷㥣〳㈹㘶戱㠱㉤㘶扤㠲搶慥挴㌱㜱㤲㈳戶㤱㉤㐲愰㡥㠵〵戸昶〰ㄹ慢㄰㘴㡦㌵㐶挶㠲㠴攱㈱挸㡥㜵挸〴㤰ㅤ攳〴晣扦㍢㘲戰㠴㐱㈲㍢ㄸ㜳〷㌲搶㈱㐸㘴㐷愱㠷㡢散㔰㔲㘰㌵㠰㑤㠱挵〹摡攱㡡㐲㕣ㅣ攱㔰戰㤱㉤愷㤸戵〵戶㤸攵〹摡ㅦ㤵ㄸ㐷搲ㅣ戱㡤散㘸〴敡㔸㐷㠰㙢て㤰戱攸㐰昶㔸㘳㘴慣㍦ㄸㅥ㠲㙣㠹㐳㈶㠰㙣戱ㄳ昰晦㔲㠹挱㡡〵㠹散㐴捣ㅤ挸㔸㜶㈰㤱㜵愰㠷㡢㙣〵㈹戰㐴挰愶挰㕡〴敤㤴㌲㠵㠵ㄵㄴ㑥愳㤸㤵〲戶㤸搵〸摡㥦㤴㌸㉥㥡ㅣ戱捤昷㑣〴敡㔸㌶㠰㙢て㤰戱挶㐰昶㔸㘳㘴㉣㌷ㄸㅥ㠲㙣㝦㠷㑣〰㔹挹〹昸㝦摢挴㜸〷㤹㈴戲㍦㘳敥㐰挶㉡〳㠹慣㠸ㅥ㉥戲ぢ㐸㠱攷晡㙤ち㉣㍤搰㉥㉡㔳搸慦㠲挲㈵ㄴ戳㜲挰ㄶ戳昸㐰扢㑣㠹㜱扣捣ㄱ摢㙢搹㑡〴敡㔸㈵㠰㙢て㤰戱愴㐰昶㔸㘳㘴慣㉥ㄸㅥ㠲㙣㜷㠷㑣〰搹㍣㈷攰晦㌵ㄴ㠳昵〸ㄲ搹搵㤸㍢㤰戱愸㐰㈲㥢㠳ㅥ㉥戲㙢㐹㠱〵〰㌶〵㔶ㅡ㘸搷㤷㈹散㕡㐱攱㐶㡡㔹〷㘰㡢㔹㙢愰摤慣挴㜱㌱摤ㄱ摢㙢搹㉡〴敡㙡昸摥慢㐷挸㔸㐱㈰㝢慣㌱㌲ㄶㄳって㐱㌶挵㈱ㄳ㐰㌶搹〹昸㝦㍦挵攸㡦㑣ㄲ搹㕤㤸㍢㤰慤㡤戶㐴㌶ㄱ㍤㕣㘴㜷㤳〲捦昷摢ㄴ㔸㔸愰摤愳㈸挴挴㔸㠷㠲扤攲摣㐷昱㈰㔷㍣㠰攲〷㤴ㄸ挷换ㅣ戱㡤散㈱〴敡〶㐳搲㌳㘴㉣ㄸ攸ㄹ戲愱攸ㄱ㠶㉣攳㤰〹㈰㑢㍢〱晦㉦慥ㄸ㥢㈲㤳㐴昶㌸收づ㘴㉣ㄹ㤰挸㤲攸攱㈲㝢㤲ㄴ㜸攲摥㐶挶㍡〲敤愹㌲㠵㘸〵㠵㘷㈸ㅥ改㡡㔹㐹愰㍤愷挴㌸㕥收㠸㙤扥㉦㈰㔰ㄷ㠳愴㘷挸㔸ㅦ搰㌳㘴㉣ㄵ〸㐳戶㠵㐳㈶㠰㙣㜳㈷攰晦㡤ㄶ㠳挵〵ㄲ搹㙢㤸㍢㤰㡤㐱㕢㈲摢っ㍤㕣㘴㙦㤰挲㔸㠴㙣㘴㉣ㅢ搰摥㔲ㄴ攲㘲愸㐳挱㕥㜱摥愱㜸㥣㉢摥㤱攲昷㤴㌸㈶㠶㌸㘲ㅢ搹〷〸搴昱っ㝦捦㤰戱ㅣ愰㘷挸㔸ㄹ㄰㠶㙣㍤㠷㑣〰搹扡㑥挰晦慢㉥挶㑣㘴㤲挸晥㠹戹〳搹㙣戴㈵戲㠱攸攱㈲晢㥣ㄴ㜸㕡摥㐶挶㉡〱敤ぢ㐵㈱㉥っ㠷㠲㡤散㉢㡡㜹㤲摦ㄶ捦愵昸ㅢ㈵㡥㠹㝥㡥搸㐶昶ㅤ〲㜵晢㐰搲㌳㘴㍣晢摦㌳㘴㉣〴〸㐳搶挷㈱ㄳ㐰愶㌹〱晦敦挰ㄸㄶ㌲㐹㘴㍦㘳敥㐰挶昳晦ㄲ㔹㙦昴㜰㤱晤㑡ち㍣〱㙦㔳㘰㔱㠰昶㝢㤹㐲㔵〵〵㔱ぢ㜱戳㉢㕥㐰㜱㉦昸搴昱戲ㅦ㉡㡥㤷㈱㔰搷づ㐹捦㤰昱㘴㝦捦㤰昱扣㝦ㄸ戲ㅦ㌰㥤昰攳㘵㑥㈰昰换㌱〷㈳㔳㜷扦ㅣ挳㙦㌴戰摡攵慦㥢搴攱㌹愷愶挴敦㘰攸㕢戲摤㍣戹㡦㙦㘱㘸㙣㙡㤲㕦㘰搰て㍦昴搰戶挰㙡㥢㡥摦㌳挱捦㍢攰㌷敦㥤㑦搰攳㜷㑥昸扤昹敡愷〴㜴搹㘲㘷慤㌴戳つ扦㉤搰愷㌴慤ㅤ扦㐳㔳慣㙤摥搵散攸戰摡㕡晥ㄷ㝥〵〲㕦㈹挱慦昶挳挵晥晤㠷搰㙦㜳攰搷㌴㠴㥥㐹㤷挴㐶㤵㜹㑣挷㉦㤴戰㘲愱㥡扦て昱㥦晤㈴㡤搶ㄷ慢㤸晡挵㤳愲攷ㄷ㑦㝡㡢㙦昱㄰摢戵㠱㐷㔴晤捥㈹戳〴㐵敦て扤戶ㄶ㑣慦㜱敤捤戲慥〶㈶愲搷挱㈳扦搵㐳㥡慡㥡㐳戱ㅡ昸敦ㅣ扦㕦㠳摦愲㔶㔵戳愴戱搸㌱㕦㥢㙦㌵敥㍦扦〳摦愳搱㤷昷㔸㕤㝡㉦㐷搷慥捡て戸敢改搳摣㘰戶戵㤹换㙡㥢ㅢ㥡慣㤶晤㍢收搷㌶㉣㐶戵〵㝥愹〵摢㕤㙤㙤慤扥㌶收㘳㠳挶收㜶㌴㌲㌲慢扥㡥搷㝢㈲㍣㕣㕢㜵㈲攸㉤㍥ぢ扤扢㠳㜸扦㜸㜷换㜷㜵㍤扡昸〵㈶昶㕤ㄵ㉢㤰㠳㜷㔷㕤挴㘹㘸挸攱㌶㠰搲㥤挴㤹捡扢愱搷晢㘷㜸㍤㤳㜸㍦㜴ㄲㅢ㜱挴捡㐹㙣攲㥢挴〵挸㔳㌱㠹㑢搴㜰昵摥攱㔶㉡敦㌰慦昷敡捡㐹扣ㅥ㍡㠹攱挱㐹㙣攱㥢挴戵晥㐹摣愸㠶摢搲㍢摣㉡攵摤捡敢扤慢㜲ㄲ捦㠷㑥㘲㥢攰㈴戶昵㑤攲㙥晦㈴敥㔳挳挵扣挳㍤愴扣㜱慦昷昱捡㐹㍣ㄱ㍡㠹㔴㜰ㄲㄹ摦㈴㥥昴㑦攲ㄹ㌵㕣捥㍢摣ぢ捡㍢摡敢㝤慤㜲ㄲて㠶㑥㘲㑣㜰ㄲ㍢晡㈶昱㠶㝦ㄲ敦愸攱挶㜹㠷晢㐰㜹挷㝢扤晦慣㥣挴敡搰㐹㑣ち㑥㘲㡡㙦ㄲ㥦晢㈷昱㤵ㅡ㙥㥡㜷戸敦㤴㜷㈷慦昷攷捡㐹摣ㄲ㍡㠹ㄹ挱㐹捣昴㑤攲㔷晦㈴〴㜶ㄳ㜲ㄳ摤捤㍢㕣㡤昲捥昲㝡晢挲敢搹㐴慦〹㥤挴摣攰㈴㜶昷㑤愲㍦昲㔴㙣愲㙢慢攱昶昰づ㌷㐸㜹昷昴㝡〷㔷㑥攲昲搰㐹散ㄳ㥣㐴㠳㙦ㄲㅢ昹㈷㔱慦㠶㌳扤挳つ㔷摥扣搷㍢戲㜲ㄲ攷㠷㑥挲ち㑥㘲㝦摦㈴戶昱㑦㈲愶㠶㙢昴づ㤷㔲摥〳扣摥敤㉡㈷㜱㐶攸㈴㥡㠳㤳㘸昵㑤㘲㡣㝦ㄲ攳搴㜰〷㝡㠷㥢愴扣㙤㕥敦捥㤵㤳㌸㈹㜴ㄲ㡢㠲㤳㔸攲㥢挴っ晦㈴㜶㔳挳㉤昳づ㌷㔷㜹て昲㝡昷慡㥣挴㔱愱㤳㌸㌴㌸㠹挳㝤㤳搸挷㍦〹㔳つ户摣㍢㥣愵扣㐷㝡扤ぢ㉡㈷㜱㐸攸㈴㡥づ㑥攲㔸摦㈴㥡晤㤳㌸㔰つ㜷扣㜷戸㐵捡㝢㠲搷㝢㜰攵㈴㍡㐲㈷戱㈲㌸㠹㔳㝣㤳㌸搴㍦㠹攵㙡戸搳扣挳ㅤ慤扣愷㝢扤㈷㔶㑥愲㈹㜴ㄲ㘷〶㈷㜱戶㙦ㄲ㉢晣㤳㌸㑤つ㜷慥㜷戸㌳㤵昷㍣慦昷捦㤵㤳㈸㠶㑥攲㠲攰㈴㉥昲㑤攲〲晦㈴㉥㔱挳㕤攲ㅤ㙥愵昲㕥敡昵㕥㕤㌹㠹扤㐳㈷戱㌲㌸㠹㉢㝤㤳戸搶㍦㠹ㅢ搵㜰㝦昵づ户㑡㜹慦昲㝡敦慡㥣挴㥣搰㐹㕣ㅢ㥣挴昵扥㐹摣敤㥦挴㝤㙡戸ㅢ扤挳㍤愴扣㌷㜹扤㡦㔷㑥㘲㝡攸㈴㔶〵㈷㜱㥢㙦ㄲ㑦晡㈷昱㡣ㅡ敥づ敦㜰㉦㈸敦㥤㕥敦㙢㤵㤳㤸ㄸ㍡㠹扢㠳㤳戸挷㌷㠹㌷晣㤳㜸㐷つ㜷㥦㜷戸て㤴昷㝥慦昷㥦㤵㤳搸㍥㜴ㄲて〵㈷昱㠸㙦ㄲ㥦晢㈷昱㤵ㅡ敥敦摥攱扥㔳摥挷扣摥㥦㉢㈷㤱っ㥤挴㤳挱㐹㍣攵㥢挴慦晥㐹〸〸攴敢㠹㘷扣挳搵㈸敦戳ㅥ㙦㑤㝦㌴搶昸敤ㅤぢ愵〷攰㡤㜰㤳㔵攰敦㔰昲搷っ㐷㌶攱㙤摡ㅡ晣㜸攴㜳ㄸ㐷搴搱㈰㠷晥扣戳挰㐶摤摡㑥〳晦搰㕡挷摢ㄲ㠳搰攲ㄴ昵ㄷ攸㕥捦㠹改㉦㍡ぢ戲晦〶㑥〳晦搰㝦㐳㙦㑢㙣㠴㤶散晦ㄲ摤㥢㌸㌱晤㘵㘷㐱昶慦㜷ㅡ昸㠷晥挳扣㉤㌱ㅣ㉤搹晦ㄵ扡户㜰㘲晡慢捥㠲散扦愵搳挰㍦昴摦捡摢ㄲ摢愰㈵晢扦㐶昷戶㑥㑣㝦摤㔹㤰晤㘳㑥〳晦搰㍦敥㙤㠹ㄴ㕡戲晦ㅢ㜴㘷㥣㤸晥愶戳㈰晢攷㥣〶晥愱晦㘸㙦㑢㡣㐱㑢昶㝦㡢敥ㅤ㥤㤸晥戶戳㈰晢㡦㜳ㅡ昸㠷晥攳扤㉤㌱〹㉤搹晦ㅤ扡愷㌸㌱晤㕤㘷㐱昶㥦收㌴昰て晤㜷昲戶挴っ戴㘴晦昷攸㥥改挴昴昷㥤〵搹㝦㌷愷㠱㝦攸㍦换摢ㄲ㜳搱㤲晤㍦愰㝢㜷㈷愶㝦攸㉣挸晥㝢㌸つ晣㐳晦㍤扤㉤戱て㕡戲晦㐷㜴㌷㌸㌱晤㘳㘷㐱昶㌷㥤〶晥愱㝦摥摢ㄲㄶ㕡戲晦㈷㜴敦敦挴昴㑦㥤〵搹扦搱㘹攰ㅦ晡ㅦ攰㙤㠹㘶戴㘴晦㝦搲摤敡挴昴捦㥣〵搹晦㐰愷㠱㝦攸摦收㙤㠹㐵㘸挹晥㥦搳扤挴㠹改晦㜲ㄶ㘴晦㘵㑥〳晦搰晦㈰㙦㑢ㅣ㡡㤶散晦〵摤㠷㍢㌱晤㑢㘷㐱昶㕦敥㌴昰て晤㡦昴戶挴搱㘸挹晥㕦搱㝤慣ㄳ搳扦㜶ㄶ㘴晦攳㥤〶晥愱晦〹摥㤶㔸㠱㤶散晦つ摤愷㌸㌱晤㕢㘷㐱昶㍦捤㘹攰ㅦ晡㥦敥㙤㠹㌳搱㤲晤扦愳晢㙣㈷愶㝦敦㉣挸晥攷㍡つ晣㐳晦昳扣㉤㜱〱㕡戲晦て㜴㕦攴挴昴ㅦ㥤〵搹晦ㄲ愷㠱㝦攸㝦愹户㈵㔶愲㈵晢晦㥢敥㉢㥤㤸晥㤳戳㈰晢晦搵㘹攰ㅦ晡㕦攵㙤㠹㙢搱㤲晤㝦愶晢㝡㈷愶晦攲㉣挸晥㌷㍡つ晣㐳晦㥢扣㉤戱ち㉤搹晦㔷扡㙦㜳㘲晡㙦捥㠲散㝦㠷搳挰㍦昴扦搳摢ㄲ㜷愳㈵晢晦㑥昷㍤㑥㑣挷㜷扣换ㅤ戱散㝦㥦户㐷摤晤摥㤶㜸〸㉤搹㕦戰挷㈳慡㝦戵户晦摦扤㍤敡ㅥ昳戶挴㤳慡㝦㉦昶㜸㑡昵敦敤敤晦㡣户㐷摤戳摥㤶㤰㑦ㅢ戸㕢㝡つ㝡愸㡢挱愷て㜹㈴㕣㠳ㄷ㐷挲㕦㔰㜹㉢㔴㝣㤲㤰慡㕡㕢昵㔲愸㡡㑦〵㔲ㄵ戱㔵慦㠴慡㕥㔵慡㝥戶㑡敥捥〳昳攲㙥㕤收㕡换㔶扤ㄱ㥡㡢㍢㙦愹㌲㙣搵㕢愱㉡敥愲愵㙡ㅤ㕢昵㑥愸敡㕤愵ㅡ㘸慢攴㙥㌶㌰㉦敥㙥㘵慥㜵㙤搵〷愱戹戸㔳㤵慡昵㙤搵㐷愱㉡敥㍡愵㙡㐳㕢昵㐹愸敡㔳愵ㅡ㘲慢攴敥㉦㌰㉦敥〶㘵慥㡤㙤搵攷愱戹戸戳㤳慡愱戶㑡敥捡〲戹戸㑢㤳慡㘱戶㑡敥戰〲㉡敥戸愴㙡㌳㕢㈵㜷㑢〱ㄵ㜷㑦㔲戵戹慤㤲㍢㥦㠰㡡㍢㈱愹ㅡ㘱慢攴㉥㈶愰攲慥㐶慡戶戲㔵㜲㐷ㄲ㔰㜱㠷㈲㔵㕢摢㉡戹扢〸愸戸摢㤰慡㔱戶㑡敥ㄴ〲㉡敥ㅣ愴㉡㙡慢攴愶ㅦ㔰㜱ㄷ㈰㔵㜱㕢㈵㌷昰㠰㡡ㅢ扡㔴㈵㙤㤵摣㡣〳㉡㙥捥㔲㤵㤶㉡㐳㙤㠶㠲摢愷㍣㐵昵昷敦敤㔳㔴攳搱户ㄶ扦㉢换㑤㔲〶ㅥ昵〵戸ㄵ捡挰㈳扥〰㌷㍣ㄹ㜸搸ㄷ攰戶㈶〳て昹〲摣扣㘴攰㐱㕦㠰㕢㤴っ㍣攰ぢ㜰㈳㤲㠱晢㝤〱㙥㌷㌲㜰㥦㉦挰㑤㐵〶敥昵〵戸㜵挸挰㍤扥〰㌷〸ㄹ昸㥢㉦挰㙤㐰〶敥昶〵戸摡换挰㙡㕦㠰㙢扡っ摣攵ぢ㜰攵㤶㠱㍢㝤〱慥捦㌲㜰㠷㉦挰㔵㔸〶㙥昷〵戸搶捡挰㙤扥〰㔷㔴ㄹ戸搵ㄷ攰扡㈹〳慢㝣〱慥㡥㌲㜰㡢㉦挰㌵㔰〶㙥昶〵戸搲挹挰㑤扥〰搷㌳ㄹ戸戱㌲搰昷晦〱㌶㘰㠸户</t>
  </si>
  <si>
    <t>㜸〱捤㥤〷㤸ㅢ搵昵昶昷慥㔷攳ㅤ搹㘶〷㙣搳㙣㜰挱ぢㄸ㠳㔱㉦づ〶慦㉢挶ㄵ㌷〲㠱㉣㈳㘹㘴㉦摥㘲㜶搷㡤摥㝢て㠴㡥㘹㠶㠴摥㑣敦㍤昴ㄲㄲ㝡敦㈵㐰㐲㐹㐲晢摥昷捥㕣㘹㌴㌳扢敢捤㍦摦昳㐴㉢㥤㥤㝢捥㝢捦扤晡㘹㘶㈴捤ㅣ㐹㔵愲慡慡敡ㄷ㕣昸㥦㤷ㅡ㉥っ㥤扦扡愳搳㙡ㄹ㍢愹慤戹搹捡㜷㌶戵戵㜶㡣㙤㘸㙦㌷㔷捦㙣敡攸散〳㠱搶搸㠴㜸㐷愸戱愳改〰慢戶㜱㠵搵摥〱㔱愸慡慡戶㔶慦㐶㝣㌳攷㘶愸㠶捥㕥㝡つつ㔴㔵扡㐶搳㤷愶㤶㐶愷〹搳昴愳改㑦㌳㠰㘶〳㥡㍡ㅡ㠳㘶㐳㥡㡤㘸〶搲っ愲ㄹ㑣戳㌱捤㈶㌴㥢搲㜰㝣㝤㜳㥡㈱㌰晤㠷挲㉣㤸㌴㜱㑥㙥㍦摣㥢昹㥤㙤敤搶昶挳ㄷ搹㜳ㅥㅦ㡤㡥挵㕦㈲㤱ㄹㅢ搹㝥昸愴攵捤㥤换摢慤昱慤搶昲捥㜶戳㜹晢攱㜳㤷攷㥡㥢昲㌳慣搵ぢ摡㤶㕡慤攳慤㕣㈴㥥㌳ㄳ㤹㘸㈲㤹㉣㘶戳㤹晥㕢㈰昳散㐹ㄳ攷戶㕢挵㡥晦㔶捥㉤㤹㜳捥愴㠹㘳㘷㕢㥤晦慤㥣挳㤰ㄳ㈹㈷户戵㤸㑤慤晦愵愴㈱㍥愶挹挹㔶扥㠹て扥㘵戵㌷戵㉥ㅥ㡢㘹㔷㠰㐶㉢㍤戶愱愳㘳㜹换㌲慥㐷㤳慣收收㜹㔶㔱㍥攸㉤㤳㍢㍡攷㥡敤㉤ㅤ晤㕢挸捦㙡户㕡昳㔶挷〶㉤㔳㔶攵慤㘶㐷搸㔱摢戲挸㙣㥦㙤戶㔸㌵㕣愸㙢戱ㅦ挳改〵慢戵戳愹㜳昵㠰㤶㠵ㅤ搶㍣戳㜵戱㐵㐹愸㘵摡昲愶㠲愸愹挱戵慡捦㌶㐱㌳㤳てㄴ收搳㌲㘹㠹搹摥㈹㕢㝣〸愳㐱㕡搷敡㈲敦㐵挵扣戸㑡つ昷昴攲㘳㌶扦愹㘵㠶搵摥㙡㌵㜳㄰㍥㤲㘳㍣㈲〹挸㝥ㅣ㑡愴搴摤攱愳㈴晡㌹ㅢㅦ敦ぢ㐷搱㠶挳㙣㌶扢慤扤〵㉢攴㉣换㙣ㅤㅦ㡤㐴戶㥦摦㔹㤸㙣慤ㄸㅦ㑢敡㈳㄰搶㐷㔲戸ㄵ㑣扦挹㔶㡢搹㕡ㄸㄷ㡦愴挶改愳ㄸ慡㠷ㄱ㌵慦㘲ㅢ㜷㘷收㜶㔶摤㘸㔶㌷收慡ㅢ昳搵㡤㠵敡㐶慢扡戱㔸摤戸戸扡㜱㐹㜵㘳㔳㜵攳㝥搵㡤㑢愱㔱㤷摡扥㝤慢㥤换〷㤳㍥㤹㌱㙤昷捤㘶㥤㌶㜴挵愷㝢㘷ㄶ摦㉡戸㔹换扤挲㌶㔸攸㘶愶摢㈲慣㡦㠶搱戶㠳㈹捤㌴ㄶㄹ愷㡦㘱㘸㝢ㄸ㈱㕥挴㑣㌹摢挷扥㍦㙤㝡挳㠰攷ㅢ敥晤㘶晢㍢ㄷ㕥昹晤㝤㠲㍢づ㌹捣㔸㉣㜴㌳捣㡥捣ㄵ㠱搱愲㌰愵㘱愲改㜱㝡㡣愱㌸㡣㄰㑦㌹挳愴㉥㝣㘶摦㍢㙦昸㘳挳㌵㜷扤㜵攷㘷捦㙤戶㐸㜰搷㈴㠷㐹㘲愱㥢㘱㔲捣㤵㠶搱㌲㌰愵㘱㈲ㄸ㈶换搰㌸ㄸ㈱ㅥ㜱㠶㜹昲㥡ㅦ㈶ㅣ㤲㍦㜹昶㝤愷挴㕢摥㝥收㥦扦ㄶ摣昹挹㘱㜶挲㐲㌷挳㡣㘷慥㥤㘱戴㕤㘰捡挳㈴挶改ㄳㄸ㙡㠰ㄱ攲㕥㘷㤸㌳㑥㍥㙤摡摣㉦㐲㤳づ摢㘷㤳㠳㤷敤戵昹戱㠲㕢㥡ㅣ㘶ㄲㄶ扡ㄹ㘶㌲㜳㑤㠱搱愶挲㤴㠶㠹攲戱㤹挶搰慥㌰㐲摣收っ昳搵ㅥㄷ扦㤲㍣晢愳㌹攷㡦搲㜷ㄹ晤搰愳敦ぢ敥挰攵㌰扢㘱愱㥢㘱㘶㌰搷㑣ㄸ㙤ㄶ㑣㜹ㄸ摣㥢搹っ捤㠱ㄱ攲〶㘷㤸㌹㥦㑤ㅦ昶搲扢㤷捤㌹昶昸㘴㘸晥ㄶ㈳㍢〴㥦㈲攴㌰扢㘳愱㥢㘱收㌱搷㝣ㄸ㙤〱㑣㘹㤸㐸㙣㥣扥㤰愱㐵㌰㐲晣搱ㄹ㘶搰昴ㅢ晡ㅤ㍦攸摢ㄹ㤷戴摦㌹㝤㜰㝤敡㙦愲ㅦ挲㜲㤸㕦㘳愱㥢㘱昶㘴慥扤㘰戴摦挰㤴㠶㠹挶挷改㝢㌳戴て㡣㄰㤷㍡挳㕣昴㥢㈵㙢戶摥攱晡㌹㤷慥捡㑣㕥㝣摤㡥攳〴㥦收攴㌰㡤㔸攸㘶㤸㝤ㄱ搶㑤ㄸ㉤〷㔳ㅥ〶昷㈶捦㔰〱㐶㠸昳㥤㘱づ㥤㜳㑤摤ㅦ昷搸㜳户㡢㕥㝢㜴晡㌱㍦摦㜴慡攰ㄳ愹ㅣ愶㠸㠵㙥㠶㔹捣㕣㑢㘰戴㈶㤸搲㌰戱攸㌸㝤㍦㠶㤶挲〸㜱愶㌳㑣晥愸昳㉥摤㘱挵㤲㐹扦㥢㜸攳愶㡦㕤昲搲慢㠲㑦搵㜲㤸ㄶ㉣㜴㌳㑣㉢㜳戵挱㘸换㘰㑡挳㐴㌰捣晥っ戵挳〸㜱戲㌳捣㠶ㅢ㠵㌲晢愵㌶㥢扣㘶摥㝥愷㡦㕦㝢换㈴挱ㄷ〳㜲㤸㑥㉣㜴㌳捣㜲收㕡〱愳慤㠴㈹つㄳ挵㙥㜱ㄵ㐳慢㘱㠴㌸挶ㄹ愶昳捤昳敥㕤㔰㕦㌳攷慣晡㘱搶㕢て捤ㅢ㈸昸㜲㐳づ㜳㈰ㄶ扡ㄹ收㈰收㍡ㄸ㐶㍢〴愶㍣㑣㜲㥣㝥㈸㐳㠷挱〸㜱愸㌳㑣搳扤㘳づ㍡昲戱戶㘹㘷ㅣ昹摡ㄶ愳㈲扦㙢ㄱ㝣㐱㈳㠷㌹〲ぢ摤っ㜳㈴挲晡㔱㌰摡搱㌰愵㘱㈲㤹㜱晡㌱っㅤぢ㈳挴㉡㘷㤸挴㑦搷㍦昵㜹扦ㅤ㈶㥤㌵㍤㌶攱昹㙤㜶晡㕡昰㈵㤳ㅣ收㜸㉣㜴㌳捣〹捣㜵㈲㡣㜶ㄲ㑣㘹㤸ㄸ敥捤挹っ㥤〲㈳挴晥捥㌰㑦摦㝢改㠷摦敡捦㑣扥晡昸㜵㘷捤㍦㘰㘸㠳攰㡢㌲㌹捣㘹㔸攸㘶㤸搳㤹敢っㄸ敤㜷㌰攵㘱戰摤㥣挹搰㔹㌰㐲散攷っ戳㜵晥攰㤵户敦戹㝣捡㐹搳㑦㠹㝦昸攲つ愷ち扥散㤳挳㥣㡤㠵㙥㠶㌹㠷戹捥㠵搱捥㠳㈹て㠳㥤捤昹っ㕤〰㈳㐴摥ㄹ收㠰〱㡤㍦晤㜲挷搵㔳捥ㅡ晤搵㜷㔷㍣㤹散㈷〶㈳㉣㠷戹〸ぢ摤っ戳㠶戹㉥㠶搱㉥㠱㈹つㄳ挱扤戹㤴愱换㘰㠴搸摢ㄹ㈶㝣昹戸戹挵㝤晦㌰攱扡㤳㐲㥦㙥㌴㜷挷㘷〴㕦扡捡㘱搶㘲愱㥢㘱慥㘰慥㉢㘱戴㍦挰㤴㠶㠹㘱㉦昰㐷㠶慥㠲ㄱ㘲愱㌳捣ㅤ慦扣㝦㕤晢搴慢㘶㥣㔱昷改㐳㐷扤㜸攳捦㠲㉦㡥攵㌰搷㘰愱㥢㘱慥㘵慥敢㘰戴敢㘱㑡挳㐴戱愶摤挰搰㡤㌰㐲捣㜶㠶㜹㝣昰昵攱挶愳㙥摥昵㌶㈳㌵㙡昷戳昷摤㐴㙣㡡戰ㅣ收㘶㉣㜴㌳捣㉤捣戵づ㐶扢ㄵ愶㍣㑣㜶㥣㝥ㅢ㐳户挳〸㌱捤ㄹ收搱挸挸摡捦㕥㝥㜸昶㑤㙤挳づ㙢摥敡㥡愱㘲㌳㠴攵㌰㜷㘲愱㥢㘱敥㘲慥扢㘱戴㝢㘰㑡挳㐴㌰捣扤っ摤〷㈳挴〴㘷㤸㝥㐳㍦戹㘱慦㥢户㤸㜱㤱昹挴㤴摦昷㍦㘹㙢戱㌹挲㜲㤸〷戰搰捤㌰て㌲搷㐳㌰摡挳㌰愵㘱愲搸愷㍤挲搰愳㌰㐲㘴㥤㘱づ戹㝦挲挰扥㠹㡥㠶扢㈲〷ㄵ㐲ㅦ㝦ㄹㄲ㐳㄰㤶挳㍣㡥㠵㙥㠶昹ㄳ㜳㍤〱愳㍤〹㔳ㅡ㈶㠲捤昳㈹㠶㥥㠶ㄱ㈲收っ昳攰㈱㌳㐵晦捣㈱㌳慥㌸㍢昶昸㠴换㍦㝦愲晦戳〸敦敥扣扡㥣摣㙥慥挴敢昵昲㕢㠱搸搸〸晦㝡㝥て㠴户㐰挵㘴㌱㕤㡣㐶ぢ挹㠸ㄹ㌷㐳㈳㤰㜶㝤㕦㙣㜳户摡扦戸㐷㔳㙢愱㙤愵㝣昵㍤㜴愲搹㘱㤵㕦㡣㡦㜱㘲ㄳ摢㤶户ㄶ㍡㠶〴〷攷㜷㥡㥤搶收摥㔸㌹㠹慦摢㝣扣㌷戱㍡攴㜸㕢㝡扢㉤㌲㥢㤷㕢つ慢㥡散昰ㄶ㥥㌰摥㤹戴攵扡㡥㑥㙤户昶㉦㐵㝤㌳㙡挰㕢攷ㄵ㌲户敦㕥摡㈱㝢㕥挳㈷㉤㘹敢戰㕡攵昴挶戴捣㙤捡㉦戵摡攷㕢㝣攳㙤ㄵ攴㕤ㅤ捣㤰昳昶㘸捣㥣㔶摣㔱扣攱㈹㡣㜴㝢㡢㔳㔶㜵㕡慤〵慢㠰昹㉥戳摡㍢㔷㉦㌰㜳捤搶挶ㄵㄲ㝢㑣〴㌶慢㜰㑦㙤换㉦敦㤸搴搶摡搹摥搶㕣ㄹ㘹㈸慣㌰昱㤶慣㌰慢慤㘰攱ㅤ㔵つ㉦㔵愲慡㑦ㅦ㈱慡戶ぢ㝡㕢挳扣ㅤ㘳攵〳攱㝡㠸户挰㘳扥㘹攵㙡㌷㜶ㅥ敥ㅤ敥㐵戳挵㜵戲㝡㔴て挹㘴㕥愶ㄹ摤戵搰㜵㥦㜸㤴㠲敡㙤扢㔶换㌹㤶ㅥ戹晦扦攲敡敡㠱捥扤㥦戲〲㙦㕢㜷挵摢戳㘶慢扤摢㘳㉣㠲㌳搲㥦㠳〹敤㠸慤戹㑢㝡㌵㔰㠸㔵㘲㜵㘸㘵㔳愱㜳㠹戶挴㙡㕡扣㠴慦㡢㜰ㅣ愶戶㤶㘸㝤ㄷ晤〵戸昴ㄷ㘹晥っㄳづ㔷㘹㉦㔱愴㠵昵扦搸敤搰㐸晣敦晤ㅢ攲㙡昴搲攵ㅢ㜰ㅣ㉤改〸戵㑣㙤㙢敦攸搳㈷攸㕥敥㙡㜶㉣改攴敡搹㝤㤰昹晥㑡昳㌲㑣㘸ㄴ㑣㡦敦户敢㈰慡攱㘱㠵〱㉤㤳慤愲㠹㠳㌹㜲敢ㄶ㘶愸挵㍥㍥㌰搹敡挸敢㍣㤰㌰ㅤ摢捡㉡つ㑢搸昸晢户㜰敤户㔶㜵㑥㌶㍢捤扥㉤㌸㈴㠱㐷㐹㠷㘸㡣散㘵㉦戱攷〰改㔳扤挳㑥ぢㄹっ戹攸捡搲㑦㍡散㑣搸㜰戰扤㔴昵㜱㙣昷㜷〲㜳摦ㄲ㜷㐲昳慥攸㤵㠷ㄶ㜰挴愳㌰捤㙡㕤戰㝡㤹搵㐱㜹慤搶㉤㑡敦收挵㘴㜳昲戹㠵㥤㑤捤ㅤ㘳㌱搳㘹敤㙤换㤷晤㌷昳㌰㤷晥ち㡣扡㠴戶挶㕡扣晥昷〹戸慡晡慥攰㘳搳搸㔸㔵换㙣昴攸㕢搱㜰㙤㐵戲㕦昰㑦㕥昴㌷昰㉦摣㕤㉣㔴て挵㤸愰㝤㐱ㄷ㠷㘱㐲搰昷㙦〱愱〵敤㤶㍣戰㔴㉢ㅢ愰㍤愰㘵㡦戶昶愵戹戶戶愵㕣㥦㌶㤰慤㡥㈵㤶搵挹㠳㌵晤㥣㠳㔳昲㈰㤴㄰㝤晡㔴ㅣ㙦㜱ㅤ搵ㄹ㠶晣摡㍢㌰〳ㅡ㥡㥢㠷慢㡣ㅤ摡扢㜰昵挱㘱㈳敤㍤㉣っ㥤搳㕥戰摡㜷㔸戸㙣㠷〵㙤挳㜱㔴㘹㜹戳㘹ㅦ㠸㕤搵摣戱㑡っ〵〱ㅥ㈴戹慤扥㜸挸ㄳ㠳㕥㙤戸㜰㘶攸㤹㕦ㅤ扦慤㈹㠶㌸〱摦㐱㥡㙤㤱㜳〴㙥晡㠷㌰㘲㌳挸戸㘷挱㜲攵㐵晦ㄸ㙤晤ㄳ㥡㑦㘱戰㝦㤰挴戱㝢昸摣㙥㡡搱昸捦㕤㠴晥〵捤摦㘰挴ㄸㄸ㙥愰晡㤷㌰敡㈲っ攴攷攳㉥ㅦ扢敤攰昶㍦㜶晦㠰㌷慣㜷ㄳㄳ摢㐳挱挷㑦㈷㉦㥤㠴㜴搲ㄱㅡㄲ〷〲〸㌹〱摦攱愳ㅤ搱㑤〲昸㤱晤晢㐰ㄶっ攰㘷㡥㐱㌰㍡搷㍡ㄷ㠰㙡扢㈹㈲㠸㐹〰㝤攰搰㜹挰㕣挴攰㤲〰㐲㘸愹㡢昸昷捦㉥〰㔱戸晤〰㜴收搴扢㠹㠹㌸晡〵〱昸ち挹〳〱㝣改〴㝣〷戶㔲挸㌴㠲戳搸㠸㔳晥〲戲㘰〰㠳㄰搶〷搳㙣っ攳〲戰愹摤ㄴ㘹㈴㤱〰㌶愳㘸㜳ㄸ㤱㠵㑢〲ㄸ㠲㤶扡㠸昷摤〰㌲㜰晢〱っ㘳㑥扤㥢㤸ㄸ㠷㝥㐱〰㕥敤ち挰㉢㑥挰㜷挸㙤㍣㌲㡤攰㉣戶攵㤴晦摡㈵㠰敤㄰搶挷搰㙣て攳〲㌰搶㙥㡡㥤㤱㐴〲搸㤱愲〸㡣㤸〰㤷〴㄰㐵㑢㕤挴㌳㙥〰扢挰敤〷㤰㘴㑥扤㥢㤸㘸㐰扦㈰〰て㜷〵攰㈱㈷攰㍢ㄸ㌸ㄹ㤹㐶㜰ㄶ㍢㘳㔰昱㐰㤷〰㈶㈰慣㌷搰㑣㠴㜱〱㤸㙣㌷挵ㄴ㈴㤱〰愶㔰㌴ㄵ㐶昰㈸愱〴㌰つ㉤㜵ㄱ户扢〱㑣㠵摢て㘰〶㜳敡摤挴挴慥攸ㄷ〴攰扡慥〰㕣敢〴㝣㠷㈹㘷㈰搳〸捥㘲〱愷㝣㜵㤷〰ㄶ㈱慣敦㐱昳㙢ㄸㄷ㠰扤散愶㤸㠹㈴ㄲ挰㙦㈸摡ㅢ㐶捣㠶㑢〲搸〷㉤㜵ㄱ㤷扡〱捣㠲摢て挰㘴㑥扤㥢㤸㤸㠳㝥㐱〰捥改ち挰搹㑥挰㜷〰㜵ㅥ㌲㡤攰㉣昶攳㤴捦敡ㄲ㐰㌳挲㝡ぢ㑤㉢㡣ぢ挰㌲扢㈹收㈳㠹〴戰㍦㐵敤㌰㘲㈱㕣ㄲ㐰〷㕡敡㈲㑥㜲〳㔸〰户ㅦ挰㑡收搴扢㠹㠹㐵攸ㄷ〴攰㠸慥〰ㅣ敥〴㝣㠷㜶昷㐴愶ㄱ㥣挵㘱㥣昲愱㕤〲㌸〲㘱晤㐸㥡愳㘰㕣〰㡥戱㥢㘲㉦㈴㤱〰㡥愵攸㌸ㄸ戱㌷㕣ㄲ挰昱㘸愹㡢㔸攱〶昰ㅢ戸晤〰㑥㘶㑥扤㥢㤸搸〷晤㠲〰㌴㜷〵㘰愹ㄳ昰ㅤ㜴摥ㄷ㤹㐶㜰ㄶ扦攷㤴㥢扡〴㜰づ挲晡戹㌴攷挱戸〰㕣㘰㌷㠵㠹㈴ㄲ挰㠵ㄴ㕤〴㈳昲㜰㐹〰㙢搰㔲ㄷ戱慦ㅢ㐰づ㙥㍦㠰换愰て敢摤挴㐴〱晤㠲〰㉣敡ち挰㐲㈷攰㍢ㅣ捥挳摣㈳㌸㡢㙢㌸攵昹㕤〲戸づ㘱晤㝡㥡ㅢ㘰㕣〰㙥戲㥢㘲〹㤲㐸〰㌷㔳㜴ぢ㡣搸て㉥〹㘰ㅤ㕡敡㈲㜶㜳〳㘸㠲摢て攰づ收搴扢㠹㠹愵攸ㄷ〴㘰㐲㔷〰㜶㜱〲扥〳昵慤挸㌴㠲戳㜸㤰㔳ㅥ摦㈵㠰㠷ㄱ搶ㅦ愱㜹ㄴ挶〵攰㜱扢㈹摡㤰㐴〲昸ㄳ㐵㑦挰㠸晤攱㤲〰㥥㐴㑢㕤㐴挲つ㘰ㄹ摣㝥〰捦㌲愷摥㑤㑣戴愳㕦㄰㠰敤扡〲㌰摡〹昸㑥㈱㉣㐷愶ㄱ㥣挵换㥣昲㌶㕤〲㜸ㄵ㘱晤㌵㥡搷㘱㕣〰摥戴㥢㘲〵㤲㐸〰㙦㔱昴㌶㡣㔸〵㤷〴昰づ㕡敡㈲戶㜴〳㔸〹户ㅦ挰〷捣愹㜷ㄳㄳ慢搱㉦〸挰愰慥〰っ㜴〲扥㤳ㅢ〷㈱搳〸捥攲㙦㥣昲㠶㕤〲昸ち㘱晤㙢㥡扦挳戸〰㝣㘳㌷挵挱㐸㈲〱㝣㑢搱㜷㌰攲㔰戸㈴㠰敦搱㔲ㄷ㔱敢〶㜰〸摣㝥〰㍦㌰愷摥㑤㑣ㅣ㠶㝥㐱〰㝥晥愹㡢㤷挲㍦㌹〱摦㘹㤷㈳㤱㘹〴㘷㔱㔳㡤㈹晦〰㔹昰㑢㘱つ㘱扤㉦㑤㉤㡣ぢ㐰搸㙥㡡愳㤰㘴㈴ㄳ昵愳愸㍦㡣㌸〶㑤〹㘰〰㕡敡㈲晥㡥㌱㑡㙦㠶㡥㠶摢て㘰㐳攸挳㝡㌷㌱挱戳㍣㐱〰㍥敥ち挰㐷㑥挰㜷㐲攸〴㘴㤲〰㌶攷㤴㍦攸ㄲ挰㔰㠴昵㉤㘸戶攴散捡敦〶㠷摢㑤㜱㈲ㄲ㡤攴摤ㄹ㐱搱㐸ㄸ㜱㌲㥡ㄲ挰㔶㘸愹㡢㜸摤つ攰㈴戸晤〰戶㠱㍥慣㜷ㄳㄳ愷愰㕦㄰㠰ㄷ扡〲昰扣ㄳ昰㥤慡㍡ㅤ㤹㈴㠰〸愷晣㙣㤷〰㘲〸敢㜱㥡〴㘷㔷〶㤰戲㥢攲っ㈴ㅡ挹扢㤳愶㈸〳㈳捥㐴㔳〲挸愲愵㉥攲㔱㌷㠰摦挱敤〷㌰ㅥ晡戰摥㑤㑣㥣㠵㝥㐱〰敥敥ち挰㕤㑥挰㜷ㄲ敤ㅣ㘴㤲〰愶㜲捡㜷㜴〹㘰㔷㠴昵改㌴扢㜱㜶㘵〰㌳敤愶㌸ㄷ㠹㐶昲敥捣愲㘸㌶㡣㌸ㅦ㑤〹㘰づ㕡敡㈲㙥㜰〳㌸て㙥㍦㠰昹搰㠷昵㙥㘲攲〲昴ぢ〲㜰㐵㔷〰搶㍡〱摦改扤㌵挸㈴〱散捤㈹㕦搶㈵㠰摦㈲慣㌷搲散换搹㤵〱攴散愶戸ㄸ㠹㐶攲愶攷㈹㉡挰㠸㑢搱㤴〰㉣戴搴㐵㥣攷〶㜰〹摣㝥〰㑤搰㠷昵㙥㘲攲㌲昴ぢ〲㜰㕡㔷〰㑥㜵〲扥ㄳ㡦㔷㈰㤳〴搰捥㈹㥦摣㈵㠰㑥㠴昵攵㌴㉢㌸扢㌲㠰㔵㜶㔳昰愴攴㐸摥㥤搵ㄴㅤ〰㈳晥㠸愶〴㜰㈰㕡敡㈲㡥㜲〳昸〳摣㝥〰㠷㐲ㅦ搶扢㠹㠹慢搰㉦〸挰〱㕤〱㔸敤〴㝣愷㐴慦㐵㈶〹攰㌸㑥㜹㘵㤷〰㑥㐰㔸㍦㤱收㈴捥慥っ攰ㄴ扢㈹慥㐳愲㤱扣㍢愷㔲㜴ㅡ㡣戸〱㑤〹攰㜴戴搴㐵戴扡〱㕣て户ㅦ挰㔹搰㠷昵㙥㘲攲㐶昴ぢ〲㔰攸ち㐰摥〹昸㑥搶摥㠲㑣ㄲ挰㐵㥣戲搹㈵㠰㡢ㄱ搶㉦愱戹㤴戳㉢〳戸摣㙥㡡㜵㐸㌴㤲㜷㘷㉤㐵㔷挰㠸摢搰㤴〰慥㐴㑢㕤挴慦摤〰㙥㠵摢て攰㙡攸挳㝡㌷㌱㜱㍢晡〵〱㤸摤ㄵ㠰㔹㑥挰㜷ㅡ昹㉥㘴㤲〰㙥攱㤴㘷㜴〹攰㔶㠴昵摢㘸㙥攷散捡〰敥戴㥢攲㙥㈴ㅡ挹扢㜳ㄷ㐵㜷挳㠸㝢搱㤴〰敥㐱㑢㕤挴㐴㌷㠰㝢攰昶〳㜸〰晡戰摥㑤㑣摣㠷㝥㐱〰㌲㕤〱㐸㍢〱摦〹敥〷㤱㐹〲㜸㠲㔳㑥㜶〹攰㈹㠴昵愷㘹㥥㠱㜱〱㜸捥㙥㡡㠷㤰㘸㈴敦捥昳ㄴ扤〰㈳ㅥ㐱㔳〲㜸ㄱ㉤㜵ㄱ摢扢〱㍣っ户ㅦ挰㕦愱て敢摤挴挴愳攸ㄷ〴㘰㘴㔷〰㐶㌸〱摦愹昷㍦㈱㤳〴昰㌶愷㍣慣㑢〰敦㈲慣扦㐷昳㍥㘷㔷㕥〳㍥戴㥢攲〹㈴ㅡ挹扢昳ㄱ㐵ㅦ挳㠸愷搰㤴〰㍥㐱㑢㕤挴挶㙥〰㑦挲敤〷昰〵昴㘱扤㥢㤸㜸ㅡ晤㠲〰昴敦ち㐰㍦㈷攰㉤ち〸㍤㠷㑣扤㌸㤹摢㡦ㄳ㉥㉥㙡戲㔶昲散搳〶㐵搴摦㑥㕡摥搱搹㈶㑦㤵つ㈸㑥㙥㥢摤搶㌹戹愹㘳㔹戳戹㝡㘰搱㔹搸㘳㠹搵㡡ㄳ搹敤㌸㥦敤昱戵㉤㕢㘶ㄵ昴攲晣戶攵敤㜹㙢晡攴晦㠵ㄳ摤戸㝦㜸攸攴㌹敥㙡㠱换㝦㜶敥戶ち㍤戱㤶攰㔲ㄵ㝡〱〹扤愷攰㘴ㄵ戰敢㜴戹㕣㌴㈰慣㉢ㄳ㕤搰搴搹㙣昵㉢捡㔳搵㜲戹戶〸㡡愸づ㈸昴㉤㉥㔸㠲㔳㔳㤳〷ㄴ愷戵㌷ㄵ㥡㥢㕡㉤㍥ㄸ㠳㙣改㑣㙢㌱㉡〱收戶㜵㌴昱㝣搱㠰攲㠲㜶戳戵㘳ㄹ㑦㙡收㔷㙦㔴搱㤲㘷㍦㐳挵㠹㑤慤ㅤㄸ㐶㍥㡡㕣慥㉢捥㕦搲戶ㄲ戵晦换㕢㕡愷㤹换㍡晥㈷ㅥㄵ挱㠷㐵㕥攴㐳㈳慡㐵㜵戵愸慤慥晤㑦ㅦㅦ敤㍢㙣㘳〳敤慡敡攱㔸㑦㍢摢㥢㜲换〹㑣㡥ㄱ㠳慤愱㤱㡦㘱㔵攸㐵㉣㜹㑦㕦扡ㅥ㐲㑦敤〱攷㕡㔱搳ㅥ㜸ㅡ扣昴㠱㡡㉤㈰搷扦挷㜴晡晦ㄳ㘶户㘹ぢ愷㤷慢㜲晥㑦㥦㑥〸晤ㄹ㤹搷扢〸㘲㌰挴ㅢ搸慢㄰ぢ㈳戸㐶㘱换挴㥡挰㤶㜷戵っㄷ愵㠶㙢攸〶攵挵愹㌸㡦摥扦㌸搳捣㔹捤㌸晤摦㘲㜶㙥㘰㌷㜸敥ㄵ搵敢ㅤ㑥㙣㔲㕢㑢㡢挹㔵㡥㌵昸昳昳㘶戳㔵㕢㙣㔸摥搹㌶慢愹㔵㉦挲挸昵搲㜱㤹慢攰㌲㔷搹㈷敡㡢昳㔸ㄶ㈴㤷㤹慢㙤戱搹摥搴戹愴愵㈹㕦换〶㑢㜷晥㈷搶㔵散㍦㙡〰㔳㕤搴扥挴㝢收摦㍥晦㡥㠷㝢㉣㡡㘵㠸㡥て㍦搶攸㙡愱攱㑦晣㠷㔵㈳搸昳挸㈷ㄴ晤摦挸ㄶ挲㑤敥㡡攴㕣扥㤲愷㘲戱昸搵愱㔸㐵攵捥㐹晣㠵〲摣昴ㅦ㈰攵〲㙦㌵㝦㠵改戶愴愰㉦〴攱㤹㙤㘶㘱慡㤹挷攷㘹晡㍡㥦愶愹挵㐳换㕤㑤扢挱㈲㡦㐹愸ㅢ㐲㍤搲㡡㈶㥣挸慥愵㘳㍥㍥㉤㔴挳昲㄰捤㝥っ㜱扡扢㑦㔵㈸搴慦㌶㘸慣改㉡搷㈸攷搴戹晢搳㐸搳㝤昹㍦摦㍤戳ぢ敦㙤㌸㉣㥦愲㝥挴戲晥ㄳ敦搳换㜰昲晥㜸〴㍦㔳昰ぢ㑣攸ㄵ〴扤㡦㑤㘵扤〵慡㌲㜴㠸㙡攴攷㔰㔸〹㔲㡢慡〹㔹㐲ㄲ㤲㜷愴㥦慢昴㐳戳慢㍥㙡搵㠷㕢戴昹㔸换慤㐲搸摥扦戲挴〴捦っ㔵搵搵㌵㜸愸㌵㙦搹㥣㙦㔸㈴㙢㤹㙦挹㥡㄰戱㈵愶愰戱㑥㜰㈰㌷ㄶ攴㙦㜴㝦搶攳㈵㐴㜱㑥晢ㄷ晣㤳㤷㜰㔸慦㠶戶㉡㉣摥㠰㔵〰晡搳㘳ㄳ〲㝡ㅣ晦㠲ㄱㅦ挲挹㤷〱慥㈷㉤昱㌱㥡㝣攲挲㔱㍤㌰㤲ㄷ捦㑥㔱㝣〲㉦㜷㡣扡挶㈴㥦㘲㠹晢㥢搲晡㔷ぢ㙦捦敢摦攷散㠱㥢捥㑦㠸愹昵㑦㝣〱㡦㥡㌲㠷㜷愶ㅣ㠶㐶敦㐷攱摦㠲〵晤㈹ㄸ㐰挱㤷㄰昰㠱搵㌶㐰换〷㡣ㅦ㌹〹〰㘶㐰ぢ㘰晦㜰㈵㜷〱摢㤰挹㌷㘲昲ㅦ㈱昰〲晢ㄹ扥ㅥ㠰昱戱㤱挰〶㌱〹敦㙤〵戰㡤攱敤ㄹ㔸㌵扡㐹㘰㥢挸㈴㜶㐳戰ㄴ㈱〰搸愶搰攸㥢㔱挸㌲㠵〰挱收ㄴっ愱㠰㤵ぢㄲ搸㔰戴㝣挰昸攱㤹〰㘰㕢㐲ぢ㘰慣㘲㔰挹㕤挰㠶㌱昹㜰㈶㘷挵㠱ㄷㄸ换っ㝡〰挶㈲〴〹㙣㈴㤳戰ㅡ愱〲搸㈸㜸㝢〶挶慡〵㕣昱㐱㈸㈶挱㠲扣戱㜴㐱㑤搹戵㠶㙤つ㡤扥つ㠵㉣㙢〸㄰㙣㑢挱㘸ち㔸改㈰㠱㙤㠷㤶てㄸ㍦〶ㄴ〰㙣㝢㘸〱㙣㤸㉢戹ぢ搸づ㑣㍥㤶挹㔹愱攰〵挶戲㠴ㅥ㠰戱㘸㐱〲㡢㌰〹慢ㄷ㉡㠰挵攰敤ㄹㄸ慢ㅣ㜰挵㘱㑦㈶㔱挰㔸敡㄰挰㈳〱㡤㥥愴㤰㘵㄰〱㠲ㄴ〵㘹ち㔸ㄹ㈱㠱㘵搰昲〳㐳㔵㝥〰戰㜱搰〲ㄸ慢㈴㔴㜲ㄷ戰㕦㌱昹㑥㑣捥㡡〶㉦戰〹昰昵〰慣〱ㄲ〹㙣㘷㈶㤹㠸㔶〵戰〹昰昶っ㡣㔵ㄱ戸愲㘴㠲㐹ㄴ㌰㤶㐶愸㈹扢搶戰㠹搰攸㤳㈸㘴搹㐴㠰㘰㌲〵㔳㈸㘰㈵㠵〴㌶ㄵ㉤ㅦ㌰㝥㌴㉢〰搸慥搰〲ㄸ慢㉡㔴㜲ㄷ戰改㑣扥ㅢ㤳戳〲挲ぢ㡣㘵て㍤〰㘳㔱㠴〴㌶㤳㐹㔸ㅤ㔱〱㙣㌶扣㍤〳㘳ㄵ〵慥昸戸ㄷ㤳㈸㘰㉣愵㔰㔳㜶〱㥢ぢ㡤扥㍢㠵㉣戳〸㄰捣愳㘰㍥〵慣扣㤰挰ㄶ愰攵〷ㄶ扣㠶㉤㠲ㄶ挰㑣㔷㜲ㄷ戰㍤㤸晣搷㑣捥㡡〹㉦㌰㤶㐹昴〰㡣㐵ㄴㄲ搸㕥㑣挲㙡㡡ち㘰㝢挳摢㌳㌰㔶㕤攰㡡㑦㤴㌱㠹〲挶搲㡢〰ㅥ扦㠵㐶㙦愴㤰㘵ㄹ〱㠲㝤㈹㌰㈹㘰愵㠶〴㤶㐳换〷㡣ㅦ㤷ぢ㔸挳ち搰〲ㄸ慢㌶㔴㜲ㄷ㌰㡢挹㡢㑣㝥ㄸ〴㕥㘰㐷挰搷〳㌰ㄶ㕤㐸㘰㑢㤸㠴搵ㄷㄵ挰昶㠳户㘷㘰慣搲挰ㄵㅦ㕡㘳ㄲ〵㡣愵ㅡ㙡捡慥㌵慣ㄹㅡ扤㠵㐲㤶㜱〴〸㕡㈹㘸愳㠰㤵ㅤㄲ搸㌲戴㝣挰昸挱扦〰㘰敤搰〲ㄸ慢㍣㔴㜲ㄷ戰づ㈶攷愷敡〵㉢㌲扣挰㔸㠶搱〳㌰ㄶ㘹㐸㘰㉢㤸㠴搵ㅡㄵ挰㔶挱摢㌳㌰㔶㜵攰㡡㘳昸㑣愲㠰戱戴㐳㑤搹〵散〰㘸昴〳㈹㘴搹㐷㠰攰㈰ちづ愶㘰つ〴ㄲ搸㈱㘸昹㠱〵慦㘱㠷㐱ぢ㘰慣ち㔱挹㕤挰づ㘷昲㈳㤸㥣ㄵㅣ㕥㘰㉣摢攸〱ㄸ㡢㍡㈴戰愳㤸㠴搵ㅤㄵ挰㡥㠱户㘷㘰慣〲挱ㄵㅦ扤㘳ㄲ〵㡣愵㈰㙡捡㉥㘰挷㐱愳ㅦ㑦㈱换㐴〲〴㈷㔰㜰㈲〵慣ㅣ㤱挰㑥㐲换〷㡣ㅦ挶っ㔸挳㑥㠱ㄶ挰㔸㐵愲㤲扢㠰㥤捡攴愷㌱㌹㉢㍥扣挰㔸收搱〳㌰ㄶ㠱㐸㘰㘷㌰〹慢㐱㉡㠰㥤〹㙦捦挰㔸㌵㠲㉢㍥摤挷㈴ちㄸ㑢㐷搴㤴㕤挰㝥て㡤㝥㌶㠵㉣㉢〹㄰㥣㐳挱戹ㄴ戰搲㐴〲㍢て㉤ㅦ㌰㝥慣㌴〰搸〵搰〲ㄸ慢㑥㔴㜲ㄷ戰ぢ㤹晣㈲㈶㘷㠵㠸ㄷㄸ换㐲㝡〰挶愲ㄱ〹散㘲㈶㘱昵㐸〵戰㑢攱敤ㄹㄸ慢㑣㜰挵〷〸㤹㐴〱㝢ぢ㑢㙡捡㉥㘰㤷㐳愳慦愵昰敤㘰挱ㄵㄴ㕣㐹挱㍢㄰㐸㘰㝦㐰换〷㡣ㅦ㤰つ〰㜶ㄵ戴〰挶㉡ㄵ㌵扡ぢ搸搵㑣㝥つ㤳戳愲挴ぢ㡣㘵㈴㍤〰㘳㤱㠹〴㜶ㅤ㤳戰摡愴〲搸つ昰昶っ㡣㔵㈹戸攲㌳㡡㑣愲㠰戱㌴㐵㑤搹〵散㈶㘸昴㥢㈹㘴搹㑡㠰攰ㄶち搶㔱挰㑡ㄶ〹散㔶戴晣挰昰改扢〰㘰户㐳ぢ㘰慣㙡㔱挹㕤挰敥㘰昲㍢㤹扣〶㜳昲〲㘳搹㐹て挰㔸㤴㈲㠱摤捤㈴慣㑥愹〰㜶㉦扣㍤〳㘳ㄵぢ收㠷㡦㐱㌲㠹〲挶㔲ㄶ㌵㘵㉣慡㌷摦昷㐳愳㍦㐰㈱换㕣〲〴て㔲昰㄰〵慣㝣㤱挰ㅥ㐶换〷㡣ㅦ㕡づ〰昶㈸戴〰挶㉡ㄸ㤵摣〵散㌱㈶㝦㥣挹㔹戱攲〵挶㌲㤵ㅥ㠰戱㠸㐵〲㝢㠲㐹㔸捤㔲〱散㈹㜸㝢〶挶慡ㄷ〹散㘹㈶㔱挰㐶挰慢愶㡣㐵〵散ㄹ㘸昴㘷㈹㘴㔹㑣㠰攰㌹ち㥥愷㠰㤵㌲ㄲ搸ぢ㘸昹㠰昱攳搷〱挰晥っ㉤㠰戱㙡㐶㈵㜷〱㝢㠹挹晦挲攴慣㜰昱〲㘳㔹㑢て挰㔸昴㈲㠱扤捣㈴慣㝥愹〰昶㉡扣㍤〳㑢愱㥢〴昶ㅡ㤳㈸㘰㉣㤵㔱㔳挶愲〲昶㍡㌴晡ㅢㄴ㘶㠲〵㙦㔲昰ㄶ〵慣慣㤱挰摥㐶换て㉣昸㜵搸扢搰〲ㄸ慢㙣搴攸㉥㘰敦㌱昹晢㑣捥㡡ㄸ㉦㌰㤶挱昴〰㡣㐵㌲ㄲ搸㠷㑣挲㙡㤹ち㘰ㅦ挳摢㌳㌰㔶搵㐸㘰㥦㌰㠹〲挶搲ㅡ㌵㘵㉣㉡㘰㥦㐲愳㝦㐶㈱换㙥〲〴㥦㔳昰〵〵慣挴㤱挰晥㠶㤶ㅦ㔸昰㕢愳慦愰〵㌰㔶攵愸攴㉥㘰㕦㌳昹摦㤹㥣ㄵ㌴㕥㘰㉣㥢改〱ㄸ㡢㙡㈴戰㙦㤸㘴㕦戴㉡㠰㝤〷㙦捦挰㔸㠵㈳㠱㝤捦㈴ちㄸ㑢㜱搴㤴戱愸㠰晤ㄳㅡ晤㕦ㄴㄶ㠲〵晦愶攰〷ち㉣〸㈴戰ㅦ搱昲〱攳㠷晢〳㌶挹㥦愱〵㌰㔶昱愸搱㕤挰㝥㘱昲㉡㥣ㅡ㄰慣戸昱〲㘳㤹㑤て挰㔸㠴㈳㠱攱攸㜱㤵㔸㠱㔶〵㌰㝣㍡㜷㍤㠰慤㐲㌷〹㉣挴㈴ちㄸ㑢㜷搴㤴戱愸㠰㘹搰攸㝤㈹㘴㔹㑦㠰愰㤶〲㝥戱㤷㘰愵㡦〴ㄶ㐶换〷㡣㕦㔳㄰〰慣㍦戴〰挶慡ㅦ㤵摣〵㙣〰㤳㙦挰攴慣搰昱〲㘳㔹㑥て挰㔸戴㈳㠱ㄹ㑣挲敡㥤ち㘰ㅢ挱摢昳ㅡ挶㉡ㅦ〹㙣㈰㤳㈸㘰㉣昵㔱㔳挶愲〲㌶〸ㅡ㝤㌰㠵㉣〳ち㄰㙣㑣挱㈶ㄴ戰㌲㐸〲摢ㄴ㉤ㅦ㌰㝥攱㐲〰戰捤愱〵㌰㔶〹愹攴㉥㘰㐳㤸㝣㈸㤳戳愲挷ぢ散㘲昸㝡〰㜶〹㈴ㄲ搸㤶㑣挲㙡㥦ち㘰挳攱敤ㄹㄸ慢㠲㈴戰ㄱ㑣愲㠰慤㠵㔷㑤ㄹ㡢ち搸㐸㘸昴慤㈸㘴搹㔰㠰㘰ㄴ〵昵ㄴ戰㤲㐸〲摢ㅡ㉤㍦㌰㝣愷㐳〰戰㙤愱〵㌰㔶ㄵ愹攴㉥㘰愳㤹㝣㍢㈶㘷〵㤰ㄷ搸慤昰昵〰㡣㐵㐱ㄲ搸昶㑣㜲㍢㕡ㄵ挰挶挲摢㌳㌰㔶ㄱ㐹㘰㍢㌲㠹〲挶㔲㈲㌵㘵㉣㉡㘰ㄱ㘸昴㈸㠵㉣㌳ち㄰挴㈸㠸㔳挰捡㈳〹㉣㠱㤶てㄸ扦〴㈳〰㔸ち㕡〰㝢挰㤵摣〵㉣捤攴ㄹ㈶㘷挵㤰ㄷㄸ换㠴㝡〰挶㈲㈲〹㙣ㅣ㤳戰㥡愸〲搸㑥昰昶っ㡣㔵㐷ㄲ搸㜸㈶㔱挰㔸㝡ㄴ挰㘳㘷㘸昴㕤㈸㘴㔹㔲㠰㘰〲〵つㄴ戰㔲㐹〲㥢㠸㤶てㄸ扦捥㈳〰搸㘴㘸〱㡣㔵㑢㉡戹ぢ搸ㄴ㈶㥦捡攴㙦㐳攰〵挶戲愲ㅥ㠰戱攸㐸〲摢㤵㐹㔸㝤㔴〱㙣㌷㜸㝢〶挶㉡㈵〹㙣〶㤳㈸㘰㉣㔵㔲㔳挶愲㕡挳㘶㐲愳捦愲㤰㘵㑣〱㠲搹ㄴ捣愱㠰㤵㑤ㄲ搸㕣戴㝣挰昸挵㈴〱挰收㐱ぢ㘰慣㜲㔲挹㕤挰收㌳昹〲㈶㘷㑤㠴㥣昴㐲戶㥣㐹㠷㜸㕥摢㝢扡搶㜷㉡㕤㡥㔰攴㐹昵昹㥤慢㥢㔱挸挰㐵㥥扥戵㤷㜸㈲㍡㉣㝤㌸愹摣搶㡥㤳㘳㌵摥敦㔸㈸昵㝤ㄶ〳昷ㅢ攴昹晥ち搹㡤ㄱ㥥戳て㕤昵㠳晦㍢ㅡ㑡晤㌹昱昲㠷搹搹㠷ㄷ㙤て㑣㜱搰慣愶㝣㝢㕢㐷㕢戱㜳昸㝣ㄴ改っ攷昷㠱ㄴ慢慡㈲つ愱㍦㈰㘳攰㤸扣㘳㌵慤晣戲挳ㄵ晣㝣㝣㜸㘹㙢摢捡㔶㌹㥢㔰〷扦ㄶ㐵昲敡摢㤷挳㠴㌹づ㉦㕢〱㥥挱昳晢散慣敦〹㍢愰㡦挱ㄳ攴戸㔶㘹㝢愱㕤㍦㘹攲愴㜹㡤㤹㑣慡㄰㐹㤹昹㜴愴㘸㈶ち改㤴㤹㈹愴ち昹㜸㈱㤱㠸愷㜲㠵㝣㕡晢㑤㐹㥡㡢ㄶ愳戱㘸㈶㘷㐵㡢㠹㠴㔹㑣㘷㔳㘶捡捣㐵㌲㤱㜸㈴ㅢ㐹㈶戳〶㑦扤㌳扤扥㌷晡攸晢挰ㄸ㍣攳㉥㕤扦愵慢㤱㉥㥥㝦慦㔴㠵慡昱㈲㘹㝤㑦㡢㈳㐵㤵挸㠹扣㈸〸慢愶㙦㕦㔱敦昹㤰扦敦㜴㝡改ㅢㄳ㌴㡤㘷搳㐳ㄷ〱昳晡㜵慡㝣ㄴ搹㤹㉦昵昴㍣敦㑡〱㈶㙣昴㠱㠳㍥捤㐲㜳挳㐹ㄳㅢ㉢扦慡㔲㉢挲摤ㅦ㙥㔹㌱㠰敦挰散搰ㄶ挳戳〱㍣慥昲㈱愳挶挹愲㉦㐱㔰ㅦ挹㌱㐶挰〸つ㝥昹搸㉥㠵㥦ぢ昲㔶ぢ㉦户〷㜱㈶敥〸搷㐲〴昰挱㔵㐸戸ㄶ㠹㌳攰攱㥡㔴戹㈶攸攸㐴㠵摥〶㡢㌵㈱㡣㌶ㅦ〴㙤ㄹ摡昶㥡㔰㠸愴ㄳ昱㘸㌲㥦㡢挶捣㠴ㄵ㌷㌳搱㔸搲㡣㐴戲搱㘲搲㉡㐶㌲〵㙤晦㤲㌴㔷㉣㈴㡡戱㐴戶㤰换㈷ㄳ昹㙣摡㑣㘵㜳戱㜸㌲㤳㉦㐴ぢ挵㙣挶㌴晡㌹改昵㜶昴搱㍢㘰㡣晥捡㔵㕥ㄳ〶㈸ㄷ〵㔲㉡っ扡㜰ㄳ挷攱㉥昰㤱挲㌲㡥㑦㌳㝥〰㑣搸搸㄰づ改㈳㜱㥤㝣㜵㈲㌵㌶㔲晥㐳攸ㅡ捤㕥摢挲㠸㐱昰㑢㠶㠷挳㕦㘲戸㌱扣㤲攱㈱ㄸ挲捦昰㈰㜸晤っ㌷㐱㈷㈴愹搲㡦㠶〵挳㑤搱㤶っ㡦㐱摢搹㥡㈲ㄹ㉢㠹㡤㈱㠶敦㐹㑡攴㡢戱㑣㈱㕤捣收㤳㔶㍡ㄹ㑢㘵㜲戱㡣㜶㙣㐹ㅡ㑦㘴㈲㘶っ㕢㔸㍡㥡㑥㈴㜳搱㥣㤵戲㡡㐵㌳㥢㌵愳ㄶ㌷㉦㘳㌳㈷扤㝥ㅣ晡攸挷挳ㄸ㥢㉢㔷㤹攱㄰攵愲㐰㑡挵㤶㜴攱㈶摡摤っ㑦㘵晣㌴㤸戰㌱っ㐱㕣慢㜴て挳攱捡㝦㈶戵ㄱ㉡㜶㈴挳㤱㑣挶搶搹昰㤷ㄸ㡥㠲㔷㌲㕣ㄲ挸戰ㄸ挸㤰攷攳㤱愴㑡㍦ㅦㄶっ户㐶㕢㌲扣〰㙤㘷㍤捣㘶㜳㤱㉣昶㉡挵㈲扥愲户㤰捤愵愳㔶㈴ㄶ㑤挷ㄲ愹㔴㉡㤳㉤㙡ㄷ㤶愴㘶㉡㥥㡥攴㈲㠹㘴㉣㥢㐹㈴㤲愹㑣㉣㤱㈸㕡搱㔸扡㤸㑥㐴戳搱㡣挱戳晡㑣慦㕦㠴㍥晡ㅡㄸ㘳㕢攵㉡㌳ㅣ慤㕣㈵㤵搸㥥㉥摣挴摥㙥㠶㙢㤹攵ち㤸戰戱〳㠲戸晡ㄸ㡥㔵晥慢愸㑤㔳㤱㠲ㄱㄱ㈶㘳敢㕡昸㑢っ㘳昰㑡㠶昳〲ㄹ捥つ㘴挸㔳昴㐸㠲㐳㥥戰㘰㤸㐰㕢㌲扣〹㙤㥢㘱㌲㡡ㅤ㜸㉥㥤㉡㈶戲㔶㈲ㅢ㑦攱㥡㠸㘵愳昹愴㤹㑤攷㘳㔶㑥扢戹㈴㌵愳㔹㉢㘲收㘳㠵㘴㍣㤲㠸挴攲㌹慣㤸㘶㍥㤳㈸㥡挵㐴㈱㥡㐹ㄹ㍣搱㉦ㄹ摥㠲㍥晡㍡ㄸ㈳愵㕣㘵㠶㘹攵愲㐰愷㔴㡣愳ぢ㌷㌱搵捤昰㉥挶敦㠶〹ㅢ扦㐲㄰㔷ㅦ挳㥤㤴晦㝥㙡㜷愶㘲㍣㡣搸㤹挹搸㝡㠸改改攱㙤〲扣㤲攱㑥㠱っ挷〵㌲㙣㐰㈷㈴愹搲ㅦ㠳〵挳㠹㘸㑢㠶㡦愳㙤㌳挴搳㘰㌱ㄵ戱㌲搹㝣〲っ搳〵戳㤸㈹挴ㄳ昸ㅡ戴㘸ㅣ㑦㠱昱戴昶愷㤲㌴㔲挸挶昳改㜸摥㉡㘶昰㐵搱㠵㜸㌶㙡挵攱挹ㄷ㜲改㜸㌴ㅦ㑤ㅢ㤳㥣昴晡ㄳ攸愳㍦〹㘳㑣㔶慥㌲㐳ㄶ〰㐸搲㈵㤵搸㤵㉥摣㐴挴捤昰㜹㘶㜹〱㈶㙣㑣㐷㄰㔷ㅦ挳摤㤴晦㉦搴㑥愱㘲㌲㘹捤㘴㌲戶㕥㠱扦挴㜰㌶扣㤲攱搶㠱っ㐷〵㌲攴㠹㝣㈴挱攱㍢㔸㌰㥣㡢戶㘴昸㈶摡㌶挳㤸ㄹ挷㕡㤵㡥㈷㤳㜱散搴㔲改㕣㈲ㄱ㉤ㄴㄲ挹戸㤹㉥㥡戹㘲㕡㝢慢㈴〵愸㘲㈲㥡戱ち愹㔸㌲挱搵て晢捦㐸摥㑡愴ㄲ挹㐲㉡㥡捤ㄹ扢㍢改昵户搱㐷㝦〷挶㤸愷㕣㘵㠶慣〹㤰っ㑢㉡戱㠸㉥摣挴收㙥㠶ㅦ㌱换挷㌰㘱㘳て〴㜱昵㌱晣戵昲㝦㑥敤㑣㉡㘶挰㠸扤㤸㡣慤㉦攱㉦㌱摣ㅢ㕥挹搰〸㘴戸㐱㈰㐳㥥摢㐷㤲㉡晤ㅦ戰㘰昸㕢戴㈵挳㙦搰戶ㄹ收㘳㤱㈲㌶搰愸㤵㑢㕢㠹㍣扥㝣㉦㥦挹ㄴ戰捤㘶㐹㌲㤵㈹㙡摦㤶愴〹慣㠴昱㙣㈴㤶捤㈶㌳愰㥥㌰㈳昸挶昲㕣㌶ㅤ㠹㤹㈶㠰㘶㡤㐶㈷扤晥ㅤ晡攸摦挳ㄸ晢㉡㔷㤹愱愹㕣ㄴ㐸愹㈸搰㠵㥢愸㜱㌳晣㠹昱㥦㘱挲〶㑢〰㜰昵㌱㉣㉡㝦㜵〸挱昹㔴捣㠳ㄱ㑢㤸㡣慤㄰晣㈵㠶晢挱㉢ㄹ晥晢摦㐱捦换晦㠴搷晦扣扣ㄴ㥤㌰〷ㅣ㤲㐲㉡㌰㙣㐶㕢㌲っ愳㙤㌳挴晡㤴捦㘶㌲改㑣㈱㘶㈵㉣搳挲慢㤵㔸㌱㥦挳㤷ㄹ㈶戲㠹㘴㈲慢昵㉢㐹㜳挹愸ㄵ㡢㐷㈳㠹㑣ㅣ㑦攱㜹㍣戳㘴㔲㤱㘴ち慢㘷㈶㡡㌵㌱㘷戴㌸改昵晥攸愳て㠰㌱㕡㤵慢捣㤰㤵〳㜲㍤愴㐰㑡㐵㍢㕤戸㠹扦攱㙥㤴㕥摢っ㘴㝣㄰㑣搸㘰㔵〰慥㍥㠶㥤捡扦㈹戵晣ㄲち㝤㑦ㄸ戱㠲挹搸ㅡ〲㝦㠹攱㉡㜸㈵挳昷〳ㄹ扥ㅢ挸㜰㌵㍡㐹㠶挳㤰ちって㐰㕢㌲ㅣ㡥戶捤㌰㕢㐸㈵ㄳ挵〸戶挸㐲ㄴ㑦㉢昱ㅣ㕥搴㘰㐷㤷㑡ㄴ㘲㌱㌳㘹㈶戵ㄱ㈵㘹㈶㠷扤㘴㈱㘹㘵㔳㜹攰㑤㐷捤㠲㤹㑣㐴昰㝥㈱ㅡ㉢ㄴち戱㠸㜱愰㤳㕥ㅦ㠹㍥晡㔶㌰挶㐱捡㔵㘶挸㘲〲挹戰愴ㄲ㠷搱㠵㥢㜸搹捤㜰㌴戳㙣〷ㄳ㌶づ㐷㄰㔷ㅦ挳㈳㤴㝦㉣戵㈶ㄵ晢挲㠸愳㤸㡣慤㈸晣㈵㠶挷挰㉢ㄹ㍥ㄳ挸昰愹㐰㠶㉣ち㤰っ㤳㐸〵㠶挷愱㉤ㄹ愶搰戶ㄹ㈶搳改㐸㉡㥥㐸㜳摤㑢攰㑤㤷ㄹ㐹挴㌲㌹㌳㙡㕡昹㔸㈲㤹㡤㘹改㤲㌴㡥愷㥦㙣㠶㤰㔳㜸㔱ㄳ㌵捤㘸㈴㥦㡤㔹㠵㙣㈶㙦㐶㔳㔶搴㌸摥㐹慦㘷搰㐷捦挲ㄸ㈷㈸㔷㤹攱㠹捡㐵㠱㤴㡡㔳攸挲㑤㍣攸㘶戸ぢ攳ㄳ㘰挲〶㙢〷㜰昵㌱㍣㑤昹㈷㔳扢㠴ち㝥戱㠶㌸㠳挹搸㥡〶㝦㠹攱㤹昰㑡㠶户〷㌲扣㌵㤰㈱敢〴㈴挳ㄹ㐸〵㠶扦㐷㕢㌲㥣㠹戶戳㉤攳㙤㐷愲㘰攱愵㈰戶摣㘲㍥㥦㐹ㄵ㔳㝣㝦ㄲ挵扡㔹㈸㈴搳摡慣㤲㌴挲愷敦っ昶㤳挹〲摥摣愶攲戹㐸戱㤸挸挵慤㜴㌶㘱㈶㜲搹㠲㜱戶㤳㕥㥦㡤㍥晡ㅣㄸ攳ㅣ攵㉡㌳㍣㔷戹㈸㤰㔲㜱〱㕤戸㠹㙢摣っㄷ㌲扥〸㈶㙣戰㥣〰㔷ㅦ挳㡢㤴㝦㉦㙡摢愸攰挷㑦挴挵㑣挶搶㍥昰㤷ㄸ㕥ち慦㘴㜸㘹㈰挳㡢〳ㄹ㕥㠶㑥㤲愱㠹㔴㘰㜸㌹摡㤲㘱づ㙤㥢㘱㈱㙡㈶㌳愹㔸㈲㙤㔹昱〴㕥捤㤸搸ㅢ㘶昳㔱㜸昲戹㕣扡㔰搴昲㈵㘹慡㤰㑡愵愳㤱㙣㌲㠹㕦挰挰慢㜰扣扣挹㐴㌲㜸㐲捥愷昳㜸搹ㄸ㌷㔸㠰㈰户搲〲晡攸ㄶ㡣㜱㠵㜲㤵ㄹ戲ち㐱慡㈸搰㈹ㄵ㔷搱㠵㥢昸扤㥢攱㔲挶㥢㘱挲挶搵〸攲敡㘳㜸㡤昲㉦愳㜶〵ㄵ换挹昰㍡㈶㘳慢㠳改改攱敤〶㜸㈵挳㤳〲ㄹ㥥㄰挸昰㐶㜴㤲っ㔷㈲ㄵㄸ摥㠴戶㘴戸ち㙤㠷㘱㉡㡤㌷扥搱㘲ㅡ㙦昵ㄲ㠵㥣㠹㤷摢㈹散〹昱づ㉥㤲㡥愵㉤㔳㕢㕤㤲愶昳㔹扣搱㡢愶ぢ㜹慣㜷搹㈸攰攵挰搹㉡㐴㜳㠵㜴㈱㡡攷ㄴ搶㈴㐸㍡〷愰㡦㝥㈰㡣㜱㡢㜲㤵ㄹ戲㌰㐱慡㈸搰㈹ㄵ户搳㠵㥢㌸捣捤昰㜰挶㡦㠰〹ㅢ㜷㈰㠸慢㡦攱㥤捡㝦っ戵〷㔳挱㙦〸ㄱ㜷㌳ㄹ㕢挷㌳㍤㍤扣摤ぢ慦㘴戸㈲㤰㘱㘷㈰挳晢搰㐹㌲㍣ㄹ愹挰昰㝥戴㈵挳㔳搰戶ㄹ愶昱挲搹㑣㐶㈲㠵㈸㕥戰挴ち昱ㅣ摥㜳ㄴ昲挹㜸戴㠸搷捥㤱㐸㑡㍢戵㈴㌵捤ㅣ摦愳〰㝡捡㑡ㄴ攳㔶戶㄰㉢㘶㈳㔹慥戵改㠸㘹㘵㡤〷㥣昴晡㘹攸愳㥦づ㘳㍣愸㕣㘵㠶て㈹ㄷ〵㔲㉡ㅥ愵ぢ㌷戱㥦㥢攱搹㡣㥦〳ㄳ㌶㔸㠷㠰慢㡦攱攳捡㝦〱戵㐷㔱㜱㈴㘹㍤〱扦㘴戸〶晥ㄲ挳愷攰㤵っ昷つ㘴昸摢㐰㠶㑦愳㤳㘴㜸ㄹ㔲㠱攱㌳㘸㑢㠶㤷愳敤㌰挴㌶㤹㑥攴㉤扣戰挹㈴慣㜴㉡㥢㑡挶㘲㤹㉣摥昲㤹㠵㔴挶戲戴戵㈵㈹㥥㘲㑣扣㘶捣挵戳愶㠹㙤ㄹ㍦㙢ㄳ㠹ㄷち㜸㜱ㄴ挷㤳㄰扥攳搹㘰攵㠲㕣挳慥㐰ㅦ晤㑡ㄸ攳㌹攵㉡㌳㝣㕥戹㑡㉡昱㘷扡㜰ㄳぢ摣っ慦㘵㤶敢㘰挲〶㑢ㄳ㜰昵㌱晣㡢昲摦㐴敤㠹㔴㥣㐰㠶㉦㌳ㄹ㕢敢攰㉦㌱㝣ㄵ㕥挹㜰户㐰㠶扢〶㌲㝣つ㥤㈴挳㍢㤰ちっ㕦㐷㕢㌲扣ㄳ㙤㥢㘱ㅥ敦敤昰㐴ㄱ捦㈵昱㤶㌹㠹敤㌲㤵㌵㌳㌱扣㔹㉥㐶ㄲ㔶㌶ㄹ搵敥㉡㐹昱㘶㈶㤳户捣㜸㉡ㅥ捦㈵攲㠵〸㡥㐸ㄴ昲搱〲摥收攵昲挰㥡㌷㔸捣㈰ㄹ摥㡤㍥晡㍤㌰挶㥢捡㔵㘶昸㤶㜲㤵㔴攲㕤扡㜰ㄳ㍢扢ㄹ㍥挴㉣て挳㠴㡤昷㄰挴搵挷昰㝤攵㝦㥣摡㌳愸攰㔷㥤㠸て㤹㡣慤㈷攱㉦㌱晣ㄸ㕥挹㌰ㄱ挸㌰ㄶ挸昰ㄳ㜴㤲っ㥦㐵㉡㌰晣ㄴ㙤挹昰㌹戴㙤㠶㌹扣㔲㈹ㄴ㈳昱㔴㌴㘹㈶㤲㤱㘲㈶㥢挲㤱㥣㉣づ㉦㘰㜵㑢攷ぢ摡昳㈵㘹㍥㠵㤷攲戱〴づㅡ㈷攳〹ぢ〷ㄲ戳昸㠹㈵扣㈷捣攴㤳昹㐸㉡ㄲ㌵㍥㜳搲敢㉦愰㡦晥㈲㡣昱戹㜲㤵ㄹ㝥愱㕣ㄴ㐸愹昸㡡㉥摣挴戶㙥㠶慦㌰晥㉡㑣搸昸ㅡ㐱㕣㝤っ晦慥晣㙦㔲㝢㉥ㄵ晣戶ㄴ昱つ㤳戱昵づ晣㈵㠶摦挱㉢ㄹ㙥ㄹ挸㜰㘸㈰挳敦搱㐹㌲晣〰愹挰昰㥦㘸㑢㠶ㅦ愲敤慣㠷昹㘸㍥㘵愵㡢㜸挳㥣㐹攰攷㝣㌲搸㌸㈳挵㔴ㄴ〷㘵捤㐴捡捡㘸ㅦ㤵愴戱㥣㔹挸㐴㈳㜸㘹㡤户㌰㌹ㅥ㜹㈸ㄶ㤲ㄹ换㡣㐶戱摤㈷戲㈹攳㕦㑥㝡晤㘳昴搱㍦㠱㌱晥慤㕣㘵㠶㍦㈸㔷㐹㈵㝥愶ぢ㌷戱㤱㥢攱㤷捣昲ㄵ㑣搸昸〵㐱㕣㝤っ㜹敦愴晦ㅢ㙡㉦愶㘲つ㡣㤰㤵ぢ㙣㝤て㝦㠹㈱㉢ㄷ㈴挳摡㐰㠶㕡㈰挳㄰㍡㐹㠶㍦㈰ㄵㄸ㙡㘸㐸㠶㍦愲㙤㌳挴ㄱ㠷㐲戶ㄸ㐹㈵㔲㐵㉢㠱愳㠳戹㔴㈱㤳挲〱敤㘲㍡ㄷ捤㘴愳㘹敤愷㤲㌴ㄹ㉢攴㡡㌹㌳㠵㌷捡ㄹ昹㤶愶㤰㉣ㄶ㡢昱㜴愲㤸挵敢㥣㑣搴攸敢愴搷㝦㐶ㅦ晤ㄷㄸ愳㔶戹捡っ㜵攵愲㐰㑡〵㙢ㅣ㈴挳ㅦ晦攵㝡慦ㄷ搲㄰搷㘰挲〶换ㅣ㠲ㄸ戲昲㐱晡挳搴昲㕢㔶昴㉢挸搰㠰㕦慥㠷〳攰㉦㌱摣〸㕥挹昰敦ㄸ挶㝦ㅣ晢㉢㜸晤敦㤷〷愲ㄳ慥昸㘵㌵愴〲挳㐱㘸㐸㠶ㅢ愱㙤㌳㡣㈶㜱昲㈷㤶戱戲搹㐲ㅡ㐷扦㡡㘶㌲㠹㔷㉣㔸ㄱ㜳㤱㝣愱㘸挵戴㠱㈵㈹摥㔲ㄷ㈳㜸㘷㥣㉢㐶㈲㄰㐶戱㘵攳㌴㐰㈴㙤攵昹ㅥ㌰㤳㌳〶㍢改昵㐱攸愳て㠶㌱㔸て挱ㄱ昵㌲挳㑤㤴慢愴ㄲ㉣㝢㤰っ㍦㜴㌳ㅣ挲㉣㐳㘱挲〶㉢ㅦ㠲ㄸづ㔵晥攱搴昲㡢㕡㜴㝥敤㡢搸ㄲ㝥挹㜰㉢昸㑢っ㠷挳㉢ㄹ扥ㅥ挸昰搵㐰㠶慣㜲挰ㄵ㥦ㅢ㐳㉡㌰㘴㐵㠳㘴戸㉤摡㌶㐳㍣㐱挴攲㜸㤹㡣〳㌶㌸㝥㤸攰敢挳㐲づ㑦ㅤ㐹挰挵㐹㤵慣㌶扡㈴戵㜰〸ㅢㅢ㜰ㅥ㠱っ捥愷昰㙤ㅦ㔷搶扣㤵捥挴愳愹㔴摥㘰慤㠴〴戶ㅤ晡攸㘳㘰っ㤶㐸㜸ㄸ搶㉢㔷㐹㈵戶愵ぢ㡣挴㜳㙥㠶㔱㘶㠹挱㠴㡤搱㄰〴㌱摣㑥昹㔳搴慥攳㕤扤㠵っ㘵挹〳㕢㔹昸㑢っ㔹昲㈰ㄹ㍥ㅡ挸昰攱㐰㠶㍢愲ㄳ慥㌸戸㡢㔴㘰ㄸ㐱㐳㌲摣ㄹ㙤㥢㘱㌱㡡搷㠲㈶㥥㡡昱〶て敦㥡㔳搹㘲㍡ㅤ挳摢扣㐴ㄶ扢㐳扣㠹搶㜶㈹㐹㑤扣ㄲ㠷〴㈷愳㜰挸㌰ㄲ挹昳㑤㡡㤵㑤攰攰㔹㉥㠳㘷㤵戴挱昲〹〹㙣〲晡攸つ㌰㐶㑣戹捡敢㘱㕣戹㑡㉡挱攲〸挹昰㑥㌷挳㘹捣戲㉢㑣搸㐸㐳㄰挴㤰㈵ㄳ搲㍦㤳㕡㝥㕤㡣捥㉦㥦ㄱ戲ち㠲慤㌹昰㤷ㄸ敥〴戵㘴㜸㐳㈰挳敢〲ㄹ㡥㐷㈷㕣㜱㘴つ愹挰㜰㘷㌴㈴挳〵㘸摢っ㌳〵㥣愶㑤挴戰昹㐶ち㌸㈸㤸捡㈶戱㤰㐹攳ㄸづづ慦ㄶ攳㜹㙤㘱㐹㕡㡣攵搲搹〲㈴ㄶ捥敥㈵㜳㜸㡤㕤挸攱㠰㑤㍣㠶㌳扥㜸㕤㥥㌳㔸㔱㈱ㄹ㉥㐲ㅦ㝤てㄸ㘳㠲㜲㤵ㄹ戲慣㐲慡㈸搰㈹ㄵ慣㤷㤰っ㉦㜷㌳摣㠷昱摦挲㠴㡤㈹㄰〴㌱㥣慡晣㌹㙡ㅦ攲㕤㝤㤰っ㜷㠵㕦㙥换ㄶ搳搳挳摢㙥昰㑡㠶攷〵㌲㍣㈷㤰㈱换㈳㜰慤搲㥢㤰ちっ㔹ち㈱ㄹ敥㠷戶捤㄰㉢㔷〶㐷㕢㜳戱㘸㉣㠳攳㌶昱㙣慡㄰㑦挶㡡戹㝣摥挲㈱㉥㌳愷㉤㉤㐹ㄳ㌹㥣户挲㠹慢㘲㉡㡥ㄷ搶㔶ㅣ慦挴㘳㌱㍣㡤攳愰㐵㍥㤶〱㐳ㄶ㔹㐸㍡捤攸愳户挰ㄸ慣慤㤰慥㌲挳㌹捡㐵㠱㑥愹㤸㐷ㄷㄸ㠹㔳摣っ㍢ㄸ敦㠴〹ㅢ昳㈱〸㘲戸㐰昹㔷㔱晢〴敦㉡扦〲挷㔸〸㍦慥㜸挳〹晦㠰㍥㈱㔶〹晣捡㜳㍡㍤昸ㅢ㉦挶㜸㝦㝡㘴ち㝥㑡㠴攵㠴㔵㝤昰㔱㝦晢〳昲㌵搵攳晥戳㕣㍣㘱捦敦挷攰㉤㜴ㄴ敥敢晦㈱て搷㡡㜲㈱〶㌳づ挳㑤㍦ㄸ㜷㌸戴㌷敥㙥㈴㘸㡡摤晤〸㈴㍡㔶つ㙥㤹摥㠱㤳昹昸㌱搱〵㙤つ愵㕦愲摣㔰㥤攴ㅦ愳㝥ㄱ愳扥散㘹挸㜵攰扢㔵㍡㉤搵㙤㑥㝢愹ㅦ㝥㘱〲㐵ㅤ〸㡣攱敦㘷っ㉥户㕣㕦㌰㌰愴散㥤摥摡㠱摦㝡戱ち㉡㘳〷㍥㝣㕦㔳摤㐷〴㝥攷㠷昳㘳〷晣㐶〱㘶挳慦扤㑣㉦㄰挰㤰㠰慦㔷㤸搸搴㈹扦㥥㘴㈸攲㐲㘷㠵㠸㜶㈸㌱㡤ㅦ㌵㜱㔴㉣㜴ㄸㅥ㠷昵ㅥ愲㤲㍡〷攴㙡ㄹ搶て㐷㍥戱て㌲ㄳ扤搰㔹㕡愲ㅤ愹挶㠸㡡㠳㌰〶挷攱㝡㠴㉦挵愴㤸ㅢ〴㕤散㉦㔸㍥愲攲㜵慣挲挰换慤㉡愸摣㤷慦㜶㜱㕡ㄳ散晦戵捥㝦㘳㐲ㅤ㑢㌶㘴㡦㝤挴㠸㌳ㅡ㐲㙦ㅦ扡收敢慢㝥㔵㝦攱昵扦㌸晦て戵㝢散改昴挸㑥㄰㑢搰愳ㅥ㕥晤ㅤ㥡㜷㘹摥㠳ㄱ㉢㌱愳㔷昱扤ぢ扥㕦㘲㔸攱〴扣扦挴㘰戰㠲〳㔷扣挳挵㝣〷昴ㄱ㙤㘸㜰㜳ㄳ㥤攸挱㜵㥣㤰昴㤳㜹㤷摢攱戶昹戰㌶㐳㍢ㄵ㍥昹ㄸ㐴挵㌲攸搴晤て敢愷㔳摣㔱ㄲ戳㍡㐳晢㥤ㄲ挷㐴戳㈳戶挹㥦㠵㐰ㅤ换㈸㝡㠷㡣㌵ㄷ扤㐳㜶〸㝡〴㈱㕢㡣改〴㈲㉢㍡〱敦㙦㌷ㄸ㉣搸挰ㄵ愵〲㤸㍢㤰ㅤ㡤㠶㐴㔶㐰㡦ㄲ戲ぢ㐹攱㌸㠴㙣㘴㉣挵搰搶㈸ち㔱戱慦㐳挱㕥愵㉥愱㤸㠵ㄲ戶㤸挵ㄸ摡㘵㑡ㅣㄳ㝢㍢㘲ㅢ搹㕡〴敡㑥㠵愴㜷挸㔸㘲搱㍢㘴㘷愲㐷㄰戲㍤ㅣ㌲扥戵㙣㤱ㄳ昰晥摡㠳㜱㌶㌲攱㕡愵㕦㡤戹〳ㄹ㡢㉣㈴戲〵攸㔱㐲㜶㉤㈹㕣㠴㤰㑤攱〲㉣㘹搷㤷㈹捣慤愰㜰㈳挵㉣㥣戰挵ㄷ㔲㝣戳ㄲ㐷挵㑣㐷㙣昳㕤㠷㐰摤㕡㐸㝡㠷㡣ㄵㄵ扤㐳㜶ㄵ㝡〴㈱㥢收㤰昱㈱㥢敡〴扣扦て㘱戰ㅣ〳㔷扣㌲挳摣㠱㡣㌵ㄵㄲ搹㘴昴㈸㈱扢㠷ㄴ㙥㐱挸愶㜰ㄳ㤶戴晢捡ㄴ㈶㔴㔰㜸㠰㘲㤶㐱搸攲㥢㈹㝥㐸㠹㘳㘲㈷㐷㙣慦㘵㡦㈰㔰挷㥡㠸摥㈱扢㕢昵㔸敦㝤搹晤攸ㄱ㠴㉣敤㤰昱㈱㑢㌹〱敦㉦㑡ㄸ慣扥挰ㄵ㠷㤵㌰㜷㈰㘳〹㠵㐴㤶㐰㡦ㄲ戲愷㐹㠱㠵っ㌶㠵挷戱愴㍤㕢愶㄰愹愰昰㍣挵㉣㡢戰挵慣慣搰㕥㔴攲愸搸摥ㄱ摢㙢搹㑢〸搴戱〴愲㜷挸㕥㔰㍤搶ㅢㄹ㑢㈷㠲㤰㙤攳㤰昱㈱摢摡〹㜸㝦㠳挲㜸〵㤹㜰挵㌷㡢㘳敥㐰昶〶ㅡㄲ搹㈸昴㈸㈱㝢㠳ㄴ摥㐶挸愶昰㈶㤶戴户ㄴ㠵㤸ㄸ敥㔰戰㔷㥣㜷㈸㘶ㄵ㠴㉤㘶㈱㠵昶㥥ㄲ㐷挵㔰㐷㙣㈳晢〰㠱㍡㔶㍣昴づ搹挷慡挷㝡㈳㘳愵㐴㄰戲㑤ㅣ㌲㍥㘴ㅢ㍢〱敦慦㔶ㄸ㕦㈲ㄳ慥昸慣ㄳ收づ㘴晦㐰㐳㈲ㅢ㠴ㅥ㈵㘴㕦㤰〲㡢ㄹ㙣ち摦㘰㐹晢戲㑣挱愸愰昰㌵挵慣㘹戰挵慣㥢搰晥愱挴㌱搱摦ㄱ摢㝣扦㐵愰敥㈷㐸㝡㠷散㘷搵㘳扤㤱㔵㘳㠰㈰㘴㝤ㅤ㌲㍥㘴㥡ㄳ昰晥捥㠵ㄱ㐲㈶っ㡦て㌳㘱敥㐰挶㝡〸㠹慣〶㍤㑡挸㝥㈲〵搶㉥搸ㄴ㔸㈴愱晤愲㈸攰晢㕡ㅣち昶㡡挳㥦慣ㄶ㉣㘱戰挵㉣㤳搰晡挰㘷扦㉡ㄴ㍦晥搳㝥㐵㘲㈳ぢ㈱㔰挷㝡〶㕣㝢昱扡㡣挵て戲挷㝡㈳㘳ㅤ㐴㍤敦愸攷㜵搹昷㤸㑥攰㡢㡣敦㥣㠰昷㤷㌱㡣㈱挸㈴㤱昵挳摣㠱㙣ㄸ摡ㄲ搹㌷攸㔱㐲㌶㠰ㄴ㔸㠴㘰㔳ㄸ㡥㈵慤慥㑣攱慢ちちㅢ㔲捣㤲〶㕢㍣㠲攲㠱㑡ㅣㄵ㥦㍢㘲㥢敦㘰〴敡㔸扥㠰㙢㉦㤰戱搶㐱昶㔸㙦㘴㉣㝢愸て㐰昶㤱㐳挶户㤶㝤攸〴扣扦愵㘱戰㔰㐲㈲ㅢ㠲戹〳ㄹ慢ㅤ㈴戲昷搱愳㠴㙣ぢ㔲㘰㘵㠲㑤㠱㈵㄰摡戰㌲㠵户㉢㈸㡣愰㤸〵ち戶㤸㐵㄰摡㔶㑡ㅣㄳ慦㍢㘲㝢㉤慢㐷愰㙥ㄷ㐸㜰敤〵戲〹慡挷㝡㈳㥢㡣ㅥ昵〱挸晥敡㤰昱㈱晢㡢ㄳ昰晥晡㠶挱扡〸㠹㙣っ收づ㘴㉣㙥㤰挸晥㡣ㅥ㈵㘴㍢㤰〲ぢㄱ㙣ち慣㜸搰㜶㔴ㄴ愲攲㌹㠷㠲扤攲㐴㈹㘶㍤㠲㉤㘶捤㠳ㄶ㔷攲㤸㜸捡ㄱ摢挸㤲〸搴戱㌸〱搷㕥㈰㘳㈵㠳散戱摥挸昶㠲扣㍥〰搹㘳づㄹㅦ戲㐷㥤㠰昷昷㍡っ㤶㐱㐸㘴扦挲摣㠱捣㐴㕢㈲㝢ㄸ㍤㑡挸挶㤳〲㡢〹㙣ち㉣㜰搰㜶㔱ㄴ愲攲㝥㠷㠲㡤慣㠱㘲㤶ㅦ搸㘲㤶㌸㘸㤳㤴㌸㈶敥㜶挴㌶戲㈹〸搴戱ㄶ〱搷㕥㈰㘳攱㠲散戱摥挸㔸挳㔰ㅦ㠰散㌶㠷㡣て搹慤㑥挰晢ぢㅦ〶慢ㅥ㈴戲ㄹ㤸㍢㤰戱㜴㐱㈲扢〵㍤㑡挸㘶㤱〲㙢〷㙣ち慣㘷搰收㈸ち㔱㜱㠳㐳挱㐶戶㍢挵慣㌶戰挵慣㘸搰收㉢㜱㑣㕣攳㠸㙤㘴ぢㄱ愸㍢ㅣㄲ㕣㝢㠱㡣㜵ち戲挷㝡㈳㘳挹㐲㝤〰戲㉢ㅤ㌲㍥㘴㔷㌸〱敦㙦㠲ㄸ㉣㜲㤰挸㝥㠳戹〳ㄹ㉢ㄵ㈴戲换搱愳㠴㙣ㅦ㔲㘰㔵㠱㑤㠱攵ぢ㕡愳愲㄰ㄵㄷ㍢ㄴ㙣㘴㈶挵㉣㉥戰挵㉣㘰搰昲㑡ㅣㄳㄷ㌸㘲ㅢ㤹㠵㐰ㅤ㉢つ㜰敤〵㌲㤶㈵挸ㅥ敢㡤㡣ㄵち昵〱挸捥㜶挸昸㤰晤摥〹㜸㝦㐵挴㔸㠳㑣ㄲ搹㔲捣ㅤ挸㔸㤸㈰㤱㥤㠹ㅥ㈵㘴㉤愴挰昲〰㥢〲慢ㄵ戴戶㌲㠵搳㉡㈸散㑦㌱㡢つ㙣㌱敢ㄵ戴づ㈵㡥㡡㤳ㅣ戱捤㜷㌹〲㜵㉣㉣挰戵ㄷ挸㔸㠵㈰㝢慣㌷㌲ㄶ㈴搴〷㈰㍢搶㈱攳㐳㜶㡣ㄳ昰晥敥㠸挱ㄲ〶㠹散㐰捣ㅤ挸㔸㠷㈰㤱ㅤ㠵ㅥ㈵㘴〷㤳〲慢〱㙣ち㉣㑥搰づ㔵ㄴ㘲攲㌰㠷㠲扤攲ㅣ㑥㌱㙢ぢ㙣㌱换ㄳ戴㈳㤵ㄸ㐷搲ㅣ戱㡤散㘸〴敡㔸㐷㠰㙢㉦㤰戱攸㐰昶㔸㙦㘴慣㍦愸て㐰戶搲㈱攳㐳戶挲〹㜸㝦愹挴㘰挵㠲㐴㜶㈲收づ㘴㉣㍢㤰挸㍡搱愳㠴散㘴㔲㘰㠹㠰㑤㠱戵〸摡愹㘵ち换㉡㈸㥣㑥㌱㉢〵㙣㌱慢ㄱ戴摦㈹㌱㡥㤷㌹㘲㥢敦㔹〸搴戱㙣〰搷㕥㈰㘳㡤㠱散戱摥挸㔸㙥㔰ㅦ㠰㙣戱㐳挶㠷慣攸〴扣扦㙤㘲扣㠳㑣ㄲ搹昹㤸㍢㤰戱捡㐰㈲㉢愰㐷〹搹㠵愴挰㜳晤㌶〵㤶ㅥ㘸㙢捡ㄴ昶慤愰㜰〹挵慣ㅣ戰挵㉣㍥搰㉥㔳攲愸搸摢ㄱ摢㙢搹㕡〴敡㔸㈵㠰㙢㉦㤰戱愴㐰昶㔸㙦㘴慣㉥愸て㐰戶㠷㐳挶㠷㙣㤱ㄳ昰晥ㅡ㡡挱㝡〴㠹散㙡捣ㅤ挸㔸㔴㈰㤱㉤㐰㡦ㄲ戲㙢㐹㠱〵〰㌶〵㔶ㅡ㘸搷㤷㈹捣慤愰㜰㈳挵慣〳戰挵慣㌵搰㙥㔶攲㤸㤸改㠸敤戵㙣ㅤ〲㜵㈱扥昷敡ㄵ㌲㔶㄰挸ㅥ敢㡤㡣挵〴昵〱挸愶㌹㘴㝣挸愶㍡〱敦敦愷ㄸ〳㤰㐹㈲扢ぢ㜳〷戲つ搱㤶挸㈶愳㐷〹搹㍤愴挰㌳昹㌶〵ㄶㄶ㘸昷㤵㈹㑣愸愰昰〰挵㠳㑢攲㠱ㄴ㍦愴挴㔱戱㤳㈳戶搷戲㐷㄰愸ㅢ〲㐹敦㤰戱㘰愰㜷挸㠶愳㐷㄰戲戴㐳挶㠷㉣攵〴扣扦戸㘲㙣㠵㑣ㄲ搹㤳㤸㍢㤰戱㘴㐰㈲㑢愰㐷〹搹搳愴挰ㄳ昷㌶㌲搶ㄱ㘸捦㉡ち㌱ㄱ㜱㈸搸㉢捥昳ㄴ㡦㈹㠹㔹㐹愰扤愸挴㌸㕥收㠸㙤㘴㉦㈱㔰ㄷ㠵愴㜷挸㔸ㅦ搰㍢㘴㉣ㄵ〸㐲戶㡤㐳挶㠷㙣㙢㈷攰晤㡤ㄶ㠳挵〵ㄲ搹㙢㤸㍢㤰㡤㐷㕢㈲ㅢ㠵ㅥ㈵㘴㙦㤰挲〴㠴㙣㘴㉣ㅢ搰摥㔲ㄴ㜰扣捣愱㘰㈳㝢㠷攲㠶㤲㜸ㄷ㡡摦㔳㘲ㅣ㉦㜳挴㌶戲て㄰愸攳ㄹ晥摥㈱㘳㌹㐰敦㤰戱㌲㈰〸搹㈶づㄹㅦ戲㡤㥤㠰昷㔷㕤㡣㌹挸㈴㤱㝤㠶戹〳搹㝣戴㈵戲㐱攸㔱㐲昶〵㈹昰㡣扣㡤㡣㔵〲摡㤷㘵ち㐶〵㠵慦㈹收㌹㝣㕢扣㤰攲㝦㈸㌱㡥㤷㌹㘲㥢敦户〸搴敤〳㐹敦㤰昱散㝦敦㤰戱㄰㈰〸㔹㕦㠷㡣て㤹收〴づ戹㝦挲挰扥㠹㡥㠶扢㈲〷ㄵ㐲ㅦ㝦ㄹ㌲㉣㘴㤲挸㝥挰摣㠱㡣攷晦㈵戲ㅡ昴㈸㈱晢㠹ㄴ㜸〲摥愶挰愲〰敤ㄷ㐵〱挷换ㅣち昶㡡㈳㙡㈱㙥㈹㠹㤷㔲摣〷㍥㜵扣散晢㡡攳㘵〸搴㜵㐰搲㍢㘴㍣搹摦㍢㘴㍣敦ㅦ㠴散㝢㑣㈷昸㜸㤹ㄳ昰晤㜲捣㠱挸搴搳㉦挷昰ㅢつ慣づ昹敢㈶㜵㜸捥〹ㄵ昹ㅤっ晤㡡戶㥢㈷昷昱㉤っ㑤捤捤昲ぢっ晡攳㠷ㅥ摡㤷㕡敤㌳昱㝢㈶昸㜹〷晣收扤昳〹㝡晣捥〹扦㌷㕦晤㤴㠰㉥㕢散慣ㄵ攷戴攳户〵晡ㄶ愷㜷攰㜷㘸ち戵㉤㜳捤捥㑥慢扤昵㝦攱㔷㈰昰㤵ㄲ晣㙡㍦㕣散摦㝦〸晣㌶〷㝥㑤㐳攰㤹㜴㐹㙣㙣㤹挷㑣晣㐲〹㉢ㄶ慡昹晢㄰晦搹㑦搲㘸晤戰㡡愹㕦㍣㈹戸㝥昱愴㐶㝣㠳㠷搸慥つ㍣慣敡ㄷ㑥㤹㈵㈸晡〰攸戵つ㘰晡㌴㜴戴挸㥡ㅡ㤸戰㕥〷㡦晣㔶て㘹慡㐲〷㘳㌵昰摥㌹㝥扦〶扦㐵慤㉡戴戲愹搰戹㐴㕢㘲㌵㉤㕥搲㠹敦搱攸挷㝢慣㉥㌵㠷愳㙢㜷攵〷摣㥢昴㙤㘹㌴摢摢捤搵戵㉤㡤捤㔶敢攲捥㈵戵㡤㉢㔰㙤㠱㕦㙡挱㜶㔷㕢㕢慢㙦㠸昹搸愰戱戹ㅤ㡤㡣捣慡㙦攴昶㥥〸て搷㔶㥤〸㙡挴攷㠱㜷㜷㌰敦ㄷ敦㙥昹慥㙥㐲ㄷ扦挰挴扥慢攲㘴攴攰摤㔵ㄷ㜱㍡ㅡ㜲戸捤愰㉣㑤攲㉣攵摤摣敤㍤ㅦ㕥搷㈴摥て㥣挴ㄶㅣ戱㜲ㄲ挳㍣㤳戸㄰㜹㉡㈶㜱㠹ㅡ㙥㠴㝢戸戵捡㍢搲敤扤扡㜲ㄲ慦〷㑥愲摥㍦㠹㙤㍣㤳戸搶㍢㠹ㅢ搵㜰愳摤挳慤㔳摥敤摣摥扢㉡㈷昱攷挰㐹散攰㥦挴㡥㥥㐹摣攳㥤挴〳㙡戸愸㝢戸㐷㤴㌷收昶㍥㔹㌹㠹愷〲㈷㤱昴㑦㈲敤㤹挴搳摥㐹㍣慦㠶换扡㠷㝢㐹㜹挷戹扤慦㔵㑥攲攱挰㐹㡣昷㑦㘲ㄷ捦㈴摥昰㑥攲ㅤ㌵㕣㠳㝢戸て㤴㜷愲摢晢㔹攵㈴敥づ㥣挴ㄴ晦㈴愶㜹㈶昱㠵㜷ㄲ㕦慢攱愶扢㠷晢㔶㜹㜷㜳㝢㝦愸㥣挴㉤㠱㤳㤸攵㥦挴ㅣ捦㈴㝥昲㑥㐲㘰㌷㈱㌷搱摤摤挳㠵㤴㜷㥥摢摢て㕥搷㈶㝡㑤攰㈴ㄶ晡㈷戱㠷㘷ㄲ〳㤰愷㘲ㄳ摤㔰つ户愷㝢戸挱捡扢㤷摢㍢愴㜲ㄲ㤷〷㑥㘲ㅦ晦㈴ㅡ㍤㤳搸挲㍢㠹ㄱ㙡㌸搳㍤㕣扤昲收摣摥㌱㤵㤳戸㈰㜰ㄲ㤶㝦ㄲ㡢㍤㤳搸挱㍢㠹愸ㅡ慥挹㍤㕣㔲㜹昷㜳㝢㝦㔵㌹㠹㌳〳㈷搱攲㥦㐴㥢㘷ㄲ攳扤㤳㘸㔰挳敤敦ㅥ㙥㡡昲戶扢扤㌳㉡㈷㜱㔲攰㈴㤶晢㈷戱搲㌳㠹㔹摥㐹散慥㠶㕢敤ㅥ㙥愱昲ㅥ攰昶晥愶㜲ㄲ㐷〵㑥攲㘰晦㈴づ昵㑣㘲ㅦ敦㈴㑣㌵摣攱敥攱㉣攵㍤挲敤㕤㕡㌹㠹㠳〲㈷㜱戴㝦ㄲ挷㝡㈶搱攲㥤挴晥㙡戸攳摤挳㉤㔷摥ㄳ摣摥〳㉢㈷搱ㄹ㌸㠹㤳晤㤳㌸搵㌳㠹㠳扤㤳㌸㕣つ㜷扡㝢戸愳㤵昷っ户昷挴捡㐹㌴〷㑥攲㉣晦㈴捥昶㑣攲㘴敦㈴㑥㔷挳㥤敢ㅥ敥㉣攵㍤捦敤㍤扦㜲ㄲ㠵挰㐹㕣攸㥦挴ㅡ捦㈴㉥昴㑥攲ㄲ㌵摣㈵敥攱搶㉡敦愵㙥敦搵㤵㤳搸㍢㜰ㄲ㙢晤㤳戸搲㌳㠹㙢扤㤳戸㔱つ昷㐷昷㜰敢㤴昷㉡户昷慥捡㐹㉣〸㥣挴戵晥㐹㕣敦㤹挴㍤摥㐹㍣愰㠶扢搱㍤摣㈳捡㝢㤳摢晢㘴攵㈴㘶〶㑥㘲㥤㝦ㄲ户㜹㈶昱戴㜷ㄲ捦慢攱敥㜰て昷㤲昲摥改昶扥㔶㌹㠹挹㠱㤳戸挷㍦㠹晢㍣㤳㜸挳㍢㠹㜷搴㜰て戸㠷晢㐰㜹ㅦ㜴㝢㍦慢㥣挴㑥㠱㤳㜸挴㍦㠹挷㍣㤳昸挲㍢㠹慦搵㜰㝦㜲て昷慤昲㍥攱昶晥㔰㌹㠹㐴攰㈴㥥昶㑦攲㔹捦㈴㝥昲㑥㐲㐰㈰㕦㑦㍣敦ㅥ㉥愴扣㉦戸扣愱〱㘸慣昷摢㍢ㄶ㑡て挴ㅢ攱㘶㉢捦摦愱㥣㠸㕦㌳ㅣ搳㡣户㘹敢昱攳㤱㉦㘲ㅣ㔱㐷㠳ㅣ晡㥦㥤〵㌶敡㌶㜴ㅡ昸㠷搶㐶敥㤶ㄸ㡣ㄶ愷愸扦㐴昷㈶㑥㑣晦㡢戳㈰晢㙦收㌴昰て晤㌷㜷户挴ㄶ㘸挹晥㝦愵㝢㤸ㄳ搳㕦㜶ㄶ㘴晦ㄱ㑥〳晦搰㝦愴扢㈵敡搱㤲晤㕦愱㝢ㅢ㈷愶扦敡㉣挸晥愳㥤〶晥愱晦㜶敥㤶搸〱㉤搹晦㌵扡㜷㜴㘲晡敢捥㠲散ㅦ㜵ㅡ昸㠷晥㌱㜷㑢㈴搱㤲晤摦愰㍢敤挴昴㌷㥤〵搹㍦敢㌴昰て晤挷戹㕢㘲㍣㕡戲晦㕢㜴敦攲挴昴户㥤〵搹扦挱㘹攰ㅦ晡㑦㜴户挴ㄴ戴㘴晦㜷攸㥥收挴昴㜷㥤〵搹㝦扡搳挰㍦昴摦捤摤ㄲ戳搰㤲晤摦愳㝢㡥ㄳ搳摦㜷ㄶ㘴晦摤㥤〶晥愱晦㍣㜷㑢㉣㐴㑢昶晦㠰敥㍤㥣㤸晥愱戳㈰晢敦改㌴昰て晤昷㜲户挴㍥㘸挹晥ㅦ搱摤攸挴昴㡦㥤〵搹摦㜴ㅡ昸㠷晥㌹㜷㑢㔸㘸挹晥㥦搰扤搸㠹改㥦㍡ぢ戲㝦㤳搳挰㍦昴摦捦摤ㄲ㉤㘸挹晥㥦搱摤收挴昴捦㥤〵搹㝦㝦愷㠱㝦攸摦敥㙥㠹攵㘸挹晥㕦搰扤搲㠹改㝦㜳ㄶ㘴晦搵㑥〳晦搰晦〰㜷㑢ㅣ㡣㤶散晦㈵摤㠷㍡㌱晤㉢㘷㐱昶㍦摣㘹攰ㅦ晡ㅦ攱㙥㠹愳搱㤲晤扦愶晢㔸㈷愶晦摤㔹㤰晤㡦㜷ㅡ昸㠷晥㈷戸㕢攲㘴戴㘴晦㝦搰㝤慡ㄳ搳扦㜱ㄶ㘴晦搳㥤〶晥愱晦ㄹ敥㤶㌸ぢ㉤搹晦㕢扡捦㜶㘲晡㜷捥㠲散㝦慥搳挰㍦昴㍦捦摤ㄲㄷ愲㈵晢㝦㑦昷ㅡ㈷愶晦搳㔹㤰晤㉦㜱ㅡ昸㠷晥㤷扡㕢㘲㉤㕡戲晦扦攸扥搲㠹改晦㜶ㄶ㘴晦㍦㍡つ晣㐳晦慢摣㉤㜱㉤㕡戲晦て㜴㕦敦挴昴ㅦ㥤〵搹晦㐶愷㠱㝦攸㝦㤳扢㈵搶愱㈵晢晦㐴昷㙤㑥㑣晦搹㔹㤰晤敦㜰ㅡ昸㠷晥㜷扡㕢攲ㅥ戴㘴晦㕦攸扥捦㠹改昸㡥㜷戹㈳㤶晤ㅦ㜰昷愸㝢搰摤ㄲ㡦愰㈵晢ぢ昶㜸㑣昵慦㜶昷晦㤳扢㐷摤ㄳ敥㤶㜸㕡昵敦挳ㅥ捦慡晥㌵敥晥捦扢㝢搴扤攰㙥〹昹戴㠱扢愵㠷搰㐳㕤っ㍥㝤挸㈳攱ㅡ扣㌸ㄲ晥㤲捡㕢愱攲㤳㠴㔴搵摡慡扦〶慡昸㔴㈰㔵㘱㕢昵㑡愰敡㔵愵敡㙦慢攴敥摣㌷㉦敥搶㘵慥つ㙣搵ㅢ㠱戹戸昳㤶㉡挳㔶扤ㄵ愸攲㉥㕡慡㌶戲㔵敦〴慡摥㔵慡㐱戶㑡敥㘶㝤昳攲敥㔶收摡搸㔶㝤㄰㤸㡢㍢㔵愹摡搴㔶㝤ㄴ愸攲慥㔳慡㌶户㔵㥦〴慡㍥㔵慡愱戶㑡敥晥㝣昳攲㙥㔰收摡搲㔶㝤ㄱ㤸㡢㍢㍢愹ㅡ㙥慢攴慥捣㤷㡢扢㌴愹ㅡ㘹慢攴づ换愷攲㡥㑢慡㐶搹㉡戹㕢昲愹戸㝢㤲慡慤㙤㤵摣昹昸㔴摣〹㐹搵戶戶㑡敥㘲㝣㉡敥㙡愴㙡㍢㕢㈵㜷㈴㍥ㄵ㜷㈸㔲戵扤慤㤲扢ぢ㥦㡡扢つ愹ㅡ㙢慢攴㑥挱愷攲捥㐱慡㈲戶㑡㙥晡㍥ㄵ㜷〱㔲ㄵ戳㔵㜲〳昷愹戸愱㑢㔵挲㔶挹捤搸愷攲收㉣㔵㈹愹㌲搴㘶㈸戸㝤捡㔳㔴㝦晡捥㍥㐵㌵ㄱ㝤㙢昱扢戲摣㈴㘵攰㜱㑦㠰㕢愱っ㍣收〹㜰挳㤳㠱㐷㍤〱㙥㙢㌲昰㠸㈷挰捤㑢〶ㅥ昶〴戸㐵挹挰㐳㥥〰㌷㈲ㄹ㜸搰ㄳ攰㜶㈳〳て㜸〲摣㔴㘴攰㝥㑦㠰㕢㠷っ摣攷〹㜰㠳㤰㠱㝢㍤〱㙥〳㌲㜰㡦㈷挰搵㕥〶敥昶〴戸愶换挰㕤㥥〰㔷㙥ㄹ戸搳ㄳ攰晡㉣〳㜷㜸〲㕣㠵㘵攰㜶㑦㠰㙢慤っ摣收〹㜰㐵㤵㠱㕢㍤〱慥㥢㌲戰捥ㄳ攰敡㈸〳户㜸〲㕣〳㘵攰㘶㑦㠰㉢㥤っ摣攴〹㜰㍤㤳㠱ㅢ㉢〳晤晥ㅦ敤㡤㙥搲</t>
  </si>
  <si>
    <t>㜸〱捤㥤〷㤸ㅢ搵昵昶昷慥㜷挷㍢戲捤ち戰㘹㌶攰㌵㌶㘰ㅢ㡣㝡㌱ㄸ摣ぢ戸攱㐶㈰㤸㘵㈴㡤昰攲㉤㘶㜷摤㈸〱ㄳ㈰愱㤷㐰㈸愱搷㠴摥㥢㑤攸㠴ㅡ㝡敦ㅤㄲ〸㌵㤰㔰扦昷扤㜳慦㌴㥡㤹摤昵收㥦敦㜹愲㤵捥捥㍤攷扤攷㕥晤㌴㌳㤲㘶㡥愴㉡㔱㔵㔵昵㌳㉥晣捦㑢つㄷ㠶捣㕦摤搱㘹户㡣㤹搴搶摣㙣攷㍢㥢摡㕡㍢挶㑣㘸㙦户㔶捦㙣敡攸散〳㠱搱搸㠴㜸㐷㙤㘳㐷搳挱㜶㕤攳ち扢扤〳愲摡慡慡扡㍡戳ㅡ昱捤搵㉤慣ㅢ㈶㝢㤹㌵㌴㔰㔵㤹〶㑤㕦㥡㍡ㅡ㤳㈶㐴搳㡦愶㍦捤〰㥡つ㘸敡㘹挲㌴ㅢ搲㙣㐴戳㌱捤㐰㥡㐱㌴㥢搰㙣㑡戳ㄹつ挷㌷户愰ㄹっ搳㝦〸捣㠲㐹ㄳ攷攴づ挴扤㤹摦搹搶㙥敦㌰㜴㤱㌳攷㜱搱攸ㄸ晣㈵ㄲ㤹㌱㤱ㅤ㠶㑥㕡摥摣戹扣摤ㅥ搷㙡㉦敦㙣户㥡㜷ㄸ㍡㜷㜹慥戹㈹扦㠷扤㝡㐱摢㔲扢㜵㥣㥤㡢挴㜳㔶㈲ㄳ㑤㈴㤳挵㙣㌶搳㝦㑢㘴㥥㍤㘹攲摣㜶扢搸昱摦捡戹ㄵ㜳捥㤹㌴㜱捣㙣扢昳扦㤵㜳㙢攴㐴捡挹㙤㉤㔶㔳敢㝦㈹㘹㉤ㅦ搳攴㘴㍢摦挴〷摦戶摢㥢㕡てㄸ㠳㘹㔷㠰㐶㉢㍤㘶㐲㐷挷昲㤶㘵㕣㡦㈶搹捤捤昳散愲㝣搰㕢㈶㜷㜴捥戵摡㕢㍡晡户㤰㥦摤㙥户收敤㡥つ㕡愶慣捡摢捤㑡搸㔱搷戲挸㙡㥦㙤戵搸㌵㕣愸㙦㜱ㅥ挳ㄹ〵扢戵戳愹㜳昵㠰㤶㠵ㅤ昶㍣慢昵〰㥢㤲摡㤶㘹换㥢ち愲愶〶搷慡㍥摢〵捤㑣㍥㔰㤸㑦换愴㈵㔶㝢愷㙣昱㈱㡣〶㘹㕤慢㡢扣ㄷㄵ昳攲㉡㌵搴搳㡢㡦搹晣愶㤶㍤散昶㔶扢㤹㠳昰㤱ㅣ敤ㄱ㐹㐰捥攳㔰㈲愵敦づㅦ㈵搱㑦㙤㝣扣㉦ㅣ挵ㄸち戳昹散戶昶ㄶ慣㤰戳㙣慢㜵㕣㌴ㄲ搹㘱㝥㘷㘱戲扤㘲㕣㉣㘹㌶㈰㙣づ愳㜰ㅢ㤸㝥㤳敤ㄶ慢戵㌰㌶㤶㐹㡣㌵㠷㌳㌴〲㐶搴扣㠲㙤摣㥤㤹摢㔹㜵愳㔵摤㤸慢㙥捣㔷㌷ㄶ慡ㅢ敤敡挶㘲㜵攳〱搵㡤㑢慡ㅢ㥢慡ㅢて慣㙥㕣ち㡤扥搴昵敤㕢慤㉥昷摤㌰慡捦换捦捦㥢㜳挲慢㡦摤㜵㙣摢挰捦〵㌷㙢戹㔷搸づぢ摤捣㜴㝢㠴捤㤱㌰挶㈸㤸昲㑣㤳㘳捤搱っ敤〰㈳挴戳㤸㈹㘷㝢㐷敥搸㤹〳㕦㄰搳㡦㕤㥢ㅤ昳摤㐶㡤㘷ち敥㌸攴㌰㘳戰搰捤㌰㍢㌱㔷〴挶㠸挲㤴㠶挹㐶挶㥡㌱㠶攲㌰㐲㍣慥㠶ㄹ㌵㍣戴摤〳挳㡦㥦㜲散换慦户敤晤㘸摢㑥㠲扢㈶㌹㑣ㄲぢ摤っ㤳㘲慥㌴㡣㤱㠱㈹つ㤳捥㡥㌵戳っ㡤㠵ㄱ攲㐱㌵㑣敡搱㥡㍥搹㌷晥㌸晥捡攸㡣㐷愲敦散晥㡣攰捥㑦づ戳ぢㄶ扡ㄹ㘶ㅣ㜳敤ち㘳散〶㔳ㅡ㈶㤳ㅡ㙢㡥㘷㘸〲㡣㄰㝦㔶挳㍣扤捤愱搷捣扢㙤改昴㑢愶㙥昹攱㥢㥢㝦㝣戱攰㤶㈶㠷㤹㠴㠵㙥㠶㤹捣㕣㔳㘰㡣愹㌰攵㘱攲㘳捤㘹っ㑤㠷ㄱ攲㌶㌵㑣挳㜹昱㌳晦扤昵㔷㔳捥ㄹ㍥攸搴戹㙢㤳㉢〴㜷攰㜲㤸摤戱搰捤㌰㝢㌰搷㑣ㄸ㘳ㄶ㑣㘹㤸㙣㙣慣㌹㥢愱㌹㌰㐲㕣慦㠶戹㙡㡢㔷㜷ㄹ㌸慡㜶捡〹戹晥㡦㉣扥㝣㘵㑥昰㈹㐲づ戳㈷ㄶ扡ㄹ㘶ㅥ㜳捤㠷㌱ㄶ挰㤴㠶挹㐴挷㥡ぢㄹ㕡〴㈳挴㥦搴㌰㈳㡦散㌸敦㥥㤶ㄳ㈷㥥晣㕤晢收〷㕤扡挷㕦㐵㍦㠴攵㌰扦挰㐲㌷挳散捤㕣晢挰ㄸ扦㠴㈹つ㤳挵㌰晢㌲戴ㄸ㐶㠸㡢搵㌰敢㥡㥥㜹慤昵㤷㝤愶㥥ㅢ㍡攲挶攷㌶㝢㜸戱攰搳㥣ㅣ愶ㄱぢ摤っ戳㍦挲愶〵㘳攴㘰捡挳㘰扢挹㌳㔴㠰ㄱ攲て㙡㤸慦㜷㥤㝤敢㐱慢慣㌹㤷㜷ㅥ㌸㘸搲㤰晡㠳〵㥦㐸攵㌰㐵㉣㜴㌳捣〱捣戵〴挶㘸㠲㈹つ㤳㑥㡦㌵て㘴㘸㈹㡣㄰愷慢㘱扥ㄹ昳挳㐶捦扥㝣搰愴㥢㥦㝣㜴㝡捤昵ぢ㙣挱愷㙡㌹㑣ぢㄶ扡ㄹ愶㤵戹摡㘰㡣㘵㌰愵㘱㌲搸㍣て㘲愸ㅤ㐶㠸ㄳ搵㌰㌷搵扣㍡收慡晤晥㌴㝢摤挰搵㝦㥦㝢㐷搳㥦〴㕦っ挸㘱㍡戱搰捤㌰换㤹㙢〵㡣戱ㄲ愶㍣㑣㘶慣戹㡡愱搵㌰㐲ㅣ愳㠶㜹散挶㤵㘷㍦搶㤰㥥㜹摢㐶㥦ㅦ晡慦㔷ㅥ扣㐷昰攵㠶ㅣ收㄰㉣㜴㌳捣愱捣㜵ㄸ㡣昱㉢㤸搲㌰㔹っ㜳㌸㐳㐷挰〸㜱戸ㅡ收愵戱㈳㐷㍦昵捥㔶㔳㝦㝦搶ㄷ捤㐷扦㔷㥤ㄱ㝣㐱㈳㠷㌹ㄲぢ摤っ昳㙢㠴捤愳㘰㡣愳㘱昴㌰昱〸愰ㅤ挳搰㙦㘰㠴㔸愵㠶㔹戶愸愳愳㜵㘹㙥挶〹愳搷㝤ㅦ㥤㌲㘹ㅢ挱㤷㑣㜲㤸㘳戱搰捤㌰挷㌱搷昱㌰挶〹㌰㝡㤸㔸〶慢挰㠹っ㥤〴㈳挴㐱㙡㤸搶㑦扦㍥昸搱摣散㌹㐷㐴㑥愸戶㜷㝣敤㉣挱ㄷ㘵㜲㤸㔳戰搰捤㌰愷㌲搷㘹㌰挶敦㘰㑡挳愴戱㑦㍢㥤愱㌳㘰㠴㌸㔰つ㔳㌸㝢㕣昵㠵㡦㡦㥦晤晢ㅤ㘷㝦㥦㥤戴㜲㔳挱㤷㝤㜲㤸㌳戱搰捤㌰㘷㌱搷搹㌰挶㌹㌰愵㘱戲搸㐳晦㠱愱㜳㘱㠴挸慢㘱摥㝣敦改㍢〶㕣扤昳昴㌳㙡昷㥡搲晦摥㙦㡥ㄶ㠳㄰㤶挳㥣㡦㠵㙥㠶戹㠰戹㉥㠴㌱㉥㠲㈹て〳㘸ㄷ㌳㜴〹㡣㄰晢慡㘱㥥㌸改收搷ち慦㑦摥晤㥣晢捥ㄸ摦㙦挱挷捤㠲㉦㕤攵㌰㤷㘱愱㥢㘱㉥㘷慥㉢㘰㡣㍦挲㤴㠷挱昳晣㥦ㄸ扡ㄲ㐶㠸㠵㙡㤸ㄷ㍦㥡㜶改愰捣戱㜳捥摢收㠴㝦扦㤱㜸昹㘰挱ㄷ挷㜲㤸慢戱搰捤㌰搷㌰搷戵㌰挶㜵㌰愵㘱㌲搸㐳㕦捦搰つ㌰㐲捣㔶挳散㌳㘰捦㔹㔷㕤晦挷昱㐷㝦㌹愶㘵收ㄶ㥦て㄰㥢㈱㉣㠷戹〹ぢ摤っ㜳㌳㜳摤〲㘳摣ち㔳ㅥ〶㡦捤㙤っ摤づ㈳挴㌴㌵捣㥡㥤㥥晦昹搶搴㤵戳慥扥敡搹㌵㑦捤晤捤㈳㘲㜳㠴攵㌰㜷㘲愱㥢㘱搶㌲搷㍡ㄸ攳㉥㤸搲㌰㔹㍣慤晤㤹愱扢㘱㠴ㄸ慦㠶戹昷慢㈵攲晤愷て㥦㜲挵摡搵㥢㝥㜹挳㈱慦㠹㉤㄰㤶挳摣㡢㠵㙥㠶戹㡦戹敥㠷㌱ㅥ㠰㈹つ㤳挶㕥攰㐱㠶ㅥ㠲ㄱ㈲慢㠶㔹㝢捦㍤搳㔷ㅣ搳㌶㘳敤㝤㈳㝥慡㌹㘴晦㈷挴㘰㠴攵㌰て㘳愱㥢㘱ㅥ㘱慥㐷㘱㡣挷㘰㑡挳㘴戱摤㍣捥搰ㄳ㌰㐲挴搴㌰ㅢㅥ扤挹㌹攱晤ㅡ收㥣晥晤㤰㈷捦㝦㝣挲㐷晤㥦㐴㜸㑦昵敡㜲㜲扢戵ㄲ慦搷换㙦〵㘲㘳㈲晣敢昹㍤㄰摥〲ㄵ㤳挵㜴㌱ㅡ㉤㈴㈳㔶摣慡㙤㐰摡昵㝤戱捤摤㙡晦攲㕥㑤慤㠵戶㤵昲搵昷㤰㠹㔶㠷㕤㝥㌱㍥㕡挵㈶戶㉤㙦㉤㜴っづづ捥敦戴㍡敤㉤扣戱㜲ㄲ㕦户昹㜸㙦㘲㜷挸昱戶昲㜶㕢㘴㌵㉦户㈷慣㙡㜲挲㕢㝡挲㜸㘷搲㤶敢㍡㍡戵摤㍥愸ㄴ昵捤㘸〲摥㍡慦㤰戹㝤昷搲〹㌹昳ㅡ㍡㘹㐹㕢㠷摤㉡愷㌷扡㘵㙥㔳㝥愹摤㍥摦收ㅢ㙦扢㈰敦敡㈰㠶搴摢愳搱㜳㕡㜱㐷昱㠶愷㌰捣敤㉤㑥㔹搵㘹户ㄶ散〲收扢捣㙥敦㕣扤挰捡㌵摢㥢㔴㐸㥣㌱ㄱ搸扣挲㍤戵㉤扦扣㘳㔲㕢㙢㘷㝢㕢㜳㘵㘴㐲㘱㠵㠵户㘴㠵㔹㙤〵ㅢ敦愸㙡㜸愹ㄲ㔵㝤晡〸㔱㌵㉡攸㙤つ昳㜶㡣㤱て㠴敢㈱摥ㄲ㡦昹㘶㤵慢摤㤸㜹戸㜷戸ㄷ捤㌶搷挹敡攱㍤㈴㤳㜹㤹㘶㘴搷㐲搷㝤攲㔱ち慡户敦㕡㉤攷㔸㝡攴晥晦㡡慢慢㌷㔶昷㝥捡ち扣㙤㥤㡥户㘷捤㜶㝢户挷㔸〴㘷㘴㍥〵㔳扢ㄳ戶收㉥改搵㐰㈱㔶㠹搵戵㉢㥢ち㥤㑢㡣㈵㜶搳〱㑢昸扡〸挷㘱敡敡㠸搶㜷㌱㥦㠱换㝣㤶收㌹㤸㔰愸捡㜸㥥㈲㈳㘴扥攰戴㙢㠷攱㝦敦摦㄰㔷愳㤷㈹摦㠰攳㘸㐹㐷㙤换搴戶昶㡥㍥㝤㠲敥攵㜴慢㘳㐹㈷㔷捦敥㠳捣昷㈲捤㑢㌰戵挳㘱㝡㝣扦㕤て㔱つて㉢っ㘸㤹㙣ㄷ㉤ㅣ捣㤱㕢户戰㙡㕢㥣攳〳㤳敤㡥扣挹〳〹㌳戰慤慣㌲戰㠴㡤扦㝦ぢ搷㝥㝢㔵攷㘴慢搳敡摢㠲㐳ㄲ㜸㤴㑣㠸㐶换㕥捥ㄲ㝢づ㤰㍥摤㍢愴㕡挸㄰㤶㡢慥㉣晤愴挳挹㠴つ〷摢㑢㔵ㅦ㘵扢扦ㄳ㤸晢㔶戸ㄳ㠶㜷㐵慦㍣戴㠰㈳ㅥ㠵㘹㜶敢㠲搵换散づ捡敢㡣㙥㔱㝡㌷㉦㈶㥢㤳捦㉤散㙣㙡敥ㄸ㠳㤹㑥㙢㙦㕢扥散扦㤹㠷戹捣㤷㘱昴愵㜶㕢慣挵敢㝦㥦㠰慢慡敦ち㍥㌶㡤㡤㔵㜵捣㐶㡦戹つつ搷㔶㈴晢ㄹ晦攴挵㝣ㅤ晦㐲摤挵㙡㐷㐰㌱㍡㘸㕦搰挵㘱㤸㕡攸晢户㠰搰㠲㜶㕢ㅥ㔸慡㤳つ搰ㅥ搰戲㔷㕢晢搲㕣㕢摢㔲慥㑦ㅢ挸㔶挷ㄲ摢敥攴挱㥡㝥敡攰㤴㍣〸㈵㐴㥦㍥ㄵ挷㕢㕣㐷㜵戶㐶㝥攳㙤㤸〱ㄳ㥡㥢㠷敡㡣ㅤ挶㍢㜰昵挱㘱㈳攳㕤㉣っ㤹搳㕥戰摢㜷㕣戸㙣挷〵㙤㐳㜱㔴㘹㜹戳攵ㅣ㠸㕤搵摣戱㑡っ〱〱ㅥ㈴戹㙤㐴昱㔷㡦づ㝣㘵挲㜹㌳㙢晦扡昳戱摢㕢㘲戰ち昸づ搲㙣㡦㥣つ戸㤹ㅦ挰㠸捤㈱攳㥥〵换㤵ㄷ昳㈳戴捤㡦㘹晥〶㠳晤㠳㈴㡥摤挳㈷㑥㔳㡣挴㝦敥㈲捣㑦㘹晥〱㈳㐶挳㜰〳㌵㍦㠳搱ㄷㄱ㐶㝥㍥敥昲戱ㅢ〵户晦戱晢ち摥㤰搹㑤㑣散〰〵ㅦ㍦㤳扣㑣ㄲ㌲㐹㐷ㄸ㐸ㅣ〸愰㔶〵㝣㠷㡦㜶㐲㌷〹攰〷昶敦〳㔹㌰㠰㥦㌸〶挱㤸㕣敢㕣〰慡㥤愶㠸㈰㈶〱昴㠱挳攴〱㜳ㄱ㠳㑢〲愸㐵㑢㕦挴㜷㍦戹〰㐴攱昶〳㌰㤹搳散㈶㈶攲攸ㄷ〴攰㜳㈴て〴昰㤹ち昸づ㙣愵㤰愹㠱戳搸㠸㔳晥ㄴ戲㘰〰〳ㄱ㌶〷搱㙣〲攳〲戰㤹搳ㄴ㘹㈴㤱〰㌶愷㘸ぢㄸ㤱㠵㑢〲ㄸ㡣㤶扥㠸昷摣〰㌲㜰晢〱㙣捤㥣㘶㌷㌱㌱ㄶ晤㠲〰扣搲ㄵ㠰㤷㔵挰㜷挸㙤ㅣ㌲㌵㜰ㄶ摢㜳捡㉦㜶〹㘰ㄴ挲收㘸㥡ㅤ㘰㕣〰挶㌸㑤戱㉢㤲㐸〰㍢㔱ㄴ㠱ㄱ攳攱㤲〰愲㘸改㡢昸慢ㅢ挰㙥㜰晢〱㈴㤹搳散㈶㈶㈶愰㕦㄰㠰〷扡〲㜰扦ち昸づ〶㑥㐶愶〶捥㘲㔷っ㉡敥敤ㄲ挰㜸㠴捤〹㌴ㄳ㘱㕣〰㈶㍢㑤㌱〵㐹㈴㠰㈹ㄴ㑤㠵ㄱ㍣㑡㈸〱㑣㐳㑢㕦挴敤㙥〰㔳攱昶〳搸㠳㌹捤㙥㘲㘲㍡晡〵〱戸戶㉢〰搷愸㠰敦㌰攵ㅥ挸搴挰㔹㉣攰㤴慦敡ㄲ挰㈲㠴捤扤㘸㝥〱攳〲戰㡦搳ㄴ㌳㤱㐴〲昸㈵㐵晢挲㠸搹㜰㐹〰㡢搱搲ㄷ㜱戱ㅢ挰㉣戸晤〰㉣收㌴扢㠹㠹㌹攸ㄷ〴攰慣慥〰㥣愹〲扥〳愸昳㤰愹㠱戳㌸㤰㔳㍥愳㑢〰捤〸㥢㉤㌴慤㌰㉥〰换㥣愶㤸㡦㈴ㄲ挰㐱ㄴ戵挳㠸㠵㜰㐹〰ㅤ㘸改㡢㌸挱つ㘰〱摣㝥〰㉢㤹搳散㈶㈶ㄶ愱㕦㄰㠰㈳扢〲戰㐶〵㝣㠷㜶昷㐶愶〶捥攲〸㑥昹昰㉥〱ㅣ㠹戰昹㙢㥡愳㘰㕣〰㡥㜱㥡㘲ㅦ㈴㤱〰㝥㐳搱㙦㘱挴扥㜰㐹〰挷愲愵㉦㘲㠵ㅢ挰㉦攱昶〳㌸㤱㌹捤㙥㘲㘲㌱晡〵〱㘸敥ち挰㔲ㄵ昰ㅤ㜴摥ㅦ㤹ㅡ㌸㡢摦㜳捡㑤㕤〲㌸ぢ㘱昳㙣㥡㜳㘰㕣〰捥㜵㥡挲㐲ㄲ〹攰㍣㡡捥㠷ㄱ㜹戸㈴㠰ぢ搰搲ㄷ戱扦ㅢ㐰づ㙥㍦㠰㑢愰て㤹摤挴㐴〱晤㠲〰㉣敡ち挰㐲ㄵ昰ㅤづ攷㘱敥〶捥攲㙡㑥㜹㝥㤷〰慥㐵搸扣㡥收㝡ㄸㄷ㠰ㅢ㥤愶㔸㠲㈴ㄲ挰㑤ㄴ摤っ㈳づ㠴㑢〲戸〵㉤㝤ㄱ扢扢〱㌴挱敤〷㜰〷㜳㥡摤挴挴㔲昴ぢ〲㌰扥㉢〰扢愹㠰敦㐰㝤㉢㌲㌵㜰ㄶ昷㜱捡攳扡〴昰〰挲收㠳㌴て挱戸〰㍣散㌴㐵ㅢ㤲㐸〰㡦㔰昴㈸㡣㌸〸㉥〹攰㌱戴昴㐵㈴摣〰㤶挱敤〷昰㈴㜳㥡摤挴㐴㍢晡〵〱ㄸ搵ㄵ㠰㤱㉡攰㍢㠵戰ㅣ㤹ㅡ㌸㡢㤷㌸攵敤扡〴昰ち挲收慢㌴慦挱戸〰扣攱㌴挵ち㈴㤱〰摥愴攸㉤ㄸ戱ち㉥〹攰㙤戴昴㐵㙣攵〶戰ㄲ㙥㍦㠰昷㤹搳散㈶㈶㔶愳㕦㄰㠰㠱㕤〱搸㔸〵㝣㈷㌷づ㐵愶〶捥攲ㅦ㥣昲㠶㕤〲昸ㅣ㘱昳ぢ㥡㉦㘱㕣〰扥㜶㥡攲㌰㈴㤱〰晥㐹搱㌷㌰攲㜰戸㈴㠰㙦搱搲ㄷ㔱攷〶昰㉢戸晤〰扥㘷㑥戳㥢㤸㌸〲晤㠲〰晣昴㘳ㄷ㉦㠵㝦㔴〱摦㘹㤷㕦㈳㔳〳㘷㔱㔳㡤㈹㝦て㔹昰㑢㘱〳㘱戳㉦㑤ㅤ㡣ぢ㐰挸㘹㡡愳㤰㘴ㄸㄳ昵愳愸㍦㡣㌸〶㑤〹㘰〰㕡晡㈲扥挴ㄸ愵㌷㐳㐷挳敤〷戰㈱昴㈱戳㥢㤸攰㔹㥥㈰〰ㅦ㜵〵攰㐳ㄵ昰㥤㄰㍡づ㤹㈴㠰㉤㌸攵昷扢〴㌰〴㘱㜳㑢㥡慤㌸扢昲扢挱愱㑥㔳ㅣ㡦㐴挳㜸㜷ㅡ㈸ㅡ〶㈳㑥㐴㔳〲搸〶㉤㝤ㄱ慦戹〱㥣〰户ㅦ挰㜶搰㠷捣㙥㘲攲㈴昴ぢ〲昰㑣㔷〰㥥㔶〱摦愹慡㔳㤱㐹〲㠸㜰捡㑦㜶〹㈰㠶戰ㄹ愷㐹㜰㜶㘵〰㈹愷㈹㑥㐳愲㘱扣㍢㘹㡡㌲㌰攲㜴㌴㈵㠰㉣㕡晡㈲ㅥ㜲〳昸ㅤ摣㝥〰攳愰て㤹摤挴挴ㄹ攸ㄷ〴㘰㕤㔷〰搶慡㠰敦㈴摡㔹挸㈴〱㑣攵㤴敦攸ㄲ挰㜴㠴捤ㄹ㌴扢㜳㜶㘵〰㌳㥤愶㌸ㅢ㠹㠶昱敥捣愲㘸㌶㡣昸〳㥡ㄲ挰ㅣ戴昴㐵㕣敦〶㜰づ摣㝥〰昳愱て㤹摤挴挴戹攸ㄷ〴攰昲慥〰㕣愶〲扥搳㝢ㄷ㈰㤳〴戰㉦愷㝣㐹㤷〰昶㐳搸㙣愴搹㥦戳㉢〳挸㌹㑤㜱㈱ㄲつ挳捤捣㔳㔴㠰ㄱㄷ愳㈹〱搸㘸改㡢㌸挷つ攰㈲戸晤〰㥡愰て㤹摤挴挴㈵攸ㄷ〴攰㤴慥〰㥣慣〲扥ㄳ㡦㤷㈳㤳〴搰捥㈹㥦搸㈵㠰㑥㠴捤攵㌴㉢㌸扢㌲㠰㔵㑥㔳昰愴攴㌰摥㥤搵ㄴㅤっ㈳晥㠴愶〴㜰〸㕡晡㈲㡥㜲〳昸㈳摣㝥〰㠷㐳ㅦ㌲扢㠹㠹㉢搱㉦〸挰挱㕤〱㔸慤〲扥㔳愲搷㈰㤳〴昰㕢㑥㜹㘵㤷〰㡥㐳搸㍣㥥收〴捥慥っ攰㈴愷㈹慥㐵愲㘱扣㍢㈷㔳㜴ち㡣戸ㅥ㑤〹攰㔴戴昴㐵戴扡〱㕣〷户ㅦ挰ㄹ搰㠷捣㙥㘲攲〶昴ぢ〲㔰攸ち㐰㕥〵㝣㈷㙢㙦㐶㈶〹攰㝣㑥搹敡ㄲ挰㠵〸㥢ㄷ搱㕣捣搹㤵〱㕣敡㌴挵㉤㐸㌴㡣㜷攷㌲㡡㉥㠷ㄱ户愱㈹〱㕣㠱㤶扥㠸㕦戸〱摣ち户ㅦ挰㔵搰㠷捣㙥㘲攲㜶昴ぢ〲㌰扢㉢〰戳㔴挰㜷ㅡ㜹㉤㌲㐹〰㌷㜳捡㝢㜴〹攰㔶㠴捤摢㘸㙥攷散捡〰敥㜴㥡㘲ㅤㄲつ攳摤㔹㑢搱㍡ㄸ昱㘷㌴㈵㠰扢搰搲ㄷ㌱搱つ攰㉥戸晤〰敥㠵㍥㘴㜶ㄳㄳ㜷愳㕦㄰㠰㑣㔷〰搲㉡攰㍢挱㝤ㅦ㌲㐹〰㡦㜲捡挹㉥〱㍣㡥戰昹〴捤㕦㘱㕣〰㥥㜲㥡攲㝥㈴ㅡ挶扢昳㌴㐵捦挰㠸〷搱㤴〰㥥㐵㑢㕦挴づ㙥〰て挰敤〷昰㈲昴㈱戳㥢㤸㜸〸晤㠲〰っ敢ち㐰㠳ち昸㑥扤㍦㠲㑣ㄲ挰㕢㥣昲搶㕤〲㜸〷㘱昳㕤㥡昷㌸扢昲ㅡ昰㠱搳ㄴ㡦㈲搱㌰摥㥤て㈹晡〸㐶㍣㡥愶〴昰㌱㕡晡㈲㌶㜱〳㜸っ㙥㍦㠰㑦愱て㤹摤挴挴ㄳ攸ㄷ〴愰㝦㔷〰晡愹㠰户㈸愰昶㈹㘴敡挵挹摣㝥㥣㜰㜱㔱㤳扤㤲㘷㥦㌶㈸愲晥㜶搲昲㡥捥㌶㜹慡㙣㐰㜱㜲摢散戶捥挹㑤ㅤ换㥡慤搵ㅢㄷ搵挲㕥㑢散㔶㥣挸㙥挷昹㙣㡦慦㙤搹㌲扢㘰ㄶ攷户㉤㙦捦摢㌳㈶晦㉦㥣攸挶晤挳㐳㈷捦㜱㔷ぢ㕣晥戳㜳户㔵攸㠹戵〴㤷慡摡㘷㤰搰㝢ち㑥㔶〱扢㑥㤷换挵㌰㠴昵㘵愲ぢ㥡㍡㥢敤㝥㐵㜹慡㕡㉥搷ㄵ㐱ㄱ搵〱㠵扥挵〵㑢㜰㙡㙡昲㠰攲戴昶愶㐲㜳㔳慢捤〷㘳愰㈳㥤㘹ㅦ㠰㑡㠰戹㙤ㅤ㑤㍣㕦㌴愰戸愰摤㙡敤㔸挶㤳㥡昹搵ㅢ㔵戴攴搹捦摡攲挴愶搶づっ㈳ㅦ㐵㉥搷ㄷ攷㉦㘹㕢㠹摡晦攵㉤慤搳慣㘵ㅤ晦ㄳ㡦㡡攰挳㈲㉦昲愱ㄱ搵愲扡㕡搴㔵搷晤愷㡦㡦昱つ戶戱㡤㥤慡敡愱㔸㑦㍢摢㥢㜲换〹㑣㡥ㄱ㠳慤愱㤱㡦㘱㔵敤戳㔸昲㥥扥㜴㍤㠴㥥摡〳捥戵愲愶㍤昰㌴㜸改〳ㄵ㕢㐲㙥㝥㡢改昴晦ㄷ捣敥搳ㄶ捥㈸㔷攵晣㥦㍥㥤㔰晢ㅣ㌲慦㜷ㄱ挴㈰㠸㌷㜰㔶㈱ㄶ㐶㜰㡤挲㤶㠹㌵㠱㉤敦㙡ㄹ㉡㑡つ搷搰つ捡㡢㔳㜱ㅥ扤㝦㜱愶㤵戳㥢㜱晡扦挵敡摣挰㘹昰摣㉢慡搷㍢㔴㙣㔲㕢㑢㡢挵㔵㡥㌵昸昳昳㔶戳㕤㔷㥣戰扣戳㙤㔶㔳慢㔹㠴㤱敢愵㜲㔹慢攰戲㔶㌹㈷敡㡢昳㔸ㄶ㈴㤷㤹慢敤〰慢扤愹㜳㐹㑢㔳扥㡥つ㤶敥晣㑦慣慢搸㝦搴〰愶扥攸㝤㠹昷捣扦㜳晥ㅤて昷ㄸㄴ换㄰ㅤㅦ㝥慣搱搵挲挰㥦昸て慢㐶戰攷㤱㑦㈸收㜷挸㔶㡢㥢摣ㄵ挹戹㝣㉥㑦挵㘲昱昳挳戱㡡捡㥤㤳㜸㠱〲摣捣敦㈱攵〲㙦㌵㉦挲㜴㕢㔲搰ㄷ㠲搰捣㌶慢㌰搵捡攳昳㌴㝤搵愷㘹敡昰搰㜲㔷搳ㅥ㘶㤱挷㈴搴つ愱ㅥ㘹㐵ㄳ㑥㘴搷搱㌱ㅦ㥦ㄶ慡㘱㜹㠸攱㍣㠶㌸摤摤愷慡戶戶㕦㕤搰㔸㌳㜴慥攱敡搴戹晢搳㐸㌳㝣昹㍦搹㌳戳ㅢ敦㙤㈸㈴㥦愲㝥挰戲昹㈳敦搳㑢㜰昲晥㜸〴㍦㔱昰㌳㑣敤换〸㝡ㅦ㥢捡㝡ぢ㔴㘵㤸㄰搵挸捦愱戰ㄲ愴づ㔵ㄳ戲㠴愴㔶摥㤱㝥慥搲て挳愹晡愸搳ㅦ㙥㌱收㘳㉤户ぢ㈱㘷晦捡ㄲㄳ㍣㌳㔴㔵㔷搷攰愱㌶扣㘵㜳扥㘱㤱慣㘵扥㉤㙢㐲挴㔶㤸㠲挱㍡挱㡤戹戱㈰㝦愳晢戳ㅥ捦㈳㡡㜳摡㍦攳㥦扣㠴㐲㘶㌵戴㔵㈱昱㍡慣〶搰㥦ㅥ㠷㄰搰攳昸ㄷ㡣昸〰㑥扥っ㜰㍤㘹㠹㡦搰攴ㄳㄷ㡥敡㠱㤱扣㜸㜶㡡攲㘳㜸戹㘳㌴つ㈶昹ㅢ㤶戸扦㈹慤㝦㜵昰昶扣晥㝤挲ㅥ戸㤹晣㠴㤸㕥晦挴愷昰攸㈹㜳㜸㌵攵㄰㌴㘶㍦ち晦ㄱ㉣攸㑦挱〰ち㍥㠳㠰て慣戱〱㕡㝥㘰㈸㥤て〰ㄶ㠶ㄶ挰扥㜲㈵㜷〱摢㤰挹㌷㘲昲ㅦ㈰昰〲晢〹扥ㅥ㠰昱戱㤱挰〶㌲〹敦㙤〵戰㑤攰敤ㄹ㔸㌵扡㐹㘰㥢捡㈴㑥㐳戰ㄴ㈱〰搸㘶搰㤸㥢㔳挸㌲㠵〰挱ㄶㄴっ愶㠰㤵ぢㄲ搸㄰戴㝣挰昸攱㤹〰㘰㕢㐱ぢ㘰慣㘲搰挹㕤挰戶㘶昲愱㑣捥㡡〳㉦㌰㤶ㄹ昴〰㡣㐵〸ㄲ搸㌰㈶㘱㌵㐲〵戰攱昰昶っ㡣㔵ぢ戸攲㠳㔰㑣㠲〵㜹㘳改㠲㥥戲㙢つ摢ㄶㅡ㜳㍢ち㔹搶㄰㈰搸㥥㠲㤱ㄴ戰搲㐱〲ㅢ㠵㤶てㄸ㍦〶ㄴ〰㙣〷㘸〱㙣㙢㔷㜲ㄷ戰ㅤ㤹㝣っ㤳戳㐲挱ぢ㡣㘵〹㍤〰㘳搱㠲〴ㄶ㘱ㄲ㔶㉦㔴〰㡢挱摢㌳㌰㔶㌹攰㡡挳㥥㑣愲㠱戱搴㈱㠰㐷〲ㅡ㌳㐹㈱换㈰〲〴㈹ち搲ㄴ戰㌲㐲〲换愰攵〳挶て㌴〵〰ㅢぢ㉤㠰戱㑡㐲㈷㜷〱摢㤹挹㜷㘱㜲㔶㌴㜸㠱㡤㠷慦〷㘰ㄳ㈰㤱挰㜶㘵㤲㠹㘸㔵〰ㅢて㙦捦挰㔸ㄵ㠱㉢㑡㈶㤸㐴〳㘳㘹㠴㥥戲㙢つ㥢〸㡤㌹㠹㐲㤶㑤〴〸㈶㔳㌰㠵〲㔶㔲㐸㘰㔳搱昲〳㐳つ㝢〰戰改搰〲ㄸ慢㉡㜴㜲ㄷ戰ㄹ㑣扥㍢㤳戳〲挲ぢ㡣㘵て㍤〰㘳㔱㠴〴㌶㤳㐹㔸ㅤ㔱〱㙣㌶扣㍤〳㘳ㄵ〵慥昸戸ㄷ㤳㘸㘰㉣愵搰㔳㜶〱㥢ぢ㡤戹㈷㠵㉣戳〸㄰捣愳㘰㍥〵慣扣㤰挰ㄶ愰攵〳挶て㤹〵〰㕢〴㉤㠰㔹慥攴㉥㘰㝢㌱昹㉦㤸㥣ㄵㄳ㕥㘰㉣㤳攸〱ㄸ㡢㈸㈴戰㝤㤸㠴搵ㄴㄵ挰昶㠵户㘷㘰慣扡挰ㄵ㥦㈸㘳ㄲつ㡣愵ㄷ〱㍣昶㠳挶㙣愴㤰㘵ㄹ〱㠲晤㈹戰㈸㘰愵㠶〴㤶㐳换〷㡣ㅦ㤷ぢ〰㔶㠰ㄶ挰㔸戵愱㤳扢㠰搹㑣㕥㘴昲㈳㈰昰〲㍢ㄲ扥ㅥ㠰戱攸㐲〲㕢挲㈴慣扥愸〰㜶㈰扣㍤〳㘳㤵〶慥昸搰ㅡ㤳㘸㘰㉣搵搰㔳㜶慤㘱捤搰㤸㉤ㄴ戲㡣㈳㐰搰㑡㐱ㅢ〵慣散㤰挰㤶愱攵〳挶て晥〵〰㙢㠷ㄶ挰㔸攵愱㤳扢㠰㜵㌰㌹㍦㔵㉦㔸㤱攱〵挶㌲㡣ㅥ㠰戱㐸㐳〲㕢挱㈴慣搶愸〰戶ち摥㥥㠱戱慡〳㔷ㅣ挳㘷ㄲつ㡣愵ㅤ㝡捡㉥㘰〷㐳㘳ㅥ㐲㈱换㍥〲〴㠷㔲㜰ㄸ〵ㄷ㐰㈰㠱晤ち㉤㍦戰攰搷㘱㐷㐰ぢ㘰慣ち搱挹㕤挰搶㌰昹㤱㑣捥ちづ㉦㌰㤶㙤昴〰㡣㐵ㅤㄲ搸㔱㑣挲敡㡥ち㘰挷挰摢㌳㌰㔶㠱攰㡡㡦摥㌱㠹〶挶㔲㄰㍤㘵ㄷ戰摦㐲㘳ㅥ㑢㈱换㐴〲〴挷㔱㜰㍣〵慣ㅣ㤱挰㑥㐰换〷㡣ㅦ挶っ㔸挳㑥㠲ㄶ挰㔸㐵愲㤳扢㠰㥤捣攴愷㌰㌹㉢㍥扣挰㔸收搱〳㌰ㄶ㠱㐸㘰愷㌱〹慢㐱㉡㠰㥤づ㙦捦挰㔸㌵㠲㉢㍥摤挷㈴ㅡㄸ㑢㐷昴㤴㕤挰㝥て㡤㜹㈶㠵㉣㉢〹㄰㥣㐵挱搹ㄴ戰搲㐴〲㍢〷㉤ㅦ㌰㝥慣㌴〰搸戹搰〲ㄸ慢㑥㜴㜲ㄷ戰昳㤸晣㝣㈶㘷㠵㠸ㄷㄸ换㐲㝡〰挶愲ㄱ〹散㐲㈶㘱昵㐸〵戰㡢攱敤ㄹㄸ慢㑣㜰挵〷〸㤹㐴〳㝢ㄳ㑢㝡捡㉥㘰㤷㐲㘳㕥㐶攱㕢挱㠲换㈹戸㠲㠲户㈱㤰挰晥㠸㤶ㅦㄸ㍥戳ㄶ〰散㑡㘸〱㡣㔵㉡㝡㜴ㄷ戰慢㤸晣㙡㈶㘷㐵㠹ㄷㄸ换㐸㝡〰挶㈲ㄳ〹散㕡㈶㘱戵㐹〵戰敢攱敤ㄹㄸ慢㔲㜰挵㘷ㄴ㤹㐴〳㘳㘹㡡㥥戲ぢ搸㡤搰㤸㌷㔱挸戲㤵〰挱捤ㄴ摣㐲〱㉢㔹㈴戰㕢搱昲〱换〶〳扢ㅤ㕡〰㘳㔵㡢㑥敥〲㜶〷㤳摦挹攴㌵㤸㤳ㄷㄸ换㑥㝡〰挶愲ㄴ〹㙣ㅤ㤳戰㍡愵〲搸㥦攱敤ㄹㄸ慢㔸㌰㍦㝣っ㤲㐹㌴㌰㤶戲攸㈹㘳㔱扦昹扥〷ㅡ昳㕥ち㔹收ㄲ㈰戸㡦㠲晢㈹㘰攵㡢〴昶〰㕡㕥㘰昲㐳换〱㙢搸㐳搰〲ㄸ慢㘰㜴㜲ㄷ戰扦㌰昹挳㑣捥㡡ㄵ㉦㌰㤶愹昴〰㡣㐵㉣ㄲ搸愳㑣挲㙡㤶ち㘰㡦挳摢㌳㌰㔶扤㐸㘰㑦㌰㠹〶搶〰慦㥥㌲ㄶ㌵戰扦㐲㘳㍥㐹㈱换㘲〲〴㑦㔱昰㌴〵慣㤴㤱挰㥥㐱换ぢ㑣㝥晣㍡〰搸㜳搰〲ㄸ慢㘶㜴㜲ㄷ戰攷㤹晣〵㈶㘷㠵㡢ㄷㄸ换㕡㝡〰挶愲ㄷ〹散㈵㈶㘱昵㑢〵戰㔷攰敤ㄹ㔸ち摤㈴戰㔷㤹㐴〳㘳愹㡣㥥㌲ㄶ㌵戰搷愰㌱㕦愷㌰ㄳ㉣㜸㠳㠲㌷㈹㘰㘵㡤〴昶ㄶ㕡㍥㘰晣㈰㜹〰戰㜷愰〵㌰㔶搹攸搱㕤挰摥㘵昲昷㤸㥣ㄵ㌱㕥㘰㉣㠳改〱ㄸ㡢㘴㈴戰て㤸㠴搵㌲ㄵ挰㍥㠲户㘷㘰慣慡㤱挰㍥㘶ㄲつ㡣愵㌵㝡捡㔸搴挰晥〶㡤昹㜷ち㔹㜶ㄳ㈰昸㠴㠲㑦㈹㘰㈵㡥〴昶て戴㝣挰昸㤱昸〰㘰㥦㐳ぢ㘰慣捡搱挹㕤挰扥㘰昲㉦㤹㥣ㄵ㌴㕥㘰㉣㥢改〱ㄸ㡢㙡㈴戰慦㤹㘴㝦戴㉡㠰㝤〳㙦捦挰㔸㠵㈳㠱㝤换㈴ㅡㄸ㑢㜱昴㤴戱愸㠱晤ぢㅡ昳摦ㄴㄶ㠲〵摦㔱昰㍤〵㌶〴ㄲ搸て㘸昹㠱〵扦づ晢〹㕡〰㘳ㄵ㡦ㅥ摤〵散㘷㈶慦挲愹〱挱㡡ㅢ㉦㌰㤶搹昴〰㡣㐵㌸ㄲㄸ㡥ㅥ㔷㠹ㄵ㘸㔵〰挳愷㜳搷〳搸㉡㜴㤳挰㙡㤹㐴〳㘳改㡥㥥㌲ㄶ㌵㌰〳ㅡ戳㉦㠵㉣敢〹㄰搴㔱挰㉦昶ㄲ慣昴㤱挰㐲㘸昹㠱攱㙢ち〲搶戰晥搰〲ㄸ慢㝥㜴㜲ㄷ戰〱㑣扥〱㤳戳㐲挷ぢ㡣㘵㌹㍤〰㘳搱㡥〴ㄶ㘶ㄲ㔶敦㔴〰摢〸摥㥥搷㌰㔶昹㐸㘰ㅢ㌳㠹〶挶㔲ㅦ㍤㘵㉣㙡㘰〳愱㌱〷㔱挸㌲愰〰挱㈶ㄴ㙣㑡〱㉢㠳㈴戰捤搰昲〱攳ㄷ㉥〴〰摢〲㕡〰㘳㤵㤰㑥敥〲㌶㤸挹㠷㌰㌹㉢㝡扣挰㉥㠴慦〷㘰ㄷ㐱㈲㠱㙤挵㈴慣昶愹〰㌶ㄴ摥㥥㠱戱㉡㐸〲㙢㘰ㄲつ散㌲㜸昵㤴戱愸㠱つ㠳挶摣㠶㐲㤶つ〵〸㠶㔳㌰㠲〲㔶ㄲ㐹㘰摢愲攵〷ㄶ扣て摢ㅥ㕡〰㘳㔵㤱㑥敥〲㌶㤲挹㐷㌱㌹㉢㠰扣挰㙥㠵慦〷㘰㉣ち㤲挰㜶㘰㤲摢搱慡〰㌶〶摥㥥㠱戱㡡㐸〲摢㠹㐹㌴㌰㤶ㄲ改㈹㘳㔱〳㡢㐰㘳㐶㈹㘴㤹㔱㠰㈰㐶㐱㥣〲㔶ㅥ㐹㘰〹戴㝣挰昸㈵ㄸ〱㙢㔸ち㕡〰扢搷㤵摣〵㉣捤攴ㄹ㈶㘷挵㤰ㄷㄸ换㠴㝡〰挶㈲㈲〹㙣㉣㤳戰㥡愸〲搸㉥昰昶っ㡣㔵㐷ㄲ搸㌸㈶搱挰㔸㝡ㄴ挰㘳㔷㘸捣摤㈸㘴㔹㔲㠰㘰㍣〵ㄳ㈸㘰愵㤲〴㌶ㄱ㉤ㅦ㌰㝥㥤㐷〰戰挹搰〲ㄸ慢㤶㜴㜲ㄷ戰㈹㑣㍥㤵挹摦㠲挰ぢ㡣㘵㐵㍤〰㘳搱㤱〴㌶㥤㐹㔸㝤㔴〱㙣㜷㜸㝢〶挶㉡㈵〹㙣て㈶搱挰㔸慡愴愷㡣㐵扤㠶捤㠴挶㥣㐵㈱换㤸〲〴戳㈹㤸㐳〱㉢㥢㈴戰戹㘸昹㠰昱㡢㐹〲㠰捤㠳ㄶ挰㔸攵愴㤳扢㠰捤㘷昲〵㑣捥㥡〸㌹改㠵㙣愹㐹搷昲扣戶昷㜴慤敦㔴扡ㅣ愱挸㤳敡昳㍢㔷㌷愳㤰㠱㡢㍣㝤敢㉣昱㐴㜴㐸晡㜰㔲戹慤ㅤ㈷挷㙡扣摦戱㔰敡晢㈴〶敥㌷搰昳晤ㄵ戲ㅢ㈳㍣㘷㕦㝢攵昷晥敦㘸㈸昵攷挴换ㅦ㘶㘷ㅦ㕥㡣扤㌰挵㠱戳㥡昲敤㙤ㅤ㙤挵捥愱昳㔱愴㌳㤴摦〷㔲慣慡㡡㑣愸晤㈳㌲〶㡥挹㍢㔶搳捡㉦㍢㕣挱捦挷㠷㤶戶戶慤㙣㤵戳愹敤攰搷愲㐸㕥㝤晢㜲㤸㄰挷攱㘵ㅢ挰ぢ昳晣㍥㍢㥢㝢挳づ攸ㄳ收〹㜲㕣慢㡣㝤搰ㅥ㌱㘹攲愴㜹㡤㔹扢㔰㐸愶㤳㤱㙣搱捥㈷㜲改戴㤵㑤愶ㄳ㜶㌴㙥挷㤲搱㔴㈱㙡ㅢ扦㉣㐹㤳ㄱ㍢ㄵ㑤挷戳戶㥤㉦㈶㘲㠹㘴慥ㄸ捦攵戳挵㘲㌱ㄱ㉤挴散㤸ㅤ收愹㜷愶㌷昷㐵ㅦ㜳㌱㑣㤸㘷摣愵㙢㍦扡ㅡ改攲昹㜷改愲㐰㑡㙢慢昱㈲㘹㝤㑦㡢愳㔳㤵挸㠹扣㈸〸扢愶㙦㕦㌱挲昳㈱㝦摦改昴搲㌷㈶ㄸ〶捦愶搷㥥て捣敢搷愹昲㔱㘴㘷扥搴㌳昳㥣㜷〱㈶ㄴ敥〳〷㝤㠶㡤收㠶㤳㈶㌶㔶㝥㔵愵㔱㠴扢㍦摣戲㘲〰摦㠱搹㘱ㅣ〰捦〶昰戸捡㠷挲㌵㉡㡢戹〴㐱㜳ㄸ挷㘸㠰ㄱ〶晣昲戱㕤ち㍦ㄷ攴慤づ㕥㙥て攲㜴摣ㄱ慥㠵〸攰㠳慢㤰㜰㉤ㄲ愷挱挳㌵愹㜲㑤㌰搱㠹ち戳つㄶ㙢㐲〸㙤㍥〸挶㌲戴㥤㌵挱㡥㐷攳ㄱ慣〲戹㔴㌲㤳戰㤲ㄹ㉢㤵㈹愶㡡㠹㜴㈶㥤㡦攴戲搹愸㜱㔰㐹ㅡ捤搹㔸㐵㈲挹㙣㍡㘳㈵㡡挵㡣㔵㑣㐴㈲㔸ㄱ㜲㜶摡㉡㘲㈵ち昷㔳改捤㜶昴㌱㍢㘰挲晤戵慢扣㈶っ搰慥㤲㑡㠴改挲㑤晣ㄶ㜷㠱㡦ㄴ㤶㜱㝣㥡㔹づ㠶〹㠵㌷㠴㐳晡㐸摣㈴㕦㤳㐸挳ㅢ㘹晦慦攸ㅡ挹㕥摢挳㠸㠱昰㑢㠶㙢攰㉦㌱摣〴㕥挹昰㔷ㄸ挲捦昰㔰㜸晤っ㌷㐵㈷㈴愹㌲㡦㠶〵挳捤搰㤶っ㡦㐱摢㘱ㄸ换㐵㈳㐹㉢ㅢ户昰摤㍤㠹㕣戲㘸ㄵ㜲㈹㉢㤵㠸攴㜳㘹㍢㤳㑤攷㡣摦㤴愴改㙣㍣㤱挸㘲换㠹挷愳〹㉢㥥捡㠲㌸㝣昱㘲㈴㥡挸㘴慣㙣㜸㜳㤵摥晣㉤晡㤸挷挲㠴户搰慥㌲挳挱摡㐵㠱㤴㡡慤攸挲㑤戴扢ㄹ㥥捣昸㈹㌰愱昰搶〸攲㕡㘵㝡ㄸづ搵晥搳愹㡤㔰戱ㄳㄹづ㘳㌲戶捥㠴扦挴㜰㌸扣㤲攱㤲㐰㠶挵㐰㠶㍣ㅦ㡦㈴㔵收ㅦ㘰挱㜰㕢戴㈵挳㜳搱㜶ㄸ㐶戰て㡡㈵㡢㠹㘲㍥ㄵ㑤挴攳㜹㉢㥥捣愶㔲改㘲㍥㥤戱㜳搹㘸捣㌸慦㈴㑤挷昳㔱㍢㘲挷㡡㠵㘲㈴㤱㑣㘵戳搹㔴扣㤸捦挴㔳〵换戲㜰ぢ昳慣㍥搳㥢攷愳㡦㜹〱㑣㜸㝢敤㉡㌳ㅣ愹㕤ㄴ㐸愹搸㠱㉥摣挴扥㙥㠶㤷㌱㝥㌹㑣㈸扣㈳㠲戸晡ㄸ㡥搱晥㉢愹㑤㔳㤱㠲ㄱㄱ㈶㘳敢ㅡ昸㑢っ㘳昰㑡㠶昳〲ㄹ捥つ㘴挸㔳昴㐸㠲㐳㥥戰㘰㤸㐰㕢㌲扣ㄱ㙤㠷㘱㍥㤵㡢㈷昳㌱㍢㥡挹攷ㄳ㜶㍥㤷挹搸㜱摢戶慤㐸戱㤰捥㐵㈲㔱攳愶㤲㌴ㅥ换㔹ㄶ㜷敡戶㘵㘱㐷㑥㙤㈱㤶捦搹戱㜴㌲㤹㑢收搲㘱㥥攸㤷っ㙦㐶ㅦ昳ㄶ㤸㜰㑡扢捡っ搳摡㐵㠱㐹愹ㄸ㑢ㄷ㙥㘲慡㥢攱㕡挶搷挱㠴挲㍢㈳㠸慢㡦攱㉥摡㝦て戵扢㔲㌱づ㐶散捡㘴㙣摤捦昴昴昰㌶ㅥ㕥挹㜰㤷㐰㠶㘳〳ㄹ㑥㐰㈷㈴愹㌲晦〲ぢ㠶ㄳ搱㤶っㅦ㐶摢㘱ㄸ戵搲戹㜸㈱㤵㑢ㄷ敤㜴㈲㔵㐸㔸搹愸㤵戵戱㠱ㄶ㘲㠵㝣㈲㔶㌰ㅥ㈹㐹戱ㄷ戴㜳戹㔴㉥㔱捣ㄴㄳ㤹㕣㈱ㄳ㡦㘰敤㑢愶㡡㤱㘴慥㠰㐸㜸㤲㑡㙦㍥㡡㍥收㘳㌰攱挹摡㔵㘶挸〲〰㐹㥡〲㈹ㄵ搳改挲㑤㐴摣っ㥦㘶晣ㄹ㤸㔰㜸〶㠲戸晡ㄸ敥慥晤㉦㔰㍢㠵㡡挹愴㌵㤳挹搸㝡ㄹ晥ㄲ挳搹昰㑡㠶摢〶㌲ㅣㅥ挸㤰㈷昲㤱〴㠷敦㘰挱㜰㉥摡㤲攱ㅢ㘸㍢っ㤳搸㌰㌳㜶㌶ㄹ㑢收攲㠹㜴㉥㘳搹㤹ㅣ㙣㈱ㄲ㠹㈵㘲戱㜴捣㜸戳㈴戵愳㠵㜸㉡ㅦ〵攴㤸㥤㐸ㄶ㜲戹㙣扡㔰㐰搷㐸愲㤸㑢㐵㡢㤱昰㥥㉡扤昹ㄶ晡㤸㙦挳㠴攷㘹㔷㤹㈱㙢〲㈴㐳ち愴㔴㉣愲ぢ㌷戱㠵㥢攱㠷㡣㝦〴ㄳち敦㠵㈰慥㍥㠶扦搰晥㑦愸㥤㐹挵ㅥ㌰㘲ㅦ㈶㘳敢㌳昸㑢っ昷㠵㔷㌲っ〷㌲摣㈰㤰㈱捦敤㈳㐹㤵昹ㄵ㉣ㄸ敥㠷戶㘴昸㌵摡づ㐳㉢㥢㑥攴慤㘲〴㕦扥㤷㑤㐴㐱挸捥挶ぢ搹㔴㈴㘱㈷㔳愹㘸摥㌶晥㔹㤲ㄶ㄰㈹㘶㜰挳ㄳ㜱㈲㥢㡣攲愹㌸ㄶ㑢㘴㜳改㐲㍣㥢㈸㘰㕢㙥㔴改捤㙦搰挷晣ㄶ㈶扣扦㜶㤵ㄹ㕡摡㔵㔲㠹〲㕤戸㠹ㅡ㌷挳ㅦ㤹攵㈷㤸㔰㤸㈵〰戸晡ㄸㄶ戵扦扡ㄶ挱昹㔴捣㠳ㄱ㑢㤸㡣慤㕡昸㑢って㠴㔷㌲晣敥扢愰攷攵㝦挱敢㝦㕥㕥㡡㑥㤸〳づ㐹㈱ㄵㄸ㌶愳㉤ㄹ㠶搰㜶ㄸ㘶戰搷㑢㈵㡢挹㐲㍡㡦㑤㌵㤱挸㘵㘳搱㤸ㄵ捦㘷㡡㔶㌶ㅦ㡤挶㡤㝥㈵㈹㥥㔱攲戱㜴㍡ぢ搸㜶㈲㥤挲㙡㤸㡢挵ち挵㔴㉡㠳㥤㘸慣㔸っ户愸昴㘶㝦昴㌱〷挰㠴㕢戵慢捣㤰㤵〳㜲㍤愴㐰㑡㐵㍢㕤戸㠹㝦攰㙥㤴㕥摢㙣捣昸㐰㤸㔰㤸㔵〱戸晡ㄸ㜶㙡晦㘶搴昲㑢㈸捣扤㘱挴ち㈶㘳㙢㌰晣㈵㠶慢攰㤵っ摦ぢ㘴昸㑥㈰挳搵攸㈴ㄹ㙥㡤㔴㘰㜸㌰摡㤲攱㔰戴ㅤ㠶㠵㐴㉡ㄳ挹㈴愳昱ㅣ㌶搰㜴扣㤸㉢㔸㜸戲挸挷㔲㔶挶㑡㐶㈲ㄹ愳愱㈴捤ㄶ昲㤹㘴ㄱ㙦て㉣换㑥攴昳㌹扣㈰㡡愴㤳㔶㈴㤱㡡攲挴㐶㈶ㄲ㍥㐴愵㌷㠷愱㡦戹つ㑣昸㔰敤㉡㌳㘴㌱㠱㘴㔸㔲㠹㈳攸挲㑤扣攴㘶㌸㤲㔹㐶挱㠴挲㙢㄰挴搵挷昰㐸敤ㅦ㐳慤㐵挵晥㌰攲㈸㈶㘳㉢ち㝦㠹攱㌱昰㑡㠶㝦つ㘴昸㜸㈰㐳ㄶ〵㐸㠶㐹愴〲挳摦愲㉤ㄹ愶搰㔶っ㈳㜱ㅢ扣昲㤱〸昶㠷㤹㝣㈱㕢捣㈷㜳搸㥥㜳㌹㉢㘹攳㘹挳㐸㤷愴㐹㉢㥡挸挵攲㜸愹㡤㌷㘴愹愲㤵换搸㠵㈲㔶摥㔴㈴㤹挷戳㜸㉣㝣慣㑡㙦㘶搰挷捣挲㠴㡦搳慥㌲挳攳戵㡢〲㈹ㄵ㈷搱㠵㥢戸捦捤㜰㌷挶挷挳㠴挲慣ㅤ挰搵挷昰ㄴ敤㥦㑣敤ㄲ㉡昸挵ㅡ攲㌴㈶㘳㙢ㅡ晣㈵㠶愷挳㉢ㄹ摥ㅥ挸昰搶㐰㠶慣ㄳ㤰っ昷㐰㉡㌰晣㍤摡㤲攱㑣戴ㅤ㠶挵㔴扥㤸捤愴戳改㜴㈶㥢㠸㘵慤㕣っ慤㘸ㄴ㕢㙣㌲㤷戰戳㌱㘳㔶㐹㕡〰敥㌴摥挱㈴㡡昱㔴〲慢㈴㕥攷ㄴ搲搹㝣摥捡收昲改㜸㉣ㄱ㍥㔳愵㌷㘷愳㡦㌹〷㈶㝣㤶㜶㤵ㄹ㥥慤㕤ㄴ㐸愹㌸㤷㉥摣挴搵㙥㠶ぢㄹ㕦〴ㄳち戳㥣〰㔷ㅦ挳昳戵㝦ㅦ㙡摢愸攰挷㑦挴㠵㑣挶搶㘲昸㑢っ㉦㠶㔷㌲扣㌸㤰攱㠵㠱っ㉦㐱㈷挹搰㐲㉡㌰扣ㄴ㙤挹㌰㠷戶㘲ㄸ挱㡦㕦〰㐰㌴㥥〶挳㐲ㄶ摢㜲㌶㤹㡢攵㔲㌱换㑥㈶攳㤶㤱㉦㐹㜱㠰㈰ㅥ戵㡢昱㜸㈱㥦㑣愴ㄳ㜸㜷㤳㑡㈵慤㐲㈶㥡戴㔳㌸㈲㄰〹戳〰㐱㙥愵〵昴㌱㙤㤸昰攵摡㔵㘶挸㉡〴愹愲挰愴㔴㕣㐹ㄷ㙥攲昷㙥㠶㑢ㄹ㙦㠶〹㠵慦㐲㄰㔷ㅦ挳慢戵㝦ㄹ戵㉢愸㔸㑥㠶搷㌲ㄹ㕢ㅤ㑣㑦て㙦搷挳㉢ㄹ㥥㄰挸昰戸㐰㠶㌷愰㤳㘴戸ㄲ愹挰昰㐶戴㈵挳㔵㘸慢㙤戹㤰戴搲㜶挴㑡㈵㔳㠹㐴㍣㡡㤷捤㈹扣㐱㠹攱㘹㈵㤵㡢㐵攳㐵㘳㜵㐹㥡㑦㘰扦㠹㈷攷㈲㠴㠹㐲戴㘸挵戲愹㑣㌲㔹挰㌱ㄴ㍣搵㘴㘲㘱搶㈴㐸㍡〷愳㡦㜹〸㑣昸㘶敤㉡㌳㘴㘱㠲㔴㔱㘰㔲㉡㙥愷ぢ㌷㜱㠴㥢攱ㅡ挶㡦㠴〹㠵敦㐰㄰㔷ㅦ挳㍢戵晦ㄸ㙡て愳㠲摦㄰㈲搶㌱ㄹ㕢挷㌲㍤㍤扣晤ㄹ㕥挹㜰㐵㈰挳捥㐰㠶㜷愳㤳㘴㜸㈲㔲㠱攱㍤㘸㑢㠶㈷愱敤㌰㡣攰〹㌸ㄲ㡤搹㕣户㜰㈰㈱㘹攱㉤〷㥥㤴ㄳ㜹㍢㤷㡣攲㌵愲㜱㜲㐹㥡挰㥢敡㑣㌱ㄷ㡦㠰㜱㈲ㅦ挷㜳㑥㥥慥㝣㌶㠲㉦㈵㡥攷㤳攱㝢㔵㝡昳ㄴ昴㌱㑦㠵〹摦愷㕤㘵㠶昷㙢ㄷ〵㔲㉡ㅥ愲ぢ㌷㜱愰㥢攱㤹㡣㥦〵ㄳち戳づ〱㔷ㅦ挳㠷戵晦㕣㙡㡦愲攲搷愴昵㈸晣㤲攱〵昰㤷ㄸ㍥づ慦㘴戸㝦㈰挳晤〲ㄹ㍥㠱㑥㤲攱㈵㐸〵㠶㝦㐵㕢㌲扣ㄴ㙤㠷㘱㈲㥢㈹挶搲㜸换㠱㔵㈹ㄱ㠹收㜳昹㘸㍡㤹挱挶㥣捥搹搸戲攳挶㘵㈵㈹㕥换攰㔷㙣㈲戹㔴㌱㤵㑥ㄴ㘲ㄱ换挶摢㙢㍣〲㠵㐲っ捦㌶㤹㘸㤸㤵ぢ㜲つ扢ㅣ㝤捣㉢㘰挲㑦㘹㔷㤹攱搳摡㔵㔲㠹攷攸挲㑤㉣㜰㌳扣㠶㔹慥㠵〹㠵㔹㥡㠰慢㡦攱ぢ摡㝦㈳戵挷㔳㜱ㅣㄹ扥挴㘴㙣摤〲㝦㠹攱㉢昰㑡㠶扢〷㌲㥣ㅥ挸昰㔵㜴㤲っ敦㐰㉡㌰㝣つ㙤挹昰㑥戴ㅤ㠶㔶㍡ㅦ换搹㔱ㅣ㜹挰㡥戱㤸挸攵㡡搸愶㌳ㄱㅣ搷戲昱捣ㄲ㡢ㅡ㙢㑢搲㜸愱㤰换摢挹㜸搱㠶㈶㤳㑡㔹搸㈷收攳㜸㌵挹攷㘶扣搷づ戳㤸㐱㌲㕣㠷㍥收㕤㌰攱㌷戴慢捣昰㑤敤愲挰愴㔴扣㐳ㄷ㙥㘲㔷㌷挳晢ㄹ㝦〰㈶ㄴ㝥ㄷ㐱㕣㝤っ摦搳晥㠷愹㍤㡤ち㝥搵㠹昸㠰挹搸㝡㡣改改攱敤㈳㜸㈵挳㐴㈰挳㔸㈰挳㡦搱㐹㌲㝣ㄲ愹挰昰㙦㘸㑢㠶㑦愱敤㌰捣ㄵ㜱戸换挶㡢敡ㄴ㝥㉡㈹㔲捣㕢搱戴㥤㡦挷戲㠵㥣㡤挳㌷㤹㠸昱㜴㐹㥡㉡收昲戱㝣㌲㥡捥㘵㜳㠹っ㡥ㅢ挶㈲昸㘱愵㐸㌱㡤挳て昱㙣㌴ㄲ晥扢㑡㙦㍥㠳㍥收戳㌰攱㑦戴慢捣昰㔳敤愲㐰㑡挵攷㜴攱㈶戶㜷㌳㝣㤹昱㔷㘰㐲攱㉦㄰挴搵挷昰㑢敤㝦㠳摡戳愹攰户愵㠸慦㤹㡣慤户攱㉦㌱晣〶㕥挹㜰慢㐰㠶㐳〲ㄹ㝥㡢㑥㤲攱晢㐸〵㠶晦㐲㕢㌲晣〰㙤戵㍦㡣攳昵㘱摡㡡㘴㔳㔶㉥ㄱ捤㐵㌳㜱慢㤸挶㤳㡢㥤㡣愵昱攲㉦㘹㝣㔸㤲挶㜲㤱㝣㉣㔱㠸㘴昳㈹㍣㡦攷戱ㄵ愷戰攷戴攳㌸〲㠶ㄷ㐱㔶㍡晣㙦㤵摥晣〸㝤捣㡦㘱挲摦㘹㔷㤹攱昷摡㔵㔲㠹㥦攸挲㑤㙣攴㘶昸ㄹ戳㝣づㄳち晦㡣㈰慥㍥㠶扣㜷搲晦㌵戵ㄷ㔲㜱〱㡣㤰㤵ぢ㙣㝤ぢ㝦㠹㈱㉢ㄷ㈴挳扡㐰㠶㐶㈰挳㕡㜴㤲っ扦㐷㉡㌰㌴搰㤰っ㝦㐰㕢㙤换㜶㈴ち㄰搹㐸㉥㥦挰㈶㤹捦攴敤㙣㈶㠱㝤㕥捣挶挱戰㐲搴昸戱㈴㡤攰㐸㘱㈱㠶㤷㌴搱㔸㍣㠱搷摡ㄹ㠰挴慡㥢戴㔲㌸〱㘲㘷㜳攱扥㉡扤昹ㄳ晡㤸㍦挳㠴敢戴慢捣搰搴慥㤲㑡戰挶㐱㌲晣攱摦慥昷㝡戵〶戲ㄸ㌰愱㌰换ㅣ㠲ㄸ戲昲㐱晡㐳搴昲㕢㔶捣换挹㌰っ扦㕣て〷挰㕦㘲戸ㄱ扣㤲攱㤷ㄸ挶㝦ㅣ晢㜳㜸晤敦㤷㌷㐶㈷㕣昱换㙡㐸〵㠶〳搱㤰っ㌷㐲㕢慤㠷㜸㡡㑤愶慣㘲戱㘰㈷ㄳ搱㜴㈱㡢㤷㍡㔶㈱㠵搷㌰㌶㕥㐶挷㤳挶挶㈵愹㔵挴搳㑤㌶㡡㔷摥㍣昶ㄵ㉦㘶㜳ㄶ㑥㄰㘱㌷㠰㥤㘲㌲㙢ㄵ挳㠳㔴㝡㜳㈰晡㤸㠳㘰挲㥢㘸㔷㤹攱愶摡㔵㔲〹㤶㍤㐸㠶ㅦ戸ㄹづ㘶㤶㈱㌰愱㌰㉢ㅦ㠲ㄸづ搱晥愱搴昲㡢㕡㑣㝥敤㡢搸ち㝥挹㜰ㅢ昸㑢っ㠷挲㉢ㄹ扥ㄶ挸昰㤵㐰㠶つ攸㠴㉢㍥㌷㠶㔴㘰挸㡡〶挹㜰㝢戴搵晥㌰㤱㡦攰昸㝦㈲㤱㡥ㄴ昱挶ㄷ㉦〱昳愹㙣㌴㤵㠸㕡愹㉣㥥㔷㜲挶挸㤲搴㑡㐴㘲戱㌸㥥扤ㄳ昱㝣㈲㡦㕤㘱㍡㡡敤ㅦ㉦㜶戰㔲愶㡢昱㔸㤸戵ㄲ㑣㙦㡥㐲ㅦ㜳㌴㑣㤸㈵ㄲ搲㔵㘶㌸㐲扢㑡㉡戱㍤㕤㘰㈴㥥㜲㌳㡣㌲㑢っ㈶ㄴㅥ〹㐱㄰㐳搶㐷㐸㝦㡡摡㕢㌸昶捤㘴㈸㑢ㅥ搸捡挲㕦㘲挸㤲〷挹昰愱㐰㠶て〴㌲摣〹㥤㜰挵挱㕤愴〲挳〸ㅡ㤲攱慥㘸㍢っ戳昹㕣ㄲ慦愸㤳㠹〸捥㐹ㄵ㜱㈴㉢ㅡ挷换㙤㉢㙡㈷㜰〸㌶㥥㡣ㄸ扢㤵愵㌸㕣㠳ㄷ㌲㈹㥣㠲挲㠹捣㘸摥㑡㘱㘵㑤㘴㘲㔸㠹搳㠸愴挲㉣㥦㤰挰挶愳㡦㌹〱㈶ㅣ搳慥㌲挳戸㜶㤵㔴㈲㐵ㄷㄹ摥改㘶㌸㡤㔹愶挳㠴挲㘹〸㠲ㄸ戲㘴㐲晡㘷㔲换慦㡢㌱昹攵㌳㐲㔶㐱戰㌵〷晥ㄲ挳㕤愰㤶っ慦て㘴㜸㙤㈰挳㜱攸㠴㉢㡥慣㈱ㄵㄸ敥㡡㠶㘴戸〰㙤㠷㘱㉡㔳挸攰攰ㅦづ㘲攵㔳㈰ㄸ捦ㄴ昳昱㙣㉡㠶つㄵ〷ㅤち搸ㅦ㉥㉣㐹攳搱㐸㌶㤲捥ㄶ㌳㌸攴㤰㐸攴㡢㤹㥣ㅤ㠹攱戹㈵㥦挰㥢㍤㍢㔳〸敦愶搲㥢㡢搰挷摣ぢ㈶㍣㕥扢捡っ㈷㘸ㄷ〵㔲㉡㔸㉦㈱ㄹ㕥敡㘶戸㤸昱晤㘰㐲攱㈹㄰〴㌱㥣慡晤㌹㙡敦攷㕤扤㡦っ愷挳㉦户㘵ㅢ晥ㄲ㐳ㄶ㐶㐸㠶攷〴㌲㍣㉢㤰攱ㅥ攸㠴㙢㤵搹㠴㔴㘰挸㔲〸挹昰㐰戴ㅤ㠶㍣攲㤰㑢攲㔹〵㉦㙤ㄲ戱㕣㍥㘷攵㜰昰㤰㠷戲㜲㔶㍡㙥㕢挶搲㤲戴㠸㑤㌸㔷㐸愷昲㔹ㅥ㈶挳㈹㠳㔴〱㉦㠳㔲㌸愵㡡㔳㉡㜶㍣ㄷ㘶㤱㠵㕣て㥢搱挷㙣㠱〹戳戶㐲扡捡っ攷㘸ㄷ〵㈶愵㘲ㅥ㕤㘰㈴㑥㜲㌳散㘰扣ㄳ㈶ㄴ㥥て㐱㄰挳〵摡扦㡡摡㐷㜹㔷昹ㄵ㌸攱㠵昰攳㡡㌷㥣昰て攸㔳换㉡㠱㥤㍤愷搳㠳扦昱㘲戴昷愷㐷愶攰愷㐴㔸㑥㔸搵〷ㅦ昵㜷㍥㈰㕦㔳㍤昶㍦换挵ㄳ昶晣㝥っ摥㙡㡦挲㝤晤㍦攴攱㥡㔱㉥挴㘰挶慤㜱㌳て挳ㅤ慥摤ㄷ㜷㌷ㄲ㌴挵敥㝥〴ㄲㅤ慢〶戵捣攸挰挹㝣晣㤸攸㠲戶〹愵㕦愲摣㔰㥦攴ㅦ慤㝦ㄱ㘳㐴搹㌳㈱搷㠱敦㔶改戴㜵户㌹敤愵㝥昸㠵〹ㄴ㜵㈰㌰㥡扦㥦㌱愸摣㜲㝤挱挰攰戲㜷㐶㙢〷㝥敢挵㉥攸㡣ㅤ昸昰㝤㑤㜵ㅦㄱ昸㥤ㅦ敡挷づ昸㡤〲捣㠶㕦㝢㤹㔱㈰㠰挱〱㕦慦㌰戱愹㔳㝥㍤挹㄰挴㠵挹ちㄱ攳㜰㘲ㅡ㌷㝣攲昰㘸敤ㄱ㜸ㅣ搶㝢㠸㑡敡ㅣ㤰慢㐶挸㕣㠳㝣㘲㌱㌲ㄳ扤㌰㔹㕡㘲晣㕡㡦ㄱㄳ㠷㘲っ㡥挳㜵ㄸ㕦㡡㐹㌱㌷〸敤ㄲ㡤慡挱㘴昵慣挲挰敢戱㉡愸摣㤷捦㜷㔳慤昱捥晦㍡昵㍦㍣扥㥥㈵ㅢ戲挷㘲搱㜰摡㠴摡户づ扦攰㡢㉢㜷ㅥ㜱摥㜵㍦慢晦㠷㍢㍤昶㔶㍤戲攳挵ㄲ昴ㄸ〱慦昹㌶捤㍢㌴敦挲㠸㤵㤸攴㉢昸摥〵摦㉦㌱慣㔰〱敦㉦㌱㠴㤷㈲ㄳ慥㜸㠷㡢昹づ攸㈳摡搰攰收㈶㍡搱㠳敢㌸㈱㤹㈷昲㉥户挳敤昰㘱㙤㠶㜱㌲㝣昲㌱㠸㠹㘵搰㘹ㄸ㈱昳㔴㡡㍢㑡㘲㔶㘷ㄸ扦搳攲愸㘸㔶㘲㠷晣ㄹ〸搴戳㡣愲㜷挸㔸㜳搱㍢㘴扦㐲㡦㈰㘴〷㘰㍡㠱挸㡡㉡攰晤敤㠶昰ㅡ㘴挲ㄵ愵〲㤸㍢㤰ㅤ㡤㠶㐴㔶㐰㡦ㄲ戲昳㐸攱户〸㌹挸㔸㡡㘱㕣㔰愶戰㝦〵㠵㡢㈸㘶愱㠴㈳㘶㌱㠶㜱㠹ㄶ挷挴扥㑡散慣㝦㤷㈱㔰㝦㌲㈴扤㐳挶ㄲ㡢摥㈱㍢ㅤ㍤㠲㤰敤愵挸昸搶戲㐵㉡攰晤戵㠷㌰敢㌳㜰慤㌲慦挲摣㠱㡣㐵ㄶㄲ搹〲昴㈸㈱扢㠶ㄴ捥㐷挸愱㜰㉥㤶㡣敢㌴㠵愸㤸慢㈸㌸㉢捥つㄴ戳㉥挲ㄱ㥦㐷昱㑤㕡ㅣㄳ㌳㤵搸㐱㜶ぢ〲昵㤷㐱搲㍢㘴慣愸攸ㅤ㌲ㄶ㔷〴㈱㥢愶挸昸㤰㑤㔵〱敦敦㐳㠴㔹㡥㠱㉢㕥㤹㘱敥㐰挶㥡ち㠹㙣㌲㝡㤴㤰摤㐵ち㌷㈳攴㔰戸ㄱ㑢挶摤㥡㐲㔴㡣㔷ㄴㅣ㘴昷㔲捣㌲〸㐷㝣ㄳ挵昷㙢㜱㑣散愲挴づ戲〷ㄱ愸㘷㑤㐴敦㤰慤搳㍤搶㝢㕦㜶て㝡〴㈱㑢㉢㌲㍥㘴㈹ㄵ昰晥愲㐴㤸搵ㄷ戸攲戰ㄲ收づ㘴㉣愱㤰挸ㄲ攸㔱㐲昶〴㈹戰摣挱愱昰㌰㤶㡣㈷㌵㠵愸㠸㈸ちづ戲愷㈹㘶搵㠳㈳㘶㘵㠵昱慣ㄶ挷挴づ㑡散㈰㝢ㅥ㠱㝡㤶㐰昴づ搹㌳扡挷㝡㈳㝢〱㍤㠲㤰㙤愷挸昸㤰㙤慢〲摥摦愰〸扦㡣㑣戸攲㥢挵㌱㜷㈰㝢ㅤつ㠹㙣㌸㝡㤴㤰扤㑥ち㙦㈱攴㔰㜸〳㑢挶㥢㥡㐲㔴っ㔵ㄴㅣ㘴㙦㔳捣㈲〷㐷捣㐲ち攳㕤㉤㡥㠹㈱㑡散㈰㝢ㅦ㠱㝡㔶㍣昴づ搹㐷扡挷㝡㈳㘳愵㐴㄰戲㑤ㄵㄹㅦ戲㑤㔴挰晢慢ㄵ攱捦㤰〹㔷㝣搶〹㜳〷戲慦搰㤰挸〶愲㐷〹搹愷愴挰㌲〵㠷挲搷㔸㌲㍥㉢㔳〸㔷㔰昸㠲㘲ㄶ㍤㌸㘲搶㑤ㄸ㕦㘹㜱㔴昴㔷㘲㠷敦㍦ㄱ愸晦ㄱ㤲摥㈱晢㐹昷㔸㙦㘴搵ㄸ㈰〸㔹㕦㐵挶㠷捣㔰〱敦敦㕣㠴㙢㤱〹挳攳挳㑣㤸㍢㤰戱ㅥ㐲㈲慢㐱㡦ㄲ戲ㅦ㐹㠱戵ぢづ〵ㄶ㐹ㄸ㍦㤷㈹㔴㔵㔰攰㑦㔶ぢ㤶㌰㌸㘲㤶㐹ㄸ㝤攰㔳慦㐸㝥昸㤷晢ㄵ㐹㉤〲昵慣㘷挰戵ㄷ慦换㔸晣㈰㝢慣㌷㌲搶㐱㡣攰ㅤ昵扣㉥晢ㄶ搳〹㝣㤱昱㡤ち㜸㝦ㄹ㈳㍣ㄸ㤹㈴戲㝥㤸㍢㤰戱晣㐱㈲晢ㅡ㍤㑡挸〶㤰〲㡢㄰ㅣち㐳戱㘴搴㤷㈹㝣㕥㐱㘱㐳㡡㔹搲攰㠸ㅢ㈸摥㔸㡢愳攲ㄳ㈵㜶搶戲㐱〸搴戳㝣〱搷㕥㈰㘳慤㠳散戱摥挸㔸昶㌰㈲〰搹㠷㡡㡣㙦㉤晢㐰〵扣扦愵ㄱ㘶愱㠴㐴㌶ㄸ㜳〷㌲㔶㍢㐸㘴敦愱㐷〹搹㤶愴挰捡〴㠷〲㑢㈰㡣慤换ㄴ摥慡愰搰㐰㌱ぢㄴㅣ㌱㡢㈰㡣㙤戴㌸㈶㕥㔳㘲㘷㕦㌶〲㠱㝡㔶㉢攰摡ぢ㘴攳㜵㡦昵㐶㌶ㄹ㍤㐶〴㈰㝢㔱㤱昱㈱㝢㐱〵扣扦扥ㄱ㘶㕤㠴㐴㌶ㅡ㜳〷㌲ㄶ㌷㐸㘴捦愱㐷〹搹㡥愴挰㐲〴㠷〲㉢ㅥ㡣㥤㌴㠵愸㜸㑡㔱㜰㔶㥣㈸挵慣㐷㜰挴慣㜹㌰攲㕡ㅣㄳ㡦㉢戱㠳㉣㠹㐰㍤㡢ㄳ㜰敤〵㌲㔶㌲挸ㅥ敢㡤㙣ㅦ挸㐷〴㈰晢㡢㈲攳㐳昶㤰ち㜸㝦慦㈳捣㌲〸㠹㙣㘷捣ㅤ挸㉣戴㈵戲〷搰愳㠴㙣ㅣ㈹戰㤸挰愱挰〲〷㘳㌷㑤㈱㉡敥㔱ㄴㅣ㘴ㄳ㈸㘶昹㠱㈳㘶㠹㠳㌱㐹㡢㘳㘲㥤ㄲ㍢挸愶㈰㔰捦㕡〴㕣㝢㠱㡣㠵ぢ戲挷㝡㈳㘳つ挳㠸〰㘴户㈹㌲㍥㘴户慡㠰昷ㄷ㍥挲慣㝡㤰挸昶挰摣㠱㡣愵ぢㄲ搹捤攸㔱㐲㌶㡢ㄴ㔸㍢攰㔰㘰㍤㠳㌱㐷㔳㠸㡡敢ㄵ〵〷搹㥥ㄴ戳摡挰ㄱ戳愲挱㤸慦挵㌱㜱戵ㄲ㍢挸ㄶ㈲㔰扦〶ㄲ㕣㝢㠱㡣㜵ち戲挷㝡㈳㘳挹挲㠸〰㘴㔷㈸㌲㍥㘴㤷慢㠰昷㌷㐱挲㉣㜲㤰挸㝥㠹戹〳ㄹ㉢ㄵ㈴戲㑢搱愳㠴㙣㌱㈹戰慡挰愱挰昲〵愳㔱㔳㠸㡡ぢㄵ〵〷㤹㐵㌱㡢ぢㅣ㌱ぢㄸ㡣扣ㄶ挷挴戹㑡散㈰戳ㄱ愸㘷愵〱慥扤㐰挶戲〴搹㘳扤㤱戱㐲㘱㐴〰戲㌳ㄵㄹㅦ戲摦慢㠰昷㔷㐴挲慣㘹㤰挸㤶㘲敥㐰挶挲〴㠹散㜴昴㈸㈱㙢㈱〵㤶〷㌸ㄴ㔸慤㘰戴㤵㈹㥣㔲㐱攱㈰㡡㔹㙣攰㠸㔹慦㘰㜴㘸㜱㔴㥣愰挴づ摦攵〸搴戳戰〰搷㕥㈰㘳ㄵ㠲散戱摥挸㔸㤰㌰㈲〰搹㙦ㄴㄹㅦ戲㘳㔴挰晢扢㈳㘱㤶㌰㐸㘴㠷㘰敥㐰挶㍡〴㠹散㈸昴㈸㈱㍢㡣ㄴ㔸〸攰㔰㘰㜱㠲㜱㜸㤹挲ㄱㄵㄴ搶㔰捣搲〱㐷捣昲〴攳搷㕡㡣㈳㘹㑡散慣㘵㐷㈳㔰捦㍡〲㕣㝢㠱㡣㐵〷戲挷㝡㈳㘳晤挱㠸〰㘴㉢ㄵㄹㅦ戲ㄵ㉡攰晤愵㤲㌰㉢ㄶ㈴戲攳㌱㜷㈰㘳搹㠱㐴搶㠹ㅥ㈵㘴㈷㤲〲㑢〴ㅣち慣㐵㌰㑥搶ㄴ愲㘲㤹愲攰慣㌸愷㔲捣㑡〱㐷捣㙡〴攳㜷㕡ㅣㄳ捤㑡散㈰㍢〳㠱㝡㤶つ攰摡ぢ㘴慣㌱㤰㍤搶ㅢㄹ换つ㐶〴㈰㍢㐰㤱昱㈱㉢慡㠰昷户㑤挲㙦㈳㤳㐴昶〷捣ㅤ挸㔸㘵㈰㤱ㄵ搰愳㠴散㍣㔲攰戹㝥㠷〲㑢て㡣ぢ捡ㄴ昶慦愰㜰ㄱ挵慣ㅣ㜰挴㉣㍥㌰㉥搱攲愸搸㔷㠹ㅤ扥㤷㈱㔰捦㉡〱㕣㝢㠱㡣㈵〵戲挷㝡㈳㘳㜵挱㠸〰㘴㝢㈹㌲㍥㘴㡢㔴挰晢㙢㈸㘱搶㈳㐸㘴㔷㘱敥㐰挶愲〲㠹㙣〱㝡㤴㤰㕤㐳ち㍣戵敦㔰㘰愵㠱㜱㥤愶㄰ㄳ㜳ㄵ〵㘷挵戹㠱㘲ㄶち㌸㘲搶ㅡㄸ㌷㘹㜱㔴捣㔴㘲〷搹㉤〸搴搷昲扤㔷慦㤰戱㠲㐰昶㔸㙦㘴㉣㈶ㄸㄱ㠰㙣㥡㈲攳㐳㌶㔵〵扣扦㥦ㄲㅥ㠰㑣ㄲ搹㕡捣ㅤ挸㌶㐴㕢㈲㥢㡣ㅥ㈵㘴㜷㤱〲捦攴㍢ㄴ㔸㔸㘰摣慤㈹挴挴㜸㐵挱㐱㜶㉦挵㠳㑡攲㡤㈹扥㕦㡢愳㘲ㄷ㈵㜶㤰㍤㠸㐰晤㘰㐸㝡㠷㡣〵〳扤㐳㌶ㄴ㍤㠲㤰愵ㄵㄹㅦ戲㤴ち㜸㝦㜱㈵扣つ㌲㐹㘴㡦㘱敥㐰挶㤲〱㠹㉣㠱ㅥ㈵㘴㑦㤰〲㑦摣㍢挸㔸㐷㘰㍣愹㈹挴㐴㐴㔱㜰㤰㍤㑤昱攸㤲㤸㤵〴挶戳㕡ㅣㄵ㍢㈸戱㠳散㜹〴敡愳㤰昴づㄹ敢〳㝡㠷㡣愵〲㐱挸戶㔳㘴㝣挸戶㔵〱敦㙦戴㠴㔹㕣㈰㤱扤㡡戹〳搹㌸戴㈵戲攱攸㔱㐲昶㍡㈹㡣㐷挸㐱挶戲〱攳㑤㑤㈱㈶㠶㉡ちづ戲户㈹㥥㔰ㄲ敦㐶昱扢㕡ㅣㄵ㐳㤴搸㐱昶㍥〲昵㍣挳摦㍢㘴㉣〷攸ㅤ㌲㔶〶〴㈱摢㔴㤱昱㈱摢㐴〵扣扦敡ㄲ㥥㠳㑣ㄲ搹摦㌱㜷㈰㥢㡦戶㐴㌶㄰㍤㑡挸㍥㈵〵㥥扣㜷㤰戱㑡挰昸慣㑣㈱㕣㐱攱ぢ㡡㜹づ摦ㄱ㉦愴昸㉢㉤㡥㠹晥㑡散昰晤㈷〲昵㡢㈱改ㅤ㌲㥥晤敦ㅤ㌲ㄶ〲〴㈱敢慢挸昸㤰ㄹ㉡戰昶㥥㝢愶慦㌸愶㙤挶摡晢㐶晣㔴㜳挸晥㑦㠴㙤㘴㤲挸扥挷摣㠱㡣攷晦㈵戲ㅡ昴㈸㈱晢㤱ㄴ㜸〲摥愱挰愲〰攳㘷㑤〱摦㙦慣㈸㌸㉢㡥愸㠳戸愵㈴㕥㑡㜱ㅦ昸昴昱戲㙦㉢㡥㤷㈱㔰摦〱㐹敦㤰昱㘴㝦敦㤰昱扣㝦㄰戲㙦㌱㥤攰攳㘵㉡攰晢攵㤸㐳㤰愹愷㕦㡥攱㌷ㅡ搸ㅤ昲搷㑤敡昱㥣㔳㕢攴㜷㌰昴㉢㍡㙥㥥摣挷户㌰㌴㌵㌷换㉦㌰攸㡦ㅦ㝡㘸㕦㙡户捦挴敦㤹攰攷ㅤ昰㥢昷敡ㄳ昴昸㥤ㄳ㝥㙦扥晥㈹〱㔳戶搸搹㈸捥㘹挷㙦ぢ昴㉤捥攸挰敦搰ㄴ敡㕡收㕡㥤㥤㜶㝢敢晦挲慦㐰攰㉢㈵昸搵㝥戸㌸扦晦㄰昸㙤づ晣㥡㠶挰㌳改㤲搸㤸㌲㡦㤹昸㠵ㄲ㔶㉣㔴昳昷㈱晥戳㥦愴㌱晡㘱ㄵ搳扦㜸㔲㜰晤攲㐹㡤昸ㅡて戱㔳ㅢ㜸㐴搵捦㥣㌲㑦搲㥢〳愰㌷㌶㠰改㌳愱愳㐵搶搵挰㠴捣㝡㜸攴户㝡㐸㔳㔵㝢ㄸ㔶〳敦㥤攳昷㙢昰㕢搴慡㙡㔷㌶ㄵ㍡㤷ㄸ㑢散愶〳㤶㜴攲㝢㌴晡昱ㅥ敢㑢捤ㅡ㜴敤慥晣㠰㝢㤳扥㉤㡤㔶㝢扢戵扡慥愵戱搹㙥㍤愰㜳㐹㕤攳ち㔴㕢攰㤷㕡戰摤搵搵搵㤹ㅢ㘲㍥づ㘸㙣㙥㐷㈳㈳戳㥡ㅢ戹扤挷挳挳戵搵㈴㠲ㅡ昱㐹攰摤ㅤ挴晢挵扢㕢扥慢㥢搲挵㉦㌰㜱敥慡㌸ㄱ㌹㜸㜷昵㐵㥣㡡㠶ㅣ㙥㜳㈸㑢㤳㌸㐳㝢户㜰㝢晦〰慦㙢ㄲ敦〵㑥㘲㑢㡥㔸㌹㠹慤㍤㤳㌸て㜹㉡㈶㜱㤱ㅥ慥挱㍤摣㘵摡㍢捣敤扤慡㜲ㄲ慦〵㑥㘲㠴㝦ㄲ摢㜹㈶㜱㡤㜷ㄲ㌷攸攱㐶扡㠷扢㐵㝢㐷戹扤㙢㉢㈷昱㕣攰㈴㜶昴㑦㘲㈷捦㈴敥昲㑥攲㕥㍤㕣搴㍤摣㠳摡ㅢ㜳㝢ㅦ慢㥣挴攳㠱㤳㐸晡㈷㤱昶㑣攲〹敦㈴㥥搶挳㘵摤挳㍤慦扤㘳摤摥㔷㉢㈷昱㐰攰㈴挶昹㈷戱㥢㘷ㄲ慦㝢㈷昱戶ㅥ㙥㠲㝢戸昷戵㜷愲摢晢昷捡㐹慣ぢ㥣挴ㄴ晦㈴愶㜹㈶昱愹㜷ㄲ㕦攸攱㘶戸㠷晢愷昶敥敥昶㝥㕦㌹㠹㥢〳㈷㌱换㍦㠹㌹㥥㐹晣攸㥤㠴挰㙥㐲㙥愲㝢扡㠷慢搵摥㜹㙥㙦㍦㜸㕤㥢攸搵㠱㤳㔸攸㥦挴㕥㥥㐹っ㐰㥥㡡㑤㜴㐳㍤摣摥敥攱〶㘹敦㍥㙥敦攰捡㐹㕣ㅡ㌸㠹挵晥㐹㌴㝡㈶戱愵㜷ㄲつ㝡㌸换㍤摣〸敤捤戹扤愳㉢㈷㜱㙥攰㈴㙣晦㈴づ昰㑣㘲㐷敦㈴愲㝡戸㈶昷㜰㐹敤㍤搰敤摤戹㜲ㄲ愷〷㑥愲挵㍦㠹㌶捦㈴挶㜹㈷㌱㐱て㜷㤰㝢戸㈹摡摢敥昶敥㔱㌹㠹ㄳ〲㈷戱摣㍦㠹㤵㥥㐹捣昲㑥㘲㑦㍤摣㙡昷㜰ぢ戵昷㘰户昷㤷㤵㤳㌸㉡㜰ㄲ㠷昹㈷㜱戸㘷ㄲ㡢扤㤳戰昴㜰㙢摣挳搹摡㝢愴摢扢戴㜲ㄲ㠷〶㑥攲㘸晦㈴㝥攳㤹㐴㡢㜷ㄲ〷改攱㡥㜵て户㕣㝢㡦㜳㝢て愹㥣㐴㘷攰㈴㑥昴㑦攲㘴捦㈴づ昳㑥㘲㡤ㅥ敥㔴昷㜰㐷㙢敦㘹㙥敦昱㤵㤳㘸づ㥣挴ㄹ晥㐹㥣改㤹挴㠹摥㐹㥣慡㠷㍢摢㍤摣ㄹ摡㝢㡥摢晢㠷捡㐹ㄴ〲㈷㜱㥥㝦ㄲㄷ㜸㈶㜱㥥㜷ㄲㄷ改攱㉥㜲て㜷㤹昶㕥散昶㕥㔵㌹㠹㝤〳㈷㜱㤹㝦ㄲ㔷㜸㈶㜱㡤㜷ㄲ㌷攸攱晥攴ㅥ敥ㄶ敤扤搲敤㕤㕢㌹㠹〵㠱㤳戸挶㍦㠹敢㍣㤳戸换㍢㠹㝢昵㜰㌷戸㠷㝢㔰㝢㙦㜴㝢ㅦ慢㥣挴捣挰㐹摣攲㥦挴㙤㥥㐹㍣攱㥤挴搳㝡戸㍢摣挳㍤慦扤㜷扡扤慦㔶㑥㘲㜲攰㈴敥昲㑦攲㙥捦㈴㕥昷㑥攲㙤㍤摣扤敥攱摥搷摥晢摣摥扦㔷㑥㘲㤷挰㐹㍣攸㥦挴㕦㍣㤳昸搴㍢㠹㉦昴㜰㡦戸㠷晢愷昶㍥敡昶㝥㕦㌹㠹㐴攰㈴㥥昰㑦攲㐹捦㈴㝥昴㑥㐲㐰㈰㕦㑦㍣敤ㅥ慥㔶㝢㥦㜱㜹㙢〷愰戱摥㙦敦㔸㈸扤㌱摥〸㌷摢㜹晥づ㈵㝦捤㜰㜴㌳摥愶慤挷㡦㐷㍥㡢㜱㐴㍤つ㜲㤸捦愹〵㌶敡㌷㔴つ晣㐳㙢㈳㜷㑢っ㐲㡢㔳㌴㥦愷㝢㔳ㄵ㌳㕦㔰ぢ戲晦收慡㠱㝦攸扦㠵扢㈵戶㐴㑢昶㝦㤱敥慤㔵捣㝣㐹㉤挸晥つ慡㠱㝦攸㍦捣摤ㄲ㈳搰㤲晤㕦愶㝢㍢ㄵ㌳㕦㔱ぢ戲晦㐸搵挰㍦昴ㅦ攵㙥㠹ㅤ搱㤲晤㕦愵㝢㈷ㄵ㌳㕦㔳ぢ戲㝦㔴㌵昰て晤㘳敥㤶㐸愲㈵晢扦㑥㜷㕡挵捣㌷搴㠲散㥦㔵つ晣㐳晦戱敥㤶ㄸ㠷㤶散晦㈶摤扢愹㤸昹㤶㕡㤰晤㈷愸〶晥愱晦㐴㜷㑢㑣㐱㑢昶㝦㥢敥㘹㉡㘶扥愳ㄶ㘴晦ㄹ慡㠱㝦攸扦扢扢㈵㘶愱㈵晢扦㑢昷ㅣㄵ㌳摦㔳ぢ戲晦㥥慡㠱㝦攸㍦捦摤ㄲぢ搱㤲晤摦愷㝢㉦ㄵ㌳㍦㔰ぢ戲晦摥慡㠱㝦攸扦㡦扢㈵ㄶ愳㈵晢㝦㐸㜷愳㡡㤹ㅦ愹〵搹摦㔲つ晣㐳晦㥣扢㈵㙣戴㘴晦㡦改㍥㐰挵捣扦愹〵搹扦㐹㌵昰て晤て㜴户㐴ぢ㕡戲晦摦改㙥㔳㌱昳ㄳ戵㈰晢ㅦ愴ㅡ昸㠷晥敤敥㤶㔸㡥㤶散晦㈹摤㉢㔵捣晣㠷㕡㤰晤㔷慢〶晥愱晦挱敥㤶㌸っ㉤搹晦㌳扡て㔷㌱昳㜳戵㈰晢慦㔱つ晣㐳晦㈳摤㉤㜱㌴㕡戲晦ㄷ㜴晦㐶挵捣㉦搵㠲散㝦慣㙡攰ㅦ晡ㅦ攷㙥㠹ㄳ搱㤲晤扦愲晢㘴ㄵ㌳扦㔶ぢ戲晦愹慡㠱㝦攸㝦㥡扢㈵捥㐰㑢昶晦㈷摤㘷慡㤸昹㡤㕡㤰晤捦㔶つ晣㐳晦㜳摣㉤㜱ㅥ㕡戲晦户㜴㕦愰㘲收扦搴㠲散㝦㤱㙡攰ㅦ晡㕦散㙥㠹换搰㤲晤晦㑤昷ㄵ㉡㘶㝥愷ㄶ㘴晦㍦愹〶晥愱晦㤵敥㤶戸〶㉤搹晦㝢扡慦㔳㌱昳〷戵㈰晢摦愰ㅡ昸㠷晥㌷扡㕢攲ㄶ戴㘴晦ㅦ改扥㑤挵捣㥦搴㠲散㝦㠷㙡攰ㅦ晡摦改㙥㠹扢搰㤲晤㝦愶晢㙥ㄵ㌳昱ㅤ敦㜲㐷㉣晢摦敢敥㔱㝦㥦扢㈵ㅥ㐴㑢昶ㄷ散昱ㄷ摤扦摡摤晦ㄱ㜷㡦晡㐷摤㉤昱㠴敥摦㠷㍤㥥搴晤㙢摣晤㥦㜶昷愸㝦挶摤ㄲ昲㘹〳㜷换慣㐵て㝤〹昳改㐳ㅥ〹㌷攰挵㤱昰攷㜵摥ちㄵ㥦㈴愴慡捥㔱扤ㄸ愸攲㔳㠱㔴㠵ㅣ搵换㠱慡㔷戴慡扦愳㤲扢㜳摦扣戸㕢㤷戹㌶㜰㔴慦〷收攲捥㕢慡挲㡥敡捤㐰ㄵ㜷搱㔲戵㤱愳㝡㍢㔰昵㡥㔶つ㜴㔴㜲㌷敢㥢ㄷ㜷户㌲搷㈶㡥敡晤挰㕣摣愹㑡搵㘶㡥敡挳㐰ㄵ㜷㥤㔲戵㠵愳晡㌸㔰昵㌷慤ㅡ攲愸攴敥捦㌷㉦敥〶㘵慥慤ㅣ搵愷㠱戹戸戳㤳慡愱㡥㑡敥捡㝣戹戸㑢㤳慡㘱㡥㑡敥戰㝣㉡敥戸愴㙡戸愳㤲扢㈵㥦㡡扢㈷愹摡搶㔱挹㥤㡦㑦挵㥤㤰㔴㙤敦愸攴㉥挶愷攲慥㐶慡㐶㌹㉡戹㈳昱愹戸㐳㤱慡ㅤㅣ㤵摣㕤昸㔴摣㙤㐸搵ㄸ㐷㈵㜷ち㍥ㄵ㜷づ㔲ㄵ㜱㔴㜲搳昷愹戸ぢ㤰慡㤸愳㤲ㅢ戸㑦挵つ㕤慡ㄲ㡥㑡㙥挶㍥ㄵ㌷㘷愹㑡㐹㔵㔸㙦㠶㠲摢愷㍣㐵昵挸㌷捥㈹慡㠹攸㕢㠷摦㤵攵㈶㈹〳て㝢〲摣ち㘵攰㉦㥥〰㌷㍣ㄹ㜸挸ㄳ攰戶㈶〳て㝡〲摣扣㘴攰〱㑦㠰㕢㤴っ摣敦〹㜰㈳㤲㠱晢㍣〱㙥㌷㌲㜰慦㈷挰㑤㐵〶敥昱〴戸㜵挸挰摤㥥〰㌷〸ㄹ昸戳㈷挰㙤㐰〶敥昲〴戸摡换挰㍡㑦㠰㙢扡っ慣昵〴戸㜲换挰㥤㥥〰搷㘷ㄹ戸挳ㄳ攰㉡㉣〳户㝢〲㕣㙢㘵攰㌶㑦㠰㉢慡っ摣敡〹㜰摤㤴㠱㕢㍣〱慥㡥㌲㜰戳㈷挰㌵㔰〶㙥昲〴戸搲挹挰㡤㥥〰搷㌳ㄹ戸愱㌲搰敦晦〱〸㐳㠷㥦</t>
  </si>
  <si>
    <t>㜸〱捤㥤〷㜸ㅢ㔵昶昶㝤ㅤ㝢攲㔱ㄲ㍣㐰㐲㑢㠰㌸㄰㕡㈰愸㤷㐰㈰挵㐹㐸㐸㠱㌴㕡㔸㌳㤲㐶㠹㠹㑢㜰㐹愱㠷愵㐳攸㉣㥤搰敢搲〹㌵㉣㑢㕤㝡㠷愵㐳㘸ぢ㉣㉣㘵㈹扢戴㝣敦㝢㘷慥㌴㥡ㄹ摢昱晥昷㝢㥥㤵愵攳戹攷扣昷摣慢㥦㐶㈳㘹收㐸㔳㈱㉡㉡㉡搶攲挲晦扣㔴㜱㘱挸慣㘵敤ㅤ㔶昳挸昱慤㑤㑤㔶慥愳戱戵愵㝤攴搸戶㌶㜳搹搴挶昶㡥㍥㄰㘸つ㡤㠸户㔷㌷戴㌷ㅥ㙡搵㌴㉣戶摡摡㈱慡慥愸愸愹搱㉢ㄱ摦搴戹ㄹ慡愱戳㤷㕥㐵〳㔵㠵慥搱昴愵愹愱搱㘹㐲㌴晤㘸晡搳っ愰㔹㡦愶㤶挶愰㔹㥦㘶〳㥡つ㘹〶搲っ愲搹㠸㘶㘳㥡㑤㘸㌸扥扥ㄹ捤㘰㤸晥㐳㘰㘶㡦ㅦ㌷㈳㝢㌰敥捤慣㡥搶㌶㙢挷愱㜳敤㌹㡦㡥㐴㐶攲㉦ㅥ㑦㡦っ敦㌸㜴㝣㘷㔳㐷㘷㥢㌵扡挵敡散㘸㌳㥢㜶ㅣ扡㔷㘷戶愹㌱户愷戵㙣㜶敢㐲慢㘵戴㤵つ挷戲㘶㍣ㅤ㠹㈷ㄲ㠵㑣㈶摤㝦㜳㘴㥥㍥㝥摣㕥㙤㔶愱晤扦㤵㜳ぢ收㥣㌱㝥摣挸改㔶挷㝦㉢攷㤶挸㠹㤴昵慤捤㘶㘳换㝦㈹㘹㌵ㅦ搳㐴扤㤵㙢攴㠳㙦㔹㙤㡤㉤昳㐷㘲摡㘵愰搱㑡㡤ㅣ摢摥摥搹扣㠸敢搱㜸慢愹㘹愶㔵㤰て㝡㜳㝤㝢挷㕥㘶㕢㜳㝢晦㘶昲戳摡慣㤶㥣搵扥㕥昳㠴愵㌹慢挹ㄱ戶搷㌴捦㌵摢愶㥢捤㔶ㄵㄷ㙡㥢敤挷㜰㜲摥㙡改㘸散㔸㌶愰㜹㑥扢㌵搳㙣㤹㙦㔱㔲摤㍣愹戳㌱㉦慡慡㜰慤攸戳㙤搰捣攴〳㠵昹㌴㡦㕦㘰戶㜵挸ㄶㅦ挲㐸㤰搶戵扡挸㝢㔱㌶㉦慥㔲㐳㍤扤昸㤸捤㙡㙣摥搳㙡㙢戱㥡㌸〸ㅦ挹ㄱㅥ㤱〴㘴㍦づ㐵㔲敡敥昰㔱ㄲ晤㥣㈷ㅦ敦ぢ㐷搱㠶挲㙣㍡扤戵慤ㄹ㉢攴㌴换㙣ㄹㅤ〹㠷㜷㥣搵㤱慦户ㄶ㡦㡥㈶昴㍡㠴昵㘱ㄴ㙥〵搳慦摥㙡㌶㕢昲愳愲愹挸㈸㝤㙢㠶㠶挳㠸慡㌷昱ㅣ㜷㘷收昳慣戲挱慣㙣挸㔶㌶攴㉡ㅢ昲㤵つ㔶㘵㐳愱戲㘱㝥㘵挳㠲捡㠶挶捡㠶㠳㉢ㅢㄶ㐲愳㉥㌵㝤晢㔶㍡㤷㈷て扢㝥昲㤴愳㤷捤㌸昹㤵㜹㙦㡤㌸昸攸㤹㠲㑦㙢戹㔵搸ㄶぢ摤捣㜴㍢㠴昵敤㘱戴ㅤ㘰㡡㌳㑤㈴㐷改㈳ㄸ摡ㄱ㐶㠸㤷㌱㔳捥昶挰㤵慦㝥㝢攸攵敦㑤㍤慦㘳捡㌳㤷㝥㕦昷戹攰㠶㐳づ㌳ㄲぢ摤っ戳㌳㜳㠵㘱戴〸㑣㜱㤸㘴㘶㤴ㅥ㘵㈸〶㈳挴㌳捥㌰㠳敥㕥㍤敡挴㉤㌳㤳㔷て慦㥣昵搴挳㐷㝣㉢戸㘹㤲挳㈴戰搰捤㌰㐹收㑡挱㘸㘹㤸搲㌰攰㥥㘱㘸ㄴ㡣㄰㡦㌹挳扣㜹挰捡敢扥㍥攸戵愹搷㍣㍥扡㘶昹ㄴ攳㕤挱㡤㥦ㅣ㘶㔷㉣㜴㌳捣㘸收摡つ㐶摢ㅤ愶㌴㑣㜴㤴㍥㠶愱戱㌰㐲晣挹ㄹ收摢昳㥦ㄸ㝦晣㔱昳㈷ㅦ昳㐳㘷㘸摥㤱攷慥ㄲ㝣愶挹㘱挶㘳愱㥢㘱敡㤹㙢〲㡣㌶ㄱ愶㌸㑣㉡㍥㑡㥦挴搰ㅥ㌰㐲摣敤っ㜳挰愰愵攳㔶㙦㜴挴ㅥ户慥搸昹攵㔷搶㕣昷㤳攰〶㕣づ㌳〵ぢ摤っ戳㈷㜳㑤㠵搱愶挱ㄴ㠷㐹攰戱㤹捥搰っㄸ㈱㙥㜵㠶昹攵戰扤愶ㄴ搶㥥㌲昶㠲晥㕢摣㜶晡收㙤挳〴㕦㈲攴㌰㝢㘳愱㥢㘱㘶㌲搷㉣ㄸ㙤㌶㑣㜱㤸㔴㘲㤴㍥㠷愱戹㌰㐲㕣敦っ戳昱㈶昷㉤扢㜰慢〹㘳㉦㥤摥㌴㍢㝡攴㌱㝤㐵㍦㠴攵㌰晢㘲愱㥢㘱昶㘳慥晤㘱戴〳㘰㡡挳㈴昰搸捣㘳攸㐰ㄸ㈱慥㜰㠶戹攷搸挱㙢て摦户㘲摣㐹晦㍥扢㘱搰ㄵㅦ㙦㉢昸㌲㈷㠷㘹挰㐲㌷挳ㅣ㠴戰㙥挲㘸㔹㤸攲㌰愹昰㈸㍤挷㔰ㅥ㐶㠸㡢㥣㘱㙡慥㕡晦㥡㤳㈳戳愶㕥㌱㈰㍡戲㉥㔵㌵㔱昰㠵㔴づ㔳挰㐲㌷挳捣㘷慥〵㌰㕡㈳㑣㜱㤸㘴㙣㤴㝥㌰㐳ぢ㘱㠴㌸挷ㄹ愶㝡晢搳㍢㑦摡散敥㌱㉢攲㙦攸㤷㥥扦换〹㠲㉦搵㜲㤸㘶㉣㜴㌳㑣ぢ㜳戵挲㘸㡢㘰㑡挳攰摥ㅣ挲㔰ㅢ㡣㄰㉢㥣㘱㉡慦ㄹ戲昹〹晤づ摦攳扡晣挷愹晤㈷㜵摥㈱昸㘶㐰づ搳㠱㠵㙥㠶改㘴慥挵㌰摡ㄲ㤸攲㌰㠹搴㈸㝤㈹㐳换㘰㠴㌸摥ㄹ愶晥戸摡攷㤶㙤昷捥搴㡢摥晥昹挲戳㥢扦㘹㄰㝣扢㈱㠷㌹っぢ摤っ㜳㌸㜳ㅤ〱愳ㅤ〹㔳ㅣ㈶㠹攷捤㔱っㅤつ㈳挴㔱捥㌰搳〷晦㙢晦挵搷扣㔹㝦㐹㜳敡攳晤捥㍣扦慦攰ㅢㅡ㌹捣㌱㔸攸㘶㤸摦㈳慣ㅦぢ愳ㅤ〷㔳ㅣ㈶㠱㡤捤昱っ㥤〰㈳挴㔲㘷㤸挷㡦㕤㍢㜳敥愷㉦㑣㕦摥晦晤㙦㤶㍦㜲㘲愷攰㕢㈶㌹捣㐹㔸攸㘶㤸㤳㤹敢ㄴㄸ敤㔴㤸搲㌰㔸〵㔶㌰㜴ㅡ㡣㄰㠷㌸挳散戵挱ㄵ㙢㉦摥攲戴晡愳㙦㙡㜸摤㥡戲㔱㕣昰㑤㤹ㅣ收っ㉣㜴㌳捣㤹捣㜵ㄶ㡣㜶㌶㑣㜱㤸㘴㝡㤴㝥づ㐳攷挲〸㜱戰㌳㡣㜵晣㙤搷户㡣扦㝣晣㙤㌳敥㜹攷挲㐱㝤㥦ㄵ㝣摢㈷㠷㌹てぢ摤っ㜳㍥㜳㕤〰愳㕤〸㔳ㅡ〶㕢㠱㡢ㄸ扡ㄸ㐶㠸㥣㌳捣㈹ㄷ摦搹晣捡戵㐳挷㥦ㅡ摢㝣换昹㡦ㅤ㜰㤷ㄸ㠴戰ㅣ收㔲㉣㜴㌳捣㑡收扡っ㐶扢ㅣ愶㌸㑣〲慢挰ㄵっ㕤〹㈳挴㍣㘷㤸搰捦昳慥晦愴㜵挰攴㕢捥㝡晡扥㡢㔶慦㌸㐷昰慤慢ㅣ收㙡㉣㜴㌳捣㌵捣㜵㉤㡣㜶ㅤ㑣㜱㤸ㄴ㌶㌶搷㌳㜴〳㡣㄰㜳㥣㘱㍥㝦㙦昰戴攳敦㕦㌵昹愲晡ㄵ慦㍥㤷敥ㅣ㈱昸收㔸づ昳㐷㉣㜴㌳捣㑤捣㜵㌳㡣㜶ぢ㑣㜱㤸㈴㕥愴㙦㘵攸㌶ㄸ㈱愶㍢挳㝣㜲敦扤挷㍤㜹搸攲㜱㘷愷ㅦ敢晢搳扥扦㉤ㄲ㥢㈰㉣㠷戹〳ぢ摤っ㜳㈷㜳慤㠲搱敥㠲㈹づ㤳挰㘳㜳㌷㐳昷挰〸㌱挹ㄹ收愹户㠷㜶搴慦戹㙦晡㤵攳〶㑦㍢㜸攳搸つ㘲㔳㠴攵㌰昷㘱愱㥢㘱敥㘷慥搵㌰摡〳㌰愵㘱戰愶晤㠹愱〷㘱㠴ㄸ攳っ昳攰㠲㈷〶摤㤱晤㜰捦㤳㜳愷ㅣ戱昳㔶㈷扦㈰㌶㐳㔸づ昳㄰ㄶ扡ㄹ收㘱收㝡〴㐶㝢ㄴ愶㌸㑣ち捦㥢挷ㄸ㝡ㅣ㐶㠸㡣㌳捣㕤愱㝤㝥摡敤搶晡戱㘷㕦㝢摦扥㉢捦晦㈲㉡〶㈳㉣㠷㜹〲ぢ摤っ昳㈴㜳㍤〵愳㍤つ㔳ㅣ㈶㠹㙤摡㌳っ㍤ぢ㈳㐴搴ㄹ收敢㉢攷っ搸攵扣㌳愶㕤搹㝡挴㥤改挴扥搳晢㍦㡦昰摥捥扢换晡㌶㜳〹摥慦㤷㍥ち㐴㐷㠶昹搷昳㘷㈰㝣〴㉡㈴ち愹㐲㈴㤲㑦㠴捤㤸㔹㕤㠷戴敢晡㘶㥢㥢搵晥㠵㝤ㅡ㕢昲慤㑢攴扢敦㈱攳捣㜶慢昴㘶㝣㠴ㄳㅢ搷摡搹㤲㙦ㅦㅣㅣ㥣搵㘱㜶㔸㥢㜹㘳愵㈴扥㙥戳昰搹挴㙡㤷攳㙤攱敤㌶搷㙣敡戴挶㉥㙤戴挳㥢㝢挲昸㘴搲㥡敤㍡㍡戱捤㍡愴ㄸ昵捤㘸㉣㍥㍡㉦㤶戹㝤昷搲づ搹昳ㅡ㍡㝥㐱㙢扢搵㈲愷㌷愲㜹慦挶摣㐲慢㙤㤶挵て摥㔶㕥摥搵㐱っ㌹ㅦ㡦㐶捣㘸挱ㅤ挵〷㥥晣㌰户户㌰㘱㘹㠷搵㤲户昲㤸敦㈲慢慤㘳搹㙣㌳摢㘴㙤㔴㈶戱挷㐴㘰搳㌲昷挴搶㕣㘷晢昸搶㤶㡥戶搶愶昲挸搸晣㘲ㄳㅦ挹昲搳㕡昳ㄶ㍥㔱㔵昱㔲㈱㉡晡昴ㄱ愲㘲㠷愰㡦㌵捣摢㍥㔲㍥㄰慥㠷㜸㜳㍣收㥢㤴慦㜶㈳㘷攲摥攱㕥㌴㔹㕣㈷㉢户敥㈱㤹捣换㌴摢㜷㉤㜴摤㈷敥愵愰㝡扢慥搵㜲㡥挵㐷敥晦慦戸戲㜲㐳攷摥㑦㔸㡣㡦慤㝢攰攳㔹㤳搵搶敤㍥ㄶ挱ㄹ改㉦挰㔴敦㡣㘷㜳㤷昴慡愰㄰㑢挵戲敡㈵㡤昹㡥〵摡〲慢㜱晥〲扥㉦挲㝥㤸㥡ㅡ愲昵㕤昴㤷攰搲㕦愶㜹〵㈶ㄴ慡搰㕥愵㐸ぢ改慦搹敤敡㘱昸摦晢て挴㤵攸愵换て攰搸㕢搲㕥摤㍣戱戵慤扤㑦㥦愰㝢戹㠷搹扥愰㠳慢㘷昷㐱收晢㉢捤敢㌰搵㕢挳昴昸㜹扢ㄶ愲㉡敥㔶ㄸ搰㕣㙦ㄵ㑣散捣㤱捦㙥㘱㔶㌷摢晢〷敡慤昶㥣捥ㅤ〹㤳昱㕣㔹慡㘱〹㑦晥晥捤㕣晢慤愵ㅤ昵㘶㠷搹户ㄹ扢㈴昰㈸改㄰㡤㤰扤散㈵昶ㅣ㈰㝤慡㜷挸㘹㈱㠳㈱ㄷ㕤㔹晡㐹㠷㥤〹㑦ㅣ㍣㕦㉡晡㌸戶晢㍢㠱戹㙦㠱㍢愱㜹㔷昴昲㕤ぢ搸攳㤱㥦㘴戵捣㕥戶挸㙡愷扣㐶敢ㄶ愵昷改挵㘴㌳㜲搹㌹ㅤ㡤㑤敤㈳㌱搳㐹㙤慤㥤㡢晥㥢㜹㤸㑢㝦〳㐶㕤慡户挱㕡扣敥昷〹戸㉡晡㉥收㘳搳搰㔰㔱挳㙣昴攸㕢搱㜰㙤㐵戲戵昸㈷㉦晡㍢昸ㄷ敡㉥㔶㍤ㅣ㡡ㄱ㐱摢㠲㉥㜶挳㔴㐳摦扦ㄹ㠴㘶户㔹㜲挷㔲㡤㙣㠰昶㠰收㝤㕡摢ㄶ㘶㕢㕢ㄷ㜲㝤㕡㑦戶摡ㄷ㔸㔶〷㜷搶昴㜳㜶㑥挹㥤㔰㐲昴改㔳戶扦挵戵㔷㘷㑢攴搷搶挰っㄸ摢搴㌴㔴㘵㙣搷㍥㠰慢て㜶ㅢ㘹ㅦ㘲㘱挸㡣戶扣搵戶搳㥣㐵㍢捤㙥ㅤ㡡扤㑡㥤㑤愶扤㈳㜶㘹㔳晢㔲㌱〴〴戸㤳攴敥攱㠵㈳㥦ㅡ昸收搸㑢愶㔶㍦户换㐹摢㤹㘲戰ㄳ昰敤愴搹づ㌹敢㜰搳㍦㠱ㄱ㥢㐲挶㉤ぢ㤶换㉦晡愷㘸敢㥦搱㝣づ㠳敤㠳㈴㡥捤挳ㄷ㜶㔳㙣㡦晦摣㐴攸㕦搲晣〳㐶㡣㠰攱ㄳ㔴晦ち㐶㕤㠴㠱晣㝣摣攵㘳户〳摣晥挷敥㥦昰㠶昴㙥㘲㘲㐷㈸昸昸改攴愵㤳㤰㑥㍡㐲㐳攲㐰〰搵㑥挰户晢㘸㘷㜴㤳〰㝥㘱晦㍥㤰〵〳昸㡤㘳㄰㡣捥戵捥〵愰搲㙥㡡㌰㘲ㄲ㐰ㅦ㌸㜴敥㌰ㄷ㔱戸㈴㠰㙡戴搴㐵晣昴㥢ぢ㐰〴㙥㍦〰㥤㌹昵㙥㘲㈲㠶㝥㐱〰扥㐶昲㐰〰㕦㌹〱摦㡥慤㈴㌲搵㜱ㄶㅢ㜰捡㕦㐲ㄶっ㘰㈰挲晡㈰㥡㡤㘰㕣〰㌶戱㥢㈲㠵㈴ㄲ挰愶ㄴ㙤〶㈳㌲㜰㐹〰㠳搱㔲ㄷ昱㤱ㅢ㐰ㅡ㙥㍦㠰㉤㤹㔳敦㈶㈶㐶愱㕦㄰㠰㌷扢〲昰㠶ㄳ昰敤㜲ㅢ㡤㑣㜵㥣挵㜶㥣昲㕦扢〴戰〳挲晡〸㥡ㅤ㘱㕣〰㐶摡㑤戱ㅢ㤲㐸〰㍢㔳ㄴ㠶ㄱ㘳攰㤲〰㈲㘸愹㡢㜸捥つ㘰㜷戸晤〰ㄲ捣愹㜷ㄳㄳ㘳搱㉦〸挰愳㕤〱㜸挴〹昸㜶〶搶㈳㔳ㅤ㘷戱ㅢ〶ㄵて㜵〹㘰っ挲晡㔸㥡㜱㌰㉥〰昵㜶㔳㑣㐰ㄲ〹㘰〲㐵ㄳ㘱〴昷ㄲ㑡〰㤳搰㔲ㄷ㜱㡦ㅢ挰㐴戸晤〰昶㘴㑥扤㥢㤸搸〳晤㠲〰摣摣ㄵ㠰㥢㥣㠰㙦㌷攵㥥挸㔴挷㔹捣收㤴㙦散ㄲ挰㕣㠴昵㝤㘸昶㠵㜱〱搸摦㙥㡡愹㐸㈲〱ㅣ㐰搱㍣ㄸ㌱ㅤ㉥〹攰㐰戴搴㐵㕣攱〶㌰つ㙥㍦〰㤳㌹昵㙥㘲㘲〶晡〵〱㌸扦㉢〰攷㌹〱摦づ搴㤹挸㔴挷㔹ㅣ捣㈹㥦摢㈵㠰㈶㠴昵㘶㥡ㄶㄸㄷ㠰㐵㜶㔳捣㐲ㄲ〹攰㄰㡡摡㘰挴ㅣ戸㈴㠰㜶戴搴㐵㥣敡〶㌰ㅢ㙥㍦㠰㈵捣愹㜷ㄳㄳ㜳搱㉦〸挰㌱㕤〱㔸敥〴㝣扢㜶昷㐳愶㍡捥攲㘸㑥昹愸㉥〱ㅣ㠳戰晥㝢㥡㘳㘱㕣〰㡥户㥢㘲㝦㈴㤱〰㑥愰攸㐴ㄸ㌱て㉥〹攰㈴戴搴㐵㉣㜶〳㌸〰㙥㍦㠰ㄵ捣愹㜷ㄳㄳ〷愲㕦㄰㠰愶慥〰㉣㜴〲扥㥤捥〷㈱㔳ㅤ㘷昱〷㑥戹戱㑢〰攷㈳慣㕦㐰㜳㈱㡣ぢ挰挵㜶㔳㤸㐸㈲〱㕣㐲搱愵㌰㈲〷㤷〴戰ㄲ㉤㜵ㄱ〷戹〱㘴攱昶〳戸ㄲ晡㤰摥㑤㑣攴搱㉦〸挰摣慥〰捣㜱〲扥摤攱摣捤㕤挷㔹晣㤱㔳㥥搵㈵㠰㥢ㄱ搶㙦愱戹ㄵ挶〵攰㜶扢㈹ㄶ㈰㠹〴㜰〷㐵㜷挲㠸㠳攱㤲〰㔶愱愵㉥㘲㡡ㅢ㐰㈳摣㝥〰昷㌲愷摥㑤㑣㉣㐴扦㈰〰㘳扡〲戰扢ㄳ昰敤愸㙦㐱愶㍡捥攲㘱㑥㜹㜴㤷〰ㅥ㐵㔸㝦㡣收㜱ㄸㄷ㠰㈷散愶㘸㐵ㄲ〹攰㐹㡡㥥㠲ㄱ㠷挰㈵〱㍣㡤㤶扡㠸戸ㅢ挰㈲戸晤〰㥥㘷㑥扤㥢㤸㘸㐳扦㈰〰㍢㜴〵㘰㝢㈷攰㍢㠴搰㠹㑣㜵㥣挵敢㥣昲戶㕤〲㜸ㄳ㘱晤㉤㥡户㘱㕣〰摥戵㥢㘲㌱㤲㐸〰敦㔱昴㍥㡣㔸ち㤷〴戰〶㉤㜵ㄱ㕢戸〱㉣㠱摢て攰㘳收搴扢㠹㠹㘵攸ㄷ〴㘰㘰㔷〰㌶㜴〲扥㠳ㅢ㠷㈳㔳ㅤ㘷昱て㑥㜹晤㉥〱㝣㡤戰晥つ捤户㌰㉥〰摦搹㑤㜱〴㤲㐸〰摦㔳昴〳㡣㌸ち㉥〹攰㐷戴搴㐵搴戸〱ㅣ〹户ㅦ挰捦捣愹㜷ㄳㄳ㐷愳㕦㄰㠰摦㝥敤攲慤昰慦㑥挰㜷搸攵昷挸㔴挷㔹㔴㔵㘲捡㍦㐳ㄶ晣㔶㔸㐳㔸敦㑢㔳〳攳〲㄰戲㥢攲㔸㈴ㄹ挶㐴晤㈸敡て㈳㡥㐷㔳〲ㄸ㠰㤶扡㠸㙦㌱㐶昱挳搰㜱㜰晢〱慣て㝤㐸敦㈶㈶㜸㤴㈷〸挰愷㕤〱昸㥢ㄳ昰ㅤ㄰㍡ㄹ㤹㈴㠰捤㌸攵㡦扢〴㌰〴㘱㝤㜳㥡㉤㌸扢搲愷挱愱㜶㔳㥣㠲㐴挳㜸㜷敡㈸ㅡ〶㈳㔶愰㈹〱㙣㠵㤶扡㠸户摤〰㑥㠵摢て㘰㕢攸㐳㝡㌷㌱㜱ㅡ晡〵〱㜸愹㉢〰㉦㍡〱摦愱慡㌳㤱㐹〲〸㜳捡捦㜷〹㈰㡡戰ㅥ愳㠹㜳㜶㈵〰㐹扢㈹捥㐲愲㘱扣㍢㈹㡡搲㌰攲ㅣ㌴㈵㠰っ㕡敡㈲ㅥ㜷〳㌸ㅢ㙥㍦㠰搱搰㠷昴㙥㘲攲㕣昴ぢ〲戰扡㉢〰昷㍢〱摦㐱戴昳㤱㐹〲㤸挸㈹摦摢㈵㠰㍤㄰搶㈷搳㑣攱散㑡〰愶摡㑤㜱〱ㄲつ攳摤㤹㐶搱㜴ㄸ㜱ㄱ㥡ㄲ挰っ戴搴㐵摣敡〶㜰㈱摣㝥〰戳愰て改摤挴挴挵攸ㄷ〴攰㥡慥〰㕣敤〴㝣㠷昷㔶㈲㤳〴㌰㡦㔳扥戲㑢〰扦㐳㔸㙦愰㌹㠸戳㉢〱挸摡㑤㜱ㄹㄲつ挳㑤捦㔱㤴㠷ㄱ㔷愰㈹〱㔸㘸愹㡢戸搰つ攰㜲戸晤〰ㅡ愱て改摤挴挴㤵攸ㄷ〴攰㡣慥〰㥣敥〴㝣〷ㅥ慦㐱㈶〹愰㡤㔳㕥搱㈵㠰づ㠴昵㑥㥡挵㥣㕤〹挰㔲扢㈹㜸㔰㜲ㄸ敦捥㌲㡡づ㠵ㄱ搷愳㈹〱ㅣ㠶㤶扡㠸㘳摤〰慥㠳摢て攰㈸攸㐳㝡㌷㌱㜱〳晡〵〱㌸戴㉢〰换㥣㠰敦㤰攸㑤挸㈴〱㥣挸㈹㉦改ㄲ挰挹〸敢愷搰㥣捡搹㤵〰㥣㘶㌷挵捤㐸㌴㡣㜷攷㜴㡡捥㠰ㄱ户愲㈹〱㥣㠹㤶扡㠸ㄶ㌷㠰㕢攰昶〳㌸ㄷ晡㤰摥㑤㑣摣㠶㝥㐱〰昲㕤〱挸㌹〱摦挱摡㍢㤱㐹〲戸㤴㔳㌶扢〴㜰ㄹ挲晡攵㌴㔷㜰㜶㈵〰㔷搹㑤戱ち㠹㠶昱敥㕣㑤搱㌵㌰攲㙥㌴㈵㠰㙢搱㔲ㄷ戱慦ㅢ挰㕤㜰晢〱摣〸㝤㐸敦㈶㈶敥㐱扦㈰〰搳扢〲㌰捤〹昸づ㈳摦㡦㑣ㄲ挰㥤㥣昲㥥㕤〲戸ぢ㘱晤㙥㥡㝢㌸扢ㄲ㠰晢散愶㔸㡤㐴挳㜸㜷敥愷㘸㌵㡣昸ㄳ㥡ㄲ挰〳㘸愹㡢ㄸ攷〶昰〰摣㝥〰て㐱ㅦ搲扢㠹㠹〷搱㉦〸㐰扡㉢〰㈹㈷攰㍢挰晤㌰㌲㐹〰㑦㜱捡㠹㉥〱㍣㠳戰晥㉣捤㜳㌰㉥〰㉦搸㑤昱〸ㄲつ攳摤㜹㤱愲㤷㘰挴㘳㘸㑡〰㉦愳愵㉥㘲㐷㌷㠰㐷攱昶〳昸㉢昴㈱扤㥢㤸㜸ㅣ晤㠲〰っ敢ち㐰㥤ㄳ昰ㅤ㝡㝦ㄲ㤹㈴㠰昷㌹攵㉤扢〴昰〱挲晡㠷㌴ㅦ㜱㜶愵㌵攰ㄳ扢㈹㥥㐲愲㘱扣㍢㝦愳攸㔳ㄸ昱っ㥡ㄲ挰㘷㘸愹㡢搸挸つ攰㘹戸晤〰扥㠴㍥愴㜷ㄳㄳ捦愲㕦㄰㠰晥㕤〱攸攷〴扣㐵〱搵㉦㈰㔳㉦づ收昶攳㠴ぢ㜳ㅢ慤㈵㍣晡戴㕥〱昵户攳㍢摢㍢㕡攵愱戲〱㠵晡搶改慤ㅤ昵㡤敤㡢㥡捣㘵ㅢㄶ㥣㠵㝤ㄶ㔸㉤㌸㤰摤㠶攳搹ㅥ㕦敢愲㐵㔶㕥㉦捣㙡敤㙣换㔹㤳敢晦ㄷづ㜴攳晥攱愱㤳挷戸㉢〵㉥晦搹戱摢ち昴挴㕡㠲㑢㐵昵㑢㐸攸㍤〴㈷慢㠰㕤㠷换攵愲〱㘱㙤㠹攸散挶㡥㈶慢㕦㐱ㅥ慡㤶换㌵〵㔰㐴㜵㐰扥㙦㘱昶〲ㅣ㥡慡ㅦ㔰㤸搴搶㤸㙦㙡㙣戱昸㘰っ戴愵㔳慤昹愸〴搸慢戵扤㤱挷㡢〶ㄴ㘶户㤹㉤敤㡢㜸㔰㌳户㙣㠳戲㤶㍣晡㔹㕤ㄸ搷搸搲㡥㘱攴愳挸攵摡挲慣〵慤㑢㔰晢摦搹摣㌲挹㕣搴晥㍦昱愸〸㍥㉣昲㈲ㅦㅡ㔱㈹㉡㉢㐵㑤㘵捤㝦晡昸㘸㍦攰㌹戶愱㕤㔵㍤ㄴ敢㘹㐷㕢㘳戶㤳挰攴ㄸ㔱搸㉡ㅡ昹ㄸ㔶㔴扦㡣㈵敦攱㑢搷㐳攸愹㍤攰㕣换㙡摡〳て㠳ㄷ扦㔰戱㌹攴晡㡦㤸㑥晦㝦挱㑣㤹㌴㘷㜲愹㉡攷晦昴敤㠴敡㔷㤰㜹㥤㡢㈰〶㐱扣㥥扤ち戱㌰㠲㙢ㄴ㥥㤹㔸ㄳ搸昲慥㤶愱㠲搴㜰つ㕤慦戴㌸ㄱ挷搱晢ㄷ愶㥡㔹慢〹㠷晦㥢捤㡥昵散〶㡦扤愲㝡扤摤㠹㡤㙦㙤㙥㌶戹捡戱〶㝦㔶捥㙣戲㙡ち㘳㍢㍢㕡愷㌵戶攸〵ㄸ戹㕥㍡㉥㜳㈹㕣收㔲晢㐰㝤㘱㈶换㠲攴㌲㜳戵捥㌷摢ㅡ㍢ㄶ㌴㌷收㙡搸㘰改捥晦挴扡㡡敤㐷ㄵ㘰慡㡢摡㤶㜸㡦晣摢挷摦昱㜰㡦㐴戱っ搱昱攱挷ㅡ㕤㈹㌴晣㠹晦戰㙡〴㕢ㅥ昹㠲愲晦㠴㙣搵戸挹㑤㤱㥣换搷昲㔰㉣ㄶ扦㍥ち慢愸摣㌸㠹搷㈸挰㑤晦ㄹ㔲㉥昰㔶昵㔷㤸㙥㑢ち晡㐲㄰㥡摡㙡收㈷㥡㌹㝣㥦愶慦昳㙤㥡ㅡ㍣戴摣搴戴ㄹ㉣昲ㄸ㡦扡㈱搴㈳㉤㙥挴㠱散ㅡ㍡㘶攱摢㐲㔵㉣て搱散挷㄰㠷扢晢㔴㔴㔷昷慢〹ㅡ㙢戲捡戵戵㜳攸摣晤㙤愴挹扥晣㕦散㥤摥㥤昷㌶ㄴ㤲㉦㔱扦㘰㔹晦㤵昷改㜵㌸㜹㝦㍣㠲摦㈸㔸ぢ㔳晤〶㠲摥挷愶扣摥〲㔵ㄹ㍡㐴㔵昲㝢㈸慣〴愹㐱搵㠴㉣㈱愹㤶㜷愴㥦慢昴㐳戳慢㍥㙡搴㤷㕢戴㔹㔸换慤㝣挸摥扥戲挴〴慦っㄵ㤵㤵㔵㜸愸㌵㙦搹㥣㙦㔸㈴㙢㥥㘵挹㥡㄰戱〵愶愰戱㑥㜰㐳㍥㔹㤰扦挱晤㕤㡦㔷ㄱ挵㌱敤戵昸㈷㉦愱㤰㕥〹㙤㐵㐸扣〳慢〰昴愷挷㈶〴昴搸晦〵㈳㍥㠱㤳㙦〳㕣㉦㕡攲㔳㌴昹挲㠵扤㝡㘰㈴㉦㥥㡤愲昸っ㕥㙥ㄸ㜵㡤㐹㍥挷ㄲ户㌷挵昵慦〶摥㥥搷扦㉦搸〳㌷㥤摦㄰㔳敢㥦昸ㄲㅥ㌵㘵づ敦㑣㌹〴㡤摥㡦挲㝦〴ぢ晡㔳㌰㠰㠲慦㈰攰〳慢慤㠷㤶てㄸ扦㜲ㄲ〰捣㠰ㄶ挰晥改㑡敥〲戶㍥㤳㙦挰攴扦㐰攰〵昶ㅢ㝣㍤〰攳㘳㈳㠱つ㘴ㄲ摥摢㌲㘰ㅢ挱摢㌳戰㑡㜴㤳挰㌶㤶㐹散㠶㘰㈹㐲〰戰㑤愰搱㌷愵㤰㘵ち〱㠲捤㈸ㄸ㑣〱㉢ㄷ㈴戰㈱㘸昹㠰昱换㌳〱挰戶㠰ㄶ挰㔸挵愰㤲扢㠰㙤挹攴㐳㤹㥣ㄵ〷㕥㘰㉣㌳攸〱ㄸ㡢㄰㈴戰㘱㑣挲㙡㠴㌲㘰㕢挳摢㌳㌰㔶㉤攰㡡㉦㐲㌱〹ㄶ攴㡤愵ぢ㙡捡慥㌵㙣ㅢ㘸昴㙤㈹㘴㔹㐳㠰㘰㍢ち戶愷㠰㤵づㄲ搸づ㘸昹㠱愱㌲㍦〰搸㡥搰〲搸㤶慥攴㉥㘰㍢㌱昹㐸㈶㘷㠵㠲ㄷㄸ换ㄲ㝡〰挶愲〵〹㉣捣㈴慣㕥㈸〳ㄶ㠵户㘷㘰慣㜲挰ㄵ扢㍤㤹㐴〱㘳愹㐳〰㡦㌸㌴㝡㠲㐲㤶㐱〴〸㤲ㄴ愴㈸㘰㘵㠴〴㤶㐶换てっ㜵散〱挰㐶㐱ぢ㘰慣㤲㔰挹㕤挰㜶㘱昲㕤㤹㥣ㄵつ㕥㘰㘳攰敢〱搸㔸㐸㈴戰摤㤸㘴ㅣ㕡㘵挰挶挰摢㌳㌰㔶㐵攰㡡㤲〹㈶㔱挰㔸ㅡ愱愶散㕡挳挶㐱愳㡦愷㤰㘵ㄳ〱㠲㝡ち㈶㔰挰㑡ち〹㙣㈲㕡㍥㘰晣㙡㔶〰戰㍤愰〵㌰㔶㔵愸攴㉥㘰㤳㤹㝣ち㤳戳〲挲ぢ㡣㘵て㍤〰㘳㔱㠴〴㌶㤵㐹㔸ㅤ㔱〶㙣㍡扣㍤〳㘳ㄵ〵慥昸扡ㄷ㤳㈸㘰㉣愵㔰㔳㜶〱摢ぢㅡ㝤㙦ち㔹㘶ㄱ㈰㤸㐹挱㉣ち㔸㜹㈱㠱捤㐶换〷㡣㕦㌲ぢ〰㌶ㄷ㕡〰㌳㕤挹㕤挰昶㘱昲㝤㤹㥣ㄵㄳ㕥㘰㉣㤳攸〱ㄸ㡢㈸㈴戰晤㤹㠴搵ㄴ㘵挰收挱摢㌳㌰㔶㕤攰㡡㙦㤴㌱㠹〲挶搲㡢〰ㅥ扦㠳㐶㙦愰㤰㘵ㄹ〱㠲㠳㈸㌰㈹㘰愵㠶〴㤶㐵换〷㡣㕦㤷ぢ〰㤶㠷ㄶ挰㔸戵愱㤲扢㠰㔹㑣㕥㘰昲愳㈱昰〲㍢〶扥ㅥ㠰戱攸㐲〲㕢挰㈴慣扥㈸〳㜶㌰扣㍤〳㘳㤵〶慥昸搲ㅡ㤳㈸㘰㉣搵㔰㔳㜶慤㘱㑤搰攸捤ㄴ戲㡣㈳㐰搰㐲㐱㉢〵慣散㤰挰ㄶ愱攵〳挶㉦晥〵〰㙢㠳ㄶ挰㔸攵愱㤲扢㠰戵㌳㌹扦㔵㉦㔸㤱攱〵挶㌲㡣ㅥ㠰戱㐸㐳〲㕢捣㈴慣搶㈸〳戶ㄴ摥㥥㠱戱慡〳㔷散挳㘷ㄲ〵㡣愵ㅤ㙡捡㉥㘰㠷㐲愳ㅦ㐶㈱换㍥〲〴㠷㔳㜰〴〵㉢㈱㤰挰㡥㐴换〷㡣㕦㘱っ〰㜶㌴戴〰挶慡㄰㤵摣〵㙣㌹㤳ㅦ挳攴慣攰昰〲㘳搹㐶て挰㔸搴㈱㠱ㅤ换㈴慣敥㈸〳㜶㍣扣㍤〳㘳ㄵ〸慥昸敡ㅤ㤳㈸㘰㉣〵㔱㔳㜶〱㍢ㄱㅡ晤㈴ち㔹㈶ㄲ㈰㌸㤹㠲㔳㈸㘰攵㠸〴㜶㉡㕡㍥㘰晣㌲㘶〰戰搳愰〵㌰㔶㤱愸攴㉥㘰愷㌳昹ㄹ㑣捥㡡て㉦㌰㤶㜹昴〰㡣㐵㈰ㄲ搸㔹㑣挲㙡㤰㌲㘰攷挰摢㌳㌰㔶㡤攰㡡㙦昷㌱㠹〲挶搲ㄱ㌵㘵ㄷ戰㍦㐰愳㥦㐷㈱换㑡〲〴攷㔳㜰〱〵慣㌴㤱挰㉥㐴换て㉣㜸つ扢ㄸ㕡〰㘳搵㠹㑡敥〲㜶〹㤳㕦捡攴慣㄰昱〲㘳㔹㐸て挰㔸㌴㈲㠱㕤挶㈴慣ㅥ㈹〳㜶〵扣㍤〳㘳㤵〹慥昸〲㈱㤳㈸㘰敦㘱㐹㑤搹〵散㉡㘸昴慢㈹㝣㍦㔸㜰つ〵搷㔲戰〶〲〹散㍡戴㝣挰昸〵搹㠰㌵散〶㘸〱㡣㔵㉡㙡㜴ㄷ戰ㅢ㤹晣㡦㑣捥㡡ㄲ㉦㌰㤶㤱昴〰㡣㐵㈶ㄲ搸捤㑣挲㙡㤳㌲㘰户挲摢㌳㌰㔶愵攰㡡敦㈸㌲㠹〲挶搲ㄴ㌵㘵ㄷ戰摢愱搱敦愰㤰㘵㉢〱㠲㍢㈹㔸㐵〱㉢㔹㈴戰扢搰昲〱攳㔷㝤〳㠰摤〳㉤㠰戱慡㐵㈵㜷〱扢㤷挹敦㘳昲㉡捣挹ぢ㡣㘵㈷㍤〰㘳㔱㡡〴戶㥡㐹㔸㥤㔲〶散㑦昰昶っ㡣㔵㉣㤸ㅦ扥〶挹㈴ちㄸ㑢㔹搴㤴戱愸㍥㝣晦ㄹㅡ晤㈱ち㔹收ㄲ㈰㜸㤸㠲㐷㈸㘰攵㡢〴昶㈸㕡㍥㘰晣搲㜲〰戰挷愱〵㌰㔶挱愸攴㉥㘰㝦㘱昲㈷㤸㥣ㄵ㉢㕥㘰㉣㔳改〱ㄸ㡢㔸㈴戰愷㤸㠴搵㉣㘵挰㥥㠱户㘷㘰慣㝡㤱挰㥥㘵ㄲ〵慣づ㕥㌵㘵㉣㉡㘰捦㐱愳㍦㑦㈱换㘲〲〴㉦㔰昰㈲〵慣㤴㤱挰㕥㐲换て㉣㜸愳晦ち戴〰挶慡ㄹ㤵摣〵散㔵㈶㝦㡤挹㔹攱攲〵挶戲㤶ㅥ㠰戱攸㐵〲㝢㥤㐹㔸晤㔲〶散㑤㜸㝢〶㤶㐴㌷〹散㉤㈶㔱挰㔸㉡愳愶㡣㐵〵散㙤㘸昴㜷㈸㑣〷ぢ摥愵攰㍤ち㔸㔹㈳㠱扤㡦㤶てㄸ扦㐸ㅥ戰㠶㝤〰㉤㠰戱捡㐶㡤敥〲昶㈱㤳㝦挴攴慣㠸昱〲㘳ㄹ㑣て挰㔸㈴㈳㠱㝤挲㈴慣㤶㈹〳昶㈹扣㍤〳㘳㔵㡤〴昶ㄹ㤳㈸㘰㉣慤㔱㔳挶愲〲昶㌹㌴晡摦㈹㘴搹㑤㠰攰ぢち扥愴㠰㤵㌸ㄲ搸㍦搰昲〳ぢ㝥愷晦㌵戴〰挶慡ㅣ㤵摣〵散ㅢ㈶晦㤶挹㔹㐱攳〵挶戲㤹ㅥ㠰戱愸㐶〲晢㡥㐹づ㐲慢っ搸て昰昶っ㡣㔵㌸ㄲ搸㡦㑣愲㠰戱ㄴ㐷㑤ㄹ㡢ち搸扦愰搱晦㑤㘱㍥㔸昰ㄳ〵㍦㔳㘰㐱㈰㠱晤㠲㤶てㄸ扦摣ㅦ戰㠶晤〶㉤㠰戱㡡㐷㡤敥〲戶㤶挹㉢㜰㘸㐰戰攲挶ぢ㡣㘵㌶㍤〰㘳ㄱ㡥〴㠶扤挷ㄵ㘲㌱㕡㘵挰昰敤摣㜵〰戶ㄴ摤㈴戰㙡㈶㔱挰㔸扡愳愶㡣㐵〵㑣㠳㐶敦㑢㈱换㝡〲〴㌵ㄴ昰㠷扤〴㉢㝤㈴戰㄰㕡㍥㘰晣㤹㠲〰㘰晤愱〵㌰㔶晤愸攴㉥㘰〳㤸㝣㍤㈶㘷㠵㡥ㄷㄸ换㜲㝡〰挶愲ㅤ〹捣㘰ㄲ㔶敦㤴〱摢〰摥㥥搷㌰㔶昹㐸㘰ㅢ㌲㠹〲挶㔲ㅦ㌵㘵㉣㉡㘰〳愱搱〷㔱挸㌲愰〰挱㐶ㄴ㙣㑣〱㉢㠳㈴戰㑤搰昲〱攳て㉥〴〰摢っ㕡〰㘳㤵㤰㑡敥〲㌶㤸挹㠷㌰㌹㉢㝡扣挰㉥㠳慦〷㘰㤷㐳㈲㠱㙤挱㈴慣昶㈹〳㌶ㄴ摥㥥㠱戱㉡㐸〲慢㘳ㄲ〵散㙡㜸搵㤴戱愸㠰つ㠳㐶摦㡡㐲㤶つ〵〸戶愶㘰㌸〵慣㈴㤲挰戶㐱换〷㡣㍦ㅤㄱ〰㙣㍢㘸〱㡣㔵㐵㉡戹ぢ搸昶㑣扥〳㤳戳〲挸ぢ散㉥昸㝡〰挶愲㈰〹㙣㐷㈶戹〷慤㌲㘰㈳攱敤ㄹㄸ慢㠸㈴戰㥤㤹㐴〱㘳㈹㤱㥡㌲ㄶㄵ戰㌰㌴㝡㠴㐲㤶ㄹ〵〸愲ㄴ挴㈸㘰攵㤱〴ㄶ㐷换て㉣昸㔵㌲〹㉤㠰㍤攴㑡敥〲㤶㘲昲㌴㤳戳㘲挸ぢ㡣㘵㐲㍤〰㘳ㄱ㤱〴㌶㡡㐹㔸㑤㔴〶㙣㔷㜸㝢〶挶慡㈳〹㙣㌴㤳㈸㘰㉣㍤ち攰戱ㅢ㌴晡敥ㄴ戲㉣㈹㐰㌰㠶㠲戱ㄴ戰㔲㐹〲ㅢ㠷㤶てㄸ㝦捥㈳㘰つ慢㠷ㄶ挰㔸戵愴㤲扢㠰㑤㘰昲㠹㑣晥㍥〴㕥㘰㉣㉢敡〱ㄸ㡢㡥㈴戰㍤㤸㠴搵㐷㘵挰愶挰摢㌳㌰㔶㈹㐹㘰㝢㌲㠹〲挶㔲㈵㌵㘵㉣慡㌵㙣㉡㌴晡㌴ち㔹挶ㄴ㈰㤸㑥挱っち㔸搹㈴㠱敤㠵㤶てㄸ㝦㤸㈴〰搸㑣㘸〱㡣㔵㑥㉡戹ぢ搸㉣㈶㥦捤攴慣㠹㤰㤳㥥挳㤶㌳改㙡ㅥ搷昶ㅥ慥昵ㅤ㑡㤷㈳ㄴ㜸㔰㝤㔶挷戲㈶ㄴ㌲㜰㤱㠷㙦敤㈵ㅥ㠸づ㐹ㅦづ㉡户戶攱攰㔸㤵昷㌷ㄶ㡡㝤㥦挷挰晤〶㝡㝥扦㐲㜶㘳㠴挷散慢㙦昸搹晦ㅢつ挵晥㥣㜸改换散散挳㡢戶て愶㌸㜰㕡㘳慥慤戵扤戵搰㌱㜴ㄶ㡡㜴㠶昲昷㐰ちㄵㄵ攱戱搵搷㈱㘳攰㤸扣㘳㔵㉤晣戱挳挵晣㝥㝣㘸㘱㑢敢㤲ㄶ㌹㥢敡㜶晥㉣㡡攴搵户㉦㠷〹㜱ㅣ㕥戶〲㍣㠳挷昷搹㔹摦て㜶㐰ㅦ㠳〷挸㜱慤搰昶㐷㝢昸昸㜱攳㘷㌶㤸㘶愱㘰愵㘳搱㝣㌴㙡挵昳㔱㉢㥢㡡攴戲改㔸㈲ㅤ捥挶挲戹㜸㕥㍢愰㈸㡤㕢㔶㈲㤳つ㈷捣㐸㉡ㄷ㡦挶㤳改㜴㌲ㄳ㌶挳㤱戸㤹㡡㐵捣㝣摣攰愱㜷愶搷攷愱㡦㝥㈰㡣挱㈳敥搲昵㍢扡ㅡ攸攲昱㜷改愲㐰㑡慢㉢昱㈶㘹㕤て㡢愳㔳㠵挸㡡㥣挸ぢ慢慡㙦㕦㌱摣昳㈵㝦摦攱昴攲㉦㈶㘸ㅡ㡦愶㔷㕦ち捣敢搶愹晣㔱㘴㘷扥搵搳㜳㥣㜷ㅥ㈶㘴昴㠱㠳㍥捤㐲㜳晤昱攳ㅡ捡㝦慡㔲㉢挰摤ㅦ㙥㔹㌱㠰摦挰㙣搷收挳戳ㅥ㍣慥昲㈱愳捡挹愲㉦㐰㔰ㅦ挶㌱敡㘰㠴〶扦㝣㙣ㄷ挲捦〵㜹慢㠱㤷捦〷㜱づ敥〸搷㐲〴昰挵㔵㐸戸ㄶ㠹戳攰攱㥡㔴扥㈶攸攸㐴㠵摥ち㡢㌵㈱㠴㌶ㅦ〴㙤ㄱ摡昶㥡㤰㉥㈴㤲㤹㕣㈶㤳㈸㈴慤戸㤹㡣愴㔳昹㐴㉣㥢㐸挷挲㈹㌳㤵㐹㈵戴㐳㡡㔲㉢㤲挸㐵搳昸㐹捡㘴㈲ㄶ捦ㄵㄲ㘶㉡㙥挶㔲攱㐴㌸ㅣ㠹㘵戲㠹㠸搱捦㐹慦户愱㡦摥づ㘳昴㔷慥搲㥡㌰㐰戹㈸㤰㔲㘱搰㠵㥢㌸ㄱ㜷㠱㡦ㄴ㤶戱㝦㥡昱㐳㘱㐲挶晡㜰㐸ㅦ㠹敢攴慢ㄳ愹戱㠱昲ㅦ㐹搷昶散戵ㅤ㡣ㄸ〸扦㘴戸ㅣ晥㈲挳㡤攰㤵っ㡦挴㄰㝥㠶㠷挳敢㘷戸㌱㍡㈱㐹㠵㝥ㅣ㉣ㄸ㙥㠲戶㘴㜸㍣摡づ挳㜴㌴ㅣ㡥愵〰㈲㥤㡢㥢改㐴㍡㤹㡥ㄶ愲搱㜸㈲㤵㐸㠶搳搱戴㜶㐲㔱㥡㡡㤸戱㜸㉡㤱㑡㘶昲㠹㜸㈶㤷捣㐶㜳㔶㌴ㅢ㐹愵㔳㠵㑣㈱㘵愵㡤㑤㥤昴晡㠹攸愳㥦〴㘳㙣愶㕣㈵㠶㠳㤵慢愸ㄲ㕢搰㠵㥢㘸㜳㌳㍣㥤㔹捥㠰〹ㄹ㕢㈲㠸㙢㠵敥㘱㌸㔴昹捦愱㌶㑣挵捥㘴㌸㡣挹搸㍡て晥㈲挳慤攱㤵っㄷ〴㌲㉣〴㌲攴昱㜸㈴愹搰㉦㠲〵挳㙤搰㤶っ㉦㐶摢㘶㤸ぢ攷㘳ㄹ慣㔵挹㘴㌴ㄶ㑦㠴㘳改㜰㈱㤵捥攷搳搱㐸㍥ㅤ换㤹ㄱ敤㤲愲㌴㤲㉣愴攲㤱㘸㌴㤱㉤㐴攲㔶㉥㤷挹攵㜳㤱㜴㌶㘳㠶ぢ戱㐸㌴ㅥ㌱㜸㔴㥦改昵㑢搱㐷㕦〹㘳㙣愷㕣㈵㠶摢㉢㔷㔱㈵㜶愴ぢ㌷㌱捦捤昰㙡㘶戹〶㈶㘴散㠴㈰慥㍥㠶㈳㤵晦〶㙡㔳㔴㈴㘱㐴㤸挹搸扡〹晥㈲挳㈸扣㤲攱捣㐰㠶㝢〵㌲攴㈱㝡㈴挱㉥㑦㔸㌰㡣愳㉤ㄹ摥㡥戶捤㌰㕡戰㑣㌳ㄳ㠹㘴戳㔶㈶㙥挶㌳㈶㌶搷㠵㙣愱㘰攲㈹㥤㑦㠷愳摡ㅤ㐵㘹㈱ㄶ㡥㐴捣㐴摥㌴戱〹捦攷ち㤹㙣捥捡㤸愹㐴〶慢㌰㕥ㄲㄲ〶て昴㑢㠶㜷愲㡦扥ち挶㐸㉡㔷㠹㘱㑡戹㡡㉡㌱㡡㉥摣挴㐴㌷挳晢㤹㘵㌵㑣挸搸〵㐱㕣㝤っ㜷㔵晥㍦㔳扢ㅢㄵ愳㘱挴㙥㑣挶搶㈳昰ㄷㄹ㡥㠱㔷㌲摣㌵㤰攱愸㐰㠶㘳搱〹㐹㉡昴扦挰㠲攱㌸戴㈵挳㈷搰戶ㄹ挶攲昹㔸㈴づ〶㜸㌹㡣㈷愳㤱㜴㌸㤹㌴㜳搹㑣捥㌲搳㐹搳捣㘹㑦ㄶ愵〹㍣捤㌳搹㙣慡㤰㡥㈷攳㠹㕣㍣㡢㤷㔴扣㠶㐶ち搹愴ㄵ捤愵ㄲ挶㜸㈷扤晥ㄴ晡攸㑦挳ㄸ昵捡㔵㘲挸〲〰㐹㥡〲㈹ㄵ㝢搰㠵㥢〸扢ㄹ扥挸昸㑢㌰㈱㘳㌲㠲戸晡ㄸ㑥㔱晥搷愸㥤㐰㐵㍤㡣㤸捡㘴㙣扤〱㝦㤱攱㜴㜸㈵挳㙤〲ㄹ㙥ㅤ挸㤰〷昲㤱〴扢敦㘰挱㜰㉦戴㈵挳㜷搱戶ㄹ㘶捣㤸㤵㑡愷戳昱㜸㉡ㅣ㑦㘴搳㕣戹ㄲ㠵㘸〴捤㘸㉣㤵㠹㘸敦ㄵ愵㘶挶㑡㈵昱晥挲㌲戱搶攱昷收捣㍣㥥敦搱㜸㌸ㄷ挹㈵㌳㠹㘸摥搸摢㐹慦扦㡦㍥晡ㅡㄸ㘳愶㜲㤵ㄸ戲㈶㐰㌲㉣慡挴㕣扡㜰ㄳ㥢戹ㄹ晥㡤㔹㍥㠵〹ㄹ晢㈰㠸慢㡦攱扥捡晦〵戵㔳愹搸ㄳ㐶散捦㘴㙣㝤〵㝦㤱攱㍣㜸㈵㐳㈳㤰攱㝡㠱っ㜹㙣ㅦ㐹㉡昴㝦挲㠲攱敦搰㤶っ扦㐳摢㘶ㄸ㈹挴㔳㌱㌳㔱㠸愴㘲昹㌸㕥㔴戲戱㙣㍥㥦㈸攴戱攵㑢㘴昳㌱㑢晢扥㈸㑤ㄶ㌲戱㐸㉥㥥戲慣㐲㍥㥥挱㍢戴㜸㌲㤶㑢㘷愳㘹㉢㘹㠵㌳愹戴搱攰愴搷㝦㐰ㅦ晤㐷ㄸ攳㈰攵㉡㌱㌴㤵㡢〲㈹ㄵ㜹扡㜰ㄳ㔵㙥㠶扦㌲晥ㅢ㑣挸㘰〹〰慥㍥㠶〵攵慦慣㐶㜰ㄶㄵ㌳㘱挴〲㈶㘳慢ㅡ晥㈲挳㠳攱㤵っ㝦晡㈹攸㜵昹㕦昰晡㕦㤷ㄷ愲ㄳ收㠰㕤㔲㐸〵㠶㑤㘸㑢㠶㈱戴㙤㠶攱㑣っ㔰ㄲ㤱㘴㉡㡤昷㌶昹㌰㌶㜰㘶㌴㤱挷慡㤵ち㕢戱㜸㕡敢㔷㤴㘶捤㔸㉥㥢㑤㘷㈳㔶㍥㠳搷敤㝣㍡㤵㑣攵ち攱戰㔵㈸愴戰㘰ㄹ捤㑥㝡扤㍦晡攸〳㘰㡣ㄶ攵㉡㌱㘴攵㠰㕣て㡢㉡搱㐶ㄷ㙥攲ㅦ戸ㅢ挵昷㌶ㅢ㌲换㐰㤸㤰挱慡〰㕣㝤っ㍢㤴㝦ㄳ㙡昹㈳ㄴ晡㝥㌰㘲㌱㤳戱㌵ㄸ晥㈲挳愵昰㑡㠶ㅦ〵㌲晣㈰㤰攱㌲㜴㤲っ户㐴㉡㌰㍣ㄴ㙤挹㜰㈸摡㌶㐳慣㑢㤹㐲搶捣㐴㈳搹㈴㝦つ㍦㥢㡥愶挲㤹㘸㍣㤷〹㐷㔳㘶㍥慦搵ㄵ愵搱㔴㌲㙤愶㌳戹戸㔵㠸挷愱挲换㔰〴㥦ㄵㄲ㤶㐹㤳ぢㅢ㠷㌹改昵㘱攸愳㙦〵㘳ㅣ慥㕣㈵㠶㉣㈶㤰っ㡢㉡㜱㌴㕤戸㠹搷摤っ户㘷㤶ㅤ㘰㐲挶㜲〴㜱昵㌱㍣㐶昹㐷㔲㙢㔲㜱㄰㡣㌸㤶挹搸㡡挰㕦㘴㜸㍣扣㤲攱㜳㠱っ㥦〹㘴挸愲〰挹㌰㠱㔴㘰㜸㈲摡㤲㘱ㄲ㙤攷戹㙣㘵愳挹㜸㌲㥦㡢〲ㅣ㌶㠷㘶㈶ㄹ㑢攵㤲挹㙣㍥ㅥ㑤挲愹愵㡡搲㐲ㄸ敦挶㈳改㘴㌸㤲㑢挷㈳改㔸扡㄰挳搳㍡ち㙤㌲ㄶ㑤挷㑤攳㈴㈷扤㥥㐶ㅦ㍤〳㘳㥣慣㕣㈵㠶愷㈸㔷㔱㈵㑥愳ぢ㌷昱戰㥢攱敥捣㌲〶㈶㘴戰㜶〰㔷ㅦ挳㌳㤴扦㥥摡〵㔴昰㠷㌵挴㔹㑣挶搶㈴昸㡢っ捦㠱㔷㌲扣㈷㤰攱㕤㠱っ㔹㈷㈰ㄹ敥㠹㔴㘰昸〷戴㈵挳愹㘸摢っ搳㘹扣㤱㡥攷㤲昹㜴ㄲ㕢㐶㙣てぢ戱〴㕥㌳ち搸㈶㐶捣㌰摥ㅦ㑥㉢㑡ㄳ戹ㅣ㕥㤴戳㜸㐳㥥㑤攳扤㡤㤹捥攳㔵㈵㘵挵ち攱㕣㉣㥦捣㔹挶㜹㑥㝡㝤㍡晡攸㌳㘰㡣昳㤵慢挴昰〲攵愲㐰㑡挵挵㜴攱㈶晥攸㘶㌸㠷昱戹㌰㈱㠳攵〴戸晡ㄸ㕥慡晣晢㔳摢㑡〵扦㝥㈲㉥㘳㌲戶づ㠴扦挸昰ち㜸㈵挳㉢〲ㄹ㕥ㄶ挸昰㑡㜴㤲っ㑤愴〲挳慢搰㤶っ戳㘸㍢っ㌳㤹㜰㍥㥢㑣㐴ㄳㄶ㥥挰昸昴ㅥ捤攲户ㄳ昱敢慥㘶㉣㡣㔷收戴㤶㉢㑡㘳戹㐸㌸㥡㑥㈴戲昱㜴〶敢㈱㕥挲慤ㄴ㕥㥡ㄳ戱〲戶愱昸昰㙦戰〰㐱㍥㑢昳攸愳㕢㌰挶㌵捡㔵㘲挸㉡〴愹愲㐰愷㔴摣㐰ㄷ㙥攲て㙥㠶ぢㄹ㙦㠲〹ㄹ㌷㈲㠸慢㡦攱ㅦ㤵㝦ㄱ戵㡢愹攸㈴挳㥢㤹㡣慤㜶愶愷㠷户㕢攱㤵っ㑦つ㘴㜸㜲㈰挳摢搰㐹㌲㕣㠲㔴㘰㜸㍢摡㤲攱㔲戴㙤㠶搹㜴㌲㙦㤹愹愸㠹搷攳㜸慣㤰捤㐴挳㠰ㄳ挱㘷㤲㕣㉣㤳戲挲摡戲愲搴㡣攷昱ㄹ㌹㤲挳㕢㥥㘸扣㘰㥡㔹扣㌵户昰㕥㍢㥤㐹㘴昱㐲ㄴ㌱㔸㤳㈰改ㅣ㡡㍥晡㘱㌰挶㥤捡㔵㘲挸挲㠴㜲㤵戸㠷㉥摣挴搱㙥㠶换㤹攵ㄸ㤸㤰㜱㉦㠲戸晡ㄸ摥愷晣挷㔳㝢〴ㄵ晣㠵㄰戱㥡挹搸㍡〹晥㈲挳㍦挱㉢ㄹ㉥づ㘴搸ㄱ挸昰㐱㜴㤲っ㔷㈰ㄵㄸ晥ㄹ㙤挹昰㌴戴㙤㠶戱㜸〱ㅢ戳㍣摥㌴攷愳㘰ㄴ㌳㘳挹㐸㍣ㅦ㑥㘱ㄷ㔴扡㤰捦挷戴搳㡢搲㐲㌶ㄵぢ挷戱㥥挶㈳㜸挱挶㡢戳㔹㐸㐵㔳㜸㍢㠹捦捡㜸㕢ㄹ㌶ㅥ㜲搲敢㘷愰㡦㝥㈶㡣昱戰㜲㤵ㄸ㍥愲㕣㐵㤵㜸㥣㉥摣挴挱㙥㠶攷㌱换昹㌰㈱㠳㜵〸戸晡ㄸ㍥愱晣ㄷ㔳㝢㉣ㄵ扦㈷挳愷攰㤷っ㔷挲㕦㘴昸っ扣㤲攱㐱㠱っ㝦ㄷ挸昰㔹㜴㤲っ慦㐴㉡㌰㝣づ㙤挹昰㉡戴㙤㠶㤱㠲ㄵ换㐴愲戹㙣扥㄰㡤㐷㈳㔶㍡㕥挸愵㑤㌳㤵㑤㠶昱㤹㉦㥦搱慥㉥㑡昱扥摡挲㕥㠶㔸㈲㤷捡挷㤳戹愴㔹挰ㅢ愰㐴摡㑡㠴㈱㑥㐴戳〶㉢ㄷ攴ㅡ㜶つ晡攸搷挲ㄸ㉦㈸㔷㠹攱㡢捡㔵㔴㠹㔷攸挲㑤捣㜶㌳扣㠹㔹㙥㠶〹ㄹ㉣㑤挰搵挷昰㌵攵扦㥤摡㔳愸㌸㤹っ㕦㘷㌲戶㔶挱㕦㘴昸㈶扣㤲攱㤴㐰㠶㝢〴㌲㝣ぢ㥤㈴挳㝢㤱ちっ摦㐶㕢㌲扣て㙤攷戹㡣㑦㙦㔶㌸つㄸ昸戴㥣㡢㠵戳㠵㘴㈶捤捤㘳㈶ㅤ戵㌲㠵戸㜶㝦㔱㡡㑦挵ㄹ散晢㉡㐴戱戳㠱㥦㙡戲㔶㌲㥡攵戶㌰㥤㐸㘱敤㑤ㄹ㉣㘶㤰っ㔷愳㡦晥〰㡣昱慥㜲㤵ㄸ扥愷㕣ㄴ攸㤴㡡て攸挲㑤散收㘶昸〸攳㡦挲㠴㡣てㄱ挴搵挷昰㈳攵㝦㠲摡戳愸攰㑦㥤㠸㑦㤸㡣慤愷㤹㥥ㅥ摥㍥㠵㔷㌲㡣〷㌲㡣〶㌲晣っ㥤㈴挳攷㤱ちっ㍦㐷㕢㌲㝣〱㙤㥢㘱捡㡣愵戳戹㑣㈱㥤挰づ慤ㄸ戶㡢㈹扣㍥㘴㜳㐹扣戱㐹㈵㜲改扣昶㘲㔱ㅡ㑥㥡攱㔴㈲㤱捦㐴㘳搹㜸〴㥢㑤㝥㑣戱昲㈹㉢㡢㕤㘰戱㐲摣昸扢㤳㕥㝦〹㝤昴㤷㘱㡣㉦㤴慢挴昰㑢攵㉡慡挴搷㜴攱㈶戶㜳㌳㝣㠳㔹摥㠴〹ㄹ摦㈰㠸慢㡦攱户捡晦㉥戵ㄷ㔰挱㕦㑢ㄱ摦㌱ㄹ㕢㙢攰㉦㌲晣〱㕥挹㜰㡢㐰㠶㐳〲ㄹ晥㠸㑥㤲攱挷㐸〵㠶晦㐲㕢㌲晣〴㙤㥢㈱㜶慥㕢㘶ㄲ㕢戳㑣〲ㅦ㤹ㄳ戹㉣㍥㈹㕢昹㘸㍡㤷捡愶昰捡㤱搲晥㔶㤴㐶挲㌱散㠶捤挶愳㜸㡢ㅤ㡦挶㘲㤹㈴〰㈶搲㠹戰ㄵ㡤㈴昰愶搲昸户㤳㕥晦ㄴ㝤昴捦㘰㡣㥦㤴慢挴昰㘷攵㉡慡挴㙦㜴攱㈶㌶㜰㌳晣㡡㔹扥㠶〹ㄹ㙢ㄱ挴搵挷㤰昷㑥晡扦愳昶㌲㉡㔶挲〸㔹戹挰搶㡦昰ㄷㄹ戲㜲㐱㌲慣〹㘴愸〵㌲慣㐶㈷挹昰㘷愴〲㐳つつ挹昰ㄷ戴搵㜳ㄹ㍢て昰㌱㈳㥤捦收攲㜱㍣㤷愳㈶户㠷改㐸挲㌴㤳改㜰㕡晢戵㈸㈵㈸㌳㠳ㅤ摤攱㌰摦㑡收搲㘱慣慥攱㕣ㅥ㉦收昹㝣㌶㘵ㄹ㝤㥤昴晡㙦攸愳慦㠵㌱㙡㤴慢挴㤰愵㄰昲ㄹ㕦㔴〹搶㌸㐸㠶扦晣摢昵㔹慦㕡㐳ㄶつ㈶㘴戰捣㈱㠸㈱㉢ㅦ愴㍦㐴㉤㝦㘵㐵扦㠶っつ昸攵㝡㌸〰晥㈲挳つ攰㤵っ扦挵㌰晥晤搸㕦挳敢晦扣扣㈱㍡攱㡡㌳慢㈱ㄵㄸづ㐴㐳㌲摣〰㙤㘷㍤捣愵愳戹㝣㈲㤱换攰昳㜲㍥㡥㤷〸散攱㡡㥢㤱㠲㤹㈹攰㙤㡣愹㙤㔸㤴攲挳っ摥㡦㥢㜸捦㤳挹挶㜳㘶㉣ㄳ捥愶㤲挹㜰捡㑡攰ㄳ㑢搸㑣ㄹ㉣㡣㤰㜴〶愲㡦㍥〸挶㘰㍤㠴㜴㤵ㄸ㙥慣㕣㐵㤵㘰搹㠳㘴昸㠹㥢攱㘰㘶ㄹ〲ㄳ㌲㔸昹㄰挴㜰㠸昲て愵㤶㍦搴愲昳㘷㕦挴ㄶ昰㑢㠶㕢挱㕦㘴㌸ㄴ㕥挹昰敤㐰㠶㙦〶㌲㘴㤵〳慥昸摥ㄸ㔲㠱㈱㉢ㅡ㈴挳敤搰戶ㄹ㥡㔶㍣㕥挸㕢㤹㜴ㅣ〴㘳搸昳㄰戶㈲㤹㘸㌶㘱攱㠳ち㜶慥挶戴敤㡢㔲ㅣ㙡㠳㈷㤱挶㔶ㄲ㍢て㐱㄰㉢㙣㉥ㅥ挹㤹搹〲ㅦ㠵㤴挱㕡〹〹㙣〷昴搱㐷挰ㄸ㉣㤱昰㌰ㅣ慥㕣㐵㤵搸㡥㉥㌰ㄲ㉦戸ㄹ㐶㤸㈵ちㄳ㌲㔸っㄱ挴㤰昵ㄱ搲㥦愴㜶ㄵ敦敡㥤㘴㈸㑢ㅥ搸捡挰㕦㘴挸㤲〷挹昰昱㐰㠶㡦〶㌲摣ㄹ㥤㜰挵捥㕤愴〲挳㌰ㅡ㤲攱㙥㘸摢っ攳ㄹぢ扢ㅤ挲戹㘸ちぢ攱㍣㜶慣㘶㜱挴㈹㤱〸ㄷち㜸㠶㥡ㄹ㙤昷愲戴㤰㐹愶昳㜱㉢㤵〱扦㜸㌸㡣て㝣搹㍣ㄶ愲昹㐸㈴ㅤ㡤㘶昳〶换㈷㈴戰㌱攸愳㡦㠵㌱愲捡㔵㕡て㘳捡㐵㠱㑥愹㘰㜱㠴㘴㜸㥦㥢攱㈴挶昷㠰〹ㄹ㈹〸㠲ㄸ戲㘴㐲晡愷㔲换㥦㡢搱昹攳㌳㐲㔶㐱戰㌵㠳改改攱㙤㔷愸㈵挳㕢〳ㄹ摥ㅣ挸㜰㌴㍡攱㡡㍤㙢㐸〵㠶扢愱㈱ㄹ捥㐶摢搹ㅥ㜲挷扥㤹捦㘱〷㙣ㄸ扢愷㈳㜸㥡㐶ㄲ搸愷㤵㌵戱㑡ㄶ昲㔹㙤㑥㔱㥡㠸昳〸㑢㌶挹摤㕦㝣㈳㠴㥤㘰搱㐲ㄸ㥦戰㈳㠰㕤㠸攷っ㔶㔴㐸㠶㜳搱㐷摦〷挶ㄸ愳㕣㈵㠶㉣慢㤰㉡ち㜴㑡〵敢㈵㈴挳慢摣って㘴晣㜷㌰㈱㘳〲〴㐱っ㈷㉡㝦㤶摡㐷㜸㔷ㅦ㈶慤㍤攰㈷㌶摤㘲㝡㝡㜸㘳㘱㠴㘴㜸㘱㈰挳昳〳ㄹ敥㠹㑥戸㔶攸㡤㐸〵㠶㉣㠵㤰って㐶摢㘶㤸㠹ㄷ㌲㔶㉥ㄳ换攷昰㔹㈵㙤㘱㔷㍦摥扥㐴ㄳ㐹ㄳ㐷㔳昲搸ㄵ慢㉤㉣㑡ㄳ㜸〹㐹攳搳㕤〱扢㜹攲昹㐲〴扢㘸戱换㈶ㅤ挹㈴ㄳ〰㤹捣ㅡ㉣戲㤰㜴㥡搰㐷㙦㠶㌱㔸㕢㈱㕤㈵㠶㌳㤴慢愸ㄲ㌳改〲㈳㜱㥡㥢㘱㍢戳㜴挰㠴㡣㔹㄰〴㌱㥣慤晣㑢愹㝤㡡㜷㤵㍦㠱㘳戰挴〲㔷㝣攰㠴㝦㐰㥦㙡㔶〹散攲㌹㥣ㅥ晣㡢ㄷ㈳扣愷ㅥ㤹㠰㔳㠹戰㥣戰愲て扥敡㙦㝦㐱扥慡㜲搴㝦㤶㡢〷散昹晢ㄸ扣㔵ㅦ㡢晢晡㝦挸挳戵愲㔴㠸挱㡣㕢攲愶ㅦ㠱㍢㕣㍤て㜷㌷ㅣ㌴挵敥㑥〲㠹㡥ㄵ㠳㥡㈷户攳㘰㍥㑥㈶㍡扢㜵㙣昱㑣㤴敢慢㠳晣㈳搴ㄹ㌱㠶㤷㍣㘳戳敤昸㙤㤵づ㑢㜵㥢搱㔶散㠷㌳㑣愰愸〳㠱ㄱ㍣㝦挶愰㔲换昵〳〳㠳㑢摥挹㉤敤㌸搷㡢㤵㔷ㄹ摢昱攵晢慡捡㍥㈲昰㌷㍦㥣㤳ㅤ昰ㄷ〵㤸つ㘷㝢㤹㥣㈷㠰挱〱㍦慦㌰慥戱㐳晥㍣挹㄰挴㠵捥ちㄱ敤㈸㘲ㅡ扤昵戸慤㈳搵㐷攳㜱㔸攷㈱捡愹㜳㐰慥ㅡ㈱㝤㌹昲㠹〳㤱㤹攸㠵捥搲ㄲ敤昷㙡㡣愸㌸ㅣ㘳㜰ㅣ慥挳昸㔱㑣㡡昹㠴㔰㉥挱昲ㄱ㌶㤸慣㤶㔵ㄸ㜸㍦㔶〱㤵晢昲昵敥㑥㙢㡣晤扦挶昹㙦㡣愹㘵挹㠶散㜱愰愸㍢㙢㙣昵晢㐷慤晣收㠶㕤㠶㕦㜲换㕡攷晦㔱㜶㡦晤㥣ㅥ㤹㌱㘲〱㝡っ㠷㔷㕦㐳昳〱捤㠷㌰㘲〹㈶昱㈶㝥㜷挱㜷㈶㠶挵㑥挰㝢㈶〶㘳㈱㌲攱㡡㑦戸㤸敦㠰㍥愲ㄵつ㍥摤㐴〷㝡㜰ㅤ㈷㈴㝤〵敦㜲ㅢ摣㌶ㅦ搶㘶㘸愷挳㘷㍦〶㘲ㄱ㜴敡晥㠷昴㌳㈹㙥㉦㡡㔹㥤愱㥤慤挴㔱搱攴㠸㙤㤸攷㈲㔰换㌲㡡摥㈱㘳捤㐵敦㤰ㅤ㠹ㅥ㐱挸收㘳㍡㠱挸ち㑥挰㝢敥〶㠳〵ㅢ戸愲㔴〰㜳〷戲攳搰㤰挸昲攸㔱㐴㜶〹㈹㥣㠸㤰㡤㡣愵ㄸ摡捡ㄲ㠵㠳捡㈸㕣㑥㌱㉢㈹㙣㌱㡢㌱戴㉢㤵㌸㈲收㌹㘲㝢㘵扤ㅡ㠱摡搳㈱改ㅤ㌲㤶㔸昴づ搹㌹攸ㄱ㠴㙣ㅦ㠷㡣㙦㉤㥢敢〴扣㘷㝢㌰捥㐳㈶㕣㉢昴ㅢ㌱㜷㈰㘳㤱㠵㐴㌶ㅢ㍤㡡挸㙥㈲㠵㑢ㄱ戲㈹㕣㡣㈵敤ㄶ㐵㈱㉡昶㜲㈸搸㉢捥㙤ㄴ戳㜰挲ㄶ㕦㐲昱ㅤ㑡ㅣㄱ㔳ㅤ戱㡤㙣ㄵ〲戵㔷㐳搲㍢㘴慣愸攸ㅤ㌲ㄶ㔷〴㈱㥢攴㤰昱㈱㥢攸〴扣攷㠷㌰㔸㡥㠱㉢摥㤹㘱敥㐰挶㥡ち㠹慣ㅥ㍤㡡挸ㅥ㈰㠵㍢ㄱ戲㈹摣㡥㈵敤㐱㐵㈱㉡挶㌸ㄴ㙣㘴て㔱捣㍡〹㕢㝣〷挵㡦㈸㜱㐴散敡㠸㙤㘴㡦㈱㔰换㥡㠸摥㈱㕢慤㝡慣昳戶散捦攸ㄱ㠴㉣攵㤰昱㈱㑢㍡〱敦ㄹ㈵っ㔶㕦攰㡡摤㑡㤸㍢㤰戱㠴㐲㈲㡢愳㐷ㄱ搹戳愴挰㜲〷㥢挲ㄳ㔸搲㥥㉦㔱〸㤷㔱㜸㤱㘲㔶㍤搸㘲㔶㔶㘸㉦㉢㜱㔴散攸㠸㙤扥慦㈲㔰换ㄲ㠸摥㈱㝢㐹昵㔸㘷㘴㉣㥤〸㐲戶慤㐳挶㠷㙣ㅢ㈷攰㍤〷㠵昱〶㌲攱㡡㕦ㄶ挷摣㠱散ㅤ㌴㈴戲慤搱愳㠸散ㅤ㔲㜸ㅦ㈱㥢挲扢㔸搲摥㉢㔱ㄸ㕡㐶㘱つ挵慣㠲戰挵㉣愴搰㍥㔴攲㠸ㄸ攲㠸敤戵散㘳〴㙡㔹昱搰㍢㘴㥦慡ㅥ敢㡣㡣㤵ㄲ㐱挸㌶㜶挸昸㤰㙤攴〴扣㘷慤㌰扥㐲㈶㕣昱㕤㈷捣ㅤ挸晥㠹㠶㐴㌶㄰㍤㡡挸扥㈴〵ㄶ㌳搸ㄴ扥挳㤲昶㔵㠹㠲㔱㐶攱ㅢ㡡㔹搳㘰㡢㔹㌷愱晤㔳㠹愳愲扦㈳戶搷戲敦ㄱ愸晤ㄵ㤲摥㈱晢㑤昵㔸㘷㘴㤵ㄸ㈰〸㔹㕦㠷㡣て㤹收〴扣攷戹㌰慡㤱〹挳攳换㑣㤸㍢㤰戱ㅥ㐲㈲慢㐲㡦㈲戲㕦㐹㠱㔵〹㌶〵ㄶ㐹㘸㙢㑢ㄴ㉡捡㈸昰㤴搵㠲㌵づ戶㤸㘵ㄲ㕡ㅦ昸㥣㜷㈴扦晣换晤㡥愴ㅡ㠱㕡搶㌳攰摡㡢昷㘵㉣㝥㤰㍤搶ㄹ搹㈶㤰て攷ㅤ昵扣㉦晢ㄱ搳〹㝣㤳昱㠳ㄳ昰㥥ㄹ挳㘰攵㠴㐴搶て㜳〷㌲㤶㍦㐸㘴摦愱㐷ㄱ搹〰㔲㘰ㄱ㠲㑤㘱㈸㤶戴㕡㐵㈱㉡扥㜶㈸搸㉢捥晡ㄴ戳愴挱ㄶ搷㔱扣愱ㄲ㐷挴ㄷ㡥搸㝥㘲づ㐲愰㤶攵ぢ戸昶〲ㄹ㙢ㅤ㘴㡦㜵㐶挶戲㠷攱〱挸晥收㤰昱慤㘵㥦㌸〱敦戹㌴っㄶ㑡㐸㘴㠳㌱㜷㈰㘳戵㠳㐴昶ㄱ㝡ㄴ㤱㙤㑥ち慣㌹戰㈹戰〴㐲摢㔲㔱㠸㡡昷ㅤち㌶戲㍡㡡㔹挱㘰㡢㔹〴愱㙤愵挴ㄱ昱戶㈳戶㤱つ㐷愰㤶搵ち戸昶〲搹ㄸ搵㘳㥤㤱搵愳挷昰〰㘴㝦㜵挸昸㤰扤收〴扣㘷摦㌰㔸ㄷ㈱㤱㡤挰摣㠱㡣挵つㄲ搹㉢攸㔱㐴戶ㄳ㈹戰㄰挱愶挰㡡〷㙤攷ㄲ㠵ㄷ捡㈸㐴㈸㘶㍤㠲㉤㘶捤㠳ㄶ㔳攲愸㜸挶ㄱ摢㝣ㄳ〸搴戲㌸〱搷㕥㈰㘳㈵㠳散戱捥挸㔸搴㌰㍣〰搹㕦ㅣ㌲㍥㘴㡦㍢〱敦昹㍡っ㤶㐱㐸㘴扢㘰敥㐰㘶愲㉤㤱㍤㡡ㅥ㐵㘴愳㐹㠱挵〴㌶〵ㄶ㌸㘸扢㉢ちㄱ昱㘷㠷㠲扤攲㡣愵㤸攵〷戶㤸㈵づ摡㜸㈵㡥㡡搵㡥搸㐶㌶〱㠱㕡搶㈲攰摡ぢ㘴㉣㕣㤰㍤搶ㄹ搹㈲挸㠷〷㈰扢摢㈱攳㐳㜶㤷ㄳ昰㥥攱挳㘰搵㠳㐴戶㈷收づ㘴㉣㕤㤰挸敥㐴㡦㈲戲㘹愴挰㌲〳㥢〲敢ㄹ戴ㄹ㈵ち户㤶㔱搸㥢㘲㤶㈳搸㘲㔶㌴㘸戳㤴㌸㈲晥攸㠸㙤扥㜳㄰愸㕤づ〹慥扤㐰挶㍡〵搹㘳㥤㤱戱㘴㘱㜸〰戲㙢ㅤ㌲㍥㘴搷㌸〱敦㌹㐱っㄶ㌹㐸㘴〷㘰敥㐰挶㑡〵㠹散㉡昴㈸㈲㍢㤰ㄴ㔸㉦㘰㔳㘰昹㠲搶愰㈸㐴挵㘵づ〵㝢挵㌱㈹㘶昵㠱㉤㘶〱㠳㤶㔳攲㠸戸搸ㄱ摢挸㉣〴㙡㔹㘹㠰㙢㉦㤰戱㉣㐱昶㔸㘷㘴慣㔰ㄸㅥ㠰散㍣㠷㡣て搹ㅦ㥣㠰昷㉣㈲〶㙢ㅡ㈴戲㠵㤸㍢㤰戱㌰㐱㈲㍢〷㍤㡡挸㥡㐹㠱攵〱㌶〵㔶㉢㘸慤㡡㐲㔴㥣攱㔰戰㤱ㅤ㐲㌱㡢つ㙣㌱敢ㄵ戴㜶㈵㡥㠸㔳ㅤ戱㡤慣ㄳ㠱㕡ㄶㄶ攰摡ぢ㘴慣㐲㤰㍤搶ㄹㄹぢㄲ㠶〷㈰㍢挱㈱攳㐳㜶扣ㄳ昰㥥㜷挴㘰〹㠳㐴㜶ㄸ收づ㘴慣㐳㤰挸㡥㐵㡦㈲戲㈳㐸㠱㠵〰㌶〵ㄶ㈷㘸㐷㤵㈸ㅣ㕤㐶㘱㌹挵㉣ㅤ戰挵㉣㑦搰㝥慦挴搸㤳收㠸㙤扥挷㈱㔰换㍡〲㕣㝢㠱㡣㐵〷戲挷㍡㈳㘳晤挱昰〰㘴㑢ㅣ㌲㍥㘴㡢㥤㠰昷㑣㈵〶㉢ㄶ㈴戲㔳㌰㜷㈰㘳搹㠱㐴搶㠱ㅥ㐵㘴㉢㐸㠱〷晦㙤ち慣㐵搰㑥㉦㔱㔸㔴㐶攱㑣㡡㔹㑡㘰㡢㔹㡤愰㥤慤挴ㄱ搱攴㠸敤戵散㕣〴㙡㔹㌶㠰㙢㉦㤰戱挶㐰昶㔸㘷㘴㉣㌷ㄸㅥ㠰㙣扥㐳挶㠷慣攰〴扣攷㌶㌱搶㈰㤳㐴㜶ㄱ收づ㘴慣㌲㤰挸昲攸㔱㐴㜶〹㈹昰㔸扦㑤㠱愵〷摡㑡㐵㈱㉡づ㜲㈸搸㉢捥攵ㄴ戳㜲挰ㄶ戳昸㐰扢㔲㠹戱扦捣ㄱ摢挸慥㐶愰㤶㔵〲戸昶〲ㄹ㑢ち㘴㡦㜵㐶挶敡㠲攱〱挸昶㜱挸昸㤰捤㜵〲摥戳愱ㄸ慣㐷㤰挸㙥挴摣㠱㡣㐵〵ㄲ搹㙣昴㈸㈲扢㠹ㄴ㜸㘸摦愶挰㑡〳敤ㄶ㐵〱晢换ㅣち㌶戲摢㈸㘶愱㠰㉤㘶慤㠱㜶㠷ㄲ㘳㝦㤹㈳戶㤱慤㐲愰戶㥡㥦扤㝡㠵㡣ㄵ〴戲挷㍡㈳㘳㌱挱昰〰㘴㤳ㅣ㌲㍥㘴ㄳ㥤㠰昷晣㈹挶〰㘴㤲挸敥挷摣㠱㙣㝤戴㈵戲㝡昴㈸㈲㝢㠰ㄴ㜸㈴摦愶挰挲〲敤㐱㐵〱晢换ㅣち㌶戲㠷㈸ㅥ㔴ㄴ㙦㐸昱㈳㑡㡣晤㘵㡥搸㐶昶ㄸ〲戵㠳㈱改ㅤ㌲ㄶっ昴づ搹㔰昴〸㐲㤶㜲挸昸㤰㈵㥤㠰昷㡣㉢挶㔶挸㈴㤱㍤㡤戹〳ㄹ㑢〶㈴戲㌸㝡ㄴ㤱㍤㑢ち㍣㜰㙦㈳㘳ㅤ㠱昶扣愲㄰ㄵ㘱㠷㠲㡤散㐵㡡㐷ㄴ挵慣㈴搰㕥㔶攲㠸搸搱ㄱ摢挸㕥㐵愰㌶〲㐹敦㤰戱㍥愰㜷挸㔸㉡㄰㠴㙣㕢㠷㡣て搹㌶㑥挰㝢㡥ㄶ㠳挵〵ㄲ搹㕢㤸㍢㤰㡤㐶㕢㈲摢ㅡ㍤㡡挸摥㈱㠵㌱〸搹挸㔸㌶愰扤㔷愲㌰戴㡣挲ㅡ㡡挷ㄶ挵扢㔳晣愱ㄲ㐷挵㄰㐷㙣昳晤ㄸ㠱㕡ㅥ攱敦ㅤ㌲㤶〳昴づㄹ㉢〳㠲㤰㙤散㤰昱㈱摢挸〹㜸捦敡㘲捣㐰㈶㠹散敦㤸㍢㤰捤㐲㕢㈲ㅢ㠸ㅥ㐵㘴㕦㤲〲㡦挸摢挸㔸㈵愰㝤愵㈸㐴㠴攱㔰戰㔷㥣㙦㈸收㌱㝣㕢㍣㠷攲㝦㉡㌱昶㤷㌹㘲ㅢ搹昷〸搴ㅥ〸㐹敦㤰昱攸㝦敦㤰戱㄰㈰〸㔹㕦㠷㡣て㤹收〴扣攷㠱㌱㉣㘴㤲挸㝥挶摣㠱㡣挷晦㈵戲㉡昴㈸㈲晢㤵ㄴ㜸ㄴ摥愶挰愲〰㙤㙤㠹㐲㐵ㄹ〵㔱〳㜱㜳㔱扣㤰攲㍥昰愹晤㘵㍦㤶敤㉦㐳愰戶ㅤ㤲摥㈱攳挱晥摥㈱攳㜱晦㈰㘴㍦㘲㍡挱晢换㥣㠰敦捣㌱㠷㈱㔳㑦㘷㡥攱㉦ㅡ㔸敤昲散㈶戵㜸捤愹㉥昰㌷ㄸ晡ㄵ㙣㌷て敥攳㔷ㄸㅡ㥢㥡攴てㄸ昴挷㠹ㅥ摡ㄶ㕡㙤㔳㜱㍥ㄳ㥣摥〱攷扣㜷扥㐱㡦昳㥣昰㜷昳搵愹〴㜴搹㘲㘷慤㌰愳つ攷ㄶ攸㕢㤸摣㡥昳搰攴㙢㥡昷㌲㍢㍡慣戶㤶晦㠵戳㐰攰㈷㈵昸搳㝥戸搸攷㝦〸晣㌵〷晥㑣㐳攰㤱㜴㐹㙣㘴㠹挷㔴㥣愱㠴ㄵぢ㤵㍣㍦挴㝦㜶㑡ㅡ慤ㅦ㔶㌱㜵挶㤳扣敢㡣㈷㔵攲㍢㍣挴㜶㙤攰搱ㄵ㙢㌹㘵ㅥ愴搷〷㐰慦慤〷搳㘷㙣㝢戳慣愹㠱〹改戵昰挸㕦昵㤰愶愲晡〸慣〶摥㍢挷摦搷攰慦愸㔵㔴㉦㘹捣㜷㉣搰ㄶ㔸㡤昳ㄷ㜴攰㜷㌴晡昱ㅥ慢㑢搵㜲㜴敤慥晣㠰㕢㤳扥捤つ㘶㕢㥢戹慣愶戹愱挹㙡㤹摦戱愰愶㘱㌱慡㉤㜰愶ㄶ㍣敦㙡㙡㙡昴昵㌱ㅦㅢ㌴㥥㙥挷㈱㈳戳敡ㅢ戸扤愷挰挳戵㔵㈷㠲㉡昱㐵攰摤ㅤ挴晢挵扢㕢扡慢ㅢ搳挵ㅦ㌰戱敦慡㔸㠱ㅣ扣扢敡㈲捥㐴㐳づ户㈹㤴挵㐹㥣慢扣㥢戹扤ㄷ挱敢㥡挴㐷㠱㤳搸㥣㈳㤶㑦㘲㑢捦㈴㉥㐱㥥戲㐹㕣慥㠶慢㜳て㜷戵昲づ㜳㝢㙦㉣㥦挴摢㠱㤳ㄸ敥㥦挴戶㥥㐹摣攴㥤挴㙤㙡戸敤摤挳慤㔲摥ㅤ摣摥晢换㈷昱㑡攰㈴㜶昲㑦㘲㘷捦㈴ㅥ昰㑥攲㈱㌵㕣挴㍤摣㘳捡ㅢ㜵㝢㥦㉥㥦挴㌳㠱㤳㐸昸㈷㤱昲㑣攲㔹敦㈴㕥㔴挳㘵摣挳扤慡扣愳摣摥户捡㈷昱㘸攰㈴㐶晢㈷戱扢㘷ㄲ敦㜸㈷戱㐶つ㌷搶㍤摣挷捡㍢捥敤晤㝢昹㈴㔶〷㑥㘲㠲㝦ㄲ㤳㍣㤳昸搲㍢㠹㙦搴㜰㤳摤挳㝤慦扣㔳摣摥㥦换㈷㜱㘷攰㈴愶昹㈷㌱挳㌳㠹㕦扤㤳㄰搸㑣挸愷攸摥敥攱慡㤵㜷愶摢摢て㕥搷㔳昴㡦㠱㤳㤸攳㥦挴㍥㥥㐹っ㐰㥥戲愷攸晡㙡戸晤摣挳つ㔲摥晤摤摥挱攵㤳戸㉡㜰ㄲ〷晡㈷搱攰㤹挴收摥㐹搴愹攱㑣昷㜰挳㤵㌷敢昶㡥㈸㥦挴挵㠱㤳戰晣㤳㤸敦㤹挴㑥摥㐹㐴搴㜰㡤敥攱ㄲ捡㝢戰摢扢㑢昹㈴捥〹㥣㐴戳㝦ㄲ慤㥥㐹㡣昶㑥㘲慣ㅡ敥㄰昷㜰ㄳ㤴户捤敤摤戳㝣ㄲ愷〶㑥愲搳㍦㠹㈵㥥㐹㑣昳㑥㘲㙦㌵摣㌲昷㜰㜳㤴昷㔰户昷㠰昲㐹ㅣㅢ㌸㠹㈳晣㤳㌸捡㌳㠹〳扤㤳㌰搵㜰换摤挳㔹捡㝢㡣摢扢戰㝣ㄲ㠷〷㑥攲㌸晦㈴㑥昰㑣愲搹㍢㠹㐳搴㜰㈷戹㠷敢㔴摥㤳摤摥挳捡㈷搱ㄱ㌸㠹ㄵ晥㐹㥣敥㤹挴ㄱ摥㐹㉣㔷挳㥤改ㅥ敥㌸攵㍤换敤㍤愵㝣ㄲ㑤㠱㤳㌸搷㍦㠹昳㍣㤳㔸攱㥤挴㤹㙡戸ぢ摣挳㥤慢扣ㄷ扡扤ㄷ㤵㑦㈲ㅦ㌸㠹㑢晣㤳㔸改㤹挴㈵摥㐹㕣慥㠶扢摣㍤摣搵捡㝢㠵摢㝢㘳昹㈴收〵㑥攲㙡晦㈴慥昵㑣攲㈶敦㈴㙥㔳挳㕤敦ㅥ㙥㤵昲摥攰昶摥㕦㍥㠹搹㠱㤳戸挹㍦㠹㕢㍣㤳㜸挰㍢㠹㠷搴㜰户戹㠷㝢㑣㜹㙦㜷㝢㥦㉥㥦挴搴挰㐹慣昲㑦攲㙥捦㈴㥥昵㑥攲㐵㌵摣扤敥攱㕥㔵摥晢摣摥户捡㈷㔱ㅦ㌸㠹〷晣㤳㜸搰㌳㠹㜷扣㤳㔸愳㠶㝢挸㍤摣挷捡晢戰摢晢昷昲㐹散ㅡ㌸㠹挷晣㤳昸㡢㘷ㄲ㕦㝡㈷昱㡤ㅡ敥㐹昷㜰摦㉢敦㔳㙥敦捦攵㤳㠸〷㑥攲㔹晦㈴㥥昷㑣攲㔷敦㈴〴〴昲晤挴㡢敥攱慡㤵昷㈵㤷户㝡〰ㅡ敢晣昱㡥㠵搲ㅢ攲㠳㜰㤳㤵攳㜹㈸㜹㌶挳ㄱ㑤昸㤸戶づ㈷㡦㝣ㄹ攳㠸㕡ㅡ攴搰㕦㜱ㄶ搸愸㕤摦㘹攰ㅦ㕡ㅢ戸㕢㘲㄰㕡㥣愲晥㉡摤ㅢ㍢㌱晤㌵㘷㐱昶摦搴㘹攰ㅦ晡㙦收㙥㠹捤搱㤲晤晦㑡昷㤶㑥㑣㝦摤㔹㤰晤敢㥣〶晥愱晦㌰㜷㑢っ㐷㑢昶㝦㠳敥㙤㥤㤸晥愶戳㈰晢㙦敦㌴昰て晤㜷㜰户挴㑥㘸挹晥㙦搱扤戳ㄳ搳摦㜶ㄶ㘴晦㠸搳挰㍦昴㡦扡㕢㈲㠱㤶散晦づ摤㈹㈷愶扦敢㉣挸晥ㄹ愷㠱㝦攸㍦捡摤ㄲ愳搱㤲晤摦愳㝢㜷㈷愶扦敦㉣挸晥㘳㥤〶晥愱晦㌸㜷㑢㑣㐰㑢昶㕦㐳昷㈴㈷愶㝦攰㉣挸晥㤳㥤〶晥愱晦ㄴ㜷㑢㑣㐳㑢昶晦㤰敥ㄹ㑥㑣晦挸㔹㤰晤昷㜶ㅡ昸㠷晥㌳摤㉤㌱〷㉤搹晦㘳扡昷㜱㘲晡㈷捥㠲散扦㥦搳挰㍦昴摦摦摤ㄲ〷愲㈵晢晦㡤敥〶㈷愶㝦敡㉣挸晥愶搳挰㍦昴捦扡㕢挲㐲㑢昶晦㡣敥昹㑥㑣晦摣㔹㤰晤ㅢ㥤〶晥愱晦挱敥㤶㘸㐶㑢昶晦㍢摤慤㑥㑣晦挲㔹㤰晤て㜱ㅡ昸㠷晥㙤敥㤶攸㐴㑢昶晦㤲敥㈵㑥㑣晦㠷戳㈰晢㉦㜳ㅡ昸㠷晥㠷扡㕢攲〸戴㘴晦慦攸㍥捡㠹改㕦㍢ぢ戲晦㜲愷㠱㝦攸㝦㡣扢㈵㡥㐳㑢昶晦㠶敥ㄳ㥣㤸晥慤戳㈰晢㥦攴㌴昰て晤㑦㜶户挴ち戴㘴晦㝦搲㝤扡ㄳ搳扦㜳ㄶ㘴晦㌳㥤〶晥愱晦㔹敥㤶㌸ㄷ㉤搹晦㝢扡捦㜳㘲晡て捥㠲散㝦㠱搳挰㍦昴扦搰摤ㄲ㤷愰㈵晢晦㐸昷㑡㈷愶晦换㔹㤰晤㉦㜷ㅡ昸㠷晥㔷戸㕢攲㙡戴㘴晦㝦搳㝤慤ㄳ搳㝦㜲ㄶ㘴晦敢㥤〶晥愱晦つ敥㤶戸〹㉤搹晦㘷扡㙦㜱㘲晡㉦捥㠲散㝦㥢搳挰㍦昴扦摤摤ㄲ慢搰㤲晤㝦愵晢㙥㈷愶晦收㉣挸晥昷㍡つ晣㐳晦晢摣㉤昱〰㕡戲晦㕡扡ㅦ㜴㘲㍡㝥攳㕤㙥㠸㘵晦㠷摣㍤㙡ㅦ㜶户挴㘳㘸挹晥㠲㍤晥愲晡㔷扡晢㍦改敥㔱晢㤴扢㈵㥥㔵晤晢戰挷昳慡㝦㤵扢晦㡢敥ㅥ戵㉦戹㕢㐲扥㙣攰㙥改搵攸愱㉥〶㕦㍥攴㥥㜰つ㕥散〹㝦㔵攵㉤㔳昱㐵㐲慡㙡㙣搵㕦〳㔵㝣㈹㤰慡㤰慤㝡㈳㔰昵愶㔲昵户㔵㜲㜳敥㥢ㄷ㌷敢㌲搷㝡戶敡㥤挰㕣摣㜸㑢㤵㘱慢摥ぢ㔴㜱ㄳ㉤㔵ㅢ搸慡㌵㠱慡て㤴㙡愰慤㤲㥢㔹摦扣戸戹㤵戹㌶戲㔵ㅦ〷收攲㐶㔵慡㌶戱㔵㝦ぢ㔴㜱搳㈹㔵㥢搹慡捦〲㔵㥦㉢搵㄰㕢㈵㌷㝦扥㜹㜱㌳㈸㜳㙤㘱慢扥っ捣挵㡤㥤㔴つ戵㔵㜲㔳收换挵㑤㥡㔴つ戳㔵㜲㠳攵㔳㜱挳㈵㔵㕢摢㉡戹㔹昲愹戸㜹㤲慡㙤㙣㤵摣昸昸㔴摣〸㐹搵㜶戶㑡㙥㘲㝣㉡㙥㙡愴㙡〷㕢㈵㌷㈴㍥ㄵ㌷㈸㔲戵愳慤㤲㥢ぢ㥦㡡㥢つ愹ㅡ㘹慢攴㐶挱愷攲挶㐱慡挲戶㑡㍥昵㝤㉡㙥〲愴㉡㙡慢攴ㄳ摣愷攲ㄳ㕤慡攲戶㑡㍥㡤㝤㉡㍥㥤愵㉡㈹㔵㠶㝡ㅡち㍥㍦攵㈱慡㈷㝦戰て㔱㡤㐳摦ㅡ㥣㔷㤶㑦㐹ㄹ㜸挲ㄳ攰戳㔰〶晥攲〹昰㠹㈷〳㡦㝢〲㝣慥挹挰㘳㥥〰㥦㕥㌲昰愸㈷挰㘷㤴っ㍣攲〹昰㐹㈴〳て㝢〲㝣摥挸挰㐳㥥〰㥦㉡㌲昰㘷㑦㠰捦づㄹ㜸搰ㄳ攰ㄳ㐲〶晥攴〹昰㌹㈰〳て㜸〲㕣敤㘵㘰戵㈷挰㌵㕤〶敥昷〴戸㜲换挰㝤㥥〰搷㘷ㄹ戸搷ㄳ攰㉡㉣〳昷㜸〲㕣㙢㘵攰㙥㑦㠰㉢慡っ摣攵〹㜰摤㤴㠱㔵㥥〰㔷㐷ㄹ戸搳ㄳ攰ㅡ㈸〳㜷㜸〲㕣改㘴攰㜶㑦㠰敢㤹っ摣㔶ㅥ攸昷晦〰㍣慥㜹愲</t>
  </si>
  <si>
    <t>㜸〱捤㥤〷㤸ㅢ搵昵昶昷慥扤攳ㅤ搹㘶〷㌰摤㠰㙤扣㌴㠳㔱㉦づ挶摤挶戸㠱ぢ㈴戴㘵㈴㡤散挵㕢捣敥扡㔱㐲㈷昴ㄶ〸扤㤹ㄶ㝡㌳ㅤ㐲攸㍤昴ㅡ㝡㈷㐰㠰㠴㐰ㄲ摡昷扥㜷敥㤵㐶㌳戳扢摥晣昳㍤㑦戴搲搹戹攷扣昷摣慢㥦㘶㐶搲捣㤱㔴㈳㙡㙡㙡㝥挶㠵晦㜹改捦㠵愱昳㔶㜶㜶㌹慤愳㈷戵户戴㌸㠵慥收昶戶捥搱ㄳ㍡㍡散㤵㌳㥢㍢扢晡㐱㘰㌴㌵㈳摥㔹搷搴搹㝣愰㔳摦戴捣改攸㠴愸慥愶愶扥摥慣㐵㝣㈳㜵戳㜴挳㘴㉦戳㍦つ㔴㌵愶㐱㌳㠰愶㥥挶愴㠹搰っ愴ㄹ㐴㌳㤸㘶㉤㥡〶ㅡ㡢㘶㙤㥡㜵㘸搶愵ㄹ㐲戳ㅥ捤晡㌴ㅢ搰㙣㐸挳昱捤㡤㘹㌶㠱ㄹ㌴ㄴ㘶晥愴㠹㜳昲晢攳摥捣敢㙡敦㜰戶ㅢ戶扢㍢攷戱戱搸㘸晣㈵㤳搹搱搱敤㠶㑤㕡摡搲戵戴挳ㄹ摢收㉣敤敡戰㕢戶ㅢ戶敢搲㝣㑢㜳㘱㠶戳㜲㝥晢㘲愷㙤慣㤳㡦㈶昲㜶㌲ㅢ㑢愶㔲愵㕣㉥㍢㘸㔳㘴㥥㍤㘹攲慥ㅤ㑥愹昳扦㤵㜳㌳收㥣㌳㘹攲攸搹㑥搷㝦㉢攷收挸㠹㤴㤳摢㕢敤收戶晦㔲搲㍡㍥愶愹挹㑥愱㤹て扥攳㜴㌴户㉤ㅣ㡤㘹㔷㠱㐶㉢㌳㝡㐲㘷攷搲搶㈵㕣㡦㈶㌹㉤㉤㜳㥤㤲㝣搰㕢㈷㜷㜶敤㙡㜷戴㜶づ㙡㈵㍦愷挳㘹㉢㌸㥤㙢戵㑥㔹㔱㜰㕡㤴戰戳扥㜵㜷扢㘳戶摤敡昴攷㐲㐳慢晢ㄸ㑥㉦㍡㙤㕤捤㕤㉢〷户㉥攸㜴收摡㙤ぢㅤ㑡敡㕡愷㉤㙤㉥㡡晥晤㜱慤改户㔵搸捣攴〳㠵昹戴㑥㕡㘴㜷㜴挹ㄶㅦ挲㔸㤸搶戳扡挸㝢㔱㌵㉦慥㔲挳㝣扤昸㤸捤㙢㙥㥤攱㜴戴㌹㉤ㅣ㠴㡦攴㈸㥦㐸〲㜲ㅦ㠷㌲㈹㝤㜷昸㈸㠹㠱㙡攳攳㝤攱㈸挶㌰㤸㡤㘶户㜷戴㘲㠵㥣攵搸㙤㘳㘳搱攸㜶昳扡㡡㤳㥤㘵㘳攳㈹㜳㌸挲收〸ち户㠰ㄹ㌸搹㘹戵摢㡡㘳攲㠹搴ㄸ㜳㈴㐳㡤㌰愲晦敢搸挶扤㤹戹㥤搵㌶搹戵㑤昹摡愶㐲㙤㔳戱戶挹愹㙤㉡搵㌶㉤慣㙤㕡㔴摢搴㕣摢戴㝦㙤搳㘲㘸昴愵㝥挰㠰㕡㜵㜹愰搰㜲搳散晤㌳㌳㡦㍢昴㠵ㅦち㑦㕦㌹㔳㜰戳㤶㝢㠵慤戰搰挳㑣户㐶搸摣〶挶搸ㄶ愶㌲搳攴ㄸ㜳ㄴ㐳摢挱〸昱〲㘶捡搹敥㜶晤㔵晢晦㜶扦挹㌳づ扢敡昹㤱㤷㥣㝡捡㍥㠲㍢づ㌹捣㘸㉣昴㌰捣づ捣ㄵ㠵㌱㘲㌰攵㘱㤲ㄸ㈶捥㔰〲㐶㠸愷搴㌰㙦敥戲昸㡤㤷昷㝡㘱敡捤昱慤慥搹敢摢㉢㕡〵㜷㑤㜲㤸ㄴㄶ㝡ㄸ㈶捤㕣ㄹㄸ㈳ぢ㔳ㅥ㈶㤱ㄹ㘳收ㄸㅡ〳㈳挴挳㙡㤸扤扥摢㝥㜵戲敤昶㕤㡥摤㈸㜷敥摥てつ㜸㐵㜰攷㈷㠷搹ㄱぢ㍤っ㌳㤶戹㜶㠲㌱挶挱㤴㠷㠹愷挷㤸攳ㄹ㥡〰㈳挴ㅦ搴㌰㈳㕦㔹㙤㥣昷戱㤸㝣搶挱ㅢ㑦扡攱慣㉤㑥ㄶ摣搲攴㌰㤳戰搰挳㌰㤳㤹㙢ち㡣㌱ㄵ愶㌲っ敥捤㌴㠶㜶㠶ㄱ攲㜶㌵㡣昱搶㙤慢〶㙥㜵挲攴㈳户㝡㜳换慦㘷敥戲愳攰づ㕣づ戳ぢㄶ㝡ㄸ㘶〶㜳捤㠴㌱㘶挱㤴㠷㐹㐶挷㤸戳ㄹ㥡〳㈳挴㡤㙡㤸挳㍡ㅦ㥥㜴捥〵昳攷㕣㌴敥挰〳㕥ㄸ㌷愲㔶昰㈹㐲づ戳ㅢㄶ㝡ㄸ㘶㉥㜳捤㠳㌱收挳㤴㠷㐹挴挶㤸ぢㄸ摡ㅤ㐶㠸慢搴㌰㡢〶扥昵摢愶ㄵ搷捤㌸昶攵㑢慦昹晤㤷㙦㍥㈱〶㈲㉣㠷昹㈵ㄶ㝡ㄸ收㔷捣戵㈷㡣戱ㄷ㑣㜹㤸㈴愰敤捤搰㍥㌰㐲慣㔲挳晣㙤㔶昱愸昳㔳昳㈶慥晡扥敤慢敢㕡㕥扡㔹昰㘹㑥づ搳㠴㠵ㅥ㠶搹て㘱搳㠶㌱昲㌰攵㘱ㄲ㔸〵ちっㄵ㘱㠴㌸㑦つ㜳攲捣㔷㘳㡤慢㥦㥡㜲敥昹㘳ㅢ㡦摤昷戳ㅤ〵㥦㐸攵㌰㈵㉣昴㌰捣㐲收㕡〴㘳㌴挳㤴㠷㐹㘶挷㤸晢㌳戴ㄸ㐶㠸㌳搴㌰慢愶㡥㥦㜱散㍡〷散㝣捣愹㑤改㈱て晤㙥㤰攰㔳戵ㅣ愶ㄵぢ㍤っ搳挶㕣敤㌰挶ㄲ㤸捡㌰㠹㌱收〱っ㜵挰〸㜱㤲ㅡ收㤳㈳㤷戶愵敡ㅦ㥥㜲搶㐶㐳㈷扦㌱昴㠰㜷〴㕦っ挸㘱扡戰搰挳㌰㑢㤹㙢ㄹ㡣戱ㅣ愶㍣㑣㈲㍥挶㕣挱搰㑡ㄸ㈱㡥㔱挳っ戸㝡愳㜵敥摣昲扢搹慢㘷挵㍥搹㙢搳㝢扦ㄱ㝣戹㈱㠷㌹〸ぢ㍤っ㜳㌰㜳ㅤ〲㘳晣ㅡ愶㌲っ㔶攸㐳ㄹ㍡っ㐶㠸㐳搵㌰捦慥搸敤㥢昵昶敤摣攵搸㔵摦扥戴搹㌹敦㝥㉦昸㠲㐶づ㜳〴ㄶ㝡ㄸ收㐸㠴捤愳㘰㡣愳㘱㉡挳〰摡㌱っ晤〶㐶㠸ㄵ㙡㤸㝦㝤㤳扡攵捡换㕥㥦㜹挲ㅤ㝦㝤晤换㐷て晣㐸昰㈵㤳ㅣ收㌸㉣昴㌰捣昱捣㜵〲㡣㜱㈲㑣㜹㤸㈴搶戴㤳ㄸ㍡ㄹ㐶㠸〳搴㌰〷扥晥搸㜳㤳㘶㍤㍢晤㤲扤慥ㅡ㌰改摢挱㍢〸扥㈸㤳挳㥣㡡㠵ㅥ㠶㌹㡤戹㑥㠷㌱㝥ぢ㔳ㅥ㈶㤱ㅢ㘳㥥挱搰㤹㌰㐲散慦㠶㌹昸晥㝢摥㍣昴收㑢㘶㥤晢攱攷㘷㝥㜲昴愸敤〴㕦昶挹㘱捥挲㐲て挳㥣捤㕣攷挰ㄸ攷挲㤴㠷㐹㘲㉦㜰ㅥ㐳攷挳〸㔱㔰挳㜴敥㍡敢挲㍤ㄲ㡤㌳捦㍢㝢挹㑦㤹昸挷昷㡡昵㄰㤶挳㕣㠸㠵ㅥ㠶戹㠸戹㉥㠶㌱㉥㠱愹っ㠳㌵㙤ㄵ㐳㤷挲〸戱户ㅡ㘶挸㕥㉦ㅥ㌴愱晤愳㔹扦㝤戹㘳搹㈵㡢㌷㥦㈳昸搲㔵づ㜳㌹ㄶ㝡ㄸ收ち收扡ㄲ挶昸㍤㑣㜹㤸㌸㌶捦慢ㄸ扡ㅡ㐶㠸〵㙡ㄸ㘷搵〹慤㔳摦晥攵昸扢㍦㕢㜶捤㡦㌷ㅤ㤰ㄷ㝣㜱㉣㠷戹ㄶぢ㍤っ㜳ㅤ㜳㕤て㘳摣〰㔳ㅥ㈶㠹㤷ㄳ㌷㌲㜴ㄳ㡣㄰戳搵㌰敢昴扢㜲攱攳晢㥤㌹攱挲㠶挸戲捤ㄶ慤摣㕣㙣㠸戰ㅣ收ㄶ㉣昴㌰捣㙡收扡ㄵ挶戸つ愶㌲っ㔶㠱摢ㄹ扡〳㐶㠸㘹㙡㤸て㡥摦昴戲ㅦ㤷㕣㌰敢扥〱㥢㝤搳㍥戴㜱愴搸〸㘱㌹捣㕤㔸攸㘱㤸扢㤹敢ㅥㄸ攳㕥㤸昲㌰㜱っ昳〷㠶敥㠳ㄱ㘲扣ㅡ收愹ㅤ㥡搷敦摣㘸晣搴㈳㑦㥥昶愷昴戸㘳㥦ㄷㅢ㈳㉣㠷戹ㅦぢ㍤っ昳〰㜳㍤〸㘳㍣〴㔳ㅥ㈶㠱挷收㘱㠶ㅥ㠱ㄱ㈲愷㠶㜹昴昴㐵㥦㘶愶㌸戳慥㙤㕣㜷昹㘳㙢㡤晡㕣㙣㠲戰ㅣ收㌱㉣昴㌰捣攳捣昵〴㡣昱㈴㑣㜹㤸ㄴ㜶㌶㑦㌱昴㌴㡣㄰㜱㌵捣摣戵㝦扥摦晡㘹攱搴㔵〷㝥昶㔳昳㈵昵㌵㠳㥥㐱㜸㌷昵敡㜲㜲㠷扤ㅣ慦搷㉢㙦〵攲愳愳晣敢晤㍤㄰摥〲㤵㔲愵㑣㈹ㄶ㉢愶愲㜶挲慥ㅢ㡥戴㙢晡㘲㥢扢搵㐱愵㍤㥡摢㡡敤换攵慢敦愱ㄳ敤㑥愷昲㘲㝣㤴㡡㑤㙣㕦摡㔶散摣㈴㍣㌸慦换敥㜲㌶昶挷㉡㐹〲摤收攱扤㠹搳㈹挷摢捣摦㙤㜷扢㘵愹㌳㘱㐵戳ㅢ摥搴ㄷ挶㍢㤳昶㝣昷搱愹ㅤ捥〱攵㘸㘰㐶ㄳ昰搶㜹㤹捣ㅤ戸㤷㙥挸㥤搷戰㐹㡢摡㍢㥤㌶㌹扤㔱慤扢㌶ㄷㄶ㍢ㅤ昳ㅣ扥昱㜶㡡昲慥慥挷㤰㝡㝢㌴㙡㑥ㅢ敥㈸摥昰ㄴ㐷㜸扤愵㈹㉢扡㥣戶愲㔳挴㝣㤷㌸ㅤ㕤㉢攷摢昹ㄶ㘷晤㉡㠹㍢㈶〲ㅢ㔵戹愷戶ㄷ㤶㜶㑥㙡㙦敢敡㘸㙦愹㡥㑣㈸㉥戳昱㤶慣㌸慢扤攸攰ㅤ㔵㝦㕥㙡㐴㑤扦㝥㐲搴㙣ㅢ昶戶㠶㜹㍢㐷换〷挲昳㄰㙦㡡挷㝣挳敡搵㙥昴㕣摣㍢摣㡢ㄶ㠷敢㘴敤挸㕥㤲挹扣㑣戳㑤昷㐲捦㝤攲㔱ち慡户敥㕥㉤攷㔸㝥攴晥晦㡡㙢㙢搷㔵昷㝥捡㌲扣㙤摤ㄹ㙦捦㕡㥣㡥ㅥ㡦戱〸捥挸㝣ㄶ愶㙥〷㙣捤摤搲敢て㠵㔸㈱㔶搶㉤㙦㉥㜶㉤㌲ㄶ㌹捤ぢㄷ昱㜵ㄱ㡥挳搴搷ㄳ㙤攰㘲㍥て㤷昹〲捤㡢㌰㤱㐸㡤昱ㄲ㐵㐶挴㝣搹㙤搷㡤挰晦扥扦㈱慥㐵㉦㔳扥〱挷搱㤲捥扡搶愹敤ㅤ㥤晤晡㠵摤换㥤敤捥㐵㕤㕣㍤㝢づ㌲摦㉢㌴慦挲搴㡤㠴改昵晤㜶〳㐴晤㜹㔸㘱㜰敢㘴愷㘴攳㘰㡥摣扡㠵㕤搷敡ㅥㅦ㤸散㜴ㄶ㑣ㅥ㐸㤸㡥㙤㘵㠵㠱㈵㙣晣㠳㕡戹昶㍢㉢扡㈶摢㕤昶㠰㔶ㅣ㤲挰愳㘴㐲㌴㑡昶㜲㤷搸㜳戰昴改摥ㄱ搵㐲〶㑢㉥㝡戲っ㤴づ㌷ㄳ㌶ㅣ㙣㉦㌵晤㤴敤昹㑥㘰敥㥢攱㑥ㄸ晥ㄵ扤晡搰〲㡥㜸ㄴ愷㌹㙤昳㔷㉥㜱㍡㈹慦㌷㝡㐴改摦扣㤸㙣㑥㈱扦愰慢戹愵㜳㌴㘶㍡慤愳㝤改㤲晦㘶ㅥ收㌲㕦㠳搱㤷扡㉤戱ㄶ慦昹㝤〲慥㥡〱换昸搸㌴㌵搵搴㌳ㅢ㍤收ㄶ㌴㕣㕢㤱散㘷晣㤳ㄷ昳㑤晣㡢昴ㄴ慢㙢㠴㘲㔴搸扥愰㥢挳㌰㜵搰て㙡〵愱昹ㅤ㡥㍣戰㔴㉦ㅢ愰㍤戸㜵㡦昶㡥挵昹昶昶挵㕣㥦搶㤲慤捥㐵㡥搳挵㠳㌵〳搵挱㈹㜹㄰㑡㠸㝥晤慡㡥户㜸㡥敡㙣㡥晣挶扢㌰㠳㈷戴戴っ搳ㄹ㍢㡤昷攰敡㠷挳㐶挶晢㔸ㄸ㍡愷愳攸㜴㙣扦㘰挹昶昳摢㠷攱愸搲搲ㄶ摢㍤㄰扢愲愵㜳㠵ㄸち〲㍣㐸㜲㝢㘳改搷㑦っ㜹㝤挲〵㌳敢晥昴㡢攳戶戶挵㈶㉡㄰㌸㐸戳㌵㜲づ挷捤晣〸㐶㙣〴ㄹ昷㉣㔸慥扥㤸㥦愰㙤㝥㑡昳ㄷㄸ散ㅦ㈴㜱散ㅥ㍥㜷㥢㘲ㅢ晣攷㉥挲晣㠲收慦㌰㘲ㄴっ㌷㔰昳㑢ㄸ㝤ㄱㄶ昲昳㜱㤷㡦摤戶㜰〷ㅦ扢扦挳ㅢ㌱㝢㠸㠹敤愰攰攳㘷㤲㤷㐹㐲㈶改〸〳㠹㐳〱搴愹㐰攰昰搱づ攸㈶〱晣挰晥晤㈰ぢ〷昰ㄳ挷㈰ㄸ㤳㙢㥤〷㐰慤摢ㄴ㔱挴㈴㠰㝥㜰㤸㍣㘰㉥攲㜰㐹〰㜵㘸改㡢昸昷㑦ㅥ〰㌱戸㠳〰㑣收㌴㝢㠸㠹〴晡㠵〱昸ち挹㐳〱㝣愹〲㠱〳㕢㘹㘴ㅡ捥㔹慣挳㈹㝦〱㔹㌸㠰㈱〸㥢敢搱慣て攳〱戰愱摢ㄴㄹ㈴㤱〰㌶愲㘸㘳ㄸ㤱㠳㑢〲搸〴㉤㝤ㄱㅦ㜸〱㘴攱づ〲搸㥣㌹捤ㅥ㘲㘲っ晡㠵〱㜸扤㍢〰慦愹㐰攰㤰摢㔸㘴ㅡ捥㔹㙣捤㈹扦搲㉤㠰㙤ㄱ㌶㐷搱㙣〷攳〱㌰摡㙤㡡㥤㤰㐴〲搸㠱愲㈸㡣ㄸて㤷〴㄰㐳㑢㕦挴㥦扣〰挶挱ㅤ〴㤰㘲㑥戳㠷㤸㤸㠰㝥㘱〰ㅥ敡づ挰㠳㉡㄰㌸ㄸ㌸ㄹ㤹㠶㜳ㄶ㍢㘱㔰㜱㝦户〰挶㈳㙣㑥愰㤹〸攳〱㌰搹㙤㡡㈹㐸㈲〱㑣愱㘸㉡㡣攰㔱㐲〹㘰ㅡ㕡晡㈲敥昰〲㤸ち㜷㄰挰っ收㌴㝢㠸㠹㥤搱㉦っ挰昵摤〱戸㑥〵〲㠷㈹㘷㈰搳㜰捥㘲㍥愷㝣㑤户〰㜶㐷搸摣㠳收㤷㌰ㅥ〰㝢扡㑤㌱ㄳ㐹㈴㠰扤㈸摡ㅢ㐶捣㠶㑢〲搸〷㉤㝤ㄱ慢扣〰㘶挱ㅤ〴㘰㌳愷搹㐳㑣捣㐱扦㌰〰㘷㜷〷攰㉣ㄵ〸ㅣ㐰㥤㡢㑣挳㌹㡢晤㌹攵㌳扢〵搰㠲戰搹㑡搳〶攳〱戰挴㙤㡡㜹㐸㈲〱ㅣ㐰㔱〷㡣㔸〰㤷〴搰㠹㤶扥㠸ㄳ扤〰收挳ㅤ〴戰㥣㌹捤ㅥ㘲㘲㜷昴ぢ〳㜰㐴㜷〰づ㔷㠱挰愱摤㕦㈱搳㜰捥攲㌰㑥昹搰㙥〱ㅣ㠱戰㜹㈴捤㔱㌰ㅥ〰挷戸㑤戱㈷㤲㐸〰扦愱攸㔸ㄸ戱㌷㕣ㄲ挰㜱㘸改㡢㔸收〵戰ㄷ摣㐱〰㈷㌱愷搹㐳㑣散㠳㝥㘱〰㕡扡〳戰㔸〵〲〷㥤昷㐳愶攱㥣挵敦㌸攵收㙥〱㥣㡤戰㜹づ捤戹㌰ㅥ〰攷扢㑤㘱㈳㠹〴㜰〱㐵ㄷ挲㠸〲㕣ㄲ挰㐵㘸改㡢搸捦ぢ㈰て㜷㄰挰愵搰㐷捣ㅥ㘲愲㠸㝥㘱〰㜶敦づ挰〲ㄵ〸ㅣづ攷㘱敥攱㥣挵戵㥣昲扣㙥〱㕣㡦戰㜹〳捤㡤㌰ㅥ〰㌷扢㑤戱〸㐹㈴㠰㕢㈸㕡つ㈳昶㠷㑢〲戸ㄵ㉤㝤ㄱ扢㜸〱㌴挳ㅤ〴㜰㈷㜳㥡㍤挴挴㘲昴ぢ〳㌰扥㍢〰攳㔴㈰㜰愰扥つ㤹㠶㜳ㄶて㜰捡㘳扢〵昰㄰挲收挳㌴㡦挰㜸〰㍣收㌶㐵㍢㤲㐸〰㡦㔳昴〴㡣㌸〰㉥〹攰㐹戴昴㐵㈴扤〰㤶挰ㅤ〴昰っ㜳㥡㍤挴㐴〷晡㠵〱搸戶㍢〰摢愸㐰攰ㄴ挲㔲㘴ㅡ捥㔹扣捡㈹㙦搵㉤㠰搷ㄱ㌶晦㑣昳〶㡣〷挰㕢㙥㔳㉣㐳ㄲ〹攰㙤㡡摥㠱ㄱ㉢攰㤲〰摥㐵㑢㕦挴㘶㕥〰换攱づ〲昸㤰㌹捤ㅥ㘲㘲㈵晡㠵〱ㄸ搲ㅤ㠰㜵㔵㈰㜰㜲攳㘰㘴ㅡ捥㔹晣㤵㔳㕥扢㕢〰㕦㈱㙣㝥㑤昳㌷ㄸて㠰㙦摣愶㌸〴㐹㈴㠰㝦㔰昴㉤㡣㌸ㄴ㉥〹攰㍢戴昴㐵搴㝢〱晣ㅡ敥㈰㠰敦㤹搳散㈱㈶づ㐳扦㌰〰㍦晤搸捤㑢攱ㅦ㔵㈰㜰摡攵㐸㘴ㅡ捥㔹昴慦挵㤴扦㠷㉣晣愵戰㠱戰㌹㠰愶ㅥ挶〳㈰攲㌶挵㔱㐸㌲㠲㠹〶㔲㌴〸㐶ㅣ㠳愶〴㌰ㄸ㉤㝤ㄱ㝦挳ㄸ攵㌷㐳㐷挳ㅤ〴戰㌶昴ㄱ戳㠷㤸攰㔹㥥㌰〰㥦㜴〷攰㘳ㄵ〸㥣㄰㍡ㅥ㤹㈴㠰㡤㌹攵て扢〵㌰ㄴ㘱㜳㔳㥡捤㌸扢捡扢挱㘱㙥㔳㥣㠰㐴㈳㜸㜷㠶㔳㌴〲㐶㥣㠴愶〴戰〵㕡晡㈲摥昰〲㌸ㄱ敥㈰㠰慤愰㡦㤸㍤挴挴挹攸ㄷ〶攰昹敥〰㍣愷〲㠱㔳㔵愷㈱㤳〴㄰攵㤴㥦改ㄶ㐰ㅣ㘱㌳㐱㤳攴散㉡〰搲㙥㔳㥣㡥㐴㈳㜸㜷㌲ㄴ㘵㘱挴ㄹ㘸㑡〰㌹戴昴㐵㍣攲〵昰㕢戸㠳〰挶㐲ㅦ㌱㝢㠸㠹㌳搱㉦っ挰㍤摤〱戸㕢〵〲㈷搱捥㐶㈶〹㘰㉡愷㝣㘷户〰㜶㐶搸㥣㑥戳ぢ㘷㔷〱㌰搳㙤㡡㜳㤰㘸〴敦捥㉣㡡㘶挳㠸昳搰㤴〰收愰愵㉦攲㐶㉦㠰㜳攱づ〲㤸〷㝤挴散㈱㈶捥㐷扦㌰〰㔷㜴〷攰㜲ㄵ〸㥣摥扢〸㤹㈴㠰扤㌹攵㑢扢〵戰㉦挲㘶ㄳ捤㝥㥣㕤〵㐰摥㙤㡡㡢㤱㘸〴㙥㘶㠱愲㈲㡣㔸㠵愶〴攰愰愵㉦攲㕣㉦㠰㑢攰づ〲㘸㠶㍥㘲昶㄰ㄳ㤷愲㕦ㄸ㠰㔳扢〳㜰㡡ち〴㑥㍣㕥㠱㑣ㄲ㐰〷愷㝣㔲户〰扡㄰㌶㤷搲㉣攳散㉡〰㔶戸㑤挱㤳㤲㈳㜸㜷㔶㔲㜴㈰㡣戸ち㑤〹攰㈰戴昴㐵ㅣ攵〵昰㝢戸㠳〰づ㠵㍥㘲昶㄰ㄳ㔷愳㕦ㄸ㠰〳扢〳戰㔲〵〲愷㐴慦㐳㈶〹攰㔸㑥㜹㜹户〰㡥㐷搸㍣㠱收㐴捥慥〲攰㘴户㈹慥㐷愲ㄱ扣㍢愷㔰㜴㉡㡣戸ㄱ㑤〹攰㌴戴昴㐵戴㜹〱摣〰㜷㄰挰㤹搰㐷捣ㅥ㘲攲㈶昴ぢ〳㔰散づ㐰㐱〵〲㈷㙢㔷㈳㤳〴㜰㈱愷㙣㜷ぢ攰㘲㠴捤㑢㘸㔶㜱㜶ㄵ〰㤷戹㑤㜱㉢ㄲ㡤攰摤戹㥣愲㉢㘰挴敤㘸㑡〰㔷愲愵㉦攲㤷㕥〰户挱ㅤ〴㜰つ昴ㄱ戳㠷㤸戸〳晤挲〰捣敥づ挰㉣ㄵ〸㥣㐶扥ㅢ㤹㈴㠰搵㥣昲㡣㙥〱摣㠶戰㜹㍢捤ㅤ㥣㕤〵挰㕤㙥㔳摣㠳㐴㈳㜸㜷敥愶攸ㅥㄸ昱〷㌴㈵㠰㝢搱搲ㄷ㌱搱ぢ攰㕥戸㠳〰敥㠷㍥㘲昶㄰ㄳ昷愱㕦ㄸ㠰㙣㜷〰㌲㉡㄰㌸挱晤〰㌲㐹〰㑦㜰捡愹㙥〱㍣㠵戰昹㌴捤㥦㘰㍣〰㥥㜵㥢攲㐱㈴ㅡ挱扢昳ㅣ㐵捦挳㠸㠷搱㤴〰㕥㐰㑢㕦挴㜶㕥〰て挱ㅤ〴昰ち昴ㄱ戳㠷㤸㜸〴晤挲〰㡣攸づ挰㜰ㄵ〸㥣㝡㝦ㅣ㤹㈴㠰㜷㌸攵捤扢〵昰ㅥ挲收晢㌴ㅦ㜰㜶㤵㌵攰㈳户㈹㥥㐰愲ㄱ扣㍢ㅦ㔳昴〹㡣㜸ち㑤〹攰㔳戴昴㐵慣敦〵昰㈴摣㐱〰㕦㐰ㅦ㌱㝢㠸㠹愷搱㉦っ挰愰敥〰っ㔴〱㝦㔱㐰摤戳挸搴㠷㤳戹〳㌹攱搲敥捤捥㜲㥥㝤㕡慢㠴晡摢㐹㑢㍢扢摡攵愹戲挱愵挹敤戳摢扢㈶㌷㜷㉥㘹戱㔷慥㕢㔲ぢ㝢㉣㜲摡㜰㈲扢〳攷戳㝤扥昶㈵㑢㥣愲㔹㥡搷扥戴愳攰㑣㥦晣扦㜰愲ㅢ昷てて㥤㍣挷㕤㉢㜰昹捦捥摤搶愰㈷搶ㄲ㕣㙡敡㥥㐷㐲晦㈹㌸㔹〵散㌹㕤㉥ㄷ㉤〸ㅢ㉡㐴攷㌷㜷戵㌸〳㑢昲㔴戵㕣慥㉦㠱㈲慡〳㡡〳㑡昳ㄷ攱搴搴攴挱愵㘹ㅤ捤挵㤶收㌶㠷て挶㄰㔷㍡搳㔹㠸㑡㠰㕤摢㍢㥢㜹扥㘸㜰㘹㝥㠷摤搶戹㠴㈷㌵ぢ㉢搷愹㙡挹戳㥦㜵愵㠹捤㙤㥤ㄸ㐶㍥㡡㕣㙥㈸捤㕢搴扥ㅣ戵晦㑢㕢摢愶搹㑢㍡晦㈷ㅥㄵ挱㠷㐵㕥攴㐳㈳㙡㐵㙤慤愸慦慤晦㑦ㅦㅦ攳㕢㙣㘳敢扡㔵搵挳戰㥥㜶㜵㌴攷㤷ㄲ㤸ㅣ㈳づ摢㥦㐶㍥㠶㌵㜵㉦㘰挹㝦晡搲昳㄰晡㙡て㌸搷慡㥡昶搰搳攰攵て㔴㙣ち戹昹ㅤ愶㌳攸㥦㌰扢㑣㕢㌰扤㔲㤵昳㝦晡㜴㐲摤㡢挸扣挶㐵㄰敢㐱扣㤶扢ち戱㌰㠲㙢ㄴ戶㑣慣〹㙣昹㔷换㐸㐹㙡戸㠶慥㔵㔹㥣㡡昳攸㠳㑡㌳敤扣搳㠲搳晦慤㜶搷㕡㙥㠳攷㕥㔱扤摥愹㘲㤳摡㕢㕢㙤慥㜲慣挱㥦㔷戰㕢㥣晡搲㠴愵㕤敤戳㥡摢捣ㄲ㡣㕣㉦㤵换㕥〱㤷扤挲㍤㔱㕦㥡换戲㈰戹捣㕣敤ぢ敤㡥收慥㐵慤捤㠵㝡㌶㔸扡昳㍦戱慥㘲晦搱ㅦ㌰昵㐵敦㑢晣㘷晥摤昳敦㜸戸㐷愳㔸㠶攸昸昰㘳㡤慥ㄵ〶晥挴㝦㔸㌵㠲㍤㡦㝣㐲㌱晦㡤㙣㜵戸挹㕤㤱㥣换㔷昲㔴㉣ㄶ扦㍡ㄴ慢愸摣㌹㠹㤷㈹挰捤晣ㅥ㔲㉥昰搶晦ㄵ㤸ㅥ㑢ち〶㐰㄰㤹搹㙥ㄷ愷摡〵㝣㥥㘶㠰晡㌴㑤㍤ㅥ㕡敥㙡㍡㉣ㄶ㜹㑣㐲摤㄰敡㤱㤶㌵攳㐴㜶㍤ㅤ昳昰㘹愱晥㉣て㌱摣挷㄰愷扢晢搵搴搵つ慣てㅢ㙢扡捥㌵㔲㥤㍡昷㝥ㅡ㘹㝡㈰晦攷扢㘵挷昱摥㐶㈲昲㈹敡〷㉣㥢㍦昲㍥扤ち㈷敦㡦㑦昰ㄳ〵㍦挳搴扤㠶愰晦戱愹慥户㐰㔵㠶〹㔱㝦昹㌹ㄴ㔶㠲搴愳㙡㐲㤶㤰搴挹㍢㌲搰㔳晡㘱戸㔵ㅦ昵晡挳㉤挶㍣慣攵㑥㌱攲敥㕦㔹㘲㠲㘷㠶㥡摡摡晥㜸愸つ㝦搹㕣㘰㔸㈴㙢㥤攷挸㥡㄰戱ㄹ愶㘰戰㑥㜰㕤㙥㉣挸摦攴晤慣挷㑢㠸攲㥣昶捦昸㈷㉦㤱㠸㔹ぢ㙤㑤㐴扣〹慢〱っ愲挷㈵〴昴㌸晥〵㈳㍥㠲㤳㉦〳㍣㑦㕡攲ㄳ㌴昹挴㠵愳㝡㘰㈴㉦扥㥤愲昸ㄴ㕥敥ㄸ㑤㠳㐹晥㠲㈵敥㙦捡敢㕦㍤扣扤慦㝦㥦戳〷㙥㈶㍦㈱愶搷㍦昱〵㍣㝡捡ㅣ㕥㑤㌹〲㡤㌹㤰挲扦㠶ぢ〶㔱㌰㤸㠲㉦㈱攰〳㙢慣㠵㔶㄰ㄸ㍥ぢㄲ〲捣㠲ㄶ挰晥敥㐹敥〱戶㌶㤳慦挳攴㍦㐰攰〷昶ㄳ㝣扤〰攳㘳㈳㠱つ㘱ㄲ摥摢㉡㘰敢挳摢㍢戰㕡㜴㤳挰㌶㤰㐹摣㠶㘰㈹㐲〸戰つ愱㌱㌷愲㤰㘵ち㈱㠲㡤㈹搸㠴〲㔶㉥㐸㘰㐳搱ち〰攳㠷㘷㐲㠰㙤〶㉤㠰戱㡡㐱㈷昷〰摢㥣挹㠷㌱㌹㉢づ晣挰㔸㘶搰ぢ㌰ㄶ㈱㐸㘰㈳㤸㠴搵〸㔵挰㐶挲摢㍢㌰㔶㉤攰㡡て㐲㌱〹ㄶ攴㡤愵ぢ㝡捡㥥㌵㙣㑢㘸捣慤㈸㘴㔹㐳㠸㘰㙢ち戶愱㠰㤵づㄲ搸戶㘸〵㠰昱㘳㐰㈱挰戶㠳ㄶ挰㌶昷㈴昷〰摢㥥挹㐷㌳㌹㉢ㄴ晣挰㔸㤶搰ぢ㌰ㄶ㉤㐸㘰㔱㈶㘱昵㐲ㄵ戰㌸扣扤〳㘳㤵〳慥㌸散挹㈴ㅡㄸ㑢ㅤ㐲㜸㈴愱㌱㔳ㄴ戲っ㈲㐴㤰愶㈰㐳〱㉢㈳㈴戰㉣㕡〱㘰晣㐰㔳〸戰㌱搰〲ㄸ慢㈴㜴㜲て戰㕦㌰昹㡥㑣捥㡡〶㍦戰昱昰昵〲㙣〲㈴ㄲ搸㑥㑣㌲ㄱ慤㉡㘰攳攱敤ㅤㄸ慢㈲㜰㐵挹〴㤳㘸㘰㉣㡤搰㔳昶慣㘱ㄳ愱㌱㈷㔱挸戲㠹㄰挱㘴ち愶㔰挰㑡ち〹㙣㉡㕡㐱㘰攱㙢搸捥搰〲ㄸ慢㉡㜴㜲て戰改㑣扥ぢ㤳戳〲挲て㡣㘵て扤〰㘳㔱㠴〴㌶㤳㐹㔸ㅤ㔱〵㙣㌶扣扤〳㘳ㄵ〵慥昸戸ㄷ㤳㘸㘰㉣愵搰㔳昶〰摢ㄵㅡ㜳㌷ち㔹㘶ㄱ㈲㤸㑢挱㍣ち㔸㜹㈱㠱捤㐷㉢〰㡣ㅦ㌲ぢ㔹挳㜶㠷ㄶ挰㙣㑦㜲て戰㍤㤸晣㤷㑣捥㡡〹㍦㌰㤶㐹昴〲㡣㐵ㄴㄲ搸㥥㑣挲㙡㡡㉡㘰㝢挳摢㍢㌰㔶㕤攰㡡㑦㤴㌱㠹〶挶搲㡢㄰ㅥ晢㐲㘳㌶㔱挸戲㡣㄰挱㝥ㄴ搸ㄴ戰㔲㐳〲换愳ㄵ〰挶㡦换㠵〰㉢㐲ぢ㘰慣摡搰挹㍤挰ㅣ㈶㉦㌱昹㘱㄰昸㠱ㅤ〱㕦㉦挰㔸㜴㈱㠱㉤㘲ㄲ㔶㕦㔴〱摢ㅦ摥摥㠱戱㑡〳㔷㝣㘸㡤㐹㌴㌰㤶㙡攸㈹㝢搶戰ㄶ㘸捣㔶ち㔹挶ㄱ㈲㘸愳愰㥤〲㔶㜶㐸㘰㑢搰ち〰攳〷晦㐲㠰㜵㐰ぢ㘰慣昲搰挹㍤挰㍡㤹㥣㥦慡ㄷ慣挸昰〳㘳ㄹ㐶㉦挰㔸愴㈱㠱㉤㘳ㄲ㔶㙢㔴〱㕢〱㙦敦挰㔸搵㠱㉢㡥攱㌳㠹〶挶搲づ㍤㘵て戰〳愱㌱て愲㤰㘵ㅦ㈱㠲㠳㈹㌸㠴㠲㡢㈰㤰挰㝥㡤㔶〰ㄸ㍦挲ㄸ〲散㌰㘸〱㡣㔵㈱㍡戹〷搸攱㑣㝥〴㤳戳㠲挳て㡣㘵ㅢ扤〰㘳㔱㠷〴㜶ㄴ㤳戰扡愳ち搸㌱昰昶づ㡣㔵㈰戸攲愳㜷㑣愲㠱戱ㄴ㐴㑦搹〳散㔸㘸捣攳㈸㘴㤹㐸㠸攰㜸ち㑥愰㠰㤵㈳ㄲ搸㠹㘸〵㠰昱挳㤸㈱挰㑥㠶ㄶ挰㔸㐵愲㤳㝢㠰㥤挲攴愷㌲㌹㉢㍥晣挰㔸收搱ぢ㌰ㄶ㠱㐸㘰愷㌳〹慢㐱慡㠰㥤〱㙦敦挰㔸㌵㠲㉢㍥摤挷㈴ㅡㄸ㑢㐷昴㤴㍤挰㝥〷㡤㜹ㄶ㠵㉣㉢〹ㄱ㥣㑤挱㌹ㄴ戰搲㐴〲㍢ㄷ慤㈰㌰㝣㐲㌲〴搸昹搰〲ㄸ慢㑥㜴㜲て戰ぢ㤸晣㐲㈶㘷㠵㠸ㅦㄸ换㐲㝡〱挶愲ㄱ〹散㘲㈶㘱昵㐸ㄵ戰㔵昰昶づ㡣㔵㈶戸攲〳㠴㑣愲㠱扤㡤㈵㍤㘵て戰换愰㌱㉦愷昰㥤㜰挱ㄵㄴ㕣㐹挱扢㄰㐸㘰扦㐷㉢〰㡣ㅦ㤰つ〱㜶㌵戴〰挶㉡ㄵ㍤扡〷搸㌵㑣㝥㉤㤳戳愲挴て㡣㘵㈴扤〰㘳㤱㠹〴㜶㍤㤳戰摡愴ち搸㡤昰昶づ㡣㔵㈹戸攲㌳㡡㑣愲㠱戱㌴㐵㑦搹〳散㘶㘸捣㕢㈸㘴搹㑡㠸㘰㌵〵户㔲挰㑡ㄶ〹散㌶戴㠲挰挲㕦㔶摣〱㉤㠰戱慡㐵㈷昷〰扢㤳挹敦㘲昲晥㤸㤳ㅦㄸ换㑥㝡〱挶愲ㄴ〹散ㅥ㈶㘱㜵㑡ㄵ戰㍦挰摢㍢㌰㔶戱㘰㝥昸ㄸ㈴㤳㘸㘰㉣㘵搱㔳挶愲㝥昳晤㐷㘸捣晢㈹㘴㤹㑢㠸攰〱ちㅥ愴㠰㤵㉦ㄲ搸㐳㘸〵㠱㠵㙦㤲㡦㐰ぢ㘰慣㠲搱挹㍤挰ㅥ㘵昲挷㤸㥣ㄵ㉢㝥㘰㉣㔳改〵ㄸ㡢㔸㈴戰㈷㤸㠴搵㉣㔵挰㥥㠲户㜷㘰慣㝡㤱挰㥥㘶ㄲつ㙣㌸扣㝡捡㔸搴挰晥〴㡤昹っ㠵㉣㡢〹ㄱ㍣㑢挱㜳ㄴ戰㔲㐶〲㝢ㅥ慤〰㌰㝥晣㍡㘴㤳㝣ㄱ㕡〰㘳搵㡣㑥敥〱昶ㄲ㤳扦捣攴慣㜰昱〳㘳㔹㑢㉦挰㔸昴㈲㠱扤捡㈴慣㝥愹〲昶㍡扣扤〳㑢愳㥢〴昶㘷㈶搱挰㔸㉡愳愷㡣㐵つ散つ㘸捣㌷㈹捣㠶ぢ摥愲攰㙤ち㔸㔹㈳㠱扤㠳㔶〰ㄸ㍦㐸ㅥ〲散㍤㘸〱㡣㔵㌶㝡㜴て戰昷㤹晣〳㈶㘷㐵㡣ㅦㄸ换㘰㝡〱挶㈲ㄹ〹散㈳㈶㘱戵㑣ㄵ戰㑦攰敤ㅤㄸ慢㙡㈴戰㑦㤹㐴〳㘳㘹㡤㥥㌲ㄶ㌵戰扦㐰㘳㝥㐶㈱换㙥㐲〴㥦㔳昰〵〵慣挴㤱挰晥㡡㔶〰ㄸ㍦ㄲㅦ〲散㉢㘸〱㡣㔵㌹㍡戹〷搸搷㑣晥㌷㈶㘷〵㡤ㅦㄸ换㘶㝡〱挶愲ㅡ〹散ㅢ㈶搹て慤㉡㘰摦挲摢㍢㌰㔶攱㐸㘰摦㌱㠹〶挶㔲ㅣ㍤㘵㉣㙡㘰晦㠴挶晣ㄷ㠵挵㜰挱扦㈹昸㥥〲〷〲〹散〷戴㠲挰挲㥦㈵㝦㠲ㄶ挰㔸挵愳㐷昷〰晢㤹挹㙢㜰㙡㐰戰攲挶て㡣㘵㌶扤〰㘳ㄱ㡥〴㠶愳挷㌵㘲ㄹ㕡㔵挰昰改摣㌵〰戶〲摤㈴戰㍡㈶搱挰㔸扡愳愷㡣㐵つ捣㠰挶ㅣ㐰㈱换㝡㐲〴昵ㄴ昰㡢扤〴㉢㝤㈴戰〸㕡〱㘰晣㥡㠲㤰㌵㙣㄰戴〰挶慡ㅦ㥤摣〳㙣㌰㤳慦挵攴慣搰昱〳㘳㔹㑥㉦挰㔸戴㈳㠱㔹㑣挲敡㥤㉡㘰敢挰摢晢ㅡ挶㉡ㅦ〹㙣㕤㈶搱挰㔸敡愳愷㡣㐵つ㙣〸㌴收㝡ㄴ戲っ㈸㐴戰㍥〵ㅢ㔰挰捡㈰〹㙣㐳戴〲挰昸㠵ぢ㈱挰㌶㠶ㄶ挰㔸㈵愴㤳㝢㠰㙤挲攴㐳㤹㥣ㄵ㍤㝥㘰ㄷ挳搷ぢ戰㑢㈰㤱挰㌶㘳ㄲ㔶晢㔴〱ㅢ〶㙦敦挰㔸ㄵ㈴㠱つ㘷ㄲつ散㜲㜸昵㤴戱愸㠱㡤㠰挶摣㠲㐲㤶つ㠵〸㐶㔲搰㐸〱㉢㠹㈴戰㉤搱ち〲ぢ摦改㙦つ㉤㠰戱慡㐸㈷昷〰摢㠶挹户㘵㜲㔶〰昹㠱摤〶㕦㉦挰㔸ㄴ㈴㠱㙤挷㈴㜷愰㔵〵㙣㌴扣扤〳㘳ㄵ㤱〴戶〳㤳㘸㘰㉣㈵搲㔳挶愲〶ㄶ㠵挶㡣㔱挸㌲愳㄰㐱㥣㠲〴〵慣㍣㤲挰㤲㘸〵㠰昱㑢㌰㐲搶戰㌴戴〰㜶扦㈷戹〷㔸㠶挹戳㑣捥㡡㈱㍦㌰㤶〹昵〲㡣㐵㐴ㄲ搸ㄸ㈶㘱㌵㔱ㄵ戰ㅤ攱敤ㅤㄸ慢㡥㈴戰戱㑣愲㠱戱昴㈸㠴挷㑥搰㤸攳㈸㘴㔹㔲㠸㘰㍣〵ㄳ㈸㘰愵㤲〴㌶ㄱ慤〰㌰㝥㥤㐷〸戰挹搰〲ㄸ慢㤶㜴㜲て戰㈹㑣㍥㤵挹摦㠱挰て㡣㘵㐵扤〰㘳搱㤱〴戶㌳㤳戰晡愸ち搸㉥昰昶づ㡣㔵㑡ㄲ搸っ㈶搱挰㔸慡愴愷㡣㐵扤㠶捤㠴挶㥣㐵㈱换㤸㐲〴戳㈹㤸㐳〱㉢㥢㈴戰㕤搱ち〰攳ㄷ㤳㠴〰㥢ぢ㉤㠰戱捡㐹㈷昷〰㥢挷攴昳㤹㥣㌵ㄱ㜲搲ぢ搸㔲㤳慥攳㜹㙤晦改摡挰愹㜴㌹㐲㠹㈷搵攷㜵慤㙣㐱㈱〳ㄷ㜹晡搶㕤攲㠹攸㠸昴攱愴㜲㝢〷㑥㡥昵昷㝦挷㐲戹敦㌳ㄸ㜸攰㄰摦昷㔷挸㙥㡣昰㥣㝤摤搵摦〷扦愳愱摣㥦ㄳ慦㝣㤸㥤㝤㜸㌱昶挰ㄴ㠷捣㙡㉥㜴戴㜷戶㤷扡㠶捤㐳㤱捥㌰㝥ㅦ㐸愹愶㈶㍡愱敥昷挸ㄸ㍡㈶敦㔸晦㌶㝥搹攱㌲㝥㍥㍥戲戸慤㝤㜹㥢㥣㑤㕤㈷扦ㄶ㐵昲ㅡ㌰㠰挳㐴㌸づ㉦㕢〰㥥挵昳晢散㙣晥ち㜶㜰㍦㡢㈷挸㜱慤㌱昶㐴扢㜱搲挴㐹㜳㥢㑡昸㔶㤷㔴㈲ㅦ㑢㤷ㄲ㜶㌲㤱戳戳戱㐲㍣敢㐴㘳挹㔲㈹㤷捡㘵㔲挶㕥㘵愹㤳换攷搲戹㘴扡ㄴ㡦攷㤳戹㠴㥤㉢挶㑡昹㑣㍥ㅤ㑢摢挵㙣㈲㥦戴㜸敡㥤改捤扤搱挷摣〷挶攲ㄹ㜷改摡㤷慥㈶扡㜸晥扤㕡㔵㔷㡢ㄷ㐹㙢㝡㕡ㅣ㈹㙡㐴㕥ㄴ㐴㔱㌸晤〷っ㄰㡤扥て昹〷㑥愷㤷扦㌱挱㌰㜸㌶扤敥㐲㘰㕥戳㑥搵㡦㈲㍢昳愵㥥㔹攰㕤㈹挲㐴慣㝥㜰搰㘷㌸㘸慥㍤㘹㘲㔳昵㔷㔵ㅡ㈵戸〷挱㉤㉢〶昰ㅤ㤸㥤挶㐲㜸搶㠲挷㔳㍥㘴昵㔷㔹捣㐵〸㥡㈳㌸挶㜰ㄸ㘱挰㉦ㅦ摢挵昰㜳㐱摥敡攱攵昶㈰捥挰ㅤ攱㕡㠸〰㍥戸ち〹搷㈲㜱㍡㍣㕣㤳慡搷〴ㄳ㥤愸㌰摢㘱戱㈶㐴搰收㠳㘰㉣㐱摢㕤ㄳ㥣㐲㌲㤹挸挴㌲愹㐴㌱㤳㑣㈷愳搹㘸捥㜶㡡愹㔴㍣㤷㡤㐷攳㜹摢㌸愰㉣捤挶㤳愵㌴ㅥ晦㕣㍣㤶㑦攲㙢㙡散㜸㍣㥥㡤㐵㘳愵㜴搲挹㘷ち㔱㙢愰㑡㙦㜶愰㡦搹〹㘳つ搲慥捡㥡㌰㔸扢㈸㤰㔲㘱搱㠵㥢㌸ㄶ㜷㠱㡦ㄴ㤶㜱㝣㥡昱〳㘱㈲搶摡㜰㐸ㅦ㠹㥢攴㙢ㄲ愹戵㡥昶晦㥡慥㙤搸㙢㙢ㄸ㌱〴㝥挹昰㜰昸换っ搷㠷㔷㌲晣㌵㠶〸㌲㍣ㄸ摥㈰挳つ搰〹㐹㙡捣愳㘱挱㜰㐳戴㈵挳㘳搰㜶ㄹ愶愲㑥㈶て㘲挵㤸㤳〰愲㤲㥤㑢挷ㄳ㜶㌴㤵㉦挶愲㠹㐴㌱㘹晣愶㉣戵搳㤹㔸愲㤴㑣收搲搹㕣㌲㔷㑣㘱愳㑢愴戳㈵㈷㙥攷戲戹㔲摡戱㌶㔲改捤㘳搱挷㍣づ挶摡㔸扢㉡っ㌷搱慥戲㑡㙣㐶ㄷ㙥愲挳换昰ㄴ㘶㌹ㄵ㈶㘲㙤㡥㈰慥㌵愶㡦攱㌰敤㍦㠳摡㈸ㄵ㍢㤰攱〸㈶㘳敢㉣昸换っ㐷挲㉢ㄹ㉥ち㘵㔸ち㘵挸昳昱㐸㔲㘳㥥〷ぢ㠶㕢愲㉤ㄹ㥥㡦戶换㌰挱㉦搹㑤搸愵㙣㈹㥡㑡㘶昲昹㝣㉥㤷㉡攴㘳昹㐴㉡敦㘴敤㘲捣戸愰㈲㉤㌸昹㐲㍣㡦昵戵㤸㑣㐶戱晢㡡ㄵ昳愵㘸摡㐹搹㠵㜸戴㤸㑡㕡㍣慢捦昴收㠵攸㘳㕥〴㘳㙤慤㕤ㄵ㠶摢㘸ㄷ〵㔲㉡戶愳ぢ㌷戱户㤷攱攵㡣㕦〱ㄳ戱戶㐷㄰搷〰挳搱摡㝦㌵戵ㄹ㉡搲㌰㈲捡㘴㙣㕤〷㝦㤹㘱ㅣ㕥挹㜰㙥㈸挳㕤㐳ㄹ昲ㄴ㍤㤲攰㤰㈷㉣ㄸ㈶搱㤶っ㙦㐶㕢敤搵㡢搸㈲攳愵㐴㉡攵搸挹扣㥤捤㌹改㙣扡㔰戰ぢ挵㘴摡㜶攲㈵攳㤶戲戴㤸㉦㘶昳㜱ㅢ㥢㙥㌱㥡捣㤴㡡㜶ㄶ㙢㘵愲㤴㑦㤵ち〹ㅢ㙣㉤㥥攸㤷っ㔷愳㡦㜹㉢㡣㤵搶慥ち挳㡣㜶㤵㔵㘲っ㕤戸㠹愹㕥㠶㜷㌳换㍤㌰ㄱ敢ㄷ〸攲ㅡ㘰戸愳昶晦㤱摡㥤愸ㄸぢ㈳㜶㘲㌲戶ㅥ㠴扦捣㜰㍣扣㤲攱㡥愱っ挷㠴㌲㥣㠰㑥㐸㔲㘳㍥ちぢ㠶ㄳ搱㤶っㅦ㐳㕢㌱戴㡢挵㐲㤲㍢户㘸㈱ㄹ㑢攰ぢ愰愳㠹㜸㉣㤱㡥㤶戰㤳捣攷搳挶攳㘵愹㙤㤷攲㠹㔸捣㠹愵搲昹㘴㌶ㄱ捤摡㜹㍢㕡挸搹㜶㈶㥡捦挷㑢ㄹ㙢㤲㑡㙦㍥㠱㍥收㤳㌰搶㘴敤慡㌰㘴〱㠰㈴㑤㠱㤴㡡㥤改挲㑤㐴扤っ㥦㘳晣㜹㤸㠸㌵ㅤ㐱㕣〳っ㜷搱晥㤷愹㥤㐲挵㘴ㄸ㌱㤳挹搸㝡つ晥㌲挳搹昰㑡㠶㕢㠶㌲ㅣㄹ捡㤰㈷昲㤱〴㠷敦㘰挱㜰㔷戴㈵挳户搰㜶ㄹ收散㑣㉥ㄳ㉢㘶ぢ戹㠲㥤㉣㐵昳戹㔲扥㤸㑥愵攳㘹慣㤸愹㈲ㄸ扥㕤㤶ㄶ戰〱愷ㄲ㌹愷攰㠰愱㤳㡥攷㔳搱っ㥥㑤愲㑥㉣㙦攳昵㐵挶摡㑤愵㌷摦㐱ㅦ昳㕤ㄸ㙢慥㜶㔵ㄸ戲㈶㐰㌲㉣慢挴敥㜴攱㈶㌶昶㌲晣㤸㔹㍥㠱㠹㔸㝢㈰㠸㙢㠰攱㉦戵晦㜳㙡㘷㔲㌱〳㐶散挹㘴㙣㝤〹㝦㤹攱摥昰㑡㠶㔶㈸挳戵㐲ㄹ昲摣㍥㤲搴㤸㝦㠷〵挳㝤搱㤶っ扦㐱摢㘵㤸㑣㤵ㄲ搱㐲㈱敤㤴戲㑥㌲㥥捥攴ㄲ㤹㜴ㅣ㑦扡搸㔶戳愵㔲㍣㘶晣愳㉣㡤愵㔳挵㘸戴㠰㘷㘲㍢㤶㉣愴戲㜹㈷ㄶ㉦㈶ㄳ搸昴戳戱㤲㥤㜴慣㈶㤵摥晣ㄶ㝤捣敦㘰慣晤戴慢挲搰搶㉥ち愴㔴ㄴ改挲㑤昴昷㌲晣㤱昱㥦㘰㈲ㄶ㑢〰㜰つ㌰㉣㘹㝦㙤ㅤ㠲昳愸㤸ぢ㈳ㄶ㌱ㄹ㕢㜵昰㤷ㄹ敥て慦㘴昸敦㝦㠷㍤㉦晦ㄳ摥攰昳昲㘲㜴挲ㅣ㜰㐸ち愹挰戰〵㙤挹㌰㠲戶㘲㔸挲挶㤹捥㈴㑢㌹㍣攳愶㑢改㕣㌴敦挴愳〹散昱㥣㝣㉣㕢㡡ㄹ〳换搲㑣㍥㕢捣攵ち㜸慡戱㡢挹愲㤳户㔳戹㔴㈶㔶戰昱挲㌷ㅡ㡤㘷㔲㔶慢㑡㙦づ㐲ㅦ㜳㌰㡣搵愶㕤ㄵ㠶慣ㅣ㤰敢㘱㔹㈵㍡攸挲㑤晣ㄵ㜷愳晣摡㘶㕤㘶ㄹ〲ㄳ戱㔸ㄵ㠰㙢㠰㘱㤷昶㙦㐸㉤扦㠴挲晣ㄵ㡣㔸挶㘴㙣㙤〲㝦㤹攱ち㜸㈵挳て㐲ㄹ扥ㄷ捡㜰㈵㍡㐹㠶㥢㈳ㄵㄸㅥ㠸戶㘴㌸っ㙤戵㍦挴慢㝤慣㜶㜸㘷〰ㄶ搹㐲㈶㥢挵敢ㅢ㍢ㄹ㜳昰㘲搱戶㔳㜹㘳㜸㔹㕡㑣攵ㄳ改㜸戴㤴挴㉢㐴扣愸㉣㘴愳搹㑣㍡ㄶ戳昱㜶挱㑥攴愳㔱敢㈰㤵摥ㅣ㠱㍥收ㄶ㌰搶挱摡㔵㘱挸㘲〲挹㤰〲㈹ㄵ㠷搱㠵㥢㜸搵换㜰ㅢ挶户㠵㠹㔸㠷㈳㠸㙢㠰攱ㄱ摡㍦㥡㕡㥢㡡晤㘰挴㔱㑣挶㔶っ晥㌲挳㘳攰㤵っ晦ㄴ捡昰愹㔰㠶㉣ち㤰っ㔳㐸〵㠶挷愲㉤ㄹ愶搱㜶ㄹ挶㜳愵㑣ㄱ敦愲㑡㈰㤱㡣ㄶ㤳搹愸㥤挲慦ち㘰㝢挶㌳㐵摣㑥ㄹ㤹戲ㄴ扢扦㙣づ慡㌸㕥㐰㈶戱户捣㤷㘲愵㙣㉡㡥㙤㌹㤷㉤攵㌲ㄹ敢㌸㤵摥捣愲㡦㤹㠳戱㡥搷慥ち挳ㄳ戴㡢〲㈹ㄵ㈷搳㠵㥢㜸挰换㜰ㅣ攳攳㘱㈲ㄶ㙢〷㜰つ㌰㍣㔵晢㈷㔳扢㠸ち㝥戱㠶㌸㥤挹搸㥡〶㝦㤹攱ㄹ昰㑡㠶㜷㠴㌲扣㉤㤴㈱敢〴㈴挳ㄹ㐸〵㠶扦㐳㕢㌲㥣㠹戶换㌰㤷㉤㍡搹㔸戶㤰捦㘶㡡㐹㍢敤搸挵㘸㍡ㅦ㠷㌳㥡换㤵㔲昹㤴㌱慢㉣㑤愵㌳搹㐲搱挹愴ぢ挹㌸搶挵㈸㕥㕥摢搸㜹挶散㔴㈶㠹慤㍣㘹㥤愵搲㥢戳搱挷㥣〳㘳㥤慤㕤ㄵ㠶攷㘸ㄷ〵㔲㉡捥愷ぢ㌷㜱慤㤷攱〲挶㜷㠷㠹㔸㉣㈷挰㌵挰昰㐲敤摦㤳摡㜶㉡昸昱ㄳ㜱㌱㤳戱戵て晣㘵㠶慢攰㤵っ㔷㠵㌲扣㌸㤴攱愵攸㈴ㄹ摡㐸〵㠶㤷愱㉤ㄹ收搱㜶ㄹ㈶昰㔶㍥收攴散㔴㌲改攰戵㜳㉣㥢㉡愴愲㜸㉦㤷㑥搹搱㉣昶㜳㐶愱㉣㉤㘶戳搹㔴㈲ㄵ㡤愷㜳愹㘴ㅥ捦㈴㠵㈴㜰㈷敤㤴㤳㑢挷㡡㜶挶㘲〱㠲摣㑡㡢攸㘳㍡㌰搶ㄵ摡㔵㘱挸㉡㠴㙡㤵戸㥡㉥摣挴敦扣っㄷ㌳㑢ぢ㑣挴扡〶㐱㕣〳っ慦搵晥㈵搴㉥愳㘲㈹ㄹ㕥捦㘴㙣㜵挲㕦㘶㜸㈳扣㤲攱㠹愱っ㡦て㘵㜸ㄳ㍡㐹㠶换㤱ちっ㙦㐶㕢㌲㕣㠱戶㕡てㅤ㄰㑣㐶㘳㔹扣㑤㐹ㄶ㘲㤹㙣戲㤰挸㍡㔸㈸攱敤㐷慥㄰㌳㔶㤶愵昱㑣㌱㡤㤷攱戹㘲扣㤸挷昳㑦㌶㠷搷㍥〹扣搳挳㙢㈲㍣㡢攷昲ㄶ㙢ㄲ㈴㥤〳搱挷㍣〸挶㕡慤㕤ㄵ㠶㉣㑣愸㔶㠹㍢攸挲㑤ㅣ收㘵㜸㌸戳ㅣ〱ㄳ戱敥㐴㄰搷〰挳扢戴晦ㄸ㙡て愱㠲摦㄰㈲敥㘱㌲戶㡥㠳扦捣昰て昰㑡㠶换㐲ㄹ㜶㠵㌲扣て㥤㈴挳㤳㤰ちっ晦㠸戶㘴㜸㌲摡㉥㐳敥攱戲㠵㘸づ㈸㔳挹㌴摦散愵ㄳ㤹㔲搶㉥搹㔱扣㠹㜳愲挶㈹㘵㘹㍥ㄷ㑦攱㜵㘰ㄱ㐷㈴㜲㐹㈷㥥戳昱慥て㑦摤㈵扣㝢㜶㔲㔸㐱慤晢㔵㝡昳㔴昴㌱㑦㠳戱ㅥ搰慥ち挳〷戵慢慣ㄲ㡦搰㠵㥢搸摦换昰㉣㘶㌹ㅢ㈶㘲戱づ〱搷〰挳挷戴晦㝣㙡㡦愲攲㐸㌲㝣〲㝥挹昰㈲昸换っ㥦㠲㔷㌲摣㉦㤴攱扥愱っ㥦㐶㈷挹昰㔲愴〲挳㍦愱㉤ㄹ㕥㠶戶换㄰敦㡦昳㔹扣づ挴㕡㠷㜵换㐹㘶昱㌲㈷㤶㉢攵㡡〹㈷㤷㈹ㄵ昲挶攵㘵㘹愲ㄸ挷搳㜷㈶㥢㑥㤰ㅡ摥ㄷ㤶散㜸愹㘰㐷㡢搱㘲㍥㕦㐸㈷㉣㔶㉥挸㌵散ち昴㌱慦㠴戱㥥搵慥ち挳攷戴㡢〲㤳㔲昱㈲㕤戸㠹昹㕥㠶搷㌱㝥㍤㑣挴㘲㘹〲慥〱㠶㉦㙢晦捤搴㥥㐰挵昱㘴昸㉡㤳戱㜵㉢搳搳挳摢敢昰㑡㠶扢㠴㌲摣㌹㤴攱㥦搱㐹㌲扣ㄳ愹挰昰つ戴㈵挳扢搰㜶ㄹ摡搹㘲〱㙦㌸戲挵㉣摥敢ㄵ愳搸㍢㘲慦ㄸ㉦ㄵㄳ昹ㄲ昶㝥昱愲㜱㜷㔹㡡つ㌶㙤攳挸㑤挱挹愴㤲㡥㥤捤挷㡡挵㈴㥥㝡㤲㜱摢挹攴㑡㔱㡢挵っ㤲攱㍤攸㘳摥ぢ㘳扤愵㕤ㄵ㠶㙦㙢ㄷ〵㈶愵攲㍤扡㜰ㄳ㍢㜹ㄹ㍥挸昸㐳㌰ㄱ敢㝤〴㜱つ㌰晣㐰晢ㅦ愳昶㜴㉡昸㔵㈷攲㈳㈶㘳敢㐹愶愷㠷户㑦攰㤵っ㤳愱っ攳愱っ㍦㐵㈷挹昰ㄹ愴〲挳扦愰㉤ㄹ㍥㡢戶换戰ㄸ捦㈵ぢㄹ㍣攵㍡愵㜸㌲㠳挳づ㜸攱㤷捦挶㑢㜹慣㤹㐹扣ㅦ㌱㥥㉢㑢ぢ挹㔴㉣ㄳ㑤ㄶ攲㜸捦㥣㉣收ㅤ扣㝤捥愷愱㉣ㄵ㜲㜹㍢攳ㄴ慤捦㔴㝡昳㜹昴㌱㕦㠰戱㍥搷慥ち挳㉦戴慢慣ㄲ㕦搱㠵㥢搸摡换昰㌵㘶㜹ㅤ㈶㘲㝤㡤㈰慥〱㠶㝦搳晥户愸㍤㠷ち㝥㕢㡡昸㠶挹搸㝡ㄷ晥㌲挳㙦攱㤵っ㌷ぢ㘵㌸㌴㤴攱㜷攸㈴ㄹ㝥㠸㔴㘰昸㑦戴㈵挳㡦搰㜶ㄹㄶ㜰戸㌰㔹捣愶㙤散ㄳ㤳㜱扣㍡捣收昰戴㥣戰㥤ㅣ扥㝤ㅤ㙦改㡣㡦换搲㜸ㅡ㑦㌹搹戴㠳〳昱㔹ㅣ㥢挸收㤳㜶ㄱ捦攲愵愲㔳捡㐴攳㌸〶晢㉦㤵摥晣〴㝤捣㑦㘱慣㝦㙢㔷㠵攱昷摡㔵㔶㠹㥦攸挲㑤慣攳㘵昸㈵戳㝣〵ㄳ戱㝥㐶㄰搷〰㐳摥㍢改晦㠶摡㡢愹戸〸㐶挸捡〵戶扥㠳扦捣㤰㤵ぢ㤲㘱㝤㈸㐳㈳㤴㘱ㅤ㍡㐹㠶摦㈳ㄵㄸㅡ㘸㐸㠶㍦愰敤㌲捣收㜱散捡㐹攱㄰〲㕥㘰㈷㜰㘰㍡ㄹ㉢攵散㕣㍥ㅥ戵㌳昱㐴㈹㘱晣㔸㤶挶戱㜵ㄷ㔳㍣㜸㡤户㠵搱㙣㍣㤷㑡攰㙣㐶㉡㡡㉤㍥㥦换愷搲搶〰㤵摥晣〹㝤捣㥦㘱慣㝡敤慡㌰㘴㈹㠴摣攲换㉡挱ㅡ〷挹昰㠷㝦㜹摥敢搵ㄹ挸㘲挰㐴㉣㤶㌹㠴㌱㘴攵㠳昴㐷愸攵户慣㤸㔷㤰愱〵扦㕣て〷挳㕦㘶戸づ扣㤲攱摦㌰㑣昰㌸昶㔷昰〶摦㉦慦㡢㑥戸攲㤷搵㤰ちっ㠷愰㈱ㄹ慥㠳戶换㌰ㄷ㑤ㄵ搳昱㘴㍥㥡挶㐱㤸㤸㙤攳㜹戹㠸挳搸戱㔴ㅥ㠷㘷㜰㘰搵㔸户㉣㑤愶㌲㘹扣慢挶㤹〲扥搷挳㤳㜷㉡㘹攷散㘸戴㠸㤷㌷㌸〴ㄱ户㔸ㄸ㈱改っ㐱ㅦ㜳㍤ㄸ㡢昵㄰搲㔵㘱戸㠱㜶㔱㘰㔲㉡㔸昶㈰ㄹ㝥攴㘵戸〹攳㐳㘱㈲ㄶ㉢ㅦ挲ㄸづ搵晥㘱搴昲㡢㕡㑣㝥敤㡢搸っ㝥挹㜰ぢ愶愷㠷户㘱昰㑡㠶㙦㠴㌲㝣㍤㤴㈱慢ㅣ㜰挵攷挶㤰ちっ㔹搱㈰ㄹ㙥㡤戶换㌰㥦㠸攱㌹搶㈹㘶㌲㌱㍢㔹㑣㈵戲㘸攳搰㔶㡣㙦㐵搲戹㔸摡搸愶㉣㜵昲㌸㐲㤶挱慢昰㤲㡤ㄳ㉦㌶捥戸攴昲改㘴㈶㥥㈹㐵㌳㠵愴㥤户㔸㉢㈱㠱㙤㡢㍥收㈸ㄸ㡢㈵ㄲ㍥㠶㡤摡㐵㠱㐹愹搸㥡㉥㌰ㄲ捦㝡ㄹ挶ㄸ㡦挳㐴㉣ㄶ㐳㠴㌱㘴㝤㠴昴愷愹扤㤵㜷㜵㌵㘹挹㤲〷戶㜲㑣㑦て㙦㉣㜹㤰っㅦ〹㘵昸㔰㈸挳ㅤ搰〹㔷ㅣ摣㐵㉡㌰㡣愲㈱ㄹ敥㠴戶换㄰㥢㙤㍡㤱㑣攲㥣㘴㍣㤳挴捥㌱㡢搷㠰㑥挶收攱〶㈷㥦㜲ㅣ㘳㕣㔹㡡ㄳ㤸㜸㍡捥攱㔹ㄹ㠷ㅡ敤㜸ㄲ敦戴㘳㔱ㅣ㜱㠸㐶㔳㌸㌴㕢㈸㕡㉣㥦㤰挰挶愳㡦㌹〱挶㡡㙢㔷㘵㍤㑣㘸ㄷ〵㈶愵㠲挵ㄱ㤲攱㕤㕥㠶搳ㄸ摦ㄹ㈶㘲㘵㈰〸㘳挸㤲〹改㥦㐹㉤扦㉥挶攴㤷捦〸㔹〵挱搶ㅣ愶愷㠷户ㅤ愱㤶っ㙦っ㘵㜸㝤㈸挳戱攸㠴㉢㡥慣㈱ㄵㄸ敥㠴㠶㘴㌸ㅦ㙤戵ㅥ㤶㌲㜸㤶戰㘳㌸㡥㡤㤵慢ㄸ挷㌹ㄴ㥣㑡㐹攴㜱戰㌵ㄳ挷㠱㝦㘳㐱㔹㙡愷ㄲ〵ㅣ㤷挸ㄵㄲ㈹慣扢㔸挸愴㔳昱㔴㈱㥥戶攳㔸㡢㡢㜱㙢㥣㑡㙦敥㡥㍥收ㅥ㌰搶㜸敤慡㌰㘴㔹㠵㈴㑤㠱㤴ち搶㑢㐸㠶㤷㜹ㄹ敥挳昸扥㌰ㄱ㙢ち〴㘱っ愷㙡㝦㥥摡〷㜹㔷ㅦ㈰慤㥤攱㈷㌶搳㠱扦捣㤰㠵ㄱ㤲攱戹愱っ捦づ㘵㌸〳㥤㜰慤㌱㥢㤱ちっ㔹ち㈱ㄹ敥㡦戶㘲㔸㠸收ぢ戹戸〳ㄴ戹㘴㉣㤷〴扣㙣㉣㥦挳㐱㠸㕣扣㤴㡣㐵㡤挵㘵㘹愲㘴㘷戳搱㌸摥㤸㠰㘰㌲㘹㘷ㅤち㡡㜸㈹㔹挰㡢昲㝣捥㘲㤱㠵愴搳㠲㍥㘶㉢㡣挵摡ち改慡㌰㥣愳㕤㘵㤵㤸㑢ㄷㄸ㠹㤳扤っ㍢㤹愵ぢ㈶㘲捤㠳㈰㡣攱㝣敤㕦㐱敤ㄳ扣慢晣ちㅣ㡢㈵ㄶ戸攲つ㈷晣㠳晢搵戱㑡攰ㄷ扥搳改攱摦㜸㌱捡晦搳㈳㔳昰㔳㈲㉣㈷慣改㠷㡦晡扢ㅦ㤰敦㕦㍢收㍦换挵ㄳ昶晣㝥っ摥敡㡥挲㝤晤㍦攴攱㥡㔱㈹挴㘰挶捤㜱㌳て挱ㅤ慥摢ㅢ㜷㌷ㅡ㌶挵㥥㝥〴ㄲㅤ㙢搶㙢㥤摥㠹㤳昹昸㌱搱昹敤ㄳ捡扦㐴戹戶㍥挹㍦㑡晦㈲㐶㘳挵㌳㈱摦㠹敦㔶改㜲㜴户㌹ㅤ攵㝥昸㠵〹ㄴ㜵㈰㌰㡡扦㥦戱㕥愵攵昹㠲㠱㑤㉡摥改㙤㥤昸慤ㄷ愷愸㌳㜶攲挳昷晤㙢晢㠹搰敦晣㔰㍦㜶挰㙦ㄴ㘰㌶晣摡换昴㈲〱㙣ㄲ昲昵ちㄳ㥢扢攴搷㤳っ㐵㕣㤸慣㄰㌱づ㈵愶戱㈳㈷㡥㡣搷ㅤ㠶挷㘱㡤㠷愸愶捥〱戹㕡㐶捣挳㤱㑦散㠳捣㐴㉦㑣㤶㤶ㄸ㐷敡㌱㘲攲㘰㡣挱㜱戸ㅥ攱㑢㌱㈹收〶㐱ㄷ晢㡢㈶搵㘰扣㠱㔵ㄸ㜸㍤㔶〳㤵昷昲搵㌸搵ㅡ敦晥慦㔷晦慤昱つ㉣搹㤰㍤昶ㄱ挳㑦㥦㔰昷捥愱ㄷ㝤㝤昵㉦ㅡ㉦戸攱㘷昵晦㔰户挷慦㔴㡦摣㜸戱〸㍤ㅡ攱㌵摦愵㜹㡦收㝤ㄸ戱ㅣ㌳㝡ㅤ摦扢㄰昸㈵㠶㘵㉡攰晦㈵〶㙢㌱㌲攱㡡㜷戸㤸敦攰㝥愲ㅤつ㙥㙥愲ぢ㍤戸㡥ㄳ㤲㜹ㄲ敦㜲〷摣㉥ㅦ搶㘶ㄸ愷挰㈷ㅦ㠳㤸㔸〲㕤㠵捦㘹ㄴ㜷㤶挵慣捥㌰㝥慢挵㜱搱愲挴㉥昹㌳ㄱ㘸㘰ㄹ㐵摦㤰戱收愲㙦挸㝥㡤ㅥ㘱挸ㄶ㘲㍡愱挸㑡㉡攰晦敤〶㡢〵ㅢ戸愲㔴〰㜳〷戲愳搱㤰挸㡡攸㔱㐶㜶〱㈹ㅣ㡢㤰㡢㡣愵ㄸ挶㐵ㄵち晢㔵㔱戸㠴㘲㔶㔲戸㘲ㄶ㘳ㄸ㤷㙡㜱㑣散慤挴敥晡㜷㌹〲つ愷㐰搲㌷㘴㉣戱攸ㅢ戲㌳搰㈳っ搹ㅥ㡡㑣㘰㉤摢㕤〵晣扦昶㘰㥤㠵㑣戸搶㤸搷㘰敥㐰挶㈲ぢ㠹㙣㍥㝡㤴㤱㕤㐷ちㄷ㈲攴㔲㌸ㅦ㑢挶つㄵち扢㔶㔱戸㠹㘲搶㐵戸攲ぢ㈸扥㐵㡢攳㘲愶ㄲ扢㙢搹慤〸㌴㕣づ㐹摦㤰戱愲愲㙦挸㔸㕣ㄱ㠶㙣㥡㈲ㄳ㐰㌶㔵〵晣扦て㘱戱ㅣ〳㔷扣㌲挳摣㠱㡣㌵ㄵㄲ搹㘴昴㈸㈳扢㤷ㄴ㔶㈳攴㔲戸ㄹ㑢挶㝤ㄵち攳慢㈸摣㑦㌱敢㈴㕣昱㉤ㄴ㍦愸挵㌱戱愳ㄲ扢㙢搹挳〸㌴戰㈶愲㙦挸敥搱㍤搶㜸㕦昶㐷昴〸㐳㤶㔱㘴〲挸搲㉡攰晦㐵〹㡢搵ㄷ戸攲戰ㄲ收づ㘴㉣愱㤰挸㤲攸㔱㐶昶㌴㈹戰摣挱愵昰ㄸ㤶㡣㘷㉡ㄴ愲㔵ㄴ㥥愳㤸㔵て慥㤸㤵ㄵ挶ぢ㕡ㅣㄷ摢㈹戱扢㤶扤㠴㐰〳㑢㈰晡㠶散㜹摤㘳㡤㤱戱㜴㈲っ搹㔶㡡㑣〰搹㤶㉡攰晦つち敢㌵㘴挲ㄵ摦㉣㡥戹〳搹㥢㘸㐸㘴㈳搱愳㡣散㑤㔲㜸〷㈱㤷挲㕢㔸㌲摥慥㔰ㄸ㔶㐵攱㕤㡡㔹〵攱㡡㔹㐸㘱扣慦挵㌱㌱㔴㠹摤戵散㐳〴ㅡ㔸昱搰㌷㘴㥦攸ㅥ㙢㡣㡣㤵ㄲ㘱挸㌶㔰㘴〲挸搶㔷〱晦慦㔶㔸㕦㈲ㄳ慥昸慣ㄳ收づ㘴㝦㐷㐳㈲ㅢ㠲ㅥ㘵㘴㕦㤰〲㡢ㄹ㕣ち摦㘰挹昸戲㐲挱慡愲昰㌵挵慣㘹㜰挵慣㥢㌰晥慥挵㜱㌱㐸㠹摤戵散ㅦ〸㌴晣〸㐹摦㤰晤愴㝢慣㌱㌲ㄶ㐶㠴㈱ㅢ愰挸〴㤰ㄹ㉡攰晦㥤ぢ㡢愵ㄴㄸㅥㅦ㘶挲摣㠱㡣昵㄰ㄲ㔹㝦昴㈸㈳晢㤱ㄴ㔸㤵攰㔲㘰㤱㠴昱㜳㠵㐲㑤ㄵ〵晥㘴戵㘰㡤㠳㉢㘶㤹㠴搱て㍥昵㡡攴㠷㝦㝡㕦㤱搴㈱搰挰㝡〶㕣晢昰扡㡣挵て戲挷ㅡ㈳㘳ㅤ㐴㈳敦愸敦㜵搹㜷㤸㑥攸㡢㡣㙦㔵挰晦换ㄸㄶ㉢㈷㈴戲㠱㤸㍢㤰戱晣㐱㈲晢〶㍤捡挸〶㤳〲㑢ㄵ㕣ち挳戰㘴㌴㔴㈸㝣㔵㐵㘱㙤㡡㔹戱攰㡡㠷㔳扣慥ㄶ挷挵攷㑡散慥㘵敢㈱搰挰昲〵㕣晢㠰㡣戵づ戲挷ㅡ㈳㘳搹㐳㘳〸戲㡦ㄵ㤹挰㕡昶㤱ち昸㝦㑢挳㘲愱㠴㐴戶〹收づ㘴慣㜶㤰挸㍥㐰㡦㌲戲㑤㐹㠱㤵〹㉥〵㤶㐰ㄸ㥢㙢ち㌱昱㡥愲攰敥㥥㠶㔳捣〲〵㔷捣㈲〸㘳ぢ㉤㡥㡢㌷㤴搸㐵搶㠸㐰〳慢ㄵ㜰敤〳戲昱扡挷ㅡ㈳㘳㤵㐳㘳〸戲㔷ㄴ㤹〰戲㤷㔵㘰㤵敦㘷戲㉤搶㐵㐸㘴愳㌰㜷㈰㘳㜱㠳㐴昶㈲㝡㤴㤱㙤㑦ち㉣㐴㜰㈹戰攲挱搸㐱㔳㠸㠹㘷ㄵ〵ㄷ㔹㡣㘲搶㈳戸㘲搶㍣ㄸ〹㉤㡥㡢愷㤴搸㐵㤶㐲愰㠱挵〹戸昶〱ㄹ㉢ㄹ㘴㡦㌵㐶挶愲㠶挶㄰㘴㡦㉡㌲〱㘴㡦愸㠰晦昷㍡㉣㤶㐱㐸㘴扦挰摣㠱捣㐶㕢㈲㝢〸㍤捡挸挶㤲〲敢づ㕣ち㉣㜰㌰挶㔵㈸晣戱㡡挲〴㡡㔹㥦攰㡡㔹攲㘰㑣搲攲㤸戸㐷㠹㕤扥㔳㄰㘸㘰㉤〲慥㝤㐰挶挲〵搹㘳㡤㤱㉤㠱扣㌱〴搹敤㡡㑣〰搹㙤㉡攰晦㠵て㡢㔵てㄲ搹っ捣ㅤ挸㔸扡㈰㤱慤㐶㡦㌲戲㔹愴挰㌲〳㤷〲敢ㄹ㡣㌹㥡㐲㕣摣愸㈸戸㉢捥㙥ㄴ戳ㅣ挱ㄵ戳愲挱㤸愷挵㌱㜱慤ㄲ扢挸ㄶ㈰搰㜰㌸㈴戸昶〱ㄹ敢ㄴ㘴㡦㌵㐶挶㤲㠵挶㄰㘴㔷㉡㌲〱㘴㔷愸㠰晦㌷㐱㉣ㄶ㌹㐸㘴㝢㘱敥㐰挶㑡〵㠹散㌲昴㈸㈳摢㠷ㄴ㔸㉦攰㔲㘰昹㠲搱愴㈹挴挵挵㡡㠲㡢捣愶㤸搵〷慥㤸〵っ㐶㐱㡢㘳攲㝣㈵㜶㤱㌹〸㌴戰搲〰搷㍥㈰㘳㔹㠲散戱挶挸㔸愱搰ㄸ㠲散㉣㐵㈶㠰散㜷㉡攰晦ㄵㄱ㡢㌵つㄲ搹㘲捣ㅤ挸㔸㤸㈰㤱㥤㠱ㅥ㘵㘴慤愴挰捡〰㤷〲慢ㄵ㡣昶ち㠵㔳慢㈸ㅣ㐰㌱㙢〹㕣㌱敢ㄵ㡣㑥㉤㡥㡢ㄳ㤵搸攵扢ㄴ㠱〶ㄶㄶ攰摡〷㘴慣㐲㤰㍤搶ㄸㄹぢㄲㅡ㐳㤰晤㐶㤱〹㈰㍢㐶〵晣扦㍢㘲戱㠴㐱㈲㍢〸㜳〷㌲搶㈱㐸㘴㐷愱㐷ㄹ搹㈱愴挰㐲〰㤷〲㡢ㄳ㡣㐳㌵㠵㤸㌸㑣㔱㜰㔷㥣挳㈹㘶改㠰㉢㘶㜹㠲㜱愴ㄶ挷挵挱㑡散㈲㍢ㅡ㠱〶搶ㄱ攰摡〷㘴㉣㍡㤰㍤搶ㄸㄹ敢てㅡ㐳㤰㉤㔷㘴〲挸㤶愹㠰晦㤷㑡㉣㔶㉣㐸㘴㈷㘰敥㐰挶戲〳㠹慣ぢ㍤捡挸㑥㈲〵㥥晣㜷㈹戰ㄶ挱㌸愵㐲㘱㐹ㄵ㠵搳㈸㘶㈹㠱㉢㘶㌵㠲昱㕢㉤㡥㠹ㄶ㈵㜶昹㥥㠹㐰〳换〶㜰敤〳㌲搶ㄸ挸ㅥ㙢㡣㡣攵〶㡤㈱挸ㄶ㉡㌲〱㘴㈵ㄵ昰晦戶㠹昵㉥㌲㐹㘴攷㘱敥㐰挶㉡〳㠹慣㠸ㅥ㘵㘴ㄷ㤰〲捦昵扢ㄴ㔸㝡㘰㕣愴㈹挴挵㝥㡡㠲扢攲㕣㐲㌱㉢〷㕣㌱㡢て㡣㑢戵ㄸ挷换㤴搸㐵㜶㌹〲つ慣ㄲ挰戵て挸㔸㔲㈰㝢慣㌱㌲㔶ㄷ㌴㠶㈰摢㐳㤱〹㈰摢㕤〵晣扦㠶㘲戱ㅥ㐱㈲扢〶㜳〷㌲ㄶㄵ㐸㘴昳搱愳㡣散㍡㔲攰愹㝤㤷〲㉢つ㡣ㅢ㌴㠵戸搸㔵㔱㜰㤱摤㐴㌱ぢ〵㕣㌱㙢つ㡣㕢戴㌸㈶㘶㉡戱㡢散㔶〴ㅡ敡昸摥慢㑦挸㔸㐱㈰㝢慣㌱㌲ㄶㄳ㌴㠶㈰㥢愶挸〴㤰㑤㔵〱晦敦愷㔸㠳㤱㐹㈲扢ㅢ㜳〷戲戵搱㤶挸㈶愳㐷ㄹ搹扤愴挰㤳昸㉥〵ㄶㄶㄸ昷㔵㈸㡣慦愲㜰㍦挵敢㤵挵敢㔲晣愰ㄶ挷挵㡥㑡散昲㝤ㄸ㠱㠶㑤㈰改ㅢ㌲ㄶっ昴つ搹㌰昴〸㐳㤶㔱㘴〲挸搲㉡攰晦挵ㄵ㙢ぢ㘴㤲挸㥥挴摣㠱㡣㈵〳ㄲ㔹ㄲ㍤捡挸㥥㈶〵㥥戳㜷㤱戱㡥挰㜸㐶㔳㠸㠹愸愲攰慥㌸捦㔱㍣慡㉣㘶㈵㠱昱㠲ㄶ攳㜸㤹ㄲ扢挸㕥㐲愰㈱〶㐹摦㤰戱㍥愰㙦挸㔸㉡㄰㠶㙣㉢㐵㈶㠰㙣㑢ㄵ昰晦㐶㡢挵攲〲㠹散捦㤸㍢㤰㡤㐵㕢㈲ㅢ㠹ㅥ㘵㘴㙦㤲挲㜸㠴㕣㘴㉣ㅢ㌰摥搶ㄴ㘲㘲㤸愲攰㈲㝢㤷攲〹㘵昱㌸㡡摦搷攲戸ㄸ慡挴㉥戲てㄱ㘸攰ㄹ晥扥㈱㘳㌹㐰摦㤰戱㌲㈰っ搹〶㡡㑣〰搹晡㉡攰晦㔵ㄷ㙢づ㌲㐹㘴㥦㘱敥㐰㌶て㙤㠹㙣〸㝡㤴㤱㝤㐱ち㍣㜹敦㈲㘳㤵㠰昱愵愶㄰ㄳ㤶愲攰㈲晢㥡㘲㥥挳㜷挵ぢ㈸晥扢ㄶ攳㜸㤹ㄲ扢挸晥㠱㐰挳㍥㤰昴つㄹ捦晥昷つㄹぢ〱挲㤰つ㔰㘴〲挸っㄵ昰晦づ㡣攵㈰㤳㐴昶㍤收づ㘴㍣晦㉦㤱昵㐷㡦㌲戲ㅦ㐹㠱㘷攱㕤ち㉣ち㌰㝥慥㔰愸愹愲㈰敡㈱㙥㉤㡢ㄷ㔳摣て㍥㝤扣散扢慡攳㘵〸㌴㜴㐲搲㌷㘴㍣搹摦㌷㘴㍣敦ㅦ㠶散㍢㑣㈷晣㜸㤹ち〴㝥㌹收㈰㘴敡敤㤷㘳昸㡤〶㑥愷晣㜵㤳〶㍣攷搴㤵昸ㅤっ〳㑢慥㥢㈷昷昱㉤っ捤㉤㉤昲ぢっ〶攱㠷ㅥ㍡ㄶ㍢ㅤ㌳昱㝢㈶昸㜹〷晣收扤晡〴㍤㝥攷㠴摦㥢慦㝦㑡挰㤴㉤㜶㌶㑡㜳㍡昰摢〲〳㑡搳㍢昱㍢㌴挵晡搶㕤敤慥㉥愷愳敤㝦攱㔷㈰昰㤵ㄲ晣㙡㍦㕣摣摦㝦〸晤㌶〷㝥㑤㐳攸㤹㜴㐹㙣㜴㠵挷㑣晣㐲〹㉢ㄶ㙡昹晢㄰晦搹㑦搲ㄸ〳戱㡡改㕦㍣㈹㝡㝥昱愴扦昸〶て戱㕢ㅢ㜸㔸捤捦㥣㌲㑢㔰捣挱搰ㅢ㙢挱昴㥢搰搹㉡敢㙡㘰㈲㘶〳㍣昲㕢㍤愴愹愹㍢〴慢㠱晦捥昱晢㌵昸㉤㙡㌵㜵换㥢㡢㕤㡢㡣㐵㑥昳挲㐵㕤昸ㅥ㡤㠱扣挷晡搲晦㜰㜴敤愹晣㠰㝢㤳〱慤㑤㜶㐷㠷扤戲扥戵愹挵㘹㕢搸戵愸扥㘹ㄹ慡㉤昰㑢㉤搸敥敡敢敢捤戵㌱ㅦㄷ㌴㌶户愳㤱㤱㔹捤㜵扣摥ㄳ攰攱摡㙡ㄲ㐱㝦昱㜹攸摤㕤㡦昷㡢㜷户㜲㔷㌷愰㡢㕦㘰攲摥㔵㜱ㄲ㜲昰敥敡㡢㌸つつ㌹摣㐶㔰㤶㈷㜱愶昶㙥散昵㥥〷慦㘷ㄲㅦ㠴㑥㘲㔳㡥㔸㍤㠹捤㝤㤳戸〰㜹慡㈶㜱㠹ㅥ㙥戸㜷戸换戵㜷㠴搷㝢㑤昵㈴摥〸㥤㐴㘳㜰ㄲ㕢昹㈶㜱㥤㝦ㄲ㌷改攱戶昱づ㜷慢昶㙥敢昵摥㕤㍤㠹ㄷ㐳㈷戱㝤㜰ㄲ㍢昸㈶㜱慦㝦ㄲ昷敢攱㘲摥攱ㅥ搶摥戸搷晢㘴昵㈴㥥ち㥤㐴㉡㌸㠹㡣㙦ㄲ㑦晢㈷昱㥣ㅥ㉥攷ㅤ敥㈵敤ㅤ攳昵晥戹㝡ㄲて㠵㑥㘲㙣㜰ㄲ攳㝣㤳㜸搳㍦㠹㜷昵㜰ㄳ扣挳㝤愸扤ㄳ扤摥捦慡㈷㜱㑦攸㈴愶〴㈷㌱捤㌷㠹㉦晣㤳昸㕡て㌷摤㍢摣㍦戴㜷ㄷ慦昷晢敡㐹慣づ㥤挴慣攰㈴收昸㈶昱愳㝦ㄲ〲扢〹戹㠹敥收ㅤ慥㑥㝢攷㝡扤〳攱昵㙣愲搷㠶㑥㘲㐱㜰ㄲ㝢昸㈶㌱ㄸ㜹慡㌶搱戵昵㜰扦昲づ户㥥昶敥改昵㙥㔲㍤㠹换㐲㈷戱㑦㜰ㄲ㑤扥㐹㙣敡㥦挴㜰㍤㥣敤ㅤ慥㔱㝢昳㕥敦愸敡㐹㥣ㅦ㍡〹㈷㌸㠹㠵扥㐹㙣敦㥦㐴㑣て搷散ㅤ㉥愵扤晢㝢扤扦愸㥥挴ㄹ愱㤳㘸つ㑥愲摤㌷㠹戱晥㐹㑣搰挳ㅤ攰ㅤ㙥㡡昶㜶㜸扤㌳慡㈷㜱㘲攸㈴㤶〶㈷戱摣㌷㠹㔹晥㐹散愶㠷㕢改ㅤ㙥㠱昶ㅥ攸昵敥㔵㍤㠹愳㐲㈷㜱㐸㜰ㄲ㠷晡㈶戱㡦㝦ㄲ戶ㅥ敥㜰敦㜰㡥昶ㅥ攱昵㉥慥㥥挴挱愱㤳㌸㍡㌸㠹摦昸㈶搱敡㥦挴〱㝡戸攳扣挳㉤搵摥攳扤摥㠳慡㈷搱ㄵ㍡㠹㤳㠲㤳㌸挵㌷㠹㐳晣㤳㌸㕣て㜷㥡㜷戸愳戵昷㜴慦昷㠴敡㐹戴㠴㑥攲捣攰㈴捥昲㑤攲㈴晦㈴㑥搳挳㥤攳ㅤ敥㑣敤㍤搷敢㍤慦㝡ㄲ挵搰㐹㕣㄰㥣挴㐵扥㐹㕣攰㥦挴㈵㝡戸㑢扣挳㕤慥扤慢扣摥㙢慡㈷戱㜷攸㈴㉥て㑥攲㑡摦㈴慥昳㑦攲㈶㍤摣㔵摥攱㙥搵摥慢扤摥扢慢㈷㌱㍦㜴ㄲ搷〵㈷㜱㠳㙦ㄲ昷晡㈷㜱扦ㅥ敥㈶敦㜰て㙢敦捤㕥敦㤳搵㤳㤸ㄹ㍡㠹㕢㠳㤳戸摤㌷㠹愷晤㤳㜸㑥て㜷愷㜷戸㤷戴昷㉥慦昷捦搵㤳㤸ㅣ㍡㠹㝢㠳㤳戸捦㌷㠹㌷晤㤳㜸㔷て㜷扦㜷戸て戵昷〱慦昷戳敡㐹散ㄸ㍡㠹㠷㠳㤳㜸搴㌷㠹㉦晣㤳昸㕡て昷戸㜷戸㝦㘸敦ㄳ㕥敦昷搵㤳㐸㠶㑥攲改攰㈴㥥昱㑤攲㐷晦㈴〴〴昲昵挴㜳摥攱敡戴昷㜹㡦户㙥㌰ㅡ㙢晣昶㡥㠵搲敢攲㡤㜰㡢㔳攰敦㔰昲搷っ㐷戵攰㙤摡ㅡ晣㜸攴ぢㄸ㐷㌴搰㈰㠷昹愲㕡㘰愳㘱㙤搵挰㍦戴搶昱戶挴㝡㘸㜱㡡收㑢㜴㙦愰㘲收换㙡㐱昶摦㐸㌵昰て晤㌷昶戶挴愶㘸挹晥慦搰扤戹㡡㤹慦慡〵搹㝦戸㙡攰ㅦ晡㡦昰戶㐴㈳㕡戲晦㙢㜴㙦愵㘲收敢㙡㐱昶摦㐶㌵昰て晤户昵戶挴昶㘸挹晥㝦愶㝢〷ㄵ㌳摦㔰ぢ戲㝦㑣㌵昰て晤攳摥㤶㐸愱㈵晢扦㐹㜷㐶挵捣户搴㠲散㥦㔳つ晣㐳晦㌱摥㤶ㄸ㡢㤶散晦㌶摤攳㔴捣㝣㐷㉤挸晥ㄳ㔴〳晦搰㝦愲户㈵愶愰㈵晢扦㑢昷㌴ㄵ㌳摦㔳ぢ戲晦㜴搵挰㍦昴摦挵摢ㄲ戳搰㤲晤摦愷㝢㡥㡡㤹ㅦ愸〵搹㝦㌷搵挰㍦昴㥦敢㙤㠹〵㘸挹晥ㅦ搲扤㠷㡡㤹ㅦ愹〵搹晦㔷慡㠱㝦攸扦愷户㈵昶㐱㑢昶晦㤸敥㈶ㄵ㌳㍦㔱ぢ戲扦慤ㅡ昸㠷晥㜹㙦㑢㌸㘸挹晥㥦搲扤㔰挵捣扦愸〵搹扦㔹㌵昰て晤昷昷戶㐴㉢㕡戲晦㘷㜴户慢㤸昹戹㕡㤰晤て㔰つ晣㐳晦づ㙦㑢㉣㐵㑢昶晦㠲敥攵㉡㘶晥㔵㉤挸晥㉢㔵〳晦搰晦㐰㙦㑢ㅣ㠲㤶散晦㈵摤㠷慡㤸昹㤵㕡㤰晤て㔷つ晣㐳晦㈳扣㉤㜱㌴㕡戲晦搷㜴晦㐶挵捣扦愹〵搹晦㌸搵挰㍦昴㍦摥摢ㄲ㈷愱㈵晢晦㥤敥㔳㔴捣晣㐶㉤挸晥愷愹〶晥愱晦改摥㤶㌸ㄳ㉤搹晦ㅦ㜴㥦愵㘲收户㙡㐱昶㍦㐷㌵昰て晤捦昵戶挴〵㘸挹晥摦搱㝤㤱㡡㤹晦㔴ぢ戲晦㈵慡㠱㝦攸扦捡摢ㄲ㤷愳㈵晢晦㡢敥㉢㔵捣晣户㕡㤰晤慦㔲つ晣㐳晦慢扤㉤㜱ㅤ㕡戲晦昷㜴摦愰㘲收て㙡㐱昶扦㐹㌵昰て晤㙦昶戶挴慤㘸挹晥㍦搲㝤扢㡡㤹㍦愹〵搹晦㑥搵挰㍦昴扦换摢ㄲ昷愲㈵晢晦㑣昷㝤㉡㘶攲㍢摥攵㡥㔸昶扦摦摢愳攱〱㙦㑢㍣㡣㤶散㉦搸攳㔱摤扦搶摢晦㜱㙦㡦㠶㈷扣㉤昱戴敥摦㡦㍤㥥搱晤晢㝢晢㍦攷敤搱昰扣户㈵攴搳〶敥㤶㔹㠷ㅥ晡㘲昱改㐳ㅥ〹㌷攰挵㤱昰㤷㜴摥㉡ㄵ㥦㈴愴慡摥㔵扤ㄲ慡攲㔳㠱㔴㐵㕣搵㙢愱慡搷戵㙡㤰慢㤲扢昳挰扣戸㕢㤷戹搶㜲㔵㙦㠶收攲捥㕢慡㉣㔷昵㜶愸㡡扢㘸愹㕡挷㔵扤ㅢ慡㝡㑦慢㠶戸㉡戹㥢つ捣㡢扢㕢㤹㙢㝤㔷昵㘱㘸㉥敥㔴愵㙡㐳㔷昵㜱愸㡡扢㑥愹摡搸㔵㝤ㅡ慡晡㡢㔶つ㜵㔵㜲昷ㄷ㤸ㄷ㜷㠳㌲搷㘶慥敡㡢搰㕣摣搹㐹搵㌰㔷㈵㜷㘵㠱㕣摣愵㐹搵〸㔷㈵㜷㔸〱ㄵ㜷㕣㔲㌵搲㔵挹摤㔲㐰挵摤㤳㔴㙤改慡攴捥㈷愰攲㑥㐸慡戶㜶㔵㜲ㄷㄳ㔰㜱㔷㈳㔵摢扡㉡戹㈳〹愸戸㐳㤱慡敤㕣㤵摣㕤〴㔴摣㙤㐸搵㘸㔷㈵㜷ち〱ㄵ㜷づ㔲ㄵ㜵㔵㜲搳て愸戸ぢ㤰慡戸慢㤲ㅢ㜸㐰挵つ㕤慡㤲慥㑡㙥挶〱ㄵ㌷㘷愹㑡㑢㤵愵㌷㐳挱敤㔳㥥愲㝡晣㕢昷ㄴ搵㐴昴慤挷敦捡㜲㤳㤴㠱挷㝣〱㙥㠵㌲昰愸㉦挰つ㑦〶ㅥ昱〵戸慤挹挰挳扥〰㌷㉦ㄹ㜸挸ㄷ攰ㄶ㈵〳て晡〲摣㠸㘴攰〱㕦㠰摢㡤っ摣敦ぢ㜰㔳㤱㠱㍦晡〲摣㍡㘴攰㍥㕦㠰ㅢ㠴っ晣挱ㄷ攰㌶㈰〳昷晡〲㕣敤㘵攰ㅥ㕦㠰㙢扡っ摣敤ぢ㜰攵㤶㠱扢㝣〱慥捦㌲㜰愷㉦挰㔵㔸〶敥昰〵戸搶捡挰敤扥〰㔷㔴ㄹ戸捤ㄷ攰扡㈹〳户晡〲㕣ㅤ㘵㘰戵㉦挰㌵㔰〶㙥昱〵戸搲挹挰捤扥〰搷㌳ㄹ戸愹㍡㌰昰晦〱㔵戹㠵㙢</t>
  </si>
  <si>
    <t>㜸〱捤㥤〷㤸ㅢ搵昵昶昷慥扤攳ㅤ搹㘶〷戰㘹愶搸〶搳っ㐶扤㌸ㄸ昷〶㉥攰〲〱っ㘶㈴㡤散挵㕢捣敥扡㐱〸㤸ㄶ㝡ぢ㘰扡改㈴昴摥〹愱㠶摥〹扤昷〴㔳〲〱ㄲ摡昷扥㜷敥㤵㐶㌳戳扢摥晣昳㍤㑦戴搲摤㌹攷扣昷摣慢㥦㐶㈳㘹收㐸㔳㈳㙡㙡㙡㝥挱㠵晦㜹改捤㠵㑤㘷慦㘸敦㜰㥡㐷㡣㙦㙤㙡㜲ちㅤ㡤慤㉤敤㈳挶戶戵搹㉢愶㌵戶㜷昴㠲挰㤸摦㠸㜸㝢摤晣昶挶㠳㥤晡昹㑢㥤戶㜶㠸敡㙡㙡敡敢捤㕡挴㌷㔶㌷㑢ㅢ㈶㝢㤹扤搹㐰㔵㘳ㅡ㙣晡戰愹㘷㘳戲㠹戰改换愶ㅦ㥢晥㙣搶㘱搳挰挶㘲戳㉥㥢昵搸慣捦㘶〰㥢㠱㙣㌶㘰戳㈱㥢㡤搸㜰㝣㜳ㄳ㌶㠳搰昴摢ㄴ捤㥣昱攳㘶收て挴扤㤹摤搱摡收散㌰㜸㑦㜷捥愳㘲戱ㄱ昸㑢㈶戳㈳愲㍢っㅥ扦愴愹㘳㐹㥢㌳慡挵㔹搲搱㘶㌷敤㌰㜸昷㈵昹愶挶挲㙥捥㡡㌹慤㡢㥣㤶㔱㑥㍥㥡挸摢挹㙣㉣㤹㑡㤵㜲戹㙣扦捤㤰㜹挶昸㜱扢户㌹愵昶晦㔶捥捤㤹㜳收昸㜱㈳㘶㌸ㅤ晦慤㥣㕢㈰㈷㔲㑥㘸㙤戶ㅢ㕢晥㑢㐹敢昸㤸愶㈶㌸㠵㐶㍥昸㡥搳搶搸戲㘰〴愶㕤〵ㅡ㔶㘶挴搸昶昶㈵捤㡢戹ㅥ㡤㜷㥡㥡㘶㌹㈵昹愰㌷㑦㘸敦搸摤㙥㙢㙥敦搷㑣㝥㑥㥢搳㔲㜰摡搷㘹㥥戸扣攰㌴㈹㘱㝢㝤昳㥥㜶摢っ扢搹改捤㠵㠶㘶昷㌱㥣㕡㜴㕡㍡ㅡ㍢㔶昴㙦㥥摢敥捣戲㕢ㄶ㌸㤴搴㌵㑦㕥搲㔸ㄴ扤㝢攳㕡搳㙢㥢戰㤹挹〷ち昳㘹ㅥ扦搰㙥敢㤰ㄶㅦ挲㔸㤸搶戳扡挸㝢㔱㌵㉦慥㔲㠳㝤扤昸㤸捤㙥㙣摥捤㘹㙢㜱㥡㌸〸ㅦ挹攱㍥㤱〴攴㍥づ㘵㔲晡敥昰㔱ㄲ㝤搵㤳㡦昷㠵愳ㄸ㠳搱㙣㍣愳戵慤ㄹ㉢攴㜴挷㙥ㄹㄵ㡢㐶㜷㤸摤㔱㥣攰㉣ㅤㄵ㑦㤹㐳㄰㌶㠷㔲戸㈵㥡扥ㄳ㥣㘶扢愵㌸㌲ㅥ㑢㡦㌴户㘲㘸ㄸㅡ搱晢㌵㍣挷扤㤹昹㍣慢㥤㙦搷捥捦搷捥㉦搴捥㉦搶捥㜷㙡攷㤷㙡攷㉦愸㥤扦戰㜶㝥㘳敤晣〳㙢攷㉦㠲㐶㕦敡晢昴愹㔵㤷捦昶㕦昶捡攰戹㙢挶摤昴挷搸㡦㍦ㅤ戲摢㑤㠲㑦㙢戹㔵搸〶ぢ㕤捣㜴㕢㠴捤敤搰ㄸ摢愳㈹捦㌴㥡ㅡ㘹づ㘷㘸〷㌴㐲扣㠰㤹㜲戶换㌳ㄷ扤㌷㘵收昱㔳㙦昹㘶挴㘹㥢扦戱㈲㈲戸攱㤰挳㡣挰㐲ㄷ挳散挴㕣㔱㌴㐶っ㑤㜹㤸㜸㘲愴ㄹ㘷㈸㠱㐶㠸㈷搵㌰〷扣搵㜷挸ㅤ愷㥤㍦攵慥捣戰㍦敤搰㜱昹搷㠲㥢㈶㌹㑣ちぢ㕤っ㤳㘶慥っㅡ㈳㡢愶㍣㑣㌴㌷搲捣㌱㌴ㄲ㡤㄰て慢㘱㘶㉥㘸㝥㜷㤳㤳㡦㥡晡晢㌹㑤㡢づ㥡戸晣㐲挱㡤㥦ㅣ㘶㘷㉣㜴㌱捣㈸收摡〵㡤㌱ㅡ㑤㜹㤸㌸愰㡤㘱㘸㉣ㅡ㈱晥愴㠶愹㙦㕦㔰㕣㥤㕡㍥㙤搵扥晢户㑤慥㡤ㅥ㈰昸㑣㤳挳㡣挷㐲ㄷ挳㑣㘰慥㠹㘸㡣㐹㘸捡挳㐴〱㙤㌲㐳㔳搰〸㜱扢ㅡ收搷昳㈶㉥晤㘹搵㤸㈹慢捥昹敡收捤摡户摡㑢㜰〳㉥㠷搹ㄵぢ㕤っ戳ㅢ㜳㑤㐳㘳㑣㐷㔳ㄹ㈶㌹搲㥣挱搰㑣㌴㐲摣愰㠶搹攷攴㐹挷扦㤶㈹㑤㍢晦搱昳捥扦㜳捡挹㔷〸扥㐴挸㘱昶挰㐲ㄷ挳捣㘲慥搹㘸㡣㌹㘸捡挳挴㜰㙦收㌲戴㈷ㅡ㈱晥愸㠶㜹晤戲㜵搶㥣昳㜴扦〹挷㕥㥡捥㐵愳ㄳ㥡㐵㕦㠴攵㌰扦挶㐲ㄷ挳散捤㕣晢愰㌱昶㐵㔳ㅥ㈶ㅥㅢ㘹捥㘳㘸㍦㌴㐲㕣愲㠶搹晢愹㈹㍢晦昱㤲㔱攳㝦扦扡昵挴ㄵ捥㤲㈳〵㕦收攴㌰昳戱搰挵㌰〷㈰㙣摡㘸㡣㍣㥡捡㌰㠰㔶㘰愸㠸㐶㠸昳搴㌰㌷敥㜵昳戹㜷ㅤ搴㙦搷㤵㌳昶㍥㘵戳ㅦ㐷ㄸ㠲㉦愴㜲㤸ㄲㄶ扡ㄸ㘶〱㜳㉤㐴㘳㌴愲㈹てㄳ挵㠶攴㐰㠶ㄶ愱ㄱ攲っ㌵捣㔵慢㥥晡㘸㐱换捣昱㔷㡣㌹㈴昲攲㤱挷扥㈲昸㔲㉤㠷㘹挶㐲ㄷ挳戴㌰㔷㉢ㅡ㘳㌱㥡捡㌰昱㤱收㐱っ戵愱ㄱ攲㈴㌵㑣㜶攲ㄷ摦摦㜳攴扤㘳敦㉣㥤ㄲㅢ晣搲攰㤵㠲㙦〶攴㌰ㅤ㔸攸㘲㤸㈵捣戵ㄴ㡤戱っ㑤㘵㤸散㐸㜳㌹㐳㉢搰〸㜱㡣ㅡ收攳晣㠳㘷㑥昸挳ㅢ㘳㔶㥥㍤晥挲㙦摦扦昶〳挱户ㅢ㜲㤸㐳戰搰挵㌰扦㘱慥㐳搱ㄸ扦㐵㔳ㅥ㈶㠶㘱づ㘳攸㜰㌴㐲ㅣ愶㠶㤹㜷捤搱攳晥㍣㔹㡣扢㘱㥦昵㌷㤹㍢攸昳愳〵摦搰挸㘱㡥挰㐲ㄷ挳ㅣ㠹戰㜹ㄴㅡ攳㘸㌴攵㘱攲搱㤱收㌱っ晤づ㡤㄰换搵㌰㤷㉣㝦㘲晢㝤〶㥣㌹改㍣㘳挳㠵挷㥦扣㘲㝦挱户㑣㜲㤸攳戰搰挵㌰挷㌳搷〹㘸㡣ㄳ搱㤴㠷㠹㘱㑤㍢㠹愱㤳搱〸㜱㤰ㅡ收挸愷捦㝡晢ㅦ㜷㍦㌲昶㥥㉢扦敦㤳㉥㕥晣㥤攰㥢㌲㌹捣愹㔸攸㘲㤸搳㤸敢㜴㌴挶敦搱㤴㠷㠹㘶㐶㥡㘷㌰㜴㈶ㅡ㈱づ㔴挳昴㜳㜶㥦晥攲昰㤷㘶㥥昵搴㐵㜳㙦摣昷收攳〵摦昶挹㘱㔶㘱愱㡢㘱捥㘶慥㜳搰ㄸ攷愲㈹てㄳ〳戴昳ㄸ㍡ㅦ㡤㄰〵㌵捣敡戳ㄲ㈷摤昴晣㉢㘳捥㝦㘳愷攳捥晤摤换慦㠸㠱〸换㘱㉥挴㐲ㄷ挳慣㘶慥㡢搰ㄸㄷ愳愹っ㠳ㄵ晡ㄲ㠶㉥㐵㈳挴㍣㌵捣㠶ㄳ敢㕢〶摤㌰㝡收捡㘷〷摤晦捥敢㘷つㄳ㝣敢㉡㠷戹ㅣぢ㕤っ㜳〵㜳㕤㠹挶昸〳㥡捡㌰搸搸晣㤱愱慢搰〸㌱㔷つ戳摥捦㥢㉦ㅣ㙤㉤㥥㝡搳戲㠷搶㑤慥戸慥㤷攰㥢㘳㌹捣㌵㔸攸㘲㤸㙢㤹敢㍡㌴挶昵㘸㉡挳攰昵收〶㠶㙥㐴㈳挴っ㌵捣捡㍤收㝥㕥㡣ㅣ㌳昳挴攲摥㕢㕣搷㍣㘳㈷戱ㄱ挲㜲㤸㥢戱搰挵㌰户㌰搷慤㘸㡣摢搰㔴㠶挱慢攷敤っ摤㠱㐶㠸挹㙡㤸㥤㑥慣㜹㈰㜷昸〱㔳慥㡤㝣㝣昸挱㡦㘵㕦ㄵㅢ㈳㉣㠷戹ぢぢ㕤っ㜳㌷㜳摤㠳挶戸ㄷ㑤㜹㤸㈸愰晤㠹愱晢搰〸㌱㐶つ戳敥挸摢㙦ㄸ昷户捦愶ㅦ扢敤昲搱㜷㝦搵㌸㕤㙣㠲戰ㅣ收㝥㉣㜴㌱捣〳捣昵㈰ㅡ攳㈱㌴攵㘱攲㔸〵ㅥ㘶攸ㄱ㌴㐲攴搴㌰ㅢ㉤㕢㤵摦捣㝡㘳摣㔱㙤晤慥扣戴敦捥摦㠹㐱〸换㘱ㅥ挵㐲ㄷ挳㍣挶㕣㡦愳㌱㥥㐰㔳ㅥ㈶㠶攷捤㤳っ㍤㠵㐶㠸戸ㅡ㈶㕢㍣㝣晤挳㝦散㌵昹昸攷散摤昶㙤㕣戳戲摦㌳〸敦愱摥㕤㑥㘸戳㤷攱晤㝡攵愳㐰㝣㐴㤴㝦摤㝦〶挲㐷愰㔲慡㤴㈹挵㘲挵㔴搴㑥搸㜵㐳㤰㜶㙤摦㙣㜳戳摡慦戴㔷㘳㑢戱㜵㤹㝣昷扤改㌸扢摤愹扣ㄹㅦ慥㘲攳㕡㤷戴ㄴ摢〷㠵〷㘷㜷搸ㅤ捥㈶晥㔸㈵㐹愰摢㙣㝣㌶㜱摡攵㜸㥢晢扢敤㘹㌷㉤㜱挶㉥㙦㜴挳㥢昹挲昸㘴搲㥡敦㍣㍡愹捤㌹愸ㅣつ捣㘸㉣㍥㍡㉦㤵戹〳昷搲つ戹昳ㅡ㍣㝥㘱㙢扢搳㈲愷㌷扣㜹昷挶挲㈲愷㙤戶挳て摥㑥㔱摥搵㠱っ愹㡦㐷挳㘷戶攰㡥攲〳㑦㜱愸搷㕢㥡戸扣挳㘹㈹㍡㐵捣㜷戱搳搶戱㘲㡥㥤㙦㜲㌶愸㤲戸㘳㈲戰㜱㤵㝢㔲㙢㘱㐹晢昸搶㤶㡥戶搶愶敡挸搸攲㔲ㅢㅦ挹㡡搳㕢㡢づ㍥㔱昵收愵㐶搴昴敡㈵㐴捤昶㘱ㅦ㙢㤸户㝤㠴㝣㈰㍣て昱㘶㜸捣㌷慡㕥敤㐶捣挲扤挳扤㘸㜲戸㑥搶㙥搵㑤㌲㤹㤷㘹戶敢㕣攸戹㑦摣㑢㐱昵戶㥤慢攵ㅣ换㡦摣晦㕦㜱㙤敤晡敡摥㑦㕣㡡㡦慤㔳昰昱慣挹㘹敢㜲ㅦ㡢攰㡣捣㘷搱搴敤㠴㘷㜳愷昴㝡㐳㈱㤶㡢ㄵ㜵换ㅡ㡢ㅤぢ㡤㠵㑥攳㠲㠵㝣㕦㠴晤㌰昵昵㐴ㅢ戸㤸捦挳㘵扥挰收㐵㌴㤱㐸㡤昱ㄲ㐵㐶挴晣慢㙢搷つ挵晦㥥㝦㈰慥㐵㉦㔳㝥〰挷摥㤲昶扡收㐹慤㙤敤扤㝡㠵摤换㈹㜶晢挲づ慥㥥㕤〷㤹敦㘵㌶慦愰愹摢ち㑤户㥦户ㅢ㈰敡捤摤ち晤㥢㈷㌸㈵ㅢ㍢㜳攴戳㕢搸㜵捤敥晥㠱〹㑥㝢挱攴㡥㠴愹㜸慥㉣㌷戰㠴㈷㝦扦㘶慥晤捥昲㡥〹㜶㠷摤愷ㄹ扢㈴昰㈸㤹㄰つ㤷扤摣㈵昶散㉦㝤扡㜷㐴㔹挸㘰挹㐵㑦㤶扥搲攱㘶挲ㄳ〷捦㤷㥡㕥慡敤晡㑥㘰敥㥢攳㑥ㄸ晥ㄵ扤㝡搷〲昶㜸ㄴ㈷㍢㉤㜳㔶㉣㜶摡㈹慦㌷扡㐴改㝦㝡㌱搹捣㐲㝥㙥㐷㘳㔳晢〸捣㜴㜲㕢敢㤲挵晦捤㍣捣㘵扥㡡㐶㕦敡戶挶㕡扣昶昷〹戸㙡晡㉣攵㘳㌳㝦㝥㑤㍤戳搱㘳㙥挹㠶㙢㉢㤲晤㠲㝦昲㘲扥㠹㝦㤱慥㘲㜵挳愰ㄸㅥ戶㉤攸㘴㌷㑣ㅤ昴晤㥡㐱㘸㑥㥢㈳㜷㉣搵㑢〳戴晢㌷敦搵摡戶㈸摦摡扡㠸敢搳㍡搲㙡㕦攸㌸ㅤ摣㔹搳㔷敤㥣㤲㍢愱㠴攸搵慢㙡㝦㡢㘷慦捥ㄶ挸㙦扣㡢愶晦搸愶愶挱㍡㘳扢昱ㅥ㕣扤戰摢挸㜸ㅦぢ㥢捥㙣㉢㍡㙤㍢捥㕤扣攳㥣搶挱搸慢戴愴挹㜶㜷挴㉥㙦㙡㕦㉥㌶〵〱敥㈴戹㝤㔸改户㡦て㜸㙤散〵搳敡㥥晥搵㜱摢摡㘲㤰ち〴㜶搲㙣㡢㥣㐳㜰㌳㍦㐲㈳㌶㠶㡣㕢ㄶ㉣㔷㕦捣㑦㘰㥢㥦戲昹ㅢㅡ㙣ㅦ㈴㜱㙣ㅥ㍥㜳㑤戱ㅤ晥㜳ㄳ㘱慥㘱昳㌹ㅡ㌱ㅣつ㥦愰收ㄷ㘸昴㐵㔸挸捦挷㕤㍥㜶摢挳ㅤ㝣散扥㠶㌷㘲㜶ㄱㄳ㍢㐰挱挷捦㈴㉦㤳㠴㑣搲ㄱ〶ㄲ㠷〲愸㔳㠱挰敥愳㥤搰㑤〲昸㤱晤㝢㐱ㄶづ攰㘷㡥㐱㌰㈶搷㍡て㠰㕡搷ㄴ㔱挴㈴㠰㕥㜰㤸摣㘱㉥攲㜰㐹〰㜵戰昴㐵晣晢㘷て㠰ㄸ摣㐱〰㈶㜳㥡㕤挴㐴〲晤挲〰㝣㠹攴愱〰扥㔰㠱挰㡥慤㌴㌲つ攱㉣搶攳㤴搷㐰ㄶづ㘰〰挲收㐰㌶ㅢ愰昱〰搸挸㌵㐵〶㐹㈴㠰㡤㈹摡〴㡤挸挱㈵〱っ㠲愵㉦攲〳㉦㠰㉣摣㐱〰㕢㌰愷搹㐵㑣㡣㐴扦㌰〰慦㜵〶攰㔵ㄵ〸散㜲ㅢ㠵㑣㐳㌸㡢㙤㌹攵㤷㍢〵戰㍤挲收㜰㌶㍢愰昱〰ㄸ攱㥡㘲ㄷ㈴㤱〰㜶愲㈸㡡㐶㡣㠱㑢〲㠸挱搲ㄷ昱戴ㄷ挰㘸戸㠳〰㔲捣㘹㜶ㄱㄳ㘳搱㉦っ挰㐳㥤〱㜸㔰〵〲㍢〳㈷㈰搳㄰捥㘲ㄷっ㉡敥敦ㄴ挰ㄸ㠴捤戱㙣挶愱昱〰㤸攰㥡㘲㈲㤲㐸〰ㄳ㈹㥡㠴㐶㜰㉦愱〴㌰ㄹ㤶扥㠸㍢扣〰㈶挱ㅤ〴戰ㅢ㜳㥡㕤挴挴ㄴ昴ぢ〳㜰㕤㘷〰慥㔵㠱挰㙥捡摤㤰㘹〸㘷㌱㠷㔳扥扡㔳〰㝢㈲㙣敥挵收搷㘸㍣〰昶㜱㑤㌱つ㐹㈴㠰㝤㈹㥡㠷㐶捣㠰㑢〲搸て㤶扥㠸㑢扣〰愶挳ㅤ〴㘰㌳愷搹㐵㑣捣㐴扦㌰〰㘷㜷〶㘰㤵ち〴㜶愰捥㐲愶㈱㥣挵㠱㥣昲㤹㥤〲㘸㐲搸㙣㘶搳㠲挶〳㘰戱㙢㡡搹㐸㈲〱ㅣ㐴㔱ㅢㅡ㌱ㄷ㉥〹愰ㅤ㤶扥㠸ㄳ扤〰收挰ㅤ〴戰㡣㌹捤㉥㘲㘲㑦昴ぢ〳㜰㐴㘷〰㔶慡㐰㘰搷敥摥挸㌴㠴戳㌸㥣㔳㍥慣㔳〰㐷㈰㙣ㅥ挹收㈸㌴ㅥ〰挷戸愶搸〷㐹㈴㠰摦㔱㜴㉣ㅡ㌱て㉥〹攰㌸㔸晡㈲㤶㝡〱散ぢ㜷㄰挰㐹捣㘹㜶ㄱㄳ晢愱㕦ㄸ㠰愶捥〰㉣㔲㠱挰㑥攷〳㤰㘹〸㘷㜱ㄶ愷摣搸㈹㠰戳ㄱ㌶捦㘱㜳㉥ㅡて㠰昳㕤㔳搸㐸㈲〱㕣㐰搱㠵㘸㐴〱㉥〹㘰㌵㉣㝤ㄱ〷㜸〱攴攱づ〲戸ㄴ晡㠸搹㐵㑣ㄴ搱㉦っ挰㥥㥤〱㤸慢〲㠱摤攱摣捤㍤㠴戳戸㠶㔳㥥摤㈹㠰敢㄰㌶慦㘷㜳〳ㅡて㠰㥢㕣㔳㉣㐴ㄲ〹攰㘶㡡㙥㐱㈳づ㠴㑢〲戸ㄵ㤶扥㠸㕤扤〰ㅡ攱づ〲戸㤳㌹捤㉥㘲㘲ㄱ晡㠵〱ㄸ搳ㄹ㠰搱㉡㄰搸㔱摦㠲㑣㐳㌸㡢〷㌸攵㔱㥤〲㜸〸㘱昳㘱㌶㡦愰昱〰㜸搴㌵㐵㉢㤲㐸〰㡦㔱昴㌸ㅡ㜱㄰㕣ㄲ挰ㄳ戰昴㐵㈴扤〰ㄶ挳ㅤ〴昰っ㜳㥡㕤挴㐴ㅢ晡㠵〱搸扥㌳〰摢愹㐰攰㄰挲ㄲ㘴ㅡ挲㔹扣挲㈹㙦搳㈹㠰搷㄰㌶㕦㘷昳〶ㅡて㠰户㕣㔳㉣㐵ㄲ〹攰㙤㡡摥㐱㈳㤶挳㈵〱扣ぢ㑢㕦挴收㕥〰换攰づ〲昸㤰㌹捤㉥㘲㘲〵晡㠵〱ㄸ搰ㄹ㠰昵㔵㈰㜰㜰攳㌷挸㌴㠴戳昸㥣㔳㕥户㔳〰㕦㈲㙣㝥挵收ㅦ㘸㍣〰扥㜱㑤㜱㈸㤲㐸〰晦愴攸㕢㌴攲㌰戸㈴㠰敦㘰改㡢愸昷〲昸㉤摣㐱〰㍦㌰愷搹㐵㑣ㅣ㡥㝥㘱〰㝥晥愹㤳户挲㍦愹㐰攰戰换㤱挸㌴㠴戳攸㕤㡢㈹晦〰㔹昸㕢㘱〳㘱戳て㥢㝡㌴ㅥ〰ㄱ搷ㄴ㐷㈱挹㔰㈶敡㑢㔱㍦㌴攲ㄸ㤸ㄲ㐰㝦㔸晡㈲晥㠱㌱捡ㅦ㠶㡥㠶㍢〸㘰㕤攸㈳㘶ㄷ㌱挱愳㍣㘱〰㍥改っ挰挷㉡㄰㌸㈰㜴㍣㌲㐹〰㥢㜰捡ㅦ㜶ち㘰㔳㠴捤捤搸㙣捥搹㔵㍥つづ㜶㑤㜱〲ㄲつ攵摤ㄹ㐲搱㔰㌴攲㈴㤸ㄲ挰㤶戰昴㐵扣攱〵㜰㈲摣㐱〰摢㐰ㅦ㌱扢㠸㠹㤳搱㉦っ挰昳㥤〱㜸㑥〵〲㠷慡㑥㐳㈶〹㈰捡㈹㍦搳㈹㠰㌸挲㘶㠲㑤㤲戳慢〰㐸扢愶㌸ㅤ㠹㠶昲敥㘴㈸捡愲ㄱ㘷挰㤴〰㜲戰昴㐵㍣攲〵昰㝢戸㠳〰㐶㐱ㅦ㌱扢㠸㠹㌳搱㉦っ挰㍤㥤〱戸㕢〵〲〷搱捥㐶㈶〹㘰ㄲ愷㝣㘷愷〰愶㈰㙣㑥㘵戳㉢㘷㔷〱㌰捤㌵挵㌹㐸㌴㤴㜷㘷㍡㐵㌳搰㠸昳㘰㑡〰㌳㘱改㡢戸挱ぢ攰㕣戸㠳〰㘶㐳ㅦ㌱扢㠸㠹昳搱㉦っ挰ㄵ㥤〱戸㕣〵〲㠷昷㔶㈳㤳〴㌰㡦㔳扥戴㔳〰晢㈳㙣捥㘷㜳〰㘷㔷〱㤰㜷㑤㜱ㄱㄲつ挵捤㉣㔰㔴㐴㈳㉥㠱㈹〱㌸戰昴㐵㥣敢〵㜰㌱摣㐱〰㡤搰㐷捣㉥㘲攲㔲昴ぢ〳㜰㙡㘷〰㑥㔱㠱挰㠱挷㉢㤰㐹〲㘸攳㤴㑦敡ㄴ㐰〷挲收ㄲ㌶㑢㌹扢ち㠰攵慥㈹㜸㔰㜲㈸敦捥ち㡡づ㐶㈳晥〸㔳〲㌸〴㤶扥㠸愳扣〰晥〰㜷㄰挰㘱搰㐷捣㉥㘲攲㉡昴ぢ〳㜰㜰㘷〰㔶愸㐰攰㤰攸戵挸㈴〱ㅣ换㈹㉦敢ㄴ挰昱〸㥢㈷戰㌹㤱戳慢〰㌸搹㌵挵㜵㐸㌴㤴㜷攷ㄴ㡡㑥㐵㈳㙥㠰㈹〱㥣〶㑢㕦㐴㡢ㄷ挰昵㜰〷〱㥣〹㝤挴散㈲㈶㙥㐴扦㌰〰挵捥〰ㄴ㔴㈰㜰戰昶ㄶ㘴㤲〰㉥攴㤴敤㑥〱㕣㠴戰㜹㌱㥢㑢㌸扢ち㠰换㕣㔳摣㡡㐴㐳㜹㜷㉥愷攸ち㌴攲㜶㤸ㄲ挰㤵戰昴㐵晣摡ぢ攰㌶戸㠳〰慥㠶㍥㘲㜶ㄱㄳ㜷愰㕦ㄸ㠰ㄹ㥤〱㤸慥〲㠱挳挸㜷㈳㤳〴㜰ぢ愷扣㕢愷〰㙥㐳搸扣㥤捤ㅤ㥣㕤〵挰㕤慥㈹敥㐱愲愱扣㍢㜷㔳㜴てㅡ昱㈷㤸ㄲ挰扤戰昴㐵㡣昳〲戸ㄷ敥㈰㠰晢愱㡦㤸㕤挴挴㝤攸ㄷ〶㈰摢ㄹ㠰㡣ち〴づ㜰㍦㠰㑣ㄲ挰攳㥣㜲慡㔳〰㑦㈲㙣㍥挵收㘹㌴ㅥ〰捦扡愶㜸㄰㠹㠶昲敥㍣㐷搱昳㘸挴挳㌰㈵㠰ㄷ㘰改㡢搸挱ぢ攰㈱戸㠳〰㕥㠶㍥㘲㜶ㄱㄳ㡦愰㕦ㄸ㠰愱㥤〱ㄸ愲〲㠱㐳敦㡦㈱㤳〴昰づ愷扣㐵愷〰摥㐳搸㝣㥦捤〷㥣㕤㘵つ昸挸㌵挵攳㐸㌴㤴㜷攷㘳㡡㍥㐱㈳㥥㠴㈹〱㝣ち㑢㕦挴〶㕥〰㑦挰ㅤ〴戰〶晡㠸搹㐵㑣㍣㠵㝥㘱〰晡㜵〶愰慦ち㘴㝤㐵〱㜵捦㈲㔳てづ收昶攵㠴㑢㝢㌶㍡换㜸昴㘹㥤ㄲ敡㙦挷㉦㘹敦㘸㤵㠷捡晡㤷㈶戴捥㘸敤㤸搰搸扥戸挹㕥戱㝥㐹㉤散戵搰㘹挱㠱散㌶ㅣ捦昶昹㕡ㄷ㉦㜶㡡㘶㘹㜶敢㤲戶㠲㌳㜵挲晦挲㠱㙥摣㍦㍣㜴昲ㄸ㜷慤挰攵㍦㍢㜶㕢㠳㥥㔸㑢㜰愹愹㝢ㅥ〹晤㠷攰㘴ㄵ戰攷㜰戹㕣戴㈰㙣愸㄰㥤搳搸搱攴昴㉤挹㐳搵㜲戹扥〴㡡愸づ㈸昶㈹捤㔹㠸㐳㔳ㄳ晡㤷㈶户㌵ㄶ㥢ㅡ㕢ㅣ㍥ㄸ〳㕣改㌴㘷〱㉡〱㜶㙦㙤㙦攴昱愲晥愵㌹㙤㜶㑢晢㘲ㅥ搴㉣慣㔸慦捡㤲㐷㍦敢㑡攳ㅡ㕢摡㌱㡣㝣ㄴ戹摣㔰㥡扤戰㜵ㄹ㙡晦㤷㌴户㑣戶ㄷ户晦㑦㍣㉡㠲て㡢扣挸㠷㐶搴㡡摡㕡㔱㕦㕢晦㥦㍥㍥挶户㜸㡥慤敦㔶㔵て挶㝡摡搱搶㤸㕦㐲㘰㜲㡣㌸摡摥㙣攴㘳㔸㔳昷〲㤶晣㠷㉦㍤て愱慦昶㠰㜳慤慡㘹て㍤っ㕥晥㐲挵㘶㤰㥢摦㘱㍡晤扥㐷戳敢攴戹㔳㉢㔵㌹晦愷㙦㈷搴扤㠸捣㙢㕤〴㌱㄰攲㜵摣㔵㠸㠵ㄱ㕣愳昰捣挴㥡㐰换扦㕡㐶㑡㔲挳㌵㜴㥤捡攲㈴ㅣ㐷敦㔷㥡㘶攷㥤㈶ㅣ晥㙦戶㍢搶㜱つㅥ㝢㐵昵㝡扢㡡㡤㙦㙤㙥戶戹捡戱〶㝦㜶挱㙥㜲敡㑢㘳㤷㜴戴㑥㙦㙣㌱㑢㘸攴㝡愹㕣昶㜲戸散攵敥㠱晡搲㉣㤶〵挹㘵收㙡㕤㘰户㌵㜶㉣㙣㙥㉣搴搳㘰改捥晦挴扡㡡敤㐷㙦挰搴ㄷ扤㉤昱ㅦ昹㜷㡦扦攳攱ㅥ㠱㘲ㄹ愲攳挳㡦㌵扡㔶ㄸ昸ㄳ晦㘱搵〸戶㍣昲〵挵晣㌷戲搵攱㈶㌷㐵㜲㉥㕦捡㐳戱㔸晣昲㌰慣愲㜲攳㈴晥㑡〱㙥收て㤰㜲㠱户摥㉦愳改戲愴愰て〴㤱㘹慤㜶㜱㤲㕤挰昷㘹晡愸㙦搳搴攳愱攵愶愶捤㘲㤱挷㜸搴つ愱ㅥ㘹㘹㈳づ㘴搷搳㌱ㅢ摦ㄶ敡捤昲㄰挳㝤っ㜱戸扢㔷㑤㕤㕤摦晡戰戱愶敡㕣㕢愹㐳攷摥㙦㈳㑤つ攴晦㙣㡦散㘸摥摢㐸㐴扥㐴晤㠸㘵昳㈷摥愷㔷攰攴晤昱〹㝥愶攰ㄷ㌴㜵慦㈲攸㝦㙣慡敢㉤㔰㤵㘱㐲搴㕢㝥て㠵㤵㈰昵愸㥡㤰㈵㈴㜵昲㡥昴昵㤴㝥ㄸ㙥搵㐷扤晥㜲㡢㌱ㅢ㙢戹㔳㡣戸摢㔷㤶㤸攰㤵愱愶戶戶㌷ㅥ㙡挳㕦㌶ㄷㄸㄶ挹㥡㘷㍢戲㈶㐴㙣㡥㈹ㄸ慣ㄳ㕣㥦㑦ㄶ攴㥦敦晤慥挷㑢㠸攲㤸昶㉦昸㈷㉦㤱㠸㔹ぢ㙤㑤㐴扣㠹㔶〳攸㐷㡦㑢〸攸戱晦ぢ㡤昸〸㑥扥つ昰扣㘸㠹㑦㘰昲㠵ぢ㝢昵挰㐸㕥㝣ㅢ㐵昱㈹扣摣㌰㥡〶㤳晣つ㑢摣摥㤴搷扦㝡㜸扢㕦晦㍥㘳て摣㑣㝥㐳㑣慦㝦㘲つ㍣㝡捡ㅣ㕥㑤㌹〲㡤搹㤷挲捦挳〵晤㈸攸㑦挱ㄷ㄰昰㠱㌵搶㠱ㄵ〰挶慦㥣㠴〰戳愰〵戰慦㍤挹㍤挰搶㘵昲昵㤸晣㐷〸晣挰㝥㠶慦ㅢ㘰㝣㙣㈴戰〱㑣挲㝢㕢〵㙣〳㜸扢〷㔶㡢㙥ㄲ搸㠶㌲㠹㙢〸㤶㈲㠴〰摢〸ㅡ㜳㘳ち㔹愶㄰㈲搸㠴㠲㐱ㄴ戰㜲㐱〲摢ㄴ㔶〰ㄸ扦㍣ㄳ〲㙣㜳㘸〱㡣㔵っ㍡戹〷搸ㄶ㑣㍥㤸挹㔹㜱攰〷挶㌲㠳㙥㠰戱〸㐱〲ㅢ捡㈴慣㐶愸〲戶ㄵ扣摤〳㘳搵〲慥昸㈲ㄴ㤳㘰㐱摥㔸扡愰愷散㔹挳戶㠶挶摣㠶㐲㤶㌵㠴〸戶愵㘰㍢ち㔸改㈰㠱㙤て㉢〰㡣㕦〳ち〱戶〳戴〰戶㠵㈷戹〷搸㡥㑣㍥㠲挹㔹愱攰〷挶戲㠴㙥㠰戱㘸㐱〲㡢㌲〹慢ㄷ慡㠰挵攱敤ㅥㄸ慢ㅣ㜰挵㙥㑦㈶搱挰㔸敡㄰挲㈳〹㡤㤹愲㤰㘵㄰㈱㠲㌴〵ㄹち㔸ㄹ㈱㠱㘵㘱〵㠰昱ぢ㑤㈱挰㐶㐲ぢ㘰慣㤲搰挹㍤挰㝥挵攴㍢㌳㌹㉢ㅡ晣挰挶挰搷つ戰戱㤰㐸㘰扢㌰挹㌸㔸㔵挰挶挰摢㍤㌰㔶㐵攰㡡㤲〹㈶搱挰㔸ㅡ愱愷散㔹挳挶㐱㘳㡥愷㤰㘵ㄳ㈱㠲〹ㄴ㑣愴㠰㤵ㄴㄲ搸㈴㔸〱㘰晣㙡㔶〸戰㈹搰〲ㄸ慢㉡㜴㜲て戰愹㑣扥㉢㤳戳〲挲て㡣㘵て摤〰㘳㔱㠴〴㌶㡤㐹㔸ㅤ㔱〵㙣〶扣摤〳㘳ㄵ〵慥昸扡ㄷ㤳㘸㘰㉣愵搰㔳昶〰摢ㅤㅡ㜳てち㔹㘶ㄱ㈲㤸㐵挱㙣ち㔸㜹㈱㠱捤㠱ㄵ〴㠶㙦戱㠴〰摢ㄳ㕡〰戳㍤挹㍤挰昶㘲昲㕦㌳㌹㉢㈶晣挰㔸㈶搱つ㌰ㄶ㔱㐸㘰晢㌰〹慢㈹慡㠰捤㠳户㝢㘰慣扡挰ㄵ摦㈸㘳ㄲつ㡣愵ㄷ㈱㍣昶㠷挶㥣㑦㈱换㌲㐲〴〷㔰㘰㔳挰㑡つ〹㉣て㉢〰㡣㕦㤷ぢ〱㔶㠴ㄶ挰㔸戵愱㤳㝢㠰㌹㑣㕥㘲昲挳㈱昰〳㍢〲扥㙥㠰戱攸㐲〲㕢挸㈴慣扥愸〲㜶㈰扣摤〳㘳㤵〶慥昸搲ㅡ㤳㘸㘰㉣搵搰㔳昶慣㘱㑤搰㤸捤ㄴ戲㡣㈳㐴搰㐲㐱㉢〵慣散㤰挰ㄶ挳ち〰攳ㄷ晦㐲㠰戵㐱ぢ㘰慣昲搰挹㍤挰摡㤹㥣摦慡ㄷ慣挸昰〳㘳ㄹ㐶㌷挰㔸愴㈱㠱㉤㘵ㄲ㔶㙢㔴〱㕢づ㙦昷挰㔸搵㠱㉢昶攱㌳㠹〶挶搲づ㍤㘵て戰㠳愱㌱て愱㤰㘵ㅦ㈱㠲摦㔰㜰㈸〵慢㈱㤰挰㝥ぢ㉢〸㉣晣㈹㜹㌸戴〰挶慡㄰㥤摣〳㙣㈵㤳ㅦ挱攴慣攰昰〳㘳搹㐶㌷挰㔸搴㈱㠱ㅤ挵㈴慣敥愸〲㜶っ扣摤〳㘳ㄵ〸慥昸敡ㅤ㤳㘸㘰㉣〵搱㔳昶〰㍢ㄶㅡ昳㌸ち㔹㈶ㄲ㈲㌸㥥㠲ㄳ㈸㘰攵㠸〴㜶㈲慣〰㌰㝥ㄹ㌳㘴つ㍢ㄹ㕡〰㘳ㄵ㠹㑥敥〱㜶ち㤳㥦捡攴慣昸昰〳㘳㤹㐷㌷挰㔸〴㈲㠱㥤捥㈴慣〶愹〲㜶〶扣摤〳㘳搵〸慥昸㜶ㅦ㤳㘸㘰㉣ㅤ搱㔳昶〰㍢ぢㅡ㜳ㄵ㠵㉣㉢〹ㄱ㥣㑤挱㌹ㄴ戰搲㐴〲㍢ㄷ㔶㄰ㄸ扥㠲ㄵ〲散㝣㘸〱㡣㔵㈷㍡戹〷搸〵㑣㝥㈱㤳戳㐲挴て㡣㘵㈱摤〰㘳搱㠸〴㜶ㄱ㤳戰㝡愴ち搸㈵昰㜶て㡣㔵㈶戸攲ぢ㠴㑣愲㠱扤㡤㈵㍤㘵て戰换愰㌱㉦愷昰㥤㜰挱ㄵㄴ㕣㐹挱扢㄰㐸㘰㝦㠰ㄵ〴㠶㙦慥㠶〰扢ち㕡〰㘳㤵㡡ㅥ摤〳散㙡㈶扦㠶挹㔹㔱攲〷挶㌲㤲㙥㠰戱挸㐴〲扢㡥㐹㔸㙤㔲〵散〶㜸扢〷挶慡ㄴ㕣昱ㅤ㐵㈶搱挰㔸㥡愲愷散〱㜶ㄳ㌴收捤ㄴ戲㙣㈵㐴㜰ぢ〵户㔲挰㑡ㄶ〹散㌶㔸〱㘰晣慡㙦〸戰㍢愰〵㌰㔶戵攸攴ㅥ㘰㜷㌲昹㕤㑣摥ㅢ㜳昲〳㘳搹㐹㌷挰㔸㤴㈲㠱摤挳㈴慣㑥愹〲昶㈷㜸扢〷挶㉡ㄶ捣て㕦㠳㘴ㄲつ㡣愵㉣㝡捡㔸搴ㅦ扥晦っ㡤㜹㍦㠵㉣㜳〹ㄱ㍣㐰挱㠳ㄴ戰昲㐵〲㝢〸㔶〰ㄸ扦戴ㅣ〲散ㄱ㘸〱㡣㔵㌰㍡戹〷搸㕦㤸晣㔱㈶㘷挵㡡ㅦㄸ换㔴扡〱挶㈲ㄶ〹散㜱㈶㘱㌵㑢ㄵ戰㈷攱敤ㅥㄸ慢㕥㈴戰愷㤸㐴〳ㅢ〲慦㥥㌲ㄶ㌵戰愷愱㌱㥦愱㤰㘵㌱㈱㠲㘷㈹㜸㡥〲㔶捡㐸㘰捦挳ち〰攳搷慦㐳㠰扤〸㉤㠰戱㙡㐶㈷昷〰㝢㠹挹晦捡攴慣㜰昱〳㘳㔹㑢㌷挰㔸昴㈲㠱扤挲㈴慣㝥愹〲昶ㅡ扣摤〳㑢愳㥢〴昶㍡㤳㘸㘰㉣㤵搱㔳挶愲〶昶〶㌴收㥢ㄴ㘶挳〵㙦㔱昰㌶〵慣慣㤱挰摥㠱ㄵ〰挶㉦㤲㠷〰㝢て㕡〰㘳㤵㡤ㅥ摤〳散㝤㈶晦㠰挹㔹ㄱ攳〷挶㌲㤸㙥㠰戱㐸㐶〲晢㠸㐹㔸㉤㔳〵散ㄳ㜸扢〷挶慡ㅡ〹散㔳㈶搱挰㔸㕡愳愷㡣㐵つ散㙦搰㤸㝦愷㤰㘵㌷㈱㠲捦㈸㔸㐳〱㉢㜱㈴戰捦㘱〵㠰昱㉢昱㈱挰扥㠴ㄶ挰㔸㤵愳㤳㝢㠰㝤挵攴晦㘰㜲㔶搰昸㠱戱㙣愶ㅢ㘰㉣慡㤱挰扥㘱㤲〳㘰㔵〱晢ㄶ摥敥㠱戱ち㐷〲晢㡥㐹㌴㌰㤶攲攸㈹㘳㔱〳晢ㅥㅡ昳㕦ㄴㄶ挳〵晦愶攰〷ちㅣ〸㈴戰ㅦ㘱〵㠱㠵扦慤昸ㄹ㕡〰㘳ㄵ㡦ㅥ摤〳散ㄷ㈶慦挱愱〱挱㡡ㅢ㍦㌰㤶搹㜴〳㡣㐵㌸ㄲㄸ昶ㅥ搷㠸愵戰慡㠰攱摢戹㙢〱㙣㌹扡㐹㘰㜵㑣愲㠱戱㜴㐷㑦ㄹ㡢ㅡ㤸〱㡤搹㠷㐲㤶昵㠴〸敡㈹攰て㝢〹㔶晡㐸㘰ㄱ㔸㐱㘰攱ㅦ㡤晡㐱ぢ㘰慣晡搱挹㍤挰晡㌳昹㍡㑣捥ちㅤ㍦㌰㤶攵㜴〳㡣㐵㍢ㄲ㤸挵㈴慣摥愹〲戶ㅥ扣摤慦㘱慣昲㤱挰搶㘷ㄲつ㡣愵㍥㝡捡㔸搴挰〶㐰㘳づ愴㤰㘵㐰㈱㠲つ㈸搸㤰〲㔶〶㐹㘰ㅢ挱ち〲ぢ摦ㅦ戶〹戴〰挶㉡㈱㥤摣〳㙣㄰㤳㙦捡攴慣攸昱〳扢〸扥㙥㠰㕤っ㠹〴戶㌹㤳戰摡愷ち搸㘰㜸扢〷挶慡㈰〹㙣〸㤳㘸㘰㤷挳慢愷㡣㐵つ㙣㈸㌴收㤶ㄴ戲㙣㈸㐴戰ㄵ〵挳㈸㘰㈵㤱〴戶㌵慣㈰戰昰㍤慥摢㐲ぢ㘰慣㉡搲挹㍤挰戶㘳昲敤㤹㥣ㄵ㐰㝥㘰户挱搷つ㌰ㄶ〵㐹㘰㍢㌰挹ㅤ戰慡㠰㡤㠰户㝢㘰慣㈲㤲挰㜶㘲ㄲつ㡣愵㐴㝡捡㔸搴挰愲搰㤸㌱ち㔹㘶ㄴ㈲㠸㔳㤰愰㠰㤵㐷ㄲ㔸ㄲ㔶〰ㄸ㝦〴㈳㘴愳㥦㠶ㄶ挰敥昷㈴昷〰换㌰㜹㤶挹㔹㌱攴〷挶㌲愱㙥㠰戱㠸㐸〲ㅢ挹㈴慣㈶慡〲戶㌳扣摤〳㘳搵㤱〴㌶㡡㐹㌴㌰㤶ㅥ㠵昰搸〵ㅡ㜳㌴㠵㉣㑢ちㄱ㡣愱㘰㉣〵慣㔴㤲挰挶挱ち〰攳捦㜹㠴〰㥢〰㉤㠰戱㙡㐹㈷昷〰㥢挸攴㤳㤸晣ㅤ〸晣挰㔸㔶搴つ㌰ㄶㅤ㐹㘰㔳㤸㠴搵㐷㔵挰㜶㠵户㝢㘰慣㔲㤲挰㜶㘳ㄲつ㡣愵㑡㝡捡㔸搴㙢搸㌴㘸捣改ㄴ戲㡣㈹㐴㌰㠳㠲㤹ㄴ戰戲㐹〲摢ㅤ㔶〰ㄸ㝦㤸㈴〴搸㉣㘸〱㡣㔵㑥㍡戹〷搸㙣㈶㥦挳攴慣㠹㤰㤳㥥㑢㑢㑤扡㡥挷戵晤㠷㙢〳㠷搲攵〸㈵ㅥ㔴㥦摤戱愲〹㠵っ㕣攴攱㕢㜷㠹〷愲㈳搲㠷㠳捡慤㙤㌸㌸搶摢晦ㅢぢ攵扥捦㘰攰扥〳㝣扦㕦㈱扢㌱挲㘳昶㜵㔷晤㄰晣㡤㠶㜲㝦㑥扣昲㘵㜶昶攱挵搸ぢ㔳ㅣ㌰扤戱搰搶摡摥㕡敡ㄸ㍣ㅢ㐵㍡㠳昹㝢㈰愵㥡㥡攸搸扡㍦㈰㘳攸㤸扣㘳扤㕢昸㘳㠷㑢昹晤昸挸愲㤶搶㘵㉤㜲㌶㜵敤晣㔹ㄴ挹慢㑦ㅦづㄳ攱㌸扣㙣〹㜸ㄶ㡦敦戳戳戹㌷摡晥扤㉣ㅥ㈰挷戵挶搸〷昶戰昱攳挶捦㥡㥦㉢㈶戳戹㙣搲戶搳㠹㐲㌲ㅦ㉦㘴攳挹㔸㌲㕤㡡挲挸㘷㤲昹㤴戱㙦㔹㥡㉡㈶㑡愵㜴㌶ㅡ㡦㤷愲挹㔴㈹㤱换㤵戲㤹㔸㈶㕥㑡愵戳戹㘲慣㘴昱搰㍢搳㥢昳搰挷摣て㡤挵㈳敥搲戵㍦㕤昳改攲昱㜷改愲㐰㑡敢㙡昱㈶㘹㙤て㡢愳㔳㡤挸㡢㠲㈸ち愷㜷㥦㍥㘲㤸敦㑢晥㠱挳改攵㕦㑣㌰っㅥ㑤慦扢㄰㤸搷慥㔳昵愳挸捥㝣慢㘷ㄶ㌸敦㈲㥡㠸搵ぢづ晡っ〷收扡攳挷捤慦晥愹㑡愳〴㜷㍦戸㘵挵〰㝥〳戳摤㔸〰捦㍡昰㜸捡㠷慣摥㉡㡢戹㄰㐱㜳㈸挷ㄸ㠲㐶ㄸ昰换挷㜶ㄱ晣㕣㤰户㝡㜸昹㝣㄰㘷攰㡥㜰㉤㐴〰㕦㕣㠵㠴㙢㤱㌸ㅤㅥ慥㐹搵㙢㠲㠹㑥㔴㤸慤㘸戱㈶㐴㘰昳㐱㌰ㄶ挳㜶搷㠴㙣㌲ㄱ㉤挵戳㑥㌱ㅡ㡦㈵㘳挵㑣慥㤴捦㘵ㄳ㜶㉡ㅥ㑤挷ち戱㙣搴㌸愸㈲㜵昲挹㙣㌶㔹㡡㐵昱㈳慡㡥ㄳ捦ㄵ㥤㐴㌴㥡㈹㘴㥣㙣慣㘰愷㌳㔶㕦㤵摥㙣㐳ㅦ戳ㅤ㡤搵㑦扢㉡㙢㐲㝦敤㉡慢㠴㐵ㄷ㙥攲㔸摣〵㍥㔲㔸挶晥㘹㘶㌹ㄸ㑤挴㕡ㄷづ改㈳㜱㤳㝣㑤㈲戵搶搳晥摦搲戵ㅤ㝢㙤㡢㐶っ㠰㕦㌲㕣〹㝦㤹攱〶昰㑡㠶扦挵㄰㐱㠶扦㠱㌷挸㜰㐳㜴㐲㤲ㅡ昳㘸戴㘰戸ㄱ㙣挹昰ㄸ搸㉥挳㔴㉣㥦㑢㈶㘳㤹㑣㉡㔹㑣㐶㑢戱㕣愲㤸㈹㈵㔲搱㐲㌱㕡㠸㈶㔲㈹攳㜷ㅥ㘹㌱㥡㈹㘶搳挹㜸㈶㤳㡣攷攳㜹㍢㥦戰ㄳ愹〴㍣戶㠳〷挱摡㔸愵㌷㡦㐵ㅦ昳㌸㌴搶㈶摡㔵㘱㌸㐸扢㈸㤰㔲戱㌹㕤戸㠹㌶㉦挳㔳ㄸ㍦ㄵ㑤挴摡〲㐱㕣㙢㑣ㅦ挳挱摡㝦〶戵㔱㉡㜶㈲挳愱㑣㐶㙢ㄵ晣㘵㠶㕢挱㉢ㄹ㉥っ㘵㔸ち㘵挸攳昱㐸㔲㘳㥥㠷ㄶっ户㠶㉤ㄹ㥥て摢㘵㘸㈷敤㘴㉣㙡攷㜳戱㕣㌴㘹㘳捤㑢愶㡡㐹㈷ㄳ〷换㐲愶㤸㜷㡣ぢ捡搲㙣愱攴㈴㡢〵㈷㕢挸㘱㝢㤵㡢㘵㑢愹〴慣㕣㈶㥤戶㙤㙣愸㉣ㅥ搵㘷㝡昳㐲昴㌱㔷愳戱戶搵慥ち挳敤戴慢慣ㄲ㍢搰㠵㥢㤸攷㘵㜸㌹戳㕣㠱㈶㘲敤㠸㈰慥〱㠶㈳戴晦㉡㙡㌳㔴愴搱㠸㈸㤳搱扡ㄶ晥㌲挳㌸扣㤲攱慣㔰㠶扢㠷㌲攴㈱㝡㈴挱㉥㑦戴㘰㤸㠴㉤ㄹ摥〴摢㘵㔸㑣㘴㥣㐴ㅡ㥢昲㘸㍡㥡捣ㄴ㥤㕣㌲㥢㑡ㄵ㑢㠹扣ㄳ㑢挷昳愵㤸㜱㜳㔹㕡㈸挵攳㔸㐱㤳㌱扢㤸㑢摡㘹㈷㤷㉢ㄶ㘲戱㝣戴ㄸ捤愶㡢昱㘸捣攲㠱㝥挹昰ㄶ昴㌱㙦㐵㘳愵戵慢挲㌰愳㕤ㄴ㤸㤴㡡㤱㜴攱㈶㈶㜹ㄹ摥捤昸㍤㘸㈲搶慦㄰挴㌵挰㜰㘷敤晦㌳戵扢㔰㌱ち㡤搸㠵挹㘸㍤挸昴昴昰㌶〶㕥挹㜰攷㔰㠶㈳㐳ㄹ㡥㐵㈷㈴愹㌱晦㠲ㄶっ挷挱㤶っㅦ㠵敤㌲㜴㡡㌶㕥散㤲搱㑣㈶㥡㑦㤶昲㑥㍥㤶㑢㈵戳挹㑣㍥ㅥ㉦㌸戱㘲捥㜸慣㉣㑤愷ぢㄹ扣㌲收㠱换㐹㐶攳〵㠸㌳愵㔲㈲㥥㜰攲㜶㌲㔱㑣㕢攳㔵㝡昳㜱昴㌱㥦㐰㘳㑤搰慥ち㐳ㄶ〰㐸搲ㄴ㐸愹㤸㐲ㄷ㙥㈲敡㘵昸ㅣ攳捦愳㠹㔸㔳ㄱ挴㌵挰㜰㔷敤晦㉢戵ㄳ愹㤸㐰㕡搳㤸㡣搶慢昰㤷ㄹ捥㠰㔷㌲摣㍡㤴攱㔶愱っ㜹㈰ㅦ㐹戰晢づ㉤ㄸ敥づ㕢㌲㝣ぢ戶换㌰㥦㑡攵戳㜶㌲㠳㌷〹搸㉥收ㄲ昸戳昳㜶ㄴ捦捤㕣㈱㘶挷愳挶摢㘵㘹㍡㤶挹攷㜲昹㘴摣㠶㌴㥥㜲散㔲愲㤸捤挵㙤㈷ㄷ㑦㠳㘴摡摡㐳愵㌷摦㐱ㅦ昳㕤㌴搶㉣敤慡㌰㘴㑤㠰㘴㔸㔶㠹㍤改挲㑤㙣攲㘵昸㌱戳㝣㠲㈶㘲敤㠵㈰慥〱㠶扦搶晥捦愸㥤㐶挵㙥㘸挴㍥㑣㐶敢ぢ昸换っ攷挱㉢ㄹ㕡愱っ搷〹㘵挸㘳晢㐸㔲㘳㝥㡤ㄶっ昷㠷㉤ㄹ㝥〳摢㘵㤸㑥攴戲搹㕣戴㠸㤵㉣㤱㜴戲㈹摢㡥攵戳㔸摤昰慥慢㤰挵戳摣昸㘷㔹㥡㉣㌹搱㐴㌴㥤捡愷ㅤ慣㠷挵㘲戶㔰捣㘵㑡〵晣㘶㕦㍥ㄵ捦攰ㅤ摡㝣㤵摥晣ㄶ㝤捣敦搰㔸〷㘸㔷㠵愱慤㕤ㄴ㐸愹㈸搲㠵㥢攸敤㘵昸ㄳ攳㍦愳㠹㔸㉣〱挰㌵挰戰愴晤戵㜵〸捥愶㘲ㄶㅡ戱㤰挹㘸搵挱㕦㘶㜸㈰扣㤲攱扦晦ㅤ昶扡晣㍤扣挱搷攵㐵攸㠴㌹㘰㤷ㄴ㔲㠱㘱ㄳ㙣挹㌰〲摢㘵㤸㉣㠲㘲㌲㤶㡢㘷攳㑥㌲㕥㑡攷㜳戶㤳㑣㈶攲㠵㔸摣㡥㍡戹扣搱户㉣㡤㘶敤〴㔷㕢ㅢ㤷㘴㉥㕢挲慦〳㍢搸㈲愶ㄳ㐹扣㌰愷搳㐵慢㔹愵㌷晢愱㡦搹ㅦ㡤搵愲㕤ㄵ㠶慣ㅣ㤰敢㘱㔹㈵摡攸挲㑤㝣㡥扢㔱㝥㙦戳㍥戳っ㐰ㄳ戱㔸ㄵ㠰㙢㠰㘱㠷昶㙦㐴㉤㝦㠴挲摣ㅢ㡤㔸捡㘴戴〶挱㕦㘶戸ㅣ㕥挹昰㠳㔰㠶敦㠵㌲㕣㠱㑥㤲攱ㄶ㐸〵㠶〷挳㤶っ〷挳㜶ㄹ摡戹㔴㈶㥢〰㠷㘴㌶㥦㜴㜲㠹㝣〱㥦ㄶ㠰㌰㕢㡡挹敤愲㌱愴㉣捤㌸挵㜴㌲㥡㜰㘲愹㐲㈶㠹户㡦搹㜸㌶㤷挶敦攸㘷搳㜶㌲㥡捤㈴慤㐳㔴㝡㜳㈸晡㤸㕢愲戱㝥愳㕤ㄵ㠶㉣㈶㤰っ换㉡㜱㌸㕤戸㠹㔷扣っ户㘳㤶敤搱㐴慣㤵〸攲ㅡ㘰㜸㠴昶㡦愰搶愶攲〰㌴攲㈸㈶愳ㄵ㠳扦捣昰ㄸ㜸㈵挳愷㐳ㄹ㍥ㄹ捡㤰㐵〱㤲㘱ち愹挰昰㔸搸㤲㘱ㅡ戶换㌰ㄶ㉢㈵㌳㜶㈱㥤捥㘷㜳挹㐲㌶㘳攷昱㠲㔲捡㘶㥤㜸㌱收挴㥤㤴㤱㈹㑢敤㔴㌲㔹挰㈷慥㈲摥㘵攳㥤戹㠳㌵戶㤰㈸攵㌳㜶㈹㥦户ぢ戹㤲㜵㥣㑡㙦㘶搱挷捣愱戱㡥搷慥ち挳ㄳ戴慢慣ㄲ㈷搳㠵㥢㜸挰换㜰㌴戳㡣㐱ㄳ戱㔸㍢㠰㙢㠰攱愹摡㍦㠱摡㠵㔴昰㠷㌵挴改㑣㐶㙢㌲晣㘵㠶㘷挰㉢ㄹ摥ㄱ捡昰戶㔰㠶慣ㄳ㤰っ㜷㐳㉡㌰㍣ぢ戶㘴㌸つ戶㘲㤸捡愴㌳㠹ㄴ搸挵戱㉡收戰つ㡣㌹㡥ㄳ换挵㑡愵㔸㍣㥡㉤ㄸ搳换㔲挴昱㤷戲㘳㤹㔲㌱㤹㡦㘶散㜴㌲ㅦ㡢挵昳㜸〱戲㜳搹㝣挲㕡愵搲㥢㌳搰挷㥣㠹挶㍡㕢扢㉡っ捦搱慥戲㑡㥣㑦ㄷ㙥攲ㅡ㉦挳戹捣戲㈷㥡㠸挵㜲〲㕣〳っ㉦搴晥㝤愸㙤愵㠲㕦㍦ㄱㄷ㌱ㄹ慤晤攰㉦㌳扣〴㕥挹昰㤲㔰㠶ㄷ㠵㌲扣ㄴ㥤㈴㐳ㅢ愹挰昰㌲搸㤲㘱ㅥ戶摡ㅥ㤶ㅣ㍢㡤昷㈹㐵㜰㐸ㄶ㥤㈸ㄶ㜲㔱摢㡥㘲㐵捣挴㤲㔸てぢ㘵愹㡤㌷搶昱㘸㍥㔱挸挴㄰㠹ㄶ㜲戹㠴㔳挲捦挰ㄶ愳㜶挶㡥㈵ㄳㄶぢ㄰攴戳戴㠸㍥愶㠳挶扡㐲扢㉡っ㔹㠵㈰㔵ㄴ㤸㤴㡡慢攸挲㑤㥣攵㘵戸㠸昱㈶㌴ㄱ敢㙡〴㜱つ㌰扣㐶晢ㄷ㔳扢㤴㡡㈵㘴㜸ㅤ㤳搱㙡㘷㝡㝡㜸扢〱㕥挹昰挴㔰㠶挷㠷㌲扣ㄱ㥤㈴挳㘵㐸〵㠶㌷挱㤶っ㤷挳㜶ㄹ㘶敤ㄲ㍥搳㘵昰㜶㌹敢㘰戵㉡攴昱㉡ㅢ户搳昹㔸搲捥㈶㜲搱慣戱愲㉣㐵㈰㥦㜷㑡〸㘵㜲㐹愷㔰挸愷㜳㜸戳敤攴ち㜸ㅢ㠴㡦㡣㜹㡢㌵〹㤲捥挱攸㘳ㅥ㠲挶扡㐵扢㉡っ㔹㤸㔰慤ㄲ㜷搰㠵㥢㌸摣换㜰㈵戳ㅣ㠱㈶㘲摤㠹㈰慥〱㠶㜷㘹晦㌱搴ㅥ㑡〵㝦㈱㐴摣挳㘴戴㡥㠳扦捣昰㑦昰㑡㠶㑢㐳ㄹ㜶㠴㌲扣て㥤㈴挳㤳㤰ちっ晦っ㕢㌲㍣ㄹ戶换搰㑥ㄴ㔲㠹㔸㍣づ㈸㜸㍤㡥挶戲戱㕣ㄶㅥ〷㑦敦㔴㉡㤷戵㡤㔳㉡㔲扣捥㈴昳攰ㅢ挵㌶ㄴ㙦て㜳〹扣愲愰㘳㍥㠷慤㘲㈲㤱戵敥㔷改捤㔳搱挷㍣つ㡤昵㠰㜶㔵ㄸ㍥愸㕤㘵㤵㜸㠴㉥摣挴㠱㕥㠶慢㤸攵㙣㌴ㄱ㡢㜵〸戸〶ㄸ㍥慡晤攷㔳㝢ㄴㄵ㐷㤲攱攳昰㑢㠶慢攱㉦㌳㝣ㄲ㕥挹昰㠰㔰㠶晢㠷㌲㝣ち㥤㈴挳㑢㤱ちっ㥦㠶㉤ㄹ㕥〶摢㘵㤸挸愶㜲搸戴攱㌳㕥〶扢ㅥ㔲昱㙣㌴㥢㉡攵愳改ㅣ㔶慦㜴㍣㤷㌶㉥㉦㑢戱㜹㑣ㄷ戰㜶㜲扦㕤㌲㤷㉥搹昱㥣㠳攷㜴㍣㡥㑦㡢愵㙣㍣㙥戱㜲㐱慥㘱㔷愰㡦㜹㈵ㅡ敢㔹敤慡㌰㝣㑥扢㈸㌰㈹ㄵ㉦搲㠵㥢㤸攳㘵㜸㉤攳搷愱㠹㔸㉣㑤挰㌵挰昰慦摡㝦ㄳ戵㈷㔰㜱㍣ㄹ扥挲㘴戴㙥㘵㝡㝡㜸㝢つ㕥挹㜰搷㔰㠶㔳㐲ㄹ扥㡥㑥㤲攱㥤㐸〵㠶㙦挰㤶っ敦㠲敤㌲㉣攰摤㘱㈱㥡挹㤷㔲㤹㘸ㄲㅦ㝢昳戹㔴搶㉥攲㜳㑢戴㤸捦挴昲ㄹ攳敥戲㌴㙢ㄷㄲㄹ㍢攳攰改ㅥ㑦㜲户㐳㈹㠳㌷㌵〹㈷㥢㡣攳捤㘲㉣㘷戱㤸㐱㌲扣〷㝤捣㝢搱㔸㙦㘹㔷㠵攱摢摡㐵㠱㐹愹㜸㡦㉥摣挴㉥㕥㠶て㌲晥㄰㥡㠸昵㍥㠲戸〶ㄸ㝥愰晤㡦㔲㝢㍡ㄵ晣愹ㄳ昱ㄱ㤳搱㝡㠲改改攱敤ㄳ㜸㈵挳㘴㈸挳㜸㈸挳㑦搱㐹㌲㝣〶愹挰昰㙦戰㈵挳㘷㘱扢っ昱㡡㕣挸㈷戸ㅡ㘲㝢㤸挹㌹昹㔲㌱㥥挰㍢挴㔴戱㔰㉣愶㌲㐹攳戹戲㌴㥥〰挴ㄲ㕥㐷㑡㜸㤷㔳捡攴散㑣摣挱晢敥㈸㜶㉡摡㑥㍡㘳㕢㝦㔷改捤攷搱挷㝣〱㡤昵㤹㜶㔵ㄸ慥搱㉥ち愴㔴㝣㐹ㄷ㙥㘲㕢㉦挳㔷ㄹ㝦つ㑤挴晡ち㐱㕣〳っ晦愱晤㙦㔱㝢づㄵ晣戵ㄴ昱つ㤳搱㝡ㄷ晥㌲挳㙦攱㤵っ㌷て㘵戸㘹㈸挳敦搰㐹㌲晣㄰愹挰昰㝢搸㤲攱㐷戰㕤㠶昸慣㔶攴㌶㌱ㅤ㑢攱昳〶㑥㌷㤵㜵昰摣㡥㘳捦つ㥥捡㑥㈲㘳㝣㕣㤱收愳搱㘲㌶㕦戴㑢昲㈵㍣㥦换愷昳改㑣戴㤴捡㈶戱戳㌱㤳戳晥愵搲㥢㥦愰㡦昹㈹ㅡ敢摦摡㔵㘱昸㠳㜶㤵㔵攲㘷扡㜰ㄳ敢㜹ㄹ㝥挱㉣㕦愲㠹㔸扦㈰㠸㙢㠰㈱敦㥤昴㝦㐳敤㐵㔴慣㐶㈳㘴攵〲慤敦攰㉦㌳㘴攵㠲㘴㔸ㅦ捡搰〸㘵㔸㠷㑥㤲攱て㐸〵㠶〶っ挹昰㐷搸㉥㐳摢挹㘰㥦愰㡤扤〹㈵㙣て㡢戹㙣㈶㠷捦㉤㜶㌲㥤挳慢㑢〲っ㝦㉡㑢昱昶戱㠴挳ㅤ戹㐴㌴㠹㡦㠵㑥㉡㘷㤷戲昸昴っ摥㌶㍥昰愵ㅤ慢㡦㑡㙦晥㡣㍥收㉦㘸慣㝡敤慡㌰㌴戵㡢〲㈹ㄵ慣㜱㤰っ㝦晣㤷攷戳㕥㥤㠱戸㠱㈶㘲戱捣㈱㡣㈱㉢ㅦ愴㍦㐲㉤㝦㘵挵扣㠲っ㉤昸攵㝡搸ㅦ晥㌲挳昵攰㤵っ晦㠱㘱㠲晢戱扦㠴㌷昸㜹㜹㝤㜴挲ㄵ㘷㔶㐳㉡㌰ㅣ〰㐳㌲㕣て戶换㌰攷挴戱㙦ㄵ慢㘱㌲㠱户捣㈵㙣摣㔲㌹㈷㠵㜷摣搸挲攵搳戱愲戱㝥㔹㥡㉣㘶㔲㔸〹㑢搹愸㔳㐸㘲㤷愳㥤挵搱㈰挸ㄲ愹㐲摡㐹愷㜳搶㐰㤵摥ㅣ㠰㍥收㐰㌴ㄶ敢㈱㌸愲㔹㘱戸愱㜶㤵㔵㠲㘵て㤲攱㐷㕥㠶㠳㤸㘵㔳㌴ㄱ㡢㤵て㘱っ㌷搵晥挱搴昲㠷㕡㑣晥散㡢搸ㅣ㝥挹㜰㑢昸换っ〷挳㉢ㄹ扥ㄱ捡昰戵㔰㠶慣㜲挰ㄵ摦ㅢ㐳㉡㌰㘴㐵㠳㘴戸㉤㙣㤷㘱㈲㥥㡡挷㑡搱㕣㡥晢㘰㡢㜸㝤戶攳㤹〴て㤶㌸愵㘸㍥㘶㈷㡣敤捡搲〲㍥㈸㐷戱扢ㅢ慦捦戹㘴㍥㕢捣挵㜳搸㌵ㄱ〳昸㈲㍥㐱ㄷㅣ㡢戵ㄲㄲ搸昶攸㘳づ㐷㘳戱㐴挲挷㜰㤸㜶㔱㘰㔲㉡戶愵ぢ㡣挴戳㕥㠶㌱挶攳㘸㈲搶㜶㄰㠴㌱㘴㝤㠴昴愷愹扤㤵㜷昵ㄶ㌲㤴㈵て戴㜲㑣㑦て㙦㉣㜹㤰っㅦ〹㘵昸㔰㈸挳㥤搰〹㔷散摣㐵㉡㌰㡣挲㤰っ㜷㠱慤戶㠷愹ㄴ㠰㈵ㅤ㝣搴挸㈷ㄳ㤹ㄲ昶ㅡ㐶昱㑣挵慥晥㐲ㅣㅦ㘱㑡挶攸戲ㄴ㥡㜴㉡㤱㠹攳搵愷㤸㑣攳愹㥥㡦ㄶ戰摢㈱㠱㕤户搱㜴摡戱㉤㤶㑦㐸㘰㘳搰挷ㅣ㡢挶㡡㙢㔷㘵㍤㑣㘸ㄷ〵㈶愵㠲挵ㄱ㤲攱㕤㕥㠶㤳ㄹ㥦㠲㈶㘲㘵㈰〸㘳挸㤲〹改㥦㐶㉤㝦㉥挶攴㡦捦〸㔹〵㐱㙢㈶搳搳挳摢捥㔰㑢㠶㌷㠴㌲扣㉥㤴攱㈸㜴挲ㄵ㝢搶㤰ちっ㜷㠱㈱ㄹ捥㠱敤㌲㉣㜰㙦㘱扥〰㝣㠹㔴㌲㡤㍤づ摣ㄳ㔸㑡ㄵ昰㘱愵ㄸ户㘳㌹㘳㙥㔹㡡㔳㝢愴㤳㠵っ㍦つ㈶戰摦摡戶ㄳ搱ㄴ㜶㝤ㄵ㜰㐴㌸收㈴㥣㠲挵㡡ち挹㜰㑦昴㌱昷㐲㘳㡤搱慥ち㐳㤶㔵㔴慢〴敢㈵㈴挳换扣っ昷㘳㤶晤搱㐴慣㠹㄰㠴㌱㥣愴晤㜹㙡ㅦ攴㕤㝤㠰戴愶挰㑦㙣愶〳㝦㤹㈱ぢ㈳㈴挳㜳㐳ㄹ㥥ㅤ捡㜰㌷㜴挲戵挶㙣㐴㉡㌰㘴㈹㠴㘴㜸㈰㙣㤷㘱搱挱㕢扤愲㤳㈹搸㈹㈷㔹戰㡢昹愲㔳㈸攲㌳㜱摥㐹攳晤㘱搲㌶ㄶ㤵愵㜸㠵挹攲㐰㝡㤱㐷挸㜱搴挵戱昱㙥愸㤸㑦㈶㤳㜱散㉦㉢愵㡡ㄶ㡢㉣㈴㥤㈶昴㌱㥢搱㔸慣慤㤰慥ち挳㤹摡㔵㔶㠹㔹㜴㠱㤱㌸搹换戰㥤㔹㍡搰㐴慣搹㄰㠴㌱㥣愳晤换愹㝤㥣㜷㤵㍦㠱㘳捤㠵ㅦ㔷㝣攰㠴扦㝦慦㍡㔶〹晣捡㜷㌸㍤晣ㄷ㉦㠶晢㑦㍤㌲ㄱ愷ㄲ㘱㌹㘱㑤㉦㝣搵摦晤㠲㝣敦摡㤱晦㔹㉥ㅥ戰攷敦㘳昰㔶㜷ㄴ敥敢晦㈱て搷㡣㑡㈱〶㌳㙥㠱㥢㜹㈸敥㜰摤㍣摣摤㘸搸ㄴ扢㍡〹㈴㍡搶っ㙣㥥摡㡥㠳昹㌸㤹攸㥣搶戱攵㌳㔱慥慢て昲て搷㘷挴ㄸ㔶昱㡣捤户攳户㔵㍡ㅣ摤㙤㘶㕢戹ㅦ捥㌰㠱愲づ〴㠶昳晣ㄹ〳㉢㤶攷〷〶〶㔵扣㔳㕢摡㜱慥ㄷ愷愸㌳戶攳换昷扤㙢㝢㠹搰摦晣㔰㈷㍢攰㉦ち㌰ㅢ捥昶㌲戵㐸〰㠳㐲㝥㕥㘱㕣㘳㠷晣㜹㤲㑤ㄱㄷ㈶㉢㐴㡣挳㠸㘹搴㔶攳戶㡡搵ㅤ㡥挷㘱慤㠷愸愶捥〱戹㙡㐴捣㤵挸㈷昶㐳㘶愲ㄷ㈶㑢㑢㡣㈳昵ㄸ㜱昱ㅢ㡣挱㜱戸づ攳㐷㌱㈹收ㄳ㐲扢〴换㐷㘸㌰㔹〳慢㌰昰㜶慢〶㉡敦攵换搱捡ㅡ攳晥慦㔷晦慤㌱つ㉣搹㤰㍤昶ㄳ㐳㑥ㅦ㕢昷捥㘱慢扦扡敡㔷挳㉥戸晥ㄷ昵晦㌰户挷摥慡㐷㙥㡣㔸㠸ㅥ挳攰㌵摦㘵昳ㅥ㥢昷搱㠸㘵㤸挴㙢昸摤㠵挰㤹ㄸ㤶慡㠰晦㑣っ搶㈲㘴挲ㄵ㥦㜰㌱摦晥扤㐴㉢っ㍥摤㐴〷㝡㜰ㅤ㈷㈴昳㈴摥攵㌶戸㕤㍥慣捤㌰㑥㠱㑦㍥〶㜱戱ㄸ㍡つ㈳㘲㥥㐶㜱㝢㔹捣敡っ攳昷㕡ㅣㄳ㑤㑡散㤲㍦ㄳ㠱〶㤶㔱昴っㄹ㙢㉥㝡㠶散户攸ㄱ㠶㙣〱愶ㄳ㡡慣愴〲晥㜳㌷㔸㉣搸挰ㄵ愵〲㤸㍢㤰ㅤつ㐳㈲㉢愲㐷ㄹ搹〵愴㜰㉣㐲㉥㌲㤶㘲ㄸ慢㉢ㄴづ愸愲㜰㌱挵㉣㤴㜰挵㉣挶㌰㉥搵攲戸㤸愷挴敥晡㜷㌹〲つ愷㐰搲㌳㘴㉣戱攸ㄹ戲㌳搰㈳っ搹㕥㡡㑣㘰㉤摢㔳〵晣㘷㝢戰㔶㈱ㄳ慥㌵收搵㤸㍢㤰戱挸㐲㈲㥢㠳ㅥ㘵㘴搷㤲挲㠵〸戹ㄴ捥挷㤲㜱㝤㠵挲敥㔵ㄴ㙥愴㤸㠵ㄳ慥昸〲㡡㙦搶攲㤸㤸愶挴敥㕡㜶㉢〲つ㤷㐳搲㌳㘴慣愸攸ㄹ㌲ㄶ㔷㠴㈱㥢慣挸〴㤰㑤㔲〱晦昹㈱㉣㤶㘳攰㡡㜷㘶㤸㍢㤰戱愶㐲㈲㥢㠰ㅥ㘵㘴昷㤲挲㉤〸戹ㄴ㙥挲㤲㜱㕦㠵挲㤸㉡ち昷㔳捣㌲〸㔷㝣㌳挵て㙡㜱㕣散慣挴敥㕡昶㌰〲つ慣㠹攸ㄹ戲㝢㜴㡦戵摥㤶晤ㄹ㍤挲㤰㘵ㄴ㤹〰戲戴ち昸捦㈸㘱戱晡〲㔷散㔶挲摣㠱㡣㈵ㄴㄲ㔹ㄲ㍤捡挸㥥㈲〵㤶㍢戸ㄴㅥ挵㤲昱㡣愶㄰ㄳ㔱㐵挱㕤㜱㥥愳㤸㔵て慥㤸㤵ㄵ挶ぢ㕡ㅣㄷ㍢㈸戱㡢散㈵〴ㅡ㔸〲搱㌳㘴捦敢ㅥ㙢㡤㡣愵ㄳ㘱挸戶㔱㘴〲挸戶㔶〱晦㌹㈸慣㔷㤱〹㔷晣戲㌸收づ㘴㙦挲㤰挸戶㐲㡦㌲戲㌷㐹攱ㅤ㠴㕣ち㙦㘱挹㜸扢㐲㘱㜰ㄵ㠵㜷㈹㘶ㄵ㠴㉢㘶㈱㠵昱扥ㄶ挷挴愶㑡散昲晤㄰㠱〶㔶㍣昴っ搹㈷扡挷㕡㈳㘳愵㐴ㄸ戲つㄵ㤹〰戲つ㔴挰㝦搶ち敢ぢ㘴挲ㄵ摦㜵挲摣㠱散㙢ㄸㄲ搹〰昴㈸㈳㕢㐳ち㉣㘶㜰㈹㝣㠳㈵攳㡢ち〵慢㡡挲㔷ㄴ戳愶挱ㄵ戳㙥挲昸㕡㡢攳愲㥦ㄲ扢㙢搹㍦ㄱ㘸昸〹㤲㥥㈱晢㔹昷㔸㙢㘴戵ㄸ㈰っ㔹ㅦ㐵㈶㠰捣㔰〱晦㜹㉥慣㍡㘴挲昰昸㌲ㄳ收づ㘴慣㠷㤰挸㝡愳㐷ㄹ搹㑦愴挰慡〴㤷〲㡢㈴㡣㕦㉡ㄴ㙡慡㈸昰㤴搵㠲㌵づ慥㤸㘵ㄲ㐶㉦昸摣㜷㠵攲挷敦摤㜷㈴敥㕡㔶㠷㐰〳敢ㄹ㜰敤挱晢㌲ㄶ㍦挸ㅥ㙢㡤㙣㈳挸㠷昱㡥晡摥㤷㝤㠷改㠴扥挹昸㔶〵晣㘷挶戰㔸㌹㈱㤱昵挵摣㠱㙣ぢ搸ㄲ搹㌷攸㔱㐶搶㥦ㄴ㔸㠴攰㔲ㄸ㡣㈵愳㐱㔳㠸㡢㉦ㄵ〵㜷挵㔹㤷㘲㤶㌴戸攲㈱ㄴ慦慦挵㌱昱㤹ㄲ扢挸〶㈲搰挰昲〵㕣㝢㠰㡣戵づ戲挷㕡㈳ㅢ〱昹戰㄰㘴ㅦ㉢㌲㠱戵散㈳ㄵ昰㥦㑢挳㘲愱㠴㐴㌶〸㜳〷㌲㔶㍢㐸㘴ㅦ愰㐷ㄹ搹㘶愴挰㥡〳㤷〲㑢㈰㡣㉤㌴㠵戸㜸㐷㔱㜰㤱つ愱㤸ㄵっ慥㤸㐵㄰挶㤶㕡ㅣㄳ㙦㈸戱㡢㙣ㄸ〲つ愳㈱挱戵〷挸挶攸ㅥ㙢㡤㙣〲㝡っぢ㐱昶戲㈲ㄳ㐰昶㔷ㄵ昰㥦㝤挳㘲㕤㠴㐴㌶ㅣ㜳〷㌲ㄶ㌷㐸㘴㉦愲㐷ㄹ搹㡥愴挰ㄲ〳㤷〲㉢ㅥ㡣㥤㌴㠵戸㜸㔶㔱㜰㤱挵㈸㘶挱㠲㉢㘶捤㠳㤱搰攲㤸㜸㔲㠹㕤㘴㈹〴ㅡ㔸㥣㠰㙢て㤰戱㤲㐱昶㔸㙢㘴㉣㙡ㄸㄶ㠲散㉦㡡㑣〰搹㈳㉡攰㍦㕦㠷挵㌲〸㠹散㔷㤸㍢㤰搹戰㈵戲㠷搰愳㡣㙣ㄴ㈹戰㤸挰愵挰〲〷㘳㜴㠵挲㥦慢㈸㡣愵㤸攵〷慥㤸㈵づ挶㜸㉤㡥㡢㝢㤴搸攵㍢ㄱ㠱〶搶㈲攰摡〳㘴㉣㕣㤰㍤搶ㅡ搹㘲挸㠷㠵㈰扢㕤㤱〹㈰扢㑤〵晣㘷昸戰㔸昵㈰㤱敤㠶戹〳ㄹ㑢ㄷ㈴戲㕢搰愳㡣㙣㍡㈹戰捣挰愵挰㝡〶㘳㘶㠵挲つ㔵ㄴ昶愰㤸攵〸慥㤸ㄵつ挶㙣㉤㡥㠹㙢㤴搸㕤换收㈲搰戰ㄲㄲ㕣㝢㠰㡣㜵ち戲挷㕡㈳㘳挹挲戰㄰㘴㔷㉡㌲〱㘴㔷愸㠰晦㥣㈰ㄶ㡢ㅣ㈴戲㝤㌱㜷㈰㘳愵㠲㐴㜶ㄹ㝡㤴㤱敤㐷ち慣ㄷ㜰㈹戰㝣挱㤸慦㈹挴挵㐵㡡㠲扢攲搸ㄴ戳晡挰ㄵ戳㠰挱㈸㘸㜱㑣㥣慦挴㉥㌲〷㠱〶㔶ㅡ攰摡〳㘴㉣㑢㤰㍤搶ㅡㄹ㉢ㄴ㠶㠵㈰㕢愵挸〴㤰㥤愵〲晥戳㠸㔸慢㤱㐹㈲㕢㠴戹〳ㄹぢㄳ㈴戲㌳搰愳㡣慣㤹ㄴ㔸ㄹ攰㔲㘰戵㠲搱㕡愱㜰㙡ㄵ㠵㠳㈸㘶㉤㠱㉢㘶扤㠲搱慥挵㜱㜱愲ㄲ扢㝣㤷㈰搰挰挲〲㕣㝢㠰㡣㔵〸戲挷㕡㈳㘳㐱挲戰㄰㘴扦㔳㘴〲挸㡥㔱〱晦㜹㐷㉣㤶㌰㐸㘴㠷㘰敥㐰挶㍡〴㠹散㈸昴㈸㈳㍢㤴ㄴ㔸〸攰㔲㘰㜱㠲㜱㤸愶㄰ㄳ㠷㉢ち敥㡡戳㤲㘲㤶づ戸㘲㤶㈷ㄸ㐷㙡㌱昶愴㈹戱㡢散㘸〴ㅡ㔸㐷㠰㙢て㤰戱攸㐰昶㔸㙢㘴慣㍦ㄸㄶ㠲㙣㤹㈲ㄳ㐰戶㔴〵晣㘷㉡戱㔸戱㈰㤱㥤㠰戹〳ㄹ换づ㈴戲づ昴㈸㈳㍢㠹ㄴ㔸㈲攰㔲㘰㉤㠲㜱㡡愶㄰ㄳ㡢ㄵ〵ㄷ搹㘹ㄴ戳㔲挰ㄵ戳ㅡ挱昸扤ㄶ挷㐵㤳ㄲ扢挸捥㐴愰㠱㘵〳戸昶〰ㄹ㙢っ㘴㡦戵㐶挶㜲㠳㘱㈱挸ㄶ㈸㌲〱㘴㈵ㄵ昰㥦摢挴㝡ㄷ㤹㈴戲昳㌰㜷㈰㘳㤵㠱㐴㔶㐴㡦㌲戲ぢ㐸㠱挷晡㕤ち㉣㍤㌰㔶㔷㈸ㅣ㔰㐵攱㘲㡡㔹㌹攰㡡㔹㝣㘰㕣慡挵㌱㌱㑦㠹㕤扥㤷㈳搰挰㉡〱㕣㝢㠰㡣㈵〵戲挷㕡㈳㘳㜵挱戰㄰㘴㝢㈹㌲〱㘴㝢慡㠰晦㙣㈸ㄶ敢ㄱ㈴戲慢㌱㜷㈰㘳㔱㠱㐴㌶〷㍤捡挸慥㈵〵ㄶ〰戸ㄴ㔸㘹㘰㕣㕦愱戰㝢ㄵ㠵ㅢ㈹㘶ㅤ㠰㉢㘶慤㠱㜱戳ㄶ挷挵㌴㈵㜶搷戲㕢ㄱ㘸愸攳㘷慦ㅥ㈱㘳〵㠱散戱搶挸㔸㑣㌰㉣〴搹㘴㐵㈶㠰㙣㤲ち昸捦㥦㘲昵㐷㈶㠹散㙥捣ㅤ挸搶㠵㉤㤱㑤㐰㡦㌲戲㝢㐹㠱㐷昲㕤ち㉣㉣㌰敥慢㔰ㄸ㔳㐵攱㝥㡡〷㤶挵敢㔳晣愰ㄶ挷挴捥㑡散慥㘵て㈳搰㌰〸㤲㥥㈱㘳挱㐰捦㤰つ㐶㡦㌰㘴ㄹ㐵㈶㠰㉣慤〲晥㌳慥㔸㕢㈲㤳㐴昶〴收づ㘴㉣ㄹ㤰挸㤲攸㔱㐶昶ㄴ㈹昰㤸扤㡢㡣㜵〴挶㌳ㄵち搱㉡ち捦㔱㍣扣㉣㘶㈵㠱昱㠲ㄶ㘳㝦㤹ㄲ扢㙢搹㑢〸㌴挴㈰改ㄹ㌲搶〷昴っㄹ㑢〵挲㤰㙤愳挸〴㤰㙤慤〲晥㜳戴㔸㉣㉥㤰挸㕥挷摣㠱㙣ㄴ㙣㠹㙣㉢昴㈸㈳㝢㤳ㄴ挶㈰攴㈲㘳搹㠰昱戶愶㄰ㄳ㠳ㄵ〵㜷挵㜹㤷攲戱㘵昱㘸㡡摦搷攲戸搸㔴㠹㕤㘴ㅦ㈲搰挰㈳晣㍤㐳挶㜲㠰㥥㈱㘳㘵㐰ㄸ戲つㄵ㤹〰戲つ㔴挰㝦㔶ㄷ㙢㈶㌲㐹㘴㝦挷摣㠱㙣㌶㙣㠹㙣〰㝡㤴㤱慤㈱〵ㅥ扣㜷㤱戱㑡挰昸愲㐲挱慡愲昰ㄵ挵㍣挸敦㡡攷㔲晣戵ㄶ挷㐴㍦㈵㜶昹晥ㄳ㠱㠶晤㈰改ㄹ㌲ㅥ晤敦ㄹ㌲ㄶ〲㠴㈱敢愳挸〴㤰ㄹ㉡攰㍦て㡣攵㈰㤳㐴昶〳收づ㘴㍣晥㉦㤱昵㐶㡦㌲戲㥦㐸㠱㐷攱㕤ち㉣ち㌰㝥搱ㄴ攲愲㐶㔱㜰㔷ㅣ㔱て㜱㜳㔹扣㠸攲㕥昰改晤㘵摦㔵敤㉦㐳愰愱ㅤ㤲㥥㈱攳挱晥㥥㈱攳㜱晦㌰㘴摦㘱㍡攱晢换㔴㈰㜰收㤸㐳㤰愹扢㌳挷昰ㄷつ㥣㜶㜹㜶㤳〶扣收搴㤵昸ㅢっ㝤㑢慥㥢〷昷昱㉢っ㡤㑤㑤昲〷っ晡攱㐴て㙤㡢㥣戶㘹㌸㥦〹㑥敦㠰㜳摥慢㙦搰攳㍣㈷晣摤㝣㝤㉡〱㔳㕡散㙣㤴㘶戶攱摣〲㝤㑡㔳摢㜱ㅥ㥡㘲㝤昳敥㜶㐷㠷搳搶昲扦㜰ㄶ〸晣愴〴㝦摡てㄷ昷晣て愱扦收挰㥦㘹〸㍤㤲㉥㠹㡤愸昰㤸㠶㌳㤴戰㘲愱㤶攷㠷昸捦㑥㐹㘳昴挵㉡愶捦㜸㔲昴㥣昱愴户昸〶て戱㕢ㅢ㜸㜸捤㉦㥣㌲て搲㥢晤愱㌷搶㐱搳㙢㙣㝢戳慣慢㐱ㄳ㌱ㅢ攰㤱扦敡㈱㥢㥡扡㐳戱ㅡ昸敦ㅣ㝦㕦㠳扦愲㔶㔳户慣戱搸戱搰㔸攸㌴㉥㔸搸㠱摦搱攸换㝢慣㉦扤㔷愲㙢㔷攵〷㝣ㅥ昵㘹㥥㙦户戵搹㉢敡㥢攷㌷㌹㉤ぢ㍡ㄶ搶捦㕦㡡㙡ぢ㥣愹〵捦扢晡晡㝡㜳㕤捣挷〵㡤愷摢搱挸挸慣收㝡㕥敦〹昰㜰㙤㌵㠹愰户昸㉣昴敥づ攴晤攲摤慤摣搵つ改攲て㤸戸㜷㔵㥣㠴ㅣ扣扢晡㈲㑥㠳㈱㠷摢ㄸ捡昲㈴捥搴摥㑤扣摥昳攰昵㑣攲㠳搰㐹㙣挶ㄱ慢㈷戱㠵㙦ㄲㄷ㈰㑦搵㈴㉥搶挳つ昱づ㜷戹昶づ昵㝡慦慥㥥挴ㅢ愱㤳ㄸㄶ㥣挴㌶扥㐹㕣敢㥦挴㡤㝡戸敤扣挳摤慡扤摢㝢扤㜷㔷㑦攲挵搰㐹散ㄸ㥣挴㑥扥㐹摣敢㥦挴晤㝡戸㤸㜷戸㠷戵㌷敥昵㍥㔱㍤㠹㈷㐳㈷㤱ち㑥㈲攳㥢挴㔳晥㐹㍣愷㠷换㜹㠷㝢㐹㝢㐷㝡扤慦㔷㑦攲愱搰㐹㡣ち㑥㘲戴㙦ㄲ㙦晡㈷昱慥ㅥ㙥慣㜷戸て戵㜷㥣搷晢昷敡㐹摣ㄳ㍡㠹㠹挱㐹㑣昶㑤㘲㡤㝦ㄲ㕦改攱愶㝡㠷晢愷昶敥敡昵晥㔰㍤㠹㕢㐲㈷㌱㍤㌸㠹㤹扥㐹晣攴㥦㠴挰㘶㐲㍥㐵昷昰づ㔷愷扤戳扣摥扥昰㝡㥥愲搷㠴㑥㘲㙥㜰ㄲ㝢昹㈶搱ㅦ㜹慡㥥愲敢敡攱昶昶づ㌷㔰㝢昷昱㝡〷㔵㑦攲戲搰㐹散ㄷ㥣挴㝣摦㈴㌶昳㑦㘲㠸ㅥ捥昶づ㌷㑣㝢昳㕥敦昰敡㐹㥣ㅦ㍡〹㈷㌸㠹〵扥㐹散攸㥦㐴㑣て搷攸ㅤ㉥愵扤〷㝡扤扦慡㥥挴ㄹ愱㤳㘸づ㑥愲搵㌷㠹㔱晥㐹㡣搵挳ㅤ攴ㅤ㙥愲昶戶㜹扤扢㔵㑦攲挴搰㐹㉣〹㑥㘲㤹㙦ㄲ搳晤㤳搸㐳て户挲㍢摣㕣敤㍤搸敢摤户㝡ㄲ㐷㠵㑥攲搰攰㈴づ昳㑤㘲㍦晦㈴㙣㍤摣㑡敦㜰㡥昶ㅥ攱昵㉥慡㥥挴㙦㐲㈷㜱㜴㜰ㄲ扦昳㑤愲搹㍦㠹㠳昴㜰挷㜹㠷㕢愲扤挷㝢扤㠷㔴㑦愲㈳㜴ㄲ㈷〵㈷㜱㡡㙦ㄲ㠷晡㈷戱㔲て㜷㥡㜷戸愳戵昷㜴慦昷㠴敡㐹㌴㠵㑥攲捣攰㈴㔶昹㈶㜱㤲㝦ㄲ愷改攱捥昱づ㜷愶昶㥥敢昵㥥㔷㍤㠹㘲攸㈴㉥〸㑥㘲戵㙦ㄲㄷ昸㈷㜱戱ㅥ敥㘲敦㜰㤷㙢敦㈵㕥敦搵搵㤳㤸ㄷ㍡㠹换㠳㤳戸搲㌷㠹㙢晤㤳戸㔱て昷㐷敦㜰户㙡敦㔵㕥敦摤搵㤳㤸ㄳ㍡㠹㙢㠳㤳戸摥㌷㠹㝢晤㤳戸㕦て㜷愳㜷戸㠷戵昷㈶慦昷㠹敡㐹㑣ぢ㥤挴慤挱㐹摣敥㥢挴㔳晥㐹㍣愷㠷扢搳㍢摣㑢摡㝢㤷搷晢㝡昵㈴㈶㠴㑥攲摥攰㈴敥昳㑤攲㑤晦㈴摥搵挳摤敦ㅤ敥㐳敤㝤挰敢晤㝢昵㈴㜶づ㥤挴挳挱㐹晣挵㌷㠹㌵晥㐹㝣愵㠷㝢捣㍢摣㍦戵昷㜱慦昷㠷敡㐹㈴㐳㈷昱㔴㜰ㄲ捦昸㈶昱㤳㝦ㄲ〲〲昹㝥攲㌹敦㜰㜵摡晢扣挷㕢搷ㅦ挶㕡㝦扣㘳愱昴晡昸㈰摣攴ㄴ㜸ㅥ㑡㥥捤㜰㜸ㄳ㍥愶慤挵挹㈳㕦挰㌸愲㠱つ㜲㤸㉦慡〵ㅡつ敢㉡〳晦㘰慤攷戵挴㐰㔸㥣愲昹ㄲ摤ㅢ慡㤸昹㔷戵㈰晢㙦慣っ晣㐳晦㑤扣㤶搸っ㤶散晦㌲摤㕢愸㤸昹㡡㕡㤰晤㠷㈸〳晦搰㝦愸搷ㄲ挳㘰挹晥慦搲扤㡤㡡㤹慦愹〵搹㝦㍢㘵攰ㅦ晡㙦敦戵挴㡥戰㘴晦搷改摥㐹挵捣㌷搴㠲散ㅦ㔳〶晥愱㝦摣㙢㠹ㄴ㉣搹晦㑤扡㌳㉡㘶扥愵ㄶ㘴晦㥣㌲昰て晤㐷㝡㉤㌱ち㤶散晦㌶摤愳㔵捣㝣㐷㉤挸晥㘳㤵㠱㝦攸㍦捥㙢㠹㠹戰㘴晦㜷改㥥慣㘲收㝢㙡㐱昶㥦慡っ晣㐳晦㕤扤㤶㤸づ㑢昶㝦㥦敥㤹㉡㘶㝥愰ㄶ㘴晦㍤㤴㠱㝦攸㍦换㙢㠹戹戰㘴晦て改摥㑢挵捣㡦搴㠲散扦户㌲昰て晤昷昱㕡㘲㍦㔸戲晦挷㜴捦㔷㌱昳ㄳ戵㈰晢摢捡挰㍦昴捦㝢㉤攱挰㤲晤㍦愵㝢㠱㡡㤹㝦㔳ぢ戲㝦愳㌲昰て晤て昴㕡愲ㄹ㤶散晦㜷扡㕢㔵捣晣㑣㉤挸晥〷㈹〳晦搰扦捤㙢㠹㈵戰㘴晦㌵㜴㉦㔳㌱昳㜳戵㈰晢慦㔰〶晥愱晦挱㕥㑢ㅣち㑢昶晦㠲敥挳㔴捣晣㔲㉤挸晥㉢㤵㠱㝦攸㝦㠴搷ㄲ㐷挳㤲晤扦愲晢㜷㉡㘶晥㐳㉤挸晥挷㈹〳晦搰晦㜸慦㈵㑥㠲㈵晢㝦㑤昷㈹㉡㘶㝥愳ㄶ㘴晦搳㤴㠱㝦攸㝦扡搷ㄲ㘷挲㤲晤晦㐹昷㉡ㄵ㌳扦㔵ぢ戲晦㌹捡挰㍦昴㍦搷㙢㠹ぢ㘰挹晥摦搱扤㕡挵捣敦搵㠲散㝦戱㌲昰て晤㉦昱㕡攲㜲㔸戲晦扦攸扥㔲挵捣㝦慢〵搹晦㡦捡挰㍦昴扦捡㙢㠹㙢㘱挹晥㍦搰㝤扤㡡㤹㍦慡〵搹晦㐶㘵攰ㅦ晡摦攴戵挴慤戰㘴晦㥦攸扥㕤挵捣㥦搵㠲散㝦愷㌲昰て晤敦昲㕡攲㕥㔸戲晦㉦㜴摦愷㘲㈶㝥攳㕤㙥㠸㘵晦晢扤㍤ㅡㅥ昰㕡攲㘱㔸戲扦㘰㡦扦攸晥戵摥晥㡦㜹㝢㌴㍣敥戵挴㔳扡㝦㉦昶㜸㐶昷敦敤敤晦㥣户㐷挳昳㕥㑢挸㤷つ摣㉤戳づ㍤昴挵攲换㠷摣ㄳ㙥挰㡢㍤攱㉦改扣㔵㉡扥㐸㐸㔵扤慢㝡㌹㔴挵㤷〲愹㡡戸慡㔷㐳㔵慦㘹㔵㍦㔷㈵㌷攷㠱㜹㜱戳㉥㜳慤攳慡摥っ捤挵㡤户㔴㔹慥敡敤㔰ㄵ㌷搱㔲戵㥥慢㝡㌷㔴昵㥥㔶つ㜰㔵㜲㌳ㅢ㤸ㄷ㌷户㌲搷〶慥敡挳搰㕣摣愸㑡搵㐶慥敡攳㔰ㄵ㌷㥤㔲戵㠹慢晡㌴㔴昵㌷慤摡搴㔵挹捤㕦㘰㕥摣っ捡㕣㥢扢慡㌵愱戹戸戱㤳慡挱慥㑡㙥捡〲戹戸㐹㤳慡愱慥㑡㙥戰〲㉡㙥戸愴㙡㉢㔷㈵㌷㑢〱ㄵ㌷㑦㔲戵戵慢㤲ㅢ㥦㠰㡡ㅢ㈱愹摡搶㔵挹㑤㑣㐰挵㑤㡤㔴㙤敦慡攴㠶㈴愰攲〶㐵慡㜶㜰㔵㜲㜳ㄱ㔰㜱戳㈱㔵㈳㕣㤵摣㈸〴㔴摣㌸㐸㔵搴㔵挹愷㝥㐰挵㑤㠰㔴挵㕤㤵㝣㠲〷㔴㝣愲㑢㔵搲㔵挹愷㜱㐰挵愷戳㔴愵愵捡搲㑦㐳挱攷愷㍣㐴昵搸户敥㈱慡㜱攸㕢㡦昳捡昲㈹㈹〳㡦晡〲㝣ㄶ捡挰㕦㝣〱㍥昱㘴攰ㄱ㕦㠰捦㌵ㄹ㜸搸ㄷ攰搳㑢〶ㅥ昲〵昸㡣㤲㠱〷㝤〱㍥㠹㘴攰〱㕦㠰捦ㅢㄹ戸摦ㄷ攰㔳㐵〶晥散ぢ昰搹㈱〳昷昹〲㝣㐲挸挰㥦㝣〱㍥〷㘴攰㕥㕦㠰慢扤っ摣攳ぢ㜰㑤㤷㠱扢㝤〱慥摣㌲㜰㤷㉦挰昵㔹〶敥昴〵戸ち换挰ㅤ扥〰搷㕡ㄹ戸摤ㄷ攰㡡㉡〳户昹〲㕣㌷㘵攰㔶㕦㠰慢愳っ摣攲ぢ㜰つ㤴㠱㥢㝤〱慥㜴㌲㜰㤳㉦挰昵㑣〶㙥慣づ昴晤㝦㍤慦㙤㈶</t>
  </si>
  <si>
    <t>㜸〱捤㥤〷㜸ㅢ㔵昶昶㝤ㅤ㝢攲㔱㡡〷㐸㘸〹㄰㠷㠴㤲㠴愰㕥戲㠴昴㠴㤰〶㘹㉣搵ㄹ㐹愳挴挴㈵搸㑥愳㠷摥〳㉣扤户挰㉥扤㈴㜴㤶愵昷愵戳搴㠵搰ㄶ㜶改戰戰㑢换昷扥㜷收㑡愳㤹戱ㅤ敦㝦扦攷㔹㔹㍡㥥㝢捥㝢捦扤晡㘹㘶㈴捤ㅣ㐹ㄵ愲愲愲㘲〳㉥晣捦㑢ㄵㄷ〶捥㔹搹搶㙥㌵㡤㥣搰搲搸㘸攵摡ㅢ㕡㥡摢㐶㡥㙢㙤㌵㔷㑥㙦㘸㙢敦〱㠱㔶摦㠰㜸㕢㜵㝤㕢挳愱㔶㑤晤㌲慢戵つ愲敡㡡㡡㥡ㅡ扤ㄲ昱慤㥣㥢愱ㅡ㍡㝢改㔵㌴㔰㔵攸ㅡ㑤㑦㥡ㅡㅡ㥤㈶㐴搳㡢愶㌷㑤ㅦ㥡扥㌴戵㌴〶捤㈶㌴㥢搲㙣㐶搳㡦愶㍦捤收㌴㕢搰㙣㐹挳昱昵慤㘹〶挰昴ㅥ〸㌳㜷挲昸㔹搹㠳㜱㙦收戴户戴㕡㈳〶捤户攷㍣㍡ㄲㄹ㠹扦㜸㍣㍤㌲㍣㘲搰㠴愵㡤敤㑢㕢慤搱捤搶搲昶㔶戳㜱挴愰扤㤶㘶ㅢㅢ㜲搳慣㤵㜳㕢ㄶ㕢捤愳慤㙣㌸㤶㌵攳改㐸㍣㤱㈸㘴㌲改摥摢㈰昳捣〹攳昷㙡戵ち㙤晦慤㥣摢㌲攷慣〹攳㐷捥戴摡晦㕢㌹户㐳㑥愴㥣搸搲㘴㌶㌴晦㤷㤲㔶昳㌱㑤㑣戴㜲つ㝣昰㉤慢戵愱㜹攱㐸㑣扢っ㌴㕡愹㤱攳摡摡㤶㌶㉤攱㝡㌴挱㙡㙣㥣㙤ㄵ攴㠳摥㌴戱慤㝤㉦戳戵愹慤㜷ㄳ昹㔹慤㔶㜳捥㙡敢摢㌴㘹㐵捥㙡㜴㠴㙤㌵㑤昳捤搶㤹㘶㤳㔵挵㠵摡㈶晢㌱㥣㥡户㥡摢ㅢ摡㔷昶㘹㥡搷㘶捤㌶㥢ㄷ㕡㤴㔴㌷㑤㔹摡㤰ㄷ㔵㔵戸㔶昴搸㌱㘸㘶昲㠱挲㝣㥡㈶㉣㌲㕢摢㘵㡢て㘱㈴㐸敢㕡㕤攴扤㈸㥢ㄷ㔷愹㐱㥥㕥㝣捣收㌴㌴㑤戳㕡㥢慤㐶づ挲㐷㜲戸㐷㈴〱搹㡦㐳㤱㤴扡㍢㝣㤴㐴㉦㘷攳攳㝤攱㈸摡㈰㤸慤㘶戶戴㌶㘱㠵㥣㘱㤹捤愳㈳攱昰㠸㌹敤昹㠹搶戲搱搱㠴㕥㠷戰㍥㤸挲敤㘱㝡㑤戴㥡捣收晣愸㐸㍡㌵㑡ㅦ挲搰㔰ㄸ㔱昵㈶戶㜱㜷㘶㙥㘷㤵昵㘶㘵㝤戶戲㍥㔷㔹㥦慦慣户㉡敢ぢ㤵昵ぢ㉢敢ㄷ㔵搶㌷㔴搶ㅦ㕣㔹扦ㄸㅡ㜵愹改搹戳搲戹㡣㝦昳㤲㑢㝢㉦㝤㜹挶戱摦㡤扣慡摦愹攷㍤㉥戸㔹换扤挲㡥㔸攸㘴愶㍢㈱慣敦っ愳つ㠳㈹捤㌴㍥㑡ㅦ捥搰〸ㄸ㈱㕥挶㑣㌹摢㍢㕢搷㑦搸捡㘸摡昳戶㘱㉦つ晣㜵换㔱㤷〹敥㌸攴㌰㈳戱搰挹㌰扢㌲㔷ㄸ㐶㡢挰㤴㠶〹㡦搲愳っ挵㘰㠴㜸搶ㄹ㘶昱㠹捦搶戴㉣昸㜶摡㕤愱㡢㑥改昵昹愱㙦〸敥㥡攴㌰〹㉣㜴㌲㑣㤲戹㔲㌰㕡ㅡ愶㌸㑣㉡㌹㑡捦㌰㌴ち㐶㠸挷㥣㘱慡ㄷ敥晢昶〱㙦散㍤昵摣ㅦ㙢扥戸攳㡤捣㠷㠲㍢㍦㌹捣㙥㔸攸㘴㤸搱捣戵㍢㡣㌶〶愶㌸㑣㈶㌶㑡ㅦ换搰㌸ㄸ㈱晥攸っ戳攳改换慡㉦㌹㙤攴挴㔵㌷㍦㔸扦㝡昵〹㤶攰㤶㈶㠷㤹㠰㠵㑥㠶㤹挸㕣㤳㘰戴挹㌰愵㘱㜰㙦愶㌰戴〷㡣㄰㜷㌹挳㙣㔸㌰晣攵愱ㅢ㕥ㅥ㝦摣攰摡㐱挹㈱〷搵ち敥挰攵㌰㝢㘲愱㤳㘱愶㌱搷㜴ㄸ㙤〶㑣㜱㤸㜴㘴㤴㍥㤳愱㔹㌰㐲摣敡っ戳摢扦㑦戳敥㝣攸戳〹㙢昷摦㜳攱ㄶ扦㕦㝢㠲攰㔳㠴ㅣ㘶㙦㉣㜴㌲捣㙣收㥡〳愳捤㠵㈹づ㤳挱㥡㌶㡦愱昹㌰㐲晣挱ㄹ收愵㠷愷ㅤ晢搱昰ㄱ㔳捦摣㌰慣昷ㄶ㕢㕣摢㉡㝡㈱㉣㠷昹㉤ㄶ㍡ㄹ㘶㕦收摡て㐶摢ㅦ愶㌴っ㌶扤〳ㄸ㍡㄰㐶㠸慢㥣㘱慣㌹搶〳ㅦㅤ昹收搸ぢ〷散慡慦搹㑦摣㈹昸㌴㈷㠷愹挷㐲㈷挳㉣㐰㔸㌷㘱戴㉣㑣㜱㤸㔴㝡㤴㥥㘳㈸て㈳挴挵捥㌰㘷㍥㌸㝤昵挴ㅢ敦㤸㜶昴㘳㡦摦昳昵戲昶攵㠲㑦愴㜲㤸〲ㄶ㍡ㄹ㘶㈱㜳㉤㠲搱ㅡ㘰㡡挳㘴愲愳昴㠳ㄹ㕡っ㈳挴㌹捥㌰㙦捦㕦户敤搵愳㙡愷晤扥㘹㌷慢攷㡣敢づㄶ㝣慡㤶挳㌴㘱愱㤳㘱㥡㤹慢〵㐶㕢〲愳㠶㠹㠶戱㜹ㅥ挲㔰㉢㡣㄰愷㍢挳㕣昲摣㌹㑤晢て戹㘶敡㌹㌷敥㔷㌱㝢挳扦扥ㄲ㝣㌱㈰㠷㘹挷㐲㈷挳㉣㘵慥㘵㌰摡㜲ㄸ㌵㑣㈴〳㘸㉢ㄸ㕡〹㈳挴〹捥㌰晦㥥昴㠷昷㡦㥡㜱攳ㅥ㜷㠸㜵㌷㕣㝦搱つ〳〴㕦㙥挸㘱づ挳㐲㈷挳ㅣ捥㕣㐷挰㘸㐷挲㤴㠶㐹㡣搲㡦㘲攸㘸ㄸ㈱㡥㜲㠶愹扤改攵慢㈳㠹㈷挶晦㘱㐶㝢昶搸㌳攷慣ㄷ㝣㐱㈳㠷㌹〶ぢ㥤っ㜳㉣挲晡㜱㌰摡昱㌰挵㘱搲ㄸ收〴㠶㑥㠴ㄱ㘲㠵㌳捣晥㡦㍤晤摣㜹扢敢㤳ㅥ㘸㍢㘱搸攴捦㔷摥㉤昸㤲㐹づ㜳㌲ㄶ㍡ㄹ收ㄴ收㍡ㄵ㐶㍢つ愶㌸㑣〶㥢攷改っ㥤〱㈳挴㈱捥㌰㙤㝤㌳慢㕥改扦攵戴摦搵晦戰晦敡昷愶㡥ㄱ㝣㔱㈶㠷㌹ㄳぢ㥤っ㜳ㄶ㜳㥤つ愳晤づ愶㌸㑣ㅡ㡦捤㌹っ㥤ぢ㈳挴挱捥㌰扢㘶慥㌹㝡攰ㄵㅦ㡣㕤愳扦昵㜸㉦攳搰㘱㠲㉦晢攴㌰攷㘳愱㤳㘱㉥㘰慥ぢ㘱戴㡢㘰㑡挳㘰㥦㜶㌱㐳㤷挰〸㤱㜳㠶昹昴挶挱㘳昶㝥慡㙥挶㌱㜷昵ㅤ戶敤ㄳ敦敦㈷晡㈳㉣㠷戹っぢ㥤っ㜳㌹㜳㕤〱愳㕤〹㔳ㅡ〶㝢攸慢ㄸ扡ㅡ㐶㠸〳㥣㘱㤶敤㝣捥〵㥢㥥㌷㘸昲㌱㉦㥤㍤敥㥡㝢捥扥㔱昰愵慢ㅣ㘶つㄶ㍡ㄹ收㕡收扡づ㐶晢㍤㑣㜱㤸っ戶㥢㍦㌰㜴㍤㡣㄰昳㥣㘱㌶㙣㜷㘶慦㠳敡昴㍤敦㍥敥挴ㅦㄳ慦昴摥㐳昰挵戱ㅣ收㐶㉣㜴㌲捣㑤捣㜵㌳㡣㜶ぢ㑣㜱㤸㔴㘶㤴㝥㉢㐳户挱〸㌱搳ㄹ㘶昵㈷敤捦㕦㜳昶ㄹ㌳慦晥㈶㌵攰昵㌷慢㕦ㄱ㕢㈲㉣㠷戹〳ぢ㥤っ戳㤶戹搶挱㘸㜷挲ㄴ㠷㐹㘳㘷㜳ㄷ㐳㜷挳〸㌱挵ㄹ㘶晦〵㘷㕤㌵㘰挴㙢㝢摣㜷搲㑦慢搷㝥㜱昶㝡戱ㄵ挲㜲㤸㝢戱搰挹㌰昷㌱搷晤㌰摡〳㌰愵㘱㜰㙦晥挸搰㠳㌰㐲㡣㜵㠶戹㝤挰㌷㘳ㄶ㑣晤㜲捡扡㐷㘶㝤摣敢㠱摢㕥ㄶ㕢㈳㉣㠷㜹〸ぢ㥤っ昳㌰㜳㍤〲愳㍤ち㔳ㅣ㈶㠵㈷㠲挷ㄸ㝡ㅣ㐶㠸㡣㌳捣㉢戹㑦㑥扥昱搷ㅤ挶摦扢晣晤ㅦㄳ㑦㈴〷㡡〱〸换㘱㥥挴㐲㈷挳㍣挵㕣㑦挳㘸捦挰ㄴ㠷挹攰摥㍣换搰㜳㌰㐲㐴㥤㘱挴㠷戹㑦㕥晢攵搶㘹㐷㉦㌹昹昵收慦㕥㥤摣晢㜹㠴昷㜶㕥㕤㑥㙣㌵㤷攳昵㝡改慤㐰㜴㘴㤸㝦㕤扦〷挲㕢愰㐲愲㤰㉡㐴㈲昹㐴搸㡣㤹搵㜵㐸扢戱㉦戶戹㕢敤㕤搸愷愱㌹摦戲㕣扥晡ㅥ㌸摥㙣戳㑡㉦挶㠷㍢戱昱㉤㑢㥢昳㙤〳㠲㠳㜳摡捤㜶㙢㙢㙦慣㤴挴搷㙤づ摥㥢㔸㙤㜲扣㙤扤摤收㥢㡤㑢慤㜱㉢ㅡ散昰㌶㥥㌰摥㤹戴㘴㍢㡥㑥㙥戵づ㈹㐶㝤㌳ㅡ㠷户捥换㘴㙥摦扤戴㐳昶扣〶㑤㔸搴搲㘶㌵换改つ㙦摡慢㈱户搸㙡㥤㘳昱㡤户㤵㤷㜷戵㍦㐳捥摢愳攱戳㥡㜱㐷昱㠶㈷㍦搸敤㉤㑣㕡搱㙥㌵攷慤㍣收扢挴㙡㙤㕦㌹搷捣㌶㕡㥢㤷㐹散㌱ㄱ搸慡捣㍤戹㈵户戴㙤㐲㑢㜳㝢㙢㑢㘳㜹㘴㕣㝥㤹㠹户㘴昹ㄹ㉤㜹ぢ敦愸慡㜸愹㄰ㄵ㍤㝡〸㔱㌱㉣攸㙤つ昳戶㡤㤴て㠴敢㈱摥〶㡦昹㤶攵慢摤挸搹戸㜷戸ㄷ㡤ㄶ搷挹捡㈱㕤㈴㤳㜹㤹㘶攷㡥㠵慥晢挴愳ㄴ㔴敦搴戱㕡捥戱昸挸晤晦ㄵ㔷㔶㙥收摣晢㐹换昰戶㜵て扣㍤㙢戴㕡㍢㍤挶㈲㌸㈳晤〵㤸敡㕤戱㌵㜷㐸慦ちち戱㐲慣慣㕥摥㤰㙦㕦愴㉤戲ㅡㄶ㉥攲敢㈲ㅣ㠷愹愹㈱㕡摦㐵㝦〹㉥晤㘵㥡㔷㘰㐲愱ち敤㔵㡡戴㤰晥㥡摤慥ㅥ㡣晦摤㝦㐳㕣㠹㕥扡㝣〳㡥愳㈵㙤搵㑤㤳㕢㕡摢㝡昴〸扡㤷㝢㤸㙤㡢摡戹㝡㜶ㅥ㘴扥扦搰扣づ㔳㍤〴愶换昷摢戵㄰㔵昱戰㐲㥦愶㠹㔶挱挴挱ㅣ戹㜵ぢ戳扡挹㍥㍥㌰搱㙡换改㍣㤰㌰ㄵ摢捡ちつ㑢搸昸㝢㌷㜱敤户㔶戴㑦㌴摢捤㥥㑤㌸㈴㠱㐷㐹㠷㘸戸散㘵㉦戱㘷ㅦ改㔳扤㐳㑥ぢㄹっ戹攸捡搲㑢㍡散㑣搸㜰戰扤㔴昴㜰㙣攷㜷〲㜳摦ㄶ㜷㐲昳慥攸攵㠷ㄶ㜰挴㈳㍦挵㙡㥥扢㜲㠹搵㐶㜹㡤搶㈹㑡敦收挵㘴戳㜲搹㜹敤つ㡤㙤㈳㌱搳㈹慤㉤㑢㤷晣㌷昳㌰㤷晥〶㡣扡㔴敦㠰戵㜸攳敦ㄳ㜰㔵昴㕣挶挷愶扥扥愲㠶搹攸搱户愷攱摡㡡㘴ㅢ昰㑦㕥昴㜷昰㉦搴㔹慣㝡㈸ㄴ挳㠳昶〵ㅤㅣ㠶愹㠶扥㜷ㄳ〸捤㙤戵攴㠱愵ㅡ搹〰敤㍥㑤晢戴戴㉥捥戶戴㉣收晡搴㔷戶摡ㄶ㔹㔶㍢て搶昴㜲づ㑥挹㠳㔰㐲昴攸㔱㜶扣挵㜵㔴㘷㍢攴搷搶挳昴ㄹ搷搸㌸㐸㘵㙣搳摥㠷慢〷づㅢ㘹ㅦ㘰㘱攰慣搶扣搵扡换扣㈵扢捣㙤ㄹ㠴愳㑡㑢ㅢ㑤晢㐰散㡡挶戶ㄵ㘲㈰〸昰㈰挹㕤㐳ぢ㐷㍥摤敦捤㜱㤷㑥慦晥昳㙦㑥摥挹ㄴ〳㥣㠰敦㈰捤㑥挸㔹㠷㥢晥㌱㡣搸ち㌲敥㔹戰㕣㝥搱㍦㐱㕢晦㤴收敦㌰搸㍦㐸攲搸㍤㝣㘶㌷挵捥昸捦㕤㠴晥㌹捤ㄷ㌰㘲㌸っ㌷㔰晤㑢ㄸ㜵ㄱ〶昲昳㜱㤷㡦摤㌰戸晤㡦摤户昰㠶昴㑥㘲㘲〴ㄴ㝣晣㜴昲搲㐹㐸㈷ㅤ愱㈱㜱㈰㠰㙡㈷攰㍢㝣戴㉢扡㐹〰㍦戳㝦て挸㠲〱晣捡㌱〸㐶攷㕡攷〲㔰㘹㌷㐵ㄸ㌱〹愰〷ㅣ㍡て㤸㡢㈸㕣ㄲ㐰㌵㕡敡㈲㝥晣搵〵㈰〲户ㅦ㠰捥㥣㝡㈷㌱ㄱ㐳扦㈰〰㕦㈱㜹㈰㠰㉦㥤㠰敦挰㔶ㄲ㤹敡㌸㡢㑤㌹攵捦㈱ぢ〶搰て㘱扤㍦捤收㌰㉥〰㕢摡㑤㤱㐲ㄲ〹㘰㉢㡡戶㠶ㄱㄹ戸㈴㠰〱㘸愹㡢昸搰つ㈰つ户ㅦ挰㜶捣愹㜷ㄲㄳ愳搰㉦〸挰㥢ㅤ〱㜸挳〹昸づ戹㡤㐶愶㍡捥㘲㈷㑥昹㉦ㅤ〲ㄸ㠶戰㍥㥣㘶〴㡣ぢ挰㐸扢㈹㜶㐷ㄲ〹㘰㔷㡡挲㌰㘲㉣㕣ㄲ㐰〴㉤㜵ㄱ㝦㜶〳ㄸ〳户ㅦ㐰㠲㌹昵㑥㘲㘲ㅣ晡〵〱㜸戴㈳〰㡦㌸〱摦挱挰㠹挸㔴挷㔹散㡥㐱挵㐳ㅤ〲ㄸ㡢戰㍥㡥㘶㍣㡣ぢ挰㐴扢㈹㈶㈱㠹〴㌰㠹愲挹㌰㠲㐷〹㈵㠰㈹㘸愹㡢戸摢つ㘰㌲摣㝥〰搳㤸㔳敦㈴㈶昶㐰扦㈰〰㌷㜷〴攰㈶㈷攰㍢㑣㌹つ㤹敡㌸㡢戹㥣昲つㅤ〲㤸㡦戰扥て捤㙦㘱㕣〰昶戳㥢㘲㍡㤲㐸〰晢㔳㜴〰㡣㤸〹㤷〴㜰㈰㕡敡㈲慥㜲〳㤸〱户ㅦ㠰挹㥣㝡㈷㌱㌱ぢ晤㠲〰㕣搰ㄱ㠰昳㥤㠰敦〰敡㙣㘴慡攳㉣づ收㤴捦敤㄰㐰㈳挲㝡ㄳ㑤㌳㡣ぢ挰ㄲ扢㈹收㈰㠹〴㜰〸㐵慤㌰㘲ㅥ㕣ㄲ㐰ㅢ㕡敡㈲㑥㜳〳㤸ぢ户ㅦ挰㜲收搴㍢㠹㠹昹攸ㄷ〴攰㤸㡥〰慣㜲〲扥㐳扢晢㈲㔳ㅤ㘷㜱㌴愷㝣㔴㠷〰㡥㐱㔸㍦㤶收㌸ㄸㄷ㠰ㄳ散愶搸て㐹㈴㠰ㄳ㈹㍡〹㐶ㅣ〰㤷〴㜰㌲㕡敡㈲㤶戹〱散て户ㅦ挰改捣愹㜷ㄲㄳ〷愲㕦㄰㠰挶㡥〰㉣㜶〲扥㠳捥ぢ㤰愹㡥戳㌸㡦㔳㙥攸㄰挰〵〸敢ㄷ搲㕣〴攳〲㜰㠹摤ㄴ㈶㤲㐸〰㤷㔲㜴ㄹ㡣挸挱㈵〱㕣㡥㤶扡㠸〵㙥〰㔹戸晤〰慥㠶㍥愴㜷ㄲㄳ㜹昴ぢ〲㌰扦㈳〰昳㥣㠰敦㜰㌸て㜳搷㜱ㄶ㌷㜲捡㜳㍡〴㜰㌳挲晡㉤㌴户挲戸〰摣㙥㌷挵㈲㈴㤱〰敥愰㘸㉤㡣㌸ㄸ㉥〹㘰ㅤ㕡敡㈲昶㜴〳㘸㠰摢て攰ㅥ收搴㍢㠹㠹挵攸ㄷ〴㘰㙣㐷〰挶㌸〱摦㠱晡㘶㘴慡攳㉣ㅥ收㤴㐷㜷〸攰㔱㠴昵挷㘸ㅥ㠷㜱〱㜸搲㙥㡡ㄶ㈴㤱〰㥥愲攸㘹ㄸ㜱〸㕣ㄲ挰㌳㘸愹㡢㠸扢〱㉣㠱摢て攰㜹收搴㍢㠹㠹㔶昴ぢ〲㌰慣㈳〰㍢㍢〱摦㈹㠴愵挸㔴挷㔹扣捥㈹敦搸㈱㠰㌷ㄱ搶摦愲㜹ㅢ挶〵攰慦㜶㔳㉣㐳ㄲ〹攰㕤㡡摥㠳ㄱ㉢攰㤲〰搶愳愵㉥㘲㕢㌷㠰攵㜰晢〱㝣挴㥣㝡㈷㌱戱ㄲ晤㠲〰昴敢〸挰㘶㑥挰㜷㜲攳㜰㘴慡攳㉣扥攰㤴㌷改㄰挰㔷〸敢㕦搳㝣〳攳〲昰㥤摤ㄴ㐷㈰㠹〴昰㑦㡡扥㠷ㄱ㐷挱㈵〱晣㠰㤶扡㠸ㅡ㌷㠰㈳攱昶〳昸㠹㌹昵㑥㘲攲㘸昴ぢ〲昰敢㉦ㅤ扣ㄴ晥挵〹昸㑥扢ㅣ㡢㑣㜵㥣㐵㔵㈵愶晣ㄳ㘴挱㉦㠵㌵㠴昵㥥㌴㌵㌰㉥〰㈱扢㈹㡥㐳㤲挱㑣搴㡢愲摥㌰攲〴㌴㈵㠰㍥㘸愹㡢昸〶㘳ㄴ摦っㅤて户ㅦ挰㈶搰㠷昴㑥㘲㠲㘷㜹㠲〰㝣搲ㄱ㠰扦㌹〱摦〹愱㔳㤰㐹〲搸㥡㔳晥愸㐳〰〳ㄱ搶户愱搹㤶戳㉢扤ㅢㅣ㘴㌷挵愹㐸㌴㤸㜷愷㡥愲挱㌰攲㜴㌴㈵㠰敤搱㔲ㄷ昱戶ㅢ挰㘹㜰晢〱散〸㝤㐸敦㈴㈶捥㐰扦㈰〰㉦㜵〴攰㐵㈷攰㍢㔵㜵ㄶ㌲㐹〰㘱㑥昹昹づ〱㐴ㄱ搶㘳㌴㜱捥慥〴㈰㘹㌷挵搹㐸㌴㤸㜷㈷㐵㔱ㅡ㐶㥣㠳愶〴㤰㐱㑢㕤挴攳㙥〰扦㠳摢て㘰㌴昴㈱扤㤳㤸㌸ㄷ晤㠲〰摣摦ㄱ㠰晢㥣㠰敦㈴摡〵挸㈴〱㑣收㤴敦改㄰挰ㅥ〸敢㔳㘹昶攴散㑡〰愶摢㑤㜱㈱ㄲつ收摤㤹㐱搱㑣ㄸ㜱㌱㥡ㄲ挰㉣戴搴㐵摣敡〶㜰ㄱ摣㝥〰㜳愰て改㥤挴挴㈵攸ㄷ〴攰摡㡥〰慣㜱〲扥搳㝢㤷㈳㤳〴㜰〰愷㝣㜵㠷〰づ㐲㔸慦愷㔹挰搹㤵〰㘴敤愶戸〲㠹〶攳愶攷㈸捡挳㠸慢搰㤴〰㉣戴搴㐵㕣攴〶㜰㈵摣㝥〰つ搰㠷昴㑥㘲攲㙡昴ぢ〲㜰㘶㐷〰㔶㍢〱摦㠹挷㙢㤱㐹〲㘸攵㤴㑦敦㄰㐰㍢挲晡㔲㥡㘵㥣㕤〹挰ち扢㈹㜸㔲㜲㌰敦捥㑡㡡づ㠵ㄱ㝦㐰㔳〲㌸っ㉤㜵ㄱ挷戹〱晣ㅥ㙥㍦㠰愳愰て改㥤挴挴昵攸ㄷ〴攰搰㡥〰慣㜴〲扥㔳愲㌷㈱㤳〴㜰ㄲ愷扣扣㐳〰愷㈰慣㥦㑡㜳ㅡ㘷㔷〲㜰㠶摤ㄴ㌷㈳搱㘰摥㥤搵ㄴ㥤〹㈳㙥㐵㔳〲㌸ぢ㉤㜵ㄱ捤㙥〰户挰敤〷㜰㉥昴㈱扤㤳㤸戸つ晤㠲〰攴㍢〲㤰㜳〲扥㤳戵㙢㤱㐹〲戸㡣㔳㌶㍢〴㜰〵挲晡㤵㌴㔷㜱㜶㈵〰搷搸㑤戱づ㠹〶昳敥慣愱攸㕡ㄸ㜱ㄷ㥡ㄲ挰㜵㘸愹㡢昸慤ㅢ挰㥤㜰晢〱摣〰㝤㐸敦㈴㈶敥㐶扦㈰〰㌳㍢〲㌰挳〹昸㑥㈳摦㠷㑣ㄲ挰㕡㑥㜹㕡㠷〰敥㐴㔸扦㡢收㙥捥慥〴攰㕥扢㈹敥㐷愲挱扣㍢昷㔱㜴㍦㡣昸㈳㥡ㄲ挰〳㘸愹㡢ㄸ敦〶昰〰摣㝥〰て㐱ㅦ搲㍢㠹㠹〷搱㉦〸㐰扡㈳〰㈹㈷攰㍢挱晤㌰㌲㐹〰㑦㜳捡㠹づ〱㍣㡢戰晥ㅣ捤㥦㘱㕣〰㕥戰㥢攲ㄱ㈴ㅡ捣扢昳㈲㐵㉦挱㠸挷搰㤴〰㕥㐶㑢㕤挴〸㌷㠰㐷攱昶〳昸ぢ昴㈱扤㤳㤸㜸ㅣ晤㠲〰っ敥〸㐰㥤ㄳ昰㥤㝡㝦ち㤹㈴㠰昷㌸攵敤㍡〴昰㍥挲晡〷㌴ㅦ㜲㜶愵㌵攰㘳扢㈹㥥㐶愲挱扣㍢㝦愳攸ㄳㄸ昱㉣㥡ㄲ挰愷㘸愹㡢搸摣つ攰ㄹ戸晤〰㍥㠷㍥愴㜷ㄲㄳ捦愱㕦㄰㠰摥ㅤ〱攸攵〴扣㐵〱搵㉦㈰㔳㌷㑥收昶攲㠴ぢ昳ㅢ慣攵㍣晢搴户㠰晡摢〹㑢摢摡㕢攴愹戲㍥㠵㠹㉤㌳㕢摡㈷㌶戴㉤㘹㌴㔷㙥㔶㜰ㄶ昶㔹㘴㌵攳㐴㜶㉢捥㘷㝢㝣㉤㑢㤶㔸㜹扤㌰愷㘵㘹㙢捥㥡㍡昱㝦攱㐴㌷敥ㅦㅥ㍡㜹㡥扢㔲攰昲㥦㥤扢慤㐰㑦慣㈵戸㔴㔴扦㠴㠴摥㔳㜰戲ち搸㜵扡㕣㉥ㅡ㄰搶㤶㠸捥㙤㘸㙦戴㝡ㄵ攴愹㙡戹㕣㔳〰㐵㔴〷攴㝢ㄶ收㉥挲愹愹㠹㝤ち㔳㕡ㅢ昲㡤つ捤ㄶㅦ㡣㝥戶㜴扡戵㄰㤵〰㝢戵戴㌵昰㝣㔱㥦挲摣㔶戳戹㙤〹㑦㙡收㔶㙥㕡搶㤲㘷㍦慢ぢ攳ㅢ㥡摢㌰㡣㝣ㄴ戹㕣㕢㤸戳愸㘵㌹㙡晦㤷㌶㌵㑦㌱㤷戴晤㑦㍣㉡㠲て㡢扣挸㠷㐶㔴㡡捡㑡㔱㔳㔹昳㥦㍥㍥摡昷搸挶㌶戳慢慡〷㘱㍤㙤㙦㙤挸㉥㈵㌰㌹㐶ㄴ戶㡡㐶㍥㠶ㄵ搵㉦㘳挹㝢晡搲昵㄰㝡㙡て㌸搷戲㥡昶挰搳攰挵て㔴㙣〳戹晥〳愶搳晢㕦㌰㝢㑥㤹㌷戵㔴㤵昳㝦晡㜴㐲昵㉢挸扣搱㐵㄰晤㈱敥㙢慦㐲㉣㡣攰ㅡ㠵㉤ㄳ㙢〲㕢摥搵㌲㔴㤰ㅡ慥愱㝤㑢㡢㤳㜱ㅥ扤㜷㘱扡㤹戵ㅡ㜱晡扦挹㙣敦㙢㌷㜸敥ㄵ搵敢㙤㑥㙣㐲㑢㔳㤳挹㔵㡥㌵昸㜳㜲㘶愳㔵㔳ㄸ户戴扤㘵㐶㐳戳㕥㠰㤱敢愵攳㌲㔷挰㘵慥戰㑦搴ㄷ㘶戳㉣㐸㉥㌳㔷换㐲戳戵愱㝤㔱㔳㐳慥㠶つ㤶敥晣㑦慣慢搸㝦㔴〱愶扡愸㝤㠹昷捣扦㝤晥ㅤて昷㐸ㄴ换㄰ㅤㅦ㝥慣搱㤵㐲挳㥦昸て慢㐶戰攷㤱㑦㈸晡㡦挸㔶㡤㥢摣ㄵ挹戹㝣㈵㑦挵㘲昱慢愳戰㡡捡㥤㤳㜸㡤〲摣昴㥦㈰攵〲㙦㔵㝦㠱改戴愴愰㈷〴愱改㉤㘶㝥戲㤹挳攷㘹㝡㍡㥦愶愹挱㐳换㕤㑤慢挱㈲㡦〹愸ㅢ㐲㍤搲戲〶㥣挸慥愱㘳づ㍥㉤㔴挵昲㄰捤㝥っ㜱扡扢㐷㐵㜵㜵慦㥡愰戱愶慡㕣㐳㥣㔳攷敥㑦㈳㑤昵攵晦㙣敦昴ㄸ摥摢㔰㐸㍥㐵晤㡣㘵晤ㄷ摥愷搷攱攴晤昱〸㝥愵㘰〳㑣昵ㅢ〸㝡ㅦ㥢昲㝡ぢ㔴㘵攸㄰㔵挹捦愱戰ㄲ愴〶㔵ㄳ戲㠴愴㕡摥㤱㕥慥搲て捤慥晡愸㔱ㅦ㙥搱收㘰㉤户昲㈱㝢晦捡ㄲㄳ㍣㌳㔴㔴㔶㔶攱愱搶扣㘵㜳扥㘱㤱慣㘹㡥㈵㙢㐲挴戶㤸㠲挶㍡挱捤戸戱㈰㝦扤晢戳ㅥ慦㈲㡡㜳摡ㅢ昰㑦㕥㐲㈱扤ㄲ摡㡡㤰㜸〷㔶〱攸㑤㡦㑤〸攸㜱晣ぢ㐶㝣っ㈷㕦〶戸㥥戴挴㈷㘸昲㠹ぢ㐷昵挰㐸㕥㍣㍢㐵昱㈹扣摣㌱敡ㅡ㤳晣ㅤ㑢摣摦ㄴ搷扦ㅡ㜸扢㕥晦㍥㘳て摣㜴㝥㐲㑣慤㝦攲㜳㜸搴㤴㌹扣㌳攵㄰㌴㝡㉦ち扦〸ㄶ昴愶愰て〵㕦㐲挰〷㔶敢㡢㤶ㅦㄸ㍥〸㄰〰捣㠰ㄶ挰扥㜵㈵㜷〱摢㠴挹㌷㘵昲㥦㈱昰〲晢ㄵ扥㉥㠰昱戱㤱挰晡㌱〹敦㙤ㄹ戰捤攱敤ㅡ㔸㈵扡㐹㘰㕢挸㈴㜶㐳戰ㄴ㈱〰搸㤶搰攸㕢㔱挸㌲㠵〰挱搶ㄴっ愰㠰㤵ぢㄲ搸㐰戴晣挰㔰㘵ㅣ〰㙣㕢㘸〱㡣㔵っ㉡戹ぢ搸㜶㑣㍥㠸挹㔹㜱攰〵挶㌲㠳㉥㠰戱〸㐱〲ㅢ捣㈴慣㐶㈸〳㌶〴摥慥㠱戱㙡〱㔷㝣㄰㡡㐹戰㈰㙦㉣㕤㔰㔳㜶慤㘱㍢㐰愳敦㐸㈱换ㅡ〲〴㍢㔱戰㌳〵慣㜴㤰挰㠶愱攵〳挶㡦〱〵〰ㅢ〱㉤㠰㙤攷㑡敥〲戶ぢ㤳㡦㘴㜲㔶㈸㜸㠱戱㉣愱ぢ㘰㉣㕡㤰挰挲㑣挲敡㠵㌲㘰㔱㜸扢〶挶㉡〷㕣㜱搸㤳㐹ㄴ㌰㤶㍡〴昰㠸㐳愳㈷㈸㘴ㄹ㐴㠰㈰㐹㐱㡡〲㔶㐶㐸㘰㘹戴㝣挰昸㠱愶〰㘰愳愰〵㌰㔶㐹愸攴㉥㘰扦㘱昲摤㤸㥣ㄵつ㕥㘰㘳攱敢〲搸㌸㐸㈴戰摤㤹㘴㍣㕡㘵挰挶挲摢㌵㌰㔶㐵攰㡡㤲〹㈶㔱挰㔸ㅡ愱愶散㕡挳挶㐳愳㑦愰㤰㘵ㄳ〱㠲㠹ㄴ㑣愲㠰㤵ㄴㄲ搸㘴戴晣挰㠲搷戰㍤愰〵㌰㔶㔵愸攴㉥㘰㔳㤹㝣㑦㈶㘷〵㠴ㄷㄸ换ㅥ扡〰挶愲〸〹㙣㍡㤳戰㍡愲っ搸㑣㜸扢〶挶㉡ち㕣昱㜱㉦㈶㔱挰㔸㑡愱愶散〲戶ㄷ㌴晡摥ㄴ戲捣㈲㐰㌰㥢㠲㌹ㄴ戰昲㐲〲㥢㡢㤶てㄸ㍦㘴ㄶ戰㠶捤㠷ㄶ挰㑣㔷㜲ㄷ戰㝤㤸晣户㑣捥㡡〹㉦㌰㤶㐹㜴〱㡣㐵ㄴㄲ搸㝥㑣挲㙡㡡㌲㘰〷挰摢㌵㌰㔶㕤攰㡡㑦㤴㌱㠹〲挶搲㡢〰ㅥ〷㐱愳搷㔳挸戲㡣〰挱〲ち㑣ち㔸愹㈱㠱㘵搱昲〱攳挷攵〲㠰攵愱〵㌰㔶㙤愸攴㉥㘰ㄶ㤳ㄷ㤸晣㘸〸扣挰㡥㠱慦ぢ㘰㉣扡㤰挰ㄶ㌱〹慢㉦捡㠰ㅤっ㙦搷挰㔸愵㠱㉢㍥戴挶㈴ちㄸ㑢㌵搴㤴㕤㙢㔸㈳㌴㝡ㄳ㠵㉣攳〸㄰㌴㔳搰㐲〱㉢㍢㈴戰㈵㘸昹㠱攱昳ㅥ〱挰㕡愱〵㌰㔶㜹愸攴㉥㘰㙤㑣捥㑦搵ぢ㔶㘴㜸㠱戱っ愳ぢ㘰㉣搲㤰挰㤶㌱〹慢㌵捡㠰慤㠰户㙢㘰慣敡挰ㄵ挷昰㤹㐴〱㘳㘹㠷㥡戲ぢ搸愱搰攸㠷㔱挸戲㡦〰挱攱ㄴㅣ㐱挱攵㄰㐸㘰㐷愲攵〳挶㡦㌰〶〰㍢ㅡ㕡〰㘳㔵㠸㑡敥〲戶㡡挹㡦㘱㜲㔶㜰㜸㠱戱㙣愳ぢ㘰㉣敡㤰挰㡥㘳ㄲ㔶㜷㤴〱㍢〱摥慥㠱戱ち〴㔷㝣昴㡥㐹ㄴ㌰㤶㠲愸㈹扢㠰㥤〴㡤㝥㌲㠵㉣ㄳ〹㄰㥣㐲挱愹ㄴ戰㜲㐴〲㍢つ㉤ㅦ㌰㝥ㄸ㌳〰搸ㄹ搰〲ㄸ慢㐸㔴㜲ㄷ戰搵㑣㝥㈶㤳戳攲挳ぢ㡣㘵ㅥ㕤〰㘳ㄱ㠸〴㜶㌶㤳戰ㅡ愴っ搸㌹昰㜶つ㡣㔵㈳戸攲搳㝤㑣愲㠰戱㜴㐴㑤搹〵散㍣㘸昴昳㈹㘴㔹㐹㠰攰〲ち㉥愴㠰㤵㈶ㄲ搸㐵㘸㜹㠱挹㡦㤵〶〰扢〴㕡〰㘳搵㠹㑡敥〲㜶㈹㤳㕦挶攴慣㄰昱〲㘳㔹㐸ㄷ挰㔸㌴㈲㠱㕤挱㈴慣ㅥ㈹〳㜶ㄵ扣㕤〳㘳㤵〹慥昸〰㈱㤳㈸㘰敦㘲㐹㑤搹〵散ㅡ㘸昴㌵ㄴ扥ㄷ㉣戸㤶㠲敢㈸㔸て㠱〴昶㝢戴扣挰攴〷㘴〳㠰㕤て㉤㠰戱㑡㐵㡤敥〲㜶〳㤳摦挸攴慣㈸昱〲㘳ㄹ㐹ㄷ挰㔸㘴㈲㠱摤捣㈴慣㌶㈹〳㜶㉢扣㕤〳㘳㔵ち慥昸㡣㈲㤳㈸㘰㉣㑤㔱㔳㜶〱扢ㅤㅡ晤づち㔹戶ㄲ㈰㔸㑢挱㍡ち㔸挹㈲㠱摤㠹㤶ㅦㄸ㍥㠳ㅢ〰散㙥㘸〱㡣㔵㉤㉡戹ぢ搸㍤㑣㝥㉦㤳㔷㘱㑥㕥㘰㉣㍢改〲ㄸ㡢㔲㈴戰晢㤹㠴搵㈹㘵挰晥〸㙦搷挰㔸挵㠲昹攱㘳㤰㑣愲㠰戱㤴㐵㑤ㄹ㡢敡捤昷㥦愰搱ㅦ愲㤰㘵㉥〱㠲㠷㈹㜸㠴〲㔶扥㐸㘰㡦愲攵〳挶て㉤〷〰㝢ㅣ㕡〰㘳ㄵ㡣㑡敥〲昶〴㤳㍦挹攴慣㔸昱〲㘳㤹㑡ㄷ挰㔸挴㈲㠱㍤捤㈴慣㘶㈹〳昶㉣扣㕤〳㘳搵㡢〴昶ㅣ㤳㈸㘰㜵昰慡㈹㘳㔱〱晢㌳㌴晡昳ㄴ戲㉣㈶㐰昰〲〵㉦㔲挰㑡ㄹ〹散㈵戴㝣挰昸昱敢〰㘰慦㐰ぢ㘰慣㥡㔱挹㕤挰㕥㘵昲搷㤸㥣ㄵ㉥㕥㘰㉣㙢改〲ㄸ㡢㕥㈴戰搷㤹㠴搵㉦㘵挰摥㠴户㙢㘰㐹㜴㤳挰摥㘲ㄲ〵㡣愵㌲㙡捡㔸㔴挰摥㠶㐶㝦㠷挲㜴戰攰慦ㄴ扣㑢〱㉢㙢㈴戰昷搰昲〱攳〷挹〳㠰扤て㉤㠰戱捡㐶㡤敥〲昶〱㤳㝦挸攴慣㠸昱〲㘳ㄹ㑣ㄷ挰㔸㈴㈳㠱㝤捣㈴慣㤶㈹〳昶〹扣㕤〳㘳㔵㡤〴昶㈹㤳㈸㘰㉣慤㔱㔳挶愲〲昶㜷㘸昴㝦㔰挸戲㥢〰挱㘷ㄴ㝣㑥〱㉢㜱㈴戰㉦搰昲〳ぢ㝥㉦昹ㄵ戴〰挶慡ㅣ㤵摣〵散㙢㈶晦㠶挹㔹㐱攳〵挶戲㤹㉥㠰戱愸㐶〲晢㡥㐹ㄶ愰㔵〶散㝢㜸扢〶挶㉡ㅣ〹散〷㈶㔱挰㔸㡡愳愶㡣㐵〵散㕦搰攸晦愶㌰ㅦ㉣昸㤱㠲㥦㈸戰㈰㤰挰㝥㐶换て㉣昸㘸挵慦搰〲ㄸ慢㜸搴攸㉥㘰ㅢ㤸扣〲愷〶〴㉢㙥扣挰㔸㘶搳〵㌰ㄶ攱㐸㘰㌸㝡㕣㈱㤶愱㔵〶っ㥦捥摤〸㘰㉢搰㑤〲慢㘶ㄲ〵㡣愵㍢㙡捡㔸㔴挰㌴㘸昴㥥ㄴ戲慣㈷㐰㔰㐳〱扦搸㑢戰搲㐷〲ぢ愱攵〳挶慦㈹〸搸㈴㝢㐳ぢ㘰慣晡㔱挹㕤挰晡㌰㜹㕦㈶㘷㠵㡥ㄷㄸ换㜲扡〰挶愲ㅤ〹捣㘰ㄲ㔶敦㤴〱摢ㄴ摥慥搷㌰㔶昹㐸㘰㥢㌱㠹〲挶㔲ㅦ㌵㘵㉣㉡㘰晤愰搱晢㔳挸㌲愰〰挱收ㄴ㙣㐱〱㉢㠳㈴戰㉤搱昲〱攳ㄷ㉥〴〰摢ㅡ㕡〰㘳㤵㤰㑡敥〲㌶㠰挹〷㌲㌹㉢㝡扣挰慥㠰慦ぢ㘰㔷㐲㈲㠱㙤换㈴慣昶㈹〳㌶〸摥慥㠱戱㉡㐸〲慢㘳ㄲ〵㙣つ扣㙡捡㔸㔴挰〶㐳愳㙦㑦㈱换㠶〲〴㐳㈸ㄸ㑡〱㉢㠹㈴戰ㅤ搰昲〱攳㔷㐷〴〰摢〹㕡〰㘳㔵㤱㑡敥〲戶㌳㤳て㘳㜲㔶〰㜹㠱摤〹㕦ㄷ挰㔸ㄴ㈴㠱㡤㘰㤲扢搱㉡〳㌶ㄲ摥慥㠱戱㡡㐸〲摢㤵㐹ㄴ㌰㤶ㄲ愹㈹㘳㔱〱ぢ㐳愳㐷㈸㘴㤹㔱㠰㈰㑡㐱㡣〲㔶ㅥ㐹㘰㜱戴晣挰㠲搷戰㈴戴〰昶㤰㉢戹ぢ㔸㡡挹搳㑣捥㡡㈱㉦㌰㤶〹㜵〱㡣㐵㐴ㄲ搸㈸㈶㘱㌵㔱ㄹ戰摤攰敤ㅡㄸ慢㡥㈴戰搱㑣愲㠰戱昴㈸㠰挷敥搰攸㘳㈸㘴㔹㔲㠰㘰㉣〵攳㈸㘰愵㤲〴㌶ㅥ㉤ㅦ㌰㝥㥤㐷挰ㅡ㌶ㄱ㕡〰㘳搵㤲㑡敥〲㌶㠹挹㈷㌳昹㝢㄰㜸㠱戱慣愸ぢ㘰㉣㍡㤲挰昶㘰ㄲ㔶ㅦ㤵〱摢ㄳ摥慥㠱戱㑡㐹〲㥢挶㈴ちㄸ㑢㤵搴㤴戱愸搶戰改搰攸㌳㈸㘴ㄹ㔳㠰㘰㈶〵戳㈸㘰㘵㤳〴戶ㄷ㕡㍥㘰晣㘲㤲〰㘰戳愱〵㌰㔶㌹愹攴㉥㘰㜳㤸㝣㉥㤳戳㈶㐲㑥㝡ㅥ㕢捥愴慢㜹㕥摢㝢扡搶㜷㉡㕤㡥㔰攰㐹昵㌹敤㉢ㅢ㔱挸挰㐵㥥扥戵㤷㜸㈲㍡㈴㝤㌸愹摣搲㡡㤳㘳㔵摥敦㔸㈸昶㝤ㅥ〳昷敡攷昹晥ち搹㡤ㄱ㥥戳慦扥晥㈷晦㜷㌴ㄴ晢㜳攲愵て戳戳て㉦摡㍥㤸㘲扦ㄹつ戹搶㤶戶㤶㐲晢愰㌹㈸搲ㄹ挴敦〳㈹㔴㔴㠴挷㔵晦ㅥㄹ〳挷攴ㅤ慢㙡收㤷ㅤ㉥攳攷攳㐳㡢㥢㕢㤶㌷换搹㔴户昱㙢㔱㈴慦㥥㍤㌹㑣㠸攳昰戲㍤攰ㄹ㍣扦捦捥晡扥戰㝤㝡ㄸ㍣㐱㡥㙢㠵戶ㅦ摡㐳㈷㡣㥦㌰扢摥㡣挴㘲㘶㉥ㅦ㐹㐶㔲㠵㜸㈴㥦捥㈶㌳㜱搳捡攷㜳愹㜰㍥㕢㐸挷戵晤㡢搲㐲㍥㤶㠹㈷㔲戱㕣㍥㥡㡣㘷㔳㤰收ち㌹㝣㠹㘶㌶㤳捦攴ㄳ㘶挲攰愹㜷愶搷て㐰ㅦ晤㐰ㄸ㠳㘷摣愵敢㈰扡敡改攲昹昷㜲㔵㜵㈵㕥㈴㙤散㘹㜱愴愸㄰㔹㤱ㄳ㜹㘱㔵昵散㈹㠶㝡㍥攴敦㍢㥤㕥晣挶〴㑤攳搹昴敡换㠰㜹攳㍡㤵㍦㡡散捣㤷㝡㝡㡥㜷㈵てㄳ㌲㝡挰㐱㥦㘶愱戹挹㠴昱昵攵㕦㔵愹ㄵ攰敥つ户慣ㄸ挰㜷㘰戶㘹ぢ攱改ぢ㡦慢㝣挸愸㜲戲攸㡢㄰搴〷㜳㡣㍡ㄸ愱挱㉦ㅦ摢挵昰㜳㐱摥㙡攰攵昶㈰捥挱ㅤ攱㕡㠸〰㍥戸ち〹搷㈲㜱㌶㍣㕣㤳捡搷〴ㅤ㥤愸搰㕢㘰戱㈶㠴搰收㠳愰㉤㐱摢㕥ㄳ昰ㄸ㈶㔲㠹㜸㉣㥦挳挳㥣〹㈷㑣㌳㙤ㄵ戲改㔴㌶ㄱ㑤愴㜲㠹㥣㜶㐸㔱㥡㡤攳昱㡥挴慤㙣㈶㥤㠸愷挲㠹㑣㈱㘹愶搲昹㐴㍣㥣㠹愵攲戹愴搱换㐹慦户愲㡦摥〶㘳昴㔶慥搲㥡搰㐷戹㈸㤰㔲㘱搰㠵㥢㌸〹㜷㠱㡦ㄴ㤶㜱㝣㥡昱㐳㘱㐲挶㈶㜰㐸ㅦ㠹敢攴慢ㄳ愹戱愹昲ㅦ㐹搷捥散戵ㄳ㡣攸〷扦㘴戸ち晥㈲挳捤攱㤵っ㡦挴㄰㝥㠶㠷挳敢㘷戸〵㍡㈱㐹㠵㝥㍣㉣ㄸ㙥㠹戶㘴㜸〲摡㌶挳㜰㉣㤲挱〶㘴㐵㜲改㘴㍣ㅣつ愷愳㤱㜴㌸つ㍣〹换㑣挶㘲ㄱ敤挴愲㌴ㄳ换㘳敢㐹攴㜳㤱㜴㉣ㅥ㑤㐵搲改㜴搸㉣愴ぢ戱㕣㉡㤳㑥ㄶㄲ挶㔶㑥㝡晤㈴昴搱㑦㠶㌱戶㔶慥ㄲ挳〱捡㔵㔴㠹㙤改挲㑤戴扡ㄹ慥㘶㤶㌳㘱㐲挶㜶〸攲㕡愱㝢ㄸづ㔲晥㜳愸つ㔳戱㉢ㄹづ㘶㌲戶捥㠷扦挸㜰〸扣㤲攱愲㐰㠶㠵㐰㠶㍣ㅦ㡦㈴ㄵ晡挵戰㘰戸〳摡㤲攱㈵㘸摢っ攵㝥㈸㤳㐸㘶愳戹㐸㍣㥦㠹愶㔳愹㍣昷㑢㔱散愲搲挹㘴㕣扢戴㈸捤㈷愳愹㜴㍡㤳捤挶挲㠹㜸ㄲ慢愳ㄹ捥㈴㔳㤶㔹㠸㐶㌳㘱搳捡ㄸ㍣慢捦昴晡㘵攸愳㕦づ㘳散愴㕣㈵㠶㍢㉢ㄷ〵㔲㉡㐶搰㠵㥢㌸挰捤㜰つ攳搷挲㠴㡣㕤㄰挴搵挷㜰愴昲㕦㑦㙤㡡㡡㈴㡣〸㌳ㄹ㕢㌷挱㕦㘴ㄸ㠵㔷㌲㥣ㅤ挸㜰慦㐰㠶㍣㐵㡦㈴㌸攴〹ぢ㠶㜱戴㈵挳摢搱戶ㄹ㘲㕤ち挷慣㡣㤹㌲㔳㌹㙣愰搹㙣㍣㥥㡢收愲㈶㥡戹㔸㉣㤶搷敥㈸㑡ぢ昹㜸ㅣ㉢㙤㍣㙦愶戱㉦㑦㐵戲攱㐸〱捦〸愹㐸㌸㤱㑦攴ㄲ㔹㠳㈷晡㈵挳戵攸愳慦㠳㌱㤲捡㔵㘲㤸㔲㉥ち㜴㑡挵㈸扡㜰ㄳ㤳摤っ敦㘳晣㝥㤸㤰昱ㅢ〴㜱昵㌱摣㑤昹晦㐴敤敥㔴㡣㠶ㄱ扢㌳ㄹ㕢㡦㌰㍤㍤扣㡤㠵㔷㌲摣㉤㤰攱愸㐰㠶攳搰〹㐹㉡昴㈷㘰挱㜰㍣摡㤲攱㤳㘸㍢晢㐳㍣ぢ㕡昱㐴㌸㥡㑦愴攲㔹换捡挴愲㔹㌳㘵㐵ぢ搱㐸㈱ㅣ捤ㄶ戴愷㡡搲ㄸ戰㘶攳戹㠲㠵愷㐸散㐰搳愶〵ㄳ捤㐷㜲㤱慣㤵户㈲〵㘳㠲㤳㕥㝦ㅡ㝤昴㘷㘰㡣㠹捡㔵㘲挸〲〰㐹㥡〲㈹ㄵ㝢搰㠵㥢〸扢ㄹ扥挸昸㑢㌰㈱㘳㉡㠲戸晡ㄸ敥愹晣慦㔱㍢㠹㡡㠹愴㌵㥤挹搸㝡〳晥㈲挳㤹昰㑡㠶㍢〴㌲ㅣㄲ挸㤰㈷昲㤱〴㠷敦㘰挱㜰㉦戴㈵挳扦愲㙤㌳挴㥤户㤲戱㐴㌲㘷收ち㜱㉢ㄹ㌱㔳戱㐴慥㤰挷ㄳ㑡㈶㥤㡤㘷㔲摡扢㈵愹㘹收捤㜰捡㡣㘵戱㕢戴愲㌹㌳㤵捤㕢〵㍣愵㘴捤㝣㌴㤳㡤ㅢ㝢㍢改昵昷搰㐷㕦て㘳捣㔶慥ㄲ㐳搶〴㐸㠶ㄴ㐸愹㤸㑦ㄷ㙥㘲㙢㌷挳扦㌱晥〹㑣挸搸〷㐱㕣㝤っ㝦慢晣㥦㔱㍢㥤㡡㘹㌰㘲㍦㈶㘳敢㑢昸㡢って㠰㔷㌲㌴〲ㄹ昶つ㘴挸㜳晢㐸㔲愱㝦ぢぢ㠶〷愱㉤ㄹ㝥㠷戶捤㌰㤷㡦攳㠵㔷挲挲慥㉤ㅣ〷㥥㑣㌶㤶㑡愶搲愹㜸㈲㥢挴搳㙦㐴晢㘷㐹㕡戰昰㔴㥤捣㐶㤲搹㐴㍣㥤㐸愶㜳〹慣㠵㐹㌳ㄶ㉤㔸㤹㔴㌴㙥搴㍢改昵敦搱㐷晦〱挶㔸愰㕣㈵㠶愶㜲㔱㈰愵㈲㑦ㄷ㙥愲捡捤昰ㄷ挶㝦㠵〹ㄹ㉣〱挰搵挷戰愰晣㤵搵〸捥愱㘲㌶㡣㔸挴㘴㙣㔵挳㕦㘴㜸㌰扣㤲攱㡦㍦〶㍤㉦晦ぢ㕥晦昳昲㘲㜴挲ㅣ㜰㐸ち愹挰戰ㄱ㙤挹㌰㠴戶捤搰捡㈷㈲搱㑣〱慦㘵ち㘶㍣ㄲ㡤㥡㔶㈱㤶㑡攱㌹㈲㥡㡦愵㜳戱㠴搶慢㈸㡤㔹戱㙣㌶㤷捡挶戳昹㝣㍣㥡挰㤳㑢挲捣㈵戹挶㘲㍦㤰㡡㈶㡣㈶㈷扤摥ㅢ㝤昴㍥㌰㐶戳㜲㤵ㄸ戲㜲㐰慥㠷ㄴ㐸愹㘸愵ぢ㌷昱〵敥㐶昱戵捤㘶㡣昷㠳〹ㄹ慣ち挰搵挷戰㕤昹户愴㤶㕦㐲愱敦ぢ㈳㤶㌱ㄹ㕢〳攰㉦㌲㕣〱慦㘴昸㘱㈰挳昷〳ㄹ慥㐴㈷挹㜰㍢愴〲挳㐳搱㤶っ〷愱㙤㌳㡣㐷挲㈶㥥㈸戰㘵㠲㘱〶㑦扢昹㙣㍣ㄹ㡦㘳戳㡥㐷㤲挹㐴㔸慢㉢㑡捤㐲㈴㠳搵㌶㡣㜵㌶ㅤ㡦ㄵ㉣ㄳ㉦㜰㑣〸㔳搹㘸摥捣㐴㈳挶㘱㑥㝡㝤㌰晡攸摢挳ㄸ㠷㉢㔷㠹㈱㡢〹㈴挳愲㑡ㅣ㑤ㄷ㙥攲㜵㌷挳㥤㤹㘵ㄸ㑣挸㔸㠵㈰慥㍥㠶挷㈸晦㐸㙡㑤㉡ㄶ挰㠸攳㤸㡣慤〸晣㐵㠶㈷挰㉢ㄹ晥㌹㤰攱戳㠱っ㔹ㄴ㈰ㄹ㈶㤰ちっ㑦㐲㕢㌲㑣愲㙤㌳㑣㠷㉤慣㝥ㄱ㌳㠳㜵㉣ㅥ㐹㈷㌳搸㡣捤㐴㉥㕣挰挶ㅤ捤收㘳㕡慡㈸挵㤳㜰㌸ㅥ㌷搳㜸ㄲ捡挵㌳㔶ㅡ捦㍤昱ㄸ㥥扦戳搱㠸㘵㥡挹㥣㜱戲㤳㕥㑦愳㡦㥥㠱㌱㑥㔱慥ㄲ挳㔳㤵㡢〲㈹ㄵ㘷搰㠵㥢㜸搸捤㜰っ攳㘳㘱㐲〶㙢〷㜰昵㌱㍣㔳昹㈷㔲扢㠸ち㝥戱㠶㌸㥢挹搸㥡〲㝦㤱攱㌹昰㑡㠶㜷〷㌲扣㌳㤰㈱敢〴㈴挳㘹㐸〵㠶攷愱㉤ㄹ㑥㐷摢㘶ㄸ㐹收愳㘹㙣㤱㔹㌳㥡㡢挷㜲攱㜴㌲㥣换㘶㘲昱㘴㌲ㄳ挶㑢敡㡣㌶愳㈸挵づ搳捡挶昱㥡愶㤰挹挵戳㈰㥡㑦㘴ぢ㔶㌴〶ㅦ搶挹㐴捣㌸摦㐹慦捦㐴ㅦ㝤ㄶ㡣㜱㠱㜲㤵ㄸ㕥愸㕣ㄴ㐸愹戸㠴㉥摣挴㡤㙥㠶昳ㄸ㥦てㄳ㌲㔸㑥㠰慢㡦攱㘵捡扦ㅦ戵㉤㔴昰攳㈷攲ち㈶㘳敢㐰昸㡢っ慦㠲㔷㌲扣㉡㤰攱ㄵ㠱っ慦㐶㈷挹搰㐴㉡㌰扣〶㙤挹㌰㡢戶捤㌰㤹㐹㈵愲㌹㝣㥤㙢ㅣ捦ち㔹㉢㤲㠹㐴㘳昸㝥搷㜰〴扥㌰搶㌸㉤㔷㤴收㑤㌰换㘰㤳㑦㐵ぢ昱ㅣ昶〱㤶ㄹ㑤㘴昱㤶〵捦散㘹㌳ㄹ㌱㔸㠰㈰户搲㍣晡攸ㄶ㡣㜱慤㜲㤵ㄸ戲ち愱㕣㈵慥愷ぢ㌷㜱㥥㥢攱㘲㘶㘹㠴〹ㄹ㌷㈰㠸慢㡦攱㡤捡扦㠴摡㘵㔴㉣㈵挳㥢㤹㡣慤㌶昸㡢っ㙦㠵㔷㌲㍣㉤㤰攱㈹㠱っ㙦㐳㈷挹㜰㌹㔲㠱攱敤㘸㑢㠶㉢搰戶ㄹ㈶㈲〹慣㙤昱戰㤹挱ㄳ㐵㌲㥣挷㑦㠴㐴戳戱㘸〲㕦㤴㡢㔷㌶昱㤸戶戲㈸㑤攲㐵㜷㈱㤷挰㝡㘷愲㐳㈲㘱收㌳㌸戴㘲㠵戳㠵㜰㌶㔲㌰㈳〶㙢ㄲ㈴㥤㐳搱㐷㍦っ挶㔸慢㕣㈵㠶㉣㑣㈸㔷㠹扢改挲㑤ㅣ敤㘶戸㡡㔹㡥㠱〹ㄹ昷㈰㠸慢㡦攱扤捡㝦〲戵㐷㔰挱㙦〸ㄱ昷㌳ㄹ㕢㈷挳㕦㘴昸㐷㜸㈵挳㘵㠱っ摢〳ㄹ㍥㠸㑥㤲攱改㐸〵㠶㝦㐲㕢㌲㍣〳㙤㘷㕢捥㘰晢挴㌳㜰〶㍢㌴扣搴づ㘷愲攱㝣㈴㥣㌴ぢ㤹㌴昶㜲戹㠴戶扡㈴㑤㐷ㄲ挹〲㥦㝤㠰㌱㠱攷攵㕣㈴挶つ㍢㔵挰ㅢ㤶㘴㌴㙤㍣攴愴搷捦㐴ㅦ晤㉣ㄸ攳㘱攵㉡㌱㝣㐴戹㈸㤰㔲昱㌸㕤戸㠹㠳摤っ捦㘷晣〲㤸㤰挱㍡〴㕣㝤っ㥦㔴晥㑢愸㍤㡥㡡㘳挹昰㘹昸㈵挳换攱㉦㌲㝣ㄶ㕥挹㜰㐱㈰挳㠳〲ㄹ㍥㠷㑥㤲攱搵㐸〵㠶㝦㐶㕢㌲扣〶㙤㥢㈱㌶㐷ぢ㙦㝦搳改㔴慣㄰㑦㕢愹㑣㉥㤶捤挷戱ㄶ㠶攳㤱ㅣ㕥晢㘹㙢㡡搲㤴㤹挹愶㘲㤹㐸㉥㠵㘷㘷㌳㥣㑢ㄷ戲㠹㙣㈲ㄱ㡤愶ㄲ㠹㙣搸捡ㄹ慣㕣㤰㙢搸戵攸愳㕦〷㘳扣愰㕣㈵㠶㉦㉡ㄷ〵㍡愵攲ㄵ扡㜰ㄳ㜳摤っ㙦㘲晣㘶㤸㤰挱搲〴㕣㝤っ㕦㔳晥摢愹㍤㤵㡡㔳挸昰㜵㈶㘳㙢ㅤ搳搳挳摢㥢昰㑡㠶㝢〶㌲摣㈳㤰攱㕢攸㈴ㄹ摥㠳㔴㘰昸㌶摡㤲攱扤㘸摢っ㘳〹慣㝤戹㌰摥ㄹ㐷昱㕡〵㠷戵攲㠹㜴ㅥ敢㕢扥㄰㌵昳搸㉤㙡昷ㄵ愵㠵〲㡥搳攰㡤㐹ㄴ㉦㜱攲㜱晣ㅥ㔰㍡㙡挵㤲㤱㐸㈱ㅥ㑦收ㄳ㤹㤴挱㘲〶挹昰㝥昴搱ㅦ㠰㌱晥慡㕣㈵㠶敦㉡ㄷ〵㍡愵攲㝤扡㜰ㄳ扢扢ㄹ㍥挲昸愳㌰㈱攳〳〴㜱昵㌱晣㔰昹㥦愴昶㙣㉡昸㔵㈷攲㘳㈶㘳敢ㄹ愶愷㠷户㑦攰㤵っ攳㠱っ愳㠱っ㍦㐵㈷挹昰㜹愴〲挳扦愳㉤ㄹ扥㠰戶戳㉤㐷戹摢㡢㈶㑣换㑡挴捤㐲㌶㥢挷㌶㥣挳昳㑣搸捣㠱㙤㕥㝢戱㈸捤攱昰っづㅥ㐷ㄳ㜹㍣愷挴愲改っ㕥攸攰㈰㔹㍣㘲㥡㠹㐴㉣㥣㌶晥攱愴搷㕦㐲ㅦ晤㘵ㄸ攳㌳攵㉡㌱晣㕣戹㈸㤰㔲昱ㄵ㕤戸㠹㥤摣っ摦㘰晣㑤㤸㤰昱㌵㠲戸晡ㄸ㝥愳晣㝦愵昶㐲㉡昸㙤㈹攲㍢㈶㘳㙢㍤晣㐵㠶摦挳㉢ㄹ㙥ㅢ挸㜰㘰㈰挳ㅦ搰㐹㌲晣〸愹挰昰㕦㘸㑢㠶ㅦ愳㙤㌳挴愶㥢攵㔱㉥㌳ㅤ㡢挵挳戹〲㕥晤㈵ち搹ㅣ摥昹攱㙤㕣㌶ㄶ搳晥㔶㤲攲㙤㜲㌶㕦㠸攳愷愹愲昱ㄸづ挸㈷㤳搹っ㌴㜸ㄱㄴ挳昱戰戴昱㙦㈷扤晥〹晡攸㥦挲ㄸ㍦㉡㔷㠹攱㑦捡㔵㔴㠹㕦改挲㑤㙣敡㘶昸㈵戳㝣〵ㄳ㌲㌶㈰㠸慢㡦㈱敦㥤昴㝦㐷敤ㄵ㔴㕣づ㈳㘴攵〲㕢㍦挰㕦㘴挸捡〵挹戰㈶㤰愱ㄶ挸戰ㅡ㥤㈴挳㥦㤰ちっ㌵㌴㈴挳㥦搱㜶昶㠷㌸㡢㤱挰㉢挴㐲㉣づ㍡㔶㍣ㅤ㡥㘰㑦㘸㠵攱捤昱㈸㤷昶㑢㔱ㅡ㌵㔳搱ㄴ㡥㡢攵愳㜸ㅡ捡愶搳搹㥣㠵昷㈹攰㕥挰〱戱㕣㌶㙦昴㜴搲敢扦愲㡦扥〱挶愸㔱慥ㄲ㐳㤶㐲挸㉤扥愸ㄲ慣㜱㤰っ㝦晥户敢扤㕥戵㠶㉣ㅡ㑣挸㘰㤹㐳㄰㐳㔶㍥㐸㝦㠸㕡㝥换㡡㝥㉤ㄹㅡ昰换昵戰て晣㐵㠶㥢挲㉢ㄹ㝥㠳㘱晣挷戱扦㠲搷晦㝥㜹㌳㜴挲ㄵ扦慣㠶㔴㘰搸てつ挹㜰㔳戴㙤㠶㠵愴ㄵ挳㥢户㌸扦昳㍦㡥户㉣㔹㌳㘶攱㜸㝦っ㐷挳ち㌸㐸㥤搲㌶㉢㐹愳搱㙣㌶㘹㘶慣㌰摥つ挶昰戴㤲㌰戱捦攴㌱㔸ㅣ昷㐹攵㉣愳扦㤳㕥敦㠷㍥㝡㝦ㄸ㠳昵㄰ㄲ㔸㠹攱ㄶ捡㐵㠱㤴ち㤶㍤㐸㠶ㅦ扢ㄹづ㘰㝣㈰㑣挸㘰攵㐳㄰挳㠱捡㍦㠸㕡㝥㔱㡢捥慦㝤ㄱ摢挲㉦ㄹ㙥て㝦㤱攱㈰㜸㈵挳户〳ㄹ扥ㄹ挸戰づ㥤㜰挵攷挶㤰ちっ㔹搱㈰ㄹ敥㠴戶捤㌰㤶挹㔹㜸づ捥愴昲昱㑣㍣ㄹ挹㤸戱㐸㈱ㅡ㡥㤹改㐸㈴㤹㑡愴愲摡捥㐵愹ㄵ戶昲搸挸戳㔶㈶㤷㡥㐷㈲搹㙣ち㑦敡戹㠸ㄵ㠹㘵搲㘰ㅥ㌳㔸㉢㈱㠱つ㐳ㅦ㝤㌸㡣挱ㄲ〹て挳愱捡㔵㔴㠹㥤攸〲㈳昱㠲㥢㘱㠴㔹愲㌰㈱㠳挵㄰㐱っ㔹ㅦ㈱晤㐹㙡搷昱慥慥㈵㐳㔹昲挰㔶〶晥㈲㐳㤶㍣㐸㠶㡦〷㌲㝣㌴㤰攱慥攸㠴㉢づ敥㈲ㄵㄸ㠶搱㤰っ㜷㐷摢㘶㤸挶㕢っ扣扣㑥㕡㌸挰㡡㘷㘸㉢㡤挳〹愹㜴㉣㥤挲㙢㙣ㅣ挹㑥㘸㘳㡡㔲㌳㠹愳㘱㘱ㅣㅡ挳挶㡣㌵㌱㤱挱ㄱ㐴ㄳ攷愹㘲㤱㈸摥ㄵ收㜳〶换㈷㈴戰戱攸愳㡦㠳㌱愲捡㔵㕡て㘳捡㔵㔴〹ㄶ㐷㐸㠶昷扡ㄹ㑥㘱㤶㍤㘰㐲㐶ち㠲㈰㠶㉣㤹㤰晥改搴昲敢㘲㜴㝥昹㡣㤰㔵㄰㙣捤㠲扦挸㜰㌷愸㈵挳㕢〳ㄹ摥ㅣ挸㜰㌴㍡攱㡡㈳㙢㐸〵㠶扢愳㈱ㄹ捥㐵摢㘶㤸捤㘲㑢㡥㥡㌸搸㤵㌱㜱戸㈶㡤愳づ㤱ㅣ搶捡㈸㕥戹㠴挳㜸慦㌷慦㈸捤㘵昱捣㡣户换㌸㡥㡤㕦㍢㡣㐴捣㜰ㅥ慦戳愳㤹㜴㈶㤲㉦㐰㙤㡣㜱搲敢昳搱㐷摦〷挶ㄸ慢㕣㈵㠶攳㤴慢愸ㄲ慣㤷㤰っ慦㜱㌳㍣㤰㔹づ㠲〹ㄹ㤳㈰〸㘲㌸㔹昹戳搴㍥挲扢晡㌰ㄹ敥〱扦摣㤶㉤昸㡢っ㔹ㄸ㈱ㄹ㕥ㄴ挸昰㠲㐰㠶搳搰〹搷ち扤〱愹挰㤰愵㄰㤲攱挱㘸摢っ戱㍢㉣㠴ぢ昹㈴㑥㡣㤸昱㈴㡥挶㈴㌲㔶㌴㙤愶㈲愹㐴㍡㔲挸㠶戵挵㈵㘹㈱㙥攲㐹㍣㥡㑦愶戰挷挴晢扣㘴㌲㔶㠸攰㉣㑣ち慦ㄵ㘳挹戰挱㈲ぢ戹ㅥ㌶愲㡦摥〴㘳戰戶㐲扡㑡っ㘷㈹ㄷ〵㍡愵㘲㌶㕤㘰㈴捥㜰㌳㙣㘳扣ㅤ㈶㘴捣㠱㈰㠸攱㕣攵㕦㐱敤搳扣慢晣ちㅣ㘳ㅥ晣戸攲つ㈷晣㝤㝡㔴戳㑡攰㌷㥥搳改挱摦㜸㌱摣晢搳㈳㤳昰㔳㈲㉣㈷慣攸㠱㡦晡摢ㅦ㤰慦慡ㅣ昵㥦攵攲〹㝢㝥㍦〶㙦搵挷攱扥晥ㅦ昲㜰捤㈸ㄵ㘲㌰攳㜶戸改㐷攰づ㔷ㅦ㠰扢ㅢづ㥡㘲㘷㍦〲㠹㡥ㄵ晤㥢愶戶攱㘴㍥㝥㑣㜴㙥换戸攲㉦㔱㙥愲㑥昲て㔷扦㠸㌱戴攴ㄹ㤷㙤挳㜷慢戴㕢慡摢慣搶㘲㍦晣挲〴㡡㍡㄰ㄸ捥摦捦攸㕦㙡戹扥㘰㘰㐰挹㍢戵戹つ扦昵㘲攵㔵挶㌶㝣昸扥慡戲㠷〸晣捥て攷挷づ昸㡤〲捣㠶㕦㝢㤹㥡㈷㠰〱〱㕦慦㌰扥愱㕤㝥㍤挹㐰挴㠵捥ちㄱ敤㈸㘲ㅡ㍤㘴晣㤰㘸昵搱㜸ㅣ㌶㝡㠸㜲敡ㅣ㤰慢㘵㐸㕦㠵㝣攲㐰㘴㈶㝡愱戳戴㐴㍢㔶㡤ㄱㄱ㠷㘳っ㡥挳昵〸㕦㡡㐹㌱㌷〸扡搸㕦搴㍢つ挶㙢㔹㠵㠱搷㘳ㄵ㔰戹㉦㕦㡤㜱㕡㘳敤晦㌵捥㝦㘳㙣㉤㑢㌶㘴㡦〳㐵摤搹攳慡摦㍢敡昲慦慦晦捤搰㑢㙦搹攰晣㍦捡敥戱慦搳㈳㌳㔶㉣㐲㡦愱昰敡敢㘹摥愷昹〰㐶㉣挷㡣摥挴昷㉥昸㝥㠹㘱㤹ㄳ昰晥ㄲ㠳戱ㄸ㤹㜰挵㍢㕣捣户㑦て搱㠲〶㌷㌷搱㡥ㅥ㕣挷〹㐹㍦㥤㜷戹ㄵ㙥㥢て㙢㌳戴搵昰挹挷㈰㈲㤶㐰㔷攲㜳ㄶ挵㙤㐵㌱慢㌳戴摦㈹㜱㔴㌴㍡㘲㥢晣戹〸搴戲㡣愲㝢挸㔸㜳搱㍤㘴㐷愲㐷㄰戲㠵㤸㑥㈰戲㠲ㄳ昰晥㜶㠳戱ち㤹㜰㐵愹〰收づ㘴挷愳㈱㤱攵搱愳㠸散㔲㔲㌸〹㈱ㅢㄹ㑢㌱戴换㑢ㄴㄶ㤴㔱戸㤲㘲㔶㔲搸㘲ㄶ㘳㘸㔷㉢㜱㐴ㅣ攰㠸敤昵㙦つ〲戵慢㈱改ㅥ㌲㤶㔸㜴て搹㌹攸ㄱ㠴㙣ㅦ㠷㡣㙦㉤㥢敦〴扣扦昶㘰㥣㡦㑣戸㔶攸㌷㘰敥㐰挶㈲ぢ㠹㙣㉥㝡ㄴ㤱摤㐴ち㤷㈱㘴㔳戸〴㑢摡㉤㈵ち㝢㤵㔱戸㡤㘲搶㐵搸攲㑢㈹扥㐳㠹愳㘲扡㈳戶搷戲㜵〸搴慥㠱愴㝢挸㔸㔱搱㍤㘴㉣慥〸㐲㌶挵㈱攳㐳㌶搹〹㜸㝦ㅦ挲㘰㌹〶慥㜸㘵㠶戹〳ㄹ㙢㉡㈴戲㠹攸㔱㐴昶〰㈹慣㐵挸愶㜰㍢㤶戴〷ㄵ㠵㠸ㄸ敢㔰戰㔷㥣㠷㈸㘶ㄹ㠴㉤扥㠳攲㐷㤴㌸㉡㜶㜳挴㌶戲挷㄰愸㘵㑤㐴昷㤰摤慦㝡㙣昴扥散㑦攸ㄱ㠴㉣攵㤰昱㈱㑢㍡〱敦㉦㑡ㄸ慣扥挰ㄵ㠷㤵㌰㜷㈰㘳〹㠵㐴ㄶ㐷㡦㈲戲攷㐸㠱攵づ㌶㠵㈷戱愴㍤慦㈸㐴㐴搸愱㘰㈳㝢㤱㘲㔶㍤搸㘲㔶㔶㘸㉦㉢㜱㔴㡣㜰挴㌶戲㔷ㄱ愸㘵〹㐴昷㤰扤愴㝡㙣㌴㌲㤶㑥〴㈱摢搱㈱攳㐳戶㠳ㄳ昰晥〶㠵昱〶㌲攱㡡㙦ㄶ挷摣㠱散ㅤ㌴㈴戲㈱攸㔱㐴昶づ㈹扣㠷㤰㑤攱慦㔸搲摥㔵ㄴ㈲㘲㤰㐳挱㐶戶㥥㘲ㄶ㌹搸㘲ㄶ㔲㘸ㅦ㈸㜱㔴っ㜴挴㌶戲㡦㄰愸㘵挵㐳昷㤰㝤愲㝡㙣㌴㌲㔶㑡〴㈱摢挲㈱攳㐳戶戹ㄳ昰晥㙡㠵昱㈵㌲攱㡡捦㍡㘱敥㐰昶㉤ㅡㄲ㔹㍦昴㈸㈲晢㥣ㄴ㔸捣㘰㔳昸づ㑢摡㤷㡡㐲㐴ㄸづ〵ㅢ搹搷ㄴ戳愶挱ㄶ戳㙥㐲晢㔶㠹愳愲户㈳戶㤱晤ㄳ㠱摡㕦㈰改ㅥ戲㕦㔵㡦㡤㐶㔶㠹〱㠲㤰昵㜴挸昸㤰㘹㑥挰晢㍢ㄷ〶㑢㈹㌰㍣㍥捣㠴戹〳ㄹ敢㈱㈴戲㉡昴㈸㈲晢㠵ㄴ㔸扢㘰㔳㘰㤱㠴戶㐱㔱挰昷戵㌸ㄴ㙣㘴晣挹㙡挱ㄲ〶㕢捣㌲〹慤〷㝣昶慢㐲昱昳扦散㔷㈴㌶戲㙡〴㙡㔹捦㠰㙢㌷㕥㤷戱昸㐱昶搸㘸㘴慣㠳ㄸ捡㍢敡㜹㕤昶〳愶ㄳ昸㈲攳㝢㈷攰晤㘵っ㠳㤵ㄳㄲ㔹㉦捣ㅤ挸㔸晥㈰㤱㝤㠷ㅥ㐵㘴㝤㐸㠱㐵〸㌶㠵㐱㔸搲㙡㑢ㄴ扥㉡愳戰〹挵㉣㘹戰挵㜵ㄴ㙦愶挴ㄱ昱㤹㈳戶昹昶㐷愰㤶攵ぢ戸㜶〳ㄹ㙢ㅤ㘴㡦㡤㐶挶戲㠷愱〱挸晥收㤰昱慤㘵ㅦ㍢〱敦㙦㘹ㄸ㉣㤴㤰挸〶㘰敥㐰挶㙡〷㠹散㐳昴㈸㈲摢㠶ㄴ㔸㤹㘰㔳㘰〹㠴戶㕤㠹挲㝢㘵ㄴ敡㈸㘶㠱㠲㉤㘶ㄱ㠴戶扤ㄲ㐷挵摢㡥搸㕥换㠶㈲㔰换㙡〵㕣扢㠱㙣慣敡戱搱挸㔸攵㌰㌴〰搹㕦ㅣ㌲㍥㘴慦㌹〱敦慦㙦ㄸ慣㡢㤰挸㠶㘳敥㐰挶攲〶㠹散ㄵ昴㈸㈲摢㠵ㄴ㔸㠸㘰㔳㘰挵㠳戶慢愲㄰ㄱ㉦㌸ㄴ散ㄵ㈷㐲㌱敢ㄱ㙣㌱㙢ㅥ戴㤸ㄲ㐷挵戳㡥搸㐶㤶㐰愰㤶挵〹戸㜶〳ㄹ㉢ㄹ㘴㡦㡤㐶挶愲㠶愱〱挸㥥㜰挸昸㤰㍤敥〴扣扦搷㘱戰っ㐲㈲晢つ收づ㘴㈶摡ㄲ搹愳攸㔱㐴㌶㥡ㄴ㔸㜷㘰㔳㘰㠱㠳㌶愶㐴攱㑦㘵ㄴ挶㔱捣晡〴㕢捣ㄲ〷㙤㠲ㄲ㐷挴晤㡥搸收㍢〹㠱㕡搶㈲攰摡つ㘴㉣㕣㤰㍤㌶ㅡㄹ㙢ㄸ㠶〶㈰扢换㈱攳㐳㜶愷ㄳ昰晥挲㠷挱慡〷㠹㙣ㅡ收づ㘴㉣㕤㤰挸搶愲㐷ㄱ搹っ㔲㘰㤹㠱㑤㠱昵っ摡㉣㐵㈱㉡㙥㜵㈸搸㉢捥摥ㄴ戳ㅣ挱ㄶ戳愲㐱㥢愳挴ㄱ㜱愳㈳戶㤱捤㐳愰㜶ㄵ㈴戸㜶〳ㄹ敢ㄴ㘴㡦㡤㐶挶㤲㠵愱〱挸慥㜳挸昸㤰㕤敢〴扣扦〹㘲戰挸㐱㈲摢ㅦ㜳〷㌲㔶㉡㐸㘴搷愰㐷ㄱ搹㠱愴挰慡〲㥢〲换ㄷ戴晡ㄲ㠵㉢捡㈸㤸ㄴ戳戸挰ㄶ戳㠰㐱换㈹㜱㔴㕣攲㠸㙤扥ㄶ〲戵慣㌴挰戵ㅢ挸㔸㤶㈰㝢㙣㌴㌲㔶㈸っつ㐰㜶扥㐳挶㠷散㍣㈷攰晤ㄵㄱ㠳㌵つㄲ搹㘲捣ㅤ挸㔸㤸㈰㤱㥤㠳ㅥ㐵㘴㑤愴挰捡〰㥢〲慢ㄵ戴ㄶ㐵㈱㈲捥㜴㈸搸㉢捥㈱ㄴ戳㤶挰ㄶ戳㕥㐱㙢㔳攲愸㌸捤ㄱ摢挸㤶㈲㔰换挲〲㕣扢㠱㡣㔵〸戲挷㐶㈳㘳㐱挲搰〰㘴㈷㍡㘴㝣挸㑥㜰〲摥摦ㅤ㌱㔸挲㈰㤱ㅤ㠶戹〳ㄹ敢㄰㈴戲攳搰愳㠸散〸㔲㘰㈱㠰㑤㠱挵〹摡㔱㡡㐲㐴ㅣ敤㔰戰㤱慤愲㤸愵〳戶㤸攵〹摡戱㑡ㅣㄵ㠷㍢㘲ㅢ搹昱〸搴戲㡥〰搷㙥㈰㘳搱㠱散戱搱挸㔸㝦㌰㌴〰搹㜲㠷㡣て搹㌲㈷攰晤愵ㄲ㠳ㄵぢㄲ搹愹㤸㍢㤰戱散㐰㈲㙢㐷㡦㈲戲搳㐹㠱㈵〲㌶〵搶㈲㘸慢ㄵ〵ㅣ㉦㜳㈸搸挸捥愲㤸㤵〲戶㤸搵〸摡敦㤴ㄸ挷换ㅣ戱㡤散㕣〴㙡㔹㌶㠰㙢㌷㤰戱挶㐰昶搸㘸㘴㉣㌷ㄸㅡ㠰㙣愱㐳挶㠷慣攰〴扣扦㙤㘲慣㐷㈶㠹散㘲捣ㅤ挸㔸㘵㈰㤱攵搱愳㠸散㔲㔲攰戹㝥㥢〲㑢て戴换㑢ㄴㄶ㤴㔱戸㤲㘲㔶づ搸㘲ㄶㅦ㘸㔷㉢㌱㡥㤷㌹㘲㥢敦ㅡ〴㙡㔹㈵㠰㙢㌷㤰戱愴㐰昶搸㘸㘴慣㉥ㄸㅡ㠰㙣ㅦ㠷㡣て搹㝣㈷攰晤㌵ㄴ㠳昵〸ㄲ搹つ㤸㍢㤰戱愸㐰㈲㥢㡢ㅥ㐵㘴㌷㤱〲㑦敤摢ㄴ㔸㘹愰摤愲㈸㐴挵㕥づ〵㝢挵戹㡤㘲ㄶち搸㘲搶ㅡ㘸㜷㈸㜱㐴㑣㜷挴㌶戲㜵〸搴㔶昳扤㔷户㤰戱㠲㐰昶搸㘸㘴㉣㈶ㄸㅡ㠰㙣㡡㐳挶㠷㙣戲ㄳ昰晥㝥㡡搱〷㤹㈴戲晢㌰㜷㈰摢〴㙤㠹㙣㈲㝡ㄴ㤱㍤㐰ち㍣摦㙦㔳㘰㘱㠱昶㘰㠹挲搸㌲ちて㔱摣扦㈸摥㡣攲㐷㤴ㄸ挷换ㅣ戱捤昷㌱〴㙡〷㐰搲㍤㘴㉣ㄸ攸ㅥ戲㐱攸ㄱ㠴㉣攵㤰昱㈱㑢㍡〱敦㉦慥ㄸ摢㈳㤳㐴昶っ收づ㘴㉣ㄹ㤰挸攲攸㔱㐴昶ㅣ㈹昰挴扤㡤㡣㜵〴摡昳㈵ち攱㌲ち㉦㔲㍣扣㈸㘶㈵㠱昶戲ㄲ㐷挴〸㐷㙣慦㘵慦㈲㔰ㅢ㠱愴㝢挸㔸ㅦ搰㍤㘴㉣ㄵ〸㐲戶愳㐳挶㠷㙣〷㈷攰晤㡤ㄶ㠳挵〵ㄲ搹㕢㤸㍢㤰㡤㐶㕢㈲ㅢ㠲ㅥ㐵㘴敦㤰挲㔸㠴㙣㘴㉣ㅢ搰摥㔵ㄴ愲㘲㤰㐳挱㕥㜱搶㔳㍣慥㈸ㅥ㐳昱〷㑡ㅣㄱ〳ㅤ戱㡤散㈳〴㙡㜹㠶扦㝢挸㔸づ搰㍤㘴慣っ〸㐲戶㠵㐳挶㠷㙣㜳㈷攰晤㔵ㄷ㘳ㄶ㌲㐹㘴晦挰摣㠱㙣づ摡ㄲ㔹㍦昴㈸㈲晢㥣ㄴ㜸㕡摥㐶挶㉡〱敤㑢㐵㈱㉡っ㠷㠲㡤散㙢㡡㜹㤲摦ㄶ捦愳昸㕢㈵㡥㠸摥㡥搸㐶昶㑦〴㙡て㠴愴㝢挸㜸昶扦㝢挸㔸〸㄰㠴慣愷㐳挶㠷㑣㜳〲摥摦㠱㌱㉣㘴㤲挸㝥挲摣㠱㡣攷晦㈵戲㉡昴㈸㈲晢㠵ㄴ㜸〲摥愶挰愲〰㙤㐳㠹㐲㐵ㄹ〵㔱〳㜱㔳㔱扣㤸攲ㅥ昰愹攳㘵㍦㤴ㅤ㉦㐳愰戶つ㤲敥㈱攳挹晥敥㈱攳㜹晦㈰㘴㍦㘰㍡挱挷换㥣㠰敦㤷㘳づ㐳愶慥㝥㌹㠶摦㘸㘰戵挹㕦㌷愹挵㜳㑥㜵㠱摦挱搰慢㘰扢㜹㜲ㅦ摦挲搰搰搸㈸扦挰愰㌷㝥攸愱㜵戱搵㍡ㅤ扦㘷㠲㥦㜷挰㙦摥㍢㥦愰挷敦㥣昰㝢昳搵㑦〹攸戲挵捥㕡㘱㔶㉢㝥㕢愰㘷㘱㙡ㅢ㝥㠷㈶㕦搳戴㤷搹摥㙥戵㌶晦㉦晣ち〴扥㔲㠲㕦敤㠷㡢晤晢て㠱摦收挰慦㘹〸㍣㤳㉥㠹㡤㉣昱㤸㡥㕦㈸㘱挵㐲㈵㝦ㅦ攲㍦晢㐹ㅡ慤ㄷ㔶㌱昵㡢㈷㜹搷㉦㥥㔴㠹敦昰㄰摢戵㠱㐷㔷㙣攰㤴㔹㠲愲昷㠱㕥敢ぢ搳㘳㕣㕢㤳慣慢㠱〹改戵昰挸㙦昵㤰愶愲晡〸慣〶摥㍢挷敦搷攰户愸㔵㔴㉦㙦挸户㉦搲ㄶ㔹つぢㄷ戵攳㝢㌴㝡昱ㅥ慢㑢搵㉡㜴敤慣晣㠰扢㥥㥥㑤昵㘶㙢慢戹戲愶愹扥搱㙡㕥搸扥愸愶㝥ㄹ慡㉤昰㑢㉤搸敥㙡㙡㙡昴㑤㌰ㅦㅢ㌴㌶户攳㤱㤱㔹昵㑤摤摥㔳攱攱摡慡ㄳ㐱㤵昸㉣昰敥昶攷晤攲摤㉤摤搵㉤攸攲ㄷ㤸搸㜷㔵㥣㡥ㅣ扣扢敡㈲捥㐲㐳づ户ㄵ㤴挵㐹㥣慢扣㕢扢扤ㄷ挳敢㥡挴㠷㠱㤳搸㠶㈳㤶㑦㘲㍢捦㈴㉥㐵㥥戲㐹㕣愹㠶慢㜳て户㐶㜹〷扢扤㌷㤴㑦攲敤挰㐹っ昵㑦㘲㐷捦㈴㙥昲㑥攲㌶㌵摣捥敥攱搶㈹敦㌰户昷扥昲㐹扣ㄲ㌸㠹㕤晣㤳搸搵㌳㠹〷扣㤳㜸㐸つㄷ㜱て昷㤸昲㐶摤摥㘷捡㈷昱㙣攰㈴ㄲ晥㐹愴㍣㤳㜸捥㍢㠹ㄷ搵㜰ㄹ昷㜰慦㉡敦㈸户昷慤昲㐹㍣ㅡ㌸㠹搱晥㐹㡣昱㑣攲ㅤ敦㈴搶慢攱挶戹㠷晢㐸㜹挷扢扤晦㈸㥦挴晤㠱㤳㤸攴㥦挴ㄴ捦㈴㍥昷㑥攲㙢㌵摣㔴昷㜰晦㔴摥㍤摤摥㥦捡㈷戱㌶㜰ㄲ㌳晣㤳㤸攵㤹挴㉦摥㐹〸散㈶攴㈶扡户㝢戸㙡攵㥤敤昶昶㠲搷戵㠹摥ㄸ㌸㠹㜹晥㐹散攳㤹㐴ㅦ攴㈹摢㐴㌷㔱挳敤敢ㅥ慥扦昲敥攷昶づ㈸㥦挴㌵㠱㤳㌸搰㍦㠹㝡捦㈴戶昱㑥愲㑥つ㘷扡㠷ㅢ慡扣㔹户㜷㜸昹㈴㉥〹㥣㠴攵㥦挴㐲捦㈴㜶昱㑥㈲愲㠶㙢㜰て㤷㔰摥㠳摤摥摦㤴㑦攲㥣挰㐹㌴昹㈷搱攲㤹挴㘸敦㈴挶愹攱づ㜱て㌷㐹㜹㕢摤摥㘹攵㤳㌸㉤㜰ㄲ㑢晤㤳㔸敥㤹挴っ敦㈴昶㔶挳慤㜴て㌷㑦㜹て㜵㝢昷㉦㥦挴㜱㠱㤳㌸挲㍦㠹愳㍣㤳㌸搰㍢〹㔳つ户捡㍤㥣愵扣挷戸扤㡢换㈷㜱㜸攰㈴㡥昷㑦攲㐴捦㈴㥡扣㤳㌸㐴つ㜷戲㝢戸愵捡㝢㡡摢㝢㔸昹㈴摡〳㈷㜱扡㝦ㄲ慢㍤㤳㌸挲㍢㠹㔵㙡戸戳摣挳ㅤ慦扣㘷扢扤愷㤶㑦愲㌱㜰ㄲ攷晡㈷㜱扥㘷ㄲ愷㝢㈷㜱㤶ㅡ敥㐲昷㜰攷㉡敦㐵㙥敦挵攵㤳挸〷㑥攲㔲晦㈴㉥昷㑣攲㔲敦㈴慥㔴挳㕤改ㅥ㙥㡤昲㕥攵昶摥㔰㍥㠹〳〲㈷戱挶㍦㠹敢㍣㤳戸挹㍢㠹摢搴㜰㝦㜰て户㑥㜹慦㜷㝢敦㉢㥦挴摣挰㐹摣攴㥦挴㉤㥥㐹㍣攰㥤挴㐳㙡戸摢摣挳㍤愶扣户扢扤捦㤴㑦㘲㝡攰㈴搶昹㈷㜱㤷㘷ㄲ捦㜹㈷昱愲ㅡ敥ㅥ昷㜰慦㉡敦扤㙥敦㕢攵㤳㤸ㄸ㌸㠹〷晣㤳㜸搰㌳㠹㜷扣㤳㔸慦㠶㝢挸㍤摣㐷捡晢戰摢晢㡦昲㐹散ㄶ㌸㠹挷晣㤳㜸挲㌳㠹捦扤㤳昸㕡つ昷㤴㝢戸㝦㉡敦搳㙥敦㑦攵㤳㠸〷㑥攲㌹晦㈴㥥昷㑣攲ㄷ敦㈴〴〴昲昵挴㡢敥攱慡㤵昷㈵㤷户扡てㅡㅢ晤昶㡥㠵搲㥢攱㡤㜰愳㤵攳敦㔰昲搷っ㠷㌷攲㙤摡㐶晣㜸攴换ㄸ㐷搴搲㈰㠷晥㡡戳挰㐶敤㈶㑥〳晦搰摡搴摤ㄲ晤搱攲ㄴ昵㔷改摥挲㠹改慦㌹ぢ戲晦㔶㑥〳晦搰㝦㙢㜷㑢㙣㠳㤶散晦ㄷ扡户㜳㘲晡敢捥㠲散㕦攷㌴昰て晤〷扢㕢㘲㈸㕡戲晦ㅢ㜴敦攸挴昴㌷㥤〵搹㝦㘷愷㠱㝦攸㍦捣摤ㄲ扢愰㈵晢扦㐵昷慥㑥㑣㝦摢㔹㤰晤㈳㑥〳晦搰㍦敡㙥㠹〴㕡戲晦㍢㜴愷㥣㤸晥㔷㘷㐱昶捦㌸つ晣㐳晦㔱敥㤶ㄸ㡤㤶散晦㉥摤㘳㥣㤸晥㥥戳㈰晢㡦㜳ㅡ昸㠷晥攳摤㉤㌱〹㉤搹㝦㍤摤㔳㥣㤸晥扥戳㈰晢㑦㜵ㅡ昸㠷晥㝢扡㕢㘲〶㕡戲晦〷㜴捦㜲㘲晡㠷捥㠲散扦户搳挰㍦昴㥦敤㙥㠹㜹㘸挹晥ㅦ搱扤㡦ㄳ搳㍦㜶ㄶ㘴晦㝤㥤〶晥愱晦㝥敥㤶㌸㄰㉤搹晦㙦㜴搷㍢㌱晤ㄳ㘷㐱昶㌷㥤〶晥愱㝦搶摤ㄲㄶ㕡戲晦愷㜴㉦㜴㘲晡摦㥤〵搹扦挱㘹攰ㅦ晡ㅦ散㙥㠹㈶戴㘴晦㝦搰摤攲挴昴捦㥣〵搹晦㄰愷㠱㝦攸摦敡㙥㠹愵㘸挹晥㥦搳扤摣㠹改㕦㌸ぢ戲晦㑡愷㠱㝦攸㝦愸扢㈵㡥㐰㑢昶晦㤲敥愳㥣㤸晥㤵戳㈰晢慦㜲ㅡ昸㠷晥挷戸㕢攲㜸戴㘴晦慦改㍥搱㠹改摦㌸ぢ戲晦挹㑥〳晦搰晦ㄴ㜷㑢㥣㡥㤶散晦㉤摤慢㥤㤸晥㥤戳㈰晢㥦攵㌴昰て晤捦㜶户挴戹㘸挹晥晦愴晢㝣㈷愶㝦敦㉣挸晥ㄷ㍡つ晣㐳晦㡢摣㉤㜱㈹㕡戲晦て㜴㕦敥挴昴㝦㌹ぢ戲晦㤵㑥〳晦搰晦㉡㜷㑢慣㐱㑢昶晦㌷摤搷㌹㌱晤㐷㘷㐱昶晦㠳搳挰㍦昴扦摥摤ㄲ㌷愱㈵晢晦㐴昷㉤㑥㑣晦搹㔹㤰晤㙦㜳ㅡ昸㠷晥户扢㕢㘲ㅤ㕡戲晦㉦㜴摦攵挴昴㕦㥤〵搹晦ㅥ愷㠱㝦攸㝦慦扢㈵ㅥ㐰㑢昶摦㐰昷㠳㑥㑣挷㜷扣换ㅤ戱散晦㤰扢㐷敤挳敥㤶㜸っ㉤搹㕦戰挷ㄳ慡㝦愵扢晦㔳敥ㅥ戵㑦扢㕢攲㌹搵扦〷㝢㍣慦晡㔷戹晢扦攸敥㔱晢㤲扢㈵攴搳〶敥㤶㕥㡤ㅥ敡㘲昰改㐳ㅥ〹搷攰挵㤱昰㔷㔵摥㌲ㄵ㥦㈴愴慡挶㔶晤㈵㔰挵愷〲愹ち搹慡㌷〲㔵㙦㉡㔵㙦㕢㈵㜷攷扥㜹㜱户㉥㜳昵戵㔵敦〴收攲捥㕢慡っ㕢昵㙥愰㡡扢㘸愹摡搴㔶慤て㔴扤慦㔴晤㙣㤵摣捤晡收挵摤慤捣戵戹慤晡㈸㌰ㄷ㜷慡㔲戵愵慤晡㕢愰㡡扢㑥愹摡摡㔶㝤ㅡ愸晡扢㔲つ戴㔵㜲昷攷㥢ㄷ㜷㠳㌲搷戶戶敡昳挰㕣摣搹㐹搵㈰㕢㈵㜷㘵扥㕣摣愵㐹搵㘰㕢㈵㜷㔸㍥ㄵ㜷㕣㔲㌵挴㔶挹摤㤲㑦挵摤㤳㔴敤㘰慢攴捥挷愷攲㑥㐸慡㜶戲㔵㜲ㄷ攳㔳㜱㔷㈳㔵挳㙣㤵摣㤱昸㔴摣愱㐸搵〸㕢㈵㜷ㄷ㍥ㄵ㜷ㅢ㔲㌵搲㔶挹㥤㠲㑦挵㥤㠳㔴㠵㙤㤵摣昴㝤㉡敥〲愴㉡㙡慢攴〶敥㔳㜱㐳㤷慡戸慤㤲㥢戱㑦挵捤㔹慡㤲㔲㘵愸捤㔰㜰晢㤴愷愸㥥晡摥㍥㐵㌵ㅥ㝤㙢昰扢戲摣㈴㘵攰㐹㑦㠰㕢愱っ㍣攱〹㜰挳㤳㠱挷㍤〱㙥㙢㌲昰㤸㈷挰捤㑢〶ㅥ昵〴戸㐵挹挰㈳㥥〰㌷㈲ㄹ㜸搸ㄳ攰㜶㈳〳て㜹〲摣㔴㘴攰㑦㥥〰户づㄹ㜸搰ㄳ攰〶㈱〳㝦昴〴戸つ挸挰〳㥥〰㔷㝢ㄹ戸摦ㄳ攰㥡㉥〳昷㜹〲㕣戹㘵攰㕥㑦㠰敢戳っ摣攳〹㜰ㄵ㤶㠱扢㍤〱慥戵㌲㜰㤷㈷挰ㄵ㔵〶敥昴〴戸㙥捡挰㍡㑦㠰慢愳っ慣昵〴戸〶捡挰ㅤ㥥〰㔷㍡ㄹ戸摤ㄳ攰㝡㈶〳户㤵〷㝡晤㍦敦搱㠹㠱</t>
  </si>
  <si>
    <t>㜸〱捤㥤〷㤸ㅢ搵昵昶昷慥扤攳ㅤ戹散〰㌶捤〶㙣㠳〱㘳㌰敡挵挱攰㙥㡣ㅢ戸㤱搰捣㐸ㅡ攱挵㕢捣敥扡搱㑣㈷昴ㄲ〸㈵昴㥡搰㥢改㠴搰㝢㉦愱昷ㅡ㈰㜴㐸愸摦晢摥戹㔷ㅡ捤捣敥㝡昳捦昷㍣搱㑡㘷攷㥥昳摥㜳慦㝥ㅡ㡤愴㤹㈳㑤㡤愸愹愹昹ㄵㄷ晥攷愵㌷ㄷ㠶捣㕤搹摥攱㌴㡦㥥搸摡搴攴ㄴ㍡ㅡ㕢㕢摡㐷㡦㙦㙢戳㔷捥㘸㙣敦攸〵㠱戱戰ㄱ昱昶扡㠵敤㡤晢㍢昵ぢ㤷㌹㙤敤㄰搵搵搴搴搷㥢戵㠸㙦愰㙥㤶㙥㤸散㘵昶愶㠱慡挶㌴㘸晡搰搴搳㤸㌴ㄱ㥡扥㌴晤㘸晡搳っ愰㘹愰戱㘸搶愲㔹㥢㘶ㅤ㥡㠱㌴㠳㘸搶愵㔹㡦㘶㝤ㅡ㡥㙦㙥㐸㌳ㄸ愶摦㄰㤸㜹ㄳ㈷捣捥敦㡢㝢㌳户愳戵捤搹㝡攸〲㜷捥㘳㘳戱搱昸㑢㈶戳愳愳㕢て㥤戸戴愹㘳㘹㥢㌳戶挵㔹摡搱㘶㌷㙤㍤㜴攷愵昹愶挶挲㜴㘷攵扣搶挵㑥换㔸㈷ㅦ㑤攴敤㘴㌶㤶㑣愵㑡戹㕣戶摦㐶挸㍣㙢攲㠴㥤摢㥣㔲晢㝦㉢攷挶捣㌹㝢攲㠴搱戳㥣㡥晦㔶捥㑤㤰ㄳ㈹㈷戵㌶摢㡤㉤晦愵愴㜵㝣㑣㔳㤳㥣㐲㈳ㅦ㝣挷㘹㙢㙣搹㘷㌴愶㕤〵ㅡ慤捣攸昱敤敤㑢㥢㤷㜰㍤㥡攸㌴㌵捤㜱㑡昲㐱㙦㥥搴摥戱戳摤搶摣摥慦㤹晣㥣㌶愷愵攰戴て㘸㥥扣愲攰㌴㈹㘱㝢㝤昳〲扢㙤㤶摤散昴收㐲㐳戳晢ㄸ㑥㉢㍡㉤ㅤ㡤ㅤ㉢晢㌷捦㙦㜷收搸㉤晢㌸㤴搴㌵㑦㕤摡㔸ㄴ扤㝢攳㕡搳㙢㡢戰㤹挹〷ち昳㘹㥥戸挸㙥敢㤰㉤㍥㠴戱㌰慤㘷㜵㤱昷愲㙡㕥㕣愵㠶晡㝡昱㌱㥢摢搸㍣摤㘹㙢㜱㥡㌸〸ㅦ挹㔱㍥㤱〴攴㍥づ㘵㔲晡敥昰㔱ㄲ㝤搵㤳㡦昷㠵愳ㄸ㐳㘱㌶㤸搵摡搶㡣ㄵ㜲愶㘳户㡣㡤㐵愳㕢捦敤㈸㑥㜲㤶㡤㡤愷捣㘱〸㥢挳㈹摣ㄴ愶敦㈴愷搹㙥㈹㡥㠹㘵攲㘳捣捤ㄸㅡ〱㈳㝡扦㠲攷戸㌷㌳㥦㘷戵ぢ敤摡㠵昹摡㠵㠵摡㠵挵摡㠵㑥敤挲㔲敤挲㝤㙡ㄷ㉥慡㕤搸㔸扢㜰摦摡㠵㡢愱搱㤷晡㍥㝤㙡搵愵慤搷愲挹㍦㕣戳摢搴㤳㘷㙥戹晣㠲㐹晤㉤挱愷戵摣㉡㙣㠱㠵㉥㘶扡㈵挲收㐸ㄸ㘳㉢㤸昲㑣搳㠹㌱收㈸㠶戶㠶ㄱ攲㌹捣㤴戳㥤扤敤㠳㈷㈶㡥㜹㘷晣㕦昷扥㝣捦㔹㠷㉦捣〸㙥㌸攴㌰愳戱搰挵㌰摢㌲㔷ㄴ挶㠸挱㤴㠷㐹㈵挷㤸㜱㠶ㄲ㌰㐲㍣慥㠶㌹㘸㤷㘹昵㌳晡昵㥢㝥晥㌷㉢慤戳慥㜳晥㈰戸㘹㤲挳愴戰搰挵㌰㘹收捡挰ㄸ㔹㤸昲㌰㤹攸ㄸ㌳挷搰ㄸㄸ㈱ㅥ㔰挳摣㜱昹愰晣慣戶㔵攳捦㝡昴捡昸昱慢收㕣㉥戸昱㤳挳㙣㠷㠵㉥㠶ㄹ换㕣摢挳ㄸ㍢挰㔴㠶㠹㡤㌱挷㌱㌴ㅥ㐶㠸扦慡㘱昶摢敥捣㐷捥扡㘰昷改㜷㡤㕥㝤搲㤹㍦晤戴愵攰㌳㑤づ㌳ㄱぢ㕤っ㌳㠹戹㈶挳ㄸ㔳㘰捡挳愴㜱㙦愶㌲戴㈳㡣㄰户愸㘱㘶愷㌶㝥㙢㔵晤敡改㜷つ挹摤昹搰捡挳てㄴ摣㠰换㘱㜶挲㐲ㄷ挳㑣㘷慥ㄹ㌰挶㑣㤸捡㌰改㌱收㉣㠶㘶挳〸㜱㥤ㅡ收昴摢挶㥣㜷晡㠵㠵㥤捥晤散戳㌷ㅦ㕥搶扡㤶攰㑢㠴ㅣ㘶ㄷ㉣㜴㌱捣ㅣ收㥡ぢ㘳捣㠳愹っ㠳㔵㘰㍥㐳ぢ㘰㠴昸㡢ㅡ挶㝡㙢捥㠶㈳㙥晡㜱敡挵㥦捦戹捡摡慡昵〸搱ㄷ㘱㌹捣㙦戱搰挵㌰扦㘳慥摤㘰㡣摤㘱捡挳㘴戰㐲敦挱搰㥥㌰㐲㕣愴㠶戹攰昳㉢敦扦愸晥换搹愷晦戶㑦㜶搷㠹挷ㅢ㠲㉦㜳㜲㤸㠵㔸攸㘲㤸扤ㄱ㌶㙤ㄸ㈳て㔳ㅥ㈶㥤ㄹ㘳ㄶㄸ㉡挲〸昱㈷㌵捣㍢ㅦ㙣昲㘴改捦㈷㑦㍢㜳㥢昶愲㜱昶慢㠳〵㕦㐸攵㌰㈵㉣㜴㌱捣㍥捣戵〸挶㘸㠴㈹て㤳挲㠶㘴㕦㠶ㄶ挳〸㜱㥡ㅡ㘶昴㘳㝤㐵挳㠴ㅤ㘶慥㍥㈰昳攳㈵㝢㍣戹㐰昰愵㕡づ搳㡣㠵㉥㠶㘹㘱慥㔶ㄸ㘳〹㑣㜹㤸㌴㔶攸晤ㄸ㙡㠳ㄱ攲〴㌵捣换㥢敤晣挳㈷摦㝦㌰晢戶㉢㥦㍥㝣㜰㜲敡㐰挱㌷〳㜲㤸づ㉣㜴㌱捣㔲收㕡〶㘳㉣㠷愹っ㤳ㅤ㘳慥㘰㘸㈵㡣㄰㐷愹㘱㡥㍦戸昷㜳摦晥昱摦㌳慥扥昱㠱㠵戵晤捦㝥㕥昰敤㠶ㅣ收〰㉣㜴㌱捣㠱捣㜵㄰㡣㜱㌰㑣㜹㤸ㄴ敥捤㉡㠶づ㠱ㄱ㘲㤵ㅡ收搳てㅥ晥昹改捦攷捣扡㘰昷㐷慥㤹昶昶〱搳〵摦搰挸㘱づ挳㐲ㄷ挳ㅣ㡥戰㜹〴㡣㜱㈴㑣㜹㤸㜴㙥㡣㜹ㄴ㐳㐷挳〸戱㐲つ昳㐳晢昳收㔷挳㠶捦㍡敡扡愷㜷摢㙥挶攳㘳〵摦㌲挹㘱㡥挱㐲ㄷ挳ㅣ换㕣挷挱ㄸ挷挳㔴㠶㐹㡤㌱㑦㘰攸㐴ㄸ㈱昶㔳挳㤸㕦敦㜱挹搳愵昳㈷ㅣ㜶摢昱ㄷ㑣ㅡ㘰㡤㄰㝣㔳㈶㠷㌹ㄹぢ㕤っ㜳ち㜳㥤ち㘳晣〱愶㍣㑣〶㑦捦搳ㄸ㍡ㅤ㐶㠸㝤搵㌰㔳て㑥㍤户捥搸㐹㍢摥戶挳㜶㥦㍦戸㕢㥦搷〵摦昶挹㘱捥挰㐲ㄷ挳㥣挹㕣㘷挱ㄸ㘷挳㔴㠶挱扤昹ㄳ㐳攷挰〸㔱㔰挳㙣戴敡敢㜵㉦㡦㉦㤹㜰㜱捤搳戵扢ㅥ㜵昳㠷㘲㄰挲㜲㤸昳戰搰挵㌰攷㌳搷〵㌰挶㠵㌰攵㘱㔲搸ち㕣挴搰挵㌰㐲散愱㠶㜹搶ㄹ昰收ㄱ㍢摢㌳敥扥昱㜱㜳敢戳㜶㙡ㄵ㝣敢㉡㠷戹ㄴぢ㕤っ㜳ㄹ㜳㕤づ㘳晣ㄹ愶㌲っ㌶㥤㝦㘱攸ちㄸ㈱收慢㘱摥㝦㜹晦扦晤㌰攷摣㜱㘷㕥扤昹扥愳㑦扡攵〰挱㌷挷㜲㤸慢戰搰挵㌰㔷㌳搷㌵㌰挶戵㌰㤵㘱戰戱戹㡥愱敢㘱㠴㤸愵㠶ㄹ㌹㝢攲㙢扢晣㙢昶愴攳㠷っ㝤攷㉦捦昵㍡㔹慣㡦戰ㅣ收㐶㉣㜴㌱捣㑤捣戵ㅡ挶戸ㄹ愶㌲っㅥ㥢㕢ㄸ扡ㄵ㐶㠸愹㙡㤸㑤㉦扥昸㤱摢㕦㝡㘴摣㌱晦㥥昲搴㔷㔷㝣戲㕡㙣㠰戰ㅣ收㜶㉣㜴㌱捣ㅤ捣㜵㈷㡣㜱ㄷ㑣㜹㤸㌴戶㘹㝦㘵攸㙥ㄸ㈱挶愹㘱㉥扡㝤摣愲㐹户㕣㍤昵昲扢ㅦㅥ昰挹改㍦ぢ戱㈱挲㜲㤸㝢戰搰挵㌰昷㌲搷㝤㌰挶晤㌰攵㘱㔲搸搸㍣挰搰㠳㌰㐲攴搴㌰晢敤扤搷挸〵挵挳愷ㅥ㍤㜰挶敢㈳㕦㑤㑥ㄵ㠳ㄱ㤶挳㍣㡣㠵㉥㠶㜹㠴戹ㅥ㠵㌱ㅥ㠳愹っ㠳慤挰攳っ㍤〱㈳㐴㕣つ昳搲㈳㥦㍥㌴昳挴扤㈶ㅥ㥤晢攴㕦敤㌷摥昵㐶扦愷㄰摥㐵扤扢㥣搴㘶㉦挷晢昵捡㐷㠱昸攸㈸晦扡晦っ㠴㡦㐰愵㔴㈹㔳㡡挵㡡愹愸㥤戰敢㠶㈱敤㥡扥搹收㘶戵㕦㘹搷挶㤶㘲敢㜲昹敥㝢挸〴扢摤愹扣ㄹㅦ愵㘲ㄳ㕡㤷戶ㄴ摢〷㠷〷攷㜶搸ㅤ捥㠶晥㔸㈵㐹愰摢㕣㝣㌶㜱摡攵㜸ㅢ晢扢㉤戰㥢㤶㍡攳㔷㌴扡攱㡤㝣㘱㝣㌲㘹捤㜷ㅥ㥤搲收散㔷㡥〶㘶㌴ㅥㅦ㥤㤷挹摣㠱㝢改㠶摣㜹つ㥤戸愸戵摤㘹㤱搳ㅢ搵扣㜳㘳㘱戱搳㌶搷攱〷㙦愷㈸敦敡㈰㠶搴挷愳㔱戳㕢㜰㐷昱㠱愷㌸摣敢㉤㑤㕥搱攱戴ㄴ㥤㈲收扢挴㘹敢㔸㌹捦捥㌷㌹敢㔶㐹摣㌱ㄱ搸愰捡㍤愵戵戰戴㝤㘲㙢㑢㐷㕢㙢㔳㜵㘴㝣㜱㤹㡤㡦㘴挵㤹慤㐵〷㥦愸㝡昳㔲㈳㙡㝡昵ㄲ愲㘶慢戰㡦㌵捣摢㍥㕡㍥㄰㥥㠷㜸㈳㍣收敢㔷慦㜶愳攷攰摥攱㕥㌴㌹㕣㈷㙢㌷敢㈶㤹捣换㌴㈳㍢ㄷ㝡敥ㄳ昷㔲㔰扤㘵攷㙡㌹挷昲㈳昷晦㔷㕣㕢扢㡥扡昷㤳㤷攱㘳敢㡥昸㜸搶攴戴㜵戹㡦㐵㜰㐶收搳㌰㜵摢攲搹摣㈹扤摥㔰㠸ㄵ㘲㘵摤昲挶㘲挷㈲㘳㤱搳戸捦㈲扥㉦挲㝥㤸晡㝡愲つ㕣捣㘷攱㌲㥦愳㜹ㅥ㈶ㄲ愹㌱㕥愰挸㠸㤸㉦扡敤扡攱昸摦昳て挴戵攸㘵捡て攰搸㕢搲㕥搷㍣愵戵慤扤㔷慦戰㝢戹愳摤扥愸㠳慢㘷搷㐱收晢㍢捤㑢㌰㜵㥢挱㜴晢㜹扢〱愲摥摣慤搰扦㜹㤲㔳戲戱㌳㐷㍥扢㠵㕤搷散敥ㅦ㤸攴戴ㄷ㑣敥㐸㤸㠶攷捡ち〳㑢㜸昲昷㙢收摡敦慣攸㤸㘴㜷搸㝤㥡戱㑢〲㡦㤲〹搱㈸搹换㕤㘲捦晥搲愷㝢㐷㔴ぢㄹ㉣戹攸挹搲㔷㍡摣㑣㜸攲攰昹㔲搳㑢搹慥敦〴收扥㌱敥㠴攱㕦搱慢㜷㉤㘰㡦㐷㜱慡搳㌲㙦攵ㄲ愷㥤昲㝡愳㑢㤴晥愷ㄷ㤳捤㉥攴攷㜷㌴㌶戵㡦挶㑣愷戶戵㉥㕤昲摦捣挳㕣收换㌰晡㔲户㌹搶攲㌵扦㑦挰㔵搳㘷ㄹㅦ㥢㠵ぢ㙢敡㤹㡤ㅥ㜳㔳ㅡ慥慤㐸昶㉢晥挹㡢昹㍡晥㐵扡㡡搵㡤㠰㘲㔴搸戶愰㤳摤㌰㜵搰昷㙢〶愱㜹㙤㡥摣戱㔴㉦ㅢ愰摤扦㜹搷搶戶挵昹搶搶挵㕣㥦〶挸㔶晢㈲挷改攰捥㥡扥㙡攷㤴摣〹㈵㐴慦㕥㔵晢㕢㍣㝢㜵㌶㐱㝥攳㙤㤸晥攳㥢㥡㠶敡㡣敤挶㍢㜰昵挲㙥㈳攳㕤㉣っ㤹摤㔶㜴摡戶㤹扦㘴㥢㜹慤㐳戱㔷㘹㘹㤳敤敥㠸㕤搱搴扥㐲っ〱〱敥㈴戹㘵㐴改攰㐷〷扥㌲晥摣ㄹ㜵㑦晥收㤸㉤㙤㌱㔸〵〲㍢㘹戶㐴捥㘱戸㤹ㅦ挰㠸つ㈰攳㤶〵换搵ㄷ昳㈳戴捤㡦㘹晥〱㠳敤㠳㈴㡥捤挳愷㙥㔳㡣挴㝦㙥㈲捣捦㘸晥〹㈳㐶挱昰〹㙡㝥づ愳㉦挲㐲㝥㍥敥昲戱摢ち敥攰㘳昷㌵扣ㄱ戳㡢㤸搸ㅡち㍥㝥㈶㜹㤹㈴㘴㤲㡥㌰㤰㌸ㄴ㐰㥤ち〴㜶ㅦ㙤㡢㙥ㄲ挰㑦散摦ぢ戲㜰〰扦㜰っ㠲㌱戹搶㜹〰搴扡㑤ㄱ㐵㑣〲攸〵㠷挹ㅤ收㈲づ㤷〴㔰㠷㤶扥㠸ㅦ㝥昱〰㠸挱ㅤ〴㘰㌲愷搹㐵㑣㈴搰㉦っ挰ㄷ㐸ㅥち攰㜳ㄵ〸散搸㑡㈳搳㌰捥㘲㙤㑥昹㌳挸挲〱っ㐴搸ㅣ㐴戳㉥㡣〷挰晡㙥㔳㘴㤰㐴〲搸㠰愲つ㘱㐴づ㉥〹㘰㌰㕡晡㈲摥昳〲挸挲ㅤ〴戰〹㜳㥡㕤挴挴ㄸ昴ぢ〳昰㑡㘷〰㕥㔶㠱挰㉥户戱挸㌴㡣戳搸㤲㔳晥㝢愷〰戶㐲搸ㅣ㐵戳㌵㡣〷挰㘸户㈹戶㐷ㄲ〹㘰㕢㡡愲㌰㘲ㅣ㕣ㄲ㐰っ㉤㝤ㄱ㑦㝡〱散〰㜷㄰㐰㡡㌹捤㉥㘲㘲㍣晡㠵〱戸扦㌳〰昷愹㐰㘰㘷攰㈴㘴ㅡ挶㔹㙣㡦㐱挵㍤㥤〲ㄸ㠷戰㌹㥥㘶〲㡣〷挰㈴户㈹㈶㈳㠹〴㌰㤹愲㈹㌰㠲㝢〹㈵㠰愹㘸改㡢戸搵ぢ㘰ち摣㐱〰搳㤹搳散㈲㈶㜶㐴扦㌰〰搷㜴〶攰㙡ㄵ〸散愶㥣㡥㑣挳㌸㡢㜹㥣昲㤵㥤〲㔸㠰戰戹㉢捤㙦㘱㍣〰㜶㜳㥢㘲〶㤲㐸〰扢㔳戴〷㡣㤸〵㤷〴戰㈷㕡晡㈲㉥昲〲㤸〹㜷㄰㠰捤㥣㘶ㄷ㌱㌱ㅢ晤挲〰㥣搹ㄹ㠰㌳㔴㈰戰〳㜵づ㌲つ攳㉣昶攵㤴㑦敦ㄴ㐰ㄳ挲㘶㌳㑤ぢ㡣〷挰ㄲ户㈹收㈲㠹〴戰ㅦ㐵㙤㌰㘲㍥㕣ㄲ㐰㍢㕡晡㈲㡥昷〲㤸〷㜷㄰挰㜲收㌴扢㠸㠹〵攸ㄷ〶攰戰捥〰ㅣ慡〲㠱㕤扢扦㐳愶㘱㥣挵㈱㥣昲慡㑥〱ㅣ㠶戰㜹㌸捤ㄱ㌰ㅥ〰㐷戹㑤戱ㅢ㤲㐸〰㐷㔳昴㝢ㄸ戱〷㕣ㄲ挰㌱㘸改㡢㔸收〵戰㍢摣㐱〰㈷㌰愷搹㐵㑣散㠹㝥㘱〰㥡㍡〳戰㔸〵〲㍢㥤昷㐶愶㘱㥣挵ㅦ㌹攵挶㑥〱㥣㠹戰㜹ㄶ捤搹㌰ㅥ〰攷戸㑤㘱㈳㠹〴㜰㉥㐵攷挱㠸〲㕣ㄲ挰昹㘸改㡢搸摢ぢ㈰て㜷㄰挰挵搰㐷捣㉥㘲愲㠸㝥㘱〰ㄶ㜴〶㘰扥ち〴㜶㠷㜳㌷昷㌰捥攲㉡㑥㜹㙥愷〰慥㐱搸扣㤶收㍡ㄸて㠰ㅢ摣愶㔸㠴㈴ㄲ挰㡤ㄴ摤〴㈳昶㠵㑢〲㔸㡤㤶扥㠸㥤扣〰ㅡ攱づ〲戸㡤㌹捤㉥㘲㘲㌱晡㠵〱ㄸ搷ㄹ㠰ㅤ㔴㈰戰愳扥〵㤹㠶㜱ㄶ昷㜲捡㘳㍢〵㜰㍦挲收〳㌴て挲㜸〰㍣散㌶㐵㉢㤲㐸〰㡦㔰昴㈸㡣搸て㉥〹攰㌱戴昴㐵㈴扤〰㤶挰ㅤ〴昰ㄴ㜳㥡㕤挴㐴ㅢ晡㠵〱搸慡㌳〰㈳㔵㈰㜰〸㘱㈹㌲つ攳㉣㕥攲㤴户攸ㄴ挰㉢〸㥢慦搲扣〶攳〱昰㠶摢ㄴ换㤰㐴〲㜸㤳愲户㘰挴ち戸㈴㠰户搱搲ㄷ戱戱ㄷ挰㜲戸㠳〰摥㘷㑥戳㡢㤸㔸㠹㝥㘱〰〶㜶〶㘰ㅤㄵ〸ㅣ摣㌸㄰㤹㠶㜱ㄶ晦攴㤴搷敡ㄴ挰ㄷ〸㥢㕦搲㝣〵攳〱昰㡤摢ㄴ〷㈱㠹〴昰㉤㐵摦挱㠸㔵㜰㐹〰摦愳愵㉦愲摥ぢ攰㘰戸㠳〰㝥㘴㑥戳㡢㤸㌸〴晤挲〰晣昲㜳㈷㙦㠵㝦㔶㠱挰㘱㤷挳㤱㘹ㄸ㘷搱扢ㄶ㔳晥ㄱ戲昰户挲〶挲㘶ㅦ㥡㝡ㄸて㠰㠸摢ㄴ㐷㈰挹㜰㈶敡㑢㔱㍦ㄸ㜱ㄴ㥡ㄲ㐰㝦戴昴㐵㝣㠵㌱捡ㅦ㠶㡥㠴㍢〸㘰㉤攸㈳㘶ㄷ㌱挱愳㍣㘱〰㍥敡っ挰㠷㉡㄰㌸㈰㜴㉣㌲㐹〰ㅢ㜲捡敦㜷ち㘰〸挲收㐶㌴ㅢ㜳㜶㤵㑦㠳㐳摤愶㌸づ㠹㠶昳敥っ愳㘸㌸㡣㌸〱㑤〹㘰㔳戴昴㐵扣收〵㜰㍣摣㐱〰㕢㐰ㅦ㌱扢㠸㠹ㄳ搱㉦っ挰戳㥤〱㜸㐶〵〲㠷慡㑥㐱㈶〹㈰捡㈹㍦搵㈹㠰㌸挲㘶㠲㈶挹搹㔵〰愴摤愶㌸ㄵ㠹㠶昳敥㘴㈸捡挲㠸搳搰㤴〰㜲㘸改㡢㜸搰ぢ攰て㜰〷〱㡣㠵㍥㘲㜶ㄱㄳ愷愳㕦ㄸ㠰㍢㍢〳㜰㠷ち〴づ愲㥤㠹㑣ㄲ挰ㄴ㑥昹戶㑥〱散㠸戰㌹㡤㘶㈷捥慥〲㘰㠶摢ㄴ㘷㈱搱㜰摥㥤㤹ㄴ捤㠲ㄱ㝦㐲㔳〲㤸㡤㤶扥㠸敢扣〰捥㠶㍢〸㘰㉥昴ㄱ戳㡢㤸㌸〷晤挲〰㕣搶ㄹ㠰㑢㔵㈰㜰㜸敦㝣㘴㤲〰昶攰㤴㉦敥ㄴ挰㕥〸㥢ぢ㘹昶收散㉡〰昲㙥㔳㕣㠰㐴挳㜱㌳ぢㄴㄵ㘱挴㐵㘸㑡〰づ㕡晡㈲捥昶〲戸㄰敥㈰㠰㐶攸㈳㘶ㄷ㌱㜱㌱晡㠵〱㌸戹㌳〰㈷愹㐰攰挰攳㘵挸㈴〱戴㜱捡㈷㜴ち愰〳㘱㜳㈹捤㌲捥慥〲㘰㠵摢ㄴ㍣㈸㌹㥣㜷㘷㈵㐵晢挳㠸扦愰㈹〱ㅣ㠰㤶扥㠸㈳扣〰晥っ㜷㄰挰㉡攸㈳㘶ㄷ㌱㜱〵晡㠵〱搸扦㌳〰㉢㔵㈰㜰㐸昴㙡㘴㤲〰㝥捦㈹㉦敦ㄴ挰戱〸㥢挷搱ㅣ捦搹㔵〰㥣攸㌶挵㌵㐸㌴㥣㜷攷㈴㡡㑥㠶ㄱ搷愱㈹〱㥣㠲㤶扥㠸ㄶ㉦㠰㙢攱づ〲㌸ㅤ晡㠸搹㐵㑣㕣㡦㝥㘱〰㡡㥤〱㈸愸㐰攰㘰敤㑤挸㈴〱㥣挷㈹摢㥤〲戸〰㘱昳㐲㥡㡢㌸扢ち㠰㑢摣愶㔸㡤㐴挳㜹㜷㉥愵攸㌲ㄸ㜱ぢ㥡ㄲ挰攵㘸改㡢昸慤ㄷ挰捤㜰〷〱㕣〹㝤挴散㈲㈶㙥㐵扦㌰〰戳㍡〳㌰㔳〵〲㠷㤱敦㐰㈶〹攰㈶㑥㜹㝡愷〰㙥㐶搸扣㠵收㔶捥慥〲攰㜶户㈹敥㐴愲攱扣㍢㜷㔰㜴㈷㡣昸㉢㥡ㄲ挰㕤㘸改㡢㤸攰〵㜰ㄷ摣㐱〰昷㐰ㅦ㌱扢㠸㠹扢搱㉦っ㐰戶㌳〰ㄹㄵ〸ㅣ攰扥ㄷ㤹㈴㠰㐷㌹攵㔴愷〰ㅥ㐷搸㝣㠲收㐹ㄸて㠰愷摤愶戸て㠹㠶昳敥㍣㐳搱戳㌰攲〱㌴㈵㠰攷搰搲ㄷ戱戵ㄷ挰晤㜰〷〱晣ㅤ晡㠸搹㐵㑣㍣㠸㝥㘱〰㠶㜷〶㘰㤸ち〴づ扤㍦㠲㑣ㄲ挰㕢㥣昲㈶㥤〲㜸〷㘱昳㕤㥡昷㌸扢捡ㅡ昰㠱摢ㄴ㡦㈲搱㜰摥㥤て㈹晡〸㐶㍣㡥愶〴昰㌱㕡晡㈲搶昵〲㜸っ敥㈰㠰捦愰㡦㤸㕤挴挴ㄳ攸ㄷ〶愰㕦㘷〰晡慡㠰扦㈸愰敥㘹㘴敡挱挱摣扥㥣㜰㘹㐱愳戳㥣㐷㥦〶㤴㔰㝦㍢㜱㘹㝢㐷慢㍣㔴搶扦㌴愹㜵㔶㙢挷愴挶昶㈵㑤昶捡㜵㑡㙡㘱搷㐵㑥ぢづ㘴户攱㜸戶捦搷扡㘴㠹㔳㌴㑢㜳㕢㤷戶ㄵ㥣㘹㤳晥ㄷづ㜴攳晥攱愱㤳挷戸㙢〵㉥晦搹戱摢ㅡ昴挴㕡㠲㑢㑤摤戳㐸攸㍦〴㈷慢㠰㍤㠷换攵愲〵㘱㐳㠵攸扣挶㡥㈶愷㙦㐹ㅥ慡㤶换昵㈵㔰㐴㜵㐰戱㑦㘹摥㈲ㅣ㥡㥡搴扦㌴戵慤戱搸搴搸攲昰挱ㄸ攸㑡㘷㌸晢愰ㄲ㘰攷搶昶㐶ㅥ㉦敡㕦㥡搷㘶户戴㉦攱㐱捤挲捡戵慢㕡昲攸㘷㕤㘹㐲㘳㑢㍢㠶㤱㡦㈲㤷ㅢ㑡㜳ㄷ戵㉥㐷敤晦搲收㤶愹昶㤲昶晦㠹㐷㐵昰㘱㤱ㄷ昹搰㠸㕡㔱㕢㉢敡㙢敢晦搳挷挷昸づ捦戱㜵摣慡敡愱㔸㑦㍢摡ㅡ昳㑢〹㑣㡥ㄱ㠷敤㑤㈳ㅦ挳㥡扡攷戰攴㍦㝣改㜹〸㝤戵〷㥣㙢㔵㑤㝢攸㘱昰昲ㄷ㉡㌶㠲摣晣ㅥ搳改昷㉦㤸㥤愶捥㥦㔶愹捡昹㍦㝤㍢愱敥㜹㘴㕥攳㈲㠸㐱㄰て㜰㔷㈱ㄶ㐶㜰㡤挲㌳ㄳ㙢〲㕢晥搵㌲㔲㤲ㅡ慥愱〳㉡㡢㔳㜰ㅣ扤㕦㘹㠶㥤㜷㥡㜰昸扦搹敥ㄸ攰㌶㜸散ㄵ搵敢敤㉡㌶戱戵戹搹收㉡挷ㅡ晣戹〵扢挹愹㉦㡤㕦摡搱㍡戳戱挵㉣挱挸昵㔲戹散ㄵ㜰搹㉢摣〳昵愵㌹㉣ぢ㤲换捣搵扡㡦摤搶搸戱愸戹戱㔰捦〶㑢㜷晥㈷搶㔵㙣㍦㝡〳愶扥攸㙤㠹晦挸扦㝢晣ㅤて昷㘸ㄴ换㄰ㅤㅦ㝥慣搱戵挲挰㥦昸て慢㐶戰攵㤱㉦㈸收て挸㔶㠷㥢摣ㄴ挹戹㝣㈱て挵㘲昱㡢㔵㔸㐵攵挶㐹扣㐸〱㙥收㡦㤰㜲㠱户摥㝦㠷改戲愴愰て〴㤱ㄹ慤㜶㜱㡡㕤挰昷㘹晡愸㙦搳搴攳愱攵愶愶捤㘲㤱挷㐴搴つ愱ㅥ㘹㔹㈳づ㘴搷搳㌱ㄷ摦ㄶ敡捤昲㄰挳㝤っ㜱戸扢㔷㑤㕤㕤摦晡戰戱愶改㕣㥢愹㐳攷摥㙦㈳㑤ぢ攴晦㜴㤷散づ扣户㤱㠸㝣㠹晡〹换收捦扣㑦㉦挱挹晢攳ㄳ晣㐲挱慦㌰㜵㉦㈳攸㝦㙣慡敢㉤㔰㤵㘱㐲搴㕢㝥て㠵㤵㈰昵愸㥡㤰㈵㈴㜵昲㡥昴昵㤴㝥ㄸ㙥搵㐷扤晥㜲㡢㌱ㄷ㙢戹㔳㡣戸摢㔷㤶㤸攰㤵愱愶戶戶㌷ㅥ㙡挳㕦㌶ㄷㄸㄶ挹㥡攷㍡戲㈶㐴㙣㡣㈹ㄸ慣ㄳ㕣㠷㑦ㄶ攴㕦攸晤慥挷ぢ㠸攲㤸昶慦昸㈷㉦㤱㠸㔹ぢ㙤㑤㐴扣づ慢〱昴愳挷㈵〴昴搸晦〵㈳㍥㠰㤳㙦〳㍣㉦㕡攲㈳㌴昹挲㠵扤㝡㘰㈴㉦扥㡤愲昸ㄸ㕥㙥ㄸ㑤㠳㐹晥㠱㈵㙥㙦捡敢㕦㍤扣摤慦㝦㥦戲〷㙥㈶扦㈱愶搷㍦昱ㄹ㍣㝡捡ㅣ㕥㑤㌹〲㡤搹㤷挲㝦㠶ぢ晡㔱搰㥦㠲捦㈱攰〳㙢っ㐰㉢〰㡣㕦㌹〹〱㘶㐱ぢ㘰㕦㝢㤲㝢㠰慤挵攴㙢㌳昹㑦㄰昸㠱晤〲㕦㌷挰昸搸㐸㘰〳㤹㠴昷戶ち搸扡昰㜶て慣ㄶ摤㈴戰昵㘴ㄲ户㈱㔸㡡㄰〲㙣㝤㘸捣つ㈸㘴㤹㐲㠸㘰㐳ち〶㔳挰捡〵〹㙣〸㕡〱㘰晣昲㑣〸戰㡤愱〵㌰㔶㌱攸攴ㅥ㘰㥢㌰昹㔰㈶㘷挵㠱ㅦㄸ换っ扡〱挶㈲〴〹㙣㌸㤳戰ㅡ愱ち搸㘶昰㜶て㡣㔵ぢ戸攲㡢㔰㑣㠲〵㜹㘳改㠲㥥戲㘷つ摢ㅣㅡ㜳ぢち㔹搶㄰㈲搸㤲㠲㤱ㄴ戰搲㐱〲摢ち慤〰㌰㝥つ㈸〴搸搶搰〲搸㈶㥥攴ㅥ㘰摢㌰昹㘸㈶㘷㠵㠲ㅦㄸ换ㄲ扡〱挶愲〵〹㉣捡㈴慣㕥愸〲ㄶ㠷户㝢㘰慣㜲挰ㄵ扢㍤㤹㐴〳㘳愹㐳〸㡦㈴㌴㘶㡡㐲㤶㐱㠴〸搲ㄴ㘴㈸㘰㘵㠴〴㤶㐵㉢〸っ摦㤸〸〱㌶〶㕡〰㘳㤵㠴㑥敥〱昶ㅢ㈶摦㡥挹㔹搱攰〷㌶づ扥㙥㠰㡤㠷㐴〲摢㥥㐹㈶愰㔵〵㙣ㅣ扣摤〳㘳㔵〴慥㈸㤹㘰ㄲつ㡣愵ㄱ㝡捡㥥㌵㙣〲㌴收㐴ち㔹㌶ㄱ㈲㤸㐴挱㘴ち㔸㐹㈱㠱㑤㐱㉢〰㡣㕦捤ち〱戶㈳戴〰挶慡ち㥤摣〳㙣ㅡ㤳敦挴攴慣㠰昰〳㘳搹㐳㌷挰㔸ㄴ㈱㠱捤㘰ㄲ㔶㐷㔴〱㥢〵㙦昷挰㔸㐵㠱㉢扥敥挵㈴ㅡㄸ㑢㈹昴㤴㍤挰㜶㠶挶摣㠵㐲㤶㔹㠴〸收㔰㌰㤷〲㔶㕥㐸㘰昳搰ち〲挳㌷㈵㐲㠰㉤㠰ㄶ挰㙣㑦㜲て戰㕤㤹晣户㑣捥㡡〹㍦㌰㤶㐹㜴〳㡣㐵ㄴㄲ搸㙥㑣挲㙡㡡㉡㘰㝢挰摢㍤㌰㔶㕤攰㡡㙦㤴㌱㠹〶挶搲㡢㄰ㅥ㝢㐱㘳㉥愴㤰㘵ㄹ㈱㠲扤㈹戰㈹㘰愵㠶〴㤶㐷㉢〸㉣㝣愳㕦㠴ㄶ挰㔸戵愱㤳㝢㠰㌹㑣㕥㘲昲㐳㈰昰〳㍢っ扥㙥㠰戱攸㐲〲㕢挴㈴慣扥愸〲戶㉦扣摤〳㘳㤵〶慥昸搲ㅡ㤳㘸㘰㉣搵搰㔳昶慣㘱㑤搰㤸捤ㄴ戲㡣㈳㐴搰㐲㐱㉢〵慣散㤰挰㤶愰ㄵ〰挶㉦晥㠵慣㘱㙤搰〲ㄸ慢㍣㜴㜲て戰㜶㈶攷户敡〵㉢㌲晣挰㔸㠶搱つ㌰ㄶ㘹㐸㘰换㤸㠴搵ㅡ㔵挰㔶挰摢㍤㌰㔶㜵攰㡡㝤昸㑣愲㠱戱戴㐳㑦搹〳㙣㝦㘸捣〳㈸㘴搹㐷㠸攰㐰ちづ愲攰㝣〸㈴戰㠳搱ち〰攳㔷ㄸ㐳㠰ㅤ〲㉤㠰戱㉡㐴㈷昷〰㍢㤴挹て㘳㜲㔶㜰昸㠱戱㙣愳ㅢ㘰㉣敡㤰挰㡥㘰ㄲ㔶㜷㔴〱㍢ち摥敥㠱戱ち〴㔷㝣昵㡥㐹㌴㌰㤶㠲攸㈹㝢㠰晤ㅥㅡ昳ㄸち㔹㈶ㄲ㈲㌸㤶㠲攳㈸㘰攵㠸〴㜶㍣㕡〱㘰晣㌲㘶〸戰ㄳ愱〵㌰㔶㤱攸攴ㅥ㘰㈷㌱昹挹㑣捥㡡て㍦㌰㤶㜹㜴〳㡣㐵㈰ㄲ搸愹㑣挲㙡㤰㉡㘰愷挱摢㍤㌰㔶㡤攰㡡㙦昷㌱㠹〶挶搲ㄱ㍤㘵て戰㍦㐲㘳㥥㐱㈱换㑡㐲〴㘷㔲㜰ㄶ〵慣㌴㤱挰捥㐶㉢〰㡣㕦㉢つ〱㜶づ戴〰挶慡ㄳ㥤摣〳散㕣㈶㍦㡦挹㔹㈱攲〷挶戲㤰㙥㠰戱㘸㐴〲扢㠰㐹㔸㍤㔲〵散㈲㜸扢〷挶㉡ㄳ㕣昱〵㐲㈶搱挰摥挴㤲㥥戲〷搸㈵搰㤸㤷㔲昸㔶戸攰㌲ち㉥愷攰㙤〸㈴戰㍦愳ㄵ〴㠶敦慣㠵〰扢〲㕡〰㘳㤵㡡ㅥ摤〳散㑡㈶扦㡡挹㔹㔱攲〷挶㌲㤲㙥㠰戱挸㐴〲扢㠶㐹㔸㙤㔲〵散㍡㜸扢〷挶慡ㄴ㕣昱ㅤ㐵㈶搱挰㔸㥡愲愷散〱㜶〳㌴收㡤ㄴ戲㙣㈵㐴㜰ㄳ〵慢㈹㘰㈵㡢〴㜶㌳㕡〱㘰晣慡㙦〸戰㕢愱〵㌰㔶戵攸攴ㅥ㘰户㌱昹敤㑣摥ㅢ㜳昲〳㘳搹㐹㌷挰㔸㤴㈲㠱摤挹㈴慣㑥愹〲昶㔷㜸扢〷挶㉡ㄶ捣て㕦㠳㘴ㄲつ㡣愵㉣㝡捡㔸搴ㅦ扥晦〶㡤㜹て㠵㉣㜳〹ㄱ摣㑢挱㝤ㄴ戰昲㐵〲扢ㅦ慤〰㌰㝥㘹㌹〴搸㠳搰〲ㄸ慢㘰㜴㜲て戰㠷㤸晣㘱㈶㘷挵㡡ㅦㄸ换㔴扡〱挶㈲ㄶ〹散㔱㈶㘱㌵㑢ㄵ戰挷攱敤ㅥㄸ慢㕥㈴戰㈷㤸㐴〳ㅢ〶慦㥥㌲ㄶ㌵戰㈷愱㌱㥦愲㤰㘵㌱㈱㠲愷㈹㜸㠶〲㔶捡㐸㘰捦愲ㄵ〴㠶㉦挵㠶〰㝢ㅥ㕡〰㘳搵㡣㑥敥〱昶〲㤳扦挸攴慣㜰昱〳㘳㔹㑢㌷挰㔸昴㈲㠱扤挴㈴慣㝥愹〲昶ち扣摤〳㑢愳㥢〴昶㉡㤳㘸㘰㉣㤵搱㔳挶愲〶昶ㅡ㌴收敢ㄴ㘶挳〵㙦㔰昰㈶〵慣慣㤱挰摥㐲㉢〰㡣㕦㈴て〱昶づ戴〰挶㉡ㅢ㍤扡〷搸扢㑣晥ㅥ㤳戳㈲挶て㡣㘵㌰摤〰㘳㤱㡣〴昶〱㤳戰㕡愶ち搸㐷昰㜶て㡣㔵㌵ㄲ搸挷㑣愲㠱戱戴㐶㑦ㄹ㡢ㅡ搸㍦愰㌱㍦愱㤰㘵㌷㈱㠲㑦㈹昸㡣〲㔶攲㐸㘰晦㐴㉢〸㉣㝣つ晢〲㕡〰㘳㔵㡥㑥敥〱昶㈵㤳㝦挵攴慣愰昱〳㘳搹㑣㌷挰㔸㔴㈳㠱㝤挳㈴㝢愳㔵〵散㍢㜸扢〷挶㉡ㅣ〹散㝢㈶搱挰㔸㡡愳愷㡣㐵つ散㕦搰㤸晦愶戰ㄸ㉥昸㠱㠲ㅦ㈹㜰㈰㤰挰㝥㐲㉢〰㡣㕦敥て㔹挳㝥㠱ㄶ挰㔸挵愳㐷昷〰晢㤵挹㙢㜰㘸㐰戰攲挶て㡣㘵㌶摤〰㘳ㄱ㡥〴㠶扤挷㌵㘲ㄹ㕡㔵挰昰敤摣㌵〰戶〲摤㈴戰㍡㈶搱挰㔸扡愳愷㡣㐵つ捣㠰挶散㐳㈱换㝡㐲〴昵ㄴ昰㠷扤〴㉢㝤㈴戰〸㕡㐱㘰攱ㅦ扥晢㐱ぢ㘰慣晡搱挹㍤挰晡㌳昹〰㈶㘷㠵㡥ㅦㄸ换㜲扡〱挶愲ㅤ〹捣㘲ㄲ㔶敦㔴〱㕢ㅢ摥敥搷㌰㔶昹㐸㘰敢㌰㠹〶挶㔲ㅦ㍤㘵㉣㙡㘰〳愱㌱〷㔱挸㌲愰㄰挱扡ㄴ慣㐷〱㉢㠳㈴戰昵搱ち〲ぢ晦㘸戴㈱戴〰挶㉡㈱㥤摣〳㙣㌰㤳て㘱㜲㔶昴昸㠱㕤〰㕦㌷挰㉥㠴㐴〲摢㤸㐹㔸敤㔳〵㙣㈸扣摤〳㘳㔵㤰〴㌶㡣㐹㌴戰㑢攱搵㔳挶愲〶㌶ㅣㅡ㜳㔳ち㔹㌶ㄴ㈲搸㡣㠲ㄱㄴ戰㤲㐸〲摢ㅣ慤㈰戰昰㙤搸㤶搰〲ㄸ慢㡡㜴㜲て戰㤱㑣扥ㄵ㤳戳〲挸て散㘶昸扡〱挶愲㈰〹㙣㙢㈶戹ㄵ慤㉡㘰愳攱敤ㅥㄸ慢㠸㈴戰㙤㤹㐴〳㘳㈹㤱㥥㌲ㄶ㌵戰㈸㌴㘶㡣㐲㤶ㄹ㠵〸攲ㄴ㈴㈸㘰攵㤱〴㤶㐴㉢〰㡣㍦㠲ㄱ戲つ㑢㐳ぢ㘰昷㜸㤲㝢㠰㘵㤸㍣换攴慣ㄸ昲〳㘳㤹㔰㌷挰㔸㐴㈴㠱㡤㘱ㄲ㔶ㄳ㔵〱摢づ摥敥㠱戱敡㐸〲ㅢ换㈴ㅡㄸ㑢㡦㐲㜸㙣て㡤戹〳㠵㉣㑢ちㄱ㡣愳㘰㍣〵慣㔴㤲挰㈶愰ㄵ〰挶㥦昳〸〱㌶〹㕡〰㘳搵㤲㑥敥〱㌶㤹挹愷㌰昹㕢㄰昸㠱戱慣愸ㅢ㘰㉣㍡㤲挰㜶㘴ㄲ㔶ㅦ㔵〱摢〹摥敥㠱戱㑡㐹〲㥢捥㈴ㅡㄸ㑢㤵昴㤴戱愸搷戰ㄹ搰㤸㌳㈹㘴ㄹ㔳㠸㘰ㄶ〵戳㈹㘰㘵㤳〴戶㌳㕡㐱㘰攱敦昴攷㐰ぢ㘰慣㜲搲挹㍤挰收㌲昹㍣㈶㘷㑤㠴㥣昴㝣戶搴愴敢㜸㕣摢㝦戸㌶㜰㈸㕤㡥㔰攲㐱昵戹ㅤ㉢㥢㔰挸挰㐵ㅥ扥㜵㤷㜸㈰㍡㈲㝤㌸愸摣摡㠶㠳㘳扤晤扦戱㔰敥晢ㄴ〶敥㍢搰昷晢ㄵ戲ㅢ㈳㍣㘶㕦㜷挵㡦挱摦㘸㈸昷攷挴㉢㕦㘶㘷ㅦ㕥㡣㕤㌱挵㠱㌳ㅢぢ㙤慤敤慤愵㡥愱㜳㔱愴㌳㤴扦〷㔲慡愹㠹㡥慦晢㌳㌲㠶㡥挹㍢搶扢㠵㍦㜶戸㡣摦㡦㡦㉣㙥㘹㕤摥㈲㘷㔳搷捥㥦㐵㤱扣晡昴攱㌰ㄱ㡥挳换愶㠰㘷昱昸㍥㍢㥢扦㠳敤摦换攲〱㜲㕣㙢㡣摤搰ㅥ㌱㜱挲挴㌹ぢ昳戱慣㘳㐷㔳挵㜴㈹㥢㑤ㄶ㤲搹扣㙤㤷ち㜹㍢㔳捡收㡢挵㔸㈹㙥散㕥㤶收ㅣ㍢㥦挸摡挵㥣㥤㡤㈶㘳㤹㔸摥㠹攵昰戳㠴㠹㐴捡㜱㌲㤹㕣挶攲愱㜷愶㌷昷㐰ㅦ㜳㑦ㄸ㡢㐷摣愵㙢㉦扡ㄶ搲挵攳敦搵慡扡㕡扣㐹㕡搳挳攲㐸㔱㈳昲愲㈰㡡挲改摤愷㡦ㄸ攱晢㤲㝦攰㜰㝡昹ㄷㄳっ㠳㐷搳敢捥〳收㌵敢㔴晤㈸戲㌳摦敡㤹〵摥㤵㈲㑣挴敡〵〷㝤㠶㠳收㕡ㄳ㈷㉣慣晥愹㑡愳〴㜷㍦戸㘵挵〰㝥〳戳摤搸〷㥥〱昰㜸捡㠷慣摥㉡㡢戹〸㐱㜳㌸挷ㄸ〶㈳っ昸攵㘳扢ㄸ㝥㉥挸㕢㍤扣㝣㍥㠸搳㜰㐷戸ㄶ㈲㠰㉦慥㐲挲戵㐸㥣ちて搷愴敡㌵挱㐴㈷㉡捣㔶㔸慣〹ㄱ戴昹㈰ㄸ㑢搰㜶搷㠴㕣㌱㤵㉢㌸㑥慥㤸挹㘴㤲戱㔴挱㑥ㄷ搲昹㝣㌲㥡换㤷搲愵㝣㉡㘳散㔷㤶㍡戹㜸㍡㤷㐸挶昳㔹〷㠲㐴㌴㤷戰㡢㜶摣㈹愴ㅣ摢㡥㐷㑢㈹慢慦㑡㙦戶愱㡦搹づ㘳昵搳慥捡㥡搰㕦扢㈸㤰㔲㘱搱㠵㥢昸㍤敥〲ㅦ㈹㉣㘳晦㌴攳晢挳㐴慣戵攰㤰㍥ㄲ㌷挹搷㈴㔲㙢㙤敤㍦㤸慥㤱散戵㈵㡣ㄸ〸扦㘴㜸㈸晣㘵㠶敢挲㉢ㄹㅥ㡣㈱㠲って㠴㌷挸㜰㍤㜴㐲㤲ㅡ昳㐸㔸㌰㕣ㅦ㙤挹昰㈸戴㕤㠶搹㘸扥㤴㠸摡愵㕣愲㤰㑦挶愲戱㙣㍣㘷㘷ㄲ㜶愱㔸㉡收㌳改㘲摡㌸扡㉣㉤挵㔲戱㙣愹㤰㑡攴㜳愹㘴慣㤸挸愶㥣㐴摥㈹愶戳挹㔲挹㐹攷㡡搶〶㉡扤昹㝢昴㌱㡦㠱戱㌶搴慥ち挳挱摡㐵㠱㤴㡡㡤改挲㑤戴㜹ㄹ㥥挴昸挹㌰ㄱ㙢ㄳ〴㜱慤㌱㝤っ㠷㙡晦㘹搴㐶愹搸㤶っ㠷㌳ㄹ㕢㘷挰㕦㘶戸ㄹ扣㤲攱愲㔰㠶愵㔰㠶㍣ㅥ㡦㈴㌵收㥦㘰挱㜰㜳戴㈵挳㜳搰㜶ㄹ愶㔳戱㘸㌱㔹㐸挴㥤㝣㉣㤹㜶㤲㔹㍢㤱㉤搸㜹㍢㔶㑡㘰㉢㤵㑡ㅡ攷㤶愵昹㔸㌱㥤换挷ㄲ搹㐴愲㤴捣㌸戱㝣㍣㥡戵戳㐹慣㤲戱㑣戱㤸捡㔸㍣慡捦昴收㜹攸㘳㥥て㘳㙤愹㕤ㄵ㠶㈳戵慢慣ㄲ㕢搳㠵㥢搸挳换昰㔲㘶戹っ㈶㘲㙤㠳㈰慥〱㠶愳戵晦ち㙡㌳㔴愴㘱㐴㤴挹搸扡ㅡ晥㌲挳㌸扣㤲攱㥣㔰㠶㍢㠷㌲攴㈱㝡㈴挱㉥㑦㔸㌰㑣愲㉤ㄹ摥㠰戶换㌰㤹㑥㈷搲㤹㘴㍥㔷戰㑢挹愲㘳攷㤲改㔸っ㙢㤸㤳㉦㘴挰挷㌶㙥㉣㑢敤㐲扥㔴戴ㄳ㔱挷〶挳㔸ㄲㅢ昷㑣㌶ㄳ捦ㄶ戲昹㝣㈲㤶㉣ㄴ㉤ㅥ攸㤷っ㙦㐲ㅦ㜳㌵㡣㤵搶慥ち挳㡣㜶㔱㘰㔲㉡挶搰㠵㥢㤸攲㘵㜸〷攳㜷挲㐴慣摦㈰㠸㙢㠰攱㜶摡晦㌷㙡户愷㘲㉣㡣搸㥥挹搸扡㡦改改攱㙤ㅣ扣㤲攱㜶愱っ挷㠴㌲ㅣ㡦㑥㐸㔲㘳㍥〴ぢ㠶ㄳ搰㤶っㅦ㐶㕢㙤て㥤㑣扣㄰㉤挵㌲戹㔴㈱㤹㐸㘵戳改㕣㉣ㄶ㑤挴㤳搱㜴㍥ㄱ㡦ㄵ㡤㐷捡搲㜸㌶㕤捡㐴愳戱㜸〲〴愳搹㍣㥥昴挹㕣㈲㕡捣ㄷ搲挵㐲戶ㄴ戵㈶慡昴收愳攸㘳㍥〶㘳㑤搲慥ち㐳ㄶ〰㐸搲ㄴ㐸愹搸㤱㉥摣㐴搴换昰ㄹ挶㥦㠵㠹㔸搳㄰挴㌵挰㜰㈷敤㝦㤱摡挹㔴㑣㈲慤ㄹ㑣挶搶换昰㤷ㄹ捥㠲㔷㌲摣㍣㤴攱㘶愱っ㜹㈰ㅦ㐹戰晢づㄶっ㜷㐶㕢㌲㝣〳㙤挵戰㤴㉤㌸戱㐴㍡㥡㉢㐶㤳ㄹ扣戱挸㤴㙣扣㘳㠸收攳㔹㍢㠶户ㄱ挶㥢㘵㘹捡戶㔳㠵㔴〶捦㜲㔰戴㔳昹㍣㝥㙦㉥㠷㌵㌲㥦捡㘶㘲挵㜸挱摡㐵愵㌷摦㐲ㅦ昳㙤ㄸ㙢㡥㜶㔵ㄸ戲㈶㐰㌲㉣慢挴〲扡㜰ㄳㅢ㝡ㄹ㝥挸㉣ㅦ挱㐴慣㕤ㄱ挴㌵挰昰户摡晦㈹戵㌳愸㤸づ㈳㜶㘳㌲戶㍥㠷扦捣㜰て㜸㈵㐳㉢㤴攱㠰㔰㠶㍣戶㡦㈴㌵收搷戰㘰戸ㄷ摡㤲攱㌷㘸㉢㠶挵㤸攳㤴戰㜶挵㑡㑥戲㤴㑤攴㡢挹戴㥤捦愴㜲㝣㝡㍢㠹㤲昱㙤㔹ㅡ㡦ㄶ㑡戹㌸㝥慢捦捥攰愹ㅢ㑤收戲㤹㈸㘰㘶㑢㈹摢挹㘵昲ㄹ㙢愱㑡㙦㝥㠷㍥收昷㌰搶摥摡㔵㘱㘸㙢㔷㔹㈵㡡㜴攱㈶㝡㝢ㄹ晥捣㉣扦挰㐴㉣㤶〰攰ㅡ㘰㔸搲晥摡㍡〴攷㔲㌱〷㐶㉣㘲㌲戶敡攰㉦㌳摣ㄷ㕥挹昰㠷ㅦ挲㕥㤷晦〵㙦昰㜵㜹㌱㍡㘱づ搸㈵㠵㔴㘰搸㠴戶㘴ㄸ㐱摢㘵㤸户戳㔸㤱ち㘹㈷㤵捣㈷昳㘹㍢㔷挰㡡ㄶ戳㥤㙣㈱ㄹ㡤挶㌳㔱愳㙦㔹㕡㡡㌹挹㝣ち攵捣戹㔸〶㑦㜵㙣ㅤ㌳愵㘴㈱㥤㜰㌲改〴搶搹㤴搵慣搲㥢晤搰挷散て㘳戵㘸㔷㠵㈱㉢〷攴㝡㐸㠱㤴㡡㌶扡㜰ㄳ晦挴摤㈸扦户㔹㠷昱㠱㌰ㄱ㡢㔵〱戸〶ㄸ㜶㘸晦晡搴昲㐷㈸捣摦挱㠸㘵㑣挶搶㘰昸换っ㔷挰㉢ㄹ扥ㄷ捡昰㥤㔰㠶㉢搱㐹㌲摣〴愹挰㜰㝦戴㈵挳愱㘸扢っ戱㔲愵ぢ戱㝣〲敦㙤搲挹㙣㉡㤳㡦㌹㤹㔸挱㐹ㄶ㜳戱㜴愹㔰㠸ㅢ挳捡搲㐲㈲㡡ㄷ昰〴昰㤶戲挹ㄸ㕥㑢戲昹㑣㉥㤷㐹㐷㑢昱ㄲ㕥㤸㡢搶〱㉡扤㌹ㅣ㝤捣㑤㘱慣〳戵慢挲㤰挵〴㤲㘱㔹㈵づ愱ぢ㌷昱㤲㤷攱㐸㘶搹ち㈶㘲ㅤ㡡㈰慥〱㠶㠷㘹晦㘸㙡㙤㉡昶㠶ㄱ㐷㌰ㄹ㕢㌱昸换っ㡦㠲㔷㌲㝣㌲㤴攱攳愱っ㔹ㄴ㈰ㄹ愶㤰ちっ㝦㡦戶㘴㤸㐶摢㘵ㄸ㉦愴㙣㙣〱戱㘱㉢㘴㤳㜹扣㐰㘰扤㡣㘳㙤〴慢ㄴ㕥㠵㙤㈳㔳㤶㤶㥣㑣㡥㠰戱㝡摡㐹扣㥥㘴ㄳ㑥㈱〱㜸昹㐲㉣㥤挷ぢ戹㜵㡣㑡㙦㘶搱挷捣挱㔸挷㙡㔷㠵攱㜱摡㔵㔶㠹ㄳ改挲㑤摣敢㘵戸〳戳㡣㠳㠹㔸慣ㅤ挰㌵挰昰㘴敤㥦㐴敤㈲㉡昸挳ㅡ攲㔴㈶㘳㙢㉡晣㘵㠶愷挱㉢ㄹ摥ㅡ捡昰收㔰㠶慣ㄳ㤰っ愷㈳ㄵㄸ晥ㄱ㙤挹㜰〶摡㙡㍤㡣收攲挹㝣㈱㡦㡦㈵愰㤲挷愶㌰㠹㡦慡搹㕣㌲㥢戱㜳昱㔸摥㤸㔹㤶愶敤㐲愲㠸ㄷ㤲㤲ㄳ㡤㈶愱戲昳昱ㄲ㥥搱〵㈷㥥㑡攷散㔴捡㍡㐳愵㌷㘷愱㡦㌹ㅢ挶㍡㔳扢㉡っ捦搲㉥ち愴㔴㥣㐳ㄷ㙥攲㉡㉦挳昹㡣㉦㠰㠹㔸㉣㈷挰㌵挰昰㍣敤摦㡤摡㔶㉡昸昵ㄳ㜱〱㤳戱戵㈷晣㘵㠶ㄷ挱㉢ㄹ㕥ㄴ捡昰㠲㔰㠶ㄷ愳㤳㘴㘸㈳ㄵㄸ㕥㠲戶㘴㤸㐷摢㘵㔸攰㡢㐹㉥㡢愷㙥㌲㤳㉣ㄶ㔲昸ㅣ㔷㑡摡㜸扤挸㘵攲挵㔲㍡㙥ㄴ捡搲㡣㥤㈰慢㔲㉡㥤挴㜳ㅤ㥦晡ㄳ愹㘲愲ㄴ挵㤶㌳㥤攰㌳摡㘲〱㠲㝣㤶ㄶ搱挷㜴㘰慣换戴慢挲㤰㔵〸㔲㐵㠱㐹愹戸㠲㉥摣挴ㅦ扤っㄷ㌳摥〴ㄳ戱慥㐴㄰搷〰挳慢戴㝦〹戵换愸㔸㑡㠶搷㌰ㄹ㕢敤㑣㑦て㙦搷挱㉢ㄹㅥㅦ捡昰搸㔰㠶搷愳㤳㘴戸ㅣ愹挰昰〶戴㈵挳ㄵ㘸扢っ㤳㔱㍣㘷愳㈹ㅢ㉦㉡㌱愰挱㕥㤴㘸㉡㔶捡收㥣㥣㡤㤷㥡㕣挹㔸㔹㤶㤶散㘲愹ㄴ捤㘱愷㐹摣㑥㠲㕢㍥㡡て㝦㐹㈷㥥㑦愶㌳愵㕣㌴㘹戱㈶㐱搲搹ㅦ㝤捣〳㘰慣㥢戴慢挲㤰㠵〹搵㉡㜱㉢㕤戸㠹㐳扣って㘵㤶挳㘰㈲搶㙤〸攲ㅡ㘰㜸扢昶ㅦ㐵敤㐱㔴昰ㄷ㐲挴㥤㑣挶搶㌱昰㤷ㄹ晥ㄵ㕥挹㜰㔹㈸挳㡥㔰㠶㜷愳㤳㘴㜸〲㔲㠱攱摦搰㤶っ㑦㐴㕢㙤て戱扥挵ㅣ㝣摡挳㐷ㄳ㍣愷昱㘹戹㤸挱㤳㍢㤱〲ㅦ㈷敥搸挶㐹㘵㈹㜶㐳攴戱扥挶㜲愵㜸〱敦てㅤ㝣㍡挹收㤳㐹扣换挶扢㑢㙣㈲慤㝢㔴㝡昳㘴昴㌱㑦㠱戱敥搵慥ち挳晢戴慢慣ㄲて搲㠵㥢搸搷换昰っ㘶㌹ㄳ㈶㘲戱づ〱搷〰挳㠷戵晦ㅣ㙡㡦愰攲㜰㌲㝣ㄴ㝥挹昰㝣昸换っㅦ㠷㔷㌲摣㍢㤴攱㕥愱っ㥦㐰㈷挹昰㘲愴〲挳㈷搱㤶っ㉦㐱摢㘵攸攰㌳㐹扣㤴挰㙢㜰㉥㥢挴㙥㌸㍢换㤷攷㘸愱㠸捦㉤戹㤴㕤㌴㉥慤㐸戱换㉥㤳挹ㄷ㥤㘸㍥㡤搵㌰㡤敤㘶愶㤸㡢ㄷ攲ㄹ㙣㍦昳戹慣挵捡〵戹㠶㕤㠶㍥收攵㌰搶搳摡㔵㘱昸㡣㜶㔱㘰㔲㉡㥥愷ぢ㌷㌱捦换昰㙡挶慦㠱㠹㔸㉣㑤挰㌵挰昰㐵敤扦㠱摡攳愸㌸㤶っ㕦㘲㌲戶㔶㌳㍤㍤扣扤〲慦㘴戸㔳㈸挳ㅤ㐳ㄹ扥㡡㑥㤲攱㙤㐸〵㠶慦愱㉤ㄹ摥㡥戶换㌰㤷挸愵ㄳ昸攴㤶㈸㘶愲挹ㄴ摥戸挴㑢㔱㍢㔵㑣攱昹㤹捦摢戹㡣㜱㐷㔹ㅡ㜷㘲昱㔸㈶㥤㠹〳㈴㜷㌴攴ち昱㘲ㅣ敦㙢散㐲ㄶ㥦㜲㑡〹㡢挵っ㤲攱㥤攸㘳摥〵㘳扤愱㕤ㄵ㠶㙦㙡ㄷ〵㈶愵攲ㅤ扡㜰ㄳ摢㝢ㄹ摥挷昸晤㌰ㄱ敢㕤〴㜱つ㌰㝣㑦晢ㅦ愶昶㔴㉡昸㔳㈷攲〳㈶㘳敢㌱愶愷㠷户㡦攰㤵っ㤳愱っ攳愱っ㍦㐶㈷挹昰㈹愴〲挳㝦愰㉤ㄹ㍥㡤戶㘲㔸挰ㅥ〶散戱挱㙡㔷㑣㍡㔸晤戲㜹㍣愷戱㥥挵㜳㐹㝣ㅣ挹ㄹ捦㤴愵搸㑦ㄳ㡢攳㕣㑡㜹扣㌰㈷㙤㍥敤搳昹㤴㤳㡢ㄶ散㙣㌶㔵㡡㈵慤㑦㔴㝡昳㔹昴㌱㥦㠳戱㍥搵慥ち挳捦戴㡢〲㈹ㄵ㕦搰㠵㥢搸搲换昰㘵挶㕦㠱㠹㔸㕦㈲㠸㙢㠰攱㔷摡晦〶戵㘷㔱挱㕦㑢ㄱ摦㌰ㄹ㕢㙦挳㕦㘶昸ㅤ扣㤲攱挶愱っ㠷㠴㌲晣ㅥ㥤㈴挳昷㤱ちっ晦㠵戶㘴昸〱摡㉥挳㑣摥㡥愶昱挹㈴㔵挴捡㔵㉣攱〳㕥㈶ㅡ㑢㈷敤㈲昶换攰㐳㜰摥昸戰㉣戵㔳搱㑣㍡㔹捣愷㜱㘲㉡㝣㠸㐹㘰㉦㘲挱挶㤶㌱㙡挷戰㍢㍦㥢戰晥慤搲㥢ㅦ愱㡦昹㌱㡣昵㠳㜶㔵ㄸ晥愸㕤ㄴ㐸愹昸㠵㉥摣挴摡㕥㠶㥦㌳晥〵㑣挴晡ㄵ㐱㕣〳っ㜹敦愴晦ㅢ㙡㉦愰攲㝣ㄸ㈱㉢ㄷ搸晡ㅥ晥㌲㐳㔶㉥㐸㠶昵愱っ㡤㔰㠶㜵攸㈴ㄹ晥㠸㔴㘰㘸愰㈱ㄹ晥㠴戶㕡て㜱㕥慦㔴㍥㤹㉢㘵散㜸ㄲ敦㕥昰ㄲ㤳㐹攰㤵㍡㔷挴挷ㄷ摢捥ㄹ㍦㤷愵㜸捥摢改戴㥤挵晥ㅢ㥣摤ぢ㐷㌶〰ㅥ㙦つ攳㠵愲㡤摤㡡㤹㤸搵㐷愵㌷㝦㐱ㅦ昳㔷ㄸ慢㕥扢㉡っ㑤敤愲㐰㑡〵㙢ㅣ㈴挳㥦晥敤昹慣㔷㘷㈰㙥挰㐴㉣㤶㌹㠴㌱㘴攵㠳昴㐷愸攵慦慣㤸㤷㤱愱〵扦㕣て晢挳㕦㘶戸㌶扣㤲攱㔷ㄸ㈶戸ㅦ晢ぢ㜸㠳㥦㤷搷㐱㈷㕣㜱㘶㌵愴〲挳㠱㘸㐸㠶㙢愳慤㥦换㤹㙣㍡㡤晤愹㌸㄰㤴㡣㈷ㄳ搹㙣㡥敦㤷㜳愹ㄸ昶㙤搹〵挷㔸愷㉣㑤摡㑥挶㑥摢搸攱㥤挳㕢㙣扣㠳㡣攷㘳㔱㈷㤹㜴㥣㌸㌶〳戹㥣㌵㐸愵㌷〷愲㡦㌹〸挶㕡㔷扢㉡っ搷搳㉥ち愴㔴戰散㐱㌲晣挰换㜰㌰攳㐳㘰㈲ㄶ㉢ㅦ挲ㄸづ搱晥愱搴昲㠷㕡㑣晥散㡢搸ㄸ㝥挹㜰㔳昸换っ㠷挲㉢ㄹ扥ㄶ捡昰㤵㔰㠶慣㜲挰ㄵ摦ㅢ㐳㉡㌰㘴㐵㠳㘴戸㈵摡㡡㘱ㅣ㥦㌶攲㑥㉥㤵㉦攰㜵㈴㤱捣愵搳㠵㘸挱戱戱㤳ぢ慢㔷愹㘸㡣慣㐸搳戶㠳愳〵㜱㈷攵愴㤳㜸ㅤ挹㍡愵㐴㈲㥡挶扢㜲扣晣ㄴ㥣愸挵㕡〹愶㌷户㐲ㅦ㜳ㄴ㡣挵ㄲ〹改慡㌰ㅣ愱㕤㘵㤵搸㤲㉥㌰ㄲ㑦㝢ㄹ挶㤸㈵づㄳ戱㐶㐲㄰挶㤰昵ㄱ搲㥦愶㜶㌵挷扥㠹っ㘵挹〳㕢㌹昸换っ㔹昲㈰ㄹ㍥ㄸ捡昰晥㔰㠶摢愲ㄳ慥搸戹㡢㔴㘰ㄸ㐵㐳㌲摣ㅥ㙤㤷㘱㍣㡤戵慥㠴㝤㕡搸㕦㤳攴㐶㄰㕣昰㑥㈷ㅡ戳㌳㜸晦㔷戰㡤ㅤ捡㔲散づ㉢攵昲搹㘸挲捥搹挹㔲ㄱ敦㜰㘲㠹㘸㈹㠷ㅤㄳ㜸㙤捦攷㘲ㄶ换㈷㈴戰㜱攸㘳㡥㠷戱攲摡㔵㘱㤸搰慥戲㑡愴改㈲挳摢扤っ愷㌲换㡥㌰ㄱ㉢〳㐱ㄸ㐳㤶㑣㐸晦っ㙡昹㜳㌱㈶㝦㝣㐶挸㉡〸戶㘶挳㕦㘶戸ㅤ搴㤲攱㜵愱っ慦〹㘵㌸ㄶ㥤㜰挵㥥㌵愴〲挳敤搱㤰っ攷愱敤㌲捣㘰㈷㍥挸㠰〶㕥㈸戰㜵换攳戰㕤㍥㤵换㤵愲㌸㘶㤲㠸ㄶ㡣昹㘵㘹〲㝢扣昱㌶㌲㤵㉢㈶戱㈷扢㤸挲㝥〶扣〲㘵昱㐱〷㐷〷㘲㈹挷㘲㐵㠵㘴戸〰㝤捣㕤㘱慣㜱摡㔵㘱挸戲ち愹愲挰愴㔴戰㕥㐲㌲扣挴换㜰㑦挶昷㠲㠹㔸㤳㈱〸㘳㌸㐵晢昳搴摥挷扢㝡㉦ㄹ敥〸扦㝣㉥㍢㑣㑦て㙦㉣㡣㤰っ捦づ㘵㜸㘶㈸挳改攸㠴㙢㡤搹㠸㔴㘰挸㔲〸挹㜰㕦戴㕤㠶㘹散捡㡡攳攵愳ㄴ挷〷戸ㄲ昶㈵攲攰㐸㈹〳㤴㜶㌶㠷㐳㜸㜱㘳㜱㔹㥡㡢㈵昰づ戱ㄸ戵戳㌶㑥ㅡ㤹挱㝥㙥昰㑥攱愸ぢ㡥挵攰昵㍡㙥戱挸㐲搲㘹㐲ㅦ戳ㄹ挶㘲㙤㠵㜴㔵ㄸ捥搶㉥ち㑣㑡挵ㅣ扡挰㐸㥣攸㘵搸捥㜸〷㑣挴㥡ぢ㐱ㄸ挳㜹摡扦㠲摡㐷㜹㔷昹ㄳ㌸搶㝣昸㜱挵〷㑥昸晢昷慡㘳㤵挰㙦㝣㠷搳挳㝦昱㘲㤴晦搴㈳㤳㜱㉡ㄱ㤶ㄳ搶昴挲㔷晤摤㉦挸昷慥ㅤ昳㥦攵攲〱㝢晥㍥〶㙦㜵㐷攰扥晥ㅦ昲㜰慤愸ㄴ㘲㌰攳㈶戸㤹〷攱づ搷敤㠱扢ㅢつ㥢㘲㔷㈷㠱㐴挷㥡㐱捤搳摡㜱㌰ㅦ㈷ㄳ㥤搷㍡扥㝣㈶捡戵昴㐱晥㔱晡㡣ㄸ㈳㉡㥥昱昹㜶晣戶㑡㠷愳扢捤㙥㉢昷挳ㄹ㈶㔰搴㠱挰㈸㥥㍦㘳㔰愵攵昹㠱㠱挱ㄵ敦戴㤶㜶㥣敢挵㈹敡㡣敤昸昲㝤敦摡㕥㈲昴㌷㍦搴挹づ昸㡢〲捣㠶戳扤㑣㉢ㄲ挰攰㤰㥦㔷㤸搰搸㈱㝦㥥㘴〸攲挲㘴㠵㠸戱㡡㤸挶㙥㌶㘱戳㜸摤㈱㜸ㅣ搶㜸㠸㙡敡ㅣ㤰慢㘵挴㍣ㄴ昹挴㥥挸㑣昴挲㘴㘹㠹㜱戸ㅥ㈳㈶づ挴ㄸㅣ㠷敢ㄱ㝥ㄴ㤳㘲㍥㈱攸㘲㝦挱昲ㄱㅤ㙦㘰ㄵ〶摥㙥搵㐰攵扤㝣戱㠳㙡㡤㜳晦搷慢晦搶戸〶㤶㙣挸ㅥ㝢㡡㘱愷㡥慦㝢㙢搵昹㕦㕥昱㥢ㄱ攷㕥晢慢晡扦捡敤昱㍢搵㈳㌷㑥㉣㐲㡦ㄱ昰㥡㙦搳扣㐳昳㉥㡣㔸㡥ㄹ扤㠲摦㕤〸㥣㠹㘱㤹ち昸捦挴㘰㉤㐶㈶㕣昱〹ㄷ昳敤摦㑢戴愲挱愷㥢攸㐰て慥攳㠴㘴㥥挰扢摣〶户换㠷戵ㄹ挶㐹昰挹挷㈰㈶㤶㐰愷敦㝦挴㍣㠵攲昶戲㤸搵ㄹ挶ㅦ戴㌸㉥㥡㤴搸㈵㝦㍡〲つ㉣愳攸ㄹ㌲搶㕣昴っ搹挱攸ㄱ㠶㙣ㅦ㑣㈷ㄴ㔹㐹〵晣攷㙥戰㔸戰㠱㉢㑡〵㌰㜷㈰㍢ㄲつ㠹慣㠸ㅥ㘵㘴攷㤲挲敦ㄱ㜲㤱戱ㄴ挳㌸㕦㔳㠸㠹扤ㄵ〵㜷㤵扡㤰㘲ㄶ㑡戸㘲ㄶ㘳ㄸㄷ㙢㜱㕣散愱挴㉥戲㑢ㄱ㘸㌸〹㤲㥥㈱㘳㠹㐵捦㤰㥤㠶ㅥ㘱挸㜶㔵㘴〲㙢搹〲ㄵ昰㥦敤挱㘲㝤〶慥㌵收㤵㤸㍢㤰戱挸㐲㈲㥢㠷ㅥ㘵㘴㔷㤳挲㜹〸戹ㄴ捥挱㤲㜱㙤㠵挲捥㔵ㄴ慥愷㤸㠵ㄳ慥昸㕣㡡㙦搴攲㤸㤸愱挴㉥摦搵〸㌴㕣ち㐹捦㤰戱愲愲㘷挸㔸㕣ㄱ㠶㙣慡㈲ㄳ㐰㌶㐵〵晣攷㠷戰㔸㡥㠱㉢摥㤹㘱敥㐰挶㥡ち㠹㙣ㄲ㝡㤴㤱摤㐵ち㌷㈱攴㔲戸〱㑢挶摤ㄵち攳慡㈸摣㐳㌱换㈰㕣昱㡤ㄴ摦愷挵㜱戱㥤ㄲ扢㙢搹〳〸㌴戰㈶愲㘷挸敥搴㍤搶㜸㕢昶㌷昴〸㐳㤶㔱㘴〲挸搲㉡攰㍦愳㠴挵敡ぢ㕣戱㕢〹㜳〷㌲㤶㔰㐸㘴㐹昴㈸㈳㝢㠲ㄴ㔸敥攰㔲㜸ㄸ㑢挶㔳㥡㐲㑣㐴ㄵ〵㜷挵㜹㠶㘲㔶㍤戸㘲㔶㔶ㄸ捦㘹㜱㕣㙣慤挴㉥戲ㄷ㄰㘸㘰〹㐴捦㤰㍤慢㝢慣㌱戲ㄷ搱㈳っ搹ㄶ㡡㑣〰搹收㉡攰㍦〷㠵昵㌲㌲攱㡡㕦ㄶ挷摣㠱散㜵㌴㈴戲捤搰愳㡣散㜵㔲㜸ぢ㈱㤷挲ㅢ㔸㌲摥慣㔰ㄸ㕡㐵攱㙤㡡㔹〵攱㡡㔹㐸㘱扣慢挵㌱㌱㐴㠹㕤扥敦㈳搰挰㡡㠷㥥㈱晢㐸昷㔸㘳㘴慣㤴〸㐳戶㥥㈲ㄳ㐰戶慥ち昸捦㕡㘱㝤㡥㑣戸攲扢㑥㤸㍢㤰㝤㡤㠶㐴㌶㄰㍤捡挸㍥㈳〵㤶㈹戸ㄴ扥挱㤲昱戹愶㄰ㄷ㤶愲攰慥㌸㕦㔲捣愲〷㔷捣扡〹攳㙢㉤㡥㠹㝥㑡散㈲晢ㄶ㠱㠶㥦㈱改ㄹ戲㕦㜴㡦㌵㐶㔶㡢〱挲㤰昵㔱㘴〲挸っㄵ昰㥦攷挲慡㐳㈶っ㡦㉦㌳㘱敥㐰㘶愲㉤㤱昵㐶㡦㌲戲㥦㐹㠱戵ぢ㉥〵ㄶ㐹ㄸ扦㔶㈸搴㔴㔱攰㈹慢〵㑢ㄸ㕣㌱换㈴㡣㕥昰戹敦ち挵㑦晦㜲摦㤱戸㝣敢㄰㘸㘰㍤〳慥㍤㜸㕦挶攲〷搹㘳㡤㤱慤て昹〸摥㔱摦晢戲敦㌱㥤搰㌷ㄹ摦愹㠰晦捣ㄸㄶ㉢㈷㈴戲扥㤸㍢㤰㙤㠲戶㐴昶つ㝡㤴㤱昵㈷〵ㄶ㈱戸ㄴ㠶㘲挹㘸愸㔰昸愲㡡挲㕡ㄴ戳愴挱ㄵて愳㜸ㅤ㉤㡥㠹㑦㤵搸㕤换〶㈱搰㌰ㄲㄲ㕣㝢㠰㡣戵づ戲挷ㅡ㈳㘳搹挳㠸㄰㘴ㅦ㉡㌲㠱戵散〳ㄵ昰㥦㑢挳㘲愱㠴㐴㌶ㄸ㜳〷㌲㔶㍢㐸㘴敦愱㐷ㄹ搹㐶愴挰㥡〳㤷〲㑢㈰㡣㑤㌴㠵戸㜸㑢㔱㜰㔷㥣㘱ㄴ戳㠲挱ㄵ戳〸挲搸㔴㡢㘳攲㌵㈵㜶㤱㡤㐰愰㘱〷㐸㜰敤〱戲㜱扡挷ㅡ㈳㥢㠴ㅥ㈳㐲㤰晤㕤㤱〹㈰㝢㔱〵晣㘷摦戰㔸ㄷ㈱㤱㡤挲摣㠱㡣挵つㄲ搹昳攸㔱㐶戶つ㈹戰㄰挱愵挰㡡〷㘳摢ち㠵愷慢㈸挴㈸㘶㍤㠲㉢㘶捤㠳㤱搰攲戸㜸㕣㠹㕤扥㈹〴ㅡ㔸㥣㠰㙢て㤰戱㤲㐱昶㔸㘳㘴㉣㙡ㄸㄱ㠲散㈱㐵㈶㠰散㐱ㄵ昰㥦慦挳㘲ㄹ㠴㐴昶ㅢ捣ㅤ挸㙣戴㈵戲晢搱愳㡣㙣㉣㈹戰㤸挰愵挰〲〷㘳〷㑤㈱㈶晥愶㈸戸㉢捥㜸㡡㔹㝥攰㡡㔹攲㘰㑣搴攲戸戸㔳㠹㕤㘴㤳ㄱ㘸㘰㉤〲慥㍤㐰挶挲〵搹㘳㡤㤱㉤㠱㝣㐴〸戲㕢ㄴ㤹〰戲㥢㔵挰㝦㠶て㡢㔵てㄲ搹㜴捣ㅤ挸㔸扡㈰㤱摤㠴ㅥ㘵㘴㌳㐹㠱㘵〶㉥〵搶㌳ㄸ戳㉢ㄴ慥慢愲戰ぢ挵㉣㐷㜰挵慣㘸㌰收㙡㜱㑣㕣愵挴㉥摦昹〸㌴ㅣち〹慥㍤㐰挶㍡〵搹㘳㡤㤱戱㘴㘱㐴〸戲换ㄵ㤹〰戲换㔴挰㝦㑥㄰敢ㄸ㘴㤲挸㜶挷摣㠱㡣㤵ちㄲ搹㈵攸㔱㐶戶㈷㈹戰㕥挰愵挰昲〵㘳愱愶㄰ㄷㄷ㈸ち敥㡡㘳㔳捣敡〳㔷捣〲〶愳愰挵㌱㜱㡥ㄲ扢挸ㅣ〴ㅡ㔸㘹㠰㙢て㤰戱㉣㐱昶㔸㘳㘴慣㔰ㄸㄱ㠲散っ㐵㈶㠰散㡦㉡攰㍦㡢㠸㜵㍥㌲㐹㘴㡢㌱㜷㈰㘳㘱㠲㐴㜶ㅡ㝡㤴㤱㌵㤳〲㉢〳㕣ち慣㔶㌰㕡㉢ㄴ㑥慥愲戰ㅦ挵慣㈵㜰挵慣㔷㌰摡戵㌸㉥㡥㔷㘲㤷敦㔲〴ㅡ㔸㔸㠰㙢て㤰戱ち㐱昶㔸㘳㘴㉣㐸ㄸㄱ㠲散㘸㐵㈶㠰散㈸ㄵ昰㥦㜷挴㘲〹㠳㐴㜶〰收づ㘴慣㐳㤰挸㡥㐰㡦㌲戲㠳㐸㠱㠵〰㉥〵ㄶ㈷ㄸ慢㌴㠵㤸㌸㐴㔱㜰㔷㥣㐳㈹㘶改㠰㉢㘶㜹㠲㜱戸ㄶ挷挵㠱㑡散㈲㍢ㄲ㠱〶搶ㄱ攰摡〳㘴㉣㍡㤰㍤搶ㄸㄹ敢て㐶㠴㈰㕢慥挸〴㤰㉤㔳〱晦㤹㑡㉣㔶㉣㐸㘴挷㘱敥㐰挶戲〳㠹慣〳㍤捡挸㑥㈰〵㤶〸戸ㄴ㔸㡢㘰㥣愴㈹㘰㝦㤹愲攰㈲㍢㠵㘲㔶ち戸㘲㔶㈳ㄸ㝦搰㘲散㉦㔳㘲ㄷ搹改〸㌴戰㙣〰搷ㅥ㈰㘳㡤㠱散戱挶挸㔸㙥㌰㈲〴搹㍥㡡㑣〰㔹㐹〵晣攷㌶戱摥㐶㈶㠹散㑦㤸㍢㤰戱捡㐰㈲㉢愲㐷ㄹ搹戹愴挰㡡〰㤷〲㑢て㡣昳㌵〵散㉦㔳ㄴ㕣㘴ㄷ㔲捣挲〰㔷捣攲〳攳㘲㉤挶晥㌲㈵㜶㤱㕤㡡㐰〳慢〴㜰敤〱㌲㤶ㄴ挸ㅥ㙢㡣㡣搵〵㈳㐲㤰敤慡挸〴㤰㉤㔰〱晦搹㔰㉣搶㈳㐸㘴㔷㘲敥㐰挶愲〲㠹㙣ㅥ㝡㤴㤱㕤㑤ち㉣〰㜰㈹戰搲挰戸㔶㔳㠸㠹㥤ㄵ〵ㄷ搹昵ㄴ戳づ挰ㄵ戳搶挰戸㔱㡢攳㘲㠶ㄲ扢挸㔶㈳搰㔰挷捦㕥㍤㐲挶ち〲搹㘳㡤㤱戱㤸㘰㐴〸戲愹㡡㑣〰搹ㄴㄵ昰㥦㍦挵敡㡦㑣ㄲ搹ㅤ㤸㍢㤰慤㠵戶㐴㌶〹㍤捡挸敥㈲〵ㅥ敦㜷㈹戰戰挰戸㕢㔳㠸㠹㜱㡡㠲㡢散ㅥ㡡〷㤵挵敢㔰㝣㥦ㄶ㘳㝦㤹ㄲ扢挸ㅥ㐰愰㘱㌰㈴㍤㐳挶㠲㠱㥥㈱ㅢ㡡ㅥ㘱挸㌲㡡㑣〰㔹㕡〵晣㘷㕣戱㌶㐵㈶㠹散㌱捣ㅤ挸㔸㌲㈰㤱㈵搱愳㡣散〹㔲攰㠱㝢ㄷㄹ敢〸㡣愷㉡ㄴ愲㔵ㄴ㥥愱㜸㔴㔹捣㑡〲攳㌹㉤㡥㠹慤㤵搸攵晢〲〲つ㌱㐸㝡㠶㡣昵〱㍤㐳挶㔲㠱㌰㘴㕢㈸㌲〱㘴㥢慢㠰晦ㅣ㉤ㄶ㡢ぢ㈴戲㔷㌱㜷㈰ㅢ㡢戶㐴戶ㄹ㝡㤴㤱扤㑥ち攳㄰㜲㤱戱㙣挰㜸㔳㔳㠸㡢愱㡡㠲扢攲扣㑤昱昸戲㜸〷㡡摦搵㘲散㉦㔳㘲ㄷ搹晢〸㌴昰〸㝦捦㤰戱ㅣ愰㘷挸㔸ㄹ㄰㠶㙣㍤㐵㈶㠰㙣㕤ㄵ昰㥦搵挵㥡㡤㑣ㄲ搹㈷㤸㍢㤰捤㐵㕢㈲ㅢ㠸ㅥ㘵㘴㥦㤱〲㡦挸扢挸㔸㈵㘰㝣㕥愱㘰㔵㔱昸㤲㘲ㅥ挳㜷挵昳㈹晥㕡㡢攳愲㥦ㄲ扢㝣扦㐵愰㘱㑦㐸㝡㠶㡣㐷晦㝢㠶㡣㠵〰㘱挸晡㈸㌲〱㘴㠶ち昸捦〳㘳㌹挸㈴㤱晤㠸戹〳ㄹ㡦晦㑢㘴扤搱愳㡣散㘷㔲攰〱㜸㤷〲㡢〲㡣㕦㌵〵晣扥戱愲攰慥㌸愲ㅥ攲收戲㜸㌱挵扤攰搳晢换扥慦摡㕦㠶㐰㐳㍢㈴㍤㐳挶㠳晤㍤㐳挶攳晥㘱挸扥挷㜴挲昷㤷愹㐰攰捣㌱〷㈰㔳㜷㘷㡥攱㉦ㅡ㌸敤昲散㈶つ㜸捤愹㉢昱㌷ㄸ晡㤶㕣㌷て敥攳㔷ㄸㅡ㥢㥡攴てㄸ昴挳㠹ㅥ摡ㄶ㍢㙤㌳㜰㍥ㄳ㥣摥〱攷扣㔷摦愰挷㜹㑥昸扢昹晡㔴〲愶㙣戱戳㔱㥡摤㠶㜳ぢ昴㈹㑤㙢挷㜹㘸㡡昵捤㍢摢ㅤㅤ㑥㕢换晦挲㔹㈰昰㤳ㄲ晣㘹㍦㕣摣昳㍦㠴晥㥡〳㝦愶㈱昴㐸扡㈴㌶扡挲㘳〶捥㔰挲㡡㠵㕡㥥ㅦ攲㍦㍢㈵㡤搱ㄷ慢㤸㍥攳㐹搱㜳挶㤳摥攲ㅢ㍣挴㙥㙤攰㈱㌵扦㜲捡㉣㐱㌱晢㐳㙦っ㠰改㌵扥扤㔹搶搴挰㐴捣〶㜸攴捦愰㐸㔳㔳㜷㄰㔶〳晦㥤攳敦㙢昰㔷搴㙡敡㤶㌷ㄶ㍢ㄶㄹ㡢㥣挶㝤ㄶ㜵攰㜷㌴晡昲ㅥ敢㑢敦㐳搱戵慢昲〳㙥㑤晡㌴㉦戴摢摡散㤵昵捤ぢ㥢㥣㤶㝤㍡ㄶ搵㉦㕣㠶㙡ぢ㥣愹〵捦扢晡晡㝡㜳㉤捣挷〵㡤愷摢㤱挸挸慣收摡㕥敦㜱昰㜰㙤㌵㠹愰户昸㌴昴敥づ攲晤攲摤慤摣搵昵攸攲㉦扥戸㜷㔵㥣㠰ㅣ扣扢晡㈲㑥㐱㐳づ户〱㤴攵㐹㥣慥扤ㅢ㝡扤㝦㠲搷㌳㠹昷㐲㈷戱ㄱ㐷慣㥥挴㈶扥㐹㥣㡢㍣㔵㤳戸㔰て㌷捣㍢摣愵摡㍢摣敢扤戲㝡ㄲ慦㠵㑥㘲㐴㜰ㄲ㕢昸㈶㜱戵㝦ㄲ搷敢攱㐶㝡㠷㕢慤扤㕢㜹扤㜷㔴㑦攲昹搰㐹㙣ㄳ㥣挴戶扥㐹摣攵㥦挴㍤㝡戸㤸㜷戸〷戴㌷敥昵㍥㔶㍤㠹挷㐳㈷㤱ち㑥㈲攳㥢挴ㄳ晥㐹㍣愳㠷换㜹㠷㝢㐱㝢挷㜸扤慦㔶㑦攲晥搰㐹㡣つ㑥㘲〷摦㈴㕥昷㑦攲㙤㍤摣㜸敦㜰敦㙢敦〴慦昷㤳敡㐹摣ㄹ㍡㠹挹挱㐹㑣昵㑤攲㌳晦㈴扥搴挳㑤昳づ昷慤昶敥攴昵晥㔸㍤㠹㥢㐲㈷㌱㌳㌸㠹搹扥㐹晣散㥦㠴挰㘶㐲㍥㐵㜷昱づ㔷愷扤㜳扣摥扥昰㝡㥥愲㔷㠵㑥㘲㝥㜰ㄲ扢晡㈶搱ㅦ㜹慡㥥愲㙢改攱㝥攷ㅤ㙥㤰昶敥收昵づ慥㥥挴㈵愱㤳搸㌳㌸㠹㠵扥㐹㙣攴㥦挴㌰㍤㥣敤ㅤ㙥㠴昶收扤摥㔱搵㤳㌸㈷㜴ㄲ㑥㜰ㄲ晢昸㈶戱㡤㝦ㄲ㌱㍤㕣愳㜷戸㤴昶敥敢昵晥愶㝡ㄲ愷㠵㑥愲㌹㌸㠹㔶摦㈴挶晡㈷㌱㕥て户㥦㜷戸挹摡摢收昵㑥慦㥥挴昱愱㤳㔸ㅡ㥣挴㜲摦㈴㘶晡㈷戱㡢ㅥ㙥愵㜷戸昹摡扢扦搷扢㝢昵㈴㡥〸㥤挴㐱挱㐹慣昲㑤㘲㑦晦㈴㙣㍤摣愱摥攱ㅣ敤㍤捣敢㕤㕣㍤㠹〳㐳㈷㜱㘴㜰ㄲ㐷晢㈶搱散㥦挴㝥㝡戸㘳扣挳㉤搵摥㘳扤摥〳慡㈷搱ㄱ㍡㠹ㄳ㠲㤳㌸挹㌷㠹㠳晣㤳㌸㔴て㜷㡡㜷戸㈳戵昷㔴慦昷戸敡㐹㌴㠵㑥攲昴攰㈴捥昰㑤攲〴晦㈴㑥搱挳㥤攵ㅤ敥㜴敤㍤摢敢晤㔳昵㈴㡡愱㤳㌸㌷㌸㠹昳㝤㤳㌸搷㍦㠹ぢ昵㜰ㄷ㝡㠷扢㔴㝢㉦昲㝡慦慣㥥挴ㅥ愱㤳戸㌴㌸㠹换㝤㤳戸摡㍦㠹敢昵㜰㝦昱づ户㕡㝢慦昰㝡敦愸㥥挴扣搰㐹㕣ㅤ㥣挴戵扥㐹摣攵㥦挴㍤㝡戸敢扤挳㍤愰扤㌷㜸扤㡦㔵㑦㘲㐶攸㈴㔶〷㈷㜱㡢㙦ㄲ㑦昸㈷昱㡣ㅥ敥㌶敦㜰㉦㘸敦敤㕥敦慢搵㤳㤸ㄴ㍡㠹扢㠲㤳戸摢㌷㠹搷晤㤳㜸㕢て㜷㡦㜷戸昷戵昷㕥慦昷㤳敡㐹㙣ㄷ㍡㠹〷㠲㤳㜸挸㌷㠹捦晣㤳昸㔲て昷㠸㜷戸㙦戵昷㔱慦昷挷敡㐹㈴㐳㈷昱㐴㜰ㄲ㑦昹㈶昱戳㝦ㄲ〲〲昹㝥攲ㄹ敦㜰㜵摡晢慣挷㕢搷ㅦ㡤㌵晥㜸挷㐲改㜵昰㐱戸挹㈹昰㍣㤴㍣㥢攱愸㈶㝣㑣㕢㠳㤳㐷㍥㠷㜱㐴〳つ㜲㤸捦慢〵㌶ㅡ搶㔲つ晣㐳㙢㙤㙦㑢っ㐲㡢㔳㌴㕦愰㝢㍤ㄵ㌳㕦㔴ぢ戲晦〶慡㠱㝦攸扦愱户㈵㌶㐲㑢昶晦㍢摤㥢愸㤸昹㤲㕡㤰晤㠷愹〶晥愱晦㜰㙦㑢㡣㐰㑢昶㝦㤹敥㉤㔴捣㝣㐵㉤挸晥㈳㔵〳晦搰㝦㉢㙦㑢㙣㠳㤶散晦㉡摤摢慡㤸昹㥡㕡㤰晤㘳慡㠱㝦攸ㅦ昷戶㐴ち㉤搹晦㜵扡㌳㉡㘶扥愱ㄶ㘴晦㥣㙡攰ㅦ晡㡦昱戶挴㔸戴㘴晦㌷改摥㐱挵捣户搴㠲散㍦㕥㌵昰て晤㈷㜸㕢㘲㌲㕡戲晦摢㜴㑦㔵㌱昳ㅤ戵㈰晢㑦㔳つ晣㐳晦㥤扣㉤㌱ㄳ㉤搹晦㕤扡㘷慢㤸昹㥥㕡㤰晤㜷㔱つ晣㐳晦㌹摥㤶㤸㡦㤶散晦㍥摤扢慡㤸昹㠱㕡㤰晤㝦愷ㅡ昸㠷晥扢㜹㕢㘲㑦戴㘴晦て改㕥愸㘲收㐷㙡㐱昶户㔵〳晦搰㍦敦㙤〹〷㉤搹晦㘳扡昷㔱㌱昳ㅦ㙡㐱昶㙦㔴つ晣㐳晦㝤扤㉤搱㡣㤶散晦〹摤慤㉡㘶㝥慡ㄶ㘴晦晤㔴〳晦搰扦捤摢ㄲ㑢搱㤲晤㍦愳㝢戹㡡㤹晦㔴ぢ戲晦㑡搵挰㍦昴摦摦摢ㄲ〷愱㈵晢㝦㑥昷㉡ㄵ㌳扦㔰ぢ戲晦愱慡㠱㝦攸㝦㤸户㈵㡥㐴㑢昶晦㤲敥愳㔵捣晣㑡㉤挸晥挷愸〶晥愱晦戱摥㤶㌸〱㉤搹晦㙢扡㑦㔲㌱昳ㅢ戵㈰晢㥦愲ㅡ昸㠷晥愷㝡㕢攲㜴戴㘴晦㙦改㍥㐳挵捣敦搴㠲散㝦㤶㙡攰ㅦ晡㥦敤㙤㠹㜳搱㤲晤扦愷晢㝣ㄵ㌳晦愵ㄶ㘴晦ぢ㔵〳晦搰晦㈲㙦㑢㕣㡡㤶散晦㙦扡㉦㔷㌱昳〷戵㈰晢晦㐵㌵昰て晤慦昰戶挴搵㘸挹晥㍦搲㝤慤㡡㤹㍦愹〵搹晦㝡搵挰㍦昴扦挱摢ㄲ慢搱㤲晤㝦愶晢ㄶㄵ㌳㝦㔱ぢ戲晦㙤慡㠱㝦攸㝦扢户㈵敥㐲㑢昶晦㤵敥扢㔵捣挴㙦扣换つ戱散㝦㡦户㐷挳扤摥㤶㜸〰㉤搹㕦戰挷㐳扡㝦慤户晦㈳摥ㅥつ㡦㝡㕢攲〹摤扦ㄷ㝢㍣愵晢昷昶昶㝦挶摢愳攱㔹㙦㑢挸㤷つ摣㉤戳づ㍤昴挵攲换㠷摣ㄳ㙥挰㡢㍤攱㉦攸扣㔵㉡扥㐸㐸㔵扤慢晡㝢愸㡡㉦〵㔲ㄵ㜱㔵㉦㠷慡㕥搱慡㝥慥㑡㙥捥〳昳攲㘶㕤收ㅡ攰慡㕥て捤挵㡤户㔴㔹慥敡捤㔰ㄵ㌷搱㔲戵戶慢㝡㍢㔴昵㡥㔶つ㜴㔵㜲㌳ㅢ㤸ㄷ㌷户㌲搷扡慥敡晤搰㕣摣愸㑡搵晡慥敡挳㔰ㄵ㌷㥤㔲戵愱慢晡㌸㔴昵て慤ㅡ攲慡攴收㉦㌰㉦㙥〶㘵慥㡤㕤搵㘷愱戹戸戱㤳慡愱慥㑡㙥捡〲戹戸㐹㤳慡攱慥㑡㙥戰〲㉡㙥戸愴㙡㌳㔷㈵㌷㑢〱ㄵ㌷㑦㔲戵戹慢㤲ㅢ㥦㠰㡡ㅢ㈱愹摡搲㔵挹㑤㑣㐰挵㑤㡤㔴㙤攵慡攴㠶㈴愰攲〶㐵慡戶㜶㔵㜲㜳ㄱ㔰㜱戳㈱㔵愳㕤㤵摣㈸〴㔴摣㌸㐸㔵搴㔵挹愷㝥㐰挵㑤㠰㔴挵㕤㤵㝣㠲〷㔴㝣愲㑢㔵搲㔵挹愷㜱㐰挵愷戳㔴愵愵捡搲㑦㐳挱攷愷㍣㐴昵挸㜷敥㈱慡〹攸㕢㡦昳捡昲㈹㈹〳て晢〲㝣ㄶ捡挰㐳扥〰㥦㜸㌲昰愰㉦挰攷㥡っ㍣攰ぢ昰改㈵〳昷晢〲㝣㐶挹挰㝤扥〰㥦㐴㌲㜰慦㉦挰攷㡤っ摣攳ぢ昰愹㈲〳㝦昳〵昸散㤰㠱扢㝤〱㍥㈱㘴攰慦扥〰㥦〳㌲㜰㤷㉦挰搵㕥〶敥昴〵戸愶换挰ㅤ扥〰㔷㙥ㄹ戸摤ㄷ攰晡㉣〳户昹〲㕣㠵㘵攰㔶㕦㠰㙢慤っ摣攲ぢ㜰㐵㤵㠱㥢㝤〱慥㥢㌲戰摡ㄷ攰敡㈸〳㌷昹〲㕣〳㘵攰㐶㕦㠰㉢㥤っ摣攰ぢ㜰㍤㤳㠱敢慢〳㝤晦ㅦ搴㥦㠹戲</t>
  </si>
  <si>
    <t>㜸〱捤㥤〷㤸ㄴ㔵昶昶攷づ㌳挵㔴〳㑥愱㘰挲〰㈸㈶㄰㍢〷㔶㈴つ㈰㠸愰〴㕤㕤摤戱㐳戵㡣㑣挰㤹㈱ㄹ搶㥣戳慢㙢ㄶ戳扢收㠴〹㜳㕡ㄳ㘶㕤㜳捥㉢㠶㌵慥昱㝢摦㕢昷㜶㔷㔷搵捣㌰晢摦敦㜹戶愷晢㑣摤㜳摥㝢敥敤㕦㔷㔷㜷㔷㥤敥慡ㄲ㔵㔵㔵扦攱挲晦扣搴㜰㘱愳㌹换㍡㍡敤㤶搱㤳摡㥡㥢敤㝣㘷㔳㕢㙢挷攸〹敤敤搹㘵㌳㥡㍡㍡晢㐰㘰㌴㌶㈱摥㔱摢搸搱㜴㠰㕤搷戸搸㙥敦㠰愸戶慡慡慥捥慣㐶㝣〳㜵戳㜴挳㘴㉦戳㠶〶慡㉡搳愰改㑢㔳㐷㘳搲㠴㘸晡搱昴愷ㄹ㐰戳ㄶ㑤㍤㡤㐵㌳㤰㘶㙤㥡㜵㘸〶搱っ愶㔹㤷㘶㍤㥡昵㘹㌸扥戹㈱捤㄰㤸晥ㅢ挱捣㥤㌴㜱㔶㙥㍦摣㥢㌹㥤㙤敤昶愸愱扢㌹㜳ㅥㅢ㠹㡣挶㕦㍣㥥ㅥㅤㅥ㌵㜴搲愲收捥㐵敤昶搸㔶㝢㔱㘷㝢戶㜹搴搰㕤ㄶ攵㥡㥢昲㍢搹换收戶㉤戰㕢挷摡戹㜰㉣㤷㡤愷㈳昱㐴愲㤸挹愴晢㙦㡣捣㌳㈷㑤摣愵摤㉥㜶晣户㜲㙥挲㥣戳㈶㑤ㅣ㍤搳敥晣㙦攵摣ㄴ㌹㤱戲愱慤㈵摢搴晡㕦㑡㕡换挷㌴搱㘰攷㥢昸攰摢㜶㝢㔳敢扥愳㌱敤ち搰㘸愵㐶㑦攸攸㔸搴戲㤰敢搱㈴扢戹㜹戶㕤㤴て㝡㑢㐳㐷攷㉥搹昶㤶㡥晥㉤攴㘷户摢慤㜹扢㘳慤㤶挹㑢昳㜶戳ㄲ㜶搴戵散㤶㙤㥦㤹㙤戱㙢戸㔰摦攲㍣㠶搳ち㜶㙢㘷㔳攷戲〱㉤昳㍡散搹搹搶㝤㙤㑡㙡㕢愶㉥㙡㉡㠸㥡ㅡ㕣慢晡㙣ㄹ㌴㌳昹㐰㘱㍥㉤㤳收㘷摢㍢㘵㡢て㘱㈴㐸敢㕡㕤攴扤愸㤸ㄷ㔷愹愱㥥㕥㝣捣收㌴戵散㘴户户摡捤ㅣ㠴㡦攴㐸㡦㐸〲㜲ㅥ㠷ㄲ㈹㝤㜷昸㈸㠹㝥敡挹挷晢挲㔱㡣愱㌰ㅢ捣㙣㙢㙦挱ち戹戳㥤㙤ㅤㅢ〹㠷㐷捤改㉣㌴搸㡢挷㐶ㄳ收㌰㠴捤攱ㄴ㙥〶搳慦挱㙥挹戶ㄶ挶㐴攲改㌱收收っ㡤㠰ㄱ㌵慦攲㌹敥捥捣攷㔹㜵㘳戶扡㌱㔷摤㤸慦㙥㉣㔴㌷摡搵㡤挵敡挶㝤慢ㅢ攷㔷㌷㌶㔵㌷敥㔷摤戸〰ㅡ㝤愹敢摢户㕡㕤㡥ㅥ㜸晥㝤昷敤摦扥搳挹㜳戳㌷扥㍢收敤〱㠲㑦㙢戹㔵搸ㄲぢ摤捣㜴㉢㠴捤慤㘱㡣㙤㘰捡㌳㑤㡤㌱㐷㌲㌴ち㐶㠸攷㌱㔳捥㜶敥晡晢摦晣㔵搵晡㔳㙥扥攵戱摦捦㝣昵愲㑦〴㌷ㅣ㜲㤸搱㔸攸㘶㤸敤㤸㉢っ㘳㐴㘰㑡挳㐴〱㈴捡㔰っ㐶㠸㈷搵㌰搱敤慡㕡愳挳㝦㥣㜹攴㝤戳㡥晦昸愸ㅤ㡦ㄱ摣㌴挹㘱ㄲ㔸攸㘶㤸㈴㜳愵㘰㡣㌴㑣㜹㤸捣ㄸ㌳挳搰ㄸㄸ㈱ㅥ㔶挳ㅣ㌱戰敦昵㈷搷摤㌷敢㤲ㄳ搷㜹攱敤〷ㄶ摦㉢戸昱㤳挳㙣㡦㠵㙥㠶ㄹ换㕣㍢挰ㄸ攳㘰㑡挳挴〰㙤㍣㐳ㄳ㘰㠴戸㐷つ㜳㡣㜱晤㠳摢㍤戰攷㡣㈳敡晦㌸敦㤵〱㤷捥ㄵ㝣愶挹㘱㈶㘱愱㥢㘱ㅡ㤸㙢㌲㡣㌱〵愶㌴㑣㍣㌱挶㥣捡搰㡥㌰㐲摣愶㠶㔹昸晤㡥㘳慣㍤㘶捣扣㙡挳愱㔷㌵㕥㌳㘳て挱つ戸ㅣ㘶㍡ㄶ扡ㄹ㘶㈷收㥡〱㘳散っ㔳ㅡ㈶ㄶㅢ㘳捥㘴㘸ㄶ㡣㄰㌷愸㘱晥摣戸敥㠷敤㤹㔰挳㌱㤷摤昶昴㔳㕦ㅤ扢戱攰㑢㠴ㅣ㘶㔷㉣㜴㌳捣㙣收㥡〳㘳捣㠵㈹て㤳ㅣ㘳捥㘳㘸㌷ㄸ㈱晥愶㠶ㄱ搳昷ち攵攷㕤㍦攱扣攸扤㍦㡥㝢㝥搳㔵愲ㅦ挲㜲㤸摦㘳愱㥢㘱昶㘰慥㍤㘱㡣㍦挰㤴㠶㠹㠷挷㤸㝢㌱戴㌷㡣㄰㤷愸㘱㌶㥣㍥㝣挲㡡㝢㐲戳㉥㝤㘳愷㘷敦摡攰挲昳〴㕦收攴㌰㡤㔸攸㘶㤸㝤㄰㌶戳㌰㐶づ愶㍣っ搶戴㍣㐳〵ㄸ㈱捥㔳挳㌴㕣㜰搵攲攷戶ㅣ㌳昹ㄶ㝢摡捤扦摣㌲晣㍤挱ㄷ㔲㌹㑣ㄱぢ摤っ戳㉦㜳捤㠷㌱㥡㘰㑡挳㐴〱㙤㍦㠶ㄶ挰〸㜱㠶ㅡ㘶昸敡戵㤷摢昵㑦㡤扦㘱攰戵昳㔷㝣㌱愳㡦攰㑢戵ㅣ愶〵ぢ摤っ搳捡㕣㙤㌰挶㐲㤸搲㌰㌱摣㥢晤ㄹ㙡㠷ㄱ攲㈴㌵捣㡤搷つ㕡㤵戱㤶㑤晥昳扦て摢晡扤㑦挷㥤㉣昸㘶㐰づ搳㠹㠵㙥㠶㔹挴㕣㡢㘱㡣㈵㌰愵㘱攲昱㌱收㔲㠶㤶挱〸㜱戴ㅡ㘶昹㜵ㄳ㔷㍥晤搲〶㔳㑦㙥㔸昹慡㤸㝤摦㑡挱户ㅢ㜲㤸〳戱搰捤㌰〷㌱搷挱㌰挶㥦㘰㑡挳挴昰扣㌹㠴愱㐳㘱㠴㌸㐴つ㘳摥ㄳ戹㜸挸敡㈹搳て晢晣摡㐷㐴晦搴㘰挱㌷㌴㜲㤸挳戱搰捤㌰㐷㈰㙣ㅥ〹㘳ㅣ〵㔳ㅡ㈶ㅥㅤ㘳ㅥ捤搰㌱㌰㐲㉣㔵挳っ㍦昷扥收慢ㅦ㝤㘴晣㜵晤㜷摣㝥换㝢敥晦㤷攰㕢㈶㌹捣㜱㔸攸㘶㤸攳㤹敢〴ㄸ攳㐴㤸搲㌰㌱っ㜳ㄲ㐳㈷挳〸戱扦ㅡ愶攱搶㠱㘲㡦ㅦ㥥㥥㜱摢ㅥ㤷㉣㕢敢㠰ㅦ挶ち扥㈹㤳挳㥣㡡㠵㙥㠶㌹㡤戹㑥㠷㌱晥っ㔳ㅡ㈶㠱攷捤ㄹっ㥤〹㈳挴㝥㙡㤸昵㙥㕥㝥搴昶㠳㑦㥢㝥晤ㅢて扣摣㜱昰㜱搵㠲㙦晢攴㌰㘷㘱愱㥢㘱捥㘶慥㜳㘰㡣㜳㘱㑡挳挴戰ち㥣挷搰昹㌰㐲攴搵㌰攳㑥㙦愸昹摢攷愳㈷摤㝤㜵摤㙥ㅢㄸ㝦㕦㈹〶㈳㉣㠷戹㄰ぢ摤っ戳㥣戹㉥㠲㌱㉥㠶㈹てㄳㄹ㘳㕥挲搰愵㌰㐲散愵㠶㜹㜱改㔵攷㡤㥥㜹攸搴换戶㌲㘷摦㙢㘶㙥㄰㝣敢㉡㠷戹ㅣぢ摤っ㜳〵㜳㕤〹㘳晣ㄵ愶㌴㑣ㅣ㥢捥扦㌱㜴ㄵ㡣㄰昳搴㌰㠳摦㡣㝦㜸摣挹敢㌶摣㕥摦昸晢㠶㐷昶戹㑦昰捤戱ㅣ收ㅡ㉣㜴㌳捣戵捣㜵ㅤ㡣㜱㍤㑣㘹㤸ㄸ㕥㍤㙦㘰攸㐶ㄸ㈱㘶慡㘱㔶敦晡摡㐱搷慦㍡㘰攲戹挶㔱㜷捥慡摦昳ㅥ戱㍥挲㜲㤸㥢戱搰捤㌰户㌰搷ちㄸ攳㔶㤸搲㌰㔱扣慣摤挶搰敤㌰㐲㑣㔵挳捣㥣㝦㘸㑢昳愸昰捥㘷ㅤ扦搵慢㕢晥㤴扤㔹㙣㠰戰ㅣ收㑥㉣㜴㌳捣㑡收扡ぢ挶戸ㅢ愶㌴㑣ㅣ㡦捤㍤っ摤ぢ㈳挴㜸㌵捣㍥捦摥戸㙣搸户㡢㜶扡晤㡢て㡦慡晤㝡捦㕤挵㠶〸换㘱敥挷㐲㌷挳㍣挰㕣て挲ㄸて挱㤴㠷挱愶昳㘱㠶ㅥ㠱ㄱ㈲愳㠶㌹㜸攸挲〳ㅦㅦ晤户ㄹ㈷㌴ㅥ昵改愴㑦㕦晦㐲っ㐱㔸づ昳㈸ㄶ扡ㄹ收㌱收㝡ㅣ挶㜸〲愶㌴㑣っ捦㥢㈷ㄹ㕡〵㈳㐴㔴つ戳搹㐷㡦㌶戶慤㍡㘹收㈹ぢ户㌹㜱搶㝤㉢㙢晡㍦㡤昰慥敡摤㘵㐳㝢㜶〹摥慦㤷㍦ち㐴㐷㠷昹搷昳㘷㈰㝣〴㉡㈶㡡愹㘲㈴㔲㐸㠴戳戱㙣敤㌰愴㕤搳㌷摢摣慣昶㉦敥摥搴㕡㘸㕢㈲摦㝤㙦㌴㌱摢㘱㤷摦㡣㡦㔴戱㠹㙤㡢㕡ぢㅤ㐳㠲㠳㜳㍡戳㥤昶㠶摥㔸㌹㠹慦摢ㅣ㝣㌶戱㍢攴㜸㥢㜸扢敤㤶㙤㕥㘴㑦㔸摡攴㠴㌷昶㠴昱挹愴㉤搷㜵㜴㑡扢扤㝦㈹敡㥢搱〴㝣㜴㕥㉣㜳晢敥愵ㄳ㜲收㌵㜴搲晣戶づ扢㔵㑥㙦㘴换㉥㑤昹〵㜶晢ㅣ㥢ㅦ扣敤㠲扣慢㠳ㄹ㔲ㅦ㡦㐶捥㙡挵ㅤ挵〷㥥挲㜰户户㌸㜹㘹愷摤㕡戰ぢ㤸敦㐲扢扤㜳搹摣㙣慥搹㕥户㐲攲㡣㠹挰〶ㄵ敥㈹㙤昹㐵ㅤ㤳摡㕡㍢摢摢㥡㉢㈳ㄳち㡢戳昸㐸㔶搸戹慤㘰攳ㄳ㔵つ㉦㔵愲慡㑦ㅦ㈱慡戶〹晡㔸挳扣ㅤ愳攵〳攱㝡㠸㌷挶㘳扥㝥攵㙡㌷㝡㌶敥ㅤ敥㐵戳捤㜵戲㝡昳ㅥ㤲挹扣㑣戳㜵搷㐲搷㝤攲㕥ち慡户敡㕡㉤攷㔸㝡攴晥晦㡡慢慢搷㔱昷㝥昲㘲㝣㙣摤ㄱㅦ捦㥡敤昶㙥昷戱〸捥挸㝣〶愶㜶㍢㍣㥢扢愴㔷〳㠵㔸㉡㤶搵㉥㘹㉡㜴捥㌷收摢㑤晢捥攷晢㈲散㠷愹慢㈳㕡摦挵㝣づ㉥昳㜹㥡ㄷ㘰㐲愱㉡攳㐵㡡㡣㤰昹㤲搳慥ㅤ㡥晦扤晦㐰㕣㡤㕥愶晣〰㡥扤㈵ㅤ戵㉤㔳摡摡㍢晡昴〹扡㤷㍢㘶㍢收㜷㜲昵散㍥挸㝣晦愰㜹ㄹ愶㜶㜳㤸ㅥ㍦㙦搷㐳㔴挳摤ち〳㕡ㅡ散㘲ㄶ㍢㜳攴戳㕢㘴㙢㕢㥣晤〳つ㜶㐷摥攴㡥㠴㘹㜸慥㉣㌵戰㠴㈷㝦晦ㄶ慥晤昶搲捥㠶㙣㘷戶㙦ぢ㜶㐹攰㔱㌲㈱ㅡ㈹㝢㌹㑢散㌹㐰晡㜴敦㤰㙡㈱㠳㈵ㄷ㕤㔹晡㐹㠷㤳〹㑦ㅣ㍣㕦慡晡㈸摢晤㥤挰摣㌷挱㥤㌰扣㉢㝡攵慥〵散昱㈸㑣戵㕢攷㉥㕢㘸㜷㔰㕥㘷㜴㡢搲晢昴㘲戲㔹昹摣扣捥愶收㡥搱㤸改搴昶戶㐵ぢ晦㥢㜹㤸换㝣〵㐶㕦㙡户挰㕡扣收昷〹戸慡晡㉥收㘳搳搸㔸㔵挷㙣昴㤸㥢搱㜰㙤㐵戲摦昰㑦㕥捣㌷昰㉦搴㕤慣㜶〴ㄴ㈳㠳戶〵㕤散㠶愹㠵扥㝦ぢ〸捤㙤户攵㡥愵㍡搹〰敤〱㉤扢户戵㉦挸戵戵㉤攰晡戴㤶㙣㜵捣户敤㑥敥慣改愷㜶㑥挹㥤㔰㐲昴改㔳戱扦挵戵㔷㘷㔳攴㌷摥㠱ㄹ㌰愱戹㜹愸捥搸㘱扣ぢ㔷ㅦ散㌶㌲摥挳挲㐶戳摡ぢ㜶晢戶昳ㄶ㙥㍢户㙤㈸昶㉡㉤㙡捥㍡㍢㘲㤷㌶㜷㉣ㄵㅢ㠱〰㜷㤲摣㌶愲昸愷挷〷扤㍡攱㠲ㄹ戵㑦晤敥戸慤戲㘲㠸ち昸㜶搲㙣㠵㥣挳㜰㌳㍦㠴ㄱㅢ㐰挶㉤ぢ㤶㉢㉦收挷㘸㥢㥦搰㝣ち㠳敤㠳㈴㡥捤挳㘷㑥㔳㙣㡤晦摣㐴㤸慢㘹㍥㠷ㄱ㈳㘱昸〴㌵扦㠰搱ㄷ㘱㈱㍦ㅦ㜷昹搸㙤〳户晦戱晢ㅡ摥㤰搹㑤㑣㡣㠲㠲㡦㥦㐹㕥㈶〹㤹愴㈳っ㈴づ〴㔰慢〲扥摤㐷摢愱㥢〴昰㌳晢昷㠱㉣ㄸ挰慦ㅣ㠳㘰㑣慥㜵㉥〰搵㑥㔳㠴ㄱ㤳〰晡挰㘱㜲㠷戹㠸挲㈵〱搴愲愵㉦攲挷㕦㕤〰㈲㜰晢〱㤸捣㘹㜶ㄳㄳ㌱昴ぢ〲昰㈵㤲〷〲昸㐲〵㝣㍢戶㤲挸㌴㡣戳㔸㥢㔳㕥つ㔹㌰㠰㐱〸㥢㠳㘹搶㠵㜱〱㔸摦㘹㡡ㄴ㤲㐸〰ㅢ㔰戴㈱㡣挸挰㈵〱っ㐱㑢㕦挴晢㙥〰㘹戸晤〰㌶㘵㑥戳㥢㤸ㄸ㠳㝥㐱〰㕥敤ち挰㉢㉡攰摢攵㌶ㄶ㤹㠶㜱ㄶ㕢㜱捡晦攸ㄲ挰㌶〸㥢㈳㘹㐶挱戸〰㡣㜶㥡㘲〷㈴㤱〰戶愳㈸っ㈳挶挳㈵〱㐴搰搲ㄷ昱㤴ㅢ挰㌸戸晤〰ㄲ捣㘹㜶ㄳㄳㄳ搰㉦〸挰㐳㕤〱㜸㔰〵㝣㍢〳ㅢ㤰㘹ㄸ㘷戱〳〶ㄵ昷㜷〹㘰㍣挲收〴㥡㠹㌰㉥〰つ㑥㔳㑣㐶ㄲ〹㘰㌲㐵㔳㘰〴昷ㄲ㑡〰㔳搱搲ㄷ㜱扢ㅢ挰ㄴ戸晤〰㜶㘲㑥戳㥢㤸搸ㄱ晤㠲〰㕣搷ㄵ㠰㙢㔵挰户㥢㜲㈷㘴ㅡ挶㔹捣攵㤴慦敥ㄲ挰㙥〸㥢扢搳晣ㅥ挶〵㘰㑦愷㈹㘶㈰㠹〴昰〷㡡昶㠲ㄱ㌳攱㤲〰昶㐶㑢㕦挴㈵㙥〰㍢挳敤〷㤰㘵㑥戳㥢㤸㤸㠵㝥㐱〰捥敥ち挰㔹㉡攰摢㠱㍡ㅢ㤹㠶㜱ㄶ晢㜱捡㘷㜶〹愰ㄹ㘱戳㠵愶ㄵ挶〵㘰愱搳ㄴ㜳㤰㐴〲搸㥦愲㜶ㄸ㌱て㉥〹愰〳㉤㝤ㄱ㈷扡〱捣㠵摢て㘰〹㜳㥡摤挴挴㙥攸ㄷ〴攰昰慥〰ㅣ愶〲扥㕤扢㝢㈰搳㌰捥攲㔰㑥昹㤰㉥〱ㅣ㡥戰㜹〴捤㤱㌰㉥〰㐷㍢㑤戱㈷㤲㐸〰挷㔰㜴㉣㡣搸ぢ㉥〹攰㌸戴昴㐵㉣㜶〳昸〳摣㝥〰㈷㌱愷搹㑤㑣散㡤㝥㐱〰㥡扢〲戰㐰〵㝣㍢㥤昷㐱愶㘱㥣挵㕦㌸攵愶㉥〱㥣㡤戰㜹づ捤戹㌰㉥〰攷㍢㑤㤱㐵ㄲ〹攰〲㡡㉥㠴ㄱ㜹戸㈴㠰攵㘸改㡢搸挷つ㈰〷户ㅦ挰愵搰㠷捣㙥㘲愲㠰㝥㐱〰㜶敢ち挰㍣ㄵ昰敤づ攷㙥敥㘱㥣挵㌵㥣昲㥣㉥〱㕣㠷戰㜹㍤捤つ㌰㉥〰㌷㌹㑤㌱ㅦ㐹㈴㠰㥢㈹扡〵㐶散〷㤷〴戰〲㉤㝤ㄱ搳摤〰㥡攰昶〳戸㠳㌹捤㙥㘲㘲〱晡〵〱ㄸ摦ㄵ㠰㜱㉡攰摢㔱摦㡡㑣挳㌸㡢〷㌸攵戱㕤〲㜸〸㘱昳㘱㥡㐷㘰㕣〰ㅥ㜵㥡愲つ㐹㈴㠰挷㈸㝡ㅣ㐶散て㤷〴昰〴㕡晡㈲攲㙥〰ぢ攱昶〳㜸㥡㌹捤㙥㘲愲ㅤ晤㠲〰㙣搳ㄵ㠰慤㔵挰㜷〸㘱ㄱ㌲つ攳㉣㕥收㤴户散ㄲ挰慢〸㥢慦搱扣づ攳〲昰愶搳ㄴ㡢㤱㐴〲㜸㡢愲户㘱挴㔲戸㈴㠰㜷搰搲ㄷ戱㠹ㅢ挰ㄲ戸晤〰㍥㘰㑥戳㥢㤸㔸㠶㝥㐱〰〶㜵〵㘰ㅤㄵ昰ㅤ摣㌸〸㤹㠶㜱ㄶ㥦㜳捡〳扢〴昰㈵挲收㔷㌴晦㠲㜱〱昸挶㘹㡡㠳㤱㐴〲昸㤶愲敦㘰挴㈱㜰㐹〰摦愳愵㉦愲捥つ攰㑦㜰晢〱晣挴㥣㘶㌷㌱㜱㈸晡〵〱昸昵㤷㉥摥ち晦愲〲扥挳㉥㐷㈰搳㌰捥愲愶ㅡ㔳晥〹戲攰户挲〶挲㘶㕦㥡㍡ㄸㄷ㠰㤰搳ㄴ㐷㈲挹㜰㈶敡㐷㔱㝦ㄸ㜱㌴㥡ㄲ挰〰戴昴㐵晣ぢ㘳㤴㍥っㅤ〵户ㅦ挰㐰攸㐳㘶㌷㌱挱愳㍣㐱〰㍥敥ち挰㐷㉡攰㍢㈰㜴㍣㌲㐹〰ㅢ㜲捡ㅦ㜴〹㘰㈳㠴捤㡤㘹㌶攱散捡㥦〶㠷㍡㑤㜱〲ㄲつ攷摤ㄹ㐶搱㜰ㄸ㜱ㄲ㥡ㄲ挰㘶㘸改㡢㜸摤つ攰㐴戸晤〰戶㠴㍥㘴㜶ㄳㄳ㈷愳㕦㄰㠰攷扡〲昰慣ち昸づ㔵㥤㠶㑣ㄲ㐰㤸㔳㝥扡㑢〰㔱㠴捤ㄸ㑤㥣戳㉢〳㐸㍡㑤㜱㍡ㄲつ攷摤㐹㔱㤴㠶ㄱ㘷愰㈹〱㘴搰搲ㄷ昱㠸ㅢ挰㥦攱昶〳ㄸぢ㝤挸散㈶㈶捥㐴扦㈰〰㜷㜵〵㘰愵ち昸づ愲㥤㡤㑣ㄲ挰ㄴ㑥昹㡥㉥〱散㠸戰㌹㡤㘶㍡㘷㔷〶㌰挳㘹㡡㜳㤰㘸㌸敦捥捥ㄴ捤㠴ㄱ攷愱㈹〱捣㐲㑢㕦挴つ㙥〰攷挲敤〷㌰〷晡㤰搹㑤㑣㥣㡦㝥㐱〰慥攸ち挰攵㉡攰㍢扣户ㅣ㤹㈴㠰扤㌸攵㑢扢〴昰㐷㠴捤㐶㥡㝤㌸扢㌲㠰㥣搳ㄴㄷ㈱搱㜰摣捣㍣㐵〵ㄸ㜱〹㥡ㄲ㠰㡤㤶扥㠸㜳摤〰㉥㠶摢て愰〹晡㤰搹㑤㑣㕣㡡㝥㐱〰㑥敤ち挰㈹㉡攰㍢昰㜸〵㌲㐹〰敤㥣昲㐹㕤〲攸㐴搸㕣㐴戳㤸戳㉢〳㔸敡㌴〵て㑡づ攷摤㔹㐶搱〱㌰攲㙦㘸㑡〰〷愲愵㉦攲㐸㌷㠰扦挲敤〷㜰〸昴㈱戳㥢㤸戸ち晤㠲〰ㅣ搰ㄵ㠰㘵㉡攰㍢㈴㝡㉤㌲㐹〰挷㜲捡㑢扡〴㜰㍣挲收〹㌴㈷㜲㜶㘵〰㈷㍢㑤㜱ㅤㄲつ攷摤㌹㠵愲㔳㘱挴つ㘸㑡〰愷愱愵㉦愲搵つ攰㝡戸晤〰捥㠴㍥㘴㜶ㄳㄳ㌷愲㕦㄰㠰㐲㔷〰昲㉡攰㍢㔸㝢ぢ㌲㐹〰ㄷ㜲捡搹㉥〱㕣㠴戰㜹㌱捤㈵㥣㕤ㄹ挰㘵㑥㔳慣㐰愲攱扣㍢㤷㔳㜴〵㡣戸つ㑤〹攰㑡戴昴㐵晣摥つ攰㔶戸晤〰慥㠶㍥㘴㜶ㄳㄳ户愳㕦㄰㠰㤹㕤〱搸㔹〵㝣㠷㤱㔷㈲㤳〴㜰ぢ愷扣㔳㤷〰㙥㐵搸扣㡤收㜶捥慥っ攰㑥愷㈹敥㐲愲攱扣㍢㉢㈹扡ぢ㐶摣㠳愶〴㜰㌷㕡晡㈲㈶扡〱摣つ户ㅦ挰晤搰㠷捣㙥㘲攲㕥昴ぢ〲㤰敥ち㐰㑡〵㝣〷戸ㅦ㐰㈶〹攰㜱㑥㌹搱㈵㠰㈷ㄱ㌶㔷搱㍣〵攳〲昰㡣搳ㄴて㈲搱㜰摥㥤㘷㈹㝡づ㐶㍣㡣愶〴昰㍣㕡晡㈲㐶戹〱㍣〴户ㅦ挰㍦愰て㤹摤挴挴㈳攸ㄷ〴㘰㜸㔷〰㠶愹㠰敦搰晢㘳挸㈴〱扣捤㈹㙦摡㈵㠰㜷ㄱ㌶摦愳㜹㥦戳㉢慦〱ㅦ㍡㑤昱㌸ㄲつ攷摤昹㠸愲㡦㘱挴㤳㘸㑡〰㥦愰愵㉦㘲㕤㌷㠰㈷攰昶〳㔸つ㝤挸散㈶㈶㔶愱㕦㄰㠰晥㕤〱攸愷〲摥愲㠰摡㘷㤰愹ㄷ〷㜳晢㜱挲挵摤㥡散㈵㍣晡戴㔶ㄱ昵户㤳ㄶ㜵㜴戶挹㐳㘵〳㡡つ㙤㌳摢㍡ㅢ㥡㍡ㄶ㌶㘷㤷慤㔳㔴ぢ扢捦户㕢㜱㈰扢ㅤ挷戳㍤扥戶㠵ぢ敤㠲㔹㥣搳戶愸㍤㙦㑦㙢昸㕦㌸搰㡤晢㠷㠷㑥ㅥ攳慥ㄶ戸晣㘷挷㙥慢搰ㄳ㙢〹㉥㔵戵捦㈱愱昷㄰㥣慣〲㜶ㅤ㉥㤷㡢ㄶ㠴昵㘵愲㜳㥢㍡㥢敤㝥㐵㜹愸㕡㉥搷ㄵ㐱ㄱ搵〱㠵扥挵戹昳㜱㘸慡㘱㐰㜱㙡㝢㔳愱戹愹搵收㠳㌱挸㤱捥戰昷㐵㈵挰㉥㙤ㅤ㑤㍣㕥㌴愰㌸户㍤摢摡戱㤰〷㌵昳换搶慥㘸挹愳㥦戵挵㠹㑤慤ㅤㄸ㐶㍥㡡㕣慥㉦捥㤹摦戶〴戵晦㡢㕡㕡愷㘶ㄷ㜶晣㑦㍣㉡㠲て㡢扣挸㠷㐶㔴㡢敡㙡㔱㔷㕤昷㥦㍥㍥挶㜷㜸㡥慤攳㔴㔵て挵㝡摡搹摥㤴㕢㐴㘰㜲㡣㈸㙣つ㡤㝣っ慢㙡㥦挷㤲昷昰愵敢㈱昴搴ㅥ㜰慥ㄵ㌵敤㠱㠷挱㑢㕦愸搸ㄸ㜲昳㝢㑣愷晦て㌰搳愷捥㥢㔶慥捡昹㍦㝤㍢愱昶〵㘴㕥攳㈲㠸挱㄰慦攵慣㐲㉣㡣攰ㅡ㠵㘷㈶搶〴戶扣慢㘵愸㈸㌵㕣㐳搷㉡㉦㑥挱㜱昴晥挵ㄹ搹㥣摤㡣挳晦㉤搹捥戵㥣〶㡦扤愲㝡扤㐳挵㈶戵戵戴㘴戹捡戱〶㝦㑥㍥摢㙣搷ㄵ㈷㉣敡㙣摢戹愹搵㉣挲挸昵㔲戹戲㑢攱捡㉥㜵づ搴ㄷ㘷戳㉣㐸㉥㌳㔷摢扥搹昶愶捥昹㉤㑤昹㍡㌶㔸扡昳㍦戱慥㘲晢㔱〳㤸晡愲户㈵摥㈳晦捥昱㜷㍣摣愳㔱㉣㐳㜴㝣昸戱㐶㔷ぢ〳㝦攲㍦慣ㅡ挱㤶㐷扥愰㤸㍦㈲㕢㉤㙥㜲㔳㈴攷昲愵㍣ㄴ㡢挵㉦て挱㉡㉡㌷㑥攲㈵ち㜰㌳㝦㠲㤴ぢ扣搵晣〳愶摢㤲㠲扥㄰㠴㘶戴㘵ぢ㔳戲㜹㝣㥦愶慦晡㌶㑤ㅤㅥ㕡㙥㙡摡㉤ㄶ㜹㑣㐲摤㄰敡㤱ㄶ㌷攱㐰㜶ㅤㅤ㜳昰㙤愱ㅡ㤶㠷ㄸ捥㘳㠸挳摤㝤慡㙡㙢晢搵〵㡤㌵㑤攷摡㕣ㅤ㍡㜷㝦ㅢ㘹㥡㉦晦㘷扢愶挷昱摥㠶㐲昲㈵敡㘷㉣㥢扦昰㍥扤っ㈷敦㡦㐷昰㉢〵扦挱搴扥㠲愰昷戱愹慣户㐰㔵㠶〹㔱㡤晣ㅥち㉢㐱敡㔰㌵㈱㑢㐸㙡攵ㅤ改攷㉡晤㌰㥣慡㡦㍡晤攵ㄶ㘳づ搶㜲扢㄰㜲戶慦㉣㌱挱㉢㐳㔵㜵㜵つㅥ㙡挳㕢㌶攷ㅢㄶ挹㕡收搸戲㈶㐴㙣㠲㈹ㄸ慣ㄳ㕣㠷㑦ㄶ攴㙦㜴㝦搷攳㐵㐴㜱㑣晢㌷晣㤳㤷㔰挸慣㠶戶㉡㈴摥㠰搵〰晡搳攳㄰〲㝡散晦㠲ㄱㅦ挲挹户〱慥ㄷ㉤昱㌱㥡㝣攱挲㕥㍤㌰㤲ㄷ捦㐶㔱㝣〲㉦㌷㡣愶挱㈴㥦㘲㠹摢㥢搲晡㔷〷㙦捦敢摦㘷散㠱㥢挹㙦㠸改昵㑦慣㠶㐷㑦㤹挳慢㈹㠷愰㌱晢㔱昸㜹戰愰㍦〵〳㈸昸〲〲㍥戰挶㕡㘸昹㠱愱捣㌴〰㤸〵㉤㠰㝤敤㑡敥〲㌶㤰挹搷㘶昲㥦㈱昰〲晢ㄵ扥ㅥ㠰昱戱㤱挰〶㌱〹敦㙤〵戰㜵攱敤ㄹ㔸㌵扡㐹㘰敢挹㈴㑥㐳戰ㄴ㈱〰搸晡搰㤸ㅢ㔰挸㌲㠵〰挱㠶ㄴっ愱㠰㤵ぢㄲ搸㐶㘸昹㠰昱换㌳〱挰㌶㠱ㄶ挰㔸挵愰㤳扢㠰㙤捡攴㐳㤹㥣ㄵ〷㕥㘰㉣㌳攸〱ㄸ㡢㄰㈴戰攱㑣挲㙡㠴ち㘰㥢挳摢㌳㌰㔶㉤攰㡡㉦㐲㌱〹ㄶ攴㡤愵ぢ㝡捡慥㌵㙣ぢ㘸捣㉤㈹㘴㔹㐳㠰㘰㉢ち戶愶㠰㤵づㄲ搸㌶㘸昹㠱攱敢っ〱挰㐶㐱ぢ㘰㥢扡㤲扢㠰㙤换攴愳㤹㥣ㄵち㕥㘰㉣㑢攸〱ㄸ㡢ㄶ㈴戰㌰㤳戰㝡愱〲㔸ㄴ摥㥥㠱戱捡〱㔷散昶㘴ㄲつ㡣愵づ〱㍣攲搰㤸〹ち㔹〶ㄱ㈰㐸㔲㤰愲㠰㤵ㄱㄲ㔸ㅡ㉤ㅦ㌰㝥愱㈹〰搸ㄸ㘸〱㡣㔵ㄲ㍡戹ぢ搸敦㤸㝣㝢㈶㘷㐵㠳ㄷ搸㜸昸㝡〰㌶〱ㄲ〹㙣〷㈶㤹㠸㔶〵戰昱昰昶っ㡣㔵ㄱ戸愲㘴㠲㐹㌴㌰㤶㐶攸㈹扢搶戰㠹搰㤸㤳㈸㘴搹㐴㠰愰㠱㠲挹ㄴ戰㤲㐲〲㥢㠲㤶てㄸ扦㥡ㄵ〰㙣㐷㘸〱㡣㔵ㄵ㍡戹ぢ搸㌴㈶㥦捥攴慣㠰昰〲㘳搹㐳て挰㔸ㄴ㈱㠱捤㘰ㄲ㔶㐷㔴〰㥢〹㙦捦挰㔸㐵㠱㉢扥敥挵㈴ㅡㄸ㑢㈹昴㤴㕤挰㜶㠱挶摣㤵㐲㤶㔹〴〸㘶㔳㌰㠷〲㔶㕥㐸㘰㜳搱昲〱攳㤷捣〲㠰敤〶㉤㠰㘵㕤挹㕤挰㜶㘷昲摦㌳㌹㉢㈶扣挰㔸㈶搱〳㌰ㄶ㔱㐸㘰㝢㌲〹慢㈹㉡㠰敤〵㙦捦挰㔸㜵㠱㉢扥㔱挶㈴ㅡㄸ㑢㉦〲㜸晣ㄱㅡ戳㤱㐲㤶㘵〴〸昶愱㈰㑢〱㉢㌵㈴戰ㅣ㕡㝥㘰昸晡㐲〰戰〲戴〰挶慡つ㥤摣〵捣㘶昲㈲㤳ㅦち㠱ㄷ搸攱昰昵〰㡣㐵ㄷㄲ搸㝣㈶㘱昵㐵〵戰晤攰敤ㄹㄸ慢㌴㜰挵㤷搶㤸㐴〳㘳愹㠶㥥戲㙢つ㙢㠶挶㙣愱㤰㘵ㅣ〱㠲㔶ち摡㈸㘰㘵㠷〴戶㄰㉤ㅦ㌰㝥昱㉦〰㔸㍢戴〰挶㉡て㥤摣〵慣㠳挹昹慤㝡挱㡡っ㉦㌰㤶㘱昴〰㡣㐵ㅡㄲ搸㘲㈶㘱戵㐶〵戰愵昰昶っ㡣㔵ㅤ戸㘲ㅦ㍥㤳㘸㘰㉣敤搰㔳㜶〱㍢〰ㅡ昳㐰ち㔹昶ㄱ㈰㌸㠸㠲㠳㈹㔸づ㠱〴昶㈷戴晣挰㠲㕦㈵て㠵ㄶ挰㔸ㄵ愲㤳扢㠰ㅤ挶攴㠷㌳㌹㉢㌸扣挰㔸戶搱〳㌰ㄶ㜵㐸㘰㐷㌲〹慢㍢㉡㠰ㅤつ㙦捦挰㔸〵㠲㉢扥㝡挷㈴ㅡㄸ㑢㐱昴㤴㕤挰㡥㠵挶㍣㡥㐲㤶㠹〴〸㡥愷攰〴ち㔸㌹㈲㠱㥤㠸㤶てㄸ扦㡣ㄹ戰㠶㥤っ㉤㠰戱㡡㐴㈷㜷〱㍢㠵挹㑦㘵㜲㔶㝣㜸㠱戱捣愳〷㘰㉣〲㤱挰㑥㘷ㄲ㔶㠳㔴〰㍢〳摥㥥㠱戱㙡〴㔷㝣扢㡦㐹㌴㌰㤶㡥攸㈹扢㠰晤〵ㅡ昳㉣ち㔹㔶ㄲ㈰㌸㥢㠲㜳㈸㘰愵㠹〴㜶㉥㕡㍥㘰晣㕡㘹〰戰昳愱〵㌰㔶㥤攸攴㉥㘰ㄷ㌰昹㠵㑣捥ちㄱ㉦㌰㤶㠵昴〰㡣㐵㈳ㄲ搸㐵㑣挲敡㤱ち㘰㤷挰摢㌳㌰㔶㤹攰㡡㉦㄰㌲㠹〶昶ㄶ㤶昴㤴㕤挰㉥㠳挶扣㥣挲户㠳〵㔷㔰㜰㈵〵敦㐰㈰㠱晤ㄵ㉤ㅦ㌰㝥㐱㌶〰搸㔵搰〲ㄸ慢㔴昴攸㉥㘰㔷㌳昹㌵㑣捥㡡ㄲ㉦㌰㤶㤱昴〰㡣㐵㈶ㄲ搸㜵㑣挲㙡㤳ち㘰㌷挰摢㌳㌰㔶愵攰㡡敦㈸㌲㠹〶挶搲ㄴ㍤㘵ㄷ戰㥢愰㌱㙦愶㤰㘵㉢〱㠲㕢㈸㔸㐱〱㉢㔹㈴戰㕢搱昲〱攳㔷㝤〳㠰摤づ㉤㠰戱慡㐵㈷㜷〱扢㠳挹敦㘴昲ㅡ捣挹ぢ㡣㘵㈷㍤〰㘳㔱㡡〴㜶ㄷ㤳戰㍡愵〲搸㍤昰昶っ㡣㔵㉣㤸ㅦ扥〶挹㈴ㅡㄸ㑢㔹昴㤴戱愸㍦㝣摦〷㡤㜹㍦㠵㉣㜳〹㄰㍣㐰挱㠳ㄴ戰昲㐵〲㝢〸㉤ㅦ㌰㝥㘹㌹〰搸㈳搰〲ㄸ慢㘰㜴㜲ㄷ戰扦㌳昹愳㑣捥㡡ㄵ㉦㌰㤶愹昴〰㡣㐵㉣ㄲ搸攳㑣挲㙡㤶ち㘰㑦挲摢㌳㌰㔶扤㐸㘰慢㤸㐴〳ㅢ〶慦㥥㌲ㄶ㌵戰愷愰㌱㥦愶㤰㘵㌱〱㠲㘷㈸㜸㤶〲㔶捡㐸㘰捦愱攵〳挶慦㕦〷〰㝢〱㕡〰㘳搵㡣㑥敥〲昶㈲㤳扦挴攴慣㜰昱〲㘳㔹㑢て挰㔸昴㈲㠱扤捣㈴慣㝥愹〰昶㉡扣㍤〳㑢愲㥢〴昶ㅡ㤳㘸㘰㉣㤵搱㔳挶愲〶昶㍡㌴收ㅢㄴ愶㠳〵㙦㔲昰ㄶ〵慣慣㤱挰摥㐶换〷㡣㕦㈴て〰昶㉥戴〰挶㉡ㅢ㍤扡ぢ搸㝢㑣晥㍥㤳戳㈲挶ぢ㡣㘵㌰㍤〰㘳㤱㡣〴昶㈱㤳戰㕡愶〲搸挷昰昶っ㡣㔵㌵ㄲ搸㈷㑣愲㠱戱戴㐶㑦ㄹ㡢ㅡ搸愷搰㤸晦愴㤰㘵㌷〱㠲捦㈸㔸㑤〱㉢㜱㈴戰捦搱昲〱攳㔷攲〳㠰㝤〹㉤㠰戱㉡㐷㈷㜷〱晢㡡挹晦挵攴慣愰昱〲㘳搹㑣て挰㔸㔴㈳㠱㝤挳㈴晢愰㔵〱散㍢㜸㝢〶挶㉡ㅣ〹散㝢㈶搱挰㔸㡡愳愷㡣㐵つ散〷㘸捣㝦㔳㔸〸ㄶ晣㐸挱㑦ㄴ搸㄰㐸㘰㍦愳攵〷㠶㉦㤰〷〰晢ㄵ㕡〰㘳ㄵ㡦ㅥ摤〵散㌷㈶慦挲愱〱挱㡡ㅢ㉦㌰㤶搹昴〰㡣㐵㌸ㄲㄸ昶ㅥ㔷㠹挵㘸㔵〰挳户㜳搷〰搸㔲㜴㤳挰㙡㤹㐴〳㘳改㡥㥥㌲ㄶ㌵㌰〳ㅡ戳㉦㠵㉣敢〹㄰搴㔱挰ㅦ昶ㄲ慣昴㤱挰㐲㘸昹㠰昱㘷ち〲㠰昵㠷ㄶ挰㔸昵愳㤳扢㠰つ㘰昲戵㤸㥣ㄵ㍡㕥㘰㉣换改〱ㄸ㡢㜶㈴㌰㡢㐹㔸扤㔳〱㙣㙤㜸㝢㕥挳㔸攵㈳㠱慤挳㈴ㅡㄸ㑢㝤昴㤴戱愸㠱つ㠲挶ㅣ㑣㈱换㠰〲〴敢㔲戰ㅥ〵慣っ㤲挰搶㐷换〷㡣㍦戸㄰〰㙣㐳㘸〱㡣㔵㐲㍡戹ぢ搸㄰㈶摦㠸挹㔹搱攳〵㜶ㄱ㝣㍤〰扢ㄸㄲ〹㙣ㄳ㈶㘱戵㑦〵戰愱昰昶っ㡣㔵㐱ㄲ搸㌰㈶搱挰㉥㠷㔷㑦ㄹ㡢ㅡ搸㜰㘸捣捤㈸㘴搹㔰㠰㘰㜳ち㐶㔰挰㑡㈲〹㙣ぢ戴㝣挰昸搳ㄱ〱挰戶㠲ㄶ挰㔸㔵愴㤳扢㠰㙤捤攴摢㌰㌹㉢㠰扣挰㙥㠵慦〷㘰㉣ち㤲挰㐶㌱挹敤㘸㔵〰ㅢつ㙦捦挰㔸㐵㈴㠱㙤挷㈴ㅡㄸ㑢㠹昴㤴戱愸㠱㠵愱㌱㈳ㄴ戲捣㈸㐰㄰愵㈰㐶〱㉢㡦㈴戰㌸㕡㍥㘰晣ㄱ㡣〰㘰㐹㘸〱散㝥㔷㜲ㄷ戰ㄴ㤳愷㤹㥣ㄵ㐳㕥㘰㉣ㄳ敡〱ㄸ㡢㠸㈴戰㌱㑣挲㙡愲ち㘰摢挳摢㌳㌰㔶ㅤ㐹㘰㘳㤹㐴〳㘳改㔱〰㡦ㅤ愰㌱挷㔱挸戲愴〰挱㜸ち㈶㔰挰㑡㈵〹㙣㈲㕡㝥㘰挱ㅦ扥ㅢ愰〵㌰㔶㉤改攴㉥㘰㤳㤹㝣ち㤳扦つ㠱ㄷㄸ换㡡㝡〰挶愲㈳〹㙣㐷㈶㘱昵㔱〵戰改昰昶っ㡣㔵㑡ㄲ搸㑥㑣愲㠱戱㔴㐹㑦ㄹ㡢㝡つ㥢〱㡤戹㌳㠵㉣㘳ち㄰捣愴㘰ㄶ〵慣㙣㤲挰㜶㐱换〷㡣㍦㑣ㄲ戰㠶捤㠶ㄶ挰㔸攵愴㤳扢㠰捤㘱昲戹㑣捥㥡〸㌹改㜹㙣愹㐹搷昲戸戶昷㜰慤敦㔰扡ㅣ愱挸㠳敡㜳㍡㤷㌵愳㤰㠱㡢㍣㝣敢㉣昱㐰㜴㐸晡㜰㔰戹慤ㅤ〷挷㙡扣扦戱㔰敡晢㌴〶敥㌷挸昳晢ㄵ戲ㅢ㈳㍣㘶㕦㝢搵㑦晥摦㘸㈸昵攷挴换㕦㘶㘷ㅦ㕥㡣摤㌱挵㐱㍢㌷攵摢摢㍡摡㡡㥤㐳攷愰㐸㘷㈸㝦て愴㔸㔵ㄵ㥥㔰晢㔷㘴っㅣ㤳㜷慣愶㤵㍦㜶戸㤸摦㡦て㉤㘸㙤㕢搲㉡㘷㔳摢挱㥦㐵㤱扣晡昶攵㌰㈱㡥挳换㘶㠰㘷昱昸㍥㍢㥢㝢挰づ攸㘳昱〰㌹慥㔵挶㥥㘸㡦㤸㌴㜱搲散挶㡣㥤㡣㘶昲愹㐴㈶㤶捥挷搳挵㐸㌶ㄲ㑥㈷挳戹㑣㉣ㄳ捥收㘳愹㡣昱㠷㤲㌴㥣捥挵昲㠵㘲㈱ㄷ㑦㘵攲昹㙣㍥ㄳ挹愱㕢㉡㘶挷㜳㠹㕣捥戶㉤ㅥ㝡㘷㝡㜳㉦昴㌱昷㠶戱㜸挴㕤扡晥㐸㔷㈳㕤㍣晥㉥㕤ㄴ㐸㘹㙤㌵摥㈴慤改㘱㜱㜴慡ㄲ㌹㤱ㄷ〵㘱搷昴敤㉢㐶㜸扥攴敦㍢㥣㕥晡挵〴挳攰搱昴摡ぢ㠱㜹捤㍡㔵㍥㡡散捣户㝡㘶㥥昳㉥挰㠴慣㍥㜰搰㘷搸㘸づ㥣㌴戱戱昲愷㉡㡤㈲摣晤攱㤶ㄵ〳昸つ捣づ㘳㕦㜸搶㠲挷㔵㍥㘴搵愸㉣收㝣〴捤攱ㅣ㘳ㄸ㡣㌰攰㤷㡦敤〲昸戹㈰㙦㜵昰昲昹㈰捥挰ㅤ攱㕡㠸〰扥戸ち〹搷㈲㜱㍡㍣㕣㤳㉡搷〴ㄳ㥤愸㌰摢㘰戱㈶㠴搰收㠳㘰㉣㐴摢㔹ㄳ㜲㤱㘲㉣㤲捡愷愳愹㜴㌱㕥㡣ㄷ㜲挵㜸㌴ㅤ户愳攱㘴㌱㥡㡡挷㘲挶晥㈵㘹戸㘰愷搲㤱㔴㍣ㄱ㉦收攲挹㑣㈴ㅤ捤挴挲㠵㘲㉥㤵换愴㡢搹慣㙤昵㔳改捤㜶昴㌱㍢㘰慣晥摡㔵㕥ㄳ〶㘸ㄷ〵㔲㉡㉣扡㜰ㄳ挷攲㉥昰㤱挲㌲昶㑦㌳㝥〰㑣挸ㅡ〸㠷昴㤱戸㐹扥㈶㤱㕡㙢㙢晦㥦攸摡㥡扤戶㠲ㄱ㠳攰㤷って㠳扦挴㜰㕤㜸㈵挳㍦㘱〸㍦挳㠳攰昵㌳㕣て㥤㤰愴捡㍣ちㄶっ搷㐷㕢㌲㍣ㅡ㙤㠷㘱挱㑥㘴愲㠵㔸㌸ㅤ㡢㐵攲挵㘸㍥㤷㐹收挲搹㐲ㅥ戰ち愹㔸㈲㘲ㅣ㔳㤲挶戳㠵㜸㌸㠹愷㔰㌸㤳㠸ㄷ愲㠵㜴㌸㥢挱ㄳ㉢㤷捣ㄶ㔲挵㜰㌴㙦㙤愰搲㥢挷愲㡦㜹ㅣ㡣戵愱㜶㤵ㄹづ搱㉥ち愴㔴㙣㐲ㄷ㙥愲摤捤昰ㄴ挶㑦㠵〹㔹㥢㈲㠸㙢㤵改㘱㌸㔴晢捦愰㌶㑣挵㜶㘴㌸㥣挹搸㍡ぢ晥ㄲ挳捤攱㤵っ攷〷㌲㉣〶㌲攴昱㜸㈴愹㌲捦㠳〵挳㉤搰㤶っ捦㐷摢㘱㤸挸愵挲㤹㔴㌴㥥捣㐵愲昱㘲ㄱ慢㔷㌱ㅤ㉦愴戳戱㜴㈶㥦戱戳㌱攳㠲㤲㌴㙡㐷戲㠵㘲㉡㥤㑢㈷昳昱㐴捡捥㐶㡢㤱㘸ㄲ㌶㤷戲ㄳ挵㕣搸攲㔱㝤愶㌷㉦㐴ㅦ㜳㌹㡣戵㤵㜶㤵ㄹ㙥慤㕤㈵㤵ㄸ㐵ㄷ㙥㘲㉦㌷挳换㤹攵ち㤸㤰戵㉤㠲戸晡ㄸ㡥搶晥慢愸㑤㔱㤱㠴ㄱ㘱㈶㘳敢㕡昸㑢っ愳昰㑡㠶戳〳ㄹ敥ㄲ挸㤰㠷攸㤱〴扢㍣㘱挱㌰㡥戶㘴㜸ㄳ摡づ挳㘲慣㤰㉦攴㡢昱㜴㈱ㅦ㠹挷昲搱㕣㌱㔵㠸ㄵ㡢搹戰ㅤ捥挷㈳㠵㠸㜱㜳㐹㥡㡢㈴搲挹㘴捣㑥㘰愵㡤㐷攳攱㙣㍡㤹㡤攷挳戹㜴㉡㥥㉡㘴攲㌱㡢〷晡㈵挳㕢搰挷㕣〱㘳㈵戵慢捣㌰愵㕤ㄴ㤸㤴㡡㌱㜴攱㈶愶戸ㄹ慥㘴晣㉥㤸㤰昵㍢〴㜱昵㌱摣㕥晢敦愳㜶〷㉡挶挲㠸ㅤ㤸㡣慤〷㤹㥥ㅥ摥挶挳㉢ㄹ㙥ㅦ挸㜰㑣㈰挳〹攸㠴㈴㔵收摦㘱挱㜰㈲摡㤲攱愳㘸㍢っ㘳㈹㍢㡦㈷㜳㉡㔹㠸愴攳搹㕣㉡㥤㡤挷㡢挹㘸㉣㥦㐹愷挳㜸挱㌴ㅥ㉢㐹戳昹㜴摡捥㘵散㐲㈱㤱㡥愷㡡挵㜴戲㤰换㈵㤲攱㘸㌸㤷て㐷挲㜱㙢㤲㑡㙦㍥㡥㍥收ㄳ㌰㔶㠳㜶㤵ㄹ戲〰㐰㤲㉥愹挴㡥㜴攱㈶挲㙥㠶捦㌲换㜳㌰㈱㙢ㅡ㠲戸晡ㄸ㑥搷晥㤷愸㥤㑣㐵〳㘹捤㘰㌲戶㕥㠱扦挴㜰㈶扣㤲攱ㄶ㠱っ㌷て㘴挸〳昹㐸㠲摤㜷戰㘰戸ぢ摡㤲攱㥢㘸慢昵㌰挱摦㡣换挷戱㘶攱〹㥡㉥㘶㤲搹㝣㌴ㄹ捦攴㜳戱㜸㌶㥥つㅢ㙦㤵愴搹㘸㈲ㄶづ挷ㄳ搹㔴㈶ㄶ捦愵㘳改㙣㈶㤶㈸ㄴ㈲戱㌸㝡摡搹㠸戵慢㑡㙦扥㡤㍥收㍢㌰搶㙣敤㉡㌳㘴㑤㠰㘴㔸㔲㠹摤攸挲㑤㙣攸㘶昸ㄱ戳㝣っㄳ戲㜶㐷㄰㔷ㅦ挳摦㙢晦㘷搴捥愰㘲㈷ㄸ戱㈷㤳戱昵〵晣㈵㠶㝢挱㉢ㄹ㕡㠱っ搷ち㘴挸㘳晢㐸㔲㘵㝥つぢ㠶㝦㐴㕢㌲晣〶㙤挵㌰㡤㉤㘲㍣㥥㠹ㄷ挲戱㜸愶ㄸ换㈴昳㤹㠴㥤㐸挵戲㜸㠹㠹㘷㙤攳摢㤲㌴ㄶ㑦攲摤㕢㈶ㄳ㠹㘴㌲昱㕣㈶㥦㉤㈶㈲搹㝣㌱㥦戳㜳昸敤昲㘴摥㙡㔴改捤敦搰挷晣ㅥ挶摡㐷扢捡っ戳摡㐵㠱㤴㡡〲㕤戸㠹ㅡ㌷挳㕦ㄸ晦ㄵ㈶㘴戱〴〰㔷ㅦ挳愲昶㔷搷㈲㌸㠷㡡搹㌰㘲㍥㤳戱㔵ぢ㝦㠹攱㝥昰㑡㠶㍦晥ㄸ昴扡晣〳扣晥搷攵〵攸㠴㌹㘰㤷ㄴ㔲㠱㘱㌳摡㤲㘱〸㙤㠷㘱㌴㙣㘷ㄲ愹㕣㌴㥣㉥㐴攲愹㐴㈱㡤㌷㉡㜸捤挸㈵㜳㜶㍥㥢挶扢摣㝥㈵㘹㉣㥡捥攵㤳㠵㔴ㄸ㉦㐰㔸㘵戳㜸㌵㐹ㄷ愳挹㔸㉣ㅥ㐹㘴㈳㤹愴搵愲搲㥢晤搱挷ㅣ〰㘳戵㙡㔷㤹㈱㉢〷攴㝡㔸㔲㠹㜶扡㜰ㄳ㥦攳㙥㤴摥摢慣挳㉣㠳㘰㐲ㄶ慢〲㜰昵㌱散搴晥昵愹攵㡦㔰㤸㝢挰㠸挵㑣挶搶㄰昸㑢っ㤷挲㉢ㄹ扥ㅦ挸昰摤㐰㠶换搰㐹㌲摣ㄴ愹挰昰〰戴㈵挳愱㘸㍢っ昱捡ㄱ㡢攲㑤㡣ㅤ换ㄶ攳㐹㍢㤳戵昳挹㐸挴㑥挶昲戹㠴ㅤ㑤㘵㡤㘱㈵㘹㈶ㄱ挹搹昱㔸㉥㙡攳戵㈴ㄵ挱㕢㥤㑣㌸ㄷ㡦ㄶㄲ戱㐸㍥㥣㠹㈴慣〳㔵㝡㜳㌸晡㤸㥢挱㔸〷㘹㔷㤹㈱㡢〹㈴挳㤲㑡ㅣ㑡ㄷ㙥攲㘵㌷挳慤㤹㘵ㅢ㤸㤰㜵ㄸ㠲戸晡ㄸㅥ慥晤愳愹捤㔲戱て㡣㌸㤲挹搸㡡挰㕦㘲㜸㌴扣㤲攱㔳㠱っ㥦っ㘴挸愲〰挹㌰㠱㔴㘰㜸㉣摡㤲㘱ㄲ㙤㠷㈱㕥㝣昳㠹㐲㉣㥢挱晡㠸㡦㔰㜶摡㡥挶㈲㜸戵㐸愶挳㤱㔸ㅥ慦㈹愹㤲㌴㠶昷搴㠹㘲戸㄰㡥〰㜷㈴㥤换摡㜱晣昶㘶㈶ㅣ捦㘶㤳搹ㅣ摥ㅦㅥ愷搲㥢㘹昴㌱㌳㌰搶昱摡㔵㘶㜸㠲㜶㔱㈰愵攲㘴扡㜰ㄳて戸ㄹ㡥㘳㝣㍣㑣挸㘲敤〰慥㍥㠶愷㙡㝦〳戵昳愹攰て㙢㠸搳㤹㡣慤愹昰㤷ㄸ㥥〱慦㘴㜸㝢㈰挳㕢〳ㄹ戲㑥㐰㌲摣〹愹挰昰㉦㘸㑢㠶㌳搰㔶っ愳戱㈴戶㠴戹㔴㌱㠳㡦㈵㜸㘷ㄸ户搳挹㈲㜰挵ぢ〵㍣慢㌳挶捥㈵㘹ㄲ愸愳㐵㝣㠰㐹ㄴ戱捡攲扤㜸ち敦㉢昱戹ㄵ㙦ㅡ㡢昹㝣㉡㙡㥤愵搲㥢㌳搱挷㥣〵㘳㥤慤㕤㘵㠶攷㘸ㄷ〵㔲㉡捥愷ぢ㌷㜱㡤㥢攱㍣挶㜷㠳〹㔹㉣㈷挰搵挷昰㐲敤摦㤳摡㌶㉡昸昵ㄳ㜱ㄱ㤳戱戵㌷晣㈵㠶㤷挰㉢ㄹ㕥ㄲ挸昰愲㐰㠶㤷愲㤳㘴㤸㐵㉡㌰扣っ㙤挹㌰㠷戶挳㄰㙦㔴㡡摣ち㈶挳㜸㕤㐹㈶昳昸昰ㄱ㡦㈶㤲晣㌸㤷挱㤳㍣㙥攴㑢搲㘲㉡ㄷ㐹攲昵㌸㔷挰ㅡ㠸ㄳ㘰攴㜲挵〸昶〰攰㉤㘲㍥㥣㡣攲戹捣〲〴昹㉣㉤愰㡦㘹挳㔸㔷㘸㔷㤹㈱慢㄰愴㡡〲㤳㔲㜱ㄵ㕤戸㠹扦戸ㄹ㉥㘰扣ㄹ㈶㘴㕤㡤㈰慥㍥㠶搷㘸晦㐲㙡ㄷ㔳戱㠸っ慦㘳㌲戶㍡㤸㥥ㅥ摥㙥㠰㔷㌲㍣㌱㤰攱昱㠱っ㙦㐴㈷挹㜰〹㔲㠱攱㑤㘸㑢㠶㑢搱㔶敢㈱㔶挰㘲㈶㤱ぢ愷攲㜸愱㈸收戲戹㐴㍣㤳捥ㄷ㔳戱㐸㈲ㅦ㡤㐵㡤㘵㈵㘹㈴㤵つ㐷ㄲ㔱扣〹㑦攰㈳㡤㡤昷㠷愹㐴㍡ㄲ攵㉢㜸ㅣ摢搰愴挵㥡〴㐹攷〰昴㌱て㠴戱㙥搱慥㌲㐳ㄶ㈶㔴慡挴敤㜴攱㈶づ㜵㌳㍣㡣㔹づ㠷〹㔹㜷㈰㠸慢㡦攱㥤摡㝦㌴戵〷㔳挱㕦〸ㄱ㜷㌱ㄹ㕢挷挱㕦㘲㜸て扣㤲攱攲㐰㠶㥤㠱っ敦㐵㈷挹昰㈴愴〲挳晢搰㤶っ㑦㐶摢㘱ㄸ挳敢〳㍥㜴㘴㡡㜶捡㡥㘷㤲昱㌴㕦㑢㔲搱㔴㍥ㅡ㠹攷㔳戹㥣㜱㑡㐹ㅡ挱慢㜷ㄴ扦㐲㡣て㈸搸ㅥㄶ㔳搸ㄲㄶ戱㌱㑤挵昰搱愵㤸换㐴慣晢㔵㝡昳㔴昴㌱㑦㠳戱ㅥ搰慥㌲挳〷戵慢愴ㄲ㡦搰㠵㥢搸捦捤昰㉣㘶㌹ㅢ㈶㘴戱づ〱㔷ㅦ挳㐷戵晦㝣㙡㡦愴攲〸㌲㝣ㅣ㝥挹㜰㌹晣㈵㠶㑦挲㉢ㄹ敥ㄳ挸昰㡦㠱っ㔷愱㤳㘴㜸㈹㔲㠱攱㔳㘸㑢㠶㤷愱敤㌰っ㘳㐳㤶㉢收戳戱㍣搶挴㜰㌲㤷挹㘱㤷㕣㍥ㄵ㡢攲㔵㌹㤹户昳挶攵㈵㘹ㅡㅦ昵㌲㤱戰㡤㑦搵㤱㜸愶㠰㜷㍡昸〴㡤捦㈸㜶ㄸ㥦っ㤳㜶捡㘲攵㠲㕣挳慥㐰ㅦ昳㑡ㄸ敢ㄹ敤㉡㌳㝣㔶扢㈸㌰㈹ㄵ㉦搰㠵㥢㤸敢㘶㜸㉤攳搷挱㠴㉣㤶㈶攰敡㘳昸㤲昶摦㐴敤〹㔴ㅣ㑦㠶㉦㌳ㄹ㕢㉢㤸㥥ㅥ摥㕥㠵㔷㌲㥣ㅥ挸㜰挷㐰㠶慦愱㤳㘴㜸〷㔲㠱攱敢㘸㑢㠶㜷愲敤㌰捣㈴昲㔹散㕤㐸攲㑤つ㥥㤱㈹扣慢捥㘰ㅦ㤷捤ㅤ㌹㌹扣㐶㘷㡣㤵㈵㘹㤸捦㕡挰㑤攴㤲㌸㠱㔰捣㑥㈷㤲ㄹ㝣㑥捥㐵㡢昹㌴㍥㘴㘷㉣ㄶ㌳㐸㠶㜷愱㡦㜹㌷㡣昵愶㜶㤵ㄹ扥愵㕤ㄴ㤸㤴㡡㜷改挲㑤散攰㘶昸㈰攳て挱㠴慣昷㄰挴搵挷昰㝤敤㝦㤴摡搳愹攰㑦㥤㠸て㤹㡣慤㈷㤸㥥ㅥ摥㍥㠶㔷㌲㡣〷㌲㡣〶㌲晣〴㥤㈴挳愷㤱ちっ㍦㐵㕢㌲㝣〶㙤戵㍤挴㕢挳㔴ち慦戳㤱㐲ㄶ㉦戶ㄹ扣〹㉣收敤〴㕥㤱攳㜱慣㥣㘹攳搹㤲㌴㡡㑦㌴㠹㍣㜶㌳㈷ぢ攱㌸摥㈰愶敤㜴㉡㕤㐸搸昱㘸戸㤸挳づ㘸敢㥦㉡扤昹ㅣ晡㤸捦挳㔸㥦㘹㔷㤹攱㙡敤㉡愹挴㤷㜴攱㈶戶㜲㌳㝣㠵㔹㕥㠵〹㔹㕦㈱㠸慢㡦攱扦戴晦㑤㙡捦愱㠲扦㤶㈲扥㘱㌲戶摥㠱扦挴昰㍢㜸㈵挳㑤〲ㄹ㙥ㄴ挸昰㝢㜴㤲っ㍦㐰㉡㌰晣〱㙤挹昰㐳戴ㅤ㠶㜱散㐸㠸㘳㔷㙡㍣㤷㡢挴昱㐴㑤㐷挲搹ㄴ㜶挴㘰㔷㉣㍥㌸ㄷ戲挶㐷㈵㘹愱㄰㑥ㄶ戲㤱㈴㥥晣昹㜸ㄲㅦ㔲㘲愹㝣ㅥ扢㙡ぢ㔸㈹ㄳ改㠴㙤晤㕢愵㌷㍦㐶ㅦ昳ㄳㄸ敢㐷敤㉡㌳晣㐹扢㑡㉡昱㉢㕤戸㠹戵摤っ扦㘰㤶㉦㘱㐲搶㙦〸攲敡㘳挸㝢㈷晤摦㔰㝢ㄱㄵ换㘱㠴慣㕣㘰敢㝢昸㑢っ㔹戹㈰ㄹ搶〵㌲㌴〲ㄹ搶愲㤳㘴昸ㄳ㔲㠱愱㠱㠶㘴昸㌳摡敡戹㥣㑦攲㤸〶摥㥢ㄴぢ㜲㉦㜶㉥㠳摤〸㜱散搴捥攴愳昹㙣㌸㘱晣㔲㤶㠶㜳㤱㔴㉣ㄵ㡤收㜰㄰㈳㡤㘷㜶づ捦散㐸ㄴ扢扥昳攰ㄹ㈹㔸㝤㔵㝡昳㔷昴㌱㝦㠳戱敡戴慢捣搰搴㉥ち愴㔴戰挶㐱㌲晣昹摦慥捦㝡戵〶攲〶㑣挸㘲㤹㐳㄰㐳㔶㍥㐸㝦㠸㕡晥捡㡡㜹〵ㄹ㕡昰换昵㜰〰晣㈵㠶㙢挳㉢ㄹ晥ぢ挳昸昷㘳㝦〹慦晦昳昲㍡攸㠴㉢捥慣㠶㔴㘰㌸〸つ挹㜰㙤戴ㅤ㠶昸㔴㡣㑦㉡戶㥤捡攲昵㌹㤷㑤攰晤㕦㍥㤱㠸愴昰㍥㍢㡦㝤ち〹㘳㥤㤲ㄴ慢㙢ㄴ㑦攵㔴ㄴ㉦挳㜱㝣慣挱摥㡡㜸㍥㠹㤷㤶っ㑥ㄸ㄰㡢摢搶㘰㤵摥ㅣ㠴㍥收㘰ㄸ㡢昵㄰ㅣ搱㉣㌳㕣㑦扢㑡㉡挱戲〷挹昰㐳㌷挳㈱捣戲ㄱ㑣挸㘲攵㐳㄰挳㡤戴㝦㈸戵晣愱ㄶ㤳㍦晢㈲㌶㠱㕦㌲摣っ晥ㄲ挳愱昰㑡㠶慦〷㌲㝣㌵㤰㈱慢ㅣ㜰挵昷挶㤰ちっ㔹搱㈰ㄹ㙥㠵戶挳㌰㠱㜵㉥㤳㠹愶戳搱㐸㌱㥥戱㐱㈴ㅥ户戱㐱っ攳㔵〵ㅦ晣戲挶搶㘵㈹昶㌱㠶㌳㘹ㅣ㙦挱㤳㍤捣㕤㡤戹㘴戴㔰㡣摡㤹㍣摥㈷ㄶ昲ㄶ㙢㈵㈴戰㙤搰挷ㅣ〹㘳戱㐴挲挳㜰㠴㜶㔱㘰㔲㉡戶愲ぢ㡣挴㌳㙥㠶ㄱ挶愳㌰㈱㙢㙢〸㠲ㄸ㙥愳晤㐹㙡㔷昰慥摥㐲㠶戲攴㠱慤っ搳搳挳ㅢ㑢ㅥ㈴挳㐷〲ㄹ㍥ㄴ挸㜰㍢㜴挲ㄵ㍢㜷㤱ちっ挳㘸㐸㠶㍢愰敤㌰捣摢㔱㥥㝡〲㠷㈵㘳搸ぢ㤸㉤攰〰㘵㠶㠷〲戰㐳㈱ㄷ捤ㄴ搳挶戸㤲ㄴ㙢㉡搶戹㕣っ㝢挷㡡㜱㙥㉢戳㌶戶㥦搹㐴〱㙦㙣㘲㤱㐸捡㘲昹㠴〴㌶ㅥ㝤捣〹㌰㔶㔴扢捡敢㘱㑣扢㈸㌰㈹ㄵ㉣㡥㤰っ敦㜴㌳㥣捡昸㡥㌰㈱㉢〵㐱㄰㐳㤶㑣㐸晦っ㙡昹㜳㌱㈶㝦㝣㐶挸㉡〸戶㘶㌱㍤㍤扣㙤て戵㘴㜸㐳㈰挳敢〲ㄹ㡥㐵㈷㕣戱㘷つ愹挰㜰〷㌴㈴挳戹㘸㍢っ愳㜸㌱㈹收ㄳ挹㕣ㄴ晢戰挲愹㕣㍡㔱挸㘶ち㐹㝣㙥挶㤱慡㘴㌱㘲捣㉢㐹ぢ㔸㑢㘳㠹っ捥㜶㠸て㠲攱ㅣ搶㔳扣㤴㘴搲捥搱㤴㕣㍥㙤戱愲㐲㌲摣つ㝤捣摤㘱慣昱摡㔵㘶挸戲㡡㑡㤵㘰扤㠴㘴㜸㤹㥢攱摥捣昲㐷㤸㤰㌵ㄹ㠲㈰㠶㔳戴㍦㐷敤㠳扣慢て㤰搶㡥昰ㄳ㥢㘹挳㕦㘲㌸ㅤ㕥挹昰摣㐰㠶㘷〷㌲㘴㜹〴慥㔵㘶ㄳ㔲㠱㈱㑢㈱㈴挳晤搰㜶ㄸ㘶㡡㘱ㅢ㙦㕡挲㈹扣㉦挴㑥挱㐲愶㤰㉢㐴㘳搸ㅦ㠳㌷摦㌸昸ㄴ㌵ㄶ㤴愵㘱㝣㤲挶昱㠲㈸㕥㝦攲㌶摥㍢愶㌳搱㘲㍣㤱捣挶㘲㤹㑣戱㤰戰㔸㘴㈱改㌴愳㡦搹〲㘳戱戶㐲扡捡っ㘷㘹ㄷ〵㈶愵㘲㌶㕤㘰㈴㑥㜶㌳散㘰扣ㄳ㈶㘴捤㠱㈰㠸攱㕣敤㕦㑡敤攳扣慢晣〹ㅣ㙢ㅥ晣戸攲〳㈷晣〳晡搴戲㑡攰㜷㥥挳改挱扦㜸㌱搲㝢敡㤱挹㌸㤵〸换〹慢晡攰慢晥捥ㄷ攴㙢慡挷晣㘷戹㜸挰㥥扦㡦挱㕢敤㤱戸慦晦㠷㍣㕣㌳捡㠵ㄸ捣戸㈹㙥收挱戸挳戵㝢攱敥㠶㠳愶搸摤㐹㈰搱戱㙡㜰换戴づㅣ捣挷挹㐴攷戶㑤㈸㥤㠹㜲愰㍥挸㍦㔲㥦ㄱ㘳㐴搹㌳㈱搷㠱摦㔶改戴㜵户㔹敤愵㝥㌸挳〴㡡㍡㄰ㄸ挹昳㘷っ㉥户㕣㍦㌰㌰愴散㥤搶摡㠱㜳扤搸〵㥤戱〳㕦扥慦愹敥㈳〲㝦昳㐳㥤散㠰扦㈸挰㙣㌸摢换戴〲〱っ〹昸㜹㠵㠹㑤㥤昲攷㐹㌶㐲㕣㤸慣㄰㌱づ㈱愶戱㥢㑦摣㍣㔲㝢㈸ㅥ㠷㌵ㅥ愲㤲㍡〷攴慡ㄱ㌲て㐳㍥戱㌷㌲ㄳ扤㌰㔹㕡㘲ㅣ愱挷㠸㡡㠳㌰〶挷攱㍡㡣ㅦ挵愴㤸㑦〸敤ㄲ㉣ㅦ㘱㠳挹敡㔹㠵㠱户㕢㔵㔰戹㉦㕦㡥㔳慤昱捥晦㍡昵摦ㅡ㕦捦㤲つ搹㘳㙦㌱散昴〹戵㙦ㅦ戲晣慢慢㝥㌷攲㠲敢㝦㔳晦て㜱㝡散愱㝡㘴挶㡢昹攸㌱〲㕥昳ㅤ㥡㜷㘹摥㠳ㄱ㑢㌰㠹㔷昱扢ぢ扥㌳㌱㉣㔶〱敦㤹ㄸ㉣㔶㜰攰㡡㑦戸㤸敦㠰㍥愲つつ㍥摤㐴㈷㝡㜰ㅤ㈷㈴昳㈴摥攵㜶戸ㅤ㍥慣捤㌰㑥㠱捦㜹っ挴㐲攸昴晤て㤹愷㔱摣㔱ㄲ戳㍡挳昸戳ㄶ㐷㐵戳ㄲ㍢㌰捦㐴愰㥥㘵ㄴ扤㐳挶㥡㡢摥㈱晢ㄳ㝡〴㈱摢ㄷ搳〹㐴㔶㔴〱敦戹ㅢ㉣ㄶ㙣攰㡡㔲〱捣ㅤ挸㡥㐲㐳㈲㉢愰㐷〹搹〵愴㜰㉣㐲づ㌲㤶㘲ㄸ换㌵㠵㠸搸㐷㔱㜰搶扦㡢㈹㘶愱㠴㈳㘶㌱㠶㜱愹ㄶ㐷挵㕥㑡散㈰扢ㅣ㠱晡㔳㈰改ㅤ㌲㤶㔸昴づ搹ㄹ攸ㄱ㠴㙣㜷㐵挶户㤶敤愶〲摥戳㍤㔸㘷㈱ㄳ慥㔵收搵㤸㍢㤰戱挸㐲㈲㥢㡢ㅥ㈵㘴搷㤲挲㠵〸㌹ㄴ捥挷㤲㜱㝤㤹挲㉥ㄵㄴ㙥愴㤸㠵ㄳ㡥昸〲㡡㙦搶攲㠸㤸愱挴づ摦ㄵ〸搴㕦づ㐹敦㤰戱愲愲㜷挸慥㐲㡦㈰㘴㔳ㄵㄹㅦ戲㈹㉡攰㍤㍦㠴挵㜲っ㕣昱捥っ㜳〷㌲搶㔴㐸㘴つ攸㔱㐲㜶㌷㈹摣㠲㤰㐳攱㈶㉣ㄹ昷㤶㈹㡣慦愰㜰㍦挵㉣㠳㜰挴㌷㔳晣愰ㄶ㐷挵昶㑡散慣㘵て㈳㔰捦㥡㠸摥㈱扢㑢昷㔸攳㙤搹㝤攸ㄱ㠴㉣愵挸昸㤰㈵㔵挰㝢㐶〹㡢搵ㄷ戸㘲户ㄲ收づ㘴㉣愱㤰挸攲攸㔱㐲戶㡡ㄴ㔸挸攰㔰㜸ㄴ㑢挶搳㘵ち攱ちち捦㔲捣戲〸㐷捣捡ち攳㜹㉤㡥㠸㔱㑡散慣㘵㉦㈲㔰捦ㄲ㠸摥㈱㝢㑥昷㔸㘳㘴㉣㥤〸㐲戶愵㈲攳㐳戶㠵ち㜸捦㐱㘱扤㠲㑣戸攲㤷挵㌱㜷㈰㝢〳つ㠹㙣㜳昴㈸㈱㝢㠳ㄴ摥㐶挸愱昰㈶㤶㡣户㌴㠵愸ㄸ慡㈸㌸㉢捥㍢ㄴ戳ち挲ㄱ戳㤰挲㜸㑦㡢㈳㘲㈳㈵㜶㤰㝤㠰㐰㍤㉢ㅥ㝡㠷散㘳摤㘳㡤㤱戱㔲㈲〸搹㝡㡡㡣て搹扡㉡攰㍤㙢㠵昵〵㌲攱㡡敦㍡㘱敥㐰昶㌵ㅡㄲ搹㈰昴㈸㈱㕢㑤ち㉣㘶㜰㈸㝣㠳㈵攳㡢㌲〵慢㠲挲㔷ㄴ戳愶挱ㄱ戳㙥挲昸㕡㡢愳愲扦ㄲ㍢㝣扦㐵愰晥ㄷ㐸㝡㠷散㔷摤㘳㡤㤱㔵㘳㠰㈰㘴㝤ㄵㄹㅦ㌲㐳〵扣攷戹戰㙡㤱〹挳攳换㑣㤸㍢㤰戱ㅥ㐲㈲慢㐱㡦ㄲ戲㕦㐸㠱㔵〹づ〵ㄶ㐹ㄸ扦㤵㈹㔴㔵㔰攰㈹慢〵㙢ㅣㅣ㌱换㈴㡣㍥昰愹㜷㈴㍦晦攰㝥㐷㔲㡢㐰㍤敢ㄹ㜰敤挵晢㌲ㄶ㍦挸ㅥ㙢㡣㡣㜵㄰㈳㜸㐷㍤敦换扥挷㜴〲摦㘴㝣愷〲摥㌳㘳㔸慣㥣㤰挸晡㘱敥㐰戶㈹摡ㄲ搹㌷攸㔱㐲㌶㠰ㄴ㔸㠴攰㔰ㄸ㡡㈵愳㕥㔳㠸㡡㉦ㄵ〵㘷挵ㄹ㐸㌱㑢ㅡㅣ昱㌰㡡搷搱攲㠸昸㑣㠹㥤㈷收㘰〴敡㔹扥㠰㙢㉦㤰戱搶㐱昶㔸㘳㘴㉣㝢ㄸㄱ㠰散㈳㐵挶户㤶㝤愸〲摥㜳㘹㔸㉣㤴㤰挸㠶㘰敥㐰挶㙡〷㠹散㝤昴㈸㈱摢㤸ㄴ㔸㤹攰㔰㘰〹㠴戱㘹㤹挲摢ㄵㄴ㠶㔱捣〲〵㐷捣㈲〸㘳㌳㉤㡥㡡搷㤵搸攱㍢〲㠱晡㜱㤰攰摡ぢ㘴攳㜵㡦㌵㐶搶㠰ㅥ㈳〲㤰晤㐳㤱昱㈱㝢㐹〵扣㘷摦戰㔸ㄷ㈱㤱㡤挴摣㠱㡣挵つㄲ搹ぢ攸㔱㐲戶㉤㈹戰㄰挱愱挰㡡〷㘳㍢㑤㈱㈲㥥㔱ㄴ㥣ㄵ㈷㐲㌱敢ㄱㅣ㌱㙢ㅥ㡣㤸ㄶ㐷挵㤳㑡散㈰㑢㈰㔰捦攲〴㕣㝢㠱㡣㤵っ戲挷ㅡ㈳㘳㔱挳㠸〰㘴㝦㔷㘴㝣挸ㅥ㔱〱敦昹㍡㉣㤶㐱㐸㘴扦挳摣㠱㉣㡢戶㐴昶㄰㝡㤴㤰㡤㈵〵ㄶㄳ㌸ㄴ㔸攰㘰㡣搳ㄴ㈲攲㍥㐵挱㐱㌶㠱㘲㤶ㅦ㌸㘲㤶㌸ㄸ㤳戴㌸㉡敥㔲㘲〷搹㘴〴敡㔹㡢㠰㙢㉦㤰戱㜰㐱昶㔸㘳㘴ぢ㈱ㅦㄱ㠰散㌶㐵挶㠷散㔶ㄵ昰㥥攱挳㘲搵㠳㐴戶ㄳ收づ㘴㉣㕤㤰挸㙥㐱㡦ㄲ戲㥤㐹㠱㘵〶づ〵搶㌳ㄸ戳捡ㄴ㙥愸愰戰㉢挵㉣㐷㜰挴慣㘸㌰收㘸㜱㐴㕣愳挴づ摦㜹〸搴ㅦ〶〹慥扤㐰挶㍡〵搹㘳㡤㤱戱㘴㘱㐴〰戲㉢ㄵㄹㅦ戲㉢㔴挰㝢㑥㄰㡢㐵づㄲ搹ㅦ㌰㜷㈰㘳愵㠲㐴㜶ㄹ㝡㤴㤰敤㑤ち慣ㄷ㜰㈸戰㝣挱㘸搴ㄴ愲攲㈲㐵挱㔹㜱戲ㄴ戳晡挰ㄱ戳㠰挱挸㙢㜱㐴㥣慦挴づ㌲ㅢ㠱㝡㔶ㅡ攰摡ぢ㘴㉣㑢㤰㍤搶ㄸㄹ㉢ㄴ㐶〴㈰㍢㑢㤱昱㈱晢㡢ち㜸捦㈲㘲㉤㐷㈶㠹㙣〱收づ㘴㉣㑣㤰挸捥㐰㡦ㄲ戲ㄶ㔲㘰㘵㠰㐳㠱搵ち㐶㕢㤹挲愹ㄵㄴ昶愷㤸戵〴㡥㤸昵ち㐶㠷ㄶ㐷挵㠹㑡散昰㕤㠴㐰㍤ぢぢ㜰敤〵㌲㔶㈱挸ㅥ㙢㡣㡣〵〹㈳〲㤰ㅤ愳挸昸㤰ㅤ慤〲摥昳㡥㔸㉣㘱㤰挸づ挴摣㠱㡣㜵〸ㄲ搹㤱攸㔱㐲㜶㌰㈹戰㄰挰愱挰攲〴攳㄰㑤㈱㈲づ㔵ㄴ㥣ㄵ攷㌰㡡㔹㍡攰㠸㔹㥥㘰ㅣ愱挵搸㤳愶挴づ戲愳㄰愸㘷ㅤ〱慥扤㐰挶愲〳搹㘳㡤㤱戱晥㘰㐴〰戲㈵㡡㡣て搹㘲ㄵ昰㥥愹挴㘲挵㠲㐴㜶〲收づ㘴㉣㍢㤰挸㍡搱愳㠴散㈴㔲攰挱㝦㠷〲㙢ㄱ㡣㔳捡ㄴㄶ㔶㔰㌸㡤㘲㤶ㄲ㌸㘲㔶㈳ㄸ㝦搶攲㠸㘸㔶㘲㠷敦㤹〸搴戳㙣〰搷㕥㈰㘳㡤㠱散戱挶挸㔸㙥㌰㈲〰搹扥㡡㡣て㔹㔱〵扣攷㌶戱摥㐱㈶㠹散㍣捣ㅤ挸㔸㘵㈰㤱ㄵ搰愳㠴散〲㔲攰戱㝥㠷〲㑢て㡣攵㥡㐲㔴散愳㈸㌸㉢捥挵ㄴ戳㜲挰ㄱ戳昸挰戸㔴㡢㈳㘲㉦㈵㜶㤰㕤㡥㐰㍤慢〴㜰敤〵㌲㤶ㄴ挸ㅥ㙢㡣㡣搵〵㈳〲㤰敤慥挸昸㤰敤愶〲摥戳愱㔸慣㐷㤰挸慥挶摣㠱㡣㐵〵ㄲ搹㕣昴㈸㈱扢㤶ㄴ㔸〰攰㔰㘰愵㠱㜱㝤㤹挲㉥ㄵㄴ㙥愴㤸㜵〰㡥㤸戵〶挶捤㕡ㅣㄵ㌳㤴搸攱扢〲㠱晡㕡㝥昶敡ㄵ㌲㔶㄰挸ㅥ㙢㡣㡣挵〴㈳〲㤰㑤㔵㘴㝣挸愶愸㠰昷晣㈹搶〰㘴㤲挸㔶㘲敥㐰㌶㄰㙤㠹慣〱㍤㑡挸敥㈶〵ㅥ挹㜷㈸戰戰挰戸户㑣㘱㝣〵㠵晢㈹ㅥ㕣ㄲ慦㐳昱㠳㕡ㅣㄱ摢㉢戱戳㤶㍤㡣㐰晤㄰㐸㝡㠷㡣〵〳扤㐳㌶ㄴ㍤㠲㤰愵ㄴㄹㅦ戲愴ち㜸捦戸㘲㙤㠶㑣ㄲ搹ㄳ㤸㍢㤰戱㘴㐰㈲㡢愳㐷〹搹㉡㔲攰㌱㝢〷ㄹ敢〸㡣愷换ㄴ挲ㄵㄴ㥥愵㜸㘴㐹捣㑡〲攳㜹㉤㡥㡡㔱㑡散慣㘵㉦㈲㔰ㅦ㠱愴㜷挸㔸ㅦ搰㍢㘴㉣ㄵ〸㐲戶愵㈲攳㐳戶㠵ち㜸捦搱㘲戱戸㐰㈲㝢つ㜳〷戲戱㘸㑢㘴㥢愳㐷〹搹ㅢ愴㌰ㅥ㈱〷ㄹ换〶㡣户㌴㠵㠸ㄸ慡㈸㌸㉢捥㍢ㄴ㑦㈸㠹挷㔱晣㥥ㄶ㐷挵㐶㑡散㈰晢〰㠱㝡ㅥ攱敦ㅤ㌲㤶〳昴づㄹ㉢〳㠲㤰慤愷挸昸㤰慤慢〲摥戳扡㔸戳㤰㐹㈲晢㈷收づ㘴㜳搰㤶挸〶愱㐷〹搹㙡㔲攰挱㝢〷ㄹ慢〴㡣㉦捡ㄴ慣ちち㕦㔱捣㠳晣㡥㜸ㅥ挵㕦㙢㜱㐴昴㔷㘲㠷敦户〸搴敦つ㐹敦㤰昱攸㝦敦㤰戱㄰㈰〸㔹㕦㐵挶㠷捣㔰〱敦㜹㘰㉣ㅢ㤹㈴戲㥦㌰㜷㈰攳昱㝦㠹慣〶㍤㑡挸㝥㈱〵ㅥ㠰㜷㈸戰㈸挰昸慤㑣愱慡㠲㠲愸㠳戸愵㈴㕥㐰㜱ㅦ昸攴晥戲愸昸昹㝢昷ㄱ捥㕡〴敡㍢㈰改ㅤ㌲ㅥ散敦ㅤ㌲ㅥ昷て㐲昶㍤愶ㄳ扣扦㑣〵㝣㘷㡥㌹㄰㤹㝡㍡㜳っ㝦搱挰敥㤰㘷㌷愹挷㙢㑥㙤㤱扦挱搰慦攸戸㜹㜰ㅦ扦挲搰搴摣㉣㝦挰愰㍦㑥昴搰扥挰㙥㥦㠱昳㤹攰昴づ㌸攷扤晡〶㍤捥㜳挲摦捤搷愷ㄲ㌰㘵㡢㥤㡤攲慣㜶㥣㕢愰㙦㜱㕡〷捥㐳㔳愸㙢搹㈵摢搹㘹户户晥㉦㥣〵〲㍦㈹挱㥦昶挳挵㌹晦㐳攰慦㌹昰㘷ㅡ〲㡦愴㑢㘲愳换㍣㘶攰っ㈵慣㔸愸收昹㈱晥戳㔳搲ㄸ晤戰㡡改㌳㥥ㄴ㕣㘷㍣愹ㄱ摦攰㈱㜶㙡〳て慤晡㡤㔳收㐱㝡㜳〰昴挶㕡㌰㝤㈶㜴戴挸扡ㅡ㤸㤰㔹て㡦晣㔵て㘹慡㙡て挶㙡攰扤㜳晣㝤つ晥㡡㕡㔵敤㤲愶㐲攷㝣㘳扥摤戴敦晣㑥晣㡥㐶㍦摥㘳㝤愹㌹っ㕤扢㉢㍦攰〶戸㙦㑢㘳戶扤㍤扢慣慥愵戱搹㙥摤户㜳㝥㕤攳㘲㔴㕢攰㑣㉤㜸摥搵搵搵㤹〳㌱ㅦ〷㌴㥥㙥㐷㈱㈳戳㥡㙢扢扤㈷挰挳戵搵㈴㠲ㅡ昱㔹攰摤ㅤ捣晢挵扢㕢扥慢敢搱挵ㅦ㌰㜱敥慡㌸〹㌹㜸㜷昵㐵㥣㠶㠶ㅣ㙥〳㈸㑢㤳㌸㔳㝢㌷㜴㝢捦㠳搷㌵㠹昷〳㈷戱㌱㐷慣㥣挴愶㥥㐹㕣㠰㍣ㄵ㤳戸㔸て㌷捣㍤摣攵摡㍢摣敤扤扡㜲ㄲ慦〷㑥㘲㠴㝦ㄲ㕢㝡㈶㜱慤㜷ㄲ㌷敡攱戶㜶て户㐲㝢户㜱㝢㔷㔶㑥攲㠵挰㐹㙣敢㥦挴㜶㥥㐹摣敤㥤挴晤㝡戸㠸㝢戸㠷戵㌷敡昶㍥㔱㌹㠹㈷〳㈷㤱昰㑦㈲攵㤹挴㉡敦㈴㥥搵挳㘵摣挳扤愸扤㘳摣摥搷㉡㈷昱㔰攰㈴挶晡㈷㌱捥㌳㠹㌷扣㤳㜸㐷て㌷挱㍤摣〷摡㍢搱敤晤㘷攵㈴敥ち㥣挴㘴晦㈴愶㝡㈶戱摡㍢㠹慦昴㜰搳摣挳㝤慢扤搳摤摥㥦㉡㈷㜱㑢攰㈴㜶昶㑦㘲㤶㘷ㄲ扦㜸㈷㈱戰㤹㤰㑦搱㕤摤挳搵㙡敦㙣户户ㅦ扣慥愷攸㌵㠱㤳㤸攷㥦挴敥㥥㐹っ㐰㥥㡡愷攸㐰㍤摣ㅥ敥攱〶㙢敦㥥㙥敦㤰捡㐹㕣ㄶ㌸㠹扤晤㤳㘸昴㑣㘲㘳敦㈴㠶改攱戲敥攱㐶㘸㙦捥敤ㅤ㔹㌹㠹昳〳㈷㘱晢㈷戱慦㘷ㄲ摢㝡㈷ㄱ搱挳㌵戹㠷㑢㘸敦㝥㙥敦敦㉡㈷㜱㐶攰㈴㕡晣㤳㘸昳㑣㘲慣㜷ㄲㄳ昴㜰晢扢㠷㥢慣扤敤㙥敦㑥㤵㤳㌸㌱㜰ㄲ㡢晣㤳㔸攲㤹挴捥摥㐹散慡㠷㕢收ㅥ㙥㥥昶ㅥ攰昶晥愱㜲ㄲ㐷〶㑥攲㘰晦㈴づ昱㑣㘲㙦敦㈴戲㝡戸挳摣挳搹摡㝢戸摢扢愰㜲ㄲ〷〵㑥攲㈸晦㈴㡥昱㑣愲挵㍢㠹晤昵㜰挷戹㠷㕢愴扤挷扢扤〷㔶㑥愲㌳㜰ㄲ㈷昹㈷㜱㡡㘷ㄲ〷㝢㈷㜱㤸ㅥ敥㌴昷㜰㐷㘹敦改㙥敦〹㤵㤳㘸づ㥣挴㤹晥㐹㥣攵㤹挴㐹摥㐹㥣愶㠷㍢挷㍤摣㤹摡㝢慥摢㝢㕥攵㈴ち㠱㤳戸挰㍦㠹攵㥥㐹㕣攰㥤挴挵㝡戸㡢摤挳㕤慥扤㤷戸扤㔷㔷㑥㘲慦挰㐹㕣敥㥦挴㤵㥥㐹㕣敢㥤挴㡤㝡戸扦戹㠷㕢愱扤㔷戹扤㉢㉢㈷㌱㌷㜰ㄲ搷晡㈷㜱扤㘷ㄲ㜷㝢㈷㜱扦ㅥ敥㐶昷㜰て㙢敦㑤㙥敦ㄳ㤵㤳㤸ㄱ㌸㠹ㄵ晥㐹摣收㤹挴㉡敦㈴㥥搵挳摤攱ㅥ敥㐵敤扤搳敤㝤慤㜲ㄲつ㠱㤳戸摢㍦㠹㝢㍤㤳㜸挳㍢㠹㜷昴㜰昷扢㠷晢㐰㝢ㅦ㜰㝢晦㔹㌹㠹敤〳㈷昱戰㝦ㄲ㝦昷㑣㘲戵㜷ㄲ㕦改攱ㅥ㜳て昷慤昶㍥敥昶晥㔴㌹㠹㜸攰㈴㔶昹㈷昱戴㘷ㄲ扦㜸㈷㈱㈰㤰敦㈷㥥㜵て㔷慢扤捦戹扣戵〳搰㔸攳㡦㜷㉣㤴㕥〷ㅦ㠴㥢敤㍣捦㐳挹戳ㄹ㡥㙣挶挷戴㌵㌸㜹攴昳ㄸ㐷搴搳㈰㠷昹㠲㕡㘰愳㝥愰㙡攰ㅦ㕡㙢扢㕢㘲㌰㕡㥣愲昹㈲摤敢愹㤸昹㤲㕡㤰晤㌷㔰つ晣㐳晦つ摤㉤戱㌱㕡戲晦㍦攸摥㔴挵捣㤷搵㠲散㍦㑣㌵昰て晤㠷扢㕢㘲〴㕡戲晦㉢㜴㙦愹㘲收慢㙡㐱昶摦㕡㌵昰て晤户㜱户挴戶㘸挹晥慦搱扤㥤㡡㤹慦慢〵搹㍦愲ㅡ昸㠷晥㔱㜷㑢㈴搰㤲晤摦愰㍢愵㘲收㥢㙡㐱昶捦愸〶晥愱晦ㄸ㜷㑢㡣㐵㑢昶㝦㡢敥㜱㉡㘶扥慤ㄶ㘴晦〹慡㠱㝦攸㍦搱摤ㄲ㤳搱㤲晤摦愱㝢慡㡡㤹敦慡〵搹㝦㥡㙡攰ㅦ晡㑦㜷户挴捥㘸挹晥敦搱㍤㑢挵捣昷搵㠲散扦慢㙡攰ㅦ晡捦㜶户挴㍣戴㘴晦て攸摥㕤挵捣て搵㠲散扦㠷㙡攰ㅦ晡敦改㙥㠹扤搱㤲晤㍦愲扢㔱挵捣㡦搵㠲散㥦㔵つ晣㐳晦㥣扢㈵㙣戴㘴晦㑦攸摥㔷挵捣㑦搵㠲散摦愴ㅡ昸㠷晥晢戹㕢愲〵㉤搹晦㥦㜴户愹㤸昹㤹㕡㤰晤昷㔷つ晣㐳晦㜶㜷㑢㉣㐲㑢昶㕦㑤昷ㄲㄵ㌳㍦㔷ぢ戲晦㌲搵挰㍦昴㍦挰摤ㄲ〷愳㈵晢㝦㐱昷㈱㉡㘶㝥愹ㄶ㘴晦挳㔴〳晦搰晦㜰㜷㑢ㅣ㠵㤶散晦ㄵ摤挷愸㤸昹㉦戵㈰晢ㅦ愷ㅡ昸㠷晥挷扢㕢攲㈴戴㘴晦慦改㍥㐵挵捣㙦搴㠲散㝦㥡㙡攰ㅦ晡㥦敥㙥㠹㌳搱㤲晤扦愵晢㉣ㄵ㌳扦㔳ぢ戲晦㌹慡㠱㝦攸㝦慥扢㈵㉥㐰㑢昶晦㥥敥攵㉡㘶晥愰ㄶ㘴晦㡢㔵〳晦搰晦ㄲ㜷㑢㕣㡥㤶散晦㙦扡慦㔴㌱昳㐷戵㈰晢晦㑤㌵昰て晤慦㜲户挴戵㘸挹晥㍦搱㝤扤㡡㤹㍦慢〵搹晦㐶搵挰㍦昴扦挹摤ㄲ㉢搰㤲晤㝦愱晢㌶ㄵ㌳㝦㔵ぢ戲晦ㅤ慡㠱㝦攸㝦愷扢㈵敥㐶㑢昶晦㡤敥㝢㔵捣挴㙦扣换つ戱散㝦扦扢㐷晤〳敥㤶㜸ㄸ㉤搹㕦戰挷摦㜵晦㙡㜷晦挷摣㍤敡ㅦ㜷户挴㉡摤扦て㝢㍣慤晢搷戸晢㍦敢敥㔱晦㥣扢㈵攴换〶敥㤶㔹㡢ㅥ晡㘲昱攵㐳敥〹㌷攰挵㥥昰ㄷ㜵摥ちㄵ㕦㈴愴慡捥㔱晤㈳㔰挵㤷〲愹ち㌹慡㔷〲㔵慦㙡㔵㝦㐷㈵㌷攷扥㜹㜱戳㉥㜳慤攵愸摥〸捣挵㡤户㔴㔹㡥敡慤㐰ㄵ㌷搱㔲戵戶愳㝡㈷㔰昵慥㔶つ㜲㔴㜲㌳敢㥢ㄷ㌷户㌲搷扡㡥敡㠳挰㕣摣愸㑡搵晡㡥敡愳㐰ㄵ㌷㥤㔲戵愱愳晡㈴㔰昵愹㔶㙤攴愸攴收捦㌷㉦㙥〶㘵慥㑤ㅣ搵敡挰㕣摣搸㐹搵㔰㐷㈵㌷㘵扥㕣摣愴㐹搵㜰㐷㈵㌷㔸㍥ㄵ㌷㕣㔲戵戹愳㤲㥢㈵㥦㡡㥢㈷愹摡挲㔱挹㡤㡦㑦挵㡤㤰㔴㙤攵愸攴㈶挶愷攲愶㐶慡戶㜱㔴㜲㐳攲㔳㜱㠳㈲㔵愳ㅣ㤵摣㕣昸㔴摣㙣㐸搵㘸㐷㈵㌷ち㍥ㄵ㌷づ㔲ㄵ㜶㔴昲愹敦㔳㜱ㄳ㈰㔵㔱㐷㈵㥦攰㍥ㄵ㥦攸㔲ㄵ㜷㔴昲㘹散㔳昱改㉣㔵㐹愹戲昴搳㔰昰昹㈹て㔱㍤昶㥤㜳㠸㙡㈲晡搶攱扣戲㝣㑡捡挰愳㥥〰㥦㠵㌲昰㜷㑦㠰㑦㍣ㄹ㜸挴ㄳ攰㜳㑤〶ㅥ昶〴昸昴㤲㠱㠷㍣〱㍥愳㘴攰㐱㑦㠰㑦㈲ㄹ㜸挰ㄳ攰昳㐶〶敥昷〴昸㔴㤱㠱晢㍣〱㍥㍢㘴攰㕥㑦㠰㑦〸ㄹ戸挷ㄳ攰㜳㐰〶敥昶〴戸摡换挰㕤㥥〰搷㜴ㄹ㔸改〹㜰攵㤶㠱㍢㍤〱慥捦㌲㜰㠷㈷挰㔵㔸〶㙥昷〴戸搶捡挰㙤㥥〰㔷㔴ㄹ戸搵ㄳ攰扡㈹〳㉢㍣〱慥㡥㌲㜰㡢㈷挰㌵㔰〶㙥昶〴戸搲挹挰㑤㥥〰搷㌳ㄹ戸戱㌲搰敦晦〱㈹ㄳ㙢戸</t>
  </si>
  <si>
    <t>㜸〱捤㥤〷㤸ㄴ㔵昶昶攷づ㌳挵㔴〳㑥愹㘰〲㤵㐱㌱㠱搸㌹愰㈸ㄹ㐹㠲〴㕤㕤㜱慣敥慥㤶㠱〹㌸㌳㈴㌳㡡慣〹搳敡㥡戳攸慥㌹㠰ㄱ〳㡡㘱つ㙢㜶捤㔹搷ㅣ搶戴㙢晣摥昷㔶摤敥敡慡㥡ㄹ㘶晦晢㍤捦昶㜴摦愹㜳捥㝢捦扤晤敢敡敡敥慡搳㕤ㄵ愲愲愲攲㌷㕣昸㥦㤷㉡㉥っ㤸戹戴慤摤㙡ㅡ㌶愶愵戱搱捡戵㌷戴㌴户つㅢ搵摡㙡㉥㥤搲搰搶摥〳〲慤扥〱昱戶敡晡戶㠶挳慤㥡晡㐵㔶㙢ㅢ㐴搵ㄵㄵ㌵㌵㝡㈵攲㕢㍡㌷㐳ㄹ㍡㝢改㔵㙣愰慡搰㌵㌶㍤搹搴戰搱搹㠴搸昴㘲搳㥢㑤ㅦ㌶ㅢ戱愹㘵㘳戰搹㤸捤㈶㙣㌶㘵搳㤷㑤㍦㌶㥢戱搹㥣捤ㄶ㙣㌸扥扥ㄵ㥢晥㘸㝡て㐰㌳㙢捣攸㘹搹㜹戸㌷㌳摢㕢㕡慤愱〳昷戳攷㍣㈲ㄲㄹ㠶扦㜸㍣㍤㉣㍣㜴攰㤸㠵㡤敤ぢ㕢慤ㄱ捤搶挲昶㔶戳㜱攸挰改ぢ戳㡤つ戹挹搶搲㔹㉤昳慤收ㄱ㔶㌶ㅣ换㥡昱㜴㈴㥥㐸ㄴ㌲㤹㜴敦慤㤱㜹㥦㌱愳愷户㕡㠵戶晦㔶捥㙤㤸㜳摡㤸搱挳昶戱摡晦㕢㌹户㐵㑥愴ㅣ摢搲㘴㌶㌴晦㤷㤲㔶昳㌱㑤㡣戵㜲つ㝣昰㉤慢戵愱昹搰㘱㤸㜶ㄹ㘸㔸愹㘱愳摡摡ㄶ㌶㉤攰㝡㌴挶㙡㙣㥣㘱ㄵ攴㠳摥㌴戶慤㝤扡搹摡搴搶扢㠹晣慣㔶慢㌹㘷戵㙤搴㌴㙥㐹捥㙡㜴㠴㙤㌵㑤晢㤹慤晢㤸㑤㔶ㄵㄷ㙡㥢散挷㜰㘲摥㙡㙥㙦㘸㕦摡愷㘹㜶㥢㌵挳㙣㍥搴愲愴扡㘹挲挲㠶扣愸慡挲戵愲挷㡥㐱㌳㤳てㄴ收搳㌴㘶慥搹摡㉥㉤㍥㠴㤱㈰慤㙢㜵㤱昷愲㙣㕥㕣愵〶㝡㝡昱㌱㥢搹搰㌴搹㙡㙤戶ㅡ㌹〸ㅦ挹㈱ㅥ㤱〴㘴㍦づ㐵㔲敡敥昰㔱ㄲ扤㥣㈷ㅦ敦ぢ㐷搱〶愲搹㜲㥦㤶搶㈶慣㤰㔳㉤戳㜹㐴㈴ㅣㅥ㍡戳㍤㍦搶㕡㌴㈲㥡搰敢㄰搶〷㔱戸ㅤ㥡㕥㘳慤㈶戳㌹㍦㍣ㄲ捥っ搷户㘷㘸㌰ㅡ㔱昵㉡㥥攳敥捣㝣㥥㔵搶㥢㤵昵搹捡晡㕣㘵㝤扥戲摥慡慣㉦㔴搶ㅦ㕡㔹㍦户戲扥愱戲㝥㕥㘵晤㝣㘸搴愵愶㘷捦㑡攷㜲摣㠳敦昵㥣昴挰㙤愳㑦㘸搵て㍥㙡收收て〸㍥慤攵㔶㘱㐷㉣㜴㌲搳㥤㄰搶㜷㐶愳敤㠲愶㌴搳搸㜰㝤〸㐳㐳搱〸昱㍣㘶捡搹慥扤㙥敤㌷㙦㍥晥攸攴㍢㙥㥡昹㝥愴攷昴戳〵㌷ㅣ㜲㤸㘱㔸攸㘴㤸摤㤸㉢㡣㐶㡢愰㈹つ㤳ㅣ慥㐷ㄹ㡡愱ㄱ攲㐹㘷㤸搷㥥㝡㉢晡昲㤱昷㑦㍢㝦挵戱慦摣昱攰㡦㠷〹㙥㥡攴㌰〹㉣㜴㌲㑣㤲戹㔲㘸戴㌴㥡攲㌰搱挸㜰㍤挳搰㜰㌴㐲㍣散っ搳搰㜷改慢㍦扤㜴搹㤸㤳收昴㕤昳攱㠳攷㕥㈸戸昱㤳挳散㠱㠵㑥㠶ㄹ挱㕣㝢愲搱昶㐲㔳ㅣ㈶㥣ㅥ慥㡦㘴㘸ㄴㅡ㈱敥㜳㠶ㄹ㌴收昴敦ㄷ扣㌰㜵挲㠵㤷㙥扥晤愴㝢昷ㅡ㈶昸㑣㤳挳㡣挱㐲㈷挳㡣㘵慥㜱㘸戴昱㘸㡡挳㐴挳挳昵〹っ敤㡤㐶㠸㍢㥣㘱㍥㕤昷㐴㝥敦戳㌶㥤戴敡㡤㉦晥㜸收扡愹㤳〴㌷攰㜲㤸㐹㔸攸㘴㤸挹捣㌵〵㡤㌶ㄵ㑤㘹㤸攸㜰㝤ㅦ㠶愶愱ㄱ攲㘶㘷㤸㘱搳㑦ㅣ㝡摡扥㌷㡤扢敡㥡㤵捦晦㝣捣㠲㔷〵㕦㈲攴㌰晢㘲愱㤳㘱㘶㌰搷㑣㌴摡㉣㌴挵㘱㈲ㄸ㘶㌶㐳晢愱ㄱ攲㉦捥㌰ㄷ攴㡦晡㘴昵昵〳㈷晦㜹戳搵㜷扦㜷㙥攳㜲搱ぢ㘱㌹捣敦戰搰挹㌰〷㌰搷㠱㘸戴摦愳㈹つ㤳ㅡ慥ㅦ挴搰ㅣ㌴㐲㕣攱っ戳挵㡡慤㉥㜹晢晥㕦挷晤㘱挵㥣㜱搹扦晣戲㠳攰换㥣ㅣ愶ㅥぢ㥤っ㜳〸挲扡㠹㐶换愲㈹づㄳ㡤て搷㜳っ攵搱〸㜱愱㌳捣敤搳晢摦ㄴ慤扦㘱敡扤㕦㑥㌹昷㤲㔷㝥户慦攰ぢ愹ㅣ愶㠰㠵㑥㠶㌹㤴戹收愲搱ㅡ搰ㄴ㠷〹〳摡㍣㠶收愳ㄱ攲㙣㘷㤸㈹晡㜳㐳扦㝦昷㥢昱ㄷ㕣㔱㝦收㜳晦敥慦ぢ扥㔴换㘱㥡戰搰挹㌰捤捣搵㠲㐶㕢㠰愶㌸㑣ㄴ㕢㠱挳ㄸ㙡㐵㈳挴㑡㘷ㄸ㘳攳㔳㙦㥥扥昲愵挹㈷扥晣攴ㄳ扦㘵戵㜳〵摦っ挸㘱摡戱搰挹㌰ぢ㤹㙢ㄱㅡ㙤㌱㥡攲㌰ㄱ㍣㍤㤷㌰戴ㄴ㡤㄰㉢㥣㘱挶㡤㝢㘲挵㤳㤷扦㌹敡摡换㡦㙤㕥㥦㙦㌶〵摦㙥挸㘱㡥挰㐲㈷挳ㅣ挹㕣㐷愱搱㡥㐶㔳ㅣ㈶㥣ㄸ慥ㅦ挳搰戱㘸㠴㌸挶ㄹ收㤵㠶昹㑦扥戰㘰昵挸攳㍥挸摥戴㝡搱捡慣攰ㅢㅡ㌹捣㜱㔸攸㘴㤸攳ㄱ搶㤷愳搱㑥㐰㔳ㅡ〶慢挰ち㠶晥㠰㐶㠸㈵捥㌰敢㙦㝦扤敦晡搳戶㥡扡收戳搳㉥㝡㈵昴扢㉦〵摦㌲挹㘱㑥挲㐲㈷挳㥣捣㕣愷愰搱㑥㐵㔳ㅣ㈶㠲㡤捤㑡㠶㑥㐳㈳挴㘱捥㌰捤换㍦改昱摤攳扦㑣㍣敥攷㠶㙢捦㌸㝥昷愳〵摦㤴挹㘱捥挰㐲㈷挳㥣挹㕣㘷愱搱晥㠸愶㌴っ㌶㌶㘷㌳㜴づㅡ㈱收㌹挳㝣ㄱ晡㌵㜵㐲搳摥㤳㙥㍦晥愸㈷㕥㍢㜰愷㍤〵摦昶挹㘱捥挵㐲㈷挳㥣挷㕣攷愳搱㉥㐰㔳ㅣ㈶㡡挷收㐲㠶㉥㐲㈳㐴捥ㄹ收敥㐱㡢㤷晦㜱捣戴㈹户㉥扦慦晤敤搷晡㍤㈵晡㈱㉣㠷戹〴ぢ㥤っ㜳㈹㜳㕤㠶㐶扢ㅣ㑤㜱㤸〸㔶攸㉢ㄸ扡ㄲ㡤㄰〷㌹挳㥣晡收ㄳ㍢昴扥敤搸〹㝦㝥㜷晥㉦㝢㙥摣㌶㐶昰慤慢ㅣ㘶ㄵㄶ㍡ㄹ收㙡收扡〶㡤昶㘷㌴愵㘱昰㍡晦ㄷ㠶慥㐵㈳挴㙣㘷㤸㤷敢㥦愹㥣㍡昹愷㤱㘷㕦㍢散慤㌳攷ㅤ戰㐰昰捤戱ㅣ收㝡㉣㜴㌲捣つ捣㜵㈳ㅡ敤㈶㌴挵㘱挲㜸摥摣捣搰㉤㘸㠴搸挷ㄹ㘶搹换昳㐶㝦㜵攳扣㌱㘷㕤㕦昳㔰㡦捡昵㠳挵ㄶ〸换㘱㙥挳㐲㈷挳慣㘶慥㌵㘸戴摢搱ㄴ㠷㠹㘰㠵扥㠳愱㍢搱〸㌱挱ㄹ收挶㘷慢攳扢㑥扢㘱搲㈹㑦捤扥晡搶晢㌶摡㔵㙣㠹戰ㅣ收㙥㉣㜴㌲捣㍤捣戵ㄶ㡤㜶㉦㥡搲㌰㜸㉦㜰ㅦ㐳昷愳ㄱ㘲愴㌳捣㍢㉢㈶㈴晡㕦戶㙣敡戵㜷ㅥ戲晥捤㐳慥㕢㈱戶㐲㔸づ戳づぢ㥤っ昳㈰㜳㍤㠴㐶㕢㡦愶㌴っ搶戴㠷ㄹ㝡〴㡤㄰ㄹ㘷㤸昱愷㝥㍡晡昰㈷㕦ㅤ㜵捡㥦㙥㝦㝣㙤摤搷㐳㐵㝦㠴攵㌰㡦㘱愱㤳㘱晥捡㕣㡦愳搱㥥㐰㔳ㅣ㈶㡣搷㥢㈷ㄹ㝡ち㡤㄰㔱㘷㤸㤱慦扤㌷散愵㜷ㅢ挷㕥㍡搶㕡扥敦㠲慤戵摥㑦㈳扣慦昳敥㜲㙣慢戹ㄸ敦搷㑢ㅦ〵愲挳挲晣敢晡㌳㄰㍥〲ㄵㄲ㠵㔴㈱ㄲ挹㈷挲㘶捣慣慥㐳摡つ㝤戳捤捤㙡敦挲晥つ捤昹㤶挵昲摤昷㠰搱㘶㥢㔵㝡㌳㍥挴㠹㡤㙥㔹搸㥣㙦敢ㅦㅣ㥣搹㙥戶㕢㕢㜹㘳愵㈴扥㙥㌳昱搹挴㙡㤳攳㙤攳敤戶㥦搹戸搰ㅡ戵愴挱づ㙦敤〹攳㤳㐹㑢戶攳攸昸㔶敢戰㘲搴㌷愳㔱昸攸扣㐸收昶摤㑢㍢㘴捦㙢攰㤸戹㉤㙤㔶戳㥣摥㤰愶改つ戹昹㔶敢㑣㡢ㅦ扣慤扣扣慢晤ㄸ㜲㍥ㅥつ㤹搶㡣㍢㡡て㍣昹㐱㙥㙦㘱摣㤲㜶慢㌹㙦攵㌱摦〵㔶㙢晢搲㔹㘶戶搱摡慣㑣㘲㡦㠹挰㤶㘵敥昱㉤戹㠵㙤㘳㕡㥡摢㕢㕢ㅡ换㈳愳昲㡢㑣㝣㈴换㑦㙤挹㕢昸㐴㔵挵㑢㠵愸攸搱㐳㠸㡡㕤㠲㍥搶㌰㙦摢㌰昹㐰戸ㅥ攲慤昱㤸㙦㔱扥摡つ㥢㠱㝢㠷㝢搱㘸㜱㥤慣摣扥㡢㘴㌲㉦搳散摣戱搰㜵㥦戸㤷㠲敡㥤㍡㔶换㌹ㄶㅦ戹晦扦攲捡捡㑤㥤㝢㍦㙥ㄱ㍥戶敥㡤㡦㘷㡤㔶㙢愷晢㔸〴㘷愴㍦㠳愶㝡㌷㍣㥢㍢愴㔷〵㠵㔸㈲㤶㔶㉦㙥挸户捦搵收㕡つ㠷捥攵晢㈲散㠷愹愹㈱㕡摦㐵㝦づ㉥晤㜹㌶㉦愰〹㠵㉡戴ㄷ㈹搲㐲晡㑢戶㕤㍤〸晦扢晦㠱戸ㄲ扤㜴昹〱ㅣ㝢㑢摡慡㥢挶户戴戶昵攸ㄱ㜴㉦昷㌶摢收戶㜳昵散㍣挸㝣㝦㘷昳㌲㥡敡敤搱㜴昹㜹扢ㄶ愲㉡敥㔶攸搳㌴搶㉡㤸搸㤹㈳㥦摤挲慣㙥戲昷て㡣戵摡㜲㍡㜷㈴㑣挴㜳㘵㠹㠶㈵㍣昹㝢㌷㜱敤户㤶戴㡦㌵摢捤㥥㑤搸㈵㠱㐷㐹㠷㘸㠸散㘵㉦戱㘷ㅦ改㔳扤㐳㡥㠵っ㠶㕣㜴㘵改㈵ㅤ㜶㈶㍣㜱昰㝣愹攸攱戴㥤摦〹捣㝤ㅢ摣〹捤扢愲㤷敦㕡挰ㅥ㡦晣〴慢㜹搶搲〵㔶ㅢ攵㌵㕡愷㈸扤㑦㉦㈶㥢㤶换捥㙥㙦㘸㙣ㅢ㠶㤹㑥㘸㙤㔹戸攰扦㤹㠷戹昴㔷搰愸㑢昵づ㔸㡢㌷晣㍥〱㔷㐵捦㐵㝣㙣敡敢㉢㙡㤸㡤ㅥ㝤㍢㌶㕣㕢㤱散㌷晣㤳ㄷ晤つ晣ぢ㜵ㄶ慢ㅥっ挵㤰愰㙤㐱〷扢㘱慡愱敦摤〴㐲戳㕡㉤戹㘳愹㐶ㅡ愰摤愷㘹晦㤶搶昹搹㤶㤶昹㕣㥦㌶㤲㔶摢㕣换㙡攷捥㥡㕥捥捥㈹戹ㄳ㑡㠸ㅥ㍤捡昶户戸昶敡㙣㡢晣摡㍢㘸晡㡣㙡㙣ㅣ愸㌲戶㘹敦挲搵〳扢㡤戴昷戰㌰㘰㕡㙢摥㙡摤㜵昶㠲㕤㘷戵っ挴㕥愵㠵㡤愶扤㈳㜶㐹㘳摢ㄲ㌱〰〴戸㤳攴㡥挱㠵愳ㅦ敦晢敡愸㡢愷㔴晦㙤昷㤳㜶㌲㐵㝦㈷攰摢㐹戳ㄳ㜲搶攱愶㝦㠸㐶㙣〹ㄹ户㉣㔸㉥扦攸ㅦ挱搶㍦㘶昳〹ㅡ㙣ㅦ㈴㜱㙣ㅥ㍥戳㑤戱㌳晥㜳ㄳ愱㝦捥收ぢ㌴㘲〸ㅡ㍥㐱昵㉦搱愸㡢㌰㤰㥦㡦扢㝣散㜶㠱摢晦搸㝤〳㙦㐸敦㈴㈶㠶㐲挱挷㑦㈷㉦㥤㠴㜴搲ㄱㅡㄲ〷〲愸㜶〲扥摤㐷扢愱㥢〴昰㌳晢昷㠰㉣ㄸ挰慦ㅣ㠳㘰㜴慥㜵㉥〰㤵戶㈹挲㠸㐹〰㍤攰搰戹挳㕣㐴攱㤲〰慡㘱愹㡢昸昱㔷ㄷ㠰〸摣㝥〰㍡㜳敡㥤挴㐴っ晤㠲〰㝣㠵攴㠱〰扥㜴〲扥ㅤ㕢㐹㘴慡攳㉣㌶攱㤴㍦㠷㉣ㄸ㐰㕦㠴昵㝥㙣㌶㐳攳〲戰㠵㙤㡡ㄴ㤲㐸〰㕢㔲戴ㄵㅡ㤱㠱㑢〲攸て㑢㕤挴晢㙥〰㘹戸晤〰戶㘵㑥扤㤳㤸ㄸ㡥㝥㐱〰㕥敤〸挰㉢㑥挰户换㙤〴㌲搵㜱ㄶ㍢㜱捡㝦敦㄰挰㉥〸敢㐳搸っ㐵攳〲㌰捣㌶挵㥥㐸㈲〱散㐶㔱ㄸ㡤ㄸ〹㤷〴㄰㠱愵㉥攲㙦㙥〰㝢挱敤〷㤰㘰㑥扤㤳㤸ㄸ㠵㝥㐱〰搶㜷〴攰㈱㈷攰摢ㄹ㌸ㄶ㤹敡㌸㡢㍤㌱愸㔸搷㈱㠰㤱〸敢愳搸㡣㐶攳〲㌰搶㌶挵㌸㈴㤱〰挶㔱㌴ㅥ㡤攰㕥㐲〹㘰〲㉣㜵ㄱ㜷扡〱㡣㠷摢て㘰㌲㜳敡㥤挴挴摥攸ㄷ〴攰挶㡥〰摣攰〴㝣扢㈹㈷㈳㔳ㅤ㘷㌱㡢㔳扥慥㐳〰晢㈱慣敦捦收㜷㘸㕣〰づ戴㑤㌱〵㐹㈴㠰摦㔳㜴㄰ㅡ戱て㕣ㄲ挰ㅣ㔸敡㈲慥㜰〳㤸ち户ㅦ㠰挹㥣㝡㈷㌱㌱つ晤㠲〰㥣搷ㄱ㠰㜳㥤㠰㙦〷敡っ㘴慡攳㉣收㜱捡攷㜴〸愰ㄱ㘱扤㠹㑤㌳ㅡㄷ㠰〵戶㈹㘶㈲㠹〴㜰ㄸ㐵慤㘸挴㙣戸㈴㠰㌶㔸敡㈲㑥㜵〳㤸〵户ㅦ挰㘲收搴㍢㠹㠹晤搰㉦〸挰㜱ㅤ〱㔸收〴㝣扢㜶て㐰愶㍡捥攲㔸㑥昹㤸づ〱ㅣ㠷戰㝥㍣㥢攵㘸㕣〰㔶搸愶㌸㄰㐹㈴㠰㍦㔰㜴㈲ㅡ㜱㄰㕣ㄲ挰㐹戰搴㐵㉣㜲〳昸㍤摣㝥〰㉢㤹㔳敦㈴㈶收愰㕦㄰㠰挶㡥〰捣㜷〲扥㥤捥㠷㈰㔳ㅤ㘷昱㈷㑥戹愱㐳〰攷㈱慣㥦捦收〲㌴㉥〰ㄷ搹愶㌰㤱㐴〲戸㤸愲㑢搰㠸ㅣ㕣ㄲ挰愵戰搴㐵ㅣ攲〶㤰㠵摢て攰㑡攸㐳㝡㈷㌱㤱㐷扦㈰〰晢㜵〴㘰戶ㄳ昰敤づ攷㙥敥㍡捥攲㝡㑥㜹㘶㠷〰㙥㐴㔸扦㠹捤捤㘸㕣〰㙥戵㑤㌱ㄷ㐹㈴㠰摢㈸㕡㡤㐶捣㠳㑢〲㔸〳㑢㕤挴㈴㌷㠰〶戸晤〰敥㘲㑥扤㤳㤸㤸㡦㝥㐱〰㐶㜶〴㘰㉦㈷攰摢㔱摦㡣㑣㜵㥣挵㠳㥣昲㠸づ〱慣㐷㔸㝦㤸捤㈳㘸㕣〰ㅥ戳㑤搱㠲㈴ㄲ挰㕦㈹㝡ㅣ㡤㌸っ㉥〹攰〹㔸敡㈲攲㙥〰ぢ攰昶〳㜸㥡㌹昵㑥㘲愲ㄵ晤㠲〰散搲ㄱ㠰㥤㥤㠰敦㄰挲㐲㘴慡攳㉣㕥收㤴㜷散㄰挰慢〸敢慦戱㜹ㅤ㡤ぢ挰㥢戶㈹ㄶ㈱㠹〴昰ㄶ㐵㙦愳ㄱ㑢攰㤲〰摥㠱愵㉥㘲ㅢ㌷㠰挵㜰晢〱㝣挰㥣㝡㈷㌱戱ㄴ晤㠲〰昴敤〸挰愶㑥挰㜷㜰攳㐸㘴慡攳㉣扥攰㤴㌷敥㄰挰㔷〸敢㕦戳昹㈷ㅡㄷ㠰㙦㙤㔳ㅣ㠵㈴ㄲ挰㜷ㄴ㝤㡦㐶ㅣ〳㤷〴昰〳㉣㜵ㄱ㌵㙥〰㐷挳敤〷昰ㄳ㜳敡㥤挴挴戱攸ㄷ〴攰搷㕦㍡㜸㉢晣㡢ㄳ昰ㅤ㜶㌹ㅥ㤹敡㌸㡢慡㑡㑣昹㈷挸㠲摦ち㙢〸敢㍤搹搴愰㜱〱〸搹愶㔸㡥㈴㠳㤸愸ㄷ㐵扤搱㠸ㄵ㌰㈵㠰㍥戰搴㐵晣ㄳ㘳ㄴ㍦っ㥤〰户ㅦ挰挶搰㠷昴㑥㘲㠲㐷㜹㠲〰㝣搴ㄱ㠰㝦㌸〱摦〱愱㤳㤱㐹〲搸㡡㔳晥愰㐳〰〳㄰搶户㘶戳つ㘷㔷晡㌴㌸搰㌶挵㈹㐸㌴㠸㜷愷㡥愲㐱㘸挴㑡㤸ㄲ挰㜶戰搴㐵扣敥〶㜰㉡摣㝥〰㍢㐲ㅦ搲㍢㠹㠹搳搰㉦〸挰㜳ㅤ〱㜸搶〹昸づ㔵㥤㠹㑣ㄲ㐰㤸㔳㝥扡㐳〰㔱㠴昵ㄸ㥢㌸㘷㔷〲㤰戴㑤㜱ㄶㄲつ攲摤㐹㔱㤴㐶㈳捥㠶㈹〱㘴㘰愹㡢㜸挴つ攰㡦㜰晢〱㡣㠰㍥愴㜷ㄲㄳ攷愰㕦㄰㠰戵ㅤ〱戸挷〹昸づ愲㥤㠷㑣ㄲ挰㜸㑥昹慥づ〱散㡤戰㍥㤱捤㈴捥慥〴㘰㡡㙤㡡昳㤱㘸㄰敦捥㔴㡡昶㐱㈳㉥㠴㈹〱㑣㠳愵㉥攲㘶㌷㠰ぢ攰昶〳㤸〹㝤㐸敦㈴㈶㉥㐲扦㈰〰㔷㜷〴㘰㤵ㄳ昰ㅤ摥扢ㄴ㤹㈴㠰㠳㌸攵㉢㍢〴㜰㌰挲㝡㍤㥢㐳㌸扢ㄲ㠰慣㙤㡡换㤰㘸㄰㙥㝡㡥愲㍣ㅡ㜱〵㑣〹挰㠲愵㉥攲〲㌷㠰换攱昶〳㘸㠰㍥愴㜷ㄲㄳ㔷愲㕦㄰㠰㌳㍡〲㜰扡ㄳ昰ㅤ㜸扣ㅡ㤹㈴㠰㔶㑥㜹㘵㠷〰摡ㄱ搶ㄷ戲㔹挴搹㤵〰㉣戱㑤挱㠳㤲㠳㜸㜷㤶㔲㜴㌸ㅡ昱ㄷ㤸ㄲ挰ㄱ戰搴㐵㉣㜷〳昸㌳摣㝥〰挷㐰ㅦ搲㍢㠹㠹㙢搱㉦〸挰攱ㅤ〱㔸敡〴㝣㠷㐴㙦㐰㈶〹攰㐴㑥㜹㜱㠷〰㑥㐶㔸㍦㠵捤愹㥣㕤〹挰㘹戶㈹㙥㐴愲㐱扣㍢愷㔳㜴〶ㅡ㜱㌳㑣〹攰㑣㔸敡㈲㥡摤〰㙥㠲摢て攰ㅣ攸㐳㝡㈷㌱㜱ぢ晡〵〱挸㜷〴㈰攷〴㝣〷㙢㔷㈳㤳〴㜰〹愷㙣㜶〸攰㌲㠴昵换搹㕣挱搹㤵〰㕣㘵㥢㘲つㄲつ攲摤㔹㐵搱搵㘸挴ㅤ㌰㈵㠰㙢㘰愹㡢昸㥤ㅢ挰敤㜰晢〱㕣〷㝤㐸敦㈴㈶敥㐴扦㈰〰晢㜴〴㘰慡ㄳ昰ㅤ㐶扥〷㤹㈴㠰搵㥣昲攴づ〱摣㡥戰㝥〷㥢㍢㌹扢ㄲ㠰扢㙤㔳慣㐵愲㐱扣㍢昷㔰戴ㄶ㡤戸て愶〴㜰㉦㉣㜵ㄱ愳摤〰敥㠵摢て㘰ㅤ昴㈱扤㤳㤸戸ㅦ晤㠲〰愴㍢〲㤰㜲〲扥〳摣て㈲㤳〴昰㌸愷㥣攸㄰挰㤳〸敢㑦戱昹ㅢㅡㄷ㠰㘷㙣㔳㍣㠴㐴㠳㜸㜷㥥愵攸㌹㌴攲㘱㤸ㄲ挰昳戰搴㐵っ㜵〳㔸て户ㅦ挰摦愱て改㥤挴挴㈳攸ㄷ〴㘰㔰㐷〰敡㥣㠰敦搰晢㕦㤱㐹〲㜸㥢㔳摥戶㐳〰敦㈲慣扦挷收㝤捥慥戴〶㝣㘸㥢攲㜱㈴ㅡ挴扢昳て㡡㍥㐲㈳㥥㠴㈹〱㝣っ㑢㕤挴㘶㙥〰㑦挰敤〷昰㌹昴㈱扤㤳㤸㜸ち晤㠲〰昴敥〸㐰㉦㈷攰㉤ち愸㝥〶㤹扡㜱㌰户ㄷ㈷㕣搸慦挱㕡捣愳㑦ㅢㄵ㔰㝦㍢㘶㘱㕢㝢㡢㍣㔴搶愷㌰戶㘵㥦㤶昶戱つ㙤ぢㅡ捤愵㥢ㄶ㥣㠵晤攷㕡捤㌸㤰摤㡡攳搹ㅥ㕦换㠲〵㔶㕥㉦捣㙣㔹搸㥡戳㈶㡥晤㕦㌸搰㡤晢㠷㠷㑥ㅥ攳慥ㄴ戸晣㘷挷㙥㉢搰ㄳ㙢〹㉥ㄵ搵捦㈱愱昷㄰㥣慣〲㜶ㅤ㉥㤷㡢〶㠴戵㈵愲戳ㅡ摡ㅢ慤㕥〵㜹愸㕡㉥搷ㄴ㐰ㄱ搵〱昹㥥㠵㔹㜳㜱㘸㙡㙣㥦挲㠴搶㠶㝣㘳㐳戳挵〷愳慦㉤㥤㘲ㅤ㡡㑡㠰改㉤㙤つ㍣㕥搴愷㌰慢搵㙣㙥㕢挰㠳㥡戹愵㥢㤴㔹昲攸㘷㜵㘱㜴㐳㜳ㅢ㠶㤱㡦㈲㤷㙢ぢ㌳攷戶㉣㐶敤晦挲愶收〹收㠲戶晦㠹㐷㐵昰㘱㤱ㄷ昹搰㠸㑡㔱㔹㈹㙡㉡㙢晥搳挷㐷晢ㅥ捦戱㑤敤慡敡㠱㔸㑦摢㕢ㅢ戲ぢ〹㑣㡥ㄱ㐵㕢挵㐶㍥㠶ㄵ搵捦㘳挹㝢昸搲昵㄰㝡㙡て㌸搷戲㥡昶挰挳攰挵㉦㔴㙣つ戹晥〳愶搳晢㕦㘸㈶㑤㤸㍤戱㔴㤵昳㝦晡㜶㐲昵ぢ挸扣挱㐵㄰晤㈰摥挸㕥㠵㔸ㄸ挱㌵ち捦㑣慣〹戴扣慢㘵愸㈰㌵㕣㐳㌷㉡㉤㡥挷㜱昴摥㠵㈹㘶搶㙡挴攱晦㈶戳㝤㈳摢攰戱㔷㔴慦户㌹戱㌱㉤㑤㑤㈶㔷㌹搶攰捦捣㤹㡤㔶㑤㘱搴挲昶㤶愹つ捤㝡〱㡤㕣㉦ㅤ㤷戹〴㉥㜳㠹㝤愰扥㌰㠳㘵㐱㜲㤹戹㕡づ㌵㕢ㅢ摡攷㌶㌵攴㙡㘸戰㜴攷㝦㘲㕤挵昶愳ち㌰搵㐵㙤㑢扣㐷晥敤攳敦㜸戸㠷愱㔸㠶攸昸昰㘳㡤慥ㄴㅡ晥挴㝦㔸㌵㠲㉤㡦㝣㐱搱㝦㐴戶㙡摣攴愶㐸捥攵㉢㜹㈸ㄶ㡢㕦ㅤ㠳㔵㔴㙥㥣挴㑢ㄴ攰愶晦〴㈹ㄷ㜸慢晡㍢㥡㑥㑢ち㝡㐲㄰㥡搲㘲收挷㥢㌹㝣㥦愶愷昳㙤㥡ㅡ㍣戴摣搴戴ㅡ㉣昲ㄸ㠳扡㈱搴㈳㉤㙡挰㠱散ㅡ㍡㘶攲摢㐲㔵㉣て搱散挷㄰㠷扢㝢㔴㔴㔷昷慡〹ㅡ㙢愲捡戵扤㜳攸摣晤㙤愴㠹扥晣㥦敤㥢摥㡢昷㌶ㄴ㤲㉦㔱㍦㘳㔹晦㠵昷改㘵㌸㜹㝦㍣㠲㕦㈹昸つ㑤昵㉢〸㝡ㅦ㥢昲㝡ぢ㔴㘵攸㄰㔵挹敦愱戰ㄲ愴〶㔵ㄳ戲㠴愴㕡摥㤱㕥慥搲て捤慥晡愸㔱㕦㙥搱㘶㘲㉤户昲㈱㝢晢捡ㄲㄳ扣㌲㔴㔴㔶㔶攱愱搶扣㘵㜳扥㘱㤱慣㘹愶㈵㙢㐲挴㌶㤸㠲挶㍡挱㑤昹㘴㐱晥㝡昷㜷㍤㕥㐴ㄴ挷戴㝦挳㍦㜹〹㠵昴㑡㘸㉢㐲攲つ戴ち㐰㙦㝡㙣㐲㐰㡦晤㕦㘸挴㠷㜰昲㙤㠰敢㐵㑢㝣〴㤳㉦㕣搸慢〷㐶昲攲搹㈸㡡㡦攱攵㠶㔱搷㤸攴ㄳ㉣㜱㝢㔳㕣晦㙡攰敤㝡晤晢㡣㍤㜰搳昹つ㌱戵晥㠹捦攱㔱㔳收昰捥㤴㐳搰攸扤㈸晣㈲㔸搰㥢㠲㍥ㄴ㝣〹〱ㅦ㔸㙤㈳㔸㝥㘰愸捤つ〰㘶㐰ぢ㘰摦戸㤲扢㠰㙤捣攴㥢㌰昹捦㄰㜸㠱晤ち㕦ㄷ挰昸搸㐸㘰㝤㤹㠴昷戶っ搸㘶昰㜶つ慣ㄲ摤㈴戰捤㘵ㄲ摢㄰㉣㐵〸〰戶〵㌴晡㤶ㄴ戲㑣㈱㐰戰ㄵ〵晤㈹㘰攵㠲〴㌶〰㤶ㅦㄸち㘶〳㠰㙤〳㉤㠰戱㡡㐱㈵㜷〱摢㤶挹〷㌲㌹㉢づ扣挰㔸㘶搰〵㌰ㄶ㈱㐸㘰㠳㤸㠴搵〸㘵挰戶㠷户㙢㘰慣㕡挰ㄵ㕦㠴㘲ㄲ㉣挸ㅢ㑢ㄷ搴㤴㕤㙢搸づ搰攸㍢㔲挸戲㠶〰挱㑥ㄴ散㑣〱㉢ㅤ㈴戰㕤㘰昹㠰昱㙢㐰〱挰㠶㐲ぢ㘰摢扡㤲扢㠰敤捡攴挳㤸㥣ㄵち㕥㘰㉣㑢攸〲ㄸ㡢ㄶ㈴戰㌰㤳戰㝡愱っ㔸ㄴ摥慥㠱戱捡〱㔷散昶㘴ㄲ〵㡣愵づ〱㍣攲搰攸〹ち㔹〶ㄱ㈰㐸㔲㤰愲㠰㤵ㄱㄲ㔸ㅡ㤶てㄸ扦搰ㄴ〰㙣㌸戴〰挶㉡〹㤵摣〵㙣㜷㈶摦㠳挹㔹搱攰〵㌶ㄲ扥㉥㠰㡤㠲㐴〲摢㤳㐹㐶挳㉡〳㌶ㄲ摥慥㠱戱㉡〲㔷㤴㑣㌰㠹〲挶搲〸㌵㘵搷ㅡ㌶ㅡㅡ㝤っ㠵㉣㥢〸㄰㡣愵㘰ㅣ〵慣愴㤰挰挶挳昲〱攳㔷戳〲㠰敤つ㉤㠰戱慡㐲㈵㜷〱㥢挸攴㤳㤸㥣ㄵ㄰㕥㘰㉣㝢攸〲ㄸ㡢㈲㈴戰㈹㑣挲敡㠸㌲㘰晢挰摢㌵㌰㔶㔱攰㡡慦㝢㌱㠹〲挶㔲ち㌵㘵ㄷ戰改搰攸晢㔲挸㌲㡢〰挱っち㘶㔲挰捡ぢ〹㙣ㄶ㉣㍦㌰㝣㤱㈹〰搸㝥搰〲㤸改㑡敥〲戶㍦㤳晦㡥挹㔹㌱攱〵挶㌲㠹㉥㠰戱㠸㐲〲㍢㤰㐹㔸㑤㔱〶散㈰㜸扢〶挶慡ぢ㕣昱㡤㌲㈶㔱挰㔸㝡ㄱ挰攳㘰㘸昴㝡ち㔹㤶ㄱ㈰㌸㠴〲㤳〲㔶㙡㐸㘰㔹㔸㍥㘰晣扡㕣〰戰㍣戴〰挶慡つ㤵摣〵捣㘲昲〲㤳ㅦぢ㠱ㄷ搸㜱昰㜵〱㡣㐵ㄷㄲ搸㕣㈶㘱昵㐵ㄹ戰㜹昰㜶つ㡣㔵ㅡ戸攲㑢㙢㑣愲㠰戱㔴㐳㑤搹戵㠶㌵㐲愳㌷㔱挸㌲㡥〰㐱㌳〵㉤ㄴ戰戲㐳〲㕢〰换てっ㕦挴〸〰搶ち㉤㠰戱捡㐳㈵㜷〱㙢㘳㜲㝥慢㕥戰㈲挳ぢ㡣㘵ㄸ㕤〰㘳㤱㠶〴戶㠸㐹㔸慤㔱〶㙣〹扣㕤〳㘳㔵〷慥搸㠷捦㈴ちㄸ㑢㍢搴㤴㕤挰づ㠷㐶㍦㠲㐲㤶㝤〴〸㡥愴攰㈸ち㉥㠵㐰〲㍢ㅡ㤶てㄸ扦挲ㄸ〰散㔸㘸〱㡣㔵㈱㉡戹ぢ搸㌲㈶㍦㡥挹㔹挱攱〵挶戲㡤㉥㠰戱愸㐳〲㕢捥㈴慣敥㈸〳戶〲摥慥㠱戱ち〴㔷㝣昵㡥㐹ㄴ㌰㤶㠲愸㈹扢㠰㥤〸㡤㝥ㄲ㠵㉣ㄳ〹㄰㥣㑣挱㈹ㄴ戰㜲㐴〲㍢ㄵ㤶てㄸ扦㡣ㄹ〰散㌴㘸〱㡣㔵㈴㉡戹ぢ搸改㑣㝥〶㤳戳攲挳ぢ㡣㘵ㅥ㕤〰㘳ㄱ㠸〴㜶ㄶ㤳戰ㅡ愴っ搸搹昰㜶つ㡣㔵㈳戸攲摢㝤㑣愲㠰戱㜴㐴㑤搹〵散㑦搰攸攷㔲挸戲㤲〰挱㜹ㄴ㥣㑦〱㉢㑤㈴戰ぢ㘰昹㠰昱㙢愵〱挰㉥㠲ㄶ挰㔸㜵愲㤲扢㠰㕤捣攴㤷㌰㌹㉢㐴扣挰㔸ㄶ搲〵㌰ㄶ㡤㐸㘰㤷㌱〹慢㐷捡㠰㕤〱㙦搷挰㔸㘵㠲㉢扥㐰挸㈴ち搸㕢㔸㔲㔳㜶〱扢ちㅡ㝤ㄵ㠵㙦〷ぢ慥愶攰ㅡち摥㠱㐰〲晢㌳㉣ㅦ㌰㝥㐱㌶〰搸戵搰〲ㄸ慢㔴搴攸㉥㘰搷㌱昹昵㑣捥㡡ㄲ㉦㌰㤶㤱㜴〱㡣㐵㈶ㄲ搸㡤㑣挲㙡㤳㌲㘰㌷挳摢㌵㌰㔶愵攰㡡敦㈸㌲㠹〲挶搲ㄴ㌵㘵ㄷ戰㕢愱搱㙦愳㤰㘵㉢〱㠲搵ㄴ慣愱㠰㤵㉣ㄲ搸敤戰㝣挰昸㔵摦〰㘰㜷㐲ぢ㘰慣㙡㔱挹㕤挰敥㘲昲扢㤹扣ち㜳昲〲㘳搹㐹ㄷ挰㔸㤴㈲㠱慤㘵ㄲ㔶愷㤴〱扢て摥慥㠱戱㡡〵昳挳搷㈰㤹㐴〱㘳㈹㡢㥡㌲ㄶ搵㠷敦〷愰搱搷㔱挸㌲㤷〰挱㠳ㄴ㍣㐴〱㉢㕦㈴戰昵戰晣挰㠲㌷晡㡦㐰ぢ㘰慣㠲㔱挹㕤挰ㅥ㘵昲挷㤸㥣ㄵ㉢㕥㘰㉣㔳改〲ㄸ㡢㔸㈴戰挷㤹㠴搵㉣㘵挰㥥㠴户㙢㘰慣㝡㤱挰㥥㘲ㄲ〵慣づ㕥㌵㘵㉣㉡㘰㝦㠳㐶㝦㥡㐲㤶挵〴〸㥥愱攰㔹ち㔸㈹㈳㠱㍤〷换〷㡣㕦扦づ㔸挳㕥㠰ㄶ挰㔸㌵愳㤲扢㠰扤挸攴㉦㌱㌹㉢㕣扣挰㔸搶搲〵㌰ㄶ扤㐸㘰㉦㌳〹慢㕦捡㠰扤ち㙦搷挰㤲攸㈶㠱扤挶㈴ちㄸ㑢㘵搴㤴戱愸㠰扤づ㡤晥〶㠵改㘰挱㥢ㄴ扣㐵〱㉢㙢㈴戰户㘱昹㠱〵㝦㌴㝡ㄷ㕡〰㘳㤵㡤ㅡ摤〵散㍤㈶㝦㥦挹㔹ㄱ攳〵挶㌲㤸㉥㠰戱㐸㐶〲晢㤰㐹㔸㉤㔳〶散㈳㜸扢〶挶慡ㅡ〹散㘳㈶㔱挰㔸㕡愳愶㡣㐵〵散ㄳ㘸昴㑦㈹㘴搹㑤㠰攰㌳ち㍥愷㠰㤵㌸ㄲ搸ㄷ戰㝣挰昸㤵昸㠰㌵散㉢㘸〱㡣㔵㌹㉡戹ぢ搸搷㑣晥㑦㈶㘷〵㡤ㄷㄸ换㘶扡〰挶愲ㅡ〹散㕢㈶㌹〴㔶ㄹ戰敦攱敤ㅡㄸ慢㜰㈴戰ㅦ㤸㐴〱㘳㈹㡥㥡㌲ㄶㄵ戰㝦㐱愳晦㥢挲㝣戰攰㐷ち㝥愲挰㠲㐰〲晢ㄹ㤶てㄸ扦摣ㅦ〰散㔷㘸〱㡣㔵㍣㙡㜴ㄷ戰摦㤸扣〲㠷〶〴㉢㙥扣挰㔸㘶搳〵㌰ㄶ攱㐸㘰搸㝢㕣㈱ㄶ挱㉡〳㠶㙦攷㙥〰戰㈵攸㈶㠱㔵㌳㠹〲挶搲ㅤ㌵㘵㉣㉡㘰ㅡ㌴㝡㑦ち㔹搶ㄳ㈰愸愱㠰㍦散㈵㔸改㈳㠱㠵㘰昹㠱攱㘷ち〲㠰昵㠶ㄶ挰㔸昵愳㤲扢㠰昵㘱昲㡤㤸㥣ㄵ㍡㕥㘰㉣换改〲ㄸ㡢㜶㈴㌰㠳㐹㔸扤㔳〶㙣ㄳ㜸扢㕥挳㔸攵㈳㠱㙤捡㈴ちㄸ㑢㝤搴㤴戱愸㠰昵㠵㐶敦㐷㈱换㠰〲〴㥢㔱戰㌹〵慣っ㤲挰戶㠰攵〳挶ㅦ㕣〸〰戶ㄵ戴〰挶㉡㈱㤵摣〵慣㍦㤳て㘰㜲㔶昴㜸㠱㕤〶㕦ㄷ挰㉥㠷㐴〲摢㠶㐹㔸敤㔳〶㙣㈰扣㕤〳㘳㔵㤰〴㔶挷㈴ち搸㉡㜸搵㤴戱愸㠰つ㠲㐶摦㡥㐲㤶つ〵〸戶愷㘰㌰〵慣㈴㤲挰㜶㠰攵〳挶㥦㡥〸〰戶ㄳ戴〰挶慡㈲㤵摣〵㙣㘷㈶摦㠵挹㔹〱攴〵㜶㍢㝣㕤〰㘳㔱㤰〴㌶㤴㐹敥㠴㔵〶㙣ㄸ扣㕤〳㘳ㄵ㤱〴戶ㅢ㤳㈸㘰㉣㈵㔲㔳挶愲〲ㄶ㠶㐶㡦㔰挸㌲愳〰㐱㤴㠲ㄸ〵慣㍣㤲挰攲戰晣挰㠲昷改㈷愱〵戰㜵慥攴㉥㘰㈹㈶㑦㌳㌹㉢㠶扣挰㔸㈶搴〵㌰ㄶㄱ㐹㘰挳㤹㠴搵㐴㘵挰昶㠰户㙢㘰慣㍡㤲挰㐶㌰㠹〲挶搲愳〰ㅥ㝢㐲愳敦㐵㈱换㤲〲〴㈳㈹ㄸ㐵〱㉢㤵㈴戰搱戰晣挰㠲㕦㈵挷㐲ぢ㘰慣㕡㔲挹㕤挰挶㌱昹㜸㈶㝦ㅢ〲㉦㌰㤶ㄵ㜵〱㡣㐵㐷ㄲ搸摥㑣挲敡愳㌲㘰㤳攰敤ㅡㄸ慢㤴㈴戰挹㑣愲㠰戱㔴㐹㑤ㄹ㡢㙡つ㥢〲㡤㍥㤵㐲㤶㌱〵〸昶愱㘰ㅡ〵慣㙣㤲挰愶挳昲〱攳て㤳〴㍣㈵㘷㐰ぢ㘰慣㜲㔲挹㕤挰㘶㌲昹㉣㈶㘷㑤㠴㥣昴㙣㕡捥愴慢㜹㕣摢㝢戸搶㜷㈸㕤㡥㔰攰㐱昵㤹敤㑢ㅢ㔱挸挰㐵ㅥ扥戵㤷㜸㈰㍡㈴㝤㌸愸摣搲㡡㠳㘳㔵摥摦㔸㈸昶㝤ㅡ〳昷敡敢昹晤ち搹㡤ㄱㅥ戳慦扥昶㈷晦㙦㌴ㄴ晢㜳攲愵㉦戳戳て㉦摡晥㤸㘲摦愹つ戹搶㤶戶㤶㐲晢挰㤹㈸搲ㄹ挸摦〳㈹㔴㔴㠴㐷㔵晦ㄹㄹ〳挷攴ㅤ慢㙡收㡦ㅤ㉥攲昷攳㐳昳㥢㕢ㄶ㌷换搹㔴户昱㘷㔱㈴慦㥥㍤㌹㑣㠸攳昰戲ㅤ攰ㄹ㍣扥捦捥晡〱㘸晢昴㌰㜸㠰ㅣ搷ち敤㐰搸㠳挷㡣ㅥ㌳愳㍥㤳㑣㐴ㄳ戹㐴扡㘰㘶㤲昱㘸㈱㤲戵愲昹㐲搸㑣收㘳㤱㐸㌴ㄳ㠹㘹扦㉦㑡挳改㙣挲捡㐶慣㙣搶㡣挵㜳戱㐸㌶㤵㌳㤳搹㐲㍡ㅤづ愷㈲挹㔸搸攰愱㜷愶搷て㐲ㅦ㝤づㅡ㠳㐷摣愵敢㘰扡敡改攲昱㜷改愲㐰㑡慢㉢昱㈶㘹㐳て㡢愳㔳㠵挸㡡㥣挸ぢ慢慡㘷㑦㌱搸昳㈵㝦摦攱昴攲㉦㈶㘸ㅡ㡦愶㔷㕦〲捣ㅢ搶愹晣㔱㘴㘷扥搵搳㜳㥣㜷ㅥ㑤挸攸〱〷㝤㥡〵㜳攳㌱愳敢换㝦慡㔲㉢挰摤ㅢ㙥㔹㌱㠰摦挰㙣搳づ㠵㘷㈳㜸㕣攵㐳㐶㤵㤳㐵㥦㡢愰㍥㠸㘳搴愱ㄱㅡ晣昲戱㥤て㍦ㄷ攴慤〶㕥㍥ㅦ挴搹戸㈳㕣ぢㄱ挰ㄷ㔷㈱攱㕡㈴捥㠲㠷㙢㔲昹㥡愰愳ㄳㄵ㝡ぢ㕡慣〹㈱搸㝣㄰戴〵戰敤㌵㈱ㅦ㡥㘴戲㌱换㡡㘶戳㤱㜸〶て㜶㌴㔷㠸㈶攲挹㝣㍣㘷㐶㤲㤹㥣㜶㔸㔱㙡㐵攳戹㔴搴㌴昳戹㑣㉥㙥㠵㤳搹㡣〹㐹㉥㤱㡣愶慣㕣㌸㤹㌰㝡㌹改昵㔶昴搱摢搰ㄸ扤㤵慢戴㈶昴㔱㉥ち愴㔴ㄸ㜴攱㈶㑥挴㕤攰㈳㠵㘵散㥦㘶晣㜰㌴㈱㘳㘳㌸愴㡦挴㜵昲搵㠹搴搸㐴昹㡦愶㙢㘷昶摡〹㡤攸ぢ扦㘴戸っ晥㈲挳捤攰㤵っ㡦挶㄰㝥㠶㐷挲敢㘷戸㌹㍡㈱㐹㠵㝥〲㕡㌰摣〲戶㘴戸〲戶㘲ㄸ捤㈵㌳㔱换㑡㔹㠵㜸搴㡣㘶愲搹㜴㉥㤲㡢ㄷ㔲挹㜰㈶㤹㡡㙡㝦㈸㑡㤳改扣ㄵ捦㠶愳戹㜰㌶ㄹて㐷昳㘶㈴㤲㉤㤸㔶㉥ㅢ㉦ㄴ攲㈶㥥㑤㕢㍡改昵ㄳ搱㐷㍦〹㡤戱㤵㜲㤵ㄸ昶㔷㉥ち愴㔴㙣㐳ㄷ㙥愲搵捤昰㜴挶捦㐰ㄳ㌲戶㐵㄰搷ち摤挳㜰愰昲㥦㑤㙤㤸㡡摤挸㜰㄰㤳搱㍡ㄷ晥㈲挳敤攱㤵っ攷〶㌲㉣〴㌲攴昱㜸㈴愹搰㉦㐴ぢ㠶㍢挰㤶っ㉦㠲㙤㌳㑣攲挷愶㤲㔱㌳ㄳ㡦挴ぢ昱㔴搲㑣愷挲昹㐸㈲㥣挲㙡ㄸぢ㈷㌲㐹敤攲愲ㄴ慢㘸㍣㤷㐹㠴㜳㔹换㡡㠳㜳㌶㤹っ挷㘲搹ㅣ挸愶㔲改㕣挶攰㔱㝤愶搷㉦㐱ㅦ晤㔲㌴挶㑥捡㔵㘲戸戳㜲ㄵ㔵㘲㈸㕤戸㠹㠳摣っ㔷㌱换搵㘸㐲挶慥〸攲敡㘳㌸㑣昹慦愵㌶㐵㐵ㄲ㡤〸㌳ㄹ慤ㅢ攰㉦㌲㡣挲㉢ㄹ捥〸㘴㌸㍤㤰㈱て搱㈳〹㜶㜹愲〵挳㌸㙣挹昰㔶搸㌶挳㜸㍣㕦㠸挷㤳挹㍣戰挵〱㉦㥢挲㈵㤹㡣㘴㘳㜹㌳㙡㘵㤳摡㙤㐵㘹㈱ㄶ㌶昳㤹㜸ㄴ攰㑣㈰捦㘴㘲戱㑣㈶㘵挵㔲搱㙣㉥ㄶて㐷っㅥ攸㤷っ㔷愳㡦扥〶㡤㤱㔴慥ㄲ挳㤴㜲㔱愰㔳㉡㠶搳㠵㥢ㄸ敦㘶㜸て攳㙢搱㠴㡣摤ㄱ挴搵挷㜰て攵㝦㠰摡㍤愹ㄸ㠱㐶散挹㘴戴ㅥ㘲㝡㝡㜸ㅢ〹慦㘴戸㐷㈰挳攱㠱っ㐷愱ㄳ㤲㔴攸㡦愲〵挳搱戰㈵挳挷㘰摢っ㘳㠵㑣㈱㕦戰㘲攱㝣㌶ㅥ㡦㥢㘸挳㠵㑣㍡㡦捤㈳㌸ㄵ昰捡昸搷愲㌴㤳挸愴ち昱㔸㉥㘳收搲㜱㉢㤹㑦挷㔲昹㔴㍥㤲㑢挶捤㈴戰㐷㡤㌱㑥㝡晤㜱昴搱㥦㐰㘳㡣㔵慥ㄲ㐳ㄶ〰㐸搲ㄴ㐸愹搸㥢㉥摣㐴搸捤昰㔹挶㥦㐳ㄳ㌲㈶㈲㠸慢㡦攱㈴攵㝦㠹摡㜱㔴㡣㈵慤㈹㑣㐶敢ㄵ昸㡢っ昷㠱㔷㌲摣㈱㤰攱昶㠱っ㜹㈰ㅦ㐹戰晢づ㉤ㄸ㑥㠷㉤ㄹ扥〹摢㘶㤸㡤㈵㌳昹㐸挴㡣ㄷ㜲㠹㜸〱㉦ㄳ㜸㍥攷慤〴摦㘴㘴挲搱㜰㔶㝢慢㈸㡤攵挳攱㤸ㄵ㠹㐷挲改っ㥥昸㠵㜴づ㑦㘹㙣ㄵ㘳昸搱㙤扣扦㈸ㄸ晢㍡改昵户搱㐷㝦〷㡤㌱㐳戹㑡っ㔹ㄳ㈰ㄹ㔲㈰愵㘲㍦扡㜰ㄳ㕢戹ㄹ晥㠳昱㡦搰㠴㡣晤ㄱ挴搵挷昰㜷捡晦ㄹ戵㔳愸㤸㡣㐶ㅣ挸㘴戴扥㠴扦挸昰㈰㜸㈵㐳㈳㤰攱㐶㠱っ㜹㙣ㅦ㐹㉡昴㙦搰㠲攱挱戰㈵挳㙦㘱摢っㄳ㜸ㄹ㐹愷㈲搹㕣挴捣挶㘳㔹扣㘶愴愳昹㐸㌸㤶挹攵戰捡㈵㑣敤扢愲搴捣㘵ㄳ攱㝣㉡ㅢ㌵㔳昹㜸㤸㤶㤹㡢㈴搳〹㌳㤱つ㘷攲搹愴㔱敦愴搷扦㐷ㅦ晤〷㌴挶㈱捡㔵㘲㘸㉡㔷㔱㈵昲㜴攱㈶慡摣っ㝦㘱㤶㕦搱㠴っ㤶〰攰敡㘳㔸㔰晥捡㙡〴㘷㔲㌱〳㡤㤸换㘴戴慡攱㉦㌲㥣〷慦㘴昸攳㡦㐱慦换晦㠲搷晦扡㍣ㅦ㥤㌰〷散㤲㐲㉡㌰㙣㠴㉤ㄹ㠶㘰摢っ㈳㠵戴㤵っ攷慤㑣㌴㠶捤㈲㔶慥戰㤵㐹㐵昱㌲㥢㡥挴㤲戱㘸㑡敢㔵㤴㐶ぢ㘶㈴㘷㈶ち㠵ㄴ㝥昱㍤ㄶ㑦攱攵㈷㤶㉣㐴㔳搹㕣㉡㠲㜵㌸㘵㌴㌹改昵摥攸愳昷㐱㘳㌴㉢㔷㠹㈱㉢〷攴㝡㐸㠱㤴㡡㔶扡㜰ㄳ㕦攰㙥ㄴ摦摢㙣捡㜸㕦㌴㈱㠳㔵〱戸晡ㄸ戶㉢晦ㄶ搴昲㐷㈸昴〳搰㠸㐵㑣㐶慢㍦晣㐵㠶㑢攰㤵っ摦て㘴昸㙥㈰挳愵攸㈴ㄹ㙥㡢㔴㘰㜸㌸㙣挹㜰㈰㙣㥢愱㠹㤷攲㐸㌶ㄳ挱晢晤㌴㥥愵㌹扣愶攴ㄳ㐹㉢ㅦ戳ち㤱㘴㌴ㅥ搳敡㑡搲㔴㉥㤱㡢愴慣㝣㌲㠳㌷㤰改㐴㌶ㄲ㑥㘵戳㜸㍤㐹愶ぢ㌱ㄳ摢挳㈳㥣昴晡㈰昴搱户㐳㘳ㅣ愹㕣㈵㠶㉣㈶㤰っ㡢㉡㜱㉣㕤戸㠹㤷摤っ㜷㘶㤶㕤搰㠴㡣㘵〸攲敡㘳㜸㥣昲て愳搶愴攲㄰㌴㘲㌹㤳搱㡡挰㕦㘴戸〲㕥挹昰㙦㠱っ㥦っ㘴挸愲〰挹㌰㠱㔴㘰㜸㈲㙣挹㌰〹摢㘶ㄸ㑦㘵戱㌹㡢㈵㑣ㄳ敦戱〱㌱㠳㥦搳〴搶㐴摥㡣攵㘲㐰愹愵㡡搲ㄴ㤸㐵㔳戹㐸㍡㤶㌶攳戱㌴搶搷㜸ㅡ㉦攰搱㔴㈱ㅦ捤攷㔲㐹攳㈴㈷扤㥥㐶ㅦ㍤㠳挶㌸㔹戹㑡っ㑦㔱慥愲㑡㥣㐶ㄷ㙥攲㐱㌷挳扤㤸㘵㈴㥡㤰挱摡〱㕣㝤っ捦㔰晥戱搴捥愵㠲㍦慣㈱捥㘲㌲㕡ㄳ攰㉦㌲㍣ㅢ㕥挹昰捥㐰㠶户〷㌲㘴㥤㠰㘴㌸ㄹ愹挰昰㑦戰㈵挳㈹戰㙤㠶㝣㘷㠲㜷挸㤱㜴㉡㥦㡥㠷㔳戹㑣㌶て㈲戱㔸㉥㥡㡤攱敤㑥㐲㥢㕡㤴㈶㘳㌹慣㠶㘶㈴㥥捡㠴攳㘶ㄶ㙢愳㠵敤㠰㔵挸挷搲愹㜸搶㑡ㄹ攷㍡改昵㝤搰㐷㥦㠶挶㌸㑦戹㑡っ捦㔷㉥ち愴㔴㕣㐴ㄷ㙥攲㝡㌷挳搹㡣敦㠷㈶㘴戰㥣〰㔷ㅦ挳㑢㤴晦㐰㙡㕢愸攰搷㑦挴㘵㑣㐶㙢づ晣㐵㠶㔷挰㉢ㄹ㕥ㄱ挸昰戲㐰㠶㔷愲㤳㘴㘸㈲ㄵㄸ㕥〵㕢㌲捣挲戶ㄹ㠶昳昹㌴㍥扢攷捤㐴㈴ㅤ捦㐶㤳㜸戳ㅤ㠹㈴㌲戱㜸搴挲㍢㤷㜰㐶换ㄵ愵㤱㝣㉥〹戰㔹㙣〲捤㜸㌶㙦攱搳㍥摥㉤㕡㤹㕣っ敦㈸ぢ搹㠸挱〲〴昹㉣捤愳㡦㙥愱㌱慥㔶慥ㄲ㐳㔶㈱㐸ㄵ〵㍡愵攲㕡扡㜰ㄳ㝦㜲㌳㥣捦㜸㈳㥡㤰㜱ㅤ㠲戸晡ㄸ㕥慦晣ぢ愸㕤㐴挵㐲㌲扣㤱挹㘸戵㌱㍤㍤扣摤っ慦㘴㜸㙡㈰挳㤳〳ㄹ摥㠲㑥㤲攱㘲愴〲挳㕢㘱㑢㠶㑢㘰摢っ㜳戱㐲㈱㤲㠹㕢㤹㉣摥㘳㈷愳㠹㜴㉥㥥㐹攵昳㜸㤳㔳挰㈷挰㑣㔶㕢㕡㤴㠶愱㑣攳昵ㅡ㙣㉤扣晣攰昵㌸ㅣ挶づ㤳戴㤵挶摢愲㙣㈴㘵戰㈶㐱搲㌹ㅣ㝤昴㈳搰ㄸ慢㤵慢挴㤰㠵〹㔲㐵㠱㑥愹戸㤳㉥摣挴戱㙥㠶换ㄸ㍦づ㑤挸戸ぢ㐱㕣㝤っ敦㔶晥ㄵ搴ㅥ㐵〵㝦㈱㐴慣㘵㌲㕡㈷㌱㍤㍤扣摤〷慦㘴戸㈸㤰㘱㝢㈰挳晢搱㐹㌲㕣㠹㔴㘰昸〰㙣挹昰㌴搸㌶㐳㉢㥦攰㑢㙣㈱㥤㌱㤳昱㔸〶敦晣捣㔸㌴㥣㐸愴慤㙣㌴㤲㡤㘴戴搳㡢搲㜰ㅡ㑦㕥㌳㥡捣㘵昰昹戸㄰㡤愴昳㤹㐴戴㤰挶㡥㠹㐲ㅡ㙦㉢㉤㘳㥤㤳㕥㍦〳㝤昴㌳搱ㄸて㉡㔷㠹攱㐳捡㐵㠱㤴㡡㐷攸挲㑤捣㜳㌳㍣㤷昱昳搰㠴っ搶㈱攰敡㘳昸㤸昲㕦㐴敤㜲㉡㡥㈷慤挷攱㤷っ㉦㠵扦挸昰㐹㜸㈵挳㐳〲ㄹㅥㅣ挸昰㈹㜴㤲っ慦㐴㉡㌰晣ㅢ㙣挹昰㉡搸㌶㐳㝣〲捥㘶昲㜸晤挸㘷愳昱㠸㤵捥挴戰ぢ㈶㥦㈹㜰搳㤷㡢㐶㘳摡慡愲㌴㡣㌷㌷愶㠵㥤㌹㘶ㄸ㙦慥㤳搱㜴㈶㥦㌴㌳㜸㐳ㄹ㡢ㄵ挲㜸戳㙤戰㜲㐱慥㘱㔷愳㡦㝥つㅡ攳ㄹ攵㉡㌱㝣㔶戹㡡㉡昱〲㕤戸㠹㔹㙥㠶㌷㌰换㡤㘸㐲〶㑢ㄳ㜰昵㌱㝣㐹昹㙦愵昶ㄴ㉡㑥㈶挳㤷㤹㡣搶ㅡ昸㡢っ㕦㠵㔷㌲㥣ㄴ挸㜰敦㐰㠶慦愱㤳㘴㜸ㄷ㔲㠱攱敢戰㈵挳扢㘱摢っ搳㜸㙢㤲挷㉥〷扣㌰昰㔳㐷㍣㕤㐸㐵攲攱㔸ㅥ慦搷㠵㑣㉡ㄳ搳敥㈹㑡愳㜸扦ㄳ㡤㐶㑣㝣戲㐹攱敤㌸㕥㤱昱慥㌲㤹挲づち扣攱挱昳摡㘰㌱㠳㘴戸ㄶ㝤昴㝢搱ㄸ㙦㉡㔷㠹攱㕢捡㔵㔴㠹㜷改挲㑤散改㘶昸㄰戳慣㐷ㄳ㌲摥㐳㄰㔷ㅦ挳昷㤵晦㌱㙡捦愲㠲㍦㜵㈲㍥㘴㌲㕡㑦挰㕦㘴昸ㄱ扣㤲㘱㍣㤰㘱㌴㤰攱挷攸㈴ㄹ㍥㡤㔴㘰昸〹㙣挹昰ㄹ搸㌶挳㘸㉡㤵㉢㠰㔸摣㌲捤㜸㌴㠵㔷っ㌳㤵㐸愶㘳昱㑣㉣㤲㡡㘰㍤㝣戶㈸つ挷昰晥㍢ㅦ挱摥㉦㘰挶ぢ〹㥥晣㤹㕣㠴ㅦち攳㠵㡣㤹捤ㄸ㥦㍡改昵攷搰㐷㝦ㅥ㡤昱㤹㜲㤵ㄸ㝥慥㕣㐵㤵昸㡡㉥摣挴㑥㙥㠶慦㌰换慢㘸㐲挶搷〸攲敡㘳昸㑦攵㝦㤳摡昳愹攰慦愵㠸㙦㤹㡣搶㍢昰ㄷㄹ㝥て慦㘴戸㑤㈰挳〱㠱っ㝦㐰㈷挹昰〳愴〲挳㝦挱㤶っ㍦㠴㙤㌳挴捥挳㐸㈲㠶㕤㔸ㄹ搳挲扥㠳㉣㍥昸㘵慣㠸㘵㘵捣㐴捣㌲㤳㌱敤ㅦ㐵㘹㉣㡢户㤱ㄹ㉢㙢㘱㐷㍣搶㕢㉢㡤㌷㍢搹㔸㌴㘷收昰㘶㈸㤹捡ㅢ晦㜶搲敢ㅦ愱㡦晥㌱ㅡ攳㐷攵㉡㌱晣㐹戹㈸㤰㔲昱㉢㕤戸㠹㑤摣っ扦㘴晣㉢㌴㈱攳㌷〴㜱昵㌱攴扤㤳晥㙦愹扤㡣㡡㑢搱〸㔹戹㐰敢〷昸㡢っ㔹戹㈰ㄹ搶〴㌲搴〲ㄹ㔶愳㤳㘴昸ㄳ㔲㠱愱〶㐳㌲晣ㄹ戶捤搰っ挷搲〵慢㤰挰搶㉤ㅢ㑦攰〵㈲ㅣ挶㙥㉤㙥ㅤ昳〵㍣㔹㘳摡㉦㐵㘹搲挴㐷ㅡ㝣ㅡ捣愶戲㔶ㅣ挷㐱戲ㄱ㝥㍣㠹挹摤摥搹㜸㉥㙤昴㜴搲敢扦愲㡦晥ㅢㅡ愳㐶戹㑡っ㜵攵㉡慡〴㙢ㅣ㈴挳㥦晦敤晡慣㔷慤㈱㡢㠶㈶㘴戰捣㈱㠸㈱㉢ㅦ愴㍦㐴㉤㝦㘵㐵扦㥡っつ昸攵㝡搸〷晥㈲挳㑤攰㤵っ晦㠹㘱晣晢戱扦㠲搷晦㜹㜹㔳㜴挲ㄵ㘷㔶㐳㉡㌰散ぢ㐳㌲摣〴戶捤㌰㠱扤㠱昱㔸㌴㡡㔷攲㜰㍣㠹㑦捦㈹晣㑢挴戰㙦㄰㙢ㄷ㝣摡愶㐵㘹㌴㠲㡦㈳昹㘸㌴㥢㐸攵攲㔹㤳戸昳搸㘹ㄶ捥㘵㤲戱㝣慣㄰㌱晡㌹改昵扥攸愳昷㐳㘳㙣愶㕣㈵㠶㥢㉢㔷㔱㈵㔸昶㈰ㄹ㝥攸㘶搸㥦㔹〶愰〹ㄹ慣㝣〸㘲㌸㐰昹〷㔲换ㅦ㙡搱昹戳㉦㘲ㅢ昸㈵挳敤攰㉦㌲ㅣ〸慦㘴昸㝡㈰挳㔷〳ㄹ搶愱ㄳ慥昸摥ㄸ㔲㠱㈱㉢ㅡ㈴挳㥤㘰摢っ〱㈴㥥挶㠶㌰㤱换攳搴㜱搹㑣〶㝢戲㜳㤱㘸㍣㠵㔵㡣㠷捥戴㥤㡢㔲晣搲扦㠹㡦挷㘱扣ㅢ㑦挶攳ㄹ㙣〶ㄳ㌸挴ㄲ挳㠷㐴戳㤰㐸㘱㥦〳㙢㈵㤸㕥摦〵㝤昴㈱㘸っ㤶㐸㐸㔷㠹攱㘰攵㉡慡挴㑥㜴㠱㤱㜸挶捤㌰挲㉣㔱㌴㈱㘳㘷〸㠲ㄸ戲㍥㐲晡㤳搴慥攱搸慢挹㔰㤶㍣搰捡挰㕦㘴挸㤲〷挹昰㤱㐰㠶敢〳ㄹ敥㠶㑥戸㘲攷㉥㔲㠱㘱ㄸ㠶㘴戸㈷㙣㘷㝢㠸㡦㜹昸愰㥣㉣攰愵ㄶ挷㔳ち搹㜸㉡㥡㌰搳昹㉣㕥㔸〰㉤愵敤㔵㤴㐶戱户愱㠰て㜸晣ㅣㅤ㌷戱㡦ㄱ㉢㉢搶挳㔸㌲㙢攵昱㌹㍢㙤戰㝣㐲〲ㅢ㠹㍥晡㈸㌴㐶㔴戹㑡っ㘳捡㔵㔴㠹㈴㕤㘴㜸户㥢攱〴㘶搹ㅢ㑤挸㐸㐱㄰挴㤰㈵ㄳ搲㍦㠵㕡晥㕣㡣捥ㅦ㥦ㄱ戲ち㠲搶㌴昸㡢っ昷㠰㕡㌲扣㌹㤰攱㡤㠱っ㐷愰ㄳ慥搸戳㠶㔴㘰戸㈷っ挹㜰ㄶ㙣㥢愱㘵挵㉣散捥㡡攵捣㜰〱㑦㘲散㔲捤愷㔳挹㠸㔵挸攴㤲攱㜴㍡愶捤㉥㑡㔳戹㉣戶㤱攱㐸ㅥ㉦挹㜸㉥ㄷ昰攲㤲挱㌱ㄵ㝣搲挱㉥挸㜸㉡㘲戰愲㐲㌲摣て㝤昴晤搱ㄸ㈳㤵慢挴㜰㤴㜲ㄵ㔵㠲昵ㄲ㤲攱㔵㙥㠶㜳㤸攵㘰㌴㈱㘳ㅣ〴㐱っ挷㉢㝦㤶摡㠷㜸㔷ㅦ㈴挳扤攱㤷捦㘵ぢ晥㈲㐳ㄶ㐶㐸㠶ㄷ〴㌲㍣㉦㤰攱㘴㜴挲戵㐲㙦㐰㉡㌰㘴㈹㠴㘴㌸て戶捤㌰㤶㡥㈷昲昹㌰㕥㥤㤳搹㌸㍥㙤愴挳㔱㘰挴㍢ㅥ扣㘸攰㤹㥡搵收扢愴㘱㤰捡㈴㜲㔹㝣㉥㡣㐴㔲㤹㈴㜶㠱攷ち攱㌸㔶挷㍣昶㝦ㄹ㉣戲㤰っㅢ搱㐷㙦㐲㘳戰戶㐲扡㑡っ愷㈹㔷㔱㈵㘶搰〵㐶攲㌴㌷挳㌶㘶㘹㐷ㄳ㌲㘶㐲㄰挴㜰㤶昲㉦愱昶㜱摥㔵晥〴㡥㌱ㅢ㝥㕣昱㠱ㄳ晥㍥㍤慡㔹㈵戰扢攷㜰㝡昰㉦㕥っ昱㥥㝡㘴ㅣ㑥㈵挲㜲挲㡡ㅥ昸慡扦晤〵昹慡捡攱晦㔹㉥ㅥ戰攷敦㘳昰㔶扤ㅣ昷昵晦㤰㠷㙢㐶愹㄰㠳ㄹ户挵㑤㍦ち㜷戸晡㈰摣摤㜰搰ㄴ㍢㍢〹㈴㍡㔶昴㙢㥡搸㠶㠳昹㌸㤹攸慣㤶㔱挵㌳㔱㙥慣づ昲て㔱㘷挴ㄸ㕣昲㡣捡戶攱户㔵摡㉤搵㙤㕡㙢戱ㅦ捥㌰㠱愲づ〴㠶昰晣ㄹ晤㑡㤶敢〷〶晡㤷扣ㄳ㥢摢㜰慥ㄷ㉢慦㌲戶攱换昷㔵㤵㍤㐴攰㙦㝥㌸㈷㍢攰㉦ち㌰ㅢ捥昶㌲㌱㑦〰晤〳㝥㕥㘱㜴㐳扢晣㜹㤲〱㠸ぢ㥤ㄵ㈲摡㌱挴㌴㘲晢搱摢㐷慡㡦挵攳戰挱㐳㤴㔳攷㠰㕣㌵㐲晡㌲攴ㄳ㜳㤰㤹攸㠵捥搲ㄲ敤㜸㌵㐶㔴ㅣ㠹㌱㌸づ搷㘱晣㈸㈶挵㝣㐲㈸㤷㘰昹〸つ㈶慢㘵ㄵ〶摥㡦㔵㐰攵扥㝣戵㤷㘳㡤戴晦搷㌸晦㡤㤱戵㉣搹㤰㍤收㠸扡戳㐶㔵扦㝤捣愵㕦㕦扢晢攰㡢㙦晡捤昹㝦㡣摤攳〰愷㐷㘶愴㤸㡢ㅥ㠳攱搵摦㘱昳㉥㥢昷搰㠸挵㤸挴慢昸摤〵摦㤹ㄸㄶ㌹〱敦㤹ㄸ㡣昹挸㠴㉢㍥攱㘲扥㝤㝡㠸ㄶㄸ㝣扡㠹㜶昴攰㍡㑥㐸晡㑡摥攵㔶戸㙤㍥慣捤搰㑥㠷捦㝥っ挴〲攸搴晤て改㘷㔲摣㔶ㄴ戳㍡㐳晢愳ㄲ㐷㐵愳㈳戶㘱㥥㠳㐰㉤换㈸扡㠷㡣㌵ㄷ摤㐳㜶㌴㝡〴㈱㍢ㄴ搳〹㐴㔶㜰〲摥㜳㌷ㄸ换㤰〹㔷㤴ち㘰敥㐰㜶〲っ㠹㉣㡦ㅥ㐵㘴ㄷ㤳挲㠹〸搹挸㔸㡡愱㕤慡㈸㐴挴㈱づ〵㝢晤扢㥣㘲ㄶ㑡搸㘲ㄶ㘳㘸㔷㉡㜱㔴ㅣ攴㠸㙤㘴慢㄰愸㍤ㅤ㤲敥㈱㘳㠹㐵昷㤰㥤㡤ㅥ㐱挸昶㜷挸昸搶戲晤㥣㠰昷㙣て〶敢㌳㜰慤搰慦挳摣㠱㡣㐵ㄶㄲ搹㉣昴㈸㈲扢㠱ㄴ㉥㐱挸愶㜰ㄱ㤶戴㥢㑡ㄴ愶㤷㔱戸㠵㘲ㄶ㑥搸攲㡢㈹扥㑤㠹㈳㘲㡡㈳戶昹慥㐱愰㜶ㄵ㈴摤㐳挶㡡㡡敥㈱㘳㜱㐵㄰戲〹づㄹㅦ戲昱㑥挰㝢㝥〸㠳攵ㄸ戸攲㥤ㄹ收づ㘴慣愹㤰挸挶愲㐷ㄱ搹扤愴戰ㅡ㈱㥢挲慤㔸搲敥㉦㔱ㄸ㔹㐶㘱ㅤ挵㉣㠳戰挵户㔱晣㤰ㄲ㐷挵ㅥ㡥搸㕥换ㅥ㐶愰㤶㌵ㄱ摤㐳戶㔶昵搸攰㙤搹〳攸ㄱ㠴㉣攵㤰昱㈱㑢㍡〱敦ㄹ㈵っ㔶㕦攰㡡摤㑡㤸㍢㤰戱㠴㐲㈲㡢愳㐷ㄱ搹㔳愴挰㜲〷㥢挲㘳㔸搲㥥㔶ㄴ㈲㈲散㔰戰㔷㥣㘷㈹㘶搵㠳㉤㘶㘵㠵昶扣ㄲ㐷挵㔰㐷㙣㈳㝢ㄱ㠱㕡㤶㐰㜴て搹㜳慡挷〶㈳㝢〹㍤㠲㤰敤攸㤰昱㈱摢挱〹㜸捦㐱㘱扣㠲㑣戸攲㤷挵㌱㜷㈰㝢〳㠶㐴戶㍤㝡ㄴ㤱扤㐱ち㙦㈳㘴㔳㜸ㄳ㑢摡㕢㡡㐲㐴っ㜴㈸搸挸摥愱㤸㐵づ戶㤸㠵ㄴ摡㝢㑡ㅣㄵ〳ㅣ戱㡤散〳〴㙡㔹昱搰㍤㘴ㅦ愹ㅥㅢ㡣㡣㤵ㄲ㐱挸㌶㜷挸昸㤰㙤收〴扣㘷慤㌰扥㐴㈶㕣昱㕤㈷捣ㅤ挸扥㠱㈱㤱昵㐵㡦㈲戲捦㐹㠱㘵ち㌶㠵㙦戱愴㝤㔹愲㘰㤴㔱昸㥡㘲ㄶ㍤搸㘲搶㑤㘸摦㈸㜱㐴昴㜶挴㌶摦敦㄰愸晤〵㤲敥㈱晢㔵昵搸㘰㘴㤵ㄸ㈰〸㔹㑦㠷㡣て㤹收〴扣攷戹㌰慡㤱〹挳攳换㑣㤸㍢㤰改戰㈵戲㉡昴㈸㈲晢㠵ㄴ㔸扢㘰㔳㘰㤱㠴昶㕢㠹㐲㐵ㄹ〵㥥戲㕡戰㠴挱ㄶ戳㑣㐲敢〱㥦㝣㐷ㄲㄵ㍦晦换晤㡥慤ㅡ㠱㕡搶㌳攰摡㡤昷㘵㉣㝥㤰㍤㌶ㄸ搹ㄶ㤰て收ㅤ昵扣㉦晢〱搳〹㝣㤳昱扤ㄳ昰㥥ㄹ挳攸㡦㑣ㄲ㔹㉦捣ㅤ挸㔸晥㈰㤱㝤㡢ㅥ㐵㘴㝤㐸㠱㐵〸㌶㠵㠱㔸搲㙡㑢ㄴ扥㉡愳戰㌱挵㉣㘹戰挵㜵ㄴ㙦慡挴ㄱ昱㤹㈳戶搷戲㝥〸搴敥っ〹慥摤㐰挶㕡〷搹㘳㠳㤱戱散㘱㜰〰戲㝦㌸㘴㝣㙢搹㠷㑥挰㝢㉥つ㠳㠵ㄲㄲ㔹㝦捣ㅤ挸㔸敤㈰㤱扤㡦ㅥ㐵㘴㕢㤳〲㙢づ㙣ち㉣㠱搰戶㔵ㄴ愲攲㙤㠷㠲扤㜹慡愳㤸ㄵっ戶㤸㐵㄰摡㜶㑡ㅣㄱ慦㍢㘲ㅢ搹㘰〴㙡㔹慤㠰㙢㌷㤰㡤㔴㍤㌶ㄸ搹㔸昴ㄸㅣ㠰散敦づㄹㅦ戲㤷㥣㠰昷散ㅢ〶敢㈲㈴戲㈱㤸㍢㤰戱戸㐱㈲㝢〱㍤㡡挸㜶㈵〵ㄶ㈲搸ㄴ㔸昱愰敤㔶愲昰㑣ㄹ㠵〸挵慣㐷戰挵慣㜹搰㘲㑡ㅣㄵ㑦㍡㘲㥢㙦〲㠱㕡ㄶ㈷攰摡つ㘴慣㘴㤰㍤㌶ㄸ搹㠱㤰てづ㐰昶愸㐳挶㠷散ㄱ㈷攰㍤㕦㠷挱㌲〸㠹㙣㜷捣ㅤ挸㑣搸ㄲ搹㝡昴㈸㈲ㅢ㐱ち㉣㈶戰㈹戰挰㐱摢㑢㔱㠸㠸〷ㅣち昶㡡㌳㡡㘲㤶ㅦ搸㘲㤶㌸㘸㘳㤴㌸㉡搶㍡㘲ㅢ搹㌸〴㙡㔹㡢㠰㙢㌷㤰戱㜰㐱昶搸㘰㘴慣㘱ㄸㅣ㠰散づ㠷㡣て搹敤㑥挰㝢㠶て㠳㔵てㄲ搹㘴捣ㅤ挸㔸扡㈰㤱慤㐶㡦㈲戲愹愴挰摡〱㥢〲敢ㄹ戴㘹㡡㐲㐴摣散㔰戰㤱敤㑢㌱慢つ㙣㌱㉢ㅡ戴㤹㑡ㅣㄵ搷㍢㘲ㅢ搹㙣〴㙡㤷㐱㠲㙢㌷㤰戱㑥㐱昶搸㘰㘴㉣㔹ㄸㅣ㠰散ㅡ㠷㡣て搹搵㑥挰㝢㑥㄰攳㈴㘴㤲挸㝥㡦戹〳ㄹ㉢ㄵ㈴戲慢搰愳㠸㙣づ㈹戰慡挰愶挰昲〵慤㕥㔱㠸㠸换ㅣち㌶㌲㤳㘲ㄶㄷ搸㘲ㄶ㌰㘸㌹㈵㡥㡡㡢ㅣ戱㡤捣㐲愰㤶㤵〶戸㜶〳ㄹ换ㄲ㘴㡦つ㐶挶ち㠵挱〱挸捥㜵挸昸㤰晤挹〹㜸捦㈲㘲戰愶㐱㈲㥢㡦戹〳ㄹぢㄳ㈴戲戳搱愳㠸慣㠹ㄴ㔸ㅥ㘰㔳㘰戵㠲搶㔲愲㜰㐶ㄹ㠵挳㈸㘶戱㠱㉤㘶扤㠲搶愶挴ㄱ㜱慡㈳戶昹㉥㐴愰㤶㠵〵戸㜶〳ㄹ慢㄰㘴㡦つ㐶挶㠲㠴挱〱挸晥攰㤰昱㈱㕢攱〴扣攷ㅤ㌱㔸挲㈰㤱ㅤ㠱戹〳ㄹ敢㄰㈴戲攵攸㔱㐴㜶ㄴ㈹戰ㅡ挰愶挰攲〴敤ㄸ㐵㈱㉡㡥㜵㈸搸㉢捥㌲㡡㔹㕢㘰㡢㔹㥥愰ㅤ慦挴ㄱ㜱愴㈳戶㤱㥤㠰㐰㉤敢〸㜰敤〶㌲ㄶㅤ挸ㅥㅢ㡣㡣昵〷㠳〳㤰㉤㜶挸昸㤰㉤㜲〲摥㌳㤵ㄸ慣㔸㤰挸㑥挱摣㠱㡣㘵〷ㄲ㔹㍢㝡ㄴ㤱慤㈴〵ㅥ晣户㈹戰ㄶ㐱㍢㕤㔱㠸㡡〵づ〵ㅢ搹㤹ㄴ戳㤴挰ㄶ戳ㅡ㐱晢愳ㄲ㐷㐴愳㈳戶㤱㥤㠳㐰㉤换〶㜰敤〶㌲搶ㄸ挸ㅥㅢ㡣㡣攵〶㠳〳㤰ㅤ敡㤰昱㈱㉢㌸〱敦戹㑤㡣㜷㤰㐹㈲扢㄰㜳〷㌲㔶ㄹ㐸㘴㜹昴㈸㈲扢㤸ㄴ㔸ㄱ㘰㔳㘰改㠱㜶㘹㠹挲㈱㘵ㄴ㉥愷㤸㠵〱戶㤸挵〷摡㤵㑡㡣晤㘵㡥搸收扢ち㠱㕡㔶〹攰摡つ㘴㉣㈹㤰㍤㌶ㄸㄹ慢ぢ〶〷㈰摢摦㈱攳㐳戶㥦ㄳ昰㥥つ挵㘰㍤㠲㐴㜶ㅤ收づ㘴㉣㉡㤰挸㘶愱㐷ㄱ搹つ愴挰㐳晢㌶〵㔶ㅡ㘸㌷㤵㈸㑣㉦愳㜰ぢ挵㉣ㄴ戰挵慣㌵搰㙥㔳㘲散㉦㜳挴昶㕡戶〶㠱摡㙡㝥昶敡ㄶ㌲㔶㄰挸ㅥㅢ㡣㡣挵〴㠳〳㤰㑤㜰挸昸㤰㡤㜷〲摥昳愷ㄸ㝤㤰㐹㈲扢〷㜳〷戲㡤㘱㑢㘴㘳搱愳㠸散㕥㔲攰㤱㝣㥢〲ぢぢ戴晢ㄵ㠵愸ㄸ改㔰戰㔷㥣㜵ㄴ昷㉢㡡㌷愵昸㈱㈵㡥㠸㍤ㅣ戱㡤散㘱〴㙡晢㐳搲㍤㘴㉣ㄸ攸ㅥ戲㠱攸ㄱ㠴㉣攵㤰昱㈱㑢㍡〱敦ㄹ㔷㡣敤㤰㐹㈲㝢〲㜳〷㌲㤶っ㐸㘴㜱昴㈸㈲㝢㡡ㄴ㜸攰摥㐶挶㍡〲敤㘹㐵㈱㉡挲づ〵ㅢ搹戳ㄴて㈹㡡㔹㐹愰㍤慦挴ㄱ㌱搴ㄱ摢挸㕥㐴愰㌶〲㐹昷㤰戱㍥愰㝢挸㔸㉡㄰㠴㙣㐷㠷㡣て搹づ㑥挰㝢㡥ㄶ㠳挵〵ㄲ搹㙢㤸㍢㤰㡤㠰㉤㤱㙤㡦ㅥ㐵㘴㙦㤰挲㐸㠴㙣㘴㉣ㅢ搰摥㔲ㄴ愲㘲愰㐳挱㐶昶づ挵愳㡡攲扤㈸㝥㑦㠹㈳㘲㠰㈳戶㤱㝤㠰㐰㉤㡦昰㜷てㄹ换〱扡㠷㡣㤵〱㐱挸㌶㜷挸昸㤰㙤收〴扣㘷㜵㌱愶㈱㤳㐴昶㈹收づ㘴㌳㘱㑢㘴㝤搱愳㠸散㜳㔲攰㘱㜹ㅢㄹ慢〴戴㉦ㄵ㠵愸㌰ㅣち㌶戲慦㈹收㐱㝥㕢㍣㥢攲㙦㤴ㄸ晢换ㅣ戱㡤散㍢〴㙡攷㐰搲㍤㘴㍣晡摦㍤㘴㉣〴〸㐲搶搳㈱攳㐳愶㌹〱敦㜹㘰っぢ㤹㈴戲㥦㌰㜷㈰攳昱㝦㠹慣ち㍤㡡挸㝥㈱〵ㅥ㠵户㈹戰㈸㐰晢㑤㔱㠸㡡ち㠷㠲㡤㑣搴㐰摣㔴ㄴ捦愷戸〷㝣捥ㄱ扣㥦㝦㜰ㅦ挱慢㐶愰戶つ㤲敥㈱攳挱晥敥㈱攳㜱晦㈰㘴㍦㘰㍡挱晢换㥣㠰敦捣㌱㐷㈰㔳㔷㘷㡥攱㉦ㅡ㔸㙤昲散㈶戵㜸捤愹㉥昰㌷ㄸ㝡ㄵ㙣㌷て敥攳㔷ㄸㅡㅡㅢ攵てㄸ昴挶㠹ㅥ㕡攷㕢慤㔳㜰㍥ㄳ㥣摥〱攷扣㜷扥㐱㡦昳㥣昰㜷昳搵愹〴㜴㘹戱戳㔶㤸搶㡡㜳ぢ昴㉣㑣㙣挳㜹㘸昲㌵㑤搳捤昶㜶慢戵昹㝦攱㉣㄰昸㐹〹晥戴ㅦ㉥昶昹ㅦ〲㝦捤㠱㍦搳㄰㜸㈴㕤ㄲㅢ㔶攲㌱〵㘷㈸㘱挵㐲㈵捦て昱㥦㥤㤲㐶敢㠵㔵㑣㥤昱㈴敦㍡攳㐹㤵昸ㄶて戱㕤ㅢ㜸㙣挵㙦㥣㌲て搲敢㝤愰搷㌶㐲搳㘳㔴㕢㤳慣慢㐱ㄳ搲㙢攱㤱扦敡㈱㥢㡡敡愳戰ㅡ㜸敦ㅣ㝦㕦㠳扦愲㔶㔱扤戸㈱摦㍥㔷㥢㙢㌵ㅣ㍡户ㅤ扦愳搱㡢昷㔸㕤慡㤶愱㙢㘷攵〷㝣ㅥ昵㙣慡㌷㕢㕢捤愵㌵㑤昵㡤㔶昳愱敤㜳㙢敡ㄷ愱摡〲㘷㙡挱昳慥愶愶㐶摦ㄸ昳戱㐱攳改㜶〲㌲㌲慢扥㠹摢㝢ち㍣㕣㕢㜵㈲愸ㄲ㥦〵摥摤㝥扣㕦扣扢愵扢扡㌹㕤晣〱ㄳ晢慥㡡㤵挸挱扢慢㉥攲㑣ㄸ㜲戸㉤愱㉣㑥攲ㅣ攵摤捡敤扤㄰㕥搷㈴摥て㥣挴搶ㅣ戱㝣ㄲ摢㝡㈶㜱㌱昲㤴㑤攲㜲㌵㕣㥤㝢戸㔵捡㍢挸敤扤慥㝣ㄲ慦〷㑥㘲戰㝦ㄲ㍢㝡㈶㜱㠳㜷ㄲ户愸攱㜶㜶て户㐶㜹㜷㜱㝢敦㈹㥦挴ぢ㠱㤳搸搵㍦㠹摤㍣㤳戸搷㍢㠹㜵㙡戸㠸㝢戸㠷㤵㌷敡昶㍥㔱㍥㠹㈷〳㈷㤱昰㑦㈲攵㤹挴㔳摥㐹㍣慢㠶换戸㠷㝢㔱㜹㠷扢扤慦㤵㑦㘲㝤攰㈴㐶昸㈷戱㤷㘷ㄲ㙦㜸㈷昱㡥ㅡ㙥㤴㝢戸て㤴㜷戴摢晢㘹昹㈴搶〶㑥㘲㥣㝦ㄲㄳ㍣㤳昸摣㍢㠹慦搵㜰ㄳ摤挳㝤愷扣㤳摣摥㥦捡㈷戱㍡㜰ㄲ㔳晤㤳㤸收㤹挴㉦摥㐹〸㙣㈶攴㔳㜴㕦昷㜰搵捡㍢挳敤敤〵慦敢㈹㝡㝤攰㈴㘶晢㈷戱扦㘷ㄲ㝤㤰愷散㈹扡戱ㅡ敥〰昷㜰晤㤴昷㐰户户㝦昹㈴慥ち㥣挴ㅣ晦㈴敡㍤㤳搸摡㍢㠹㍡㌵㥣改ㅥ㙥戰昲㘶摤摥㈱攵㤳戸㈸㜰ㄲ㤶㝦ㄲ㠷㝡㈶戱慢㜷ㄲㄱ㌵㕣㠳㝢戸㠴昲捥㜳㝢㜷㉦㥦挴搹㠱㤳㘸昲㑦愲挵㌳㠹ㄱ摥㐹㡣㔲挳ㅤ收ㅥ㙥㥣昲戶扡扤㤳换㈷㜱㙡攰㈴ㄶ晡㈷戱搸㌳㠹愹摥㐹散慢㠶㕢敡ㅥ㙥戶昲ㅥ敥昶晥扥㝣ㄲ换〳㈷㜱㤴㝦ㄲ挷㜸㈶㌱挷㍢〹㔳つ户捣㍤㥣愵扣挷戹扤昳换㈷㜱㘴攰㈴㑥昰㑦攲て㥥㐹㌴㜹㈷㜱㤸ㅡ敥㈴昷㜰ぢ㤵昷㘴户昷㠸昲㐹戴〷㑥㘲愵㝦ㄲ愷㝢㈶㜱㤴㜷ㄲ换搴㜰㘷扡㠷㍢㐱㜹捦㜲㝢㑦㈹㥦㐴㘳攰㈴捥昱㑦攲㕣捦㈴㔶㝡㈷㜱愶ㅡ敥㝣昷㜰攷㈸敦〵㙥敦㠵攵㤳挸〷㑥攲㘲晦㈴㉥昵㑣攲㘲敦㈴㉥㔷挳㕤敥ㅥ㙥㤵昲㕥攱昶㕥㔷㍥㠹㠳〲㈷戱捡㍦㠹㙢㍣㤳戸挱㍢㠹㕢搴㜰㝦㜱て户㐶㜹慦㜵㝢敦㈹㥦挴慣挰㐹摣攰㥦挴㑤㥥㐹摣敢㥤挴㍡㌵摣㉤敥攱ㅥ㔶摥㕢摤摥㈷捡㈷㌱㈵㜰ㄲ㙢晣㤳戸挳㌳㠹愷扣㤳㜸㔶つ㜷㤷㝢戸ㄷ㤵昷㙥户昷戵昲㐹㡣つ㥣挴扤晥㐹摣敦㤹挴ㅢ摥㐹扣愳㠶㕢攷ㅥ敥〳攵㝤搰敤晤戴㝣ㄲ㝢〴㑥攲㘱晦㈴ㅥ昵㑣攲㜳敦㈴扥㔶挳晤搵㍤摣㜷捡晢戸摢晢㔳昹㈴攲㠱㤳㜸捡㍦㠹愷㍤㤳昸挵㍢〹〱㠱㝣㍦昱慣㝢戸㙡攵㝤捥攵慤敥〳㘳㠳㍦摥戱㔰㝡㔳㝣㄰㙥戴㜲㍣て攵㘸㥣捤㜰㐸㈳㍥愶㙤挰挹㈳㥦挷㌸愲㤶つ㜲攸㉦㌸ぢ㌴㙡㌷㜶っ晣㠳戵㠹摢ㄲ晤㘰㜱㡡晡㡢㜴㙦敥挴昴㤷㥣〵搹㝦㑢挷挰㍦昴摦捡㙤㠹慤㘱挹晥㝦愷㝢㕢㈷愶扦散㉣挸晥㜵㡥㠱㝦攸㍦挸㙤㠹挱戰㘴晦㔷攸摥搱㠹改慦㍡ぢ戲晦捥㡥㠱㝦攸扦㡢摢ㄲ扢挲㤲晤㕦愳㝢㌷㈷愶扦敥㉣挸晥ㄱ挷挰㍦昴㡦扡㉤㤱㠰㈵晢扦㐱㜷捡㠹改㙦㍡ぢ戲㝦挶㌱昰て晤㠷扢㉤㌱〲㤶散晦ㄶ摤㝢㌹㌱晤㙤㘷㐱昶ㅦ攵ㄸ昸㠷晥愳摤㤶ㄸ〷㑢昶㝦㠷敥〹㑥㑣㝦搷㔹㤰晤㈷㍡〶晥愱晦㈴户㈵愶挲㤲晤摦愳㝢㥡ㄳ搳摦㜷ㄶ㘴晦㝤ㅤ〳晦搰㝦㠶摢ㄲ戳㘱挹晥ㅦ搰扤扦ㄳ搳㍦㜴ㄶ㘴晦〳ㅣ〳晦搰晦㐰户㈵收挰㤲晤晦㐱㜷扤ㄳ搳㍦㜲ㄶ㘴㝦搳㌱昰て晤戳㙥㑢㔸戰㘴晦㡦改㍥搴㠹改㥦㌸ぢ戲㝦㠳㘳攰ㅦ晡捦㜳㕢愲〹㤶散晦㈹摤㉤㑥㑣晦捣㔹㤰晤て㜳っ晣㐳晦㔶户㈵ㄶ挲㤲晤㍦愷㝢戱ㄳ搳扦㜰ㄶ㘴晦愵㡥㠱㝦攸㝦戸摢ㄲ㐷挱㤲晤扦愴晢ㄸ㈷愶㝦攵㉣挸晥换ㅣ〳晦搰晦㌸户㈵㑥㠰㈵晢㝦㑤昷ㅦ㥣㤸晥㑦㘷㐱昶㍦挹㌱昰て晤㑦㜶㕢㘲㈵㉣搹晦ㅢ扡㑦㜷㘲晡户捥㠲散㝦愶㘳攰ㅦ晡㥦攵戶挴㌹戰㘴晦敦攸㍥搷㠹改摦㍢ぢ戲晦昹㡥㠱㝦攸㝦㠱摢ㄲㄷ挳㤲晤㝦愰晢㔲㈷愶晦换㔹㤰晤㉦㜷っ晣㐳晦㉢摣㤶㔸〵㑢昶晦㌷摤搷㌸㌱晤㐷㘷㐱昶晦㡢㘳攰ㅦ晡㕦敢戶挴つ戰㘴晦㥦攸扥挹㠹改㍦㍢ぢ戲晦㉤㡥㠱㝦攸㝦慢摢ㄲ㙢㘰挹晥扦搰㝤㠷ㄳ搳㝦㜵ㄶ㘴晦扢ㅣ〳晦搰晦㙥户㈵敥㠵㈵晢晦㐶昷晤㑥㑣挷㙦扣换つ戱散扦捥摤愳昶㐱户㈵ㅥ㠶㈵晢ぢ昶㜸㔴昵慦㜴昷晦慢扢㐷敤攳㙥㑢㍣愵晡昷㘰㡦愷㔵晦㉡㜷晦㘷摤㍤㙡㥦㜳㕢㐲扥㙣攰㙥改搵攸愱㉥〶㕦㍥攴㥥㜰つ㕥散〹㝦㔱攵㉤㔳昱㐵㐲慡㙡㙣搵摦〳㔵㝣㈹㤰慡㤰慤㝡㈵㔰昵慡㔲昵戶㔵㜲㜳敥㥢ㄷ㌷敢㌲搷㐶戶敡㡤挰㕣摣㜸㑢㤵㘱慢摥ち㔴㜱ㄳ㉤㔵㥢搸慡㜷〲㔵敦㉡㔵㕦㕢㈵㌷戳扥㜹㜱㜳㉢㜳㙤㘶慢㍥〸捣挵㡤慡㔴㙤㘱慢晥ㄱ愸攲愶㔳慡戶戲㔵ㅦ〷慡㍥㔱慡〱戶㑡㙥晥㝣昳攲㘶㔰收摡挶㔶㝤ㅥ㤸㡢ㅢ㍢愹ㅡ㘸慢攴愶捣㤷㡢㥢㌴愹ㅡ㘴慢攴〶换愷攲㠶㑢慡戶户㔵㜲戳攴㔳㜱昳㈴㔵㍢搸㉡戹昱昱愹戸ㄱ㤲慡㥤㙣㤵摣挴昸㔴摣搴㐸搵㉥戶㑡㙥㐸㝣㉡㙥㔰愴㙡愸慤㤲㥢ぢ㥦㡡㥢つ愹ㅡ㘶慢攴㐶挱愷攲挶㐱慡挲戶㑡㍥昵㝤㉡㙥〲愴㉡㙡慢攴ㄳ摣愷攲ㄳ㕤慡攲戶㑡㍥㡤㝤㉡㍥㥤愵㉡㈹㔵㠶㝡ㅡち㍥㍦攵㈱慡扦㝥㙦ㅦ愲ㅡ㡤扥㌵㌸慦㉣㥦㤲㌲昰㤸㈷挰㘷愱っ㍣敡〹昰㠹㈷〳㡦㜸〲㝣慥挹挰挳㥥〰㥦㕥㌲戰摥ㄳ攰㌳㑡〶ㅥ昲〴昸㈴㤲㠱〷㍤〱㍥㙦㘴㘰㥤㈷挰愷㡡っ㍣攰〹昰搹㈱〳昷㝢〲㝣㐲挸挰㝤㥥〰㥦〳㌲㜰慦㈷挰搵㕥〶搶㝡〲㕣搳㘵攰ㅥ㑦㠰㉢户っ摣敤〹㜰㝤㤶㠱扢㍣〱慥挲㌲㜰愷㈷挰戵㔶〶敥昰〴戸愲捡挰敤㥥〰搷㑤ㄹ㔸攳〹㜰㜵㤴㠱搵㥥〰搷㐰ㄹ戸捤ㄳ攰㑡㈷〳户㝡〲㕣捦㘴攰㤶昲㐰慦晦〷㤶㉤愸㔳</t>
  </si>
  <si>
    <t>㜸〱捤㥤〷㜸ㅣ搵昵昶㜵㘵㘹慣㔹ㄷ㡤挱愶ㅡ㕣挰㌴㠳搹㕥っ〶㜷㘳摣挰㡤〴㜰挴散敥慣㉤慣㘲㈴戹㐱〸㥤㠴ㄶ㑡㈰昴ㅥ㐳攸搵㜴㐲㑣ぢ㌵戴搰㝢つ㄰〸扤㈴戴敦㝤敦摣扢㥡㥤ㄹ㐹㔶晥昹㥥㈷慢摤愳戹攷扣昷摣扢扦㥤㤹摤㥤㌹扢㕢㈵慡慡慡㝥挲㠵晦㜹愹攱挲搰㜹慢摢㍢㥣收㌱㤳㕡㥢㥡㥣㐲㐷㘳㙢㑢晢㤸〹㙤㙤昶敡㤹㡤敤ㅤ㝤㈰㌰ㅡㅡㄱ㙦慦㙤㘸㙦㍣搸愹㙢㔸攱戴戵㐳㔴㕢㔵㔵㔷㘷㔶㈳扥愹扡㔹扡㘱戲㤷㔹㐳〳㔵㤵㘹搰昴愵愹愳㌱㘹㈲㌴晤㘸晡搳っ愰ㄹ㐸㔳㑦㘳搱っ愲搹㠰㘶㐳㥡挱㌴㐳㘸㌶愲搹㤸㘶ㄳㅡ㡥㙦㙥㐶戳㌹㑣晦愱㌰昳㈷㑤㥣㤳㍦㄰昷㘶㕥㐷㙢㥢戳攳昰㠵敥㥣挷挵㘲㘳昰㤷㑣㘶挷㐴㜷ㅣ㍥㘹㜹㔳挷昲㌶㘷㕣㡢戳扣愳捤㙥摡㜱昸㕥换昳㑤㡤㠵ㄹ捥敡昹慤㑢㥤㤶㜱㑥㍥㥡挸摢挹㙣㉣㤹㑡㤵㜲戹㙣晦㉤㤰㜹昶愴㠹㝢戵㌹愵昶晦㔶捥㉤㤹㜳捥愴㠹㘳㘶㍢ㅤ晦慤㥣挳㤰ㄳ㈹㈷户㌶摢㡤㉤晦愵愴戵㝣㑣㔳㤳㥤㐲㈳ㅦ㝣挷㘹㙢㙣㔹㍣〶搳慥〰㡤㔶㘶捣㠴昶昶攵捤换戸ㅥ㑤㜲㥡㥡收㍡㈵昹愰㌷㑦㙥敦搸换㙥㙢㙥敦摦㑣㝥㑥㥢搳㔲㜰摡〷㌶㑦㔹㔵㜰㥡㤴戰扤慥㜹愱摤㌶摢㙥㜶㙡戸㔰摦散㍥㠶搳㡢㑥㑢㐷㘳挷敡〱捤ぢ摡㥤戹㜶换㘲㠷㤲摡收㘹换ㅢ㡢愲愶〶搷慡㍥摢㠶捤㑣㍥㔰㤸㑦昳愴㈵㜶㕢㠷㙣昱㈱㡣㠵㘹㍤慢㡢扣ㄷㄵ昳攲㉡㌵摣搷㡢㡦搹扣挶收ㄹ㑥㕢㡢搳挴㐱昸㐸㡥昶㠹㈴㈰昷㜱㈸㤳搲㜷㠷㡦㤲攸愷㌶㍥摥ㄷ㡥㘲っ㠷搹㜴㜶㙢㕢㌳㔶挸㔹㡥摤㌲㉥ㄶ㡤敥㌸慦愳㌸搹㔹㌱㉥㥥㌲㐷㈰㙣㡥愴㜰㉢㤸挸㘴愷搹㙥㈹㡥捤攵挶㥡㕢㌳㌲ち㐶搴扣㠴㑤摣㥢㤸㥢㔹㜵㠳㕤摤㤰慦㙥㈸㔴㌷ㄴ慢ㅢ㥣敡㠶㔲㜵挳攲敡㠶㈵搵つ㡤搵つ〷㔶㌷㉣㠵㐶㕦敡晡昶慤㔶㤷晡ㄵて摥㘸㍣㝦挰慣㥢㔶敥㌲愸晥扣㜵摢〸㙥搵㜲愷戰㉤ㄶ扡㤹攸㜶〸㥢摢挳ㄸ㍢挰㤴㈷ㅡㅢ㙢㡥㘶㘴㐷ㄸ㈱㥥挱㐴㌹搹昹ㄷ㥦㘱扦戲㘸攰散昳摦㌸攱㤰㘳愳㔳㤶ち敥㌶攴㈸㘳戰搰捤㈸㍢㌳㔷ㄴ挶㠸挱㤴㐷㐹㡦㌵攳㡣㈴㘰㠴㜸㑣㡤㌲攳敢㙤㔶敤扦晣戹㌹㔷戶㝦戴㝣晢㘷戶㝢㑡㜰扦㈴㐷㐹㘱愱㥢㔱搲捣㤵㠱㌱戲㌰㝡㤴㙣㘶慣㤹㘳㘴㉣㡣㄰て愸㔱㙡〷っ晡㝣搴㙤晤昶扣昰愱ぢ昶摥昴戵㌵慢〵㜷㝣㜲㤴㕤戱搰捤㈸攳㤸㙢㌷ㄸ㘳㜷ㄸ㍤㑡〶愳㡣㘷㘴〲㡣㄰㝦㔲愳晣昱愸㠶㐱㜵ぢ㤷捣扥戳㈹㜱㔰晦㙤捤㌵㠲ㅢ㤹ㅣ㘵ㄲㄶ扡ㄹ㘵㌲㜳㑤㠱㌱愶挲攸㔱戲挹戱收㌴㐶昶㠰ㄱ攲㔶㌵捡挱㉤挷户㌹㌷扥扢攷㤹敢㥥㑦ㅤ戴挹㜷㘳〴㜷摤㜲㤴㍤戱搰捤㈸㌳㤸㙢㈶㡣㌱ぢ愶㍣ち㔶搳搹㡣捣㠱ㄱ攲㝡㌵㑡㘲昱㠰㔳ㅥ㜸敤戹㘹㘷㔷摦㜰挴敦㡥㍤敡〰挱攷〶㌹捡摥㔸攸㘶㤴戹捣㌵て挶㤸て㔳ㅥ〵敢搸〲㐶ㄶ挲〸㜱㠵ㅡ㈵㍤敢挴摦摦晢捣愱ㄳ㉦挸散㌷攲慣敢㕥㍥㔱昴㐳㔸㡥昲㌳㉣㜴㌳捡捦㤹㙢㕦ㄸ㘳㍦ㄸ㍤㑡づ㡦换晥㡣㉣㠲ㄱ攲ㄲ㌵捡㡣昳㉥扥攱摡搹扢敦㜱搲㔵晤昶攸㔷㜷摦て㠲捦㙥㜲㤴〶㉣㜴㌳捡〱〸㥢㌶㡣㤱㠷㈹㡦㠲挷愵挰㐸ㄱ㐶㠸㜳搵㈸㉦㥣㌲晡慣ㅤ㌷扥㝤搶㘵〷㙥扡㘹昳慡搵㙦〹㍥㝤捡㔱㑡㔸攸㘶㤴挵捣戵〴挶㘸㠴搱愳㘴攳㘳捤〳ㄹ㔹ち㈳挴改㙡㤴散㠵㝢づ摡㘱愷收ㄹ㜷收戶㤸㤱摦昲㠹㕤〴㥦㥦攵㈸捤㔸攸㘶㤴ㄶ收㙡㠵㌱㤶挱攸㔱㜲ㄸ攵㈰㐶摡㘰㠴㌸㐹㡤搲㌸㜶昶捥扢㙣㌴㘵攲㌱攷晥㘳捣挰戶晣搷㠲㉦〰攴㈸ㅤ㔸攸㘶㤴攵捣戵〲挶㔸〹㔳ㅥ㈵㍢搶㕣挵挸㙡ㄸ㈱㡥㔵愳散㜷㝡摤挳ㅦ摥㌰㘴捥ㄵ〷摥昴搶ㄷ㌳捦扢㔱昰ㄵ㠶ㅣ攵㄰㉣㜴㌳捡㉦㤹敢㔰ㄸ攳㔷㌰㝡㤴っ㐶㌹㡣㤱挳㘱㠴㌸㑣㡤㜲挴敦㌳㌷㥤搴敦㡦戳敦戰扥摡㘱挵㜹昷㝣㉢昸ㄲ㐶㡥㜲㈴ㄶ扡ㄹ攵㈸㠴捤愳㘱㡣㘳㘰捡愳㘰㝢㌹㤶㤱㕦挳〸戱㑡㡤㈲扥㔹㌱㜵昸㠲〵㔳㉦摦愶㝡敡摢㡢㕦ㅣ㉥昸ㅡ㐹㡥㜲ㅣㄶ扡ㄹ攵㜸收㍡〱挶㌸ㄱ㐶㡦㤲㑢㡣㌵㑦㘲攴户㌰㐲ㅣ愴㐶㔹㝡昵搸㠱㥦㙦昵攲慣扢㠶㔵㙦㜳昳攰㥡㙢〴㕦㠴挹㔱㑥挱㐲㌷愳㥣捡㕣愷挱ㄸ扦㠳搱愳㘴㐱散㜴㐶捥㠰ㄱ攲㐰㌵捡㡤扦扢攲慥㥡㔷敥㤸㜸捣ㄵ㌵㡦㝦昵攴愶㥦ぢ扥捡㤳愳㥣㠹㠵㙥㐶㌹㡢戹捥㠶㌱捥㠱㈹㡦㤲ㅡ㙢㥥换挸㜹㌰㐲ㄴ搴㈸捥搹㑤㜳㡥扦㝣搱挴㈳摦挸㤵㍥捣㔴㍤㉦㠶㈰㉣㐷戹〰ぢ摤㡣㜲㈱㜳㕤〴㘳㕣っ搳㑦㍤摤攲㈹㜹慣㜹〹㐳㤷挲〸戱扦ㅡ㘶攱扡戵敦戶戶摣㍦晥戸挵㙢㠷晥㌰愶昹㘶挱ㄷ慡㜲㤸㌵㔸攸㘶㤸换㤸敢㜲ㄸ攳㡦㌰攵㍢㠳㔱慥㘰攴㑡ㄸ㈱ㄶ愸㔱散㐹て㝥㝢昹愸户㘶㥥㌳昷扡㐳ㄶてㅢ㜱慣攰㉢㘱㌹捡搵㔸攸㘶㤴㙢㤸敢㕡ㄸ攳㍡㤸昲㈸㜸昸慦㘷攴〶ㄸ㈱㘶慢㔱慡㤶戵㥥搲㍣晢扡〹挷敤户晦扢攷㕥昰挵㘳㘲ㄳ㠴攵㈸㌷㘱愱㥢㔱㙥㘶慥戵㌰挶㉤㌰㝡㤴っ㥥㤲㙦㘵攴㌶ㄸ㈱愶愹㔱晥戹敦戰㜴攳㍤扢捥㍥㘱搱晣㈷戶㌰㜶ㅤ㈶㌶㐵㔸㡥㜲〷ㄶ扡ㄹ攵㑥收扡ぢ挶戸ㅢ㐶㡦㤲挳挳晦㈷㐶敥㠱ㄱ㘲扣ㅡ攵慤㘳㉥㍡㘳搲㘳㌳昶扣敤搵挵㉢㉥搹晥捥㙦挴㘶〸换㔱搶㘱愱㥢㔱敥㘵慥晢㘰㡣晢㘱捡愳攰㜱㜹㠰㤱〷㘱㠴挸愹㔱挶敦戵昸㠷㉤扦ㅢ㌹昹搲〹搶昴㤷㉥㑢慣ㄴ㥢㈳㉣㐷㜹〸ぢ摤㡣昲㌰㜳㍤〲㘳㍣ち愳㐷挹㠲搸㘳㡣㍣づ㈳㐴㕣㡤㜲散捡㤱㑤昳㥥㝤㜴晣愹搵つ敦づ敡扢挱㝥晤㥦㐰㜸㙦昵㉡㜲㜲㥢扤ㄲ慦换㍢㕦昲挷挷㐴昹搷昳㝢ㅤ扣搵㈹愵㑡㤹㔲㉣㔶㑣㐵敤㠴㕤㍢〲㘹搷昷㐵㌵昷愵晤㑢晢㌴戶ㄴ㕢㔷捡㔷搹㐳㈷摡敤㑥攷㡢敥搱㉡㌶戱㜵㜹㑢戱㝤昳昰攰扣づ扢挳搹捣ㅦ敢㑣ㄲ攸㌶て敦㐱㥣㜶㌹摥㤶晥㙥ぢ敤愶攵捥㠴㔵㡤㙥㜸ぢ㕦ㄸ敦㐰㕡昳㕤㐷愷戶㌹〷㤵愳㠱ㄹ㑤挰㕢攴ㄵ㌲㜷攰㕥扡㈱㜷㕥挳㈷㉤㘹㙤㜷㕡攴昴㐶㌷敦搵㔸㔸敡戴捤㜳昸〶摢㈹捡扢㍡㠴㈱昵㌶㘸昴㥣ㄶ摣㔱扣戱㈹㡥昴㝡㑢㔳㔶㜵㌸㉤㐵愷㠸昹㉥㜳摡㍡㔶捦户昳㑤捥㐶ㄵㄲ㜷㑣〴㌶慤㜰㑦㙤㉤㉣㙦㥦搴摡搲搱搶摡㔴ㄹ㤹㔰㕣㘱攳慤㔷㜱㔶㙢搱挱㍢愷ㅡ㕥慡㐴㔵㥦㍥㐲㔴敤㄰昶昶㠵㜹摢挷挸〷挲昳㄰㙦㠱挷㝣㤳捡搵㙥捣㕣摣㍢摣㡢㈶㠷敢㘴昵搶㍤㈴㤳㜹㤹㘶晢慥㠵㥥晢挴愳ㄱ㔴㙦搷戵㕡捥戱晣挸晤晦ㄵ㔷㔷㙦愸敥晤㤴ㄵ㜸㝢扡〷摥㠶㌵㌹㙤摤ㅥ㑢ㄱ㥣㤱昹㈴㑣敤捥搸㥡扢愴㔷〳㠵㔸㈵㔶搷慥㙣㉣㜶㉣㌱㤶㌸㡤㡢㤷昰戵㄰㡥户搴搵ㄱ㙤攰㘲㍥つ㤷昹っ捤摦㘰㈲㤱㉡攳㔹㡡㡣㠸昹㥣摢慥ㅤ㠹晦扤㝦攳㕢㡤㕥愶㝣愳㡤愳㈲敤戵捤㔳㕢摢摡晢昴〹扢㤷㝢搸敤㑢㍡戸㝡㜶ㅦ㘴扥攷㘹㕥㠰愹摤ㅡ愶挷昷搵昵㄰搵昰昰挱㠰收挹㑥挹挶㐱ㅢ戹㜵ぢ扢戶搹㍤づ㌰搹㘹㉦㤸㍣㘰㌰ㅤ摢捡㉡〳㑢搸昸晢㌷㜳敤㜷㔶㜵㑣戶㍢散扥捤㌸昴㠰㐷挹㠴㘸戴散攵㉥戱攷〰改搳扤㈳慡㠵っ㤶㕣昴㘴改㈷ㅤ㙥㈶㙣㌸搸㕥慡晡㈸摢晤㥤挰摣户挴㥤㌰晣㉢㝡攵㈱〴ㅣ搹㈸㑥㜳㕡收慦㕥收戴㔳㕥㘷㜴㡢搲扦㜹㌱搹㥣㐲㝥㐱㐷㘳㔳晢ㄸ捣㜴㕡㕢敢昲㘵晦捤㍣捣㘵扥〸愳㉦戵摢㘰㉤㕥晦晢〴㕣㔵㝤㔷昰戱㘹㘸愸慡㘳㌶㝡捣慤㘸戸戶㈲搹㑦昸㈷㉦收慢昸ㄷ改㉥㔶㍢ち㡡摥ㅣ㙥愹㠵扥㝦㌳〸捤㙦㜳攴〱愴㍡搹〰敤〱捤晢戴戶㉤捤户戶㉥攵晡㌴㔰戶摡㤷㌸㑥〷て捡昴㔳〷愱攴挱㈶㈱晡昴愹㌸戰攲㌹㝡㌳っ昹㡤㌷㘱〶㑣㘸㙡ㅡ慥㌳戶ㅢ㙦挱搵〷㠷㠷㡣户戱㌰㜴㑥㕢搱㘹摢㘹挱戲㥤收户づ挷搱愳攵㑤戶㝢挰㜵㔵㔳晢㉡㌱ㄴ〴㜸㌸攴搶㔱愵㕦㍤㌲昸愵〹攷捦慣晤敢㉥挷㙤㘷㡢捤㔵㈰㜰㌴㘶㍢攴ㅣ㠱㥢昹ㅥ㡣搸ㄴ㌲敥㔹戰㕣㜹㌱摦㐷摢晣㠰收㐳ㄸ散ㅦ㈴㜱散ㅥ㍥㜲㥢㘲㝢晣攷㉥挲晣㤸收㥦㌰㘲㌴っ㌷㔰昳ㄳㄸ㝤ㄱㄶ昲昳㜱㤷㡦摤づ㜰〷ㅦ扢㉦攰㡤㤸摤挴挴㡥㔰昰昱㌳挹换㈴㈱㤳㜴㠴㠱挴愱〰㙡㔵㈰㜰愰㘸㘷㜴㤳〰扥㘷晦㍥㤰㠵〳昸㤱㘳㄰㡣挹戵捥〳愰摡㙤㡡㈸㘲ㄲ㐰ㅦ㌸㑣ㅥㄸㄷ㜱戸㈴㠰㕡戴昴㐵晣晢㐷て㠰ㄸ摣㐱〰㈶㜳㥡摤挴㐴〲晤挲〰㝣㡡攴愱〰㍥㔱㠱挰㌱慣㌴㌲㡤攰㉣㌶攰㤴㍦㠶㉣ㅣ挰㘰㠴捤㈱㌴ㅢ挱㜸〰㙣攲㌶㐵〶㐹㈴㠰㑤㈹摡っ㐶攴攰㤲〰㌶㐷㑢㕦挴㍢㕥〰㔹戸㠳〰㠶㌱愷搹㑤㑣㡣㐵扦㌰〰㉦㜵〵攰㐵ㄵ〸ㅣ㕥ㅢ㠷㑣㈳㌸㡢敤㌸攵攷扢〴戰〳挲收㘸㥡ㅤ㘱㍣〰挶戸㑤戱ㅢ㤲㐸〰㍢㔳ㄴ㠵ㄱ攳攱㤲〰㘲㘸改㡢昸慢ㄷ挰敥㜰〷〱愴㤸搳散㈶㈶㈶愰㕦ㄸ㠰晢扢〲㜰㥦ち〴㡥晣㑤㐶愶ㄱ㥣挵㙥ㄸ㔴慣敢ㄲ挰㜸㠴捤〹㌴ㄳ㘱㍣〰㈶扢㑤㌱〵㐹㈴㠰㈹ㄴ㑤㠵ㄱ㍣㈶㈸〱㑣㐳㑢㕦挴㙤㕥〰㔳攱づ〲㤸挱㥣㘶㌷㌱戱〷晡㠵〱戸戶㉢〰搷愸㐰攰愰攴っ㘴ㅡ挱㔹捣攷㤴慦敡ㄲ挰㐲㠴捤㝤㘸㝥〶攳〱戰慦摢ㄴ㌳㤱㐴〲搸㡦愲晤㘱挴㙣戸㈴㠰㐵㘸改㡢戸挴ぢ㘰ㄶ摣㐱〰㌶㜳㥡摤挴挴ㅣ昴ぢ〳㜰㔶㔷〰捥㔴㠱挰昱搲戹挸㌴㠲戳㌸㤰㔳㍥愳㑢〰㑤〸㥢捤㌴㉤㌰ㅥ〰换摣愶㤸㠷㈴ㄲ挰㐱ㄴ戵挱㠸〵㜰㐹〰敤㘸改㡢㌸搱ぢ㘰㍥摣㐱〰㉢㤹搳散㈶㈶ㄶ愲㕦ㄸ㠰㈳扢〲㜰㠴ち〴づ攵晥ㅣ㤹㐶㜰ㄶ㠷㜳捡㠷㜵〹攰㐸㠴捤愳㘸㡥㠶昱〰㌸搶㙤㡡㝤㤱㐴〲昸㌵㐵扦㠱ㄱ晢挳㈵〱ㅣ㠷㤶扥㠸ㄵ㕥〰晢挱ㅤ〴㜰ㄲ㜳㥡摤挴挴㈲昴ぢ〳搰搴ㄵ㠰愵㉡㄰㌸捡㝣〰㌲㡤攰㉣㝥捦㈹㌷㜶〹攰㉣㠴捤戳㘹捥㠱昱〰㌸捦㙤ちㅢ㐹㈴㠰昳㈹扡〰㐶ㄴ攰㤲〰㉥㐴㑢㕦挴〱㕥〰㜹戸㠳〰㉥㠵㍥㘲㜶ㄳㄳ㐵昴ぢ〳戰戰㉢〰ぢ㔴㈰㜰〰㥣〷戶㐷㜰ㄶ㔷㜳捡昳扡〴㜰㉤挲收㜵㌴搷挳㜸〰摣攸㌶挵ㄲ㈴㤱〰㙥愲攸㘶ㄸ㜱㈰㕣ㄲ挰㕡戴昴㐵散改〵搰〸㜷㄰挰敤捣㘹㜶ㄳㄳ㑢搱㉦っ挰昸慥〰散慥〲㠱㘳昳㉤挸㌴㠲戳戸㤷㔳ㅥ搷㈵㠰晢ㄱ㌶ㅦ愰㜹㄰挶〳攰㈱户㈹㕡㤱㐴〲㜸㤸愲㐷㘰挴㐱㜰㐹〰㡦愲愵㉦㈲改〵戰っ敥㈰㠰㈷㤸搳散㈶㈶摡搰㉦っ挰づ㕤〱搸㕥〵〲愷つ㤶㈳搳〸捥攲〵㑥㜹摢㉥〱扣㠴戰昹㌲捤㉢㌰ㅥ〰慦戹㑤戱〲㐹㈴㠰搷㈹㝡〳㐶慣㠲㑢〲㜸ㄳ㉤㝤ㄱ㕢㝡〱慣㠴㍢〸攰㕤收㌴扢㠹㠹搵攸ㄷ〶㘰㜰㔷〰㌶㔴㠱挰ㄹ㡤㕦㈲搳〸捥攲㥦㥣昲愰㉥〱㝣㡡戰昹ㄹ捤攷㌰ㅥ〰㕦扡㑤㜱㈸㤲㐸〰㕦㔱昴㌵㡣㌸っ㉥〹攰ㅢ戴昴㐵搴㜹〱晣ち敥㈰㠰敦㤸搳散㈶㈶づ㐷扦㌰〰㍦晥搰挵㑢攱ㅦ㔴㈰㜰戲攵㈸㘴ㅡ挱㔹搴㔴㘳捡摦㐱ㄶ晥㔲搸㐰搸散㑢㔳〷攳〱㄰㜱㥢攲㘸㈴ㄹ挹㐴晤㈸敡て㈳㡥㐵㔳〲ㄸ㠰㤶扥㠸捦㌱㐶昹捤搰㌱㜰〷〱っ㠲㍥㘲㜶ㄳㄳ㍣戹ㄳ〶攰晤慥〰晣㕤〵〲攷㠱㡥㐷㈶〹㘰㌳㑥昹摤㉥〱っ㐵搸摣㠲㘶㑢捥慥昳摤攰㜰户㈹㑥㐰愲㤱扣㍢㈳㈸ㅡ〹㈳㑥㐲㔳〲搸ち㉤㝤ㄱ慦㜸〱㥣〸㜷㄰挰戶搰㐷捣㙥㘲攲户攸ㄷ〶攰改慥〰㍣愵〲㠱㔳㔴愷㈲㤳〴㄰攵㤴㥦攸ㄲ㐰ㅣ㘱㌳㐱㤳攴散㍡〱愴摤愶㌸つ㠹㐶昲敥㘴㈸捡挲㠸搳搱㤴〰㜲㘸改㡢㜸搰ぢ攰㜷㜰〷〱㡣㠳㍥㘲㜶ㄳㄳ㘷愰㕦ㄸ㠰扢扡〲㜰愷ち〴捥㥥㥤㠵㑣ㄲ挰㔴㑥昹昶㉥〱散㠱戰㌹㥤㘶㑦捥慥ㄳ挰㑣户㈹捥㐶愲㤱扣㍢戳㈸㥡つ㈳捥㐵㔳〲㤸㠳㤶扥㠸敢扤〰捥㠱㍢〸㘰ㅥ昴ㄱ戳㥢㤸㌸て晤挲〰㕣搶ㄵ㠰㌵㉡㄰㌸戱㜷㈱㌲㐹〰晢㜳捡㤷㜶〹攰ㄷ〸㥢つ㌴〷㜰㜶㥤〰昲㙥㔳㕣㠴㐴㈳㜱㌳ぢㄴㄵ㘱挴㈵㘸㑡〰づ㕡晡㈲捥昱〲戸ㄸ敥㈰㠰㐶攸㈳㘶㌷㌱㜱㈹晡㠵〱㌸愵㉢〰㈷慢㐰攰㤴攳㘵挸㈴〱戴㜱捡㈷㜵〹愰〳㘱㜳㌹捤ち捥慥ㄳ挰㉡户㈹㜸㍡㜲㈴敦捥㙡㡡づ㠶ㄱ㔷愰㈹〱ㅣ㠲㤶扥㠸愳扤〰晥〸㜷㄰挰㘱搰㐷捣㙥㘲攲㑡昴ぢ〳㜰㜰㔷〰㔶慢㐰攰㙣攸㌵挸㈴〱晣㠶㔳㕥搹㈵㠰攳ㄱ㌶㑦愰㌹㤱戳敢〴昰㕢户㈹慥㐵愲㤱扣㍢㈷㔳㜴ち㡣戸ㅥ㑤〹攰㔴戴昴㐵戴㜸〱㕣〷㜷㄰挰ㄹ搰㐷捣㙥㘲攲〶昴ぢ〳㔰散ち㐰㐱〵〲㈷㙡㙦㐶㈶〹攰〲㑥搹敥ㄲ挰㐵〸㥢ㄷ搳㕣挲搹㜵〲昸㠳摢ㄴ㙢㤱㘸㈴敦捥ㅡ㡡㉥㠳ㄱ户愲㈹〱㕣㡥㤶扥㠸㥦㜹〱摣〲㜷㄰挰㔵搰㐷捣㙥㘲攲㌶昴ぢ〳㌰扢㉢〰戳㔴㈰㜰づ昹㑥㘴㤲〰㙥收㤴㘷㜴〹攰ㄶ㠴捤㕢㘹㙥攳散㍡〱摣攱㌶挵㕤㐸㌴㤲㜷攷㑥㡡敥㠲ㄱ㝦㐲㔳〲戸ㅢ㉤㝤ㄱㄳ扤〰敥㠶㍢〸㘰ㅤ昴ㄱ戳㥢㤸戸〷晤挲〰㘴扢〲㤰㔱㠱户晣愷户敦㐵㈶〹攰ㄱ㑥㌹搵㈵㠰挷㄰㌶ㅦ愷昹㉢㡣〷挰㤳㙥㔳摣㠷㐴㈳㜹㜷㥥愲攸㘹ㄸ昱〰㥡ㄲ挰㌳㘸改㡢搸搱ぢ攰㝥戸㠳〰㥥㠷㍥㘲㜶ㄳㄳて愲㕦ㄸ㠰㤱㕤〱ㄸ愱〲㠱㌳敦て㈳㤳〴昰〶愷㍣慣㑢〰㙦㈱㙣扥㑤昳づ㘷搷戹〶扣攷㌶挵㈳㐸㌴㤲㜷攷敦ㄴ扤て㈳ㅥ㐳㔳〲昸〰㉤㝤ㄱㅢ㜹〱㍣ち㜷㄰挰挷搰㐷捣㙥㘲攲㜱昴ぢ〳搰扦㉢〰晤㔴挰㕦ㄴ㔰晢㈴㌲昵攲㘴㙥㍦㑥戸戴戰搱㔹挹戳㑦〳㑢愸戳㥤戴扣扤愳㔵㥥㉡ㅢ㔰㥡摣㍡扢戵㘳㜲㘳晢戲㈶㝢昵㠶㈵戵戰捦ㄲ愷〵㈷戲摢㜰㍥摢攷㙢㕤戶捣㈹㥡愵㜹慤换摢ち捥昴挹晦ぢ㈷扡㜱晦昰搰挹㜳摣搵〲㤷晦散摣㙤ㄵ㝡㘲㉤挱愵慡昶㘹㈴昴㥦㠲㤳搵扥㥥搳攵㜲搱㠲戰扥㤳攸晣挶㡥㈶愷㕦㐹㥥慡㤶换㜵㈵㔰㐴㜵㐰戱㙦㘹晥ㄲ㥣㥡㥡㍣愰㌴慤慤戱搸搴搸攲昰挱ㄸ散㑡㘷㍡㡢㔱〹戰㔷㙢㝢㈳捦ㄷつ㈸捤㙦戳㕢摡㤷昱愴㘶㘱昵〶ㄵ㉤㜹昶戳戶㌴戱戱愵ㅤ挳挸㐷㤱换昵愵㜹㑢㕡㔷愲挶㝦㜹㜳换㌴㝢㔹晢晦挴愳㈲昸戰挸㡢㝣㘸㐴戵愸慥ㄶ㜵搵㜵晦改攳㘳㝣㡤㙤㙣㐳户㝡㝡㌸搶搳㡥戶挶晣㜲〲㤳㘳挴㘱㙢㘸攴㘳㔸㔵晢っ㤶晣愷㉦㍤て愱慦昶㠰㜳慤愸㕤て㍤つ㕥晥攰挴ㄶ㤰㥢摦㘰㍡晤扦㠵搹㜳摡㠲改㥤㔵㌹晦愷㑦㈱搴晥つ㤹搷扢〸㘲〸挴〳摤㔵㠸㠵ㄱ㕣愳戰㘵㘲㑤㘰换扦㕡㐶㑡㔲挳㌵㜴㘰攷攲㔴㥣㐷敦㕦㥡㘹攷㥤㈶㥣晥㙦戶㍢〶扡つ搶㘱愰㑡扤㕤挵㈶戵㌶㌷摢㕣攵㔸㙢㍦慦㘰㌷㌹㜵愵〹换㍢㕡㘷㌵戶㤸㈵ㄸ戹㕥㉡㤷扤ち㉥㝢㤵㝢愲扥㌴㤷㘵㐱㜲㤹戹㕡ㄷ摢㙤㡤ㅤ㑢㥡ㅢぢ㜵㙣戰㜴攷㝦㘲㕤挵晥愳〶㌰昵㐵敦㑢晣㘷晥摤昳敦㜸戸挷愰㔸㠶攸昸昰㘳㡤慥ㄶ〶晥挴㝦㔸㌵㠲㍤㡦㝣㐲㌱晦㡤㙣戵戸挹㕤㤱㥣换愷昲㔴㉣ㄶ㍦㍤っ慢愸摣㌹㠹攷㈸挰捤晣づ㔲㉥昰㔶昳㍣㑣户㈵〵㝤㈱㠸捣㙣戵㡢㔳敤〲㍥㌷搳㔷㝤㙡愶づて㉤㜷㌵㙤ㄶ㡢㍣㈶愱㙥〸昵㐸㉢ㅡ㜱㈲扢㡥㡥㜹昸㔴㔰つ换㐳っ昷㌱挴改敥㍥㔵戵戵晤敡挲挶㥡慥㜳㙤慤㑥㥤㝢㍦㜵㌴㍤㤰晦愳扤戳扢昳摥㐶㈲昲㈹敡㝢㉣㥢㍦昰㍥扤〰㈷敦㡦㑦昰㈳〵㍦挱搴扥㠸愰晦戱愹慣户㐰㔵㠶〹㔱㡤晣扣〹㉢㐱敡㔰㌵㈱㑢㐸㙡攵ㅤ改攷㈹晤㌰摣慡㡦㍡晤㈱ㄶ㘳ㅥ搶㜲愷ㄸ㜱昷慦㉣㌱挱㌳㐳㔵㜵㜵つㅥ㙡挳㕦㌶ㄷㄸㄶ挹㥡攷㌹戲㈶㐴㙣㠹㈹ㄸ㉣ㄳ摣㠰ㅢぢ昲㌷㜸㍥搳昱㉣㠲㌸愵晤ㄳ晥挹㑢㈴㘲㔶㐳㕡ㄵㄱ慦挲敡晢摦㥦ㅥㄷ㄰挸攳昰ㄷ㡣㜸て㑥扥ち昰㍣㘷㠹昷搱攴昳ㄶづ敡〱㤱扣昸昶㠹攲〳㜸戹㕦㌴つ㈶昹㄰㑢摣摤㤴㔷扦㍡㜸㝢㕥晤㍥㘲て摣㑣㝥㄰㑣慦㝥攲㘳㜸昴㤴㌹扣㥡㜲〴ㅡ戳ㅦ㠵晦っㄷ昴愷㘰〰〵㥦㐰挰挷搵ㄸ㠸㔶㠰ㄷ捡晥㐳㜸㔹㤰㠲搷ㄷ㥥摣ㅥ㕥㠳㤸㝢〳收晥ㅥ〲㍦慦ㅦ攱敢㠱ㄷㅦㅡ挹㙢㌰㤳昰捥㔶昰摡〸摥㥥㜹㔵愳㥢攴戵戱㑣攲㌶〴ぢㄱ㐲㜸㙤〲㡤戹㈹㠵㉣㔲〸ㄱ㙣㐶挱收ㄴ戰㙥㐱昲ㅡ㡡㔶㠰ㄷ敡㑢㐳㜸㙤〹㈹㜸戱㠴㐱攷昶昰ㅡ挶摣挳㤹㥢攵〶㝥㕥慣㌱攸㠱ㄷ㉢㄰㈴慦㤱㑣挲㔲㠴ち㕥㕢挳摢㌳㉦㤶㉣攰㡡㡦㍢㌱〹ㄶ攴㡤㜵ぢ㝡捡㥥昵㙢ㅢ㘸捣㙤㈹㘴㑤㐳㠸㘰㍢ち戶愷㠰㘵づ㤲搷づ㘸昹㜹昱攳㍥㈱扣㜶㠴ㄴ扣㠶㜹㜲㝢㜸敤挴摣㘳㤸㥢搵〹㝥㕥㉣㐹攸㠱ㄷぢㄶ㈴慦㈸㤳戰㜲愱㠲㔷ㅣ摥㥥㜹戱挲〱㔷ㅣ昲㘴ㄲ捤㡢㘵づ㈱㌸㤲搰㤸㈹ち㔹〲ㄱ㈲㐸㔳㤰愱㠰㔵ㄱ㤲㔷ㄶ㉤㍦㉦㝥㜰㈹㠴搷㔸㐸挱㡢〵ㄲ㍡户㠷搷㉥捣扤㉢㜳戳㤸挱捦㙢㍣㝣㍤昰㥡〰㠹攴戵ㅢ㤳㑣㐴慢㠲搷㜸㜸㝢收挵㠲〸㕣㔱㉤挱㈴㥡ㄷ慢㈲昴㤴㍤敢搷㐴㘸捣㐹ㄴ戲㘲㈲㐴㌰㤹㠲㈹ㄴ戰㠸㐲昲㥡㡡㤶㥦ㄷ㍦㠲ㄵ挲㙢て㐸挱㡢昵ㄴ㍡户㠷搷㜴收摥㤳戹㔹晢攰攷挵㠲㠷ㅥ㜸戱ㅣ㐲昲㥡挹㈴慣㡢愸攰㌵ㅢ摥㥥㜹戱㝥〲㔷㝣慥㡢㐹㌴㉦ㄶ㔱攸㈹㝢㜸敤〵㡤戹㌷㠵㉣戰〸ㄱ捣愵㘰ㅥ〵慣戹㤰扣收愳ㄵ攰㠵て挷㠴昰㕡〸㈹㜸搹㥥摣ㅥ㕥晢㌰昷捦㤸㥢愵ㄲ㝥㕥慣㡦攸㠱ㄷ慢㈷㈴慦㝤㤹㠴㘵ㄴㄵ扣昶㠷户㘷㕥㉣户挰ㄵ㥦ㅤ㘳ㄲ捤㡢㌵ㄷ㈱㌸㝥〱㡤搹㐰㈱敢㌱㐲〴〷㔰㘰㔳挰ㄲつ挹㉢㡦㔶㠰㔷昸昳㘳ㄱ㔲昰㘲戵㠶捥敤攱攵㌰㜷㠹戹て㠷挰捦敢㐸昸㝡攰挵㘲ぢ挹㙢〹㤳戰敡愲㠲搷㠱昰昶捣㡢搵ㄹ戸攲昳㘹㑣愲㜹戱㐴㐳㑦搹戳㝥㌵㐱㘳㌶㔳挸昲㡤㄰㐱ぢ〵慤ㄴ戰愲㐳昲㕡㠶㤶㥦ㄷ㍦攰ㄷ戲㝥戵㐱ち㕥㉣敥搰戹㍤扣摡㤹㥢ㅦ㥡ㄷ㉣挴昰昳㘲昵㐵て扣㔸㥢㈱㜹慤㘰ㄲㄶ㘹㔴昰㕡〵㙦捦扣㔸捣㠱㉢づ摤㌳㠹收挵㡡づ㍤㘵て慦㠳愱㌱て愱㤰搵ㅥ㈱㠲㕦㔲㜰㈸〵ㄷ㐲㈰㜹晤ち慤〰慦昰晤搷攱㤰㠲ㄷ㙢㐱㜴㙥て慦㈳㤸晢㐸收㘶摤㠶㥦ㄷ㡢㌵㝡攰挵㔲づ挹敢㘸㈶㘱㑤㐷〵慦㘳攱敤㤹ㄷ㙢㍦㜰挵攷散㤸㐴昳㘲〱㠸㥥戲㠷搷㙦愰㌱㡦愳㤰挵㈱㈱㠲攳㈹㌸㠱〲搶㡢㐸㕥㈷愲攵攷挵て㕤㠶慣㕦扦㠵ㄴ扣㔸㍡愲㜳㝢㜸㥤捣摣愷㌰㌷换㍣晣扣㔸摢搱〳㉦㔶㝥㐸㕥愷㌱〹㑢㐰㉡㜸㥤づ㙦捦扣㔸㉡㠲㉢㍥换挷㈴㥡ㄷ敢㐵昴㤴㍤扣㝥て㡤㜹㈶㠵慣㈵〹ㄱ㥣㐵挱搹ㄴ戰扣㐴昲㍡〷㉤㍦㉦㝥㝣㌴㠴搷㜹㤰㠲ㄷ㉢㑤㜴㙥て慦昳㤹晢〲收㘶㔵㠸㥦ㄷ㑢㐱㝡攰挵㐲ㄱ挹敢㈲㈶㘱挵㐸〵慦㑢攰敤㤹ㄷ㉢㑢㜰挵挷〵㤹㐴昳㝡ㅤ㑢㝡捡ㅥ㕥㝦㠰挶㕣㐳攱ㅢ攱㠲换㈸戸㥣㠲㌷㈱㤰扣晥㠸㔶㠰ㄷ㍥㜰ㄹ挲敢㑡㐸挱㡢㠵㈹㝡㜰て慦慢㤸晢㙡收㘶ㄱ㠹㥦ㄷ㉢㐷㝡攰挵扡ㄲ挹敢㕡㈶㘱㠱㐹〵慦敢攱敤㤹ㄷぢ㔱㜰挵㐷ㄲ㤹㐴昳㘲㌵㡡㥥戲㠷搷㡤搰㤸㌷㔱挸㑡㤵㄰挱捤ㄴ慣愵㠰挵㉢㤲搷㉤㘸昹㜹昱㈳扤㈱扣㙥㠳ㄴ扣㔸挷愲㜳㝢㜸摤捥摣㜷㌰㜷つ愶攴攷挵㐲㤳ㅥ㜸戱っ㐵昲扡㡢㐹㔸㡦㔲挱敢㑦昰昶捣㡢㜵㉢㤸ㅦ㍥昶挸㈴㥡ㄷ㡢㔷昴㤴戱愸摦㙦晦ㄹㅡ㜳ㅤ㠵㉣㙣〹ㄱ摣㑢挱㝤ㄴ戰搶㐵昲扡ㅦ慤〰慦昰搷㕦て㐲ち㕥㉣㝢搱戹㍤扣晥挲摣て㌱㌷㑢㔴晣扣㔸㤷搲〳㉦㔶慤㐸㕥㡦㌰〹换㔷㉡㜸㍤〶㙦捦扣㔸收㈲㜹㍤捥㈴㥡搷〸㜸昵㤴戱愸㜹晤ㄵㅡ昳〹ち㔹〷ㄳ㈲㜸㤲㠲愷㈸㘰㘹㡣攴昵㌴㕡㝥㕥晣㤸㜵挸晡昵㌷㐸挱㡢㔵㌲㍡户㠷搷戳捣晤ㅣ㜳戳愲挵捦㡢㘵㉣㍤昰㘲㤱㡢攴昵〲㤳戰摡愵㠲搷㑢昰昶捣㉢㡤㙥㤲搷换㑣愲㜹戱㌴㐶㑦ㄹ㡢㥡搷㉢搰㤸慦㔲㤸つㄷ扣㐶挱敢ㄴ戰㤲㐶昲㝡〳㉤㍦㉦㝥㘰㍣㠴搷㕢㤰㠲ㄷ㡢㙡昴攰ㅥ㕥㙦㌳昷㍢捣捤〲ㄸ㍦㉦㔶扤昴挰㡢㌵㌱㤲搷㝢㑣挲攲㤸ち㕥敦挳摢㌳㉦ㄶ搱㐸㕥ㅦ㌰㠹收挵㑡ㅡ㍤㘵㉣㙡㕥ㅦ㐲㘳晥㠳㐲㔶搹㠴〸㍥愲攰㘳ち㔸㜸㈳㜹晤ㄳ慤〰㉦㝣昶㌹㠴搷愷㤰㠲ㄷ㙢㜰㜴㙥て慦捦㤸晢㜳收㘶扤㡣㥦ㄷ㡢㘴㝡攰挵ㄲㅡ挹敢㑢㈶㌹〰慤ち㕥㕦挳摢㌳㉦搶摣㐸㕥摦㌰㠹收挵挲ㅢ㍤㘵㉣㙡㕥摦㐲㘳晥㡢挲㘲戸攰摦ㄴ㝣㐷㠱〳㠱攴昵㍤㕡ㅢ晡㡥慦捡て昱㠷〰晢ㄱ㕡〰㘳捤㡥ㅥ摤〳散㈷㈶慦挲㠹〰挱晡ㅡ㍦㌰ㄶ搵昴〰㡣㈵㌷ㄲㄸ㡥ㄵ㔷㠹ㄵ㘸㔵〰挳㘷㜱搷〳搸㉡㜴㤳挰㙡㤹㐴〳㘳愱㡥㥥㌲ㄶ㌵㌰〳ㅡ戳㉦㠵㉣攲〹ㄱ搴㔱挰慦敢ㄲ慣敢㤱挰㈲㘸〵㔶㌰㝣散㍤㠴㔷㝦㐸挱㡢㈵㍥㍡户㠷搷〰收ㅥ挸摣㉣挷昱昳㘲つ㑥て扣㔸愱㈳㜹㔹㑣挲㔲㥤ち㕥ㅢ挰摢昳ち挶㤲ㅥ挹㙢㐳㈶搱扣㔸搷愳愷㡣㐵捤㙢㌰㌴收㄰ち㔹昳ㄳ㈲搸㠸㠲㡤㈹㘰ㄹ㤰攴戵〹㕡〱㕥攱㍢晣捤㈰〵㉦㔶〴改摣ㅥ㕥㥢㌳昷㔰收㘶昵㡥㥦搷㐵昰昵挰敢㘲㐸㈴慦㉤㤹㠴㤵㍤ㄵ扣㠶挳摢㌳㉦㔶〰㐹㕥㈳㤸㐴昳㕡〳慦㥥㌲ㄶ㌵慦㤱搰㤸㕢㔱挸ㄲ愱㄰挱搶ㄴ㡣愲㠰㔵㐳㤲搷㌶㘸昹㜹昱㉢㈲㐲搶慦敤㈰〵㉦ㄶ㄰改摣ㅥ㕥摢㌳昷づ捣捤㘲ㅦ㍦慦㕢攰敢㠱ㄷ敢㝦㈴慦ㅤ㤹攴㌶戴㉡㜸㡤㠱户㘷㕥㉣ㄸ㤲扣㜶㘶ㄲ捤㡢㔵㐳㝡捡㔸搴扣愲搰㤸㌱ち㔹㔱ㄴ㈲㠸㔳㤰愰㠰㐵㐶㤲㔷ㄲ㉤㍦㉦㝥搹㐵〸慦㌴愴攰戵捥㤳摢挳㉢挳摣㔹收㘶㙤㤰㥦ㄷぢ㠲㝡攰挵㜲㈱挹㙢㉣㤳戰㙥愸㠲搷慥昰昶捣㡢昵㐵㤲搷㌸㈶搱扣㔸㘴ㄴ㠲㘳㌷㘸捣摤㈹㘴〱㔲㠸㘰㍣〵ㄳ㈸㘰㑤㤲攴㌵ㄱ慤〰慦昰晤搷㘴㐸挱㡢攵㐹㍡户㠷搷ㄴ收㥥捡摣㙦㐰攰攷挵晡愱ㅥ㜸戱扡㐸昲摡㠳㐹㔸㘶㔴挱㙢㑦㜸㝢收挵㜲㈴挹㙢〶㤳㘸㕥慣㐹搲㔳挶愲㕥扦㘶㐲㘳捥愲㤰昵㑡㈱㠲搹ㄴ捣愱㠰㈵㑣㤲搷㕥㘸昹㜹昱ぢ㐸㐲搶慦戹㤰㠲ㄷ慢㤹㜴㙥て慦㜹捣㍤㥦戹㔹晢㈰攷扣㠰㉤㌵攷㕡㥥扦昶㥦㤶つ㥣㌲㤷㈳㤴㜸昲㝣㕥挷敡㈶ㄴ㉣㜰㤱愷㘹摤㈵㥥㜰㡥㐸ㅦ㑥ㅥ户戶攱㌴㔸㡤晦扢ㄴ捡㝤㥦挰挰晤〶晢扥愷㐲㜶㘳㠴攷收㙢慦晣㉥昸㕤っ攵晥㥣㜸攷㠷搶搹㠷ㄷ㘳ㅦ㑣㜱昰慣挶㐲㕢㙢㝢㙢愹㘳昸㍣ㄴ攳っ攷昷㝥㤴慡慡愲ㄳ㙡晦㠸㡣愱㘳昲㡥搵戴昰换ぢ㔷昰㜳昰㤱愵㉤慤㉢㕢攴㙣㙡摢昹昵㈷㤲㔷摦扥ㅣ㈶挲㜱㜸搹ち昰㉣㥥挷㘷㘷昳攷戰〳晡㔸㍣ㄱ㡥㙢㤵戱㉦摡愳㈶㑤㥣㌴户㈱㕤㡣愵ㅤ㍢㥦㡡㈷㑡昸挲捡㙣㉡㕢㈸愵昲㜶慣㤰挳㔷扢ㄴ愳改㤲戱㕦㔹ㅡ捤㐶攳㜶㈲ㄹ㡦㐷㥤㘴㌲㥥捦攴㙤㈷ㄱ㉢愵戲㜱扢㘰挷㌲搹戴挵㔳散㑣㙦敥㡦㍥收㈲ㄸ㡢㘷搶愵敢ㄷ㜴㌵搰挵昳散搲㐵㠱㤴搶㔶攳攵搱晡㥥晥㐶愷㉡㤱ㄷ〵㔱ㄴ㑥㑤摦扥㘲㤴敦㡢㍤〲愷捤换摦㡣㘰ㄸ㍣㙢㕥㝢〱㌰慦㕦愷捡㐷㤱㥤昹㈲捦㉣㜰摥㐵㤸㠸搵〷づ晡っ〷捤㐱㤳㈶㌶㔴㝥昵愴㔱㠲扢㍦摣戲㌲〰摦㘹搹㙥㉣㠶㘷㈰㍣㥥㌲㈱慢㐶㘵㌱㤷㈰㘸㡥攴ㄸ㈳㘰㠴〱扦㝣㙣㤷挲捦〵㜹慢㠳㤷摢㠳㌸ㅤ㜷㠴㙢㈱〲昸㠰㉡㈴㕣㡢挴㘹昰㜰㑤慡㕣ㄳ㑣㜴愲挲㙣㠵挵㥡㄰㐱㥢て㠲戱っ㙤㜷㑤㠸愷㑡挹㘸㌲㤱㡤攷愲昱㘴㌱㤶捡愶戳ㄹ慣ㅡ搹㔸㈹㤹㑦愶㘲㈵攳愰戲㌴ㅤ㉢搸㑥㉣㤱㠸挷昲挹㘴㉥㠵㔵愰㘸㈷昳愹㘴㉡㥥㡤㈷昲ㄹ挷敡愷搲㥢㙤攸㘳戶挳㔸晤戵慢㜳㑤ㄸ愰㕤ㄴ㐸愹戰攸挲㑤晣〶㜷㠱㡦ㄴ㤶㜱㐰㥡昱㠳㘱㈲搶㈰㌸愴㡦挴㑤昲㌵㠹搴摡㐰晢㝦㐵搷昶散戵ㅤ㡣ㄸっ扦㘴㜸〴晣㘵㠶ㅢ挱㉢ㄹ晥ち㐳〴ㄹ晥ㄲ摥㈰挳㡤搱〹㐹慡捣㘳㘰挱㜰ㄳ戴㈵挳㘳搱㜶ㄹ㘶㘲愵㐲㌶ㄹ捦㈵戳挹㑣㌲㥤㉣收散㘸搶挱㤷㈳㌹昰收ぢ挵戴昱敢戲戴㤰㐸㍡愹㝣㈶㥥捡挷㌲挹㔲㌴㙦攳ぢ㤴戲昱㠲㥤㈹ㄴ㥤㑣㈱㤷戲㌶㔵改捤摦愰㡦㜹ㅣ㡣戵㤹㜶㜵㌲摣㕣扢捡㉡戱㈵㕤戸㠹㌶㉦挳㤳㤹攵ㄴ㤸㠸㌵っ㐱㕣慢㑣ㅦ挳攱摡㝦㍡戵㔱㉡㜶㈶挳㤱㑣挶搶㤹昰㤷ㄹ㙥つ慦㘴戸㈴㤴㘱㈹㤴㈱㑦扤㈳㐹㤵㜹㉥㉣ㄸ㙥㠳戶㘴㜸ㅥ摡㉥挳㐴挲捥攴戲改㜴㈹ㅤ〳挷㜸㍣㕢捣㤵攲昱㔴㌴㕡㜰㥣戸ㅤ㑦ㄹ攷㤷愵愵㐴㈲㥦捥愵㥤㕣㌲㤵㐹挶ㄲ戹㕣㌲ㄳ捦愶㤳㠹㑣戶㤰捡㍡愹㥣挵ㄳ昸㑣㙦㕥㠰㍥收㠵㌰搶㜶摡搵挹㜰㝢敤㉡慢挴㡥㜴攱㈶昶昷㌲㕣挳㉣㤷挱㐴慣㥤㄰挴㌵挰㜰㡣昶㕦㐹㙤㠶㡡㌴㡣㠸㌲ㄹ㕢搷挰㕦㘶ㄸ㠷㔷㌲㥣ㅢ捡㜰慦㔰㠶㍣ㅤ㡦㈴㌸捥〹ぢ㠶㐹戴㈵挳ㅢ搱㔶っ㌳搹㝣㍡㤹㑥㈵ㅤ㈷㥡㉣㘶戳戹㑣㈱ㅡ㡦㘶㔲㤹㤸㤳㡣ㄶ散愴㜱㔳㔹㥡挶ㄷ㜸㐵攳搹㘸㌶㤷戶㤳㈵㍢㥦㉦㘱㔵㉤㌹愵㔸ㅥ㑦〴㑥捥戱㜸㔲㕦㌲扣ㄹ㝤捣戵㌰㔶㕡扢㍡ㄹ㘶戴慢慣ㄲ㘳改挲㑤㑣昵㌲扣㤳㔹敥㠲㠹㔸扢㈰㠸㙢㠰攱慥摡晦㘷㙡㜷愳㘲ㅣ㡣搸㡤挹搸扡て晥㌲挳昱昰㑡㠶扢㠶㌲ㅣㅢ捡㜰〲㍡㈱㐹㤵昹ㄷ㔸㌰㥣㠸戶㘴昸㄰摡㉥挳㌴㥦收戲挹㔲搱〶㤱㜴㌱㤵㉦攵㔳㌶捡ㄹ㜳搸㍥㔳㑥戱㘰㍣㕣㤶㈶㤲〹㙣摣挵㝣㌲㕦㉣㈴敤㘴㌱㡦敤㍡㔱㡡㘳㈷㔰挸愴㜳昱扣㌵㐹愵㌷ㅦ㐱ㅦ昳㔱ㄸ㙢戲㜶㜵㌲攴搹㝥㐹㥡〲㈹ㄵ㝢搰㠵㥢㠸㝡ㄹ㍥挵昸搳㌰ㄱ㙢㍡㠲戸〶ㄸ敥愹晤捦㔱㍢㠵㡡挹㌰㘲㈶㤳戱昵㈲晣㘵㠶戳攱㤵っ户〹㘵戸㜵㈸㐳㥥戶㐷ㄲㅣ戶㠳〵挳扤搰㤶っ㕦㐳摢㘵㤸㑣攷㥣〴搶戰㜴㍥㡡㤵㉢ㄹ捤ㄶ昱㘴攲愴㔳搱㘲㌱㤵㐸㘵昲挶敢㘵㘹ち扢挲㈴㌶摡㜴ㄲ㕦㥥㕤㡣㌹昹㑣㈱㥢㑢ㄴ戱捡㘲㈳㡦挷攲搶摥㉡扤昹〶晡㤸㙦挲㔸㜳戵慢㤳㈱㉢〰㈴㐳ち愴㔴㉣愴ぢ㌷戱㤹㤷攱摦ㄹ㝦ㅦ㈶㘲敤㠳㈰慥〱㠶㍦搳晥㡦愸㥤㐹挵っㄸ戱㉦㤳戱昵〹晣㘵㠶晢挳㉢ㄹ㕡愱っ〷㠶㌲攴愹㝣㈴愹㌲扦㠰〵挳㕦愰㉤ㄹ㝥㠹戶㘲㤸捣挵㜲㠵っ㔶扡〴㥥㕡戲㐹㙣愸搱㑣㈹敥攴昲〹㈷㥦㑥挵㡤慦捡搲㜸戶㔰㉣㌹〸㈵愲戱㘴㌶敢㘴昳搱㘸㍣㠱晤㘶戶㤸挷〶㕥戴ㅡ㔴㝡昳㙢昴㌱扦㠱戱づ搰慥㑥㠶戶㜶㤵㔵愲㐸ㄷ㙥愲挶换昰〷㘶昹ㄱ㈶㘲昱㤴㍦慥〱㠶㈵敤慦慥㐵㜰ㅥㄵ㜳㘱挴ㄲ㈶㘳慢ㄶ晥㌲挳〳攱㤵っ晦晤敦戰攷攵㙦攱つ㍥㉦㉦㐵㈷捣〱〷愳㤰ちっ㥢搰㤶っ㈳㘸扢っ㡢㠹㐲扥㠰ㄷ慣戱㐴㈶㥡捣攲ㄹ愶攰攴散㙣慡㄰㉦攴ち昹㔸戲㘸昴㉢㑢敤㘲㍡㥡㑥挷㤲㠹㈴愴戹㔸㌴㥢㉤愶㥣㙣㍣㤶戴愳㐵慥㤳㔶戳㑡㙦昶㐷ㅦ㜳〰㡣搵愲㕤㥤っ㔹㈹㈰搷㐳ち愴㔴戴搱㠵㥢昸㈷敥㐶昹戵捤㠶㡣て㠶㠹㔸㉣〳挰㌵挰戰㐳晢㌷愱㤶㕦㌶㘱晥ㅣ㐶慣㘰㌲戶㌶㠷扦捣㜰ㄵ扣㤲攱㍢愱っ摦ち㘵戸ㅡ㥤㈴挳㘱㐸〵㠶〷愳㉤ㄹづ㐷摢㘵ㄸ挵㙥戰ㄸ换攴㜲搸ㅣ㤳㌹㈷㙡㐷㌳戹㔲摡㡥㈶攲㠹㡣ㄳ㉢㐴㡤ㄱ㘵㘹摥挶㉡㥡㐹ㄴ愲㑥㈱㤵㡣收㡢昹㔴㌴㥥㉢挴搲㜹慣挱㤹㔴㉣㘶ㅤ愲搲㥢㈳搱挷摣ち挶晡愵㜶㜵㌲㘴昵㠰㘴㔸㔶㠹挳改挲㑤扣攰㘵戸㍤戳散〰ㄳ戱㡥㐰㄰搷〰挳㈳戵㝦っ戵㌶ㄵ〷挰㠸愳㤹㡣慤ㄸ晣㘵㠶挷挲㉢ㄹ晥㌵㤴攱㘳愱っ㔹〶㈰ㄹ愶㤰ちっ㝦㠳戶㘴㤸㐶摢㘵攸攰改挰戶戳㜶捣㑥攲戵㑤㌴㥥挷敢扤㐴づ捦㉢㐵㍣ぢ㈷昳〹㈳㔳㤶收㙤扣㜸捣搹搸㉤摡戱㈴㕦㐷㘶ㄲ㜶㌶㥢挶㡢㈳晣慣㐰摣㉥㕡挷愹昴㘶ㄶ㝤捣ㅣ㡣㜵扣㜶㜵㌲㍣㐱扢㈸㤰㔲昱㕢扡㜰ㄳ昷㝡ㄹ敥捥昸㜸㤸㠸挵㜲〱㕣〳っ㑦搱晥挹搴㉥愱㠲㕦愰㈱㑥㘳㌲戶愶挱㕦㘶㜸㍡扣㤲攱㙤愱っ㙦〹㘵挸搲〰挹㜰〶㔲㠱攱敦搱㤶っ㘷愲敤㌲〴㡦㙣㍣㕤㜲㘲ㄹ扣昹㠸㈷戸㝤㐶敤㝣摡挹㈶㤳改㘸扣㔸㌴㘶㤵愵戹愸ㅤ㡦ㄷ昰㠲㌰ㅥ㉤㈴搳㜸㝡㡥攷散㕣愱㔴挸㘵攳㑥㌲㤶㑥㕡㘷慡昴收㙣昴㌱攷挰㔸㘷㘹㔷㈷挳戳戵㡢〲㈹ㄵ攷搱㠵㥢戸摡换㜰〱攳ぢ㘱㈲ㄶ㑢〸㜰つ㌰扣㐰晢昷愵戶㤵ち㝥捣㐴㕣挴㘴㙣㉤㠲扦捣昰ㄲ㜸㈵挳㑢㐲ㄹ㕥ㄴ捡昰㔲㜴㤲っ㙤愴〲挳㍦愰㉤ㄹ收搱㔶摢㜲㉥㡤ㄷ挹搱㘲慣㔸戲昱㍥〵敦攴搳挹ㄸ㕥㉦收㑢㌹㈷㙢㘷ㅤ愳㔰㤶ㄶ搳㠹㈸㥥扦㜳㐹〷㙦ぢ㤳㠹愸㥤挳㑢ㅢ扣㍣捣攱㌹㍤㤷㐹㘶㉤ㄶㅤ挸慤戴㠸㍥愶〳㘳㕤愶㕤㥤っ㔹㜹㈰㔵ㄴ㤸㤴㡡㉢改挲㑤晣摥换㜰㈹攳㑤㌰ㄱ敢㉡〴㜱つ㌰扣㕡晢㤷㔱扢㠲㡡攵㘴㜸㉤㤳戱搵捥昴昴昰㜶㍤扣㤲攱㠹愱っ㡦て㘵㜸〳㍡㐹㠶㉢㤱ちっ㙦㐴㕢㌲㕣㠵戶换㌰攵㘰晦㔶㜲昲愹㌴摥晣ㄶ㑢〹㍣㑢攷昱㕥㈵㥤捡㘶昳戸搸挶敡戲ㄴ慣搳㠹㐲戲㔰㡡愶㜲㜸㝤㔸捡㈶㡡戱㙣戱㠸㕤㘲扥㠸㈳㈸戶挵㐲〴㐹攷㘰昴㌱て㠱戱㙥搶慥㑥㠶慣㐶愸㔴㠹摢攸挲㑤ㅣ敥㘵㜸〴戳ㅣ〹ㄳ戱㙥㐷㄰搷〰挳㍢戴晦㔸㙡て愵㠲摦〴㈲敥㘲㌲戶㡥㠳扦捣昰㑦昰㑡㠶㉢㐲ㄹ㜶㠴㌲扣〷㥤㈴挳㤳㤰ちっ晦㡣戶㘴昸㕢戴㕤㠶㠵㐴㈹㥦㈸㈴ㅣ摢挶扡挵ㄷ㝡〹㈷㔳㑡㘱㈹收愴㌳昹㜸搶㌸戹㉣挵ㄶ㥦㡦愵ち搱㔲慣㤰挱㘶㕦捣㈵ㄲ㜸挵㥤㑥挴㘲改㙣㉣㤷戵慤㜵㉡扤㜹ち晡㤸愷挲㔸昷㙡㔷㈷挳晢戴㡢〲㈹ㄵて搲㠵㥢㌸搰换昰㑣挶捦㠲㠹㔸㉣㍦挰㌵挰昰㈱敤㍦㡦摡愳愹㌸㡡っㅦ㠱㕦㌲扣㄰晥㌲挳挷攰㤵って〸㘵昸㡢㔰㠶㡦愳㤳㘴㜸㈹㔲㠱攱㕦搱㤶っ晦㠰戶换㄰㉦ち搳㤹㑣愹㤰㠸㘷㡡㜸愲挸㘴㑢搱㐲㈲㤵㐸㘴㤲挹㐲㌶攵㌸挶㥡戲戴㤸㠹㤷㜰㤰㈱㕦挰㥢收㘴㍣㔳捡挶㑢昹㕣㌶㥡㠹ㄶ攳散㥥戲㔸戰㈰搷戰换搰挷扣ㅣ挶㝡㔲扢㍡ㄹ㍥愵㕤ㄴ㤸㤴㡡扦搱㠵㥢㤸敦㘵㜸つ攳搷挲㐴㉣㤶㈴攰ㅡ㘰昸㥣昶摦㐸敤〹㔴ㅣ㑦㠶㉦㌰ㄹ㕢㙢㤹㥥ㅥ摥㕥㠲㔷㌲摣㌳㤴攱ㅥ愱っ㕦㐶㈷挹昰㜶愴〲挳㔷搰㤶っ敦㐰摢㘵㤸㑦ㄷ㙣ㅣ昷㡡挵㘲㠵㔸㌲㘶攳㘰㡣ㄳ攵㥢攷㙣㈱㔶挸㈷㜱摣收捥戲搴㑥挶㜱㜰㉣㠹户㌱㌱扣㤸挹ㄵ敤ㄸ㕥㐹ㄶ戳づ摥搶攰慦ㄴ戵㔸挴㈰ㄹ摥㠵㍥收摤㌰搶㙢摡搵挹昰㜵敤愲挰愴㔴扣㐵ㄷ㙥㘲㌷㉦挳晢ㄸ扦ㅦ㈶㘲扤㡤㈰慥〱㠶敦㘸晦㐳搴㥥㐶〵扦搲㐴扣挷㘴㙣㍤捡昴昴昰昶㍥扣㤲㘱㌲㤴㘱㍣㤴攱〷攸㈴ㄹ㍥㠱㔴㘰昸㈱摡㤲攱㤳㘸扢っㄳ愹㘲㌱ㅦ㉢㈴昰㉣㠲㌷挱改㤴㡤㔷㌵戹㑣㈹㠷㘳㕢㈵㙣慡㔹攳愹戲㌴㡦㕤㘰㉡㤹挷慢散㜴㌱㤹㉡㈶㜲㐵扣㔳挶㈱㐵ㅣ㔳挴搳㑤愲㘴晤㐳愵㌷㥦㐶ㅦ昳ㄹㄸ敢㈳敤敡㘴昸戱㜶㤵㔵攲㔳扡㜰ㄳ摢㜹ㄹ扥挸㉣㉦挱㐴慣捦㄰挴㌵挰昰㜳敤㝦㡤摡戳愹攰户愲㠸㉦㤹㡣慤㌷攱㉦㌳晣ㅡ㕥挹㜰换㔰㠶㐳㐳ㄹ㝥㠳㑥㤲攱扢㐸〵㠶摦愲㉤ㄹ扥㠷戶换搰㐹攴㜳㜸㥦ㄷ挳㥢㄰㈷㔹㠸挵㜲㈰㠲㐳㌷戹㠲㥤㑤攴愲㜸慦昷昷戲戴㘸㜳〷㘹攳㤰㔷戶㠰㘳昲昹慣ㅤ㑦攷㥤㘲ㅣ㙦㥡㜳㜶㌱㔵戰晥愵搲㥢敦愳㡦昹〱㡣昵㙦敤敡㘴昸㥤㜶㤵㔵攲㐷扡㜰ㄳㅢ㜸ㄹ㝥挲㉣㥦挲㐴慣㥦㄰挴㌵挰㤰昷㑥晡扦愴昶㈲㉡㉥㠴ㄱ戲㘶㠱慤㙦攰㉦㌳㘴捤㠲㘴㔸ㄷ捡搰〸㘵㔸㡢㑥㤲攱㜷㐸〵㠶〶ㅡ㤲攱昷㘸扢っぢ昱㙣〶挷扢㑡挹㕣ㄶ慦戱戳搸戰㤳㜸㠶挹㘴㌳㜶戶㤴捥㈵㑢挶て㘵㘹扥㤴㈹愴戰戹愷ち㌸〶㥢㑤挷㙣扥㌶㉣㈶㘳戱㈸㥥㤰㤰挳敡慢搲㥢㍦愲㡦昹ㄳ㡣㔵愷㕤㥤っ㔹〴㈱户㜸ち愴㔴戰扣㐱㌲晣晥㕦㥥昷㝡戵〶攲〶㑣挴㘲㠵㐳ㄸ㐳ㄶ㍤㐸㝦㠴㕡㝥㥢㡡㜹ㄹㄹ㕡昰换昵㜰〰晣㘵㠶ㅢ挰㉢ㄹ㝥㡥㘱㠲挷戱㍦㠵㌷昸㝥㜹㐳㜴挲ㄵ扦㤴㠶㔴㘰㌸ㄸつ挹㜰〳戴㕤㠶㌸ㄲ㤳㐹㤵昰㐴㤲㉡㐶㤳㌶㕥捦ㄴ昰㈶㉦㕢戴㜳戱㜸扡㠰㤵捤搸戰㉣㡤㐱ㄲ㡤攲扤ぢ㕥㔱㈷昹㠶扡㠸㔳〰〵㍣㌱㈷㥣㘸ㅥ㉦㌳㉤搶㐴㐸㍡㠳搱挷ㅣ〲㘳㙤愴㕤㥤っ㌷搶㉥ち㑣㑡〵㑢ㅥ㈴挳昷扣っ㌷㘷㝣㈸㑣挴㘲搵㐳ㄸ挳愱摡㍦㥣㕡㝥㈱㡢挹慦㜷ㄱ㕢挲㉦ㄹ㙥挵昴昴昰㌶ㅣ㕥挹昰㤵㔰㠶㉦㠵㌲ㅣ㠱㑥戸攲㈳㘲㐸〵㠶慣㘶㤰っ户㐳摢㘵㤸㐵愹㔰戱㘰攳㉣㑡㉡㥥㑣搸㔱慣㕣昱㐴慣㔸挴㌳㐶慡㠰㤷㍤挶昶㘵㘹㌱㤷㉤攰〰愲㥤㑥攲㍤㑤ㅣ慦㠶㜰戸〶㝤愲ㄹ挷㑥㈴昰愲摢㘲㥤㠴㘴戸〳晡㤸愳㘱㉣㤶㐷㐸㔷㈷挳㔱摡㐵㠱㐹愹搸㡥㉥㌰ㄲ㑦㝡ㄹ挶ㄸ㡦挳㐴㉣㔶㐲㠴㌱㘴㜱㠴昴愷愹㕤换扢㝡㌳㘹挹㝡〷戶㜲㑣㑦て㙦慣㜷㤰っㅦっ㘵㜸㝦㈸挳㥤搱〹㔷ㅣ摣㐵㉡㌰㡣愲㈱ㄹ敥㠶戶换搰挶昳〷㥥㔳昱〲〷〷扥昰㍣㤱㡢㘲愳㡥ㄶ昲㜸㠶㑥攰㐰㙣摡搸扤㉣挵㌹慢㜴㈱㥡挱㑢㙢ㅣ㘸㉣搸㠹㕣扣㠸挳戶㌸㈷㠵昳〰㠰㥦戰㔸㍢㈱㠱㡤㐷ㅦ㜳〲㡣ㄵ搷慥㑥㠶〹敤愲挰愴㔴愴改㈲挳㍢扣っ愷㌱扥〷㑣挴捡㐰㄰挶㤰〵ㄳ搲㍦㤳㕡㝥㉤㡣挹㉦㤹ㄱ戲〶㠲慤㌹㑣㑦て㙦扢㐲㉤ㄹ㕥ㅦ捡昰摡㔰㠶攳搰〹㔷ㅣ㔹㐳㉡㌰摣つつ挹㜰㍥摡㉥挳㍣㑥愷ㄴ㜲㜶㈱㕢㑡ㄵ㤲㌱㙣㤴挵㔸愱ㄸ㜷㘲づ㡥て攲㌵㑥捥㔸㔰㤶ㄶ〱捦㐹愴昰ㄶ㌹㤵㑡摡㠹㠲㕤捡攰戸㘱㌴攵攰㜹㥡捦㌷ㄶ敢㈹㈴挳㠵攸㘳敥〳㘳㡤搷慥㑥㠶ㄳ戴㡢〲㤳㔲挱㜲〹挹昰て㕥㠶㡢ㄸ晦〵㑣挴㥡〲㐱ㄸ挳愹摡㥦愷昶㍥摥搵㝢㐹㙢て昸㠹捤㜴㤸㥥ㅥ摥㔸ㄷ㈱ㄹ㥥ㄳ捡昰慣㔰㠶㌳搰〹搷㉡戳ㄱ愹挰㤰㤵㄰㤲攱㠱㘸㉢㠶㑥㈹㥥㡣攳㜸㈱づ㌵㈴昱攲て㈷昵㜲昱㜸㈶㠳户㝢戹㘲㉣敡ㄸ㑢换搲㘸戱㠴㈳㡡ㄹㅣ㉡㑣攳㠸㑥㍡㠱搷㠶㔱㥣㐲㠸愵昱慡ㅣ攷〲ㄲㄶ㙢㉣㈴挳㈶昴㌱㥢㘱㉣㤶㔶㐸㔷㈷挳㌹摡㔵㔶㠹戹㜴㠱㤱昸慤㤷㘱㍢戳㜴挰㐴慣㜹㄰㠴㌱㥣慦晤慢愸㝤㠴㜷㤵㕦㜵㘳戱挴〲㔷扣攱㠴㝦㐰㥦㕡㔶〹散攲㍢㥤ㅥ晥捤ㄶ愳晤㍦㌱㌲〵㍦ㄹ挲㐲挲慡㍥昸㐸扦晢㐱昸㥡敡戱晦㔹㉥㥥戰攷昷㘰昰㔶㝢㌴敥敢晦㈱て搷㡡捥㐲っ㘶ㅣ㠶㥢㜹㈸敥㜰敤晥戸扢搱戰㈹㜶昷愳㡥攸㔸㌵愴㜹㝡㍢㑥收攳挷㐱攷户㑥㈸晦戲攴㈰㝤㤲㝦戴晥攵㡢㔱㥤㥥〹昹㜶㝣㠷㑡㠷愳扢捤㘹㉢昷挳㉦㐹愰愸〳㠱搱晣㥤㡣㈱㥤㉤捦ㄷ〹㙣摥改㥤摥搲㡥摦㜴㜱㡡㍡㘳㍢㍥㘵㕦㔳摤㐷㠴㝥户㠷晡つ㐹㝥㜳〰戳攱㔷㕤愶ㄷ〹㘰昳㤰慦㔱㤸搸搸㈱扦㠶㘴㈸攲挲㘴㠵㠸㜱ㄸ㌱㡤摢㝡攲搶戱摡挳昱㌸慣昷㄰㤵搴㌹㈰㔷㡤㠸㜹〴昲㠹㐵挸㑣昴挲㘴㘹㠹㜱㤴ㅥ㈳㉥㝥㠹㌱㌸づ搷㘱㝣昹㈵挵摣㈰戴㑢戰㝣㠴つ㈶慢㘷ㄵ〶㕥㙥㔵㐱攵扤㝣扡扢㙡㡤㜷晦搷愹晦搶昸㝡㤶㙣挸ㅥ㡢挴㠸搳㈶搴扥㜱搸㠵㥦㕤戹换愸昳慦晢㐹晤㍦捣敤昱㜳搵㈳㌷㕥㉣㐱㡦㔱昰㥡㙦搲扣㐵昳㌶㡣㔸㠹㐹扣㠴㉦㔸〸晣攲挲ちㄵ昰晦攲㠲戵ㄴ㤹㜰挵㍢㕣捣㜷㐰ㅦ搱㡡〶㌷㌷搱㠱ㅥ㕣挷〹挹㍣㠹㜷戹つ㙥㤷て㙢㌳㡣㤳攱㜳ㅦ〳戱っ㍡㝤晦㈳收愹ㄴ户㤷挵慣捥㌰㝥愷挵㜱搱愴挴㉥捣㌳㄰愸㘷ㄹ㐵敦㤰戱收愲㜷挸㝥㠵ㅥ㘱挸ㄶ㘳㍡愱挸㑡㉡攰晦㡤〶敢〸㘴挲ㄵ愵〲㤸㍢㤰ㅤ㠳㠶㐴㔶㐴㡦㌲戲昳㐹攱㌷〸戹挸㔸㡡㘱㕣搸㐹攱㠰ちちㄷ㔳捣㑡ち㔷捣㘲っ攳㔲㉤㡥㠹晤㤵搸㕤㔹搷㈰㔰㝦㌲㈴扤㐳挶ㄲ㡢摥㈱㍢ㅤ㍤挲㤰敤愳挸〴搶戲㠵㉡攰晦㔵〷㡢昵ㄹ戸㔶㤹㔷㘱敥㐰挶㈲ぢ㠹㙣㍥㝡㤴㤱㕤㐳ちㄷ㈰攴㔲㌸て㑢挶㜵㥡㐲㕣散愵㈸戸㉢捥つㄴ戳㜰挲ㄵ㥦㑦昱㑤㕡ㅣㄳ㌳㤵搸㐵戶ㄶ㠱晡㌵㤰昴づㄹ㉢㉡㝡㠷㡣挵ㄵ㘱挸愶㈹㌲〱㘴㔳㔵挰晦㍢㄰ㄶ换㌱㜰挵㉢㌳捣ㅤ挸㔸㔳㈱㤱㑤㐶㡦㌲戲扢㐹攱㘶㠴㕣ち㌷㘲挹戸㐷㔳㠸㡢昱㡡㠲㡢㙣ㅤ挵慣㤳㜰挵㌷㔱㝣㥦ㄶ挷挴慥㑡散㈲㝢〰㠱㝡搶㐴昴づ搹㕤扡挷㝡敦换晥㡣ㅥ㘱挸㌲㡡㑣〰㔹㕡〵晣扦ㅣ㘱戱晡〲㔷ㅣ㔶挲摣㠱㡣㈵ㄴㄲ㔹ㄲ㍤捡挸ㅥ㈷〵㤶㍢戸ㄴㅥ挲㤲昱㐴㈷㠵㘸〵㠵愷㈸㘶搵㠳㉢㘶㘵㠵昱㡣ㄶ挷挵㡥㑡散昲㝤ㄶ㠱㝡㤶㐰昴づ搹搳扡挷㝡㈳㝢づ㍤挲㤰㙤慢挸〴㤰㙤愳〲晥摦㥡戰㕥㐴㈶㕣昱つ攲㤸㍢㤰扤㡡㠶㐴戶㌵㝡㤴㤱扤㑡ち㙦㈰攴㔲㜸つ㑢挶敢㥡㐲㑣っ㔷ㄴ摣ㄵ攷㑤㡡㔹攴攰㡡㔹㐸㘱扣慤挵㜱㌱㔴㠹㕤㘴敦㈲㔰捦㡡㠷摥㈱㝢㕦昷㔸㙦㘴慣㤴〸㐳戶戱㈲ㄳ㐰戶㤱ち昸㝦㥤挲晡〴㤹㜰挵㠷㥣㌰㜷㈰晢〲つ㠹㙣㌰㝡㤴㤱㝤㑣ち㉣㔳㜰㈹㝣㠹㈵攳㤳㑥ち㔶〵㠵捦㈸㘶搱㠳㉢㘶摤㠴昱㠵ㄶ挷㐴㝦㈵㜶昹㝥㠵㐰晤て㤰昴づ搹㡦扡挷㝡㈳慢挶〰㘱挸晡㉡㌲〱㘴㠶ち昸㝦捦挲慡㐵㈶っ㡦㡦㌱㘱敥㐰挶㝡〸㠹慣〶㍤捡挸㝥㈰〵搶㉥戸ㄴ㔸㈴㘱晣搴㐹愱慡㠲〲㝦㠶㕡戰㠴挱ㄵ戳㑣挲攸〳㥦㝣㐵ㄲㄷ摦㝦敢㝤挵㔶㡢㐰㍤敢ㄹ㜰敤挵敢㌲ㄶ㍦挸ㅥ敢㡤㡣㜵㄰愳㜸㐷㝤慦换扥挱㜴㐲㕦㘴㝣慤〲晥㕦挰戰㔸㌹㈱㤱昵挳摣㠱㙣ㄸ摡ㄲ搹㤷攸㔱㐶㌶㠰ㄴ㔸㠴攰㔲ㄸ㡥㈵愳扥㤳挲愷ㄵㄴ〶㔱捣㤲〶㔷㍣㠲攲つ戵㌸㈶㍥㔲㘲㜷㉤ㅢ㠲㐰㍤换ㄷ㜰敤〵㌲搶㍡挸ㅥ敢㡤㡣㘵て愳㐲㤰晤㕤㤱〹慣㘵敦愹㠰晦㌷㌳㉣ㄶ㑡㐸㘴㥢㘳敥㐰挶㙡〷㠹散ㅤ昴㈸㈳摢㠲ㄴ㔸㤹攰㔲㘰〹㠴㌱慣㤳挲ㅢㄵㄴ㐶㔰捣〲〵㔷捣㈲〸㘳㉢㉤㡥㡢㔷㤴搸摤㤷㡤㐲愰㝥㜷㐸㜰敤〵戲昱扡挷㝡㈳㥢㡣ㅥ愳㐲㤰㍤慦挸〴㤰㍤愷〲晥㕦搹戰㔸ㄷ㈱㤱㡤挶摣㠱㡣挵つㄲ搹摦搰愳㡣㙣㈷㔲㘰㈱㠲㑢㠱ㄵて挶捥㥡㐲㑣㍣愹㈸戸㉢㑥㡣㘲搶㈳戸㘲搶㍣ㄸ〹㉤㡥㡢挷㤴搸㐵㤶㐲愰㥥挵〹戸昶〲ㄹ㉢ㄹ㘴㡦昵㐶挶愲㠶㔱㈱挸晥愲挸〴㤰㍤愸〲晥摦攵戰㔸〶㈱㤱敤㠲戹〳㤹㡤戶㐴㜶㍦㝡㤴㤱㡤㈳〵ㄶㄳ戸ㄴ㔸攰㘰散慥㈹挴挴㥦ㄵ〵ㄷ搹〴㡡㔹㝥攰㡡㔹攲㘰㑣搲攲戸戸㑢㠹㕤㘴㔳㄰愸㘷㉤〲慥扤㐰挶挲〵搹㘳扤㤱戱㠶㘱㔴〸戲㕢ㄵ㤹〰戲㕢㔴挰晦㑢ㅥㄶ慢ㅥ㈴戲ㄹ㤸㍢㤰戱㜴㐱㈲扢ㄹ㍤捡挸㘶㤱〲换っ㕣ち慣㘷㌰收㜴㔲戸扥㠲挲摥ㄴ戳ㅣ挱ㄵ戳愲挱㤸愷挵㌱㜱戵ㄲ扢㝣ㄷ㈰㔰㝦〴㈴戸昶〲ㄹ敢ㄴ㘴㡦昵㐶挶㤲㠵㔱㈱挸㉥㔷㘴〲挸㉥㔳〱晦㙦㝦㔸㉣㜲㤰挸昶挳摣㠱㡣㤵ちㄲ搹ㅦ搰愳㡣㙣ㄱ㈹戰慡挰愵挰昲〵愳愱㤳挲㐵ㄵㄴ㙣㡡㔹㕣攰㡡㔹挰㘰ㄴ戴㌸㉥捥㔳㘲㜷㉤㜳㄰愸㘷愵〱慥扤㐰挶戲〴搹㘳扤㤱戱㐲㘱㔴〸戲㌳ㄵ㤹〰戲摦慢㠰晦搷㐲慣ぢ㤱㐹㈲㕢㡡戹〳ㄹぢㄳ㈴戲搳搱愳㡣慣㤹ㄴ㔸ㄹ攰㔲㘰戵㠲搱慡㈹挴挴㈹㡡㠲扢攲ㅣ㐴㌱㙢〹㕣㌱敢ㄵ㡣㜶㉤㡥㡢ㄳ㤵搸㐵戶ㅣ㠱㝡ㄶㄶ攰摡ぢ㘴慣㐲㤰㍤搶ㅢㄹぢㄲ㐶㠵㈰晢戵㈲ㄳ㐰㜶慣ち昸㝦㕦挴㘲〹㠳㐴㜶〸收づ㘴慣㐳㤰挸㡥㐶㡦㌲戲㐳㐹㠱㠵〰㉥〵ㄶ㈷ㄸ㠷㘹ち㌱㜱戸愲攰㈲㍢㠲㘲㤶づ戸㘲㤶㈷ㄸ㐷㘹㌱㡥愴㈹戱㡢散ㄸ〴敡㔹㐷㠰㙢㉦㤰戱攸㐰昶㔸㙦㘴慣㍦ㄸㄵ㠲㙣愵㈲ㄳ㐰戶㐲〵晣扦㐸㘲戱㘲㐱㈲㍢〱㜳〷㌲㤶ㅤ㐸㘴ㅤ攸㔱㐶㜶ㄲ㈹昰攴扦㑢㠱戵〸挶挹㥤ㄴ㤶㔵㔰㌸㤵㘲㤶ㄲ戸㘲㔶㈳ㄸ扦搳攲㤸㘸㔲㘲㤷敦ㄹ〸搴戳㙣〰搷㕥㈰㘳㡤㠱散戱摥挸㔸㙥㌰㉡〴搹㘲㐵㈶㠰慣愴〲晥摦㌰戱摥㐴㈶㠹散㕣捣ㅤ挸㔸㘵㈰㤱ㄵ搱愳㡣散㝣㔲攰戹㝥㤷〲㑢て㡣ぢ㌵㠵戸㌸㐰㔱㜰㔷㥣㡢㈹㘶攵㠰㉢㘶昱㠱㜱愹ㄶ攳㜸㤹ㄲ扢挸搶㈰㔰捦㉡〱㕣㝢㠱㡣㈵〵戲挷㝡㈳㘳㜵挱愸㄰㘴晢㈸㌲〱㘴ぢ㔵挰晦慢㈷ㄶ敢ㄱ㈴戲慢㌰㜷㈰㘳㔱㠱㐴㌶ㅦ㍤捡挸慥㈱〵ㄶ〰戸ㄴ㔸㘹㘰㕣搷㐹㘱慦ちち㌷㔰捣㍡〰㔷捣㕡〳攳㈶㉤㡥㡢㤹㑡散昲㕤㡢㐰㝤㉤摦㝢昵ちㄹ㉢〸㘴㡦昵㐶挶㘲㠲㔱㈱挸愶㈹㌲〱㘴㔳㔵挰晦㍢㈹搶〰㘴㤲挸敥挴摣㠱㙣㄰摡ㄲ搹㘴昴㈸㈳扢㥢ㄴ㜸ㄲ摦愵挰挲〲攳ㅥ㑤㈱㈶挶㉢ち敥㡡戳㡥攲㈱㘵昱㠶ㄴ摦愷挵㜱戱慢ㄲ扢挸ㅥ㐰愰㝥㜳㐸㝡㠷㡣〵〳扤㐳㌶ㅣ㍤挲㤰㘵ㄴ㤹〰戲戴ち昸㝦㔹挵摡ち㤹㈴戲㐷㌱㜷㈰㘳挹㠰㐴㤶㐴㡦㌲戲挷㐹㠱攷散㕤㘴慣㈳㌰㥥搰ㄴ㘲㈲慡㈸戸挸㥥愲㜸㜴㔹捣㑡〲攳ㄹ㉤挶昱㌲㈵㜶㤱㍤㡢㐰㝤っ㤲摥㈱㘳㝤㐰敦㤰戱㔴㈰っ搹戶㡡㑣〰搹㌶㉡攰晦㉤ㄶ㡢挵〵ㄲ搹换㤸㍢㤰㡤㐳㕢㈲摢ㅡ㍤捡挸㕥㈵㠵昱〸戹挸㔸㌶㘰扣慥㈹攰㜸㤹愲攰㈲㝢㤳攲〹㘵昱敥ㄴ扦慤挵㌸㕥愶挴㉥戲㜷ㄱ愸攷ㄹ晥摥㈱㘳㌹㐰敦㤰戱㌲㈰っ搹挶㡡㑣〰搹㐶㉡昰㤶敦搷㕢慣㌹挸㈴㤱晤〳㜳〷戲㜹㘸㑢㘴㠳搱愳㡣散㘳㔲攰ㄹ㜹ㄷㄹ慢〴㡣㑦㌴㠵㤸戰ㄴ〵ㄷ搹㘷ㄴ昳ㅣ扥㉢㕥㐰昱ㄷ㕡ㅣㄷ晤㤵搸㐵昶ㄵ〲昵㡢㈰改ㅤ㌲㥥晤敦ㅤ㌲ㄶ〲㠴㈱敢慢挸〴㤰ㄹ㉡攰晦扤ㄷ换㐱㈶㠹散㍢捣ㅤ挸㜸晥㕦㈲慢㐱㡦㌲戲ㅦ㐸㠱㘷攱㕤ち㉣ち㌰㝥敡愴㔰㔵㐱㐱搴㐱摣㕣ㄶ㉦愵戸て㝣敡っ摥昷摦㜸捦攰搵㈲㔰摦づ㐹敦㤰昱㘴㝦敦㤰昱扣㝦ㄸ戲㙦㌰㥤昰攳㘵㉡㄰昸㠵㤸㐳㤰愹愷㕦㠸攱㌷ㅡ㌸敤昲㔷㑣敡昱㥣㔳㕢攲㜷㌰昴㉢戹㙥㥥摣挷户㌰㌴㌶㌵挹㉦㌰攸㡦ㅦ㜴㘸㕢敡戴捤挴敦㤶攰㘷ㅣ昰摢昶敡ㄳ昴昸㍤ㄳ㝥㍦扥晥挹〰㔳戶搸搹㈸捤㘹挳㙦〸昴㉤㑤㙦挷敦捤ㄴ敢㥡昷戲㍢㍡㥣戶㤶晦㠵㕦㝢挰㔷㑡昰ぢ晤㜰㜱㝦攷㈱昴摢ㅣ昸㌵つ愱㘷搲㈵戱㌱㥤㍣㘶攲㤷㐸㔸戱㔰捤摦㠱昸捦㝥㝡挶攸㠷㔵㑣晦戲㐹搱昳换㈶㌵攲㑢㍣挴㙥㙤攰攱㔵㍦㜱捡㍣㐹㙦づ㠰摥ㄸ〸搳㘷㐲㝢戳慣愹㠱㠹㤸昵昰挸㙦昵㤰愶慡昶㔰慣〶晥㍢挷敦搷攰搷愷㔵搵慥㙣㉣㜶㉣㌱㤶㌸㡤㡢㤷㜴攰㝢㌴晡昱ㅥ敢㑢捤ㄱ攸摡㕤昹〱昷㈶㝤㥢ㅢ散戶㌶㝢㜵㕤㜳㐳㤳搳戲戸㘳㐹㕤挳ち㔴㕢攰ㄷ㔹戰摤搵搵搵㤹㠳㌰ㅦㄷ㌴㌶户㘳㤰㤱㔹捤つ扣摥ㄳ攰攱摡㙡ㄲ㐱㡤昸㈸昴敥づ攱晤攲摤敤扣慢ㅢ搳挵㉦㌰㜱敦慡㌸〹㌹㜸㜷昵㐵㥣㡡㠶ㅣ㙥㔳㈸换㤳㌸㐳㝢㌷昳㝡捦㠵搷㌳㠹㜷㐲㈷戱〵㐷慣㥣挴㌰摦㈴捥㐷㥥㡡㐹㕣慣㠷ㅢ攱ㅤ㙥㡤昶㡥昴㝡慦慡㥣挴㉢愱㤳ㄸㄵ㥣挴戶扥㐹㕣攳㥦挴つ㝡戸敤扤挳慤搵摥ㅤ扣摥㍢㉢㈷昱户搰㐹散ㄴ㥣挴捥扥㐹摣敤㥦挴㍡㍤㕣捣㍢摣〳摡ㅢ昷㝡ㅦ慤㥣挴㘳愱㤳㐸〵㈷㤱昱㑤攲㜱晦㈴㥥搲挳攵扣挳㍤慢扤㘳扤摥㤷㉢㈷㜱㝦攸㈴挶〵㈷戱扢㙦ㄲ慦晡㈷昱愶ㅥ㙥㠲㜷戸㜷戵㜷愲搷晢㡦捡㐹摣ㄵ㍡㠹㈹挱㐹㑣昳㑤攲㘳晦㈴㍥搳挳㑤昷づ昷㤵昶敥改昵㝥㔷㌹㠹㥢㐳㈷㌱㉢㌸㠹㌹扥㐹晣攰㥦㠴挰㙥㐲㙥愲㝢㝢㠷慢搵摥戹㕥㙦㍦㜸㍤㥢攸搵愱㤳㔸㄰㥣挴㍥扥㐹っ㐰㥥㡡㑤㜴㤰ㅥ敥攷摥攱㠶㘸敦扥㕥敦收㤵㤳昸㐳攸㈴ㄶ〵㈷搱攰㥢挴ㄶ晥㐹㡣搰挳搹摥攱㐶㘹㙦摥敢ㅤ㕤㌹㠹昳㐲㈷攱〴㈷戱搸㌷㠹㥤晣㤳㠸改攱ㅡ扤挳愵戴昷㐰慦㜷㤷捡㐹㥣ㅥ㍡㠹收攰㈴㕡㝤㤳ㄸ攷㥦挴〴㍤摣㐱摥攱愶㘸㙦㥢搷㍢愳㜲ㄲ㈷㠶㑥㘲㜹㜰ㄲ㉢㝤㤳㤸攵㥦挴摥㝡戸搵摥攱ㄶ㘸敦挱㕥敦㝥㤵㤳㌸㍡㜴ㄲ㠷〶㈷㜱㤸㙦ㄲ㡢晣㤳戰昵㜰㐷㜸㠷㜳戴昷㐸慦㜷㘹攵㈴㝥ㄹ㍡㠹㘳㠲㤳昸戵㙦ㄲ捤晥㐹ㅣ愴㠷㍢捥㍢摣㜲敤㍤摥敢㍤愴㜲ㄲㅤ愱㤳㌸㈹㌸㠹㤳㝤㤳㌸搴㍦㠹㈳昴㜰愷㝡㠷㍢㐶㝢㑦昳㝡㑦愸㥣㐴㔳攸㈴捥〸㑥攲㑣摦㈴㑥昲㑦攲㔴㍤摣搹摥攱捥搰摥㜳扣摥㜳㉢㈷㔱っ㥤挴昹挱㐹㕣攸㥢挴昹晥㐹㕣慣㠷扢搸㍢摣ㅡ敤扤挴敢扤慡㜲ㄲ晢㠷㑥㘲㑤㜰ㄲ㤷晢㈶㜱㡤㝦ㄲ㌷攸攱慥昰づ户㔶㝢慦昴㝡敦慣㥣挴晣搰㐹㕣ㄳ㥣挴㜵扥㐹摣敤㥦挴㍡㍤摣つ摥攱ㅥ搰摥ㅢ扤摥㐷㉢㈷㌱㌳㜴ㄲ㙢㠳㤳戸搵㌷㠹挷晤㤳㜸㑡て㜷扢㜷戸㘷戵昷づ慦昷攵捡㐹㑣づ㥤挴摤挱㐹摣攳㥢挴慢晥㐹扣愹㠷㕢攷ㅤ敥㕤敤扤搷敢晤㐷攵㈴㜶つ㥤挴〳挱㐹晣挵㌷㠹㡦晤㤳昸㑣て昷戰㜷戸慦戴昷ㄱ慦昷扢捡㐹㈴㐳㈷昱㜸㜰ㄲ㑦昸㈶昱㠳㝦ㄲ〲〲昹㝡攲㈹敦㜰戵摡晢戴挷㕢㍢〰㡤昵㝥㝢挷㐲改つ昱㐶戸挹㈹昰昷㈶昹慢㠵愳㥢昰㌶㙤㍤㝥㈴昲ㄹ㡣㈳敡㘹㤰挳晣㥢㕡㘰愳㝥㤰㙡攰ㅦ㕡ㅢ㜸㕢㘲〸㕡㥣愲昹㉣摤ㅢ慢㤸昹㥣㕡㤰晤㌷㔵つ晣㐳晦捤扣㉤戱〵㕡戲晦昳㜴て㔳㌱昳〵戵㈰晢㡦㔰つ晣㐳晦㤱摥㤶ㄸ㠵㤶散晦㈲摤摢慡㤸昹㤲㕡㤰晤户㔷つ晣㐳晦ㅤ扣㉤戱ㄳ㕡戲晦换㜴敦慣㘲收㉢㙡㐱昶㡦愹〶晥愱㝦摣摢ㄲ㈹戴㘴晦㔷改捥愸㤸昹㥡㕡㤰晤㜳慡㠱㝦攸㍦搶摢ㄲ攳搰㤲晤㕦愷㝢㜷ㄵ㌳摦㔰ぢ戲晦〴搵挰㍦昴㥦攸㙤㠹㈹㘸挹晥㙦搲㍤㑤挵捣户搴㠲散㍦㕤㌵昰て晤昷昴戶挴㉣戴㘴晦户改㥥愳㘲收㍢㙡㐱昶摦㕢㌵昰て晤攷㝡㕢㘲〱㕡戲晦扢㜴敦愳㘲收㝢㙡㐱昶晦戹㙡攰ㅦ晡敦敢㙤㠹㐵㘸挹晥㝦愷扢㐱挵捣昷搵㠲散㙦慢〶晥愱㝦摥摢ㄲづ㕡戲晦〷㜴㉦㔶㌱昳㐳戵㈰晢㌷慡〶晥愱晦㠱摥㤶㘸㐶㑢昶晦〷摤慤㉡㘶㝥愴ㄶ㘴晦㠳㔴〳晦搰扦捤摢ㄲ换搱㤲晤㍦愶㝢愵㡡㤹晦㔴ぢ戲晦㙡搵挰㍦昴㍦搸摢ㄲ㠷愲㈵晢㝦㐲昷㘱㉡㘶㝥慡ㄶ㘴晦㈳㔴〳晦搰晦㐸㙦㑢ㅣ㠳㤶散晦ㄹ摤扦㔶㌱昳㜳戵㈰晢ㅦ愷ㅡ昸㠷晥挷㝢㕢攲㈴戴㘴晦㉦攸㍥㔹挵捣㉦搵㠲散㝦慡㙡攰ㅦ晡㥦收㙤㠹㌳搰㤲晤扦愲晢㑣ㄵ㌳扦㔶ぢ戲晦搹慡㠱㝦攸㝦㡥户㈵捥㐷㑢昶晦㠶敥ぢ㔵捣晣㔶㉤挸晥ㄷ慢〶晥愱晦㈵摥㤶㔸㠳㤶散晦㉦扡㉦㔷㌱昳摦㙡㐱昶扦㐲㌵昰て晤慦昴戶挴㌵㘸挹晥摦搱㝤㥤㡡㤹摦慢〵搹晦〶搵挰㍦昴扦搱摢ㄲ㙢搱㤲晤㝦愰晢㔶ㄵ㌳㝦㔴ぢ戲晦敤慡㠱㝦攸㝦㠷户㈵敥㐶㑢昶晦㠹敥㝢㔴捣挴户扢换ㅤ戱散扦捥摢愳晥㕥㙦㑢㍣㠰㤶散㉦搸攳㉦扡㝦戵户晦挳摥ㅥ昵㡦㜸㕢攲㜱摤扦て㝢㍣愱晢搷㜸晢㍦攵敤㔱晦戴户㈵攴搳〶敥㤶㔹㡢ㅥ晡㘲昱改㐳ㅥ〹㌷攰挵㤱昰㘷㜵摥ちㄵ㥦㈴愴慡捥㔵㍤ㅦ慡攲㔳㠱㔴㐵㕣搵㡢愱慡㤷戴慡扦慢㤲扢昳挰扣戸㕢㤷戹〶扡慡㔷㐳㜳㜱攷㉤㔵㤶慢㝡㍤㔴挵㕤戴㔴㙤攰慡摥っ㔵扤愵㔵㠳㕤㤵摣捤〶收挵摤慤捣戵㤱慢㝡㌷㌴ㄷ㜷慡㔲戵㠹慢晡㝢愸㡡扢㑥愹摡捣㔵㝤㄰慡晡㔰慢㠶扡㉡戹晢ぢ捣㡢扢㐱㤹㙢㑢㔷昵㜱㘸㉥敥散愴㙡戸慢㤲扢戲㐰㉥敥搲愴㙡愴慢㤲㍢慣㠰㡡㍢㉥愹摡摡㔵挹摤㔲㐰挵摤㤳㔴㙤攳慡攴捥㈷愰攲㑥㐸慡戶㜳㔵㜲ㄷㄳ㔰㜱㔷㈳㔵㍢戸㉡戹㈳〹愸戸㐳㤱慡ㅤ㕤㤵摣㕤〴㔴摣㙤㐸搵ㄸ㔷㈵㜷ち〱ㄵ㜷づ㔲ㄵ㜵㔵㜲搳て愸戸ぢ㤰慡戸慢㤲ㅢ㜸㐰挵つ㕤慡㤲慥㑡㙥挶〱ㄵ㌷㘷愹㑡㑢㤵愵㌷㐳挱敤㔳㥥愲㝡昸㙢昷ㄴ搵㐴昴慤挳㉦挸㜲㤳㤴㠱㠷㝣〱㙥㠵㌲昰ㄷ㕦㠰ㅢ㥥っ㍣攸ぢ㜰㕢㤳㠱〷㝣〱㙥㕥㌲㜰扦㉦挰㉤㑡〶敥昳〵戸ㄱ挹挰扤扥〰户ㅢㄹ㔸攷ぢ㜰㔳㤱㠱㍦晢〲摣㍡㘴攰ㅥ㕦㠰ㅢ㠴っ晣挹ㄷ攰㌶㈰〳㜷晢〲㕣敤㘵攰㉥㕦㠰㙢扡っ摣改ぢ㜰攵㤶㠱㍢㝣〱慥捦㌲㜰扢㉦挰㔵㔸〶㙥昳〵戸搶捡挰慤扥〰㔷㔴ㄹ戸挵ㄷ攰扡㈹〳㙢㝤〱慥㡥㌲㜰戳㉦挰㌵㔰〶㙥昲〵戸搲挹挰㡤扥〰搷㌳ㄹ戸愱㌲搰敦晦〱㘴〱㔱昰</t>
  </si>
  <si>
    <t>㜸〱捤㥤〷㜸ㅢ㔵昶昶㝤ㅤ㝢攲㔱㡡〷〸㌵〱㤲㤰搰ㄲ㠲㝡〹〴攲㔴〲㈹㤰挶㔲捤㐸ㅡ㈵㈶㉥挱㜲ㅡ㘵㈱昴摥㤶㑥㐲て散搲㑢㐲攸㙣攸ㅤ㐲敦扤㉥㝤㘱㠱愵㝥敦㝢㘷慥㍣㥡ㄹ摢昱晥昷㝢㥥㤵愵敢㌹攷扣昷摣慢㥦㐶愳搱捣㤱㔴㈱㉡㉡㉡晥挰㠵晦㜹愹攲挲㠰ㄹ㑢㡡㙤㔶搳㠸戱㉤㡤㡤㔶慥慤愱愵戹㌸愲慥戵搵㕣㌲戹愱搸搶〳〲慤扥〱昱㘲㜵㝤戱攱㔰慢愶㝥愱搵㕡㠴愸扡愲愲愶㐶慦㐴㝣㔳攷㘶㈸㐳㘷㉦扤㡡つ㔴ㄵ扡挶愶㈷㥢ㅡ㌶㍡㥢㄰㥢㕥㙣㝡戳改挳愶㉦㥢㕡㌶〶㥢昵搸慣捦㘶〳㌶晤搸㙣挸㘶㈳㌶ㅢ戳搹㠴つ挷搷㌷㘳搳ㅦ㑤敦〱㘸㘶㡥ㅤ㌳㉤㝢㌰敥捤㡣戶㤶㔶㙢昸挰搹昶㥣㐷㐵㈲㈳昰ㄷ㡦愷㐷㠴㠷てㅣ扢愰戱㙤㐱慢㌵慡搹㕡搰搶㙡㌶づㅦ戸攷㠲㙣㘳㐳㙥て㙢挹捣㤶㜹㔶昳㈸㉢ㅢ㡥㘵捤㜸㍡ㄲ㑦㈴ち㤹㑣扡昷收挸㍣㜵散㤸㍤㕢慤㐲昱扦㤵㜳ぢ收㥣㌶㜶捣㠸愹㔶摢㝦㉢攷㤶挸㠹㤴攳㕡㥡捣㠶收晦㔲搲㙡㍥愶㠹㜱㔶慥㠱て扥㘵戵㌶㌴捦ㄹ㠱㘹㤷㠱㠶㤵ㅡ㔱㔷㉣㉥㘸㥡捦昵㘸慣搵搸㌸摤㉡挸〷扤㘹㕣戱㙤㑦戳戵愹搸扢㠹晣慣㔶慢㌹㘷ㄵ晢㌶㡤㕦㥣戳ㅡㅤ㘱戱愶㘹戶搹㍡搵㙣戲慡戸㔰摢㘴㍦㠶㤳昲㔶㜳㕢㐳摢㤲㍥㑤戳㡡搶㜴戳㜹㡥㐵㐹㜵搳挴〵つ㜹㔱㔵㠵㙢㐵㡦㙤㠲㘶㈶ㅦ㈸捣愷㘹散㕣戳戵㑤㕡㝣〸㈳㐱㕡搷敡㈲敦㐵搹扣戸㑡つ昴昴攲㘳㌶愳愱㘹て慢戵搹㙡攴㈰㝣㈴㠷㜹㐴ㄲ㤰晤㌸㤴㐸愹扢挳㐷㐹昴㜲㥥㝣扣㉦ㅣ㐵ㅢ㠸㘶搳愹㉤慤㑤㔸㈱愷㔸㘶昳愸㐸㌸㍣㝣㐶㕢㝥㥣戵㜰㔴㌴愱て㐲㔸ㅦ㑣攱㔶㘸㐲攳慣㈶戳㌹㍦㌲ㄹㅦ愹て㘱㘴㈸ㅡ㔱昵㍡㥥攲敥挴㝣㥡㔵搶㥢㤵昵搹捡晡㕣㘵㝤扥戲摥慡慣㉦㔴搶捦愹慣㥦㕢㔹摦㔰㔹㝦㜰㘵晤㍣㘸搴愵愶㘷捦㑡攷昲搹昸搳敥㍡昳敤搵攳㑥ㅦ㔸㕤㌷晤攴挷收ち㍥慢攵㐶㘱ㅢ㉣㜴㌲搱㙤ㄱ搶户㐳愳㙤㡦㐶㑤㌴㤵ㄸ愹て㘳㘴㌸ㅡ㈱㕥挰㐴㌹搹て昶摢㜲挱敡㌹慦㑣戹戵敦㐶挷慤㔸㔸摣㑡㜰戳㈱㐷ㄹ㠱㠵㑥㐶搹㤱戹挲㘸戴〸㥡搲㈸挰ㄱ㘵㈴㠶㐶㠸愷㥣㔱㕥戸㈲㍦㝥攵ㄱ㍢㡥扢昶攲〳㕦挹ㄹ愳㔳㠲摢㈵㌹㑡〲ぢ㥤㡣㤲㘴慥ㄴㅡ㉤㡤㐶㡤㤲捣㡣搴㌳㡣㡣㐴㈳挴挳捥㈸扤㤶㕦㌵敢挴㐷てㅢ㜳摤慤㑦捣ㅢ㍤㘱搲㤵㠲ㅢ㍥㌹捡捥㔸攸㘴㤴㔱捣戵ぢㅡ㙤㔷㌴愵㔱搲㈳昵搱㡣搴愱ㄱ攲㍥㘷㤴㘳㈳搷㍦戳敤㥣敦挶㕤户摤㕥愷慥㔸愹搵ち㍥挹攴㈸㘳戱搰挹㈸攳㤸㙢㍣ㅡ㙤〲ㅡ㌵㑡㉡㍡㔲㥦挸挸㙥㘸㠴㔸敤㡣㌲㘳摦㈱攷㕣愸晦㝢晣㡤愹搹㤳て晦昴捡㝡挱㑤户ㅣ㘵㜷㉣㜴㌲捡ㅥ捣㌵ㄹ㡤㌶〵㡤ㅡ㈵ㄱㄹ愹㑦㘵㘴ㅡㅡ㈱㙥㜶㐶㤹扢摦㈹〷ㄵ㤷㉥搸敤㠶ㄱ㜵㝢㙥㜴㘵㐳慤攰㙢㠳ㅣ㘵㉦㉣㜴㌲捡㜴收㥡㠱㐶㥢㠹愶㌴ち㠸捤㘲㘴㌶ㅡ㈱晥收㡣㜲㐷㘸搹昹㍦㍤昸㑣摤敤晢㉣敢ㄷ㡢ㅤ㕥㉢㝡㈱㉣㐷昹ㄳㄶ㍡ㄹ㘵ㅦ收摡ㄷ㡤戶ㅦㅡ㌵㑡㉡㍣㔲摦㥦㤱〳搰〸㜱㠵㌳捡ㅢ㈷㐷㡣㌵ㄷ摣㌸晥㥡攳晦扤敦㙢扦晣昰㥥攰慢㥢ㅣ愵ㅥぢ㥤㡣㜲㄰挲扡㠹㐶换愲㔱愳㈴昰㝣挹㌱㤲㐷㈳挴挵捥㈸慢てつ㡦㝦晡收搳愷摥㝤㐶昴挹扥㍦慤晤㡢攰换愷ㅣ愵㠰㠵㑥㐶㤹挳㕣㜳搱㘸つ㘸㑡愳挴㐶敡〷㌳㌲て㡤㄰攷㌸愳㡣㕦㥥摡攰搶㍦㌶慤㍢扦㘶摡ㄷ昷慤搸㝣戸攰敢戳ㅣ愵〹ぢ㥤㡣搲捣㕣㉤㘸戴昹㘸搴㈸㐹㄰㍢㠴㤱㔶㌴㐲㥣收㡣昲昵慢㥦搶㍣戱捦ㅥㄳ㙥扡昵敥晤晡散㕥㝤㤱攰づ㠰ㅣ愵つぢ㥤㡣戲㠰戹ㄶ愲搱ㄶ愱㔱愳㈴㤲㈳昵挵㡣㉣㐱㈳挴昱敡扥㝣㕣昵昶捥㈷散扢摢搵㡢扦㝡散捣扡㘳㥦ㄱ摣挳㤰愳ㅣ㠶㠵㑥㐶㌹㥣戹㡥㐰愳晤ㄹ㡤ㅡ㈵㠹㌵昹㐸㐶㡥㐲㈳挴㤱捥㈸挷㡣〹扤㥢散㜷挱㤴攵㍢攷晢慥昸㜹昰㜳㠲扢㌰㜲㤴愳戱搰挹㈸挷㈰慣ㅦ㡢㐶㍢づ㑤㘹ㄴ㍣㉥挷㌳㜲〲ㅡ㈱ㄶ㍢愳慣戹㘱㐰慦㌱㑦捦㥦㜰晡㔵挷搴㉤㐸慤摤㑢㜰ㅦ㐹㡥㜲ㄲㄶ㍡ㄹ攵㘴收㍡〵㡤㜶㉡ㅡ㌵㑡ち昷攵㌴㐶㑥㐷㈳挴㈱捥㈸摢㑣㙤㔸昴㙡昲㤹㌱搷㠸昱摦㝣㘲晤戰㕡㜰㈷㑣㡥㜲㈶ㄶ㍡ㄹ攵㉣收㍡ㅢ㡤昶ㄷ㌴㙡㤴㈴搶攴㜳ㄸ㌹ㄷ㡤㄰〷㍢愳扣晦攰搲㌳戶㝥晤搱愹㘷散昵摢㍣㘳挷戶㔵㠲㝢㜹㜲㤴昳戱搰挹㈸ㄷ㌰搷㠵㘸戴㡢搰愸㔱ㄲ搸㈶㕦捣挸㌲㌴㐲攴㥣㔱敥ち㝤昹㘹搵㜹扢㡦㍦愳昸晢收㔷昴扡晦㔹戱㈱挲㜲㤴㑢戰搰挹㈸㤷㌲搷㘵㘸戴换搱㤴㐶㐹㡤搴慦㘰攴㑡㌴㐲散敦㡣㜲捣摡㐹戵昹挷㑥慡扢晥㈷㙤㙦敤敡换㤶〹敥愷捡㔱㔶㘰愱㤳㔱慥㘶慥㙢搰㘸㝦㐵㔳ㅡ〵慦㘲㝦㘳攴㕡㌴㐲捣㜲㐶ㄹ昲晥㕦㘶敦㜷捦搱㔳㑥㍤㜱攰捦㈷㐶づ愹ㄱ摣ㄱ㤶愳㕣㡦㠵㑥㐶戹㠱戹㙥㐴愳摤㠴㐶㡤㤲挲㍡㜶㌳㈳户愰ㄱ㘲慡㌳捡敡㉢扦慦㤹㜶昹㜹搳㑥㕦昹昲愸扤㜶㡣昶ㄴ㥢㈰㉣㐷戹つぢ㥤㡣戲㤲戹㔶愱搱㙥㐷愳㐶㐹攲昵㘵㌵㈳㜷愰ㄱ㘲愲㌳捡挸晡昱慢㑦晥慥㜹昷㥢㙦慡戰㉥㤸㕡㜹戲搸ㄴ㘱㌹捡㕤㔸攸㘴㤴扢㤹敢ㅥ㌴摡扤㘸㑡愳攰戹㝦ㅦ㈳昷愳ㄱ㘲戴㌳捡㐱㍢扣㔹㍣㉡㜴挳㤸㍢摦㍦㙦㡦ㄵ愹㈱ㄷ㡡捤㄰㤶愳慣挱㐲㈷愳㍣挰㕣て愲搱ㅥ㐲㔳ㅡ〵㡦晥挳㡣㍣㠲㐶㠸㡣㌳㡡戹搳戲㌵ㅦ扣晤昹挴㌳㌷㍦㙦㔹慦㝢㡦㌸㑣昴㐷㔸㡥昲ㄸㄶ㍡ㄹ攵㜱收㝡〲㡤昶㈴ㅡ㌵㑡〲挴㥥㘲攴㘹㌴㐲㐴㥤㔱㈶㥣㤴㝥㘵㘸摦换㈶摥搶㈳昳敡挳挶㔹ぢ㝢㍦㡢昰㕥捥㑥攴戸㔶㜳ㄱ㜶换摢昷昸愳㈳挲晣敢晡慤づ摥改ㄴㄲ㠵㔴㈱ㄲ挹㈷挲㘶捣慣ㅥ㠴戴敢扡㑦捤㑤㘹敦挲摥つ捤昹㤶㐵㜲㈷㝢挰ㄸ戳㘸戵敦㜳て㜳㘲㘳㕡ㄶ㌴攷㡢晤㠳㠳㌳摡捣㌶㙢㌳㙦慣㍤㠹慦摢っ扣〵戱㡡㜲扣㉤扣摤㘶㥢㡤ぢ慣扡挵つ㜶㜸㜳㑦ㄸ㙦㐰㕡戲ㅤ㐷㈷戴㕡㠷㤴愲扥ㄹ搵攱ㅤ昲㐲㤹摢㜷㉦敤㤰㍤慦㠱㘳攷戶ㄴ慤㘶㌹扤㘱㑤㝢㌶攴收㔹慤㌳㉣扥扦戶昲昲慥㙥挸㤰昳㉥㘸搸戴㘶摣㔱扣慦挹て㜶㝢ぢ攳ㄷ户㔹捤㜹㉢㡦昹捥户㕡摢㤶捣㌴戳㡤搶㐶㘵ㄲ㝢㑣〴㌶㉤㜳㑦㘸挹㉤㈸㡥㙤㘹㙥㙢㙤㘹㉣㡦搴攵ㄷ㥡㜸攷㤵㥦搲㤲户昰挶愹㡡㤷ち㔱搱愳㠷㄰ㄵ摢〷扤㝢㘱摥攲〸昹㐰戸ㅥ攲捤昱㤸㙦㔲扥摡㡤㤸㡥㝢㠷㝢搱㘸㜱㥤慣ㅣ搲㐵㌲㤹㤷㘹戶敢㔸攸扡㑦㍣ㄸ㐱昵戶ㅤ慢攵ㅣ㑢㡦摣晦㕦㜱㘵攵〶捥扤ㅦ扦㄰敦㑥㜷挳扢戰㐶慢戵搳㐳㈹㠲㌳搲㥦㐳㔳扤㈳㥥捤ㅤ搲慢㠲㐲㉣ㄶ㑢慡ㄷ㌵攴摢收㙡㜳慤㠶㌹㜳戹㉢㠴挳㉤㌵㌵㐴敢扢攸捦挳愵扦挰收㐵㌴愱㔰㠵昶ㄲ㐵㕡㐸㝦搹戶慢〷攳㝦昷摦昷㔶愲㤷㉥摦㘷攳愰㐸戱扡㘹㐲㑢㙢戱㐷㡦愰㝢戹㥢㔹㥣摢挶搵戳昳㈰昳扤挲收㔵㌴搵㐳搰㜴昹戶扡ㄶ愲㉡ㅥ㍤攸搳㌴捥㉡㤸㌸㘶㈳㥦摤挲慣㙥戲て〳㡣戳㡡㌹㥤挷ぢ㈶攱戹戲㔸挳ㄲ㥥晣扤㥢戸昶㕢㡢摢挶㤹㙤㘶捦㈶ㅣ㜹挰愳愴㐳㌴㑣昶戲㤷搸戳㡦昴愹摥㈱挷㐲〶㐳㉥扡戲昴㤲づ㍢ㄳ㥥㌸㜸扥㔴昴㜰摡捥敦〴收扥〵敥㠴收㕤搱换㡦㈰攰挰㐶㝥愲搵㍣㜳挹㝣慢㐸㜹㡤搶㈹㑡敦搳㡢挹愶攵戲戳摡ㅡㅡ㡢㈳㌰搳㠹慤㉤ぢ收晦㌷昳㌰㤷晥ㅡㅡ㜵愹摥ㅡ㙢昱扡摦㈷攰慡攸戹㤰㡦㑤㝤㝤㐵つ戳搱愳㙦挵㠶㙢㉢㤲晤㠱㝦昲愲扦㠵㝦愱捥㘲搵㐳愱攸捥搱㤶㙡攸㝢㌷㠱搰捣㔶㑢ㅥ㍦慡㤱〶㘸昷㘹摡扢愵㜵㕥戶愵㘵ㅥ搷愷扥搲㉡捥戵慣㌶ㅥ㤳改攵ㅣ㠳㤲挷㥡㠴攸搱愳散戸㡡敢攰捤㤶挸慦扤㠷愶㑦㕤㘳攳㐰㤵戱愸扤て㔷てㅣㅤ搲㍥挰挲㠰㘹慤㜹慢㜵㠷㔹昳㜷㤸搹㌲㄰〷㡦ㄶ㌴㥡昶昱搶挵㡤挵挵㘲〰〸昰㘸挸敡愱㠵㍦㍦搱敦昵扡攵㤳慢㥦搹改愴㙤㑤搱摦〹昸づ挶㙣㡢㥣㠳㜰搳㍦㐶㈳㌶㠵㡣㕢ㄶ㉣㤷㕦昴㑦㘱敢㥦戱昹〷ㅡ㙣ㅦ㈴㜱㙣ㅥ扥戰㑤戱ㅤ晥㜳ㄳ愱㝦挹收㉢㌴㘲ㄸㅡ㍥㐱昵慦搱愸㡢㌰㤰㥦㡦扢㝣散戶㠷摢晦搸㝤〷㙦㐸敦㈴㈶㠶㐳挱挷㑦㈷㉦㥤㠴㜴搲ㄱㅡㄲ〷〲愸㜶〲扥攳㐴㍢愲㥢〴昰㉢晢昷㠰㉣ㄸ挰敦ㅣ㠳㘰㜴慥㜵㉥〰㤵戶㈹挲㠸㐹〰㍤攰搰㜹㕣㕣㐴攱㤲〰慡㘱愹㡢昸昹㜷ㄷ㠰〸摣㝥〰㍡㜳敡㥤挴㐴っ晤㠲〰㝣㠳攴㠱〰扥㜶〲扥㐳㔸㐹㘴ㅡ挴㔹慣捦㈹㝦〹㔹㌰㠰㝥〸敢ㅢ戲搹〸㡤ぢ挰㈶戶㈹㔲㐸㈲〱㙣㑡搱㘶㘸㐴〶㉥〹愰㍦㉣㜵ㄱㅦ扡〱愴攱昶〳搸㤲㌹昵㑥㘲㘲㈴晡〵〱㜸扤㈳〰慦㌹〱摦搱戵㔱挸㌴㠸戳搸㤶㔳㝥愵㐳〰摢㈳慣て㘳㌳ㅣ㡤ぢ挰〸摢ㄴ扢㈰㠹〴戰㈳㐵㘱㌴㘲㌴㕣ㄲ㐰〴㤶扡㠸㘷摣〰㜶㠵摢て㈰挱㥣㝡㈷㌱㔱㠷㝥㐱〰ㅥ敡〸挰㠳㑥挰㜷攰㙦ㅣ㌲つ攲㉣㜶挱愰㘲㑤㠷〰㐶㈳慣搷戱ㄹ㠳挶〵㘰㥣㙤㡡昱㐸㈲〱㡣愷㘸〲ㅡ挱㐳㠲ㄲ挰㐴㔸敡㈲敥㜰〳㤸〰户ㅦ挰ㅥ捣愹㜷ㄲㄳ扢愱㕦㄰㠰ㅢ㍢〲㜰㠳ㄳ昰ㅤ㤳摣〳㤹〶㜱ㄶ㌳㌹攵敢㍡〴㌰ㅢ㘱㝤㙦㌶㝦㐲攳〲戰慦㙤㡡挹㐸㈲〱散㐷搱晥㘸挴㔴戸㈴㠰〳㘰愹㡢戸挲つ㘰ち摣㝥〰㈶㜳敡㥤挴挴㌴昴ぢ〲㜰㐱㐷〰捥㜷〲扥挳愵搳㤱㘹㄰㘷㜱㌰愷㝣㙥㠷〰ㅡㄱ搶㥢搸㌴愳㜱〱㤸㙦㥢㘲〶㤲㐸〰㠷㔰搴㡡㐶捣㠲㑢〲㈸挲㔲ㄷ㜱慡ㅢ挰㑣戸晤〰ㄶ㌱愷摥㐹㑣捣㐶扦㈰〰㐷㜷〴㘰愹ㄳ昰ㅤ挹摤〷㤹〶㜱ㄶ㐷㜱捡㐷㜶〸攰㘸㠴昵㘳搸ㅣ㡢挶〵攰㜸摢ㄴ晢㈲㠹〴㜰〲㐵㈷愲ㄱ晢挳㈵〱㥣〴㑢㕤挴㐲㌷㠰晤攰昶〳㌸㡤㌹昵㑥㘲攲〰昴ぢ〲搰搸ㄱ㠰㜹㑥挰㜷㤰昹㈰㘴ㅡ挴㔹㥣挷㈹㌷㜴〸攰〲㠴昵ぢ搹㕣㠴挶〵㘰㤹㙤ちㄳ㐹㈴㠰攵ㄴ㕤㠲㐶攴攰㤲〰㉥㠵愵㉥攲㈰㌷㠰㉣摣㝥〰㔷㐲ㅦ搲㍢㠹㠹㍣晡〵〱㤸摤ㄱ㠰㔹㉡攰㍤晥捤攳摡㠳㌸㡢敢㌹攵ㄹㅤ〲戸ㄱ㘱晤㈶㌶㌷愳㜱〱戸搵㌶挵㕣㈴㤱〰㙥愳㘸㈵ㅡ㜱㌰㕣ㄲ挰㉡㔸敡㈲㜶㜷〳㘸㠰摢て攰㑥收搴㍢㠹㠹㜹攸ㄷ〴㘰戴扡㥦摥㍤挱㕤㥤㠰敦搰㝣㌳㌲つ攲㉣ㅥ攰㤴㐷㜵〸攰㈱㠴昵㠷搹㍣㠲挶〵攰㌱摢ㄴ㉤㐸㈲〱㍣㑥搱ㄳ㘸挴㈱㜰㐹〰㑦挲㔲ㄷㄱ㜷〳㤸て户ㅦ挰戳捣愹㜷ㄲㄳ慤攸ㄷ〴㘰晢㡥〰㙣攷〴㝣㘷つㄶ㈰搳㈰捥攲㔵㑥㜹㥢づ〱扣㡥戰晥〶㥢㌷搱戸〰扣㙤㥢㘲㈱㤲㐸〰敦㔰昴㉥ㅡ戱ㄸ㉥〹攰㍤㔸敡㈲戶㜰〳㔸〴户ㅦ挰㐷捣愹㜷ㄲㄳ㑢搰㉦〸㐰扦㡥〰㙣攰〴挶㝢㑦㘸ㅣ㡥㑣㠳㌸㡢慦㌸攵昵㍡〴昰つ挲晡户㙣晥㠹挶〵攰㝢摢ㄴ㐷㈰㠹〴昰㉦㡡㝥㐰㈳㡥㠴㑢〲昸ㄱ㤶扡㠸ㅡ㌷㠰㍦挳敤〷昰ぢ㜳敡㥤挴挴㔱攸ㄷ〴攰昷摦㍡搸ㄵ晥捤〹昸捥戵ㅣ㠳㑣㠳㌸㡢慡㑡㑣昹ㄷ挸㠲㜷㠵㌵㠴昵㥥㙣㙡搰戸〰㠴㙣㔳ㅣ㡢㈴㠳㤹愸ㄷ㐵扤搱㠸攳㘱㑡〰㝤㘰愹㡢昸㈷挶㈸扤ㄹ㍡づ㙥㍦㠰昵愰て改㥤挴〴捦敤〴〱昸戴㈳〰㥦㌸〱摦㘹愰㤳㤱㐹〲搸㡣㔳晥愸㐳〰〳㄰搶㌷㘷戳〵㘷搷晥㙥㜰愰㙤㡡㔳㤰㘸㌰敦捥㈰㡡〶愳ㄱ愷挱㤴〰戶㠲愵㉥攲㑤㌷㠰㔳攱昶〳搸〶晡㤰摥㐹㑣㥣㡥㝥㐱〰㥥敦〸挰㕡㈷攰㍢㐳㜵ㄶ㌲㐹〰㘱㑥昹搹づ〱㐴ㄱ搶㘳㙣攲㥣㕤㍢㠰愴㙤㡡戳㤱㘸㌰敦㑥㡡愲㌴ㅡ㜱づ㑣〹㈰〳㑢㕤挴㈳㙥〰㝦㠱摢て㘰ㄴ昴㈱扤㤳㤸㌸ㄷ晤㠲〰摣搳ㄱ㠰扢㥤㠰敦攴搹〵挸㈴〱㑣攰㤴敦散㄰挰㙥〸敢㤳搸散捥搹戵〳㤸㙣㥢攲㐲㈴ㅡ捣扢㌳㠵愲愹㘸挴挵㌰㈵㠰㘹戰搴㐵摣散〶㜰ㄱ摣㝥〰㌳愰て改㥤挴挴㌲昴ぢ〲㜰㜵㐷〰㔶㌸〱摦㜹扤㑢㤱㐹〲搸㥦㔳扥戲㐳〰〷㈲慣搷戳㌹㠸戳㙢〷㤰戵㑤㜱ㄹㄲつ挶㑤捦㔱㤴㐷㈳慥㠰㈹〱㔸戰搴㐵㕣攴〶㜰㌹摣㝥〰つ搰㠷昴㑥㘲攲㑡昴ぢ〲㜰㘶㐷〰捥㜰〲扥㔳㡥㔷㈳㤳〴搰捡㈹㥦搶㈱㠰㌶㠴昵〵㙣ㄶ㜲㜶敤〰ㄶ摢愶攰改挸挱扣㍢㑢㈸㍡ㄴ㡤昸ㅢ㑣〹攰㌰㔸敡㈲㡥㜵〳昸㉢摣㝥〰㐷㐲ㅦ搲㍢㠹㠹㙢搱㉦〸挰愱ㅤ〱㔸攲〴㝣㘷㐳㙦㐰㈶〹攰㐴㑥㜹㔱㠷〰㑥㐶㔸㍦㠵捤愹㥣㕤㍢㠰搳㙤㔳摣㠸㐴㠳㜹㜷捥愰攸㑣㌴攲㘶㤸ㄲ挰㔹戰搴㐵㌴扢〱摣〴户ㅦ挰戹搰㠷昴㑥㘲攲ㄶ昴ぢ〲㤰敦〸㐰㑥〵扣㈷㙡㔷㈲㤳〴㜰〹愷㙣㜶〸攰㌲㠴昵换搹㕣挱搹戵〳戸捡㌶挵㉡㈴ㅡ捣扢戳㠲愲慢搱㠸搵㌰㈵㠰㙢㘰愹㡢昸㤳ㅢ挰敤㜰晢〱㕣〷㝤㐸敦㈴㈶敥㐰扦㈰〰㔳搵晤昴敥ち㑦㜱〲扥㜳挸㜷㈳㤳〴戰㤲㔳摥愳㐳〰户㈳慣慦㘶㜳〷㘷搷づ攰㉥摢ㄴ昷㈰搱㘰摥㥤扢㈹扡〷㡤戸て愶〴㜰㉦㉣㜵ㄱ㘳摣〰敥㠵摢て㘰つ昴㈱扤㤳㤸戸ㅦ晤㠲〰愴㍢〲㤰㜲〲扥搳摢て㈰㤳〴昰〴愷㥣攸㄰挰㔳〸敢㑦戳㜹〶㡤ぢ挰㜳戶㈹ㅥ㐴愲挱扣㍢㙢㈹㝡ㅥ㡤㜸ㄸ愶〴昰〲㉣㜵ㄱ挳摤〰ㅥ㠲摢て攰ㄵ攸㐳㝡㈷㌱昱〸晡〵〱ㄸ摣ㄱ㠰㐱㑥挰㜷收晤㜱㘴㤲〰摥攵㤴户散㄰挰晢〸敢ㅦ戰昹㤰戳㙢㕦〳㍥戶㑤昱〴ㄲつ收摤昹㠴愲㑦搱㠸愷㘰㑡〰㥦挱㔲ㄷ戱㤱ㅢ挰㤳㜰晢〱㝣〹㝤㐸敦㈴㈶㥥㐶扦㈰〰扤㍢〲搰换〹㜸㡢〲慡㥦㐳愶㙥㥣捣敤挵〹ㄷ㘶㌷㔸㡢㜸昶愹㙦〱㘵戶㘳ㄷㄴ摢㕡攴愹戲㍥㠵㜱㉤㔳㕢摡挶㌵ㄴ攷㌷㥡㑢㌶㈸㌸ぢ㝢捦戵㥡㜱㈲扢ㄵ攷戳㍤扥㤶昹昳慤扣㕥㤸搱戲愰㌵㘷㑤ㅡ昷扦㜰愲ㅢ昷てて㥤㍣挷㕤㈹㜰昹捦捥摤㔶愰㈷搶ㄲ㕣㉡慡㥦㐷㐲敦㈹㌸㔹散敢㍡㕤㉥ㄷつ〸㙢摢㠹捥㙣㘸㙢戴㝡ㄵ攴愹㙡戹㕣㔳〰㐵㔴〷攴㝢ㄶ㘶捥挵愹愹㜱㝤ちㄳ㕢ㅢ昲㡤つ捤ㄶㅦ㡣㝥戶㜴戲㌵〷㤵〰㝢戶ㄴㅢ㜸扥愸㑦㘱㘶慢搹㕣㥣捦㤳㥡戹㈵敢㤷㔹昲散㘷㜵㘱㑣㐳㜳ㄱ挳挸㐷㤱换戵㠵ㄹ㜳㕢ㄶ愱挴㝦㐱㔳昳㐴㜳㝥昱㝦攲㔱ㄱ㝣㔸攴㐵㍥㌴愲㔲㔴㔶㡡㥡捡㥡晦昴昱搱㝥挰㜳㙣〳扢㜸㝡㈰搶搳戶搶㠶散〲〲㤳㘳㐴搱㔶戱㤱㡦㘱㐵昵ぢ㔸昲㥥扥㜴㍤㠴㥥摡〳捥戵慣㜴㍤昰㌴㜸改㜳ㄳ㥢㐳慥晦㠸改昴晥〹捤敥ㄳ㘷㑤㙡慦捡昹㍦㝤〸愱晡㐵㘴㕥攷㈲㠸つ㈱敥㙢慦㐲㉣㡣攰ㅡ㠵㘷㈶搶〴㕡摥搵㌲㔴㤰ㅡ慥愱㝤摢ㄷ㈷攰㍣㝡敦挲㘴㌳㙢㌵攲昴㝦㤳搹搶搷㌶㔸㠷㠱㈲昵愲ㄳㅢ摢搲搴㘴㜲㤵㘳愹晤㡣㥣搹㘸搵ㄴ敡ㄶ戴戵㑣㘹㘸搶ぢ㘸攴㝡改戸捣挵㜰㤹㡢敤ㄳ昵㠵改㉣ぢ㤲换捣搵㌲挷㙣㙤㘸㥢摢搴㤰慢愱挱搲㥤晦㠹㜵ㄵ摢㡦㉡挰㔴ㄷ戵㉤昱㥥昹户捦扦攳攱ㅥ㠱㘲ㄹ愲攳挳㡦㌵扡㔲㘸昸ㄳ晦㘱搵〸戶㍣昲〵㐵晦ㄹ搹慡㜱㤳㥢㈲㌹㤷㙦攴愹㔸㉣㝥㜳㈴㔶㔱戹㜱ㄲ㉦㔳㠰㥢晥ぢ愴㕣攰慤敡ㄵ㌴㥤㤶ㄴ昴㠴㈰㌴戹挵捣㑦㌰㜳昸搸㑣㑦攷㐳㌳㌵㜸㘸戹愹㘹㌵㔸攴㌱ㄶ㜵㐳愸㐷㕡搸㠰ㄳ搹㌵㜴捣挰㠷㠲慡㔸ㅥ愲搹㡦㈱㑥㜷昷愸愸慥敥㔵ㄳ㌴搶㈴㤵㙢㠸㜳敡摣晤愱愳㐹扥晣㕦散㤵摥㤵昷㌶ㄴ㤲㉦㔱扦㘲㔹晦㡤昷改㔵㌸㜹㝦㍣㠲摦㈹昸〳㑤昵㙢〸㝡ㅦ㥢昲㝡ぢ㔴㘵攸㄰㔵挹㡦㥢戰ㄲ愴〶㔵ㄳ戲㠴愴㕡摥㤱㕥慥搲て捤慥晡愸㔱㥦㘱搱㘶㘰㉤户昲㈱㝢晢捡ㄲㄳ扣㌲㔴㔴㔶㔶攱愱搶扣㘵㜳扥㘱㤱慣㘹㠶㈵㙢㐲挴ㄶ㤸㠲挶㌲挱昵昹㘴㐱晥㝡搷㐷㍡㕥㐲㄰愷戴晦挰㍦㜹〹㠵昴㑡㐸㉢㐲攲㉤戴敡晥昷愶挷〶〴昲㌸晣㠵㐶㝣っ㈷昷〲㕣慦㔹攲㔳㤸㝣摤挲㐱㍤㈰㤲ㄷ捦㌶㔱㝣〶㉦户㡢扡挶㈴晦挰ㄲ㌷㌷愵搵慦〶摥慥㔷扦㉦搸〳㌷㥤㥦〳㔳慢㥦昸ㄲㅥ㌵㘵づ敦㑣㌹〴㡤摥㡢挲慦㠲〵扤㈹攸㐳挱搷㄰昰㜱搵晡挲昲昲攲㈷㑢〲㜸ㄹ㤰㠲搷㜷慥摣㉥㕥敢㌱昷晡捣晤㉢〴㕥㕥扦挳搷〵㉦㍥㌴㤲㔷㍦㈶攱㥤㉤攳戵ㄱ扣㕤昳慡㐴㌷挹㙢㘳㤹挴㌶〴ぢㄱ〲㜸㙤〲㡤扥㈹㠵㉣㔲〸㄰㙣㐶㐱㝦ち㔸户㈰㜹つ㠰攵攳㠵敡攲〰㕥㕢㐰ち㕥㉣㘱㔰戹㕤扣戶㘴敥㠱捣捤㜲〳㉦㉦搶ㄸ㜴挱㡢ㄵ〸㤲搷㘰㈶㘱㈹㐲ㄹ慦㈱昰㜶捤㡢㈵ぢ戸攲搳㑥㑣㠲〵㜹㘳摤㠲㥡戲㙢晤摡ㅡㅡ㝤ㅢち㔹搳㄰㈰搸㤶㠲敤㈸㘰㤹㠳攴戵㍤㉣㉦㉦㝥摡㈷㠰搷㜰㐸挱㙢㑢㔷㙥ㄷ慦ㅤ㤸㝢〴㜳戳㍡挱换㡢㈵〹㕤昰㘲挱㠲攴ㄵ㘶ㄲ㔶㉥㤴昱㡡挲摢㌵㉦㔶㌸攰㡡㐳㥥㑣愲㜸戱捣㈱〰㐷ㅣㅡ㍤㐱㈱㑢㈰〲〴㐹ち㔲ㄴ戰㉡㐲昲㑡挳昲昱挲愷㜰〲㜸㡤㠴ㄴ扣㔸㈰愱㜲扢㜸敤挴摣㍢㌳㌷㡢ㄹ扣扣㐶挳搷〵慦㍡㐸㈴慦㕤㤸㘴っ慣㌲㕥愳攱敤㥡ㄷぢ㈲㜰㐵戵〴㤳㈸㕥慣㡡㔰㔳㜶慤㕦㘳愰搱挷㔲挸㡡㠹〰挱㌸ち挶㔳挰㈲ち挹㙢〲㉣㉦㉦㝥〲㉢㠰搷㙥㤰㠲ㄷ敢㈹㔴㙥ㄷ慦㐹捣扤㍢㜳戳昶挱换㡢〵て㕤昰㘲㌹㠴攴㌵㤹㐹㔸ㄷ㔱挶㙢㉡扣㕤昳㘲晤〴慥昸㔸ㄷ㤳㈸㕥㉣愲㔰㔳㜶昱摡ㄳㅡ㝤㉦ち㔹㘰ㄱ㈰㤸㑥挱っち㔸㜳㈱㜹捤㠴攵攵挵捦㤲〵昰㥡つ㈹㜸㤹慥摣㉥㕥㝢㌳昷㥦㤸㥢愵ㄲ㕥㕥慣㡦攸㠲ㄷ慢㈷㈴慦㝤㤹㠴㘵ㄴ㘵扣昶㠷户㙢㕥㉣户挰ㄵㅦㅤ㘳ㄲ挵㡢㌵ㄷ〱㌸づ㠴㐶慦愷㤰昵ㄸ〱㠲㠳㈸㌰㈹㘰㠹㠶攴㤵㠵攵攳ㄵ晣㝣捣㐳ち㕥慣搶㔰戹㕤扣㉣收㉥㌰昷㔱㄰㜸㜹ㅤつ㕦ㄷ扣㔸㙣㈱㜹捤㘵ㄲ㔶㕤㤴昱㍡ㄸ摥慥㜹戱㍡〳㔷㝣㍣㡤㐹ㄴ㉦㤶㘸愸㈹扢搶慦㐶㘸昴㈶ち㔹扥ㄱ㈰㘸愶愰㠵〲㔶㜴㐸㕥昳㘱㜹㜹昱昳㝤〱敢㔷㉢愴攰挵攲づ㤵摢挵慢挸摣晣捣扣㘰㈱㠶㤷ㄷ慢㉦扡攰挵摡っ挹㙢㈱㤳戰㐸愳㡣搷㘲㜸扢收挵㘲づ㕣㜱攸㥥㐹ㄴ㉦㔶㜴愸㈹扢㜸ㅤち㡤㝥ㄸ㠵慣昶〸㄰ㅣ㑥挱ㄱㄴ㕣ち㠱攴昵㘷㔸㕥㕥晣愴㘲〰慦愳㈰〵㉦搶㠲愸摣㉥㕥㑢㤹晢㘸收㘶摤㠶㤷ㄷ㡢㌵扡攰挵㔲づ挹敢㔸㈶㘱㑤㐷ㄹ慦攳攱敤㥡ㄷ㙢㍦㜰挵挷散㤸㐴昱㘲〱㠸㥡戲㡢搷㠹搰攸㈷㔱挸攲㤰〰挱挹ㄴ㥣㐲〱敢㐵㈴慦㔳㘱昹㜸攱㜳㔷〱扣㑥㠷ㄴ扣㔸㍡愲㜲扢㜸㥤挱摣㘷㌲㌷换㍣扣扣㔸摢搱〵㉦㔶㝥㐸㕥㘷㌳〹㑢㐰捡㜸㥤〳㙦搷扣㔸㉡㠲㉢㍥捡挷㈴㡡ㄷ敢㐵搴㤴㕤扣捥㠳㐶㍦㥦㐲搶㤲〴〸㉥愰攰㐲ち㔸㕥㈲㜹㕤〴换换㡢㥦ㅥつ攰戵っ㔲昰㘲愵㠹捡敤攲戵㥣戹㉦㘱㙥㔶㠵㜸㜹戱ㄴ愴ぢ㕥㉣ㄴ㤱扣㉥㘳ㄲ㔶㡣㤴昱扡〲摥慥㜹戱戲〴㔷㝣㕣㤰㐹ㄴ慦㜷戰愴愶散攲㜵ㄵ㌴晡ちち摦つㄶ㕣㑤挱㌵ㄴ扣〷㠱攴昵㔷㔸㕥㕥晣ㅣ㙣〰慦㙢㈱〵㉦ㄶ愶愸挱㕤扣慥㘳敥敢㤹㥢㐵㈴㕥㕥慣ㅣ改㠲ㄷ敢㑡㈴慦ㅢ㤹㠴〵㈶㘵扣㙥㠶户㙢㕥㉣㐴挱ㄵㅦ㐹㘴ㄲ挵㡢搵㈸㙡捡㉥㕥户㐲愳摦㐶㈱㉢㔵〲〴㉢㈹㔸㐵〱㡢㔷㈴慦摢㘱㜹㜹昱ㄳ扤〱扣敥㠰ㄴ扣㔸挷愲㜲扢㜸摤挹摣㜷㌱㜷ㄵ愶攴攵挵㐲㤳㉥㜸戱っ㐵昲扡㠷㐹㔸㡦㔲挶敢㍥㜸扢收挵扡ㄵ捣てㅦ㝢㘴ㄲ挵㡢挵㉢㙡捡㔸㔴敦户晦づ㡤扥㠶㐲ㄶ戶〴〸ㅥ愰攰㐱ち㔸敢㈲㜹㍤〴换挷㉢㜸晢昵〸愴攰挵戲ㄷ㤵摢挵敢㔱收㝥㡣戹㔹愲攲攵挵扡㤴㉥㜸戱㙡㐵昲㝡㠲㐹㔸扥㔲挶敢㈹㜸扢收挵㌲ㄷ挹敢㘹㈶㔱扣〶挱慢愶㡣㐵挵敢ㄹ㘸昴㘷㈹㘴ㅤ㑣㠰攰㌹ち搶㔲挰搲ㄸ挹敢㜹㔸㕥㕥晣㤴㜵挰晡昵㈲愴攰挵㉡ㄹ㤵摢挵敢㈵收㝥㤹戹㔹搱攲攵挵㌲㤶㉥㜸戱挸㐵昲㝡㤵㐹㔸敤㔲挶敢㜵㜸扢收㤵㐴㌷挹敢つ㈶㔱扣㔸ㅡ愳愶㡣㐵挵敢㑤㘸昴户㈸㑣〷ぢ摥愶攰ㅤち㔸㐹㈳㜹扤ぢ换换㡢㥦ㄷて攰昵㍥愴攰挵愲ㅡ㌵戸㡢搷〷捣晤㈱㜳戳〰挶换㡢㔵㉦㕤昰㘲㑤㡣攴昵㌱㤳戰㌸愶㡣搷愷昰㜶捤㡢㐵㌴㤲搷㘷㑣愲㜸戱㤲㐶㑤ㄹ㡢㡡搷㍦愰搱㍦愷㤰㔵㌶〱㠲㉦㈸昸㤲〲ㄶ摥㐸㕥㕦挱昲昲攲㈷摦〳㜸㝤〳㈹㜸戱〶㐷攵㜶昱晡㤶戹晦挹摣慣㤷昱昲㘲㤱㑣ㄷ扣㔸㐲㈳㜹㝤捦㈴〷挱㉡攳昵〳扣㕤昳㘲捤㡤攴昵㈳㤳㈸㕥㉣扣㔱㔳挶愲攲昵ㄳ㌴晡扦㈹捣〷ぢ㝥愶攰ㄷち㉣〸㈴慦㕦㘱昹㜸攱㔳摣〱扣㝥㠷ㄴ扣㔸戲愳〶㜷昱晡㠳戹㉢㜰ㅥ㐰戰扣挶换㡢㌵㌵㕤昰㘲挵㡤攴㠵㐳挵ㄵ㘲㈱慣㌲㕥昸㈸敥㍡昰㕡㡣㙥㤲㔷㌵㤳㈸㕥慣搳㔱㔳挶愲攲愵㐱愳昷愴㤰㌵㍣〱㠲ㅡち昸㘵㕤㠲㘵㍤㤲㔷〸㤶㡦㔷昰昱挲摥㤰㠲ㄷ㉢㝣㔴㙥ㄷ慦㍥捣摤㤷戹㔹㡤攳攵挵ㄲ㥣㉥㜸戱㐰㐷昲㌲㤸㠴㤵㍡㘵扣搶㠷户敢昵㡢ㄵ㍤㤲搷〶㑣愲㜸戱慣㐷㑤ㄹ㡢㡡㔷㍦㘸昴つ㈹㘴挹㑦㠰㘰㈳ち㌶愶㠰㔵㐰㤲搷㈶戰扣扣昸扤ち〱敢搷㘶㤰㠲ㄷぢ㠲㔴㙥ㄷ慦晥捣㍤㠰戹㔹扣攳攵㜵ㄹ㝣㕤昰扡ㅣㄲ挹㙢ぢ㈶㘱㘱㑦ㄹ慦㠱昰㜶捤㡢〵㐰㤲搷㈰㈶㔱扣㔶挰慢愶㡣㐵挵㙢㌰㌴晡㔶ㄴ戲㐲㈸㐰㌰㠴㠲愱ㄴ戰㘸㐸昲摡ㅡ㤶㤷ㄷ扦㈱㈲㠰搷戶㤰㠲ㄷ敢㠷㔴㙥ㄷ慦敤㤸㝢㝢收㘶慤㡦㤷搷敤昰㜵挱㡢攵㍦㤲搷㜰㈶戹〳㔶ㄹ慦ㄱ昰㜶捤㡢昵㐲㤲搷㡥㑣愲㜸戱㘸㐸㑤ㄹ㡢㡡㔷ㄸㅡ㍤㐲㈱ぢ㡡〲〴㔱ち㘲ㄴ戰挶㐸昲㡡挳昲昱ち摥扦㑦㐲ち㕥㙢㕣戹㕤扣㔲捣㥤㘶㙥㤶〶㜹㜹戱ㅥ愸ぢ㕥慣ㄶ㤲扣㐶㌲〹换㠶捡㜸敤っ㙦搷扣㔸㕥㈴㜹㡤㘲ㄲ挵㡢㌵㐶〱㌸㜶㠱㐶摦㤵㐲搶ㅦ〵〸㐶㔳㔰㐷〱㑢㤲㈴慦㌱戰㝣扣㠲户昷攳㈰〵㉦㔶㈷愹摣㉥㕥攳㤹㝢〲㜳扦ぢ㠱㤷ㄷ换㠷扡攰挵攲㈲挹㙢㌷㈶㘱㤵㔱ㄹ慦摤攱敤㥡ㄷ慢㤱㈴慦㍤㤸㐴昱㘲㐹㤲㥡㌲ㄶ搵晡㌵ㄹㅡ㝤ち㠵㉣㔷ち㄰㑣愵㘰ㅡ〵慣㘰㤲扣昶㠴攵攵挵敦ㅦ〹㜸㍥㑥㠷ㄴ扣㔸捣愴㜲扢㜸捤㘰敥㤹捣捤搲〷㌹攷㔹戴㥣㌹㔷昳昴戵昷慣慣敦㡣戹ㅣ愱挰㜳攷㌳摡㤶㌴愲㕥㠱㡢㍣㑢㙢㉦昱㝣㜳㐸晡㜰敥戸愵ㄵ㘷挱慡扣㕦愵㔰敡晢㉣〶敥搵捦昳㌵ㄵ戲ㅢ㈳㍣㌵㕦㝤敤㉦晥慦㘲㈸昵攷挴摢㍦戳捥㍥扣㘸㝢㘳㡡晤愶㌴攴㕡㕢㡡㉤㠵戶㠱㌳㔰㡢㌳㤰㕦晢㔱愸愸〸搷㔵晦ㄵㄹ〳挷攴ㅤ慢㙡收㔷ㄷ㉥攴挷攰㐳昳㥡㕢ㄶ㌵换搹㔴ㄷ昹敤㈷㤲㔷捦㥥ㅣ㈶挴㜱㜸搹ち昰っ㥥挶㘷㘷㝤ㅦ戴㝤㝡ㄸ㍣て㡥㙢㠵戶㉦散愱㘳挷㡣㥤㕥㥦换㈵㤲改㙣㉣㘶㐶戲攱㜸㍣㙣㤹㤹㜸㍥ㄹ挹㐷㑣搳ち㘷㌳搹戴戶㕦㐹㥡㠹㐶ぢ愹㕣〲慡戴㠵㙦挲㑣㤹㌰挲改㐲㌸㥣㉦㔸㔶㉡㤶㌷㜸㠶㥤改昵晤搱㐷㍦〰㡤挱ㄳ敢搲㜵㈰㕤昵㜴昱㌴扢㜴㔱㈰愵搵㤵搸㍤㕡搷戳摦攸㔴㈱戲㈲㈷昲挲慡敡搹㔳っ昵㝣慦㠷敦慣㜹改㡢ㄱ㌴㡤㈷捤慢㉦〱收㜵敢㔴晥㈸戲㌳㜷昲昴ㅣ攷㥤㐷ㄳ㌲㝡挰㐱㥦㘶挱㕣㙦散㤸晡昲㉦㥥搴ち㜰昷㠶㕢ㄶ〶攰ㅢ㉤㡢摡ㅣ㜸晡挲攳慡ㄲ㌲慡㥣㉣晡㕣〴昵挱ㅣ㘳㄰ㅡ愱挱㉦ㅦ摢㜹昰㜳㐱摥㙡攰攵昳㐱㥣㠳㍢挲戵㄰〱㝣㍥ㄵㄲ慥㐵攲㙣㜸戸㈶㤵慦〹㍡㍡㔱愱户愰挵㥡㄰㠲捤〷㐱㥢て摢㕥ㄳ戲〵㉢ㄹ㡢㈵㤲〹㌳㤱㡡ㄷ愲改㜴摣捡㠵㔳㜹㌳㔲㐸㘶慤㜴挲搴づ㈹㐹昳㤹愸ㄹ戵㌲昹㝣㉥㘳挵ㄳ㤹㥣㤹㑦挵愲㔶㌸ㄶ㠹愵愲搹㘴㈴㘷昴㜲搲敢慤攸愳ㄷ搱ㄸ扤㤵慢㝤㑤攸愳㕣㈵㤵㌰攸挲㑤㥣㠸扢挰㐷ち换㌸ㅥ捤㉣㠷愲〹ㄹ敢挱㈱㝤㈴慥㤳慦㑥愴挶晡捡晦㘷扡戶㘳慦㙤搱㠸㝥昰㑢㠶㑢攱㉦㌱摣〸㕥挹昰捦ㄸ挲捦昰㜰㜸晤っ㌷㐶㈷㈴愹搰㡦㐳ぢ㠶㥢挰㤶っ㡦㠷㙤㌳㑣㠴㔳昱㙣㉣ㄵ㑥挶ぢ愹戸ㄵ㐹㤹攱㐲㈴㙣收戲攱㜴㉡㘳收㜲㐹敤㠴㤲㌴㥣捡㈴㤲㔶㍡㤲㠹攴愲昱㐲㈱㤵㑥㈵㘲㤱㘴㉡㤳戱㉣㌳ㄶ㡤收㡣㑤㥤昴晡㠹攸愳㥦㠴挶搸㑣戹摡ㄹ昶㔷慥㤲㑡㙣㐱ㄷ㙥愲搵捤昰っ㘶㌹ㄳ㑤挸搸ㄲ㐱㕣㉢㜴て挳㠱捡㝦づ戵㘱㉡㜶㈴挳挱㑣㐶敢㝣昸㑢っ㠷挰㉢ㄹ捥つ㘴㔸〸㘴挸㌳敦㐸㔲愱㕦㡣ㄶっ户㠶㉤ㄹ㉥㠳㙤㌳㡣㔹ㄱぢ㥢ㄴ慣㠵挹㑣㍣㤷户戰㠵㐹㠶挳㠹㝣㉣ㄷ㑢㥢㤱㑣㐱㕢摥㉥㡤㘲搳㤵捤收㈳㤹㜰㉥㥥㑡㈴㌳㤹㐲㉡㙣㘵愳搹㜴㈱㥥㑡㠵攳〶捦摦㌳扤㝥〹晡攸㤷愲㌱戶㔵慥㜶㠶摢㈹ㄷ〵㔲㉡㠶搳㠵㥢搸摦捤㜰〵攳㔷愳〹ㄹ㍢㈰㠸慢㡦攱〸攵扦㤶摡ㄴㄵ㐹㌴㈲捣㘴戴㙥㠰扦挴㌰ち慦㘴㌸㍤㤰攱㥥㠱っ㜹㌶ㅥ㐹㜰㤸ㄳ㉤ㄸ挶㘱㑢㠶户挲戶ㄹ㘲㥢㙣㘵攳㘶㌸㤷㑦㠶攳昹〴㥥挰ㄹ攰㌰㘳戱㜸㈶㕤㐸挴㔳摡㙤㈵㘹㉡㙦挵挲㠹㕣㉣ㅢ㑦㘷攳㠵慣㘵收㘲㔶㌴㤱㡥㈷㉣㉢ㅦ㡦㕡㤶挱㜳晡㤲攱㑡昴搱㔷愱㌱㤲捡搵捥㌰愵㕣㈵㤵ㄸ㐹ㄷ㙥㘲㠲㥢攱摤捣㜲て㥡㤰戱ㄳ㠲戸晡ㄸ敥慣晣㝦愷㜶ㄷ㉡㐶愱ㄱ扢㌰ㄹ慤〷攱㉦㌱ㅣつ慦㘴戸㜳㈰挳㤱㠱っ敢搰〹㐹㉡昴㐷搱㠲攱ㄸ搸㤲攱㘳戰㙤㠶搱㝣㍡㥦戴挲㔶㍡㥡㑢挷㔳㌱换挴昶慤㤰㠸㘰攵㡡㘷攳㤹㙣㐱㝢扣㈴㉤㘴ㄳ攰㥡㡣㈰ㄸ㡥㈷㘳㤹㜴㉣ㅣ㑤攷㘳㤹㜰㈱ㄶぢ㘳慤㌵挶㍡改昵㈷搰㐷㝦ㄲ㡤㌱㑥戹摡ㄹ昲㘴扦㈴㑤㠱㤴㡡摤攸挲㑤㠴摤っ搷㌲晥㍣㥡㤰㌱〹㐱㕣㝤っ㜷㔷晥㤷愹ㅤ㑦挵㌸㌴㘲㌲㤳搱㝡つ晥ㄲ挳愹昰㑡㠶㕢〷㌲ㅣㄲ挸㤰㘷敤㤱〴㐷敤搰㠲攱㥥戰㈵挳户㘱摢っ㔳㜸㘲愶㈳搱㔸㉥㔹挸挵慤㝣挶㑣㐴搳愰㔸挰㥥㐵㈲㤱㑥攵戴㜷㑡搲㕣㌸㥤㡢㥡戹っ㕥㜸㌲昱㉣㕥㔳攲摣ㄲ㕡改㜰㈱㥤㉣㈴㔳㌱㘳㉦㈷扤晥㉥晡攸敦愱㌱愶㉢㔷㍢㐳ㄶ〰㐸㠶ㄴ㐸愹㤸㑤ㄷ㙥㘲㌳㌷挳㑦ㄸ晦ㄴ㑤挸搸ㅢ㐱㕣㝤っ晦愴晣㕦㔰㍢㤹㡡㍤搰㠸㝤㤹㡣搶搷昰㤷ㄸ敥て慦㘴㘸〴㌲散ㅢ挸㤰㘷昲㤱愴㐲晦づ㉤ㄸㅥ〸㕢㌲晣ㅥ戶捤㌰㤱㑢㤸搹〴㜶挶㌲昱㑣㍣ㄱ㡤攲愵㈴㥢㈸㈴㤳㠵㔸㈴㤳㑣㘶㉣敤㕦㈵㘹㌶㘳ㄶ㌲㘶㉡〵㜹㍣ㅥつ㈷捣㐲㌸㤳㡤㘳扤㡤㐶捤㠲ㄹ㌶㡤㝡㈷扤晥〳晡攸㍦愲㌱づ㔲慥㜶㠶愶㜲㤵㔴㈲㑦ㄷ㙥愲捡捤昰㌷㘶昹ㅤ㑤挸攰ㄹ㝦㕣㝤っぢ捡㕦㔹㡤攰っ㉡愶愳ㄱ㜳㤹㡣㔶㌵晣㈵㠶〷挳㉢ㄹ晥晣㜳搰敢昲㑦昰晡㕦㤷攷愱ㄳ收㠰㠳㔱㐸〵㠶㡤戰㈵挳㄰㙣㥢㘱㍡㤷㐹愵戳㐰㤸户慣㜸㍥ㅢ挵㑥㑤㍡ㄳ〱挰っ㕥㉤捣㜸㔲敢㔵㤲㕡㈹㉢㤹㡣㔹愹㐴〶㄰愳㠹㕣㍡㘷㘵㘲愶㤹㑤ㄶ㌲㐹㌳㘷愶㡣㈶㈷扤摥ㅢ㝤昴㍥㘸㡣㘶攵㙡㘷挸㐲〱戹ㅥ㔲㈰愵愲㤵㉥摣挴㔷戸ㅢ愵㝤㥢つㄸ敦㠷㈶㘴戰ち〰㔷ㅦ挳㌶攵摦㠴㕡㝥搷㠴扥てㅡ戱㤰挹㘸昵㠷扦挴㜰㌱扣㤲攱㠷㠱っ摦て㘴戸〴㥤㈴挳㉤㤱ちって㠵㉤ㄹづ㠴㙤㌳㡣㘰挷㈶㤶捥挵挲搹㔴㈶㙥㘲㍤㡣㈵㈳㔹㌳㔳㐸挲ㄳ挳敢㠶㌶愸㈴㑤攱㤵㈳㤲户㌲〵㌳㤹挰㝡㠸㔷㘹㉢ㄷ戱㠰㍦㘹㈵捤㐴戲㘰ㅣ收愴搷〷愳㡦扥ㄵㅡ攳㜰攵㙡㘷挸攲〱挹戰愴ㄲ㐷搱㠵㥢㜸搵捤㜰㍢㘶搹ㅥ㑤挸㔸㡡㈰慥㍥㠶㐷㉢晦〸㙡㑤㉡づ㐲㈳㡥㘵㌲㕡ㄱ昸㑢っ㡦㠷㔷㌲㝣㈶㤰攱㔳㠱っ㔹〵㈰ㄹ㈶㤰ちっ㑦㠴㉤ㄹ㈶㘱摢っ㌳㌹㉢㕡㌰㔳〹搳㑡㈴攳㤱㐸㤶㙦愲㌲搸挴ㄵ戰搷㤸づ㘳㝢㤸㉡㐹戳摣ㄷ㡣㘵㈲㔸ㅤ㑤散㘳挳挸ㄴ昲挹㐴㉥㤹㑦攲㌵㍤㤳㌴㑥㜲搲敢㘹昴搱㌳㘸㡣㤳㤵慢㥤攱㈹捡㔵㔲㠹搳改挲㑤㍣攰㘶戸㉢戳㡣㐶ㄳ㌲㔸㉤㠰慢㡦攱㤹捡㍦㡥摡戹㔴昰晢㌳挴搹㑣㐶㙢㈲晣㈵㠶攷挰㉢ㄹ摥ㄱ挸昰昶㐰㠶慣っ㤰っ昷㐰㉡㌰㍣て戶㘴㌸ㄹ戶捤㄰晢搲昱㝣捡㑡〰㑤㈱㥥㡥㘵戲戹㔴㌸㠲昷㉤戹㐴㈲㥣㉢攴㌳摡㤴㤲㌴㡢㝤挹㔸挱㡣㘱摦㌱挵㜷慤搸㤵㑣㈷戱㍦㥥㌱戳〵晣㤸㠳㘵㥣敦愴搷愷愲㡦㍥つ㡤㜱㠱㜲戵㌳扣㔰戹㑡㉡戱㡣㉥摣挴昵㙥㠶戳㤸㘵㌶㥡㤰挱ち〲㕣㝤っ㉦㔱晥㝤愹㙤愱㠲㥦㌲ㄱ㤷㌱ㄹ慤〳攰㉦㌱扣〲㕥挹昰㡡㐰㠶㤷〵㌲扣ㄲ㥤㈴㐳ㄳ愹挰昰㉡搸㤲㘱ㄶ戶捤㄰㉦ㄱ昹㔸㌲㘷愶㈳〵㌳㥥挷㍥づ昶愰戱捤ぢ㘷慣㐴扥㄰㡦挷戵㕣扢㌴ㅡ㐹㘱㠵㑤㤸昱㌸搶搲㐸㌲㤳捡挶戳㘶㍥ㅤ换ㄵ愲㜹戳㤰㌶㔸㜳㈰㥦愵㜹昴搱㉤㌴挶搵捡搵捥㤰㠵〷攵㉡㜱㉤㕤戸㠹昳摣っ攷㌱㑢㈳㥡㤰㜱ㅤ㠲戸晡ㄸ㕥慦晣昳愹㕤㐸挵〲㌲扣㤱挹㘸ㄵ攱㉦㌱扣ㄹ㕥挹昰搴㐰㠶㈷〷㌲扣〵㥤㈴挳㐵㐸〵㠶户挲㤶っㄷ挳戶ㄹ攲ㅤ㠷㘵㐵昳昱ㄴ㜶㔴攲㠵㐴㌴㤳㐸㐴戲ㄶ摦晥㐶攱挹㠵戵㈵㈵愹㘹㈶㘲㝣㜳㤲㑥愶戱㘵捣挵搳〵㠰㡢攳㔹ㅤ㑤㘰㌷ㅢ慦换慣㐳㤰㜴づ㐵ㅦ晤㌰㌴挶㑡攵㙡㘷挸㘲〴愹愲㐰愷㔴摣㐱ㄷ㙥攲㈸㌷挳愵㡣ㅦ㡤㈶㘴摣㠹㈰慥㍥㠶㜷㈹晦昱搴ㅥ㐱〵扦〸㐴摣挳㘴戴㑥㘲㝡㝡㜸扢て㕥挹㜰㘱㈰挳戶㐰㠶昷愳㤳㘴㜸ㅡ㔲㠱攱摦㘱㑢㠶愷挳戶ㄹ挶挲㤹㘸㈱㘲㈵昰摥㌷㡡ㄷ摢戰㤹㠸愷捤㜰愲㤰戳㔲昹㐴搶㡡㘹㘷㤴愴攱㔸摥挴摢挱㜴㈱㥦㡤挵㈳㜸つ捡攱㘹ㅤ挶敡㥢㑥愷㘳㠹㐸挲㔸攳愴搷捦㐴ㅦ晤㉣㌴挶〳捡搵捥昰㐱攵愲㐰㑡挵㈳㜴攱㈶づ㜶㌳㍣㥦昱ぢ搰㠴っ㔶ㅦ攰敡㘳昸㤸昲㉦愳昶㔸㉡㡥㈱慤㈷攰㤷っ㉦㠵扦挴昰㈹㜸㈵挳㠳〲ㄹㅥㄸ挸昰㘹㜴㤲っ慦㐴㉡㌰㝣〶戶㘴㜸ㄵ㙣攷戹㡣㍤㍣散㈱㐶㜱挸づ㥢戴㠸㠹㐳㌵〵㌳㡢昷㝥愹㜸㉣㠲昷挴摡㡡㤲ㄴ㙦ち搳戱ㄸ㕥㤳戱㑢ㄸ挷扢扥㑣捣㑡㐶慤㐴ㄴ换㜸㠷ㄳ㠹ㅢ慣㔷㤰㙢搸搵攸愳㕦㠳挶㜸㑥戹摡ㄹ慥㔵㉥ち㜴㑡挵㡢㜴攱㈶㘶扡ㄹ摥挰昸㡤㘸㐲〶㉢ㄲ㜰昵㌱㝣㔹昹㙦愵昶ㄴ㉡㑥㈶挳㔷㤹㡣搶㉡愶愷㠷户搷攱㤵っ㜷て㘴戸㕢㈰挳㌷搰㐹㌲扣ㄳ愹挰昰㑤搸㤲攱㕤戰㙤㠶挹㜰ち㙦㑡ㄲ㘰㘱㤹㜱ㄳ扢㉡㤱㝣㌴ㅢ挹挴戲㌹挰㡤挴愲摡摤㈵㘹㉡ㅡ挷户㈰攷㈲㌸攸㤵㡥㐷攳㔹扣㤲㐴昳㜹㉢㤵㌲昱昶㈵㔵㐸ㅡ慣㘱㤰っ敦㐱ㅦ晤㕥㌴挶摢捡搵捥昰ㅤ攵愲㐰愷㔴扣㑦ㄷ㙥㘲ㄷ㌷挳〷ㄹ㝦〸㑤挸昸〰㐱㕣㝤っ㍦㔴晥挷愸㍤㥢ち㝥愳㠹昸㤸挹㘸㍤挹昴昴昰昶㈹扣㤲㘱㍣㤰㘱㌴㤰攱㘷攸㈴ㄹ㍥㡢㔴㘰昸て搸㤲攱㜳戰㙤㠶改㑣㈲㠳摤ㄴ〰换㘷攳㠹㙣㉡㕢㈸攰㘸㜲㉡㥦戶㈲〵ㅣ㘴捥㙢㙢㑢搲㐸㍣㙦ㄵ戰挷㠳昷搶愹㜸搲挴㔳㍥ㄷ㌷㔳ㄱ㌳㤷㐸愵搳㤱㙣搲昸摣㐹慦㍦㡦㍥晡ぢ㘸㡣㉦㤴慢㥤攱㤷捡㔵㔲㠹㙦攸挲㑤㙣敢㘶昸ㅡ戳扣㡥㈶㘴㝣㡢㈰慥㍥㠶晦㔴晥户愹扤㤰ち㝥㈹㡡昸㥥挹㘸扤〷㝦㠹攱て昰㑡㠶㕢〴㌲ㅣ㄰挸昰㐷㜴㤲っ㍦㐲㉡㌰晣〹戶㘴昸㌱㙣㥢㘱㌴ㄷ挱换㠳㤹㐸㘰㝦㌰ㅥ㐹愵昱戲㕢挸㐵昲愹㐲㌴㘵挵慤㡣愹㝤㔲㤲收㑣ぢ扢搳㜸㈱攷㑢㐹㈴㙥愶㜱搰㌰㠱㜵㌱㤳㑡攵昰っ户㡣㝦㍢改昵㑦搱㐷晦っ㡤昱戳㜲戵㌳晣㐵戹㑡㉡昱㍢㕤戸㠹昵摤っ扦㘶㤶㙦搰㠴㡣㍦㄰挴搵挷㤰昷㑥晡扦愷昶㌲㉡㉥㐵㈳㘴捤〲慤ㅦ攱㉦㌱㘴捤㠲㘴㔸ㄳ挸㔰ぢ㘴㔸㡤㑥㤲攱㉦㐸〵㠶ㅡっ挹昰㔷搸㌶挳㠲ㄵ捥攱敤㕡挴㑣㠵ぢ㜱戰换ㄶ㔲㌸㤶㠸㈳㌲搸搳挱〶㌰愷晤㔶㤲愶ㄲ愹㘸㍥㘲挵昰㙥ㅡ㐷㙣㜱㈴㌱㔱㐸㥢改㔴㌲ㅥ㡤㐵昱㡤昶㤶搱搳㐹慦晦㡥㍥晡ㅦ㘸㡣ㅡ攵㙡㘷挸㈲〸昹㡣㉦愹〴换ㅢ㈴挳㕦晦敤㝡慦㔷慤㈱㡢㠶㈶㘴戰挲㈱㠸㈱㡢ㅥ愴㍦㐴㉤扦㑣㐵扦㥡っつ昸攵㝡搸〷晥ㄲ挳昵攱㤵っ晦㠹㘱晣挷戱扦㠱搷晦㝥㜹〳㜴挲ㄵ扦㤳㠶㔴㘰搸て㠶㘴戸㍥㙣㠷㘱㉣ㅤ挹挷昱慤晥㤶ㄹ㡤㥢ㄶ㡥捡㤸㌱㉢㥥挵㠱敡㈴㕥㌰捣㡣戶㐱扢㌴㥢㉦㘴昲攱戰ㄵ㡤㔸搸戱挹㘶昲㝣㉥㈷㌲㔶っ㘷ㄳ挲搱㠸挱㥡〸㐹愷ㅦ晡攸ㅢ愲㌱㌶㔲慥㜶㠶ㅢ㉢㔷㐹㈵㔸昲㈰ㄹ㝥散㘶搸㥦㔹〶愰〹ㄹ慣㝡〸㘲㌸㐰昹〷㔲换敦㘳搱昹敤㉥㘲ぢ昸㈵挳慤攰㉦㌱ㅣ〸慦㘴昸㘶㈰挳搷〳ㄹづ㐲㈷㕣昱〹㌱愴〲㐳㔶㌳㐸㠶摢挲戶ㄹ收㤳㌱散摣攵搲㌸㔲㠳〳慢㌸㔳㠶昷㙥㠹㔸㈱ㅦ换〲㉢㘰㙡摢㤵愴搸昱づ攳昴㐹㍥㤹㡦㘲摦㤱愷攲㤲㠵㝣㈱㕢㠸㐵㜳㠵ㄸ摥㙢ㅢ慣㤳㤰っ户㐷ㅦ㝤ㄸㅡ㠳攵ㄱ搲搵捥㜰愸㜲㤵㔴㘲㕢扡挰㐸㍣攷㘶ㄸ㘱㤶㈸㥡㤰挱㑡㠸㈰㠶㉣㡥㤰晥㈴戵慢㜸㔷㔷㤲愱慣㜷愰㤵㠱扦挴㤰昵づ㤲攱㈳㠱っㅦち㘴戸㈳㍡攱㡡㠳扢㐸〵㠶㘱ㄸ㤲攱㉥戰㙤㠶㘱ぢ㐷㕣攲攱㔴㌸㡢㥤ㅢ慣㘰搸㝢㈹攰〵ㄹ㉦ㅥ攱㔴㌴㤷㉦㘸扢㤶愴㔸㍢慤戸㤹㑦挶㜳㤰愴搲昹㜴㉥ㄹ㉢攰㄰㐴㈱㥤㠸攰扤㕥搲㘰敤㠴〴㌶ㅡ㝤昴㍡㌴㐶㔴戹摡ㄹ挶㤴慢愴ㄲ㐹扡挸昰㉥㌷挳㠹捣戲ㅢ㥡㤰㤱㠲㈰㠸㈱ぢ㈶愴㝦㌲戵晣㔶ㄸ㥤摦㌱㈳㘴つ〴慤㘹昰㤷ㄸ敥っ戵㘴㜸㜳㈰挳ㅢ〳ㄹ㡥㐲㈷㕣㜱㘴つ愹挰㜰ㄷㄸ㤲攱㑣搸㌶挳㔴㌸㥦㉣㔸搱ㄸづ㘲㕢㜸㙤捥昳愰㘱㈶㘱挱捡㐶㤳㔶㉥慢捤㉡㐹ㄳ㠹ㅣ搶㑣㌳㠶㜳㈷㈶愴改㙣愶㄰挶㙥㜶㌴ㅣ㡢㐵㜰㐶㈶㘵散敡愴搷㘷愳㡦扥㌷ㅡ㘳戴㜲戵㌳慣㔳慥㤲㑡戰㕣㐲㌲扣捡捤昰〰㘶㌹㄰㑤挸ㄸて㐱㄰挳〹捡㥦愵昶㐱摥搵〷挸㜰㌷昸攵㜳搹㠲扦挴㤰㜵ㄱ㤲攱㐵㠱っ㉦〸㘴戸〷㍡攱㕡愱㌷㈰ㄵㄸ戲ㄲ㐲㌲㍣ㄸ戶捤㌰㠱搳㈱〹扣晥㐶㌲改㘸ㅣ㝢㠷搹㘴㌴㥥㌷昳昱㜰ㄸ㐷㙤捣㕣㕣㥢㔷㤲攲〴㌹摥攰攵戲㘹㈰㡣㐷ぢ搹㜴ㅥ㑦晡㉣㡥㘵攳摣㌹摥戳㐴つ搶㔸挸昵戰ㄱ㝤昴㈶㌴〶㑢㉢愴慢㥤攱㌴攵㉡愹挴㜴扡挰㐸㥣敥㘶㔸㘴㤶㌶㌴㈱㘳〶〴㐱っ㘷㉡晦㘲㙡㥦攰㕤攵㌷摤ㄸ㉣戱挰ㄵ㙦㌸攱敦搳愳㥡㔵〲㍢㜹㑥愷〷㝦戱挵㌰敦㉦㡣㡣挷㉦㠶戰㤰戰愲〷㍥搱㙦㝦づ扥慡㜲攴㝦㤶㡢㈷散昹㌵ㄸ扣㔵ㅦ㡢晢晡㝦挸挳㌵愳扤㄰㠳ㄹ户挴㑤㍦〲㜷戸㝡㝦摣摤㜰搰ㄴ㍢晢㐹㐷㜴慣搸戰㘹㔲ㄱ㈷昳昱搳愰㌳㕢敡㑡扦㉢戹㥥㍡挹㍦㑣晤昰挵搰㜶㑦㕤戶㠸慦㔰㘹戳㔴户㘹慤愵㝥昸㈱〹ㄴ㜵㈰㌰㡣㍦㤳戱㘱扢攵晡ㅥ㠱晥敤摥㐹捤㐵晣愴㡢㤵㔷ㄹ㡢昸㤰㝤㔵㘵てㄱ昸搵ㅥ捥㉦㐸昲㡢〳㤸つ㍦敡㌲㈹㑦〰晤〳扥㐵㘱㑣㐳㥢晣ㄶ㤲〱㠸ぢ㥤ㄵ㈲摡㤱挴㌴㙡挸㤸㈱㤱敡愳昰㌸慣昳㄰攵搴㌹㈰㔷㡤㤰扥ㄴ昹挴〱挸㑣昴㐲㘷㘹㠹㜶㡣ㅡ㈳㉡づ挷ㄸㅣ㠷敢㌰扥晢㤲㘲㍥㈱㤴㑢搴㍢〶㤳搵戲ち〳晢㘳ㄵ㔰戹㉦摦散敡㔸愳敤晦㌵捥㝦㘳㜴㉤㑢㌶㘴㡦〳挴愰戳敢慡摦㍤昲搲㙦慦摤㘹攸昲㥢晥㜰晥ㅦ㘹昷搸挷改㤱ㄹ㉤收愲挷㔰㜸昵昷搸扣捦收〳㌴㘲ㄱ㈶昹㍡扥㕦挱昷㠳ぢぢ㥤㠰昷〷ㄷ㡣㜹挸㠴㉢摥攱㘲扥㝤㝡㠸ㄶㄸ㝣扡㠹㌶昴攰㍡㑥㐸晡㘹扣换慤㜰摢㝣㔸㥢愱㥤〱㥦㝣っ愲㘲㍥㜴ち㐶㐸㍦㡢攲㘲㐹捣敡っ敤㉦㑡ㅣㄱ㡤㡥搸㈶㝦㉥〲戵㉣愳攸ㅥ㌲搶㕣㜴て搹㥦搱㈳〸搹ㅣ㑣㈷㄰㔹挱〹㜸㝦愲挱㔸㡡㑣戸愲㔴〰㜳〷戲攳㘰㐸㘴㜹昴㈸㈱㕢㑥ち㈷㈲㘴㈳㘳㈹㠶㜶愹愲㄰ㄵ〷㌹ㄴ散㔵敡㜲㡡㔹㐹㘱㡢㔹㡣愱㕤愹挴ㄱ戱扦㈳戶㤱慤㐰愰昶っ㐸扡㠷㡣㈵ㄶ摤㐳㜶づ㝡〴㈱摢摢㈱攳㕢换㘶㍢〱敦㡦㍡ㄸ慣捦挰戵㐲扦づ㜳〷㌲ㄶ㔹㐸㘴㌳搱愳㠴散〶㔲戸〴㈱㥢挲㌲㉣㘹㌷戵㔳搸戳㡣挲㉤ㄴ戳㉥挲ㄶ㉦愷昸㌶㈵㡥㡡挹㡥搸收扢ち㠱摡ㄵ㤰㜴てㄹ㉢㉡扡㠷㡣挵ㄵ㐱挸㈶㍡㘴㝣挸㈶㌸〱敦捦㐰ㄸ㉣挷挰ㄵ㝢㘶㤸㍢㤰戱愶㐲㈲ㅢ㠷ㅥ㈵㘴昷㤲挲㑡㠴㙣ち户㘲㐹扢扦㥤挲攸㌲ち㙢㈸㘶㥤㠴㉤扥㡤攲〷㤵㌸㈲㜶㜶挴昶㕡昶㌰〲戵慣㠹攸ㅥ戲㝢㔴㡦㜵摥㤶晤ㅤ㍤㠲㤰愵ㅣ㌲㍥㘴㐹㈷攰晤攱〸㠳搵ㄷ戸攲戰ㄲ收づ㘴㉣愱㤰挸攲攸㔱㐲昶㌴㈹戰摣挱愶昰ㄸ㤶戴㘷摢㈹㠴换㈸慣愵㤸㔵て戶㤸㤵ㄵ摡ぢ㑡ㅣㄵ挳ㅤ戱扤㤶扤㠴㐰㉤㑢㈰扡㠷散㜹搵㘳㥤㤱扤㡣ㅥ㐱挸戶㜱挸昸㤰㙤敤〴扣㍦㌵㘱扣㠶㑣戸攲ぢ挴㌱㜷㈰㝢ぢ㠶㐴㌶〴㍤㑡挸摥㈲㠵㜷ㄱ戲㈹扣㡤㈵敤ㅤ㐵㈱㈲〶㍡ㄴ散ㄵ攷㍤㡡㔹攴㘰㡢㔹㐸愱㝤愰挴㔱㌱挰ㄱ摢挸㍥㐲愰㤶ㄵて摤㐳昶愹敡戱捥挸㔸㈹ㄱ㠴㙣㘳㠷㡣て搹㐶㑥挰晢攳ㄴ挶搷挸㠴㉢㍥攳㠴戹〳搹㜷㌰㈴戲㝥攸㔱㐲昶㈵㈹戰㑣挱愶昰㍤㤶戴慦摢㈹ㄸ㘵ㄴ扥愵㤸㐵て戶㤸㜵ㄳ摡㜷㑡ㅣㄱ扤ㅤ戱捤昷㕦〸搴晥〶㐹昷㤰晤慥㝡慣㌳戲㑡っ㄰㠴慣愷㐳挶㠷㑣㜳〲摥㥦戳㌰㔸㑡㠱攱昱㈹㈶捣ㅤ挸㔸て㈱㤱㔵愱㐷〹搹㙦愴挰摡〵㥢〲㡢㈴戴㍦摡㈹㔴㤴㔱攰㡦㔰ぢ㤶㌰搸㘲㤶㐹㘸㍤攰㜳昶㐸㝥晤挹扤㐷㔲㡤㐰㉤敢ㄹ㜰敤挶㝥ㄹ㡢ㅦ㘴㡦㜵㐶戶〹攴㐳㜹㐷㍤晢㘵㍦㘲㍡㠱㍢ㄹ㍦㌸〱敦て㘰ㄸ晤㤱㐹㈲敢㠵戹〳ㄹ换ㅦ㈴戲敦搱愳㠴慣て㈹戰〸挱愶㌰㄰㑢㕡㙤㍢㠵㙦捡㈸慣㐷㌱㑢ㅡ㙣昱㈰㡡㌷㔰攲㠸昸挲ㄱ摢㙢搹㠶〸搴戲㝣〱搷㙥㈰㘳慤㠳散戱捥挸㐶㐰㍥㌴〰搹㈷づㄹ摦㕡昶戱ち㜸㝥㌲挳㘰愱㠴㐴搶ㅦ㜳〷㌲㔶㍢㐸㘴ㅦ愲㐷〹搹收愴挰㥡〳㥢〲㑢㈰戴㉤ㄵ㠵愸㜸搷愱㘰㙦㥥〶㔱捣ち〶㕢捣㈲〸㙤㉢㈵㡥㠸㌷ㅤ戱㡤㙣㈸〲戵慣㔶挰戵ㅢ挸㐶慢ㅥ敢㡣㡣㔵づ㐳〳㤰扤愲挸㜸扦㔹昸㘵㈷攰晤㤱つ㠳㜵ㄱㄲ搹㌰捣ㅤ挸㔸摣㈰㤱扤㠸ㅥ㈵㘴㍢㤰〲㑢っ㙣ち慣㜸搰㜶㔴ㄴ愲攲㌹㠷㠲㡤㉣㐲㌱ぢㄶ㙣㌱㙢ㅥ戴㤸ㄲ㐷挴㔳㡥搸㐶㤶㐰愰㤶挵〹戸㜶〳ㄹ㉢ㄹ㘴㡦㜵㐶戶㉦攴㐳〳㤰㍤敡㤰昱慤㘵㡦㌸〱敦捦㜲ㄸ㉣㠳㤰挸㜶挲摣㠱捣㠴㉤㤱㍤㠴ㅥ㈵㘴愳㐸㠱㜵〷㌶〵ㄶ㌸㘸扢㉡ち㔱昱㜷㠷㠲㡤慣㡥㘲搶㈷搸㘲㤶㌸㘸㘳㤵㌸㈲敥㜱挴㌶戲昱〸搴戲ㄶ〱搷㙥㈰㘳攱㠲散戱捥挸㔸挳㌰㌴〰搹㙡㠷㡣て搹敤㑥挰晢㐳ㅥ〶慢ㅥ㈴戲㍤㌰㜷㈰㘳改㠲㐴戶ㄲ㍤㑡挸愶㤰〲㙢〷㙣ち慣㘷搰愶戵㔳戸戹㡣挲㕥ㄴ戳摡挰ㄶ戳愲㐱㥢愱挴㔱㜱扤㈳戶昹捥㐲愰㜶㈹㈴戸㜶〳ㄹ敢ㄴ㘴㡦㜵㐶挶㤲㠵愱〱挸慥㜱挸昸㤰㕤敤〴扣㍦晤㘱戰挸㐱㈲摢て㜳〷㌲㔶㉡㐸㘴㔷愱㐷〹搹〱愴挰慡〲㥢〲换ㄷ戴㝡㐵㈱㈲㉥㜳㈸搸㉢㡥㐹㌱㡢ぢ㙣㌱ぢㄸ戴㥣ㄲ㐷挵㌲㐷㙣㈳戳㄰愸㘵愵〱慥摤㐰挶戲〴搹㘳㥤㤱戱㐲㘱㘸〰戲昳ㅤ㌲㍥㘴攷㌹〱敦㡦㠵ㄸ慣㘹㤰挸收㘱敥㐰挶挲〴㠹散ㅣ昴㈸㈱㙢㈲〵㔶〶搸ㄴ㔸慤愰戵㈸ちㄱ㜱愶㐳挱㐶㜶〸挵慣㈵戰挵慣㔷搰㡡㑡ㅣㄵ愷㍡㘲ㅢ搹〲〴㙡㔹㔸㠰㙢㌷㤰戱ち㐱昶㔸㘷㘴㉣㐸ㄸㅡ㠰散〴㠷㡣て搹昱㑥挰晢昳㈲〶㑢ㄸ㈴戲挳㌰㜷㈰㘳ㅤ㠲㐴㜶㉣㝡㤴㤰ㅤ㐱ち㉣〴戰㈹戰㌸㐱㍢㔲㔱㠸㠸愳ㅣち㌶戲愵ㄴ戳㜴挰ㄶ戳㍣㐱㍢㐶㠹㜱㈴捤ㄱ摢挸㡥㐳愰㤶㜵〴戸㜶〳ㄹ㡢づ㘴㡦㜵㐶挶晡㠳愱〱挸ㄶ㌹㘴㝣挸ㄶ㍡〱敦て㤲ㄸ慣㔸㤰挸㑥挱摣㠱㡣㘵〷ㄲ㔹ㅢ㝡㤴㤰㥤㐶ち㍣昹㙦㔳㘰㉤㠲㜶㐶㍢㠵昹㘵ㄴ捥愲㤸愵〴戶㤸搵〸摡㕦㤴ㄸ挷换ㅣ戱捤昷㕣〴㙡㔹㌶㠰㙢㌷㤰戱挶㐰昶㔸㘷㘴㉣㌷ㄸㅡ㠰㙣㡥㐳挶㠷慣攰〴扣㍦㘱㘲扣㠷㑣ㄲ搹挵㤸㍢㤰戱捡㐰㈲换愳㐷〹搹㜲㔲攰戹㝥㥢〲㑢て戴㑢ㄵ〵ㅣ㉦㜳㈸搸㉢捥攵ㄴ戳㜲挰ㄶ戳昸㐰扢㔲㠹㜱扣捣ㄱ摢挸㔶㈰㔰换㉡〱㕣扢㠱㡣㈵〵戲挷㍡㈳㘳㜵挱搰〰㘴㝢㍢㘴㝣挸㘶㍢〱敦㡦㥥ㄸ慣㐷㤰挸慥挳摣㠱㡣㐵〵ㄲ搹㑣昴㈸㈱扢㠱ㄴ㜸㙡摦愶挰㑡〳敤㈶㐵㈱㉡昶㜴㈸搸挸㙥愱㤸㠵〲戶㤸戵〶摡㙤㑡ㅣㄱ㤳ㅤ戱㡤㙣ㄵ〲戵搵㝣敦搵㉤㘴慣㈰㤰㍤搶ㄹㄹ㡢〹㠶〶㈰㥢攸㤰昱㈱㥢攰〴扣㍦㤳㘲昴㐱㈶㠹散㙥捣ㅤ挸搶㠳㉤㤱㡤㐳㡦ㄲ戲㝢㐹㠱㘷昲㙤ち㉣㉣搰敥㔷ㄴ愲㘲戴㐳挱㐶戶㠶攲つ㑢攲つ㈸㝥㔰㠹㜱扣捣ㄱ摢挸ㅥ㐶愰戶㍦㈴摤㐳挶㠲㠱敥㈱ㅢ㠸ㅥ㐱挸㔲づㄹㅦ戲愴ち㜸㝥㔸挵搸ち㤹㈴戲㈷㌱㜷㈰㘳挹㠰㐴ㄶ㐷㡦ㄲ戲愷㐹㠱㈷敥㙤㘴慣㈳搰㥥㔵ㄴ愲㈲散㔰戰㤱慤愵㜸㔸㐹捣㑡〲敤〵㈵㡥㠸攱㡥搸㐶昶ㄲ〲戵ㄱ㐸扡㠷㡣昵〱摤㐳挶㔲㠱㈰㘴摢㈸㌲摥㌷㑣㕢㍢〱敦㑦戱ㄸ㉣㉥㤰挸摥挰摣㠱㙣ㄴ㙣㠹㙣〸㝡㤴㤰扤㐵ち愳ㄱ戲㤱戱㙣㐰㝢㐷㔱㠸㡡㠱づ〵ㅢ搹㝢ㄴ搷㤵挴扢㔲晣㠱ㄲ㐷挴〰㐷㙣㈳晢〸㠱㕡㥥攱敦ㅥ㌲㤶〳㜴てㄹ㉢〳㠲㤰㙤散㤰昱慤㘵ㅢ㌹〱敦㡦户ㄸ搳㤰㐹㈲晢ㅣ㜳〷戲ㄹ戰㈵戲㝥攸㔱㐲昶㈵㈹昰戴扣㡤㡣㔵〲摡搷㡡㐲㔴ㄸづ〵ㅢ搹户ㄴ昳㈴扦㉤㥥㐵昱㜷㑡㡣攳㘵㡥搸㐶昶㉦〴㙡て㠰愴㝢挸㜸昶扦㝢挸㔸〸㄰㠴慣愷㐳挶㠷㑣㜳〲摥㥦㝢㌱㉣㘴㤲挸㝥挱摣㠱㡣攷晦㈵戲㉡昴㈸㈱晢㡤ㄴ㜸ㄶ摥愶挰愲〰敤て㐵㈱㉡㉡ㅣち㌶㌲㔱〳㜱㔳㐹㍣㡦攲ㅥ昰搹㘷㔱挵慦㍦摡挷换㙣㘴搵〸搴ㄶ㈱改ㅥ㌲㥥散敦ㅥ㌲㥥昷て㐲昶㈳愶ㄳ㝣扣捣〹昸㝥㈰收㌰㘴敡敡〷㘲昸㡤〶㔶㔱晥㠸㐹㉤㕥㜳慡ぢ晣づ㠶㕥〵摢捤㤳晢昸ㄶ㠶㠶挶㐶昹〵〶扤昱㝢づ慤昳慣搶挹昸搹ㄲ晣㡡〳㝥摡摥昹〴㍤㝥捥㠴㕦㡦慦㝥㌱㐰㤷ㄶ㍢㙢㠵㘹慤昸〹㠱㥥㠵㐹㐵晣摣㑣扥愶㘹㑦戳慤捤㙡㙤晥㕦昸戱〷㝣愵〴扦捦てㄷ晢㘷ㅥ〲扦捤㠱㕦搳㄰㜸㈶㕤ㄲㅢ搱捥㘳㌲㝥㠸㠴ㄵぢ㤵晣ㄹ㠸晦散㤷㘷戴㕥㔸挵搴て㥢攴㕤㍦㙣㔲㈵扥挷㐳㙣搷〶ㅥ㔵昱〷愷捣㤳昴㝡ㅦ攸戵扥㘸㝡搴ㄵ㥢㘴㕤つ㥡㤰㕥ぢ㡦晣㔶て搹㔴㔴ㅦ㠱搵挰㝢攷昸晤ㅡ晣昶戴㡡敡㐵つ昹戶戹摡㕣慢㘱捥摣㌶㝣㡦㐶㉦摥㘳㜵愹㕡㡡慥㥤㤵ㅦ昰㜹搴戳愹摥㙣㙤㌵㤷搴㌴搵㌷㕡捤㜳摡收搶搴㉦㐴戵〵㝥㤰〵捦扢㥡㥡ㅡ㝤㍤捣挷〶㡤愷摢㜱挸挸慣晡晡㙥敦㈹昰㜰㙤搵㠹愰㑡㝣ㄱ㜸㜷㌷攴晤攲摤㙤扦慢ㅢ搳挵㉦㌰戱敦慡㌸つ㌹㜸㜷搵㐵㥣〵㐳づ户㈹㤴愵㐹㥣慢扣㥢戹扤ㄷ挳敢㥡挴㠷㠱㤳搸㥣㈳㤶㑦㘲㑢捦㈴㤶㈳㑦搹㈴㉥㔷挳つ㜲て户㐲㜹〷扢扤搷㤵㑦攲捤挰㐹っ昵㑦㘲ㅢ捦㈴㙥昰㑥攲ㄶ㌵摣㜶敥攱㔶㈹敦昶㙥敦摤攵㤳㜸㌱㜰ㄲ㍢昸㈷戱愳㘷ㄲ昷㝡㈷戱㐶つㄷ㜱て昷戰昲㐶摤摥㈷换㈷昱㔴攰㈴ㄲ晥㐹愴㍣㤳㜸摡㍢㠹戵㙡戸㡣㝢戸㤷㤴㜷愴摢晢㐶昹㈴ㅥち㥣挴㈸晦㈴㜶昵㑣攲㉤敦㈴摥㔳挳搵戹㠷晢㐸㜹挷戸扤㥦㤷㑦攲㥥挰㐹㡣昷㑦㘲愲㘷ㄲ㕦㝡㈷昱慤ㅡ㙥㤲㝢戸㝦㈹敦敥㙥敦㉦攵㤳㔸ㄹ㌸㠹㈹晥㐹㑣昳㑣攲㌷敦㈴〴㌶ㄳ昲㈹扡㤷㝢戸㙡攵㥤敥昶昶㠲搷昵ㄴ扤㍥㜰ㄲ戳晣㤳搸摢㌳㠹㍥挸㔳昶ㄴ㕤㑦つ户㡦㝢戸つ㤵㜷㕦户户㝦昹㈴慥ち㥣挴〱晥㐹搴㝢㈶戱戹㜷ㄲ㠳搴㜰愶㝢戸愱捡㥢㜵㝢㠷㤵㑦㘲㔹攰㈴㉣晦㈴收㜸㈶戱㠳㜷ㄲㄱ㌵㕣㠳㝢戸㠴昲ㅥ散昶敥㔴㍥㠹㜳〲㈷搱攴㥦㐴㡢㘷ㄲ愳扣㤳愸㔳挳ㅤ攲ㅥ㙥扣昲戶扡扤㝢㤴㑦攲搴挰㐹㉣昰㑦㘲㤱㘷ㄲ㔳扣㤳搸㑢つ户挴㍤摣㉣攵㍤搴敤摤慦㝣ㄲ挷〶㑥攲〸晦㈴㡥昴㑣攲〰敦㈴㑣㌵摣㔲昷㜰㤶昲ㅥ敤昶捥㉢㥦挴攱㠱㤳㌸捥㍦㠹ㄳ㍣㤳㘸昲㑥攲㄰㌵摣㐹敥攱ㄶ㈸敦挹㙥敦㘱攵㤳㘸ぢ㥣挴㘹晥㐹㥣攱㤹挴ㄱ摥㐹㉣㔵挳㥤攵ㅥ敥㌸攵㍤摢敤㍤愵㝣ㄲ㡤㠱㤳㌸搷㍦㠹昳㍤㤳㌸捤㍢㠹戳搴㜰ㄷ扡㠷㍢㔷㜹㉦㜲㝢㉦㉥㥦㐴㍥㜰ㄲ换晤㤳戸搴㌳㠹攵摥㐹㕣慥㠶扢摣㍤摣ち攵扤挲敤扤慥㝣ㄲ晢〷㑥㘲㠵㝦ㄲ搷㜸㈶㜱㠳㜷ㄲ户愸攱晥收ㅥ㙥㤵昲㕥敢昶摥㕤㍥㠹㤹㠱㤳戸挱㍦㠹㥢㍣㤳戸搷㍢㠹㌵㙡戸㕢摣挳㍤慣扣户扡扤㑦㤶㑦㘲㜲攰㈴㔶昹㈷戱摡㌳㠹愷扤㤳㔸慢㠶扢搳㍤摣㑢捡㝢㤷摢晢㐶昹㈴挶〵㑥攲㕥晦㈴敥昷㑣攲㉤敦㈴摥㔳挳慤㜱て昷㤱昲㍥攰昶㝥㕥㍥㠹㥤〳㈷昱戰㝦ㄲ㡦㝡㈶昱愵㜷ㄲ摦慡攱ㅥ㜷て昷㉦攵㝤挲敤晤愵㝣ㄲ昱挰㐹㍣敤㥦挴戳㥥㐹晣收㥤㠴㠰㐰敥㑦慣㜵て㔷慤扣捦扢扣搵㝤㘰慣昳摢㍢ㄶ㑡㙦㠰㌷挲㡤㔶㡥㍦㌷挹ㅦ㉤ㅣ搶㠸户㘹敢昰ㅢ㤱㉦㘰ㅣ㔱换〶㌹昴ㄷ㥤〵ㅡ戵敢㌹〶晥挱㕡摦㙤㠹つ㘱㜱㡡晡㑢㜴㙦散挴昴㤷㥤〵搹㝦㔳挷挰㍦昴摦捣㙤㠹捤㘱挹晥慦搰扤愵ㄳ搳㕦㜵ㄶ㘴晦㐱㡥㠱㝦攸㍦搸㙤㠹愱戰㘴晦搷攸摥挶㠹改慦㍢ぢ戲晦㜶㡥㠱㝦攸扦扤摢ㄲ㍢挰㤲晤摦愰㝢㐷㈷愶扦改㉣挸晥ㄱ挷挰㍦昴㡦扡㉤㤱㠰㈵晢扦㐵㜷捡㠹改㙦㍢ぢ戲㝦挶㌱昰て晤㐷扡㉤㌱ち㤶散晦づ摤扢㍡㌱晤㕤㘷㐱昶慦㜳っ晣㐳晦㌱㙥㑢㡣㠷㈵晢扦㐷昷㐴㈷愶扦敦㉣挸晥㤳ㅣ〳晦搰㝦㜷户㈵愶挰㤲晤㍦愰㝢㥡ㄳ搳㍦㜴ㄶ㘴晦扤ㅣ〳晦搰㝦扡摢ㄲ戳㘰挹晥ㅦ搱扤户ㄳ搳㍦㜶ㄶ㘴晦㝤ㅣ〳晦搰㝦㕦户㈵づ㠰㈵晢㝦㐲㜷扤ㄳ搳㍦㜵ㄶ㘴㝦搳㌱昰て晤戳㙥㑢㔸戰㘴晦捦攸㥥攳挴昴㝦㌸ぢ戲㝦㠳㘳攰ㅦ晡ㅦ散戶㐴ㄳ㉣搹晦㜳扡㕢㥣㤸晥㠵戳㈰晢ㅦ攲ㄸ昸㠷晥慤㙥㑢㉣㠰㈵晢㝦㐹昷㈲㈷愶㝦攵㉣挸晥㑢ㅣ〳晦搰晦㔰户㈵㡥㠰㈵晢㝦㑤昷㤱㑥㑣晦挶㔹㤰晤㤷㍡〶晥愱晦搱㙥㑢ㅣ〷㑢昶晦㤶敥ㄳ㥣㤸晥㑦㘷㐱昶㍦挹㌱昰て晤㑦㜶㕢攲㌴㔸戲晦㜷㜴㥦攱挴昴敦㥤〵搹晦㉣挷挰㍦昴㍦摢㙤㠹㜳㘱挹晥晦愲晢㝣㈷愶晦攰㉣挸晥ㄷ㍡〶晥愱晦㐵㙥㑢㉣㠷㈵晢晦㐸昷愵㑥㑣晦挹㔹㤰晤㉦㜷っ晣㐳晦㉢摣㤶㔸〱㑢昶晦㌷摤搷㌸㌱晤㘷㘷㐱昶晦㥢㘳攰ㅦ晡㕦敢戶挴つ戰㘴晦㕦攸扥挹㠹改扦㍡ぢ戲晦㉤㡥㠱㝦攸㝦慢摢ㄲ慢㘰挹晥扦搱扤摡㠹改扦㍢ぢ戲晦㥤㡥㠱㝦攸㝦㤷摢ㄲ昷挲㤲晤晦愰晢㝥㈷愶攳摢摤攵㠶㔸昶㕦攳敥㔱晢㠰摢ㄲて挳㤲晤〵㝢㍣慡晡㔷扡晢㍦敥敥㔱晢㠴摢ㄲ㑦慢晥㍤搸攳㔹搵扦捡摤㝦慤扢㐷敤昳㙥㑢挸㤷つ摣㉤扤ㅡ㍤搴挵攰换㠷㍣ㄲ慥挱㡢㈳攱㉦愹扣㘵㉡扥㐸㐸㔵㡤慤㝡㈵㔰挵㤷〲愹ち搹慡搷〲㔵慦㉢㔵㙦㕢㈵㌷攷扥㜹㜱戳㉥㜳昵戵㔵㙦〵收攲挶㕢慡っ㕢昵㑥愰㡡㥢㘸愹㕡摦㔶扤ㄷ愸㝡㕦愹晡搹㉡戹㤹昵捤㡢㥢㕢㤹㙢㈳㕢昵㔱㘰㉥㙥㔴愵㙡ㄳ㕢昵㐹愰㡡㥢㑥愹摡捣㔶㝤ㄶ愸晡㠷㔲つ戰㔵㜲昳攷㥢ㄷ㌷㠳㌲搷ㄶ戶敡换挰㕣摣搸㐹搵㐰㕢㈵㌷㘵扥㕣摣愴㐹搵㘰㕢㈵㌷㔸㍥ㄵ㌷㕣㔲㌵挴㔶挹捤㤲㑦挵捤㤳㔴㙤㙤慢攴挶挷愷攲㐶㐸慡戶戵㔵㜲ㄳ攳㔳㜱㔳㈳㔵摢摢㉡戹㈱昱愹戸㐱㤱慡攱戶㑡㙥㉥㝣㉡㙥㌶愴㙡㠴慤㤲ㅢ〵㥦㡡ㅢ〷愹ち摢㉡昹搴昷愹戸〹㤰慡愸慤㤲㑦㜰㥦㡡㑦㜴愹㡡摢㉡昹㌴昶愹昸㜴㤶慡愴㔴ㄹ敡㘹㈸昸晣㤴愷愸ㅥ晦挱㍥㐵㌵〶㝤㙢昰〳戲㝣㑡捡挰㘳㥥〰㥦㠵㌲昰愸㈷挰㈷㥥っ㍣攲〹昰戹㈶〳て㝢〲㝣㝡挹挰㐳㥥〰㥦㔱㌲昰愰㈷挰㈷㤱っ㍣攰〹昰㜹㈳〳㙢㍣〱㍥㔵㘴攰敦㥥〰㥦ㅤ㌲㜰扦㈷挰㈷㠴っ摣攷〹昰㌹㈰〳昷㝡〲㕣敤㘵攰ㅥ㑦㠰㙢扡っ摣敤〹㜰攵㤶㠱扢㍣〱慥捦㌲㜰愷㈷挰㔵㔸〶敥昰〴戸搶捡挰㙡㑦㠰㉢慡っ摣敥〹㜰摤㤴㠱㔵㥥〰㔷㐷ㄹ㔸改〹㜰つ㤴㠱摢㍣〱慥㜴㌲㜰慢㈷挰昵㑣〶㙥㈹て昴晡㝦捦㌷㙢愶</t>
  </si>
  <si>
    <t>㜸〱捤㥤〷㜸ㅢ㔵昶昶㝤ㅤ㝢攲㔱ㄲ㍣㐰㐲ぢ㤰㌸㘰〸〴㠲㝡〹㠴昴㠴㤰〶愹㑢㈸㘶㈴㡤ㄲㄳ㤷㘰㍢㡤ㄶ㝡て㙤㘱愹愱㠷摤愵户㔰挳搲㔹㝡敦扤户㠵愵㉣ぢ扢搴敦㝤敦捣㤵㐶㌳㘳㍢摥晦㝥捦戳戲㜴㍣昷㥣昷㥥㝢昵搳捣㐸㥡㌹㤲㉡㐴㐵㐵挵㙦戸昰㍦㉦㔵㕣搸㜲搶㡡昶づ慢㜹昸戸搶愶㈶㉢搷搱搸摡搲㍥㝣㑣㕢㥢戹㘲㙡㘳㝢㐷㉦〸戴㠶㐶挴摢慢ㅢ摡ㅢて戱㙡ㅡ㤶㕡㙤敤㄰㔵㔷㔴搴搴攸㤵㠸㙦敥摣っ搵搰搹㑢慦愲㠱慡㐲搷㘸㝡搳搴搰攸㌴㈱㥡㍥㌴㝤㘹晡搱㙣㐰㔳㑢㘳搰㙣㐸戳ㄱ捤挶㌴晤㘹〶搰㙣㐲戳㈹捤㘶㌴ㅣ㕦摦㠲㘶㈰㑣摦㉤㘱㘶㡦ㅢ㍢㈳㝢㄰敥捤慣㡥搶㌶㙢愷挱㜳敤㌹㡦㡣㐴㠶攳㉦ㅥ㑦てて敦㌴㜸摣㤲愶㡥㈵㙤搶挸ㄶ㙢㐹㐷㥢搹戴搳攰扤㤶㘴㥢ㅡ㜳㔳慣ㄵ戳㕢ㄷ㔹㉤㈳慤㙣㌸㤶㌵攳改㐸㍣㤱㈸㘴㌲改扥㕢㈱昳昴㜱㘳昷㙡戳ち敤晦慤㥣㕢㌳攷㡣㜱㘳㠷㑦户㍡晥㕢㌹〷㈱㈷㔲㡥㙦㙤㌶ㅢ㕢晥㑢㐹慢昹㤸㈶挶㕢戹㐶㍥昸㤶搵搶搸戲㘰㌸愶㕤〶ㅡ慤搴昰㌱敤敤㑢㥡ㄷ㜳㍤ㅡ㘷㌵㌵捤戴ち昲㐱㙦ㅥ摦摥戱㤷搹搶摣摥户㤹晣慣㌶慢㈵㘷戵㙦搰㍣㘱㜹捥㙡㜲㠴敤㌵捤㜳捤戶改㘶戳㔵挵㠵摡㘶晢㌱㥣㥣户㕡㍡ㅡ㍢㔶昴㙢㥥搳㙥捤㌴㕢ㄶ㔸㤴㔴㌷㑦㕡搲㤸ㄷ㔵㔵戸㔶昴摡㍥㘸㘶昲㠱挲㝣㥡挷㉤㌴摢㍡㘴㡢て㘱㈴㐸敢㕡㕤攴扤㈸㥢ㄷ㔷愹挱㥥㕥㝣捣㘶㌵㌶㑦戱摡㕡慣㈶づ挲㐷㜲㤸㐷㈴〱搹㡦㐳㤱㤴扡㍢㝣㤴㐴ㅦ㘷攳攳㝤攱㈸摡㘰㤸捤愷户戶㌵㘳㠵㥣㘶㤹㉤㈳㈳攱昰㑥戳㍡昲攳慤愵㈳愳〹扤づ㘱㝤〸㠵摢挰㠴挶㕢捤㘶㑢㝥㐴㍣㍥㐲摦㤶㤱㝡ㄸ㔱昵㍡㌶㜱㜷㘲㙥㘶㤵つ㘶㘵㐳戶戲㈱㔷搹㤰慦㙣戰㉡ㅢち㤵つぢ㉡ㅢㄶ㔶㌶㌴㔶㌶ㅣ㔴搹戰〸ㅡ㜵愹改摤扢搲戹㝣昰昰〱昳㑥㥥㙦捤戸愷敤㤹㝦㔵㕦㜸㔲㔶㜰慢㤶㍢㠵敤戱搰挵㐴㠷㈲慣敦〰愳敤〸愳㈶ㅡ换㡣搰㠷㌱戲ㄳ㡣㄰㉦㘰愲㥣散㌹扦敦晢攰昹㈷挴愷ㅦ昳搶㝣㈳㝦散㔱搵㠲扢つ㌹捡㜰㉣㜴㌱捡㉥捣ㄵ㠶搱㈲㌰㙡㤴㐴㜸㠴ㅥ㘵㈴〶㈳挴㤳捥㈸〳扦㍥㘴攱捡昳ㅥ㥣㜴昲捤㔷㕥㜹攳摣戳ち㠲晢㈵㌹㑡〲ぢ㕤㡣㤲㘴慥ㄴ㡣㤶㠶㔱愳挴搲㈳昴っ㈳㈳㘰㠴㜸搸ㄹ㘵摥㑤摦㕤㝡昲换改㈹㝦㝡㈴昳摤扥晤㉦扣㐱㜰挷㈷㐷搹つぢ㕤㡣㌲㤲戹㜶㠷搱㐶挱愸㔱愲㈰㌶㥡㤱㌱㌰㐲晣挵ㄹ攵㤲慦㉢㥡昷㍢晤㠰㘹挷慥㝢扡㌵晥敥㔶㌷ぢ㙥㘴㜲㤴㜱㔸攸㘲㤴昱捣㌵〱㐶㥢〸愳㐶㠹㠱搸㈴㐶昶㠰ㄱ攲㜶㘷㤴㠷扦㍥㍤ㅣ捡昷㤹㜸昶ㄷ摢扣昸收㠷ㄷ㉥ㄲ摣㜵换㔱昶挴㐲ㄷ愳㑣㘱慥愹㌰摡㌴㤸攲㈸愹ㄱ晡㜴㐶㘶挰〸㜱愳㌳捡搴ㄷ㙥搸敥㡡㍥㍦㡥㍥搲戸晥敥㈵挳㤶〹挱攷〶㌹捡摥㔸攸㘲㤴㤹捣㌵ぢ㐶㥢つ愳㐶㠹攲㜱㤹挳挸㕣ㄸ㈱晥散㡣㌲㈵㝦㙤摤敥㝢㝥㌴昵㠶搹㥢㑣㜸㜸摤㘳戳㐵ㅦ㠴攵㈸扦挳㐲ㄷ愳散挳㕣昳㘱戴㝤㘱搴㈸㜱摣㤷晤ㄸ搹ㅦ㐶㠸换㥤㔱㠶㐵㍦㥣㌷昸敤愷挷㥥㜰搰㐳㐳㡦ㄸ㝤㕦㐴昰搹㑤㡥搲㠰㠵㉥㐶㌹㄰㘱摤㠴搱戲㌰挵㔱㘲㈳昴ㅣ㈳㜹ㄸ㈱㉥㜴㐶ㄹ㜰搳慥㍢ㅥ扥㘰攴昴ㄳ㈶㝦昲搵㌱ㅦ㌷ㄵ〴㥦㍥攵㈸〵㉣㜴㌱捡〲收㕡〸愳㌵挲愸㔱愲戸㉦〷㌱戲〸㐶㠸戳㥤㔱敥㔹昵捣㈳㝦搰㍦㥥㜸昳昰㘱㕦っ晣慤㘱㤰攰昳戳ㅣ愵ㄹぢ㕤㡣搲挲㕣慤㌰摡㘲ㄸ㌵㑡㍣㍡㐲㍦㤸㤱㌶ㄸ㈱㔶㌹愳っ摥昸昴愷㈷搴㌷㡣㍢昶敡攱㉦扣㜵捣㠱㕦〹扥〰㤰愳㜴㘰愱㡢㔱㤶㌰搷㔲ㄸ㙤ㄹ㡣ㅡ㈵㥡ㅣ愱㉦㘷㘴〵㡣㄰挷㍢愳昴扦㘱㐸愳扥㉣㌱收㤶扢㝦㔷㜵挵挲扡愷〴㕦㘱挸㔱づ挵㐲ㄷ愳ㅣ挶㕣㠷挳㘸㐷挰愸㔱攲㤱ㄱ晡㑡㐶㡥㠴ㄱ㘲愵㌳捡户ㅦ摣㜷㘲㝤散慦㔳㑦㙡搸晦捤㡤㤳敤〷ち扥㠴㤱愳ㅣ㡤㠵㉥㐶㌹〶㘱晤㔸ㄸ敤㌸ㄸ㌵㑡㉣㌱㐲㍦㥥㤱ㄳ㘰㠴㔸敥㡣昲昸㔳昱㔹ㄷ扣㌸㘴捡㐵户ㅣ晣散ㅥ〹㝤㤵攰㙢㈴㌹捡㐹㔸攸㘲㤴㤳㤹敢ㄴㄸ敤㔴㤸攲㈸㜸㕣㔶㌱㜲ㅡ㡣㄰〷㍢愳㍣昴㐰慦㤱㘷っ摤㙥攲摡挷ㅥ摣㜴攸㘱昳っ挱ㄷ㘱㜲㤴㌳戰搰挵㈸㘷㌲搷㔹㌰摡敦㘱搴㈸㜱散挷捥㘶攴ㅣㄸ㈱づ㜲㐶搹昵㠵㜷戲㕢晣敤愷改㐷扥㝦搲㈳攱㐹㝦昹㑡昰㔵㥥ㅣ攵㕣㉣㜴㌱捡㜹捣㜵㍥㡣㜶〱㡣ㅡ㈵㠶㈷挲ぢㄹ戹〸㐶㠸㥣㌳捡つ扦㝢㘶㘹摤挴捦愶慣ㄹ扤㑦昸戳戳捣㥤挴〰㠴攵㈸ㄷ㘳愱㡢㔱㉥㘱慥㑢㘱戴换㘰㡡愳㘰慢扣㥣㤱㉢㘰㠴搸捦ㄹ攵挳て㘷㙤扦搷㤰搷㈶慥㑢捣㍦㙡㔲散散づ挱搷愹㜲㤴㌵㔸攸㘲㤴慢㤸敢㡦㌰摡㥦㘰搴㈸㜱散㤳晦捣挸搵㌰㐲捣㜱㐶愹ㅦ搵㌷㝤晤户捦捦戸㘶摦㥤户晢昰戴㙤㍥ㄶ㝣㈱㉣㐷戹ㄶぢ㕤㡣㜲ㅤ㜳㕤て愳摤〰愳㐶㠹㘱㝢戹㤱㤱㥢㘰㠴㤸敥㡣昲晤ㄳ摢慥晥攴昶搳挶㥦㤷㌹㝢摦㥢敥晡晣㝣戱ㄹ挲㜲㤴㕢戰搰挵㈸户㌲搷㕡ㄸ敤㌶ㄸ㌵㑡ㅣ㙢昲敤㡣摣〱㈳挴㈴㘷㤴ㄱ㕦㍥㝢㕣㘱挶㉢㤳捥昹㜸捣扥挶〳ぢ㘶㡢捤ㄱ㤶愳摣㠵㠵㉥㐶戹㥢戹搶挱㘸昷挰ㄴ㐷挱㝤昹ぢ㈳昷挲〸㌱㕡ㄱ㌳㔶搶㌷㕣晥挵攸搵㠳搶つ㌹昶㥡散摦挵ㄶ〸换㔱敥挷㐲ㄷ愳㍣挰㕣て挲㘸て挱ㄴ㐷挱昳换挳㡣㍣〲㈳㐴挶ㄹ愵晦敡昴㥦㥥晣㝣搵㤸㕢收户て扡㝢㘵㝡戸ㄸ㠸戰ㅣ攵㔱㉣㜴㌱捡㘳捣昵㌸㡣昶〴㡣ㅡ㈵㠶㍤捣㤳㡣㍣〵㈳㐴搴ㄹ攵挸晡つ㐷捥扦攱摣〹攷敦晢捣㤲㡢㜶戹愳戲敦㌳〸敦敤扣㠸ㅣ摦㘶㉥挳换昲搲㉢晥攸昰㌰晦扡㝦慢㠳㜷㍡㠵㐴㈱㔵㠸㐴昲㠹戰ㄹ㌳慢敢㤰㜶㝤㕦㔳㜳㔷摡户㌰慦戱㈵摦扡㑣扥挸摥㜲慣搹㙥㤵㕥㜳て㜳㘲㘳㕢㤷戴攴摢〷〶〷㘷㜵㤸ㅤ搶ㄶ摥㔸㈹㠹慦摢㉣扣〵戱摡攵㜸㕢㝢扢捤㌵㥢㤶㔸㘳㤶㌷摡攱慤㍣㘱扣〱㘹捤㜶ㅥ㥤搸㘶ㅤ㕣㡣晡㘶㌴〶敦㤰㤷捡摣扥㝢㘹㠷散㜹つㅥ户戰戵摤㙡㤱搳ㅢ搶扣㔷㘳㙥㤱搵㌶换攲晢㙢㉢㉦敦敡〰㠶㥣㜷㐱挳㘶戴攰㡥攲㝤㑤㝥㠸摢㕢㤸戰扣挳㙡挹㕢㜹捣㜷戱搵搶戱㘲戶㤹㙤戲㌶㈹㤳搸㘳㈲戰㜹㤹㝢㘲㙢㙥㐹晢戸搶㤶㡥戶搶愶昲挸㤸晣㔲ㄳ敦扣昲搳㕡昳ㄶ摥㌸㔵昱㔲㈱㉡㝡昵ㄲ愲㘲挷愰㜷㉦捣摢㍥㕣㍥㄰慥㠷㜸㉢㍣收㥢㤵慦㜶挳㘷攲摥攱㕥㌴㔹㕣㈷㉢户敤㈶㤹捣换㌴㍢㜴㉥㜴摤㈷ㅥ㡣愰㝡㘸攷㙡㌹挷攲㈳昷晦㔷㕣㔹戹戱㜳敦㈷㉣挵扢搳㍤昰㉥慣挹㙡敢昲㔰㡡攰㡣昴㘷㘱慡㜷挱搶摣㈹扤㉡㈸挴㜲戱愲㝡㔹㘳扥㘳愱戶搰㙡㕣戰㤰㉦㠵㜰戸愵愶㠶㘸㝤ㄷ晤㜹戸昴ㄷ㘸㕥㠴〹㠵㉡戴㤷㈸搲㐲晡换㜶扢㝡〸晥昷晣㝤㙦㈵㝡改昲㝤㌶づ㡡戴㔷㌷㑦㙣㙤㙢敦搵㉢攸㕥敥㘱戶㉦散攰敡搹㜵㤰昹㕥愱㜹ㄵ愶㝡㕢㤸㙥摦㔶搷㐲㔴挵愳〷晤㥡挷㕢〵ㄳ挷㙣攴搶㉤捣敡㘶晢㌰挰㜸慢㍤愷昳㜸挱㘴㙣㉢换㌵㉣㘱攳敦摢捣戵摦㕡摥㌱摥散㌰㝢㌷攳挸〳ㅥ㈵ㅤ愲㘱戲㤷扤挴㥥晤愴㑦昵づ㌹㉤㘴㌰攴愲㉢㑢ㅦ改戰㌳㘱挳挱昶㔲搱换戱㕤摦〹捣㝤㙢摣〹捤扢愲㤷ㅦ㐱挰㠱㡤晣㈴慢㘵昶㡡挵㔶㍢攵㌵㕡㤷㈸扤㥢ㄷ㤳捤挸㘵攷㜴㌴㌶戵て挷㑣㈷戵戵㉥㔹晣摦捣挳㕣晡㙢㌰敡㔲扤ㅤ搶攲昵扦㑦挰㔵搱㝢㈹ㅦ㥢㠶㠶㡡ㅡ㘶愳㐷摦㠶㠶㙢㉢㤲晤㠶㝦昲愲扦㠵㝦愱慥㘲搵昵㔰昴攴㘸㑢㌵昴㝤㥢㐱㘸㜶㥢㈵㡦ㅦ搵挸〶㘸昷㙢㥥搷摡戶㈸摢摡扡㠸敢搳〶戲搵扥搰戲㍡㜸㑣愶㡦㜳っ㑡ㅥ㙢ㄲ愲㔷慦戲攳㉡慥㠳㌷㠳㤰㕦㝢て愶摦㤸愶愶挱㉡㘳扢昶㍥㕣扤㜰㜴㐸晢〰ぢ㕢捥㘸换㕢㙤㍢捦㔹扣昳散搶挱㌸㜸戴愴挹戴㡦户㉥㙦㙡㕦㉥戶〴〱ㅥつ戹扤扥㜰挴攳晤㕦ㅦ戳㝡㙡昵搳扢㥥㌴搴ㄴ〳㥤㠰敦㘰捣㔰攴慣挳㑤晦ㄸ㐶㙣づㄹ昷㉣㔸㉥扦攸㥦愲慤㝦㐶昳㌹っ昶て㤲㌸㜶て㕦搸㑤戱〳晥㜳ㄷ愱㝦㐹昳㜷ㄸ㌱っ㠶ㅢ愸晥ㄵ㡣扡〸〳昹昹戸换挷㙥㐷戸晤㡦摤㍦攰つ改㕤挴挴㑥㔰昰昱搳挹㑢㈷㈱㥤㜴㠴㠶挴㠱〰慡㥤㠰敦㌸搱㉥攸㈶〱晣捣晥扤㈰ぢ〶昰㉢挷㈰ㄸ㥤㙢㥤ぢ㐰愵摤ㄴ㘱挴㈴㠰㕥㜰攸㍣㉥㉥愲㜰㐹〰搵㘸愹㡢昸昱㔷ㄷ㠰〸摣㝥〰㍡㜳敡㕤挴㐴っ晤㠲〰㝣㡤攴㠱〰扥㜲〲扥㐳㔸㐹㘴慡攳㉣㌶攲㤴扦㠴㉣ㄸ㐰㝦㠴昵〱㌴㥢挰戸〰㙣㘶㌷㐵ち㐹㈴㠰捤㈹摡〲㐶㘴攰㤲〰〶愲愵㉥攲㐳㌷㠰㌴摣㝥〰㠳㤸㔳敦㈲㈶㐶愰㕦㄰㠰搷㍢〳昰㥡ㄳ昰ㅤ㕤ㅢ㠹㑣㜵㥣挵㔰㑥昹㤵㑥〱散㠸戰㍥㡣㘶㈷ㄸㄷ㠰攱㜶㔳散㡥㈴ㄲ挰㉥ㄴ㠵㘱挴㘸戸㈴㠰〸㕡敡㈲㥥㜶〳ㄸ〵户ㅦ㐰㠲㌹昵㉥㘲㘲っ晡〵〱㜸愸㌳〰て㍡〱摦㠱扦昱挸㔴挷㔹散㡥㐱挵晤㥤〲ㄸ㡤戰㍥㠶㘶㉣㡣ぢ挰㜸扢㈹㈶㈰㠹〴㌰㠱愲㠹㌰㠲㠷〴㈵㠰㐹㘸愹㡢戸挳つ㘰㈲摣㝥〰㔳㤸㔳敦㈲㈶昶㐰扦㈰〰搷㜷〶攰㍡㈷攰㍢㈶㌹〵㤹敡㌸㡢搹㥣昲㌵㥤〲㤸㡢戰㍥㡦收㜷㌰㉥〰昳敤愶㤸㡡㈴ㄲ挰扥ㄴ敤〷㈳愶挳㈵〱散㡦㤶扡㠸换摤〰愶挱敤〷㘰㌲愷摥㐵㑣捣㐰扦㈰〰攷㜵〶攰㕣㈷攰㍢㕣㍡ㄳ㤹敡㌸㡢㠳㌸攵㜳㍡〵搰㠴戰摥㑣搳〲攳〲戰搸㙥㡡㔹㐸㈲〱ㅣ㑣㔱ㅢ㡣㤸〳㤷〴搰㡥㤶扡㠸㔳摤〰㘶挳敤〷戰㡣㌹昵㉥㘲㘲㉥晡〵〱㌸扡㌳〰㐷㌹〱摦㤱摣㝤㤰愹㡥戳㌸㤲㔳㕥搹㈹㠰愳ㄱ搶㡦愱㌹ㄶ挶〵攰㜸扢㈹收㈳㠹〴㜰〲㐵㈷挲㠸晤攰㤲〰㑥㐲㑢㕤挴㔲㌷㠰㝤攱昶〳㔸挵㥣㝡ㄷ㌱戱㍦晡〵〱㘸敡っ挰㈲㈷攰㍢挸㝣㈰㌲搵㜱ㄶ㝦攰㤴ㅢ㍢〵㜰ㅥ挲晡昹㌴ㄷ挰戸〰㕣㘴㌷㠵㠹㈴ㄲ挰㙡㡡㉥㠶ㄱ㌹戸㈴㠰㑢搰㔲ㄷ㜱愰ㅢ㐰ㄶ㙥㍦㠰㉢愰て改㕤挴㐴ㅥ晤㠲〰捣敤っ挰ㅣ㈷攰㍢晥捤攳摡㜵㥣挵戵㥣昲慣㑥〱㕣㡦戰㝥〳捤㡤㌰㉥〰㌷摢㑤戱㄰㐹㈴㠰㕢㈸扡ㄵ㐶ㅣ〴㤷〴戰ㄶ㉤㜵ㄱ㝢扡〱㌴挲敤〷㜰㈷㜳敡㕤挴挴㈲昴ぢ〲㌰扡㌳〰愳㥣㠰敦搰㝣ぢ㌲搵㜱ㄶて㜰捡㈳㍢〵昰㄰挲晡挳㌴㡦挰戸〰㍣㙡㌷㐵㉢㤲㐸〰㡦㔱昴㌸㡣㌸ㄸ㉥〹攰〹戴搴㐵挴摤〰ㄶ挳敤〷昰っ㜳敡㕤挴㐴ㅢ晡〵〱搸戱㌳〰㍢㌸〱摦㔹㠳㈵挸㔴挷㔹扣捡㈹㙦摦㈹㠰搷ㄱ搶摦愰㜹ㄳ挶〵攰㙤扢㈹㤶㈲㠹〴昰づ㐵敦挲㠸攵㜰㐹〰敦愱愵㉥㘲㙢㌷㠰㘵㜰晢〱㝣挴㥣㝡ㄷ㌱戱〲晤㠲〰昴敦っ挰挶㑥挰㜷㐲攳㌰㘴慡攳㉣晥捥㈹㙦搸㈹㠰慦ㄱ搶扦愱昹ㄶ挶〵攰㍢扢㈹づ㐷ㄲ〹攰㥦ㄴ㝤て㈳㔶挲㈵〱晣㠰㤶扡㠸ㅡ㌷㠰㈳攰昶〳昸㠹㌹昵㉥㘲攲㐸昴ぢ〲昰敢㉦㥤扣ㄴ晥挵〹昸捥戵ㅣ㠳㑣㜵㥣㐵㔵㈵愶晣ㄳ㘴挱㉦㠵㌵㠴昵摥㌴㌵㌰㉥〰㈱扢㈹㡥㐵㤲㈱㑣搴㠷愲扥㌰攲㜸㌴㈵㠰㝥㘸愹㡢昸ㄶ㘳ㄴ摦っㅤ〷户ㅦ挰㠶搰㠷昴㉥㘲㠲攷㜶㠲〰㝣摡ㄹ㠰㑦㥣㠰敦㌴搰挹挸㈴〱㙣挱㈹㝦搴㈹㠰㉤ㄱ搶户愲搹㥡戳㉢扤ㅢㅣ㙣㌷挵㈹㐸㌴㠴㜷愷㡥愲㈱㌰㘲ㄵ㥡ㄲ挰㌶㘸愹㡢㜸搳つ攰㔴戸晤〰戶㠷㍥愴㜷ㄱㄳ愷愱㕦㄰㠰攷㍢〳昰㥣ㄳ昰㥤愱㍡ㄳ㤹㈴㠰㌰愷晣㑣愷〰愲〸敢㌱㥡㌸㘷㔷〲㤰戴㥢攲㉣㈴ㅡ挲扢㤳愲㈸つ㈳捥㐶㔳〲挸愰愵㉥攲ㄱ㌷㠰摦挳敤〷㌰ㄲ晡㤰摥㐵㑣㥣㠳㝥㐱〰搶㜵〶攰㙥㈷攰㍢㜹㜶ㅥ㌲㐹〰ㄳ㌹攵㍢㍢〵戰〷挲晡㘴㥡㍤㌹扢ㄲ㠰愹㜶㔳㥣㡦㐴㐳㜸㜷愶㔱㌴ㅤ㐶㕣㠸愶〴㌰〳㉤㜵ㄱ㌷扡〱㕣〰户ㅦ挰㉣攸㐳㝡ㄷ㌱㜱ㄱ晡〵〱戸慡㌳〰㙢㥣㠰敦扣摥㈵挸㈴〱散挷㈹㕦搱㈹㠰〳㄰搶ㅢ㘸づ攴散㑡〰戲㜶㔳㕣㡡㐴㐳㜰搳㜳ㄴ攵㘱挴攵㘸㑡〰ㄶ㕡敡㈲㉥㜰〳戸っ㙥㍦㠰㐶攸㐳㝡ㄷ㌱㜱〵晡〵〱㌸愳㌳〰愷㍢〱摦㈹挷慢㤰㐹〲㘸攳㤴㔷㜵ち愰〳㘱㝤〹捤㔲捥慥〴㘰戹摤ㄴ㍣ㅤ㌹㠴㜷㘷〵㐵㠷挰㠸㍦愳㈹〱ㅣ㡡㤶扡㠸㘳摤〰晥〴户ㅦ挰㑡攸㐳㝡ㄷ㌱㜱㌵晡〵〱㌸愴㌳〰㉢㥣㠰敦㙣攸㜵挸㈴〱㥣挸㈹㉦敢ㄴ挰挹〸敢愷搰㥣捡搹㤵〰㥣㘶㌷挵昵㐸㌴㠴㜷攷㜴㡡捥㠰ㄱ㌷愲㈹〱㥣㠹㤶扡㠸ㄶ㌷㠰ㅢ攰昶〳㌸〷晡㤰摥㐵㑣摣㠴㝥㐱〰昲㥤〱挸㌹〱摦㠹摡㕢㤱㐹〲戸㤸㔳㌶㍢〵㜰㈹挲晡㘵㌴㤷㜳㜶㈵〰㔷摡㑤戱ㄶ㠹㠶昰敥慣愱攸㉡ㄸ㜱㍢㥡ㄲ挰ㅦ搱㔲ㄷ昱㍢㌷㠰摢攰昶〳戸〶晡㤰摥㐵㑣摣㠱㝥㐱〰愶㜷〶㘰㥡ㄳ昰㥤㐳扥ㅢ㤹㈴㠰㕢㌹攵㈹㥤〲戸つ㘱晤㜶㥡㍢㌸扢ㄲ㠰扢散愶㔸㠷㐴㐳㜸㜷敥愶㘸ㅤ㡣昸ぢ㥡ㄲ挰㍤㘸愹㡢ㄸ敢〶㜰て摣㝥〰昷㐳ㅦ搲扢㠸㠹㝢搱㉦〸㐰扡㌳〰㈹㈷㔰敦㍤扤晤〰㌲㐹〰㡦㜳捡㠹㑥〱㍣㠹戰晥ㄴ捤搳㌰㉥〰捦摡㑤昱㈰ㄲつ攱摤㜹㡥愲攷㘱挴挳㘸㑡〰㉦愰愵㉥㘲㈷㌷㠰㠷攰昶〳㜸〵晡㤰摥㐵㑣㍣㠲㝥㐱〰㠶㜴〶愰捥〹昸捥扣㍦㠶㑣ㄲ挰扢㥣昲愰㑥〱扣㡦戰晥〱捤㠷㥣㕤㘹つ昸搸㙥㡡挷㤱㘸〸敦捥㈷ㄴ㝤ち㈳㥥㐴㔳〲昸っ㉤㜵ㄱ㥢戸〱㍣〱户ㅦ挰㤷搰㠷昴㉥㘲攲㈹昴ぢ〲搰户㌳〰㝤㥣㠰户㈸愰晡㔹㘴敡挱挹摣㍥㥣㜰㘱㙥愳戵㡣㘷㥦㌶㈸愰捣㜶摣㤲昶㡥㔶㜹慡慣㕦㘱㝣敢昴搶㡥昱㡤敤㡢㥢捣ㄵㅢㄷ㥣㠵㜹ぢ慤ㄶ㥣挸㙥挳昹㙣㡦慦㜵昱㘲㉢慦ㄷ㘶戵㉥㘹换㔹㤳挷晦㉦㥣攸挶晤挳㐳㈷捦㜱㔷ち㕣晥戳㜳户ㄵ攸㠹戵〴㤷㡡敡攷㤱搰㝢ち㑥ㄶ晢扡㑥㤷换㐵〳挲摡ㄲ搱搹㡤ㅤ㑤㔶㥦㠲㍣㔵㉤㤷㙢ち愰㠸敡㠰㝣敦挲散㠵㌸㌵㌵扥㕦㘱㔲㕢㘳扥愹戱挵攲㠳搱摦㤶㑥戵ㄶ愰ㄲ㘰慦搶昶㐶㥥㉦敡㔷㤸摤㘶戶戴㉦收㐹捤摣㡡㡤捡㕡昲散㘷㜵㘱㙣㘳㑢㍢㠶㤱㡦㈲㤷㙢ぢ戳ㄶ戶㉥㐳㠹晦㤲收㤶㐹收攲昶晦㠹㐷㐵昰㘱㤱ㄷ昹搰㠸㑡㔱㔹㈹㙡㉡㙢晥搳挷㐷晢ㅥ摢搸挶㜶昱昴㘰慣愷ㅤ㙤㡤搹㈵〴㈶挷㠸挲㔶搱挸挷戰愲晡〵㉣㜹㑦㕦扡ㅥ㐲㑦敤〱攷㕡㔶扡ㅥ㜸ㅡ扣昸戹㠹慤㈰搷㝦挰㜴晡晥ぢ㘶捦㐹㜳㈶㤷慡㜲晥㑦ㅦ㐲愸㝥ㄱ㤹搷扢〸㘲〰挴ㅢ搸慢㄰ぢ㈳戸㐶㘱换挴㥡挰㤶㜷戵っㄵ愴㠶㙢攸〶愵挵㠹㌸㡦摥户㌰搵捣㕡㑤㌸晤摦㙣㜶㙣㘰㌷㔸㠷㠱㈲昵㜶㈷㌶慥戵戹搹攴㉡挷㔲晢㔹㌹戳挹慡㈹㡣㔹搲搱㍡慤戱㐵㉦挰挸昵搲㜱㤹换攱㌲㤷摢㈷敡ぢ㌳㔹ㄶ㈴㤷㤹慢㜵㠱搹搶搸戱戰戹㌱㔷挳〶㑢㜷晥㈷搶㔵散㍦慡〰㔳㕤搴扥挴㝢收摦㍥晦㡥㠷㝢㌸㡡㘵㠸㡥て㍦搶攸㑡愱攱㑦晣㠷㔵㈳搸昳挸㈷ㄴ晤㐷㘴慢挶㑤敥㡡攴㕣扥㤶愷㘲戱昸昵㑡慣愲㜲攷㈴㕥愶〰㌷晤㈷㐸戹挰㕢搵㉢㌰㕤㤶ㄴ昴㠶㈰㌴戵搵捣㑦㌴㜳昸搸㑣㙦攷㐳㌳㌵㜸㘸戹慢㘹㌳㔸攴㌱づ㜵㐳愸㐷㕡摡㠸ㄳ搹㌵㜴捣挲㠷㠲慡㔸ㅥ愲搹㡦㈱㑥㜷昷慡愸慥敥㔳ㄳ㌴搶㘴㤵㙢㕢攷搴戹晢㐳㐷㤳㝤昹扦搸㍢㍤㡡昷㌶ㄴ㤲㑦㔱㍦㘳㔹晦㠵昷改㔵㌸㜹㝦㍣㠲㕦㈹昸つ愶晡㌵〴扤㡦㑤㜹扤〵慡㌲㜴㠸慡攴挷㑤㔸〹㔲㠳慡〹㔹㐲㔲㉤敦㐸ㅦ㔷改㠷㘶㔷㝤搴愸捦戰㘸戳戰㤶㕢昹㤰扤㝦㘵㠹〹㥥ㄹ㉡㉡㉢慢昰㔰㙢摥戲㌹摦戰㐸搶㍣换㤲㌵㈱㘲㙢㑣㐱㘳㤹攰㐶摣㔸㤰扦挱昵㤱㡥㤷㄰挴㈹敤摦昰㑦㕥㐲㈱扤ㄲ搲㡡㤰㜸ぢ㔶摤晦扥昴搸㠰㐰ㅥ㠷扦㘰挴挷㜰昲㔵㠰敢㌹㑢㝣㡡㈶㥦户㜰㔰て㠸攴挵戳㑦ㄴ㥦挱换晤愲慥㌱挹攷㔸攲敥愶戸晡搵挰摢晤敡昷〵㝢攰愶昳㜳㘰㙡昵ㄳ㕦挲愳愶捣攱㥤㈹㠷愰搱晢㔰昸昷㘰㐱㕦ち晡㔱昰ㄵ〴㝣㕣戵つ搰昲昲攲㈷㑢〲㜸ㄹ㤰㠲搷㍦㕣戹㕤扣㌶㘴敥㡤㤸晢㘷〸扣扣㝥㠵慦ㅢ㕥㝣㘸㈴慦晥㑣挲㍢㕢挶㙢ㄳ㜸扢攷㔵㠹㙥㤲搷愶㌲㠹摤㄰㉣㐴〸攰戵ㄹ㌴晡收ㄴ戲㐸㈱㐰戰〵〵〳㈹㘰摤㠲攴戵㈵㕡㕥㕥晣㡣㑣〰慦慤㈱〵㉦㤶㌰愸摣晤攸戱搷慦㐱捣㍤㤸戹㔹㙥攰攵挵ㅡ㠳㙥㜸戱〲㐱昲ㅡ挲㈴㉣㐵㈸攳戵㉤扣摤昳㘲挹〲慥昸戴ㄳ㤳㘰㐱摥㔸户愰愶散㕡扦戶㠳㐶摦㥥㐲搶㌴〴〸㠶㔲戰〳〵㉣㜳㤰扣㜶㐴换换㡢㥦昶〹攰戵ㄳ愴攰㌵挸㤵摢戵㝥敤捣摣挳㤹㥢搵〹㕥㕥㉣㐹攸㠶ㄷぢㄶ㈴慦㌰㤳戰㜲愱㡣㔷ㄴ摥敥㜹戱挲〱㔷ㅣ昲㘴ㄲ挵㡢㘵づ〱㌸攲搰攸〹ち㔹〲ㄱ㈰㐸㔲㤰愲㠰㔵ㄱ㤲㔷ㅡ㉤㉦㉦㝥㙥㈹㠰搷〸㐸挱㡢〵ㄲ㉡户㡢搷慥捣扤ㅢ㜳戳㤸挱换㙢㌴㝣摤昰ㅡ〳㠹攴戵㍢㤳㡣㐵慢㡣搷㘸㜸扢攷挵㠲〸㕣㔱㉤挱㈴㡡ㄷ慢㈲搴㤴㕤敢搷㔸㘸昴㜱ㄴ戲㘲㈲㐰㌰㥥㠲〹ㄴ戰㠸㐲昲㥡㠸㤶㤷ㄷ㍦㠱ㄵ挰㙢て㐸挱㡢昵ㄴ㉡户㡢搷㘴收摥㤳戹㔹晢攰攵挵㠲㠷㙥㜸戱ㅣ㐲昲㥡捡㈴慣㡢㈸攳㌵ㅤ摥敥㜹戱㝥〲㔷㝣慣㡢㐹ㄴ㉦ㄶ㔱愸㈹扢㜸敤〵㡤扥㌷㠵㉣戰〸㄰捣愴㘰ㄶ〵慣戹㤰扣㘶愳攵攳㠵捦㉣〵昰㥡ぢ㈹㜸㤹慥摣㉥㕥昳㤸晢㜷捣捤㔲〹㉦㉦搶㐷㜴挳㡢搵ㄳ㤲搷㝣㈶㘱ㄹ㐵ㄹ慦晤攰敤㥥ㄷ换㉤㜰挵㐷挷㤸㐴昱㘲捤㐵〰㡥〳愰搱ㅢ㈸㘴㍤㐶㠰攰㐰ち㑣ち㔸愲㈱㜹㘵搱昲昲攲愷攲〲㜸攵㈱〵㉦㔶㙢愸摣㉥㕥ㄶ㜳ㄷ㤸晢㐸〸扣扣㡥㠶慦ㅢ㕥㉣戶㤰扣ㄶ㌲〹慢㉥捡㜸ㅤ〴㙦昷扣㔸㥤㠱㉢㍥㥥挶㈴㡡ㄷ㑢㌴搴㤴㕤敢㔷ㄳ㌴㝡㌳㠵㉣摦〸㄰戴㔰搰㑡〱㉢㍡㈴慦挵㘸㜹㜹昱昳㝤〱扣摡㈰〵㉦ㄶ㜷愸摣㉥㕥敤捣捤捦捣ぢㄶ㘲㜸㜹戱晡愲ㅢ㕥慣捤㤰扣㤶㌲〹㡢㌴捡㜸㉤㠷户㝢㕥㉣收挰ㄵ㠷敥㤹㐴昱㘲㐵㠷㥡戲㡢搷㈱搰攸㠷㔲挸㙡㡦〰挱㘱ㄴㅣ㑥挱㈵㄰㐸㕥㐷愰攵攳㠵捦㐴〵昰㍡ㄲ㔲昰㘲㉤㠸捡敤攲㜵ㄴ㜳ㅦ捤摣慣摢昰昲㘲戱㐶㌷扣㔸捡㈱㜹ㅤ换㈴慣改㈸攳㜵㍣扣摤昳㘲敤〷慥昸㤸ㅤ㤳㈸㕥㉣〰㔱㔳㜶昱㍡ㄱㅡ晤㈴ち㔹ㅣㄲ㈰㌸㤹㠲㔳㈸㘰扤㠸攴㜵㉡㕡㕥㕥晣捣㘵〰慦搳㈰〵㉦㤶㡥愸摣㉥㕥愷㌳昷ㄹ捣捤㌲て㉦㉦搶㜶㜴挳㡢㤵ㅦ㤲搷㔹㑣挲ㄲ㤰㌲㕥㘷挳摢㍤㉦㤶㡡攰㡡㡦昲㌱㠹攲挵㝡ㄱ㌵㘵ㄷ慦㍦㐰愳㥦㑢㈱㙢㐹〲〴攷㔱㜰㍥〵㉣㉦㤱扣㉥㐰换换㡢㥦ㅥつ攰㜵ㄱ愴攰挵㑡ㄳ㤵摢挵㙢㌵㜳㕦捣摣慣ち昱昲㘲㈹㐸㌷扣㔸㈸㈲㜹㕤捡㈴慣ㄸ㈹攳㜵㌹扣摤昳㘲㘵〹慥昸戸㈰㤳㈸㕥敦㘰㐹㑤搹挵敢㑡㘸昴㌵ㄴ扥ㅢ㉣戸㡡㠲㍦㔲昰ㅥ〴㤲搷㥦搰昲昲攲攷㘰〳㜸㕤つ㈹㜸戱㌰㐵つ敥攲㜵つ㜳㕦换摣㉣㈲昱昲㘲攵㐸㌷扣㔸㔷㈲㜹㕤捦㈴㉣㌰㈹攳㜵㈳扣摤昳㘲㈱ち慥昸㐸㈲㤳㈸㕥慣㐶㔱㔳㜶昱扡ㄹㅡ晤ㄶち㔹愹ㄲ㈰戸㤵㠲戵ㄴ戰㜸㐵昲扡つ㉤㉦㉦㝥愲㌷㠰搷ㅤ㤰㠲ㄷ敢㔸㔴㙥搷晢愱㍢㤹晢㉥收慥挲㤴扣扣㔸㘸搲つ㉦㤶愱㐸㕥敢㤸㠴昵㈸㘵扣晥〲㙦昷扣㔸户㠲昹攱㘳㡦㑣愲㜸戱㜸㐵㑤ㄹ㡢敡㉤摣㝤搰攸昷㔳挸挲㤶〰挱〳ㄴ㍣㐸〱㙢㕤㈴慦㠷搰昲昲攲㘷㤳〳㜸㍤〲㈹㜸戱散㐵攵㜶昱晡㉢㜳㍦捡摣㉣㔱昱昲㘲㕤㑡㌷扣㔸戵㈲㜹㍤捥㈴㉣㕦㈹攳昵㈴扣摤昳㘲㤹㡢攴昵ㄴ㤳㈸㕥㜵昰慡㈹㘳㔱昱㝡ㅡㅡ晤ㄹち㔹〷ㄳ㈰㜸㤶㠲攷㈸㘰㘹㡣攴昵㍣㕡㍥㕥挱晢慦ㄷ㈱〵㉦㔶挹愸摣㉥㕥㉦㌱昷换捣捤㡡ㄶ㉦㉦㤶戱㜴挳㡢㐵㉥㤲搷慢㑣挲㙡㤷㌲㕥慦挳摢㍤慦㈴扡㐹㕥㙦㌰㠹攲挵搲ㄸ㌵㘵㉣㉡㕥㙦㐲愳扦㐵㘱㍡㔸昰㌶〵敦㔰挰㑡ㅡ挹敢㕤戴扣扣昸㜹昱㠰昵敢㝤㐸挱㡢㐵㌵㙡㜰搷晥敢〳收晥㤰戹㔹〰攳攵挵慡㤷㙥㜸戱㈶㐶昲晡㤸㐹㔸ㅣ㔳挶敢㔳㜸扢攷挵㈲ㅡ挹敢㌳㈶㔱扣㔸㐹愳愶㡣㐵挵敢㜳㘸昴扦㔱挸㉡㥢〰挱ㄷㄴ㝣㐹〱ぢ㙦㈴慦扦愳攵攵挵㑦扥〷昰晡ㅡ㔲昰㘲つ㡥捡敤攲昵つ㜳㝦换摣慣㤷昱昲㘲㤱㑣㌷扣㔸㐲㈳㜹㝤挷㈴〷愲㔵挶敢㝢㜸扢攷挵㥡ㅢ挹敢〷㈶㔱扣㔸㜸愳愶㡣㐵挵敢㕦搰攸晦愶㌰ㅦ㉣昸㤱㠲㥦㈸戰㈰㤰扣㝥㐶换挷㉢昸昵敡慦㤰㠲ㄷ㑢㜶搴攰㉥㕥扦㌱㜷〵捥〳〸㤶搷㜸㜹戱愶愶ㅢ㕥慣戸㤱扣㜰愸戸㐲㉣㐵慢㡣ㄷ㍥㡡扢ㅥ扣㤶愳㥢攴㔵捤㈴㡡ㄷ敢㜴搴㤴戱愸㜸㘹搰攸扤㈹㘴つ㑦㠰愰㠶〲㝥㔹㤷㘰㔹㡦攴ㄵ㐲换换㡢摦㐶㄰戰㝥昵㠵ㄴ扣㔸攱愳㜲扢㜸昵㘳敥つ㤸㥢搵㌸㕥㕥㉣挱改㠶ㄷぢ㜴㈴㉦㠳㐹㔸愹㔳挶㙢㈳㜸扢㕦扦㔸搱㈳㜹㙤捣㈴㡡ㄷ换㝡搴㤴戱愸㜸昵㠷㐶ㅦ㐰㈱㑢㝥〲〴㥢㔰戰㈹〵慣〲㤲扣㌶㐳换换㡢摦慢㄰挰㙢ぢ㐸挱㡢〵㐱㉡户㡢搷㐰收摥㤲戹㔹扣攳攵㜵㈹㝣摤昰扡っㄲ挹㙢㙢㈶㘱㘱㑦ㄹ慦挱昰㜶捦㡢〵㐰㤲㔷ㅤ㤳㈸㕥㙢攰㔵㔳挶愲攲㌵〴ㅡ㝤ㅢち㔹㈱ㄴ㈰搸㤶㠲㝡ち㔸㌴㈴㜹㙤㠷㤶㤷ㄷ扦㈱㈲㠰搷㔰㐸挱㡢昵㐳㉡户㡢搷づ捣扤㈳㜳戳搶挷换敢㌶昸扡攱挵昲ㅦ挹㙢㈷㈶戹〳慤㌲㕥挳攱敤㥥ㄷ敢㠵㈴慦㕤㤸㐴昱㘲搱㤰㥡㌲ㄶㄵ慦㌰㌴㝡㠴㐲ㄶㄴ〵〸愲ㄴ挴㈸㘰㡤㤱攴ㄵ㐷换挷㉢㜸晤㑡㐲ち㕥昷扢㜲扢㜸愵㤸㍢捤摣㉣つ昲昲㘲㍤㔰㌷扣㔸㉤㈴㜹㡤㘰ㄲ㤶つ㤵昱摡つ摥敥㜹戱扣㐸昲ㅡ挹㈴㡡ㄷ㙢㡣〲㜰散づ㡤㍥㡡㐲搶ㅦ〵〸㐶㔳㌰㠶〲㤶㈴㐹㕥㘳搱昲昱ち㍥晥㌵ㅥ㔲昰㘲㜵㤲捡敤攲㌵㠱戹㈷㌲昷扢㄰㜸㜹戱㝣愸ㅢ㕥㉣㉥㤲扣昶㘰ㄲ㔶ㄹ㤵昱摡ㄳ摥敥㜹戱ㅡ㐹昲㥡挲㈴㡡ㄷ㑢㤲搴㤴戱愸搶慦愹搰攸搳㈸㘴戹㔲㠰㘰㍡〵㌳㈸㘰〵㤳攴戵ㄷ㕡㕥㕥晣晥㤱㠰敤㜱㈶愴攰挵㘲㈶㤵摢挵㙢ㄶ㜳捦㘶㙥㤶㍥挸㌹捦㘱换㤹㜳㌵㑦㕦㝢捦捡晡捥㤸换ㄱち㍣㜷㍥慢㘳㐵ㄳ敡ㄵ戸挸戳戴昶ㄲ捦㌷㠷愴て攷㡥㕢摢㜰ㄶ慣捡晢㔵ち挵扥捦㘰攰㍥晤㍤㕦㔳㈱扢㌱挲㔳昳搵㔷晦攴晦㉡㠶㘲㝦㑥扣昴㤹㜵昶攱㐵㥢㠷㈹昶㥦搶㤸㙢㙢㙤㙦㉤㜴っ㥥㠵㕡㥣挱晣摡㡦㐲㐵㐵㜸㑣昵㥦㤰㌱㜰㑣摥戱慡ㄶ㝥㜵攱㔲㝥っ㍥戴愸愵㜵㔹㡢㥣㑤㜵㍢扦晤㐴昲敡摤㥢挳㠴㌸づ㉦摢〰㥥挱搳昸散慣敦〳摢慦㤷挱昳攰戸㔶㘸昳搱慥ㅦ㌷㜶摣捣㠶㐸㉥ㄶ㑥ㄶ捣㜴㍣㥣㑡挵戳攱㜴愶㤰㡢㈷昳㘶㈱ㄶ㡦ㄷ㜲愹㐴㐴摢户㈸㡤攵挳攱㐴㌴ㄵ㡥愵㌲愹㜸摡捡㘶慤㠸㤹捦攷㔳昱㐴㍣㤲つㄷ㘲〶捦戰㌳扤扥ㅦ晡攸晢挳ㄸ㍣戱㉥㕤〷搰搵㐰ㄷ㑦戳㤷慢慡㉢昱昲㘸㝤捦㝥㈳㐵㠵挸㡡㥣挸ぢ慢慡㜷㙦㔱敦昹㕥て摦㔹昳攲ㄷ㈳㘸ㅡ㑦㥡㔷㕦っ捣敢搷愹晣㔱㘴㘷扥挸搳㜳扣㉢㜹㤸㤰搱ぢづ晡㌴ぢ捤つ挷㡤㙤㈸晦攲㐹慤〰㜷㕦戸㘵㘱〰扥搱戲㕤㕢〰捦〶昰戸慡㠴㡣㉡㈷㡢扥㄰㐱㝤〸挷愸㠳ㄱㅡ晣昲戱㕤〴㍦ㄷ攴慤〶㕥㙥て攲㙣摣ㄱ慥㠵〸攰昳愹㤰㜰㉤ㄲ㘷挱挳㌵愹㝣㑤搰搱㠹ち扤ㄵㄶ㙢㐲〸㙤㍥〸摡㘲戴敤㌵㈱㤶挸㠵昳㐹换捡挶昳㤹㜸㍥ㅥ㌳愳㔶㉥㥣㑤㠴㘳㘶㍡㥤戲㑣㔳㍢戸㈸㑤㈵攲戹㘸㍣㤵㡣挴昲戹㜸㉡㙢㘶㌲愹㔸戸㔰㐸挶ㄳ改㔸㈲ㄹ㠹ㄸ㝤㥣昴㝡ㅢ晡攸敤㌰㐶㕦攵㉡慤〹晤㤴慢愸ㄲ〶㕤戸㠹ㄳ㜱ㄷ昸㐸㘱ㄹ挷愳㤹攵㄰㤸㤰戱㈱ㅣ搲㐷攲㍡昹敡㐴㙡㙣愴晣㐷搰戵〳㝢つ㠵ㄱ晤攱㤷っ㡦㠲扦挸㜰ㄳ㜸㈵挳㈳㌰㠴㥦攱㘱昰晡ㄹ㙥㡡㑥㐸㔲愱ㅦ〷ぢ㠶㥢愱㉤ㄹㅥ㡦戶捤㌰㥢挹收㈳㘶㌲㤵㠹㜳㡢捡挶㌳搱㜰㍥ち㥣㔶㈲㥥捦㠶㜳愶㜶㐲㔱㥡づ㐷㔳㤱㘸㌴㤷捤攷捣㜸㈱㥤捥㐶㤳㔶㉡㤵㑥㥡戱㝣㌴㙡㘶搳挶收㑥㝡晤㐴昴搱㑦㠲㌱戶㔰慥ㄲ挳㠱捡㐵㠱㤴㡡慤改挲㑤戴戹ㄹ㥥捥昸ㄹ㌰㈱㘳㄰㠲戸㔶攸ㅥ㠶㠳㤵晦㙣㙡挳㔴散㐲㠶㐳㤸㡣慤㜳攱㉦㌲摣ㄶ㕥挹㜰㘱㈰挳㐲㈰㐳㥥㜹㐷㤲ち晤㐲㔸㌰摣づ㙤挹昰㈲戴㙤㠶搱㑣㌶㤲挹㘵㑣㉢ㅡ挷㕦㉡㥢㡥㥢戱㜸㌸㤹〹㈷ㄲ㤱戴㘹㘶戴搵㐵愹㤵㤱慢㕦㌲㤷㑢㐵攳㔹换㑣攷㈳改㐲㉡ㄹ挵づ慡㤰㑤愵ㄲ〶捦摦㌳扤㝥㌱晡攸㤷挰ㄸ㐳㤵慢挴㜰〷攵愲㐰㑡挵㑥㜴攱㈶昶㜳㌳㕣挳昸㔵㌰㈱㘳㘷〴㜱昵㌱ㅣ慥晣㔷㔳㥢愲㈲〹㈳挲㑣挶搶㜵昰ㄷㄹ㐶攱㤵っ㘷〶㌲摣㉢㤰㈱捦挶㈳〹づ㜳挲㠲㘱ㅣ㙤挹昰㘶戴㙤㠶㤹㝣㈱㥦㌲㜱戵㤲㠹㜸㉣㡣つㄸ扢昳㔴㌲㥤っ挷搲搸㑡攳摡㉤㐵愹ㄵ㉦㈰㤴挸愶搳挹㝣㍣㤹㑤㥢㤹㘸㌶ㅢ戵㤲戱㐸搶㡣攴㘳愶挱㜳晡㤲攱慤攸愳慦㠵㌱㤲捡㔵㘲㤸㔲慥愲㑡㡣愰ぢ㌷㌱搱捤昰㙥㘶㔹〷ㄳ㌲㜶㐵㄰㔷ㅦ挳摤㤴晦㍥㙡㜷愷㘲㈴㡣搸㥤挹搸㝡㄰晥㈲挳搱昰㑡㠶扢〵㌲ㅣㄱ挸㜰っ㍡㈱㐹㠵晥㔷㔸㌰ㅣ㡢戶㘴昸㈸摡㌶挳扣ㄹ㑦挵㤲摣㍥愳改㜸㍣ㄳ捦收攳愹〸扥捥㌹㥡㐸㕡㔱㉢㙦㘹㡦ㄵ愵戹㜸㍡㤹换愴挲攱㔸㍥ㄹ捦㈵捤㜴㌸ㄵ㌶攳昸戲慣㔸㍡㥥㑢㐴㤲挶㌸㈷扤晥㌸晡攸㑦挰ㄸ攳㤵慢挴㤰㈷晢㈵㘹ち愴㔴散㐱ㄷ㙥㈲散㘶昸ㅣ攳捦挳㠴㡣挹〸攲敡㘳戸愷昲扦㑣敤〴㉡挶挳㠸愹㑣挶搶㙢昰ㄷㄹ㑥㠷㔷㌲摣㉥㤰攱戶㠱っ㜹搶ㅥ㐹㜰搴づㄶっ昷㐲㕢㌲㝣ㅢ㙤㥢㘱㉥㤶㑤挵攲改㑣㍥㠶㥤㕣愶㤰挵收ㅢ㑤㈶㜲㠹㜸㌴㥤挰敡㘶㙡敦ㄴ愵〹㉢㥡㑥挳ㅦ㌶ㄳ昱㜸戴㄰㌶㈳挹㔸㈱㔲㠸㠴攳㜸㔱ㄲ捦㘶㡤扤㥤昴晡扢攸愳扦〷㘳捣㔴慥ㄲ㐳ㄶ〰㐸㠶㐵㤵㤸㑢ㄷ㙥㘲ぢ㌷挳㑦㤸攵㔳㤸㤰㌱て㐱㕣㝤っ㝦愷晣㕦㔰㍢㤵㡡㈹㌰㘲㍥㤳戱昵ㄵ晣㐵㠶晢挱㉢ㄹㅡ㠱っ㌷〸㘴挸㌳昹㐸㔲愱晦〳ㄶって㐰㕢㌲晣づ㙤㠷愱ㄵ挷戳㐸㈴㘵㠵昳昹㜸搸㑡㘵捣㑣㈲㥢㈹愴㤳挹㐸愱㔰挸攷戵㝦ㄶ愵ㄱ换㑡㔹戹㐴㌶ㅢ㡥愴攳㠵㐸摣捣攴㤳昹㜴㈶㘹㤹㠵㑣㌸ㄳ捤ㄹつ㑥㝡晤㝢昴搱㝦㠰㌱づ㔴慥ㄲ㐳㔳戹㡡㉡㤱愷ぢ㌷㔱攵㘶昸ぢ戳晣ちㄳ㌲㜸挶ㅦ㔷ㅦ挳㠲昲㔷㔶㈳㌸㡢㡡㤹㌰㘲㈱㤳戱㔵つ㝦㤱攱㐱昰㑡㠶㍦晥ㄸ昴扣晣㉦㜸晤捦换㡢搰〹㜳挰挱㈸愴〲挳㈶戴㈵挳㄰摡㌶挳㔸捣㑡ㄶ㔲ㄶ㥥ㄴ昲〵扣捡㑤㘴搲〵㌳ㄵ收搷ㄶ㈶㘲攱っ昶㠷㝤㡡搲㐴㍡㡣㍤㘴㉡㘱㘶㈳㜹㙣扣㈶昶㤹㠵㜸㉡㡤㤷㐶攱〴搸愷㡤㘶㈷扤摥ㄷ㝤昴㝥㌰㐶㡢㜲㤵ㄸ戲㔰㐰慥㠷ㄴ㐸愹㘸愳ぢ㌷昱㜷摣㡤攲㙢㥢㡤ㄹ敦てㄳ㌲㔸〵㠰慢㡦㘱㠷昲㙦㐶㉤扦㙢㐲摦〷㐶㉣㘵㌲戶〶挲㕦㘴戸ㅣ㕥挹昰挳㐰㠶敦〷㌲㕣㠱㑥㤲攱㈰愴〲挳㐳搰㤶っ〷愳敤㌰っ攷㉤ㄳ晢户㤴㘵㘱㝢㌴㑤㌳ㄷ捤挶攲㤱㜴㉣ㄳ㑢攱ㄹ㈴慦搵ㄵ愵改㝣㉥㘲挵昱ㅣ㥥㉦㔸㜱㐲捣ㄶ戰戵㐷㘲愹㔸愱㤰㌳愳㜱攳㔰㈷扤㍥〴㝤昴㙤㘰㡣挳㤴慢挴㤰挵〳㤲㘱㔱㈵㡥愴ぢ㌷昱慡㥢攱づ捣戲㈳㑣挸㌸ち㐱㕣㝤っ㡦㔶晥攱搴㥡㔴ㅣ〸㈳㡥㘵㌲戶㈲昰ㄷㄹㅥて慦㘴昸㜴㈰挳㈷〳ㄹ戲ち㐰㌲㑣㈰ㄵㄸ㥥㠸戶㘴㤸㐴摢㘶㤸㡡攴捤ㄴ㕥ㄱ㥡攱愸ㄹ户㉣㜰〹㐷㤳搸慥搳戹㘸っ扢挳㠴㤶㉡㑡捤ㅣ㝥㍦㈰ㅦ㡢ㄴ戲㐰ㄸ㡢㘲㤵挵ぢ㥢㜰挴捡收㑣㉢㕤㐸㘴㡤㤳㥣昴㝡ㅡ㝤昴っ㡣㜱戲㜲㤵ㄸ㥥愲㕣㐵㤵㌸㡤㉥摣挴〳㙥㠶愳㤸㘵㌴㑣挸㘰戵〰慥㍥㠶㘷㈸晦㜸㙡ㄷ㔲挱敦捦㄰㘷㌱ㄹ㕢㤳攰㉦㌲㍣ㅢ㕥挹昰㡥㐰㠶户〵㌲㘴㘵㠰㘴㌸〵愹挰昰て㘸㑢㠶㔳搱㜶ㄸㄶ㜲攱㈴摥㥥㥡㠵㘸㍥㙥攵㤲㘹㌳㤶㐹㤸昱㐸㉡㔹〸㘷挲挹愸㌶慤㈸捤收ㄲ㤹㐴㠲㑦ㅦ㔶ㄲ㙦㜰愳㤹扣㠹㉦㉢㑤㘵戰搷捣㈴捤㔴挶㌸搷㐹慦㑦㐷ㅦ㝤〶㡣㜱㥥㜲㤵ㄸ㥥慦㕣㐵㤵戸㠸㉥摣挴戵㙥㠶㜳㤸㘵㉥㑣挸㘰〵〱慥㍥㠶ㄷ㉢晦㝣㙡㕢愹攰愷㑣挴愵㑣挶搶晥昰ㄷㄹ㕥づ慦㘴㜸㜹㈰挳㑢〳ㄹ㕥㠱㑥㤲愱㠹㔴㘰㜸㈵摡㤲㘱ㄶ㙤㥢㘱㉥㡤搷㠱㜸㍦㤲㐸㠵ㄳ㜱㌳㙣㘵昰㕡㉦㠷ㄷ摢搸挷㐵㜳昱㐸㐲换ㄵ愵昹㜴㌴㤶㉥㘴愲愹㍣㌶㘹㐴捤㜸㍣㥦㑦ㄴ㘲〵㜴㡡ㄵ挲〵㠳㌵〷㜲㉢捤愳㡦㙥挱ㄸ㔷㈹㔷㠹㈱ぢて捡㔵攲㙡扡㜰ㄳ㝦㜰㌳㕣挴㉣㑤㌰㈱攳ㅡ〴㜱昵㌱扣㔶昹ㄷ㔳扢㤴㡡㈵㘴㜸㍤㤳戱搵づ㝦㤱攱㡤昰㑡㠶愷〶㌲㍣㌹㤰攱㑤攸㈴ㄹ㉥㐳㉡㌰扣ㄹ㙤挹㜰㌹摡㌶㐳扣㡣挶㔷摥㕡愹㔸㌶㤱〵㌲㍣改收捤㘴㍡㤱㠹㈵㑤㉢㤳㐸愶戵ㄵ㐵㘹っ㑦㈰搹㐴㉣ㄶ挹愵㜲昱㐴㍥㙣㥡㤱㜸㍡ㄶ㑦愶昳㜸㝥㐹㘷㉤㠳㜵〸㤲捥㈱攸愳ㅦち㘳摣慡㕣㈵㠶㉣㐶㤰㉡ち㜴㑡挵ㅤ㜴攱㈶㡥㜴㌳㍣㡡昱愳㘱㐲挶㥤〸攲敡㘳㜸㤷昲ㅦ㑦敤攱㔴昰㡢㐰挴㍡㈶㘳敢㈴愶愷㠷户扦挰㉢ㄹ㉥つ㘴搸ㄱ挸昰㕥㜴㤲っ㔷㈱ㄵㄸ摥㠷戶㘴㜸ㅡ摡㌶挳㔸㉣ㅢ㠹挵搲搱㐸ㅣ㕢㜴㈶㠶㜷捤㔶㌴㘲攲㍤㕣㍥㤷〹攷慣㤴㜶㝡㔱㥡挸㘵慣〲㌶攰㥣㘹ㄶ攲㜸㝥挹㠰㕢㌲㤳戶㈲㘱扣挲捥愷昳挶晤㑥㝡晤っ昴搱捦㠴㌱ㅥ㔰慥ㄲ挳〷㤵㡢〲㈹ㄵ㡦搰㠵㥢㌸挸捤昰㕣挶捦㠳〹ㄹ慣㍥挰搵挷昰㔱攵扦㠸摡㘳愹㌸㠶戴ㅥ㠷㕦㌲扣〴晥㈲挳㈷攱㤵ってっ㘴㜸㐰㈰挳愷搰㐹㌲扣〲愹挰昰㘹戴㈵挳㉢搱戶ㄹ攲挵㜵㈶㠲㤷㈶愹㔴㉥ㄶ捦攱晤㜲㈱ㄱ挹攵㘲㘶㈶㙤攲挵㜷㌴慢慤㈹㑡昳㤹㔴〲㥢㝣㌲㤳捤攲晤㘰㌶㘵㥡昹㈸摦㌹㈷㤲挹㘴㈶㤶㑢ㄸ慣㔷㤰㙢搸㔵攸愳晦ㄱ挶㜸㔶戹㑡っ㥦㔳慥愲㑡扣㐸ㄷ㙥㘲戶㥢攱㜵捣㜲㍤㑣挸㘰㐵〲慥㍥㠶㉦㉢晦捤搴㥥㐲挵挹㘴昸㉡㤳戱戵ㄶ晥㈲挳搷攱㤵っ昷っ㘴戸㐷㈰挳㌷搰㐹㌲扣ㄳ愹挰昰㑤戴㈵挳扢搰戶ㄹ攲㐵戳㘹㕡㘶づ㑦㈷㜸㉤㔳㠸㘵㤲搱㐸㌶㘳㐵戲㠵㈸㕥〹㐶攲摡摤㐵㘹㌶㤳捣攷㜲搹㕣㈱㙡㤹㌸㑣㘶㘶慣㜰ㄶ㉦挳慤㜸㌸㤲㐹愴ち㤶挱ㅡ〶挹㜰ㅤ晡攸昷挰ㄸ㙦㉢㔷㠹攱㍢捡㔵㔴㠹昷改挲㑤散敥㘶昸㈰戳㍣〴ㄳ㌲㍥㐰㄰㔷ㅦ挳て㤵晦㔱㙡捦愲㠲摦㘸㈲㍥㘶㌲戶㥥㠰扦挸昰㔳㜸㈵挳㜸㈰挳㘸㈰挳捦搰㐹㌲㝣〶愹挰昰㜳戴㈵挳㘷搱戶ㄹ㠶搳㌸晣㤷㡡㐷昲㐹㍣攱㠶㜹慣㈶ㄶ㐹昳挹㈴㥢挱攱㌰㉢慣㍤㔷㤴攲戵㑣㈱㥥㠹㔸㘹散㍣昱戶㌰㙦㐶ぢ挹㙣㍣㥤㡥愴ㄲ㔶㈲㡤昵昰㙦㑥㝡晤㜹昴搱㕦㠰㌱扥㔰慥ㄲ挳㉦㤵㡢〲㈹ㄵ㕦搳㠵㥢ㄸ敡㘶昸ㅡ攳慦挳㠴㡣㙦㄰挴搵挷昰㕢攵㝦㥢摡昳愹攰㤷愲㠸敦㤸㡣慤昷攰㉦㌲晣ㅥ㕥挹㜰敢㐰㠶㕢〶㌲晣〱㥤㈴挳㡦㤰ちっ晦㠵戶㘴昸㌱摡㌶㐳ㅣ㔷捤挷ㄳ㌱扣挸换挷㜰晣㍤㡢㕤㕤㈶ㅤ挷㍢㤰㕣㠶敦㐶㑣敤㤳愲ㄴ㠷㜲㤲搱㕣㌴㤳㌱挳愹㌸㜶愱搸㠸昱扥㈶㥥挰〱㡢㔸㉣㘵攵㡤㝦㍢改昵㑦搱㐷晦っ挶昸㔱戹㑡っ㝦㔲慥愲㑡晣㑡ㄷ㙥㘲㈳㌷挳慦㤸攵㙢㤸㤰昱ㅢ㠲戸晡ㄸ昲摥㐹晦㜷搴㕥㑡挵㈵㌰㐲搶㉣戰昵〳晣㐵㠶慣㔹㤰っ㙢〲ㄹ㙡㠱っ慢搱㐹㌲晣〹愹挰㔰㐳㐳㌲晣ㄹ㙤㘷㝦ㄸ挵换扢㐲摣㡣㐴㜰散ぢ〷㙢戲㜸㕡㌶昳㤱㘸〱㙢㘱㌴㤷㑦㘹扦ㄴ愵搱㡣㘵挵搳㈹㄰㑣㠵昱㌶㠵慦挷㤳搱㘸扣㘰㈶慣㙣㍥ㅦ挹ㄹ扤㥤昴晡慦攸愳晦〶㘳搴㈸㔷㠹愱慥㕣ㄴ㐸愹㘰㜹㠳㘴昸昳扦㕤敦昵慡㌵挴㌵㤸㤰挱ち㠷㈰㠶㉣㝡㤰晥㄰戵晣㌲ㄵ晤㉡㌲㌴攰㤷敢㘱㍦昸㡢っ㌷㠲㔷㌲晣ㄶ挳昸㡦㘳㝦つ慦晦晤昲挶攸㠴㉢㝥㈷つ愹挰戰㍦ㅡ㤲攱㐶㘸㍢晢挳㜰㉥㡥㜳〱㤱㈸づ敢〳っ㕥㐵愷㤲㌸ㄵ㤰㑤愴愲攱㘸慥㘰㘹ㅢㄷ愵㔱㌳捣㈷愰㑣〲〷戸攳㔱㥣㐱捡㈷㘳愹㐴㌲ㅥ㉢攰搵㜹㌲㘹ㅡ慣㠹㘰㝡扤㍦晡攸〳㘰㡣㑤㤴慢挴㜰㔳攵愲㐰㑡〵㑢ㅥ㈴挳㡦摤っ〷㌲扥㈵㑣挸㘰搵㐳㄰挳㉤㤵㝦㌰戵晣㍥ㄶ晤㍡㌲摣ㅡ㝥挹㜰ㅢ昸㡢っ〷挳㉢ㄹ扥ㄹ挸昰昵㐰㠶慣㜰挰ㄵ㥦㄰㐳㉡㌰㘴㌵㠳㘴㌸ㄴ㙤㘷㕢づ㐷㤲㜸㡤㥣㠸挶㜱㈴㍢㡤㈷㕢扣㠰㠹攳㤹〵㉦愶㜳ㄱ扣㤹搳㜶㈸㑡挳㠵㈸搶㔲搳捡攷挰㄰敦㔰㌲㌸慢㤶〸㐷昰㑡㌲㡤㈳搹㘹换㘰㥤㠴㘴戸㈳晡攸挳㘰っ㤶㐷㐸㔷㠹㘱扤㜲㔱愰㔳㉡㠶搲〵㐶攲㔹㌷挳〸攳㔱㤸㤰戱〳〴㐱っ㔹ㅣ㈱晤㐹㙡搷昲慥摥㑡㠶戲摥㠱慤っ搳搳挳ㅢ敢ㅤ㈴挳㐷〲ㄹ㍥ㄴ挸㜰ㄷ㜴挲ㄵ〷㜷㤱ちっ挳㘸㐸㠶扢愳㙤㌳捣ㄶ㈲㤹㔸㈶换㍤㈰捥愷㠴ぢ㘶㌴㤲挷㜱散㑣㍣㙡㘲㜳捤㤸摡愸愲ㄴ㤸㌲㠵㘴〱㙦〵㤳攱㜸ㄲ㠷ㄹ㜰散㌱㤷挵㝢㙣扣摦挶㔳㝢挶㘰敤㠴〴㌶ㅡ㝤昴㌱㌰㐶㔴戹㑡っ㘳捡㔵㔴㠹㈴㕤㘴㜸㤷㥢攱㈴㘶搹〳㈶㘴愴㈰〸㘲挸㠲〹改㥦㑡㉤扦ㄵ㐶攷㜷捣〸㔹〳挱搶っ昸㡢っ㜷㠳㕡㌲扣㌱㤰攱昵㠱っ㐷愲ㄳ慥㌸戲㠶㔴㘰戸㍢ㅡ㤲攱㙣戴㙤㠶搱㑣愱㠰㌷㜵戱㝣〶㐷㕥㜰㌰㍡挳昷挰㤶ㄹ挱ㄱ㥣㍣㕥昵愵戵㌹㐵㘹㉣㙤昱挸㜵㈴㠷ㄷ㡦㜸㝦㥤捦挶挳㜸户㘷挶挲㌰昱㡣㤵㌶㐶㌹改昵戹攸愳捦㠳㌱㐶㉢㔷㠹㈱㡢㉡㈴改愲㑡戰㕣㐲㌲扣搲捤㜰㝦㘶㌹〰㈶㘴㑣㠰㈰㠸攱㐴攵捦㔲晢㈰敦敡〳㘴戸〷晣㐴愷㕢昰ㄷㄹ戲㉥㐲㌲扣㈰㤰攱㜹㠱っ愷愰ㄳ慥ㄵ㝡㈳㔲㠱㈱㉢㈱㈴挳㠳搰戶ㄹ㐶㜰㍡㈵㤹㐸愵ぢ戱㈸㡥挶愶㤳搹㡣㔹挰㑡㠵㘷㡥ㅣ㑥搷挵昲摡愲愲㌴㤶㉦攰㜹挷㡣攱㐴㐰ㅣ㠷㙢㜹㐰摢挲㤶㥤挴㈱散〲㥥愱㜳〶㙢㉣㈴㥤㈶昴搱㥢㘱っ㤶㔶㐸㔷㠹攱っ攵愲㐰愷㔴捣愴ぢ㡣挴㘹㙥㠶敤㡣㜷挰㠴㡣㔹㄰〴㌱㥣慤晣换愹㝤㥣㜷㤵摦㜴㘳戰挴〲㔷扣攱㠴扦㕦慦㙡㔶〹散敡㌹㥤ㅥ晣挵ㄶ挳扣扦㌰㌲〱扦ㄸ挲㐲挲㡡㕥昸㐴扦晤㌹昸慡捡ㄱ晦㔹㉥㥥戰攷搷㘰昰㔶㝤㉣敥敢晦㈱て搷㡣㔲㈱〶㌳づ挲㑤㍦ㅣ㜷戸㝡㍦摣摤㜰搰ㄴ扢晡㐹㐷㜴慣ㄸ搰㍣戹ㅤ㈷昳昱搳愰戳㕢挷ㄴ㝦㔷㜲㐳㜵㤲㝦㤸晡攱㡢晡㤲㘷㑣戶ㅤ㕦愱搲㘱愹㙥㌳摡㡡晤昰㐳ㄲ㈸敡㐰㘰ㄸ㝦㈶㘳㐰愹攵晡ㅥ㠱㠱㈵敦攴㤶㜶晣愴㡢㤵㔷ㄹ摢昱㈱晢慡捡㕥㈲昰慢㍤㥣㕦㤰攴ㄷ〷㌰ㅢ㝥搴㘵㜲㥥〰〶〶㝣㡢挲搸挶づ昹㉤㈴㕢㈲㉥㜴㔶㠸㘸㉢㠹㘹攴戶㘳户㡤㔶ㅦ㠹挷㘱扤㠷㈸愷捥〱戹㕡㠶昴愳㤰㑦散㡦捣㐴㉦㜴㤶㤶㘸挷愸㌱㈲攲㌰㡣挱㜱戸ㅥ攱扢㉦㈹收〶㐱ㄷ晢㡢〶愷挱㜸㉤慢㌰昰㜲慢〲㉡昷攵敢㔱㑥㙢戴晤扦挶昹㙦㡣慥㘵挹㠶散戱扦愸㍢㙢㑣昵扢㉢㉦昹收敡㕤敢㔷摦昰㥢昳㝦愵摤㘳ㅦ愷㐷㘶戴㔸㠸ㅥ昵昰敡敦搱扣㑦昳〱㡣㔸㠶ㄹ扤㡥敦㔷昰晤攰挲㔲㈷攰晤挱〵㘳ㄱ㌲攱㡡㜷戸㤸㙦扦㕥愲ㄵつ㙥㙥愲〳㍤戸㡥ㄳ㤲扥㡡㜷戹つ㙥㥢て㙢㌳戴搳攱戳ㅦ〳戱ㄸ㍡〵㈳愴㥦㐹㜱㝢㔱捣敡っ敤昷㑡ㅣㄱ㑤㡥搸㠶㜹づ〲戵㉣愳攸ㄹ㌲搶㕣昴っ搹ㄱ攸ㄱ㠴㙣〱愶ㄳ㠸慣攰〴扣㍦搱㘰戰㘰〳㔷㤴ち㘰敥㐰㜶ㅣㅡㄲ㔹ㅥ㍤㡡挸㔶㤳挲㠹〸搹挸㔸㡡愱㕤㔲愲㜰㘰ㄹ㠵换㈸㘶愱㠴㉤㘶㌱㠶㜶㠵ㄲ㐷挵㝥㡥搸㕥㔹搷㈰㔰㝢㍡㈴㍤㐳挶ㄲ㡢㥥㈱㍢ㅢ㍤㠲㤰捤㜳挸昸搶戲戹㑥挰晢愳づ〶敢㌳㜰慤搰慦挱摣㠱㡣㐵ㄶㄲ搹㙣昴㈸㈲扢㡥ㄴ㉥㐶挸愶㜰ㄱ㤶戴ㅢㄴ㠵㠸搸换愱㘰慦㌸㌷㔱捣扡〸㕢扣㥡攲㕢㤴㌸㉡愶㍡㘲ㅢ搹㕡〴㙡搷㐰搲㌳㘴慣愸攸ㄹ㌲ㄶ㔷〴㈱㥢攴㤰昱㈱㥢攸〴扣㍦〳㘱戰ㅣ〳㔷扣㌲挳摣㠱㡣㌵ㄵㄲ搹㜸昴㈸㈲扢㠷ㄴ㙥㐵挸愶㜰㌳㤶戴㝢㑢ㄴ㐶㤷㔱戸㥦㘲搶㐹搸攲㕢㈸㝥㔰㠹㈳㘲㌷㐷㙣昳㝤ㄸ㠱㕡搶㐴昴っ搹㍡搵㘳扤昷㘵昷愱㐷㄰戲㤴㐳挶㠷㉣改〴扣㍦ㅣ㘱戰晡〲㔷ㅣ㔶挲摣㠱㡣㈵ㄴㄲ㔹ㅣ㍤㡡挸㥥㈲〵㤶㍢搸ㄴㅥ挵㤲昶㑣㠹㐲戸㡣挲㜳ㄴ戳敡挱ㄶ戳戲㐲㝢㐱㠹愳㘲㈷㐷㙣慦㘵㉦㈱㔰换ㄲ㠸㥥㈱㝢㕥昵㔸㙦㘴㉦愳㐷㄰戲敤ㅤ㌲㍥㘴摢㌹〱敦㑦㑤ㄸ慦㈱ㄳ慥昸〲㜱捣ㅤ挸摥㐲㐳㈲摢ㄶ㍤㡡挸摥㈲㠵㜷ㄱ戲㈹扣㡤㈵敤㥤ㄲ㠵挱㘵ㄴ摥愳㤸㔵㄰戶㤸㠵ㄴ摡〷㑡ㅣㄱ㕢㍡㘲㝢㉤晢〸㠱㕡㔶㍣昴っ搹愷慡挷㝡㈳㘳愵㐴㄰戲㑤ㅤ㌲㍥㘴㥢㌸〱敦㡦㔳ㄸ㕦㈱ㄳ慥昸㡣ㄳ收づ㘴晦㐰㐳㈲敢㡦ㅥ㐵㘴㕦㤲〲换ㄴ㙣ち摦㘱㐹晢㑡㔱㠸ち挳愱㘰慦㌸摦㔰捣愲〷㕢捣扡〹敤ㅦ㑡㡣㕦摣㜵挴㌶戲㝦㈲㔰晢ぢ㈴㍤㐳昶慢敡戱摥挸㉡㌱㐰㄰戲摥づㄹㅦ㌲捤〹㜸㝦捥挲㘰㈹〵㠶挷愷㤸㌰㜷㈰㘳㍤㠴㐴㔶㠵ㅥ㐵㘴扦㤰〲㙢ㄷ㙣ち㉣㤲搰㝥㉢㔱愸㈸愳挰ㅦ愱ㄶ㉣㘱戰挵㉣㤳搰㝡挱攷扣㈲昹昹㕦敥㔷㈴搵〸搴戲㥥〱搷ㅥ扣㉥㘳昱㠳散戱摥挸㌶㠳扣㥥㜷搴昳扡散〷㑣㈷昰㐵挶昷㑥挰晢〳ㄸ挶㐰㘴㤲挸晡㘰敥㐰㌶〸㙤㠹散㍢昴㈸㈲敢㐷ち㉣㐲戰㈹っ挶㤲㔶㕢愲昰㜵ㄹ㠵つ㈹㘶㐹㠳㉤慥愳㜸㘳㈵㡥㠸㉦ㅣ戱扤㤶つ㐰愰㤶攵ぢ戸昶〰ㄹ㙢ㅤ㘴㡦昵㐶㌶ㅣ昲晡〰㘴㥦㌸㘴㝣㙢搹挷㑥挰晢㤳ㄹ〶ぢ㈵㈴戲㠱㤸㍢㤰戱摡㐱㈲晢㄰㍤㡡挸戶㈲〵搶ㅣ搸ㄴ㔸〲愱つ㔲ㄴ愲攲㕤㠷㠲扤㘱搶㔱捣ち〶㕢捣㈲〸㙤ㅢ㈵㡥㠸㌷ㅤ戱㡤慣ㅥ㠱摡㔱㤰攰摡〳㘴愳㔵㡦昵㐶挶㉡㠷晡〰㘴慦㌸㘴㝣挸㕥㜶〲摥ㅦ搹㌰㔸ㄷ㈱㤱つ挳摣㠱㡣挵つㄲ搹㡢攸㔱㐴戶㌳㈹戰挴挰愶挰㡡〷㙤ㄷ㐵㈱㉡㥥㜵㈸搸挸㈲ㄴ戳㘰挱ㄶ戳收㐱㡢㈹㜱㐴㍣改㠸㙤㘴〹〴㙡㔹㥣㠰㙢て㤰戱㤲㐱昶㔸㙦㘴昳㈱慦て㐰昶㔷㠷㡣て搹㈳㑥挰晢戳ㅣ〶换㈰㈴戲㕤㌱㜷㈰㌳搱㤶挸ㅥ㐲㡦㈲戲㤱愴挰扡〳㥢〲ぢㅣ戴㔱㡡㐲㔴摣攷㔰戰㤱㡤愱㤸昵〹戶㤸㈵づ摡㌸㈵㡥㠸㜵㡥搸㐶㌶〱㠱㕡搶㈲攰摡〳㘴㉣㕣㤰㍤搶ㅢㄹ㙢ㄸ敡〳㤰摤敥㤰昱㈱扢捤〹㜸㝦挸挳㘰搵㠳㐴㌶〵㜳〷㌲㤶㉥㐸㘴户愲㐷ㄱ搹㌴㔲㘰敤㠰㑤㠱昵っ摡㡣ㄲ㠵ㅢ换㈸散㑤㌱慢つ㙣㌱㉢ㅡ戴㔹㑡ㅣㄵ搷㍡㘲㥢敦ㅣ〴㙡㡦㠲〴搷ㅥ㈰㘳㥤㠲散戱摥挸㔸戲㔰ㅦ㠰散㡦づㄹㅦ戲慢㥣挰户㥥㥦㔹㌷㔸攴㈰㤱敤㡢戹〳ㄹ㉢ㄵ㈴戲㉢搱愳㠸㙣㝦㔲㘰㔵㠱㑤㠱攵ぢ㕡㠳愲㄰ㄱ㤷㍡ㄴ散ㄵ挷愴㤸挵〵戶㤸〵っ㕡㑥㠹愳攲㈲㐷㙣㈳戳㄰愸㘵愵〱慥㍤㐰挶戲〴搹㘳扤㤱戱㐲愱㍥〰搹戹づㄹㅦ戲㍦㌸〱敦㡦㠵ㄸ㤷㈰㤳㐴戶〸㜳〷㌲ㄶ㈶㐸㘴㘷愳㐷ㄱ㔹㌳㈹戰㍣挰愶挰㙡〵慤戵㐴攱㡣㌲ち〷㔳捣㘲〳㕢捣㝡〵慤㕤㠹㈳攲㔴㐷㙣昳㕤㠲㐰㉤ぢぢ㜰敤〱㌲㔶㈱挸ㅥ敢㡤㡣〵〹昵〱挸㑥㜰挸昸㤰ㅤ敦〴扣㍦㉦㘲戰㠴㐱㈲㍢ㄴ㜳〷㌲搶㈱㐸㘴挷愲㐷ㄱ搹攱愴挰㙡〰㥢〲㡢ㄳ戴㤵㡡㐲㔴ㅣ改㔰戰㔷㥣愳㈸㘶㙤㠱㉤㘶㜹㠲㜶㡣ㄲ攳㐸㥡㈳戶㤱ㅤ㠷㐰㉤敢〸㜰敤〱㌲ㄶㅤ挸ㅥ敢㡤㡣昵〷昵〱挸㤶㌹㘴㝣挸㤶㍡〱敦て㤲ㄸ慣㔸㤰挸㑥挱摣㠱㡣㘵〷ㄲ㔹〷㝡ㄴ㤱慤㈲〵㤶〸搸ㄴ㔸㡢愰㥤㕥愲戰戸㡣挲㤹ㄴ戳㔲挰ㄶ戳ㅡ㐱晢扤ㄲ㐷㐵㤳㈳戶昹㥥㠳㐰㉤换〶㜰敤〱㌲搶ㄸ挸ㅥ敢㡤㡣攵〶昵〱挸ㄶ㌸㘴㝣挸ち㑥挰晢ㄳ㈶挶㝢挸㈴㤱㕤㠸戹〳ㄹ慢っ㈴戲㍣㝡ㄴ㤱慤㈶〵㥥敢户㈹戰昴㐰扢愴㐴攱挰㌲ち㤷㔱捣捡〱㕢捣攲〳敤ち㈵㡥㠸晤ㅣ戱扤㤶慤㐱愰㤶㔵〲戸昶〰ㄹ㑢ち㘴㡦昵㐶挶敡㠲晡〰㘴昳ㅣ㌲㍥㘴㜳㥤㠰昷㐷㑦っ搶㈳㐸㘴搷㘰敥㐰挶愲〲㠹㙣㌶㝡ㄴ㤱㕤㐷ち㉣〰戰㈹戰搲㐰扢愱㐴㘱慦㌲ち㌷㔱捣㍡〰㕢捣㕡〳敤ㄶ㈵挶昱㌲㐷㙣慦㘵㙢ㄱ愸慤收㝢慦ㅥ㈱㘳〵㠱散戱摥挸㔸㑣㔰ㅦ㠰㙣㤲㐳挶㠷㙣愲ㄳ昰晥㑣㡡搱て㤹㈴戲扢㌱㜷㈰摢㄰㙤㠹㙣㍣㝡ㄴ㤱摤㐳ち㍣摦㙦㔳㘰㘱㠱㜶慦愲㄰ㄱ愳ㅤち昶㡡㜳㍦挵〳㡡攲㡤㈹㝥㔰㠹愳㘲㌷㐷㙣㈳㝢ㄸ㠱摡㠱㤰昴っㄹぢ〶㝡㠶㙣㌰㝡〴㈱㑢㌹㘴㝣挸㤲㑥挰晢挳㉡挶㌶挸㈴㤱㍤㠱戹〳ㄹ㑢〶㈴戲㌸㝡ㄴ㤱㍤㐵ち㍣㘷㙦㈳㘳ㅤ㠱昶㡣愲㄰ㄱ㘱㠷㠲㡤散㌹㡡㠷ㄵ挵慣㈴搰㕥㔰㘲ㅣ㉦㜳挴㌶戲㤷㄰愸㡤㐰搲㌳㘴慣て攸ㄹ㌲㤶ち〴㈱摢摥㈱攳㐳戶㥤ㄳ昰晥ㄴ㡢挱攲〲㠹散つ捣ㅤ挸㐶愲㉤㤱㙤㡢ㅥ㐵㘴㙦㤱挲㘸㠴㙣㘴㉣ㅢ搰摥㈹㔱ㄸ㕣㐶攱㍤㡡挷ㄴ挵愳㈸晥㐰㠹㜱扣捣ㄱ摢㝣㍦㐲愰㤶㘷昸㝢㠶㡣攵〰㍤㐳挶捡㠰㈰㘴㥢㍡㘴㝣挸㌶㜱〲摥ㅦ㙦㌱㘶㈰㤳㐴昶㌷捣ㅤ挸㘶愱㉤㤱昵㐷㡦㈲戲㉦㐹㠱愷攵㙤㘴慣ㄲ搰扥㔲ㄴ㜰扣捣愱㘰慦㌸摦㔰捣㤳晣戶㜸づ挵晦㔰㘲ㅣ㉦㜳挴㌶戲㝦㈲㔰扢㍦㈴㍤㐳挶戳晦㍤㐳挶㐲㠰㈰㘴扤ㅤ㌲㍥㘴㥡ㄳ昰晥摣㡢㘱㈱㤳㐴昶ㄳ收づ㘴㍣晦㉦㤱㔵愱㐷ㄱ搹㉦愴挰ㄳ昰㌶〵ㄶ〵㘸扦㤵㈸㔴㤴㔱㄰㌵㄰㌷ㄷ挵㡢㈸敥〵㥦㍡㕥昶㐳搹昱㌲〴㙡摢㈱改ㄹ㌲㥥散敦ㄹ㌲㥥昷て㐲昶〳愶ㄳ㝣扣捣〹昸㝥㈰收㔰㘴敡敥〷㘲昸㡤〶㔶扢晣ㄱ㤳㕡㍣攷㔴ㄷ昸ㅤっ㝤ち戶㥢㈷昷昱㉤っ㡤㑤㑤昲ぢっ晡攲昷ㅣ摡ㄶ㔹㙤㔳昱戳㈵昸ㄵ〷晣戴扤昳〹㝡晣㥣〹扦ㅥ㕦晤㘲㠰㉥㕢散慣ㄵ㘶戴攱㈷〴㝡ㄷ㈶户攳攷㘶昲㌵捤㝢㤹ㅤㅤ㔶㕢换晦挲㡦㍤攰㉢㈵昸㝤㝥戸搸㍦昳㄰昸㙤づ晣㥡㠶挰㌳改㤲搸昰ㄲ㡦愹昸㈱ㄲ㔶㉣㔴昲㘷㈰晥戳㕦㥥搱晡㘰ㄵ㔳㍦㙣㤲㜷晤戰㐹㤵昸づて戱㕤ㅢ㜸㘴挵㙦㥣㌲㑢㔰昴㝥搰㙢ㅢ挰昴ㅡ搳摥㉣敢㙡㘰㐲㝡㉤㍣昲㕢㍤愴愹愸㍥ㅣ慢㠱昷捥昱晢㌵昸敤㘹ㄵ搵换ㅡ昳ㅤぢ戵㠵㔶攳㠲㠵ㅤ昸ㅥ㡤㍥扣挷敡㔲㜵ㄴ扡㜶㔵㝥挰㕤㑦敦收〶戳慤捤㕣㔱搳摣搰㘴戵㉣攸㔸㔸搳戰ㄴ搵ㄶ昸㐱ㄶ㙣㜷㌵㌵㌵晡㠶㤸㡦つㅡ㥢摢㜱挸挸慣晡㐶㙥敦㈹昰㜰㙤搵㠹愰㑡㝣ㄱ㜸㜷〷昰㝥昱敥㤶敥敡愶㜴昱ぢ㑣散扢㉡㔶㈱〷敦慥扡㠸㌳搱㤰挳㙤づ㘵㜱ㄲ攷㈸敦ㄶ㙥敦㠵昰扡㈶昱㘱攰㈴戶攲㠸攵㤳ㄸ攴㤹挴㙡攴㈹㥢挴㘵㙡戸㍡昷㜰㙢㤴㜷㠸摢㝢㑤昹㈴摥っ㥣㐴扤㝦ㄲ摢㝢㈶㜱㥤㜷ㄲ㌷愹攱㜶㜰て户㔶㜹㜷㜴㝢敦㉥㥦挴㡢㠱㤳搸搹㍦㠹㕤㍣㤳戸挷㍢㠹晢搵㜰ㄱ昷㜰て㉢㙦搴敤㝤愲㝣ㄲ㑦〶㑥㈲攱㥦㐴捡㌳㠹愷扣㤳㜸㑥つ㤷㜱て昷㤲昲㡥㜰㝢摦㈸㥦挴㐳㠱㤳ㄸ改㥦挴㈸捦㈴摥昲㑥攲㍤㌵摣ㄸ昷㜰ㅦ㈹敦㔸户昷㙦攵㤳㔸ㄷ㌸㠹〹晥㐹㑣昲㑣攲㑢敦㈴扥㔱挳㑤㜶て昷㑦攵摤搳敤晤愹㝣ㄲ户〶㑥㘲㥡㝦ㄲ㌳㍣㤳昸挵㍢〹㠱摤㠴摣㐴昷㜶て㔷慤扣㌳摤摥㍥昰扡㌶搱㙢〳㈷㌱挷㍦㠹㜹㥥㐹昴㐳㥥戲㑤㜴㐳㌵摣㍥敥攱〶㈸敦㝣户㜷㘰昹㈴慥っ㥣挴晥晥㐹㌴㜸㈶戱㤵㜷ㄲ㜵㙡㌸搳㍤㕣扤昲㘶摤摥㘱攵㤳戸㈸㜰ㄲ㤶㝦ㄲぢ㍣㤳搸搹㍢㠹㠸ㅡ慥搱㍤㕣㐲㜹て㜲㝢㜷㉤㥦挴搹㠱㤳㘸昶㑦愲搵㌳㠹㤱摥㐹㡣㔱挳ㅤ散ㅥ㙥㠲昲戶戹扤㔳捡㈷㜱㙡攰㈴㤶昸㈷戱捣㌳㠹㘹摥㐹散慤㠶㕢攱ㅥ㙥㡥昲ㅥ攲昶敥㕢㍥㠹㘳〳㈷㜱戸㝦ㄲ㉢㍤㤳搸摦㍢〹㔳つ㜷㤴㝢㌸㑢㜹㡦㜶㝢ㄷ㤵㑦攲戰挰㐹ㅣ攷㥦挴〹㥥㐹㌴㝢㈷㜱戰ㅡ敥㈴昷㜰㑢㤴昷㘴户昷搰昲㐹㜴〴㑥㘲㤵㝦ㄲ愷㝢㈶㜱戸㜷ㄲ㐷愹攱捥㜴て㜷㥣昲㥥攵昶㥥㔲㍥㠹愶挰㐹㥣攳㥦挴戹㥥㐹慣昲㑥攲㑣㌵摣昹敥攱捥㔱摥ぢ摣摥ぢ换㈷㤱て㥣挴㙡晦㈴㉥昱㑣㘲戵㜷ㄲ㤷愹攱㉥㜳て户㐶㜹㉦㜷㝢慦㈹㥦挴㝥㠱㤳㔸攳㥦挴ㅦ㍤㤳戸捥㍢㠹㥢搴㜰㝦㜶て户㔶㜹慦㜶㝢敦㉥㥦挴散挰㐹㕣攷㥦挴つ㥥㐹摣攳㥤挴晤㙡戸㥢摣挳㍤慣扣㌷扢扤㑦㤴㑦㘲㙡攰㈴搶晡㈷㜱扢㘷ㄲ㑦㜹㈷昱㥣ㅡ敥㑥昷㜰㉦㈹敦㕤㙥敦ㅢ攵㤳ㄸㅦ㌸㠹㝢晣㤳戸搷㌳㠹户扣㤳㜸㑦つ㜷扦㝢戸㡦㤴昷〱户昷㙦攵㤳搸㉤㜰ㄲて晢㈷昱㔷捦㈴扥昴㑥攲ㅢ㌵摣㘳敥攱晥愹扣㡦扢扤㍦㤵㑦㈲ㅥ㌸㠹愷晣㤳㜸挶㌳㠹㕦扣㤳㄰㄰挸搷ㄳ捦戹㠷慢㔶摥攷㕤摥敡㝥㘸慣昷摢㍢ㄶ㑡㙦㡣㌷挲㑤㔶㡥㍦㌷挹ㅦ㉤ㅣ搶㠴户㘹敢昱ㅢ㤱㉦㘰ㅣ㔱㑢㠳ㅣ晡㡢捥〲ㅢ戵ㅢ㍡つ晣㐳㙢㈳㜷㑢っ㐰㡢㔳搴㕦愲㝢㔳㈷愶扦散㉣挸晥㥢㍢つ晣㐳晦㉤摣㉤戱ㄵ㕡戲晦㉢㜴て㜲㘲晡慢捥㠲散㕦攷㌴昰て晤㠷戸㕢愲ㅥ㉤搹晦㌵扡户㜷㘲晡敢捥㠲散扦㠳搳挰㍦昴摦搱摤ㄲ㍢愳㈵晢扦㐱昷㉥㑥㑣㝦搳㔹㤰晤㈳㑥〳晦搰㍦敡㙥㠹〴㕡戲晦㕢㜴愷㥣㤸晥戶戳㈰晢㘷㥣〶晥愱晦〸㜷㑢㡣㐴㑢昶㝦㠷敥㔱㑥㑣㝦搷㔹㤰晤挷㌸つ晣㐳晦戱敥㤶㤸㠰㤶散晦ㅥ摤㤳㥣㤸晥扥戳㈰晢㑦㜶ㅡ昸㠷晥㝢扡㕢㘲ㅡ㕡戲晦〷㜴捦㜰㘲晡㠷捥㠲散扦户搳挰㍦昴㥦改㙥㠹㌹㘸挹晥ㅦ搱㍤捦㠹改ㅦ㍢ぢ戲晦㍥㑥〳晦搰㝦扥扢㈵昶㐷㑢昶晦㠴敥〶㈷愶㝦敡㉣挸晥愶搳挰㍦昴捦扡㕢挲㐲㑢昶晦㡣敥〵㑥㑣晦摣㔹㤰晤ㅢ㥤〶晥愱晦㐱敥㤶㘸㐶㑢昶晦ㅢ摤慤㑥㑣晦挲㔹㤰晤て㜶ㅡ昸㠷晥㙤敥㤶㔸㠲㤶散晦㈵摤换㥣㤸晥㜷㘷㐱昶㕦攱㌴昰て晤て㜱户挴攱㘸挹晥㕦搱扤搲㠹改㕦㍢ぢ戲晦㔱㑥〳晦搰晦㘸㜷㑢ㅣ㠷㤶散晦つ摤㈷㌸㌱晤㕢㘷㐱昶㍦挹㘹攰ㅦ晡㥦散㙥㠹㔵㘸挹晥晦愰晢㜴㈷愶㝦攷㉣挸晥㘷㍡つ晣㐳晦戳摣㉤㜱づ㕡戲晦㍦改㍥搷㠹改摦㍢ぢ戲晦昹㑥〳晦搰晦〲㜷㑢慣㐶㑢昶晦㠱敥㑢㥣㤸晥㉦㘷㐱昶扦捣㘹攰ㅦ晡㕦敥㙥㠹㌵㘸挹晥晦愶晢㡦㑥㑣晦搱㔹㤰晤晦散㌴昰て晤慦㜶户挴㜵㘸挹晥㍦搱㝤㠳ㄳ搳㝦㜶ㄶ㘴晦㥢㥣〶晥愱晦捤敥㤶㔸㡢㤶散晦ぢ摤户㍢㌱晤㔷㘷㐱昶扦搳㘹攰ㅦ晡摦攵㙥㠹㝢搰㤲晤㝦愳晢㕥㈷愶攳摢摤攵㡥㔸昶扦摦摤愳昶〱㜷㑢㍣㡣㤶散㉦搸攳慦慡㝦愵扢晦㘳敥ㅥ戵㡦扢㕢攲㈹搵扦ㄷ㝢㍣愳晡㔷戹晢㍦攷敥㔱晢扣扢㈵攴搳〶敥㤶㕥㡤ㅥ敡㘲昰改㐳ㅥ〹搷攰挵㤱昰㤷㔴摥㌲ㄵ㥦㈴愴慡挶㔶扤ㄲ愸攲㔳㠱㔴㠵㙣搵㙢㠱慡搷㤵慡慦慤㤲扢㜳摦扣戸㕢㤷戹㌶戰㔵㙦〵收攲捥㕢慡っ㕢昵㑥愰㡡扢㘸愹摡挸㔶扤ㄷ愸㝡㕦愹晡摢㉡戹㥢昵捤㡢扢㕢㤹㙢ㄳ㕢昵㔱㘰㉥敥㔴愵㙡㌳㕢昵㐹愰㡡扢㑥愹摡挲㔶㝤ㄶ愸晡㕣愹戶戴㔵㜲昷攷㥢ㄷ㜷㠳㌲搷搶戶敡换挰㕣摣搹㐹搵㘰㕢㈵㜷㘵扥㕣摣愵㐹搵㄰㕢㈵㜷㔸㍥ㄵ㜷㕣㔲戵慤慤㤲扢㈵㥦㡡扢㈷愹摡捥㔶挹㥤㡦㑦挵㥤㤰㔴つ戵㔵㜲ㄷ攳㔳㜱㔷㈳㔵㍢摡㉡戹㈳昱愹戸㐳㤱慡㥤㙣㤵摣㕤昸㔴摣㙤㐸搵㜰㕢㈵㜷ち㍥ㄵ㜷づ㔲ㄵ戶㔵㜲搳昷愹戸ぢ㤰慡愸慤㤲ㅢ戸㑦挵つ㕤慡攲戶㑡㙥挶㍥ㄵ㌷㘷愹㑡㑡㤵愱㌶㐳挱敤㔳㥥愲㝡散㝢晢ㄴ搵㔸昴慤挱て挸㜲㤳㤴㠱㐷㍤〱㙥㠵㌲昰㔷㑦㠰ㅢ㥥っ㍣攲〹㜰㕢㤳㠱㠷㍤〱㙥㕥㌲昰㤰㈷挰㉤㑡〶ㅥ昴〴戸ㄱ挹挰〳㥥〰户ㅢㄹ戸摦ㄳ攰愶㈲〳昷㜹〲摣㍡㘴攰㕥㑦㠰ㅢ㠴っ晣挵ㄳ攰㌶㈰〳昷㜸〲㕣敤㘵㘰㥤㈷挰㌵㕤〶敥昶〴戸㜲换挰㕤㥥〰搷㘷ㄹ戸搳ㄳ攰㉡㉣〳㜷㜸〲㕣㙢㘵攰㜶㑦㠰㉢慡っ摣收〹㜰摤㤴㠱戵㥥〰㔷㐷ㄹ戸搵ㄳ攰ㅡ㈸〳户㜸〲㕣改㘴攰㘶㑦㠰敢㤹っ摣㔴ㅥ攸昳晦〰挲戴㜰搱</t>
  </si>
  <si>
    <t>Number of Periods with Any Stockouts:</t>
  </si>
  <si>
    <t>Cycle Service Level:</t>
  </si>
  <si>
    <t>㜸〱敤㝤㜷㥣ㅢ挵摤扥收㝣户扥㤱换〹㑣㌳㉤㘷挰〱挷㘰㔴㑦㍡㠳㌱昶戹㘰㌰戸㥣㡤改㠷捡捡㍥㝣挵㥣㜴挶〶〲愶㠳〹㄰㝡㙦㌶愶〷㐲㉦〹㘰〲㠴㥥㤰搰㔲〸㈵愶㠴ㅡ挲ぢ㠴捥敦㜹扥扢㉢慤愴㍤㥤捤ぢ㥦ㅦ㝦扣㍡改慢㤹㙦㥢搹㘷敡捥㡣昶㝣捡攷昳㝤㡢ㄷ扦昹慡㘵㘰昳搶愵戹扣搹㌹愶愵扢愳挳㑣攷摢扢扢㜲㘳㈶昴昴㈴㤷㑥㙦捦攵〷㐰挱㘸㙢㠷㍣㔷搷㤶㙢㍦摣慣㙦㕢㙣昶攴愰㔴攷昳搵搷敢ㅡ挸㠷搹㥦㠰ㄳ搱戴搲戵㈴搰昲㘹㠳㘴㈰㐹㍤㠹㈶昱㤳っ㈲ㄹ㑣㌲㠴㘴㈸㐹〳㐹㠰㘴㍤㤲昵㐹㤸㠲摥㠰㘴㐳㤰挱ㅢ㠱捣㘹㤹㌸㈳㜵〸昲摢㥡敦敥㌱户㙦摣摢捡搵戸㔰㘸っ晥愲搱挴㤸攰昶㡤㉤扤ㅤ昹摥ㅥ㜳㕣㤷搹㥢敦㐹㜶㙣摦㌸戳㌷搵搱㥥摥挳㕣㍡愷㝢愱搹㌵捥㑣〵㈳愹㘴㌴ㄱ㡡挶㘲搹收收挴攰㡤攱㜹慦㤶㠹㌳㝢捣㙣敥晢昲戹〹㝤捥㘸㤹㌸㘶㉦㌳晦㝤昹ㅣづ㥦㜰㌹愹扢㌳搹摥昵㍤㌹慤㘳愹㐵㈶㤹改㜶ㄶ慦㘹昶戴㜷捤ㅦ㠳㙣㤷〰㡤㔸㝣捣ㄴ㈰㥥㑥收昲㉤㘶㐷挷㙣㌳换㤲ㅤ摣㐹捣捣ㅥ戳㉢㙤收㠶㜶㑥㕥㤲㌶㍢㙣㜱慥扥㜳敦㘴捦㕥挹㑥戳㤶㠱㠶㑥慢摣愶㘵捣慥㝣㝢㝥改㤰捥戹㌹㜳㜶戲㙢扥㐹㤵扡捥愹扤敤㤹摡㕡㔵㕢敢ㅢ戰慤㔷㘶愴㙣挶㑣改㐹户㉣㐸昶攴㈵挶㔲ぢ㜹改扡㙡㠸㘴扣㈴㕢慣㐵㡤㘵㔶㉣愶搶昶捥㍤捣㥥㉥戳㠳㠹戰昰㐶㤷㈹〹㈶ㄶ昴〵㜰㥣慢㘱挱愸㐱㜶㡢攲愵㌰ㄵ扤㈹挹㘶㈰挶收㈰挱㌹摤昹㘴㐷㈳㉡㙥㝡㘱㜷㙦㍥搷㤸敤敥㘹㥣㙤㉥㙥㌷て㙢㥣〹搸扢㌳㡤挹慥㑣攳㜴㌳㤹㘹㥣搳摥㘹㡥搵㕢搰㝥㑢㄰㔵晢ㅡ㥡慦摢㍦㥢㔰㑤㕢戲愶㉤㔵搳㤶慥㘹换搴戴㤹㌵㙤搹㥡戶昹㌵㙤ぢ㙡摡摡㙢摡づ愹㘹㕢〸ㅤ攷㔵㍦㜰㘰㡤晤晡㜲晢㐱て㉣扦㜱挶慥换㍢慥㍡晣挹扤㥦扢扦㡥㉤㌶收㜵戱攵㌸㑥挸攵㝡㍢ㄷ戱慢戰换㔸摡㜵攷愴㕣㝥㘶戲愷㌳昷晤㔶〶㔴㠵晥㙡挳㠴㕣攷て㕦ㅢ㤰挸昷㔲ㅢ㡣㐶挰㍣㝣慦敥㥥㑥昴㐸㝢㥡挹慥㜱愱㘰㜰晢搶㝣㘶㤲戹㜸㕣㌸愶㐷㐰慣户〲㌱戶〶昱㑦㌲㍢㔱ㅢ挶㠶挲㘳昵㌶㤴㡣〴㔱敡㙦愸〶慣ち攷慣扦攸攲㡢㉥摦㘷户换摦晢昸愱挳㘷摣㌱㑦戱挳㘵㌹ㅡ摢㠲㔴㐹㘵㍢㠸昵㈸㉡晥っ挴㐹㈵ㅣㅢ慢㐷㔳戲㍤㠸㔲捦摡愹摣戸敦㌱昳㐲敦㥦㌰改㡡摢ㅦ㤹㘳扥戸㐱㕣戱㐷㤷㔴挶㈰㔰㈵㤵ㅤ改㉢〸㘲㠴ㄸ戲慦㈵㌱㔶㠷ㄹ㡤㠰㈸昵㤴㥤挸戵挷晦敢晤㘷搶ㅣ㌷攱捥㙦敥ち㕤㜷挸ㄵ㔹挵㝥㐵㐶㤲ㄸ㤵㥢㐰㡣㌸㐸戴㘵㘹扡挳㙣㙣㌵㝢ㄶ户愷㑤㌴㤳挵㘶㐷晦㑤㈸㐱ㅦ捤㈰㑡晤摥㑥㜰挸㈶㡦晥㍡扥㝣敡挴㡢㘶㙣㌳晤愸㥤〳㝥挵㕡㉣㔷戵ㄳ〲㔵慥㙡㘷晡ㅡ〷㘲散〲攲㘰ㄷ㙡ㅥ慢挷㔳戲㉢㠸㔲て搸愹ㅣ㤲晣昴换搷て㡢㑥㍣敤扡㠷㡥昸挳㤳㔳㔳㡡挳㥦愴㌲ㄱ㠱㉡愹戴㐰慣㈷㠱ㄸ㤳㐱ち愹㠴挶敡㈹㤴㑣〵㔱敡㙥㍢㤵晡㐸㜰挷愹戱㥢昶㌸昱慦搷㡤㍢㜳昹㌱搷㈹㡥慦㤲捡㌴〴慡愴戲㍢㝤敤〱㘲㑣㘷挸㉥㈱㕣捡㥥㡣敥〵愲搴㉤㜶㈲㔷ㅦ昴㕡摢㡤㙤扦㥡㝣昲搷搷㥣㝥收摥捦㕤慤〶㐱㉣㠹捣㐴愰㑡㈲戳攸㙢㌶㠸搱捡㤰㥤㐸㜴慣㥥挳攸㕣㄰愵慥户ㄳ搹㙢挸摦㘷扥晡搸扤㝢摤戸摤愱㤷㉥昸昵㤲昵ㄵ攷〷㤲挸㍣〴慡㈴戲て㝤敤ぢ㘲散〷㔲挰ぢ㌵㝡㝦㑡づ〰㔱㙡愵㥤捡搰㌷㑥㍤㝦捣搷㙦散㜱攷㐷㑢㐷㥣㜰昱戵慤㡡ㄳ㄰㐹攵㈰〴慡愴搲㐶㕦〷㠳ㄸ㐹ㄲ敢㔲㜴㡡摣㌴㠸㔲㤷搸㈹㍣㍣昴捥ㄳ㕦㝡㜳攱攴ㅢ昶捤て改㑥㙦㔲慢㌸扢㤱敡㙣㔲㌹ぢ㘲捣〷搹戶晦搱㘰㐶㔷挷搲戱㝡〱捤摡㐱㤴㍡捦㑥㈳㜵晥昸㡢ㅥ摦晢㠶㈹㌷㐷摦㥥昹㐹攳挶㝢㉡㑥㥥攴㉡ㄶ㈲㔰攵㉡㍡攸慢ㄳ挴攸〲㜱戰ち愳㙥㜵㔳戲〸㐴愹㌳散㔴㝥戵㘸敡挴ㅢ㑦㤸㌲改散㝢㥦戸晢搴ㄱ昷㙥愲㌸㍢㤳㔴㝡㄰愸㤲㑡㡥扥昲㈰㐶㉦㐸㈱㤵攰㔸扤㤸㤲挳㐰㤴㍡搹㑥攵攵㠳捦ㅢ晤敥晢攳㈶㥥㥤㕥搲ㅢ㝢㜲愷ㄳㄴ愷㝦㠲搷㔲㉡ㅦづ㘲ㅣ〱㌲㝡敤㥡扦㠵搹㤱㌴晤㌹㠸㔲挷摡改っ㝦敡攳ㄷㄳ㙤挶慥㌷㈷㝦ㅦ㍡收攳摣㤷㡡㌳㑣戹㥡愳ㄱ愸㜲㌵换㈰搶挷㠰ㄸ挷㌲㘴㔷攲昸㔸㝤ㅣ愳挷㠳㈸㜵㠴㥤挸昴ㄹㅤ㙦㙥㜵换㥤㌳㙥㍢㘵㔰戰改㡢㠵换ㄵ㘷戰㤲挸㠹〸㔴㐹攴㈴晡㍡ㄹ挴㌸〵挴㠱㉣〴挸㤶㔳㜲㉡㠸㔲㜹㍢㤵攰戲挷㙥戸攳摦つ㝢摤戰晤㤸晤㉦〸㝥戸㔰㜱㡡㉣愹㥣㠶㐰㤵㔴㑥愷慦㌳㐰㡣㕦㠲ㄴ㔲挱戵㥣㐹挹㔹㈰㑡㜵摡愹摣㜰昲㌷㘷㝥昹搵昸挹昷㑣摡㜶昳㡢晦㜴晦㠶㡡㜳㜰㐹攵ㅣ〴慡愴㜲㉥㝤㥤〷㘲㥣捦㤰つㄸ挶戱ぢㄸ扤㄰㐴愹慣㥤挸㘳愳捥㍥晥慥㈳㥥㥥㜰㜷捤㈹つ㘷晦攷戵散攰㡢㈱㥥㘵捦愳㈶昵㈴て挳㘴戴㌸捦つ㡦〹昲慦晦〹㍥收昷搹㔸㌶㥥つ㠵㌲戱㘰㌲㤲慣攳㑣㙣㙤愷㤵㐴㜳㜰㜶㕥㝢㔷愶晢㌰㤹㘷づ捥㑥㘹敦挸㥢㍤ㄲ㘹挸攲换㥡㉢㑢㝣㐸㜶昲ㄲ摣㘴愴慤㈹改〶搹ㄶ戳㈷㡦挹㜹㝥㘹㜱㘶戲昹挴㘴捥㉣㐶㐷摢扥㈷㜶昷㜶㘵㜲㥢㜹ぢ㕢昳挹扣戹㘹戹慣攸愴挲っ攳㘲扢㤹㤳㉣㙤㔹㙥戶㜷戲愳搷㥣戰愴摤ㄲ㙦㔱㈶挶ㄴ扥㍢搵户㜴㑡㡦㜹㘸㐱㕡㤱愳〹戸㜳㕣㉣扥㉢慥搲ㄲ㔹昹㙡㙣㔹搰㥤㌳扢㈴㝢愳㍢㘷戶愷ㄷ㥡㍤慤㈶敦㍢捤㡣㕣敡㠶ㄴ搹昷ㄱ愳㘷㜴攱㐲㜱㘷㤰搹捡捤㈵搰㘶㔷挶捣㈰扦㡢㠰昲搲㌹挹㔴㠷戹㔱㠹㡡㤵㈶〴挳㑢搸㔳扡搳扤戹㤶敥慥㝣㑦㜷㐷愹㘴㐲㘶㜱ㄲ昷㉥㤹㍤扢㌳㘶慤扣㝣ㄶ㔵扥〱〳㤴昲㙤攷㌵㉦愶敦ㅣ㙦ㄳ㕣㤵㘴㘳搴㥡敡捡慥㑡㐴㘵捦摢㡢㠲㘷〴㕣㤵㡣晡愳慡收挴㕤〹愹ㅤ慣慡敤㔱㐹㘹戴㐹㘹挳ㅢ㌳ㅢ攵㠳㜲攸㌰搹㉡㙢戶改摢㘵戱㕥昶㤳㔳㔷愹㜰㤹㠱摡㔵㐰ㄳ户㠵扡昷挳㉡搷搴っ戳慦㝥昲㘲摣愱敥㠶挹㜷㠷搹㔳㜵㤱㐴㌱㐷晡ㄲ㤲㑢㐹㉥㈳戹㥣攴ち㤰扡㌶昴㜱㝤㈲捡㡥㔴㉤㔱㑢敢づ㙢捦攴ㄷㄸぢ捣昶昹ぢ㌸㘴㘲㜱愵扥㥥㜰㙦㡥㌵ㅡ捥㌵㝦㕡攳昳㥤㠱戰㑦慦㈰㔹㐹㜲ㄵ㠸摦敦㌳㔶攱摢㘷昸昵搵晣扡〶㘴昰㠴摥㝣㜷愳㕤ㄷ晣慡㙥㌳昰搶晤づㄹ㈹㘲㤶挰扢㔸慣㤸攴敡㍡㜱摦㥦ㅢ㌰挰ぢ㡡摤㤲戹〵㜹戶挲慡㐲戹ㄷ扥㤶㑥慦㘳ㅥ慦〷搹㙢㌷戳〳㙤昸晢㕡㙣愹摢〲㍥晢扤愹攷㠸扦㔱㘷敢搲慥昴㠲㥥敥㉥㉣㙡㑤㑡收㤳ㄳ搲㔸戹挸愹愴搱㌹扤扢愵㌷㙦㜴敥搶㡥慦挱㥤戳捤㐵㘶㌲摦㠲㍥㍡㍦愴㜳㍡㔶㍤愴ㄳ㥤㤶㔹㔲搷㘹㉤㔸㑣㌲㜳㘹捤㤵㡤㘹攸㤳㤶ㄸ〸愱㤳ㅤ摣挹㕥挶㕣㤲愷敢㠱㥤戸㉤㐶㕤搲㔰ㅡ㉤㔶㔶㠸㤶㐳㠴攷㔸晢敤ㄸ㍣〴㈴攸昲㌲㐸ㄸ㤶㈷ㄹ㝦㌱㝣㘲㠶㔴㙢搳昲收㌳㌷摦摥㤱ㅢ㘳挳㍢㘶㔲㌷㔶扥㑣㔹搶㈳散㠶㠱摡㘵㔴㉤慣昲㔶捥愵㤱ㄹ改㤴攵ㄶ㔹㤹摡搳摤扢㠸㌷挴摦㤷ㅦ晡昲改ㅢ㐰㉥晦捦昵㍢㡤扣昴收㙦敤敦愳搱㝥攴愵㌷愷〶㉢㍢愳昸㤲㤷扥〹㕦晥㙡戲㍡㉥㥤㜸㜶戳㝤慣攲搴㐱㝦㜰㈷慥㜶㑥㡦㈹换㔲昵ㄲ㔹扡挸ㅣ搲㌹慦扢㘷㘱慡扢㝢㈱ぢ㝦愸挴㜲ぢ㑣㌳捦㔶㌲挸㕥摡㘲㔸㈹㌵㘰㐰挹㐲㡤㙢㔱㘸㌸晣ㅢ户㠲っ㤹搰搱搱攸㜸捣ㄹ户㠱㌵〰挳㠹㜱㍢〲㥢捦攸挹㤸㍤㍢捣㕤戴挳㥣敥㐶㉣㑡昵㜶㈴慤挵搹㈵ㅤ戹㈵㙡て㈰挰〵㠰扢㐶㘶㡦㝡㘲㠳扦㑤戸㜴㝡摤ㅦ㜶㍡㘵扢愴摡摤ㄶ㔴慣敥㡣㠰捦㉡㔳㥦㤲㌵ㄴ捥昰㑢愶㍥ㄵ㠳扡㌵攲晤摦搴攵㐷㌷㜵㈹㥤戶晣慣㥦戱扡㙣攲搲攷㌰昵㝦〳扦搷敥㠸㌵昰摦㠵挶愲㜶㐳戳㙢挳〷攱搲㤷扥〷㜱㝤㉦挹㙦㐰㌰㕣㑢て㠶搱晡㍥㉢慡戶挲㌷〷㘸㝤㍦挹〳㈰㜵摢㠰㔴ㅦ挶搰㕣攵㘶㥦㡢慥㐳㍡㈷㤹搹㈴昶㍡㘴攸㔱挹晦㥦㈳㔳㉤㌶㤵㕣挳㔲昵㡢㐰摥搹敢ㅢ攵㔳摡搲㘵㜸㙣づ㘴愶㥡㕤㜳搰晤收扥捦〱攷晢ㅣ戸昴㙡㕣㠷昳慡ㅢ㡦㡡戰昶搷挴㐹摤挰挵㥣㌵戴戵昹敡㜹㠵攴攸慤㐹㉡〶扢㠷挱昵㔷㤳愹㤱搰攰㠰愷㌹挰ㄸ㡦㠳っ㐰㘵搱ㅣ㔲㔴っㄹ昳ㅣ㌵愲戶愰㘲㍤㜹㍢㤸㜱攴搰㑦搳㍥っ戵㌶㝣㄰㉥㝤改㍦㈲慥㥦㈱昹ㄳ㠸慢㤶㍦㙢㐵搵㈸㝣㑢㉤㝦㡥㑡捦㠳愸搱㈰慣改晡〵㄰攷愵㐶挱晦㜸㝣〴㠴㥦㠱㕤〹挲摦挰昵敢㉡㌲戵㍤㌴ち㈰㘸㠲㘰〱昰ㄳ㌸昶〴㘰㑢㕢㔰戱搴扤㈳㙣〵㠰㌵〸愸捤愱搶㠶て挲愵㉦晤〶攲晡㑤㤲户㐰㕣〰扣㙤㐵㔵㄰摦〲挰㍢㔴㝡ㄷ㐴㠵㐱〴㠰昷㄰㜰㕥㙡ㄸ晣㡦挷㐷〰〸㠱㕤〹挰㠷攰晡㜵ㄵ㤹㡡㐰挳ぢ〰つ挷㥥〰搴摢㠲㡡㘵昸ㄸ㍣㜱搹㐴㝦㑥昲〵挹㤷㈴㕦㤱㝣つ愲㙡㘰摡㠶捦㌹挸昱ㅡ㝣㝥㡢ㅢ㠷㔷㈴昷挴㐹戳㍡㙢㜶ち㉥㔰〶㈰㙡㜰晢戹挱搹㑣㙣戴㠶㈲扦㔲㑤㌰ㄲ愰敡㘸㘸㠰愸〴㔸㥣摡㘳ㅢㄹ搱㍥攷㠷㜱㙡㔴㌴ㄹ㍦㑣晣扡㡡㑣㌵挳慥〸ㄶ㘷㘱㔶㙤昹昷㌷㝤㠰昵㠱㉤愸搸㐲搸ㄹ戶㈳㘸㍦㡣搹㝥て㙡〴〶㡣搲㤷摥㄰㘲扤ㄱ挹挶㈰㉥㘰㠶㕢㔱㌵づ〶〲挲愶㔴摡っ㐴㡤〷㑢㙡ぢ㙦〹㥤㤷㕡㠳㌴挶㈳つ昲昴㉥㈴ㄵ〰㌴㐲收慦㈶㔳扢挲慥〸㐰戱戹晣戵㉦〰晥㘲ぢ㉡㜶㌷㕡攰㘹〴㜳㌱ち㠹慡ㄷ晡〴㘰㌴挴㝡㝢㤲ㅤ㐰㕣〰散㘸㐵搵㈴㌸ㄱ〰㠲㔴ち㠱愸㈹㘰〹〰㘱挴㥣㤷㝡摡つ挰㘴戰㉢〱㘸愲㑦㕤㐵愶愶挲捥ぢ㠰㠷晡〲攰㜷戶愰㘲攳㘵㜷㜸ㅡ挱㕣㡣㘷㤶㔷昷〹挰〴㠸昵㐴㤲ㄶ㄰ㄷ〰㤳慤愸摡〳㑥〴㠰㈹㔴㥡ち愲昶〴㑢〰搸つ㌱攷愵敥㜲〳㌰ㅤ散㑡〰愶搳愷慥㈲㔳㝢挱捥ぢ㠰㕦昵〵挰㡤戶愰㘲㔳㘸ㄶ㍣㡤㘰㉥收㌲换搷昷〹挰㍣㠸昵㍥㈴晢㠲戸〰搸摦㡡慡搹㜰㈲〰ㅣ㐰愵〳㐱搴ㅣ戰〴㠰㠳㄰㜳㕥敡㑡㌷〰慤㘰㔷〲㤰愲㑦㕤㐵愶收挲捥ぢ㠰昳晢〲攰㍣㕢㔰戱㘱戵て㍣㡤㘰㉥ㄶ㌲换攷昴〹㐰㈷挴扡㡢愴ㅢ挴〵挰愱㔶㔴敤ぢ㈷〲㐰て㤵㜲㈰㙡㝦戰〴㠰㍣㘲捥㑢㥤敡〶㘰㍦戰㉢〱㔸㐲㥦扡㡡㑣ㅤ〰㍢㉦〰㡥改ぢ㠰㘵戶愰㘲㉦慤つ㥥㐶㌰ㄷ挷㌰换㐷昵〹挰㜱㄰敢攳㐹㑥〰㜱〱㜰㤲ㄵ㔵〷挳㠹〰㜰㌲㤵㑥〱㔱㈹戰〴㠰攵㠸㌹㉦搵敢〶㈰〹㜶㈵〰愷㐳摦慦慢挸㔴ㅡ㜶㕥〰㉣散ぢ㠰㐳㙣㐱挵㔶㥦〹㑦㌲㘴㥥㡦㐴昵〵㈴ㄷ㤲㕣㐴㜲㌱㠸捡搸愰戰㘳㝦〲㥦攲敡摥愵搴戹㡣攴㜲㄰ㄷ㈸㔷㈲㙡慣〰昱ㄸ㌲戳㐸㔰㠰㕡㐹挳慢㐰ㄴ户ぢ慤㈱㜳ㄵ愲㝤づ㤹昳愱㔶〹搶戵㌰昱敢㉡㌲搵づ扢㈲㔸挵㈱㜳㔶㕦㘰捤戴〵ㄵ㝢㤶ㅤ昰㌴㠲戹戸㠵搹摥换〶〶㡣搲㤷扥つ㘲㝤㍢挹ㅤ㈰㉥㘰敥戲愲㡡晢㤹〲挲摤㔴扡〷㐴㜵㠳㈵戵攵㕥挴㥣㤷㥡㡣㌴ち㐳㈶㌷㐰㉢〱戸㥦㍥㜵ㄵ㤹㕡〴扢㈲〰挵㈱㜳愷扥〰ㄸ㙢ぢ㉡戶㔳㜳昰㌴㠲戹㜸㤴㔹㑥昴〹挰攳㄰㙢㔶ㄶ晤㈴㠸ぢ㠰愷慤愸捡挳㠹〰昰〷㉡晤ㄱ㐴㉤〶㑢〰㜸〶㌱攷愵㜶㜴〳搰ぢ㜶㈵〰捦搱愷慥㈲㔳㠷挱捥ぢ㠰㤱㝤〱戰㡤㉤愸搸改㕤ち㑦搲㕣晥挱㝣扦㑣挲改愳㝥㤵攴㌵㄰戵愵つ捡昶搰ㅣ㡢㑦㜱㠶戹㠶㍡慦㤳扣〱攲〲攵㉤昲㌸挳挴㡣昲㜰㤸〸㌰㙦㤳昹づ㠸㍡ㄲ㉣慢㜹扣㡢㘸㥦捤攳〸愸㔵㠲昳〱摤敡㉡㌲昵㜳搸ㄵ挱㈹㌶㡦㐱㝤㠱攳户〵ㄵ摢搳换攰㘹〴㜳昱㕦㘶扢摥〶〲㡣搲㤷晥ㅣ㘲晤〵挹㤷㈰㉥㈰扥戶愲敡ㄸㄸ〸〸摦㔰㠹昳㐵㜵ㅣ㔸㔲㍢㝣㤸戱㍢㉦昵敤搷慥收㜱㉣搸㤵〰搴㐲摦慦慢挸搴昱戰㉢〲㔰㙣ㅥ㥦挰戹攷晤挷挷戶愰㘲敢晣㈴㜸ㅡ挱㕣っ㐱愲敡㈳愸戵㘱扡ぢ㐶改㑢㌷㐰慣㜹〶㔵慦〷攲〲㘰㤸ㄵ㔵摣㔶ㄷ〰㌶愰搲㠶㈰㙡㌹㔸〲挰㐶㠸㌹㉦昵戶ㅢ㠰㔳挰慥〴㘰㔳晡搴㔵㘴敡㔴搸㜹〱昰㑡㕦〰扣㙣ぢ㉡㜶昵㑦㠷㈷〱㘰㙢㘶昹愵㍥〱ㄸ〹戱收㐰愲户㘵敥㡡ぢ㑤愳慣愸㍡〳㡥〴㠰㥦㔱㘹㌴㠸㍡ㄳ㉣〱㘰㝢挴㥣㤷㝡搶つ挰㉦挱慥〴㈰㐸㥦扡㡡㑣㥤〵㍢㉦〰ㅥ敦ぢ㠰挷㙣㐱挵㠱㠳㜳攱㐹〰㘸㘶㤶㝦摦㈷〰㍢㐱慣㜷㈶ㄹ挷摣ㄵ〱ㄸ㙦㐵搵㜹㜰㈴〰散㑡愵〹㈰敡〲戰〴㠰㠹㠸㌹㉦㜵㥦ㅢ㠰昳挱慥〴㘰ち㝤敡㉡㌲㜵㈱散扣〰戸慤㉦〰㙥戵〵攵㠷㈱敡㉥㠱愷昲晤ㅤ㌹㠵㕡搸㈶㜶慤攳づ㠵戲㤱㥤摢搵㥥捦つ捡㜲ㅦ㜰㑡㝢ㅥぢ㙤㠳戳㈰〸㡡挹愶戲愳敡㌲ㅡ㥤摤ㅢ挷㑦戹挴昶㤳㑡ㄱづ攸戶昴收昲摤戲㜵戵㘵愵㝣㔲昷㕥摤昹㐹敤戹㐵ㅤ挹愵摢㜸㠸㉤挹扣〵㘶ㄷ戶昸㝢戰搳摦㥦㔲昷愲㐵㘶挶㈳㡦慤摤扤㍤㘹㜳摡愴ㅦ挳㈱〱㘵敤挱昹戰捤愳㤴㑦㡤散㝢愱摤㠵晢挶㈸㥢ㅡ㙣つ愹敦戸挷捣㕢㝢㥦㥥挹慡㡡㌴㔱挵昵㉣㔶㐳扦慦敥㔲戰慡㔷ㄱ搷戱㠳㐱㔰昶㘷㔱慣ㄶ㙦㠸㝤慥㘵㕡㔷慥㍤㘳晡敤搸㥥敤㕤㐳敤攰っ㥣㔲㜶㑢㤲㑢㠶搹ㄲ散㕦捤攸㐲搱愷㤳㍤㤹ㅦ㐳愹攰挲昰戲㡡㐴ㄹ昸晢㙥㐰㕢㙥㝣扥て㌹㑣昲昵攱搱㘸散戳㙤慣㉦〳挳㜳㍢戱搰ㅣㄱ㜰㥤摡㘸㠰晥㄰挲㕤㘰搷㌳挶戳扦㔲ち搶搹摦愱愲㘱愲㠲攳㕣㝣㠷㌹慣㌴㉡㑢晢㍡㍢㈱㤵敢敥攸捤㥢㐳ぢ㈱㘹攸㍡㍢摢攴昶攰㘲㜳㜰㈱㌴㌳㥤挷ㄹ愵㠲㍦㥥慥昹昱㤴㄰㄰愹戵㑢㐹㐹㌹ㄹ㔵㉡㙦改㐵戰つ㝤挷㔲㐵㘱㘶攵昵挱㜸㜵搱㠵㝣㕤㌷摥攷〴晣㝣昹敡㉥㠷晢昲戵晢搲扥搶㝤挴㠶㉤㘹㤸㜳昲换敡攱愴昳ㅡ散昰㜸扡㘵㐸㔶晡㍤ㅣ㘱攳㜱昹〶㌶㥤づ晣㕥㈵摦㥥㑥㜶㜴㉣ㅤ㥡㥤搶㤵敥攸捤㤸搳㤳㈹戳挳改戳㜹㍣晣挷㔱㕥㥣㐳摢㉤慡ち㉥㌶㈸搳昰㑢㈱攷㐰捦㜷敥收㝣扡ㄵ㉤㑤㠶㕣昸昰敢戹㜶扢扢〲ㄹ㔹攷昳㑣㝥ㄸ慤㕦㍣㡤㈷扦㌴㐱搷㔶挱㘲㥦挶攳ㅤ㠵㈳㔱搲攲㕣㙡搳扢愷攳〷ㅢ㘶挶挵摡慤摤㘲晤㘸摡㤵㌴㈹挳㌰扥敢〰〳慣昰晡搰㥥㕤愳搳戳攲攳㌹挶戰㜱慣㐰扣晣㘰㠸慢㜱挸搸㉦㥤㘰〰㡡つ散挱慣㠹挳㥣昶㝣㠷㌹㈸㉢㜲〹搷戳㐹㄰捤㠱搹㌹ぢ㜰挸㘲搲㤰散搴㥥昶㑣㐷㝢㤷挹㐹〸㡥㑦昲搷㍤搳捤昹㌸攸㌷戳㍢搷捥㤳て㐳戲㜳㝡㤲㕤戹㐵㍣㑢㤳㕥扡㝥㐹㑣ち慢㉥㍢戱扤ぢつ挸㑡㤳攱㠶㙣敢㠲敥挳昰换戶摥捥慥愹挹㐵戹ㅦ㐵㐱搹㐳ち㄰戲㝡挰ㅡ㔵㔳愳敡㙢敡扦敢㔸㈵㐷㕦㌸㈱昰㜱㍦愹㠶挴㉥慥㤵〸㔵㘹戳㉣㈹晢愸㈵摢㉣昳㔵昲搳ㅤ捦愳㕥㠵㥦〶戲ㅦ搶昳搰㌴〷敦〳戲晢搴戹搳㡡〷㜴晦㔷扦挲慢扢ち㥥慢っ〷㔲㌵ち愷〱㌷㠴昲㔰慢扡㤰挷摡愳愵搴ㄹ㉢慦㠲晥慣攸戰㌶㘲〴愵㍡㠳㔳㜰㔴㙢㌰ㅡ㍦扡㕦散㐶愱摦ㅤ㙡㐵㌸愵挳㡦㜴㜲戶慣愵扢戳㌳挹敡挵慡搹㡡扥摢慣㤷昹㌵㝡ㄳ㥤〵㤱㍡㘸戳㤲㑢挰㑡㉥ㄱㄶ㠶㘴㥥昰㤵㌰㝤㜵捦㑦昶戴攷ㄷ㜴戶愷敢ㄹ攱㈹摣ㅦ㐵扤㐴ㄵ慡〵㤸捥㑢㉡㈷㈶慢攵㕢昸搶〹㌰ㄴ昷ㄸ摣㍦㄰㍡ㄶ㍦㙡㙦㡤㡣攳敡㍢ㅥ㥦㐴昵㤵づ㕦敦〷㙦㜵昸昸搰昵㕢㔹㜱㑤挲挰㤱㡥㐸昱愴㈳挵㝡㝦愸㌲挰㑦㉤捦ㄶ㔶㍤搴㌶㄰ち晥改摤挹捣ㄴㅣ搴敥敥ㄹ㘸晦㙡戴ㅥ㐵换㙥愵㈷挰㠳㡣㉤㌸〲㡣愳挵㡢㌱攳敤愹㈷愳ㄵ㐷〴㙢㜹〴搲戰捡㤰つ搷㔷㔷㌷愸摥㉢慤㘹㡥慦㙤散〳㕦敥摦搵㑥慢昰晦摥慣〴㝡㔷㕥ㄶ愷ㄲ晡〰㕣㡥㍥㤰搷㜴ㅤ愲扣㥥㌲㠵㠳愸搰〶㔲㜷〳㠴攵慤愴捦㐳㝦〳愰㕣搷挹挳㠸昵㥤扣ㅣ㑣㌹っㅣ㔱挴愱㐶㐰㘲っ慡扦ㅥ㜲㝤㌰摣㍥晤搴㔳攳㄰昶愹㥢㐰㥣昴㌹㠶摡ㄹ㑣㌲晤ㄴ搳扦ぢ捣㜵㌸㕥㈴㤷㔷戸换㤴挹㙥昱愶㜲㐸搶㝤て㌹㉣㙢摦㑣扡㙥ㄹ换㜸㌲挹㐲㍢晦ㄱ摤㄰〲づ挰收戴㥡敦㍣〲戳摡戳㡥晢㝤敡ㅥ㌸㕣㐱慦㐶ㅡ㠰て戳㝥㌲搸〸㙣昲㍤敤愹㕥づ㠹ㄴ㑡慦㕦㕢散昵搵扤攰戱攷搷ㄹ㔸愹摦㈰挴づㄵ敤挹㙡㘰㔹ㄶㅥ㍥搵ㅢ搸㝤㔴挰㐷捦愷ㄳ㍢愲敥㐷挰愹ㄴ㜴㘱㔷㡡〵〸敢㜶㉡㍥攰慤㜰〸ㄵㄶ㠲搴慤㠶㐲㜹㡦㔲㝡摣〷户换ㅡ㑡戵昲㡢㘱ㅥ㤱慤挷㘹㔳㌹㕢㕢㈷捤㙦㤰敢㑣慣㘱ㅤ㠷慤㠷つ㐲㥤㌹愳ㄵ㝤戳㤹昱㕢㌵㡢搵㥤㥤㐸㑤㑤㉤㍡㈸愳晣昰㘳㐵戲㜴搱㙡捡㤱㈴挵㘳㌸㐶〷㜲扣㍥㤷㔰攰扦捤晥晤ち㝦㠸挹摢㜰慣㐱㝥㡢㉦㜹攱㍥扣ぢ慡㔸㙡㝥ㄸ搴〱㘸㌰㌹㔶戳敥收昵㉦〲㔱㍣㐶挳㤶㈳攸摢攵晣㐷㐴㔷㤰愷㔹捥昲㘲㜱扡换昴ㄹ挴愵㑣㝢攸攴㑦㠸㤵㤴㘹ㅥ摣晥换昴㔹㤸㐹㤹昶搲㠹ㅤ㔱㍣㡦攳㘴㤹挹摢㔹㕥㡣戰㍥㡣㡡捦㝢㉢㉣愱挲㔲㉡昰昸捥㙡㝣㡣挳ㄱ㉢挷㡢㍦㈹昵挰敢㐸愸〲慦扦㠱㍡㠹扢昰晡㌹㝤ㅦ㐵摦㙢愰㔰㡥搷ㅢ攰慤挰愷ち㕥㙦㐲㉡㜸㉤愳㤳户㄰㉢挱敢㔸㜰晢挷敢㙤㤸〹㕥挷搱㠹ㅤ㔱敦㈰攰㘴ㄹ㝣〷慦攳ㄱ搶㈷㔰昱㕤㙦㠵ㄳ愹㜰ㄲㄵ摥㠳挲㙡㝣㡣㤳ㄱ㕢慦慣㝥攱挷戱ㅥ㜰㉤㠷㈶攰晡㄰搴㐹摢〵搷愹㜴晤ぢ扡晥ㅣち㕣㉤㌴㑥愳㠱㑦㥦捥㉦㝢愹攸っ㠴搹慤㝣〱ㄶ㤷㡢㥣㤷㙢㝣攵㤲慥慤昵㈵挴㕣攸攰㠵昷㜷搳慣扥㠲摥攵㔴搶㘷挲㕣㉥㐰敥摣捥戶㥤㝤つ搱ㄵ㤴换慢捦晢ぢ挵ㄶ戵㠲㍡㜲㕣㐷搲㉥㥢搳昲㕡慣㤲㍤ㄷ扥㘵㡥㘰㤵慣㍤㝤㌸ㅦ摣晥㑢㜶〰㥣戰㐰昵〵㜴㠲㠰㝣敡㐰ㅤ㜴㤹〹扢㈵㕣〸ㅤ㝤ㄱㄵ㜹ㄶ挹㐳攱㘲㉡㕣㐲㠵㠱㔰攰戸慣㉦㐵慣㌰㤴晡㕤㘶戵㐵扦㤷搱散㜲㥡昱戰㔰㜹㈵攷〹愱ㄵ捣㐵摦㥤〲捦て㐹㈵扦㤲㑥㌶㐶慣愴㤲慦〴户㝦㈸㠶挳っ㙦散ㅡ搳〹〲昲攱愹㈳攷㑡挱㜷愰㔸㠵戰扥㥡㡡摣戸昶㔰戸㠶ち搷㔲㠱㠷㤴㔶挳搲戸づ戱昲㑥㠱扦㤵昶愸攵㌷㐰ㄵ戵扣搱攵摢㔵换㙦愴敦㕦搱㌷捦ㄶ㤵攳挵〳㐵㉢㘰㕥〵㉦ㅥ㌷ㄲ扣㙥愶ㄳ㥥㍢㉡挱敢ㄶ㜰晢挷㡢攷㤳昰挶昱㑡㍡㐱㐰㍥㍣愴攴〱挷㙤搰搱户㔳㤱〷㤸㍣ㄴ敥愰挲㥤㔴攰㤹愶搵㜰㘷摣㠵㔸〵㕥昸㘵慥〷㕥昷㐰ㄵ㜸昱㜸㤳攳摢㠵搷扤昴晤ㅢ晡ㅥて㠵㜲扣㈶㠰户〲收㔵昰攲改㈴挱敢㍥㍡㘹㐱慣〴慦〷挰敤ㅦ慦挹㌰挳摢愷㔷搳〹〲昲攱㤹㈶㈷换攰㍢昵敢㐱㠴昵敦愸㌸搵㕢攱㈱㉡㍣㑣〵ㅥ㠱㕡つ㑢攳ㄱ挴捡㍢㔱敦敡昵㈸㌴〱ㄷて㐳㌹㘹扢攰㝡㡣慥ㅦ愷㙢ㅥ㕣㉡㠷㙢ㅥ㜸㉢㘰㕥〵㉥㥥㘵ㄲ戸㥥愴㤳㝤ㄱ㉢㠱敢㘹㜰晢㠷㙢㝦㤸攱敤搳㝦愰ㄳ〴攴挳ㄳ㔰㑥㤶挱㜷攰晡㈳挲晡ㄹ㉡昲㜴㤴㠷挲㥦愸昰㘷㉡ㅣ〴㠵搵戰㌴㥥㐵慣ㅣ㉥晣ㄲ摦愳㜶㍤て㑤挰挵愳㔳㡥㙢ㄷ㕣㉦搰昵㡢㜴捤㘳㑥攵㜰昱㙣搳ち㤸㔷㠱㡢㈷㥦〴慥扦搲〹㡦㐰㤵挰昵㜷㜰晢㠷㡢㐷愵昰昶改㤷攸〴〱昹昰扣㤴㤳㘵昰ㅤ戸晥㠱戰㝥㤹㡡㍣㑢攵愱昰ちㄵ㕥愵〲ㄷ㐳㔶挳搲㜸つ戱㡡搶攸㍤愵㔹〳㔵攰挵㤳㔶㡥㙦ㄷ㕥慦搳昷ㅢ昴㝤っㄴ捡昱㍡づ扣ㄵ㌰慦㠲搷昱㔰ㄱ扣摥愲㤳ㄳ㄰㉢挱敢㙤㜰晢挷敢㈴㤸攱㡤㐳㄰㜴㠲㠰㝣㜸扣捡挹㌲昸づ㕥敦㈲慣摦愳㈲㡦㕥㜹㈸扣㑦㠵て愸戰ㅣち慢㘱㘹晣ㅢ戱愱愵㔳ㅡ慦扡昵ㅦ愸〱㉢ㅥ捡㜲晣扡戰晡㠸㝥晦㠷㝥捦㠷〲攷㌳攲挳愷㍦愱㤹㍤㥤昹ㄴ㘱㑥㘷㜸扣慡敦改捣㝦㙤慤ぢ愱戵搶搳ㄹ㥥搳戲愶㌳㥦挱㕣搲㤶改捣ㄷ戶戳㡢㈱扦〲㌹戱㕥㝤㑦㘷㜸㤶㙢〵㤵攴㈸ㄵ㜳㕥扥㐴愷㉥〳㑦㑡昵㉢昸㔶㤷㈳㘶㤵慡㍤㥤昹〶摣晥㑢昵㑡㤸攱㡤㔳ㅤ㜴㠲㠰㝣㔶㠲㍡攰㌲ㄳ昶㜴㠶て㔵搰ち㐴㕤攵慤㔰㐳〵慣㜰昸搴㉡㈸挸㜴愶ㄶ戱挲㜴㠶㠷挳ㅣ扦慥㤵㠱㍡㥡ㄹ㌴攳㐱慥昲ち捥搳㕢ㄶㄴ㘹攴㔱㕥攵昷㌸㍣摢戵ㄲㄲ㕤㑦㈷㍣攴㔵㔲挱晤攰昶て挵㕤㌰挳ㅢ捦ㄶ愳ㄳ〴攴挳ㄳ㘱㑥㤶㤹扣つ挵㘰攸攸㈱㔴扣挷㕢㘱㈸ㄵㅡ愸挰〳㘴慢㘱㘹〴㄰㉢敦㄰昸攰っ㡦づ㜴㝤愸愲㤲摦敦昲敤慡攴挳攸㝢〳晡㝥ㄴち攵㜸昱戰㔷㍦㜸昱㈸搸㑡愴愰㌷愲ㄳ㥥〹㉢挱㙢ㄳ㜰晢挷㡢㘷挷昰昶改攱㜴㠲㠰㝣㜸㠰捣〳慦㑤愱愳㌷愳㈲て㤷㜹㈸㙣㑥㠵㉤愸挰昳㘶慢攱捥搸ㄲ戱ち扣昰㍣ぢて扣ㅡ愱ち扣㜸昴捣昱敤挲㙢〴㝤㙦㐵摦㍣㈶㈶㌷㌹㕢搳挰愷户攱㤷摤㉢㡣㐴㤸扤挲换搰改扢㔷昸愹慤昵ち戴搶扡㔷㜸ㄵ捡㔶慦戰㉤捣㡢扤挲㈸摢搹㙢㤰㕦挱っ挹慢敦㕥㘱つ昴慣愲㍤㐲㌴ㄱ㉤扦挹㜹ㅤ扣㤵㄰敡搱昰慤摥㐰慣愴㔷搸〱摣晥㡢昶㉤㤸攱敤搳㘳攸〴〱昹昰〸㥣㠳㉥㤳户㥢挲㡥搰搱㐱㉡昲㜸㥣㠷㐲㠸ち㘱㉡昰挰㥣昴ちㄱ挴ち扤〲捦挴㌹㘶戵㐵扦㔱㥡挵㘸昶㕦㈸㤴搷昲捦挱敢愷㤶昳㐸摢㑡昸搳㜱㍡攱搹戶㤲㕡摥っ㙥晦㔰昰っㅣ摥㍥㍤㤶㑥㄰㤰捦㌷愰㑥㤶㕤扤挲㑥搰搱㍢㔳㤱扢晦ㅥち攳愸戰㡢㜸㠲搹㙡戸㌳挶㈳㔶㍥慢挲攳㔴㍣㉡昹〴㘸愲㤲搷挲搲㜱敤慡攴ㄳ改扡㠵慥㠷㐰愱ㅣ慥〶昰㔶挰扣捡㉣㈱〰㤵㤵搴㤸㑣㈷敢㈱㔶〲搷㔴㜰晢㠷㙢ㄸ捣㠸㤰摥㡤㑥㄰㤰て㡦捤㌹㔹㐶搰愹㌹搳愰愳㜷愷攲㠶摥ち㝢㔰㘱㍡ㄵ㌶㠲挲㙡㔸ㅡ㝢㈲㔶摥㈹昰㈱㌷ㅥ㜸捤㠰㉡昰摡搴攵摢㠵搷㑣晡㥥㐵摦㕢㐳愱ㅣ慦㤱攰慤㠰㜹ㄵ扣㝥ち㤵㤵搴㘸愵㤳㙤ㄱ㉢挱㙢㉥戸晤攳㌵ち㘶㠲搷摥㜴〲㙦昲攱㈹㍢て扣收㐱㐷敦㐳挵搱摥ち晢㔲㘱㍦㉡㙣て㠵搵㜰㘷散㡦㔸〵㕥摥昵敢㐰愸〲慦愰换户ぢ慦㠳攸扢㡤扥㥢愱㔰㡥搷㑥攰慤㠰㜹ㄵ扣㜶㠶捡㑡㙡㈴改㘴ㅣ㘲㈵㜸愵挱敤ㅦ慦昱㌰ㄳ扣㌲㜴〲㙦昲搹ㄵ㕣て扣㑣攸攸㉣ㄵ㈷㜸㉢捣愷挲〲㉡昰っ摦㙡戸㌳摡ㄱ㉢㙦㡥摥敢戶ぢ愱〹戸愶戸㕣扢攰敡愰敢㑥㤰扡㤹㔰㔸扢㌳㕥摣㘳ち戸づ摥挹敦㔶搷换捥敡㑤㜶攰㜱㤷㌳㜰晡㈳㑦搶㡦㘱换慦搶㍡㠳搳敦挲戸㕣挲晥〷㜲㑤扣ㅣ㠳搲㐵㜴晢摡攴㘷扡摦敤㡣㡥扦敥慣慦扥晤㜶敤㔲㘱慤㈹晤攱慣ㄴ愶敥挶ㄷ攷〰戳㔰㘶㔲捤ㄶ㤱㙦扦搴㙣㉦㙥㕤㉢戸㔵戶捡换㡥户搰敢戰攲挶ㅥ户㜰㐷㜷㘰㕦㘶㉤㜶捣て㐵㕥搴㕣慦㍣愸㜹づ㌷㐷ㅤ㈴挱㙣搷敤〷㙥昹㡥㐹挵ㅥ㙣㉤㌴㜱㜰て扢戱慤昹愵ㅤ搸〱㘷㤰㍢㈸㔶㠸㕢㝥㤶ㄸ㤹敥敥挱㤱㥥摡昲㥦晡ㄷ㙣㉦㠶慢㐱ㅢ㤴㍤〱㐸捣㈸攱㘶㙦摤㉦㔰㐴㝤摡㤷㤶ち㙤昸㌲㝡㜱㌱ㅢ散搹㥥敥改捥㜵㘷昳㡤慤㌸挹挱㘷㌸戶㘷㜱愶㘷㐲摤㜲㜸昴㑣㤳ㄷ㔶摢挵㈷挳㉥收㉦愴晤ぢ扢扡て敢㤲摣搴攵昸㘸㉣㈹摦㠱〳㤹っ敦㐵攴戵㌵挰ぢ散㡦㡣搲㔸ㅦ㠶㠴㠷っ〸ㅣ㠰㌸㕦㠱〳㥤挰㐱㑥愰捤づ㌴ㅣ㡣〰扤ㄸ愲昹㍤㤲㐰ㄲ㥥㔹㥡挶ㄲ搰昵㕡㈶戶㤵㍥〴搷㔸ち昶㘰戰㘵㠷㙢㌶㥥㉡㘵ㅣづ捥㔰㜰㕣㠷㌴〲摣㜷愵ㄷ㝤〴愸㍣㔰㔶ㅥ㉤慢㌲攰ぢ㄰㐷㠱捦㠰㝣戲攰戲昲愸㘳〰㉥㡢㡣ㄷ㘴㉣㠳㑡㥦攵愰㡥㠶ㅡ换愲ㄴ换昹昰㈲㔸ㅥぢ㘳㘰挹晤㍥扣㝤挶㜱㠸㡦㙣㤹搸㌲扢㉤ㅤつ㘷搲攱㘰㈲ㄶ㙤㡡㐷㐳改㙣㈲㙢㥡㠹㘰㈴ㄱ㑡愷搳戱㜸㍣㙥ㅣ㕦㔰㑤〶戳㤹㠸㤹㌲㥢㘲挱㙣㌴㘱挶㔲攱㜴搶㡣挴㤳㤱㘴戶㈹㥡㡡〶〳敤戶㝢㝤〲㙣昴㠹㈰〱㙥㈰㌲㐵㝤ㄲ㔹㈷㤳戵搰㘱ㄵ戴敡戸〹搷㙦㘷㘶敦昲昱㝡戰戶㤵㔶ㄹ㘵搶づㅣ㔸㜱㠰户戴㘳挳〶愰㜴㠲戲㉤㘸㤰搶昵〲愶敡晤㤴㘳挴搲愸散愷昴㉦㜸㈹愷㠱昸〳摤挸㌸〲㍥攳㜴㔰㡦敡㜱〶搸愵搵攳㤷攰㤴㔷㡦㐵戶ㄷ㝤㈶㠴㝡㉢昸搳㈳㐰㔴て昸捣㠳㍥〷㝣愹ㅡ攴㜲捦㔰慡挷㐲㕣㠸㔳㍤㌴慢〷㕢愴㙡昷慣〹扤㌰㤲㥡㜰〱昴㔰ㄳㄶ㈳㡥户捦戸㄰㜱慢㈶挴ㄲ挹㔰㜳㈶ㄴ㡣㠷㤲改㘸㔳㔳㔳慡㈹㥡㑤愷㌳昱㘰㌸ㄳ捤㘶㘳愶㜱㔱㐱㌵㤵㡡㘷攲㌱晣㘵捣㘴㌴㤶〸㈷㐳愹㔸扣挹㑣㈶愲搱㘴㌴ㄴ捡〶づ戳摤敢㡢㘱愳㉦〱〹㜰摢㤱㈹扡㙡挲㔲㠷㐵〵㔱㔵㐷㠲挵摡愰摡㜰ㄹ㉣㈹㐸昰攴㉣捡㔷㠲昸〳㍦㠷㔰㜸㐴㕣ㄳ㕦㑤㐸〳㐷㌹晣㙢挸ㅡ㐵慢敤㐰搴㌲㍡㘳散㝡昰ぢㄸ㜲ㅦ㔱㌰㥣敢㠹㘱慢㈷㠶挷挱㐸㌰扣〹慥㠰攱昱㠸攳敤㌳㙥㐶摣挲㌰ㄳ㙤㡥㠴㈲㠹㘴㈴ㄳづ㐷㠳㤱㘰㌲㤴つ㠶㔲愱㘴㈶㤸挸㘶㈳捤㐹攳搷〵搵〸搸㘶㜳㍡ㅥて〲㌶㌳㤳㑤㘴㘲㤹㈴㥡㔸戲㈹㤵㠹愵愲愹挰〹戶㝢㝤ぢ㙣昴慤㈰㠱ㄳㅤ㔶戱㌵㥤攴戰ち㕡㡡㝢㡥㠲攱㌴㌷㠶㜷搳换㍤㈰晥挰愹㔰㐰〰扢㡣攴ㄵ㌱攴㑥愴昰敦㈳㍦㐸㡤ㅤ㐱搴改攰㜳ㅥ攵㔷扢挲㈳挷㜹㙡昹昵㠳昸攲㜸㝤〶㘴㠲㜱挹㜸晤㑢㑦敥㤹攰㜲捣搶て挱㔸㥤敤愹㜳慥挳㝤㠴㍡㐸㡡挹愹昳挱㤵㌲ㅢ㡢っ㌸昵摥㜸ㄴ戲扥扢挵〴㔴㉢扢㐵㙥ㅥ㑡㐱㍥づ㘳ㄴ攴㠵㠸昳ㄵ戸挸〹㕣散〴㉥戱〳つ㤷㈲昰挳っ㌱㤷挱㌳㉦搰㜸〲搴愳て㜹ㄲ散搲㍥攴㈹㜰捡晢㤰换㙤㉦晡㘹〸攵愱换㍡〶愷敡㑡昰愵㙣㥥〱扦㔰晦㔷㠲㉢㔸敥攸挲戲搸㠷散攰〹摢㔵㌰ㄲ搸㥥㠳㉢挰戶ち㜱扣㝤挶昳㠸㕢昵㍦㤸㐸㥡㘹㌳摤ㅣて挵㠳搱愶收㜰㈲㤱㙤ち㥡改㑣愶㌹㤴㠸㈷㌳愶昱㐲㐱㌵㤳㑥㌵挵㐲挱㜰愲㈹ㅡ㐴慢㘹㑡愵ㄲ搱㘴扣㈹ㄲ捣㤸㐱㌳ㄴ㙦ち㕣㙤扢搷㉦挲㐶晦〵㈴㜰㡤挳㉡搶㝦敥㔹㌲ㄳ㐵㉤㜵〳攲㔲晦户挶㘵ㄴ晡㤰㤷改攵ㄵ㄰㝦㠰ㅢ㤲〸㔴搴㝦敥㔱ち㝦つ㜵挷㔱㘳㘷㄰㜵㌳昸㠲攱㥢攰ㄷ㌰扣〵㕣挱㜰戸㈷㠶ㅢ㝢㘲㜸㉢㡣〴挳㜷攰ちㄸ摥㠶㌸摥㍥攳㕤挴㉤っ㐳㘹晣㌵愳㍢㑤㘷搰戹挶㤲挹㜰㜳慡㈹搲ㄴ㡤㐵搲搹㜰㔳慣挹㜸慦愰㥡㠹挴㐳戱㐴㈸搹㤴っ㥢搱㘰戰戹㌹ㅣ㙢㌲㌳挹㑣〴摤㜶慡戹㈹ㄱ攰ㄶ㈶摤敢昷㘱愳㍦〰〹摣攱戰㡡ㄸ摥改戰ち㕡敡ㅥ戰〴挳㈱㙥っ㍦愶㤷㑦㐰晣㠱㝢愱㠰㐰〵㠶扦㜱昸㥦㔳㜷ㄲ㌵㕡㐰搴㝤攰ぢ㠶㕦㠱㕦挰昰〱㜰〵挳〱㥥ㄸ㉡㑦っ㔷挳㐸㌰㈴〵㠶て㈲㡥户捦攰㌱㐸ぢ㐳㌳ㄹ㡣㘵㌱㈴愵㥢ㄳ捤搱㔰㍣㤴㠸㤹㠹愶㐸㈲搲ㅣっ愷㌲㑤㤹愸㠱㤳㐵戶㙡㈴㤲㠹㌵挵㠳愱㌰㍡敤㈸晥㍤㐲㉡㤱挵挸ㄷ㡤愶㘲㤱收㜰㍡ㄳ〹㜰㕢㤳敥昵〰搸㘸晣㝦〳㕦攰㈱㠷㔵挴昰㘱㠷㔵搰㔲㡦㠲㈵ㄸ晥昷㑢㔷㍤昴搳换㈰㄰㝦㠰㍢㤷㕥ㄸ㜲㌳㔳昸つ搴摤㠳㘹敦㑥っ㥦〴㕦㌰㕣ㅦ晣〲㠶摣㥦ㄴっ摦㐷㌲㑥扦㔸㙣换敦㠲㕢搹〵晥〱㐶㜰㠲㌵㘸㔰㘰昸㐷挴昱昶ㄹㅢ㈳㙥㘱㤸㡥挶ㄳ㑤㑤㤸ㅦ愲㌶㐶㠳搹㜸㜳ち摦㑤㘰㈵捤㐸愴㌹ㅢ㌵㌶㈹愸㐶㥢㔳攱愶戴搹㠴晡ㄹ㡣㈶㠲攱愴ㄹ㡥愳晡㌵〵㔳搱㙣㈴㤲㡤〷㥥戱摤敢攱戰搱㥢㠲〴晥攴戰㡡ㄸ晥搹㘱㔱㐱㔴搵昳㘰〹㠶慦戹㌱㙣愴㝣〴㠸㍦昰〲ㄴ扣㌰㝣搱攱㡦愴敥㙣㕥㉡ㅦ㜰愱晥ち扥㘰戸ㅤ昸〵っ晦づ慥㘰昸愲㈷㠶捦㝢㘲昸ㄲ㡣攰〴㡦㐳〱〵㠶晦㐰ㅣ㙦㥦戱〳攲ㄶ㠶㑤愹㘴㌸摢ㅣち愵㠳愱㐴㌴ㄵ〹㌷㠷㘲捤㤹㘴㡣ㄵ㉥ㅤ㡣㠴愳挶㤸㠲㙡㈸ㅢ捦㈴捣㜸㜳愴㌹㥡㡥愶戲改㔴㌴摥㥣っ㐶㤳捤挹㜰㌰ㅤ㑦〵〳㉦摢敥昵㡥戰搱㐱㤰挰㉢づ慢㠸攱慢づ慢愰愵搶㠰㈵ㄸ㍥改挶戰㠹㕥攲㈰晥挰敢㔰昰挲昰つ㠷扦ㄳ㜵昷攵愵敥㐳っ摦〲㕦㌰摣〵㝣〶㘸慣戸㤱㈹ㄸ㍥攸㠹攱〳㥥ㄸ㜲㍢ㄳ㑥昰㐴ㄵ㔰㘰昸㉥攲㜸晢㡣ㄶ挴㉤っ㌳愹㜰㌸ㄵ㙣㡥㌶㘷昰晦㕥搲攸つ㌱挳挴搴㌴㡢づ㌱㤱捤愴㠲挶愴㠲㙡㈲ㅣっ愵攳搱㙣㔳戸㌹ㅤ捤㘰收㤵㠹㘴㈳愱收㉣㑣㔱て㠳㠹〰㌷㐵改㕥㑦㠶㡤㥥〲ㄲ攰㕥愸戰㡡ㄸ㝥攰戰愸㈰慡敡㍦㘰〹㠶㜷戸㌱㥣㑥昹㥥㈰晥挰㐷㔰昰挲昰㝦ㅣ晥㉣敡ㅥ捣戴摢㐰搴㈷攰㕢㜳慡ㅢ攱戱㌸愷㥡㑢㙦㤸㔳㝤ち戹㘰扣㌷ㄸ㠵㝡晡㕦㠷㕢㌲搳攲㘶愷捣愹昶愱敥ㄷ㥥㍡㕦㌹摣晤㙣㝦㔲㘶摦㠰㉢㘵戶捡㕤㘶扣攵㤷㝢㠹㤵㥥㘵昶㉤㡣攰挴愷て〲㐵㤹挹㜵㈳ㅥ㔰㘲㠷㐰㡤ㄳㄸ㘰〷ㅡ戸ㄱ昹挳㑣㥦敡攰㤹愹㘸摥愱㙢摥㡦㙢摥㠲〷っ㄰扣㜱攸ㄹ戹㤴挷昶㙢ㄳ㔱㈵㥢㤴攴㥢㌶㄰〲慥ㅦ慡〲挴㐵㙥㈰㤶搱〱㙦慡㉥昰〴㘲㄰挴〲㐴扢〵挴㘰挴㠱㡤捦㌸〴㜱㝢㈰㙡㡥㐷愳昱㐸㌴ㅣ㡣㤸搱㘶摣㕥愷㠳愶㠹㡡ㅣ㡣㌷㌵挵㌳戱戸戱戰愰㡡㉥㌵㠳〹㔳㔳㉣㠳㜱摦㡣愶㥢㥢挲㤹㉣晥捤㔱〴㕤㐸㍡㥡っ〶㠶搸敥㜵〷㙣㜴㈷㐸㘰愸挳㉡㔶摥〶㠷㔵搰㔲摣捦㤴捡㝢㍡㉥愳㌰㈱捡搱㑢ㅥ挴ㅦ攰㤶㈶摥ㄵ㠳昹〶づ㝦㠹愴㐸㡤づ㄰㈵ㅢ㤷㡣ㅤ〱㝥愱㜲㙥〲㙤挱昰㜸㑦っ㡦昵挴㜰㌸㡣攰挴愷㡦〶㐵㘵摡ㄴ㜱挱㜰ㄹ攲㌶㠶挰㈴㥥㡣㘲㑡㠴㑥ㄱ㌳捣㔴摡っ愷㤳改㔸っ换ㄴ愹㜸㉣㘴ㅣ㔳㔰㡤㐴㐲愹㜴㈸捡昹㘶㌴㥡㑥愵㥡挳挹㉣捣㘲㜱㌳ㄱ捥愶㈲搱挰㘶戶㝢㝤㉣㙣昴㜱㈰㠱捤ㅤ㔶ㄱ㐳敥㠴㌲ㄳ愲㈰慡慡ㄱ㉣挱㜰㠹ㅢ挳㔳攸㘵㌹㠸㍦㌰〲ち㜸㔷㘰戸㔵㠱㑦㕤㍥敡㐳昳挱㈱㡡㥢㥦㔶〷搰つ㡦挵づ攰㉣㝡㐳〷㌰ㄲ㜲改〰㑡㥡晡㑦㍤戹摢㠲㉢ㅤ挰㌹㌰㔶摣搷慣戴ㅣ敤㜰捦愳づ㜲㠰戸㑦敤〰㉡㘵搶敥㉥戳㐷㈹㘳扤㥦敦㔹㘶㘳㈰㠶ㄳㅣ慥〴㐵㤹敤㈸敡㠰㌲攸〴㐲㑥㠰ㅢ㡦㝣㌵㜰捦昱㠷改〰愲昰捣㔴㌴敦㥦昴㤳㈴扣㐱ち挴㐰昰挶㐳㜹㤰㑢昹㍦ㄴ㝡㈹愲㑡昶㈳挹扦搲〶㐲㉡㜰㌳㔴〵㠸㠳摣㐰㉣愳〳〲㜱㠰㈷㄰㘳㈱ㄶ㈰㔶㔹㐰散㠴戸㔴摥慢ㄱ户㉡㉦搶挷㤲㑤昸㌷〶搹㔸㉡㠵昶ㅤ㐹愶㔳㤸㡦㌶㘳㙣㙡㑥㈶ㄳ愱㘶攳㥡㠲慡ㄹ㑦挴㠲戱㐸㈶ㄳ㑦㥢搱㑣㌶搹㥣ち愶挲戱㤴ㄹ㡥愵捤收㐴㉣ㄱ搸搹㜶慦慦㠵㡤扥づ㈴挰㉤㑤愹愹挵捡换つ㑥㘱ㄵ戴搴〴戰愴昲捥挶㘵ㄴ㍡㠰㥢改攵搷㈰晥挰㐴㈸攰㕤㔱㜹㕢ㅣ晥敤搴㍤㠶ㅡ换㐰搴㘴昰愵㡡摤〵扥攰㐷敥㔴㜰〵挳摤㍣㌱㥣攲㠹㈱户㉡攱〴㈷ㅥ㐱㔱㤹戸㉤㈹ㄸ晥ㄶ㜱ぢ挳㔸㜳㉡㡥㈹㘶㈶㤴㙥挲㙤㔰㌴㤵捡㈶㥡ㄲ搹㜰㌴㥥捥〴捤㐴㌲㙢摣㔷㔰捤愶ㄳ挹㜰㈶㠳㠶㡦㔵慢㜸㜳愸㌹㘶〶㥢挳昱㔰㈶㤳つ挶搳昱㙣㘰㜷摢扤扥ㅦ㌶晡〱㤰挰ㅥづ慢㠸攱㜴㠷㔵搰㔲㌳挰ㄲっ㜷㜶㘳昸〸扤晣ㅥ挴ㅦ㤸〹〵扣㉢㌰㥣攵昰㥦愰敥挹搴㌸㠹㘸挹挶㈵㘳㑦㠳㕦挰㜰㉥戴〵挳戰㈷㠶㐱㑦っ戹㝤〹㈷㜸㠶㈷㈸㌰攴㔶愵㘰昸㘷挴㉤っㄳ改㘴㈶ㄱつ挷搳挱㑣〴挰㘱㜴〹㠵挳挱㘸㉡挱愹㘶搰㡣ㅢ捦ㄶ㔴㘳昱㙣㌰㠶ㅢ愸㔰㌰ㄳ㡥㘶攳搱㐴㉣ㅤ㡥㥢㔸づ㑥愶㈳㤱㜸㌸ㅣ搸挷㜶慦㥦㠳㡤㝥ㅥ㈴戰慦挳㉡㘲戸㥦挳愲㠲愸㉡敥㜱ち㠶㍦㜵㘳昸㜷捡㕦〲昱〷戸捤㠹㜷〵㠶摣昹ㄴ晥慢搴攵昳㔰㌴㥦慥愲㤲㘰㑡㍤㕣〳㝥〱挳㌴戸㠲攱收㥥ㄸ㙥敡㠹㈱户㌴攱〴㡦〱〵〵㠶㈶攲㠲攱扦㄰户㌰捣㐶搱づ㜱户㥤ち㘶㥡愲㤸㔶㈶搲ㄸ摢攳攱㑣㔳捡㑣愴㜱扦㙥扣㕤㔰㑤㌵〵㥢㈳愶ㄹ㐹愱㡥㐶昱㍦㑣ㄲ㔸敤㌰㘳改㔰㤳㘹挶㤲㔱慣㙥㘴㙤昷晡ㅤ搸攸㜷㐱〲昳ㅤ㔶ㄱ㐳敥㡥㑡㕢愶㠲愸慡㠵㘰〹㠶〱㌷㠶晦愱晣㈳㄰㝦愰〳ち㜸㔷㘰搸改昰㍦愵㉥ㅦ愹愲昹㠰ㄶ搵つ扥㘰昸㌹昸㌴攴㈷攰㡣㍡敡㔰㐷晣〵挴㝣㔱㌷挰㥤㉥挶昵㤷愰㐳〶搴㜱戳㘶愷扥ㅦ愵攱摡っㄹ㡤㉤戹㤲晦〲㌲ㄹ晦搵㠳㉢挱扥〱昸愹㥥昵㔳愱摡㥡戱摦捤ㄷ搷晡㌷㠶㉢㝥敡㙡〱搰晦挲て慦戳戸晡㑦㡦㍦挱㐷㝦㡤ぢ㔶摣挷搹㤲戱㕢㐹㡡㡦㠹晡昶㡢㍥㥥㤲昴㡤㉤㈸㝦扡㝢㠰㍢㍦〲攴㠰㍡〲愹㡥㐵㥣㘰慡慦㘰挱㉢㤰㐴敢㈰慣㍢〱㙣捦㥦搱㤷晦㥢㍦昷扦㑢攴㤶搸㠶㥤搳㜲搸㥢挲扦㙢㤸搳㍤愱昰㉦ㅢ搷㜳昶慣㐶㍢晦㉡㘲㘴㤱攳㍣慦挲㌱㥢搱㔳戰挳㝦㍥挰㠶ㅥ〴愳昹㡦㈵㌶㉣挶㕣扦敦摡慣挸挵挳㐹昰挸〴㌳攳㜸捣攱挷ㅦ戵㌵〳㔴昹㑦㈰攵攷攸昶㜳晤戹搵㐳㙦昸㙦㉦搳㌲挳㜱〵㥢㜹晣㈶㜳㘲㝢㕥㝥搳扣ㄱ攴㑡ㅦ〷㜰㡣㠱㠴㘹摣㌶ㄳ户〹搷㝤〶昸搶㍡㠹搲愲㘶㠲昰㠶〵㙥晥ㅢ㔴㜵㈲挲㠴㕥㘹㙥㠵ㄹ㠳㥣㌴㐲敡㘳愴挱㜴㔸㜹晤㝡〸㤵搹㜴挹挲㤷㑦㜱扢换㤱㌷晣〲ㄱ㘸㤴敦㔱㝥㌸ㅥ㍣扥㜶ㄵ敡慢户扦〳扢㌶㥣收㔸ㅣ愸㐶㥣㌵愱敥搵愳换㥦㜶㘶㔹散㙢㕢㌴敦慡捥㠴㐵戱㕡㍥づ戹晤㍣㕣攴挸昳攱㕤ㅦ搸㠲昲挷㐷〷捥㠱㈷愹㤶挳㤰㘷㔴换ぢ㄰㤷㙡昹ㅥ㉣ち搵㜲㐳㕥㌲户㜸㉣㝣㉥㐴挸搸ㄸ㍣㈹㠳㤰晡ㄷ㜴㥤敢昷敢攱㔴收㑥㡦愵㝣ㄱ㤵㌷㜳㤴挳敡㜵㕢ㄹ㙣㠰戹〵〴つ㉢㄰挶昷㍡㐰戶搲戱㔸㙢挸慥㠱㠵ㄷ㘴慦搸挸㔴晣㥦㠶㤷㙤㐱昹〳愷〳搷挳㤳㐰戶㌵昲っ挸㙥㐲㕣㈰㝢〹ㄶ〵挸㐶㐲愸㙥㠱挸㐲攱㘶㠴㡣㙤挱戳慡慤晡㑢〹ち愳愸捣㥤ㅦ㑢昹搷㔴ㅥ敤㈸㠷搴㜳戶戲㔵晦㜶㠰愰攱㙥愸攰㝢ㅤ㈰扢挷戱㔸㙢挸戸㍢攴〵搹ㅦ㙤㘴㉡㈰晢㠳㉤愸㜸㐴昵㠳昰㈴㐳㑦〴㜹㐶㔸㍥敡㈱㠷㕢ㄸ㠳㈰〹㍣〲慥挰ㅢ㠳㉥攰攵摥㡤挰晢〴扣ㄷ攰㡤㐳愸㥥㠶愸㤸挱㘲敦晣㐸㕦ㄹ㝣搸ㄶ㤴㍦ㄶ㍡昰㡣㤳攸㌸㉢搱攷㥣㐴㝦攷㑥㜴㍣ㄳ㝤ㄱ㈲慢㤸㥥㐷挸㤸〰㥥㕤愶昷㐳搷改ㄳ晣扡㠵捡㝦㈹㈸㜳㐳挴㤸散㈸㠷搴扤戶戲㔵愶㔳㈱㘸攰捥〵扥搷愱㑣戹捤㈱ㄶ㙢㕤愶㙢㘰㔱㠴慣搸㜳摣㘱㈳㔳㔱愶户摢㠲昲〷㐹〷摥㠴㈷㈹愷㍤㤱〳㤴搳㍢㠸㑢㌹摤ち㡢㐲㌹捤㠰㔰扤て㤱〵搹扢〸ㄹ戳挰戳㈱扢挹㐶〱㙣㜴〶慤㔴收收㠵愵晣ㅥ㤵攷㍡捡㈱㜵扤慤㙣㐱㌶て㠲㠶㡦愱㠲敦㜵㠰散ㄳ挷㘲慤㈱晢ㅣㄶ㕥㤰慤戲㤱愹㠰散㉡㕢㔰晥攸改〰户㐴〴戲〳㤱㘷㐰挶㠸㐰戶〲ㄶ〵挸摡㈰㔴摣㕤戰㔰攰㘶㠷㤱〴捦㠶散㌲ㅢ〵昸〲㘴㘹㉡㜳慦挲㔲收㜶㠷㘱㍡捡㈱㜵㤱慤㙣㐱㌶ㅦ㠲〶㍦㔴昰扤づ㤰㜱ㄳ㐳㉣搶ㅡ㌲敥㘷㜸㐱㜶慥㡤㑣〵㘴攷搸㠲昲㠷㔵〷戸〳㠲㌷㤶挱㤰〳㐰戶ㄱ㈲〲搹㔹戰㈸㐰搶つ愱攲㤶㠳㠵〲昷㌶㡣㐳挱ㄳ挸㐲敡昴ㄲㄴ㜲㔴收捥㠳愵捣摤つ愳搷㔱づ慢攵戶戲㠵敦㘱㄰㌴㌴㐲〵摦敢〰ㄹ昷㉣挴㘲慤㈱ㅢ〹ぢ㉦挸㑥戰㤱愹㠰散㜸㕢㔰晥㜸敢〰㌷㍣昰挶晦搵㐴づ〰ㄹ㜷㉤〴戲㘳㘱㔱㠰散㘸〸ㄵ昷づ㉣ㄴ戸㤵㘱ㅣ〳㥥㕤换㡥㉡㐱攱㌸㉡㜳㈷挲㔲收㘶㠶㜱㠲愳ㅣ㔲㠷摢捡㔶㉤㍢〹㠲㠶㈶愸攰㝢ㅤ㈰攳ㄶ㠵㔸慣㌵㘴㍢挱挲ぢ戲㕥ㅢ㤹ち挸昲戶愰晣㠱搸㠱㕤攰〹㙦㥣昶㐱づ〰ㄹ㌷㈹〴戲ㅥ㔸ㄴ㈰㍢〳㐲㌵ㄹ㈲ぢ〵敥㕣ㄸ㘷㠲㘷搷戲慥ㄲㄴ捥愶㌲昷ㄵ㉣㘵敥㕤ㄸ攷㍡捡㘱㜵㠸慤㙣搵戲昳㈱㘸攰㈶〳扥搷〱㌲敥㐸㠸挵㕡㐳挶捤〹㉦挸㑣ㅢ㤹ち挸㌲戶愰攲ㄱ摡摣扦㤰㈱晤㔲攴㠰㔷挱㑦㘰㙦㜰昱挶㕡ㅣ戸〰㔲㌶㉡ㄸ㉦戹愹摣捦搱扡挲搲㍡〸㜱㠱扢つ愹ㄵ攰㕥〱愱攲愲㝥㌱挳挵㈱㝥扦扥㌲扣慦㉤㈸㝦㡣㜵挰㜴ㄲ扤搶㑡㤴㙢昹㤲攸㍣㜷愲搷㌳㔱慥愸㕢挵㜶〸㐲挶㡤攰搹捤愲ㄵ扡挵㈱晥㈶㉡㜳㝤摥㔲收ㄲ扦昱㙢㐷㌹愴㘶搸捡㔶戳戸ㄵ㠲〶慥挵攳㝢ㅤ捡㤸ぢ昷㘲戱搶㘵捣㌵晣㈲㘴挵㈱㝥㜷ㅢ㤹㡡㌲㥥㘶ぢ捡ㅦ㝣ㅤ㌸〲㥥昰昶改扢㤱〳㤴㈶㤷敥〵戲愹戰㈸㤴搳扤㄰㉡㉥戳㕢㈸㉣㐳挸昸㉤㜸㜶戳㘸㈹㐱攱㝥㉡㜳㌹摥㔲收㡡扥戱摡㔱づ慢昱戶戲搵㉣㝥〷㐱〳㤷摥昱扤づ㤰㉤㜷㉣搶ㅡ戲搳㘱攱〵搹㔸ㅢ㤹ち挸㥡㙤㐱挵愳戲戹慡㉦捤攲㌱攴搹㘹ㄶ㑡㤶敢〹㘴挹㑣昷㍣攸攲㡤〵㙤攸〲摥㡢㄰ㄱ㜸㘳昰㕥㠰昷㈹〸搵㘵㄰ㄵ㌳㔸㙣〶挱扥㌲戸愳㉤㈸㝦㕣㜵㠰㡢攱㤲攸㥦慤㐴㔷㌹㠹敥攰㑥昴㌹㈶捡㜵㘵慢㤸戸捣㙤扣〰㥥摤っ㐶㐱户搸っ晥㐲㘵慥㔲㕢捡㕣攸㌶晥收㈸㠷搴㐸㕢搹㙡〶㉦㐱搰挰ㄵ㘹㝣慦㐳㤹㜲昹㕡㉣搶扡㑣戹㤲㕤㠴慣搸っㅡ㙤㘴㉡捡昴㈷戶愰晣〱搷〱慥㝤攳敤搳晦㐴づ㔰㑥扦㐱㐴捡㘹ぢ㔸ㄴ捡改㜵〸ㄵ㤷㤱㉤ㄴ戸慡㙤扣〹㥥つ搹㜰ㅢ〵慢㘶晦㡢捡㕣㤴戶㤴戹慥㙤扣攳㈸㠷搴㠶戶戲〵搹㝢㄰㌴㍣〲ㄵ㝣慦〳㘴㕣慤ㄶ㡢戵㠶散〹㔸㜸㐱ㄶ戰㤱愹㠰慣挱ㄶ㤴㍦ㄲ㍢挰愵㙥扣戱㔴㠹ㅣ〰㌲慥㔷ぢ㘴㐳㘰㔱㠰散㘳〸ㄵ搷㤶㉤ㄴ戸㠸㙤㝣ち㥥摤㜳攸ㄲㄴ㍥愳㌲㤷㤸㉤㘵㉥㘳ㅢ㕦㌸捡㘱㔵㘷㉢㕢昸㝥〵㐱挳摦愱㠲敦㜵㠰㡣㡢搳㘲戱搶㤰扤ちぢ㉦挸㝣㌶㌲ㄵ㤰㝤晢戹戵㐴㔳晥㄰敤〰㔷戶昱昶改ㅡ㉣攵〱㌲㉥㑦ぢ㘴㕦挳愲〰㔹㉤㠴敡ㅤ㠸㉣ㄴ戸㘶㡤挷㐹ㄶ㈰晢ㅣ扡㙣㤸㔶挵愹愷㌲㔷㤴㉤㘵慥㕡ㅢ㝥㐷㌹慣㍥戱㤵㉤挸〶㐳搰挰攵攵㜵㠳㡣㙢搱敢〶搹愷戰昰㠲散㐳ㅢ㤹ち挸晥㙤ぢ捡ㅦ扢ㅤ攰㐲㌶摥㍥扤㍥昲慥㠷㤱㙣〰攲て㌸戳㡤扡㉦㈱敥敦ㄹ㘸慥㝦挸捤〷〱搷㘵昹戳㡣㐱㔹㡢捤㠵㘶㜹攰㜲㠷晣愶㘱㌰ㅥㅡ搸㠳㝦㠹㍤ㅤ捦挱挴愳〲昱㕦㍦敤摦〹攰昹㤸㝣㥡㤵昳㔸㍡㉤㌱ㅡㅢ㔹昹㌷愱〳戳搳㜲㜸摡㘶愶ㅥ晦㙡㌶㡦㝦㔱摥昵㘳昸㜹ㄱ㙥㐰㙢㔹㔳㌰㔲昱ㄹ搹㌵㥥㍦昰攰㉦㌷㍣ㄷ㔸攵㌹愲㘳㡡㜸㌸㡦㤵慤攱戳〶扦摢㡦㡢㡣つ㔹〹ぢ晦㜱㙣㌱ㄷ愰㜳㌵敡ㅤ㔴〰㌹摡昶㙥㜸昸户㤲㕦㙣㤶攸㡤㔹摥ㅣち㤵㕣〳㥥捡愶㠷㤳戵ち㉣㈱扥㍡慥攱㤷㕦ㄴ㝦㙡挳㕦㤳昹捡晥愳昳愰㐱扣搲㌹ㄷ摥扢敢搷㤱〳㈷愸〱愸搴慣㍤挶㘶昰改㍣摡㉤攳㝡戴㕢慤㝡摤挹㤶㙦㤹慦㤸慤㉤愰㙦㙣〹㌲〰晦搵㑦收〲㈰㝥晤㤳搲慣愹㍡昸㘷昶㥣㔷㉤搷愰慢㉤㝦戳㤵づ散㙣㑢昶昴㈴㤷搶㜷戶㜵㤸㕤昳昳ぢ敡摢ㄶ㘳戵ㅦて㥡挳㡦摡昰ㅦ㠳昵〸愴㘲㤵㈸㘰ㄹ〲㡦昴慡户㜲㜳㠷㠱挳ぢ搳扣戰㕡昵㤲攷㐵㡣㘴㙥㜹ㄱ挵ぢ搸㤶慣㔵攰㔸搸慡つ攱挷㝤〱㡡敢扥㤲摣㈸㘸ㄶ㌲戱㠵挳晤㤹㥢扢㌵戸慥㑣㍣攷㤹㠹ㅤ㤸㘲㘹㈶㜶㉣换挴挸昲㑣㜰㈵㔵㌲ㄱ㜲㈷户㠳挳つ扢戸㠱〸戸㉣〱ㅤ愱搷㈸㐹っ挴慦㘲㄰㐸敥㔸ㅤ㙢搴攳㑥敥㑡慡㕦㠲晡愵搵㙦㉣㔹慢㡡㄰㜱㤱㤲㄰ㄵ㉡搵㌸挷戱㠵晤㐳㡥㘳㥦扢〲敤㐲㉦愵㤷扤㙢㤹㘳㉥㐴㤶㘰摦〲㠶㕣昶㐴㘸ㄶ戰攷慡愲㜰㕢摣摣㍤㑢㌳昱ㅢ捦㑣㑣愹捣挴㙥㘵㤹攰搲㕥㐹㈶㕡㥤攴㜶㜷㈷挷㜵㍡挹挴ㅥ㙥敥㠱愵㤹戸捤㌳ㄳ㝢㔵㘶㘲㘶㔹㈶戸㔸㔶㤲㠹戴㤳摣㙣㜷㜲㕣昹㤲㑣戴扡戹㥤愵㤹戸挱㌳ㄳ㝢㔷㘶㘲㥦戲㑣㜰昹愹㈴ㄳ㌹㈷戹晤摣挹㜱㉤㐹㌲戱扦㥢晢昳搲㑣慣昴捣挴㐱㤵㤹㌸戸㉣ㄳ㕣搰㈹挹挴㜱㑥㜲㈹㜷㜲㕣㥤㤱㑣愴摤摣搳㑡㌳㜱戱㘷㈶戲㤵㤹㔸㔰㤶〹㉥㤱㤴㘴攲㙣㈷戹㐳摣挹㜱扤㐳㌲戱搰挵つ㕣ち慥戴挷づ㝡敤㈴改〲昱㉢㉥㈶挸㔴攸㑣攴㡢㔳愱昵搰挶敡戱户㜸〵〴慥㠶㝡㠶㤳敤㤲㠶摡㐳㐷愵つ㌵㑦搶慡㘲㐳攵㔲〳戳㕤㘸愸㕣㈳㜰昵㑦愷㌸㡥㑢ㅡ敡ㄲ㝡㈹㙤愸㠷㤷㌹收㜲㐲〹ㅥ㕣㌲㤰㉢㍦ㄲ㥡㠵㠶捡戵〱攱晥摣捤攵㕤户㉢ㄳ挷㜸㘶㘲㔹㘵㈶㡥㉤换〴㙦搰㑢㌲挱㥢㜰㐹敥㜸㜷㜲扣摢ㄶ敥〹㉥㙥㠰昷戱㔲㈸㈷搲敢㐹㈴㈷㠳昸ㄵ㙦㕡㕤搸㉦㜶㜲㔷㠲晤愹搴㉦挵晥㌴戲㔶ㄵ戱㝦ち㝥㑡戰攷㡤愹敢戲ㄷ㌹㡥㑢戰㍦㤳㕥㑡戱㍦扢捣㌱敦㘱㑢㉥㥢昷愹㜲㠱攷㐲戳㠰㍤㙦㐸㠵㝢㥥㥢换㕢㍤㔷㈶ㄶ㜸㘶攲挲捡㑣㕣㕣㤶〹摥ㄵ㤶㘴㠲㜷㝥㤲摣愵敥攴摥㜳戸㤷戹戹扣㜹㜲㘵攲㘰捦㑣㕣㔹㤹㠹㤵㘵㤹攰㝤㔶㐹㈶㜸㉦㈵㤹㔸攵㑥㡥㌷㑤挲扤摡捤慤㐱挴㤵㠹㝤㍣㌳㜱ㅤ㔳㉣㉤㡥ㅢ挸㕡㔵㉣㘷摥戹㤴㘴㠲㜷㈷㤲摣慦㄰㈸ㄴ〷㙦㐳㠴㝢㤳㥢换〹扥昴〰戳㤰㍣㝢〰晥㕥愷扥〶晦㍥挴ㄱ捣戴〵晣㌵㑦㍤㥥㡡捤ㅢ〱戱㤸㘱ぢ戸晦慥㙦〵户㡥ㄳ挷戵㥥搱㜲㌱攷㍢晥㤲晣㌶愴愳㌸㈵㤵〵愱摢敤〰㈳㡡㤳㐴㤹扦摥㐱㉥攷㠶愲㜳愷㑢愷㠱㜳㌹㜲敢昱昱㌵㙣攵㡥㈹捥捦挴晥㉥戲㌹㌵ㄳ晢扢敤〰㈳つ㥣㠶ㄵ敤㌹晤㉡挴ㄴ愷㔶㘲㝦て搹㥣㔵㠹晤扤㜶㐰散㌹㠳㉡㔸㌴㠴摤㌱ㄵ㐱㑣搰㥤㕣㔶ㅥ㥣㐵㠹㘰㔲㔹㜹㜰㘶㈵㠲ㄶ㜷㜹摣㑦慦㥣㐹㐹㘶ㅥ㘰㡣㤳㈸挹捣㙡㍢挰㠸摡挵搱㜹㤰㕣捥㠷㐴攷㜷㉥㥤㠶㠹㜶挴〲㡣㜳㥥㐲昶ㄵ攷㌳㤲挶㐳㘴㜳㉡㈳昶て摢〱㐶ㅡ㌸㙤㈹㔸㌴㜰扡㔲㠸㈹㑥㐵挴晥ㄱ戲㌹ぢㄱ晢摦摢〱戱㥦㙤㐷慣昴㕢摤㌱挵㔹㠴搸㍦㑡㌶㈷㄰㘲晦㤸ㅤ㄰㝢㑥ㄶㄸ戰散㌹㐹㈸挴搴㐱㠸㠹晤攳㘴㜳散ㄷ晢㈷散㠰搸愷散㠸㘵捦昱扤㘸㥦㐵㑣散㥦㈴㝢㠱㉤搳㑦搹〱戱攷㄰㕤戰㘸㔸攸㡥㈹づ挹㔲㝣㤱戲〲攷㌰㉤㠲㜰㔹㠱㜳攸ㄶ㐱挸㕤攰捦搰㙢て㠸㘴收㑦㡣㜱㌰㘶戲晡捦㜶㠰ㄱ挵挱㔵㜴㥥㈵㤷攳慡攸㍣攷搲㘹攰ㄸ㕡捣㌰挷捥㐲㑣㜱㕣ㄴ晢攷挹㍥搶㤶改ㄷ散〰ㄵㅢ㌸晣ㄵ㉣ㅡ㌸散ㄵ㘲敡㐴挴㈴晢愳捡㉥㤸㐳愰〸戶㉢扢攰㤳ㅤ挱戶敥ぢ晥ㅢ扤㥥ち㈲㤹昹㍢㘳ㅣ〱㤹㤰㝥挹づ㌰愲㌸愲㠹捥㍦挸㍤摢搱㜹搹愵搳挰㠱慢㤰挵〶づ㔸㠵㤸攲㘰㈴昶慦㤰捤㜱㐸搲㜸搵づ㌰搲挰㌱愷㘰搱㜰㤹㍢愶㌸㡥㠸晤㙢㘴㜳〸ㄱ晢㝦摡〱戱攷㜰㔱戴扦摡ㅤ㔳ㅣ〲挴㝥つ搹㌷搸㌲晤扡ㅤ㄰㝢昶昴㐵㝢昶昰挵搸慤㠸捤㐳㈶㙢㤶愸昴挱㤹㠳て晥慣愱戶㜱搳摡㝤㜶ㅤ㝣攱慢㑦晣昳慣攷づㄸ昷搶㔷㤷㕣昲摣敢㘷㍤昵搵㙦㔳攳ㅥ㕤戱攲攱摤㉦㝦敡㥦敢㘷慦愸戹昳戳改㔷ㅣㄹ㕡㜸攴愱搹戹㍦㥢㝡攴扥㠷捣ち捤㕣㙦昴㠰〱〳〷㙥㍢散戱㑤戶ぢ㉣㍢昴㙥昵攰㕦㌷敥㔲户搹挹ㄵ昶愲㤰㤸㉦挰㙥㔹收㌷㙦㈲㠰㘵㌷改㤰㈱搰㙦㈱敥扣〲散㤸㐵敢㕦㤶搶㕤昸㘲搶㑢戵搸晤㡡搶㍢㤶㤶㜴慥ㄵ㕡昷㍡㕡敦㠹㔶挳晤昸晡㐱㉦㕣扡㔵㘶挳搹㝤攰㘵〵㔶㍢搹昸㐰戲愱愴㘳慤挸散敦ㅣ慤て㉤㉤改㍥㉢戴搸㡤捡㠵㝦㘴㘹㐹㈷㔹愱昵㝢㐷敢㘳㑢㑢扡挲ち㉤㜶㠹攲敢㔳㑢㑢㍡扣ち㉤㜶㝣愲昵㤹愵㈵摤㕡㠵ㄶ扢㌷搱晡㐲戴ㅡ搸晢晣愰㔰㑢㠷挶㙣㌸㉢㤰〸晢〲散搸㈴ㅢ㕦㐹㌶㤴㜴㘹ㄵ㤹㘵搷㈶㕡摦㔸㕡搲㜱㔵㘸戱〳ㄳ㉤ㅦ㤶㝣㠶っ㘸㘰晦昲㠳㕥㤲㜴㔹捣㐶㐹敤㘱搷㈵搹愸㤱㙣㈸改戴㉡㌲换捥㑢戴㙡㉤㉤改㥡㉡戴搸㐵㠹㤶㘱㘹㐹〷㔴愱挵㡥㐸戴敡㉤㉤改㘶㉡戴搸摤㠸㤶摦搲㘲慢㤶摥晡㤳捦慣㠹攳㐴㤸搴攳昱㌳㑥昳㔶㙣搱愲昱㜱愹㠶㘲㈳ㄶ挱晦㤴〹搸㙥㐵昰㔱㤹㠰㉤㐹〴晦㈹ㄳ戰昱㠸攰挳㌲〱摢㡢〸晥㕤㈶㘰ㄳㄱ挱〷㘵〲戶ちㄱ扣㕦㈶㘰㐳㄰挱㝢㘵〲搶㝤ㄱ扣㕢㈶㘰㙤ㄴ挱㍢㘵〲㔶㐰ㄱ扣㕤㈶㘰㥤ㄳ挱扦捡〴慣〵㈲㜸慢㑣挰㠲ㄷ挱㥢㘵〲㤶戵〸摥㈸ㄳ戰㜸㐵昰㝡㤹㠰㈵㉡㠲㌵愵㠲㐱晦て㌸㜳㜶摦</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</si>
</sst>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00FF00"/>
        <bgColor indexed="64"/>
      </patternFill>
    </fill>
    <fill>
      <patternFill patternType="solid">
        <fgColor rgb="FF00FFFF"/>
        <bgColor indexed="64"/>
      </patternFill>
    </fill>
  </fills>
  <borders count="2">
    <border>
      <left/>
      <right/>
      <top/>
      <bottom/>
      <diagonal/>
    </border>
    <border>
      <left/>
      <right style="thick">
        <color auto="1"/>
      </right>
      <top/>
      <bottom/>
      <diagonal/>
    </border>
  </borders>
  <cellStyleXfs count="1">
    <xf numFmtId="0" fontId="0" fillId="0" borderId="0"/>
  </cellStyleXfs>
  <cellXfs count="16">
    <xf numFmtId="0" fontId="0" fillId="0" borderId="0" xfId="0"/>
    <xf numFmtId="0" fontId="1" fillId="0" borderId="0" xfId="0" applyFont="1"/>
    <xf numFmtId="0" fontId="0" fillId="0" borderId="0" xfId="0" quotePrefix="1"/>
    <xf numFmtId="11" fontId="0" fillId="0" borderId="0" xfId="0" applyNumberFormat="1"/>
    <xf numFmtId="0" fontId="0" fillId="2" borderId="0" xfId="0" applyFill="1"/>
    <xf numFmtId="0" fontId="1" fillId="0" borderId="1" xfId="0" applyFont="1" applyBorder="1"/>
    <xf numFmtId="0" fontId="0" fillId="0" borderId="1" xfId="0" applyBorder="1"/>
    <xf numFmtId="0" fontId="0" fillId="0" borderId="0" xfId="0" applyFont="1"/>
    <xf numFmtId="0" fontId="0" fillId="0" borderId="1" xfId="0" applyFill="1" applyBorder="1"/>
    <xf numFmtId="0" fontId="1" fillId="0" borderId="1" xfId="0" applyFont="1" applyFill="1" applyBorder="1"/>
    <xf numFmtId="0" fontId="0" fillId="0" borderId="1" xfId="0" applyFont="1" applyFill="1" applyBorder="1"/>
    <xf numFmtId="0" fontId="0" fillId="3" borderId="0" xfId="0" applyFill="1"/>
    <xf numFmtId="0" fontId="1" fillId="0" borderId="0" xfId="0" applyFont="1" applyAlignment="1">
      <alignment wrapText="1"/>
    </xf>
    <xf numFmtId="0" fontId="1" fillId="0" borderId="0" xfId="0" applyFont="1" applyBorder="1" applyAlignment="1">
      <alignment horizontal="center"/>
    </xf>
    <xf numFmtId="0" fontId="1" fillId="0" borderId="1" xfId="0" applyFont="1" applyBorder="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73"/>
  <sheetViews>
    <sheetView workbookViewId="0"/>
  </sheetViews>
  <sheetFormatPr defaultRowHeight="15" x14ac:dyDescent="0.25"/>
  <cols>
    <col min="1" max="2" width="36.7109375" customWidth="1"/>
  </cols>
  <sheetData>
    <row r="1" spans="1:16" x14ac:dyDescent="0.25">
      <c r="A1" s="1" t="s">
        <v>12</v>
      </c>
    </row>
    <row r="2" spans="1:16" x14ac:dyDescent="0.25">
      <c r="P2" t="e">
        <f ca="1">_xll.CB.RecalcCounterFN()</f>
        <v>#NAME?</v>
      </c>
    </row>
    <row r="3" spans="1:16" x14ac:dyDescent="0.25">
      <c r="A3" t="s">
        <v>13</v>
      </c>
      <c r="B3" t="s">
        <v>14</v>
      </c>
      <c r="C3">
        <v>0</v>
      </c>
    </row>
    <row r="4" spans="1:16" x14ac:dyDescent="0.25">
      <c r="A4" t="s">
        <v>15</v>
      </c>
    </row>
    <row r="5" spans="1:16" x14ac:dyDescent="0.25">
      <c r="A5" t="s">
        <v>16</v>
      </c>
    </row>
    <row r="7" spans="1:16" x14ac:dyDescent="0.25">
      <c r="A7" s="1" t="s">
        <v>17</v>
      </c>
      <c r="B7" t="s">
        <v>18</v>
      </c>
    </row>
    <row r="8" spans="1:16" x14ac:dyDescent="0.25">
      <c r="B8">
        <v>2</v>
      </c>
    </row>
    <row r="10" spans="1:16" x14ac:dyDescent="0.25">
      <c r="A10" t="s">
        <v>19</v>
      </c>
    </row>
    <row r="11" spans="1:16" x14ac:dyDescent="0.25">
      <c r="A11" t="e">
        <f>CB_DATA_!#REF!</f>
        <v>#REF!</v>
      </c>
      <c r="B11" t="e">
        <f>'Normal Demand'!#REF!</f>
        <v>#REF!</v>
      </c>
    </row>
    <row r="13" spans="1:16" x14ac:dyDescent="0.25">
      <c r="A13" t="s">
        <v>20</v>
      </c>
    </row>
    <row r="14" spans="1:16" x14ac:dyDescent="0.25">
      <c r="A14" t="s">
        <v>24</v>
      </c>
      <c r="B14" s="3" t="s">
        <v>27</v>
      </c>
    </row>
    <row r="16" spans="1:16" x14ac:dyDescent="0.25">
      <c r="A16" t="s">
        <v>21</v>
      </c>
    </row>
    <row r="19" spans="1:2" x14ac:dyDescent="0.25">
      <c r="A19" t="s">
        <v>22</v>
      </c>
    </row>
    <row r="20" spans="1:2" x14ac:dyDescent="0.25">
      <c r="A20">
        <v>28</v>
      </c>
      <c r="B20">
        <v>73</v>
      </c>
    </row>
    <row r="25" spans="1:2" x14ac:dyDescent="0.25">
      <c r="A25" s="1" t="s">
        <v>23</v>
      </c>
    </row>
    <row r="26" spans="1:2" x14ac:dyDescent="0.25">
      <c r="A26" s="2" t="s">
        <v>25</v>
      </c>
      <c r="B26" s="2" t="s">
        <v>29</v>
      </c>
    </row>
    <row r="27" spans="1:2" x14ac:dyDescent="0.25">
      <c r="A27" t="s">
        <v>48</v>
      </c>
      <c r="B27" t="s">
        <v>66</v>
      </c>
    </row>
    <row r="28" spans="1:2" x14ac:dyDescent="0.25">
      <c r="A28" s="2" t="s">
        <v>26</v>
      </c>
      <c r="B28" s="2" t="s">
        <v>26</v>
      </c>
    </row>
    <row r="29" spans="1:2" x14ac:dyDescent="0.25">
      <c r="B29" s="2" t="s">
        <v>25</v>
      </c>
    </row>
    <row r="30" spans="1:2" x14ac:dyDescent="0.25">
      <c r="B30" t="s">
        <v>49</v>
      </c>
    </row>
    <row r="31" spans="1:2" x14ac:dyDescent="0.25">
      <c r="B31" s="2" t="s">
        <v>26</v>
      </c>
    </row>
    <row r="32" spans="1:2" x14ac:dyDescent="0.25">
      <c r="B32" s="2" t="s">
        <v>30</v>
      </c>
    </row>
    <row r="33" spans="2:2" x14ac:dyDescent="0.25">
      <c r="B33" t="s">
        <v>50</v>
      </c>
    </row>
    <row r="34" spans="2:2" x14ac:dyDescent="0.25">
      <c r="B34" s="2" t="s">
        <v>26</v>
      </c>
    </row>
    <row r="35" spans="2:2" x14ac:dyDescent="0.25">
      <c r="B35" s="2" t="s">
        <v>31</v>
      </c>
    </row>
    <row r="36" spans="2:2" x14ac:dyDescent="0.25">
      <c r="B36" t="s">
        <v>51</v>
      </c>
    </row>
    <row r="37" spans="2:2" x14ac:dyDescent="0.25">
      <c r="B37" s="2" t="s">
        <v>26</v>
      </c>
    </row>
    <row r="38" spans="2:2" x14ac:dyDescent="0.25">
      <c r="B38" s="2" t="s">
        <v>32</v>
      </c>
    </row>
    <row r="39" spans="2:2" x14ac:dyDescent="0.25">
      <c r="B39" t="s">
        <v>52</v>
      </c>
    </row>
    <row r="40" spans="2:2" x14ac:dyDescent="0.25">
      <c r="B40" s="2" t="s">
        <v>26</v>
      </c>
    </row>
    <row r="41" spans="2:2" x14ac:dyDescent="0.25">
      <c r="B41" s="2" t="s">
        <v>33</v>
      </c>
    </row>
    <row r="42" spans="2:2" x14ac:dyDescent="0.25">
      <c r="B42" t="s">
        <v>53</v>
      </c>
    </row>
    <row r="43" spans="2:2" x14ac:dyDescent="0.25">
      <c r="B43" s="2" t="s">
        <v>26</v>
      </c>
    </row>
    <row r="44" spans="2:2" x14ac:dyDescent="0.25">
      <c r="B44" s="2" t="s">
        <v>34</v>
      </c>
    </row>
    <row r="45" spans="2:2" x14ac:dyDescent="0.25">
      <c r="B45" t="s">
        <v>54</v>
      </c>
    </row>
    <row r="46" spans="2:2" x14ac:dyDescent="0.25">
      <c r="B46" s="2" t="s">
        <v>26</v>
      </c>
    </row>
    <row r="47" spans="2:2" x14ac:dyDescent="0.25">
      <c r="B47" s="2" t="s">
        <v>35</v>
      </c>
    </row>
    <row r="48" spans="2:2" x14ac:dyDescent="0.25">
      <c r="B48" t="s">
        <v>55</v>
      </c>
    </row>
    <row r="49" spans="2:2" x14ac:dyDescent="0.25">
      <c r="B49" s="2" t="s">
        <v>26</v>
      </c>
    </row>
    <row r="50" spans="2:2" x14ac:dyDescent="0.25">
      <c r="B50" s="2" t="s">
        <v>36</v>
      </c>
    </row>
    <row r="51" spans="2:2" x14ac:dyDescent="0.25">
      <c r="B51" t="s">
        <v>56</v>
      </c>
    </row>
    <row r="52" spans="2:2" x14ac:dyDescent="0.25">
      <c r="B52" s="2" t="s">
        <v>26</v>
      </c>
    </row>
    <row r="53" spans="2:2" x14ac:dyDescent="0.25">
      <c r="B53" s="2" t="s">
        <v>37</v>
      </c>
    </row>
    <row r="54" spans="2:2" x14ac:dyDescent="0.25">
      <c r="B54" t="s">
        <v>57</v>
      </c>
    </row>
    <row r="55" spans="2:2" x14ac:dyDescent="0.25">
      <c r="B55" s="2" t="s">
        <v>26</v>
      </c>
    </row>
    <row r="56" spans="2:2" x14ac:dyDescent="0.25">
      <c r="B56" s="2" t="s">
        <v>38</v>
      </c>
    </row>
    <row r="57" spans="2:2" x14ac:dyDescent="0.25">
      <c r="B57" t="s">
        <v>58</v>
      </c>
    </row>
    <row r="58" spans="2:2" x14ac:dyDescent="0.25">
      <c r="B58" s="2" t="s">
        <v>26</v>
      </c>
    </row>
    <row r="59" spans="2:2" x14ac:dyDescent="0.25">
      <c r="B59" s="2" t="s">
        <v>39</v>
      </c>
    </row>
    <row r="60" spans="2:2" x14ac:dyDescent="0.25">
      <c r="B60" t="s">
        <v>59</v>
      </c>
    </row>
    <row r="61" spans="2:2" x14ac:dyDescent="0.25">
      <c r="B61" s="2" t="s">
        <v>26</v>
      </c>
    </row>
    <row r="62" spans="2:2" x14ac:dyDescent="0.25">
      <c r="B62" s="2" t="s">
        <v>40</v>
      </c>
    </row>
    <row r="63" spans="2:2" x14ac:dyDescent="0.25">
      <c r="B63" t="s">
        <v>60</v>
      </c>
    </row>
    <row r="64" spans="2:2" x14ac:dyDescent="0.25">
      <c r="B64" s="2" t="s">
        <v>26</v>
      </c>
    </row>
    <row r="65" spans="2:2" x14ac:dyDescent="0.25">
      <c r="B65" s="2" t="s">
        <v>41</v>
      </c>
    </row>
    <row r="66" spans="2:2" x14ac:dyDescent="0.25">
      <c r="B66" t="s">
        <v>61</v>
      </c>
    </row>
    <row r="67" spans="2:2" x14ac:dyDescent="0.25">
      <c r="B67" s="2" t="s">
        <v>26</v>
      </c>
    </row>
    <row r="68" spans="2:2" x14ac:dyDescent="0.25">
      <c r="B68" s="2" t="s">
        <v>42</v>
      </c>
    </row>
    <row r="69" spans="2:2" x14ac:dyDescent="0.25">
      <c r="B69" t="s">
        <v>62</v>
      </c>
    </row>
    <row r="70" spans="2:2" x14ac:dyDescent="0.25">
      <c r="B70" s="2" t="s">
        <v>26</v>
      </c>
    </row>
    <row r="71" spans="2:2" x14ac:dyDescent="0.25">
      <c r="B71" s="2" t="s">
        <v>28</v>
      </c>
    </row>
    <row r="72" spans="2:2" x14ac:dyDescent="0.25">
      <c r="B72" t="s">
        <v>63</v>
      </c>
    </row>
    <row r="73" spans="2:2" x14ac:dyDescent="0.25">
      <c r="B73" s="2"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S372"/>
  <sheetViews>
    <sheetView tabSelected="1" workbookViewId="0">
      <selection activeCell="A7" sqref="A7"/>
    </sheetView>
  </sheetViews>
  <sheetFormatPr defaultRowHeight="15" x14ac:dyDescent="0.25"/>
  <cols>
    <col min="1" max="1" width="33.85546875" bestFit="1" customWidth="1"/>
    <col min="4" max="4" width="4.28515625" bestFit="1" customWidth="1"/>
    <col min="6" max="6" width="15.42578125" style="8" bestFit="1" customWidth="1"/>
    <col min="7" max="7" width="19.140625" bestFit="1" customWidth="1"/>
    <col min="8" max="8" width="16.85546875" bestFit="1" customWidth="1"/>
    <col min="9" max="9" width="13.5703125" bestFit="1" customWidth="1"/>
    <col min="10" max="10" width="14.28515625" bestFit="1" customWidth="1"/>
    <col min="11" max="11" width="16.140625" style="6" bestFit="1" customWidth="1"/>
    <col min="12" max="12" width="19.140625" bestFit="1" customWidth="1"/>
    <col min="13" max="13" width="16.85546875" bestFit="1" customWidth="1"/>
    <col min="14" max="14" width="13.5703125" bestFit="1" customWidth="1"/>
    <col min="15" max="15" width="14.28515625" bestFit="1" customWidth="1"/>
    <col min="16" max="16" width="16.140625" bestFit="1" customWidth="1"/>
    <col min="18" max="19" width="0" hidden="1" customWidth="1"/>
  </cols>
  <sheetData>
    <row r="1" spans="1:19" x14ac:dyDescent="0.25">
      <c r="A1" s="1" t="s">
        <v>0</v>
      </c>
      <c r="B1">
        <v>100</v>
      </c>
      <c r="G1" s="13" t="s">
        <v>43</v>
      </c>
      <c r="H1" s="13"/>
      <c r="I1" s="13"/>
      <c r="J1" s="13"/>
      <c r="K1" s="14"/>
      <c r="L1" s="15" t="s">
        <v>44</v>
      </c>
      <c r="M1" s="15"/>
      <c r="N1" s="15"/>
      <c r="O1" s="15"/>
      <c r="P1" s="15"/>
    </row>
    <row r="2" spans="1:19" x14ac:dyDescent="0.25">
      <c r="A2" s="1" t="s">
        <v>1</v>
      </c>
      <c r="B2">
        <v>25</v>
      </c>
      <c r="D2" s="1" t="s">
        <v>4</v>
      </c>
      <c r="E2" s="1" t="s">
        <v>6</v>
      </c>
      <c r="F2" s="9" t="s">
        <v>46</v>
      </c>
      <c r="G2" s="1" t="s">
        <v>5</v>
      </c>
      <c r="H2" s="1" t="s">
        <v>10</v>
      </c>
      <c r="I2" s="1" t="s">
        <v>7</v>
      </c>
      <c r="J2" s="1" t="s">
        <v>8</v>
      </c>
      <c r="K2" s="5" t="s">
        <v>9</v>
      </c>
      <c r="L2" s="1" t="s">
        <v>5</v>
      </c>
      <c r="M2" s="1" t="s">
        <v>10</v>
      </c>
      <c r="N2" s="1" t="s">
        <v>7</v>
      </c>
      <c r="O2" s="1" t="s">
        <v>8</v>
      </c>
      <c r="P2" s="1" t="s">
        <v>9</v>
      </c>
    </row>
    <row r="3" spans="1:19" x14ac:dyDescent="0.25">
      <c r="A3" s="1" t="s">
        <v>2</v>
      </c>
      <c r="B3">
        <v>10</v>
      </c>
      <c r="D3" s="7">
        <v>0</v>
      </c>
      <c r="E3" s="7"/>
      <c r="F3" s="10"/>
      <c r="I3">
        <f>ROUNDUP(MAX($B$1*($B$3+$B$4)+NORMSINV($B$5)*SQRT($B$3+$B$4)*$B$2-K3,0),0)</f>
        <v>1306</v>
      </c>
      <c r="K3" s="6">
        <f>B6</f>
        <v>500</v>
      </c>
      <c r="N3">
        <f>ROUNDUP(MAX($B$1*($B$3)+NORMSINV($B$5)*SQRT($B$3)*$B$2-P3,0),0)</f>
        <v>663</v>
      </c>
      <c r="P3" s="6">
        <f>B6</f>
        <v>500</v>
      </c>
    </row>
    <row r="4" spans="1:19" x14ac:dyDescent="0.25">
      <c r="A4" s="1" t="s">
        <v>3</v>
      </c>
      <c r="B4">
        <v>6</v>
      </c>
      <c r="D4">
        <v>1</v>
      </c>
      <c r="E4" s="4">
        <v>0</v>
      </c>
      <c r="F4" s="8">
        <f>ROUND(E4,0)</f>
        <v>0</v>
      </c>
      <c r="G4">
        <f>K3</f>
        <v>500</v>
      </c>
      <c r="H4">
        <f>MAX(0,F4-G4-J4)</f>
        <v>0</v>
      </c>
      <c r="K4" s="6">
        <f>MAX(0,G4+J4-F4)</f>
        <v>500</v>
      </c>
      <c r="L4">
        <f>P3</f>
        <v>500</v>
      </c>
      <c r="M4">
        <f>MAX(0,F4-L4-O4)</f>
        <v>0</v>
      </c>
      <c r="P4" s="6">
        <f>MAX(0,L4+O4-F4)</f>
        <v>500</v>
      </c>
    </row>
    <row r="5" spans="1:19" x14ac:dyDescent="0.25">
      <c r="A5" s="1" t="s">
        <v>11</v>
      </c>
      <c r="B5">
        <v>0.98</v>
      </c>
      <c r="D5">
        <v>2</v>
      </c>
      <c r="E5" s="4">
        <v>0</v>
      </c>
      <c r="F5" s="8">
        <f t="shared" ref="F5:F68" si="0">ROUND(E5,0)</f>
        <v>0</v>
      </c>
      <c r="G5">
        <f t="shared" ref="G5:G68" si="1">K4</f>
        <v>500</v>
      </c>
      <c r="H5">
        <f t="shared" ref="H5:H68" si="2">MAX(0,F5-G5-J5)</f>
        <v>0</v>
      </c>
      <c r="K5" s="6">
        <f t="shared" ref="K5:K68" si="3">MAX(0,G5+J5-F5)</f>
        <v>500</v>
      </c>
      <c r="L5">
        <f t="shared" ref="L5:L68" si="4">P4</f>
        <v>500</v>
      </c>
      <c r="M5">
        <f t="shared" ref="M5:M68" si="5">MAX(0,F5-L5-O5)</f>
        <v>0</v>
      </c>
      <c r="P5" s="6">
        <f t="shared" ref="P5:P68" si="6">MAX(0,L5+O5-F5)</f>
        <v>500</v>
      </c>
    </row>
    <row r="6" spans="1:19" x14ac:dyDescent="0.25">
      <c r="A6" s="1" t="s">
        <v>45</v>
      </c>
      <c r="B6">
        <v>500</v>
      </c>
      <c r="D6">
        <v>3</v>
      </c>
      <c r="E6" s="4">
        <v>0</v>
      </c>
      <c r="F6" s="8">
        <f t="shared" si="0"/>
        <v>0</v>
      </c>
      <c r="G6">
        <f t="shared" si="1"/>
        <v>500</v>
      </c>
      <c r="H6">
        <f t="shared" si="2"/>
        <v>0</v>
      </c>
      <c r="K6" s="6">
        <f t="shared" si="3"/>
        <v>500</v>
      </c>
      <c r="L6">
        <f t="shared" si="4"/>
        <v>500</v>
      </c>
      <c r="M6">
        <f t="shared" si="5"/>
        <v>0</v>
      </c>
      <c r="P6" s="6">
        <f t="shared" si="6"/>
        <v>500</v>
      </c>
    </row>
    <row r="7" spans="1:19" x14ac:dyDescent="0.25">
      <c r="D7">
        <v>4</v>
      </c>
      <c r="E7" s="4">
        <v>0</v>
      </c>
      <c r="F7" s="8">
        <f t="shared" si="0"/>
        <v>0</v>
      </c>
      <c r="G7">
        <f t="shared" si="1"/>
        <v>500</v>
      </c>
      <c r="H7">
        <f t="shared" si="2"/>
        <v>0</v>
      </c>
      <c r="K7" s="6">
        <f t="shared" si="3"/>
        <v>500</v>
      </c>
      <c r="L7">
        <f t="shared" si="4"/>
        <v>500</v>
      </c>
      <c r="M7">
        <f t="shared" si="5"/>
        <v>0</v>
      </c>
      <c r="P7" s="6">
        <f t="shared" si="6"/>
        <v>500</v>
      </c>
    </row>
    <row r="8" spans="1:19" x14ac:dyDescent="0.25">
      <c r="D8">
        <v>5</v>
      </c>
      <c r="E8" s="4">
        <v>0</v>
      </c>
      <c r="F8" s="8">
        <f t="shared" si="0"/>
        <v>0</v>
      </c>
      <c r="G8">
        <f t="shared" si="1"/>
        <v>500</v>
      </c>
      <c r="H8">
        <f t="shared" si="2"/>
        <v>0</v>
      </c>
      <c r="K8" s="6">
        <f t="shared" si="3"/>
        <v>500</v>
      </c>
      <c r="L8">
        <f t="shared" si="4"/>
        <v>500</v>
      </c>
      <c r="M8">
        <f t="shared" si="5"/>
        <v>0</v>
      </c>
      <c r="P8" s="6">
        <f t="shared" si="6"/>
        <v>500</v>
      </c>
      <c r="R8">
        <f>IF(H8&gt;0,1,0)</f>
        <v>0</v>
      </c>
      <c r="S8">
        <f>IF(M8&gt;0,1,0)</f>
        <v>0</v>
      </c>
    </row>
    <row r="9" spans="1:19" x14ac:dyDescent="0.25">
      <c r="D9">
        <v>6</v>
      </c>
      <c r="E9" s="4">
        <v>0</v>
      </c>
      <c r="F9" s="8">
        <f t="shared" si="0"/>
        <v>0</v>
      </c>
      <c r="G9">
        <f t="shared" si="1"/>
        <v>500</v>
      </c>
      <c r="H9">
        <f t="shared" si="2"/>
        <v>0</v>
      </c>
      <c r="J9">
        <f>I3</f>
        <v>1306</v>
      </c>
      <c r="K9" s="6">
        <f t="shared" si="3"/>
        <v>1806</v>
      </c>
      <c r="L9">
        <f t="shared" si="4"/>
        <v>500</v>
      </c>
      <c r="M9">
        <f t="shared" si="5"/>
        <v>0</v>
      </c>
      <c r="O9">
        <f>N3</f>
        <v>663</v>
      </c>
      <c r="P9" s="6">
        <f t="shared" si="6"/>
        <v>1163</v>
      </c>
    </row>
    <row r="10" spans="1:19" x14ac:dyDescent="0.25">
      <c r="D10">
        <v>7</v>
      </c>
      <c r="E10" s="4">
        <v>0</v>
      </c>
      <c r="F10" s="8">
        <f t="shared" si="0"/>
        <v>0</v>
      </c>
      <c r="G10">
        <f t="shared" si="1"/>
        <v>1806</v>
      </c>
      <c r="H10">
        <f t="shared" si="2"/>
        <v>0</v>
      </c>
      <c r="K10" s="6">
        <f t="shared" si="3"/>
        <v>1806</v>
      </c>
      <c r="L10">
        <f t="shared" si="4"/>
        <v>1163</v>
      </c>
      <c r="M10">
        <f t="shared" si="5"/>
        <v>0</v>
      </c>
      <c r="P10" s="6">
        <f t="shared" si="6"/>
        <v>1163</v>
      </c>
    </row>
    <row r="11" spans="1:19" x14ac:dyDescent="0.25">
      <c r="D11">
        <v>8</v>
      </c>
      <c r="E11" s="4">
        <v>0</v>
      </c>
      <c r="F11" s="8">
        <f t="shared" si="0"/>
        <v>0</v>
      </c>
      <c r="G11">
        <f t="shared" si="1"/>
        <v>1806</v>
      </c>
      <c r="H11">
        <f t="shared" si="2"/>
        <v>0</v>
      </c>
      <c r="K11" s="6">
        <f t="shared" si="3"/>
        <v>1806</v>
      </c>
      <c r="L11">
        <f t="shared" si="4"/>
        <v>1163</v>
      </c>
      <c r="M11">
        <f t="shared" si="5"/>
        <v>0</v>
      </c>
      <c r="P11" s="6">
        <f t="shared" si="6"/>
        <v>1163</v>
      </c>
    </row>
    <row r="12" spans="1:19" x14ac:dyDescent="0.25">
      <c r="D12">
        <v>9</v>
      </c>
      <c r="E12" s="4">
        <v>0</v>
      </c>
      <c r="F12" s="8">
        <f t="shared" si="0"/>
        <v>0</v>
      </c>
      <c r="G12">
        <f t="shared" si="1"/>
        <v>1806</v>
      </c>
      <c r="H12">
        <f t="shared" si="2"/>
        <v>0</v>
      </c>
      <c r="K12" s="6">
        <f t="shared" si="3"/>
        <v>1806</v>
      </c>
      <c r="L12">
        <f t="shared" si="4"/>
        <v>1163</v>
      </c>
      <c r="M12">
        <f t="shared" si="5"/>
        <v>0</v>
      </c>
      <c r="P12" s="6">
        <f t="shared" si="6"/>
        <v>1163</v>
      </c>
    </row>
    <row r="13" spans="1:19" x14ac:dyDescent="0.25">
      <c r="D13">
        <v>10</v>
      </c>
      <c r="E13" s="4">
        <v>0</v>
      </c>
      <c r="F13" s="8">
        <f t="shared" si="0"/>
        <v>0</v>
      </c>
      <c r="G13">
        <f t="shared" si="1"/>
        <v>1806</v>
      </c>
      <c r="H13">
        <f t="shared" si="2"/>
        <v>0</v>
      </c>
      <c r="I13">
        <f>ROUNDUP(MAX($B$1*($B$3+$B$4)+NORMSINV($B$5)*SQRT($B$3+$B$4)*$B$2-K13,0),0)</f>
        <v>0</v>
      </c>
      <c r="K13" s="6">
        <f t="shared" si="3"/>
        <v>1806</v>
      </c>
      <c r="L13">
        <f t="shared" si="4"/>
        <v>1163</v>
      </c>
      <c r="M13">
        <f t="shared" si="5"/>
        <v>0</v>
      </c>
      <c r="N13">
        <f>ROUNDUP(MAX($B$1*($B$3)+NORMSINV($B$5)*SQRT($B$3)*$B$2-P13,0),0)</f>
        <v>0</v>
      </c>
      <c r="P13" s="6">
        <f t="shared" si="6"/>
        <v>1163</v>
      </c>
    </row>
    <row r="14" spans="1:19" x14ac:dyDescent="0.25">
      <c r="D14">
        <v>11</v>
      </c>
      <c r="E14" s="4">
        <v>0</v>
      </c>
      <c r="F14" s="8">
        <f t="shared" si="0"/>
        <v>0</v>
      </c>
      <c r="G14">
        <f t="shared" si="1"/>
        <v>1806</v>
      </c>
      <c r="H14">
        <f t="shared" si="2"/>
        <v>0</v>
      </c>
      <c r="K14" s="6">
        <f t="shared" si="3"/>
        <v>1806</v>
      </c>
      <c r="L14">
        <f t="shared" si="4"/>
        <v>1163</v>
      </c>
      <c r="M14">
        <f t="shared" si="5"/>
        <v>0</v>
      </c>
      <c r="P14" s="6">
        <f t="shared" si="6"/>
        <v>1163</v>
      </c>
    </row>
    <row r="15" spans="1:19" x14ac:dyDescent="0.25">
      <c r="D15">
        <v>12</v>
      </c>
      <c r="E15" s="4">
        <v>0</v>
      </c>
      <c r="F15" s="8">
        <f t="shared" si="0"/>
        <v>0</v>
      </c>
      <c r="G15">
        <f t="shared" si="1"/>
        <v>1806</v>
      </c>
      <c r="H15">
        <f t="shared" si="2"/>
        <v>0</v>
      </c>
      <c r="K15" s="6">
        <f t="shared" si="3"/>
        <v>1806</v>
      </c>
      <c r="L15">
        <f t="shared" si="4"/>
        <v>1163</v>
      </c>
      <c r="M15">
        <f t="shared" si="5"/>
        <v>0</v>
      </c>
      <c r="P15" s="6">
        <f t="shared" si="6"/>
        <v>1163</v>
      </c>
    </row>
    <row r="16" spans="1:19" x14ac:dyDescent="0.25">
      <c r="D16">
        <v>13</v>
      </c>
      <c r="E16" s="4">
        <v>0</v>
      </c>
      <c r="F16" s="8">
        <f t="shared" si="0"/>
        <v>0</v>
      </c>
      <c r="G16">
        <f t="shared" si="1"/>
        <v>1806</v>
      </c>
      <c r="H16">
        <f t="shared" si="2"/>
        <v>0</v>
      </c>
      <c r="K16" s="6">
        <f t="shared" si="3"/>
        <v>1806</v>
      </c>
      <c r="L16">
        <f t="shared" si="4"/>
        <v>1163</v>
      </c>
      <c r="M16">
        <f t="shared" si="5"/>
        <v>0</v>
      </c>
      <c r="P16" s="6">
        <f t="shared" si="6"/>
        <v>1163</v>
      </c>
    </row>
    <row r="17" spans="4:19" x14ac:dyDescent="0.25">
      <c r="D17">
        <v>14</v>
      </c>
      <c r="E17" s="4">
        <v>0</v>
      </c>
      <c r="F17" s="8">
        <f t="shared" si="0"/>
        <v>0</v>
      </c>
      <c r="G17">
        <f t="shared" si="1"/>
        <v>1806</v>
      </c>
      <c r="H17">
        <f t="shared" si="2"/>
        <v>0</v>
      </c>
      <c r="K17" s="6">
        <f t="shared" si="3"/>
        <v>1806</v>
      </c>
      <c r="L17">
        <f t="shared" si="4"/>
        <v>1163</v>
      </c>
      <c r="M17">
        <f t="shared" si="5"/>
        <v>0</v>
      </c>
      <c r="P17" s="6">
        <f t="shared" si="6"/>
        <v>1163</v>
      </c>
    </row>
    <row r="18" spans="4:19" x14ac:dyDescent="0.25">
      <c r="D18">
        <v>15</v>
      </c>
      <c r="E18" s="4">
        <v>0</v>
      </c>
      <c r="F18" s="8">
        <f t="shared" si="0"/>
        <v>0</v>
      </c>
      <c r="G18">
        <f t="shared" si="1"/>
        <v>1806</v>
      </c>
      <c r="H18">
        <f t="shared" si="2"/>
        <v>0</v>
      </c>
      <c r="K18" s="6">
        <f t="shared" si="3"/>
        <v>1806</v>
      </c>
      <c r="L18">
        <f t="shared" si="4"/>
        <v>1163</v>
      </c>
      <c r="M18">
        <f t="shared" si="5"/>
        <v>0</v>
      </c>
      <c r="P18" s="6">
        <f t="shared" si="6"/>
        <v>1163</v>
      </c>
      <c r="R18">
        <f>IF(H18&gt;0,1,0)</f>
        <v>0</v>
      </c>
      <c r="S18">
        <f>IF(M18&gt;0,1,0)</f>
        <v>0</v>
      </c>
    </row>
    <row r="19" spans="4:19" x14ac:dyDescent="0.25">
      <c r="D19">
        <v>16</v>
      </c>
      <c r="E19" s="4">
        <v>0</v>
      </c>
      <c r="F19" s="8">
        <f t="shared" si="0"/>
        <v>0</v>
      </c>
      <c r="G19">
        <f t="shared" si="1"/>
        <v>1806</v>
      </c>
      <c r="H19">
        <f t="shared" si="2"/>
        <v>0</v>
      </c>
      <c r="J19">
        <f>I13</f>
        <v>0</v>
      </c>
      <c r="K19" s="6">
        <f t="shared" si="3"/>
        <v>1806</v>
      </c>
      <c r="L19">
        <f t="shared" si="4"/>
        <v>1163</v>
      </c>
      <c r="M19">
        <f t="shared" si="5"/>
        <v>0</v>
      </c>
      <c r="O19">
        <f>N13</f>
        <v>0</v>
      </c>
      <c r="P19" s="6">
        <f t="shared" si="6"/>
        <v>1163</v>
      </c>
    </row>
    <row r="20" spans="4:19" x14ac:dyDescent="0.25">
      <c r="D20">
        <v>17</v>
      </c>
      <c r="E20" s="4">
        <v>0</v>
      </c>
      <c r="F20" s="8">
        <f t="shared" si="0"/>
        <v>0</v>
      </c>
      <c r="G20">
        <f t="shared" si="1"/>
        <v>1806</v>
      </c>
      <c r="H20">
        <f t="shared" si="2"/>
        <v>0</v>
      </c>
      <c r="K20" s="6">
        <f t="shared" si="3"/>
        <v>1806</v>
      </c>
      <c r="L20">
        <f t="shared" si="4"/>
        <v>1163</v>
      </c>
      <c r="M20">
        <f t="shared" si="5"/>
        <v>0</v>
      </c>
      <c r="P20" s="6">
        <f t="shared" si="6"/>
        <v>1163</v>
      </c>
    </row>
    <row r="21" spans="4:19" x14ac:dyDescent="0.25">
      <c r="D21">
        <v>18</v>
      </c>
      <c r="E21" s="4">
        <v>0</v>
      </c>
      <c r="F21" s="8">
        <f t="shared" si="0"/>
        <v>0</v>
      </c>
      <c r="G21">
        <f t="shared" si="1"/>
        <v>1806</v>
      </c>
      <c r="H21">
        <f t="shared" si="2"/>
        <v>0</v>
      </c>
      <c r="K21" s="6">
        <f t="shared" si="3"/>
        <v>1806</v>
      </c>
      <c r="L21">
        <f t="shared" si="4"/>
        <v>1163</v>
      </c>
      <c r="M21">
        <f t="shared" si="5"/>
        <v>0</v>
      </c>
      <c r="P21" s="6">
        <f t="shared" si="6"/>
        <v>1163</v>
      </c>
    </row>
    <row r="22" spans="4:19" x14ac:dyDescent="0.25">
      <c r="D22">
        <v>19</v>
      </c>
      <c r="E22" s="4">
        <v>0</v>
      </c>
      <c r="F22" s="8">
        <f t="shared" si="0"/>
        <v>0</v>
      </c>
      <c r="G22">
        <f t="shared" si="1"/>
        <v>1806</v>
      </c>
      <c r="H22">
        <f t="shared" si="2"/>
        <v>0</v>
      </c>
      <c r="K22" s="6">
        <f t="shared" si="3"/>
        <v>1806</v>
      </c>
      <c r="L22">
        <f t="shared" si="4"/>
        <v>1163</v>
      </c>
      <c r="M22">
        <f t="shared" si="5"/>
        <v>0</v>
      </c>
      <c r="P22" s="6">
        <f t="shared" si="6"/>
        <v>1163</v>
      </c>
    </row>
    <row r="23" spans="4:19" x14ac:dyDescent="0.25">
      <c r="D23">
        <v>20</v>
      </c>
      <c r="E23" s="4">
        <v>0</v>
      </c>
      <c r="F23" s="8">
        <f t="shared" si="0"/>
        <v>0</v>
      </c>
      <c r="G23">
        <f t="shared" si="1"/>
        <v>1806</v>
      </c>
      <c r="H23">
        <f t="shared" si="2"/>
        <v>0</v>
      </c>
      <c r="I23">
        <f>ROUNDUP(MAX($B$1*($B$3+$B$4)+NORMSINV($B$5)*SQRT($B$3+$B$4)*$B$2-K23,0),0)</f>
        <v>0</v>
      </c>
      <c r="K23" s="6">
        <f t="shared" si="3"/>
        <v>1806</v>
      </c>
      <c r="L23">
        <f t="shared" si="4"/>
        <v>1163</v>
      </c>
      <c r="M23">
        <f t="shared" si="5"/>
        <v>0</v>
      </c>
      <c r="N23">
        <f>ROUNDUP(MAX($B$1*($B$3)+NORMSINV($B$5)*SQRT($B$3)*$B$2-P23,0),0)</f>
        <v>0</v>
      </c>
      <c r="P23" s="6">
        <f t="shared" si="6"/>
        <v>1163</v>
      </c>
    </row>
    <row r="24" spans="4:19" x14ac:dyDescent="0.25">
      <c r="D24">
        <v>21</v>
      </c>
      <c r="E24" s="4">
        <v>0</v>
      </c>
      <c r="F24" s="8">
        <f t="shared" si="0"/>
        <v>0</v>
      </c>
      <c r="G24">
        <f t="shared" si="1"/>
        <v>1806</v>
      </c>
      <c r="H24">
        <f t="shared" si="2"/>
        <v>0</v>
      </c>
      <c r="K24" s="6">
        <f t="shared" si="3"/>
        <v>1806</v>
      </c>
      <c r="L24">
        <f t="shared" si="4"/>
        <v>1163</v>
      </c>
      <c r="M24">
        <f t="shared" si="5"/>
        <v>0</v>
      </c>
      <c r="P24" s="6">
        <f t="shared" si="6"/>
        <v>1163</v>
      </c>
    </row>
    <row r="25" spans="4:19" x14ac:dyDescent="0.25">
      <c r="D25">
        <v>22</v>
      </c>
      <c r="E25" s="4">
        <v>0</v>
      </c>
      <c r="F25" s="8">
        <f t="shared" si="0"/>
        <v>0</v>
      </c>
      <c r="G25">
        <f t="shared" si="1"/>
        <v>1806</v>
      </c>
      <c r="H25">
        <f t="shared" si="2"/>
        <v>0</v>
      </c>
      <c r="K25" s="6">
        <f t="shared" si="3"/>
        <v>1806</v>
      </c>
      <c r="L25">
        <f t="shared" si="4"/>
        <v>1163</v>
      </c>
      <c r="M25">
        <f t="shared" si="5"/>
        <v>0</v>
      </c>
      <c r="P25" s="6">
        <f t="shared" si="6"/>
        <v>1163</v>
      </c>
    </row>
    <row r="26" spans="4:19" x14ac:dyDescent="0.25">
      <c r="D26">
        <v>23</v>
      </c>
      <c r="E26" s="4">
        <v>0</v>
      </c>
      <c r="F26" s="8">
        <f t="shared" si="0"/>
        <v>0</v>
      </c>
      <c r="G26">
        <f t="shared" si="1"/>
        <v>1806</v>
      </c>
      <c r="H26">
        <f t="shared" si="2"/>
        <v>0</v>
      </c>
      <c r="K26" s="6">
        <f t="shared" si="3"/>
        <v>1806</v>
      </c>
      <c r="L26">
        <f t="shared" si="4"/>
        <v>1163</v>
      </c>
      <c r="M26">
        <f t="shared" si="5"/>
        <v>0</v>
      </c>
      <c r="P26" s="6">
        <f t="shared" si="6"/>
        <v>1163</v>
      </c>
    </row>
    <row r="27" spans="4:19" x14ac:dyDescent="0.25">
      <c r="D27">
        <v>24</v>
      </c>
      <c r="E27" s="4">
        <v>0</v>
      </c>
      <c r="F27" s="8">
        <f t="shared" si="0"/>
        <v>0</v>
      </c>
      <c r="G27">
        <f t="shared" si="1"/>
        <v>1806</v>
      </c>
      <c r="H27">
        <f t="shared" si="2"/>
        <v>0</v>
      </c>
      <c r="K27" s="6">
        <f t="shared" si="3"/>
        <v>1806</v>
      </c>
      <c r="L27">
        <f t="shared" si="4"/>
        <v>1163</v>
      </c>
      <c r="M27">
        <f t="shared" si="5"/>
        <v>0</v>
      </c>
      <c r="P27" s="6">
        <f t="shared" si="6"/>
        <v>1163</v>
      </c>
    </row>
    <row r="28" spans="4:19" x14ac:dyDescent="0.25">
      <c r="D28">
        <v>25</v>
      </c>
      <c r="E28" s="4">
        <v>0</v>
      </c>
      <c r="F28" s="8">
        <f t="shared" si="0"/>
        <v>0</v>
      </c>
      <c r="G28">
        <f t="shared" si="1"/>
        <v>1806</v>
      </c>
      <c r="H28">
        <f t="shared" si="2"/>
        <v>0</v>
      </c>
      <c r="K28" s="6">
        <f t="shared" si="3"/>
        <v>1806</v>
      </c>
      <c r="L28">
        <f t="shared" si="4"/>
        <v>1163</v>
      </c>
      <c r="M28">
        <f t="shared" si="5"/>
        <v>0</v>
      </c>
      <c r="P28" s="6">
        <f t="shared" si="6"/>
        <v>1163</v>
      </c>
      <c r="R28">
        <f>IF(H28&gt;0,1,0)</f>
        <v>0</v>
      </c>
      <c r="S28">
        <f>IF(M28&gt;0,1,0)</f>
        <v>0</v>
      </c>
    </row>
    <row r="29" spans="4:19" x14ac:dyDescent="0.25">
      <c r="D29">
        <v>26</v>
      </c>
      <c r="E29" s="4">
        <v>0</v>
      </c>
      <c r="F29" s="8">
        <f t="shared" si="0"/>
        <v>0</v>
      </c>
      <c r="G29">
        <f t="shared" si="1"/>
        <v>1806</v>
      </c>
      <c r="H29">
        <f t="shared" si="2"/>
        <v>0</v>
      </c>
      <c r="J29">
        <f>I23</f>
        <v>0</v>
      </c>
      <c r="K29" s="6">
        <f t="shared" si="3"/>
        <v>1806</v>
      </c>
      <c r="L29">
        <f t="shared" si="4"/>
        <v>1163</v>
      </c>
      <c r="M29">
        <f t="shared" si="5"/>
        <v>0</v>
      </c>
      <c r="O29">
        <f>N23</f>
        <v>0</v>
      </c>
      <c r="P29" s="6">
        <f t="shared" si="6"/>
        <v>1163</v>
      </c>
    </row>
    <row r="30" spans="4:19" x14ac:dyDescent="0.25">
      <c r="D30">
        <v>27</v>
      </c>
      <c r="E30" s="4">
        <v>0</v>
      </c>
      <c r="F30" s="8">
        <f t="shared" si="0"/>
        <v>0</v>
      </c>
      <c r="G30">
        <f t="shared" si="1"/>
        <v>1806</v>
      </c>
      <c r="H30">
        <f t="shared" si="2"/>
        <v>0</v>
      </c>
      <c r="K30" s="6">
        <f t="shared" si="3"/>
        <v>1806</v>
      </c>
      <c r="L30">
        <f t="shared" si="4"/>
        <v>1163</v>
      </c>
      <c r="M30">
        <f t="shared" si="5"/>
        <v>0</v>
      </c>
      <c r="P30" s="6">
        <f t="shared" si="6"/>
        <v>1163</v>
      </c>
    </row>
    <row r="31" spans="4:19" x14ac:dyDescent="0.25">
      <c r="D31">
        <v>28</v>
      </c>
      <c r="E31" s="4">
        <v>0</v>
      </c>
      <c r="F31" s="8">
        <f t="shared" si="0"/>
        <v>0</v>
      </c>
      <c r="G31">
        <f t="shared" si="1"/>
        <v>1806</v>
      </c>
      <c r="H31">
        <f t="shared" si="2"/>
        <v>0</v>
      </c>
      <c r="K31" s="6">
        <f t="shared" si="3"/>
        <v>1806</v>
      </c>
      <c r="L31">
        <f t="shared" si="4"/>
        <v>1163</v>
      </c>
      <c r="M31">
        <f t="shared" si="5"/>
        <v>0</v>
      </c>
      <c r="P31" s="6">
        <f t="shared" si="6"/>
        <v>1163</v>
      </c>
    </row>
    <row r="32" spans="4:19" x14ac:dyDescent="0.25">
      <c r="D32">
        <v>29</v>
      </c>
      <c r="E32" s="4">
        <v>0</v>
      </c>
      <c r="F32" s="8">
        <f t="shared" si="0"/>
        <v>0</v>
      </c>
      <c r="G32">
        <f t="shared" si="1"/>
        <v>1806</v>
      </c>
      <c r="H32">
        <f t="shared" si="2"/>
        <v>0</v>
      </c>
      <c r="K32" s="6">
        <f t="shared" si="3"/>
        <v>1806</v>
      </c>
      <c r="L32">
        <f t="shared" si="4"/>
        <v>1163</v>
      </c>
      <c r="M32">
        <f t="shared" si="5"/>
        <v>0</v>
      </c>
      <c r="P32" s="6">
        <f t="shared" si="6"/>
        <v>1163</v>
      </c>
    </row>
    <row r="33" spans="4:19" x14ac:dyDescent="0.25">
      <c r="D33">
        <v>30</v>
      </c>
      <c r="E33" s="4">
        <v>0</v>
      </c>
      <c r="F33" s="8">
        <f t="shared" si="0"/>
        <v>0</v>
      </c>
      <c r="G33">
        <f t="shared" si="1"/>
        <v>1806</v>
      </c>
      <c r="H33">
        <f t="shared" si="2"/>
        <v>0</v>
      </c>
      <c r="I33">
        <f>ROUNDUP(MAX($B$1*($B$3+$B$4)+NORMSINV($B$5)*SQRT($B$3+$B$4)*$B$2-K33,0),0)</f>
        <v>0</v>
      </c>
      <c r="K33" s="6">
        <f t="shared" si="3"/>
        <v>1806</v>
      </c>
      <c r="L33">
        <f t="shared" si="4"/>
        <v>1163</v>
      </c>
      <c r="M33">
        <f t="shared" si="5"/>
        <v>0</v>
      </c>
      <c r="N33">
        <f>ROUNDUP(MAX($B$1*($B$3)+NORMSINV($B$5)*SQRT($B$3)*$B$2-P33,0),0)</f>
        <v>0</v>
      </c>
      <c r="P33" s="6">
        <f t="shared" si="6"/>
        <v>1163</v>
      </c>
    </row>
    <row r="34" spans="4:19" x14ac:dyDescent="0.25">
      <c r="D34">
        <v>31</v>
      </c>
      <c r="E34" s="4">
        <v>0</v>
      </c>
      <c r="F34" s="8">
        <f t="shared" si="0"/>
        <v>0</v>
      </c>
      <c r="G34">
        <f t="shared" si="1"/>
        <v>1806</v>
      </c>
      <c r="H34">
        <f t="shared" si="2"/>
        <v>0</v>
      </c>
      <c r="K34" s="6">
        <f t="shared" si="3"/>
        <v>1806</v>
      </c>
      <c r="L34">
        <f t="shared" si="4"/>
        <v>1163</v>
      </c>
      <c r="M34">
        <f t="shared" si="5"/>
        <v>0</v>
      </c>
      <c r="P34" s="6">
        <f t="shared" si="6"/>
        <v>1163</v>
      </c>
    </row>
    <row r="35" spans="4:19" x14ac:dyDescent="0.25">
      <c r="D35">
        <v>32</v>
      </c>
      <c r="E35" s="4">
        <v>0</v>
      </c>
      <c r="F35" s="8">
        <f t="shared" si="0"/>
        <v>0</v>
      </c>
      <c r="G35">
        <f t="shared" si="1"/>
        <v>1806</v>
      </c>
      <c r="H35">
        <f t="shared" si="2"/>
        <v>0</v>
      </c>
      <c r="K35" s="6">
        <f t="shared" si="3"/>
        <v>1806</v>
      </c>
      <c r="L35">
        <f t="shared" si="4"/>
        <v>1163</v>
      </c>
      <c r="M35">
        <f t="shared" si="5"/>
        <v>0</v>
      </c>
      <c r="P35" s="6">
        <f t="shared" si="6"/>
        <v>1163</v>
      </c>
    </row>
    <row r="36" spans="4:19" x14ac:dyDescent="0.25">
      <c r="D36">
        <v>33</v>
      </c>
      <c r="E36" s="4">
        <v>0</v>
      </c>
      <c r="F36" s="8">
        <f t="shared" si="0"/>
        <v>0</v>
      </c>
      <c r="G36">
        <f t="shared" si="1"/>
        <v>1806</v>
      </c>
      <c r="H36">
        <f t="shared" si="2"/>
        <v>0</v>
      </c>
      <c r="K36" s="6">
        <f t="shared" si="3"/>
        <v>1806</v>
      </c>
      <c r="L36">
        <f t="shared" si="4"/>
        <v>1163</v>
      </c>
      <c r="M36">
        <f t="shared" si="5"/>
        <v>0</v>
      </c>
      <c r="P36" s="6">
        <f t="shared" si="6"/>
        <v>1163</v>
      </c>
    </row>
    <row r="37" spans="4:19" x14ac:dyDescent="0.25">
      <c r="D37">
        <v>34</v>
      </c>
      <c r="E37" s="4">
        <v>0</v>
      </c>
      <c r="F37" s="8">
        <f t="shared" si="0"/>
        <v>0</v>
      </c>
      <c r="G37">
        <f t="shared" si="1"/>
        <v>1806</v>
      </c>
      <c r="H37">
        <f t="shared" si="2"/>
        <v>0</v>
      </c>
      <c r="K37" s="6">
        <f t="shared" si="3"/>
        <v>1806</v>
      </c>
      <c r="L37">
        <f t="shared" si="4"/>
        <v>1163</v>
      </c>
      <c r="M37">
        <f t="shared" si="5"/>
        <v>0</v>
      </c>
      <c r="P37" s="6">
        <f t="shared" si="6"/>
        <v>1163</v>
      </c>
    </row>
    <row r="38" spans="4:19" x14ac:dyDescent="0.25">
      <c r="D38">
        <v>35</v>
      </c>
      <c r="E38" s="4">
        <v>0</v>
      </c>
      <c r="F38" s="8">
        <f t="shared" si="0"/>
        <v>0</v>
      </c>
      <c r="G38">
        <f t="shared" si="1"/>
        <v>1806</v>
      </c>
      <c r="H38">
        <f t="shared" si="2"/>
        <v>0</v>
      </c>
      <c r="K38" s="6">
        <f t="shared" si="3"/>
        <v>1806</v>
      </c>
      <c r="L38">
        <f t="shared" si="4"/>
        <v>1163</v>
      </c>
      <c r="M38">
        <f t="shared" si="5"/>
        <v>0</v>
      </c>
      <c r="P38" s="6">
        <f t="shared" si="6"/>
        <v>1163</v>
      </c>
      <c r="R38">
        <f>IF(H38&gt;0,1,0)</f>
        <v>0</v>
      </c>
      <c r="S38">
        <f>IF(M38&gt;0,1,0)</f>
        <v>0</v>
      </c>
    </row>
    <row r="39" spans="4:19" x14ac:dyDescent="0.25">
      <c r="D39">
        <v>36</v>
      </c>
      <c r="E39" s="4">
        <v>0</v>
      </c>
      <c r="F39" s="8">
        <f t="shared" si="0"/>
        <v>0</v>
      </c>
      <c r="G39">
        <f t="shared" si="1"/>
        <v>1806</v>
      </c>
      <c r="H39">
        <f t="shared" si="2"/>
        <v>0</v>
      </c>
      <c r="J39">
        <f>I33</f>
        <v>0</v>
      </c>
      <c r="K39" s="6">
        <f t="shared" si="3"/>
        <v>1806</v>
      </c>
      <c r="L39">
        <f t="shared" si="4"/>
        <v>1163</v>
      </c>
      <c r="M39">
        <f t="shared" si="5"/>
        <v>0</v>
      </c>
      <c r="O39">
        <f>N33</f>
        <v>0</v>
      </c>
      <c r="P39" s="6">
        <f t="shared" si="6"/>
        <v>1163</v>
      </c>
    </row>
    <row r="40" spans="4:19" x14ac:dyDescent="0.25">
      <c r="D40">
        <v>37</v>
      </c>
      <c r="E40" s="4">
        <v>0</v>
      </c>
      <c r="F40" s="8">
        <f t="shared" si="0"/>
        <v>0</v>
      </c>
      <c r="G40">
        <f t="shared" si="1"/>
        <v>1806</v>
      </c>
      <c r="H40">
        <f t="shared" si="2"/>
        <v>0</v>
      </c>
      <c r="K40" s="6">
        <f t="shared" si="3"/>
        <v>1806</v>
      </c>
      <c r="L40">
        <f t="shared" si="4"/>
        <v>1163</v>
      </c>
      <c r="M40">
        <f t="shared" si="5"/>
        <v>0</v>
      </c>
      <c r="P40" s="6">
        <f t="shared" si="6"/>
        <v>1163</v>
      </c>
    </row>
    <row r="41" spans="4:19" x14ac:dyDescent="0.25">
      <c r="D41">
        <v>38</v>
      </c>
      <c r="E41" s="4">
        <v>0</v>
      </c>
      <c r="F41" s="8">
        <f t="shared" si="0"/>
        <v>0</v>
      </c>
      <c r="G41">
        <f t="shared" si="1"/>
        <v>1806</v>
      </c>
      <c r="H41">
        <f t="shared" si="2"/>
        <v>0</v>
      </c>
      <c r="K41" s="6">
        <f t="shared" si="3"/>
        <v>1806</v>
      </c>
      <c r="L41">
        <f t="shared" si="4"/>
        <v>1163</v>
      </c>
      <c r="M41">
        <f t="shared" si="5"/>
        <v>0</v>
      </c>
      <c r="P41" s="6">
        <f t="shared" si="6"/>
        <v>1163</v>
      </c>
    </row>
    <row r="42" spans="4:19" x14ac:dyDescent="0.25">
      <c r="D42">
        <v>39</v>
      </c>
      <c r="E42" s="4">
        <v>0</v>
      </c>
      <c r="F42" s="8">
        <f t="shared" si="0"/>
        <v>0</v>
      </c>
      <c r="G42">
        <f t="shared" si="1"/>
        <v>1806</v>
      </c>
      <c r="H42">
        <f t="shared" si="2"/>
        <v>0</v>
      </c>
      <c r="K42" s="6">
        <f t="shared" si="3"/>
        <v>1806</v>
      </c>
      <c r="L42">
        <f t="shared" si="4"/>
        <v>1163</v>
      </c>
      <c r="M42">
        <f t="shared" si="5"/>
        <v>0</v>
      </c>
      <c r="P42" s="6">
        <f t="shared" si="6"/>
        <v>1163</v>
      </c>
    </row>
    <row r="43" spans="4:19" x14ac:dyDescent="0.25">
      <c r="D43">
        <v>40</v>
      </c>
      <c r="E43" s="4">
        <v>0</v>
      </c>
      <c r="F43" s="8">
        <f t="shared" si="0"/>
        <v>0</v>
      </c>
      <c r="G43">
        <f t="shared" si="1"/>
        <v>1806</v>
      </c>
      <c r="H43">
        <f t="shared" si="2"/>
        <v>0</v>
      </c>
      <c r="I43">
        <f>ROUNDUP(MAX($B$1*($B$3+$B$4)+NORMSINV($B$5)*SQRT($B$3+$B$4)*$B$2-K43,0),0)</f>
        <v>0</v>
      </c>
      <c r="K43" s="6">
        <f t="shared" si="3"/>
        <v>1806</v>
      </c>
      <c r="L43">
        <f t="shared" si="4"/>
        <v>1163</v>
      </c>
      <c r="M43">
        <f t="shared" si="5"/>
        <v>0</v>
      </c>
      <c r="N43">
        <f>ROUNDUP(MAX($B$1*($B$3)+NORMSINV($B$5)*SQRT($B$3)*$B$2-P43,0),0)</f>
        <v>0</v>
      </c>
      <c r="P43" s="6">
        <f t="shared" si="6"/>
        <v>1163</v>
      </c>
    </row>
    <row r="44" spans="4:19" x14ac:dyDescent="0.25">
      <c r="D44">
        <v>41</v>
      </c>
      <c r="E44" s="4">
        <v>0</v>
      </c>
      <c r="F44" s="8">
        <f t="shared" si="0"/>
        <v>0</v>
      </c>
      <c r="G44">
        <f t="shared" si="1"/>
        <v>1806</v>
      </c>
      <c r="H44">
        <f t="shared" si="2"/>
        <v>0</v>
      </c>
      <c r="K44" s="6">
        <f t="shared" si="3"/>
        <v>1806</v>
      </c>
      <c r="L44">
        <f t="shared" si="4"/>
        <v>1163</v>
      </c>
      <c r="M44">
        <f t="shared" si="5"/>
        <v>0</v>
      </c>
      <c r="P44" s="6">
        <f t="shared" si="6"/>
        <v>1163</v>
      </c>
    </row>
    <row r="45" spans="4:19" x14ac:dyDescent="0.25">
      <c r="D45">
        <v>42</v>
      </c>
      <c r="E45" s="4">
        <v>0</v>
      </c>
      <c r="F45" s="8">
        <f t="shared" si="0"/>
        <v>0</v>
      </c>
      <c r="G45">
        <f t="shared" si="1"/>
        <v>1806</v>
      </c>
      <c r="H45">
        <f t="shared" si="2"/>
        <v>0</v>
      </c>
      <c r="K45" s="6">
        <f t="shared" si="3"/>
        <v>1806</v>
      </c>
      <c r="L45">
        <f t="shared" si="4"/>
        <v>1163</v>
      </c>
      <c r="M45">
        <f t="shared" si="5"/>
        <v>0</v>
      </c>
      <c r="P45" s="6">
        <f t="shared" si="6"/>
        <v>1163</v>
      </c>
    </row>
    <row r="46" spans="4:19" x14ac:dyDescent="0.25">
      <c r="D46">
        <v>43</v>
      </c>
      <c r="E46" s="4">
        <v>0</v>
      </c>
      <c r="F46" s="8">
        <f t="shared" si="0"/>
        <v>0</v>
      </c>
      <c r="G46">
        <f t="shared" si="1"/>
        <v>1806</v>
      </c>
      <c r="H46">
        <f t="shared" si="2"/>
        <v>0</v>
      </c>
      <c r="K46" s="6">
        <f t="shared" si="3"/>
        <v>1806</v>
      </c>
      <c r="L46">
        <f t="shared" si="4"/>
        <v>1163</v>
      </c>
      <c r="M46">
        <f t="shared" si="5"/>
        <v>0</v>
      </c>
      <c r="P46" s="6">
        <f t="shared" si="6"/>
        <v>1163</v>
      </c>
    </row>
    <row r="47" spans="4:19" x14ac:dyDescent="0.25">
      <c r="D47">
        <v>44</v>
      </c>
      <c r="E47" s="4">
        <v>0</v>
      </c>
      <c r="F47" s="8">
        <f t="shared" si="0"/>
        <v>0</v>
      </c>
      <c r="G47">
        <f t="shared" si="1"/>
        <v>1806</v>
      </c>
      <c r="H47">
        <f t="shared" si="2"/>
        <v>0</v>
      </c>
      <c r="K47" s="6">
        <f t="shared" si="3"/>
        <v>1806</v>
      </c>
      <c r="L47">
        <f t="shared" si="4"/>
        <v>1163</v>
      </c>
      <c r="M47">
        <f t="shared" si="5"/>
        <v>0</v>
      </c>
      <c r="P47" s="6">
        <f t="shared" si="6"/>
        <v>1163</v>
      </c>
    </row>
    <row r="48" spans="4:19" x14ac:dyDescent="0.25">
      <c r="D48">
        <v>45</v>
      </c>
      <c r="E48" s="4">
        <v>0</v>
      </c>
      <c r="F48" s="8">
        <f t="shared" si="0"/>
        <v>0</v>
      </c>
      <c r="G48">
        <f t="shared" si="1"/>
        <v>1806</v>
      </c>
      <c r="H48">
        <f t="shared" si="2"/>
        <v>0</v>
      </c>
      <c r="K48" s="6">
        <f t="shared" si="3"/>
        <v>1806</v>
      </c>
      <c r="L48">
        <f t="shared" si="4"/>
        <v>1163</v>
      </c>
      <c r="M48">
        <f t="shared" si="5"/>
        <v>0</v>
      </c>
      <c r="P48" s="6">
        <f t="shared" si="6"/>
        <v>1163</v>
      </c>
      <c r="R48">
        <f>IF(H48&gt;0,1,0)</f>
        <v>0</v>
      </c>
      <c r="S48">
        <f>IF(M48&gt;0,1,0)</f>
        <v>0</v>
      </c>
    </row>
    <row r="49" spans="4:19" x14ac:dyDescent="0.25">
      <c r="D49">
        <v>46</v>
      </c>
      <c r="E49" s="4">
        <v>0</v>
      </c>
      <c r="F49" s="8">
        <f t="shared" si="0"/>
        <v>0</v>
      </c>
      <c r="G49">
        <f t="shared" si="1"/>
        <v>1806</v>
      </c>
      <c r="H49">
        <f t="shared" si="2"/>
        <v>0</v>
      </c>
      <c r="J49">
        <f>I43</f>
        <v>0</v>
      </c>
      <c r="K49" s="6">
        <f t="shared" si="3"/>
        <v>1806</v>
      </c>
      <c r="L49">
        <f t="shared" si="4"/>
        <v>1163</v>
      </c>
      <c r="M49">
        <f t="shared" si="5"/>
        <v>0</v>
      </c>
      <c r="O49">
        <f>N43</f>
        <v>0</v>
      </c>
      <c r="P49" s="6">
        <f t="shared" si="6"/>
        <v>1163</v>
      </c>
    </row>
    <row r="50" spans="4:19" x14ac:dyDescent="0.25">
      <c r="D50">
        <v>47</v>
      </c>
      <c r="E50" s="4">
        <v>0</v>
      </c>
      <c r="F50" s="8">
        <f t="shared" si="0"/>
        <v>0</v>
      </c>
      <c r="G50">
        <f t="shared" si="1"/>
        <v>1806</v>
      </c>
      <c r="H50">
        <f t="shared" si="2"/>
        <v>0</v>
      </c>
      <c r="K50" s="6">
        <f t="shared" si="3"/>
        <v>1806</v>
      </c>
      <c r="L50">
        <f t="shared" si="4"/>
        <v>1163</v>
      </c>
      <c r="M50">
        <f t="shared" si="5"/>
        <v>0</v>
      </c>
      <c r="P50" s="6">
        <f t="shared" si="6"/>
        <v>1163</v>
      </c>
    </row>
    <row r="51" spans="4:19" x14ac:dyDescent="0.25">
      <c r="D51">
        <v>48</v>
      </c>
      <c r="E51" s="4">
        <v>0</v>
      </c>
      <c r="F51" s="8">
        <f t="shared" si="0"/>
        <v>0</v>
      </c>
      <c r="G51">
        <f t="shared" si="1"/>
        <v>1806</v>
      </c>
      <c r="H51">
        <f t="shared" si="2"/>
        <v>0</v>
      </c>
      <c r="K51" s="6">
        <f t="shared" si="3"/>
        <v>1806</v>
      </c>
      <c r="L51">
        <f t="shared" si="4"/>
        <v>1163</v>
      </c>
      <c r="M51">
        <f t="shared" si="5"/>
        <v>0</v>
      </c>
      <c r="P51" s="6">
        <f t="shared" si="6"/>
        <v>1163</v>
      </c>
    </row>
    <row r="52" spans="4:19" x14ac:dyDescent="0.25">
      <c r="D52">
        <v>49</v>
      </c>
      <c r="E52" s="4">
        <v>0</v>
      </c>
      <c r="F52" s="8">
        <f t="shared" si="0"/>
        <v>0</v>
      </c>
      <c r="G52">
        <f t="shared" si="1"/>
        <v>1806</v>
      </c>
      <c r="H52">
        <f t="shared" si="2"/>
        <v>0</v>
      </c>
      <c r="K52" s="6">
        <f t="shared" si="3"/>
        <v>1806</v>
      </c>
      <c r="L52">
        <f t="shared" si="4"/>
        <v>1163</v>
      </c>
      <c r="M52">
        <f t="shared" si="5"/>
        <v>0</v>
      </c>
      <c r="P52" s="6">
        <f t="shared" si="6"/>
        <v>1163</v>
      </c>
    </row>
    <row r="53" spans="4:19" x14ac:dyDescent="0.25">
      <c r="D53">
        <v>50</v>
      </c>
      <c r="E53" s="4">
        <v>0</v>
      </c>
      <c r="F53" s="8">
        <f t="shared" si="0"/>
        <v>0</v>
      </c>
      <c r="G53">
        <f t="shared" si="1"/>
        <v>1806</v>
      </c>
      <c r="H53">
        <f t="shared" si="2"/>
        <v>0</v>
      </c>
      <c r="I53">
        <f>ROUNDUP(MAX($B$1*($B$3+$B$4)+NORMSINV($B$5)*SQRT($B$3+$B$4)*$B$2-K53,0),0)</f>
        <v>0</v>
      </c>
      <c r="K53" s="6">
        <f t="shared" si="3"/>
        <v>1806</v>
      </c>
      <c r="L53">
        <f t="shared" si="4"/>
        <v>1163</v>
      </c>
      <c r="M53">
        <f t="shared" si="5"/>
        <v>0</v>
      </c>
      <c r="N53">
        <f>ROUNDUP(MAX($B$1*($B$3)+NORMSINV($B$5)*SQRT($B$3)*$B$2-P53,0),0)</f>
        <v>0</v>
      </c>
      <c r="P53" s="6">
        <f t="shared" si="6"/>
        <v>1163</v>
      </c>
    </row>
    <row r="54" spans="4:19" x14ac:dyDescent="0.25">
      <c r="D54">
        <v>51</v>
      </c>
      <c r="E54" s="4">
        <v>0</v>
      </c>
      <c r="F54" s="8">
        <f t="shared" si="0"/>
        <v>0</v>
      </c>
      <c r="G54">
        <f t="shared" si="1"/>
        <v>1806</v>
      </c>
      <c r="H54">
        <f t="shared" si="2"/>
        <v>0</v>
      </c>
      <c r="K54" s="6">
        <f t="shared" si="3"/>
        <v>1806</v>
      </c>
      <c r="L54">
        <f t="shared" si="4"/>
        <v>1163</v>
      </c>
      <c r="M54">
        <f t="shared" si="5"/>
        <v>0</v>
      </c>
      <c r="P54" s="6">
        <f t="shared" si="6"/>
        <v>1163</v>
      </c>
    </row>
    <row r="55" spans="4:19" x14ac:dyDescent="0.25">
      <c r="D55">
        <v>52</v>
      </c>
      <c r="E55" s="4">
        <v>0</v>
      </c>
      <c r="F55" s="8">
        <f t="shared" si="0"/>
        <v>0</v>
      </c>
      <c r="G55">
        <f t="shared" si="1"/>
        <v>1806</v>
      </c>
      <c r="H55">
        <f t="shared" si="2"/>
        <v>0</v>
      </c>
      <c r="K55" s="6">
        <f t="shared" si="3"/>
        <v>1806</v>
      </c>
      <c r="L55">
        <f t="shared" si="4"/>
        <v>1163</v>
      </c>
      <c r="M55">
        <f t="shared" si="5"/>
        <v>0</v>
      </c>
      <c r="P55" s="6">
        <f t="shared" si="6"/>
        <v>1163</v>
      </c>
    </row>
    <row r="56" spans="4:19" x14ac:dyDescent="0.25">
      <c r="D56">
        <v>53</v>
      </c>
      <c r="E56" s="4">
        <v>0</v>
      </c>
      <c r="F56" s="8">
        <f t="shared" si="0"/>
        <v>0</v>
      </c>
      <c r="G56">
        <f t="shared" si="1"/>
        <v>1806</v>
      </c>
      <c r="H56">
        <f t="shared" si="2"/>
        <v>0</v>
      </c>
      <c r="K56" s="6">
        <f t="shared" si="3"/>
        <v>1806</v>
      </c>
      <c r="L56">
        <f t="shared" si="4"/>
        <v>1163</v>
      </c>
      <c r="M56">
        <f t="shared" si="5"/>
        <v>0</v>
      </c>
      <c r="P56" s="6">
        <f t="shared" si="6"/>
        <v>1163</v>
      </c>
    </row>
    <row r="57" spans="4:19" x14ac:dyDescent="0.25">
      <c r="D57">
        <v>54</v>
      </c>
      <c r="E57" s="4">
        <v>0</v>
      </c>
      <c r="F57" s="8">
        <f t="shared" si="0"/>
        <v>0</v>
      </c>
      <c r="G57">
        <f t="shared" si="1"/>
        <v>1806</v>
      </c>
      <c r="H57">
        <f t="shared" si="2"/>
        <v>0</v>
      </c>
      <c r="K57" s="6">
        <f t="shared" si="3"/>
        <v>1806</v>
      </c>
      <c r="L57">
        <f t="shared" si="4"/>
        <v>1163</v>
      </c>
      <c r="M57">
        <f t="shared" si="5"/>
        <v>0</v>
      </c>
      <c r="P57" s="6">
        <f t="shared" si="6"/>
        <v>1163</v>
      </c>
    </row>
    <row r="58" spans="4:19" x14ac:dyDescent="0.25">
      <c r="D58">
        <v>55</v>
      </c>
      <c r="E58" s="4">
        <v>0</v>
      </c>
      <c r="F58" s="8">
        <f t="shared" si="0"/>
        <v>0</v>
      </c>
      <c r="G58">
        <f t="shared" si="1"/>
        <v>1806</v>
      </c>
      <c r="H58">
        <f t="shared" si="2"/>
        <v>0</v>
      </c>
      <c r="K58" s="6">
        <f t="shared" si="3"/>
        <v>1806</v>
      </c>
      <c r="L58">
        <f t="shared" si="4"/>
        <v>1163</v>
      </c>
      <c r="M58">
        <f t="shared" si="5"/>
        <v>0</v>
      </c>
      <c r="P58" s="6">
        <f t="shared" si="6"/>
        <v>1163</v>
      </c>
      <c r="R58">
        <f>IF(H58&gt;0,1,0)</f>
        <v>0</v>
      </c>
      <c r="S58">
        <f>IF(M58&gt;0,1,0)</f>
        <v>0</v>
      </c>
    </row>
    <row r="59" spans="4:19" x14ac:dyDescent="0.25">
      <c r="D59">
        <v>56</v>
      </c>
      <c r="E59" s="4">
        <v>0</v>
      </c>
      <c r="F59" s="8">
        <f t="shared" si="0"/>
        <v>0</v>
      </c>
      <c r="G59">
        <f t="shared" si="1"/>
        <v>1806</v>
      </c>
      <c r="H59">
        <f t="shared" si="2"/>
        <v>0</v>
      </c>
      <c r="J59">
        <f>I53</f>
        <v>0</v>
      </c>
      <c r="K59" s="6">
        <f t="shared" si="3"/>
        <v>1806</v>
      </c>
      <c r="L59">
        <f t="shared" si="4"/>
        <v>1163</v>
      </c>
      <c r="M59">
        <f t="shared" si="5"/>
        <v>0</v>
      </c>
      <c r="O59">
        <f>N53</f>
        <v>0</v>
      </c>
      <c r="P59" s="6">
        <f t="shared" si="6"/>
        <v>1163</v>
      </c>
    </row>
    <row r="60" spans="4:19" x14ac:dyDescent="0.25">
      <c r="D60">
        <v>57</v>
      </c>
      <c r="E60" s="4">
        <v>0</v>
      </c>
      <c r="F60" s="8">
        <f t="shared" si="0"/>
        <v>0</v>
      </c>
      <c r="G60">
        <f t="shared" si="1"/>
        <v>1806</v>
      </c>
      <c r="H60">
        <f t="shared" si="2"/>
        <v>0</v>
      </c>
      <c r="K60" s="6">
        <f t="shared" si="3"/>
        <v>1806</v>
      </c>
      <c r="L60">
        <f t="shared" si="4"/>
        <v>1163</v>
      </c>
      <c r="M60">
        <f t="shared" si="5"/>
        <v>0</v>
      </c>
      <c r="P60" s="6">
        <f t="shared" si="6"/>
        <v>1163</v>
      </c>
    </row>
    <row r="61" spans="4:19" x14ac:dyDescent="0.25">
      <c r="D61">
        <v>58</v>
      </c>
      <c r="E61" s="4">
        <v>0</v>
      </c>
      <c r="F61" s="8">
        <f t="shared" si="0"/>
        <v>0</v>
      </c>
      <c r="G61">
        <f t="shared" si="1"/>
        <v>1806</v>
      </c>
      <c r="H61">
        <f t="shared" si="2"/>
        <v>0</v>
      </c>
      <c r="K61" s="6">
        <f t="shared" si="3"/>
        <v>1806</v>
      </c>
      <c r="L61">
        <f t="shared" si="4"/>
        <v>1163</v>
      </c>
      <c r="M61">
        <f t="shared" si="5"/>
        <v>0</v>
      </c>
      <c r="P61" s="6">
        <f t="shared" si="6"/>
        <v>1163</v>
      </c>
    </row>
    <row r="62" spans="4:19" x14ac:dyDescent="0.25">
      <c r="D62">
        <v>59</v>
      </c>
      <c r="E62" s="4">
        <v>0</v>
      </c>
      <c r="F62" s="8">
        <f t="shared" si="0"/>
        <v>0</v>
      </c>
      <c r="G62">
        <f t="shared" si="1"/>
        <v>1806</v>
      </c>
      <c r="H62">
        <f t="shared" si="2"/>
        <v>0</v>
      </c>
      <c r="K62" s="6">
        <f t="shared" si="3"/>
        <v>1806</v>
      </c>
      <c r="L62">
        <f t="shared" si="4"/>
        <v>1163</v>
      </c>
      <c r="M62">
        <f t="shared" si="5"/>
        <v>0</v>
      </c>
      <c r="P62" s="6">
        <f t="shared" si="6"/>
        <v>1163</v>
      </c>
    </row>
    <row r="63" spans="4:19" x14ac:dyDescent="0.25">
      <c r="D63">
        <v>60</v>
      </c>
      <c r="E63" s="4">
        <v>0</v>
      </c>
      <c r="F63" s="8">
        <f t="shared" si="0"/>
        <v>0</v>
      </c>
      <c r="G63">
        <f t="shared" si="1"/>
        <v>1806</v>
      </c>
      <c r="H63">
        <f t="shared" si="2"/>
        <v>0</v>
      </c>
      <c r="I63">
        <f>ROUNDUP(MAX($B$1*($B$3+$B$4)+NORMSINV($B$5)*SQRT($B$3+$B$4)*$B$2-K63,0),0)</f>
        <v>0</v>
      </c>
      <c r="K63" s="6">
        <f t="shared" si="3"/>
        <v>1806</v>
      </c>
      <c r="L63">
        <f t="shared" si="4"/>
        <v>1163</v>
      </c>
      <c r="M63">
        <f t="shared" si="5"/>
        <v>0</v>
      </c>
      <c r="N63">
        <f>ROUNDUP(MAX($B$1*($B$3)+NORMSINV($B$5)*SQRT($B$3)*$B$2-P63,0),0)</f>
        <v>0</v>
      </c>
      <c r="P63" s="6">
        <f t="shared" si="6"/>
        <v>1163</v>
      </c>
    </row>
    <row r="64" spans="4:19" x14ac:dyDescent="0.25">
      <c r="D64">
        <v>61</v>
      </c>
      <c r="E64" s="4">
        <v>0</v>
      </c>
      <c r="F64" s="8">
        <f t="shared" si="0"/>
        <v>0</v>
      </c>
      <c r="G64">
        <f t="shared" si="1"/>
        <v>1806</v>
      </c>
      <c r="H64">
        <f t="shared" si="2"/>
        <v>0</v>
      </c>
      <c r="K64" s="6">
        <f t="shared" si="3"/>
        <v>1806</v>
      </c>
      <c r="L64">
        <f t="shared" si="4"/>
        <v>1163</v>
      </c>
      <c r="M64">
        <f t="shared" si="5"/>
        <v>0</v>
      </c>
      <c r="P64" s="6">
        <f t="shared" si="6"/>
        <v>1163</v>
      </c>
    </row>
    <row r="65" spans="4:19" x14ac:dyDescent="0.25">
      <c r="D65">
        <v>62</v>
      </c>
      <c r="E65" s="4">
        <v>0</v>
      </c>
      <c r="F65" s="8">
        <f t="shared" si="0"/>
        <v>0</v>
      </c>
      <c r="G65">
        <f t="shared" si="1"/>
        <v>1806</v>
      </c>
      <c r="H65">
        <f t="shared" si="2"/>
        <v>0</v>
      </c>
      <c r="K65" s="6">
        <f t="shared" si="3"/>
        <v>1806</v>
      </c>
      <c r="L65">
        <f t="shared" si="4"/>
        <v>1163</v>
      </c>
      <c r="M65">
        <f t="shared" si="5"/>
        <v>0</v>
      </c>
      <c r="P65" s="6">
        <f t="shared" si="6"/>
        <v>1163</v>
      </c>
    </row>
    <row r="66" spans="4:19" x14ac:dyDescent="0.25">
      <c r="D66">
        <v>63</v>
      </c>
      <c r="E66" s="4">
        <v>0</v>
      </c>
      <c r="F66" s="8">
        <f t="shared" si="0"/>
        <v>0</v>
      </c>
      <c r="G66">
        <f t="shared" si="1"/>
        <v>1806</v>
      </c>
      <c r="H66">
        <f t="shared" si="2"/>
        <v>0</v>
      </c>
      <c r="K66" s="6">
        <f t="shared" si="3"/>
        <v>1806</v>
      </c>
      <c r="L66">
        <f t="shared" si="4"/>
        <v>1163</v>
      </c>
      <c r="M66">
        <f t="shared" si="5"/>
        <v>0</v>
      </c>
      <c r="P66" s="6">
        <f t="shared" si="6"/>
        <v>1163</v>
      </c>
    </row>
    <row r="67" spans="4:19" x14ac:dyDescent="0.25">
      <c r="D67">
        <v>64</v>
      </c>
      <c r="E67" s="4">
        <v>0</v>
      </c>
      <c r="F67" s="8">
        <f t="shared" si="0"/>
        <v>0</v>
      </c>
      <c r="G67">
        <f t="shared" si="1"/>
        <v>1806</v>
      </c>
      <c r="H67">
        <f t="shared" si="2"/>
        <v>0</v>
      </c>
      <c r="K67" s="6">
        <f t="shared" si="3"/>
        <v>1806</v>
      </c>
      <c r="L67">
        <f t="shared" si="4"/>
        <v>1163</v>
      </c>
      <c r="M67">
        <f t="shared" si="5"/>
        <v>0</v>
      </c>
      <c r="P67" s="6">
        <f t="shared" si="6"/>
        <v>1163</v>
      </c>
    </row>
    <row r="68" spans="4:19" x14ac:dyDescent="0.25">
      <c r="D68">
        <v>65</v>
      </c>
      <c r="E68" s="4">
        <v>0</v>
      </c>
      <c r="F68" s="8">
        <f t="shared" si="0"/>
        <v>0</v>
      </c>
      <c r="G68">
        <f t="shared" si="1"/>
        <v>1806</v>
      </c>
      <c r="H68">
        <f t="shared" si="2"/>
        <v>0</v>
      </c>
      <c r="K68" s="6">
        <f t="shared" si="3"/>
        <v>1806</v>
      </c>
      <c r="L68">
        <f t="shared" si="4"/>
        <v>1163</v>
      </c>
      <c r="M68">
        <f t="shared" si="5"/>
        <v>0</v>
      </c>
      <c r="P68" s="6">
        <f t="shared" si="6"/>
        <v>1163</v>
      </c>
      <c r="R68">
        <f>IF(H68&gt;0,1,0)</f>
        <v>0</v>
      </c>
      <c r="S68">
        <f>IF(M68&gt;0,1,0)</f>
        <v>0</v>
      </c>
    </row>
    <row r="69" spans="4:19" x14ac:dyDescent="0.25">
      <c r="D69">
        <v>66</v>
      </c>
      <c r="E69" s="4">
        <v>0</v>
      </c>
      <c r="F69" s="8">
        <f t="shared" ref="F69:F132" si="7">ROUND(E69,0)</f>
        <v>0</v>
      </c>
      <c r="G69">
        <f t="shared" ref="G69:G132" si="8">K68</f>
        <v>1806</v>
      </c>
      <c r="H69">
        <f t="shared" ref="H69:H132" si="9">MAX(0,F69-G69-J69)</f>
        <v>0</v>
      </c>
      <c r="J69">
        <f>I63</f>
        <v>0</v>
      </c>
      <c r="K69" s="6">
        <f t="shared" ref="K69:K132" si="10">MAX(0,G69+J69-F69)</f>
        <v>1806</v>
      </c>
      <c r="L69">
        <f t="shared" ref="L69:L132" si="11">P68</f>
        <v>1163</v>
      </c>
      <c r="M69">
        <f t="shared" ref="M69:M132" si="12">MAX(0,F69-L69-O69)</f>
        <v>0</v>
      </c>
      <c r="O69">
        <f>N63</f>
        <v>0</v>
      </c>
      <c r="P69" s="6">
        <f t="shared" ref="P69:P132" si="13">MAX(0,L69+O69-F69)</f>
        <v>1163</v>
      </c>
    </row>
    <row r="70" spans="4:19" x14ac:dyDescent="0.25">
      <c r="D70">
        <v>67</v>
      </c>
      <c r="E70" s="4">
        <v>0</v>
      </c>
      <c r="F70" s="8">
        <f t="shared" si="7"/>
        <v>0</v>
      </c>
      <c r="G70">
        <f t="shared" si="8"/>
        <v>1806</v>
      </c>
      <c r="H70">
        <f t="shared" si="9"/>
        <v>0</v>
      </c>
      <c r="K70" s="6">
        <f t="shared" si="10"/>
        <v>1806</v>
      </c>
      <c r="L70">
        <f t="shared" si="11"/>
        <v>1163</v>
      </c>
      <c r="M70">
        <f t="shared" si="12"/>
        <v>0</v>
      </c>
      <c r="P70" s="6">
        <f t="shared" si="13"/>
        <v>1163</v>
      </c>
    </row>
    <row r="71" spans="4:19" x14ac:dyDescent="0.25">
      <c r="D71">
        <v>68</v>
      </c>
      <c r="E71" s="4">
        <v>0</v>
      </c>
      <c r="F71" s="8">
        <f t="shared" si="7"/>
        <v>0</v>
      </c>
      <c r="G71">
        <f t="shared" si="8"/>
        <v>1806</v>
      </c>
      <c r="H71">
        <f t="shared" si="9"/>
        <v>0</v>
      </c>
      <c r="K71" s="6">
        <f t="shared" si="10"/>
        <v>1806</v>
      </c>
      <c r="L71">
        <f t="shared" si="11"/>
        <v>1163</v>
      </c>
      <c r="M71">
        <f t="shared" si="12"/>
        <v>0</v>
      </c>
      <c r="P71" s="6">
        <f t="shared" si="13"/>
        <v>1163</v>
      </c>
    </row>
    <row r="72" spans="4:19" x14ac:dyDescent="0.25">
      <c r="D72">
        <v>69</v>
      </c>
      <c r="E72" s="4">
        <v>0</v>
      </c>
      <c r="F72" s="8">
        <f t="shared" si="7"/>
        <v>0</v>
      </c>
      <c r="G72">
        <f t="shared" si="8"/>
        <v>1806</v>
      </c>
      <c r="H72">
        <f t="shared" si="9"/>
        <v>0</v>
      </c>
      <c r="K72" s="6">
        <f t="shared" si="10"/>
        <v>1806</v>
      </c>
      <c r="L72">
        <f t="shared" si="11"/>
        <v>1163</v>
      </c>
      <c r="M72">
        <f t="shared" si="12"/>
        <v>0</v>
      </c>
      <c r="P72" s="6">
        <f t="shared" si="13"/>
        <v>1163</v>
      </c>
    </row>
    <row r="73" spans="4:19" x14ac:dyDescent="0.25">
      <c r="D73">
        <v>70</v>
      </c>
      <c r="E73" s="4">
        <v>0</v>
      </c>
      <c r="F73" s="8">
        <f t="shared" si="7"/>
        <v>0</v>
      </c>
      <c r="G73">
        <f t="shared" si="8"/>
        <v>1806</v>
      </c>
      <c r="H73">
        <f t="shared" si="9"/>
        <v>0</v>
      </c>
      <c r="I73">
        <f>ROUNDUP(MAX($B$1*($B$3+$B$4)+NORMSINV($B$5)*SQRT($B$3+$B$4)*$B$2-K73,0),0)</f>
        <v>0</v>
      </c>
      <c r="K73" s="6">
        <f t="shared" si="10"/>
        <v>1806</v>
      </c>
      <c r="L73">
        <f t="shared" si="11"/>
        <v>1163</v>
      </c>
      <c r="M73">
        <f t="shared" si="12"/>
        <v>0</v>
      </c>
      <c r="N73">
        <f>ROUNDUP(MAX($B$1*($B$3)+NORMSINV($B$5)*SQRT($B$3)*$B$2-P73,0),0)</f>
        <v>0</v>
      </c>
      <c r="P73" s="6">
        <f t="shared" si="13"/>
        <v>1163</v>
      </c>
    </row>
    <row r="74" spans="4:19" x14ac:dyDescent="0.25">
      <c r="D74">
        <v>71</v>
      </c>
      <c r="E74" s="4">
        <v>0</v>
      </c>
      <c r="F74" s="8">
        <f t="shared" si="7"/>
        <v>0</v>
      </c>
      <c r="G74">
        <f t="shared" si="8"/>
        <v>1806</v>
      </c>
      <c r="H74">
        <f t="shared" si="9"/>
        <v>0</v>
      </c>
      <c r="K74" s="6">
        <f t="shared" si="10"/>
        <v>1806</v>
      </c>
      <c r="L74">
        <f t="shared" si="11"/>
        <v>1163</v>
      </c>
      <c r="M74">
        <f t="shared" si="12"/>
        <v>0</v>
      </c>
      <c r="P74" s="6">
        <f t="shared" si="13"/>
        <v>1163</v>
      </c>
    </row>
    <row r="75" spans="4:19" x14ac:dyDescent="0.25">
      <c r="D75">
        <v>72</v>
      </c>
      <c r="E75" s="4">
        <v>0</v>
      </c>
      <c r="F75" s="8">
        <f t="shared" si="7"/>
        <v>0</v>
      </c>
      <c r="G75">
        <f t="shared" si="8"/>
        <v>1806</v>
      </c>
      <c r="H75">
        <f t="shared" si="9"/>
        <v>0</v>
      </c>
      <c r="K75" s="6">
        <f t="shared" si="10"/>
        <v>1806</v>
      </c>
      <c r="L75">
        <f t="shared" si="11"/>
        <v>1163</v>
      </c>
      <c r="M75">
        <f t="shared" si="12"/>
        <v>0</v>
      </c>
      <c r="P75" s="6">
        <f t="shared" si="13"/>
        <v>1163</v>
      </c>
    </row>
    <row r="76" spans="4:19" x14ac:dyDescent="0.25">
      <c r="D76">
        <v>73</v>
      </c>
      <c r="E76" s="4">
        <v>0</v>
      </c>
      <c r="F76" s="8">
        <f t="shared" si="7"/>
        <v>0</v>
      </c>
      <c r="G76">
        <f t="shared" si="8"/>
        <v>1806</v>
      </c>
      <c r="H76">
        <f t="shared" si="9"/>
        <v>0</v>
      </c>
      <c r="K76" s="6">
        <f t="shared" si="10"/>
        <v>1806</v>
      </c>
      <c r="L76">
        <f t="shared" si="11"/>
        <v>1163</v>
      </c>
      <c r="M76">
        <f t="shared" si="12"/>
        <v>0</v>
      </c>
      <c r="P76" s="6">
        <f t="shared" si="13"/>
        <v>1163</v>
      </c>
    </row>
    <row r="77" spans="4:19" x14ac:dyDescent="0.25">
      <c r="D77">
        <v>74</v>
      </c>
      <c r="E77" s="4">
        <v>0</v>
      </c>
      <c r="F77" s="8">
        <f t="shared" si="7"/>
        <v>0</v>
      </c>
      <c r="G77">
        <f t="shared" si="8"/>
        <v>1806</v>
      </c>
      <c r="H77">
        <f t="shared" si="9"/>
        <v>0</v>
      </c>
      <c r="K77" s="6">
        <f t="shared" si="10"/>
        <v>1806</v>
      </c>
      <c r="L77">
        <f t="shared" si="11"/>
        <v>1163</v>
      </c>
      <c r="M77">
        <f t="shared" si="12"/>
        <v>0</v>
      </c>
      <c r="P77" s="6">
        <f t="shared" si="13"/>
        <v>1163</v>
      </c>
    </row>
    <row r="78" spans="4:19" x14ac:dyDescent="0.25">
      <c r="D78">
        <v>75</v>
      </c>
      <c r="E78" s="4">
        <v>0</v>
      </c>
      <c r="F78" s="8">
        <f t="shared" si="7"/>
        <v>0</v>
      </c>
      <c r="G78">
        <f t="shared" si="8"/>
        <v>1806</v>
      </c>
      <c r="H78">
        <f t="shared" si="9"/>
        <v>0</v>
      </c>
      <c r="K78" s="6">
        <f t="shared" si="10"/>
        <v>1806</v>
      </c>
      <c r="L78">
        <f t="shared" si="11"/>
        <v>1163</v>
      </c>
      <c r="M78">
        <f t="shared" si="12"/>
        <v>0</v>
      </c>
      <c r="P78" s="6">
        <f t="shared" si="13"/>
        <v>1163</v>
      </c>
      <c r="R78">
        <f>IF(H78&gt;0,1,0)</f>
        <v>0</v>
      </c>
      <c r="S78">
        <f>IF(M78&gt;0,1,0)</f>
        <v>0</v>
      </c>
    </row>
    <row r="79" spans="4:19" x14ac:dyDescent="0.25">
      <c r="D79">
        <v>76</v>
      </c>
      <c r="E79" s="4">
        <v>0</v>
      </c>
      <c r="F79" s="8">
        <f t="shared" si="7"/>
        <v>0</v>
      </c>
      <c r="G79">
        <f t="shared" si="8"/>
        <v>1806</v>
      </c>
      <c r="H79">
        <f t="shared" si="9"/>
        <v>0</v>
      </c>
      <c r="J79">
        <f>I73</f>
        <v>0</v>
      </c>
      <c r="K79" s="6">
        <f t="shared" si="10"/>
        <v>1806</v>
      </c>
      <c r="L79">
        <f t="shared" si="11"/>
        <v>1163</v>
      </c>
      <c r="M79">
        <f t="shared" si="12"/>
        <v>0</v>
      </c>
      <c r="O79">
        <f>N73</f>
        <v>0</v>
      </c>
      <c r="P79" s="6">
        <f t="shared" si="13"/>
        <v>1163</v>
      </c>
    </row>
    <row r="80" spans="4:19" x14ac:dyDescent="0.25">
      <c r="D80">
        <v>77</v>
      </c>
      <c r="E80" s="4">
        <v>0</v>
      </c>
      <c r="F80" s="8">
        <f t="shared" si="7"/>
        <v>0</v>
      </c>
      <c r="G80">
        <f t="shared" si="8"/>
        <v>1806</v>
      </c>
      <c r="H80">
        <f t="shared" si="9"/>
        <v>0</v>
      </c>
      <c r="K80" s="6">
        <f t="shared" si="10"/>
        <v>1806</v>
      </c>
      <c r="L80">
        <f t="shared" si="11"/>
        <v>1163</v>
      </c>
      <c r="M80">
        <f t="shared" si="12"/>
        <v>0</v>
      </c>
      <c r="P80" s="6">
        <f t="shared" si="13"/>
        <v>1163</v>
      </c>
    </row>
    <row r="81" spans="4:19" x14ac:dyDescent="0.25">
      <c r="D81">
        <v>78</v>
      </c>
      <c r="E81" s="4">
        <v>0</v>
      </c>
      <c r="F81" s="8">
        <f t="shared" si="7"/>
        <v>0</v>
      </c>
      <c r="G81">
        <f t="shared" si="8"/>
        <v>1806</v>
      </c>
      <c r="H81">
        <f t="shared" si="9"/>
        <v>0</v>
      </c>
      <c r="K81" s="6">
        <f t="shared" si="10"/>
        <v>1806</v>
      </c>
      <c r="L81">
        <f t="shared" si="11"/>
        <v>1163</v>
      </c>
      <c r="M81">
        <f t="shared" si="12"/>
        <v>0</v>
      </c>
      <c r="P81" s="6">
        <f t="shared" si="13"/>
        <v>1163</v>
      </c>
    </row>
    <row r="82" spans="4:19" x14ac:dyDescent="0.25">
      <c r="D82">
        <v>79</v>
      </c>
      <c r="E82" s="4">
        <v>0</v>
      </c>
      <c r="F82" s="8">
        <f t="shared" si="7"/>
        <v>0</v>
      </c>
      <c r="G82">
        <f t="shared" si="8"/>
        <v>1806</v>
      </c>
      <c r="H82">
        <f t="shared" si="9"/>
        <v>0</v>
      </c>
      <c r="K82" s="6">
        <f t="shared" si="10"/>
        <v>1806</v>
      </c>
      <c r="L82">
        <f t="shared" si="11"/>
        <v>1163</v>
      </c>
      <c r="M82">
        <f t="shared" si="12"/>
        <v>0</v>
      </c>
      <c r="P82" s="6">
        <f t="shared" si="13"/>
        <v>1163</v>
      </c>
    </row>
    <row r="83" spans="4:19" x14ac:dyDescent="0.25">
      <c r="D83">
        <v>80</v>
      </c>
      <c r="E83" s="4">
        <v>0</v>
      </c>
      <c r="F83" s="8">
        <f t="shared" si="7"/>
        <v>0</v>
      </c>
      <c r="G83">
        <f t="shared" si="8"/>
        <v>1806</v>
      </c>
      <c r="H83">
        <f t="shared" si="9"/>
        <v>0</v>
      </c>
      <c r="I83">
        <f>ROUNDUP(MAX($B$1*($B$3+$B$4)+NORMSINV($B$5)*SQRT($B$3+$B$4)*$B$2-K83,0),0)</f>
        <v>0</v>
      </c>
      <c r="K83" s="6">
        <f t="shared" si="10"/>
        <v>1806</v>
      </c>
      <c r="L83">
        <f t="shared" si="11"/>
        <v>1163</v>
      </c>
      <c r="M83">
        <f t="shared" si="12"/>
        <v>0</v>
      </c>
      <c r="N83">
        <f>ROUNDUP(MAX($B$1*($B$3)+NORMSINV($B$5)*SQRT($B$3)*$B$2-P83,0),0)</f>
        <v>0</v>
      </c>
      <c r="P83" s="6">
        <f t="shared" si="13"/>
        <v>1163</v>
      </c>
    </row>
    <row r="84" spans="4:19" x14ac:dyDescent="0.25">
      <c r="D84">
        <v>81</v>
      </c>
      <c r="E84" s="4">
        <v>0</v>
      </c>
      <c r="F84" s="8">
        <f t="shared" si="7"/>
        <v>0</v>
      </c>
      <c r="G84">
        <f t="shared" si="8"/>
        <v>1806</v>
      </c>
      <c r="H84">
        <f t="shared" si="9"/>
        <v>0</v>
      </c>
      <c r="K84" s="6">
        <f t="shared" si="10"/>
        <v>1806</v>
      </c>
      <c r="L84">
        <f t="shared" si="11"/>
        <v>1163</v>
      </c>
      <c r="M84">
        <f t="shared" si="12"/>
        <v>0</v>
      </c>
      <c r="P84" s="6">
        <f t="shared" si="13"/>
        <v>1163</v>
      </c>
    </row>
    <row r="85" spans="4:19" x14ac:dyDescent="0.25">
      <c r="D85">
        <v>82</v>
      </c>
      <c r="E85" s="4">
        <v>0</v>
      </c>
      <c r="F85" s="8">
        <f t="shared" si="7"/>
        <v>0</v>
      </c>
      <c r="G85">
        <f t="shared" si="8"/>
        <v>1806</v>
      </c>
      <c r="H85">
        <f t="shared" si="9"/>
        <v>0</v>
      </c>
      <c r="K85" s="6">
        <f t="shared" si="10"/>
        <v>1806</v>
      </c>
      <c r="L85">
        <f t="shared" si="11"/>
        <v>1163</v>
      </c>
      <c r="M85">
        <f t="shared" si="12"/>
        <v>0</v>
      </c>
      <c r="P85" s="6">
        <f t="shared" si="13"/>
        <v>1163</v>
      </c>
    </row>
    <row r="86" spans="4:19" x14ac:dyDescent="0.25">
      <c r="D86">
        <v>83</v>
      </c>
      <c r="E86" s="4">
        <v>0</v>
      </c>
      <c r="F86" s="8">
        <f t="shared" si="7"/>
        <v>0</v>
      </c>
      <c r="G86">
        <f t="shared" si="8"/>
        <v>1806</v>
      </c>
      <c r="H86">
        <f t="shared" si="9"/>
        <v>0</v>
      </c>
      <c r="K86" s="6">
        <f t="shared" si="10"/>
        <v>1806</v>
      </c>
      <c r="L86">
        <f t="shared" si="11"/>
        <v>1163</v>
      </c>
      <c r="M86">
        <f t="shared" si="12"/>
        <v>0</v>
      </c>
      <c r="P86" s="6">
        <f t="shared" si="13"/>
        <v>1163</v>
      </c>
    </row>
    <row r="87" spans="4:19" x14ac:dyDescent="0.25">
      <c r="D87">
        <v>84</v>
      </c>
      <c r="E87" s="4">
        <v>0</v>
      </c>
      <c r="F87" s="8">
        <f t="shared" si="7"/>
        <v>0</v>
      </c>
      <c r="G87">
        <f t="shared" si="8"/>
        <v>1806</v>
      </c>
      <c r="H87">
        <f t="shared" si="9"/>
        <v>0</v>
      </c>
      <c r="K87" s="6">
        <f t="shared" si="10"/>
        <v>1806</v>
      </c>
      <c r="L87">
        <f t="shared" si="11"/>
        <v>1163</v>
      </c>
      <c r="M87">
        <f t="shared" si="12"/>
        <v>0</v>
      </c>
      <c r="P87" s="6">
        <f t="shared" si="13"/>
        <v>1163</v>
      </c>
    </row>
    <row r="88" spans="4:19" x14ac:dyDescent="0.25">
      <c r="D88">
        <v>85</v>
      </c>
      <c r="E88" s="4">
        <v>0</v>
      </c>
      <c r="F88" s="8">
        <f t="shared" si="7"/>
        <v>0</v>
      </c>
      <c r="G88">
        <f t="shared" si="8"/>
        <v>1806</v>
      </c>
      <c r="H88">
        <f t="shared" si="9"/>
        <v>0</v>
      </c>
      <c r="K88" s="6">
        <f t="shared" si="10"/>
        <v>1806</v>
      </c>
      <c r="L88">
        <f t="shared" si="11"/>
        <v>1163</v>
      </c>
      <c r="M88">
        <f t="shared" si="12"/>
        <v>0</v>
      </c>
      <c r="P88" s="6">
        <f t="shared" si="13"/>
        <v>1163</v>
      </c>
      <c r="R88">
        <f>IF(H88&gt;0,1,0)</f>
        <v>0</v>
      </c>
      <c r="S88">
        <f>IF(M88&gt;0,1,0)</f>
        <v>0</v>
      </c>
    </row>
    <row r="89" spans="4:19" x14ac:dyDescent="0.25">
      <c r="D89">
        <v>86</v>
      </c>
      <c r="E89" s="4">
        <v>0</v>
      </c>
      <c r="F89" s="8">
        <f t="shared" si="7"/>
        <v>0</v>
      </c>
      <c r="G89">
        <f t="shared" si="8"/>
        <v>1806</v>
      </c>
      <c r="H89">
        <f t="shared" si="9"/>
        <v>0</v>
      </c>
      <c r="J89">
        <f>I83</f>
        <v>0</v>
      </c>
      <c r="K89" s="6">
        <f t="shared" si="10"/>
        <v>1806</v>
      </c>
      <c r="L89">
        <f t="shared" si="11"/>
        <v>1163</v>
      </c>
      <c r="M89">
        <f t="shared" si="12"/>
        <v>0</v>
      </c>
      <c r="O89">
        <f>N83</f>
        <v>0</v>
      </c>
      <c r="P89" s="6">
        <f t="shared" si="13"/>
        <v>1163</v>
      </c>
    </row>
    <row r="90" spans="4:19" x14ac:dyDescent="0.25">
      <c r="D90">
        <v>87</v>
      </c>
      <c r="E90" s="4">
        <v>0</v>
      </c>
      <c r="F90" s="8">
        <f t="shared" si="7"/>
        <v>0</v>
      </c>
      <c r="G90">
        <f t="shared" si="8"/>
        <v>1806</v>
      </c>
      <c r="H90">
        <f t="shared" si="9"/>
        <v>0</v>
      </c>
      <c r="K90" s="6">
        <f t="shared" si="10"/>
        <v>1806</v>
      </c>
      <c r="L90">
        <f t="shared" si="11"/>
        <v>1163</v>
      </c>
      <c r="M90">
        <f t="shared" si="12"/>
        <v>0</v>
      </c>
      <c r="P90" s="6">
        <f t="shared" si="13"/>
        <v>1163</v>
      </c>
    </row>
    <row r="91" spans="4:19" x14ac:dyDescent="0.25">
      <c r="D91">
        <v>88</v>
      </c>
      <c r="E91" s="4">
        <v>0</v>
      </c>
      <c r="F91" s="8">
        <f t="shared" si="7"/>
        <v>0</v>
      </c>
      <c r="G91">
        <f t="shared" si="8"/>
        <v>1806</v>
      </c>
      <c r="H91">
        <f t="shared" si="9"/>
        <v>0</v>
      </c>
      <c r="K91" s="6">
        <f t="shared" si="10"/>
        <v>1806</v>
      </c>
      <c r="L91">
        <f t="shared" si="11"/>
        <v>1163</v>
      </c>
      <c r="M91">
        <f t="shared" si="12"/>
        <v>0</v>
      </c>
      <c r="P91" s="6">
        <f t="shared" si="13"/>
        <v>1163</v>
      </c>
    </row>
    <row r="92" spans="4:19" x14ac:dyDescent="0.25">
      <c r="D92">
        <v>89</v>
      </c>
      <c r="E92" s="4">
        <v>0</v>
      </c>
      <c r="F92" s="8">
        <f t="shared" si="7"/>
        <v>0</v>
      </c>
      <c r="G92">
        <f t="shared" si="8"/>
        <v>1806</v>
      </c>
      <c r="H92">
        <f t="shared" si="9"/>
        <v>0</v>
      </c>
      <c r="K92" s="6">
        <f t="shared" si="10"/>
        <v>1806</v>
      </c>
      <c r="L92">
        <f t="shared" si="11"/>
        <v>1163</v>
      </c>
      <c r="M92">
        <f t="shared" si="12"/>
        <v>0</v>
      </c>
      <c r="P92" s="6">
        <f t="shared" si="13"/>
        <v>1163</v>
      </c>
    </row>
    <row r="93" spans="4:19" x14ac:dyDescent="0.25">
      <c r="D93">
        <v>90</v>
      </c>
      <c r="E93" s="4">
        <v>0</v>
      </c>
      <c r="F93" s="8">
        <f t="shared" si="7"/>
        <v>0</v>
      </c>
      <c r="G93">
        <f t="shared" si="8"/>
        <v>1806</v>
      </c>
      <c r="H93">
        <f t="shared" si="9"/>
        <v>0</v>
      </c>
      <c r="I93">
        <f>ROUNDUP(MAX($B$1*($B$3+$B$4)+NORMSINV($B$5)*SQRT($B$3+$B$4)*$B$2-K93,0),0)</f>
        <v>0</v>
      </c>
      <c r="K93" s="6">
        <f t="shared" si="10"/>
        <v>1806</v>
      </c>
      <c r="L93">
        <f t="shared" si="11"/>
        <v>1163</v>
      </c>
      <c r="M93">
        <f t="shared" si="12"/>
        <v>0</v>
      </c>
      <c r="N93">
        <f>ROUNDUP(MAX($B$1*($B$3)+NORMSINV($B$5)*SQRT($B$3)*$B$2-P93,0),0)</f>
        <v>0</v>
      </c>
      <c r="P93" s="6">
        <f t="shared" si="13"/>
        <v>1163</v>
      </c>
    </row>
    <row r="94" spans="4:19" x14ac:dyDescent="0.25">
      <c r="D94">
        <v>91</v>
      </c>
      <c r="E94" s="4">
        <v>0</v>
      </c>
      <c r="F94" s="8">
        <f t="shared" si="7"/>
        <v>0</v>
      </c>
      <c r="G94">
        <f t="shared" si="8"/>
        <v>1806</v>
      </c>
      <c r="H94">
        <f t="shared" si="9"/>
        <v>0</v>
      </c>
      <c r="K94" s="6">
        <f t="shared" si="10"/>
        <v>1806</v>
      </c>
      <c r="L94">
        <f t="shared" si="11"/>
        <v>1163</v>
      </c>
      <c r="M94">
        <f t="shared" si="12"/>
        <v>0</v>
      </c>
      <c r="P94" s="6">
        <f t="shared" si="13"/>
        <v>1163</v>
      </c>
    </row>
    <row r="95" spans="4:19" x14ac:dyDescent="0.25">
      <c r="D95">
        <v>92</v>
      </c>
      <c r="E95" s="4">
        <v>0</v>
      </c>
      <c r="F95" s="8">
        <f t="shared" si="7"/>
        <v>0</v>
      </c>
      <c r="G95">
        <f t="shared" si="8"/>
        <v>1806</v>
      </c>
      <c r="H95">
        <f t="shared" si="9"/>
        <v>0</v>
      </c>
      <c r="K95" s="6">
        <f t="shared" si="10"/>
        <v>1806</v>
      </c>
      <c r="L95">
        <f t="shared" si="11"/>
        <v>1163</v>
      </c>
      <c r="M95">
        <f t="shared" si="12"/>
        <v>0</v>
      </c>
      <c r="P95" s="6">
        <f t="shared" si="13"/>
        <v>1163</v>
      </c>
    </row>
    <row r="96" spans="4:19" x14ac:dyDescent="0.25">
      <c r="D96">
        <v>93</v>
      </c>
      <c r="E96" s="4">
        <v>0</v>
      </c>
      <c r="F96" s="8">
        <f t="shared" si="7"/>
        <v>0</v>
      </c>
      <c r="G96">
        <f t="shared" si="8"/>
        <v>1806</v>
      </c>
      <c r="H96">
        <f t="shared" si="9"/>
        <v>0</v>
      </c>
      <c r="K96" s="6">
        <f t="shared" si="10"/>
        <v>1806</v>
      </c>
      <c r="L96">
        <f t="shared" si="11"/>
        <v>1163</v>
      </c>
      <c r="M96">
        <f t="shared" si="12"/>
        <v>0</v>
      </c>
      <c r="P96" s="6">
        <f t="shared" si="13"/>
        <v>1163</v>
      </c>
    </row>
    <row r="97" spans="4:19" x14ac:dyDescent="0.25">
      <c r="D97">
        <v>94</v>
      </c>
      <c r="E97" s="4">
        <v>0</v>
      </c>
      <c r="F97" s="8">
        <f t="shared" si="7"/>
        <v>0</v>
      </c>
      <c r="G97">
        <f t="shared" si="8"/>
        <v>1806</v>
      </c>
      <c r="H97">
        <f t="shared" si="9"/>
        <v>0</v>
      </c>
      <c r="K97" s="6">
        <f t="shared" si="10"/>
        <v>1806</v>
      </c>
      <c r="L97">
        <f t="shared" si="11"/>
        <v>1163</v>
      </c>
      <c r="M97">
        <f t="shared" si="12"/>
        <v>0</v>
      </c>
      <c r="P97" s="6">
        <f t="shared" si="13"/>
        <v>1163</v>
      </c>
    </row>
    <row r="98" spans="4:19" x14ac:dyDescent="0.25">
      <c r="D98">
        <v>95</v>
      </c>
      <c r="E98" s="4">
        <v>0</v>
      </c>
      <c r="F98" s="8">
        <f t="shared" si="7"/>
        <v>0</v>
      </c>
      <c r="G98">
        <f t="shared" si="8"/>
        <v>1806</v>
      </c>
      <c r="H98">
        <f t="shared" si="9"/>
        <v>0</v>
      </c>
      <c r="K98" s="6">
        <f t="shared" si="10"/>
        <v>1806</v>
      </c>
      <c r="L98">
        <f t="shared" si="11"/>
        <v>1163</v>
      </c>
      <c r="M98">
        <f t="shared" si="12"/>
        <v>0</v>
      </c>
      <c r="P98" s="6">
        <f t="shared" si="13"/>
        <v>1163</v>
      </c>
      <c r="R98">
        <f>IF(H98&gt;0,1,0)</f>
        <v>0</v>
      </c>
      <c r="S98">
        <v>0</v>
      </c>
    </row>
    <row r="99" spans="4:19" x14ac:dyDescent="0.25">
      <c r="D99">
        <v>96</v>
      </c>
      <c r="E99" s="4">
        <v>0</v>
      </c>
      <c r="F99" s="8">
        <f t="shared" si="7"/>
        <v>0</v>
      </c>
      <c r="G99">
        <f t="shared" si="8"/>
        <v>1806</v>
      </c>
      <c r="H99">
        <f t="shared" si="9"/>
        <v>0</v>
      </c>
      <c r="J99">
        <f>I93</f>
        <v>0</v>
      </c>
      <c r="K99" s="6">
        <f t="shared" si="10"/>
        <v>1806</v>
      </c>
      <c r="L99">
        <f t="shared" si="11"/>
        <v>1163</v>
      </c>
      <c r="M99">
        <f t="shared" si="12"/>
        <v>0</v>
      </c>
      <c r="O99">
        <f>N93</f>
        <v>0</v>
      </c>
      <c r="P99" s="6">
        <f t="shared" si="13"/>
        <v>1163</v>
      </c>
    </row>
    <row r="100" spans="4:19" x14ac:dyDescent="0.25">
      <c r="D100">
        <v>97</v>
      </c>
      <c r="E100" s="4">
        <v>0</v>
      </c>
      <c r="F100" s="8">
        <f t="shared" si="7"/>
        <v>0</v>
      </c>
      <c r="G100">
        <f t="shared" si="8"/>
        <v>1806</v>
      </c>
      <c r="H100">
        <f t="shared" si="9"/>
        <v>0</v>
      </c>
      <c r="K100" s="6">
        <f t="shared" si="10"/>
        <v>1806</v>
      </c>
      <c r="L100">
        <f t="shared" si="11"/>
        <v>1163</v>
      </c>
      <c r="M100">
        <f t="shared" si="12"/>
        <v>0</v>
      </c>
      <c r="P100" s="6">
        <f t="shared" si="13"/>
        <v>1163</v>
      </c>
    </row>
    <row r="101" spans="4:19" x14ac:dyDescent="0.25">
      <c r="D101">
        <v>98</v>
      </c>
      <c r="E101" s="4">
        <v>0</v>
      </c>
      <c r="F101" s="8">
        <f t="shared" si="7"/>
        <v>0</v>
      </c>
      <c r="G101">
        <f t="shared" si="8"/>
        <v>1806</v>
      </c>
      <c r="H101">
        <f t="shared" si="9"/>
        <v>0</v>
      </c>
      <c r="K101" s="6">
        <f t="shared" si="10"/>
        <v>1806</v>
      </c>
      <c r="L101">
        <f t="shared" si="11"/>
        <v>1163</v>
      </c>
      <c r="M101">
        <f t="shared" si="12"/>
        <v>0</v>
      </c>
      <c r="P101" s="6">
        <f t="shared" si="13"/>
        <v>1163</v>
      </c>
    </row>
    <row r="102" spans="4:19" x14ac:dyDescent="0.25">
      <c r="D102">
        <v>99</v>
      </c>
      <c r="E102" s="4">
        <v>0</v>
      </c>
      <c r="F102" s="8">
        <f t="shared" si="7"/>
        <v>0</v>
      </c>
      <c r="G102">
        <f t="shared" si="8"/>
        <v>1806</v>
      </c>
      <c r="H102">
        <f t="shared" si="9"/>
        <v>0</v>
      </c>
      <c r="K102" s="6">
        <f t="shared" si="10"/>
        <v>1806</v>
      </c>
      <c r="L102">
        <f t="shared" si="11"/>
        <v>1163</v>
      </c>
      <c r="M102">
        <f t="shared" si="12"/>
        <v>0</v>
      </c>
      <c r="P102" s="6">
        <f t="shared" si="13"/>
        <v>1163</v>
      </c>
    </row>
    <row r="103" spans="4:19" x14ac:dyDescent="0.25">
      <c r="D103">
        <v>100</v>
      </c>
      <c r="E103" s="4">
        <v>0</v>
      </c>
      <c r="F103" s="8">
        <f t="shared" si="7"/>
        <v>0</v>
      </c>
      <c r="G103">
        <f t="shared" si="8"/>
        <v>1806</v>
      </c>
      <c r="H103">
        <f t="shared" si="9"/>
        <v>0</v>
      </c>
      <c r="I103">
        <f>ROUNDUP(MAX($B$1*($B$3+$B$4)+NORMSINV($B$5)*SQRT($B$3+$B$4)*$B$2-K103,0),0)</f>
        <v>0</v>
      </c>
      <c r="K103" s="6">
        <f t="shared" si="10"/>
        <v>1806</v>
      </c>
      <c r="L103">
        <f t="shared" si="11"/>
        <v>1163</v>
      </c>
      <c r="M103">
        <f t="shared" si="12"/>
        <v>0</v>
      </c>
      <c r="N103">
        <f>ROUNDUP(MAX($B$1*($B$3)+NORMSINV($B$5)*SQRT($B$3)*$B$2-P103,0),0)</f>
        <v>0</v>
      </c>
      <c r="P103" s="6">
        <f t="shared" si="13"/>
        <v>1163</v>
      </c>
    </row>
    <row r="104" spans="4:19" x14ac:dyDescent="0.25">
      <c r="D104">
        <v>101</v>
      </c>
      <c r="E104" s="4">
        <v>0</v>
      </c>
      <c r="F104" s="8">
        <f t="shared" si="7"/>
        <v>0</v>
      </c>
      <c r="G104">
        <f t="shared" si="8"/>
        <v>1806</v>
      </c>
      <c r="H104">
        <f t="shared" si="9"/>
        <v>0</v>
      </c>
      <c r="K104" s="6">
        <f t="shared" si="10"/>
        <v>1806</v>
      </c>
      <c r="L104">
        <f t="shared" si="11"/>
        <v>1163</v>
      </c>
      <c r="M104">
        <f t="shared" si="12"/>
        <v>0</v>
      </c>
      <c r="P104" s="6">
        <f t="shared" si="13"/>
        <v>1163</v>
      </c>
    </row>
    <row r="105" spans="4:19" x14ac:dyDescent="0.25">
      <c r="D105">
        <v>102</v>
      </c>
      <c r="E105" s="4">
        <v>0</v>
      </c>
      <c r="F105" s="8">
        <f t="shared" si="7"/>
        <v>0</v>
      </c>
      <c r="G105">
        <f t="shared" si="8"/>
        <v>1806</v>
      </c>
      <c r="H105">
        <f t="shared" si="9"/>
        <v>0</v>
      </c>
      <c r="K105" s="6">
        <f t="shared" si="10"/>
        <v>1806</v>
      </c>
      <c r="L105">
        <f t="shared" si="11"/>
        <v>1163</v>
      </c>
      <c r="M105">
        <f t="shared" si="12"/>
        <v>0</v>
      </c>
      <c r="P105" s="6">
        <f t="shared" si="13"/>
        <v>1163</v>
      </c>
    </row>
    <row r="106" spans="4:19" x14ac:dyDescent="0.25">
      <c r="D106">
        <v>103</v>
      </c>
      <c r="E106" s="4">
        <v>0</v>
      </c>
      <c r="F106" s="8">
        <f t="shared" si="7"/>
        <v>0</v>
      </c>
      <c r="G106">
        <f t="shared" si="8"/>
        <v>1806</v>
      </c>
      <c r="H106">
        <f t="shared" si="9"/>
        <v>0</v>
      </c>
      <c r="K106" s="6">
        <f t="shared" si="10"/>
        <v>1806</v>
      </c>
      <c r="L106">
        <f t="shared" si="11"/>
        <v>1163</v>
      </c>
      <c r="M106">
        <f t="shared" si="12"/>
        <v>0</v>
      </c>
      <c r="P106" s="6">
        <f t="shared" si="13"/>
        <v>1163</v>
      </c>
    </row>
    <row r="107" spans="4:19" x14ac:dyDescent="0.25">
      <c r="D107">
        <v>104</v>
      </c>
      <c r="E107" s="4">
        <v>0</v>
      </c>
      <c r="F107" s="8">
        <f t="shared" si="7"/>
        <v>0</v>
      </c>
      <c r="G107">
        <f t="shared" si="8"/>
        <v>1806</v>
      </c>
      <c r="H107">
        <f t="shared" si="9"/>
        <v>0</v>
      </c>
      <c r="K107" s="6">
        <f t="shared" si="10"/>
        <v>1806</v>
      </c>
      <c r="L107">
        <f t="shared" si="11"/>
        <v>1163</v>
      </c>
      <c r="M107">
        <f t="shared" si="12"/>
        <v>0</v>
      </c>
      <c r="P107" s="6">
        <f t="shared" si="13"/>
        <v>1163</v>
      </c>
    </row>
    <row r="108" spans="4:19" x14ac:dyDescent="0.25">
      <c r="D108">
        <v>105</v>
      </c>
      <c r="E108" s="4">
        <v>0</v>
      </c>
      <c r="F108" s="8">
        <f t="shared" si="7"/>
        <v>0</v>
      </c>
      <c r="G108">
        <f t="shared" si="8"/>
        <v>1806</v>
      </c>
      <c r="H108">
        <f t="shared" si="9"/>
        <v>0</v>
      </c>
      <c r="K108" s="6">
        <f t="shared" si="10"/>
        <v>1806</v>
      </c>
      <c r="L108">
        <f t="shared" si="11"/>
        <v>1163</v>
      </c>
      <c r="M108">
        <f t="shared" si="12"/>
        <v>0</v>
      </c>
      <c r="P108" s="6">
        <f t="shared" si="13"/>
        <v>1163</v>
      </c>
      <c r="R108">
        <f>IF(H108&gt;0,1,0)</f>
        <v>0</v>
      </c>
      <c r="S108">
        <f>IF(M108&gt;0,1,0)</f>
        <v>0</v>
      </c>
    </row>
    <row r="109" spans="4:19" x14ac:dyDescent="0.25">
      <c r="D109">
        <v>106</v>
      </c>
      <c r="E109" s="4">
        <v>0</v>
      </c>
      <c r="F109" s="8">
        <f t="shared" si="7"/>
        <v>0</v>
      </c>
      <c r="G109">
        <f t="shared" si="8"/>
        <v>1806</v>
      </c>
      <c r="H109">
        <f t="shared" si="9"/>
        <v>0</v>
      </c>
      <c r="J109">
        <f>I103</f>
        <v>0</v>
      </c>
      <c r="K109" s="6">
        <f t="shared" si="10"/>
        <v>1806</v>
      </c>
      <c r="L109">
        <f t="shared" si="11"/>
        <v>1163</v>
      </c>
      <c r="M109">
        <f t="shared" si="12"/>
        <v>0</v>
      </c>
      <c r="O109">
        <f>N103</f>
        <v>0</v>
      </c>
      <c r="P109" s="6">
        <f t="shared" si="13"/>
        <v>1163</v>
      </c>
    </row>
    <row r="110" spans="4:19" x14ac:dyDescent="0.25">
      <c r="D110">
        <v>107</v>
      </c>
      <c r="E110" s="4">
        <v>0</v>
      </c>
      <c r="F110" s="8">
        <f t="shared" si="7"/>
        <v>0</v>
      </c>
      <c r="G110">
        <f t="shared" si="8"/>
        <v>1806</v>
      </c>
      <c r="H110">
        <f t="shared" si="9"/>
        <v>0</v>
      </c>
      <c r="K110" s="6">
        <f t="shared" si="10"/>
        <v>1806</v>
      </c>
      <c r="L110">
        <f t="shared" si="11"/>
        <v>1163</v>
      </c>
      <c r="M110">
        <f t="shared" si="12"/>
        <v>0</v>
      </c>
      <c r="P110" s="6">
        <f t="shared" si="13"/>
        <v>1163</v>
      </c>
    </row>
    <row r="111" spans="4:19" x14ac:dyDescent="0.25">
      <c r="D111">
        <v>108</v>
      </c>
      <c r="E111" s="4">
        <v>0</v>
      </c>
      <c r="F111" s="8">
        <f t="shared" si="7"/>
        <v>0</v>
      </c>
      <c r="G111">
        <f t="shared" si="8"/>
        <v>1806</v>
      </c>
      <c r="H111">
        <f t="shared" si="9"/>
        <v>0</v>
      </c>
      <c r="K111" s="6">
        <f t="shared" si="10"/>
        <v>1806</v>
      </c>
      <c r="L111">
        <f t="shared" si="11"/>
        <v>1163</v>
      </c>
      <c r="M111">
        <f t="shared" si="12"/>
        <v>0</v>
      </c>
      <c r="P111" s="6">
        <f t="shared" si="13"/>
        <v>1163</v>
      </c>
    </row>
    <row r="112" spans="4:19" x14ac:dyDescent="0.25">
      <c r="D112">
        <v>109</v>
      </c>
      <c r="E112" s="4">
        <v>0</v>
      </c>
      <c r="F112" s="8">
        <f t="shared" si="7"/>
        <v>0</v>
      </c>
      <c r="G112">
        <f t="shared" si="8"/>
        <v>1806</v>
      </c>
      <c r="H112">
        <f t="shared" si="9"/>
        <v>0</v>
      </c>
      <c r="K112" s="6">
        <f t="shared" si="10"/>
        <v>1806</v>
      </c>
      <c r="L112">
        <f t="shared" si="11"/>
        <v>1163</v>
      </c>
      <c r="M112">
        <f t="shared" si="12"/>
        <v>0</v>
      </c>
      <c r="P112" s="6">
        <f t="shared" si="13"/>
        <v>1163</v>
      </c>
    </row>
    <row r="113" spans="4:19" x14ac:dyDescent="0.25">
      <c r="D113">
        <v>110</v>
      </c>
      <c r="E113" s="4">
        <v>0</v>
      </c>
      <c r="F113" s="8">
        <f t="shared" si="7"/>
        <v>0</v>
      </c>
      <c r="G113">
        <f t="shared" si="8"/>
        <v>1806</v>
      </c>
      <c r="H113">
        <f t="shared" si="9"/>
        <v>0</v>
      </c>
      <c r="I113">
        <f>ROUNDUP(MAX($B$1*($B$3+$B$4)+NORMSINV($B$5)*SQRT($B$3+$B$4)*$B$2-K113,0),0)</f>
        <v>0</v>
      </c>
      <c r="K113" s="6">
        <f t="shared" si="10"/>
        <v>1806</v>
      </c>
      <c r="L113">
        <f t="shared" si="11"/>
        <v>1163</v>
      </c>
      <c r="M113">
        <f t="shared" si="12"/>
        <v>0</v>
      </c>
      <c r="N113">
        <f>ROUNDUP(MAX($B$1*($B$3)+NORMSINV($B$5)*SQRT($B$3)*$B$2-P113,0),0)</f>
        <v>0</v>
      </c>
      <c r="P113" s="6">
        <f t="shared" si="13"/>
        <v>1163</v>
      </c>
    </row>
    <row r="114" spans="4:19" x14ac:dyDescent="0.25">
      <c r="D114">
        <v>111</v>
      </c>
      <c r="E114" s="4">
        <v>0</v>
      </c>
      <c r="F114" s="8">
        <f t="shared" si="7"/>
        <v>0</v>
      </c>
      <c r="G114">
        <f t="shared" si="8"/>
        <v>1806</v>
      </c>
      <c r="H114">
        <f t="shared" si="9"/>
        <v>0</v>
      </c>
      <c r="K114" s="6">
        <f t="shared" si="10"/>
        <v>1806</v>
      </c>
      <c r="L114">
        <f t="shared" si="11"/>
        <v>1163</v>
      </c>
      <c r="M114">
        <f t="shared" si="12"/>
        <v>0</v>
      </c>
      <c r="P114" s="6">
        <f t="shared" si="13"/>
        <v>1163</v>
      </c>
    </row>
    <row r="115" spans="4:19" x14ac:dyDescent="0.25">
      <c r="D115">
        <v>112</v>
      </c>
      <c r="E115" s="4">
        <v>0</v>
      </c>
      <c r="F115" s="8">
        <f t="shared" si="7"/>
        <v>0</v>
      </c>
      <c r="G115">
        <f t="shared" si="8"/>
        <v>1806</v>
      </c>
      <c r="H115">
        <f t="shared" si="9"/>
        <v>0</v>
      </c>
      <c r="K115" s="6">
        <f t="shared" si="10"/>
        <v>1806</v>
      </c>
      <c r="L115">
        <f t="shared" si="11"/>
        <v>1163</v>
      </c>
      <c r="M115">
        <f t="shared" si="12"/>
        <v>0</v>
      </c>
      <c r="P115" s="6">
        <f t="shared" si="13"/>
        <v>1163</v>
      </c>
    </row>
    <row r="116" spans="4:19" x14ac:dyDescent="0.25">
      <c r="D116">
        <v>113</v>
      </c>
      <c r="E116" s="4">
        <v>0</v>
      </c>
      <c r="F116" s="8">
        <f t="shared" si="7"/>
        <v>0</v>
      </c>
      <c r="G116">
        <f t="shared" si="8"/>
        <v>1806</v>
      </c>
      <c r="H116">
        <f t="shared" si="9"/>
        <v>0</v>
      </c>
      <c r="K116" s="6">
        <f t="shared" si="10"/>
        <v>1806</v>
      </c>
      <c r="L116">
        <f t="shared" si="11"/>
        <v>1163</v>
      </c>
      <c r="M116">
        <f t="shared" si="12"/>
        <v>0</v>
      </c>
      <c r="P116" s="6">
        <f t="shared" si="13"/>
        <v>1163</v>
      </c>
    </row>
    <row r="117" spans="4:19" x14ac:dyDescent="0.25">
      <c r="D117">
        <v>114</v>
      </c>
      <c r="E117" s="4">
        <v>0</v>
      </c>
      <c r="F117" s="8">
        <f t="shared" si="7"/>
        <v>0</v>
      </c>
      <c r="G117">
        <f t="shared" si="8"/>
        <v>1806</v>
      </c>
      <c r="H117">
        <f t="shared" si="9"/>
        <v>0</v>
      </c>
      <c r="K117" s="6">
        <f t="shared" si="10"/>
        <v>1806</v>
      </c>
      <c r="L117">
        <f t="shared" si="11"/>
        <v>1163</v>
      </c>
      <c r="M117">
        <f t="shared" si="12"/>
        <v>0</v>
      </c>
      <c r="P117" s="6">
        <f t="shared" si="13"/>
        <v>1163</v>
      </c>
    </row>
    <row r="118" spans="4:19" x14ac:dyDescent="0.25">
      <c r="D118">
        <v>115</v>
      </c>
      <c r="E118" s="4">
        <v>0</v>
      </c>
      <c r="F118" s="8">
        <f t="shared" si="7"/>
        <v>0</v>
      </c>
      <c r="G118">
        <f t="shared" si="8"/>
        <v>1806</v>
      </c>
      <c r="H118">
        <f t="shared" si="9"/>
        <v>0</v>
      </c>
      <c r="K118" s="6">
        <f t="shared" si="10"/>
        <v>1806</v>
      </c>
      <c r="L118">
        <f t="shared" si="11"/>
        <v>1163</v>
      </c>
      <c r="M118">
        <f t="shared" si="12"/>
        <v>0</v>
      </c>
      <c r="P118" s="6">
        <f t="shared" si="13"/>
        <v>1163</v>
      </c>
      <c r="R118">
        <f>IF(H118&gt;0,1,0)</f>
        <v>0</v>
      </c>
      <c r="S118">
        <f>IF(M118&gt;0,1,0)</f>
        <v>0</v>
      </c>
    </row>
    <row r="119" spans="4:19" x14ac:dyDescent="0.25">
      <c r="D119">
        <v>116</v>
      </c>
      <c r="E119" s="4">
        <v>0</v>
      </c>
      <c r="F119" s="8">
        <f t="shared" si="7"/>
        <v>0</v>
      </c>
      <c r="G119">
        <f t="shared" si="8"/>
        <v>1806</v>
      </c>
      <c r="H119">
        <f t="shared" si="9"/>
        <v>0</v>
      </c>
      <c r="J119">
        <f>I113</f>
        <v>0</v>
      </c>
      <c r="K119" s="6">
        <f t="shared" si="10"/>
        <v>1806</v>
      </c>
      <c r="L119">
        <f t="shared" si="11"/>
        <v>1163</v>
      </c>
      <c r="M119">
        <f t="shared" si="12"/>
        <v>0</v>
      </c>
      <c r="O119">
        <f>N113</f>
        <v>0</v>
      </c>
      <c r="P119" s="6">
        <f t="shared" si="13"/>
        <v>1163</v>
      </c>
    </row>
    <row r="120" spans="4:19" x14ac:dyDescent="0.25">
      <c r="D120">
        <v>117</v>
      </c>
      <c r="E120" s="4">
        <v>0</v>
      </c>
      <c r="F120" s="8">
        <f t="shared" si="7"/>
        <v>0</v>
      </c>
      <c r="G120">
        <f t="shared" si="8"/>
        <v>1806</v>
      </c>
      <c r="H120">
        <f t="shared" si="9"/>
        <v>0</v>
      </c>
      <c r="K120" s="6">
        <f t="shared" si="10"/>
        <v>1806</v>
      </c>
      <c r="L120">
        <f t="shared" si="11"/>
        <v>1163</v>
      </c>
      <c r="M120">
        <f t="shared" si="12"/>
        <v>0</v>
      </c>
      <c r="P120" s="6">
        <f t="shared" si="13"/>
        <v>1163</v>
      </c>
    </row>
    <row r="121" spans="4:19" x14ac:dyDescent="0.25">
      <c r="D121">
        <v>118</v>
      </c>
      <c r="E121" s="4">
        <v>0</v>
      </c>
      <c r="F121" s="8">
        <f t="shared" si="7"/>
        <v>0</v>
      </c>
      <c r="G121">
        <f t="shared" si="8"/>
        <v>1806</v>
      </c>
      <c r="H121">
        <f t="shared" si="9"/>
        <v>0</v>
      </c>
      <c r="K121" s="6">
        <f t="shared" si="10"/>
        <v>1806</v>
      </c>
      <c r="L121">
        <f t="shared" si="11"/>
        <v>1163</v>
      </c>
      <c r="M121">
        <f t="shared" si="12"/>
        <v>0</v>
      </c>
      <c r="P121" s="6">
        <f t="shared" si="13"/>
        <v>1163</v>
      </c>
    </row>
    <row r="122" spans="4:19" x14ac:dyDescent="0.25">
      <c r="D122">
        <v>119</v>
      </c>
      <c r="E122" s="4">
        <v>0</v>
      </c>
      <c r="F122" s="8">
        <f t="shared" si="7"/>
        <v>0</v>
      </c>
      <c r="G122">
        <f t="shared" si="8"/>
        <v>1806</v>
      </c>
      <c r="H122">
        <f t="shared" si="9"/>
        <v>0</v>
      </c>
      <c r="K122" s="6">
        <f t="shared" si="10"/>
        <v>1806</v>
      </c>
      <c r="L122">
        <f t="shared" si="11"/>
        <v>1163</v>
      </c>
      <c r="M122">
        <f t="shared" si="12"/>
        <v>0</v>
      </c>
      <c r="P122" s="6">
        <f t="shared" si="13"/>
        <v>1163</v>
      </c>
    </row>
    <row r="123" spans="4:19" x14ac:dyDescent="0.25">
      <c r="D123">
        <v>120</v>
      </c>
      <c r="E123" s="4">
        <v>0</v>
      </c>
      <c r="F123" s="8">
        <f t="shared" si="7"/>
        <v>0</v>
      </c>
      <c r="G123">
        <f t="shared" si="8"/>
        <v>1806</v>
      </c>
      <c r="H123">
        <f t="shared" si="9"/>
        <v>0</v>
      </c>
      <c r="I123">
        <f>ROUNDUP(MAX($B$1*($B$3+$B$4)+NORMSINV($B$5)*SQRT($B$3+$B$4)*$B$2-K123,0),0)</f>
        <v>0</v>
      </c>
      <c r="K123" s="6">
        <f t="shared" si="10"/>
        <v>1806</v>
      </c>
      <c r="L123">
        <f t="shared" si="11"/>
        <v>1163</v>
      </c>
      <c r="M123">
        <f t="shared" si="12"/>
        <v>0</v>
      </c>
      <c r="N123">
        <f>ROUNDUP(MAX($B$1*($B$3)+NORMSINV($B$5)*SQRT($B$3)*$B$2-P123,0),0)</f>
        <v>0</v>
      </c>
      <c r="P123" s="6">
        <f t="shared" si="13"/>
        <v>1163</v>
      </c>
    </row>
    <row r="124" spans="4:19" x14ac:dyDescent="0.25">
      <c r="D124">
        <v>121</v>
      </c>
      <c r="E124" s="4">
        <v>0</v>
      </c>
      <c r="F124" s="8">
        <f t="shared" si="7"/>
        <v>0</v>
      </c>
      <c r="G124">
        <f t="shared" si="8"/>
        <v>1806</v>
      </c>
      <c r="H124">
        <f t="shared" si="9"/>
        <v>0</v>
      </c>
      <c r="K124" s="6">
        <f t="shared" si="10"/>
        <v>1806</v>
      </c>
      <c r="L124">
        <f t="shared" si="11"/>
        <v>1163</v>
      </c>
      <c r="M124">
        <f t="shared" si="12"/>
        <v>0</v>
      </c>
      <c r="P124" s="6">
        <f t="shared" si="13"/>
        <v>1163</v>
      </c>
    </row>
    <row r="125" spans="4:19" x14ac:dyDescent="0.25">
      <c r="D125">
        <v>122</v>
      </c>
      <c r="E125" s="4">
        <v>0</v>
      </c>
      <c r="F125" s="8">
        <f t="shared" si="7"/>
        <v>0</v>
      </c>
      <c r="G125">
        <f t="shared" si="8"/>
        <v>1806</v>
      </c>
      <c r="H125">
        <f t="shared" si="9"/>
        <v>0</v>
      </c>
      <c r="K125" s="6">
        <f t="shared" si="10"/>
        <v>1806</v>
      </c>
      <c r="L125">
        <f t="shared" si="11"/>
        <v>1163</v>
      </c>
      <c r="M125">
        <f t="shared" si="12"/>
        <v>0</v>
      </c>
      <c r="P125" s="6">
        <f t="shared" si="13"/>
        <v>1163</v>
      </c>
    </row>
    <row r="126" spans="4:19" x14ac:dyDescent="0.25">
      <c r="D126">
        <v>123</v>
      </c>
      <c r="E126" s="4">
        <v>0</v>
      </c>
      <c r="F126" s="8">
        <f t="shared" si="7"/>
        <v>0</v>
      </c>
      <c r="G126">
        <f t="shared" si="8"/>
        <v>1806</v>
      </c>
      <c r="H126">
        <f t="shared" si="9"/>
        <v>0</v>
      </c>
      <c r="K126" s="6">
        <f t="shared" si="10"/>
        <v>1806</v>
      </c>
      <c r="L126">
        <f t="shared" si="11"/>
        <v>1163</v>
      </c>
      <c r="M126">
        <f t="shared" si="12"/>
        <v>0</v>
      </c>
      <c r="P126" s="6">
        <f t="shared" si="13"/>
        <v>1163</v>
      </c>
    </row>
    <row r="127" spans="4:19" x14ac:dyDescent="0.25">
      <c r="D127">
        <v>124</v>
      </c>
      <c r="E127" s="4">
        <v>0</v>
      </c>
      <c r="F127" s="8">
        <f t="shared" si="7"/>
        <v>0</v>
      </c>
      <c r="G127">
        <f t="shared" si="8"/>
        <v>1806</v>
      </c>
      <c r="H127">
        <f t="shared" si="9"/>
        <v>0</v>
      </c>
      <c r="K127" s="6">
        <f t="shared" si="10"/>
        <v>1806</v>
      </c>
      <c r="L127">
        <f t="shared" si="11"/>
        <v>1163</v>
      </c>
      <c r="M127">
        <f t="shared" si="12"/>
        <v>0</v>
      </c>
      <c r="P127" s="6">
        <f t="shared" si="13"/>
        <v>1163</v>
      </c>
    </row>
    <row r="128" spans="4:19" x14ac:dyDescent="0.25">
      <c r="D128">
        <v>125</v>
      </c>
      <c r="E128" s="4">
        <v>0</v>
      </c>
      <c r="F128" s="8">
        <f t="shared" si="7"/>
        <v>0</v>
      </c>
      <c r="G128">
        <f t="shared" si="8"/>
        <v>1806</v>
      </c>
      <c r="H128">
        <f t="shared" si="9"/>
        <v>0</v>
      </c>
      <c r="K128" s="6">
        <f t="shared" si="10"/>
        <v>1806</v>
      </c>
      <c r="L128">
        <f t="shared" si="11"/>
        <v>1163</v>
      </c>
      <c r="M128">
        <f t="shared" si="12"/>
        <v>0</v>
      </c>
      <c r="P128" s="6">
        <f t="shared" si="13"/>
        <v>1163</v>
      </c>
      <c r="R128">
        <f>IF(H128&gt;0,1,0)</f>
        <v>0</v>
      </c>
      <c r="S128">
        <f>IF(M128&gt;0,1,0)</f>
        <v>0</v>
      </c>
    </row>
    <row r="129" spans="4:19" x14ac:dyDescent="0.25">
      <c r="D129">
        <v>126</v>
      </c>
      <c r="E129" s="4">
        <v>0</v>
      </c>
      <c r="F129" s="8">
        <f t="shared" si="7"/>
        <v>0</v>
      </c>
      <c r="G129">
        <f t="shared" si="8"/>
        <v>1806</v>
      </c>
      <c r="H129">
        <f t="shared" si="9"/>
        <v>0</v>
      </c>
      <c r="J129">
        <f>I123</f>
        <v>0</v>
      </c>
      <c r="K129" s="6">
        <f t="shared" si="10"/>
        <v>1806</v>
      </c>
      <c r="L129">
        <f t="shared" si="11"/>
        <v>1163</v>
      </c>
      <c r="M129">
        <f t="shared" si="12"/>
        <v>0</v>
      </c>
      <c r="O129">
        <f>N123</f>
        <v>0</v>
      </c>
      <c r="P129" s="6">
        <f t="shared" si="13"/>
        <v>1163</v>
      </c>
    </row>
    <row r="130" spans="4:19" x14ac:dyDescent="0.25">
      <c r="D130">
        <v>127</v>
      </c>
      <c r="E130" s="4">
        <v>0</v>
      </c>
      <c r="F130" s="8">
        <f t="shared" si="7"/>
        <v>0</v>
      </c>
      <c r="G130">
        <f t="shared" si="8"/>
        <v>1806</v>
      </c>
      <c r="H130">
        <f t="shared" si="9"/>
        <v>0</v>
      </c>
      <c r="K130" s="6">
        <f t="shared" si="10"/>
        <v>1806</v>
      </c>
      <c r="L130">
        <f t="shared" si="11"/>
        <v>1163</v>
      </c>
      <c r="M130">
        <f t="shared" si="12"/>
        <v>0</v>
      </c>
      <c r="P130" s="6">
        <f t="shared" si="13"/>
        <v>1163</v>
      </c>
    </row>
    <row r="131" spans="4:19" x14ac:dyDescent="0.25">
      <c r="D131">
        <v>128</v>
      </c>
      <c r="E131" s="4">
        <v>0</v>
      </c>
      <c r="F131" s="8">
        <f t="shared" si="7"/>
        <v>0</v>
      </c>
      <c r="G131">
        <f t="shared" si="8"/>
        <v>1806</v>
      </c>
      <c r="H131">
        <f t="shared" si="9"/>
        <v>0</v>
      </c>
      <c r="K131" s="6">
        <f t="shared" si="10"/>
        <v>1806</v>
      </c>
      <c r="L131">
        <f t="shared" si="11"/>
        <v>1163</v>
      </c>
      <c r="M131">
        <f t="shared" si="12"/>
        <v>0</v>
      </c>
      <c r="P131" s="6">
        <f t="shared" si="13"/>
        <v>1163</v>
      </c>
    </row>
    <row r="132" spans="4:19" x14ac:dyDescent="0.25">
      <c r="D132">
        <v>129</v>
      </c>
      <c r="E132" s="4">
        <v>0</v>
      </c>
      <c r="F132" s="8">
        <f t="shared" si="7"/>
        <v>0</v>
      </c>
      <c r="G132">
        <f t="shared" si="8"/>
        <v>1806</v>
      </c>
      <c r="H132">
        <f t="shared" si="9"/>
        <v>0</v>
      </c>
      <c r="K132" s="6">
        <f t="shared" si="10"/>
        <v>1806</v>
      </c>
      <c r="L132">
        <f t="shared" si="11"/>
        <v>1163</v>
      </c>
      <c r="M132">
        <f t="shared" si="12"/>
        <v>0</v>
      </c>
      <c r="P132" s="6">
        <f t="shared" si="13"/>
        <v>1163</v>
      </c>
    </row>
    <row r="133" spans="4:19" x14ac:dyDescent="0.25">
      <c r="D133">
        <v>130</v>
      </c>
      <c r="E133" s="4">
        <v>0</v>
      </c>
      <c r="F133" s="8">
        <f t="shared" ref="F133:F196" si="14">ROUND(E133,0)</f>
        <v>0</v>
      </c>
      <c r="G133">
        <f t="shared" ref="G133:G196" si="15">K132</f>
        <v>1806</v>
      </c>
      <c r="H133">
        <f t="shared" ref="H133:H196" si="16">MAX(0,F133-G133-J133)</f>
        <v>0</v>
      </c>
      <c r="I133">
        <f>ROUNDUP(MAX($B$1*($B$3+$B$4)+NORMSINV($B$5)*SQRT($B$3+$B$4)*$B$2-K133,0),0)</f>
        <v>0</v>
      </c>
      <c r="K133" s="6">
        <f t="shared" ref="K133:K196" si="17">MAX(0,G133+J133-F133)</f>
        <v>1806</v>
      </c>
      <c r="L133">
        <f t="shared" ref="L133:L196" si="18">P132</f>
        <v>1163</v>
      </c>
      <c r="M133">
        <f t="shared" ref="M133:M196" si="19">MAX(0,F133-L133-O133)</f>
        <v>0</v>
      </c>
      <c r="N133">
        <f>ROUNDUP(MAX($B$1*($B$3)+NORMSINV($B$5)*SQRT($B$3)*$B$2-P133,0),0)</f>
        <v>0</v>
      </c>
      <c r="P133" s="6">
        <f t="shared" ref="P133:P196" si="20">MAX(0,L133+O133-F133)</f>
        <v>1163</v>
      </c>
    </row>
    <row r="134" spans="4:19" x14ac:dyDescent="0.25">
      <c r="D134">
        <v>131</v>
      </c>
      <c r="E134" s="4">
        <v>0</v>
      </c>
      <c r="F134" s="8">
        <f t="shared" si="14"/>
        <v>0</v>
      </c>
      <c r="G134">
        <f t="shared" si="15"/>
        <v>1806</v>
      </c>
      <c r="H134">
        <f t="shared" si="16"/>
        <v>0</v>
      </c>
      <c r="K134" s="6">
        <f t="shared" si="17"/>
        <v>1806</v>
      </c>
      <c r="L134">
        <f t="shared" si="18"/>
        <v>1163</v>
      </c>
      <c r="M134">
        <f t="shared" si="19"/>
        <v>0</v>
      </c>
      <c r="P134" s="6">
        <f t="shared" si="20"/>
        <v>1163</v>
      </c>
    </row>
    <row r="135" spans="4:19" x14ac:dyDescent="0.25">
      <c r="D135">
        <v>132</v>
      </c>
      <c r="E135" s="4">
        <v>0</v>
      </c>
      <c r="F135" s="8">
        <f t="shared" si="14"/>
        <v>0</v>
      </c>
      <c r="G135">
        <f t="shared" si="15"/>
        <v>1806</v>
      </c>
      <c r="H135">
        <f t="shared" si="16"/>
        <v>0</v>
      </c>
      <c r="K135" s="6">
        <f t="shared" si="17"/>
        <v>1806</v>
      </c>
      <c r="L135">
        <f t="shared" si="18"/>
        <v>1163</v>
      </c>
      <c r="M135">
        <f t="shared" si="19"/>
        <v>0</v>
      </c>
      <c r="P135" s="6">
        <f t="shared" si="20"/>
        <v>1163</v>
      </c>
    </row>
    <row r="136" spans="4:19" x14ac:dyDescent="0.25">
      <c r="D136">
        <v>133</v>
      </c>
      <c r="E136" s="4">
        <v>0</v>
      </c>
      <c r="F136" s="8">
        <f t="shared" si="14"/>
        <v>0</v>
      </c>
      <c r="G136">
        <f t="shared" si="15"/>
        <v>1806</v>
      </c>
      <c r="H136">
        <f t="shared" si="16"/>
        <v>0</v>
      </c>
      <c r="K136" s="6">
        <f t="shared" si="17"/>
        <v>1806</v>
      </c>
      <c r="L136">
        <f t="shared" si="18"/>
        <v>1163</v>
      </c>
      <c r="M136">
        <f t="shared" si="19"/>
        <v>0</v>
      </c>
      <c r="P136" s="6">
        <f t="shared" si="20"/>
        <v>1163</v>
      </c>
    </row>
    <row r="137" spans="4:19" x14ac:dyDescent="0.25">
      <c r="D137">
        <v>134</v>
      </c>
      <c r="E137" s="4">
        <v>0</v>
      </c>
      <c r="F137" s="8">
        <f t="shared" si="14"/>
        <v>0</v>
      </c>
      <c r="G137">
        <f t="shared" si="15"/>
        <v>1806</v>
      </c>
      <c r="H137">
        <f t="shared" si="16"/>
        <v>0</v>
      </c>
      <c r="K137" s="6">
        <f t="shared" si="17"/>
        <v>1806</v>
      </c>
      <c r="L137">
        <f t="shared" si="18"/>
        <v>1163</v>
      </c>
      <c r="M137">
        <f t="shared" si="19"/>
        <v>0</v>
      </c>
      <c r="P137" s="6">
        <f t="shared" si="20"/>
        <v>1163</v>
      </c>
    </row>
    <row r="138" spans="4:19" x14ac:dyDescent="0.25">
      <c r="D138">
        <v>135</v>
      </c>
      <c r="E138" s="4">
        <v>0</v>
      </c>
      <c r="F138" s="8">
        <f t="shared" si="14"/>
        <v>0</v>
      </c>
      <c r="G138">
        <f t="shared" si="15"/>
        <v>1806</v>
      </c>
      <c r="H138">
        <f t="shared" si="16"/>
        <v>0</v>
      </c>
      <c r="K138" s="6">
        <f t="shared" si="17"/>
        <v>1806</v>
      </c>
      <c r="L138">
        <f t="shared" si="18"/>
        <v>1163</v>
      </c>
      <c r="M138">
        <f t="shared" si="19"/>
        <v>0</v>
      </c>
      <c r="P138" s="6">
        <f t="shared" si="20"/>
        <v>1163</v>
      </c>
      <c r="R138">
        <f>IF(H138&gt;0,1,0)</f>
        <v>0</v>
      </c>
      <c r="S138">
        <f>IF(M138&gt;0,1,0)</f>
        <v>0</v>
      </c>
    </row>
    <row r="139" spans="4:19" x14ac:dyDescent="0.25">
      <c r="D139">
        <v>136</v>
      </c>
      <c r="E139" s="4">
        <v>0</v>
      </c>
      <c r="F139" s="8">
        <f t="shared" si="14"/>
        <v>0</v>
      </c>
      <c r="G139">
        <f t="shared" si="15"/>
        <v>1806</v>
      </c>
      <c r="H139">
        <f t="shared" si="16"/>
        <v>0</v>
      </c>
      <c r="J139">
        <f>I133</f>
        <v>0</v>
      </c>
      <c r="K139" s="6">
        <f t="shared" si="17"/>
        <v>1806</v>
      </c>
      <c r="L139">
        <f t="shared" si="18"/>
        <v>1163</v>
      </c>
      <c r="M139">
        <f t="shared" si="19"/>
        <v>0</v>
      </c>
      <c r="O139">
        <f>N133</f>
        <v>0</v>
      </c>
      <c r="P139" s="6">
        <f t="shared" si="20"/>
        <v>1163</v>
      </c>
    </row>
    <row r="140" spans="4:19" x14ac:dyDescent="0.25">
      <c r="D140">
        <v>137</v>
      </c>
      <c r="E140" s="4">
        <v>0</v>
      </c>
      <c r="F140" s="8">
        <f t="shared" si="14"/>
        <v>0</v>
      </c>
      <c r="G140">
        <f t="shared" si="15"/>
        <v>1806</v>
      </c>
      <c r="H140">
        <f t="shared" si="16"/>
        <v>0</v>
      </c>
      <c r="K140" s="6">
        <f t="shared" si="17"/>
        <v>1806</v>
      </c>
      <c r="L140">
        <f t="shared" si="18"/>
        <v>1163</v>
      </c>
      <c r="M140">
        <f t="shared" si="19"/>
        <v>0</v>
      </c>
      <c r="P140" s="6">
        <f t="shared" si="20"/>
        <v>1163</v>
      </c>
    </row>
    <row r="141" spans="4:19" x14ac:dyDescent="0.25">
      <c r="D141">
        <v>138</v>
      </c>
      <c r="E141" s="4">
        <v>0</v>
      </c>
      <c r="F141" s="8">
        <f t="shared" si="14"/>
        <v>0</v>
      </c>
      <c r="G141">
        <f t="shared" si="15"/>
        <v>1806</v>
      </c>
      <c r="H141">
        <f t="shared" si="16"/>
        <v>0</v>
      </c>
      <c r="K141" s="6">
        <f t="shared" si="17"/>
        <v>1806</v>
      </c>
      <c r="L141">
        <f t="shared" si="18"/>
        <v>1163</v>
      </c>
      <c r="M141">
        <f t="shared" si="19"/>
        <v>0</v>
      </c>
      <c r="P141" s="6">
        <f t="shared" si="20"/>
        <v>1163</v>
      </c>
    </row>
    <row r="142" spans="4:19" x14ac:dyDescent="0.25">
      <c r="D142">
        <v>139</v>
      </c>
      <c r="E142" s="4">
        <v>0</v>
      </c>
      <c r="F142" s="8">
        <f t="shared" si="14"/>
        <v>0</v>
      </c>
      <c r="G142">
        <f t="shared" si="15"/>
        <v>1806</v>
      </c>
      <c r="H142">
        <f t="shared" si="16"/>
        <v>0</v>
      </c>
      <c r="K142" s="6">
        <f t="shared" si="17"/>
        <v>1806</v>
      </c>
      <c r="L142">
        <f t="shared" si="18"/>
        <v>1163</v>
      </c>
      <c r="M142">
        <f t="shared" si="19"/>
        <v>0</v>
      </c>
      <c r="P142" s="6">
        <f t="shared" si="20"/>
        <v>1163</v>
      </c>
    </row>
    <row r="143" spans="4:19" x14ac:dyDescent="0.25">
      <c r="D143">
        <v>140</v>
      </c>
      <c r="E143" s="4">
        <v>0</v>
      </c>
      <c r="F143" s="8">
        <f t="shared" si="14"/>
        <v>0</v>
      </c>
      <c r="G143">
        <f t="shared" si="15"/>
        <v>1806</v>
      </c>
      <c r="H143">
        <f t="shared" si="16"/>
        <v>0</v>
      </c>
      <c r="I143">
        <f>ROUNDUP(MAX($B$1*($B$3+$B$4)+NORMSINV($B$5)*SQRT($B$3+$B$4)*$B$2-K143,0),0)</f>
        <v>0</v>
      </c>
      <c r="K143" s="6">
        <f t="shared" si="17"/>
        <v>1806</v>
      </c>
      <c r="L143">
        <f t="shared" si="18"/>
        <v>1163</v>
      </c>
      <c r="M143">
        <f t="shared" si="19"/>
        <v>0</v>
      </c>
      <c r="N143">
        <f>ROUNDUP(MAX($B$1*($B$3)+NORMSINV($B$5)*SQRT($B$3)*$B$2-P143,0),0)</f>
        <v>0</v>
      </c>
      <c r="P143" s="6">
        <f t="shared" si="20"/>
        <v>1163</v>
      </c>
    </row>
    <row r="144" spans="4:19" x14ac:dyDescent="0.25">
      <c r="D144">
        <v>141</v>
      </c>
      <c r="E144" s="4">
        <v>0</v>
      </c>
      <c r="F144" s="8">
        <f t="shared" si="14"/>
        <v>0</v>
      </c>
      <c r="G144">
        <f t="shared" si="15"/>
        <v>1806</v>
      </c>
      <c r="H144">
        <f t="shared" si="16"/>
        <v>0</v>
      </c>
      <c r="K144" s="6">
        <f t="shared" si="17"/>
        <v>1806</v>
      </c>
      <c r="L144">
        <f t="shared" si="18"/>
        <v>1163</v>
      </c>
      <c r="M144">
        <f t="shared" si="19"/>
        <v>0</v>
      </c>
      <c r="P144" s="6">
        <f t="shared" si="20"/>
        <v>1163</v>
      </c>
    </row>
    <row r="145" spans="4:19" x14ac:dyDescent="0.25">
      <c r="D145">
        <v>142</v>
      </c>
      <c r="E145" s="4">
        <v>0</v>
      </c>
      <c r="F145" s="8">
        <f t="shared" si="14"/>
        <v>0</v>
      </c>
      <c r="G145">
        <f t="shared" si="15"/>
        <v>1806</v>
      </c>
      <c r="H145">
        <f t="shared" si="16"/>
        <v>0</v>
      </c>
      <c r="K145" s="6">
        <f t="shared" si="17"/>
        <v>1806</v>
      </c>
      <c r="L145">
        <f t="shared" si="18"/>
        <v>1163</v>
      </c>
      <c r="M145">
        <f t="shared" si="19"/>
        <v>0</v>
      </c>
      <c r="P145" s="6">
        <f t="shared" si="20"/>
        <v>1163</v>
      </c>
    </row>
    <row r="146" spans="4:19" x14ac:dyDescent="0.25">
      <c r="D146">
        <v>143</v>
      </c>
      <c r="E146" s="4">
        <v>0</v>
      </c>
      <c r="F146" s="8">
        <f t="shared" si="14"/>
        <v>0</v>
      </c>
      <c r="G146">
        <f t="shared" si="15"/>
        <v>1806</v>
      </c>
      <c r="H146">
        <f t="shared" si="16"/>
        <v>0</v>
      </c>
      <c r="K146" s="6">
        <f t="shared" si="17"/>
        <v>1806</v>
      </c>
      <c r="L146">
        <f t="shared" si="18"/>
        <v>1163</v>
      </c>
      <c r="M146">
        <f t="shared" si="19"/>
        <v>0</v>
      </c>
      <c r="P146" s="6">
        <f t="shared" si="20"/>
        <v>1163</v>
      </c>
    </row>
    <row r="147" spans="4:19" x14ac:dyDescent="0.25">
      <c r="D147">
        <v>144</v>
      </c>
      <c r="E147" s="4">
        <v>0</v>
      </c>
      <c r="F147" s="8">
        <f t="shared" si="14"/>
        <v>0</v>
      </c>
      <c r="G147">
        <f t="shared" si="15"/>
        <v>1806</v>
      </c>
      <c r="H147">
        <f t="shared" si="16"/>
        <v>0</v>
      </c>
      <c r="K147" s="6">
        <f t="shared" si="17"/>
        <v>1806</v>
      </c>
      <c r="L147">
        <f t="shared" si="18"/>
        <v>1163</v>
      </c>
      <c r="M147">
        <f t="shared" si="19"/>
        <v>0</v>
      </c>
      <c r="P147" s="6">
        <f t="shared" si="20"/>
        <v>1163</v>
      </c>
    </row>
    <row r="148" spans="4:19" x14ac:dyDescent="0.25">
      <c r="D148">
        <v>145</v>
      </c>
      <c r="E148" s="4">
        <v>0</v>
      </c>
      <c r="F148" s="8">
        <f t="shared" si="14"/>
        <v>0</v>
      </c>
      <c r="G148">
        <f t="shared" si="15"/>
        <v>1806</v>
      </c>
      <c r="H148">
        <f t="shared" si="16"/>
        <v>0</v>
      </c>
      <c r="K148" s="6">
        <f t="shared" si="17"/>
        <v>1806</v>
      </c>
      <c r="L148">
        <f t="shared" si="18"/>
        <v>1163</v>
      </c>
      <c r="M148">
        <f t="shared" si="19"/>
        <v>0</v>
      </c>
      <c r="P148" s="6">
        <f t="shared" si="20"/>
        <v>1163</v>
      </c>
      <c r="R148">
        <f>IF(H148&gt;0,1,0)</f>
        <v>0</v>
      </c>
      <c r="S148">
        <f>IF(M148&gt;0,1,0)</f>
        <v>0</v>
      </c>
    </row>
    <row r="149" spans="4:19" x14ac:dyDescent="0.25">
      <c r="D149">
        <v>146</v>
      </c>
      <c r="E149" s="4">
        <v>0</v>
      </c>
      <c r="F149" s="8">
        <f t="shared" si="14"/>
        <v>0</v>
      </c>
      <c r="G149">
        <f t="shared" si="15"/>
        <v>1806</v>
      </c>
      <c r="H149">
        <f t="shared" si="16"/>
        <v>0</v>
      </c>
      <c r="J149">
        <f>I143</f>
        <v>0</v>
      </c>
      <c r="K149" s="6">
        <f t="shared" si="17"/>
        <v>1806</v>
      </c>
      <c r="L149">
        <f t="shared" si="18"/>
        <v>1163</v>
      </c>
      <c r="M149">
        <f t="shared" si="19"/>
        <v>0</v>
      </c>
      <c r="O149">
        <f>N143</f>
        <v>0</v>
      </c>
      <c r="P149" s="6">
        <f t="shared" si="20"/>
        <v>1163</v>
      </c>
    </row>
    <row r="150" spans="4:19" x14ac:dyDescent="0.25">
      <c r="D150">
        <v>147</v>
      </c>
      <c r="E150" s="4">
        <v>0</v>
      </c>
      <c r="F150" s="8">
        <f t="shared" si="14"/>
        <v>0</v>
      </c>
      <c r="G150">
        <f t="shared" si="15"/>
        <v>1806</v>
      </c>
      <c r="H150">
        <f t="shared" si="16"/>
        <v>0</v>
      </c>
      <c r="K150" s="6">
        <f t="shared" si="17"/>
        <v>1806</v>
      </c>
      <c r="L150">
        <f t="shared" si="18"/>
        <v>1163</v>
      </c>
      <c r="M150">
        <f t="shared" si="19"/>
        <v>0</v>
      </c>
      <c r="P150" s="6">
        <f t="shared" si="20"/>
        <v>1163</v>
      </c>
    </row>
    <row r="151" spans="4:19" x14ac:dyDescent="0.25">
      <c r="D151">
        <v>148</v>
      </c>
      <c r="E151" s="4">
        <v>0</v>
      </c>
      <c r="F151" s="8">
        <f t="shared" si="14"/>
        <v>0</v>
      </c>
      <c r="G151">
        <f t="shared" si="15"/>
        <v>1806</v>
      </c>
      <c r="H151">
        <f t="shared" si="16"/>
        <v>0</v>
      </c>
      <c r="K151" s="6">
        <f t="shared" si="17"/>
        <v>1806</v>
      </c>
      <c r="L151">
        <f t="shared" si="18"/>
        <v>1163</v>
      </c>
      <c r="M151">
        <f t="shared" si="19"/>
        <v>0</v>
      </c>
      <c r="P151" s="6">
        <f t="shared" si="20"/>
        <v>1163</v>
      </c>
    </row>
    <row r="152" spans="4:19" x14ac:dyDescent="0.25">
      <c r="D152">
        <v>149</v>
      </c>
      <c r="E152" s="4">
        <v>0</v>
      </c>
      <c r="F152" s="8">
        <f t="shared" si="14"/>
        <v>0</v>
      </c>
      <c r="G152">
        <f t="shared" si="15"/>
        <v>1806</v>
      </c>
      <c r="H152">
        <f t="shared" si="16"/>
        <v>0</v>
      </c>
      <c r="K152" s="6">
        <f t="shared" si="17"/>
        <v>1806</v>
      </c>
      <c r="L152">
        <f t="shared" si="18"/>
        <v>1163</v>
      </c>
      <c r="M152">
        <f t="shared" si="19"/>
        <v>0</v>
      </c>
      <c r="P152" s="6">
        <f t="shared" si="20"/>
        <v>1163</v>
      </c>
    </row>
    <row r="153" spans="4:19" x14ac:dyDescent="0.25">
      <c r="D153">
        <v>150</v>
      </c>
      <c r="E153" s="4">
        <v>0</v>
      </c>
      <c r="F153" s="8">
        <f t="shared" si="14"/>
        <v>0</v>
      </c>
      <c r="G153">
        <f t="shared" si="15"/>
        <v>1806</v>
      </c>
      <c r="H153">
        <f t="shared" si="16"/>
        <v>0</v>
      </c>
      <c r="I153">
        <f>ROUNDUP(MAX($B$1*($B$3+$B$4)+NORMSINV($B$5)*SQRT($B$3+$B$4)*$B$2-K153,0),0)</f>
        <v>0</v>
      </c>
      <c r="K153" s="6">
        <f t="shared" si="17"/>
        <v>1806</v>
      </c>
      <c r="L153">
        <f t="shared" si="18"/>
        <v>1163</v>
      </c>
      <c r="M153">
        <f t="shared" si="19"/>
        <v>0</v>
      </c>
      <c r="N153">
        <f>ROUNDUP(MAX($B$1*($B$3)+NORMSINV($B$5)*SQRT($B$3)*$B$2-P153,0),0)</f>
        <v>0</v>
      </c>
      <c r="P153" s="6">
        <f t="shared" si="20"/>
        <v>1163</v>
      </c>
    </row>
    <row r="154" spans="4:19" x14ac:dyDescent="0.25">
      <c r="D154">
        <v>151</v>
      </c>
      <c r="E154" s="4">
        <v>0</v>
      </c>
      <c r="F154" s="8">
        <f t="shared" si="14"/>
        <v>0</v>
      </c>
      <c r="G154">
        <f t="shared" si="15"/>
        <v>1806</v>
      </c>
      <c r="H154">
        <f t="shared" si="16"/>
        <v>0</v>
      </c>
      <c r="K154" s="6">
        <f t="shared" si="17"/>
        <v>1806</v>
      </c>
      <c r="L154">
        <f t="shared" si="18"/>
        <v>1163</v>
      </c>
      <c r="M154">
        <f t="shared" si="19"/>
        <v>0</v>
      </c>
      <c r="P154" s="6">
        <f t="shared" si="20"/>
        <v>1163</v>
      </c>
    </row>
    <row r="155" spans="4:19" x14ac:dyDescent="0.25">
      <c r="D155">
        <v>152</v>
      </c>
      <c r="E155" s="4">
        <v>0</v>
      </c>
      <c r="F155" s="8">
        <f t="shared" si="14"/>
        <v>0</v>
      </c>
      <c r="G155">
        <f t="shared" si="15"/>
        <v>1806</v>
      </c>
      <c r="H155">
        <f t="shared" si="16"/>
        <v>0</v>
      </c>
      <c r="K155" s="6">
        <f t="shared" si="17"/>
        <v>1806</v>
      </c>
      <c r="L155">
        <f t="shared" si="18"/>
        <v>1163</v>
      </c>
      <c r="M155">
        <f t="shared" si="19"/>
        <v>0</v>
      </c>
      <c r="P155" s="6">
        <f t="shared" si="20"/>
        <v>1163</v>
      </c>
    </row>
    <row r="156" spans="4:19" x14ac:dyDescent="0.25">
      <c r="D156">
        <v>153</v>
      </c>
      <c r="E156" s="4">
        <v>0</v>
      </c>
      <c r="F156" s="8">
        <f t="shared" si="14"/>
        <v>0</v>
      </c>
      <c r="G156">
        <f t="shared" si="15"/>
        <v>1806</v>
      </c>
      <c r="H156">
        <f t="shared" si="16"/>
        <v>0</v>
      </c>
      <c r="K156" s="6">
        <f t="shared" si="17"/>
        <v>1806</v>
      </c>
      <c r="L156">
        <f t="shared" si="18"/>
        <v>1163</v>
      </c>
      <c r="M156">
        <f t="shared" si="19"/>
        <v>0</v>
      </c>
      <c r="P156" s="6">
        <f t="shared" si="20"/>
        <v>1163</v>
      </c>
    </row>
    <row r="157" spans="4:19" x14ac:dyDescent="0.25">
      <c r="D157">
        <v>154</v>
      </c>
      <c r="E157" s="4">
        <v>0</v>
      </c>
      <c r="F157" s="8">
        <f t="shared" si="14"/>
        <v>0</v>
      </c>
      <c r="G157">
        <f t="shared" si="15"/>
        <v>1806</v>
      </c>
      <c r="H157">
        <f t="shared" si="16"/>
        <v>0</v>
      </c>
      <c r="K157" s="6">
        <f t="shared" si="17"/>
        <v>1806</v>
      </c>
      <c r="L157">
        <f t="shared" si="18"/>
        <v>1163</v>
      </c>
      <c r="M157">
        <f t="shared" si="19"/>
        <v>0</v>
      </c>
      <c r="P157" s="6">
        <f t="shared" si="20"/>
        <v>1163</v>
      </c>
    </row>
    <row r="158" spans="4:19" x14ac:dyDescent="0.25">
      <c r="D158">
        <v>155</v>
      </c>
      <c r="E158" s="4">
        <v>0</v>
      </c>
      <c r="F158" s="8">
        <f t="shared" si="14"/>
        <v>0</v>
      </c>
      <c r="G158">
        <f t="shared" si="15"/>
        <v>1806</v>
      </c>
      <c r="H158">
        <f t="shared" si="16"/>
        <v>0</v>
      </c>
      <c r="K158" s="6">
        <f t="shared" si="17"/>
        <v>1806</v>
      </c>
      <c r="L158">
        <f t="shared" si="18"/>
        <v>1163</v>
      </c>
      <c r="M158">
        <f t="shared" si="19"/>
        <v>0</v>
      </c>
      <c r="P158" s="6">
        <f t="shared" si="20"/>
        <v>1163</v>
      </c>
      <c r="R158">
        <f>IF(H158&gt;0,1,0)</f>
        <v>0</v>
      </c>
      <c r="S158">
        <f>IF(M158&gt;0,1,0)</f>
        <v>0</v>
      </c>
    </row>
    <row r="159" spans="4:19" x14ac:dyDescent="0.25">
      <c r="D159">
        <v>156</v>
      </c>
      <c r="E159" s="4">
        <v>0</v>
      </c>
      <c r="F159" s="8">
        <f t="shared" si="14"/>
        <v>0</v>
      </c>
      <c r="G159">
        <f t="shared" si="15"/>
        <v>1806</v>
      </c>
      <c r="H159">
        <f t="shared" si="16"/>
        <v>0</v>
      </c>
      <c r="J159">
        <f>I153</f>
        <v>0</v>
      </c>
      <c r="K159" s="6">
        <f t="shared" si="17"/>
        <v>1806</v>
      </c>
      <c r="L159">
        <f t="shared" si="18"/>
        <v>1163</v>
      </c>
      <c r="M159">
        <f t="shared" si="19"/>
        <v>0</v>
      </c>
      <c r="O159">
        <f>N153</f>
        <v>0</v>
      </c>
      <c r="P159" s="6">
        <f t="shared" si="20"/>
        <v>1163</v>
      </c>
    </row>
    <row r="160" spans="4:19" x14ac:dyDescent="0.25">
      <c r="D160">
        <v>157</v>
      </c>
      <c r="E160" s="4">
        <v>0</v>
      </c>
      <c r="F160" s="8">
        <f t="shared" si="14"/>
        <v>0</v>
      </c>
      <c r="G160">
        <f t="shared" si="15"/>
        <v>1806</v>
      </c>
      <c r="H160">
        <f t="shared" si="16"/>
        <v>0</v>
      </c>
      <c r="K160" s="6">
        <f t="shared" si="17"/>
        <v>1806</v>
      </c>
      <c r="L160">
        <f t="shared" si="18"/>
        <v>1163</v>
      </c>
      <c r="M160">
        <f t="shared" si="19"/>
        <v>0</v>
      </c>
      <c r="P160" s="6">
        <f t="shared" si="20"/>
        <v>1163</v>
      </c>
    </row>
    <row r="161" spans="4:19" x14ac:dyDescent="0.25">
      <c r="D161">
        <v>158</v>
      </c>
      <c r="E161" s="4">
        <v>0</v>
      </c>
      <c r="F161" s="8">
        <f t="shared" si="14"/>
        <v>0</v>
      </c>
      <c r="G161">
        <f t="shared" si="15"/>
        <v>1806</v>
      </c>
      <c r="H161">
        <f t="shared" si="16"/>
        <v>0</v>
      </c>
      <c r="K161" s="6">
        <f t="shared" si="17"/>
        <v>1806</v>
      </c>
      <c r="L161">
        <f t="shared" si="18"/>
        <v>1163</v>
      </c>
      <c r="M161">
        <f t="shared" si="19"/>
        <v>0</v>
      </c>
      <c r="P161" s="6">
        <f t="shared" si="20"/>
        <v>1163</v>
      </c>
    </row>
    <row r="162" spans="4:19" x14ac:dyDescent="0.25">
      <c r="D162">
        <v>159</v>
      </c>
      <c r="E162" s="4">
        <v>0</v>
      </c>
      <c r="F162" s="8">
        <f t="shared" si="14"/>
        <v>0</v>
      </c>
      <c r="G162">
        <f t="shared" si="15"/>
        <v>1806</v>
      </c>
      <c r="H162">
        <f t="shared" si="16"/>
        <v>0</v>
      </c>
      <c r="K162" s="6">
        <f t="shared" si="17"/>
        <v>1806</v>
      </c>
      <c r="L162">
        <f t="shared" si="18"/>
        <v>1163</v>
      </c>
      <c r="M162">
        <f t="shared" si="19"/>
        <v>0</v>
      </c>
      <c r="P162" s="6">
        <f t="shared" si="20"/>
        <v>1163</v>
      </c>
    </row>
    <row r="163" spans="4:19" x14ac:dyDescent="0.25">
      <c r="D163">
        <v>160</v>
      </c>
      <c r="E163" s="4">
        <v>0</v>
      </c>
      <c r="F163" s="8">
        <f t="shared" si="14"/>
        <v>0</v>
      </c>
      <c r="G163">
        <f t="shared" si="15"/>
        <v>1806</v>
      </c>
      <c r="H163">
        <f t="shared" si="16"/>
        <v>0</v>
      </c>
      <c r="I163">
        <f>ROUNDUP(MAX($B$1*($B$3+$B$4)+NORMSINV($B$5)*SQRT($B$3+$B$4)*$B$2-K163,0),0)</f>
        <v>0</v>
      </c>
      <c r="K163" s="6">
        <f t="shared" si="17"/>
        <v>1806</v>
      </c>
      <c r="L163">
        <f t="shared" si="18"/>
        <v>1163</v>
      </c>
      <c r="M163">
        <f t="shared" si="19"/>
        <v>0</v>
      </c>
      <c r="N163">
        <f>ROUNDUP(MAX($B$1*($B$3)+NORMSINV($B$5)*SQRT($B$3)*$B$2-P163,0),0)</f>
        <v>0</v>
      </c>
      <c r="P163" s="6">
        <f t="shared" si="20"/>
        <v>1163</v>
      </c>
    </row>
    <row r="164" spans="4:19" x14ac:dyDescent="0.25">
      <c r="D164">
        <v>161</v>
      </c>
      <c r="E164" s="4">
        <v>0</v>
      </c>
      <c r="F164" s="8">
        <f t="shared" si="14"/>
        <v>0</v>
      </c>
      <c r="G164">
        <f t="shared" si="15"/>
        <v>1806</v>
      </c>
      <c r="H164">
        <f t="shared" si="16"/>
        <v>0</v>
      </c>
      <c r="K164" s="6">
        <f t="shared" si="17"/>
        <v>1806</v>
      </c>
      <c r="L164">
        <f t="shared" si="18"/>
        <v>1163</v>
      </c>
      <c r="M164">
        <f t="shared" si="19"/>
        <v>0</v>
      </c>
      <c r="P164" s="6">
        <f t="shared" si="20"/>
        <v>1163</v>
      </c>
    </row>
    <row r="165" spans="4:19" x14ac:dyDescent="0.25">
      <c r="D165">
        <v>162</v>
      </c>
      <c r="E165" s="4">
        <v>0</v>
      </c>
      <c r="F165" s="8">
        <f t="shared" si="14"/>
        <v>0</v>
      </c>
      <c r="G165">
        <f t="shared" si="15"/>
        <v>1806</v>
      </c>
      <c r="H165">
        <f t="shared" si="16"/>
        <v>0</v>
      </c>
      <c r="K165" s="6">
        <f t="shared" si="17"/>
        <v>1806</v>
      </c>
      <c r="L165">
        <f t="shared" si="18"/>
        <v>1163</v>
      </c>
      <c r="M165">
        <f t="shared" si="19"/>
        <v>0</v>
      </c>
      <c r="P165" s="6">
        <f t="shared" si="20"/>
        <v>1163</v>
      </c>
    </row>
    <row r="166" spans="4:19" x14ac:dyDescent="0.25">
      <c r="D166">
        <v>163</v>
      </c>
      <c r="E166" s="4">
        <v>0</v>
      </c>
      <c r="F166" s="8">
        <f t="shared" si="14"/>
        <v>0</v>
      </c>
      <c r="G166">
        <f t="shared" si="15"/>
        <v>1806</v>
      </c>
      <c r="H166">
        <f t="shared" si="16"/>
        <v>0</v>
      </c>
      <c r="K166" s="6">
        <f t="shared" si="17"/>
        <v>1806</v>
      </c>
      <c r="L166">
        <f t="shared" si="18"/>
        <v>1163</v>
      </c>
      <c r="M166">
        <f t="shared" si="19"/>
        <v>0</v>
      </c>
      <c r="P166" s="6">
        <f t="shared" si="20"/>
        <v>1163</v>
      </c>
    </row>
    <row r="167" spans="4:19" x14ac:dyDescent="0.25">
      <c r="D167">
        <v>164</v>
      </c>
      <c r="E167" s="4">
        <v>0</v>
      </c>
      <c r="F167" s="8">
        <f t="shared" si="14"/>
        <v>0</v>
      </c>
      <c r="G167">
        <f t="shared" si="15"/>
        <v>1806</v>
      </c>
      <c r="H167">
        <f t="shared" si="16"/>
        <v>0</v>
      </c>
      <c r="K167" s="6">
        <f t="shared" si="17"/>
        <v>1806</v>
      </c>
      <c r="L167">
        <f t="shared" si="18"/>
        <v>1163</v>
      </c>
      <c r="M167">
        <f t="shared" si="19"/>
        <v>0</v>
      </c>
      <c r="P167" s="6">
        <f t="shared" si="20"/>
        <v>1163</v>
      </c>
    </row>
    <row r="168" spans="4:19" x14ac:dyDescent="0.25">
      <c r="D168">
        <v>165</v>
      </c>
      <c r="E168" s="4">
        <v>0</v>
      </c>
      <c r="F168" s="8">
        <f t="shared" si="14"/>
        <v>0</v>
      </c>
      <c r="G168">
        <f t="shared" si="15"/>
        <v>1806</v>
      </c>
      <c r="H168">
        <f t="shared" si="16"/>
        <v>0</v>
      </c>
      <c r="K168" s="6">
        <f t="shared" si="17"/>
        <v>1806</v>
      </c>
      <c r="L168">
        <f t="shared" si="18"/>
        <v>1163</v>
      </c>
      <c r="M168">
        <f t="shared" si="19"/>
        <v>0</v>
      </c>
      <c r="P168" s="6">
        <f t="shared" si="20"/>
        <v>1163</v>
      </c>
      <c r="R168">
        <f>IF(H168&gt;0,1,0)</f>
        <v>0</v>
      </c>
      <c r="S168">
        <f>IF(M168&gt;0,1,0)</f>
        <v>0</v>
      </c>
    </row>
    <row r="169" spans="4:19" x14ac:dyDescent="0.25">
      <c r="D169">
        <v>166</v>
      </c>
      <c r="E169" s="4">
        <v>0</v>
      </c>
      <c r="F169" s="8">
        <f t="shared" si="14"/>
        <v>0</v>
      </c>
      <c r="G169">
        <f t="shared" si="15"/>
        <v>1806</v>
      </c>
      <c r="H169">
        <f t="shared" si="16"/>
        <v>0</v>
      </c>
      <c r="J169">
        <f>I163</f>
        <v>0</v>
      </c>
      <c r="K169" s="6">
        <f t="shared" si="17"/>
        <v>1806</v>
      </c>
      <c r="L169">
        <f t="shared" si="18"/>
        <v>1163</v>
      </c>
      <c r="M169">
        <f t="shared" si="19"/>
        <v>0</v>
      </c>
      <c r="O169">
        <f>N163</f>
        <v>0</v>
      </c>
      <c r="P169" s="6">
        <f t="shared" si="20"/>
        <v>1163</v>
      </c>
    </row>
    <row r="170" spans="4:19" x14ac:dyDescent="0.25">
      <c r="D170">
        <v>167</v>
      </c>
      <c r="E170" s="4">
        <v>0</v>
      </c>
      <c r="F170" s="8">
        <f t="shared" si="14"/>
        <v>0</v>
      </c>
      <c r="G170">
        <f t="shared" si="15"/>
        <v>1806</v>
      </c>
      <c r="H170">
        <f t="shared" si="16"/>
        <v>0</v>
      </c>
      <c r="K170" s="6">
        <f t="shared" si="17"/>
        <v>1806</v>
      </c>
      <c r="L170">
        <f t="shared" si="18"/>
        <v>1163</v>
      </c>
      <c r="M170">
        <f t="shared" si="19"/>
        <v>0</v>
      </c>
      <c r="P170" s="6">
        <f t="shared" si="20"/>
        <v>1163</v>
      </c>
    </row>
    <row r="171" spans="4:19" x14ac:dyDescent="0.25">
      <c r="D171">
        <v>168</v>
      </c>
      <c r="E171" s="4">
        <v>0</v>
      </c>
      <c r="F171" s="8">
        <f t="shared" si="14"/>
        <v>0</v>
      </c>
      <c r="G171">
        <f t="shared" si="15"/>
        <v>1806</v>
      </c>
      <c r="H171">
        <f t="shared" si="16"/>
        <v>0</v>
      </c>
      <c r="K171" s="6">
        <f t="shared" si="17"/>
        <v>1806</v>
      </c>
      <c r="L171">
        <f t="shared" si="18"/>
        <v>1163</v>
      </c>
      <c r="M171">
        <f t="shared" si="19"/>
        <v>0</v>
      </c>
      <c r="P171" s="6">
        <f t="shared" si="20"/>
        <v>1163</v>
      </c>
    </row>
    <row r="172" spans="4:19" x14ac:dyDescent="0.25">
      <c r="D172">
        <v>169</v>
      </c>
      <c r="E172" s="4">
        <v>0</v>
      </c>
      <c r="F172" s="8">
        <f t="shared" si="14"/>
        <v>0</v>
      </c>
      <c r="G172">
        <f t="shared" si="15"/>
        <v>1806</v>
      </c>
      <c r="H172">
        <f t="shared" si="16"/>
        <v>0</v>
      </c>
      <c r="K172" s="6">
        <f t="shared" si="17"/>
        <v>1806</v>
      </c>
      <c r="L172">
        <f t="shared" si="18"/>
        <v>1163</v>
      </c>
      <c r="M172">
        <f t="shared" si="19"/>
        <v>0</v>
      </c>
      <c r="P172" s="6">
        <f t="shared" si="20"/>
        <v>1163</v>
      </c>
    </row>
    <row r="173" spans="4:19" x14ac:dyDescent="0.25">
      <c r="D173">
        <v>170</v>
      </c>
      <c r="E173" s="4">
        <v>0</v>
      </c>
      <c r="F173" s="8">
        <f t="shared" si="14"/>
        <v>0</v>
      </c>
      <c r="G173">
        <f t="shared" si="15"/>
        <v>1806</v>
      </c>
      <c r="H173">
        <f t="shared" si="16"/>
        <v>0</v>
      </c>
      <c r="I173">
        <f>ROUNDUP(MAX($B$1*($B$3+$B$4)+NORMSINV($B$5)*SQRT($B$3+$B$4)*$B$2-K173,0),0)</f>
        <v>0</v>
      </c>
      <c r="K173" s="6">
        <f t="shared" si="17"/>
        <v>1806</v>
      </c>
      <c r="L173">
        <f t="shared" si="18"/>
        <v>1163</v>
      </c>
      <c r="M173">
        <f t="shared" si="19"/>
        <v>0</v>
      </c>
      <c r="N173">
        <f>ROUNDUP(MAX($B$1*($B$3)+NORMSINV($B$5)*SQRT($B$3)*$B$2-P173,0),0)</f>
        <v>0</v>
      </c>
      <c r="P173" s="6">
        <f t="shared" si="20"/>
        <v>1163</v>
      </c>
    </row>
    <row r="174" spans="4:19" x14ac:dyDescent="0.25">
      <c r="D174">
        <v>171</v>
      </c>
      <c r="E174" s="4">
        <v>0</v>
      </c>
      <c r="F174" s="8">
        <f t="shared" si="14"/>
        <v>0</v>
      </c>
      <c r="G174">
        <f t="shared" si="15"/>
        <v>1806</v>
      </c>
      <c r="H174">
        <f t="shared" si="16"/>
        <v>0</v>
      </c>
      <c r="K174" s="6">
        <f t="shared" si="17"/>
        <v>1806</v>
      </c>
      <c r="L174">
        <f t="shared" si="18"/>
        <v>1163</v>
      </c>
      <c r="M174">
        <f t="shared" si="19"/>
        <v>0</v>
      </c>
      <c r="P174" s="6">
        <f t="shared" si="20"/>
        <v>1163</v>
      </c>
    </row>
    <row r="175" spans="4:19" x14ac:dyDescent="0.25">
      <c r="D175">
        <v>172</v>
      </c>
      <c r="E175" s="4">
        <v>0</v>
      </c>
      <c r="F175" s="8">
        <f t="shared" si="14"/>
        <v>0</v>
      </c>
      <c r="G175">
        <f t="shared" si="15"/>
        <v>1806</v>
      </c>
      <c r="H175">
        <f t="shared" si="16"/>
        <v>0</v>
      </c>
      <c r="K175" s="6">
        <f t="shared" si="17"/>
        <v>1806</v>
      </c>
      <c r="L175">
        <f t="shared" si="18"/>
        <v>1163</v>
      </c>
      <c r="M175">
        <f t="shared" si="19"/>
        <v>0</v>
      </c>
      <c r="P175" s="6">
        <f t="shared" si="20"/>
        <v>1163</v>
      </c>
    </row>
    <row r="176" spans="4:19" x14ac:dyDescent="0.25">
      <c r="D176">
        <v>173</v>
      </c>
      <c r="E176" s="4">
        <v>0</v>
      </c>
      <c r="F176" s="8">
        <f t="shared" si="14"/>
        <v>0</v>
      </c>
      <c r="G176">
        <f t="shared" si="15"/>
        <v>1806</v>
      </c>
      <c r="H176">
        <f t="shared" si="16"/>
        <v>0</v>
      </c>
      <c r="K176" s="6">
        <f t="shared" si="17"/>
        <v>1806</v>
      </c>
      <c r="L176">
        <f t="shared" si="18"/>
        <v>1163</v>
      </c>
      <c r="M176">
        <f t="shared" si="19"/>
        <v>0</v>
      </c>
      <c r="P176" s="6">
        <f t="shared" si="20"/>
        <v>1163</v>
      </c>
    </row>
    <row r="177" spans="4:19" x14ac:dyDescent="0.25">
      <c r="D177">
        <v>174</v>
      </c>
      <c r="E177" s="4">
        <v>0</v>
      </c>
      <c r="F177" s="8">
        <f t="shared" si="14"/>
        <v>0</v>
      </c>
      <c r="G177">
        <f t="shared" si="15"/>
        <v>1806</v>
      </c>
      <c r="H177">
        <f t="shared" si="16"/>
        <v>0</v>
      </c>
      <c r="K177" s="6">
        <f t="shared" si="17"/>
        <v>1806</v>
      </c>
      <c r="L177">
        <f t="shared" si="18"/>
        <v>1163</v>
      </c>
      <c r="M177">
        <f t="shared" si="19"/>
        <v>0</v>
      </c>
      <c r="P177" s="6">
        <f t="shared" si="20"/>
        <v>1163</v>
      </c>
    </row>
    <row r="178" spans="4:19" x14ac:dyDescent="0.25">
      <c r="D178">
        <v>175</v>
      </c>
      <c r="E178" s="4">
        <v>0</v>
      </c>
      <c r="F178" s="8">
        <f t="shared" si="14"/>
        <v>0</v>
      </c>
      <c r="G178">
        <f t="shared" si="15"/>
        <v>1806</v>
      </c>
      <c r="H178">
        <f t="shared" si="16"/>
        <v>0</v>
      </c>
      <c r="K178" s="6">
        <f t="shared" si="17"/>
        <v>1806</v>
      </c>
      <c r="L178">
        <f t="shared" si="18"/>
        <v>1163</v>
      </c>
      <c r="M178">
        <f t="shared" si="19"/>
        <v>0</v>
      </c>
      <c r="P178" s="6">
        <f t="shared" si="20"/>
        <v>1163</v>
      </c>
      <c r="R178">
        <f>IF(H178&gt;0,1,0)</f>
        <v>0</v>
      </c>
      <c r="S178">
        <f>IF(M178&gt;0,1,0)</f>
        <v>0</v>
      </c>
    </row>
    <row r="179" spans="4:19" x14ac:dyDescent="0.25">
      <c r="D179">
        <v>176</v>
      </c>
      <c r="E179" s="4">
        <v>0</v>
      </c>
      <c r="F179" s="8">
        <f t="shared" si="14"/>
        <v>0</v>
      </c>
      <c r="G179">
        <f t="shared" si="15"/>
        <v>1806</v>
      </c>
      <c r="H179">
        <f t="shared" si="16"/>
        <v>0</v>
      </c>
      <c r="J179">
        <f>I173</f>
        <v>0</v>
      </c>
      <c r="K179" s="6">
        <f t="shared" si="17"/>
        <v>1806</v>
      </c>
      <c r="L179">
        <f t="shared" si="18"/>
        <v>1163</v>
      </c>
      <c r="M179">
        <f t="shared" si="19"/>
        <v>0</v>
      </c>
      <c r="O179">
        <f>N173</f>
        <v>0</v>
      </c>
      <c r="P179" s="6">
        <f t="shared" si="20"/>
        <v>1163</v>
      </c>
    </row>
    <row r="180" spans="4:19" x14ac:dyDescent="0.25">
      <c r="D180">
        <v>177</v>
      </c>
      <c r="E180" s="4">
        <v>0</v>
      </c>
      <c r="F180" s="8">
        <f t="shared" si="14"/>
        <v>0</v>
      </c>
      <c r="G180">
        <f t="shared" si="15"/>
        <v>1806</v>
      </c>
      <c r="H180">
        <f t="shared" si="16"/>
        <v>0</v>
      </c>
      <c r="K180" s="6">
        <f t="shared" si="17"/>
        <v>1806</v>
      </c>
      <c r="L180">
        <f t="shared" si="18"/>
        <v>1163</v>
      </c>
      <c r="M180">
        <f t="shared" si="19"/>
        <v>0</v>
      </c>
      <c r="P180" s="6">
        <f t="shared" si="20"/>
        <v>1163</v>
      </c>
    </row>
    <row r="181" spans="4:19" x14ac:dyDescent="0.25">
      <c r="D181">
        <v>178</v>
      </c>
      <c r="E181" s="4">
        <v>0</v>
      </c>
      <c r="F181" s="8">
        <f t="shared" si="14"/>
        <v>0</v>
      </c>
      <c r="G181">
        <f t="shared" si="15"/>
        <v>1806</v>
      </c>
      <c r="H181">
        <f t="shared" si="16"/>
        <v>0</v>
      </c>
      <c r="K181" s="6">
        <f t="shared" si="17"/>
        <v>1806</v>
      </c>
      <c r="L181">
        <f t="shared" si="18"/>
        <v>1163</v>
      </c>
      <c r="M181">
        <f t="shared" si="19"/>
        <v>0</v>
      </c>
      <c r="P181" s="6">
        <f t="shared" si="20"/>
        <v>1163</v>
      </c>
    </row>
    <row r="182" spans="4:19" x14ac:dyDescent="0.25">
      <c r="D182">
        <v>179</v>
      </c>
      <c r="E182" s="4">
        <v>0</v>
      </c>
      <c r="F182" s="8">
        <f t="shared" si="14"/>
        <v>0</v>
      </c>
      <c r="G182">
        <f t="shared" si="15"/>
        <v>1806</v>
      </c>
      <c r="H182">
        <f t="shared" si="16"/>
        <v>0</v>
      </c>
      <c r="K182" s="6">
        <f t="shared" si="17"/>
        <v>1806</v>
      </c>
      <c r="L182">
        <f t="shared" si="18"/>
        <v>1163</v>
      </c>
      <c r="M182">
        <f t="shared" si="19"/>
        <v>0</v>
      </c>
      <c r="P182" s="6">
        <f t="shared" si="20"/>
        <v>1163</v>
      </c>
    </row>
    <row r="183" spans="4:19" x14ac:dyDescent="0.25">
      <c r="D183">
        <v>180</v>
      </c>
      <c r="E183" s="4">
        <v>0</v>
      </c>
      <c r="F183" s="8">
        <f t="shared" si="14"/>
        <v>0</v>
      </c>
      <c r="G183">
        <f t="shared" si="15"/>
        <v>1806</v>
      </c>
      <c r="H183">
        <f t="shared" si="16"/>
        <v>0</v>
      </c>
      <c r="I183">
        <f>ROUNDUP(MAX($B$1*($B$3+$B$4)+NORMSINV($B$5)*SQRT($B$3+$B$4)*$B$2-K183,0),0)</f>
        <v>0</v>
      </c>
      <c r="K183" s="6">
        <f t="shared" si="17"/>
        <v>1806</v>
      </c>
      <c r="L183">
        <f t="shared" si="18"/>
        <v>1163</v>
      </c>
      <c r="M183">
        <f t="shared" si="19"/>
        <v>0</v>
      </c>
      <c r="N183">
        <f>ROUNDUP(MAX($B$1*($B$3)+NORMSINV($B$5)*SQRT($B$3)*$B$2-P183,0),0)</f>
        <v>0</v>
      </c>
      <c r="P183" s="6">
        <f t="shared" si="20"/>
        <v>1163</v>
      </c>
    </row>
    <row r="184" spans="4:19" x14ac:dyDescent="0.25">
      <c r="D184">
        <v>181</v>
      </c>
      <c r="E184" s="4">
        <v>0</v>
      </c>
      <c r="F184" s="8">
        <f t="shared" si="14"/>
        <v>0</v>
      </c>
      <c r="G184">
        <f t="shared" si="15"/>
        <v>1806</v>
      </c>
      <c r="H184">
        <f t="shared" si="16"/>
        <v>0</v>
      </c>
      <c r="K184" s="6">
        <f t="shared" si="17"/>
        <v>1806</v>
      </c>
      <c r="L184">
        <f t="shared" si="18"/>
        <v>1163</v>
      </c>
      <c r="M184">
        <f t="shared" si="19"/>
        <v>0</v>
      </c>
      <c r="P184" s="6">
        <f t="shared" si="20"/>
        <v>1163</v>
      </c>
    </row>
    <row r="185" spans="4:19" x14ac:dyDescent="0.25">
      <c r="D185">
        <v>182</v>
      </c>
      <c r="E185" s="4">
        <v>0</v>
      </c>
      <c r="F185" s="8">
        <f t="shared" si="14"/>
        <v>0</v>
      </c>
      <c r="G185">
        <f t="shared" si="15"/>
        <v>1806</v>
      </c>
      <c r="H185">
        <f t="shared" si="16"/>
        <v>0</v>
      </c>
      <c r="K185" s="6">
        <f t="shared" si="17"/>
        <v>1806</v>
      </c>
      <c r="L185">
        <f t="shared" si="18"/>
        <v>1163</v>
      </c>
      <c r="M185">
        <f t="shared" si="19"/>
        <v>0</v>
      </c>
      <c r="P185" s="6">
        <f t="shared" si="20"/>
        <v>1163</v>
      </c>
    </row>
    <row r="186" spans="4:19" x14ac:dyDescent="0.25">
      <c r="D186">
        <v>183</v>
      </c>
      <c r="E186" s="4">
        <v>0</v>
      </c>
      <c r="F186" s="8">
        <f t="shared" si="14"/>
        <v>0</v>
      </c>
      <c r="G186">
        <f t="shared" si="15"/>
        <v>1806</v>
      </c>
      <c r="H186">
        <f t="shared" si="16"/>
        <v>0</v>
      </c>
      <c r="K186" s="6">
        <f t="shared" si="17"/>
        <v>1806</v>
      </c>
      <c r="L186">
        <f t="shared" si="18"/>
        <v>1163</v>
      </c>
      <c r="M186">
        <f t="shared" si="19"/>
        <v>0</v>
      </c>
      <c r="P186" s="6">
        <f t="shared" si="20"/>
        <v>1163</v>
      </c>
    </row>
    <row r="187" spans="4:19" x14ac:dyDescent="0.25">
      <c r="D187">
        <v>184</v>
      </c>
      <c r="E187" s="4">
        <v>0</v>
      </c>
      <c r="F187" s="8">
        <f t="shared" si="14"/>
        <v>0</v>
      </c>
      <c r="G187">
        <f t="shared" si="15"/>
        <v>1806</v>
      </c>
      <c r="H187">
        <f t="shared" si="16"/>
        <v>0</v>
      </c>
      <c r="K187" s="6">
        <f t="shared" si="17"/>
        <v>1806</v>
      </c>
      <c r="L187">
        <f t="shared" si="18"/>
        <v>1163</v>
      </c>
      <c r="M187">
        <f t="shared" si="19"/>
        <v>0</v>
      </c>
      <c r="P187" s="6">
        <f t="shared" si="20"/>
        <v>1163</v>
      </c>
    </row>
    <row r="188" spans="4:19" x14ac:dyDescent="0.25">
      <c r="D188">
        <v>185</v>
      </c>
      <c r="E188" s="4">
        <v>0</v>
      </c>
      <c r="F188" s="8">
        <f t="shared" si="14"/>
        <v>0</v>
      </c>
      <c r="G188">
        <f t="shared" si="15"/>
        <v>1806</v>
      </c>
      <c r="H188">
        <f t="shared" si="16"/>
        <v>0</v>
      </c>
      <c r="K188" s="6">
        <f t="shared" si="17"/>
        <v>1806</v>
      </c>
      <c r="L188">
        <f t="shared" si="18"/>
        <v>1163</v>
      </c>
      <c r="M188">
        <f t="shared" si="19"/>
        <v>0</v>
      </c>
      <c r="P188" s="6">
        <f t="shared" si="20"/>
        <v>1163</v>
      </c>
      <c r="R188">
        <f>IF(H188&gt;0,1,0)</f>
        <v>0</v>
      </c>
      <c r="S188">
        <f>IF(M188&gt;0,1,0)</f>
        <v>0</v>
      </c>
    </row>
    <row r="189" spans="4:19" x14ac:dyDescent="0.25">
      <c r="D189">
        <v>186</v>
      </c>
      <c r="E189" s="4">
        <v>0</v>
      </c>
      <c r="F189" s="8">
        <f t="shared" si="14"/>
        <v>0</v>
      </c>
      <c r="G189">
        <f t="shared" si="15"/>
        <v>1806</v>
      </c>
      <c r="H189">
        <f t="shared" si="16"/>
        <v>0</v>
      </c>
      <c r="J189">
        <f>I183</f>
        <v>0</v>
      </c>
      <c r="K189" s="6">
        <f t="shared" si="17"/>
        <v>1806</v>
      </c>
      <c r="L189">
        <f t="shared" si="18"/>
        <v>1163</v>
      </c>
      <c r="M189">
        <f t="shared" si="19"/>
        <v>0</v>
      </c>
      <c r="O189">
        <f>N183</f>
        <v>0</v>
      </c>
      <c r="P189" s="6">
        <f t="shared" si="20"/>
        <v>1163</v>
      </c>
    </row>
    <row r="190" spans="4:19" x14ac:dyDescent="0.25">
      <c r="D190">
        <v>187</v>
      </c>
      <c r="E190" s="4">
        <v>0</v>
      </c>
      <c r="F190" s="8">
        <f t="shared" si="14"/>
        <v>0</v>
      </c>
      <c r="G190">
        <f t="shared" si="15"/>
        <v>1806</v>
      </c>
      <c r="H190">
        <f t="shared" si="16"/>
        <v>0</v>
      </c>
      <c r="K190" s="6">
        <f t="shared" si="17"/>
        <v>1806</v>
      </c>
      <c r="L190">
        <f t="shared" si="18"/>
        <v>1163</v>
      </c>
      <c r="M190">
        <f t="shared" si="19"/>
        <v>0</v>
      </c>
      <c r="P190" s="6">
        <f t="shared" si="20"/>
        <v>1163</v>
      </c>
    </row>
    <row r="191" spans="4:19" x14ac:dyDescent="0.25">
      <c r="D191">
        <v>188</v>
      </c>
      <c r="E191" s="4">
        <v>0</v>
      </c>
      <c r="F191" s="8">
        <f t="shared" si="14"/>
        <v>0</v>
      </c>
      <c r="G191">
        <f t="shared" si="15"/>
        <v>1806</v>
      </c>
      <c r="H191">
        <f t="shared" si="16"/>
        <v>0</v>
      </c>
      <c r="K191" s="6">
        <f t="shared" si="17"/>
        <v>1806</v>
      </c>
      <c r="L191">
        <f t="shared" si="18"/>
        <v>1163</v>
      </c>
      <c r="M191">
        <f t="shared" si="19"/>
        <v>0</v>
      </c>
      <c r="P191" s="6">
        <f t="shared" si="20"/>
        <v>1163</v>
      </c>
    </row>
    <row r="192" spans="4:19" x14ac:dyDescent="0.25">
      <c r="D192">
        <v>189</v>
      </c>
      <c r="E192" s="4">
        <v>0</v>
      </c>
      <c r="F192" s="8">
        <f t="shared" si="14"/>
        <v>0</v>
      </c>
      <c r="G192">
        <f t="shared" si="15"/>
        <v>1806</v>
      </c>
      <c r="H192">
        <f t="shared" si="16"/>
        <v>0</v>
      </c>
      <c r="K192" s="6">
        <f t="shared" si="17"/>
        <v>1806</v>
      </c>
      <c r="L192">
        <f t="shared" si="18"/>
        <v>1163</v>
      </c>
      <c r="M192">
        <f t="shared" si="19"/>
        <v>0</v>
      </c>
      <c r="P192" s="6">
        <f t="shared" si="20"/>
        <v>1163</v>
      </c>
    </row>
    <row r="193" spans="4:19" x14ac:dyDescent="0.25">
      <c r="D193">
        <v>190</v>
      </c>
      <c r="E193" s="4">
        <v>0</v>
      </c>
      <c r="F193" s="8">
        <f t="shared" si="14"/>
        <v>0</v>
      </c>
      <c r="G193">
        <f t="shared" si="15"/>
        <v>1806</v>
      </c>
      <c r="H193">
        <f t="shared" si="16"/>
        <v>0</v>
      </c>
      <c r="I193">
        <f>ROUNDUP(MAX($B$1*($B$3+$B$4)+NORMSINV($B$5)*SQRT($B$3+$B$4)*$B$2-K193,0),0)</f>
        <v>0</v>
      </c>
      <c r="K193" s="6">
        <f t="shared" si="17"/>
        <v>1806</v>
      </c>
      <c r="L193">
        <f t="shared" si="18"/>
        <v>1163</v>
      </c>
      <c r="M193">
        <f t="shared" si="19"/>
        <v>0</v>
      </c>
      <c r="N193">
        <f>ROUNDUP(MAX($B$1*($B$3)+NORMSINV($B$5)*SQRT($B$3)*$B$2-P193,0),0)</f>
        <v>0</v>
      </c>
      <c r="P193" s="6">
        <f t="shared" si="20"/>
        <v>1163</v>
      </c>
    </row>
    <row r="194" spans="4:19" x14ac:dyDescent="0.25">
      <c r="D194">
        <v>191</v>
      </c>
      <c r="E194" s="4">
        <v>0</v>
      </c>
      <c r="F194" s="8">
        <f t="shared" si="14"/>
        <v>0</v>
      </c>
      <c r="G194">
        <f t="shared" si="15"/>
        <v>1806</v>
      </c>
      <c r="H194">
        <f t="shared" si="16"/>
        <v>0</v>
      </c>
      <c r="K194" s="6">
        <f t="shared" si="17"/>
        <v>1806</v>
      </c>
      <c r="L194">
        <f t="shared" si="18"/>
        <v>1163</v>
      </c>
      <c r="M194">
        <f t="shared" si="19"/>
        <v>0</v>
      </c>
      <c r="P194" s="6">
        <f t="shared" si="20"/>
        <v>1163</v>
      </c>
    </row>
    <row r="195" spans="4:19" x14ac:dyDescent="0.25">
      <c r="D195">
        <v>192</v>
      </c>
      <c r="E195" s="4">
        <v>0</v>
      </c>
      <c r="F195" s="8">
        <f t="shared" si="14"/>
        <v>0</v>
      </c>
      <c r="G195">
        <f t="shared" si="15"/>
        <v>1806</v>
      </c>
      <c r="H195">
        <f t="shared" si="16"/>
        <v>0</v>
      </c>
      <c r="K195" s="6">
        <f t="shared" si="17"/>
        <v>1806</v>
      </c>
      <c r="L195">
        <f t="shared" si="18"/>
        <v>1163</v>
      </c>
      <c r="M195">
        <f t="shared" si="19"/>
        <v>0</v>
      </c>
      <c r="P195" s="6">
        <f t="shared" si="20"/>
        <v>1163</v>
      </c>
    </row>
    <row r="196" spans="4:19" x14ac:dyDescent="0.25">
      <c r="D196">
        <v>193</v>
      </c>
      <c r="E196" s="4">
        <v>0</v>
      </c>
      <c r="F196" s="8">
        <f t="shared" si="14"/>
        <v>0</v>
      </c>
      <c r="G196">
        <f t="shared" si="15"/>
        <v>1806</v>
      </c>
      <c r="H196">
        <f t="shared" si="16"/>
        <v>0</v>
      </c>
      <c r="K196" s="6">
        <f t="shared" si="17"/>
        <v>1806</v>
      </c>
      <c r="L196">
        <f t="shared" si="18"/>
        <v>1163</v>
      </c>
      <c r="M196">
        <f t="shared" si="19"/>
        <v>0</v>
      </c>
      <c r="P196" s="6">
        <f t="shared" si="20"/>
        <v>1163</v>
      </c>
    </row>
    <row r="197" spans="4:19" x14ac:dyDescent="0.25">
      <c r="D197">
        <v>194</v>
      </c>
      <c r="E197" s="4">
        <v>0</v>
      </c>
      <c r="F197" s="8">
        <f t="shared" ref="F197:F260" si="21">ROUND(E197,0)</f>
        <v>0</v>
      </c>
      <c r="G197">
        <f t="shared" ref="G197:G260" si="22">K196</f>
        <v>1806</v>
      </c>
      <c r="H197">
        <f t="shared" ref="H197:H260" si="23">MAX(0,F197-G197-J197)</f>
        <v>0</v>
      </c>
      <c r="K197" s="6">
        <f t="shared" ref="K197:K260" si="24">MAX(0,G197+J197-F197)</f>
        <v>1806</v>
      </c>
      <c r="L197">
        <f t="shared" ref="L197:L260" si="25">P196</f>
        <v>1163</v>
      </c>
      <c r="M197">
        <f t="shared" ref="M197:M260" si="26">MAX(0,F197-L197-O197)</f>
        <v>0</v>
      </c>
      <c r="P197" s="6">
        <f t="shared" ref="P197:P260" si="27">MAX(0,L197+O197-F197)</f>
        <v>1163</v>
      </c>
    </row>
    <row r="198" spans="4:19" x14ac:dyDescent="0.25">
      <c r="D198">
        <v>195</v>
      </c>
      <c r="E198" s="4">
        <v>0</v>
      </c>
      <c r="F198" s="8">
        <f t="shared" si="21"/>
        <v>0</v>
      </c>
      <c r="G198">
        <f t="shared" si="22"/>
        <v>1806</v>
      </c>
      <c r="H198">
        <f t="shared" si="23"/>
        <v>0</v>
      </c>
      <c r="K198" s="6">
        <f t="shared" si="24"/>
        <v>1806</v>
      </c>
      <c r="L198">
        <f t="shared" si="25"/>
        <v>1163</v>
      </c>
      <c r="M198">
        <f t="shared" si="26"/>
        <v>0</v>
      </c>
      <c r="P198" s="6">
        <f t="shared" si="27"/>
        <v>1163</v>
      </c>
      <c r="R198">
        <f>IF(H198&gt;0,1,0)</f>
        <v>0</v>
      </c>
      <c r="S198">
        <f>IF(M198&gt;0,1,0)</f>
        <v>0</v>
      </c>
    </row>
    <row r="199" spans="4:19" x14ac:dyDescent="0.25">
      <c r="D199">
        <v>196</v>
      </c>
      <c r="E199" s="4">
        <v>0</v>
      </c>
      <c r="F199" s="8">
        <f t="shared" si="21"/>
        <v>0</v>
      </c>
      <c r="G199">
        <f t="shared" si="22"/>
        <v>1806</v>
      </c>
      <c r="H199">
        <f t="shared" si="23"/>
        <v>0</v>
      </c>
      <c r="J199">
        <f>I193</f>
        <v>0</v>
      </c>
      <c r="K199" s="6">
        <f t="shared" si="24"/>
        <v>1806</v>
      </c>
      <c r="L199">
        <f t="shared" si="25"/>
        <v>1163</v>
      </c>
      <c r="M199">
        <f t="shared" si="26"/>
        <v>0</v>
      </c>
      <c r="O199">
        <f>N193</f>
        <v>0</v>
      </c>
      <c r="P199" s="6">
        <f t="shared" si="27"/>
        <v>1163</v>
      </c>
    </row>
    <row r="200" spans="4:19" x14ac:dyDescent="0.25">
      <c r="D200">
        <v>197</v>
      </c>
      <c r="E200" s="4">
        <v>0</v>
      </c>
      <c r="F200" s="8">
        <f t="shared" si="21"/>
        <v>0</v>
      </c>
      <c r="G200">
        <f t="shared" si="22"/>
        <v>1806</v>
      </c>
      <c r="H200">
        <f t="shared" si="23"/>
        <v>0</v>
      </c>
      <c r="K200" s="6">
        <f t="shared" si="24"/>
        <v>1806</v>
      </c>
      <c r="L200">
        <f t="shared" si="25"/>
        <v>1163</v>
      </c>
      <c r="M200">
        <f t="shared" si="26"/>
        <v>0</v>
      </c>
      <c r="P200" s="6">
        <f t="shared" si="27"/>
        <v>1163</v>
      </c>
    </row>
    <row r="201" spans="4:19" x14ac:dyDescent="0.25">
      <c r="D201">
        <v>198</v>
      </c>
      <c r="E201" s="4">
        <v>0</v>
      </c>
      <c r="F201" s="8">
        <f t="shared" si="21"/>
        <v>0</v>
      </c>
      <c r="G201">
        <f t="shared" si="22"/>
        <v>1806</v>
      </c>
      <c r="H201">
        <f t="shared" si="23"/>
        <v>0</v>
      </c>
      <c r="K201" s="6">
        <f t="shared" si="24"/>
        <v>1806</v>
      </c>
      <c r="L201">
        <f t="shared" si="25"/>
        <v>1163</v>
      </c>
      <c r="M201">
        <f t="shared" si="26"/>
        <v>0</v>
      </c>
      <c r="P201" s="6">
        <f t="shared" si="27"/>
        <v>1163</v>
      </c>
    </row>
    <row r="202" spans="4:19" x14ac:dyDescent="0.25">
      <c r="D202">
        <v>199</v>
      </c>
      <c r="E202" s="4">
        <v>0</v>
      </c>
      <c r="F202" s="8">
        <f t="shared" si="21"/>
        <v>0</v>
      </c>
      <c r="G202">
        <f t="shared" si="22"/>
        <v>1806</v>
      </c>
      <c r="H202">
        <f t="shared" si="23"/>
        <v>0</v>
      </c>
      <c r="K202" s="6">
        <f t="shared" si="24"/>
        <v>1806</v>
      </c>
      <c r="L202">
        <f t="shared" si="25"/>
        <v>1163</v>
      </c>
      <c r="M202">
        <f t="shared" si="26"/>
        <v>0</v>
      </c>
      <c r="P202" s="6">
        <f t="shared" si="27"/>
        <v>1163</v>
      </c>
    </row>
    <row r="203" spans="4:19" x14ac:dyDescent="0.25">
      <c r="D203">
        <v>200</v>
      </c>
      <c r="E203" s="4">
        <v>0</v>
      </c>
      <c r="F203" s="8">
        <f t="shared" si="21"/>
        <v>0</v>
      </c>
      <c r="G203">
        <f t="shared" si="22"/>
        <v>1806</v>
      </c>
      <c r="H203">
        <f t="shared" si="23"/>
        <v>0</v>
      </c>
      <c r="I203">
        <f>ROUNDUP(MAX($B$1*($B$3+$B$4)+NORMSINV($B$5)*SQRT($B$3+$B$4)*$B$2-K203,0),0)</f>
        <v>0</v>
      </c>
      <c r="K203" s="6">
        <f t="shared" si="24"/>
        <v>1806</v>
      </c>
      <c r="L203">
        <f t="shared" si="25"/>
        <v>1163</v>
      </c>
      <c r="M203">
        <f t="shared" si="26"/>
        <v>0</v>
      </c>
      <c r="N203">
        <f>ROUNDUP(MAX($B$1*($B$3)+NORMSINV($B$5)*SQRT($B$3)*$B$2-P203,0),0)</f>
        <v>0</v>
      </c>
      <c r="P203" s="6">
        <f t="shared" si="27"/>
        <v>1163</v>
      </c>
    </row>
    <row r="204" spans="4:19" x14ac:dyDescent="0.25">
      <c r="D204">
        <v>201</v>
      </c>
      <c r="E204" s="4">
        <v>0</v>
      </c>
      <c r="F204" s="8">
        <f t="shared" si="21"/>
        <v>0</v>
      </c>
      <c r="G204">
        <f t="shared" si="22"/>
        <v>1806</v>
      </c>
      <c r="H204">
        <f t="shared" si="23"/>
        <v>0</v>
      </c>
      <c r="K204" s="6">
        <f t="shared" si="24"/>
        <v>1806</v>
      </c>
      <c r="L204">
        <f t="shared" si="25"/>
        <v>1163</v>
      </c>
      <c r="M204">
        <f t="shared" si="26"/>
        <v>0</v>
      </c>
      <c r="P204" s="6">
        <f t="shared" si="27"/>
        <v>1163</v>
      </c>
    </row>
    <row r="205" spans="4:19" x14ac:dyDescent="0.25">
      <c r="D205">
        <v>202</v>
      </c>
      <c r="E205" s="4">
        <v>0</v>
      </c>
      <c r="F205" s="8">
        <f t="shared" si="21"/>
        <v>0</v>
      </c>
      <c r="G205">
        <f t="shared" si="22"/>
        <v>1806</v>
      </c>
      <c r="H205">
        <f t="shared" si="23"/>
        <v>0</v>
      </c>
      <c r="K205" s="6">
        <f t="shared" si="24"/>
        <v>1806</v>
      </c>
      <c r="L205">
        <f t="shared" si="25"/>
        <v>1163</v>
      </c>
      <c r="M205">
        <f t="shared" si="26"/>
        <v>0</v>
      </c>
      <c r="P205" s="6">
        <f t="shared" si="27"/>
        <v>1163</v>
      </c>
    </row>
    <row r="206" spans="4:19" x14ac:dyDescent="0.25">
      <c r="D206">
        <v>203</v>
      </c>
      <c r="E206" s="4">
        <v>0</v>
      </c>
      <c r="F206" s="8">
        <f t="shared" si="21"/>
        <v>0</v>
      </c>
      <c r="G206">
        <f t="shared" si="22"/>
        <v>1806</v>
      </c>
      <c r="H206">
        <f t="shared" si="23"/>
        <v>0</v>
      </c>
      <c r="K206" s="6">
        <f t="shared" si="24"/>
        <v>1806</v>
      </c>
      <c r="L206">
        <f t="shared" si="25"/>
        <v>1163</v>
      </c>
      <c r="M206">
        <f t="shared" si="26"/>
        <v>0</v>
      </c>
      <c r="P206" s="6">
        <f t="shared" si="27"/>
        <v>1163</v>
      </c>
    </row>
    <row r="207" spans="4:19" x14ac:dyDescent="0.25">
      <c r="D207">
        <v>204</v>
      </c>
      <c r="E207" s="4">
        <v>0</v>
      </c>
      <c r="F207" s="8">
        <f t="shared" si="21"/>
        <v>0</v>
      </c>
      <c r="G207">
        <f t="shared" si="22"/>
        <v>1806</v>
      </c>
      <c r="H207">
        <f t="shared" si="23"/>
        <v>0</v>
      </c>
      <c r="K207" s="6">
        <f t="shared" si="24"/>
        <v>1806</v>
      </c>
      <c r="L207">
        <f t="shared" si="25"/>
        <v>1163</v>
      </c>
      <c r="M207">
        <f t="shared" si="26"/>
        <v>0</v>
      </c>
      <c r="P207" s="6">
        <f t="shared" si="27"/>
        <v>1163</v>
      </c>
    </row>
    <row r="208" spans="4:19" x14ac:dyDescent="0.25">
      <c r="D208">
        <v>205</v>
      </c>
      <c r="E208" s="4">
        <v>0</v>
      </c>
      <c r="F208" s="8">
        <f t="shared" si="21"/>
        <v>0</v>
      </c>
      <c r="G208">
        <f t="shared" si="22"/>
        <v>1806</v>
      </c>
      <c r="H208">
        <f t="shared" si="23"/>
        <v>0</v>
      </c>
      <c r="K208" s="6">
        <f t="shared" si="24"/>
        <v>1806</v>
      </c>
      <c r="L208">
        <f t="shared" si="25"/>
        <v>1163</v>
      </c>
      <c r="M208">
        <f t="shared" si="26"/>
        <v>0</v>
      </c>
      <c r="P208" s="6">
        <f t="shared" si="27"/>
        <v>1163</v>
      </c>
      <c r="R208">
        <f>IF(H208&gt;0,1,0)</f>
        <v>0</v>
      </c>
      <c r="S208">
        <f>IF(M208&gt;0,1,0)</f>
        <v>0</v>
      </c>
    </row>
    <row r="209" spans="4:19" x14ac:dyDescent="0.25">
      <c r="D209">
        <v>206</v>
      </c>
      <c r="E209" s="4">
        <v>0</v>
      </c>
      <c r="F209" s="8">
        <f t="shared" si="21"/>
        <v>0</v>
      </c>
      <c r="G209">
        <f t="shared" si="22"/>
        <v>1806</v>
      </c>
      <c r="H209">
        <f t="shared" si="23"/>
        <v>0</v>
      </c>
      <c r="J209">
        <f>I203</f>
        <v>0</v>
      </c>
      <c r="K209" s="6">
        <f t="shared" si="24"/>
        <v>1806</v>
      </c>
      <c r="L209">
        <f t="shared" si="25"/>
        <v>1163</v>
      </c>
      <c r="M209">
        <f t="shared" si="26"/>
        <v>0</v>
      </c>
      <c r="O209">
        <f>N203</f>
        <v>0</v>
      </c>
      <c r="P209" s="6">
        <f t="shared" si="27"/>
        <v>1163</v>
      </c>
    </row>
    <row r="210" spans="4:19" x14ac:dyDescent="0.25">
      <c r="D210">
        <v>207</v>
      </c>
      <c r="E210" s="4">
        <v>0</v>
      </c>
      <c r="F210" s="8">
        <f t="shared" si="21"/>
        <v>0</v>
      </c>
      <c r="G210">
        <f t="shared" si="22"/>
        <v>1806</v>
      </c>
      <c r="H210">
        <f t="shared" si="23"/>
        <v>0</v>
      </c>
      <c r="K210" s="6">
        <f t="shared" si="24"/>
        <v>1806</v>
      </c>
      <c r="L210">
        <f t="shared" si="25"/>
        <v>1163</v>
      </c>
      <c r="M210">
        <f t="shared" si="26"/>
        <v>0</v>
      </c>
      <c r="P210" s="6">
        <f t="shared" si="27"/>
        <v>1163</v>
      </c>
    </row>
    <row r="211" spans="4:19" x14ac:dyDescent="0.25">
      <c r="D211">
        <v>208</v>
      </c>
      <c r="E211" s="4">
        <v>0</v>
      </c>
      <c r="F211" s="8">
        <f t="shared" si="21"/>
        <v>0</v>
      </c>
      <c r="G211">
        <f t="shared" si="22"/>
        <v>1806</v>
      </c>
      <c r="H211">
        <f t="shared" si="23"/>
        <v>0</v>
      </c>
      <c r="K211" s="6">
        <f t="shared" si="24"/>
        <v>1806</v>
      </c>
      <c r="L211">
        <f t="shared" si="25"/>
        <v>1163</v>
      </c>
      <c r="M211">
        <f t="shared" si="26"/>
        <v>0</v>
      </c>
      <c r="P211" s="6">
        <f t="shared" si="27"/>
        <v>1163</v>
      </c>
    </row>
    <row r="212" spans="4:19" x14ac:dyDescent="0.25">
      <c r="D212">
        <v>209</v>
      </c>
      <c r="E212" s="4">
        <v>0</v>
      </c>
      <c r="F212" s="8">
        <f t="shared" si="21"/>
        <v>0</v>
      </c>
      <c r="G212">
        <f t="shared" si="22"/>
        <v>1806</v>
      </c>
      <c r="H212">
        <f t="shared" si="23"/>
        <v>0</v>
      </c>
      <c r="K212" s="6">
        <f t="shared" si="24"/>
        <v>1806</v>
      </c>
      <c r="L212">
        <f t="shared" si="25"/>
        <v>1163</v>
      </c>
      <c r="M212">
        <f t="shared" si="26"/>
        <v>0</v>
      </c>
      <c r="P212" s="6">
        <f t="shared" si="27"/>
        <v>1163</v>
      </c>
    </row>
    <row r="213" spans="4:19" x14ac:dyDescent="0.25">
      <c r="D213">
        <v>210</v>
      </c>
      <c r="E213" s="4">
        <v>0</v>
      </c>
      <c r="F213" s="8">
        <f t="shared" si="21"/>
        <v>0</v>
      </c>
      <c r="G213">
        <f t="shared" si="22"/>
        <v>1806</v>
      </c>
      <c r="H213">
        <f t="shared" si="23"/>
        <v>0</v>
      </c>
      <c r="I213">
        <f>ROUNDUP(MAX($B$1*($B$3+$B$4)+NORMSINV($B$5)*SQRT($B$3+$B$4)*$B$2-K213,0),0)</f>
        <v>0</v>
      </c>
      <c r="K213" s="6">
        <f t="shared" si="24"/>
        <v>1806</v>
      </c>
      <c r="L213">
        <f t="shared" si="25"/>
        <v>1163</v>
      </c>
      <c r="M213">
        <f t="shared" si="26"/>
        <v>0</v>
      </c>
      <c r="N213">
        <f>ROUNDUP(MAX($B$1*($B$3)+NORMSINV($B$5)*SQRT($B$3)*$B$2-P213,0),0)</f>
        <v>0</v>
      </c>
      <c r="P213" s="6">
        <f t="shared" si="27"/>
        <v>1163</v>
      </c>
    </row>
    <row r="214" spans="4:19" x14ac:dyDescent="0.25">
      <c r="D214">
        <v>211</v>
      </c>
      <c r="E214" s="4">
        <v>0</v>
      </c>
      <c r="F214" s="8">
        <f t="shared" si="21"/>
        <v>0</v>
      </c>
      <c r="G214">
        <f t="shared" si="22"/>
        <v>1806</v>
      </c>
      <c r="H214">
        <f t="shared" si="23"/>
        <v>0</v>
      </c>
      <c r="K214" s="6">
        <f t="shared" si="24"/>
        <v>1806</v>
      </c>
      <c r="L214">
        <f t="shared" si="25"/>
        <v>1163</v>
      </c>
      <c r="M214">
        <f t="shared" si="26"/>
        <v>0</v>
      </c>
      <c r="P214" s="6">
        <f t="shared" si="27"/>
        <v>1163</v>
      </c>
    </row>
    <row r="215" spans="4:19" x14ac:dyDescent="0.25">
      <c r="D215">
        <v>212</v>
      </c>
      <c r="E215" s="4">
        <v>0</v>
      </c>
      <c r="F215" s="8">
        <f t="shared" si="21"/>
        <v>0</v>
      </c>
      <c r="G215">
        <f t="shared" si="22"/>
        <v>1806</v>
      </c>
      <c r="H215">
        <f t="shared" si="23"/>
        <v>0</v>
      </c>
      <c r="K215" s="6">
        <f t="shared" si="24"/>
        <v>1806</v>
      </c>
      <c r="L215">
        <f t="shared" si="25"/>
        <v>1163</v>
      </c>
      <c r="M215">
        <f t="shared" si="26"/>
        <v>0</v>
      </c>
      <c r="P215" s="6">
        <f t="shared" si="27"/>
        <v>1163</v>
      </c>
    </row>
    <row r="216" spans="4:19" x14ac:dyDescent="0.25">
      <c r="D216">
        <v>213</v>
      </c>
      <c r="E216" s="4">
        <v>0</v>
      </c>
      <c r="F216" s="8">
        <f t="shared" si="21"/>
        <v>0</v>
      </c>
      <c r="G216">
        <f t="shared" si="22"/>
        <v>1806</v>
      </c>
      <c r="H216">
        <f t="shared" si="23"/>
        <v>0</v>
      </c>
      <c r="K216" s="6">
        <f t="shared" si="24"/>
        <v>1806</v>
      </c>
      <c r="L216">
        <f t="shared" si="25"/>
        <v>1163</v>
      </c>
      <c r="M216">
        <f t="shared" si="26"/>
        <v>0</v>
      </c>
      <c r="P216" s="6">
        <f t="shared" si="27"/>
        <v>1163</v>
      </c>
    </row>
    <row r="217" spans="4:19" x14ac:dyDescent="0.25">
      <c r="D217">
        <v>214</v>
      </c>
      <c r="E217" s="4">
        <v>0</v>
      </c>
      <c r="F217" s="8">
        <f t="shared" si="21"/>
        <v>0</v>
      </c>
      <c r="G217">
        <f t="shared" si="22"/>
        <v>1806</v>
      </c>
      <c r="H217">
        <f t="shared" si="23"/>
        <v>0</v>
      </c>
      <c r="K217" s="6">
        <f t="shared" si="24"/>
        <v>1806</v>
      </c>
      <c r="L217">
        <f t="shared" si="25"/>
        <v>1163</v>
      </c>
      <c r="M217">
        <f t="shared" si="26"/>
        <v>0</v>
      </c>
      <c r="P217" s="6">
        <f t="shared" si="27"/>
        <v>1163</v>
      </c>
    </row>
    <row r="218" spans="4:19" x14ac:dyDescent="0.25">
      <c r="D218">
        <v>215</v>
      </c>
      <c r="E218" s="4">
        <v>0</v>
      </c>
      <c r="F218" s="8">
        <f t="shared" si="21"/>
        <v>0</v>
      </c>
      <c r="G218">
        <f t="shared" si="22"/>
        <v>1806</v>
      </c>
      <c r="H218">
        <f t="shared" si="23"/>
        <v>0</v>
      </c>
      <c r="K218" s="6">
        <f t="shared" si="24"/>
        <v>1806</v>
      </c>
      <c r="L218">
        <f t="shared" si="25"/>
        <v>1163</v>
      </c>
      <c r="M218">
        <f t="shared" si="26"/>
        <v>0</v>
      </c>
      <c r="P218" s="6">
        <f t="shared" si="27"/>
        <v>1163</v>
      </c>
      <c r="R218">
        <f>IF(H218&gt;0,1,0)</f>
        <v>0</v>
      </c>
      <c r="S218">
        <f>IF(M218&gt;0,1,0)</f>
        <v>0</v>
      </c>
    </row>
    <row r="219" spans="4:19" x14ac:dyDescent="0.25">
      <c r="D219">
        <v>216</v>
      </c>
      <c r="E219" s="4">
        <v>0</v>
      </c>
      <c r="F219" s="8">
        <f t="shared" si="21"/>
        <v>0</v>
      </c>
      <c r="G219">
        <f t="shared" si="22"/>
        <v>1806</v>
      </c>
      <c r="H219">
        <f t="shared" si="23"/>
        <v>0</v>
      </c>
      <c r="J219">
        <f>I213</f>
        <v>0</v>
      </c>
      <c r="K219" s="6">
        <f t="shared" si="24"/>
        <v>1806</v>
      </c>
      <c r="L219">
        <f t="shared" si="25"/>
        <v>1163</v>
      </c>
      <c r="M219">
        <f t="shared" si="26"/>
        <v>0</v>
      </c>
      <c r="O219">
        <f>N213</f>
        <v>0</v>
      </c>
      <c r="P219" s="6">
        <f t="shared" si="27"/>
        <v>1163</v>
      </c>
    </row>
    <row r="220" spans="4:19" x14ac:dyDescent="0.25">
      <c r="D220">
        <v>217</v>
      </c>
      <c r="E220" s="4">
        <v>0</v>
      </c>
      <c r="F220" s="8">
        <f t="shared" si="21"/>
        <v>0</v>
      </c>
      <c r="G220">
        <f t="shared" si="22"/>
        <v>1806</v>
      </c>
      <c r="H220">
        <f t="shared" si="23"/>
        <v>0</v>
      </c>
      <c r="K220" s="6">
        <f t="shared" si="24"/>
        <v>1806</v>
      </c>
      <c r="L220">
        <f t="shared" si="25"/>
        <v>1163</v>
      </c>
      <c r="M220">
        <f t="shared" si="26"/>
        <v>0</v>
      </c>
      <c r="P220" s="6">
        <f t="shared" si="27"/>
        <v>1163</v>
      </c>
    </row>
    <row r="221" spans="4:19" x14ac:dyDescent="0.25">
      <c r="D221">
        <v>218</v>
      </c>
      <c r="E221" s="4">
        <v>0</v>
      </c>
      <c r="F221" s="8">
        <f t="shared" si="21"/>
        <v>0</v>
      </c>
      <c r="G221">
        <f t="shared" si="22"/>
        <v>1806</v>
      </c>
      <c r="H221">
        <f t="shared" si="23"/>
        <v>0</v>
      </c>
      <c r="K221" s="6">
        <f t="shared" si="24"/>
        <v>1806</v>
      </c>
      <c r="L221">
        <f t="shared" si="25"/>
        <v>1163</v>
      </c>
      <c r="M221">
        <f t="shared" si="26"/>
        <v>0</v>
      </c>
      <c r="P221" s="6">
        <f t="shared" si="27"/>
        <v>1163</v>
      </c>
    </row>
    <row r="222" spans="4:19" x14ac:dyDescent="0.25">
      <c r="D222">
        <v>219</v>
      </c>
      <c r="E222" s="4">
        <v>0</v>
      </c>
      <c r="F222" s="8">
        <f t="shared" si="21"/>
        <v>0</v>
      </c>
      <c r="G222">
        <f t="shared" si="22"/>
        <v>1806</v>
      </c>
      <c r="H222">
        <f t="shared" si="23"/>
        <v>0</v>
      </c>
      <c r="K222" s="6">
        <f t="shared" si="24"/>
        <v>1806</v>
      </c>
      <c r="L222">
        <f t="shared" si="25"/>
        <v>1163</v>
      </c>
      <c r="M222">
        <f t="shared" si="26"/>
        <v>0</v>
      </c>
      <c r="P222" s="6">
        <f t="shared" si="27"/>
        <v>1163</v>
      </c>
    </row>
    <row r="223" spans="4:19" x14ac:dyDescent="0.25">
      <c r="D223">
        <v>220</v>
      </c>
      <c r="E223" s="4">
        <v>0</v>
      </c>
      <c r="F223" s="8">
        <f t="shared" si="21"/>
        <v>0</v>
      </c>
      <c r="G223">
        <f t="shared" si="22"/>
        <v>1806</v>
      </c>
      <c r="H223">
        <f t="shared" si="23"/>
        <v>0</v>
      </c>
      <c r="I223">
        <f>ROUNDUP(MAX($B$1*($B$3+$B$4)+NORMSINV($B$5)*SQRT($B$3+$B$4)*$B$2-K223,0),0)</f>
        <v>0</v>
      </c>
      <c r="K223" s="6">
        <f t="shared" si="24"/>
        <v>1806</v>
      </c>
      <c r="L223">
        <f t="shared" si="25"/>
        <v>1163</v>
      </c>
      <c r="M223">
        <f t="shared" si="26"/>
        <v>0</v>
      </c>
      <c r="N223">
        <f>ROUNDUP(MAX($B$1*($B$3)+NORMSINV($B$5)*SQRT($B$3)*$B$2-P223,0),0)</f>
        <v>0</v>
      </c>
      <c r="P223" s="6">
        <f t="shared" si="27"/>
        <v>1163</v>
      </c>
    </row>
    <row r="224" spans="4:19" x14ac:dyDescent="0.25">
      <c r="D224">
        <v>221</v>
      </c>
      <c r="E224" s="4">
        <v>0</v>
      </c>
      <c r="F224" s="8">
        <f t="shared" si="21"/>
        <v>0</v>
      </c>
      <c r="G224">
        <f t="shared" si="22"/>
        <v>1806</v>
      </c>
      <c r="H224">
        <f t="shared" si="23"/>
        <v>0</v>
      </c>
      <c r="K224" s="6">
        <f t="shared" si="24"/>
        <v>1806</v>
      </c>
      <c r="L224">
        <f t="shared" si="25"/>
        <v>1163</v>
      </c>
      <c r="M224">
        <f t="shared" si="26"/>
        <v>0</v>
      </c>
      <c r="P224" s="6">
        <f t="shared" si="27"/>
        <v>1163</v>
      </c>
    </row>
    <row r="225" spans="4:19" x14ac:dyDescent="0.25">
      <c r="D225">
        <v>222</v>
      </c>
      <c r="E225" s="4">
        <v>0</v>
      </c>
      <c r="F225" s="8">
        <f t="shared" si="21"/>
        <v>0</v>
      </c>
      <c r="G225">
        <f t="shared" si="22"/>
        <v>1806</v>
      </c>
      <c r="H225">
        <f t="shared" si="23"/>
        <v>0</v>
      </c>
      <c r="K225" s="6">
        <f t="shared" si="24"/>
        <v>1806</v>
      </c>
      <c r="L225">
        <f t="shared" si="25"/>
        <v>1163</v>
      </c>
      <c r="M225">
        <f t="shared" si="26"/>
        <v>0</v>
      </c>
      <c r="P225" s="6">
        <f t="shared" si="27"/>
        <v>1163</v>
      </c>
    </row>
    <row r="226" spans="4:19" x14ac:dyDescent="0.25">
      <c r="D226">
        <v>223</v>
      </c>
      <c r="E226" s="4">
        <v>0</v>
      </c>
      <c r="F226" s="8">
        <f t="shared" si="21"/>
        <v>0</v>
      </c>
      <c r="G226">
        <f t="shared" si="22"/>
        <v>1806</v>
      </c>
      <c r="H226">
        <f t="shared" si="23"/>
        <v>0</v>
      </c>
      <c r="K226" s="6">
        <f t="shared" si="24"/>
        <v>1806</v>
      </c>
      <c r="L226">
        <f t="shared" si="25"/>
        <v>1163</v>
      </c>
      <c r="M226">
        <f t="shared" si="26"/>
        <v>0</v>
      </c>
      <c r="P226" s="6">
        <f t="shared" si="27"/>
        <v>1163</v>
      </c>
    </row>
    <row r="227" spans="4:19" x14ac:dyDescent="0.25">
      <c r="D227">
        <v>224</v>
      </c>
      <c r="E227" s="4">
        <v>0</v>
      </c>
      <c r="F227" s="8">
        <f t="shared" si="21"/>
        <v>0</v>
      </c>
      <c r="G227">
        <f t="shared" si="22"/>
        <v>1806</v>
      </c>
      <c r="H227">
        <f t="shared" si="23"/>
        <v>0</v>
      </c>
      <c r="K227" s="6">
        <f t="shared" si="24"/>
        <v>1806</v>
      </c>
      <c r="L227">
        <f t="shared" si="25"/>
        <v>1163</v>
      </c>
      <c r="M227">
        <f t="shared" si="26"/>
        <v>0</v>
      </c>
      <c r="P227" s="6">
        <f t="shared" si="27"/>
        <v>1163</v>
      </c>
    </row>
    <row r="228" spans="4:19" x14ac:dyDescent="0.25">
      <c r="D228">
        <v>225</v>
      </c>
      <c r="E228" s="4">
        <v>0</v>
      </c>
      <c r="F228" s="8">
        <f t="shared" si="21"/>
        <v>0</v>
      </c>
      <c r="G228">
        <f t="shared" si="22"/>
        <v>1806</v>
      </c>
      <c r="H228">
        <f t="shared" si="23"/>
        <v>0</v>
      </c>
      <c r="K228" s="6">
        <f t="shared" si="24"/>
        <v>1806</v>
      </c>
      <c r="L228">
        <f t="shared" si="25"/>
        <v>1163</v>
      </c>
      <c r="M228">
        <f t="shared" si="26"/>
        <v>0</v>
      </c>
      <c r="P228" s="6">
        <f t="shared" si="27"/>
        <v>1163</v>
      </c>
      <c r="R228">
        <f>IF(H228&gt;0,1,0)</f>
        <v>0</v>
      </c>
      <c r="S228">
        <f>IF(M228&gt;0,1,0)</f>
        <v>0</v>
      </c>
    </row>
    <row r="229" spans="4:19" x14ac:dyDescent="0.25">
      <c r="D229">
        <v>226</v>
      </c>
      <c r="E229" s="4">
        <v>0</v>
      </c>
      <c r="F229" s="8">
        <f t="shared" si="21"/>
        <v>0</v>
      </c>
      <c r="G229">
        <f t="shared" si="22"/>
        <v>1806</v>
      </c>
      <c r="H229">
        <f t="shared" si="23"/>
        <v>0</v>
      </c>
      <c r="J229">
        <f>I223</f>
        <v>0</v>
      </c>
      <c r="K229" s="6">
        <f t="shared" si="24"/>
        <v>1806</v>
      </c>
      <c r="L229">
        <f t="shared" si="25"/>
        <v>1163</v>
      </c>
      <c r="M229">
        <f t="shared" si="26"/>
        <v>0</v>
      </c>
      <c r="O229">
        <f>N223</f>
        <v>0</v>
      </c>
      <c r="P229" s="6">
        <f t="shared" si="27"/>
        <v>1163</v>
      </c>
    </row>
    <row r="230" spans="4:19" x14ac:dyDescent="0.25">
      <c r="D230">
        <v>227</v>
      </c>
      <c r="E230" s="4">
        <v>0</v>
      </c>
      <c r="F230" s="8">
        <f t="shared" si="21"/>
        <v>0</v>
      </c>
      <c r="G230">
        <f t="shared" si="22"/>
        <v>1806</v>
      </c>
      <c r="H230">
        <f t="shared" si="23"/>
        <v>0</v>
      </c>
      <c r="K230" s="6">
        <f t="shared" si="24"/>
        <v>1806</v>
      </c>
      <c r="L230">
        <f t="shared" si="25"/>
        <v>1163</v>
      </c>
      <c r="M230">
        <f t="shared" si="26"/>
        <v>0</v>
      </c>
      <c r="P230" s="6">
        <f t="shared" si="27"/>
        <v>1163</v>
      </c>
    </row>
    <row r="231" spans="4:19" x14ac:dyDescent="0.25">
      <c r="D231">
        <v>228</v>
      </c>
      <c r="E231" s="4">
        <v>0</v>
      </c>
      <c r="F231" s="8">
        <f t="shared" si="21"/>
        <v>0</v>
      </c>
      <c r="G231">
        <f t="shared" si="22"/>
        <v>1806</v>
      </c>
      <c r="H231">
        <f t="shared" si="23"/>
        <v>0</v>
      </c>
      <c r="K231" s="6">
        <f t="shared" si="24"/>
        <v>1806</v>
      </c>
      <c r="L231">
        <f t="shared" si="25"/>
        <v>1163</v>
      </c>
      <c r="M231">
        <f t="shared" si="26"/>
        <v>0</v>
      </c>
      <c r="P231" s="6">
        <f t="shared" si="27"/>
        <v>1163</v>
      </c>
    </row>
    <row r="232" spans="4:19" x14ac:dyDescent="0.25">
      <c r="D232">
        <v>229</v>
      </c>
      <c r="E232" s="4">
        <v>0</v>
      </c>
      <c r="F232" s="8">
        <f t="shared" si="21"/>
        <v>0</v>
      </c>
      <c r="G232">
        <f t="shared" si="22"/>
        <v>1806</v>
      </c>
      <c r="H232">
        <f t="shared" si="23"/>
        <v>0</v>
      </c>
      <c r="K232" s="6">
        <f t="shared" si="24"/>
        <v>1806</v>
      </c>
      <c r="L232">
        <f t="shared" si="25"/>
        <v>1163</v>
      </c>
      <c r="M232">
        <f t="shared" si="26"/>
        <v>0</v>
      </c>
      <c r="P232" s="6">
        <f t="shared" si="27"/>
        <v>1163</v>
      </c>
    </row>
    <row r="233" spans="4:19" x14ac:dyDescent="0.25">
      <c r="D233">
        <v>230</v>
      </c>
      <c r="E233" s="4">
        <v>0</v>
      </c>
      <c r="F233" s="8">
        <f t="shared" si="21"/>
        <v>0</v>
      </c>
      <c r="G233">
        <f t="shared" si="22"/>
        <v>1806</v>
      </c>
      <c r="H233">
        <f t="shared" si="23"/>
        <v>0</v>
      </c>
      <c r="I233">
        <f>ROUNDUP(MAX($B$1*($B$3+$B$4)+NORMSINV($B$5)*SQRT($B$3+$B$4)*$B$2-K233,0),0)</f>
        <v>0</v>
      </c>
      <c r="K233" s="6">
        <f t="shared" si="24"/>
        <v>1806</v>
      </c>
      <c r="L233">
        <f t="shared" si="25"/>
        <v>1163</v>
      </c>
      <c r="M233">
        <f t="shared" si="26"/>
        <v>0</v>
      </c>
      <c r="N233">
        <f>ROUNDUP(MAX($B$1*($B$3)+NORMSINV($B$5)*SQRT($B$3)*$B$2-P233,0),0)</f>
        <v>0</v>
      </c>
      <c r="P233" s="6">
        <f t="shared" si="27"/>
        <v>1163</v>
      </c>
    </row>
    <row r="234" spans="4:19" x14ac:dyDescent="0.25">
      <c r="D234">
        <v>231</v>
      </c>
      <c r="E234" s="4">
        <v>0</v>
      </c>
      <c r="F234" s="8">
        <f t="shared" si="21"/>
        <v>0</v>
      </c>
      <c r="G234">
        <f t="shared" si="22"/>
        <v>1806</v>
      </c>
      <c r="H234">
        <f t="shared" si="23"/>
        <v>0</v>
      </c>
      <c r="K234" s="6">
        <f t="shared" si="24"/>
        <v>1806</v>
      </c>
      <c r="L234">
        <f t="shared" si="25"/>
        <v>1163</v>
      </c>
      <c r="M234">
        <f t="shared" si="26"/>
        <v>0</v>
      </c>
      <c r="P234" s="6">
        <f t="shared" si="27"/>
        <v>1163</v>
      </c>
    </row>
    <row r="235" spans="4:19" x14ac:dyDescent="0.25">
      <c r="D235">
        <v>232</v>
      </c>
      <c r="E235" s="4">
        <v>0</v>
      </c>
      <c r="F235" s="8">
        <f t="shared" si="21"/>
        <v>0</v>
      </c>
      <c r="G235">
        <f t="shared" si="22"/>
        <v>1806</v>
      </c>
      <c r="H235">
        <f t="shared" si="23"/>
        <v>0</v>
      </c>
      <c r="K235" s="6">
        <f t="shared" si="24"/>
        <v>1806</v>
      </c>
      <c r="L235">
        <f t="shared" si="25"/>
        <v>1163</v>
      </c>
      <c r="M235">
        <f t="shared" si="26"/>
        <v>0</v>
      </c>
      <c r="P235" s="6">
        <f t="shared" si="27"/>
        <v>1163</v>
      </c>
    </row>
    <row r="236" spans="4:19" x14ac:dyDescent="0.25">
      <c r="D236">
        <v>233</v>
      </c>
      <c r="E236" s="4">
        <v>0</v>
      </c>
      <c r="F236" s="8">
        <f t="shared" si="21"/>
        <v>0</v>
      </c>
      <c r="G236">
        <f t="shared" si="22"/>
        <v>1806</v>
      </c>
      <c r="H236">
        <f t="shared" si="23"/>
        <v>0</v>
      </c>
      <c r="K236" s="6">
        <f t="shared" si="24"/>
        <v>1806</v>
      </c>
      <c r="L236">
        <f t="shared" si="25"/>
        <v>1163</v>
      </c>
      <c r="M236">
        <f t="shared" si="26"/>
        <v>0</v>
      </c>
      <c r="P236" s="6">
        <f t="shared" si="27"/>
        <v>1163</v>
      </c>
    </row>
    <row r="237" spans="4:19" x14ac:dyDescent="0.25">
      <c r="D237">
        <v>234</v>
      </c>
      <c r="E237" s="4">
        <v>0</v>
      </c>
      <c r="F237" s="8">
        <f t="shared" si="21"/>
        <v>0</v>
      </c>
      <c r="G237">
        <f t="shared" si="22"/>
        <v>1806</v>
      </c>
      <c r="H237">
        <f t="shared" si="23"/>
        <v>0</v>
      </c>
      <c r="K237" s="6">
        <f t="shared" si="24"/>
        <v>1806</v>
      </c>
      <c r="L237">
        <f t="shared" si="25"/>
        <v>1163</v>
      </c>
      <c r="M237">
        <f t="shared" si="26"/>
        <v>0</v>
      </c>
      <c r="P237" s="6">
        <f t="shared" si="27"/>
        <v>1163</v>
      </c>
    </row>
    <row r="238" spans="4:19" x14ac:dyDescent="0.25">
      <c r="D238">
        <v>235</v>
      </c>
      <c r="E238" s="4">
        <v>0</v>
      </c>
      <c r="F238" s="8">
        <f t="shared" si="21"/>
        <v>0</v>
      </c>
      <c r="G238">
        <f t="shared" si="22"/>
        <v>1806</v>
      </c>
      <c r="H238">
        <f t="shared" si="23"/>
        <v>0</v>
      </c>
      <c r="K238" s="6">
        <f t="shared" si="24"/>
        <v>1806</v>
      </c>
      <c r="L238">
        <f t="shared" si="25"/>
        <v>1163</v>
      </c>
      <c r="M238">
        <f t="shared" si="26"/>
        <v>0</v>
      </c>
      <c r="P238" s="6">
        <f t="shared" si="27"/>
        <v>1163</v>
      </c>
      <c r="R238">
        <f>IF(H238&gt;0,1,0)</f>
        <v>0</v>
      </c>
      <c r="S238">
        <f>IF(M238&gt;0,1,0)</f>
        <v>0</v>
      </c>
    </row>
    <row r="239" spans="4:19" x14ac:dyDescent="0.25">
      <c r="D239">
        <v>236</v>
      </c>
      <c r="E239" s="4">
        <v>0</v>
      </c>
      <c r="F239" s="8">
        <f t="shared" si="21"/>
        <v>0</v>
      </c>
      <c r="G239">
        <f t="shared" si="22"/>
        <v>1806</v>
      </c>
      <c r="H239">
        <f t="shared" si="23"/>
        <v>0</v>
      </c>
      <c r="J239">
        <f>I233</f>
        <v>0</v>
      </c>
      <c r="K239" s="6">
        <f t="shared" si="24"/>
        <v>1806</v>
      </c>
      <c r="L239">
        <f t="shared" si="25"/>
        <v>1163</v>
      </c>
      <c r="M239">
        <f t="shared" si="26"/>
        <v>0</v>
      </c>
      <c r="O239">
        <f>N233</f>
        <v>0</v>
      </c>
      <c r="P239" s="6">
        <f t="shared" si="27"/>
        <v>1163</v>
      </c>
    </row>
    <row r="240" spans="4:19" x14ac:dyDescent="0.25">
      <c r="D240">
        <v>237</v>
      </c>
      <c r="E240" s="4">
        <v>0</v>
      </c>
      <c r="F240" s="8">
        <f t="shared" si="21"/>
        <v>0</v>
      </c>
      <c r="G240">
        <f t="shared" si="22"/>
        <v>1806</v>
      </c>
      <c r="H240">
        <f t="shared" si="23"/>
        <v>0</v>
      </c>
      <c r="K240" s="6">
        <f t="shared" si="24"/>
        <v>1806</v>
      </c>
      <c r="L240">
        <f t="shared" si="25"/>
        <v>1163</v>
      </c>
      <c r="M240">
        <f t="shared" si="26"/>
        <v>0</v>
      </c>
      <c r="P240" s="6">
        <f t="shared" si="27"/>
        <v>1163</v>
      </c>
    </row>
    <row r="241" spans="4:19" x14ac:dyDescent="0.25">
      <c r="D241">
        <v>238</v>
      </c>
      <c r="E241" s="4">
        <v>0</v>
      </c>
      <c r="F241" s="8">
        <f t="shared" si="21"/>
        <v>0</v>
      </c>
      <c r="G241">
        <f t="shared" si="22"/>
        <v>1806</v>
      </c>
      <c r="H241">
        <f t="shared" si="23"/>
        <v>0</v>
      </c>
      <c r="K241" s="6">
        <f t="shared" si="24"/>
        <v>1806</v>
      </c>
      <c r="L241">
        <f t="shared" si="25"/>
        <v>1163</v>
      </c>
      <c r="M241">
        <f t="shared" si="26"/>
        <v>0</v>
      </c>
      <c r="P241" s="6">
        <f t="shared" si="27"/>
        <v>1163</v>
      </c>
    </row>
    <row r="242" spans="4:19" x14ac:dyDescent="0.25">
      <c r="D242">
        <v>239</v>
      </c>
      <c r="E242" s="4">
        <v>0</v>
      </c>
      <c r="F242" s="8">
        <f t="shared" si="21"/>
        <v>0</v>
      </c>
      <c r="G242">
        <f t="shared" si="22"/>
        <v>1806</v>
      </c>
      <c r="H242">
        <f t="shared" si="23"/>
        <v>0</v>
      </c>
      <c r="K242" s="6">
        <f t="shared" si="24"/>
        <v>1806</v>
      </c>
      <c r="L242">
        <f t="shared" si="25"/>
        <v>1163</v>
      </c>
      <c r="M242">
        <f t="shared" si="26"/>
        <v>0</v>
      </c>
      <c r="P242" s="6">
        <f t="shared" si="27"/>
        <v>1163</v>
      </c>
    </row>
    <row r="243" spans="4:19" x14ac:dyDescent="0.25">
      <c r="D243">
        <v>240</v>
      </c>
      <c r="E243" s="4">
        <v>0</v>
      </c>
      <c r="F243" s="8">
        <f t="shared" si="21"/>
        <v>0</v>
      </c>
      <c r="G243">
        <f t="shared" si="22"/>
        <v>1806</v>
      </c>
      <c r="H243">
        <f t="shared" si="23"/>
        <v>0</v>
      </c>
      <c r="I243">
        <f>ROUNDUP(MAX($B$1*($B$3+$B$4)+NORMSINV($B$5)*SQRT($B$3+$B$4)*$B$2-K243,0),0)</f>
        <v>0</v>
      </c>
      <c r="K243" s="6">
        <f t="shared" si="24"/>
        <v>1806</v>
      </c>
      <c r="L243">
        <f t="shared" si="25"/>
        <v>1163</v>
      </c>
      <c r="M243">
        <f t="shared" si="26"/>
        <v>0</v>
      </c>
      <c r="N243">
        <f>ROUNDUP(MAX($B$1*($B$3)+NORMSINV($B$5)*SQRT($B$3)*$B$2-P243,0),0)</f>
        <v>0</v>
      </c>
      <c r="P243" s="6">
        <f t="shared" si="27"/>
        <v>1163</v>
      </c>
    </row>
    <row r="244" spans="4:19" x14ac:dyDescent="0.25">
      <c r="D244">
        <v>241</v>
      </c>
      <c r="E244" s="4">
        <v>0</v>
      </c>
      <c r="F244" s="8">
        <f t="shared" si="21"/>
        <v>0</v>
      </c>
      <c r="G244">
        <f t="shared" si="22"/>
        <v>1806</v>
      </c>
      <c r="H244">
        <f t="shared" si="23"/>
        <v>0</v>
      </c>
      <c r="K244" s="6">
        <f t="shared" si="24"/>
        <v>1806</v>
      </c>
      <c r="L244">
        <f t="shared" si="25"/>
        <v>1163</v>
      </c>
      <c r="M244">
        <f t="shared" si="26"/>
        <v>0</v>
      </c>
      <c r="P244" s="6">
        <f t="shared" si="27"/>
        <v>1163</v>
      </c>
    </row>
    <row r="245" spans="4:19" x14ac:dyDescent="0.25">
      <c r="D245">
        <v>242</v>
      </c>
      <c r="E245" s="4">
        <v>0</v>
      </c>
      <c r="F245" s="8">
        <f t="shared" si="21"/>
        <v>0</v>
      </c>
      <c r="G245">
        <f t="shared" si="22"/>
        <v>1806</v>
      </c>
      <c r="H245">
        <f t="shared" si="23"/>
        <v>0</v>
      </c>
      <c r="K245" s="6">
        <f t="shared" si="24"/>
        <v>1806</v>
      </c>
      <c r="L245">
        <f t="shared" si="25"/>
        <v>1163</v>
      </c>
      <c r="M245">
        <f t="shared" si="26"/>
        <v>0</v>
      </c>
      <c r="P245" s="6">
        <f t="shared" si="27"/>
        <v>1163</v>
      </c>
    </row>
    <row r="246" spans="4:19" x14ac:dyDescent="0.25">
      <c r="D246">
        <v>243</v>
      </c>
      <c r="E246" s="4">
        <v>0</v>
      </c>
      <c r="F246" s="8">
        <f t="shared" si="21"/>
        <v>0</v>
      </c>
      <c r="G246">
        <f t="shared" si="22"/>
        <v>1806</v>
      </c>
      <c r="H246">
        <f t="shared" si="23"/>
        <v>0</v>
      </c>
      <c r="K246" s="6">
        <f t="shared" si="24"/>
        <v>1806</v>
      </c>
      <c r="L246">
        <f t="shared" si="25"/>
        <v>1163</v>
      </c>
      <c r="M246">
        <f t="shared" si="26"/>
        <v>0</v>
      </c>
      <c r="P246" s="6">
        <f t="shared" si="27"/>
        <v>1163</v>
      </c>
    </row>
    <row r="247" spans="4:19" x14ac:dyDescent="0.25">
      <c r="D247">
        <v>244</v>
      </c>
      <c r="E247" s="4">
        <v>0</v>
      </c>
      <c r="F247" s="8">
        <f t="shared" si="21"/>
        <v>0</v>
      </c>
      <c r="G247">
        <f t="shared" si="22"/>
        <v>1806</v>
      </c>
      <c r="H247">
        <f t="shared" si="23"/>
        <v>0</v>
      </c>
      <c r="K247" s="6">
        <f t="shared" si="24"/>
        <v>1806</v>
      </c>
      <c r="L247">
        <f t="shared" si="25"/>
        <v>1163</v>
      </c>
      <c r="M247">
        <f t="shared" si="26"/>
        <v>0</v>
      </c>
      <c r="P247" s="6">
        <f t="shared" si="27"/>
        <v>1163</v>
      </c>
    </row>
    <row r="248" spans="4:19" x14ac:dyDescent="0.25">
      <c r="D248">
        <v>245</v>
      </c>
      <c r="E248" s="4">
        <v>0</v>
      </c>
      <c r="F248" s="8">
        <f t="shared" si="21"/>
        <v>0</v>
      </c>
      <c r="G248">
        <f t="shared" si="22"/>
        <v>1806</v>
      </c>
      <c r="H248">
        <f t="shared" si="23"/>
        <v>0</v>
      </c>
      <c r="K248" s="6">
        <f t="shared" si="24"/>
        <v>1806</v>
      </c>
      <c r="L248">
        <f t="shared" si="25"/>
        <v>1163</v>
      </c>
      <c r="M248">
        <f t="shared" si="26"/>
        <v>0</v>
      </c>
      <c r="P248" s="6">
        <f t="shared" si="27"/>
        <v>1163</v>
      </c>
      <c r="R248">
        <f>IF(H248&gt;0,1,0)</f>
        <v>0</v>
      </c>
      <c r="S248">
        <f>IF(M248&gt;0,1,0)</f>
        <v>0</v>
      </c>
    </row>
    <row r="249" spans="4:19" x14ac:dyDescent="0.25">
      <c r="D249">
        <v>246</v>
      </c>
      <c r="E249" s="4">
        <v>0</v>
      </c>
      <c r="F249" s="8">
        <f t="shared" si="21"/>
        <v>0</v>
      </c>
      <c r="G249">
        <f t="shared" si="22"/>
        <v>1806</v>
      </c>
      <c r="H249">
        <f t="shared" si="23"/>
        <v>0</v>
      </c>
      <c r="J249">
        <f>I243</f>
        <v>0</v>
      </c>
      <c r="K249" s="6">
        <f t="shared" si="24"/>
        <v>1806</v>
      </c>
      <c r="L249">
        <f t="shared" si="25"/>
        <v>1163</v>
      </c>
      <c r="M249">
        <f t="shared" si="26"/>
        <v>0</v>
      </c>
      <c r="O249">
        <f>N243</f>
        <v>0</v>
      </c>
      <c r="P249" s="6">
        <f t="shared" si="27"/>
        <v>1163</v>
      </c>
    </row>
    <row r="250" spans="4:19" x14ac:dyDescent="0.25">
      <c r="D250">
        <v>247</v>
      </c>
      <c r="E250" s="4">
        <v>0</v>
      </c>
      <c r="F250" s="8">
        <f t="shared" si="21"/>
        <v>0</v>
      </c>
      <c r="G250">
        <f t="shared" si="22"/>
        <v>1806</v>
      </c>
      <c r="H250">
        <f t="shared" si="23"/>
        <v>0</v>
      </c>
      <c r="K250" s="6">
        <f t="shared" si="24"/>
        <v>1806</v>
      </c>
      <c r="L250">
        <f t="shared" si="25"/>
        <v>1163</v>
      </c>
      <c r="M250">
        <f t="shared" si="26"/>
        <v>0</v>
      </c>
      <c r="P250" s="6">
        <f t="shared" si="27"/>
        <v>1163</v>
      </c>
    </row>
    <row r="251" spans="4:19" x14ac:dyDescent="0.25">
      <c r="D251">
        <v>248</v>
      </c>
      <c r="E251" s="4">
        <v>0</v>
      </c>
      <c r="F251" s="8">
        <f t="shared" si="21"/>
        <v>0</v>
      </c>
      <c r="G251">
        <f t="shared" si="22"/>
        <v>1806</v>
      </c>
      <c r="H251">
        <f t="shared" si="23"/>
        <v>0</v>
      </c>
      <c r="K251" s="6">
        <f t="shared" si="24"/>
        <v>1806</v>
      </c>
      <c r="L251">
        <f t="shared" si="25"/>
        <v>1163</v>
      </c>
      <c r="M251">
        <f t="shared" si="26"/>
        <v>0</v>
      </c>
      <c r="P251" s="6">
        <f t="shared" si="27"/>
        <v>1163</v>
      </c>
    </row>
    <row r="252" spans="4:19" x14ac:dyDescent="0.25">
      <c r="D252">
        <v>249</v>
      </c>
      <c r="E252" s="4">
        <v>0</v>
      </c>
      <c r="F252" s="8">
        <f t="shared" si="21"/>
        <v>0</v>
      </c>
      <c r="G252">
        <f t="shared" si="22"/>
        <v>1806</v>
      </c>
      <c r="H252">
        <f t="shared" si="23"/>
        <v>0</v>
      </c>
      <c r="K252" s="6">
        <f t="shared" si="24"/>
        <v>1806</v>
      </c>
      <c r="L252">
        <f t="shared" si="25"/>
        <v>1163</v>
      </c>
      <c r="M252">
        <f t="shared" si="26"/>
        <v>0</v>
      </c>
      <c r="P252" s="6">
        <f t="shared" si="27"/>
        <v>1163</v>
      </c>
    </row>
    <row r="253" spans="4:19" x14ac:dyDescent="0.25">
      <c r="D253">
        <v>250</v>
      </c>
      <c r="E253" s="4">
        <v>0</v>
      </c>
      <c r="F253" s="8">
        <f t="shared" si="21"/>
        <v>0</v>
      </c>
      <c r="G253">
        <f t="shared" si="22"/>
        <v>1806</v>
      </c>
      <c r="H253">
        <f t="shared" si="23"/>
        <v>0</v>
      </c>
      <c r="I253">
        <f>ROUNDUP(MAX($B$1*($B$3+$B$4)+NORMSINV($B$5)*SQRT($B$3+$B$4)*$B$2-K253,0),0)</f>
        <v>0</v>
      </c>
      <c r="K253" s="6">
        <f t="shared" si="24"/>
        <v>1806</v>
      </c>
      <c r="L253">
        <f t="shared" si="25"/>
        <v>1163</v>
      </c>
      <c r="M253">
        <f t="shared" si="26"/>
        <v>0</v>
      </c>
      <c r="N253">
        <f>ROUNDUP(MAX($B$1*($B$3)+NORMSINV($B$5)*SQRT($B$3)*$B$2-P253,0),0)</f>
        <v>0</v>
      </c>
      <c r="P253" s="6">
        <f t="shared" si="27"/>
        <v>1163</v>
      </c>
    </row>
    <row r="254" spans="4:19" x14ac:dyDescent="0.25">
      <c r="D254">
        <v>251</v>
      </c>
      <c r="E254" s="4">
        <v>0</v>
      </c>
      <c r="F254" s="8">
        <f t="shared" si="21"/>
        <v>0</v>
      </c>
      <c r="G254">
        <f t="shared" si="22"/>
        <v>1806</v>
      </c>
      <c r="H254">
        <f t="shared" si="23"/>
        <v>0</v>
      </c>
      <c r="K254" s="6">
        <f t="shared" si="24"/>
        <v>1806</v>
      </c>
      <c r="L254">
        <f t="shared" si="25"/>
        <v>1163</v>
      </c>
      <c r="M254">
        <f t="shared" si="26"/>
        <v>0</v>
      </c>
      <c r="P254" s="6">
        <f t="shared" si="27"/>
        <v>1163</v>
      </c>
    </row>
    <row r="255" spans="4:19" x14ac:dyDescent="0.25">
      <c r="D255">
        <v>252</v>
      </c>
      <c r="E255" s="4">
        <v>0</v>
      </c>
      <c r="F255" s="8">
        <f t="shared" si="21"/>
        <v>0</v>
      </c>
      <c r="G255">
        <f t="shared" si="22"/>
        <v>1806</v>
      </c>
      <c r="H255">
        <f t="shared" si="23"/>
        <v>0</v>
      </c>
      <c r="K255" s="6">
        <f t="shared" si="24"/>
        <v>1806</v>
      </c>
      <c r="L255">
        <f t="shared" si="25"/>
        <v>1163</v>
      </c>
      <c r="M255">
        <f t="shared" si="26"/>
        <v>0</v>
      </c>
      <c r="P255" s="6">
        <f t="shared" si="27"/>
        <v>1163</v>
      </c>
    </row>
    <row r="256" spans="4:19" x14ac:dyDescent="0.25">
      <c r="D256">
        <v>253</v>
      </c>
      <c r="E256" s="4">
        <v>0</v>
      </c>
      <c r="F256" s="8">
        <f t="shared" si="21"/>
        <v>0</v>
      </c>
      <c r="G256">
        <f t="shared" si="22"/>
        <v>1806</v>
      </c>
      <c r="H256">
        <f t="shared" si="23"/>
        <v>0</v>
      </c>
      <c r="K256" s="6">
        <f t="shared" si="24"/>
        <v>1806</v>
      </c>
      <c r="L256">
        <f t="shared" si="25"/>
        <v>1163</v>
      </c>
      <c r="M256">
        <f t="shared" si="26"/>
        <v>0</v>
      </c>
      <c r="P256" s="6">
        <f t="shared" si="27"/>
        <v>1163</v>
      </c>
    </row>
    <row r="257" spans="4:19" x14ac:dyDescent="0.25">
      <c r="D257">
        <v>254</v>
      </c>
      <c r="E257" s="4">
        <v>0</v>
      </c>
      <c r="F257" s="8">
        <f t="shared" si="21"/>
        <v>0</v>
      </c>
      <c r="G257">
        <f t="shared" si="22"/>
        <v>1806</v>
      </c>
      <c r="H257">
        <f t="shared" si="23"/>
        <v>0</v>
      </c>
      <c r="K257" s="6">
        <f t="shared" si="24"/>
        <v>1806</v>
      </c>
      <c r="L257">
        <f t="shared" si="25"/>
        <v>1163</v>
      </c>
      <c r="M257">
        <f t="shared" si="26"/>
        <v>0</v>
      </c>
      <c r="P257" s="6">
        <f t="shared" si="27"/>
        <v>1163</v>
      </c>
    </row>
    <row r="258" spans="4:19" x14ac:dyDescent="0.25">
      <c r="D258">
        <v>255</v>
      </c>
      <c r="E258" s="4">
        <v>0</v>
      </c>
      <c r="F258" s="8">
        <f t="shared" si="21"/>
        <v>0</v>
      </c>
      <c r="G258">
        <f t="shared" si="22"/>
        <v>1806</v>
      </c>
      <c r="H258">
        <f t="shared" si="23"/>
        <v>0</v>
      </c>
      <c r="K258" s="6">
        <f t="shared" si="24"/>
        <v>1806</v>
      </c>
      <c r="L258">
        <f t="shared" si="25"/>
        <v>1163</v>
      </c>
      <c r="M258">
        <f t="shared" si="26"/>
        <v>0</v>
      </c>
      <c r="P258" s="6">
        <f t="shared" si="27"/>
        <v>1163</v>
      </c>
      <c r="R258">
        <f>IF(H258&gt;0,1,0)</f>
        <v>0</v>
      </c>
      <c r="S258">
        <f>IF(M258&gt;0,1,0)</f>
        <v>0</v>
      </c>
    </row>
    <row r="259" spans="4:19" x14ac:dyDescent="0.25">
      <c r="D259">
        <v>256</v>
      </c>
      <c r="E259" s="4">
        <v>0</v>
      </c>
      <c r="F259" s="8">
        <f t="shared" si="21"/>
        <v>0</v>
      </c>
      <c r="G259">
        <f t="shared" si="22"/>
        <v>1806</v>
      </c>
      <c r="H259">
        <f t="shared" si="23"/>
        <v>0</v>
      </c>
      <c r="J259">
        <f>I253</f>
        <v>0</v>
      </c>
      <c r="K259" s="6">
        <f t="shared" si="24"/>
        <v>1806</v>
      </c>
      <c r="L259">
        <f t="shared" si="25"/>
        <v>1163</v>
      </c>
      <c r="M259">
        <f t="shared" si="26"/>
        <v>0</v>
      </c>
      <c r="O259">
        <f>N253</f>
        <v>0</v>
      </c>
      <c r="P259" s="6">
        <f t="shared" si="27"/>
        <v>1163</v>
      </c>
    </row>
    <row r="260" spans="4:19" x14ac:dyDescent="0.25">
      <c r="D260">
        <v>257</v>
      </c>
      <c r="E260" s="4">
        <v>0</v>
      </c>
      <c r="F260" s="8">
        <f t="shared" si="21"/>
        <v>0</v>
      </c>
      <c r="G260">
        <f t="shared" si="22"/>
        <v>1806</v>
      </c>
      <c r="H260">
        <f t="shared" si="23"/>
        <v>0</v>
      </c>
      <c r="K260" s="6">
        <f t="shared" si="24"/>
        <v>1806</v>
      </c>
      <c r="L260">
        <f t="shared" si="25"/>
        <v>1163</v>
      </c>
      <c r="M260">
        <f t="shared" si="26"/>
        <v>0</v>
      </c>
      <c r="P260" s="6">
        <f t="shared" si="27"/>
        <v>1163</v>
      </c>
    </row>
    <row r="261" spans="4:19" x14ac:dyDescent="0.25">
      <c r="D261">
        <v>258</v>
      </c>
      <c r="E261" s="4">
        <v>0</v>
      </c>
      <c r="F261" s="8">
        <f t="shared" ref="F261:F324" si="28">ROUND(E261,0)</f>
        <v>0</v>
      </c>
      <c r="G261">
        <f t="shared" ref="G261:G324" si="29">K260</f>
        <v>1806</v>
      </c>
      <c r="H261">
        <f t="shared" ref="H261:H324" si="30">MAX(0,F261-G261-J261)</f>
        <v>0</v>
      </c>
      <c r="K261" s="6">
        <f t="shared" ref="K261:K324" si="31">MAX(0,G261+J261-F261)</f>
        <v>1806</v>
      </c>
      <c r="L261">
        <f t="shared" ref="L261:L324" si="32">P260</f>
        <v>1163</v>
      </c>
      <c r="M261">
        <f t="shared" ref="M261:M324" si="33">MAX(0,F261-L261-O261)</f>
        <v>0</v>
      </c>
      <c r="P261" s="6">
        <f t="shared" ref="P261:P324" si="34">MAX(0,L261+O261-F261)</f>
        <v>1163</v>
      </c>
    </row>
    <row r="262" spans="4:19" x14ac:dyDescent="0.25">
      <c r="D262">
        <v>259</v>
      </c>
      <c r="E262" s="4">
        <v>0</v>
      </c>
      <c r="F262" s="8">
        <f t="shared" si="28"/>
        <v>0</v>
      </c>
      <c r="G262">
        <f t="shared" si="29"/>
        <v>1806</v>
      </c>
      <c r="H262">
        <f t="shared" si="30"/>
        <v>0</v>
      </c>
      <c r="K262" s="6">
        <f t="shared" si="31"/>
        <v>1806</v>
      </c>
      <c r="L262">
        <f t="shared" si="32"/>
        <v>1163</v>
      </c>
      <c r="M262">
        <f t="shared" si="33"/>
        <v>0</v>
      </c>
      <c r="P262" s="6">
        <f t="shared" si="34"/>
        <v>1163</v>
      </c>
    </row>
    <row r="263" spans="4:19" x14ac:dyDescent="0.25">
      <c r="D263">
        <v>260</v>
      </c>
      <c r="E263" s="4">
        <v>0</v>
      </c>
      <c r="F263" s="8">
        <f t="shared" si="28"/>
        <v>0</v>
      </c>
      <c r="G263">
        <f t="shared" si="29"/>
        <v>1806</v>
      </c>
      <c r="H263">
        <f t="shared" si="30"/>
        <v>0</v>
      </c>
      <c r="I263">
        <f>ROUNDUP(MAX($B$1*($B$3+$B$4)+NORMSINV($B$5)*SQRT($B$3+$B$4)*$B$2-K263,0),0)</f>
        <v>0</v>
      </c>
      <c r="K263" s="6">
        <f t="shared" si="31"/>
        <v>1806</v>
      </c>
      <c r="L263">
        <f t="shared" si="32"/>
        <v>1163</v>
      </c>
      <c r="M263">
        <f t="shared" si="33"/>
        <v>0</v>
      </c>
      <c r="N263">
        <f>ROUNDUP(MAX($B$1*($B$3)+NORMSINV($B$5)*SQRT($B$3)*$B$2-P263,0),0)</f>
        <v>0</v>
      </c>
      <c r="P263" s="6">
        <f t="shared" si="34"/>
        <v>1163</v>
      </c>
    </row>
    <row r="264" spans="4:19" x14ac:dyDescent="0.25">
      <c r="D264">
        <v>261</v>
      </c>
      <c r="E264" s="4">
        <v>0</v>
      </c>
      <c r="F264" s="8">
        <f t="shared" si="28"/>
        <v>0</v>
      </c>
      <c r="G264">
        <f t="shared" si="29"/>
        <v>1806</v>
      </c>
      <c r="H264">
        <f t="shared" si="30"/>
        <v>0</v>
      </c>
      <c r="K264" s="6">
        <f t="shared" si="31"/>
        <v>1806</v>
      </c>
      <c r="L264">
        <f t="shared" si="32"/>
        <v>1163</v>
      </c>
      <c r="M264">
        <f t="shared" si="33"/>
        <v>0</v>
      </c>
      <c r="P264" s="6">
        <f t="shared" si="34"/>
        <v>1163</v>
      </c>
    </row>
    <row r="265" spans="4:19" x14ac:dyDescent="0.25">
      <c r="D265">
        <v>262</v>
      </c>
      <c r="E265" s="4">
        <v>0</v>
      </c>
      <c r="F265" s="8">
        <f t="shared" si="28"/>
        <v>0</v>
      </c>
      <c r="G265">
        <f t="shared" si="29"/>
        <v>1806</v>
      </c>
      <c r="H265">
        <f t="shared" si="30"/>
        <v>0</v>
      </c>
      <c r="K265" s="6">
        <f t="shared" si="31"/>
        <v>1806</v>
      </c>
      <c r="L265">
        <f t="shared" si="32"/>
        <v>1163</v>
      </c>
      <c r="M265">
        <f t="shared" si="33"/>
        <v>0</v>
      </c>
      <c r="P265" s="6">
        <f t="shared" si="34"/>
        <v>1163</v>
      </c>
    </row>
    <row r="266" spans="4:19" x14ac:dyDescent="0.25">
      <c r="D266">
        <v>263</v>
      </c>
      <c r="E266" s="4">
        <v>0</v>
      </c>
      <c r="F266" s="8">
        <f t="shared" si="28"/>
        <v>0</v>
      </c>
      <c r="G266">
        <f t="shared" si="29"/>
        <v>1806</v>
      </c>
      <c r="H266">
        <f t="shared" si="30"/>
        <v>0</v>
      </c>
      <c r="K266" s="6">
        <f t="shared" si="31"/>
        <v>1806</v>
      </c>
      <c r="L266">
        <f t="shared" si="32"/>
        <v>1163</v>
      </c>
      <c r="M266">
        <f t="shared" si="33"/>
        <v>0</v>
      </c>
      <c r="P266" s="6">
        <f t="shared" si="34"/>
        <v>1163</v>
      </c>
    </row>
    <row r="267" spans="4:19" x14ac:dyDescent="0.25">
      <c r="D267">
        <v>264</v>
      </c>
      <c r="E267" s="4">
        <v>0</v>
      </c>
      <c r="F267" s="8">
        <f t="shared" si="28"/>
        <v>0</v>
      </c>
      <c r="G267">
        <f t="shared" si="29"/>
        <v>1806</v>
      </c>
      <c r="H267">
        <f t="shared" si="30"/>
        <v>0</v>
      </c>
      <c r="K267" s="6">
        <f t="shared" si="31"/>
        <v>1806</v>
      </c>
      <c r="L267">
        <f t="shared" si="32"/>
        <v>1163</v>
      </c>
      <c r="M267">
        <f t="shared" si="33"/>
        <v>0</v>
      </c>
      <c r="P267" s="6">
        <f t="shared" si="34"/>
        <v>1163</v>
      </c>
    </row>
    <row r="268" spans="4:19" x14ac:dyDescent="0.25">
      <c r="D268">
        <v>265</v>
      </c>
      <c r="E268" s="4">
        <v>0</v>
      </c>
      <c r="F268" s="8">
        <f t="shared" si="28"/>
        <v>0</v>
      </c>
      <c r="G268">
        <f t="shared" si="29"/>
        <v>1806</v>
      </c>
      <c r="H268">
        <f t="shared" si="30"/>
        <v>0</v>
      </c>
      <c r="K268" s="6">
        <f t="shared" si="31"/>
        <v>1806</v>
      </c>
      <c r="L268">
        <f t="shared" si="32"/>
        <v>1163</v>
      </c>
      <c r="M268">
        <f t="shared" si="33"/>
        <v>0</v>
      </c>
      <c r="P268" s="6">
        <f t="shared" si="34"/>
        <v>1163</v>
      </c>
      <c r="R268">
        <f>IF(H268&gt;0,1,0)</f>
        <v>0</v>
      </c>
      <c r="S268">
        <f>IF(M268&gt;0,1,0)</f>
        <v>0</v>
      </c>
    </row>
    <row r="269" spans="4:19" x14ac:dyDescent="0.25">
      <c r="D269">
        <v>266</v>
      </c>
      <c r="E269" s="4">
        <v>0</v>
      </c>
      <c r="F269" s="8">
        <f t="shared" si="28"/>
        <v>0</v>
      </c>
      <c r="G269">
        <f t="shared" si="29"/>
        <v>1806</v>
      </c>
      <c r="H269">
        <f t="shared" si="30"/>
        <v>0</v>
      </c>
      <c r="J269">
        <f>I263</f>
        <v>0</v>
      </c>
      <c r="K269" s="6">
        <f t="shared" si="31"/>
        <v>1806</v>
      </c>
      <c r="L269">
        <f t="shared" si="32"/>
        <v>1163</v>
      </c>
      <c r="M269">
        <f t="shared" si="33"/>
        <v>0</v>
      </c>
      <c r="O269">
        <f>N263</f>
        <v>0</v>
      </c>
      <c r="P269" s="6">
        <f t="shared" si="34"/>
        <v>1163</v>
      </c>
    </row>
    <row r="270" spans="4:19" x14ac:dyDescent="0.25">
      <c r="D270">
        <v>267</v>
      </c>
      <c r="E270" s="4">
        <v>0</v>
      </c>
      <c r="F270" s="8">
        <f t="shared" si="28"/>
        <v>0</v>
      </c>
      <c r="G270">
        <f t="shared" si="29"/>
        <v>1806</v>
      </c>
      <c r="H270">
        <f t="shared" si="30"/>
        <v>0</v>
      </c>
      <c r="K270" s="6">
        <f t="shared" si="31"/>
        <v>1806</v>
      </c>
      <c r="L270">
        <f t="shared" si="32"/>
        <v>1163</v>
      </c>
      <c r="M270">
        <f t="shared" si="33"/>
        <v>0</v>
      </c>
      <c r="P270" s="6">
        <f t="shared" si="34"/>
        <v>1163</v>
      </c>
    </row>
    <row r="271" spans="4:19" x14ac:dyDescent="0.25">
      <c r="D271">
        <v>268</v>
      </c>
      <c r="E271" s="4">
        <v>0</v>
      </c>
      <c r="F271" s="8">
        <f t="shared" si="28"/>
        <v>0</v>
      </c>
      <c r="G271">
        <f t="shared" si="29"/>
        <v>1806</v>
      </c>
      <c r="H271">
        <f t="shared" si="30"/>
        <v>0</v>
      </c>
      <c r="K271" s="6">
        <f t="shared" si="31"/>
        <v>1806</v>
      </c>
      <c r="L271">
        <f t="shared" si="32"/>
        <v>1163</v>
      </c>
      <c r="M271">
        <f t="shared" si="33"/>
        <v>0</v>
      </c>
      <c r="P271" s="6">
        <f t="shared" si="34"/>
        <v>1163</v>
      </c>
    </row>
    <row r="272" spans="4:19" x14ac:dyDescent="0.25">
      <c r="D272">
        <v>269</v>
      </c>
      <c r="E272" s="4">
        <v>0</v>
      </c>
      <c r="F272" s="8">
        <f t="shared" si="28"/>
        <v>0</v>
      </c>
      <c r="G272">
        <f t="shared" si="29"/>
        <v>1806</v>
      </c>
      <c r="H272">
        <f t="shared" si="30"/>
        <v>0</v>
      </c>
      <c r="K272" s="6">
        <f t="shared" si="31"/>
        <v>1806</v>
      </c>
      <c r="L272">
        <f t="shared" si="32"/>
        <v>1163</v>
      </c>
      <c r="M272">
        <f t="shared" si="33"/>
        <v>0</v>
      </c>
      <c r="P272" s="6">
        <f t="shared" si="34"/>
        <v>1163</v>
      </c>
    </row>
    <row r="273" spans="4:19" x14ac:dyDescent="0.25">
      <c r="D273">
        <v>270</v>
      </c>
      <c r="E273" s="4">
        <v>0</v>
      </c>
      <c r="F273" s="8">
        <f t="shared" si="28"/>
        <v>0</v>
      </c>
      <c r="G273">
        <f t="shared" si="29"/>
        <v>1806</v>
      </c>
      <c r="H273">
        <f t="shared" si="30"/>
        <v>0</v>
      </c>
      <c r="I273">
        <f>ROUNDUP(MAX($B$1*($B$3+$B$4)+NORMSINV($B$5)*SQRT($B$3+$B$4)*$B$2-K273,0),0)</f>
        <v>0</v>
      </c>
      <c r="K273" s="6">
        <f t="shared" si="31"/>
        <v>1806</v>
      </c>
      <c r="L273">
        <f t="shared" si="32"/>
        <v>1163</v>
      </c>
      <c r="M273">
        <f t="shared" si="33"/>
        <v>0</v>
      </c>
      <c r="N273">
        <f>ROUNDUP(MAX($B$1*($B$3)+NORMSINV($B$5)*SQRT($B$3)*$B$2-P273,0),0)</f>
        <v>0</v>
      </c>
      <c r="P273" s="6">
        <f t="shared" si="34"/>
        <v>1163</v>
      </c>
    </row>
    <row r="274" spans="4:19" x14ac:dyDescent="0.25">
      <c r="D274">
        <v>271</v>
      </c>
      <c r="E274" s="4">
        <v>0</v>
      </c>
      <c r="F274" s="8">
        <f t="shared" si="28"/>
        <v>0</v>
      </c>
      <c r="G274">
        <f t="shared" si="29"/>
        <v>1806</v>
      </c>
      <c r="H274">
        <f t="shared" si="30"/>
        <v>0</v>
      </c>
      <c r="K274" s="6">
        <f t="shared" si="31"/>
        <v>1806</v>
      </c>
      <c r="L274">
        <f t="shared" si="32"/>
        <v>1163</v>
      </c>
      <c r="M274">
        <f t="shared" si="33"/>
        <v>0</v>
      </c>
      <c r="P274" s="6">
        <f t="shared" si="34"/>
        <v>1163</v>
      </c>
    </row>
    <row r="275" spans="4:19" x14ac:dyDescent="0.25">
      <c r="D275">
        <v>272</v>
      </c>
      <c r="E275" s="4">
        <v>0</v>
      </c>
      <c r="F275" s="8">
        <f t="shared" si="28"/>
        <v>0</v>
      </c>
      <c r="G275">
        <f t="shared" si="29"/>
        <v>1806</v>
      </c>
      <c r="H275">
        <f t="shared" si="30"/>
        <v>0</v>
      </c>
      <c r="K275" s="6">
        <f t="shared" si="31"/>
        <v>1806</v>
      </c>
      <c r="L275">
        <f t="shared" si="32"/>
        <v>1163</v>
      </c>
      <c r="M275">
        <f t="shared" si="33"/>
        <v>0</v>
      </c>
      <c r="P275" s="6">
        <f t="shared" si="34"/>
        <v>1163</v>
      </c>
    </row>
    <row r="276" spans="4:19" x14ac:dyDescent="0.25">
      <c r="D276">
        <v>273</v>
      </c>
      <c r="E276" s="4">
        <v>0</v>
      </c>
      <c r="F276" s="8">
        <f t="shared" si="28"/>
        <v>0</v>
      </c>
      <c r="G276">
        <f t="shared" si="29"/>
        <v>1806</v>
      </c>
      <c r="H276">
        <f t="shared" si="30"/>
        <v>0</v>
      </c>
      <c r="K276" s="6">
        <f t="shared" si="31"/>
        <v>1806</v>
      </c>
      <c r="L276">
        <f t="shared" si="32"/>
        <v>1163</v>
      </c>
      <c r="M276">
        <f t="shared" si="33"/>
        <v>0</v>
      </c>
      <c r="P276" s="6">
        <f t="shared" si="34"/>
        <v>1163</v>
      </c>
    </row>
    <row r="277" spans="4:19" x14ac:dyDescent="0.25">
      <c r="D277">
        <v>274</v>
      </c>
      <c r="E277" s="4">
        <v>0</v>
      </c>
      <c r="F277" s="8">
        <f t="shared" si="28"/>
        <v>0</v>
      </c>
      <c r="G277">
        <f t="shared" si="29"/>
        <v>1806</v>
      </c>
      <c r="H277">
        <f t="shared" si="30"/>
        <v>0</v>
      </c>
      <c r="K277" s="6">
        <f t="shared" si="31"/>
        <v>1806</v>
      </c>
      <c r="L277">
        <f t="shared" si="32"/>
        <v>1163</v>
      </c>
      <c r="M277">
        <f t="shared" si="33"/>
        <v>0</v>
      </c>
      <c r="P277" s="6">
        <f t="shared" si="34"/>
        <v>1163</v>
      </c>
    </row>
    <row r="278" spans="4:19" x14ac:dyDescent="0.25">
      <c r="D278">
        <v>275</v>
      </c>
      <c r="E278" s="4">
        <v>0</v>
      </c>
      <c r="F278" s="8">
        <f t="shared" si="28"/>
        <v>0</v>
      </c>
      <c r="G278">
        <f t="shared" si="29"/>
        <v>1806</v>
      </c>
      <c r="H278">
        <f t="shared" si="30"/>
        <v>0</v>
      </c>
      <c r="K278" s="6">
        <f t="shared" si="31"/>
        <v>1806</v>
      </c>
      <c r="L278">
        <f t="shared" si="32"/>
        <v>1163</v>
      </c>
      <c r="M278">
        <f t="shared" si="33"/>
        <v>0</v>
      </c>
      <c r="P278" s="6">
        <f t="shared" si="34"/>
        <v>1163</v>
      </c>
      <c r="R278">
        <f>IF(H278&gt;0,1,0)</f>
        <v>0</v>
      </c>
      <c r="S278">
        <f>IF(M278&gt;0,1,0)</f>
        <v>0</v>
      </c>
    </row>
    <row r="279" spans="4:19" x14ac:dyDescent="0.25">
      <c r="D279">
        <v>276</v>
      </c>
      <c r="E279" s="4">
        <v>0</v>
      </c>
      <c r="F279" s="8">
        <f t="shared" si="28"/>
        <v>0</v>
      </c>
      <c r="G279">
        <f t="shared" si="29"/>
        <v>1806</v>
      </c>
      <c r="H279">
        <f t="shared" si="30"/>
        <v>0</v>
      </c>
      <c r="J279">
        <f>I273</f>
        <v>0</v>
      </c>
      <c r="K279" s="6">
        <f t="shared" si="31"/>
        <v>1806</v>
      </c>
      <c r="L279">
        <f t="shared" si="32"/>
        <v>1163</v>
      </c>
      <c r="M279">
        <f t="shared" si="33"/>
        <v>0</v>
      </c>
      <c r="O279">
        <f>N273</f>
        <v>0</v>
      </c>
      <c r="P279" s="6">
        <f t="shared" si="34"/>
        <v>1163</v>
      </c>
    </row>
    <row r="280" spans="4:19" x14ac:dyDescent="0.25">
      <c r="D280">
        <v>277</v>
      </c>
      <c r="E280" s="4">
        <v>0</v>
      </c>
      <c r="F280" s="8">
        <f t="shared" si="28"/>
        <v>0</v>
      </c>
      <c r="G280">
        <f t="shared" si="29"/>
        <v>1806</v>
      </c>
      <c r="H280">
        <f t="shared" si="30"/>
        <v>0</v>
      </c>
      <c r="K280" s="6">
        <f t="shared" si="31"/>
        <v>1806</v>
      </c>
      <c r="L280">
        <f t="shared" si="32"/>
        <v>1163</v>
      </c>
      <c r="M280">
        <f t="shared" si="33"/>
        <v>0</v>
      </c>
      <c r="P280" s="6">
        <f t="shared" si="34"/>
        <v>1163</v>
      </c>
    </row>
    <row r="281" spans="4:19" x14ac:dyDescent="0.25">
      <c r="D281">
        <v>278</v>
      </c>
      <c r="E281" s="4">
        <v>0</v>
      </c>
      <c r="F281" s="8">
        <f t="shared" si="28"/>
        <v>0</v>
      </c>
      <c r="G281">
        <f t="shared" si="29"/>
        <v>1806</v>
      </c>
      <c r="H281">
        <f t="shared" si="30"/>
        <v>0</v>
      </c>
      <c r="K281" s="6">
        <f t="shared" si="31"/>
        <v>1806</v>
      </c>
      <c r="L281">
        <f t="shared" si="32"/>
        <v>1163</v>
      </c>
      <c r="M281">
        <f t="shared" si="33"/>
        <v>0</v>
      </c>
      <c r="P281" s="6">
        <f t="shared" si="34"/>
        <v>1163</v>
      </c>
    </row>
    <row r="282" spans="4:19" x14ac:dyDescent="0.25">
      <c r="D282">
        <v>279</v>
      </c>
      <c r="E282" s="4">
        <v>0</v>
      </c>
      <c r="F282" s="8">
        <f t="shared" si="28"/>
        <v>0</v>
      </c>
      <c r="G282">
        <f t="shared" si="29"/>
        <v>1806</v>
      </c>
      <c r="H282">
        <f t="shared" si="30"/>
        <v>0</v>
      </c>
      <c r="K282" s="6">
        <f t="shared" si="31"/>
        <v>1806</v>
      </c>
      <c r="L282">
        <f t="shared" si="32"/>
        <v>1163</v>
      </c>
      <c r="M282">
        <f t="shared" si="33"/>
        <v>0</v>
      </c>
      <c r="P282" s="6">
        <f t="shared" si="34"/>
        <v>1163</v>
      </c>
    </row>
    <row r="283" spans="4:19" x14ac:dyDescent="0.25">
      <c r="D283">
        <v>280</v>
      </c>
      <c r="E283" s="4">
        <v>0</v>
      </c>
      <c r="F283" s="8">
        <f t="shared" si="28"/>
        <v>0</v>
      </c>
      <c r="G283">
        <f t="shared" si="29"/>
        <v>1806</v>
      </c>
      <c r="H283">
        <f t="shared" si="30"/>
        <v>0</v>
      </c>
      <c r="I283">
        <f>ROUNDUP(MAX($B$1*($B$3+$B$4)+NORMSINV($B$5)*SQRT($B$3+$B$4)*$B$2-K283,0),0)</f>
        <v>0</v>
      </c>
      <c r="K283" s="6">
        <f t="shared" si="31"/>
        <v>1806</v>
      </c>
      <c r="L283">
        <f t="shared" si="32"/>
        <v>1163</v>
      </c>
      <c r="M283">
        <f t="shared" si="33"/>
        <v>0</v>
      </c>
      <c r="N283">
        <f>ROUNDUP(MAX($B$1*($B$3)+NORMSINV($B$5)*SQRT($B$3)*$B$2-P283,0),0)</f>
        <v>0</v>
      </c>
      <c r="P283" s="6">
        <f t="shared" si="34"/>
        <v>1163</v>
      </c>
    </row>
    <row r="284" spans="4:19" x14ac:dyDescent="0.25">
      <c r="D284">
        <v>281</v>
      </c>
      <c r="E284" s="4">
        <v>0</v>
      </c>
      <c r="F284" s="8">
        <f t="shared" si="28"/>
        <v>0</v>
      </c>
      <c r="G284">
        <f t="shared" si="29"/>
        <v>1806</v>
      </c>
      <c r="H284">
        <f t="shared" si="30"/>
        <v>0</v>
      </c>
      <c r="K284" s="6">
        <f t="shared" si="31"/>
        <v>1806</v>
      </c>
      <c r="L284">
        <f t="shared" si="32"/>
        <v>1163</v>
      </c>
      <c r="M284">
        <f t="shared" si="33"/>
        <v>0</v>
      </c>
      <c r="P284" s="6">
        <f t="shared" si="34"/>
        <v>1163</v>
      </c>
    </row>
    <row r="285" spans="4:19" x14ac:dyDescent="0.25">
      <c r="D285">
        <v>282</v>
      </c>
      <c r="E285" s="4">
        <v>0</v>
      </c>
      <c r="F285" s="8">
        <f t="shared" si="28"/>
        <v>0</v>
      </c>
      <c r="G285">
        <f t="shared" si="29"/>
        <v>1806</v>
      </c>
      <c r="H285">
        <f t="shared" si="30"/>
        <v>0</v>
      </c>
      <c r="K285" s="6">
        <f t="shared" si="31"/>
        <v>1806</v>
      </c>
      <c r="L285">
        <f t="shared" si="32"/>
        <v>1163</v>
      </c>
      <c r="M285">
        <f t="shared" si="33"/>
        <v>0</v>
      </c>
      <c r="P285" s="6">
        <f t="shared" si="34"/>
        <v>1163</v>
      </c>
    </row>
    <row r="286" spans="4:19" x14ac:dyDescent="0.25">
      <c r="D286">
        <v>283</v>
      </c>
      <c r="E286" s="4">
        <v>0</v>
      </c>
      <c r="F286" s="8">
        <f t="shared" si="28"/>
        <v>0</v>
      </c>
      <c r="G286">
        <f t="shared" si="29"/>
        <v>1806</v>
      </c>
      <c r="H286">
        <f t="shared" si="30"/>
        <v>0</v>
      </c>
      <c r="K286" s="6">
        <f t="shared" si="31"/>
        <v>1806</v>
      </c>
      <c r="L286">
        <f t="shared" si="32"/>
        <v>1163</v>
      </c>
      <c r="M286">
        <f t="shared" si="33"/>
        <v>0</v>
      </c>
      <c r="P286" s="6">
        <f t="shared" si="34"/>
        <v>1163</v>
      </c>
    </row>
    <row r="287" spans="4:19" x14ac:dyDescent="0.25">
      <c r="D287">
        <v>284</v>
      </c>
      <c r="E287" s="4">
        <v>0</v>
      </c>
      <c r="F287" s="8">
        <f t="shared" si="28"/>
        <v>0</v>
      </c>
      <c r="G287">
        <f t="shared" si="29"/>
        <v>1806</v>
      </c>
      <c r="H287">
        <f t="shared" si="30"/>
        <v>0</v>
      </c>
      <c r="K287" s="6">
        <f t="shared" si="31"/>
        <v>1806</v>
      </c>
      <c r="L287">
        <f t="shared" si="32"/>
        <v>1163</v>
      </c>
      <c r="M287">
        <f t="shared" si="33"/>
        <v>0</v>
      </c>
      <c r="P287" s="6">
        <f t="shared" si="34"/>
        <v>1163</v>
      </c>
    </row>
    <row r="288" spans="4:19" x14ac:dyDescent="0.25">
      <c r="D288">
        <v>285</v>
      </c>
      <c r="E288" s="4">
        <v>0</v>
      </c>
      <c r="F288" s="8">
        <f t="shared" si="28"/>
        <v>0</v>
      </c>
      <c r="G288">
        <f t="shared" si="29"/>
        <v>1806</v>
      </c>
      <c r="H288">
        <f t="shared" si="30"/>
        <v>0</v>
      </c>
      <c r="K288" s="6">
        <f t="shared" si="31"/>
        <v>1806</v>
      </c>
      <c r="L288">
        <f t="shared" si="32"/>
        <v>1163</v>
      </c>
      <c r="M288">
        <f t="shared" si="33"/>
        <v>0</v>
      </c>
      <c r="P288" s="6">
        <f t="shared" si="34"/>
        <v>1163</v>
      </c>
      <c r="R288">
        <f>IF(H288&gt;0,1,0)</f>
        <v>0</v>
      </c>
      <c r="S288">
        <f>IF(M288&gt;0,1,0)</f>
        <v>0</v>
      </c>
    </row>
    <row r="289" spans="4:19" x14ac:dyDescent="0.25">
      <c r="D289">
        <v>286</v>
      </c>
      <c r="E289" s="4">
        <v>0</v>
      </c>
      <c r="F289" s="8">
        <f t="shared" si="28"/>
        <v>0</v>
      </c>
      <c r="G289">
        <f t="shared" si="29"/>
        <v>1806</v>
      </c>
      <c r="H289">
        <f t="shared" si="30"/>
        <v>0</v>
      </c>
      <c r="J289">
        <f>I283</f>
        <v>0</v>
      </c>
      <c r="K289" s="6">
        <f t="shared" si="31"/>
        <v>1806</v>
      </c>
      <c r="L289">
        <f t="shared" si="32"/>
        <v>1163</v>
      </c>
      <c r="M289">
        <f t="shared" si="33"/>
        <v>0</v>
      </c>
      <c r="O289">
        <f>N283</f>
        <v>0</v>
      </c>
      <c r="P289" s="6">
        <f t="shared" si="34"/>
        <v>1163</v>
      </c>
    </row>
    <row r="290" spans="4:19" x14ac:dyDescent="0.25">
      <c r="D290">
        <v>287</v>
      </c>
      <c r="E290" s="4">
        <v>0</v>
      </c>
      <c r="F290" s="8">
        <f t="shared" si="28"/>
        <v>0</v>
      </c>
      <c r="G290">
        <f t="shared" si="29"/>
        <v>1806</v>
      </c>
      <c r="H290">
        <f t="shared" si="30"/>
        <v>0</v>
      </c>
      <c r="K290" s="6">
        <f t="shared" si="31"/>
        <v>1806</v>
      </c>
      <c r="L290">
        <f t="shared" si="32"/>
        <v>1163</v>
      </c>
      <c r="M290">
        <f t="shared" si="33"/>
        <v>0</v>
      </c>
      <c r="P290" s="6">
        <f t="shared" si="34"/>
        <v>1163</v>
      </c>
    </row>
    <row r="291" spans="4:19" x14ac:dyDescent="0.25">
      <c r="D291">
        <v>288</v>
      </c>
      <c r="E291" s="4">
        <v>0</v>
      </c>
      <c r="F291" s="8">
        <f t="shared" si="28"/>
        <v>0</v>
      </c>
      <c r="G291">
        <f t="shared" si="29"/>
        <v>1806</v>
      </c>
      <c r="H291">
        <f t="shared" si="30"/>
        <v>0</v>
      </c>
      <c r="K291" s="6">
        <f t="shared" si="31"/>
        <v>1806</v>
      </c>
      <c r="L291">
        <f t="shared" si="32"/>
        <v>1163</v>
      </c>
      <c r="M291">
        <f t="shared" si="33"/>
        <v>0</v>
      </c>
      <c r="P291" s="6">
        <f t="shared" si="34"/>
        <v>1163</v>
      </c>
    </row>
    <row r="292" spans="4:19" x14ac:dyDescent="0.25">
      <c r="D292">
        <v>289</v>
      </c>
      <c r="E292" s="4">
        <v>0</v>
      </c>
      <c r="F292" s="8">
        <f t="shared" si="28"/>
        <v>0</v>
      </c>
      <c r="G292">
        <f t="shared" si="29"/>
        <v>1806</v>
      </c>
      <c r="H292">
        <f t="shared" si="30"/>
        <v>0</v>
      </c>
      <c r="K292" s="6">
        <f t="shared" si="31"/>
        <v>1806</v>
      </c>
      <c r="L292">
        <f t="shared" si="32"/>
        <v>1163</v>
      </c>
      <c r="M292">
        <f t="shared" si="33"/>
        <v>0</v>
      </c>
      <c r="P292" s="6">
        <f t="shared" si="34"/>
        <v>1163</v>
      </c>
    </row>
    <row r="293" spans="4:19" x14ac:dyDescent="0.25">
      <c r="D293">
        <v>290</v>
      </c>
      <c r="E293" s="4">
        <v>0</v>
      </c>
      <c r="F293" s="8">
        <f t="shared" si="28"/>
        <v>0</v>
      </c>
      <c r="G293">
        <f t="shared" si="29"/>
        <v>1806</v>
      </c>
      <c r="H293">
        <f t="shared" si="30"/>
        <v>0</v>
      </c>
      <c r="I293">
        <f>ROUNDUP(MAX($B$1*($B$3+$B$4)+NORMSINV($B$5)*SQRT($B$3+$B$4)*$B$2-K293,0),0)</f>
        <v>0</v>
      </c>
      <c r="K293" s="6">
        <f t="shared" si="31"/>
        <v>1806</v>
      </c>
      <c r="L293">
        <f t="shared" si="32"/>
        <v>1163</v>
      </c>
      <c r="M293">
        <f t="shared" si="33"/>
        <v>0</v>
      </c>
      <c r="N293">
        <f>ROUNDUP(MAX($B$1*($B$3)+NORMSINV($B$5)*SQRT($B$3)*$B$2-P293,0),0)</f>
        <v>0</v>
      </c>
      <c r="P293" s="6">
        <f t="shared" si="34"/>
        <v>1163</v>
      </c>
    </row>
    <row r="294" spans="4:19" x14ac:dyDescent="0.25">
      <c r="D294">
        <v>291</v>
      </c>
      <c r="E294" s="4">
        <v>0</v>
      </c>
      <c r="F294" s="8">
        <f t="shared" si="28"/>
        <v>0</v>
      </c>
      <c r="G294">
        <f t="shared" si="29"/>
        <v>1806</v>
      </c>
      <c r="H294">
        <f t="shared" si="30"/>
        <v>0</v>
      </c>
      <c r="K294" s="6">
        <f t="shared" si="31"/>
        <v>1806</v>
      </c>
      <c r="L294">
        <f t="shared" si="32"/>
        <v>1163</v>
      </c>
      <c r="M294">
        <f t="shared" si="33"/>
        <v>0</v>
      </c>
      <c r="P294" s="6">
        <f t="shared" si="34"/>
        <v>1163</v>
      </c>
    </row>
    <row r="295" spans="4:19" x14ac:dyDescent="0.25">
      <c r="D295">
        <v>292</v>
      </c>
      <c r="E295" s="4">
        <v>0</v>
      </c>
      <c r="F295" s="8">
        <f t="shared" si="28"/>
        <v>0</v>
      </c>
      <c r="G295">
        <f t="shared" si="29"/>
        <v>1806</v>
      </c>
      <c r="H295">
        <f t="shared" si="30"/>
        <v>0</v>
      </c>
      <c r="K295" s="6">
        <f t="shared" si="31"/>
        <v>1806</v>
      </c>
      <c r="L295">
        <f t="shared" si="32"/>
        <v>1163</v>
      </c>
      <c r="M295">
        <f t="shared" si="33"/>
        <v>0</v>
      </c>
      <c r="P295" s="6">
        <f t="shared" si="34"/>
        <v>1163</v>
      </c>
    </row>
    <row r="296" spans="4:19" x14ac:dyDescent="0.25">
      <c r="D296">
        <v>293</v>
      </c>
      <c r="E296" s="4">
        <v>0</v>
      </c>
      <c r="F296" s="8">
        <f t="shared" si="28"/>
        <v>0</v>
      </c>
      <c r="G296">
        <f t="shared" si="29"/>
        <v>1806</v>
      </c>
      <c r="H296">
        <f t="shared" si="30"/>
        <v>0</v>
      </c>
      <c r="K296" s="6">
        <f t="shared" si="31"/>
        <v>1806</v>
      </c>
      <c r="L296">
        <f t="shared" si="32"/>
        <v>1163</v>
      </c>
      <c r="M296">
        <f t="shared" si="33"/>
        <v>0</v>
      </c>
      <c r="P296" s="6">
        <f t="shared" si="34"/>
        <v>1163</v>
      </c>
    </row>
    <row r="297" spans="4:19" x14ac:dyDescent="0.25">
      <c r="D297">
        <v>294</v>
      </c>
      <c r="E297" s="4">
        <v>0</v>
      </c>
      <c r="F297" s="8">
        <f t="shared" si="28"/>
        <v>0</v>
      </c>
      <c r="G297">
        <f t="shared" si="29"/>
        <v>1806</v>
      </c>
      <c r="H297">
        <f t="shared" si="30"/>
        <v>0</v>
      </c>
      <c r="K297" s="6">
        <f t="shared" si="31"/>
        <v>1806</v>
      </c>
      <c r="L297">
        <f t="shared" si="32"/>
        <v>1163</v>
      </c>
      <c r="M297">
        <f t="shared" si="33"/>
        <v>0</v>
      </c>
      <c r="P297" s="6">
        <f t="shared" si="34"/>
        <v>1163</v>
      </c>
    </row>
    <row r="298" spans="4:19" x14ac:dyDescent="0.25">
      <c r="D298">
        <v>295</v>
      </c>
      <c r="E298" s="4">
        <v>0</v>
      </c>
      <c r="F298" s="8">
        <f t="shared" si="28"/>
        <v>0</v>
      </c>
      <c r="G298">
        <f t="shared" si="29"/>
        <v>1806</v>
      </c>
      <c r="H298">
        <f t="shared" si="30"/>
        <v>0</v>
      </c>
      <c r="K298" s="6">
        <f t="shared" si="31"/>
        <v>1806</v>
      </c>
      <c r="L298">
        <f t="shared" si="32"/>
        <v>1163</v>
      </c>
      <c r="M298">
        <f t="shared" si="33"/>
        <v>0</v>
      </c>
      <c r="P298" s="6">
        <f t="shared" si="34"/>
        <v>1163</v>
      </c>
      <c r="R298">
        <f>IF(H298&gt;0,1,0)</f>
        <v>0</v>
      </c>
      <c r="S298">
        <f>IF(M298&gt;0,1,0)</f>
        <v>0</v>
      </c>
    </row>
    <row r="299" spans="4:19" x14ac:dyDescent="0.25">
      <c r="D299">
        <v>296</v>
      </c>
      <c r="E299" s="4">
        <v>0</v>
      </c>
      <c r="F299" s="8">
        <f t="shared" si="28"/>
        <v>0</v>
      </c>
      <c r="G299">
        <f t="shared" si="29"/>
        <v>1806</v>
      </c>
      <c r="H299">
        <f t="shared" si="30"/>
        <v>0</v>
      </c>
      <c r="J299">
        <f>I293</f>
        <v>0</v>
      </c>
      <c r="K299" s="6">
        <f t="shared" si="31"/>
        <v>1806</v>
      </c>
      <c r="L299">
        <f t="shared" si="32"/>
        <v>1163</v>
      </c>
      <c r="M299">
        <f t="shared" si="33"/>
        <v>0</v>
      </c>
      <c r="O299">
        <f>N293</f>
        <v>0</v>
      </c>
      <c r="P299" s="6">
        <f t="shared" si="34"/>
        <v>1163</v>
      </c>
    </row>
    <row r="300" spans="4:19" x14ac:dyDescent="0.25">
      <c r="D300">
        <v>297</v>
      </c>
      <c r="E300" s="4">
        <v>0</v>
      </c>
      <c r="F300" s="8">
        <f t="shared" si="28"/>
        <v>0</v>
      </c>
      <c r="G300">
        <f t="shared" si="29"/>
        <v>1806</v>
      </c>
      <c r="H300">
        <f t="shared" si="30"/>
        <v>0</v>
      </c>
      <c r="K300" s="6">
        <f t="shared" si="31"/>
        <v>1806</v>
      </c>
      <c r="L300">
        <f t="shared" si="32"/>
        <v>1163</v>
      </c>
      <c r="M300">
        <f t="shared" si="33"/>
        <v>0</v>
      </c>
      <c r="P300" s="6">
        <f t="shared" si="34"/>
        <v>1163</v>
      </c>
    </row>
    <row r="301" spans="4:19" x14ac:dyDescent="0.25">
      <c r="D301">
        <v>298</v>
      </c>
      <c r="E301" s="4">
        <v>0</v>
      </c>
      <c r="F301" s="8">
        <f t="shared" si="28"/>
        <v>0</v>
      </c>
      <c r="G301">
        <f t="shared" si="29"/>
        <v>1806</v>
      </c>
      <c r="H301">
        <f t="shared" si="30"/>
        <v>0</v>
      </c>
      <c r="K301" s="6">
        <f t="shared" si="31"/>
        <v>1806</v>
      </c>
      <c r="L301">
        <f t="shared" si="32"/>
        <v>1163</v>
      </c>
      <c r="M301">
        <f t="shared" si="33"/>
        <v>0</v>
      </c>
      <c r="P301" s="6">
        <f t="shared" si="34"/>
        <v>1163</v>
      </c>
    </row>
    <row r="302" spans="4:19" x14ac:dyDescent="0.25">
      <c r="D302">
        <v>299</v>
      </c>
      <c r="E302" s="4">
        <v>0</v>
      </c>
      <c r="F302" s="8">
        <f t="shared" si="28"/>
        <v>0</v>
      </c>
      <c r="G302">
        <f t="shared" si="29"/>
        <v>1806</v>
      </c>
      <c r="H302">
        <f t="shared" si="30"/>
        <v>0</v>
      </c>
      <c r="K302" s="6">
        <f t="shared" si="31"/>
        <v>1806</v>
      </c>
      <c r="L302">
        <f t="shared" si="32"/>
        <v>1163</v>
      </c>
      <c r="M302">
        <f t="shared" si="33"/>
        <v>0</v>
      </c>
      <c r="P302" s="6">
        <f t="shared" si="34"/>
        <v>1163</v>
      </c>
    </row>
    <row r="303" spans="4:19" x14ac:dyDescent="0.25">
      <c r="D303">
        <v>300</v>
      </c>
      <c r="E303" s="4">
        <v>0</v>
      </c>
      <c r="F303" s="8">
        <f t="shared" si="28"/>
        <v>0</v>
      </c>
      <c r="G303">
        <f t="shared" si="29"/>
        <v>1806</v>
      </c>
      <c r="H303">
        <f t="shared" si="30"/>
        <v>0</v>
      </c>
      <c r="I303">
        <f>ROUNDUP(MAX($B$1*($B$3+$B$4)+NORMSINV($B$5)*SQRT($B$3+$B$4)*$B$2-K303,0),0)</f>
        <v>0</v>
      </c>
      <c r="K303" s="6">
        <f t="shared" si="31"/>
        <v>1806</v>
      </c>
      <c r="L303">
        <f t="shared" si="32"/>
        <v>1163</v>
      </c>
      <c r="M303">
        <f t="shared" si="33"/>
        <v>0</v>
      </c>
      <c r="N303">
        <f>ROUNDUP(MAX($B$1*($B$3)+NORMSINV($B$5)*SQRT($B$3)*$B$2-P303,0),0)</f>
        <v>0</v>
      </c>
      <c r="P303" s="6">
        <f t="shared" si="34"/>
        <v>1163</v>
      </c>
    </row>
    <row r="304" spans="4:19" x14ac:dyDescent="0.25">
      <c r="D304">
        <v>301</v>
      </c>
      <c r="E304" s="4">
        <v>0</v>
      </c>
      <c r="F304" s="8">
        <f t="shared" si="28"/>
        <v>0</v>
      </c>
      <c r="G304">
        <f t="shared" si="29"/>
        <v>1806</v>
      </c>
      <c r="H304">
        <f t="shared" si="30"/>
        <v>0</v>
      </c>
      <c r="K304" s="6">
        <f t="shared" si="31"/>
        <v>1806</v>
      </c>
      <c r="L304">
        <f t="shared" si="32"/>
        <v>1163</v>
      </c>
      <c r="M304">
        <f t="shared" si="33"/>
        <v>0</v>
      </c>
      <c r="P304" s="6">
        <f t="shared" si="34"/>
        <v>1163</v>
      </c>
    </row>
    <row r="305" spans="4:19" x14ac:dyDescent="0.25">
      <c r="D305">
        <v>302</v>
      </c>
      <c r="E305" s="4">
        <v>0</v>
      </c>
      <c r="F305" s="8">
        <f t="shared" si="28"/>
        <v>0</v>
      </c>
      <c r="G305">
        <f t="shared" si="29"/>
        <v>1806</v>
      </c>
      <c r="H305">
        <f t="shared" si="30"/>
        <v>0</v>
      </c>
      <c r="K305" s="6">
        <f t="shared" si="31"/>
        <v>1806</v>
      </c>
      <c r="L305">
        <f t="shared" si="32"/>
        <v>1163</v>
      </c>
      <c r="M305">
        <f t="shared" si="33"/>
        <v>0</v>
      </c>
      <c r="P305" s="6">
        <f t="shared" si="34"/>
        <v>1163</v>
      </c>
    </row>
    <row r="306" spans="4:19" x14ac:dyDescent="0.25">
      <c r="D306">
        <v>303</v>
      </c>
      <c r="E306" s="4">
        <v>0</v>
      </c>
      <c r="F306" s="8">
        <f t="shared" si="28"/>
        <v>0</v>
      </c>
      <c r="G306">
        <f t="shared" si="29"/>
        <v>1806</v>
      </c>
      <c r="H306">
        <f t="shared" si="30"/>
        <v>0</v>
      </c>
      <c r="K306" s="6">
        <f t="shared" si="31"/>
        <v>1806</v>
      </c>
      <c r="L306">
        <f t="shared" si="32"/>
        <v>1163</v>
      </c>
      <c r="M306">
        <f t="shared" si="33"/>
        <v>0</v>
      </c>
      <c r="P306" s="6">
        <f t="shared" si="34"/>
        <v>1163</v>
      </c>
    </row>
    <row r="307" spans="4:19" x14ac:dyDescent="0.25">
      <c r="D307">
        <v>304</v>
      </c>
      <c r="E307" s="4">
        <v>0</v>
      </c>
      <c r="F307" s="8">
        <f t="shared" si="28"/>
        <v>0</v>
      </c>
      <c r="G307">
        <f t="shared" si="29"/>
        <v>1806</v>
      </c>
      <c r="H307">
        <f t="shared" si="30"/>
        <v>0</v>
      </c>
      <c r="K307" s="6">
        <f t="shared" si="31"/>
        <v>1806</v>
      </c>
      <c r="L307">
        <f t="shared" si="32"/>
        <v>1163</v>
      </c>
      <c r="M307">
        <f t="shared" si="33"/>
        <v>0</v>
      </c>
      <c r="P307" s="6">
        <f t="shared" si="34"/>
        <v>1163</v>
      </c>
    </row>
    <row r="308" spans="4:19" x14ac:dyDescent="0.25">
      <c r="D308">
        <v>305</v>
      </c>
      <c r="E308" s="4">
        <v>0</v>
      </c>
      <c r="F308" s="8">
        <f t="shared" si="28"/>
        <v>0</v>
      </c>
      <c r="G308">
        <f t="shared" si="29"/>
        <v>1806</v>
      </c>
      <c r="H308">
        <f t="shared" si="30"/>
        <v>0</v>
      </c>
      <c r="K308" s="6">
        <f t="shared" si="31"/>
        <v>1806</v>
      </c>
      <c r="L308">
        <f t="shared" si="32"/>
        <v>1163</v>
      </c>
      <c r="M308">
        <f t="shared" si="33"/>
        <v>0</v>
      </c>
      <c r="P308" s="6">
        <f t="shared" si="34"/>
        <v>1163</v>
      </c>
      <c r="R308">
        <f>IF(H308&gt;0,1,0)</f>
        <v>0</v>
      </c>
      <c r="S308">
        <f>IF(M308&gt;0,1,0)</f>
        <v>0</v>
      </c>
    </row>
    <row r="309" spans="4:19" x14ac:dyDescent="0.25">
      <c r="D309">
        <v>306</v>
      </c>
      <c r="E309" s="4">
        <v>0</v>
      </c>
      <c r="F309" s="8">
        <f t="shared" si="28"/>
        <v>0</v>
      </c>
      <c r="G309">
        <f t="shared" si="29"/>
        <v>1806</v>
      </c>
      <c r="H309">
        <f t="shared" si="30"/>
        <v>0</v>
      </c>
      <c r="J309">
        <f>I303</f>
        <v>0</v>
      </c>
      <c r="K309" s="6">
        <f t="shared" si="31"/>
        <v>1806</v>
      </c>
      <c r="L309">
        <f t="shared" si="32"/>
        <v>1163</v>
      </c>
      <c r="M309">
        <f t="shared" si="33"/>
        <v>0</v>
      </c>
      <c r="O309">
        <f>N303</f>
        <v>0</v>
      </c>
      <c r="P309" s="6">
        <f t="shared" si="34"/>
        <v>1163</v>
      </c>
    </row>
    <row r="310" spans="4:19" x14ac:dyDescent="0.25">
      <c r="D310">
        <v>307</v>
      </c>
      <c r="E310" s="4">
        <v>0</v>
      </c>
      <c r="F310" s="8">
        <f t="shared" si="28"/>
        <v>0</v>
      </c>
      <c r="G310">
        <f t="shared" si="29"/>
        <v>1806</v>
      </c>
      <c r="H310">
        <f t="shared" si="30"/>
        <v>0</v>
      </c>
      <c r="K310" s="6">
        <f t="shared" si="31"/>
        <v>1806</v>
      </c>
      <c r="L310">
        <f t="shared" si="32"/>
        <v>1163</v>
      </c>
      <c r="M310">
        <f t="shared" si="33"/>
        <v>0</v>
      </c>
      <c r="P310" s="6">
        <f t="shared" si="34"/>
        <v>1163</v>
      </c>
    </row>
    <row r="311" spans="4:19" x14ac:dyDescent="0.25">
      <c r="D311">
        <v>308</v>
      </c>
      <c r="E311" s="4">
        <v>0</v>
      </c>
      <c r="F311" s="8">
        <f t="shared" si="28"/>
        <v>0</v>
      </c>
      <c r="G311">
        <f t="shared" si="29"/>
        <v>1806</v>
      </c>
      <c r="H311">
        <f t="shared" si="30"/>
        <v>0</v>
      </c>
      <c r="K311" s="6">
        <f t="shared" si="31"/>
        <v>1806</v>
      </c>
      <c r="L311">
        <f t="shared" si="32"/>
        <v>1163</v>
      </c>
      <c r="M311">
        <f t="shared" si="33"/>
        <v>0</v>
      </c>
      <c r="P311" s="6">
        <f t="shared" si="34"/>
        <v>1163</v>
      </c>
    </row>
    <row r="312" spans="4:19" x14ac:dyDescent="0.25">
      <c r="D312">
        <v>309</v>
      </c>
      <c r="E312" s="4">
        <v>0</v>
      </c>
      <c r="F312" s="8">
        <f t="shared" si="28"/>
        <v>0</v>
      </c>
      <c r="G312">
        <f t="shared" si="29"/>
        <v>1806</v>
      </c>
      <c r="H312">
        <f t="shared" si="30"/>
        <v>0</v>
      </c>
      <c r="K312" s="6">
        <f t="shared" si="31"/>
        <v>1806</v>
      </c>
      <c r="L312">
        <f t="shared" si="32"/>
        <v>1163</v>
      </c>
      <c r="M312">
        <f t="shared" si="33"/>
        <v>0</v>
      </c>
      <c r="P312" s="6">
        <f t="shared" si="34"/>
        <v>1163</v>
      </c>
    </row>
    <row r="313" spans="4:19" x14ac:dyDescent="0.25">
      <c r="D313">
        <v>310</v>
      </c>
      <c r="E313" s="4">
        <v>0</v>
      </c>
      <c r="F313" s="8">
        <f t="shared" si="28"/>
        <v>0</v>
      </c>
      <c r="G313">
        <f t="shared" si="29"/>
        <v>1806</v>
      </c>
      <c r="H313">
        <f t="shared" si="30"/>
        <v>0</v>
      </c>
      <c r="I313">
        <f>ROUNDUP(MAX($B$1*($B$3+$B$4)+NORMSINV($B$5)*SQRT($B$3+$B$4)*$B$2-K313,0),0)</f>
        <v>0</v>
      </c>
      <c r="K313" s="6">
        <f t="shared" si="31"/>
        <v>1806</v>
      </c>
      <c r="L313">
        <f t="shared" si="32"/>
        <v>1163</v>
      </c>
      <c r="M313">
        <f t="shared" si="33"/>
        <v>0</v>
      </c>
      <c r="N313">
        <f>ROUNDUP(MAX($B$1*($B$3)+NORMSINV($B$5)*SQRT($B$3)*$B$2-P313,0),0)</f>
        <v>0</v>
      </c>
      <c r="P313" s="6">
        <f t="shared" si="34"/>
        <v>1163</v>
      </c>
    </row>
    <row r="314" spans="4:19" x14ac:dyDescent="0.25">
      <c r="D314">
        <v>311</v>
      </c>
      <c r="E314" s="4">
        <v>0</v>
      </c>
      <c r="F314" s="8">
        <f t="shared" si="28"/>
        <v>0</v>
      </c>
      <c r="G314">
        <f t="shared" si="29"/>
        <v>1806</v>
      </c>
      <c r="H314">
        <f t="shared" si="30"/>
        <v>0</v>
      </c>
      <c r="K314" s="6">
        <f t="shared" si="31"/>
        <v>1806</v>
      </c>
      <c r="L314">
        <f t="shared" si="32"/>
        <v>1163</v>
      </c>
      <c r="M314">
        <f t="shared" si="33"/>
        <v>0</v>
      </c>
      <c r="P314" s="6">
        <f t="shared" si="34"/>
        <v>1163</v>
      </c>
    </row>
    <row r="315" spans="4:19" x14ac:dyDescent="0.25">
      <c r="D315">
        <v>312</v>
      </c>
      <c r="E315" s="4">
        <v>0</v>
      </c>
      <c r="F315" s="8">
        <f t="shared" si="28"/>
        <v>0</v>
      </c>
      <c r="G315">
        <f t="shared" si="29"/>
        <v>1806</v>
      </c>
      <c r="H315">
        <f t="shared" si="30"/>
        <v>0</v>
      </c>
      <c r="K315" s="6">
        <f t="shared" si="31"/>
        <v>1806</v>
      </c>
      <c r="L315">
        <f t="shared" si="32"/>
        <v>1163</v>
      </c>
      <c r="M315">
        <f t="shared" si="33"/>
        <v>0</v>
      </c>
      <c r="P315" s="6">
        <f t="shared" si="34"/>
        <v>1163</v>
      </c>
    </row>
    <row r="316" spans="4:19" x14ac:dyDescent="0.25">
      <c r="D316">
        <v>313</v>
      </c>
      <c r="E316" s="4">
        <v>0</v>
      </c>
      <c r="F316" s="8">
        <f t="shared" si="28"/>
        <v>0</v>
      </c>
      <c r="G316">
        <f t="shared" si="29"/>
        <v>1806</v>
      </c>
      <c r="H316">
        <f t="shared" si="30"/>
        <v>0</v>
      </c>
      <c r="K316" s="6">
        <f t="shared" si="31"/>
        <v>1806</v>
      </c>
      <c r="L316">
        <f t="shared" si="32"/>
        <v>1163</v>
      </c>
      <c r="M316">
        <f t="shared" si="33"/>
        <v>0</v>
      </c>
      <c r="P316" s="6">
        <f t="shared" si="34"/>
        <v>1163</v>
      </c>
    </row>
    <row r="317" spans="4:19" x14ac:dyDescent="0.25">
      <c r="D317">
        <v>314</v>
      </c>
      <c r="E317" s="4">
        <v>0</v>
      </c>
      <c r="F317" s="8">
        <f t="shared" si="28"/>
        <v>0</v>
      </c>
      <c r="G317">
        <f t="shared" si="29"/>
        <v>1806</v>
      </c>
      <c r="H317">
        <f t="shared" si="30"/>
        <v>0</v>
      </c>
      <c r="K317" s="6">
        <f t="shared" si="31"/>
        <v>1806</v>
      </c>
      <c r="L317">
        <f t="shared" si="32"/>
        <v>1163</v>
      </c>
      <c r="M317">
        <f t="shared" si="33"/>
        <v>0</v>
      </c>
      <c r="P317" s="6">
        <f t="shared" si="34"/>
        <v>1163</v>
      </c>
    </row>
    <row r="318" spans="4:19" x14ac:dyDescent="0.25">
      <c r="D318">
        <v>315</v>
      </c>
      <c r="E318" s="4">
        <v>0</v>
      </c>
      <c r="F318" s="8">
        <f t="shared" si="28"/>
        <v>0</v>
      </c>
      <c r="G318">
        <f t="shared" si="29"/>
        <v>1806</v>
      </c>
      <c r="H318">
        <f t="shared" si="30"/>
        <v>0</v>
      </c>
      <c r="K318" s="6">
        <f t="shared" si="31"/>
        <v>1806</v>
      </c>
      <c r="L318">
        <f t="shared" si="32"/>
        <v>1163</v>
      </c>
      <c r="M318">
        <f t="shared" si="33"/>
        <v>0</v>
      </c>
      <c r="P318" s="6">
        <f t="shared" si="34"/>
        <v>1163</v>
      </c>
      <c r="R318">
        <f>IF(H318&gt;0,1,0)</f>
        <v>0</v>
      </c>
      <c r="S318">
        <f>IF(M318&gt;0,1,0)</f>
        <v>0</v>
      </c>
    </row>
    <row r="319" spans="4:19" x14ac:dyDescent="0.25">
      <c r="D319">
        <v>316</v>
      </c>
      <c r="E319" s="4">
        <v>0</v>
      </c>
      <c r="F319" s="8">
        <f t="shared" si="28"/>
        <v>0</v>
      </c>
      <c r="G319">
        <f t="shared" si="29"/>
        <v>1806</v>
      </c>
      <c r="H319">
        <f t="shared" si="30"/>
        <v>0</v>
      </c>
      <c r="J319">
        <f>I313</f>
        <v>0</v>
      </c>
      <c r="K319" s="6">
        <f t="shared" si="31"/>
        <v>1806</v>
      </c>
      <c r="L319">
        <f t="shared" si="32"/>
        <v>1163</v>
      </c>
      <c r="M319">
        <f t="shared" si="33"/>
        <v>0</v>
      </c>
      <c r="O319">
        <f>N313</f>
        <v>0</v>
      </c>
      <c r="P319" s="6">
        <f t="shared" si="34"/>
        <v>1163</v>
      </c>
    </row>
    <row r="320" spans="4:19" x14ac:dyDescent="0.25">
      <c r="D320">
        <v>317</v>
      </c>
      <c r="E320" s="4">
        <v>0</v>
      </c>
      <c r="F320" s="8">
        <f t="shared" si="28"/>
        <v>0</v>
      </c>
      <c r="G320">
        <f t="shared" si="29"/>
        <v>1806</v>
      </c>
      <c r="H320">
        <f t="shared" si="30"/>
        <v>0</v>
      </c>
      <c r="K320" s="6">
        <f t="shared" si="31"/>
        <v>1806</v>
      </c>
      <c r="L320">
        <f t="shared" si="32"/>
        <v>1163</v>
      </c>
      <c r="M320">
        <f t="shared" si="33"/>
        <v>0</v>
      </c>
      <c r="P320" s="6">
        <f t="shared" si="34"/>
        <v>1163</v>
      </c>
    </row>
    <row r="321" spans="4:19" x14ac:dyDescent="0.25">
      <c r="D321">
        <v>318</v>
      </c>
      <c r="E321" s="4">
        <v>0</v>
      </c>
      <c r="F321" s="8">
        <f t="shared" si="28"/>
        <v>0</v>
      </c>
      <c r="G321">
        <f t="shared" si="29"/>
        <v>1806</v>
      </c>
      <c r="H321">
        <f t="shared" si="30"/>
        <v>0</v>
      </c>
      <c r="K321" s="6">
        <f t="shared" si="31"/>
        <v>1806</v>
      </c>
      <c r="L321">
        <f t="shared" si="32"/>
        <v>1163</v>
      </c>
      <c r="M321">
        <f t="shared" si="33"/>
        <v>0</v>
      </c>
      <c r="P321" s="6">
        <f t="shared" si="34"/>
        <v>1163</v>
      </c>
    </row>
    <row r="322" spans="4:19" x14ac:dyDescent="0.25">
      <c r="D322">
        <v>319</v>
      </c>
      <c r="E322" s="4">
        <v>0</v>
      </c>
      <c r="F322" s="8">
        <f t="shared" si="28"/>
        <v>0</v>
      </c>
      <c r="G322">
        <f t="shared" si="29"/>
        <v>1806</v>
      </c>
      <c r="H322">
        <f t="shared" si="30"/>
        <v>0</v>
      </c>
      <c r="K322" s="6">
        <f t="shared" si="31"/>
        <v>1806</v>
      </c>
      <c r="L322">
        <f t="shared" si="32"/>
        <v>1163</v>
      </c>
      <c r="M322">
        <f t="shared" si="33"/>
        <v>0</v>
      </c>
      <c r="P322" s="6">
        <f t="shared" si="34"/>
        <v>1163</v>
      </c>
    </row>
    <row r="323" spans="4:19" x14ac:dyDescent="0.25">
      <c r="D323">
        <v>320</v>
      </c>
      <c r="E323" s="4">
        <v>0</v>
      </c>
      <c r="F323" s="8">
        <f t="shared" si="28"/>
        <v>0</v>
      </c>
      <c r="G323">
        <f t="shared" si="29"/>
        <v>1806</v>
      </c>
      <c r="H323">
        <f t="shared" si="30"/>
        <v>0</v>
      </c>
      <c r="I323">
        <f>ROUNDUP(MAX($B$1*($B$3+$B$4)+NORMSINV($B$5)*SQRT($B$3+$B$4)*$B$2-K323,0),0)</f>
        <v>0</v>
      </c>
      <c r="K323" s="6">
        <f t="shared" si="31"/>
        <v>1806</v>
      </c>
      <c r="L323">
        <f t="shared" si="32"/>
        <v>1163</v>
      </c>
      <c r="M323">
        <f t="shared" si="33"/>
        <v>0</v>
      </c>
      <c r="N323">
        <f>ROUNDUP(MAX($B$1*($B$3)+NORMSINV($B$5)*SQRT($B$3)*$B$2-P323,0),0)</f>
        <v>0</v>
      </c>
      <c r="P323" s="6">
        <f t="shared" si="34"/>
        <v>1163</v>
      </c>
    </row>
    <row r="324" spans="4:19" x14ac:dyDescent="0.25">
      <c r="D324">
        <v>321</v>
      </c>
      <c r="E324" s="4">
        <v>0</v>
      </c>
      <c r="F324" s="8">
        <f t="shared" si="28"/>
        <v>0</v>
      </c>
      <c r="G324">
        <f t="shared" si="29"/>
        <v>1806</v>
      </c>
      <c r="H324">
        <f t="shared" si="30"/>
        <v>0</v>
      </c>
      <c r="K324" s="6">
        <f t="shared" si="31"/>
        <v>1806</v>
      </c>
      <c r="L324">
        <f t="shared" si="32"/>
        <v>1163</v>
      </c>
      <c r="M324">
        <f t="shared" si="33"/>
        <v>0</v>
      </c>
      <c r="P324" s="6">
        <f t="shared" si="34"/>
        <v>1163</v>
      </c>
    </row>
    <row r="325" spans="4:19" x14ac:dyDescent="0.25">
      <c r="D325">
        <v>322</v>
      </c>
      <c r="E325" s="4">
        <v>0</v>
      </c>
      <c r="F325" s="8">
        <f t="shared" ref="F325:F368" si="35">ROUND(E325,0)</f>
        <v>0</v>
      </c>
      <c r="G325">
        <f t="shared" ref="G325:G368" si="36">K324</f>
        <v>1806</v>
      </c>
      <c r="H325">
        <f t="shared" ref="H325:H368" si="37">MAX(0,F325-G325-J325)</f>
        <v>0</v>
      </c>
      <c r="K325" s="6">
        <f t="shared" ref="K325:K368" si="38">MAX(0,G325+J325-F325)</f>
        <v>1806</v>
      </c>
      <c r="L325">
        <f t="shared" ref="L325:L368" si="39">P324</f>
        <v>1163</v>
      </c>
      <c r="M325">
        <f t="shared" ref="M325:M368" si="40">MAX(0,F325-L325-O325)</f>
        <v>0</v>
      </c>
      <c r="P325" s="6">
        <f t="shared" ref="P325:P368" si="41">MAX(0,L325+O325-F325)</f>
        <v>1163</v>
      </c>
    </row>
    <row r="326" spans="4:19" x14ac:dyDescent="0.25">
      <c r="D326">
        <v>323</v>
      </c>
      <c r="E326" s="4">
        <v>0</v>
      </c>
      <c r="F326" s="8">
        <f t="shared" si="35"/>
        <v>0</v>
      </c>
      <c r="G326">
        <f t="shared" si="36"/>
        <v>1806</v>
      </c>
      <c r="H326">
        <f t="shared" si="37"/>
        <v>0</v>
      </c>
      <c r="K326" s="6">
        <f t="shared" si="38"/>
        <v>1806</v>
      </c>
      <c r="L326">
        <f t="shared" si="39"/>
        <v>1163</v>
      </c>
      <c r="M326">
        <f t="shared" si="40"/>
        <v>0</v>
      </c>
      <c r="P326" s="6">
        <f t="shared" si="41"/>
        <v>1163</v>
      </c>
    </row>
    <row r="327" spans="4:19" x14ac:dyDescent="0.25">
      <c r="D327">
        <v>324</v>
      </c>
      <c r="E327" s="4">
        <v>0</v>
      </c>
      <c r="F327" s="8">
        <f t="shared" si="35"/>
        <v>0</v>
      </c>
      <c r="G327">
        <f t="shared" si="36"/>
        <v>1806</v>
      </c>
      <c r="H327">
        <f t="shared" si="37"/>
        <v>0</v>
      </c>
      <c r="K327" s="6">
        <f t="shared" si="38"/>
        <v>1806</v>
      </c>
      <c r="L327">
        <f t="shared" si="39"/>
        <v>1163</v>
      </c>
      <c r="M327">
        <f t="shared" si="40"/>
        <v>0</v>
      </c>
      <c r="P327" s="6">
        <f t="shared" si="41"/>
        <v>1163</v>
      </c>
    </row>
    <row r="328" spans="4:19" x14ac:dyDescent="0.25">
      <c r="D328">
        <v>325</v>
      </c>
      <c r="E328" s="4">
        <v>0</v>
      </c>
      <c r="F328" s="8">
        <f t="shared" si="35"/>
        <v>0</v>
      </c>
      <c r="G328">
        <f t="shared" si="36"/>
        <v>1806</v>
      </c>
      <c r="H328">
        <f t="shared" si="37"/>
        <v>0</v>
      </c>
      <c r="K328" s="6">
        <f t="shared" si="38"/>
        <v>1806</v>
      </c>
      <c r="L328">
        <f t="shared" si="39"/>
        <v>1163</v>
      </c>
      <c r="M328">
        <f t="shared" si="40"/>
        <v>0</v>
      </c>
      <c r="P328" s="6">
        <f t="shared" si="41"/>
        <v>1163</v>
      </c>
      <c r="R328">
        <f>IF(H328&gt;0,1,0)</f>
        <v>0</v>
      </c>
      <c r="S328">
        <f>IF(M328&gt;0,1,0)</f>
        <v>0</v>
      </c>
    </row>
    <row r="329" spans="4:19" x14ac:dyDescent="0.25">
      <c r="D329">
        <v>326</v>
      </c>
      <c r="E329" s="4">
        <v>0</v>
      </c>
      <c r="F329" s="8">
        <f t="shared" si="35"/>
        <v>0</v>
      </c>
      <c r="G329">
        <f t="shared" si="36"/>
        <v>1806</v>
      </c>
      <c r="H329">
        <f t="shared" si="37"/>
        <v>0</v>
      </c>
      <c r="J329">
        <f>I323</f>
        <v>0</v>
      </c>
      <c r="K329" s="6">
        <f t="shared" si="38"/>
        <v>1806</v>
      </c>
      <c r="L329">
        <f t="shared" si="39"/>
        <v>1163</v>
      </c>
      <c r="M329">
        <f t="shared" si="40"/>
        <v>0</v>
      </c>
      <c r="O329">
        <f>N323</f>
        <v>0</v>
      </c>
      <c r="P329" s="6">
        <f t="shared" si="41"/>
        <v>1163</v>
      </c>
    </row>
    <row r="330" spans="4:19" x14ac:dyDescent="0.25">
      <c r="D330">
        <v>327</v>
      </c>
      <c r="E330" s="4">
        <v>0</v>
      </c>
      <c r="F330" s="8">
        <f t="shared" si="35"/>
        <v>0</v>
      </c>
      <c r="G330">
        <f t="shared" si="36"/>
        <v>1806</v>
      </c>
      <c r="H330">
        <f t="shared" si="37"/>
        <v>0</v>
      </c>
      <c r="K330" s="6">
        <f t="shared" si="38"/>
        <v>1806</v>
      </c>
      <c r="L330">
        <f t="shared" si="39"/>
        <v>1163</v>
      </c>
      <c r="M330">
        <f t="shared" si="40"/>
        <v>0</v>
      </c>
      <c r="P330" s="6">
        <f t="shared" si="41"/>
        <v>1163</v>
      </c>
    </row>
    <row r="331" spans="4:19" x14ac:dyDescent="0.25">
      <c r="D331">
        <v>328</v>
      </c>
      <c r="E331" s="4">
        <v>0</v>
      </c>
      <c r="F331" s="8">
        <f t="shared" si="35"/>
        <v>0</v>
      </c>
      <c r="G331">
        <f t="shared" si="36"/>
        <v>1806</v>
      </c>
      <c r="H331">
        <f t="shared" si="37"/>
        <v>0</v>
      </c>
      <c r="K331" s="6">
        <f t="shared" si="38"/>
        <v>1806</v>
      </c>
      <c r="L331">
        <f t="shared" si="39"/>
        <v>1163</v>
      </c>
      <c r="M331">
        <f t="shared" si="40"/>
        <v>0</v>
      </c>
      <c r="P331" s="6">
        <f t="shared" si="41"/>
        <v>1163</v>
      </c>
    </row>
    <row r="332" spans="4:19" x14ac:dyDescent="0.25">
      <c r="D332">
        <v>329</v>
      </c>
      <c r="E332" s="4">
        <v>0</v>
      </c>
      <c r="F332" s="8">
        <f t="shared" si="35"/>
        <v>0</v>
      </c>
      <c r="G332">
        <f t="shared" si="36"/>
        <v>1806</v>
      </c>
      <c r="H332">
        <f t="shared" si="37"/>
        <v>0</v>
      </c>
      <c r="K332" s="6">
        <f t="shared" si="38"/>
        <v>1806</v>
      </c>
      <c r="L332">
        <f t="shared" si="39"/>
        <v>1163</v>
      </c>
      <c r="M332">
        <f t="shared" si="40"/>
        <v>0</v>
      </c>
      <c r="P332" s="6">
        <f t="shared" si="41"/>
        <v>1163</v>
      </c>
    </row>
    <row r="333" spans="4:19" x14ac:dyDescent="0.25">
      <c r="D333">
        <v>330</v>
      </c>
      <c r="E333" s="4">
        <v>0</v>
      </c>
      <c r="F333" s="8">
        <f t="shared" si="35"/>
        <v>0</v>
      </c>
      <c r="G333">
        <f t="shared" si="36"/>
        <v>1806</v>
      </c>
      <c r="H333">
        <f t="shared" si="37"/>
        <v>0</v>
      </c>
      <c r="I333">
        <f>ROUNDUP(MAX($B$1*($B$3+$B$4)+NORMSINV($B$5)*SQRT($B$3+$B$4)*$B$2-K333,0),0)</f>
        <v>0</v>
      </c>
      <c r="K333" s="6">
        <f t="shared" si="38"/>
        <v>1806</v>
      </c>
      <c r="L333">
        <f t="shared" si="39"/>
        <v>1163</v>
      </c>
      <c r="M333">
        <f t="shared" si="40"/>
        <v>0</v>
      </c>
      <c r="N333">
        <f>ROUNDUP(MAX($B$1*($B$3)+NORMSINV($B$5)*SQRT($B$3)*$B$2-P333,0),0)</f>
        <v>0</v>
      </c>
      <c r="P333" s="6">
        <f t="shared" si="41"/>
        <v>1163</v>
      </c>
    </row>
    <row r="334" spans="4:19" x14ac:dyDescent="0.25">
      <c r="D334">
        <v>331</v>
      </c>
      <c r="E334" s="4">
        <v>0</v>
      </c>
      <c r="F334" s="8">
        <f t="shared" si="35"/>
        <v>0</v>
      </c>
      <c r="G334">
        <f t="shared" si="36"/>
        <v>1806</v>
      </c>
      <c r="H334">
        <f t="shared" si="37"/>
        <v>0</v>
      </c>
      <c r="K334" s="6">
        <f t="shared" si="38"/>
        <v>1806</v>
      </c>
      <c r="L334">
        <f t="shared" si="39"/>
        <v>1163</v>
      </c>
      <c r="M334">
        <f t="shared" si="40"/>
        <v>0</v>
      </c>
      <c r="P334" s="6">
        <f t="shared" si="41"/>
        <v>1163</v>
      </c>
    </row>
    <row r="335" spans="4:19" x14ac:dyDescent="0.25">
      <c r="D335">
        <v>332</v>
      </c>
      <c r="E335" s="4">
        <v>0</v>
      </c>
      <c r="F335" s="8">
        <f t="shared" si="35"/>
        <v>0</v>
      </c>
      <c r="G335">
        <f t="shared" si="36"/>
        <v>1806</v>
      </c>
      <c r="H335">
        <f t="shared" si="37"/>
        <v>0</v>
      </c>
      <c r="K335" s="6">
        <f t="shared" si="38"/>
        <v>1806</v>
      </c>
      <c r="L335">
        <f t="shared" si="39"/>
        <v>1163</v>
      </c>
      <c r="M335">
        <f t="shared" si="40"/>
        <v>0</v>
      </c>
      <c r="P335" s="6">
        <f t="shared" si="41"/>
        <v>1163</v>
      </c>
    </row>
    <row r="336" spans="4:19" x14ac:dyDescent="0.25">
      <c r="D336">
        <v>333</v>
      </c>
      <c r="E336" s="4">
        <v>0</v>
      </c>
      <c r="F336" s="8">
        <f t="shared" si="35"/>
        <v>0</v>
      </c>
      <c r="G336">
        <f t="shared" si="36"/>
        <v>1806</v>
      </c>
      <c r="H336">
        <f t="shared" si="37"/>
        <v>0</v>
      </c>
      <c r="K336" s="6">
        <f t="shared" si="38"/>
        <v>1806</v>
      </c>
      <c r="L336">
        <f t="shared" si="39"/>
        <v>1163</v>
      </c>
      <c r="M336">
        <f t="shared" si="40"/>
        <v>0</v>
      </c>
      <c r="P336" s="6">
        <f t="shared" si="41"/>
        <v>1163</v>
      </c>
    </row>
    <row r="337" spans="4:19" x14ac:dyDescent="0.25">
      <c r="D337">
        <v>334</v>
      </c>
      <c r="E337" s="4">
        <v>0</v>
      </c>
      <c r="F337" s="8">
        <f t="shared" si="35"/>
        <v>0</v>
      </c>
      <c r="G337">
        <f t="shared" si="36"/>
        <v>1806</v>
      </c>
      <c r="H337">
        <f t="shared" si="37"/>
        <v>0</v>
      </c>
      <c r="K337" s="6">
        <f t="shared" si="38"/>
        <v>1806</v>
      </c>
      <c r="L337">
        <f t="shared" si="39"/>
        <v>1163</v>
      </c>
      <c r="M337">
        <f t="shared" si="40"/>
        <v>0</v>
      </c>
      <c r="P337" s="6">
        <f t="shared" si="41"/>
        <v>1163</v>
      </c>
    </row>
    <row r="338" spans="4:19" x14ac:dyDescent="0.25">
      <c r="D338">
        <v>335</v>
      </c>
      <c r="E338" s="4">
        <v>0</v>
      </c>
      <c r="F338" s="8">
        <f t="shared" si="35"/>
        <v>0</v>
      </c>
      <c r="G338">
        <f t="shared" si="36"/>
        <v>1806</v>
      </c>
      <c r="H338">
        <f t="shared" si="37"/>
        <v>0</v>
      </c>
      <c r="K338" s="6">
        <f t="shared" si="38"/>
        <v>1806</v>
      </c>
      <c r="L338">
        <f t="shared" si="39"/>
        <v>1163</v>
      </c>
      <c r="M338">
        <f t="shared" si="40"/>
        <v>0</v>
      </c>
      <c r="P338" s="6">
        <f t="shared" si="41"/>
        <v>1163</v>
      </c>
      <c r="R338">
        <f>IF(H338&gt;0,1,0)</f>
        <v>0</v>
      </c>
      <c r="S338">
        <f>IF(M338&gt;0,1,0)</f>
        <v>0</v>
      </c>
    </row>
    <row r="339" spans="4:19" x14ac:dyDescent="0.25">
      <c r="D339">
        <v>336</v>
      </c>
      <c r="E339" s="4">
        <v>0</v>
      </c>
      <c r="F339" s="8">
        <f t="shared" si="35"/>
        <v>0</v>
      </c>
      <c r="G339">
        <f t="shared" si="36"/>
        <v>1806</v>
      </c>
      <c r="H339">
        <f t="shared" si="37"/>
        <v>0</v>
      </c>
      <c r="J339">
        <f>I333</f>
        <v>0</v>
      </c>
      <c r="K339" s="6">
        <f t="shared" si="38"/>
        <v>1806</v>
      </c>
      <c r="L339">
        <f t="shared" si="39"/>
        <v>1163</v>
      </c>
      <c r="M339">
        <f t="shared" si="40"/>
        <v>0</v>
      </c>
      <c r="O339">
        <f>N333</f>
        <v>0</v>
      </c>
      <c r="P339" s="6">
        <f t="shared" si="41"/>
        <v>1163</v>
      </c>
    </row>
    <row r="340" spans="4:19" x14ac:dyDescent="0.25">
      <c r="D340">
        <v>337</v>
      </c>
      <c r="E340" s="4">
        <v>0</v>
      </c>
      <c r="F340" s="8">
        <f t="shared" si="35"/>
        <v>0</v>
      </c>
      <c r="G340">
        <f t="shared" si="36"/>
        <v>1806</v>
      </c>
      <c r="H340">
        <f t="shared" si="37"/>
        <v>0</v>
      </c>
      <c r="K340" s="6">
        <f t="shared" si="38"/>
        <v>1806</v>
      </c>
      <c r="L340">
        <f t="shared" si="39"/>
        <v>1163</v>
      </c>
      <c r="M340">
        <f t="shared" si="40"/>
        <v>0</v>
      </c>
      <c r="P340" s="6">
        <f t="shared" si="41"/>
        <v>1163</v>
      </c>
    </row>
    <row r="341" spans="4:19" x14ac:dyDescent="0.25">
      <c r="D341">
        <v>338</v>
      </c>
      <c r="E341" s="4">
        <v>0</v>
      </c>
      <c r="F341" s="8">
        <f t="shared" si="35"/>
        <v>0</v>
      </c>
      <c r="G341">
        <f t="shared" si="36"/>
        <v>1806</v>
      </c>
      <c r="H341">
        <f t="shared" si="37"/>
        <v>0</v>
      </c>
      <c r="K341" s="6">
        <f t="shared" si="38"/>
        <v>1806</v>
      </c>
      <c r="L341">
        <f t="shared" si="39"/>
        <v>1163</v>
      </c>
      <c r="M341">
        <f t="shared" si="40"/>
        <v>0</v>
      </c>
      <c r="P341" s="6">
        <f t="shared" si="41"/>
        <v>1163</v>
      </c>
    </row>
    <row r="342" spans="4:19" x14ac:dyDescent="0.25">
      <c r="D342">
        <v>339</v>
      </c>
      <c r="E342" s="4">
        <v>0</v>
      </c>
      <c r="F342" s="8">
        <f t="shared" si="35"/>
        <v>0</v>
      </c>
      <c r="G342">
        <f t="shared" si="36"/>
        <v>1806</v>
      </c>
      <c r="H342">
        <f t="shared" si="37"/>
        <v>0</v>
      </c>
      <c r="K342" s="6">
        <f t="shared" si="38"/>
        <v>1806</v>
      </c>
      <c r="L342">
        <f t="shared" si="39"/>
        <v>1163</v>
      </c>
      <c r="M342">
        <f t="shared" si="40"/>
        <v>0</v>
      </c>
      <c r="P342" s="6">
        <f t="shared" si="41"/>
        <v>1163</v>
      </c>
    </row>
    <row r="343" spans="4:19" x14ac:dyDescent="0.25">
      <c r="D343">
        <v>340</v>
      </c>
      <c r="E343" s="4">
        <v>0</v>
      </c>
      <c r="F343" s="8">
        <f t="shared" si="35"/>
        <v>0</v>
      </c>
      <c r="G343">
        <f t="shared" si="36"/>
        <v>1806</v>
      </c>
      <c r="H343">
        <f t="shared" si="37"/>
        <v>0</v>
      </c>
      <c r="I343">
        <f>ROUNDUP(MAX($B$1*($B$3+$B$4)+NORMSINV($B$5)*SQRT($B$3+$B$4)*$B$2-K343,0),0)</f>
        <v>0</v>
      </c>
      <c r="K343" s="6">
        <f t="shared" si="38"/>
        <v>1806</v>
      </c>
      <c r="L343">
        <f t="shared" si="39"/>
        <v>1163</v>
      </c>
      <c r="M343">
        <f t="shared" si="40"/>
        <v>0</v>
      </c>
      <c r="N343">
        <f>ROUNDUP(MAX($B$1*($B$3)+NORMSINV($B$5)*SQRT($B$3)*$B$2-P343,0),0)</f>
        <v>0</v>
      </c>
      <c r="P343" s="6">
        <f t="shared" si="41"/>
        <v>1163</v>
      </c>
    </row>
    <row r="344" spans="4:19" x14ac:dyDescent="0.25">
      <c r="D344">
        <v>341</v>
      </c>
      <c r="E344" s="4">
        <v>0</v>
      </c>
      <c r="F344" s="8">
        <f t="shared" si="35"/>
        <v>0</v>
      </c>
      <c r="G344">
        <f t="shared" si="36"/>
        <v>1806</v>
      </c>
      <c r="H344">
        <f t="shared" si="37"/>
        <v>0</v>
      </c>
      <c r="K344" s="6">
        <f t="shared" si="38"/>
        <v>1806</v>
      </c>
      <c r="L344">
        <f t="shared" si="39"/>
        <v>1163</v>
      </c>
      <c r="M344">
        <f t="shared" si="40"/>
        <v>0</v>
      </c>
      <c r="P344" s="6">
        <f t="shared" si="41"/>
        <v>1163</v>
      </c>
    </row>
    <row r="345" spans="4:19" x14ac:dyDescent="0.25">
      <c r="D345">
        <v>342</v>
      </c>
      <c r="E345" s="4">
        <v>0</v>
      </c>
      <c r="F345" s="8">
        <f t="shared" si="35"/>
        <v>0</v>
      </c>
      <c r="G345">
        <f t="shared" si="36"/>
        <v>1806</v>
      </c>
      <c r="H345">
        <f t="shared" si="37"/>
        <v>0</v>
      </c>
      <c r="K345" s="6">
        <f t="shared" si="38"/>
        <v>1806</v>
      </c>
      <c r="L345">
        <f t="shared" si="39"/>
        <v>1163</v>
      </c>
      <c r="M345">
        <f t="shared" si="40"/>
        <v>0</v>
      </c>
      <c r="P345" s="6">
        <f t="shared" si="41"/>
        <v>1163</v>
      </c>
    </row>
    <row r="346" spans="4:19" x14ac:dyDescent="0.25">
      <c r="D346">
        <v>343</v>
      </c>
      <c r="E346" s="4">
        <v>0</v>
      </c>
      <c r="F346" s="8">
        <f t="shared" si="35"/>
        <v>0</v>
      </c>
      <c r="G346">
        <f t="shared" si="36"/>
        <v>1806</v>
      </c>
      <c r="H346">
        <f t="shared" si="37"/>
        <v>0</v>
      </c>
      <c r="K346" s="6">
        <f t="shared" si="38"/>
        <v>1806</v>
      </c>
      <c r="L346">
        <f t="shared" si="39"/>
        <v>1163</v>
      </c>
      <c r="M346">
        <f t="shared" si="40"/>
        <v>0</v>
      </c>
      <c r="P346" s="6">
        <f t="shared" si="41"/>
        <v>1163</v>
      </c>
    </row>
    <row r="347" spans="4:19" x14ac:dyDescent="0.25">
      <c r="D347">
        <v>344</v>
      </c>
      <c r="E347" s="4">
        <v>0</v>
      </c>
      <c r="F347" s="8">
        <f t="shared" si="35"/>
        <v>0</v>
      </c>
      <c r="G347">
        <f t="shared" si="36"/>
        <v>1806</v>
      </c>
      <c r="H347">
        <f t="shared" si="37"/>
        <v>0</v>
      </c>
      <c r="K347" s="6">
        <f t="shared" si="38"/>
        <v>1806</v>
      </c>
      <c r="L347">
        <f t="shared" si="39"/>
        <v>1163</v>
      </c>
      <c r="M347">
        <f t="shared" si="40"/>
        <v>0</v>
      </c>
      <c r="P347" s="6">
        <f t="shared" si="41"/>
        <v>1163</v>
      </c>
    </row>
    <row r="348" spans="4:19" x14ac:dyDescent="0.25">
      <c r="D348">
        <v>345</v>
      </c>
      <c r="E348" s="4">
        <v>0</v>
      </c>
      <c r="F348" s="8">
        <f t="shared" si="35"/>
        <v>0</v>
      </c>
      <c r="G348">
        <f t="shared" si="36"/>
        <v>1806</v>
      </c>
      <c r="H348">
        <f t="shared" si="37"/>
        <v>0</v>
      </c>
      <c r="K348" s="6">
        <f t="shared" si="38"/>
        <v>1806</v>
      </c>
      <c r="L348">
        <f t="shared" si="39"/>
        <v>1163</v>
      </c>
      <c r="M348">
        <f t="shared" si="40"/>
        <v>0</v>
      </c>
      <c r="P348" s="6">
        <f t="shared" si="41"/>
        <v>1163</v>
      </c>
      <c r="R348">
        <f>IF(H348&gt;0,1,0)</f>
        <v>0</v>
      </c>
      <c r="S348">
        <f>IF(M348&gt;0,1,0)</f>
        <v>0</v>
      </c>
    </row>
    <row r="349" spans="4:19" x14ac:dyDescent="0.25">
      <c r="D349">
        <v>346</v>
      </c>
      <c r="E349" s="4">
        <v>0</v>
      </c>
      <c r="F349" s="8">
        <f t="shared" si="35"/>
        <v>0</v>
      </c>
      <c r="G349">
        <f t="shared" si="36"/>
        <v>1806</v>
      </c>
      <c r="H349">
        <f t="shared" si="37"/>
        <v>0</v>
      </c>
      <c r="J349">
        <f>I343</f>
        <v>0</v>
      </c>
      <c r="K349" s="6">
        <f t="shared" si="38"/>
        <v>1806</v>
      </c>
      <c r="L349">
        <f t="shared" si="39"/>
        <v>1163</v>
      </c>
      <c r="M349">
        <f t="shared" si="40"/>
        <v>0</v>
      </c>
      <c r="O349">
        <f>N343</f>
        <v>0</v>
      </c>
      <c r="P349" s="6">
        <f t="shared" si="41"/>
        <v>1163</v>
      </c>
    </row>
    <row r="350" spans="4:19" x14ac:dyDescent="0.25">
      <c r="D350">
        <v>347</v>
      </c>
      <c r="E350" s="4">
        <v>0</v>
      </c>
      <c r="F350" s="8">
        <f t="shared" si="35"/>
        <v>0</v>
      </c>
      <c r="G350">
        <f t="shared" si="36"/>
        <v>1806</v>
      </c>
      <c r="H350">
        <f t="shared" si="37"/>
        <v>0</v>
      </c>
      <c r="K350" s="6">
        <f t="shared" si="38"/>
        <v>1806</v>
      </c>
      <c r="L350">
        <f t="shared" si="39"/>
        <v>1163</v>
      </c>
      <c r="M350">
        <f t="shared" si="40"/>
        <v>0</v>
      </c>
      <c r="P350" s="6">
        <f t="shared" si="41"/>
        <v>1163</v>
      </c>
    </row>
    <row r="351" spans="4:19" x14ac:dyDescent="0.25">
      <c r="D351">
        <v>348</v>
      </c>
      <c r="E351" s="4">
        <v>0</v>
      </c>
      <c r="F351" s="8">
        <f t="shared" si="35"/>
        <v>0</v>
      </c>
      <c r="G351">
        <f t="shared" si="36"/>
        <v>1806</v>
      </c>
      <c r="H351">
        <f t="shared" si="37"/>
        <v>0</v>
      </c>
      <c r="K351" s="6">
        <f t="shared" si="38"/>
        <v>1806</v>
      </c>
      <c r="L351">
        <f t="shared" si="39"/>
        <v>1163</v>
      </c>
      <c r="M351">
        <f t="shared" si="40"/>
        <v>0</v>
      </c>
      <c r="P351" s="6">
        <f t="shared" si="41"/>
        <v>1163</v>
      </c>
    </row>
    <row r="352" spans="4:19" x14ac:dyDescent="0.25">
      <c r="D352">
        <v>349</v>
      </c>
      <c r="E352" s="4">
        <v>0</v>
      </c>
      <c r="F352" s="8">
        <f t="shared" si="35"/>
        <v>0</v>
      </c>
      <c r="G352">
        <f t="shared" si="36"/>
        <v>1806</v>
      </c>
      <c r="H352">
        <f t="shared" si="37"/>
        <v>0</v>
      </c>
      <c r="K352" s="6">
        <f t="shared" si="38"/>
        <v>1806</v>
      </c>
      <c r="L352">
        <f t="shared" si="39"/>
        <v>1163</v>
      </c>
      <c r="M352">
        <f t="shared" si="40"/>
        <v>0</v>
      </c>
      <c r="P352" s="6">
        <f t="shared" si="41"/>
        <v>1163</v>
      </c>
    </row>
    <row r="353" spans="4:19" x14ac:dyDescent="0.25">
      <c r="D353">
        <v>350</v>
      </c>
      <c r="E353" s="4">
        <v>0</v>
      </c>
      <c r="F353" s="8">
        <f t="shared" si="35"/>
        <v>0</v>
      </c>
      <c r="G353">
        <f t="shared" si="36"/>
        <v>1806</v>
      </c>
      <c r="H353">
        <f t="shared" si="37"/>
        <v>0</v>
      </c>
      <c r="I353">
        <f>ROUNDUP(MAX($B$1*($B$3+$B$4)+NORMSINV($B$5)*SQRT($B$3+$B$4)*$B$2-K353,0),0)</f>
        <v>0</v>
      </c>
      <c r="K353" s="6">
        <f t="shared" si="38"/>
        <v>1806</v>
      </c>
      <c r="L353">
        <f t="shared" si="39"/>
        <v>1163</v>
      </c>
      <c r="M353">
        <f t="shared" si="40"/>
        <v>0</v>
      </c>
      <c r="N353">
        <f>ROUNDUP(MAX($B$1*($B$3)+NORMSINV($B$5)*SQRT($B$3)*$B$2-P353,0),0)</f>
        <v>0</v>
      </c>
      <c r="P353" s="6">
        <f t="shared" si="41"/>
        <v>1163</v>
      </c>
    </row>
    <row r="354" spans="4:19" x14ac:dyDescent="0.25">
      <c r="D354">
        <v>351</v>
      </c>
      <c r="E354" s="4">
        <v>0</v>
      </c>
      <c r="F354" s="8">
        <f t="shared" si="35"/>
        <v>0</v>
      </c>
      <c r="G354">
        <f t="shared" si="36"/>
        <v>1806</v>
      </c>
      <c r="H354">
        <f t="shared" si="37"/>
        <v>0</v>
      </c>
      <c r="K354" s="6">
        <f t="shared" si="38"/>
        <v>1806</v>
      </c>
      <c r="L354">
        <f t="shared" si="39"/>
        <v>1163</v>
      </c>
      <c r="M354">
        <f t="shared" si="40"/>
        <v>0</v>
      </c>
      <c r="P354" s="6">
        <f t="shared" si="41"/>
        <v>1163</v>
      </c>
    </row>
    <row r="355" spans="4:19" x14ac:dyDescent="0.25">
      <c r="D355">
        <v>352</v>
      </c>
      <c r="E355" s="4">
        <v>0</v>
      </c>
      <c r="F355" s="8">
        <f t="shared" si="35"/>
        <v>0</v>
      </c>
      <c r="G355">
        <f t="shared" si="36"/>
        <v>1806</v>
      </c>
      <c r="H355">
        <f t="shared" si="37"/>
        <v>0</v>
      </c>
      <c r="K355" s="6">
        <f t="shared" si="38"/>
        <v>1806</v>
      </c>
      <c r="L355">
        <f t="shared" si="39"/>
        <v>1163</v>
      </c>
      <c r="M355">
        <f t="shared" si="40"/>
        <v>0</v>
      </c>
      <c r="P355" s="6">
        <f t="shared" si="41"/>
        <v>1163</v>
      </c>
    </row>
    <row r="356" spans="4:19" x14ac:dyDescent="0.25">
      <c r="D356">
        <v>353</v>
      </c>
      <c r="E356" s="4">
        <v>0</v>
      </c>
      <c r="F356" s="8">
        <f t="shared" si="35"/>
        <v>0</v>
      </c>
      <c r="G356">
        <f t="shared" si="36"/>
        <v>1806</v>
      </c>
      <c r="H356">
        <f t="shared" si="37"/>
        <v>0</v>
      </c>
      <c r="K356" s="6">
        <f t="shared" si="38"/>
        <v>1806</v>
      </c>
      <c r="L356">
        <f t="shared" si="39"/>
        <v>1163</v>
      </c>
      <c r="M356">
        <f t="shared" si="40"/>
        <v>0</v>
      </c>
      <c r="P356" s="6">
        <f t="shared" si="41"/>
        <v>1163</v>
      </c>
    </row>
    <row r="357" spans="4:19" x14ac:dyDescent="0.25">
      <c r="D357">
        <v>354</v>
      </c>
      <c r="E357" s="4">
        <v>0</v>
      </c>
      <c r="F357" s="8">
        <f t="shared" si="35"/>
        <v>0</v>
      </c>
      <c r="G357">
        <f t="shared" si="36"/>
        <v>1806</v>
      </c>
      <c r="H357">
        <f t="shared" si="37"/>
        <v>0</v>
      </c>
      <c r="K357" s="6">
        <f t="shared" si="38"/>
        <v>1806</v>
      </c>
      <c r="L357">
        <f t="shared" si="39"/>
        <v>1163</v>
      </c>
      <c r="M357">
        <f t="shared" si="40"/>
        <v>0</v>
      </c>
      <c r="P357" s="6">
        <f t="shared" si="41"/>
        <v>1163</v>
      </c>
    </row>
    <row r="358" spans="4:19" x14ac:dyDescent="0.25">
      <c r="D358">
        <v>355</v>
      </c>
      <c r="E358" s="4">
        <v>0</v>
      </c>
      <c r="F358" s="8">
        <f t="shared" si="35"/>
        <v>0</v>
      </c>
      <c r="G358">
        <f t="shared" si="36"/>
        <v>1806</v>
      </c>
      <c r="H358">
        <f t="shared" si="37"/>
        <v>0</v>
      </c>
      <c r="K358" s="6">
        <f t="shared" si="38"/>
        <v>1806</v>
      </c>
      <c r="L358">
        <f t="shared" si="39"/>
        <v>1163</v>
      </c>
      <c r="M358">
        <f t="shared" si="40"/>
        <v>0</v>
      </c>
      <c r="P358" s="6">
        <f t="shared" si="41"/>
        <v>1163</v>
      </c>
      <c r="R358">
        <f>IF(H358&gt;0,1,0)</f>
        <v>0</v>
      </c>
      <c r="S358">
        <f>IF(M358&gt;0,1,0)</f>
        <v>0</v>
      </c>
    </row>
    <row r="359" spans="4:19" x14ac:dyDescent="0.25">
      <c r="D359">
        <v>356</v>
      </c>
      <c r="E359" s="4">
        <v>0</v>
      </c>
      <c r="F359" s="8">
        <f t="shared" si="35"/>
        <v>0</v>
      </c>
      <c r="G359">
        <f t="shared" si="36"/>
        <v>1806</v>
      </c>
      <c r="H359">
        <f t="shared" si="37"/>
        <v>0</v>
      </c>
      <c r="J359">
        <f>I353</f>
        <v>0</v>
      </c>
      <c r="K359" s="6">
        <f t="shared" si="38"/>
        <v>1806</v>
      </c>
      <c r="L359">
        <f t="shared" si="39"/>
        <v>1163</v>
      </c>
      <c r="M359">
        <f t="shared" si="40"/>
        <v>0</v>
      </c>
      <c r="O359">
        <f>N353</f>
        <v>0</v>
      </c>
      <c r="P359" s="6">
        <f t="shared" si="41"/>
        <v>1163</v>
      </c>
    </row>
    <row r="360" spans="4:19" x14ac:dyDescent="0.25">
      <c r="D360">
        <v>357</v>
      </c>
      <c r="E360" s="4">
        <v>0</v>
      </c>
      <c r="F360" s="8">
        <f t="shared" si="35"/>
        <v>0</v>
      </c>
      <c r="G360">
        <f t="shared" si="36"/>
        <v>1806</v>
      </c>
      <c r="H360">
        <f t="shared" si="37"/>
        <v>0</v>
      </c>
      <c r="K360" s="6">
        <f t="shared" si="38"/>
        <v>1806</v>
      </c>
      <c r="L360">
        <f t="shared" si="39"/>
        <v>1163</v>
      </c>
      <c r="M360">
        <f t="shared" si="40"/>
        <v>0</v>
      </c>
      <c r="P360" s="6">
        <f t="shared" si="41"/>
        <v>1163</v>
      </c>
    </row>
    <row r="361" spans="4:19" x14ac:dyDescent="0.25">
      <c r="D361">
        <v>358</v>
      </c>
      <c r="E361" s="4">
        <v>0</v>
      </c>
      <c r="F361" s="8">
        <f t="shared" si="35"/>
        <v>0</v>
      </c>
      <c r="G361">
        <f t="shared" si="36"/>
        <v>1806</v>
      </c>
      <c r="H361">
        <f t="shared" si="37"/>
        <v>0</v>
      </c>
      <c r="K361" s="6">
        <f t="shared" si="38"/>
        <v>1806</v>
      </c>
      <c r="L361">
        <f t="shared" si="39"/>
        <v>1163</v>
      </c>
      <c r="M361">
        <f t="shared" si="40"/>
        <v>0</v>
      </c>
      <c r="P361" s="6">
        <f t="shared" si="41"/>
        <v>1163</v>
      </c>
    </row>
    <row r="362" spans="4:19" x14ac:dyDescent="0.25">
      <c r="D362">
        <v>359</v>
      </c>
      <c r="E362" s="4">
        <v>0</v>
      </c>
      <c r="F362" s="8">
        <f t="shared" si="35"/>
        <v>0</v>
      </c>
      <c r="G362">
        <f t="shared" si="36"/>
        <v>1806</v>
      </c>
      <c r="H362">
        <f t="shared" si="37"/>
        <v>0</v>
      </c>
      <c r="K362" s="6">
        <f t="shared" si="38"/>
        <v>1806</v>
      </c>
      <c r="L362">
        <f t="shared" si="39"/>
        <v>1163</v>
      </c>
      <c r="M362">
        <f t="shared" si="40"/>
        <v>0</v>
      </c>
      <c r="P362" s="6">
        <f t="shared" si="41"/>
        <v>1163</v>
      </c>
    </row>
    <row r="363" spans="4:19" x14ac:dyDescent="0.25">
      <c r="D363">
        <v>360</v>
      </c>
      <c r="E363" s="4">
        <v>0</v>
      </c>
      <c r="F363" s="8">
        <f t="shared" si="35"/>
        <v>0</v>
      </c>
      <c r="G363">
        <f t="shared" si="36"/>
        <v>1806</v>
      </c>
      <c r="H363">
        <f t="shared" si="37"/>
        <v>0</v>
      </c>
      <c r="I363">
        <f>ROUNDUP(MAX($B$1*($B$3+$B$4)+NORMSINV($B$5)*SQRT($B$3+$B$4)*$B$2-K363,0),0)</f>
        <v>0</v>
      </c>
      <c r="K363" s="6">
        <f t="shared" si="38"/>
        <v>1806</v>
      </c>
      <c r="L363">
        <f t="shared" si="39"/>
        <v>1163</v>
      </c>
      <c r="M363">
        <f t="shared" si="40"/>
        <v>0</v>
      </c>
      <c r="N363">
        <f>ROUNDUP(MAX($B$1*($B$3)+NORMSINV($B$5)*SQRT($B$3)*$B$2-P363,0),0)</f>
        <v>0</v>
      </c>
      <c r="P363" s="6">
        <f t="shared" si="41"/>
        <v>1163</v>
      </c>
    </row>
    <row r="364" spans="4:19" x14ac:dyDescent="0.25">
      <c r="D364">
        <v>361</v>
      </c>
      <c r="E364" s="4">
        <v>0</v>
      </c>
      <c r="F364" s="8">
        <f t="shared" si="35"/>
        <v>0</v>
      </c>
      <c r="G364">
        <f t="shared" si="36"/>
        <v>1806</v>
      </c>
      <c r="H364">
        <f t="shared" si="37"/>
        <v>0</v>
      </c>
      <c r="K364" s="6">
        <f t="shared" si="38"/>
        <v>1806</v>
      </c>
      <c r="L364">
        <f t="shared" si="39"/>
        <v>1163</v>
      </c>
      <c r="M364">
        <f t="shared" si="40"/>
        <v>0</v>
      </c>
      <c r="P364" s="6">
        <f t="shared" si="41"/>
        <v>1163</v>
      </c>
    </row>
    <row r="365" spans="4:19" x14ac:dyDescent="0.25">
      <c r="D365">
        <v>362</v>
      </c>
      <c r="E365" s="4">
        <v>0</v>
      </c>
      <c r="F365" s="8">
        <f t="shared" si="35"/>
        <v>0</v>
      </c>
      <c r="G365">
        <f t="shared" si="36"/>
        <v>1806</v>
      </c>
      <c r="H365">
        <f t="shared" si="37"/>
        <v>0</v>
      </c>
      <c r="K365" s="6">
        <f t="shared" si="38"/>
        <v>1806</v>
      </c>
      <c r="L365">
        <f t="shared" si="39"/>
        <v>1163</v>
      </c>
      <c r="M365">
        <f t="shared" si="40"/>
        <v>0</v>
      </c>
      <c r="P365" s="6">
        <f t="shared" si="41"/>
        <v>1163</v>
      </c>
    </row>
    <row r="366" spans="4:19" x14ac:dyDescent="0.25">
      <c r="D366">
        <v>363</v>
      </c>
      <c r="E366" s="4">
        <v>0</v>
      </c>
      <c r="F366" s="8">
        <f t="shared" si="35"/>
        <v>0</v>
      </c>
      <c r="G366">
        <f t="shared" si="36"/>
        <v>1806</v>
      </c>
      <c r="H366">
        <f t="shared" si="37"/>
        <v>0</v>
      </c>
      <c r="K366" s="6">
        <f t="shared" si="38"/>
        <v>1806</v>
      </c>
      <c r="L366">
        <f t="shared" si="39"/>
        <v>1163</v>
      </c>
      <c r="M366">
        <f t="shared" si="40"/>
        <v>0</v>
      </c>
      <c r="P366" s="6">
        <f t="shared" si="41"/>
        <v>1163</v>
      </c>
    </row>
    <row r="367" spans="4:19" x14ac:dyDescent="0.25">
      <c r="D367">
        <v>364</v>
      </c>
      <c r="E367" s="4">
        <v>0</v>
      </c>
      <c r="F367" s="8">
        <f t="shared" si="35"/>
        <v>0</v>
      </c>
      <c r="G367">
        <f t="shared" si="36"/>
        <v>1806</v>
      </c>
      <c r="H367">
        <f t="shared" si="37"/>
        <v>0</v>
      </c>
      <c r="K367" s="6">
        <f t="shared" si="38"/>
        <v>1806</v>
      </c>
      <c r="L367">
        <f t="shared" si="39"/>
        <v>1163</v>
      </c>
      <c r="M367">
        <f t="shared" si="40"/>
        <v>0</v>
      </c>
      <c r="P367" s="6">
        <f t="shared" si="41"/>
        <v>1163</v>
      </c>
    </row>
    <row r="368" spans="4:19" x14ac:dyDescent="0.25">
      <c r="D368">
        <v>365</v>
      </c>
      <c r="E368" s="4">
        <v>0</v>
      </c>
      <c r="F368" s="8">
        <f t="shared" si="35"/>
        <v>0</v>
      </c>
      <c r="G368">
        <f t="shared" si="36"/>
        <v>1806</v>
      </c>
      <c r="H368">
        <f t="shared" si="37"/>
        <v>0</v>
      </c>
      <c r="K368" s="6">
        <f t="shared" si="38"/>
        <v>1806</v>
      </c>
      <c r="L368">
        <f t="shared" si="39"/>
        <v>1163</v>
      </c>
      <c r="M368">
        <f t="shared" si="40"/>
        <v>0</v>
      </c>
      <c r="P368" s="6">
        <f t="shared" si="41"/>
        <v>1163</v>
      </c>
      <c r="R368">
        <f>IF(H368&gt;0,1,0)</f>
        <v>0</v>
      </c>
      <c r="S368">
        <f>IF(M368&gt;0,1,0)</f>
        <v>0</v>
      </c>
    </row>
    <row r="370" spans="7:13" x14ac:dyDescent="0.25">
      <c r="G370" s="1" t="s">
        <v>47</v>
      </c>
      <c r="H370" s="11">
        <f>SUM(H4:H368)</f>
        <v>0</v>
      </c>
      <c r="L370" s="1" t="s">
        <v>47</v>
      </c>
      <c r="M370" s="11">
        <f>SUM(M4:M368)</f>
        <v>0</v>
      </c>
    </row>
    <row r="371" spans="7:13" ht="30" x14ac:dyDescent="0.25">
      <c r="G371" s="12" t="s">
        <v>64</v>
      </c>
      <c r="H371">
        <f>SUM(R3:R368)</f>
        <v>0</v>
      </c>
      <c r="L371" s="12" t="s">
        <v>64</v>
      </c>
      <c r="M371">
        <f>SUM(S3:S368)</f>
        <v>0</v>
      </c>
    </row>
    <row r="372" spans="7:13" x14ac:dyDescent="0.25">
      <c r="G372" s="1" t="s">
        <v>65</v>
      </c>
      <c r="H372" s="11">
        <f>1-H371/37</f>
        <v>1</v>
      </c>
      <c r="L372" s="1" t="s">
        <v>65</v>
      </c>
      <c r="M372" s="11">
        <f>1-M371/37</f>
        <v>1</v>
      </c>
    </row>
  </sheetData>
  <mergeCells count="2">
    <mergeCell ref="G1:K1"/>
    <mergeCell ref="L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Normal Demand</vt:lpstr>
    </vt:vector>
  </TitlesOfParts>
  <Company>Duquesne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Book1</dc:title>
  <dc:creator>Matt Drake</dc:creator>
  <cp:lastModifiedBy>Matt Drake</cp:lastModifiedBy>
  <dcterms:created xsi:type="dcterms:W3CDTF">2010-01-13T19:03:14Z</dcterms:created>
  <dcterms:modified xsi:type="dcterms:W3CDTF">2010-12-20T22:24:36Z</dcterms:modified>
</cp:coreProperties>
</file>