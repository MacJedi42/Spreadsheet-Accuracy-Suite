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100" yWindow="-120" windowWidth="18705" windowHeight="1152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24" i="1"/>
  <c r="D20"/>
  <c r="E20"/>
  <c r="C20"/>
  <c r="D22"/>
  <c r="C22"/>
  <c r="E22"/>
  <c r="G7"/>
  <c r="B9"/>
  <c r="B10"/>
  <c r="B8"/>
  <c r="G8"/>
  <c r="D21"/>
  <c r="E21"/>
  <c r="C21"/>
  <c r="F7"/>
  <c r="F8"/>
  <c r="F9"/>
  <c r="F10"/>
  <c r="F11"/>
  <c r="F12"/>
  <c r="F13"/>
  <c r="F14"/>
  <c r="F15"/>
  <c r="F16"/>
  <c r="E11"/>
  <c r="E10"/>
  <c r="E9"/>
  <c r="E8"/>
  <c r="E7"/>
  <c r="E16"/>
  <c r="E15"/>
  <c r="E14"/>
  <c r="E13"/>
  <c r="E12"/>
  <c r="G10"/>
  <c r="B11"/>
  <c r="G9"/>
  <c r="E25"/>
  <c r="G11"/>
  <c r="B20"/>
  <c r="B12"/>
  <c r="B13"/>
  <c r="G12"/>
  <c r="B14"/>
  <c r="G13"/>
  <c r="B15"/>
  <c r="G14"/>
  <c r="B16"/>
  <c r="G15"/>
  <c r="B22"/>
  <c r="G16"/>
  <c r="B21"/>
</calcChain>
</file>

<file path=xl/sharedStrings.xml><?xml version="1.0" encoding="utf-8"?>
<sst xmlns="http://schemas.openxmlformats.org/spreadsheetml/2006/main" count="15" uniqueCount="11">
  <si>
    <t>Year</t>
  </si>
  <si>
    <t>First-Time Passes</t>
  </si>
  <si>
    <t>Annual Pass Rate</t>
  </si>
  <si>
    <t>All Students Taking Exam</t>
  </si>
  <si>
    <t>Current 5 Years</t>
  </si>
  <si>
    <t>Past 5 Years</t>
  </si>
  <si>
    <t>Running 5-Year Average Pass Rate</t>
  </si>
  <si>
    <t>Correlation of # of Examinees with Annual Pass Rate (to determine if "class size" affects pass rate.)</t>
  </si>
  <si>
    <t>High School GPA</t>
  </si>
  <si>
    <t>Correlation of High School GPA with Annual Pass Rate (to determine if "GPA" affects pass rate.)</t>
  </si>
  <si>
    <t>Complete the information in the yellow areas to calculate the pass rates.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</si>
</sst>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0"/>
      <color theme="1"/>
      <name val="Myriad Pro"/>
      <family val="2"/>
    </font>
    <font>
      <sz val="10"/>
      <color theme="1"/>
      <name val="Myriad Pro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textRotation="180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0" fontId="5" fillId="3" borderId="2" xfId="0" applyFont="1" applyFill="1" applyBorder="1"/>
    <xf numFmtId="9" fontId="5" fillId="0" borderId="0" xfId="1" applyFont="1"/>
    <xf numFmtId="0" fontId="5" fillId="0" borderId="0" xfId="0" applyFont="1" applyAlignment="1">
      <alignment horizontal="right"/>
    </xf>
    <xf numFmtId="0" fontId="5" fillId="0" borderId="1" xfId="0" applyFont="1" applyBorder="1"/>
    <xf numFmtId="0" fontId="5" fillId="3" borderId="3" xfId="0" applyFont="1" applyFill="1" applyBorder="1"/>
    <xf numFmtId="9" fontId="5" fillId="0" borderId="1" xfId="1" applyFont="1" applyBorder="1"/>
    <xf numFmtId="9" fontId="4" fillId="0" borderId="1" xfId="1" applyFont="1" applyBorder="1"/>
    <xf numFmtId="0" fontId="5" fillId="0" borderId="1" xfId="0" applyFont="1" applyBorder="1" applyAlignment="1">
      <alignment horizontal="right"/>
    </xf>
    <xf numFmtId="0" fontId="5" fillId="3" borderId="4" xfId="0" applyFont="1" applyFill="1" applyBorder="1"/>
    <xf numFmtId="9" fontId="4" fillId="0" borderId="0" xfId="1" applyFont="1"/>
    <xf numFmtId="0" fontId="4" fillId="0" borderId="0" xfId="0" applyFont="1" applyAlignment="1">
      <alignment horizontal="right" vertical="center" wrapText="1"/>
    </xf>
    <xf numFmtId="0" fontId="4" fillId="0" borderId="0" xfId="0" applyFont="1"/>
    <xf numFmtId="9" fontId="4" fillId="0" borderId="0" xfId="1" applyFont="1" applyBorder="1"/>
    <xf numFmtId="0" fontId="5" fillId="0" borderId="0" xfId="0" applyFont="1" applyBorder="1"/>
    <xf numFmtId="9" fontId="5" fillId="0" borderId="0" xfId="1" applyFont="1" applyBorder="1"/>
    <xf numFmtId="0" fontId="5" fillId="0" borderId="0" xfId="0" applyFont="1" applyBorder="1" applyAlignment="1">
      <alignment horizontal="right"/>
    </xf>
    <xf numFmtId="0" fontId="3" fillId="0" borderId="0" xfId="0" applyFont="1" applyAlignment="1">
      <alignment horizontal="center" vertical="center" textRotation="180"/>
    </xf>
    <xf numFmtId="0" fontId="4" fillId="2" borderId="0" xfId="0" applyFont="1" applyFill="1" applyAlignment="1">
      <alignment horizontal="center" vertical="center" wrapText="1"/>
    </xf>
    <xf numFmtId="0" fontId="2" fillId="0" borderId="1" xfId="0" applyFont="1" applyBorder="1"/>
    <xf numFmtId="164" fontId="2" fillId="0" borderId="0" xfId="0" applyNumberFormat="1" applyFont="1"/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3" fillId="0" borderId="0" xfId="0" applyFont="1" applyAlignment="1">
      <alignment horizontal="center" vertical="center" textRotation="180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/>
    <xf numFmtId="0" fontId="5" fillId="0" borderId="0" xfId="0" applyFont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CDR Examinees by Year 2006-2010</a:t>
            </a:r>
          </a:p>
        </c:rich>
      </c:tx>
      <c:layout/>
    </c:title>
    <c:plotArea>
      <c:layout/>
      <c:lineChart>
        <c:grouping val="standard"/>
        <c:ser>
          <c:idx val="2"/>
          <c:order val="0"/>
          <c:tx>
            <c:v>Total Test Takers</c:v>
          </c:tx>
          <c:cat>
            <c:numRef>
              <c:f>Sheet1!$B$12:$B$16</c:f>
              <c:numCache>
                <c:formatCode>General</c:formatCode>
                <c:ptCount val="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</c:numCache>
            </c:numRef>
          </c:cat>
          <c:val>
            <c:numRef>
              <c:f>Sheet1!$C$12:$C$16</c:f>
              <c:numCache>
                <c:formatCode>General</c:formatCode>
                <c:ptCount val="5"/>
                <c:pt idx="0">
                  <c:v>17</c:v>
                </c:pt>
                <c:pt idx="1">
                  <c:v>12</c:v>
                </c:pt>
                <c:pt idx="2">
                  <c:v>13</c:v>
                </c:pt>
                <c:pt idx="3">
                  <c:v>13</c:v>
                </c:pt>
                <c:pt idx="4">
                  <c:v>14</c:v>
                </c:pt>
              </c:numCache>
            </c:numRef>
          </c:val>
        </c:ser>
        <c:ser>
          <c:idx val="3"/>
          <c:order val="1"/>
          <c:tx>
            <c:v>First-Time Passing</c:v>
          </c:tx>
          <c:marker>
            <c:symbol val="circle"/>
            <c:size val="7"/>
          </c:marker>
          <c:cat>
            <c:numRef>
              <c:f>Sheet1!$B$12:$B$16</c:f>
              <c:numCache>
                <c:formatCode>General</c:formatCode>
                <c:ptCount val="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</c:numCache>
            </c:numRef>
          </c:cat>
          <c:val>
            <c:numRef>
              <c:f>Sheet1!$D$12:$D$16</c:f>
              <c:numCache>
                <c:formatCode>General</c:formatCode>
                <c:ptCount val="5"/>
                <c:pt idx="0">
                  <c:v>17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6</c:v>
                </c:pt>
              </c:numCache>
            </c:numRef>
          </c:val>
        </c:ser>
        <c:marker val="1"/>
        <c:axId val="66543616"/>
        <c:axId val="66545152"/>
      </c:lineChart>
      <c:dateAx>
        <c:axId val="66543616"/>
        <c:scaling>
          <c:orientation val="minMax"/>
        </c:scaling>
        <c:axPos val="b"/>
        <c:numFmt formatCode="General" sourceLinked="0"/>
        <c:majorTickMark val="none"/>
        <c:tickLblPos val="nextTo"/>
        <c:crossAx val="66545152"/>
        <c:crosses val="autoZero"/>
        <c:lblOffset val="100"/>
        <c:baseTimeUnit val="days"/>
      </c:dateAx>
      <c:valAx>
        <c:axId val="6654515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Test Takers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6654361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</c:chart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Program Pass Rates 2006-2010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Annual Pass Rate</c:v>
          </c:tx>
          <c:trendline>
            <c:spPr>
              <a:ln w="19050">
                <a:solidFill>
                  <a:srgbClr val="0070C0"/>
                </a:solidFill>
                <a:prstDash val="sysDash"/>
              </a:ln>
            </c:spPr>
            <c:trendlineType val="linear"/>
          </c:trendline>
          <c:cat>
            <c:numRef>
              <c:f>Sheet1!$B$12:$B$16</c:f>
              <c:numCache>
                <c:formatCode>General</c:formatCode>
                <c:ptCount val="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</c:numCache>
            </c:numRef>
          </c:cat>
          <c:val>
            <c:numRef>
              <c:f>Sheet1!$E$12:$E$16</c:f>
              <c:numCache>
                <c:formatCode>0%</c:formatCode>
                <c:ptCount val="5"/>
                <c:pt idx="0">
                  <c:v>1</c:v>
                </c:pt>
                <c:pt idx="1">
                  <c:v>0.91666666666666663</c:v>
                </c:pt>
                <c:pt idx="2">
                  <c:v>0.84615384615384615</c:v>
                </c:pt>
                <c:pt idx="3">
                  <c:v>0.76923076923076927</c:v>
                </c:pt>
                <c:pt idx="4">
                  <c:v>0.42857142857142855</c:v>
                </c:pt>
              </c:numCache>
            </c:numRef>
          </c:val>
        </c:ser>
        <c:ser>
          <c:idx val="1"/>
          <c:order val="1"/>
          <c:tx>
            <c:v>5-Year Average Pass Rate</c:v>
          </c:tx>
          <c:trendline>
            <c:spPr>
              <a:ln w="19050">
                <a:solidFill>
                  <a:srgbClr val="C00000"/>
                </a:solidFill>
                <a:prstDash val="sysDash"/>
              </a:ln>
            </c:spPr>
            <c:trendlineType val="linear"/>
          </c:trendline>
          <c:cat>
            <c:numRef>
              <c:f>Sheet1!$B$12:$B$16</c:f>
              <c:numCache>
                <c:formatCode>General</c:formatCode>
                <c:ptCount val="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</c:numCache>
            </c:numRef>
          </c:cat>
          <c:val>
            <c:numRef>
              <c:f>Sheet1!$F$12:$F$16</c:f>
              <c:numCache>
                <c:formatCode>0%</c:formatCode>
                <c:ptCount val="5"/>
                <c:pt idx="0">
                  <c:v>0.8666666666666667</c:v>
                </c:pt>
                <c:pt idx="1">
                  <c:v>0.91549295774647887</c:v>
                </c:pt>
                <c:pt idx="2">
                  <c:v>0.91549295774647887</c:v>
                </c:pt>
                <c:pt idx="3">
                  <c:v>0.9</c:v>
                </c:pt>
                <c:pt idx="4">
                  <c:v>0.79710144927536231</c:v>
                </c:pt>
              </c:numCache>
            </c:numRef>
          </c:val>
        </c:ser>
        <c:marker val="1"/>
        <c:axId val="66779392"/>
        <c:axId val="66801664"/>
      </c:lineChart>
      <c:catAx>
        <c:axId val="66779392"/>
        <c:scaling>
          <c:orientation val="minMax"/>
        </c:scaling>
        <c:axPos val="b"/>
        <c:numFmt formatCode="General" sourceLinked="1"/>
        <c:majorTickMark val="none"/>
        <c:tickLblPos val="nextTo"/>
        <c:crossAx val="66801664"/>
        <c:crosses val="autoZero"/>
        <c:auto val="1"/>
        <c:lblAlgn val="ctr"/>
        <c:lblOffset val="100"/>
      </c:catAx>
      <c:valAx>
        <c:axId val="66801664"/>
        <c:scaling>
          <c:orientation val="minMax"/>
          <c:max val="1"/>
        </c:scaling>
        <c:axPos val="l"/>
        <c:majorGridlines/>
        <c:numFmt formatCode="0%" sourceLinked="1"/>
        <c:majorTickMark val="none"/>
        <c:tickLblPos val="nextTo"/>
        <c:crossAx val="6677939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</c:chart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r>
              <a:rPr lang="en-US"/>
              <a:t>CDR Examinees by Year </a:t>
            </a:r>
            <a:r>
              <a:rPr lang="en-US" sz="1800" b="1" i="0" baseline="0"/>
              <a:t>2001-2010</a:t>
            </a:r>
            <a:endParaRPr lang="en-US"/>
          </a:p>
        </c:rich>
      </c:tx>
      <c:layout/>
    </c:title>
    <c:plotArea>
      <c:layout/>
      <c:lineChart>
        <c:grouping val="standard"/>
        <c:ser>
          <c:idx val="2"/>
          <c:order val="0"/>
          <c:tx>
            <c:v>Total Test Takers</c:v>
          </c:tx>
          <c:cat>
            <c:numRef>
              <c:f>Sheet1!$B$7:$B$16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cat>
          <c:val>
            <c:numRef>
              <c:f>Sheet1!$C$7:$C$16</c:f>
              <c:numCache>
                <c:formatCode>General</c:formatCode>
                <c:ptCount val="10"/>
                <c:pt idx="0">
                  <c:v>14</c:v>
                </c:pt>
                <c:pt idx="1">
                  <c:v>16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17</c:v>
                </c:pt>
                <c:pt idx="6">
                  <c:v>12</c:v>
                </c:pt>
                <c:pt idx="7">
                  <c:v>13</c:v>
                </c:pt>
                <c:pt idx="8">
                  <c:v>13</c:v>
                </c:pt>
                <c:pt idx="9">
                  <c:v>14</c:v>
                </c:pt>
              </c:numCache>
            </c:numRef>
          </c:val>
        </c:ser>
        <c:ser>
          <c:idx val="3"/>
          <c:order val="1"/>
          <c:tx>
            <c:v>First-Time Passing</c:v>
          </c:tx>
          <c:marker>
            <c:symbol val="circle"/>
            <c:size val="7"/>
          </c:marker>
          <c:cat>
            <c:numRef>
              <c:f>Sheet1!$B$7:$B$16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cat>
          <c:val>
            <c:numRef>
              <c:f>Sheet1!$D$7:$D$16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12</c:v>
                </c:pt>
                <c:pt idx="4">
                  <c:v>14</c:v>
                </c:pt>
                <c:pt idx="5">
                  <c:v>17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6</c:v>
                </c:pt>
              </c:numCache>
            </c:numRef>
          </c:val>
        </c:ser>
        <c:marker val="1"/>
        <c:axId val="66819968"/>
        <c:axId val="70467968"/>
      </c:lineChart>
      <c:dateAx>
        <c:axId val="66819968"/>
        <c:scaling>
          <c:orientation val="minMax"/>
        </c:scaling>
        <c:axPos val="b"/>
        <c:numFmt formatCode="General" sourceLinked="0"/>
        <c:majorTickMark val="none"/>
        <c:tickLblPos val="nextTo"/>
        <c:crossAx val="70467968"/>
        <c:crosses val="autoZero"/>
        <c:lblOffset val="100"/>
        <c:baseTimeUnit val="days"/>
      </c:dateAx>
      <c:valAx>
        <c:axId val="70467968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Test Takers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668199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</c:chart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Program Pass Rates 2001-2010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Annual Pass Rate</c:v>
          </c:tx>
          <c:trendline>
            <c:spPr>
              <a:ln w="19050">
                <a:solidFill>
                  <a:srgbClr val="0070C0"/>
                </a:solidFill>
                <a:prstDash val="sysDash"/>
              </a:ln>
            </c:spPr>
            <c:trendlineType val="linear"/>
          </c:trendline>
          <c:cat>
            <c:numRef>
              <c:f>Sheet1!$B$7:$B$16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cat>
          <c:val>
            <c:numRef>
              <c:f>Sheet1!$E$7:$E$16</c:f>
              <c:numCache>
                <c:formatCode>0%</c:formatCode>
                <c:ptCount val="10"/>
                <c:pt idx="0">
                  <c:v>0.7142857142857143</c:v>
                </c:pt>
                <c:pt idx="1">
                  <c:v>0.6875</c:v>
                </c:pt>
                <c:pt idx="2">
                  <c:v>0.84615384615384615</c:v>
                </c:pt>
                <c:pt idx="3">
                  <c:v>0.8571428571428571</c:v>
                </c:pt>
                <c:pt idx="4">
                  <c:v>0.93333333333333335</c:v>
                </c:pt>
                <c:pt idx="5">
                  <c:v>1</c:v>
                </c:pt>
                <c:pt idx="6">
                  <c:v>0.91666666666666663</c:v>
                </c:pt>
                <c:pt idx="7">
                  <c:v>0.84615384615384615</c:v>
                </c:pt>
                <c:pt idx="8">
                  <c:v>0.76923076923076927</c:v>
                </c:pt>
                <c:pt idx="9">
                  <c:v>0.42857142857142855</c:v>
                </c:pt>
              </c:numCache>
            </c:numRef>
          </c:val>
        </c:ser>
        <c:ser>
          <c:idx val="1"/>
          <c:order val="1"/>
          <c:tx>
            <c:v>5-Year Average Pass Rate</c:v>
          </c:tx>
          <c:trendline>
            <c:spPr>
              <a:ln w="19050">
                <a:solidFill>
                  <a:srgbClr val="C00000"/>
                </a:solidFill>
                <a:prstDash val="sysDash"/>
              </a:ln>
            </c:spPr>
            <c:trendlineType val="linear"/>
          </c:trendline>
          <c:cat>
            <c:numRef>
              <c:f>Sheet1!$B$7:$B$16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cat>
          <c:val>
            <c:numRef>
              <c:f>Sheet1!$F$7:$F$16</c:f>
              <c:numCache>
                <c:formatCode>0%</c:formatCode>
                <c:ptCount val="10"/>
                <c:pt idx="0">
                  <c:v>0.7142857142857143</c:v>
                </c:pt>
                <c:pt idx="1">
                  <c:v>0.7</c:v>
                </c:pt>
                <c:pt idx="2">
                  <c:v>0.7441860465116279</c:v>
                </c:pt>
                <c:pt idx="3">
                  <c:v>0.77192982456140347</c:v>
                </c:pt>
                <c:pt idx="4">
                  <c:v>0.80555555555555558</c:v>
                </c:pt>
                <c:pt idx="5">
                  <c:v>0.8666666666666667</c:v>
                </c:pt>
                <c:pt idx="6">
                  <c:v>0.91549295774647887</c:v>
                </c:pt>
                <c:pt idx="7">
                  <c:v>0.91549295774647887</c:v>
                </c:pt>
                <c:pt idx="8">
                  <c:v>0.9</c:v>
                </c:pt>
                <c:pt idx="9">
                  <c:v>0.79710144927536231</c:v>
                </c:pt>
              </c:numCache>
            </c:numRef>
          </c:val>
        </c:ser>
        <c:marker val="1"/>
        <c:axId val="59793408"/>
        <c:axId val="59794944"/>
      </c:lineChart>
      <c:catAx>
        <c:axId val="59793408"/>
        <c:scaling>
          <c:orientation val="minMax"/>
        </c:scaling>
        <c:axPos val="b"/>
        <c:numFmt formatCode="General" sourceLinked="1"/>
        <c:majorTickMark val="none"/>
        <c:tickLblPos val="nextTo"/>
        <c:crossAx val="59794944"/>
        <c:crosses val="autoZero"/>
        <c:auto val="1"/>
        <c:lblAlgn val="ctr"/>
        <c:lblOffset val="100"/>
      </c:catAx>
      <c:valAx>
        <c:axId val="59794944"/>
        <c:scaling>
          <c:orientation val="minMax"/>
          <c:max val="1"/>
        </c:scaling>
        <c:axPos val="l"/>
        <c:majorGridlines/>
        <c:numFmt formatCode="0%" sourceLinked="1"/>
        <c:majorTickMark val="none"/>
        <c:tickLblPos val="nextTo"/>
        <c:crossAx val="5979340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</c:chart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/>
            </a:pPr>
            <a:r>
              <a:rPr lang="en-US" sz="1200"/>
              <a:t>2001-2010 Annual Pass Rate to High</a:t>
            </a:r>
            <a:r>
              <a:rPr lang="en-US" sz="1200" baseline="0"/>
              <a:t> </a:t>
            </a:r>
            <a:r>
              <a:rPr lang="en-US" sz="1200"/>
              <a:t>School GPA 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spPr>
              <a:ln w="19050">
                <a:solidFill>
                  <a:srgbClr val="0070C0"/>
                </a:solidFill>
                <a:prstDash val="sysDash"/>
              </a:ln>
            </c:spPr>
            <c:trendlineType val="linear"/>
          </c:trendline>
          <c:xVal>
            <c:numRef>
              <c:f>Sheet1!$E$7:$E$16</c:f>
              <c:numCache>
                <c:formatCode>0%</c:formatCode>
                <c:ptCount val="10"/>
                <c:pt idx="0">
                  <c:v>0.7142857142857143</c:v>
                </c:pt>
                <c:pt idx="1">
                  <c:v>0.6875</c:v>
                </c:pt>
                <c:pt idx="2">
                  <c:v>0.84615384615384615</c:v>
                </c:pt>
                <c:pt idx="3">
                  <c:v>0.8571428571428571</c:v>
                </c:pt>
                <c:pt idx="4">
                  <c:v>0.93333333333333335</c:v>
                </c:pt>
                <c:pt idx="5">
                  <c:v>1</c:v>
                </c:pt>
                <c:pt idx="6">
                  <c:v>0.91666666666666663</c:v>
                </c:pt>
                <c:pt idx="7">
                  <c:v>0.84615384615384615</c:v>
                </c:pt>
                <c:pt idx="8">
                  <c:v>0.76923076923076927</c:v>
                </c:pt>
                <c:pt idx="9">
                  <c:v>0.42857142857142855</c:v>
                </c:pt>
              </c:numCache>
            </c:numRef>
          </c:xVal>
          <c:yVal>
            <c:numRef>
              <c:f>Sheet1!$I$7:$I$16</c:f>
              <c:numCache>
                <c:formatCode>General</c:formatCode>
                <c:ptCount val="10"/>
                <c:pt idx="0">
                  <c:v>3.6</c:v>
                </c:pt>
                <c:pt idx="1">
                  <c:v>2.9</c:v>
                </c:pt>
                <c:pt idx="2">
                  <c:v>3.7</c:v>
                </c:pt>
                <c:pt idx="3">
                  <c:v>3.8</c:v>
                </c:pt>
                <c:pt idx="4">
                  <c:v>3.9</c:v>
                </c:pt>
                <c:pt idx="5">
                  <c:v>3.6</c:v>
                </c:pt>
                <c:pt idx="6">
                  <c:v>3.7</c:v>
                </c:pt>
                <c:pt idx="7">
                  <c:v>3.8</c:v>
                </c:pt>
                <c:pt idx="8">
                  <c:v>3.5</c:v>
                </c:pt>
                <c:pt idx="9">
                  <c:v>2.4</c:v>
                </c:pt>
              </c:numCache>
            </c:numRef>
          </c:yVal>
        </c:ser>
        <c:axId val="59856768"/>
        <c:axId val="59883520"/>
      </c:scatterChart>
      <c:valAx>
        <c:axId val="59856768"/>
        <c:scaling>
          <c:orientation val="minMax"/>
          <c:max val="1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Class GPA</a:t>
                </a:r>
              </a:p>
            </c:rich>
          </c:tx>
          <c:layout/>
        </c:title>
        <c:numFmt formatCode="0%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883520"/>
        <c:crosses val="autoZero"/>
        <c:crossBetween val="midCat"/>
      </c:valAx>
      <c:valAx>
        <c:axId val="59883520"/>
        <c:scaling>
          <c:orientation val="minMax"/>
          <c:max val="4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Annual Pass Rate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59856768"/>
        <c:crosses val="autoZero"/>
        <c:crossBetween val="midCat"/>
      </c:valAx>
    </c:plotArea>
    <c:plotVisOnly val="1"/>
    <c:dispBlanksAs val="gap"/>
  </c:chart>
  <c:txPr>
    <a:bodyPr/>
    <a:lstStyle/>
    <a:p>
      <a:pPr>
        <a:defRPr baseline="0">
          <a:latin typeface="Arial" pitchFamily="34" charset="0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2001-2010 Annual Pass Rate to Examinees (~Class Size)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spPr>
              <a:ln w="19050">
                <a:solidFill>
                  <a:srgbClr val="0070C0"/>
                </a:solidFill>
                <a:prstDash val="sysDash"/>
              </a:ln>
            </c:spPr>
            <c:trendlineType val="linear"/>
          </c:trendline>
          <c:xVal>
            <c:numRef>
              <c:f>Sheet1!$E$7:$E$16</c:f>
              <c:numCache>
                <c:formatCode>0%</c:formatCode>
                <c:ptCount val="10"/>
                <c:pt idx="0">
                  <c:v>0.7142857142857143</c:v>
                </c:pt>
                <c:pt idx="1">
                  <c:v>0.6875</c:v>
                </c:pt>
                <c:pt idx="2">
                  <c:v>0.84615384615384615</c:v>
                </c:pt>
                <c:pt idx="3">
                  <c:v>0.8571428571428571</c:v>
                </c:pt>
                <c:pt idx="4">
                  <c:v>0.93333333333333335</c:v>
                </c:pt>
                <c:pt idx="5">
                  <c:v>1</c:v>
                </c:pt>
                <c:pt idx="6">
                  <c:v>0.91666666666666663</c:v>
                </c:pt>
                <c:pt idx="7">
                  <c:v>0.84615384615384615</c:v>
                </c:pt>
                <c:pt idx="8">
                  <c:v>0.76923076923076927</c:v>
                </c:pt>
                <c:pt idx="9">
                  <c:v>0.42857142857142855</c:v>
                </c:pt>
              </c:numCache>
            </c:numRef>
          </c:xVal>
          <c:yVal>
            <c:numRef>
              <c:f>Sheet1!$C$7:$C$16</c:f>
              <c:numCache>
                <c:formatCode>General</c:formatCode>
                <c:ptCount val="10"/>
                <c:pt idx="0">
                  <c:v>14</c:v>
                </c:pt>
                <c:pt idx="1">
                  <c:v>16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17</c:v>
                </c:pt>
                <c:pt idx="6">
                  <c:v>12</c:v>
                </c:pt>
                <c:pt idx="7">
                  <c:v>13</c:v>
                </c:pt>
                <c:pt idx="8">
                  <c:v>13</c:v>
                </c:pt>
                <c:pt idx="9">
                  <c:v>14</c:v>
                </c:pt>
              </c:numCache>
            </c:numRef>
          </c:yVal>
        </c:ser>
        <c:axId val="60039552"/>
        <c:axId val="60041472"/>
      </c:scatterChart>
      <c:valAx>
        <c:axId val="60039552"/>
        <c:scaling>
          <c:orientation val="minMax"/>
          <c:max val="1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Annual Pass Rate</a:t>
                </a:r>
              </a:p>
            </c:rich>
          </c:tx>
          <c:layout/>
        </c:title>
        <c:numFmt formatCode="0%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0041472"/>
        <c:crosses val="autoZero"/>
        <c:crossBetween val="midCat"/>
      </c:valAx>
      <c:valAx>
        <c:axId val="6004147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Examinees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60039552"/>
        <c:crosses val="autoZero"/>
        <c:crossBetween val="midCat"/>
      </c:valAx>
    </c:plotArea>
    <c:plotVisOnly val="1"/>
    <c:dispBlanksAs val="gap"/>
  </c:chart>
  <c:txPr>
    <a:bodyPr/>
    <a:lstStyle/>
    <a:p>
      <a:pPr>
        <a:defRPr baseline="0">
          <a:latin typeface="Arial" pitchFamily="34" charset="0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89647</xdr:colOff>
      <xdr:row>47</xdr:row>
      <xdr:rowOff>45385</xdr:rowOff>
    </xdr:from>
    <xdr:to>
      <xdr:col>5</xdr:col>
      <xdr:colOff>408611</xdr:colOff>
      <xdr:row>65</xdr:row>
      <xdr:rowOff>145678</xdr:rowOff>
    </xdr:to>
    <xdr:graphicFrame macro="">
      <xdr:nvGraphicFramePr>
        <xdr:cNvPr id="1124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54349</xdr:colOff>
      <xdr:row>27</xdr:row>
      <xdr:rowOff>22973</xdr:rowOff>
    </xdr:from>
    <xdr:to>
      <xdr:col>5</xdr:col>
      <xdr:colOff>369795</xdr:colOff>
      <xdr:row>45</xdr:row>
      <xdr:rowOff>125170</xdr:rowOff>
    </xdr:to>
    <xdr:graphicFrame macro="">
      <xdr:nvGraphicFramePr>
        <xdr:cNvPr id="1125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649941</xdr:colOff>
      <xdr:row>47</xdr:row>
      <xdr:rowOff>56029</xdr:rowOff>
    </xdr:from>
    <xdr:to>
      <xdr:col>12</xdr:col>
      <xdr:colOff>550881</xdr:colOff>
      <xdr:row>65</xdr:row>
      <xdr:rowOff>156881</xdr:rowOff>
    </xdr:to>
    <xdr:graphicFrame macro="">
      <xdr:nvGraphicFramePr>
        <xdr:cNvPr id="1126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649940</xdr:colOff>
      <xdr:row>27</xdr:row>
      <xdr:rowOff>5603</xdr:rowOff>
    </xdr:from>
    <xdr:to>
      <xdr:col>12</xdr:col>
      <xdr:colOff>549087</xdr:colOff>
      <xdr:row>45</xdr:row>
      <xdr:rowOff>107800</xdr:rowOff>
    </xdr:to>
    <xdr:graphicFrame macro="">
      <xdr:nvGraphicFramePr>
        <xdr:cNvPr id="1127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661146</xdr:colOff>
      <xdr:row>68</xdr:row>
      <xdr:rowOff>112059</xdr:rowOff>
    </xdr:from>
    <xdr:to>
      <xdr:col>12</xdr:col>
      <xdr:colOff>562086</xdr:colOff>
      <xdr:row>87</xdr:row>
      <xdr:rowOff>57374</xdr:rowOff>
    </xdr:to>
    <xdr:graphicFrame macro="">
      <xdr:nvGraphicFramePr>
        <xdr:cNvPr id="1128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94690</xdr:colOff>
      <xdr:row>68</xdr:row>
      <xdr:rowOff>120463</xdr:rowOff>
    </xdr:from>
    <xdr:to>
      <xdr:col>5</xdr:col>
      <xdr:colOff>358588</xdr:colOff>
      <xdr:row>87</xdr:row>
      <xdr:rowOff>65778</xdr:rowOff>
    </xdr:to>
    <xdr:graphicFrame macro="">
      <xdr:nvGraphicFramePr>
        <xdr:cNvPr id="1129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25"/>
  <sheetViews>
    <sheetView tabSelected="1" zoomScale="85" zoomScaleNormal="85" workbookViewId="0">
      <selection activeCell="P74" sqref="P74"/>
    </sheetView>
  </sheetViews>
  <sheetFormatPr defaultRowHeight="12.75"/>
  <cols>
    <col min="1" max="1" width="3" style="1" customWidth="1"/>
    <col min="2" max="2" width="15.28515625" style="1" customWidth="1"/>
    <col min="3" max="4" width="12.85546875" style="1" customWidth="1"/>
    <col min="5" max="5" width="13.28515625" style="1" customWidth="1"/>
    <col min="6" max="6" width="13.42578125" style="1" customWidth="1"/>
    <col min="7" max="7" width="11.42578125" style="1" customWidth="1"/>
    <col min="8" max="8" width="9.140625" style="1"/>
    <col min="9" max="9" width="10.28515625" style="1" customWidth="1"/>
    <col min="10" max="16384" width="9.140625" style="1"/>
  </cols>
  <sheetData>
    <row r="2" spans="1:9">
      <c r="B2" s="26" t="s">
        <v>10</v>
      </c>
    </row>
    <row r="6" spans="1:9" ht="38.25">
      <c r="B6" s="3" t="s">
        <v>0</v>
      </c>
      <c r="C6" s="3" t="s">
        <v>3</v>
      </c>
      <c r="D6" s="3" t="s">
        <v>1</v>
      </c>
      <c r="E6" s="3" t="s">
        <v>2</v>
      </c>
      <c r="F6" s="28" t="s">
        <v>6</v>
      </c>
      <c r="G6" s="29"/>
      <c r="I6" s="25" t="s">
        <v>8</v>
      </c>
    </row>
    <row r="7" spans="1:9" ht="14.1" customHeight="1">
      <c r="A7" s="27" t="s">
        <v>5</v>
      </c>
      <c r="B7" s="4">
        <v>2001</v>
      </c>
      <c r="C7" s="5">
        <v>14</v>
      </c>
      <c r="D7" s="5">
        <v>10</v>
      </c>
      <c r="E7" s="6">
        <f t="shared" ref="E7:E16" si="0">D7/C7</f>
        <v>0.7142857142857143</v>
      </c>
      <c r="F7" s="6">
        <f>SUM(D7:D7)/SUM(C7:C7)</f>
        <v>0.7142857142857143</v>
      </c>
      <c r="G7" s="7" t="str">
        <f>$B$7&amp;"-"&amp;B7</f>
        <v>2001-2001</v>
      </c>
      <c r="I7" s="1">
        <v>3.6</v>
      </c>
    </row>
    <row r="8" spans="1:9" ht="14.1" customHeight="1">
      <c r="A8" s="27"/>
      <c r="B8" s="4">
        <f t="shared" ref="B8:B16" si="1">B7+1</f>
        <v>2002</v>
      </c>
      <c r="C8" s="5">
        <v>16</v>
      </c>
      <c r="D8" s="5">
        <v>11</v>
      </c>
      <c r="E8" s="6">
        <f t="shared" si="0"/>
        <v>0.6875</v>
      </c>
      <c r="F8" s="6">
        <f>SUM(D7:D8)/SUM(C7:C8)</f>
        <v>0.7</v>
      </c>
      <c r="G8" s="7" t="str">
        <f>$B$7&amp;"-"&amp;B8</f>
        <v>2001-2002</v>
      </c>
      <c r="I8" s="1">
        <v>2.9</v>
      </c>
    </row>
    <row r="9" spans="1:9" ht="14.1" customHeight="1">
      <c r="A9" s="27"/>
      <c r="B9" s="4">
        <f t="shared" si="1"/>
        <v>2003</v>
      </c>
      <c r="C9" s="5">
        <v>13</v>
      </c>
      <c r="D9" s="5">
        <v>11</v>
      </c>
      <c r="E9" s="6">
        <f t="shared" si="0"/>
        <v>0.84615384615384615</v>
      </c>
      <c r="F9" s="6">
        <f>SUM(D7:D9)/SUM(C7:C9)</f>
        <v>0.7441860465116279</v>
      </c>
      <c r="G9" s="7" t="str">
        <f>$B$7&amp;"-"&amp;B9</f>
        <v>2001-2003</v>
      </c>
      <c r="I9" s="1">
        <v>3.7</v>
      </c>
    </row>
    <row r="10" spans="1:9" ht="14.1" customHeight="1">
      <c r="A10" s="27"/>
      <c r="B10" s="4">
        <f t="shared" si="1"/>
        <v>2004</v>
      </c>
      <c r="C10" s="5">
        <v>14</v>
      </c>
      <c r="D10" s="5">
        <v>12</v>
      </c>
      <c r="E10" s="6">
        <f t="shared" si="0"/>
        <v>0.8571428571428571</v>
      </c>
      <c r="F10" s="6">
        <f>SUM(D7:D10)/SUM(C7:C10)</f>
        <v>0.77192982456140347</v>
      </c>
      <c r="G10" s="7" t="str">
        <f>$B$7&amp;"-"&amp;B10</f>
        <v>2001-2004</v>
      </c>
      <c r="I10" s="1">
        <v>3.8</v>
      </c>
    </row>
    <row r="11" spans="1:9" ht="14.1" customHeight="1">
      <c r="A11" s="27"/>
      <c r="B11" s="8">
        <f t="shared" si="1"/>
        <v>2005</v>
      </c>
      <c r="C11" s="9">
        <v>15</v>
      </c>
      <c r="D11" s="9">
        <v>14</v>
      </c>
      <c r="E11" s="10">
        <f t="shared" si="0"/>
        <v>0.93333333333333335</v>
      </c>
      <c r="F11" s="11">
        <f t="shared" ref="F11:F16" si="2">SUM(D7:D11)/SUM(C7:C11)</f>
        <v>0.80555555555555558</v>
      </c>
      <c r="G11" s="12" t="str">
        <f>$B$7&amp;"-"&amp;B11</f>
        <v>2001-2005</v>
      </c>
      <c r="I11" s="23">
        <v>3.9</v>
      </c>
    </row>
    <row r="12" spans="1:9" ht="14.1" customHeight="1">
      <c r="A12" s="27" t="s">
        <v>4</v>
      </c>
      <c r="B12" s="4">
        <f t="shared" si="1"/>
        <v>2006</v>
      </c>
      <c r="C12" s="13">
        <v>17</v>
      </c>
      <c r="D12" s="13">
        <v>17</v>
      </c>
      <c r="E12" s="6">
        <f t="shared" si="0"/>
        <v>1</v>
      </c>
      <c r="F12" s="14">
        <f t="shared" si="2"/>
        <v>0.8666666666666667</v>
      </c>
      <c r="G12" s="7" t="str">
        <f>B8&amp;"-"&amp;B12</f>
        <v>2002-2006</v>
      </c>
      <c r="I12" s="1">
        <v>3.6</v>
      </c>
    </row>
    <row r="13" spans="1:9" ht="14.1" customHeight="1">
      <c r="A13" s="27"/>
      <c r="B13" s="4">
        <f t="shared" si="1"/>
        <v>2007</v>
      </c>
      <c r="C13" s="5">
        <v>12</v>
      </c>
      <c r="D13" s="5">
        <v>11</v>
      </c>
      <c r="E13" s="6">
        <f t="shared" si="0"/>
        <v>0.91666666666666663</v>
      </c>
      <c r="F13" s="14">
        <f t="shared" si="2"/>
        <v>0.91549295774647887</v>
      </c>
      <c r="G13" s="7" t="str">
        <f>B9&amp;"-"&amp;B13</f>
        <v>2003-2007</v>
      </c>
      <c r="I13" s="1">
        <v>3.7</v>
      </c>
    </row>
    <row r="14" spans="1:9" ht="14.1" customHeight="1">
      <c r="A14" s="27"/>
      <c r="B14" s="4">
        <f t="shared" si="1"/>
        <v>2008</v>
      </c>
      <c r="C14" s="5">
        <v>13</v>
      </c>
      <c r="D14" s="5">
        <v>11</v>
      </c>
      <c r="E14" s="6">
        <f t="shared" si="0"/>
        <v>0.84615384615384615</v>
      </c>
      <c r="F14" s="14">
        <f t="shared" si="2"/>
        <v>0.91549295774647887</v>
      </c>
      <c r="G14" s="7" t="str">
        <f>B10&amp;"-"&amp;B14</f>
        <v>2004-2008</v>
      </c>
      <c r="I14" s="1">
        <v>3.8</v>
      </c>
    </row>
    <row r="15" spans="1:9" ht="14.1" customHeight="1">
      <c r="A15" s="27"/>
      <c r="B15" s="4">
        <f t="shared" si="1"/>
        <v>2009</v>
      </c>
      <c r="C15" s="5">
        <v>13</v>
      </c>
      <c r="D15" s="5">
        <v>10</v>
      </c>
      <c r="E15" s="6">
        <f t="shared" si="0"/>
        <v>0.76923076923076927</v>
      </c>
      <c r="F15" s="14">
        <f t="shared" si="2"/>
        <v>0.9</v>
      </c>
      <c r="G15" s="7" t="str">
        <f>B11&amp;"-"&amp;B15</f>
        <v>2005-2009</v>
      </c>
      <c r="I15" s="1">
        <v>3.5</v>
      </c>
    </row>
    <row r="16" spans="1:9" ht="14.1" customHeight="1">
      <c r="A16" s="27"/>
      <c r="B16" s="8">
        <f t="shared" si="1"/>
        <v>2010</v>
      </c>
      <c r="C16" s="9">
        <v>14</v>
      </c>
      <c r="D16" s="9">
        <v>6</v>
      </c>
      <c r="E16" s="10">
        <f t="shared" si="0"/>
        <v>0.42857142857142855</v>
      </c>
      <c r="F16" s="11">
        <f t="shared" si="2"/>
        <v>0.79710144927536231</v>
      </c>
      <c r="G16" s="12" t="str">
        <f>B12&amp;"-"&amp;B16</f>
        <v>2006-2010</v>
      </c>
      <c r="I16" s="23">
        <v>2.4</v>
      </c>
    </row>
    <row r="17" spans="1:7" ht="14.1" customHeight="1">
      <c r="A17" s="2"/>
      <c r="B17" s="18"/>
      <c r="C17" s="17"/>
      <c r="D17" s="20"/>
      <c r="E17" s="19"/>
      <c r="F17" s="17"/>
      <c r="G17" s="20"/>
    </row>
    <row r="18" spans="1:7" ht="14.1" customHeight="1">
      <c r="A18" s="21"/>
      <c r="B18" s="18"/>
      <c r="C18" s="17"/>
      <c r="D18" s="20"/>
      <c r="E18" s="19"/>
      <c r="F18" s="17"/>
      <c r="G18" s="20"/>
    </row>
    <row r="19" spans="1:7" ht="26.25" customHeight="1">
      <c r="A19" s="2"/>
      <c r="B19" s="22" t="s">
        <v>0</v>
      </c>
      <c r="C19" s="22" t="s">
        <v>3</v>
      </c>
      <c r="D19" s="22" t="s">
        <v>1</v>
      </c>
      <c r="E19" s="22" t="s">
        <v>2</v>
      </c>
      <c r="F19" s="17"/>
      <c r="G19" s="20"/>
    </row>
    <row r="20" spans="1:7" ht="27" customHeight="1">
      <c r="A20" s="2"/>
      <c r="B20" s="15" t="str">
        <f>"5-year Average"&amp;" "&amp;G11</f>
        <v>5-year Average 2001-2005</v>
      </c>
      <c r="C20" s="16">
        <f>SUM(C7:C11)</f>
        <v>72</v>
      </c>
      <c r="D20" s="16">
        <f>SUM(D7:D11)</f>
        <v>58</v>
      </c>
      <c r="E20" s="17">
        <f>D20/C20</f>
        <v>0.80555555555555558</v>
      </c>
      <c r="F20" s="17"/>
      <c r="G20" s="20"/>
    </row>
    <row r="21" spans="1:7" ht="26.25" customHeight="1">
      <c r="B21" s="15" t="str">
        <f>"5-year Average"&amp;" "&amp;G16</f>
        <v>5-year Average 2006-2010</v>
      </c>
      <c r="C21" s="16">
        <f>SUM(C12:C16)</f>
        <v>69</v>
      </c>
      <c r="D21" s="16">
        <f>SUM(D12:D16)</f>
        <v>55</v>
      </c>
      <c r="E21" s="17">
        <f>D21/C21</f>
        <v>0.79710144927536231</v>
      </c>
      <c r="G21" s="4"/>
    </row>
    <row r="22" spans="1:7" ht="24">
      <c r="B22" s="15" t="str">
        <f>"10-year Average"&amp;" "&amp;B7&amp;" - "&amp;B16</f>
        <v>10-year Average 2001 - 2010</v>
      </c>
      <c r="C22" s="1">
        <f>SUM(C7:C16)</f>
        <v>141</v>
      </c>
      <c r="D22" s="1">
        <f>SUM(D7:D16)</f>
        <v>113</v>
      </c>
      <c r="E22" s="17">
        <f>D22/C22</f>
        <v>0.8014184397163121</v>
      </c>
    </row>
    <row r="24" spans="1:7" ht="28.5" customHeight="1">
      <c r="B24" s="30" t="s">
        <v>7</v>
      </c>
      <c r="C24" s="30"/>
      <c r="D24" s="30"/>
      <c r="E24" s="24">
        <f>CORREL(C7:C16,E7:E16)</f>
        <v>9.5788776047948054E-2</v>
      </c>
    </row>
    <row r="25" spans="1:7" ht="26.25" customHeight="1">
      <c r="B25" s="30" t="s">
        <v>9</v>
      </c>
      <c r="C25" s="30"/>
      <c r="D25" s="30"/>
      <c r="E25" s="24">
        <f>CORREL(I7:I16,E7:E16)</f>
        <v>0.87436021258434482</v>
      </c>
    </row>
  </sheetData>
  <mergeCells count="5">
    <mergeCell ref="A7:A11"/>
    <mergeCell ref="A12:A16"/>
    <mergeCell ref="F6:G6"/>
    <mergeCell ref="B24:D24"/>
    <mergeCell ref="B25:D25"/>
  </mergeCells>
  <pageMargins left="0.45" right="0.45" top="0.5" bottom="0.5" header="0.3" footer="0.3"/>
  <pageSetup orientation="landscape" horizontalDpi="1200" verticalDpi="1200" r:id="rId1"/>
  <rowBreaks count="1" manualBreakCount="1">
    <brk id="2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American Diatetic Association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UCHUNG</dc:creator>
  <cp:lastModifiedBy> </cp:lastModifiedBy>
  <cp:lastPrinted>2011-06-13T18:15:14Z</cp:lastPrinted>
  <dcterms:created xsi:type="dcterms:W3CDTF">2010-07-15T14:38:55Z</dcterms:created>
  <dcterms:modified xsi:type="dcterms:W3CDTF">2011-06-13T18:15:20Z</dcterms:modified>
</cp:coreProperties>
</file>