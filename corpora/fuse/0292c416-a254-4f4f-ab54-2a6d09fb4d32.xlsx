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<sst xmlns="http://schemas.openxmlformats.org/spreadsheetml/2006/main" count="55" uniqueCount="27">
  <si>
    <t>Payout</t>
  </si>
  <si>
    <t>Pro</t>
  </si>
  <si>
    <t>Adv</t>
  </si>
  <si>
    <t>Sample:</t>
  </si>
  <si>
    <t>Int</t>
  </si>
  <si>
    <t>Division</t>
  </si>
  <si>
    <t># of Players</t>
  </si>
  <si>
    <t>Money</t>
  </si>
  <si>
    <t># of Players Paid</t>
  </si>
  <si>
    <t>Player's Packs</t>
  </si>
  <si>
    <t>Nov</t>
  </si>
  <si>
    <t>Pro Open</t>
  </si>
  <si>
    <t>Pro GM</t>
  </si>
  <si>
    <t>Entry Fees</t>
  </si>
  <si>
    <t>Adv Masters</t>
  </si>
  <si>
    <t>Int </t>
  </si>
  <si>
    <t>Total Prize/PP Money Spent:</t>
  </si>
  <si>
    <t>Totals</t>
  </si>
  <si>
    <t>$15 each</t>
  </si>
  <si>
    <t>Left Over for Pro Divisions:</t>
  </si>
  <si>
    <t>Total Pro Money Paid:</t>
  </si>
  <si>
    <t>Sample Payout:</t>
  </si>
  <si>
    <t>1st</t>
  </si>
  <si>
    <t>2nd</t>
  </si>
  <si>
    <t>3rd</t>
  </si>
  <si>
    <t>4th</t>
  </si>
  <si>
    <t>5th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</si>
</sst>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"/>
  </numFmts>
  <fonts count="15"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1.0"/>
      <color rgb="FF000000"/>
      <name val="Arial"/>
    </font>
    <font>
      <b val="0"/>
      <i val="0"/>
      <strike val="0"/>
      <u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/>
      <sz val="11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6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1">
      <alignment vertical="bottom" horizontal="right"/>
    </xf>
    <xf applyAlignment="1" fillId="0" xfId="0" numFmtId="0" borderId="0" applyFont="1" fontId="2">
      <alignment vertical="bottom" horizontal="left"/>
    </xf>
    <xf applyAlignment="1" fillId="0" xfId="0" numFmtId="164" borderId="0" applyFont="1" fontId="3" applyNumberFormat="1">
      <alignment vertical="bottom" horizontal="left"/>
    </xf>
    <xf fillId="0" xfId="0" numFmtId="165" borderId="0" applyFont="1" fontId="4" applyNumberFormat="1"/>
    <xf applyAlignment="1" fillId="0" xfId="0" numFmtId="0" borderId="0" applyFont="1" fontId="5">
      <alignment vertical="bottom" horizontal="center"/>
    </xf>
    <xf fillId="0" xfId="0" numFmtId="0" borderId="0" applyFont="1" fontId="6"/>
    <xf applyAlignment="1" fillId="0" xfId="0" numFmtId="0" borderId="0" applyFont="1" fontId="7">
      <alignment vertical="bottom" horizontal="general" wrapText="1"/>
    </xf>
    <xf applyAlignment="1" fillId="0" xfId="0" numFmtId="0" borderId="0" applyFont="1" fontId="8">
      <alignment vertical="bottom" horizontal="left"/>
    </xf>
    <xf fillId="0" xfId="0" numFmtId="0" borderId="0" applyFont="1" fontId="9"/>
    <xf applyAlignment="1" fillId="0" xfId="0" numFmtId="0" borderId="0" applyFont="1" fontId="10">
      <alignment vertical="bottom" horizontal="center"/>
    </xf>
    <xf applyAlignment="1" fillId="0" xfId="0" numFmtId="5" borderId="0" applyFont="1" fontId="11" applyNumberFormat="1">
      <alignment vertical="bottom" horizontal="left"/>
    </xf>
    <xf fillId="0" xfId="0" numFmtId="9" borderId="0" applyFont="1" fontId="12" applyNumberFormat="1"/>
    <xf fillId="0" xfId="0" numFmtId="5" borderId="0" applyFont="1" fontId="13" applyNumberFormat="1"/>
    <xf fillId="0" xfId="0" numFmtId="0" borderId="0" applyFont="1" fontId="14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1.57"/>
    <col min="4" customWidth="1" max="4" width="14.14"/>
    <col min="5" customWidth="1" max="5" width="11.14"/>
    <col min="6" customWidth="1" max="6" width="10.43"/>
    <col min="7" customWidth="1" max="7" width="11.14"/>
    <col min="8" customWidth="1" max="8" width="14.86"/>
    <col min="9" customWidth="1" max="9" width="12.14"/>
    <col min="12" customWidth="1" max="12" width="12.43"/>
    <col min="13" customWidth="1" max="13" width="14.29"/>
  </cols>
  <sheetData>
    <row r="1">
      <c t="s" s="10" r="A1">
        <v>0</v>
      </c>
    </row>
    <row r="2">
      <c t="s" s="7" r="A2">
        <v>1</v>
      </c>
      <c s="13" r="B2">
        <v>0.5</v>
      </c>
    </row>
    <row r="3">
      <c t="s" s="7" r="A3">
        <v>2</v>
      </c>
      <c s="13" r="B3">
        <v>0.33</v>
      </c>
      <c t="s" s="10" r="D3">
        <v>3</v>
      </c>
    </row>
    <row r="4">
      <c t="s" s="7" r="A4">
        <v>4</v>
      </c>
      <c s="13" r="B4">
        <v>0.1</v>
      </c>
      <c t="s" s="6" r="E4">
        <v>5</v>
      </c>
      <c t="s" s="6" r="F4">
        <v>6</v>
      </c>
      <c t="s" s="6" r="G4">
        <v>7</v>
      </c>
      <c t="s" s="6" r="H4">
        <v>8</v>
      </c>
      <c t="s" s="15" r="I4">
        <v>9</v>
      </c>
    </row>
    <row r="5">
      <c t="s" s="7" r="A5">
        <v>10</v>
      </c>
      <c s="13" r="B5">
        <v>0.25</v>
      </c>
      <c t="s" s="7" r="E5">
        <v>11</v>
      </c>
      <c s="7" r="F5">
        <v>10</v>
      </c>
      <c s="14" r="G5">
        <f>F5*B8</f>
        <v>450</v>
      </c>
      <c s="11" r="H5">
        <v>5</v>
      </c>
    </row>
    <row r="6">
      <c t="s" s="7" r="E6">
        <v>12</v>
      </c>
      <c s="7" r="F6">
        <v>4</v>
      </c>
      <c s="14" r="G6">
        <f>F6*B8</f>
        <v>180</v>
      </c>
      <c s="11" r="H6">
        <v>2</v>
      </c>
    </row>
    <row r="7">
      <c t="s" s="10" r="A7">
        <v>13</v>
      </c>
      <c t="s" s="7" r="E7">
        <v>2</v>
      </c>
      <c s="7" r="F7">
        <v>15</v>
      </c>
      <c s="14" r="G7">
        <f>F7*B9</f>
        <v>525</v>
      </c>
      <c s="11" r="H7">
        <v>5</v>
      </c>
    </row>
    <row r="8">
      <c t="s" s="7" r="A8">
        <v>1</v>
      </c>
      <c s="14" r="B8">
        <v>45</v>
      </c>
      <c t="s" s="7" r="E8">
        <v>14</v>
      </c>
      <c s="7" r="F8">
        <v>8</v>
      </c>
      <c s="14" r="G8">
        <f>F8*B9</f>
        <v>280</v>
      </c>
      <c s="11" r="H8">
        <v>3</v>
      </c>
    </row>
    <row r="9">
      <c t="s" s="7" r="A9">
        <v>2</v>
      </c>
      <c s="14" r="B9">
        <v>35</v>
      </c>
      <c t="s" s="7" r="E9">
        <v>15</v>
      </c>
      <c s="7" r="F9">
        <v>40</v>
      </c>
      <c s="14" r="G9">
        <f>F9*B10</f>
        <v>1000</v>
      </c>
      <c s="11" r="H9">
        <v>4</v>
      </c>
      <c s="7" r="I9">
        <v>40</v>
      </c>
      <c s="14" r="J9">
        <v>15</v>
      </c>
    </row>
    <row r="10">
      <c t="s" s="7" r="A10">
        <v>4</v>
      </c>
      <c s="14" r="B10">
        <v>25</v>
      </c>
      <c t="s" s="7" r="E10">
        <v>10</v>
      </c>
      <c s="7" r="F10">
        <v>6</v>
      </c>
      <c s="14" r="G10">
        <f>F10*B11</f>
        <v>120</v>
      </c>
      <c s="11" r="H10">
        <v>2</v>
      </c>
      <c s="7" r="I10">
        <v>6</v>
      </c>
      <c s="14" r="J10">
        <v>15</v>
      </c>
    </row>
    <row r="11">
      <c t="s" s="7" r="A11">
        <v>10</v>
      </c>
      <c s="14" r="B11">
        <v>20</v>
      </c>
      <c t="s" s="9" r="L11">
        <v>16</v>
      </c>
      <c s="14" r="N11">
        <f>SUM(O16:O17,L16:L25,I16:I24,I13)</f>
        <v>1335</v>
      </c>
    </row>
    <row r="12">
      <c t="s" s="8" r="E12">
        <v>17</v>
      </c>
      <c s="7" r="F12">
        <f>SUM(F5:F11)</f>
        <v>83</v>
      </c>
      <c s="14" r="G12">
        <f>SUM(G5:G11)</f>
        <v>2555</v>
      </c>
      <c s="11" r="H12">
        <f>SUM(H5:H10)</f>
        <v>21</v>
      </c>
      <c s="7" r="I12">
        <v>46</v>
      </c>
      <c t="s" s="7" r="J12">
        <v>18</v>
      </c>
      <c t="s" s="9" r="L12">
        <v>19</v>
      </c>
      <c s="14" r="N12">
        <f>G12-N11</f>
        <v>1220</v>
      </c>
    </row>
    <row r="13">
      <c s="5" r="I13">
        <f>I12*15</f>
        <v>690</v>
      </c>
      <c t="s" s="9" r="L13">
        <v>20</v>
      </c>
      <c s="5" r="N13">
        <f>SUM(F16:F23)</f>
        <v>1210</v>
      </c>
    </row>
    <row r="15">
      <c t="s" s="10" r="D15">
        <v>21</v>
      </c>
    </row>
    <row r="16">
      <c t="s" s="2" r="D16">
        <v>1</v>
      </c>
      <c t="s" s="7" r="E16">
        <v>22</v>
      </c>
      <c s="4" r="F16">
        <v>400</v>
      </c>
      <c t="s" s="2" r="G16">
        <v>2</v>
      </c>
      <c t="s" s="7" r="H16">
        <v>22</v>
      </c>
      <c s="12" r="I16">
        <v>75</v>
      </c>
      <c t="s" s="2" r="J16">
        <v>4</v>
      </c>
      <c t="s" s="7" r="K16">
        <v>22</v>
      </c>
      <c s="12" r="L16">
        <v>50</v>
      </c>
      <c t="s" s="2" r="M16">
        <v>10</v>
      </c>
      <c t="s" s="7" r="N16">
        <v>22</v>
      </c>
      <c s="12" r="O16">
        <v>40</v>
      </c>
    </row>
    <row r="17">
      <c s="1" r="D17">
        <v>850</v>
      </c>
      <c t="s" s="7" r="E17">
        <v>23</v>
      </c>
      <c s="4" r="F17">
        <v>230</v>
      </c>
      <c t="s" s="7" r="H17">
        <v>23</v>
      </c>
      <c s="12" r="I17">
        <v>55</v>
      </c>
      <c t="s" s="7" r="K17">
        <v>23</v>
      </c>
      <c s="12" r="L17">
        <v>45</v>
      </c>
      <c t="s" s="7" r="N17">
        <v>23</v>
      </c>
      <c s="12" r="O17">
        <v>25</v>
      </c>
    </row>
    <row r="18">
      <c s="1" r="D18"/>
      <c t="s" s="7" r="E18">
        <v>24</v>
      </c>
      <c s="4" r="F18">
        <v>100</v>
      </c>
      <c t="s" s="7" r="H18">
        <v>24</v>
      </c>
      <c s="12" r="I18">
        <v>45</v>
      </c>
      <c t="s" s="7" r="K18">
        <v>24</v>
      </c>
      <c s="12" r="L18">
        <v>40</v>
      </c>
    </row>
    <row r="19">
      <c s="1" r="D19"/>
      <c t="s" s="7" r="E19">
        <v>25</v>
      </c>
      <c s="4" r="F19">
        <v>70</v>
      </c>
      <c t="s" s="7" r="H19">
        <v>25</v>
      </c>
      <c s="12" r="I19">
        <v>35</v>
      </c>
      <c t="s" s="7" r="K19">
        <v>25</v>
      </c>
      <c s="12" r="L19">
        <v>35</v>
      </c>
    </row>
    <row r="20">
      <c s="1" r="D20"/>
      <c t="s" s="7" r="E20">
        <v>26</v>
      </c>
      <c s="4" r="F20">
        <v>50</v>
      </c>
      <c t="s" s="7" r="H20">
        <v>26</v>
      </c>
      <c s="12" r="I20">
        <v>25</v>
      </c>
    </row>
    <row r="21">
      <c s="1" r="D21"/>
    </row>
    <row r="22">
      <c t="s" s="2" r="D22">
        <v>12</v>
      </c>
      <c t="s" s="7" r="E22">
        <v>22</v>
      </c>
      <c s="4" r="F22">
        <v>250</v>
      </c>
      <c t="s" s="3" r="G22">
        <v>14</v>
      </c>
      <c t="s" s="7" r="H22">
        <v>22</v>
      </c>
      <c s="12" r="I22">
        <v>75</v>
      </c>
    </row>
    <row r="23">
      <c r="D23">
        <v>360</v>
      </c>
      <c t="s" s="7" r="E23">
        <v>23</v>
      </c>
      <c s="4" r="F23">
        <v>110</v>
      </c>
      <c t="s" s="7" r="H23">
        <v>23</v>
      </c>
      <c s="12" r="I23">
        <v>55</v>
      </c>
    </row>
    <row r="24">
      <c t="s" s="7" r="H24">
        <v>24</v>
      </c>
      <c s="12" r="I24">
        <v>45</v>
      </c>
    </row>
  </sheetData>
  <mergeCells count="3">
    <mergeCell ref="L11:M11"/>
    <mergeCell ref="L12:M12"/>
    <mergeCell ref="L13:M1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