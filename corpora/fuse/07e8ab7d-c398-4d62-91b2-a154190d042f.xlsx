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92" firstSheet="3" activeTab="8"/>
  </bookViews>
  <sheets>
    <sheet name="Cover" sheetId="29" r:id="rId1"/>
    <sheet name="contents" sheetId="36" r:id="rId2"/>
    <sheet name="Parameters" sheetId="26" r:id="rId3"/>
    <sheet name="Basis of Est." sheetId="32" r:id="rId4"/>
    <sheet name="Summary" sheetId="22" r:id="rId5"/>
    <sheet name="Summary L1" sheetId="21" r:id="rId6"/>
    <sheet name="Cost Plan L2" sheetId="40" r:id="rId7"/>
    <sheet name="AP1-Other Const Costs L2" sheetId="37" r:id="rId8"/>
    <sheet name="AP2-O&amp;M L2" sheetId="9" r:id="rId9"/>
    <sheet name="AP3-Replacement L2" sheetId="23" r:id="rId10"/>
    <sheet name="AP4-End of Life L2" sheetId="11" r:id="rId11"/>
    <sheet name="AP5-Non Construction L2" sheetId="12" r:id="rId12"/>
    <sheet name="AP6-Income L2 " sheetId="13" r:id="rId13"/>
  </sheets>
  <externalReferences>
    <externalReference r:id="rId14"/>
    <externalReference r:id="rId15"/>
  </externalReferences>
  <definedNames>
    <definedName name="Ans_1" localSheetId="7">#REF!</definedName>
    <definedName name="Ans_1">#REF!</definedName>
    <definedName name="Ans_10" localSheetId="7">#REF!</definedName>
    <definedName name="Ans_10">#REF!</definedName>
    <definedName name="Ans_100" localSheetId="7">#REF!</definedName>
    <definedName name="Ans_100">#REF!</definedName>
    <definedName name="Ans_11" localSheetId="7">#REF!</definedName>
    <definedName name="Ans_11">#REF!</definedName>
    <definedName name="Ans_12" localSheetId="7">#REF!</definedName>
    <definedName name="Ans_12">#REF!</definedName>
    <definedName name="Ans_13" localSheetId="7">#REF!</definedName>
    <definedName name="Ans_13">#REF!</definedName>
    <definedName name="Ans_14" localSheetId="7">#REF!</definedName>
    <definedName name="Ans_14">#REF!</definedName>
    <definedName name="Ans_15" localSheetId="7">#REF!</definedName>
    <definedName name="Ans_15">#REF!</definedName>
    <definedName name="Ans_16" localSheetId="7">#REF!</definedName>
    <definedName name="Ans_16">#REF!</definedName>
    <definedName name="Ans_17">[1]SAP!$T$114</definedName>
    <definedName name="Ans_19" localSheetId="7">#REF!</definedName>
    <definedName name="Ans_19">#REF!</definedName>
    <definedName name="Ans_2" localSheetId="7">#REF!</definedName>
    <definedName name="Ans_2">#REF!</definedName>
    <definedName name="Ans_20" localSheetId="7">#REF!</definedName>
    <definedName name="Ans_20">#REF!</definedName>
    <definedName name="Ans_21" localSheetId="7">#REF!</definedName>
    <definedName name="Ans_21">#REF!</definedName>
    <definedName name="Ans_22" localSheetId="7">#REF!</definedName>
    <definedName name="Ans_22">#REF!</definedName>
    <definedName name="Ans_25" localSheetId="7">#REF!</definedName>
    <definedName name="Ans_25">#REF!</definedName>
    <definedName name="Ans_3" localSheetId="7">#REF!</definedName>
    <definedName name="Ans_3">#REF!</definedName>
    <definedName name="Ans_32" localSheetId="7">#REF!</definedName>
    <definedName name="Ans_32">#REF!</definedName>
    <definedName name="Ans_33" localSheetId="7">#REF!</definedName>
    <definedName name="Ans_33">#REF!</definedName>
    <definedName name="Ans_34" localSheetId="7">#REF!</definedName>
    <definedName name="Ans_34">#REF!</definedName>
    <definedName name="Ans_35" localSheetId="7">#REF!</definedName>
    <definedName name="Ans_35">#REF!</definedName>
    <definedName name="Ans_36" localSheetId="7">#REF!</definedName>
    <definedName name="Ans_36">#REF!</definedName>
    <definedName name="Ans_37" localSheetId="7">#REF!</definedName>
    <definedName name="Ans_37">#REF!</definedName>
    <definedName name="Ans_38" localSheetId="7">#REF!</definedName>
    <definedName name="Ans_38">#REF!</definedName>
    <definedName name="Ans_39" localSheetId="7">#REF!</definedName>
    <definedName name="Ans_39">#REF!</definedName>
    <definedName name="Ans_4" localSheetId="7">#REF!</definedName>
    <definedName name="Ans_4">#REF!</definedName>
    <definedName name="Ans_40" localSheetId="7">#REF!</definedName>
    <definedName name="Ans_40">#REF!</definedName>
    <definedName name="Ans_47" localSheetId="7">#REF!</definedName>
    <definedName name="Ans_47">#REF!</definedName>
    <definedName name="Ans_48" localSheetId="7">#REF!</definedName>
    <definedName name="Ans_48">#REF!</definedName>
    <definedName name="Ans_49" localSheetId="7">#REF!</definedName>
    <definedName name="Ans_49">#REF!</definedName>
    <definedName name="Ans_5" localSheetId="7">#REF!</definedName>
    <definedName name="Ans_5">#REF!</definedName>
    <definedName name="Ans_50" localSheetId="7">#REF!</definedName>
    <definedName name="Ans_50">#REF!</definedName>
    <definedName name="Ans_51" localSheetId="7">#REF!</definedName>
    <definedName name="Ans_51">#REF!</definedName>
    <definedName name="Ans_52" localSheetId="7">#REF!</definedName>
    <definedName name="Ans_52">#REF!</definedName>
    <definedName name="Ans_6" localSheetId="7">#REF!</definedName>
    <definedName name="Ans_6">#REF!</definedName>
    <definedName name="Ans_66" localSheetId="7">#REF!</definedName>
    <definedName name="Ans_66">#REF!</definedName>
    <definedName name="Ans_67" localSheetId="7">#REF!</definedName>
    <definedName name="Ans_67">#REF!</definedName>
    <definedName name="Ans_68" localSheetId="7">#REF!</definedName>
    <definedName name="Ans_68">#REF!</definedName>
    <definedName name="Ans_69" localSheetId="7">#REF!</definedName>
    <definedName name="Ans_69">#REF!</definedName>
    <definedName name="Ans_70" localSheetId="7">#REF!</definedName>
    <definedName name="Ans_70">#REF!</definedName>
    <definedName name="Ans_71" localSheetId="7">#REF!</definedName>
    <definedName name="Ans_71">#REF!</definedName>
    <definedName name="Ans_72" localSheetId="7">#REF!</definedName>
    <definedName name="Ans_72">#REF!</definedName>
    <definedName name="Ans_73" localSheetId="7">#REF!</definedName>
    <definedName name="Ans_73">#REF!</definedName>
    <definedName name="Ans_74" localSheetId="7">#REF!</definedName>
    <definedName name="Ans_74">#REF!</definedName>
    <definedName name="Ans_75" localSheetId="7">#REF!</definedName>
    <definedName name="Ans_75">#REF!</definedName>
    <definedName name="Ans_76" localSheetId="7">#REF!</definedName>
    <definedName name="Ans_76">#REF!</definedName>
    <definedName name="Ans_77" localSheetId="7">#REF!</definedName>
    <definedName name="Ans_77">#REF!</definedName>
    <definedName name="Ans_78" localSheetId="7">#REF!</definedName>
    <definedName name="Ans_78">#REF!</definedName>
    <definedName name="Ans_79" localSheetId="7">#REF!</definedName>
    <definedName name="Ans_79">#REF!</definedName>
    <definedName name="Ans_80" localSheetId="7">#REF!</definedName>
    <definedName name="Ans_80">#REF!</definedName>
    <definedName name="Ans_81" localSheetId="7">#REF!</definedName>
    <definedName name="Ans_81">#REF!</definedName>
    <definedName name="Ans_82" localSheetId="7">#REF!</definedName>
    <definedName name="Ans_82">#REF!</definedName>
    <definedName name="Ans_83" localSheetId="7">#REF!</definedName>
    <definedName name="Ans_83">#REF!</definedName>
    <definedName name="Ans_85" localSheetId="7">#REF!</definedName>
    <definedName name="Ans_85">#REF!</definedName>
    <definedName name="Ans_85a" localSheetId="7">#REF!</definedName>
    <definedName name="Ans_85a">#REF!</definedName>
    <definedName name="Ans_86" localSheetId="7">#REF!</definedName>
    <definedName name="Ans_86">#REF!</definedName>
    <definedName name="Ans_86a" localSheetId="7">#REF!</definedName>
    <definedName name="Ans_86a">#REF!</definedName>
    <definedName name="Ans_87" localSheetId="7">#REF!</definedName>
    <definedName name="Ans_87">#REF!</definedName>
    <definedName name="Ans_88" localSheetId="7">#REF!</definedName>
    <definedName name="Ans_88">#REF!</definedName>
    <definedName name="Ans_89" localSheetId="7">#REF!</definedName>
    <definedName name="Ans_89">#REF!</definedName>
    <definedName name="Ans_90" localSheetId="7">#REF!</definedName>
    <definedName name="Ans_90">#REF!</definedName>
    <definedName name="Ans_90a" localSheetId="7">#REF!</definedName>
    <definedName name="Ans_90a">#REF!</definedName>
    <definedName name="Ans_91" localSheetId="7">#REF!</definedName>
    <definedName name="Ans_91">#REF!</definedName>
    <definedName name="Ans_91a" localSheetId="7">#REF!</definedName>
    <definedName name="Ans_91a">#REF!</definedName>
    <definedName name="Ans_91b" localSheetId="7">#REF!</definedName>
    <definedName name="Ans_91b">#REF!</definedName>
    <definedName name="Ans_92" localSheetId="7">#REF!</definedName>
    <definedName name="Ans_92">#REF!</definedName>
    <definedName name="Ans_93" localSheetId="7">#REF!</definedName>
    <definedName name="Ans_93">#REF!</definedName>
    <definedName name="Ans_94" localSheetId="7">#REF!</definedName>
    <definedName name="Ans_94">#REF!</definedName>
    <definedName name="Ans_95" localSheetId="7">#REF!</definedName>
    <definedName name="Ans_95">#REF!</definedName>
    <definedName name="Ans_95a" localSheetId="7">#REF!</definedName>
    <definedName name="Ans_95a">#REF!</definedName>
    <definedName name="Ans_96" localSheetId="7">#REF!</definedName>
    <definedName name="Ans_96">#REF!</definedName>
    <definedName name="Ans_96a" localSheetId="7">#REF!</definedName>
    <definedName name="Ans_96a">#REF!</definedName>
    <definedName name="Ans_97" localSheetId="7">#REF!</definedName>
    <definedName name="Ans_97">#REF!</definedName>
    <definedName name="Ans_98" localSheetId="7">#REF!</definedName>
    <definedName name="Ans_98">#REF!</definedName>
    <definedName name="Ans_99" localSheetId="7">#REF!</definedName>
    <definedName name="Ans_99">#REF!</definedName>
    <definedName name="Ans87a" localSheetId="7">#REF!</definedName>
    <definedName name="Ans87a">#REF!</definedName>
    <definedName name="Ans87b" localSheetId="7">#REF!</definedName>
    <definedName name="Ans87b">#REF!</definedName>
    <definedName name="Ans87c" localSheetId="7">#REF!</definedName>
    <definedName name="Ans87c">#REF!</definedName>
    <definedName name="Ans87d" localSheetId="7">#REF!</definedName>
    <definedName name="Ans87d">#REF!</definedName>
    <definedName name="Ans87e" localSheetId="7">#REF!</definedName>
    <definedName name="Ans87e">#REF!</definedName>
    <definedName name="Ans87f" localSheetId="7">#REF!</definedName>
    <definedName name="Ans87f">#REF!</definedName>
    <definedName name="BCIS_Location">[1]Tables!$B$7:$C$557</definedName>
    <definedName name="BCIS_Location_Names">[1]Tables!$B$7:$B$557</definedName>
    <definedName name="BCIS_TPI">[1]Tables!$E$7:$G$55</definedName>
    <definedName name="BCIS_TPI_Names">[1]Tables!$E$7:$E$55</definedName>
    <definedName name="Breeam_Rating">[1]BREEAM!$X$12:$AB$16</definedName>
    <definedName name="Currency">[1]Input!$K$81</definedName>
    <definedName name="Current_position" localSheetId="7">[1]Input!#REF!</definedName>
    <definedName name="Current_position">[1]Input!#REF!</definedName>
    <definedName name="Database_office">[1]Tables!$BD$7:$BN$16</definedName>
    <definedName name="Database_office_Names">[1]Tables!$BD$7:$BD$16</definedName>
    <definedName name="Degree_day_names">[1]Tables!$AL$7:$AL$24</definedName>
    <definedName name="Element_BCIS">[1]Tables!$AQ$7:$AR$59</definedName>
    <definedName name="extent">[1]Tables!$AQ$74:$AR$78</definedName>
    <definedName name="Frequency_Names">[1]Tables!$AT$7:$AT$13</definedName>
    <definedName name="Fullmonth">[1]Tables!$AN$86:$AO$97</definedName>
    <definedName name="Functional_units">[1]Input!$K$107</definedName>
    <definedName name="gfa">[1]Area!$K$19</definedName>
    <definedName name="Global_Quantity_Adjustment">[1]Input!$Q$88</definedName>
    <definedName name="Global_Rate_adjustment">[1]Input!$Q$84</definedName>
    <definedName name="Include_3PE">[1]Contents!$B$18</definedName>
    <definedName name="Include_Annual">[1]Contents!$B$21</definedName>
    <definedName name="Include_area">[1]Contents!$B$14</definedName>
    <definedName name="Include_Basis">[1]Contents!$B$15</definedName>
    <definedName name="Include_BREEAM">[1]Contents!$B$25</definedName>
    <definedName name="Include_Cashflow">[1]Contents!$B$19</definedName>
    <definedName name="Include_components">[1]Contents!$B$17</definedName>
    <definedName name="Include_contents">[1]Contents!$B$12</definedName>
    <definedName name="Include_cover">[1]Contents!$B$11</definedName>
    <definedName name="Include_elemental">[1]Contents!$B$16</definedName>
    <definedName name="Include_Graphics">[1]Contents!$B$23</definedName>
    <definedName name="Include_Input">[1]Contents!$B$27</definedName>
    <definedName name="Include_Replacements">[1]Contents!$B$20</definedName>
    <definedName name="Include_SAP">[1]Contents!$B$24</definedName>
    <definedName name="Include_summary">[1]Contents!$B$13</definedName>
    <definedName name="Options_Vertical">[1]Input!$AG$3:$AH$15</definedName>
    <definedName name="_xlnm.Print_Area" localSheetId="7">'AP1-Other Const Costs L2'!$A$3:$G$7</definedName>
    <definedName name="_xlnm.Print_Area" localSheetId="8">'AP2-O&amp;M L2'!$A$3:$L$82</definedName>
    <definedName name="_xlnm.Print_Area" localSheetId="9">'AP3-Replacement L2'!$A$3:$P$24</definedName>
    <definedName name="_xlnm.Print_Area" localSheetId="10">'AP4-End of Life L2'!$A$3:$P$13</definedName>
    <definedName name="_xlnm.Print_Area" localSheetId="11">'AP5-Non Construction L2'!$A$3:$G$17</definedName>
    <definedName name="_xlnm.Print_Area" localSheetId="12">'AP6-Income L2 '!$A$3:$L$13</definedName>
    <definedName name="_xlnm.Print_Area" localSheetId="3">'Basis of Est.'!$A$1:$F$43</definedName>
    <definedName name="_xlnm.Print_Area" localSheetId="1">contents!$A$1:$I$18</definedName>
    <definedName name="_xlnm.Print_Area" localSheetId="0">Cover!$A$1:$G$56</definedName>
    <definedName name="_xlnm.Print_Area" localSheetId="2">Parameters!$A$1:$I$38</definedName>
    <definedName name="_xlnm.Print_Area" localSheetId="4">Summary!$A$1:$K$64</definedName>
    <definedName name="_xlnm.Print_Area" localSheetId="5">'Summary L1'!$A$1:$H$89</definedName>
    <definedName name="_xlnm.Print_Titles" localSheetId="7">'AP1-Other Const Costs L2'!$1:$2</definedName>
    <definedName name="_xlnm.Print_Titles" localSheetId="8">'AP2-O&amp;M L2'!$1:$2</definedName>
    <definedName name="_xlnm.Print_Titles" localSheetId="9">'AP3-Replacement L2'!$1:$2</definedName>
    <definedName name="_xlnm.Print_Titles" localSheetId="10">'AP4-End of Life L2'!$1:$2</definedName>
    <definedName name="_xlnm.Print_Titles" localSheetId="11">'AP5-Non Construction L2'!$1:$2</definedName>
    <definedName name="_xlnm.Print_Titles" localSheetId="12">'AP6-Income L2 '!$1:$2</definedName>
    <definedName name="_xlnm.Print_Titles" localSheetId="5">'Summary L1'!$1:$2</definedName>
    <definedName name="Riba_plan">[1]Tables!$AN$68:$AO$81</definedName>
    <definedName name="SAP_Band" localSheetId="7">#REF!</definedName>
    <definedName name="SAP_Band">#REF!</definedName>
    <definedName name="SAP_rating" localSheetId="7">#REF!</definedName>
    <definedName name="SAP_rating">#REF!</definedName>
    <definedName name="Scenarios">[1]Input!$C$8:$AF$996</definedName>
    <definedName name="SFB_Table_0">[1]Tables!$I$7:$P$165</definedName>
    <definedName name="SFB_Table_0_Names">[1]Tables!$I$7:$I$165</definedName>
    <definedName name="sffactor">[1]Area!$B$10</definedName>
    <definedName name="Space_Fuel" localSheetId="7">#REF!</definedName>
    <definedName name="Space_Fuel">#REF!</definedName>
    <definedName name="Table_10" localSheetId="7">#REF!</definedName>
    <definedName name="Table_10">#REF!</definedName>
    <definedName name="Table_15" localSheetId="7">#REF!</definedName>
    <definedName name="Table_15">#REF!</definedName>
    <definedName name="Table_9" localSheetId="7">#REF!</definedName>
    <definedName name="Table_9">#REF!</definedName>
    <definedName name="U_Values">[1]Tables!$BA$7:$BB$24</definedName>
    <definedName name="U_Values_doors" localSheetId="7">#REF!</definedName>
    <definedName name="U_Values_doors">#REF!</definedName>
    <definedName name="U_Values_doors_Names" localSheetId="7">#REF!</definedName>
    <definedName name="U_Values_doors_Names">#REF!</definedName>
    <definedName name="U_Values_Ground_slabs" localSheetId="7">#REF!</definedName>
    <definedName name="U_Values_Ground_slabs">#REF!</definedName>
    <definedName name="U_Values_Ground_slabs_names" localSheetId="7">#REF!</definedName>
    <definedName name="U_Values_Ground_slabs_names">#REF!</definedName>
    <definedName name="U_Values_Names">[1]Tables!$BA$7:$BA$24</definedName>
    <definedName name="U_Values_roofs" localSheetId="7">#REF!</definedName>
    <definedName name="U_Values_roofs">#REF!</definedName>
    <definedName name="U_Values_roofs_names" localSheetId="7">#REF!</definedName>
    <definedName name="U_Values_roofs_names">#REF!</definedName>
    <definedName name="U_Values_walls" localSheetId="7">#REF!</definedName>
    <definedName name="U_Values_walls">#REF!</definedName>
    <definedName name="U_Values_walls_Names" localSheetId="7">#REF!</definedName>
    <definedName name="U_Values_walls_Names">#REF!</definedName>
    <definedName name="U_Values_windows" localSheetId="7">#REF!</definedName>
    <definedName name="U_Values_windows">#REF!</definedName>
    <definedName name="U_Values_Windows_Names" localSheetId="7">#REF!</definedName>
    <definedName name="U_Values_Windows_Names">#REF!</definedName>
    <definedName name="Unit_Names">[1]Tables!$AY$7:$AY$16</definedName>
    <definedName name="units">[1]Tables!$AX$7:$AY$16</definedName>
    <definedName name="Variables">[2]Input!$C$8:$R$995</definedName>
    <definedName name="VAT">[1]Input!$K$89</definedName>
    <definedName name="Water_Fuel" localSheetId="7">#REF!</definedName>
    <definedName name="Water_Fuel">#REF!</definedName>
    <definedName name="wrn.buildstruct." hidden="1">{#N/A,#N/A,FALSE,"611m";#N/A,#N/A,FALSE,"601M";#N/A,#N/A,FALSE,"610M";#N/A,#N/A,FALSE,"612M";#N/A,#N/A,FALSE,"613M";#N/A,#N/A,FALSE,"620M";#N/A,#N/A,FALSE,"621M";#N/A,#N/A,FALSE,"622M";#N/A,#N/A,FALSE,"630M";#N/A,#N/A,FALSE,"640M";#N/A,#N/A,FALSE,"641M";#N/A,#N/A,FALSE,"650M";#N/A,#N/A,FALSE,"660M";#N/A,#N/A,FALSE,"661M";#N/A,#N/A,FALSE,"670M";#N/A,#N/A,FALSE,"680M";#N/A,#N/A,FALSE,"688M";#N/A,#N/A,FALSE,"689M";#N/A,#N/A,FALSE,"690M";#N/A,#N/A,FALSE,"698M";#N/A,#N/A,FALSE,"698O"}</definedName>
    <definedName name="wrn.Landlords." hidden="1">{#N/A,#N/A,FALSE,"701M";#N/A,#N/A,FALSE,"710M";#N/A,#N/A,FALSE,"720M";#N/A,#N/A,FALSE,"730M";#N/A,#N/A,FALSE,"731M";#N/A,#N/A,FALSE,"732M";#N/A,#N/A,FALSE,"733M";#N/A,#N/A,FALSE,"740M";#N/A,#N/A,FALSE,"741M";#N/A,#N/A,FALSE,"742M";#N/A,#N/A,FALSE,"750M";#N/A,#N/A,FALSE,"760M";#N/A,#N/A,FALSE,"770M";#N/A,#N/A,FALSE,"771M";#N/A,#N/A,FALSE,"772M";#N/A,#N/A,FALSE,"780M";#N/A,#N/A,FALSE,"788M";#N/A,#N/A,FALSE,"789M";#N/A,#N/A,FALSE,"790M";#N/A,#N/A,FALSE,"798M";#N/A,#N/A,FALSE,"798O"}</definedName>
    <definedName name="wrn.summary." hidden="1">{#N/A,#N/A,FALSE,"Summary information";#N/A,#N/A,FALSE,"BLANK"}</definedName>
    <definedName name="wrn.Tenants." hidden="1">{#N/A,#N/A,FALSE,"898M";#N/A,#N/A,FALSE,"898O";#N/A,#N/A,FALSE,"889M";#N/A,#N/A,FALSE,"888M";#N/A,#N/A,FALSE,"882M";#N/A,#N/A,FALSE,"881M";#N/A,#N/A,FALSE,"880M";#N/A,#N/A,FALSE,"873M";#N/A,#N/A,FALSE,"872M";#N/A,#N/A,FALSE,"871M";#N/A,#N/A,FALSE,"870M";#N/A,#N/A,FALSE,"861M";#N/A,#N/A,FALSE,"860M";#N/A,#N/A,FALSE,"850M";#N/A,#N/A,FALSE,"843M";#N/A,#N/A,FALSE,"842M";#N/A,#N/A,FALSE,"841M";#N/A,#N/A,FALSE,"840M";#N/A,#N/A,FALSE,"831M";#N/A,#N/A,FALSE,"830M";#N/A,#N/A,FALSE,"821M";#N/A,#N/A,FALSE,"820M";#N/A,#N/A,FALSE,"814M";#N/A,#N/A,FALSE,"813M";#N/A,#N/A,FALSE,"812M";#N/A,#N/A,FALSE,"811M";#N/A,#N/A,FALSE,"810M";#N/A,#N/A,FALSE,"803M";#N/A,#N/A,FALSE,"802M";#N/A,#N/A,FALSE,"801M"}</definedName>
  </definedNames>
  <calcPr calcId="124519"/>
</workbook>
</file>

<file path=xl/calcChain.xml><?xml version="1.0" encoding="utf-8"?>
<calcChain xmlns="http://schemas.openxmlformats.org/spreadsheetml/2006/main">
  <c r="P31" i="9"/>
  <c r="N31"/>
  <c r="T6" i="23"/>
  <c r="R6"/>
  <c r="H6" l="1"/>
  <c r="J6" s="1"/>
  <c r="G31" i="9"/>
  <c r="L31" s="1"/>
  <c r="J31" l="1"/>
  <c r="L6" i="23"/>
  <c r="K6" s="1"/>
  <c r="P6"/>
  <c r="H31" i="9"/>
  <c r="N6" i="23"/>
  <c r="G7" i="37" l="1"/>
  <c r="L13" i="11" l="1"/>
  <c r="K13"/>
  <c r="J13"/>
  <c r="H13"/>
  <c r="N13"/>
  <c r="P13"/>
  <c r="G17" i="12"/>
  <c r="G13" i="13"/>
  <c r="H13"/>
  <c r="J13"/>
  <c r="L13"/>
  <c r="F74" i="21"/>
  <c r="E82"/>
  <c r="G86" l="1"/>
  <c r="G82"/>
  <c r="C32"/>
  <c r="C31"/>
  <c r="C30"/>
  <c r="D32"/>
  <c r="D31"/>
  <c r="D30"/>
  <c r="C28"/>
  <c r="C27"/>
  <c r="C25"/>
  <c r="C24"/>
  <c r="C23"/>
  <c r="C22"/>
  <c r="D28"/>
  <c r="D27"/>
  <c r="D25"/>
  <c r="D24"/>
  <c r="D23"/>
  <c r="D22"/>
  <c r="G74"/>
  <c r="G7"/>
  <c r="H7"/>
  <c r="D11" l="1"/>
  <c r="C55"/>
  <c r="C54"/>
  <c r="C53"/>
  <c r="C52"/>
  <c r="C51"/>
  <c r="C50"/>
  <c r="C49"/>
  <c r="C48"/>
  <c r="C47"/>
  <c r="C46"/>
  <c r="C45"/>
  <c r="C44"/>
  <c r="C43"/>
  <c r="C42"/>
  <c r="C41"/>
  <c r="C40"/>
  <c r="C39"/>
  <c r="D55"/>
  <c r="D54"/>
  <c r="D53"/>
  <c r="D52"/>
  <c r="D51"/>
  <c r="D50"/>
  <c r="D49"/>
  <c r="D48"/>
  <c r="D47"/>
  <c r="D46"/>
  <c r="D45"/>
  <c r="D44"/>
  <c r="D43"/>
  <c r="D42"/>
  <c r="D40"/>
  <c r="D39"/>
  <c r="C35"/>
  <c r="C34"/>
  <c r="C33"/>
  <c r="C29"/>
  <c r="C26"/>
  <c r="C21"/>
  <c r="D35"/>
  <c r="D34"/>
  <c r="D33"/>
  <c r="D29"/>
  <c r="D26"/>
  <c r="D21"/>
  <c r="C17"/>
  <c r="C16"/>
  <c r="C15"/>
  <c r="C14"/>
  <c r="C13"/>
  <c r="C12"/>
  <c r="C11"/>
  <c r="D17"/>
  <c r="D16"/>
  <c r="D15"/>
  <c r="D14"/>
  <c r="D13"/>
  <c r="D12"/>
  <c r="H55" l="1"/>
  <c r="H35"/>
  <c r="G55"/>
  <c r="G35"/>
  <c r="F55"/>
  <c r="F35"/>
  <c r="E55"/>
  <c r="E35"/>
  <c r="N5" i="13" l="1"/>
  <c r="O5"/>
  <c r="P5"/>
  <c r="R5"/>
  <c r="N7"/>
  <c r="P7" s="1"/>
  <c r="O7"/>
  <c r="N9"/>
  <c r="P9" s="1"/>
  <c r="O9"/>
  <c r="N11"/>
  <c r="P11" s="1"/>
  <c r="O11"/>
  <c r="P23" i="11" l="1"/>
  <c r="U11"/>
  <c r="U9"/>
  <c r="U7"/>
  <c r="U5"/>
  <c r="T11"/>
  <c r="T9"/>
  <c r="T7"/>
  <c r="EK12"/>
  <c r="EJ12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D7"/>
  <c r="CE7"/>
  <c r="CF7"/>
  <c r="CG7"/>
  <c r="CH7"/>
  <c r="CI7"/>
  <c r="CJ7"/>
  <c r="CK7"/>
  <c r="CL7"/>
  <c r="CM7"/>
  <c r="CN7"/>
  <c r="CO7"/>
  <c r="CP7"/>
  <c r="CQ7"/>
  <c r="CR7"/>
  <c r="CS7"/>
  <c r="CT7"/>
  <c r="CU7"/>
  <c r="CV7"/>
  <c r="CW7"/>
  <c r="CX7"/>
  <c r="CY7"/>
  <c r="CZ7"/>
  <c r="DA7"/>
  <c r="DB7"/>
  <c r="DC7"/>
  <c r="DD7"/>
  <c r="DE7"/>
  <c r="DF7"/>
  <c r="DG7"/>
  <c r="DH7"/>
  <c r="DI7"/>
  <c r="DJ7"/>
  <c r="DK7"/>
  <c r="DL7"/>
  <c r="DM7"/>
  <c r="DN7"/>
  <c r="DO7"/>
  <c r="DP7"/>
  <c r="DQ7"/>
  <c r="DR7"/>
  <c r="DS7"/>
  <c r="DT7"/>
  <c r="DU7"/>
  <c r="DV7"/>
  <c r="DW7"/>
  <c r="DX7"/>
  <c r="DY7"/>
  <c r="DZ7"/>
  <c r="EA7"/>
  <c r="EB7"/>
  <c r="EC7"/>
  <c r="ED7"/>
  <c r="EE7"/>
  <c r="EF7"/>
  <c r="EG7"/>
  <c r="EH7"/>
  <c r="EI7"/>
  <c r="EJ7"/>
  <c r="EK7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CK9"/>
  <c r="CL9"/>
  <c r="CM9"/>
  <c r="CN9"/>
  <c r="CO9"/>
  <c r="CP9"/>
  <c r="CQ9"/>
  <c r="CR9"/>
  <c r="CS9"/>
  <c r="CT9"/>
  <c r="CU9"/>
  <c r="CV9"/>
  <c r="CW9"/>
  <c r="CX9"/>
  <c r="CY9"/>
  <c r="CZ9"/>
  <c r="DA9"/>
  <c r="DB9"/>
  <c r="DC9"/>
  <c r="DD9"/>
  <c r="DE9"/>
  <c r="DF9"/>
  <c r="DG9"/>
  <c r="DH9"/>
  <c r="DI9"/>
  <c r="DJ9"/>
  <c r="DK9"/>
  <c r="DL9"/>
  <c r="DM9"/>
  <c r="DN9"/>
  <c r="DO9"/>
  <c r="DP9"/>
  <c r="DQ9"/>
  <c r="DR9"/>
  <c r="DS9"/>
  <c r="DT9"/>
  <c r="DU9"/>
  <c r="DV9"/>
  <c r="DW9"/>
  <c r="DX9"/>
  <c r="DY9"/>
  <c r="DZ9"/>
  <c r="EA9"/>
  <c r="EB9"/>
  <c r="EC9"/>
  <c r="ED9"/>
  <c r="EE9"/>
  <c r="EF9"/>
  <c r="EG9"/>
  <c r="EH9"/>
  <c r="EI9"/>
  <c r="EJ9"/>
  <c r="EK9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CG11"/>
  <c r="CH11"/>
  <c r="CI11"/>
  <c r="CJ11"/>
  <c r="CK11"/>
  <c r="CL11"/>
  <c r="CM11"/>
  <c r="CN11"/>
  <c r="CO11"/>
  <c r="CP11"/>
  <c r="CQ11"/>
  <c r="CR11"/>
  <c r="CS11"/>
  <c r="CT11"/>
  <c r="CU11"/>
  <c r="CV11"/>
  <c r="CW11"/>
  <c r="CX11"/>
  <c r="CY11"/>
  <c r="CZ11"/>
  <c r="DA11"/>
  <c r="DB11"/>
  <c r="DC11"/>
  <c r="DD11"/>
  <c r="DE11"/>
  <c r="DF11"/>
  <c r="DG11"/>
  <c r="DH11"/>
  <c r="DI11"/>
  <c r="DJ11"/>
  <c r="DK11"/>
  <c r="DL11"/>
  <c r="DM11"/>
  <c r="DN11"/>
  <c r="DO11"/>
  <c r="DP11"/>
  <c r="DQ11"/>
  <c r="DR11"/>
  <c r="DS11"/>
  <c r="DT11"/>
  <c r="DU11"/>
  <c r="DV11"/>
  <c r="DW11"/>
  <c r="DX11"/>
  <c r="DY11"/>
  <c r="DZ11"/>
  <c r="EA11"/>
  <c r="EB11"/>
  <c r="EC11"/>
  <c r="ED11"/>
  <c r="EE11"/>
  <c r="EF11"/>
  <c r="EG11"/>
  <c r="EH11"/>
  <c r="EI11"/>
  <c r="EJ11"/>
  <c r="EK11"/>
  <c r="AF5"/>
  <c r="AF13" s="1"/>
  <c r="V5"/>
  <c r="V13" s="1"/>
  <c r="T5"/>
  <c r="EI5" s="1"/>
  <c r="S5"/>
  <c r="EJ5"/>
  <c r="EH5"/>
  <c r="EH13" s="1"/>
  <c r="EF5"/>
  <c r="EF13" s="1"/>
  <c r="ED5"/>
  <c r="ED13" s="1"/>
  <c r="EB5"/>
  <c r="EB13" s="1"/>
  <c r="DZ5"/>
  <c r="DZ13" s="1"/>
  <c r="DX5"/>
  <c r="DX13" s="1"/>
  <c r="DV5"/>
  <c r="DV13" s="1"/>
  <c r="DT5"/>
  <c r="DT13" s="1"/>
  <c r="DR5"/>
  <c r="DR13" s="1"/>
  <c r="DP5"/>
  <c r="DP13" s="1"/>
  <c r="DN5"/>
  <c r="DN13" s="1"/>
  <c r="DL5"/>
  <c r="DL13" s="1"/>
  <c r="DJ5"/>
  <c r="DJ13" s="1"/>
  <c r="DH5"/>
  <c r="DH13" s="1"/>
  <c r="DF5"/>
  <c r="DF13" s="1"/>
  <c r="DD5"/>
  <c r="DD13" s="1"/>
  <c r="DB5"/>
  <c r="DB13" s="1"/>
  <c r="CZ5"/>
  <c r="CZ13" s="1"/>
  <c r="CX5"/>
  <c r="CX13" s="1"/>
  <c r="CV5"/>
  <c r="CV13" s="1"/>
  <c r="CT5"/>
  <c r="CT13" s="1"/>
  <c r="CR5"/>
  <c r="CR13" s="1"/>
  <c r="CP5"/>
  <c r="CP13" s="1"/>
  <c r="CN5"/>
  <c r="CN13" s="1"/>
  <c r="CL5"/>
  <c r="CL13" s="1"/>
  <c r="CJ5"/>
  <c r="CJ13" s="1"/>
  <c r="CH5"/>
  <c r="CH13" s="1"/>
  <c r="CF5"/>
  <c r="CF13" s="1"/>
  <c r="CD5"/>
  <c r="CD13" s="1"/>
  <c r="BZ5"/>
  <c r="BZ13" s="1"/>
  <c r="BX5"/>
  <c r="BX13" s="1"/>
  <c r="BV5"/>
  <c r="BV13" s="1"/>
  <c r="BT5"/>
  <c r="BT13" s="1"/>
  <c r="BR5"/>
  <c r="BR13" s="1"/>
  <c r="BP5"/>
  <c r="BP13" s="1"/>
  <c r="BN5"/>
  <c r="BN13" s="1"/>
  <c r="BL5"/>
  <c r="BL13" s="1"/>
  <c r="BJ5"/>
  <c r="BJ13" s="1"/>
  <c r="BF5"/>
  <c r="BF13" s="1"/>
  <c r="BD5"/>
  <c r="BD13" s="1"/>
  <c r="BB5"/>
  <c r="BB13" s="1"/>
  <c r="AZ5"/>
  <c r="AZ13" s="1"/>
  <c r="AX5"/>
  <c r="AX13" s="1"/>
  <c r="AV5"/>
  <c r="AV13" s="1"/>
  <c r="AT5"/>
  <c r="AT13" s="1"/>
  <c r="AR5"/>
  <c r="AR13" s="1"/>
  <c r="AP5"/>
  <c r="AP13" s="1"/>
  <c r="AN5"/>
  <c r="AN13" s="1"/>
  <c r="AL5"/>
  <c r="AL13" s="1"/>
  <c r="AJ5"/>
  <c r="AJ13" s="1"/>
  <c r="AH5"/>
  <c r="AH13" s="1"/>
  <c r="AD5"/>
  <c r="AD13" s="1"/>
  <c r="AB5"/>
  <c r="AB13" s="1"/>
  <c r="Z5"/>
  <c r="Z13" s="1"/>
  <c r="X5"/>
  <c r="X13" s="1"/>
  <c r="CB7"/>
  <c r="EJ13" l="1"/>
  <c r="EI13"/>
  <c r="CC7"/>
  <c r="BH7"/>
  <c r="BI7"/>
  <c r="Q11"/>
  <c r="Q9"/>
  <c r="Y5"/>
  <c r="Y13" s="1"/>
  <c r="AC5"/>
  <c r="AC13" s="1"/>
  <c r="AG5"/>
  <c r="AG13" s="1"/>
  <c r="AK5"/>
  <c r="AK13" s="1"/>
  <c r="AO5"/>
  <c r="AO13" s="1"/>
  <c r="AS5"/>
  <c r="AS13" s="1"/>
  <c r="AW5"/>
  <c r="AW13" s="1"/>
  <c r="BA5"/>
  <c r="BA13" s="1"/>
  <c r="BE5"/>
  <c r="BE13" s="1"/>
  <c r="BM5"/>
  <c r="BM13" s="1"/>
  <c r="BQ5"/>
  <c r="BQ13" s="1"/>
  <c r="BU5"/>
  <c r="BU13" s="1"/>
  <c r="BY5"/>
  <c r="BY13" s="1"/>
  <c r="CG5"/>
  <c r="CG13" s="1"/>
  <c r="CK5"/>
  <c r="CK13" s="1"/>
  <c r="CO5"/>
  <c r="CO13" s="1"/>
  <c r="CS5"/>
  <c r="CS13" s="1"/>
  <c r="CW5"/>
  <c r="CW13" s="1"/>
  <c r="DA5"/>
  <c r="DA13" s="1"/>
  <c r="DE5"/>
  <c r="DE13" s="1"/>
  <c r="DI5"/>
  <c r="DI13" s="1"/>
  <c r="DM5"/>
  <c r="DM13" s="1"/>
  <c r="DQ5"/>
  <c r="DQ13" s="1"/>
  <c r="DU5"/>
  <c r="DU13" s="1"/>
  <c r="DY5"/>
  <c r="DY13" s="1"/>
  <c r="EC5"/>
  <c r="EC13" s="1"/>
  <c r="EG5"/>
  <c r="EG13" s="1"/>
  <c r="EK5"/>
  <c r="EK13" s="1"/>
  <c r="W5"/>
  <c r="AA5"/>
  <c r="AA13" s="1"/>
  <c r="AE5"/>
  <c r="AE13" s="1"/>
  <c r="AI5"/>
  <c r="AI13" s="1"/>
  <c r="AM5"/>
  <c r="AM13" s="1"/>
  <c r="AQ5"/>
  <c r="AQ13" s="1"/>
  <c r="AU5"/>
  <c r="AU13" s="1"/>
  <c r="AY5"/>
  <c r="AY13" s="1"/>
  <c r="BC5"/>
  <c r="BC13" s="1"/>
  <c r="BG5"/>
  <c r="BG13" s="1"/>
  <c r="BK5"/>
  <c r="BK13" s="1"/>
  <c r="BO5"/>
  <c r="BO13" s="1"/>
  <c r="BS5"/>
  <c r="BS13" s="1"/>
  <c r="BW5"/>
  <c r="BW13" s="1"/>
  <c r="CA5"/>
  <c r="CA13" s="1"/>
  <c r="CE5"/>
  <c r="CE13" s="1"/>
  <c r="CI5"/>
  <c r="CI13" s="1"/>
  <c r="CM5"/>
  <c r="CM13" s="1"/>
  <c r="CQ5"/>
  <c r="CQ13" s="1"/>
  <c r="CU5"/>
  <c r="CU13" s="1"/>
  <c r="CY5"/>
  <c r="CY13" s="1"/>
  <c r="DC5"/>
  <c r="DC13" s="1"/>
  <c r="DG5"/>
  <c r="DG13" s="1"/>
  <c r="DK5"/>
  <c r="DK13" s="1"/>
  <c r="DO5"/>
  <c r="DO13" s="1"/>
  <c r="DS5"/>
  <c r="DS13" s="1"/>
  <c r="DW5"/>
  <c r="DW13" s="1"/>
  <c r="EA5"/>
  <c r="EA13" s="1"/>
  <c r="EE5"/>
  <c r="EE13" s="1"/>
  <c r="CB5"/>
  <c r="CB13" s="1"/>
  <c r="Q7" l="1"/>
  <c r="CC5"/>
  <c r="CC13" s="1"/>
  <c r="W13"/>
  <c r="BI5"/>
  <c r="BI13" s="1"/>
  <c r="BH5"/>
  <c r="H24" i="23"/>
  <c r="Q5" i="11" l="1"/>
  <c r="Q13" s="1"/>
  <c r="BH13"/>
  <c r="F64" i="21"/>
  <c r="G64" l="1"/>
  <c r="S7" i="11" l="1"/>
  <c r="F86" i="21" l="1"/>
  <c r="E21" i="22" s="1"/>
  <c r="H86" i="21"/>
  <c r="I21" i="22" s="1"/>
  <c r="E86" i="21"/>
  <c r="F82"/>
  <c r="H82"/>
  <c r="I23" i="22" s="1"/>
  <c r="J24" i="23" l="1"/>
  <c r="E23" i="22"/>
  <c r="S11" i="11"/>
  <c r="S9"/>
  <c r="E40" i="21"/>
  <c r="E53"/>
  <c r="E54"/>
  <c r="E33"/>
  <c r="E34"/>
  <c r="G46" i="9" l="1"/>
  <c r="E27" i="21" s="1"/>
  <c r="E36" s="1"/>
  <c r="E39"/>
  <c r="F34"/>
  <c r="F53"/>
  <c r="F40"/>
  <c r="F54"/>
  <c r="H53"/>
  <c r="G82" i="9"/>
  <c r="F33" i="21"/>
  <c r="H40"/>
  <c r="H54"/>
  <c r="H34"/>
  <c r="E56" l="1"/>
  <c r="F39"/>
  <c r="H39"/>
  <c r="G40"/>
  <c r="G54"/>
  <c r="G33"/>
  <c r="G53"/>
  <c r="G34"/>
  <c r="H64"/>
  <c r="I13" i="22" s="1"/>
  <c r="N24" i="23"/>
  <c r="J5" i="9" s="1"/>
  <c r="G11" i="21" s="1"/>
  <c r="L24" i="23"/>
  <c r="H5" i="9" s="1"/>
  <c r="F11" i="21" s="1"/>
  <c r="H82" i="9"/>
  <c r="P24" i="23"/>
  <c r="L5" i="9" s="1"/>
  <c r="H11" i="21" s="1"/>
  <c r="H46" i="9"/>
  <c r="F27" i="21" s="1"/>
  <c r="F36" s="1"/>
  <c r="H33"/>
  <c r="G39" l="1"/>
  <c r="H56"/>
  <c r="I11" i="22" s="1"/>
  <c r="F56" i="21"/>
  <c r="E11" i="22" s="1"/>
  <c r="L82" i="9"/>
  <c r="K24" i="23"/>
  <c r="G5" i="9" s="1"/>
  <c r="E11" i="21" s="1"/>
  <c r="E18" s="1"/>
  <c r="E88" s="1"/>
  <c r="J46" i="9"/>
  <c r="G27" i="21" s="1"/>
  <c r="G36" s="1"/>
  <c r="J82" i="9"/>
  <c r="E38" i="22"/>
  <c r="E9"/>
  <c r="H74" i="21"/>
  <c r="I19" i="22" s="1"/>
  <c r="L46" i="9"/>
  <c r="H27" i="21" s="1"/>
  <c r="H36" s="1"/>
  <c r="E13" i="22"/>
  <c r="E36"/>
  <c r="G18" i="21" l="1"/>
  <c r="J17" i="9"/>
  <c r="G56" i="21"/>
  <c r="H18"/>
  <c r="G17" i="9"/>
  <c r="E19" i="22"/>
  <c r="L17" i="9"/>
  <c r="I9" i="22" l="1"/>
  <c r="I7"/>
  <c r="E34"/>
  <c r="I15" l="1"/>
  <c r="E41"/>
  <c r="G45"/>
  <c r="I34" l="1"/>
  <c r="I36"/>
  <c r="I38"/>
  <c r="H17" i="9"/>
  <c r="F18" i="21"/>
  <c r="E45" i="22"/>
  <c r="I41" l="1"/>
  <c r="E7"/>
  <c r="E15" s="1"/>
  <c r="G8" i="21" l="1"/>
  <c r="G88" l="1"/>
  <c r="H8"/>
  <c r="H88" s="1"/>
  <c r="F8"/>
  <c r="F88" s="1"/>
  <c r="E5" i="22" l="1"/>
  <c r="I5" s="1"/>
  <c r="E17" l="1"/>
  <c r="E25" s="1"/>
  <c r="I17"/>
  <c r="I25" l="1"/>
  <c r="E27"/>
  <c r="I27" l="1"/>
  <c r="E29"/>
  <c r="I29" l="1"/>
</calcChain>
</file>

<file path=xl/comments1.xml><?xml version="1.0" encoding="utf-8"?>
<comments xmlns="http://schemas.openxmlformats.org/spreadsheetml/2006/main">
  <authors>
    <author>Dermot Kehily</author>
  </authors>
  <commentList>
    <comment ref="E5" authorId="0">
      <text>
        <r>
          <rPr>
            <b/>
            <sz val="8"/>
            <color indexed="81"/>
            <rFont val="Tahoma"/>
            <family val="2"/>
          </rPr>
          <t>Link to Level 1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Kehily</author>
    <author>Dermot Kehily</author>
  </authors>
  <commentList>
    <comment ref="F5" authorId="0">
      <text>
        <r>
          <rPr>
            <b/>
            <sz val="8"/>
            <color indexed="81"/>
            <rFont val="Tahoma"/>
            <family val="2"/>
          </rPr>
          <t>Construction Costs</t>
        </r>
        <r>
          <rPr>
            <sz val="8"/>
            <color indexed="81"/>
            <rFont val="Tahoma"/>
            <family val="2"/>
          </rPr>
          <t xml:space="preserve">
Link to Cost Plan or Estimate</t>
        </r>
      </text>
    </comment>
    <comment ref="H5" authorId="0">
      <text>
        <r>
          <rPr>
            <b/>
            <sz val="8"/>
            <color indexed="81"/>
            <rFont val="Tahoma"/>
            <family val="2"/>
          </rPr>
          <t>Life Cycle Cost, Escalated Life Cycle Cost and Total Present Value will all be the same at year 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8"/>
            <color indexed="81"/>
            <rFont val="Tahoma"/>
            <family val="2"/>
          </rPr>
          <t>Link to AP2-O&amp;M L2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7" authorId="0">
      <text>
        <r>
          <rPr>
            <b/>
            <sz val="8"/>
            <color indexed="81"/>
            <rFont val="Tahoma"/>
            <family val="2"/>
          </rPr>
          <t>Link to AP2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7" authorId="1">
      <text>
        <r>
          <rPr>
            <b/>
            <sz val="8"/>
            <color indexed="81"/>
            <rFont val="Tahoma"/>
            <family val="2"/>
          </rPr>
          <t>Link to relevant sheet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and cell</t>
        </r>
      </text>
    </comment>
    <comment ref="G27" authorId="1">
      <text>
        <r>
          <rPr>
            <b/>
            <sz val="8"/>
            <color indexed="81"/>
            <rFont val="Tahoma"/>
            <family val="2"/>
          </rPr>
          <t>Link to relevant sheet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and cell</t>
        </r>
      </text>
    </comment>
    <comment ref="H27" authorId="1">
      <text>
        <r>
          <rPr>
            <b/>
            <sz val="8"/>
            <color indexed="81"/>
            <rFont val="Tahoma"/>
            <family val="2"/>
          </rPr>
          <t>Link to relevant sheet and cell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6" authorId="1">
      <text>
        <r>
          <rPr>
            <b/>
            <sz val="8"/>
            <color indexed="81"/>
            <rFont val="Tahoma"/>
            <family val="2"/>
          </rPr>
          <t>Total section and carry forward to summary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6" authorId="1">
      <text>
        <r>
          <rPr>
            <b/>
            <sz val="8"/>
            <color indexed="81"/>
            <rFont val="Tahoma"/>
            <family val="2"/>
          </rPr>
          <t>Total section and carry forward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Dermot Kehily</author>
    <author>Kehily</author>
  </authors>
  <commentList>
    <comment ref="H2" authorId="0">
      <text>
        <r>
          <rPr>
            <b/>
            <sz val="8"/>
            <color indexed="81"/>
            <rFont val="Tahoma"/>
            <family val="2"/>
          </rPr>
          <t>Costs without Escalation and discount rates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" authorId="0">
      <text>
        <r>
          <rPr>
            <b/>
            <sz val="8"/>
            <color indexed="81"/>
            <rFont val="Tahoma"/>
            <family val="2"/>
          </rPr>
          <t>Costs Escalated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1">
      <text>
        <r>
          <rPr>
            <b/>
            <sz val="8"/>
            <color indexed="81"/>
            <rFont val="Tahoma"/>
            <family val="2"/>
          </rPr>
          <t>Link from AP-3 Replacement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" authorId="1">
      <text>
        <r>
          <rPr>
            <b/>
            <sz val="8"/>
            <color indexed="81"/>
            <rFont val="Tahoma"/>
            <family val="2"/>
          </rPr>
          <t>Link from AP3 - Replacement Costs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" authorId="1">
      <text>
        <r>
          <rPr>
            <b/>
            <sz val="8"/>
            <color indexed="81"/>
            <rFont val="Tahoma"/>
            <family val="2"/>
          </rPr>
          <t>Coded PER ISO Standard in Life Cycle Costs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3" authorId="1">
      <text>
        <r>
          <rPr>
            <b/>
            <sz val="8"/>
            <color indexed="81"/>
            <rFont val="Tahoma"/>
            <family val="2"/>
          </rPr>
          <t>Insert Description of Life Cycle Cost</t>
        </r>
        <r>
          <rPr>
            <sz val="8"/>
            <color indexed="81"/>
            <rFont val="Tahoma"/>
            <family val="2"/>
          </rPr>
          <t xml:space="preserve">
under "State client requirements........."</t>
        </r>
      </text>
    </comment>
    <comment ref="C31" authorId="1">
      <text>
        <r>
          <rPr>
            <b/>
            <sz val="8"/>
            <color indexed="81"/>
            <rFont val="Tahoma"/>
            <family val="2"/>
          </rPr>
          <t>Example of UPV* LCC Calculation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1" authorId="1">
      <text>
        <r>
          <rPr>
            <b/>
            <sz val="8"/>
            <color indexed="81"/>
            <rFont val="Tahoma"/>
            <family val="2"/>
          </rPr>
          <t xml:space="preserve">Could be LS, M2, Kwh etc.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1" authorId="0">
      <text>
        <r>
          <rPr>
            <b/>
            <sz val="8"/>
            <color indexed="81"/>
            <rFont val="Tahoma"/>
            <family val="2"/>
          </rPr>
          <t>Cost of the expence over the year.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1" authorId="1">
      <text>
        <r>
          <rPr>
            <b/>
            <sz val="8"/>
            <color indexed="81"/>
            <rFont val="Tahoma"/>
            <family val="2"/>
          </rPr>
          <t>Annual Cost x Study Period.
Costs without escalation and discount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31" authorId="1">
      <text>
        <r>
          <rPr>
            <b/>
            <sz val="8"/>
            <color indexed="81"/>
            <rFont val="Tahoma"/>
            <family val="2"/>
          </rPr>
          <t>Escalated Life Cycle Cost at 3% over 60 Years. (no discount)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31" authorId="1">
      <text>
        <r>
          <rPr>
            <b/>
            <sz val="8"/>
            <color indexed="81"/>
            <rFont val="Tahoma"/>
            <family val="2"/>
          </rPr>
          <t>Present Value Life Cycle Cost of 1,800,000, e=3%, i=5% and n=30 (UPV)*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31" authorId="1">
      <text>
        <r>
          <rPr>
            <b/>
            <sz val="8"/>
            <color indexed="81"/>
            <rFont val="Tahoma"/>
            <family val="2"/>
          </rPr>
          <t>EXAMPLE: LCC Calculations can be carried out outside the cell. (UPV*)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31" authorId="1">
      <text>
        <r>
          <rPr>
            <b/>
            <sz val="8"/>
            <color indexed="81"/>
            <rFont val="Tahoma"/>
            <family val="2"/>
          </rPr>
          <t>Escalated Cost Factor based on UCA formulea -1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" authorId="1">
      <text>
        <r>
          <rPr>
            <b/>
            <sz val="8"/>
            <color indexed="81"/>
            <rFont val="Tahoma"/>
            <family val="2"/>
          </rPr>
          <t>Forward to Summary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Kehily</author>
    <author>Dermot Kehily</author>
  </authors>
  <commentList>
    <comment ref="L2" authorId="0">
      <text>
        <r>
          <rPr>
            <b/>
            <sz val="8"/>
            <color indexed="81"/>
            <rFont val="Tahoma"/>
            <family val="2"/>
          </rPr>
          <t>(ne) not escalated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" authorId="0">
      <text>
        <r>
          <rPr>
            <b/>
            <sz val="8"/>
            <color indexed="81"/>
            <rFont val="Tahoma"/>
            <family val="2"/>
          </rPr>
          <t xml:space="preserve">Code per National Standard Building Element.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Could be m or m2 of partition. This cost represents total cost in cost plan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6" authorId="0">
      <text>
        <r>
          <rPr>
            <b/>
            <sz val="8"/>
            <color indexed="81"/>
            <rFont val="Tahoma"/>
            <family val="2"/>
          </rPr>
          <t>Replacement evey 30 Years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There may be a number of replacements within a study period. Do not replace on the last year. ie year 60
</t>
        </r>
        <r>
          <rPr>
            <b/>
            <i/>
            <sz val="8"/>
            <color indexed="81"/>
            <rFont val="Tahoma"/>
            <family val="2"/>
          </rPr>
          <t>ie.. 1 Replacement Cycle</t>
        </r>
      </text>
    </comment>
    <comment ref="I6" authorId="0">
      <text>
        <r>
          <rPr>
            <b/>
            <sz val="8"/>
            <color indexed="81"/>
            <rFont val="Tahoma"/>
            <family val="2"/>
          </rPr>
          <t>Factored Cost: This cell allows the QS to insert a muliple for items such as demolitions and removals or other additional costs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associated with replacement.</t>
        </r>
      </text>
    </comment>
    <comment ref="J6" authorId="1">
      <text>
        <r>
          <rPr>
            <b/>
            <sz val="8"/>
            <color indexed="81"/>
            <rFont val="Tahoma"/>
            <family val="2"/>
          </rPr>
          <t>Cost mulitiplied by Factor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6" authorId="0">
      <text>
        <r>
          <rPr>
            <b/>
            <sz val="8"/>
            <color indexed="81"/>
            <rFont val="Tahoma"/>
            <family val="2"/>
          </rPr>
          <t>Annual Cost represents an annual equivalent of the LCC(ne)
Divide LCC(ne) by number of Years</t>
        </r>
      </text>
    </comment>
    <comment ref="L6" authorId="1">
      <text>
        <r>
          <rPr>
            <b/>
            <sz val="8"/>
            <color indexed="81"/>
            <rFont val="Tahoma"/>
            <family val="2"/>
          </rPr>
          <t xml:space="preserve">Costs without
escalatiom and discount over study period - </t>
        </r>
        <r>
          <rPr>
            <b/>
            <i/>
            <sz val="8"/>
            <color indexed="81"/>
            <rFont val="Tahoma"/>
            <family val="2"/>
          </rPr>
          <t>factored costs X number of replacements cycles</t>
        </r>
      </text>
    </comment>
    <comment ref="N6" authorId="1">
      <text>
        <r>
          <rPr>
            <b/>
            <sz val="8"/>
            <color indexed="81"/>
            <rFont val="Tahoma"/>
            <family val="2"/>
          </rPr>
          <t xml:space="preserve">Escalated Life Cycle Cost at 3% over 60 Years. (Not accounting for discounting)
</t>
        </r>
        <r>
          <rPr>
            <b/>
            <i/>
            <sz val="8"/>
            <color indexed="81"/>
            <rFont val="Tahoma"/>
            <family val="2"/>
          </rPr>
          <t>escalate each replacement cycle to a total escalated cost for the item!</t>
        </r>
        <r>
          <rPr>
            <b/>
            <sz val="8"/>
            <color indexed="81"/>
            <rFont val="Tahoma"/>
            <family val="2"/>
          </rPr>
          <t xml:space="preserve">
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" authorId="0">
      <text>
        <r>
          <rPr>
            <b/>
            <sz val="8"/>
            <color indexed="81"/>
            <rFont val="Tahoma"/>
            <family val="2"/>
          </rPr>
          <t xml:space="preserve">SPV* Present Value Calculation of LLC 
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discount each replacement cycle to a total PV cost</t>
        </r>
      </text>
    </comment>
    <comment ref="R6" authorId="0">
      <text>
        <r>
          <rPr>
            <b/>
            <sz val="8"/>
            <color indexed="81"/>
            <rFont val="Tahoma"/>
            <family val="2"/>
          </rPr>
          <t>SPV* factor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6" authorId="0">
      <text>
        <r>
          <rPr>
            <b/>
            <sz val="8"/>
            <color indexed="81"/>
            <rFont val="Tahoma"/>
            <family val="2"/>
          </rPr>
          <t>Escalated Cost Factor based on SCA.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<sst xmlns="http://schemas.openxmlformats.org/spreadsheetml/2006/main" count="540" uniqueCount="334">
  <si>
    <t>2.0</t>
  </si>
  <si>
    <t>3.3.1</t>
  </si>
  <si>
    <t>3.3.2</t>
  </si>
  <si>
    <t>3.0</t>
  </si>
  <si>
    <t>4.0</t>
  </si>
  <si>
    <t>5.0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</si>
  <si>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</si>
  <si>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</si>
  <si>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</si>
  <si>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</si>
  <si>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</si>
  <si>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</si>
  <si>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</si>
  <si>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</si>
  <si>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</si>
  <si>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</si>
  <si>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</si>
  <si>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</si>
  <si>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</si>
  <si>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</si>
  <si>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</si>
  <si>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</si>
  <si>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</si>
  <si>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</si>
  <si>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</si>
  <si>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</si>
  <si>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</si>
  <si>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</si>
  <si>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</si>
  <si>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</si>
  <si>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</si>
  <si>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</si>
  <si>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</si>
  <si>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</si>
  <si>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</si>
  <si>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</si>
  <si>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</si>
  <si>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</si>
  <si>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</si>
  <si>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</si>
  <si>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</si>
  <si>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</si>
  <si>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</si>
  <si>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</si>
  <si>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</si>
  <si>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</si>
  <si>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</si>
  <si>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</si>
  <si>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</si>
  <si>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</si>
  <si>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</si>
  <si>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</si>
  <si>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</si>
  <si>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</si>
  <si>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</si>
  <si>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</si>
  <si>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</si>
  <si>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</si>
  <si>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</si>
  <si>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</si>
  <si>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</si>
  <si>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</si>
  <si>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</si>
  <si>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</si>
  <si>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</si>
  <si>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</si>
  <si>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 xml:space="preserve">Total Maintenance Costs </t>
  </si>
  <si>
    <t>Subsequent refurbishment and adaptation costs</t>
  </si>
  <si>
    <t>Client definable costs</t>
  </si>
  <si>
    <t xml:space="preserve">Redecoration - internal / external </t>
  </si>
  <si>
    <t>3.1.1</t>
  </si>
  <si>
    <t>3.1.2</t>
  </si>
  <si>
    <t>3.1.3</t>
  </si>
  <si>
    <t>3.1.4</t>
  </si>
  <si>
    <t>External works cleaning</t>
  </si>
  <si>
    <t>Specialist cleaning</t>
  </si>
  <si>
    <t>3.2.1</t>
  </si>
  <si>
    <t>3.2.2</t>
  </si>
  <si>
    <t>3.3.3</t>
  </si>
  <si>
    <t>Taxes</t>
  </si>
  <si>
    <t>Internal moves</t>
  </si>
  <si>
    <t>Reception and customer hosting</t>
  </si>
  <si>
    <t>Helpdesk</t>
  </si>
  <si>
    <t>Postroom - mail services</t>
  </si>
  <si>
    <t>Laundry</t>
  </si>
  <si>
    <t>Vending</t>
  </si>
  <si>
    <t>Internal plants and landscaping</t>
  </si>
  <si>
    <t>Stationary and reprographics</t>
  </si>
  <si>
    <t>Porters</t>
  </si>
  <si>
    <t xml:space="preserve">Total Occupancy Costs </t>
  </si>
  <si>
    <t>Total End of Life Costs</t>
  </si>
  <si>
    <t>Disposal inspections</t>
  </si>
  <si>
    <t>Demolitions</t>
  </si>
  <si>
    <t>Reinstatement costs</t>
  </si>
  <si>
    <t>Land and enabling works</t>
  </si>
  <si>
    <t>Rent costs</t>
  </si>
  <si>
    <t>Strategic estate management</t>
  </si>
  <si>
    <t>Space charges</t>
  </si>
  <si>
    <t>Taxes on costs</t>
  </si>
  <si>
    <t>Third party income during occupation</t>
  </si>
  <si>
    <t>Taxes on income</t>
  </si>
  <si>
    <t>Loss of income</t>
  </si>
  <si>
    <t>f</t>
  </si>
  <si>
    <t xml:space="preserve">Maintenance Costs </t>
  </si>
  <si>
    <t>Operations Costs</t>
  </si>
  <si>
    <t xml:space="preserve">Total Operations Costs </t>
  </si>
  <si>
    <t>Cleaning costs</t>
  </si>
  <si>
    <t>Utilities costs gas and electric</t>
  </si>
  <si>
    <t>Administration Costs</t>
  </si>
  <si>
    <t>Property management</t>
  </si>
  <si>
    <t>Staff engaged with servicing the building</t>
  </si>
  <si>
    <t>Waste management disposal</t>
  </si>
  <si>
    <t>Overhead costs</t>
  </si>
  <si>
    <t>Security</t>
  </si>
  <si>
    <t>Switchboard / telephones</t>
  </si>
  <si>
    <t>ICT and IT services</t>
  </si>
  <si>
    <t>Library Services</t>
  </si>
  <si>
    <t>Catering</t>
  </si>
  <si>
    <t>Occupiers furniture, fittings and equipment</t>
  </si>
  <si>
    <t>Carparking charges</t>
  </si>
  <si>
    <t>Occupancy Costs</t>
  </si>
  <si>
    <t>End of Life Costs</t>
  </si>
  <si>
    <t>Salavge costs</t>
  </si>
  <si>
    <t>Non Construction Costs</t>
  </si>
  <si>
    <t>Total Non Construction Costs</t>
  </si>
  <si>
    <t>Income from Sales</t>
  </si>
  <si>
    <t xml:space="preserve">Minor replacement, repairs and PPM maintenance costs </t>
  </si>
  <si>
    <t xml:space="preserve">Income </t>
  </si>
  <si>
    <t xml:space="preserve">Total Income </t>
  </si>
  <si>
    <t>(e)</t>
  </si>
  <si>
    <t>(i)</t>
  </si>
  <si>
    <t>(n)</t>
  </si>
  <si>
    <t>Annual Amount</t>
  </si>
  <si>
    <t>Non Construction Costs Profile</t>
  </si>
  <si>
    <t>f1</t>
  </si>
  <si>
    <t>f2</t>
  </si>
  <si>
    <t xml:space="preserve">Unscheduled repairs, replacement and maintenance </t>
  </si>
  <si>
    <t xml:space="preserve">Grounds maintenance </t>
  </si>
  <si>
    <t>Internal cleaning</t>
  </si>
  <si>
    <t>Operations and Maintenance</t>
  </si>
  <si>
    <t>O&amp;M</t>
  </si>
  <si>
    <t>Qty</t>
  </si>
  <si>
    <t>Unit</t>
  </si>
  <si>
    <t>Rate</t>
  </si>
  <si>
    <t>Description</t>
  </si>
  <si>
    <t>Acc. Present Value</t>
  </si>
  <si>
    <t>LS</t>
  </si>
  <si>
    <t>Major replacement</t>
  </si>
  <si>
    <t>4.11</t>
  </si>
  <si>
    <t>4.12</t>
  </si>
  <si>
    <t>4.13</t>
  </si>
  <si>
    <t>4.14</t>
  </si>
  <si>
    <t>4.15</t>
  </si>
  <si>
    <t>4.16</t>
  </si>
  <si>
    <t>4.17</t>
  </si>
  <si>
    <t>End Of Life Costs Profile</t>
  </si>
  <si>
    <t>Year</t>
  </si>
  <si>
    <t>Life Cycle Cost</t>
  </si>
  <si>
    <t>7.0</t>
  </si>
  <si>
    <t>Years</t>
  </si>
  <si>
    <t>Cost</t>
  </si>
  <si>
    <t>€/m2</t>
  </si>
  <si>
    <t>6.0</t>
  </si>
  <si>
    <t>Annual Costs</t>
  </si>
  <si>
    <t xml:space="preserve">Operations Costs </t>
  </si>
  <si>
    <t xml:space="preserve">Occupancy Costs </t>
  </si>
  <si>
    <t>Net Annual Expeniture</t>
  </si>
  <si>
    <t>Income</t>
  </si>
  <si>
    <t>WLC</t>
  </si>
  <si>
    <t>Annual Income</t>
  </si>
  <si>
    <t>NAE</t>
  </si>
  <si>
    <t>Whole Life Cycle Cost (ex VAT)</t>
  </si>
  <si>
    <t xml:space="preserve">Cost </t>
  </si>
  <si>
    <t>Major Replacement</t>
  </si>
  <si>
    <t xml:space="preserve">Maintenance (Replacement) Costs </t>
  </si>
  <si>
    <t>Major Replacement Costs</t>
  </si>
  <si>
    <t>Total Major Replacement Costs</t>
  </si>
  <si>
    <t xml:space="preserve">Years </t>
  </si>
  <si>
    <t xml:space="preserve">BCIS </t>
  </si>
  <si>
    <t>BCIS</t>
  </si>
  <si>
    <t>Ref</t>
  </si>
  <si>
    <t>Annual Cost</t>
  </si>
  <si>
    <t xml:space="preserve">Water and Drainage </t>
  </si>
  <si>
    <t xml:space="preserve">Fuel Costs </t>
  </si>
  <si>
    <t xml:space="preserve">Windows and external surfaces </t>
  </si>
  <si>
    <t>Total Present Value</t>
  </si>
  <si>
    <t>Construction Costs</t>
  </si>
  <si>
    <t>VAT</t>
  </si>
  <si>
    <t>LLC</t>
  </si>
  <si>
    <t>8.0</t>
  </si>
  <si>
    <t>Externalities</t>
  </si>
  <si>
    <t>Total Income</t>
  </si>
  <si>
    <t xml:space="preserve">Finance costs </t>
  </si>
  <si>
    <t>Total Externalities</t>
  </si>
  <si>
    <t>WLCC</t>
  </si>
  <si>
    <t>Whole Life Cycle Cost (Inc. VAT)</t>
  </si>
  <si>
    <t>Maintenance, Operations and Occupancy Costs</t>
  </si>
  <si>
    <t>End of Life</t>
  </si>
  <si>
    <t>Whole Life Cycle</t>
  </si>
  <si>
    <t>WLC VAT</t>
  </si>
  <si>
    <t>LCC</t>
  </si>
  <si>
    <t>CC</t>
  </si>
  <si>
    <t>WNAE</t>
  </si>
  <si>
    <t xml:space="preserve">Operation </t>
  </si>
  <si>
    <t>1.</t>
  </si>
  <si>
    <t>2.</t>
  </si>
  <si>
    <t>Net Present Value</t>
  </si>
  <si>
    <t>MR</t>
  </si>
  <si>
    <t>EOL</t>
  </si>
  <si>
    <t>Life Cycle Cost Summary</t>
  </si>
  <si>
    <t>PROJECT TITLE:</t>
  </si>
  <si>
    <t>Location</t>
  </si>
  <si>
    <t>Project Details:</t>
  </si>
  <si>
    <t>Owner:</t>
  </si>
  <si>
    <t>Occupier:</t>
  </si>
  <si>
    <t>Prepared By:</t>
  </si>
  <si>
    <t>DATES</t>
  </si>
  <si>
    <t xml:space="preserve">Plan      </t>
  </si>
  <si>
    <t>Preparation date:</t>
  </si>
  <si>
    <t>Indexing Base</t>
  </si>
  <si>
    <t>Construction Cost</t>
  </si>
  <si>
    <t>Base Date:</t>
  </si>
  <si>
    <t>Start Date:</t>
  </si>
  <si>
    <t>Date of Completion:</t>
  </si>
  <si>
    <t>Date of Hand Over:</t>
  </si>
  <si>
    <t>Maintenance</t>
  </si>
  <si>
    <t>End Date:</t>
  </si>
  <si>
    <t xml:space="preserve">Occupancy   </t>
  </si>
  <si>
    <t>Hand Back Liability Period:</t>
  </si>
  <si>
    <t>Period of Analysis:</t>
  </si>
  <si>
    <t>Unit of time: (w/m/year)</t>
  </si>
  <si>
    <t>Total Asset Life Expectancy:</t>
  </si>
  <si>
    <t>BASIS OF YEARS (eg. Calendar; financial year) – please state</t>
  </si>
  <si>
    <t>PROCUREMENT DETAILS</t>
  </si>
  <si>
    <t>Procurement Route:</t>
  </si>
  <si>
    <t>Procurement Stage:</t>
  </si>
  <si>
    <t>Tender Basis:</t>
  </si>
  <si>
    <t>Market Conditions:</t>
  </si>
  <si>
    <t>Documents Used as Bases of Analysis</t>
  </si>
  <si>
    <t>Source</t>
  </si>
  <si>
    <t>BUILDINGS ENVIRONMENTAL TARGET</t>
  </si>
  <si>
    <t>Scheme</t>
  </si>
  <si>
    <t>Target Score</t>
  </si>
  <si>
    <t>Other Considerations</t>
  </si>
  <si>
    <t>BASIS OF COST</t>
  </si>
  <si>
    <t>Current Price</t>
  </si>
  <si>
    <t>Discount Rate</t>
  </si>
  <si>
    <t>Escalation Rate</t>
  </si>
  <si>
    <t>NCC</t>
  </si>
  <si>
    <t>Present Value</t>
  </si>
  <si>
    <t>Life Cycle Cost Parameters</t>
  </si>
  <si>
    <t>Whole Life Cycle Cost</t>
  </si>
  <si>
    <t>Net Annual Expediture</t>
  </si>
  <si>
    <t>IN</t>
  </si>
  <si>
    <t>REF</t>
  </si>
  <si>
    <t>GIFA</t>
  </si>
  <si>
    <t>Stud Partitions</t>
  </si>
  <si>
    <t>Cost TODAY</t>
  </si>
  <si>
    <t>3.</t>
  </si>
  <si>
    <t>4.</t>
  </si>
  <si>
    <t xml:space="preserve">Vat </t>
  </si>
  <si>
    <t>%</t>
  </si>
  <si>
    <t>Whole Net Annual Expeniture</t>
  </si>
  <si>
    <t>Life Cycle Cost   (2.0 - 5.0)</t>
  </si>
  <si>
    <t>Total Life Cycle Cost (Incld Construction)</t>
  </si>
  <si>
    <t xml:space="preserve">TLLC </t>
  </si>
  <si>
    <t>5.</t>
  </si>
  <si>
    <t>Whole Life Cycle Cost (Not Including Construction Costs)</t>
  </si>
  <si>
    <t>Factored Cost</t>
  </si>
  <si>
    <t>Escalated LLC</t>
  </si>
  <si>
    <t>Annual Cost Equiv.</t>
  </si>
  <si>
    <t>Escalated Life Cycle Cost</t>
  </si>
  <si>
    <t>Disposal Inspections</t>
  </si>
  <si>
    <t>Escalated Costs</t>
  </si>
  <si>
    <t>Check Present Value</t>
  </si>
  <si>
    <t>Life Cycle Income</t>
  </si>
  <si>
    <t>Escaled Life Cycle Income</t>
  </si>
  <si>
    <t>Basis of Life Cycle Cost</t>
  </si>
  <si>
    <t>Exclusions</t>
  </si>
  <si>
    <t>Inclusions</t>
  </si>
  <si>
    <t>Internal Walls, Partitions</t>
  </si>
  <si>
    <t>Schedule of Areas</t>
  </si>
  <si>
    <t>4.10</t>
  </si>
  <si>
    <t>Basis of Estimate</t>
  </si>
  <si>
    <t>Level 1 Breakdown</t>
  </si>
  <si>
    <t>Operations, Maintenance and Occupancy</t>
  </si>
  <si>
    <t>Contents</t>
  </si>
  <si>
    <t>CT</t>
  </si>
  <si>
    <t>Basement floors:</t>
  </si>
  <si>
    <t>Percentage of gross floor area:</t>
  </si>
  <si>
    <t>Ground floor</t>
  </si>
  <si>
    <t>Below ground floor</t>
  </si>
  <si>
    <t>Upper floors</t>
  </si>
  <si>
    <t>Single storey construction</t>
  </si>
  <si>
    <t>Total (Gross Internal Floor Area)</t>
  </si>
  <si>
    <t>Two storey construction</t>
  </si>
  <si>
    <t>Usable Area</t>
  </si>
  <si>
    <t>Circulation Area</t>
  </si>
  <si>
    <t>Ancillary Areas</t>
  </si>
  <si>
    <t>Average storey height:</t>
  </si>
  <si>
    <t>Internal divisions</t>
  </si>
  <si>
    <t>Below ground floor(s)</t>
  </si>
  <si>
    <t>Spaces not enclosed:</t>
  </si>
  <si>
    <t>Above ground floor(s)</t>
  </si>
  <si>
    <t>Areas Requiring Regular Cleaning</t>
  </si>
  <si>
    <t>External vertical envelope (Ext. walls, windows &amp; doors)</t>
  </si>
  <si>
    <t>Internal cube</t>
  </si>
  <si>
    <t>Area of Glazing</t>
  </si>
  <si>
    <t xml:space="preserve">Area of site </t>
  </si>
  <si>
    <t xml:space="preserve">Number of units </t>
  </si>
  <si>
    <t>____ storey construction</t>
  </si>
  <si>
    <t>Construction works costs</t>
  </si>
  <si>
    <t>Other construction related costs</t>
  </si>
  <si>
    <t xml:space="preserve">Total Construction Costs </t>
  </si>
  <si>
    <t>1.0</t>
  </si>
  <si>
    <t>Other Construction Costs</t>
  </si>
  <si>
    <t>Other Related Construction Costs</t>
  </si>
  <si>
    <t xml:space="preserve">Client definable costs </t>
  </si>
  <si>
    <t>OCC</t>
  </si>
  <si>
    <t>Other Construction Costs Profile</t>
  </si>
  <si>
    <t>Construction Cost Summary</t>
  </si>
  <si>
    <t>COMPANY COVER SHEET</t>
  </si>
  <si>
    <t>State client requirements, standards required, working restrictions and procurement context</t>
  </si>
  <si>
    <t>Insert Cost Plan Construction Cost</t>
  </si>
  <si>
    <t>End Of Life Costs</t>
  </si>
  <si>
    <t>AP3 - Replacement Costs</t>
  </si>
  <si>
    <t>Life Cycle Cost (ne)</t>
  </si>
  <si>
    <t xml:space="preserve">Non Construction Costs </t>
  </si>
  <si>
    <t>ESB - estimated yearly costs</t>
  </si>
  <si>
    <t>Insert Replacement Costs</t>
  </si>
  <si>
    <t>PLEASE USE IN CONJUNCTION WITH SCSI GUIDANCE NOTES and BCIS ISO 15686 Supplement</t>
  </si>
  <si>
    <t xml:space="preserve">Life Cycle Costs Analysis  </t>
  </si>
  <si>
    <t>Present Value Factor</t>
  </si>
  <si>
    <t>Escalation factor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</si>
</sst>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2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4"/>
      <color indexed="8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color indexed="2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u/>
      <sz val="9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 tint="-0.499984740745262"/>
      <name val="Arial Black"/>
      <family val="2"/>
    </font>
    <font>
      <b/>
      <sz val="18"/>
      <color theme="0" tint="-0.499984740745262"/>
      <name val="Arial Black"/>
      <family val="2"/>
    </font>
    <font>
      <b/>
      <sz val="11"/>
      <color theme="0" tint="-0.499984740745262"/>
      <name val="Arial Black"/>
      <family val="2"/>
    </font>
    <font>
      <sz val="11"/>
      <color theme="0" tint="-0.499984740745262"/>
      <name val="Arial Black"/>
      <family val="2"/>
    </font>
    <font>
      <sz val="12"/>
      <color theme="0" tint="-0.499984740745262"/>
      <name val="Arial Black"/>
      <family val="2"/>
    </font>
    <font>
      <b/>
      <sz val="12"/>
      <color theme="0" tint="-0.499984740745262"/>
      <name val="Arial Black"/>
      <family val="2"/>
    </font>
    <font>
      <sz val="14"/>
      <color theme="0" tint="-0.499984740745262"/>
      <name val="Arial Black"/>
      <family val="2"/>
    </font>
    <font>
      <sz val="10"/>
      <color theme="0" tint="-0.49998474074526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u/>
      <sz val="9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hadow/>
      <sz val="12"/>
      <name val="Arial"/>
      <family val="2"/>
    </font>
    <font>
      <b/>
      <shadow/>
      <sz val="1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9"/>
      <color rgb="FFFF0000"/>
      <name val="Arial"/>
      <family val="2"/>
    </font>
    <font>
      <b/>
      <sz val="12"/>
      <color rgb="FFFF0000"/>
      <name val="Arial Black"/>
      <family val="2"/>
    </font>
    <font>
      <sz val="11"/>
      <color rgb="FFFF0000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u/>
      <sz val="8"/>
      <color indexed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b/>
      <sz val="12"/>
      <name val="Times New Roman"/>
      <family val="1"/>
    </font>
    <font>
      <b/>
      <sz val="10"/>
      <color indexed="18"/>
      <name val="Arial Black"/>
      <family val="2"/>
    </font>
    <font>
      <b/>
      <sz val="10"/>
      <color indexed="50"/>
      <name val="Arial"/>
      <family val="2"/>
    </font>
    <font>
      <b/>
      <sz val="8"/>
      <name val="Tahoma"/>
      <family val="2"/>
    </font>
    <font>
      <b/>
      <sz val="10"/>
      <color theme="1"/>
      <name val="Arial"/>
      <family val="2"/>
    </font>
    <font>
      <b/>
      <sz val="10"/>
      <color indexed="23"/>
      <name val="Arial"/>
      <family val="2"/>
    </font>
    <font>
      <i/>
      <sz val="10"/>
      <color indexed="8"/>
      <name val="Arial"/>
      <family val="2"/>
    </font>
    <font>
      <sz val="10"/>
      <color rgb="FFFF0000"/>
      <name val="Arial"/>
      <family val="2"/>
    </font>
    <font>
      <i/>
      <sz val="9"/>
      <color indexed="8"/>
      <name val="Arial"/>
      <family val="2"/>
    </font>
    <font>
      <i/>
      <sz val="9"/>
      <name val="Arial"/>
      <family val="2"/>
    </font>
    <font>
      <i/>
      <sz val="14"/>
      <color indexed="8"/>
      <name val="Arial"/>
      <family val="2"/>
    </font>
    <font>
      <i/>
      <sz val="28"/>
      <name val="Times New Roman"/>
      <family val="1"/>
    </font>
    <font>
      <i/>
      <sz val="1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rgb="FF002060"/>
      <name val="Arial"/>
      <family val="2"/>
    </font>
    <font>
      <i/>
      <sz val="9"/>
      <color rgb="FF002060"/>
      <name val="Arial"/>
      <family val="2"/>
    </font>
    <font>
      <sz val="8"/>
      <color rgb="FF002060"/>
      <name val="Arial"/>
      <family val="2"/>
    </font>
    <font>
      <sz val="7"/>
      <color rgb="FF002060"/>
      <name val="Arial"/>
      <family val="2"/>
    </font>
    <font>
      <u/>
      <sz val="9"/>
      <color rgb="FF002060"/>
      <name val="Arial"/>
      <family val="2"/>
    </font>
    <font>
      <sz val="10"/>
      <color rgb="FF002060"/>
      <name val="Arial"/>
      <family val="2"/>
    </font>
    <font>
      <b/>
      <sz val="16"/>
      <color rgb="FFFF0000"/>
      <name val="Times New Roman"/>
      <family val="1"/>
    </font>
    <font>
      <b/>
      <i/>
      <sz val="8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lightUp">
        <bgColor theme="0" tint="-0.249977111117893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19">
    <xf numFmtId="0" fontId="0" fillId="0" borderId="0"/>
    <xf numFmtId="0" fontId="18" fillId="0" borderId="0">
      <alignment horizontal="left"/>
    </xf>
    <xf numFmtId="0" fontId="19" fillId="2" borderId="0">
      <alignment horizontal="left"/>
    </xf>
    <xf numFmtId="0" fontId="26" fillId="0" borderId="0"/>
    <xf numFmtId="0" fontId="20" fillId="0" borderId="0"/>
    <xf numFmtId="0" fontId="47" fillId="0" borderId="0"/>
    <xf numFmtId="9" fontId="20" fillId="0" borderId="0" applyFont="0" applyFill="0" applyBorder="0" applyAlignment="0" applyProtection="0"/>
    <xf numFmtId="0" fontId="35" fillId="2" borderId="0" applyNumberFormat="0" applyFill="0" applyBorder="0" applyAlignment="0">
      <alignment horizontal="left" vertical="top"/>
    </xf>
    <xf numFmtId="0" fontId="35" fillId="17" borderId="18" applyFont="0" applyAlignment="0">
      <alignment horizontal="left"/>
    </xf>
    <xf numFmtId="0" fontId="58" fillId="0" borderId="0">
      <alignment horizontal="left"/>
    </xf>
    <xf numFmtId="0" fontId="35" fillId="16" borderId="0" applyFont="0" applyAlignment="0"/>
    <xf numFmtId="1" fontId="48" fillId="0" borderId="0">
      <alignment horizontal="left" wrapText="1"/>
    </xf>
    <xf numFmtId="0" fontId="59" fillId="0" borderId="0">
      <alignment horizontal="left"/>
    </xf>
    <xf numFmtId="0" fontId="57" fillId="2" borderId="0">
      <alignment horizontal="left"/>
    </xf>
    <xf numFmtId="0" fontId="60" fillId="6" borderId="19">
      <alignment horizontal="left"/>
    </xf>
    <xf numFmtId="0" fontId="61" fillId="18" borderId="0">
      <alignment horizontal="left"/>
    </xf>
    <xf numFmtId="4" fontId="35" fillId="0" borderId="4">
      <alignment horizontal="right"/>
    </xf>
    <xf numFmtId="3" fontId="62" fillId="0" borderId="15">
      <alignment horizontal="right"/>
    </xf>
    <xf numFmtId="4" fontId="62" fillId="0" borderId="0">
      <alignment horizontal="right"/>
    </xf>
  </cellStyleXfs>
  <cellXfs count="739">
    <xf numFmtId="0" fontId="0" fillId="0" borderId="0" xfId="0"/>
    <xf numFmtId="165" fontId="2" fillId="0" borderId="0" xfId="0" applyNumberFormat="1" applyFont="1" applyAlignment="1" applyProtection="1">
      <alignment horizontal="center"/>
      <protection hidden="1"/>
    </xf>
    <xf numFmtId="2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2" fillId="0" borderId="0" xfId="0" applyFont="1" applyFill="1" applyProtection="1">
      <protection hidden="1"/>
    </xf>
    <xf numFmtId="1" fontId="2" fillId="0" borderId="0" xfId="0" applyNumberFormat="1" applyFont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7" fillId="0" borderId="0" xfId="0" applyFont="1" applyProtection="1">
      <protection hidden="1"/>
    </xf>
    <xf numFmtId="0" fontId="9" fillId="0" borderId="0" xfId="0" applyFont="1" applyProtection="1">
      <protection hidden="1"/>
    </xf>
    <xf numFmtId="165" fontId="6" fillId="6" borderId="4" xfId="0" applyNumberFormat="1" applyFont="1" applyFill="1" applyBorder="1" applyAlignment="1" applyProtection="1">
      <alignment horizontal="center" wrapText="1"/>
      <protection hidden="1"/>
    </xf>
    <xf numFmtId="2" fontId="6" fillId="6" borderId="4" xfId="0" applyNumberFormat="1" applyFont="1" applyFill="1" applyBorder="1" applyAlignment="1" applyProtection="1">
      <alignment horizontal="center" wrapText="1"/>
      <protection hidden="1"/>
    </xf>
    <xf numFmtId="0" fontId="3" fillId="0" borderId="0" xfId="0" applyFont="1" applyFill="1" applyBorder="1" applyProtection="1">
      <protection hidden="1"/>
    </xf>
    <xf numFmtId="0" fontId="8" fillId="0" borderId="0" xfId="0" applyFont="1" applyFill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9" fillId="0" borderId="0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3" fontId="7" fillId="0" borderId="0" xfId="0" applyNumberFormat="1" applyFont="1" applyFill="1" applyBorder="1" applyAlignment="1" applyProtection="1">
      <alignment horizontal="right"/>
      <protection hidden="1"/>
    </xf>
    <xf numFmtId="3" fontId="8" fillId="0" borderId="0" xfId="0" applyNumberFormat="1" applyFont="1" applyFill="1" applyBorder="1" applyAlignment="1" applyProtection="1">
      <alignment horizontal="right"/>
      <protection hidden="1"/>
    </xf>
    <xf numFmtId="3" fontId="2" fillId="0" borderId="0" xfId="0" applyNumberFormat="1" applyFont="1" applyAlignment="1" applyProtection="1">
      <alignment horizontal="right"/>
      <protection hidden="1"/>
    </xf>
    <xf numFmtId="0" fontId="5" fillId="0" borderId="0" xfId="0" applyFont="1" applyFill="1" applyProtection="1">
      <protection hidden="1"/>
    </xf>
    <xf numFmtId="0" fontId="8" fillId="0" borderId="0" xfId="0" applyFont="1" applyFill="1" applyProtection="1">
      <protection hidden="1"/>
    </xf>
    <xf numFmtId="0" fontId="8" fillId="0" borderId="0" xfId="0" applyFont="1" applyProtection="1">
      <protection hidden="1"/>
    </xf>
    <xf numFmtId="0" fontId="7" fillId="0" borderId="0" xfId="0" quotePrefix="1" applyFont="1" applyFill="1" applyBorder="1" applyAlignment="1" applyProtection="1">
      <alignment horizontal="right"/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7" fillId="0" borderId="0" xfId="0" applyFont="1" applyFill="1" applyBorder="1" applyProtection="1"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7" fillId="0" borderId="0" xfId="0" applyFont="1" applyFill="1" applyAlignment="1" applyProtection="1">
      <alignment horizontal="left"/>
      <protection hidden="1"/>
    </xf>
    <xf numFmtId="0" fontId="7" fillId="0" borderId="0" xfId="0" applyFont="1" applyFill="1" applyAlignment="1" applyProtection="1">
      <alignment horizontal="right"/>
      <protection hidden="1"/>
    </xf>
    <xf numFmtId="0" fontId="7" fillId="0" borderId="0" xfId="0" applyFont="1" applyFill="1" applyProtection="1">
      <protection hidden="1"/>
    </xf>
    <xf numFmtId="0" fontId="8" fillId="0" borderId="0" xfId="0" applyFont="1" applyFill="1" applyBorder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8" borderId="0" xfId="0" applyFont="1" applyFill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2" fillId="0" borderId="0" xfId="0" applyFont="1" applyBorder="1" applyProtection="1">
      <protection hidden="1"/>
    </xf>
    <xf numFmtId="165" fontId="12" fillId="7" borderId="0" xfId="0" applyNumberFormat="1" applyFont="1" applyFill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14" fillId="4" borderId="0" xfId="0" applyFont="1" applyFill="1" applyProtection="1">
      <protection hidden="1"/>
    </xf>
    <xf numFmtId="164" fontId="13" fillId="0" borderId="0" xfId="0" applyNumberFormat="1" applyFont="1" applyAlignment="1" applyProtection="1">
      <alignment horizontal="center"/>
      <protection hidden="1"/>
    </xf>
    <xf numFmtId="165" fontId="13" fillId="0" borderId="0" xfId="0" applyNumberFormat="1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8" fillId="0" borderId="0" xfId="0" applyFont="1" applyBorder="1" applyProtection="1">
      <protection hidden="1"/>
    </xf>
    <xf numFmtId="165" fontId="11" fillId="0" borderId="0" xfId="0" applyNumberFormat="1" applyFont="1" applyAlignment="1" applyProtection="1">
      <alignment horizontal="center"/>
      <protection hidden="1"/>
    </xf>
    <xf numFmtId="2" fontId="11" fillId="0" borderId="0" xfId="0" applyNumberFormat="1" applyFont="1" applyAlignment="1" applyProtection="1">
      <alignment horizontal="center"/>
      <protection hidden="1"/>
    </xf>
    <xf numFmtId="0" fontId="11" fillId="0" borderId="0" xfId="0" applyFont="1" applyFill="1" applyProtection="1">
      <protection hidden="1"/>
    </xf>
    <xf numFmtId="0" fontId="4" fillId="0" borderId="0" xfId="0" applyFont="1" applyFill="1" applyBorder="1" applyAlignment="1" applyProtection="1">
      <alignment horizontal="left"/>
      <protection hidden="1"/>
    </xf>
    <xf numFmtId="1" fontId="11" fillId="0" borderId="0" xfId="0" applyNumberFormat="1" applyFont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2" fontId="12" fillId="3" borderId="0" xfId="0" applyNumberFormat="1" applyFont="1" applyFill="1" applyAlignment="1" applyProtection="1">
      <alignment horizontal="center"/>
      <protection hidden="1"/>
    </xf>
    <xf numFmtId="0" fontId="14" fillId="0" borderId="0" xfId="0" applyFont="1" applyFill="1" applyProtection="1">
      <protection hidden="1"/>
    </xf>
    <xf numFmtId="3" fontId="11" fillId="0" borderId="0" xfId="0" applyNumberFormat="1" applyFont="1" applyAlignment="1" applyProtection="1">
      <alignment horizontal="center"/>
      <protection hidden="1"/>
    </xf>
    <xf numFmtId="0" fontId="3" fillId="0" borderId="0" xfId="0" applyFont="1" applyFill="1" applyBorder="1" applyAlignment="1" applyProtection="1">
      <alignment horizontal="left"/>
      <protection hidden="1"/>
    </xf>
    <xf numFmtId="3" fontId="5" fillId="0" borderId="0" xfId="0" applyNumberFormat="1" applyFont="1" applyFill="1" applyBorder="1" applyAlignment="1" applyProtection="1">
      <alignment horizontal="center" wrapText="1"/>
      <protection hidden="1"/>
    </xf>
    <xf numFmtId="3" fontId="5" fillId="0" borderId="0" xfId="0" applyNumberFormat="1" applyFont="1" applyFill="1" applyBorder="1" applyAlignment="1" applyProtection="1">
      <alignment horizontal="right" wrapText="1"/>
      <protection hidden="1"/>
    </xf>
    <xf numFmtId="165" fontId="5" fillId="6" borderId="4" xfId="0" applyNumberFormat="1" applyFont="1" applyFill="1" applyBorder="1" applyAlignment="1" applyProtection="1">
      <alignment horizontal="center" wrapText="1"/>
      <protection hidden="1"/>
    </xf>
    <xf numFmtId="0" fontId="3" fillId="0" borderId="0" xfId="0" applyFont="1" applyFill="1" applyProtection="1">
      <protection hidden="1"/>
    </xf>
    <xf numFmtId="0" fontId="3" fillId="0" borderId="0" xfId="0" quotePrefix="1" applyFont="1" applyFill="1" applyProtection="1">
      <protection hidden="1"/>
    </xf>
    <xf numFmtId="0" fontId="8" fillId="4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5" fillId="5" borderId="4" xfId="0" applyFont="1" applyFill="1" applyBorder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left"/>
      <protection hidden="1"/>
    </xf>
    <xf numFmtId="3" fontId="3" fillId="0" borderId="0" xfId="0" applyNumberFormat="1" applyFont="1" applyFill="1" applyBorder="1" applyAlignment="1" applyProtection="1">
      <alignment horizontal="right"/>
      <protection hidden="1"/>
    </xf>
    <xf numFmtId="3" fontId="2" fillId="0" borderId="0" xfId="0" applyNumberFormat="1" applyFont="1" applyFill="1" applyBorder="1" applyAlignment="1" applyProtection="1">
      <alignment horizontal="right"/>
      <protection hidden="1"/>
    </xf>
    <xf numFmtId="0" fontId="3" fillId="0" borderId="0" xfId="0" quotePrefix="1" applyFont="1" applyFill="1" applyBorder="1" applyProtection="1">
      <protection hidden="1"/>
    </xf>
    <xf numFmtId="0" fontId="3" fillId="0" borderId="0" xfId="0" applyFont="1" applyFill="1" applyAlignment="1" applyProtection="1">
      <alignment horizontal="left"/>
      <protection hidden="1"/>
    </xf>
    <xf numFmtId="3" fontId="5" fillId="0" borderId="0" xfId="0" applyNumberFormat="1" applyFont="1" applyFill="1" applyBorder="1" applyAlignment="1" applyProtection="1">
      <alignment horizontal="right"/>
      <protection hidden="1"/>
    </xf>
    <xf numFmtId="0" fontId="7" fillId="0" borderId="0" xfId="0" applyFont="1" applyAlignment="1" applyProtection="1">
      <alignment horizontal="right"/>
      <protection hidden="1"/>
    </xf>
    <xf numFmtId="2" fontId="7" fillId="0" borderId="0" xfId="0" applyNumberFormat="1" applyFont="1" applyFill="1" applyAlignment="1" applyProtection="1">
      <alignment horizontal="left"/>
      <protection hidden="1"/>
    </xf>
    <xf numFmtId="3" fontId="7" fillId="0" borderId="0" xfId="0" applyNumberFormat="1" applyFont="1" applyFill="1" applyBorder="1" applyAlignment="1" applyProtection="1">
      <alignment horizontal="right" wrapText="1"/>
      <protection hidden="1"/>
    </xf>
    <xf numFmtId="3" fontId="5" fillId="0" borderId="2" xfId="0" applyNumberFormat="1" applyFont="1" applyFill="1" applyBorder="1" applyAlignment="1" applyProtection="1">
      <alignment horizontal="right" wrapText="1"/>
      <protection hidden="1"/>
    </xf>
    <xf numFmtId="3" fontId="2" fillId="0" borderId="0" xfId="0" applyNumberFormat="1" applyFont="1" applyAlignment="1" applyProtection="1">
      <alignment horizontal="center"/>
      <protection hidden="1"/>
    </xf>
    <xf numFmtId="3" fontId="3" fillId="0" borderId="0" xfId="0" applyNumberFormat="1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13" fillId="0" borderId="0" xfId="0" applyFont="1" applyAlignment="1" applyProtection="1">
      <alignment horizontal="right"/>
      <protection hidden="1"/>
    </xf>
    <xf numFmtId="0" fontId="22" fillId="6" borderId="4" xfId="0" applyFont="1" applyFill="1" applyBorder="1" applyAlignment="1" applyProtection="1">
      <alignment horizontal="right"/>
      <protection locked="0" hidden="1"/>
    </xf>
    <xf numFmtId="165" fontId="22" fillId="7" borderId="0" xfId="0" applyNumberFormat="1" applyFont="1" applyFill="1" applyAlignment="1" applyProtection="1">
      <alignment horizontal="center"/>
      <protection hidden="1"/>
    </xf>
    <xf numFmtId="3" fontId="3" fillId="0" borderId="0" xfId="0" applyNumberFormat="1" applyFont="1" applyAlignment="1" applyProtection="1">
      <alignment horizontal="center"/>
      <protection hidden="1"/>
    </xf>
    <xf numFmtId="3" fontId="7" fillId="0" borderId="0" xfId="0" applyNumberFormat="1" applyFont="1" applyBorder="1" applyProtection="1">
      <protection hidden="1"/>
    </xf>
    <xf numFmtId="3" fontId="20" fillId="0" borderId="7" xfId="0" applyNumberFormat="1" applyFont="1" applyFill="1" applyBorder="1" applyAlignment="1" applyProtection="1">
      <alignment horizontal="right"/>
      <protection hidden="1"/>
    </xf>
    <xf numFmtId="3" fontId="20" fillId="0" borderId="7" xfId="0" applyNumberFormat="1" applyFont="1" applyFill="1" applyBorder="1" applyAlignment="1" applyProtection="1">
      <protection hidden="1"/>
    </xf>
    <xf numFmtId="3" fontId="7" fillId="0" borderId="7" xfId="0" applyNumberFormat="1" applyFont="1" applyFill="1" applyBorder="1" applyAlignment="1" applyProtection="1">
      <alignment horizontal="right"/>
      <protection hidden="1"/>
    </xf>
    <xf numFmtId="3" fontId="7" fillId="0" borderId="7" xfId="0" applyNumberFormat="1" applyFont="1" applyFill="1" applyBorder="1" applyAlignment="1" applyProtection="1">
      <protection hidden="1"/>
    </xf>
    <xf numFmtId="0" fontId="2" fillId="9" borderId="0" xfId="0" applyFont="1" applyFill="1" applyProtection="1">
      <protection hidden="1"/>
    </xf>
    <xf numFmtId="0" fontId="20" fillId="0" borderId="7" xfId="0" quotePrefix="1" applyFont="1" applyFill="1" applyBorder="1" applyAlignment="1" applyProtection="1">
      <alignment horizontal="right"/>
      <protection hidden="1"/>
    </xf>
    <xf numFmtId="0" fontId="20" fillId="0" borderId="7" xfId="0" applyFont="1" applyFill="1" applyBorder="1" applyAlignment="1" applyProtection="1">
      <alignment horizontal="left"/>
      <protection hidden="1"/>
    </xf>
    <xf numFmtId="0" fontId="7" fillId="0" borderId="7" xfId="0" quotePrefix="1" applyFont="1" applyFill="1" applyBorder="1" applyAlignment="1" applyProtection="1">
      <alignment horizontal="right"/>
      <protection hidden="1"/>
    </xf>
    <xf numFmtId="0" fontId="7" fillId="0" borderId="7" xfId="0" applyFont="1" applyFill="1" applyBorder="1" applyAlignment="1" applyProtection="1">
      <alignment horizontal="left"/>
      <protection hidden="1"/>
    </xf>
    <xf numFmtId="0" fontId="7" fillId="0" borderId="7" xfId="0" applyFont="1" applyFill="1" applyBorder="1" applyProtection="1">
      <protection hidden="1"/>
    </xf>
    <xf numFmtId="0" fontId="7" fillId="0" borderId="7" xfId="0" applyFont="1" applyFill="1" applyBorder="1" applyAlignment="1" applyProtection="1">
      <alignment horizontal="right"/>
      <protection hidden="1"/>
    </xf>
    <xf numFmtId="0" fontId="3" fillId="9" borderId="4" xfId="0" applyFont="1" applyFill="1" applyBorder="1" applyProtection="1">
      <protection hidden="1"/>
    </xf>
    <xf numFmtId="0" fontId="3" fillId="0" borderId="4" xfId="0" applyFont="1" applyFill="1" applyBorder="1" applyProtection="1">
      <protection hidden="1"/>
    </xf>
    <xf numFmtId="3" fontId="2" fillId="0" borderId="7" xfId="0" applyNumberFormat="1" applyFont="1" applyFill="1" applyBorder="1" applyAlignment="1" applyProtection="1">
      <alignment horizontal="right"/>
      <protection hidden="1"/>
    </xf>
    <xf numFmtId="0" fontId="2" fillId="9" borderId="7" xfId="0" applyFont="1" applyFill="1" applyBorder="1" applyProtection="1">
      <protection hidden="1"/>
    </xf>
    <xf numFmtId="2" fontId="2" fillId="9" borderId="7" xfId="0" applyNumberFormat="1" applyFont="1" applyFill="1" applyBorder="1" applyProtection="1">
      <protection hidden="1"/>
    </xf>
    <xf numFmtId="3" fontId="2" fillId="9" borderId="7" xfId="0" applyNumberFormat="1" applyFont="1" applyFill="1" applyBorder="1" applyAlignment="1" applyProtection="1">
      <alignment horizontal="right"/>
      <protection hidden="1"/>
    </xf>
    <xf numFmtId="3" fontId="2" fillId="9" borderId="7" xfId="0" applyNumberFormat="1" applyFont="1" applyFill="1" applyBorder="1" applyAlignment="1" applyProtection="1">
      <protection hidden="1"/>
    </xf>
    <xf numFmtId="0" fontId="11" fillId="0" borderId="7" xfId="0" applyFont="1" applyFill="1" applyBorder="1" applyProtection="1">
      <protection hidden="1"/>
    </xf>
    <xf numFmtId="3" fontId="3" fillId="0" borderId="7" xfId="0" applyNumberFormat="1" applyFont="1" applyFill="1" applyBorder="1" applyAlignment="1" applyProtection="1">
      <alignment horizontal="right"/>
      <protection hidden="1"/>
    </xf>
    <xf numFmtId="0" fontId="3" fillId="0" borderId="8" xfId="0" quotePrefix="1" applyFont="1" applyFill="1" applyBorder="1" applyAlignment="1" applyProtection="1">
      <alignment horizontal="left"/>
      <protection hidden="1"/>
    </xf>
    <xf numFmtId="0" fontId="2" fillId="9" borderId="0" xfId="0" applyFont="1" applyFill="1" applyAlignment="1" applyProtection="1">
      <alignment horizontal="right"/>
      <protection hidden="1"/>
    </xf>
    <xf numFmtId="3" fontId="5" fillId="0" borderId="4" xfId="0" applyNumberFormat="1" applyFont="1" applyFill="1" applyBorder="1" applyAlignment="1" applyProtection="1">
      <alignment horizontal="right" wrapText="1"/>
      <protection hidden="1"/>
    </xf>
    <xf numFmtId="0" fontId="20" fillId="9" borderId="0" xfId="0" applyFont="1" applyFill="1" applyProtection="1">
      <protection hidden="1"/>
    </xf>
    <xf numFmtId="0" fontId="7" fillId="9" borderId="0" xfId="0" applyFont="1" applyFill="1" applyProtection="1">
      <protection hidden="1"/>
    </xf>
    <xf numFmtId="0" fontId="8" fillId="9" borderId="0" xfId="0" applyFont="1" applyFill="1" applyProtection="1">
      <protection hidden="1"/>
    </xf>
    <xf numFmtId="0" fontId="3" fillId="9" borderId="0" xfId="0" applyFont="1" applyFill="1" applyProtection="1">
      <protection hidden="1"/>
    </xf>
    <xf numFmtId="0" fontId="3" fillId="9" borderId="6" xfId="0" applyFont="1" applyFill="1" applyBorder="1" applyProtection="1">
      <protection hidden="1"/>
    </xf>
    <xf numFmtId="3" fontId="5" fillId="9" borderId="4" xfId="0" applyNumberFormat="1" applyFont="1" applyFill="1" applyBorder="1" applyAlignment="1" applyProtection="1">
      <alignment horizontal="center" wrapText="1"/>
      <protection hidden="1"/>
    </xf>
    <xf numFmtId="3" fontId="5" fillId="9" borderId="4" xfId="0" applyNumberFormat="1" applyFont="1" applyFill="1" applyBorder="1" applyAlignment="1" applyProtection="1">
      <alignment horizontal="right" wrapText="1"/>
      <protection hidden="1"/>
    </xf>
    <xf numFmtId="0" fontId="3" fillId="9" borderId="0" xfId="0" applyFont="1" applyFill="1" applyBorder="1" applyProtection="1">
      <protection hidden="1"/>
    </xf>
    <xf numFmtId="0" fontId="11" fillId="9" borderId="7" xfId="0" applyFont="1" applyFill="1" applyBorder="1" applyProtection="1">
      <protection hidden="1"/>
    </xf>
    <xf numFmtId="0" fontId="3" fillId="9" borderId="7" xfId="0" applyFont="1" applyFill="1" applyBorder="1" applyAlignment="1" applyProtection="1">
      <alignment horizontal="right"/>
      <protection hidden="1"/>
    </xf>
    <xf numFmtId="3" fontId="3" fillId="9" borderId="7" xfId="0" applyNumberFormat="1" applyFont="1" applyFill="1" applyBorder="1" applyAlignment="1" applyProtection="1">
      <alignment horizontal="right"/>
      <protection hidden="1"/>
    </xf>
    <xf numFmtId="0" fontId="11" fillId="0" borderId="8" xfId="0" applyFont="1" applyFill="1" applyBorder="1" applyProtection="1">
      <protection hidden="1"/>
    </xf>
    <xf numFmtId="0" fontId="3" fillId="9" borderId="4" xfId="0" applyFont="1" applyFill="1" applyBorder="1" applyAlignment="1" applyProtection="1">
      <alignment horizontal="right"/>
      <protection hidden="1"/>
    </xf>
    <xf numFmtId="3" fontId="3" fillId="9" borderId="4" xfId="0" applyNumberFormat="1" applyFont="1" applyFill="1" applyBorder="1" applyAlignment="1" applyProtection="1">
      <alignment horizontal="right"/>
      <protection hidden="1"/>
    </xf>
    <xf numFmtId="0" fontId="2" fillId="9" borderId="0" xfId="0" applyFont="1" applyFill="1" applyBorder="1" applyProtection="1">
      <protection hidden="1"/>
    </xf>
    <xf numFmtId="0" fontId="10" fillId="9" borderId="0" xfId="0" applyFont="1" applyFill="1" applyBorder="1" applyAlignment="1" applyProtection="1">
      <alignment horizontal="right"/>
      <protection hidden="1"/>
    </xf>
    <xf numFmtId="3" fontId="3" fillId="9" borderId="0" xfId="0" applyNumberFormat="1" applyFont="1" applyFill="1" applyBorder="1" applyAlignment="1" applyProtection="1">
      <alignment horizontal="right"/>
      <protection hidden="1"/>
    </xf>
    <xf numFmtId="3" fontId="2" fillId="0" borderId="0" xfId="0" applyNumberFormat="1" applyFont="1" applyFill="1" applyAlignment="1" applyProtection="1">
      <alignment horizontal="right"/>
      <protection hidden="1"/>
    </xf>
    <xf numFmtId="0" fontId="5" fillId="0" borderId="7" xfId="0" quotePrefix="1" applyFont="1" applyFill="1" applyBorder="1" applyAlignment="1" applyProtection="1">
      <alignment horizontal="right"/>
      <protection hidden="1"/>
    </xf>
    <xf numFmtId="0" fontId="5" fillId="0" borderId="7" xfId="0" applyFont="1" applyFill="1" applyBorder="1" applyAlignment="1" applyProtection="1">
      <alignment horizontal="left"/>
      <protection hidden="1"/>
    </xf>
    <xf numFmtId="0" fontId="5" fillId="0" borderId="7" xfId="0" applyFont="1" applyFill="1" applyBorder="1" applyAlignment="1" applyProtection="1">
      <protection hidden="1"/>
    </xf>
    <xf numFmtId="3" fontId="5" fillId="0" borderId="7" xfId="0" applyNumberFormat="1" applyFont="1" applyFill="1" applyBorder="1" applyAlignment="1" applyProtection="1">
      <alignment horizontal="right"/>
      <protection hidden="1"/>
    </xf>
    <xf numFmtId="3" fontId="5" fillId="0" borderId="7" xfId="0" applyNumberFormat="1" applyFont="1" applyFill="1" applyBorder="1" applyAlignment="1" applyProtection="1">
      <protection hidden="1"/>
    </xf>
    <xf numFmtId="0" fontId="8" fillId="0" borderId="7" xfId="0" applyFont="1" applyFill="1" applyBorder="1" applyAlignment="1" applyProtection="1">
      <alignment horizontal="right"/>
      <protection hidden="1"/>
    </xf>
    <xf numFmtId="0" fontId="9" fillId="0" borderId="7" xfId="0" applyFont="1" applyFill="1" applyBorder="1" applyAlignment="1" applyProtection="1">
      <protection locked="0" hidden="1"/>
    </xf>
    <xf numFmtId="0" fontId="9" fillId="0" borderId="7" xfId="0" applyFont="1" applyFill="1" applyBorder="1" applyAlignment="1" applyProtection="1">
      <alignment horizontal="left"/>
      <protection locked="0" hidden="1"/>
    </xf>
    <xf numFmtId="3" fontId="8" fillId="0" borderId="7" xfId="0" applyNumberFormat="1" applyFont="1" applyFill="1" applyBorder="1" applyAlignment="1" applyProtection="1">
      <alignment horizontal="right"/>
      <protection hidden="1"/>
    </xf>
    <xf numFmtId="3" fontId="8" fillId="0" borderId="7" xfId="0" applyNumberFormat="1" applyFont="1" applyFill="1" applyBorder="1" applyAlignment="1" applyProtection="1">
      <protection hidden="1"/>
    </xf>
    <xf numFmtId="0" fontId="9" fillId="0" borderId="7" xfId="0" applyFont="1" applyFill="1" applyBorder="1" applyProtection="1">
      <protection hidden="1"/>
    </xf>
    <xf numFmtId="0" fontId="5" fillId="0" borderId="7" xfId="0" applyFont="1" applyFill="1" applyBorder="1" applyProtection="1">
      <protection hidden="1"/>
    </xf>
    <xf numFmtId="0" fontId="8" fillId="0" borderId="7" xfId="0" applyFont="1" applyFill="1" applyBorder="1" applyAlignment="1" applyProtection="1">
      <alignment horizontal="left"/>
      <protection hidden="1"/>
    </xf>
    <xf numFmtId="0" fontId="8" fillId="0" borderId="7" xfId="0" applyFont="1" applyFill="1" applyBorder="1" applyAlignment="1" applyProtection="1">
      <alignment horizontal="left"/>
      <protection locked="0" hidden="1"/>
    </xf>
    <xf numFmtId="0" fontId="8" fillId="0" borderId="7" xfId="0" applyFont="1" applyFill="1" applyBorder="1" applyProtection="1">
      <protection hidden="1"/>
    </xf>
    <xf numFmtId="0" fontId="2" fillId="9" borderId="7" xfId="0" applyFont="1" applyFill="1" applyBorder="1" applyAlignment="1" applyProtection="1">
      <protection hidden="1"/>
    </xf>
    <xf numFmtId="0" fontId="2" fillId="9" borderId="7" xfId="0" applyFont="1" applyFill="1" applyBorder="1" applyAlignment="1" applyProtection="1">
      <alignment horizontal="left"/>
      <protection hidden="1"/>
    </xf>
    <xf numFmtId="0" fontId="5" fillId="0" borderId="7" xfId="0" applyFont="1" applyFill="1" applyBorder="1" applyAlignment="1" applyProtection="1">
      <alignment horizontal="right"/>
      <protection hidden="1"/>
    </xf>
    <xf numFmtId="0" fontId="8" fillId="0" borderId="7" xfId="0" applyFont="1" applyFill="1" applyBorder="1" applyAlignment="1" applyProtection="1">
      <protection hidden="1"/>
    </xf>
    <xf numFmtId="0" fontId="8" fillId="9" borderId="7" xfId="0" applyFont="1" applyFill="1" applyBorder="1" applyAlignment="1" applyProtection="1">
      <alignment horizontal="right"/>
      <protection hidden="1"/>
    </xf>
    <xf numFmtId="0" fontId="2" fillId="0" borderId="7" xfId="0" applyFont="1" applyFill="1" applyBorder="1" applyAlignment="1" applyProtection="1">
      <alignment horizontal="left"/>
      <protection hidden="1"/>
    </xf>
    <xf numFmtId="0" fontId="8" fillId="0" borderId="7" xfId="0" quotePrefix="1" applyFont="1" applyFill="1" applyBorder="1" applyAlignment="1" applyProtection="1">
      <alignment horizontal="right"/>
      <protection hidden="1"/>
    </xf>
    <xf numFmtId="2" fontId="8" fillId="0" borderId="7" xfId="0" quotePrefix="1" applyNumberFormat="1" applyFont="1" applyFill="1" applyBorder="1" applyAlignment="1" applyProtection="1">
      <alignment horizontal="right"/>
      <protection hidden="1"/>
    </xf>
    <xf numFmtId="3" fontId="3" fillId="0" borderId="0" xfId="0" applyNumberFormat="1" applyFont="1" applyFill="1" applyAlignment="1" applyProtection="1">
      <alignment horizontal="right"/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3" fillId="0" borderId="0" xfId="0" applyFont="1" applyFill="1" applyAlignment="1" applyProtection="1">
      <alignment vertical="center"/>
      <protection hidden="1"/>
    </xf>
    <xf numFmtId="0" fontId="2" fillId="0" borderId="0" xfId="0" applyFont="1" applyFill="1" applyBorder="1" applyProtection="1">
      <protection hidden="1"/>
    </xf>
    <xf numFmtId="3" fontId="2" fillId="0" borderId="0" xfId="0" applyNumberFormat="1" applyFont="1" applyProtection="1">
      <protection hidden="1"/>
    </xf>
    <xf numFmtId="0" fontId="3" fillId="0" borderId="0" xfId="0" applyFont="1" applyAlignment="1" applyProtection="1">
      <alignment wrapText="1"/>
      <protection hidden="1"/>
    </xf>
    <xf numFmtId="0" fontId="3" fillId="0" borderId="0" xfId="0" applyFont="1" applyAlignment="1" applyProtection="1">
      <alignment horizontal="center"/>
      <protection hidden="1"/>
    </xf>
    <xf numFmtId="3" fontId="2" fillId="0" borderId="0" xfId="0" applyNumberFormat="1" applyFont="1" applyFill="1" applyProtection="1">
      <protection hidden="1"/>
    </xf>
    <xf numFmtId="0" fontId="5" fillId="0" borderId="11" xfId="0" applyFont="1" applyFill="1" applyBorder="1" applyProtection="1">
      <protection hidden="1"/>
    </xf>
    <xf numFmtId="0" fontId="5" fillId="0" borderId="5" xfId="0" applyFont="1" applyFill="1" applyBorder="1" applyAlignment="1" applyProtection="1">
      <alignment horizontal="left"/>
      <protection hidden="1"/>
    </xf>
    <xf numFmtId="0" fontId="5" fillId="0" borderId="5" xfId="0" applyFont="1" applyFill="1" applyBorder="1" applyProtection="1">
      <protection hidden="1"/>
    </xf>
    <xf numFmtId="2" fontId="2" fillId="9" borderId="5" xfId="0" applyNumberFormat="1" applyFont="1" applyFill="1" applyBorder="1" applyProtection="1">
      <protection hidden="1"/>
    </xf>
    <xf numFmtId="0" fontId="8" fillId="0" borderId="5" xfId="0" applyFont="1" applyFill="1" applyBorder="1" applyProtection="1">
      <protection hidden="1"/>
    </xf>
    <xf numFmtId="0" fontId="2" fillId="9" borderId="5" xfId="0" applyFont="1" applyFill="1" applyBorder="1" applyProtection="1">
      <protection hidden="1"/>
    </xf>
    <xf numFmtId="0" fontId="5" fillId="0" borderId="13" xfId="0" applyFont="1" applyFill="1" applyBorder="1" applyAlignment="1" applyProtection="1">
      <alignment horizontal="left"/>
      <protection hidden="1"/>
    </xf>
    <xf numFmtId="0" fontId="5" fillId="0" borderId="11" xfId="0" applyFont="1" applyFill="1" applyBorder="1" applyAlignment="1" applyProtection="1">
      <alignment horizontal="left"/>
      <protection hidden="1"/>
    </xf>
    <xf numFmtId="0" fontId="24" fillId="0" borderId="11" xfId="0" applyFont="1" applyFill="1" applyBorder="1" applyAlignment="1" applyProtection="1">
      <alignment horizontal="left"/>
      <protection hidden="1"/>
    </xf>
    <xf numFmtId="0" fontId="8" fillId="0" borderId="11" xfId="0" applyFont="1" applyFill="1" applyBorder="1" applyAlignment="1" applyProtection="1">
      <alignment horizontal="left"/>
      <protection hidden="1"/>
    </xf>
    <xf numFmtId="0" fontId="3" fillId="10" borderId="4" xfId="0" applyFont="1" applyFill="1" applyBorder="1" applyProtection="1">
      <protection hidden="1"/>
    </xf>
    <xf numFmtId="0" fontId="3" fillId="10" borderId="4" xfId="0" applyFont="1" applyFill="1" applyBorder="1" applyAlignment="1" applyProtection="1">
      <protection hidden="1"/>
    </xf>
    <xf numFmtId="0" fontId="3" fillId="10" borderId="4" xfId="0" applyFont="1" applyFill="1" applyBorder="1" applyAlignment="1" applyProtection="1">
      <alignment horizontal="left"/>
      <protection hidden="1"/>
    </xf>
    <xf numFmtId="3" fontId="4" fillId="10" borderId="4" xfId="0" applyNumberFormat="1" applyFont="1" applyFill="1" applyBorder="1" applyAlignment="1" applyProtection="1">
      <alignment horizontal="right"/>
      <protection hidden="1"/>
    </xf>
    <xf numFmtId="3" fontId="4" fillId="10" borderId="4" xfId="0" applyNumberFormat="1" applyFont="1" applyFill="1" applyBorder="1" applyAlignment="1" applyProtection="1">
      <protection hidden="1"/>
    </xf>
    <xf numFmtId="0" fontId="3" fillId="10" borderId="1" xfId="0" applyFont="1" applyFill="1" applyBorder="1" applyAlignment="1" applyProtection="1">
      <alignment horizontal="left"/>
      <protection hidden="1"/>
    </xf>
    <xf numFmtId="0" fontId="3" fillId="10" borderId="3" xfId="0" applyFont="1" applyFill="1" applyBorder="1" applyAlignment="1" applyProtection="1">
      <alignment horizontal="left"/>
      <protection hidden="1"/>
    </xf>
    <xf numFmtId="3" fontId="5" fillId="10" borderId="4" xfId="0" applyNumberFormat="1" applyFont="1" applyFill="1" applyBorder="1" applyAlignment="1" applyProtection="1">
      <alignment horizontal="right"/>
      <protection hidden="1"/>
    </xf>
    <xf numFmtId="3" fontId="5" fillId="10" borderId="4" xfId="0" applyNumberFormat="1" applyFont="1" applyFill="1" applyBorder="1" applyAlignment="1" applyProtection="1">
      <protection hidden="1"/>
    </xf>
    <xf numFmtId="0" fontId="3" fillId="10" borderId="1" xfId="0" applyFont="1" applyFill="1" applyBorder="1" applyProtection="1">
      <protection hidden="1"/>
    </xf>
    <xf numFmtId="0" fontId="3" fillId="10" borderId="3" xfId="0" applyFont="1" applyFill="1" applyBorder="1" applyProtection="1">
      <protection hidden="1"/>
    </xf>
    <xf numFmtId="0" fontId="8" fillId="10" borderId="4" xfId="0" applyFont="1" applyFill="1" applyBorder="1" applyAlignment="1" applyProtection="1">
      <alignment horizontal="right"/>
      <protection hidden="1"/>
    </xf>
    <xf numFmtId="0" fontId="3" fillId="10" borderId="4" xfId="0" applyFont="1" applyFill="1" applyBorder="1" applyAlignment="1" applyProtection="1">
      <alignment horizontal="right"/>
      <protection hidden="1"/>
    </xf>
    <xf numFmtId="0" fontId="2" fillId="10" borderId="4" xfId="0" applyFont="1" applyFill="1" applyBorder="1" applyAlignment="1" applyProtection="1">
      <alignment horizontal="left"/>
      <protection hidden="1"/>
    </xf>
    <xf numFmtId="3" fontId="2" fillId="10" borderId="4" xfId="0" applyNumberFormat="1" applyFont="1" applyFill="1" applyBorder="1" applyAlignment="1" applyProtection="1">
      <alignment horizontal="right"/>
      <protection hidden="1"/>
    </xf>
    <xf numFmtId="0" fontId="3" fillId="10" borderId="2" xfId="0" applyFont="1" applyFill="1" applyBorder="1" applyAlignment="1" applyProtection="1">
      <alignment horizontal="right"/>
      <protection hidden="1"/>
    </xf>
    <xf numFmtId="0" fontId="3" fillId="10" borderId="4" xfId="0" quotePrefix="1" applyFont="1" applyFill="1" applyBorder="1" applyAlignment="1" applyProtection="1">
      <alignment horizontal="left"/>
      <protection hidden="1"/>
    </xf>
    <xf numFmtId="0" fontId="3" fillId="10" borderId="3" xfId="0" applyFont="1" applyFill="1" applyBorder="1" applyAlignment="1" applyProtection="1">
      <alignment horizontal="right"/>
      <protection hidden="1"/>
    </xf>
    <xf numFmtId="3" fontId="17" fillId="10" borderId="4" xfId="0" applyNumberFormat="1" applyFont="1" applyFill="1" applyBorder="1" applyAlignment="1" applyProtection="1">
      <alignment horizontal="right"/>
      <protection hidden="1"/>
    </xf>
    <xf numFmtId="3" fontId="17" fillId="10" borderId="4" xfId="0" applyNumberFormat="1" applyFont="1" applyFill="1" applyBorder="1" applyAlignment="1" applyProtection="1">
      <protection hidden="1"/>
    </xf>
    <xf numFmtId="3" fontId="16" fillId="10" borderId="4" xfId="0" quotePrefix="1" applyNumberFormat="1" applyFont="1" applyFill="1" applyBorder="1" applyAlignment="1" applyProtection="1">
      <alignment horizontal="left"/>
      <protection hidden="1"/>
    </xf>
    <xf numFmtId="0" fontId="5" fillId="0" borderId="7" xfId="0" applyFont="1" applyFill="1" applyBorder="1" applyAlignment="1" applyProtection="1">
      <alignment horizontal="center"/>
      <protection hidden="1"/>
    </xf>
    <xf numFmtId="3" fontId="5" fillId="0" borderId="7" xfId="0" applyNumberFormat="1" applyFont="1" applyFill="1" applyBorder="1" applyAlignment="1" applyProtection="1">
      <alignment horizontal="center"/>
      <protection hidden="1"/>
    </xf>
    <xf numFmtId="0" fontId="8" fillId="0" borderId="7" xfId="0" applyFont="1" applyFill="1" applyBorder="1" applyAlignment="1" applyProtection="1">
      <alignment horizontal="right"/>
      <protection locked="0" hidden="1"/>
    </xf>
    <xf numFmtId="0" fontId="14" fillId="0" borderId="7" xfId="0" applyFont="1" applyFill="1" applyBorder="1" applyProtection="1">
      <protection hidden="1"/>
    </xf>
    <xf numFmtId="0" fontId="14" fillId="0" borderId="7" xfId="0" applyFont="1" applyFill="1" applyBorder="1" applyAlignment="1" applyProtection="1">
      <alignment horizontal="right"/>
      <protection locked="0" hidden="1"/>
    </xf>
    <xf numFmtId="3" fontId="14" fillId="0" borderId="7" xfId="0" applyNumberFormat="1" applyFont="1" applyFill="1" applyBorder="1" applyAlignment="1" applyProtection="1">
      <alignment horizontal="right"/>
      <protection hidden="1"/>
    </xf>
    <xf numFmtId="0" fontId="14" fillId="0" borderId="11" xfId="0" applyFont="1" applyFill="1" applyBorder="1" applyAlignment="1" applyProtection="1">
      <alignment horizontal="left"/>
      <protection hidden="1"/>
    </xf>
    <xf numFmtId="3" fontId="3" fillId="10" borderId="4" xfId="0" applyNumberFormat="1" applyFont="1" applyFill="1" applyBorder="1" applyAlignment="1" applyProtection="1">
      <alignment horizontal="right"/>
      <protection hidden="1"/>
    </xf>
    <xf numFmtId="1" fontId="5" fillId="0" borderId="7" xfId="0" applyNumberFormat="1" applyFont="1" applyFill="1" applyBorder="1" applyAlignment="1" applyProtection="1">
      <alignment horizontal="center"/>
      <protection hidden="1"/>
    </xf>
    <xf numFmtId="0" fontId="14" fillId="0" borderId="7" xfId="0" applyFont="1" applyFill="1" applyBorder="1" applyAlignment="1" applyProtection="1">
      <alignment horizontal="left"/>
      <protection locked="0" hidden="1"/>
    </xf>
    <xf numFmtId="1" fontId="12" fillId="0" borderId="7" xfId="0" applyNumberFormat="1" applyFont="1" applyFill="1" applyBorder="1" applyAlignment="1" applyProtection="1">
      <alignment horizontal="right"/>
      <protection hidden="1"/>
    </xf>
    <xf numFmtId="0" fontId="14" fillId="0" borderId="7" xfId="0" applyFont="1" applyFill="1" applyBorder="1" applyAlignment="1" applyProtection="1">
      <alignment horizontal="right"/>
      <protection hidden="1"/>
    </xf>
    <xf numFmtId="0" fontId="5" fillId="0" borderId="2" xfId="0" applyFont="1" applyFill="1" applyBorder="1" applyAlignment="1" applyProtection="1">
      <alignment horizontal="center" wrapText="1"/>
      <protection hidden="1"/>
    </xf>
    <xf numFmtId="0" fontId="16" fillId="10" borderId="4" xfId="0" quotePrefix="1" applyFont="1" applyFill="1" applyBorder="1" applyAlignment="1" applyProtection="1">
      <alignment horizontal="left"/>
      <protection hidden="1"/>
    </xf>
    <xf numFmtId="0" fontId="16" fillId="10" borderId="4" xfId="0" applyFont="1" applyFill="1" applyBorder="1" applyAlignment="1" applyProtection="1">
      <protection hidden="1"/>
    </xf>
    <xf numFmtId="0" fontId="16" fillId="10" borderId="4" xfId="0" applyFont="1" applyFill="1" applyBorder="1" applyAlignment="1" applyProtection="1">
      <alignment horizontal="left"/>
      <protection hidden="1"/>
    </xf>
    <xf numFmtId="1" fontId="17" fillId="10" borderId="4" xfId="0" applyNumberFormat="1" applyFont="1" applyFill="1" applyBorder="1" applyAlignment="1" applyProtection="1">
      <protection hidden="1"/>
    </xf>
    <xf numFmtId="1" fontId="16" fillId="10" borderId="4" xfId="0" quotePrefix="1" applyNumberFormat="1" applyFont="1" applyFill="1" applyBorder="1" applyAlignment="1" applyProtection="1">
      <alignment horizontal="left"/>
      <protection hidden="1"/>
    </xf>
    <xf numFmtId="1" fontId="3" fillId="10" borderId="4" xfId="0" applyNumberFormat="1" applyFont="1" applyFill="1" applyBorder="1" applyAlignment="1" applyProtection="1">
      <alignment horizontal="right"/>
      <protection hidden="1"/>
    </xf>
    <xf numFmtId="0" fontId="16" fillId="10" borderId="3" xfId="0" applyFont="1" applyFill="1" applyBorder="1" applyProtection="1">
      <protection hidden="1"/>
    </xf>
    <xf numFmtId="0" fontId="16" fillId="10" borderId="1" xfId="0" applyFont="1" applyFill="1" applyBorder="1" applyProtection="1">
      <protection hidden="1"/>
    </xf>
    <xf numFmtId="0" fontId="14" fillId="0" borderId="11" xfId="0" applyFont="1" applyFill="1" applyBorder="1" applyProtection="1">
      <protection hidden="1"/>
    </xf>
    <xf numFmtId="3" fontId="7" fillId="10" borderId="0" xfId="0" applyNumberFormat="1" applyFont="1" applyFill="1" applyBorder="1" applyAlignment="1" applyProtection="1">
      <alignment horizontal="right"/>
      <protection hidden="1"/>
    </xf>
    <xf numFmtId="3" fontId="7" fillId="10" borderId="0" xfId="0" applyNumberFormat="1" applyFont="1" applyFill="1" applyBorder="1" applyAlignment="1" applyProtection="1">
      <alignment horizontal="right" wrapText="1"/>
      <protection hidden="1"/>
    </xf>
    <xf numFmtId="3" fontId="2" fillId="10" borderId="0" xfId="0" applyNumberFormat="1" applyFont="1" applyFill="1" applyAlignment="1" applyProtection="1">
      <alignment horizontal="right"/>
      <protection hidden="1"/>
    </xf>
    <xf numFmtId="3" fontId="5" fillId="10" borderId="0" xfId="0" applyNumberFormat="1" applyFont="1" applyFill="1" applyBorder="1" applyAlignment="1" applyProtection="1">
      <alignment horizontal="right"/>
      <protection hidden="1"/>
    </xf>
    <xf numFmtId="3" fontId="3" fillId="11" borderId="0" xfId="0" applyNumberFormat="1" applyFont="1" applyFill="1" applyBorder="1" applyAlignment="1" applyProtection="1">
      <alignment horizontal="right"/>
      <protection hidden="1"/>
    </xf>
    <xf numFmtId="3" fontId="3" fillId="11" borderId="4" xfId="0" applyNumberFormat="1" applyFont="1" applyFill="1" applyBorder="1" applyAlignment="1" applyProtection="1">
      <alignment horizontal="right"/>
      <protection hidden="1"/>
    </xf>
    <xf numFmtId="3" fontId="5" fillId="11" borderId="2" xfId="0" applyNumberFormat="1" applyFont="1" applyFill="1" applyBorder="1" applyAlignment="1" applyProtection="1">
      <alignment horizontal="right" wrapText="1"/>
      <protection hidden="1"/>
    </xf>
    <xf numFmtId="0" fontId="3" fillId="10" borderId="0" xfId="0" applyFont="1" applyFill="1" applyProtection="1">
      <protection hidden="1"/>
    </xf>
    <xf numFmtId="0" fontId="27" fillId="0" borderId="9" xfId="0" applyFont="1" applyFill="1" applyBorder="1" applyAlignment="1" applyProtection="1">
      <alignment vertical="center"/>
      <protection hidden="1"/>
    </xf>
    <xf numFmtId="0" fontId="20" fillId="0" borderId="0" xfId="4"/>
    <xf numFmtId="0" fontId="20" fillId="0" borderId="0" xfId="4" applyAlignment="1">
      <alignment horizontal="right"/>
    </xf>
    <xf numFmtId="0" fontId="20" fillId="0" borderId="0" xfId="4" applyAlignment="1">
      <alignment vertical="top"/>
    </xf>
    <xf numFmtId="0" fontId="20" fillId="0" borderId="0" xfId="4" applyAlignment="1">
      <alignment vertical="center"/>
    </xf>
    <xf numFmtId="0" fontId="32" fillId="0" borderId="9" xfId="0" applyFont="1" applyFill="1" applyBorder="1" applyAlignment="1" applyProtection="1">
      <alignment vertical="center"/>
      <protection hidden="1"/>
    </xf>
    <xf numFmtId="0" fontId="11" fillId="10" borderId="4" xfId="0" applyFont="1" applyFill="1" applyBorder="1" applyProtection="1">
      <protection hidden="1"/>
    </xf>
    <xf numFmtId="0" fontId="2" fillId="0" borderId="9" xfId="0" applyFont="1" applyFill="1" applyBorder="1" applyProtection="1">
      <protection hidden="1"/>
    </xf>
    <xf numFmtId="3" fontId="28" fillId="0" borderId="9" xfId="0" applyNumberFormat="1" applyFont="1" applyFill="1" applyBorder="1" applyAlignment="1" applyProtection="1">
      <alignment horizontal="right" vertical="center" wrapText="1"/>
      <protection hidden="1"/>
    </xf>
    <xf numFmtId="0" fontId="30" fillId="0" borderId="9" xfId="0" applyFont="1" applyFill="1" applyBorder="1" applyProtection="1">
      <protection hidden="1"/>
    </xf>
    <xf numFmtId="0" fontId="27" fillId="0" borderId="0" xfId="0" applyFont="1" applyFill="1" applyBorder="1" applyAlignment="1" applyProtection="1">
      <alignment vertical="center"/>
      <protection hidden="1"/>
    </xf>
    <xf numFmtId="3" fontId="28" fillId="0" borderId="0" xfId="0" applyNumberFormat="1" applyFont="1" applyFill="1" applyBorder="1" applyAlignment="1" applyProtection="1">
      <alignment horizontal="right" vertical="center" wrapText="1"/>
      <protection hidden="1"/>
    </xf>
    <xf numFmtId="3" fontId="2" fillId="0" borderId="9" xfId="0" applyNumberFormat="1" applyFont="1" applyFill="1" applyBorder="1" applyAlignment="1" applyProtection="1">
      <alignment horizontal="right"/>
      <protection hidden="1"/>
    </xf>
    <xf numFmtId="3" fontId="2" fillId="0" borderId="2" xfId="0" applyNumberFormat="1" applyFont="1" applyFill="1" applyBorder="1" applyAlignment="1" applyProtection="1">
      <alignment horizontal="right"/>
      <protection hidden="1"/>
    </xf>
    <xf numFmtId="0" fontId="33" fillId="0" borderId="9" xfId="3" applyFont="1" applyBorder="1"/>
    <xf numFmtId="0" fontId="34" fillId="0" borderId="9" xfId="3" applyFont="1" applyBorder="1"/>
    <xf numFmtId="0" fontId="33" fillId="0" borderId="9" xfId="3" applyFont="1" applyBorder="1" applyAlignment="1">
      <alignment horizontal="left"/>
    </xf>
    <xf numFmtId="0" fontId="34" fillId="0" borderId="9" xfId="4" applyFont="1" applyBorder="1"/>
    <xf numFmtId="0" fontId="33" fillId="0" borderId="9" xfId="3" applyFont="1" applyBorder="1" applyAlignment="1">
      <alignment horizontal="right"/>
    </xf>
    <xf numFmtId="3" fontId="3" fillId="0" borderId="9" xfId="0" applyNumberFormat="1" applyFont="1" applyFill="1" applyBorder="1" applyAlignment="1" applyProtection="1">
      <alignment horizontal="right" wrapText="1"/>
      <protection hidden="1"/>
    </xf>
    <xf numFmtId="3" fontId="3" fillId="0" borderId="9" xfId="0" applyNumberFormat="1" applyFont="1" applyFill="1" applyBorder="1" applyAlignment="1" applyProtection="1">
      <alignment horizontal="center" wrapText="1"/>
      <protection hidden="1"/>
    </xf>
    <xf numFmtId="3" fontId="3" fillId="11" borderId="9" xfId="0" applyNumberFormat="1" applyFont="1" applyFill="1" applyBorder="1" applyAlignment="1" applyProtection="1">
      <alignment horizontal="right" wrapText="1"/>
      <protection hidden="1"/>
    </xf>
    <xf numFmtId="0" fontId="3" fillId="0" borderId="9" xfId="0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3" fontId="32" fillId="0" borderId="9" xfId="0" applyNumberFormat="1" applyFont="1" applyFill="1" applyBorder="1" applyAlignment="1" applyProtection="1">
      <alignment horizontal="right" vertical="center" wrapText="1"/>
      <protection hidden="1"/>
    </xf>
    <xf numFmtId="0" fontId="31" fillId="0" borderId="9" xfId="0" applyFont="1" applyFill="1" applyBorder="1" applyProtection="1">
      <protection hidden="1"/>
    </xf>
    <xf numFmtId="3" fontId="32" fillId="0" borderId="9" xfId="0" applyNumberFormat="1" applyFont="1" applyFill="1" applyBorder="1" applyAlignment="1" applyProtection="1">
      <alignment horizontal="left" vertical="center" wrapText="1"/>
      <protection hidden="1"/>
    </xf>
    <xf numFmtId="3" fontId="27" fillId="0" borderId="9" xfId="0" applyNumberFormat="1" applyFont="1" applyFill="1" applyBorder="1" applyAlignment="1" applyProtection="1">
      <alignment horizontal="right" vertical="center" wrapText="1"/>
      <protection hidden="1"/>
    </xf>
    <xf numFmtId="0" fontId="33" fillId="0" borderId="9" xfId="0" applyFont="1" applyFill="1" applyBorder="1" applyProtection="1">
      <protection hidden="1"/>
    </xf>
    <xf numFmtId="3" fontId="27" fillId="0" borderId="9" xfId="0" applyNumberFormat="1" applyFont="1" applyFill="1" applyBorder="1" applyAlignment="1" applyProtection="1">
      <alignment horizontal="left" vertical="center" wrapText="1"/>
      <protection hidden="1"/>
    </xf>
    <xf numFmtId="0" fontId="27" fillId="10" borderId="2" xfId="0" applyFont="1" applyFill="1" applyBorder="1" applyAlignment="1" applyProtection="1">
      <alignment vertical="center"/>
      <protection hidden="1"/>
    </xf>
    <xf numFmtId="3" fontId="28" fillId="10" borderId="2" xfId="0" applyNumberFormat="1" applyFont="1" applyFill="1" applyBorder="1" applyAlignment="1" applyProtection="1">
      <alignment horizontal="right" vertical="center" wrapText="1"/>
      <protection hidden="1"/>
    </xf>
    <xf numFmtId="3" fontId="27" fillId="10" borderId="3" xfId="0" applyNumberFormat="1" applyFont="1" applyFill="1" applyBorder="1" applyAlignment="1" applyProtection="1">
      <alignment horizontal="left" vertical="center" wrapText="1"/>
      <protection hidden="1"/>
    </xf>
    <xf numFmtId="3" fontId="29" fillId="0" borderId="2" xfId="0" applyNumberFormat="1" applyFont="1" applyFill="1" applyBorder="1" applyAlignment="1" applyProtection="1">
      <alignment horizontal="right" vertical="center" wrapText="1"/>
      <protection hidden="1"/>
    </xf>
    <xf numFmtId="0" fontId="30" fillId="0" borderId="2" xfId="0" applyFont="1" applyFill="1" applyBorder="1" applyProtection="1">
      <protection hidden="1"/>
    </xf>
    <xf numFmtId="3" fontId="29" fillId="0" borderId="2" xfId="0" applyNumberFormat="1" applyFont="1" applyFill="1" applyBorder="1" applyAlignment="1" applyProtection="1">
      <alignment horizontal="left" vertical="center" wrapText="1"/>
      <protection hidden="1"/>
    </xf>
    <xf numFmtId="0" fontId="27" fillId="0" borderId="2" xfId="0" applyFont="1" applyFill="1" applyBorder="1" applyAlignment="1" applyProtection="1">
      <alignment horizontal="right" vertical="center"/>
      <protection hidden="1"/>
    </xf>
    <xf numFmtId="0" fontId="27" fillId="0" borderId="2" xfId="0" applyFont="1" applyFill="1" applyBorder="1" applyAlignment="1" applyProtection="1">
      <alignment vertical="center"/>
      <protection hidden="1"/>
    </xf>
    <xf numFmtId="0" fontId="32" fillId="0" borderId="9" xfId="0" applyFont="1" applyFill="1" applyBorder="1" applyAlignment="1" applyProtection="1">
      <alignment horizontal="right" vertical="center"/>
      <protection hidden="1"/>
    </xf>
    <xf numFmtId="0" fontId="32" fillId="0" borderId="9" xfId="0" applyFont="1" applyFill="1" applyBorder="1" applyAlignment="1" applyProtection="1">
      <alignment horizontal="left" vertical="center"/>
      <protection hidden="1"/>
    </xf>
    <xf numFmtId="3" fontId="31" fillId="0" borderId="9" xfId="0" applyNumberFormat="1" applyFont="1" applyFill="1" applyBorder="1" applyAlignment="1" applyProtection="1">
      <alignment horizontal="right"/>
      <protection hidden="1"/>
    </xf>
    <xf numFmtId="0" fontId="32" fillId="0" borderId="9" xfId="0" applyFont="1" applyFill="1" applyBorder="1" applyAlignment="1" applyProtection="1">
      <alignment horizontal="center" vertical="center"/>
      <protection hidden="1"/>
    </xf>
    <xf numFmtId="3" fontId="32" fillId="0" borderId="9" xfId="0" applyNumberFormat="1" applyFont="1" applyFill="1" applyBorder="1" applyAlignment="1" applyProtection="1">
      <alignment vertical="center" wrapText="1"/>
      <protection hidden="1"/>
    </xf>
    <xf numFmtId="0" fontId="33" fillId="0" borderId="9" xfId="0" applyFont="1" applyFill="1" applyBorder="1" applyAlignment="1" applyProtection="1">
      <alignment horizontal="left" vertical="center"/>
      <protection hidden="1"/>
    </xf>
    <xf numFmtId="0" fontId="27" fillId="0" borderId="9" xfId="0" applyFont="1" applyFill="1" applyBorder="1" applyAlignment="1" applyProtection="1">
      <alignment horizontal="center" vertical="center"/>
      <protection hidden="1"/>
    </xf>
    <xf numFmtId="3" fontId="11" fillId="0" borderId="0" xfId="0" applyNumberFormat="1" applyFont="1" applyFill="1" applyBorder="1" applyAlignment="1" applyProtection="1">
      <alignment horizontal="center"/>
      <protection hidden="1"/>
    </xf>
    <xf numFmtId="0" fontId="12" fillId="0" borderId="7" xfId="0" applyFont="1" applyFill="1" applyBorder="1" applyAlignment="1" applyProtection="1">
      <alignment horizontal="left"/>
      <protection hidden="1"/>
    </xf>
    <xf numFmtId="3" fontId="12" fillId="0" borderId="7" xfId="0" applyNumberFormat="1" applyFont="1" applyFill="1" applyBorder="1" applyAlignment="1" applyProtection="1">
      <alignment horizontal="right"/>
      <protection hidden="1"/>
    </xf>
    <xf numFmtId="0" fontId="12" fillId="0" borderId="7" xfId="0" applyFont="1" applyFill="1" applyBorder="1" applyProtection="1">
      <protection hidden="1"/>
    </xf>
    <xf numFmtId="0" fontId="12" fillId="0" borderId="5" xfId="0" applyFont="1" applyFill="1" applyBorder="1" applyAlignment="1" applyProtection="1">
      <alignment horizontal="left"/>
      <protection hidden="1"/>
    </xf>
    <xf numFmtId="0" fontId="12" fillId="0" borderId="5" xfId="0" applyFont="1" applyFill="1" applyBorder="1" applyProtection="1">
      <protection hidden="1"/>
    </xf>
    <xf numFmtId="0" fontId="5" fillId="0" borderId="1" xfId="0" applyFont="1" applyBorder="1" applyProtection="1">
      <protection hidden="1"/>
    </xf>
    <xf numFmtId="0" fontId="11" fillId="10" borderId="3" xfId="0" applyFont="1" applyFill="1" applyBorder="1" applyProtection="1">
      <protection hidden="1"/>
    </xf>
    <xf numFmtId="0" fontId="35" fillId="0" borderId="7" xfId="0" applyFont="1" applyFill="1" applyBorder="1" applyProtection="1">
      <protection hidden="1"/>
    </xf>
    <xf numFmtId="0" fontId="35" fillId="0" borderId="11" xfId="0" applyFont="1" applyFill="1" applyBorder="1" applyAlignment="1" applyProtection="1">
      <alignment horizontal="left"/>
      <protection hidden="1"/>
    </xf>
    <xf numFmtId="0" fontId="35" fillId="0" borderId="0" xfId="0" applyFont="1" applyFill="1" applyProtection="1">
      <protection hidden="1"/>
    </xf>
    <xf numFmtId="0" fontId="35" fillId="0" borderId="7" xfId="0" applyFont="1" applyFill="1" applyBorder="1" applyAlignment="1" applyProtection="1">
      <alignment horizontal="right"/>
      <protection locked="0" hidden="1"/>
    </xf>
    <xf numFmtId="0" fontId="35" fillId="4" borderId="0" xfId="0" applyFont="1" applyFill="1" applyProtection="1">
      <protection hidden="1"/>
    </xf>
    <xf numFmtId="0" fontId="36" fillId="0" borderId="7" xfId="0" applyFont="1" applyFill="1" applyBorder="1" applyProtection="1">
      <protection hidden="1"/>
    </xf>
    <xf numFmtId="0" fontId="36" fillId="0" borderId="11" xfId="0" applyFont="1" applyFill="1" applyBorder="1" applyAlignment="1" applyProtection="1">
      <alignment horizontal="left"/>
      <protection hidden="1"/>
    </xf>
    <xf numFmtId="0" fontId="36" fillId="0" borderId="0" xfId="0" applyFont="1" applyFill="1" applyProtection="1">
      <protection hidden="1"/>
    </xf>
    <xf numFmtId="0" fontId="36" fillId="0" borderId="7" xfId="0" applyFont="1" applyFill="1" applyBorder="1" applyAlignment="1" applyProtection="1">
      <alignment horizontal="right"/>
      <protection locked="0" hidden="1"/>
    </xf>
    <xf numFmtId="0" fontId="36" fillId="4" borderId="0" xfId="0" applyFont="1" applyFill="1" applyProtection="1">
      <protection hidden="1"/>
    </xf>
    <xf numFmtId="1" fontId="22" fillId="6" borderId="4" xfId="0" applyNumberFormat="1" applyFont="1" applyFill="1" applyBorder="1" applyAlignment="1" applyProtection="1">
      <alignment horizontal="right"/>
      <protection locked="0" hidden="1"/>
    </xf>
    <xf numFmtId="1" fontId="23" fillId="8" borderId="10" xfId="0" applyNumberFormat="1" applyFont="1" applyFill="1" applyBorder="1" applyAlignment="1" applyProtection="1">
      <alignment horizontal="right"/>
      <protection hidden="1"/>
    </xf>
    <xf numFmtId="0" fontId="5" fillId="0" borderId="0" xfId="0" applyFont="1" applyFill="1" applyBorder="1" applyAlignment="1" applyProtection="1">
      <alignment horizontal="left"/>
      <protection hidden="1"/>
    </xf>
    <xf numFmtId="2" fontId="2" fillId="0" borderId="0" xfId="0" applyNumberFormat="1" applyFont="1" applyFill="1" applyAlignment="1" applyProtection="1">
      <alignment horizontal="right"/>
      <protection hidden="1"/>
    </xf>
    <xf numFmtId="2" fontId="2" fillId="0" borderId="0" xfId="0" applyNumberFormat="1" applyFont="1" applyFill="1" applyProtection="1">
      <protection hidden="1"/>
    </xf>
    <xf numFmtId="2" fontId="3" fillId="0" borderId="0" xfId="0" applyNumberFormat="1" applyFont="1" applyFill="1" applyAlignment="1" applyProtection="1">
      <alignment horizontal="right"/>
      <protection hidden="1"/>
    </xf>
    <xf numFmtId="2" fontId="3" fillId="0" borderId="0" xfId="0" applyNumberFormat="1" applyFont="1" applyFill="1" applyBorder="1" applyAlignment="1" applyProtection="1">
      <alignment horizontal="right"/>
      <protection hidden="1"/>
    </xf>
    <xf numFmtId="2" fontId="3" fillId="0" borderId="4" xfId="0" applyNumberFormat="1" applyFont="1" applyFill="1" applyBorder="1" applyAlignment="1" applyProtection="1">
      <alignment horizontal="right"/>
      <protection hidden="1"/>
    </xf>
    <xf numFmtId="2" fontId="2" fillId="0" borderId="0" xfId="0" applyNumberFormat="1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 applyProtection="1">
      <alignment horizontal="right"/>
      <protection hidden="1"/>
    </xf>
    <xf numFmtId="0" fontId="2" fillId="0" borderId="0" xfId="0" applyFont="1" applyFill="1" applyBorder="1" applyAlignment="1" applyProtection="1">
      <alignment horizontal="right"/>
      <protection hidden="1"/>
    </xf>
    <xf numFmtId="3" fontId="33" fillId="10" borderId="2" xfId="0" applyNumberFormat="1" applyFont="1" applyFill="1" applyBorder="1" applyAlignment="1" applyProtection="1">
      <alignment horizontal="right" vertical="center"/>
      <protection hidden="1"/>
    </xf>
    <xf numFmtId="2" fontId="7" fillId="0" borderId="0" xfId="0" applyNumberFormat="1" applyFont="1" applyFill="1" applyBorder="1" applyAlignment="1" applyProtection="1">
      <alignment horizontal="right"/>
      <protection hidden="1"/>
    </xf>
    <xf numFmtId="2" fontId="7" fillId="0" borderId="0" xfId="0" applyNumberFormat="1" applyFont="1" applyFill="1" applyAlignment="1" applyProtection="1">
      <alignment horizontal="right"/>
      <protection hidden="1"/>
    </xf>
    <xf numFmtId="2" fontId="5" fillId="0" borderId="0" xfId="0" applyNumberFormat="1" applyFont="1" applyFill="1" applyBorder="1" applyAlignment="1" applyProtection="1">
      <alignment horizontal="right"/>
      <protection hidden="1"/>
    </xf>
    <xf numFmtId="2" fontId="3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11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3" fontId="7" fillId="10" borderId="7" xfId="0" applyNumberFormat="1" applyFont="1" applyFill="1" applyBorder="1" applyAlignment="1" applyProtection="1">
      <alignment horizontal="right"/>
      <protection hidden="1"/>
    </xf>
    <xf numFmtId="3" fontId="5" fillId="0" borderId="2" xfId="0" applyNumberFormat="1" applyFont="1" applyFill="1" applyBorder="1" applyAlignment="1" applyProtection="1">
      <alignment horizontal="center" wrapText="1"/>
      <protection hidden="1"/>
    </xf>
    <xf numFmtId="9" fontId="7" fillId="0" borderId="0" xfId="0" applyNumberFormat="1" applyFont="1" applyFill="1" applyBorder="1" applyAlignment="1" applyProtection="1">
      <alignment horizontal="right"/>
      <protection hidden="1"/>
    </xf>
    <xf numFmtId="9" fontId="3" fillId="0" borderId="4" xfId="0" applyNumberFormat="1" applyFont="1" applyFill="1" applyBorder="1" applyAlignment="1" applyProtection="1">
      <alignment horizontal="right"/>
      <protection hidden="1"/>
    </xf>
    <xf numFmtId="3" fontId="3" fillId="0" borderId="0" xfId="0" applyNumberFormat="1" applyFont="1" applyProtection="1">
      <protection hidden="1"/>
    </xf>
    <xf numFmtId="3" fontId="3" fillId="13" borderId="4" xfId="0" applyNumberFormat="1" applyFont="1" applyFill="1" applyBorder="1" applyAlignment="1" applyProtection="1">
      <alignment horizontal="right"/>
      <protection hidden="1"/>
    </xf>
    <xf numFmtId="3" fontId="3" fillId="10" borderId="0" xfId="0" applyNumberFormat="1" applyFont="1" applyFill="1" applyBorder="1" applyAlignment="1" applyProtection="1">
      <alignment horizontal="right"/>
      <protection hidden="1"/>
    </xf>
    <xf numFmtId="2" fontId="3" fillId="10" borderId="0" xfId="0" applyNumberFormat="1" applyFont="1" applyFill="1" applyBorder="1" applyAlignment="1" applyProtection="1">
      <alignment horizontal="right"/>
      <protection hidden="1"/>
    </xf>
    <xf numFmtId="2" fontId="3" fillId="10" borderId="0" xfId="0" applyNumberFormat="1" applyFont="1" applyFill="1" applyAlignment="1" applyProtection="1">
      <alignment horizontal="right"/>
      <protection hidden="1"/>
    </xf>
    <xf numFmtId="2" fontId="3" fillId="10" borderId="4" xfId="0" applyNumberFormat="1" applyFont="1" applyFill="1" applyBorder="1" applyAlignment="1" applyProtection="1">
      <alignment horizontal="right"/>
      <protection hidden="1"/>
    </xf>
    <xf numFmtId="2" fontId="3" fillId="10" borderId="4" xfId="0" applyNumberFormat="1" applyFont="1" applyFill="1" applyBorder="1" applyProtection="1">
      <protection hidden="1"/>
    </xf>
    <xf numFmtId="0" fontId="39" fillId="10" borderId="1" xfId="4" applyFont="1" applyFill="1" applyBorder="1" applyAlignment="1">
      <alignment horizontal="left" vertical="center" wrapText="1" indent="1"/>
    </xf>
    <xf numFmtId="0" fontId="39" fillId="10" borderId="4" xfId="4" applyFont="1" applyFill="1" applyBorder="1" applyAlignment="1">
      <alignment horizontal="left" vertical="center" wrapText="1" indent="1"/>
    </xf>
    <xf numFmtId="1" fontId="39" fillId="0" borderId="4" xfId="4" applyNumberFormat="1" applyFont="1" applyFill="1" applyBorder="1" applyAlignment="1">
      <alignment horizontal="center" vertical="center" wrapText="1"/>
    </xf>
    <xf numFmtId="0" fontId="39" fillId="10" borderId="6" xfId="4" applyFont="1" applyFill="1" applyBorder="1" applyAlignment="1">
      <alignment horizontal="left" vertical="center" wrapText="1" indent="1"/>
    </xf>
    <xf numFmtId="0" fontId="39" fillId="0" borderId="2" xfId="4" applyFont="1" applyFill="1" applyBorder="1" applyAlignment="1">
      <alignment horizontal="center" vertical="center"/>
    </xf>
    <xf numFmtId="0" fontId="16" fillId="0" borderId="4" xfId="4" applyFont="1" applyFill="1" applyBorder="1" applyAlignment="1">
      <alignment horizontal="left" vertical="center" wrapText="1"/>
    </xf>
    <xf numFmtId="0" fontId="39" fillId="0" borderId="4" xfId="4" applyFont="1" applyFill="1" applyBorder="1" applyAlignment="1">
      <alignment horizontal="left" vertical="center" wrapText="1"/>
    </xf>
    <xf numFmtId="0" fontId="39" fillId="10" borderId="3" xfId="4" applyFont="1" applyFill="1" applyBorder="1" applyAlignment="1">
      <alignment horizontal="left" vertical="center" wrapText="1"/>
    </xf>
    <xf numFmtId="0" fontId="39" fillId="0" borderId="2" xfId="4" applyFont="1" applyFill="1" applyBorder="1" applyAlignment="1">
      <alignment horizontal="left" vertical="center" wrapText="1"/>
    </xf>
    <xf numFmtId="0" fontId="39" fillId="0" borderId="2" xfId="4" applyFont="1" applyFill="1" applyBorder="1" applyAlignment="1">
      <alignment horizontal="left" vertical="center" wrapText="1" indent="1"/>
    </xf>
    <xf numFmtId="0" fontId="39" fillId="10" borderId="4" xfId="4" applyFont="1" applyFill="1" applyBorder="1" applyAlignment="1">
      <alignment horizontal="left" vertical="center" wrapText="1"/>
    </xf>
    <xf numFmtId="0" fontId="16" fillId="0" borderId="2" xfId="4" applyFont="1" applyFill="1" applyBorder="1" applyAlignment="1">
      <alignment horizontal="left" vertical="center" wrapText="1"/>
    </xf>
    <xf numFmtId="0" fontId="39" fillId="0" borderId="4" xfId="4" quotePrefix="1" applyFont="1" applyFill="1" applyBorder="1" applyAlignment="1">
      <alignment horizontal="left" vertical="center" wrapText="1" indent="1"/>
    </xf>
    <xf numFmtId="17" fontId="16" fillId="0" borderId="4" xfId="4" applyNumberFormat="1" applyFont="1" applyFill="1" applyBorder="1" applyAlignment="1">
      <alignment horizontal="center" vertical="center" wrapText="1"/>
    </xf>
    <xf numFmtId="14" fontId="16" fillId="0" borderId="4" xfId="4" applyNumberFormat="1" applyFont="1" applyFill="1" applyBorder="1" applyAlignment="1">
      <alignment horizontal="center" vertical="center" wrapText="1"/>
    </xf>
    <xf numFmtId="0" fontId="16" fillId="0" borderId="6" xfId="4" applyFont="1" applyFill="1" applyBorder="1" applyAlignment="1">
      <alignment horizontal="center" vertical="center" wrapText="1"/>
    </xf>
    <xf numFmtId="0" fontId="16" fillId="0" borderId="4" xfId="4" applyFont="1" applyFill="1" applyBorder="1" applyAlignment="1">
      <alignment horizontal="center" vertical="center" wrapText="1"/>
    </xf>
    <xf numFmtId="3" fontId="44" fillId="0" borderId="0" xfId="0" applyNumberFormat="1" applyFont="1" applyAlignment="1" applyProtection="1">
      <alignment horizontal="right"/>
      <protection hidden="1"/>
    </xf>
    <xf numFmtId="0" fontId="45" fillId="0" borderId="0" xfId="0" applyFont="1" applyProtection="1">
      <protection hidden="1"/>
    </xf>
    <xf numFmtId="0" fontId="46" fillId="0" borderId="0" xfId="0" applyFont="1" applyProtection="1">
      <protection hidden="1"/>
    </xf>
    <xf numFmtId="3" fontId="45" fillId="0" borderId="0" xfId="0" applyNumberFormat="1" applyFont="1" applyAlignment="1" applyProtection="1">
      <alignment horizontal="center"/>
      <protection hidden="1"/>
    </xf>
    <xf numFmtId="0" fontId="7" fillId="0" borderId="11" xfId="0" applyFont="1" applyFill="1" applyBorder="1" applyProtection="1">
      <protection hidden="1"/>
    </xf>
    <xf numFmtId="3" fontId="32" fillId="0" borderId="9" xfId="0" applyNumberFormat="1" applyFont="1" applyFill="1" applyBorder="1" applyAlignment="1" applyProtection="1">
      <alignment horizontal="right" vertical="center"/>
      <protection hidden="1"/>
    </xf>
    <xf numFmtId="3" fontId="16" fillId="10" borderId="4" xfId="0" applyNumberFormat="1" applyFont="1" applyFill="1" applyBorder="1" applyAlignment="1" applyProtection="1">
      <protection hidden="1"/>
    </xf>
    <xf numFmtId="3" fontId="11" fillId="0" borderId="0" xfId="0" applyNumberFormat="1" applyFont="1" applyFill="1" applyAlignment="1" applyProtection="1">
      <alignment horizontal="right"/>
      <protection hidden="1"/>
    </xf>
    <xf numFmtId="3" fontId="11" fillId="0" borderId="0" xfId="0" applyNumberFormat="1" applyFont="1" applyAlignment="1" applyProtection="1">
      <alignment horizontal="right"/>
      <protection hidden="1"/>
    </xf>
    <xf numFmtId="4" fontId="32" fillId="0" borderId="9" xfId="0" applyNumberFormat="1" applyFont="1" applyFill="1" applyBorder="1" applyAlignment="1" applyProtection="1">
      <alignment horizontal="right" vertical="center"/>
      <protection hidden="1"/>
    </xf>
    <xf numFmtId="4" fontId="3" fillId="10" borderId="4" xfId="0" applyNumberFormat="1" applyFont="1" applyFill="1" applyBorder="1" applyAlignment="1" applyProtection="1">
      <protection hidden="1"/>
    </xf>
    <xf numFmtId="4" fontId="5" fillId="0" borderId="7" xfId="0" applyNumberFormat="1" applyFont="1" applyFill="1" applyBorder="1" applyAlignment="1" applyProtection="1">
      <protection hidden="1"/>
    </xf>
    <xf numFmtId="4" fontId="9" fillId="0" borderId="7" xfId="0" applyNumberFormat="1" applyFont="1" applyFill="1" applyBorder="1" applyAlignment="1" applyProtection="1">
      <protection locked="0" hidden="1"/>
    </xf>
    <xf numFmtId="4" fontId="2" fillId="9" borderId="7" xfId="0" applyNumberFormat="1" applyFont="1" applyFill="1" applyBorder="1" applyAlignment="1" applyProtection="1">
      <protection hidden="1"/>
    </xf>
    <xf numFmtId="4" fontId="8" fillId="0" borderId="7" xfId="0" applyNumberFormat="1" applyFont="1" applyFill="1" applyBorder="1" applyAlignment="1" applyProtection="1">
      <protection hidden="1"/>
    </xf>
    <xf numFmtId="4" fontId="8" fillId="0" borderId="7" xfId="0" applyNumberFormat="1" applyFont="1" applyFill="1" applyBorder="1" applyAlignment="1" applyProtection="1">
      <alignment horizontal="right"/>
      <protection hidden="1"/>
    </xf>
    <xf numFmtId="4" fontId="5" fillId="0" borderId="7" xfId="0" applyNumberFormat="1" applyFont="1" applyFill="1" applyBorder="1" applyAlignment="1" applyProtection="1">
      <alignment horizontal="right"/>
      <protection hidden="1"/>
    </xf>
    <xf numFmtId="4" fontId="3" fillId="10" borderId="4" xfId="0" applyNumberFormat="1" applyFont="1" applyFill="1" applyBorder="1" applyAlignment="1" applyProtection="1">
      <alignment horizontal="right"/>
      <protection hidden="1"/>
    </xf>
    <xf numFmtId="4" fontId="2" fillId="9" borderId="7" xfId="0" applyNumberFormat="1" applyFont="1" applyFill="1" applyBorder="1" applyAlignment="1" applyProtection="1">
      <alignment horizontal="right"/>
      <protection hidden="1"/>
    </xf>
    <xf numFmtId="4" fontId="2" fillId="10" borderId="4" xfId="0" applyNumberFormat="1" applyFont="1" applyFill="1" applyBorder="1" applyAlignment="1" applyProtection="1">
      <alignment horizontal="right"/>
      <protection hidden="1"/>
    </xf>
    <xf numFmtId="4" fontId="2" fillId="0" borderId="7" xfId="0" applyNumberFormat="1" applyFont="1" applyFill="1" applyBorder="1" applyAlignment="1" applyProtection="1">
      <alignment horizontal="right"/>
      <protection hidden="1"/>
    </xf>
    <xf numFmtId="4" fontId="2" fillId="0" borderId="0" xfId="0" applyNumberFormat="1" applyFont="1" applyAlignment="1" applyProtection="1">
      <alignment horizontal="right"/>
      <protection hidden="1"/>
    </xf>
    <xf numFmtId="0" fontId="47" fillId="0" borderId="0" xfId="5"/>
    <xf numFmtId="0" fontId="35" fillId="0" borderId="7" xfId="0" applyFont="1" applyFill="1" applyBorder="1" applyAlignment="1" applyProtection="1">
      <alignment horizontal="right"/>
      <protection hidden="1"/>
    </xf>
    <xf numFmtId="3" fontId="35" fillId="0" borderId="7" xfId="0" applyNumberFormat="1" applyFont="1" applyFill="1" applyBorder="1" applyAlignment="1" applyProtection="1">
      <alignment horizontal="right"/>
      <protection hidden="1"/>
    </xf>
    <xf numFmtId="3" fontId="35" fillId="0" borderId="7" xfId="0" applyNumberFormat="1" applyFont="1" applyFill="1" applyBorder="1" applyAlignment="1" applyProtection="1">
      <protection hidden="1"/>
    </xf>
    <xf numFmtId="0" fontId="35" fillId="0" borderId="7" xfId="0" applyFont="1" applyFill="1" applyBorder="1" applyAlignment="1" applyProtection="1">
      <protection locked="0" hidden="1"/>
    </xf>
    <xf numFmtId="0" fontId="35" fillId="0" borderId="7" xfId="0" applyFont="1" applyFill="1" applyBorder="1" applyAlignment="1" applyProtection="1">
      <alignment horizontal="left"/>
      <protection locked="0" hidden="1"/>
    </xf>
    <xf numFmtId="4" fontId="35" fillId="0" borderId="7" xfId="0" applyNumberFormat="1" applyFont="1" applyFill="1" applyBorder="1" applyAlignment="1" applyProtection="1">
      <protection locked="0" hidden="1"/>
    </xf>
    <xf numFmtId="0" fontId="19" fillId="0" borderId="7" xfId="0" applyFont="1" applyFill="1" applyBorder="1" applyProtection="1">
      <protection hidden="1"/>
    </xf>
    <xf numFmtId="0" fontId="19" fillId="0" borderId="5" xfId="0" applyFont="1" applyFill="1" applyBorder="1" applyProtection="1">
      <protection hidden="1"/>
    </xf>
    <xf numFmtId="0" fontId="19" fillId="0" borderId="7" xfId="0" applyFont="1" applyFill="1" applyBorder="1" applyAlignment="1" applyProtection="1">
      <protection hidden="1"/>
    </xf>
    <xf numFmtId="4" fontId="19" fillId="0" borderId="7" xfId="0" applyNumberFormat="1" applyFont="1" applyFill="1" applyBorder="1" applyAlignment="1" applyProtection="1">
      <protection hidden="1"/>
    </xf>
    <xf numFmtId="0" fontId="35" fillId="0" borderId="7" xfId="0" applyFont="1" applyFill="1" applyBorder="1" applyAlignment="1" applyProtection="1">
      <protection hidden="1"/>
    </xf>
    <xf numFmtId="0" fontId="35" fillId="0" borderId="7" xfId="0" applyFont="1" applyFill="1" applyBorder="1" applyAlignment="1" applyProtection="1">
      <alignment horizontal="left"/>
      <protection hidden="1"/>
    </xf>
    <xf numFmtId="4" fontId="35" fillId="0" borderId="7" xfId="0" applyNumberFormat="1" applyFont="1" applyFill="1" applyBorder="1" applyAlignment="1" applyProtection="1">
      <protection hidden="1"/>
    </xf>
    <xf numFmtId="0" fontId="19" fillId="0" borderId="7" xfId="0" applyFont="1" applyFill="1" applyBorder="1" applyAlignment="1" applyProtection="1">
      <alignment horizontal="right"/>
      <protection hidden="1"/>
    </xf>
    <xf numFmtId="0" fontId="19" fillId="0" borderId="7" xfId="0" applyFont="1" applyFill="1" applyBorder="1" applyAlignment="1" applyProtection="1">
      <alignment horizontal="left"/>
      <protection hidden="1"/>
    </xf>
    <xf numFmtId="0" fontId="35" fillId="0" borderId="0" xfId="0" applyFont="1" applyProtection="1">
      <protection hidden="1"/>
    </xf>
    <xf numFmtId="4" fontId="35" fillId="0" borderId="7" xfId="0" applyNumberFormat="1" applyFont="1" applyFill="1" applyBorder="1" applyAlignment="1" applyProtection="1">
      <alignment horizontal="right"/>
      <protection hidden="1"/>
    </xf>
    <xf numFmtId="0" fontId="35" fillId="0" borderId="0" xfId="0" applyFont="1" applyFill="1" applyBorder="1" applyProtection="1">
      <protection hidden="1"/>
    </xf>
    <xf numFmtId="0" fontId="35" fillId="0" borderId="7" xfId="0" quotePrefix="1" applyFont="1" applyFill="1" applyBorder="1" applyAlignment="1" applyProtection="1">
      <alignment horizontal="right"/>
      <protection hidden="1"/>
    </xf>
    <xf numFmtId="0" fontId="35" fillId="0" borderId="0" xfId="0" applyFont="1" applyBorder="1" applyProtection="1">
      <protection hidden="1"/>
    </xf>
    <xf numFmtId="9" fontId="16" fillId="0" borderId="2" xfId="4" applyNumberFormat="1" applyFont="1" applyFill="1" applyBorder="1" applyAlignment="1">
      <alignment horizontal="left" vertical="center" wrapText="1"/>
    </xf>
    <xf numFmtId="0" fontId="45" fillId="0" borderId="0" xfId="0" applyFont="1" applyFill="1" applyProtection="1">
      <protection hidden="1"/>
    </xf>
    <xf numFmtId="3" fontId="3" fillId="10" borderId="17" xfId="0" applyNumberFormat="1" applyFont="1" applyFill="1" applyBorder="1" applyAlignment="1" applyProtection="1">
      <alignment horizontal="right"/>
      <protection hidden="1"/>
    </xf>
    <xf numFmtId="2" fontId="3" fillId="10" borderId="17" xfId="0" applyNumberFormat="1" applyFont="1" applyFill="1" applyBorder="1" applyAlignment="1" applyProtection="1">
      <alignment horizontal="right"/>
      <protection hidden="1"/>
    </xf>
    <xf numFmtId="3" fontId="3" fillId="11" borderId="17" xfId="0" applyNumberFormat="1" applyFont="1" applyFill="1" applyBorder="1" applyAlignment="1" applyProtection="1">
      <alignment horizontal="right"/>
      <protection hidden="1"/>
    </xf>
    <xf numFmtId="2" fontId="3" fillId="10" borderId="17" xfId="0" applyNumberFormat="1" applyFont="1" applyFill="1" applyBorder="1" applyProtection="1">
      <protection hidden="1"/>
    </xf>
    <xf numFmtId="0" fontId="5" fillId="0" borderId="6" xfId="0" quotePrefix="1" applyFont="1" applyFill="1" applyBorder="1" applyAlignment="1" applyProtection="1">
      <alignment horizontal="right"/>
      <protection hidden="1"/>
    </xf>
    <xf numFmtId="0" fontId="5" fillId="10" borderId="4" xfId="0" applyFont="1" applyFill="1" applyBorder="1" applyAlignment="1" applyProtection="1">
      <alignment horizontal="center"/>
      <protection hidden="1"/>
    </xf>
    <xf numFmtId="3" fontId="5" fillId="0" borderId="0" xfId="0" applyNumberFormat="1" applyFont="1" applyAlignment="1" applyProtection="1">
      <alignment horizontal="right"/>
      <protection hidden="1"/>
    </xf>
    <xf numFmtId="3" fontId="5" fillId="0" borderId="6" xfId="0" applyNumberFormat="1" applyFont="1" applyFill="1" applyBorder="1" applyAlignment="1" applyProtection="1">
      <alignment horizontal="center"/>
      <protection hidden="1"/>
    </xf>
    <xf numFmtId="3" fontId="36" fillId="0" borderId="7" xfId="0" applyNumberFormat="1" applyFont="1" applyFill="1" applyBorder="1" applyProtection="1">
      <protection hidden="1"/>
    </xf>
    <xf numFmtId="3" fontId="35" fillId="0" borderId="7" xfId="0" applyNumberFormat="1" applyFont="1" applyFill="1" applyBorder="1" applyProtection="1">
      <protection hidden="1"/>
    </xf>
    <xf numFmtId="4" fontId="32" fillId="0" borderId="9" xfId="0" applyNumberFormat="1" applyFont="1" applyFill="1" applyBorder="1" applyAlignment="1" applyProtection="1">
      <alignment vertical="center" wrapText="1"/>
      <protection hidden="1"/>
    </xf>
    <xf numFmtId="4" fontId="17" fillId="10" borderId="4" xfId="0" applyNumberFormat="1" applyFont="1" applyFill="1" applyBorder="1" applyAlignment="1" applyProtection="1">
      <protection hidden="1"/>
    </xf>
    <xf numFmtId="4" fontId="5" fillId="0" borderId="6" xfId="0" applyNumberFormat="1" applyFont="1" applyFill="1" applyBorder="1" applyAlignment="1" applyProtection="1">
      <alignment horizontal="center"/>
      <protection hidden="1"/>
    </xf>
    <xf numFmtId="4" fontId="14" fillId="0" borderId="7" xfId="0" applyNumberFormat="1" applyFont="1" applyFill="1" applyBorder="1" applyProtection="1">
      <protection hidden="1"/>
    </xf>
    <xf numFmtId="4" fontId="36" fillId="0" borderId="7" xfId="0" applyNumberFormat="1" applyFont="1" applyFill="1" applyBorder="1" applyProtection="1">
      <protection hidden="1"/>
    </xf>
    <xf numFmtId="4" fontId="35" fillId="0" borderId="7" xfId="0" applyNumberFormat="1" applyFont="1" applyFill="1" applyBorder="1" applyProtection="1">
      <protection hidden="1"/>
    </xf>
    <xf numFmtId="4" fontId="5" fillId="10" borderId="4" xfId="0" applyNumberFormat="1" applyFont="1" applyFill="1" applyBorder="1" applyAlignment="1" applyProtection="1">
      <alignment horizontal="right"/>
      <protection hidden="1"/>
    </xf>
    <xf numFmtId="4" fontId="2" fillId="0" borderId="0" xfId="0" applyNumberFormat="1" applyFont="1" applyAlignment="1" applyProtection="1">
      <alignment horizontal="center"/>
      <protection hidden="1"/>
    </xf>
    <xf numFmtId="4" fontId="3" fillId="0" borderId="0" xfId="0" applyNumberFormat="1" applyFont="1" applyAlignment="1" applyProtection="1">
      <alignment horizontal="right"/>
      <protection hidden="1"/>
    </xf>
    <xf numFmtId="4" fontId="3" fillId="0" borderId="0" xfId="0" applyNumberFormat="1" applyFont="1" applyAlignment="1" applyProtection="1">
      <alignment horizontal="center"/>
      <protection hidden="1"/>
    </xf>
    <xf numFmtId="1" fontId="11" fillId="0" borderId="8" xfId="0" applyNumberFormat="1" applyFont="1" applyFill="1" applyBorder="1" applyProtection="1">
      <protection hidden="1"/>
    </xf>
    <xf numFmtId="1" fontId="3" fillId="10" borderId="1" xfId="0" applyNumberFormat="1" applyFont="1" applyFill="1" applyBorder="1" applyAlignment="1" applyProtection="1">
      <alignment horizontal="left"/>
      <protection hidden="1"/>
    </xf>
    <xf numFmtId="1" fontId="3" fillId="10" borderId="3" xfId="0" applyNumberFormat="1" applyFont="1" applyFill="1" applyBorder="1" applyAlignment="1" applyProtection="1">
      <alignment horizontal="left"/>
      <protection hidden="1"/>
    </xf>
    <xf numFmtId="1" fontId="3" fillId="10" borderId="4" xfId="0" applyNumberFormat="1" applyFont="1" applyFill="1" applyBorder="1" applyAlignment="1" applyProtection="1">
      <alignment horizontal="left"/>
      <protection hidden="1"/>
    </xf>
    <xf numFmtId="1" fontId="3" fillId="10" borderId="4" xfId="0" applyNumberFormat="1" applyFont="1" applyFill="1" applyBorder="1" applyAlignment="1" applyProtection="1">
      <alignment horizontal="center"/>
      <protection hidden="1"/>
    </xf>
    <xf numFmtId="1" fontId="11" fillId="0" borderId="0" xfId="0" applyNumberFormat="1" applyFont="1" applyProtection="1">
      <protection hidden="1"/>
    </xf>
    <xf numFmtId="1" fontId="22" fillId="14" borderId="4" xfId="0" applyNumberFormat="1" applyFont="1" applyFill="1" applyBorder="1" applyAlignment="1" applyProtection="1">
      <alignment horizontal="right"/>
      <protection locked="0" hidden="1"/>
    </xf>
    <xf numFmtId="0" fontId="5" fillId="14" borderId="4" xfId="0" applyFont="1" applyFill="1" applyBorder="1" applyAlignment="1" applyProtection="1">
      <alignment horizontal="center"/>
      <protection hidden="1"/>
    </xf>
    <xf numFmtId="1" fontId="2" fillId="0" borderId="0" xfId="0" applyNumberFormat="1" applyFont="1" applyAlignment="1" applyProtection="1">
      <alignment horizontal="right"/>
      <protection hidden="1"/>
    </xf>
    <xf numFmtId="3" fontId="49" fillId="0" borderId="7" xfId="0" applyNumberFormat="1" applyFont="1" applyFill="1" applyBorder="1" applyAlignment="1" applyProtection="1">
      <alignment horizontal="right"/>
      <protection hidden="1"/>
    </xf>
    <xf numFmtId="3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3" fontId="0" fillId="0" borderId="0" xfId="0" applyNumberFormat="1" applyAlignment="1" applyProtection="1">
      <alignment horizontal="right"/>
      <protection hidden="1"/>
    </xf>
    <xf numFmtId="164" fontId="22" fillId="4" borderId="4" xfId="0" applyNumberFormat="1" applyFont="1" applyFill="1" applyBorder="1" applyAlignment="1" applyProtection="1">
      <alignment horizontal="center"/>
      <protection hidden="1"/>
    </xf>
    <xf numFmtId="0" fontId="5" fillId="0" borderId="4" xfId="0" applyFont="1" applyFill="1" applyBorder="1" applyProtection="1">
      <protection hidden="1"/>
    </xf>
    <xf numFmtId="4" fontId="5" fillId="0" borderId="4" xfId="0" applyNumberFormat="1" applyFont="1" applyFill="1" applyBorder="1" applyAlignment="1" applyProtection="1">
      <alignment horizontal="center" wrapText="1"/>
      <protection hidden="1"/>
    </xf>
    <xf numFmtId="0" fontId="5" fillId="0" borderId="1" xfId="0" applyFont="1" applyFill="1" applyBorder="1" applyProtection="1">
      <protection hidden="1"/>
    </xf>
    <xf numFmtId="0" fontId="5" fillId="0" borderId="3" xfId="0" applyFont="1" applyFill="1" applyBorder="1" applyAlignment="1" applyProtection="1">
      <alignment horizontal="center" wrapText="1"/>
      <protection hidden="1"/>
    </xf>
    <xf numFmtId="0" fontId="5" fillId="0" borderId="4" xfId="0" applyFont="1" applyFill="1" applyBorder="1" applyAlignment="1" applyProtection="1">
      <alignment horizontal="right" wrapText="1"/>
      <protection hidden="1"/>
    </xf>
    <xf numFmtId="0" fontId="5" fillId="0" borderId="4" xfId="0" applyFont="1" applyFill="1" applyBorder="1" applyAlignment="1" applyProtection="1">
      <alignment horizontal="left" wrapText="1"/>
      <protection hidden="1"/>
    </xf>
    <xf numFmtId="4" fontId="5" fillId="0" borderId="4" xfId="0" applyNumberFormat="1" applyFont="1" applyFill="1" applyBorder="1" applyAlignment="1" applyProtection="1">
      <alignment horizontal="right" wrapText="1"/>
      <protection hidden="1"/>
    </xf>
    <xf numFmtId="0" fontId="3" fillId="0" borderId="8" xfId="0" applyFont="1" applyFill="1" applyBorder="1" applyProtection="1">
      <protection hidden="1"/>
    </xf>
    <xf numFmtId="165" fontId="12" fillId="7" borderId="15" xfId="0" applyNumberFormat="1" applyFont="1" applyFill="1" applyBorder="1" applyAlignment="1" applyProtection="1">
      <alignment horizontal="center"/>
      <protection hidden="1"/>
    </xf>
    <xf numFmtId="165" fontId="12" fillId="7" borderId="0" xfId="0" applyNumberFormat="1" applyFont="1" applyFill="1" applyBorder="1" applyAlignment="1" applyProtection="1">
      <alignment horizontal="center"/>
      <protection hidden="1"/>
    </xf>
    <xf numFmtId="165" fontId="22" fillId="7" borderId="0" xfId="0" applyNumberFormat="1" applyFont="1" applyFill="1" applyBorder="1" applyAlignment="1" applyProtection="1">
      <alignment horizontal="center"/>
      <protection hidden="1"/>
    </xf>
    <xf numFmtId="0" fontId="36" fillId="0" borderId="0" xfId="0" applyFont="1" applyFill="1" applyBorder="1" applyProtection="1">
      <protection hidden="1"/>
    </xf>
    <xf numFmtId="0" fontId="5" fillId="10" borderId="2" xfId="0" applyFont="1" applyFill="1" applyBorder="1" applyAlignment="1" applyProtection="1">
      <alignment horizontal="right"/>
      <protection hidden="1"/>
    </xf>
    <xf numFmtId="2" fontId="27" fillId="0" borderId="9" xfId="0" applyNumberFormat="1" applyFont="1" applyFill="1" applyBorder="1" applyAlignment="1" applyProtection="1">
      <alignment horizontal="right" vertical="center"/>
      <protection hidden="1"/>
    </xf>
    <xf numFmtId="2" fontId="5" fillId="0" borderId="4" xfId="0" applyNumberFormat="1" applyFont="1" applyFill="1" applyBorder="1" applyAlignment="1" applyProtection="1">
      <alignment horizontal="right" wrapText="1"/>
      <protection hidden="1"/>
    </xf>
    <xf numFmtId="2" fontId="16" fillId="10" borderId="4" xfId="0" applyNumberFormat="1" applyFont="1" applyFill="1" applyBorder="1" applyAlignment="1" applyProtection="1">
      <alignment horizontal="right"/>
      <protection hidden="1"/>
    </xf>
    <xf numFmtId="2" fontId="5" fillId="0" borderId="7" xfId="0" applyNumberFormat="1" applyFont="1" applyFill="1" applyBorder="1" applyAlignment="1" applyProtection="1">
      <alignment horizontal="right"/>
      <protection hidden="1"/>
    </xf>
    <xf numFmtId="2" fontId="14" fillId="0" borderId="7" xfId="0" applyNumberFormat="1" applyFont="1" applyFill="1" applyBorder="1" applyAlignment="1" applyProtection="1">
      <alignment horizontal="right"/>
      <protection hidden="1"/>
    </xf>
    <xf numFmtId="2" fontId="35" fillId="0" borderId="7" xfId="0" applyNumberFormat="1" applyFont="1" applyFill="1" applyBorder="1" applyAlignment="1" applyProtection="1">
      <alignment horizontal="right"/>
      <protection hidden="1"/>
    </xf>
    <xf numFmtId="2" fontId="5" fillId="10" borderId="4" xfId="0" applyNumberFormat="1" applyFont="1" applyFill="1" applyBorder="1" applyAlignment="1" applyProtection="1">
      <alignment horizontal="right"/>
      <protection hidden="1"/>
    </xf>
    <xf numFmtId="2" fontId="2" fillId="0" borderId="0" xfId="0" applyNumberFormat="1" applyFont="1" applyAlignment="1" applyProtection="1">
      <alignment horizontal="right"/>
      <protection hidden="1"/>
    </xf>
    <xf numFmtId="0" fontId="27" fillId="0" borderId="9" xfId="0" applyFont="1" applyFill="1" applyBorder="1" applyAlignment="1" applyProtection="1">
      <alignment horizontal="left" vertical="center"/>
      <protection hidden="1"/>
    </xf>
    <xf numFmtId="0" fontId="14" fillId="0" borderId="7" xfId="0" applyFont="1" applyFill="1" applyBorder="1" applyAlignment="1" applyProtection="1">
      <alignment horizontal="left"/>
      <protection hidden="1"/>
    </xf>
    <xf numFmtId="0" fontId="5" fillId="10" borderId="4" xfId="0" applyFont="1" applyFill="1" applyBorder="1" applyAlignment="1" applyProtection="1">
      <alignment horizontal="left"/>
      <protection hidden="1"/>
    </xf>
    <xf numFmtId="4" fontId="27" fillId="0" borderId="9" xfId="0" applyNumberFormat="1" applyFont="1" applyFill="1" applyBorder="1" applyAlignment="1" applyProtection="1">
      <alignment horizontal="right" vertical="center"/>
      <protection hidden="1"/>
    </xf>
    <xf numFmtId="4" fontId="16" fillId="10" borderId="4" xfId="0" applyNumberFormat="1" applyFont="1" applyFill="1" applyBorder="1" applyAlignment="1" applyProtection="1">
      <alignment horizontal="right"/>
      <protection hidden="1"/>
    </xf>
    <xf numFmtId="4" fontId="14" fillId="0" borderId="7" xfId="0" applyNumberFormat="1" applyFont="1" applyFill="1" applyBorder="1" applyAlignment="1" applyProtection="1">
      <alignment horizontal="right"/>
      <protection hidden="1"/>
    </xf>
    <xf numFmtId="4" fontId="36" fillId="0" borderId="7" xfId="0" applyNumberFormat="1" applyFont="1" applyFill="1" applyBorder="1" applyAlignment="1" applyProtection="1">
      <alignment horizontal="right"/>
      <protection hidden="1"/>
    </xf>
    <xf numFmtId="4" fontId="8" fillId="0" borderId="7" xfId="0" applyNumberFormat="1" applyFont="1" applyFill="1" applyBorder="1" applyAlignment="1" applyProtection="1">
      <alignment horizontal="right"/>
      <protection locked="0" hidden="1"/>
    </xf>
    <xf numFmtId="3" fontId="24" fillId="0" borderId="7" xfId="0" applyNumberFormat="1" applyFont="1" applyFill="1" applyBorder="1" applyProtection="1">
      <protection hidden="1"/>
    </xf>
    <xf numFmtId="4" fontId="24" fillId="0" borderId="7" xfId="0" applyNumberFormat="1" applyFont="1" applyFill="1" applyBorder="1" applyProtection="1">
      <protection hidden="1"/>
    </xf>
    <xf numFmtId="3" fontId="24" fillId="0" borderId="7" xfId="0" applyNumberFormat="1" applyFont="1" applyFill="1" applyBorder="1" applyAlignment="1" applyProtection="1">
      <alignment horizontal="right"/>
      <protection hidden="1"/>
    </xf>
    <xf numFmtId="165" fontId="22" fillId="5" borderId="0" xfId="0" applyNumberFormat="1" applyFont="1" applyFill="1" applyAlignment="1" applyProtection="1">
      <alignment horizontal="center"/>
      <protection hidden="1"/>
    </xf>
    <xf numFmtId="2" fontId="22" fillId="6" borderId="4" xfId="0" applyNumberFormat="1" applyFont="1" applyFill="1" applyBorder="1" applyAlignment="1" applyProtection="1">
      <alignment horizontal="center"/>
      <protection locked="0" hidden="1"/>
    </xf>
    <xf numFmtId="2" fontId="22" fillId="3" borderId="0" xfId="0" applyNumberFormat="1" applyFont="1" applyFill="1" applyAlignment="1" applyProtection="1">
      <alignment horizontal="center"/>
      <protection hidden="1"/>
    </xf>
    <xf numFmtId="165" fontId="23" fillId="3" borderId="0" xfId="0" applyNumberFormat="1" applyFont="1" applyFill="1" applyAlignment="1" applyProtection="1">
      <alignment horizontal="center"/>
      <protection hidden="1"/>
    </xf>
    <xf numFmtId="2" fontId="23" fillId="3" borderId="0" xfId="0" applyNumberFormat="1" applyFont="1" applyFill="1" applyAlignment="1" applyProtection="1">
      <alignment horizontal="center"/>
      <protection hidden="1"/>
    </xf>
    <xf numFmtId="165" fontId="22" fillId="0" borderId="0" xfId="0" applyNumberFormat="1" applyFont="1" applyAlignment="1" applyProtection="1">
      <alignment horizontal="center"/>
      <protection hidden="1"/>
    </xf>
    <xf numFmtId="2" fontId="22" fillId="0" borderId="0" xfId="0" applyNumberFormat="1" applyFont="1" applyAlignment="1" applyProtection="1">
      <alignment horizontal="center"/>
      <protection hidden="1"/>
    </xf>
    <xf numFmtId="1" fontId="22" fillId="0" borderId="0" xfId="0" applyNumberFormat="1" applyFont="1" applyAlignment="1" applyProtection="1">
      <alignment horizontal="center"/>
      <protection hidden="1"/>
    </xf>
    <xf numFmtId="1" fontId="22" fillId="0" borderId="0" xfId="0" applyNumberFormat="1" applyFont="1" applyFill="1" applyBorder="1" applyAlignment="1" applyProtection="1">
      <alignment horizontal="right"/>
      <protection locked="0" hidden="1"/>
    </xf>
    <xf numFmtId="1" fontId="23" fillId="0" borderId="0" xfId="0" applyNumberFormat="1" applyFont="1" applyFill="1" applyBorder="1" applyAlignment="1" applyProtection="1">
      <alignment horizontal="right"/>
      <protection hidden="1"/>
    </xf>
    <xf numFmtId="3" fontId="32" fillId="0" borderId="0" xfId="0" applyNumberFormat="1" applyFont="1" applyFill="1" applyBorder="1" applyAlignment="1" applyProtection="1">
      <alignment horizontal="left" vertical="center" wrapText="1"/>
      <protection hidden="1"/>
    </xf>
    <xf numFmtId="10" fontId="21" fillId="0" borderId="0" xfId="0" applyNumberFormat="1" applyFont="1" applyAlignment="1" applyProtection="1">
      <alignment horizontal="center"/>
      <protection hidden="1"/>
    </xf>
    <xf numFmtId="10" fontId="54" fillId="10" borderId="4" xfId="0" applyNumberFormat="1" applyFont="1" applyFill="1" applyBorder="1" applyAlignment="1" applyProtection="1">
      <protection hidden="1"/>
    </xf>
    <xf numFmtId="10" fontId="53" fillId="0" borderId="7" xfId="0" applyNumberFormat="1" applyFont="1" applyFill="1" applyBorder="1" applyAlignment="1" applyProtection="1">
      <alignment horizontal="center"/>
      <protection hidden="1"/>
    </xf>
    <xf numFmtId="10" fontId="55" fillId="0" borderId="7" xfId="0" applyNumberFormat="1" applyFont="1" applyFill="1" applyBorder="1" applyAlignment="1" applyProtection="1">
      <alignment horizontal="right"/>
      <protection hidden="1"/>
    </xf>
    <xf numFmtId="10" fontId="21" fillId="0" borderId="7" xfId="0" applyNumberFormat="1" applyFont="1" applyFill="1" applyBorder="1" applyAlignment="1" applyProtection="1">
      <alignment horizontal="center"/>
      <protection locked="0" hidden="1"/>
    </xf>
    <xf numFmtId="10" fontId="21" fillId="0" borderId="8" xfId="0" applyNumberFormat="1" applyFont="1" applyFill="1" applyBorder="1" applyAlignment="1" applyProtection="1">
      <alignment horizontal="center"/>
      <protection locked="0" hidden="1"/>
    </xf>
    <xf numFmtId="10" fontId="53" fillId="10" borderId="4" xfId="0" applyNumberFormat="1" applyFont="1" applyFill="1" applyBorder="1" applyAlignment="1" applyProtection="1">
      <alignment horizontal="right"/>
      <protection hidden="1"/>
    </xf>
    <xf numFmtId="164" fontId="21" fillId="0" borderId="0" xfId="0" applyNumberFormat="1" applyFont="1" applyAlignment="1" applyProtection="1">
      <alignment horizontal="center"/>
      <protection hidden="1"/>
    </xf>
    <xf numFmtId="0" fontId="12" fillId="0" borderId="0" xfId="0" applyFont="1" applyFill="1" applyProtection="1">
      <protection hidden="1"/>
    </xf>
    <xf numFmtId="165" fontId="12" fillId="0" borderId="0" xfId="0" applyNumberFormat="1" applyFont="1" applyFill="1" applyBorder="1" applyAlignment="1" applyProtection="1">
      <alignment horizontal="center"/>
      <protection hidden="1"/>
    </xf>
    <xf numFmtId="0" fontId="12" fillId="0" borderId="0" xfId="0" applyFont="1" applyFill="1" applyBorder="1" applyAlignment="1" applyProtection="1">
      <alignment horizontal="right"/>
      <protection hidden="1"/>
    </xf>
    <xf numFmtId="10" fontId="53" fillId="0" borderId="4" xfId="0" applyNumberFormat="1" applyFont="1" applyFill="1" applyBorder="1" applyAlignment="1" applyProtection="1">
      <alignment horizontal="center" wrapText="1"/>
      <protection hidden="1"/>
    </xf>
    <xf numFmtId="164" fontId="53" fillId="0" borderId="4" xfId="0" applyNumberFormat="1" applyFont="1" applyFill="1" applyBorder="1" applyAlignment="1" applyProtection="1">
      <alignment horizontal="center" wrapText="1"/>
      <protection hidden="1"/>
    </xf>
    <xf numFmtId="3" fontId="2" fillId="10" borderId="7" xfId="0" applyNumberFormat="1" applyFont="1" applyFill="1" applyBorder="1" applyAlignment="1" applyProtection="1">
      <alignment horizontal="right"/>
      <protection hidden="1"/>
    </xf>
    <xf numFmtId="10" fontId="53" fillId="0" borderId="7" xfId="0" applyNumberFormat="1" applyFont="1" applyFill="1" applyBorder="1" applyAlignment="1" applyProtection="1">
      <alignment horizontal="right"/>
      <protection hidden="1"/>
    </xf>
    <xf numFmtId="10" fontId="56" fillId="0" borderId="7" xfId="0" applyNumberFormat="1" applyFont="1" applyFill="1" applyBorder="1" applyAlignment="1" applyProtection="1">
      <alignment horizontal="right"/>
      <protection hidden="1"/>
    </xf>
    <xf numFmtId="10" fontId="21" fillId="0" borderId="7" xfId="0" applyNumberFormat="1" applyFont="1" applyFill="1" applyBorder="1" applyAlignment="1" applyProtection="1">
      <alignment horizontal="right"/>
      <protection hidden="1"/>
    </xf>
    <xf numFmtId="10" fontId="21" fillId="9" borderId="7" xfId="0" applyNumberFormat="1" applyFont="1" applyFill="1" applyBorder="1" applyAlignment="1" applyProtection="1">
      <alignment horizontal="right"/>
      <protection hidden="1"/>
    </xf>
    <xf numFmtId="10" fontId="21" fillId="10" borderId="4" xfId="0" applyNumberFormat="1" applyFont="1" applyFill="1" applyBorder="1" applyAlignment="1" applyProtection="1">
      <alignment horizontal="right"/>
      <protection hidden="1"/>
    </xf>
    <xf numFmtId="10" fontId="53" fillId="0" borderId="3" xfId="0" applyNumberFormat="1" applyFont="1" applyFill="1" applyBorder="1" applyAlignment="1" applyProtection="1">
      <alignment horizontal="center" wrapText="1"/>
      <protection hidden="1"/>
    </xf>
    <xf numFmtId="165" fontId="23" fillId="0" borderId="0" xfId="0" applyNumberFormat="1" applyFont="1" applyFill="1" applyBorder="1" applyAlignment="1" applyProtection="1">
      <alignment horizontal="center"/>
      <protection hidden="1"/>
    </xf>
    <xf numFmtId="4" fontId="5" fillId="0" borderId="7" xfId="0" applyNumberFormat="1" applyFont="1" applyFill="1" applyBorder="1" applyAlignment="1" applyProtection="1">
      <alignment horizontal="left"/>
      <protection hidden="1"/>
    </xf>
    <xf numFmtId="4" fontId="4" fillId="10" borderId="4" xfId="0" applyNumberFormat="1" applyFont="1" applyFill="1" applyBorder="1" applyAlignment="1" applyProtection="1">
      <alignment horizontal="left"/>
      <protection hidden="1"/>
    </xf>
    <xf numFmtId="4" fontId="3" fillId="10" borderId="4" xfId="0" applyNumberFormat="1" applyFont="1" applyFill="1" applyBorder="1" applyAlignment="1" applyProtection="1">
      <alignment horizontal="left"/>
      <protection hidden="1"/>
    </xf>
    <xf numFmtId="4" fontId="2" fillId="0" borderId="0" xfId="0" applyNumberFormat="1" applyFont="1" applyAlignment="1" applyProtection="1">
      <alignment horizontal="left"/>
      <protection hidden="1"/>
    </xf>
    <xf numFmtId="4" fontId="3" fillId="0" borderId="0" xfId="0" quotePrefix="1" applyNumberFormat="1" applyFont="1" applyFill="1" applyAlignment="1" applyProtection="1">
      <alignment horizontal="left"/>
      <protection hidden="1"/>
    </xf>
    <xf numFmtId="4" fontId="11" fillId="0" borderId="0" xfId="0" applyNumberFormat="1" applyFont="1" applyFill="1" applyAlignment="1" applyProtection="1">
      <alignment horizontal="left"/>
      <protection hidden="1"/>
    </xf>
    <xf numFmtId="4" fontId="11" fillId="0" borderId="0" xfId="0" applyNumberFormat="1" applyFont="1" applyAlignment="1" applyProtection="1">
      <alignment horizontal="left"/>
      <protection hidden="1"/>
    </xf>
    <xf numFmtId="0" fontId="5" fillId="0" borderId="4" xfId="0" applyFont="1" applyFill="1" applyBorder="1" applyAlignment="1" applyProtection="1">
      <alignment horizontal="center" wrapText="1"/>
      <protection hidden="1"/>
    </xf>
    <xf numFmtId="0" fontId="5" fillId="0" borderId="4" xfId="0" applyFont="1" applyFill="1" applyBorder="1" applyAlignment="1" applyProtection="1">
      <alignment horizontal="center"/>
      <protection hidden="1"/>
    </xf>
    <xf numFmtId="3" fontId="5" fillId="0" borderId="4" xfId="0" applyNumberFormat="1" applyFont="1" applyFill="1" applyBorder="1" applyAlignment="1" applyProtection="1">
      <alignment horizontal="center"/>
      <protection hidden="1"/>
    </xf>
    <xf numFmtId="1" fontId="5" fillId="0" borderId="4" xfId="0" applyNumberFormat="1" applyFont="1" applyFill="1" applyBorder="1" applyAlignment="1" applyProtection="1">
      <alignment horizontal="right" wrapText="1"/>
      <protection hidden="1"/>
    </xf>
    <xf numFmtId="10" fontId="13" fillId="0" borderId="0" xfId="0" applyNumberFormat="1" applyFont="1" applyAlignment="1" applyProtection="1">
      <alignment horizontal="center"/>
      <protection hidden="1"/>
    </xf>
    <xf numFmtId="10" fontId="5" fillId="0" borderId="4" xfId="0" applyNumberFormat="1" applyFont="1" applyFill="1" applyBorder="1" applyAlignment="1" applyProtection="1">
      <alignment horizontal="center" wrapText="1"/>
      <protection hidden="1"/>
    </xf>
    <xf numFmtId="10" fontId="17" fillId="10" borderId="4" xfId="0" applyNumberFormat="1" applyFont="1" applyFill="1" applyBorder="1" applyAlignment="1" applyProtection="1">
      <alignment horizontal="center"/>
      <protection hidden="1"/>
    </xf>
    <xf numFmtId="10" fontId="5" fillId="0" borderId="7" xfId="0" applyNumberFormat="1" applyFont="1" applyFill="1" applyBorder="1" applyAlignment="1" applyProtection="1">
      <alignment horizontal="center"/>
      <protection hidden="1"/>
    </xf>
    <xf numFmtId="10" fontId="8" fillId="0" borderId="7" xfId="0" applyNumberFormat="1" applyFont="1" applyFill="1" applyBorder="1" applyAlignment="1" applyProtection="1">
      <alignment horizontal="center"/>
      <protection hidden="1"/>
    </xf>
    <xf numFmtId="10" fontId="3" fillId="10" borderId="4" xfId="0" applyNumberFormat="1" applyFont="1" applyFill="1" applyBorder="1" applyAlignment="1" applyProtection="1">
      <alignment horizontal="center"/>
      <protection hidden="1"/>
    </xf>
    <xf numFmtId="10" fontId="2" fillId="0" borderId="0" xfId="0" applyNumberFormat="1" applyFont="1" applyAlignment="1" applyProtection="1">
      <alignment horizontal="center"/>
      <protection hidden="1"/>
    </xf>
    <xf numFmtId="1" fontId="11" fillId="0" borderId="0" xfId="0" applyNumberFormat="1" applyFont="1" applyFill="1" applyProtection="1">
      <protection hidden="1"/>
    </xf>
    <xf numFmtId="3" fontId="8" fillId="0" borderId="7" xfId="0" applyNumberFormat="1" applyFont="1" applyFill="1" applyBorder="1" applyAlignment="1" applyProtection="1">
      <alignment horizontal="right"/>
      <protection locked="0" hidden="1"/>
    </xf>
    <xf numFmtId="0" fontId="6" fillId="0" borderId="7" xfId="0" applyFont="1" applyFill="1" applyBorder="1" applyAlignment="1" applyProtection="1">
      <alignment horizontal="right"/>
      <protection hidden="1"/>
    </xf>
    <xf numFmtId="0" fontId="6" fillId="0" borderId="7" xfId="0" applyFont="1" applyFill="1" applyBorder="1" applyAlignment="1" applyProtection="1">
      <alignment horizontal="left"/>
      <protection hidden="1"/>
    </xf>
    <xf numFmtId="3" fontId="6" fillId="0" borderId="7" xfId="0" applyNumberFormat="1" applyFont="1" applyFill="1" applyBorder="1" applyAlignment="1" applyProtection="1">
      <alignment horizontal="right"/>
      <protection hidden="1"/>
    </xf>
    <xf numFmtId="0" fontId="12" fillId="0" borderId="15" xfId="0" applyFont="1" applyFill="1" applyBorder="1" applyAlignment="1" applyProtection="1">
      <alignment horizontal="center"/>
      <protection hidden="1"/>
    </xf>
    <xf numFmtId="1" fontId="3" fillId="0" borderId="0" xfId="0" applyNumberFormat="1" applyFont="1" applyFill="1" applyAlignment="1" applyProtection="1">
      <alignment horizontal="center"/>
      <protection hidden="1"/>
    </xf>
    <xf numFmtId="0" fontId="5" fillId="0" borderId="4" xfId="0" applyFont="1" applyBorder="1" applyProtection="1">
      <protection hidden="1"/>
    </xf>
    <xf numFmtId="3" fontId="5" fillId="0" borderId="4" xfId="0" applyNumberFormat="1" applyFont="1" applyFill="1" applyBorder="1" applyAlignment="1" applyProtection="1">
      <alignment horizontal="right" wrapText="1"/>
      <protection locked="0" hidden="1"/>
    </xf>
    <xf numFmtId="0" fontId="5" fillId="0" borderId="3" xfId="0" applyFont="1" applyFill="1" applyBorder="1" applyAlignment="1" applyProtection="1">
      <alignment horizontal="left" wrapText="1"/>
      <protection hidden="1"/>
    </xf>
    <xf numFmtId="0" fontId="5" fillId="0" borderId="3" xfId="0" applyFont="1" applyFill="1" applyBorder="1" applyAlignment="1" applyProtection="1">
      <alignment horizontal="center"/>
      <protection hidden="1"/>
    </xf>
    <xf numFmtId="2" fontId="32" fillId="0" borderId="9" xfId="0" applyNumberFormat="1" applyFont="1" applyFill="1" applyBorder="1" applyAlignment="1" applyProtection="1">
      <alignment vertical="center" wrapText="1"/>
      <protection hidden="1"/>
    </xf>
    <xf numFmtId="2" fontId="5" fillId="0" borderId="4" xfId="0" applyNumberFormat="1" applyFont="1" applyFill="1" applyBorder="1" applyAlignment="1" applyProtection="1">
      <alignment horizontal="center" wrapText="1"/>
      <protection hidden="1"/>
    </xf>
    <xf numFmtId="2" fontId="17" fillId="10" borderId="4" xfId="0" applyNumberFormat="1" applyFont="1" applyFill="1" applyBorder="1" applyAlignment="1" applyProtection="1">
      <protection hidden="1"/>
    </xf>
    <xf numFmtId="2" fontId="5" fillId="0" borderId="7" xfId="0" applyNumberFormat="1" applyFont="1" applyFill="1" applyBorder="1" applyAlignment="1" applyProtection="1">
      <alignment horizontal="center"/>
      <protection hidden="1"/>
    </xf>
    <xf numFmtId="2" fontId="8" fillId="0" borderId="7" xfId="0" applyNumberFormat="1" applyFont="1" applyFill="1" applyBorder="1" applyAlignment="1" applyProtection="1">
      <alignment horizontal="right"/>
      <protection hidden="1"/>
    </xf>
    <xf numFmtId="2" fontId="12" fillId="0" borderId="7" xfId="0" applyNumberFormat="1" applyFont="1" applyFill="1" applyBorder="1" applyAlignment="1" applyProtection="1">
      <alignment horizontal="right"/>
      <protection hidden="1"/>
    </xf>
    <xf numFmtId="0" fontId="22" fillId="14" borderId="4" xfId="0" applyFont="1" applyFill="1" applyBorder="1" applyAlignment="1" applyProtection="1">
      <alignment horizontal="right"/>
      <protection locked="0" hidden="1"/>
    </xf>
    <xf numFmtId="10" fontId="21" fillId="0" borderId="7" xfId="0" applyNumberFormat="1" applyFont="1" applyFill="1" applyBorder="1" applyAlignment="1" applyProtection="1">
      <alignment horizontal="center"/>
      <protection hidden="1"/>
    </xf>
    <xf numFmtId="10" fontId="4" fillId="10" borderId="4" xfId="0" applyNumberFormat="1" applyFont="1" applyFill="1" applyBorder="1" applyAlignment="1" applyProtection="1">
      <alignment horizontal="right"/>
      <protection hidden="1"/>
    </xf>
    <xf numFmtId="10" fontId="8" fillId="0" borderId="7" xfId="0" applyNumberFormat="1" applyFont="1" applyFill="1" applyBorder="1" applyAlignment="1" applyProtection="1">
      <alignment horizontal="right"/>
      <protection hidden="1"/>
    </xf>
    <xf numFmtId="10" fontId="22" fillId="0" borderId="0" xfId="0" applyNumberFormat="1" applyFont="1" applyAlignment="1" applyProtection="1">
      <alignment horizontal="center"/>
      <protection hidden="1"/>
    </xf>
    <xf numFmtId="10" fontId="11" fillId="0" borderId="0" xfId="0" applyNumberFormat="1" applyFont="1" applyAlignment="1" applyProtection="1">
      <alignment horizontal="center"/>
      <protection hidden="1"/>
    </xf>
    <xf numFmtId="3" fontId="5" fillId="0" borderId="4" xfId="0" applyNumberFormat="1" applyFont="1" applyFill="1" applyBorder="1" applyAlignment="1" applyProtection="1">
      <alignment horizontal="center" wrapText="1"/>
      <protection locked="0" hidden="1"/>
    </xf>
    <xf numFmtId="10" fontId="32" fillId="0" borderId="9" xfId="0" applyNumberFormat="1" applyFont="1" applyFill="1" applyBorder="1" applyAlignment="1" applyProtection="1">
      <alignment horizontal="center" vertical="center" wrapText="1"/>
      <protection hidden="1"/>
    </xf>
    <xf numFmtId="10" fontId="4" fillId="10" borderId="4" xfId="0" applyNumberFormat="1" applyFont="1" applyFill="1" applyBorder="1" applyAlignment="1" applyProtection="1">
      <alignment horizontal="center"/>
      <protection hidden="1"/>
    </xf>
    <xf numFmtId="3" fontId="32" fillId="0" borderId="9" xfId="0" applyNumberFormat="1" applyFont="1" applyFill="1" applyBorder="1" applyAlignment="1" applyProtection="1">
      <alignment horizontal="center" vertical="center" wrapText="1"/>
      <protection hidden="1"/>
    </xf>
    <xf numFmtId="4" fontId="5" fillId="0" borderId="4" xfId="0" applyNumberFormat="1" applyFont="1" applyFill="1" applyBorder="1" applyAlignment="1" applyProtection="1">
      <alignment horizontal="right"/>
      <protection hidden="1"/>
    </xf>
    <xf numFmtId="0" fontId="7" fillId="0" borderId="0" xfId="0" applyFont="1" applyBorder="1" applyProtection="1">
      <protection hidden="1"/>
    </xf>
    <xf numFmtId="0" fontId="5" fillId="10" borderId="4" xfId="0" applyFont="1" applyFill="1" applyBorder="1" applyAlignment="1" applyProtection="1">
      <alignment horizontal="right"/>
      <protection hidden="1"/>
    </xf>
    <xf numFmtId="0" fontId="20" fillId="0" borderId="9" xfId="4" applyBorder="1"/>
    <xf numFmtId="0" fontId="35" fillId="0" borderId="11" xfId="0" applyFont="1" applyFill="1" applyBorder="1" applyAlignment="1" applyProtection="1">
      <alignment horizontal="right"/>
      <protection hidden="1"/>
    </xf>
    <xf numFmtId="0" fontId="8" fillId="0" borderId="11" xfId="0" applyFont="1" applyFill="1" applyBorder="1" applyAlignment="1" applyProtection="1">
      <alignment horizontal="right"/>
      <protection hidden="1"/>
    </xf>
    <xf numFmtId="0" fontId="5" fillId="0" borderId="1" xfId="0" applyFont="1" applyFill="1" applyBorder="1" applyAlignment="1" applyProtection="1">
      <alignment horizontal="left"/>
      <protection hidden="1"/>
    </xf>
    <xf numFmtId="0" fontId="9" fillId="0" borderId="11" xfId="0" applyFont="1" applyFill="1" applyBorder="1" applyAlignment="1" applyProtection="1">
      <alignment horizontal="left"/>
      <protection hidden="1"/>
    </xf>
    <xf numFmtId="0" fontId="19" fillId="0" borderId="11" xfId="0" applyFont="1" applyFill="1" applyBorder="1" applyAlignment="1" applyProtection="1">
      <alignment horizontal="left"/>
      <protection hidden="1"/>
    </xf>
    <xf numFmtId="2" fontId="2" fillId="9" borderId="11" xfId="0" applyNumberFormat="1" applyFont="1" applyFill="1" applyBorder="1" applyAlignment="1" applyProtection="1">
      <alignment horizontal="left"/>
      <protection hidden="1"/>
    </xf>
    <xf numFmtId="0" fontId="2" fillId="9" borderId="11" xfId="0" applyFont="1" applyFill="1" applyBorder="1" applyAlignment="1" applyProtection="1">
      <alignment horizontal="left"/>
      <protection hidden="1"/>
    </xf>
    <xf numFmtId="0" fontId="2" fillId="0" borderId="0" xfId="0" applyFont="1" applyBorder="1" applyAlignment="1" applyProtection="1">
      <alignment horizontal="left"/>
      <protection hidden="1"/>
    </xf>
    <xf numFmtId="0" fontId="24" fillId="0" borderId="0" xfId="0" applyFont="1" applyFill="1" applyBorder="1" applyAlignment="1" applyProtection="1">
      <alignment horizontal="left"/>
      <protection hidden="1"/>
    </xf>
    <xf numFmtId="0" fontId="24" fillId="0" borderId="0" xfId="0" applyFont="1" applyFill="1" applyBorder="1" applyProtection="1">
      <protection hidden="1"/>
    </xf>
    <xf numFmtId="0" fontId="37" fillId="0" borderId="0" xfId="0" applyFont="1" applyFill="1" applyBorder="1" applyProtection="1">
      <protection hidden="1"/>
    </xf>
    <xf numFmtId="0" fontId="8" fillId="0" borderId="11" xfId="0" applyFont="1" applyBorder="1" applyAlignment="1" applyProtection="1">
      <alignment horizontal="right"/>
      <protection hidden="1"/>
    </xf>
    <xf numFmtId="0" fontId="35" fillId="0" borderId="11" xfId="0" applyFont="1" applyBorder="1" applyAlignment="1" applyProtection="1">
      <alignment horizontal="right"/>
      <protection hidden="1"/>
    </xf>
    <xf numFmtId="3" fontId="3" fillId="10" borderId="4" xfId="0" applyNumberFormat="1" applyFont="1" applyFill="1" applyBorder="1" applyAlignment="1" applyProtection="1">
      <alignment horizontal="center"/>
      <protection hidden="1"/>
    </xf>
    <xf numFmtId="3" fontId="45" fillId="10" borderId="4" xfId="0" applyNumberFormat="1" applyFont="1" applyFill="1" applyBorder="1" applyAlignment="1" applyProtection="1">
      <alignment horizontal="right"/>
      <protection hidden="1"/>
    </xf>
    <xf numFmtId="0" fontId="63" fillId="0" borderId="0" xfId="0" applyFont="1"/>
    <xf numFmtId="0" fontId="38" fillId="0" borderId="15" xfId="4" applyFont="1" applyBorder="1" applyAlignment="1">
      <alignment horizontal="center" vertical="center" wrapText="1"/>
    </xf>
    <xf numFmtId="0" fontId="20" fillId="0" borderId="3" xfId="0" applyFont="1" applyFill="1" applyBorder="1" applyAlignment="1">
      <alignment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3" fontId="20" fillId="20" borderId="0" xfId="0" applyNumberFormat="1" applyFont="1" applyFill="1" applyBorder="1" applyAlignment="1">
      <alignment horizontal="right" vertical="center" wrapText="1"/>
    </xf>
    <xf numFmtId="0" fontId="20" fillId="19" borderId="0" xfId="0" applyFont="1" applyFill="1" applyBorder="1" applyAlignment="1">
      <alignment horizontal="center" vertical="center" wrapText="1"/>
    </xf>
    <xf numFmtId="3" fontId="20" fillId="19" borderId="0" xfId="0" applyNumberFormat="1" applyFont="1" applyFill="1" applyBorder="1" applyAlignment="1">
      <alignment horizontal="right" vertical="center" wrapText="1"/>
    </xf>
    <xf numFmtId="0" fontId="20" fillId="0" borderId="0" xfId="4" applyBorder="1"/>
    <xf numFmtId="3" fontId="16" fillId="0" borderId="2" xfId="4" applyNumberFormat="1" applyFont="1" applyFill="1" applyBorder="1" applyAlignment="1">
      <alignment horizontal="left" vertical="center" wrapText="1"/>
    </xf>
    <xf numFmtId="1" fontId="22" fillId="6" borderId="0" xfId="0" applyNumberFormat="1" applyFont="1" applyFill="1" applyBorder="1" applyAlignment="1" applyProtection="1">
      <alignment horizontal="right"/>
      <protection locked="0" hidden="1"/>
    </xf>
    <xf numFmtId="1" fontId="22" fillId="12" borderId="0" xfId="0" applyNumberFormat="1" applyFont="1" applyFill="1" applyBorder="1" applyAlignment="1" applyProtection="1">
      <alignment horizontal="right"/>
      <protection locked="0" hidden="1"/>
    </xf>
    <xf numFmtId="1" fontId="22" fillId="8" borderId="0" xfId="0" applyNumberFormat="1" applyFont="1" applyFill="1" applyBorder="1" applyAlignment="1" applyProtection="1">
      <alignment horizontal="right"/>
      <protection hidden="1"/>
    </xf>
    <xf numFmtId="0" fontId="2" fillId="0" borderId="0" xfId="0" applyFont="1" applyBorder="1" applyAlignment="1" applyProtection="1">
      <alignment horizontal="right"/>
      <protection hidden="1"/>
    </xf>
    <xf numFmtId="0" fontId="20" fillId="0" borderId="15" xfId="0" applyFont="1" applyFill="1" applyBorder="1" applyAlignment="1" applyProtection="1">
      <alignment horizontal="left"/>
      <protection hidden="1"/>
    </xf>
    <xf numFmtId="0" fontId="20" fillId="0" borderId="0" xfId="0" applyFont="1" applyFill="1" applyBorder="1" applyAlignment="1" applyProtection="1">
      <alignment horizontal="left"/>
      <protection hidden="1"/>
    </xf>
    <xf numFmtId="0" fontId="2" fillId="0" borderId="6" xfId="0" applyFont="1" applyFill="1" applyBorder="1" applyProtection="1">
      <protection hidden="1"/>
    </xf>
    <xf numFmtId="0" fontId="2" fillId="0" borderId="7" xfId="0" applyFont="1" applyFill="1" applyBorder="1" applyProtection="1">
      <protection hidden="1"/>
    </xf>
    <xf numFmtId="3" fontId="5" fillId="10" borderId="6" xfId="0" applyNumberFormat="1" applyFont="1" applyFill="1" applyBorder="1" applyAlignment="1" applyProtection="1">
      <alignment horizontal="center" wrapText="1"/>
      <protection hidden="1"/>
    </xf>
    <xf numFmtId="3" fontId="5" fillId="10" borderId="7" xfId="0" applyNumberFormat="1" applyFont="1" applyFill="1" applyBorder="1" applyAlignment="1" applyProtection="1">
      <alignment horizontal="center" wrapText="1"/>
      <protection hidden="1"/>
    </xf>
    <xf numFmtId="3" fontId="5" fillId="10" borderId="8" xfId="0" applyNumberFormat="1" applyFont="1" applyFill="1" applyBorder="1" applyAlignment="1" applyProtection="1">
      <alignment horizontal="center" wrapText="1"/>
      <protection hidden="1"/>
    </xf>
    <xf numFmtId="3" fontId="7" fillId="0" borderId="6" xfId="0" applyNumberFormat="1" applyFont="1" applyFill="1" applyBorder="1" applyAlignment="1" applyProtection="1">
      <alignment horizontal="right" wrapText="1"/>
      <protection hidden="1"/>
    </xf>
    <xf numFmtId="3" fontId="7" fillId="0" borderId="7" xfId="0" applyNumberFormat="1" applyFont="1" applyFill="1" applyBorder="1" applyAlignment="1" applyProtection="1">
      <alignment horizontal="right" wrapText="1"/>
      <protection hidden="1"/>
    </xf>
    <xf numFmtId="3" fontId="7" fillId="0" borderId="8" xfId="0" applyNumberFormat="1" applyFont="1" applyFill="1" applyBorder="1" applyAlignment="1" applyProtection="1">
      <alignment horizontal="right" wrapText="1"/>
      <protection hidden="1"/>
    </xf>
    <xf numFmtId="0" fontId="65" fillId="9" borderId="0" xfId="0" applyFont="1" applyFill="1" applyProtection="1">
      <protection hidden="1"/>
    </xf>
    <xf numFmtId="0" fontId="65" fillId="0" borderId="0" xfId="0" applyFont="1" applyProtection="1">
      <protection hidden="1"/>
    </xf>
    <xf numFmtId="0" fontId="66" fillId="0" borderId="7" xfId="0" applyFont="1" applyFill="1" applyBorder="1" applyAlignment="1" applyProtection="1">
      <alignment horizontal="left" indent="1"/>
      <protection hidden="1"/>
    </xf>
    <xf numFmtId="0" fontId="40" fillId="10" borderId="4" xfId="4" quotePrefix="1" applyFont="1" applyFill="1" applyBorder="1" applyAlignment="1">
      <alignment horizontal="left" vertical="center" wrapText="1" indent="1"/>
    </xf>
    <xf numFmtId="0" fontId="67" fillId="0" borderId="7" xfId="0" applyFont="1" applyFill="1" applyBorder="1" applyAlignment="1" applyProtection="1">
      <alignment horizontal="right"/>
      <protection hidden="1"/>
    </xf>
    <xf numFmtId="0" fontId="67" fillId="0" borderId="7" xfId="0" applyFont="1" applyFill="1" applyBorder="1" applyAlignment="1" applyProtection="1">
      <alignment horizontal="left" indent="3"/>
      <protection hidden="1"/>
    </xf>
    <xf numFmtId="3" fontId="68" fillId="0" borderId="7" xfId="0" applyNumberFormat="1" applyFont="1" applyFill="1" applyBorder="1" applyAlignment="1" applyProtection="1">
      <alignment horizontal="right"/>
      <protection hidden="1"/>
    </xf>
    <xf numFmtId="3" fontId="2" fillId="10" borderId="2" xfId="0" applyNumberFormat="1" applyFont="1" applyFill="1" applyBorder="1" applyAlignment="1" applyProtection="1">
      <alignment horizontal="right"/>
      <protection hidden="1"/>
    </xf>
    <xf numFmtId="3" fontId="7" fillId="0" borderId="0" xfId="0" applyNumberFormat="1" applyFont="1" applyProtection="1">
      <protection hidden="1"/>
    </xf>
    <xf numFmtId="0" fontId="3" fillId="0" borderId="0" xfId="0" applyFont="1" applyAlignment="1" applyProtection="1">
      <alignment horizontal="right" wrapText="1"/>
      <protection hidden="1"/>
    </xf>
    <xf numFmtId="0" fontId="67" fillId="0" borderId="5" xfId="0" applyFont="1" applyFill="1" applyBorder="1" applyAlignment="1" applyProtection="1">
      <alignment horizontal="left" wrapText="1"/>
      <protection hidden="1"/>
    </xf>
    <xf numFmtId="165" fontId="2" fillId="0" borderId="0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0" fontId="13" fillId="0" borderId="0" xfId="0" applyFont="1" applyBorder="1" applyAlignment="1" applyProtection="1">
      <alignment horizontal="right"/>
      <protection hidden="1"/>
    </xf>
    <xf numFmtId="0" fontId="3" fillId="0" borderId="0" xfId="0" applyFont="1" applyBorder="1" applyProtection="1">
      <protection hidden="1"/>
    </xf>
    <xf numFmtId="165" fontId="5" fillId="6" borderId="0" xfId="0" applyNumberFormat="1" applyFont="1" applyFill="1" applyBorder="1" applyAlignment="1" applyProtection="1">
      <alignment horizontal="center" wrapText="1"/>
      <protection hidden="1"/>
    </xf>
    <xf numFmtId="0" fontId="5" fillId="4" borderId="0" xfId="0" applyFont="1" applyFill="1" applyBorder="1" applyAlignment="1" applyProtection="1">
      <alignment horizontal="center"/>
      <protection hidden="1"/>
    </xf>
    <xf numFmtId="0" fontId="5" fillId="5" borderId="0" xfId="0" applyFont="1" applyFill="1" applyBorder="1" applyAlignment="1" applyProtection="1">
      <alignment horizontal="center"/>
      <protection hidden="1"/>
    </xf>
    <xf numFmtId="3" fontId="4" fillId="10" borderId="11" xfId="0" applyNumberFormat="1" applyFont="1" applyFill="1" applyBorder="1" applyAlignment="1" applyProtection="1">
      <protection hidden="1"/>
    </xf>
    <xf numFmtId="165" fontId="22" fillId="0" borderId="0" xfId="0" applyNumberFormat="1" applyFont="1" applyFill="1" applyBorder="1" applyAlignment="1" applyProtection="1">
      <alignment horizontal="center"/>
      <protection hidden="1"/>
    </xf>
    <xf numFmtId="3" fontId="5" fillId="0" borderId="11" xfId="0" applyNumberFormat="1" applyFont="1" applyFill="1" applyBorder="1" applyAlignment="1" applyProtection="1">
      <protection hidden="1"/>
    </xf>
    <xf numFmtId="3" fontId="35" fillId="0" borderId="11" xfId="0" applyNumberFormat="1" applyFont="1" applyFill="1" applyBorder="1" applyAlignment="1" applyProtection="1">
      <protection hidden="1"/>
    </xf>
    <xf numFmtId="164" fontId="22" fillId="4" borderId="0" xfId="0" applyNumberFormat="1" applyFont="1" applyFill="1" applyBorder="1" applyAlignment="1" applyProtection="1">
      <alignment horizontal="center"/>
      <protection hidden="1"/>
    </xf>
    <xf numFmtId="3" fontId="8" fillId="0" borderId="11" xfId="0" applyNumberFormat="1" applyFont="1" applyFill="1" applyBorder="1" applyAlignment="1" applyProtection="1">
      <protection hidden="1"/>
    </xf>
    <xf numFmtId="0" fontId="9" fillId="0" borderId="0" xfId="0" applyFont="1" applyFill="1" applyBorder="1" applyProtection="1">
      <protection hidden="1"/>
    </xf>
    <xf numFmtId="165" fontId="22" fillId="5" borderId="0" xfId="0" applyNumberFormat="1" applyFont="1" applyFill="1" applyBorder="1" applyAlignment="1" applyProtection="1">
      <alignment horizontal="center"/>
      <protection hidden="1"/>
    </xf>
    <xf numFmtId="3" fontId="7" fillId="0" borderId="11" xfId="0" applyNumberFormat="1" applyFont="1" applyFill="1" applyBorder="1" applyAlignment="1" applyProtection="1">
      <protection hidden="1"/>
    </xf>
    <xf numFmtId="3" fontId="20" fillId="0" borderId="11" xfId="0" applyNumberFormat="1" applyFont="1" applyFill="1" applyBorder="1" applyAlignment="1" applyProtection="1">
      <protection hidden="1"/>
    </xf>
    <xf numFmtId="0" fontId="20" fillId="0" borderId="0" xfId="0" applyFont="1" applyBorder="1" applyProtection="1">
      <protection hidden="1"/>
    </xf>
    <xf numFmtId="165" fontId="52" fillId="0" borderId="0" xfId="0" applyNumberFormat="1" applyFont="1" applyFill="1" applyBorder="1" applyAlignment="1" applyProtection="1">
      <alignment horizontal="center"/>
      <protection hidden="1"/>
    </xf>
    <xf numFmtId="3" fontId="5" fillId="10" borderId="11" xfId="0" applyNumberFormat="1" applyFont="1" applyFill="1" applyBorder="1" applyAlignment="1" applyProtection="1">
      <protection hidden="1"/>
    </xf>
    <xf numFmtId="3" fontId="2" fillId="0" borderId="0" xfId="0" applyNumberFormat="1" applyFont="1" applyBorder="1" applyProtection="1">
      <protection hidden="1"/>
    </xf>
    <xf numFmtId="1" fontId="22" fillId="15" borderId="0" xfId="0" applyNumberFormat="1" applyFont="1" applyFill="1" applyBorder="1" applyAlignment="1" applyProtection="1">
      <alignment horizontal="right"/>
      <protection locked="0" hidden="1"/>
    </xf>
    <xf numFmtId="3" fontId="2" fillId="9" borderId="11" xfId="0" applyNumberFormat="1" applyFont="1" applyFill="1" applyBorder="1" applyAlignment="1" applyProtection="1">
      <protection hidden="1"/>
    </xf>
    <xf numFmtId="1" fontId="22" fillId="9" borderId="0" xfId="0" applyNumberFormat="1" applyFont="1" applyFill="1" applyBorder="1" applyAlignment="1" applyProtection="1">
      <alignment horizontal="right"/>
      <protection locked="0" hidden="1"/>
    </xf>
    <xf numFmtId="3" fontId="20" fillId="0" borderId="11" xfId="0" applyNumberFormat="1" applyFont="1" applyFill="1" applyBorder="1" applyAlignment="1" applyProtection="1">
      <alignment horizontal="right"/>
      <protection hidden="1"/>
    </xf>
    <xf numFmtId="3" fontId="35" fillId="0" borderId="11" xfId="0" applyNumberFormat="1" applyFont="1" applyFill="1" applyBorder="1" applyAlignment="1" applyProtection="1">
      <alignment horizontal="right"/>
      <protection hidden="1"/>
    </xf>
    <xf numFmtId="3" fontId="7" fillId="0" borderId="11" xfId="0" applyNumberFormat="1" applyFont="1" applyFill="1" applyBorder="1" applyAlignment="1" applyProtection="1">
      <alignment horizontal="right"/>
      <protection hidden="1"/>
    </xf>
    <xf numFmtId="3" fontId="8" fillId="0" borderId="11" xfId="0" applyNumberFormat="1" applyFont="1" applyFill="1" applyBorder="1" applyAlignment="1" applyProtection="1">
      <alignment horizontal="right"/>
      <protection hidden="1"/>
    </xf>
    <xf numFmtId="0" fontId="9" fillId="0" borderId="0" xfId="0" applyFont="1" applyBorder="1" applyProtection="1">
      <protection hidden="1"/>
    </xf>
    <xf numFmtId="3" fontId="5" fillId="10" borderId="11" xfId="0" applyNumberFormat="1" applyFont="1" applyFill="1" applyBorder="1" applyAlignment="1" applyProtection="1">
      <alignment horizontal="right"/>
      <protection hidden="1"/>
    </xf>
    <xf numFmtId="3" fontId="2" fillId="9" borderId="11" xfId="0" applyNumberFormat="1" applyFont="1" applyFill="1" applyBorder="1" applyAlignment="1" applyProtection="1">
      <alignment horizontal="right"/>
      <protection hidden="1"/>
    </xf>
    <xf numFmtId="3" fontId="2" fillId="10" borderId="11" xfId="0" applyNumberFormat="1" applyFont="1" applyFill="1" applyBorder="1" applyAlignment="1" applyProtection="1">
      <alignment horizontal="right"/>
      <protection hidden="1"/>
    </xf>
    <xf numFmtId="3" fontId="2" fillId="0" borderId="11" xfId="0" applyNumberFormat="1" applyFont="1" applyFill="1" applyBorder="1" applyAlignment="1" applyProtection="1">
      <alignment horizontal="right"/>
      <protection hidden="1"/>
    </xf>
    <xf numFmtId="3" fontId="2" fillId="0" borderId="0" xfId="0" applyNumberFormat="1" applyFont="1" applyBorder="1" applyAlignment="1" applyProtection="1">
      <alignment horizontal="right"/>
      <protection hidden="1"/>
    </xf>
    <xf numFmtId="3" fontId="3" fillId="0" borderId="0" xfId="0" applyNumberFormat="1" applyFont="1" applyBorder="1" applyAlignment="1" applyProtection="1">
      <alignment horizontal="right"/>
      <protection hidden="1"/>
    </xf>
    <xf numFmtId="0" fontId="13" fillId="0" borderId="0" xfId="0" applyFont="1" applyBorder="1" applyProtection="1">
      <protection hidden="1"/>
    </xf>
    <xf numFmtId="3" fontId="46" fillId="0" borderId="11" xfId="0" applyNumberFormat="1" applyFont="1" applyFill="1" applyBorder="1" applyAlignment="1" applyProtection="1">
      <alignment horizontal="right" wrapText="1"/>
      <protection hidden="1"/>
    </xf>
    <xf numFmtId="0" fontId="5" fillId="0" borderId="0" xfId="0" applyFont="1" applyBorder="1" applyProtection="1">
      <protection hidden="1"/>
    </xf>
    <xf numFmtId="3" fontId="45" fillId="10" borderId="11" xfId="0" quotePrefix="1" applyNumberFormat="1" applyFont="1" applyFill="1" applyBorder="1" applyAlignment="1" applyProtection="1">
      <alignment horizontal="left"/>
      <protection hidden="1"/>
    </xf>
    <xf numFmtId="0" fontId="11" fillId="0" borderId="0" xfId="0" applyFont="1" applyFill="1" applyBorder="1" applyProtection="1">
      <protection hidden="1"/>
    </xf>
    <xf numFmtId="3" fontId="46" fillId="0" borderId="11" xfId="0" applyNumberFormat="1" applyFont="1" applyFill="1" applyBorder="1" applyAlignment="1" applyProtection="1">
      <alignment horizontal="center"/>
      <protection hidden="1"/>
    </xf>
    <xf numFmtId="0" fontId="12" fillId="0" borderId="0" xfId="0" applyFont="1" applyFill="1" applyBorder="1" applyProtection="1">
      <protection hidden="1"/>
    </xf>
    <xf numFmtId="3" fontId="49" fillId="0" borderId="11" xfId="0" applyNumberFormat="1" applyFont="1" applyFill="1" applyBorder="1" applyAlignment="1" applyProtection="1">
      <alignment horizontal="right"/>
      <protection hidden="1"/>
    </xf>
    <xf numFmtId="0" fontId="14" fillId="0" borderId="0" xfId="0" applyFont="1" applyFill="1" applyBorder="1" applyProtection="1">
      <protection hidden="1"/>
    </xf>
    <xf numFmtId="3" fontId="46" fillId="10" borderId="11" xfId="0" applyNumberFormat="1" applyFont="1" applyFill="1" applyBorder="1" applyAlignment="1" applyProtection="1">
      <alignment horizontal="right"/>
      <protection hidden="1"/>
    </xf>
    <xf numFmtId="165" fontId="2" fillId="0" borderId="0" xfId="0" applyNumberFormat="1" applyFont="1" applyFill="1" applyBorder="1" applyAlignment="1" applyProtection="1">
      <alignment horizontal="center"/>
      <protection hidden="1"/>
    </xf>
    <xf numFmtId="3" fontId="51" fillId="0" borderId="0" xfId="0" applyNumberFormat="1" applyFont="1" applyBorder="1" applyAlignment="1" applyProtection="1">
      <alignment horizontal="center"/>
      <protection hidden="1"/>
    </xf>
    <xf numFmtId="0" fontId="0" fillId="0" borderId="0" xfId="0" applyFill="1" applyBorder="1"/>
    <xf numFmtId="1" fontId="2" fillId="0" borderId="0" xfId="0" applyNumberFormat="1" applyFont="1" applyBorder="1" applyAlignment="1" applyProtection="1">
      <alignment horizontal="right"/>
      <protection hidden="1"/>
    </xf>
    <xf numFmtId="1" fontId="22" fillId="0" borderId="0" xfId="0" applyNumberFormat="1" applyFont="1" applyBorder="1" applyAlignment="1" applyProtection="1">
      <alignment horizontal="right"/>
      <protection hidden="1"/>
    </xf>
    <xf numFmtId="0" fontId="11" fillId="8" borderId="0" xfId="0" applyFont="1" applyFill="1" applyBorder="1" applyProtection="1">
      <protection hidden="1"/>
    </xf>
    <xf numFmtId="3" fontId="8" fillId="4" borderId="0" xfId="0" applyNumberFormat="1" applyFont="1" applyFill="1" applyBorder="1" applyProtection="1">
      <protection hidden="1"/>
    </xf>
    <xf numFmtId="0" fontId="8" fillId="4" borderId="0" xfId="0" applyFont="1" applyFill="1" applyBorder="1" applyProtection="1">
      <protection hidden="1"/>
    </xf>
    <xf numFmtId="0" fontId="11" fillId="0" borderId="0" xfId="0" applyFont="1" applyBorder="1" applyProtection="1">
      <protection hidden="1"/>
    </xf>
    <xf numFmtId="3" fontId="3" fillId="0" borderId="0" xfId="0" applyNumberFormat="1" applyFont="1" applyBorder="1" applyProtection="1">
      <protection hidden="1"/>
    </xf>
    <xf numFmtId="0" fontId="40" fillId="10" borderId="4" xfId="4" quotePrefix="1" applyFont="1" applyFill="1" applyBorder="1" applyAlignment="1">
      <alignment horizontal="center" vertical="center" wrapText="1"/>
    </xf>
    <xf numFmtId="0" fontId="40" fillId="10" borderId="4" xfId="4" applyFont="1" applyFill="1" applyBorder="1" applyAlignment="1">
      <alignment horizontal="center" vertical="center" wrapText="1"/>
    </xf>
    <xf numFmtId="0" fontId="69" fillId="0" borderId="5" xfId="0" applyFont="1" applyFill="1" applyBorder="1" applyAlignment="1" applyProtection="1">
      <alignment horizontal="left"/>
      <protection locked="0" hidden="1"/>
    </xf>
    <xf numFmtId="0" fontId="70" fillId="0" borderId="0" xfId="5" applyFont="1"/>
    <xf numFmtId="0" fontId="71" fillId="0" borderId="0" xfId="0" applyFont="1"/>
    <xf numFmtId="0" fontId="74" fillId="0" borderId="7" xfId="0" applyFont="1" applyFill="1" applyBorder="1" applyAlignment="1" applyProtection="1">
      <alignment horizontal="right"/>
      <protection hidden="1"/>
    </xf>
    <xf numFmtId="0" fontId="74" fillId="0" borderId="11" xfId="0" applyFont="1" applyBorder="1" applyAlignment="1" applyProtection="1">
      <alignment horizontal="right"/>
      <protection hidden="1"/>
    </xf>
    <xf numFmtId="0" fontId="75" fillId="0" borderId="5" xfId="0" applyFont="1" applyFill="1" applyBorder="1" applyAlignment="1" applyProtection="1">
      <alignment horizontal="left" wrapText="1"/>
      <protection hidden="1"/>
    </xf>
    <xf numFmtId="0" fontId="74" fillId="0" borderId="7" xfId="0" applyFont="1" applyFill="1" applyBorder="1" applyAlignment="1" applyProtection="1">
      <alignment horizontal="left"/>
      <protection hidden="1"/>
    </xf>
    <xf numFmtId="4" fontId="74" fillId="0" borderId="7" xfId="0" applyNumberFormat="1" applyFont="1" applyFill="1" applyBorder="1" applyAlignment="1" applyProtection="1">
      <protection hidden="1"/>
    </xf>
    <xf numFmtId="3" fontId="74" fillId="0" borderId="7" xfId="0" applyNumberFormat="1" applyFont="1" applyFill="1" applyBorder="1" applyAlignment="1" applyProtection="1">
      <alignment horizontal="right"/>
      <protection hidden="1"/>
    </xf>
    <xf numFmtId="10" fontId="76" fillId="0" borderId="7" xfId="0" applyNumberFormat="1" applyFont="1" applyFill="1" applyBorder="1" applyAlignment="1" applyProtection="1">
      <alignment horizontal="right"/>
      <protection hidden="1"/>
    </xf>
    <xf numFmtId="3" fontId="74" fillId="0" borderId="11" xfId="0" applyNumberFormat="1" applyFont="1" applyFill="1" applyBorder="1" applyAlignment="1" applyProtection="1">
      <alignment horizontal="right"/>
      <protection hidden="1"/>
    </xf>
    <xf numFmtId="0" fontId="74" fillId="0" borderId="0" xfId="0" applyFont="1" applyFill="1" applyBorder="1" applyProtection="1">
      <protection hidden="1"/>
    </xf>
    <xf numFmtId="2" fontId="77" fillId="6" borderId="0" xfId="0" applyNumberFormat="1" applyFont="1" applyFill="1" applyBorder="1" applyAlignment="1" applyProtection="1">
      <alignment horizontal="center"/>
      <protection locked="0" hidden="1"/>
    </xf>
    <xf numFmtId="164" fontId="77" fillId="4" borderId="0" xfId="0" applyNumberFormat="1" applyFont="1" applyFill="1" applyBorder="1" applyAlignment="1" applyProtection="1">
      <alignment horizontal="center"/>
      <protection hidden="1"/>
    </xf>
    <xf numFmtId="1" fontId="77" fillId="6" borderId="0" xfId="0" applyNumberFormat="1" applyFont="1" applyFill="1" applyBorder="1" applyAlignment="1" applyProtection="1">
      <alignment horizontal="right"/>
      <protection locked="0" hidden="1"/>
    </xf>
    <xf numFmtId="0" fontId="74" fillId="0" borderId="0" xfId="0" applyFont="1" applyFill="1" applyProtection="1">
      <protection hidden="1"/>
    </xf>
    <xf numFmtId="0" fontId="74" fillId="0" borderId="7" xfId="0" applyFont="1" applyFill="1" applyBorder="1" applyProtection="1">
      <protection hidden="1"/>
    </xf>
    <xf numFmtId="0" fontId="74" fillId="0" borderId="11" xfId="0" applyFont="1" applyFill="1" applyBorder="1" applyAlignment="1" applyProtection="1">
      <alignment horizontal="left"/>
      <protection hidden="1"/>
    </xf>
    <xf numFmtId="2" fontId="74" fillId="0" borderId="7" xfId="0" applyNumberFormat="1" applyFont="1" applyFill="1" applyBorder="1" applyAlignment="1" applyProtection="1">
      <alignment horizontal="right"/>
      <protection hidden="1"/>
    </xf>
    <xf numFmtId="4" fontId="74" fillId="0" borderId="7" xfId="0" applyNumberFormat="1" applyFont="1" applyFill="1" applyBorder="1" applyAlignment="1" applyProtection="1">
      <alignment horizontal="right"/>
      <protection hidden="1"/>
    </xf>
    <xf numFmtId="0" fontId="74" fillId="0" borderId="7" xfId="0" applyFont="1" applyFill="1" applyBorder="1" applyAlignment="1" applyProtection="1">
      <alignment horizontal="right"/>
      <protection locked="0" hidden="1"/>
    </xf>
    <xf numFmtId="3" fontId="74" fillId="0" borderId="7" xfId="0" applyNumberFormat="1" applyFont="1" applyFill="1" applyBorder="1" applyProtection="1">
      <protection hidden="1"/>
    </xf>
    <xf numFmtId="4" fontId="74" fillId="0" borderId="7" xfId="0" applyNumberFormat="1" applyFont="1" applyFill="1" applyBorder="1" applyProtection="1">
      <protection hidden="1"/>
    </xf>
    <xf numFmtId="10" fontId="76" fillId="0" borderId="7" xfId="0" applyNumberFormat="1" applyFont="1" applyFill="1" applyBorder="1" applyAlignment="1" applyProtection="1">
      <alignment horizontal="center"/>
      <protection locked="0" hidden="1"/>
    </xf>
    <xf numFmtId="1" fontId="77" fillId="12" borderId="0" xfId="0" applyNumberFormat="1" applyFont="1" applyFill="1" applyBorder="1" applyAlignment="1" applyProtection="1">
      <alignment horizontal="right"/>
      <protection locked="0" hidden="1"/>
    </xf>
    <xf numFmtId="0" fontId="74" fillId="4" borderId="0" xfId="0" applyFont="1" applyFill="1" applyProtection="1">
      <protection hidden="1"/>
    </xf>
    <xf numFmtId="0" fontId="78" fillId="0" borderId="11" xfId="0" applyFont="1" applyFill="1" applyBorder="1" applyAlignment="1" applyProtection="1">
      <alignment horizontal="left"/>
      <protection hidden="1"/>
    </xf>
    <xf numFmtId="0" fontId="74" fillId="21" borderId="7" xfId="0" applyFont="1" applyFill="1" applyBorder="1" applyAlignment="1" applyProtection="1">
      <protection locked="0" hidden="1"/>
    </xf>
    <xf numFmtId="0" fontId="74" fillId="21" borderId="7" xfId="0" applyFont="1" applyFill="1" applyBorder="1" applyAlignment="1" applyProtection="1">
      <alignment horizontal="left"/>
      <protection locked="0" hidden="1"/>
    </xf>
    <xf numFmtId="4" fontId="74" fillId="21" borderId="7" xfId="0" applyNumberFormat="1" applyFont="1" applyFill="1" applyBorder="1" applyAlignment="1" applyProtection="1">
      <protection locked="0" hidden="1"/>
    </xf>
    <xf numFmtId="10" fontId="76" fillId="21" borderId="7" xfId="0" applyNumberFormat="1" applyFont="1" applyFill="1" applyBorder="1" applyAlignment="1" applyProtection="1">
      <alignment horizontal="right"/>
      <protection hidden="1"/>
    </xf>
    <xf numFmtId="3" fontId="74" fillId="0" borderId="7" xfId="0" applyNumberFormat="1" applyFont="1" applyFill="1" applyBorder="1" applyAlignment="1" applyProtection="1">
      <protection hidden="1"/>
    </xf>
    <xf numFmtId="3" fontId="74" fillId="0" borderId="11" xfId="0" applyNumberFormat="1" applyFont="1" applyFill="1" applyBorder="1" applyAlignment="1" applyProtection="1">
      <protection hidden="1"/>
    </xf>
    <xf numFmtId="165" fontId="77" fillId="0" borderId="0" xfId="0" applyNumberFormat="1" applyFont="1" applyFill="1" applyBorder="1" applyAlignment="1" applyProtection="1">
      <alignment horizontal="center"/>
      <protection hidden="1"/>
    </xf>
    <xf numFmtId="0" fontId="79" fillId="0" borderId="0" xfId="0" applyFont="1" applyFill="1" applyBorder="1" applyAlignment="1" applyProtection="1">
      <alignment horizontal="right"/>
      <protection hidden="1"/>
    </xf>
    <xf numFmtId="2" fontId="0" fillId="0" borderId="20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3" fontId="6" fillId="10" borderId="4" xfId="0" applyNumberFormat="1" applyFont="1" applyFill="1" applyBorder="1" applyAlignment="1" applyProtection="1">
      <alignment horizontal="right"/>
      <protection hidden="1"/>
    </xf>
    <xf numFmtId="10" fontId="6" fillId="10" borderId="4" xfId="0" applyNumberFormat="1" applyFont="1" applyFill="1" applyBorder="1" applyAlignment="1" applyProtection="1">
      <alignment horizontal="right"/>
      <protection hidden="1"/>
    </xf>
    <xf numFmtId="2" fontId="0" fillId="0" borderId="2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80" fillId="0" borderId="0" xfId="5" applyFont="1" applyAlignment="1">
      <alignment wrapText="1"/>
    </xf>
    <xf numFmtId="0" fontId="40" fillId="10" borderId="12" xfId="4" applyFont="1" applyFill="1" applyBorder="1" applyAlignment="1">
      <alignment horizontal="center" vertical="center" wrapText="1"/>
    </xf>
    <xf numFmtId="0" fontId="40" fillId="10" borderId="14" xfId="4" applyFont="1" applyFill="1" applyBorder="1" applyAlignment="1">
      <alignment horizontal="center" vertical="center" wrapText="1"/>
    </xf>
    <xf numFmtId="14" fontId="16" fillId="0" borderId="1" xfId="4" applyNumberFormat="1" applyFont="1" applyFill="1" applyBorder="1" applyAlignment="1">
      <alignment horizontal="center" vertical="center" wrapText="1"/>
    </xf>
    <xf numFmtId="0" fontId="16" fillId="0" borderId="2" xfId="4" applyFont="1" applyFill="1" applyBorder="1" applyAlignment="1">
      <alignment horizontal="center" vertical="center" wrapText="1"/>
    </xf>
    <xf numFmtId="0" fontId="16" fillId="0" borderId="3" xfId="4" applyFont="1" applyFill="1" applyBorder="1" applyAlignment="1">
      <alignment horizontal="center" vertical="center" wrapText="1"/>
    </xf>
    <xf numFmtId="0" fontId="40" fillId="10" borderId="1" xfId="4" applyFont="1" applyFill="1" applyBorder="1" applyAlignment="1">
      <alignment horizontal="left" vertical="center" wrapText="1" indent="1"/>
    </xf>
    <xf numFmtId="0" fontId="40" fillId="10" borderId="3" xfId="4" applyFont="1" applyFill="1" applyBorder="1" applyAlignment="1">
      <alignment horizontal="left" vertical="center" wrapText="1" indent="1"/>
    </xf>
    <xf numFmtId="0" fontId="16" fillId="0" borderId="1" xfId="4" applyFont="1" applyFill="1" applyBorder="1" applyAlignment="1">
      <alignment horizontal="left" vertical="center" wrapText="1" indent="1"/>
    </xf>
    <xf numFmtId="0" fontId="16" fillId="0" borderId="2" xfId="4" applyFont="1" applyFill="1" applyBorder="1" applyAlignment="1">
      <alignment horizontal="left" vertical="center" wrapText="1" indent="1"/>
    </xf>
    <xf numFmtId="0" fontId="16" fillId="0" borderId="3" xfId="4" applyFont="1" applyFill="1" applyBorder="1" applyAlignment="1">
      <alignment horizontal="left" vertical="center" wrapText="1" indent="1"/>
    </xf>
    <xf numFmtId="0" fontId="39" fillId="0" borderId="2" xfId="4" applyFont="1" applyFill="1" applyBorder="1" applyAlignment="1">
      <alignment horizontal="center" vertical="center"/>
    </xf>
    <xf numFmtId="0" fontId="41" fillId="11" borderId="1" xfId="4" applyFont="1" applyFill="1" applyBorder="1" applyAlignment="1">
      <alignment horizontal="left" vertical="center" wrapText="1" indent="1"/>
    </xf>
    <xf numFmtId="0" fontId="41" fillId="11" borderId="2" xfId="4" applyFont="1" applyFill="1" applyBorder="1" applyAlignment="1">
      <alignment horizontal="left" vertical="center" wrapText="1" indent="1"/>
    </xf>
    <xf numFmtId="0" fontId="41" fillId="11" borderId="3" xfId="4" applyFont="1" applyFill="1" applyBorder="1" applyAlignment="1">
      <alignment horizontal="left" vertical="center" wrapText="1" indent="1"/>
    </xf>
    <xf numFmtId="17" fontId="16" fillId="0" borderId="1" xfId="4" applyNumberFormat="1" applyFont="1" applyFill="1" applyBorder="1" applyAlignment="1">
      <alignment horizontal="center" vertical="center" wrapText="1"/>
    </xf>
    <xf numFmtId="0" fontId="42" fillId="11" borderId="1" xfId="4" applyFont="1" applyFill="1" applyBorder="1" applyAlignment="1">
      <alignment horizontal="left" vertical="center" wrapText="1" indent="1"/>
    </xf>
    <xf numFmtId="0" fontId="42" fillId="11" borderId="3" xfId="4" applyFont="1" applyFill="1" applyBorder="1" applyAlignment="1">
      <alignment horizontal="left" vertical="center" wrapText="1" indent="1"/>
    </xf>
    <xf numFmtId="0" fontId="39" fillId="11" borderId="13" xfId="4" applyFont="1" applyFill="1" applyBorder="1" applyAlignment="1">
      <alignment horizontal="left" vertical="center" wrapText="1" indent="1"/>
    </xf>
    <xf numFmtId="0" fontId="39" fillId="11" borderId="2" xfId="4" applyFont="1" applyFill="1" applyBorder="1" applyAlignment="1">
      <alignment horizontal="left" vertical="center" wrapText="1" indent="1"/>
    </xf>
    <xf numFmtId="0" fontId="39" fillId="11" borderId="15" xfId="4" applyFont="1" applyFill="1" applyBorder="1" applyAlignment="1">
      <alignment horizontal="left" vertical="center" wrapText="1" indent="1"/>
    </xf>
    <xf numFmtId="0" fontId="39" fillId="11" borderId="16" xfId="4" applyFont="1" applyFill="1" applyBorder="1" applyAlignment="1">
      <alignment horizontal="left" vertical="center" wrapText="1" indent="1"/>
    </xf>
    <xf numFmtId="0" fontId="40" fillId="10" borderId="13" xfId="4" applyFont="1" applyFill="1" applyBorder="1" applyAlignment="1">
      <alignment horizontal="left" vertical="center" wrapText="1" indent="1"/>
    </xf>
    <xf numFmtId="0" fontId="40" fillId="10" borderId="16" xfId="4" applyFont="1" applyFill="1" applyBorder="1" applyAlignment="1">
      <alignment horizontal="left" vertical="center" wrapText="1" indent="1"/>
    </xf>
    <xf numFmtId="0" fontId="43" fillId="0" borderId="13" xfId="4" applyFont="1" applyFill="1" applyBorder="1" applyAlignment="1">
      <alignment horizontal="left" vertical="center" wrapText="1" indent="1"/>
    </xf>
    <xf numFmtId="0" fontId="43" fillId="0" borderId="15" xfId="4" applyFont="1" applyFill="1" applyBorder="1" applyAlignment="1">
      <alignment horizontal="left" vertical="center" wrapText="1" indent="1"/>
    </xf>
    <xf numFmtId="0" fontId="43" fillId="0" borderId="16" xfId="4" applyFont="1" applyFill="1" applyBorder="1" applyAlignment="1">
      <alignment horizontal="left" vertical="center" wrapText="1" indent="1"/>
    </xf>
    <xf numFmtId="0" fontId="43" fillId="0" borderId="11" xfId="4" applyFont="1" applyFill="1" applyBorder="1" applyAlignment="1">
      <alignment horizontal="left" vertical="center" wrapText="1" indent="1"/>
    </xf>
    <xf numFmtId="0" fontId="43" fillId="0" borderId="0" xfId="4" applyFont="1" applyFill="1" applyBorder="1" applyAlignment="1">
      <alignment horizontal="left" vertical="center" wrapText="1" indent="1"/>
    </xf>
    <xf numFmtId="0" fontId="43" fillId="0" borderId="5" xfId="4" applyFont="1" applyFill="1" applyBorder="1" applyAlignment="1">
      <alignment horizontal="left" vertical="center" wrapText="1" indent="1"/>
    </xf>
    <xf numFmtId="0" fontId="43" fillId="0" borderId="12" xfId="4" applyFont="1" applyFill="1" applyBorder="1" applyAlignment="1">
      <alignment horizontal="left" vertical="center" wrapText="1" indent="1"/>
    </xf>
    <xf numFmtId="0" fontId="43" fillId="0" borderId="9" xfId="4" applyFont="1" applyFill="1" applyBorder="1" applyAlignment="1">
      <alignment horizontal="left" vertical="center" wrapText="1" indent="1"/>
    </xf>
    <xf numFmtId="0" fontId="43" fillId="0" borderId="14" xfId="4" applyFont="1" applyFill="1" applyBorder="1" applyAlignment="1">
      <alignment horizontal="left" vertical="center" wrapText="1" indent="1"/>
    </xf>
    <xf numFmtId="0" fontId="40" fillId="10" borderId="11" xfId="4" applyFont="1" applyFill="1" applyBorder="1" applyAlignment="1">
      <alignment horizontal="left" vertical="center" wrapText="1" indent="1"/>
    </xf>
    <xf numFmtId="0" fontId="40" fillId="10" borderId="5" xfId="4" applyFont="1" applyFill="1" applyBorder="1" applyAlignment="1">
      <alignment horizontal="left" vertical="center" wrapText="1" indent="1"/>
    </xf>
    <xf numFmtId="0" fontId="40" fillId="10" borderId="12" xfId="4" applyFont="1" applyFill="1" applyBorder="1" applyAlignment="1">
      <alignment horizontal="left" vertical="center" wrapText="1" indent="1"/>
    </xf>
    <xf numFmtId="0" fontId="40" fillId="10" borderId="14" xfId="4" applyFont="1" applyFill="1" applyBorder="1" applyAlignment="1">
      <alignment horizontal="left" vertical="center" wrapText="1" indent="1"/>
    </xf>
    <xf numFmtId="0" fontId="16" fillId="0" borderId="1" xfId="4" applyFont="1" applyFill="1" applyBorder="1" applyAlignment="1">
      <alignment horizontal="center" vertical="center"/>
    </xf>
    <xf numFmtId="0" fontId="16" fillId="0" borderId="2" xfId="4" applyFont="1" applyFill="1" applyBorder="1" applyAlignment="1">
      <alignment horizontal="center" vertical="center"/>
    </xf>
    <xf numFmtId="0" fontId="16" fillId="0" borderId="3" xfId="4" applyFont="1" applyFill="1" applyBorder="1" applyAlignment="1">
      <alignment horizontal="center" vertical="center"/>
    </xf>
    <xf numFmtId="0" fontId="40" fillId="10" borderId="1" xfId="4" applyFont="1" applyFill="1" applyBorder="1" applyAlignment="1">
      <alignment horizontal="center" vertical="center" wrapText="1"/>
    </xf>
    <xf numFmtId="0" fontId="40" fillId="10" borderId="2" xfId="4" applyFont="1" applyFill="1" applyBorder="1" applyAlignment="1">
      <alignment horizontal="center" vertical="center" wrapText="1"/>
    </xf>
    <xf numFmtId="0" fontId="16" fillId="0" borderId="1" xfId="4" applyFont="1" applyFill="1" applyBorder="1" applyAlignment="1">
      <alignment horizontal="center" vertical="center" wrapText="1"/>
    </xf>
    <xf numFmtId="0" fontId="39" fillId="10" borderId="1" xfId="4" applyFont="1" applyFill="1" applyBorder="1" applyAlignment="1">
      <alignment horizontal="left" vertical="center" wrapText="1"/>
    </xf>
    <xf numFmtId="0" fontId="39" fillId="10" borderId="2" xfId="4" applyFont="1" applyFill="1" applyBorder="1" applyAlignment="1">
      <alignment horizontal="left" vertical="center" wrapText="1"/>
    </xf>
    <xf numFmtId="0" fontId="39" fillId="10" borderId="3" xfId="4" applyFont="1" applyFill="1" applyBorder="1" applyAlignment="1">
      <alignment horizontal="left" vertical="center" wrapText="1"/>
    </xf>
    <xf numFmtId="0" fontId="39" fillId="0" borderId="1" xfId="4" applyFont="1" applyFill="1" applyBorder="1" applyAlignment="1">
      <alignment horizontal="left" vertical="center" wrapText="1"/>
    </xf>
    <xf numFmtId="0" fontId="39" fillId="0" borderId="2" xfId="4" applyFont="1" applyFill="1" applyBorder="1" applyAlignment="1">
      <alignment horizontal="left" vertical="center" wrapText="1"/>
    </xf>
    <xf numFmtId="0" fontId="39" fillId="0" borderId="3" xfId="4" applyFont="1" applyFill="1" applyBorder="1" applyAlignment="1">
      <alignment horizontal="left" vertical="center" wrapText="1"/>
    </xf>
    <xf numFmtId="0" fontId="39" fillId="0" borderId="1" xfId="4" applyFont="1" applyFill="1" applyBorder="1" applyAlignment="1">
      <alignment horizontal="left" vertical="center" wrapText="1" indent="1"/>
    </xf>
    <xf numFmtId="0" fontId="39" fillId="0" borderId="3" xfId="4" applyFont="1" applyFill="1" applyBorder="1" applyAlignment="1">
      <alignment horizontal="left" vertical="center" wrapText="1" indent="1"/>
    </xf>
    <xf numFmtId="0" fontId="16" fillId="11" borderId="1" xfId="4" applyFont="1" applyFill="1" applyBorder="1" applyAlignment="1">
      <alignment horizontal="left" vertical="center" wrapText="1" indent="1"/>
    </xf>
    <xf numFmtId="0" fontId="16" fillId="11" borderId="3" xfId="4" applyFont="1" applyFill="1" applyBorder="1" applyAlignment="1">
      <alignment horizontal="left" vertical="center" wrapText="1" indent="1"/>
    </xf>
    <xf numFmtId="0" fontId="40" fillId="10" borderId="1" xfId="0" applyFont="1" applyFill="1" applyBorder="1" applyAlignment="1">
      <alignment horizontal="left" vertical="center" wrapText="1" indent="1"/>
    </xf>
    <xf numFmtId="0" fontId="40" fillId="10" borderId="3" xfId="0" applyFont="1" applyFill="1" applyBorder="1" applyAlignment="1">
      <alignment horizontal="left" vertical="center" wrapText="1" indent="1"/>
    </xf>
    <xf numFmtId="0" fontId="41" fillId="11" borderId="2" xfId="4" applyFont="1" applyFill="1" applyBorder="1" applyAlignment="1">
      <alignment horizontal="left" vertical="center" wrapText="1"/>
    </xf>
    <xf numFmtId="0" fontId="41" fillId="11" borderId="3" xfId="4" applyFont="1" applyFill="1" applyBorder="1" applyAlignment="1">
      <alignment horizontal="left" vertical="center" wrapText="1"/>
    </xf>
    <xf numFmtId="0" fontId="41" fillId="11" borderId="1" xfId="4" applyFont="1" applyFill="1" applyBorder="1" applyAlignment="1">
      <alignment horizontal="left" vertical="center" wrapText="1"/>
    </xf>
    <xf numFmtId="0" fontId="20" fillId="19" borderId="0" xfId="0" applyFont="1" applyFill="1" applyBorder="1" applyAlignment="1">
      <alignment horizontal="left" vertical="center" wrapText="1" indent="1"/>
    </xf>
    <xf numFmtId="0" fontId="16" fillId="0" borderId="0" xfId="4" applyFont="1" applyFill="1" applyBorder="1" applyAlignment="1">
      <alignment horizontal="left" vertical="center" wrapText="1"/>
    </xf>
    <xf numFmtId="0" fontId="20" fillId="20" borderId="0" xfId="0" applyFont="1" applyFill="1" applyBorder="1" applyAlignment="1">
      <alignment horizontal="center" vertical="center" wrapText="1"/>
    </xf>
    <xf numFmtId="0" fontId="19" fillId="19" borderId="0" xfId="0" applyFont="1" applyFill="1" applyBorder="1" applyAlignment="1">
      <alignment horizontal="left" vertical="center" wrapText="1" indent="1"/>
    </xf>
    <xf numFmtId="0" fontId="64" fillId="20" borderId="0" xfId="0" applyFont="1" applyFill="1" applyBorder="1" applyAlignment="1">
      <alignment horizontal="left" vertical="center" wrapText="1" indent="1"/>
    </xf>
    <xf numFmtId="0" fontId="10" fillId="10" borderId="0" xfId="0" applyFont="1" applyFill="1" applyAlignment="1" applyProtection="1">
      <alignment horizontal="center"/>
      <protection hidden="1"/>
    </xf>
    <xf numFmtId="0" fontId="10" fillId="10" borderId="5" xfId="0" applyFont="1" applyFill="1" applyBorder="1" applyAlignment="1" applyProtection="1">
      <alignment horizontal="center"/>
      <protection hidden="1"/>
    </xf>
    <xf numFmtId="0" fontId="4" fillId="10" borderId="5" xfId="0" applyFont="1" applyFill="1" applyBorder="1" applyAlignment="1" applyProtection="1">
      <alignment horizontal="center" vertical="center" textRotation="90" wrapText="1"/>
      <protection hidden="1"/>
    </xf>
    <xf numFmtId="0" fontId="27" fillId="10" borderId="1" xfId="0" applyFont="1" applyFill="1" applyBorder="1" applyAlignment="1" applyProtection="1">
      <alignment horizontal="center" vertical="center"/>
      <protection hidden="1"/>
    </xf>
    <xf numFmtId="0" fontId="27" fillId="10" borderId="2" xfId="0" applyFont="1" applyFill="1" applyBorder="1" applyAlignment="1" applyProtection="1">
      <alignment horizontal="center" vertical="center"/>
      <protection hidden="1"/>
    </xf>
    <xf numFmtId="0" fontId="4" fillId="10" borderId="6" xfId="0" applyFont="1" applyFill="1" applyBorder="1" applyAlignment="1" applyProtection="1">
      <alignment horizontal="center" vertical="center" textRotation="90" wrapText="1"/>
      <protection hidden="1"/>
    </xf>
    <xf numFmtId="0" fontId="4" fillId="10" borderId="7" xfId="0" applyFont="1" applyFill="1" applyBorder="1" applyAlignment="1" applyProtection="1">
      <alignment horizontal="center" vertical="center" textRotation="90" wrapText="1"/>
      <protection hidden="1"/>
    </xf>
    <xf numFmtId="0" fontId="4" fillId="10" borderId="8" xfId="0" applyFont="1" applyFill="1" applyBorder="1" applyAlignment="1" applyProtection="1">
      <alignment horizontal="center" vertical="center" textRotation="90" wrapText="1"/>
      <protection hidden="1"/>
    </xf>
    <xf numFmtId="0" fontId="25" fillId="10" borderId="7" xfId="0" applyFont="1" applyFill="1" applyBorder="1" applyAlignment="1">
      <alignment vertical="center" textRotation="90" wrapText="1"/>
    </xf>
    <xf numFmtId="0" fontId="5" fillId="10" borderId="6" xfId="0" applyFont="1" applyFill="1" applyBorder="1" applyAlignment="1" applyProtection="1">
      <alignment horizontal="center" vertical="center" textRotation="90" wrapText="1"/>
      <protection hidden="1"/>
    </xf>
    <xf numFmtId="0" fontId="5" fillId="10" borderId="7" xfId="0" applyFont="1" applyFill="1" applyBorder="1" applyAlignment="1" applyProtection="1">
      <alignment horizontal="center" vertical="center" textRotation="90" wrapText="1"/>
      <protection hidden="1"/>
    </xf>
    <xf numFmtId="165" fontId="5" fillId="6" borderId="4" xfId="0" applyNumberFormat="1" applyFont="1" applyFill="1" applyBorder="1" applyAlignment="1" applyProtection="1">
      <alignment horizontal="right" wrapText="1"/>
      <protection hidden="1"/>
    </xf>
  </cellXfs>
  <cellStyles count="19">
    <cellStyle name="annotation" xfId="9"/>
    <cellStyle name="Background_Heading" xfId="10"/>
    <cellStyle name="element" xfId="11"/>
    <cellStyle name="elemhead" xfId="12"/>
    <cellStyle name="Heading1" xfId="1"/>
    <cellStyle name="Heading2" xfId="2"/>
    <cellStyle name="Heading3" xfId="13"/>
    <cellStyle name="Highlight" xfId="14"/>
    <cellStyle name="line" xfId="8"/>
    <cellStyle name="Normal" xfId="0" builtinId="0"/>
    <cellStyle name="Normal 2" xfId="3"/>
    <cellStyle name="Normal 3" xfId="4"/>
    <cellStyle name="Normal 4" xfId="5"/>
    <cellStyle name="Normal 5" xfId="7"/>
    <cellStyle name="Page_title" xfId="15"/>
    <cellStyle name="Percent 2" xfId="6"/>
    <cellStyle name="SAP_box" xfId="16"/>
    <cellStyle name="SubTotal" xfId="17"/>
    <cellStyle name="Variable_derived" xfId="18"/>
  </cellStyles>
  <dxfs count="0"/>
  <tableStyles count="0" defaultTableStyle="TableStyleMedium9" defaultPivotStyle="PivotStyleLight16"/>
  <colors>
    <mruColors>
      <color rgb="FFCCFFCC"/>
      <color rgb="FF006699"/>
      <color rgb="FF33CC33"/>
      <color rgb="FFCCFF99"/>
      <color rgb="FF66FF3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30"/>
      <c:perspective val="30"/>
    </c:view3D>
    <c:plotArea>
      <c:layout>
        <c:manualLayout>
          <c:layoutTarget val="inner"/>
          <c:xMode val="edge"/>
          <c:yMode val="edge"/>
          <c:x val="8.1784735658139998E-2"/>
          <c:y val="0.11964245029452897"/>
          <c:w val="0.55066578398213728"/>
          <c:h val="0.87500076694927265"/>
        </c:manualLayout>
      </c:layout>
      <c:pie3DChart>
        <c:varyColors val="1"/>
        <c:ser>
          <c:idx val="0"/>
          <c:order val="0"/>
          <c:explosion val="25"/>
          <c:dPt>
            <c:idx val="2"/>
            <c:explosion val="31"/>
          </c:dPt>
          <c:dLbls>
            <c:txPr>
              <a:bodyPr/>
              <a:lstStyle/>
              <a:p>
                <a:pPr>
                  <a:defRPr lang="en-US" b="1"/>
                </a:pPr>
                <a:endParaRPr lang="en-US"/>
              </a:p>
            </c:txPr>
            <c:showVal val="1"/>
            <c:showLeaderLines val="1"/>
          </c:dLbls>
          <c:cat>
            <c:strRef>
              <c:f>Summary!$C$34:$C$38</c:f>
              <c:strCache>
                <c:ptCount val="5"/>
                <c:pt idx="0">
                  <c:v>Maintenance Costs </c:v>
                </c:pt>
                <c:pt idx="2">
                  <c:v>Operations Costs </c:v>
                </c:pt>
                <c:pt idx="4">
                  <c:v>Occupancy Costs </c:v>
                </c:pt>
              </c:strCache>
            </c:strRef>
          </c:cat>
          <c:val>
            <c:numRef>
              <c:f>Summary!$I$34:$I$38</c:f>
              <c:numCache>
                <c:formatCode>#,##0</c:formatCode>
                <c:ptCount val="5"/>
                <c:pt idx="0" formatCode="0%">
                  <c:v>9.3582622823064777E-3</c:v>
                </c:pt>
                <c:pt idx="2" formatCode="0%">
                  <c:v>0.99064173771769348</c:v>
                </c:pt>
                <c:pt idx="4" formatCode="0%">
                  <c:v>0</c:v>
                </c:pt>
              </c:numCache>
            </c:numRef>
          </c:val>
        </c:ser>
      </c:pie3DChart>
    </c:plotArea>
    <c:legend>
      <c:legendPos val="r"/>
      <c:legendEntry>
        <c:idx val="1"/>
        <c:delete val="1"/>
      </c:legendEntry>
      <c:legendEntry>
        <c:idx val="3"/>
        <c:delete val="1"/>
      </c:legendEntry>
      <c:txPr>
        <a:bodyPr/>
        <a:lstStyle/>
        <a:p>
          <a:pPr>
            <a:defRPr lang="en-US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000000000000933" l="0.70000000000000062" r="0.70000000000000062" t="0.75000000000000933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explosion val="1"/>
          <c:dPt>
            <c:idx val="0"/>
            <c:explosion val="8"/>
            <c:spPr>
              <a:solidFill>
                <a:schemeClr val="accent2">
                  <a:lumMod val="75000"/>
                </a:schemeClr>
              </a:solidFill>
            </c:spPr>
          </c:dPt>
          <c:dPt>
            <c:idx val="2"/>
            <c:spPr>
              <a:solidFill>
                <a:schemeClr val="accent1">
                  <a:lumMod val="75000"/>
                </a:schemeClr>
              </a:solidFill>
            </c:spPr>
          </c:dPt>
          <c:dPt>
            <c:idx val="4"/>
            <c:explosion val="1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6"/>
            <c:explosion val="13"/>
            <c:spPr>
              <a:solidFill>
                <a:schemeClr val="bg2">
                  <a:lumMod val="90000"/>
                </a:schemeClr>
              </a:solidFill>
            </c:spPr>
          </c:dPt>
          <c:dPt>
            <c:idx val="8"/>
            <c:explosion val="14"/>
          </c:dPt>
          <c:dLbls>
            <c:dLbl>
              <c:idx val="6"/>
              <c:layout>
                <c:manualLayout>
                  <c:x val="2.9819042822590135E-2"/>
                  <c:y val="8.7166303007304824E-2"/>
                </c:manualLayout>
              </c:layout>
              <c:showPercent val="1"/>
            </c:dLbl>
            <c:dLbl>
              <c:idx val="8"/>
              <c:delete val="1"/>
            </c:dLbl>
            <c:txPr>
              <a:bodyPr/>
              <a:lstStyle/>
              <a:p>
                <a:pPr>
                  <a:defRPr lang="en-US" b="1"/>
                </a:pPr>
                <a:endParaRPr lang="en-US"/>
              </a:p>
            </c:txPr>
            <c:showPercent val="1"/>
          </c:dLbls>
          <c:cat>
            <c:strRef>
              <c:f>Summary!$C$5:$C$13</c:f>
              <c:strCache>
                <c:ptCount val="9"/>
                <c:pt idx="0">
                  <c:v>Construction Costs</c:v>
                </c:pt>
                <c:pt idx="2">
                  <c:v>Maintenance Costs </c:v>
                </c:pt>
                <c:pt idx="4">
                  <c:v>Operations Costs </c:v>
                </c:pt>
                <c:pt idx="6">
                  <c:v>Occupancy Costs </c:v>
                </c:pt>
                <c:pt idx="8">
                  <c:v>End of Life Costs</c:v>
                </c:pt>
              </c:strCache>
            </c:strRef>
          </c:cat>
          <c:val>
            <c:numRef>
              <c:f>Summary!$I$5:$I$13</c:f>
              <c:numCache>
                <c:formatCode>#,##0</c:formatCode>
                <c:ptCount val="9"/>
                <c:pt idx="0">
                  <c:v>0</c:v>
                </c:pt>
                <c:pt idx="2">
                  <c:v>9549.6810178248015</c:v>
                </c:pt>
                <c:pt idx="4">
                  <c:v>1057691.460572992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7"/>
        <c:delete val="1"/>
      </c:legendEntry>
      <c:txPr>
        <a:bodyPr/>
        <a:lstStyle/>
        <a:p>
          <a:pPr>
            <a:defRPr lang="en-US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000000000000933" l="0.70000000000000062" r="0.70000000000000062" t="0.75000000000000933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47</xdr:row>
      <xdr:rowOff>84667</xdr:rowOff>
    </xdr:from>
    <xdr:to>
      <xdr:col>2</xdr:col>
      <xdr:colOff>2508250</xdr:colOff>
      <xdr:row>62</xdr:row>
      <xdr:rowOff>158750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2563284</xdr:colOff>
      <xdr:row>47</xdr:row>
      <xdr:rowOff>63500</xdr:rowOff>
    </xdr:from>
    <xdr:to>
      <xdr:col>10</xdr:col>
      <xdr:colOff>338668</xdr:colOff>
      <xdr:row>62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0.21451</cdr:x>
      <cdr:y>0.05189</cdr:y>
    </cdr:from>
    <cdr:to>
      <cdr:x>0.77603</cdr:x>
      <cdr:y>0.13306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19662" y="136195"/>
          <a:ext cx="1883838" cy="21305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itchFamily="34" charset="0"/>
              <a:cs typeface="Arial" pitchFamily="34" charset="0"/>
            </a:rPr>
            <a:t>NAE Net Annual Expenditure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0.06623</cdr:x>
      <cdr:y>0.86747</cdr:y>
    </cdr:from>
    <cdr:to>
      <cdr:x>0.94402</cdr:x>
      <cdr:y>0.94961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327" y="2368627"/>
          <a:ext cx="2655056" cy="22429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000" b="1">
              <a:latin typeface="Arial" pitchFamily="34" charset="0"/>
              <a:cs typeface="Arial" pitchFamily="34" charset="0"/>
            </a:rPr>
            <a:t>TLLC Total Life Cycle Cost (Present Value)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2243666</xdr:colOff>
      <xdr:row>8</xdr:row>
      <xdr:rowOff>74083</xdr:rowOff>
    </xdr:from>
    <xdr:to>
      <xdr:col>4</xdr:col>
      <xdr:colOff>31749</xdr:colOff>
      <xdr:row>8</xdr:row>
      <xdr:rowOff>75671</xdr:rowOff>
    </xdr:to>
    <xdr:cxnSp macro="">
      <xdr:nvCxnSpPr>
        <xdr:cNvPr id="4" name="Straight Arrow Connector 3"/>
        <xdr:cNvCxnSpPr/>
      </xdr:nvCxnSpPr>
      <xdr:spPr>
        <a:xfrm>
          <a:off x="2899833" y="2317750"/>
          <a:ext cx="963083" cy="158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867833</xdr:colOff>
      <xdr:row>9</xdr:row>
      <xdr:rowOff>95249</xdr:rowOff>
    </xdr:from>
    <xdr:to>
      <xdr:col>2</xdr:col>
      <xdr:colOff>878416</xdr:colOff>
      <xdr:row>20</xdr:row>
      <xdr:rowOff>105832</xdr:rowOff>
    </xdr:to>
    <xdr:cxnSp macro="">
      <xdr:nvCxnSpPr>
        <xdr:cNvPr id="6" name="Straight Arrow Connector 5"/>
        <xdr:cNvCxnSpPr/>
      </xdr:nvCxnSpPr>
      <xdr:spPr>
        <a:xfrm rot="16200000" flipH="1">
          <a:off x="476250" y="3577166"/>
          <a:ext cx="2106083" cy="1058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hily/My%20Documents/Dermots%20%20Documents/My%20Dropbox/KSN%20Project/Sandwell_Schools_4DCM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rmot.kehily/My%20Documents/My%20Dropbox/KSN%20Project/Sandwell_Schools_4DCM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hatIF"/>
      <sheetName val="Input"/>
      <sheetName val="Cover"/>
      <sheetName val="Contents"/>
      <sheetName val="Summary"/>
      <sheetName val="Area"/>
      <sheetName val="Basis"/>
      <sheetName val="Elemental"/>
      <sheetName val="Elemental_3PE"/>
      <sheetName val="Components"/>
      <sheetName val="Library"/>
      <sheetName val="Cashflow"/>
      <sheetName val="Replacement"/>
      <sheetName val="Annual"/>
      <sheetName val="WLC"/>
      <sheetName val="SAP"/>
      <sheetName val="BREEAM"/>
      <sheetName val="Graphics"/>
      <sheetName val="Tables"/>
    </sheetNames>
    <sheetDataSet>
      <sheetData sheetId="0"/>
      <sheetData sheetId="1">
        <row r="3">
          <cell r="AG3" t="str">
            <v>Base</v>
          </cell>
          <cell r="AH3">
            <v>18</v>
          </cell>
        </row>
        <row r="4">
          <cell r="AG4" t="str">
            <v>WhatIF</v>
          </cell>
          <cell r="AH4">
            <v>19</v>
          </cell>
        </row>
        <row r="5">
          <cell r="AG5" t="str">
            <v>Option 2</v>
          </cell>
          <cell r="AH5">
            <v>20</v>
          </cell>
        </row>
        <row r="6">
          <cell r="AG6" t="str">
            <v>Option 3</v>
          </cell>
          <cell r="AH6">
            <v>21</v>
          </cell>
        </row>
        <row r="7">
          <cell r="AG7">
            <v>4</v>
          </cell>
          <cell r="AH7">
            <v>22</v>
          </cell>
        </row>
        <row r="8">
          <cell r="C8" t="str">
            <v>Scenario_used</v>
          </cell>
          <cell r="K8" t="str">
            <v>Base</v>
          </cell>
          <cell r="P8" t="str">
            <v>Scenario used:</v>
          </cell>
          <cell r="Q8">
            <v>19</v>
          </cell>
          <cell r="S8">
            <v>1</v>
          </cell>
          <cell r="T8" t="str">
            <v>Base</v>
          </cell>
          <cell r="AG8">
            <v>5</v>
          </cell>
          <cell r="AH8">
            <v>23</v>
          </cell>
        </row>
        <row r="9">
          <cell r="AG9">
            <v>6</v>
          </cell>
          <cell r="AH9">
            <v>24</v>
          </cell>
        </row>
        <row r="10">
          <cell r="C10" t="str">
            <v>Scenario_Name</v>
          </cell>
          <cell r="P10" t="str">
            <v>Scenario Name</v>
          </cell>
          <cell r="Q10" t="str">
            <v>WhatIF</v>
          </cell>
          <cell r="T10" t="str">
            <v>Base</v>
          </cell>
          <cell r="U10" t="str">
            <v>WhatIF</v>
          </cell>
          <cell r="V10" t="str">
            <v>Option 2</v>
          </cell>
          <cell r="W10" t="str">
            <v>Option 3</v>
          </cell>
          <cell r="X10">
            <v>4</v>
          </cell>
          <cell r="Y10">
            <v>5</v>
          </cell>
          <cell r="Z10">
            <v>6</v>
          </cell>
          <cell r="AA10">
            <v>7</v>
          </cell>
          <cell r="AB10">
            <v>8</v>
          </cell>
          <cell r="AC10">
            <v>9</v>
          </cell>
          <cell r="AD10">
            <v>10</v>
          </cell>
          <cell r="AE10">
            <v>11</v>
          </cell>
          <cell r="AG10">
            <v>7</v>
          </cell>
          <cell r="AH10">
            <v>25</v>
          </cell>
        </row>
        <row r="11">
          <cell r="C11" t="str">
            <v>CLIENT</v>
          </cell>
          <cell r="P11" t="str">
            <v>CLIENT</v>
          </cell>
          <cell r="AG11">
            <v>8</v>
          </cell>
          <cell r="AH11">
            <v>26</v>
          </cell>
        </row>
        <row r="12">
          <cell r="C12" t="str">
            <v>Client_name</v>
          </cell>
          <cell r="P12" t="str">
            <v>Client name</v>
          </cell>
          <cell r="Q12">
            <v>0</v>
          </cell>
          <cell r="AG12">
            <v>9</v>
          </cell>
          <cell r="AH12">
            <v>27</v>
          </cell>
        </row>
        <row r="13">
          <cell r="C13" t="str">
            <v>Client_Contact</v>
          </cell>
          <cell r="K13" t="str">
            <v>Tony Farnsworth</v>
          </cell>
          <cell r="P13" t="str">
            <v>Client Contact</v>
          </cell>
          <cell r="Q13" t="str">
            <v>Tony Farnsworth</v>
          </cell>
          <cell r="AG13">
            <v>10</v>
          </cell>
          <cell r="AH13">
            <v>28</v>
          </cell>
        </row>
        <row r="14">
          <cell r="AG14">
            <v>11</v>
          </cell>
          <cell r="AH14">
            <v>29</v>
          </cell>
        </row>
        <row r="15">
          <cell r="C15" t="str">
            <v>PROJECT</v>
          </cell>
          <cell r="P15" t="str">
            <v>PROJECT</v>
          </cell>
          <cell r="Q15">
            <v>0</v>
          </cell>
          <cell r="AG15">
            <v>0</v>
          </cell>
          <cell r="AH15">
            <v>99</v>
          </cell>
        </row>
        <row r="16">
          <cell r="C16" t="str">
            <v>Project_code</v>
          </cell>
          <cell r="K16" t="str">
            <v>CL</v>
          </cell>
          <cell r="P16" t="str">
            <v>Project code / short name</v>
          </cell>
          <cell r="Q16" t="str">
            <v>CL</v>
          </cell>
        </row>
        <row r="17">
          <cell r="C17" t="str">
            <v>Project_name_full</v>
          </cell>
          <cell r="P17" t="str">
            <v>Project name full</v>
          </cell>
          <cell r="Q17">
            <v>0</v>
          </cell>
        </row>
        <row r="18">
          <cell r="C18" t="str">
            <v>Site_code</v>
          </cell>
          <cell r="K18" t="str">
            <v>CL</v>
          </cell>
          <cell r="P18" t="str">
            <v>Site code</v>
          </cell>
          <cell r="Q18" t="str">
            <v>CL</v>
          </cell>
        </row>
        <row r="19">
          <cell r="C19" t="str">
            <v>Site_name</v>
          </cell>
          <cell r="P19" t="str">
            <v>Site name</v>
          </cell>
          <cell r="Q19">
            <v>0</v>
          </cell>
        </row>
        <row r="20">
          <cell r="C20" t="str">
            <v>Facility_number</v>
          </cell>
          <cell r="K20">
            <v>1</v>
          </cell>
          <cell r="P20" t="str">
            <v>Facility number</v>
          </cell>
          <cell r="Q20">
            <v>1</v>
          </cell>
        </row>
        <row r="21">
          <cell r="C21" t="str">
            <v>Facility_name</v>
          </cell>
          <cell r="P21" t="str">
            <v>Facility name</v>
          </cell>
          <cell r="Q21">
            <v>0</v>
          </cell>
        </row>
        <row r="23">
          <cell r="C23" t="str">
            <v>REPORT</v>
          </cell>
          <cell r="P23" t="str">
            <v>REPORT</v>
          </cell>
        </row>
        <row r="24">
          <cell r="C24" t="str">
            <v>Report_Name</v>
          </cell>
          <cell r="K24" t="str">
            <v>Cost plan</v>
          </cell>
          <cell r="P24" t="str">
            <v>Report Name</v>
          </cell>
          <cell r="Q24" t="str">
            <v>Cost plan</v>
          </cell>
        </row>
        <row r="25">
          <cell r="C25" t="str">
            <v>Report_Number</v>
          </cell>
          <cell r="K25">
            <v>1</v>
          </cell>
          <cell r="P25" t="str">
            <v>Report Number</v>
          </cell>
          <cell r="Q25">
            <v>1</v>
          </cell>
        </row>
        <row r="26">
          <cell r="C26" t="str">
            <v>Date_today</v>
          </cell>
          <cell r="K26">
            <v>40683.822421296296</v>
          </cell>
          <cell r="P26" t="str">
            <v>Tody's date</v>
          </cell>
          <cell r="Q26">
            <v>40683.822421296296</v>
          </cell>
        </row>
        <row r="27">
          <cell r="C27" t="str">
            <v>Report_Date</v>
          </cell>
          <cell r="K27" t="str">
            <v>Dated 4th June 2008</v>
          </cell>
          <cell r="P27" t="str">
            <v>Report Date (static)</v>
          </cell>
          <cell r="Q27" t="str">
            <v>Dated 4th June 2008</v>
          </cell>
        </row>
        <row r="28">
          <cell r="C28" t="str">
            <v>Report_Condition</v>
          </cell>
          <cell r="K28" t="str">
            <v xml:space="preserve"> </v>
          </cell>
          <cell r="P28" t="str">
            <v>Blank, draft, example, final</v>
          </cell>
          <cell r="Q28" t="str">
            <v>WhatIF</v>
          </cell>
          <cell r="U28" t="str">
            <v>WhatIF</v>
          </cell>
        </row>
        <row r="29">
          <cell r="C29" t="str">
            <v>Report_Name_full</v>
          </cell>
          <cell r="K29" t="str">
            <v>Cost plan 1 Dated 4th June 2008 WhatIF</v>
          </cell>
          <cell r="P29" t="str">
            <v>Report full name</v>
          </cell>
          <cell r="Q29" t="str">
            <v>Cost plan 1 Dated 4th June 2008 WhatIF</v>
          </cell>
        </row>
        <row r="31">
          <cell r="C31" t="str">
            <v>REPORT TITLES</v>
          </cell>
          <cell r="P31" t="str">
            <v>REPORT TITLES</v>
          </cell>
        </row>
        <row r="32">
          <cell r="C32" t="str">
            <v>Report_Title_1</v>
          </cell>
          <cell r="K32">
            <v>0</v>
          </cell>
          <cell r="P32" t="str">
            <v>Report Title 1</v>
          </cell>
          <cell r="Q32">
            <v>0</v>
          </cell>
        </row>
        <row r="33">
          <cell r="C33" t="str">
            <v>Report_Title_2</v>
          </cell>
          <cell r="K33">
            <v>0</v>
          </cell>
          <cell r="P33" t="str">
            <v>Report Title 2</v>
          </cell>
          <cell r="Q33">
            <v>0</v>
          </cell>
        </row>
        <row r="34">
          <cell r="C34" t="str">
            <v>Report_Title_3</v>
          </cell>
          <cell r="K34" t="str">
            <v>Cost plan 1 Dated 4th June 2008 WhatIF</v>
          </cell>
          <cell r="P34" t="str">
            <v>Report Title 3</v>
          </cell>
          <cell r="Q34" t="str">
            <v>Cost plan 1 Dated 4th June 2008 WhatIF</v>
          </cell>
        </row>
        <row r="36">
          <cell r="C36" t="str">
            <v>QS COMPANY</v>
          </cell>
          <cell r="P36" t="str">
            <v>QS COMPANY</v>
          </cell>
        </row>
        <row r="37">
          <cell r="C37" t="str">
            <v>QS_Office</v>
          </cell>
          <cell r="K37" t="str">
            <v>Birmingham Office</v>
          </cell>
          <cell r="P37" t="str">
            <v>QS Company</v>
          </cell>
          <cell r="Q37" t="str">
            <v>Birmingham Office</v>
          </cell>
        </row>
        <row r="38">
          <cell r="C38" t="str">
            <v>QS_Company</v>
          </cell>
          <cell r="K38" t="str">
            <v>Rider Levett Bucknal UK Limited</v>
          </cell>
          <cell r="P38" t="str">
            <v>QS Company</v>
          </cell>
          <cell r="Q38" t="str">
            <v>Rider Levett Bucknal UK Limited</v>
          </cell>
        </row>
        <row r="39">
          <cell r="C39" t="str">
            <v>QS_Company_Address_1</v>
          </cell>
          <cell r="K39" t="str">
            <v>Level 2</v>
          </cell>
          <cell r="P39" t="str">
            <v>QS Company Address</v>
          </cell>
          <cell r="Q39" t="str">
            <v>Level 2</v>
          </cell>
        </row>
        <row r="40">
          <cell r="C40" t="str">
            <v>QS_Company_Address_2</v>
          </cell>
          <cell r="K40" t="str">
            <v>Millennium Point</v>
          </cell>
          <cell r="P40" t="str">
            <v>QS Company Address</v>
          </cell>
          <cell r="Q40" t="str">
            <v>Millennium Point</v>
          </cell>
        </row>
        <row r="41">
          <cell r="C41" t="str">
            <v>QS_Company_Address_3</v>
          </cell>
          <cell r="K41" t="str">
            <v>Curzon Street</v>
          </cell>
          <cell r="P41" t="str">
            <v>QS Company Address</v>
          </cell>
          <cell r="Q41" t="str">
            <v>Curzon Street</v>
          </cell>
        </row>
        <row r="42">
          <cell r="C42" t="str">
            <v>QS_Company_Address_4</v>
          </cell>
          <cell r="K42" t="str">
            <v>Birmingham</v>
          </cell>
          <cell r="P42" t="str">
            <v>QS Company Address</v>
          </cell>
          <cell r="Q42" t="str">
            <v>Birmingham</v>
          </cell>
        </row>
        <row r="43">
          <cell r="C43" t="str">
            <v>QS_Company_Address_5</v>
          </cell>
          <cell r="K43" t="str">
            <v xml:space="preserve">B4 7XG </v>
          </cell>
          <cell r="P43" t="str">
            <v>QS Company Address</v>
          </cell>
          <cell r="Q43" t="str">
            <v xml:space="preserve">B4 7XG </v>
          </cell>
        </row>
        <row r="44">
          <cell r="C44" t="str">
            <v>QS_Company_Address</v>
          </cell>
          <cell r="K44" t="str">
            <v xml:space="preserve">Level 2 Millennium Point Curzon Street Birmingham B4 7XG </v>
          </cell>
          <cell r="P44" t="str">
            <v>QS Company Address</v>
          </cell>
          <cell r="Q44" t="str">
            <v xml:space="preserve">Level 2 Millennium Point Curzon Street Birmingham B4 7XG </v>
          </cell>
        </row>
        <row r="45">
          <cell r="C45" t="str">
            <v>QS_Company_Telephone</v>
          </cell>
          <cell r="K45" t="str">
            <v xml:space="preserve"> 0121 503 1500 </v>
          </cell>
          <cell r="P45" t="str">
            <v>QS Company Telephone</v>
          </cell>
          <cell r="Q45" t="str">
            <v xml:space="preserve"> 0121 503 1500 </v>
          </cell>
        </row>
        <row r="46">
          <cell r="C46" t="str">
            <v>QS_Company_Fax</v>
          </cell>
          <cell r="K46" t="str">
            <v xml:space="preserve"> 0121 503 1501 </v>
          </cell>
          <cell r="P46" t="str">
            <v>QS Company Fax</v>
          </cell>
          <cell r="Q46" t="str">
            <v xml:space="preserve"> 0121 503 1501 </v>
          </cell>
        </row>
        <row r="47">
          <cell r="C47" t="str">
            <v>QS_Company_email</v>
          </cell>
          <cell r="K47" t="str">
            <v>UK.rlb.com</v>
          </cell>
          <cell r="P47" t="str">
            <v>QS Company email</v>
          </cell>
          <cell r="Q47" t="str">
            <v>UK.rlb.com</v>
          </cell>
        </row>
        <row r="48">
          <cell r="C48" t="str">
            <v>QS_Surveyor_first_Name</v>
          </cell>
          <cell r="K48" t="str">
            <v>Brendan</v>
          </cell>
          <cell r="P48" t="str">
            <v>QS Surveyor</v>
          </cell>
          <cell r="Q48" t="str">
            <v>Brendan</v>
          </cell>
        </row>
        <row r="49">
          <cell r="C49" t="str">
            <v>QS_Surveyor_surveyor</v>
          </cell>
          <cell r="K49" t="str">
            <v>Patchell</v>
          </cell>
          <cell r="P49" t="str">
            <v>QS Surveyor</v>
          </cell>
          <cell r="Q49" t="str">
            <v>Patchell</v>
          </cell>
        </row>
        <row r="50">
          <cell r="C50" t="str">
            <v>QS_Surveyor</v>
          </cell>
          <cell r="K50" t="str">
            <v>Brendan Patchell</v>
          </cell>
          <cell r="P50" t="str">
            <v>QS Surveyor</v>
          </cell>
          <cell r="Q50" t="str">
            <v>Brendan Patchell</v>
          </cell>
        </row>
        <row r="51">
          <cell r="C51" t="str">
            <v>QS_surveyor_email</v>
          </cell>
          <cell r="K51" t="str">
            <v>Brendan.Patchell@UK.rlb.com</v>
          </cell>
          <cell r="P51" t="str">
            <v>QS e-mail</v>
          </cell>
          <cell r="Q51" t="str">
            <v>Brendan.Patchell@UK.rlb.com</v>
          </cell>
        </row>
        <row r="52">
          <cell r="C52" t="str">
            <v>QS_Mobile</v>
          </cell>
          <cell r="K52" t="str">
            <v>07970 466614</v>
          </cell>
          <cell r="P52" t="str">
            <v>QS Mobile</v>
          </cell>
          <cell r="Q52" t="str">
            <v>07970 466614</v>
          </cell>
        </row>
        <row r="53">
          <cell r="C53" t="str">
            <v>QS_Direct_Dial</v>
          </cell>
          <cell r="K53" t="str">
            <v>++44 (0)121 503 1500</v>
          </cell>
          <cell r="P53" t="str">
            <v>QS Direct Dial</v>
          </cell>
          <cell r="Q53" t="str">
            <v>++44 (0)121 503 1500</v>
          </cell>
        </row>
        <row r="54">
          <cell r="C54" t="str">
            <v>QS_Job_number</v>
          </cell>
          <cell r="K54" t="str">
            <v>0007922_001</v>
          </cell>
          <cell r="P54" t="str">
            <v>QS Job number</v>
          </cell>
          <cell r="Q54" t="str">
            <v>0007922_001</v>
          </cell>
        </row>
        <row r="56">
          <cell r="C56" t="str">
            <v>CIRCULATION</v>
          </cell>
          <cell r="P56" t="str">
            <v>CIRCULATION</v>
          </cell>
        </row>
        <row r="57">
          <cell r="C57" t="str">
            <v>Circulation_Client</v>
          </cell>
          <cell r="K57" t="str">
            <v>Tony Farnsworth</v>
          </cell>
          <cell r="P57" t="str">
            <v>Client QS</v>
          </cell>
          <cell r="Q57" t="str">
            <v>Tony Farnsworth</v>
          </cell>
        </row>
        <row r="58">
          <cell r="C58" t="str">
            <v>Circulation_Client_2</v>
          </cell>
          <cell r="K58" t="str">
            <v>Gary Berridge</v>
          </cell>
          <cell r="P58" t="str">
            <v>Client LCC/FM</v>
          </cell>
          <cell r="Q58" t="str">
            <v>Gary Berridge</v>
          </cell>
        </row>
        <row r="59">
          <cell r="C59" t="str">
            <v>Circulation_Client_3</v>
          </cell>
          <cell r="K59" t="str">
            <v>Jenny Withers</v>
          </cell>
          <cell r="P59" t="str">
            <v>Client Operational</v>
          </cell>
          <cell r="Q59" t="str">
            <v>Jenny Withers</v>
          </cell>
        </row>
        <row r="60">
          <cell r="C60" t="str">
            <v>Circulation_Quantity_Surveyor</v>
          </cell>
          <cell r="K60" t="str">
            <v>Brendan Patchell</v>
          </cell>
          <cell r="P60" t="str">
            <v>Quantity Surveyor</v>
          </cell>
          <cell r="Q60" t="str">
            <v>Brendan Patchell</v>
          </cell>
        </row>
        <row r="61">
          <cell r="C61" t="str">
            <v>Circulation_Project_Manager</v>
          </cell>
          <cell r="K61" t="str">
            <v>Name</v>
          </cell>
          <cell r="P61" t="str">
            <v>Project Manager</v>
          </cell>
          <cell r="Q61" t="str">
            <v>Name</v>
          </cell>
        </row>
        <row r="62">
          <cell r="C62" t="str">
            <v>Circulation_Project_Manager</v>
          </cell>
          <cell r="K62" t="str">
            <v>Name</v>
          </cell>
          <cell r="P62" t="str">
            <v>Project Assistant</v>
          </cell>
          <cell r="Q62" t="str">
            <v>Name</v>
          </cell>
        </row>
        <row r="63">
          <cell r="C63" t="str">
            <v>Circulation_FM</v>
          </cell>
          <cell r="K63" t="str">
            <v>David Quirk</v>
          </cell>
          <cell r="P63" t="str">
            <v>Facilities Manager</v>
          </cell>
          <cell r="Q63" t="str">
            <v>David Quirk</v>
          </cell>
        </row>
        <row r="64">
          <cell r="C64" t="str">
            <v>Circulation_Architect</v>
          </cell>
          <cell r="K64" t="str">
            <v>Name</v>
          </cell>
          <cell r="P64" t="str">
            <v>Architect</v>
          </cell>
          <cell r="Q64" t="str">
            <v>Name</v>
          </cell>
        </row>
        <row r="65">
          <cell r="C65" t="str">
            <v>Circulation_M&amp;E_Engineer</v>
          </cell>
          <cell r="K65" t="str">
            <v>Name</v>
          </cell>
          <cell r="P65" t="str">
            <v>M&amp;E Engineer</v>
          </cell>
          <cell r="Q65" t="str">
            <v>Name</v>
          </cell>
        </row>
        <row r="66">
          <cell r="C66" t="str">
            <v>Circulation_Structural_Engineer</v>
          </cell>
          <cell r="K66" t="str">
            <v>Name</v>
          </cell>
          <cell r="P66" t="str">
            <v>Stuctural Engineer</v>
          </cell>
          <cell r="Q66" t="str">
            <v>Name</v>
          </cell>
        </row>
        <row r="67">
          <cell r="C67" t="str">
            <v>Circulation_Finance</v>
          </cell>
          <cell r="K67" t="str">
            <v>Unused</v>
          </cell>
          <cell r="P67" t="str">
            <v>Financial Advisor</v>
          </cell>
          <cell r="Q67" t="str">
            <v>Unused</v>
          </cell>
        </row>
        <row r="69">
          <cell r="C69" t="str">
            <v>BASIS</v>
          </cell>
          <cell r="P69" t="str">
            <v>BASIS</v>
          </cell>
        </row>
        <row r="70">
          <cell r="C70" t="str">
            <v>Sfb_Table_0_Building_code</v>
          </cell>
          <cell r="K70" t="str">
            <v>712_</v>
          </cell>
          <cell r="P70" t="str">
            <v>Sfb Table 0 Building code</v>
          </cell>
          <cell r="Q70" t="str">
            <v>712_</v>
          </cell>
        </row>
        <row r="71">
          <cell r="C71" t="str">
            <v>SfB_Building_Description</v>
          </cell>
          <cell r="K71" t="str">
            <v>Primary</v>
          </cell>
          <cell r="P71" t="str">
            <v>SfB Building Description</v>
          </cell>
          <cell r="Q71" t="str">
            <v>Primary</v>
          </cell>
        </row>
        <row r="72">
          <cell r="C72" t="str">
            <v>SfB_Building_Benchmark</v>
          </cell>
          <cell r="K72">
            <v>678</v>
          </cell>
          <cell r="P72" t="str">
            <v>Building type benchmark cost</v>
          </cell>
          <cell r="Q72">
            <v>678</v>
          </cell>
        </row>
        <row r="73">
          <cell r="C73" t="str">
            <v>BCIS_TPI_year_quarter_Current</v>
          </cell>
          <cell r="K73" t="str">
            <v>2008/1</v>
          </cell>
          <cell r="N73" t="str">
            <v>Text</v>
          </cell>
          <cell r="P73" t="str">
            <v>BCIS TPI: Current</v>
          </cell>
          <cell r="Q73" t="str">
            <v>2008/1</v>
          </cell>
          <cell r="U73" t="str">
            <v>2008/1</v>
          </cell>
        </row>
        <row r="74">
          <cell r="C74" t="str">
            <v>BCIS_TPI_year_quarter_Base</v>
          </cell>
          <cell r="K74" t="str">
            <v>2008/1</v>
          </cell>
          <cell r="N74" t="str">
            <v>Text</v>
          </cell>
          <cell r="P74" t="str">
            <v>TPI: Base</v>
          </cell>
          <cell r="Q74" t="str">
            <v>2008/1</v>
          </cell>
        </row>
        <row r="75">
          <cell r="C75" t="str">
            <v>BCIS_Location_name_Current</v>
          </cell>
          <cell r="K75" t="str">
            <v>West Midlands</v>
          </cell>
          <cell r="N75" t="str">
            <v>Text</v>
          </cell>
          <cell r="P75" t="str">
            <v>BCIS Location: Current Index</v>
          </cell>
          <cell r="Q75" t="str">
            <v>West Midlands</v>
          </cell>
          <cell r="U75" t="str">
            <v>West Midlands</v>
          </cell>
        </row>
        <row r="76">
          <cell r="C76" t="str">
            <v>BCIS_Location_name_Base</v>
          </cell>
          <cell r="K76" t="str">
            <v>West Midlands</v>
          </cell>
          <cell r="P76" t="str">
            <v>BCIS Location: Base</v>
          </cell>
          <cell r="Q76" t="str">
            <v>West Midlands</v>
          </cell>
        </row>
        <row r="77">
          <cell r="C77" t="str">
            <v>BCIS_Tender_Price_Index_Current</v>
          </cell>
          <cell r="K77">
            <v>251</v>
          </cell>
          <cell r="N77" t="str">
            <v>Index</v>
          </cell>
          <cell r="P77" t="str">
            <v>BCIS Tender Price Index: Current</v>
          </cell>
          <cell r="Q77">
            <v>251</v>
          </cell>
          <cell r="R77" t="str">
            <v>Index</v>
          </cell>
        </row>
        <row r="78">
          <cell r="C78" t="str">
            <v>BCIS_Tender_Price_Index_Base</v>
          </cell>
          <cell r="K78">
            <v>251</v>
          </cell>
          <cell r="N78" t="str">
            <v>Index</v>
          </cell>
          <cell r="P78" t="str">
            <v>BCIS Tender Price Index: Base</v>
          </cell>
          <cell r="Q78">
            <v>251</v>
          </cell>
          <cell r="R78" t="str">
            <v>Index</v>
          </cell>
        </row>
        <row r="79">
          <cell r="C79" t="str">
            <v>BCIS_Location_Current</v>
          </cell>
          <cell r="K79">
            <v>0.97</v>
          </cell>
          <cell r="N79" t="str">
            <v>Index</v>
          </cell>
          <cell r="P79" t="str">
            <v>BCIS Location: Current</v>
          </cell>
          <cell r="Q79">
            <v>0.97</v>
          </cell>
          <cell r="R79" t="str">
            <v>Index</v>
          </cell>
        </row>
        <row r="80">
          <cell r="C80" t="str">
            <v>BCIS_Location_Base</v>
          </cell>
          <cell r="K80">
            <v>0.97</v>
          </cell>
          <cell r="N80" t="str">
            <v>Index</v>
          </cell>
          <cell r="P80" t="str">
            <v>BCIS Location: Base</v>
          </cell>
          <cell r="Q80">
            <v>0.97</v>
          </cell>
          <cell r="R80" t="str">
            <v>Index</v>
          </cell>
        </row>
        <row r="81">
          <cell r="C81" t="str">
            <v>Currency_Symbol</v>
          </cell>
          <cell r="K81" t="str">
            <v>£</v>
          </cell>
          <cell r="N81" t="str">
            <v>Symbol</v>
          </cell>
          <cell r="P81" t="str">
            <v>Currency Symbol</v>
          </cell>
          <cell r="Q81" t="str">
            <v>£</v>
          </cell>
          <cell r="R81" t="str">
            <v>Symbol</v>
          </cell>
        </row>
        <row r="82">
          <cell r="C82" t="str">
            <v>Currency_Projected</v>
          </cell>
          <cell r="K82">
            <v>1</v>
          </cell>
          <cell r="N82" t="str">
            <v>Factor</v>
          </cell>
          <cell r="P82" t="str">
            <v>Currency Projected</v>
          </cell>
          <cell r="Q82">
            <v>1</v>
          </cell>
          <cell r="R82" t="str">
            <v>Factor</v>
          </cell>
        </row>
        <row r="83">
          <cell r="C83" t="str">
            <v>Currency_Base</v>
          </cell>
          <cell r="K83">
            <v>1</v>
          </cell>
          <cell r="N83" t="str">
            <v>Factor</v>
          </cell>
          <cell r="P83" t="str">
            <v xml:space="preserve">Currency Base </v>
          </cell>
          <cell r="Q83">
            <v>1</v>
          </cell>
          <cell r="R83" t="str">
            <v>Factor</v>
          </cell>
        </row>
        <row r="84">
          <cell r="C84" t="str">
            <v>Global_Rate_adjustment</v>
          </cell>
          <cell r="K84">
            <v>1</v>
          </cell>
          <cell r="N84" t="str">
            <v>Multiplier</v>
          </cell>
          <cell r="P84" t="str">
            <v>Global Rate adjustment</v>
          </cell>
          <cell r="Q84">
            <v>1</v>
          </cell>
          <cell r="R84" t="str">
            <v>Multiplier</v>
          </cell>
          <cell r="V84">
            <v>1.5</v>
          </cell>
        </row>
        <row r="85">
          <cell r="C85" t="str">
            <v>Global_quantity_multiplier</v>
          </cell>
          <cell r="K85" t="str">
            <v>1839</v>
          </cell>
          <cell r="N85" t="str">
            <v>Factor</v>
          </cell>
          <cell r="P85" t="str">
            <v>Global Quantity Multiplier (eg 12 units)</v>
          </cell>
          <cell r="Q85" t="str">
            <v>1839</v>
          </cell>
          <cell r="R85" t="str">
            <v>Factor</v>
          </cell>
        </row>
        <row r="86">
          <cell r="C86" t="str">
            <v>Global_quantity_base</v>
          </cell>
          <cell r="K86">
            <v>1839</v>
          </cell>
          <cell r="N86" t="str">
            <v>Factor</v>
          </cell>
          <cell r="P86" t="str">
            <v>Global Quantity Base (generally 1)</v>
          </cell>
          <cell r="Q86">
            <v>1839</v>
          </cell>
          <cell r="R86" t="str">
            <v>Factor</v>
          </cell>
        </row>
        <row r="87">
          <cell r="C87" t="str">
            <v>Global_quantity_applied</v>
          </cell>
          <cell r="K87" t="str">
            <v>y</v>
          </cell>
          <cell r="N87" t="str">
            <v>Option</v>
          </cell>
          <cell r="P87" t="str">
            <v>Y for multiplied N for Unit quantities</v>
          </cell>
          <cell r="Q87" t="str">
            <v>y</v>
          </cell>
          <cell r="R87" t="str">
            <v>Option</v>
          </cell>
        </row>
        <row r="88">
          <cell r="C88" t="str">
            <v>Global_quantity_adjustment</v>
          </cell>
          <cell r="K88">
            <v>1</v>
          </cell>
          <cell r="N88" t="str">
            <v>Multiplier</v>
          </cell>
          <cell r="P88" t="str">
            <v>Global Quantity Adjustment</v>
          </cell>
          <cell r="Q88">
            <v>1</v>
          </cell>
          <cell r="R88" t="str">
            <v>Multiplier</v>
          </cell>
        </row>
        <row r="89">
          <cell r="C89" t="str">
            <v>VAT</v>
          </cell>
          <cell r="K89">
            <v>17.5</v>
          </cell>
          <cell r="N89" t="str">
            <v>%</v>
          </cell>
          <cell r="P89" t="str">
            <v>VAT</v>
          </cell>
          <cell r="Q89">
            <v>17.5</v>
          </cell>
          <cell r="R89" t="str">
            <v>%</v>
          </cell>
        </row>
        <row r="90">
          <cell r="C90" t="str">
            <v>Scope</v>
          </cell>
          <cell r="K90" t="str">
            <v>N</v>
          </cell>
          <cell r="P90" t="str">
            <v>Scope (N=New build, R=Refurbishment)</v>
          </cell>
          <cell r="Q90" t="str">
            <v>N</v>
          </cell>
          <cell r="R90">
            <v>0</v>
          </cell>
        </row>
        <row r="91">
          <cell r="C91" t="str">
            <v>Basis_Work_involved</v>
          </cell>
          <cell r="K91" t="str">
            <v>New build</v>
          </cell>
          <cell r="P91" t="str">
            <v>Basis Work involved</v>
          </cell>
          <cell r="Q91" t="str">
            <v>New build</v>
          </cell>
          <cell r="R91">
            <v>0</v>
          </cell>
        </row>
        <row r="92">
          <cell r="C92" t="str">
            <v>Start_on_site_year</v>
          </cell>
          <cell r="K92">
            <v>2008</v>
          </cell>
          <cell r="N92" t="str">
            <v>Year</v>
          </cell>
          <cell r="P92" t="str">
            <v>Start on site (year)</v>
          </cell>
          <cell r="Q92">
            <v>2008</v>
          </cell>
          <cell r="R92" t="str">
            <v>Year</v>
          </cell>
        </row>
        <row r="93">
          <cell r="C93" t="str">
            <v>Start_on_site_month</v>
          </cell>
          <cell r="K93">
            <v>1</v>
          </cell>
          <cell r="N93" t="str">
            <v>Month</v>
          </cell>
          <cell r="P93" t="str">
            <v>Start on site (month)</v>
          </cell>
          <cell r="Q93">
            <v>1</v>
          </cell>
          <cell r="R93" t="str">
            <v>Month</v>
          </cell>
        </row>
        <row r="94">
          <cell r="C94" t="str">
            <v>Start_on_site_day</v>
          </cell>
          <cell r="K94">
            <v>1</v>
          </cell>
          <cell r="N94" t="str">
            <v>Date</v>
          </cell>
          <cell r="P94" t="str">
            <v>Start on site (day)</v>
          </cell>
          <cell r="Q94">
            <v>1</v>
          </cell>
          <cell r="R94" t="str">
            <v>Date</v>
          </cell>
        </row>
        <row r="95">
          <cell r="C95" t="str">
            <v>Start_on_site</v>
          </cell>
          <cell r="K95">
            <v>39448</v>
          </cell>
          <cell r="N95" t="str">
            <v>Date</v>
          </cell>
          <cell r="P95" t="str">
            <v>Start on site (day)</v>
          </cell>
          <cell r="Q95">
            <v>39448</v>
          </cell>
          <cell r="R95" t="str">
            <v>Date</v>
          </cell>
        </row>
        <row r="96">
          <cell r="C96" t="str">
            <v>Contract_Period</v>
          </cell>
          <cell r="K96">
            <v>52</v>
          </cell>
          <cell r="N96" t="str">
            <v>weeks</v>
          </cell>
          <cell r="P96" t="str">
            <v>Contract Period (weeks)</v>
          </cell>
          <cell r="Q96">
            <v>52</v>
          </cell>
          <cell r="R96" t="str">
            <v>weeks</v>
          </cell>
        </row>
        <row r="97">
          <cell r="C97" t="str">
            <v>Contract_Period_days</v>
          </cell>
          <cell r="K97">
            <v>0</v>
          </cell>
          <cell r="N97" t="str">
            <v>days</v>
          </cell>
          <cell r="P97" t="str">
            <v>Contract Period (+days)</v>
          </cell>
          <cell r="Q97">
            <v>0</v>
          </cell>
          <cell r="R97" t="str">
            <v>days</v>
          </cell>
        </row>
        <row r="98">
          <cell r="C98" t="str">
            <v>Contract_period_mobilisation</v>
          </cell>
          <cell r="K98">
            <v>1</v>
          </cell>
          <cell r="N98" t="str">
            <v>weeks</v>
          </cell>
          <cell r="P98" t="str">
            <v xml:space="preserve">Pre Contract mobilisation Period </v>
          </cell>
          <cell r="Q98">
            <v>1</v>
          </cell>
          <cell r="R98" t="str">
            <v>weeks</v>
          </cell>
        </row>
        <row r="99">
          <cell r="C99" t="str">
            <v>Contract_period_completion</v>
          </cell>
          <cell r="K99">
            <v>4</v>
          </cell>
          <cell r="N99" t="str">
            <v>weeks</v>
          </cell>
          <cell r="P99" t="str">
            <v>Post Contract completion /snagging</v>
          </cell>
          <cell r="Q99">
            <v>4</v>
          </cell>
          <cell r="R99" t="str">
            <v>weeks</v>
          </cell>
        </row>
        <row r="100">
          <cell r="C100" t="str">
            <v>Drawing_number_building</v>
          </cell>
          <cell r="K100" t="str">
            <v>dwg</v>
          </cell>
          <cell r="N100" t="str">
            <v>text</v>
          </cell>
          <cell r="P100" t="str">
            <v>Building drawing</v>
          </cell>
          <cell r="Q100" t="str">
            <v>dwg</v>
          </cell>
          <cell r="R100" t="str">
            <v>text</v>
          </cell>
        </row>
        <row r="101">
          <cell r="C101" t="str">
            <v>Drawing_number_site</v>
          </cell>
          <cell r="K101" t="str">
            <v>x</v>
          </cell>
          <cell r="N101" t="str">
            <v>text</v>
          </cell>
          <cell r="P101" t="str">
            <v>Site drawing</v>
          </cell>
          <cell r="Q101" t="str">
            <v>x</v>
          </cell>
          <cell r="R101" t="str">
            <v>text</v>
          </cell>
        </row>
        <row r="102">
          <cell r="C102" t="str">
            <v>Procurement_option</v>
          </cell>
          <cell r="K102" t="str">
            <v xml:space="preserve">Design and Build contract </v>
          </cell>
          <cell r="N102" t="str">
            <v>Text</v>
          </cell>
          <cell r="P102" t="str">
            <v>Procurement option</v>
          </cell>
          <cell r="Q102" t="str">
            <v xml:space="preserve">Design and Build contract </v>
          </cell>
          <cell r="R102" t="str">
            <v>Text</v>
          </cell>
        </row>
        <row r="103">
          <cell r="C103" t="str">
            <v>Risk_allowance_Project</v>
          </cell>
          <cell r="K103">
            <v>0</v>
          </cell>
          <cell r="N103" t="str">
            <v>%</v>
          </cell>
          <cell r="P103" t="str">
            <v>Risk allowance: Project</v>
          </cell>
          <cell r="Q103">
            <v>0</v>
          </cell>
          <cell r="R103" t="str">
            <v>%</v>
          </cell>
        </row>
        <row r="104">
          <cell r="C104" t="str">
            <v>Sanction_budget</v>
          </cell>
          <cell r="K104">
            <v>5000000</v>
          </cell>
          <cell r="N104" t="str">
            <v>£</v>
          </cell>
          <cell r="P104" t="str">
            <v>Sanction budget</v>
          </cell>
          <cell r="Q104">
            <v>5000000</v>
          </cell>
          <cell r="R104" t="str">
            <v>£</v>
          </cell>
        </row>
        <row r="106">
          <cell r="C106" t="str">
            <v>MAJOR DIMENSIONS</v>
          </cell>
          <cell r="P106" t="str">
            <v>MAJOR DIMENSIONS</v>
          </cell>
          <cell r="Q106">
            <v>0</v>
          </cell>
          <cell r="R106">
            <v>0</v>
          </cell>
        </row>
        <row r="107">
          <cell r="C107" t="str">
            <v>Functional_units</v>
          </cell>
          <cell r="K107">
            <v>240</v>
          </cell>
          <cell r="N107" t="str">
            <v>Nr</v>
          </cell>
          <cell r="P107" t="str">
            <v>Functional units (Based on)</v>
          </cell>
          <cell r="Q107">
            <v>240</v>
          </cell>
          <cell r="R107" t="str">
            <v>Nr</v>
          </cell>
        </row>
        <row r="108">
          <cell r="C108" t="str">
            <v>Functional_units_name</v>
          </cell>
          <cell r="K108" t="str">
            <v>Pupils</v>
          </cell>
          <cell r="P108" t="str">
            <v>Functional units name</v>
          </cell>
          <cell r="Q108" t="str">
            <v>Pupils</v>
          </cell>
          <cell r="R108">
            <v>0</v>
          </cell>
        </row>
        <row r="109">
          <cell r="C109" t="str">
            <v>Item</v>
          </cell>
          <cell r="K109">
            <v>1</v>
          </cell>
          <cell r="N109" t="str">
            <v>Nr</v>
          </cell>
          <cell r="P109" t="str">
            <v>Item</v>
          </cell>
          <cell r="Q109">
            <v>1</v>
          </cell>
          <cell r="R109" t="str">
            <v>Nr</v>
          </cell>
        </row>
        <row r="110">
          <cell r="C110" t="str">
            <v>Length_Span</v>
          </cell>
          <cell r="K110">
            <v>175.14285714285714</v>
          </cell>
          <cell r="N110" t="str">
            <v>m</v>
          </cell>
          <cell r="P110" t="str">
            <v>Longitudinal Span</v>
          </cell>
          <cell r="Q110">
            <v>175.14285714285714</v>
          </cell>
          <cell r="R110" t="str">
            <v>m</v>
          </cell>
        </row>
        <row r="111">
          <cell r="C111" t="str">
            <v>Length_bays</v>
          </cell>
          <cell r="K111">
            <v>1</v>
          </cell>
          <cell r="N111" t="str">
            <v>Nr</v>
          </cell>
          <cell r="P111" t="str">
            <v>Longitudinal bays</v>
          </cell>
          <cell r="Q111">
            <v>1</v>
          </cell>
          <cell r="R111" t="str">
            <v>Nr</v>
          </cell>
        </row>
        <row r="112">
          <cell r="C112" t="str">
            <v>Length_addition</v>
          </cell>
          <cell r="K112">
            <v>0</v>
          </cell>
          <cell r="N112" t="str">
            <v>Nr</v>
          </cell>
          <cell r="P112" t="str">
            <v>Longitudinal additional non grid</v>
          </cell>
          <cell r="Q112">
            <v>0</v>
          </cell>
          <cell r="R112" t="str">
            <v>Nr</v>
          </cell>
        </row>
        <row r="113">
          <cell r="C113" t="str">
            <v>Length</v>
          </cell>
          <cell r="K113">
            <v>175.14285714285714</v>
          </cell>
          <cell r="N113" t="str">
            <v>m</v>
          </cell>
          <cell r="P113" t="str">
            <v>Overall length</v>
          </cell>
          <cell r="Q113">
            <v>175.14285714285714</v>
          </cell>
          <cell r="R113" t="str">
            <v>m</v>
          </cell>
        </row>
        <row r="114">
          <cell r="C114" t="str">
            <v>Span_span</v>
          </cell>
          <cell r="K114">
            <v>10.5</v>
          </cell>
          <cell r="N114" t="str">
            <v>m</v>
          </cell>
          <cell r="P114" t="str">
            <v>Span span</v>
          </cell>
          <cell r="Q114">
            <v>10.5</v>
          </cell>
          <cell r="R114" t="str">
            <v>m</v>
          </cell>
        </row>
        <row r="115">
          <cell r="C115" t="str">
            <v>Span_bays</v>
          </cell>
          <cell r="K115">
            <v>1</v>
          </cell>
          <cell r="N115" t="str">
            <v>Nr</v>
          </cell>
          <cell r="P115" t="str">
            <v>Span bays</v>
          </cell>
          <cell r="Q115">
            <v>1</v>
          </cell>
          <cell r="R115" t="str">
            <v>Nr</v>
          </cell>
        </row>
        <row r="116">
          <cell r="C116" t="str">
            <v>Span_additional</v>
          </cell>
          <cell r="K116">
            <v>0</v>
          </cell>
          <cell r="N116" t="str">
            <v>Nr</v>
          </cell>
          <cell r="P116" t="str">
            <v>Span additional length</v>
          </cell>
          <cell r="Q116">
            <v>0</v>
          </cell>
          <cell r="R116" t="str">
            <v>Nr</v>
          </cell>
        </row>
        <row r="117">
          <cell r="C117" t="str">
            <v>Span</v>
          </cell>
          <cell r="K117">
            <v>10.5</v>
          </cell>
          <cell r="N117" t="str">
            <v>m</v>
          </cell>
          <cell r="P117" t="str">
            <v>Overall Span</v>
          </cell>
          <cell r="Q117">
            <v>10.5</v>
          </cell>
          <cell r="R117" t="str">
            <v>m</v>
          </cell>
        </row>
        <row r="118">
          <cell r="C118" t="str">
            <v>Height_B1</v>
          </cell>
          <cell r="K118">
            <v>0</v>
          </cell>
          <cell r="N118" t="str">
            <v>m</v>
          </cell>
          <cell r="P118" t="str">
            <v>Structural storey height Basement 1</v>
          </cell>
          <cell r="Q118">
            <v>0</v>
          </cell>
          <cell r="R118" t="str">
            <v>m</v>
          </cell>
        </row>
        <row r="119">
          <cell r="C119" t="str">
            <v>Height_0</v>
          </cell>
          <cell r="K119">
            <v>3.7</v>
          </cell>
          <cell r="N119" t="str">
            <v>m</v>
          </cell>
          <cell r="P119" t="str">
            <v>Structural storey height Ground</v>
          </cell>
          <cell r="Q119">
            <v>3.7</v>
          </cell>
          <cell r="R119" t="str">
            <v>m</v>
          </cell>
          <cell r="U119">
            <v>3.7</v>
          </cell>
        </row>
        <row r="120">
          <cell r="C120" t="str">
            <v>Height_01</v>
          </cell>
          <cell r="K120">
            <v>0</v>
          </cell>
          <cell r="N120" t="str">
            <v>m</v>
          </cell>
          <cell r="P120" t="str">
            <v>Structural storey height 1st floor</v>
          </cell>
          <cell r="Q120">
            <v>0</v>
          </cell>
          <cell r="R120" t="str">
            <v>m</v>
          </cell>
        </row>
        <row r="121">
          <cell r="C121" t="str">
            <v>Height_02</v>
          </cell>
          <cell r="K121">
            <v>0</v>
          </cell>
          <cell r="N121" t="str">
            <v>m</v>
          </cell>
          <cell r="P121" t="str">
            <v>Structural storey height 2nd floor</v>
          </cell>
          <cell r="Q121">
            <v>0</v>
          </cell>
          <cell r="R121" t="str">
            <v>m</v>
          </cell>
        </row>
        <row r="122">
          <cell r="C122" t="str">
            <v>Height_03</v>
          </cell>
          <cell r="K122">
            <v>0</v>
          </cell>
          <cell r="N122" t="str">
            <v>m</v>
          </cell>
          <cell r="P122" t="str">
            <v>Structural storey height 3rd floor</v>
          </cell>
          <cell r="Q122">
            <v>0</v>
          </cell>
          <cell r="R122" t="str">
            <v>m</v>
          </cell>
        </row>
        <row r="123">
          <cell r="C123" t="str">
            <v>Height_99</v>
          </cell>
          <cell r="K123">
            <v>0</v>
          </cell>
          <cell r="N123" t="str">
            <v>m</v>
          </cell>
          <cell r="P123" t="str">
            <v>Structural storey height Penthouse</v>
          </cell>
          <cell r="Q123">
            <v>0</v>
          </cell>
          <cell r="R123" t="str">
            <v>m</v>
          </cell>
        </row>
        <row r="124">
          <cell r="C124" t="str">
            <v>Height_to_eaves</v>
          </cell>
          <cell r="K124">
            <v>3.7</v>
          </cell>
          <cell r="N124" t="str">
            <v>m</v>
          </cell>
          <cell r="P124" t="str">
            <v>Structural storey height to eaves</v>
          </cell>
          <cell r="Q124">
            <v>3.7</v>
          </cell>
          <cell r="R124" t="str">
            <v>m</v>
          </cell>
        </row>
        <row r="125">
          <cell r="C125" t="str">
            <v>Height_parapet</v>
          </cell>
          <cell r="K125">
            <v>0</v>
          </cell>
          <cell r="N125" t="str">
            <v>m</v>
          </cell>
          <cell r="P125" t="str">
            <v>Structural storey; parapet height</v>
          </cell>
          <cell r="Q125">
            <v>0</v>
          </cell>
          <cell r="R125" t="str">
            <v>m</v>
          </cell>
        </row>
        <row r="126">
          <cell r="C126" t="str">
            <v>Height_eaves_to_ridge</v>
          </cell>
          <cell r="K126">
            <v>0</v>
          </cell>
          <cell r="N126" t="str">
            <v>m</v>
          </cell>
          <cell r="P126" t="str">
            <v>Structural storey Eaves to ridge</v>
          </cell>
          <cell r="Q126">
            <v>0</v>
          </cell>
          <cell r="R126" t="str">
            <v>m</v>
          </cell>
        </row>
        <row r="127">
          <cell r="C127" t="str">
            <v>Height</v>
          </cell>
          <cell r="K127">
            <v>3.7</v>
          </cell>
          <cell r="N127" t="str">
            <v>m</v>
          </cell>
          <cell r="P127" t="str">
            <v>Height of building total</v>
          </cell>
          <cell r="Q127">
            <v>3.7</v>
          </cell>
          <cell r="R127" t="str">
            <v>m</v>
          </cell>
          <cell r="U127">
            <v>3.7</v>
          </cell>
        </row>
        <row r="128">
          <cell r="C128" t="str">
            <v>Height_number_of_Storeys</v>
          </cell>
          <cell r="K128">
            <v>3</v>
          </cell>
          <cell r="N128" t="str">
            <v>Nr</v>
          </cell>
          <cell r="P128" t="str">
            <v>Storeys</v>
          </cell>
          <cell r="Q128">
            <v>3</v>
          </cell>
          <cell r="R128" t="str">
            <v>Nr</v>
          </cell>
        </row>
        <row r="129">
          <cell r="C129" t="str">
            <v>Height_per_Storey</v>
          </cell>
          <cell r="K129">
            <v>1.2333333333333334</v>
          </cell>
          <cell r="N129" t="str">
            <v>m</v>
          </cell>
          <cell r="P129" t="str">
            <v>Structural storey height</v>
          </cell>
          <cell r="Q129">
            <v>1.2333333333333334</v>
          </cell>
          <cell r="R129" t="str">
            <v>m</v>
          </cell>
        </row>
        <row r="130">
          <cell r="C130" t="str">
            <v>Storeys</v>
          </cell>
          <cell r="K130">
            <v>1</v>
          </cell>
          <cell r="N130" t="str">
            <v>Nr</v>
          </cell>
          <cell r="P130" t="str">
            <v>Storeys</v>
          </cell>
          <cell r="Q130">
            <v>1</v>
          </cell>
          <cell r="R130" t="str">
            <v>Nr</v>
          </cell>
        </row>
        <row r="131">
          <cell r="C131" t="str">
            <v>Storey_height</v>
          </cell>
          <cell r="K131">
            <v>3.7</v>
          </cell>
          <cell r="N131" t="str">
            <v>m</v>
          </cell>
          <cell r="P131" t="str">
            <v>Structural storey height</v>
          </cell>
          <cell r="Q131">
            <v>3.7</v>
          </cell>
          <cell r="R131" t="str">
            <v>m</v>
          </cell>
        </row>
        <row r="132">
          <cell r="C132" t="str">
            <v>Storey_height_total</v>
          </cell>
          <cell r="K132">
            <v>3.7</v>
          </cell>
          <cell r="N132" t="str">
            <v>m</v>
          </cell>
          <cell r="P132" t="str">
            <v>Structural storey height total</v>
          </cell>
          <cell r="Q132">
            <v>3.7</v>
          </cell>
          <cell r="R132" t="str">
            <v>m</v>
          </cell>
        </row>
        <row r="133">
          <cell r="C133" t="str">
            <v>Girth_additional_non_rectangular</v>
          </cell>
          <cell r="K133">
            <v>0</v>
          </cell>
          <cell r="N133" t="str">
            <v>m</v>
          </cell>
          <cell r="P133" t="str">
            <v>Non rectgular additions (returns / doughnut)</v>
          </cell>
          <cell r="Q133">
            <v>0</v>
          </cell>
          <cell r="R133" t="str">
            <v>m</v>
          </cell>
        </row>
        <row r="134">
          <cell r="C134" t="str">
            <v>Girth_B1</v>
          </cell>
          <cell r="K134">
            <v>0</v>
          </cell>
          <cell r="N134" t="str">
            <v>m</v>
          </cell>
          <cell r="P134" t="str">
            <v>Girth of basement 1</v>
          </cell>
          <cell r="Q134">
            <v>0</v>
          </cell>
          <cell r="R134" t="str">
            <v>m</v>
          </cell>
        </row>
        <row r="136">
          <cell r="C136" t="str">
            <v>Girth_0</v>
          </cell>
          <cell r="K136">
            <v>295</v>
          </cell>
          <cell r="N136" t="str">
            <v>m</v>
          </cell>
          <cell r="P136" t="str">
            <v>Girth of level 0</v>
          </cell>
          <cell r="Q136">
            <v>295</v>
          </cell>
          <cell r="R136" t="str">
            <v>m</v>
          </cell>
          <cell r="U136">
            <v>295</v>
          </cell>
        </row>
        <row r="137">
          <cell r="G137">
            <v>223</v>
          </cell>
          <cell r="K137">
            <v>223</v>
          </cell>
          <cell r="P137" t="str">
            <v>External perimeter</v>
          </cell>
        </row>
        <row r="138">
          <cell r="G138">
            <v>72</v>
          </cell>
          <cell r="K138">
            <v>72</v>
          </cell>
          <cell r="P138" t="str">
            <v>Courtyard</v>
          </cell>
        </row>
        <row r="139">
          <cell r="K139">
            <v>0</v>
          </cell>
        </row>
        <row r="140">
          <cell r="K140">
            <v>0</v>
          </cell>
        </row>
        <row r="141">
          <cell r="K141">
            <v>0</v>
          </cell>
        </row>
        <row r="142">
          <cell r="K142">
            <v>0</v>
          </cell>
        </row>
        <row r="143">
          <cell r="N143" t="str">
            <v>End</v>
          </cell>
        </row>
        <row r="145">
          <cell r="C145" t="str">
            <v>Girth_01</v>
          </cell>
          <cell r="K145">
            <v>0</v>
          </cell>
          <cell r="N145" t="str">
            <v>m</v>
          </cell>
          <cell r="P145" t="str">
            <v>Girth of upper floor 1</v>
          </cell>
          <cell r="Q145">
            <v>0</v>
          </cell>
          <cell r="R145" t="str">
            <v>m</v>
          </cell>
        </row>
        <row r="146">
          <cell r="C146" t="str">
            <v>Girth_02</v>
          </cell>
          <cell r="K146">
            <v>0</v>
          </cell>
          <cell r="N146" t="str">
            <v>m</v>
          </cell>
          <cell r="P146" t="str">
            <v>Girth of upper floor 2</v>
          </cell>
          <cell r="Q146">
            <v>0</v>
          </cell>
          <cell r="R146" t="str">
            <v>m</v>
          </cell>
        </row>
        <row r="147">
          <cell r="C147" t="str">
            <v>Girth_03</v>
          </cell>
          <cell r="K147">
            <v>0</v>
          </cell>
          <cell r="N147" t="str">
            <v>m</v>
          </cell>
          <cell r="P147" t="str">
            <v>Girth of upper floor 3</v>
          </cell>
          <cell r="Q147">
            <v>0</v>
          </cell>
          <cell r="R147" t="str">
            <v>m</v>
          </cell>
        </row>
        <row r="148">
          <cell r="C148" t="str">
            <v>Girth_99</v>
          </cell>
          <cell r="K148">
            <v>0</v>
          </cell>
          <cell r="N148" t="str">
            <v>m</v>
          </cell>
          <cell r="P148" t="str">
            <v>Girth of upper floor Penthouse</v>
          </cell>
          <cell r="Q148">
            <v>0</v>
          </cell>
          <cell r="R148" t="str">
            <v>m</v>
          </cell>
        </row>
        <row r="149">
          <cell r="C149" t="str">
            <v>Girth</v>
          </cell>
          <cell r="K149">
            <v>295</v>
          </cell>
          <cell r="N149" t="str">
            <v>m</v>
          </cell>
          <cell r="P149" t="str">
            <v>Girth (average or typical)</v>
          </cell>
          <cell r="Q149">
            <v>295</v>
          </cell>
          <cell r="R149" t="str">
            <v>m</v>
          </cell>
        </row>
        <row r="150">
          <cell r="C150" t="str">
            <v>Storey_height_total</v>
          </cell>
          <cell r="K150">
            <v>0</v>
          </cell>
          <cell r="N150" t="str">
            <v>m</v>
          </cell>
          <cell r="P150" t="str">
            <v>Structural storey height total</v>
          </cell>
          <cell r="Q150">
            <v>0</v>
          </cell>
          <cell r="R150" t="str">
            <v>m</v>
          </cell>
        </row>
        <row r="151">
          <cell r="C151" t="str">
            <v>Volume_of_building</v>
          </cell>
          <cell r="K151">
            <v>6804.3</v>
          </cell>
          <cell r="N151" t="str">
            <v>m³</v>
          </cell>
          <cell r="P151" t="str">
            <v>Volume of space</v>
          </cell>
          <cell r="Q151">
            <v>6804.3</v>
          </cell>
          <cell r="R151" t="str">
            <v>m³</v>
          </cell>
        </row>
        <row r="152">
          <cell r="C152" t="str">
            <v>Site_area</v>
          </cell>
          <cell r="K152">
            <v>11000</v>
          </cell>
          <cell r="N152" t="str">
            <v>m²</v>
          </cell>
          <cell r="P152" t="str">
            <v>Site area</v>
          </cell>
          <cell r="Q152">
            <v>11000</v>
          </cell>
          <cell r="R152" t="str">
            <v>m²</v>
          </cell>
          <cell r="U152">
            <v>11000</v>
          </cell>
        </row>
        <row r="154">
          <cell r="C154" t="str">
            <v>AREAS BY LEVEL</v>
          </cell>
          <cell r="P154" t="str">
            <v>AREAS BY LEVEL</v>
          </cell>
          <cell r="Q154">
            <v>0</v>
          </cell>
          <cell r="R154">
            <v>0</v>
          </cell>
        </row>
        <row r="155">
          <cell r="C155" t="str">
            <v>Level_B1</v>
          </cell>
          <cell r="K155">
            <v>0</v>
          </cell>
          <cell r="N155" t="str">
            <v>m²</v>
          </cell>
          <cell r="P155" t="str">
            <v>Basement</v>
          </cell>
          <cell r="Q155">
            <v>0</v>
          </cell>
          <cell r="R155" t="str">
            <v>m²</v>
          </cell>
        </row>
        <row r="157">
          <cell r="C157" t="str">
            <v>Level_0</v>
          </cell>
          <cell r="K157">
            <v>1839</v>
          </cell>
          <cell r="N157" t="str">
            <v>m²</v>
          </cell>
          <cell r="P157" t="str">
            <v>Ground floor</v>
          </cell>
          <cell r="Q157">
            <v>1839</v>
          </cell>
          <cell r="R157" t="str">
            <v>m²</v>
          </cell>
        </row>
        <row r="158">
          <cell r="F158">
            <v>1</v>
          </cell>
          <cell r="G158">
            <v>1839</v>
          </cell>
          <cell r="H158">
            <v>1</v>
          </cell>
          <cell r="K158">
            <v>1839</v>
          </cell>
          <cell r="P158" t="str">
            <v>Annotation</v>
          </cell>
        </row>
        <row r="159">
          <cell r="K159">
            <v>0</v>
          </cell>
        </row>
        <row r="160">
          <cell r="K160">
            <v>0</v>
          </cell>
        </row>
        <row r="161">
          <cell r="K161">
            <v>0</v>
          </cell>
        </row>
        <row r="162">
          <cell r="K162">
            <v>0</v>
          </cell>
        </row>
        <row r="163">
          <cell r="K163">
            <v>0</v>
          </cell>
        </row>
        <row r="164">
          <cell r="N164" t="str">
            <v>End</v>
          </cell>
        </row>
        <row r="167">
          <cell r="C167" t="str">
            <v>Level_01</v>
          </cell>
          <cell r="K167">
            <v>0</v>
          </cell>
          <cell r="N167" t="str">
            <v>m²</v>
          </cell>
          <cell r="P167" t="str">
            <v>First floor</v>
          </cell>
          <cell r="Q167">
            <v>0</v>
          </cell>
          <cell r="R167" t="str">
            <v>m²</v>
          </cell>
        </row>
        <row r="168">
          <cell r="G168">
            <v>0</v>
          </cell>
          <cell r="H168">
            <v>0</v>
          </cell>
          <cell r="K168">
            <v>0</v>
          </cell>
          <cell r="P168" t="str">
            <v>Annotation</v>
          </cell>
        </row>
        <row r="169">
          <cell r="K169">
            <v>0</v>
          </cell>
        </row>
        <row r="170">
          <cell r="K170">
            <v>0</v>
          </cell>
        </row>
        <row r="171">
          <cell r="K171">
            <v>0</v>
          </cell>
        </row>
        <row r="172">
          <cell r="K172">
            <v>0</v>
          </cell>
        </row>
        <row r="173">
          <cell r="K173">
            <v>0</v>
          </cell>
        </row>
        <row r="174">
          <cell r="N174" t="str">
            <v>End</v>
          </cell>
        </row>
        <row r="176">
          <cell r="C176" t="str">
            <v>Level_02</v>
          </cell>
          <cell r="K176">
            <v>0</v>
          </cell>
          <cell r="N176" t="str">
            <v>m²</v>
          </cell>
          <cell r="P176" t="str">
            <v>Second floor</v>
          </cell>
          <cell r="Q176">
            <v>0</v>
          </cell>
          <cell r="R176" t="str">
            <v>m²</v>
          </cell>
        </row>
        <row r="177">
          <cell r="G177">
            <v>0</v>
          </cell>
          <cell r="H177">
            <v>0</v>
          </cell>
          <cell r="K177">
            <v>0</v>
          </cell>
          <cell r="P177" t="str">
            <v>Annotation</v>
          </cell>
        </row>
        <row r="178">
          <cell r="K178">
            <v>0</v>
          </cell>
        </row>
        <row r="179">
          <cell r="K179">
            <v>0</v>
          </cell>
        </row>
        <row r="180">
          <cell r="K180">
            <v>0</v>
          </cell>
        </row>
        <row r="181">
          <cell r="K181">
            <v>0</v>
          </cell>
        </row>
        <row r="182">
          <cell r="K182">
            <v>0</v>
          </cell>
        </row>
        <row r="183">
          <cell r="N183" t="str">
            <v>End</v>
          </cell>
        </row>
        <row r="186">
          <cell r="C186" t="str">
            <v>Level_03</v>
          </cell>
          <cell r="K186">
            <v>0</v>
          </cell>
          <cell r="N186" t="str">
            <v>m²</v>
          </cell>
          <cell r="P186" t="str">
            <v>Third floor</v>
          </cell>
          <cell r="Q186">
            <v>0</v>
          </cell>
          <cell r="R186" t="str">
            <v>m²</v>
          </cell>
        </row>
        <row r="187">
          <cell r="C187" t="str">
            <v>Level_04</v>
          </cell>
          <cell r="K187">
            <v>0</v>
          </cell>
          <cell r="N187" t="str">
            <v>m²</v>
          </cell>
          <cell r="P187" t="str">
            <v>Fourth floor</v>
          </cell>
          <cell r="Q187">
            <v>0</v>
          </cell>
          <cell r="R187" t="str">
            <v>m²</v>
          </cell>
        </row>
        <row r="188">
          <cell r="C188" t="str">
            <v>Level_05</v>
          </cell>
          <cell r="K188">
            <v>0</v>
          </cell>
          <cell r="N188" t="str">
            <v>m²</v>
          </cell>
          <cell r="P188" t="str">
            <v>Fifth floor</v>
          </cell>
          <cell r="Q188">
            <v>0</v>
          </cell>
          <cell r="R188" t="str">
            <v>m²</v>
          </cell>
        </row>
        <row r="189">
          <cell r="C189" t="str">
            <v>Level_06</v>
          </cell>
          <cell r="K189">
            <v>0</v>
          </cell>
          <cell r="N189" t="str">
            <v>m²</v>
          </cell>
          <cell r="P189" t="str">
            <v>Sixth Floor</v>
          </cell>
          <cell r="Q189">
            <v>0</v>
          </cell>
          <cell r="R189" t="str">
            <v>m²</v>
          </cell>
        </row>
        <row r="190">
          <cell r="C190" t="str">
            <v>Level_07</v>
          </cell>
          <cell r="K190">
            <v>0</v>
          </cell>
          <cell r="N190" t="str">
            <v>m²</v>
          </cell>
          <cell r="P190" t="str">
            <v>Seventh floor</v>
          </cell>
          <cell r="Q190">
            <v>0</v>
          </cell>
          <cell r="R190" t="str">
            <v>m²</v>
          </cell>
        </row>
        <row r="191">
          <cell r="C191" t="str">
            <v>Level_99</v>
          </cell>
          <cell r="K191">
            <v>0</v>
          </cell>
          <cell r="N191" t="str">
            <v>m²</v>
          </cell>
          <cell r="P191" t="str">
            <v>99th Floor</v>
          </cell>
          <cell r="Q191">
            <v>0</v>
          </cell>
          <cell r="R191" t="str">
            <v>m²</v>
          </cell>
        </row>
        <row r="192">
          <cell r="C192" t="str">
            <v>Gross_Floor_Area</v>
          </cell>
          <cell r="K192">
            <v>1839</v>
          </cell>
          <cell r="N192" t="str">
            <v>m²</v>
          </cell>
          <cell r="P192" t="str">
            <v>Total gross floor area</v>
          </cell>
          <cell r="Q192">
            <v>1839</v>
          </cell>
          <cell r="R192" t="str">
            <v>m²</v>
          </cell>
        </row>
        <row r="194">
          <cell r="C194" t="str">
            <v>AREAS_BY_FUNCTION</v>
          </cell>
          <cell r="P194" t="str">
            <v>AREAS BY FUNCTION</v>
          </cell>
          <cell r="Q194">
            <v>0</v>
          </cell>
          <cell r="R194">
            <v>0</v>
          </cell>
        </row>
        <row r="195">
          <cell r="C195" t="str">
            <v>Function_CDT</v>
          </cell>
          <cell r="K195">
            <v>106</v>
          </cell>
          <cell r="N195" t="str">
            <v>m²</v>
          </cell>
          <cell r="P195" t="str">
            <v>CDT (ICT  design tech etc)</v>
          </cell>
          <cell r="Q195">
            <v>106</v>
          </cell>
          <cell r="R195" t="str">
            <v>m²</v>
          </cell>
        </row>
        <row r="196">
          <cell r="C196" t="str">
            <v>Function_Classrooms</v>
          </cell>
          <cell r="K196">
            <v>508</v>
          </cell>
          <cell r="N196" t="str">
            <v>m²</v>
          </cell>
          <cell r="P196" t="str">
            <v>Classrooms</v>
          </cell>
          <cell r="Q196">
            <v>508</v>
          </cell>
          <cell r="R196" t="str">
            <v>m²</v>
          </cell>
        </row>
        <row r="197">
          <cell r="C197" t="str">
            <v>Function_Classrooms_support</v>
          </cell>
          <cell r="K197">
            <v>114</v>
          </cell>
          <cell r="N197" t="str">
            <v>m²</v>
          </cell>
          <cell r="P197" t="str">
            <v>Classrooms support (Therapy etc)</v>
          </cell>
          <cell r="Q197">
            <v>114</v>
          </cell>
          <cell r="R197" t="str">
            <v>m²</v>
          </cell>
        </row>
        <row r="198">
          <cell r="C198" t="str">
            <v>Function_Community</v>
          </cell>
          <cell r="K198">
            <v>38</v>
          </cell>
          <cell r="N198" t="str">
            <v>m²</v>
          </cell>
          <cell r="P198" t="str">
            <v>Community</v>
          </cell>
          <cell r="Q198">
            <v>38</v>
          </cell>
          <cell r="R198" t="str">
            <v>m²</v>
          </cell>
        </row>
        <row r="199">
          <cell r="C199" t="str">
            <v>Function_Circulation</v>
          </cell>
          <cell r="K199">
            <v>400</v>
          </cell>
          <cell r="N199" t="str">
            <v>m²</v>
          </cell>
          <cell r="P199" t="str">
            <v>Circulation</v>
          </cell>
          <cell r="Q199">
            <v>400</v>
          </cell>
          <cell r="R199" t="str">
            <v>m²</v>
          </cell>
        </row>
        <row r="200">
          <cell r="C200" t="str">
            <v>Function_Dining</v>
          </cell>
          <cell r="K200">
            <v>162</v>
          </cell>
          <cell r="N200" t="str">
            <v>m²</v>
          </cell>
          <cell r="P200" t="str">
            <v>Dining</v>
          </cell>
          <cell r="Q200">
            <v>162</v>
          </cell>
          <cell r="R200" t="str">
            <v>m²</v>
          </cell>
        </row>
        <row r="201">
          <cell r="C201" t="str">
            <v>Function_Kitchen</v>
          </cell>
          <cell r="K201">
            <v>56</v>
          </cell>
          <cell r="N201" t="str">
            <v>m²</v>
          </cell>
          <cell r="P201" t="str">
            <v>Kitchen</v>
          </cell>
          <cell r="Q201">
            <v>56</v>
          </cell>
          <cell r="R201" t="str">
            <v>m²</v>
          </cell>
        </row>
        <row r="202">
          <cell r="C202" t="str">
            <v>Function_Office</v>
          </cell>
          <cell r="K202">
            <v>152</v>
          </cell>
          <cell r="N202" t="str">
            <v>m²</v>
          </cell>
          <cell r="P202" t="str">
            <v>Offices (cellular)</v>
          </cell>
          <cell r="Q202">
            <v>152</v>
          </cell>
          <cell r="R202" t="str">
            <v>m²</v>
          </cell>
        </row>
        <row r="203">
          <cell r="C203" t="str">
            <v>Function_Plant</v>
          </cell>
          <cell r="K203">
            <v>40</v>
          </cell>
          <cell r="N203" t="str">
            <v>m²</v>
          </cell>
          <cell r="P203" t="str">
            <v>Plant</v>
          </cell>
          <cell r="Q203">
            <v>40</v>
          </cell>
          <cell r="R203" t="str">
            <v>m²</v>
          </cell>
        </row>
        <row r="204">
          <cell r="C204" t="str">
            <v>Function_Reception</v>
          </cell>
          <cell r="K204">
            <v>18</v>
          </cell>
          <cell r="N204" t="str">
            <v>m²</v>
          </cell>
          <cell r="P204" t="str">
            <v>Reception</v>
          </cell>
          <cell r="Q204">
            <v>18</v>
          </cell>
          <cell r="R204" t="str">
            <v>m²</v>
          </cell>
        </row>
        <row r="205">
          <cell r="C205" t="str">
            <v>Function_Stair</v>
          </cell>
          <cell r="K205">
            <v>0</v>
          </cell>
          <cell r="N205" t="str">
            <v>m²</v>
          </cell>
          <cell r="P205" t="str">
            <v>Stair</v>
          </cell>
          <cell r="Q205">
            <v>0</v>
          </cell>
          <cell r="R205" t="str">
            <v>m²</v>
          </cell>
        </row>
        <row r="206">
          <cell r="C206" t="str">
            <v>Function_Store</v>
          </cell>
          <cell r="K206">
            <v>106</v>
          </cell>
          <cell r="N206" t="str">
            <v>m²</v>
          </cell>
          <cell r="P206" t="str">
            <v>Store</v>
          </cell>
          <cell r="Q206">
            <v>106</v>
          </cell>
          <cell r="R206" t="str">
            <v>m²</v>
          </cell>
        </row>
        <row r="207">
          <cell r="C207" t="str">
            <v>Function_Toilet</v>
          </cell>
          <cell r="K207">
            <v>84</v>
          </cell>
          <cell r="N207" t="str">
            <v>m²</v>
          </cell>
          <cell r="P207" t="str">
            <v>Toilets</v>
          </cell>
          <cell r="Q207">
            <v>84</v>
          </cell>
          <cell r="R207" t="str">
            <v>m²</v>
          </cell>
        </row>
        <row r="208">
          <cell r="C208" t="str">
            <v>Function_Void</v>
          </cell>
          <cell r="K208">
            <v>55</v>
          </cell>
          <cell r="N208" t="str">
            <v>m²</v>
          </cell>
          <cell r="P208" t="str">
            <v>Void / ducts/ internal walls</v>
          </cell>
          <cell r="Q208">
            <v>55</v>
          </cell>
          <cell r="R208" t="str">
            <v>m²</v>
          </cell>
        </row>
        <row r="209">
          <cell r="C209" t="str">
            <v>Function_total</v>
          </cell>
          <cell r="K209">
            <v>1839</v>
          </cell>
          <cell r="N209" t="str">
            <v>m²</v>
          </cell>
          <cell r="P209" t="str">
            <v xml:space="preserve">Total gfa </v>
          </cell>
          <cell r="Q209">
            <v>1839</v>
          </cell>
          <cell r="R209" t="str">
            <v>m²</v>
          </cell>
        </row>
        <row r="211">
          <cell r="C211" t="str">
            <v>Lettable_area_1</v>
          </cell>
          <cell r="K211">
            <v>766</v>
          </cell>
          <cell r="N211" t="str">
            <v>m²</v>
          </cell>
          <cell r="P211" t="str">
            <v>Front line classrooms</v>
          </cell>
          <cell r="Q211">
            <v>766</v>
          </cell>
          <cell r="R211" t="str">
            <v>m²</v>
          </cell>
        </row>
        <row r="212">
          <cell r="C212" t="str">
            <v>Lettable_area_2</v>
          </cell>
          <cell r="K212">
            <v>1073</v>
          </cell>
          <cell r="N212" t="str">
            <v>m²</v>
          </cell>
          <cell r="P212" t="str">
            <v>Other</v>
          </cell>
          <cell r="Q212">
            <v>1073</v>
          </cell>
          <cell r="R212" t="str">
            <v>m²</v>
          </cell>
        </row>
        <row r="213">
          <cell r="C213" t="str">
            <v>Lettable_area</v>
          </cell>
          <cell r="K213">
            <v>1839</v>
          </cell>
          <cell r="N213" t="str">
            <v>m²</v>
          </cell>
          <cell r="P213" t="str">
            <v>Total gross floor area</v>
          </cell>
          <cell r="Q213">
            <v>1839</v>
          </cell>
          <cell r="R213" t="str">
            <v>m²</v>
          </cell>
        </row>
        <row r="215">
          <cell r="C215" t="str">
            <v>SUBSTRUCTURES (1A)</v>
          </cell>
          <cell r="P215" t="str">
            <v>SUB DIMENSIONS</v>
          </cell>
          <cell r="Q215">
            <v>0</v>
          </cell>
          <cell r="R215">
            <v>0</v>
          </cell>
        </row>
        <row r="217">
          <cell r="C217" t="str">
            <v>Ground_slab</v>
          </cell>
          <cell r="K217">
            <v>1839</v>
          </cell>
          <cell r="N217" t="str">
            <v>m²</v>
          </cell>
          <cell r="P217" t="str">
            <v xml:space="preserve">Ground slab </v>
          </cell>
          <cell r="Q217">
            <v>1839</v>
          </cell>
          <cell r="R217" t="str">
            <v>m²</v>
          </cell>
          <cell r="U217">
            <v>1839</v>
          </cell>
        </row>
        <row r="218">
          <cell r="G218">
            <v>1839</v>
          </cell>
          <cell r="H218">
            <v>1</v>
          </cell>
          <cell r="K218">
            <v>1839</v>
          </cell>
          <cell r="O218" t="str">
            <v>Level_0</v>
          </cell>
        </row>
        <row r="219">
          <cell r="K219">
            <v>0</v>
          </cell>
        </row>
        <row r="220">
          <cell r="K220">
            <v>0</v>
          </cell>
        </row>
        <row r="221">
          <cell r="K221">
            <v>0</v>
          </cell>
        </row>
        <row r="222">
          <cell r="K222">
            <v>0</v>
          </cell>
        </row>
        <row r="223">
          <cell r="K223">
            <v>0</v>
          </cell>
        </row>
        <row r="224">
          <cell r="N224" t="str">
            <v>End</v>
          </cell>
        </row>
        <row r="226">
          <cell r="C226" t="str">
            <v>Excavation_Reduce_depth</v>
          </cell>
          <cell r="K226">
            <v>0.5</v>
          </cell>
          <cell r="N226" t="str">
            <v>m</v>
          </cell>
          <cell r="P226" t="str">
            <v>Reduce level excavation depth</v>
          </cell>
          <cell r="Q226">
            <v>0.5</v>
          </cell>
          <cell r="R226" t="str">
            <v>m</v>
          </cell>
        </row>
        <row r="228">
          <cell r="C228" t="str">
            <v>Excavation_Reduce</v>
          </cell>
          <cell r="K228">
            <v>920</v>
          </cell>
          <cell r="N228" t="str">
            <v>m³</v>
          </cell>
          <cell r="P228" t="str">
            <v>Reduce level excavation volume</v>
          </cell>
          <cell r="Q228">
            <v>920</v>
          </cell>
          <cell r="R228" t="str">
            <v>m³</v>
          </cell>
        </row>
        <row r="229">
          <cell r="G229">
            <v>1839</v>
          </cell>
          <cell r="H229">
            <v>1</v>
          </cell>
          <cell r="I229">
            <v>0.5</v>
          </cell>
          <cell r="K229">
            <v>919.5</v>
          </cell>
          <cell r="O229" t="str">
            <v>Ground_slab</v>
          </cell>
        </row>
        <row r="230">
          <cell r="I230">
            <v>0.5</v>
          </cell>
          <cell r="K230">
            <v>0.5</v>
          </cell>
          <cell r="O230" t="str">
            <v>Excavation_Reduce_depth</v>
          </cell>
        </row>
        <row r="231">
          <cell r="K231">
            <v>0</v>
          </cell>
        </row>
        <row r="232">
          <cell r="K232">
            <v>0</v>
          </cell>
        </row>
        <row r="233">
          <cell r="N233" t="str">
            <v>End</v>
          </cell>
        </row>
        <row r="235">
          <cell r="C235" t="str">
            <v>Excavation_extra_over_concrete_%</v>
          </cell>
          <cell r="K235">
            <v>0</v>
          </cell>
          <cell r="N235" t="str">
            <v>%</v>
          </cell>
          <cell r="P235" t="str">
            <v>Extra over excavation: concrete</v>
          </cell>
          <cell r="Q235">
            <v>0</v>
          </cell>
          <cell r="R235" t="str">
            <v>%</v>
          </cell>
        </row>
        <row r="237">
          <cell r="C237" t="str">
            <v>Excavation_extra_over_ concrete</v>
          </cell>
          <cell r="K237">
            <v>0</v>
          </cell>
          <cell r="N237" t="str">
            <v>t</v>
          </cell>
          <cell r="P237" t="str">
            <v>Description</v>
          </cell>
          <cell r="Q237">
            <v>0</v>
          </cell>
          <cell r="R237" t="str">
            <v>t</v>
          </cell>
        </row>
        <row r="238">
          <cell r="G238">
            <v>920</v>
          </cell>
          <cell r="H238">
            <v>1</v>
          </cell>
          <cell r="I238">
            <v>0</v>
          </cell>
          <cell r="K238">
            <v>0</v>
          </cell>
          <cell r="O238" t="str">
            <v>Excavation_Reduce</v>
          </cell>
        </row>
        <row r="239">
          <cell r="I239">
            <v>0</v>
          </cell>
          <cell r="O239" t="str">
            <v>Excavation_extra_over_concrete_%</v>
          </cell>
        </row>
        <row r="240">
          <cell r="K240">
            <v>0</v>
          </cell>
        </row>
        <row r="241">
          <cell r="K241">
            <v>0</v>
          </cell>
        </row>
        <row r="242">
          <cell r="K242">
            <v>0</v>
          </cell>
        </row>
        <row r="243">
          <cell r="K243">
            <v>0</v>
          </cell>
        </row>
        <row r="244">
          <cell r="N244" t="str">
            <v>End</v>
          </cell>
        </row>
        <row r="247">
          <cell r="C247" t="str">
            <v>Foundations_Footings</v>
          </cell>
          <cell r="K247">
            <v>295</v>
          </cell>
          <cell r="N247" t="str">
            <v>m</v>
          </cell>
          <cell r="P247" t="str">
            <v>Footings</v>
          </cell>
          <cell r="Q247">
            <v>295</v>
          </cell>
          <cell r="R247" t="str">
            <v>m</v>
          </cell>
        </row>
        <row r="248">
          <cell r="G248">
            <v>295</v>
          </cell>
          <cell r="K248">
            <v>295</v>
          </cell>
          <cell r="O248" t="str">
            <v>Girth</v>
          </cell>
        </row>
        <row r="249">
          <cell r="K249">
            <v>0</v>
          </cell>
        </row>
        <row r="250">
          <cell r="K250">
            <v>0</v>
          </cell>
        </row>
        <row r="251">
          <cell r="K251">
            <v>0</v>
          </cell>
        </row>
        <row r="252">
          <cell r="K252">
            <v>0</v>
          </cell>
        </row>
        <row r="253">
          <cell r="K253">
            <v>0</v>
          </cell>
        </row>
        <row r="254">
          <cell r="N254" t="str">
            <v>End</v>
          </cell>
        </row>
        <row r="257">
          <cell r="C257" t="str">
            <v>Foundations_pads_small</v>
          </cell>
          <cell r="K257">
            <v>0</v>
          </cell>
          <cell r="N257" t="str">
            <v>Nr</v>
          </cell>
          <cell r="P257" t="str">
            <v>Pad foundations, small</v>
          </cell>
          <cell r="Q257">
            <v>0</v>
          </cell>
          <cell r="R257" t="str">
            <v>Nr</v>
          </cell>
        </row>
        <row r="258">
          <cell r="C258" t="str">
            <v>Foundations_pads_medium</v>
          </cell>
          <cell r="K258">
            <v>0</v>
          </cell>
          <cell r="N258" t="str">
            <v>Nr</v>
          </cell>
          <cell r="P258" t="str">
            <v>Pad foundations, medium</v>
          </cell>
          <cell r="Q258">
            <v>0</v>
          </cell>
          <cell r="R258" t="str">
            <v>Nr</v>
          </cell>
        </row>
        <row r="259">
          <cell r="C259" t="str">
            <v>Foundations_pads_large</v>
          </cell>
          <cell r="K259">
            <v>30</v>
          </cell>
          <cell r="N259" t="str">
            <v>Nr</v>
          </cell>
          <cell r="P259" t="str">
            <v>Pad foundations, large</v>
          </cell>
          <cell r="Q259">
            <v>30</v>
          </cell>
          <cell r="R259" t="str">
            <v>Nr</v>
          </cell>
        </row>
        <row r="260">
          <cell r="C260" t="str">
            <v>Foundations_pads_very_large</v>
          </cell>
          <cell r="K260">
            <v>0</v>
          </cell>
          <cell r="N260" t="str">
            <v>Nr</v>
          </cell>
          <cell r="P260" t="str">
            <v>Pad foundations, very large</v>
          </cell>
          <cell r="Q260">
            <v>0</v>
          </cell>
          <cell r="R260" t="str">
            <v>Nr</v>
          </cell>
        </row>
        <row r="261">
          <cell r="C261" t="str">
            <v>Foundations_pads</v>
          </cell>
          <cell r="K261">
            <v>30</v>
          </cell>
          <cell r="N261" t="str">
            <v>Nr</v>
          </cell>
          <cell r="P261" t="str">
            <v>Total Pad foundations</v>
          </cell>
          <cell r="Q261">
            <v>30</v>
          </cell>
          <cell r="R261" t="str">
            <v>Nr</v>
          </cell>
        </row>
        <row r="262">
          <cell r="C262" t="str">
            <v>Foundations_lift_pits</v>
          </cell>
          <cell r="K262">
            <v>0</v>
          </cell>
          <cell r="N262" t="str">
            <v>Nr</v>
          </cell>
          <cell r="P262" t="str">
            <v>Lift pit bases</v>
          </cell>
          <cell r="Q262">
            <v>0</v>
          </cell>
          <cell r="R262" t="str">
            <v>Nr</v>
          </cell>
        </row>
        <row r="264">
          <cell r="C264" t="str">
            <v>FRAMES (2A)</v>
          </cell>
        </row>
        <row r="265">
          <cell r="C265" t="str">
            <v>Frame_tonnage_t_per_m2</v>
          </cell>
          <cell r="K265">
            <v>2.3817292006525284E-2</v>
          </cell>
          <cell r="N265" t="str">
            <v>t</v>
          </cell>
          <cell r="P265" t="str">
            <v>Frame: tonnage/m² gfa</v>
          </cell>
          <cell r="Q265">
            <v>2.3817292006525284E-2</v>
          </cell>
          <cell r="R265" t="str">
            <v>t</v>
          </cell>
        </row>
        <row r="267">
          <cell r="C267" t="str">
            <v>Frame_tonnage</v>
          </cell>
          <cell r="K267">
            <v>43.8</v>
          </cell>
          <cell r="N267" t="str">
            <v>t</v>
          </cell>
          <cell r="P267" t="str">
            <v>Frame: tonnage</v>
          </cell>
          <cell r="Q267">
            <v>43.8</v>
          </cell>
          <cell r="R267" t="str">
            <v>t</v>
          </cell>
        </row>
        <row r="268">
          <cell r="G268">
            <v>1839</v>
          </cell>
          <cell r="H268">
            <v>1</v>
          </cell>
          <cell r="J268">
            <v>2.3817292006525284E-2</v>
          </cell>
          <cell r="K268">
            <v>43.8</v>
          </cell>
          <cell r="O268" t="str">
            <v>Gross_Floor_Area</v>
          </cell>
        </row>
        <row r="269">
          <cell r="J269">
            <v>2.3817292006525284E-2</v>
          </cell>
          <cell r="O269" t="str">
            <v>Frame_tonnage_t_per_m2</v>
          </cell>
        </row>
        <row r="270">
          <cell r="K270">
            <v>0</v>
          </cell>
        </row>
        <row r="271">
          <cell r="K271">
            <v>0</v>
          </cell>
        </row>
        <row r="272">
          <cell r="K272">
            <v>0</v>
          </cell>
        </row>
        <row r="273">
          <cell r="K273">
            <v>0</v>
          </cell>
        </row>
        <row r="274">
          <cell r="N274" t="str">
            <v>End</v>
          </cell>
        </row>
        <row r="276">
          <cell r="C276" t="str">
            <v>Frame_Beams_Glulam</v>
          </cell>
          <cell r="K276">
            <v>9</v>
          </cell>
          <cell r="N276" t="str">
            <v>Nr</v>
          </cell>
          <cell r="P276" t="str">
            <v>Glulam beams</v>
          </cell>
          <cell r="Q276">
            <v>9</v>
          </cell>
          <cell r="R276" t="str">
            <v>Nr</v>
          </cell>
        </row>
        <row r="277">
          <cell r="F277">
            <v>9</v>
          </cell>
          <cell r="K277">
            <v>9</v>
          </cell>
          <cell r="P277" t="str">
            <v>Annotation</v>
          </cell>
        </row>
        <row r="278">
          <cell r="K278">
            <v>0</v>
          </cell>
        </row>
        <row r="279">
          <cell r="K279">
            <v>0</v>
          </cell>
        </row>
        <row r="280">
          <cell r="N280" t="str">
            <v>End</v>
          </cell>
        </row>
        <row r="284">
          <cell r="C284" t="str">
            <v>Frame_Columns_Glulam</v>
          </cell>
          <cell r="K284">
            <v>9</v>
          </cell>
          <cell r="N284" t="str">
            <v>Nr</v>
          </cell>
          <cell r="P284" t="str">
            <v>Glulam Columns</v>
          </cell>
          <cell r="Q284">
            <v>9</v>
          </cell>
          <cell r="R284" t="str">
            <v>Nr</v>
          </cell>
        </row>
        <row r="285">
          <cell r="F285">
            <v>9</v>
          </cell>
          <cell r="K285">
            <v>9</v>
          </cell>
          <cell r="P285" t="str">
            <v>Annotation</v>
          </cell>
        </row>
        <row r="286">
          <cell r="K286">
            <v>0</v>
          </cell>
        </row>
        <row r="287">
          <cell r="K287">
            <v>0</v>
          </cell>
        </row>
        <row r="288">
          <cell r="N288" t="str">
            <v>End</v>
          </cell>
        </row>
        <row r="291">
          <cell r="C291" t="str">
            <v>Frame_Columns_SS</v>
          </cell>
          <cell r="K291">
            <v>9</v>
          </cell>
          <cell r="N291" t="str">
            <v>Nr</v>
          </cell>
          <cell r="P291" t="str">
            <v>Stainless steel columns</v>
          </cell>
          <cell r="Q291">
            <v>9</v>
          </cell>
          <cell r="R291" t="str">
            <v>Nr</v>
          </cell>
        </row>
        <row r="292">
          <cell r="F292">
            <v>9</v>
          </cell>
          <cell r="K292">
            <v>9</v>
          </cell>
          <cell r="P292" t="str">
            <v>Annotation</v>
          </cell>
        </row>
        <row r="293">
          <cell r="K293">
            <v>0</v>
          </cell>
        </row>
        <row r="294">
          <cell r="K294">
            <v>0</v>
          </cell>
        </row>
        <row r="295">
          <cell r="N295" t="str">
            <v>End</v>
          </cell>
        </row>
        <row r="298">
          <cell r="C298" t="str">
            <v>FLOORS (2B)</v>
          </cell>
        </row>
        <row r="300">
          <cell r="C300" t="str">
            <v>Floors_suspended</v>
          </cell>
          <cell r="K300">
            <v>0</v>
          </cell>
          <cell r="N300" t="str">
            <v>m²</v>
          </cell>
          <cell r="P300" t="str">
            <v>Suspended floors</v>
          </cell>
          <cell r="Q300">
            <v>0</v>
          </cell>
          <cell r="R300" t="str">
            <v>m²</v>
          </cell>
        </row>
        <row r="301">
          <cell r="G301">
            <v>1839</v>
          </cell>
          <cell r="H301">
            <v>1</v>
          </cell>
          <cell r="K301">
            <v>1839</v>
          </cell>
          <cell r="O301" t="str">
            <v>Gross_Floor_Area</v>
          </cell>
        </row>
        <row r="302">
          <cell r="E302">
            <v>1</v>
          </cell>
          <cell r="F302">
            <v>-1</v>
          </cell>
          <cell r="G302">
            <v>1839</v>
          </cell>
          <cell r="H302">
            <v>1</v>
          </cell>
          <cell r="K302">
            <v>-1839</v>
          </cell>
          <cell r="O302" t="str">
            <v>Ground_slab</v>
          </cell>
        </row>
        <row r="303">
          <cell r="K303">
            <v>0</v>
          </cell>
        </row>
        <row r="304">
          <cell r="N304" t="str">
            <v>End</v>
          </cell>
        </row>
        <row r="307">
          <cell r="C307" t="str">
            <v>Floors_Attic</v>
          </cell>
          <cell r="K307">
            <v>80</v>
          </cell>
          <cell r="N307" t="str">
            <v>m²</v>
          </cell>
          <cell r="P307" t="str">
            <v>Attic floor</v>
          </cell>
          <cell r="Q307">
            <v>80</v>
          </cell>
          <cell r="R307" t="str">
            <v>m²</v>
          </cell>
        </row>
        <row r="308">
          <cell r="G308">
            <v>80</v>
          </cell>
          <cell r="H308">
            <v>1</v>
          </cell>
          <cell r="K308">
            <v>80</v>
          </cell>
          <cell r="P308" t="str">
            <v>Annotation</v>
          </cell>
        </row>
        <row r="309">
          <cell r="K309">
            <v>0</v>
          </cell>
        </row>
        <row r="310">
          <cell r="K310">
            <v>0</v>
          </cell>
        </row>
        <row r="311">
          <cell r="N311" t="str">
            <v>End</v>
          </cell>
        </row>
        <row r="314">
          <cell r="C314" t="str">
            <v>ROOF (2C)</v>
          </cell>
        </row>
        <row r="316">
          <cell r="C316" t="str">
            <v>Roof_flat_GIFA</v>
          </cell>
          <cell r="K316">
            <v>1839</v>
          </cell>
          <cell r="N316" t="str">
            <v>m²</v>
          </cell>
          <cell r="P316" t="str">
            <v>Description</v>
          </cell>
          <cell r="Q316">
            <v>1839</v>
          </cell>
          <cell r="R316" t="str">
            <v>m²</v>
          </cell>
        </row>
        <row r="317">
          <cell r="G317">
            <v>1839</v>
          </cell>
          <cell r="H317">
            <v>1</v>
          </cell>
          <cell r="K317">
            <v>1839</v>
          </cell>
          <cell r="O317" t="str">
            <v>Ground_slab</v>
          </cell>
        </row>
        <row r="318">
          <cell r="K318">
            <v>0</v>
          </cell>
        </row>
        <row r="319">
          <cell r="N319" t="str">
            <v>End</v>
          </cell>
        </row>
        <row r="321">
          <cell r="C321" t="str">
            <v>Roof_overhang_percentage</v>
          </cell>
          <cell r="K321">
            <v>5</v>
          </cell>
          <cell r="N321" t="str">
            <v>%</v>
          </cell>
          <cell r="P321" t="str">
            <v>Roof: overhang percentage (flat on plan)</v>
          </cell>
          <cell r="Q321">
            <v>5</v>
          </cell>
          <cell r="R321" t="str">
            <v>%</v>
          </cell>
        </row>
        <row r="323">
          <cell r="C323" t="str">
            <v>Roof</v>
          </cell>
          <cell r="K323">
            <v>1930.95</v>
          </cell>
          <cell r="N323" t="str">
            <v>m²</v>
          </cell>
          <cell r="P323" t="str">
            <v>Roof: flat on plan</v>
          </cell>
          <cell r="Q323">
            <v>1930.95</v>
          </cell>
          <cell r="R323" t="str">
            <v>m²</v>
          </cell>
        </row>
        <row r="324">
          <cell r="G324">
            <v>1839</v>
          </cell>
          <cell r="H324">
            <v>1</v>
          </cell>
          <cell r="K324">
            <v>1839</v>
          </cell>
          <cell r="O324" t="str">
            <v>Roof_flat_GIFA</v>
          </cell>
        </row>
        <row r="325">
          <cell r="E325">
            <v>0.01</v>
          </cell>
          <cell r="F325">
            <v>5</v>
          </cell>
          <cell r="G325">
            <v>1839</v>
          </cell>
          <cell r="H325">
            <v>1</v>
          </cell>
          <cell r="K325">
            <v>91.95</v>
          </cell>
          <cell r="O325" t="str">
            <v>Roof_overhang_percentage</v>
          </cell>
        </row>
        <row r="326">
          <cell r="K326">
            <v>0</v>
          </cell>
        </row>
        <row r="327">
          <cell r="N327" t="str">
            <v>End</v>
          </cell>
        </row>
        <row r="329">
          <cell r="C329" t="str">
            <v>Roof_pitch</v>
          </cell>
          <cell r="K329">
            <v>30.795601197899728</v>
          </cell>
          <cell r="N329" t="str">
            <v>°</v>
          </cell>
          <cell r="P329" t="str">
            <v>Roof: pitch</v>
          </cell>
          <cell r="Q329">
            <v>30.8</v>
          </cell>
          <cell r="R329" t="str">
            <v>°</v>
          </cell>
          <cell r="U329">
            <v>30.8</v>
          </cell>
        </row>
        <row r="331">
          <cell r="C331" t="str">
            <v>Roof_pitched_area</v>
          </cell>
          <cell r="K331">
            <v>2248.1029053045245</v>
          </cell>
          <cell r="N331" t="str">
            <v>m</v>
          </cell>
          <cell r="P331" t="str">
            <v>Roof actual pitched area</v>
          </cell>
          <cell r="Q331">
            <v>2248.1029053045245</v>
          </cell>
          <cell r="R331" t="str">
            <v>m</v>
          </cell>
        </row>
        <row r="332">
          <cell r="G332">
            <v>2248.1029053045245</v>
          </cell>
          <cell r="K332">
            <v>2248.1029053045245</v>
          </cell>
          <cell r="P332" t="str">
            <v>Annotation</v>
          </cell>
        </row>
        <row r="333">
          <cell r="G333">
            <v>1930.95</v>
          </cell>
          <cell r="H333">
            <v>1</v>
          </cell>
          <cell r="K333" t="str">
            <v>Intentionally Blank</v>
          </cell>
          <cell r="O333" t="str">
            <v>roof</v>
          </cell>
        </row>
        <row r="334">
          <cell r="F334">
            <v>30.8</v>
          </cell>
          <cell r="K334" t="str">
            <v>Intentionally Blank</v>
          </cell>
          <cell r="O334" t="str">
            <v>Roof_pitch</v>
          </cell>
        </row>
        <row r="335">
          <cell r="K335">
            <v>0</v>
          </cell>
          <cell r="P335" t="str">
            <v>Manual adjustment</v>
          </cell>
        </row>
        <row r="336">
          <cell r="K336">
            <v>0</v>
          </cell>
        </row>
        <row r="337">
          <cell r="K337">
            <v>0</v>
          </cell>
        </row>
        <row r="338">
          <cell r="N338" t="str">
            <v>End</v>
          </cell>
        </row>
        <row r="340">
          <cell r="C340" t="str">
            <v>Roof_single_ply</v>
          </cell>
          <cell r="K340">
            <v>1043.1029053045245</v>
          </cell>
          <cell r="N340" t="str">
            <v>m²</v>
          </cell>
          <cell r="P340" t="str">
            <v>Single ply roof</v>
          </cell>
          <cell r="Q340">
            <v>1043.1029053045245</v>
          </cell>
          <cell r="R340" t="str">
            <v>m²</v>
          </cell>
        </row>
        <row r="341">
          <cell r="G341">
            <v>2248.1029053045245</v>
          </cell>
          <cell r="H341">
            <v>1</v>
          </cell>
          <cell r="K341">
            <v>2248.1029053045245</v>
          </cell>
          <cell r="O341" t="str">
            <v>Roof_pitched_area</v>
          </cell>
        </row>
        <row r="342">
          <cell r="F342">
            <v>-1</v>
          </cell>
          <cell r="G342">
            <v>1205</v>
          </cell>
          <cell r="H342">
            <v>1</v>
          </cell>
          <cell r="K342">
            <v>-1205</v>
          </cell>
          <cell r="O342" t="str">
            <v>Roof_sedum</v>
          </cell>
        </row>
        <row r="343">
          <cell r="K343">
            <v>0</v>
          </cell>
        </row>
        <row r="344">
          <cell r="N344" t="str">
            <v>End</v>
          </cell>
        </row>
        <row r="347">
          <cell r="C347" t="str">
            <v>Roof_sedum</v>
          </cell>
          <cell r="K347">
            <v>1205</v>
          </cell>
          <cell r="N347" t="str">
            <v>m²</v>
          </cell>
          <cell r="P347" t="str">
            <v>Sedum roof</v>
          </cell>
          <cell r="Q347">
            <v>1205</v>
          </cell>
          <cell r="R347" t="str">
            <v>m²</v>
          </cell>
        </row>
        <row r="348">
          <cell r="G348">
            <v>1205</v>
          </cell>
          <cell r="H348">
            <v>1</v>
          </cell>
          <cell r="K348">
            <v>1205</v>
          </cell>
          <cell r="P348" t="str">
            <v>Annotation</v>
          </cell>
        </row>
        <row r="349">
          <cell r="K349">
            <v>0</v>
          </cell>
        </row>
        <row r="350">
          <cell r="K350">
            <v>0</v>
          </cell>
        </row>
        <row r="351">
          <cell r="N351" t="str">
            <v>End</v>
          </cell>
        </row>
        <row r="354">
          <cell r="C354" t="str">
            <v>Roof_glazed_canopy</v>
          </cell>
          <cell r="K354">
            <v>145</v>
          </cell>
          <cell r="N354" t="str">
            <v>m²</v>
          </cell>
          <cell r="P354" t="str">
            <v>Glazed canopy</v>
          </cell>
          <cell r="Q354">
            <v>145</v>
          </cell>
          <cell r="R354" t="str">
            <v>m²</v>
          </cell>
        </row>
        <row r="355">
          <cell r="F355">
            <v>1</v>
          </cell>
          <cell r="G355">
            <v>145</v>
          </cell>
          <cell r="H355">
            <v>1</v>
          </cell>
          <cell r="K355">
            <v>145</v>
          </cell>
          <cell r="P355" t="str">
            <v>Annotation</v>
          </cell>
        </row>
        <row r="356">
          <cell r="K356">
            <v>0</v>
          </cell>
        </row>
        <row r="357">
          <cell r="K357">
            <v>0</v>
          </cell>
        </row>
        <row r="358">
          <cell r="N358" t="str">
            <v>End</v>
          </cell>
        </row>
        <row r="361">
          <cell r="C361" t="str">
            <v>Roof_rooflights</v>
          </cell>
          <cell r="K361">
            <v>13.997609999999998</v>
          </cell>
          <cell r="N361" t="str">
            <v>m²</v>
          </cell>
          <cell r="P361" t="str">
            <v>Circular roof lights</v>
          </cell>
          <cell r="Q361">
            <v>13.997609999999998</v>
          </cell>
          <cell r="R361" t="str">
            <v>m²</v>
          </cell>
        </row>
        <row r="362">
          <cell r="E362">
            <v>4</v>
          </cell>
          <cell r="F362">
            <v>3.1419999999999999</v>
          </cell>
          <cell r="G362">
            <v>0.45</v>
          </cell>
          <cell r="H362">
            <v>0.45</v>
          </cell>
          <cell r="K362">
            <v>2.5450200000000001</v>
          </cell>
          <cell r="O362" t="str">
            <v>900 dia</v>
          </cell>
        </row>
        <row r="363">
          <cell r="E363">
            <v>7</v>
          </cell>
          <cell r="F363">
            <v>3.1419999999999999</v>
          </cell>
          <cell r="G363">
            <v>0.6</v>
          </cell>
          <cell r="H363">
            <v>0.6</v>
          </cell>
          <cell r="K363">
            <v>7.9178399999999991</v>
          </cell>
          <cell r="O363" t="str">
            <v>1200 dia</v>
          </cell>
        </row>
        <row r="364">
          <cell r="E364">
            <v>2</v>
          </cell>
          <cell r="F364">
            <v>3.1419999999999999</v>
          </cell>
          <cell r="G364">
            <v>0.75</v>
          </cell>
          <cell r="H364">
            <v>0.75</v>
          </cell>
          <cell r="K364">
            <v>3.5347499999999998</v>
          </cell>
          <cell r="O364" t="str">
            <v>1500 dia</v>
          </cell>
        </row>
        <row r="365">
          <cell r="K365">
            <v>0</v>
          </cell>
        </row>
        <row r="366">
          <cell r="K366">
            <v>0</v>
          </cell>
        </row>
        <row r="367">
          <cell r="K367">
            <v>0</v>
          </cell>
        </row>
        <row r="368">
          <cell r="N368" t="str">
            <v>End</v>
          </cell>
        </row>
        <row r="371">
          <cell r="C371" t="str">
            <v>STAIRS (2D)</v>
          </cell>
        </row>
        <row r="372">
          <cell r="C372" t="str">
            <v>Stairs_Circulation</v>
          </cell>
          <cell r="K372">
            <v>0</v>
          </cell>
          <cell r="N372" t="str">
            <v>Nr</v>
          </cell>
          <cell r="P372" t="str">
            <v>Stairs: Circulation (flights)</v>
          </cell>
          <cell r="Q372">
            <v>0</v>
          </cell>
          <cell r="R372" t="str">
            <v>Nr</v>
          </cell>
        </row>
        <row r="373">
          <cell r="C373" t="str">
            <v>Stairs_Feature</v>
          </cell>
          <cell r="K373">
            <v>0</v>
          </cell>
          <cell r="N373" t="str">
            <v>Nr</v>
          </cell>
          <cell r="P373" t="str">
            <v>Stairs: Feature / Atrium</v>
          </cell>
          <cell r="Q373">
            <v>0</v>
          </cell>
          <cell r="R373" t="str">
            <v>Nr</v>
          </cell>
        </row>
        <row r="374">
          <cell r="C374" t="str">
            <v>Stairs</v>
          </cell>
          <cell r="K374">
            <v>0</v>
          </cell>
          <cell r="N374" t="str">
            <v>m</v>
          </cell>
          <cell r="P374" t="str">
            <v>Total number of stairs</v>
          </cell>
          <cell r="Q374">
            <v>0</v>
          </cell>
          <cell r="R374" t="str">
            <v>m</v>
          </cell>
        </row>
        <row r="375">
          <cell r="C375" t="str">
            <v>Balustrade_horizontal</v>
          </cell>
          <cell r="K375">
            <v>0</v>
          </cell>
          <cell r="N375" t="str">
            <v>m</v>
          </cell>
          <cell r="P375" t="str">
            <v>Horizontal balustrades to walkways and atriums</v>
          </cell>
          <cell r="Q375">
            <v>0</v>
          </cell>
          <cell r="R375" t="str">
            <v>m</v>
          </cell>
        </row>
        <row r="376">
          <cell r="C376" t="str">
            <v>Balustrade_walkway</v>
          </cell>
          <cell r="K376">
            <v>0</v>
          </cell>
          <cell r="N376" t="str">
            <v>m</v>
          </cell>
          <cell r="P376" t="str">
            <v>Balustrade catwalk / walkway</v>
          </cell>
          <cell r="Q376">
            <v>0</v>
          </cell>
          <cell r="R376" t="str">
            <v>m</v>
          </cell>
        </row>
        <row r="378">
          <cell r="C378" t="str">
            <v>EXTERNAL WALLS (2E)</v>
          </cell>
        </row>
        <row r="380">
          <cell r="C380" t="str">
            <v>Extwalls_girth</v>
          </cell>
          <cell r="K380">
            <v>295</v>
          </cell>
          <cell r="N380" t="str">
            <v>m</v>
          </cell>
          <cell r="P380" t="str">
            <v>External wall girth/floor</v>
          </cell>
          <cell r="Q380">
            <v>295</v>
          </cell>
          <cell r="R380" t="str">
            <v>m</v>
          </cell>
        </row>
        <row r="381">
          <cell r="G381">
            <v>295</v>
          </cell>
          <cell r="K381">
            <v>295</v>
          </cell>
          <cell r="O381" t="str">
            <v>Girth</v>
          </cell>
        </row>
        <row r="382">
          <cell r="K382">
            <v>0</v>
          </cell>
        </row>
        <row r="383">
          <cell r="K383">
            <v>0</v>
          </cell>
        </row>
        <row r="384">
          <cell r="N384" t="str">
            <v>End</v>
          </cell>
        </row>
        <row r="387">
          <cell r="C387" t="str">
            <v>Extwalls_area</v>
          </cell>
          <cell r="K387">
            <v>1091.5</v>
          </cell>
          <cell r="N387" t="str">
            <v>m²</v>
          </cell>
          <cell r="P387" t="str">
            <v>External wall girth x struc height</v>
          </cell>
          <cell r="Q387">
            <v>1091.5</v>
          </cell>
          <cell r="R387" t="str">
            <v>m²</v>
          </cell>
        </row>
        <row r="388">
          <cell r="G388">
            <v>0</v>
          </cell>
          <cell r="H388">
            <v>0</v>
          </cell>
          <cell r="K388">
            <v>0</v>
          </cell>
          <cell r="O388" t="str">
            <v>Girth_b1</v>
          </cell>
          <cell r="P388" t="str">
            <v>Height_B1</v>
          </cell>
        </row>
        <row r="389">
          <cell r="G389">
            <v>295</v>
          </cell>
          <cell r="H389">
            <v>3.7</v>
          </cell>
          <cell r="K389">
            <v>1091.5</v>
          </cell>
          <cell r="O389" t="str">
            <v>Girth_0</v>
          </cell>
          <cell r="P389" t="str">
            <v>Height_0</v>
          </cell>
        </row>
        <row r="390">
          <cell r="G390">
            <v>0</v>
          </cell>
          <cell r="H390">
            <v>0</v>
          </cell>
          <cell r="K390">
            <v>0</v>
          </cell>
          <cell r="O390" t="str">
            <v>Girth_01</v>
          </cell>
          <cell r="P390" t="str">
            <v>Height_01</v>
          </cell>
        </row>
        <row r="391">
          <cell r="G391">
            <v>0</v>
          </cell>
          <cell r="H391">
            <v>0</v>
          </cell>
          <cell r="K391">
            <v>0</v>
          </cell>
          <cell r="O391" t="str">
            <v>Girth_02</v>
          </cell>
          <cell r="P391" t="str">
            <v>Height_02</v>
          </cell>
        </row>
        <row r="392">
          <cell r="G392">
            <v>0</v>
          </cell>
          <cell r="H392">
            <v>0</v>
          </cell>
          <cell r="K392">
            <v>0</v>
          </cell>
          <cell r="O392" t="str">
            <v>Girth_03</v>
          </cell>
          <cell r="P392" t="str">
            <v>Height_03</v>
          </cell>
        </row>
        <row r="393">
          <cell r="G393">
            <v>0</v>
          </cell>
          <cell r="H393">
            <v>0</v>
          </cell>
          <cell r="K393">
            <v>0</v>
          </cell>
          <cell r="P393" t="str">
            <v>Adjustment</v>
          </cell>
        </row>
        <row r="394">
          <cell r="N394" t="str">
            <v>End</v>
          </cell>
        </row>
        <row r="397">
          <cell r="C397" t="str">
            <v>Extwalls_area_net</v>
          </cell>
          <cell r="K397">
            <v>788.57999999999993</v>
          </cell>
          <cell r="N397" t="str">
            <v>m²</v>
          </cell>
          <cell r="P397" t="str">
            <v>External wall  - openings</v>
          </cell>
          <cell r="Q397">
            <v>788.57999999999993</v>
          </cell>
          <cell r="R397" t="str">
            <v>m²</v>
          </cell>
        </row>
        <row r="398">
          <cell r="G398">
            <v>1091.5</v>
          </cell>
          <cell r="H398">
            <v>1</v>
          </cell>
          <cell r="K398">
            <v>1091.5</v>
          </cell>
          <cell r="O398" t="str">
            <v>ExtWalls_area</v>
          </cell>
        </row>
        <row r="399">
          <cell r="F399">
            <v>-1</v>
          </cell>
          <cell r="G399">
            <v>302.92</v>
          </cell>
          <cell r="H399">
            <v>1</v>
          </cell>
          <cell r="K399">
            <v>-302.92</v>
          </cell>
          <cell r="O399" t="str">
            <v>ExtOpenings_area</v>
          </cell>
        </row>
        <row r="400">
          <cell r="K400">
            <v>0</v>
          </cell>
        </row>
        <row r="401">
          <cell r="K401">
            <v>0</v>
          </cell>
        </row>
        <row r="402">
          <cell r="K402">
            <v>0</v>
          </cell>
        </row>
        <row r="403">
          <cell r="K403">
            <v>0</v>
          </cell>
        </row>
        <row r="404">
          <cell r="N404" t="str">
            <v>End</v>
          </cell>
        </row>
        <row r="407">
          <cell r="C407" t="str">
            <v>ExtWalls_area_brick</v>
          </cell>
          <cell r="K407">
            <v>721</v>
          </cell>
          <cell r="N407" t="str">
            <v>m²</v>
          </cell>
          <cell r="P407" t="str">
            <v>Facing brick</v>
          </cell>
          <cell r="Q407">
            <v>721</v>
          </cell>
          <cell r="R407" t="str">
            <v>m²</v>
          </cell>
        </row>
        <row r="408">
          <cell r="G408">
            <v>721</v>
          </cell>
          <cell r="H408">
            <v>1</v>
          </cell>
          <cell r="K408">
            <v>721</v>
          </cell>
        </row>
        <row r="409">
          <cell r="K409">
            <v>0</v>
          </cell>
        </row>
        <row r="410">
          <cell r="K410">
            <v>0</v>
          </cell>
        </row>
        <row r="411">
          <cell r="N411" t="str">
            <v>End</v>
          </cell>
        </row>
        <row r="414">
          <cell r="C414" t="str">
            <v>ExtWalls_area_timber</v>
          </cell>
          <cell r="K414">
            <v>333</v>
          </cell>
          <cell r="N414" t="str">
            <v>m²</v>
          </cell>
          <cell r="P414" t="str">
            <v>Timber cladding</v>
          </cell>
          <cell r="Q414">
            <v>333</v>
          </cell>
          <cell r="R414" t="str">
            <v>m²</v>
          </cell>
        </row>
        <row r="415">
          <cell r="G415">
            <v>333</v>
          </cell>
          <cell r="H415">
            <v>1</v>
          </cell>
          <cell r="K415">
            <v>333</v>
          </cell>
          <cell r="P415" t="str">
            <v>Annotation</v>
          </cell>
        </row>
        <row r="416">
          <cell r="K416">
            <v>0</v>
          </cell>
        </row>
        <row r="417">
          <cell r="K417">
            <v>0</v>
          </cell>
        </row>
        <row r="418">
          <cell r="N418" t="str">
            <v>End</v>
          </cell>
        </row>
        <row r="420">
          <cell r="C420" t="str">
            <v>ExtWalls_area_block</v>
          </cell>
          <cell r="K420">
            <v>188</v>
          </cell>
          <cell r="N420" t="str">
            <v>m²</v>
          </cell>
          <cell r="P420" t="str">
            <v>Block walls</v>
          </cell>
          <cell r="Q420">
            <v>188</v>
          </cell>
          <cell r="R420" t="str">
            <v>m²</v>
          </cell>
        </row>
        <row r="421">
          <cell r="G421">
            <v>188</v>
          </cell>
          <cell r="H421">
            <v>1</v>
          </cell>
          <cell r="K421">
            <v>188</v>
          </cell>
          <cell r="P421" t="str">
            <v>Annotation</v>
          </cell>
        </row>
        <row r="422">
          <cell r="K422">
            <v>0</v>
          </cell>
        </row>
        <row r="423">
          <cell r="K423">
            <v>0</v>
          </cell>
        </row>
        <row r="424">
          <cell r="N424" t="str">
            <v>End</v>
          </cell>
        </row>
        <row r="428">
          <cell r="C428" t="str">
            <v>WINDOWS AND EXTERNAL DOORS (2F)</v>
          </cell>
        </row>
        <row r="430">
          <cell r="C430" t="str">
            <v>ExtOpenings_area</v>
          </cell>
          <cell r="K430">
            <v>302.92</v>
          </cell>
          <cell r="N430" t="str">
            <v>m²</v>
          </cell>
          <cell r="P430" t="str">
            <v>Total external openings area</v>
          </cell>
          <cell r="Q430">
            <v>302.92</v>
          </cell>
          <cell r="R430" t="str">
            <v>m²</v>
          </cell>
        </row>
        <row r="431">
          <cell r="G431">
            <v>221</v>
          </cell>
          <cell r="H431">
            <v>1</v>
          </cell>
          <cell r="K431">
            <v>221</v>
          </cell>
          <cell r="O431" t="str">
            <v>ExtOpenings_Windows</v>
          </cell>
        </row>
        <row r="432">
          <cell r="G432">
            <v>29</v>
          </cell>
          <cell r="H432">
            <v>1</v>
          </cell>
          <cell r="K432">
            <v>29</v>
          </cell>
          <cell r="O432" t="str">
            <v>ExtOpenings_Louvres</v>
          </cell>
        </row>
        <row r="433">
          <cell r="F433">
            <v>16</v>
          </cell>
          <cell r="G433">
            <v>0.9</v>
          </cell>
          <cell r="H433">
            <v>2.1</v>
          </cell>
          <cell r="K433">
            <v>30.240000000000002</v>
          </cell>
          <cell r="O433" t="str">
            <v>ExtOpenings_Doors_single</v>
          </cell>
        </row>
        <row r="434">
          <cell r="F434">
            <v>6</v>
          </cell>
          <cell r="G434">
            <v>1.8</v>
          </cell>
          <cell r="H434">
            <v>2.1</v>
          </cell>
          <cell r="K434">
            <v>22.680000000000003</v>
          </cell>
          <cell r="O434" t="str">
            <v>ExtOpenings_Doors_double</v>
          </cell>
        </row>
        <row r="435">
          <cell r="K435">
            <v>0</v>
          </cell>
        </row>
        <row r="436">
          <cell r="K436">
            <v>0</v>
          </cell>
        </row>
        <row r="437">
          <cell r="N437" t="str">
            <v>End</v>
          </cell>
        </row>
        <row r="439">
          <cell r="C439" t="str">
            <v>ExtOpenings_doors_area</v>
          </cell>
          <cell r="K439">
            <v>52.92</v>
          </cell>
          <cell r="N439" t="str">
            <v>m²</v>
          </cell>
          <cell r="P439" t="str">
            <v>Area of doors</v>
          </cell>
          <cell r="Q439">
            <v>52.92</v>
          </cell>
          <cell r="R439" t="str">
            <v>m²</v>
          </cell>
        </row>
        <row r="440">
          <cell r="F440">
            <v>16</v>
          </cell>
          <cell r="G440">
            <v>0.9</v>
          </cell>
          <cell r="H440">
            <v>2.1</v>
          </cell>
          <cell r="K440">
            <v>30.240000000000002</v>
          </cell>
          <cell r="O440" t="str">
            <v>ExtOpenings_Doors_single</v>
          </cell>
          <cell r="P440" t="str">
            <v>Annotation</v>
          </cell>
        </row>
        <row r="441">
          <cell r="F441">
            <v>6</v>
          </cell>
          <cell r="G441">
            <v>1.8</v>
          </cell>
          <cell r="H441">
            <v>2.1</v>
          </cell>
          <cell r="K441">
            <v>22.680000000000003</v>
          </cell>
          <cell r="O441" t="str">
            <v>ExtOpenings_Doors_double</v>
          </cell>
        </row>
        <row r="442">
          <cell r="K442">
            <v>0</v>
          </cell>
        </row>
        <row r="443">
          <cell r="N443" t="str">
            <v>End</v>
          </cell>
        </row>
        <row r="447">
          <cell r="C447" t="str">
            <v>ExtOpenings_Windows</v>
          </cell>
          <cell r="K447">
            <v>221</v>
          </cell>
          <cell r="N447" t="str">
            <v>m²</v>
          </cell>
          <cell r="P447" t="str">
            <v>Window area</v>
          </cell>
          <cell r="Q447">
            <v>221</v>
          </cell>
          <cell r="R447" t="str">
            <v>m²</v>
          </cell>
          <cell r="U447">
            <v>221</v>
          </cell>
        </row>
        <row r="448">
          <cell r="G448">
            <v>221</v>
          </cell>
          <cell r="H448">
            <v>1</v>
          </cell>
          <cell r="K448">
            <v>221</v>
          </cell>
          <cell r="P448" t="str">
            <v>Annotation</v>
          </cell>
        </row>
        <row r="449">
          <cell r="K449">
            <v>0</v>
          </cell>
        </row>
        <row r="450">
          <cell r="K450">
            <v>0</v>
          </cell>
        </row>
        <row r="451">
          <cell r="N451" t="str">
            <v>End</v>
          </cell>
        </row>
        <row r="455">
          <cell r="C455" t="str">
            <v>ExtOpenings_Windows_B</v>
          </cell>
          <cell r="K455">
            <v>0</v>
          </cell>
          <cell r="N455" t="str">
            <v>m²</v>
          </cell>
          <cell r="P455" t="str">
            <v>Alternative window type</v>
          </cell>
          <cell r="Q455">
            <v>0</v>
          </cell>
          <cell r="R455" t="str">
            <v>m²</v>
          </cell>
        </row>
        <row r="456">
          <cell r="G456">
            <v>0</v>
          </cell>
          <cell r="H456">
            <v>0</v>
          </cell>
          <cell r="K456">
            <v>0</v>
          </cell>
          <cell r="P456" t="str">
            <v>Annotation</v>
          </cell>
        </row>
        <row r="457">
          <cell r="K457">
            <v>0</v>
          </cell>
        </row>
        <row r="458">
          <cell r="K458">
            <v>0</v>
          </cell>
        </row>
        <row r="459">
          <cell r="N459" t="str">
            <v>End</v>
          </cell>
        </row>
        <row r="462">
          <cell r="C462" t="str">
            <v>ExtOpenings_Louvres</v>
          </cell>
          <cell r="K462">
            <v>29</v>
          </cell>
          <cell r="N462" t="str">
            <v>m²</v>
          </cell>
          <cell r="P462" t="str">
            <v>Louvres</v>
          </cell>
          <cell r="Q462">
            <v>29</v>
          </cell>
          <cell r="R462" t="str">
            <v>m²</v>
          </cell>
        </row>
        <row r="463">
          <cell r="G463">
            <v>29</v>
          </cell>
          <cell r="H463">
            <v>1</v>
          </cell>
          <cell r="K463">
            <v>29</v>
          </cell>
          <cell r="P463" t="str">
            <v>Annotation</v>
          </cell>
        </row>
        <row r="464">
          <cell r="K464">
            <v>0</v>
          </cell>
        </row>
        <row r="465">
          <cell r="K465">
            <v>0</v>
          </cell>
        </row>
        <row r="466">
          <cell r="N466" t="str">
            <v>End</v>
          </cell>
        </row>
        <row r="468">
          <cell r="C468" t="str">
            <v>ExtOpenings_Entrance_screens</v>
          </cell>
          <cell r="K468">
            <v>0</v>
          </cell>
          <cell r="N468" t="str">
            <v>m²</v>
          </cell>
          <cell r="P468" t="str">
            <v>Entrance screens</v>
          </cell>
          <cell r="Q468">
            <v>0</v>
          </cell>
          <cell r="R468" t="str">
            <v>m²</v>
          </cell>
        </row>
        <row r="469">
          <cell r="C469" t="str">
            <v>ExtOpenings_Roller_shutter</v>
          </cell>
          <cell r="K469">
            <v>0</v>
          </cell>
          <cell r="N469" t="str">
            <v>Nr</v>
          </cell>
          <cell r="P469" t="str">
            <v>Roller shutter doors</v>
          </cell>
          <cell r="Q469">
            <v>0</v>
          </cell>
          <cell r="R469" t="str">
            <v>Nr</v>
          </cell>
        </row>
        <row r="470">
          <cell r="C470" t="str">
            <v>ExtOpenings_Turnstiles</v>
          </cell>
          <cell r="K470">
            <v>0</v>
          </cell>
          <cell r="N470" t="str">
            <v>Nr</v>
          </cell>
          <cell r="P470" t="str">
            <v>Turnstiles</v>
          </cell>
          <cell r="Q470">
            <v>0</v>
          </cell>
          <cell r="R470" t="str">
            <v>Nr</v>
          </cell>
        </row>
        <row r="471">
          <cell r="C471" t="str">
            <v>ExtOpenings_doors_single</v>
          </cell>
          <cell r="K471">
            <v>16</v>
          </cell>
          <cell r="N471" t="str">
            <v>Nr</v>
          </cell>
          <cell r="P471" t="str">
            <v>External doors single</v>
          </cell>
          <cell r="Q471">
            <v>16</v>
          </cell>
          <cell r="R471" t="str">
            <v>Nr</v>
          </cell>
        </row>
        <row r="472">
          <cell r="C472" t="str">
            <v>ExtOpenings_doors_double</v>
          </cell>
          <cell r="K472">
            <v>6</v>
          </cell>
          <cell r="N472" t="str">
            <v>Nr</v>
          </cell>
          <cell r="P472" t="str">
            <v>External doors double</v>
          </cell>
          <cell r="Q472">
            <v>6</v>
          </cell>
          <cell r="R472" t="str">
            <v>Nr</v>
          </cell>
        </row>
        <row r="473">
          <cell r="C473" t="str">
            <v>ExtOpenings_Sun_screen</v>
          </cell>
          <cell r="K473">
            <v>0</v>
          </cell>
          <cell r="N473" t="str">
            <v>m²</v>
          </cell>
          <cell r="P473" t="str">
            <v>Sun screen</v>
          </cell>
          <cell r="Q473">
            <v>0</v>
          </cell>
          <cell r="R473" t="str">
            <v>m²</v>
          </cell>
        </row>
        <row r="474">
          <cell r="C474" t="str">
            <v>ExtOpenings_window_boards</v>
          </cell>
          <cell r="K474">
            <v>0</v>
          </cell>
          <cell r="N474" t="str">
            <v>m</v>
          </cell>
          <cell r="P474" t="str">
            <v>Window boards</v>
          </cell>
          <cell r="Q474">
            <v>0</v>
          </cell>
          <cell r="R474" t="str">
            <v>m</v>
          </cell>
        </row>
        <row r="476">
          <cell r="C476" t="str">
            <v>INTERNAL WALLS (2G)</v>
          </cell>
        </row>
        <row r="477">
          <cell r="C477" t="str">
            <v>IntWalls_girth_Blockwork</v>
          </cell>
          <cell r="K477">
            <v>542.66666666666663</v>
          </cell>
          <cell r="N477" t="str">
            <v>m</v>
          </cell>
          <cell r="P477" t="str">
            <v>IntWall girth: Blockwork</v>
          </cell>
          <cell r="Q477">
            <v>542.66666666666663</v>
          </cell>
          <cell r="R477" t="str">
            <v>m</v>
          </cell>
        </row>
        <row r="478">
          <cell r="C478" t="str">
            <v>IntWalls_girth_Blockwork_200</v>
          </cell>
          <cell r="K478">
            <v>66.666666666666671</v>
          </cell>
          <cell r="N478" t="str">
            <v>m</v>
          </cell>
          <cell r="P478" t="str">
            <v>IntWall girth: Blockwork 200</v>
          </cell>
          <cell r="Q478">
            <v>66.666666666666671</v>
          </cell>
          <cell r="R478" t="str">
            <v>m</v>
          </cell>
        </row>
        <row r="479">
          <cell r="C479" t="str">
            <v>IntWalls_girth_Concrete</v>
          </cell>
          <cell r="K479">
            <v>0</v>
          </cell>
          <cell r="N479" t="str">
            <v>m</v>
          </cell>
          <cell r="P479" t="str">
            <v>IntWall girth: Concrete</v>
          </cell>
          <cell r="Q479">
            <v>0</v>
          </cell>
          <cell r="R479" t="str">
            <v>m</v>
          </cell>
        </row>
        <row r="480">
          <cell r="C480" t="str">
            <v>IntWalls_girth_demountable</v>
          </cell>
          <cell r="K480">
            <v>0</v>
          </cell>
          <cell r="N480" t="str">
            <v>m</v>
          </cell>
          <cell r="P480" t="str">
            <v>IntWall girth: Demountable Partitions</v>
          </cell>
          <cell r="Q480">
            <v>0</v>
          </cell>
          <cell r="R480" t="str">
            <v>m</v>
          </cell>
        </row>
        <row r="481">
          <cell r="C481" t="str">
            <v>IntWalls_girth_Stud</v>
          </cell>
          <cell r="K481">
            <v>16.666666666666668</v>
          </cell>
          <cell r="N481" t="str">
            <v>m</v>
          </cell>
          <cell r="P481" t="str">
            <v>IntWall girth: Stud Partitions</v>
          </cell>
          <cell r="Q481">
            <v>16.666666666666668</v>
          </cell>
          <cell r="R481" t="str">
            <v>m</v>
          </cell>
        </row>
        <row r="482">
          <cell r="C482" t="str">
            <v>IntWalls_girth</v>
          </cell>
          <cell r="K482">
            <v>625.99999999999989</v>
          </cell>
          <cell r="N482" t="str">
            <v>m</v>
          </cell>
          <cell r="P482" t="str">
            <v>Internal wall total girth</v>
          </cell>
          <cell r="Q482">
            <v>625.99999999999989</v>
          </cell>
          <cell r="R482" t="str">
            <v>m</v>
          </cell>
        </row>
        <row r="483">
          <cell r="C483" t="str">
            <v>Internal_wall_height</v>
          </cell>
          <cell r="K483">
            <v>3</v>
          </cell>
          <cell r="N483" t="str">
            <v>m</v>
          </cell>
          <cell r="P483" t="str">
            <v>Internal wall height</v>
          </cell>
          <cell r="Q483">
            <v>3</v>
          </cell>
          <cell r="R483" t="str">
            <v>m</v>
          </cell>
        </row>
        <row r="485">
          <cell r="C485" t="str">
            <v>IntWalls_area_Block</v>
          </cell>
          <cell r="K485">
            <v>1628</v>
          </cell>
          <cell r="N485" t="str">
            <v>m²</v>
          </cell>
          <cell r="P485" t="str">
            <v>IntWall area: Blockwork</v>
          </cell>
          <cell r="Q485">
            <v>1628</v>
          </cell>
          <cell r="R485" t="str">
            <v>m²</v>
          </cell>
        </row>
        <row r="486">
          <cell r="G486">
            <v>542.66666666666663</v>
          </cell>
          <cell r="H486">
            <v>3</v>
          </cell>
          <cell r="K486">
            <v>1628</v>
          </cell>
          <cell r="O486" t="str">
            <v>Intwalls_girth_blockwork</v>
          </cell>
          <cell r="P486" t="str">
            <v>Internal_wall_height</v>
          </cell>
        </row>
        <row r="487">
          <cell r="K487">
            <v>0</v>
          </cell>
        </row>
        <row r="488">
          <cell r="K488">
            <v>0</v>
          </cell>
        </row>
        <row r="489">
          <cell r="N489" t="str">
            <v>End</v>
          </cell>
        </row>
        <row r="492">
          <cell r="C492" t="str">
            <v>IntWalls_area_Block_200</v>
          </cell>
          <cell r="K492">
            <v>200</v>
          </cell>
          <cell r="N492" t="str">
            <v>m²</v>
          </cell>
          <cell r="P492" t="str">
            <v>Blockwork 200 thick</v>
          </cell>
          <cell r="Q492">
            <v>200</v>
          </cell>
          <cell r="R492" t="str">
            <v>m²</v>
          </cell>
        </row>
        <row r="493">
          <cell r="F493">
            <v>1</v>
          </cell>
          <cell r="G493">
            <v>66.666666666666671</v>
          </cell>
          <cell r="H493">
            <v>3</v>
          </cell>
          <cell r="K493">
            <v>200</v>
          </cell>
          <cell r="O493" t="str">
            <v>Intwalls_girth_blockwork_200</v>
          </cell>
          <cell r="P493" t="str">
            <v>Internal_wall_height</v>
          </cell>
        </row>
        <row r="494">
          <cell r="K494">
            <v>0</v>
          </cell>
        </row>
        <row r="495">
          <cell r="K495">
            <v>0</v>
          </cell>
        </row>
        <row r="496">
          <cell r="N496" t="str">
            <v>End</v>
          </cell>
        </row>
        <row r="499">
          <cell r="C499" t="str">
            <v>IntWalls_area_Concrete</v>
          </cell>
          <cell r="K499">
            <v>0</v>
          </cell>
          <cell r="N499" t="str">
            <v>m²</v>
          </cell>
          <cell r="P499" t="str">
            <v>IntWall area: Concrete</v>
          </cell>
          <cell r="Q499">
            <v>0</v>
          </cell>
          <cell r="R499" t="str">
            <v>m²</v>
          </cell>
        </row>
        <row r="500">
          <cell r="G500">
            <v>0</v>
          </cell>
          <cell r="H500">
            <v>3</v>
          </cell>
          <cell r="K500">
            <v>0</v>
          </cell>
          <cell r="O500" t="str">
            <v>Intwalls_girth_concrete</v>
          </cell>
          <cell r="P500" t="str">
            <v>Internal_wall_height</v>
          </cell>
        </row>
        <row r="501">
          <cell r="K501">
            <v>0</v>
          </cell>
        </row>
        <row r="502">
          <cell r="K502">
            <v>0</v>
          </cell>
        </row>
        <row r="503">
          <cell r="N503" t="str">
            <v>End</v>
          </cell>
        </row>
        <row r="506">
          <cell r="C506" t="str">
            <v>IntWalls_area_Demountable</v>
          </cell>
          <cell r="K506">
            <v>0</v>
          </cell>
          <cell r="N506" t="str">
            <v>m²</v>
          </cell>
          <cell r="P506" t="str">
            <v>IntWall area: Demountable partitons</v>
          </cell>
          <cell r="Q506">
            <v>0</v>
          </cell>
          <cell r="R506" t="str">
            <v>m²</v>
          </cell>
        </row>
        <row r="507">
          <cell r="G507">
            <v>0</v>
          </cell>
          <cell r="H507">
            <v>3</v>
          </cell>
          <cell r="K507">
            <v>0</v>
          </cell>
          <cell r="O507" t="str">
            <v>Intwalls_girth_demountable</v>
          </cell>
          <cell r="P507" t="str">
            <v>Internal_wall_height</v>
          </cell>
        </row>
        <row r="508">
          <cell r="K508">
            <v>0</v>
          </cell>
        </row>
        <row r="509">
          <cell r="K509">
            <v>0</v>
          </cell>
        </row>
        <row r="510">
          <cell r="N510" t="str">
            <v>End</v>
          </cell>
        </row>
        <row r="513">
          <cell r="C513" t="str">
            <v>IntWalls_area_Stud</v>
          </cell>
          <cell r="K513">
            <v>50</v>
          </cell>
          <cell r="N513" t="str">
            <v>m²</v>
          </cell>
          <cell r="P513" t="str">
            <v>IntWall area: Stud</v>
          </cell>
          <cell r="Q513">
            <v>50</v>
          </cell>
          <cell r="R513" t="str">
            <v>m²</v>
          </cell>
        </row>
        <row r="514">
          <cell r="G514">
            <v>16.666666666666668</v>
          </cell>
          <cell r="H514">
            <v>3</v>
          </cell>
          <cell r="K514">
            <v>50</v>
          </cell>
          <cell r="O514" t="str">
            <v>Intwalls_girth_stud</v>
          </cell>
          <cell r="P514" t="str">
            <v>Internal_wall_height</v>
          </cell>
        </row>
        <row r="515">
          <cell r="K515">
            <v>0</v>
          </cell>
        </row>
        <row r="516">
          <cell r="K516">
            <v>0</v>
          </cell>
        </row>
        <row r="517">
          <cell r="N517" t="str">
            <v>End</v>
          </cell>
        </row>
        <row r="520">
          <cell r="C520" t="str">
            <v>IntWalls_area_net</v>
          </cell>
          <cell r="K520">
            <v>1878</v>
          </cell>
          <cell r="N520" t="str">
            <v>m²</v>
          </cell>
          <cell r="P520" t="str">
            <v>Total Internal wall area</v>
          </cell>
          <cell r="Q520">
            <v>1878</v>
          </cell>
          <cell r="R520" t="str">
            <v>m²</v>
          </cell>
        </row>
        <row r="521">
          <cell r="G521">
            <v>1628</v>
          </cell>
          <cell r="H521">
            <v>1</v>
          </cell>
          <cell r="K521">
            <v>1628</v>
          </cell>
          <cell r="O521" t="str">
            <v>Intwalls_area_block</v>
          </cell>
        </row>
        <row r="522">
          <cell r="G522">
            <v>200</v>
          </cell>
          <cell r="H522">
            <v>1</v>
          </cell>
          <cell r="K522">
            <v>200</v>
          </cell>
          <cell r="O522" t="str">
            <v>Intwalls_area_block_200</v>
          </cell>
        </row>
        <row r="523">
          <cell r="G523">
            <v>0</v>
          </cell>
          <cell r="H523">
            <v>1</v>
          </cell>
          <cell r="K523">
            <v>0</v>
          </cell>
          <cell r="O523" t="str">
            <v>Intwalls_area_concrete</v>
          </cell>
        </row>
        <row r="524">
          <cell r="G524">
            <v>0</v>
          </cell>
          <cell r="H524">
            <v>1</v>
          </cell>
          <cell r="K524">
            <v>0</v>
          </cell>
          <cell r="O524" t="str">
            <v>Intwalls_area_demountable</v>
          </cell>
        </row>
        <row r="525">
          <cell r="G525">
            <v>50</v>
          </cell>
          <cell r="H525">
            <v>1</v>
          </cell>
          <cell r="K525">
            <v>50</v>
          </cell>
          <cell r="O525" t="str">
            <v>Intwalls_area_stud</v>
          </cell>
        </row>
        <row r="526">
          <cell r="K526">
            <v>0</v>
          </cell>
        </row>
        <row r="527">
          <cell r="K527">
            <v>0</v>
          </cell>
        </row>
        <row r="528">
          <cell r="N528" t="str">
            <v>End</v>
          </cell>
        </row>
        <row r="530">
          <cell r="C530" t="str">
            <v>IntWalls_toilet_cubicles</v>
          </cell>
          <cell r="K530">
            <v>11</v>
          </cell>
          <cell r="N530" t="str">
            <v>Nr</v>
          </cell>
          <cell r="P530" t="str">
            <v>Toilet cubicles</v>
          </cell>
          <cell r="Q530">
            <v>11</v>
          </cell>
          <cell r="R530" t="str">
            <v>Nr</v>
          </cell>
        </row>
        <row r="531">
          <cell r="C531" t="str">
            <v>IntWalls_toilet_cubicles_disabled</v>
          </cell>
          <cell r="K531">
            <v>1</v>
          </cell>
          <cell r="N531" t="str">
            <v>Nr</v>
          </cell>
          <cell r="P531" t="str">
            <v>Toilet cubicles disabled</v>
          </cell>
          <cell r="Q531">
            <v>1</v>
          </cell>
          <cell r="R531" t="str">
            <v>Nr</v>
          </cell>
        </row>
        <row r="534">
          <cell r="C534" t="str">
            <v>INTERNAL DOORS (2H)</v>
          </cell>
        </row>
        <row r="535">
          <cell r="C535" t="str">
            <v>IntOpenings_area</v>
          </cell>
          <cell r="K535">
            <v>231.35000000000002</v>
          </cell>
          <cell r="N535" t="str">
            <v>m²</v>
          </cell>
          <cell r="P535" t="str">
            <v>Area of internal doors and screens</v>
          </cell>
          <cell r="Q535">
            <v>231.35000000000002</v>
          </cell>
          <cell r="R535" t="str">
            <v>m²</v>
          </cell>
        </row>
        <row r="536">
          <cell r="F536">
            <v>85</v>
          </cell>
          <cell r="G536">
            <v>0.9</v>
          </cell>
          <cell r="H536">
            <v>2.1</v>
          </cell>
          <cell r="K536">
            <v>160.65</v>
          </cell>
          <cell r="O536" t="str">
            <v>IntOpenings_doors_single_total</v>
          </cell>
        </row>
        <row r="537">
          <cell r="F537">
            <v>15</v>
          </cell>
          <cell r="G537">
            <v>1.8</v>
          </cell>
          <cell r="H537">
            <v>2.1</v>
          </cell>
          <cell r="K537">
            <v>56.7</v>
          </cell>
          <cell r="O537" t="str">
            <v>IntOpenings_doors_double_total</v>
          </cell>
        </row>
        <row r="538">
          <cell r="G538">
            <v>14</v>
          </cell>
          <cell r="H538">
            <v>1</v>
          </cell>
          <cell r="K538">
            <v>14</v>
          </cell>
          <cell r="O538" t="str">
            <v>IntOpenings_screens</v>
          </cell>
        </row>
        <row r="539">
          <cell r="K539">
            <v>0</v>
          </cell>
        </row>
        <row r="540">
          <cell r="K540">
            <v>0</v>
          </cell>
        </row>
        <row r="541">
          <cell r="K541">
            <v>0</v>
          </cell>
        </row>
        <row r="542">
          <cell r="N542" t="str">
            <v>End</v>
          </cell>
        </row>
        <row r="545">
          <cell r="C545" t="str">
            <v>IntOpenings_doors_single_total</v>
          </cell>
          <cell r="K545">
            <v>85</v>
          </cell>
          <cell r="N545" t="str">
            <v>Nr</v>
          </cell>
          <cell r="P545" t="str">
            <v>Total Internal doors single</v>
          </cell>
          <cell r="Q545">
            <v>85</v>
          </cell>
          <cell r="R545" t="str">
            <v>Nr</v>
          </cell>
        </row>
        <row r="546">
          <cell r="F546">
            <v>67</v>
          </cell>
          <cell r="K546">
            <v>67</v>
          </cell>
          <cell r="O546" t="str">
            <v>IntOpenings_doors_single</v>
          </cell>
        </row>
        <row r="547">
          <cell r="F547">
            <v>12</v>
          </cell>
          <cell r="K547">
            <v>12</v>
          </cell>
          <cell r="O547" t="str">
            <v>IntOpenings_doors_single_WC</v>
          </cell>
        </row>
        <row r="548">
          <cell r="F548">
            <v>6</v>
          </cell>
          <cell r="K548">
            <v>6</v>
          </cell>
          <cell r="O548" t="str">
            <v>IntOpenings_doors_single_screen</v>
          </cell>
        </row>
        <row r="549">
          <cell r="K549">
            <v>0</v>
          </cell>
        </row>
        <row r="550">
          <cell r="K550">
            <v>0</v>
          </cell>
        </row>
        <row r="551">
          <cell r="K551">
            <v>0</v>
          </cell>
        </row>
        <row r="552">
          <cell r="K552">
            <v>0</v>
          </cell>
        </row>
        <row r="553">
          <cell r="K553">
            <v>0</v>
          </cell>
        </row>
        <row r="554">
          <cell r="N554" t="str">
            <v>End</v>
          </cell>
        </row>
        <row r="556">
          <cell r="C556" t="str">
            <v>IntOpenings_doors_single</v>
          </cell>
          <cell r="K556">
            <v>67</v>
          </cell>
          <cell r="N556" t="str">
            <v>Nr</v>
          </cell>
          <cell r="P556" t="str">
            <v>Internal doors single</v>
          </cell>
          <cell r="Q556">
            <v>67</v>
          </cell>
          <cell r="R556" t="str">
            <v>Nr</v>
          </cell>
        </row>
        <row r="557">
          <cell r="C557" t="str">
            <v>IntOpenings_doors_single_WC</v>
          </cell>
          <cell r="K557">
            <v>12</v>
          </cell>
          <cell r="N557" t="str">
            <v>Nr</v>
          </cell>
          <cell r="P557" t="str">
            <v>Internal doors single to WCs</v>
          </cell>
          <cell r="Q557">
            <v>12</v>
          </cell>
          <cell r="R557" t="str">
            <v>Nr</v>
          </cell>
        </row>
        <row r="558">
          <cell r="C558" t="str">
            <v>IntOpenings_doors_single_Screen</v>
          </cell>
          <cell r="K558">
            <v>6</v>
          </cell>
          <cell r="N558" t="str">
            <v>Nr</v>
          </cell>
          <cell r="P558" t="str">
            <v>Internal doors single with side screen</v>
          </cell>
          <cell r="Q558">
            <v>6</v>
          </cell>
          <cell r="R558" t="str">
            <v>Nr</v>
          </cell>
        </row>
        <row r="562">
          <cell r="C562" t="str">
            <v>IntOpenings_doors_double_total</v>
          </cell>
          <cell r="K562">
            <v>15</v>
          </cell>
          <cell r="N562" t="str">
            <v>Nr</v>
          </cell>
          <cell r="P562" t="str">
            <v>Total internal double doors</v>
          </cell>
          <cell r="Q562">
            <v>15</v>
          </cell>
          <cell r="R562" t="str">
            <v>Nr</v>
          </cell>
        </row>
        <row r="563">
          <cell r="F563">
            <v>15</v>
          </cell>
          <cell r="K563">
            <v>15</v>
          </cell>
          <cell r="O563" t="str">
            <v>IntOpenings_doors_double</v>
          </cell>
        </row>
        <row r="564">
          <cell r="K564">
            <v>0</v>
          </cell>
        </row>
        <row r="565">
          <cell r="K565">
            <v>0</v>
          </cell>
        </row>
        <row r="566">
          <cell r="N566" t="str">
            <v>End</v>
          </cell>
        </row>
        <row r="568">
          <cell r="C568" t="str">
            <v>IntOpenings_doors_double</v>
          </cell>
          <cell r="K568">
            <v>15</v>
          </cell>
          <cell r="N568" t="str">
            <v>Nr</v>
          </cell>
          <cell r="P568" t="str">
            <v>internal doors double</v>
          </cell>
          <cell r="Q568">
            <v>15</v>
          </cell>
          <cell r="R568" t="str">
            <v>Nr</v>
          </cell>
        </row>
        <row r="571">
          <cell r="C571" t="str">
            <v>IntOpenings_screens</v>
          </cell>
          <cell r="K571">
            <v>14</v>
          </cell>
          <cell r="N571" t="str">
            <v>m²</v>
          </cell>
          <cell r="P571" t="str">
            <v>Screens</v>
          </cell>
          <cell r="Q571">
            <v>14</v>
          </cell>
          <cell r="R571" t="str">
            <v>m²</v>
          </cell>
        </row>
        <row r="572">
          <cell r="F572">
            <v>7</v>
          </cell>
          <cell r="G572">
            <v>1</v>
          </cell>
          <cell r="H572">
            <v>2</v>
          </cell>
          <cell r="K572">
            <v>14</v>
          </cell>
          <cell r="P572" t="str">
            <v>Annotation</v>
          </cell>
        </row>
        <row r="573">
          <cell r="K573">
            <v>0</v>
          </cell>
        </row>
        <row r="574">
          <cell r="K574">
            <v>0</v>
          </cell>
        </row>
        <row r="575">
          <cell r="N575" t="str">
            <v>End</v>
          </cell>
        </row>
        <row r="579">
          <cell r="C579" t="str">
            <v>WALL FINISHES (3A)</v>
          </cell>
        </row>
        <row r="580">
          <cell r="C580" t="str">
            <v>WallFinish_height</v>
          </cell>
          <cell r="K580">
            <v>2.7</v>
          </cell>
          <cell r="N580" t="str">
            <v>m</v>
          </cell>
          <cell r="P580" t="str">
            <v>Finishes (exposed) height</v>
          </cell>
          <cell r="Q580">
            <v>2.7</v>
          </cell>
          <cell r="R580" t="str">
            <v>m</v>
          </cell>
        </row>
        <row r="582">
          <cell r="C582" t="str">
            <v>WallFinish_Area</v>
          </cell>
          <cell r="K582">
            <v>5332.83</v>
          </cell>
          <cell r="N582" t="str">
            <v>Nr</v>
          </cell>
          <cell r="P582" t="str">
            <v>Wall finishes area total</v>
          </cell>
          <cell r="Q582">
            <v>5332.83</v>
          </cell>
          <cell r="R582" t="str">
            <v>Nr</v>
          </cell>
        </row>
        <row r="583">
          <cell r="H583">
            <v>2.7</v>
          </cell>
          <cell r="O583" t="str">
            <v>WallFinish_height</v>
          </cell>
        </row>
        <row r="584">
          <cell r="G584">
            <v>0</v>
          </cell>
          <cell r="H584">
            <v>2.7</v>
          </cell>
          <cell r="K584">
            <v>0</v>
          </cell>
          <cell r="O584" t="str">
            <v>Girth_b1</v>
          </cell>
        </row>
        <row r="585">
          <cell r="G585">
            <v>295</v>
          </cell>
          <cell r="H585">
            <v>2.7</v>
          </cell>
          <cell r="K585">
            <v>796.5</v>
          </cell>
          <cell r="O585" t="str">
            <v>Girth_0</v>
          </cell>
        </row>
        <row r="586">
          <cell r="G586">
            <v>0</v>
          </cell>
          <cell r="H586">
            <v>2.7</v>
          </cell>
          <cell r="K586">
            <v>0</v>
          </cell>
          <cell r="O586" t="str">
            <v>Girth_01</v>
          </cell>
        </row>
        <row r="587">
          <cell r="G587">
            <v>0</v>
          </cell>
          <cell r="H587">
            <v>2.7</v>
          </cell>
          <cell r="K587">
            <v>0</v>
          </cell>
          <cell r="O587" t="str">
            <v>Girth_02</v>
          </cell>
        </row>
        <row r="588">
          <cell r="G588">
            <v>0</v>
          </cell>
          <cell r="H588">
            <v>2.7</v>
          </cell>
          <cell r="K588">
            <v>0</v>
          </cell>
          <cell r="O588" t="str">
            <v>Girth_03</v>
          </cell>
        </row>
        <row r="589">
          <cell r="F589">
            <v>-1</v>
          </cell>
          <cell r="G589">
            <v>302.92</v>
          </cell>
          <cell r="H589">
            <v>1</v>
          </cell>
          <cell r="K589">
            <v>-302.92</v>
          </cell>
          <cell r="O589" t="str">
            <v>ExtOpenings_area</v>
          </cell>
        </row>
        <row r="590">
          <cell r="G590">
            <v>1628</v>
          </cell>
          <cell r="H590">
            <v>2.7</v>
          </cell>
          <cell r="K590">
            <v>4395.6000000000004</v>
          </cell>
          <cell r="O590" t="str">
            <v>IntWalls_area_block</v>
          </cell>
        </row>
        <row r="591">
          <cell r="G591">
            <v>200</v>
          </cell>
          <cell r="H591">
            <v>2.7</v>
          </cell>
          <cell r="K591">
            <v>540</v>
          </cell>
          <cell r="O591" t="str">
            <v>IntWalls_area_block_200</v>
          </cell>
        </row>
        <row r="592">
          <cell r="G592">
            <v>50</v>
          </cell>
          <cell r="H592">
            <v>2.7</v>
          </cell>
          <cell r="K592">
            <v>135</v>
          </cell>
          <cell r="O592" t="str">
            <v>IntWalls_area_stud</v>
          </cell>
        </row>
        <row r="593">
          <cell r="F593">
            <v>-1</v>
          </cell>
          <cell r="G593">
            <v>231.35000000000002</v>
          </cell>
          <cell r="H593">
            <v>1</v>
          </cell>
          <cell r="K593">
            <v>-231.35000000000002</v>
          </cell>
          <cell r="O593" t="str">
            <v>IntOpenings_area</v>
          </cell>
        </row>
        <row r="594">
          <cell r="K594">
            <v>0</v>
          </cell>
        </row>
        <row r="595">
          <cell r="K595">
            <v>0</v>
          </cell>
        </row>
        <row r="596">
          <cell r="N596" t="str">
            <v>End</v>
          </cell>
        </row>
        <row r="598">
          <cell r="C598" t="str">
            <v>WallFinish_Back_plaster</v>
          </cell>
          <cell r="K598">
            <v>3905</v>
          </cell>
          <cell r="N598" t="str">
            <v>m²</v>
          </cell>
          <cell r="P598" t="str">
            <v>Plaster</v>
          </cell>
          <cell r="Q598">
            <v>3905</v>
          </cell>
          <cell r="R598" t="str">
            <v>m²</v>
          </cell>
        </row>
        <row r="599">
          <cell r="G599">
            <v>4255</v>
          </cell>
          <cell r="H599">
            <v>1</v>
          </cell>
          <cell r="K599">
            <v>4255</v>
          </cell>
          <cell r="P599" t="str">
            <v>Annotation</v>
          </cell>
        </row>
        <row r="600">
          <cell r="F600">
            <v>-1</v>
          </cell>
          <cell r="G600">
            <v>350</v>
          </cell>
          <cell r="H600">
            <v>1</v>
          </cell>
          <cell r="K600">
            <v>-350</v>
          </cell>
          <cell r="O600" t="str">
            <v>WallFinish_Back_plaster_curved</v>
          </cell>
        </row>
        <row r="601">
          <cell r="K601">
            <v>0</v>
          </cell>
        </row>
        <row r="602">
          <cell r="N602" t="str">
            <v>End</v>
          </cell>
        </row>
        <row r="605">
          <cell r="C605" t="str">
            <v>WallFinish_Back_plaster_curved</v>
          </cell>
          <cell r="K605">
            <v>350</v>
          </cell>
          <cell r="N605" t="str">
            <v>m²</v>
          </cell>
          <cell r="P605" t="str">
            <v>Curved plaster</v>
          </cell>
          <cell r="Q605">
            <v>350</v>
          </cell>
          <cell r="R605" t="str">
            <v>m²</v>
          </cell>
        </row>
        <row r="606">
          <cell r="G606">
            <v>350</v>
          </cell>
          <cell r="H606">
            <v>1</v>
          </cell>
          <cell r="K606">
            <v>350</v>
          </cell>
          <cell r="P606" t="str">
            <v>Annotation</v>
          </cell>
        </row>
        <row r="607">
          <cell r="K607">
            <v>0</v>
          </cell>
        </row>
        <row r="608">
          <cell r="K608">
            <v>0</v>
          </cell>
        </row>
        <row r="609">
          <cell r="N609" t="str">
            <v>End</v>
          </cell>
        </row>
        <row r="612">
          <cell r="C612" t="str">
            <v>WallFinish_Whiterock</v>
          </cell>
          <cell r="K612">
            <v>75</v>
          </cell>
          <cell r="N612" t="str">
            <v>m²</v>
          </cell>
          <cell r="P612" t="str">
            <v>Whitrock wall finish</v>
          </cell>
          <cell r="Q612">
            <v>75</v>
          </cell>
          <cell r="R612" t="str">
            <v>m²</v>
          </cell>
        </row>
        <row r="613">
          <cell r="G613">
            <v>75</v>
          </cell>
          <cell r="H613">
            <v>1</v>
          </cell>
          <cell r="K613">
            <v>75</v>
          </cell>
          <cell r="P613" t="str">
            <v>Annotation</v>
          </cell>
        </row>
        <row r="614">
          <cell r="K614">
            <v>0</v>
          </cell>
        </row>
        <row r="615">
          <cell r="K615">
            <v>0</v>
          </cell>
        </row>
        <row r="616">
          <cell r="N616" t="str">
            <v>End</v>
          </cell>
        </row>
        <row r="619">
          <cell r="C619" t="str">
            <v>WallFinish_ceramic</v>
          </cell>
          <cell r="K619">
            <v>80</v>
          </cell>
          <cell r="N619" t="str">
            <v>m²</v>
          </cell>
          <cell r="P619" t="str">
            <v>Wall finish: ceramic tiles</v>
          </cell>
          <cell r="Q619">
            <v>80</v>
          </cell>
          <cell r="R619" t="str">
            <v>m²</v>
          </cell>
        </row>
        <row r="620">
          <cell r="G620">
            <v>80</v>
          </cell>
          <cell r="H620">
            <v>1</v>
          </cell>
          <cell r="K620">
            <v>80</v>
          </cell>
          <cell r="P620" t="str">
            <v>Annotation</v>
          </cell>
        </row>
        <row r="621">
          <cell r="K621">
            <v>0</v>
          </cell>
        </row>
        <row r="622">
          <cell r="K622">
            <v>0</v>
          </cell>
        </row>
        <row r="623">
          <cell r="N623" t="str">
            <v>End</v>
          </cell>
        </row>
        <row r="626">
          <cell r="C626" t="str">
            <v>WallFinish_acoustic_panel</v>
          </cell>
          <cell r="K626">
            <v>100</v>
          </cell>
          <cell r="N626" t="str">
            <v>m²</v>
          </cell>
          <cell r="P626" t="str">
            <v>Wall finish: acoustic panel</v>
          </cell>
          <cell r="Q626">
            <v>100</v>
          </cell>
          <cell r="R626" t="str">
            <v>m²</v>
          </cell>
        </row>
        <row r="627">
          <cell r="G627">
            <v>100</v>
          </cell>
          <cell r="H627">
            <v>1</v>
          </cell>
          <cell r="K627">
            <v>100</v>
          </cell>
          <cell r="P627" t="str">
            <v>Annotation</v>
          </cell>
        </row>
        <row r="628">
          <cell r="K628">
            <v>0</v>
          </cell>
        </row>
        <row r="629">
          <cell r="K629">
            <v>0</v>
          </cell>
        </row>
        <row r="630">
          <cell r="N630" t="str">
            <v>End</v>
          </cell>
        </row>
        <row r="633">
          <cell r="C633" t="str">
            <v>WallFinish_emulsion</v>
          </cell>
          <cell r="K633">
            <v>4255</v>
          </cell>
          <cell r="N633" t="str">
            <v>m²</v>
          </cell>
          <cell r="P633" t="str">
            <v>Emulsion paint</v>
          </cell>
          <cell r="Q633">
            <v>4255</v>
          </cell>
          <cell r="R633" t="str">
            <v>m²</v>
          </cell>
        </row>
        <row r="634">
          <cell r="G634">
            <v>3905</v>
          </cell>
          <cell r="H634">
            <v>1</v>
          </cell>
          <cell r="K634">
            <v>3905</v>
          </cell>
          <cell r="O634" t="str">
            <v>WallFinish_Back_plaster</v>
          </cell>
        </row>
        <row r="635">
          <cell r="G635">
            <v>350</v>
          </cell>
          <cell r="H635">
            <v>1</v>
          </cell>
          <cell r="K635">
            <v>350</v>
          </cell>
          <cell r="O635" t="str">
            <v>WallFinish_Back_plaster_curved</v>
          </cell>
        </row>
        <row r="636">
          <cell r="K636">
            <v>0</v>
          </cell>
        </row>
        <row r="637">
          <cell r="N637" t="str">
            <v>End</v>
          </cell>
        </row>
        <row r="640">
          <cell r="C640" t="str">
            <v>FLOOR FINISHES (3B)</v>
          </cell>
        </row>
        <row r="642">
          <cell r="C642" t="str">
            <v>FloorFinish_skirtings</v>
          </cell>
          <cell r="K642">
            <v>2085</v>
          </cell>
          <cell r="N642" t="str">
            <v>m</v>
          </cell>
          <cell r="P642" t="str">
            <v>Skirtings</v>
          </cell>
          <cell r="Q642">
            <v>2085</v>
          </cell>
          <cell r="R642" t="str">
            <v>m</v>
          </cell>
        </row>
        <row r="643">
          <cell r="G643">
            <v>0</v>
          </cell>
          <cell r="K643">
            <v>0</v>
          </cell>
          <cell r="O643" t="str">
            <v>Girth_b1</v>
          </cell>
        </row>
        <row r="644">
          <cell r="G644">
            <v>295</v>
          </cell>
          <cell r="K644">
            <v>295</v>
          </cell>
          <cell r="O644" t="str">
            <v>Girth_0</v>
          </cell>
        </row>
        <row r="645">
          <cell r="G645">
            <v>0</v>
          </cell>
          <cell r="K645">
            <v>0</v>
          </cell>
          <cell r="O645" t="str">
            <v>Girth_01</v>
          </cell>
        </row>
        <row r="646">
          <cell r="G646">
            <v>0</v>
          </cell>
          <cell r="K646">
            <v>0</v>
          </cell>
          <cell r="O646" t="str">
            <v>Girth_02</v>
          </cell>
        </row>
        <row r="647">
          <cell r="G647">
            <v>0</v>
          </cell>
          <cell r="K647">
            <v>0</v>
          </cell>
          <cell r="O647" t="str">
            <v>Girth_03</v>
          </cell>
        </row>
        <row r="648">
          <cell r="F648">
            <v>2</v>
          </cell>
          <cell r="G648">
            <v>625.99999999999989</v>
          </cell>
          <cell r="K648">
            <v>1251.9999999999998</v>
          </cell>
          <cell r="O648" t="str">
            <v>IntWalls_girth</v>
          </cell>
        </row>
        <row r="649">
          <cell r="G649">
            <v>538</v>
          </cell>
          <cell r="K649">
            <v>538</v>
          </cell>
        </row>
        <row r="650">
          <cell r="K650">
            <v>0</v>
          </cell>
        </row>
        <row r="651">
          <cell r="K651">
            <v>0</v>
          </cell>
        </row>
        <row r="652">
          <cell r="N652" t="str">
            <v>End</v>
          </cell>
        </row>
        <row r="655">
          <cell r="C655" t="str">
            <v>Raised_access_floor</v>
          </cell>
          <cell r="K655">
            <v>1715</v>
          </cell>
          <cell r="N655" t="str">
            <v>m²</v>
          </cell>
          <cell r="P655" t="str">
            <v>Raised access floor</v>
          </cell>
          <cell r="Q655">
            <v>1715</v>
          </cell>
          <cell r="R655" t="str">
            <v>m²</v>
          </cell>
        </row>
        <row r="656">
          <cell r="G656">
            <v>1839</v>
          </cell>
          <cell r="H656">
            <v>1</v>
          </cell>
          <cell r="K656">
            <v>1839</v>
          </cell>
          <cell r="O656" t="str">
            <v>Gross_Floor_Area</v>
          </cell>
        </row>
        <row r="657">
          <cell r="F657">
            <v>-1</v>
          </cell>
          <cell r="G657">
            <v>84</v>
          </cell>
          <cell r="H657">
            <v>1</v>
          </cell>
          <cell r="K657">
            <v>-84</v>
          </cell>
          <cell r="O657" t="str">
            <v>Function_toilet</v>
          </cell>
        </row>
        <row r="658">
          <cell r="F658">
            <v>-1</v>
          </cell>
          <cell r="G658">
            <v>40</v>
          </cell>
          <cell r="H658">
            <v>1</v>
          </cell>
          <cell r="K658">
            <v>-40</v>
          </cell>
          <cell r="O658" t="str">
            <v>Function_plant</v>
          </cell>
        </row>
        <row r="659">
          <cell r="K659">
            <v>0</v>
          </cell>
        </row>
        <row r="660">
          <cell r="K660">
            <v>0</v>
          </cell>
        </row>
        <row r="661">
          <cell r="K661">
            <v>0</v>
          </cell>
        </row>
        <row r="662">
          <cell r="N662" t="str">
            <v>End</v>
          </cell>
        </row>
        <row r="665">
          <cell r="C665" t="str">
            <v>FloorFinish_Screed</v>
          </cell>
          <cell r="K665">
            <v>124</v>
          </cell>
          <cell r="N665" t="str">
            <v>m²</v>
          </cell>
          <cell r="P665" t="str">
            <v>Screed</v>
          </cell>
          <cell r="Q665">
            <v>124</v>
          </cell>
          <cell r="R665" t="str">
            <v>m²</v>
          </cell>
        </row>
        <row r="666">
          <cell r="G666">
            <v>1839</v>
          </cell>
          <cell r="H666">
            <v>1</v>
          </cell>
          <cell r="K666">
            <v>1839</v>
          </cell>
          <cell r="O666" t="str">
            <v>Gross_Floor_Area</v>
          </cell>
        </row>
        <row r="667">
          <cell r="F667">
            <v>-1</v>
          </cell>
          <cell r="G667">
            <v>1715</v>
          </cell>
          <cell r="H667">
            <v>1</v>
          </cell>
          <cell r="K667">
            <v>-1715</v>
          </cell>
          <cell r="O667" t="str">
            <v>Raised_access_floor</v>
          </cell>
        </row>
        <row r="668">
          <cell r="K668">
            <v>0</v>
          </cell>
        </row>
        <row r="669">
          <cell r="N669" t="str">
            <v>End</v>
          </cell>
        </row>
        <row r="672">
          <cell r="C672" t="str">
            <v>FITTINGS (4A)</v>
          </cell>
        </row>
        <row r="673">
          <cell r="C673" t="str">
            <v>Personnel_Pupils_Nursery</v>
          </cell>
          <cell r="K673">
            <v>30</v>
          </cell>
          <cell r="N673" t="str">
            <v>Nr</v>
          </cell>
          <cell r="P673" t="str">
            <v>Nuresry pupils</v>
          </cell>
          <cell r="Q673">
            <v>30</v>
          </cell>
          <cell r="R673" t="str">
            <v>Nr</v>
          </cell>
        </row>
        <row r="674">
          <cell r="C674" t="str">
            <v>Personnel_Pupils_Primary</v>
          </cell>
          <cell r="K674">
            <v>210</v>
          </cell>
          <cell r="N674" t="str">
            <v>Nr</v>
          </cell>
          <cell r="P674" t="str">
            <v>Primary pupils</v>
          </cell>
          <cell r="Q674">
            <v>210</v>
          </cell>
          <cell r="R674" t="str">
            <v>Nr</v>
          </cell>
        </row>
        <row r="675">
          <cell r="C675" t="str">
            <v>Personnel_Pupils</v>
          </cell>
          <cell r="K675">
            <v>240</v>
          </cell>
          <cell r="N675" t="str">
            <v>Nr</v>
          </cell>
          <cell r="P675" t="str">
            <v>Pupils</v>
          </cell>
          <cell r="Q675">
            <v>240</v>
          </cell>
          <cell r="R675" t="str">
            <v>Nr</v>
          </cell>
        </row>
        <row r="676">
          <cell r="C676" t="str">
            <v>Personnel_Staff</v>
          </cell>
          <cell r="K676">
            <v>0</v>
          </cell>
          <cell r="N676" t="str">
            <v>Nr</v>
          </cell>
          <cell r="P676" t="str">
            <v>Staff</v>
          </cell>
          <cell r="Q676">
            <v>0</v>
          </cell>
          <cell r="R676" t="str">
            <v>Nr</v>
          </cell>
        </row>
        <row r="677">
          <cell r="C677" t="str">
            <v>Personnel_support</v>
          </cell>
          <cell r="K677">
            <v>0</v>
          </cell>
          <cell r="N677" t="str">
            <v>Nr</v>
          </cell>
          <cell r="P677" t="str">
            <v>Support personnel</v>
          </cell>
          <cell r="Q677">
            <v>0</v>
          </cell>
          <cell r="R677" t="str">
            <v>Nr</v>
          </cell>
        </row>
        <row r="678">
          <cell r="C678" t="str">
            <v>Personnel</v>
          </cell>
          <cell r="K678">
            <v>240</v>
          </cell>
          <cell r="N678" t="str">
            <v>Nr</v>
          </cell>
          <cell r="P678" t="str">
            <v>Total Personnel</v>
          </cell>
          <cell r="Q678">
            <v>240</v>
          </cell>
          <cell r="R678" t="str">
            <v>Nr</v>
          </cell>
        </row>
        <row r="680">
          <cell r="C680" t="str">
            <v>SERVICES SANITARY (5A)</v>
          </cell>
        </row>
        <row r="681">
          <cell r="C681" t="str">
            <v>Sanitary_Basins</v>
          </cell>
          <cell r="K681">
            <v>6</v>
          </cell>
          <cell r="N681" t="str">
            <v>Nr</v>
          </cell>
          <cell r="P681" t="str">
            <v>Sanitary fittings Basins</v>
          </cell>
          <cell r="Q681">
            <v>6</v>
          </cell>
          <cell r="R681" t="str">
            <v>Nr</v>
          </cell>
        </row>
        <row r="682">
          <cell r="C682" t="str">
            <v>Sanitary_Baths</v>
          </cell>
          <cell r="K682">
            <v>0</v>
          </cell>
          <cell r="N682" t="str">
            <v>Nr</v>
          </cell>
          <cell r="P682" t="str">
            <v>Sanitary fittings Baths</v>
          </cell>
          <cell r="Q682">
            <v>0</v>
          </cell>
          <cell r="R682" t="str">
            <v>Nr</v>
          </cell>
        </row>
        <row r="683">
          <cell r="C683" t="str">
            <v>Sanitary_Cleaners_sinks</v>
          </cell>
          <cell r="K683">
            <v>2</v>
          </cell>
          <cell r="N683" t="str">
            <v>Nr</v>
          </cell>
          <cell r="P683" t="str">
            <v>Sanitary fittings Cleaner sinks</v>
          </cell>
          <cell r="Q683">
            <v>2</v>
          </cell>
          <cell r="R683" t="str">
            <v>Nr</v>
          </cell>
        </row>
        <row r="684">
          <cell r="C684" t="str">
            <v>Sanitary_Sinks</v>
          </cell>
          <cell r="K684">
            <v>6</v>
          </cell>
          <cell r="N684" t="str">
            <v>Nr</v>
          </cell>
          <cell r="P684" t="str">
            <v>Sanitary fittings Showers</v>
          </cell>
          <cell r="Q684">
            <v>6</v>
          </cell>
          <cell r="R684" t="str">
            <v>Nr</v>
          </cell>
        </row>
        <row r="685">
          <cell r="C685" t="str">
            <v>Sanitary_Sinks_drainers</v>
          </cell>
          <cell r="K685">
            <v>2</v>
          </cell>
          <cell r="N685" t="str">
            <v>Nr</v>
          </cell>
          <cell r="P685" t="str">
            <v>Sanitary fittings Showers</v>
          </cell>
          <cell r="Q685">
            <v>2</v>
          </cell>
          <cell r="R685" t="str">
            <v>Nr</v>
          </cell>
        </row>
        <row r="686">
          <cell r="C686" t="str">
            <v>Sanitary_Showers</v>
          </cell>
          <cell r="K686">
            <v>0</v>
          </cell>
          <cell r="N686" t="str">
            <v>Nr</v>
          </cell>
          <cell r="P686" t="str">
            <v>Sanitary fittings Showers</v>
          </cell>
          <cell r="Q686">
            <v>0</v>
          </cell>
          <cell r="R686" t="str">
            <v>Nr</v>
          </cell>
        </row>
        <row r="687">
          <cell r="C687" t="str">
            <v>Sanitary_Urinals</v>
          </cell>
          <cell r="K687">
            <v>4</v>
          </cell>
          <cell r="N687" t="str">
            <v>Nr</v>
          </cell>
          <cell r="P687" t="str">
            <v>Sanitary fittings Urinals</v>
          </cell>
          <cell r="Q687">
            <v>4</v>
          </cell>
          <cell r="R687" t="str">
            <v>Nr</v>
          </cell>
        </row>
        <row r="688">
          <cell r="C688" t="str">
            <v>Sanitary_Vanity_units</v>
          </cell>
          <cell r="K688">
            <v>0</v>
          </cell>
          <cell r="N688" t="str">
            <v>Nr</v>
          </cell>
          <cell r="P688" t="str">
            <v>Sanitary fittings Vainity basins</v>
          </cell>
          <cell r="Q688">
            <v>0</v>
          </cell>
          <cell r="R688" t="str">
            <v>Nr</v>
          </cell>
        </row>
        <row r="689">
          <cell r="C689" t="str">
            <v>Sanitary_WCs</v>
          </cell>
          <cell r="K689">
            <v>16</v>
          </cell>
          <cell r="N689" t="str">
            <v>Nr</v>
          </cell>
          <cell r="P689" t="str">
            <v>Sanitary fittings WCs</v>
          </cell>
          <cell r="Q689">
            <v>16</v>
          </cell>
          <cell r="R689" t="str">
            <v>Nr</v>
          </cell>
        </row>
        <row r="690">
          <cell r="C690" t="str">
            <v>Sanitary_WCs_disabled</v>
          </cell>
          <cell r="K690">
            <v>1</v>
          </cell>
          <cell r="N690" t="str">
            <v>Nr</v>
          </cell>
          <cell r="P690" t="str">
            <v>Sanitary fittings WCs disabled</v>
          </cell>
          <cell r="Q690">
            <v>1</v>
          </cell>
          <cell r="R690" t="str">
            <v>Nr</v>
          </cell>
        </row>
        <row r="691">
          <cell r="C691" t="str">
            <v>Sanitary_Total_fittings</v>
          </cell>
          <cell r="K691">
            <v>37</v>
          </cell>
          <cell r="N691" t="str">
            <v>Nr</v>
          </cell>
          <cell r="P691" t="str">
            <v>Sanitary fittings total</v>
          </cell>
          <cell r="Q691">
            <v>37</v>
          </cell>
          <cell r="R691" t="str">
            <v>Nr</v>
          </cell>
        </row>
        <row r="692">
          <cell r="C692" t="str">
            <v>Sanitary_Mirrors</v>
          </cell>
          <cell r="K692">
            <v>6</v>
          </cell>
          <cell r="N692" t="str">
            <v>Nr</v>
          </cell>
          <cell r="P692" t="str">
            <v>Sanitary fittings Mirrors</v>
          </cell>
          <cell r="Q692">
            <v>6</v>
          </cell>
          <cell r="R692" t="str">
            <v>Nr</v>
          </cell>
        </row>
        <row r="694">
          <cell r="C694" t="str">
            <v>SERVICES EQUIPMENT (5B)</v>
          </cell>
        </row>
        <row r="695">
          <cell r="C695" t="str">
            <v>Services_Equipment_</v>
          </cell>
          <cell r="K695">
            <v>0</v>
          </cell>
          <cell r="N695" t="str">
            <v>Nr</v>
          </cell>
          <cell r="P695" t="str">
            <v>Services equipment</v>
          </cell>
          <cell r="Q695">
            <v>0</v>
          </cell>
          <cell r="R695" t="str">
            <v>Nr</v>
          </cell>
        </row>
        <row r="697">
          <cell r="C697" t="str">
            <v>DISPOSAL INSTALLATIONS (5C)</v>
          </cell>
        </row>
        <row r="698">
          <cell r="C698" t="str">
            <v>RWP_downpipe_numbers</v>
          </cell>
          <cell r="K698">
            <v>2</v>
          </cell>
          <cell r="N698" t="str">
            <v>Nr</v>
          </cell>
          <cell r="P698" t="str">
            <v>Number of down pipes</v>
          </cell>
          <cell r="Q698">
            <v>2</v>
          </cell>
          <cell r="R698" t="str">
            <v>Nr</v>
          </cell>
        </row>
        <row r="700">
          <cell r="C700" t="str">
            <v>RWP_downpipe_length</v>
          </cell>
          <cell r="K700">
            <v>13.690000000000001</v>
          </cell>
          <cell r="N700" t="str">
            <v>m²</v>
          </cell>
          <cell r="P700" t="str">
            <v>Total length of down pipes</v>
          </cell>
          <cell r="Q700">
            <v>13.690000000000001</v>
          </cell>
          <cell r="R700" t="str">
            <v>m²</v>
          </cell>
        </row>
        <row r="701">
          <cell r="F701">
            <v>3.7</v>
          </cell>
          <cell r="G701">
            <v>3.7</v>
          </cell>
          <cell r="H701">
            <v>1</v>
          </cell>
          <cell r="K701">
            <v>13.690000000000001</v>
          </cell>
          <cell r="O701" t="str">
            <v>Rwp_downpipe_numbers</v>
          </cell>
        </row>
        <row r="702">
          <cell r="K702">
            <v>0</v>
          </cell>
          <cell r="O702" t="str">
            <v>Height</v>
          </cell>
        </row>
        <row r="703">
          <cell r="K703">
            <v>0</v>
          </cell>
        </row>
        <row r="704">
          <cell r="N704" t="str">
            <v>End</v>
          </cell>
        </row>
        <row r="707">
          <cell r="C707" t="str">
            <v>RWP_gutters_length</v>
          </cell>
          <cell r="K707">
            <v>295</v>
          </cell>
          <cell r="N707" t="str">
            <v>m</v>
          </cell>
          <cell r="P707" t="str">
            <v>Length of gutter</v>
          </cell>
          <cell r="Q707">
            <v>295</v>
          </cell>
          <cell r="R707" t="str">
            <v>m</v>
          </cell>
        </row>
        <row r="708">
          <cell r="G708">
            <v>295</v>
          </cell>
          <cell r="K708">
            <v>295</v>
          </cell>
          <cell r="O708" t="str">
            <v>girth</v>
          </cell>
        </row>
        <row r="709">
          <cell r="K709">
            <v>0</v>
          </cell>
        </row>
        <row r="710">
          <cell r="N710" t="str">
            <v>End</v>
          </cell>
        </row>
        <row r="712">
          <cell r="C712" t="str">
            <v>SVP_stack_numbers</v>
          </cell>
          <cell r="K712">
            <v>1</v>
          </cell>
          <cell r="N712" t="str">
            <v>Nr</v>
          </cell>
          <cell r="P712" t="str">
            <v>SVP stacks</v>
          </cell>
          <cell r="Q712">
            <v>1</v>
          </cell>
          <cell r="R712" t="str">
            <v>Nr</v>
          </cell>
        </row>
        <row r="714">
          <cell r="C714" t="str">
            <v>SVP_stack_length</v>
          </cell>
          <cell r="K714">
            <v>3.7</v>
          </cell>
          <cell r="N714" t="str">
            <v>m²</v>
          </cell>
          <cell r="P714" t="str">
            <v>Total length of stacks</v>
          </cell>
          <cell r="Q714">
            <v>3.7</v>
          </cell>
          <cell r="R714" t="str">
            <v>m²</v>
          </cell>
        </row>
        <row r="715">
          <cell r="F715">
            <v>1</v>
          </cell>
          <cell r="G715">
            <v>3.7</v>
          </cell>
          <cell r="H715">
            <v>1</v>
          </cell>
          <cell r="K715">
            <v>3.7</v>
          </cell>
          <cell r="O715" t="str">
            <v>SVP_stack_numbers</v>
          </cell>
        </row>
        <row r="716">
          <cell r="K716">
            <v>0</v>
          </cell>
          <cell r="O716" t="str">
            <v>Height</v>
          </cell>
        </row>
        <row r="717">
          <cell r="K717">
            <v>0</v>
          </cell>
        </row>
        <row r="718">
          <cell r="N718" t="str">
            <v>End</v>
          </cell>
        </row>
        <row r="721">
          <cell r="C721" t="str">
            <v>WATER INSTALLATIONS (5D)</v>
          </cell>
        </row>
        <row r="722">
          <cell r="C722" t="str">
            <v>Water_</v>
          </cell>
          <cell r="K722">
            <v>0</v>
          </cell>
          <cell r="N722" t="str">
            <v>Nr</v>
          </cell>
          <cell r="P722" t="str">
            <v>Water installations</v>
          </cell>
          <cell r="Q722">
            <v>0</v>
          </cell>
          <cell r="R722" t="str">
            <v>Nr</v>
          </cell>
        </row>
        <row r="724">
          <cell r="C724" t="str">
            <v>HEAT SOURCE (5E)</v>
          </cell>
        </row>
        <row r="725">
          <cell r="C725" t="str">
            <v>Heating_Boilers</v>
          </cell>
          <cell r="K725">
            <v>1</v>
          </cell>
          <cell r="N725" t="str">
            <v>Nr</v>
          </cell>
          <cell r="P725" t="str">
            <v>Heating: Boilers</v>
          </cell>
          <cell r="Q725">
            <v>1</v>
          </cell>
          <cell r="R725" t="str">
            <v>Nr</v>
          </cell>
        </row>
        <row r="726">
          <cell r="C726" t="str">
            <v>Heating_pipework</v>
          </cell>
          <cell r="K726">
            <v>4.8100000000000005</v>
          </cell>
          <cell r="N726" t="str">
            <v>m</v>
          </cell>
          <cell r="P726" t="str">
            <v>Heating: pipework</v>
          </cell>
          <cell r="Q726">
            <v>4.8100000000000005</v>
          </cell>
          <cell r="R726" t="str">
            <v>m</v>
          </cell>
        </row>
        <row r="728">
          <cell r="C728" t="str">
            <v>Heating_radiators</v>
          </cell>
          <cell r="K728">
            <v>49.166666666666664</v>
          </cell>
          <cell r="N728" t="str">
            <v>Nr</v>
          </cell>
          <cell r="P728" t="str">
            <v>Heating: radiators</v>
          </cell>
          <cell r="Q728">
            <v>49.166666666666664</v>
          </cell>
          <cell r="R728" t="str">
            <v>Nr</v>
          </cell>
        </row>
        <row r="729">
          <cell r="E729">
            <v>0.16666666666666666</v>
          </cell>
          <cell r="F729">
            <v>295</v>
          </cell>
          <cell r="K729">
            <v>49.166666666666664</v>
          </cell>
          <cell r="O729" t="str">
            <v>girth</v>
          </cell>
        </row>
        <row r="730">
          <cell r="K730">
            <v>0</v>
          </cell>
        </row>
        <row r="731">
          <cell r="K731">
            <v>0</v>
          </cell>
        </row>
        <row r="732">
          <cell r="K732">
            <v>0</v>
          </cell>
        </row>
        <row r="733">
          <cell r="K733">
            <v>0</v>
          </cell>
        </row>
        <row r="734">
          <cell r="K734">
            <v>0</v>
          </cell>
        </row>
        <row r="735">
          <cell r="N735" t="str">
            <v>End</v>
          </cell>
        </row>
        <row r="737">
          <cell r="C737" t="str">
            <v>Refrigeration_chiller_units</v>
          </cell>
          <cell r="K737">
            <v>0</v>
          </cell>
          <cell r="N737" t="str">
            <v>Nr</v>
          </cell>
          <cell r="P737" t="str">
            <v>Chiller units</v>
          </cell>
          <cell r="Q737">
            <v>0</v>
          </cell>
          <cell r="R737" t="str">
            <v>Nr</v>
          </cell>
        </row>
        <row r="738">
          <cell r="C738" t="str">
            <v>Refrigeration_pumps</v>
          </cell>
          <cell r="K738">
            <v>0</v>
          </cell>
          <cell r="N738" t="str">
            <v>Nr</v>
          </cell>
          <cell r="P738" t="str">
            <v>Chiller pumps</v>
          </cell>
          <cell r="Q738">
            <v>0</v>
          </cell>
          <cell r="R738" t="str">
            <v>Nr</v>
          </cell>
        </row>
        <row r="740">
          <cell r="C740" t="str">
            <v>SPACE HEATING AND AIR TREATMENT (5F)</v>
          </cell>
        </row>
        <row r="741">
          <cell r="C741" t="str">
            <v>AirCon_Air_Handling_Units</v>
          </cell>
          <cell r="K741">
            <v>1</v>
          </cell>
          <cell r="N741" t="str">
            <v>Nr</v>
          </cell>
          <cell r="P741" t="str">
            <v>Air Handling Units</v>
          </cell>
          <cell r="Q741">
            <v>1</v>
          </cell>
          <cell r="R741" t="str">
            <v>Nr</v>
          </cell>
        </row>
        <row r="742">
          <cell r="C742" t="str">
            <v>AirCon_Air_Heater_units</v>
          </cell>
          <cell r="K742">
            <v>1</v>
          </cell>
          <cell r="N742" t="str">
            <v>Nr</v>
          </cell>
          <cell r="P742" t="str">
            <v>Air Handling Units: heater units</v>
          </cell>
          <cell r="Q742">
            <v>1</v>
          </cell>
          <cell r="R742" t="str">
            <v>Nr</v>
          </cell>
        </row>
        <row r="743">
          <cell r="C743" t="str">
            <v>AirCon_Air_Chiller_units</v>
          </cell>
          <cell r="K743">
            <v>1</v>
          </cell>
          <cell r="N743" t="str">
            <v>Nr</v>
          </cell>
          <cell r="P743" t="str">
            <v>Air Handling Units: chiller units</v>
          </cell>
          <cell r="Q743">
            <v>1</v>
          </cell>
          <cell r="R743" t="str">
            <v>Nr</v>
          </cell>
        </row>
        <row r="744">
          <cell r="C744" t="str">
            <v>AirCon_Fans</v>
          </cell>
          <cell r="K744">
            <v>1</v>
          </cell>
          <cell r="N744" t="str">
            <v>Nr</v>
          </cell>
          <cell r="P744" t="str">
            <v>Air Handling Units: fans</v>
          </cell>
          <cell r="Q744">
            <v>1</v>
          </cell>
          <cell r="R744" t="str">
            <v>Nr</v>
          </cell>
        </row>
        <row r="745">
          <cell r="C745" t="str">
            <v>AirCon_Ductwork_per_gfa</v>
          </cell>
          <cell r="K745">
            <v>0.17777777777777778</v>
          </cell>
          <cell r="N745" t="str">
            <v>m/m²</v>
          </cell>
          <cell r="P745" t="str">
            <v>Ductwork metres/gfa</v>
          </cell>
          <cell r="Q745">
            <v>0.17777777777777778</v>
          </cell>
          <cell r="R745" t="str">
            <v>m/m²</v>
          </cell>
        </row>
        <row r="746">
          <cell r="C746" t="str">
            <v>AirCon_Ductwork</v>
          </cell>
          <cell r="K746">
            <v>326.93333333333334</v>
          </cell>
          <cell r="N746" t="str">
            <v>m</v>
          </cell>
          <cell r="P746" t="str">
            <v>Ductwork</v>
          </cell>
          <cell r="Q746">
            <v>326.93333333333334</v>
          </cell>
          <cell r="R746" t="str">
            <v>m</v>
          </cell>
        </row>
        <row r="747">
          <cell r="C747" t="str">
            <v>AirCon_Outlets_per_gfa</v>
          </cell>
          <cell r="K747">
            <v>3.5555555555555556E-2</v>
          </cell>
          <cell r="N747" t="str">
            <v>Nr/m²</v>
          </cell>
          <cell r="P747" t="str">
            <v>Outlets per gfa</v>
          </cell>
          <cell r="Q747">
            <v>3.5555555555555556E-2</v>
          </cell>
          <cell r="R747" t="str">
            <v>Nr/m²</v>
          </cell>
        </row>
        <row r="748">
          <cell r="C748" t="str">
            <v>AirCon_Outlets</v>
          </cell>
          <cell r="K748">
            <v>65</v>
          </cell>
          <cell r="N748" t="str">
            <v>Nr</v>
          </cell>
          <cell r="P748" t="str">
            <v>Outlets</v>
          </cell>
          <cell r="Q748">
            <v>65</v>
          </cell>
          <cell r="R748" t="str">
            <v>Nr</v>
          </cell>
        </row>
        <row r="749">
          <cell r="C749" t="str">
            <v>AirCon_Fan_Coil_Units</v>
          </cell>
          <cell r="K749">
            <v>26</v>
          </cell>
          <cell r="N749" t="str">
            <v>Nr</v>
          </cell>
          <cell r="P749" t="str">
            <v>Fan Coil Units</v>
          </cell>
          <cell r="Q749">
            <v>26</v>
          </cell>
          <cell r="R749" t="str">
            <v>Nr</v>
          </cell>
        </row>
        <row r="750">
          <cell r="C750" t="str">
            <v>AirCon_Air_Conditioning_Units</v>
          </cell>
          <cell r="K750">
            <v>0</v>
          </cell>
          <cell r="N750" t="str">
            <v>Nr</v>
          </cell>
          <cell r="P750" t="str">
            <v>Air Conditioning Units</v>
          </cell>
          <cell r="Q750">
            <v>0</v>
          </cell>
          <cell r="R750" t="str">
            <v>Nr</v>
          </cell>
        </row>
        <row r="752">
          <cell r="C752" t="str">
            <v>VENTILATING SYSTEMS (5G)</v>
          </cell>
        </row>
        <row r="753">
          <cell r="C753" t="str">
            <v>Vent_</v>
          </cell>
          <cell r="K753">
            <v>0</v>
          </cell>
          <cell r="N753" t="str">
            <v>Nr</v>
          </cell>
          <cell r="P753" t="str">
            <v>Ventilation</v>
          </cell>
          <cell r="Q753">
            <v>0</v>
          </cell>
          <cell r="R753" t="str">
            <v>Nr</v>
          </cell>
        </row>
        <row r="755">
          <cell r="C755" t="str">
            <v>ELECTRICAL (5H)</v>
          </cell>
        </row>
        <row r="756">
          <cell r="C756" t="str">
            <v>Elec_Generators</v>
          </cell>
          <cell r="K756">
            <v>0</v>
          </cell>
          <cell r="N756" t="str">
            <v>Nr</v>
          </cell>
          <cell r="P756" t="str">
            <v>Generators</v>
          </cell>
          <cell r="Q756">
            <v>0</v>
          </cell>
          <cell r="R756" t="str">
            <v>Nr</v>
          </cell>
        </row>
        <row r="757">
          <cell r="C757" t="str">
            <v>Elec_Transformers</v>
          </cell>
          <cell r="K757">
            <v>0</v>
          </cell>
          <cell r="N757" t="str">
            <v>Nr</v>
          </cell>
          <cell r="P757" t="str">
            <v>Transformers</v>
          </cell>
          <cell r="Q757">
            <v>0</v>
          </cell>
          <cell r="R757" t="str">
            <v>Nr</v>
          </cell>
        </row>
        <row r="758">
          <cell r="C758" t="str">
            <v>Elec_UPS</v>
          </cell>
          <cell r="K758">
            <v>0</v>
          </cell>
          <cell r="N758" t="str">
            <v>Nr</v>
          </cell>
          <cell r="P758" t="str">
            <v>UPS</v>
          </cell>
          <cell r="Q758">
            <v>0</v>
          </cell>
          <cell r="R758" t="str">
            <v>Nr</v>
          </cell>
        </row>
        <row r="759">
          <cell r="C759" t="str">
            <v>Elec_HV_Panels</v>
          </cell>
          <cell r="K759">
            <v>0</v>
          </cell>
          <cell r="N759" t="str">
            <v>Nr</v>
          </cell>
          <cell r="P759" t="str">
            <v>High Voltage Panels</v>
          </cell>
          <cell r="Q759">
            <v>0</v>
          </cell>
          <cell r="R759" t="str">
            <v>Nr</v>
          </cell>
        </row>
        <row r="760">
          <cell r="C760" t="str">
            <v>Elec_LV_Panels</v>
          </cell>
          <cell r="K760">
            <v>1</v>
          </cell>
          <cell r="N760" t="str">
            <v>Nr</v>
          </cell>
          <cell r="P760" t="str">
            <v>Low Voltage Panels</v>
          </cell>
          <cell r="Q760">
            <v>1</v>
          </cell>
          <cell r="R760" t="str">
            <v>Nr</v>
          </cell>
        </row>
        <row r="761">
          <cell r="C761" t="str">
            <v>Elec_HVAC_Panels</v>
          </cell>
          <cell r="K761">
            <v>0</v>
          </cell>
          <cell r="N761" t="str">
            <v>Nr</v>
          </cell>
          <cell r="P761" t="str">
            <v>HV AC Panels</v>
          </cell>
          <cell r="Q761">
            <v>0</v>
          </cell>
          <cell r="R761" t="str">
            <v>Nr</v>
          </cell>
        </row>
        <row r="762">
          <cell r="C762" t="str">
            <v>Elec_Distribution_Boards</v>
          </cell>
          <cell r="K762">
            <v>1</v>
          </cell>
          <cell r="N762" t="str">
            <v>Nr</v>
          </cell>
          <cell r="P762" t="str">
            <v>Power Distribution Boards</v>
          </cell>
          <cell r="Q762">
            <v>1</v>
          </cell>
          <cell r="R762" t="str">
            <v>Nr</v>
          </cell>
        </row>
        <row r="763">
          <cell r="C763" t="str">
            <v>Elec_Distribution_sub_mains</v>
          </cell>
          <cell r="K763">
            <v>0</v>
          </cell>
          <cell r="N763" t="str">
            <v>Nr</v>
          </cell>
          <cell r="P763" t="str">
            <v>sub mains boards</v>
          </cell>
          <cell r="Q763">
            <v>0</v>
          </cell>
          <cell r="R763" t="str">
            <v>Nr</v>
          </cell>
        </row>
        <row r="764">
          <cell r="C764" t="str">
            <v>Lighting_fittings_luminaire_2x18</v>
          </cell>
          <cell r="K764">
            <v>0</v>
          </cell>
          <cell r="N764" t="str">
            <v>Nr</v>
          </cell>
          <cell r="P764" t="str">
            <v>Lighting fittings luminaire 2x18W</v>
          </cell>
          <cell r="Q764">
            <v>0</v>
          </cell>
          <cell r="R764" t="str">
            <v>Nr</v>
          </cell>
        </row>
        <row r="765">
          <cell r="C765" t="str">
            <v>Lighting_fittings_luminaire_3x18</v>
          </cell>
          <cell r="K765">
            <v>81</v>
          </cell>
          <cell r="N765" t="str">
            <v>Nr</v>
          </cell>
          <cell r="P765" t="str">
            <v>Lighting fittings luminaire 3x18W</v>
          </cell>
          <cell r="Q765">
            <v>81</v>
          </cell>
          <cell r="R765" t="str">
            <v>Nr</v>
          </cell>
        </row>
        <row r="766">
          <cell r="C766" t="str">
            <v>Lighting_fittings_luminaire_2x36</v>
          </cell>
          <cell r="K766">
            <v>197</v>
          </cell>
          <cell r="N766" t="str">
            <v>Nr</v>
          </cell>
          <cell r="P766" t="str">
            <v>Lighting fittings luminaire 2x36W</v>
          </cell>
          <cell r="Q766">
            <v>197</v>
          </cell>
          <cell r="R766" t="str">
            <v>Nr</v>
          </cell>
        </row>
        <row r="767">
          <cell r="C767" t="str">
            <v>Lighting_fittings_luminaire_3x36</v>
          </cell>
          <cell r="K767">
            <v>77</v>
          </cell>
          <cell r="N767" t="str">
            <v>Nr</v>
          </cell>
          <cell r="P767" t="str">
            <v>Lighting fittings luminaire 3x36W</v>
          </cell>
          <cell r="Q767">
            <v>77</v>
          </cell>
          <cell r="R767" t="str">
            <v>Nr</v>
          </cell>
        </row>
        <row r="768">
          <cell r="C768" t="str">
            <v>Lighting_fittings_luminaire_4x36</v>
          </cell>
          <cell r="K768">
            <v>4</v>
          </cell>
          <cell r="N768" t="str">
            <v>Nr</v>
          </cell>
          <cell r="P768" t="str">
            <v>Lighting fittings luminaire 4x36W</v>
          </cell>
          <cell r="Q768">
            <v>4</v>
          </cell>
          <cell r="R768" t="str">
            <v>Nr</v>
          </cell>
        </row>
        <row r="769">
          <cell r="C769" t="str">
            <v>Lighting_fittings_downlighter_1x13</v>
          </cell>
          <cell r="K769">
            <v>0</v>
          </cell>
          <cell r="N769" t="str">
            <v>Nr</v>
          </cell>
          <cell r="P769" t="str">
            <v>Lighting fittings downlighter 1x13W</v>
          </cell>
          <cell r="Q769">
            <v>0</v>
          </cell>
          <cell r="R769" t="str">
            <v>Nr</v>
          </cell>
        </row>
        <row r="770">
          <cell r="C770" t="str">
            <v>Lighting_fittings_downlighter_2x13</v>
          </cell>
          <cell r="K770">
            <v>2</v>
          </cell>
          <cell r="N770" t="str">
            <v>Nr</v>
          </cell>
          <cell r="P770" t="str">
            <v>Lighting fittings downlighter 2x13W</v>
          </cell>
          <cell r="Q770">
            <v>2</v>
          </cell>
          <cell r="R770" t="str">
            <v>Nr</v>
          </cell>
        </row>
        <row r="771">
          <cell r="C771" t="str">
            <v>Lighting_fittings_downlighter_1x18</v>
          </cell>
          <cell r="K771">
            <v>6</v>
          </cell>
          <cell r="N771" t="str">
            <v>Nr</v>
          </cell>
          <cell r="P771" t="str">
            <v>Lighting fittings downlighter 1x18W</v>
          </cell>
          <cell r="Q771">
            <v>6</v>
          </cell>
          <cell r="R771" t="str">
            <v>Nr</v>
          </cell>
        </row>
        <row r="772">
          <cell r="C772" t="str">
            <v>Lighting_fittings_high_bay_1x250</v>
          </cell>
          <cell r="K772">
            <v>0</v>
          </cell>
          <cell r="N772" t="str">
            <v>Nr</v>
          </cell>
          <cell r="P772" t="str">
            <v>Lighting fittings high bay 250W</v>
          </cell>
          <cell r="Q772">
            <v>0</v>
          </cell>
          <cell r="R772" t="str">
            <v>Nr</v>
          </cell>
        </row>
        <row r="773">
          <cell r="C773" t="str">
            <v>Lighting_fittings_high_bay_1x400</v>
          </cell>
          <cell r="K773">
            <v>0</v>
          </cell>
          <cell r="N773" t="str">
            <v>Nr</v>
          </cell>
          <cell r="P773" t="str">
            <v>Lighting fittings high bay 400W</v>
          </cell>
          <cell r="Q773">
            <v>0</v>
          </cell>
          <cell r="R773" t="str">
            <v>Nr</v>
          </cell>
        </row>
        <row r="774">
          <cell r="C774" t="str">
            <v>Lighting_fittings_SON</v>
          </cell>
          <cell r="K774">
            <v>0</v>
          </cell>
          <cell r="N774" t="str">
            <v>Nr</v>
          </cell>
          <cell r="P774" t="str">
            <v>Lighting fittings SON</v>
          </cell>
          <cell r="Q774">
            <v>0</v>
          </cell>
          <cell r="R774" t="str">
            <v>Nr</v>
          </cell>
        </row>
        <row r="775">
          <cell r="C775" t="str">
            <v>Lighting_fittings_beamlight</v>
          </cell>
          <cell r="K775">
            <v>0</v>
          </cell>
          <cell r="N775" t="str">
            <v>Nr</v>
          </cell>
          <cell r="P775" t="str">
            <v>Lighting fittings beam light</v>
          </cell>
          <cell r="Q775">
            <v>0</v>
          </cell>
          <cell r="R775" t="str">
            <v>Nr</v>
          </cell>
        </row>
        <row r="776">
          <cell r="C776" t="str">
            <v>Lighting_fittings_display</v>
          </cell>
          <cell r="K776">
            <v>0</v>
          </cell>
          <cell r="N776" t="str">
            <v>Nr</v>
          </cell>
          <cell r="P776" t="str">
            <v>Lighting fittings display</v>
          </cell>
          <cell r="Q776">
            <v>0</v>
          </cell>
          <cell r="R776" t="str">
            <v>Nr</v>
          </cell>
        </row>
        <row r="777">
          <cell r="C777" t="str">
            <v>Lighting_fittings_obstruction_lights</v>
          </cell>
          <cell r="K777">
            <v>0</v>
          </cell>
          <cell r="N777" t="str">
            <v>Nr</v>
          </cell>
          <cell r="P777" t="str">
            <v>Lighting fittings obstruction lights</v>
          </cell>
          <cell r="Q777">
            <v>0</v>
          </cell>
          <cell r="R777" t="str">
            <v>Nr</v>
          </cell>
        </row>
        <row r="778">
          <cell r="C778" t="str">
            <v>Lighting_fittings</v>
          </cell>
          <cell r="K778">
            <v>367</v>
          </cell>
          <cell r="N778" t="str">
            <v>Nr</v>
          </cell>
          <cell r="P778" t="str">
            <v>Lighting fittings</v>
          </cell>
          <cell r="Q778">
            <v>367</v>
          </cell>
          <cell r="R778" t="str">
            <v>Nr</v>
          </cell>
        </row>
        <row r="779">
          <cell r="C779" t="str">
            <v>Lighting_emergency_invertors</v>
          </cell>
          <cell r="K779">
            <v>70.497175141242934</v>
          </cell>
          <cell r="N779" t="str">
            <v>Nr</v>
          </cell>
          <cell r="P779" t="str">
            <v>Lighting: exmergency light invertors</v>
          </cell>
          <cell r="Q779">
            <v>70.497175141242934</v>
          </cell>
          <cell r="R779" t="str">
            <v>Nr</v>
          </cell>
        </row>
        <row r="780">
          <cell r="C780" t="str">
            <v>Lighting_external_luminares</v>
          </cell>
          <cell r="K780">
            <v>0</v>
          </cell>
          <cell r="N780" t="str">
            <v>Nr</v>
          </cell>
          <cell r="P780" t="str">
            <v>Lighting: external luminaries</v>
          </cell>
          <cell r="Q780">
            <v>0</v>
          </cell>
          <cell r="R780" t="str">
            <v>Nr</v>
          </cell>
        </row>
        <row r="782">
          <cell r="C782" t="str">
            <v>GAS (5I)</v>
          </cell>
        </row>
        <row r="783">
          <cell r="C783" t="str">
            <v>Gas_</v>
          </cell>
          <cell r="K783">
            <v>0</v>
          </cell>
          <cell r="N783" t="str">
            <v>Nr</v>
          </cell>
          <cell r="P783" t="str">
            <v>Gas installations</v>
          </cell>
          <cell r="Q783">
            <v>0</v>
          </cell>
          <cell r="R783" t="str">
            <v>Nr</v>
          </cell>
        </row>
        <row r="785">
          <cell r="C785" t="str">
            <v>TRANSPORT (5J)</v>
          </cell>
        </row>
        <row r="786">
          <cell r="C786" t="str">
            <v>Transport_lifts_passenger</v>
          </cell>
          <cell r="K786">
            <v>0</v>
          </cell>
          <cell r="N786" t="str">
            <v>Nr</v>
          </cell>
          <cell r="P786" t="str">
            <v xml:space="preserve">Lifts passenger </v>
          </cell>
          <cell r="Q786">
            <v>0</v>
          </cell>
          <cell r="R786" t="str">
            <v>Nr</v>
          </cell>
          <cell r="U786">
            <v>0</v>
          </cell>
        </row>
        <row r="787">
          <cell r="C787" t="str">
            <v>Transport_lifts_goods</v>
          </cell>
          <cell r="K787">
            <v>0</v>
          </cell>
          <cell r="N787" t="str">
            <v>Nr</v>
          </cell>
          <cell r="P787" t="str">
            <v xml:space="preserve">Lifts goods </v>
          </cell>
          <cell r="Q787">
            <v>0</v>
          </cell>
          <cell r="R787" t="str">
            <v>Nr</v>
          </cell>
        </row>
        <row r="788">
          <cell r="C788" t="str">
            <v>Transport_lifts_wall_climber</v>
          </cell>
          <cell r="K788">
            <v>0</v>
          </cell>
          <cell r="N788" t="str">
            <v>Nr</v>
          </cell>
          <cell r="P788" t="str">
            <v>Lifts wall climber/feature</v>
          </cell>
          <cell r="Q788">
            <v>0</v>
          </cell>
          <cell r="R788" t="str">
            <v>Nr</v>
          </cell>
        </row>
        <row r="789">
          <cell r="C789" t="str">
            <v>Transport_lifts_fire</v>
          </cell>
          <cell r="K789">
            <v>0</v>
          </cell>
          <cell r="N789" t="str">
            <v>Nr</v>
          </cell>
          <cell r="P789" t="str">
            <v>Lifts fire access</v>
          </cell>
          <cell r="Q789">
            <v>0</v>
          </cell>
          <cell r="R789" t="str">
            <v>Nr</v>
          </cell>
        </row>
        <row r="790">
          <cell r="C790" t="str">
            <v>Transport_Lifts</v>
          </cell>
          <cell r="K790">
            <v>0</v>
          </cell>
          <cell r="N790" t="str">
            <v>Nr</v>
          </cell>
          <cell r="P790" t="str">
            <v>Total number of lifts</v>
          </cell>
          <cell r="Q790">
            <v>0</v>
          </cell>
          <cell r="R790" t="str">
            <v>Nr</v>
          </cell>
        </row>
        <row r="791">
          <cell r="C791" t="str">
            <v>Transport_disabled_access</v>
          </cell>
          <cell r="K791">
            <v>0</v>
          </cell>
          <cell r="N791" t="str">
            <v>Nr</v>
          </cell>
          <cell r="P791" t="str">
            <v>Lifts disabled access</v>
          </cell>
          <cell r="Q791">
            <v>0</v>
          </cell>
          <cell r="R791" t="str">
            <v>Nr</v>
          </cell>
        </row>
        <row r="792">
          <cell r="C792" t="str">
            <v>Transport_disabled_hoists</v>
          </cell>
          <cell r="K792">
            <v>0</v>
          </cell>
          <cell r="N792" t="str">
            <v>Nr</v>
          </cell>
          <cell r="P792" t="str">
            <v>Lifts disabled access</v>
          </cell>
          <cell r="Q792">
            <v>0</v>
          </cell>
          <cell r="R792" t="str">
            <v>Nr</v>
          </cell>
        </row>
        <row r="793">
          <cell r="C793" t="str">
            <v>Transport_dumb waiter</v>
          </cell>
          <cell r="K793">
            <v>0</v>
          </cell>
          <cell r="N793" t="str">
            <v>Nr</v>
          </cell>
          <cell r="P793" t="str">
            <v>Lifts dumb waiter</v>
          </cell>
          <cell r="Q793">
            <v>0</v>
          </cell>
          <cell r="R793" t="str">
            <v>Nr</v>
          </cell>
        </row>
        <row r="794">
          <cell r="C794" t="str">
            <v>Transport_Cranes</v>
          </cell>
          <cell r="K794">
            <v>0</v>
          </cell>
          <cell r="N794" t="str">
            <v>Nr</v>
          </cell>
          <cell r="P794" t="str">
            <v>Transport: Cranes</v>
          </cell>
          <cell r="Q794">
            <v>0</v>
          </cell>
          <cell r="R794" t="str">
            <v>Nr</v>
          </cell>
        </row>
        <row r="796">
          <cell r="C796" t="str">
            <v>PROTECTIVE INSTALLATIONS (5K)</v>
          </cell>
        </row>
        <row r="797">
          <cell r="C797" t="str">
            <v>Fire_blankets</v>
          </cell>
          <cell r="K797">
            <v>0</v>
          </cell>
          <cell r="N797" t="str">
            <v>Nr</v>
          </cell>
          <cell r="P797" t="str">
            <v>Fire: blankets</v>
          </cell>
          <cell r="Q797">
            <v>0</v>
          </cell>
          <cell r="R797" t="str">
            <v>Nr</v>
          </cell>
        </row>
        <row r="798">
          <cell r="C798" t="str">
            <v>Fire_extinguishers</v>
          </cell>
          <cell r="K798">
            <v>0</v>
          </cell>
          <cell r="N798" t="str">
            <v>Nr</v>
          </cell>
          <cell r="P798" t="str">
            <v>Fire: extinguishers</v>
          </cell>
          <cell r="Q798">
            <v>0</v>
          </cell>
          <cell r="R798" t="str">
            <v>Nr</v>
          </cell>
        </row>
        <row r="799">
          <cell r="C799" t="str">
            <v>VESDA_systems</v>
          </cell>
          <cell r="K799">
            <v>0</v>
          </cell>
          <cell r="N799" t="str">
            <v>Nr</v>
          </cell>
          <cell r="P799" t="str">
            <v>VESDA systems</v>
          </cell>
          <cell r="Q799">
            <v>0</v>
          </cell>
          <cell r="R799" t="str">
            <v>Nr</v>
          </cell>
        </row>
        <row r="800">
          <cell r="C800" t="str">
            <v>Sprinklers_outlets</v>
          </cell>
          <cell r="K800">
            <v>0</v>
          </cell>
          <cell r="N800" t="str">
            <v>Nr</v>
          </cell>
          <cell r="P800" t="str">
            <v>Security: cameras moveable</v>
          </cell>
          <cell r="Q800">
            <v>0</v>
          </cell>
          <cell r="R800" t="str">
            <v>Nr</v>
          </cell>
        </row>
        <row r="801">
          <cell r="C801" t="str">
            <v>Security_cameras_moveable</v>
          </cell>
          <cell r="K801">
            <v>0</v>
          </cell>
          <cell r="N801" t="str">
            <v>Nr</v>
          </cell>
          <cell r="P801" t="str">
            <v>Security: cameras moveable</v>
          </cell>
          <cell r="Q801">
            <v>0</v>
          </cell>
          <cell r="R801" t="str">
            <v>Nr</v>
          </cell>
        </row>
        <row r="802">
          <cell r="C802" t="str">
            <v>Security_cameras_static</v>
          </cell>
          <cell r="K802">
            <v>0</v>
          </cell>
          <cell r="N802" t="str">
            <v>Nr</v>
          </cell>
          <cell r="P802" t="str">
            <v>Security: cameras static</v>
          </cell>
          <cell r="Q802">
            <v>0</v>
          </cell>
          <cell r="R802" t="str">
            <v>Nr</v>
          </cell>
        </row>
        <row r="803">
          <cell r="C803" t="str">
            <v>Security_PIR</v>
          </cell>
          <cell r="K803">
            <v>0</v>
          </cell>
          <cell r="N803" t="str">
            <v>Nr</v>
          </cell>
          <cell r="P803" t="str">
            <v>Security: PIR</v>
          </cell>
          <cell r="Q803">
            <v>0</v>
          </cell>
          <cell r="R803" t="str">
            <v>Nr</v>
          </cell>
        </row>
        <row r="804">
          <cell r="C804" t="str">
            <v>Security_intercoms</v>
          </cell>
          <cell r="K804">
            <v>0</v>
          </cell>
          <cell r="N804" t="str">
            <v>Nr</v>
          </cell>
          <cell r="P804" t="str">
            <v>Security: intercoms</v>
          </cell>
          <cell r="Q804">
            <v>0</v>
          </cell>
          <cell r="R804" t="str">
            <v>Nr</v>
          </cell>
        </row>
        <row r="805">
          <cell r="C805" t="str">
            <v>Security_door_access</v>
          </cell>
          <cell r="K805">
            <v>0</v>
          </cell>
          <cell r="N805" t="str">
            <v>Nr</v>
          </cell>
          <cell r="P805" t="str">
            <v>Security: door access control</v>
          </cell>
          <cell r="Q805">
            <v>0</v>
          </cell>
          <cell r="R805" t="str">
            <v>Nr</v>
          </cell>
        </row>
        <row r="807">
          <cell r="C807" t="str">
            <v>COMMUNICATIONS (5L)</v>
          </cell>
        </row>
        <row r="808">
          <cell r="C808" t="str">
            <v>Audio_Visual_Plasma_screens</v>
          </cell>
          <cell r="K808">
            <v>0</v>
          </cell>
          <cell r="N808" t="str">
            <v>Nr</v>
          </cell>
          <cell r="P808" t="str">
            <v>Audio Visual Plasma screens</v>
          </cell>
          <cell r="Q808">
            <v>0</v>
          </cell>
          <cell r="R808" t="str">
            <v>Nr</v>
          </cell>
        </row>
        <row r="809">
          <cell r="C809" t="str">
            <v>Audio_Visual_Projectors</v>
          </cell>
          <cell r="K809">
            <v>0</v>
          </cell>
          <cell r="N809" t="str">
            <v>Nr</v>
          </cell>
          <cell r="P809" t="str">
            <v>Audio Visual Projectors</v>
          </cell>
          <cell r="Q809">
            <v>0</v>
          </cell>
          <cell r="R809" t="str">
            <v>Nr</v>
          </cell>
        </row>
        <row r="810">
          <cell r="C810" t="str">
            <v>Audio_Visual_Room_installations</v>
          </cell>
          <cell r="K810">
            <v>0</v>
          </cell>
          <cell r="N810" t="str">
            <v>Nr</v>
          </cell>
          <cell r="P810" t="str">
            <v>Audio Visual Room installations</v>
          </cell>
          <cell r="Q810">
            <v>0</v>
          </cell>
          <cell r="R810" t="str">
            <v>Nr</v>
          </cell>
        </row>
        <row r="811">
          <cell r="C811" t="str">
            <v>Data_cabinets</v>
          </cell>
          <cell r="K811">
            <v>0</v>
          </cell>
          <cell r="N811" t="str">
            <v>Nr</v>
          </cell>
          <cell r="P811" t="str">
            <v xml:space="preserve">Data: cabinets </v>
          </cell>
          <cell r="Q811">
            <v>0</v>
          </cell>
          <cell r="R811" t="str">
            <v>Nr</v>
          </cell>
        </row>
        <row r="812">
          <cell r="C812" t="str">
            <v>Data_Patching_frames</v>
          </cell>
          <cell r="K812">
            <v>0</v>
          </cell>
          <cell r="N812" t="str">
            <v>Nr</v>
          </cell>
          <cell r="P812" t="str">
            <v xml:space="preserve">Data: Patching frames </v>
          </cell>
          <cell r="Q812">
            <v>0</v>
          </cell>
          <cell r="R812" t="str">
            <v>Nr</v>
          </cell>
        </row>
        <row r="814">
          <cell r="C814" t="str">
            <v>SPECIAL INSTALLATIONS (5M)</v>
          </cell>
        </row>
        <row r="815">
          <cell r="C815" t="str">
            <v>Special_</v>
          </cell>
          <cell r="K815">
            <v>0</v>
          </cell>
          <cell r="N815" t="str">
            <v>Nr</v>
          </cell>
          <cell r="P815" t="str">
            <v xml:space="preserve">Special: </v>
          </cell>
          <cell r="Q815">
            <v>0</v>
          </cell>
          <cell r="R815" t="str">
            <v>Nr</v>
          </cell>
        </row>
        <row r="817">
          <cell r="C817" t="str">
            <v>SITEWORKS (6A)</v>
          </cell>
        </row>
        <row r="819">
          <cell r="C819" t="str">
            <v>Siteworks</v>
          </cell>
          <cell r="K819">
            <v>9161</v>
          </cell>
          <cell r="N819" t="str">
            <v>m²</v>
          </cell>
          <cell r="P819" t="str">
            <v>Siteworks area</v>
          </cell>
          <cell r="Q819">
            <v>9161</v>
          </cell>
          <cell r="R819" t="str">
            <v>m²</v>
          </cell>
        </row>
        <row r="820">
          <cell r="G820">
            <v>11000</v>
          </cell>
          <cell r="H820">
            <v>1</v>
          </cell>
          <cell r="K820">
            <v>11000</v>
          </cell>
          <cell r="O820" t="str">
            <v>Site_area</v>
          </cell>
        </row>
        <row r="821">
          <cell r="F821">
            <v>-1</v>
          </cell>
          <cell r="G821">
            <v>1839</v>
          </cell>
          <cell r="H821">
            <v>1</v>
          </cell>
          <cell r="K821">
            <v>-1839</v>
          </cell>
          <cell r="O821" t="str">
            <v>Ground_slab</v>
          </cell>
        </row>
        <row r="822">
          <cell r="K822">
            <v>0</v>
          </cell>
        </row>
        <row r="823">
          <cell r="K823">
            <v>0</v>
          </cell>
        </row>
        <row r="824">
          <cell r="K824">
            <v>0</v>
          </cell>
        </row>
        <row r="825">
          <cell r="K825">
            <v>0</v>
          </cell>
        </row>
        <row r="826">
          <cell r="N826" t="str">
            <v>End</v>
          </cell>
        </row>
        <row r="828">
          <cell r="C828" t="str">
            <v>Siteworks_roads</v>
          </cell>
          <cell r="K828">
            <v>940</v>
          </cell>
          <cell r="N828" t="str">
            <v>m²</v>
          </cell>
          <cell r="P828" t="str">
            <v>Surface: roads</v>
          </cell>
          <cell r="Q828">
            <v>940</v>
          </cell>
          <cell r="R828" t="str">
            <v>m²</v>
          </cell>
        </row>
        <row r="829">
          <cell r="C829" t="str">
            <v>Siteworks_car_parking</v>
          </cell>
          <cell r="K829">
            <v>0</v>
          </cell>
          <cell r="N829" t="str">
            <v>m²</v>
          </cell>
          <cell r="P829" t="str">
            <v>Surface: car parking</v>
          </cell>
          <cell r="Q829">
            <v>0</v>
          </cell>
          <cell r="R829" t="str">
            <v>m²</v>
          </cell>
        </row>
        <row r="830">
          <cell r="C830" t="str">
            <v>Siteworks_paving_tarmac</v>
          </cell>
          <cell r="K830">
            <v>1928</v>
          </cell>
          <cell r="N830" t="str">
            <v>m²</v>
          </cell>
          <cell r="P830" t="str">
            <v>Surface: tarmac paving</v>
          </cell>
          <cell r="Q830">
            <v>1928</v>
          </cell>
          <cell r="R830" t="str">
            <v>m²</v>
          </cell>
        </row>
        <row r="831">
          <cell r="C831" t="str">
            <v>Siteworks_paving_safety</v>
          </cell>
          <cell r="K831">
            <v>295</v>
          </cell>
          <cell r="N831" t="str">
            <v>m²</v>
          </cell>
          <cell r="P831" t="str">
            <v>Surface: safety paving</v>
          </cell>
          <cell r="Q831">
            <v>295</v>
          </cell>
          <cell r="R831" t="str">
            <v>m²</v>
          </cell>
        </row>
        <row r="832">
          <cell r="C832" t="str">
            <v>Siteworks_paving_TimberTech</v>
          </cell>
          <cell r="K832">
            <v>100</v>
          </cell>
          <cell r="N832" t="str">
            <v>m²</v>
          </cell>
          <cell r="P832" t="str">
            <v>Surface: Timber Tech paving</v>
          </cell>
          <cell r="Q832">
            <v>100</v>
          </cell>
          <cell r="R832" t="str">
            <v>m²</v>
          </cell>
        </row>
        <row r="833">
          <cell r="C833" t="str">
            <v>Siteworks_paving_slabs</v>
          </cell>
          <cell r="K833">
            <v>170</v>
          </cell>
          <cell r="N833" t="str">
            <v>m²</v>
          </cell>
          <cell r="P833" t="str">
            <v>Surface: paving slabs</v>
          </cell>
          <cell r="Q833">
            <v>170</v>
          </cell>
          <cell r="R833" t="str">
            <v>m²</v>
          </cell>
        </row>
        <row r="834">
          <cell r="C834" t="str">
            <v>Siteworks_paving_block</v>
          </cell>
          <cell r="K834">
            <v>93</v>
          </cell>
          <cell r="N834" t="str">
            <v>m²</v>
          </cell>
          <cell r="P834" t="str">
            <v>Surface: block paving</v>
          </cell>
          <cell r="Q834">
            <v>93</v>
          </cell>
          <cell r="R834" t="str">
            <v>m²</v>
          </cell>
        </row>
        <row r="835">
          <cell r="C835" t="str">
            <v>Siteworks_paving_block_grascrete</v>
          </cell>
          <cell r="K835">
            <v>0</v>
          </cell>
          <cell r="N835" t="str">
            <v>m²</v>
          </cell>
          <cell r="P835" t="str">
            <v>Surface: block paving grascrete</v>
          </cell>
          <cell r="Q835">
            <v>0</v>
          </cell>
          <cell r="R835" t="str">
            <v>m²</v>
          </cell>
        </row>
        <row r="836">
          <cell r="C836" t="str">
            <v>Siteworks_planting</v>
          </cell>
          <cell r="K836">
            <v>200</v>
          </cell>
          <cell r="N836" t="str">
            <v>m²</v>
          </cell>
          <cell r="P836" t="str">
            <v>Surface: planting</v>
          </cell>
          <cell r="Q836">
            <v>200</v>
          </cell>
          <cell r="R836" t="str">
            <v>m²</v>
          </cell>
        </row>
        <row r="837">
          <cell r="C837" t="str">
            <v>Siteworks_grass_seed</v>
          </cell>
          <cell r="K837">
            <v>1454</v>
          </cell>
          <cell r="N837" t="str">
            <v>m²</v>
          </cell>
          <cell r="P837" t="str">
            <v>Surface: grass seed</v>
          </cell>
          <cell r="Q837">
            <v>1454</v>
          </cell>
          <cell r="R837" t="str">
            <v>m²</v>
          </cell>
        </row>
        <row r="838">
          <cell r="C838" t="str">
            <v>Siteworks_grass_turf</v>
          </cell>
          <cell r="K838">
            <v>622</v>
          </cell>
          <cell r="N838" t="str">
            <v>m²</v>
          </cell>
          <cell r="P838" t="str">
            <v>Surface: grass turf</v>
          </cell>
          <cell r="Q838">
            <v>622</v>
          </cell>
          <cell r="R838" t="str">
            <v>m²</v>
          </cell>
        </row>
        <row r="839">
          <cell r="C839" t="str">
            <v>Siteworks_unallocated</v>
          </cell>
          <cell r="K839">
            <v>3359</v>
          </cell>
          <cell r="N839" t="str">
            <v>m²</v>
          </cell>
          <cell r="P839" t="str">
            <v>Surface: grass</v>
          </cell>
          <cell r="Q839">
            <v>3359</v>
          </cell>
          <cell r="R839" t="str">
            <v>m²</v>
          </cell>
        </row>
        <row r="840">
          <cell r="C840" t="str">
            <v>Siteworks_check_total</v>
          </cell>
          <cell r="K840">
            <v>9161</v>
          </cell>
          <cell r="N840" t="str">
            <v>m²</v>
          </cell>
          <cell r="P840" t="str">
            <v>Surface: total check area</v>
          </cell>
          <cell r="Q840">
            <v>9161</v>
          </cell>
          <cell r="R840" t="str">
            <v>m²</v>
          </cell>
        </row>
        <row r="841">
          <cell r="C841" t="str">
            <v>Car_spaces</v>
          </cell>
          <cell r="K841">
            <v>40</v>
          </cell>
          <cell r="N841" t="str">
            <v>Nr</v>
          </cell>
          <cell r="P841" t="str">
            <v>Car spaces</v>
          </cell>
          <cell r="Q841">
            <v>40</v>
          </cell>
          <cell r="R841" t="str">
            <v>Nr</v>
          </cell>
        </row>
        <row r="842">
          <cell r="C842" t="str">
            <v>Car_space_area_per_space</v>
          </cell>
          <cell r="K842">
            <v>22.5</v>
          </cell>
          <cell r="N842" t="str">
            <v>m²</v>
          </cell>
          <cell r="P842" t="str">
            <v>Car space area / space</v>
          </cell>
          <cell r="Q842">
            <v>22.5</v>
          </cell>
          <cell r="R842" t="str">
            <v>m²</v>
          </cell>
        </row>
        <row r="843">
          <cell r="C843" t="str">
            <v>Siteworks_kerbs_Roads</v>
          </cell>
          <cell r="K843">
            <v>155</v>
          </cell>
          <cell r="N843" t="str">
            <v>m</v>
          </cell>
          <cell r="P843" t="str">
            <v>Surface: Road Kerb</v>
          </cell>
          <cell r="Q843">
            <v>155</v>
          </cell>
          <cell r="R843" t="str">
            <v>m</v>
          </cell>
        </row>
        <row r="844">
          <cell r="C844" t="str">
            <v>Siteworks_kerbs_paving</v>
          </cell>
          <cell r="K844">
            <v>223</v>
          </cell>
          <cell r="N844" t="str">
            <v>m</v>
          </cell>
          <cell r="P844" t="str">
            <v>Surface: paving Kerb</v>
          </cell>
          <cell r="Q844">
            <v>223</v>
          </cell>
          <cell r="R844" t="str">
            <v>m</v>
          </cell>
        </row>
        <row r="845">
          <cell r="C845" t="str">
            <v>Siteworks_road_paint</v>
          </cell>
          <cell r="K845">
            <v>0</v>
          </cell>
          <cell r="N845" t="str">
            <v>m</v>
          </cell>
          <cell r="P845" t="str">
            <v>Surface: road paint</v>
          </cell>
          <cell r="Q845">
            <v>0</v>
          </cell>
          <cell r="R845" t="str">
            <v>m</v>
          </cell>
        </row>
        <row r="846">
          <cell r="C846" t="str">
            <v>Site_works_grading</v>
          </cell>
          <cell r="K846">
            <v>0</v>
          </cell>
          <cell r="N846" t="str">
            <v>m²</v>
          </cell>
          <cell r="P846" t="str">
            <v>Site works: grading</v>
          </cell>
          <cell r="Q846">
            <v>0</v>
          </cell>
          <cell r="R846" t="str">
            <v>m²</v>
          </cell>
        </row>
        <row r="847">
          <cell r="C847" t="str">
            <v>Siteworks_steps</v>
          </cell>
          <cell r="K847">
            <v>21</v>
          </cell>
          <cell r="N847" t="str">
            <v>m²</v>
          </cell>
          <cell r="P847" t="str">
            <v>Site works: steps</v>
          </cell>
          <cell r="Q847">
            <v>21</v>
          </cell>
          <cell r="R847" t="str">
            <v>m²</v>
          </cell>
        </row>
        <row r="848">
          <cell r="C848" t="str">
            <v>Siteworks_steps_handrails</v>
          </cell>
          <cell r="K848">
            <v>12</v>
          </cell>
          <cell r="N848" t="str">
            <v>m</v>
          </cell>
          <cell r="P848" t="str">
            <v>Siteworks: handrails to stepsgrading</v>
          </cell>
          <cell r="Q848">
            <v>12</v>
          </cell>
          <cell r="R848" t="str">
            <v>m</v>
          </cell>
        </row>
        <row r="849">
          <cell r="C849" t="str">
            <v>Planting_trees</v>
          </cell>
          <cell r="K849">
            <v>0</v>
          </cell>
          <cell r="N849" t="str">
            <v>Nr</v>
          </cell>
          <cell r="P849" t="str">
            <v>Planting trees</v>
          </cell>
          <cell r="Q849">
            <v>0</v>
          </cell>
          <cell r="R849" t="str">
            <v>Nr</v>
          </cell>
        </row>
        <row r="850">
          <cell r="C850" t="str">
            <v>Fencing_brick_wall</v>
          </cell>
          <cell r="K850">
            <v>0</v>
          </cell>
          <cell r="N850" t="str">
            <v>m</v>
          </cell>
          <cell r="P850" t="str">
            <v>Brick screen walls</v>
          </cell>
          <cell r="Q850">
            <v>0</v>
          </cell>
          <cell r="R850" t="str">
            <v>m</v>
          </cell>
        </row>
        <row r="851">
          <cell r="C851" t="str">
            <v>Fencing_palisade</v>
          </cell>
          <cell r="K851">
            <v>166</v>
          </cell>
          <cell r="N851" t="str">
            <v>m</v>
          </cell>
          <cell r="P851" t="str">
            <v>Palisade fencing</v>
          </cell>
          <cell r="Q851">
            <v>166</v>
          </cell>
          <cell r="R851" t="str">
            <v>m</v>
          </cell>
        </row>
        <row r="852">
          <cell r="C852" t="str">
            <v>Fencing_palisade_gates</v>
          </cell>
          <cell r="K852">
            <v>1</v>
          </cell>
          <cell r="N852" t="str">
            <v>Nr</v>
          </cell>
          <cell r="P852" t="str">
            <v>Palisade fencing gates</v>
          </cell>
          <cell r="Q852">
            <v>1</v>
          </cell>
          <cell r="R852" t="str">
            <v>Nr</v>
          </cell>
        </row>
        <row r="853">
          <cell r="C853" t="str">
            <v>Fencing_timber_low</v>
          </cell>
          <cell r="K853">
            <v>15</v>
          </cell>
          <cell r="N853" t="str">
            <v>m</v>
          </cell>
          <cell r="P853" t="str">
            <v>Palisade fencing</v>
          </cell>
          <cell r="Q853">
            <v>15</v>
          </cell>
          <cell r="R853" t="str">
            <v>m</v>
          </cell>
        </row>
        <row r="854">
          <cell r="C854" t="str">
            <v>Fencing_timber_low_gates</v>
          </cell>
          <cell r="K854">
            <v>1</v>
          </cell>
          <cell r="N854" t="str">
            <v>Nr</v>
          </cell>
          <cell r="P854" t="str">
            <v>Fencing: gates</v>
          </cell>
          <cell r="Q854">
            <v>1</v>
          </cell>
          <cell r="R854" t="str">
            <v>Nr</v>
          </cell>
        </row>
        <row r="855">
          <cell r="C855" t="str">
            <v>Siteworks_Walls</v>
          </cell>
          <cell r="K855">
            <v>60</v>
          </cell>
          <cell r="N855" t="str">
            <v>m</v>
          </cell>
          <cell r="P855" t="str">
            <v>Siteworks, walls</v>
          </cell>
          <cell r="Q855">
            <v>60</v>
          </cell>
          <cell r="R855" t="str">
            <v>m</v>
          </cell>
        </row>
        <row r="856">
          <cell r="C856" t="str">
            <v>Siteworks_seats</v>
          </cell>
          <cell r="K856">
            <v>59</v>
          </cell>
          <cell r="N856" t="str">
            <v>Nr</v>
          </cell>
          <cell r="P856" t="str">
            <v>Siteworks, seats</v>
          </cell>
          <cell r="Q856">
            <v>59</v>
          </cell>
          <cell r="R856" t="str">
            <v>Nr</v>
          </cell>
        </row>
        <row r="857">
          <cell r="C857" t="str">
            <v>Siteworks_cycle_stands</v>
          </cell>
          <cell r="K857">
            <v>11</v>
          </cell>
          <cell r="N857" t="str">
            <v>Nr</v>
          </cell>
          <cell r="P857" t="str">
            <v>Siteworks, cycle stands</v>
          </cell>
          <cell r="Q857">
            <v>11</v>
          </cell>
          <cell r="R857" t="str">
            <v>Nr</v>
          </cell>
        </row>
        <row r="858">
          <cell r="C858" t="str">
            <v>Siteworks_play_spring_animals</v>
          </cell>
          <cell r="K858">
            <v>3</v>
          </cell>
          <cell r="N858" t="str">
            <v>Nr</v>
          </cell>
          <cell r="P858" t="str">
            <v>Play equipment, spring animals</v>
          </cell>
          <cell r="Q858">
            <v>3</v>
          </cell>
          <cell r="R858" t="str">
            <v>Nr</v>
          </cell>
        </row>
        <row r="859">
          <cell r="C859" t="str">
            <v>Siteworks_play_climbing_frames</v>
          </cell>
          <cell r="K859">
            <v>3</v>
          </cell>
          <cell r="N859" t="str">
            <v>Nr</v>
          </cell>
          <cell r="P859" t="str">
            <v>Play equipment, climbing frames</v>
          </cell>
          <cell r="Q859">
            <v>3</v>
          </cell>
          <cell r="R859" t="str">
            <v>Nr</v>
          </cell>
        </row>
        <row r="860">
          <cell r="C860" t="str">
            <v>Siteworks_play_shelter</v>
          </cell>
          <cell r="K860">
            <v>3</v>
          </cell>
          <cell r="N860" t="str">
            <v>m²</v>
          </cell>
          <cell r="P860" t="str">
            <v>Play equipment, shelter</v>
          </cell>
          <cell r="Q860">
            <v>44</v>
          </cell>
          <cell r="R860" t="str">
            <v>m²</v>
          </cell>
        </row>
        <row r="862">
          <cell r="C862" t="str">
            <v>DRAINAGE (6B)</v>
          </cell>
        </row>
        <row r="863">
          <cell r="C863" t="str">
            <v>Drainage_m/sitearea</v>
          </cell>
          <cell r="K863">
            <v>6.6666666666666666E-2</v>
          </cell>
          <cell r="N863" t="str">
            <v>m/m²</v>
          </cell>
          <cell r="P863" t="str">
            <v>Drainage: Drain, metres/site</v>
          </cell>
          <cell r="Q863">
            <v>6.6666666666666666E-2</v>
          </cell>
          <cell r="R863" t="str">
            <v>m/m²</v>
          </cell>
        </row>
        <row r="864">
          <cell r="C864" t="str">
            <v>Drainage_pipe_100</v>
          </cell>
          <cell r="K864">
            <v>158</v>
          </cell>
          <cell r="N864" t="str">
            <v>m</v>
          </cell>
          <cell r="P864" t="str">
            <v>Drainage pipe; 100 dia</v>
          </cell>
          <cell r="Q864">
            <v>158</v>
          </cell>
          <cell r="R864" t="str">
            <v>m</v>
          </cell>
        </row>
        <row r="865">
          <cell r="C865" t="str">
            <v>Drainage_pipe_150</v>
          </cell>
          <cell r="K865">
            <v>252</v>
          </cell>
          <cell r="N865" t="str">
            <v>m</v>
          </cell>
          <cell r="P865" t="str">
            <v>Drainage pipe; 150 dia</v>
          </cell>
          <cell r="Q865">
            <v>252</v>
          </cell>
          <cell r="R865" t="str">
            <v>m</v>
          </cell>
        </row>
        <row r="866">
          <cell r="C866" t="str">
            <v>Drainage_pipe_225</v>
          </cell>
          <cell r="K866">
            <v>42</v>
          </cell>
          <cell r="N866" t="str">
            <v>m</v>
          </cell>
          <cell r="P866" t="str">
            <v>Drainage pipe; 225 dia</v>
          </cell>
          <cell r="Q866">
            <v>42</v>
          </cell>
          <cell r="R866" t="str">
            <v>m</v>
          </cell>
        </row>
        <row r="867">
          <cell r="C867" t="str">
            <v>Drainage_Manhole/sitearea</v>
          </cell>
          <cell r="K867">
            <v>5.0000000000000001E-3</v>
          </cell>
          <cell r="N867" t="str">
            <v>Nr/m²</v>
          </cell>
          <cell r="P867" t="str">
            <v>Drainage: Manholes per site area</v>
          </cell>
          <cell r="Q867">
            <v>5.0000000000000001E-3</v>
          </cell>
          <cell r="R867" t="str">
            <v>Nr/m²</v>
          </cell>
        </row>
        <row r="868">
          <cell r="C868" t="str">
            <v>Drainage_Manhole_shallow</v>
          </cell>
          <cell r="K868">
            <v>0</v>
          </cell>
          <cell r="N868" t="str">
            <v>Nr</v>
          </cell>
          <cell r="P868" t="str">
            <v>Drainage: Manhole, shallow</v>
          </cell>
          <cell r="Q868">
            <v>0</v>
          </cell>
          <cell r="R868" t="str">
            <v>Nr</v>
          </cell>
        </row>
        <row r="869">
          <cell r="C869" t="str">
            <v>Drainage_Manhole_intermediate</v>
          </cell>
          <cell r="K869">
            <v>5</v>
          </cell>
          <cell r="N869" t="str">
            <v>Nr</v>
          </cell>
          <cell r="P869" t="str">
            <v>Drainage: Manhole, intermediate</v>
          </cell>
          <cell r="Q869">
            <v>5</v>
          </cell>
          <cell r="R869" t="str">
            <v>Nr</v>
          </cell>
        </row>
        <row r="870">
          <cell r="C870" t="str">
            <v>Drainage_Manhole_deep</v>
          </cell>
          <cell r="K870">
            <v>0</v>
          </cell>
          <cell r="N870" t="str">
            <v>Nr</v>
          </cell>
          <cell r="P870" t="str">
            <v>Drainage: Manhole, deep</v>
          </cell>
          <cell r="Q870">
            <v>0</v>
          </cell>
          <cell r="R870" t="str">
            <v>Nr</v>
          </cell>
        </row>
        <row r="871">
          <cell r="C871" t="str">
            <v>Drainage_Inspection_chambers</v>
          </cell>
          <cell r="K871">
            <v>6</v>
          </cell>
          <cell r="N871" t="str">
            <v>Nr</v>
          </cell>
          <cell r="P871" t="str">
            <v>Drainage: Inspection chambers</v>
          </cell>
          <cell r="Q871">
            <v>6</v>
          </cell>
          <cell r="R871" t="str">
            <v>Nr</v>
          </cell>
        </row>
        <row r="872">
          <cell r="C872" t="str">
            <v>Drainage_soakaways</v>
          </cell>
          <cell r="K872">
            <v>3</v>
          </cell>
          <cell r="N872" t="str">
            <v>Nr</v>
          </cell>
          <cell r="P872" t="str">
            <v>Drainage: soakaways</v>
          </cell>
          <cell r="Q872">
            <v>3</v>
          </cell>
          <cell r="R872" t="str">
            <v>Nr</v>
          </cell>
        </row>
        <row r="873">
          <cell r="C873" t="str">
            <v>Drainage_Channel</v>
          </cell>
          <cell r="K873">
            <v>0</v>
          </cell>
          <cell r="N873" t="str">
            <v>m</v>
          </cell>
          <cell r="P873" t="str">
            <v>Drainage: Channel</v>
          </cell>
          <cell r="Q873">
            <v>0</v>
          </cell>
          <cell r="R873" t="str">
            <v>m</v>
          </cell>
        </row>
        <row r="875">
          <cell r="C875" t="str">
            <v>EXTERNAL SERVICES (6C)</v>
          </cell>
        </row>
        <row r="876">
          <cell r="C876" t="str">
            <v>Services_Trench_water</v>
          </cell>
          <cell r="K876">
            <v>0</v>
          </cell>
          <cell r="N876" t="str">
            <v>m</v>
          </cell>
          <cell r="P876" t="str">
            <v>Services: Trench water</v>
          </cell>
          <cell r="Q876">
            <v>0</v>
          </cell>
          <cell r="R876" t="str">
            <v>m</v>
          </cell>
        </row>
        <row r="877">
          <cell r="C877" t="str">
            <v>Services_Trench_electrical</v>
          </cell>
          <cell r="K877">
            <v>0</v>
          </cell>
          <cell r="N877" t="str">
            <v>m</v>
          </cell>
          <cell r="P877" t="str">
            <v>Services: Trench electrical</v>
          </cell>
          <cell r="Q877">
            <v>0</v>
          </cell>
          <cell r="R877" t="str">
            <v>m</v>
          </cell>
        </row>
        <row r="878">
          <cell r="C878" t="str">
            <v>Services_Cable_pits</v>
          </cell>
          <cell r="K878">
            <v>0</v>
          </cell>
          <cell r="N878" t="str">
            <v>Nr</v>
          </cell>
          <cell r="P878" t="str">
            <v>Services: Cable pits</v>
          </cell>
          <cell r="Q878">
            <v>0</v>
          </cell>
          <cell r="R878" t="str">
            <v>Nr</v>
          </cell>
        </row>
        <row r="880">
          <cell r="C880" t="str">
            <v>MINOR STRUCTURES (6D)</v>
          </cell>
        </row>
        <row r="881">
          <cell r="C881" t="str">
            <v>Minor_Bin_store</v>
          </cell>
          <cell r="K881">
            <v>0</v>
          </cell>
          <cell r="N881" t="str">
            <v>m²</v>
          </cell>
          <cell r="P881" t="str">
            <v>Minor struc.: bin store</v>
          </cell>
          <cell r="Q881">
            <v>0</v>
          </cell>
          <cell r="R881" t="str">
            <v>m²</v>
          </cell>
        </row>
        <row r="882">
          <cell r="C882" t="str">
            <v>Minor_generator_enclosure</v>
          </cell>
          <cell r="K882">
            <v>0</v>
          </cell>
          <cell r="N882" t="str">
            <v>Nr</v>
          </cell>
          <cell r="P882" t="str">
            <v>Minor struc.: generator enclosure</v>
          </cell>
          <cell r="Q882">
            <v>0</v>
          </cell>
          <cell r="R882" t="str">
            <v>Nr</v>
          </cell>
        </row>
        <row r="883">
          <cell r="C883" t="str">
            <v>Minor_substations</v>
          </cell>
          <cell r="K883">
            <v>0</v>
          </cell>
          <cell r="N883" t="str">
            <v>Nr</v>
          </cell>
          <cell r="P883" t="str">
            <v>Minor struc.:  sub station enclosure</v>
          </cell>
          <cell r="Q883">
            <v>0</v>
          </cell>
          <cell r="R883" t="str">
            <v>Nr</v>
          </cell>
        </row>
        <row r="884">
          <cell r="C884" t="str">
            <v>Minor_cycle_stores</v>
          </cell>
          <cell r="K884">
            <v>0</v>
          </cell>
          <cell r="N884" t="str">
            <v>Nr</v>
          </cell>
          <cell r="P884" t="str">
            <v>Minor struc.:  cycle stores</v>
          </cell>
          <cell r="Q884">
            <v>0</v>
          </cell>
          <cell r="R884" t="str">
            <v>Nr</v>
          </cell>
        </row>
        <row r="886">
          <cell r="C886" t="str">
            <v>OTHER CAPITAL COSTS</v>
          </cell>
          <cell r="N886" t="str">
            <v>Nr</v>
          </cell>
          <cell r="Q886">
            <v>0</v>
          </cell>
          <cell r="R886" t="str">
            <v>Nr</v>
          </cell>
        </row>
        <row r="887">
          <cell r="C887" t="str">
            <v>IT_PCs</v>
          </cell>
          <cell r="K887">
            <v>0</v>
          </cell>
          <cell r="N887" t="str">
            <v>Nr</v>
          </cell>
          <cell r="P887" t="str">
            <v>IT: PCs</v>
          </cell>
          <cell r="Q887">
            <v>0</v>
          </cell>
          <cell r="R887" t="str">
            <v>Nr</v>
          </cell>
        </row>
        <row r="888">
          <cell r="C888" t="str">
            <v>IT_PCs_Super_users</v>
          </cell>
          <cell r="K888">
            <v>0</v>
          </cell>
          <cell r="N888" t="str">
            <v>Nr</v>
          </cell>
          <cell r="P888" t="str">
            <v>IT: PCs Super users</v>
          </cell>
          <cell r="Q888">
            <v>0</v>
          </cell>
          <cell r="R888" t="str">
            <v>Nr</v>
          </cell>
        </row>
        <row r="889">
          <cell r="C889" t="str">
            <v>IT_Other_PCs_(training_etc)</v>
          </cell>
          <cell r="K889">
            <v>0</v>
          </cell>
          <cell r="N889" t="str">
            <v>Nr</v>
          </cell>
          <cell r="P889" t="str">
            <v>IT: Other PCs (training etc)</v>
          </cell>
          <cell r="Q889">
            <v>0</v>
          </cell>
          <cell r="R889" t="str">
            <v>Nr</v>
          </cell>
        </row>
        <row r="890">
          <cell r="C890" t="str">
            <v>IT_Network_switch_User_connections</v>
          </cell>
          <cell r="K890">
            <v>0</v>
          </cell>
          <cell r="N890" t="str">
            <v>Nr</v>
          </cell>
          <cell r="P890" t="str">
            <v>IT: Network switch User connections</v>
          </cell>
          <cell r="Q890">
            <v>0</v>
          </cell>
          <cell r="R890" t="str">
            <v>Nr</v>
          </cell>
        </row>
        <row r="891">
          <cell r="C891" t="str">
            <v>IT_Network_switch_Core_connections</v>
          </cell>
          <cell r="K891">
            <v>0</v>
          </cell>
          <cell r="N891" t="str">
            <v>Nr</v>
          </cell>
          <cell r="P891" t="str">
            <v>IT: Network switch Core connections</v>
          </cell>
          <cell r="Q891">
            <v>0</v>
          </cell>
          <cell r="R891" t="str">
            <v>Nr</v>
          </cell>
        </row>
        <row r="892">
          <cell r="C892" t="str">
            <v>Process_equipment_storage</v>
          </cell>
          <cell r="K892">
            <v>0</v>
          </cell>
          <cell r="N892" t="str">
            <v>Nr</v>
          </cell>
          <cell r="P892" t="str">
            <v>Process equipment: storage</v>
          </cell>
          <cell r="Q892">
            <v>0</v>
          </cell>
          <cell r="R892" t="str">
            <v>Nr</v>
          </cell>
        </row>
        <row r="894">
          <cell r="C894" t="str">
            <v>SPECIFICATION OPTIONS</v>
          </cell>
          <cell r="P894" t="str">
            <v>SPECIFICATION OPTIONS</v>
          </cell>
          <cell r="Q894">
            <v>0</v>
          </cell>
          <cell r="R894">
            <v>0</v>
          </cell>
        </row>
        <row r="895">
          <cell r="C895" t="str">
            <v>Option_Fit_out_CAT_A</v>
          </cell>
          <cell r="K895" t="str">
            <v>I</v>
          </cell>
          <cell r="N895" t="str">
            <v>I or X</v>
          </cell>
          <cell r="P895" t="str">
            <v>Optional Cat "A" fit out</v>
          </cell>
          <cell r="Q895" t="str">
            <v>I</v>
          </cell>
          <cell r="R895" t="str">
            <v>I or X</v>
          </cell>
        </row>
        <row r="896">
          <cell r="C896" t="str">
            <v>Option_Infrastructure</v>
          </cell>
          <cell r="K896" t="str">
            <v>I</v>
          </cell>
          <cell r="N896" t="str">
            <v>I or X</v>
          </cell>
          <cell r="P896" t="str">
            <v>Optional Infrastructure costs</v>
          </cell>
          <cell r="Q896" t="str">
            <v>I</v>
          </cell>
          <cell r="R896" t="str">
            <v>I or X</v>
          </cell>
        </row>
        <row r="897">
          <cell r="C897" t="str">
            <v>Option_Fit_out_Enhanced</v>
          </cell>
          <cell r="K897" t="str">
            <v>i</v>
          </cell>
          <cell r="N897" t="str">
            <v>I or X</v>
          </cell>
          <cell r="P897" t="str">
            <v>Optional Enhanced fit out</v>
          </cell>
          <cell r="Q897" t="str">
            <v>i</v>
          </cell>
          <cell r="R897" t="str">
            <v>I or X</v>
          </cell>
        </row>
        <row r="898">
          <cell r="C898" t="str">
            <v>Option_Furniture</v>
          </cell>
          <cell r="K898" t="str">
            <v>X</v>
          </cell>
          <cell r="N898" t="str">
            <v>I or X</v>
          </cell>
          <cell r="P898" t="str">
            <v>Optional furniture</v>
          </cell>
          <cell r="Q898" t="str">
            <v>X</v>
          </cell>
          <cell r="R898" t="str">
            <v>I or X</v>
          </cell>
        </row>
        <row r="899">
          <cell r="C899" t="str">
            <v>Option_IT</v>
          </cell>
          <cell r="K899" t="str">
            <v>X</v>
          </cell>
          <cell r="N899" t="str">
            <v>I or X</v>
          </cell>
          <cell r="P899" t="str">
            <v>Optional IT</v>
          </cell>
          <cell r="Q899" t="str">
            <v>X</v>
          </cell>
          <cell r="R899" t="str">
            <v>I or X</v>
          </cell>
        </row>
        <row r="900">
          <cell r="C900" t="str">
            <v>Option_Professional_Fees</v>
          </cell>
          <cell r="K900" t="str">
            <v>X</v>
          </cell>
          <cell r="N900" t="str">
            <v>I or X</v>
          </cell>
          <cell r="P900" t="str">
            <v>Optional professional fees</v>
          </cell>
          <cell r="Q900" t="str">
            <v>x</v>
          </cell>
          <cell r="R900" t="str">
            <v>I or X</v>
          </cell>
          <cell r="U900" t="str">
            <v>x</v>
          </cell>
        </row>
        <row r="902">
          <cell r="C902" t="str">
            <v>MAINTENANCE</v>
          </cell>
          <cell r="P902" t="str">
            <v>MAINTENANCE</v>
          </cell>
          <cell r="Q902">
            <v>0</v>
          </cell>
          <cell r="R902">
            <v>0</v>
          </cell>
        </row>
        <row r="903">
          <cell r="C903" t="str">
            <v>Bulb_life</v>
          </cell>
          <cell r="K903">
            <v>5000</v>
          </cell>
          <cell r="N903" t="str">
            <v>Hours</v>
          </cell>
          <cell r="P903" t="str">
            <v>Bulb life</v>
          </cell>
          <cell r="Q903">
            <v>5000</v>
          </cell>
          <cell r="R903" t="str">
            <v>Hours</v>
          </cell>
        </row>
        <row r="904">
          <cell r="C904" t="str">
            <v>Florescent_tubes</v>
          </cell>
          <cell r="K904">
            <v>0</v>
          </cell>
          <cell r="N904" t="str">
            <v>Nr</v>
          </cell>
          <cell r="P904" t="str">
            <v>Florescent tubes</v>
          </cell>
          <cell r="Q904">
            <v>0</v>
          </cell>
          <cell r="R904" t="str">
            <v>Nr</v>
          </cell>
        </row>
        <row r="905">
          <cell r="C905" t="str">
            <v>Recessed_spotlights</v>
          </cell>
          <cell r="K905">
            <v>0</v>
          </cell>
          <cell r="N905" t="str">
            <v>Nr</v>
          </cell>
          <cell r="P905" t="str">
            <v>Recessed spotlights</v>
          </cell>
          <cell r="Q905">
            <v>0</v>
          </cell>
          <cell r="R905" t="str">
            <v>Nr</v>
          </cell>
        </row>
        <row r="906">
          <cell r="C906" t="str">
            <v>High_Bay_lights</v>
          </cell>
          <cell r="K906">
            <v>0</v>
          </cell>
          <cell r="N906" t="str">
            <v>Nr</v>
          </cell>
          <cell r="P906" t="str">
            <v>High Bay lights</v>
          </cell>
          <cell r="Q906">
            <v>0</v>
          </cell>
          <cell r="R906" t="str">
            <v>Nr</v>
          </cell>
        </row>
        <row r="907">
          <cell r="C907" t="str">
            <v>Lighting_bulb_hours_per_year</v>
          </cell>
          <cell r="K907">
            <v>763360</v>
          </cell>
          <cell r="N907" t="str">
            <v>Nr</v>
          </cell>
          <cell r="P907" t="str">
            <v>Lighting; total Bulb hours per year</v>
          </cell>
          <cell r="Q907">
            <v>763360</v>
          </cell>
          <cell r="R907" t="str">
            <v>Nr</v>
          </cell>
        </row>
        <row r="908">
          <cell r="C908" t="str">
            <v>Lighting_bulb_replacements_per_year</v>
          </cell>
          <cell r="K908">
            <v>152.672</v>
          </cell>
          <cell r="N908" t="str">
            <v>Nr</v>
          </cell>
          <cell r="P908" t="str">
            <v>Bulb replacements per year</v>
          </cell>
          <cell r="Q908">
            <v>152.672</v>
          </cell>
          <cell r="R908" t="str">
            <v>Nr</v>
          </cell>
        </row>
        <row r="909">
          <cell r="C909" t="str">
            <v>Grass_cuts/year</v>
          </cell>
          <cell r="K909">
            <v>6</v>
          </cell>
          <cell r="N909" t="str">
            <v>Nr</v>
          </cell>
          <cell r="P909" t="str">
            <v>Grass cuts/year</v>
          </cell>
          <cell r="Q909">
            <v>6</v>
          </cell>
          <cell r="R909" t="str">
            <v>Nr</v>
          </cell>
        </row>
        <row r="911">
          <cell r="C911" t="str">
            <v>OCCUPANCY</v>
          </cell>
          <cell r="P911" t="str">
            <v>OCCUPANCY</v>
          </cell>
          <cell r="Q911">
            <v>0</v>
          </cell>
          <cell r="R911">
            <v>0</v>
          </cell>
        </row>
        <row r="912">
          <cell r="C912" t="str">
            <v>Staff_Hours_per_day</v>
          </cell>
          <cell r="K912">
            <v>8</v>
          </cell>
          <cell r="N912" t="str">
            <v>Hours</v>
          </cell>
          <cell r="P912" t="str">
            <v>Staff: Hours / day operation</v>
          </cell>
          <cell r="Q912">
            <v>8</v>
          </cell>
          <cell r="R912" t="str">
            <v>Hours</v>
          </cell>
        </row>
        <row r="913">
          <cell r="C913" t="str">
            <v>Staff_Days_per_week</v>
          </cell>
          <cell r="K913">
            <v>5</v>
          </cell>
          <cell r="N913" t="str">
            <v>Days</v>
          </cell>
          <cell r="P913" t="str">
            <v>Staff: Days / week operation</v>
          </cell>
          <cell r="Q913">
            <v>5</v>
          </cell>
          <cell r="R913" t="str">
            <v>Days</v>
          </cell>
        </row>
        <row r="914">
          <cell r="C914" t="str">
            <v>Staff_Weeks_per_year</v>
          </cell>
          <cell r="K914">
            <v>52</v>
          </cell>
          <cell r="N914" t="str">
            <v>Weeks</v>
          </cell>
          <cell r="P914" t="str">
            <v>Staff: Weeks / year operation</v>
          </cell>
          <cell r="Q914">
            <v>52</v>
          </cell>
          <cell r="R914" t="str">
            <v>Weeks</v>
          </cell>
        </row>
        <row r="915">
          <cell r="C915" t="str">
            <v>Staff_Hours_per_year</v>
          </cell>
          <cell r="K915">
            <v>2080</v>
          </cell>
          <cell r="N915" t="str">
            <v>Hours</v>
          </cell>
          <cell r="P915" t="str">
            <v>Staff: Hours / year operation</v>
          </cell>
          <cell r="Q915">
            <v>2080</v>
          </cell>
          <cell r="R915" t="str">
            <v>Hours</v>
          </cell>
        </row>
        <row r="916">
          <cell r="C916" t="str">
            <v>Process_Hours_per_day</v>
          </cell>
          <cell r="K916">
            <v>24</v>
          </cell>
          <cell r="N916" t="str">
            <v>Hours</v>
          </cell>
          <cell r="P916" t="str">
            <v>Process: Hours / day operation</v>
          </cell>
          <cell r="Q916">
            <v>24</v>
          </cell>
          <cell r="R916" t="str">
            <v>Hours</v>
          </cell>
        </row>
        <row r="917">
          <cell r="C917" t="str">
            <v>Process_Days_per_week</v>
          </cell>
          <cell r="K917">
            <v>7</v>
          </cell>
          <cell r="N917" t="str">
            <v>Days</v>
          </cell>
          <cell r="P917" t="str">
            <v>Process: Days / week operation</v>
          </cell>
          <cell r="Q917">
            <v>7</v>
          </cell>
          <cell r="R917" t="str">
            <v>Days</v>
          </cell>
        </row>
        <row r="918">
          <cell r="C918" t="str">
            <v>Process_Weeks_per_year</v>
          </cell>
          <cell r="K918">
            <v>52</v>
          </cell>
          <cell r="N918" t="str">
            <v>Weeks</v>
          </cell>
          <cell r="P918" t="str">
            <v>Process: Weeks / year operation</v>
          </cell>
          <cell r="Q918">
            <v>52</v>
          </cell>
          <cell r="R918" t="str">
            <v>Weeks</v>
          </cell>
        </row>
        <row r="919">
          <cell r="C919" t="str">
            <v>Process_Hours_per_year</v>
          </cell>
          <cell r="K919">
            <v>8736</v>
          </cell>
          <cell r="N919" t="str">
            <v>Hours</v>
          </cell>
          <cell r="P919" t="str">
            <v>Process: Hours / year operation</v>
          </cell>
          <cell r="Q919">
            <v>8736</v>
          </cell>
          <cell r="R919" t="str">
            <v>Hours</v>
          </cell>
          <cell r="U919">
            <v>8736</v>
          </cell>
        </row>
        <row r="920">
          <cell r="C920" t="str">
            <v>Lamps_per_fitting</v>
          </cell>
          <cell r="K920">
            <v>4</v>
          </cell>
          <cell r="N920" t="str">
            <v>Nr</v>
          </cell>
          <cell r="P920" t="str">
            <v>Lamps/ fitting</v>
          </cell>
          <cell r="Q920">
            <v>4</v>
          </cell>
          <cell r="R920" t="str">
            <v>Nr</v>
          </cell>
        </row>
        <row r="921">
          <cell r="C921" t="str">
            <v>Wattage_per_lamp</v>
          </cell>
          <cell r="K921">
            <v>18</v>
          </cell>
          <cell r="N921" t="str">
            <v>W</v>
          </cell>
          <cell r="P921" t="str">
            <v>Wattage / light fitting</v>
          </cell>
          <cell r="Q921">
            <v>18</v>
          </cell>
          <cell r="R921" t="str">
            <v>W</v>
          </cell>
        </row>
        <row r="922">
          <cell r="C922" t="str">
            <v>Lighting_bulb_replacements_per_year</v>
          </cell>
          <cell r="K922">
            <v>0</v>
          </cell>
          <cell r="N922" t="str">
            <v>W</v>
          </cell>
          <cell r="P922" t="str">
            <v>xx</v>
          </cell>
          <cell r="Q922">
            <v>0</v>
          </cell>
          <cell r="R922" t="str">
            <v>W</v>
          </cell>
        </row>
        <row r="923">
          <cell r="C923" t="str">
            <v>PIR_lighting_%_of_theoretical_hours_(0-100%)</v>
          </cell>
          <cell r="K923">
            <v>100</v>
          </cell>
          <cell r="N923" t="str">
            <v>%</v>
          </cell>
          <cell r="P923" t="str">
            <v>PIR lighting % of theoretical hours (0-100%)</v>
          </cell>
          <cell r="Q923">
            <v>100</v>
          </cell>
          <cell r="R923" t="str">
            <v>%</v>
          </cell>
        </row>
        <row r="924">
          <cell r="C924" t="str">
            <v>Wattage_m2_small_power</v>
          </cell>
          <cell r="K924">
            <v>10</v>
          </cell>
          <cell r="N924" t="str">
            <v>kW/m²</v>
          </cell>
          <cell r="P924" t="str">
            <v>Wattage hour /m2: small power</v>
          </cell>
          <cell r="Q924">
            <v>10</v>
          </cell>
          <cell r="R924" t="str">
            <v>kW/m²</v>
          </cell>
        </row>
        <row r="925">
          <cell r="C925" t="str">
            <v>Wattage_Nr_light_fitting</v>
          </cell>
          <cell r="K925">
            <v>20</v>
          </cell>
          <cell r="N925" t="str">
            <v>kW/m²</v>
          </cell>
          <cell r="P925" t="str">
            <v>Wattage / light fitting</v>
          </cell>
          <cell r="Q925">
            <v>20</v>
          </cell>
          <cell r="R925" t="str">
            <v>kW/m²</v>
          </cell>
        </row>
        <row r="926">
          <cell r="C926" t="str">
            <v>Wattage_m2_cooling</v>
          </cell>
          <cell r="K926">
            <v>3</v>
          </cell>
          <cell r="N926" t="str">
            <v>kW/m²</v>
          </cell>
          <cell r="P926" t="str">
            <v>Wattage hour /m2 cooling</v>
          </cell>
          <cell r="Q926">
            <v>3</v>
          </cell>
          <cell r="R926" t="str">
            <v>kW/m²</v>
          </cell>
        </row>
        <row r="927">
          <cell r="C927" t="str">
            <v>Wattage_Nr_lifts</v>
          </cell>
          <cell r="K927">
            <v>0</v>
          </cell>
          <cell r="N927" t="str">
            <v>kW/m²</v>
          </cell>
          <cell r="P927" t="str">
            <v>Wattage hour: lifts</v>
          </cell>
          <cell r="Q927">
            <v>0</v>
          </cell>
          <cell r="R927" t="str">
            <v>kW/m²</v>
          </cell>
        </row>
        <row r="928">
          <cell r="C928" t="str">
            <v>Wattage_m2_catering</v>
          </cell>
          <cell r="K928">
            <v>10</v>
          </cell>
          <cell r="N928" t="str">
            <v>kW/m²</v>
          </cell>
          <cell r="P928" t="str">
            <v>Wattage hour: catering</v>
          </cell>
          <cell r="Q928">
            <v>10</v>
          </cell>
          <cell r="R928" t="str">
            <v>kW/m²</v>
          </cell>
        </row>
        <row r="929">
          <cell r="C929" t="str">
            <v>Wattage_m2_total</v>
          </cell>
          <cell r="K929">
            <v>43</v>
          </cell>
          <cell r="N929" t="str">
            <v>W</v>
          </cell>
          <cell r="P929" t="str">
            <v>Wattage hour /m2</v>
          </cell>
          <cell r="Q929">
            <v>43</v>
          </cell>
          <cell r="R929" t="str">
            <v>W</v>
          </cell>
        </row>
        <row r="930">
          <cell r="C930" t="str">
            <v>kWattage_pa_small_power</v>
          </cell>
          <cell r="K930">
            <v>18390</v>
          </cell>
          <cell r="N930" t="str">
            <v>kW</v>
          </cell>
          <cell r="P930" t="str">
            <v>kWattage /  year : Small power</v>
          </cell>
          <cell r="Q930">
            <v>18390</v>
          </cell>
          <cell r="R930" t="str">
            <v>kW</v>
          </cell>
        </row>
        <row r="931">
          <cell r="C931" t="str">
            <v>kWattage_pa_lighting</v>
          </cell>
          <cell r="K931">
            <v>36780</v>
          </cell>
          <cell r="N931" t="str">
            <v>kW</v>
          </cell>
          <cell r="P931" t="str">
            <v>kWattage /  year : lighting</v>
          </cell>
          <cell r="Q931">
            <v>36780</v>
          </cell>
          <cell r="R931" t="str">
            <v>kW</v>
          </cell>
        </row>
        <row r="932">
          <cell r="C932" t="str">
            <v>kWattage_pa_cooling</v>
          </cell>
          <cell r="K932">
            <v>5517</v>
          </cell>
          <cell r="N932" t="str">
            <v>kW</v>
          </cell>
          <cell r="P932" t="str">
            <v>kWattage /  year : cooling</v>
          </cell>
          <cell r="Q932">
            <v>5517</v>
          </cell>
          <cell r="R932" t="str">
            <v>kW</v>
          </cell>
        </row>
        <row r="933">
          <cell r="C933" t="str">
            <v>kWattage_pa_lifts</v>
          </cell>
          <cell r="K933">
            <v>0</v>
          </cell>
          <cell r="N933" t="str">
            <v>kW</v>
          </cell>
          <cell r="P933" t="str">
            <v>kWattage /  year : lifts</v>
          </cell>
          <cell r="Q933">
            <v>0</v>
          </cell>
          <cell r="R933" t="str">
            <v>kW</v>
          </cell>
        </row>
        <row r="934">
          <cell r="C934" t="str">
            <v>kWattage_pa_catering</v>
          </cell>
          <cell r="K934">
            <v>18390</v>
          </cell>
          <cell r="N934" t="str">
            <v>kW</v>
          </cell>
          <cell r="P934" t="str">
            <v>kWattage /  year : catering</v>
          </cell>
          <cell r="Q934">
            <v>18390</v>
          </cell>
          <cell r="R934" t="str">
            <v>kW</v>
          </cell>
        </row>
        <row r="935">
          <cell r="C935" t="str">
            <v>kWattage_Electricty</v>
          </cell>
          <cell r="K935">
            <v>79077</v>
          </cell>
          <cell r="N935" t="str">
            <v>kW</v>
          </cell>
          <cell r="P935" t="str">
            <v>kWattage /  year : Total for electricity</v>
          </cell>
          <cell r="Q935">
            <v>79077</v>
          </cell>
          <cell r="R935" t="str">
            <v>kW</v>
          </cell>
        </row>
        <row r="937">
          <cell r="C937" t="str">
            <v>SAP Heat Loss</v>
          </cell>
        </row>
        <row r="938">
          <cell r="C938" t="str">
            <v>SAP_chimneys</v>
          </cell>
          <cell r="K938">
            <v>0</v>
          </cell>
          <cell r="N938" t="str">
            <v>Nr</v>
          </cell>
          <cell r="P938" t="str">
            <v>No of Chimneys</v>
          </cell>
          <cell r="Q938">
            <v>0</v>
          </cell>
          <cell r="R938" t="str">
            <v>Nr</v>
          </cell>
        </row>
        <row r="939">
          <cell r="C939" t="str">
            <v>SAP_open_flues</v>
          </cell>
          <cell r="K939">
            <v>0</v>
          </cell>
          <cell r="N939" t="str">
            <v>Nr</v>
          </cell>
          <cell r="P939" t="str">
            <v>Number of open flues</v>
          </cell>
          <cell r="Q939">
            <v>0</v>
          </cell>
          <cell r="R939" t="str">
            <v>Nr</v>
          </cell>
        </row>
        <row r="940">
          <cell r="C940" t="str">
            <v>SAP_fans</v>
          </cell>
          <cell r="K940">
            <v>0</v>
          </cell>
          <cell r="N940" t="str">
            <v>Nr</v>
          </cell>
          <cell r="P940" t="str">
            <v>Number of intermittent fans or passive vents</v>
          </cell>
          <cell r="Q940">
            <v>0</v>
          </cell>
          <cell r="R940" t="str">
            <v>Nr</v>
          </cell>
        </row>
        <row r="941">
          <cell r="C941" t="str">
            <v>SAP_flueless_gas_fires</v>
          </cell>
          <cell r="K941">
            <v>0</v>
          </cell>
          <cell r="N941" t="str">
            <v>Nr</v>
          </cell>
          <cell r="P941" t="str">
            <v>Number of flueless gas fires</v>
          </cell>
          <cell r="Q941">
            <v>0</v>
          </cell>
          <cell r="R941" t="str">
            <v>Nr</v>
          </cell>
        </row>
        <row r="942">
          <cell r="C942" t="str">
            <v>SAP_Structure_construction</v>
          </cell>
          <cell r="K942" t="str">
            <v>Steel or Timber</v>
          </cell>
          <cell r="P942" t="str">
            <v>Structure construction</v>
          </cell>
          <cell r="Q942" t="str">
            <v>Steel or Timber</v>
          </cell>
          <cell r="R942">
            <v>0</v>
          </cell>
        </row>
        <row r="943">
          <cell r="C943" t="str">
            <v>SAP_Structure_floor</v>
          </cell>
          <cell r="K943" t="str">
            <v>Sealed Wood</v>
          </cell>
          <cell r="P943" t="str">
            <v xml:space="preserve">Type of Floor </v>
          </cell>
          <cell r="Q943" t="str">
            <v>Sealed Wood</v>
          </cell>
          <cell r="R943">
            <v>0</v>
          </cell>
        </row>
        <row r="944">
          <cell r="C944" t="str">
            <v>SAP_Draught_lobby</v>
          </cell>
          <cell r="K944" t="str">
            <v>Yes</v>
          </cell>
          <cell r="N944" t="str">
            <v>Nr</v>
          </cell>
          <cell r="P944" t="str">
            <v xml:space="preserve">Draught Lobby </v>
          </cell>
          <cell r="Q944" t="str">
            <v>Yes</v>
          </cell>
          <cell r="R944" t="str">
            <v>Nr</v>
          </cell>
        </row>
        <row r="945">
          <cell r="C945" t="str">
            <v>SAP_Percentage_Draught_stripped</v>
          </cell>
          <cell r="K945">
            <v>100</v>
          </cell>
          <cell r="N945" t="str">
            <v>%</v>
          </cell>
          <cell r="P945" t="str">
            <v xml:space="preserve">% draught stripped </v>
          </cell>
          <cell r="Q945">
            <v>100</v>
          </cell>
          <cell r="R945" t="str">
            <v>%</v>
          </cell>
        </row>
        <row r="946">
          <cell r="C946" t="str">
            <v>SAP_Sheltered_sides</v>
          </cell>
          <cell r="K946">
            <v>0</v>
          </cell>
          <cell r="N946" t="str">
            <v>Nr</v>
          </cell>
          <cell r="P946" t="str">
            <v>Number of sheltered sides</v>
          </cell>
          <cell r="Q946">
            <v>0</v>
          </cell>
          <cell r="R946" t="str">
            <v>Nr</v>
          </cell>
        </row>
        <row r="947">
          <cell r="C947" t="str">
            <v>SAP_Efficiency_Heating</v>
          </cell>
          <cell r="K947">
            <v>95</v>
          </cell>
          <cell r="N947" t="str">
            <v>%</v>
          </cell>
          <cell r="P947" t="str">
            <v>Efficiency of heating system, %</v>
          </cell>
          <cell r="Q947">
            <v>95</v>
          </cell>
          <cell r="R947" t="str">
            <v>%</v>
          </cell>
        </row>
        <row r="948">
          <cell r="C948" t="str">
            <v>SAP_Efficiency_Heating_secondary</v>
          </cell>
          <cell r="K948">
            <v>90</v>
          </cell>
          <cell r="N948" t="str">
            <v>%</v>
          </cell>
          <cell r="P948" t="str">
            <v>Efficiency of Secondary Heating System</v>
          </cell>
          <cell r="Q948">
            <v>90</v>
          </cell>
          <cell r="R948" t="str">
            <v>%</v>
          </cell>
        </row>
        <row r="949">
          <cell r="C949" t="str">
            <v>SAP_Efficiency_Heating_water</v>
          </cell>
          <cell r="K949">
            <v>90</v>
          </cell>
          <cell r="N949" t="str">
            <v>%</v>
          </cell>
          <cell r="P949" t="str">
            <v>Efficiency of Water Heating System</v>
          </cell>
          <cell r="Q949">
            <v>90</v>
          </cell>
          <cell r="R949" t="str">
            <v>%</v>
          </cell>
        </row>
        <row r="950">
          <cell r="C950" t="str">
            <v>SAP_Fuel_Water_heating</v>
          </cell>
          <cell r="K950" t="str">
            <v>Electricity</v>
          </cell>
          <cell r="P950" t="str">
            <v xml:space="preserve">Water heating Fuel </v>
          </cell>
          <cell r="Q950" t="str">
            <v>Electricity</v>
          </cell>
          <cell r="R950">
            <v>0</v>
          </cell>
        </row>
        <row r="951">
          <cell r="C951" t="str">
            <v>SAP_Fuel_Space_heating</v>
          </cell>
          <cell r="K951" t="str">
            <v>Electricity</v>
          </cell>
          <cell r="P951" t="str">
            <v>Space Heating Fuel</v>
          </cell>
          <cell r="Q951" t="str">
            <v>Electricity</v>
          </cell>
          <cell r="R951">
            <v>0</v>
          </cell>
        </row>
        <row r="952">
          <cell r="C952" t="str">
            <v>SAP_Storage_tank_YN</v>
          </cell>
          <cell r="K952" t="str">
            <v>No</v>
          </cell>
          <cell r="N952" t="str">
            <v>Nr</v>
          </cell>
          <cell r="P952" t="str">
            <v xml:space="preserve">Hot Water Storage Cylinder </v>
          </cell>
          <cell r="Q952" t="str">
            <v>No</v>
          </cell>
          <cell r="R952" t="str">
            <v>Nr</v>
          </cell>
        </row>
        <row r="953">
          <cell r="C953" t="str">
            <v>SAP_Percentage_Low_energy_lights</v>
          </cell>
          <cell r="K953">
            <v>50</v>
          </cell>
          <cell r="N953" t="str">
            <v>%</v>
          </cell>
          <cell r="P953" t="str">
            <v>% of Low energy lights</v>
          </cell>
          <cell r="Q953">
            <v>50</v>
          </cell>
          <cell r="R953" t="str">
            <v>%</v>
          </cell>
        </row>
        <row r="956">
          <cell r="C956" t="str">
            <v>Degree_days_Region</v>
          </cell>
          <cell r="K956" t="str">
            <v>Midlands</v>
          </cell>
          <cell r="P956" t="str">
            <v>Degree days Region</v>
          </cell>
          <cell r="Q956" t="str">
            <v>Midlands</v>
          </cell>
          <cell r="R956">
            <v>0</v>
          </cell>
        </row>
        <row r="957">
          <cell r="C957" t="str">
            <v>"U"_value_External_Wall_description</v>
          </cell>
          <cell r="K957" t="str">
            <v>Walls 1979 -2001</v>
          </cell>
          <cell r="N957" t="str">
            <v>W/m² K</v>
          </cell>
          <cell r="P957" t="str">
            <v>External wall: "U" value</v>
          </cell>
          <cell r="Q957" t="str">
            <v>Walls 1979 -2001</v>
          </cell>
          <cell r="R957" t="str">
            <v>W/m² K</v>
          </cell>
        </row>
        <row r="958">
          <cell r="C958" t="str">
            <v>"U"_value_Window_description</v>
          </cell>
          <cell r="K958" t="str">
            <v>Metal windows 2006 onwards</v>
          </cell>
          <cell r="N958" t="str">
            <v>W/m² K</v>
          </cell>
          <cell r="P958" t="str">
            <v>Window: "U" value</v>
          </cell>
          <cell r="Q958" t="str">
            <v>Metal windows 2006 onwards</v>
          </cell>
          <cell r="R958" t="str">
            <v>W/m² K</v>
          </cell>
        </row>
        <row r="959">
          <cell r="C959" t="str">
            <v>"U"_value_Slab_Description</v>
          </cell>
          <cell r="K959" t="str">
            <v>Ground slabs 1979 -2001</v>
          </cell>
          <cell r="N959" t="str">
            <v>W/m² K</v>
          </cell>
          <cell r="P959" t="str">
            <v>Slab: "U" value</v>
          </cell>
          <cell r="Q959" t="str">
            <v>Ground slabs 1979 -2001</v>
          </cell>
          <cell r="R959" t="str">
            <v>W/m² K</v>
          </cell>
        </row>
        <row r="960">
          <cell r="C960" t="str">
            <v>"U"_value_Roof_Description</v>
          </cell>
          <cell r="K960" t="str">
            <v>Flat roof 1979 -2001</v>
          </cell>
          <cell r="N960" t="str">
            <v>W/m² K</v>
          </cell>
          <cell r="P960" t="str">
            <v>Roof: "U" value</v>
          </cell>
          <cell r="Q960" t="str">
            <v>Flat roof 1979 -2001</v>
          </cell>
          <cell r="R960" t="str">
            <v>W/m² K</v>
          </cell>
        </row>
        <row r="961">
          <cell r="C961" t="str">
            <v>"U"_value_External_Wall</v>
          </cell>
          <cell r="K961">
            <v>0.45</v>
          </cell>
          <cell r="N961" t="str">
            <v>W/m² K</v>
          </cell>
          <cell r="P961" t="str">
            <v>External wall: "U" value</v>
          </cell>
          <cell r="Q961">
            <v>0.45</v>
          </cell>
          <cell r="R961" t="str">
            <v>W/m² K</v>
          </cell>
        </row>
        <row r="962">
          <cell r="C962" t="str">
            <v>"U"_value_Window</v>
          </cell>
          <cell r="K962">
            <v>1.8</v>
          </cell>
          <cell r="N962" t="str">
            <v>W/m² K</v>
          </cell>
          <cell r="P962" t="str">
            <v>Window: "U" value</v>
          </cell>
          <cell r="Q962">
            <v>1.8</v>
          </cell>
          <cell r="R962" t="str">
            <v>W/m² K</v>
          </cell>
        </row>
        <row r="963">
          <cell r="C963" t="str">
            <v>"U"_value_Slab</v>
          </cell>
          <cell r="K963">
            <v>0.45</v>
          </cell>
          <cell r="N963" t="str">
            <v>W/m² K</v>
          </cell>
          <cell r="P963" t="str">
            <v>Slab: "U" value</v>
          </cell>
          <cell r="Q963">
            <v>0.45</v>
          </cell>
          <cell r="R963" t="str">
            <v>W/m² K</v>
          </cell>
        </row>
        <row r="964">
          <cell r="C964" t="str">
            <v>"U"_value_Roof</v>
          </cell>
          <cell r="K964">
            <v>0.35</v>
          </cell>
          <cell r="N964" t="str">
            <v>W/m² K</v>
          </cell>
          <cell r="P964" t="str">
            <v>Roof: "U" value</v>
          </cell>
          <cell r="Q964">
            <v>0.35</v>
          </cell>
          <cell r="R964" t="str">
            <v>W/m² K</v>
          </cell>
        </row>
        <row r="965">
          <cell r="C965" t="str">
            <v>Temperature_Internal</v>
          </cell>
          <cell r="K965">
            <v>16</v>
          </cell>
          <cell r="N965" t="str">
            <v>ºC</v>
          </cell>
          <cell r="P965" t="str">
            <v>Temperature Internal</v>
          </cell>
          <cell r="Q965">
            <v>16</v>
          </cell>
          <cell r="R965" t="str">
            <v>ºC</v>
          </cell>
        </row>
        <row r="966">
          <cell r="C966" t="str">
            <v>Ventilation_loss_density_of_air_capacity</v>
          </cell>
          <cell r="K966">
            <v>0.33300000000000002</v>
          </cell>
          <cell r="N966" t="str">
            <v>x</v>
          </cell>
          <cell r="P966" t="str">
            <v>Ventilation loss: density of air/capacity</v>
          </cell>
          <cell r="Q966">
            <v>0.33300000000000002</v>
          </cell>
          <cell r="R966" t="str">
            <v>x</v>
          </cell>
        </row>
        <row r="967">
          <cell r="C967" t="str">
            <v>Ventilation_loss_rate_of_air_change</v>
          </cell>
          <cell r="K967">
            <v>8</v>
          </cell>
          <cell r="N967" t="str">
            <v>Nr</v>
          </cell>
          <cell r="P967" t="str">
            <v>Ventilation loss: rate of air change</v>
          </cell>
          <cell r="Q967">
            <v>8</v>
          </cell>
          <cell r="R967" t="str">
            <v>Nr</v>
          </cell>
        </row>
        <row r="968">
          <cell r="C968" t="str">
            <v>Boiler_efficiency</v>
          </cell>
          <cell r="K968">
            <v>80</v>
          </cell>
          <cell r="N968" t="str">
            <v>%</v>
          </cell>
          <cell r="P968" t="str">
            <v>Boiler efficiency</v>
          </cell>
          <cell r="Q968">
            <v>80</v>
          </cell>
          <cell r="R968" t="str">
            <v>%</v>
          </cell>
        </row>
        <row r="969">
          <cell r="C969" t="str">
            <v>Cooling_W/W_factor</v>
          </cell>
          <cell r="K969">
            <v>0</v>
          </cell>
          <cell r="N969" t="str">
            <v>W/W</v>
          </cell>
          <cell r="P969" t="str">
            <v>Cooling W/W factor</v>
          </cell>
          <cell r="Q969">
            <v>0</v>
          </cell>
          <cell r="R969" t="str">
            <v>W/W</v>
          </cell>
        </row>
        <row r="970">
          <cell r="C970" t="str">
            <v>Energy_cost_Electrical_kWhr</v>
          </cell>
          <cell r="K970">
            <v>5.7290000000000001E-2</v>
          </cell>
          <cell r="N970" t="str">
            <v>£/kW</v>
          </cell>
          <cell r="P970" t="str">
            <v>Energy cost: Electrical kWhr</v>
          </cell>
          <cell r="Q970">
            <v>0.06</v>
          </cell>
          <cell r="R970" t="str">
            <v>£/kW</v>
          </cell>
          <cell r="U970">
            <v>0.06</v>
          </cell>
        </row>
        <row r="971">
          <cell r="C971" t="str">
            <v>Energy_cost_Gas_kWhr</v>
          </cell>
          <cell r="K971">
            <v>2.1940000000000001E-2</v>
          </cell>
          <cell r="N971" t="str">
            <v>£/kW</v>
          </cell>
          <cell r="P971" t="str">
            <v>Energy cost: Gas kWhr</v>
          </cell>
          <cell r="Q971">
            <v>0.02</v>
          </cell>
          <cell r="R971" t="str">
            <v>£/kW</v>
          </cell>
          <cell r="U971">
            <v>0.02</v>
          </cell>
        </row>
        <row r="972">
          <cell r="C972" t="str">
            <v>Unused</v>
          </cell>
          <cell r="K972">
            <v>0</v>
          </cell>
          <cell r="P972" t="str">
            <v>Unused</v>
          </cell>
          <cell r="Q972">
            <v>0</v>
          </cell>
          <cell r="R972">
            <v>0</v>
          </cell>
        </row>
        <row r="973">
          <cell r="C973" t="str">
            <v>Unused</v>
          </cell>
          <cell r="K973">
            <v>0</v>
          </cell>
          <cell r="P973" t="str">
            <v>Unused</v>
          </cell>
          <cell r="Q973">
            <v>0</v>
          </cell>
          <cell r="R973">
            <v>0</v>
          </cell>
        </row>
        <row r="975">
          <cell r="C975" t="str">
            <v>TLC THROUGH LIFE COSTING</v>
          </cell>
          <cell r="P975" t="str">
            <v>TLC THROUGH LIFE COSTING</v>
          </cell>
          <cell r="Q975">
            <v>0</v>
          </cell>
          <cell r="R975">
            <v>0</v>
          </cell>
        </row>
        <row r="976">
          <cell r="C976" t="str">
            <v>Through_Life_Cycle</v>
          </cell>
          <cell r="K976">
            <v>60</v>
          </cell>
          <cell r="N976" t="str">
            <v>Years</v>
          </cell>
          <cell r="P976" t="str">
            <v>Life Cycle duration</v>
          </cell>
          <cell r="Q976">
            <v>60</v>
          </cell>
          <cell r="R976" t="str">
            <v>Years</v>
          </cell>
          <cell r="U976">
            <v>60</v>
          </cell>
        </row>
        <row r="977">
          <cell r="C977" t="str">
            <v>Inflation_percentage</v>
          </cell>
          <cell r="K977">
            <v>2.5</v>
          </cell>
          <cell r="N977" t="str">
            <v>%</v>
          </cell>
          <cell r="P977" t="str">
            <v>Inflation percentage</v>
          </cell>
          <cell r="Q977">
            <v>2.5</v>
          </cell>
          <cell r="R977" t="str">
            <v>%</v>
          </cell>
          <cell r="U977">
            <v>2.5</v>
          </cell>
        </row>
        <row r="978">
          <cell r="C978" t="str">
            <v>Net_Present_Value</v>
          </cell>
          <cell r="K978">
            <v>7.5</v>
          </cell>
          <cell r="N978" t="str">
            <v>%</v>
          </cell>
          <cell r="P978" t="str">
            <v>Net Present Value</v>
          </cell>
          <cell r="Q978">
            <v>7.5</v>
          </cell>
          <cell r="R978" t="str">
            <v>%</v>
          </cell>
          <cell r="U978">
            <v>7.5</v>
          </cell>
        </row>
        <row r="979">
          <cell r="C979" t="str">
            <v>Depreciation_Structure</v>
          </cell>
          <cell r="K979">
            <v>10</v>
          </cell>
          <cell r="N979" t="str">
            <v>yrs</v>
          </cell>
          <cell r="P979" t="str">
            <v>Depreciation: Structure</v>
          </cell>
          <cell r="Q979">
            <v>10</v>
          </cell>
          <cell r="R979" t="str">
            <v>yrs</v>
          </cell>
        </row>
        <row r="980">
          <cell r="C980" t="str">
            <v>Depreciation_Fit_out</v>
          </cell>
          <cell r="K980">
            <v>3</v>
          </cell>
          <cell r="N980" t="str">
            <v>yrs</v>
          </cell>
          <cell r="P980" t="str">
            <v>Depreciation: Fit out</v>
          </cell>
          <cell r="Q980">
            <v>3</v>
          </cell>
          <cell r="R980" t="str">
            <v>yrs</v>
          </cell>
        </row>
        <row r="982">
          <cell r="C982" t="str">
            <v>INCOME</v>
          </cell>
          <cell r="P982" t="str">
            <v>INCOME</v>
          </cell>
          <cell r="Q982">
            <v>0</v>
          </cell>
          <cell r="R982">
            <v>0</v>
          </cell>
        </row>
        <row r="983">
          <cell r="C983" t="str">
            <v>Occupancy_percentage</v>
          </cell>
          <cell r="K983">
            <v>95</v>
          </cell>
          <cell r="N983" t="str">
            <v>%</v>
          </cell>
          <cell r="P983" t="str">
            <v>Occupancy</v>
          </cell>
          <cell r="Q983">
            <v>95</v>
          </cell>
          <cell r="R983" t="str">
            <v>%</v>
          </cell>
        </row>
        <row r="984">
          <cell r="C984" t="str">
            <v>Lettable_rental_1</v>
          </cell>
          <cell r="K984">
            <v>170</v>
          </cell>
          <cell r="N984" t="str">
            <v>£/m2/pa</v>
          </cell>
          <cell r="P984" t="str">
            <v>Lettable rental: area 1</v>
          </cell>
          <cell r="Q984">
            <v>170</v>
          </cell>
          <cell r="R984" t="str">
            <v>£/m2/pa</v>
          </cell>
        </row>
        <row r="985">
          <cell r="C985" t="str">
            <v>Lettable_rental_2</v>
          </cell>
          <cell r="K985">
            <v>250</v>
          </cell>
          <cell r="N985" t="str">
            <v>£/m2/pa</v>
          </cell>
          <cell r="P985" t="str">
            <v>Lettable rental: area 2</v>
          </cell>
          <cell r="Q985">
            <v>250</v>
          </cell>
          <cell r="R985" t="str">
            <v>£/m2/pa</v>
          </cell>
        </row>
        <row r="986">
          <cell r="C986" t="str">
            <v>Running_cost_included</v>
          </cell>
          <cell r="K986" t="str">
            <v>X</v>
          </cell>
          <cell r="N986" t="str">
            <v>X/I</v>
          </cell>
          <cell r="P986" t="str">
            <v>Running cost included in income</v>
          </cell>
          <cell r="Q986" t="str">
            <v>X</v>
          </cell>
          <cell r="R986" t="str">
            <v>X/I</v>
          </cell>
        </row>
        <row r="987">
          <cell r="C987" t="str">
            <v>Mortgage repayments</v>
          </cell>
          <cell r="P987" t="str">
            <v>Mortgage repayments</v>
          </cell>
          <cell r="Q987">
            <v>0</v>
          </cell>
          <cell r="R987">
            <v>0</v>
          </cell>
        </row>
        <row r="988">
          <cell r="C988" t="str">
            <v>Interest_payment</v>
          </cell>
          <cell r="K988">
            <v>6</v>
          </cell>
          <cell r="N988" t="str">
            <v>%</v>
          </cell>
          <cell r="P988" t="str">
            <v>Interest payment</v>
          </cell>
          <cell r="Q988">
            <v>6</v>
          </cell>
          <cell r="R988" t="str">
            <v>%</v>
          </cell>
        </row>
        <row r="989">
          <cell r="C989" t="str">
            <v>Years_repayments</v>
          </cell>
          <cell r="K989">
            <v>25</v>
          </cell>
          <cell r="N989" t="str">
            <v>yrs</v>
          </cell>
          <cell r="P989" t="str">
            <v>Years repayments</v>
          </cell>
          <cell r="Q989">
            <v>25</v>
          </cell>
          <cell r="R989" t="str">
            <v>yrs</v>
          </cell>
        </row>
        <row r="990">
          <cell r="C990" t="str">
            <v>Grant</v>
          </cell>
          <cell r="K990">
            <v>0</v>
          </cell>
          <cell r="N990" t="str">
            <v>%</v>
          </cell>
          <cell r="P990" t="str">
            <v>Grant</v>
          </cell>
          <cell r="Q990">
            <v>0</v>
          </cell>
          <cell r="R990" t="str">
            <v>%</v>
          </cell>
        </row>
        <row r="995">
          <cell r="C995" t="str">
            <v>Rename_New_Dimension</v>
          </cell>
        </row>
        <row r="996">
          <cell r="C996" t="str">
            <v>End</v>
          </cell>
          <cell r="P996">
            <v>562</v>
          </cell>
          <cell r="T996" t="str">
            <v>End</v>
          </cell>
        </row>
      </sheetData>
      <sheetData sheetId="2"/>
      <sheetData sheetId="3">
        <row r="11">
          <cell r="B11" t="b">
            <v>1</v>
          </cell>
        </row>
        <row r="12">
          <cell r="B12" t="b">
            <v>1</v>
          </cell>
        </row>
        <row r="13">
          <cell r="B13" t="b">
            <v>1</v>
          </cell>
        </row>
        <row r="14">
          <cell r="B14" t="b">
            <v>1</v>
          </cell>
        </row>
        <row r="15">
          <cell r="B15" t="b">
            <v>1</v>
          </cell>
        </row>
        <row r="16">
          <cell r="B16" t="b">
            <v>1</v>
          </cell>
        </row>
        <row r="17">
          <cell r="B17" t="b">
            <v>1</v>
          </cell>
        </row>
        <row r="18">
          <cell r="B18" t="b">
            <v>0</v>
          </cell>
        </row>
        <row r="19">
          <cell r="B19" t="b">
            <v>0</v>
          </cell>
        </row>
        <row r="20">
          <cell r="B20" t="b">
            <v>0</v>
          </cell>
        </row>
        <row r="21">
          <cell r="B21" t="b">
            <v>0</v>
          </cell>
        </row>
        <row r="23">
          <cell r="B23" t="b">
            <v>0</v>
          </cell>
        </row>
        <row r="24">
          <cell r="B24" t="b">
            <v>0</v>
          </cell>
        </row>
        <row r="25">
          <cell r="B25" t="b">
            <v>0</v>
          </cell>
        </row>
        <row r="27">
          <cell r="B27" t="b">
            <v>0</v>
          </cell>
        </row>
      </sheetData>
      <sheetData sheetId="4"/>
      <sheetData sheetId="5">
        <row r="10">
          <cell r="B10">
            <v>10.763909999999999</v>
          </cell>
        </row>
        <row r="19">
          <cell r="K19">
            <v>1839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4">
          <cell r="T114">
            <v>4.9999999999999989E-2</v>
          </cell>
        </row>
      </sheetData>
      <sheetData sheetId="16">
        <row r="12">
          <cell r="X12">
            <v>0</v>
          </cell>
          <cell r="Y12">
            <v>25</v>
          </cell>
          <cell r="Z12" t="str">
            <v>Unclassified</v>
          </cell>
          <cell r="AA12" t="str">
            <v>&lt;25</v>
          </cell>
          <cell r="AB12" t="str">
            <v>&lt;36</v>
          </cell>
        </row>
        <row r="13">
          <cell r="X13">
            <v>25</v>
          </cell>
          <cell r="Y13">
            <v>40</v>
          </cell>
          <cell r="Z13" t="str">
            <v>Pass</v>
          </cell>
          <cell r="AA13" t="str">
            <v>≥25-&lt;40</v>
          </cell>
          <cell r="AB13" t="str">
            <v>≥36-&lt;48</v>
          </cell>
        </row>
        <row r="14">
          <cell r="X14">
            <v>40</v>
          </cell>
          <cell r="Y14">
            <v>55</v>
          </cell>
          <cell r="Z14" t="str">
            <v>Good</v>
          </cell>
          <cell r="AA14" t="str">
            <v>≥40-&lt;55</v>
          </cell>
          <cell r="AB14" t="str">
            <v>≥48-&lt;60</v>
          </cell>
        </row>
        <row r="15">
          <cell r="X15">
            <v>55</v>
          </cell>
          <cell r="Y15">
            <v>70</v>
          </cell>
          <cell r="Z15" t="str">
            <v>Very good</v>
          </cell>
          <cell r="AA15" t="str">
            <v>≥55-&lt;70</v>
          </cell>
          <cell r="AB15" t="str">
            <v>≥60-&lt;70</v>
          </cell>
        </row>
        <row r="16">
          <cell r="X16">
            <v>70</v>
          </cell>
          <cell r="Y16">
            <v>120</v>
          </cell>
          <cell r="Z16" t="str">
            <v>Excellent</v>
          </cell>
          <cell r="AA16" t="str">
            <v>≥70</v>
          </cell>
          <cell r="AB16" t="str">
            <v>≥70</v>
          </cell>
        </row>
      </sheetData>
      <sheetData sheetId="17"/>
      <sheetData sheetId="18">
        <row r="7">
          <cell r="B7" t="str">
            <v>National average</v>
          </cell>
          <cell r="C7">
            <v>1</v>
          </cell>
          <cell r="E7" t="str">
            <v>1985/1</v>
          </cell>
          <cell r="F7">
            <v>100</v>
          </cell>
          <cell r="G7" t="str">
            <v>Actual</v>
          </cell>
          <cell r="I7" t="str">
            <v>100_</v>
          </cell>
          <cell r="J7" t="str">
            <v>Utilities</v>
          </cell>
          <cell r="AL7" t="str">
            <v>Australia</v>
          </cell>
          <cell r="AQ7">
            <v>1</v>
          </cell>
          <cell r="AR7" t="str">
            <v>SUBSTRUCTURE</v>
          </cell>
          <cell r="AT7" t="str">
            <v>5D</v>
          </cell>
          <cell r="AX7">
            <v>0</v>
          </cell>
          <cell r="AY7" t="str">
            <v>Nr</v>
          </cell>
          <cell r="BA7" t="str">
            <v>Walls 1979 -2001</v>
          </cell>
          <cell r="BB7">
            <v>0.45</v>
          </cell>
          <cell r="BD7" t="str">
            <v>Birmingham Office</v>
          </cell>
          <cell r="BE7" t="str">
            <v>Rider Levett Bucknal UK Limited</v>
          </cell>
          <cell r="BF7" t="str">
            <v>Level 2</v>
          </cell>
          <cell r="BG7" t="str">
            <v>Millennium Point</v>
          </cell>
          <cell r="BH7" t="str">
            <v>Curzon Street</v>
          </cell>
          <cell r="BI7" t="str">
            <v>Birmingham</v>
          </cell>
          <cell r="BJ7" t="str">
            <v xml:space="preserve">B4 7XG </v>
          </cell>
          <cell r="BK7" t="str">
            <v xml:space="preserve">E-mail: mark.weaver@uk.rlb.com </v>
          </cell>
          <cell r="BL7" t="str">
            <v xml:space="preserve"> 0121 503 1500 </v>
          </cell>
          <cell r="BM7" t="str">
            <v xml:space="preserve"> 0121 503 1501 </v>
          </cell>
          <cell r="BN7" t="str">
            <v>UK.rlb.com</v>
          </cell>
        </row>
        <row r="8">
          <cell r="B8" t="str">
            <v>South West</v>
          </cell>
          <cell r="C8">
            <v>0.98</v>
          </cell>
          <cell r="E8" t="str">
            <v>1998/1</v>
          </cell>
          <cell r="F8">
            <v>141</v>
          </cell>
          <cell r="G8" t="str">
            <v>Actual</v>
          </cell>
          <cell r="I8" t="str">
            <v>114_</v>
          </cell>
          <cell r="J8" t="str">
            <v>Railway stations</v>
          </cell>
          <cell r="K8">
            <v>1344</v>
          </cell>
          <cell r="N8">
            <v>0</v>
          </cell>
          <cell r="O8">
            <v>0</v>
          </cell>
          <cell r="P8">
            <v>0</v>
          </cell>
          <cell r="AL8" t="str">
            <v>Borders</v>
          </cell>
          <cell r="AQ8" t="str">
            <v>1A</v>
          </cell>
          <cell r="AR8" t="str">
            <v>Substructure</v>
          </cell>
          <cell r="AT8" t="str">
            <v>D</v>
          </cell>
          <cell r="AX8">
            <v>1</v>
          </cell>
          <cell r="AY8" t="str">
            <v>m</v>
          </cell>
          <cell r="BA8" t="str">
            <v>Ground slabs 1979 -2001</v>
          </cell>
          <cell r="BB8">
            <v>0.45</v>
          </cell>
          <cell r="BD8" t="str">
            <v>Bristol Office</v>
          </cell>
          <cell r="BE8" t="str">
            <v>Rider Levett Bucknal UK Limited</v>
          </cell>
          <cell r="BF8" t="str">
            <v>Grosvenor House</v>
          </cell>
          <cell r="BG8" t="str">
            <v>149 Whiteladies Road</v>
          </cell>
          <cell r="BH8" t="str">
            <v xml:space="preserve"> </v>
          </cell>
          <cell r="BI8" t="str">
            <v>Bristol</v>
          </cell>
          <cell r="BJ8" t="str">
            <v xml:space="preserve">BS8 2RA </v>
          </cell>
          <cell r="BK8" t="str">
            <v xml:space="preserve">E-mail: mark.williamson@uk.rlb.com </v>
          </cell>
          <cell r="BL8" t="str">
            <v xml:space="preserve"> 0117 974 1122 </v>
          </cell>
          <cell r="BM8" t="str">
            <v xml:space="preserve"> 0117 974 1141 </v>
          </cell>
          <cell r="BN8" t="str">
            <v>UK.rlb.com</v>
          </cell>
        </row>
        <row r="9">
          <cell r="B9" t="str">
            <v>South East</v>
          </cell>
          <cell r="C9">
            <v>1.06</v>
          </cell>
          <cell r="E9" t="str">
            <v>1998/2</v>
          </cell>
          <cell r="F9">
            <v>147</v>
          </cell>
          <cell r="G9" t="str">
            <v>Actual</v>
          </cell>
          <cell r="I9" t="str">
            <v>116_</v>
          </cell>
          <cell r="J9" t="str">
            <v xml:space="preserve">Railway control buildings </v>
          </cell>
          <cell r="K9">
            <v>773</v>
          </cell>
          <cell r="N9">
            <v>0</v>
          </cell>
          <cell r="O9">
            <v>0</v>
          </cell>
          <cell r="P9">
            <v>0</v>
          </cell>
          <cell r="AL9" t="str">
            <v>East Anglia</v>
          </cell>
          <cell r="AQ9">
            <v>2</v>
          </cell>
          <cell r="AR9" t="str">
            <v>SUPERSTRUCTURE</v>
          </cell>
          <cell r="AT9" t="str">
            <v>W</v>
          </cell>
          <cell r="AX9">
            <v>2</v>
          </cell>
          <cell r="AY9" t="str">
            <v>m²</v>
          </cell>
          <cell r="BA9" t="str">
            <v>Pitched roof 1979 -2001</v>
          </cell>
          <cell r="BB9">
            <v>0.35</v>
          </cell>
          <cell r="BD9" t="str">
            <v>Liverpool Office</v>
          </cell>
          <cell r="BE9" t="str">
            <v>Rider Levett Bucknal UK Limited</v>
          </cell>
          <cell r="BF9" t="str">
            <v>Suite 513</v>
          </cell>
          <cell r="BG9" t="str">
            <v>The Corn Exchange</v>
          </cell>
          <cell r="BH9" t="str">
            <v>Fenwick Street</v>
          </cell>
          <cell r="BI9" t="str">
            <v>Liverpool</v>
          </cell>
          <cell r="BJ9" t="str">
            <v xml:space="preserve">L2 7QL </v>
          </cell>
          <cell r="BK9" t="str">
            <v xml:space="preserve">E-mail: steve.power@uk.rlb.com </v>
          </cell>
          <cell r="BL9" t="str">
            <v xml:space="preserve"> 0151 225 0264 </v>
          </cell>
          <cell r="BM9" t="str">
            <v xml:space="preserve"> 0151 225 0269 </v>
          </cell>
          <cell r="BN9" t="str">
            <v>UK.rlb.com</v>
          </cell>
        </row>
        <row r="10">
          <cell r="B10" t="str">
            <v>Greater London</v>
          </cell>
          <cell r="C10">
            <v>1.18</v>
          </cell>
          <cell r="E10" t="str">
            <v>1998/3</v>
          </cell>
          <cell r="F10">
            <v>148</v>
          </cell>
          <cell r="G10" t="str">
            <v>Actual</v>
          </cell>
          <cell r="I10" t="str">
            <v>116_2</v>
          </cell>
          <cell r="J10" t="str">
            <v>Railway relay buildings</v>
          </cell>
          <cell r="K10">
            <v>697</v>
          </cell>
          <cell r="O10">
            <v>0</v>
          </cell>
          <cell r="P10">
            <v>0</v>
          </cell>
          <cell r="AL10" t="str">
            <v>East Pennines</v>
          </cell>
          <cell r="AQ10" t="str">
            <v>2A</v>
          </cell>
          <cell r="AR10" t="str">
            <v>Frame</v>
          </cell>
          <cell r="AT10" t="str">
            <v>BW</v>
          </cell>
          <cell r="AX10">
            <v>3</v>
          </cell>
          <cell r="AY10" t="str">
            <v>m³</v>
          </cell>
          <cell r="BA10" t="str">
            <v>Flat roof 1979 -2001</v>
          </cell>
          <cell r="BB10">
            <v>0.35</v>
          </cell>
          <cell r="BD10" t="str">
            <v xml:space="preserve">London Office </v>
          </cell>
          <cell r="BE10" t="str">
            <v>Rider Levett Bucknal UK Limited</v>
          </cell>
          <cell r="BF10" t="str">
            <v>Cutlers Court</v>
          </cell>
          <cell r="BG10" t="str">
            <v>115 Houndsditch</v>
          </cell>
          <cell r="BH10" t="str">
            <v xml:space="preserve"> </v>
          </cell>
          <cell r="BI10" t="str">
            <v>London</v>
          </cell>
          <cell r="BJ10" t="str">
            <v xml:space="preserve">EC3A 7BR </v>
          </cell>
          <cell r="BK10" t="str">
            <v xml:space="preserve">E-mail: tony.catchpole@uk.rlb.com </v>
          </cell>
          <cell r="BL10" t="str">
            <v xml:space="preserve"> 020 7398 8300 </v>
          </cell>
          <cell r="BM10" t="str">
            <v xml:space="preserve"> 020 7623 0466 </v>
          </cell>
          <cell r="BN10" t="str">
            <v>UK.rlb.com</v>
          </cell>
        </row>
        <row r="11">
          <cell r="B11" t="str">
            <v>East Anglia</v>
          </cell>
          <cell r="C11">
            <v>0.99</v>
          </cell>
          <cell r="E11" t="str">
            <v>1998/4</v>
          </cell>
          <cell r="F11">
            <v>146</v>
          </cell>
          <cell r="G11" t="str">
            <v>Actual</v>
          </cell>
          <cell r="I11" t="str">
            <v>125_</v>
          </cell>
          <cell r="J11" t="str">
            <v>Car parks (Multi-storey)</v>
          </cell>
          <cell r="K11">
            <v>20</v>
          </cell>
          <cell r="O11">
            <v>0</v>
          </cell>
          <cell r="P11">
            <v>0</v>
          </cell>
          <cell r="AL11" t="str">
            <v>East Scotland</v>
          </cell>
          <cell r="AQ11" t="str">
            <v>2B</v>
          </cell>
          <cell r="AR11" t="str">
            <v>Upper floors</v>
          </cell>
          <cell r="AT11" t="str">
            <v>M</v>
          </cell>
          <cell r="AX11">
            <v>4</v>
          </cell>
          <cell r="AY11" t="str">
            <v>t</v>
          </cell>
          <cell r="BA11" t="str">
            <v>Wood windows 1979 -2001</v>
          </cell>
          <cell r="BB11">
            <v>3</v>
          </cell>
          <cell r="BD11" t="str">
            <v>Manchester Office</v>
          </cell>
          <cell r="BE11" t="str">
            <v>Rider Levett Bucknal UK Limited</v>
          </cell>
          <cell r="BF11" t="str">
            <v>12 Exchange Quay</v>
          </cell>
          <cell r="BH11" t="str">
            <v>Salford Quay</v>
          </cell>
          <cell r="BI11" t="str">
            <v>Manchester</v>
          </cell>
          <cell r="BJ11" t="str">
            <v>M5 3EQ</v>
          </cell>
          <cell r="BK11" t="str">
            <v>E-mail: chris.hartley@uk.rlb.com</v>
          </cell>
          <cell r="BL11" t="str">
            <v xml:space="preserve"> 0161 868 7700 </v>
          </cell>
          <cell r="BM11" t="str">
            <v xml:space="preserve"> 0161 868 7701</v>
          </cell>
          <cell r="BN11" t="str">
            <v>UK.rlb.com</v>
          </cell>
        </row>
        <row r="12">
          <cell r="B12" t="str">
            <v>West Midlands</v>
          </cell>
          <cell r="C12">
            <v>0.97</v>
          </cell>
          <cell r="E12" t="str">
            <v>1999/1</v>
          </cell>
          <cell r="F12">
            <v>147</v>
          </cell>
          <cell r="G12" t="str">
            <v>Actual</v>
          </cell>
          <cell r="I12" t="str">
            <v>126_</v>
          </cell>
          <cell r="J12" t="str">
            <v>Petrol stations</v>
          </cell>
          <cell r="K12">
            <v>99</v>
          </cell>
          <cell r="O12">
            <v>0</v>
          </cell>
          <cell r="P12">
            <v>0</v>
          </cell>
          <cell r="AL12" t="str">
            <v>Midlands</v>
          </cell>
          <cell r="AQ12" t="str">
            <v>2C</v>
          </cell>
          <cell r="AR12" t="str">
            <v>Roof</v>
          </cell>
          <cell r="AT12" t="str">
            <v>Q</v>
          </cell>
          <cell r="AX12">
            <v>5</v>
          </cell>
          <cell r="AY12" t="str">
            <v>kg</v>
          </cell>
          <cell r="BA12" t="str">
            <v>Metal windows 1979 -2001</v>
          </cell>
          <cell r="BB12">
            <v>3.3</v>
          </cell>
          <cell r="BD12" t="str">
            <v>Newcastle Office</v>
          </cell>
          <cell r="BE12" t="str">
            <v>Rider Levett Bucknal UK Limited</v>
          </cell>
          <cell r="BF12" t="str">
            <v>Evans Business Centre</v>
          </cell>
          <cell r="BG12" t="str">
            <v>Durham Way South</v>
          </cell>
          <cell r="BH12" t="str">
            <v xml:space="preserve"> Newton Aycliffe</v>
          </cell>
          <cell r="BI12" t="str">
            <v>County Durham</v>
          </cell>
          <cell r="BJ12" t="str">
            <v xml:space="preserve">DL5 6XP </v>
          </cell>
          <cell r="BK12" t="str">
            <v>E-mail: ian.ridley@uk.rlb.com</v>
          </cell>
          <cell r="BL12" t="str">
            <v xml:space="preserve"> 0870 770 9830</v>
          </cell>
          <cell r="BN12" t="str">
            <v>UK.rlb.com</v>
          </cell>
        </row>
        <row r="13">
          <cell r="B13" t="str">
            <v>East Midlands</v>
          </cell>
          <cell r="C13">
            <v>0.94</v>
          </cell>
          <cell r="E13" t="str">
            <v>1999/2</v>
          </cell>
          <cell r="F13">
            <v>149</v>
          </cell>
          <cell r="G13" t="str">
            <v>Actual</v>
          </cell>
          <cell r="I13" t="str">
            <v>126_5</v>
          </cell>
          <cell r="J13" t="str">
            <v xml:space="preserve">Traffic control buildings </v>
          </cell>
          <cell r="K13">
            <v>1071</v>
          </cell>
          <cell r="O13">
            <v>0</v>
          </cell>
          <cell r="P13">
            <v>0</v>
          </cell>
          <cell r="AL13" t="str">
            <v>North East Scotland</v>
          </cell>
          <cell r="AQ13" t="str">
            <v>2D</v>
          </cell>
          <cell r="AR13" t="str">
            <v>Stairs</v>
          </cell>
          <cell r="AT13" t="str">
            <v>A</v>
          </cell>
          <cell r="AX13">
            <v>6</v>
          </cell>
          <cell r="AY13" t="str">
            <v>Item</v>
          </cell>
          <cell r="BA13" t="str">
            <v>Walls 2001 - 2006</v>
          </cell>
          <cell r="BB13">
            <v>0.35</v>
          </cell>
          <cell r="BD13" t="str">
            <v>Sheffield Office</v>
          </cell>
          <cell r="BE13" t="str">
            <v>Rider Levett Bucknal UK Limited</v>
          </cell>
          <cell r="BF13" t="str">
            <v>38 Carver Street</v>
          </cell>
          <cell r="BG13" t="str">
            <v xml:space="preserve"> </v>
          </cell>
          <cell r="BH13" t="str">
            <v xml:space="preserve"> </v>
          </cell>
          <cell r="BI13" t="str">
            <v>Sheffield</v>
          </cell>
          <cell r="BJ13" t="str">
            <v xml:space="preserve">S1 4FS </v>
          </cell>
          <cell r="BK13" t="str">
            <v xml:space="preserve">E-mail: dean.sheehy@uk.rlb.com </v>
          </cell>
          <cell r="BL13" t="str">
            <v xml:space="preserve"> 0114 289 5000 </v>
          </cell>
          <cell r="BM13" t="str">
            <v xml:space="preserve"> 01707 372 964 </v>
          </cell>
          <cell r="BN13" t="str">
            <v>UK.rlb.com</v>
          </cell>
        </row>
        <row r="14">
          <cell r="B14" t="str">
            <v>Wales</v>
          </cell>
          <cell r="C14">
            <v>0.93</v>
          </cell>
          <cell r="E14" t="str">
            <v>1999/3</v>
          </cell>
          <cell r="F14">
            <v>152</v>
          </cell>
          <cell r="G14" t="str">
            <v>Actual</v>
          </cell>
          <cell r="I14" t="str">
            <v>126_5</v>
          </cell>
          <cell r="J14" t="str">
            <v xml:space="preserve">Road vehicle storage/repair buildings </v>
          </cell>
          <cell r="O14">
            <v>0</v>
          </cell>
          <cell r="P14">
            <v>0</v>
          </cell>
          <cell r="AL14" t="str">
            <v>North Eastern</v>
          </cell>
          <cell r="AQ14" t="str">
            <v>2E</v>
          </cell>
          <cell r="AR14" t="str">
            <v>External walls</v>
          </cell>
          <cell r="AX14">
            <v>7</v>
          </cell>
          <cell r="AY14" t="str">
            <v>Weeks</v>
          </cell>
          <cell r="BA14" t="str">
            <v>Ground slabs 2001 - 2006</v>
          </cell>
          <cell r="BB14">
            <v>0.25</v>
          </cell>
          <cell r="BD14" t="str">
            <v>Welwyn Garden City Office</v>
          </cell>
          <cell r="BE14" t="str">
            <v>Rider Levett Bucknal UK Limited</v>
          </cell>
          <cell r="BF14" t="str">
            <v>Weltech Centre Trust</v>
          </cell>
          <cell r="BG14" t="str">
            <v>Ridgeway, Welwyn Garden City</v>
          </cell>
          <cell r="BH14" t="str">
            <v xml:space="preserve"> </v>
          </cell>
          <cell r="BI14" t="str">
            <v>Hertfordshire</v>
          </cell>
          <cell r="BJ14" t="str">
            <v xml:space="preserve">AL7 2AA </v>
          </cell>
          <cell r="BK14" t="str">
            <v xml:space="preserve">E-mail: andrew.reynolds@uk.rlb.com </v>
          </cell>
          <cell r="BL14" t="str">
            <v xml:space="preserve"> 01707 871 506 </v>
          </cell>
          <cell r="BM14" t="str">
            <v xml:space="preserve"> 01707 372 964 </v>
          </cell>
          <cell r="BN14" t="str">
            <v>UK.rlb.com</v>
          </cell>
        </row>
        <row r="15">
          <cell r="B15" t="str">
            <v>North West</v>
          </cell>
          <cell r="C15">
            <v>0.97</v>
          </cell>
          <cell r="E15" t="str">
            <v>1999/4</v>
          </cell>
          <cell r="F15">
            <v>154</v>
          </cell>
          <cell r="G15" t="str">
            <v>Actual</v>
          </cell>
          <cell r="I15" t="str">
            <v>127_1</v>
          </cell>
          <cell r="J15" t="str">
            <v>Garages</v>
          </cell>
          <cell r="K15">
            <v>432</v>
          </cell>
          <cell r="O15">
            <v>0</v>
          </cell>
          <cell r="P15">
            <v>0</v>
          </cell>
          <cell r="AL15" t="str">
            <v>North Western</v>
          </cell>
          <cell r="AQ15" t="str">
            <v>2F</v>
          </cell>
          <cell r="AR15" t="str">
            <v>Windows and external doors</v>
          </cell>
          <cell r="AX15">
            <v>8</v>
          </cell>
          <cell r="AY15" t="str">
            <v>Mnths</v>
          </cell>
          <cell r="BA15" t="str">
            <v>Pitched roof 2001 - 2006</v>
          </cell>
          <cell r="BB15">
            <v>0.16</v>
          </cell>
          <cell r="BD15" t="str">
            <v>Wokingham Office</v>
          </cell>
          <cell r="BE15" t="str">
            <v>Rider Levett Bucknal UK Limited</v>
          </cell>
          <cell r="BF15" t="str">
            <v>Mulberry House</v>
          </cell>
          <cell r="BG15" t="str">
            <v>Osborne Road</v>
          </cell>
          <cell r="BH15" t="str">
            <v>Wokingham</v>
          </cell>
          <cell r="BI15" t="str">
            <v>Berkshire</v>
          </cell>
          <cell r="BJ15" t="str">
            <v>RG40 1TL</v>
          </cell>
          <cell r="BK15" t="str">
            <v xml:space="preserve">E-mail: simon.kerton@uk.rlb.com </v>
          </cell>
          <cell r="BL15" t="str">
            <v xml:space="preserve"> 0118 974 3600 </v>
          </cell>
          <cell r="BM15" t="str">
            <v xml:space="preserve"> 0118 974 3601 </v>
          </cell>
          <cell r="BN15" t="str">
            <v>UK.rlb.com</v>
          </cell>
        </row>
        <row r="16">
          <cell r="B16" t="str">
            <v>Yorks &amp; Humberside</v>
          </cell>
          <cell r="C16">
            <v>0.94</v>
          </cell>
          <cell r="E16" t="str">
            <v>2000/1</v>
          </cell>
          <cell r="F16">
            <v>158</v>
          </cell>
          <cell r="G16" t="str">
            <v>Actual</v>
          </cell>
          <cell r="I16" t="str">
            <v>127_11</v>
          </cell>
          <cell r="J16" t="str">
            <v>Domestic scale garages</v>
          </cell>
          <cell r="K16">
            <v>448</v>
          </cell>
          <cell r="O16">
            <v>0</v>
          </cell>
          <cell r="P16">
            <v>0</v>
          </cell>
          <cell r="AL16" t="str">
            <v>Northern Ireland</v>
          </cell>
          <cell r="AQ16" t="str">
            <v>2G</v>
          </cell>
          <cell r="AR16" t="str">
            <v>Internal walls and partitions</v>
          </cell>
          <cell r="AX16">
            <v>9</v>
          </cell>
          <cell r="AY16" t="str">
            <v>Other</v>
          </cell>
          <cell r="BA16" t="str">
            <v>Flat roof 2001 - 2006</v>
          </cell>
          <cell r="BB16">
            <v>0.25</v>
          </cell>
          <cell r="BD16" t="str">
            <v>AWE</v>
          </cell>
          <cell r="BE16" t="str">
            <v>Atomic Weapons Establishment</v>
          </cell>
          <cell r="BH16" t="str">
            <v>Aldermaston</v>
          </cell>
          <cell r="BI16" t="str">
            <v>Reading</v>
          </cell>
          <cell r="BJ16" t="str">
            <v>RG7 4PR</v>
          </cell>
        </row>
        <row r="17">
          <cell r="B17" t="str">
            <v>Northern England</v>
          </cell>
          <cell r="C17">
            <v>0.94</v>
          </cell>
          <cell r="E17" t="str">
            <v>2000/2</v>
          </cell>
          <cell r="F17">
            <v>158</v>
          </cell>
          <cell r="G17" t="str">
            <v>Actual</v>
          </cell>
          <cell r="I17" t="str">
            <v>127_12</v>
          </cell>
          <cell r="J17" t="str">
            <v xml:space="preserve">Vehicle storage buildings </v>
          </cell>
          <cell r="K17">
            <v>420</v>
          </cell>
          <cell r="O17">
            <v>0</v>
          </cell>
          <cell r="P17">
            <v>0</v>
          </cell>
          <cell r="AL17" t="str">
            <v>Severn Valley</v>
          </cell>
          <cell r="AQ17" t="str">
            <v>2H</v>
          </cell>
          <cell r="AR17" t="str">
            <v>Internal doors</v>
          </cell>
          <cell r="BA17" t="str">
            <v>Wood windows 2001 - 2006</v>
          </cell>
          <cell r="BB17">
            <v>2</v>
          </cell>
        </row>
        <row r="18">
          <cell r="B18" t="str">
            <v>Scotland</v>
          </cell>
          <cell r="C18">
            <v>0.96</v>
          </cell>
          <cell r="E18" t="str">
            <v>2000/3</v>
          </cell>
          <cell r="F18">
            <v>162</v>
          </cell>
          <cell r="G18" t="str">
            <v>Actual</v>
          </cell>
          <cell r="I18" t="str">
            <v>127_31</v>
          </cell>
          <cell r="J18" t="str">
            <v>Vehicle showroom with workshops</v>
          </cell>
          <cell r="O18">
            <v>0</v>
          </cell>
          <cell r="P18">
            <v>0</v>
          </cell>
          <cell r="AL18" t="str">
            <v>South Eastern</v>
          </cell>
          <cell r="AQ18">
            <v>3</v>
          </cell>
          <cell r="AR18" t="str">
            <v>INTERNAL FINISHES</v>
          </cell>
          <cell r="BA18" t="str">
            <v>Metal windows 2001 - 2006</v>
          </cell>
          <cell r="BB18">
            <v>2.2000000000000002</v>
          </cell>
        </row>
        <row r="19">
          <cell r="B19" t="str">
            <v>Northern Ireland</v>
          </cell>
          <cell r="C19">
            <v>0.75</v>
          </cell>
          <cell r="E19" t="str">
            <v>2000/4</v>
          </cell>
          <cell r="F19">
            <v>167</v>
          </cell>
          <cell r="G19" t="str">
            <v>Actual</v>
          </cell>
          <cell r="I19" t="str">
            <v>127_4</v>
          </cell>
          <cell r="J19" t="str">
            <v xml:space="preserve">Vehicle repair and maintence </v>
          </cell>
          <cell r="O19">
            <v>0</v>
          </cell>
          <cell r="P19">
            <v>0</v>
          </cell>
          <cell r="AL19" t="str">
            <v>Southern</v>
          </cell>
          <cell r="AQ19" t="str">
            <v>3A</v>
          </cell>
          <cell r="AR19" t="str">
            <v>Wall finishes</v>
          </cell>
          <cell r="BA19" t="str">
            <v>Walls 2006 onwards</v>
          </cell>
          <cell r="BB19">
            <v>0.3</v>
          </cell>
        </row>
        <row r="20">
          <cell r="B20" t="str">
            <v>East Anglia</v>
          </cell>
          <cell r="C20">
            <v>1.1000000000000001</v>
          </cell>
          <cell r="E20" t="str">
            <v>2001/1</v>
          </cell>
          <cell r="F20">
            <v>170</v>
          </cell>
          <cell r="G20" t="str">
            <v>Actual</v>
          </cell>
          <cell r="I20" t="str">
            <v>134_</v>
          </cell>
          <cell r="J20" t="str">
            <v>Port and harbour buildings</v>
          </cell>
          <cell r="K20">
            <v>1095</v>
          </cell>
          <cell r="O20">
            <v>0</v>
          </cell>
          <cell r="P20">
            <v>0</v>
          </cell>
          <cell r="AL20" t="str">
            <v>South Western</v>
          </cell>
          <cell r="AQ20" t="str">
            <v>3B</v>
          </cell>
          <cell r="AR20" t="str">
            <v>Floor finishes</v>
          </cell>
          <cell r="BA20" t="str">
            <v>Ground slabs 2006 onwards</v>
          </cell>
          <cell r="BB20">
            <v>0.22</v>
          </cell>
        </row>
        <row r="21">
          <cell r="B21" t="str">
            <v>Last</v>
          </cell>
          <cell r="C21">
            <v>1</v>
          </cell>
          <cell r="E21" t="str">
            <v>2001/2</v>
          </cell>
          <cell r="F21">
            <v>171</v>
          </cell>
          <cell r="G21" t="str">
            <v>Actual</v>
          </cell>
          <cell r="I21" t="str">
            <v>136_</v>
          </cell>
          <cell r="J21" t="str">
            <v>Boat control buildings</v>
          </cell>
          <cell r="K21">
            <v>1042</v>
          </cell>
          <cell r="O21">
            <v>0</v>
          </cell>
          <cell r="P21">
            <v>0</v>
          </cell>
          <cell r="AL21" t="str">
            <v>Thames valley</v>
          </cell>
          <cell r="AQ21" t="str">
            <v>3C</v>
          </cell>
          <cell r="AR21" t="str">
            <v>Ceiling finishes</v>
          </cell>
          <cell r="BA21" t="str">
            <v>Pitched roof 2006 onwards</v>
          </cell>
          <cell r="BB21">
            <v>0.16</v>
          </cell>
        </row>
        <row r="22">
          <cell r="B22" t="str">
            <v>NORTHERN REGION</v>
          </cell>
          <cell r="C22">
            <v>1.03</v>
          </cell>
          <cell r="E22" t="str">
            <v>2001/3</v>
          </cell>
          <cell r="F22">
            <v>177</v>
          </cell>
          <cell r="G22" t="str">
            <v>Actual</v>
          </cell>
          <cell r="I22" t="str">
            <v>144_</v>
          </cell>
          <cell r="J22" t="str">
            <v xml:space="preserve">Air transport terminals </v>
          </cell>
          <cell r="K22">
            <v>1304</v>
          </cell>
          <cell r="O22">
            <v>0</v>
          </cell>
          <cell r="P22">
            <v>0</v>
          </cell>
          <cell r="AL22" t="str">
            <v>Wales</v>
          </cell>
          <cell r="AQ22">
            <v>4</v>
          </cell>
          <cell r="AR22" t="str">
            <v>FITTINGS</v>
          </cell>
          <cell r="BA22" t="str">
            <v>Flat roof 2006 onwards</v>
          </cell>
          <cell r="BB22">
            <v>0.2</v>
          </cell>
        </row>
        <row r="23">
          <cell r="B23" t="str">
            <v>Cleveland</v>
          </cell>
          <cell r="C23">
            <v>1.03</v>
          </cell>
          <cell r="E23" t="str">
            <v>2001/4</v>
          </cell>
          <cell r="F23">
            <v>177</v>
          </cell>
          <cell r="G23" t="str">
            <v>Actual</v>
          </cell>
          <cell r="I23" t="str">
            <v>146_</v>
          </cell>
          <cell r="J23" t="str">
            <v>Air Traffic Control buildings</v>
          </cell>
          <cell r="K23">
            <v>2671</v>
          </cell>
          <cell r="O23">
            <v>0</v>
          </cell>
          <cell r="P23">
            <v>0</v>
          </cell>
          <cell r="AL23" t="str">
            <v>West Pennines</v>
          </cell>
          <cell r="AQ23" t="str">
            <v>4A</v>
          </cell>
          <cell r="AR23" t="str">
            <v>Fittings</v>
          </cell>
          <cell r="BA23" t="str">
            <v>Wood windows 2006 onwards</v>
          </cell>
          <cell r="BB23">
            <v>1.8</v>
          </cell>
        </row>
        <row r="24">
          <cell r="B24" t="str">
            <v>Hartlepool</v>
          </cell>
          <cell r="C24">
            <v>1.03</v>
          </cell>
          <cell r="E24" t="str">
            <v>2002/1</v>
          </cell>
          <cell r="F24">
            <v>182</v>
          </cell>
          <cell r="G24" t="str">
            <v>Actual</v>
          </cell>
          <cell r="I24" t="str">
            <v>147_</v>
          </cell>
          <cell r="J24" t="str">
            <v>Aircraft storage / repair buildings</v>
          </cell>
          <cell r="K24">
            <v>747</v>
          </cell>
          <cell r="O24">
            <v>0</v>
          </cell>
          <cell r="P24">
            <v>0</v>
          </cell>
          <cell r="AL24" t="str">
            <v>West Scotland</v>
          </cell>
          <cell r="AQ24">
            <v>5</v>
          </cell>
          <cell r="AR24" t="str">
            <v>SERVICES</v>
          </cell>
          <cell r="BA24" t="str">
            <v>Metal windows 2006 onwards</v>
          </cell>
          <cell r="BB24">
            <v>1.8</v>
          </cell>
        </row>
        <row r="25">
          <cell r="B25" t="str">
            <v>Stockton-on-Tees</v>
          </cell>
          <cell r="C25">
            <v>1.02</v>
          </cell>
          <cell r="E25" t="str">
            <v>2002/2</v>
          </cell>
          <cell r="F25">
            <v>189</v>
          </cell>
          <cell r="G25" t="str">
            <v>Actual</v>
          </cell>
          <cell r="I25" t="str">
            <v>152_</v>
          </cell>
          <cell r="J25" t="str">
            <v>Radio building</v>
          </cell>
          <cell r="K25">
            <v>1096</v>
          </cell>
          <cell r="O25">
            <v>0</v>
          </cell>
          <cell r="P25">
            <v>0</v>
          </cell>
          <cell r="AQ25" t="str">
            <v>5A</v>
          </cell>
          <cell r="AR25" t="str">
            <v>Sanitary appliances</v>
          </cell>
        </row>
        <row r="26">
          <cell r="B26" t="str">
            <v>Middlesbrough</v>
          </cell>
          <cell r="C26">
            <v>1.05</v>
          </cell>
          <cell r="E26" t="str">
            <v>2002/3</v>
          </cell>
          <cell r="F26">
            <v>188</v>
          </cell>
          <cell r="G26" t="str">
            <v>Actual</v>
          </cell>
          <cell r="I26" t="str">
            <v>154_1</v>
          </cell>
          <cell r="J26" t="str">
            <v>Telephone engineering centres, TSCVs</v>
          </cell>
          <cell r="K26">
            <v>474</v>
          </cell>
          <cell r="O26">
            <v>0</v>
          </cell>
          <cell r="P26">
            <v>0</v>
          </cell>
          <cell r="AQ26" t="str">
            <v>5B</v>
          </cell>
          <cell r="AR26" t="str">
            <v>Services equipment</v>
          </cell>
        </row>
        <row r="27">
          <cell r="B27" t="str">
            <v>Langbaurgh</v>
          </cell>
          <cell r="C27">
            <v>0.99</v>
          </cell>
          <cell r="E27" t="str">
            <v>2002/4</v>
          </cell>
          <cell r="F27">
            <v>190</v>
          </cell>
          <cell r="G27" t="str">
            <v>Actual</v>
          </cell>
          <cell r="I27" t="str">
            <v>156_</v>
          </cell>
          <cell r="J27" t="str">
            <v xml:space="preserve">Transmitting / receiveing stations </v>
          </cell>
          <cell r="K27">
            <v>1595</v>
          </cell>
          <cell r="O27">
            <v>0</v>
          </cell>
          <cell r="P27">
            <v>0</v>
          </cell>
          <cell r="AQ27" t="str">
            <v>5C</v>
          </cell>
          <cell r="AR27" t="str">
            <v>Disposal installations</v>
          </cell>
        </row>
        <row r="28">
          <cell r="B28" t="str">
            <v>Cumbria</v>
          </cell>
          <cell r="C28">
            <v>1.06</v>
          </cell>
          <cell r="E28" t="str">
            <v>2003/1</v>
          </cell>
          <cell r="F28">
            <v>195</v>
          </cell>
          <cell r="G28" t="str">
            <v>Actual</v>
          </cell>
          <cell r="I28" t="str">
            <v>162_1</v>
          </cell>
          <cell r="J28" t="str">
            <v>Generator houses, power stations etc</v>
          </cell>
          <cell r="K28">
            <v>860</v>
          </cell>
          <cell r="O28">
            <v>0</v>
          </cell>
          <cell r="P28">
            <v>0</v>
          </cell>
          <cell r="AQ28" t="str">
            <v>5D</v>
          </cell>
          <cell r="AR28" t="str">
            <v>Water installations</v>
          </cell>
        </row>
        <row r="29">
          <cell r="B29" t="str">
            <v>Carlisle</v>
          </cell>
          <cell r="C29">
            <v>1.06</v>
          </cell>
          <cell r="E29" t="str">
            <v>2003/2</v>
          </cell>
          <cell r="F29">
            <v>198</v>
          </cell>
          <cell r="G29" t="str">
            <v>Actual</v>
          </cell>
          <cell r="I29" t="str">
            <v>162_2</v>
          </cell>
          <cell r="J29" t="str">
            <v>Sub-stations (electricity transmission)</v>
          </cell>
          <cell r="K29">
            <v>1164</v>
          </cell>
          <cell r="O29">
            <v>0</v>
          </cell>
          <cell r="P29">
            <v>0</v>
          </cell>
          <cell r="AQ29" t="str">
            <v>5E</v>
          </cell>
          <cell r="AR29" t="str">
            <v>Heat source</v>
          </cell>
        </row>
        <row r="30">
          <cell r="B30" t="str">
            <v>Allerdale</v>
          </cell>
          <cell r="C30">
            <v>1.0900000000000001</v>
          </cell>
          <cell r="E30" t="str">
            <v>2003/3</v>
          </cell>
          <cell r="F30">
            <v>200</v>
          </cell>
          <cell r="G30" t="str">
            <v>Actual</v>
          </cell>
          <cell r="I30" t="str">
            <v>154_1</v>
          </cell>
          <cell r="J30" t="str">
            <v>Telephone exchange</v>
          </cell>
          <cell r="K30">
            <v>1096</v>
          </cell>
          <cell r="O30">
            <v>0</v>
          </cell>
          <cell r="P30">
            <v>0</v>
          </cell>
          <cell r="AQ30" t="str">
            <v>5F</v>
          </cell>
          <cell r="AR30" t="str">
            <v>Space heating and air treatment</v>
          </cell>
        </row>
        <row r="31">
          <cell r="B31" t="str">
            <v>Eden</v>
          </cell>
          <cell r="C31">
            <v>1.07</v>
          </cell>
          <cell r="E31" t="str">
            <v>2003/4</v>
          </cell>
          <cell r="F31">
            <v>196</v>
          </cell>
          <cell r="G31" t="str">
            <v>Actual</v>
          </cell>
          <cell r="I31" t="str">
            <v>177_</v>
          </cell>
          <cell r="J31" t="str">
            <v>Mortuaries</v>
          </cell>
          <cell r="K31">
            <v>1147</v>
          </cell>
          <cell r="O31">
            <v>0</v>
          </cell>
          <cell r="P31">
            <v>0</v>
          </cell>
          <cell r="AQ31" t="str">
            <v>5G</v>
          </cell>
          <cell r="AR31" t="str">
            <v>Ventilating systems</v>
          </cell>
        </row>
        <row r="32">
          <cell r="B32" t="str">
            <v>Copeland</v>
          </cell>
          <cell r="C32">
            <v>1.0900000000000001</v>
          </cell>
          <cell r="E32" t="str">
            <v>2004/1</v>
          </cell>
          <cell r="F32">
            <v>200</v>
          </cell>
          <cell r="G32" t="str">
            <v>Actual</v>
          </cell>
          <cell r="I32">
            <v>200</v>
          </cell>
          <cell r="J32" t="str">
            <v>Industrial</v>
          </cell>
          <cell r="O32">
            <v>0</v>
          </cell>
          <cell r="P32">
            <v>0</v>
          </cell>
          <cell r="AQ32" t="str">
            <v>5H</v>
          </cell>
          <cell r="AR32" t="str">
            <v>Electrical installations</v>
          </cell>
        </row>
        <row r="33">
          <cell r="B33" t="str">
            <v>South Lakeland</v>
          </cell>
          <cell r="C33">
            <v>1.02</v>
          </cell>
          <cell r="E33" t="str">
            <v>2004/2</v>
          </cell>
          <cell r="F33">
            <v>215</v>
          </cell>
          <cell r="G33" t="str">
            <v>Actual</v>
          </cell>
          <cell r="I33" t="str">
            <v>265_</v>
          </cell>
          <cell r="J33" t="str">
            <v>Livestock</v>
          </cell>
          <cell r="K33">
            <v>148</v>
          </cell>
          <cell r="O33">
            <v>0</v>
          </cell>
          <cell r="P33">
            <v>0</v>
          </cell>
          <cell r="AQ33" t="str">
            <v>5I</v>
          </cell>
          <cell r="AR33" t="str">
            <v>Gas installations</v>
          </cell>
        </row>
        <row r="34">
          <cell r="B34" t="str">
            <v>Barrow-in-Furness</v>
          </cell>
          <cell r="C34">
            <v>1.1200000000000001</v>
          </cell>
          <cell r="E34" t="str">
            <v>2004/3</v>
          </cell>
          <cell r="F34">
            <v>213</v>
          </cell>
          <cell r="G34" t="str">
            <v>Actual</v>
          </cell>
          <cell r="I34" t="str">
            <v>278_</v>
          </cell>
          <cell r="J34" t="str">
            <v>Builders yard</v>
          </cell>
          <cell r="K34">
            <v>532</v>
          </cell>
          <cell r="O34">
            <v>0</v>
          </cell>
          <cell r="P34">
            <v>0</v>
          </cell>
          <cell r="AQ34" t="str">
            <v>5J</v>
          </cell>
          <cell r="AR34" t="str">
            <v>Lift and conveyor installations</v>
          </cell>
        </row>
        <row r="35">
          <cell r="B35" t="str">
            <v>Durham</v>
          </cell>
          <cell r="C35">
            <v>1.03</v>
          </cell>
          <cell r="E35" t="str">
            <v>2004/4</v>
          </cell>
          <cell r="F35">
            <v>225</v>
          </cell>
          <cell r="G35" t="str">
            <v>Actual</v>
          </cell>
          <cell r="I35" t="str">
            <v>282_</v>
          </cell>
          <cell r="J35" t="str">
            <v xml:space="preserve">Factories </v>
          </cell>
          <cell r="K35">
            <v>374</v>
          </cell>
          <cell r="L35">
            <v>8</v>
          </cell>
          <cell r="M35">
            <v>7</v>
          </cell>
          <cell r="N35">
            <v>10.5</v>
          </cell>
          <cell r="O35">
            <v>0</v>
          </cell>
          <cell r="P35">
            <v>25.5</v>
          </cell>
          <cell r="AQ35" t="str">
            <v>5K</v>
          </cell>
          <cell r="AR35" t="str">
            <v>Protective installations</v>
          </cell>
        </row>
        <row r="36">
          <cell r="B36" t="str">
            <v>Chester-le-Street</v>
          </cell>
          <cell r="C36">
            <v>0.98</v>
          </cell>
          <cell r="E36" t="str">
            <v>2005/1</v>
          </cell>
          <cell r="F36">
            <v>221</v>
          </cell>
          <cell r="G36" t="str">
            <v>Actual</v>
          </cell>
          <cell r="I36" t="str">
            <v>282_1</v>
          </cell>
          <cell r="J36" t="str">
            <v>Advance Factories - generally</v>
          </cell>
          <cell r="K36">
            <v>331</v>
          </cell>
          <cell r="O36">
            <v>0</v>
          </cell>
          <cell r="P36">
            <v>0</v>
          </cell>
          <cell r="AQ36" t="str">
            <v>5L</v>
          </cell>
          <cell r="AR36" t="str">
            <v>Communications installations</v>
          </cell>
        </row>
        <row r="37">
          <cell r="B37" t="str">
            <v>Derwentside</v>
          </cell>
          <cell r="C37">
            <v>1.08</v>
          </cell>
          <cell r="E37" t="str">
            <v>2005/2</v>
          </cell>
          <cell r="F37">
            <v>228</v>
          </cell>
          <cell r="G37" t="str">
            <v>Actual</v>
          </cell>
          <cell r="I37" t="str">
            <v>282_12</v>
          </cell>
          <cell r="J37" t="str">
            <v xml:space="preserve">Advance factories / offices - fixed facilites </v>
          </cell>
          <cell r="K37">
            <v>456</v>
          </cell>
          <cell r="O37">
            <v>0</v>
          </cell>
          <cell r="P37">
            <v>0</v>
          </cell>
          <cell r="AQ37" t="str">
            <v>5M</v>
          </cell>
          <cell r="AR37" t="str">
            <v>Special installations</v>
          </cell>
        </row>
        <row r="38">
          <cell r="B38" t="str">
            <v>Durham</v>
          </cell>
          <cell r="C38">
            <v>1.01</v>
          </cell>
          <cell r="E38" t="str">
            <v>2005/3</v>
          </cell>
          <cell r="F38">
            <v>221</v>
          </cell>
          <cell r="G38" t="str">
            <v>Actual</v>
          </cell>
          <cell r="I38" t="str">
            <v>282_2</v>
          </cell>
          <cell r="J38" t="str">
            <v>Purpose built factories - generally</v>
          </cell>
          <cell r="K38">
            <v>464</v>
          </cell>
          <cell r="O38">
            <v>0</v>
          </cell>
          <cell r="P38">
            <v>0</v>
          </cell>
          <cell r="AQ38" t="str">
            <v>5N</v>
          </cell>
          <cell r="AR38" t="str">
            <v>Builder's work in connection</v>
          </cell>
        </row>
        <row r="39">
          <cell r="B39" t="str">
            <v>Easington</v>
          </cell>
          <cell r="C39">
            <v>1.02</v>
          </cell>
          <cell r="E39" t="str">
            <v>2005/4</v>
          </cell>
          <cell r="F39">
            <v>226</v>
          </cell>
          <cell r="G39" t="str">
            <v>Actual</v>
          </cell>
          <cell r="I39" t="str">
            <v>282_22</v>
          </cell>
          <cell r="J39" t="str">
            <v xml:space="preserve">Purpose built factories/office - mixed facilties  </v>
          </cell>
          <cell r="K39">
            <v>438</v>
          </cell>
          <cell r="L39">
            <v>8.5</v>
          </cell>
          <cell r="M39">
            <v>5</v>
          </cell>
          <cell r="N39">
            <v>12.5</v>
          </cell>
          <cell r="O39">
            <v>0</v>
          </cell>
          <cell r="P39">
            <v>26</v>
          </cell>
          <cell r="AQ39" t="str">
            <v>5O</v>
          </cell>
          <cell r="AR39" t="str">
            <v>Builder's profit and attendance</v>
          </cell>
        </row>
        <row r="40">
          <cell r="B40" t="str">
            <v>Sedgefield</v>
          </cell>
          <cell r="C40">
            <v>1.02</v>
          </cell>
          <cell r="E40" t="str">
            <v>2006/1</v>
          </cell>
          <cell r="F40">
            <v>228</v>
          </cell>
          <cell r="G40" t="str">
            <v>Actual</v>
          </cell>
          <cell r="I40" t="str">
            <v>284_</v>
          </cell>
          <cell r="J40" t="str">
            <v>Warehouse/stores - generally</v>
          </cell>
          <cell r="K40">
            <v>361</v>
          </cell>
          <cell r="L40">
            <v>5</v>
          </cell>
          <cell r="M40">
            <v>5.5</v>
          </cell>
          <cell r="N40">
            <v>8</v>
          </cell>
          <cell r="O40">
            <v>0</v>
          </cell>
          <cell r="P40">
            <v>18.5</v>
          </cell>
          <cell r="AQ40">
            <v>6</v>
          </cell>
          <cell r="AR40" t="str">
            <v>EXTERNAL WORKS</v>
          </cell>
        </row>
        <row r="41">
          <cell r="B41" t="str">
            <v>Wear Valley</v>
          </cell>
          <cell r="C41">
            <v>0.99</v>
          </cell>
          <cell r="E41" t="str">
            <v>2006/2</v>
          </cell>
          <cell r="F41">
            <v>231</v>
          </cell>
          <cell r="G41" t="str">
            <v>Actual</v>
          </cell>
          <cell r="I41" t="str">
            <v>284_1</v>
          </cell>
          <cell r="J41" t="str">
            <v>Advance warehouse/stores</v>
          </cell>
          <cell r="K41">
            <v>281</v>
          </cell>
          <cell r="O41">
            <v>0</v>
          </cell>
          <cell r="P41">
            <v>0</v>
          </cell>
          <cell r="AQ41" t="str">
            <v>6A</v>
          </cell>
          <cell r="AR41" t="str">
            <v>Site works</v>
          </cell>
        </row>
        <row r="42">
          <cell r="B42" t="str">
            <v>Teesdale</v>
          </cell>
          <cell r="C42">
            <v>1.01</v>
          </cell>
          <cell r="E42" t="str">
            <v>2006/3</v>
          </cell>
          <cell r="F42">
            <v>230</v>
          </cell>
          <cell r="G42" t="str">
            <v>Actual</v>
          </cell>
          <cell r="I42" t="str">
            <v>284_2</v>
          </cell>
          <cell r="J42" t="str">
            <v>Purpose built warehouse/stores - generally</v>
          </cell>
          <cell r="K42">
            <v>398</v>
          </cell>
          <cell r="O42">
            <v>0</v>
          </cell>
          <cell r="P42">
            <v>0</v>
          </cell>
          <cell r="AQ42" t="str">
            <v>6B</v>
          </cell>
          <cell r="AR42" t="str">
            <v>Drainage</v>
          </cell>
        </row>
        <row r="43">
          <cell r="B43" t="str">
            <v>Darlington</v>
          </cell>
          <cell r="C43">
            <v>1.1000000000000001</v>
          </cell>
          <cell r="E43" t="str">
            <v>2006/4</v>
          </cell>
          <cell r="F43">
            <v>233</v>
          </cell>
          <cell r="G43" t="str">
            <v>Actual</v>
          </cell>
          <cell r="I43" t="str">
            <v>284_5</v>
          </cell>
          <cell r="J43" t="str">
            <v>Cold stores / refrigerated stores</v>
          </cell>
          <cell r="K43">
            <v>559</v>
          </cell>
          <cell r="O43">
            <v>0</v>
          </cell>
          <cell r="P43">
            <v>0</v>
          </cell>
          <cell r="AQ43" t="str">
            <v>6C</v>
          </cell>
          <cell r="AR43" t="str">
            <v>External services</v>
          </cell>
        </row>
        <row r="44">
          <cell r="B44" t="str">
            <v>Northumberland</v>
          </cell>
          <cell r="C44">
            <v>1.06</v>
          </cell>
          <cell r="E44" t="str">
            <v>2007/1</v>
          </cell>
          <cell r="F44">
            <v>238</v>
          </cell>
          <cell r="G44" t="str">
            <v>Actual</v>
          </cell>
          <cell r="I44" t="str">
            <v>300_</v>
          </cell>
          <cell r="J44" t="str">
            <v>Commercial</v>
          </cell>
          <cell r="O44">
            <v>0</v>
          </cell>
          <cell r="P44">
            <v>0</v>
          </cell>
          <cell r="AQ44" t="str">
            <v>6D</v>
          </cell>
          <cell r="AR44" t="str">
            <v>Minor building works</v>
          </cell>
        </row>
        <row r="45">
          <cell r="B45" t="str">
            <v>Berwick-upon-Tweed</v>
          </cell>
          <cell r="C45">
            <v>1.19</v>
          </cell>
          <cell r="E45" t="str">
            <v>2007/2</v>
          </cell>
          <cell r="F45">
            <v>242</v>
          </cell>
          <cell r="G45" t="str">
            <v>Actual</v>
          </cell>
          <cell r="I45" t="str">
            <v>314_1</v>
          </cell>
          <cell r="J45" t="str">
            <v>County, city, town halls</v>
          </cell>
          <cell r="K45">
            <v>828</v>
          </cell>
          <cell r="O45">
            <v>0</v>
          </cell>
          <cell r="P45">
            <v>0</v>
          </cell>
          <cell r="AR45" t="str">
            <v>Non standard</v>
          </cell>
        </row>
        <row r="46">
          <cell r="B46" t="str">
            <v>CastleMorpeth</v>
          </cell>
          <cell r="C46">
            <v>1.04</v>
          </cell>
          <cell r="E46" t="str">
            <v>2007/3</v>
          </cell>
          <cell r="F46">
            <v>244</v>
          </cell>
          <cell r="G46" t="str">
            <v>Forecast</v>
          </cell>
          <cell r="I46" t="str">
            <v>315_</v>
          </cell>
          <cell r="J46" t="str">
            <v>Local admin buildings (job centres etc)</v>
          </cell>
          <cell r="K46">
            <v>775</v>
          </cell>
          <cell r="L46">
            <v>11</v>
          </cell>
          <cell r="M46">
            <v>12.5</v>
          </cell>
          <cell r="N46">
            <v>25.5</v>
          </cell>
          <cell r="O46">
            <v>0</v>
          </cell>
          <cell r="P46">
            <v>49</v>
          </cell>
          <cell r="AQ46" t="str">
            <v>OH</v>
          </cell>
          <cell r="AR46" t="str">
            <v>PRELIMINARIES</v>
          </cell>
        </row>
        <row r="47">
          <cell r="B47" t="str">
            <v>Wansbeck</v>
          </cell>
          <cell r="C47">
            <v>1.07</v>
          </cell>
          <cell r="E47" t="str">
            <v>2007/4</v>
          </cell>
          <cell r="F47">
            <v>247</v>
          </cell>
          <cell r="G47" t="str">
            <v>Forecast</v>
          </cell>
          <cell r="I47" t="str">
            <v>317_</v>
          </cell>
          <cell r="J47" t="str">
            <v>Law courts</v>
          </cell>
          <cell r="K47">
            <v>1038</v>
          </cell>
          <cell r="L47">
            <v>9</v>
          </cell>
          <cell r="M47">
            <v>13</v>
          </cell>
          <cell r="N47">
            <v>27</v>
          </cell>
          <cell r="O47">
            <v>0</v>
          </cell>
          <cell r="P47">
            <v>49</v>
          </cell>
          <cell r="AQ47">
            <v>7</v>
          </cell>
          <cell r="AR47" t="str">
            <v>Preliminaries</v>
          </cell>
        </row>
        <row r="48">
          <cell r="B48" t="str">
            <v>Blyth Valley</v>
          </cell>
          <cell r="C48">
            <v>1.02</v>
          </cell>
          <cell r="E48" t="str">
            <v>2008/1</v>
          </cell>
          <cell r="F48">
            <v>251</v>
          </cell>
          <cell r="G48" t="str">
            <v>Forecast</v>
          </cell>
          <cell r="I48" t="str">
            <v>320_</v>
          </cell>
          <cell r="J48" t="str">
            <v>Offices - generally</v>
          </cell>
          <cell r="K48">
            <v>798</v>
          </cell>
          <cell r="L48">
            <v>11</v>
          </cell>
          <cell r="M48">
            <v>14.5</v>
          </cell>
          <cell r="N48">
            <v>26</v>
          </cell>
          <cell r="O48">
            <v>0</v>
          </cell>
          <cell r="P48">
            <v>51.5</v>
          </cell>
          <cell r="AQ48">
            <v>8</v>
          </cell>
          <cell r="AR48" t="str">
            <v>Risk</v>
          </cell>
        </row>
        <row r="49">
          <cell r="B49" t="str">
            <v>Tynedale</v>
          </cell>
          <cell r="C49">
            <v>1.08</v>
          </cell>
          <cell r="E49" t="str">
            <v>2008/2</v>
          </cell>
          <cell r="F49">
            <v>257</v>
          </cell>
          <cell r="G49" t="str">
            <v>Forecast</v>
          </cell>
          <cell r="I49" t="str">
            <v>320_100</v>
          </cell>
          <cell r="J49" t="str">
            <v>Offices - Air Conditioned</v>
          </cell>
          <cell r="L49">
            <v>12.5</v>
          </cell>
          <cell r="M49">
            <v>20.5</v>
          </cell>
          <cell r="N49">
            <v>31.5</v>
          </cell>
          <cell r="O49">
            <v>0</v>
          </cell>
          <cell r="P49">
            <v>64.5</v>
          </cell>
          <cell r="AR49" t="str">
            <v>Capital Construction Costs Total</v>
          </cell>
        </row>
        <row r="50">
          <cell r="B50" t="str">
            <v>Tyne and Wear</v>
          </cell>
          <cell r="C50">
            <v>1.02</v>
          </cell>
          <cell r="E50" t="str">
            <v>2008/3</v>
          </cell>
          <cell r="F50">
            <v>260</v>
          </cell>
          <cell r="G50" t="str">
            <v>Forecast</v>
          </cell>
          <cell r="I50" t="str">
            <v>320_200</v>
          </cell>
          <cell r="J50" t="str">
            <v>Offices - non AC</v>
          </cell>
          <cell r="L50">
            <v>9.5</v>
          </cell>
          <cell r="M50">
            <v>9</v>
          </cell>
          <cell r="N50">
            <v>22.5</v>
          </cell>
          <cell r="O50">
            <v>0</v>
          </cell>
          <cell r="P50">
            <v>41</v>
          </cell>
          <cell r="AQ50" t="str">
            <v>N</v>
          </cell>
          <cell r="AR50" t="str">
            <v>Non Construction costs</v>
          </cell>
        </row>
        <row r="51">
          <cell r="B51" t="str">
            <v>Newcastle upon Tyne</v>
          </cell>
          <cell r="C51">
            <v>1.02</v>
          </cell>
          <cell r="E51" t="str">
            <v>2008/4</v>
          </cell>
          <cell r="F51">
            <v>263</v>
          </cell>
          <cell r="G51" t="str">
            <v>Forecast</v>
          </cell>
          <cell r="I51" t="str">
            <v>320_300</v>
          </cell>
          <cell r="J51" t="str">
            <v>Offices: call centres</v>
          </cell>
          <cell r="L51">
            <v>16</v>
          </cell>
          <cell r="M51">
            <v>30</v>
          </cell>
          <cell r="N51">
            <v>21</v>
          </cell>
          <cell r="O51">
            <v>0</v>
          </cell>
          <cell r="P51">
            <v>67</v>
          </cell>
          <cell r="AQ51" t="str">
            <v>EW</v>
          </cell>
          <cell r="AR51" t="str">
            <v>Land and enabling works</v>
          </cell>
        </row>
        <row r="52">
          <cell r="B52" t="str">
            <v>North Tyneside</v>
          </cell>
          <cell r="C52">
            <v>1.05</v>
          </cell>
          <cell r="E52" t="str">
            <v>2009/1</v>
          </cell>
          <cell r="F52">
            <v>266</v>
          </cell>
          <cell r="G52" t="str">
            <v>Forecast</v>
          </cell>
          <cell r="I52" t="str">
            <v>320_1</v>
          </cell>
          <cell r="J52" t="str">
            <v>Offices with shops, banks, flats etc</v>
          </cell>
          <cell r="K52">
            <v>841</v>
          </cell>
          <cell r="O52">
            <v>0</v>
          </cell>
          <cell r="P52">
            <v>0</v>
          </cell>
          <cell r="AQ52" t="str">
            <v>FI</v>
          </cell>
          <cell r="AR52" t="str">
            <v>Finance</v>
          </cell>
        </row>
        <row r="53">
          <cell r="B53" t="str">
            <v>South Tyneside</v>
          </cell>
          <cell r="C53">
            <v>1.01</v>
          </cell>
          <cell r="E53" t="str">
            <v>2009/2</v>
          </cell>
          <cell r="F53">
            <v>273</v>
          </cell>
          <cell r="G53" t="str">
            <v>Forecast</v>
          </cell>
          <cell r="I53" t="str">
            <v>338_</v>
          </cell>
          <cell r="J53" t="str">
            <v>Banks/building society branches</v>
          </cell>
          <cell r="K53">
            <v>1034</v>
          </cell>
          <cell r="L53">
            <v>12.5</v>
          </cell>
          <cell r="M53">
            <v>13</v>
          </cell>
          <cell r="N53">
            <v>27.5</v>
          </cell>
          <cell r="O53">
            <v>0</v>
          </cell>
          <cell r="P53">
            <v>53</v>
          </cell>
          <cell r="AQ53" t="str">
            <v>IH</v>
          </cell>
          <cell r="AR53" t="str">
            <v>In house costs</v>
          </cell>
        </row>
        <row r="54">
          <cell r="B54" t="str">
            <v>Gateshead</v>
          </cell>
          <cell r="C54">
            <v>1.03</v>
          </cell>
          <cell r="E54" t="str">
            <v>2009/3</v>
          </cell>
          <cell r="F54">
            <v>276</v>
          </cell>
          <cell r="G54" t="str">
            <v>Forecast</v>
          </cell>
          <cell r="I54" t="str">
            <v>341_1</v>
          </cell>
          <cell r="J54" t="str">
            <v>Retail warehouses - generally</v>
          </cell>
          <cell r="K54">
            <v>326</v>
          </cell>
          <cell r="L54">
            <v>7</v>
          </cell>
          <cell r="M54">
            <v>7.5</v>
          </cell>
          <cell r="N54">
            <v>10</v>
          </cell>
          <cell r="O54">
            <v>0</v>
          </cell>
          <cell r="P54">
            <v>24.5</v>
          </cell>
          <cell r="AQ54" t="str">
            <v>FF</v>
          </cell>
          <cell r="AR54" t="str">
            <v>Furniture</v>
          </cell>
        </row>
        <row r="55">
          <cell r="B55" t="str">
            <v>Sunderland</v>
          </cell>
          <cell r="C55">
            <v>1.01</v>
          </cell>
          <cell r="I55" t="str">
            <v>341_5</v>
          </cell>
          <cell r="J55" t="str">
            <v>Market building providing accommodation</v>
          </cell>
          <cell r="K55">
            <v>485</v>
          </cell>
          <cell r="O55">
            <v>0</v>
          </cell>
          <cell r="P55">
            <v>0</v>
          </cell>
          <cell r="AQ55" t="str">
            <v>IT</v>
          </cell>
          <cell r="AR55" t="str">
            <v>Information Technology</v>
          </cell>
        </row>
        <row r="56">
          <cell r="B56" t="str">
            <v>YORKSHIRE AND HUMBERSIDE</v>
          </cell>
          <cell r="C56">
            <v>0.98</v>
          </cell>
          <cell r="I56" t="str">
            <v>342_100</v>
          </cell>
          <cell r="J56" t="str">
            <v>Shopping Centres: Air conditioned</v>
          </cell>
          <cell r="L56">
            <v>8.5</v>
          </cell>
          <cell r="M56">
            <v>5.5</v>
          </cell>
          <cell r="N56">
            <v>17.5</v>
          </cell>
          <cell r="O56">
            <v>0</v>
          </cell>
          <cell r="P56">
            <v>31.5</v>
          </cell>
          <cell r="AQ56" t="str">
            <v>PF</v>
          </cell>
          <cell r="AR56" t="str">
            <v>Professional Fees</v>
          </cell>
        </row>
        <row r="57">
          <cell r="B57" t="str">
            <v>Humberside</v>
          </cell>
          <cell r="C57">
            <v>0.98</v>
          </cell>
          <cell r="I57" t="str">
            <v>342_200</v>
          </cell>
          <cell r="J57" t="str">
            <v>Shopping Centres: Non Air conditioned</v>
          </cell>
          <cell r="L57">
            <v>7.5</v>
          </cell>
          <cell r="M57">
            <v>4.5</v>
          </cell>
          <cell r="N57">
            <v>16.5</v>
          </cell>
          <cell r="O57">
            <v>0</v>
          </cell>
          <cell r="P57">
            <v>28.5</v>
          </cell>
          <cell r="AQ57" t="str">
            <v>TX</v>
          </cell>
          <cell r="AR57" t="str">
            <v>Taxes</v>
          </cell>
        </row>
        <row r="58">
          <cell r="B58" t="str">
            <v>East Yorkshire</v>
          </cell>
          <cell r="C58">
            <v>0.98</v>
          </cell>
          <cell r="I58">
            <v>344</v>
          </cell>
          <cell r="J58" t="str">
            <v>Hypermarket, supermarkets - generally</v>
          </cell>
          <cell r="K58">
            <v>618</v>
          </cell>
          <cell r="L58">
            <v>17.5</v>
          </cell>
          <cell r="M58">
            <v>31</v>
          </cell>
          <cell r="N58">
            <v>12.5</v>
          </cell>
          <cell r="O58">
            <v>0</v>
          </cell>
          <cell r="P58">
            <v>61</v>
          </cell>
        </row>
        <row r="59">
          <cell r="B59" t="str">
            <v>Holderness</v>
          </cell>
          <cell r="C59">
            <v>1.07</v>
          </cell>
          <cell r="I59">
            <v>345</v>
          </cell>
          <cell r="J59" t="str">
            <v>Shops - generally</v>
          </cell>
          <cell r="K59">
            <v>492</v>
          </cell>
          <cell r="L59">
            <v>11</v>
          </cell>
          <cell r="M59">
            <v>13.5</v>
          </cell>
          <cell r="N59">
            <v>18</v>
          </cell>
          <cell r="O59">
            <v>0</v>
          </cell>
          <cell r="P59">
            <v>42.5</v>
          </cell>
          <cell r="AR59" t="str">
            <v>Capital Costs Total</v>
          </cell>
        </row>
        <row r="60">
          <cell r="B60" t="str">
            <v>Kingston upon Hull</v>
          </cell>
          <cell r="C60">
            <v>1.01</v>
          </cell>
          <cell r="I60" t="str">
            <v>345_1</v>
          </cell>
          <cell r="J60" t="str">
            <v xml:space="preserve">Shops with domestic, office accomadation </v>
          </cell>
          <cell r="K60">
            <v>536</v>
          </cell>
          <cell r="O60">
            <v>0</v>
          </cell>
          <cell r="P60">
            <v>0</v>
          </cell>
        </row>
        <row r="61">
          <cell r="B61" t="str">
            <v>Beverley</v>
          </cell>
          <cell r="C61">
            <v>0.93</v>
          </cell>
          <cell r="I61" t="str">
            <v>372_</v>
          </cell>
          <cell r="J61" t="str">
            <v>Fire stations - generally</v>
          </cell>
          <cell r="K61">
            <v>893</v>
          </cell>
          <cell r="L61">
            <v>2.5</v>
          </cell>
          <cell r="M61">
            <v>13</v>
          </cell>
          <cell r="N61">
            <v>6</v>
          </cell>
          <cell r="O61">
            <v>0</v>
          </cell>
          <cell r="P61">
            <v>21.5</v>
          </cell>
        </row>
        <row r="62">
          <cell r="B62" t="str">
            <v>Boothferry</v>
          </cell>
          <cell r="C62">
            <v>0.95</v>
          </cell>
          <cell r="I62" t="str">
            <v>372_6</v>
          </cell>
          <cell r="J62" t="str">
            <v xml:space="preserve">Fire training building </v>
          </cell>
          <cell r="K62">
            <v>1105</v>
          </cell>
          <cell r="O62">
            <v>0</v>
          </cell>
          <cell r="P62">
            <v>0</v>
          </cell>
        </row>
        <row r="63">
          <cell r="B63" t="str">
            <v>Scunthorpe</v>
          </cell>
          <cell r="C63">
            <v>0.93</v>
          </cell>
          <cell r="I63" t="str">
            <v>373_</v>
          </cell>
          <cell r="J63" t="str">
            <v>Ambulance stations</v>
          </cell>
          <cell r="K63">
            <v>90</v>
          </cell>
          <cell r="L63">
            <v>2</v>
          </cell>
          <cell r="M63">
            <v>11</v>
          </cell>
          <cell r="N63">
            <v>5.5</v>
          </cell>
          <cell r="O63">
            <v>0</v>
          </cell>
          <cell r="P63">
            <v>18.5</v>
          </cell>
        </row>
        <row r="64">
          <cell r="B64" t="str">
            <v>Glanford</v>
          </cell>
          <cell r="C64">
            <v>0.99</v>
          </cell>
          <cell r="I64" t="str">
            <v>373_1</v>
          </cell>
          <cell r="J64" t="str">
            <v xml:space="preserve">Ambulance admin / control buildings </v>
          </cell>
          <cell r="K64">
            <v>965</v>
          </cell>
          <cell r="O64">
            <v>0</v>
          </cell>
          <cell r="P64">
            <v>0</v>
          </cell>
        </row>
        <row r="65">
          <cell r="B65" t="str">
            <v>Grimsby</v>
          </cell>
          <cell r="C65">
            <v>0.94</v>
          </cell>
          <cell r="I65" t="str">
            <v>374_</v>
          </cell>
          <cell r="J65" t="str">
            <v>Police stations</v>
          </cell>
          <cell r="K65">
            <v>88</v>
          </cell>
          <cell r="L65">
            <v>9.5</v>
          </cell>
          <cell r="M65">
            <v>13.5</v>
          </cell>
          <cell r="N65">
            <v>11.5</v>
          </cell>
          <cell r="O65">
            <v>0</v>
          </cell>
          <cell r="P65">
            <v>34.5</v>
          </cell>
        </row>
        <row r="66">
          <cell r="B66" t="str">
            <v>North Yorkshire</v>
          </cell>
          <cell r="C66">
            <v>1.01</v>
          </cell>
          <cell r="I66" t="str">
            <v>374_1</v>
          </cell>
          <cell r="J66" t="str">
            <v>Police admin / control buildings</v>
          </cell>
          <cell r="K66">
            <v>908</v>
          </cell>
          <cell r="O66">
            <v>0</v>
          </cell>
          <cell r="P66">
            <v>0</v>
          </cell>
        </row>
        <row r="67">
          <cell r="B67" t="str">
            <v>Scarborough</v>
          </cell>
          <cell r="C67">
            <v>1.02</v>
          </cell>
          <cell r="I67" t="str">
            <v>375_</v>
          </cell>
          <cell r="J67" t="str">
            <v>Military building</v>
          </cell>
          <cell r="K67">
            <v>898</v>
          </cell>
          <cell r="O67">
            <v>0</v>
          </cell>
          <cell r="P67">
            <v>0</v>
          </cell>
        </row>
        <row r="68">
          <cell r="B68" t="str">
            <v>Ryedale</v>
          </cell>
          <cell r="C68">
            <v>0.99</v>
          </cell>
          <cell r="I68" t="str">
            <v>375_35</v>
          </cell>
          <cell r="J68" t="str">
            <v>Territorial army centres</v>
          </cell>
          <cell r="K68">
            <v>609</v>
          </cell>
          <cell r="O68">
            <v>0</v>
          </cell>
          <cell r="P68">
            <v>0</v>
          </cell>
          <cell r="AN68" t="str">
            <v>RIBA Stage</v>
          </cell>
        </row>
        <row r="69">
          <cell r="B69" t="str">
            <v>Hambleton</v>
          </cell>
          <cell r="C69">
            <v>1.02</v>
          </cell>
          <cell r="I69" t="str">
            <v>376_2</v>
          </cell>
          <cell r="J69" t="str">
            <v>Closed prisons</v>
          </cell>
          <cell r="K69">
            <v>1069</v>
          </cell>
          <cell r="O69">
            <v>0</v>
          </cell>
          <cell r="P69">
            <v>0</v>
          </cell>
          <cell r="AN69" t="str">
            <v>Ref</v>
          </cell>
          <cell r="AO69" t="str">
            <v>Description</v>
          </cell>
        </row>
        <row r="70">
          <cell r="B70" t="str">
            <v>Richmondshire</v>
          </cell>
          <cell r="C70">
            <v>0.94</v>
          </cell>
          <cell r="I70" t="str">
            <v>376_5</v>
          </cell>
          <cell r="J70" t="str">
            <v>Reformances, borstals</v>
          </cell>
          <cell r="K70">
            <v>1318</v>
          </cell>
          <cell r="O70">
            <v>0</v>
          </cell>
          <cell r="P70">
            <v>0</v>
          </cell>
          <cell r="AN70" t="str">
            <v>A</v>
          </cell>
          <cell r="AO70" t="str">
            <v>Inception</v>
          </cell>
        </row>
        <row r="71">
          <cell r="B71" t="str">
            <v>Craven</v>
          </cell>
          <cell r="C71">
            <v>1.02</v>
          </cell>
          <cell r="I71" t="str">
            <v>400_</v>
          </cell>
          <cell r="J71" t="str">
            <v>Health</v>
          </cell>
          <cell r="O71">
            <v>0</v>
          </cell>
          <cell r="P71">
            <v>0</v>
          </cell>
          <cell r="AN71" t="str">
            <v>B</v>
          </cell>
          <cell r="AO71" t="str">
            <v>Feasibility</v>
          </cell>
        </row>
        <row r="72">
          <cell r="B72" t="str">
            <v>Harrogate</v>
          </cell>
          <cell r="C72">
            <v>1.02</v>
          </cell>
          <cell r="I72" t="str">
            <v>411_1</v>
          </cell>
          <cell r="J72" t="str">
            <v>Hospital teaching centres</v>
          </cell>
          <cell r="K72">
            <v>703</v>
          </cell>
          <cell r="O72">
            <v>0</v>
          </cell>
          <cell r="P72">
            <v>0</v>
          </cell>
          <cell r="AN72" t="str">
            <v>C</v>
          </cell>
          <cell r="AO72" t="str">
            <v>Outline proposals</v>
          </cell>
        </row>
        <row r="73">
          <cell r="B73" t="str">
            <v>York</v>
          </cell>
          <cell r="C73">
            <v>1.04</v>
          </cell>
          <cell r="I73" t="str">
            <v>412_</v>
          </cell>
          <cell r="J73" t="str">
            <v>Hospitals</v>
          </cell>
          <cell r="K73">
            <v>0</v>
          </cell>
          <cell r="L73">
            <v>30</v>
          </cell>
          <cell r="M73">
            <v>12.5</v>
          </cell>
          <cell r="N73">
            <v>15.5</v>
          </cell>
          <cell r="O73">
            <v>0</v>
          </cell>
          <cell r="P73">
            <v>58</v>
          </cell>
          <cell r="AN73" t="str">
            <v>D</v>
          </cell>
          <cell r="AO73" t="str">
            <v>Scheme design</v>
          </cell>
        </row>
        <row r="74">
          <cell r="B74" t="str">
            <v>Selby</v>
          </cell>
          <cell r="C74">
            <v>0.99</v>
          </cell>
          <cell r="I74" t="str">
            <v>413_</v>
          </cell>
          <cell r="J74" t="str">
            <v xml:space="preserve">Mental, psychiatric hospital facilities  - generally </v>
          </cell>
          <cell r="K74">
            <v>873</v>
          </cell>
          <cell r="O74">
            <v>0</v>
          </cell>
          <cell r="P74">
            <v>0</v>
          </cell>
          <cell r="AN74" t="str">
            <v>E</v>
          </cell>
          <cell r="AO74" t="str">
            <v>Detail design</v>
          </cell>
          <cell r="AQ74" t="str">
            <v>D</v>
          </cell>
          <cell r="AR74" t="str">
            <v>Demolish new build.</v>
          </cell>
        </row>
        <row r="75">
          <cell r="B75" t="str">
            <v>South Yorkshire</v>
          </cell>
          <cell r="C75">
            <v>0.99</v>
          </cell>
          <cell r="I75" t="str">
            <v>413_1</v>
          </cell>
          <cell r="J75" t="str">
            <v>Psychiatric units</v>
          </cell>
          <cell r="K75">
            <v>860</v>
          </cell>
          <cell r="O75">
            <v>0</v>
          </cell>
          <cell r="P75">
            <v>0</v>
          </cell>
          <cell r="AN75" t="str">
            <v>F</v>
          </cell>
          <cell r="AO75" t="str">
            <v>Production information</v>
          </cell>
          <cell r="AQ75" t="str">
            <v>F</v>
          </cell>
          <cell r="AR75" t="str">
            <v>Fit out only.</v>
          </cell>
        </row>
        <row r="76">
          <cell r="B76" t="str">
            <v>Barnsley</v>
          </cell>
          <cell r="C76">
            <v>0.95</v>
          </cell>
          <cell r="I76" t="str">
            <v>413_12</v>
          </cell>
          <cell r="J76" t="str">
            <v>Pscho-geriatric</v>
          </cell>
          <cell r="K76">
            <v>833</v>
          </cell>
          <cell r="O76">
            <v>0</v>
          </cell>
          <cell r="P76">
            <v>0</v>
          </cell>
          <cell r="AN76" t="str">
            <v>G</v>
          </cell>
          <cell r="AO76" t="str">
            <v>Tender document</v>
          </cell>
          <cell r="AQ76" t="str">
            <v>M</v>
          </cell>
          <cell r="AR76" t="str">
            <v>Major alteration.</v>
          </cell>
        </row>
        <row r="77">
          <cell r="B77" t="str">
            <v>Doncaster</v>
          </cell>
          <cell r="C77">
            <v>1.05</v>
          </cell>
          <cell r="I77" t="str">
            <v>414_1</v>
          </cell>
          <cell r="J77" t="str">
            <v>Ear,nose and throat units</v>
          </cell>
          <cell r="K77">
            <v>770</v>
          </cell>
          <cell r="O77">
            <v>0</v>
          </cell>
          <cell r="P77">
            <v>0</v>
          </cell>
          <cell r="AN77" t="str">
            <v>H</v>
          </cell>
          <cell r="AO77" t="str">
            <v>Tender action</v>
          </cell>
          <cell r="AQ77" t="str">
            <v>N</v>
          </cell>
          <cell r="AR77" t="str">
            <v>New build.</v>
          </cell>
        </row>
        <row r="78">
          <cell r="B78" t="str">
            <v>Rotherham</v>
          </cell>
          <cell r="C78">
            <v>0.94</v>
          </cell>
          <cell r="I78" t="str">
            <v>415_</v>
          </cell>
          <cell r="J78" t="str">
            <v xml:space="preserve">Maternity, </v>
          </cell>
          <cell r="K78">
            <v>979</v>
          </cell>
          <cell r="O78">
            <v>0</v>
          </cell>
          <cell r="P78">
            <v>0</v>
          </cell>
          <cell r="AN78" t="str">
            <v>J</v>
          </cell>
          <cell r="AO78" t="str">
            <v>Project planning</v>
          </cell>
          <cell r="AQ78" t="str">
            <v>R</v>
          </cell>
          <cell r="AR78" t="str">
            <v>Refurbishment.</v>
          </cell>
        </row>
        <row r="79">
          <cell r="B79" t="str">
            <v>Sheffield</v>
          </cell>
          <cell r="C79">
            <v>1.02</v>
          </cell>
          <cell r="I79" t="str">
            <v>415_7</v>
          </cell>
          <cell r="J79" t="str">
            <v>Genito-urinary</v>
          </cell>
          <cell r="K79">
            <v>856</v>
          </cell>
          <cell r="O79">
            <v>0</v>
          </cell>
          <cell r="P79">
            <v>0</v>
          </cell>
          <cell r="AN79" t="str">
            <v>K</v>
          </cell>
          <cell r="AO79" t="str">
            <v>Operations on site</v>
          </cell>
        </row>
        <row r="80">
          <cell r="B80" t="str">
            <v>West Yorkshire</v>
          </cell>
          <cell r="C80">
            <v>0.97</v>
          </cell>
          <cell r="I80" t="str">
            <v>416_</v>
          </cell>
          <cell r="J80" t="str">
            <v>Paediatric, geniatric hospital facilities</v>
          </cell>
          <cell r="K80">
            <v>979</v>
          </cell>
          <cell r="O80">
            <v>0</v>
          </cell>
          <cell r="P80">
            <v>0</v>
          </cell>
          <cell r="AN80" t="str">
            <v>L</v>
          </cell>
          <cell r="AO80" t="str">
            <v>Completion</v>
          </cell>
        </row>
        <row r="81">
          <cell r="B81" t="str">
            <v>Calderdale</v>
          </cell>
          <cell r="C81">
            <v>0.94</v>
          </cell>
          <cell r="I81" t="str">
            <v>416_2</v>
          </cell>
          <cell r="J81" t="str">
            <v>Geniatric units</v>
          </cell>
          <cell r="K81">
            <v>833</v>
          </cell>
          <cell r="O81">
            <v>0</v>
          </cell>
          <cell r="P81">
            <v>0</v>
          </cell>
          <cell r="AN81" t="str">
            <v>M</v>
          </cell>
          <cell r="AO81" t="str">
            <v>Occupancy</v>
          </cell>
        </row>
        <row r="82">
          <cell r="B82" t="str">
            <v>Bradford</v>
          </cell>
          <cell r="C82">
            <v>0.94</v>
          </cell>
          <cell r="I82" t="str">
            <v>417_1</v>
          </cell>
          <cell r="J82" t="str">
            <v>Diagnosis excluding radiograhy</v>
          </cell>
          <cell r="K82">
            <v>1241</v>
          </cell>
          <cell r="O82">
            <v>0</v>
          </cell>
          <cell r="P82">
            <v>0</v>
          </cell>
        </row>
        <row r="83">
          <cell r="B83" t="str">
            <v>Leeds</v>
          </cell>
          <cell r="C83">
            <v>1</v>
          </cell>
          <cell r="I83" t="str">
            <v>417_2</v>
          </cell>
          <cell r="J83" t="str">
            <v>Surgery including operations theatres</v>
          </cell>
          <cell r="K83">
            <v>1127</v>
          </cell>
          <cell r="O83">
            <v>0</v>
          </cell>
          <cell r="P83">
            <v>0</v>
          </cell>
        </row>
        <row r="84">
          <cell r="B84" t="str">
            <v>Wakefield</v>
          </cell>
          <cell r="C84">
            <v>0.97</v>
          </cell>
          <cell r="I84" t="str">
            <v>417_4</v>
          </cell>
          <cell r="J84" t="str">
            <v>Hospital laboratories - generally</v>
          </cell>
          <cell r="K84">
            <v>1238</v>
          </cell>
          <cell r="O84">
            <v>0</v>
          </cell>
          <cell r="P84">
            <v>0</v>
          </cell>
        </row>
        <row r="85">
          <cell r="B85" t="str">
            <v>Kirklees</v>
          </cell>
          <cell r="C85">
            <v>0.99</v>
          </cell>
          <cell r="I85" t="str">
            <v>417_41</v>
          </cell>
          <cell r="J85" t="str">
            <v>Pathology labortories - generally</v>
          </cell>
          <cell r="K85">
            <v>1196</v>
          </cell>
          <cell r="O85">
            <v>0</v>
          </cell>
          <cell r="P85">
            <v>0</v>
          </cell>
        </row>
        <row r="86">
          <cell r="B86" t="str">
            <v>EAST MIDLANDS</v>
          </cell>
          <cell r="C86">
            <v>0.94</v>
          </cell>
          <cell r="I86" t="str">
            <v>417_5</v>
          </cell>
          <cell r="J86" t="str">
            <v>Occupational therapy, physiotherapy</v>
          </cell>
          <cell r="K86">
            <v>937</v>
          </cell>
          <cell r="O86">
            <v>0</v>
          </cell>
          <cell r="P86">
            <v>0</v>
          </cell>
          <cell r="AN86">
            <v>1</v>
          </cell>
          <cell r="AO86" t="str">
            <v>January</v>
          </cell>
        </row>
        <row r="87">
          <cell r="B87" t="str">
            <v>Derbyshire</v>
          </cell>
          <cell r="C87">
            <v>0.93</v>
          </cell>
          <cell r="I87" t="str">
            <v>417_7</v>
          </cell>
          <cell r="J87" t="str">
            <v>Chemotheropy</v>
          </cell>
          <cell r="K87">
            <v>959</v>
          </cell>
          <cell r="O87">
            <v>0</v>
          </cell>
          <cell r="P87">
            <v>0</v>
          </cell>
          <cell r="AN87">
            <v>2</v>
          </cell>
          <cell r="AO87" t="str">
            <v>February</v>
          </cell>
        </row>
        <row r="88">
          <cell r="B88" t="str">
            <v>High Peak</v>
          </cell>
          <cell r="C88">
            <v>0.99</v>
          </cell>
          <cell r="I88" t="str">
            <v>417_71</v>
          </cell>
          <cell r="J88" t="str">
            <v>Pharmacies</v>
          </cell>
          <cell r="K88">
            <v>883</v>
          </cell>
          <cell r="O88">
            <v>0</v>
          </cell>
          <cell r="P88">
            <v>0</v>
          </cell>
          <cell r="AN88">
            <v>3</v>
          </cell>
          <cell r="AO88" t="str">
            <v>March</v>
          </cell>
        </row>
        <row r="89">
          <cell r="B89" t="str">
            <v>West Derbyshire</v>
          </cell>
          <cell r="C89">
            <v>0.91</v>
          </cell>
          <cell r="I89" t="str">
            <v>417_81</v>
          </cell>
          <cell r="J89" t="str">
            <v>Radiotheraphy</v>
          </cell>
          <cell r="O89">
            <v>0</v>
          </cell>
          <cell r="P89">
            <v>0</v>
          </cell>
          <cell r="AN89">
            <v>4</v>
          </cell>
          <cell r="AO89" t="str">
            <v>April</v>
          </cell>
        </row>
        <row r="90">
          <cell r="B90" t="str">
            <v>North East Derbyshire</v>
          </cell>
          <cell r="C90">
            <v>0.98</v>
          </cell>
          <cell r="I90" t="str">
            <v>418_1</v>
          </cell>
          <cell r="J90" t="str">
            <v>Ward blocks</v>
          </cell>
          <cell r="K90">
            <v>824</v>
          </cell>
          <cell r="O90">
            <v>0</v>
          </cell>
          <cell r="P90">
            <v>0</v>
          </cell>
          <cell r="AN90">
            <v>5</v>
          </cell>
          <cell r="AO90" t="str">
            <v>May</v>
          </cell>
        </row>
        <row r="91">
          <cell r="B91" t="str">
            <v>Chesterfield</v>
          </cell>
          <cell r="C91">
            <v>0.95</v>
          </cell>
          <cell r="I91" t="str">
            <v>418_2</v>
          </cell>
          <cell r="J91" t="str">
            <v xml:space="preserve">Outpatients </v>
          </cell>
          <cell r="K91">
            <v>981</v>
          </cell>
          <cell r="O91">
            <v>0</v>
          </cell>
          <cell r="P91">
            <v>0</v>
          </cell>
          <cell r="AN91">
            <v>6</v>
          </cell>
          <cell r="AO91" t="str">
            <v>June</v>
          </cell>
        </row>
        <row r="92">
          <cell r="B92" t="str">
            <v>Bolsover</v>
          </cell>
          <cell r="C92">
            <v>0.93</v>
          </cell>
          <cell r="I92" t="str">
            <v>418_3</v>
          </cell>
          <cell r="J92" t="str">
            <v>Intensive care</v>
          </cell>
          <cell r="K92">
            <v>949</v>
          </cell>
          <cell r="O92">
            <v>0</v>
          </cell>
          <cell r="P92">
            <v>0</v>
          </cell>
          <cell r="AN92">
            <v>7</v>
          </cell>
          <cell r="AO92" t="str">
            <v>July</v>
          </cell>
        </row>
        <row r="93">
          <cell r="B93" t="str">
            <v>Amber Valley</v>
          </cell>
          <cell r="C93">
            <v>0.91</v>
          </cell>
          <cell r="I93" t="str">
            <v>418_8</v>
          </cell>
          <cell r="J93" t="str">
            <v>Sterile stores</v>
          </cell>
          <cell r="K93">
            <v>800</v>
          </cell>
          <cell r="O93">
            <v>0</v>
          </cell>
          <cell r="P93">
            <v>0</v>
          </cell>
          <cell r="AN93">
            <v>8</v>
          </cell>
          <cell r="AO93" t="str">
            <v>August</v>
          </cell>
        </row>
        <row r="94">
          <cell r="B94" t="str">
            <v>Erewash</v>
          </cell>
          <cell r="C94">
            <v>0.92</v>
          </cell>
          <cell r="I94" t="str">
            <v>421_</v>
          </cell>
          <cell r="J94" t="str">
            <v>Health Centres</v>
          </cell>
          <cell r="K94">
            <v>673</v>
          </cell>
          <cell r="L94">
            <v>20</v>
          </cell>
          <cell r="M94">
            <v>11.5</v>
          </cell>
          <cell r="N94">
            <v>10</v>
          </cell>
          <cell r="O94">
            <v>0</v>
          </cell>
          <cell r="P94">
            <v>41.5</v>
          </cell>
          <cell r="AN94">
            <v>9</v>
          </cell>
          <cell r="AO94" t="str">
            <v>September</v>
          </cell>
        </row>
        <row r="95">
          <cell r="B95" t="str">
            <v>Derby</v>
          </cell>
          <cell r="C95">
            <v>0.91</v>
          </cell>
          <cell r="I95" t="str">
            <v>425_</v>
          </cell>
          <cell r="J95" t="str">
            <v>Welfare consultation centres</v>
          </cell>
          <cell r="K95">
            <v>851</v>
          </cell>
          <cell r="O95">
            <v>0</v>
          </cell>
          <cell r="P95">
            <v>0</v>
          </cell>
          <cell r="AN95">
            <v>10</v>
          </cell>
          <cell r="AO95" t="str">
            <v>October</v>
          </cell>
        </row>
        <row r="96">
          <cell r="B96" t="str">
            <v>South Derbyshire</v>
          </cell>
          <cell r="C96">
            <v>0.95</v>
          </cell>
          <cell r="I96" t="str">
            <v>441_</v>
          </cell>
          <cell r="J96" t="str">
            <v>Observation and assessment centres</v>
          </cell>
          <cell r="K96">
            <v>749</v>
          </cell>
          <cell r="O96">
            <v>0</v>
          </cell>
          <cell r="P96">
            <v>0</v>
          </cell>
          <cell r="AN96">
            <v>11</v>
          </cell>
          <cell r="AO96" t="str">
            <v>November</v>
          </cell>
        </row>
        <row r="97">
          <cell r="B97" t="str">
            <v>Leicestershire</v>
          </cell>
          <cell r="C97">
            <v>0.93</v>
          </cell>
          <cell r="I97" t="str">
            <v>442_</v>
          </cell>
          <cell r="J97" t="str">
            <v>Nursing homes, convalescent homes etc</v>
          </cell>
          <cell r="K97">
            <v>720</v>
          </cell>
          <cell r="L97">
            <v>21</v>
          </cell>
          <cell r="M97">
            <v>10.5</v>
          </cell>
          <cell r="N97">
            <v>8.5</v>
          </cell>
          <cell r="O97">
            <v>0</v>
          </cell>
          <cell r="P97">
            <v>40</v>
          </cell>
          <cell r="AN97">
            <v>12</v>
          </cell>
          <cell r="AO97" t="str">
            <v>December</v>
          </cell>
        </row>
        <row r="98">
          <cell r="B98" t="str">
            <v>North West Leicestershire</v>
          </cell>
          <cell r="C98">
            <v>0.96</v>
          </cell>
          <cell r="I98" t="str">
            <v>443_</v>
          </cell>
          <cell r="J98" t="str">
            <v>Homes for chronic invalids</v>
          </cell>
          <cell r="K98">
            <v>893</v>
          </cell>
          <cell r="O98">
            <v>0</v>
          </cell>
          <cell r="P98">
            <v>0</v>
          </cell>
        </row>
        <row r="99">
          <cell r="B99" t="str">
            <v>Charnwood</v>
          </cell>
          <cell r="C99">
            <v>0.91</v>
          </cell>
          <cell r="I99" t="str">
            <v>444_</v>
          </cell>
          <cell r="J99" t="str">
            <v>Homes for mentally handicapped</v>
          </cell>
          <cell r="K99">
            <v>722</v>
          </cell>
          <cell r="L99">
            <v>14.5</v>
          </cell>
          <cell r="M99">
            <v>10</v>
          </cell>
          <cell r="N99">
            <v>8.5</v>
          </cell>
          <cell r="O99">
            <v>0</v>
          </cell>
          <cell r="P99">
            <v>33</v>
          </cell>
        </row>
        <row r="100">
          <cell r="B100" t="str">
            <v>Melton</v>
          </cell>
          <cell r="C100">
            <v>0.89</v>
          </cell>
          <cell r="I100" t="str">
            <v>445_1</v>
          </cell>
          <cell r="J100" t="str">
            <v xml:space="preserve">Homes for physically handicapped </v>
          </cell>
          <cell r="K100">
            <v>767</v>
          </cell>
          <cell r="O100">
            <v>0</v>
          </cell>
          <cell r="P100">
            <v>0</v>
          </cell>
        </row>
        <row r="101">
          <cell r="B101" t="str">
            <v>Rutland</v>
          </cell>
          <cell r="C101">
            <v>0.95</v>
          </cell>
          <cell r="I101" t="str">
            <v>446_</v>
          </cell>
          <cell r="J101" t="str">
            <v>Childrens homes</v>
          </cell>
          <cell r="K101">
            <v>697</v>
          </cell>
          <cell r="L101">
            <v>15</v>
          </cell>
          <cell r="M101">
            <v>11</v>
          </cell>
          <cell r="N101">
            <v>9</v>
          </cell>
          <cell r="O101">
            <v>0</v>
          </cell>
          <cell r="P101">
            <v>35</v>
          </cell>
        </row>
        <row r="102">
          <cell r="B102" t="str">
            <v>Oadby and Wigston</v>
          </cell>
          <cell r="C102">
            <v>0.97</v>
          </cell>
          <cell r="I102" t="str">
            <v>447_</v>
          </cell>
          <cell r="J102" t="str">
            <v>Old people's homes - generally</v>
          </cell>
          <cell r="K102">
            <v>656</v>
          </cell>
          <cell r="L102">
            <v>21</v>
          </cell>
          <cell r="M102">
            <v>11</v>
          </cell>
          <cell r="N102">
            <v>9</v>
          </cell>
          <cell r="O102">
            <v>0</v>
          </cell>
          <cell r="P102">
            <v>41</v>
          </cell>
        </row>
        <row r="103">
          <cell r="B103" t="str">
            <v>Leicester</v>
          </cell>
          <cell r="C103">
            <v>0.93</v>
          </cell>
          <cell r="I103" t="str">
            <v>448_</v>
          </cell>
          <cell r="J103" t="str">
            <v>Day centres</v>
          </cell>
          <cell r="K103">
            <v>793</v>
          </cell>
          <cell r="O103">
            <v>0</v>
          </cell>
          <cell r="P103">
            <v>0</v>
          </cell>
        </row>
        <row r="104">
          <cell r="B104" t="str">
            <v>Hinckley and Bosworth</v>
          </cell>
          <cell r="C104">
            <v>0.9</v>
          </cell>
          <cell r="I104" t="str">
            <v>500_</v>
          </cell>
          <cell r="J104" t="str">
            <v>Recreational</v>
          </cell>
          <cell r="O104">
            <v>0</v>
          </cell>
          <cell r="P104">
            <v>0</v>
          </cell>
        </row>
        <row r="105">
          <cell r="B105" t="str">
            <v>Lincolnshire</v>
          </cell>
          <cell r="C105">
            <v>0.93</v>
          </cell>
          <cell r="I105" t="str">
            <v>511_</v>
          </cell>
          <cell r="J105" t="str">
            <v>Canteens</v>
          </cell>
          <cell r="K105">
            <v>799</v>
          </cell>
          <cell r="O105">
            <v>0</v>
          </cell>
          <cell r="P105">
            <v>0</v>
          </cell>
        </row>
        <row r="106">
          <cell r="B106" t="str">
            <v>West Lindsey</v>
          </cell>
          <cell r="C106">
            <v>0.92</v>
          </cell>
          <cell r="I106" t="str">
            <v>512_</v>
          </cell>
          <cell r="J106" t="str">
            <v xml:space="preserve">Restaurants </v>
          </cell>
          <cell r="K106">
            <v>1022</v>
          </cell>
          <cell r="L106">
            <v>18</v>
          </cell>
          <cell r="M106">
            <v>27</v>
          </cell>
          <cell r="N106">
            <v>10</v>
          </cell>
          <cell r="O106">
            <v>0</v>
          </cell>
          <cell r="P106">
            <v>55</v>
          </cell>
        </row>
        <row r="107">
          <cell r="B107" t="str">
            <v>Lincoln</v>
          </cell>
          <cell r="C107">
            <v>0.92</v>
          </cell>
          <cell r="I107" t="str">
            <v>517_</v>
          </cell>
          <cell r="J107" t="str">
            <v xml:space="preserve">Public houses </v>
          </cell>
          <cell r="K107">
            <v>815</v>
          </cell>
          <cell r="O107">
            <v>0</v>
          </cell>
          <cell r="P107">
            <v>0</v>
          </cell>
        </row>
        <row r="108">
          <cell r="B108" t="str">
            <v>East Lindsey</v>
          </cell>
          <cell r="C108">
            <v>0.93</v>
          </cell>
          <cell r="I108" t="str">
            <v>524_</v>
          </cell>
          <cell r="J108" t="str">
            <v>Theatre</v>
          </cell>
          <cell r="K108">
            <v>1030</v>
          </cell>
          <cell r="O108">
            <v>0</v>
          </cell>
          <cell r="P108">
            <v>0</v>
          </cell>
        </row>
        <row r="109">
          <cell r="B109" t="str">
            <v>North Kesteven</v>
          </cell>
          <cell r="C109">
            <v>0.97</v>
          </cell>
          <cell r="I109" t="str">
            <v>524_5</v>
          </cell>
          <cell r="J109" t="str">
            <v xml:space="preserve">Drama ancilliary building </v>
          </cell>
          <cell r="K109">
            <v>418</v>
          </cell>
          <cell r="O109">
            <v>0</v>
          </cell>
          <cell r="P109">
            <v>0</v>
          </cell>
        </row>
        <row r="110">
          <cell r="B110" t="str">
            <v>Boston</v>
          </cell>
          <cell r="C110">
            <v>0.94</v>
          </cell>
          <cell r="I110" t="str">
            <v>525_</v>
          </cell>
          <cell r="J110" t="str">
            <v>Cinema</v>
          </cell>
          <cell r="K110">
            <v>886</v>
          </cell>
          <cell r="L110">
            <v>9</v>
          </cell>
          <cell r="M110">
            <v>12</v>
          </cell>
          <cell r="N110">
            <v>6</v>
          </cell>
          <cell r="O110">
            <v>0</v>
          </cell>
          <cell r="P110">
            <v>27</v>
          </cell>
        </row>
        <row r="111">
          <cell r="B111" t="str">
            <v>South Kesteven</v>
          </cell>
          <cell r="C111">
            <v>0.92</v>
          </cell>
          <cell r="I111" t="str">
            <v>532_</v>
          </cell>
          <cell r="J111" t="str">
            <v>Community Centres - Generally</v>
          </cell>
          <cell r="K111">
            <v>694</v>
          </cell>
          <cell r="O111">
            <v>0</v>
          </cell>
          <cell r="P111">
            <v>0</v>
          </cell>
        </row>
        <row r="112">
          <cell r="B112" t="str">
            <v>South Holland</v>
          </cell>
          <cell r="C112">
            <v>0.92</v>
          </cell>
          <cell r="I112" t="str">
            <v>532_1</v>
          </cell>
          <cell r="J112" t="str">
            <v>General purpose halls - generally</v>
          </cell>
          <cell r="K112">
            <v>694</v>
          </cell>
          <cell r="L112">
            <v>12.5</v>
          </cell>
          <cell r="M112">
            <v>10.5</v>
          </cell>
          <cell r="N112">
            <v>9</v>
          </cell>
          <cell r="O112">
            <v>0</v>
          </cell>
          <cell r="P112">
            <v>32</v>
          </cell>
        </row>
        <row r="113">
          <cell r="B113" t="str">
            <v>Northamptonshire</v>
          </cell>
          <cell r="C113">
            <v>0.98</v>
          </cell>
          <cell r="I113" t="str">
            <v>532_2</v>
          </cell>
          <cell r="J113" t="str">
            <v>Visitor's centres</v>
          </cell>
          <cell r="K113">
            <v>938</v>
          </cell>
          <cell r="O113">
            <v>0</v>
          </cell>
          <cell r="P113">
            <v>0</v>
          </cell>
        </row>
        <row r="114">
          <cell r="B114" t="str">
            <v>East Northamptonshire</v>
          </cell>
          <cell r="C114">
            <v>1.01</v>
          </cell>
          <cell r="I114" t="str">
            <v>534_</v>
          </cell>
          <cell r="J114" t="str">
            <v>Clubs, youth club, students unions etc</v>
          </cell>
          <cell r="K114">
            <v>646</v>
          </cell>
          <cell r="O114">
            <v>0</v>
          </cell>
          <cell r="P114">
            <v>0</v>
          </cell>
        </row>
        <row r="115">
          <cell r="B115" t="str">
            <v>Corby</v>
          </cell>
          <cell r="C115">
            <v>0.94</v>
          </cell>
          <cell r="I115" t="str">
            <v>541_</v>
          </cell>
          <cell r="J115" t="str">
            <v>Covered swimming pool</v>
          </cell>
          <cell r="K115">
            <v>1222</v>
          </cell>
          <cell r="L115">
            <v>7</v>
          </cell>
          <cell r="M115">
            <v>22</v>
          </cell>
          <cell r="N115">
            <v>19</v>
          </cell>
          <cell r="O115">
            <v>0</v>
          </cell>
          <cell r="P115">
            <v>48</v>
          </cell>
        </row>
        <row r="116">
          <cell r="B116" t="str">
            <v>Kettering</v>
          </cell>
          <cell r="C116">
            <v>0.99</v>
          </cell>
          <cell r="I116" t="str">
            <v>562_1</v>
          </cell>
          <cell r="J116" t="str">
            <v>Sports centres / recreational centres</v>
          </cell>
          <cell r="K116">
            <v>638</v>
          </cell>
          <cell r="L116">
            <v>8.5</v>
          </cell>
          <cell r="M116">
            <v>28</v>
          </cell>
          <cell r="N116">
            <v>20</v>
          </cell>
          <cell r="O116">
            <v>0</v>
          </cell>
          <cell r="P116">
            <v>56.5</v>
          </cell>
        </row>
        <row r="117">
          <cell r="B117" t="str">
            <v>Daventry</v>
          </cell>
          <cell r="C117">
            <v>0.99</v>
          </cell>
          <cell r="I117" t="str">
            <v>562_11</v>
          </cell>
          <cell r="J117" t="str">
            <v>Sports centres / recreational centres with pool</v>
          </cell>
          <cell r="K117">
            <v>958</v>
          </cell>
          <cell r="O117">
            <v>0</v>
          </cell>
          <cell r="P117">
            <v>0</v>
          </cell>
        </row>
        <row r="118">
          <cell r="B118" t="str">
            <v>Wellingborough</v>
          </cell>
          <cell r="C118">
            <v>0.96</v>
          </cell>
          <cell r="I118" t="str">
            <v>562_12</v>
          </cell>
          <cell r="J118" t="str">
            <v>Gymnasia/sports halls</v>
          </cell>
          <cell r="K118">
            <v>581</v>
          </cell>
          <cell r="L118">
            <v>10</v>
          </cell>
          <cell r="M118">
            <v>12</v>
          </cell>
          <cell r="N118">
            <v>20.5</v>
          </cell>
          <cell r="O118">
            <v>0</v>
          </cell>
          <cell r="P118">
            <v>42.5</v>
          </cell>
        </row>
        <row r="119">
          <cell r="B119" t="str">
            <v>Northampton</v>
          </cell>
          <cell r="C119">
            <v>0.98</v>
          </cell>
          <cell r="I119" t="str">
            <v>562_31</v>
          </cell>
          <cell r="J119" t="str">
            <v xml:space="preserve">Squash courts </v>
          </cell>
          <cell r="K119">
            <v>632</v>
          </cell>
          <cell r="O119">
            <v>0</v>
          </cell>
          <cell r="P119">
            <v>0</v>
          </cell>
        </row>
        <row r="120">
          <cell r="B120" t="str">
            <v>South Northamptonshire</v>
          </cell>
          <cell r="C120">
            <v>1</v>
          </cell>
          <cell r="I120" t="str">
            <v>564_1</v>
          </cell>
          <cell r="J120" t="str">
            <v>Stadia, sports grounds</v>
          </cell>
          <cell r="K120">
            <v>740</v>
          </cell>
          <cell r="O120">
            <v>0</v>
          </cell>
          <cell r="P120">
            <v>0</v>
          </cell>
        </row>
        <row r="121">
          <cell r="B121" t="str">
            <v>Nottinghamshire</v>
          </cell>
          <cell r="C121">
            <v>0.92</v>
          </cell>
          <cell r="I121" t="str">
            <v>567_1</v>
          </cell>
          <cell r="J121" t="str">
            <v>Ice rinks</v>
          </cell>
          <cell r="L121">
            <v>7</v>
          </cell>
          <cell r="M121">
            <v>15</v>
          </cell>
          <cell r="N121">
            <v>6</v>
          </cell>
          <cell r="O121">
            <v>0</v>
          </cell>
          <cell r="P121">
            <v>28</v>
          </cell>
        </row>
        <row r="122">
          <cell r="B122" t="str">
            <v>Bassetlaw</v>
          </cell>
          <cell r="C122">
            <v>0.96</v>
          </cell>
          <cell r="I122" t="str">
            <v>568_1</v>
          </cell>
          <cell r="J122" t="str">
            <v>Pavillion and sports club houses - generally</v>
          </cell>
          <cell r="K122">
            <v>684</v>
          </cell>
          <cell r="L122">
            <v>8.5</v>
          </cell>
          <cell r="M122">
            <v>10</v>
          </cell>
          <cell r="N122">
            <v>19</v>
          </cell>
          <cell r="O122">
            <v>0</v>
          </cell>
          <cell r="P122">
            <v>37.5</v>
          </cell>
        </row>
        <row r="123">
          <cell r="B123" t="str">
            <v>Mansfield</v>
          </cell>
          <cell r="C123">
            <v>0.89</v>
          </cell>
          <cell r="I123" t="str">
            <v>600_</v>
          </cell>
          <cell r="J123" t="str">
            <v>Religious</v>
          </cell>
          <cell r="O123">
            <v>0</v>
          </cell>
          <cell r="P123">
            <v>0</v>
          </cell>
        </row>
        <row r="124">
          <cell r="B124" t="str">
            <v>Newark</v>
          </cell>
          <cell r="C124">
            <v>0.92</v>
          </cell>
          <cell r="I124" t="str">
            <v>630_</v>
          </cell>
          <cell r="J124" t="str">
            <v>Churches</v>
          </cell>
          <cell r="K124">
            <v>826</v>
          </cell>
          <cell r="L124">
            <v>8</v>
          </cell>
          <cell r="M124">
            <v>3.5</v>
          </cell>
          <cell r="N124">
            <v>4</v>
          </cell>
          <cell r="O124">
            <v>0</v>
          </cell>
          <cell r="P124">
            <v>15.5</v>
          </cell>
        </row>
        <row r="125">
          <cell r="B125" t="str">
            <v>Ashfield</v>
          </cell>
          <cell r="C125">
            <v>0.87</v>
          </cell>
          <cell r="I125" t="str">
            <v>640_</v>
          </cell>
          <cell r="J125" t="str">
            <v>Mission halls, meeting houses</v>
          </cell>
          <cell r="K125">
            <v>845</v>
          </cell>
          <cell r="O125">
            <v>0</v>
          </cell>
          <cell r="P125">
            <v>0</v>
          </cell>
        </row>
        <row r="126">
          <cell r="B126" t="str">
            <v>Gedling</v>
          </cell>
          <cell r="C126">
            <v>0.91</v>
          </cell>
          <cell r="I126" t="str">
            <v>650_</v>
          </cell>
          <cell r="J126" t="str">
            <v>Temple, mosques, synagogues</v>
          </cell>
          <cell r="K126">
            <v>949</v>
          </cell>
          <cell r="O126">
            <v>0</v>
          </cell>
          <cell r="P126">
            <v>0</v>
          </cell>
        </row>
        <row r="127">
          <cell r="B127" t="str">
            <v>Broxtowe</v>
          </cell>
          <cell r="C127">
            <v>0.92</v>
          </cell>
          <cell r="I127" t="str">
            <v>670_1</v>
          </cell>
          <cell r="J127" t="str">
            <v>Crematoria</v>
          </cell>
          <cell r="K127">
            <v>1170</v>
          </cell>
          <cell r="O127">
            <v>0</v>
          </cell>
          <cell r="P127">
            <v>0</v>
          </cell>
        </row>
        <row r="128">
          <cell r="B128" t="str">
            <v>Nottingham</v>
          </cell>
          <cell r="C128">
            <v>0.93</v>
          </cell>
          <cell r="I128" t="str">
            <v>700_</v>
          </cell>
          <cell r="J128" t="str">
            <v>Education</v>
          </cell>
          <cell r="O128">
            <v>0</v>
          </cell>
          <cell r="P128">
            <v>0</v>
          </cell>
        </row>
        <row r="129">
          <cell r="B129" t="str">
            <v>Rushcliffe</v>
          </cell>
          <cell r="C129">
            <v>0.94</v>
          </cell>
          <cell r="I129" t="str">
            <v>710_</v>
          </cell>
          <cell r="J129" t="str">
            <v>Schools</v>
          </cell>
          <cell r="K129">
            <v>705</v>
          </cell>
          <cell r="O129">
            <v>0</v>
          </cell>
          <cell r="P129">
            <v>0</v>
          </cell>
        </row>
        <row r="130">
          <cell r="B130" t="str">
            <v>EAST ANGLIA</v>
          </cell>
          <cell r="C130">
            <v>0.98</v>
          </cell>
          <cell r="I130" t="str">
            <v>711_</v>
          </cell>
          <cell r="J130" t="str">
            <v>Nursery</v>
          </cell>
          <cell r="K130">
            <v>850</v>
          </cell>
          <cell r="L130">
            <v>9.5</v>
          </cell>
          <cell r="M130">
            <v>5.5</v>
          </cell>
          <cell r="N130">
            <v>14</v>
          </cell>
          <cell r="O130">
            <v>0</v>
          </cell>
          <cell r="P130">
            <v>29</v>
          </cell>
        </row>
        <row r="131">
          <cell r="B131" t="str">
            <v>Cambridgeshire</v>
          </cell>
          <cell r="C131">
            <v>1</v>
          </cell>
          <cell r="I131" t="str">
            <v>712_</v>
          </cell>
          <cell r="J131" t="str">
            <v>Primary</v>
          </cell>
          <cell r="K131">
            <v>678</v>
          </cell>
          <cell r="L131">
            <v>11.5</v>
          </cell>
          <cell r="M131">
            <v>5.5</v>
          </cell>
          <cell r="N131">
            <v>15</v>
          </cell>
          <cell r="O131">
            <v>0</v>
          </cell>
          <cell r="P131">
            <v>32</v>
          </cell>
        </row>
        <row r="132">
          <cell r="B132" t="str">
            <v>Peterborough</v>
          </cell>
          <cell r="C132">
            <v>0.97</v>
          </cell>
          <cell r="I132" t="str">
            <v>713_</v>
          </cell>
          <cell r="J132" t="str">
            <v>Secondary schools</v>
          </cell>
          <cell r="K132">
            <v>648</v>
          </cell>
          <cell r="L132">
            <v>11.5</v>
          </cell>
          <cell r="M132">
            <v>6</v>
          </cell>
          <cell r="N132">
            <v>15</v>
          </cell>
          <cell r="O132">
            <v>0</v>
          </cell>
          <cell r="P132">
            <v>32.5</v>
          </cell>
        </row>
        <row r="133">
          <cell r="B133" t="str">
            <v>Fenland</v>
          </cell>
          <cell r="C133">
            <v>1</v>
          </cell>
          <cell r="I133" t="str">
            <v>714_</v>
          </cell>
          <cell r="J133" t="str">
            <v>Sixth form/tertiary colleges</v>
          </cell>
          <cell r="K133">
            <v>704</v>
          </cell>
          <cell r="O133">
            <v>0</v>
          </cell>
          <cell r="P133">
            <v>0</v>
          </cell>
        </row>
        <row r="134">
          <cell r="B134" t="str">
            <v>Huntingdon</v>
          </cell>
          <cell r="C134">
            <v>0.97</v>
          </cell>
          <cell r="I134" t="str">
            <v>717_</v>
          </cell>
          <cell r="J134" t="str">
            <v>Special schools</v>
          </cell>
          <cell r="K134">
            <v>728</v>
          </cell>
          <cell r="O134">
            <v>0</v>
          </cell>
          <cell r="P134">
            <v>0</v>
          </cell>
        </row>
        <row r="135">
          <cell r="B135" t="str">
            <v>East Cambridgeshire</v>
          </cell>
          <cell r="C135">
            <v>1.01</v>
          </cell>
          <cell r="I135" t="str">
            <v>717_2</v>
          </cell>
          <cell r="J135" t="str">
            <v>Schools for the mentally handicaped</v>
          </cell>
          <cell r="K135">
            <v>675</v>
          </cell>
          <cell r="O135">
            <v>0</v>
          </cell>
          <cell r="P135">
            <v>0</v>
          </cell>
        </row>
        <row r="136">
          <cell r="B136" t="str">
            <v>South Cambridgeshire</v>
          </cell>
          <cell r="C136">
            <v>1.01</v>
          </cell>
          <cell r="I136" t="str">
            <v>717_3</v>
          </cell>
          <cell r="J136" t="str">
            <v>Schools for the physically handicaped</v>
          </cell>
          <cell r="K136">
            <v>745</v>
          </cell>
          <cell r="O136">
            <v>0</v>
          </cell>
          <cell r="P136">
            <v>0</v>
          </cell>
        </row>
        <row r="137">
          <cell r="B137" t="str">
            <v>Cambridge</v>
          </cell>
          <cell r="C137">
            <v>1.05</v>
          </cell>
          <cell r="I137" t="str">
            <v>721_</v>
          </cell>
          <cell r="J137" t="str">
            <v xml:space="preserve">Universities </v>
          </cell>
          <cell r="K137">
            <v>842</v>
          </cell>
          <cell r="L137">
            <v>9.5</v>
          </cell>
          <cell r="M137">
            <v>10.5</v>
          </cell>
          <cell r="N137">
            <v>15</v>
          </cell>
          <cell r="O137">
            <v>0</v>
          </cell>
          <cell r="P137">
            <v>35</v>
          </cell>
        </row>
        <row r="138">
          <cell r="B138" t="str">
            <v>Norfolk</v>
          </cell>
          <cell r="C138">
            <v>0.95</v>
          </cell>
          <cell r="I138" t="str">
            <v>721_2</v>
          </cell>
          <cell r="J138" t="str">
            <v>Universitey- specialised teaching blocks</v>
          </cell>
          <cell r="K138">
            <v>894</v>
          </cell>
          <cell r="O138">
            <v>0</v>
          </cell>
          <cell r="P138">
            <v>0</v>
          </cell>
        </row>
        <row r="139">
          <cell r="B139" t="str">
            <v>West Norfolk</v>
          </cell>
          <cell r="C139">
            <v>1.01</v>
          </cell>
          <cell r="I139" t="str">
            <v>722_2</v>
          </cell>
          <cell r="J139" t="str">
            <v xml:space="preserve">Colleges </v>
          </cell>
          <cell r="K139">
            <v>735</v>
          </cell>
          <cell r="L139">
            <v>9.5</v>
          </cell>
          <cell r="M139">
            <v>9</v>
          </cell>
          <cell r="N139">
            <v>14</v>
          </cell>
          <cell r="O139">
            <v>0</v>
          </cell>
          <cell r="P139">
            <v>32.5</v>
          </cell>
        </row>
        <row r="140">
          <cell r="B140" t="str">
            <v>North Norfolk</v>
          </cell>
          <cell r="C140">
            <v>0.96</v>
          </cell>
          <cell r="I140" t="str">
            <v>727_</v>
          </cell>
          <cell r="J140" t="str">
            <v>Adult education facilties</v>
          </cell>
          <cell r="K140">
            <v>673</v>
          </cell>
          <cell r="L140">
            <v>9</v>
          </cell>
          <cell r="M140">
            <v>9</v>
          </cell>
          <cell r="N140">
            <v>14</v>
          </cell>
          <cell r="O140">
            <v>0</v>
          </cell>
          <cell r="P140">
            <v>32</v>
          </cell>
        </row>
        <row r="141">
          <cell r="B141" t="str">
            <v>Great Yarmouth</v>
          </cell>
          <cell r="C141">
            <v>0.94</v>
          </cell>
          <cell r="I141" t="str">
            <v>727_1</v>
          </cell>
          <cell r="J141" t="str">
            <v xml:space="preserve">Adult facilities for the mentally handicaped </v>
          </cell>
          <cell r="K141">
            <v>717</v>
          </cell>
          <cell r="O141">
            <v>0</v>
          </cell>
          <cell r="P141">
            <v>0</v>
          </cell>
        </row>
        <row r="142">
          <cell r="B142" t="str">
            <v>Broadland</v>
          </cell>
          <cell r="C142">
            <v>0.97</v>
          </cell>
          <cell r="I142" t="str">
            <v>731_1</v>
          </cell>
          <cell r="J142" t="str">
            <v>Reasearch facilities</v>
          </cell>
          <cell r="K142">
            <v>1033</v>
          </cell>
          <cell r="O142">
            <v>0</v>
          </cell>
          <cell r="P142">
            <v>0</v>
          </cell>
        </row>
        <row r="143">
          <cell r="B143" t="str">
            <v>Norwich</v>
          </cell>
          <cell r="C143">
            <v>0.94</v>
          </cell>
          <cell r="I143" t="str">
            <v>732_</v>
          </cell>
          <cell r="J143" t="str">
            <v>Laboratories</v>
          </cell>
          <cell r="K143">
            <v>1008</v>
          </cell>
          <cell r="L143">
            <v>12.5</v>
          </cell>
          <cell r="M143">
            <v>15.5</v>
          </cell>
          <cell r="N143">
            <v>19</v>
          </cell>
          <cell r="O143">
            <v>0</v>
          </cell>
          <cell r="P143">
            <v>47</v>
          </cell>
        </row>
        <row r="144">
          <cell r="B144" t="str">
            <v>SouthNorfolk</v>
          </cell>
          <cell r="C144">
            <v>0.94</v>
          </cell>
          <cell r="I144" t="str">
            <v>756_</v>
          </cell>
          <cell r="J144" t="str">
            <v>Museums</v>
          </cell>
          <cell r="K144">
            <v>683</v>
          </cell>
          <cell r="L144">
            <v>9.5</v>
          </cell>
          <cell r="M144">
            <v>14.5</v>
          </cell>
          <cell r="N144">
            <v>14.5</v>
          </cell>
          <cell r="O144">
            <v>0</v>
          </cell>
          <cell r="P144">
            <v>38.5</v>
          </cell>
        </row>
        <row r="145">
          <cell r="B145" t="str">
            <v>Breckland</v>
          </cell>
          <cell r="C145">
            <v>0.92</v>
          </cell>
          <cell r="I145" t="str">
            <v>758_</v>
          </cell>
          <cell r="J145" t="str">
            <v xml:space="preserve">Exhibition buildings </v>
          </cell>
          <cell r="K145">
            <v>800</v>
          </cell>
          <cell r="O145">
            <v>0</v>
          </cell>
          <cell r="P145">
            <v>0</v>
          </cell>
        </row>
        <row r="146">
          <cell r="B146" t="str">
            <v>Suffolk</v>
          </cell>
          <cell r="C146">
            <v>0.97</v>
          </cell>
          <cell r="I146" t="str">
            <v>760_</v>
          </cell>
          <cell r="J146" t="str">
            <v>Libraries</v>
          </cell>
          <cell r="K146">
            <v>769</v>
          </cell>
          <cell r="L146">
            <v>10.5</v>
          </cell>
          <cell r="M146">
            <v>10.5</v>
          </cell>
          <cell r="N146">
            <v>12.5</v>
          </cell>
          <cell r="O146">
            <v>0</v>
          </cell>
          <cell r="P146">
            <v>33.5</v>
          </cell>
        </row>
        <row r="147">
          <cell r="B147" t="str">
            <v>Forest Heath</v>
          </cell>
          <cell r="C147">
            <v>1.01</v>
          </cell>
          <cell r="I147" t="str">
            <v>762_</v>
          </cell>
          <cell r="J147" t="str">
            <v>Public Libraries</v>
          </cell>
          <cell r="K147">
            <v>782</v>
          </cell>
          <cell r="O147">
            <v>0</v>
          </cell>
          <cell r="P147">
            <v>0</v>
          </cell>
        </row>
        <row r="148">
          <cell r="B148" t="str">
            <v>St Edmundsbury</v>
          </cell>
          <cell r="C148">
            <v>0.98</v>
          </cell>
          <cell r="I148" t="str">
            <v>763_</v>
          </cell>
          <cell r="J148" t="str">
            <v>School/colleges</v>
          </cell>
          <cell r="K148">
            <v>696</v>
          </cell>
          <cell r="O148">
            <v>0</v>
          </cell>
          <cell r="P148">
            <v>0</v>
          </cell>
        </row>
        <row r="149">
          <cell r="B149" t="str">
            <v>Mid Suffolk</v>
          </cell>
          <cell r="C149">
            <v>0.97</v>
          </cell>
          <cell r="I149" t="str">
            <v>764_</v>
          </cell>
          <cell r="J149" t="str">
            <v>Special libraries</v>
          </cell>
          <cell r="K149">
            <v>944</v>
          </cell>
          <cell r="O149">
            <v>0</v>
          </cell>
          <cell r="P149">
            <v>0</v>
          </cell>
        </row>
        <row r="150">
          <cell r="B150" t="str">
            <v>Waveney</v>
          </cell>
          <cell r="C150">
            <v>0.94</v>
          </cell>
          <cell r="I150" t="str">
            <v>766_</v>
          </cell>
          <cell r="J150" t="str">
            <v>Computer buildings - generally</v>
          </cell>
          <cell r="K150">
            <v>1149</v>
          </cell>
          <cell r="L150">
            <v>13.5</v>
          </cell>
          <cell r="M150">
            <v>20.5</v>
          </cell>
          <cell r="N150">
            <v>9</v>
          </cell>
          <cell r="O150">
            <v>0</v>
          </cell>
          <cell r="P150">
            <v>43</v>
          </cell>
        </row>
        <row r="151">
          <cell r="B151" t="str">
            <v>Suffolk Coastal</v>
          </cell>
          <cell r="C151">
            <v>0.97</v>
          </cell>
          <cell r="I151" t="str">
            <v>767_</v>
          </cell>
          <cell r="J151" t="str">
            <v>Record offices, archives, patent, offices</v>
          </cell>
          <cell r="K151">
            <v>860</v>
          </cell>
          <cell r="O151">
            <v>0</v>
          </cell>
          <cell r="P151">
            <v>0</v>
          </cell>
        </row>
        <row r="152">
          <cell r="B152" t="str">
            <v>Ipswich</v>
          </cell>
          <cell r="C152">
            <v>0.97</v>
          </cell>
          <cell r="I152" t="str">
            <v>800_</v>
          </cell>
          <cell r="J152" t="str">
            <v>Residential</v>
          </cell>
          <cell r="O152">
            <v>0</v>
          </cell>
          <cell r="P152">
            <v>0</v>
          </cell>
        </row>
        <row r="153">
          <cell r="B153" t="str">
            <v>Babergh</v>
          </cell>
          <cell r="C153">
            <v>0.94</v>
          </cell>
          <cell r="I153" t="str">
            <v>810_</v>
          </cell>
          <cell r="J153" t="str">
            <v>Housing, mixed developments</v>
          </cell>
          <cell r="K153">
            <v>485</v>
          </cell>
          <cell r="O153">
            <v>0</v>
          </cell>
          <cell r="P153">
            <v>0</v>
          </cell>
        </row>
        <row r="154">
          <cell r="B154" t="str">
            <v>0</v>
          </cell>
          <cell r="I154" t="str">
            <v>810_</v>
          </cell>
          <cell r="J154" t="str">
            <v>Estate housing generally</v>
          </cell>
          <cell r="K154">
            <v>460</v>
          </cell>
          <cell r="L154">
            <v>0.15</v>
          </cell>
          <cell r="M154">
            <v>8.5</v>
          </cell>
          <cell r="N154">
            <v>7</v>
          </cell>
          <cell r="O154">
            <v>0</v>
          </cell>
          <cell r="P154">
            <v>15.65</v>
          </cell>
        </row>
        <row r="155">
          <cell r="B155" t="str">
            <v>SOUTH EAST (ex G London)</v>
          </cell>
          <cell r="C155">
            <v>1.04</v>
          </cell>
          <cell r="I155" t="str">
            <v>816_</v>
          </cell>
          <cell r="J155" t="str">
            <v>Flats generally</v>
          </cell>
          <cell r="K155">
            <v>530</v>
          </cell>
          <cell r="L155">
            <v>5</v>
          </cell>
          <cell r="M155">
            <v>7.5</v>
          </cell>
          <cell r="N155">
            <v>7</v>
          </cell>
          <cell r="O155">
            <v>0</v>
          </cell>
          <cell r="P155">
            <v>19.5</v>
          </cell>
        </row>
        <row r="156">
          <cell r="B156" t="str">
            <v>Bedfordshire</v>
          </cell>
          <cell r="C156">
            <v>1.02</v>
          </cell>
          <cell r="I156" t="str">
            <v>820_1</v>
          </cell>
          <cell r="J156" t="str">
            <v>One off housing</v>
          </cell>
          <cell r="K156">
            <v>747</v>
          </cell>
          <cell r="O156">
            <v>0</v>
          </cell>
          <cell r="P156">
            <v>0</v>
          </cell>
        </row>
        <row r="157">
          <cell r="B157" t="str">
            <v>North Bedfordshire</v>
          </cell>
          <cell r="C157">
            <v>0.99</v>
          </cell>
          <cell r="I157" t="str">
            <v>841_</v>
          </cell>
          <cell r="J157" t="str">
            <v>Housing in connection</v>
          </cell>
          <cell r="K157">
            <v>516</v>
          </cell>
          <cell r="O157">
            <v>0</v>
          </cell>
          <cell r="P157">
            <v>0</v>
          </cell>
        </row>
        <row r="158">
          <cell r="B158" t="str">
            <v>Mid Bedfordshire</v>
          </cell>
          <cell r="C158">
            <v>1.02</v>
          </cell>
          <cell r="I158" t="str">
            <v>843_</v>
          </cell>
          <cell r="J158" t="str">
            <v>Shelterered housing</v>
          </cell>
          <cell r="K158">
            <v>550</v>
          </cell>
          <cell r="L158">
            <v>10</v>
          </cell>
          <cell r="M158">
            <v>9</v>
          </cell>
          <cell r="N158">
            <v>8</v>
          </cell>
          <cell r="O158">
            <v>0</v>
          </cell>
          <cell r="P158">
            <v>27</v>
          </cell>
        </row>
        <row r="159">
          <cell r="B159" t="str">
            <v>South Bedfordshire</v>
          </cell>
          <cell r="C159">
            <v>1.04</v>
          </cell>
          <cell r="I159" t="str">
            <v>852_</v>
          </cell>
          <cell r="J159" t="str">
            <v>Hotels</v>
          </cell>
          <cell r="K159">
            <v>757</v>
          </cell>
          <cell r="L159">
            <v>17</v>
          </cell>
          <cell r="M159">
            <v>14</v>
          </cell>
          <cell r="N159">
            <v>13</v>
          </cell>
          <cell r="O159">
            <v>0</v>
          </cell>
          <cell r="P159">
            <v>44</v>
          </cell>
        </row>
        <row r="160">
          <cell r="B160" t="str">
            <v>Luton</v>
          </cell>
          <cell r="C160">
            <v>1.06</v>
          </cell>
          <cell r="I160" t="str">
            <v>856_</v>
          </cell>
          <cell r="J160" t="str">
            <v>Dormitories</v>
          </cell>
          <cell r="K160">
            <v>633</v>
          </cell>
          <cell r="O160">
            <v>0</v>
          </cell>
          <cell r="P160">
            <v>0</v>
          </cell>
        </row>
        <row r="161">
          <cell r="B161" t="str">
            <v>Essex</v>
          </cell>
          <cell r="C161">
            <v>1.03</v>
          </cell>
          <cell r="I161" t="str">
            <v>856_3</v>
          </cell>
          <cell r="J161" t="str">
            <v>Nurses' residences</v>
          </cell>
          <cell r="K161">
            <v>789</v>
          </cell>
          <cell r="L161">
            <v>12.5</v>
          </cell>
          <cell r="M161">
            <v>8.5</v>
          </cell>
          <cell r="N161">
            <v>9.5</v>
          </cell>
          <cell r="O161">
            <v>0</v>
          </cell>
          <cell r="P161">
            <v>30.5</v>
          </cell>
        </row>
        <row r="162">
          <cell r="B162" t="str">
            <v>Uttlesford</v>
          </cell>
          <cell r="C162">
            <v>1.01</v>
          </cell>
          <cell r="I162" t="str">
            <v>856_4</v>
          </cell>
          <cell r="J162" t="str">
            <v>Staff residential</v>
          </cell>
          <cell r="K162">
            <v>537</v>
          </cell>
          <cell r="O162">
            <v>0</v>
          </cell>
          <cell r="P162">
            <v>0</v>
          </cell>
        </row>
        <row r="163">
          <cell r="B163" t="str">
            <v>Braintree</v>
          </cell>
          <cell r="C163">
            <v>0.99</v>
          </cell>
          <cell r="I163" t="str">
            <v>856_5</v>
          </cell>
          <cell r="J163" t="str">
            <v>Barracks</v>
          </cell>
          <cell r="K163">
            <v>594</v>
          </cell>
          <cell r="O163">
            <v>0</v>
          </cell>
          <cell r="P163">
            <v>0</v>
          </cell>
        </row>
        <row r="164">
          <cell r="B164" t="str">
            <v>Colchester</v>
          </cell>
          <cell r="C164">
            <v>0.98</v>
          </cell>
          <cell r="I164" t="str">
            <v>856_7</v>
          </cell>
          <cell r="J164" t="str">
            <v>Youth Hostels</v>
          </cell>
          <cell r="K164">
            <v>6633</v>
          </cell>
          <cell r="O164">
            <v>0</v>
          </cell>
          <cell r="P164">
            <v>0</v>
          </cell>
        </row>
        <row r="165">
          <cell r="B165" t="str">
            <v>Tendring</v>
          </cell>
          <cell r="C165">
            <v>1</v>
          </cell>
          <cell r="I165" t="str">
            <v>856_8</v>
          </cell>
          <cell r="J165" t="str">
            <v>Short stay hostels</v>
          </cell>
          <cell r="K165">
            <v>700</v>
          </cell>
          <cell r="O165">
            <v>0</v>
          </cell>
          <cell r="P165">
            <v>0</v>
          </cell>
        </row>
        <row r="166">
          <cell r="B166" t="str">
            <v>Maldon</v>
          </cell>
          <cell r="C166">
            <v>1.05</v>
          </cell>
        </row>
        <row r="167">
          <cell r="B167" t="str">
            <v>Chelmsford</v>
          </cell>
          <cell r="C167">
            <v>1.01</v>
          </cell>
        </row>
        <row r="168">
          <cell r="B168" t="str">
            <v>Epping Forest</v>
          </cell>
          <cell r="C168">
            <v>1.08</v>
          </cell>
        </row>
        <row r="169">
          <cell r="B169" t="str">
            <v>Harlow</v>
          </cell>
          <cell r="C169">
            <v>1.06</v>
          </cell>
        </row>
        <row r="170">
          <cell r="B170" t="str">
            <v>Brentwood</v>
          </cell>
          <cell r="C170">
            <v>1.05</v>
          </cell>
        </row>
        <row r="171">
          <cell r="B171" t="str">
            <v>Basildon</v>
          </cell>
          <cell r="C171">
            <v>1.05</v>
          </cell>
        </row>
        <row r="172">
          <cell r="B172" t="str">
            <v>Rochford</v>
          </cell>
          <cell r="C172">
            <v>1.18</v>
          </cell>
        </row>
        <row r="173">
          <cell r="B173" t="str">
            <v>Southend-on-Sea</v>
          </cell>
          <cell r="C173">
            <v>1.01</v>
          </cell>
        </row>
        <row r="174">
          <cell r="B174" t="str">
            <v>CastlePoint</v>
          </cell>
          <cell r="C174">
            <v>1.08</v>
          </cell>
        </row>
        <row r="175">
          <cell r="B175" t="str">
            <v>Thurrock</v>
          </cell>
          <cell r="C175">
            <v>1.03</v>
          </cell>
        </row>
        <row r="176">
          <cell r="B176" t="str">
            <v>Hertfordshire</v>
          </cell>
          <cell r="C176">
            <v>1.07</v>
          </cell>
        </row>
        <row r="177">
          <cell r="B177" t="str">
            <v>NorthHertfordshire</v>
          </cell>
          <cell r="C177">
            <v>1.06</v>
          </cell>
        </row>
        <row r="178">
          <cell r="B178" t="str">
            <v>Stevenage</v>
          </cell>
          <cell r="C178">
            <v>1.04</v>
          </cell>
        </row>
        <row r="179">
          <cell r="B179" t="str">
            <v>East Hertfordshire</v>
          </cell>
          <cell r="C179">
            <v>1.05</v>
          </cell>
        </row>
        <row r="180">
          <cell r="B180" t="str">
            <v>Broxbourne</v>
          </cell>
          <cell r="C180">
            <v>1.1399999999999999</v>
          </cell>
        </row>
        <row r="181">
          <cell r="B181" t="str">
            <v>Welwyn Hatfield</v>
          </cell>
          <cell r="C181">
            <v>1.0900000000000001</v>
          </cell>
        </row>
        <row r="182">
          <cell r="B182" t="str">
            <v>StAlbans</v>
          </cell>
          <cell r="C182">
            <v>1.03</v>
          </cell>
        </row>
        <row r="183">
          <cell r="B183" t="str">
            <v>Dacorum</v>
          </cell>
          <cell r="C183">
            <v>1.1000000000000001</v>
          </cell>
        </row>
        <row r="184">
          <cell r="B184" t="str">
            <v>Three Rivers</v>
          </cell>
          <cell r="C184">
            <v>1.1000000000000001</v>
          </cell>
        </row>
        <row r="185">
          <cell r="B185" t="str">
            <v>Watford</v>
          </cell>
          <cell r="C185">
            <v>1.0900000000000001</v>
          </cell>
        </row>
        <row r="186">
          <cell r="B186" t="str">
            <v>Hertsmere</v>
          </cell>
          <cell r="C186">
            <v>1.07</v>
          </cell>
        </row>
        <row r="187">
          <cell r="B187" t="str">
            <v>Kent</v>
          </cell>
          <cell r="C187">
            <v>1.05</v>
          </cell>
        </row>
        <row r="188">
          <cell r="B188" t="str">
            <v>Dartford</v>
          </cell>
          <cell r="C188">
            <v>1.1000000000000001</v>
          </cell>
        </row>
        <row r="189">
          <cell r="B189" t="str">
            <v>Medway</v>
          </cell>
          <cell r="C189">
            <v>1.06</v>
          </cell>
        </row>
        <row r="190">
          <cell r="B190" t="str">
            <v>Gillingham</v>
          </cell>
          <cell r="C190">
            <v>1.06</v>
          </cell>
        </row>
        <row r="191">
          <cell r="B191" t="str">
            <v>Swale</v>
          </cell>
          <cell r="C191">
            <v>1</v>
          </cell>
        </row>
        <row r="192">
          <cell r="B192" t="str">
            <v>Canterbury</v>
          </cell>
          <cell r="C192">
            <v>1.08</v>
          </cell>
        </row>
        <row r="193">
          <cell r="B193" t="str">
            <v>Thanet</v>
          </cell>
          <cell r="C193">
            <v>1.04</v>
          </cell>
        </row>
        <row r="194">
          <cell r="B194" t="str">
            <v>Dover</v>
          </cell>
          <cell r="C194">
            <v>1.06</v>
          </cell>
        </row>
        <row r="195">
          <cell r="B195" t="str">
            <v>Shepway</v>
          </cell>
          <cell r="C195">
            <v>0.97</v>
          </cell>
        </row>
        <row r="196">
          <cell r="B196" t="str">
            <v>Ashford</v>
          </cell>
          <cell r="C196">
            <v>1.07</v>
          </cell>
        </row>
        <row r="197">
          <cell r="B197" t="str">
            <v>Maidstone</v>
          </cell>
          <cell r="C197">
            <v>1.03</v>
          </cell>
        </row>
        <row r="198">
          <cell r="B198" t="str">
            <v>Tonbridge and Malling</v>
          </cell>
          <cell r="C198">
            <v>1.04</v>
          </cell>
        </row>
        <row r="199">
          <cell r="B199" t="str">
            <v>Sevenoaks</v>
          </cell>
          <cell r="C199">
            <v>1.1399999999999999</v>
          </cell>
        </row>
        <row r="200">
          <cell r="B200" t="str">
            <v>Tunbridge Wells</v>
          </cell>
          <cell r="C200">
            <v>1.06</v>
          </cell>
        </row>
        <row r="201">
          <cell r="B201" t="str">
            <v>Surrey</v>
          </cell>
          <cell r="C201">
            <v>1.1000000000000001</v>
          </cell>
        </row>
        <row r="202">
          <cell r="B202" t="str">
            <v>Spelthorne</v>
          </cell>
          <cell r="C202">
            <v>1.0900000000000001</v>
          </cell>
        </row>
        <row r="203">
          <cell r="B203" t="str">
            <v>Runnymede</v>
          </cell>
          <cell r="C203">
            <v>1.06</v>
          </cell>
        </row>
        <row r="204">
          <cell r="B204" t="str">
            <v>SurreyHeath</v>
          </cell>
          <cell r="C204">
            <v>1.1299999999999999</v>
          </cell>
        </row>
        <row r="205">
          <cell r="B205" t="str">
            <v>Woking</v>
          </cell>
          <cell r="C205">
            <v>1.1200000000000001</v>
          </cell>
        </row>
        <row r="206">
          <cell r="B206" t="str">
            <v>Elmbridge</v>
          </cell>
          <cell r="C206">
            <v>1.1299999999999999</v>
          </cell>
        </row>
        <row r="207">
          <cell r="B207" t="str">
            <v>Epsom and Ewell</v>
          </cell>
          <cell r="C207">
            <v>1.08</v>
          </cell>
        </row>
        <row r="208">
          <cell r="B208" t="str">
            <v>Reigate and Banstead</v>
          </cell>
          <cell r="C208">
            <v>1.1100000000000001</v>
          </cell>
        </row>
        <row r="209">
          <cell r="B209" t="str">
            <v>Tandridge</v>
          </cell>
          <cell r="C209">
            <v>1.08</v>
          </cell>
        </row>
        <row r="210">
          <cell r="B210" t="str">
            <v>Mole Valley</v>
          </cell>
          <cell r="C210">
            <v>1.1299999999999999</v>
          </cell>
        </row>
        <row r="211">
          <cell r="B211" t="str">
            <v>Guildford</v>
          </cell>
          <cell r="C211">
            <v>1.0900000000000001</v>
          </cell>
        </row>
        <row r="212">
          <cell r="B212" t="str">
            <v>Waverley</v>
          </cell>
          <cell r="C212">
            <v>1.0900000000000001</v>
          </cell>
        </row>
        <row r="213">
          <cell r="B213" t="str">
            <v>EastSussex</v>
          </cell>
          <cell r="C213">
            <v>1.06</v>
          </cell>
        </row>
        <row r="214">
          <cell r="B214" t="str">
            <v>Hove</v>
          </cell>
          <cell r="C214">
            <v>1</v>
          </cell>
        </row>
        <row r="215">
          <cell r="B215" t="str">
            <v>Brighton</v>
          </cell>
          <cell r="C215">
            <v>1.08</v>
          </cell>
        </row>
        <row r="216">
          <cell r="B216" t="str">
            <v>Lewes</v>
          </cell>
          <cell r="C216">
            <v>1.03</v>
          </cell>
        </row>
        <row r="217">
          <cell r="B217" t="str">
            <v>Wealden</v>
          </cell>
          <cell r="C217">
            <v>1.04</v>
          </cell>
        </row>
        <row r="218">
          <cell r="B218" t="str">
            <v>Eastbourne</v>
          </cell>
          <cell r="C218">
            <v>1.07</v>
          </cell>
        </row>
        <row r="219">
          <cell r="B219" t="str">
            <v>Rother</v>
          </cell>
          <cell r="C219">
            <v>1.03</v>
          </cell>
        </row>
        <row r="220">
          <cell r="B220" t="str">
            <v>Hastings</v>
          </cell>
          <cell r="C220">
            <v>1.1200000000000001</v>
          </cell>
        </row>
        <row r="221">
          <cell r="B221" t="str">
            <v>WestSussex</v>
          </cell>
          <cell r="C221">
            <v>1.05</v>
          </cell>
        </row>
        <row r="222">
          <cell r="B222" t="str">
            <v>Chichester</v>
          </cell>
          <cell r="C222">
            <v>1</v>
          </cell>
        </row>
        <row r="223">
          <cell r="B223" t="str">
            <v>Horsham</v>
          </cell>
          <cell r="C223">
            <v>1.08</v>
          </cell>
        </row>
        <row r="224">
          <cell r="B224" t="str">
            <v>Crawley</v>
          </cell>
          <cell r="C224">
            <v>1.07</v>
          </cell>
        </row>
        <row r="225">
          <cell r="B225" t="str">
            <v>MidSussex</v>
          </cell>
          <cell r="C225">
            <v>1.06</v>
          </cell>
        </row>
        <row r="226">
          <cell r="B226" t="str">
            <v>Adur</v>
          </cell>
          <cell r="C226">
            <v>1.03</v>
          </cell>
        </row>
        <row r="227">
          <cell r="B227" t="str">
            <v>Worthing</v>
          </cell>
          <cell r="C227">
            <v>1.06</v>
          </cell>
        </row>
        <row r="228">
          <cell r="B228" t="str">
            <v>Arun</v>
          </cell>
          <cell r="C228">
            <v>1.1000000000000001</v>
          </cell>
        </row>
        <row r="229">
          <cell r="B229" t="str">
            <v>Berkshire</v>
          </cell>
          <cell r="C229">
            <v>1.05</v>
          </cell>
        </row>
        <row r="230">
          <cell r="B230" t="str">
            <v>Newbury</v>
          </cell>
          <cell r="C230">
            <v>1.01</v>
          </cell>
        </row>
        <row r="231">
          <cell r="B231" t="str">
            <v>Reading</v>
          </cell>
          <cell r="C231">
            <v>1.05</v>
          </cell>
        </row>
        <row r="232">
          <cell r="B232" t="str">
            <v>Wokingham</v>
          </cell>
          <cell r="C232">
            <v>1.03</v>
          </cell>
        </row>
        <row r="233">
          <cell r="B233" t="str">
            <v>Bracknell</v>
          </cell>
          <cell r="C233">
            <v>1.0900000000000001</v>
          </cell>
        </row>
        <row r="234">
          <cell r="B234" t="str">
            <v>Windsor and Maidenhead</v>
          </cell>
          <cell r="C234">
            <v>1.0900000000000001</v>
          </cell>
        </row>
        <row r="235">
          <cell r="B235" t="str">
            <v>Slough</v>
          </cell>
          <cell r="C235">
            <v>1.03</v>
          </cell>
        </row>
        <row r="236">
          <cell r="B236" t="str">
            <v>Buckinghamshire</v>
          </cell>
          <cell r="C236">
            <v>1.04</v>
          </cell>
        </row>
        <row r="237">
          <cell r="B237" t="str">
            <v>MiltonKeynes</v>
          </cell>
          <cell r="C237">
            <v>1</v>
          </cell>
        </row>
        <row r="238">
          <cell r="B238" t="str">
            <v>AylesburyVale</v>
          </cell>
          <cell r="C238">
            <v>1.04</v>
          </cell>
        </row>
        <row r="239">
          <cell r="B239" t="str">
            <v>Wycombe</v>
          </cell>
          <cell r="C239">
            <v>1.08</v>
          </cell>
        </row>
        <row r="240">
          <cell r="B240" t="str">
            <v>Chiltern</v>
          </cell>
          <cell r="C240">
            <v>1.07</v>
          </cell>
        </row>
        <row r="241">
          <cell r="B241" t="str">
            <v>South Buckinghamshire</v>
          </cell>
          <cell r="C241">
            <v>1.1000000000000001</v>
          </cell>
        </row>
        <row r="242">
          <cell r="B242" t="str">
            <v>Hampshire</v>
          </cell>
          <cell r="C242">
            <v>1.01</v>
          </cell>
        </row>
        <row r="243">
          <cell r="B243" t="str">
            <v>Basingstoke</v>
          </cell>
          <cell r="C243">
            <v>1.04</v>
          </cell>
        </row>
        <row r="244">
          <cell r="B244" t="str">
            <v>Hart</v>
          </cell>
          <cell r="C244">
            <v>1.07</v>
          </cell>
        </row>
        <row r="245">
          <cell r="B245" t="str">
            <v>Rushmoor</v>
          </cell>
          <cell r="C245">
            <v>1.06</v>
          </cell>
        </row>
        <row r="246">
          <cell r="B246" t="str">
            <v>Test Valley</v>
          </cell>
          <cell r="C246">
            <v>1.01</v>
          </cell>
        </row>
        <row r="247">
          <cell r="B247" t="str">
            <v>Winchester</v>
          </cell>
          <cell r="C247">
            <v>1.04</v>
          </cell>
        </row>
        <row r="248">
          <cell r="B248" t="str">
            <v>East Hampshire</v>
          </cell>
          <cell r="C248">
            <v>1.08</v>
          </cell>
        </row>
        <row r="249">
          <cell r="B249" t="str">
            <v>New Forest</v>
          </cell>
          <cell r="C249">
            <v>0.98</v>
          </cell>
        </row>
        <row r="250">
          <cell r="B250" t="str">
            <v>Southampton</v>
          </cell>
          <cell r="C250">
            <v>1.01</v>
          </cell>
        </row>
        <row r="251">
          <cell r="B251" t="str">
            <v>Eastleigh</v>
          </cell>
          <cell r="C251">
            <v>0.98</v>
          </cell>
        </row>
        <row r="252">
          <cell r="B252" t="str">
            <v>Fareham</v>
          </cell>
          <cell r="C252">
            <v>1.02</v>
          </cell>
        </row>
        <row r="253">
          <cell r="B253" t="str">
            <v>Gosport</v>
          </cell>
          <cell r="C253">
            <v>1.01</v>
          </cell>
        </row>
        <row r="254">
          <cell r="B254" t="str">
            <v>Portsmouth</v>
          </cell>
          <cell r="C254">
            <v>0.99</v>
          </cell>
        </row>
        <row r="255">
          <cell r="B255" t="str">
            <v>Havant</v>
          </cell>
          <cell r="C255">
            <v>1</v>
          </cell>
        </row>
        <row r="256">
          <cell r="B256" t="str">
            <v>Isle of Wight</v>
          </cell>
          <cell r="C256">
            <v>1.02</v>
          </cell>
        </row>
        <row r="257">
          <cell r="B257" t="str">
            <v>Medina</v>
          </cell>
          <cell r="C257">
            <v>1.03</v>
          </cell>
        </row>
        <row r="258">
          <cell r="B258" t="str">
            <v>South Wight</v>
          </cell>
          <cell r="C258">
            <v>1</v>
          </cell>
        </row>
        <row r="259">
          <cell r="B259" t="str">
            <v>Oxfordshire</v>
          </cell>
          <cell r="C259">
            <v>1</v>
          </cell>
        </row>
        <row r="260">
          <cell r="B260" t="str">
            <v>Cherwell</v>
          </cell>
          <cell r="C260">
            <v>0.95</v>
          </cell>
        </row>
        <row r="261">
          <cell r="B261" t="str">
            <v>West Oxfordshire</v>
          </cell>
          <cell r="C261">
            <v>1.03</v>
          </cell>
        </row>
        <row r="262">
          <cell r="B262" t="str">
            <v>Oxford</v>
          </cell>
          <cell r="C262">
            <v>1.03</v>
          </cell>
        </row>
        <row r="263">
          <cell r="B263" t="str">
            <v>Vale of White Horse</v>
          </cell>
          <cell r="C263">
            <v>0.98</v>
          </cell>
        </row>
        <row r="264">
          <cell r="B264" t="str">
            <v>South Oxfordshire</v>
          </cell>
          <cell r="C264">
            <v>0.99</v>
          </cell>
        </row>
        <row r="265">
          <cell r="B265" t="str">
            <v>GREATERLONDON</v>
          </cell>
          <cell r="C265">
            <v>1.1399999999999999</v>
          </cell>
        </row>
        <row r="266">
          <cell r="B266" t="str">
            <v>London Borough of Barking</v>
          </cell>
          <cell r="C266">
            <v>1.05</v>
          </cell>
        </row>
        <row r="267">
          <cell r="B267" t="str">
            <v>London Borough of Barnet</v>
          </cell>
          <cell r="C267">
            <v>1.1000000000000001</v>
          </cell>
        </row>
        <row r="268">
          <cell r="B268" t="str">
            <v>London Borough of Bexley</v>
          </cell>
          <cell r="C268">
            <v>1.1200000000000001</v>
          </cell>
        </row>
        <row r="269">
          <cell r="B269" t="str">
            <v>London Borough of Brent</v>
          </cell>
          <cell r="C269">
            <v>1.1200000000000001</v>
          </cell>
        </row>
        <row r="270">
          <cell r="B270" t="str">
            <v>London Borough of Bromley</v>
          </cell>
          <cell r="C270">
            <v>1.08</v>
          </cell>
        </row>
        <row r="271">
          <cell r="B271" t="str">
            <v>London Borough of Camden</v>
          </cell>
          <cell r="C271">
            <v>1.23</v>
          </cell>
        </row>
        <row r="272">
          <cell r="B272" t="str">
            <v>City of London</v>
          </cell>
          <cell r="C272">
            <v>1.18</v>
          </cell>
        </row>
        <row r="273">
          <cell r="B273" t="str">
            <v>City of Westminster</v>
          </cell>
          <cell r="C273">
            <v>1.23</v>
          </cell>
        </row>
        <row r="274">
          <cell r="B274" t="str">
            <v>London Borough of Croydon</v>
          </cell>
          <cell r="C274">
            <v>1.1200000000000001</v>
          </cell>
        </row>
        <row r="275">
          <cell r="B275" t="str">
            <v>London Borough of Ealing</v>
          </cell>
          <cell r="C275">
            <v>1.1200000000000001</v>
          </cell>
        </row>
        <row r="276">
          <cell r="B276" t="str">
            <v>London Borough of Enfield</v>
          </cell>
          <cell r="C276">
            <v>1.07</v>
          </cell>
        </row>
        <row r="277">
          <cell r="B277" t="str">
            <v>London Borough of</v>
          </cell>
        </row>
        <row r="278">
          <cell r="B278" t="str">
            <v>Greenwich</v>
          </cell>
          <cell r="C278">
            <v>1.1200000000000001</v>
          </cell>
        </row>
        <row r="279">
          <cell r="B279" t="str">
            <v>London Borough of Hackney</v>
          </cell>
          <cell r="C279">
            <v>1.17</v>
          </cell>
        </row>
        <row r="280">
          <cell r="B280" t="str">
            <v>London Borough of</v>
          </cell>
        </row>
        <row r="281">
          <cell r="B281" t="str">
            <v>Hammersmith and Fulham</v>
          </cell>
          <cell r="C281">
            <v>1.21</v>
          </cell>
        </row>
        <row r="282">
          <cell r="B282" t="str">
            <v>London Borough of Haringey</v>
          </cell>
          <cell r="C282">
            <v>1.18</v>
          </cell>
        </row>
        <row r="283">
          <cell r="B283" t="str">
            <v>London Borough of Harrow</v>
          </cell>
          <cell r="C283">
            <v>1.07</v>
          </cell>
        </row>
        <row r="284">
          <cell r="B284" t="str">
            <v>London Borough of Havering</v>
          </cell>
          <cell r="C284">
            <v>1</v>
          </cell>
        </row>
        <row r="285">
          <cell r="B285" t="str">
            <v>London Borough of Hillingdon</v>
          </cell>
          <cell r="C285">
            <v>1.08</v>
          </cell>
        </row>
        <row r="286">
          <cell r="B286" t="str">
            <v>London Borough of Hounslow</v>
          </cell>
          <cell r="C286">
            <v>1.07</v>
          </cell>
        </row>
        <row r="287">
          <cell r="B287" t="str">
            <v>Islington</v>
          </cell>
          <cell r="C287">
            <v>1.17</v>
          </cell>
        </row>
        <row r="288">
          <cell r="B288" t="str">
            <v>Kensington and Chelsea</v>
          </cell>
          <cell r="C288">
            <v>1.25</v>
          </cell>
        </row>
        <row r="289">
          <cell r="B289" t="str">
            <v>London Borough of Kingston</v>
          </cell>
        </row>
        <row r="290">
          <cell r="B290" t="str">
            <v>Upon Thames</v>
          </cell>
          <cell r="C290">
            <v>1.1399999999999999</v>
          </cell>
        </row>
        <row r="291">
          <cell r="B291" t="str">
            <v>London Borough of Lambeth</v>
          </cell>
          <cell r="C291">
            <v>1.18</v>
          </cell>
        </row>
        <row r="292">
          <cell r="B292" t="str">
            <v>London Borough of Lewisham</v>
          </cell>
          <cell r="C292">
            <v>1.08</v>
          </cell>
        </row>
        <row r="293">
          <cell r="B293" t="str">
            <v>London Borough of Merton</v>
          </cell>
          <cell r="C293">
            <v>1.1299999999999999</v>
          </cell>
        </row>
        <row r="294">
          <cell r="B294" t="str">
            <v>London Borough of Newham</v>
          </cell>
          <cell r="C294">
            <v>1.06</v>
          </cell>
        </row>
        <row r="295">
          <cell r="B295" t="str">
            <v>Redbridge</v>
          </cell>
          <cell r="C295">
            <v>1.04</v>
          </cell>
        </row>
        <row r="296">
          <cell r="B296" t="str">
            <v>Richmond Upon Thames</v>
          </cell>
          <cell r="C296">
            <v>1.1100000000000001</v>
          </cell>
        </row>
        <row r="297">
          <cell r="B297" t="str">
            <v>Southwark</v>
          </cell>
          <cell r="C297">
            <v>1.17</v>
          </cell>
        </row>
        <row r="298">
          <cell r="B298" t="str">
            <v>London Borough of Sutton</v>
          </cell>
          <cell r="C298">
            <v>1.0900000000000001</v>
          </cell>
        </row>
        <row r="299">
          <cell r="B299" t="str">
            <v>Tower Hamlets</v>
          </cell>
          <cell r="C299">
            <v>1.1499999999999999</v>
          </cell>
        </row>
        <row r="300">
          <cell r="B300" t="str">
            <v>Waltham Forest</v>
          </cell>
          <cell r="C300">
            <v>1.0900000000000001</v>
          </cell>
        </row>
        <row r="301">
          <cell r="B301" t="str">
            <v>Wandsworth</v>
          </cell>
          <cell r="C301">
            <v>1.1599999999999999</v>
          </cell>
        </row>
        <row r="302">
          <cell r="B302" t="str">
            <v>London Postal Districts</v>
          </cell>
          <cell r="C302">
            <v>1.1599999999999999</v>
          </cell>
        </row>
        <row r="303">
          <cell r="B303" t="str">
            <v>Outer London</v>
          </cell>
          <cell r="C303">
            <v>1.0900000000000001</v>
          </cell>
        </row>
        <row r="304">
          <cell r="B304" t="str">
            <v>SOUTH WEST</v>
          </cell>
          <cell r="C304">
            <v>0.98</v>
          </cell>
        </row>
        <row r="305">
          <cell r="B305" t="str">
            <v>Avon</v>
          </cell>
          <cell r="C305">
            <v>0.99</v>
          </cell>
        </row>
        <row r="306">
          <cell r="B306" t="str">
            <v>Northavon</v>
          </cell>
          <cell r="C306">
            <v>0.93</v>
          </cell>
        </row>
        <row r="307">
          <cell r="B307" t="str">
            <v>Bristol</v>
          </cell>
          <cell r="C307">
            <v>1</v>
          </cell>
        </row>
        <row r="308">
          <cell r="B308" t="str">
            <v>Kingswood</v>
          </cell>
          <cell r="C308">
            <v>0.96</v>
          </cell>
        </row>
        <row r="309">
          <cell r="B309" t="str">
            <v>Woodspring</v>
          </cell>
          <cell r="C309">
            <v>0.99</v>
          </cell>
        </row>
        <row r="310">
          <cell r="B310" t="str">
            <v>Wandsdyke</v>
          </cell>
          <cell r="C310">
            <v>1.01</v>
          </cell>
        </row>
        <row r="311">
          <cell r="B311" t="str">
            <v>Bath</v>
          </cell>
          <cell r="C311">
            <v>1.01</v>
          </cell>
        </row>
        <row r="312">
          <cell r="B312" t="str">
            <v>Cornwall</v>
          </cell>
          <cell r="C312">
            <v>0.97</v>
          </cell>
        </row>
        <row r="313">
          <cell r="B313" t="str">
            <v>North Cornwall</v>
          </cell>
          <cell r="C313">
            <v>0.97</v>
          </cell>
        </row>
        <row r="314">
          <cell r="B314" t="str">
            <v>Caradon</v>
          </cell>
          <cell r="C314">
            <v>0.97</v>
          </cell>
        </row>
        <row r="315">
          <cell r="B315" t="str">
            <v>Restormel</v>
          </cell>
          <cell r="C315">
            <v>0.98</v>
          </cell>
        </row>
        <row r="316">
          <cell r="B316" t="str">
            <v>Carrick</v>
          </cell>
          <cell r="C316">
            <v>0.97</v>
          </cell>
        </row>
        <row r="317">
          <cell r="B317" t="str">
            <v>Kerrier</v>
          </cell>
          <cell r="C317">
            <v>0.95</v>
          </cell>
        </row>
        <row r="318">
          <cell r="B318" t="str">
            <v>Penwith</v>
          </cell>
          <cell r="C318">
            <v>1</v>
          </cell>
        </row>
        <row r="319">
          <cell r="B319" t="str">
            <v>Devon</v>
          </cell>
          <cell r="C319">
            <v>0.96</v>
          </cell>
        </row>
        <row r="320">
          <cell r="B320" t="str">
            <v>North Devon</v>
          </cell>
          <cell r="C320">
            <v>0.99</v>
          </cell>
        </row>
        <row r="321">
          <cell r="B321" t="str">
            <v>Torridge</v>
          </cell>
          <cell r="C321">
            <v>0.93</v>
          </cell>
        </row>
        <row r="322">
          <cell r="B322" t="str">
            <v>Tiverton</v>
          </cell>
          <cell r="C322">
            <v>0.97</v>
          </cell>
        </row>
        <row r="323">
          <cell r="B323" t="str">
            <v>East Devon</v>
          </cell>
          <cell r="C323">
            <v>0.97</v>
          </cell>
        </row>
        <row r="324">
          <cell r="B324" t="str">
            <v>Exeter</v>
          </cell>
          <cell r="C324">
            <v>0.95</v>
          </cell>
        </row>
        <row r="325">
          <cell r="B325" t="str">
            <v>Teignbridge</v>
          </cell>
          <cell r="C325">
            <v>0.99</v>
          </cell>
        </row>
        <row r="326">
          <cell r="B326" t="str">
            <v>Plymouth</v>
          </cell>
          <cell r="C326">
            <v>0.95</v>
          </cell>
        </row>
        <row r="327">
          <cell r="B327" t="str">
            <v>South Hams</v>
          </cell>
          <cell r="C327">
            <v>0.99</v>
          </cell>
        </row>
        <row r="328">
          <cell r="B328" t="str">
            <v>Torbay</v>
          </cell>
          <cell r="C328">
            <v>0.97</v>
          </cell>
        </row>
        <row r="329">
          <cell r="B329" t="str">
            <v>Dorset</v>
          </cell>
          <cell r="C329">
            <v>0.99</v>
          </cell>
        </row>
        <row r="330">
          <cell r="B330" t="str">
            <v>North Dorset</v>
          </cell>
          <cell r="C330">
            <v>0.96</v>
          </cell>
        </row>
        <row r="331">
          <cell r="B331" t="str">
            <v>Wimborne</v>
          </cell>
          <cell r="C331">
            <v>0.97</v>
          </cell>
        </row>
        <row r="332">
          <cell r="B332" t="str">
            <v>Christchurch</v>
          </cell>
          <cell r="C332">
            <v>1</v>
          </cell>
        </row>
        <row r="333">
          <cell r="B333" t="str">
            <v>Bournemouth</v>
          </cell>
          <cell r="C333">
            <v>1.02</v>
          </cell>
        </row>
        <row r="334">
          <cell r="B334" t="str">
            <v>Poole</v>
          </cell>
          <cell r="C334">
            <v>1.02</v>
          </cell>
        </row>
        <row r="335">
          <cell r="B335" t="str">
            <v>Purbeck</v>
          </cell>
          <cell r="C335">
            <v>0.98</v>
          </cell>
        </row>
        <row r="336">
          <cell r="B336" t="str">
            <v>West Dorset</v>
          </cell>
          <cell r="C336">
            <v>0.99</v>
          </cell>
        </row>
        <row r="337">
          <cell r="B337" t="str">
            <v>Weymouth and Portland</v>
          </cell>
          <cell r="C337">
            <v>0.96</v>
          </cell>
        </row>
        <row r="338">
          <cell r="B338" t="str">
            <v>Gloucestershire</v>
          </cell>
          <cell r="C338">
            <v>0.99</v>
          </cell>
        </row>
        <row r="339">
          <cell r="B339" t="str">
            <v>Forest of Dean</v>
          </cell>
          <cell r="C339">
            <v>0.94</v>
          </cell>
        </row>
        <row r="340">
          <cell r="B340" t="str">
            <v>Gloucester</v>
          </cell>
          <cell r="C340">
            <v>0.96</v>
          </cell>
        </row>
        <row r="341">
          <cell r="B341" t="str">
            <v>Tewkesbury</v>
          </cell>
          <cell r="C341">
            <v>0.93</v>
          </cell>
        </row>
        <row r="342">
          <cell r="B342" t="str">
            <v>Cheltenham</v>
          </cell>
          <cell r="C342">
            <v>1.01</v>
          </cell>
        </row>
        <row r="343">
          <cell r="B343" t="str">
            <v>Cotswold</v>
          </cell>
          <cell r="C343">
            <v>1.01</v>
          </cell>
        </row>
        <row r="344">
          <cell r="B344" t="str">
            <v>Stroud</v>
          </cell>
          <cell r="C344">
            <v>1.01</v>
          </cell>
        </row>
        <row r="345">
          <cell r="B345" t="str">
            <v>Somerset</v>
          </cell>
          <cell r="C345">
            <v>0.96</v>
          </cell>
        </row>
        <row r="346">
          <cell r="B346" t="str">
            <v>Taunton Deane</v>
          </cell>
          <cell r="C346">
            <v>0.98</v>
          </cell>
        </row>
        <row r="347">
          <cell r="B347" t="str">
            <v>Sedgemoor</v>
          </cell>
          <cell r="C347">
            <v>0.94</v>
          </cell>
        </row>
        <row r="348">
          <cell r="B348" t="str">
            <v>Mendip</v>
          </cell>
          <cell r="C348">
            <v>0.98</v>
          </cell>
        </row>
        <row r="349">
          <cell r="B349" t="str">
            <v>Yeovil</v>
          </cell>
          <cell r="C349">
            <v>0.95</v>
          </cell>
        </row>
        <row r="350">
          <cell r="B350" t="str">
            <v>Wiltshire</v>
          </cell>
          <cell r="C350">
            <v>0.99</v>
          </cell>
        </row>
        <row r="351">
          <cell r="B351" t="str">
            <v>Thamesdown</v>
          </cell>
          <cell r="C351">
            <v>0.98</v>
          </cell>
        </row>
        <row r="352">
          <cell r="B352" t="str">
            <v>North Wiltshire</v>
          </cell>
          <cell r="C352">
            <v>1</v>
          </cell>
        </row>
        <row r="353">
          <cell r="B353" t="str">
            <v>Kennet</v>
          </cell>
          <cell r="C353">
            <v>1.03</v>
          </cell>
        </row>
        <row r="354">
          <cell r="B354" t="str">
            <v>West Wiltshire</v>
          </cell>
          <cell r="C354">
            <v>0.95</v>
          </cell>
        </row>
        <row r="355">
          <cell r="B355" t="str">
            <v>Salisbury</v>
          </cell>
          <cell r="C355">
            <v>1</v>
          </cell>
        </row>
        <row r="356">
          <cell r="B356" t="str">
            <v>WEST MIDLANDS</v>
          </cell>
          <cell r="C356">
            <v>0.94</v>
          </cell>
        </row>
        <row r="357">
          <cell r="B357" t="str">
            <v>Hereford and Worcester</v>
          </cell>
          <cell r="C357">
            <v>0.94</v>
          </cell>
        </row>
        <row r="358">
          <cell r="B358" t="str">
            <v>Wyre Forest</v>
          </cell>
          <cell r="C358">
            <v>0.99</v>
          </cell>
        </row>
        <row r="359">
          <cell r="B359" t="str">
            <v>Bromsgrove</v>
          </cell>
          <cell r="C359">
            <v>0.95</v>
          </cell>
        </row>
        <row r="360">
          <cell r="B360" t="str">
            <v>Redditch</v>
          </cell>
          <cell r="C360">
            <v>0.9</v>
          </cell>
        </row>
        <row r="361">
          <cell r="B361" t="str">
            <v>Wychavon</v>
          </cell>
          <cell r="C361">
            <v>0.96</v>
          </cell>
        </row>
        <row r="362">
          <cell r="B362" t="str">
            <v>Worcester</v>
          </cell>
          <cell r="C362">
            <v>0.93</v>
          </cell>
        </row>
        <row r="363">
          <cell r="B363" t="str">
            <v>Malvern Hills</v>
          </cell>
          <cell r="C363">
            <v>0.98</v>
          </cell>
        </row>
        <row r="364">
          <cell r="B364" t="str">
            <v>Leominster</v>
          </cell>
          <cell r="C364">
            <v>0.85</v>
          </cell>
        </row>
        <row r="365">
          <cell r="B365" t="str">
            <v>Hereford</v>
          </cell>
          <cell r="C365">
            <v>0.9</v>
          </cell>
        </row>
        <row r="366">
          <cell r="B366" t="str">
            <v>South Herefordshire</v>
          </cell>
          <cell r="C366">
            <v>0.98</v>
          </cell>
        </row>
        <row r="367">
          <cell r="B367" t="str">
            <v>Shropshire</v>
          </cell>
          <cell r="C367">
            <v>0.93</v>
          </cell>
        </row>
        <row r="368">
          <cell r="B368" t="str">
            <v>Oswestry</v>
          </cell>
          <cell r="C368">
            <v>0.95</v>
          </cell>
        </row>
        <row r="369">
          <cell r="B369" t="str">
            <v>North Shropshire</v>
          </cell>
          <cell r="C369">
            <v>0.92</v>
          </cell>
        </row>
        <row r="370">
          <cell r="B370" t="str">
            <v>Shrewsbury and Atcham</v>
          </cell>
          <cell r="C370">
            <v>0.95</v>
          </cell>
        </row>
        <row r="371">
          <cell r="B371" t="str">
            <v>The Wrekin</v>
          </cell>
          <cell r="C371">
            <v>0.91</v>
          </cell>
        </row>
        <row r="372">
          <cell r="B372" t="str">
            <v>South Shropshire</v>
          </cell>
          <cell r="C372">
            <v>0.96</v>
          </cell>
        </row>
        <row r="373">
          <cell r="B373" t="str">
            <v>Bridgnorth</v>
          </cell>
          <cell r="C373">
            <v>0.89</v>
          </cell>
        </row>
        <row r="374">
          <cell r="B374" t="str">
            <v>Staffordshire</v>
          </cell>
          <cell r="C374">
            <v>0.91</v>
          </cell>
        </row>
        <row r="375">
          <cell r="B375" t="str">
            <v>Newcastle-under-Lyme</v>
          </cell>
          <cell r="C375">
            <v>0.91</v>
          </cell>
        </row>
        <row r="376">
          <cell r="B376" t="str">
            <v>Stoke-on-Trent</v>
          </cell>
          <cell r="C376">
            <v>0.92</v>
          </cell>
        </row>
        <row r="377">
          <cell r="B377" t="str">
            <v>Staffordshire Moors</v>
          </cell>
          <cell r="C377">
            <v>0.91</v>
          </cell>
        </row>
        <row r="378">
          <cell r="B378" t="str">
            <v>Stafford</v>
          </cell>
          <cell r="C378">
            <v>0.94</v>
          </cell>
        </row>
        <row r="379">
          <cell r="B379" t="str">
            <v>East Staffordshire</v>
          </cell>
          <cell r="C379">
            <v>0.85</v>
          </cell>
        </row>
        <row r="380">
          <cell r="B380" t="str">
            <v>South Staffordshire</v>
          </cell>
          <cell r="C380">
            <v>0.91</v>
          </cell>
        </row>
        <row r="381">
          <cell r="B381" t="str">
            <v>Cannock Chase</v>
          </cell>
          <cell r="C381">
            <v>0.95</v>
          </cell>
        </row>
        <row r="382">
          <cell r="B382" t="str">
            <v>Lichfield</v>
          </cell>
          <cell r="C382">
            <v>0.97</v>
          </cell>
        </row>
        <row r="383">
          <cell r="B383" t="str">
            <v>Tamworth</v>
          </cell>
          <cell r="C383">
            <v>0.87</v>
          </cell>
        </row>
        <row r="384">
          <cell r="B384" t="str">
            <v>Warwickshire</v>
          </cell>
          <cell r="C384">
            <v>0.96</v>
          </cell>
        </row>
        <row r="385">
          <cell r="B385" t="str">
            <v>North Warwickshire</v>
          </cell>
          <cell r="C385">
            <v>0.94</v>
          </cell>
        </row>
        <row r="386">
          <cell r="B386" t="str">
            <v>Nuneaton</v>
          </cell>
          <cell r="C386">
            <v>0.9</v>
          </cell>
        </row>
        <row r="387">
          <cell r="B387" t="str">
            <v>Rugby</v>
          </cell>
          <cell r="C387">
            <v>0.95</v>
          </cell>
        </row>
        <row r="388">
          <cell r="B388" t="str">
            <v>Warwick</v>
          </cell>
          <cell r="C388">
            <v>0.98</v>
          </cell>
        </row>
        <row r="389">
          <cell r="B389" t="str">
            <v>Stratford-on-Avon</v>
          </cell>
          <cell r="C389">
            <v>1</v>
          </cell>
        </row>
        <row r="390">
          <cell r="B390" t="str">
            <v>WestMidlands</v>
          </cell>
          <cell r="C390">
            <v>0.94</v>
          </cell>
        </row>
        <row r="391">
          <cell r="B391" t="str">
            <v>Walsall</v>
          </cell>
          <cell r="C391">
            <v>0.91</v>
          </cell>
        </row>
        <row r="392">
          <cell r="B392" t="str">
            <v>Wolverhampton</v>
          </cell>
          <cell r="C392">
            <v>0.92</v>
          </cell>
        </row>
        <row r="393">
          <cell r="B393" t="str">
            <v>Dudley</v>
          </cell>
          <cell r="C393">
            <v>0.91</v>
          </cell>
        </row>
        <row r="394">
          <cell r="B394" t="str">
            <v>Sandwell</v>
          </cell>
          <cell r="C394">
            <v>0.95</v>
          </cell>
        </row>
        <row r="395">
          <cell r="B395" t="str">
            <v>Birmingham</v>
          </cell>
          <cell r="C395">
            <v>0.95</v>
          </cell>
        </row>
        <row r="396">
          <cell r="B396" t="str">
            <v>Solihull</v>
          </cell>
          <cell r="C396">
            <v>0.95</v>
          </cell>
        </row>
        <row r="397">
          <cell r="B397" t="str">
            <v>Coventry</v>
          </cell>
          <cell r="C397">
            <v>0.95</v>
          </cell>
        </row>
        <row r="398">
          <cell r="B398" t="str">
            <v>NORTHWESTREGION</v>
          </cell>
          <cell r="C398">
            <v>0.91</v>
          </cell>
        </row>
        <row r="399">
          <cell r="B399" t="str">
            <v>Cheshire</v>
          </cell>
          <cell r="C399">
            <v>0.91</v>
          </cell>
        </row>
        <row r="400">
          <cell r="B400" t="str">
            <v>Warrington</v>
          </cell>
          <cell r="C400">
            <v>0.89</v>
          </cell>
        </row>
        <row r="401">
          <cell r="B401" t="str">
            <v>Halton</v>
          </cell>
          <cell r="C401">
            <v>0.9</v>
          </cell>
        </row>
        <row r="402">
          <cell r="B402" t="str">
            <v>Ellesmere Port</v>
          </cell>
          <cell r="C402">
            <v>0.92</v>
          </cell>
        </row>
        <row r="403">
          <cell r="B403" t="str">
            <v>Vale Royal</v>
          </cell>
          <cell r="C403">
            <v>0.9</v>
          </cell>
        </row>
        <row r="404">
          <cell r="B404" t="str">
            <v>Macclesfield</v>
          </cell>
          <cell r="C404">
            <v>0.97</v>
          </cell>
        </row>
        <row r="405">
          <cell r="B405" t="str">
            <v>Chester</v>
          </cell>
          <cell r="C405">
            <v>0.93</v>
          </cell>
        </row>
        <row r="406">
          <cell r="B406" t="str">
            <v>Crewe and Nantwich</v>
          </cell>
          <cell r="C406">
            <v>0.89</v>
          </cell>
        </row>
        <row r="407">
          <cell r="B407" t="str">
            <v>Congleton</v>
          </cell>
          <cell r="C407">
            <v>0.85</v>
          </cell>
        </row>
        <row r="408">
          <cell r="B408" t="str">
            <v>Greater Manchester</v>
          </cell>
          <cell r="C408">
            <v>0.91</v>
          </cell>
        </row>
        <row r="409">
          <cell r="B409" t="str">
            <v>Wigan</v>
          </cell>
          <cell r="C409">
            <v>0.87</v>
          </cell>
        </row>
        <row r="410">
          <cell r="B410" t="str">
            <v>Bolton</v>
          </cell>
          <cell r="C410">
            <v>0.91</v>
          </cell>
        </row>
        <row r="411">
          <cell r="B411" t="str">
            <v>Bury</v>
          </cell>
          <cell r="C411">
            <v>0.88</v>
          </cell>
        </row>
        <row r="412">
          <cell r="B412" t="str">
            <v>Rochdale</v>
          </cell>
          <cell r="C412">
            <v>0.9</v>
          </cell>
        </row>
        <row r="413">
          <cell r="B413" t="str">
            <v>Oldham</v>
          </cell>
          <cell r="C413">
            <v>0.9</v>
          </cell>
        </row>
        <row r="414">
          <cell r="B414" t="str">
            <v>Tameside</v>
          </cell>
          <cell r="C414">
            <v>0.87</v>
          </cell>
        </row>
        <row r="415">
          <cell r="B415" t="str">
            <v>Stockport</v>
          </cell>
          <cell r="C415">
            <v>0.9</v>
          </cell>
        </row>
        <row r="416">
          <cell r="B416" t="str">
            <v>Manchester</v>
          </cell>
          <cell r="C416">
            <v>0.95</v>
          </cell>
        </row>
        <row r="417">
          <cell r="B417" t="str">
            <v>Salford</v>
          </cell>
          <cell r="C417">
            <v>0.91</v>
          </cell>
        </row>
        <row r="418">
          <cell r="B418" t="str">
            <v>Trafford</v>
          </cell>
          <cell r="C418">
            <v>0.93</v>
          </cell>
        </row>
        <row r="419">
          <cell r="B419" t="str">
            <v>Lancashire</v>
          </cell>
          <cell r="C419">
            <v>0.91</v>
          </cell>
        </row>
        <row r="420">
          <cell r="B420" t="str">
            <v>Lancaster</v>
          </cell>
          <cell r="C420">
            <v>0.86</v>
          </cell>
        </row>
        <row r="421">
          <cell r="B421" t="str">
            <v>Wyre</v>
          </cell>
          <cell r="C421">
            <v>0.93</v>
          </cell>
        </row>
        <row r="422">
          <cell r="B422" t="str">
            <v>Blackpool</v>
          </cell>
          <cell r="C422">
            <v>0.94</v>
          </cell>
        </row>
        <row r="423">
          <cell r="B423" t="str">
            <v>Preston</v>
          </cell>
          <cell r="C423">
            <v>0.9</v>
          </cell>
        </row>
        <row r="424">
          <cell r="B424" t="str">
            <v>Ribble Valley</v>
          </cell>
          <cell r="C424">
            <v>0.92</v>
          </cell>
        </row>
        <row r="425">
          <cell r="B425" t="str">
            <v>Pendle</v>
          </cell>
          <cell r="C425">
            <v>0.92</v>
          </cell>
        </row>
        <row r="426">
          <cell r="B426" t="str">
            <v>Burnley</v>
          </cell>
          <cell r="C426">
            <v>0.93</v>
          </cell>
        </row>
        <row r="427">
          <cell r="B427" t="str">
            <v>Rossendale</v>
          </cell>
          <cell r="C427">
            <v>0.88</v>
          </cell>
        </row>
        <row r="428">
          <cell r="B428" t="str">
            <v>Hyndburn</v>
          </cell>
          <cell r="C428">
            <v>0.85</v>
          </cell>
        </row>
        <row r="429">
          <cell r="B429" t="str">
            <v>Blackburn</v>
          </cell>
          <cell r="C429">
            <v>0.93</v>
          </cell>
        </row>
        <row r="430">
          <cell r="B430" t="str">
            <v>Chorley</v>
          </cell>
          <cell r="C430">
            <v>0.89</v>
          </cell>
        </row>
        <row r="431">
          <cell r="B431" t="str">
            <v>South Ribble</v>
          </cell>
          <cell r="C431">
            <v>0.9</v>
          </cell>
        </row>
        <row r="432">
          <cell r="B432" t="str">
            <v>West Lancashire</v>
          </cell>
          <cell r="C432">
            <v>0.96</v>
          </cell>
        </row>
        <row r="433">
          <cell r="B433" t="str">
            <v>Merseyside</v>
          </cell>
          <cell r="C433">
            <v>0.92</v>
          </cell>
        </row>
        <row r="434">
          <cell r="B434" t="str">
            <v>Wirral</v>
          </cell>
          <cell r="C434">
            <v>0.92</v>
          </cell>
        </row>
        <row r="435">
          <cell r="B435" t="str">
            <v>Sefton</v>
          </cell>
          <cell r="C435">
            <v>0.97</v>
          </cell>
        </row>
        <row r="436">
          <cell r="B436" t="str">
            <v>Liverpool</v>
          </cell>
          <cell r="C436">
            <v>0.91</v>
          </cell>
        </row>
        <row r="437">
          <cell r="B437" t="str">
            <v>Knowsley</v>
          </cell>
          <cell r="C437">
            <v>0.89</v>
          </cell>
        </row>
        <row r="438">
          <cell r="B438" t="str">
            <v>St Helens</v>
          </cell>
          <cell r="C438">
            <v>0.92</v>
          </cell>
        </row>
        <row r="439">
          <cell r="B439" t="str">
            <v>WALES</v>
          </cell>
          <cell r="C439">
            <v>0.96</v>
          </cell>
        </row>
        <row r="440">
          <cell r="B440" t="str">
            <v>Clwyd</v>
          </cell>
          <cell r="C440">
            <v>0.92</v>
          </cell>
        </row>
        <row r="441">
          <cell r="B441" t="str">
            <v>Rhuddlan</v>
          </cell>
          <cell r="C441">
            <v>0.92</v>
          </cell>
        </row>
        <row r="442">
          <cell r="B442" t="str">
            <v>Delyn</v>
          </cell>
          <cell r="C442">
            <v>0.95</v>
          </cell>
        </row>
        <row r="443">
          <cell r="B443" t="str">
            <v>Alyn and Deeside</v>
          </cell>
          <cell r="C443">
            <v>0.89</v>
          </cell>
        </row>
        <row r="444">
          <cell r="B444" t="str">
            <v>Wrexham-Maelor</v>
          </cell>
          <cell r="C444">
            <v>0.92</v>
          </cell>
        </row>
        <row r="445">
          <cell r="B445" t="str">
            <v>Dyfed</v>
          </cell>
          <cell r="C445">
            <v>0.99</v>
          </cell>
        </row>
        <row r="446">
          <cell r="B446" t="str">
            <v>Ceredigion</v>
          </cell>
          <cell r="C446">
            <v>1.02</v>
          </cell>
        </row>
        <row r="447">
          <cell r="B447" t="str">
            <v>Llanelli</v>
          </cell>
          <cell r="C447">
            <v>0.99</v>
          </cell>
        </row>
        <row r="448">
          <cell r="B448" t="str">
            <v>Dinefwr</v>
          </cell>
          <cell r="C448">
            <v>0.95</v>
          </cell>
        </row>
        <row r="449">
          <cell r="B449" t="str">
            <v>Gwent</v>
          </cell>
          <cell r="C449">
            <v>0.97</v>
          </cell>
        </row>
        <row r="450">
          <cell r="B450" t="str">
            <v>Blaenau Gwent</v>
          </cell>
          <cell r="C450">
            <v>1</v>
          </cell>
        </row>
        <row r="451">
          <cell r="B451" t="str">
            <v>Islwyn</v>
          </cell>
          <cell r="C451">
            <v>0.98</v>
          </cell>
        </row>
        <row r="452">
          <cell r="B452" t="str">
            <v>Torfaen</v>
          </cell>
          <cell r="C452">
            <v>0.93</v>
          </cell>
        </row>
        <row r="453">
          <cell r="B453" t="str">
            <v>Monmouth</v>
          </cell>
          <cell r="C453">
            <v>1.02</v>
          </cell>
        </row>
        <row r="454">
          <cell r="B454" t="str">
            <v>Newport</v>
          </cell>
          <cell r="C454">
            <v>0.97</v>
          </cell>
        </row>
        <row r="455">
          <cell r="B455" t="str">
            <v>Gwynedd</v>
          </cell>
          <cell r="C455">
            <v>0.93</v>
          </cell>
        </row>
        <row r="456">
          <cell r="B456" t="str">
            <v>Ynys-Mon - Isle of</v>
          </cell>
        </row>
        <row r="457">
          <cell r="B457" t="str">
            <v>Anglesey</v>
          </cell>
          <cell r="C457">
            <v>0.9</v>
          </cell>
        </row>
        <row r="458">
          <cell r="B458" t="str">
            <v>Arfon</v>
          </cell>
          <cell r="C458">
            <v>0.92</v>
          </cell>
        </row>
        <row r="459">
          <cell r="B459" t="str">
            <v>Aberconwy</v>
          </cell>
          <cell r="C459">
            <v>0.93</v>
          </cell>
        </row>
        <row r="460">
          <cell r="B460" t="str">
            <v>Meirionnydd</v>
          </cell>
          <cell r="C460">
            <v>0.99</v>
          </cell>
        </row>
        <row r="461">
          <cell r="B461" t="str">
            <v>Mid Glamorgan</v>
          </cell>
          <cell r="C461">
            <v>0.96</v>
          </cell>
        </row>
        <row r="462">
          <cell r="B462" t="str">
            <v>Ogwr</v>
          </cell>
          <cell r="C462">
            <v>0.97</v>
          </cell>
        </row>
        <row r="463">
          <cell r="B463" t="str">
            <v>Rhondda</v>
          </cell>
          <cell r="C463">
            <v>0.99</v>
          </cell>
        </row>
        <row r="464">
          <cell r="B464" t="str">
            <v>Rhymney Valley</v>
          </cell>
          <cell r="C464">
            <v>0.96</v>
          </cell>
        </row>
        <row r="465">
          <cell r="B465" t="str">
            <v>Taff-Ely</v>
          </cell>
          <cell r="C465">
            <v>0.94</v>
          </cell>
        </row>
        <row r="466">
          <cell r="B466" t="str">
            <v>Powys</v>
          </cell>
          <cell r="C466">
            <v>0.96</v>
          </cell>
        </row>
        <row r="467">
          <cell r="B467" t="str">
            <v>Montgomery</v>
          </cell>
          <cell r="C467">
            <v>0.96</v>
          </cell>
        </row>
        <row r="468">
          <cell r="B468" t="str">
            <v>Radnor</v>
          </cell>
          <cell r="C468">
            <v>0.97</v>
          </cell>
        </row>
        <row r="469">
          <cell r="B469" t="str">
            <v>Brecknock</v>
          </cell>
          <cell r="C469">
            <v>0.95</v>
          </cell>
        </row>
        <row r="470">
          <cell r="B470" t="str">
            <v>South Glamorgan</v>
          </cell>
          <cell r="C470">
            <v>0.98</v>
          </cell>
        </row>
        <row r="471">
          <cell r="B471" t="str">
            <v>Vale of Glamorgan</v>
          </cell>
          <cell r="C471">
            <v>0.99</v>
          </cell>
        </row>
        <row r="472">
          <cell r="B472" t="str">
            <v>Cardiff</v>
          </cell>
          <cell r="C472">
            <v>0.98</v>
          </cell>
        </row>
        <row r="473">
          <cell r="B473" t="str">
            <v>West Glamorgan</v>
          </cell>
          <cell r="C473">
            <v>0.94</v>
          </cell>
        </row>
        <row r="474">
          <cell r="B474" t="str">
            <v>Swansea</v>
          </cell>
          <cell r="C474">
            <v>0.98</v>
          </cell>
        </row>
        <row r="475">
          <cell r="B475" t="str">
            <v>Lliw Valley</v>
          </cell>
          <cell r="C475">
            <v>0.88</v>
          </cell>
        </row>
        <row r="476">
          <cell r="B476" t="str">
            <v>Neath</v>
          </cell>
          <cell r="C476">
            <v>0.94</v>
          </cell>
        </row>
        <row r="477">
          <cell r="B477" t="str">
            <v>Port Talbot</v>
          </cell>
          <cell r="C477">
            <v>0.89</v>
          </cell>
        </row>
        <row r="478">
          <cell r="B478" t="str">
            <v>SCOTLAND</v>
          </cell>
          <cell r="C478">
            <v>1.05</v>
          </cell>
        </row>
        <row r="479">
          <cell r="B479" t="str">
            <v>Borders</v>
          </cell>
          <cell r="C479">
            <v>1.05</v>
          </cell>
        </row>
        <row r="480">
          <cell r="B480" t="str">
            <v>Ettrick and Lauderdale</v>
          </cell>
          <cell r="C480">
            <v>1.05</v>
          </cell>
        </row>
        <row r="481">
          <cell r="B481" t="str">
            <v>Berwickshire</v>
          </cell>
          <cell r="C481">
            <v>1.07</v>
          </cell>
        </row>
        <row r="482">
          <cell r="B482" t="str">
            <v>Roxburgh</v>
          </cell>
          <cell r="C482">
            <v>1.02</v>
          </cell>
        </row>
        <row r="483">
          <cell r="B483" t="str">
            <v>Central</v>
          </cell>
          <cell r="C483">
            <v>1.04</v>
          </cell>
        </row>
        <row r="484">
          <cell r="B484" t="str">
            <v>Stirling</v>
          </cell>
          <cell r="C484">
            <v>1</v>
          </cell>
        </row>
        <row r="485">
          <cell r="B485" t="str">
            <v>Clackmannan</v>
          </cell>
          <cell r="C485">
            <v>1.06</v>
          </cell>
        </row>
        <row r="486">
          <cell r="B486" t="str">
            <v>Falkirk</v>
          </cell>
          <cell r="C486">
            <v>1.06</v>
          </cell>
        </row>
        <row r="487">
          <cell r="B487" t="str">
            <v>Dumfries and Galloway</v>
          </cell>
          <cell r="C487">
            <v>0.98</v>
          </cell>
        </row>
        <row r="488">
          <cell r="B488" t="str">
            <v>Wigtown</v>
          </cell>
          <cell r="C488">
            <v>1.06</v>
          </cell>
        </row>
        <row r="489">
          <cell r="B489" t="str">
            <v>Stewartry</v>
          </cell>
          <cell r="C489">
            <v>1.05</v>
          </cell>
        </row>
        <row r="490">
          <cell r="B490" t="str">
            <v>Nithsdale</v>
          </cell>
          <cell r="C490">
            <v>0.94</v>
          </cell>
        </row>
        <row r="491">
          <cell r="B491" t="str">
            <v>Annandale and Eskdale</v>
          </cell>
          <cell r="C491">
            <v>0.92</v>
          </cell>
        </row>
        <row r="492">
          <cell r="B492" t="str">
            <v>Fife</v>
          </cell>
          <cell r="C492">
            <v>1.02</v>
          </cell>
        </row>
        <row r="493">
          <cell r="B493" t="str">
            <v>North-East Fife</v>
          </cell>
          <cell r="C493">
            <v>1.08</v>
          </cell>
        </row>
        <row r="494">
          <cell r="B494" t="str">
            <v>Kirkcaldy</v>
          </cell>
          <cell r="C494">
            <v>1.01</v>
          </cell>
        </row>
        <row r="495">
          <cell r="B495" t="str">
            <v>Dunfermline</v>
          </cell>
          <cell r="C495">
            <v>1.02</v>
          </cell>
        </row>
        <row r="496">
          <cell r="B496" t="str">
            <v>Grampian</v>
          </cell>
          <cell r="C496">
            <v>0.96</v>
          </cell>
        </row>
        <row r="497">
          <cell r="B497" t="str">
            <v>Moray</v>
          </cell>
          <cell r="C497">
            <v>0.9</v>
          </cell>
        </row>
        <row r="498">
          <cell r="B498" t="str">
            <v>Banff and Buchan</v>
          </cell>
          <cell r="C498">
            <v>0.95</v>
          </cell>
        </row>
        <row r="499">
          <cell r="B499" t="str">
            <v>Gordon</v>
          </cell>
          <cell r="C499">
            <v>0.95</v>
          </cell>
        </row>
        <row r="500">
          <cell r="B500" t="str">
            <v>Aberdeen City</v>
          </cell>
          <cell r="C500">
            <v>0.96</v>
          </cell>
        </row>
        <row r="501">
          <cell r="B501" t="str">
            <v>Kincardine and Deeside</v>
          </cell>
          <cell r="C501">
            <v>0.96</v>
          </cell>
        </row>
        <row r="502">
          <cell r="B502" t="str">
            <v>Highland</v>
          </cell>
          <cell r="C502">
            <v>0.98</v>
          </cell>
        </row>
        <row r="503">
          <cell r="B503" t="str">
            <v>Ross and Cromarty</v>
          </cell>
          <cell r="C503">
            <v>0.98</v>
          </cell>
        </row>
        <row r="504">
          <cell r="B504" t="str">
            <v>Inverness</v>
          </cell>
          <cell r="C504">
            <v>0.94</v>
          </cell>
        </row>
        <row r="505">
          <cell r="B505" t="str">
            <v>Lothian</v>
          </cell>
          <cell r="C505">
            <v>1.08</v>
          </cell>
        </row>
        <row r="506">
          <cell r="B506" t="str">
            <v>West Lothian</v>
          </cell>
          <cell r="C506">
            <v>1.06</v>
          </cell>
        </row>
        <row r="507">
          <cell r="B507" t="str">
            <v>Edinburgh City</v>
          </cell>
          <cell r="C507">
            <v>1.1000000000000001</v>
          </cell>
        </row>
        <row r="508">
          <cell r="B508" t="str">
            <v>Midlothian</v>
          </cell>
          <cell r="C508">
            <v>1.06</v>
          </cell>
        </row>
        <row r="509">
          <cell r="B509" t="str">
            <v>East Lothian</v>
          </cell>
          <cell r="C509">
            <v>1.08</v>
          </cell>
        </row>
        <row r="510">
          <cell r="B510" t="str">
            <v>Orkney Islands Area</v>
          </cell>
          <cell r="C510">
            <v>1.18</v>
          </cell>
        </row>
        <row r="511">
          <cell r="B511" t="str">
            <v>Shetland Islands Area</v>
          </cell>
          <cell r="C511">
            <v>1.31</v>
          </cell>
        </row>
        <row r="512">
          <cell r="B512" t="str">
            <v>Strathclyde</v>
          </cell>
          <cell r="C512">
            <v>1.0900000000000001</v>
          </cell>
        </row>
        <row r="513">
          <cell r="B513" t="str">
            <v>Argyll and Bute</v>
          </cell>
          <cell r="C513">
            <v>1.21</v>
          </cell>
        </row>
        <row r="514">
          <cell r="B514" t="str">
            <v>Dumbarton</v>
          </cell>
          <cell r="C514">
            <v>1.03</v>
          </cell>
        </row>
        <row r="515">
          <cell r="B515" t="str">
            <v>Clydebank</v>
          </cell>
          <cell r="C515">
            <v>1.05</v>
          </cell>
        </row>
        <row r="516">
          <cell r="B516" t="str">
            <v>Bearsden and Milngavie</v>
          </cell>
          <cell r="C516">
            <v>1.06</v>
          </cell>
        </row>
        <row r="517">
          <cell r="B517" t="str">
            <v>Strathkelvin</v>
          </cell>
          <cell r="C517">
            <v>1.03</v>
          </cell>
        </row>
        <row r="518">
          <cell r="B518" t="str">
            <v>Cumbernauld and Kilsyth</v>
          </cell>
          <cell r="C518">
            <v>1.04</v>
          </cell>
        </row>
        <row r="519">
          <cell r="B519" t="str">
            <v>Monklands</v>
          </cell>
          <cell r="C519">
            <v>1.06</v>
          </cell>
        </row>
        <row r="520">
          <cell r="B520" t="str">
            <v>Glasgow City</v>
          </cell>
          <cell r="C520">
            <v>1.1100000000000001</v>
          </cell>
        </row>
        <row r="521">
          <cell r="B521" t="str">
            <v>Renfrew</v>
          </cell>
          <cell r="C521">
            <v>1.07</v>
          </cell>
        </row>
        <row r="522">
          <cell r="B522" t="str">
            <v>Inverclyde</v>
          </cell>
          <cell r="C522">
            <v>1.06</v>
          </cell>
        </row>
        <row r="523">
          <cell r="B523" t="str">
            <v>Cunninghame</v>
          </cell>
          <cell r="C523">
            <v>1.06</v>
          </cell>
        </row>
        <row r="524">
          <cell r="B524" t="str">
            <v>Kilmarnock and Loudoun</v>
          </cell>
          <cell r="C524">
            <v>1.03</v>
          </cell>
        </row>
        <row r="525">
          <cell r="B525" t="str">
            <v>Eastwood</v>
          </cell>
          <cell r="C525">
            <v>1.0900000000000001</v>
          </cell>
        </row>
        <row r="526">
          <cell r="B526" t="str">
            <v>East Kilbride</v>
          </cell>
          <cell r="C526">
            <v>1.1000000000000001</v>
          </cell>
        </row>
        <row r="527">
          <cell r="B527" t="str">
            <v>Hamilton</v>
          </cell>
          <cell r="C527">
            <v>1.06</v>
          </cell>
        </row>
        <row r="528">
          <cell r="B528" t="str">
            <v>Motherwell</v>
          </cell>
          <cell r="C528">
            <v>1.06</v>
          </cell>
        </row>
        <row r="529">
          <cell r="B529" t="str">
            <v>Clydesdale</v>
          </cell>
          <cell r="C529">
            <v>1.03</v>
          </cell>
        </row>
        <row r="530">
          <cell r="B530" t="str">
            <v>Cumnock and Doon Valley</v>
          </cell>
          <cell r="C530">
            <v>1.07</v>
          </cell>
        </row>
        <row r="531">
          <cell r="B531" t="str">
            <v>Kyle and Carrick</v>
          </cell>
          <cell r="C531">
            <v>1.1200000000000001</v>
          </cell>
        </row>
        <row r="532">
          <cell r="B532" t="str">
            <v>Tayside</v>
          </cell>
          <cell r="C532">
            <v>1.03</v>
          </cell>
        </row>
        <row r="533">
          <cell r="B533" t="str">
            <v>Angus</v>
          </cell>
          <cell r="C533">
            <v>1.02</v>
          </cell>
        </row>
        <row r="534">
          <cell r="B534" t="str">
            <v>Perth and Kinross</v>
          </cell>
          <cell r="C534">
            <v>1.01</v>
          </cell>
        </row>
        <row r="535">
          <cell r="B535" t="str">
            <v>Dundee City</v>
          </cell>
          <cell r="C535">
            <v>1.05</v>
          </cell>
        </row>
        <row r="536">
          <cell r="B536" t="str">
            <v>NORTHERN IRELAND</v>
          </cell>
          <cell r="C536">
            <v>0.67</v>
          </cell>
        </row>
        <row r="537">
          <cell r="B537" t="str">
            <v>Northern Ireland</v>
          </cell>
          <cell r="C537">
            <v>0.67</v>
          </cell>
        </row>
        <row r="538">
          <cell r="B538" t="str">
            <v>Londonderry</v>
          </cell>
          <cell r="C538">
            <v>0.67</v>
          </cell>
        </row>
        <row r="539">
          <cell r="B539" t="str">
            <v>Coleraine</v>
          </cell>
          <cell r="C539">
            <v>0.67</v>
          </cell>
        </row>
        <row r="540">
          <cell r="B540" t="str">
            <v>Ballymena</v>
          </cell>
          <cell r="C540">
            <v>0.61</v>
          </cell>
        </row>
        <row r="541">
          <cell r="B541" t="str">
            <v>Strabane</v>
          </cell>
          <cell r="C541">
            <v>0.63</v>
          </cell>
        </row>
        <row r="542">
          <cell r="B542" t="str">
            <v>Antrim</v>
          </cell>
          <cell r="C542">
            <v>0.67</v>
          </cell>
        </row>
        <row r="543">
          <cell r="B543" t="str">
            <v>Newtownabbey</v>
          </cell>
          <cell r="C543">
            <v>0.67</v>
          </cell>
        </row>
        <row r="544">
          <cell r="B544" t="str">
            <v>Carrickfergus</v>
          </cell>
          <cell r="C544">
            <v>0.62</v>
          </cell>
        </row>
        <row r="545">
          <cell r="B545" t="str">
            <v>North Down</v>
          </cell>
          <cell r="C545">
            <v>0.66</v>
          </cell>
        </row>
        <row r="546">
          <cell r="B546" t="str">
            <v>Ards</v>
          </cell>
          <cell r="C546">
            <v>0.66</v>
          </cell>
        </row>
        <row r="547">
          <cell r="B547" t="str">
            <v>Belfast</v>
          </cell>
          <cell r="C547">
            <v>0.7</v>
          </cell>
        </row>
        <row r="548">
          <cell r="B548" t="str">
            <v>Lisburn</v>
          </cell>
          <cell r="C548">
            <v>0.68</v>
          </cell>
        </row>
        <row r="549">
          <cell r="B549" t="str">
            <v>Craigavon</v>
          </cell>
          <cell r="C549">
            <v>0.66</v>
          </cell>
        </row>
        <row r="550">
          <cell r="B550" t="str">
            <v>Dungannon</v>
          </cell>
          <cell r="C550">
            <v>0.64</v>
          </cell>
        </row>
        <row r="551">
          <cell r="B551" t="str">
            <v>Fermanagh</v>
          </cell>
          <cell r="C551">
            <v>0.63</v>
          </cell>
        </row>
        <row r="552">
          <cell r="B552" t="str">
            <v>Banbridge</v>
          </cell>
          <cell r="C552">
            <v>0.63</v>
          </cell>
        </row>
        <row r="553">
          <cell r="B553" t="str">
            <v>Down</v>
          </cell>
          <cell r="C553">
            <v>0.63</v>
          </cell>
        </row>
        <row r="554">
          <cell r="B554" t="str">
            <v>ISLANDS(MAN,SCILLYAND</v>
          </cell>
        </row>
        <row r="555">
          <cell r="B555" t="str">
            <v>ISLANDS (Man, Scilly &amp; Chennel)</v>
          </cell>
          <cell r="C555">
            <v>1.29</v>
          </cell>
        </row>
        <row r="556">
          <cell r="B556" t="str">
            <v>Isle of Man</v>
          </cell>
          <cell r="C556">
            <v>1.25</v>
          </cell>
        </row>
        <row r="557">
          <cell r="B557" t="str">
            <v>Channel Islands</v>
          </cell>
          <cell r="C557">
            <v>1.33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hatIF"/>
      <sheetName val="Input"/>
      <sheetName val="Cover"/>
      <sheetName val="Contents"/>
      <sheetName val="Summary"/>
      <sheetName val="Area"/>
      <sheetName val="Basis"/>
      <sheetName val="Elemental"/>
      <sheetName val="Elemental_3PE"/>
      <sheetName val="Components"/>
      <sheetName val="Library"/>
      <sheetName val="Cashflow"/>
      <sheetName val="Replacement"/>
      <sheetName val="Annual"/>
      <sheetName val="WLC"/>
      <sheetName val="SAP"/>
      <sheetName val="BREEAM"/>
      <sheetName val="Graphics"/>
      <sheetName val="Tables"/>
    </sheetNames>
    <sheetDataSet>
      <sheetData sheetId="0"/>
      <sheetData sheetId="1">
        <row r="8">
          <cell r="C8" t="str">
            <v>Scenario_used</v>
          </cell>
          <cell r="K8" t="str">
            <v>Base</v>
          </cell>
          <cell r="P8" t="str">
            <v>Scenario used:</v>
          </cell>
          <cell r="Q8">
            <v>19</v>
          </cell>
        </row>
        <row r="10">
          <cell r="C10" t="str">
            <v>Scenario_Name</v>
          </cell>
          <cell r="P10" t="str">
            <v>Scenario Name</v>
          </cell>
          <cell r="Q10" t="str">
            <v>WhatIF</v>
          </cell>
        </row>
        <row r="11">
          <cell r="C11" t="str">
            <v>CLIENT</v>
          </cell>
          <cell r="P11" t="str">
            <v>CLIENT</v>
          </cell>
        </row>
        <row r="12">
          <cell r="C12" t="str">
            <v>Client_name</v>
          </cell>
          <cell r="P12" t="str">
            <v>Client name</v>
          </cell>
          <cell r="Q12">
            <v>0</v>
          </cell>
        </row>
        <row r="13">
          <cell r="C13" t="str">
            <v>Client_Contact</v>
          </cell>
          <cell r="K13" t="str">
            <v>Tony Farnsworth</v>
          </cell>
          <cell r="P13" t="str">
            <v>Client Contact</v>
          </cell>
          <cell r="Q13" t="str">
            <v>Tony Farnsworth</v>
          </cell>
        </row>
        <row r="15">
          <cell r="C15" t="str">
            <v>PROJECT</v>
          </cell>
          <cell r="P15" t="str">
            <v>PROJECT</v>
          </cell>
          <cell r="Q15">
            <v>0</v>
          </cell>
        </row>
        <row r="16">
          <cell r="C16" t="str">
            <v>Project_code</v>
          </cell>
          <cell r="K16" t="str">
            <v>CL</v>
          </cell>
          <cell r="P16" t="str">
            <v>Project code / short name</v>
          </cell>
          <cell r="Q16" t="str">
            <v>CL</v>
          </cell>
        </row>
        <row r="17">
          <cell r="C17" t="str">
            <v>Project_name_full</v>
          </cell>
          <cell r="P17" t="str">
            <v>Project name full</v>
          </cell>
          <cell r="Q17">
            <v>0</v>
          </cell>
        </row>
        <row r="18">
          <cell r="C18" t="str">
            <v>Site_code</v>
          </cell>
          <cell r="K18" t="str">
            <v>CL</v>
          </cell>
          <cell r="P18" t="str">
            <v>Site code</v>
          </cell>
          <cell r="Q18" t="str">
            <v>CL</v>
          </cell>
        </row>
        <row r="19">
          <cell r="C19" t="str">
            <v>Site_name</v>
          </cell>
          <cell r="P19" t="str">
            <v>Site name</v>
          </cell>
          <cell r="Q19">
            <v>0</v>
          </cell>
        </row>
        <row r="20">
          <cell r="C20" t="str">
            <v>Facility_number</v>
          </cell>
          <cell r="K20">
            <v>1</v>
          </cell>
          <cell r="P20" t="str">
            <v>Facility number</v>
          </cell>
          <cell r="Q20">
            <v>1</v>
          </cell>
        </row>
        <row r="21">
          <cell r="C21" t="str">
            <v>Facility_name</v>
          </cell>
          <cell r="P21" t="str">
            <v>Facility name</v>
          </cell>
          <cell r="Q21">
            <v>0</v>
          </cell>
        </row>
        <row r="23">
          <cell r="C23" t="str">
            <v>REPORT</v>
          </cell>
          <cell r="P23" t="str">
            <v>REPORT</v>
          </cell>
        </row>
        <row r="24">
          <cell r="C24" t="str">
            <v>Report_Name</v>
          </cell>
          <cell r="K24" t="str">
            <v>Cost plan</v>
          </cell>
          <cell r="P24" t="str">
            <v>Report Name</v>
          </cell>
          <cell r="Q24" t="str">
            <v>Cost plan</v>
          </cell>
        </row>
        <row r="25">
          <cell r="C25" t="str">
            <v>Report_Number</v>
          </cell>
          <cell r="K25">
            <v>1</v>
          </cell>
          <cell r="P25" t="str">
            <v>Report Number</v>
          </cell>
          <cell r="Q25">
            <v>1</v>
          </cell>
        </row>
        <row r="26">
          <cell r="C26" t="str">
            <v>Date_today</v>
          </cell>
          <cell r="K26">
            <v>40681.792893287035</v>
          </cell>
          <cell r="P26" t="str">
            <v>Tody's date</v>
          </cell>
          <cell r="Q26">
            <v>40681.792893287035</v>
          </cell>
        </row>
        <row r="27">
          <cell r="C27" t="str">
            <v>Report_Date</v>
          </cell>
          <cell r="K27" t="str">
            <v>Dated 4th June 2008</v>
          </cell>
          <cell r="P27" t="str">
            <v>Report Date (static)</v>
          </cell>
          <cell r="Q27" t="str">
            <v>Dated 4th June 2008</v>
          </cell>
        </row>
        <row r="28">
          <cell r="C28" t="str">
            <v>Report_Condition</v>
          </cell>
          <cell r="K28" t="str">
            <v xml:space="preserve"> </v>
          </cell>
          <cell r="P28" t="str">
            <v>Blank, draft, example, final</v>
          </cell>
          <cell r="Q28" t="str">
            <v>WhatIF</v>
          </cell>
        </row>
        <row r="29">
          <cell r="C29" t="str">
            <v>Report_Name_full</v>
          </cell>
          <cell r="K29" t="str">
            <v>Cost plan 1 Dated 4th June 2008 WhatIF</v>
          </cell>
          <cell r="P29" t="str">
            <v>Report full name</v>
          </cell>
          <cell r="Q29" t="str">
            <v>Cost plan 1 Dated 4th June 2008 WhatIF</v>
          </cell>
        </row>
        <row r="31">
          <cell r="C31" t="str">
            <v>REPORT TITLES</v>
          </cell>
          <cell r="P31" t="str">
            <v>REPORT TITLES</v>
          </cell>
        </row>
        <row r="32">
          <cell r="C32" t="str">
            <v>Report_Title_1</v>
          </cell>
          <cell r="K32">
            <v>0</v>
          </cell>
          <cell r="P32" t="str">
            <v>Report Title 1</v>
          </cell>
          <cell r="Q32">
            <v>0</v>
          </cell>
        </row>
        <row r="33">
          <cell r="C33" t="str">
            <v>Report_Title_2</v>
          </cell>
          <cell r="K33">
            <v>0</v>
          </cell>
          <cell r="P33" t="str">
            <v>Report Title 2</v>
          </cell>
          <cell r="Q33">
            <v>0</v>
          </cell>
        </row>
        <row r="34">
          <cell r="C34" t="str">
            <v>Report_Title_3</v>
          </cell>
          <cell r="K34" t="str">
            <v>Cost plan 1 Dated 4th June 2008 WhatIF</v>
          </cell>
          <cell r="P34" t="str">
            <v>Report Title 3</v>
          </cell>
          <cell r="Q34" t="str">
            <v>Cost plan 1 Dated 4th June 2008 WhatIF</v>
          </cell>
        </row>
        <row r="36">
          <cell r="C36" t="str">
            <v>QS COMPANY</v>
          </cell>
          <cell r="P36" t="str">
            <v>QS COMPANY</v>
          </cell>
        </row>
        <row r="37">
          <cell r="C37" t="str">
            <v>QS_Office</v>
          </cell>
          <cell r="K37" t="str">
            <v>Birmingham Office</v>
          </cell>
          <cell r="P37" t="str">
            <v>QS Company</v>
          </cell>
          <cell r="Q37" t="str">
            <v>Birmingham Office</v>
          </cell>
        </row>
        <row r="38">
          <cell r="C38" t="str">
            <v>QS_Company</v>
          </cell>
          <cell r="K38" t="str">
            <v>Rider Levett Bucknal UK Limited</v>
          </cell>
          <cell r="P38" t="str">
            <v>QS Company</v>
          </cell>
          <cell r="Q38" t="str">
            <v>Rider Levett Bucknal UK Limited</v>
          </cell>
        </row>
        <row r="39">
          <cell r="C39" t="str">
            <v>QS_Company_Address_1</v>
          </cell>
          <cell r="K39" t="str">
            <v>Level 2</v>
          </cell>
          <cell r="P39" t="str">
            <v>QS Company Address</v>
          </cell>
          <cell r="Q39" t="str">
            <v>Level 2</v>
          </cell>
        </row>
        <row r="40">
          <cell r="C40" t="str">
            <v>QS_Company_Address_2</v>
          </cell>
          <cell r="K40" t="str">
            <v>Millennium Point</v>
          </cell>
          <cell r="P40" t="str">
            <v>QS Company Address</v>
          </cell>
          <cell r="Q40" t="str">
            <v>Millennium Point</v>
          </cell>
        </row>
        <row r="41">
          <cell r="C41" t="str">
            <v>QS_Company_Address_3</v>
          </cell>
          <cell r="K41" t="str">
            <v>Curzon Street</v>
          </cell>
          <cell r="P41" t="str">
            <v>QS Company Address</v>
          </cell>
          <cell r="Q41" t="str">
            <v>Curzon Street</v>
          </cell>
        </row>
        <row r="42">
          <cell r="C42" t="str">
            <v>QS_Company_Address_4</v>
          </cell>
          <cell r="K42" t="str">
            <v>Birmingham</v>
          </cell>
          <cell r="P42" t="str">
            <v>QS Company Address</v>
          </cell>
          <cell r="Q42" t="str">
            <v>Birmingham</v>
          </cell>
        </row>
        <row r="43">
          <cell r="C43" t="str">
            <v>QS_Company_Address_5</v>
          </cell>
          <cell r="K43" t="str">
            <v xml:space="preserve">B4 7XG </v>
          </cell>
          <cell r="P43" t="str">
            <v>QS Company Address</v>
          </cell>
          <cell r="Q43" t="str">
            <v xml:space="preserve">B4 7XG </v>
          </cell>
        </row>
        <row r="44">
          <cell r="C44" t="str">
            <v>QS_Company_Address</v>
          </cell>
          <cell r="K44" t="str">
            <v xml:space="preserve">Level 2 Millennium Point Curzon Street Birmingham B4 7XG </v>
          </cell>
          <cell r="P44" t="str">
            <v>QS Company Address</v>
          </cell>
          <cell r="Q44" t="str">
            <v xml:space="preserve">Level 2 Millennium Point Curzon Street Birmingham B4 7XG </v>
          </cell>
        </row>
        <row r="45">
          <cell r="C45" t="str">
            <v>QS_Company_Telephone</v>
          </cell>
          <cell r="K45" t="str">
            <v xml:space="preserve"> 0121 503 1500 </v>
          </cell>
          <cell r="P45" t="str">
            <v>QS Company Telephone</v>
          </cell>
          <cell r="Q45" t="str">
            <v xml:space="preserve"> 0121 503 1500 </v>
          </cell>
        </row>
        <row r="46">
          <cell r="C46" t="str">
            <v>QS_Company_Fax</v>
          </cell>
          <cell r="K46" t="str">
            <v xml:space="preserve"> 0121 503 1501 </v>
          </cell>
          <cell r="P46" t="str">
            <v>QS Company Fax</v>
          </cell>
          <cell r="Q46" t="str">
            <v xml:space="preserve"> 0121 503 1501 </v>
          </cell>
        </row>
        <row r="47">
          <cell r="C47" t="str">
            <v>QS_Company_email</v>
          </cell>
          <cell r="K47" t="str">
            <v>UK.rlb.com</v>
          </cell>
          <cell r="P47" t="str">
            <v>QS Company email</v>
          </cell>
          <cell r="Q47" t="str">
            <v>UK.rlb.com</v>
          </cell>
        </row>
        <row r="48">
          <cell r="C48" t="str">
            <v>QS_Surveyor_first_Name</v>
          </cell>
          <cell r="K48" t="str">
            <v>Brendan</v>
          </cell>
          <cell r="P48" t="str">
            <v>QS Surveyor</v>
          </cell>
          <cell r="Q48" t="str">
            <v>Brendan</v>
          </cell>
        </row>
        <row r="49">
          <cell r="C49" t="str">
            <v>QS_Surveyor_surveyor</v>
          </cell>
          <cell r="K49" t="str">
            <v>Patchell</v>
          </cell>
          <cell r="P49" t="str">
            <v>QS Surveyor</v>
          </cell>
          <cell r="Q49" t="str">
            <v>Patchell</v>
          </cell>
        </row>
        <row r="50">
          <cell r="C50" t="str">
            <v>QS_Surveyor</v>
          </cell>
          <cell r="K50" t="str">
            <v>Brendan Patchell</v>
          </cell>
          <cell r="P50" t="str">
            <v>QS Surveyor</v>
          </cell>
          <cell r="Q50" t="str">
            <v>Brendan Patchell</v>
          </cell>
        </row>
        <row r="51">
          <cell r="C51" t="str">
            <v>QS_surveyor_email</v>
          </cell>
          <cell r="K51" t="str">
            <v>Brendan.Patchell@UK.rlb.com</v>
          </cell>
          <cell r="P51" t="str">
            <v>QS e-mail</v>
          </cell>
          <cell r="Q51" t="str">
            <v>Brendan.Patchell@UK.rlb.com</v>
          </cell>
        </row>
        <row r="52">
          <cell r="C52" t="str">
            <v>QS_Mobile</v>
          </cell>
          <cell r="K52" t="str">
            <v>07970 466614</v>
          </cell>
          <cell r="P52" t="str">
            <v>QS Mobile</v>
          </cell>
          <cell r="Q52" t="str">
            <v>07970 466614</v>
          </cell>
        </row>
        <row r="53">
          <cell r="C53" t="str">
            <v>QS_Direct_Dial</v>
          </cell>
          <cell r="K53" t="str">
            <v>++44 (0)121 503 1500</v>
          </cell>
          <cell r="P53" t="str">
            <v>QS Direct Dial</v>
          </cell>
          <cell r="Q53" t="str">
            <v>++44 (0)121 503 1500</v>
          </cell>
        </row>
        <row r="54">
          <cell r="C54" t="str">
            <v>QS_Job_number</v>
          </cell>
          <cell r="K54" t="str">
            <v>0007922_001</v>
          </cell>
          <cell r="P54" t="str">
            <v>QS Job number</v>
          </cell>
          <cell r="Q54" t="str">
            <v>0007922_001</v>
          </cell>
        </row>
        <row r="56">
          <cell r="C56" t="str">
            <v>CIRCULATION</v>
          </cell>
          <cell r="P56" t="str">
            <v>CIRCULATION</v>
          </cell>
        </row>
        <row r="57">
          <cell r="C57" t="str">
            <v>Circulation_Client</v>
          </cell>
          <cell r="K57" t="str">
            <v>Tony Farnsworth</v>
          </cell>
          <cell r="P57" t="str">
            <v>Client QS</v>
          </cell>
          <cell r="Q57" t="str">
            <v>Tony Farnsworth</v>
          </cell>
        </row>
        <row r="58">
          <cell r="C58" t="str">
            <v>Circulation_Client_2</v>
          </cell>
          <cell r="K58" t="str">
            <v>Gary Berridge</v>
          </cell>
          <cell r="P58" t="str">
            <v>Client LCC/FM</v>
          </cell>
          <cell r="Q58" t="str">
            <v>Gary Berridge</v>
          </cell>
        </row>
        <row r="59">
          <cell r="C59" t="str">
            <v>Circulation_Client_3</v>
          </cell>
          <cell r="K59" t="str">
            <v>Jenny Withers</v>
          </cell>
          <cell r="P59" t="str">
            <v>Client Operational</v>
          </cell>
          <cell r="Q59" t="str">
            <v>Jenny Withers</v>
          </cell>
        </row>
        <row r="60">
          <cell r="C60" t="str">
            <v>Circulation_Quantity_Surveyor</v>
          </cell>
          <cell r="K60" t="str">
            <v>Brendan Patchell</v>
          </cell>
          <cell r="P60" t="str">
            <v>Quantity Surveyor</v>
          </cell>
          <cell r="Q60" t="str">
            <v>Brendan Patchell</v>
          </cell>
        </row>
        <row r="61">
          <cell r="C61" t="str">
            <v>Circulation_Project_Manager</v>
          </cell>
          <cell r="K61" t="str">
            <v>Name</v>
          </cell>
          <cell r="P61" t="str">
            <v>Project Manager</v>
          </cell>
          <cell r="Q61" t="str">
            <v>Name</v>
          </cell>
        </row>
        <row r="62">
          <cell r="C62" t="str">
            <v>Circulation_Project_Manager</v>
          </cell>
          <cell r="K62" t="str">
            <v>Name</v>
          </cell>
          <cell r="P62" t="str">
            <v>Project Assistant</v>
          </cell>
          <cell r="Q62" t="str">
            <v>Name</v>
          </cell>
        </row>
        <row r="63">
          <cell r="C63" t="str">
            <v>Circulation_FM</v>
          </cell>
          <cell r="K63" t="str">
            <v>David Quirk</v>
          </cell>
          <cell r="P63" t="str">
            <v>Facilities Manager</v>
          </cell>
          <cell r="Q63" t="str">
            <v>David Quirk</v>
          </cell>
        </row>
        <row r="64">
          <cell r="C64" t="str">
            <v>Circulation_Architect</v>
          </cell>
          <cell r="K64" t="str">
            <v>Name</v>
          </cell>
          <cell r="P64" t="str">
            <v>Architect</v>
          </cell>
          <cell r="Q64" t="str">
            <v>Name</v>
          </cell>
        </row>
        <row r="65">
          <cell r="C65" t="str">
            <v>Circulation_M&amp;E_Engineer</v>
          </cell>
          <cell r="K65" t="str">
            <v>Name</v>
          </cell>
          <cell r="P65" t="str">
            <v>M&amp;E Engineer</v>
          </cell>
          <cell r="Q65" t="str">
            <v>Name</v>
          </cell>
        </row>
        <row r="66">
          <cell r="C66" t="str">
            <v>Circulation_Structural_Engineer</v>
          </cell>
          <cell r="K66" t="str">
            <v>Name</v>
          </cell>
          <cell r="P66" t="str">
            <v>Stuctural Engineer</v>
          </cell>
          <cell r="Q66" t="str">
            <v>Name</v>
          </cell>
        </row>
        <row r="67">
          <cell r="C67" t="str">
            <v>Circulation_Finance</v>
          </cell>
          <cell r="K67" t="str">
            <v>Unused</v>
          </cell>
          <cell r="P67" t="str">
            <v>Financial Advisor</v>
          </cell>
          <cell r="Q67" t="str">
            <v>Unused</v>
          </cell>
        </row>
        <row r="69">
          <cell r="C69" t="str">
            <v>BASIS</v>
          </cell>
          <cell r="P69" t="str">
            <v>BASIS</v>
          </cell>
        </row>
        <row r="70">
          <cell r="C70" t="str">
            <v>Sfb_Table_0_Building_code</v>
          </cell>
          <cell r="K70" t="str">
            <v>712_</v>
          </cell>
          <cell r="P70" t="str">
            <v>Sfb Table 0 Building code</v>
          </cell>
          <cell r="Q70" t="str">
            <v>712_</v>
          </cell>
        </row>
        <row r="71">
          <cell r="C71" t="str">
            <v>SfB_Building_Description</v>
          </cell>
          <cell r="K71" t="str">
            <v>Primary</v>
          </cell>
          <cell r="P71" t="str">
            <v>SfB Building Description</v>
          </cell>
          <cell r="Q71" t="str">
            <v>Primary</v>
          </cell>
        </row>
        <row r="72">
          <cell r="C72" t="str">
            <v>SfB_Building_Benchmark</v>
          </cell>
          <cell r="K72">
            <v>678</v>
          </cell>
          <cell r="P72" t="str">
            <v>Building type benchmark cost</v>
          </cell>
          <cell r="Q72">
            <v>678</v>
          </cell>
        </row>
        <row r="73">
          <cell r="C73" t="str">
            <v>BCIS_TPI_year_quarter_Current</v>
          </cell>
          <cell r="K73" t="str">
            <v>2008/1</v>
          </cell>
          <cell r="N73" t="str">
            <v>Text</v>
          </cell>
          <cell r="P73" t="str">
            <v>BCIS TPI: Current</v>
          </cell>
          <cell r="Q73" t="str">
            <v>2008/1</v>
          </cell>
        </row>
        <row r="74">
          <cell r="C74" t="str">
            <v>BCIS_TPI_year_quarter_Base</v>
          </cell>
          <cell r="K74" t="str">
            <v>2008/1</v>
          </cell>
          <cell r="N74" t="str">
            <v>Text</v>
          </cell>
          <cell r="P74" t="str">
            <v>TPI: Base</v>
          </cell>
          <cell r="Q74" t="str">
            <v>2008/1</v>
          </cell>
        </row>
        <row r="75">
          <cell r="C75" t="str">
            <v>BCIS_Location_name_Current</v>
          </cell>
          <cell r="K75" t="str">
            <v>West Midlands</v>
          </cell>
          <cell r="N75" t="str">
            <v>Text</v>
          </cell>
          <cell r="P75" t="str">
            <v>BCIS Location: Current Index</v>
          </cell>
          <cell r="Q75" t="str">
            <v>West Midlands</v>
          </cell>
        </row>
        <row r="76">
          <cell r="C76" t="str">
            <v>BCIS_Location_name_Base</v>
          </cell>
          <cell r="K76" t="str">
            <v>West Midlands</v>
          </cell>
          <cell r="P76" t="str">
            <v>BCIS Location: Base</v>
          </cell>
          <cell r="Q76" t="str">
            <v>West Midlands</v>
          </cell>
        </row>
        <row r="77">
          <cell r="C77" t="str">
            <v>BCIS_Tender_Price_Index_Current</v>
          </cell>
          <cell r="K77">
            <v>251</v>
          </cell>
          <cell r="N77" t="str">
            <v>Index</v>
          </cell>
          <cell r="P77" t="str">
            <v>BCIS Tender Price Index: Current</v>
          </cell>
          <cell r="Q77">
            <v>251</v>
          </cell>
          <cell r="R77" t="str">
            <v>Index</v>
          </cell>
        </row>
        <row r="78">
          <cell r="C78" t="str">
            <v>BCIS_Tender_Price_Index_Base</v>
          </cell>
          <cell r="K78">
            <v>251</v>
          </cell>
          <cell r="N78" t="str">
            <v>Index</v>
          </cell>
          <cell r="P78" t="str">
            <v>BCIS Tender Price Index: Base</v>
          </cell>
          <cell r="Q78">
            <v>251</v>
          </cell>
          <cell r="R78" t="str">
            <v>Index</v>
          </cell>
        </row>
        <row r="79">
          <cell r="C79" t="str">
            <v>BCIS_Location_Current</v>
          </cell>
          <cell r="K79">
            <v>0.97</v>
          </cell>
          <cell r="N79" t="str">
            <v>Index</v>
          </cell>
          <cell r="P79" t="str">
            <v>BCIS Location: Current</v>
          </cell>
          <cell r="Q79">
            <v>0.97</v>
          </cell>
          <cell r="R79" t="str">
            <v>Index</v>
          </cell>
        </row>
        <row r="80">
          <cell r="C80" t="str">
            <v>BCIS_Location_Base</v>
          </cell>
          <cell r="K80">
            <v>0.97</v>
          </cell>
          <cell r="N80" t="str">
            <v>Index</v>
          </cell>
          <cell r="P80" t="str">
            <v>BCIS Location: Base</v>
          </cell>
          <cell r="Q80">
            <v>0.97</v>
          </cell>
          <cell r="R80" t="str">
            <v>Index</v>
          </cell>
        </row>
        <row r="81">
          <cell r="C81" t="str">
            <v>Currency_Symbol</v>
          </cell>
          <cell r="K81" t="str">
            <v>£</v>
          </cell>
          <cell r="N81" t="str">
            <v>Symbol</v>
          </cell>
          <cell r="P81" t="str">
            <v>Currency Symbol</v>
          </cell>
          <cell r="Q81" t="str">
            <v>£</v>
          </cell>
          <cell r="R81" t="str">
            <v>Symbol</v>
          </cell>
        </row>
        <row r="82">
          <cell r="C82" t="str">
            <v>Currency_Projected</v>
          </cell>
          <cell r="K82">
            <v>1</v>
          </cell>
          <cell r="N82" t="str">
            <v>Factor</v>
          </cell>
          <cell r="P82" t="str">
            <v>Currency Projected</v>
          </cell>
          <cell r="Q82">
            <v>1</v>
          </cell>
          <cell r="R82" t="str">
            <v>Factor</v>
          </cell>
        </row>
        <row r="83">
          <cell r="C83" t="str">
            <v>Currency_Base</v>
          </cell>
          <cell r="K83">
            <v>1</v>
          </cell>
          <cell r="N83" t="str">
            <v>Factor</v>
          </cell>
          <cell r="P83" t="str">
            <v xml:space="preserve">Currency Base </v>
          </cell>
          <cell r="Q83">
            <v>1</v>
          </cell>
          <cell r="R83" t="str">
            <v>Factor</v>
          </cell>
        </row>
        <row r="84">
          <cell r="C84" t="str">
            <v>Global_Rate_adjustment</v>
          </cell>
          <cell r="K84">
            <v>1</v>
          </cell>
          <cell r="N84" t="str">
            <v>Multiplier</v>
          </cell>
          <cell r="P84" t="str">
            <v>Global Rate adjustment</v>
          </cell>
          <cell r="Q84">
            <v>1</v>
          </cell>
          <cell r="R84" t="str">
            <v>Multiplier</v>
          </cell>
        </row>
        <row r="85">
          <cell r="C85" t="str">
            <v>Global_quantity_multiplier</v>
          </cell>
          <cell r="K85" t="str">
            <v>1839</v>
          </cell>
          <cell r="N85" t="str">
            <v>Factor</v>
          </cell>
          <cell r="P85" t="str">
            <v>Global Quantity Multiplier (eg 12 units)</v>
          </cell>
          <cell r="Q85" t="str">
            <v>1839</v>
          </cell>
          <cell r="R85" t="str">
            <v>Factor</v>
          </cell>
        </row>
        <row r="86">
          <cell r="C86" t="str">
            <v>Global_quantity_base</v>
          </cell>
          <cell r="K86">
            <v>1839</v>
          </cell>
          <cell r="N86" t="str">
            <v>Factor</v>
          </cell>
          <cell r="P86" t="str">
            <v>Global Quantity Base (generally 1)</v>
          </cell>
          <cell r="Q86">
            <v>1839</v>
          </cell>
          <cell r="R86" t="str">
            <v>Factor</v>
          </cell>
        </row>
        <row r="87">
          <cell r="C87" t="str">
            <v>Global_quantity_applied</v>
          </cell>
          <cell r="K87" t="str">
            <v>y</v>
          </cell>
          <cell r="N87" t="str">
            <v>Option</v>
          </cell>
          <cell r="P87" t="str">
            <v>Y for multiplied N for Unit quantities</v>
          </cell>
          <cell r="Q87" t="str">
            <v>y</v>
          </cell>
          <cell r="R87" t="str">
            <v>Option</v>
          </cell>
        </row>
        <row r="88">
          <cell r="C88" t="str">
            <v>Global_quantity_adjustment</v>
          </cell>
          <cell r="K88">
            <v>1</v>
          </cell>
          <cell r="N88" t="str">
            <v>Multiplier</v>
          </cell>
          <cell r="P88" t="str">
            <v>Global Quantity Adjustment</v>
          </cell>
          <cell r="Q88">
            <v>1</v>
          </cell>
          <cell r="R88" t="str">
            <v>Multiplier</v>
          </cell>
        </row>
        <row r="89">
          <cell r="C89" t="str">
            <v>VAT</v>
          </cell>
          <cell r="K89">
            <v>17.5</v>
          </cell>
          <cell r="N89" t="str">
            <v>%</v>
          </cell>
          <cell r="P89" t="str">
            <v>VAT</v>
          </cell>
          <cell r="Q89">
            <v>17.5</v>
          </cell>
          <cell r="R89" t="str">
            <v>%</v>
          </cell>
        </row>
        <row r="90">
          <cell r="C90" t="str">
            <v>Scope</v>
          </cell>
          <cell r="K90" t="str">
            <v>N</v>
          </cell>
          <cell r="P90" t="str">
            <v>Scope (N=New build, R=Refurbishment)</v>
          </cell>
          <cell r="Q90" t="str">
            <v>N</v>
          </cell>
          <cell r="R90">
            <v>0</v>
          </cell>
        </row>
        <row r="91">
          <cell r="C91" t="str">
            <v>Basis_Work_involved</v>
          </cell>
          <cell r="K91" t="str">
            <v>New build</v>
          </cell>
          <cell r="P91" t="str">
            <v>Basis Work involved</v>
          </cell>
          <cell r="Q91" t="str">
            <v>New build</v>
          </cell>
          <cell r="R91">
            <v>0</v>
          </cell>
        </row>
        <row r="92">
          <cell r="C92" t="str">
            <v>Start_on_site_year</v>
          </cell>
          <cell r="K92">
            <v>2008</v>
          </cell>
          <cell r="N92" t="str">
            <v>Year</v>
          </cell>
          <cell r="P92" t="str">
            <v>Start on site (year)</v>
          </cell>
          <cell r="Q92">
            <v>2008</v>
          </cell>
          <cell r="R92" t="str">
            <v>Year</v>
          </cell>
        </row>
        <row r="93">
          <cell r="C93" t="str">
            <v>Start_on_site_month</v>
          </cell>
          <cell r="K93">
            <v>1</v>
          </cell>
          <cell r="N93" t="str">
            <v>Month</v>
          </cell>
          <cell r="P93" t="str">
            <v>Start on site (month)</v>
          </cell>
          <cell r="Q93">
            <v>1</v>
          </cell>
          <cell r="R93" t="str">
            <v>Month</v>
          </cell>
        </row>
        <row r="94">
          <cell r="C94" t="str">
            <v>Start_on_site_day</v>
          </cell>
          <cell r="K94">
            <v>1</v>
          </cell>
          <cell r="N94" t="str">
            <v>Date</v>
          </cell>
          <cell r="P94" t="str">
            <v>Start on site (day)</v>
          </cell>
          <cell r="Q94">
            <v>1</v>
          </cell>
          <cell r="R94" t="str">
            <v>Date</v>
          </cell>
        </row>
        <row r="95">
          <cell r="C95" t="str">
            <v>Start_on_site</v>
          </cell>
          <cell r="K95">
            <v>39448</v>
          </cell>
          <cell r="N95" t="str">
            <v>Date</v>
          </cell>
          <cell r="P95" t="str">
            <v>Start on site (day)</v>
          </cell>
          <cell r="Q95">
            <v>39448</v>
          </cell>
          <cell r="R95" t="str">
            <v>Date</v>
          </cell>
        </row>
        <row r="96">
          <cell r="C96" t="str">
            <v>Contract_Period</v>
          </cell>
          <cell r="K96">
            <v>52</v>
          </cell>
          <cell r="N96" t="str">
            <v>weeks</v>
          </cell>
          <cell r="P96" t="str">
            <v>Contract Period (weeks)</v>
          </cell>
          <cell r="Q96">
            <v>52</v>
          </cell>
          <cell r="R96" t="str">
            <v>weeks</v>
          </cell>
        </row>
        <row r="97">
          <cell r="C97" t="str">
            <v>Contract_Period_days</v>
          </cell>
          <cell r="K97">
            <v>0</v>
          </cell>
          <cell r="N97" t="str">
            <v>days</v>
          </cell>
          <cell r="P97" t="str">
            <v>Contract Period (+days)</v>
          </cell>
          <cell r="Q97">
            <v>0</v>
          </cell>
          <cell r="R97" t="str">
            <v>days</v>
          </cell>
        </row>
        <row r="98">
          <cell r="C98" t="str">
            <v>Contract_period_mobilisation</v>
          </cell>
          <cell r="K98">
            <v>1</v>
          </cell>
          <cell r="N98" t="str">
            <v>weeks</v>
          </cell>
          <cell r="P98" t="str">
            <v xml:space="preserve">Pre Contract mobilisation Period </v>
          </cell>
          <cell r="Q98">
            <v>1</v>
          </cell>
          <cell r="R98" t="str">
            <v>weeks</v>
          </cell>
        </row>
        <row r="99">
          <cell r="C99" t="str">
            <v>Contract_period_completion</v>
          </cell>
          <cell r="K99">
            <v>4</v>
          </cell>
          <cell r="N99" t="str">
            <v>weeks</v>
          </cell>
          <cell r="P99" t="str">
            <v>Post Contract completion /snagging</v>
          </cell>
          <cell r="Q99">
            <v>4</v>
          </cell>
          <cell r="R99" t="str">
            <v>weeks</v>
          </cell>
        </row>
        <row r="100">
          <cell r="C100" t="str">
            <v>Drawing_number_building</v>
          </cell>
          <cell r="K100" t="str">
            <v>dwg</v>
          </cell>
          <cell r="N100" t="str">
            <v>text</v>
          </cell>
          <cell r="P100" t="str">
            <v>Building drawing</v>
          </cell>
          <cell r="Q100" t="str">
            <v>dwg</v>
          </cell>
          <cell r="R100" t="str">
            <v>text</v>
          </cell>
        </row>
        <row r="101">
          <cell r="C101" t="str">
            <v>Drawing_number_site</v>
          </cell>
          <cell r="K101" t="str">
            <v>x</v>
          </cell>
          <cell r="N101" t="str">
            <v>text</v>
          </cell>
          <cell r="P101" t="str">
            <v>Site drawing</v>
          </cell>
          <cell r="Q101" t="str">
            <v>x</v>
          </cell>
          <cell r="R101" t="str">
            <v>text</v>
          </cell>
        </row>
        <row r="102">
          <cell r="C102" t="str">
            <v>Procurement_option</v>
          </cell>
          <cell r="K102" t="str">
            <v xml:space="preserve">Design and Build contract </v>
          </cell>
          <cell r="N102" t="str">
            <v>Text</v>
          </cell>
          <cell r="P102" t="str">
            <v>Procurement option</v>
          </cell>
          <cell r="Q102" t="str">
            <v xml:space="preserve">Design and Build contract </v>
          </cell>
          <cell r="R102" t="str">
            <v>Text</v>
          </cell>
        </row>
        <row r="103">
          <cell r="C103" t="str">
            <v>Risk_allowance_Project</v>
          </cell>
          <cell r="K103">
            <v>0</v>
          </cell>
          <cell r="N103" t="str">
            <v>%</v>
          </cell>
          <cell r="P103" t="str">
            <v>Risk allowance: Project</v>
          </cell>
          <cell r="Q103">
            <v>0</v>
          </cell>
          <cell r="R103" t="str">
            <v>%</v>
          </cell>
        </row>
        <row r="104">
          <cell r="C104" t="str">
            <v>Sanction_budget</v>
          </cell>
          <cell r="K104">
            <v>5000000</v>
          </cell>
          <cell r="N104" t="str">
            <v>£</v>
          </cell>
          <cell r="P104" t="str">
            <v>Sanction budget</v>
          </cell>
          <cell r="Q104">
            <v>5000000</v>
          </cell>
          <cell r="R104" t="str">
            <v>£</v>
          </cell>
        </row>
        <row r="106">
          <cell r="C106" t="str">
            <v>MAJOR DIMENSIONS</v>
          </cell>
          <cell r="P106" t="str">
            <v>MAJOR DIMENSIONS</v>
          </cell>
          <cell r="Q106">
            <v>0</v>
          </cell>
          <cell r="R106">
            <v>0</v>
          </cell>
        </row>
        <row r="107">
          <cell r="C107" t="str">
            <v>Functional_units</v>
          </cell>
          <cell r="K107">
            <v>240</v>
          </cell>
          <cell r="N107" t="str">
            <v>Nr</v>
          </cell>
          <cell r="P107" t="str">
            <v>Functional units (Based on)</v>
          </cell>
          <cell r="Q107">
            <v>240</v>
          </cell>
          <cell r="R107" t="str">
            <v>Nr</v>
          </cell>
        </row>
        <row r="108">
          <cell r="C108" t="str">
            <v>Functional_units_name</v>
          </cell>
          <cell r="K108" t="str">
            <v>Pupils</v>
          </cell>
          <cell r="P108" t="str">
            <v>Functional units name</v>
          </cell>
          <cell r="Q108" t="str">
            <v>Pupils</v>
          </cell>
          <cell r="R108">
            <v>0</v>
          </cell>
        </row>
        <row r="109">
          <cell r="C109" t="str">
            <v>Item</v>
          </cell>
          <cell r="K109">
            <v>1</v>
          </cell>
          <cell r="N109" t="str">
            <v>Nr</v>
          </cell>
          <cell r="P109" t="str">
            <v>Item</v>
          </cell>
          <cell r="Q109">
            <v>1</v>
          </cell>
          <cell r="R109" t="str">
            <v>Nr</v>
          </cell>
        </row>
        <row r="110">
          <cell r="C110" t="str">
            <v>Length_Span</v>
          </cell>
          <cell r="K110">
            <v>175.14285714285714</v>
          </cell>
          <cell r="N110" t="str">
            <v>m</v>
          </cell>
          <cell r="P110" t="str">
            <v>Longitudinal Span</v>
          </cell>
          <cell r="Q110">
            <v>175.14285714285714</v>
          </cell>
          <cell r="R110" t="str">
            <v>m</v>
          </cell>
        </row>
        <row r="111">
          <cell r="C111" t="str">
            <v>Length_bays</v>
          </cell>
          <cell r="K111">
            <v>1</v>
          </cell>
          <cell r="N111" t="str">
            <v>Nr</v>
          </cell>
          <cell r="P111" t="str">
            <v>Longitudinal bays</v>
          </cell>
          <cell r="Q111">
            <v>1</v>
          </cell>
          <cell r="R111" t="str">
            <v>Nr</v>
          </cell>
        </row>
        <row r="112">
          <cell r="C112" t="str">
            <v>Length_addition</v>
          </cell>
          <cell r="K112">
            <v>0</v>
          </cell>
          <cell r="N112" t="str">
            <v>Nr</v>
          </cell>
          <cell r="P112" t="str">
            <v>Longitudinal additional non grid</v>
          </cell>
          <cell r="Q112">
            <v>0</v>
          </cell>
          <cell r="R112" t="str">
            <v>Nr</v>
          </cell>
        </row>
        <row r="113">
          <cell r="C113" t="str">
            <v>Length</v>
          </cell>
          <cell r="K113">
            <v>175.14285714285714</v>
          </cell>
          <cell r="N113" t="str">
            <v>m</v>
          </cell>
          <cell r="P113" t="str">
            <v>Overall length</v>
          </cell>
          <cell r="Q113">
            <v>175.14285714285714</v>
          </cell>
          <cell r="R113" t="str">
            <v>m</v>
          </cell>
        </row>
        <row r="114">
          <cell r="C114" t="str">
            <v>Span_span</v>
          </cell>
          <cell r="K114">
            <v>10.5</v>
          </cell>
          <cell r="N114" t="str">
            <v>m</v>
          </cell>
          <cell r="P114" t="str">
            <v>Span span</v>
          </cell>
          <cell r="Q114">
            <v>10.5</v>
          </cell>
          <cell r="R114" t="str">
            <v>m</v>
          </cell>
        </row>
        <row r="115">
          <cell r="C115" t="str">
            <v>Span_bays</v>
          </cell>
          <cell r="K115">
            <v>1</v>
          </cell>
          <cell r="N115" t="str">
            <v>Nr</v>
          </cell>
          <cell r="P115" t="str">
            <v>Span bays</v>
          </cell>
          <cell r="Q115">
            <v>1</v>
          </cell>
          <cell r="R115" t="str">
            <v>Nr</v>
          </cell>
        </row>
        <row r="116">
          <cell r="C116" t="str">
            <v>Span_additional</v>
          </cell>
          <cell r="K116">
            <v>0</v>
          </cell>
          <cell r="N116" t="str">
            <v>Nr</v>
          </cell>
          <cell r="P116" t="str">
            <v>Span additional length</v>
          </cell>
          <cell r="Q116">
            <v>0</v>
          </cell>
          <cell r="R116" t="str">
            <v>Nr</v>
          </cell>
        </row>
        <row r="117">
          <cell r="C117" t="str">
            <v>Span</v>
          </cell>
          <cell r="K117">
            <v>10.5</v>
          </cell>
          <cell r="N117" t="str">
            <v>m</v>
          </cell>
          <cell r="P117" t="str">
            <v>Overall Span</v>
          </cell>
          <cell r="Q117">
            <v>10.5</v>
          </cell>
          <cell r="R117" t="str">
            <v>m</v>
          </cell>
        </row>
        <row r="118">
          <cell r="C118" t="str">
            <v>Height_B1</v>
          </cell>
          <cell r="K118">
            <v>0</v>
          </cell>
          <cell r="N118" t="str">
            <v>m</v>
          </cell>
          <cell r="P118" t="str">
            <v>Structural storey height Basement 1</v>
          </cell>
          <cell r="Q118">
            <v>0</v>
          </cell>
          <cell r="R118" t="str">
            <v>m</v>
          </cell>
        </row>
        <row r="119">
          <cell r="C119" t="str">
            <v>Height_0</v>
          </cell>
          <cell r="K119">
            <v>3.7</v>
          </cell>
          <cell r="N119" t="str">
            <v>m</v>
          </cell>
          <cell r="P119" t="str">
            <v>Structural storey height Ground</v>
          </cell>
          <cell r="Q119">
            <v>3.7</v>
          </cell>
          <cell r="R119" t="str">
            <v>m</v>
          </cell>
        </row>
        <row r="120">
          <cell r="C120" t="str">
            <v>Height_01</v>
          </cell>
          <cell r="K120">
            <v>0</v>
          </cell>
          <cell r="N120" t="str">
            <v>m</v>
          </cell>
          <cell r="P120" t="str">
            <v>Structural storey height 1st floor</v>
          </cell>
          <cell r="Q120">
            <v>0</v>
          </cell>
          <cell r="R120" t="str">
            <v>m</v>
          </cell>
        </row>
        <row r="121">
          <cell r="C121" t="str">
            <v>Height_02</v>
          </cell>
          <cell r="K121">
            <v>0</v>
          </cell>
          <cell r="N121" t="str">
            <v>m</v>
          </cell>
          <cell r="P121" t="str">
            <v>Structural storey height 2nd floor</v>
          </cell>
          <cell r="Q121">
            <v>0</v>
          </cell>
          <cell r="R121" t="str">
            <v>m</v>
          </cell>
        </row>
        <row r="122">
          <cell r="C122" t="str">
            <v>Height_03</v>
          </cell>
          <cell r="K122">
            <v>0</v>
          </cell>
          <cell r="N122" t="str">
            <v>m</v>
          </cell>
          <cell r="P122" t="str">
            <v>Structural storey height 3rd floor</v>
          </cell>
          <cell r="Q122">
            <v>0</v>
          </cell>
          <cell r="R122" t="str">
            <v>m</v>
          </cell>
        </row>
        <row r="123">
          <cell r="C123" t="str">
            <v>Height_99</v>
          </cell>
          <cell r="K123">
            <v>0</v>
          </cell>
          <cell r="N123" t="str">
            <v>m</v>
          </cell>
          <cell r="P123" t="str">
            <v>Structural storey height Penthouse</v>
          </cell>
          <cell r="Q123">
            <v>0</v>
          </cell>
          <cell r="R123" t="str">
            <v>m</v>
          </cell>
        </row>
        <row r="124">
          <cell r="C124" t="str">
            <v>Height_to_eaves</v>
          </cell>
          <cell r="K124">
            <v>3.7</v>
          </cell>
          <cell r="N124" t="str">
            <v>m</v>
          </cell>
          <cell r="P124" t="str">
            <v>Structural storey height to eaves</v>
          </cell>
          <cell r="Q124">
            <v>3.7</v>
          </cell>
          <cell r="R124" t="str">
            <v>m</v>
          </cell>
        </row>
        <row r="125">
          <cell r="C125" t="str">
            <v>Height_parapet</v>
          </cell>
          <cell r="K125">
            <v>0</v>
          </cell>
          <cell r="N125" t="str">
            <v>m</v>
          </cell>
          <cell r="P125" t="str">
            <v>Structural storey; parapet height</v>
          </cell>
          <cell r="Q125">
            <v>0</v>
          </cell>
          <cell r="R125" t="str">
            <v>m</v>
          </cell>
        </row>
        <row r="126">
          <cell r="C126" t="str">
            <v>Height_eaves_to_ridge</v>
          </cell>
          <cell r="K126">
            <v>0</v>
          </cell>
          <cell r="N126" t="str">
            <v>m</v>
          </cell>
          <cell r="P126" t="str">
            <v>Structural storey Eaves to ridge</v>
          </cell>
          <cell r="Q126">
            <v>0</v>
          </cell>
          <cell r="R126" t="str">
            <v>m</v>
          </cell>
        </row>
        <row r="127">
          <cell r="C127" t="str">
            <v>Height</v>
          </cell>
          <cell r="K127">
            <v>3.7</v>
          </cell>
          <cell r="N127" t="str">
            <v>m</v>
          </cell>
          <cell r="P127" t="str">
            <v>Height of building total</v>
          </cell>
          <cell r="Q127">
            <v>3.7</v>
          </cell>
          <cell r="R127" t="str">
            <v>m</v>
          </cell>
        </row>
        <row r="128">
          <cell r="C128" t="str">
            <v>Height_number_of_Storeys</v>
          </cell>
          <cell r="K128">
            <v>3</v>
          </cell>
          <cell r="N128" t="str">
            <v>Nr</v>
          </cell>
          <cell r="P128" t="str">
            <v>Storeys</v>
          </cell>
          <cell r="Q128">
            <v>3</v>
          </cell>
          <cell r="R128" t="str">
            <v>Nr</v>
          </cell>
        </row>
        <row r="129">
          <cell r="C129" t="str">
            <v>Height_per_Storey</v>
          </cell>
          <cell r="K129">
            <v>1.2333333333333334</v>
          </cell>
          <cell r="N129" t="str">
            <v>m</v>
          </cell>
          <cell r="P129" t="str">
            <v>Structural storey height</v>
          </cell>
          <cell r="Q129">
            <v>1.2333333333333334</v>
          </cell>
          <cell r="R129" t="str">
            <v>m</v>
          </cell>
        </row>
        <row r="130">
          <cell r="C130" t="str">
            <v>Storeys</v>
          </cell>
          <cell r="K130">
            <v>1</v>
          </cell>
          <cell r="N130" t="str">
            <v>Nr</v>
          </cell>
          <cell r="P130" t="str">
            <v>Storeys</v>
          </cell>
          <cell r="Q130">
            <v>1</v>
          </cell>
          <cell r="R130" t="str">
            <v>Nr</v>
          </cell>
        </row>
        <row r="131">
          <cell r="C131" t="str">
            <v>Storey_height</v>
          </cell>
          <cell r="K131">
            <v>3.7</v>
          </cell>
          <cell r="N131" t="str">
            <v>m</v>
          </cell>
          <cell r="P131" t="str">
            <v>Structural storey height</v>
          </cell>
          <cell r="Q131">
            <v>3.7</v>
          </cell>
          <cell r="R131" t="str">
            <v>m</v>
          </cell>
        </row>
        <row r="132">
          <cell r="C132" t="str">
            <v>Storey_height_total</v>
          </cell>
          <cell r="K132">
            <v>3.7</v>
          </cell>
          <cell r="N132" t="str">
            <v>m</v>
          </cell>
          <cell r="P132" t="str">
            <v>Structural storey height total</v>
          </cell>
          <cell r="Q132">
            <v>3.7</v>
          </cell>
          <cell r="R132" t="str">
            <v>m</v>
          </cell>
        </row>
        <row r="133">
          <cell r="C133" t="str">
            <v>Girth_additional_non_rectangular</v>
          </cell>
          <cell r="K133">
            <v>0</v>
          </cell>
          <cell r="N133" t="str">
            <v>m</v>
          </cell>
          <cell r="P133" t="str">
            <v>Non rectgular additions (returns / doughnut)</v>
          </cell>
          <cell r="Q133">
            <v>0</v>
          </cell>
          <cell r="R133" t="str">
            <v>m</v>
          </cell>
        </row>
        <row r="134">
          <cell r="C134" t="str">
            <v>Girth_B1</v>
          </cell>
          <cell r="K134">
            <v>0</v>
          </cell>
          <cell r="N134" t="str">
            <v>m</v>
          </cell>
          <cell r="P134" t="str">
            <v>Girth of basement 1</v>
          </cell>
          <cell r="Q134">
            <v>0</v>
          </cell>
          <cell r="R134" t="str">
            <v>m</v>
          </cell>
        </row>
        <row r="136">
          <cell r="C136" t="str">
            <v>Girth_0</v>
          </cell>
          <cell r="K136">
            <v>295</v>
          </cell>
          <cell r="N136" t="str">
            <v>m</v>
          </cell>
          <cell r="P136" t="str">
            <v>Girth of level 0</v>
          </cell>
          <cell r="Q136">
            <v>295</v>
          </cell>
          <cell r="R136" t="str">
            <v>m</v>
          </cell>
        </row>
        <row r="137">
          <cell r="G137">
            <v>223</v>
          </cell>
          <cell r="K137">
            <v>223</v>
          </cell>
          <cell r="P137" t="str">
            <v>External perimeter</v>
          </cell>
        </row>
        <row r="138">
          <cell r="G138">
            <v>72</v>
          </cell>
          <cell r="K138">
            <v>72</v>
          </cell>
          <cell r="P138" t="str">
            <v>Courtyard</v>
          </cell>
        </row>
        <row r="139">
          <cell r="K139">
            <v>0</v>
          </cell>
        </row>
        <row r="140">
          <cell r="K140">
            <v>0</v>
          </cell>
        </row>
        <row r="141">
          <cell r="K141">
            <v>0</v>
          </cell>
        </row>
        <row r="142">
          <cell r="K142">
            <v>0</v>
          </cell>
        </row>
        <row r="143">
          <cell r="N143" t="str">
            <v>End</v>
          </cell>
        </row>
        <row r="145">
          <cell r="C145" t="str">
            <v>Girth_01</v>
          </cell>
          <cell r="K145">
            <v>0</v>
          </cell>
          <cell r="N145" t="str">
            <v>m</v>
          </cell>
          <cell r="P145" t="str">
            <v>Girth of upper floor 1</v>
          </cell>
          <cell r="Q145">
            <v>0</v>
          </cell>
          <cell r="R145" t="str">
            <v>m</v>
          </cell>
        </row>
        <row r="146">
          <cell r="C146" t="str">
            <v>Girth_02</v>
          </cell>
          <cell r="K146">
            <v>0</v>
          </cell>
          <cell r="N146" t="str">
            <v>m</v>
          </cell>
          <cell r="P146" t="str">
            <v>Girth of upper floor 2</v>
          </cell>
          <cell r="Q146">
            <v>0</v>
          </cell>
          <cell r="R146" t="str">
            <v>m</v>
          </cell>
        </row>
        <row r="147">
          <cell r="C147" t="str">
            <v>Girth_03</v>
          </cell>
          <cell r="K147">
            <v>0</v>
          </cell>
          <cell r="N147" t="str">
            <v>m</v>
          </cell>
          <cell r="P147" t="str">
            <v>Girth of upper floor 3</v>
          </cell>
          <cell r="Q147">
            <v>0</v>
          </cell>
          <cell r="R147" t="str">
            <v>m</v>
          </cell>
        </row>
        <row r="148">
          <cell r="C148" t="str">
            <v>Girth_99</v>
          </cell>
          <cell r="K148">
            <v>0</v>
          </cell>
          <cell r="N148" t="str">
            <v>m</v>
          </cell>
          <cell r="P148" t="str">
            <v>Girth of upper floor Penthouse</v>
          </cell>
          <cell r="Q148">
            <v>0</v>
          </cell>
          <cell r="R148" t="str">
            <v>m</v>
          </cell>
        </row>
        <row r="149">
          <cell r="C149" t="str">
            <v>Girth</v>
          </cell>
          <cell r="K149">
            <v>295</v>
          </cell>
          <cell r="N149" t="str">
            <v>m</v>
          </cell>
          <cell r="P149" t="str">
            <v>Girth (average or typical)</v>
          </cell>
          <cell r="Q149">
            <v>295</v>
          </cell>
          <cell r="R149" t="str">
            <v>m</v>
          </cell>
        </row>
        <row r="150">
          <cell r="C150" t="str">
            <v>Storey_height_total</v>
          </cell>
          <cell r="K150">
            <v>0</v>
          </cell>
          <cell r="N150" t="str">
            <v>m</v>
          </cell>
          <cell r="P150" t="str">
            <v>Structural storey height total</v>
          </cell>
          <cell r="Q150">
            <v>0</v>
          </cell>
          <cell r="R150" t="str">
            <v>m</v>
          </cell>
        </row>
        <row r="151">
          <cell r="C151" t="str">
            <v>Volume_of_building</v>
          </cell>
          <cell r="K151">
            <v>6804.3</v>
          </cell>
          <cell r="N151" t="str">
            <v>m³</v>
          </cell>
          <cell r="P151" t="str">
            <v>Volume of space</v>
          </cell>
          <cell r="Q151">
            <v>6804.3</v>
          </cell>
          <cell r="R151" t="str">
            <v>m³</v>
          </cell>
        </row>
        <row r="152">
          <cell r="C152" t="str">
            <v>Site_area</v>
          </cell>
          <cell r="K152">
            <v>11000</v>
          </cell>
          <cell r="N152" t="str">
            <v>m²</v>
          </cell>
          <cell r="P152" t="str">
            <v>Site area</v>
          </cell>
          <cell r="Q152">
            <v>11000</v>
          </cell>
          <cell r="R152" t="str">
            <v>m²</v>
          </cell>
        </row>
        <row r="154">
          <cell r="C154" t="str">
            <v>AREAS BY LEVEL</v>
          </cell>
          <cell r="P154" t="str">
            <v>AREAS BY LEVEL</v>
          </cell>
          <cell r="Q154">
            <v>0</v>
          </cell>
          <cell r="R154">
            <v>0</v>
          </cell>
        </row>
        <row r="155">
          <cell r="C155" t="str">
            <v>Level_B1</v>
          </cell>
          <cell r="K155">
            <v>0</v>
          </cell>
          <cell r="N155" t="str">
            <v>m²</v>
          </cell>
          <cell r="P155" t="str">
            <v>Basement</v>
          </cell>
          <cell r="Q155">
            <v>0</v>
          </cell>
          <cell r="R155" t="str">
            <v>m²</v>
          </cell>
        </row>
        <row r="157">
          <cell r="C157" t="str">
            <v>Level_0</v>
          </cell>
          <cell r="K157">
            <v>1839</v>
          </cell>
          <cell r="N157" t="str">
            <v>m²</v>
          </cell>
          <cell r="P157" t="str">
            <v>Ground floor</v>
          </cell>
          <cell r="Q157">
            <v>1839</v>
          </cell>
          <cell r="R157" t="str">
            <v>m²</v>
          </cell>
        </row>
        <row r="158">
          <cell r="F158">
            <v>1</v>
          </cell>
          <cell r="G158">
            <v>1839</v>
          </cell>
          <cell r="H158">
            <v>1</v>
          </cell>
          <cell r="K158">
            <v>1839</v>
          </cell>
          <cell r="P158" t="str">
            <v>Annotation</v>
          </cell>
        </row>
        <row r="159">
          <cell r="K159">
            <v>0</v>
          </cell>
        </row>
        <row r="160">
          <cell r="K160">
            <v>0</v>
          </cell>
        </row>
        <row r="161">
          <cell r="K161">
            <v>0</v>
          </cell>
        </row>
        <row r="162">
          <cell r="K162">
            <v>0</v>
          </cell>
        </row>
        <row r="163">
          <cell r="K163">
            <v>0</v>
          </cell>
        </row>
        <row r="164">
          <cell r="N164" t="str">
            <v>End</v>
          </cell>
        </row>
        <row r="167">
          <cell r="C167" t="str">
            <v>Level_01</v>
          </cell>
          <cell r="K167">
            <v>0</v>
          </cell>
          <cell r="N167" t="str">
            <v>m²</v>
          </cell>
          <cell r="P167" t="str">
            <v>First floor</v>
          </cell>
          <cell r="Q167">
            <v>0</v>
          </cell>
          <cell r="R167" t="str">
            <v>m²</v>
          </cell>
        </row>
        <row r="168">
          <cell r="G168">
            <v>0</v>
          </cell>
          <cell r="H168">
            <v>0</v>
          </cell>
          <cell r="K168">
            <v>0</v>
          </cell>
          <cell r="P168" t="str">
            <v>Annotation</v>
          </cell>
        </row>
        <row r="169">
          <cell r="K169">
            <v>0</v>
          </cell>
        </row>
        <row r="170">
          <cell r="K170">
            <v>0</v>
          </cell>
        </row>
        <row r="171">
          <cell r="K171">
            <v>0</v>
          </cell>
        </row>
        <row r="172">
          <cell r="K172">
            <v>0</v>
          </cell>
        </row>
        <row r="173">
          <cell r="K173">
            <v>0</v>
          </cell>
        </row>
        <row r="174">
          <cell r="N174" t="str">
            <v>End</v>
          </cell>
        </row>
        <row r="176">
          <cell r="C176" t="str">
            <v>Level_02</v>
          </cell>
          <cell r="K176">
            <v>0</v>
          </cell>
          <cell r="N176" t="str">
            <v>m²</v>
          </cell>
          <cell r="P176" t="str">
            <v>Second floor</v>
          </cell>
          <cell r="Q176">
            <v>0</v>
          </cell>
          <cell r="R176" t="str">
            <v>m²</v>
          </cell>
        </row>
        <row r="177">
          <cell r="G177">
            <v>0</v>
          </cell>
          <cell r="H177">
            <v>0</v>
          </cell>
          <cell r="K177">
            <v>0</v>
          </cell>
          <cell r="P177" t="str">
            <v>Annotation</v>
          </cell>
        </row>
        <row r="178">
          <cell r="K178">
            <v>0</v>
          </cell>
        </row>
        <row r="179">
          <cell r="K179">
            <v>0</v>
          </cell>
        </row>
        <row r="180">
          <cell r="K180">
            <v>0</v>
          </cell>
        </row>
        <row r="181">
          <cell r="K181">
            <v>0</v>
          </cell>
        </row>
        <row r="182">
          <cell r="K182">
            <v>0</v>
          </cell>
        </row>
        <row r="183">
          <cell r="N183" t="str">
            <v>End</v>
          </cell>
        </row>
        <row r="186">
          <cell r="C186" t="str">
            <v>Level_03</v>
          </cell>
          <cell r="K186">
            <v>0</v>
          </cell>
          <cell r="N186" t="str">
            <v>m²</v>
          </cell>
          <cell r="P186" t="str">
            <v>Third floor</v>
          </cell>
          <cell r="Q186">
            <v>0</v>
          </cell>
          <cell r="R186" t="str">
            <v>m²</v>
          </cell>
        </row>
        <row r="187">
          <cell r="C187" t="str">
            <v>Level_04</v>
          </cell>
          <cell r="K187">
            <v>0</v>
          </cell>
          <cell r="N187" t="str">
            <v>m²</v>
          </cell>
          <cell r="P187" t="str">
            <v>Fourth floor</v>
          </cell>
          <cell r="Q187">
            <v>0</v>
          </cell>
          <cell r="R187" t="str">
            <v>m²</v>
          </cell>
        </row>
        <row r="188">
          <cell r="C188" t="str">
            <v>Level_05</v>
          </cell>
          <cell r="K188">
            <v>0</v>
          </cell>
          <cell r="N188" t="str">
            <v>m²</v>
          </cell>
          <cell r="P188" t="str">
            <v>Fifth floor</v>
          </cell>
          <cell r="Q188">
            <v>0</v>
          </cell>
          <cell r="R188" t="str">
            <v>m²</v>
          </cell>
        </row>
        <row r="189">
          <cell r="C189" t="str">
            <v>Level_06</v>
          </cell>
          <cell r="K189">
            <v>0</v>
          </cell>
          <cell r="N189" t="str">
            <v>m²</v>
          </cell>
          <cell r="P189" t="str">
            <v>Sixth Floor</v>
          </cell>
          <cell r="Q189">
            <v>0</v>
          </cell>
          <cell r="R189" t="str">
            <v>m²</v>
          </cell>
        </row>
        <row r="190">
          <cell r="C190" t="str">
            <v>Level_07</v>
          </cell>
          <cell r="K190">
            <v>0</v>
          </cell>
          <cell r="N190" t="str">
            <v>m²</v>
          </cell>
          <cell r="P190" t="str">
            <v>Seventh floor</v>
          </cell>
          <cell r="Q190">
            <v>0</v>
          </cell>
          <cell r="R190" t="str">
            <v>m²</v>
          </cell>
        </row>
        <row r="191">
          <cell r="C191" t="str">
            <v>Level_99</v>
          </cell>
          <cell r="K191">
            <v>0</v>
          </cell>
          <cell r="N191" t="str">
            <v>m²</v>
          </cell>
          <cell r="P191" t="str">
            <v>99th Floor</v>
          </cell>
          <cell r="Q191">
            <v>0</v>
          </cell>
          <cell r="R191" t="str">
            <v>m²</v>
          </cell>
        </row>
        <row r="192">
          <cell r="C192" t="str">
            <v>Gross_Floor_Area</v>
          </cell>
          <cell r="K192">
            <v>1839</v>
          </cell>
          <cell r="N192" t="str">
            <v>m²</v>
          </cell>
          <cell r="P192" t="str">
            <v>Total gross floor area</v>
          </cell>
          <cell r="Q192">
            <v>1839</v>
          </cell>
          <cell r="R192" t="str">
            <v>m²</v>
          </cell>
        </row>
        <row r="194">
          <cell r="C194" t="str">
            <v>AREAS_BY_FUNCTION</v>
          </cell>
          <cell r="P194" t="str">
            <v>AREAS BY FUNCTION</v>
          </cell>
          <cell r="Q194">
            <v>0</v>
          </cell>
          <cell r="R194">
            <v>0</v>
          </cell>
        </row>
        <row r="195">
          <cell r="C195" t="str">
            <v>Function_CDT</v>
          </cell>
          <cell r="K195">
            <v>106</v>
          </cell>
          <cell r="N195" t="str">
            <v>m²</v>
          </cell>
          <cell r="P195" t="str">
            <v>CDT (ICT  design tech etc)</v>
          </cell>
          <cell r="Q195">
            <v>106</v>
          </cell>
          <cell r="R195" t="str">
            <v>m²</v>
          </cell>
        </row>
        <row r="196">
          <cell r="C196" t="str">
            <v>Function_Classrooms</v>
          </cell>
          <cell r="K196">
            <v>508</v>
          </cell>
          <cell r="N196" t="str">
            <v>m²</v>
          </cell>
          <cell r="P196" t="str">
            <v>Classrooms</v>
          </cell>
          <cell r="Q196">
            <v>508</v>
          </cell>
          <cell r="R196" t="str">
            <v>m²</v>
          </cell>
        </row>
        <row r="197">
          <cell r="C197" t="str">
            <v>Function_Classrooms_support</v>
          </cell>
          <cell r="K197">
            <v>114</v>
          </cell>
          <cell r="N197" t="str">
            <v>m²</v>
          </cell>
          <cell r="P197" t="str">
            <v>Classrooms support (Therapy etc)</v>
          </cell>
          <cell r="Q197">
            <v>114</v>
          </cell>
          <cell r="R197" t="str">
            <v>m²</v>
          </cell>
        </row>
        <row r="198">
          <cell r="C198" t="str">
            <v>Function_Community</v>
          </cell>
          <cell r="K198">
            <v>38</v>
          </cell>
          <cell r="N198" t="str">
            <v>m²</v>
          </cell>
          <cell r="P198" t="str">
            <v>Community</v>
          </cell>
          <cell r="Q198">
            <v>38</v>
          </cell>
          <cell r="R198" t="str">
            <v>m²</v>
          </cell>
        </row>
        <row r="199">
          <cell r="C199" t="str">
            <v>Function_Circulation</v>
          </cell>
          <cell r="K199">
            <v>400</v>
          </cell>
          <cell r="N199" t="str">
            <v>m²</v>
          </cell>
          <cell r="P199" t="str">
            <v>Circulation</v>
          </cell>
          <cell r="Q199">
            <v>400</v>
          </cell>
          <cell r="R199" t="str">
            <v>m²</v>
          </cell>
        </row>
        <row r="200">
          <cell r="C200" t="str">
            <v>Function_Dining</v>
          </cell>
          <cell r="K200">
            <v>162</v>
          </cell>
          <cell r="N200" t="str">
            <v>m²</v>
          </cell>
          <cell r="P200" t="str">
            <v>Dining</v>
          </cell>
          <cell r="Q200">
            <v>162</v>
          </cell>
          <cell r="R200" t="str">
            <v>m²</v>
          </cell>
        </row>
        <row r="201">
          <cell r="C201" t="str">
            <v>Function_Kitchen</v>
          </cell>
          <cell r="K201">
            <v>56</v>
          </cell>
          <cell r="N201" t="str">
            <v>m²</v>
          </cell>
          <cell r="P201" t="str">
            <v>Kitchen</v>
          </cell>
          <cell r="Q201">
            <v>56</v>
          </cell>
          <cell r="R201" t="str">
            <v>m²</v>
          </cell>
        </row>
        <row r="202">
          <cell r="C202" t="str">
            <v>Function_Office</v>
          </cell>
          <cell r="K202">
            <v>152</v>
          </cell>
          <cell r="N202" t="str">
            <v>m²</v>
          </cell>
          <cell r="P202" t="str">
            <v>Offices (cellular)</v>
          </cell>
          <cell r="Q202">
            <v>152</v>
          </cell>
          <cell r="R202" t="str">
            <v>m²</v>
          </cell>
        </row>
        <row r="203">
          <cell r="C203" t="str">
            <v>Function_Plant</v>
          </cell>
          <cell r="K203">
            <v>40</v>
          </cell>
          <cell r="N203" t="str">
            <v>m²</v>
          </cell>
          <cell r="P203" t="str">
            <v>Plant</v>
          </cell>
          <cell r="Q203">
            <v>40</v>
          </cell>
          <cell r="R203" t="str">
            <v>m²</v>
          </cell>
        </row>
        <row r="204">
          <cell r="C204" t="str">
            <v>Function_Reception</v>
          </cell>
          <cell r="K204">
            <v>18</v>
          </cell>
          <cell r="N204" t="str">
            <v>m²</v>
          </cell>
          <cell r="P204" t="str">
            <v>Reception</v>
          </cell>
          <cell r="Q204">
            <v>18</v>
          </cell>
          <cell r="R204" t="str">
            <v>m²</v>
          </cell>
        </row>
        <row r="205">
          <cell r="C205" t="str">
            <v>Function_Stair</v>
          </cell>
          <cell r="K205">
            <v>0</v>
          </cell>
          <cell r="N205" t="str">
            <v>m²</v>
          </cell>
          <cell r="P205" t="str">
            <v>Stair</v>
          </cell>
          <cell r="Q205">
            <v>0</v>
          </cell>
          <cell r="R205" t="str">
            <v>m²</v>
          </cell>
        </row>
        <row r="206">
          <cell r="C206" t="str">
            <v>Function_Store</v>
          </cell>
          <cell r="K206">
            <v>106</v>
          </cell>
          <cell r="N206" t="str">
            <v>m²</v>
          </cell>
          <cell r="P206" t="str">
            <v>Store</v>
          </cell>
          <cell r="Q206">
            <v>106</v>
          </cell>
          <cell r="R206" t="str">
            <v>m²</v>
          </cell>
        </row>
        <row r="207">
          <cell r="C207" t="str">
            <v>Function_Toilet</v>
          </cell>
          <cell r="K207">
            <v>84</v>
          </cell>
          <cell r="N207" t="str">
            <v>m²</v>
          </cell>
          <cell r="P207" t="str">
            <v>Toilets</v>
          </cell>
          <cell r="Q207">
            <v>84</v>
          </cell>
          <cell r="R207" t="str">
            <v>m²</v>
          </cell>
        </row>
        <row r="208">
          <cell r="C208" t="str">
            <v>Function_Void</v>
          </cell>
          <cell r="K208">
            <v>55</v>
          </cell>
          <cell r="N208" t="str">
            <v>m²</v>
          </cell>
          <cell r="P208" t="str">
            <v>Void / ducts/ internal walls</v>
          </cell>
          <cell r="Q208">
            <v>55</v>
          </cell>
          <cell r="R208" t="str">
            <v>m²</v>
          </cell>
        </row>
        <row r="209">
          <cell r="C209" t="str">
            <v>Function_total</v>
          </cell>
          <cell r="K209">
            <v>1839</v>
          </cell>
          <cell r="N209" t="str">
            <v>m²</v>
          </cell>
          <cell r="P209" t="str">
            <v xml:space="preserve">Total gfa </v>
          </cell>
          <cell r="Q209">
            <v>1839</v>
          </cell>
          <cell r="R209" t="str">
            <v>m²</v>
          </cell>
        </row>
        <row r="211">
          <cell r="C211" t="str">
            <v>Lettable_area_1</v>
          </cell>
          <cell r="K211">
            <v>766</v>
          </cell>
          <cell r="N211" t="str">
            <v>m²</v>
          </cell>
          <cell r="P211" t="str">
            <v>Front line classrooms</v>
          </cell>
          <cell r="Q211">
            <v>766</v>
          </cell>
          <cell r="R211" t="str">
            <v>m²</v>
          </cell>
        </row>
        <row r="212">
          <cell r="C212" t="str">
            <v>Lettable_area_2</v>
          </cell>
          <cell r="K212">
            <v>1073</v>
          </cell>
          <cell r="N212" t="str">
            <v>m²</v>
          </cell>
          <cell r="P212" t="str">
            <v>Other</v>
          </cell>
          <cell r="Q212">
            <v>1073</v>
          </cell>
          <cell r="R212" t="str">
            <v>m²</v>
          </cell>
        </row>
        <row r="213">
          <cell r="C213" t="str">
            <v>Lettable_area</v>
          </cell>
          <cell r="K213">
            <v>1839</v>
          </cell>
          <cell r="N213" t="str">
            <v>m²</v>
          </cell>
          <cell r="P213" t="str">
            <v>Total gross floor area</v>
          </cell>
          <cell r="Q213">
            <v>1839</v>
          </cell>
          <cell r="R213" t="str">
            <v>m²</v>
          </cell>
        </row>
        <row r="215">
          <cell r="C215" t="str">
            <v>SUBSTRUCTURES (1A)</v>
          </cell>
          <cell r="P215" t="str">
            <v>SUB DIMENSIONS</v>
          </cell>
          <cell r="Q215">
            <v>0</v>
          </cell>
          <cell r="R215">
            <v>0</v>
          </cell>
        </row>
        <row r="217">
          <cell r="C217" t="str">
            <v>Ground_slab</v>
          </cell>
          <cell r="K217">
            <v>1839</v>
          </cell>
          <cell r="N217" t="str">
            <v>m²</v>
          </cell>
          <cell r="P217" t="str">
            <v xml:space="preserve">Ground slab </v>
          </cell>
          <cell r="Q217">
            <v>1839</v>
          </cell>
          <cell r="R217" t="str">
            <v>m²</v>
          </cell>
        </row>
        <row r="218">
          <cell r="G218">
            <v>1839</v>
          </cell>
          <cell r="H218">
            <v>1</v>
          </cell>
          <cell r="K218">
            <v>1839</v>
          </cell>
          <cell r="O218" t="str">
            <v>Level_0</v>
          </cell>
        </row>
        <row r="219">
          <cell r="K219">
            <v>0</v>
          </cell>
        </row>
        <row r="220">
          <cell r="K220">
            <v>0</v>
          </cell>
        </row>
        <row r="221">
          <cell r="K221">
            <v>0</v>
          </cell>
        </row>
        <row r="222">
          <cell r="K222">
            <v>0</v>
          </cell>
        </row>
        <row r="223">
          <cell r="K223">
            <v>0</v>
          </cell>
        </row>
        <row r="224">
          <cell r="N224" t="str">
            <v>End</v>
          </cell>
        </row>
        <row r="226">
          <cell r="C226" t="str">
            <v>Excavation_Reduce_depth</v>
          </cell>
          <cell r="K226">
            <v>0.5</v>
          </cell>
          <cell r="N226" t="str">
            <v>m</v>
          </cell>
          <cell r="P226" t="str">
            <v>Reduce level excavation depth</v>
          </cell>
          <cell r="Q226">
            <v>0.5</v>
          </cell>
          <cell r="R226" t="str">
            <v>m</v>
          </cell>
        </row>
        <row r="228">
          <cell r="C228" t="str">
            <v>Excavation_Reduce</v>
          </cell>
          <cell r="K228">
            <v>920</v>
          </cell>
          <cell r="N228" t="str">
            <v>m³</v>
          </cell>
          <cell r="P228" t="str">
            <v>Reduce level excavation volume</v>
          </cell>
          <cell r="Q228">
            <v>920</v>
          </cell>
          <cell r="R228" t="str">
            <v>m³</v>
          </cell>
        </row>
        <row r="229">
          <cell r="G229">
            <v>1839</v>
          </cell>
          <cell r="H229">
            <v>1</v>
          </cell>
          <cell r="I229">
            <v>0.5</v>
          </cell>
          <cell r="K229">
            <v>919.5</v>
          </cell>
          <cell r="O229" t="str">
            <v>Ground_slab</v>
          </cell>
        </row>
        <row r="230">
          <cell r="I230">
            <v>0.5</v>
          </cell>
          <cell r="K230">
            <v>0.5</v>
          </cell>
          <cell r="O230" t="str">
            <v>Excavation_Reduce_depth</v>
          </cell>
        </row>
        <row r="231">
          <cell r="K231">
            <v>0</v>
          </cell>
        </row>
        <row r="232">
          <cell r="K232">
            <v>0</v>
          </cell>
        </row>
        <row r="233">
          <cell r="N233" t="str">
            <v>End</v>
          </cell>
        </row>
        <row r="235">
          <cell r="C235" t="str">
            <v>Excavation_extra_over_concrete_%</v>
          </cell>
          <cell r="K235">
            <v>0</v>
          </cell>
          <cell r="N235" t="str">
            <v>%</v>
          </cell>
          <cell r="P235" t="str">
            <v>Extra over excavation: concrete</v>
          </cell>
          <cell r="Q235">
            <v>0</v>
          </cell>
          <cell r="R235" t="str">
            <v>%</v>
          </cell>
        </row>
        <row r="237">
          <cell r="C237" t="str">
            <v>Excavation_extra_over_ concrete</v>
          </cell>
          <cell r="K237">
            <v>0</v>
          </cell>
          <cell r="N237" t="str">
            <v>t</v>
          </cell>
          <cell r="P237" t="str">
            <v>Description</v>
          </cell>
          <cell r="Q237">
            <v>0</v>
          </cell>
          <cell r="R237" t="str">
            <v>t</v>
          </cell>
        </row>
        <row r="238">
          <cell r="G238">
            <v>920</v>
          </cell>
          <cell r="H238">
            <v>1</v>
          </cell>
          <cell r="I238">
            <v>0</v>
          </cell>
          <cell r="K238">
            <v>0</v>
          </cell>
          <cell r="O238" t="str">
            <v>Excavation_Reduce</v>
          </cell>
        </row>
        <row r="239">
          <cell r="I239">
            <v>0</v>
          </cell>
          <cell r="O239" t="str">
            <v>Excavation_extra_over_concrete_%</v>
          </cell>
        </row>
        <row r="240">
          <cell r="K240">
            <v>0</v>
          </cell>
        </row>
        <row r="241">
          <cell r="K241">
            <v>0</v>
          </cell>
        </row>
        <row r="242">
          <cell r="K242">
            <v>0</v>
          </cell>
        </row>
        <row r="243">
          <cell r="K243">
            <v>0</v>
          </cell>
        </row>
        <row r="244">
          <cell r="N244" t="str">
            <v>End</v>
          </cell>
        </row>
        <row r="247">
          <cell r="C247" t="str">
            <v>Foundations_Footings</v>
          </cell>
          <cell r="K247">
            <v>295</v>
          </cell>
          <cell r="N247" t="str">
            <v>m</v>
          </cell>
          <cell r="P247" t="str">
            <v>Footings</v>
          </cell>
          <cell r="Q247">
            <v>295</v>
          </cell>
          <cell r="R247" t="str">
            <v>m</v>
          </cell>
        </row>
        <row r="248">
          <cell r="G248">
            <v>295</v>
          </cell>
          <cell r="K248">
            <v>295</v>
          </cell>
          <cell r="O248" t="str">
            <v>Girth</v>
          </cell>
        </row>
        <row r="249">
          <cell r="K249">
            <v>0</v>
          </cell>
        </row>
        <row r="250">
          <cell r="K250">
            <v>0</v>
          </cell>
        </row>
        <row r="251">
          <cell r="K251">
            <v>0</v>
          </cell>
        </row>
        <row r="252">
          <cell r="K252">
            <v>0</v>
          </cell>
        </row>
        <row r="253">
          <cell r="K253">
            <v>0</v>
          </cell>
        </row>
        <row r="254">
          <cell r="N254" t="str">
            <v>End</v>
          </cell>
        </row>
        <row r="257">
          <cell r="C257" t="str">
            <v>Foundations_pads_small</v>
          </cell>
          <cell r="K257">
            <v>0</v>
          </cell>
          <cell r="N257" t="str">
            <v>Nr</v>
          </cell>
          <cell r="P257" t="str">
            <v>Pad foundations, small</v>
          </cell>
          <cell r="Q257">
            <v>0</v>
          </cell>
          <cell r="R257" t="str">
            <v>Nr</v>
          </cell>
        </row>
        <row r="258">
          <cell r="C258" t="str">
            <v>Foundations_pads_medium</v>
          </cell>
          <cell r="K258">
            <v>0</v>
          </cell>
          <cell r="N258" t="str">
            <v>Nr</v>
          </cell>
          <cell r="P258" t="str">
            <v>Pad foundations, medium</v>
          </cell>
          <cell r="Q258">
            <v>0</v>
          </cell>
          <cell r="R258" t="str">
            <v>Nr</v>
          </cell>
        </row>
        <row r="259">
          <cell r="C259" t="str">
            <v>Foundations_pads_large</v>
          </cell>
          <cell r="K259">
            <v>30</v>
          </cell>
          <cell r="N259" t="str">
            <v>Nr</v>
          </cell>
          <cell r="P259" t="str">
            <v>Pad foundations, large</v>
          </cell>
          <cell r="Q259">
            <v>30</v>
          </cell>
          <cell r="R259" t="str">
            <v>Nr</v>
          </cell>
        </row>
        <row r="260">
          <cell r="C260" t="str">
            <v>Foundations_pads_very_large</v>
          </cell>
          <cell r="K260">
            <v>0</v>
          </cell>
          <cell r="N260" t="str">
            <v>Nr</v>
          </cell>
          <cell r="P260" t="str">
            <v>Pad foundations, very large</v>
          </cell>
          <cell r="Q260">
            <v>0</v>
          </cell>
          <cell r="R260" t="str">
            <v>Nr</v>
          </cell>
        </row>
        <row r="261">
          <cell r="C261" t="str">
            <v>Foundations_pads</v>
          </cell>
          <cell r="K261">
            <v>30</v>
          </cell>
          <cell r="N261" t="str">
            <v>Nr</v>
          </cell>
          <cell r="P261" t="str">
            <v>Total Pad foundations</v>
          </cell>
          <cell r="Q261">
            <v>30</v>
          </cell>
          <cell r="R261" t="str">
            <v>Nr</v>
          </cell>
        </row>
        <row r="262">
          <cell r="C262" t="str">
            <v>Foundations_lift_pits</v>
          </cell>
          <cell r="K262">
            <v>0</v>
          </cell>
          <cell r="N262" t="str">
            <v>Nr</v>
          </cell>
          <cell r="P262" t="str">
            <v>Lift pit bases</v>
          </cell>
          <cell r="Q262">
            <v>0</v>
          </cell>
          <cell r="R262" t="str">
            <v>Nr</v>
          </cell>
        </row>
        <row r="264">
          <cell r="C264" t="str">
            <v>FRAMES (2A)</v>
          </cell>
        </row>
        <row r="265">
          <cell r="C265" t="str">
            <v>Frame_tonnage_t_per_m2</v>
          </cell>
          <cell r="K265">
            <v>2.3817292006525284E-2</v>
          </cell>
          <cell r="N265" t="str">
            <v>t</v>
          </cell>
          <cell r="P265" t="str">
            <v>Frame: tonnage/m² gfa</v>
          </cell>
          <cell r="Q265">
            <v>2.3817292006525284E-2</v>
          </cell>
          <cell r="R265" t="str">
            <v>t</v>
          </cell>
        </row>
        <row r="267">
          <cell r="C267" t="str">
            <v>Frame_tonnage</v>
          </cell>
          <cell r="K267">
            <v>43.8</v>
          </cell>
          <cell r="N267" t="str">
            <v>t</v>
          </cell>
          <cell r="P267" t="str">
            <v>Frame: tonnage</v>
          </cell>
          <cell r="Q267">
            <v>43.8</v>
          </cell>
          <cell r="R267" t="str">
            <v>t</v>
          </cell>
        </row>
        <row r="268">
          <cell r="G268">
            <v>1839</v>
          </cell>
          <cell r="H268">
            <v>1</v>
          </cell>
          <cell r="J268">
            <v>2.3817292006525284E-2</v>
          </cell>
          <cell r="K268">
            <v>43.8</v>
          </cell>
          <cell r="O268" t="str">
            <v>Gross_Floor_Area</v>
          </cell>
        </row>
        <row r="269">
          <cell r="J269">
            <v>2.3817292006525284E-2</v>
          </cell>
          <cell r="O269" t="str">
            <v>Frame_tonnage_t_per_m2</v>
          </cell>
        </row>
        <row r="270">
          <cell r="K270">
            <v>0</v>
          </cell>
        </row>
        <row r="271">
          <cell r="K271">
            <v>0</v>
          </cell>
        </row>
        <row r="272">
          <cell r="K272">
            <v>0</v>
          </cell>
        </row>
        <row r="273">
          <cell r="K273">
            <v>0</v>
          </cell>
        </row>
        <row r="274">
          <cell r="N274" t="str">
            <v>End</v>
          </cell>
        </row>
        <row r="276">
          <cell r="C276" t="str">
            <v>Frame_Beams_Glulam</v>
          </cell>
          <cell r="K276">
            <v>9</v>
          </cell>
          <cell r="N276" t="str">
            <v>Nr</v>
          </cell>
          <cell r="P276" t="str">
            <v>Glulam beams</v>
          </cell>
          <cell r="Q276">
            <v>9</v>
          </cell>
          <cell r="R276" t="str">
            <v>Nr</v>
          </cell>
        </row>
        <row r="277">
          <cell r="F277">
            <v>9</v>
          </cell>
          <cell r="K277">
            <v>9</v>
          </cell>
          <cell r="P277" t="str">
            <v>Annotation</v>
          </cell>
        </row>
        <row r="278">
          <cell r="K278">
            <v>0</v>
          </cell>
        </row>
        <row r="279">
          <cell r="K279">
            <v>0</v>
          </cell>
        </row>
        <row r="280">
          <cell r="N280" t="str">
            <v>End</v>
          </cell>
        </row>
        <row r="284">
          <cell r="C284" t="str">
            <v>Frame_Columns_Glulam</v>
          </cell>
          <cell r="K284">
            <v>9</v>
          </cell>
          <cell r="N284" t="str">
            <v>Nr</v>
          </cell>
          <cell r="P284" t="str">
            <v>Glulam Columns</v>
          </cell>
          <cell r="Q284">
            <v>9</v>
          </cell>
          <cell r="R284" t="str">
            <v>Nr</v>
          </cell>
        </row>
        <row r="285">
          <cell r="F285">
            <v>9</v>
          </cell>
          <cell r="K285">
            <v>9</v>
          </cell>
          <cell r="P285" t="str">
            <v>Annotation</v>
          </cell>
        </row>
        <row r="286">
          <cell r="K286">
            <v>0</v>
          </cell>
        </row>
        <row r="287">
          <cell r="K287">
            <v>0</v>
          </cell>
        </row>
        <row r="288">
          <cell r="N288" t="str">
            <v>End</v>
          </cell>
        </row>
        <row r="291">
          <cell r="C291" t="str">
            <v>Frame_Columns_SS</v>
          </cell>
          <cell r="K291">
            <v>9</v>
          </cell>
          <cell r="N291" t="str">
            <v>Nr</v>
          </cell>
          <cell r="P291" t="str">
            <v>Stainless steel columns</v>
          </cell>
          <cell r="Q291">
            <v>9</v>
          </cell>
          <cell r="R291" t="str">
            <v>Nr</v>
          </cell>
        </row>
        <row r="292">
          <cell r="F292">
            <v>9</v>
          </cell>
          <cell r="K292">
            <v>9</v>
          </cell>
          <cell r="P292" t="str">
            <v>Annotation</v>
          </cell>
        </row>
        <row r="293">
          <cell r="K293">
            <v>0</v>
          </cell>
        </row>
        <row r="294">
          <cell r="K294">
            <v>0</v>
          </cell>
        </row>
        <row r="295">
          <cell r="N295" t="str">
            <v>End</v>
          </cell>
        </row>
        <row r="298">
          <cell r="C298" t="str">
            <v>FLOORS (2B)</v>
          </cell>
        </row>
        <row r="300">
          <cell r="C300" t="str">
            <v>Floors_suspended</v>
          </cell>
          <cell r="K300">
            <v>0</v>
          </cell>
          <cell r="N300" t="str">
            <v>m²</v>
          </cell>
          <cell r="P300" t="str">
            <v>Suspended floors</v>
          </cell>
          <cell r="Q300">
            <v>0</v>
          </cell>
          <cell r="R300" t="str">
            <v>m²</v>
          </cell>
        </row>
        <row r="301">
          <cell r="G301">
            <v>1839</v>
          </cell>
          <cell r="H301">
            <v>1</v>
          </cell>
          <cell r="K301">
            <v>1839</v>
          </cell>
          <cell r="O301" t="str">
            <v>Gross_Floor_Area</v>
          </cell>
        </row>
        <row r="302">
          <cell r="E302">
            <v>1</v>
          </cell>
          <cell r="F302">
            <v>-1</v>
          </cell>
          <cell r="G302">
            <v>1839</v>
          </cell>
          <cell r="H302">
            <v>1</v>
          </cell>
          <cell r="K302">
            <v>-1839</v>
          </cell>
          <cell r="O302" t="str">
            <v>Ground_slab</v>
          </cell>
        </row>
        <row r="303">
          <cell r="K303">
            <v>0</v>
          </cell>
        </row>
        <row r="304">
          <cell r="N304" t="str">
            <v>End</v>
          </cell>
        </row>
        <row r="307">
          <cell r="C307" t="str">
            <v>Floors_Attic</v>
          </cell>
          <cell r="K307">
            <v>80</v>
          </cell>
          <cell r="N307" t="str">
            <v>m²</v>
          </cell>
          <cell r="P307" t="str">
            <v>Attic floor</v>
          </cell>
          <cell r="Q307">
            <v>80</v>
          </cell>
          <cell r="R307" t="str">
            <v>m²</v>
          </cell>
        </row>
        <row r="308">
          <cell r="G308">
            <v>80</v>
          </cell>
          <cell r="H308">
            <v>1</v>
          </cell>
          <cell r="K308">
            <v>80</v>
          </cell>
          <cell r="P308" t="str">
            <v>Annotation</v>
          </cell>
        </row>
        <row r="309">
          <cell r="K309">
            <v>0</v>
          </cell>
        </row>
        <row r="310">
          <cell r="K310">
            <v>0</v>
          </cell>
        </row>
        <row r="311">
          <cell r="N311" t="str">
            <v>End</v>
          </cell>
        </row>
        <row r="314">
          <cell r="C314" t="str">
            <v>ROOF (2C)</v>
          </cell>
        </row>
        <row r="316">
          <cell r="C316" t="str">
            <v>Roof_flat_GIFA</v>
          </cell>
          <cell r="K316">
            <v>1839</v>
          </cell>
          <cell r="N316" t="str">
            <v>m²</v>
          </cell>
          <cell r="P316" t="str">
            <v>Description</v>
          </cell>
          <cell r="Q316">
            <v>1839</v>
          </cell>
          <cell r="R316" t="str">
            <v>m²</v>
          </cell>
        </row>
        <row r="317">
          <cell r="G317">
            <v>1839</v>
          </cell>
          <cell r="H317">
            <v>1</v>
          </cell>
          <cell r="K317">
            <v>1839</v>
          </cell>
          <cell r="O317" t="str">
            <v>Ground_slab</v>
          </cell>
        </row>
        <row r="318">
          <cell r="K318">
            <v>0</v>
          </cell>
        </row>
        <row r="319">
          <cell r="N319" t="str">
            <v>End</v>
          </cell>
        </row>
        <row r="321">
          <cell r="C321" t="str">
            <v>Roof_overhang_percentage</v>
          </cell>
          <cell r="K321">
            <v>5</v>
          </cell>
          <cell r="N321" t="str">
            <v>%</v>
          </cell>
          <cell r="P321" t="str">
            <v>Roof: overhang percentage (flat on plan)</v>
          </cell>
          <cell r="Q321">
            <v>5</v>
          </cell>
          <cell r="R321" t="str">
            <v>%</v>
          </cell>
        </row>
        <row r="323">
          <cell r="C323" t="str">
            <v>Roof</v>
          </cell>
          <cell r="K323">
            <v>1930.95</v>
          </cell>
          <cell r="N323" t="str">
            <v>m²</v>
          </cell>
          <cell r="P323" t="str">
            <v>Roof: flat on plan</v>
          </cell>
          <cell r="Q323">
            <v>1930.95</v>
          </cell>
          <cell r="R323" t="str">
            <v>m²</v>
          </cell>
        </row>
        <row r="324">
          <cell r="G324">
            <v>1839</v>
          </cell>
          <cell r="H324">
            <v>1</v>
          </cell>
          <cell r="K324">
            <v>1839</v>
          </cell>
          <cell r="O324" t="str">
            <v>Roof_flat_GIFA</v>
          </cell>
        </row>
        <row r="325">
          <cell r="E325">
            <v>0.01</v>
          </cell>
          <cell r="F325">
            <v>5</v>
          </cell>
          <cell r="G325">
            <v>1839</v>
          </cell>
          <cell r="H325">
            <v>1</v>
          </cell>
          <cell r="K325">
            <v>91.95</v>
          </cell>
          <cell r="O325" t="str">
            <v>Roof_overhang_percentage</v>
          </cell>
        </row>
        <row r="326">
          <cell r="K326">
            <v>0</v>
          </cell>
        </row>
        <row r="327">
          <cell r="N327" t="str">
            <v>End</v>
          </cell>
        </row>
        <row r="329">
          <cell r="C329" t="str">
            <v>Roof_pitch</v>
          </cell>
          <cell r="K329">
            <v>30.795601197899728</v>
          </cell>
          <cell r="N329" t="str">
            <v>°</v>
          </cell>
          <cell r="P329" t="str">
            <v>Roof: pitch</v>
          </cell>
          <cell r="Q329">
            <v>30.8</v>
          </cell>
          <cell r="R329" t="str">
            <v>°</v>
          </cell>
        </row>
        <row r="331">
          <cell r="C331" t="str">
            <v>Roof_pitched_area</v>
          </cell>
          <cell r="K331">
            <v>2248.1029053045245</v>
          </cell>
          <cell r="N331" t="str">
            <v>m</v>
          </cell>
          <cell r="P331" t="str">
            <v>Roof actual pitched area</v>
          </cell>
          <cell r="Q331">
            <v>2248.1029053045245</v>
          </cell>
          <cell r="R331" t="str">
            <v>m</v>
          </cell>
        </row>
        <row r="332">
          <cell r="G332">
            <v>2248.1029053045245</v>
          </cell>
          <cell r="K332">
            <v>2248.1029053045245</v>
          </cell>
          <cell r="P332" t="str">
            <v>Annotation</v>
          </cell>
        </row>
        <row r="333">
          <cell r="G333">
            <v>1930.95</v>
          </cell>
          <cell r="H333">
            <v>1</v>
          </cell>
          <cell r="K333" t="str">
            <v>Intentionally Blank</v>
          </cell>
          <cell r="O333" t="str">
            <v>roof</v>
          </cell>
        </row>
        <row r="334">
          <cell r="F334">
            <v>30.8</v>
          </cell>
          <cell r="K334" t="str">
            <v>Intentionally Blank</v>
          </cell>
          <cell r="O334" t="str">
            <v>Roof_pitch</v>
          </cell>
        </row>
        <row r="335">
          <cell r="K335">
            <v>0</v>
          </cell>
          <cell r="P335" t="str">
            <v>Manual adjustment</v>
          </cell>
        </row>
        <row r="336">
          <cell r="K336">
            <v>0</v>
          </cell>
        </row>
        <row r="337">
          <cell r="K337">
            <v>0</v>
          </cell>
        </row>
        <row r="338">
          <cell r="N338" t="str">
            <v>End</v>
          </cell>
        </row>
        <row r="340">
          <cell r="C340" t="str">
            <v>Roof_single_ply</v>
          </cell>
          <cell r="K340">
            <v>1043.1029053045245</v>
          </cell>
          <cell r="N340" t="str">
            <v>m²</v>
          </cell>
          <cell r="P340" t="str">
            <v>Single ply roof</v>
          </cell>
          <cell r="Q340">
            <v>1043.1029053045245</v>
          </cell>
          <cell r="R340" t="str">
            <v>m²</v>
          </cell>
        </row>
        <row r="341">
          <cell r="G341">
            <v>2248.1029053045245</v>
          </cell>
          <cell r="H341">
            <v>1</v>
          </cell>
          <cell r="K341">
            <v>2248.1029053045245</v>
          </cell>
          <cell r="O341" t="str">
            <v>Roof_pitched_area</v>
          </cell>
        </row>
        <row r="342">
          <cell r="F342">
            <v>-1</v>
          </cell>
          <cell r="G342">
            <v>1205</v>
          </cell>
          <cell r="H342">
            <v>1</v>
          </cell>
          <cell r="K342">
            <v>-1205</v>
          </cell>
          <cell r="O342" t="str">
            <v>Roof_sedum</v>
          </cell>
        </row>
        <row r="343">
          <cell r="K343">
            <v>0</v>
          </cell>
        </row>
        <row r="344">
          <cell r="N344" t="str">
            <v>End</v>
          </cell>
        </row>
        <row r="347">
          <cell r="C347" t="str">
            <v>Roof_sedum</v>
          </cell>
          <cell r="K347">
            <v>1205</v>
          </cell>
          <cell r="N347" t="str">
            <v>m²</v>
          </cell>
          <cell r="P347" t="str">
            <v>Sedum roof</v>
          </cell>
          <cell r="Q347">
            <v>1205</v>
          </cell>
          <cell r="R347" t="str">
            <v>m²</v>
          </cell>
        </row>
        <row r="348">
          <cell r="G348">
            <v>1205</v>
          </cell>
          <cell r="H348">
            <v>1</v>
          </cell>
          <cell r="K348">
            <v>1205</v>
          </cell>
          <cell r="P348" t="str">
            <v>Annotation</v>
          </cell>
        </row>
        <row r="349">
          <cell r="K349">
            <v>0</v>
          </cell>
        </row>
        <row r="350">
          <cell r="K350">
            <v>0</v>
          </cell>
        </row>
        <row r="351">
          <cell r="N351" t="str">
            <v>End</v>
          </cell>
        </row>
        <row r="354">
          <cell r="C354" t="str">
            <v>Roof_glazed_canopy</v>
          </cell>
          <cell r="K354">
            <v>145</v>
          </cell>
          <cell r="N354" t="str">
            <v>m²</v>
          </cell>
          <cell r="P354" t="str">
            <v>Glazed canopy</v>
          </cell>
          <cell r="Q354">
            <v>145</v>
          </cell>
          <cell r="R354" t="str">
            <v>m²</v>
          </cell>
        </row>
        <row r="355">
          <cell r="F355">
            <v>1</v>
          </cell>
          <cell r="G355">
            <v>145</v>
          </cell>
          <cell r="H355">
            <v>1</v>
          </cell>
          <cell r="K355">
            <v>145</v>
          </cell>
          <cell r="P355" t="str">
            <v>Annotation</v>
          </cell>
        </row>
        <row r="356">
          <cell r="K356">
            <v>0</v>
          </cell>
        </row>
        <row r="357">
          <cell r="K357">
            <v>0</v>
          </cell>
        </row>
        <row r="358">
          <cell r="N358" t="str">
            <v>End</v>
          </cell>
        </row>
        <row r="361">
          <cell r="C361" t="str">
            <v>Roof_rooflights</v>
          </cell>
          <cell r="K361">
            <v>13.997609999999998</v>
          </cell>
          <cell r="N361" t="str">
            <v>m²</v>
          </cell>
          <cell r="P361" t="str">
            <v>Circular roof lights</v>
          </cell>
          <cell r="Q361">
            <v>13.997609999999998</v>
          </cell>
          <cell r="R361" t="str">
            <v>m²</v>
          </cell>
        </row>
        <row r="362">
          <cell r="E362">
            <v>4</v>
          </cell>
          <cell r="F362">
            <v>3.1419999999999999</v>
          </cell>
          <cell r="G362">
            <v>0.45</v>
          </cell>
          <cell r="H362">
            <v>0.45</v>
          </cell>
          <cell r="K362">
            <v>2.5450200000000001</v>
          </cell>
          <cell r="O362" t="str">
            <v>900 dia</v>
          </cell>
        </row>
        <row r="363">
          <cell r="E363">
            <v>7</v>
          </cell>
          <cell r="F363">
            <v>3.1419999999999999</v>
          </cell>
          <cell r="G363">
            <v>0.6</v>
          </cell>
          <cell r="H363">
            <v>0.6</v>
          </cell>
          <cell r="K363">
            <v>7.9178399999999991</v>
          </cell>
          <cell r="O363" t="str">
            <v>1200 dia</v>
          </cell>
        </row>
        <row r="364">
          <cell r="E364">
            <v>2</v>
          </cell>
          <cell r="F364">
            <v>3.1419999999999999</v>
          </cell>
          <cell r="G364">
            <v>0.75</v>
          </cell>
          <cell r="H364">
            <v>0.75</v>
          </cell>
          <cell r="K364">
            <v>3.5347499999999998</v>
          </cell>
          <cell r="O364" t="str">
            <v>1500 dia</v>
          </cell>
        </row>
        <row r="365">
          <cell r="K365">
            <v>0</v>
          </cell>
        </row>
        <row r="366">
          <cell r="K366">
            <v>0</v>
          </cell>
        </row>
        <row r="367">
          <cell r="K367">
            <v>0</v>
          </cell>
        </row>
        <row r="368">
          <cell r="N368" t="str">
            <v>End</v>
          </cell>
        </row>
        <row r="371">
          <cell r="C371" t="str">
            <v>STAIRS (2D)</v>
          </cell>
        </row>
        <row r="372">
          <cell r="C372" t="str">
            <v>Stairs_Circulation</v>
          </cell>
          <cell r="K372">
            <v>0</v>
          </cell>
          <cell r="N372" t="str">
            <v>Nr</v>
          </cell>
          <cell r="P372" t="str">
            <v>Stairs: Circulation (flights)</v>
          </cell>
          <cell r="Q372">
            <v>0</v>
          </cell>
          <cell r="R372" t="str">
            <v>Nr</v>
          </cell>
        </row>
        <row r="373">
          <cell r="C373" t="str">
            <v>Stairs_Feature</v>
          </cell>
          <cell r="K373">
            <v>0</v>
          </cell>
          <cell r="N373" t="str">
            <v>Nr</v>
          </cell>
          <cell r="P373" t="str">
            <v>Stairs: Feature / Atrium</v>
          </cell>
          <cell r="Q373">
            <v>0</v>
          </cell>
          <cell r="R373" t="str">
            <v>Nr</v>
          </cell>
        </row>
        <row r="374">
          <cell r="C374" t="str">
            <v>Stairs</v>
          </cell>
          <cell r="K374">
            <v>0</v>
          </cell>
          <cell r="N374" t="str">
            <v>m</v>
          </cell>
          <cell r="P374" t="str">
            <v>Total number of stairs</v>
          </cell>
          <cell r="Q374">
            <v>0</v>
          </cell>
          <cell r="R374" t="str">
            <v>m</v>
          </cell>
        </row>
        <row r="375">
          <cell r="C375" t="str">
            <v>Balustrade_horizontal</v>
          </cell>
          <cell r="K375">
            <v>0</v>
          </cell>
          <cell r="N375" t="str">
            <v>m</v>
          </cell>
          <cell r="P375" t="str">
            <v>Horizontal balustrades to walkways and atriums</v>
          </cell>
          <cell r="Q375">
            <v>0</v>
          </cell>
          <cell r="R375" t="str">
            <v>m</v>
          </cell>
        </row>
        <row r="376">
          <cell r="C376" t="str">
            <v>Balustrade_walkway</v>
          </cell>
          <cell r="K376">
            <v>0</v>
          </cell>
          <cell r="N376" t="str">
            <v>m</v>
          </cell>
          <cell r="P376" t="str">
            <v>Balustrade catwalk / walkway</v>
          </cell>
          <cell r="Q376">
            <v>0</v>
          </cell>
          <cell r="R376" t="str">
            <v>m</v>
          </cell>
        </row>
        <row r="378">
          <cell r="C378" t="str">
            <v>EXTERNAL WALLS (2E)</v>
          </cell>
        </row>
        <row r="380">
          <cell r="C380" t="str">
            <v>Extwalls_girth</v>
          </cell>
          <cell r="K380">
            <v>295</v>
          </cell>
          <cell r="N380" t="str">
            <v>m</v>
          </cell>
          <cell r="P380" t="str">
            <v>External wall girth/floor</v>
          </cell>
          <cell r="Q380">
            <v>295</v>
          </cell>
          <cell r="R380" t="str">
            <v>m</v>
          </cell>
        </row>
        <row r="381">
          <cell r="G381">
            <v>295</v>
          </cell>
          <cell r="K381">
            <v>295</v>
          </cell>
          <cell r="O381" t="str">
            <v>Girth</v>
          </cell>
        </row>
        <row r="382">
          <cell r="K382">
            <v>0</v>
          </cell>
        </row>
        <row r="383">
          <cell r="K383">
            <v>0</v>
          </cell>
        </row>
        <row r="384">
          <cell r="N384" t="str">
            <v>End</v>
          </cell>
        </row>
        <row r="387">
          <cell r="C387" t="str">
            <v>Extwalls_area</v>
          </cell>
          <cell r="K387">
            <v>1091.5</v>
          </cell>
          <cell r="N387" t="str">
            <v>m²</v>
          </cell>
          <cell r="P387" t="str">
            <v>External wall girth x struc height</v>
          </cell>
          <cell r="Q387">
            <v>1091.5</v>
          </cell>
          <cell r="R387" t="str">
            <v>m²</v>
          </cell>
        </row>
        <row r="388">
          <cell r="G388">
            <v>0</v>
          </cell>
          <cell r="H388">
            <v>0</v>
          </cell>
          <cell r="K388">
            <v>0</v>
          </cell>
          <cell r="O388" t="str">
            <v>Girth_b1</v>
          </cell>
          <cell r="P388" t="str">
            <v>Height_B1</v>
          </cell>
        </row>
        <row r="389">
          <cell r="G389">
            <v>295</v>
          </cell>
          <cell r="H389">
            <v>3.7</v>
          </cell>
          <cell r="K389">
            <v>1091.5</v>
          </cell>
          <cell r="O389" t="str">
            <v>Girth_0</v>
          </cell>
          <cell r="P389" t="str">
            <v>Height_0</v>
          </cell>
        </row>
        <row r="390">
          <cell r="G390">
            <v>0</v>
          </cell>
          <cell r="H390">
            <v>0</v>
          </cell>
          <cell r="K390">
            <v>0</v>
          </cell>
          <cell r="O390" t="str">
            <v>Girth_01</v>
          </cell>
          <cell r="P390" t="str">
            <v>Height_01</v>
          </cell>
        </row>
        <row r="391">
          <cell r="G391">
            <v>0</v>
          </cell>
          <cell r="H391">
            <v>0</v>
          </cell>
          <cell r="K391">
            <v>0</v>
          </cell>
          <cell r="O391" t="str">
            <v>Girth_02</v>
          </cell>
          <cell r="P391" t="str">
            <v>Height_02</v>
          </cell>
        </row>
        <row r="392">
          <cell r="G392">
            <v>0</v>
          </cell>
          <cell r="H392">
            <v>0</v>
          </cell>
          <cell r="K392">
            <v>0</v>
          </cell>
          <cell r="O392" t="str">
            <v>Girth_03</v>
          </cell>
          <cell r="P392" t="str">
            <v>Height_03</v>
          </cell>
        </row>
        <row r="393">
          <cell r="G393">
            <v>0</v>
          </cell>
          <cell r="H393">
            <v>0</v>
          </cell>
          <cell r="K393">
            <v>0</v>
          </cell>
          <cell r="P393" t="str">
            <v>Adjustment</v>
          </cell>
        </row>
        <row r="394">
          <cell r="N394" t="str">
            <v>End</v>
          </cell>
        </row>
        <row r="397">
          <cell r="C397" t="str">
            <v>Extwalls_area_net</v>
          </cell>
          <cell r="K397">
            <v>788.57999999999993</v>
          </cell>
          <cell r="N397" t="str">
            <v>m²</v>
          </cell>
          <cell r="P397" t="str">
            <v>External wall  - openings</v>
          </cell>
          <cell r="Q397">
            <v>788.57999999999993</v>
          </cell>
          <cell r="R397" t="str">
            <v>m²</v>
          </cell>
        </row>
        <row r="398">
          <cell r="G398">
            <v>1091.5</v>
          </cell>
          <cell r="H398">
            <v>1</v>
          </cell>
          <cell r="K398">
            <v>1091.5</v>
          </cell>
          <cell r="O398" t="str">
            <v>ExtWalls_area</v>
          </cell>
        </row>
        <row r="399">
          <cell r="F399">
            <v>-1</v>
          </cell>
          <cell r="G399">
            <v>302.92</v>
          </cell>
          <cell r="H399">
            <v>1</v>
          </cell>
          <cell r="K399">
            <v>-302.92</v>
          </cell>
          <cell r="O399" t="str">
            <v>ExtOpenings_area</v>
          </cell>
        </row>
        <row r="400">
          <cell r="K400">
            <v>0</v>
          </cell>
        </row>
        <row r="401">
          <cell r="K401">
            <v>0</v>
          </cell>
        </row>
        <row r="402">
          <cell r="K402">
            <v>0</v>
          </cell>
        </row>
        <row r="403">
          <cell r="K403">
            <v>0</v>
          </cell>
        </row>
        <row r="404">
          <cell r="N404" t="str">
            <v>End</v>
          </cell>
        </row>
        <row r="407">
          <cell r="C407" t="str">
            <v>ExtWalls_area_brick</v>
          </cell>
          <cell r="K407">
            <v>721</v>
          </cell>
          <cell r="N407" t="str">
            <v>m²</v>
          </cell>
          <cell r="P407" t="str">
            <v>Facing brick</v>
          </cell>
          <cell r="Q407">
            <v>721</v>
          </cell>
          <cell r="R407" t="str">
            <v>m²</v>
          </cell>
        </row>
        <row r="408">
          <cell r="G408">
            <v>721</v>
          </cell>
          <cell r="H408">
            <v>1</v>
          </cell>
          <cell r="K408">
            <v>721</v>
          </cell>
        </row>
        <row r="409">
          <cell r="K409">
            <v>0</v>
          </cell>
        </row>
        <row r="410">
          <cell r="K410">
            <v>0</v>
          </cell>
        </row>
        <row r="411">
          <cell r="N411" t="str">
            <v>End</v>
          </cell>
        </row>
        <row r="414">
          <cell r="C414" t="str">
            <v>ExtWalls_area_timber</v>
          </cell>
          <cell r="K414">
            <v>333</v>
          </cell>
          <cell r="N414" t="str">
            <v>m²</v>
          </cell>
          <cell r="P414" t="str">
            <v>Timber cladding</v>
          </cell>
          <cell r="Q414">
            <v>333</v>
          </cell>
          <cell r="R414" t="str">
            <v>m²</v>
          </cell>
        </row>
        <row r="415">
          <cell r="G415">
            <v>333</v>
          </cell>
          <cell r="H415">
            <v>1</v>
          </cell>
          <cell r="K415">
            <v>333</v>
          </cell>
          <cell r="P415" t="str">
            <v>Annotation</v>
          </cell>
        </row>
        <row r="416">
          <cell r="K416">
            <v>0</v>
          </cell>
        </row>
        <row r="417">
          <cell r="K417">
            <v>0</v>
          </cell>
        </row>
        <row r="418">
          <cell r="N418" t="str">
            <v>End</v>
          </cell>
        </row>
        <row r="420">
          <cell r="C420" t="str">
            <v>ExtWalls_area_block</v>
          </cell>
          <cell r="K420">
            <v>188</v>
          </cell>
          <cell r="N420" t="str">
            <v>m²</v>
          </cell>
          <cell r="P420" t="str">
            <v>Block walls</v>
          </cell>
          <cell r="Q420">
            <v>188</v>
          </cell>
          <cell r="R420" t="str">
            <v>m²</v>
          </cell>
        </row>
        <row r="421">
          <cell r="G421">
            <v>188</v>
          </cell>
          <cell r="H421">
            <v>1</v>
          </cell>
          <cell r="K421">
            <v>188</v>
          </cell>
          <cell r="P421" t="str">
            <v>Annotation</v>
          </cell>
        </row>
        <row r="422">
          <cell r="K422">
            <v>0</v>
          </cell>
        </row>
        <row r="423">
          <cell r="K423">
            <v>0</v>
          </cell>
        </row>
        <row r="424">
          <cell r="N424" t="str">
            <v>End</v>
          </cell>
        </row>
        <row r="428">
          <cell r="C428" t="str">
            <v>WINDOWS AND EXTERNAL DOORS (2F)</v>
          </cell>
        </row>
        <row r="430">
          <cell r="C430" t="str">
            <v>ExtOpenings_area</v>
          </cell>
          <cell r="K430">
            <v>302.92</v>
          </cell>
          <cell r="N430" t="str">
            <v>m²</v>
          </cell>
          <cell r="P430" t="str">
            <v>Total external openings area</v>
          </cell>
          <cell r="Q430">
            <v>302.92</v>
          </cell>
          <cell r="R430" t="str">
            <v>m²</v>
          </cell>
        </row>
        <row r="431">
          <cell r="G431">
            <v>221</v>
          </cell>
          <cell r="H431">
            <v>1</v>
          </cell>
          <cell r="K431">
            <v>221</v>
          </cell>
          <cell r="O431" t="str">
            <v>ExtOpenings_Windows</v>
          </cell>
        </row>
        <row r="432">
          <cell r="G432">
            <v>29</v>
          </cell>
          <cell r="H432">
            <v>1</v>
          </cell>
          <cell r="K432">
            <v>29</v>
          </cell>
          <cell r="O432" t="str">
            <v>ExtOpenings_Louvres</v>
          </cell>
        </row>
        <row r="433">
          <cell r="F433">
            <v>16</v>
          </cell>
          <cell r="G433">
            <v>0.9</v>
          </cell>
          <cell r="H433">
            <v>2.1</v>
          </cell>
          <cell r="K433">
            <v>30.240000000000002</v>
          </cell>
          <cell r="O433" t="str">
            <v>ExtOpenings_Doors_single</v>
          </cell>
        </row>
        <row r="434">
          <cell r="F434">
            <v>6</v>
          </cell>
          <cell r="G434">
            <v>1.8</v>
          </cell>
          <cell r="H434">
            <v>2.1</v>
          </cell>
          <cell r="K434">
            <v>22.680000000000003</v>
          </cell>
          <cell r="O434" t="str">
            <v>ExtOpenings_Doors_double</v>
          </cell>
        </row>
        <row r="435">
          <cell r="K435">
            <v>0</v>
          </cell>
        </row>
        <row r="436">
          <cell r="K436">
            <v>0</v>
          </cell>
        </row>
        <row r="437">
          <cell r="N437" t="str">
            <v>End</v>
          </cell>
        </row>
        <row r="439">
          <cell r="C439" t="str">
            <v>ExtOpenings_doors_area</v>
          </cell>
          <cell r="K439">
            <v>52.92</v>
          </cell>
          <cell r="N439" t="str">
            <v>m²</v>
          </cell>
          <cell r="P439" t="str">
            <v>Area of doors</v>
          </cell>
          <cell r="Q439">
            <v>52.92</v>
          </cell>
          <cell r="R439" t="str">
            <v>m²</v>
          </cell>
        </row>
        <row r="440">
          <cell r="F440">
            <v>16</v>
          </cell>
          <cell r="G440">
            <v>0.9</v>
          </cell>
          <cell r="H440">
            <v>2.1</v>
          </cell>
          <cell r="K440">
            <v>30.240000000000002</v>
          </cell>
          <cell r="O440" t="str">
            <v>ExtOpenings_Doors_single</v>
          </cell>
          <cell r="P440" t="str">
            <v>Annotation</v>
          </cell>
        </row>
        <row r="441">
          <cell r="F441">
            <v>6</v>
          </cell>
          <cell r="G441">
            <v>1.8</v>
          </cell>
          <cell r="H441">
            <v>2.1</v>
          </cell>
          <cell r="K441">
            <v>22.680000000000003</v>
          </cell>
          <cell r="O441" t="str">
            <v>ExtOpenings_Doors_double</v>
          </cell>
        </row>
        <row r="442">
          <cell r="K442">
            <v>0</v>
          </cell>
        </row>
        <row r="443">
          <cell r="N443" t="str">
            <v>End</v>
          </cell>
        </row>
        <row r="447">
          <cell r="C447" t="str">
            <v>ExtOpenings_Windows</v>
          </cell>
          <cell r="K447">
            <v>221</v>
          </cell>
          <cell r="N447" t="str">
            <v>m²</v>
          </cell>
          <cell r="P447" t="str">
            <v>Window area</v>
          </cell>
          <cell r="Q447">
            <v>221</v>
          </cell>
          <cell r="R447" t="str">
            <v>m²</v>
          </cell>
        </row>
        <row r="448">
          <cell r="G448">
            <v>221</v>
          </cell>
          <cell r="H448">
            <v>1</v>
          </cell>
          <cell r="K448">
            <v>221</v>
          </cell>
          <cell r="P448" t="str">
            <v>Annotation</v>
          </cell>
        </row>
        <row r="449">
          <cell r="K449">
            <v>0</v>
          </cell>
        </row>
        <row r="450">
          <cell r="K450">
            <v>0</v>
          </cell>
        </row>
        <row r="451">
          <cell r="N451" t="str">
            <v>End</v>
          </cell>
        </row>
        <row r="455">
          <cell r="C455" t="str">
            <v>ExtOpenings_Windows_B</v>
          </cell>
          <cell r="K455">
            <v>0</v>
          </cell>
          <cell r="N455" t="str">
            <v>m²</v>
          </cell>
          <cell r="P455" t="str">
            <v>Alternative window type</v>
          </cell>
          <cell r="Q455">
            <v>0</v>
          </cell>
          <cell r="R455" t="str">
            <v>m²</v>
          </cell>
        </row>
        <row r="456">
          <cell r="G456">
            <v>0</v>
          </cell>
          <cell r="H456">
            <v>0</v>
          </cell>
          <cell r="K456">
            <v>0</v>
          </cell>
          <cell r="P456" t="str">
            <v>Annotation</v>
          </cell>
        </row>
        <row r="457">
          <cell r="K457">
            <v>0</v>
          </cell>
        </row>
        <row r="458">
          <cell r="K458">
            <v>0</v>
          </cell>
        </row>
        <row r="459">
          <cell r="N459" t="str">
            <v>End</v>
          </cell>
        </row>
        <row r="462">
          <cell r="C462" t="str">
            <v>ExtOpenings_Louvres</v>
          </cell>
          <cell r="K462">
            <v>29</v>
          </cell>
          <cell r="N462" t="str">
            <v>m²</v>
          </cell>
          <cell r="P462" t="str">
            <v>Louvres</v>
          </cell>
          <cell r="Q462">
            <v>29</v>
          </cell>
          <cell r="R462" t="str">
            <v>m²</v>
          </cell>
        </row>
        <row r="463">
          <cell r="G463">
            <v>29</v>
          </cell>
          <cell r="H463">
            <v>1</v>
          </cell>
          <cell r="K463">
            <v>29</v>
          </cell>
          <cell r="P463" t="str">
            <v>Annotation</v>
          </cell>
        </row>
        <row r="464">
          <cell r="K464">
            <v>0</v>
          </cell>
        </row>
        <row r="465">
          <cell r="K465">
            <v>0</v>
          </cell>
        </row>
        <row r="466">
          <cell r="N466" t="str">
            <v>End</v>
          </cell>
        </row>
        <row r="468">
          <cell r="C468" t="str">
            <v>ExtOpenings_Entrance_screens</v>
          </cell>
          <cell r="K468">
            <v>0</v>
          </cell>
          <cell r="N468" t="str">
            <v>m²</v>
          </cell>
          <cell r="P468" t="str">
            <v>Entrance screens</v>
          </cell>
          <cell r="Q468">
            <v>0</v>
          </cell>
          <cell r="R468" t="str">
            <v>m²</v>
          </cell>
        </row>
        <row r="469">
          <cell r="C469" t="str">
            <v>ExtOpenings_Roller_shutter</v>
          </cell>
          <cell r="K469">
            <v>0</v>
          </cell>
          <cell r="N469" t="str">
            <v>Nr</v>
          </cell>
          <cell r="P469" t="str">
            <v>Roller shutter doors</v>
          </cell>
          <cell r="Q469">
            <v>0</v>
          </cell>
          <cell r="R469" t="str">
            <v>Nr</v>
          </cell>
        </row>
        <row r="470">
          <cell r="C470" t="str">
            <v>ExtOpenings_Turnstiles</v>
          </cell>
          <cell r="K470">
            <v>0</v>
          </cell>
          <cell r="N470" t="str">
            <v>Nr</v>
          </cell>
          <cell r="P470" t="str">
            <v>Turnstiles</v>
          </cell>
          <cell r="Q470">
            <v>0</v>
          </cell>
          <cell r="R470" t="str">
            <v>Nr</v>
          </cell>
        </row>
        <row r="471">
          <cell r="C471" t="str">
            <v>ExtOpenings_doors_single</v>
          </cell>
          <cell r="K471">
            <v>16</v>
          </cell>
          <cell r="N471" t="str">
            <v>Nr</v>
          </cell>
          <cell r="P471" t="str">
            <v>External doors single</v>
          </cell>
          <cell r="Q471">
            <v>16</v>
          </cell>
          <cell r="R471" t="str">
            <v>Nr</v>
          </cell>
        </row>
        <row r="472">
          <cell r="C472" t="str">
            <v>ExtOpenings_doors_double</v>
          </cell>
          <cell r="K472">
            <v>6</v>
          </cell>
          <cell r="N472" t="str">
            <v>Nr</v>
          </cell>
          <cell r="P472" t="str">
            <v>External doors double</v>
          </cell>
          <cell r="Q472">
            <v>6</v>
          </cell>
          <cell r="R472" t="str">
            <v>Nr</v>
          </cell>
        </row>
        <row r="473">
          <cell r="C473" t="str">
            <v>ExtOpenings_Sun_screen</v>
          </cell>
          <cell r="K473">
            <v>0</v>
          </cell>
          <cell r="N473" t="str">
            <v>m²</v>
          </cell>
          <cell r="P473" t="str">
            <v>Sun screen</v>
          </cell>
          <cell r="Q473">
            <v>0</v>
          </cell>
          <cell r="R473" t="str">
            <v>m²</v>
          </cell>
        </row>
        <row r="474">
          <cell r="C474" t="str">
            <v>ExtOpenings_window_boards</v>
          </cell>
          <cell r="K474">
            <v>0</v>
          </cell>
          <cell r="N474" t="str">
            <v>m</v>
          </cell>
          <cell r="P474" t="str">
            <v>Window boards</v>
          </cell>
          <cell r="Q474">
            <v>0</v>
          </cell>
          <cell r="R474" t="str">
            <v>m</v>
          </cell>
        </row>
        <row r="476">
          <cell r="C476" t="str">
            <v>INTERNAL WALLS (2G)</v>
          </cell>
        </row>
        <row r="477">
          <cell r="C477" t="str">
            <v>IntWalls_girth_Blockwork</v>
          </cell>
          <cell r="K477">
            <v>542.66666666666663</v>
          </cell>
          <cell r="N477" t="str">
            <v>m</v>
          </cell>
          <cell r="P477" t="str">
            <v>IntWall girth: Blockwork</v>
          </cell>
          <cell r="Q477">
            <v>542.66666666666663</v>
          </cell>
          <cell r="R477" t="str">
            <v>m</v>
          </cell>
        </row>
        <row r="478">
          <cell r="C478" t="str">
            <v>IntWalls_girth_Blockwork_200</v>
          </cell>
          <cell r="K478">
            <v>66.666666666666671</v>
          </cell>
          <cell r="N478" t="str">
            <v>m</v>
          </cell>
          <cell r="P478" t="str">
            <v>IntWall girth: Blockwork 200</v>
          </cell>
          <cell r="Q478">
            <v>66.666666666666671</v>
          </cell>
          <cell r="R478" t="str">
            <v>m</v>
          </cell>
        </row>
        <row r="479">
          <cell r="C479" t="str">
            <v>IntWalls_girth_Concrete</v>
          </cell>
          <cell r="K479">
            <v>0</v>
          </cell>
          <cell r="N479" t="str">
            <v>m</v>
          </cell>
          <cell r="P479" t="str">
            <v>IntWall girth: Concrete</v>
          </cell>
          <cell r="Q479">
            <v>0</v>
          </cell>
          <cell r="R479" t="str">
            <v>m</v>
          </cell>
        </row>
        <row r="480">
          <cell r="C480" t="str">
            <v>IntWalls_girth_demountable</v>
          </cell>
          <cell r="K480">
            <v>0</v>
          </cell>
          <cell r="N480" t="str">
            <v>m</v>
          </cell>
          <cell r="P480" t="str">
            <v>IntWall girth: Demountable Partitions</v>
          </cell>
          <cell r="Q480">
            <v>0</v>
          </cell>
          <cell r="R480" t="str">
            <v>m</v>
          </cell>
        </row>
        <row r="481">
          <cell r="C481" t="str">
            <v>IntWalls_girth_Stud</v>
          </cell>
          <cell r="K481">
            <v>16.666666666666668</v>
          </cell>
          <cell r="N481" t="str">
            <v>m</v>
          </cell>
          <cell r="P481" t="str">
            <v>IntWall girth: Stud Partitions</v>
          </cell>
          <cell r="Q481">
            <v>16.666666666666668</v>
          </cell>
          <cell r="R481" t="str">
            <v>m</v>
          </cell>
        </row>
        <row r="482">
          <cell r="C482" t="str">
            <v>IntWalls_girth</v>
          </cell>
          <cell r="K482">
            <v>625.99999999999989</v>
          </cell>
          <cell r="N482" t="str">
            <v>m</v>
          </cell>
          <cell r="P482" t="str">
            <v>Internal wall total girth</v>
          </cell>
          <cell r="Q482">
            <v>625.99999999999989</v>
          </cell>
          <cell r="R482" t="str">
            <v>m</v>
          </cell>
        </row>
        <row r="483">
          <cell r="C483" t="str">
            <v>Internal_wall_height</v>
          </cell>
          <cell r="K483">
            <v>3</v>
          </cell>
          <cell r="N483" t="str">
            <v>m</v>
          </cell>
          <cell r="P483" t="str">
            <v>Internal wall height</v>
          </cell>
          <cell r="Q483">
            <v>3</v>
          </cell>
          <cell r="R483" t="str">
            <v>m</v>
          </cell>
        </row>
        <row r="485">
          <cell r="C485" t="str">
            <v>IntWalls_area_Block</v>
          </cell>
          <cell r="K485">
            <v>1628</v>
          </cell>
          <cell r="N485" t="str">
            <v>m²</v>
          </cell>
          <cell r="P485" t="str">
            <v>IntWall area: Blockwork</v>
          </cell>
          <cell r="Q485">
            <v>1628</v>
          </cell>
          <cell r="R485" t="str">
            <v>m²</v>
          </cell>
        </row>
        <row r="486">
          <cell r="G486">
            <v>542.66666666666663</v>
          </cell>
          <cell r="H486">
            <v>3</v>
          </cell>
          <cell r="K486">
            <v>1628</v>
          </cell>
          <cell r="O486" t="str">
            <v>Intwalls_girth_blockwork</v>
          </cell>
          <cell r="P486" t="str">
            <v>Internal_wall_height</v>
          </cell>
        </row>
        <row r="487">
          <cell r="K487">
            <v>0</v>
          </cell>
        </row>
        <row r="488">
          <cell r="K488">
            <v>0</v>
          </cell>
        </row>
        <row r="489">
          <cell r="N489" t="str">
            <v>End</v>
          </cell>
        </row>
        <row r="492">
          <cell r="C492" t="str">
            <v>IntWalls_area_Block_200</v>
          </cell>
          <cell r="K492">
            <v>200</v>
          </cell>
          <cell r="N492" t="str">
            <v>m²</v>
          </cell>
          <cell r="P492" t="str">
            <v>Blockwork 200 thick</v>
          </cell>
          <cell r="Q492">
            <v>200</v>
          </cell>
          <cell r="R492" t="str">
            <v>m²</v>
          </cell>
        </row>
        <row r="493">
          <cell r="F493">
            <v>1</v>
          </cell>
          <cell r="G493">
            <v>66.666666666666671</v>
          </cell>
          <cell r="H493">
            <v>3</v>
          </cell>
          <cell r="K493">
            <v>200</v>
          </cell>
          <cell r="O493" t="str">
            <v>Intwalls_girth_blockwork_200</v>
          </cell>
          <cell r="P493" t="str">
            <v>Internal_wall_height</v>
          </cell>
        </row>
        <row r="494">
          <cell r="K494">
            <v>0</v>
          </cell>
        </row>
        <row r="495">
          <cell r="K495">
            <v>0</v>
          </cell>
        </row>
        <row r="496">
          <cell r="N496" t="str">
            <v>End</v>
          </cell>
        </row>
        <row r="499">
          <cell r="C499" t="str">
            <v>IntWalls_area_Concrete</v>
          </cell>
          <cell r="K499">
            <v>0</v>
          </cell>
          <cell r="N499" t="str">
            <v>m²</v>
          </cell>
          <cell r="P499" t="str">
            <v>IntWall area: Concrete</v>
          </cell>
          <cell r="Q499">
            <v>0</v>
          </cell>
          <cell r="R499" t="str">
            <v>m²</v>
          </cell>
        </row>
        <row r="500">
          <cell r="G500">
            <v>0</v>
          </cell>
          <cell r="H500">
            <v>3</v>
          </cell>
          <cell r="K500">
            <v>0</v>
          </cell>
          <cell r="O500" t="str">
            <v>Intwalls_girth_concrete</v>
          </cell>
          <cell r="P500" t="str">
            <v>Internal_wall_height</v>
          </cell>
        </row>
        <row r="501">
          <cell r="K501">
            <v>0</v>
          </cell>
        </row>
        <row r="502">
          <cell r="K502">
            <v>0</v>
          </cell>
        </row>
        <row r="503">
          <cell r="N503" t="str">
            <v>End</v>
          </cell>
        </row>
        <row r="506">
          <cell r="C506" t="str">
            <v>IntWalls_area_Demountable</v>
          </cell>
          <cell r="K506">
            <v>0</v>
          </cell>
          <cell r="N506" t="str">
            <v>m²</v>
          </cell>
          <cell r="P506" t="str">
            <v>IntWall area: Demountable partitons</v>
          </cell>
          <cell r="Q506">
            <v>0</v>
          </cell>
          <cell r="R506" t="str">
            <v>m²</v>
          </cell>
        </row>
        <row r="507">
          <cell r="G507">
            <v>0</v>
          </cell>
          <cell r="H507">
            <v>3</v>
          </cell>
          <cell r="K507">
            <v>0</v>
          </cell>
          <cell r="O507" t="str">
            <v>Intwalls_girth_demountable</v>
          </cell>
          <cell r="P507" t="str">
            <v>Internal_wall_height</v>
          </cell>
        </row>
        <row r="508">
          <cell r="K508">
            <v>0</v>
          </cell>
        </row>
        <row r="509">
          <cell r="K509">
            <v>0</v>
          </cell>
        </row>
        <row r="510">
          <cell r="N510" t="str">
            <v>End</v>
          </cell>
        </row>
        <row r="513">
          <cell r="C513" t="str">
            <v>IntWalls_area_Stud</v>
          </cell>
          <cell r="K513">
            <v>50</v>
          </cell>
          <cell r="N513" t="str">
            <v>m²</v>
          </cell>
          <cell r="P513" t="str">
            <v>IntWall area: Stud</v>
          </cell>
          <cell r="Q513">
            <v>50</v>
          </cell>
          <cell r="R513" t="str">
            <v>m²</v>
          </cell>
        </row>
        <row r="514">
          <cell r="G514">
            <v>16.666666666666668</v>
          </cell>
          <cell r="H514">
            <v>3</v>
          </cell>
          <cell r="K514">
            <v>50</v>
          </cell>
          <cell r="O514" t="str">
            <v>Intwalls_girth_stud</v>
          </cell>
          <cell r="P514" t="str">
            <v>Internal_wall_height</v>
          </cell>
        </row>
        <row r="515">
          <cell r="K515">
            <v>0</v>
          </cell>
        </row>
        <row r="516">
          <cell r="K516">
            <v>0</v>
          </cell>
        </row>
        <row r="517">
          <cell r="N517" t="str">
            <v>End</v>
          </cell>
        </row>
        <row r="520">
          <cell r="C520" t="str">
            <v>IntWalls_area_net</v>
          </cell>
          <cell r="K520">
            <v>1878</v>
          </cell>
          <cell r="N520" t="str">
            <v>m²</v>
          </cell>
          <cell r="P520" t="str">
            <v>Total Internal wall area</v>
          </cell>
          <cell r="Q520">
            <v>1878</v>
          </cell>
          <cell r="R520" t="str">
            <v>m²</v>
          </cell>
        </row>
        <row r="521">
          <cell r="G521">
            <v>1628</v>
          </cell>
          <cell r="H521">
            <v>1</v>
          </cell>
          <cell r="K521">
            <v>1628</v>
          </cell>
          <cell r="O521" t="str">
            <v>Intwalls_area_block</v>
          </cell>
        </row>
        <row r="522">
          <cell r="G522">
            <v>200</v>
          </cell>
          <cell r="H522">
            <v>1</v>
          </cell>
          <cell r="K522">
            <v>200</v>
          </cell>
          <cell r="O522" t="str">
            <v>Intwalls_area_block_200</v>
          </cell>
        </row>
        <row r="523">
          <cell r="G523">
            <v>0</v>
          </cell>
          <cell r="H523">
            <v>1</v>
          </cell>
          <cell r="K523">
            <v>0</v>
          </cell>
          <cell r="O523" t="str">
            <v>Intwalls_area_concrete</v>
          </cell>
        </row>
        <row r="524">
          <cell r="G524">
            <v>0</v>
          </cell>
          <cell r="H524">
            <v>1</v>
          </cell>
          <cell r="K524">
            <v>0</v>
          </cell>
          <cell r="O524" t="str">
            <v>Intwalls_area_demountable</v>
          </cell>
        </row>
        <row r="525">
          <cell r="G525">
            <v>50</v>
          </cell>
          <cell r="H525">
            <v>1</v>
          </cell>
          <cell r="K525">
            <v>50</v>
          </cell>
          <cell r="O525" t="str">
            <v>Intwalls_area_stud</v>
          </cell>
        </row>
        <row r="526">
          <cell r="K526">
            <v>0</v>
          </cell>
        </row>
        <row r="527">
          <cell r="K527">
            <v>0</v>
          </cell>
        </row>
        <row r="528">
          <cell r="N528" t="str">
            <v>End</v>
          </cell>
        </row>
        <row r="530">
          <cell r="C530" t="str">
            <v>IntWalls_toilet_cubicles</v>
          </cell>
          <cell r="K530">
            <v>11</v>
          </cell>
          <cell r="N530" t="str">
            <v>Nr</v>
          </cell>
          <cell r="P530" t="str">
            <v>Toilet cubicles</v>
          </cell>
          <cell r="Q530">
            <v>11</v>
          </cell>
          <cell r="R530" t="str">
            <v>Nr</v>
          </cell>
        </row>
        <row r="531">
          <cell r="C531" t="str">
            <v>IntWalls_toilet_cubicles_disabled</v>
          </cell>
          <cell r="K531">
            <v>1</v>
          </cell>
          <cell r="N531" t="str">
            <v>Nr</v>
          </cell>
          <cell r="P531" t="str">
            <v>Toilet cubicles disabled</v>
          </cell>
          <cell r="Q531">
            <v>1</v>
          </cell>
          <cell r="R531" t="str">
            <v>Nr</v>
          </cell>
        </row>
        <row r="534">
          <cell r="C534" t="str">
            <v>INTERNAL DOORS (2H)</v>
          </cell>
        </row>
        <row r="535">
          <cell r="C535" t="str">
            <v>IntOpenings_area</v>
          </cell>
          <cell r="K535">
            <v>231.35000000000002</v>
          </cell>
          <cell r="N535" t="str">
            <v>m²</v>
          </cell>
          <cell r="P535" t="str">
            <v>Area of internal doors and screens</v>
          </cell>
          <cell r="Q535">
            <v>231.35000000000002</v>
          </cell>
          <cell r="R535" t="str">
            <v>m²</v>
          </cell>
        </row>
        <row r="536">
          <cell r="F536">
            <v>85</v>
          </cell>
          <cell r="G536">
            <v>0.9</v>
          </cell>
          <cell r="H536">
            <v>2.1</v>
          </cell>
          <cell r="K536">
            <v>160.65</v>
          </cell>
          <cell r="O536" t="str">
            <v>IntOpenings_doors_single_total</v>
          </cell>
        </row>
        <row r="537">
          <cell r="F537">
            <v>15</v>
          </cell>
          <cell r="G537">
            <v>1.8</v>
          </cell>
          <cell r="H537">
            <v>2.1</v>
          </cell>
          <cell r="K537">
            <v>56.7</v>
          </cell>
          <cell r="O537" t="str">
            <v>IntOpenings_doors_double_total</v>
          </cell>
        </row>
        <row r="538">
          <cell r="G538">
            <v>14</v>
          </cell>
          <cell r="H538">
            <v>1</v>
          </cell>
          <cell r="K538">
            <v>14</v>
          </cell>
          <cell r="O538" t="str">
            <v>IntOpenings_screens</v>
          </cell>
        </row>
        <row r="539">
          <cell r="K539">
            <v>0</v>
          </cell>
        </row>
        <row r="540">
          <cell r="K540">
            <v>0</v>
          </cell>
        </row>
        <row r="541">
          <cell r="K541">
            <v>0</v>
          </cell>
        </row>
        <row r="542">
          <cell r="N542" t="str">
            <v>End</v>
          </cell>
        </row>
        <row r="545">
          <cell r="C545" t="str">
            <v>IntOpenings_doors_single_total</v>
          </cell>
          <cell r="K545">
            <v>85</v>
          </cell>
          <cell r="N545" t="str">
            <v>Nr</v>
          </cell>
          <cell r="P545" t="str">
            <v>Total Internal doors single</v>
          </cell>
          <cell r="Q545">
            <v>85</v>
          </cell>
          <cell r="R545" t="str">
            <v>Nr</v>
          </cell>
        </row>
        <row r="546">
          <cell r="F546">
            <v>67</v>
          </cell>
          <cell r="K546">
            <v>67</v>
          </cell>
          <cell r="O546" t="str">
            <v>IntOpenings_doors_single</v>
          </cell>
        </row>
        <row r="547">
          <cell r="F547">
            <v>12</v>
          </cell>
          <cell r="K547">
            <v>12</v>
          </cell>
          <cell r="O547" t="str">
            <v>IntOpenings_doors_single_WC</v>
          </cell>
        </row>
        <row r="548">
          <cell r="F548">
            <v>6</v>
          </cell>
          <cell r="K548">
            <v>6</v>
          </cell>
          <cell r="O548" t="str">
            <v>IntOpenings_doors_single_screen</v>
          </cell>
        </row>
        <row r="549">
          <cell r="K549">
            <v>0</v>
          </cell>
        </row>
        <row r="550">
          <cell r="K550">
            <v>0</v>
          </cell>
        </row>
        <row r="551">
          <cell r="K551">
            <v>0</v>
          </cell>
        </row>
        <row r="552">
          <cell r="K552">
            <v>0</v>
          </cell>
        </row>
        <row r="553">
          <cell r="K553">
            <v>0</v>
          </cell>
        </row>
        <row r="554">
          <cell r="N554" t="str">
            <v>End</v>
          </cell>
        </row>
        <row r="556">
          <cell r="C556" t="str">
            <v>IntOpenings_doors_single</v>
          </cell>
          <cell r="K556">
            <v>67</v>
          </cell>
          <cell r="N556" t="str">
            <v>Nr</v>
          </cell>
          <cell r="P556" t="str">
            <v>Internal doors single</v>
          </cell>
          <cell r="Q556">
            <v>67</v>
          </cell>
          <cell r="R556" t="str">
            <v>Nr</v>
          </cell>
        </row>
        <row r="557">
          <cell r="C557" t="str">
            <v>IntOpenings_doors_single_WC</v>
          </cell>
          <cell r="K557">
            <v>12</v>
          </cell>
          <cell r="N557" t="str">
            <v>Nr</v>
          </cell>
          <cell r="P557" t="str">
            <v>Internal doors single to WCs</v>
          </cell>
          <cell r="Q557">
            <v>12</v>
          </cell>
          <cell r="R557" t="str">
            <v>Nr</v>
          </cell>
        </row>
        <row r="558">
          <cell r="C558" t="str">
            <v>IntOpenings_doors_single_Screen</v>
          </cell>
          <cell r="K558">
            <v>6</v>
          </cell>
          <cell r="N558" t="str">
            <v>Nr</v>
          </cell>
          <cell r="P558" t="str">
            <v>Internal doors single with side screen</v>
          </cell>
          <cell r="Q558">
            <v>6</v>
          </cell>
          <cell r="R558" t="str">
            <v>Nr</v>
          </cell>
        </row>
        <row r="562">
          <cell r="C562" t="str">
            <v>IntOpenings_doors_double_total</v>
          </cell>
          <cell r="K562">
            <v>15</v>
          </cell>
          <cell r="N562" t="str">
            <v>Nr</v>
          </cell>
          <cell r="P562" t="str">
            <v>Total internal double doors</v>
          </cell>
          <cell r="Q562">
            <v>15</v>
          </cell>
          <cell r="R562" t="str">
            <v>Nr</v>
          </cell>
        </row>
        <row r="563">
          <cell r="F563">
            <v>15</v>
          </cell>
          <cell r="K563">
            <v>15</v>
          </cell>
          <cell r="O563" t="str">
            <v>IntOpenings_doors_double</v>
          </cell>
        </row>
        <row r="564">
          <cell r="K564">
            <v>0</v>
          </cell>
        </row>
        <row r="565">
          <cell r="K565">
            <v>0</v>
          </cell>
        </row>
        <row r="566">
          <cell r="N566" t="str">
            <v>End</v>
          </cell>
        </row>
        <row r="568">
          <cell r="C568" t="str">
            <v>IntOpenings_doors_double</v>
          </cell>
          <cell r="K568">
            <v>15</v>
          </cell>
          <cell r="N568" t="str">
            <v>Nr</v>
          </cell>
          <cell r="P568" t="str">
            <v>internal doors double</v>
          </cell>
          <cell r="Q568">
            <v>15</v>
          </cell>
          <cell r="R568" t="str">
            <v>Nr</v>
          </cell>
        </row>
        <row r="571">
          <cell r="C571" t="str">
            <v>IntOpenings_screens</v>
          </cell>
          <cell r="K571">
            <v>14</v>
          </cell>
          <cell r="N571" t="str">
            <v>m²</v>
          </cell>
          <cell r="P571" t="str">
            <v>Screens</v>
          </cell>
          <cell r="Q571">
            <v>14</v>
          </cell>
          <cell r="R571" t="str">
            <v>m²</v>
          </cell>
        </row>
        <row r="572">
          <cell r="F572">
            <v>7</v>
          </cell>
          <cell r="G572">
            <v>1</v>
          </cell>
          <cell r="H572">
            <v>2</v>
          </cell>
          <cell r="K572">
            <v>14</v>
          </cell>
          <cell r="P572" t="str">
            <v>Annotation</v>
          </cell>
        </row>
        <row r="573">
          <cell r="K573">
            <v>0</v>
          </cell>
        </row>
        <row r="574">
          <cell r="K574">
            <v>0</v>
          </cell>
        </row>
        <row r="575">
          <cell r="N575" t="str">
            <v>End</v>
          </cell>
        </row>
        <row r="579">
          <cell r="C579" t="str">
            <v>WALL FINISHES (3A)</v>
          </cell>
        </row>
        <row r="580">
          <cell r="C580" t="str">
            <v>WallFinish_height</v>
          </cell>
          <cell r="K580">
            <v>2.7</v>
          </cell>
          <cell r="N580" t="str">
            <v>m</v>
          </cell>
          <cell r="P580" t="str">
            <v>Finishes (exposed) height</v>
          </cell>
          <cell r="Q580">
            <v>2.7</v>
          </cell>
          <cell r="R580" t="str">
            <v>m</v>
          </cell>
        </row>
        <row r="582">
          <cell r="C582" t="str">
            <v>WallFinish_Area</v>
          </cell>
          <cell r="K582">
            <v>5332.83</v>
          </cell>
          <cell r="N582" t="str">
            <v>Nr</v>
          </cell>
          <cell r="P582" t="str">
            <v>Wall finishes area total</v>
          </cell>
          <cell r="Q582">
            <v>5332.83</v>
          </cell>
          <cell r="R582" t="str">
            <v>Nr</v>
          </cell>
        </row>
        <row r="583">
          <cell r="H583">
            <v>2.7</v>
          </cell>
          <cell r="O583" t="str">
            <v>WallFinish_height</v>
          </cell>
        </row>
        <row r="584">
          <cell r="G584">
            <v>0</v>
          </cell>
          <cell r="H584">
            <v>2.7</v>
          </cell>
          <cell r="K584">
            <v>0</v>
          </cell>
          <cell r="O584" t="str">
            <v>Girth_b1</v>
          </cell>
        </row>
        <row r="585">
          <cell r="G585">
            <v>295</v>
          </cell>
          <cell r="H585">
            <v>2.7</v>
          </cell>
          <cell r="K585">
            <v>796.5</v>
          </cell>
          <cell r="O585" t="str">
            <v>Girth_0</v>
          </cell>
        </row>
        <row r="586">
          <cell r="G586">
            <v>0</v>
          </cell>
          <cell r="H586">
            <v>2.7</v>
          </cell>
          <cell r="K586">
            <v>0</v>
          </cell>
          <cell r="O586" t="str">
            <v>Girth_01</v>
          </cell>
        </row>
        <row r="587">
          <cell r="G587">
            <v>0</v>
          </cell>
          <cell r="H587">
            <v>2.7</v>
          </cell>
          <cell r="K587">
            <v>0</v>
          </cell>
          <cell r="O587" t="str">
            <v>Girth_02</v>
          </cell>
        </row>
        <row r="588">
          <cell r="G588">
            <v>0</v>
          </cell>
          <cell r="H588">
            <v>2.7</v>
          </cell>
          <cell r="K588">
            <v>0</v>
          </cell>
          <cell r="O588" t="str">
            <v>Girth_03</v>
          </cell>
        </row>
        <row r="589">
          <cell r="F589">
            <v>-1</v>
          </cell>
          <cell r="G589">
            <v>302.92</v>
          </cell>
          <cell r="H589">
            <v>1</v>
          </cell>
          <cell r="K589">
            <v>-302.92</v>
          </cell>
          <cell r="O589" t="str">
            <v>ExtOpenings_area</v>
          </cell>
        </row>
        <row r="590">
          <cell r="G590">
            <v>1628</v>
          </cell>
          <cell r="H590">
            <v>2.7</v>
          </cell>
          <cell r="K590">
            <v>4395.6000000000004</v>
          </cell>
          <cell r="O590" t="str">
            <v>IntWalls_area_block</v>
          </cell>
        </row>
        <row r="591">
          <cell r="G591">
            <v>200</v>
          </cell>
          <cell r="H591">
            <v>2.7</v>
          </cell>
          <cell r="K591">
            <v>540</v>
          </cell>
          <cell r="O591" t="str">
            <v>IntWalls_area_block_200</v>
          </cell>
        </row>
        <row r="592">
          <cell r="G592">
            <v>50</v>
          </cell>
          <cell r="H592">
            <v>2.7</v>
          </cell>
          <cell r="K592">
            <v>135</v>
          </cell>
          <cell r="O592" t="str">
            <v>IntWalls_area_stud</v>
          </cell>
        </row>
        <row r="593">
          <cell r="F593">
            <v>-1</v>
          </cell>
          <cell r="G593">
            <v>231.35000000000002</v>
          </cell>
          <cell r="H593">
            <v>1</v>
          </cell>
          <cell r="K593">
            <v>-231.35000000000002</v>
          </cell>
          <cell r="O593" t="str">
            <v>IntOpenings_area</v>
          </cell>
        </row>
        <row r="594">
          <cell r="K594">
            <v>0</v>
          </cell>
        </row>
        <row r="595">
          <cell r="K595">
            <v>0</v>
          </cell>
        </row>
        <row r="596">
          <cell r="N596" t="str">
            <v>End</v>
          </cell>
        </row>
        <row r="598">
          <cell r="C598" t="str">
            <v>WallFinish_Back_plaster</v>
          </cell>
          <cell r="K598">
            <v>3905</v>
          </cell>
          <cell r="N598" t="str">
            <v>m²</v>
          </cell>
          <cell r="P598" t="str">
            <v>Plaster</v>
          </cell>
          <cell r="Q598">
            <v>3905</v>
          </cell>
          <cell r="R598" t="str">
            <v>m²</v>
          </cell>
        </row>
        <row r="599">
          <cell r="G599">
            <v>4255</v>
          </cell>
          <cell r="H599">
            <v>1</v>
          </cell>
          <cell r="K599">
            <v>4255</v>
          </cell>
          <cell r="P599" t="str">
            <v>Annotation</v>
          </cell>
        </row>
        <row r="600">
          <cell r="F600">
            <v>-1</v>
          </cell>
          <cell r="G600">
            <v>350</v>
          </cell>
          <cell r="H600">
            <v>1</v>
          </cell>
          <cell r="K600">
            <v>-350</v>
          </cell>
          <cell r="O600" t="str">
            <v>WallFinish_Back_plaster_curved</v>
          </cell>
        </row>
        <row r="601">
          <cell r="K601">
            <v>0</v>
          </cell>
        </row>
        <row r="602">
          <cell r="N602" t="str">
            <v>End</v>
          </cell>
        </row>
        <row r="605">
          <cell r="C605" t="str">
            <v>WallFinish_Back_plaster_curved</v>
          </cell>
          <cell r="K605">
            <v>350</v>
          </cell>
          <cell r="N605" t="str">
            <v>m²</v>
          </cell>
          <cell r="P605" t="str">
            <v>Curved plaster</v>
          </cell>
          <cell r="Q605">
            <v>350</v>
          </cell>
          <cell r="R605" t="str">
            <v>m²</v>
          </cell>
        </row>
        <row r="606">
          <cell r="G606">
            <v>350</v>
          </cell>
          <cell r="H606">
            <v>1</v>
          </cell>
          <cell r="K606">
            <v>350</v>
          </cell>
          <cell r="P606" t="str">
            <v>Annotation</v>
          </cell>
        </row>
        <row r="607">
          <cell r="K607">
            <v>0</v>
          </cell>
        </row>
        <row r="608">
          <cell r="K608">
            <v>0</v>
          </cell>
        </row>
        <row r="609">
          <cell r="N609" t="str">
            <v>End</v>
          </cell>
        </row>
        <row r="612">
          <cell r="C612" t="str">
            <v>WallFinish_Whiterock</v>
          </cell>
          <cell r="K612">
            <v>75</v>
          </cell>
          <cell r="N612" t="str">
            <v>m²</v>
          </cell>
          <cell r="P612" t="str">
            <v>Whitrock wall finish</v>
          </cell>
          <cell r="Q612">
            <v>75</v>
          </cell>
          <cell r="R612" t="str">
            <v>m²</v>
          </cell>
        </row>
        <row r="613">
          <cell r="G613">
            <v>75</v>
          </cell>
          <cell r="H613">
            <v>1</v>
          </cell>
          <cell r="K613">
            <v>75</v>
          </cell>
          <cell r="P613" t="str">
            <v>Annotation</v>
          </cell>
        </row>
        <row r="614">
          <cell r="K614">
            <v>0</v>
          </cell>
        </row>
        <row r="615">
          <cell r="K615">
            <v>0</v>
          </cell>
        </row>
        <row r="616">
          <cell r="N616" t="str">
            <v>End</v>
          </cell>
        </row>
        <row r="619">
          <cell r="C619" t="str">
            <v>WallFinish_ceramic</v>
          </cell>
          <cell r="K619">
            <v>80</v>
          </cell>
          <cell r="N619" t="str">
            <v>m²</v>
          </cell>
          <cell r="P619" t="str">
            <v>Wall finish: ceramic tiles</v>
          </cell>
          <cell r="Q619">
            <v>80</v>
          </cell>
          <cell r="R619" t="str">
            <v>m²</v>
          </cell>
        </row>
        <row r="620">
          <cell r="G620">
            <v>80</v>
          </cell>
          <cell r="H620">
            <v>1</v>
          </cell>
          <cell r="K620">
            <v>80</v>
          </cell>
          <cell r="P620" t="str">
            <v>Annotation</v>
          </cell>
        </row>
        <row r="621">
          <cell r="K621">
            <v>0</v>
          </cell>
        </row>
        <row r="622">
          <cell r="K622">
            <v>0</v>
          </cell>
        </row>
        <row r="623">
          <cell r="N623" t="str">
            <v>End</v>
          </cell>
        </row>
        <row r="626">
          <cell r="C626" t="str">
            <v>WallFinish_acoustic_panel</v>
          </cell>
          <cell r="K626">
            <v>100</v>
          </cell>
          <cell r="N626" t="str">
            <v>m²</v>
          </cell>
          <cell r="P626" t="str">
            <v>Wall finish: acoustic panel</v>
          </cell>
          <cell r="Q626">
            <v>100</v>
          </cell>
          <cell r="R626" t="str">
            <v>m²</v>
          </cell>
        </row>
        <row r="627">
          <cell r="G627">
            <v>100</v>
          </cell>
          <cell r="H627">
            <v>1</v>
          </cell>
          <cell r="K627">
            <v>100</v>
          </cell>
          <cell r="P627" t="str">
            <v>Annotation</v>
          </cell>
        </row>
        <row r="628">
          <cell r="K628">
            <v>0</v>
          </cell>
        </row>
        <row r="629">
          <cell r="K629">
            <v>0</v>
          </cell>
        </row>
        <row r="630">
          <cell r="N630" t="str">
            <v>End</v>
          </cell>
        </row>
        <row r="633">
          <cell r="C633" t="str">
            <v>WallFinish_emulsion</v>
          </cell>
          <cell r="K633">
            <v>4255</v>
          </cell>
          <cell r="N633" t="str">
            <v>m²</v>
          </cell>
          <cell r="P633" t="str">
            <v>Emulsion paint</v>
          </cell>
          <cell r="Q633">
            <v>4255</v>
          </cell>
          <cell r="R633" t="str">
            <v>m²</v>
          </cell>
        </row>
        <row r="634">
          <cell r="G634">
            <v>3905</v>
          </cell>
          <cell r="H634">
            <v>1</v>
          </cell>
          <cell r="K634">
            <v>3905</v>
          </cell>
          <cell r="O634" t="str">
            <v>WallFinish_Back_plaster</v>
          </cell>
        </row>
        <row r="635">
          <cell r="G635">
            <v>350</v>
          </cell>
          <cell r="H635">
            <v>1</v>
          </cell>
          <cell r="K635">
            <v>350</v>
          </cell>
          <cell r="O635" t="str">
            <v>WallFinish_Back_plaster_curved</v>
          </cell>
        </row>
        <row r="636">
          <cell r="K636">
            <v>0</v>
          </cell>
        </row>
        <row r="637">
          <cell r="N637" t="str">
            <v>End</v>
          </cell>
        </row>
        <row r="640">
          <cell r="C640" t="str">
            <v>FLOOR FINISHES (3B)</v>
          </cell>
        </row>
        <row r="642">
          <cell r="C642" t="str">
            <v>FloorFinish_skirtings</v>
          </cell>
          <cell r="K642">
            <v>2085</v>
          </cell>
          <cell r="N642" t="str">
            <v>m</v>
          </cell>
          <cell r="P642" t="str">
            <v>Skirtings</v>
          </cell>
          <cell r="Q642">
            <v>2085</v>
          </cell>
          <cell r="R642" t="str">
            <v>m</v>
          </cell>
        </row>
        <row r="643">
          <cell r="G643">
            <v>0</v>
          </cell>
          <cell r="K643">
            <v>0</v>
          </cell>
          <cell r="O643" t="str">
            <v>Girth_b1</v>
          </cell>
        </row>
        <row r="644">
          <cell r="G644">
            <v>295</v>
          </cell>
          <cell r="K644">
            <v>295</v>
          </cell>
          <cell r="O644" t="str">
            <v>Girth_0</v>
          </cell>
        </row>
        <row r="645">
          <cell r="G645">
            <v>0</v>
          </cell>
          <cell r="K645">
            <v>0</v>
          </cell>
          <cell r="O645" t="str">
            <v>Girth_01</v>
          </cell>
        </row>
        <row r="646">
          <cell r="G646">
            <v>0</v>
          </cell>
          <cell r="K646">
            <v>0</v>
          </cell>
          <cell r="O646" t="str">
            <v>Girth_02</v>
          </cell>
        </row>
        <row r="647">
          <cell r="G647">
            <v>0</v>
          </cell>
          <cell r="K647">
            <v>0</v>
          </cell>
          <cell r="O647" t="str">
            <v>Girth_03</v>
          </cell>
        </row>
        <row r="648">
          <cell r="F648">
            <v>2</v>
          </cell>
          <cell r="G648">
            <v>625.99999999999989</v>
          </cell>
          <cell r="K648">
            <v>1251.9999999999998</v>
          </cell>
          <cell r="O648" t="str">
            <v>IntWalls_girth</v>
          </cell>
        </row>
        <row r="649">
          <cell r="G649">
            <v>538</v>
          </cell>
          <cell r="K649">
            <v>538</v>
          </cell>
        </row>
        <row r="650">
          <cell r="K650">
            <v>0</v>
          </cell>
        </row>
        <row r="651">
          <cell r="K651">
            <v>0</v>
          </cell>
        </row>
        <row r="652">
          <cell r="N652" t="str">
            <v>End</v>
          </cell>
        </row>
        <row r="655">
          <cell r="C655" t="str">
            <v>Raised_access_floor</v>
          </cell>
          <cell r="K655">
            <v>1715</v>
          </cell>
          <cell r="N655" t="str">
            <v>m²</v>
          </cell>
          <cell r="P655" t="str">
            <v>Raised access floor</v>
          </cell>
          <cell r="Q655">
            <v>1715</v>
          </cell>
          <cell r="R655" t="str">
            <v>m²</v>
          </cell>
        </row>
        <row r="656">
          <cell r="G656">
            <v>1839</v>
          </cell>
          <cell r="H656">
            <v>1</v>
          </cell>
          <cell r="K656">
            <v>1839</v>
          </cell>
          <cell r="O656" t="str">
            <v>Gross_Floor_Area</v>
          </cell>
        </row>
        <row r="657">
          <cell r="F657">
            <v>-1</v>
          </cell>
          <cell r="G657">
            <v>84</v>
          </cell>
          <cell r="H657">
            <v>1</v>
          </cell>
          <cell r="K657">
            <v>-84</v>
          </cell>
          <cell r="O657" t="str">
            <v>Function_toilet</v>
          </cell>
        </row>
        <row r="658">
          <cell r="F658">
            <v>-1</v>
          </cell>
          <cell r="G658">
            <v>40</v>
          </cell>
          <cell r="H658">
            <v>1</v>
          </cell>
          <cell r="K658">
            <v>-40</v>
          </cell>
          <cell r="O658" t="str">
            <v>Function_plant</v>
          </cell>
        </row>
        <row r="659">
          <cell r="K659">
            <v>0</v>
          </cell>
        </row>
        <row r="660">
          <cell r="K660">
            <v>0</v>
          </cell>
        </row>
        <row r="661">
          <cell r="K661">
            <v>0</v>
          </cell>
        </row>
        <row r="662">
          <cell r="N662" t="str">
            <v>End</v>
          </cell>
        </row>
        <row r="665">
          <cell r="C665" t="str">
            <v>FloorFinish_Screed</v>
          </cell>
          <cell r="K665">
            <v>124</v>
          </cell>
          <cell r="N665" t="str">
            <v>m²</v>
          </cell>
          <cell r="P665" t="str">
            <v>Screed</v>
          </cell>
          <cell r="Q665">
            <v>124</v>
          </cell>
          <cell r="R665" t="str">
            <v>m²</v>
          </cell>
        </row>
        <row r="666">
          <cell r="G666">
            <v>1839</v>
          </cell>
          <cell r="H666">
            <v>1</v>
          </cell>
          <cell r="K666">
            <v>1839</v>
          </cell>
          <cell r="O666" t="str">
            <v>Gross_Floor_Area</v>
          </cell>
        </row>
        <row r="667">
          <cell r="F667">
            <v>-1</v>
          </cell>
          <cell r="G667">
            <v>1715</v>
          </cell>
          <cell r="H667">
            <v>1</v>
          </cell>
          <cell r="K667">
            <v>-1715</v>
          </cell>
          <cell r="O667" t="str">
            <v>Raised_access_floor</v>
          </cell>
        </row>
        <row r="668">
          <cell r="K668">
            <v>0</v>
          </cell>
        </row>
        <row r="669">
          <cell r="N669" t="str">
            <v>End</v>
          </cell>
        </row>
        <row r="672">
          <cell r="C672" t="str">
            <v>FITTINGS (4A)</v>
          </cell>
        </row>
        <row r="673">
          <cell r="C673" t="str">
            <v>Personnel_Pupils_Nursery</v>
          </cell>
          <cell r="K673">
            <v>30</v>
          </cell>
          <cell r="N673" t="str">
            <v>Nr</v>
          </cell>
          <cell r="P673" t="str">
            <v>Nuresry pupils</v>
          </cell>
          <cell r="Q673">
            <v>30</v>
          </cell>
          <cell r="R673" t="str">
            <v>Nr</v>
          </cell>
        </row>
        <row r="674">
          <cell r="C674" t="str">
            <v>Personnel_Pupils_Primary</v>
          </cell>
          <cell r="K674">
            <v>210</v>
          </cell>
          <cell r="N674" t="str">
            <v>Nr</v>
          </cell>
          <cell r="P674" t="str">
            <v>Primary pupils</v>
          </cell>
          <cell r="Q674">
            <v>210</v>
          </cell>
          <cell r="R674" t="str">
            <v>Nr</v>
          </cell>
        </row>
        <row r="675">
          <cell r="C675" t="str">
            <v>Personnel_Pupils</v>
          </cell>
          <cell r="K675">
            <v>240</v>
          </cell>
          <cell r="N675" t="str">
            <v>Nr</v>
          </cell>
          <cell r="P675" t="str">
            <v>Pupils</v>
          </cell>
          <cell r="Q675">
            <v>240</v>
          </cell>
          <cell r="R675" t="str">
            <v>Nr</v>
          </cell>
        </row>
        <row r="676">
          <cell r="C676" t="str">
            <v>Personnel_Staff</v>
          </cell>
          <cell r="K676">
            <v>0</v>
          </cell>
          <cell r="N676" t="str">
            <v>Nr</v>
          </cell>
          <cell r="P676" t="str">
            <v>Staff</v>
          </cell>
          <cell r="Q676">
            <v>0</v>
          </cell>
          <cell r="R676" t="str">
            <v>Nr</v>
          </cell>
        </row>
        <row r="677">
          <cell r="C677" t="str">
            <v>Personnel_support</v>
          </cell>
          <cell r="K677">
            <v>0</v>
          </cell>
          <cell r="N677" t="str">
            <v>Nr</v>
          </cell>
          <cell r="P677" t="str">
            <v>Support personnel</v>
          </cell>
          <cell r="Q677">
            <v>0</v>
          </cell>
          <cell r="R677" t="str">
            <v>Nr</v>
          </cell>
        </row>
        <row r="678">
          <cell r="C678" t="str">
            <v>Personnel</v>
          </cell>
          <cell r="K678">
            <v>240</v>
          </cell>
          <cell r="N678" t="str">
            <v>Nr</v>
          </cell>
          <cell r="P678" t="str">
            <v>Total Personnel</v>
          </cell>
          <cell r="Q678">
            <v>240</v>
          </cell>
          <cell r="R678" t="str">
            <v>Nr</v>
          </cell>
        </row>
        <row r="680">
          <cell r="C680" t="str">
            <v>SERVICES SANITARY (5A)</v>
          </cell>
        </row>
        <row r="681">
          <cell r="C681" t="str">
            <v>Sanitary_Basins</v>
          </cell>
          <cell r="K681">
            <v>6</v>
          </cell>
          <cell r="N681" t="str">
            <v>Nr</v>
          </cell>
          <cell r="P681" t="str">
            <v>Sanitary fittings Basins</v>
          </cell>
          <cell r="Q681">
            <v>6</v>
          </cell>
          <cell r="R681" t="str">
            <v>Nr</v>
          </cell>
        </row>
        <row r="682">
          <cell r="C682" t="str">
            <v>Sanitary_Baths</v>
          </cell>
          <cell r="K682">
            <v>0</v>
          </cell>
          <cell r="N682" t="str">
            <v>Nr</v>
          </cell>
          <cell r="P682" t="str">
            <v>Sanitary fittings Baths</v>
          </cell>
          <cell r="Q682">
            <v>0</v>
          </cell>
          <cell r="R682" t="str">
            <v>Nr</v>
          </cell>
        </row>
        <row r="683">
          <cell r="C683" t="str">
            <v>Sanitary_Cleaners_sinks</v>
          </cell>
          <cell r="K683">
            <v>2</v>
          </cell>
          <cell r="N683" t="str">
            <v>Nr</v>
          </cell>
          <cell r="P683" t="str">
            <v>Sanitary fittings Cleaner sinks</v>
          </cell>
          <cell r="Q683">
            <v>2</v>
          </cell>
          <cell r="R683" t="str">
            <v>Nr</v>
          </cell>
        </row>
        <row r="684">
          <cell r="C684" t="str">
            <v>Sanitary_Sinks</v>
          </cell>
          <cell r="K684">
            <v>6</v>
          </cell>
          <cell r="N684" t="str">
            <v>Nr</v>
          </cell>
          <cell r="P684" t="str">
            <v>Sanitary fittings Showers</v>
          </cell>
          <cell r="Q684">
            <v>6</v>
          </cell>
          <cell r="R684" t="str">
            <v>Nr</v>
          </cell>
        </row>
        <row r="685">
          <cell r="C685" t="str">
            <v>Sanitary_Sinks_drainers</v>
          </cell>
          <cell r="K685">
            <v>2</v>
          </cell>
          <cell r="N685" t="str">
            <v>Nr</v>
          </cell>
          <cell r="P685" t="str">
            <v>Sanitary fittings Showers</v>
          </cell>
          <cell r="Q685">
            <v>2</v>
          </cell>
          <cell r="R685" t="str">
            <v>Nr</v>
          </cell>
        </row>
        <row r="686">
          <cell r="C686" t="str">
            <v>Sanitary_Showers</v>
          </cell>
          <cell r="K686">
            <v>0</v>
          </cell>
          <cell r="N686" t="str">
            <v>Nr</v>
          </cell>
          <cell r="P686" t="str">
            <v>Sanitary fittings Showers</v>
          </cell>
          <cell r="Q686">
            <v>0</v>
          </cell>
          <cell r="R686" t="str">
            <v>Nr</v>
          </cell>
        </row>
        <row r="687">
          <cell r="C687" t="str">
            <v>Sanitary_Urinals</v>
          </cell>
          <cell r="K687">
            <v>4</v>
          </cell>
          <cell r="N687" t="str">
            <v>Nr</v>
          </cell>
          <cell r="P687" t="str">
            <v>Sanitary fittings Urinals</v>
          </cell>
          <cell r="Q687">
            <v>4</v>
          </cell>
          <cell r="R687" t="str">
            <v>Nr</v>
          </cell>
        </row>
        <row r="688">
          <cell r="C688" t="str">
            <v>Sanitary_Vanity_units</v>
          </cell>
          <cell r="K688">
            <v>0</v>
          </cell>
          <cell r="N688" t="str">
            <v>Nr</v>
          </cell>
          <cell r="P688" t="str">
            <v>Sanitary fittings Vainity basins</v>
          </cell>
          <cell r="Q688">
            <v>0</v>
          </cell>
          <cell r="R688" t="str">
            <v>Nr</v>
          </cell>
        </row>
        <row r="689">
          <cell r="C689" t="str">
            <v>Sanitary_WCs</v>
          </cell>
          <cell r="K689">
            <v>16</v>
          </cell>
          <cell r="N689" t="str">
            <v>Nr</v>
          </cell>
          <cell r="P689" t="str">
            <v>Sanitary fittings WCs</v>
          </cell>
          <cell r="Q689">
            <v>16</v>
          </cell>
          <cell r="R689" t="str">
            <v>Nr</v>
          </cell>
        </row>
        <row r="690">
          <cell r="C690" t="str">
            <v>Sanitary_WCs_disabled</v>
          </cell>
          <cell r="K690">
            <v>1</v>
          </cell>
          <cell r="N690" t="str">
            <v>Nr</v>
          </cell>
          <cell r="P690" t="str">
            <v>Sanitary fittings WCs disabled</v>
          </cell>
          <cell r="Q690">
            <v>1</v>
          </cell>
          <cell r="R690" t="str">
            <v>Nr</v>
          </cell>
        </row>
        <row r="691">
          <cell r="C691" t="str">
            <v>Sanitary_Total_fittings</v>
          </cell>
          <cell r="K691">
            <v>37</v>
          </cell>
          <cell r="N691" t="str">
            <v>Nr</v>
          </cell>
          <cell r="P691" t="str">
            <v>Sanitary fittings total</v>
          </cell>
          <cell r="Q691">
            <v>37</v>
          </cell>
          <cell r="R691" t="str">
            <v>Nr</v>
          </cell>
        </row>
        <row r="692">
          <cell r="C692" t="str">
            <v>Sanitary_Mirrors</v>
          </cell>
          <cell r="K692">
            <v>6</v>
          </cell>
          <cell r="N692" t="str">
            <v>Nr</v>
          </cell>
          <cell r="P692" t="str">
            <v>Sanitary fittings Mirrors</v>
          </cell>
          <cell r="Q692">
            <v>6</v>
          </cell>
          <cell r="R692" t="str">
            <v>Nr</v>
          </cell>
        </row>
        <row r="694">
          <cell r="C694" t="str">
            <v>SERVICES EQUIPMENT (5B)</v>
          </cell>
        </row>
        <row r="695">
          <cell r="C695" t="str">
            <v>Services_Equipment_</v>
          </cell>
          <cell r="K695">
            <v>0</v>
          </cell>
          <cell r="N695" t="str">
            <v>Nr</v>
          </cell>
          <cell r="P695" t="str">
            <v>Services equipment</v>
          </cell>
          <cell r="Q695">
            <v>0</v>
          </cell>
          <cell r="R695" t="str">
            <v>Nr</v>
          </cell>
        </row>
        <row r="697">
          <cell r="C697" t="str">
            <v>DISPOSAL INSTALLATIONS (5C)</v>
          </cell>
        </row>
        <row r="698">
          <cell r="C698" t="str">
            <v>RWP_downpipe_numbers</v>
          </cell>
          <cell r="K698">
            <v>2</v>
          </cell>
          <cell r="N698" t="str">
            <v>Nr</v>
          </cell>
          <cell r="P698" t="str">
            <v>Number of down pipes</v>
          </cell>
          <cell r="Q698">
            <v>2</v>
          </cell>
          <cell r="R698" t="str">
            <v>Nr</v>
          </cell>
        </row>
        <row r="700">
          <cell r="C700" t="str">
            <v>RWP_downpipe_length</v>
          </cell>
          <cell r="K700">
            <v>13.690000000000001</v>
          </cell>
          <cell r="N700" t="str">
            <v>m²</v>
          </cell>
          <cell r="P700" t="str">
            <v>Total length of down pipes</v>
          </cell>
          <cell r="Q700">
            <v>13.690000000000001</v>
          </cell>
          <cell r="R700" t="str">
            <v>m²</v>
          </cell>
        </row>
        <row r="701">
          <cell r="F701">
            <v>3.7</v>
          </cell>
          <cell r="G701">
            <v>3.7</v>
          </cell>
          <cell r="H701">
            <v>1</v>
          </cell>
          <cell r="K701">
            <v>13.690000000000001</v>
          </cell>
          <cell r="O701" t="str">
            <v>Rwp_downpipe_numbers</v>
          </cell>
        </row>
        <row r="702">
          <cell r="K702">
            <v>0</v>
          </cell>
          <cell r="O702" t="str">
            <v>Height</v>
          </cell>
        </row>
        <row r="703">
          <cell r="K703">
            <v>0</v>
          </cell>
        </row>
        <row r="704">
          <cell r="N704" t="str">
            <v>End</v>
          </cell>
        </row>
        <row r="707">
          <cell r="C707" t="str">
            <v>RWP_gutters_length</v>
          </cell>
          <cell r="K707">
            <v>295</v>
          </cell>
          <cell r="N707" t="str">
            <v>m</v>
          </cell>
          <cell r="P707" t="str">
            <v>Length of gutter</v>
          </cell>
          <cell r="Q707">
            <v>295</v>
          </cell>
          <cell r="R707" t="str">
            <v>m</v>
          </cell>
        </row>
        <row r="708">
          <cell r="G708">
            <v>295</v>
          </cell>
          <cell r="K708">
            <v>295</v>
          </cell>
          <cell r="O708" t="str">
            <v>girth</v>
          </cell>
        </row>
        <row r="709">
          <cell r="K709">
            <v>0</v>
          </cell>
        </row>
        <row r="710">
          <cell r="N710" t="str">
            <v>End</v>
          </cell>
        </row>
        <row r="712">
          <cell r="C712" t="str">
            <v>SVP_stack_numbers</v>
          </cell>
          <cell r="K712">
            <v>1</v>
          </cell>
          <cell r="N712" t="str">
            <v>Nr</v>
          </cell>
          <cell r="P712" t="str">
            <v>SVP stacks</v>
          </cell>
          <cell r="Q712">
            <v>1</v>
          </cell>
          <cell r="R712" t="str">
            <v>Nr</v>
          </cell>
        </row>
        <row r="714">
          <cell r="C714" t="str">
            <v>SVP_stack_length</v>
          </cell>
          <cell r="K714">
            <v>3.7</v>
          </cell>
          <cell r="N714" t="str">
            <v>m²</v>
          </cell>
          <cell r="P714" t="str">
            <v>Total length of stacks</v>
          </cell>
          <cell r="Q714">
            <v>3.7</v>
          </cell>
          <cell r="R714" t="str">
            <v>m²</v>
          </cell>
        </row>
        <row r="715">
          <cell r="F715">
            <v>1</v>
          </cell>
          <cell r="G715">
            <v>3.7</v>
          </cell>
          <cell r="H715">
            <v>1</v>
          </cell>
          <cell r="K715">
            <v>3.7</v>
          </cell>
          <cell r="O715" t="str">
            <v>SVP_stack_numbers</v>
          </cell>
        </row>
        <row r="716">
          <cell r="K716">
            <v>0</v>
          </cell>
          <cell r="O716" t="str">
            <v>Height</v>
          </cell>
        </row>
        <row r="717">
          <cell r="K717">
            <v>0</v>
          </cell>
        </row>
        <row r="718">
          <cell r="N718" t="str">
            <v>End</v>
          </cell>
        </row>
        <row r="721">
          <cell r="C721" t="str">
            <v>WATER INSTALLATIONS (5D)</v>
          </cell>
        </row>
        <row r="722">
          <cell r="C722" t="str">
            <v>Water_</v>
          </cell>
          <cell r="K722">
            <v>0</v>
          </cell>
          <cell r="N722" t="str">
            <v>Nr</v>
          </cell>
          <cell r="P722" t="str">
            <v>Water installations</v>
          </cell>
          <cell r="Q722">
            <v>0</v>
          </cell>
          <cell r="R722" t="str">
            <v>Nr</v>
          </cell>
        </row>
        <row r="724">
          <cell r="C724" t="str">
            <v>HEAT SOURCE (5E)</v>
          </cell>
        </row>
        <row r="725">
          <cell r="C725" t="str">
            <v>Heating_Boilers</v>
          </cell>
          <cell r="K725">
            <v>1</v>
          </cell>
          <cell r="N725" t="str">
            <v>Nr</v>
          </cell>
          <cell r="P725" t="str">
            <v>Heating: Boilers</v>
          </cell>
          <cell r="Q725">
            <v>1</v>
          </cell>
          <cell r="R725" t="str">
            <v>Nr</v>
          </cell>
        </row>
        <row r="726">
          <cell r="C726" t="str">
            <v>Heating_pipework</v>
          </cell>
          <cell r="K726">
            <v>4.8100000000000005</v>
          </cell>
          <cell r="N726" t="str">
            <v>m</v>
          </cell>
          <cell r="P726" t="str">
            <v>Heating: pipework</v>
          </cell>
          <cell r="Q726">
            <v>4.8100000000000005</v>
          </cell>
          <cell r="R726" t="str">
            <v>m</v>
          </cell>
        </row>
        <row r="728">
          <cell r="C728" t="str">
            <v>Heating_radiators</v>
          </cell>
          <cell r="K728">
            <v>49.166666666666664</v>
          </cell>
          <cell r="N728" t="str">
            <v>Nr</v>
          </cell>
          <cell r="P728" t="str">
            <v>Heating: radiators</v>
          </cell>
          <cell r="Q728">
            <v>49.166666666666664</v>
          </cell>
          <cell r="R728" t="str">
            <v>Nr</v>
          </cell>
        </row>
        <row r="729">
          <cell r="E729">
            <v>0.16666666666666666</v>
          </cell>
          <cell r="F729">
            <v>295</v>
          </cell>
          <cell r="K729">
            <v>49.166666666666664</v>
          </cell>
          <cell r="O729" t="str">
            <v>girth</v>
          </cell>
        </row>
        <row r="730">
          <cell r="K730">
            <v>0</v>
          </cell>
        </row>
        <row r="731">
          <cell r="K731">
            <v>0</v>
          </cell>
        </row>
        <row r="732">
          <cell r="K732">
            <v>0</v>
          </cell>
        </row>
        <row r="733">
          <cell r="K733">
            <v>0</v>
          </cell>
        </row>
        <row r="734">
          <cell r="K734">
            <v>0</v>
          </cell>
        </row>
        <row r="735">
          <cell r="N735" t="str">
            <v>End</v>
          </cell>
        </row>
        <row r="737">
          <cell r="C737" t="str">
            <v>Refrigeration_chiller_units</v>
          </cell>
          <cell r="K737">
            <v>0</v>
          </cell>
          <cell r="N737" t="str">
            <v>Nr</v>
          </cell>
          <cell r="P737" t="str">
            <v>Chiller units</v>
          </cell>
          <cell r="Q737">
            <v>0</v>
          </cell>
          <cell r="R737" t="str">
            <v>Nr</v>
          </cell>
        </row>
        <row r="738">
          <cell r="C738" t="str">
            <v>Refrigeration_pumps</v>
          </cell>
          <cell r="K738">
            <v>0</v>
          </cell>
          <cell r="N738" t="str">
            <v>Nr</v>
          </cell>
          <cell r="P738" t="str">
            <v>Chiller pumps</v>
          </cell>
          <cell r="Q738">
            <v>0</v>
          </cell>
          <cell r="R738" t="str">
            <v>Nr</v>
          </cell>
        </row>
        <row r="740">
          <cell r="C740" t="str">
            <v>SPACE HEATING AND AIR TREATMENT (5F)</v>
          </cell>
        </row>
        <row r="741">
          <cell r="C741" t="str">
            <v>AirCon_Air_Handling_Units</v>
          </cell>
          <cell r="K741">
            <v>1</v>
          </cell>
          <cell r="N741" t="str">
            <v>Nr</v>
          </cell>
          <cell r="P741" t="str">
            <v>Air Handling Units</v>
          </cell>
          <cell r="Q741">
            <v>1</v>
          </cell>
          <cell r="R741" t="str">
            <v>Nr</v>
          </cell>
        </row>
        <row r="742">
          <cell r="C742" t="str">
            <v>AirCon_Air_Heater_units</v>
          </cell>
          <cell r="K742">
            <v>1</v>
          </cell>
          <cell r="N742" t="str">
            <v>Nr</v>
          </cell>
          <cell r="P742" t="str">
            <v>Air Handling Units: heater units</v>
          </cell>
          <cell r="Q742">
            <v>1</v>
          </cell>
          <cell r="R742" t="str">
            <v>Nr</v>
          </cell>
        </row>
        <row r="743">
          <cell r="C743" t="str">
            <v>AirCon_Air_Chiller_units</v>
          </cell>
          <cell r="K743">
            <v>1</v>
          </cell>
          <cell r="N743" t="str">
            <v>Nr</v>
          </cell>
          <cell r="P743" t="str">
            <v>Air Handling Units: chiller units</v>
          </cell>
          <cell r="Q743">
            <v>1</v>
          </cell>
          <cell r="R743" t="str">
            <v>Nr</v>
          </cell>
        </row>
        <row r="744">
          <cell r="C744" t="str">
            <v>AirCon_Fans</v>
          </cell>
          <cell r="K744">
            <v>1</v>
          </cell>
          <cell r="N744" t="str">
            <v>Nr</v>
          </cell>
          <cell r="P744" t="str">
            <v>Air Handling Units: fans</v>
          </cell>
          <cell r="Q744">
            <v>1</v>
          </cell>
          <cell r="R744" t="str">
            <v>Nr</v>
          </cell>
        </row>
        <row r="745">
          <cell r="C745" t="str">
            <v>AirCon_Ductwork_per_gfa</v>
          </cell>
          <cell r="K745">
            <v>0.17777777777777778</v>
          </cell>
          <cell r="N745" t="str">
            <v>m/m²</v>
          </cell>
          <cell r="P745" t="str">
            <v>Ductwork metres/gfa</v>
          </cell>
          <cell r="Q745">
            <v>0.17777777777777778</v>
          </cell>
          <cell r="R745" t="str">
            <v>m/m²</v>
          </cell>
        </row>
        <row r="746">
          <cell r="C746" t="str">
            <v>AirCon_Ductwork</v>
          </cell>
          <cell r="K746">
            <v>326.93333333333334</v>
          </cell>
          <cell r="N746" t="str">
            <v>m</v>
          </cell>
          <cell r="P746" t="str">
            <v>Ductwork</v>
          </cell>
          <cell r="Q746">
            <v>326.93333333333334</v>
          </cell>
          <cell r="R746" t="str">
            <v>m</v>
          </cell>
        </row>
        <row r="747">
          <cell r="C747" t="str">
            <v>AirCon_Outlets_per_gfa</v>
          </cell>
          <cell r="K747">
            <v>3.5555555555555556E-2</v>
          </cell>
          <cell r="N747" t="str">
            <v>Nr/m²</v>
          </cell>
          <cell r="P747" t="str">
            <v>Outlets per gfa</v>
          </cell>
          <cell r="Q747">
            <v>3.5555555555555556E-2</v>
          </cell>
          <cell r="R747" t="str">
            <v>Nr/m²</v>
          </cell>
        </row>
        <row r="748">
          <cell r="C748" t="str">
            <v>AirCon_Outlets</v>
          </cell>
          <cell r="K748">
            <v>65</v>
          </cell>
          <cell r="N748" t="str">
            <v>Nr</v>
          </cell>
          <cell r="P748" t="str">
            <v>Outlets</v>
          </cell>
          <cell r="Q748">
            <v>65</v>
          </cell>
          <cell r="R748" t="str">
            <v>Nr</v>
          </cell>
        </row>
        <row r="749">
          <cell r="C749" t="str">
            <v>AirCon_Fan_Coil_Units</v>
          </cell>
          <cell r="K749">
            <v>26</v>
          </cell>
          <cell r="N749" t="str">
            <v>Nr</v>
          </cell>
          <cell r="P749" t="str">
            <v>Fan Coil Units</v>
          </cell>
          <cell r="Q749">
            <v>26</v>
          </cell>
          <cell r="R749" t="str">
            <v>Nr</v>
          </cell>
        </row>
        <row r="750">
          <cell r="C750" t="str">
            <v>AirCon_Air_Conditioning_Units</v>
          </cell>
          <cell r="K750">
            <v>0</v>
          </cell>
          <cell r="N750" t="str">
            <v>Nr</v>
          </cell>
          <cell r="P750" t="str">
            <v>Air Conditioning Units</v>
          </cell>
          <cell r="Q750">
            <v>0</v>
          </cell>
          <cell r="R750" t="str">
            <v>Nr</v>
          </cell>
        </row>
        <row r="752">
          <cell r="C752" t="str">
            <v>VENTILATING SYSTEMS (5G)</v>
          </cell>
        </row>
        <row r="753">
          <cell r="C753" t="str">
            <v>Vent_</v>
          </cell>
          <cell r="K753">
            <v>0</v>
          </cell>
          <cell r="N753" t="str">
            <v>Nr</v>
          </cell>
          <cell r="P753" t="str">
            <v>Ventilation</v>
          </cell>
          <cell r="Q753">
            <v>0</v>
          </cell>
          <cell r="R753" t="str">
            <v>Nr</v>
          </cell>
        </row>
        <row r="755">
          <cell r="C755" t="str">
            <v>ELECTRICAL (5H)</v>
          </cell>
        </row>
        <row r="756">
          <cell r="C756" t="str">
            <v>Elec_Generators</v>
          </cell>
          <cell r="K756">
            <v>0</v>
          </cell>
          <cell r="N756" t="str">
            <v>Nr</v>
          </cell>
          <cell r="P756" t="str">
            <v>Generators</v>
          </cell>
          <cell r="Q756">
            <v>0</v>
          </cell>
          <cell r="R756" t="str">
            <v>Nr</v>
          </cell>
        </row>
        <row r="757">
          <cell r="C757" t="str">
            <v>Elec_Transformers</v>
          </cell>
          <cell r="K757">
            <v>0</v>
          </cell>
          <cell r="N757" t="str">
            <v>Nr</v>
          </cell>
          <cell r="P757" t="str">
            <v>Transformers</v>
          </cell>
          <cell r="Q757">
            <v>0</v>
          </cell>
          <cell r="R757" t="str">
            <v>Nr</v>
          </cell>
        </row>
        <row r="758">
          <cell r="C758" t="str">
            <v>Elec_UPS</v>
          </cell>
          <cell r="K758">
            <v>0</v>
          </cell>
          <cell r="N758" t="str">
            <v>Nr</v>
          </cell>
          <cell r="P758" t="str">
            <v>UPS</v>
          </cell>
          <cell r="Q758">
            <v>0</v>
          </cell>
          <cell r="R758" t="str">
            <v>Nr</v>
          </cell>
        </row>
        <row r="759">
          <cell r="C759" t="str">
            <v>Elec_HV_Panels</v>
          </cell>
          <cell r="K759">
            <v>0</v>
          </cell>
          <cell r="N759" t="str">
            <v>Nr</v>
          </cell>
          <cell r="P759" t="str">
            <v>High Voltage Panels</v>
          </cell>
          <cell r="Q759">
            <v>0</v>
          </cell>
          <cell r="R759" t="str">
            <v>Nr</v>
          </cell>
        </row>
        <row r="760">
          <cell r="C760" t="str">
            <v>Elec_LV_Panels</v>
          </cell>
          <cell r="K760">
            <v>1</v>
          </cell>
          <cell r="N760" t="str">
            <v>Nr</v>
          </cell>
          <cell r="P760" t="str">
            <v>Low Voltage Panels</v>
          </cell>
          <cell r="Q760">
            <v>1</v>
          </cell>
          <cell r="R760" t="str">
            <v>Nr</v>
          </cell>
        </row>
        <row r="761">
          <cell r="C761" t="str">
            <v>Elec_HVAC_Panels</v>
          </cell>
          <cell r="K761">
            <v>0</v>
          </cell>
          <cell r="N761" t="str">
            <v>Nr</v>
          </cell>
          <cell r="P761" t="str">
            <v>HV AC Panels</v>
          </cell>
          <cell r="Q761">
            <v>0</v>
          </cell>
          <cell r="R761" t="str">
            <v>Nr</v>
          </cell>
        </row>
        <row r="762">
          <cell r="C762" t="str">
            <v>Elec_Distribution_Boards</v>
          </cell>
          <cell r="K762">
            <v>1</v>
          </cell>
          <cell r="N762" t="str">
            <v>Nr</v>
          </cell>
          <cell r="P762" t="str">
            <v>Power Distribution Boards</v>
          </cell>
          <cell r="Q762">
            <v>1</v>
          </cell>
          <cell r="R762" t="str">
            <v>Nr</v>
          </cell>
        </row>
        <row r="763">
          <cell r="C763" t="str">
            <v>Elec_Distribution_sub_mains</v>
          </cell>
          <cell r="K763">
            <v>0</v>
          </cell>
          <cell r="N763" t="str">
            <v>Nr</v>
          </cell>
          <cell r="P763" t="str">
            <v>sub mains boards</v>
          </cell>
          <cell r="Q763">
            <v>0</v>
          </cell>
          <cell r="R763" t="str">
            <v>Nr</v>
          </cell>
        </row>
        <row r="764">
          <cell r="C764" t="str">
            <v>Lighting_fittings_luminaire_2x18</v>
          </cell>
          <cell r="K764">
            <v>0</v>
          </cell>
          <cell r="N764" t="str">
            <v>Nr</v>
          </cell>
          <cell r="P764" t="str">
            <v>Lighting fittings luminaire 2x18W</v>
          </cell>
          <cell r="Q764">
            <v>0</v>
          </cell>
          <cell r="R764" t="str">
            <v>Nr</v>
          </cell>
        </row>
        <row r="765">
          <cell r="C765" t="str">
            <v>Lighting_fittings_luminaire_3x18</v>
          </cell>
          <cell r="K765">
            <v>81</v>
          </cell>
          <cell r="N765" t="str">
            <v>Nr</v>
          </cell>
          <cell r="P765" t="str">
            <v>Lighting fittings luminaire 3x18W</v>
          </cell>
          <cell r="Q765">
            <v>81</v>
          </cell>
          <cell r="R765" t="str">
            <v>Nr</v>
          </cell>
        </row>
        <row r="766">
          <cell r="C766" t="str">
            <v>Lighting_fittings_luminaire_2x36</v>
          </cell>
          <cell r="K766">
            <v>197</v>
          </cell>
          <cell r="N766" t="str">
            <v>Nr</v>
          </cell>
          <cell r="P766" t="str">
            <v>Lighting fittings luminaire 2x36W</v>
          </cell>
          <cell r="Q766">
            <v>197</v>
          </cell>
          <cell r="R766" t="str">
            <v>Nr</v>
          </cell>
        </row>
        <row r="767">
          <cell r="C767" t="str">
            <v>Lighting_fittings_luminaire_3x36</v>
          </cell>
          <cell r="K767">
            <v>77</v>
          </cell>
          <cell r="N767" t="str">
            <v>Nr</v>
          </cell>
          <cell r="P767" t="str">
            <v>Lighting fittings luminaire 3x36W</v>
          </cell>
          <cell r="Q767">
            <v>77</v>
          </cell>
          <cell r="R767" t="str">
            <v>Nr</v>
          </cell>
        </row>
        <row r="768">
          <cell r="C768" t="str">
            <v>Lighting_fittings_luminaire_4x36</v>
          </cell>
          <cell r="K768">
            <v>4</v>
          </cell>
          <cell r="N768" t="str">
            <v>Nr</v>
          </cell>
          <cell r="P768" t="str">
            <v>Lighting fittings luminaire 4x36W</v>
          </cell>
          <cell r="Q768">
            <v>4</v>
          </cell>
          <cell r="R768" t="str">
            <v>Nr</v>
          </cell>
        </row>
        <row r="769">
          <cell r="C769" t="str">
            <v>Lighting_fittings_downlighter_1x13</v>
          </cell>
          <cell r="K769">
            <v>0</v>
          </cell>
          <cell r="N769" t="str">
            <v>Nr</v>
          </cell>
          <cell r="P769" t="str">
            <v>Lighting fittings downlighter 1x13W</v>
          </cell>
          <cell r="Q769">
            <v>0</v>
          </cell>
          <cell r="R769" t="str">
            <v>Nr</v>
          </cell>
        </row>
        <row r="770">
          <cell r="C770" t="str">
            <v>Lighting_fittings_downlighter_2x13</v>
          </cell>
          <cell r="K770">
            <v>2</v>
          </cell>
          <cell r="N770" t="str">
            <v>Nr</v>
          </cell>
          <cell r="P770" t="str">
            <v>Lighting fittings downlighter 2x13W</v>
          </cell>
          <cell r="Q770">
            <v>2</v>
          </cell>
          <cell r="R770" t="str">
            <v>Nr</v>
          </cell>
        </row>
        <row r="771">
          <cell r="C771" t="str">
            <v>Lighting_fittings_downlighter_1x18</v>
          </cell>
          <cell r="K771">
            <v>6</v>
          </cell>
          <cell r="N771" t="str">
            <v>Nr</v>
          </cell>
          <cell r="P771" t="str">
            <v>Lighting fittings downlighter 1x18W</v>
          </cell>
          <cell r="Q771">
            <v>6</v>
          </cell>
          <cell r="R771" t="str">
            <v>Nr</v>
          </cell>
        </row>
        <row r="772">
          <cell r="C772" t="str">
            <v>Lighting_fittings_high_bay_1x250</v>
          </cell>
          <cell r="K772">
            <v>0</v>
          </cell>
          <cell r="N772" t="str">
            <v>Nr</v>
          </cell>
          <cell r="P772" t="str">
            <v>Lighting fittings high bay 250W</v>
          </cell>
          <cell r="Q772">
            <v>0</v>
          </cell>
          <cell r="R772" t="str">
            <v>Nr</v>
          </cell>
        </row>
        <row r="773">
          <cell r="C773" t="str">
            <v>Lighting_fittings_high_bay_1x400</v>
          </cell>
          <cell r="K773">
            <v>0</v>
          </cell>
          <cell r="N773" t="str">
            <v>Nr</v>
          </cell>
          <cell r="P773" t="str">
            <v>Lighting fittings high bay 400W</v>
          </cell>
          <cell r="Q773">
            <v>0</v>
          </cell>
          <cell r="R773" t="str">
            <v>Nr</v>
          </cell>
        </row>
        <row r="774">
          <cell r="C774" t="str">
            <v>Lighting_fittings_SON</v>
          </cell>
          <cell r="K774">
            <v>0</v>
          </cell>
          <cell r="N774" t="str">
            <v>Nr</v>
          </cell>
          <cell r="P774" t="str">
            <v>Lighting fittings SON</v>
          </cell>
          <cell r="Q774">
            <v>0</v>
          </cell>
          <cell r="R774" t="str">
            <v>Nr</v>
          </cell>
        </row>
        <row r="775">
          <cell r="C775" t="str">
            <v>Lighting_fittings_beamlight</v>
          </cell>
          <cell r="K775">
            <v>0</v>
          </cell>
          <cell r="N775" t="str">
            <v>Nr</v>
          </cell>
          <cell r="P775" t="str">
            <v>Lighting fittings beam light</v>
          </cell>
          <cell r="Q775">
            <v>0</v>
          </cell>
          <cell r="R775" t="str">
            <v>Nr</v>
          </cell>
        </row>
        <row r="776">
          <cell r="C776" t="str">
            <v>Lighting_fittings_display</v>
          </cell>
          <cell r="K776">
            <v>0</v>
          </cell>
          <cell r="N776" t="str">
            <v>Nr</v>
          </cell>
          <cell r="P776" t="str">
            <v>Lighting fittings display</v>
          </cell>
          <cell r="Q776">
            <v>0</v>
          </cell>
          <cell r="R776" t="str">
            <v>Nr</v>
          </cell>
        </row>
        <row r="777">
          <cell r="C777" t="str">
            <v>Lighting_fittings_obstruction_lights</v>
          </cell>
          <cell r="K777">
            <v>0</v>
          </cell>
          <cell r="N777" t="str">
            <v>Nr</v>
          </cell>
          <cell r="P777" t="str">
            <v>Lighting fittings obstruction lights</v>
          </cell>
          <cell r="Q777">
            <v>0</v>
          </cell>
          <cell r="R777" t="str">
            <v>Nr</v>
          </cell>
        </row>
        <row r="778">
          <cell r="C778" t="str">
            <v>Lighting_fittings</v>
          </cell>
          <cell r="K778">
            <v>367</v>
          </cell>
          <cell r="N778" t="str">
            <v>Nr</v>
          </cell>
          <cell r="P778" t="str">
            <v>Lighting fittings</v>
          </cell>
          <cell r="Q778">
            <v>367</v>
          </cell>
          <cell r="R778" t="str">
            <v>Nr</v>
          </cell>
        </row>
        <row r="779">
          <cell r="C779" t="str">
            <v>Lighting_emergency_invertors</v>
          </cell>
          <cell r="K779">
            <v>70.497175141242934</v>
          </cell>
          <cell r="N779" t="str">
            <v>Nr</v>
          </cell>
          <cell r="P779" t="str">
            <v>Lighting: exmergency light invertors</v>
          </cell>
          <cell r="Q779">
            <v>70.497175141242934</v>
          </cell>
          <cell r="R779" t="str">
            <v>Nr</v>
          </cell>
        </row>
        <row r="780">
          <cell r="C780" t="str">
            <v>Lighting_external_luminares</v>
          </cell>
          <cell r="K780">
            <v>0</v>
          </cell>
          <cell r="N780" t="str">
            <v>Nr</v>
          </cell>
          <cell r="P780" t="str">
            <v>Lighting: external luminaries</v>
          </cell>
          <cell r="Q780">
            <v>0</v>
          </cell>
          <cell r="R780" t="str">
            <v>Nr</v>
          </cell>
        </row>
        <row r="782">
          <cell r="C782" t="str">
            <v>GAS (5I)</v>
          </cell>
        </row>
        <row r="783">
          <cell r="C783" t="str">
            <v>Gas_</v>
          </cell>
          <cell r="K783">
            <v>0</v>
          </cell>
          <cell r="N783" t="str">
            <v>Nr</v>
          </cell>
          <cell r="P783" t="str">
            <v>Gas installations</v>
          </cell>
          <cell r="Q783">
            <v>0</v>
          </cell>
          <cell r="R783" t="str">
            <v>Nr</v>
          </cell>
        </row>
        <row r="785">
          <cell r="C785" t="str">
            <v>TRANSPORT (5J)</v>
          </cell>
        </row>
        <row r="786">
          <cell r="C786" t="str">
            <v>Transport_lifts_passenger</v>
          </cell>
          <cell r="K786">
            <v>0</v>
          </cell>
          <cell r="N786" t="str">
            <v>Nr</v>
          </cell>
          <cell r="P786" t="str">
            <v xml:space="preserve">Lifts passenger </v>
          </cell>
          <cell r="Q786">
            <v>0</v>
          </cell>
          <cell r="R786" t="str">
            <v>Nr</v>
          </cell>
        </row>
        <row r="787">
          <cell r="C787" t="str">
            <v>Transport_lifts_goods</v>
          </cell>
          <cell r="K787">
            <v>0</v>
          </cell>
          <cell r="N787" t="str">
            <v>Nr</v>
          </cell>
          <cell r="P787" t="str">
            <v xml:space="preserve">Lifts goods </v>
          </cell>
          <cell r="Q787">
            <v>0</v>
          </cell>
          <cell r="R787" t="str">
            <v>Nr</v>
          </cell>
        </row>
        <row r="788">
          <cell r="C788" t="str">
            <v>Transport_lifts_wall_climber</v>
          </cell>
          <cell r="K788">
            <v>0</v>
          </cell>
          <cell r="N788" t="str">
            <v>Nr</v>
          </cell>
          <cell r="P788" t="str">
            <v>Lifts wall climber/feature</v>
          </cell>
          <cell r="Q788">
            <v>0</v>
          </cell>
          <cell r="R788" t="str">
            <v>Nr</v>
          </cell>
        </row>
        <row r="789">
          <cell r="C789" t="str">
            <v>Transport_lifts_fire</v>
          </cell>
          <cell r="K789">
            <v>0</v>
          </cell>
          <cell r="N789" t="str">
            <v>Nr</v>
          </cell>
          <cell r="P789" t="str">
            <v>Lifts fire access</v>
          </cell>
          <cell r="Q789">
            <v>0</v>
          </cell>
          <cell r="R789" t="str">
            <v>Nr</v>
          </cell>
        </row>
        <row r="790">
          <cell r="C790" t="str">
            <v>Transport_Lifts</v>
          </cell>
          <cell r="K790">
            <v>0</v>
          </cell>
          <cell r="N790" t="str">
            <v>Nr</v>
          </cell>
          <cell r="P790" t="str">
            <v>Total number of lifts</v>
          </cell>
          <cell r="Q790">
            <v>0</v>
          </cell>
          <cell r="R790" t="str">
            <v>Nr</v>
          </cell>
        </row>
        <row r="791">
          <cell r="C791" t="str">
            <v>Transport_disabled_access</v>
          </cell>
          <cell r="K791">
            <v>0</v>
          </cell>
          <cell r="N791" t="str">
            <v>Nr</v>
          </cell>
          <cell r="P791" t="str">
            <v>Lifts disabled access</v>
          </cell>
          <cell r="Q791">
            <v>0</v>
          </cell>
          <cell r="R791" t="str">
            <v>Nr</v>
          </cell>
        </row>
        <row r="792">
          <cell r="C792" t="str">
            <v>Transport_disabled_hoists</v>
          </cell>
          <cell r="K792">
            <v>0</v>
          </cell>
          <cell r="N792" t="str">
            <v>Nr</v>
          </cell>
          <cell r="P792" t="str">
            <v>Lifts disabled access</v>
          </cell>
          <cell r="Q792">
            <v>0</v>
          </cell>
          <cell r="R792" t="str">
            <v>Nr</v>
          </cell>
        </row>
        <row r="793">
          <cell r="C793" t="str">
            <v>Transport_dumb waiter</v>
          </cell>
          <cell r="K793">
            <v>0</v>
          </cell>
          <cell r="N793" t="str">
            <v>Nr</v>
          </cell>
          <cell r="P793" t="str">
            <v>Lifts dumb waiter</v>
          </cell>
          <cell r="Q793">
            <v>0</v>
          </cell>
          <cell r="R793" t="str">
            <v>Nr</v>
          </cell>
        </row>
        <row r="794">
          <cell r="C794" t="str">
            <v>Transport_Cranes</v>
          </cell>
          <cell r="K794">
            <v>0</v>
          </cell>
          <cell r="N794" t="str">
            <v>Nr</v>
          </cell>
          <cell r="P794" t="str">
            <v>Transport: Cranes</v>
          </cell>
          <cell r="Q794">
            <v>0</v>
          </cell>
          <cell r="R794" t="str">
            <v>Nr</v>
          </cell>
        </row>
        <row r="796">
          <cell r="C796" t="str">
            <v>PROTECTIVE INSTALLATIONS (5K)</v>
          </cell>
        </row>
        <row r="797">
          <cell r="C797" t="str">
            <v>Fire_blankets</v>
          </cell>
          <cell r="K797">
            <v>0</v>
          </cell>
          <cell r="N797" t="str">
            <v>Nr</v>
          </cell>
          <cell r="P797" t="str">
            <v>Fire: blankets</v>
          </cell>
          <cell r="Q797">
            <v>0</v>
          </cell>
          <cell r="R797" t="str">
            <v>Nr</v>
          </cell>
        </row>
        <row r="798">
          <cell r="C798" t="str">
            <v>Fire_extinguishers</v>
          </cell>
          <cell r="K798">
            <v>0</v>
          </cell>
          <cell r="N798" t="str">
            <v>Nr</v>
          </cell>
          <cell r="P798" t="str">
            <v>Fire: extinguishers</v>
          </cell>
          <cell r="Q798">
            <v>0</v>
          </cell>
          <cell r="R798" t="str">
            <v>Nr</v>
          </cell>
        </row>
        <row r="799">
          <cell r="C799" t="str">
            <v>VESDA_systems</v>
          </cell>
          <cell r="K799">
            <v>0</v>
          </cell>
          <cell r="N799" t="str">
            <v>Nr</v>
          </cell>
          <cell r="P799" t="str">
            <v>VESDA systems</v>
          </cell>
          <cell r="Q799">
            <v>0</v>
          </cell>
          <cell r="R799" t="str">
            <v>Nr</v>
          </cell>
        </row>
        <row r="800">
          <cell r="C800" t="str">
            <v>Sprinklers_outlets</v>
          </cell>
          <cell r="K800">
            <v>0</v>
          </cell>
          <cell r="N800" t="str">
            <v>Nr</v>
          </cell>
          <cell r="P800" t="str">
            <v>Security: cameras moveable</v>
          </cell>
          <cell r="Q800">
            <v>0</v>
          </cell>
          <cell r="R800" t="str">
            <v>Nr</v>
          </cell>
        </row>
        <row r="801">
          <cell r="C801" t="str">
            <v>Security_cameras_moveable</v>
          </cell>
          <cell r="K801">
            <v>0</v>
          </cell>
          <cell r="N801" t="str">
            <v>Nr</v>
          </cell>
          <cell r="P801" t="str">
            <v>Security: cameras moveable</v>
          </cell>
          <cell r="Q801">
            <v>0</v>
          </cell>
          <cell r="R801" t="str">
            <v>Nr</v>
          </cell>
        </row>
        <row r="802">
          <cell r="C802" t="str">
            <v>Security_cameras_static</v>
          </cell>
          <cell r="K802">
            <v>0</v>
          </cell>
          <cell r="N802" t="str">
            <v>Nr</v>
          </cell>
          <cell r="P802" t="str">
            <v>Security: cameras static</v>
          </cell>
          <cell r="Q802">
            <v>0</v>
          </cell>
          <cell r="R802" t="str">
            <v>Nr</v>
          </cell>
        </row>
        <row r="803">
          <cell r="C803" t="str">
            <v>Security_PIR</v>
          </cell>
          <cell r="K803">
            <v>0</v>
          </cell>
          <cell r="N803" t="str">
            <v>Nr</v>
          </cell>
          <cell r="P803" t="str">
            <v>Security: PIR</v>
          </cell>
          <cell r="Q803">
            <v>0</v>
          </cell>
          <cell r="R803" t="str">
            <v>Nr</v>
          </cell>
        </row>
        <row r="804">
          <cell r="C804" t="str">
            <v>Security_intercoms</v>
          </cell>
          <cell r="K804">
            <v>0</v>
          </cell>
          <cell r="N804" t="str">
            <v>Nr</v>
          </cell>
          <cell r="P804" t="str">
            <v>Security: intercoms</v>
          </cell>
          <cell r="Q804">
            <v>0</v>
          </cell>
          <cell r="R804" t="str">
            <v>Nr</v>
          </cell>
        </row>
        <row r="805">
          <cell r="C805" t="str">
            <v>Security_door_access</v>
          </cell>
          <cell r="K805">
            <v>0</v>
          </cell>
          <cell r="N805" t="str">
            <v>Nr</v>
          </cell>
          <cell r="P805" t="str">
            <v>Security: door access control</v>
          </cell>
          <cell r="Q805">
            <v>0</v>
          </cell>
          <cell r="R805" t="str">
            <v>Nr</v>
          </cell>
        </row>
        <row r="807">
          <cell r="C807" t="str">
            <v>COMMUNICATIONS (5L)</v>
          </cell>
        </row>
        <row r="808">
          <cell r="C808" t="str">
            <v>Audio_Visual_Plasma_screens</v>
          </cell>
          <cell r="K808">
            <v>0</v>
          </cell>
          <cell r="N808" t="str">
            <v>Nr</v>
          </cell>
          <cell r="P808" t="str">
            <v>Audio Visual Plasma screens</v>
          </cell>
          <cell r="Q808">
            <v>0</v>
          </cell>
          <cell r="R808" t="str">
            <v>Nr</v>
          </cell>
        </row>
        <row r="809">
          <cell r="C809" t="str">
            <v>Audio_Visual_Projectors</v>
          </cell>
          <cell r="K809">
            <v>0</v>
          </cell>
          <cell r="N809" t="str">
            <v>Nr</v>
          </cell>
          <cell r="P809" t="str">
            <v>Audio Visual Projectors</v>
          </cell>
          <cell r="Q809">
            <v>0</v>
          </cell>
          <cell r="R809" t="str">
            <v>Nr</v>
          </cell>
        </row>
        <row r="810">
          <cell r="C810" t="str">
            <v>Audio_Visual_Room_installations</v>
          </cell>
          <cell r="K810">
            <v>0</v>
          </cell>
          <cell r="N810" t="str">
            <v>Nr</v>
          </cell>
          <cell r="P810" t="str">
            <v>Audio Visual Room installations</v>
          </cell>
          <cell r="Q810">
            <v>0</v>
          </cell>
          <cell r="R810" t="str">
            <v>Nr</v>
          </cell>
        </row>
        <row r="811">
          <cell r="C811" t="str">
            <v>Data_cabinets</v>
          </cell>
          <cell r="K811">
            <v>0</v>
          </cell>
          <cell r="N811" t="str">
            <v>Nr</v>
          </cell>
          <cell r="P811" t="str">
            <v xml:space="preserve">Data: cabinets </v>
          </cell>
          <cell r="Q811">
            <v>0</v>
          </cell>
          <cell r="R811" t="str">
            <v>Nr</v>
          </cell>
        </row>
        <row r="812">
          <cell r="C812" t="str">
            <v>Data_Patching_frames</v>
          </cell>
          <cell r="K812">
            <v>0</v>
          </cell>
          <cell r="N812" t="str">
            <v>Nr</v>
          </cell>
          <cell r="P812" t="str">
            <v xml:space="preserve">Data: Patching frames </v>
          </cell>
          <cell r="Q812">
            <v>0</v>
          </cell>
          <cell r="R812" t="str">
            <v>Nr</v>
          </cell>
        </row>
        <row r="814">
          <cell r="C814" t="str">
            <v>SPECIAL INSTALLATIONS (5M)</v>
          </cell>
        </row>
        <row r="815">
          <cell r="C815" t="str">
            <v>Special_</v>
          </cell>
          <cell r="K815">
            <v>0</v>
          </cell>
          <cell r="N815" t="str">
            <v>Nr</v>
          </cell>
          <cell r="P815" t="str">
            <v xml:space="preserve">Special: </v>
          </cell>
          <cell r="Q815">
            <v>0</v>
          </cell>
          <cell r="R815" t="str">
            <v>Nr</v>
          </cell>
        </row>
        <row r="817">
          <cell r="C817" t="str">
            <v>SITEWORKS (6A)</v>
          </cell>
        </row>
        <row r="819">
          <cell r="C819" t="str">
            <v>Siteworks</v>
          </cell>
          <cell r="K819">
            <v>9161</v>
          </cell>
          <cell r="N819" t="str">
            <v>m²</v>
          </cell>
          <cell r="P819" t="str">
            <v>Siteworks area</v>
          </cell>
          <cell r="Q819">
            <v>9161</v>
          </cell>
          <cell r="R819" t="str">
            <v>m²</v>
          </cell>
        </row>
        <row r="820">
          <cell r="G820">
            <v>11000</v>
          </cell>
          <cell r="H820">
            <v>1</v>
          </cell>
          <cell r="K820">
            <v>11000</v>
          </cell>
          <cell r="O820" t="str">
            <v>Site_area</v>
          </cell>
        </row>
        <row r="821">
          <cell r="F821">
            <v>-1</v>
          </cell>
          <cell r="G821">
            <v>1839</v>
          </cell>
          <cell r="H821">
            <v>1</v>
          </cell>
          <cell r="K821">
            <v>-1839</v>
          </cell>
          <cell r="O821" t="str">
            <v>Ground_slab</v>
          </cell>
        </row>
        <row r="822">
          <cell r="K822">
            <v>0</v>
          </cell>
        </row>
        <row r="823">
          <cell r="K823">
            <v>0</v>
          </cell>
        </row>
        <row r="824">
          <cell r="K824">
            <v>0</v>
          </cell>
        </row>
        <row r="825">
          <cell r="K825">
            <v>0</v>
          </cell>
        </row>
        <row r="826">
          <cell r="N826" t="str">
            <v>End</v>
          </cell>
        </row>
        <row r="828">
          <cell r="C828" t="str">
            <v>Siteworks_roads</v>
          </cell>
          <cell r="K828">
            <v>940</v>
          </cell>
          <cell r="N828" t="str">
            <v>m²</v>
          </cell>
          <cell r="P828" t="str">
            <v>Surface: roads</v>
          </cell>
          <cell r="Q828">
            <v>940</v>
          </cell>
          <cell r="R828" t="str">
            <v>m²</v>
          </cell>
        </row>
        <row r="829">
          <cell r="C829" t="str">
            <v>Siteworks_car_parking</v>
          </cell>
          <cell r="K829">
            <v>0</v>
          </cell>
          <cell r="N829" t="str">
            <v>m²</v>
          </cell>
          <cell r="P829" t="str">
            <v>Surface: car parking</v>
          </cell>
          <cell r="Q829">
            <v>0</v>
          </cell>
          <cell r="R829" t="str">
            <v>m²</v>
          </cell>
        </row>
        <row r="830">
          <cell r="C830" t="str">
            <v>Siteworks_paving_tarmac</v>
          </cell>
          <cell r="K830">
            <v>1928</v>
          </cell>
          <cell r="N830" t="str">
            <v>m²</v>
          </cell>
          <cell r="P830" t="str">
            <v>Surface: tarmac paving</v>
          </cell>
          <cell r="Q830">
            <v>1928</v>
          </cell>
          <cell r="R830" t="str">
            <v>m²</v>
          </cell>
        </row>
        <row r="831">
          <cell r="C831" t="str">
            <v>Siteworks_paving_safety</v>
          </cell>
          <cell r="K831">
            <v>295</v>
          </cell>
          <cell r="N831" t="str">
            <v>m²</v>
          </cell>
          <cell r="P831" t="str">
            <v>Surface: safety paving</v>
          </cell>
          <cell r="Q831">
            <v>295</v>
          </cell>
          <cell r="R831" t="str">
            <v>m²</v>
          </cell>
        </row>
        <row r="832">
          <cell r="C832" t="str">
            <v>Siteworks_paving_TimberTech</v>
          </cell>
          <cell r="K832">
            <v>100</v>
          </cell>
          <cell r="N832" t="str">
            <v>m²</v>
          </cell>
          <cell r="P832" t="str">
            <v>Surface: Timber Tech paving</v>
          </cell>
          <cell r="Q832">
            <v>100</v>
          </cell>
          <cell r="R832" t="str">
            <v>m²</v>
          </cell>
        </row>
        <row r="833">
          <cell r="C833" t="str">
            <v>Siteworks_paving_slabs</v>
          </cell>
          <cell r="K833">
            <v>170</v>
          </cell>
          <cell r="N833" t="str">
            <v>m²</v>
          </cell>
          <cell r="P833" t="str">
            <v>Surface: paving slabs</v>
          </cell>
          <cell r="Q833">
            <v>170</v>
          </cell>
          <cell r="R833" t="str">
            <v>m²</v>
          </cell>
        </row>
        <row r="834">
          <cell r="C834" t="str">
            <v>Siteworks_paving_block</v>
          </cell>
          <cell r="K834">
            <v>93</v>
          </cell>
          <cell r="N834" t="str">
            <v>m²</v>
          </cell>
          <cell r="P834" t="str">
            <v>Surface: block paving</v>
          </cell>
          <cell r="Q834">
            <v>93</v>
          </cell>
          <cell r="R834" t="str">
            <v>m²</v>
          </cell>
        </row>
        <row r="835">
          <cell r="C835" t="str">
            <v>Siteworks_paving_block_grascrete</v>
          </cell>
          <cell r="K835">
            <v>0</v>
          </cell>
          <cell r="N835" t="str">
            <v>m²</v>
          </cell>
          <cell r="P835" t="str">
            <v>Surface: block paving grascrete</v>
          </cell>
          <cell r="Q835">
            <v>0</v>
          </cell>
          <cell r="R835" t="str">
            <v>m²</v>
          </cell>
        </row>
        <row r="836">
          <cell r="C836" t="str">
            <v>Siteworks_planting</v>
          </cell>
          <cell r="K836">
            <v>200</v>
          </cell>
          <cell r="N836" t="str">
            <v>m²</v>
          </cell>
          <cell r="P836" t="str">
            <v>Surface: planting</v>
          </cell>
          <cell r="Q836">
            <v>200</v>
          </cell>
          <cell r="R836" t="str">
            <v>m²</v>
          </cell>
        </row>
        <row r="837">
          <cell r="C837" t="str">
            <v>Siteworks_grass_seed</v>
          </cell>
          <cell r="K837">
            <v>1454</v>
          </cell>
          <cell r="N837" t="str">
            <v>m²</v>
          </cell>
          <cell r="P837" t="str">
            <v>Surface: grass seed</v>
          </cell>
          <cell r="Q837">
            <v>1454</v>
          </cell>
          <cell r="R837" t="str">
            <v>m²</v>
          </cell>
        </row>
        <row r="838">
          <cell r="C838" t="str">
            <v>Siteworks_grass_turf</v>
          </cell>
          <cell r="K838">
            <v>622</v>
          </cell>
          <cell r="N838" t="str">
            <v>m²</v>
          </cell>
          <cell r="P838" t="str">
            <v>Surface: grass turf</v>
          </cell>
          <cell r="Q838">
            <v>622</v>
          </cell>
          <cell r="R838" t="str">
            <v>m²</v>
          </cell>
        </row>
        <row r="839">
          <cell r="C839" t="str">
            <v>Siteworks_unallocated</v>
          </cell>
          <cell r="K839">
            <v>3359</v>
          </cell>
          <cell r="N839" t="str">
            <v>m²</v>
          </cell>
          <cell r="P839" t="str">
            <v>Surface: grass</v>
          </cell>
          <cell r="Q839">
            <v>3359</v>
          </cell>
          <cell r="R839" t="str">
            <v>m²</v>
          </cell>
        </row>
        <row r="840">
          <cell r="C840" t="str">
            <v>Siteworks_check_total</v>
          </cell>
          <cell r="K840">
            <v>9161</v>
          </cell>
          <cell r="N840" t="str">
            <v>m²</v>
          </cell>
          <cell r="P840" t="str">
            <v>Surface: total check area</v>
          </cell>
          <cell r="Q840">
            <v>9161</v>
          </cell>
          <cell r="R840" t="str">
            <v>m²</v>
          </cell>
        </row>
        <row r="841">
          <cell r="C841" t="str">
            <v>Car_spaces</v>
          </cell>
          <cell r="K841">
            <v>40</v>
          </cell>
          <cell r="N841" t="str">
            <v>Nr</v>
          </cell>
          <cell r="P841" t="str">
            <v>Car spaces</v>
          </cell>
          <cell r="Q841">
            <v>40</v>
          </cell>
          <cell r="R841" t="str">
            <v>Nr</v>
          </cell>
        </row>
        <row r="842">
          <cell r="C842" t="str">
            <v>Car_space_area_per_space</v>
          </cell>
          <cell r="K842">
            <v>22.5</v>
          </cell>
          <cell r="N842" t="str">
            <v>m²</v>
          </cell>
          <cell r="P842" t="str">
            <v>Car space area / space</v>
          </cell>
          <cell r="Q842">
            <v>22.5</v>
          </cell>
          <cell r="R842" t="str">
            <v>m²</v>
          </cell>
        </row>
        <row r="843">
          <cell r="C843" t="str">
            <v>Siteworks_kerbs_Roads</v>
          </cell>
          <cell r="K843">
            <v>155</v>
          </cell>
          <cell r="N843" t="str">
            <v>m</v>
          </cell>
          <cell r="P843" t="str">
            <v>Surface: Road Kerb</v>
          </cell>
          <cell r="Q843">
            <v>155</v>
          </cell>
          <cell r="R843" t="str">
            <v>m</v>
          </cell>
        </row>
        <row r="844">
          <cell r="C844" t="str">
            <v>Siteworks_kerbs_paving</v>
          </cell>
          <cell r="K844">
            <v>223</v>
          </cell>
          <cell r="N844" t="str">
            <v>m</v>
          </cell>
          <cell r="P844" t="str">
            <v>Surface: paving Kerb</v>
          </cell>
          <cell r="Q844">
            <v>223</v>
          </cell>
          <cell r="R844" t="str">
            <v>m</v>
          </cell>
        </row>
        <row r="845">
          <cell r="C845" t="str">
            <v>Siteworks_road_paint</v>
          </cell>
          <cell r="K845">
            <v>0</v>
          </cell>
          <cell r="N845" t="str">
            <v>m</v>
          </cell>
          <cell r="P845" t="str">
            <v>Surface: road paint</v>
          </cell>
          <cell r="Q845">
            <v>0</v>
          </cell>
          <cell r="R845" t="str">
            <v>m</v>
          </cell>
        </row>
        <row r="846">
          <cell r="C846" t="str">
            <v>Site_works_grading</v>
          </cell>
          <cell r="K846">
            <v>0</v>
          </cell>
          <cell r="N846" t="str">
            <v>m²</v>
          </cell>
          <cell r="P846" t="str">
            <v>Site works: grading</v>
          </cell>
          <cell r="Q846">
            <v>0</v>
          </cell>
          <cell r="R846" t="str">
            <v>m²</v>
          </cell>
        </row>
        <row r="847">
          <cell r="C847" t="str">
            <v>Siteworks_steps</v>
          </cell>
          <cell r="K847">
            <v>21</v>
          </cell>
          <cell r="N847" t="str">
            <v>m²</v>
          </cell>
          <cell r="P847" t="str">
            <v>Site works: steps</v>
          </cell>
          <cell r="Q847">
            <v>21</v>
          </cell>
          <cell r="R847" t="str">
            <v>m²</v>
          </cell>
        </row>
        <row r="848">
          <cell r="C848" t="str">
            <v>Siteworks_steps_handrails</v>
          </cell>
          <cell r="K848">
            <v>12</v>
          </cell>
          <cell r="N848" t="str">
            <v>m</v>
          </cell>
          <cell r="P848" t="str">
            <v>Siteworks: handrails to stepsgrading</v>
          </cell>
          <cell r="Q848">
            <v>12</v>
          </cell>
          <cell r="R848" t="str">
            <v>m</v>
          </cell>
        </row>
        <row r="849">
          <cell r="C849" t="str">
            <v>Planting_trees</v>
          </cell>
          <cell r="K849">
            <v>0</v>
          </cell>
          <cell r="N849" t="str">
            <v>Nr</v>
          </cell>
          <cell r="P849" t="str">
            <v>Planting trees</v>
          </cell>
          <cell r="Q849">
            <v>0</v>
          </cell>
          <cell r="R849" t="str">
            <v>Nr</v>
          </cell>
        </row>
        <row r="850">
          <cell r="C850" t="str">
            <v>Fencing_brick_wall</v>
          </cell>
          <cell r="K850">
            <v>0</v>
          </cell>
          <cell r="N850" t="str">
            <v>m</v>
          </cell>
          <cell r="P850" t="str">
            <v>Brick screen walls</v>
          </cell>
          <cell r="Q850">
            <v>0</v>
          </cell>
          <cell r="R850" t="str">
            <v>m</v>
          </cell>
        </row>
        <row r="851">
          <cell r="C851" t="str">
            <v>Fencing_palisade</v>
          </cell>
          <cell r="K851">
            <v>166</v>
          </cell>
          <cell r="N851" t="str">
            <v>m</v>
          </cell>
          <cell r="P851" t="str">
            <v>Palisade fencing</v>
          </cell>
          <cell r="Q851">
            <v>166</v>
          </cell>
          <cell r="R851" t="str">
            <v>m</v>
          </cell>
        </row>
        <row r="852">
          <cell r="C852" t="str">
            <v>Fencing_palisade_gates</v>
          </cell>
          <cell r="K852">
            <v>1</v>
          </cell>
          <cell r="N852" t="str">
            <v>Nr</v>
          </cell>
          <cell r="P852" t="str">
            <v>Palisade fencing gates</v>
          </cell>
          <cell r="Q852">
            <v>1</v>
          </cell>
          <cell r="R852" t="str">
            <v>Nr</v>
          </cell>
        </row>
        <row r="853">
          <cell r="C853" t="str">
            <v>Fencing_timber_low</v>
          </cell>
          <cell r="K853">
            <v>15</v>
          </cell>
          <cell r="N853" t="str">
            <v>m</v>
          </cell>
          <cell r="P853" t="str">
            <v>Palisade fencing</v>
          </cell>
          <cell r="Q853">
            <v>15</v>
          </cell>
          <cell r="R853" t="str">
            <v>m</v>
          </cell>
        </row>
        <row r="854">
          <cell r="C854" t="str">
            <v>Fencing_timber_low_gates</v>
          </cell>
          <cell r="K854">
            <v>1</v>
          </cell>
          <cell r="N854" t="str">
            <v>Nr</v>
          </cell>
          <cell r="P854" t="str">
            <v>Fencing: gates</v>
          </cell>
          <cell r="Q854">
            <v>1</v>
          </cell>
          <cell r="R854" t="str">
            <v>Nr</v>
          </cell>
        </row>
        <row r="855">
          <cell r="C855" t="str">
            <v>Siteworks_Walls</v>
          </cell>
          <cell r="K855">
            <v>60</v>
          </cell>
          <cell r="N855" t="str">
            <v>m</v>
          </cell>
          <cell r="P855" t="str">
            <v>Siteworks, walls</v>
          </cell>
          <cell r="Q855">
            <v>60</v>
          </cell>
          <cell r="R855" t="str">
            <v>m</v>
          </cell>
        </row>
        <row r="856">
          <cell r="C856" t="str">
            <v>Siteworks_seats</v>
          </cell>
          <cell r="K856">
            <v>59</v>
          </cell>
          <cell r="N856" t="str">
            <v>Nr</v>
          </cell>
          <cell r="P856" t="str">
            <v>Siteworks, seats</v>
          </cell>
          <cell r="Q856">
            <v>59</v>
          </cell>
          <cell r="R856" t="str">
            <v>Nr</v>
          </cell>
        </row>
        <row r="857">
          <cell r="C857" t="str">
            <v>Siteworks_cycle_stands</v>
          </cell>
          <cell r="K857">
            <v>11</v>
          </cell>
          <cell r="N857" t="str">
            <v>Nr</v>
          </cell>
          <cell r="P857" t="str">
            <v>Siteworks, cycle stands</v>
          </cell>
          <cell r="Q857">
            <v>11</v>
          </cell>
          <cell r="R857" t="str">
            <v>Nr</v>
          </cell>
        </row>
        <row r="858">
          <cell r="C858" t="str">
            <v>Siteworks_play_spring_animals</v>
          </cell>
          <cell r="K858">
            <v>3</v>
          </cell>
          <cell r="N858" t="str">
            <v>Nr</v>
          </cell>
          <cell r="P858" t="str">
            <v>Play equipment, spring animals</v>
          </cell>
          <cell r="Q858">
            <v>3</v>
          </cell>
          <cell r="R858" t="str">
            <v>Nr</v>
          </cell>
        </row>
        <row r="859">
          <cell r="C859" t="str">
            <v>Siteworks_play_climbing_frames</v>
          </cell>
          <cell r="K859">
            <v>3</v>
          </cell>
          <cell r="N859" t="str">
            <v>Nr</v>
          </cell>
          <cell r="P859" t="str">
            <v>Play equipment, climbing frames</v>
          </cell>
          <cell r="Q859">
            <v>3</v>
          </cell>
          <cell r="R859" t="str">
            <v>Nr</v>
          </cell>
        </row>
        <row r="860">
          <cell r="C860" t="str">
            <v>Siteworks_play_shelter</v>
          </cell>
          <cell r="K860">
            <v>3</v>
          </cell>
          <cell r="N860" t="str">
            <v>m²</v>
          </cell>
          <cell r="P860" t="str">
            <v>Play equipment, shelter</v>
          </cell>
          <cell r="Q860">
            <v>44</v>
          </cell>
          <cell r="R860" t="str">
            <v>m²</v>
          </cell>
        </row>
        <row r="862">
          <cell r="C862" t="str">
            <v>DRAINAGE (6B)</v>
          </cell>
        </row>
        <row r="863">
          <cell r="C863" t="str">
            <v>Drainage_m/sitearea</v>
          </cell>
          <cell r="K863">
            <v>6.6666666666666666E-2</v>
          </cell>
          <cell r="N863" t="str">
            <v>m/m²</v>
          </cell>
          <cell r="P863" t="str">
            <v>Drainage: Drain, metres/site</v>
          </cell>
          <cell r="Q863">
            <v>6.6666666666666666E-2</v>
          </cell>
          <cell r="R863" t="str">
            <v>m/m²</v>
          </cell>
        </row>
        <row r="864">
          <cell r="C864" t="str">
            <v>Drainage_pipe_100</v>
          </cell>
          <cell r="K864">
            <v>158</v>
          </cell>
          <cell r="N864" t="str">
            <v>m</v>
          </cell>
          <cell r="P864" t="str">
            <v>Drainage pipe; 100 dia</v>
          </cell>
          <cell r="Q864">
            <v>158</v>
          </cell>
          <cell r="R864" t="str">
            <v>m</v>
          </cell>
        </row>
        <row r="865">
          <cell r="C865" t="str">
            <v>Drainage_pipe_150</v>
          </cell>
          <cell r="K865">
            <v>252</v>
          </cell>
          <cell r="N865" t="str">
            <v>m</v>
          </cell>
          <cell r="P865" t="str">
            <v>Drainage pipe; 150 dia</v>
          </cell>
          <cell r="Q865">
            <v>252</v>
          </cell>
          <cell r="R865" t="str">
            <v>m</v>
          </cell>
        </row>
        <row r="866">
          <cell r="C866" t="str">
            <v>Drainage_pipe_225</v>
          </cell>
          <cell r="K866">
            <v>42</v>
          </cell>
          <cell r="N866" t="str">
            <v>m</v>
          </cell>
          <cell r="P866" t="str">
            <v>Drainage pipe; 225 dia</v>
          </cell>
          <cell r="Q866">
            <v>42</v>
          </cell>
          <cell r="R866" t="str">
            <v>m</v>
          </cell>
        </row>
        <row r="867">
          <cell r="C867" t="str">
            <v>Drainage_Manhole/sitearea</v>
          </cell>
          <cell r="K867">
            <v>5.0000000000000001E-3</v>
          </cell>
          <cell r="N867" t="str">
            <v>Nr/m²</v>
          </cell>
          <cell r="P867" t="str">
            <v>Drainage: Manholes per site area</v>
          </cell>
          <cell r="Q867">
            <v>5.0000000000000001E-3</v>
          </cell>
          <cell r="R867" t="str">
            <v>Nr/m²</v>
          </cell>
        </row>
        <row r="868">
          <cell r="C868" t="str">
            <v>Drainage_Manhole_shallow</v>
          </cell>
          <cell r="K868">
            <v>0</v>
          </cell>
          <cell r="N868" t="str">
            <v>Nr</v>
          </cell>
          <cell r="P868" t="str">
            <v>Drainage: Manhole, shallow</v>
          </cell>
          <cell r="Q868">
            <v>0</v>
          </cell>
          <cell r="R868" t="str">
            <v>Nr</v>
          </cell>
        </row>
        <row r="869">
          <cell r="C869" t="str">
            <v>Drainage_Manhole_intermediate</v>
          </cell>
          <cell r="K869">
            <v>5</v>
          </cell>
          <cell r="N869" t="str">
            <v>Nr</v>
          </cell>
          <cell r="P869" t="str">
            <v>Drainage: Manhole, intermediate</v>
          </cell>
          <cell r="Q869">
            <v>5</v>
          </cell>
          <cell r="R869" t="str">
            <v>Nr</v>
          </cell>
        </row>
        <row r="870">
          <cell r="C870" t="str">
            <v>Drainage_Manhole_deep</v>
          </cell>
          <cell r="K870">
            <v>0</v>
          </cell>
          <cell r="N870" t="str">
            <v>Nr</v>
          </cell>
          <cell r="P870" t="str">
            <v>Drainage: Manhole, deep</v>
          </cell>
          <cell r="Q870">
            <v>0</v>
          </cell>
          <cell r="R870" t="str">
            <v>Nr</v>
          </cell>
        </row>
        <row r="871">
          <cell r="C871" t="str">
            <v>Drainage_Inspection_chambers</v>
          </cell>
          <cell r="K871">
            <v>6</v>
          </cell>
          <cell r="N871" t="str">
            <v>Nr</v>
          </cell>
          <cell r="P871" t="str">
            <v>Drainage: Inspection chambers</v>
          </cell>
          <cell r="Q871">
            <v>6</v>
          </cell>
          <cell r="R871" t="str">
            <v>Nr</v>
          </cell>
        </row>
        <row r="872">
          <cell r="C872" t="str">
            <v>Drainage_soakaways</v>
          </cell>
          <cell r="K872">
            <v>3</v>
          </cell>
          <cell r="N872" t="str">
            <v>Nr</v>
          </cell>
          <cell r="P872" t="str">
            <v>Drainage: soakaways</v>
          </cell>
          <cell r="Q872">
            <v>3</v>
          </cell>
          <cell r="R872" t="str">
            <v>Nr</v>
          </cell>
        </row>
        <row r="873">
          <cell r="C873" t="str">
            <v>Drainage_Channel</v>
          </cell>
          <cell r="K873">
            <v>0</v>
          </cell>
          <cell r="N873" t="str">
            <v>m</v>
          </cell>
          <cell r="P873" t="str">
            <v>Drainage: Channel</v>
          </cell>
          <cell r="Q873">
            <v>0</v>
          </cell>
          <cell r="R873" t="str">
            <v>m</v>
          </cell>
        </row>
        <row r="875">
          <cell r="C875" t="str">
            <v>EXTERNAL SERVICES (6C)</v>
          </cell>
        </row>
        <row r="876">
          <cell r="C876" t="str">
            <v>Services_Trench_water</v>
          </cell>
          <cell r="K876">
            <v>0</v>
          </cell>
          <cell r="N876" t="str">
            <v>m</v>
          </cell>
          <cell r="P876" t="str">
            <v>Services: Trench water</v>
          </cell>
          <cell r="Q876">
            <v>0</v>
          </cell>
          <cell r="R876" t="str">
            <v>m</v>
          </cell>
        </row>
        <row r="877">
          <cell r="C877" t="str">
            <v>Services_Trench_electrical</v>
          </cell>
          <cell r="K877">
            <v>0</v>
          </cell>
          <cell r="N877" t="str">
            <v>m</v>
          </cell>
          <cell r="P877" t="str">
            <v>Services: Trench electrical</v>
          </cell>
          <cell r="Q877">
            <v>0</v>
          </cell>
          <cell r="R877" t="str">
            <v>m</v>
          </cell>
        </row>
        <row r="878">
          <cell r="C878" t="str">
            <v>Services_Cable_pits</v>
          </cell>
          <cell r="K878">
            <v>0</v>
          </cell>
          <cell r="N878" t="str">
            <v>Nr</v>
          </cell>
          <cell r="P878" t="str">
            <v>Services: Cable pits</v>
          </cell>
          <cell r="Q878">
            <v>0</v>
          </cell>
          <cell r="R878" t="str">
            <v>Nr</v>
          </cell>
        </row>
        <row r="880">
          <cell r="C880" t="str">
            <v>MINOR STRUCTURES (6D)</v>
          </cell>
        </row>
        <row r="881">
          <cell r="C881" t="str">
            <v>Minor_Bin_store</v>
          </cell>
          <cell r="K881">
            <v>0</v>
          </cell>
          <cell r="N881" t="str">
            <v>m²</v>
          </cell>
          <cell r="P881" t="str">
            <v>Minor struc.: bin store</v>
          </cell>
          <cell r="Q881">
            <v>0</v>
          </cell>
          <cell r="R881" t="str">
            <v>m²</v>
          </cell>
        </row>
        <row r="882">
          <cell r="C882" t="str">
            <v>Minor_generator_enclosure</v>
          </cell>
          <cell r="K882">
            <v>0</v>
          </cell>
          <cell r="N882" t="str">
            <v>Nr</v>
          </cell>
          <cell r="P882" t="str">
            <v>Minor struc.: generator enclosure</v>
          </cell>
          <cell r="Q882">
            <v>0</v>
          </cell>
          <cell r="R882" t="str">
            <v>Nr</v>
          </cell>
        </row>
        <row r="883">
          <cell r="C883" t="str">
            <v>Minor_substations</v>
          </cell>
          <cell r="K883">
            <v>0</v>
          </cell>
          <cell r="N883" t="str">
            <v>Nr</v>
          </cell>
          <cell r="P883" t="str">
            <v>Minor struc.:  sub station enclosure</v>
          </cell>
          <cell r="Q883">
            <v>0</v>
          </cell>
          <cell r="R883" t="str">
            <v>Nr</v>
          </cell>
        </row>
        <row r="884">
          <cell r="C884" t="str">
            <v>Minor_cycle_stores</v>
          </cell>
          <cell r="K884">
            <v>0</v>
          </cell>
          <cell r="N884" t="str">
            <v>Nr</v>
          </cell>
          <cell r="P884" t="str">
            <v>Minor struc.:  cycle stores</v>
          </cell>
          <cell r="Q884">
            <v>0</v>
          </cell>
          <cell r="R884" t="str">
            <v>Nr</v>
          </cell>
        </row>
        <row r="886">
          <cell r="C886" t="str">
            <v>OTHER CAPITAL COSTS</v>
          </cell>
          <cell r="N886" t="str">
            <v>Nr</v>
          </cell>
          <cell r="Q886">
            <v>0</v>
          </cell>
          <cell r="R886" t="str">
            <v>Nr</v>
          </cell>
        </row>
        <row r="887">
          <cell r="C887" t="str">
            <v>IT_PCs</v>
          </cell>
          <cell r="K887">
            <v>0</v>
          </cell>
          <cell r="N887" t="str">
            <v>Nr</v>
          </cell>
          <cell r="P887" t="str">
            <v>IT: PCs</v>
          </cell>
          <cell r="Q887">
            <v>0</v>
          </cell>
          <cell r="R887" t="str">
            <v>Nr</v>
          </cell>
        </row>
        <row r="888">
          <cell r="C888" t="str">
            <v>IT_PCs_Super_users</v>
          </cell>
          <cell r="K888">
            <v>0</v>
          </cell>
          <cell r="N888" t="str">
            <v>Nr</v>
          </cell>
          <cell r="P888" t="str">
            <v>IT: PCs Super users</v>
          </cell>
          <cell r="Q888">
            <v>0</v>
          </cell>
          <cell r="R888" t="str">
            <v>Nr</v>
          </cell>
        </row>
        <row r="889">
          <cell r="C889" t="str">
            <v>IT_Other_PCs_(training_etc)</v>
          </cell>
          <cell r="K889">
            <v>0</v>
          </cell>
          <cell r="N889" t="str">
            <v>Nr</v>
          </cell>
          <cell r="P889" t="str">
            <v>IT: Other PCs (training etc)</v>
          </cell>
          <cell r="Q889">
            <v>0</v>
          </cell>
          <cell r="R889" t="str">
            <v>Nr</v>
          </cell>
        </row>
        <row r="890">
          <cell r="C890" t="str">
            <v>IT_Network_switch_User_connections</v>
          </cell>
          <cell r="K890">
            <v>0</v>
          </cell>
          <cell r="N890" t="str">
            <v>Nr</v>
          </cell>
          <cell r="P890" t="str">
            <v>IT: Network switch User connections</v>
          </cell>
          <cell r="Q890">
            <v>0</v>
          </cell>
          <cell r="R890" t="str">
            <v>Nr</v>
          </cell>
        </row>
        <row r="891">
          <cell r="C891" t="str">
            <v>IT_Network_switch_Core_connections</v>
          </cell>
          <cell r="K891">
            <v>0</v>
          </cell>
          <cell r="N891" t="str">
            <v>Nr</v>
          </cell>
          <cell r="P891" t="str">
            <v>IT: Network switch Core connections</v>
          </cell>
          <cell r="Q891">
            <v>0</v>
          </cell>
          <cell r="R891" t="str">
            <v>Nr</v>
          </cell>
        </row>
        <row r="892">
          <cell r="C892" t="str">
            <v>Process_equipment_storage</v>
          </cell>
          <cell r="K892">
            <v>0</v>
          </cell>
          <cell r="N892" t="str">
            <v>Nr</v>
          </cell>
          <cell r="P892" t="str">
            <v>Process equipment: storage</v>
          </cell>
          <cell r="Q892">
            <v>0</v>
          </cell>
          <cell r="R892" t="str">
            <v>Nr</v>
          </cell>
        </row>
        <row r="894">
          <cell r="C894" t="str">
            <v>SPECIFICATION OPTIONS</v>
          </cell>
          <cell r="P894" t="str">
            <v>SPECIFICATION OPTIONS</v>
          </cell>
          <cell r="Q894">
            <v>0</v>
          </cell>
          <cell r="R894">
            <v>0</v>
          </cell>
        </row>
        <row r="895">
          <cell r="C895" t="str">
            <v>Option_Fit_out_CAT_A</v>
          </cell>
          <cell r="K895" t="str">
            <v>I</v>
          </cell>
          <cell r="N895" t="str">
            <v>I or X</v>
          </cell>
          <cell r="P895" t="str">
            <v>Optional Cat "A" fit out</v>
          </cell>
          <cell r="Q895" t="str">
            <v>I</v>
          </cell>
          <cell r="R895" t="str">
            <v>I or X</v>
          </cell>
        </row>
        <row r="896">
          <cell r="C896" t="str">
            <v>Option_Infrastructure</v>
          </cell>
          <cell r="K896" t="str">
            <v>I</v>
          </cell>
          <cell r="N896" t="str">
            <v>I or X</v>
          </cell>
          <cell r="P896" t="str">
            <v>Optional Infrastructure costs</v>
          </cell>
          <cell r="Q896" t="str">
            <v>I</v>
          </cell>
          <cell r="R896" t="str">
            <v>I or X</v>
          </cell>
        </row>
        <row r="897">
          <cell r="C897" t="str">
            <v>Option_Fit_out_Enhanced</v>
          </cell>
          <cell r="K897" t="str">
            <v>i</v>
          </cell>
          <cell r="N897" t="str">
            <v>I or X</v>
          </cell>
          <cell r="P897" t="str">
            <v>Optional Enhanced fit out</v>
          </cell>
          <cell r="Q897" t="str">
            <v>i</v>
          </cell>
          <cell r="R897" t="str">
            <v>I or X</v>
          </cell>
        </row>
        <row r="898">
          <cell r="C898" t="str">
            <v>Option_Furniture</v>
          </cell>
          <cell r="K898" t="str">
            <v>X</v>
          </cell>
          <cell r="N898" t="str">
            <v>I or X</v>
          </cell>
          <cell r="P898" t="str">
            <v>Optional furniture</v>
          </cell>
          <cell r="Q898" t="str">
            <v>X</v>
          </cell>
          <cell r="R898" t="str">
            <v>I or X</v>
          </cell>
        </row>
        <row r="899">
          <cell r="C899" t="str">
            <v>Option_IT</v>
          </cell>
          <cell r="K899" t="str">
            <v>X</v>
          </cell>
          <cell r="N899" t="str">
            <v>I or X</v>
          </cell>
          <cell r="P899" t="str">
            <v>Optional IT</v>
          </cell>
          <cell r="Q899" t="str">
            <v>X</v>
          </cell>
          <cell r="R899" t="str">
            <v>I or X</v>
          </cell>
        </row>
        <row r="900">
          <cell r="C900" t="str">
            <v>Option_Professional_Fees</v>
          </cell>
          <cell r="K900" t="str">
            <v>X</v>
          </cell>
          <cell r="N900" t="str">
            <v>I or X</v>
          </cell>
          <cell r="P900" t="str">
            <v>Optional professional fees</v>
          </cell>
          <cell r="Q900" t="str">
            <v>x</v>
          </cell>
          <cell r="R900" t="str">
            <v>I or X</v>
          </cell>
        </row>
        <row r="902">
          <cell r="C902" t="str">
            <v>MAINTENANCE</v>
          </cell>
          <cell r="P902" t="str">
            <v>MAINTENANCE</v>
          </cell>
          <cell r="Q902">
            <v>0</v>
          </cell>
          <cell r="R902">
            <v>0</v>
          </cell>
        </row>
        <row r="903">
          <cell r="C903" t="str">
            <v>Bulb_life</v>
          </cell>
          <cell r="K903">
            <v>5000</v>
          </cell>
          <cell r="N903" t="str">
            <v>Hours</v>
          </cell>
          <cell r="P903" t="str">
            <v>Bulb life</v>
          </cell>
          <cell r="Q903">
            <v>5000</v>
          </cell>
          <cell r="R903" t="str">
            <v>Hours</v>
          </cell>
        </row>
        <row r="904">
          <cell r="C904" t="str">
            <v>Florescent_tubes</v>
          </cell>
          <cell r="K904">
            <v>0</v>
          </cell>
          <cell r="N904" t="str">
            <v>Nr</v>
          </cell>
          <cell r="P904" t="str">
            <v>Florescent tubes</v>
          </cell>
          <cell r="Q904">
            <v>0</v>
          </cell>
          <cell r="R904" t="str">
            <v>Nr</v>
          </cell>
        </row>
        <row r="905">
          <cell r="C905" t="str">
            <v>Recessed_spotlights</v>
          </cell>
          <cell r="K905">
            <v>0</v>
          </cell>
          <cell r="N905" t="str">
            <v>Nr</v>
          </cell>
          <cell r="P905" t="str">
            <v>Recessed spotlights</v>
          </cell>
          <cell r="Q905">
            <v>0</v>
          </cell>
          <cell r="R905" t="str">
            <v>Nr</v>
          </cell>
        </row>
        <row r="906">
          <cell r="C906" t="str">
            <v>High_Bay_lights</v>
          </cell>
          <cell r="K906">
            <v>0</v>
          </cell>
          <cell r="N906" t="str">
            <v>Nr</v>
          </cell>
          <cell r="P906" t="str">
            <v>High Bay lights</v>
          </cell>
          <cell r="Q906">
            <v>0</v>
          </cell>
          <cell r="R906" t="str">
            <v>Nr</v>
          </cell>
        </row>
        <row r="907">
          <cell r="C907" t="str">
            <v>Lighting_bulb_hours_per_year</v>
          </cell>
          <cell r="K907">
            <v>763360</v>
          </cell>
          <cell r="N907" t="str">
            <v>Nr</v>
          </cell>
          <cell r="P907" t="str">
            <v>Lighting; total Bulb hours per year</v>
          </cell>
          <cell r="Q907">
            <v>763360</v>
          </cell>
          <cell r="R907" t="str">
            <v>Nr</v>
          </cell>
        </row>
        <row r="908">
          <cell r="C908" t="str">
            <v>Lighting_bulb_replacements_per_year</v>
          </cell>
          <cell r="K908">
            <v>152.672</v>
          </cell>
          <cell r="N908" t="str">
            <v>Nr</v>
          </cell>
          <cell r="P908" t="str">
            <v>Bulb replacements per year</v>
          </cell>
          <cell r="Q908">
            <v>152.672</v>
          </cell>
          <cell r="R908" t="str">
            <v>Nr</v>
          </cell>
        </row>
        <row r="909">
          <cell r="C909" t="str">
            <v>Grass_cuts/year</v>
          </cell>
          <cell r="K909">
            <v>6</v>
          </cell>
          <cell r="N909" t="str">
            <v>Nr</v>
          </cell>
          <cell r="P909" t="str">
            <v>Grass cuts/year</v>
          </cell>
          <cell r="Q909">
            <v>6</v>
          </cell>
          <cell r="R909" t="str">
            <v>Nr</v>
          </cell>
        </row>
        <row r="911">
          <cell r="C911" t="str">
            <v>OCCUPANCY</v>
          </cell>
          <cell r="P911" t="str">
            <v>OCCUPANCY</v>
          </cell>
          <cell r="Q911">
            <v>0</v>
          </cell>
          <cell r="R911">
            <v>0</v>
          </cell>
        </row>
        <row r="912">
          <cell r="C912" t="str">
            <v>Staff_Hours_per_day</v>
          </cell>
          <cell r="K912">
            <v>8</v>
          </cell>
          <cell r="N912" t="str">
            <v>Hours</v>
          </cell>
          <cell r="P912" t="str">
            <v>Staff: Hours / day operation</v>
          </cell>
          <cell r="Q912">
            <v>8</v>
          </cell>
          <cell r="R912" t="str">
            <v>Hours</v>
          </cell>
        </row>
        <row r="913">
          <cell r="C913" t="str">
            <v>Staff_Days_per_week</v>
          </cell>
          <cell r="K913">
            <v>5</v>
          </cell>
          <cell r="N913" t="str">
            <v>Days</v>
          </cell>
          <cell r="P913" t="str">
            <v>Staff: Days / week operation</v>
          </cell>
          <cell r="Q913">
            <v>5</v>
          </cell>
          <cell r="R913" t="str">
            <v>Days</v>
          </cell>
        </row>
        <row r="914">
          <cell r="C914" t="str">
            <v>Staff_Weeks_per_year</v>
          </cell>
          <cell r="K914">
            <v>52</v>
          </cell>
          <cell r="N914" t="str">
            <v>Weeks</v>
          </cell>
          <cell r="P914" t="str">
            <v>Staff: Weeks / year operation</v>
          </cell>
          <cell r="Q914">
            <v>52</v>
          </cell>
          <cell r="R914" t="str">
            <v>Weeks</v>
          </cell>
        </row>
        <row r="915">
          <cell r="C915" t="str">
            <v>Staff_Hours_per_year</v>
          </cell>
          <cell r="K915">
            <v>2080</v>
          </cell>
          <cell r="N915" t="str">
            <v>Hours</v>
          </cell>
          <cell r="P915" t="str">
            <v>Staff: Hours / year operation</v>
          </cell>
          <cell r="Q915">
            <v>2080</v>
          </cell>
          <cell r="R915" t="str">
            <v>Hours</v>
          </cell>
        </row>
        <row r="916">
          <cell r="C916" t="str">
            <v>Process_Hours_per_day</v>
          </cell>
          <cell r="K916">
            <v>24</v>
          </cell>
          <cell r="N916" t="str">
            <v>Hours</v>
          </cell>
          <cell r="P916" t="str">
            <v>Process: Hours / day operation</v>
          </cell>
          <cell r="Q916">
            <v>24</v>
          </cell>
          <cell r="R916" t="str">
            <v>Hours</v>
          </cell>
        </row>
        <row r="917">
          <cell r="C917" t="str">
            <v>Process_Days_per_week</v>
          </cell>
          <cell r="K917">
            <v>7</v>
          </cell>
          <cell r="N917" t="str">
            <v>Days</v>
          </cell>
          <cell r="P917" t="str">
            <v>Process: Days / week operation</v>
          </cell>
          <cell r="Q917">
            <v>7</v>
          </cell>
          <cell r="R917" t="str">
            <v>Days</v>
          </cell>
        </row>
        <row r="918">
          <cell r="C918" t="str">
            <v>Process_Weeks_per_year</v>
          </cell>
          <cell r="K918">
            <v>52</v>
          </cell>
          <cell r="N918" t="str">
            <v>Weeks</v>
          </cell>
          <cell r="P918" t="str">
            <v>Process: Weeks / year operation</v>
          </cell>
          <cell r="Q918">
            <v>52</v>
          </cell>
          <cell r="R918" t="str">
            <v>Weeks</v>
          </cell>
        </row>
        <row r="919">
          <cell r="C919" t="str">
            <v>Process_Hours_per_year</v>
          </cell>
          <cell r="K919">
            <v>8736</v>
          </cell>
          <cell r="N919" t="str">
            <v>Hours</v>
          </cell>
          <cell r="P919" t="str">
            <v>Process: Hours / year operation</v>
          </cell>
          <cell r="Q919">
            <v>8736</v>
          </cell>
          <cell r="R919" t="str">
            <v>Hours</v>
          </cell>
        </row>
        <row r="920">
          <cell r="C920" t="str">
            <v>Lamps_per_fitting</v>
          </cell>
          <cell r="K920">
            <v>4</v>
          </cell>
          <cell r="N920" t="str">
            <v>Nr</v>
          </cell>
          <cell r="P920" t="str">
            <v>Lamps/ fitting</v>
          </cell>
          <cell r="Q920">
            <v>4</v>
          </cell>
          <cell r="R920" t="str">
            <v>Nr</v>
          </cell>
        </row>
        <row r="921">
          <cell r="C921" t="str">
            <v>Wattage_per_lamp</v>
          </cell>
          <cell r="K921">
            <v>18</v>
          </cell>
          <cell r="N921" t="str">
            <v>W</v>
          </cell>
          <cell r="P921" t="str">
            <v>Wattage / light fitting</v>
          </cell>
          <cell r="Q921">
            <v>18</v>
          </cell>
          <cell r="R921" t="str">
            <v>W</v>
          </cell>
        </row>
        <row r="922">
          <cell r="C922" t="str">
            <v>Lighting_bulb_replacements_per_year</v>
          </cell>
          <cell r="K922">
            <v>0</v>
          </cell>
          <cell r="N922" t="str">
            <v>W</v>
          </cell>
          <cell r="P922" t="str">
            <v>xx</v>
          </cell>
          <cell r="Q922">
            <v>0</v>
          </cell>
          <cell r="R922" t="str">
            <v>W</v>
          </cell>
        </row>
        <row r="923">
          <cell r="C923" t="str">
            <v>PIR_lighting_%_of_theoretical_hours_(0-100%)</v>
          </cell>
          <cell r="K923">
            <v>100</v>
          </cell>
          <cell r="N923" t="str">
            <v>%</v>
          </cell>
          <cell r="P923" t="str">
            <v>PIR lighting % of theoretical hours (0-100%)</v>
          </cell>
          <cell r="Q923">
            <v>100</v>
          </cell>
          <cell r="R923" t="str">
            <v>%</v>
          </cell>
        </row>
        <row r="924">
          <cell r="C924" t="str">
            <v>Wattage_m2_small_power</v>
          </cell>
          <cell r="K924">
            <v>10</v>
          </cell>
          <cell r="N924" t="str">
            <v>kW/m²</v>
          </cell>
          <cell r="P924" t="str">
            <v>Wattage hour /m2: small power</v>
          </cell>
          <cell r="Q924">
            <v>10</v>
          </cell>
          <cell r="R924" t="str">
            <v>kW/m²</v>
          </cell>
        </row>
        <row r="925">
          <cell r="C925" t="str">
            <v>Wattage_Nr_light_fitting</v>
          </cell>
          <cell r="K925">
            <v>20</v>
          </cell>
          <cell r="N925" t="str">
            <v>kW/m²</v>
          </cell>
          <cell r="P925" t="str">
            <v>Wattage / light fitting</v>
          </cell>
          <cell r="Q925">
            <v>20</v>
          </cell>
          <cell r="R925" t="str">
            <v>kW/m²</v>
          </cell>
        </row>
        <row r="926">
          <cell r="C926" t="str">
            <v>Wattage_m2_cooling</v>
          </cell>
          <cell r="K926">
            <v>3</v>
          </cell>
          <cell r="N926" t="str">
            <v>kW/m²</v>
          </cell>
          <cell r="P926" t="str">
            <v>Wattage hour /m2 cooling</v>
          </cell>
          <cell r="Q926">
            <v>3</v>
          </cell>
          <cell r="R926" t="str">
            <v>kW/m²</v>
          </cell>
        </row>
        <row r="927">
          <cell r="C927" t="str">
            <v>Wattage_Nr_lifts</v>
          </cell>
          <cell r="K927">
            <v>0</v>
          </cell>
          <cell r="N927" t="str">
            <v>kW/m²</v>
          </cell>
          <cell r="P927" t="str">
            <v>Wattage hour: lifts</v>
          </cell>
          <cell r="Q927">
            <v>0</v>
          </cell>
          <cell r="R927" t="str">
            <v>kW/m²</v>
          </cell>
        </row>
        <row r="928">
          <cell r="C928" t="str">
            <v>Wattage_m2_catering</v>
          </cell>
          <cell r="K928">
            <v>10</v>
          </cell>
          <cell r="N928" t="str">
            <v>kW/m²</v>
          </cell>
          <cell r="P928" t="str">
            <v>Wattage hour: catering</v>
          </cell>
          <cell r="Q928">
            <v>10</v>
          </cell>
          <cell r="R928" t="str">
            <v>kW/m²</v>
          </cell>
        </row>
        <row r="929">
          <cell r="C929" t="str">
            <v>Wattage_m2_total</v>
          </cell>
          <cell r="K929">
            <v>43</v>
          </cell>
          <cell r="N929" t="str">
            <v>W</v>
          </cell>
          <cell r="P929" t="str">
            <v>Wattage hour /m2</v>
          </cell>
          <cell r="Q929">
            <v>43</v>
          </cell>
          <cell r="R929" t="str">
            <v>W</v>
          </cell>
        </row>
        <row r="930">
          <cell r="C930" t="str">
            <v>kWattage_pa_small_power</v>
          </cell>
          <cell r="K930">
            <v>18390</v>
          </cell>
          <cell r="N930" t="str">
            <v>kW</v>
          </cell>
          <cell r="P930" t="str">
            <v>kWattage /  year : Small power</v>
          </cell>
          <cell r="Q930">
            <v>18390</v>
          </cell>
          <cell r="R930" t="str">
            <v>kW</v>
          </cell>
        </row>
        <row r="931">
          <cell r="C931" t="str">
            <v>kWattage_pa_lighting</v>
          </cell>
          <cell r="K931">
            <v>36780</v>
          </cell>
          <cell r="N931" t="str">
            <v>kW</v>
          </cell>
          <cell r="P931" t="str">
            <v>kWattage /  year : lighting</v>
          </cell>
          <cell r="Q931">
            <v>36780</v>
          </cell>
          <cell r="R931" t="str">
            <v>kW</v>
          </cell>
        </row>
        <row r="932">
          <cell r="C932" t="str">
            <v>kWattage_pa_cooling</v>
          </cell>
          <cell r="K932">
            <v>5517</v>
          </cell>
          <cell r="N932" t="str">
            <v>kW</v>
          </cell>
          <cell r="P932" t="str">
            <v>kWattage /  year : cooling</v>
          </cell>
          <cell r="Q932">
            <v>5517</v>
          </cell>
          <cell r="R932" t="str">
            <v>kW</v>
          </cell>
        </row>
        <row r="933">
          <cell r="C933" t="str">
            <v>kWattage_pa_lifts</v>
          </cell>
          <cell r="K933">
            <v>0</v>
          </cell>
          <cell r="N933" t="str">
            <v>kW</v>
          </cell>
          <cell r="P933" t="str">
            <v>kWattage /  year : lifts</v>
          </cell>
          <cell r="Q933">
            <v>0</v>
          </cell>
          <cell r="R933" t="str">
            <v>kW</v>
          </cell>
        </row>
        <row r="934">
          <cell r="C934" t="str">
            <v>kWattage_pa_catering</v>
          </cell>
          <cell r="K934">
            <v>18390</v>
          </cell>
          <cell r="N934" t="str">
            <v>kW</v>
          </cell>
          <cell r="P934" t="str">
            <v>kWattage /  year : catering</v>
          </cell>
          <cell r="Q934">
            <v>18390</v>
          </cell>
          <cell r="R934" t="str">
            <v>kW</v>
          </cell>
        </row>
        <row r="935">
          <cell r="C935" t="str">
            <v>kWattage_Electricty</v>
          </cell>
          <cell r="K935">
            <v>79077</v>
          </cell>
          <cell r="N935" t="str">
            <v>kW</v>
          </cell>
          <cell r="P935" t="str">
            <v>kWattage /  year : Total for electricity</v>
          </cell>
          <cell r="Q935">
            <v>79077</v>
          </cell>
          <cell r="R935" t="str">
            <v>kW</v>
          </cell>
        </row>
        <row r="937">
          <cell r="C937" t="str">
            <v>SAP Heat Loss</v>
          </cell>
        </row>
        <row r="938">
          <cell r="C938" t="str">
            <v>SAP_chimneys</v>
          </cell>
          <cell r="K938">
            <v>0</v>
          </cell>
          <cell r="N938" t="str">
            <v>Nr</v>
          </cell>
          <cell r="P938" t="str">
            <v>No of Chimneys</v>
          </cell>
          <cell r="Q938">
            <v>0</v>
          </cell>
          <cell r="R938" t="str">
            <v>Nr</v>
          </cell>
        </row>
        <row r="939">
          <cell r="C939" t="str">
            <v>SAP_open_flues</v>
          </cell>
          <cell r="K939">
            <v>0</v>
          </cell>
          <cell r="N939" t="str">
            <v>Nr</v>
          </cell>
          <cell r="P939" t="str">
            <v>Number of open flues</v>
          </cell>
          <cell r="Q939">
            <v>0</v>
          </cell>
          <cell r="R939" t="str">
            <v>Nr</v>
          </cell>
        </row>
        <row r="940">
          <cell r="C940" t="str">
            <v>SAP_fans</v>
          </cell>
          <cell r="K940">
            <v>0</v>
          </cell>
          <cell r="N940" t="str">
            <v>Nr</v>
          </cell>
          <cell r="P940" t="str">
            <v>Number of intermittent fans or passive vents</v>
          </cell>
          <cell r="Q940">
            <v>0</v>
          </cell>
          <cell r="R940" t="str">
            <v>Nr</v>
          </cell>
        </row>
        <row r="941">
          <cell r="C941" t="str">
            <v>SAP_flueless_gas_fires</v>
          </cell>
          <cell r="K941">
            <v>0</v>
          </cell>
          <cell r="N941" t="str">
            <v>Nr</v>
          </cell>
          <cell r="P941" t="str">
            <v>Number of flueless gas fires</v>
          </cell>
          <cell r="Q941">
            <v>0</v>
          </cell>
          <cell r="R941" t="str">
            <v>Nr</v>
          </cell>
        </row>
        <row r="942">
          <cell r="C942" t="str">
            <v>SAP_Structure_construction</v>
          </cell>
          <cell r="K942" t="str">
            <v>Steel or Timber</v>
          </cell>
          <cell r="P942" t="str">
            <v>Structure construction</v>
          </cell>
          <cell r="Q942" t="str">
            <v>Steel or Timber</v>
          </cell>
          <cell r="R942">
            <v>0</v>
          </cell>
        </row>
        <row r="943">
          <cell r="C943" t="str">
            <v>SAP_Structure_floor</v>
          </cell>
          <cell r="K943" t="str">
            <v>Sealed Wood</v>
          </cell>
          <cell r="P943" t="str">
            <v xml:space="preserve">Type of Floor </v>
          </cell>
          <cell r="Q943" t="str">
            <v>Sealed Wood</v>
          </cell>
          <cell r="R943">
            <v>0</v>
          </cell>
        </row>
        <row r="944">
          <cell r="C944" t="str">
            <v>SAP_Draught_lobby</v>
          </cell>
          <cell r="K944" t="str">
            <v>Yes</v>
          </cell>
          <cell r="N944" t="str">
            <v>Nr</v>
          </cell>
          <cell r="P944" t="str">
            <v xml:space="preserve">Draught Lobby </v>
          </cell>
          <cell r="Q944" t="str">
            <v>Yes</v>
          </cell>
          <cell r="R944" t="str">
            <v>Nr</v>
          </cell>
        </row>
        <row r="945">
          <cell r="C945" t="str">
            <v>SAP_Percentage_Draught_stripped</v>
          </cell>
          <cell r="K945">
            <v>100</v>
          </cell>
          <cell r="N945" t="str">
            <v>%</v>
          </cell>
          <cell r="P945" t="str">
            <v xml:space="preserve">% draught stripped </v>
          </cell>
          <cell r="Q945">
            <v>100</v>
          </cell>
          <cell r="R945" t="str">
            <v>%</v>
          </cell>
        </row>
        <row r="946">
          <cell r="C946" t="str">
            <v>SAP_Sheltered_sides</v>
          </cell>
          <cell r="K946">
            <v>0</v>
          </cell>
          <cell r="N946" t="str">
            <v>Nr</v>
          </cell>
          <cell r="P946" t="str">
            <v>Number of sheltered sides</v>
          </cell>
          <cell r="Q946">
            <v>0</v>
          </cell>
          <cell r="R946" t="str">
            <v>Nr</v>
          </cell>
        </row>
        <row r="947">
          <cell r="C947" t="str">
            <v>SAP_Efficiency_Heating</v>
          </cell>
          <cell r="K947">
            <v>95</v>
          </cell>
          <cell r="N947" t="str">
            <v>%</v>
          </cell>
          <cell r="P947" t="str">
            <v>Efficiency of heating system, %</v>
          </cell>
          <cell r="Q947">
            <v>95</v>
          </cell>
          <cell r="R947" t="str">
            <v>%</v>
          </cell>
        </row>
        <row r="948">
          <cell r="C948" t="str">
            <v>SAP_Efficiency_Heating_secondary</v>
          </cell>
          <cell r="K948">
            <v>90</v>
          </cell>
          <cell r="N948" t="str">
            <v>%</v>
          </cell>
          <cell r="P948" t="str">
            <v>Efficiency of Secondary Heating System</v>
          </cell>
          <cell r="Q948">
            <v>90</v>
          </cell>
          <cell r="R948" t="str">
            <v>%</v>
          </cell>
        </row>
        <row r="949">
          <cell r="C949" t="str">
            <v>SAP_Efficiency_Heating_water</v>
          </cell>
          <cell r="K949">
            <v>90</v>
          </cell>
          <cell r="N949" t="str">
            <v>%</v>
          </cell>
          <cell r="P949" t="str">
            <v>Efficiency of Water Heating System</v>
          </cell>
          <cell r="Q949">
            <v>90</v>
          </cell>
          <cell r="R949" t="str">
            <v>%</v>
          </cell>
        </row>
        <row r="950">
          <cell r="C950" t="str">
            <v>SAP_Fuel_Water_heating</v>
          </cell>
          <cell r="K950" t="str">
            <v>Electricity</v>
          </cell>
          <cell r="P950" t="str">
            <v xml:space="preserve">Water heating Fuel </v>
          </cell>
          <cell r="Q950" t="str">
            <v>Electricity</v>
          </cell>
          <cell r="R950">
            <v>0</v>
          </cell>
        </row>
        <row r="951">
          <cell r="C951" t="str">
            <v>SAP_Fuel_Space_heating</v>
          </cell>
          <cell r="K951" t="str">
            <v>Electricity</v>
          </cell>
          <cell r="P951" t="str">
            <v>Space Heating Fuel</v>
          </cell>
          <cell r="Q951" t="str">
            <v>Electricity</v>
          </cell>
          <cell r="R951">
            <v>0</v>
          </cell>
        </row>
        <row r="952">
          <cell r="C952" t="str">
            <v>SAP_Storage_tank_YN</v>
          </cell>
          <cell r="K952" t="str">
            <v>No</v>
          </cell>
          <cell r="N952" t="str">
            <v>Nr</v>
          </cell>
          <cell r="P952" t="str">
            <v xml:space="preserve">Hot Water Storage Cylinder </v>
          </cell>
          <cell r="Q952" t="str">
            <v>No</v>
          </cell>
          <cell r="R952" t="str">
            <v>Nr</v>
          </cell>
        </row>
        <row r="953">
          <cell r="C953" t="str">
            <v>SAP_Percentage_Low_energy_lights</v>
          </cell>
          <cell r="K953">
            <v>50</v>
          </cell>
          <cell r="N953" t="str">
            <v>%</v>
          </cell>
          <cell r="P953" t="str">
            <v>% of Low energy lights</v>
          </cell>
          <cell r="Q953">
            <v>50</v>
          </cell>
          <cell r="R953" t="str">
            <v>%</v>
          </cell>
        </row>
        <row r="956">
          <cell r="C956" t="str">
            <v>Degree_days_Region</v>
          </cell>
          <cell r="K956" t="str">
            <v>Midlands</v>
          </cell>
          <cell r="P956" t="str">
            <v>Degree days Region</v>
          </cell>
          <cell r="Q956" t="str">
            <v>Midlands</v>
          </cell>
          <cell r="R956">
            <v>0</v>
          </cell>
        </row>
        <row r="957">
          <cell r="C957" t="str">
            <v>"U"_value_External_Wall_description</v>
          </cell>
          <cell r="K957" t="str">
            <v>Walls 1979 -2001</v>
          </cell>
          <cell r="N957" t="str">
            <v>W/m² K</v>
          </cell>
          <cell r="P957" t="str">
            <v>External wall: "U" value</v>
          </cell>
          <cell r="Q957" t="str">
            <v>Walls 1979 -2001</v>
          </cell>
          <cell r="R957" t="str">
            <v>W/m² K</v>
          </cell>
        </row>
        <row r="958">
          <cell r="C958" t="str">
            <v>"U"_value_Window_description</v>
          </cell>
          <cell r="K958" t="str">
            <v>Metal windows 2006 onwards</v>
          </cell>
          <cell r="N958" t="str">
            <v>W/m² K</v>
          </cell>
          <cell r="P958" t="str">
            <v>Window: "U" value</v>
          </cell>
          <cell r="Q958" t="str">
            <v>Metal windows 2006 onwards</v>
          </cell>
          <cell r="R958" t="str">
            <v>W/m² K</v>
          </cell>
        </row>
        <row r="959">
          <cell r="C959" t="str">
            <v>"U"_value_Slab_Description</v>
          </cell>
          <cell r="K959" t="str">
            <v>Ground slabs 1979 -2001</v>
          </cell>
          <cell r="N959" t="str">
            <v>W/m² K</v>
          </cell>
          <cell r="P959" t="str">
            <v>Slab: "U" value</v>
          </cell>
          <cell r="Q959" t="str">
            <v>Ground slabs 1979 -2001</v>
          </cell>
          <cell r="R959" t="str">
            <v>W/m² K</v>
          </cell>
        </row>
        <row r="960">
          <cell r="C960" t="str">
            <v>"U"_value_Roof_Description</v>
          </cell>
          <cell r="K960" t="str">
            <v>Flat roof 1979 -2001</v>
          </cell>
          <cell r="N960" t="str">
            <v>W/m² K</v>
          </cell>
          <cell r="P960" t="str">
            <v>Roof: "U" value</v>
          </cell>
          <cell r="Q960" t="str">
            <v>Flat roof 1979 -2001</v>
          </cell>
          <cell r="R960" t="str">
            <v>W/m² K</v>
          </cell>
        </row>
        <row r="961">
          <cell r="C961" t="str">
            <v>"U"_value_External_Wall</v>
          </cell>
          <cell r="K961">
            <v>0.45</v>
          </cell>
          <cell r="N961" t="str">
            <v>W/m² K</v>
          </cell>
          <cell r="P961" t="str">
            <v>External wall: "U" value</v>
          </cell>
          <cell r="Q961">
            <v>0.45</v>
          </cell>
          <cell r="R961" t="str">
            <v>W/m² K</v>
          </cell>
        </row>
        <row r="962">
          <cell r="C962" t="str">
            <v>"U"_value_Window</v>
          </cell>
          <cell r="K962">
            <v>1.8</v>
          </cell>
          <cell r="N962" t="str">
            <v>W/m² K</v>
          </cell>
          <cell r="P962" t="str">
            <v>Window: "U" value</v>
          </cell>
          <cell r="Q962">
            <v>1.8</v>
          </cell>
          <cell r="R962" t="str">
            <v>W/m² K</v>
          </cell>
        </row>
        <row r="963">
          <cell r="C963" t="str">
            <v>"U"_value_Slab</v>
          </cell>
          <cell r="K963">
            <v>0.45</v>
          </cell>
          <cell r="N963" t="str">
            <v>W/m² K</v>
          </cell>
          <cell r="P963" t="str">
            <v>Slab: "U" value</v>
          </cell>
          <cell r="Q963">
            <v>0.45</v>
          </cell>
          <cell r="R963" t="str">
            <v>W/m² K</v>
          </cell>
        </row>
        <row r="964">
          <cell r="C964" t="str">
            <v>"U"_value_Roof</v>
          </cell>
          <cell r="K964">
            <v>0.35</v>
          </cell>
          <cell r="N964" t="str">
            <v>W/m² K</v>
          </cell>
          <cell r="P964" t="str">
            <v>Roof: "U" value</v>
          </cell>
          <cell r="Q964">
            <v>0.35</v>
          </cell>
          <cell r="R964" t="str">
            <v>W/m² K</v>
          </cell>
        </row>
        <row r="965">
          <cell r="C965" t="str">
            <v>Temperature_Internal</v>
          </cell>
          <cell r="K965">
            <v>16</v>
          </cell>
          <cell r="N965" t="str">
            <v>ºC</v>
          </cell>
          <cell r="P965" t="str">
            <v>Temperature Internal</v>
          </cell>
          <cell r="Q965">
            <v>16</v>
          </cell>
          <cell r="R965" t="str">
            <v>ºC</v>
          </cell>
        </row>
        <row r="966">
          <cell r="C966" t="str">
            <v>Ventilation_loss_density_of_air_capacity</v>
          </cell>
          <cell r="K966">
            <v>0.33300000000000002</v>
          </cell>
          <cell r="N966" t="str">
            <v>x</v>
          </cell>
          <cell r="P966" t="str">
            <v>Ventilation loss: density of air/capacity</v>
          </cell>
          <cell r="Q966">
            <v>0.33300000000000002</v>
          </cell>
          <cell r="R966" t="str">
            <v>x</v>
          </cell>
        </row>
        <row r="967">
          <cell r="C967" t="str">
            <v>Ventilation_loss_rate_of_air_change</v>
          </cell>
          <cell r="K967">
            <v>8</v>
          </cell>
          <cell r="N967" t="str">
            <v>Nr</v>
          </cell>
          <cell r="P967" t="str">
            <v>Ventilation loss: rate of air change</v>
          </cell>
          <cell r="Q967">
            <v>8</v>
          </cell>
          <cell r="R967" t="str">
            <v>Nr</v>
          </cell>
        </row>
        <row r="968">
          <cell r="C968" t="str">
            <v>Boiler_efficiency</v>
          </cell>
          <cell r="K968">
            <v>80</v>
          </cell>
          <cell r="N968" t="str">
            <v>%</v>
          </cell>
          <cell r="P968" t="str">
            <v>Boiler efficiency</v>
          </cell>
          <cell r="Q968">
            <v>80</v>
          </cell>
          <cell r="R968" t="str">
            <v>%</v>
          </cell>
        </row>
        <row r="969">
          <cell r="C969" t="str">
            <v>Cooling_W/W_factor</v>
          </cell>
          <cell r="K969">
            <v>0</v>
          </cell>
          <cell r="N969" t="str">
            <v>W/W</v>
          </cell>
          <cell r="P969" t="str">
            <v>Cooling W/W factor</v>
          </cell>
          <cell r="Q969">
            <v>0</v>
          </cell>
          <cell r="R969" t="str">
            <v>W/W</v>
          </cell>
        </row>
        <row r="970">
          <cell r="C970" t="str">
            <v>Energy_cost_Electrical_kWhr</v>
          </cell>
          <cell r="K970">
            <v>5.7290000000000001E-2</v>
          </cell>
          <cell r="N970" t="str">
            <v>£/kW</v>
          </cell>
          <cell r="P970" t="str">
            <v>Energy cost: Electrical kWhr</v>
          </cell>
          <cell r="Q970">
            <v>0.06</v>
          </cell>
          <cell r="R970" t="str">
            <v>£/kW</v>
          </cell>
        </row>
        <row r="971">
          <cell r="C971" t="str">
            <v>Energy_cost_Gas_kWhr</v>
          </cell>
          <cell r="K971">
            <v>2.1940000000000001E-2</v>
          </cell>
          <cell r="N971" t="str">
            <v>£/kW</v>
          </cell>
          <cell r="P971" t="str">
            <v>Energy cost: Gas kWhr</v>
          </cell>
          <cell r="Q971">
            <v>0.02</v>
          </cell>
          <cell r="R971" t="str">
            <v>£/kW</v>
          </cell>
        </row>
        <row r="972">
          <cell r="C972" t="str">
            <v>Unused</v>
          </cell>
          <cell r="K972">
            <v>0</v>
          </cell>
          <cell r="P972" t="str">
            <v>Unused</v>
          </cell>
          <cell r="Q972">
            <v>0</v>
          </cell>
          <cell r="R972">
            <v>0</v>
          </cell>
        </row>
        <row r="973">
          <cell r="C973" t="str">
            <v>Unused</v>
          </cell>
          <cell r="K973">
            <v>0</v>
          </cell>
          <cell r="P973" t="str">
            <v>Unused</v>
          </cell>
          <cell r="Q973">
            <v>0</v>
          </cell>
          <cell r="R973">
            <v>0</v>
          </cell>
        </row>
        <row r="975">
          <cell r="C975" t="str">
            <v>TLC THROUGH LIFE COSTING</v>
          </cell>
          <cell r="P975" t="str">
            <v>TLC THROUGH LIFE COSTING</v>
          </cell>
          <cell r="Q975">
            <v>0</v>
          </cell>
          <cell r="R975">
            <v>0</v>
          </cell>
        </row>
        <row r="976">
          <cell r="C976" t="str">
            <v>Through_Life_Cycle</v>
          </cell>
          <cell r="K976">
            <v>60</v>
          </cell>
          <cell r="N976" t="str">
            <v>Years</v>
          </cell>
          <cell r="P976" t="str">
            <v>Life Cycle duration</v>
          </cell>
          <cell r="Q976">
            <v>60</v>
          </cell>
          <cell r="R976" t="str">
            <v>Years</v>
          </cell>
        </row>
        <row r="977">
          <cell r="C977" t="str">
            <v>Inflation_percentage</v>
          </cell>
          <cell r="K977">
            <v>2.5</v>
          </cell>
          <cell r="N977" t="str">
            <v>%</v>
          </cell>
          <cell r="P977" t="str">
            <v>Inflation percentage</v>
          </cell>
          <cell r="Q977">
            <v>2.5</v>
          </cell>
          <cell r="R977" t="str">
            <v>%</v>
          </cell>
        </row>
        <row r="978">
          <cell r="C978" t="str">
            <v>Net_Present_Value</v>
          </cell>
          <cell r="K978">
            <v>7.5</v>
          </cell>
          <cell r="N978" t="str">
            <v>%</v>
          </cell>
          <cell r="P978" t="str">
            <v>Net Present Value</v>
          </cell>
          <cell r="Q978">
            <v>7.5</v>
          </cell>
          <cell r="R978" t="str">
            <v>%</v>
          </cell>
        </row>
        <row r="979">
          <cell r="C979" t="str">
            <v>Depreciation_Structure</v>
          </cell>
          <cell r="K979">
            <v>10</v>
          </cell>
          <cell r="N979" t="str">
            <v>yrs</v>
          </cell>
          <cell r="P979" t="str">
            <v>Depreciation: Structure</v>
          </cell>
          <cell r="Q979">
            <v>10</v>
          </cell>
          <cell r="R979" t="str">
            <v>yrs</v>
          </cell>
        </row>
        <row r="980">
          <cell r="C980" t="str">
            <v>Depreciation_Fit_out</v>
          </cell>
          <cell r="K980">
            <v>3</v>
          </cell>
          <cell r="N980" t="str">
            <v>yrs</v>
          </cell>
          <cell r="P980" t="str">
            <v>Depreciation: Fit out</v>
          </cell>
          <cell r="Q980">
            <v>3</v>
          </cell>
          <cell r="R980" t="str">
            <v>yrs</v>
          </cell>
        </row>
        <row r="982">
          <cell r="C982" t="str">
            <v>INCOME</v>
          </cell>
          <cell r="P982" t="str">
            <v>INCOME</v>
          </cell>
          <cell r="Q982">
            <v>0</v>
          </cell>
          <cell r="R982">
            <v>0</v>
          </cell>
        </row>
        <row r="983">
          <cell r="C983" t="str">
            <v>Occupancy_percentage</v>
          </cell>
          <cell r="K983">
            <v>95</v>
          </cell>
          <cell r="N983" t="str">
            <v>%</v>
          </cell>
          <cell r="P983" t="str">
            <v>Occupancy</v>
          </cell>
          <cell r="Q983">
            <v>95</v>
          </cell>
          <cell r="R983" t="str">
            <v>%</v>
          </cell>
        </row>
        <row r="984">
          <cell r="C984" t="str">
            <v>Lettable_rental_1</v>
          </cell>
          <cell r="K984">
            <v>170</v>
          </cell>
          <cell r="N984" t="str">
            <v>£/m2/pa</v>
          </cell>
          <cell r="P984" t="str">
            <v>Lettable rental: area 1</v>
          </cell>
          <cell r="Q984">
            <v>170</v>
          </cell>
          <cell r="R984" t="str">
            <v>£/m2/pa</v>
          </cell>
        </row>
        <row r="985">
          <cell r="C985" t="str">
            <v>Lettable_rental_2</v>
          </cell>
          <cell r="K985">
            <v>250</v>
          </cell>
          <cell r="N985" t="str">
            <v>£/m2/pa</v>
          </cell>
          <cell r="P985" t="str">
            <v>Lettable rental: area 2</v>
          </cell>
          <cell r="Q985">
            <v>250</v>
          </cell>
          <cell r="R985" t="str">
            <v>£/m2/pa</v>
          </cell>
        </row>
        <row r="986">
          <cell r="C986" t="str">
            <v>Running_cost_included</v>
          </cell>
          <cell r="K986" t="str">
            <v>X</v>
          </cell>
          <cell r="N986" t="str">
            <v>X/I</v>
          </cell>
          <cell r="P986" t="str">
            <v>Running cost included in income</v>
          </cell>
          <cell r="Q986" t="str">
            <v>X</v>
          </cell>
          <cell r="R986" t="str">
            <v>X/I</v>
          </cell>
        </row>
        <row r="987">
          <cell r="C987" t="str">
            <v>Mortgage repayments</v>
          </cell>
          <cell r="P987" t="str">
            <v>Mortgage repayments</v>
          </cell>
          <cell r="Q987">
            <v>0</v>
          </cell>
          <cell r="R987">
            <v>0</v>
          </cell>
        </row>
        <row r="988">
          <cell r="C988" t="str">
            <v>Interest_payment</v>
          </cell>
          <cell r="K988">
            <v>6</v>
          </cell>
          <cell r="N988" t="str">
            <v>%</v>
          </cell>
          <cell r="P988" t="str">
            <v>Interest payment</v>
          </cell>
          <cell r="Q988">
            <v>6</v>
          </cell>
          <cell r="R988" t="str">
            <v>%</v>
          </cell>
        </row>
        <row r="989">
          <cell r="C989" t="str">
            <v>Years_repayments</v>
          </cell>
          <cell r="K989">
            <v>25</v>
          </cell>
          <cell r="N989" t="str">
            <v>yrs</v>
          </cell>
          <cell r="P989" t="str">
            <v>Years repayments</v>
          </cell>
          <cell r="Q989">
            <v>25</v>
          </cell>
          <cell r="R989" t="str">
            <v>yrs</v>
          </cell>
        </row>
        <row r="990">
          <cell r="C990" t="str">
            <v>Grant</v>
          </cell>
          <cell r="K990">
            <v>0</v>
          </cell>
          <cell r="N990" t="str">
            <v>%</v>
          </cell>
          <cell r="P990" t="str">
            <v>Grant</v>
          </cell>
          <cell r="Q990">
            <v>0</v>
          </cell>
          <cell r="R990" t="str">
            <v>%</v>
          </cell>
        </row>
        <row r="995">
          <cell r="C995" t="str">
            <v>Rename_New_Dimension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2:M26"/>
  <sheetViews>
    <sheetView view="pageBreakPreview" topLeftCell="A10" zoomScale="80" zoomScaleNormal="80" zoomScaleSheetLayoutView="80" workbookViewId="0">
      <selection activeCell="C26" sqref="C26"/>
    </sheetView>
  </sheetViews>
  <sheetFormatPr defaultRowHeight="15"/>
  <cols>
    <col min="1" max="1" width="9.140625" style="347"/>
    <col min="2" max="2" width="5.85546875" style="347" customWidth="1"/>
    <col min="3" max="3" width="47.42578125" style="347" customWidth="1"/>
    <col min="4" max="4" width="9.28515625" style="347" customWidth="1"/>
    <col min="5" max="5" width="5.42578125" style="347" customWidth="1"/>
    <col min="6" max="6" width="11.5703125" style="347" customWidth="1"/>
    <col min="7" max="7" width="12" style="347" customWidth="1"/>
    <col min="8" max="8" width="12.140625" style="347" customWidth="1"/>
    <col min="9" max="9" width="9.140625" style="347"/>
    <col min="10" max="10" width="12.140625" style="347" customWidth="1"/>
    <col min="11" max="11" width="9.140625" style="347"/>
    <col min="12" max="12" width="1.85546875" style="347" customWidth="1"/>
    <col min="13" max="13" width="9.140625" style="347" hidden="1" customWidth="1"/>
    <col min="14" max="16384" width="9.140625" style="347"/>
  </cols>
  <sheetData>
    <row r="22" spans="3:3" ht="35.25">
      <c r="C22" s="624" t="s">
        <v>321</v>
      </c>
    </row>
    <row r="26" spans="3:3" ht="67.5" customHeight="1">
      <c r="C26" s="664" t="s">
        <v>330</v>
      </c>
    </row>
  </sheetData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view="pageBreakPreview" zoomScaleSheetLayoutView="100" workbookViewId="0">
      <selection activeCell="B10" sqref="B10"/>
    </sheetView>
  </sheetViews>
  <sheetFormatPr defaultRowHeight="15"/>
  <cols>
    <col min="4" max="4" width="11.5703125" customWidth="1"/>
    <col min="5" max="5" width="5.7109375" customWidth="1"/>
    <col min="6" max="6" width="18.28515625" customWidth="1"/>
  </cols>
  <sheetData>
    <row r="1" spans="1:9" s="215" customFormat="1" ht="46.5" customHeight="1">
      <c r="A1" s="228" t="s">
        <v>287</v>
      </c>
      <c r="B1" s="230" t="s">
        <v>286</v>
      </c>
      <c r="C1" s="515"/>
      <c r="D1" s="229"/>
      <c r="E1" s="229"/>
      <c r="F1" s="229"/>
      <c r="G1" s="231"/>
      <c r="H1" s="232"/>
      <c r="I1" s="230"/>
    </row>
    <row r="2" spans="1:9" s="215" customFormat="1" ht="21" customHeight="1">
      <c r="C2" s="216"/>
      <c r="G2" s="216"/>
      <c r="I2"/>
    </row>
    <row r="3" spans="1:9">
      <c r="B3" s="531" t="s">
        <v>250</v>
      </c>
    </row>
    <row r="4" spans="1:9">
      <c r="B4" s="531" t="s">
        <v>283</v>
      </c>
    </row>
    <row r="5" spans="1:9">
      <c r="B5" s="531" t="s">
        <v>209</v>
      </c>
    </row>
    <row r="6" spans="1:9">
      <c r="B6" s="531" t="s">
        <v>284</v>
      </c>
    </row>
    <row r="7" spans="1:9">
      <c r="B7" s="531" t="s">
        <v>320</v>
      </c>
    </row>
    <row r="8" spans="1:9">
      <c r="B8" s="531" t="s">
        <v>315</v>
      </c>
    </row>
    <row r="9" spans="1:9">
      <c r="B9" s="531" t="s">
        <v>285</v>
      </c>
    </row>
    <row r="10" spans="1:9">
      <c r="B10" s="531" t="s">
        <v>173</v>
      </c>
    </row>
    <row r="11" spans="1:9">
      <c r="B11" s="531" t="s">
        <v>324</v>
      </c>
    </row>
    <row r="12" spans="1:9">
      <c r="B12" s="531" t="s">
        <v>327</v>
      </c>
    </row>
    <row r="13" spans="1:9">
      <c r="B13" s="531" t="s">
        <v>167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view="pageBreakPreview" zoomScale="80" zoomScaleSheetLayoutView="80" workbookViewId="0">
      <selection activeCell="I1" sqref="I1"/>
    </sheetView>
  </sheetViews>
  <sheetFormatPr defaultRowHeight="24" customHeight="1"/>
  <cols>
    <col min="1" max="1" width="20.42578125" style="215" customWidth="1"/>
    <col min="2" max="2" width="6.42578125" style="215" customWidth="1"/>
    <col min="3" max="3" width="21" style="215" customWidth="1"/>
    <col min="4" max="4" width="6.42578125" style="215" customWidth="1"/>
    <col min="5" max="5" width="3.5703125" style="215" customWidth="1"/>
    <col min="6" max="6" width="7.140625" style="215" customWidth="1"/>
    <col min="7" max="7" width="3.42578125" style="215" customWidth="1"/>
    <col min="8" max="8" width="20" style="215" customWidth="1"/>
    <col min="9" max="9" width="20.5703125" style="215" customWidth="1"/>
    <col min="10" max="10" width="12.140625" style="215" customWidth="1"/>
    <col min="11" max="11" width="9.140625" style="215"/>
    <col min="12" max="12" width="12" style="215" customWidth="1"/>
    <col min="13" max="256" width="9.140625" style="215"/>
    <col min="257" max="257" width="5.140625" style="215" customWidth="1"/>
    <col min="258" max="258" width="17.28515625" style="215" customWidth="1"/>
    <col min="259" max="259" width="18.5703125" style="215" customWidth="1"/>
    <col min="260" max="260" width="8.140625" style="215" customWidth="1"/>
    <col min="261" max="261" width="5" style="215" customWidth="1"/>
    <col min="262" max="262" width="12.5703125" style="215" customWidth="1"/>
    <col min="263" max="263" width="8.140625" style="215" customWidth="1"/>
    <col min="264" max="264" width="18.7109375" style="215" customWidth="1"/>
    <col min="265" max="265" width="15" style="215" customWidth="1"/>
    <col min="266" max="512" width="9.140625" style="215"/>
    <col min="513" max="513" width="5.140625" style="215" customWidth="1"/>
    <col min="514" max="514" width="17.28515625" style="215" customWidth="1"/>
    <col min="515" max="515" width="18.5703125" style="215" customWidth="1"/>
    <col min="516" max="516" width="8.140625" style="215" customWidth="1"/>
    <col min="517" max="517" width="5" style="215" customWidth="1"/>
    <col min="518" max="518" width="12.5703125" style="215" customWidth="1"/>
    <col min="519" max="519" width="8.140625" style="215" customWidth="1"/>
    <col min="520" max="520" width="18.7109375" style="215" customWidth="1"/>
    <col min="521" max="521" width="15" style="215" customWidth="1"/>
    <col min="522" max="768" width="9.140625" style="215"/>
    <col min="769" max="769" width="5.140625" style="215" customWidth="1"/>
    <col min="770" max="770" width="17.28515625" style="215" customWidth="1"/>
    <col min="771" max="771" width="18.5703125" style="215" customWidth="1"/>
    <col min="772" max="772" width="8.140625" style="215" customWidth="1"/>
    <col min="773" max="773" width="5" style="215" customWidth="1"/>
    <col min="774" max="774" width="12.5703125" style="215" customWidth="1"/>
    <col min="775" max="775" width="8.140625" style="215" customWidth="1"/>
    <col min="776" max="776" width="18.7109375" style="215" customWidth="1"/>
    <col min="777" max="777" width="15" style="215" customWidth="1"/>
    <col min="778" max="1024" width="9.140625" style="215"/>
    <col min="1025" max="1025" width="5.140625" style="215" customWidth="1"/>
    <col min="1026" max="1026" width="17.28515625" style="215" customWidth="1"/>
    <col min="1027" max="1027" width="18.5703125" style="215" customWidth="1"/>
    <col min="1028" max="1028" width="8.140625" style="215" customWidth="1"/>
    <col min="1029" max="1029" width="5" style="215" customWidth="1"/>
    <col min="1030" max="1030" width="12.5703125" style="215" customWidth="1"/>
    <col min="1031" max="1031" width="8.140625" style="215" customWidth="1"/>
    <col min="1032" max="1032" width="18.7109375" style="215" customWidth="1"/>
    <col min="1033" max="1033" width="15" style="215" customWidth="1"/>
    <col min="1034" max="1280" width="9.140625" style="215"/>
    <col min="1281" max="1281" width="5.140625" style="215" customWidth="1"/>
    <col min="1282" max="1282" width="17.28515625" style="215" customWidth="1"/>
    <col min="1283" max="1283" width="18.5703125" style="215" customWidth="1"/>
    <col min="1284" max="1284" width="8.140625" style="215" customWidth="1"/>
    <col min="1285" max="1285" width="5" style="215" customWidth="1"/>
    <col min="1286" max="1286" width="12.5703125" style="215" customWidth="1"/>
    <col min="1287" max="1287" width="8.140625" style="215" customWidth="1"/>
    <col min="1288" max="1288" width="18.7109375" style="215" customWidth="1"/>
    <col min="1289" max="1289" width="15" style="215" customWidth="1"/>
    <col min="1290" max="1536" width="9.140625" style="215"/>
    <col min="1537" max="1537" width="5.140625" style="215" customWidth="1"/>
    <col min="1538" max="1538" width="17.28515625" style="215" customWidth="1"/>
    <col min="1539" max="1539" width="18.5703125" style="215" customWidth="1"/>
    <col min="1540" max="1540" width="8.140625" style="215" customWidth="1"/>
    <col min="1541" max="1541" width="5" style="215" customWidth="1"/>
    <col min="1542" max="1542" width="12.5703125" style="215" customWidth="1"/>
    <col min="1543" max="1543" width="8.140625" style="215" customWidth="1"/>
    <col min="1544" max="1544" width="18.7109375" style="215" customWidth="1"/>
    <col min="1545" max="1545" width="15" style="215" customWidth="1"/>
    <col min="1546" max="1792" width="9.140625" style="215"/>
    <col min="1793" max="1793" width="5.140625" style="215" customWidth="1"/>
    <col min="1794" max="1794" width="17.28515625" style="215" customWidth="1"/>
    <col min="1795" max="1795" width="18.5703125" style="215" customWidth="1"/>
    <col min="1796" max="1796" width="8.140625" style="215" customWidth="1"/>
    <col min="1797" max="1797" width="5" style="215" customWidth="1"/>
    <col min="1798" max="1798" width="12.5703125" style="215" customWidth="1"/>
    <col min="1799" max="1799" width="8.140625" style="215" customWidth="1"/>
    <col min="1800" max="1800" width="18.7109375" style="215" customWidth="1"/>
    <col min="1801" max="1801" width="15" style="215" customWidth="1"/>
    <col min="1802" max="2048" width="9.140625" style="215"/>
    <col min="2049" max="2049" width="5.140625" style="215" customWidth="1"/>
    <col min="2050" max="2050" width="17.28515625" style="215" customWidth="1"/>
    <col min="2051" max="2051" width="18.5703125" style="215" customWidth="1"/>
    <col min="2052" max="2052" width="8.140625" style="215" customWidth="1"/>
    <col min="2053" max="2053" width="5" style="215" customWidth="1"/>
    <col min="2054" max="2054" width="12.5703125" style="215" customWidth="1"/>
    <col min="2055" max="2055" width="8.140625" style="215" customWidth="1"/>
    <col min="2056" max="2056" width="18.7109375" style="215" customWidth="1"/>
    <col min="2057" max="2057" width="15" style="215" customWidth="1"/>
    <col min="2058" max="2304" width="9.140625" style="215"/>
    <col min="2305" max="2305" width="5.140625" style="215" customWidth="1"/>
    <col min="2306" max="2306" width="17.28515625" style="215" customWidth="1"/>
    <col min="2307" max="2307" width="18.5703125" style="215" customWidth="1"/>
    <col min="2308" max="2308" width="8.140625" style="215" customWidth="1"/>
    <col min="2309" max="2309" width="5" style="215" customWidth="1"/>
    <col min="2310" max="2310" width="12.5703125" style="215" customWidth="1"/>
    <col min="2311" max="2311" width="8.140625" style="215" customWidth="1"/>
    <col min="2312" max="2312" width="18.7109375" style="215" customWidth="1"/>
    <col min="2313" max="2313" width="15" style="215" customWidth="1"/>
    <col min="2314" max="2560" width="9.140625" style="215"/>
    <col min="2561" max="2561" width="5.140625" style="215" customWidth="1"/>
    <col min="2562" max="2562" width="17.28515625" style="215" customWidth="1"/>
    <col min="2563" max="2563" width="18.5703125" style="215" customWidth="1"/>
    <col min="2564" max="2564" width="8.140625" style="215" customWidth="1"/>
    <col min="2565" max="2565" width="5" style="215" customWidth="1"/>
    <col min="2566" max="2566" width="12.5703125" style="215" customWidth="1"/>
    <col min="2567" max="2567" width="8.140625" style="215" customWidth="1"/>
    <col min="2568" max="2568" width="18.7109375" style="215" customWidth="1"/>
    <col min="2569" max="2569" width="15" style="215" customWidth="1"/>
    <col min="2570" max="2816" width="9.140625" style="215"/>
    <col min="2817" max="2817" width="5.140625" style="215" customWidth="1"/>
    <col min="2818" max="2818" width="17.28515625" style="215" customWidth="1"/>
    <col min="2819" max="2819" width="18.5703125" style="215" customWidth="1"/>
    <col min="2820" max="2820" width="8.140625" style="215" customWidth="1"/>
    <col min="2821" max="2821" width="5" style="215" customWidth="1"/>
    <col min="2822" max="2822" width="12.5703125" style="215" customWidth="1"/>
    <col min="2823" max="2823" width="8.140625" style="215" customWidth="1"/>
    <col min="2824" max="2824" width="18.7109375" style="215" customWidth="1"/>
    <col min="2825" max="2825" width="15" style="215" customWidth="1"/>
    <col min="2826" max="3072" width="9.140625" style="215"/>
    <col min="3073" max="3073" width="5.140625" style="215" customWidth="1"/>
    <col min="3074" max="3074" width="17.28515625" style="215" customWidth="1"/>
    <col min="3075" max="3075" width="18.5703125" style="215" customWidth="1"/>
    <col min="3076" max="3076" width="8.140625" style="215" customWidth="1"/>
    <col min="3077" max="3077" width="5" style="215" customWidth="1"/>
    <col min="3078" max="3078" width="12.5703125" style="215" customWidth="1"/>
    <col min="3079" max="3079" width="8.140625" style="215" customWidth="1"/>
    <col min="3080" max="3080" width="18.7109375" style="215" customWidth="1"/>
    <col min="3081" max="3081" width="15" style="215" customWidth="1"/>
    <col min="3082" max="3328" width="9.140625" style="215"/>
    <col min="3329" max="3329" width="5.140625" style="215" customWidth="1"/>
    <col min="3330" max="3330" width="17.28515625" style="215" customWidth="1"/>
    <col min="3331" max="3331" width="18.5703125" style="215" customWidth="1"/>
    <col min="3332" max="3332" width="8.140625" style="215" customWidth="1"/>
    <col min="3333" max="3333" width="5" style="215" customWidth="1"/>
    <col min="3334" max="3334" width="12.5703125" style="215" customWidth="1"/>
    <col min="3335" max="3335" width="8.140625" style="215" customWidth="1"/>
    <col min="3336" max="3336" width="18.7109375" style="215" customWidth="1"/>
    <col min="3337" max="3337" width="15" style="215" customWidth="1"/>
    <col min="3338" max="3584" width="9.140625" style="215"/>
    <col min="3585" max="3585" width="5.140625" style="215" customWidth="1"/>
    <col min="3586" max="3586" width="17.28515625" style="215" customWidth="1"/>
    <col min="3587" max="3587" width="18.5703125" style="215" customWidth="1"/>
    <col min="3588" max="3588" width="8.140625" style="215" customWidth="1"/>
    <col min="3589" max="3589" width="5" style="215" customWidth="1"/>
    <col min="3590" max="3590" width="12.5703125" style="215" customWidth="1"/>
    <col min="3591" max="3591" width="8.140625" style="215" customWidth="1"/>
    <col min="3592" max="3592" width="18.7109375" style="215" customWidth="1"/>
    <col min="3593" max="3593" width="15" style="215" customWidth="1"/>
    <col min="3594" max="3840" width="9.140625" style="215"/>
    <col min="3841" max="3841" width="5.140625" style="215" customWidth="1"/>
    <col min="3842" max="3842" width="17.28515625" style="215" customWidth="1"/>
    <col min="3843" max="3843" width="18.5703125" style="215" customWidth="1"/>
    <col min="3844" max="3844" width="8.140625" style="215" customWidth="1"/>
    <col min="3845" max="3845" width="5" style="215" customWidth="1"/>
    <col min="3846" max="3846" width="12.5703125" style="215" customWidth="1"/>
    <col min="3847" max="3847" width="8.140625" style="215" customWidth="1"/>
    <col min="3848" max="3848" width="18.7109375" style="215" customWidth="1"/>
    <col min="3849" max="3849" width="15" style="215" customWidth="1"/>
    <col min="3850" max="4096" width="9.140625" style="215"/>
    <col min="4097" max="4097" width="5.140625" style="215" customWidth="1"/>
    <col min="4098" max="4098" width="17.28515625" style="215" customWidth="1"/>
    <col min="4099" max="4099" width="18.5703125" style="215" customWidth="1"/>
    <col min="4100" max="4100" width="8.140625" style="215" customWidth="1"/>
    <col min="4101" max="4101" width="5" style="215" customWidth="1"/>
    <col min="4102" max="4102" width="12.5703125" style="215" customWidth="1"/>
    <col min="4103" max="4103" width="8.140625" style="215" customWidth="1"/>
    <col min="4104" max="4104" width="18.7109375" style="215" customWidth="1"/>
    <col min="4105" max="4105" width="15" style="215" customWidth="1"/>
    <col min="4106" max="4352" width="9.140625" style="215"/>
    <col min="4353" max="4353" width="5.140625" style="215" customWidth="1"/>
    <col min="4354" max="4354" width="17.28515625" style="215" customWidth="1"/>
    <col min="4355" max="4355" width="18.5703125" style="215" customWidth="1"/>
    <col min="4356" max="4356" width="8.140625" style="215" customWidth="1"/>
    <col min="4357" max="4357" width="5" style="215" customWidth="1"/>
    <col min="4358" max="4358" width="12.5703125" style="215" customWidth="1"/>
    <col min="4359" max="4359" width="8.140625" style="215" customWidth="1"/>
    <col min="4360" max="4360" width="18.7109375" style="215" customWidth="1"/>
    <col min="4361" max="4361" width="15" style="215" customWidth="1"/>
    <col min="4362" max="4608" width="9.140625" style="215"/>
    <col min="4609" max="4609" width="5.140625" style="215" customWidth="1"/>
    <col min="4610" max="4610" width="17.28515625" style="215" customWidth="1"/>
    <col min="4611" max="4611" width="18.5703125" style="215" customWidth="1"/>
    <col min="4612" max="4612" width="8.140625" style="215" customWidth="1"/>
    <col min="4613" max="4613" width="5" style="215" customWidth="1"/>
    <col min="4614" max="4614" width="12.5703125" style="215" customWidth="1"/>
    <col min="4615" max="4615" width="8.140625" style="215" customWidth="1"/>
    <col min="4616" max="4616" width="18.7109375" style="215" customWidth="1"/>
    <col min="4617" max="4617" width="15" style="215" customWidth="1"/>
    <col min="4618" max="4864" width="9.140625" style="215"/>
    <col min="4865" max="4865" width="5.140625" style="215" customWidth="1"/>
    <col min="4866" max="4866" width="17.28515625" style="215" customWidth="1"/>
    <col min="4867" max="4867" width="18.5703125" style="215" customWidth="1"/>
    <col min="4868" max="4868" width="8.140625" style="215" customWidth="1"/>
    <col min="4869" max="4869" width="5" style="215" customWidth="1"/>
    <col min="4870" max="4870" width="12.5703125" style="215" customWidth="1"/>
    <col min="4871" max="4871" width="8.140625" style="215" customWidth="1"/>
    <col min="4872" max="4872" width="18.7109375" style="215" customWidth="1"/>
    <col min="4873" max="4873" width="15" style="215" customWidth="1"/>
    <col min="4874" max="5120" width="9.140625" style="215"/>
    <col min="5121" max="5121" width="5.140625" style="215" customWidth="1"/>
    <col min="5122" max="5122" width="17.28515625" style="215" customWidth="1"/>
    <col min="5123" max="5123" width="18.5703125" style="215" customWidth="1"/>
    <col min="5124" max="5124" width="8.140625" style="215" customWidth="1"/>
    <col min="5125" max="5125" width="5" style="215" customWidth="1"/>
    <col min="5126" max="5126" width="12.5703125" style="215" customWidth="1"/>
    <col min="5127" max="5127" width="8.140625" style="215" customWidth="1"/>
    <col min="5128" max="5128" width="18.7109375" style="215" customWidth="1"/>
    <col min="5129" max="5129" width="15" style="215" customWidth="1"/>
    <col min="5130" max="5376" width="9.140625" style="215"/>
    <col min="5377" max="5377" width="5.140625" style="215" customWidth="1"/>
    <col min="5378" max="5378" width="17.28515625" style="215" customWidth="1"/>
    <col min="5379" max="5379" width="18.5703125" style="215" customWidth="1"/>
    <col min="5380" max="5380" width="8.140625" style="215" customWidth="1"/>
    <col min="5381" max="5381" width="5" style="215" customWidth="1"/>
    <col min="5382" max="5382" width="12.5703125" style="215" customWidth="1"/>
    <col min="5383" max="5383" width="8.140625" style="215" customWidth="1"/>
    <col min="5384" max="5384" width="18.7109375" style="215" customWidth="1"/>
    <col min="5385" max="5385" width="15" style="215" customWidth="1"/>
    <col min="5386" max="5632" width="9.140625" style="215"/>
    <col min="5633" max="5633" width="5.140625" style="215" customWidth="1"/>
    <col min="5634" max="5634" width="17.28515625" style="215" customWidth="1"/>
    <col min="5635" max="5635" width="18.5703125" style="215" customWidth="1"/>
    <col min="5636" max="5636" width="8.140625" style="215" customWidth="1"/>
    <col min="5637" max="5637" width="5" style="215" customWidth="1"/>
    <col min="5638" max="5638" width="12.5703125" style="215" customWidth="1"/>
    <col min="5639" max="5639" width="8.140625" style="215" customWidth="1"/>
    <col min="5640" max="5640" width="18.7109375" style="215" customWidth="1"/>
    <col min="5641" max="5641" width="15" style="215" customWidth="1"/>
    <col min="5642" max="5888" width="9.140625" style="215"/>
    <col min="5889" max="5889" width="5.140625" style="215" customWidth="1"/>
    <col min="5890" max="5890" width="17.28515625" style="215" customWidth="1"/>
    <col min="5891" max="5891" width="18.5703125" style="215" customWidth="1"/>
    <col min="5892" max="5892" width="8.140625" style="215" customWidth="1"/>
    <col min="5893" max="5893" width="5" style="215" customWidth="1"/>
    <col min="5894" max="5894" width="12.5703125" style="215" customWidth="1"/>
    <col min="5895" max="5895" width="8.140625" style="215" customWidth="1"/>
    <col min="5896" max="5896" width="18.7109375" style="215" customWidth="1"/>
    <col min="5897" max="5897" width="15" style="215" customWidth="1"/>
    <col min="5898" max="6144" width="9.140625" style="215"/>
    <col min="6145" max="6145" width="5.140625" style="215" customWidth="1"/>
    <col min="6146" max="6146" width="17.28515625" style="215" customWidth="1"/>
    <col min="6147" max="6147" width="18.5703125" style="215" customWidth="1"/>
    <col min="6148" max="6148" width="8.140625" style="215" customWidth="1"/>
    <col min="6149" max="6149" width="5" style="215" customWidth="1"/>
    <col min="6150" max="6150" width="12.5703125" style="215" customWidth="1"/>
    <col min="6151" max="6151" width="8.140625" style="215" customWidth="1"/>
    <col min="6152" max="6152" width="18.7109375" style="215" customWidth="1"/>
    <col min="6153" max="6153" width="15" style="215" customWidth="1"/>
    <col min="6154" max="6400" width="9.140625" style="215"/>
    <col min="6401" max="6401" width="5.140625" style="215" customWidth="1"/>
    <col min="6402" max="6402" width="17.28515625" style="215" customWidth="1"/>
    <col min="6403" max="6403" width="18.5703125" style="215" customWidth="1"/>
    <col min="6404" max="6404" width="8.140625" style="215" customWidth="1"/>
    <col min="6405" max="6405" width="5" style="215" customWidth="1"/>
    <col min="6406" max="6406" width="12.5703125" style="215" customWidth="1"/>
    <col min="6407" max="6407" width="8.140625" style="215" customWidth="1"/>
    <col min="6408" max="6408" width="18.7109375" style="215" customWidth="1"/>
    <col min="6409" max="6409" width="15" style="215" customWidth="1"/>
    <col min="6410" max="6656" width="9.140625" style="215"/>
    <col min="6657" max="6657" width="5.140625" style="215" customWidth="1"/>
    <col min="6658" max="6658" width="17.28515625" style="215" customWidth="1"/>
    <col min="6659" max="6659" width="18.5703125" style="215" customWidth="1"/>
    <col min="6660" max="6660" width="8.140625" style="215" customWidth="1"/>
    <col min="6661" max="6661" width="5" style="215" customWidth="1"/>
    <col min="6662" max="6662" width="12.5703125" style="215" customWidth="1"/>
    <col min="6663" max="6663" width="8.140625" style="215" customWidth="1"/>
    <col min="6664" max="6664" width="18.7109375" style="215" customWidth="1"/>
    <col min="6665" max="6665" width="15" style="215" customWidth="1"/>
    <col min="6666" max="6912" width="9.140625" style="215"/>
    <col min="6913" max="6913" width="5.140625" style="215" customWidth="1"/>
    <col min="6914" max="6914" width="17.28515625" style="215" customWidth="1"/>
    <col min="6915" max="6915" width="18.5703125" style="215" customWidth="1"/>
    <col min="6916" max="6916" width="8.140625" style="215" customWidth="1"/>
    <col min="6917" max="6917" width="5" style="215" customWidth="1"/>
    <col min="6918" max="6918" width="12.5703125" style="215" customWidth="1"/>
    <col min="6919" max="6919" width="8.140625" style="215" customWidth="1"/>
    <col min="6920" max="6920" width="18.7109375" style="215" customWidth="1"/>
    <col min="6921" max="6921" width="15" style="215" customWidth="1"/>
    <col min="6922" max="7168" width="9.140625" style="215"/>
    <col min="7169" max="7169" width="5.140625" style="215" customWidth="1"/>
    <col min="7170" max="7170" width="17.28515625" style="215" customWidth="1"/>
    <col min="7171" max="7171" width="18.5703125" style="215" customWidth="1"/>
    <col min="7172" max="7172" width="8.140625" style="215" customWidth="1"/>
    <col min="7173" max="7173" width="5" style="215" customWidth="1"/>
    <col min="7174" max="7174" width="12.5703125" style="215" customWidth="1"/>
    <col min="7175" max="7175" width="8.140625" style="215" customWidth="1"/>
    <col min="7176" max="7176" width="18.7109375" style="215" customWidth="1"/>
    <col min="7177" max="7177" width="15" style="215" customWidth="1"/>
    <col min="7178" max="7424" width="9.140625" style="215"/>
    <col min="7425" max="7425" width="5.140625" style="215" customWidth="1"/>
    <col min="7426" max="7426" width="17.28515625" style="215" customWidth="1"/>
    <col min="7427" max="7427" width="18.5703125" style="215" customWidth="1"/>
    <col min="7428" max="7428" width="8.140625" style="215" customWidth="1"/>
    <col min="7429" max="7429" width="5" style="215" customWidth="1"/>
    <col min="7430" max="7430" width="12.5703125" style="215" customWidth="1"/>
    <col min="7431" max="7431" width="8.140625" style="215" customWidth="1"/>
    <col min="7432" max="7432" width="18.7109375" style="215" customWidth="1"/>
    <col min="7433" max="7433" width="15" style="215" customWidth="1"/>
    <col min="7434" max="7680" width="9.140625" style="215"/>
    <col min="7681" max="7681" width="5.140625" style="215" customWidth="1"/>
    <col min="7682" max="7682" width="17.28515625" style="215" customWidth="1"/>
    <col min="7683" max="7683" width="18.5703125" style="215" customWidth="1"/>
    <col min="7684" max="7684" width="8.140625" style="215" customWidth="1"/>
    <col min="7685" max="7685" width="5" style="215" customWidth="1"/>
    <col min="7686" max="7686" width="12.5703125" style="215" customWidth="1"/>
    <col min="7687" max="7687" width="8.140625" style="215" customWidth="1"/>
    <col min="7688" max="7688" width="18.7109375" style="215" customWidth="1"/>
    <col min="7689" max="7689" width="15" style="215" customWidth="1"/>
    <col min="7690" max="7936" width="9.140625" style="215"/>
    <col min="7937" max="7937" width="5.140625" style="215" customWidth="1"/>
    <col min="7938" max="7938" width="17.28515625" style="215" customWidth="1"/>
    <col min="7939" max="7939" width="18.5703125" style="215" customWidth="1"/>
    <col min="7940" max="7940" width="8.140625" style="215" customWidth="1"/>
    <col min="7941" max="7941" width="5" style="215" customWidth="1"/>
    <col min="7942" max="7942" width="12.5703125" style="215" customWidth="1"/>
    <col min="7943" max="7943" width="8.140625" style="215" customWidth="1"/>
    <col min="7944" max="7944" width="18.7109375" style="215" customWidth="1"/>
    <col min="7945" max="7945" width="15" style="215" customWidth="1"/>
    <col min="7946" max="8192" width="9.140625" style="215"/>
    <col min="8193" max="8193" width="5.140625" style="215" customWidth="1"/>
    <col min="8194" max="8194" width="17.28515625" style="215" customWidth="1"/>
    <col min="8195" max="8195" width="18.5703125" style="215" customWidth="1"/>
    <col min="8196" max="8196" width="8.140625" style="215" customWidth="1"/>
    <col min="8197" max="8197" width="5" style="215" customWidth="1"/>
    <col min="8198" max="8198" width="12.5703125" style="215" customWidth="1"/>
    <col min="8199" max="8199" width="8.140625" style="215" customWidth="1"/>
    <col min="8200" max="8200" width="18.7109375" style="215" customWidth="1"/>
    <col min="8201" max="8201" width="15" style="215" customWidth="1"/>
    <col min="8202" max="8448" width="9.140625" style="215"/>
    <col min="8449" max="8449" width="5.140625" style="215" customWidth="1"/>
    <col min="8450" max="8450" width="17.28515625" style="215" customWidth="1"/>
    <col min="8451" max="8451" width="18.5703125" style="215" customWidth="1"/>
    <col min="8452" max="8452" width="8.140625" style="215" customWidth="1"/>
    <col min="8453" max="8453" width="5" style="215" customWidth="1"/>
    <col min="8454" max="8454" width="12.5703125" style="215" customWidth="1"/>
    <col min="8455" max="8455" width="8.140625" style="215" customWidth="1"/>
    <col min="8456" max="8456" width="18.7109375" style="215" customWidth="1"/>
    <col min="8457" max="8457" width="15" style="215" customWidth="1"/>
    <col min="8458" max="8704" width="9.140625" style="215"/>
    <col min="8705" max="8705" width="5.140625" style="215" customWidth="1"/>
    <col min="8706" max="8706" width="17.28515625" style="215" customWidth="1"/>
    <col min="8707" max="8707" width="18.5703125" style="215" customWidth="1"/>
    <col min="8708" max="8708" width="8.140625" style="215" customWidth="1"/>
    <col min="8709" max="8709" width="5" style="215" customWidth="1"/>
    <col min="8710" max="8710" width="12.5703125" style="215" customWidth="1"/>
    <col min="8711" max="8711" width="8.140625" style="215" customWidth="1"/>
    <col min="8712" max="8712" width="18.7109375" style="215" customWidth="1"/>
    <col min="8713" max="8713" width="15" style="215" customWidth="1"/>
    <col min="8714" max="8960" width="9.140625" style="215"/>
    <col min="8961" max="8961" width="5.140625" style="215" customWidth="1"/>
    <col min="8962" max="8962" width="17.28515625" style="215" customWidth="1"/>
    <col min="8963" max="8963" width="18.5703125" style="215" customWidth="1"/>
    <col min="8964" max="8964" width="8.140625" style="215" customWidth="1"/>
    <col min="8965" max="8965" width="5" style="215" customWidth="1"/>
    <col min="8966" max="8966" width="12.5703125" style="215" customWidth="1"/>
    <col min="8967" max="8967" width="8.140625" style="215" customWidth="1"/>
    <col min="8968" max="8968" width="18.7109375" style="215" customWidth="1"/>
    <col min="8969" max="8969" width="15" style="215" customWidth="1"/>
    <col min="8970" max="9216" width="9.140625" style="215"/>
    <col min="9217" max="9217" width="5.140625" style="215" customWidth="1"/>
    <col min="9218" max="9218" width="17.28515625" style="215" customWidth="1"/>
    <col min="9219" max="9219" width="18.5703125" style="215" customWidth="1"/>
    <col min="9220" max="9220" width="8.140625" style="215" customWidth="1"/>
    <col min="9221" max="9221" width="5" style="215" customWidth="1"/>
    <col min="9222" max="9222" width="12.5703125" style="215" customWidth="1"/>
    <col min="9223" max="9223" width="8.140625" style="215" customWidth="1"/>
    <col min="9224" max="9224" width="18.7109375" style="215" customWidth="1"/>
    <col min="9225" max="9225" width="15" style="215" customWidth="1"/>
    <col min="9226" max="9472" width="9.140625" style="215"/>
    <col min="9473" max="9473" width="5.140625" style="215" customWidth="1"/>
    <col min="9474" max="9474" width="17.28515625" style="215" customWidth="1"/>
    <col min="9475" max="9475" width="18.5703125" style="215" customWidth="1"/>
    <col min="9476" max="9476" width="8.140625" style="215" customWidth="1"/>
    <col min="9477" max="9477" width="5" style="215" customWidth="1"/>
    <col min="9478" max="9478" width="12.5703125" style="215" customWidth="1"/>
    <col min="9479" max="9479" width="8.140625" style="215" customWidth="1"/>
    <col min="9480" max="9480" width="18.7109375" style="215" customWidth="1"/>
    <col min="9481" max="9481" width="15" style="215" customWidth="1"/>
    <col min="9482" max="9728" width="9.140625" style="215"/>
    <col min="9729" max="9729" width="5.140625" style="215" customWidth="1"/>
    <col min="9730" max="9730" width="17.28515625" style="215" customWidth="1"/>
    <col min="9731" max="9731" width="18.5703125" style="215" customWidth="1"/>
    <col min="9732" max="9732" width="8.140625" style="215" customWidth="1"/>
    <col min="9733" max="9733" width="5" style="215" customWidth="1"/>
    <col min="9734" max="9734" width="12.5703125" style="215" customWidth="1"/>
    <col min="9735" max="9735" width="8.140625" style="215" customWidth="1"/>
    <col min="9736" max="9736" width="18.7109375" style="215" customWidth="1"/>
    <col min="9737" max="9737" width="15" style="215" customWidth="1"/>
    <col min="9738" max="9984" width="9.140625" style="215"/>
    <col min="9985" max="9985" width="5.140625" style="215" customWidth="1"/>
    <col min="9986" max="9986" width="17.28515625" style="215" customWidth="1"/>
    <col min="9987" max="9987" width="18.5703125" style="215" customWidth="1"/>
    <col min="9988" max="9988" width="8.140625" style="215" customWidth="1"/>
    <col min="9989" max="9989" width="5" style="215" customWidth="1"/>
    <col min="9990" max="9990" width="12.5703125" style="215" customWidth="1"/>
    <col min="9991" max="9991" width="8.140625" style="215" customWidth="1"/>
    <col min="9992" max="9992" width="18.7109375" style="215" customWidth="1"/>
    <col min="9993" max="9993" width="15" style="215" customWidth="1"/>
    <col min="9994" max="10240" width="9.140625" style="215"/>
    <col min="10241" max="10241" width="5.140625" style="215" customWidth="1"/>
    <col min="10242" max="10242" width="17.28515625" style="215" customWidth="1"/>
    <col min="10243" max="10243" width="18.5703125" style="215" customWidth="1"/>
    <col min="10244" max="10244" width="8.140625" style="215" customWidth="1"/>
    <col min="10245" max="10245" width="5" style="215" customWidth="1"/>
    <col min="10246" max="10246" width="12.5703125" style="215" customWidth="1"/>
    <col min="10247" max="10247" width="8.140625" style="215" customWidth="1"/>
    <col min="10248" max="10248" width="18.7109375" style="215" customWidth="1"/>
    <col min="10249" max="10249" width="15" style="215" customWidth="1"/>
    <col min="10250" max="10496" width="9.140625" style="215"/>
    <col min="10497" max="10497" width="5.140625" style="215" customWidth="1"/>
    <col min="10498" max="10498" width="17.28515625" style="215" customWidth="1"/>
    <col min="10499" max="10499" width="18.5703125" style="215" customWidth="1"/>
    <col min="10500" max="10500" width="8.140625" style="215" customWidth="1"/>
    <col min="10501" max="10501" width="5" style="215" customWidth="1"/>
    <col min="10502" max="10502" width="12.5703125" style="215" customWidth="1"/>
    <col min="10503" max="10503" width="8.140625" style="215" customWidth="1"/>
    <col min="10504" max="10504" width="18.7109375" style="215" customWidth="1"/>
    <col min="10505" max="10505" width="15" style="215" customWidth="1"/>
    <col min="10506" max="10752" width="9.140625" style="215"/>
    <col min="10753" max="10753" width="5.140625" style="215" customWidth="1"/>
    <col min="10754" max="10754" width="17.28515625" style="215" customWidth="1"/>
    <col min="10755" max="10755" width="18.5703125" style="215" customWidth="1"/>
    <col min="10756" max="10756" width="8.140625" style="215" customWidth="1"/>
    <col min="10757" max="10757" width="5" style="215" customWidth="1"/>
    <col min="10758" max="10758" width="12.5703125" style="215" customWidth="1"/>
    <col min="10759" max="10759" width="8.140625" style="215" customWidth="1"/>
    <col min="10760" max="10760" width="18.7109375" style="215" customWidth="1"/>
    <col min="10761" max="10761" width="15" style="215" customWidth="1"/>
    <col min="10762" max="11008" width="9.140625" style="215"/>
    <col min="11009" max="11009" width="5.140625" style="215" customWidth="1"/>
    <col min="11010" max="11010" width="17.28515625" style="215" customWidth="1"/>
    <col min="11011" max="11011" width="18.5703125" style="215" customWidth="1"/>
    <col min="11012" max="11012" width="8.140625" style="215" customWidth="1"/>
    <col min="11013" max="11013" width="5" style="215" customWidth="1"/>
    <col min="11014" max="11014" width="12.5703125" style="215" customWidth="1"/>
    <col min="11015" max="11015" width="8.140625" style="215" customWidth="1"/>
    <col min="11016" max="11016" width="18.7109375" style="215" customWidth="1"/>
    <col min="11017" max="11017" width="15" style="215" customWidth="1"/>
    <col min="11018" max="11264" width="9.140625" style="215"/>
    <col min="11265" max="11265" width="5.140625" style="215" customWidth="1"/>
    <col min="11266" max="11266" width="17.28515625" style="215" customWidth="1"/>
    <col min="11267" max="11267" width="18.5703125" style="215" customWidth="1"/>
    <col min="11268" max="11268" width="8.140625" style="215" customWidth="1"/>
    <col min="11269" max="11269" width="5" style="215" customWidth="1"/>
    <col min="11270" max="11270" width="12.5703125" style="215" customWidth="1"/>
    <col min="11271" max="11271" width="8.140625" style="215" customWidth="1"/>
    <col min="11272" max="11272" width="18.7109375" style="215" customWidth="1"/>
    <col min="11273" max="11273" width="15" style="215" customWidth="1"/>
    <col min="11274" max="11520" width="9.140625" style="215"/>
    <col min="11521" max="11521" width="5.140625" style="215" customWidth="1"/>
    <col min="11522" max="11522" width="17.28515625" style="215" customWidth="1"/>
    <col min="11523" max="11523" width="18.5703125" style="215" customWidth="1"/>
    <col min="11524" max="11524" width="8.140625" style="215" customWidth="1"/>
    <col min="11525" max="11525" width="5" style="215" customWidth="1"/>
    <col min="11526" max="11526" width="12.5703125" style="215" customWidth="1"/>
    <col min="11527" max="11527" width="8.140625" style="215" customWidth="1"/>
    <col min="11528" max="11528" width="18.7109375" style="215" customWidth="1"/>
    <col min="11529" max="11529" width="15" style="215" customWidth="1"/>
    <col min="11530" max="11776" width="9.140625" style="215"/>
    <col min="11777" max="11777" width="5.140625" style="215" customWidth="1"/>
    <col min="11778" max="11778" width="17.28515625" style="215" customWidth="1"/>
    <col min="11779" max="11779" width="18.5703125" style="215" customWidth="1"/>
    <col min="11780" max="11780" width="8.140625" style="215" customWidth="1"/>
    <col min="11781" max="11781" width="5" style="215" customWidth="1"/>
    <col min="11782" max="11782" width="12.5703125" style="215" customWidth="1"/>
    <col min="11783" max="11783" width="8.140625" style="215" customWidth="1"/>
    <col min="11784" max="11784" width="18.7109375" style="215" customWidth="1"/>
    <col min="11785" max="11785" width="15" style="215" customWidth="1"/>
    <col min="11786" max="12032" width="9.140625" style="215"/>
    <col min="12033" max="12033" width="5.140625" style="215" customWidth="1"/>
    <col min="12034" max="12034" width="17.28515625" style="215" customWidth="1"/>
    <col min="12035" max="12035" width="18.5703125" style="215" customWidth="1"/>
    <col min="12036" max="12036" width="8.140625" style="215" customWidth="1"/>
    <col min="12037" max="12037" width="5" style="215" customWidth="1"/>
    <col min="12038" max="12038" width="12.5703125" style="215" customWidth="1"/>
    <col min="12039" max="12039" width="8.140625" style="215" customWidth="1"/>
    <col min="12040" max="12040" width="18.7109375" style="215" customWidth="1"/>
    <col min="12041" max="12041" width="15" style="215" customWidth="1"/>
    <col min="12042" max="12288" width="9.140625" style="215"/>
    <col min="12289" max="12289" width="5.140625" style="215" customWidth="1"/>
    <col min="12290" max="12290" width="17.28515625" style="215" customWidth="1"/>
    <col min="12291" max="12291" width="18.5703125" style="215" customWidth="1"/>
    <col min="12292" max="12292" width="8.140625" style="215" customWidth="1"/>
    <col min="12293" max="12293" width="5" style="215" customWidth="1"/>
    <col min="12294" max="12294" width="12.5703125" style="215" customWidth="1"/>
    <col min="12295" max="12295" width="8.140625" style="215" customWidth="1"/>
    <col min="12296" max="12296" width="18.7109375" style="215" customWidth="1"/>
    <col min="12297" max="12297" width="15" style="215" customWidth="1"/>
    <col min="12298" max="12544" width="9.140625" style="215"/>
    <col min="12545" max="12545" width="5.140625" style="215" customWidth="1"/>
    <col min="12546" max="12546" width="17.28515625" style="215" customWidth="1"/>
    <col min="12547" max="12547" width="18.5703125" style="215" customWidth="1"/>
    <col min="12548" max="12548" width="8.140625" style="215" customWidth="1"/>
    <col min="12549" max="12549" width="5" style="215" customWidth="1"/>
    <col min="12550" max="12550" width="12.5703125" style="215" customWidth="1"/>
    <col min="12551" max="12551" width="8.140625" style="215" customWidth="1"/>
    <col min="12552" max="12552" width="18.7109375" style="215" customWidth="1"/>
    <col min="12553" max="12553" width="15" style="215" customWidth="1"/>
    <col min="12554" max="12800" width="9.140625" style="215"/>
    <col min="12801" max="12801" width="5.140625" style="215" customWidth="1"/>
    <col min="12802" max="12802" width="17.28515625" style="215" customWidth="1"/>
    <col min="12803" max="12803" width="18.5703125" style="215" customWidth="1"/>
    <col min="12804" max="12804" width="8.140625" style="215" customWidth="1"/>
    <col min="12805" max="12805" width="5" style="215" customWidth="1"/>
    <col min="12806" max="12806" width="12.5703125" style="215" customWidth="1"/>
    <col min="12807" max="12807" width="8.140625" style="215" customWidth="1"/>
    <col min="12808" max="12808" width="18.7109375" style="215" customWidth="1"/>
    <col min="12809" max="12809" width="15" style="215" customWidth="1"/>
    <col min="12810" max="13056" width="9.140625" style="215"/>
    <col min="13057" max="13057" width="5.140625" style="215" customWidth="1"/>
    <col min="13058" max="13058" width="17.28515625" style="215" customWidth="1"/>
    <col min="13059" max="13059" width="18.5703125" style="215" customWidth="1"/>
    <col min="13060" max="13060" width="8.140625" style="215" customWidth="1"/>
    <col min="13061" max="13061" width="5" style="215" customWidth="1"/>
    <col min="13062" max="13062" width="12.5703125" style="215" customWidth="1"/>
    <col min="13063" max="13063" width="8.140625" style="215" customWidth="1"/>
    <col min="13064" max="13064" width="18.7109375" style="215" customWidth="1"/>
    <col min="13065" max="13065" width="15" style="215" customWidth="1"/>
    <col min="13066" max="13312" width="9.140625" style="215"/>
    <col min="13313" max="13313" width="5.140625" style="215" customWidth="1"/>
    <col min="13314" max="13314" width="17.28515625" style="215" customWidth="1"/>
    <col min="13315" max="13315" width="18.5703125" style="215" customWidth="1"/>
    <col min="13316" max="13316" width="8.140625" style="215" customWidth="1"/>
    <col min="13317" max="13317" width="5" style="215" customWidth="1"/>
    <col min="13318" max="13318" width="12.5703125" style="215" customWidth="1"/>
    <col min="13319" max="13319" width="8.140625" style="215" customWidth="1"/>
    <col min="13320" max="13320" width="18.7109375" style="215" customWidth="1"/>
    <col min="13321" max="13321" width="15" style="215" customWidth="1"/>
    <col min="13322" max="13568" width="9.140625" style="215"/>
    <col min="13569" max="13569" width="5.140625" style="215" customWidth="1"/>
    <col min="13570" max="13570" width="17.28515625" style="215" customWidth="1"/>
    <col min="13571" max="13571" width="18.5703125" style="215" customWidth="1"/>
    <col min="13572" max="13572" width="8.140625" style="215" customWidth="1"/>
    <col min="13573" max="13573" width="5" style="215" customWidth="1"/>
    <col min="13574" max="13574" width="12.5703125" style="215" customWidth="1"/>
    <col min="13575" max="13575" width="8.140625" style="215" customWidth="1"/>
    <col min="13576" max="13576" width="18.7109375" style="215" customWidth="1"/>
    <col min="13577" max="13577" width="15" style="215" customWidth="1"/>
    <col min="13578" max="13824" width="9.140625" style="215"/>
    <col min="13825" max="13825" width="5.140625" style="215" customWidth="1"/>
    <col min="13826" max="13826" width="17.28515625" style="215" customWidth="1"/>
    <col min="13827" max="13827" width="18.5703125" style="215" customWidth="1"/>
    <col min="13828" max="13828" width="8.140625" style="215" customWidth="1"/>
    <col min="13829" max="13829" width="5" style="215" customWidth="1"/>
    <col min="13830" max="13830" width="12.5703125" style="215" customWidth="1"/>
    <col min="13831" max="13831" width="8.140625" style="215" customWidth="1"/>
    <col min="13832" max="13832" width="18.7109375" style="215" customWidth="1"/>
    <col min="13833" max="13833" width="15" style="215" customWidth="1"/>
    <col min="13834" max="14080" width="9.140625" style="215"/>
    <col min="14081" max="14081" width="5.140625" style="215" customWidth="1"/>
    <col min="14082" max="14082" width="17.28515625" style="215" customWidth="1"/>
    <col min="14083" max="14083" width="18.5703125" style="215" customWidth="1"/>
    <col min="14084" max="14084" width="8.140625" style="215" customWidth="1"/>
    <col min="14085" max="14085" width="5" style="215" customWidth="1"/>
    <col min="14086" max="14086" width="12.5703125" style="215" customWidth="1"/>
    <col min="14087" max="14087" width="8.140625" style="215" customWidth="1"/>
    <col min="14088" max="14088" width="18.7109375" style="215" customWidth="1"/>
    <col min="14089" max="14089" width="15" style="215" customWidth="1"/>
    <col min="14090" max="14336" width="9.140625" style="215"/>
    <col min="14337" max="14337" width="5.140625" style="215" customWidth="1"/>
    <col min="14338" max="14338" width="17.28515625" style="215" customWidth="1"/>
    <col min="14339" max="14339" width="18.5703125" style="215" customWidth="1"/>
    <col min="14340" max="14340" width="8.140625" style="215" customWidth="1"/>
    <col min="14341" max="14341" width="5" style="215" customWidth="1"/>
    <col min="14342" max="14342" width="12.5703125" style="215" customWidth="1"/>
    <col min="14343" max="14343" width="8.140625" style="215" customWidth="1"/>
    <col min="14344" max="14344" width="18.7109375" style="215" customWidth="1"/>
    <col min="14345" max="14345" width="15" style="215" customWidth="1"/>
    <col min="14346" max="14592" width="9.140625" style="215"/>
    <col min="14593" max="14593" width="5.140625" style="215" customWidth="1"/>
    <col min="14594" max="14594" width="17.28515625" style="215" customWidth="1"/>
    <col min="14595" max="14595" width="18.5703125" style="215" customWidth="1"/>
    <col min="14596" max="14596" width="8.140625" style="215" customWidth="1"/>
    <col min="14597" max="14597" width="5" style="215" customWidth="1"/>
    <col min="14598" max="14598" width="12.5703125" style="215" customWidth="1"/>
    <col min="14599" max="14599" width="8.140625" style="215" customWidth="1"/>
    <col min="14600" max="14600" width="18.7109375" style="215" customWidth="1"/>
    <col min="14601" max="14601" width="15" style="215" customWidth="1"/>
    <col min="14602" max="14848" width="9.140625" style="215"/>
    <col min="14849" max="14849" width="5.140625" style="215" customWidth="1"/>
    <col min="14850" max="14850" width="17.28515625" style="215" customWidth="1"/>
    <col min="14851" max="14851" width="18.5703125" style="215" customWidth="1"/>
    <col min="14852" max="14852" width="8.140625" style="215" customWidth="1"/>
    <col min="14853" max="14853" width="5" style="215" customWidth="1"/>
    <col min="14854" max="14854" width="12.5703125" style="215" customWidth="1"/>
    <col min="14855" max="14855" width="8.140625" style="215" customWidth="1"/>
    <col min="14856" max="14856" width="18.7109375" style="215" customWidth="1"/>
    <col min="14857" max="14857" width="15" style="215" customWidth="1"/>
    <col min="14858" max="15104" width="9.140625" style="215"/>
    <col min="15105" max="15105" width="5.140625" style="215" customWidth="1"/>
    <col min="15106" max="15106" width="17.28515625" style="215" customWidth="1"/>
    <col min="15107" max="15107" width="18.5703125" style="215" customWidth="1"/>
    <col min="15108" max="15108" width="8.140625" style="215" customWidth="1"/>
    <col min="15109" max="15109" width="5" style="215" customWidth="1"/>
    <col min="15110" max="15110" width="12.5703125" style="215" customWidth="1"/>
    <col min="15111" max="15111" width="8.140625" style="215" customWidth="1"/>
    <col min="15112" max="15112" width="18.7109375" style="215" customWidth="1"/>
    <col min="15113" max="15113" width="15" style="215" customWidth="1"/>
    <col min="15114" max="15360" width="9.140625" style="215"/>
    <col min="15361" max="15361" width="5.140625" style="215" customWidth="1"/>
    <col min="15362" max="15362" width="17.28515625" style="215" customWidth="1"/>
    <col min="15363" max="15363" width="18.5703125" style="215" customWidth="1"/>
    <col min="15364" max="15364" width="8.140625" style="215" customWidth="1"/>
    <col min="15365" max="15365" width="5" style="215" customWidth="1"/>
    <col min="15366" max="15366" width="12.5703125" style="215" customWidth="1"/>
    <col min="15367" max="15367" width="8.140625" style="215" customWidth="1"/>
    <col min="15368" max="15368" width="18.7109375" style="215" customWidth="1"/>
    <col min="15369" max="15369" width="15" style="215" customWidth="1"/>
    <col min="15370" max="15616" width="9.140625" style="215"/>
    <col min="15617" max="15617" width="5.140625" style="215" customWidth="1"/>
    <col min="15618" max="15618" width="17.28515625" style="215" customWidth="1"/>
    <col min="15619" max="15619" width="18.5703125" style="215" customWidth="1"/>
    <col min="15620" max="15620" width="8.140625" style="215" customWidth="1"/>
    <col min="15621" max="15621" width="5" style="215" customWidth="1"/>
    <col min="15622" max="15622" width="12.5703125" style="215" customWidth="1"/>
    <col min="15623" max="15623" width="8.140625" style="215" customWidth="1"/>
    <col min="15624" max="15624" width="18.7109375" style="215" customWidth="1"/>
    <col min="15625" max="15625" width="15" style="215" customWidth="1"/>
    <col min="15626" max="15872" width="9.140625" style="215"/>
    <col min="15873" max="15873" width="5.140625" style="215" customWidth="1"/>
    <col min="15874" max="15874" width="17.28515625" style="215" customWidth="1"/>
    <col min="15875" max="15875" width="18.5703125" style="215" customWidth="1"/>
    <col min="15876" max="15876" width="8.140625" style="215" customWidth="1"/>
    <col min="15877" max="15877" width="5" style="215" customWidth="1"/>
    <col min="15878" max="15878" width="12.5703125" style="215" customWidth="1"/>
    <col min="15879" max="15879" width="8.140625" style="215" customWidth="1"/>
    <col min="15880" max="15880" width="18.7109375" style="215" customWidth="1"/>
    <col min="15881" max="15881" width="15" style="215" customWidth="1"/>
    <col min="15882" max="16128" width="9.140625" style="215"/>
    <col min="16129" max="16129" width="5.140625" style="215" customWidth="1"/>
    <col min="16130" max="16130" width="17.28515625" style="215" customWidth="1"/>
    <col min="16131" max="16131" width="18.5703125" style="215" customWidth="1"/>
    <col min="16132" max="16132" width="8.140625" style="215" customWidth="1"/>
    <col min="16133" max="16133" width="5" style="215" customWidth="1"/>
    <col min="16134" max="16134" width="12.5703125" style="215" customWidth="1"/>
    <col min="16135" max="16135" width="8.140625" style="215" customWidth="1"/>
    <col min="16136" max="16136" width="18.7109375" style="215" customWidth="1"/>
    <col min="16137" max="16137" width="15" style="215" customWidth="1"/>
    <col min="16138" max="16384" width="9.140625" style="215"/>
  </cols>
  <sheetData>
    <row r="1" spans="1:11" ht="46.5" customHeight="1">
      <c r="A1" s="228" t="s">
        <v>200</v>
      </c>
      <c r="B1" s="230" t="s">
        <v>250</v>
      </c>
      <c r="C1" s="515"/>
      <c r="D1" s="229"/>
      <c r="E1" s="229"/>
      <c r="F1" s="229"/>
      <c r="G1" s="231"/>
      <c r="H1" s="232"/>
      <c r="I1" s="230"/>
    </row>
    <row r="2" spans="1:11" ht="18.75" customHeight="1">
      <c r="C2" s="216"/>
      <c r="G2" s="216"/>
      <c r="I2" s="532"/>
    </row>
    <row r="3" spans="1:11" ht="24" customHeight="1">
      <c r="A3" s="680" t="s">
        <v>210</v>
      </c>
      <c r="B3" s="681"/>
      <c r="C3" s="682"/>
      <c r="D3" s="683"/>
      <c r="E3" s="683"/>
      <c r="F3" s="683"/>
      <c r="G3" s="684"/>
      <c r="H3" s="684"/>
      <c r="I3" s="685"/>
    </row>
    <row r="4" spans="1:11" s="217" customFormat="1" ht="30.75" customHeight="1">
      <c r="A4" s="670" t="s">
        <v>211</v>
      </c>
      <c r="B4" s="671"/>
      <c r="C4" s="672"/>
      <c r="D4" s="673"/>
      <c r="E4" s="673"/>
      <c r="F4" s="673"/>
      <c r="G4" s="673"/>
      <c r="H4" s="673"/>
      <c r="I4" s="674"/>
      <c r="K4"/>
    </row>
    <row r="5" spans="1:11" ht="30.75" customHeight="1">
      <c r="A5" s="686" t="s">
        <v>212</v>
      </c>
      <c r="B5" s="687"/>
      <c r="C5" s="688"/>
      <c r="D5" s="689"/>
      <c r="E5" s="689"/>
      <c r="F5" s="689"/>
      <c r="G5" s="689"/>
      <c r="H5" s="689"/>
      <c r="I5" s="690"/>
    </row>
    <row r="6" spans="1:11" ht="30.75" customHeight="1">
      <c r="A6" s="697"/>
      <c r="B6" s="698"/>
      <c r="C6" s="691"/>
      <c r="D6" s="692"/>
      <c r="E6" s="692"/>
      <c r="F6" s="692"/>
      <c r="G6" s="692"/>
      <c r="H6" s="692"/>
      <c r="I6" s="693"/>
    </row>
    <row r="7" spans="1:11" ht="30.75" customHeight="1">
      <c r="A7" s="699"/>
      <c r="B7" s="700"/>
      <c r="C7" s="694"/>
      <c r="D7" s="695"/>
      <c r="E7" s="695"/>
      <c r="F7" s="695"/>
      <c r="G7" s="695"/>
      <c r="H7" s="695"/>
      <c r="I7" s="696"/>
    </row>
    <row r="8" spans="1:11" ht="24" customHeight="1">
      <c r="A8" s="670" t="s">
        <v>213</v>
      </c>
      <c r="B8" s="671"/>
      <c r="C8" s="672"/>
      <c r="D8" s="673"/>
      <c r="E8" s="673"/>
      <c r="F8" s="673"/>
      <c r="G8" s="673"/>
      <c r="H8" s="673"/>
      <c r="I8" s="674"/>
    </row>
    <row r="9" spans="1:11" ht="24" customHeight="1">
      <c r="A9" s="670" t="s">
        <v>214</v>
      </c>
      <c r="B9" s="671"/>
      <c r="C9" s="672"/>
      <c r="D9" s="673"/>
      <c r="E9" s="673"/>
      <c r="F9" s="673"/>
      <c r="G9" s="673"/>
      <c r="H9" s="673"/>
      <c r="I9" s="674"/>
    </row>
    <row r="10" spans="1:11" ht="24" customHeight="1">
      <c r="A10" s="670" t="s">
        <v>215</v>
      </c>
      <c r="B10" s="671"/>
      <c r="C10" s="672"/>
      <c r="D10" s="673"/>
      <c r="E10" s="673"/>
      <c r="F10" s="673"/>
      <c r="G10" s="673"/>
      <c r="H10" s="673"/>
      <c r="I10" s="674"/>
    </row>
    <row r="11" spans="1:11" ht="18.75" customHeight="1">
      <c r="A11" s="675"/>
      <c r="B11" s="675"/>
      <c r="C11" s="675"/>
      <c r="D11" s="675"/>
      <c r="E11" s="675"/>
      <c r="F11" s="675"/>
      <c r="G11" s="675"/>
      <c r="H11" s="675"/>
      <c r="I11" s="675"/>
    </row>
    <row r="12" spans="1:11" ht="24" customHeight="1">
      <c r="A12" s="676" t="s">
        <v>216</v>
      </c>
      <c r="B12" s="677"/>
      <c r="C12" s="677"/>
      <c r="D12" s="677"/>
      <c r="E12" s="677"/>
      <c r="F12" s="677"/>
      <c r="G12" s="677"/>
      <c r="H12" s="677"/>
      <c r="I12" s="678"/>
    </row>
    <row r="13" spans="1:11" ht="37.5" customHeight="1">
      <c r="A13" s="670" t="s">
        <v>217</v>
      </c>
      <c r="B13" s="671"/>
      <c r="C13" s="308" t="s">
        <v>218</v>
      </c>
      <c r="D13" s="679"/>
      <c r="E13" s="668"/>
      <c r="F13" s="668"/>
      <c r="G13" s="669"/>
      <c r="H13" s="309" t="s">
        <v>219</v>
      </c>
      <c r="I13" s="310"/>
    </row>
    <row r="14" spans="1:11" ht="31.5" customHeight="1">
      <c r="A14" s="686" t="s">
        <v>220</v>
      </c>
      <c r="B14" s="687"/>
      <c r="C14" s="308" t="s">
        <v>221</v>
      </c>
      <c r="D14" s="679"/>
      <c r="E14" s="668"/>
      <c r="F14" s="668"/>
      <c r="G14" s="669"/>
      <c r="H14" s="309" t="s">
        <v>222</v>
      </c>
      <c r="I14" s="321"/>
    </row>
    <row r="15" spans="1:11" ht="30" customHeight="1">
      <c r="A15" s="665"/>
      <c r="B15" s="666"/>
      <c r="C15" s="308" t="s">
        <v>223</v>
      </c>
      <c r="D15" s="667"/>
      <c r="E15" s="668"/>
      <c r="F15" s="668"/>
      <c r="G15" s="669"/>
      <c r="H15" s="309" t="s">
        <v>224</v>
      </c>
      <c r="I15" s="322"/>
    </row>
    <row r="16" spans="1:11" ht="24" customHeight="1">
      <c r="A16" s="670" t="s">
        <v>225</v>
      </c>
      <c r="B16" s="671"/>
      <c r="C16" s="308" t="s">
        <v>222</v>
      </c>
      <c r="D16" s="667"/>
      <c r="E16" s="668"/>
      <c r="F16" s="668"/>
      <c r="G16" s="669"/>
      <c r="H16" s="309" t="s">
        <v>226</v>
      </c>
      <c r="I16" s="322"/>
    </row>
    <row r="17" spans="1:9" ht="24" customHeight="1">
      <c r="A17" s="670" t="s">
        <v>203</v>
      </c>
      <c r="B17" s="671"/>
      <c r="C17" s="308" t="s">
        <v>222</v>
      </c>
      <c r="D17" s="667"/>
      <c r="E17" s="668"/>
      <c r="F17" s="668"/>
      <c r="G17" s="669"/>
      <c r="H17" s="309" t="s">
        <v>226</v>
      </c>
      <c r="I17" s="322"/>
    </row>
    <row r="18" spans="1:9" ht="24" customHeight="1">
      <c r="A18" s="670" t="s">
        <v>227</v>
      </c>
      <c r="B18" s="671"/>
      <c r="C18" s="308" t="s">
        <v>222</v>
      </c>
      <c r="D18" s="667"/>
      <c r="E18" s="668"/>
      <c r="F18" s="668"/>
      <c r="G18" s="669"/>
      <c r="H18" s="309" t="s">
        <v>226</v>
      </c>
      <c r="I18" s="322"/>
    </row>
    <row r="19" spans="1:9" ht="30" customHeight="1">
      <c r="A19" s="686" t="s">
        <v>197</v>
      </c>
      <c r="B19" s="687"/>
      <c r="C19" s="308" t="s">
        <v>226</v>
      </c>
      <c r="D19" s="667"/>
      <c r="E19" s="668"/>
      <c r="F19" s="668"/>
      <c r="G19" s="669"/>
      <c r="H19" s="311" t="s">
        <v>228</v>
      </c>
      <c r="I19" s="323"/>
    </row>
    <row r="20" spans="1:9" ht="30" customHeight="1">
      <c r="A20" s="670" t="s">
        <v>229</v>
      </c>
      <c r="B20" s="671"/>
      <c r="C20" s="324"/>
      <c r="D20" s="704" t="s">
        <v>230</v>
      </c>
      <c r="E20" s="705"/>
      <c r="F20" s="706"/>
      <c r="G20" s="669"/>
      <c r="H20" s="309" t="s">
        <v>231</v>
      </c>
      <c r="I20" s="324"/>
    </row>
    <row r="21" spans="1:9" ht="16.5" customHeight="1">
      <c r="A21" s="675"/>
      <c r="B21" s="675"/>
      <c r="C21" s="675"/>
      <c r="D21" s="675"/>
      <c r="E21" s="675"/>
      <c r="F21" s="675"/>
      <c r="G21" s="675"/>
      <c r="H21" s="675"/>
      <c r="I21" s="675"/>
    </row>
    <row r="22" spans="1:9" ht="24" customHeight="1">
      <c r="A22" s="676" t="s">
        <v>232</v>
      </c>
      <c r="B22" s="677"/>
      <c r="C22" s="677"/>
      <c r="D22" s="677"/>
      <c r="E22" s="677"/>
      <c r="F22" s="677"/>
      <c r="G22" s="677"/>
      <c r="H22" s="677"/>
      <c r="I22" s="678"/>
    </row>
    <row r="23" spans="1:9" ht="25.5" customHeight="1">
      <c r="A23" s="701"/>
      <c r="B23" s="702"/>
      <c r="C23" s="702"/>
      <c r="D23" s="702"/>
      <c r="E23" s="702"/>
      <c r="F23" s="702"/>
      <c r="G23" s="702"/>
      <c r="H23" s="702"/>
      <c r="I23" s="703"/>
    </row>
    <row r="24" spans="1:9" ht="18.75" customHeight="1">
      <c r="A24" s="312"/>
      <c r="B24" s="312"/>
      <c r="C24" s="312"/>
      <c r="D24" s="312"/>
      <c r="E24" s="312"/>
      <c r="F24" s="312"/>
      <c r="G24" s="312"/>
      <c r="H24" s="312"/>
      <c r="I24" s="312"/>
    </row>
    <row r="25" spans="1:9" ht="24" customHeight="1">
      <c r="A25" s="676" t="s">
        <v>233</v>
      </c>
      <c r="B25" s="677"/>
      <c r="C25" s="677"/>
      <c r="D25" s="677"/>
      <c r="E25" s="677"/>
      <c r="F25" s="677"/>
      <c r="G25" s="677"/>
      <c r="H25" s="677"/>
      <c r="I25" s="678"/>
    </row>
    <row r="26" spans="1:9" ht="22.5" customHeight="1">
      <c r="A26" s="670" t="s">
        <v>234</v>
      </c>
      <c r="B26" s="671"/>
      <c r="C26" s="672"/>
      <c r="D26" s="673"/>
      <c r="E26" s="673"/>
      <c r="F26" s="673"/>
      <c r="G26" s="673"/>
      <c r="H26" s="673"/>
      <c r="I26" s="674"/>
    </row>
    <row r="27" spans="1:9" ht="22.5" customHeight="1">
      <c r="A27" s="670" t="s">
        <v>235</v>
      </c>
      <c r="B27" s="671"/>
      <c r="C27" s="672"/>
      <c r="D27" s="673"/>
      <c r="E27" s="673"/>
      <c r="F27" s="673"/>
      <c r="G27" s="673"/>
      <c r="H27" s="673"/>
      <c r="I27" s="674"/>
    </row>
    <row r="28" spans="1:9" ht="22.5" customHeight="1">
      <c r="A28" s="670" t="s">
        <v>236</v>
      </c>
      <c r="B28" s="671"/>
      <c r="C28" s="672"/>
      <c r="D28" s="673"/>
      <c r="E28" s="673"/>
      <c r="F28" s="673"/>
      <c r="G28" s="673"/>
      <c r="H28" s="673"/>
      <c r="I28" s="674"/>
    </row>
    <row r="29" spans="1:9" ht="22.5" customHeight="1">
      <c r="A29" s="670" t="s">
        <v>237</v>
      </c>
      <c r="B29" s="671"/>
      <c r="C29" s="672"/>
      <c r="D29" s="673"/>
      <c r="E29" s="673"/>
      <c r="F29" s="673"/>
      <c r="G29" s="673"/>
      <c r="H29" s="673"/>
      <c r="I29" s="674"/>
    </row>
    <row r="30" spans="1:9" ht="16.5" customHeight="1">
      <c r="A30" s="673"/>
      <c r="B30" s="673"/>
      <c r="C30" s="673"/>
      <c r="D30" s="673"/>
      <c r="E30" s="673"/>
      <c r="F30" s="673"/>
      <c r="G30" s="673"/>
      <c r="H30" s="673"/>
      <c r="I30" s="673"/>
    </row>
    <row r="31" spans="1:9" ht="24" customHeight="1">
      <c r="A31" s="676" t="s">
        <v>240</v>
      </c>
      <c r="B31" s="677"/>
      <c r="C31" s="677"/>
      <c r="D31" s="677"/>
      <c r="E31" s="677"/>
      <c r="F31" s="677"/>
      <c r="G31" s="677"/>
      <c r="H31" s="677"/>
      <c r="I31" s="678"/>
    </row>
    <row r="32" spans="1:9" ht="21" customHeight="1">
      <c r="A32" s="670" t="s">
        <v>241</v>
      </c>
      <c r="B32" s="671"/>
      <c r="C32" s="313"/>
      <c r="D32" s="707" t="s">
        <v>242</v>
      </c>
      <c r="E32" s="708"/>
      <c r="F32" s="708"/>
      <c r="G32" s="709"/>
      <c r="H32" s="314"/>
      <c r="I32" s="315"/>
    </row>
    <row r="33" spans="1:9" ht="21" customHeight="1">
      <c r="A33" s="670" t="s">
        <v>243</v>
      </c>
      <c r="B33" s="671"/>
      <c r="C33" s="710"/>
      <c r="D33" s="711"/>
      <c r="E33" s="711"/>
      <c r="F33" s="711"/>
      <c r="G33" s="711"/>
      <c r="H33" s="711"/>
      <c r="I33" s="712"/>
    </row>
    <row r="34" spans="1:9" ht="19.5" customHeight="1">
      <c r="A34" s="317"/>
      <c r="B34" s="317"/>
      <c r="C34" s="316"/>
      <c r="D34" s="316"/>
      <c r="E34" s="316"/>
      <c r="F34" s="316"/>
      <c r="G34" s="316"/>
      <c r="H34" s="316"/>
      <c r="I34" s="316"/>
    </row>
    <row r="35" spans="1:9" ht="24" customHeight="1">
      <c r="A35" s="676" t="s">
        <v>244</v>
      </c>
      <c r="B35" s="677"/>
      <c r="C35" s="677"/>
      <c r="D35" s="677"/>
      <c r="E35" s="677"/>
      <c r="F35" s="677"/>
      <c r="G35" s="677"/>
      <c r="H35" s="677"/>
      <c r="I35" s="678"/>
    </row>
    <row r="36" spans="1:9" ht="21.75" customHeight="1">
      <c r="A36" s="670" t="s">
        <v>245</v>
      </c>
      <c r="B36" s="671"/>
      <c r="C36" s="313"/>
      <c r="D36" s="707" t="s">
        <v>246</v>
      </c>
      <c r="E36" s="708"/>
      <c r="F36" s="708"/>
      <c r="G36" s="709"/>
      <c r="H36" s="368"/>
      <c r="I36" s="318"/>
    </row>
    <row r="37" spans="1:9" ht="21.75" customHeight="1">
      <c r="A37" s="670" t="s">
        <v>206</v>
      </c>
      <c r="B37" s="671"/>
      <c r="C37" s="313"/>
      <c r="D37" s="707" t="s">
        <v>247</v>
      </c>
      <c r="E37" s="708"/>
      <c r="F37" s="708"/>
      <c r="G37" s="709"/>
      <c r="H37" s="368"/>
      <c r="I37" s="318"/>
    </row>
    <row r="38" spans="1:9" ht="21.75" customHeight="1">
      <c r="A38" s="670" t="s">
        <v>247</v>
      </c>
      <c r="B38" s="671"/>
      <c r="C38" s="319"/>
      <c r="D38" s="707" t="s">
        <v>255</v>
      </c>
      <c r="E38" s="708"/>
      <c r="F38" s="708"/>
      <c r="G38" s="709"/>
      <c r="H38" s="540">
        <v>0</v>
      </c>
      <c r="I38" s="318"/>
    </row>
  </sheetData>
  <mergeCells count="56">
    <mergeCell ref="A38:B38"/>
    <mergeCell ref="D38:G38"/>
    <mergeCell ref="A35:I35"/>
    <mergeCell ref="A36:B36"/>
    <mergeCell ref="A37:B37"/>
    <mergeCell ref="D36:G36"/>
    <mergeCell ref="D37:G37"/>
    <mergeCell ref="A31:I31"/>
    <mergeCell ref="A32:B32"/>
    <mergeCell ref="D32:G32"/>
    <mergeCell ref="A33:B33"/>
    <mergeCell ref="C33:I33"/>
    <mergeCell ref="A29:B29"/>
    <mergeCell ref="C29:I29"/>
    <mergeCell ref="A30:I30"/>
    <mergeCell ref="A25:I25"/>
    <mergeCell ref="A26:B26"/>
    <mergeCell ref="C26:I26"/>
    <mergeCell ref="A27:B27"/>
    <mergeCell ref="C27:I27"/>
    <mergeCell ref="A28:B28"/>
    <mergeCell ref="C28:I28"/>
    <mergeCell ref="A16:B16"/>
    <mergeCell ref="D16:G16"/>
    <mergeCell ref="A23:I23"/>
    <mergeCell ref="A17:B17"/>
    <mergeCell ref="D17:G17"/>
    <mergeCell ref="A18:B18"/>
    <mergeCell ref="D18:G18"/>
    <mergeCell ref="A19:B19"/>
    <mergeCell ref="D19:G19"/>
    <mergeCell ref="A20:B20"/>
    <mergeCell ref="D20:E20"/>
    <mergeCell ref="F20:G20"/>
    <mergeCell ref="A21:I21"/>
    <mergeCell ref="A22:I22"/>
    <mergeCell ref="A3:B3"/>
    <mergeCell ref="C3:I3"/>
    <mergeCell ref="A4:B4"/>
    <mergeCell ref="C4:I4"/>
    <mergeCell ref="A14:B14"/>
    <mergeCell ref="D14:G14"/>
    <mergeCell ref="A8:B8"/>
    <mergeCell ref="C8:I8"/>
    <mergeCell ref="A9:B9"/>
    <mergeCell ref="C9:I9"/>
    <mergeCell ref="C5:I7"/>
    <mergeCell ref="A5:B7"/>
    <mergeCell ref="A15:B15"/>
    <mergeCell ref="D15:G15"/>
    <mergeCell ref="A10:B10"/>
    <mergeCell ref="C10:I10"/>
    <mergeCell ref="A11:I11"/>
    <mergeCell ref="A12:I12"/>
    <mergeCell ref="A13:B13"/>
    <mergeCell ref="D13:G13"/>
  </mergeCells>
  <pageMargins left="0.7" right="0.7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"/>
  <sheetViews>
    <sheetView view="pageBreakPreview" topLeftCell="A16" zoomScale="80" zoomScaleNormal="80" zoomScaleSheetLayoutView="80" workbookViewId="0">
      <selection activeCell="H35" sqref="H35"/>
    </sheetView>
  </sheetViews>
  <sheetFormatPr defaultRowHeight="15"/>
  <cols>
    <col min="1" max="1" width="6.7109375" customWidth="1"/>
    <col min="2" max="2" width="25.28515625" customWidth="1"/>
    <col min="3" max="3" width="22.42578125" customWidth="1"/>
    <col min="4" max="4" width="6.85546875" customWidth="1"/>
    <col min="5" max="5" width="25.42578125" customWidth="1"/>
    <col min="6" max="6" width="22.42578125" customWidth="1"/>
    <col min="8" max="8" width="64.28515625" customWidth="1"/>
  </cols>
  <sheetData>
    <row r="1" spans="1:11" s="215" customFormat="1" ht="46.5" customHeight="1">
      <c r="A1" s="228" t="s">
        <v>200</v>
      </c>
      <c r="B1" s="230" t="s">
        <v>277</v>
      </c>
      <c r="C1" s="515"/>
      <c r="D1" s="229"/>
      <c r="E1" s="229"/>
      <c r="F1" s="229"/>
    </row>
    <row r="2" spans="1:11" s="215" customFormat="1" ht="12.75"/>
    <row r="3" spans="1:11" ht="34.5" customHeight="1">
      <c r="A3" s="721" t="s">
        <v>281</v>
      </c>
      <c r="B3" s="719"/>
      <c r="C3" s="719"/>
      <c r="D3" s="719"/>
      <c r="E3" s="719"/>
      <c r="F3" s="720"/>
    </row>
    <row r="4" spans="1:11" ht="18" customHeight="1">
      <c r="G4" s="535"/>
      <c r="H4" s="535"/>
      <c r="I4" s="535"/>
      <c r="J4" s="535"/>
      <c r="K4" s="535"/>
    </row>
    <row r="5" spans="1:11" ht="18" customHeight="1">
      <c r="A5" s="717" t="s">
        <v>288</v>
      </c>
      <c r="B5" s="718"/>
      <c r="C5" s="533"/>
      <c r="D5" s="717" t="s">
        <v>289</v>
      </c>
      <c r="E5" s="718"/>
      <c r="F5" s="534"/>
      <c r="G5" s="725"/>
      <c r="H5" s="725"/>
      <c r="I5" s="725"/>
      <c r="J5" s="725"/>
      <c r="K5" s="535"/>
    </row>
    <row r="6" spans="1:11" ht="18" customHeight="1">
      <c r="A6" s="717" t="s">
        <v>290</v>
      </c>
      <c r="B6" s="718"/>
      <c r="C6" s="533"/>
      <c r="D6" s="717" t="s">
        <v>291</v>
      </c>
      <c r="E6" s="718"/>
      <c r="F6" s="534"/>
      <c r="G6" s="722"/>
      <c r="H6" s="722"/>
      <c r="I6" s="536"/>
      <c r="J6" s="537"/>
      <c r="K6" s="535"/>
    </row>
    <row r="7" spans="1:11" ht="18" customHeight="1">
      <c r="A7" s="717" t="s">
        <v>292</v>
      </c>
      <c r="B7" s="718"/>
      <c r="C7" s="533"/>
      <c r="D7" s="717" t="s">
        <v>293</v>
      </c>
      <c r="E7" s="718"/>
      <c r="F7" s="534"/>
      <c r="G7" s="722"/>
      <c r="H7" s="722"/>
      <c r="I7" s="536"/>
      <c r="J7" s="537"/>
      <c r="K7" s="535"/>
    </row>
    <row r="8" spans="1:11" ht="18" customHeight="1">
      <c r="A8" s="717" t="s">
        <v>294</v>
      </c>
      <c r="B8" s="718"/>
      <c r="C8" s="533"/>
      <c r="D8" s="717" t="s">
        <v>295</v>
      </c>
      <c r="E8" s="718"/>
      <c r="F8" s="534"/>
      <c r="G8" s="722"/>
      <c r="H8" s="722"/>
      <c r="I8" s="536"/>
      <c r="J8" s="537"/>
      <c r="K8" s="535"/>
    </row>
    <row r="9" spans="1:11" ht="18" customHeight="1">
      <c r="A9" s="717" t="s">
        <v>296</v>
      </c>
      <c r="B9" s="718"/>
      <c r="C9" s="533"/>
      <c r="D9" s="717" t="s">
        <v>310</v>
      </c>
      <c r="E9" s="718"/>
      <c r="F9" s="534"/>
      <c r="G9" s="726"/>
      <c r="H9" s="726"/>
      <c r="I9" s="536"/>
      <c r="J9" s="537"/>
      <c r="K9" s="535"/>
    </row>
    <row r="10" spans="1:11" ht="18" customHeight="1">
      <c r="A10" s="717" t="s">
        <v>297</v>
      </c>
      <c r="B10" s="718"/>
      <c r="C10" s="533"/>
      <c r="D10" s="717" t="s">
        <v>310</v>
      </c>
      <c r="E10" s="718"/>
      <c r="F10" s="534"/>
      <c r="G10" s="726"/>
      <c r="H10" s="726"/>
      <c r="I10" s="536"/>
      <c r="J10" s="537"/>
      <c r="K10" s="535"/>
    </row>
    <row r="11" spans="1:11" ht="18" customHeight="1">
      <c r="A11" s="717" t="s">
        <v>298</v>
      </c>
      <c r="B11" s="718"/>
      <c r="C11" s="533"/>
      <c r="D11" s="717" t="s">
        <v>299</v>
      </c>
      <c r="E11" s="718"/>
      <c r="F11" s="534"/>
      <c r="G11" s="725"/>
      <c r="H11" s="725"/>
      <c r="I11" s="538"/>
      <c r="J11" s="537"/>
      <c r="K11" s="535"/>
    </row>
    <row r="12" spans="1:11" ht="18" customHeight="1">
      <c r="A12" s="717" t="s">
        <v>300</v>
      </c>
      <c r="B12" s="718"/>
      <c r="C12" s="533"/>
      <c r="D12" s="717" t="s">
        <v>301</v>
      </c>
      <c r="E12" s="718"/>
      <c r="F12" s="534"/>
      <c r="G12" s="722"/>
      <c r="H12" s="722"/>
      <c r="I12" s="536"/>
      <c r="J12" s="537"/>
      <c r="K12" s="535"/>
    </row>
    <row r="13" spans="1:11" ht="18" customHeight="1">
      <c r="A13" s="717" t="s">
        <v>294</v>
      </c>
      <c r="B13" s="718"/>
      <c r="C13" s="533"/>
      <c r="D13" s="717" t="s">
        <v>290</v>
      </c>
      <c r="E13" s="718"/>
      <c r="F13" s="534"/>
      <c r="G13" s="722"/>
      <c r="H13" s="722"/>
      <c r="I13" s="536"/>
      <c r="J13" s="537"/>
      <c r="K13" s="535"/>
    </row>
    <row r="14" spans="1:11" ht="18" customHeight="1">
      <c r="A14" s="717" t="s">
        <v>302</v>
      </c>
      <c r="B14" s="718"/>
      <c r="C14" s="533"/>
      <c r="D14" s="717" t="s">
        <v>303</v>
      </c>
      <c r="E14" s="718"/>
      <c r="F14" s="534"/>
      <c r="G14" s="722"/>
      <c r="H14" s="722"/>
      <c r="I14" s="536"/>
      <c r="J14" s="537"/>
      <c r="K14" s="535"/>
    </row>
    <row r="15" spans="1:11" ht="30.75" customHeight="1">
      <c r="A15" s="717" t="s">
        <v>304</v>
      </c>
      <c r="B15" s="718"/>
      <c r="C15" s="533"/>
      <c r="D15" s="717" t="s">
        <v>305</v>
      </c>
      <c r="E15" s="718"/>
      <c r="F15" s="534"/>
      <c r="G15" s="722"/>
      <c r="H15" s="722"/>
      <c r="I15" s="536"/>
      <c r="J15" s="537"/>
      <c r="K15" s="535"/>
    </row>
    <row r="16" spans="1:11" ht="18" customHeight="1">
      <c r="A16" s="717" t="s">
        <v>306</v>
      </c>
      <c r="B16" s="718"/>
      <c r="C16" s="533"/>
      <c r="D16" s="717" t="s">
        <v>307</v>
      </c>
      <c r="E16" s="718"/>
      <c r="F16" s="534"/>
      <c r="G16" s="722"/>
      <c r="H16" s="722"/>
      <c r="I16" s="536"/>
      <c r="J16" s="537"/>
      <c r="K16" s="535"/>
    </row>
    <row r="17" spans="1:11" ht="18" customHeight="1">
      <c r="A17" s="717" t="s">
        <v>308</v>
      </c>
      <c r="B17" s="718"/>
      <c r="C17" s="533"/>
      <c r="D17" s="717" t="s">
        <v>309</v>
      </c>
      <c r="E17" s="718"/>
      <c r="F17" s="534"/>
      <c r="G17" s="722"/>
      <c r="H17" s="722"/>
      <c r="I17" s="724"/>
      <c r="J17" s="724"/>
      <c r="K17" s="535"/>
    </row>
    <row r="18" spans="1:11" ht="18" customHeight="1">
      <c r="G18" s="535"/>
      <c r="H18" s="535"/>
      <c r="I18" s="535"/>
      <c r="J18" s="535"/>
      <c r="K18" s="535"/>
    </row>
    <row r="19" spans="1:11" s="215" customFormat="1" ht="42.75" customHeight="1">
      <c r="A19" s="721" t="s">
        <v>278</v>
      </c>
      <c r="B19" s="719"/>
      <c r="C19" s="719"/>
      <c r="D19" s="719" t="s">
        <v>279</v>
      </c>
      <c r="E19" s="719"/>
      <c r="F19" s="720"/>
      <c r="G19" s="539"/>
      <c r="H19" s="723"/>
      <c r="I19" s="723"/>
      <c r="J19" s="723"/>
      <c r="K19" s="539"/>
    </row>
    <row r="20" spans="1:11" s="215" customFormat="1" ht="18" customHeight="1">
      <c r="A20" s="558">
        <v>1</v>
      </c>
      <c r="B20" s="713"/>
      <c r="C20" s="714"/>
      <c r="D20" s="621">
        <v>1</v>
      </c>
      <c r="E20" s="713"/>
      <c r="F20" s="714"/>
    </row>
    <row r="21" spans="1:11" s="215" customFormat="1" ht="18" customHeight="1">
      <c r="A21" s="558">
        <v>2</v>
      </c>
      <c r="B21" s="713"/>
      <c r="C21" s="714"/>
      <c r="D21" s="621">
        <v>2</v>
      </c>
      <c r="E21" s="713"/>
      <c r="F21" s="714"/>
    </row>
    <row r="22" spans="1:11" s="215" customFormat="1" ht="18" customHeight="1">
      <c r="A22" s="558">
        <v>3</v>
      </c>
      <c r="B22" s="713"/>
      <c r="C22" s="714"/>
      <c r="D22" s="621">
        <v>3</v>
      </c>
      <c r="E22" s="713"/>
      <c r="F22" s="714"/>
    </row>
    <row r="23" spans="1:11" s="215" customFormat="1" ht="18" customHeight="1">
      <c r="A23" s="558">
        <v>4</v>
      </c>
      <c r="B23" s="713"/>
      <c r="C23" s="714"/>
      <c r="D23" s="621">
        <v>4</v>
      </c>
      <c r="E23" s="713"/>
      <c r="F23" s="714"/>
    </row>
    <row r="24" spans="1:11" s="215" customFormat="1" ht="18" customHeight="1">
      <c r="A24" s="558">
        <v>5</v>
      </c>
      <c r="B24" s="713"/>
      <c r="C24" s="714"/>
      <c r="D24" s="621">
        <v>5</v>
      </c>
      <c r="E24" s="713"/>
      <c r="F24" s="714"/>
    </row>
    <row r="25" spans="1:11" s="215" customFormat="1" ht="18" customHeight="1">
      <c r="A25" s="558">
        <v>6</v>
      </c>
      <c r="B25" s="713"/>
      <c r="C25" s="714"/>
      <c r="D25" s="621">
        <v>6</v>
      </c>
      <c r="E25" s="713"/>
      <c r="F25" s="714"/>
    </row>
    <row r="26" spans="1:11" s="215" customFormat="1" ht="18" customHeight="1">
      <c r="A26" s="558">
        <v>7</v>
      </c>
      <c r="B26" s="713"/>
      <c r="C26" s="714"/>
      <c r="D26" s="621">
        <v>7</v>
      </c>
      <c r="E26" s="713"/>
      <c r="F26" s="714"/>
    </row>
    <row r="27" spans="1:11" s="215" customFormat="1" ht="18" customHeight="1">
      <c r="A27" s="558">
        <v>8</v>
      </c>
      <c r="B27" s="713"/>
      <c r="C27" s="714"/>
      <c r="D27" s="621">
        <v>8</v>
      </c>
      <c r="E27" s="713"/>
      <c r="F27" s="714"/>
    </row>
    <row r="28" spans="1:11" s="215" customFormat="1" ht="18" customHeight="1">
      <c r="A28" s="558">
        <v>9</v>
      </c>
      <c r="B28" s="713"/>
      <c r="C28" s="714"/>
      <c r="D28" s="621">
        <v>9</v>
      </c>
      <c r="E28" s="713"/>
      <c r="F28" s="714"/>
    </row>
    <row r="29" spans="1:11" s="215" customFormat="1" ht="18" customHeight="1">
      <c r="A29" s="558">
        <v>10</v>
      </c>
      <c r="B29" s="713"/>
      <c r="C29" s="714"/>
      <c r="D29" s="621">
        <v>10</v>
      </c>
      <c r="E29" s="713"/>
      <c r="F29" s="714"/>
    </row>
    <row r="30" spans="1:11" s="215" customFormat="1" ht="18" customHeight="1">
      <c r="A30" s="558">
        <v>11</v>
      </c>
      <c r="B30" s="713"/>
      <c r="C30" s="714"/>
      <c r="D30" s="621">
        <v>11</v>
      </c>
      <c r="E30" s="713"/>
      <c r="F30" s="714"/>
    </row>
    <row r="31" spans="1:11" s="215" customFormat="1" ht="18" customHeight="1">
      <c r="A31" s="558">
        <v>12</v>
      </c>
      <c r="B31" s="713"/>
      <c r="C31" s="714"/>
      <c r="D31" s="621">
        <v>12</v>
      </c>
      <c r="E31" s="672"/>
      <c r="F31" s="674"/>
    </row>
    <row r="32" spans="1:11" s="215" customFormat="1" ht="18" customHeight="1">
      <c r="A32" s="558">
        <v>13</v>
      </c>
      <c r="B32" s="713"/>
      <c r="C32" s="714"/>
      <c r="D32" s="621">
        <v>13</v>
      </c>
      <c r="E32" s="672"/>
      <c r="F32" s="674"/>
    </row>
    <row r="33" spans="1:6" s="215" customFormat="1" ht="18" customHeight="1">
      <c r="A33" s="558">
        <v>14</v>
      </c>
      <c r="B33" s="713"/>
      <c r="C33" s="714"/>
      <c r="D33" s="621">
        <v>14</v>
      </c>
      <c r="E33" s="672"/>
      <c r="F33" s="674"/>
    </row>
    <row r="34" spans="1:6" s="215" customFormat="1" ht="18" customHeight="1">
      <c r="A34" s="558">
        <v>15</v>
      </c>
      <c r="B34" s="713"/>
      <c r="C34" s="714"/>
      <c r="D34" s="622">
        <v>15</v>
      </c>
      <c r="E34" s="672"/>
      <c r="F34" s="674"/>
    </row>
    <row r="35" spans="1:6" s="215" customFormat="1" ht="18" customHeight="1">
      <c r="A35" s="558">
        <v>16</v>
      </c>
      <c r="B35" s="713"/>
      <c r="C35" s="714"/>
      <c r="D35" s="622">
        <v>16</v>
      </c>
      <c r="E35" s="672"/>
      <c r="F35" s="674"/>
    </row>
    <row r="36" spans="1:6" s="215" customFormat="1" ht="18" customHeight="1">
      <c r="A36" s="558">
        <v>17</v>
      </c>
      <c r="B36" s="713"/>
      <c r="C36" s="714"/>
      <c r="D36" s="622">
        <v>17</v>
      </c>
      <c r="E36" s="672"/>
      <c r="F36" s="674"/>
    </row>
    <row r="37" spans="1:6" s="215" customFormat="1" ht="18" customHeight="1">
      <c r="A37"/>
      <c r="B37"/>
      <c r="C37"/>
      <c r="D37"/>
      <c r="E37"/>
      <c r="F37"/>
    </row>
    <row r="38" spans="1:6" s="215" customFormat="1" ht="38.25" customHeight="1">
      <c r="A38" s="676" t="s">
        <v>238</v>
      </c>
      <c r="B38" s="677"/>
      <c r="C38" s="677"/>
      <c r="D38" s="678"/>
      <c r="E38" s="715" t="s">
        <v>239</v>
      </c>
      <c r="F38" s="716"/>
    </row>
    <row r="39" spans="1:6" s="218" customFormat="1" ht="30" customHeight="1">
      <c r="A39" s="320" t="s">
        <v>204</v>
      </c>
      <c r="B39" s="672"/>
      <c r="C39" s="673"/>
      <c r="D39" s="674"/>
      <c r="E39" s="672"/>
      <c r="F39" s="674"/>
    </row>
    <row r="40" spans="1:6" s="218" customFormat="1" ht="30" customHeight="1">
      <c r="A40" s="320" t="s">
        <v>205</v>
      </c>
      <c r="B40" s="672"/>
      <c r="C40" s="673"/>
      <c r="D40" s="674"/>
      <c r="E40" s="672"/>
      <c r="F40" s="674"/>
    </row>
    <row r="41" spans="1:6" s="218" customFormat="1" ht="30" customHeight="1">
      <c r="A41" s="320" t="s">
        <v>258</v>
      </c>
      <c r="B41" s="672"/>
      <c r="C41" s="673"/>
      <c r="D41" s="674"/>
      <c r="E41" s="672"/>
      <c r="F41" s="674"/>
    </row>
    <row r="42" spans="1:6" s="218" customFormat="1" ht="30" customHeight="1">
      <c r="A42" s="320" t="s">
        <v>259</v>
      </c>
      <c r="B42" s="672"/>
      <c r="C42" s="673"/>
      <c r="D42" s="674"/>
      <c r="E42" s="672"/>
      <c r="F42" s="674"/>
    </row>
    <row r="43" spans="1:6" s="218" customFormat="1" ht="30" customHeight="1">
      <c r="A43" s="320" t="s">
        <v>266</v>
      </c>
      <c r="B43" s="672"/>
      <c r="C43" s="673"/>
      <c r="D43" s="674"/>
      <c r="E43" s="672"/>
      <c r="F43" s="674"/>
    </row>
  </sheetData>
  <mergeCells count="91">
    <mergeCell ref="A3:C3"/>
    <mergeCell ref="D3:F3"/>
    <mergeCell ref="H19:J19"/>
    <mergeCell ref="A5:B5"/>
    <mergeCell ref="A8:B8"/>
    <mergeCell ref="G16:H16"/>
    <mergeCell ref="G17:H17"/>
    <mergeCell ref="I17:J17"/>
    <mergeCell ref="G15:H15"/>
    <mergeCell ref="G5:J5"/>
    <mergeCell ref="G12:H12"/>
    <mergeCell ref="G13:H13"/>
    <mergeCell ref="G14:H14"/>
    <mergeCell ref="G9:H9"/>
    <mergeCell ref="G10:H10"/>
    <mergeCell ref="G11:H11"/>
    <mergeCell ref="G6:H6"/>
    <mergeCell ref="G7:H7"/>
    <mergeCell ref="G8:H8"/>
    <mergeCell ref="B34:C34"/>
    <mergeCell ref="B25:C25"/>
    <mergeCell ref="B26:C26"/>
    <mergeCell ref="B27:C27"/>
    <mergeCell ref="B28:C28"/>
    <mergeCell ref="B29:C29"/>
    <mergeCell ref="A17:B17"/>
    <mergeCell ref="B30:C30"/>
    <mergeCell ref="B31:C31"/>
    <mergeCell ref="B32:C32"/>
    <mergeCell ref="B33:C33"/>
    <mergeCell ref="B20:C20"/>
    <mergeCell ref="B21:C21"/>
    <mergeCell ref="B22:C22"/>
    <mergeCell ref="B23:C23"/>
    <mergeCell ref="B24:C24"/>
    <mergeCell ref="A19:C19"/>
    <mergeCell ref="A12:B12"/>
    <mergeCell ref="A13:B13"/>
    <mergeCell ref="A14:B14"/>
    <mergeCell ref="A15:B15"/>
    <mergeCell ref="A16:B16"/>
    <mergeCell ref="A6:B6"/>
    <mergeCell ref="A7:B7"/>
    <mergeCell ref="A9:B9"/>
    <mergeCell ref="A10:B10"/>
    <mergeCell ref="A11:B11"/>
    <mergeCell ref="E32:F32"/>
    <mergeCell ref="E33:F33"/>
    <mergeCell ref="E34:F34"/>
    <mergeCell ref="E25:F25"/>
    <mergeCell ref="E26:F26"/>
    <mergeCell ref="E27:F27"/>
    <mergeCell ref="E28:F28"/>
    <mergeCell ref="E29:F29"/>
    <mergeCell ref="D15:E15"/>
    <mergeCell ref="D16:E16"/>
    <mergeCell ref="D17:E17"/>
    <mergeCell ref="E30:F30"/>
    <mergeCell ref="E31:F31"/>
    <mergeCell ref="E20:F20"/>
    <mergeCell ref="E21:F21"/>
    <mergeCell ref="E22:F22"/>
    <mergeCell ref="E23:F23"/>
    <mergeCell ref="E24:F24"/>
    <mergeCell ref="D19:F1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D9:E9"/>
    <mergeCell ref="B43:D43"/>
    <mergeCell ref="E39:F39"/>
    <mergeCell ref="E40:F40"/>
    <mergeCell ref="E41:F41"/>
    <mergeCell ref="E42:F42"/>
    <mergeCell ref="E43:F43"/>
    <mergeCell ref="B39:D39"/>
    <mergeCell ref="B40:D40"/>
    <mergeCell ref="B41:D41"/>
    <mergeCell ref="B42:D42"/>
    <mergeCell ref="B35:C35"/>
    <mergeCell ref="E35:F35"/>
    <mergeCell ref="B36:C36"/>
    <mergeCell ref="E36:F36"/>
    <mergeCell ref="E38:F38"/>
    <mergeCell ref="A38:D38"/>
  </mergeCells>
  <pageMargins left="0.7" right="0.7" top="0.75" bottom="0.75" header="0.3" footer="0.3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7"/>
  <sheetViews>
    <sheetView showGridLines="0" view="pageBreakPreview" zoomScale="90" zoomScaleSheetLayoutView="90" workbookViewId="0">
      <selection activeCell="M51" sqref="M51"/>
    </sheetView>
  </sheetViews>
  <sheetFormatPr defaultRowHeight="14.25"/>
  <cols>
    <col min="1" max="1" width="4.7109375" style="3" customWidth="1"/>
    <col min="2" max="2" width="9" style="3" customWidth="1"/>
    <col min="3" max="3" width="41.5703125" style="3" customWidth="1"/>
    <col min="4" max="4" width="0.5703125" style="3" customWidth="1"/>
    <col min="5" max="5" width="12.28515625" style="19" customWidth="1"/>
    <col min="6" max="6" width="1" style="19" customWidth="1"/>
    <col min="7" max="7" width="9.5703125" style="19" customWidth="1"/>
    <col min="8" max="8" width="0.85546875" style="19" customWidth="1"/>
    <col min="9" max="9" width="12.28515625" style="19" customWidth="1"/>
    <col min="10" max="10" width="0.85546875" style="19" customWidth="1"/>
    <col min="11" max="11" width="9.7109375" style="3" customWidth="1"/>
    <col min="12" max="12" width="12" style="3" customWidth="1"/>
    <col min="13" max="13" width="12.28515625" style="3" customWidth="1"/>
    <col min="14" max="14" width="11.28515625" style="3" bestFit="1" customWidth="1"/>
    <col min="15" max="15" width="9.140625" style="3"/>
    <col min="16" max="16" width="14" style="3" customWidth="1"/>
    <col min="17" max="16384" width="9.140625" style="3"/>
  </cols>
  <sheetData>
    <row r="1" spans="1:20" ht="41.25" customHeight="1">
      <c r="A1" s="221"/>
      <c r="B1" s="219" t="s">
        <v>194</v>
      </c>
      <c r="C1" s="214" t="s">
        <v>209</v>
      </c>
      <c r="D1" s="222"/>
      <c r="H1" s="223"/>
      <c r="I1" s="242" t="s">
        <v>159</v>
      </c>
      <c r="J1" s="243"/>
      <c r="K1" s="244">
        <v>60</v>
      </c>
    </row>
    <row r="2" spans="1:20" ht="38.25" customHeight="1">
      <c r="A2" s="148"/>
      <c r="B2" s="224"/>
      <c r="C2" s="224"/>
      <c r="D2" s="225"/>
      <c r="E2" s="248"/>
      <c r="F2" s="249"/>
      <c r="G2" s="250"/>
      <c r="H2" s="249"/>
      <c r="I2" s="251"/>
      <c r="J2" s="252"/>
      <c r="K2" s="252"/>
    </row>
    <row r="3" spans="1:20" s="4" customFormat="1" ht="47.25" customHeight="1">
      <c r="B3" s="238" t="s">
        <v>194</v>
      </c>
      <c r="C3" s="237" t="s">
        <v>251</v>
      </c>
      <c r="D3" s="12"/>
      <c r="E3" s="233" t="s">
        <v>157</v>
      </c>
      <c r="F3" s="234"/>
      <c r="G3" s="233" t="s">
        <v>161</v>
      </c>
      <c r="H3" s="234"/>
      <c r="I3" s="235" t="s">
        <v>185</v>
      </c>
      <c r="J3" s="233"/>
      <c r="K3" s="236" t="s">
        <v>161</v>
      </c>
      <c r="P3" s="564"/>
    </row>
    <row r="4" spans="1:20" s="4" customFormat="1" ht="4.5" customHeight="1">
      <c r="B4" s="12"/>
      <c r="C4" s="12"/>
      <c r="D4" s="12"/>
      <c r="E4" s="55"/>
      <c r="F4" s="55"/>
      <c r="G4" s="55"/>
      <c r="H4" s="55"/>
      <c r="I4" s="56"/>
      <c r="J4" s="56"/>
      <c r="K4" s="58"/>
    </row>
    <row r="5" spans="1:20" s="4" customFormat="1" ht="17.25" customHeight="1">
      <c r="B5" s="54" t="s">
        <v>201</v>
      </c>
      <c r="C5" s="54" t="s">
        <v>186</v>
      </c>
      <c r="D5" s="12"/>
      <c r="E5" s="303">
        <f>'Summary L1'!F8</f>
        <v>0</v>
      </c>
      <c r="F5" s="64"/>
      <c r="G5" s="304">
        <v>0</v>
      </c>
      <c r="H5" s="64"/>
      <c r="I5" s="210">
        <f>E5</f>
        <v>0</v>
      </c>
      <c r="J5" s="65"/>
      <c r="K5" s="305">
        <v>0</v>
      </c>
      <c r="M5" s="293"/>
      <c r="P5" s="301"/>
    </row>
    <row r="6" spans="1:20" s="4" customFormat="1" ht="3.75" customHeight="1">
      <c r="B6" s="23"/>
      <c r="C6" s="24"/>
      <c r="D6" s="12"/>
      <c r="E6" s="17"/>
      <c r="F6" s="17"/>
      <c r="G6" s="284"/>
      <c r="H6" s="17"/>
      <c r="I6" s="17"/>
      <c r="J6" s="17"/>
      <c r="K6" s="281"/>
      <c r="M6" s="293"/>
    </row>
    <row r="7" spans="1:20" s="8" customFormat="1" ht="16.5" customHeight="1">
      <c r="B7" s="23" t="s">
        <v>0</v>
      </c>
      <c r="C7" s="24" t="s">
        <v>103</v>
      </c>
      <c r="D7" s="24"/>
      <c r="E7" s="17">
        <f>'Summary L1'!F18</f>
        <v>17004</v>
      </c>
      <c r="F7" s="17"/>
      <c r="G7" s="290">
        <v>0</v>
      </c>
      <c r="H7" s="17"/>
      <c r="I7" s="206">
        <f>'Summary L1'!H18</f>
        <v>9549.6810178248015</v>
      </c>
      <c r="J7" s="17"/>
      <c r="K7" s="291">
        <v>0</v>
      </c>
      <c r="M7" s="294"/>
      <c r="P7" s="563"/>
    </row>
    <row r="8" spans="1:20" s="8" customFormat="1" ht="4.5" customHeight="1">
      <c r="B8" s="28"/>
      <c r="C8" s="70"/>
      <c r="D8" s="70"/>
      <c r="E8" s="17"/>
      <c r="F8" s="17"/>
      <c r="G8" s="290"/>
      <c r="H8" s="17"/>
      <c r="I8" s="17"/>
      <c r="J8" s="17"/>
      <c r="K8" s="291"/>
      <c r="M8" s="294"/>
    </row>
    <row r="9" spans="1:20" s="8" customFormat="1" ht="16.5" customHeight="1">
      <c r="B9" s="23" t="s">
        <v>3</v>
      </c>
      <c r="C9" s="24" t="s">
        <v>164</v>
      </c>
      <c r="D9" s="24"/>
      <c r="E9" s="17">
        <f>'Summary L1'!F36</f>
        <v>1800000</v>
      </c>
      <c r="F9" s="17"/>
      <c r="G9" s="290">
        <v>0</v>
      </c>
      <c r="H9" s="17"/>
      <c r="I9" s="206">
        <f>'Summary L1'!H36</f>
        <v>1057691.460572992</v>
      </c>
      <c r="J9" s="17"/>
      <c r="K9" s="291">
        <v>0</v>
      </c>
      <c r="M9" s="294"/>
      <c r="P9" s="563"/>
    </row>
    <row r="10" spans="1:20" s="8" customFormat="1" ht="4.5" customHeight="1">
      <c r="B10" s="28"/>
      <c r="C10" s="27"/>
      <c r="D10" s="27"/>
      <c r="E10" s="17"/>
      <c r="F10" s="17"/>
      <c r="G10" s="290"/>
      <c r="H10" s="17"/>
      <c r="I10" s="17"/>
      <c r="J10" s="17"/>
      <c r="K10" s="291"/>
      <c r="M10" s="294"/>
    </row>
    <row r="11" spans="1:20" s="8" customFormat="1" ht="16.5" customHeight="1">
      <c r="B11" s="23" t="s">
        <v>4</v>
      </c>
      <c r="C11" s="24" t="s">
        <v>165</v>
      </c>
      <c r="D11" s="24"/>
      <c r="E11" s="17">
        <f>'Summary L1'!F56</f>
        <v>0</v>
      </c>
      <c r="F11" s="17"/>
      <c r="G11" s="290">
        <v>0</v>
      </c>
      <c r="H11" s="17"/>
      <c r="I11" s="206">
        <f>'Summary L1'!H56</f>
        <v>0</v>
      </c>
      <c r="J11" s="17"/>
      <c r="K11" s="291">
        <v>0</v>
      </c>
      <c r="M11" s="294"/>
      <c r="P11" s="563"/>
    </row>
    <row r="12" spans="1:20" s="69" customFormat="1" ht="4.5" customHeight="1">
      <c r="B12" s="28"/>
      <c r="C12" s="27"/>
      <c r="D12" s="27"/>
      <c r="E12" s="17"/>
      <c r="F12" s="17"/>
      <c r="G12" s="290"/>
      <c r="H12" s="17"/>
      <c r="I12" s="17"/>
      <c r="J12" s="17"/>
      <c r="K12" s="291"/>
      <c r="L12" s="8"/>
      <c r="M12" s="294"/>
      <c r="N12" s="8"/>
      <c r="O12" s="8"/>
      <c r="P12" s="8"/>
      <c r="Q12" s="8"/>
      <c r="R12" s="8"/>
      <c r="S12" s="8"/>
      <c r="T12" s="8"/>
    </row>
    <row r="13" spans="1:20" s="8" customFormat="1" ht="16.5" customHeight="1">
      <c r="B13" s="23" t="s">
        <v>5</v>
      </c>
      <c r="C13" s="24" t="s">
        <v>121</v>
      </c>
      <c r="D13" s="24"/>
      <c r="E13" s="17">
        <f>'Summary L1'!F64</f>
        <v>0</v>
      </c>
      <c r="F13" s="17"/>
      <c r="G13" s="290">
        <v>0</v>
      </c>
      <c r="H13" s="17"/>
      <c r="I13" s="206">
        <f>'Summary L1'!H64</f>
        <v>0</v>
      </c>
      <c r="J13" s="17"/>
      <c r="K13" s="291">
        <v>0</v>
      </c>
      <c r="M13" s="294"/>
      <c r="P13" s="563"/>
    </row>
    <row r="14" spans="1:20" s="8" customFormat="1" ht="4.5" customHeight="1">
      <c r="B14" s="23"/>
      <c r="C14" s="24"/>
      <c r="D14" s="24"/>
      <c r="E14" s="17"/>
      <c r="F14" s="17"/>
      <c r="G14" s="284"/>
      <c r="H14" s="17"/>
      <c r="I14" s="17"/>
      <c r="J14" s="17"/>
      <c r="K14" s="281"/>
      <c r="M14" s="294"/>
    </row>
    <row r="15" spans="1:20" s="31" customFormat="1" ht="17.25" customHeight="1">
      <c r="B15" s="20" t="s">
        <v>188</v>
      </c>
      <c r="C15" s="67" t="s">
        <v>263</v>
      </c>
      <c r="D15" s="67"/>
      <c r="E15" s="303">
        <f>SUM(E7:E14)</f>
        <v>1817004</v>
      </c>
      <c r="F15" s="64"/>
      <c r="G15" s="304">
        <v>0</v>
      </c>
      <c r="H15" s="64"/>
      <c r="I15" s="210">
        <f>SUM(I7:I14)</f>
        <v>1067241.1415908169</v>
      </c>
      <c r="J15" s="64"/>
      <c r="K15" s="304">
        <v>0</v>
      </c>
      <c r="M15" s="295"/>
      <c r="N15" s="326"/>
    </row>
    <row r="16" spans="1:20" ht="4.5" customHeight="1">
      <c r="E16" s="121"/>
      <c r="F16" s="121"/>
      <c r="G16" s="284"/>
      <c r="H16" s="121"/>
      <c r="I16" s="121"/>
      <c r="J16" s="121"/>
      <c r="K16" s="283"/>
      <c r="M16" s="296"/>
    </row>
    <row r="17" spans="2:16" ht="17.25" customHeight="1">
      <c r="B17" s="20" t="s">
        <v>265</v>
      </c>
      <c r="C17" s="67" t="s">
        <v>264</v>
      </c>
      <c r="D17" s="5"/>
      <c r="E17" s="191">
        <f>E5+E15</f>
        <v>1817004</v>
      </c>
      <c r="F17" s="121"/>
      <c r="G17" s="306">
        <v>0</v>
      </c>
      <c r="H17" s="121"/>
      <c r="I17" s="302">
        <f>I5+I15</f>
        <v>1067241.1415908169</v>
      </c>
      <c r="J17" s="121"/>
      <c r="K17" s="306">
        <v>0</v>
      </c>
      <c r="M17" s="296"/>
      <c r="N17" s="326"/>
    </row>
    <row r="18" spans="2:16" ht="3.75" customHeight="1">
      <c r="B18" s="5"/>
      <c r="C18" s="5"/>
      <c r="E18" s="121"/>
      <c r="F18" s="121"/>
      <c r="G18" s="284"/>
      <c r="H18" s="121"/>
      <c r="I18" s="121"/>
      <c r="J18" s="121"/>
      <c r="K18" s="281"/>
      <c r="M18" s="296"/>
    </row>
    <row r="19" spans="2:16" s="8" customFormat="1" ht="16.5" customHeight="1">
      <c r="B19" s="23" t="s">
        <v>162</v>
      </c>
      <c r="C19" s="25" t="s">
        <v>123</v>
      </c>
      <c r="D19" s="25"/>
      <c r="E19" s="71">
        <f>'Summary L1'!F74</f>
        <v>0</v>
      </c>
      <c r="F19" s="71"/>
      <c r="G19" s="290">
        <v>0</v>
      </c>
      <c r="H19" s="71"/>
      <c r="I19" s="207">
        <f>'Summary L1'!H74</f>
        <v>0</v>
      </c>
      <c r="J19" s="71"/>
      <c r="K19" s="291">
        <v>0</v>
      </c>
      <c r="M19" s="294"/>
      <c r="P19" s="563"/>
    </row>
    <row r="20" spans="2:16" s="8" customFormat="1" ht="3" customHeight="1">
      <c r="B20" s="23"/>
      <c r="C20" s="24"/>
      <c r="D20" s="24"/>
      <c r="E20" s="17"/>
      <c r="F20" s="17"/>
      <c r="G20" s="290"/>
      <c r="H20" s="17"/>
      <c r="I20" s="17"/>
      <c r="J20" s="17"/>
      <c r="K20" s="291"/>
      <c r="M20" s="294"/>
    </row>
    <row r="21" spans="2:16" s="8" customFormat="1" ht="17.25" customHeight="1">
      <c r="B21" s="23" t="s">
        <v>158</v>
      </c>
      <c r="C21" s="24" t="s">
        <v>167</v>
      </c>
      <c r="D21" s="24"/>
      <c r="E21" s="17">
        <f>'Summary L1'!F86</f>
        <v>0</v>
      </c>
      <c r="F21" s="17"/>
      <c r="G21" s="290">
        <v>0</v>
      </c>
      <c r="H21" s="17"/>
      <c r="I21" s="206">
        <f>'Summary L1'!H86</f>
        <v>0</v>
      </c>
      <c r="J21" s="17"/>
      <c r="K21" s="291">
        <v>0</v>
      </c>
      <c r="M21" s="294"/>
      <c r="P21" s="563"/>
    </row>
    <row r="22" spans="2:16" ht="4.5" customHeight="1">
      <c r="B22" s="5"/>
      <c r="C22" s="5"/>
      <c r="E22" s="121"/>
      <c r="F22" s="121"/>
      <c r="G22" s="290"/>
      <c r="H22" s="121"/>
      <c r="I22" s="121"/>
      <c r="J22" s="121"/>
      <c r="K22" s="291"/>
      <c r="M22" s="296"/>
    </row>
    <row r="23" spans="2:16" ht="16.5" customHeight="1">
      <c r="B23" s="23" t="s">
        <v>189</v>
      </c>
      <c r="C23" s="29" t="s">
        <v>190</v>
      </c>
      <c r="E23" s="121">
        <f>'Summary L1'!F82</f>
        <v>0</v>
      </c>
      <c r="F23" s="121"/>
      <c r="G23" s="290">
        <v>0</v>
      </c>
      <c r="H23" s="121"/>
      <c r="I23" s="208">
        <f>'Summary L1'!H82</f>
        <v>0</v>
      </c>
      <c r="J23" s="121"/>
      <c r="K23" s="291">
        <v>0</v>
      </c>
      <c r="M23" s="296"/>
      <c r="N23" s="301"/>
    </row>
    <row r="24" spans="2:16" ht="2.25" customHeight="1">
      <c r="B24" s="5"/>
      <c r="C24" s="5"/>
      <c r="E24" s="121"/>
      <c r="F24" s="121"/>
      <c r="G24" s="281"/>
      <c r="H24" s="121"/>
      <c r="I24" s="121"/>
      <c r="J24" s="121"/>
      <c r="K24" s="282"/>
      <c r="M24" s="296"/>
    </row>
    <row r="25" spans="2:16" ht="17.25" customHeight="1">
      <c r="B25" s="20" t="s">
        <v>168</v>
      </c>
      <c r="C25" s="58" t="s">
        <v>171</v>
      </c>
      <c r="D25" s="58"/>
      <c r="E25" s="191">
        <f>SUM(E17:E23)</f>
        <v>1817004</v>
      </c>
      <c r="F25" s="121"/>
      <c r="G25" s="306">
        <v>0</v>
      </c>
      <c r="H25" s="121"/>
      <c r="I25" s="211">
        <f>SUM(I17:I23)</f>
        <v>1067241.1415908169</v>
      </c>
      <c r="J25" s="121"/>
      <c r="K25" s="307">
        <v>0</v>
      </c>
      <c r="M25" s="296"/>
      <c r="N25" s="326"/>
    </row>
    <row r="26" spans="2:16" ht="4.5" customHeight="1">
      <c r="B26" s="29"/>
      <c r="C26" s="5"/>
      <c r="D26" s="5"/>
      <c r="E26" s="121"/>
      <c r="F26" s="121"/>
      <c r="G26" s="281"/>
      <c r="H26" s="121"/>
      <c r="I26" s="121"/>
      <c r="J26" s="121"/>
      <c r="K26" s="282"/>
      <c r="M26" s="296"/>
    </row>
    <row r="27" spans="2:16" ht="17.25" customHeight="1">
      <c r="B27" s="20" t="s">
        <v>187</v>
      </c>
      <c r="C27" s="5" t="s">
        <v>260</v>
      </c>
      <c r="D27" s="58"/>
      <c r="E27" s="121">
        <f>(E25*0.135)</f>
        <v>245295.54</v>
      </c>
      <c r="F27" s="121"/>
      <c r="G27" s="281">
        <v>0</v>
      </c>
      <c r="H27" s="121"/>
      <c r="I27" s="208">
        <f>I25*0.135</f>
        <v>144077.55411476028</v>
      </c>
      <c r="J27" s="121"/>
      <c r="K27" s="282">
        <v>0</v>
      </c>
      <c r="M27" s="296"/>
      <c r="N27" s="326"/>
    </row>
    <row r="28" spans="2:16" ht="4.5" customHeight="1">
      <c r="B28" s="29"/>
      <c r="C28" s="58"/>
      <c r="D28" s="58"/>
      <c r="E28" s="121"/>
      <c r="F28" s="121"/>
      <c r="G28" s="281"/>
      <c r="H28" s="121"/>
      <c r="I28" s="121"/>
      <c r="J28" s="121"/>
      <c r="K28" s="282"/>
      <c r="M28" s="296"/>
    </row>
    <row r="29" spans="2:16" ht="17.25" customHeight="1" thickBot="1">
      <c r="B29" s="146" t="s">
        <v>199</v>
      </c>
      <c r="C29" s="147" t="s">
        <v>195</v>
      </c>
      <c r="D29" s="58"/>
      <c r="E29" s="370">
        <f>SUM(E25:E27)</f>
        <v>2062299.54</v>
      </c>
      <c r="F29" s="121"/>
      <c r="G29" s="371">
        <v>0</v>
      </c>
      <c r="H29" s="121"/>
      <c r="I29" s="372">
        <f>SUM(I25:I28)</f>
        <v>1211318.6957055773</v>
      </c>
      <c r="J29" s="145"/>
      <c r="K29" s="373">
        <v>0</v>
      </c>
      <c r="M29" s="296"/>
      <c r="N29" s="326"/>
    </row>
    <row r="30" spans="2:16" ht="15.75" thickTop="1">
      <c r="B30" s="146"/>
      <c r="C30" s="147"/>
      <c r="D30" s="58"/>
      <c r="E30" s="121"/>
      <c r="F30" s="121"/>
      <c r="G30" s="281"/>
      <c r="H30" s="121"/>
      <c r="I30" s="3"/>
      <c r="J30" s="3"/>
      <c r="M30" s="296"/>
      <c r="N30" s="296"/>
    </row>
    <row r="31" spans="2:16" ht="10.5" customHeight="1">
      <c r="B31" s="5"/>
      <c r="C31" s="58"/>
      <c r="D31" s="58"/>
      <c r="E31" s="121"/>
      <c r="F31" s="226"/>
      <c r="G31" s="121"/>
      <c r="H31" s="121"/>
      <c r="I31" s="65"/>
      <c r="J31" s="65"/>
      <c r="K31" s="148"/>
      <c r="M31" s="296"/>
    </row>
    <row r="32" spans="2:16" ht="44.25" customHeight="1">
      <c r="B32" s="238" t="s">
        <v>170</v>
      </c>
      <c r="C32" s="237" t="s">
        <v>252</v>
      </c>
      <c r="D32" s="58"/>
      <c r="E32" s="212" t="s">
        <v>163</v>
      </c>
      <c r="F32" s="227"/>
      <c r="G32" s="72" t="s">
        <v>161</v>
      </c>
      <c r="H32" s="298"/>
      <c r="I32" s="72" t="s">
        <v>261</v>
      </c>
      <c r="J32" s="56"/>
      <c r="K32" s="287"/>
    </row>
    <row r="33" spans="2:20" ht="4.5" customHeight="1">
      <c r="B33" s="5"/>
      <c r="C33" s="5"/>
      <c r="D33" s="5"/>
      <c r="E33" s="121"/>
      <c r="F33" s="121"/>
      <c r="G33" s="121"/>
      <c r="H33" s="121"/>
      <c r="I33" s="65"/>
      <c r="J33" s="65"/>
      <c r="K33" s="148"/>
    </row>
    <row r="34" spans="2:20" s="8" customFormat="1" ht="16.5" customHeight="1">
      <c r="B34" s="23" t="s">
        <v>0</v>
      </c>
      <c r="C34" s="24" t="s">
        <v>103</v>
      </c>
      <c r="D34" s="24"/>
      <c r="E34" s="206">
        <f>'Summary L1'!E18</f>
        <v>283.39999999999998</v>
      </c>
      <c r="F34" s="17"/>
      <c r="G34" s="290">
        <v>0</v>
      </c>
      <c r="H34" s="17"/>
      <c r="I34" s="299">
        <f>E34/E41</f>
        <v>9.3582622823064777E-3</v>
      </c>
      <c r="J34" s="17"/>
      <c r="K34" s="26"/>
    </row>
    <row r="35" spans="2:20" s="8" customFormat="1" ht="6.75" customHeight="1">
      <c r="B35" s="28"/>
      <c r="C35" s="70"/>
      <c r="D35" s="70"/>
      <c r="E35" s="17"/>
      <c r="F35" s="17"/>
      <c r="G35" s="290"/>
      <c r="H35" s="17"/>
      <c r="I35" s="17"/>
      <c r="J35" s="17"/>
      <c r="K35" s="26"/>
    </row>
    <row r="36" spans="2:20" s="8" customFormat="1" ht="16.5" customHeight="1">
      <c r="B36" s="23" t="s">
        <v>3</v>
      </c>
      <c r="C36" s="24" t="s">
        <v>164</v>
      </c>
      <c r="D36" s="24"/>
      <c r="E36" s="206">
        <f>'Summary L1'!E36</f>
        <v>30000</v>
      </c>
      <c r="F36" s="17"/>
      <c r="G36" s="290">
        <v>0</v>
      </c>
      <c r="H36" s="17"/>
      <c r="I36" s="299">
        <f>E36/E41</f>
        <v>0.99064173771769348</v>
      </c>
      <c r="J36" s="17"/>
      <c r="K36" s="26"/>
    </row>
    <row r="37" spans="2:20" s="8" customFormat="1" ht="6.75" customHeight="1">
      <c r="B37" s="28"/>
      <c r="C37" s="27"/>
      <c r="D37" s="27"/>
      <c r="E37" s="17"/>
      <c r="F37" s="17"/>
      <c r="G37" s="290"/>
      <c r="H37" s="17"/>
      <c r="I37" s="17"/>
      <c r="J37" s="17"/>
      <c r="K37" s="26"/>
    </row>
    <row r="38" spans="2:20" s="8" customFormat="1" ht="16.5" customHeight="1">
      <c r="B38" s="23" t="s">
        <v>4</v>
      </c>
      <c r="C38" s="24" t="s">
        <v>165</v>
      </c>
      <c r="D38" s="24"/>
      <c r="E38" s="206">
        <f>'Summary L1'!E56</f>
        <v>0</v>
      </c>
      <c r="F38" s="17"/>
      <c r="G38" s="290">
        <v>0</v>
      </c>
      <c r="H38" s="17"/>
      <c r="I38" s="299">
        <f>E38/E41</f>
        <v>0</v>
      </c>
      <c r="J38" s="17"/>
      <c r="K38" s="26"/>
    </row>
    <row r="39" spans="2:20" s="14" customFormat="1" ht="4.5" customHeight="1">
      <c r="B39" s="5"/>
      <c r="C39" s="63"/>
      <c r="D39" s="63"/>
      <c r="E39" s="65"/>
      <c r="F39" s="65"/>
      <c r="G39" s="286"/>
      <c r="H39" s="65"/>
      <c r="I39" s="65"/>
      <c r="J39" s="65"/>
      <c r="K39" s="288"/>
      <c r="L39" s="3"/>
      <c r="M39" s="3"/>
      <c r="N39" s="3"/>
      <c r="O39" s="3"/>
      <c r="P39" s="3"/>
      <c r="Q39" s="3"/>
      <c r="R39" s="3"/>
      <c r="S39" s="3"/>
      <c r="T39" s="3"/>
    </row>
    <row r="40" spans="2:20" s="14" customFormat="1" ht="4.5" customHeight="1">
      <c r="B40" s="23"/>
      <c r="C40" s="24"/>
      <c r="D40" s="63"/>
      <c r="E40" s="65"/>
      <c r="F40" s="65"/>
      <c r="G40" s="286"/>
      <c r="H40" s="65"/>
      <c r="I40" s="65"/>
      <c r="J40" s="65"/>
      <c r="K40" s="288"/>
      <c r="L40" s="3"/>
      <c r="M40" s="3"/>
      <c r="N40" s="3"/>
      <c r="O40" s="3"/>
      <c r="P40" s="3"/>
      <c r="Q40" s="3"/>
      <c r="R40" s="3"/>
      <c r="S40" s="3"/>
      <c r="T40" s="3"/>
    </row>
    <row r="41" spans="2:20" ht="17.25" customHeight="1">
      <c r="B41" s="12" t="s">
        <v>170</v>
      </c>
      <c r="C41" s="54" t="s">
        <v>166</v>
      </c>
      <c r="D41" s="54"/>
      <c r="E41" s="302">
        <f>SUM(E34:E38)</f>
        <v>30283.4</v>
      </c>
      <c r="F41" s="64"/>
      <c r="G41" s="285">
        <v>0</v>
      </c>
      <c r="H41" s="64"/>
      <c r="I41" s="300">
        <f>SUM(I34:I38)</f>
        <v>1</v>
      </c>
      <c r="J41" s="64"/>
      <c r="K41" s="287"/>
      <c r="N41" s="326"/>
    </row>
    <row r="42" spans="2:20" ht="5.25" customHeight="1">
      <c r="B42" s="66"/>
      <c r="C42" s="54"/>
      <c r="D42" s="54"/>
      <c r="E42" s="64"/>
      <c r="F42" s="64"/>
      <c r="G42" s="284"/>
      <c r="H42" s="64"/>
      <c r="I42" s="64"/>
      <c r="J42" s="64"/>
      <c r="K42" s="288"/>
      <c r="N42" s="326"/>
    </row>
    <row r="43" spans="2:20" s="8" customFormat="1" ht="16.5" customHeight="1">
      <c r="B43" s="23" t="s">
        <v>158</v>
      </c>
      <c r="C43" s="24" t="s">
        <v>169</v>
      </c>
      <c r="D43" s="24"/>
      <c r="E43" s="209">
        <v>0</v>
      </c>
      <c r="F43" s="68"/>
      <c r="G43" s="292">
        <v>0</v>
      </c>
      <c r="H43" s="68"/>
      <c r="I43" s="68"/>
      <c r="J43" s="68"/>
      <c r="K43" s="26"/>
      <c r="N43" s="327"/>
    </row>
    <row r="44" spans="2:20" ht="5.25" customHeight="1">
      <c r="B44" s="5"/>
      <c r="C44" s="5"/>
      <c r="D44" s="5"/>
      <c r="E44" s="65"/>
      <c r="F44" s="65"/>
      <c r="G44" s="286"/>
      <c r="H44" s="65"/>
      <c r="I44" s="65"/>
      <c r="J44" s="65"/>
      <c r="K44" s="148"/>
      <c r="N44" s="326"/>
    </row>
    <row r="45" spans="2:20" ht="18" customHeight="1">
      <c r="B45" s="12" t="s">
        <v>202</v>
      </c>
      <c r="C45" s="58" t="s">
        <v>262</v>
      </c>
      <c r="D45" s="58"/>
      <c r="E45" s="211">
        <f>E41-E43</f>
        <v>30283.4</v>
      </c>
      <c r="F45" s="65"/>
      <c r="G45" s="285">
        <f>G41-G43</f>
        <v>0</v>
      </c>
      <c r="H45" s="64"/>
      <c r="I45" s="64"/>
      <c r="J45" s="64"/>
      <c r="K45" s="12"/>
      <c r="N45" s="326"/>
    </row>
    <row r="46" spans="2:20">
      <c r="B46" s="5"/>
      <c r="C46" s="5"/>
      <c r="D46" s="5"/>
      <c r="E46" s="65"/>
      <c r="F46" s="65"/>
      <c r="G46" s="65"/>
      <c r="H46" s="65"/>
      <c r="I46" s="65"/>
      <c r="J46" s="65"/>
      <c r="K46" s="148"/>
    </row>
    <row r="47" spans="2:20" ht="15">
      <c r="C47" s="4"/>
      <c r="D47" s="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96"/>
  <sheetViews>
    <sheetView showGridLines="0" view="pageBreakPreview" zoomScale="90" zoomScaleNormal="70" zoomScaleSheetLayoutView="90" workbookViewId="0">
      <pane ySplit="2" topLeftCell="A11" activePane="bottomLeft" state="frozen"/>
      <selection activeCell="I24" sqref="I24"/>
      <selection pane="bottomLeft" activeCell="D56" sqref="D56"/>
    </sheetView>
  </sheetViews>
  <sheetFormatPr defaultRowHeight="14.25"/>
  <cols>
    <col min="1" max="1" width="1.28515625" style="3" customWidth="1"/>
    <col min="2" max="2" width="6" style="3" customWidth="1"/>
    <col min="3" max="3" width="5" style="3" customWidth="1"/>
    <col min="4" max="4" width="51.42578125" style="3" customWidth="1"/>
    <col min="5" max="5" width="9.7109375" style="19" customWidth="1"/>
    <col min="6" max="6" width="11.5703125" style="19" customWidth="1"/>
    <col min="7" max="7" width="12.140625" style="19" customWidth="1"/>
    <col min="8" max="8" width="11.5703125" style="19" customWidth="1"/>
    <col min="9" max="9" width="9.140625" style="3"/>
    <col min="10" max="10" width="12.140625" style="3" customWidth="1"/>
    <col min="11" max="11" width="11.28515625" style="3" customWidth="1"/>
    <col min="12" max="12" width="12" style="3" customWidth="1"/>
    <col min="13" max="13" width="9.140625" style="3"/>
    <col min="14" max="14" width="10.140625" style="3" bestFit="1" customWidth="1"/>
    <col min="15" max="16384" width="9.140625" style="3"/>
  </cols>
  <sheetData>
    <row r="1" spans="1:12" ht="47.25" customHeight="1">
      <c r="A1" s="85"/>
      <c r="B1" s="730" t="s">
        <v>188</v>
      </c>
      <c r="C1" s="731"/>
      <c r="D1" s="245" t="s">
        <v>331</v>
      </c>
      <c r="E1" s="246"/>
      <c r="F1" s="562"/>
      <c r="G1" s="289">
        <v>60</v>
      </c>
      <c r="H1" s="247" t="s">
        <v>159</v>
      </c>
    </row>
    <row r="2" spans="1:12" s="4" customFormat="1" ht="46.5" customHeight="1">
      <c r="A2" s="111"/>
      <c r="B2" s="213"/>
      <c r="C2" s="93" t="s">
        <v>180</v>
      </c>
      <c r="D2" s="93" t="s">
        <v>179</v>
      </c>
      <c r="E2" s="103" t="s">
        <v>132</v>
      </c>
      <c r="F2" s="103" t="s">
        <v>157</v>
      </c>
      <c r="G2" s="103" t="s">
        <v>271</v>
      </c>
      <c r="H2" s="103" t="s">
        <v>185</v>
      </c>
      <c r="I2" s="150"/>
      <c r="J2" s="151"/>
      <c r="K2" s="151"/>
      <c r="L2" s="151"/>
    </row>
    <row r="3" spans="1:12" s="4" customFormat="1" ht="3.75" customHeight="1">
      <c r="A3" s="107"/>
      <c r="B3" s="107"/>
      <c r="C3" s="108"/>
      <c r="D3" s="92"/>
      <c r="E3" s="109"/>
      <c r="F3" s="109"/>
      <c r="G3" s="109"/>
      <c r="H3" s="110"/>
    </row>
    <row r="4" spans="1:12" s="5" customFormat="1" ht="17.25" customHeight="1">
      <c r="A4" s="85"/>
      <c r="B4" s="736" t="s">
        <v>186</v>
      </c>
      <c r="C4" s="179" t="s">
        <v>314</v>
      </c>
      <c r="D4" s="163" t="s">
        <v>186</v>
      </c>
      <c r="E4" s="166"/>
      <c r="F4" s="166"/>
      <c r="G4" s="166"/>
      <c r="H4" s="167"/>
    </row>
    <row r="5" spans="1:12" s="58" customFormat="1" ht="15" customHeight="1">
      <c r="A5" s="107"/>
      <c r="B5" s="737"/>
      <c r="C5" s="547">
        <v>1.1000000000000001</v>
      </c>
      <c r="D5" s="545" t="s">
        <v>311</v>
      </c>
      <c r="E5" s="549"/>
      <c r="F5" s="81"/>
      <c r="G5" s="81"/>
      <c r="H5" s="552"/>
    </row>
    <row r="6" spans="1:12" s="58" customFormat="1" ht="15" customHeight="1">
      <c r="A6" s="107"/>
      <c r="B6" s="737"/>
      <c r="C6" s="548">
        <v>1.2</v>
      </c>
      <c r="D6" s="25" t="s">
        <v>312</v>
      </c>
      <c r="E6" s="550"/>
      <c r="F6" s="81"/>
      <c r="G6" s="81"/>
      <c r="H6" s="553"/>
    </row>
    <row r="7" spans="1:12" s="58" customFormat="1" ht="15" hidden="1" customHeight="1">
      <c r="A7" s="107"/>
      <c r="B7" s="737"/>
      <c r="C7" s="548">
        <v>1.3</v>
      </c>
      <c r="D7" s="546" t="s">
        <v>317</v>
      </c>
      <c r="E7" s="551"/>
      <c r="F7" s="81">
        <v>0</v>
      </c>
      <c r="G7" s="81">
        <f>F7</f>
        <v>0</v>
      </c>
      <c r="H7" s="554">
        <f>F7</f>
        <v>0</v>
      </c>
    </row>
    <row r="8" spans="1:12" ht="19.5" customHeight="1">
      <c r="A8" s="85"/>
      <c r="B8" s="737"/>
      <c r="C8" s="101"/>
      <c r="D8" s="180" t="s">
        <v>313</v>
      </c>
      <c r="E8" s="191"/>
      <c r="F8" s="191">
        <f>SUM(F5:F7)</f>
        <v>0</v>
      </c>
      <c r="G8" s="191">
        <f>SUM(G5:G7)</f>
        <v>0</v>
      </c>
      <c r="H8" s="191">
        <f>SUM(H5:H7)</f>
        <v>0</v>
      </c>
      <c r="I8" s="149"/>
      <c r="J8" s="149"/>
      <c r="K8" s="149"/>
      <c r="L8" s="149"/>
    </row>
    <row r="9" spans="1:12" s="4" customFormat="1" ht="3.75" customHeight="1">
      <c r="A9" s="107"/>
      <c r="B9" s="107"/>
      <c r="C9" s="108"/>
      <c r="D9" s="92"/>
      <c r="E9" s="109"/>
      <c r="F9" s="109"/>
      <c r="G9" s="109"/>
      <c r="H9" s="110"/>
    </row>
    <row r="10" spans="1:12" s="5" customFormat="1" ht="17.25" customHeight="1">
      <c r="A10" s="85"/>
      <c r="B10" s="732" t="s">
        <v>196</v>
      </c>
      <c r="C10" s="179" t="s">
        <v>0</v>
      </c>
      <c r="D10" s="163" t="s">
        <v>103</v>
      </c>
      <c r="E10" s="166"/>
      <c r="F10" s="166"/>
      <c r="G10" s="166"/>
      <c r="H10" s="167"/>
    </row>
    <row r="11" spans="1:12" s="75" customFormat="1" ht="15" customHeight="1">
      <c r="A11" s="104"/>
      <c r="B11" s="733"/>
      <c r="C11" s="86">
        <f>'AP2-O&amp;M L2'!A4</f>
        <v>2.1</v>
      </c>
      <c r="D11" s="87" t="str">
        <f>'AP2-O&amp;M L2'!B4</f>
        <v>Major replacement</v>
      </c>
      <c r="E11" s="81">
        <f>'AP2-O&amp;M L2'!G5</f>
        <v>283.39999999999998</v>
      </c>
      <c r="F11" s="81">
        <f>'AP2-O&amp;M L2'!H5</f>
        <v>17004</v>
      </c>
      <c r="G11" s="81">
        <f>'AP2-O&amp;M L2'!J5</f>
        <v>41273.171060108965</v>
      </c>
      <c r="H11" s="81">
        <f>'AP2-O&amp;M L2'!L5</f>
        <v>9549.6810178248015</v>
      </c>
    </row>
    <row r="12" spans="1:12" s="8" customFormat="1" ht="15" hidden="1" customHeight="1">
      <c r="A12" s="105"/>
      <c r="B12" s="733"/>
      <c r="C12" s="88">
        <f>'AP2-O&amp;M L2'!A6</f>
        <v>2.2000000000000002</v>
      </c>
      <c r="D12" s="89" t="str">
        <f>'AP2-O&amp;M L2'!B6</f>
        <v>Subsequent refurbishment and adaptation costs</v>
      </c>
      <c r="E12" s="81"/>
      <c r="F12" s="81"/>
      <c r="G12" s="81"/>
      <c r="H12" s="81"/>
    </row>
    <row r="13" spans="1:12" s="8" customFormat="1" ht="15" customHeight="1">
      <c r="A13" s="105"/>
      <c r="B13" s="733"/>
      <c r="C13" s="90">
        <f>'AP2-O&amp;M L2'!A8</f>
        <v>2.2999999999999998</v>
      </c>
      <c r="D13" s="89" t="str">
        <f>'AP2-O&amp;M L2'!B8</f>
        <v xml:space="preserve">Redecoration - internal / external </v>
      </c>
      <c r="E13" s="81"/>
      <c r="F13" s="81"/>
      <c r="G13" s="81"/>
      <c r="H13" s="81"/>
    </row>
    <row r="14" spans="1:12" s="8" customFormat="1" ht="15" customHeight="1">
      <c r="A14" s="105"/>
      <c r="B14" s="733"/>
      <c r="C14" s="90">
        <f>'AP2-O&amp;M L2'!A10</f>
        <v>2.4</v>
      </c>
      <c r="D14" s="90" t="str">
        <f>'AP2-O&amp;M L2'!B10</f>
        <v xml:space="preserve">Minor replacement, repairs and PPM maintenance costs </v>
      </c>
      <c r="E14" s="81"/>
      <c r="F14" s="81"/>
      <c r="G14" s="81"/>
      <c r="H14" s="81"/>
    </row>
    <row r="15" spans="1:12" s="8" customFormat="1" ht="15" customHeight="1">
      <c r="A15" s="105"/>
      <c r="B15" s="733"/>
      <c r="C15" s="90">
        <f>'AP2-O&amp;M L2'!A12</f>
        <v>2.5</v>
      </c>
      <c r="D15" s="90" t="str">
        <f>'AP2-O&amp;M L2'!B12</f>
        <v xml:space="preserve">Unscheduled repairs, replacement and maintenance </v>
      </c>
      <c r="E15" s="81"/>
      <c r="F15" s="81"/>
      <c r="G15" s="81"/>
      <c r="H15" s="81"/>
    </row>
    <row r="16" spans="1:12" s="8" customFormat="1" ht="15" customHeight="1">
      <c r="A16" s="105"/>
      <c r="B16" s="733"/>
      <c r="C16" s="90">
        <f>'AP2-O&amp;M L2'!A14</f>
        <v>2.6</v>
      </c>
      <c r="D16" s="90" t="str">
        <f>'AP2-O&amp;M L2'!B14</f>
        <v xml:space="preserve">Grounds maintenance </v>
      </c>
      <c r="E16" s="81"/>
      <c r="F16" s="81"/>
      <c r="G16" s="81"/>
      <c r="H16" s="81"/>
    </row>
    <row r="17" spans="1:14" s="8" customFormat="1" ht="15" customHeight="1">
      <c r="A17" s="105"/>
      <c r="B17" s="733"/>
      <c r="C17" s="90">
        <f>'AP2-O&amp;M L2'!A16</f>
        <v>2.7</v>
      </c>
      <c r="D17" s="90" t="str">
        <f>'AP2-O&amp;M L2'!B16</f>
        <v>Client definable costs</v>
      </c>
      <c r="E17" s="81"/>
      <c r="F17" s="81"/>
      <c r="G17" s="81"/>
      <c r="H17" s="81"/>
    </row>
    <row r="18" spans="1:14" ht="19.5" customHeight="1">
      <c r="A18" s="85"/>
      <c r="B18" s="733"/>
      <c r="C18" s="101"/>
      <c r="D18" s="175" t="s">
        <v>66</v>
      </c>
      <c r="E18" s="191">
        <f>E11+E12+E13+E14+E15+E16+E17</f>
        <v>283.39999999999998</v>
      </c>
      <c r="F18" s="191">
        <f>SUM(F11:F17)</f>
        <v>17004</v>
      </c>
      <c r="G18" s="191">
        <f>SUM(G11:G17)</f>
        <v>41273.171060108965</v>
      </c>
      <c r="H18" s="191">
        <f>SUM(H11:H17)</f>
        <v>9549.6810178248015</v>
      </c>
      <c r="I18" s="149"/>
      <c r="J18" s="149"/>
      <c r="K18" s="149"/>
      <c r="L18" s="149"/>
      <c r="N18" s="149"/>
    </row>
    <row r="19" spans="1:14" ht="3.75" customHeight="1">
      <c r="A19" s="85"/>
      <c r="B19" s="733"/>
      <c r="C19" s="95"/>
      <c r="D19" s="96"/>
      <c r="E19" s="97"/>
      <c r="F19" s="97"/>
      <c r="G19" s="97"/>
      <c r="H19" s="98"/>
    </row>
    <row r="20" spans="1:14" s="5" customFormat="1" ht="17.25" customHeight="1">
      <c r="A20" s="85"/>
      <c r="B20" s="733"/>
      <c r="C20" s="179" t="s">
        <v>3</v>
      </c>
      <c r="D20" s="163" t="s">
        <v>104</v>
      </c>
      <c r="E20" s="166"/>
      <c r="F20" s="166"/>
      <c r="G20" s="166"/>
      <c r="H20" s="167"/>
      <c r="I20" s="369"/>
      <c r="J20" s="369"/>
      <c r="K20" s="369"/>
      <c r="L20" s="369"/>
    </row>
    <row r="21" spans="1:14" s="8" customFormat="1" ht="15" customHeight="1">
      <c r="A21" s="105"/>
      <c r="B21" s="733"/>
      <c r="C21" s="91">
        <f>'AP2-O&amp;M L2'!A20</f>
        <v>3.1</v>
      </c>
      <c r="D21" s="90" t="str">
        <f>'AP2-O&amp;M L2'!B20</f>
        <v>Cleaning costs</v>
      </c>
      <c r="E21" s="81"/>
      <c r="F21" s="81"/>
      <c r="G21" s="81"/>
      <c r="H21" s="81"/>
    </row>
    <row r="22" spans="1:14" s="556" customFormat="1" ht="15" customHeight="1">
      <c r="A22" s="555"/>
      <c r="B22" s="733"/>
      <c r="C22" s="559" t="str">
        <f>'AP2-O&amp;M L2'!B21</f>
        <v>3.1.1</v>
      </c>
      <c r="D22" s="560" t="str">
        <f>'AP2-O&amp;M L2'!C21</f>
        <v xml:space="preserve">Windows and external surfaces </v>
      </c>
      <c r="E22" s="561"/>
      <c r="F22" s="561"/>
      <c r="G22" s="561"/>
      <c r="H22" s="561"/>
    </row>
    <row r="23" spans="1:14" s="556" customFormat="1" ht="15" customHeight="1">
      <c r="A23" s="555"/>
      <c r="B23" s="733"/>
      <c r="C23" s="559" t="str">
        <f>'AP2-O&amp;M L2'!B23</f>
        <v>3.1.2</v>
      </c>
      <c r="D23" s="560" t="str">
        <f>'AP2-O&amp;M L2'!C23</f>
        <v>Internal cleaning</v>
      </c>
      <c r="E23" s="561"/>
      <c r="F23" s="561"/>
      <c r="G23" s="561"/>
      <c r="H23" s="561"/>
    </row>
    <row r="24" spans="1:14" s="556" customFormat="1" ht="15" customHeight="1">
      <c r="A24" s="555"/>
      <c r="B24" s="733"/>
      <c r="C24" s="559" t="str">
        <f>'AP2-O&amp;M L2'!B25</f>
        <v>3.1.3</v>
      </c>
      <c r="D24" s="560" t="str">
        <f>'AP2-O&amp;M L2'!C25</f>
        <v>Specialist cleaning</v>
      </c>
      <c r="E24" s="561"/>
      <c r="F24" s="561"/>
      <c r="G24" s="561"/>
      <c r="H24" s="561"/>
    </row>
    <row r="25" spans="1:14" s="556" customFormat="1" ht="15" customHeight="1">
      <c r="A25" s="555"/>
      <c r="B25" s="733"/>
      <c r="C25" s="559" t="str">
        <f>'AP2-O&amp;M L2'!B27</f>
        <v>3.1.4</v>
      </c>
      <c r="D25" s="560" t="str">
        <f>'AP2-O&amp;M L2'!C27</f>
        <v>External works cleaning</v>
      </c>
      <c r="E25" s="561"/>
      <c r="F25" s="561"/>
      <c r="G25" s="561"/>
      <c r="H25" s="561"/>
    </row>
    <row r="26" spans="1:14" s="8" customFormat="1" ht="15" customHeight="1">
      <c r="A26" s="105"/>
      <c r="B26" s="733"/>
      <c r="C26" s="91">
        <f>'AP2-O&amp;M L2'!A29</f>
        <v>3.2</v>
      </c>
      <c r="D26" s="90" t="str">
        <f>'AP2-O&amp;M L2'!B29</f>
        <v>Utilities costs gas and electric</v>
      </c>
      <c r="E26" s="81"/>
      <c r="F26" s="81"/>
      <c r="G26" s="81"/>
      <c r="H26" s="81"/>
    </row>
    <row r="27" spans="1:14" s="556" customFormat="1" ht="15" customHeight="1">
      <c r="A27" s="555"/>
      <c r="B27" s="733"/>
      <c r="C27" s="559" t="str">
        <f>'AP2-O&amp;M L2'!B30</f>
        <v>3.2.1</v>
      </c>
      <c r="D27" s="560" t="str">
        <f>'AP2-O&amp;M L2'!C30</f>
        <v xml:space="preserve">Fuel Costs </v>
      </c>
      <c r="E27" s="561">
        <f>'AP2-O&amp;M L2'!G46</f>
        <v>30000</v>
      </c>
      <c r="F27" s="561">
        <f>'AP2-O&amp;M L2'!H46</f>
        <v>1800000</v>
      </c>
      <c r="G27" s="561">
        <f>'AP2-O&amp;M L2'!J46</f>
        <v>5038351.1971671022</v>
      </c>
      <c r="H27" s="561">
        <f>'AP2-O&amp;M L2'!L46</f>
        <v>1057691.460572992</v>
      </c>
    </row>
    <row r="28" spans="1:14" s="556" customFormat="1" ht="15" customHeight="1">
      <c r="A28" s="555"/>
      <c r="B28" s="733"/>
      <c r="C28" s="559" t="str">
        <f>'AP2-O&amp;M L2'!B32</f>
        <v>3.2.2</v>
      </c>
      <c r="D28" s="560" t="str">
        <f>'AP2-O&amp;M L2'!C32</f>
        <v xml:space="preserve">Water and Drainage </v>
      </c>
      <c r="E28" s="561"/>
      <c r="F28" s="561"/>
      <c r="G28" s="561"/>
      <c r="H28" s="561"/>
    </row>
    <row r="29" spans="1:14" s="8" customFormat="1" ht="15" customHeight="1">
      <c r="A29" s="105"/>
      <c r="B29" s="733"/>
      <c r="C29" s="91">
        <f>'AP2-O&amp;M L2'!A34</f>
        <v>3.3</v>
      </c>
      <c r="D29" s="90" t="str">
        <f>'AP2-O&amp;M L2'!B34</f>
        <v>Administration Costs</v>
      </c>
      <c r="E29" s="81"/>
      <c r="F29" s="81"/>
      <c r="G29" s="81"/>
      <c r="H29" s="81"/>
    </row>
    <row r="30" spans="1:14" s="556" customFormat="1" ht="15" customHeight="1">
      <c r="A30" s="555"/>
      <c r="B30" s="733"/>
      <c r="C30" s="559" t="str">
        <f>'AP2-O&amp;M L2'!B35</f>
        <v>3.3.1</v>
      </c>
      <c r="D30" s="560" t="str">
        <f>'AP2-O&amp;M L2'!C35</f>
        <v>Property management</v>
      </c>
      <c r="E30" s="561"/>
      <c r="F30" s="561"/>
      <c r="G30" s="561"/>
      <c r="H30" s="561"/>
    </row>
    <row r="31" spans="1:14" s="556" customFormat="1" ht="14.25" customHeight="1">
      <c r="A31" s="555"/>
      <c r="B31" s="733"/>
      <c r="C31" s="559" t="str">
        <f>'AP2-O&amp;M L2'!B37</f>
        <v>3.3.2</v>
      </c>
      <c r="D31" s="560" t="str">
        <f>'AP2-O&amp;M L2'!C37</f>
        <v>Staff engaged with servicing the building</v>
      </c>
      <c r="E31" s="561"/>
      <c r="F31" s="561"/>
      <c r="G31" s="561"/>
      <c r="H31" s="561"/>
    </row>
    <row r="32" spans="1:14" s="556" customFormat="1" ht="15" customHeight="1">
      <c r="A32" s="555"/>
      <c r="B32" s="733"/>
      <c r="C32" s="559" t="str">
        <f>'AP2-O&amp;M L2'!B39</f>
        <v>3.3.3</v>
      </c>
      <c r="D32" s="560" t="str">
        <f>'AP2-O&amp;M L2'!C39</f>
        <v>Waste management disposal</v>
      </c>
      <c r="E32" s="561"/>
      <c r="F32" s="561"/>
      <c r="G32" s="561"/>
      <c r="H32" s="561"/>
    </row>
    <row r="33" spans="1:12" s="8" customFormat="1" ht="15" hidden="1" customHeight="1">
      <c r="A33" s="105"/>
      <c r="B33" s="733"/>
      <c r="C33" s="91">
        <f>'AP2-O&amp;M L2'!A41</f>
        <v>3.4</v>
      </c>
      <c r="D33" s="90" t="str">
        <f>'AP2-O&amp;M L2'!B41</f>
        <v>Overhead costs</v>
      </c>
      <c r="E33" s="81">
        <f>SUMIF('AP2-O&amp;M L2'!$A$3:$A$82,'Summary L1'!$C33,'AP2-O&amp;M L2'!$G$3:$G$82)</f>
        <v>0</v>
      </c>
      <c r="F33" s="81">
        <f>SUMIF('AP2-O&amp;M L2'!$A$3:$A$82,'Summary L1'!$C33,'AP2-O&amp;M L2'!$H$3:$H$82)</f>
        <v>0</v>
      </c>
      <c r="G33" s="81">
        <f>SUMIF('AP2-O&amp;M L2'!$A$3:$A$82,'Summary L1'!$C33,'AP2-O&amp;M L2'!$J$3:$J$82)</f>
        <v>0</v>
      </c>
      <c r="H33" s="81">
        <f>SUMIF('AP2-O&amp;M L2'!$A$3:$A$82,'Summary L1'!$C33,'AP2-O&amp;M L2'!$L$3:$L$82)</f>
        <v>0</v>
      </c>
    </row>
    <row r="34" spans="1:12" s="8" customFormat="1" ht="15" hidden="1" customHeight="1">
      <c r="A34" s="105"/>
      <c r="B34" s="733"/>
      <c r="C34" s="91">
        <f>'AP2-O&amp;M L2'!A43</f>
        <v>3.5</v>
      </c>
      <c r="D34" s="90" t="str">
        <f>'AP2-O&amp;M L2'!B43</f>
        <v>Taxes</v>
      </c>
      <c r="E34" s="81">
        <f>SUMIF('AP2-O&amp;M L2'!$A$3:$A$82,'Summary L1'!$C34,'AP2-O&amp;M L2'!$G$3:$G$82)</f>
        <v>0</v>
      </c>
      <c r="F34" s="81">
        <f>SUMIF('AP2-O&amp;M L2'!$A$3:$A$82,'Summary L1'!$C34,'AP2-O&amp;M L2'!$H$3:$H$82)</f>
        <v>0</v>
      </c>
      <c r="G34" s="81">
        <f>SUMIF('AP2-O&amp;M L2'!$A$3:$A$82,'Summary L1'!$C34,'AP2-O&amp;M L2'!$J$3:$J$82)</f>
        <v>0</v>
      </c>
      <c r="H34" s="81">
        <f>SUMIF('AP2-O&amp;M L2'!$A$3:$A$82,'Summary L1'!$C34,'AP2-O&amp;M L2'!$L$3:$L$82)</f>
        <v>0</v>
      </c>
    </row>
    <row r="35" spans="1:12" s="8" customFormat="1" ht="15" hidden="1" customHeight="1">
      <c r="A35" s="105"/>
      <c r="B35" s="733"/>
      <c r="C35" s="91">
        <f>'AP2-O&amp;M L2'!A45</f>
        <v>3.6</v>
      </c>
      <c r="D35" s="90" t="str">
        <f>'AP2-O&amp;M L2'!B45</f>
        <v>Client definable costs</v>
      </c>
      <c r="E35" s="81">
        <f>SUMIF('AP2-O&amp;M L2'!$A$3:$A$82,'Summary L1'!$C35,'AP2-O&amp;M L2'!$G$3:$G$82)</f>
        <v>0</v>
      </c>
      <c r="F35" s="81">
        <f>SUMIF('AP2-O&amp;M L2'!$A$3:$A$82,'Summary L1'!$C35,'AP2-O&amp;M L2'!$H$3:$H$82)</f>
        <v>0</v>
      </c>
      <c r="G35" s="81">
        <f>SUMIF('AP2-O&amp;M L2'!$A$3:$A$82,'Summary L1'!$C35,'AP2-O&amp;M L2'!$J$3:$J$82)</f>
        <v>0</v>
      </c>
      <c r="H35" s="81">
        <f>SUMIF('AP2-O&amp;M L2'!$A$3:$A$82,'Summary L1'!$C35,'AP2-O&amp;M L2'!$L$3:$L$82)</f>
        <v>0</v>
      </c>
    </row>
    <row r="36" spans="1:12" ht="19.5" customHeight="1">
      <c r="A36" s="85"/>
      <c r="B36" s="733"/>
      <c r="C36" s="101"/>
      <c r="D36" s="175" t="s">
        <v>105</v>
      </c>
      <c r="E36" s="191">
        <f>SUM(E21:E32)</f>
        <v>30000</v>
      </c>
      <c r="F36" s="191">
        <f>SUM(F21:F32)</f>
        <v>1800000</v>
      </c>
      <c r="G36" s="191">
        <f>SUM(G21:G32)</f>
        <v>5038351.1971671022</v>
      </c>
      <c r="H36" s="191">
        <f>SUM(H21:H32)</f>
        <v>1057691.460572992</v>
      </c>
      <c r="I36" s="149"/>
      <c r="J36" s="149"/>
      <c r="K36" s="149"/>
      <c r="L36" s="149"/>
    </row>
    <row r="37" spans="1:12" ht="3.75" customHeight="1">
      <c r="A37" s="85"/>
      <c r="B37" s="733"/>
      <c r="C37" s="95"/>
      <c r="D37" s="95"/>
      <c r="E37" s="97"/>
      <c r="F37" s="97"/>
      <c r="G37" s="97"/>
      <c r="H37" s="97"/>
    </row>
    <row r="38" spans="1:12" ht="17.25" customHeight="1">
      <c r="A38" s="85"/>
      <c r="B38" s="733"/>
      <c r="C38" s="179" t="s">
        <v>4</v>
      </c>
      <c r="D38" s="163" t="s">
        <v>120</v>
      </c>
      <c r="E38" s="177"/>
      <c r="F38" s="177"/>
      <c r="G38" s="177"/>
      <c r="H38" s="177"/>
      <c r="I38" s="369"/>
      <c r="J38" s="326"/>
      <c r="K38" s="326"/>
      <c r="L38" s="326"/>
    </row>
    <row r="39" spans="1:12" ht="14.25" hidden="1" customHeight="1">
      <c r="A39" s="85"/>
      <c r="B39" s="733"/>
      <c r="C39" s="88">
        <f>'AP2-O&amp;M L2'!A49</f>
        <v>4.0999999999999996</v>
      </c>
      <c r="D39" s="89" t="str">
        <f>'AP2-O&amp;M L2'!B49</f>
        <v>Internal moves</v>
      </c>
      <c r="E39" s="81">
        <f>SUMIF('AP2-O&amp;M L2'!$A$3:$A$82,'Summary L1'!$C39,'AP2-O&amp;M L2'!$G$3:$G$82)</f>
        <v>0</v>
      </c>
      <c r="F39" s="81">
        <f>SUMIF('AP2-O&amp;M L2'!$A$3:$A$82,'Summary L1'!$C39,'AP2-O&amp;M L2'!$H$3:$H$82)</f>
        <v>0</v>
      </c>
      <c r="G39" s="81">
        <f>SUMIF('AP2-O&amp;M L2'!$A$3:$A$82,'Summary L1'!$C39,'AP2-O&amp;M L2'!$J$3:$J$82)</f>
        <v>0</v>
      </c>
      <c r="H39" s="81">
        <f>SUMIF('AP2-O&amp;M L2'!$A$3:$A$82,'Summary L1'!$C39,'AP2-O&amp;M L2'!$L$3:$L$82)</f>
        <v>0</v>
      </c>
      <c r="I39" s="5"/>
    </row>
    <row r="40" spans="1:12" s="21" customFormat="1" ht="15" hidden="1" customHeight="1">
      <c r="A40" s="106"/>
      <c r="B40" s="733"/>
      <c r="C40" s="91">
        <f>'AP2-O&amp;M L2'!A51</f>
        <v>4.2</v>
      </c>
      <c r="D40" s="89" t="str">
        <f>'AP2-O&amp;M L2'!B51</f>
        <v>Reception and customer hosting</v>
      </c>
      <c r="E40" s="81">
        <f>SUMIF('AP2-O&amp;M L2'!$A$3:$A$82,'Summary L1'!$C40,'AP2-O&amp;M L2'!$G$3:$G$82)</f>
        <v>0</v>
      </c>
      <c r="F40" s="81">
        <f>SUMIF('AP2-O&amp;M L2'!$A$3:$A$82,'Summary L1'!$C40,'AP2-O&amp;M L2'!$H$3:$H$82)</f>
        <v>0</v>
      </c>
      <c r="G40" s="81">
        <f>SUMIF('AP2-O&amp;M L2'!$A$3:$A$82,'Summary L1'!$C40,'AP2-O&amp;M L2'!$J$3:$J$82)</f>
        <v>0</v>
      </c>
      <c r="H40" s="81">
        <f>SUMIF('AP2-O&amp;M L2'!$A$3:$A$82,'Summary L1'!$C40,'AP2-O&amp;M L2'!$L$3:$L$82)</f>
        <v>0</v>
      </c>
      <c r="I40" s="30"/>
    </row>
    <row r="41" spans="1:12" s="21" customFormat="1" ht="15" customHeight="1">
      <c r="A41" s="106"/>
      <c r="B41" s="733"/>
      <c r="C41" s="91">
        <f>'AP2-O&amp;M L2'!A53</f>
        <v>4.3</v>
      </c>
      <c r="D41" s="90" t="s">
        <v>113</v>
      </c>
      <c r="E41" s="81"/>
      <c r="F41" s="81"/>
      <c r="G41" s="81"/>
      <c r="H41" s="81"/>
      <c r="I41" s="30"/>
    </row>
    <row r="42" spans="1:12" s="21" customFormat="1" ht="15" hidden="1" customHeight="1">
      <c r="A42" s="106"/>
      <c r="B42" s="733"/>
      <c r="C42" s="91">
        <f>'AP2-O&amp;M L2'!A55</f>
        <v>4.4000000000000004</v>
      </c>
      <c r="D42" s="90" t="str">
        <f>'AP2-O&amp;M L2'!B55</f>
        <v>Helpdesk</v>
      </c>
      <c r="E42" s="81"/>
      <c r="F42" s="81"/>
      <c r="G42" s="81"/>
      <c r="H42" s="81"/>
      <c r="I42" s="30"/>
    </row>
    <row r="43" spans="1:12" s="21" customFormat="1" ht="15" customHeight="1">
      <c r="A43" s="106"/>
      <c r="B43" s="733"/>
      <c r="C43" s="91">
        <f>'AP2-O&amp;M L2'!A57</f>
        <v>4.5</v>
      </c>
      <c r="D43" s="90" t="str">
        <f>'AP2-O&amp;M L2'!B57</f>
        <v>Switchboard / telephones</v>
      </c>
      <c r="E43" s="81"/>
      <c r="F43" s="81"/>
      <c r="G43" s="81"/>
      <c r="H43" s="81"/>
      <c r="I43" s="30"/>
    </row>
    <row r="44" spans="1:12" s="21" customFormat="1" ht="15" customHeight="1">
      <c r="A44" s="106"/>
      <c r="B44" s="733"/>
      <c r="C44" s="91">
        <f>'AP2-O&amp;M L2'!A59</f>
        <v>4.5999999999999996</v>
      </c>
      <c r="D44" s="90" t="str">
        <f>'AP2-O&amp;M L2'!B59</f>
        <v>Postroom - mail services</v>
      </c>
      <c r="E44" s="81"/>
      <c r="F44" s="81"/>
      <c r="G44" s="81"/>
      <c r="H44" s="81"/>
      <c r="I44" s="30"/>
    </row>
    <row r="45" spans="1:12" s="21" customFormat="1" ht="15" customHeight="1">
      <c r="A45" s="106"/>
      <c r="B45" s="733"/>
      <c r="C45" s="91">
        <f>'AP2-O&amp;M L2'!A61</f>
        <v>4.7</v>
      </c>
      <c r="D45" s="90" t="str">
        <f>'AP2-O&amp;M L2'!B61</f>
        <v>ICT and IT services</v>
      </c>
      <c r="E45" s="81"/>
      <c r="F45" s="81"/>
      <c r="G45" s="81"/>
      <c r="H45" s="81"/>
      <c r="I45" s="30"/>
    </row>
    <row r="46" spans="1:12" s="21" customFormat="1" ht="15" hidden="1" customHeight="1">
      <c r="A46" s="106"/>
      <c r="B46" s="733"/>
      <c r="C46" s="91">
        <f>'AP2-O&amp;M L2'!A63</f>
        <v>4.8</v>
      </c>
      <c r="D46" s="90" t="str">
        <f>'AP2-O&amp;M L2'!B63</f>
        <v>Library Services</v>
      </c>
      <c r="E46" s="81"/>
      <c r="F46" s="81"/>
      <c r="G46" s="81"/>
      <c r="H46" s="81"/>
      <c r="I46" s="30"/>
    </row>
    <row r="47" spans="1:12" s="21" customFormat="1" ht="15" hidden="1" customHeight="1">
      <c r="A47" s="106"/>
      <c r="B47" s="733"/>
      <c r="C47" s="91">
        <f>'AP2-O&amp;M L2'!A65</f>
        <v>4.9000000000000004</v>
      </c>
      <c r="D47" s="90" t="str">
        <f>'AP2-O&amp;M L2'!B65</f>
        <v>Catering</v>
      </c>
      <c r="E47" s="81"/>
      <c r="F47" s="81"/>
      <c r="G47" s="81"/>
      <c r="H47" s="81"/>
      <c r="I47" s="30"/>
    </row>
    <row r="48" spans="1:12" s="21" customFormat="1" ht="15" hidden="1" customHeight="1">
      <c r="A48" s="106"/>
      <c r="B48" s="733"/>
      <c r="C48" s="91" t="str">
        <f>'AP2-O&amp;M L2'!A67</f>
        <v>4.10</v>
      </c>
      <c r="D48" s="90" t="str">
        <f>'AP2-O&amp;M L2'!B67</f>
        <v>Laundry</v>
      </c>
      <c r="E48" s="81"/>
      <c r="F48" s="81"/>
      <c r="G48" s="81"/>
      <c r="H48" s="81"/>
      <c r="I48" s="30"/>
    </row>
    <row r="49" spans="1:20" s="21" customFormat="1" ht="15" hidden="1" customHeight="1">
      <c r="A49" s="106"/>
      <c r="B49" s="733"/>
      <c r="C49" s="91" t="str">
        <f>'AP2-O&amp;M L2'!A69</f>
        <v>4.11</v>
      </c>
      <c r="D49" s="90" t="str">
        <f>'AP2-O&amp;M L2'!B69</f>
        <v>Vending</v>
      </c>
      <c r="E49" s="81"/>
      <c r="F49" s="81"/>
      <c r="G49" s="81"/>
      <c r="H49" s="81"/>
      <c r="I49" s="30"/>
    </row>
    <row r="50" spans="1:20" s="21" customFormat="1" ht="15" customHeight="1">
      <c r="A50" s="106"/>
      <c r="B50" s="733"/>
      <c r="C50" s="91" t="str">
        <f>'AP2-O&amp;M L2'!A71</f>
        <v>4.12</v>
      </c>
      <c r="D50" s="90" t="str">
        <f>'AP2-O&amp;M L2'!B71</f>
        <v>Occupiers furniture, fittings and equipment</v>
      </c>
      <c r="E50" s="81"/>
      <c r="F50" s="81"/>
      <c r="G50" s="81"/>
      <c r="H50" s="81"/>
      <c r="I50" s="30"/>
    </row>
    <row r="51" spans="1:20" s="21" customFormat="1" ht="15" hidden="1" customHeight="1">
      <c r="A51" s="106"/>
      <c r="B51" s="733"/>
      <c r="C51" s="91" t="str">
        <f>'AP2-O&amp;M L2'!A73</f>
        <v>4.13</v>
      </c>
      <c r="D51" s="90" t="str">
        <f>'AP2-O&amp;M L2'!B73</f>
        <v>Internal plants and landscaping</v>
      </c>
      <c r="E51" s="81"/>
      <c r="F51" s="81"/>
      <c r="G51" s="81"/>
      <c r="H51" s="81"/>
      <c r="I51" s="30"/>
    </row>
    <row r="52" spans="1:20" s="21" customFormat="1" ht="15" customHeight="1">
      <c r="A52" s="106"/>
      <c r="B52" s="733"/>
      <c r="C52" s="91" t="str">
        <f>'AP2-O&amp;M L2'!A75</f>
        <v>4.14</v>
      </c>
      <c r="D52" s="90" t="str">
        <f>'AP2-O&amp;M L2'!B75</f>
        <v>Stationary and reprographics</v>
      </c>
      <c r="E52" s="81"/>
      <c r="F52" s="81"/>
      <c r="G52" s="81"/>
      <c r="H52" s="81"/>
      <c r="I52" s="30"/>
    </row>
    <row r="53" spans="1:20" s="21" customFormat="1" ht="15" hidden="1" customHeight="1">
      <c r="A53" s="106"/>
      <c r="B53" s="733"/>
      <c r="C53" s="91" t="str">
        <f>'AP2-O&amp;M L2'!A77</f>
        <v>4.15</v>
      </c>
      <c r="D53" s="90" t="str">
        <f>'AP2-O&amp;M L2'!B77</f>
        <v>Porters</v>
      </c>
      <c r="E53" s="81">
        <f>SUMIF('AP2-O&amp;M L2'!$A$3:$A$82,'Summary L1'!$C53,'AP2-O&amp;M L2'!$G$3:$G$82)</f>
        <v>0</v>
      </c>
      <c r="F53" s="81">
        <f>SUMIF('AP2-O&amp;M L2'!$A$3:$A$82,'Summary L1'!$C53,'AP2-O&amp;M L2'!$H$3:$H$82)</f>
        <v>0</v>
      </c>
      <c r="G53" s="81">
        <f>SUMIF('AP2-O&amp;M L2'!$A$3:$A$82,'Summary L1'!$C53,'AP2-O&amp;M L2'!$J$3:$J$82)</f>
        <v>0</v>
      </c>
      <c r="H53" s="81">
        <f>SUMIF('AP2-O&amp;M L2'!$A$3:$A$82,'Summary L1'!$C53,'AP2-O&amp;M L2'!$L$3:$L$82)</f>
        <v>0</v>
      </c>
      <c r="I53" s="30"/>
    </row>
    <row r="54" spans="1:20" s="21" customFormat="1" ht="15" hidden="1" customHeight="1">
      <c r="A54" s="106"/>
      <c r="B54" s="733"/>
      <c r="C54" s="91" t="str">
        <f>'AP2-O&amp;M L2'!A79</f>
        <v>4.16</v>
      </c>
      <c r="D54" s="90" t="str">
        <f>'AP2-O&amp;M L2'!B79</f>
        <v>Carparking charges</v>
      </c>
      <c r="E54" s="81">
        <f>SUMIF('AP2-O&amp;M L2'!$A$3:$A$82,'Summary L1'!$C54,'AP2-O&amp;M L2'!$G$3:$G$82)</f>
        <v>0</v>
      </c>
      <c r="F54" s="81">
        <f>SUMIF('AP2-O&amp;M L2'!$A$3:$A$82,'Summary L1'!$C54,'AP2-O&amp;M L2'!$H$3:$H$82)</f>
        <v>0</v>
      </c>
      <c r="G54" s="81">
        <f>SUMIF('AP2-O&amp;M L2'!$A$3:$A$82,'Summary L1'!$C54,'AP2-O&amp;M L2'!$J$3:$J$82)</f>
        <v>0</v>
      </c>
      <c r="H54" s="81">
        <f>SUMIF('AP2-O&amp;M L2'!$A$3:$A$82,'Summary L1'!$C54,'AP2-O&amp;M L2'!$L$3:$L$82)</f>
        <v>0</v>
      </c>
      <c r="I54" s="30"/>
    </row>
    <row r="55" spans="1:20" s="21" customFormat="1" ht="15" hidden="1" customHeight="1">
      <c r="A55" s="106"/>
      <c r="B55" s="733"/>
      <c r="C55" s="91" t="str">
        <f>'AP2-O&amp;M L2'!A81</f>
        <v>4.17</v>
      </c>
      <c r="D55" s="90" t="str">
        <f>'AP2-O&amp;M L2'!B81</f>
        <v>Client definable costs</v>
      </c>
      <c r="E55" s="81">
        <f>SUMIF('AP2-O&amp;M L2'!$A$3:$A$82,'Summary L1'!$C55,'AP2-O&amp;M L2'!$G$3:$G$82)</f>
        <v>0</v>
      </c>
      <c r="F55" s="81">
        <f>SUMIF('AP2-O&amp;M L2'!$A$3:$A$82,'Summary L1'!$C55,'AP2-O&amp;M L2'!$H$3:$H$82)</f>
        <v>0</v>
      </c>
      <c r="G55" s="81">
        <f>SUMIF('AP2-O&amp;M L2'!$A$3:$A$82,'Summary L1'!$C55,'AP2-O&amp;M L2'!$J$3:$J$82)</f>
        <v>0</v>
      </c>
      <c r="H55" s="81">
        <f>SUMIF('AP2-O&amp;M L2'!$A$3:$A$82,'Summary L1'!$C55,'AP2-O&amp;M L2'!$L$3:$L$82)</f>
        <v>0</v>
      </c>
      <c r="I55" s="30"/>
    </row>
    <row r="56" spans="1:20" ht="19.5" customHeight="1">
      <c r="A56" s="85"/>
      <c r="B56" s="734"/>
      <c r="C56" s="101"/>
      <c r="D56" s="175" t="s">
        <v>89</v>
      </c>
      <c r="E56" s="191">
        <f>SUM(E39:E55)</f>
        <v>0</v>
      </c>
      <c r="F56" s="191">
        <f t="shared" ref="F56:H56" si="0">SUM(F39:F55)</f>
        <v>0</v>
      </c>
      <c r="G56" s="191">
        <f t="shared" si="0"/>
        <v>0</v>
      </c>
      <c r="H56" s="191">
        <f t="shared" si="0"/>
        <v>0</v>
      </c>
      <c r="I56" s="152"/>
      <c r="J56" s="149"/>
      <c r="K56" s="149"/>
      <c r="L56" s="149"/>
    </row>
    <row r="57" spans="1:20" s="14" customFormat="1" ht="3.75" customHeight="1">
      <c r="A57" s="102"/>
      <c r="B57" s="102"/>
      <c r="C57" s="95"/>
      <c r="D57" s="95"/>
      <c r="E57" s="97"/>
      <c r="F57" s="97"/>
      <c r="G57" s="97"/>
      <c r="H57" s="97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7.25" customHeight="1">
      <c r="A58" s="85"/>
      <c r="B58" s="732" t="s">
        <v>197</v>
      </c>
      <c r="C58" s="179" t="s">
        <v>5</v>
      </c>
      <c r="D58" s="163" t="s">
        <v>121</v>
      </c>
      <c r="E58" s="177"/>
      <c r="F58" s="177"/>
      <c r="G58" s="177"/>
      <c r="H58" s="177"/>
      <c r="I58" s="369"/>
      <c r="J58" s="326"/>
      <c r="K58" s="326"/>
      <c r="L58" s="326"/>
    </row>
    <row r="59" spans="1:20" ht="15" customHeight="1">
      <c r="A59" s="85"/>
      <c r="B59" s="733"/>
      <c r="C59" s="90">
        <v>5.0999999999999996</v>
      </c>
      <c r="D59" s="89" t="s">
        <v>272</v>
      </c>
      <c r="E59" s="459"/>
      <c r="F59" s="83"/>
      <c r="G59" s="83"/>
      <c r="H59" s="83"/>
      <c r="I59" s="369"/>
      <c r="J59" s="326"/>
      <c r="K59" s="326"/>
      <c r="L59" s="326"/>
    </row>
    <row r="60" spans="1:20" ht="15" customHeight="1">
      <c r="A60" s="85"/>
      <c r="B60" s="735"/>
      <c r="C60" s="90">
        <v>5.2</v>
      </c>
      <c r="D60" s="89" t="s">
        <v>92</v>
      </c>
      <c r="E60" s="297"/>
      <c r="F60" s="83"/>
      <c r="G60" s="83"/>
      <c r="H60" s="83"/>
    </row>
    <row r="61" spans="1:20" ht="15" customHeight="1">
      <c r="A61" s="85"/>
      <c r="B61" s="735"/>
      <c r="C61" s="90">
        <v>5.3</v>
      </c>
      <c r="D61" s="90" t="s">
        <v>93</v>
      </c>
      <c r="E61" s="297"/>
      <c r="F61" s="83"/>
      <c r="G61" s="83"/>
      <c r="H61" s="83"/>
    </row>
    <row r="62" spans="1:20" ht="15" customHeight="1">
      <c r="A62" s="85"/>
      <c r="B62" s="735"/>
      <c r="C62" s="90">
        <v>5.4</v>
      </c>
      <c r="D62" s="90" t="s">
        <v>122</v>
      </c>
      <c r="E62" s="297"/>
      <c r="F62" s="83"/>
      <c r="G62" s="83"/>
      <c r="H62" s="83"/>
    </row>
    <row r="63" spans="1:20" ht="15" customHeight="1">
      <c r="A63" s="85"/>
      <c r="B63" s="735"/>
      <c r="C63" s="90">
        <v>5.5</v>
      </c>
      <c r="D63" s="90" t="s">
        <v>68</v>
      </c>
      <c r="E63" s="297"/>
      <c r="F63" s="83"/>
      <c r="G63" s="83"/>
      <c r="H63" s="83"/>
    </row>
    <row r="64" spans="1:20" ht="18.75" customHeight="1">
      <c r="A64" s="85"/>
      <c r="B64" s="735"/>
      <c r="C64" s="115"/>
      <c r="D64" s="175" t="s">
        <v>90</v>
      </c>
      <c r="E64" s="191"/>
      <c r="F64" s="191">
        <f>SUM(F59:F63)</f>
        <v>0</v>
      </c>
      <c r="G64" s="191">
        <f>SUM(G59:G63)</f>
        <v>0</v>
      </c>
      <c r="H64" s="191">
        <f>SUM(H59:H63)</f>
        <v>0</v>
      </c>
      <c r="I64" s="149"/>
      <c r="J64" s="149"/>
      <c r="K64" s="149"/>
      <c r="L64" s="149"/>
    </row>
    <row r="65" spans="1:12" ht="3.75" customHeight="1">
      <c r="A65" s="85"/>
      <c r="B65" s="85"/>
      <c r="C65" s="112"/>
      <c r="D65" s="113"/>
      <c r="E65" s="114"/>
      <c r="F65" s="114"/>
      <c r="G65" s="114"/>
      <c r="H65" s="114"/>
    </row>
    <row r="66" spans="1:12" ht="17.25" customHeight="1">
      <c r="A66" s="85"/>
      <c r="B66" s="729" t="s">
        <v>198</v>
      </c>
      <c r="C66" s="179" t="s">
        <v>162</v>
      </c>
      <c r="D66" s="163" t="s">
        <v>123</v>
      </c>
      <c r="E66" s="177"/>
      <c r="F66" s="177"/>
      <c r="G66" s="177"/>
      <c r="H66" s="177"/>
      <c r="J66" s="326"/>
      <c r="K66" s="326"/>
      <c r="L66" s="326"/>
    </row>
    <row r="67" spans="1:12" ht="15" customHeight="1">
      <c r="A67" s="85"/>
      <c r="B67" s="729"/>
      <c r="C67" s="88">
        <v>6.1</v>
      </c>
      <c r="D67" s="89" t="s">
        <v>94</v>
      </c>
      <c r="E67" s="297"/>
      <c r="F67" s="83"/>
      <c r="G67" s="83"/>
      <c r="H67" s="83"/>
    </row>
    <row r="68" spans="1:12" ht="15" customHeight="1">
      <c r="A68" s="85"/>
      <c r="B68" s="729"/>
      <c r="C68" s="90">
        <v>6.2</v>
      </c>
      <c r="D68" s="89" t="s">
        <v>192</v>
      </c>
      <c r="E68" s="297"/>
      <c r="F68" s="83"/>
      <c r="G68" s="83"/>
      <c r="H68" s="83"/>
    </row>
    <row r="69" spans="1:12" ht="15" customHeight="1">
      <c r="A69" s="85"/>
      <c r="B69" s="729"/>
      <c r="C69" s="90">
        <v>6.3</v>
      </c>
      <c r="D69" s="90" t="s">
        <v>95</v>
      </c>
      <c r="E69" s="297"/>
      <c r="F69" s="83"/>
      <c r="G69" s="83"/>
      <c r="H69" s="83"/>
    </row>
    <row r="70" spans="1:12" ht="15" customHeight="1">
      <c r="A70" s="85"/>
      <c r="B70" s="729"/>
      <c r="C70" s="90">
        <v>6.4</v>
      </c>
      <c r="D70" s="90" t="s">
        <v>96</v>
      </c>
      <c r="E70" s="297"/>
      <c r="F70" s="83"/>
      <c r="G70" s="83"/>
      <c r="H70" s="83"/>
    </row>
    <row r="71" spans="1:12" ht="15" customHeight="1">
      <c r="A71" s="85"/>
      <c r="B71" s="729"/>
      <c r="C71" s="90">
        <v>6.5</v>
      </c>
      <c r="D71" s="90" t="s">
        <v>97</v>
      </c>
      <c r="E71" s="297"/>
      <c r="F71" s="83"/>
      <c r="G71" s="83"/>
      <c r="H71" s="83"/>
    </row>
    <row r="72" spans="1:12" ht="15" customHeight="1">
      <c r="A72" s="85"/>
      <c r="B72" s="729"/>
      <c r="C72" s="88">
        <v>6.6</v>
      </c>
      <c r="D72" s="89" t="s">
        <v>98</v>
      </c>
      <c r="E72" s="297"/>
      <c r="F72" s="83"/>
      <c r="G72" s="83"/>
      <c r="H72" s="83"/>
    </row>
    <row r="73" spans="1:12" ht="15" customHeight="1">
      <c r="A73" s="85"/>
      <c r="B73" s="729"/>
      <c r="C73" s="90">
        <v>6.7</v>
      </c>
      <c r="D73" s="89" t="s">
        <v>317</v>
      </c>
      <c r="E73" s="297"/>
      <c r="F73" s="83"/>
      <c r="G73" s="83"/>
      <c r="H73" s="83"/>
    </row>
    <row r="74" spans="1:12" ht="17.25" customHeight="1">
      <c r="A74" s="85"/>
      <c r="B74" s="729"/>
      <c r="C74" s="115"/>
      <c r="D74" s="175" t="s">
        <v>124</v>
      </c>
      <c r="E74" s="191"/>
      <c r="F74" s="191">
        <f>SUM(F67:F73)</f>
        <v>0</v>
      </c>
      <c r="G74" s="191">
        <f>SUM(G67:G73)</f>
        <v>0</v>
      </c>
      <c r="H74" s="191">
        <f t="shared" ref="H74" si="1">SUM(H67:H73)</f>
        <v>0</v>
      </c>
      <c r="J74" s="149"/>
      <c r="K74" s="149"/>
      <c r="L74" s="149"/>
    </row>
    <row r="75" spans="1:12" ht="3.75" customHeight="1">
      <c r="A75" s="85"/>
      <c r="B75" s="729"/>
      <c r="C75" s="112"/>
      <c r="D75" s="116"/>
      <c r="E75" s="117"/>
      <c r="F75" s="117"/>
      <c r="G75" s="117"/>
      <c r="H75" s="117"/>
    </row>
    <row r="76" spans="1:12" ht="18.75" customHeight="1">
      <c r="A76" s="85"/>
      <c r="B76" s="729"/>
      <c r="C76" s="179" t="s">
        <v>158</v>
      </c>
      <c r="D76" s="163" t="s">
        <v>127</v>
      </c>
      <c r="E76" s="177"/>
      <c r="F76" s="177"/>
      <c r="G76" s="177"/>
      <c r="H76" s="177"/>
    </row>
    <row r="77" spans="1:12" ht="15" customHeight="1">
      <c r="A77" s="85"/>
      <c r="B77" s="729"/>
      <c r="C77" s="88">
        <v>7.1</v>
      </c>
      <c r="D77" s="89" t="s">
        <v>125</v>
      </c>
      <c r="E77" s="83"/>
      <c r="F77" s="83"/>
      <c r="G77" s="83"/>
      <c r="H77" s="83"/>
    </row>
    <row r="78" spans="1:12" ht="15" customHeight="1">
      <c r="A78" s="85"/>
      <c r="B78" s="729"/>
      <c r="C78" s="90">
        <v>7.2</v>
      </c>
      <c r="D78" s="89" t="s">
        <v>99</v>
      </c>
      <c r="E78" s="83"/>
      <c r="F78" s="83"/>
      <c r="G78" s="83"/>
      <c r="H78" s="83"/>
    </row>
    <row r="79" spans="1:12" ht="15" customHeight="1">
      <c r="A79" s="85"/>
      <c r="B79" s="729"/>
      <c r="C79" s="90">
        <v>7.3</v>
      </c>
      <c r="D79" s="90" t="s">
        <v>100</v>
      </c>
      <c r="E79" s="83"/>
      <c r="F79" s="83"/>
      <c r="G79" s="83"/>
      <c r="H79" s="83"/>
    </row>
    <row r="80" spans="1:12" ht="15" customHeight="1">
      <c r="A80" s="85"/>
      <c r="B80" s="729"/>
      <c r="C80" s="90">
        <v>7.4</v>
      </c>
      <c r="D80" s="90" t="s">
        <v>101</v>
      </c>
      <c r="E80" s="83"/>
      <c r="F80" s="83"/>
      <c r="G80" s="83"/>
      <c r="H80" s="83"/>
    </row>
    <row r="81" spans="1:12" ht="15" customHeight="1">
      <c r="A81" s="85"/>
      <c r="B81" s="729"/>
      <c r="C81" s="90">
        <v>7.5</v>
      </c>
      <c r="D81" s="90" t="s">
        <v>68</v>
      </c>
      <c r="E81" s="83"/>
      <c r="F81" s="83"/>
      <c r="G81" s="83"/>
      <c r="H81" s="83"/>
    </row>
    <row r="82" spans="1:12" ht="18.75" customHeight="1">
      <c r="A82" s="85"/>
      <c r="B82" s="729"/>
      <c r="C82" s="115"/>
      <c r="D82" s="175" t="s">
        <v>191</v>
      </c>
      <c r="E82" s="191">
        <f>SUM(E77:E81)</f>
        <v>0</v>
      </c>
      <c r="F82" s="191">
        <f t="shared" ref="F82:H82" si="2">SUM(F77:F81)</f>
        <v>0</v>
      </c>
      <c r="G82" s="191">
        <f t="shared" si="2"/>
        <v>0</v>
      </c>
      <c r="H82" s="191">
        <f t="shared" si="2"/>
        <v>0</v>
      </c>
    </row>
    <row r="83" spans="1:12" ht="3.75" customHeight="1">
      <c r="A83" s="85"/>
      <c r="B83" s="729"/>
      <c r="C83" s="112"/>
      <c r="D83" s="116"/>
      <c r="E83" s="117"/>
      <c r="F83" s="117"/>
      <c r="G83" s="117"/>
      <c r="H83" s="117"/>
    </row>
    <row r="84" spans="1:12" ht="18.75" customHeight="1">
      <c r="A84" s="85"/>
      <c r="B84" s="729"/>
      <c r="C84" s="179" t="s">
        <v>189</v>
      </c>
      <c r="D84" s="163" t="s">
        <v>190</v>
      </c>
      <c r="E84" s="177"/>
      <c r="F84" s="177"/>
      <c r="G84" s="177"/>
      <c r="H84" s="177"/>
    </row>
    <row r="85" spans="1:12" ht="14.25" customHeight="1">
      <c r="A85" s="85"/>
      <c r="B85" s="729"/>
      <c r="C85" s="99"/>
      <c r="D85" s="557"/>
      <c r="E85" s="100"/>
      <c r="F85" s="100"/>
      <c r="G85" s="100"/>
      <c r="H85" s="100"/>
    </row>
    <row r="86" spans="1:12" ht="18.75" customHeight="1">
      <c r="A86" s="85"/>
      <c r="B86" s="729"/>
      <c r="C86" s="115"/>
      <c r="D86" s="175" t="s">
        <v>193</v>
      </c>
      <c r="E86" s="191">
        <f>SUM(E85)</f>
        <v>0</v>
      </c>
      <c r="F86" s="191">
        <f t="shared" ref="F86:H86" si="3">SUM(F85)</f>
        <v>0</v>
      </c>
      <c r="G86" s="191">
        <f t="shared" si="3"/>
        <v>0</v>
      </c>
      <c r="H86" s="191">
        <f t="shared" si="3"/>
        <v>0</v>
      </c>
    </row>
    <row r="87" spans="1:12" ht="4.5" customHeight="1">
      <c r="A87" s="85"/>
      <c r="B87" s="85"/>
      <c r="C87" s="112"/>
      <c r="D87" s="113"/>
      <c r="E87" s="114"/>
      <c r="F87" s="114"/>
      <c r="G87" s="114"/>
      <c r="H87" s="114"/>
    </row>
    <row r="88" spans="1:12" ht="28.5" customHeight="1">
      <c r="A88" s="85"/>
      <c r="B88" s="727" t="s">
        <v>194</v>
      </c>
      <c r="C88" s="728"/>
      <c r="D88" s="514" t="s">
        <v>267</v>
      </c>
      <c r="E88" s="191">
        <f>E8+E18+E36+E56+E64+E74+E82+E86</f>
        <v>30283.4</v>
      </c>
      <c r="F88" s="191">
        <f>F8+F18+F36+F56+F64+F74+F82+F86</f>
        <v>1817004</v>
      </c>
      <c r="G88" s="191">
        <f>G8+G18+G36+G56+G64+G74+G82+G86</f>
        <v>5079624.3682272108</v>
      </c>
      <c r="H88" s="191">
        <f>H8+H18+H36+H56+H64+H74+H82+H86</f>
        <v>1067241.1415908169</v>
      </c>
      <c r="J88" s="326"/>
      <c r="K88" s="326"/>
      <c r="L88" s="326"/>
    </row>
    <row r="89" spans="1:12" ht="3.75" customHeight="1">
      <c r="A89" s="85"/>
      <c r="B89" s="85"/>
      <c r="C89" s="118"/>
      <c r="D89" s="119"/>
      <c r="E89" s="120"/>
      <c r="F89" s="120"/>
      <c r="G89" s="120"/>
      <c r="H89" s="120"/>
    </row>
    <row r="92" spans="1:12" ht="15">
      <c r="D92" s="4"/>
      <c r="F92" s="74"/>
      <c r="G92" s="74"/>
      <c r="H92" s="74"/>
    </row>
    <row r="94" spans="1:12" ht="15">
      <c r="F94" s="74"/>
      <c r="G94" s="74"/>
      <c r="H94" s="74"/>
    </row>
    <row r="95" spans="1:12" ht="15">
      <c r="F95" s="74"/>
      <c r="G95" s="74"/>
      <c r="H95" s="74"/>
    </row>
    <row r="96" spans="1:12" ht="15.75">
      <c r="F96" s="325"/>
      <c r="G96" s="325"/>
      <c r="H96" s="325"/>
    </row>
  </sheetData>
  <mergeCells count="6">
    <mergeCell ref="B88:C88"/>
    <mergeCell ref="B66:B86"/>
    <mergeCell ref="B1:C1"/>
    <mergeCell ref="B10:B56"/>
    <mergeCell ref="B58:B64"/>
    <mergeCell ref="B4:B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8"/>
  <sheetViews>
    <sheetView workbookViewId="0">
      <selection activeCell="K21" sqref="K21"/>
    </sheetView>
  </sheetViews>
  <sheetFormatPr defaultRowHeight="15"/>
  <sheetData>
    <row r="8" spans="2:2" ht="23.25">
      <c r="B8" s="625" t="s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view="pageBreakPreview" zoomScale="90" zoomScaleNormal="70" zoomScaleSheetLayoutView="90" workbookViewId="0">
      <selection activeCell="J18" sqref="J18"/>
    </sheetView>
  </sheetViews>
  <sheetFormatPr defaultRowHeight="14.25"/>
  <cols>
    <col min="1" max="1" width="8.140625" style="31" bestFit="1" customWidth="1"/>
    <col min="2" max="2" width="5.140625" style="31" customWidth="1"/>
    <col min="3" max="3" width="50.5703125" style="31" customWidth="1"/>
    <col min="4" max="4" width="9.28515625" style="31" customWidth="1"/>
    <col min="5" max="5" width="5.42578125" style="31" customWidth="1"/>
    <col min="6" max="6" width="11.5703125" style="473" customWidth="1"/>
    <col min="7" max="7" width="12" style="333" customWidth="1"/>
    <col min="8" max="8" width="12.140625" style="31" customWidth="1"/>
    <col min="9" max="9" width="10.140625" style="31" bestFit="1" customWidth="1"/>
    <col min="10" max="10" width="12.140625" style="31" customWidth="1"/>
    <col min="11" max="11" width="9.140625" style="31"/>
    <col min="12" max="12" width="12" style="31" customWidth="1"/>
    <col min="13" max="16384" width="9.140625" style="31"/>
  </cols>
  <sheetData>
    <row r="1" spans="1:9" s="50" customFormat="1" ht="41.25" customHeight="1">
      <c r="A1" s="214" t="s">
        <v>318</v>
      </c>
      <c r="B1" s="214" t="s">
        <v>319</v>
      </c>
      <c r="C1" s="219"/>
      <c r="D1" s="214"/>
      <c r="F1" s="239" t="s">
        <v>177</v>
      </c>
      <c r="G1" s="241">
        <v>60</v>
      </c>
    </row>
    <row r="2" spans="1:9" s="61" customFormat="1" ht="39" customHeight="1">
      <c r="A2" s="403" t="s">
        <v>254</v>
      </c>
      <c r="B2" s="405" t="s">
        <v>179</v>
      </c>
      <c r="C2" s="495" t="s">
        <v>144</v>
      </c>
      <c r="D2" s="475" t="s">
        <v>141</v>
      </c>
      <c r="E2" s="474" t="s">
        <v>142</v>
      </c>
      <c r="F2" s="512" t="s">
        <v>143</v>
      </c>
      <c r="G2" s="103" t="s">
        <v>160</v>
      </c>
      <c r="I2" s="603"/>
    </row>
    <row r="3" spans="1:9" s="32" customFormat="1" ht="17.25" customHeight="1">
      <c r="A3" s="179">
        <v>1.2</v>
      </c>
      <c r="B3" s="163" t="s">
        <v>315</v>
      </c>
      <c r="C3" s="163"/>
      <c r="D3" s="164"/>
      <c r="E3" s="164"/>
      <c r="F3" s="468"/>
      <c r="G3" s="166"/>
      <c r="I3" s="616"/>
    </row>
    <row r="4" spans="1:9" s="8" customFormat="1" ht="15" customHeight="1">
      <c r="A4" s="133">
        <v>1.2</v>
      </c>
      <c r="B4" s="153" t="s">
        <v>316</v>
      </c>
      <c r="C4" s="155"/>
      <c r="D4" s="133"/>
      <c r="E4" s="133"/>
      <c r="F4" s="341"/>
      <c r="G4" s="83"/>
      <c r="I4" s="80"/>
    </row>
    <row r="5" spans="1:9" s="8" customFormat="1" ht="24" customHeight="1">
      <c r="A5" s="136"/>
      <c r="B5" s="153"/>
      <c r="C5" s="565" t="s">
        <v>322</v>
      </c>
      <c r="D5" s="136"/>
      <c r="E5" s="90"/>
      <c r="F5" s="340"/>
      <c r="G5" s="130"/>
      <c r="I5" s="80"/>
    </row>
    <row r="6" spans="1:9" s="8" customFormat="1" ht="15" customHeight="1">
      <c r="A6" s="136"/>
      <c r="B6" s="329"/>
      <c r="C6" s="157"/>
      <c r="D6" s="136"/>
      <c r="E6" s="136"/>
      <c r="F6" s="340"/>
      <c r="G6" s="130"/>
      <c r="I6" s="80"/>
    </row>
    <row r="7" spans="1:9" ht="19.5" customHeight="1">
      <c r="A7" s="115"/>
      <c r="B7" s="168"/>
      <c r="C7" s="169" t="s">
        <v>124</v>
      </c>
      <c r="D7" s="220"/>
      <c r="E7" s="220"/>
      <c r="F7" s="469"/>
      <c r="G7" s="191">
        <f>SUM(G4:G6)</f>
        <v>0</v>
      </c>
      <c r="I7" s="620"/>
    </row>
    <row r="8" spans="1:9" s="3" customFormat="1">
      <c r="F8" s="470"/>
      <c r="G8" s="19"/>
      <c r="I8" s="586"/>
    </row>
    <row r="9" spans="1:9" s="3" customFormat="1">
      <c r="F9" s="470"/>
      <c r="G9" s="19"/>
      <c r="I9" s="586"/>
    </row>
    <row r="10" spans="1:9" ht="15">
      <c r="A10" s="3"/>
      <c r="B10" s="58"/>
      <c r="C10" s="58"/>
      <c r="D10" s="59"/>
      <c r="E10" s="59"/>
      <c r="F10" s="471"/>
      <c r="G10" s="145"/>
      <c r="I10" s="619"/>
    </row>
    <row r="11" spans="1:9">
      <c r="B11" s="47"/>
      <c r="C11" s="47"/>
      <c r="D11" s="47"/>
      <c r="E11" s="47"/>
      <c r="F11" s="472"/>
      <c r="G11" s="332"/>
    </row>
    <row r="12" spans="1:9">
      <c r="B12" s="47"/>
      <c r="C12" s="47"/>
      <c r="D12" s="47"/>
      <c r="E12" s="47"/>
      <c r="F12" s="472"/>
      <c r="G12" s="332"/>
    </row>
    <row r="13" spans="1:9">
      <c r="B13" s="47"/>
      <c r="C13" s="47"/>
      <c r="D13" s="47"/>
      <c r="E13" s="47"/>
      <c r="F13" s="472"/>
      <c r="G13" s="332"/>
    </row>
    <row r="14" spans="1:9">
      <c r="B14" s="47"/>
      <c r="C14" s="47"/>
      <c r="D14" s="47"/>
      <c r="E14" s="47"/>
      <c r="F14" s="472"/>
      <c r="G14" s="332"/>
    </row>
    <row r="15" spans="1:9">
      <c r="B15" s="47"/>
      <c r="C15" s="47"/>
      <c r="D15" s="47"/>
      <c r="E15" s="47"/>
      <c r="F15" s="472"/>
      <c r="G15" s="332"/>
    </row>
    <row r="16" spans="1:9">
      <c r="B16" s="47"/>
      <c r="C16" s="47"/>
      <c r="D16" s="47"/>
      <c r="E16" s="47"/>
      <c r="F16" s="472"/>
      <c r="G16" s="332"/>
    </row>
    <row r="17" spans="2:7">
      <c r="B17" s="47"/>
      <c r="C17" s="47"/>
      <c r="D17" s="47"/>
      <c r="E17" s="47"/>
      <c r="F17" s="472"/>
      <c r="G17" s="332"/>
    </row>
    <row r="18" spans="2:7">
      <c r="B18" s="47"/>
      <c r="C18" s="47"/>
      <c r="D18" s="47"/>
      <c r="E18" s="47"/>
      <c r="F18" s="472"/>
      <c r="G18" s="332"/>
    </row>
  </sheetData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103"/>
  <sheetViews>
    <sheetView tabSelected="1" view="pageBreakPreview" zoomScale="90" zoomScaleNormal="90" zoomScaleSheetLayoutView="90" workbookViewId="0">
      <pane ySplit="2" topLeftCell="A18" activePane="bottomLeft" state="frozen"/>
      <selection activeCell="I24" sqref="I24"/>
      <selection pane="bottomLeft" activeCell="P31" sqref="P31"/>
    </sheetView>
  </sheetViews>
  <sheetFormatPr defaultRowHeight="15"/>
  <cols>
    <col min="1" max="1" width="7.85546875" style="3" customWidth="1"/>
    <col min="2" max="2" width="5" style="16" customWidth="1"/>
    <col min="3" max="3" width="73.28515625" style="3" customWidth="1"/>
    <col min="4" max="4" width="6.140625" style="14" customWidth="1"/>
    <col min="5" max="5" width="4.140625" style="16" customWidth="1"/>
    <col min="6" max="6" width="8.85546875" style="346" customWidth="1"/>
    <col min="7" max="7" width="8.7109375" style="19" customWidth="1"/>
    <col min="8" max="8" width="9" style="19" customWidth="1"/>
    <col min="9" max="9" width="5.140625" style="446" customWidth="1"/>
    <col min="10" max="10" width="11.28515625" style="19" customWidth="1"/>
    <col min="11" max="11" width="4.85546875" style="1" customWidth="1"/>
    <col min="12" max="12" width="9.5703125" style="19" customWidth="1"/>
    <col min="13" max="13" width="1.28515625" style="599" customWidth="1"/>
    <col min="14" max="14" width="8" style="535" customWidth="1"/>
    <col min="15" max="15" width="0.85546875" style="566" customWidth="1"/>
    <col min="16" max="16" width="8.140625" style="566" customWidth="1"/>
    <col min="17" max="17" width="2.85546875" style="566" customWidth="1"/>
    <col min="18" max="22" width="5.28515625" style="544" customWidth="1"/>
    <col min="23" max="24" width="5.28515625" style="36" customWidth="1"/>
    <col min="25" max="27" width="5.28515625" style="3" customWidth="1"/>
    <col min="28" max="16384" width="9.140625" style="3"/>
  </cols>
  <sheetData>
    <row r="1" spans="1:24" ht="41.25" customHeight="1">
      <c r="A1" s="214" t="s">
        <v>140</v>
      </c>
      <c r="B1" s="424" t="s">
        <v>139</v>
      </c>
      <c r="C1" s="219"/>
      <c r="D1" s="253"/>
      <c r="E1" s="254"/>
      <c r="F1" s="334"/>
      <c r="G1" s="255"/>
      <c r="J1" s="239" t="s">
        <v>177</v>
      </c>
      <c r="L1" s="241">
        <v>60</v>
      </c>
      <c r="M1" s="445"/>
      <c r="R1" s="568"/>
      <c r="S1" s="568"/>
      <c r="T1" s="568"/>
      <c r="U1" s="568"/>
      <c r="V1" s="568"/>
    </row>
    <row r="2" spans="1:24" s="4" customFormat="1" ht="53.25" customHeight="1">
      <c r="A2" s="403" t="s">
        <v>180</v>
      </c>
      <c r="B2" s="518" t="s">
        <v>179</v>
      </c>
      <c r="C2" s="406" t="s">
        <v>144</v>
      </c>
      <c r="D2" s="407" t="s">
        <v>141</v>
      </c>
      <c r="E2" s="408" t="s">
        <v>142</v>
      </c>
      <c r="F2" s="409" t="s">
        <v>143</v>
      </c>
      <c r="G2" s="103" t="s">
        <v>181</v>
      </c>
      <c r="H2" s="103" t="s">
        <v>157</v>
      </c>
      <c r="I2" s="465" t="s">
        <v>129</v>
      </c>
      <c r="J2" s="103" t="s">
        <v>271</v>
      </c>
      <c r="K2" s="465" t="s">
        <v>130</v>
      </c>
      <c r="L2" s="103" t="s">
        <v>249</v>
      </c>
      <c r="M2" s="56"/>
      <c r="N2" s="103" t="s">
        <v>332</v>
      </c>
      <c r="O2" s="570"/>
      <c r="P2" s="738" t="s">
        <v>333</v>
      </c>
      <c r="Q2" s="570"/>
      <c r="R2" s="572"/>
      <c r="S2" s="571"/>
      <c r="T2" s="572"/>
      <c r="U2" s="571"/>
      <c r="V2" s="572"/>
      <c r="W2" s="569"/>
      <c r="X2" s="569"/>
    </row>
    <row r="3" spans="1:24" s="5" customFormat="1" ht="16.5" customHeight="1">
      <c r="A3" s="179" t="s">
        <v>0</v>
      </c>
      <c r="B3" s="168" t="s">
        <v>103</v>
      </c>
      <c r="C3" s="173"/>
      <c r="D3" s="164"/>
      <c r="E3" s="165"/>
      <c r="F3" s="335"/>
      <c r="G3" s="166"/>
      <c r="H3" s="166"/>
      <c r="I3" s="452"/>
      <c r="J3" s="166"/>
      <c r="K3" s="452"/>
      <c r="L3" s="167"/>
      <c r="M3" s="573"/>
      <c r="N3" s="148"/>
      <c r="O3" s="574"/>
      <c r="P3" s="574"/>
      <c r="Q3" s="574"/>
      <c r="R3" s="26"/>
      <c r="S3" s="26"/>
      <c r="T3" s="26"/>
      <c r="U3" s="26"/>
      <c r="V3" s="26"/>
      <c r="W3" s="148"/>
      <c r="X3" s="148"/>
    </row>
    <row r="4" spans="1:24" s="8" customFormat="1" ht="15" customHeight="1">
      <c r="A4" s="122">
        <v>2.1</v>
      </c>
      <c r="B4" s="159" t="s">
        <v>147</v>
      </c>
      <c r="C4" s="154"/>
      <c r="D4" s="124"/>
      <c r="E4" s="123"/>
      <c r="F4" s="336"/>
      <c r="G4" s="125"/>
      <c r="H4" s="125"/>
      <c r="I4" s="460"/>
      <c r="J4" s="125"/>
      <c r="K4" s="460"/>
      <c r="L4" s="126"/>
      <c r="M4" s="575"/>
      <c r="N4" s="513"/>
      <c r="O4" s="574"/>
      <c r="P4" s="574"/>
      <c r="Q4" s="574"/>
      <c r="R4" s="26"/>
      <c r="S4" s="26"/>
      <c r="T4" s="26"/>
      <c r="U4" s="26"/>
      <c r="V4" s="26"/>
      <c r="W4" s="513"/>
      <c r="X4" s="513"/>
    </row>
    <row r="5" spans="1:24" s="638" customFormat="1" ht="15" customHeight="1">
      <c r="A5" s="626">
        <v>2.1</v>
      </c>
      <c r="B5" s="649"/>
      <c r="C5" s="628" t="s">
        <v>325</v>
      </c>
      <c r="D5" s="650"/>
      <c r="E5" s="651"/>
      <c r="F5" s="652"/>
      <c r="G5" s="631">
        <f>'AP3-Replacement L2'!$K$24</f>
        <v>283.39999999999998</v>
      </c>
      <c r="H5" s="631">
        <f>'AP3-Replacement L2'!$L$24</f>
        <v>17004</v>
      </c>
      <c r="I5" s="653"/>
      <c r="J5" s="631">
        <f>'AP3-Replacement L2'!$N$24</f>
        <v>41273.171060108965</v>
      </c>
      <c r="K5" s="653"/>
      <c r="L5" s="654">
        <f>'AP3-Replacement L2'!$P$24</f>
        <v>9549.6810178248015</v>
      </c>
      <c r="M5" s="655"/>
      <c r="N5" s="634"/>
      <c r="O5" s="656"/>
      <c r="P5" s="656"/>
      <c r="Q5" s="656"/>
      <c r="R5" s="657"/>
      <c r="S5" s="657"/>
      <c r="T5" s="657"/>
      <c r="U5" s="657"/>
      <c r="V5" s="657"/>
      <c r="W5" s="634"/>
      <c r="X5" s="634"/>
    </row>
    <row r="6" spans="1:24" s="8" customFormat="1" ht="15" customHeight="1">
      <c r="A6" s="122">
        <v>2.2000000000000002</v>
      </c>
      <c r="B6" s="160" t="s">
        <v>67</v>
      </c>
      <c r="C6" s="154"/>
      <c r="D6" s="124"/>
      <c r="E6" s="123"/>
      <c r="F6" s="336"/>
      <c r="G6" s="130"/>
      <c r="H6" s="130"/>
      <c r="I6" s="462"/>
      <c r="J6" s="130"/>
      <c r="K6" s="462"/>
      <c r="L6" s="126"/>
      <c r="M6" s="575"/>
      <c r="N6" s="513"/>
      <c r="O6" s="574"/>
      <c r="P6" s="574"/>
      <c r="Q6" s="574"/>
      <c r="R6" s="541"/>
      <c r="S6" s="541"/>
      <c r="T6" s="541"/>
      <c r="U6" s="541"/>
      <c r="V6" s="542"/>
      <c r="W6" s="513"/>
      <c r="X6" s="513"/>
    </row>
    <row r="7" spans="1:24" s="7" customFormat="1" ht="15" customHeight="1">
      <c r="A7" s="132">
        <v>2.2000000000000002</v>
      </c>
      <c r="B7" s="519"/>
      <c r="C7" s="565" t="s">
        <v>322</v>
      </c>
      <c r="D7" s="128"/>
      <c r="E7" s="129"/>
      <c r="F7" s="337"/>
      <c r="G7" s="130"/>
      <c r="H7" s="130"/>
      <c r="I7" s="462"/>
      <c r="J7" s="130"/>
      <c r="K7" s="462"/>
      <c r="L7" s="131"/>
      <c r="M7" s="578"/>
      <c r="N7" s="579"/>
      <c r="O7" s="580"/>
      <c r="P7" s="580"/>
      <c r="Q7" s="580"/>
      <c r="R7" s="541"/>
      <c r="S7" s="541"/>
      <c r="T7" s="541"/>
      <c r="U7" s="541"/>
      <c r="V7" s="541"/>
      <c r="W7" s="579"/>
      <c r="X7" s="579"/>
    </row>
    <row r="8" spans="1:24" s="8" customFormat="1" ht="15" customHeight="1">
      <c r="A8" s="133">
        <v>2.2999999999999998</v>
      </c>
      <c r="B8" s="160" t="s">
        <v>69</v>
      </c>
      <c r="C8" s="154"/>
      <c r="D8" s="124"/>
      <c r="E8" s="123"/>
      <c r="F8" s="336"/>
      <c r="G8" s="130"/>
      <c r="H8" s="130"/>
      <c r="I8" s="462"/>
      <c r="J8" s="130"/>
      <c r="K8" s="462"/>
      <c r="L8" s="84"/>
      <c r="M8" s="581"/>
      <c r="N8" s="513"/>
      <c r="O8" s="574"/>
      <c r="P8" s="574"/>
      <c r="Q8" s="574"/>
      <c r="R8" s="541"/>
      <c r="S8" s="541"/>
      <c r="T8" s="541"/>
      <c r="U8" s="541"/>
      <c r="V8" s="541"/>
      <c r="W8" s="513"/>
      <c r="X8" s="513"/>
    </row>
    <row r="9" spans="1:24" s="270" customFormat="1" ht="15" customHeight="1">
      <c r="A9" s="268">
        <v>2.2999999999999998</v>
      </c>
      <c r="B9" s="269"/>
      <c r="C9" s="565" t="s">
        <v>322</v>
      </c>
      <c r="D9" s="351"/>
      <c r="E9" s="352"/>
      <c r="F9" s="353"/>
      <c r="G9" s="349"/>
      <c r="H9" s="349"/>
      <c r="I9" s="461"/>
      <c r="J9" s="130"/>
      <c r="K9" s="461"/>
      <c r="L9" s="350"/>
      <c r="M9" s="576"/>
      <c r="N9" s="365"/>
      <c r="O9" s="580"/>
      <c r="P9" s="580"/>
      <c r="Q9" s="580"/>
      <c r="R9" s="541"/>
      <c r="S9" s="541"/>
      <c r="T9" s="541"/>
      <c r="U9" s="541"/>
      <c r="V9" s="541"/>
      <c r="W9" s="365"/>
      <c r="X9" s="365"/>
    </row>
    <row r="10" spans="1:24" s="75" customFormat="1" ht="15" customHeight="1">
      <c r="A10" s="354">
        <v>2.4</v>
      </c>
      <c r="B10" s="520" t="s">
        <v>126</v>
      </c>
      <c r="C10" s="355"/>
      <c r="D10" s="356"/>
      <c r="E10" s="354"/>
      <c r="F10" s="357"/>
      <c r="G10" s="349"/>
      <c r="H10" s="349"/>
      <c r="I10" s="461"/>
      <c r="J10" s="130"/>
      <c r="K10" s="461"/>
      <c r="L10" s="82"/>
      <c r="M10" s="582"/>
      <c r="N10" s="583"/>
      <c r="O10" s="584"/>
      <c r="P10" s="584"/>
      <c r="Q10" s="584"/>
      <c r="R10" s="541"/>
      <c r="S10" s="541"/>
      <c r="T10" s="541"/>
      <c r="U10" s="541"/>
      <c r="V10" s="541"/>
      <c r="W10" s="583"/>
      <c r="X10" s="583"/>
    </row>
    <row r="11" spans="1:24" s="270" customFormat="1" ht="15" customHeight="1">
      <c r="A11" s="268">
        <v>2.4</v>
      </c>
      <c r="B11" s="269"/>
      <c r="C11" s="565" t="s">
        <v>322</v>
      </c>
      <c r="D11" s="351"/>
      <c r="E11" s="352"/>
      <c r="F11" s="353"/>
      <c r="G11" s="349"/>
      <c r="H11" s="349"/>
      <c r="I11" s="461"/>
      <c r="J11" s="130"/>
      <c r="K11" s="461"/>
      <c r="L11" s="350"/>
      <c r="M11" s="576"/>
      <c r="N11" s="365"/>
      <c r="O11" s="580"/>
      <c r="P11" s="580"/>
      <c r="Q11" s="580"/>
      <c r="R11" s="541"/>
      <c r="S11" s="541"/>
      <c r="T11" s="541"/>
      <c r="U11" s="541"/>
      <c r="V11" s="541"/>
      <c r="W11" s="365"/>
      <c r="X11" s="365"/>
    </row>
    <row r="12" spans="1:24" s="75" customFormat="1" ht="15" customHeight="1">
      <c r="A12" s="354">
        <v>2.5</v>
      </c>
      <c r="B12" s="520" t="s">
        <v>136</v>
      </c>
      <c r="C12" s="355"/>
      <c r="D12" s="356"/>
      <c r="E12" s="354"/>
      <c r="F12" s="357"/>
      <c r="G12" s="349"/>
      <c r="H12" s="349"/>
      <c r="I12" s="461"/>
      <c r="J12" s="130"/>
      <c r="K12" s="461"/>
      <c r="L12" s="82"/>
      <c r="M12" s="582"/>
      <c r="N12" s="583"/>
      <c r="O12" s="584"/>
      <c r="P12" s="584"/>
      <c r="Q12" s="584"/>
      <c r="R12" s="541"/>
      <c r="S12" s="541"/>
      <c r="T12" s="541"/>
      <c r="U12" s="541"/>
      <c r="V12" s="541"/>
      <c r="W12" s="583"/>
      <c r="X12" s="583"/>
    </row>
    <row r="13" spans="1:24" s="270" customFormat="1" ht="15" customHeight="1">
      <c r="A13" s="268">
        <v>2.5</v>
      </c>
      <c r="B13" s="269"/>
      <c r="C13" s="565" t="s">
        <v>322</v>
      </c>
      <c r="D13" s="351"/>
      <c r="E13" s="352"/>
      <c r="F13" s="353"/>
      <c r="G13" s="349"/>
      <c r="H13" s="349"/>
      <c r="I13" s="461"/>
      <c r="J13" s="130"/>
      <c r="K13" s="461"/>
      <c r="L13" s="350"/>
      <c r="M13" s="576"/>
      <c r="N13" s="365"/>
      <c r="O13" s="580"/>
      <c r="P13" s="580"/>
      <c r="Q13" s="580"/>
      <c r="R13" s="541"/>
      <c r="S13" s="541"/>
      <c r="T13" s="541"/>
      <c r="U13" s="541"/>
      <c r="V13" s="541"/>
      <c r="W13" s="365"/>
      <c r="X13" s="365"/>
    </row>
    <row r="14" spans="1:24" s="75" customFormat="1" ht="15" customHeight="1">
      <c r="A14" s="354">
        <v>2.6</v>
      </c>
      <c r="B14" s="520" t="s">
        <v>137</v>
      </c>
      <c r="C14" s="355"/>
      <c r="D14" s="356"/>
      <c r="E14" s="354"/>
      <c r="F14" s="357"/>
      <c r="G14" s="349"/>
      <c r="H14" s="349"/>
      <c r="I14" s="461"/>
      <c r="J14" s="130"/>
      <c r="K14" s="461"/>
      <c r="L14" s="82"/>
      <c r="M14" s="582"/>
      <c r="N14" s="583"/>
      <c r="O14" s="584"/>
      <c r="P14" s="584"/>
      <c r="Q14" s="584"/>
      <c r="R14" s="541"/>
      <c r="S14" s="541"/>
      <c r="T14" s="541"/>
      <c r="U14" s="541"/>
      <c r="V14" s="541"/>
      <c r="W14" s="583"/>
      <c r="X14" s="583"/>
    </row>
    <row r="15" spans="1:24" s="270" customFormat="1" ht="15" customHeight="1">
      <c r="A15" s="268">
        <v>2.6</v>
      </c>
      <c r="B15" s="269"/>
      <c r="C15" s="565" t="s">
        <v>322</v>
      </c>
      <c r="D15" s="351"/>
      <c r="E15" s="352"/>
      <c r="F15" s="353"/>
      <c r="G15" s="349"/>
      <c r="H15" s="349"/>
      <c r="I15" s="461"/>
      <c r="J15" s="130"/>
      <c r="K15" s="461"/>
      <c r="L15" s="350"/>
      <c r="M15" s="576"/>
      <c r="N15" s="365"/>
      <c r="O15" s="580"/>
      <c r="P15" s="580"/>
      <c r="Q15" s="580"/>
      <c r="R15" s="541"/>
      <c r="S15" s="541"/>
      <c r="T15" s="541"/>
      <c r="U15" s="541"/>
      <c r="V15" s="541"/>
      <c r="W15" s="365"/>
      <c r="X15" s="365"/>
    </row>
    <row r="16" spans="1:24" s="8" customFormat="1" ht="15" customHeight="1">
      <c r="A16" s="133">
        <v>2.7</v>
      </c>
      <c r="B16" s="160" t="s">
        <v>68</v>
      </c>
      <c r="C16" s="155"/>
      <c r="D16" s="124"/>
      <c r="E16" s="133"/>
      <c r="F16" s="336"/>
      <c r="G16" s="130"/>
      <c r="H16" s="130"/>
      <c r="I16" s="462"/>
      <c r="J16" s="130"/>
      <c r="K16" s="462"/>
      <c r="L16" s="84"/>
      <c r="M16" s="581"/>
      <c r="N16" s="513"/>
      <c r="O16" s="584"/>
      <c r="P16" s="584"/>
      <c r="Q16" s="584"/>
      <c r="R16" s="541"/>
      <c r="S16" s="541"/>
      <c r="T16" s="541"/>
      <c r="U16" s="541"/>
      <c r="V16" s="541"/>
      <c r="W16" s="513"/>
      <c r="X16" s="513"/>
    </row>
    <row r="17" spans="1:24" ht="15.75" customHeight="1">
      <c r="A17" s="101"/>
      <c r="B17" s="168"/>
      <c r="C17" s="180" t="s">
        <v>66</v>
      </c>
      <c r="D17" s="164"/>
      <c r="E17" s="165"/>
      <c r="F17" s="335"/>
      <c r="G17" s="170">
        <f>SUM(G4:G16)</f>
        <v>283.39999999999998</v>
      </c>
      <c r="H17" s="170">
        <f>SUM(H5:H16)</f>
        <v>17004</v>
      </c>
      <c r="I17" s="452"/>
      <c r="J17" s="170">
        <f>SUM(J5:J16)</f>
        <v>41273.171060108965</v>
      </c>
      <c r="K17" s="452"/>
      <c r="L17" s="171">
        <f>SUM(L4:L16)</f>
        <v>9549.6810178248015</v>
      </c>
      <c r="M17" s="585"/>
      <c r="O17" s="466"/>
      <c r="P17" s="466"/>
      <c r="Q17" s="466"/>
      <c r="R17" s="587"/>
      <c r="S17" s="587"/>
      <c r="T17" s="587"/>
      <c r="U17" s="587"/>
      <c r="V17" s="587"/>
    </row>
    <row r="18" spans="1:24" ht="4.5" customHeight="1">
      <c r="A18" s="95"/>
      <c r="B18" s="521"/>
      <c r="C18" s="156"/>
      <c r="D18" s="137"/>
      <c r="E18" s="138"/>
      <c r="F18" s="338"/>
      <c r="G18" s="97"/>
      <c r="H18" s="97"/>
      <c r="I18" s="463"/>
      <c r="J18" s="97"/>
      <c r="K18" s="463"/>
      <c r="L18" s="98"/>
      <c r="M18" s="588"/>
      <c r="O18" s="574"/>
      <c r="P18" s="574"/>
      <c r="Q18" s="574"/>
      <c r="R18" s="589"/>
      <c r="S18" s="589"/>
      <c r="T18" s="589"/>
      <c r="U18" s="589"/>
      <c r="V18" s="589"/>
    </row>
    <row r="19" spans="1:24" s="5" customFormat="1" ht="16.5" customHeight="1">
      <c r="A19" s="179" t="s">
        <v>3</v>
      </c>
      <c r="B19" s="168" t="s">
        <v>104</v>
      </c>
      <c r="C19" s="173"/>
      <c r="D19" s="164"/>
      <c r="E19" s="165"/>
      <c r="F19" s="335"/>
      <c r="G19" s="166"/>
      <c r="H19" s="166"/>
      <c r="I19" s="452"/>
      <c r="J19" s="166"/>
      <c r="K19" s="452"/>
      <c r="L19" s="167"/>
      <c r="M19" s="573"/>
      <c r="N19" s="148"/>
      <c r="O19" s="466"/>
      <c r="P19" s="466"/>
      <c r="Q19" s="466"/>
      <c r="R19" s="541"/>
      <c r="S19" s="541"/>
      <c r="T19" s="541"/>
      <c r="U19" s="541"/>
      <c r="V19" s="541"/>
      <c r="W19" s="148"/>
      <c r="X19" s="148"/>
    </row>
    <row r="20" spans="1:24" s="8" customFormat="1" ht="15" customHeight="1">
      <c r="A20" s="139">
        <v>3.1</v>
      </c>
      <c r="B20" s="160" t="s">
        <v>106</v>
      </c>
      <c r="C20" s="155"/>
      <c r="D20" s="124"/>
      <c r="E20" s="123"/>
      <c r="F20" s="336"/>
      <c r="G20" s="83"/>
      <c r="H20" s="83"/>
      <c r="I20" s="462"/>
      <c r="J20" s="83"/>
      <c r="K20" s="462"/>
      <c r="L20" s="84"/>
      <c r="M20" s="581"/>
      <c r="N20" s="513"/>
      <c r="O20" s="466"/>
      <c r="P20" s="466"/>
      <c r="Q20" s="466"/>
      <c r="R20" s="541"/>
      <c r="S20" s="541"/>
      <c r="T20" s="541"/>
      <c r="U20" s="541"/>
      <c r="V20" s="541"/>
      <c r="W20" s="513"/>
      <c r="X20" s="513"/>
    </row>
    <row r="21" spans="1:24" s="8" customFormat="1" ht="15" customHeight="1">
      <c r="A21" s="127">
        <v>3.1</v>
      </c>
      <c r="B21" s="527" t="s">
        <v>70</v>
      </c>
      <c r="C21" s="524" t="s">
        <v>184</v>
      </c>
      <c r="D21" s="124"/>
      <c r="E21" s="123"/>
      <c r="F21" s="336"/>
      <c r="G21" s="83"/>
      <c r="H21" s="83"/>
      <c r="I21" s="462"/>
      <c r="J21" s="83"/>
      <c r="K21" s="462"/>
      <c r="L21" s="84"/>
      <c r="M21" s="581"/>
      <c r="N21" s="513"/>
      <c r="O21" s="466"/>
      <c r="P21" s="466"/>
      <c r="Q21" s="466"/>
      <c r="R21" s="541"/>
      <c r="S21" s="541"/>
      <c r="T21" s="541"/>
      <c r="U21" s="541"/>
      <c r="V21" s="541"/>
      <c r="W21" s="513"/>
      <c r="X21" s="513"/>
    </row>
    <row r="22" spans="1:24" s="7" customFormat="1" ht="15" customHeight="1">
      <c r="A22" s="127">
        <v>3.1</v>
      </c>
      <c r="B22" s="517" t="s">
        <v>70</v>
      </c>
      <c r="C22" s="565" t="s">
        <v>322</v>
      </c>
      <c r="D22" s="140"/>
      <c r="E22" s="134"/>
      <c r="F22" s="339"/>
      <c r="G22" s="130"/>
      <c r="H22" s="130"/>
      <c r="I22" s="462"/>
      <c r="J22" s="130"/>
      <c r="K22" s="462"/>
      <c r="L22" s="131"/>
      <c r="M22" s="578"/>
      <c r="N22" s="579"/>
      <c r="O22" s="580"/>
      <c r="P22" s="580"/>
      <c r="Q22" s="580"/>
      <c r="R22" s="541"/>
      <c r="S22" s="541"/>
      <c r="T22" s="541"/>
      <c r="U22" s="541"/>
      <c r="V22" s="541"/>
      <c r="W22" s="579"/>
      <c r="X22" s="579"/>
    </row>
    <row r="23" spans="1:24" s="7" customFormat="1" ht="15" customHeight="1">
      <c r="A23" s="127">
        <v>3.1</v>
      </c>
      <c r="B23" s="517" t="s">
        <v>71</v>
      </c>
      <c r="C23" s="525" t="s">
        <v>138</v>
      </c>
      <c r="D23" s="140"/>
      <c r="E23" s="134"/>
      <c r="F23" s="339"/>
      <c r="G23" s="130"/>
      <c r="H23" s="130"/>
      <c r="I23" s="462"/>
      <c r="J23" s="130"/>
      <c r="K23" s="462"/>
      <c r="L23" s="131"/>
      <c r="M23" s="578"/>
      <c r="N23" s="579"/>
      <c r="O23" s="574"/>
      <c r="P23" s="574"/>
      <c r="Q23" s="574"/>
      <c r="R23" s="541"/>
      <c r="S23" s="541"/>
      <c r="T23" s="541"/>
      <c r="U23" s="541"/>
      <c r="V23" s="541"/>
      <c r="W23" s="579"/>
      <c r="X23" s="579"/>
    </row>
    <row r="24" spans="1:24" s="7" customFormat="1" ht="15" customHeight="1">
      <c r="A24" s="127">
        <v>3.1</v>
      </c>
      <c r="B24" s="517" t="s">
        <v>71</v>
      </c>
      <c r="C24" s="565" t="s">
        <v>322</v>
      </c>
      <c r="D24" s="140"/>
      <c r="E24" s="134"/>
      <c r="F24" s="339"/>
      <c r="G24" s="130"/>
      <c r="H24" s="130"/>
      <c r="I24" s="462"/>
      <c r="J24" s="130"/>
      <c r="K24" s="462"/>
      <c r="L24" s="131"/>
      <c r="M24" s="578"/>
      <c r="N24" s="579"/>
      <c r="O24" s="580"/>
      <c r="P24" s="580"/>
      <c r="Q24" s="580"/>
      <c r="R24" s="541"/>
      <c r="S24" s="541"/>
      <c r="T24" s="541"/>
      <c r="U24" s="541"/>
      <c r="V24" s="541"/>
      <c r="W24" s="579"/>
      <c r="X24" s="579"/>
    </row>
    <row r="25" spans="1:24" s="7" customFormat="1" ht="15" customHeight="1">
      <c r="A25" s="127">
        <v>3.1</v>
      </c>
      <c r="B25" s="517" t="s">
        <v>72</v>
      </c>
      <c r="C25" s="525" t="s">
        <v>75</v>
      </c>
      <c r="D25" s="140"/>
      <c r="E25" s="134"/>
      <c r="F25" s="339"/>
      <c r="G25" s="130"/>
      <c r="H25" s="130"/>
      <c r="I25" s="462"/>
      <c r="J25" s="130"/>
      <c r="K25" s="462"/>
      <c r="L25" s="131"/>
      <c r="M25" s="578"/>
      <c r="N25" s="579"/>
      <c r="O25" s="574"/>
      <c r="P25" s="574"/>
      <c r="Q25" s="574"/>
      <c r="R25" s="541"/>
      <c r="S25" s="541"/>
      <c r="T25" s="541"/>
      <c r="U25" s="541"/>
      <c r="V25" s="541"/>
      <c r="W25" s="579"/>
      <c r="X25" s="579"/>
    </row>
    <row r="26" spans="1:24" s="270" customFormat="1" ht="15" customHeight="1">
      <c r="A26" s="127">
        <v>3.1</v>
      </c>
      <c r="B26" s="516" t="s">
        <v>72</v>
      </c>
      <c r="C26" s="565" t="s">
        <v>322</v>
      </c>
      <c r="D26" s="358"/>
      <c r="E26" s="359"/>
      <c r="F26" s="360"/>
      <c r="G26" s="349"/>
      <c r="H26" s="349"/>
      <c r="I26" s="461"/>
      <c r="J26" s="130"/>
      <c r="K26" s="461"/>
      <c r="L26" s="350"/>
      <c r="M26" s="576"/>
      <c r="N26" s="365"/>
      <c r="O26" s="580"/>
      <c r="P26" s="580"/>
      <c r="Q26" s="580"/>
      <c r="R26" s="541"/>
      <c r="S26" s="541"/>
      <c r="T26" s="541"/>
      <c r="U26" s="541"/>
      <c r="V26" s="541"/>
      <c r="W26" s="365"/>
      <c r="X26" s="365"/>
    </row>
    <row r="27" spans="1:24" s="270" customFormat="1" ht="15" customHeight="1">
      <c r="A27" s="127">
        <v>3.1</v>
      </c>
      <c r="B27" s="516" t="s">
        <v>73</v>
      </c>
      <c r="C27" s="526" t="s">
        <v>74</v>
      </c>
      <c r="D27" s="358"/>
      <c r="E27" s="359"/>
      <c r="F27" s="360"/>
      <c r="G27" s="349"/>
      <c r="H27" s="349"/>
      <c r="I27" s="461"/>
      <c r="J27" s="130"/>
      <c r="K27" s="461"/>
      <c r="L27" s="350"/>
      <c r="M27" s="576"/>
      <c r="N27" s="365"/>
      <c r="O27" s="574"/>
      <c r="P27" s="574"/>
      <c r="Q27" s="574"/>
      <c r="R27" s="541"/>
      <c r="S27" s="541"/>
      <c r="T27" s="541"/>
      <c r="U27" s="541"/>
      <c r="V27" s="541"/>
      <c r="W27" s="365"/>
      <c r="X27" s="365"/>
    </row>
    <row r="28" spans="1:24" s="270" customFormat="1" ht="15" customHeight="1">
      <c r="A28" s="127">
        <v>3.1</v>
      </c>
      <c r="B28" s="516" t="s">
        <v>73</v>
      </c>
      <c r="C28" s="565" t="s">
        <v>322</v>
      </c>
      <c r="D28" s="358"/>
      <c r="E28" s="359"/>
      <c r="F28" s="360"/>
      <c r="G28" s="349"/>
      <c r="H28" s="349"/>
      <c r="I28" s="461"/>
      <c r="J28" s="130"/>
      <c r="K28" s="461"/>
      <c r="L28" s="350"/>
      <c r="M28" s="576"/>
      <c r="N28" s="365"/>
      <c r="O28" s="580"/>
      <c r="P28" s="580"/>
      <c r="Q28" s="580"/>
      <c r="R28" s="541"/>
      <c r="S28" s="541"/>
      <c r="T28" s="541"/>
      <c r="U28" s="541"/>
      <c r="V28" s="541"/>
      <c r="W28" s="365"/>
      <c r="X28" s="365"/>
    </row>
    <row r="29" spans="1:24" s="75" customFormat="1" ht="15" customHeight="1">
      <c r="A29" s="361">
        <v>3.2</v>
      </c>
      <c r="B29" s="520" t="s">
        <v>107</v>
      </c>
      <c r="C29" s="355"/>
      <c r="D29" s="356"/>
      <c r="E29" s="362"/>
      <c r="F29" s="357"/>
      <c r="G29" s="349"/>
      <c r="H29" s="349"/>
      <c r="I29" s="461"/>
      <c r="J29" s="130"/>
      <c r="K29" s="461"/>
      <c r="L29" s="81"/>
      <c r="M29" s="590"/>
      <c r="N29" s="583"/>
      <c r="O29" s="574"/>
      <c r="P29" s="574"/>
      <c r="Q29" s="574"/>
      <c r="R29" s="541"/>
      <c r="S29" s="541"/>
      <c r="T29" s="541"/>
      <c r="U29" s="541"/>
      <c r="V29" s="541"/>
      <c r="W29" s="583"/>
      <c r="X29" s="583"/>
    </row>
    <row r="30" spans="1:24" s="75" customFormat="1" ht="15" customHeight="1">
      <c r="A30" s="348">
        <v>3.2</v>
      </c>
      <c r="B30" s="528" t="s">
        <v>76</v>
      </c>
      <c r="C30" s="526" t="s">
        <v>183</v>
      </c>
      <c r="D30" s="356"/>
      <c r="E30" s="362"/>
      <c r="F30" s="357"/>
      <c r="G30" s="349"/>
      <c r="H30" s="349"/>
      <c r="I30" s="461"/>
      <c r="J30" s="130"/>
      <c r="K30" s="461"/>
      <c r="L30" s="81"/>
      <c r="M30" s="590"/>
      <c r="N30" s="583"/>
      <c r="O30" s="574"/>
      <c r="P30" s="574"/>
      <c r="Q30" s="574"/>
      <c r="R30" s="541"/>
      <c r="S30" s="541"/>
      <c r="T30" s="541"/>
      <c r="U30" s="541"/>
      <c r="V30" s="541"/>
      <c r="W30" s="583"/>
      <c r="X30" s="583"/>
    </row>
    <row r="31" spans="1:24" s="638" customFormat="1" ht="15" customHeight="1">
      <c r="A31" s="626">
        <v>3.2</v>
      </c>
      <c r="B31" s="627" t="s">
        <v>76</v>
      </c>
      <c r="C31" s="628" t="s">
        <v>328</v>
      </c>
      <c r="D31" s="626">
        <v>1</v>
      </c>
      <c r="E31" s="629" t="s">
        <v>146</v>
      </c>
      <c r="F31" s="630">
        <v>30000</v>
      </c>
      <c r="G31" s="631">
        <f>F31*D31</f>
        <v>30000</v>
      </c>
      <c r="H31" s="631">
        <f>G31*$L$1</f>
        <v>1800000</v>
      </c>
      <c r="I31" s="632">
        <v>0.03</v>
      </c>
      <c r="J31" s="631">
        <f>P31*G31</f>
        <v>5038351.1971671022</v>
      </c>
      <c r="K31" s="632">
        <v>0.05</v>
      </c>
      <c r="L31" s="631">
        <f>G31*N31</f>
        <v>1057691.460572992</v>
      </c>
      <c r="M31" s="655"/>
      <c r="N31" s="662">
        <f>IF(I31=K31,$L$1,(1-((1+I31)/(1+K31))^$L$1)/(((1+K31)/(1+I31))-1))</f>
        <v>35.256382019099732</v>
      </c>
      <c r="O31" s="635"/>
      <c r="P31" s="662">
        <f>(((1+I31)^61-1)/I31)-1</f>
        <v>167.94503990557007</v>
      </c>
      <c r="R31" s="637"/>
      <c r="S31" s="637"/>
      <c r="T31" s="637"/>
      <c r="U31" s="637"/>
      <c r="V31" s="637"/>
      <c r="W31" s="634"/>
      <c r="X31" s="634"/>
    </row>
    <row r="32" spans="1:24" s="270" customFormat="1" ht="15" customHeight="1">
      <c r="A32" s="348">
        <v>3.2</v>
      </c>
      <c r="B32" s="516" t="s">
        <v>77</v>
      </c>
      <c r="C32" s="526" t="s">
        <v>182</v>
      </c>
      <c r="D32" s="348"/>
      <c r="E32" s="359"/>
      <c r="F32" s="360"/>
      <c r="G32" s="349"/>
      <c r="H32" s="349"/>
      <c r="I32" s="632"/>
      <c r="J32" s="631"/>
      <c r="K32" s="632"/>
      <c r="L32" s="631"/>
      <c r="M32" s="591"/>
      <c r="N32" s="663"/>
      <c r="O32" s="574"/>
      <c r="P32" s="663"/>
      <c r="Q32" s="574"/>
      <c r="R32" s="541"/>
      <c r="S32" s="541"/>
      <c r="T32" s="541"/>
      <c r="U32" s="541"/>
      <c r="V32" s="541"/>
      <c r="W32" s="365"/>
      <c r="X32" s="365"/>
    </row>
    <row r="33" spans="1:32" s="270" customFormat="1" ht="15" customHeight="1">
      <c r="A33" s="348">
        <v>3.2</v>
      </c>
      <c r="B33" s="516" t="s">
        <v>77</v>
      </c>
      <c r="C33" s="565" t="s">
        <v>322</v>
      </c>
      <c r="D33" s="348"/>
      <c r="E33" s="359"/>
      <c r="F33" s="360"/>
      <c r="G33" s="349"/>
      <c r="H33" s="349"/>
      <c r="I33" s="632"/>
      <c r="J33" s="631"/>
      <c r="K33" s="632"/>
      <c r="L33" s="631"/>
      <c r="M33" s="591"/>
      <c r="N33" s="663"/>
      <c r="O33" s="580"/>
      <c r="P33" s="663"/>
      <c r="Q33" s="580"/>
      <c r="R33" s="541"/>
      <c r="S33" s="541"/>
      <c r="T33" s="541"/>
      <c r="U33" s="541"/>
      <c r="V33" s="541"/>
      <c r="W33" s="365"/>
      <c r="X33" s="365"/>
    </row>
    <row r="34" spans="1:32" s="8" customFormat="1" ht="15" customHeight="1">
      <c r="A34" s="139">
        <v>3.3</v>
      </c>
      <c r="B34" s="160" t="s">
        <v>108</v>
      </c>
      <c r="C34" s="155"/>
      <c r="D34" s="139"/>
      <c r="E34" s="123"/>
      <c r="F34" s="336"/>
      <c r="G34" s="130"/>
      <c r="H34" s="130"/>
      <c r="I34" s="462"/>
      <c r="J34" s="130"/>
      <c r="K34" s="462"/>
      <c r="L34" s="83"/>
      <c r="M34" s="592"/>
      <c r="N34" s="513"/>
      <c r="O34" s="574"/>
      <c r="P34" s="574"/>
      <c r="Q34" s="574"/>
      <c r="R34" s="541"/>
      <c r="S34" s="541"/>
      <c r="T34" s="541"/>
      <c r="U34" s="541"/>
      <c r="V34" s="541"/>
      <c r="W34" s="513"/>
      <c r="X34" s="513"/>
    </row>
    <row r="35" spans="1:32" s="8" customFormat="1" ht="15" customHeight="1">
      <c r="A35" s="127">
        <v>3.3</v>
      </c>
      <c r="B35" s="527" t="s">
        <v>1</v>
      </c>
      <c r="C35" s="525" t="s">
        <v>109</v>
      </c>
      <c r="D35" s="139"/>
      <c r="E35" s="123"/>
      <c r="F35" s="336"/>
      <c r="G35" s="130"/>
      <c r="H35" s="130"/>
      <c r="I35" s="462"/>
      <c r="J35" s="130"/>
      <c r="K35" s="462"/>
      <c r="L35" s="83"/>
      <c r="M35" s="592"/>
      <c r="N35" s="513"/>
      <c r="O35" s="574"/>
      <c r="P35" s="574"/>
      <c r="Q35" s="574"/>
      <c r="R35" s="541"/>
      <c r="S35" s="541"/>
      <c r="T35" s="541"/>
      <c r="U35" s="541"/>
      <c r="V35" s="541"/>
      <c r="W35" s="513"/>
      <c r="X35" s="513"/>
    </row>
    <row r="36" spans="1:32" s="9" customFormat="1" ht="15" customHeight="1">
      <c r="A36" s="127">
        <v>3.3</v>
      </c>
      <c r="B36" s="517" t="s">
        <v>1</v>
      </c>
      <c r="C36" s="565" t="s">
        <v>322</v>
      </c>
      <c r="D36" s="127"/>
      <c r="E36" s="134"/>
      <c r="F36" s="340"/>
      <c r="G36" s="130"/>
      <c r="H36" s="130"/>
      <c r="I36" s="462"/>
      <c r="J36" s="130"/>
      <c r="K36" s="462"/>
      <c r="L36" s="130"/>
      <c r="M36" s="593"/>
      <c r="N36" s="594"/>
      <c r="O36" s="580"/>
      <c r="P36" s="580"/>
      <c r="Q36" s="580"/>
      <c r="R36" s="541"/>
      <c r="S36" s="541"/>
      <c r="T36" s="541"/>
      <c r="U36" s="541"/>
      <c r="V36" s="541"/>
      <c r="W36" s="594"/>
      <c r="X36" s="594"/>
    </row>
    <row r="37" spans="1:32" s="9" customFormat="1" ht="15" customHeight="1">
      <c r="A37" s="127">
        <v>3.3</v>
      </c>
      <c r="B37" s="527" t="s">
        <v>2</v>
      </c>
      <c r="C37" s="525" t="s">
        <v>110</v>
      </c>
      <c r="D37" s="127"/>
      <c r="E37" s="134"/>
      <c r="F37" s="340"/>
      <c r="G37" s="130"/>
      <c r="H37" s="130"/>
      <c r="I37" s="462"/>
      <c r="J37" s="130"/>
      <c r="K37" s="462"/>
      <c r="L37" s="130"/>
      <c r="M37" s="593"/>
      <c r="N37" s="594"/>
      <c r="O37" s="574"/>
      <c r="P37" s="574"/>
      <c r="Q37" s="574"/>
      <c r="R37" s="541"/>
      <c r="S37" s="541"/>
      <c r="T37" s="541"/>
      <c r="U37" s="541"/>
      <c r="V37" s="541"/>
      <c r="W37" s="594"/>
      <c r="X37" s="594"/>
    </row>
    <row r="38" spans="1:32" s="9" customFormat="1" ht="15" customHeight="1">
      <c r="A38" s="127">
        <v>3.3</v>
      </c>
      <c r="B38" s="517" t="s">
        <v>2</v>
      </c>
      <c r="C38" s="565" t="s">
        <v>322</v>
      </c>
      <c r="D38" s="127"/>
      <c r="E38" s="134"/>
      <c r="F38" s="340"/>
      <c r="G38" s="130"/>
      <c r="H38" s="130"/>
      <c r="I38" s="462"/>
      <c r="J38" s="130"/>
      <c r="K38" s="462"/>
      <c r="L38" s="130"/>
      <c r="M38" s="593"/>
      <c r="N38" s="594"/>
      <c r="O38" s="580"/>
      <c r="P38" s="580"/>
      <c r="Q38" s="580"/>
      <c r="R38" s="541"/>
      <c r="S38" s="541"/>
      <c r="T38" s="541"/>
      <c r="U38" s="541"/>
      <c r="V38" s="541"/>
      <c r="W38" s="594"/>
      <c r="X38" s="594"/>
    </row>
    <row r="39" spans="1:32" s="9" customFormat="1" ht="15" customHeight="1">
      <c r="A39" s="127">
        <v>3.3</v>
      </c>
      <c r="B39" s="527" t="s">
        <v>78</v>
      </c>
      <c r="C39" s="525" t="s">
        <v>111</v>
      </c>
      <c r="D39" s="127"/>
      <c r="E39" s="134"/>
      <c r="F39" s="340"/>
      <c r="G39" s="130"/>
      <c r="H39" s="130"/>
      <c r="I39" s="462"/>
      <c r="J39" s="130"/>
      <c r="K39" s="462"/>
      <c r="L39" s="130"/>
      <c r="M39" s="593"/>
      <c r="N39" s="594"/>
      <c r="O39" s="574"/>
      <c r="P39" s="574"/>
      <c r="Q39" s="574"/>
      <c r="R39" s="541"/>
      <c r="S39" s="541"/>
      <c r="T39" s="541"/>
      <c r="U39" s="541"/>
      <c r="V39" s="541"/>
      <c r="W39" s="594"/>
      <c r="X39" s="594"/>
    </row>
    <row r="40" spans="1:32" s="363" customFormat="1" ht="15" customHeight="1">
      <c r="A40" s="127">
        <v>3.3</v>
      </c>
      <c r="B40" s="516" t="s">
        <v>78</v>
      </c>
      <c r="C40" s="565" t="s">
        <v>322</v>
      </c>
      <c r="D40" s="348"/>
      <c r="E40" s="359"/>
      <c r="F40" s="364"/>
      <c r="G40" s="349"/>
      <c r="H40" s="349"/>
      <c r="I40" s="461"/>
      <c r="J40" s="130"/>
      <c r="K40" s="461"/>
      <c r="L40" s="349"/>
      <c r="M40" s="591"/>
      <c r="N40" s="367"/>
      <c r="O40" s="580"/>
      <c r="P40" s="580"/>
      <c r="Q40" s="580"/>
      <c r="R40" s="541"/>
      <c r="S40" s="541"/>
      <c r="T40" s="541"/>
      <c r="U40" s="541"/>
      <c r="V40" s="541"/>
      <c r="W40" s="367"/>
      <c r="X40" s="367"/>
    </row>
    <row r="41" spans="1:32" s="8" customFormat="1" ht="15" customHeight="1">
      <c r="A41" s="139">
        <v>3.4</v>
      </c>
      <c r="B41" s="160" t="s">
        <v>112</v>
      </c>
      <c r="C41" s="155"/>
      <c r="D41" s="139"/>
      <c r="E41" s="123"/>
      <c r="F41" s="341"/>
      <c r="G41" s="130"/>
      <c r="H41" s="130"/>
      <c r="I41" s="462"/>
      <c r="J41" s="130"/>
      <c r="K41" s="462"/>
      <c r="L41" s="83"/>
      <c r="M41" s="592"/>
      <c r="N41" s="513"/>
      <c r="O41" s="574"/>
      <c r="P41" s="574"/>
      <c r="Q41" s="574"/>
      <c r="R41" s="541"/>
      <c r="S41" s="541"/>
      <c r="T41" s="541"/>
      <c r="U41" s="541"/>
      <c r="V41" s="541"/>
      <c r="W41" s="513"/>
      <c r="X41" s="513"/>
    </row>
    <row r="42" spans="1:32" s="363" customFormat="1" ht="15" customHeight="1">
      <c r="A42" s="268">
        <v>3.4</v>
      </c>
      <c r="B42" s="269"/>
      <c r="C42" s="565" t="s">
        <v>322</v>
      </c>
      <c r="D42" s="348"/>
      <c r="E42" s="359"/>
      <c r="F42" s="364"/>
      <c r="G42" s="349"/>
      <c r="H42" s="349"/>
      <c r="I42" s="461"/>
      <c r="J42" s="130"/>
      <c r="K42" s="461"/>
      <c r="L42" s="349"/>
      <c r="M42" s="591"/>
      <c r="N42" s="367"/>
      <c r="O42" s="580"/>
      <c r="P42" s="580"/>
      <c r="Q42" s="580"/>
      <c r="R42" s="541"/>
      <c r="S42" s="541"/>
      <c r="T42" s="541"/>
      <c r="U42" s="541"/>
      <c r="V42" s="541"/>
      <c r="W42" s="367"/>
      <c r="X42" s="367"/>
    </row>
    <row r="43" spans="1:32" s="8" customFormat="1" ht="15" customHeight="1">
      <c r="A43" s="139">
        <v>3.5</v>
      </c>
      <c r="B43" s="160" t="s">
        <v>79</v>
      </c>
      <c r="C43" s="155"/>
      <c r="D43" s="139"/>
      <c r="E43" s="123"/>
      <c r="F43" s="341"/>
      <c r="G43" s="130"/>
      <c r="H43" s="130"/>
      <c r="I43" s="462"/>
      <c r="J43" s="130"/>
      <c r="K43" s="462"/>
      <c r="L43" s="83"/>
      <c r="M43" s="592"/>
      <c r="N43" s="513"/>
      <c r="O43" s="574"/>
      <c r="P43" s="574"/>
      <c r="Q43" s="574"/>
      <c r="R43" s="541"/>
      <c r="S43" s="541"/>
      <c r="T43" s="541"/>
      <c r="U43" s="541"/>
      <c r="V43" s="541"/>
      <c r="W43" s="513"/>
      <c r="X43" s="513"/>
    </row>
    <row r="44" spans="1:32" s="363" customFormat="1" ht="15" customHeight="1">
      <c r="A44" s="268">
        <v>3.5</v>
      </c>
      <c r="B44" s="269"/>
      <c r="C44" s="565" t="s">
        <v>322</v>
      </c>
      <c r="D44" s="348"/>
      <c r="E44" s="359"/>
      <c r="F44" s="364"/>
      <c r="G44" s="349"/>
      <c r="H44" s="349"/>
      <c r="I44" s="461"/>
      <c r="J44" s="130"/>
      <c r="K44" s="461"/>
      <c r="L44" s="349"/>
      <c r="M44" s="591"/>
      <c r="N44" s="367"/>
      <c r="O44" s="580"/>
      <c r="P44" s="580"/>
      <c r="Q44" s="580"/>
      <c r="R44" s="541"/>
      <c r="S44" s="541"/>
      <c r="T44" s="541"/>
      <c r="U44" s="541"/>
      <c r="V44" s="541"/>
      <c r="W44" s="367"/>
      <c r="X44" s="367"/>
    </row>
    <row r="45" spans="1:32" s="8" customFormat="1" ht="15" customHeight="1">
      <c r="A45" s="139">
        <v>3.6</v>
      </c>
      <c r="B45" s="160" t="s">
        <v>68</v>
      </c>
      <c r="C45" s="155"/>
      <c r="D45" s="139"/>
      <c r="E45" s="123"/>
      <c r="F45" s="341"/>
      <c r="G45" s="130"/>
      <c r="H45" s="130"/>
      <c r="I45" s="462"/>
      <c r="J45" s="130"/>
      <c r="K45" s="462"/>
      <c r="L45" s="83"/>
      <c r="M45" s="592"/>
      <c r="N45" s="513"/>
      <c r="O45" s="574"/>
      <c r="P45" s="574"/>
      <c r="Q45" s="574"/>
      <c r="R45" s="541"/>
      <c r="S45" s="541"/>
      <c r="T45" s="541"/>
      <c r="U45" s="541"/>
      <c r="V45" s="541"/>
      <c r="W45" s="513"/>
      <c r="X45" s="513"/>
    </row>
    <row r="46" spans="1:32" ht="15.75" customHeight="1">
      <c r="A46" s="101"/>
      <c r="B46" s="168"/>
      <c r="C46" s="178" t="s">
        <v>105</v>
      </c>
      <c r="D46" s="174"/>
      <c r="E46" s="165"/>
      <c r="F46" s="342"/>
      <c r="G46" s="660">
        <f>SUM(G20:G45)</f>
        <v>30000</v>
      </c>
      <c r="H46" s="660">
        <f>SUM(H22:H45)</f>
        <v>1800000</v>
      </c>
      <c r="I46" s="661"/>
      <c r="J46" s="660">
        <f>SUM(J22:J45)</f>
        <v>5038351.1971671022</v>
      </c>
      <c r="K46" s="661"/>
      <c r="L46" s="660">
        <f>SUM(L20:L45)</f>
        <v>1057691.460572992</v>
      </c>
      <c r="M46" s="595"/>
      <c r="O46" s="466"/>
      <c r="P46" s="466"/>
      <c r="Q46" s="466"/>
      <c r="R46" s="587"/>
      <c r="S46" s="587"/>
      <c r="T46" s="587"/>
      <c r="U46" s="587"/>
      <c r="V46" s="587"/>
    </row>
    <row r="47" spans="1:32" ht="4.5" customHeight="1">
      <c r="A47" s="95"/>
      <c r="B47" s="522"/>
      <c r="C47" s="158"/>
      <c r="D47" s="141"/>
      <c r="E47" s="138"/>
      <c r="F47" s="343"/>
      <c r="G47" s="97"/>
      <c r="H47" s="97"/>
      <c r="I47" s="463"/>
      <c r="J47" s="97"/>
      <c r="K47" s="463"/>
      <c r="L47" s="97"/>
      <c r="M47" s="596"/>
      <c r="O47" s="574"/>
      <c r="P47" s="574"/>
      <c r="Q47" s="574"/>
      <c r="R47" s="589"/>
      <c r="S47" s="589"/>
      <c r="T47" s="589"/>
      <c r="U47" s="589"/>
      <c r="V47" s="589"/>
    </row>
    <row r="48" spans="1:32" ht="16.5" customHeight="1">
      <c r="A48" s="179" t="s">
        <v>4</v>
      </c>
      <c r="B48" s="168" t="s">
        <v>120</v>
      </c>
      <c r="C48" s="173"/>
      <c r="D48" s="174"/>
      <c r="E48" s="176"/>
      <c r="F48" s="344"/>
      <c r="G48" s="177"/>
      <c r="H48" s="177"/>
      <c r="I48" s="464"/>
      <c r="J48" s="177"/>
      <c r="K48" s="464"/>
      <c r="L48" s="177"/>
      <c r="M48" s="597"/>
      <c r="O48" s="574"/>
      <c r="P48" s="574"/>
      <c r="Q48" s="574"/>
      <c r="R48" s="541"/>
      <c r="S48" s="541"/>
      <c r="T48" s="541"/>
      <c r="U48" s="541"/>
      <c r="V48" s="541"/>
      <c r="Y48" s="36"/>
      <c r="Z48" s="36"/>
      <c r="AA48" s="36"/>
      <c r="AB48" s="36"/>
      <c r="AC48" s="36"/>
      <c r="AD48" s="36"/>
      <c r="AE48" s="36"/>
      <c r="AF48" s="36"/>
    </row>
    <row r="49" spans="1:32" ht="14.25" customHeight="1">
      <c r="A49" s="122">
        <v>4.0999999999999996</v>
      </c>
      <c r="B49" s="160" t="s">
        <v>80</v>
      </c>
      <c r="C49" s="154"/>
      <c r="D49" s="127"/>
      <c r="E49" s="142"/>
      <c r="F49" s="345"/>
      <c r="G49" s="94"/>
      <c r="H49" s="94"/>
      <c r="I49" s="462"/>
      <c r="J49" s="94"/>
      <c r="K49" s="462"/>
      <c r="L49" s="94"/>
      <c r="M49" s="598"/>
      <c r="O49" s="574"/>
      <c r="P49" s="574"/>
      <c r="Q49" s="574"/>
      <c r="R49" s="541"/>
      <c r="S49" s="541"/>
      <c r="T49" s="541"/>
      <c r="U49" s="541"/>
      <c r="V49" s="541"/>
      <c r="Y49" s="36"/>
      <c r="Z49" s="36"/>
      <c r="AA49" s="36"/>
      <c r="AB49" s="36"/>
      <c r="AC49" s="36"/>
      <c r="AD49" s="36"/>
      <c r="AE49" s="36"/>
      <c r="AF49" s="36"/>
    </row>
    <row r="50" spans="1:32" s="21" customFormat="1" ht="14.25" customHeight="1">
      <c r="A50" s="143">
        <v>4.0999999999999996</v>
      </c>
      <c r="B50" s="162"/>
      <c r="C50" s="565" t="s">
        <v>322</v>
      </c>
      <c r="D50" s="127"/>
      <c r="E50" s="134"/>
      <c r="F50" s="340"/>
      <c r="G50" s="130"/>
      <c r="H50" s="130"/>
      <c r="I50" s="462"/>
      <c r="J50" s="130"/>
      <c r="K50" s="462"/>
      <c r="L50" s="131"/>
      <c r="M50" s="578"/>
      <c r="N50" s="13"/>
      <c r="O50" s="580"/>
      <c r="P50" s="580"/>
      <c r="Q50" s="580"/>
      <c r="R50" s="541"/>
      <c r="S50" s="541"/>
      <c r="T50" s="541"/>
      <c r="U50" s="541"/>
      <c r="V50" s="541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spans="1:32" s="21" customFormat="1" ht="14.25" customHeight="1">
      <c r="A51" s="139">
        <v>4.2</v>
      </c>
      <c r="B51" s="160" t="s">
        <v>81</v>
      </c>
      <c r="C51" s="154"/>
      <c r="D51" s="127"/>
      <c r="E51" s="134"/>
      <c r="F51" s="340"/>
      <c r="G51" s="130"/>
      <c r="H51" s="130"/>
      <c r="I51" s="462"/>
      <c r="J51" s="130"/>
      <c r="K51" s="462"/>
      <c r="L51" s="131"/>
      <c r="M51" s="578"/>
      <c r="N51" s="13"/>
      <c r="O51" s="574"/>
      <c r="P51" s="574"/>
      <c r="Q51" s="574"/>
      <c r="R51" s="541"/>
      <c r="S51" s="541"/>
      <c r="T51" s="541"/>
      <c r="U51" s="541"/>
      <c r="V51" s="541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spans="1:32" s="21" customFormat="1" ht="14.25" customHeight="1">
      <c r="A52" s="127">
        <v>4.2</v>
      </c>
      <c r="B52" s="162"/>
      <c r="C52" s="565" t="s">
        <v>322</v>
      </c>
      <c r="D52" s="127"/>
      <c r="E52" s="134"/>
      <c r="F52" s="340"/>
      <c r="G52" s="130"/>
      <c r="H52" s="130"/>
      <c r="I52" s="462"/>
      <c r="J52" s="130"/>
      <c r="K52" s="462"/>
      <c r="L52" s="131"/>
      <c r="M52" s="578"/>
      <c r="N52" s="13"/>
      <c r="O52" s="580"/>
      <c r="P52" s="580"/>
      <c r="Q52" s="580"/>
      <c r="R52" s="541"/>
      <c r="S52" s="541"/>
      <c r="T52" s="541"/>
      <c r="U52" s="541"/>
      <c r="V52" s="541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spans="1:32" s="21" customFormat="1" ht="14.25" customHeight="1">
      <c r="A53" s="139">
        <v>4.3</v>
      </c>
      <c r="B53" s="160" t="s">
        <v>113</v>
      </c>
      <c r="C53" s="155"/>
      <c r="D53" s="127"/>
      <c r="E53" s="134"/>
      <c r="F53" s="340"/>
      <c r="G53" s="130"/>
      <c r="H53" s="130"/>
      <c r="I53" s="462"/>
      <c r="J53" s="130"/>
      <c r="K53" s="462"/>
      <c r="L53" s="131"/>
      <c r="M53" s="578"/>
      <c r="N53" s="13"/>
      <c r="O53" s="574"/>
      <c r="P53" s="574"/>
      <c r="Q53" s="574"/>
      <c r="R53" s="541"/>
      <c r="S53" s="541"/>
      <c r="T53" s="541"/>
      <c r="U53" s="541"/>
      <c r="V53" s="541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 s="270" customFormat="1" ht="14.25" customHeight="1">
      <c r="A54" s="348">
        <v>4.3</v>
      </c>
      <c r="B54" s="269"/>
      <c r="C54" s="565" t="s">
        <v>322</v>
      </c>
      <c r="D54" s="348"/>
      <c r="E54" s="359"/>
      <c r="F54" s="364"/>
      <c r="G54" s="349"/>
      <c r="H54" s="349"/>
      <c r="I54" s="461"/>
      <c r="J54" s="130"/>
      <c r="K54" s="461"/>
      <c r="L54" s="350"/>
      <c r="M54" s="576"/>
      <c r="N54" s="365"/>
      <c r="O54" s="580"/>
      <c r="P54" s="580"/>
      <c r="Q54" s="580"/>
      <c r="R54" s="541"/>
      <c r="S54" s="541"/>
      <c r="T54" s="541"/>
      <c r="U54" s="541"/>
      <c r="V54" s="541"/>
      <c r="W54" s="365"/>
      <c r="X54" s="365"/>
      <c r="Y54" s="365"/>
      <c r="Z54" s="365"/>
      <c r="AA54" s="365"/>
      <c r="AB54" s="365"/>
      <c r="AC54" s="365"/>
      <c r="AD54" s="365"/>
      <c r="AE54" s="365"/>
      <c r="AF54" s="365"/>
    </row>
    <row r="55" spans="1:32" s="270" customFormat="1" ht="14.25" customHeight="1">
      <c r="A55" s="361">
        <v>4.4000000000000004</v>
      </c>
      <c r="B55" s="520" t="s">
        <v>82</v>
      </c>
      <c r="C55" s="355"/>
      <c r="D55" s="348"/>
      <c r="E55" s="359"/>
      <c r="F55" s="364"/>
      <c r="G55" s="349"/>
      <c r="H55" s="349"/>
      <c r="I55" s="461"/>
      <c r="J55" s="130"/>
      <c r="K55" s="461"/>
      <c r="L55" s="350"/>
      <c r="M55" s="576"/>
      <c r="N55" s="365"/>
      <c r="O55" s="574"/>
      <c r="P55" s="574"/>
      <c r="Q55" s="574"/>
      <c r="R55" s="541"/>
      <c r="S55" s="541"/>
      <c r="T55" s="541"/>
      <c r="U55" s="541"/>
      <c r="V55" s="541"/>
      <c r="W55" s="365"/>
      <c r="X55" s="365"/>
      <c r="Y55" s="365"/>
      <c r="Z55" s="365"/>
      <c r="AA55" s="365"/>
      <c r="AB55" s="365"/>
      <c r="AC55" s="365"/>
      <c r="AD55" s="365"/>
      <c r="AE55" s="365"/>
      <c r="AF55" s="365"/>
    </row>
    <row r="56" spans="1:32" s="270" customFormat="1" ht="14.25" customHeight="1">
      <c r="A56" s="348">
        <v>4.4000000000000004</v>
      </c>
      <c r="B56" s="269"/>
      <c r="C56" s="565" t="s">
        <v>322</v>
      </c>
      <c r="D56" s="348"/>
      <c r="E56" s="359"/>
      <c r="F56" s="364"/>
      <c r="G56" s="349"/>
      <c r="H56" s="349"/>
      <c r="I56" s="461"/>
      <c r="J56" s="130"/>
      <c r="K56" s="461"/>
      <c r="L56" s="350"/>
      <c r="M56" s="576"/>
      <c r="N56" s="365"/>
      <c r="O56" s="580"/>
      <c r="P56" s="580"/>
      <c r="Q56" s="580"/>
      <c r="R56" s="541"/>
      <c r="S56" s="541"/>
      <c r="T56" s="541"/>
      <c r="U56" s="541"/>
      <c r="V56" s="541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</row>
    <row r="57" spans="1:32" s="270" customFormat="1" ht="14.25" customHeight="1">
      <c r="A57" s="361">
        <v>4.5</v>
      </c>
      <c r="B57" s="520" t="s">
        <v>114</v>
      </c>
      <c r="C57" s="355"/>
      <c r="D57" s="348"/>
      <c r="E57" s="359"/>
      <c r="F57" s="364"/>
      <c r="G57" s="349"/>
      <c r="H57" s="349"/>
      <c r="I57" s="461"/>
      <c r="J57" s="130"/>
      <c r="K57" s="461"/>
      <c r="L57" s="350"/>
      <c r="M57" s="576"/>
      <c r="N57" s="365"/>
      <c r="O57" s="574"/>
      <c r="P57" s="574"/>
      <c r="Q57" s="574"/>
      <c r="R57" s="541"/>
      <c r="S57" s="541"/>
      <c r="T57" s="541"/>
      <c r="U57" s="541"/>
      <c r="V57" s="541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</row>
    <row r="58" spans="1:32" s="270" customFormat="1" ht="14.25" customHeight="1">
      <c r="A58" s="348">
        <v>4.5</v>
      </c>
      <c r="B58" s="269"/>
      <c r="C58" s="565" t="s">
        <v>322</v>
      </c>
      <c r="D58" s="348"/>
      <c r="E58" s="359"/>
      <c r="F58" s="364"/>
      <c r="G58" s="349"/>
      <c r="H58" s="349"/>
      <c r="I58" s="461"/>
      <c r="J58" s="130"/>
      <c r="K58" s="461"/>
      <c r="L58" s="350"/>
      <c r="M58" s="576"/>
      <c r="N58" s="365"/>
      <c r="O58" s="580"/>
      <c r="P58" s="580"/>
      <c r="Q58" s="580"/>
      <c r="R58" s="541"/>
      <c r="S58" s="541"/>
      <c r="T58" s="541"/>
      <c r="U58" s="541"/>
      <c r="V58" s="541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</row>
    <row r="59" spans="1:32" s="270" customFormat="1" ht="14.25" customHeight="1">
      <c r="A59" s="361">
        <v>4.5999999999999996</v>
      </c>
      <c r="B59" s="520" t="s">
        <v>83</v>
      </c>
      <c r="C59" s="355"/>
      <c r="D59" s="348"/>
      <c r="E59" s="359"/>
      <c r="F59" s="364"/>
      <c r="G59" s="349"/>
      <c r="H59" s="349"/>
      <c r="I59" s="461"/>
      <c r="J59" s="130"/>
      <c r="K59" s="461"/>
      <c r="L59" s="350"/>
      <c r="M59" s="576"/>
      <c r="N59" s="365"/>
      <c r="O59" s="574"/>
      <c r="P59" s="574"/>
      <c r="Q59" s="574"/>
      <c r="R59" s="541"/>
      <c r="S59" s="541"/>
      <c r="T59" s="541"/>
      <c r="U59" s="541"/>
      <c r="V59" s="541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</row>
    <row r="60" spans="1:32" s="270" customFormat="1" ht="14.25" customHeight="1">
      <c r="A60" s="348">
        <v>4.5999999999999996</v>
      </c>
      <c r="B60" s="269"/>
      <c r="C60" s="565" t="s">
        <v>322</v>
      </c>
      <c r="D60" s="348"/>
      <c r="E60" s="359"/>
      <c r="F60" s="364"/>
      <c r="G60" s="349"/>
      <c r="H60" s="349"/>
      <c r="I60" s="461"/>
      <c r="J60" s="130"/>
      <c r="K60" s="461"/>
      <c r="L60" s="350"/>
      <c r="M60" s="576"/>
      <c r="N60" s="365"/>
      <c r="O60" s="580"/>
      <c r="P60" s="580"/>
      <c r="Q60" s="580"/>
      <c r="R60" s="541"/>
      <c r="S60" s="541"/>
      <c r="T60" s="541"/>
      <c r="U60" s="541"/>
      <c r="V60" s="541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</row>
    <row r="61" spans="1:32" s="270" customFormat="1" ht="14.25" customHeight="1">
      <c r="A61" s="361">
        <v>4.7</v>
      </c>
      <c r="B61" s="520" t="s">
        <v>115</v>
      </c>
      <c r="C61" s="355"/>
      <c r="D61" s="348"/>
      <c r="E61" s="359"/>
      <c r="F61" s="364"/>
      <c r="G61" s="349"/>
      <c r="H61" s="349"/>
      <c r="I61" s="461"/>
      <c r="J61" s="130"/>
      <c r="K61" s="461"/>
      <c r="L61" s="350"/>
      <c r="M61" s="576"/>
      <c r="N61" s="365"/>
      <c r="O61" s="574"/>
      <c r="P61" s="574"/>
      <c r="Q61" s="574"/>
      <c r="R61" s="541"/>
      <c r="S61" s="541"/>
      <c r="T61" s="541"/>
      <c r="U61" s="541"/>
      <c r="V61" s="541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</row>
    <row r="62" spans="1:32" s="270" customFormat="1" ht="14.25" customHeight="1">
      <c r="A62" s="348">
        <v>4.7</v>
      </c>
      <c r="B62" s="269"/>
      <c r="C62" s="565" t="s">
        <v>322</v>
      </c>
      <c r="D62" s="348"/>
      <c r="E62" s="359"/>
      <c r="F62" s="364"/>
      <c r="G62" s="349"/>
      <c r="H62" s="349"/>
      <c r="I62" s="461"/>
      <c r="J62" s="130"/>
      <c r="K62" s="461"/>
      <c r="L62" s="350"/>
      <c r="M62" s="576"/>
      <c r="N62" s="365"/>
      <c r="O62" s="580"/>
      <c r="P62" s="580"/>
      <c r="Q62" s="580"/>
      <c r="R62" s="541"/>
      <c r="S62" s="541"/>
      <c r="T62" s="541"/>
      <c r="U62" s="541"/>
      <c r="V62" s="541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</row>
    <row r="63" spans="1:32" s="21" customFormat="1" ht="14.25" customHeight="1">
      <c r="A63" s="139">
        <v>4.8</v>
      </c>
      <c r="B63" s="160" t="s">
        <v>116</v>
      </c>
      <c r="C63" s="155"/>
      <c r="D63" s="127"/>
      <c r="E63" s="134"/>
      <c r="F63" s="340"/>
      <c r="G63" s="130"/>
      <c r="H63" s="130"/>
      <c r="I63" s="462"/>
      <c r="J63" s="130"/>
      <c r="K63" s="462"/>
      <c r="L63" s="131"/>
      <c r="M63" s="578"/>
      <c r="N63" s="13"/>
      <c r="O63" s="574"/>
      <c r="P63" s="574"/>
      <c r="Q63" s="574"/>
      <c r="R63" s="541"/>
      <c r="S63" s="541"/>
      <c r="T63" s="541"/>
      <c r="U63" s="541"/>
      <c r="V63" s="541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spans="1:32" s="22" customFormat="1" ht="14.25" customHeight="1">
      <c r="A64" s="127">
        <v>4.8</v>
      </c>
      <c r="B64" s="162"/>
      <c r="C64" s="565" t="s">
        <v>322</v>
      </c>
      <c r="D64" s="127"/>
      <c r="E64" s="134"/>
      <c r="F64" s="340"/>
      <c r="G64" s="130"/>
      <c r="H64" s="130"/>
      <c r="I64" s="462"/>
      <c r="J64" s="130"/>
      <c r="K64" s="462"/>
      <c r="L64" s="131"/>
      <c r="M64" s="578"/>
      <c r="N64" s="44"/>
      <c r="O64" s="580"/>
      <c r="P64" s="580"/>
      <c r="Q64" s="580"/>
      <c r="R64" s="541"/>
      <c r="S64" s="541"/>
      <c r="T64" s="541"/>
      <c r="U64" s="541"/>
      <c r="V64" s="541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32" s="21" customFormat="1" ht="14.25" customHeight="1">
      <c r="A65" s="139">
        <v>4.9000000000000004</v>
      </c>
      <c r="B65" s="160" t="s">
        <v>117</v>
      </c>
      <c r="C65" s="155"/>
      <c r="D65" s="127"/>
      <c r="E65" s="134"/>
      <c r="F65" s="340"/>
      <c r="G65" s="130"/>
      <c r="H65" s="130"/>
      <c r="I65" s="462"/>
      <c r="J65" s="130"/>
      <c r="K65" s="462"/>
      <c r="L65" s="131"/>
      <c r="M65" s="578"/>
      <c r="N65" s="13"/>
      <c r="O65" s="574"/>
      <c r="P65" s="574"/>
      <c r="Q65" s="574"/>
      <c r="R65" s="541"/>
      <c r="S65" s="541"/>
      <c r="T65" s="541"/>
      <c r="U65" s="541"/>
      <c r="V65" s="541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s="22" customFormat="1" ht="14.25" customHeight="1">
      <c r="A66" s="127">
        <v>4.9000000000000004</v>
      </c>
      <c r="B66" s="162"/>
      <c r="C66" s="565" t="s">
        <v>322</v>
      </c>
      <c r="D66" s="127"/>
      <c r="E66" s="134"/>
      <c r="F66" s="340"/>
      <c r="G66" s="130"/>
      <c r="H66" s="130"/>
      <c r="I66" s="462"/>
      <c r="J66" s="130"/>
      <c r="K66" s="462"/>
      <c r="L66" s="131"/>
      <c r="M66" s="578"/>
      <c r="N66" s="44"/>
      <c r="O66" s="580"/>
      <c r="P66" s="580"/>
      <c r="Q66" s="580"/>
      <c r="R66" s="541"/>
      <c r="S66" s="541"/>
      <c r="T66" s="541"/>
      <c r="U66" s="541"/>
      <c r="V66" s="541"/>
      <c r="W66" s="44"/>
      <c r="X66" s="44"/>
      <c r="Y66" s="44"/>
      <c r="Z66" s="44"/>
      <c r="AA66" s="44"/>
      <c r="AB66" s="44"/>
      <c r="AC66" s="44"/>
      <c r="AD66" s="44"/>
      <c r="AE66" s="44"/>
      <c r="AF66" s="44"/>
    </row>
    <row r="67" spans="1:32" s="21" customFormat="1" ht="14.25" customHeight="1">
      <c r="A67" s="122" t="s">
        <v>282</v>
      </c>
      <c r="B67" s="160" t="s">
        <v>84</v>
      </c>
      <c r="C67" s="155"/>
      <c r="D67" s="127"/>
      <c r="E67" s="134"/>
      <c r="F67" s="340"/>
      <c r="G67" s="130"/>
      <c r="H67" s="130"/>
      <c r="I67" s="462"/>
      <c r="J67" s="130"/>
      <c r="K67" s="462"/>
      <c r="L67" s="131"/>
      <c r="M67" s="578"/>
      <c r="N67" s="13"/>
      <c r="O67" s="574"/>
      <c r="P67" s="574"/>
      <c r="Q67" s="574"/>
      <c r="R67" s="541"/>
      <c r="S67" s="541"/>
      <c r="T67" s="541"/>
      <c r="U67" s="541"/>
      <c r="V67" s="541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 s="22" customFormat="1" ht="14.25" customHeight="1">
      <c r="A68" s="144" t="s">
        <v>282</v>
      </c>
      <c r="B68" s="162"/>
      <c r="C68" s="565" t="s">
        <v>322</v>
      </c>
      <c r="D68" s="127"/>
      <c r="E68" s="134"/>
      <c r="F68" s="340"/>
      <c r="G68" s="130"/>
      <c r="H68" s="130"/>
      <c r="I68" s="462"/>
      <c r="J68" s="130"/>
      <c r="K68" s="462"/>
      <c r="L68" s="131"/>
      <c r="M68" s="578"/>
      <c r="N68" s="44"/>
      <c r="O68" s="580"/>
      <c r="P68" s="580"/>
      <c r="Q68" s="580"/>
      <c r="R68" s="541"/>
      <c r="S68" s="541"/>
      <c r="T68" s="541"/>
      <c r="U68" s="541"/>
      <c r="V68" s="541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 spans="1:32" s="21" customFormat="1" ht="14.25" customHeight="1">
      <c r="A69" s="139" t="s">
        <v>148</v>
      </c>
      <c r="B69" s="160" t="s">
        <v>85</v>
      </c>
      <c r="C69" s="155"/>
      <c r="D69" s="127"/>
      <c r="E69" s="134"/>
      <c r="F69" s="340"/>
      <c r="G69" s="130"/>
      <c r="H69" s="130"/>
      <c r="I69" s="462"/>
      <c r="J69" s="130"/>
      <c r="K69" s="462"/>
      <c r="L69" s="131"/>
      <c r="M69" s="578"/>
      <c r="N69" s="13"/>
      <c r="O69" s="574"/>
      <c r="P69" s="574"/>
      <c r="Q69" s="574"/>
      <c r="R69" s="541"/>
      <c r="S69" s="541"/>
      <c r="T69" s="541"/>
      <c r="U69" s="541"/>
      <c r="V69" s="541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 s="22" customFormat="1" ht="14.25" customHeight="1">
      <c r="A70" s="143" t="s">
        <v>148</v>
      </c>
      <c r="B70" s="162"/>
      <c r="C70" s="565" t="s">
        <v>322</v>
      </c>
      <c r="D70" s="127"/>
      <c r="E70" s="134"/>
      <c r="F70" s="340"/>
      <c r="G70" s="130"/>
      <c r="H70" s="130"/>
      <c r="I70" s="462"/>
      <c r="J70" s="130"/>
      <c r="K70" s="462"/>
      <c r="L70" s="131"/>
      <c r="M70" s="578"/>
      <c r="N70" s="44"/>
      <c r="O70" s="580"/>
      <c r="P70" s="580"/>
      <c r="Q70" s="580"/>
      <c r="R70" s="541"/>
      <c r="S70" s="541"/>
      <c r="T70" s="541"/>
      <c r="U70" s="541"/>
      <c r="V70" s="541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spans="1:32" s="21" customFormat="1" ht="14.25" customHeight="1">
      <c r="A71" s="139" t="s">
        <v>149</v>
      </c>
      <c r="B71" s="160" t="s">
        <v>118</v>
      </c>
      <c r="C71" s="155"/>
      <c r="D71" s="127"/>
      <c r="E71" s="134"/>
      <c r="F71" s="340"/>
      <c r="G71" s="130"/>
      <c r="H71" s="130"/>
      <c r="I71" s="462"/>
      <c r="J71" s="130"/>
      <c r="K71" s="462"/>
      <c r="L71" s="131"/>
      <c r="M71" s="578"/>
      <c r="N71" s="13"/>
      <c r="O71" s="574"/>
      <c r="P71" s="574"/>
      <c r="Q71" s="574"/>
      <c r="R71" s="541"/>
      <c r="S71" s="541"/>
      <c r="T71" s="541"/>
      <c r="U71" s="541"/>
      <c r="V71" s="541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 s="363" customFormat="1" ht="14.25" customHeight="1">
      <c r="A72" s="366" t="s">
        <v>149</v>
      </c>
      <c r="B72" s="269"/>
      <c r="C72" s="565" t="s">
        <v>322</v>
      </c>
      <c r="D72" s="348"/>
      <c r="E72" s="359"/>
      <c r="F72" s="364"/>
      <c r="G72" s="349"/>
      <c r="H72" s="349"/>
      <c r="I72" s="461"/>
      <c r="J72" s="130"/>
      <c r="K72" s="461"/>
      <c r="L72" s="350"/>
      <c r="M72" s="576"/>
      <c r="N72" s="367"/>
      <c r="O72" s="580"/>
      <c r="P72" s="580"/>
      <c r="Q72" s="580"/>
      <c r="R72" s="541"/>
      <c r="S72" s="541"/>
      <c r="T72" s="541"/>
      <c r="U72" s="541"/>
      <c r="V72" s="541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</row>
    <row r="73" spans="1:32" s="270" customFormat="1" ht="14.25" customHeight="1">
      <c r="A73" s="361" t="s">
        <v>150</v>
      </c>
      <c r="B73" s="520" t="s">
        <v>86</v>
      </c>
      <c r="C73" s="355"/>
      <c r="D73" s="348"/>
      <c r="E73" s="359"/>
      <c r="F73" s="364"/>
      <c r="G73" s="349"/>
      <c r="H73" s="349"/>
      <c r="I73" s="461"/>
      <c r="J73" s="130"/>
      <c r="K73" s="461"/>
      <c r="L73" s="350"/>
      <c r="M73" s="576"/>
      <c r="N73" s="365"/>
      <c r="O73" s="574"/>
      <c r="P73" s="574"/>
      <c r="Q73" s="574"/>
      <c r="R73" s="541"/>
      <c r="S73" s="541"/>
      <c r="T73" s="541"/>
      <c r="U73" s="541"/>
      <c r="V73" s="541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</row>
    <row r="74" spans="1:32" s="363" customFormat="1" ht="14.25" customHeight="1">
      <c r="A74" s="366" t="s">
        <v>150</v>
      </c>
      <c r="B74" s="269"/>
      <c r="C74" s="565" t="s">
        <v>322</v>
      </c>
      <c r="D74" s="348"/>
      <c r="E74" s="359"/>
      <c r="F74" s="364"/>
      <c r="G74" s="349"/>
      <c r="H74" s="349"/>
      <c r="I74" s="461"/>
      <c r="J74" s="130"/>
      <c r="K74" s="461"/>
      <c r="L74" s="350"/>
      <c r="M74" s="576"/>
      <c r="N74" s="367"/>
      <c r="O74" s="580"/>
      <c r="P74" s="580"/>
      <c r="Q74" s="580"/>
      <c r="R74" s="541"/>
      <c r="S74" s="541"/>
      <c r="T74" s="541"/>
      <c r="U74" s="541"/>
      <c r="V74" s="541"/>
      <c r="W74" s="367"/>
      <c r="X74" s="367"/>
      <c r="Y74" s="367"/>
      <c r="Z74" s="367"/>
      <c r="AA74" s="367"/>
      <c r="AB74" s="367"/>
      <c r="AC74" s="367"/>
      <c r="AD74" s="367"/>
      <c r="AE74" s="367"/>
      <c r="AF74" s="367"/>
    </row>
    <row r="75" spans="1:32" s="270" customFormat="1" ht="14.25" customHeight="1">
      <c r="A75" s="361" t="s">
        <v>151</v>
      </c>
      <c r="B75" s="520" t="s">
        <v>87</v>
      </c>
      <c r="C75" s="355"/>
      <c r="D75" s="348"/>
      <c r="E75" s="359"/>
      <c r="F75" s="364"/>
      <c r="G75" s="349"/>
      <c r="H75" s="349"/>
      <c r="I75" s="461"/>
      <c r="J75" s="130"/>
      <c r="K75" s="461"/>
      <c r="L75" s="350"/>
      <c r="M75" s="576"/>
      <c r="N75" s="365"/>
      <c r="O75" s="574"/>
      <c r="P75" s="574"/>
      <c r="Q75" s="574"/>
      <c r="R75" s="541"/>
      <c r="S75" s="541"/>
      <c r="T75" s="541"/>
      <c r="U75" s="541"/>
      <c r="V75" s="541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</row>
    <row r="76" spans="1:32" s="363" customFormat="1" ht="14.25" customHeight="1">
      <c r="A76" s="366" t="s">
        <v>151</v>
      </c>
      <c r="B76" s="269"/>
      <c r="C76" s="565" t="s">
        <v>322</v>
      </c>
      <c r="D76" s="348"/>
      <c r="E76" s="359"/>
      <c r="F76" s="364"/>
      <c r="G76" s="349"/>
      <c r="H76" s="349"/>
      <c r="I76" s="461"/>
      <c r="J76" s="130"/>
      <c r="K76" s="461"/>
      <c r="L76" s="350"/>
      <c r="M76" s="576"/>
      <c r="N76" s="367"/>
      <c r="O76" s="580"/>
      <c r="P76" s="580"/>
      <c r="Q76" s="580"/>
      <c r="R76" s="541"/>
      <c r="S76" s="541"/>
      <c r="T76" s="541"/>
      <c r="U76" s="541"/>
      <c r="V76" s="541"/>
      <c r="W76" s="367"/>
      <c r="X76" s="367"/>
      <c r="Y76" s="367"/>
      <c r="Z76" s="367"/>
      <c r="AA76" s="367"/>
      <c r="AB76" s="367"/>
      <c r="AC76" s="367"/>
      <c r="AD76" s="367"/>
      <c r="AE76" s="367"/>
      <c r="AF76" s="367"/>
    </row>
    <row r="77" spans="1:32" s="21" customFormat="1" ht="14.25" customHeight="1">
      <c r="A77" s="139" t="s">
        <v>152</v>
      </c>
      <c r="B77" s="160" t="s">
        <v>88</v>
      </c>
      <c r="C77" s="155"/>
      <c r="D77" s="127"/>
      <c r="E77" s="134"/>
      <c r="F77" s="340"/>
      <c r="G77" s="130"/>
      <c r="H77" s="130"/>
      <c r="I77" s="462"/>
      <c r="J77" s="130"/>
      <c r="K77" s="462"/>
      <c r="L77" s="131"/>
      <c r="M77" s="578"/>
      <c r="N77" s="13"/>
      <c r="O77" s="574"/>
      <c r="P77" s="574"/>
      <c r="Q77" s="574"/>
      <c r="R77" s="541"/>
      <c r="S77" s="541"/>
      <c r="T77" s="541"/>
      <c r="U77" s="541"/>
      <c r="V77" s="541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spans="1:32" s="22" customFormat="1" ht="14.25" customHeight="1">
      <c r="A78" s="143" t="s">
        <v>152</v>
      </c>
      <c r="B78" s="162"/>
      <c r="C78" s="565" t="s">
        <v>322</v>
      </c>
      <c r="D78" s="127"/>
      <c r="E78" s="134"/>
      <c r="F78" s="340"/>
      <c r="G78" s="130"/>
      <c r="H78" s="130"/>
      <c r="I78" s="462"/>
      <c r="J78" s="130"/>
      <c r="K78" s="462"/>
      <c r="L78" s="131"/>
      <c r="M78" s="578"/>
      <c r="N78" s="44"/>
      <c r="O78" s="580"/>
      <c r="P78" s="580"/>
      <c r="Q78" s="580"/>
      <c r="R78" s="541"/>
      <c r="S78" s="541"/>
      <c r="T78" s="541"/>
      <c r="U78" s="541"/>
      <c r="V78" s="541"/>
      <c r="W78" s="44"/>
      <c r="X78" s="44"/>
      <c r="Y78" s="44"/>
      <c r="Z78" s="44"/>
      <c r="AA78" s="44"/>
      <c r="AB78" s="44"/>
      <c r="AC78" s="44"/>
      <c r="AD78" s="44"/>
      <c r="AE78" s="44"/>
      <c r="AF78" s="44"/>
    </row>
    <row r="79" spans="1:32" s="21" customFormat="1" ht="14.25" customHeight="1">
      <c r="A79" s="139" t="s">
        <v>153</v>
      </c>
      <c r="B79" s="160" t="s">
        <v>119</v>
      </c>
      <c r="C79" s="155"/>
      <c r="D79" s="127"/>
      <c r="E79" s="134"/>
      <c r="F79" s="340"/>
      <c r="G79" s="130"/>
      <c r="H79" s="130"/>
      <c r="I79" s="462"/>
      <c r="J79" s="130"/>
      <c r="K79" s="462"/>
      <c r="L79" s="131"/>
      <c r="M79" s="578"/>
      <c r="N79" s="13"/>
      <c r="O79" s="574"/>
      <c r="P79" s="574"/>
      <c r="Q79" s="574"/>
      <c r="R79" s="541"/>
      <c r="S79" s="541"/>
      <c r="T79" s="541"/>
      <c r="U79" s="541"/>
      <c r="V79" s="541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spans="1:32" s="22" customFormat="1" ht="14.25" customHeight="1">
      <c r="A80" s="143" t="s">
        <v>153</v>
      </c>
      <c r="B80" s="162"/>
      <c r="C80" s="565" t="s">
        <v>322</v>
      </c>
      <c r="D80" s="127"/>
      <c r="E80" s="134"/>
      <c r="F80" s="340"/>
      <c r="G80" s="130"/>
      <c r="H80" s="130"/>
      <c r="I80" s="462"/>
      <c r="J80" s="130"/>
      <c r="K80" s="462"/>
      <c r="L80" s="131"/>
      <c r="M80" s="578"/>
      <c r="N80" s="44"/>
      <c r="O80" s="580"/>
      <c r="P80" s="580"/>
      <c r="Q80" s="580"/>
      <c r="R80" s="541"/>
      <c r="S80" s="541"/>
      <c r="T80" s="541"/>
      <c r="U80" s="541"/>
      <c r="V80" s="541"/>
      <c r="W80" s="44"/>
      <c r="X80" s="44"/>
      <c r="Y80" s="44"/>
      <c r="Z80" s="44"/>
      <c r="AA80" s="44"/>
      <c r="AB80" s="44"/>
      <c r="AC80" s="44"/>
      <c r="AD80" s="44"/>
      <c r="AE80" s="44"/>
      <c r="AF80" s="44"/>
    </row>
    <row r="81" spans="1:32" s="21" customFormat="1" ht="14.25" customHeight="1">
      <c r="A81" s="139" t="s">
        <v>154</v>
      </c>
      <c r="B81" s="160" t="s">
        <v>68</v>
      </c>
      <c r="C81" s="155"/>
      <c r="D81" s="127"/>
      <c r="E81" s="134"/>
      <c r="F81" s="340"/>
      <c r="G81" s="130"/>
      <c r="H81" s="130"/>
      <c r="I81" s="462"/>
      <c r="J81" s="130"/>
      <c r="K81" s="462"/>
      <c r="L81" s="131"/>
      <c r="M81" s="578"/>
      <c r="N81" s="13"/>
      <c r="O81" s="574"/>
      <c r="P81" s="574"/>
      <c r="Q81" s="574"/>
      <c r="R81" s="541"/>
      <c r="S81" s="541"/>
      <c r="T81" s="541"/>
      <c r="U81" s="541"/>
      <c r="V81" s="541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1:32" ht="15.75" customHeight="1">
      <c r="A82" s="101"/>
      <c r="B82" s="168"/>
      <c r="C82" s="180" t="s">
        <v>89</v>
      </c>
      <c r="D82" s="174"/>
      <c r="E82" s="165"/>
      <c r="F82" s="342"/>
      <c r="G82" s="170">
        <f>SUM(G50:G81)</f>
        <v>0</v>
      </c>
      <c r="H82" s="170">
        <f>SUM(H50:H81)</f>
        <v>0</v>
      </c>
      <c r="I82" s="452"/>
      <c r="J82" s="170">
        <f>SUM(J50:J81)</f>
        <v>0</v>
      </c>
      <c r="K82" s="452"/>
      <c r="L82" s="170">
        <f>SUM(L50:L81)</f>
        <v>0</v>
      </c>
      <c r="M82" s="595"/>
      <c r="O82" s="466"/>
      <c r="P82" s="466"/>
      <c r="Q82" s="466"/>
      <c r="R82" s="587"/>
      <c r="S82" s="587"/>
      <c r="T82" s="587"/>
      <c r="U82" s="587"/>
      <c r="V82" s="587"/>
      <c r="Y82" s="36"/>
      <c r="Z82" s="36"/>
      <c r="AA82" s="36"/>
      <c r="AB82" s="36"/>
      <c r="AC82" s="36"/>
      <c r="AD82" s="36"/>
      <c r="AE82" s="36"/>
      <c r="AF82" s="36"/>
    </row>
    <row r="83" spans="1:32">
      <c r="B83" s="523"/>
      <c r="E83" s="15"/>
      <c r="R83" s="443"/>
      <c r="S83" s="443"/>
      <c r="T83" s="443"/>
      <c r="U83" s="443"/>
      <c r="V83" s="443"/>
    </row>
    <row r="84" spans="1:32">
      <c r="R84" s="443"/>
      <c r="S84" s="443"/>
      <c r="T84" s="443"/>
      <c r="U84" s="443"/>
      <c r="V84" s="443"/>
    </row>
    <row r="85" spans="1:32">
      <c r="R85" s="443"/>
      <c r="S85" s="443"/>
      <c r="T85" s="443"/>
      <c r="U85" s="443"/>
      <c r="V85" s="443"/>
    </row>
    <row r="86" spans="1:32">
      <c r="G86" s="376"/>
      <c r="H86" s="376"/>
      <c r="J86" s="376"/>
      <c r="L86" s="376"/>
      <c r="M86" s="600"/>
      <c r="R86" s="443"/>
      <c r="S86" s="443"/>
      <c r="T86" s="443"/>
      <c r="U86" s="443"/>
      <c r="V86" s="443"/>
    </row>
    <row r="87" spans="1:32">
      <c r="J87" s="376"/>
      <c r="R87" s="443"/>
      <c r="S87" s="443"/>
      <c r="T87" s="443"/>
      <c r="U87" s="443"/>
      <c r="V87" s="443"/>
    </row>
    <row r="88" spans="1:32">
      <c r="R88" s="443"/>
      <c r="S88" s="443"/>
      <c r="T88" s="443"/>
      <c r="U88" s="443"/>
      <c r="V88" s="443"/>
    </row>
    <row r="89" spans="1:32">
      <c r="R89" s="443"/>
      <c r="S89" s="443"/>
      <c r="T89" s="443"/>
      <c r="U89" s="443"/>
      <c r="V89" s="443"/>
    </row>
    <row r="90" spans="1:32">
      <c r="R90" s="443"/>
      <c r="S90" s="443"/>
      <c r="T90" s="443"/>
      <c r="U90" s="443"/>
      <c r="V90" s="443"/>
    </row>
    <row r="91" spans="1:32">
      <c r="R91" s="443"/>
      <c r="S91" s="443"/>
      <c r="T91" s="443"/>
      <c r="U91" s="443"/>
      <c r="V91" s="443"/>
    </row>
    <row r="92" spans="1:32">
      <c r="R92" s="443"/>
      <c r="S92" s="443"/>
      <c r="T92" s="443"/>
      <c r="U92" s="443"/>
      <c r="V92" s="443"/>
    </row>
    <row r="93" spans="1:32">
      <c r="R93" s="443"/>
      <c r="S93" s="443"/>
      <c r="T93" s="443"/>
      <c r="U93" s="443"/>
      <c r="V93" s="443"/>
    </row>
    <row r="94" spans="1:32">
      <c r="R94" s="443"/>
      <c r="S94" s="443"/>
      <c r="T94" s="443"/>
      <c r="U94" s="443"/>
      <c r="V94" s="443"/>
    </row>
    <row r="95" spans="1:32">
      <c r="R95" s="443"/>
      <c r="S95" s="443"/>
      <c r="T95" s="443"/>
      <c r="U95" s="443"/>
      <c r="V95" s="443"/>
    </row>
    <row r="96" spans="1:32">
      <c r="R96" s="443"/>
      <c r="S96" s="443"/>
      <c r="T96" s="443"/>
      <c r="U96" s="443"/>
      <c r="V96" s="443"/>
    </row>
    <row r="97" spans="18:22">
      <c r="R97" s="443"/>
      <c r="S97" s="443"/>
      <c r="T97" s="443"/>
      <c r="U97" s="443"/>
      <c r="V97" s="443"/>
    </row>
    <row r="98" spans="18:22">
      <c r="R98" s="443"/>
      <c r="S98" s="443"/>
      <c r="T98" s="443"/>
      <c r="U98" s="443"/>
      <c r="V98" s="443"/>
    </row>
    <row r="99" spans="18:22">
      <c r="R99" s="443"/>
      <c r="S99" s="443"/>
      <c r="T99" s="443"/>
      <c r="U99" s="443"/>
      <c r="V99" s="443"/>
    </row>
    <row r="100" spans="18:22">
      <c r="R100" s="443"/>
      <c r="S100" s="443"/>
      <c r="T100" s="443"/>
      <c r="U100" s="443"/>
      <c r="V100" s="443"/>
    </row>
    <row r="101" spans="18:22">
      <c r="R101" s="443"/>
      <c r="S101" s="443"/>
      <c r="T101" s="443"/>
      <c r="U101" s="443"/>
      <c r="V101" s="443"/>
    </row>
    <row r="102" spans="18:22">
      <c r="R102" s="443"/>
      <c r="S102" s="443"/>
      <c r="T102" s="443"/>
      <c r="U102" s="443"/>
      <c r="V102" s="443"/>
    </row>
    <row r="103" spans="18:22">
      <c r="R103" s="444"/>
      <c r="S103" s="444"/>
      <c r="T103" s="444"/>
      <c r="U103" s="444"/>
      <c r="V103" s="44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rowBreaks count="2" manualBreakCount="2">
    <brk id="35" max="11" man="1"/>
    <brk id="69" max="11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X28"/>
  <sheetViews>
    <sheetView view="pageBreakPreview" topLeftCell="L1" zoomScale="90" zoomScaleNormal="90" zoomScaleSheetLayoutView="90" workbookViewId="0">
      <pane ySplit="2" topLeftCell="A3" activePane="bottomLeft" state="frozen"/>
      <selection activeCell="I24" sqref="I24"/>
      <selection pane="bottomLeft" activeCell="C15" sqref="C15"/>
    </sheetView>
  </sheetViews>
  <sheetFormatPr defaultRowHeight="15"/>
  <cols>
    <col min="1" max="1" width="5.42578125" style="3" customWidth="1"/>
    <col min="2" max="2" width="4.42578125" style="3" customWidth="1"/>
    <col min="3" max="3" width="41.140625" style="3" customWidth="1"/>
    <col min="4" max="4" width="6.5703125" style="423" customWidth="1"/>
    <col min="5" max="5" width="3.7109375" style="16" customWidth="1"/>
    <col min="6" max="6" width="10.42578125" style="346" customWidth="1"/>
    <col min="7" max="7" width="3" style="33" customWidth="1"/>
    <col min="8" max="8" width="10" style="73" customWidth="1"/>
    <col min="9" max="9" width="4.42578125" style="387" bestFit="1" customWidth="1"/>
    <col min="10" max="10" width="11.28515625" style="73" customWidth="1"/>
    <col min="11" max="11" width="10.140625" style="73" customWidth="1"/>
    <col min="12" max="12" width="11.140625" style="73" customWidth="1"/>
    <col min="13" max="13" width="5.140625" style="446" customWidth="1"/>
    <col min="14" max="14" width="10.7109375" style="73" customWidth="1"/>
    <col min="15" max="15" width="5.42578125" style="453" customWidth="1"/>
    <col min="16" max="16" width="10.7109375" style="73" customWidth="1"/>
    <col min="17" max="17" width="2.5703125" style="612" customWidth="1"/>
    <col min="18" max="18" width="7.42578125" style="535" customWidth="1"/>
    <col min="19" max="19" width="2.28515625" style="535" customWidth="1"/>
    <col min="20" max="20" width="6.85546875" style="566" customWidth="1"/>
    <col min="21" max="22" width="5.140625" style="566" customWidth="1"/>
    <col min="23" max="82" width="3.5703125" style="544" customWidth="1"/>
    <col min="83" max="83" width="4.7109375" style="36" customWidth="1"/>
    <col min="84" max="143" width="3.5703125" style="544" customWidth="1"/>
    <col min="144" max="145" width="9.140625" style="36"/>
    <col min="146" max="16384" width="9.140625" style="3"/>
  </cols>
  <sheetData>
    <row r="1" spans="1:1116" s="39" customFormat="1" ht="41.25" customHeight="1">
      <c r="A1" s="214" t="s">
        <v>207</v>
      </c>
      <c r="B1" s="258" t="s">
        <v>175</v>
      </c>
      <c r="C1" s="259"/>
      <c r="D1" s="416"/>
      <c r="E1" s="424"/>
      <c r="F1" s="427"/>
      <c r="G1" s="256"/>
      <c r="H1" s="257"/>
      <c r="I1" s="380"/>
      <c r="J1" s="257"/>
      <c r="K1" s="240"/>
      <c r="M1" s="446"/>
      <c r="N1" s="239" t="s">
        <v>177</v>
      </c>
      <c r="O1" s="453"/>
      <c r="P1" s="241">
        <v>60</v>
      </c>
      <c r="Q1" s="400"/>
      <c r="R1" s="601"/>
      <c r="S1" s="601"/>
      <c r="T1" s="567"/>
      <c r="U1" s="567"/>
      <c r="V1" s="567"/>
      <c r="W1" s="568"/>
      <c r="X1" s="568"/>
      <c r="Y1" s="568"/>
      <c r="Z1" s="568"/>
      <c r="AA1" s="568"/>
      <c r="AB1" s="568"/>
      <c r="AC1" s="568"/>
      <c r="AD1" s="568"/>
      <c r="AE1" s="568"/>
      <c r="AF1" s="568"/>
      <c r="AG1" s="568"/>
      <c r="AH1" s="568"/>
      <c r="AI1" s="568"/>
      <c r="AJ1" s="568"/>
      <c r="AK1" s="568"/>
      <c r="AL1" s="568"/>
      <c r="AM1" s="568"/>
      <c r="AN1" s="568"/>
      <c r="AO1" s="568"/>
      <c r="AP1" s="568"/>
      <c r="AQ1" s="568"/>
      <c r="AR1" s="568"/>
      <c r="AS1" s="568"/>
      <c r="AT1" s="568"/>
      <c r="AU1" s="568"/>
      <c r="AV1" s="568"/>
      <c r="AW1" s="568"/>
      <c r="AX1" s="568"/>
      <c r="AY1" s="568"/>
      <c r="AZ1" s="568"/>
      <c r="BA1" s="568"/>
      <c r="BB1" s="568"/>
      <c r="BC1" s="568"/>
      <c r="BD1" s="568"/>
      <c r="BE1" s="568"/>
      <c r="BF1" s="568"/>
      <c r="BG1" s="568"/>
      <c r="BH1" s="568"/>
      <c r="BI1" s="568"/>
      <c r="BJ1" s="568"/>
      <c r="BK1" s="568"/>
      <c r="BL1" s="568"/>
      <c r="BM1" s="568"/>
      <c r="BN1" s="568"/>
      <c r="BO1" s="568"/>
      <c r="BP1" s="568"/>
      <c r="BQ1" s="568"/>
      <c r="BR1" s="568"/>
      <c r="BS1" s="568"/>
      <c r="BT1" s="568"/>
      <c r="BU1" s="568"/>
      <c r="BV1" s="568"/>
      <c r="BW1" s="568"/>
      <c r="BX1" s="568"/>
      <c r="BY1" s="568"/>
      <c r="BZ1" s="568"/>
      <c r="CA1" s="568"/>
      <c r="CB1" s="568"/>
      <c r="CC1" s="568"/>
      <c r="CD1" s="568"/>
      <c r="CE1" s="601"/>
      <c r="CF1" s="568"/>
      <c r="CG1" s="568"/>
      <c r="CH1" s="568"/>
      <c r="CI1" s="568"/>
      <c r="CJ1" s="568"/>
      <c r="CK1" s="568"/>
      <c r="CL1" s="568"/>
      <c r="CM1" s="568"/>
      <c r="CN1" s="568"/>
      <c r="CO1" s="568"/>
      <c r="CP1" s="568"/>
      <c r="CQ1" s="568"/>
      <c r="CR1" s="568"/>
      <c r="CS1" s="568"/>
      <c r="CT1" s="568"/>
      <c r="CU1" s="568"/>
      <c r="CV1" s="568"/>
      <c r="CW1" s="568"/>
      <c r="CX1" s="568"/>
      <c r="CY1" s="568"/>
      <c r="CZ1" s="568"/>
      <c r="DA1" s="568"/>
      <c r="DB1" s="568"/>
      <c r="DC1" s="568"/>
      <c r="DD1" s="568"/>
      <c r="DE1" s="568"/>
      <c r="DF1" s="568"/>
      <c r="DG1" s="568"/>
      <c r="DH1" s="568"/>
      <c r="DI1" s="568"/>
      <c r="DJ1" s="568"/>
      <c r="DK1" s="568"/>
      <c r="DL1" s="568"/>
      <c r="DM1" s="568"/>
      <c r="DN1" s="568"/>
      <c r="DO1" s="568"/>
      <c r="DP1" s="568"/>
      <c r="DQ1" s="568"/>
      <c r="DR1" s="568"/>
      <c r="DS1" s="568"/>
      <c r="DT1" s="568"/>
      <c r="DU1" s="568"/>
      <c r="DV1" s="568"/>
      <c r="DW1" s="568"/>
      <c r="DX1" s="568"/>
      <c r="DY1" s="568"/>
      <c r="DZ1" s="568"/>
      <c r="EA1" s="568"/>
      <c r="EB1" s="568"/>
      <c r="EC1" s="568"/>
      <c r="ED1" s="568"/>
      <c r="EE1" s="568"/>
      <c r="EF1" s="568"/>
      <c r="EG1" s="568"/>
      <c r="EH1" s="568"/>
      <c r="EI1" s="568"/>
      <c r="EJ1" s="568"/>
      <c r="EK1" s="568"/>
      <c r="EL1" s="568"/>
      <c r="EM1" s="568"/>
      <c r="EN1" s="601"/>
      <c r="EO1" s="601"/>
    </row>
    <row r="2" spans="1:1116" s="61" customFormat="1" ht="43.5" customHeight="1">
      <c r="A2" s="403" t="s">
        <v>254</v>
      </c>
      <c r="B2" s="405"/>
      <c r="C2" s="196" t="s">
        <v>144</v>
      </c>
      <c r="D2" s="417" t="s">
        <v>141</v>
      </c>
      <c r="E2" s="408" t="s">
        <v>142</v>
      </c>
      <c r="F2" s="409" t="s">
        <v>143</v>
      </c>
      <c r="G2" s="103" t="s">
        <v>156</v>
      </c>
      <c r="H2" s="103" t="s">
        <v>257</v>
      </c>
      <c r="I2" s="404" t="s">
        <v>102</v>
      </c>
      <c r="J2" s="103" t="s">
        <v>268</v>
      </c>
      <c r="K2" s="103" t="s">
        <v>270</v>
      </c>
      <c r="L2" s="103" t="s">
        <v>326</v>
      </c>
      <c r="M2" s="457" t="s">
        <v>129</v>
      </c>
      <c r="N2" s="103" t="s">
        <v>269</v>
      </c>
      <c r="O2" s="458" t="s">
        <v>130</v>
      </c>
      <c r="P2" s="103" t="s">
        <v>249</v>
      </c>
      <c r="Q2" s="602"/>
      <c r="R2" s="603"/>
      <c r="S2" s="603"/>
      <c r="T2" s="570"/>
      <c r="U2" s="570"/>
      <c r="V2" s="570"/>
      <c r="W2" s="572"/>
      <c r="X2" s="572"/>
      <c r="Y2" s="572"/>
      <c r="Z2" s="572"/>
      <c r="AA2" s="572"/>
      <c r="AB2" s="572"/>
      <c r="AC2" s="572"/>
      <c r="AD2" s="572"/>
      <c r="AE2" s="572"/>
      <c r="AF2" s="572"/>
      <c r="AG2" s="572"/>
      <c r="AH2" s="572"/>
      <c r="AI2" s="572"/>
      <c r="AJ2" s="572"/>
      <c r="AK2" s="572"/>
      <c r="AL2" s="572"/>
      <c r="AM2" s="572"/>
      <c r="AN2" s="572"/>
      <c r="AO2" s="572"/>
      <c r="AP2" s="572"/>
      <c r="AQ2" s="572"/>
      <c r="AR2" s="572"/>
      <c r="AS2" s="572"/>
      <c r="AT2" s="572"/>
      <c r="AU2" s="572"/>
      <c r="AV2" s="572"/>
      <c r="AW2" s="572"/>
      <c r="AX2" s="572"/>
      <c r="AY2" s="572"/>
      <c r="AZ2" s="572"/>
      <c r="BA2" s="572"/>
      <c r="BB2" s="572"/>
      <c r="BC2" s="572"/>
      <c r="BD2" s="572"/>
      <c r="BE2" s="572"/>
      <c r="BF2" s="572"/>
      <c r="BG2" s="572"/>
      <c r="BH2" s="572"/>
      <c r="BI2" s="572"/>
      <c r="BJ2" s="572"/>
      <c r="BK2" s="572"/>
      <c r="BL2" s="572"/>
      <c r="BM2" s="572"/>
      <c r="BN2" s="572"/>
      <c r="BO2" s="572"/>
      <c r="BP2" s="572"/>
      <c r="BQ2" s="572"/>
      <c r="BR2" s="572"/>
      <c r="BS2" s="572"/>
      <c r="BT2" s="572"/>
      <c r="BU2" s="572"/>
      <c r="BV2" s="572"/>
      <c r="BW2" s="572"/>
      <c r="BX2" s="572"/>
      <c r="BY2" s="572"/>
      <c r="BZ2" s="572"/>
      <c r="CA2" s="572"/>
      <c r="CB2" s="572"/>
      <c r="CC2" s="572"/>
      <c r="CD2" s="572"/>
      <c r="CE2" s="603"/>
      <c r="CF2" s="572"/>
      <c r="CG2" s="572"/>
      <c r="CH2" s="572"/>
      <c r="CI2" s="572"/>
      <c r="CJ2" s="572"/>
      <c r="CK2" s="572"/>
      <c r="CL2" s="572"/>
      <c r="CM2" s="572"/>
      <c r="CN2" s="572"/>
      <c r="CO2" s="572"/>
      <c r="CP2" s="572"/>
      <c r="CQ2" s="572"/>
      <c r="CR2" s="572"/>
      <c r="CS2" s="572"/>
      <c r="CT2" s="572"/>
      <c r="CU2" s="572"/>
      <c r="CV2" s="572"/>
      <c r="CW2" s="572"/>
      <c r="CX2" s="572"/>
      <c r="CY2" s="572"/>
      <c r="CZ2" s="572"/>
      <c r="DA2" s="572"/>
      <c r="DB2" s="572"/>
      <c r="DC2" s="572"/>
      <c r="DD2" s="572"/>
      <c r="DE2" s="572"/>
      <c r="DF2" s="572"/>
      <c r="DG2" s="572"/>
      <c r="DH2" s="572"/>
      <c r="DI2" s="572"/>
      <c r="DJ2" s="572"/>
      <c r="DK2" s="572"/>
      <c r="DL2" s="572"/>
      <c r="DM2" s="572"/>
      <c r="DN2" s="572"/>
      <c r="DO2" s="572"/>
      <c r="DP2" s="572"/>
      <c r="DQ2" s="572"/>
      <c r="DR2" s="572"/>
      <c r="DS2" s="572"/>
      <c r="DT2" s="572"/>
      <c r="DU2" s="572"/>
      <c r="DV2" s="572"/>
      <c r="DW2" s="572"/>
      <c r="DX2" s="572"/>
      <c r="DY2" s="572"/>
      <c r="DZ2" s="572"/>
      <c r="EA2" s="572"/>
      <c r="EB2" s="572"/>
      <c r="EC2" s="572"/>
      <c r="ED2" s="572"/>
      <c r="EE2" s="572"/>
      <c r="EF2" s="572"/>
      <c r="EG2" s="572"/>
      <c r="EH2" s="572"/>
      <c r="EI2" s="572"/>
      <c r="EJ2" s="572"/>
      <c r="EK2" s="572"/>
      <c r="EL2" s="572"/>
      <c r="EM2" s="572"/>
      <c r="EN2" s="603"/>
      <c r="EO2" s="603"/>
    </row>
    <row r="3" spans="1:1116" s="32" customFormat="1" ht="16.5" customHeight="1">
      <c r="A3" s="179" t="s">
        <v>0</v>
      </c>
      <c r="B3" s="163" t="s">
        <v>174</v>
      </c>
      <c r="C3" s="204"/>
      <c r="D3" s="418"/>
      <c r="E3" s="199"/>
      <c r="F3" s="428"/>
      <c r="G3" s="181"/>
      <c r="H3" s="182"/>
      <c r="I3" s="381"/>
      <c r="J3" s="182"/>
      <c r="K3" s="182"/>
      <c r="L3" s="182"/>
      <c r="M3" s="447"/>
      <c r="N3" s="182"/>
      <c r="O3" s="447"/>
      <c r="P3" s="183"/>
      <c r="Q3" s="604"/>
      <c r="R3" s="605"/>
      <c r="S3" s="605"/>
      <c r="T3" s="455"/>
      <c r="U3" s="455"/>
      <c r="V3" s="455"/>
      <c r="W3" s="456"/>
      <c r="X3" s="456"/>
      <c r="Y3" s="456"/>
      <c r="Z3" s="456"/>
      <c r="AA3" s="456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56"/>
      <c r="AQ3" s="456"/>
      <c r="AR3" s="456"/>
      <c r="AS3" s="456"/>
      <c r="AT3" s="456"/>
      <c r="AU3" s="456"/>
      <c r="AV3" s="456"/>
      <c r="AW3" s="456"/>
      <c r="AX3" s="456"/>
      <c r="AY3" s="456"/>
      <c r="AZ3" s="456"/>
      <c r="BA3" s="456"/>
      <c r="BB3" s="456"/>
      <c r="BC3" s="456"/>
      <c r="BD3" s="456"/>
      <c r="BE3" s="456"/>
      <c r="BF3" s="456"/>
      <c r="BG3" s="456"/>
      <c r="BH3" s="456"/>
      <c r="BI3" s="456"/>
      <c r="BJ3" s="456"/>
      <c r="BK3" s="456"/>
      <c r="BL3" s="456"/>
      <c r="BM3" s="456"/>
      <c r="BN3" s="456"/>
      <c r="BO3" s="456"/>
      <c r="BP3" s="456"/>
      <c r="BQ3" s="456"/>
      <c r="BR3" s="456"/>
      <c r="BS3" s="456"/>
      <c r="BT3" s="456"/>
      <c r="BU3" s="456"/>
      <c r="BV3" s="456"/>
      <c r="BW3" s="456"/>
      <c r="BX3" s="456"/>
      <c r="BY3" s="456"/>
      <c r="BZ3" s="456"/>
      <c r="CA3" s="456"/>
      <c r="CB3" s="456"/>
      <c r="CC3" s="456"/>
      <c r="CD3" s="456"/>
      <c r="CE3" s="605"/>
      <c r="CF3" s="456"/>
      <c r="CG3" s="456"/>
      <c r="CH3" s="456"/>
      <c r="CI3" s="456"/>
      <c r="CJ3" s="456"/>
      <c r="CK3" s="456"/>
      <c r="CL3" s="456"/>
      <c r="CM3" s="456"/>
      <c r="CN3" s="456"/>
      <c r="CO3" s="456"/>
      <c r="CP3" s="456"/>
      <c r="CQ3" s="456"/>
      <c r="CR3" s="456"/>
      <c r="CS3" s="456"/>
      <c r="CT3" s="456"/>
      <c r="CU3" s="456"/>
      <c r="CV3" s="456"/>
      <c r="CW3" s="456"/>
      <c r="CX3" s="456"/>
      <c r="CY3" s="456"/>
      <c r="CZ3" s="456"/>
      <c r="DA3" s="456"/>
      <c r="DB3" s="456"/>
      <c r="DC3" s="456"/>
      <c r="DD3" s="456"/>
      <c r="DE3" s="456"/>
      <c r="DF3" s="456"/>
      <c r="DG3" s="456"/>
      <c r="DH3" s="456"/>
      <c r="DI3" s="456"/>
      <c r="DJ3" s="456"/>
      <c r="DK3" s="456"/>
      <c r="DL3" s="456"/>
      <c r="DM3" s="456"/>
      <c r="DN3" s="456"/>
      <c r="DO3" s="456"/>
      <c r="DP3" s="456"/>
      <c r="DQ3" s="456"/>
      <c r="DR3" s="456"/>
      <c r="DS3" s="456"/>
      <c r="DT3" s="456"/>
      <c r="DU3" s="456"/>
      <c r="DV3" s="456"/>
      <c r="DW3" s="456"/>
      <c r="DX3" s="456"/>
      <c r="DY3" s="456"/>
      <c r="DZ3" s="456"/>
      <c r="EA3" s="456"/>
      <c r="EB3" s="456"/>
      <c r="EC3" s="456"/>
      <c r="ED3" s="456"/>
      <c r="EE3" s="456"/>
      <c r="EF3" s="456"/>
      <c r="EG3" s="456"/>
      <c r="EH3" s="456"/>
      <c r="EI3" s="456"/>
      <c r="EJ3" s="456"/>
      <c r="EK3" s="456"/>
      <c r="EL3" s="456"/>
      <c r="EM3" s="456"/>
      <c r="EN3" s="605"/>
      <c r="EO3" s="605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  <c r="JF3" s="47"/>
      <c r="JG3" s="47"/>
      <c r="JH3" s="47"/>
      <c r="JI3" s="47"/>
      <c r="JJ3" s="47"/>
      <c r="JK3" s="47"/>
      <c r="JL3" s="47"/>
      <c r="JM3" s="47"/>
      <c r="JN3" s="47"/>
      <c r="JO3" s="47"/>
      <c r="JP3" s="47"/>
      <c r="JQ3" s="47"/>
      <c r="JR3" s="47"/>
      <c r="JS3" s="47"/>
      <c r="JT3" s="47"/>
      <c r="JU3" s="47"/>
      <c r="JV3" s="47"/>
      <c r="JW3" s="47"/>
      <c r="JX3" s="47"/>
      <c r="JY3" s="47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47"/>
      <c r="LN3" s="47"/>
      <c r="LO3" s="47"/>
      <c r="LP3" s="47"/>
      <c r="LQ3" s="47"/>
      <c r="LR3" s="47"/>
      <c r="LS3" s="47"/>
      <c r="LT3" s="47"/>
      <c r="LU3" s="47"/>
      <c r="LV3" s="47"/>
      <c r="LW3" s="47"/>
      <c r="LX3" s="47"/>
      <c r="LY3" s="47"/>
      <c r="LZ3" s="47"/>
      <c r="MA3" s="47"/>
      <c r="MB3" s="47"/>
      <c r="MC3" s="47"/>
      <c r="MD3" s="47"/>
      <c r="ME3" s="47"/>
      <c r="MF3" s="47"/>
      <c r="MG3" s="47"/>
      <c r="MH3" s="47"/>
      <c r="MI3" s="47"/>
      <c r="MJ3" s="47"/>
      <c r="MK3" s="47"/>
      <c r="ML3" s="47"/>
      <c r="MM3" s="47"/>
      <c r="MN3" s="47"/>
      <c r="MO3" s="47"/>
      <c r="MP3" s="47"/>
      <c r="MQ3" s="47"/>
      <c r="MR3" s="47"/>
      <c r="MS3" s="47"/>
      <c r="MT3" s="47"/>
      <c r="MU3" s="47"/>
      <c r="MV3" s="47"/>
      <c r="MW3" s="47"/>
      <c r="MX3" s="47"/>
      <c r="MY3" s="47"/>
      <c r="MZ3" s="47"/>
      <c r="NA3" s="47"/>
      <c r="NB3" s="47"/>
      <c r="NC3" s="47"/>
      <c r="ND3" s="47"/>
      <c r="NE3" s="47"/>
      <c r="NF3" s="47"/>
      <c r="NG3" s="47"/>
      <c r="NH3" s="47"/>
      <c r="NI3" s="47"/>
      <c r="NJ3" s="47"/>
      <c r="NK3" s="47"/>
      <c r="NL3" s="47"/>
      <c r="NM3" s="47"/>
      <c r="NN3" s="47"/>
      <c r="NO3" s="47"/>
      <c r="NP3" s="47"/>
      <c r="NQ3" s="47"/>
      <c r="NR3" s="47"/>
      <c r="NS3" s="47"/>
      <c r="NT3" s="47"/>
      <c r="NU3" s="47"/>
      <c r="NV3" s="47"/>
      <c r="NW3" s="47"/>
      <c r="NX3" s="47"/>
      <c r="NY3" s="47"/>
      <c r="NZ3" s="47"/>
      <c r="OA3" s="47"/>
      <c r="OB3" s="47"/>
      <c r="OC3" s="47"/>
      <c r="OD3" s="47"/>
      <c r="OE3" s="47"/>
      <c r="OF3" s="47"/>
      <c r="OG3" s="47"/>
      <c r="OH3" s="47"/>
      <c r="OI3" s="47"/>
      <c r="OJ3" s="47"/>
      <c r="OK3" s="47"/>
      <c r="OL3" s="47"/>
      <c r="OM3" s="47"/>
      <c r="ON3" s="47"/>
      <c r="OO3" s="47"/>
      <c r="OP3" s="47"/>
      <c r="OQ3" s="47"/>
      <c r="OR3" s="47"/>
      <c r="OS3" s="47"/>
      <c r="OT3" s="47"/>
      <c r="OU3" s="47"/>
      <c r="OV3" s="47"/>
      <c r="OW3" s="47"/>
      <c r="OX3" s="47"/>
      <c r="OY3" s="47"/>
      <c r="OZ3" s="47"/>
      <c r="PA3" s="47"/>
      <c r="PB3" s="47"/>
      <c r="PC3" s="47"/>
      <c r="PD3" s="47"/>
      <c r="PE3" s="47"/>
      <c r="PF3" s="47"/>
      <c r="PG3" s="47"/>
      <c r="PH3" s="47"/>
      <c r="PI3" s="47"/>
      <c r="PJ3" s="47"/>
      <c r="PK3" s="47"/>
      <c r="PL3" s="47"/>
      <c r="PM3" s="47"/>
      <c r="PN3" s="47"/>
      <c r="PO3" s="47"/>
      <c r="PP3" s="47"/>
      <c r="PQ3" s="47"/>
      <c r="PR3" s="47"/>
      <c r="PS3" s="47"/>
      <c r="PT3" s="47"/>
      <c r="PU3" s="47"/>
      <c r="PV3" s="47"/>
      <c r="PW3" s="47"/>
      <c r="PX3" s="47"/>
      <c r="PY3" s="47"/>
      <c r="PZ3" s="47"/>
      <c r="QA3" s="47"/>
      <c r="QB3" s="47"/>
      <c r="QC3" s="47"/>
      <c r="QD3" s="47"/>
      <c r="QE3" s="47"/>
      <c r="QF3" s="47"/>
      <c r="QG3" s="47"/>
      <c r="QH3" s="47"/>
      <c r="QI3" s="47"/>
      <c r="QJ3" s="47"/>
      <c r="QK3" s="47"/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7"/>
      <c r="RR3" s="47"/>
      <c r="RS3" s="47"/>
      <c r="RT3" s="47"/>
      <c r="RU3" s="47"/>
      <c r="RV3" s="47"/>
      <c r="RW3" s="47"/>
      <c r="RX3" s="47"/>
      <c r="RY3" s="47"/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  <c r="TK3" s="47"/>
      <c r="TL3" s="47"/>
      <c r="TM3" s="47"/>
      <c r="TN3" s="47"/>
      <c r="TO3" s="47"/>
      <c r="TP3" s="47"/>
      <c r="TQ3" s="47"/>
      <c r="TR3" s="47"/>
      <c r="TS3" s="47"/>
      <c r="TT3" s="47"/>
      <c r="TU3" s="47"/>
      <c r="TV3" s="47"/>
      <c r="TW3" s="47"/>
      <c r="TX3" s="47"/>
      <c r="TY3" s="47"/>
      <c r="TZ3" s="47"/>
      <c r="UA3" s="47"/>
      <c r="UB3" s="47"/>
      <c r="UC3" s="47"/>
      <c r="UD3" s="47"/>
      <c r="UE3" s="47"/>
      <c r="UF3" s="47"/>
      <c r="UG3" s="47"/>
      <c r="UH3" s="47"/>
      <c r="UI3" s="47"/>
      <c r="UJ3" s="47"/>
      <c r="UK3" s="47"/>
      <c r="UL3" s="47"/>
      <c r="UM3" s="47"/>
      <c r="UN3" s="47"/>
      <c r="UO3" s="47"/>
      <c r="UP3" s="47"/>
      <c r="UQ3" s="47"/>
      <c r="UR3" s="47"/>
      <c r="US3" s="47"/>
      <c r="UT3" s="47"/>
      <c r="UU3" s="47"/>
      <c r="UV3" s="47"/>
      <c r="UW3" s="47"/>
      <c r="UX3" s="47"/>
      <c r="UY3" s="47"/>
      <c r="UZ3" s="47"/>
      <c r="VA3" s="47"/>
      <c r="VB3" s="47"/>
      <c r="VC3" s="47"/>
      <c r="VD3" s="47"/>
      <c r="VE3" s="47"/>
      <c r="VF3" s="47"/>
      <c r="VG3" s="47"/>
      <c r="VH3" s="47"/>
      <c r="VI3" s="47"/>
      <c r="VJ3" s="47"/>
      <c r="VK3" s="47"/>
      <c r="VL3" s="47"/>
      <c r="VM3" s="47"/>
      <c r="VN3" s="47"/>
      <c r="VO3" s="47"/>
      <c r="VP3" s="47"/>
      <c r="VQ3" s="47"/>
      <c r="VR3" s="47"/>
      <c r="VS3" s="47"/>
      <c r="VT3" s="47"/>
      <c r="VU3" s="47"/>
      <c r="VV3" s="47"/>
      <c r="VW3" s="47"/>
      <c r="VX3" s="47"/>
      <c r="VY3" s="47"/>
      <c r="VZ3" s="47"/>
      <c r="WA3" s="47"/>
      <c r="WB3" s="47"/>
      <c r="WC3" s="47"/>
      <c r="WD3" s="47"/>
      <c r="WE3" s="47"/>
      <c r="WF3" s="47"/>
      <c r="WG3" s="47"/>
      <c r="WH3" s="47"/>
      <c r="WI3" s="47"/>
      <c r="WJ3" s="47"/>
      <c r="WK3" s="47"/>
      <c r="WL3" s="47"/>
      <c r="WM3" s="47"/>
      <c r="WN3" s="47"/>
      <c r="WO3" s="47"/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47"/>
      <c r="XV3" s="47"/>
      <c r="XW3" s="47"/>
      <c r="XX3" s="47"/>
      <c r="XY3" s="47"/>
      <c r="XZ3" s="47"/>
      <c r="YA3" s="47"/>
      <c r="YB3" s="47"/>
      <c r="YC3" s="47"/>
      <c r="YD3" s="47"/>
      <c r="YE3" s="47"/>
      <c r="YF3" s="47"/>
      <c r="YG3" s="47"/>
      <c r="YH3" s="47"/>
      <c r="YI3" s="47"/>
      <c r="YJ3" s="47"/>
      <c r="YK3" s="47"/>
      <c r="YL3" s="47"/>
      <c r="YM3" s="47"/>
      <c r="YN3" s="47"/>
      <c r="YO3" s="47"/>
      <c r="YP3" s="47"/>
      <c r="YQ3" s="47"/>
      <c r="YR3" s="47"/>
      <c r="YS3" s="47"/>
      <c r="YT3" s="47"/>
      <c r="YU3" s="47"/>
      <c r="YV3" s="47"/>
      <c r="YW3" s="47"/>
      <c r="YX3" s="47"/>
      <c r="YY3" s="47"/>
      <c r="YZ3" s="47"/>
      <c r="ZA3" s="47"/>
      <c r="ZB3" s="47"/>
      <c r="ZC3" s="47"/>
      <c r="ZD3" s="47"/>
      <c r="ZE3" s="47"/>
      <c r="ZF3" s="47"/>
      <c r="ZG3" s="47"/>
      <c r="ZH3" s="47"/>
      <c r="ZI3" s="47"/>
      <c r="ZJ3" s="47"/>
      <c r="ZK3" s="47"/>
      <c r="ZL3" s="47"/>
      <c r="ZM3" s="47"/>
      <c r="ZN3" s="47"/>
      <c r="ZO3" s="47"/>
      <c r="ZP3" s="47"/>
      <c r="ZQ3" s="47"/>
      <c r="ZR3" s="47"/>
      <c r="ZS3" s="47"/>
      <c r="ZT3" s="47"/>
      <c r="ZU3" s="47"/>
      <c r="ZV3" s="47"/>
      <c r="ZW3" s="47"/>
      <c r="ZX3" s="47"/>
      <c r="ZY3" s="47"/>
      <c r="ZZ3" s="47"/>
      <c r="AAA3" s="47"/>
      <c r="AAB3" s="47"/>
      <c r="AAC3" s="47"/>
      <c r="AAD3" s="47"/>
      <c r="AAE3" s="47"/>
      <c r="AAF3" s="47"/>
      <c r="AAG3" s="47"/>
      <c r="AAH3" s="47"/>
      <c r="AAI3" s="47"/>
      <c r="AAJ3" s="47"/>
      <c r="AAK3" s="47"/>
      <c r="AAL3" s="47"/>
      <c r="AAM3" s="47"/>
      <c r="AAN3" s="47"/>
      <c r="AAO3" s="47"/>
      <c r="AAP3" s="47"/>
      <c r="AAQ3" s="47"/>
      <c r="AAR3" s="47"/>
      <c r="AAS3" s="47"/>
      <c r="AAT3" s="47"/>
      <c r="AAU3" s="47"/>
      <c r="AAV3" s="47"/>
      <c r="AAW3" s="47"/>
      <c r="AAX3" s="47"/>
      <c r="AAY3" s="47"/>
      <c r="AAZ3" s="47"/>
      <c r="ABA3" s="47"/>
      <c r="ABB3" s="47"/>
      <c r="ABC3" s="47"/>
      <c r="ABD3" s="47"/>
      <c r="ABE3" s="47"/>
      <c r="ABF3" s="47"/>
      <c r="ABG3" s="47"/>
      <c r="ABH3" s="47"/>
      <c r="ABI3" s="47"/>
      <c r="ABJ3" s="47"/>
      <c r="ABK3" s="47"/>
      <c r="ABL3" s="47"/>
      <c r="ABM3" s="47"/>
      <c r="ABN3" s="47"/>
      <c r="ABO3" s="47"/>
      <c r="ABP3" s="47"/>
      <c r="ABQ3" s="47"/>
      <c r="ABR3" s="47"/>
      <c r="ABS3" s="47"/>
      <c r="ABT3" s="47"/>
      <c r="ABU3" s="47"/>
      <c r="ABV3" s="47"/>
      <c r="ABW3" s="47"/>
      <c r="ABX3" s="47"/>
      <c r="ABY3" s="47"/>
      <c r="ABZ3" s="47"/>
      <c r="ACA3" s="47"/>
      <c r="ACB3" s="47"/>
      <c r="ACC3" s="47"/>
      <c r="ACD3" s="47"/>
      <c r="ACE3" s="47"/>
      <c r="ACF3" s="47"/>
      <c r="ACG3" s="47"/>
      <c r="ACH3" s="47"/>
      <c r="ACI3" s="47"/>
      <c r="ACJ3" s="47"/>
      <c r="ACK3" s="47"/>
      <c r="ACL3" s="47"/>
      <c r="ACM3" s="47"/>
      <c r="ACN3" s="47"/>
      <c r="ACO3" s="47"/>
      <c r="ACP3" s="47"/>
      <c r="ACQ3" s="47"/>
      <c r="ACR3" s="47"/>
      <c r="ACS3" s="47"/>
      <c r="ACT3" s="47"/>
      <c r="ACU3" s="47"/>
      <c r="ACV3" s="47"/>
      <c r="ACW3" s="47"/>
      <c r="ACX3" s="47"/>
      <c r="ACY3" s="47"/>
      <c r="ACZ3" s="47"/>
      <c r="ADA3" s="47"/>
      <c r="ADB3" s="47"/>
      <c r="ADC3" s="47"/>
      <c r="ADD3" s="47"/>
      <c r="ADE3" s="47"/>
      <c r="ADF3" s="47"/>
      <c r="ADG3" s="47"/>
      <c r="ADH3" s="47"/>
      <c r="ADI3" s="47"/>
      <c r="ADJ3" s="47"/>
      <c r="ADK3" s="47"/>
      <c r="ADL3" s="47"/>
      <c r="ADM3" s="47"/>
      <c r="ADN3" s="47"/>
      <c r="ADO3" s="47"/>
      <c r="ADP3" s="47"/>
      <c r="ADQ3" s="47"/>
      <c r="ADR3" s="47"/>
      <c r="ADS3" s="47"/>
      <c r="ADT3" s="47"/>
      <c r="ADU3" s="47"/>
      <c r="ADV3" s="47"/>
      <c r="ADW3" s="47"/>
      <c r="ADX3" s="47"/>
      <c r="ADY3" s="47"/>
      <c r="ADZ3" s="47"/>
      <c r="AEA3" s="47"/>
      <c r="AEB3" s="47"/>
      <c r="AEC3" s="47"/>
      <c r="AED3" s="47"/>
      <c r="AEE3" s="47"/>
      <c r="AEF3" s="47"/>
      <c r="AEG3" s="47"/>
      <c r="AEH3" s="47"/>
      <c r="AEI3" s="47"/>
      <c r="AEJ3" s="47"/>
      <c r="AEK3" s="47"/>
      <c r="AEL3" s="47"/>
      <c r="AEM3" s="47"/>
      <c r="AEN3" s="47"/>
      <c r="AEO3" s="47"/>
      <c r="AEP3" s="47"/>
      <c r="AEQ3" s="47"/>
      <c r="AER3" s="47"/>
      <c r="AES3" s="47"/>
      <c r="AET3" s="47"/>
      <c r="AEU3" s="47"/>
      <c r="AEV3" s="47"/>
      <c r="AEW3" s="47"/>
      <c r="AEX3" s="47"/>
      <c r="AEY3" s="47"/>
      <c r="AEZ3" s="47"/>
      <c r="AFA3" s="47"/>
      <c r="AFB3" s="47"/>
      <c r="AFC3" s="47"/>
      <c r="AFD3" s="47"/>
      <c r="AFE3" s="47"/>
      <c r="AFF3" s="47"/>
      <c r="AFG3" s="47"/>
      <c r="AFH3" s="47"/>
      <c r="AFI3" s="47"/>
      <c r="AFJ3" s="47"/>
      <c r="AFK3" s="47"/>
      <c r="AFL3" s="47"/>
      <c r="AFM3" s="47"/>
      <c r="AFN3" s="47"/>
      <c r="AFO3" s="47"/>
      <c r="AFP3" s="47"/>
      <c r="AFQ3" s="47"/>
      <c r="AFR3" s="47"/>
      <c r="AFS3" s="47"/>
      <c r="AFT3" s="47"/>
      <c r="AFU3" s="47"/>
      <c r="AFV3" s="47"/>
      <c r="AFW3" s="47"/>
      <c r="AFX3" s="47"/>
      <c r="AFY3" s="47"/>
      <c r="AFZ3" s="47"/>
      <c r="AGA3" s="47"/>
      <c r="AGB3" s="47"/>
      <c r="AGC3" s="47"/>
      <c r="AGD3" s="47"/>
      <c r="AGE3" s="47"/>
      <c r="AGF3" s="47"/>
      <c r="AGG3" s="47"/>
      <c r="AGH3" s="47"/>
      <c r="AGI3" s="47"/>
      <c r="AGJ3" s="47"/>
      <c r="AGK3" s="47"/>
      <c r="AGL3" s="47"/>
      <c r="AGM3" s="47"/>
      <c r="AGN3" s="47"/>
      <c r="AGO3" s="47"/>
      <c r="AGP3" s="47"/>
      <c r="AGQ3" s="47"/>
      <c r="AGR3" s="47"/>
      <c r="AGS3" s="47"/>
      <c r="AGT3" s="47"/>
      <c r="AGU3" s="47"/>
      <c r="AGV3" s="47"/>
      <c r="AGW3" s="47"/>
      <c r="AGX3" s="47"/>
      <c r="AGY3" s="47"/>
      <c r="AGZ3" s="47"/>
      <c r="AHA3" s="47"/>
      <c r="AHB3" s="47"/>
      <c r="AHC3" s="47"/>
      <c r="AHD3" s="47"/>
      <c r="AHE3" s="47"/>
      <c r="AHF3" s="47"/>
      <c r="AHG3" s="47"/>
      <c r="AHH3" s="47"/>
      <c r="AHI3" s="47"/>
      <c r="AHJ3" s="47"/>
      <c r="AHK3" s="47"/>
      <c r="AHL3" s="47"/>
      <c r="AHM3" s="47"/>
      <c r="AHN3" s="47"/>
      <c r="AHO3" s="47"/>
      <c r="AHP3" s="47"/>
      <c r="AHQ3" s="47"/>
      <c r="AHR3" s="47"/>
      <c r="AHS3" s="47"/>
      <c r="AHT3" s="47"/>
      <c r="AHU3" s="47"/>
      <c r="AHV3" s="47"/>
      <c r="AHW3" s="47"/>
      <c r="AHX3" s="47"/>
      <c r="AHY3" s="47"/>
      <c r="AHZ3" s="47"/>
      <c r="AIA3" s="47"/>
      <c r="AIB3" s="47"/>
      <c r="AIC3" s="47"/>
      <c r="AID3" s="47"/>
      <c r="AIE3" s="47"/>
      <c r="AIF3" s="47"/>
      <c r="AIG3" s="47"/>
      <c r="AIH3" s="47"/>
      <c r="AII3" s="47"/>
      <c r="AIJ3" s="47"/>
      <c r="AIK3" s="47"/>
      <c r="AIL3" s="47"/>
      <c r="AIM3" s="47"/>
      <c r="AIN3" s="47"/>
      <c r="AIO3" s="47"/>
      <c r="AIP3" s="47"/>
      <c r="AIQ3" s="47"/>
      <c r="AIR3" s="47"/>
      <c r="AIS3" s="47"/>
      <c r="AIT3" s="47"/>
      <c r="AIU3" s="47"/>
      <c r="AIV3" s="47"/>
      <c r="AIW3" s="47"/>
      <c r="AIX3" s="47"/>
      <c r="AIY3" s="47"/>
      <c r="AIZ3" s="47"/>
      <c r="AJA3" s="47"/>
      <c r="AJB3" s="47"/>
      <c r="AJC3" s="47"/>
      <c r="AJD3" s="47"/>
      <c r="AJE3" s="47"/>
      <c r="AJF3" s="47"/>
      <c r="AJG3" s="47"/>
      <c r="AJH3" s="47"/>
      <c r="AJI3" s="47"/>
      <c r="AJJ3" s="47"/>
      <c r="AJK3" s="47"/>
      <c r="AJL3" s="47"/>
      <c r="AJM3" s="47"/>
      <c r="AJN3" s="47"/>
      <c r="AJO3" s="47"/>
      <c r="AJP3" s="47"/>
      <c r="AJQ3" s="47"/>
      <c r="AJR3" s="47"/>
      <c r="AJS3" s="47"/>
      <c r="AJT3" s="47"/>
      <c r="AJU3" s="47"/>
      <c r="AJV3" s="47"/>
      <c r="AJW3" s="47"/>
      <c r="AJX3" s="47"/>
      <c r="AJY3" s="47"/>
      <c r="AJZ3" s="47"/>
      <c r="AKA3" s="47"/>
      <c r="AKB3" s="47"/>
      <c r="AKC3" s="47"/>
      <c r="AKD3" s="47"/>
      <c r="AKE3" s="47"/>
      <c r="AKF3" s="47"/>
      <c r="AKG3" s="47"/>
      <c r="AKH3" s="47"/>
      <c r="AKI3" s="47"/>
      <c r="AKJ3" s="47"/>
      <c r="AKK3" s="47"/>
      <c r="AKL3" s="47"/>
      <c r="AKM3" s="47"/>
      <c r="AKN3" s="47"/>
      <c r="AKO3" s="47"/>
      <c r="AKP3" s="47"/>
      <c r="AKQ3" s="47"/>
      <c r="AKR3" s="47"/>
      <c r="AKS3" s="47"/>
      <c r="AKT3" s="47"/>
      <c r="AKU3" s="47"/>
      <c r="AKV3" s="47"/>
      <c r="AKW3" s="47"/>
      <c r="AKX3" s="47"/>
      <c r="AKY3" s="47"/>
      <c r="AKZ3" s="47"/>
      <c r="ALA3" s="47"/>
      <c r="ALB3" s="47"/>
      <c r="ALC3" s="47"/>
      <c r="ALD3" s="47"/>
      <c r="ALE3" s="47"/>
      <c r="ALF3" s="47"/>
      <c r="ALG3" s="47"/>
      <c r="ALH3" s="47"/>
      <c r="ALI3" s="47"/>
      <c r="ALJ3" s="47"/>
      <c r="ALK3" s="47"/>
      <c r="ALL3" s="47"/>
      <c r="ALM3" s="47"/>
      <c r="ALN3" s="47"/>
      <c r="ALO3" s="47"/>
      <c r="ALP3" s="47"/>
      <c r="ALQ3" s="47"/>
      <c r="ALR3" s="47"/>
      <c r="ALS3" s="47"/>
      <c r="ALT3" s="47"/>
      <c r="ALU3" s="47"/>
      <c r="ALV3" s="47"/>
      <c r="ALW3" s="47"/>
      <c r="ALX3" s="47"/>
      <c r="ALY3" s="47"/>
      <c r="ALZ3" s="47"/>
      <c r="AMA3" s="47"/>
      <c r="AMB3" s="47"/>
      <c r="AMC3" s="47"/>
      <c r="AMD3" s="47"/>
      <c r="AME3" s="47"/>
      <c r="AMF3" s="47"/>
      <c r="AMG3" s="47"/>
      <c r="AMH3" s="47"/>
      <c r="AMI3" s="47"/>
      <c r="AMJ3" s="47"/>
      <c r="AMK3" s="47"/>
      <c r="AML3" s="47"/>
      <c r="AMM3" s="47"/>
      <c r="AMN3" s="47"/>
      <c r="AMO3" s="47"/>
      <c r="AMP3" s="47"/>
      <c r="AMQ3" s="47"/>
      <c r="AMR3" s="47"/>
      <c r="AMS3" s="47"/>
      <c r="AMT3" s="47"/>
      <c r="AMU3" s="47"/>
      <c r="AMV3" s="47"/>
      <c r="AMW3" s="47"/>
      <c r="AMX3" s="47"/>
      <c r="AMY3" s="47"/>
      <c r="AMZ3" s="47"/>
      <c r="ANA3" s="47"/>
      <c r="ANB3" s="47"/>
      <c r="ANC3" s="47"/>
      <c r="AND3" s="47"/>
      <c r="ANE3" s="47"/>
      <c r="ANF3" s="47"/>
      <c r="ANG3" s="47"/>
      <c r="ANH3" s="47"/>
      <c r="ANI3" s="47"/>
      <c r="ANJ3" s="47"/>
      <c r="ANK3" s="47"/>
      <c r="ANL3" s="47"/>
      <c r="ANM3" s="47"/>
      <c r="ANN3" s="47"/>
      <c r="ANO3" s="47"/>
      <c r="ANP3" s="47"/>
      <c r="ANQ3" s="47"/>
      <c r="ANR3" s="47"/>
      <c r="ANS3" s="47"/>
      <c r="ANT3" s="47"/>
      <c r="ANU3" s="47"/>
      <c r="ANV3" s="47"/>
      <c r="ANW3" s="47"/>
      <c r="ANX3" s="47"/>
      <c r="ANY3" s="47"/>
      <c r="ANZ3" s="47"/>
      <c r="AOA3" s="47"/>
      <c r="AOB3" s="47"/>
      <c r="AOC3" s="47"/>
      <c r="AOD3" s="47"/>
      <c r="AOE3" s="47"/>
      <c r="AOF3" s="47"/>
      <c r="AOG3" s="47"/>
      <c r="AOH3" s="47"/>
      <c r="AOI3" s="47"/>
      <c r="AOJ3" s="47"/>
      <c r="AOK3" s="47"/>
      <c r="AOL3" s="47"/>
      <c r="AOM3" s="47"/>
      <c r="AON3" s="47"/>
      <c r="AOO3" s="47"/>
      <c r="AOP3" s="47"/>
      <c r="AOQ3" s="47"/>
      <c r="AOR3" s="47"/>
      <c r="AOS3" s="47"/>
      <c r="AOT3" s="47"/>
      <c r="AOU3" s="47"/>
      <c r="AOV3" s="47"/>
      <c r="AOW3" s="47"/>
      <c r="AOX3" s="47"/>
      <c r="AOY3" s="47"/>
      <c r="AOZ3" s="47"/>
      <c r="APA3" s="47"/>
      <c r="APB3" s="47"/>
      <c r="APC3" s="47"/>
      <c r="APD3" s="47"/>
      <c r="APE3" s="47"/>
      <c r="APF3" s="47"/>
      <c r="APG3" s="47"/>
      <c r="APH3" s="47"/>
      <c r="API3" s="47"/>
      <c r="APJ3" s="47"/>
      <c r="APK3" s="47"/>
      <c r="APL3" s="47"/>
      <c r="APM3" s="47"/>
      <c r="APN3" s="47"/>
      <c r="APO3" s="47"/>
      <c r="APP3" s="47"/>
      <c r="APQ3" s="47"/>
      <c r="APR3" s="47"/>
      <c r="APS3" s="47"/>
      <c r="APT3" s="47"/>
      <c r="APU3" s="47"/>
      <c r="APV3" s="47"/>
      <c r="APW3" s="47"/>
      <c r="APX3" s="47"/>
    </row>
    <row r="4" spans="1:1116" s="38" customFormat="1" ht="15" customHeight="1">
      <c r="A4" s="139">
        <v>2.1</v>
      </c>
      <c r="B4" s="159" t="s">
        <v>173</v>
      </c>
      <c r="C4" s="280"/>
      <c r="D4" s="419"/>
      <c r="E4" s="123"/>
      <c r="F4" s="341"/>
      <c r="G4" s="184"/>
      <c r="H4" s="377"/>
      <c r="I4" s="382"/>
      <c r="J4" s="377"/>
      <c r="K4" s="185"/>
      <c r="L4" s="185"/>
      <c r="M4" s="448"/>
      <c r="N4" s="185"/>
      <c r="O4" s="448"/>
      <c r="P4" s="185"/>
      <c r="Q4" s="606"/>
      <c r="R4" s="607"/>
      <c r="S4" s="607"/>
      <c r="T4" s="455"/>
      <c r="U4" s="455"/>
      <c r="V4" s="455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6"/>
      <c r="AV4" s="456"/>
      <c r="AW4" s="456"/>
      <c r="AX4" s="456"/>
      <c r="AY4" s="456"/>
      <c r="AZ4" s="456"/>
      <c r="BA4" s="456"/>
      <c r="BB4" s="456"/>
      <c r="BC4" s="456"/>
      <c r="BD4" s="456"/>
      <c r="BE4" s="456"/>
      <c r="BF4" s="456"/>
      <c r="BG4" s="456"/>
      <c r="BH4" s="456"/>
      <c r="BI4" s="456"/>
      <c r="BJ4" s="456"/>
      <c r="BK4" s="456"/>
      <c r="BL4" s="456"/>
      <c r="BM4" s="456"/>
      <c r="BN4" s="456"/>
      <c r="BO4" s="456"/>
      <c r="BP4" s="456"/>
      <c r="BQ4" s="456"/>
      <c r="BR4" s="456"/>
      <c r="BS4" s="456"/>
      <c r="BT4" s="456"/>
      <c r="BU4" s="456"/>
      <c r="BV4" s="456"/>
      <c r="BW4" s="456"/>
      <c r="BX4" s="456"/>
      <c r="BY4" s="456"/>
      <c r="BZ4" s="456"/>
      <c r="CA4" s="456"/>
      <c r="CB4" s="456"/>
      <c r="CC4" s="456"/>
      <c r="CD4" s="456"/>
      <c r="CE4" s="607"/>
      <c r="CF4" s="456"/>
      <c r="CG4" s="456"/>
      <c r="CH4" s="456"/>
      <c r="CI4" s="456"/>
      <c r="CJ4" s="456"/>
      <c r="CK4" s="456"/>
      <c r="CL4" s="456"/>
      <c r="CM4" s="456"/>
      <c r="CN4" s="456"/>
      <c r="CO4" s="456"/>
      <c r="CP4" s="456"/>
      <c r="CQ4" s="456"/>
      <c r="CR4" s="456"/>
      <c r="CS4" s="456"/>
      <c r="CT4" s="456"/>
      <c r="CU4" s="456"/>
      <c r="CV4" s="456"/>
      <c r="CW4" s="456"/>
      <c r="CX4" s="456"/>
      <c r="CY4" s="456"/>
      <c r="CZ4" s="456"/>
      <c r="DA4" s="456"/>
      <c r="DB4" s="456"/>
      <c r="DC4" s="456"/>
      <c r="DD4" s="456"/>
      <c r="DE4" s="456"/>
      <c r="DF4" s="456"/>
      <c r="DG4" s="456"/>
      <c r="DH4" s="456"/>
      <c r="DI4" s="456"/>
      <c r="DJ4" s="456"/>
      <c r="DK4" s="456"/>
      <c r="DL4" s="456"/>
      <c r="DM4" s="456"/>
      <c r="DN4" s="456"/>
      <c r="DO4" s="456"/>
      <c r="DP4" s="456"/>
      <c r="DQ4" s="456"/>
      <c r="DR4" s="456"/>
      <c r="DS4" s="456"/>
      <c r="DT4" s="456"/>
      <c r="DU4" s="456"/>
      <c r="DV4" s="456"/>
      <c r="DW4" s="456"/>
      <c r="DX4" s="456"/>
      <c r="DY4" s="456"/>
      <c r="DZ4" s="456"/>
      <c r="EA4" s="456"/>
      <c r="EB4" s="456"/>
      <c r="EC4" s="456"/>
      <c r="ED4" s="456"/>
      <c r="EE4" s="456"/>
      <c r="EF4" s="456"/>
      <c r="EG4" s="456"/>
      <c r="EH4" s="456"/>
      <c r="EI4" s="456"/>
      <c r="EJ4" s="456"/>
      <c r="EK4" s="456"/>
      <c r="EL4" s="456"/>
      <c r="EM4" s="456"/>
      <c r="EN4" s="607"/>
      <c r="EO4" s="607"/>
      <c r="EP4" s="454"/>
      <c r="EQ4" s="454"/>
      <c r="ER4" s="454"/>
      <c r="ES4" s="454"/>
      <c r="ET4" s="454"/>
      <c r="EU4" s="454"/>
      <c r="EV4" s="454"/>
      <c r="EW4" s="454"/>
      <c r="EX4" s="454"/>
      <c r="EY4" s="454"/>
      <c r="EZ4" s="454"/>
      <c r="FA4" s="454"/>
      <c r="FB4" s="454"/>
      <c r="FC4" s="454"/>
      <c r="FD4" s="454"/>
      <c r="FE4" s="454"/>
      <c r="FF4" s="454"/>
      <c r="FG4" s="454"/>
      <c r="FH4" s="454"/>
      <c r="FI4" s="454"/>
      <c r="FJ4" s="454"/>
      <c r="FK4" s="454"/>
      <c r="FL4" s="454"/>
      <c r="FM4" s="454"/>
      <c r="FN4" s="454"/>
      <c r="FO4" s="454"/>
      <c r="FP4" s="454"/>
      <c r="FQ4" s="454"/>
      <c r="FR4" s="454"/>
      <c r="FS4" s="454"/>
      <c r="FT4" s="454"/>
      <c r="FU4" s="454"/>
      <c r="FV4" s="454"/>
      <c r="FW4" s="454"/>
      <c r="FX4" s="454"/>
      <c r="FY4" s="454"/>
      <c r="FZ4" s="454"/>
      <c r="GA4" s="454"/>
      <c r="GB4" s="454"/>
      <c r="GC4" s="454"/>
      <c r="GD4" s="454"/>
      <c r="GE4" s="454"/>
      <c r="GF4" s="454"/>
      <c r="GG4" s="454"/>
      <c r="GH4" s="454"/>
      <c r="GI4" s="454"/>
      <c r="GJ4" s="454"/>
      <c r="GK4" s="454"/>
      <c r="GL4" s="454"/>
      <c r="GM4" s="454"/>
      <c r="GN4" s="454"/>
      <c r="GO4" s="454"/>
      <c r="GP4" s="454"/>
      <c r="GQ4" s="454"/>
      <c r="GR4" s="454"/>
      <c r="GS4" s="454"/>
      <c r="GT4" s="454"/>
      <c r="GU4" s="454"/>
      <c r="GV4" s="454"/>
      <c r="GW4" s="454"/>
      <c r="GX4" s="454"/>
      <c r="GY4" s="454"/>
      <c r="GZ4" s="454"/>
      <c r="HA4" s="454"/>
      <c r="HB4" s="454"/>
      <c r="HC4" s="454"/>
      <c r="HD4" s="454"/>
      <c r="HE4" s="454"/>
      <c r="HF4" s="454"/>
      <c r="HG4" s="454"/>
      <c r="HH4" s="454"/>
      <c r="HI4" s="454"/>
      <c r="HJ4" s="454"/>
      <c r="HK4" s="454"/>
      <c r="HL4" s="454"/>
      <c r="HM4" s="454"/>
      <c r="HN4" s="454"/>
      <c r="HO4" s="454"/>
      <c r="HP4" s="454"/>
      <c r="HQ4" s="454"/>
      <c r="HR4" s="454"/>
      <c r="HS4" s="454"/>
      <c r="HT4" s="454"/>
      <c r="HU4" s="454"/>
      <c r="HV4" s="454"/>
      <c r="HW4" s="454"/>
      <c r="HX4" s="454"/>
      <c r="HY4" s="454"/>
      <c r="HZ4" s="454"/>
      <c r="IA4" s="454"/>
      <c r="IB4" s="454"/>
      <c r="IC4" s="454"/>
      <c r="ID4" s="454"/>
      <c r="IE4" s="454"/>
      <c r="IF4" s="454"/>
      <c r="IG4" s="454"/>
      <c r="IH4" s="454"/>
      <c r="II4" s="454"/>
      <c r="IJ4" s="454"/>
      <c r="IK4" s="454"/>
      <c r="IL4" s="454"/>
      <c r="IM4" s="454"/>
      <c r="IN4" s="454"/>
      <c r="IO4" s="454"/>
      <c r="IP4" s="454"/>
      <c r="IQ4" s="454"/>
      <c r="IR4" s="454"/>
      <c r="IS4" s="454"/>
      <c r="IT4" s="454"/>
      <c r="IU4" s="454"/>
      <c r="IV4" s="454"/>
      <c r="IW4" s="454"/>
      <c r="IX4" s="454"/>
      <c r="IY4" s="454"/>
      <c r="IZ4" s="454"/>
      <c r="JA4" s="454"/>
      <c r="JB4" s="454"/>
      <c r="JC4" s="454"/>
      <c r="JD4" s="454"/>
      <c r="JE4" s="454"/>
      <c r="JF4" s="454"/>
      <c r="JG4" s="454"/>
      <c r="JH4" s="454"/>
      <c r="JI4" s="454"/>
      <c r="JJ4" s="454"/>
      <c r="JK4" s="454"/>
      <c r="JL4" s="454"/>
      <c r="JM4" s="454"/>
      <c r="JN4" s="454"/>
      <c r="JO4" s="454"/>
      <c r="JP4" s="454"/>
      <c r="JQ4" s="454"/>
      <c r="JR4" s="454"/>
      <c r="JS4" s="454"/>
      <c r="JT4" s="454"/>
      <c r="JU4" s="454"/>
      <c r="JV4" s="454"/>
      <c r="JW4" s="454"/>
      <c r="JX4" s="454"/>
      <c r="JY4" s="454"/>
      <c r="JZ4" s="454"/>
      <c r="KA4" s="454"/>
      <c r="KB4" s="454"/>
      <c r="KC4" s="454"/>
      <c r="KD4" s="454"/>
      <c r="KE4" s="454"/>
      <c r="KF4" s="454"/>
      <c r="KG4" s="454"/>
      <c r="KH4" s="454"/>
      <c r="KI4" s="454"/>
      <c r="KJ4" s="454"/>
      <c r="KK4" s="454"/>
      <c r="KL4" s="454"/>
      <c r="KM4" s="454"/>
      <c r="KN4" s="454"/>
      <c r="KO4" s="454"/>
      <c r="KP4" s="454"/>
      <c r="KQ4" s="454"/>
      <c r="KR4" s="454"/>
      <c r="KS4" s="454"/>
      <c r="KT4" s="454"/>
      <c r="KU4" s="454"/>
      <c r="KV4" s="454"/>
      <c r="KW4" s="454"/>
      <c r="KX4" s="454"/>
      <c r="KY4" s="454"/>
      <c r="KZ4" s="454"/>
      <c r="LA4" s="454"/>
      <c r="LB4" s="454"/>
      <c r="LC4" s="454"/>
      <c r="LD4" s="454"/>
      <c r="LE4" s="454"/>
      <c r="LF4" s="454"/>
      <c r="LG4" s="454"/>
      <c r="LH4" s="454"/>
      <c r="LI4" s="454"/>
      <c r="LJ4" s="454"/>
      <c r="LK4" s="454"/>
      <c r="LL4" s="454"/>
      <c r="LM4" s="454"/>
      <c r="LN4" s="454"/>
      <c r="LO4" s="454"/>
      <c r="LP4" s="454"/>
      <c r="LQ4" s="454"/>
      <c r="LR4" s="454"/>
      <c r="LS4" s="454"/>
      <c r="LT4" s="454"/>
      <c r="LU4" s="454"/>
      <c r="LV4" s="454"/>
      <c r="LW4" s="454"/>
      <c r="LX4" s="454"/>
      <c r="LY4" s="454"/>
      <c r="LZ4" s="454"/>
      <c r="MA4" s="454"/>
      <c r="MB4" s="454"/>
      <c r="MC4" s="454"/>
      <c r="MD4" s="454"/>
      <c r="ME4" s="454"/>
      <c r="MF4" s="454"/>
      <c r="MG4" s="454"/>
      <c r="MH4" s="454"/>
      <c r="MI4" s="454"/>
      <c r="MJ4" s="454"/>
      <c r="MK4" s="454"/>
      <c r="ML4" s="454"/>
      <c r="MM4" s="454"/>
      <c r="MN4" s="454"/>
      <c r="MO4" s="454"/>
      <c r="MP4" s="454"/>
      <c r="MQ4" s="454"/>
      <c r="MR4" s="454"/>
      <c r="MS4" s="454"/>
      <c r="MT4" s="454"/>
      <c r="MU4" s="454"/>
      <c r="MV4" s="454"/>
      <c r="MW4" s="454"/>
      <c r="MX4" s="454"/>
      <c r="MY4" s="454"/>
      <c r="MZ4" s="454"/>
      <c r="NA4" s="454"/>
      <c r="NB4" s="454"/>
      <c r="NC4" s="454"/>
      <c r="ND4" s="454"/>
      <c r="NE4" s="454"/>
      <c r="NF4" s="454"/>
      <c r="NG4" s="454"/>
      <c r="NH4" s="454"/>
      <c r="NI4" s="454"/>
      <c r="NJ4" s="454"/>
      <c r="NK4" s="454"/>
      <c r="NL4" s="454"/>
      <c r="NM4" s="454"/>
      <c r="NN4" s="454"/>
      <c r="NO4" s="454"/>
      <c r="NP4" s="454"/>
      <c r="NQ4" s="454"/>
      <c r="NR4" s="454"/>
      <c r="NS4" s="454"/>
      <c r="NT4" s="454"/>
      <c r="NU4" s="454"/>
      <c r="NV4" s="454"/>
      <c r="NW4" s="454"/>
      <c r="NX4" s="454"/>
      <c r="NY4" s="454"/>
      <c r="NZ4" s="454"/>
      <c r="OA4" s="454"/>
      <c r="OB4" s="454"/>
      <c r="OC4" s="454"/>
      <c r="OD4" s="454"/>
      <c r="OE4" s="454"/>
      <c r="OF4" s="454"/>
      <c r="OG4" s="454"/>
      <c r="OH4" s="454"/>
      <c r="OI4" s="454"/>
      <c r="OJ4" s="454"/>
      <c r="OK4" s="454"/>
      <c r="OL4" s="454"/>
      <c r="OM4" s="454"/>
      <c r="ON4" s="454"/>
      <c r="OO4" s="454"/>
      <c r="OP4" s="454"/>
      <c r="OQ4" s="454"/>
      <c r="OR4" s="454"/>
      <c r="OS4" s="454"/>
      <c r="OT4" s="454"/>
      <c r="OU4" s="454"/>
      <c r="OV4" s="454"/>
      <c r="OW4" s="454"/>
      <c r="OX4" s="454"/>
      <c r="OY4" s="454"/>
      <c r="OZ4" s="454"/>
      <c r="PA4" s="454"/>
      <c r="PB4" s="454"/>
      <c r="PC4" s="454"/>
      <c r="PD4" s="454"/>
      <c r="PE4" s="454"/>
      <c r="PF4" s="454"/>
      <c r="PG4" s="454"/>
      <c r="PH4" s="454"/>
      <c r="PI4" s="454"/>
      <c r="PJ4" s="454"/>
      <c r="PK4" s="454"/>
      <c r="PL4" s="454"/>
      <c r="PM4" s="454"/>
      <c r="PN4" s="454"/>
      <c r="PO4" s="454"/>
      <c r="PP4" s="454"/>
      <c r="PQ4" s="454"/>
      <c r="PR4" s="454"/>
      <c r="PS4" s="454"/>
      <c r="PT4" s="454"/>
      <c r="PU4" s="454"/>
      <c r="PV4" s="454"/>
      <c r="PW4" s="454"/>
      <c r="PX4" s="454"/>
      <c r="PY4" s="454"/>
      <c r="PZ4" s="454"/>
      <c r="QA4" s="454"/>
      <c r="QB4" s="454"/>
      <c r="QC4" s="454"/>
      <c r="QD4" s="454"/>
      <c r="QE4" s="454"/>
      <c r="QF4" s="454"/>
      <c r="QG4" s="454"/>
      <c r="QH4" s="454"/>
      <c r="QI4" s="454"/>
      <c r="QJ4" s="454"/>
      <c r="QK4" s="454"/>
      <c r="QL4" s="454"/>
      <c r="QM4" s="454"/>
      <c r="QN4" s="454"/>
      <c r="QO4" s="454"/>
      <c r="QP4" s="454"/>
      <c r="QQ4" s="454"/>
      <c r="QR4" s="454"/>
      <c r="QS4" s="454"/>
      <c r="QT4" s="454"/>
      <c r="QU4" s="454"/>
      <c r="QV4" s="454"/>
      <c r="QW4" s="454"/>
      <c r="QX4" s="454"/>
      <c r="QY4" s="454"/>
      <c r="QZ4" s="454"/>
      <c r="RA4" s="454"/>
      <c r="RB4" s="454"/>
      <c r="RC4" s="454"/>
      <c r="RD4" s="454"/>
      <c r="RE4" s="454"/>
      <c r="RF4" s="454"/>
      <c r="RG4" s="454"/>
      <c r="RH4" s="454"/>
      <c r="RI4" s="454"/>
      <c r="RJ4" s="454"/>
      <c r="RK4" s="454"/>
      <c r="RL4" s="454"/>
      <c r="RM4" s="454"/>
      <c r="RN4" s="454"/>
      <c r="RO4" s="454"/>
      <c r="RP4" s="454"/>
      <c r="RQ4" s="454"/>
      <c r="RR4" s="454"/>
      <c r="RS4" s="454"/>
      <c r="RT4" s="454"/>
      <c r="RU4" s="454"/>
      <c r="RV4" s="454"/>
      <c r="RW4" s="454"/>
      <c r="RX4" s="454"/>
      <c r="RY4" s="454"/>
      <c r="RZ4" s="454"/>
      <c r="SA4" s="454"/>
      <c r="SB4" s="454"/>
      <c r="SC4" s="454"/>
      <c r="SD4" s="454"/>
      <c r="SE4" s="454"/>
      <c r="SF4" s="454"/>
      <c r="SG4" s="454"/>
      <c r="SH4" s="454"/>
      <c r="SI4" s="454"/>
      <c r="SJ4" s="454"/>
      <c r="SK4" s="454"/>
      <c r="SL4" s="454"/>
      <c r="SM4" s="454"/>
      <c r="SN4" s="454"/>
      <c r="SO4" s="454"/>
      <c r="SP4" s="454"/>
      <c r="SQ4" s="454"/>
      <c r="SR4" s="454"/>
      <c r="SS4" s="454"/>
      <c r="ST4" s="454"/>
      <c r="SU4" s="454"/>
      <c r="SV4" s="454"/>
      <c r="SW4" s="454"/>
      <c r="SX4" s="454"/>
      <c r="SY4" s="454"/>
      <c r="SZ4" s="454"/>
      <c r="TA4" s="454"/>
      <c r="TB4" s="454"/>
      <c r="TC4" s="454"/>
      <c r="TD4" s="454"/>
      <c r="TE4" s="454"/>
      <c r="TF4" s="454"/>
      <c r="TG4" s="454"/>
      <c r="TH4" s="454"/>
      <c r="TI4" s="454"/>
      <c r="TJ4" s="454"/>
      <c r="TK4" s="454"/>
      <c r="TL4" s="454"/>
      <c r="TM4" s="454"/>
      <c r="TN4" s="454"/>
      <c r="TO4" s="454"/>
      <c r="TP4" s="454"/>
      <c r="TQ4" s="454"/>
      <c r="TR4" s="454"/>
      <c r="TS4" s="454"/>
      <c r="TT4" s="454"/>
      <c r="TU4" s="454"/>
      <c r="TV4" s="454"/>
      <c r="TW4" s="454"/>
      <c r="TX4" s="454"/>
      <c r="TY4" s="454"/>
      <c r="TZ4" s="454"/>
      <c r="UA4" s="454"/>
      <c r="UB4" s="454"/>
      <c r="UC4" s="454"/>
      <c r="UD4" s="454"/>
      <c r="UE4" s="454"/>
      <c r="UF4" s="454"/>
      <c r="UG4" s="454"/>
      <c r="UH4" s="454"/>
      <c r="UI4" s="454"/>
      <c r="UJ4" s="454"/>
      <c r="UK4" s="454"/>
      <c r="UL4" s="454"/>
      <c r="UM4" s="454"/>
      <c r="UN4" s="454"/>
      <c r="UO4" s="454"/>
      <c r="UP4" s="454"/>
      <c r="UQ4" s="454"/>
      <c r="UR4" s="454"/>
      <c r="US4" s="454"/>
      <c r="UT4" s="454"/>
      <c r="UU4" s="454"/>
      <c r="UV4" s="454"/>
      <c r="UW4" s="454"/>
      <c r="UX4" s="454"/>
      <c r="UY4" s="454"/>
      <c r="UZ4" s="454"/>
      <c r="VA4" s="454"/>
      <c r="VB4" s="454"/>
      <c r="VC4" s="454"/>
      <c r="VD4" s="454"/>
      <c r="VE4" s="454"/>
      <c r="VF4" s="454"/>
      <c r="VG4" s="454"/>
      <c r="VH4" s="454"/>
      <c r="VI4" s="454"/>
      <c r="VJ4" s="454"/>
      <c r="VK4" s="454"/>
      <c r="VL4" s="454"/>
      <c r="VM4" s="454"/>
      <c r="VN4" s="454"/>
      <c r="VO4" s="454"/>
      <c r="VP4" s="454"/>
      <c r="VQ4" s="454"/>
      <c r="VR4" s="454"/>
      <c r="VS4" s="454"/>
      <c r="VT4" s="454"/>
      <c r="VU4" s="454"/>
      <c r="VV4" s="454"/>
      <c r="VW4" s="454"/>
      <c r="VX4" s="454"/>
      <c r="VY4" s="454"/>
      <c r="VZ4" s="454"/>
      <c r="WA4" s="454"/>
      <c r="WB4" s="454"/>
      <c r="WC4" s="454"/>
      <c r="WD4" s="454"/>
      <c r="WE4" s="454"/>
      <c r="WF4" s="454"/>
      <c r="WG4" s="454"/>
      <c r="WH4" s="454"/>
      <c r="WI4" s="454"/>
      <c r="WJ4" s="454"/>
      <c r="WK4" s="454"/>
      <c r="WL4" s="454"/>
      <c r="WM4" s="454"/>
      <c r="WN4" s="454"/>
      <c r="WO4" s="454"/>
      <c r="WP4" s="454"/>
      <c r="WQ4" s="454"/>
      <c r="WR4" s="454"/>
      <c r="WS4" s="454"/>
      <c r="WT4" s="454"/>
      <c r="WU4" s="454"/>
      <c r="WV4" s="454"/>
      <c r="WW4" s="454"/>
      <c r="WX4" s="454"/>
      <c r="WY4" s="454"/>
      <c r="WZ4" s="454"/>
      <c r="XA4" s="454"/>
      <c r="XB4" s="454"/>
      <c r="XC4" s="454"/>
      <c r="XD4" s="454"/>
      <c r="XE4" s="454"/>
      <c r="XF4" s="454"/>
      <c r="XG4" s="454"/>
      <c r="XH4" s="454"/>
      <c r="XI4" s="454"/>
      <c r="XJ4" s="454"/>
      <c r="XK4" s="454"/>
      <c r="XL4" s="454"/>
      <c r="XM4" s="454"/>
      <c r="XN4" s="454"/>
      <c r="XO4" s="454"/>
      <c r="XP4" s="454"/>
      <c r="XQ4" s="454"/>
      <c r="XR4" s="454"/>
      <c r="XS4" s="454"/>
      <c r="XT4" s="454"/>
      <c r="XU4" s="454"/>
      <c r="XV4" s="454"/>
      <c r="XW4" s="454"/>
      <c r="XX4" s="454"/>
      <c r="XY4" s="454"/>
      <c r="XZ4" s="454"/>
      <c r="YA4" s="454"/>
      <c r="YB4" s="454"/>
      <c r="YC4" s="454"/>
      <c r="YD4" s="454"/>
      <c r="YE4" s="454"/>
      <c r="YF4" s="454"/>
      <c r="YG4" s="454"/>
      <c r="YH4" s="454"/>
      <c r="YI4" s="454"/>
      <c r="YJ4" s="454"/>
      <c r="YK4" s="454"/>
      <c r="YL4" s="454"/>
      <c r="YM4" s="454"/>
      <c r="YN4" s="454"/>
      <c r="YO4" s="454"/>
      <c r="YP4" s="454"/>
      <c r="YQ4" s="454"/>
      <c r="YR4" s="454"/>
      <c r="YS4" s="454"/>
      <c r="YT4" s="454"/>
      <c r="YU4" s="454"/>
      <c r="YV4" s="454"/>
      <c r="YW4" s="454"/>
      <c r="YX4" s="454"/>
      <c r="YY4" s="454"/>
      <c r="YZ4" s="454"/>
      <c r="ZA4" s="454"/>
      <c r="ZB4" s="454"/>
      <c r="ZC4" s="454"/>
      <c r="ZD4" s="454"/>
      <c r="ZE4" s="454"/>
      <c r="ZF4" s="454"/>
      <c r="ZG4" s="454"/>
      <c r="ZH4" s="454"/>
      <c r="ZI4" s="454"/>
      <c r="ZJ4" s="454"/>
      <c r="ZK4" s="454"/>
      <c r="ZL4" s="454"/>
      <c r="ZM4" s="454"/>
      <c r="ZN4" s="454"/>
      <c r="ZO4" s="454"/>
      <c r="ZP4" s="454"/>
      <c r="ZQ4" s="454"/>
      <c r="ZR4" s="454"/>
      <c r="ZS4" s="454"/>
      <c r="ZT4" s="454"/>
      <c r="ZU4" s="454"/>
      <c r="ZV4" s="454"/>
      <c r="ZW4" s="454"/>
      <c r="ZX4" s="454"/>
      <c r="ZY4" s="454"/>
      <c r="ZZ4" s="454"/>
      <c r="AAA4" s="454"/>
      <c r="AAB4" s="454"/>
      <c r="AAC4" s="454"/>
      <c r="AAD4" s="454"/>
      <c r="AAE4" s="454"/>
      <c r="AAF4" s="454"/>
      <c r="AAG4" s="454"/>
      <c r="AAH4" s="454"/>
      <c r="AAI4" s="454"/>
      <c r="AAJ4" s="454"/>
      <c r="AAK4" s="454"/>
      <c r="AAL4" s="454"/>
      <c r="AAM4" s="454"/>
      <c r="AAN4" s="454"/>
      <c r="AAO4" s="454"/>
      <c r="AAP4" s="454"/>
      <c r="AAQ4" s="454"/>
      <c r="AAR4" s="454"/>
      <c r="AAS4" s="454"/>
      <c r="AAT4" s="454"/>
      <c r="AAU4" s="454"/>
      <c r="AAV4" s="454"/>
      <c r="AAW4" s="454"/>
      <c r="AAX4" s="454"/>
      <c r="AAY4" s="454"/>
      <c r="AAZ4" s="454"/>
      <c r="ABA4" s="454"/>
      <c r="ABB4" s="454"/>
      <c r="ABC4" s="454"/>
      <c r="ABD4" s="454"/>
      <c r="ABE4" s="454"/>
      <c r="ABF4" s="454"/>
      <c r="ABG4" s="454"/>
      <c r="ABH4" s="454"/>
      <c r="ABI4" s="454"/>
      <c r="ABJ4" s="454"/>
      <c r="ABK4" s="454"/>
      <c r="ABL4" s="454"/>
      <c r="ABM4" s="454"/>
      <c r="ABN4" s="454"/>
      <c r="ABO4" s="454"/>
      <c r="ABP4" s="454"/>
      <c r="ABQ4" s="454"/>
      <c r="ABR4" s="454"/>
      <c r="ABS4" s="454"/>
      <c r="ABT4" s="454"/>
      <c r="ABU4" s="454"/>
      <c r="ABV4" s="454"/>
      <c r="ABW4" s="454"/>
      <c r="ABX4" s="454"/>
      <c r="ABY4" s="454"/>
      <c r="ABZ4" s="454"/>
      <c r="ACA4" s="454"/>
      <c r="ACB4" s="454"/>
      <c r="ACC4" s="454"/>
      <c r="ACD4" s="454"/>
      <c r="ACE4" s="454"/>
      <c r="ACF4" s="454"/>
      <c r="ACG4" s="454"/>
      <c r="ACH4" s="454"/>
      <c r="ACI4" s="454"/>
      <c r="ACJ4" s="454"/>
      <c r="ACK4" s="454"/>
      <c r="ACL4" s="454"/>
      <c r="ACM4" s="454"/>
      <c r="ACN4" s="454"/>
      <c r="ACO4" s="454"/>
      <c r="ACP4" s="454"/>
      <c r="ACQ4" s="454"/>
      <c r="ACR4" s="454"/>
      <c r="ACS4" s="454"/>
      <c r="ACT4" s="454"/>
      <c r="ACU4" s="454"/>
      <c r="ACV4" s="454"/>
      <c r="ACW4" s="454"/>
      <c r="ACX4" s="454"/>
      <c r="ACY4" s="454"/>
      <c r="ACZ4" s="454"/>
      <c r="ADA4" s="454"/>
      <c r="ADB4" s="454"/>
      <c r="ADC4" s="454"/>
      <c r="ADD4" s="454"/>
      <c r="ADE4" s="454"/>
      <c r="ADF4" s="454"/>
      <c r="ADG4" s="454"/>
      <c r="ADH4" s="454"/>
      <c r="ADI4" s="454"/>
      <c r="ADJ4" s="454"/>
      <c r="ADK4" s="454"/>
      <c r="ADL4" s="454"/>
      <c r="ADM4" s="454"/>
      <c r="ADN4" s="454"/>
      <c r="ADO4" s="454"/>
      <c r="ADP4" s="454"/>
      <c r="ADQ4" s="454"/>
      <c r="ADR4" s="454"/>
      <c r="ADS4" s="454"/>
      <c r="ADT4" s="454"/>
      <c r="ADU4" s="454"/>
      <c r="ADV4" s="454"/>
      <c r="ADW4" s="454"/>
      <c r="ADX4" s="454"/>
      <c r="ADY4" s="454"/>
      <c r="ADZ4" s="454"/>
      <c r="AEA4" s="454"/>
      <c r="AEB4" s="454"/>
      <c r="AEC4" s="454"/>
      <c r="AED4" s="454"/>
      <c r="AEE4" s="454"/>
      <c r="AEF4" s="454"/>
      <c r="AEG4" s="454"/>
      <c r="AEH4" s="454"/>
      <c r="AEI4" s="454"/>
      <c r="AEJ4" s="454"/>
      <c r="AEK4" s="454"/>
      <c r="AEL4" s="454"/>
      <c r="AEM4" s="454"/>
      <c r="AEN4" s="454"/>
      <c r="AEO4" s="454"/>
      <c r="AEP4" s="454"/>
      <c r="AEQ4" s="454"/>
      <c r="AER4" s="454"/>
      <c r="AES4" s="454"/>
      <c r="AET4" s="454"/>
      <c r="AEU4" s="454"/>
      <c r="AEV4" s="454"/>
      <c r="AEW4" s="454"/>
      <c r="AEX4" s="454"/>
      <c r="AEY4" s="454"/>
      <c r="AEZ4" s="454"/>
      <c r="AFA4" s="454"/>
      <c r="AFB4" s="454"/>
      <c r="AFC4" s="454"/>
      <c r="AFD4" s="454"/>
      <c r="AFE4" s="454"/>
      <c r="AFF4" s="454"/>
      <c r="AFG4" s="454"/>
      <c r="AFH4" s="454"/>
      <c r="AFI4" s="454"/>
      <c r="AFJ4" s="454"/>
      <c r="AFK4" s="454"/>
      <c r="AFL4" s="454"/>
      <c r="AFM4" s="454"/>
      <c r="AFN4" s="454"/>
      <c r="AFO4" s="454"/>
      <c r="AFP4" s="454"/>
      <c r="AFQ4" s="454"/>
      <c r="AFR4" s="454"/>
      <c r="AFS4" s="454"/>
      <c r="AFT4" s="454"/>
      <c r="AFU4" s="454"/>
      <c r="AFV4" s="454"/>
      <c r="AFW4" s="454"/>
      <c r="AFX4" s="454"/>
      <c r="AFY4" s="454"/>
      <c r="AFZ4" s="454"/>
      <c r="AGA4" s="454"/>
      <c r="AGB4" s="454"/>
      <c r="AGC4" s="454"/>
      <c r="AGD4" s="454"/>
      <c r="AGE4" s="454"/>
      <c r="AGF4" s="454"/>
      <c r="AGG4" s="454"/>
      <c r="AGH4" s="454"/>
      <c r="AGI4" s="454"/>
      <c r="AGJ4" s="454"/>
      <c r="AGK4" s="454"/>
      <c r="AGL4" s="454"/>
      <c r="AGM4" s="454"/>
      <c r="AGN4" s="454"/>
      <c r="AGO4" s="454"/>
      <c r="AGP4" s="454"/>
      <c r="AGQ4" s="454"/>
      <c r="AGR4" s="454"/>
      <c r="AGS4" s="454"/>
      <c r="AGT4" s="454"/>
      <c r="AGU4" s="454"/>
      <c r="AGV4" s="454"/>
      <c r="AGW4" s="454"/>
      <c r="AGX4" s="454"/>
      <c r="AGY4" s="454"/>
      <c r="AGZ4" s="454"/>
      <c r="AHA4" s="454"/>
      <c r="AHB4" s="454"/>
      <c r="AHC4" s="454"/>
      <c r="AHD4" s="454"/>
      <c r="AHE4" s="454"/>
      <c r="AHF4" s="454"/>
      <c r="AHG4" s="454"/>
      <c r="AHH4" s="454"/>
      <c r="AHI4" s="454"/>
      <c r="AHJ4" s="454"/>
      <c r="AHK4" s="454"/>
      <c r="AHL4" s="454"/>
      <c r="AHM4" s="454"/>
      <c r="AHN4" s="454"/>
      <c r="AHO4" s="454"/>
      <c r="AHP4" s="454"/>
      <c r="AHQ4" s="454"/>
      <c r="AHR4" s="454"/>
      <c r="AHS4" s="454"/>
      <c r="AHT4" s="454"/>
      <c r="AHU4" s="454"/>
      <c r="AHV4" s="454"/>
      <c r="AHW4" s="454"/>
      <c r="AHX4" s="454"/>
      <c r="AHY4" s="454"/>
      <c r="AHZ4" s="454"/>
      <c r="AIA4" s="454"/>
      <c r="AIB4" s="454"/>
      <c r="AIC4" s="454"/>
      <c r="AID4" s="454"/>
      <c r="AIE4" s="454"/>
      <c r="AIF4" s="454"/>
      <c r="AIG4" s="454"/>
      <c r="AIH4" s="454"/>
      <c r="AII4" s="454"/>
      <c r="AIJ4" s="454"/>
      <c r="AIK4" s="454"/>
      <c r="AIL4" s="454"/>
      <c r="AIM4" s="454"/>
      <c r="AIN4" s="454"/>
      <c r="AIO4" s="454"/>
      <c r="AIP4" s="454"/>
      <c r="AIQ4" s="454"/>
      <c r="AIR4" s="454"/>
      <c r="AIS4" s="454"/>
      <c r="AIT4" s="454"/>
      <c r="AIU4" s="454"/>
      <c r="AIV4" s="454"/>
      <c r="AIW4" s="454"/>
      <c r="AIX4" s="454"/>
      <c r="AIY4" s="454"/>
      <c r="AIZ4" s="454"/>
      <c r="AJA4" s="454"/>
      <c r="AJB4" s="454"/>
      <c r="AJC4" s="454"/>
      <c r="AJD4" s="454"/>
      <c r="AJE4" s="454"/>
      <c r="AJF4" s="454"/>
      <c r="AJG4" s="454"/>
      <c r="AJH4" s="454"/>
      <c r="AJI4" s="454"/>
      <c r="AJJ4" s="454"/>
      <c r="AJK4" s="454"/>
      <c r="AJL4" s="454"/>
      <c r="AJM4" s="454"/>
      <c r="AJN4" s="454"/>
      <c r="AJO4" s="454"/>
      <c r="AJP4" s="454"/>
      <c r="AJQ4" s="454"/>
      <c r="AJR4" s="454"/>
      <c r="AJS4" s="454"/>
      <c r="AJT4" s="454"/>
      <c r="AJU4" s="454"/>
      <c r="AJV4" s="454"/>
      <c r="AJW4" s="454"/>
      <c r="AJX4" s="454"/>
      <c r="AJY4" s="454"/>
      <c r="AJZ4" s="454"/>
      <c r="AKA4" s="454"/>
      <c r="AKB4" s="454"/>
      <c r="AKC4" s="454"/>
      <c r="AKD4" s="454"/>
      <c r="AKE4" s="454"/>
      <c r="AKF4" s="454"/>
      <c r="AKG4" s="454"/>
      <c r="AKH4" s="454"/>
      <c r="AKI4" s="454"/>
      <c r="AKJ4" s="454"/>
      <c r="AKK4" s="454"/>
      <c r="AKL4" s="454"/>
      <c r="AKM4" s="454"/>
      <c r="AKN4" s="454"/>
      <c r="AKO4" s="454"/>
      <c r="AKP4" s="454"/>
      <c r="AKQ4" s="454"/>
      <c r="AKR4" s="454"/>
      <c r="AKS4" s="454"/>
      <c r="AKT4" s="454"/>
      <c r="AKU4" s="454"/>
      <c r="AKV4" s="454"/>
      <c r="AKW4" s="454"/>
      <c r="AKX4" s="454"/>
      <c r="AKY4" s="454"/>
      <c r="AKZ4" s="454"/>
      <c r="ALA4" s="454"/>
      <c r="ALB4" s="454"/>
      <c r="ALC4" s="454"/>
      <c r="ALD4" s="454"/>
      <c r="ALE4" s="454"/>
      <c r="ALF4" s="454"/>
      <c r="ALG4" s="454"/>
      <c r="ALH4" s="454"/>
      <c r="ALI4" s="454"/>
      <c r="ALJ4" s="454"/>
      <c r="ALK4" s="454"/>
      <c r="ALL4" s="454"/>
      <c r="ALM4" s="454"/>
      <c r="ALN4" s="454"/>
      <c r="ALO4" s="454"/>
      <c r="ALP4" s="454"/>
      <c r="ALQ4" s="454"/>
      <c r="ALR4" s="454"/>
      <c r="ALS4" s="454"/>
      <c r="ALT4" s="454"/>
      <c r="ALU4" s="454"/>
      <c r="ALV4" s="454"/>
      <c r="ALW4" s="454"/>
      <c r="ALX4" s="454"/>
      <c r="ALY4" s="454"/>
      <c r="ALZ4" s="454"/>
      <c r="AMA4" s="454"/>
      <c r="AMB4" s="454"/>
      <c r="AMC4" s="454"/>
      <c r="AMD4" s="454"/>
      <c r="AME4" s="454"/>
      <c r="AMF4" s="454"/>
      <c r="AMG4" s="454"/>
      <c r="AMH4" s="454"/>
      <c r="AMI4" s="454"/>
      <c r="AMJ4" s="454"/>
      <c r="AMK4" s="454"/>
      <c r="AML4" s="454"/>
      <c r="AMM4" s="454"/>
      <c r="AMN4" s="454"/>
      <c r="AMO4" s="454"/>
      <c r="AMP4" s="454"/>
      <c r="AMQ4" s="454"/>
      <c r="AMR4" s="454"/>
      <c r="AMS4" s="454"/>
      <c r="AMT4" s="454"/>
      <c r="AMU4" s="454"/>
      <c r="AMV4" s="454"/>
      <c r="AMW4" s="454"/>
      <c r="AMX4" s="454"/>
      <c r="AMY4" s="454"/>
      <c r="AMZ4" s="454"/>
      <c r="ANA4" s="454"/>
      <c r="ANB4" s="454"/>
      <c r="ANC4" s="454"/>
      <c r="AND4" s="454"/>
      <c r="ANE4" s="454"/>
      <c r="ANF4" s="454"/>
      <c r="ANG4" s="454"/>
      <c r="ANH4" s="454"/>
      <c r="ANI4" s="454"/>
      <c r="ANJ4" s="454"/>
      <c r="ANK4" s="454"/>
      <c r="ANL4" s="454"/>
      <c r="ANM4" s="454"/>
      <c r="ANN4" s="454"/>
      <c r="ANO4" s="454"/>
      <c r="ANP4" s="454"/>
      <c r="ANQ4" s="454"/>
      <c r="ANR4" s="454"/>
      <c r="ANS4" s="454"/>
      <c r="ANT4" s="454"/>
      <c r="ANU4" s="454"/>
      <c r="ANV4" s="454"/>
      <c r="ANW4" s="454"/>
      <c r="ANX4" s="454"/>
      <c r="ANY4" s="454"/>
      <c r="ANZ4" s="454"/>
      <c r="AOA4" s="454"/>
      <c r="AOB4" s="454"/>
      <c r="AOC4" s="454"/>
      <c r="AOD4" s="454"/>
      <c r="AOE4" s="454"/>
      <c r="AOF4" s="454"/>
      <c r="AOG4" s="454"/>
      <c r="AOH4" s="454"/>
      <c r="AOI4" s="454"/>
      <c r="AOJ4" s="454"/>
      <c r="AOK4" s="454"/>
      <c r="AOL4" s="454"/>
      <c r="AOM4" s="454"/>
      <c r="AON4" s="454"/>
      <c r="AOO4" s="454"/>
      <c r="AOP4" s="454"/>
      <c r="AOQ4" s="454"/>
      <c r="AOR4" s="454"/>
      <c r="AOS4" s="454"/>
      <c r="AOT4" s="454"/>
      <c r="AOU4" s="454"/>
      <c r="AOV4" s="454"/>
      <c r="AOW4" s="454"/>
      <c r="AOX4" s="454"/>
      <c r="AOY4" s="454"/>
      <c r="AOZ4" s="454"/>
      <c r="APA4" s="454"/>
      <c r="APB4" s="454"/>
      <c r="APC4" s="454"/>
      <c r="APD4" s="454"/>
      <c r="APE4" s="454"/>
      <c r="APF4" s="454"/>
      <c r="APG4" s="454"/>
      <c r="APH4" s="454"/>
      <c r="API4" s="454"/>
      <c r="APJ4" s="454"/>
      <c r="APK4" s="454"/>
      <c r="APL4" s="454"/>
      <c r="APM4" s="454"/>
      <c r="APN4" s="454"/>
      <c r="APO4" s="454"/>
      <c r="APP4" s="454"/>
      <c r="APQ4" s="454"/>
      <c r="APR4" s="454"/>
      <c r="APS4" s="454"/>
      <c r="APT4" s="454"/>
      <c r="APU4" s="454"/>
      <c r="APV4" s="454"/>
      <c r="APW4" s="454"/>
      <c r="APX4" s="454"/>
    </row>
    <row r="5" spans="1:1116" s="40" customFormat="1" ht="15" customHeight="1">
      <c r="A5" s="187">
        <v>22</v>
      </c>
      <c r="B5" s="161" t="s">
        <v>280</v>
      </c>
      <c r="C5" s="52"/>
      <c r="D5" s="420"/>
      <c r="E5" s="425"/>
      <c r="F5" s="429"/>
      <c r="G5" s="188"/>
      <c r="H5" s="432"/>
      <c r="I5" s="433"/>
      <c r="J5" s="432"/>
      <c r="K5" s="434"/>
      <c r="L5" s="434"/>
      <c r="M5" s="449"/>
      <c r="N5" s="434"/>
      <c r="O5" s="449"/>
      <c r="P5" s="434"/>
      <c r="Q5" s="608"/>
      <c r="R5" s="609"/>
      <c r="S5" s="609"/>
      <c r="T5" s="577"/>
      <c r="U5" s="577"/>
      <c r="V5" s="577"/>
      <c r="W5" s="541"/>
      <c r="X5" s="541"/>
      <c r="Y5" s="541"/>
      <c r="Z5" s="541"/>
      <c r="AA5" s="541"/>
      <c r="AB5" s="541"/>
      <c r="AC5" s="541"/>
      <c r="AD5" s="541"/>
      <c r="AE5" s="541"/>
      <c r="AF5" s="541"/>
      <c r="AG5" s="541"/>
      <c r="AH5" s="541"/>
      <c r="AI5" s="541"/>
      <c r="AJ5" s="541"/>
      <c r="AK5" s="541"/>
      <c r="AL5" s="541"/>
      <c r="AM5" s="541"/>
      <c r="AN5" s="541"/>
      <c r="AO5" s="541"/>
      <c r="AP5" s="541"/>
      <c r="AQ5" s="541"/>
      <c r="AR5" s="541"/>
      <c r="AS5" s="541"/>
      <c r="AT5" s="541"/>
      <c r="AU5" s="541"/>
      <c r="AV5" s="541"/>
      <c r="AW5" s="541"/>
      <c r="AX5" s="541"/>
      <c r="AY5" s="541"/>
      <c r="AZ5" s="541"/>
      <c r="BA5" s="541"/>
      <c r="BB5" s="541"/>
      <c r="BC5" s="541"/>
      <c r="BD5" s="541"/>
      <c r="BE5" s="541"/>
      <c r="BF5" s="541"/>
      <c r="BG5" s="541"/>
      <c r="BH5" s="541"/>
      <c r="BI5" s="541"/>
      <c r="BJ5" s="541"/>
      <c r="BK5" s="541"/>
      <c r="BL5" s="541"/>
      <c r="BM5" s="541"/>
      <c r="BN5" s="541"/>
      <c r="BO5" s="541"/>
      <c r="BP5" s="541"/>
      <c r="BQ5" s="541"/>
      <c r="BR5" s="541"/>
      <c r="BS5" s="541"/>
      <c r="BT5" s="541"/>
      <c r="BU5" s="541"/>
      <c r="BV5" s="541"/>
      <c r="BW5" s="541"/>
      <c r="BX5" s="541"/>
      <c r="BY5" s="541"/>
      <c r="BZ5" s="541"/>
      <c r="CA5" s="541"/>
      <c r="CB5" s="541"/>
      <c r="CC5" s="541"/>
      <c r="CD5" s="542"/>
      <c r="CE5" s="609"/>
      <c r="CF5" s="541"/>
      <c r="CG5" s="541"/>
      <c r="CH5" s="541"/>
      <c r="CI5" s="541"/>
      <c r="CJ5" s="541"/>
      <c r="CK5" s="541"/>
      <c r="CL5" s="541"/>
      <c r="CM5" s="541"/>
      <c r="CN5" s="541"/>
      <c r="CO5" s="541"/>
      <c r="CP5" s="541"/>
      <c r="CQ5" s="541"/>
      <c r="CR5" s="541"/>
      <c r="CS5" s="541"/>
      <c r="CT5" s="541"/>
      <c r="CU5" s="541"/>
      <c r="CV5" s="541"/>
      <c r="CW5" s="541"/>
      <c r="CX5" s="541"/>
      <c r="CY5" s="541"/>
      <c r="CZ5" s="541"/>
      <c r="DA5" s="541"/>
      <c r="DB5" s="541"/>
      <c r="DC5" s="541"/>
      <c r="DD5" s="541"/>
      <c r="DE5" s="541"/>
      <c r="DF5" s="541"/>
      <c r="DG5" s="541"/>
      <c r="DH5" s="541"/>
      <c r="DI5" s="541"/>
      <c r="DJ5" s="541"/>
      <c r="DK5" s="541"/>
      <c r="DL5" s="541"/>
      <c r="DM5" s="541"/>
      <c r="DN5" s="541"/>
      <c r="DO5" s="541"/>
      <c r="DP5" s="541"/>
      <c r="DQ5" s="541"/>
      <c r="DR5" s="541"/>
      <c r="DS5" s="541"/>
      <c r="DT5" s="541"/>
      <c r="DU5" s="541"/>
      <c r="DV5" s="541"/>
      <c r="DW5" s="541"/>
      <c r="DX5" s="541"/>
      <c r="DY5" s="541"/>
      <c r="DZ5" s="541"/>
      <c r="EA5" s="541"/>
      <c r="EB5" s="541"/>
      <c r="EC5" s="541"/>
      <c r="ED5" s="541"/>
      <c r="EE5" s="541"/>
      <c r="EF5" s="541"/>
      <c r="EG5" s="541"/>
      <c r="EH5" s="541"/>
      <c r="EI5" s="541"/>
      <c r="EJ5" s="541"/>
      <c r="EK5" s="541"/>
      <c r="EL5" s="541"/>
      <c r="EM5" s="542"/>
      <c r="EN5" s="609"/>
      <c r="EO5" s="609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</row>
    <row r="6" spans="1:1116" s="648" customFormat="1" ht="15" customHeight="1">
      <c r="A6" s="639">
        <v>22</v>
      </c>
      <c r="B6" s="640"/>
      <c r="C6" s="638" t="s">
        <v>256</v>
      </c>
      <c r="D6" s="641">
        <v>1</v>
      </c>
      <c r="E6" s="629" t="s">
        <v>146</v>
      </c>
      <c r="F6" s="642">
        <v>14170</v>
      </c>
      <c r="G6" s="643">
        <v>30</v>
      </c>
      <c r="H6" s="644">
        <f>D6*F6</f>
        <v>14170</v>
      </c>
      <c r="I6" s="645">
        <v>1.2</v>
      </c>
      <c r="J6" s="644">
        <f>H6*I6</f>
        <v>17004</v>
      </c>
      <c r="K6" s="631">
        <f>L6/P1</f>
        <v>283.39999999999998</v>
      </c>
      <c r="L6" s="631">
        <f>J6</f>
        <v>17004</v>
      </c>
      <c r="M6" s="646">
        <v>0.03</v>
      </c>
      <c r="N6" s="631">
        <f>J6*T6</f>
        <v>41273.171060108965</v>
      </c>
      <c r="O6" s="646">
        <v>0.05</v>
      </c>
      <c r="P6" s="631">
        <f>J6*R6</f>
        <v>9549.6810178248015</v>
      </c>
      <c r="Q6" s="633"/>
      <c r="R6" s="659">
        <f>((1+M6)/(1+O6))^G6</f>
        <v>0.56161379780197607</v>
      </c>
      <c r="S6" s="634"/>
      <c r="T6" s="658">
        <f>(1+M6)^G6</f>
        <v>2.4272624711896591</v>
      </c>
      <c r="U6" s="636"/>
      <c r="V6" s="636"/>
      <c r="W6" s="637"/>
      <c r="X6" s="637"/>
      <c r="Y6" s="637"/>
      <c r="Z6" s="637"/>
      <c r="AA6" s="637"/>
      <c r="AB6" s="637"/>
      <c r="AC6" s="637"/>
      <c r="AD6" s="637"/>
      <c r="AE6" s="637"/>
      <c r="AF6" s="637"/>
      <c r="AG6" s="637"/>
      <c r="AH6" s="637"/>
      <c r="AI6" s="637"/>
      <c r="AJ6" s="637"/>
      <c r="AK6" s="637"/>
      <c r="AL6" s="637"/>
      <c r="AM6" s="637"/>
      <c r="AN6" s="637"/>
      <c r="AO6" s="637"/>
      <c r="AP6" s="637"/>
      <c r="AQ6" s="637"/>
      <c r="AR6" s="637"/>
      <c r="AS6" s="637"/>
      <c r="AT6" s="637"/>
      <c r="AU6" s="637"/>
      <c r="AV6" s="637"/>
      <c r="AW6" s="637"/>
      <c r="AX6" s="637"/>
      <c r="AY6" s="637"/>
      <c r="AZ6" s="637"/>
      <c r="BA6" s="637"/>
      <c r="BB6" s="637"/>
      <c r="BC6" s="637"/>
      <c r="BD6" s="637"/>
      <c r="BE6" s="637"/>
      <c r="BF6" s="637"/>
      <c r="BG6" s="637"/>
      <c r="BH6" s="637"/>
      <c r="BI6" s="637"/>
      <c r="BJ6" s="637"/>
      <c r="BK6" s="637"/>
      <c r="BL6" s="637"/>
      <c r="BM6" s="637"/>
      <c r="BN6" s="637"/>
      <c r="BO6" s="637"/>
      <c r="BP6" s="637"/>
      <c r="BQ6" s="637"/>
      <c r="BR6" s="637"/>
      <c r="BS6" s="637"/>
      <c r="BT6" s="637"/>
      <c r="BU6" s="637"/>
      <c r="BV6" s="637"/>
      <c r="BW6" s="637"/>
      <c r="BX6" s="637"/>
      <c r="BY6" s="637"/>
      <c r="BZ6" s="637"/>
      <c r="CA6" s="637"/>
      <c r="CB6" s="637"/>
      <c r="CC6" s="637"/>
      <c r="CD6" s="647"/>
      <c r="CE6" s="634"/>
      <c r="CF6" s="637"/>
      <c r="CG6" s="637"/>
      <c r="CH6" s="637"/>
      <c r="CI6" s="637"/>
      <c r="CJ6" s="637"/>
      <c r="CK6" s="637"/>
      <c r="CL6" s="637"/>
      <c r="CM6" s="637"/>
      <c r="CN6" s="637"/>
      <c r="CO6" s="637"/>
      <c r="CP6" s="637"/>
      <c r="CQ6" s="637"/>
      <c r="CR6" s="637"/>
      <c r="CS6" s="637"/>
      <c r="CT6" s="637"/>
      <c r="CU6" s="637"/>
      <c r="CV6" s="637"/>
      <c r="CW6" s="637"/>
      <c r="CX6" s="637"/>
      <c r="CY6" s="637"/>
      <c r="CZ6" s="637"/>
      <c r="DA6" s="637"/>
      <c r="DB6" s="637"/>
      <c r="DC6" s="637"/>
      <c r="DD6" s="637"/>
      <c r="DE6" s="637"/>
      <c r="DF6" s="637"/>
      <c r="DG6" s="637"/>
      <c r="DH6" s="637"/>
      <c r="DI6" s="637"/>
      <c r="DJ6" s="637"/>
      <c r="DK6" s="637"/>
      <c r="DL6" s="637"/>
      <c r="DM6" s="637"/>
      <c r="DN6" s="637"/>
      <c r="DO6" s="637"/>
      <c r="DP6" s="637"/>
      <c r="DQ6" s="637"/>
      <c r="DR6" s="637"/>
      <c r="DS6" s="637"/>
      <c r="DT6" s="637"/>
      <c r="DU6" s="637"/>
      <c r="DV6" s="637"/>
      <c r="DW6" s="637"/>
      <c r="DX6" s="637"/>
      <c r="DY6" s="637"/>
      <c r="DZ6" s="637"/>
      <c r="EA6" s="637"/>
      <c r="EB6" s="637"/>
      <c r="EC6" s="637"/>
      <c r="ED6" s="637"/>
      <c r="EE6" s="637"/>
      <c r="EF6" s="637"/>
      <c r="EG6" s="637"/>
      <c r="EH6" s="637"/>
      <c r="EI6" s="637"/>
      <c r="EJ6" s="637"/>
      <c r="EK6" s="637"/>
      <c r="EL6" s="637"/>
      <c r="EM6" s="647"/>
      <c r="EN6" s="634"/>
      <c r="EO6" s="634"/>
      <c r="EP6" s="638"/>
      <c r="EQ6" s="638"/>
      <c r="ER6" s="638"/>
      <c r="ES6" s="638"/>
      <c r="ET6" s="638"/>
      <c r="EU6" s="638"/>
      <c r="EV6" s="638"/>
      <c r="EW6" s="638"/>
      <c r="EX6" s="638"/>
      <c r="EY6" s="638"/>
      <c r="EZ6" s="638"/>
      <c r="FA6" s="638"/>
      <c r="FB6" s="638"/>
      <c r="FC6" s="638"/>
      <c r="FD6" s="638"/>
      <c r="FE6" s="638"/>
      <c r="FF6" s="638"/>
      <c r="FG6" s="638"/>
      <c r="FH6" s="638"/>
      <c r="FI6" s="638"/>
      <c r="FJ6" s="638"/>
      <c r="FK6" s="638"/>
      <c r="FL6" s="638"/>
      <c r="FM6" s="638"/>
      <c r="FN6" s="638"/>
      <c r="FO6" s="638"/>
      <c r="FP6" s="638"/>
      <c r="FQ6" s="638"/>
      <c r="FR6" s="638"/>
      <c r="FS6" s="638"/>
      <c r="FT6" s="638"/>
      <c r="FU6" s="638"/>
      <c r="FV6" s="638"/>
      <c r="FW6" s="638"/>
      <c r="FX6" s="638"/>
      <c r="FY6" s="638"/>
      <c r="FZ6" s="638"/>
      <c r="GA6" s="638"/>
      <c r="GB6" s="638"/>
      <c r="GC6" s="638"/>
      <c r="GD6" s="638"/>
      <c r="GE6" s="638"/>
      <c r="GF6" s="638"/>
      <c r="GG6" s="638"/>
      <c r="GH6" s="638"/>
      <c r="GI6" s="638"/>
      <c r="GJ6" s="638"/>
      <c r="GK6" s="638"/>
      <c r="GL6" s="638"/>
      <c r="GM6" s="638"/>
      <c r="GN6" s="638"/>
      <c r="GO6" s="638"/>
      <c r="GP6" s="638"/>
      <c r="GQ6" s="638"/>
      <c r="GR6" s="638"/>
      <c r="GS6" s="638"/>
      <c r="GT6" s="638"/>
      <c r="GU6" s="638"/>
      <c r="GV6" s="638"/>
      <c r="GW6" s="638"/>
      <c r="GX6" s="638"/>
      <c r="GY6" s="638"/>
      <c r="GZ6" s="638"/>
      <c r="HA6" s="638"/>
      <c r="HB6" s="638"/>
      <c r="HC6" s="638"/>
      <c r="HD6" s="638"/>
      <c r="HE6" s="638"/>
      <c r="HF6" s="638"/>
      <c r="HG6" s="638"/>
      <c r="HH6" s="638"/>
      <c r="HI6" s="638"/>
      <c r="HJ6" s="638"/>
      <c r="HK6" s="638"/>
      <c r="HL6" s="638"/>
      <c r="HM6" s="638"/>
      <c r="HN6" s="638"/>
      <c r="HO6" s="638"/>
      <c r="HP6" s="638"/>
      <c r="HQ6" s="638"/>
      <c r="HR6" s="638"/>
      <c r="HS6" s="638"/>
      <c r="HT6" s="638"/>
      <c r="HU6" s="638"/>
      <c r="HV6" s="638"/>
      <c r="HW6" s="638"/>
      <c r="HX6" s="638"/>
      <c r="HY6" s="638"/>
      <c r="HZ6" s="638"/>
      <c r="IA6" s="638"/>
      <c r="IB6" s="638"/>
      <c r="IC6" s="638"/>
      <c r="ID6" s="638"/>
      <c r="IE6" s="638"/>
      <c r="IF6" s="638"/>
      <c r="IG6" s="638"/>
      <c r="IH6" s="638"/>
      <c r="II6" s="638"/>
      <c r="IJ6" s="638"/>
      <c r="IK6" s="638"/>
      <c r="IL6" s="638"/>
      <c r="IM6" s="638"/>
      <c r="IN6" s="638"/>
      <c r="IO6" s="638"/>
      <c r="IP6" s="638"/>
      <c r="IQ6" s="638"/>
      <c r="IR6" s="638"/>
      <c r="IS6" s="638"/>
      <c r="IT6" s="638"/>
      <c r="IU6" s="638"/>
      <c r="IV6" s="638"/>
      <c r="IW6" s="638"/>
      <c r="IX6" s="638"/>
      <c r="IY6" s="638"/>
      <c r="IZ6" s="638"/>
      <c r="JA6" s="638"/>
      <c r="JB6" s="638"/>
      <c r="JC6" s="638"/>
      <c r="JD6" s="638"/>
      <c r="JE6" s="638"/>
      <c r="JF6" s="638"/>
      <c r="JG6" s="638"/>
      <c r="JH6" s="638"/>
      <c r="JI6" s="638"/>
      <c r="JJ6" s="638"/>
      <c r="JK6" s="638"/>
      <c r="JL6" s="638"/>
      <c r="JM6" s="638"/>
      <c r="JN6" s="638"/>
      <c r="JO6" s="638"/>
      <c r="JP6" s="638"/>
      <c r="JQ6" s="638"/>
      <c r="JR6" s="638"/>
      <c r="JS6" s="638"/>
      <c r="JT6" s="638"/>
      <c r="JU6" s="638"/>
      <c r="JV6" s="638"/>
      <c r="JW6" s="638"/>
      <c r="JX6" s="638"/>
      <c r="JY6" s="638"/>
      <c r="JZ6" s="638"/>
      <c r="KA6" s="638"/>
      <c r="KB6" s="638"/>
      <c r="KC6" s="638"/>
      <c r="KD6" s="638"/>
      <c r="KE6" s="638"/>
      <c r="KF6" s="638"/>
      <c r="KG6" s="638"/>
      <c r="KH6" s="638"/>
      <c r="KI6" s="638"/>
      <c r="KJ6" s="638"/>
      <c r="KK6" s="638"/>
      <c r="KL6" s="638"/>
      <c r="KM6" s="638"/>
      <c r="KN6" s="638"/>
      <c r="KO6" s="638"/>
      <c r="KP6" s="638"/>
      <c r="KQ6" s="638"/>
      <c r="KR6" s="638"/>
      <c r="KS6" s="638"/>
      <c r="KT6" s="638"/>
      <c r="KU6" s="638"/>
      <c r="KV6" s="638"/>
      <c r="KW6" s="638"/>
      <c r="KX6" s="638"/>
      <c r="KY6" s="638"/>
      <c r="KZ6" s="638"/>
      <c r="LA6" s="638"/>
      <c r="LB6" s="638"/>
      <c r="LC6" s="638"/>
      <c r="LD6" s="638"/>
      <c r="LE6" s="638"/>
      <c r="LF6" s="638"/>
      <c r="LG6" s="638"/>
      <c r="LH6" s="638"/>
      <c r="LI6" s="638"/>
      <c r="LJ6" s="638"/>
      <c r="LK6" s="638"/>
      <c r="LL6" s="638"/>
      <c r="LM6" s="638"/>
      <c r="LN6" s="638"/>
      <c r="LO6" s="638"/>
      <c r="LP6" s="638"/>
      <c r="LQ6" s="638"/>
      <c r="LR6" s="638"/>
      <c r="LS6" s="638"/>
      <c r="LT6" s="638"/>
      <c r="LU6" s="638"/>
      <c r="LV6" s="638"/>
      <c r="LW6" s="638"/>
      <c r="LX6" s="638"/>
      <c r="LY6" s="638"/>
      <c r="LZ6" s="638"/>
      <c r="MA6" s="638"/>
      <c r="MB6" s="638"/>
      <c r="MC6" s="638"/>
      <c r="MD6" s="638"/>
      <c r="ME6" s="638"/>
      <c r="MF6" s="638"/>
      <c r="MG6" s="638"/>
      <c r="MH6" s="638"/>
      <c r="MI6" s="638"/>
      <c r="MJ6" s="638"/>
      <c r="MK6" s="638"/>
      <c r="ML6" s="638"/>
      <c r="MM6" s="638"/>
      <c r="MN6" s="638"/>
      <c r="MO6" s="638"/>
      <c r="MP6" s="638"/>
      <c r="MQ6" s="638"/>
      <c r="MR6" s="638"/>
      <c r="MS6" s="638"/>
      <c r="MT6" s="638"/>
      <c r="MU6" s="638"/>
      <c r="MV6" s="638"/>
      <c r="MW6" s="638"/>
      <c r="MX6" s="638"/>
      <c r="MY6" s="638"/>
      <c r="MZ6" s="638"/>
      <c r="NA6" s="638"/>
      <c r="NB6" s="638"/>
      <c r="NC6" s="638"/>
      <c r="ND6" s="638"/>
      <c r="NE6" s="638"/>
      <c r="NF6" s="638"/>
      <c r="NG6" s="638"/>
      <c r="NH6" s="638"/>
      <c r="NI6" s="638"/>
      <c r="NJ6" s="638"/>
      <c r="NK6" s="638"/>
      <c r="NL6" s="638"/>
      <c r="NM6" s="638"/>
      <c r="NN6" s="638"/>
      <c r="NO6" s="638"/>
      <c r="NP6" s="638"/>
      <c r="NQ6" s="638"/>
      <c r="NR6" s="638"/>
      <c r="NS6" s="638"/>
      <c r="NT6" s="638"/>
      <c r="NU6" s="638"/>
      <c r="NV6" s="638"/>
      <c r="NW6" s="638"/>
      <c r="NX6" s="638"/>
      <c r="NY6" s="638"/>
      <c r="NZ6" s="638"/>
      <c r="OA6" s="638"/>
      <c r="OB6" s="638"/>
      <c r="OC6" s="638"/>
      <c r="OD6" s="638"/>
      <c r="OE6" s="638"/>
      <c r="OF6" s="638"/>
      <c r="OG6" s="638"/>
      <c r="OH6" s="638"/>
      <c r="OI6" s="638"/>
      <c r="OJ6" s="638"/>
      <c r="OK6" s="638"/>
      <c r="OL6" s="638"/>
      <c r="OM6" s="638"/>
      <c r="ON6" s="638"/>
      <c r="OO6" s="638"/>
      <c r="OP6" s="638"/>
      <c r="OQ6" s="638"/>
      <c r="OR6" s="638"/>
      <c r="OS6" s="638"/>
      <c r="OT6" s="638"/>
      <c r="OU6" s="638"/>
      <c r="OV6" s="638"/>
      <c r="OW6" s="638"/>
      <c r="OX6" s="638"/>
      <c r="OY6" s="638"/>
      <c r="OZ6" s="638"/>
      <c r="PA6" s="638"/>
      <c r="PB6" s="638"/>
      <c r="PC6" s="638"/>
      <c r="PD6" s="638"/>
      <c r="PE6" s="638"/>
      <c r="PF6" s="638"/>
      <c r="PG6" s="638"/>
      <c r="PH6" s="638"/>
      <c r="PI6" s="638"/>
      <c r="PJ6" s="638"/>
      <c r="PK6" s="638"/>
      <c r="PL6" s="638"/>
      <c r="PM6" s="638"/>
      <c r="PN6" s="638"/>
      <c r="PO6" s="638"/>
      <c r="PP6" s="638"/>
      <c r="PQ6" s="638"/>
      <c r="PR6" s="638"/>
      <c r="PS6" s="638"/>
      <c r="PT6" s="638"/>
      <c r="PU6" s="638"/>
      <c r="PV6" s="638"/>
      <c r="PW6" s="638"/>
      <c r="PX6" s="638"/>
      <c r="PY6" s="638"/>
      <c r="PZ6" s="638"/>
      <c r="QA6" s="638"/>
      <c r="QB6" s="638"/>
      <c r="QC6" s="638"/>
      <c r="QD6" s="638"/>
      <c r="QE6" s="638"/>
      <c r="QF6" s="638"/>
      <c r="QG6" s="638"/>
      <c r="QH6" s="638"/>
      <c r="QI6" s="638"/>
      <c r="QJ6" s="638"/>
      <c r="QK6" s="638"/>
      <c r="QL6" s="638"/>
      <c r="QM6" s="638"/>
      <c r="QN6" s="638"/>
      <c r="QO6" s="638"/>
      <c r="QP6" s="638"/>
      <c r="QQ6" s="638"/>
      <c r="QR6" s="638"/>
      <c r="QS6" s="638"/>
      <c r="QT6" s="638"/>
      <c r="QU6" s="638"/>
      <c r="QV6" s="638"/>
      <c r="QW6" s="638"/>
      <c r="QX6" s="638"/>
      <c r="QY6" s="638"/>
      <c r="QZ6" s="638"/>
      <c r="RA6" s="638"/>
      <c r="RB6" s="638"/>
      <c r="RC6" s="638"/>
      <c r="RD6" s="638"/>
      <c r="RE6" s="638"/>
      <c r="RF6" s="638"/>
      <c r="RG6" s="638"/>
      <c r="RH6" s="638"/>
      <c r="RI6" s="638"/>
      <c r="RJ6" s="638"/>
      <c r="RK6" s="638"/>
      <c r="RL6" s="638"/>
      <c r="RM6" s="638"/>
      <c r="RN6" s="638"/>
      <c r="RO6" s="638"/>
      <c r="RP6" s="638"/>
      <c r="RQ6" s="638"/>
      <c r="RR6" s="638"/>
      <c r="RS6" s="638"/>
      <c r="RT6" s="638"/>
      <c r="RU6" s="638"/>
      <c r="RV6" s="638"/>
      <c r="RW6" s="638"/>
      <c r="RX6" s="638"/>
      <c r="RY6" s="638"/>
      <c r="RZ6" s="638"/>
      <c r="SA6" s="638"/>
      <c r="SB6" s="638"/>
      <c r="SC6" s="638"/>
      <c r="SD6" s="638"/>
      <c r="SE6" s="638"/>
      <c r="SF6" s="638"/>
      <c r="SG6" s="638"/>
      <c r="SH6" s="638"/>
      <c r="SI6" s="638"/>
      <c r="SJ6" s="638"/>
      <c r="SK6" s="638"/>
      <c r="SL6" s="638"/>
      <c r="SM6" s="638"/>
      <c r="SN6" s="638"/>
      <c r="SO6" s="638"/>
      <c r="SP6" s="638"/>
      <c r="SQ6" s="638"/>
      <c r="SR6" s="638"/>
      <c r="SS6" s="638"/>
      <c r="ST6" s="638"/>
      <c r="SU6" s="638"/>
      <c r="SV6" s="638"/>
      <c r="SW6" s="638"/>
      <c r="SX6" s="638"/>
      <c r="SY6" s="638"/>
      <c r="SZ6" s="638"/>
      <c r="TA6" s="638"/>
      <c r="TB6" s="638"/>
      <c r="TC6" s="638"/>
      <c r="TD6" s="638"/>
      <c r="TE6" s="638"/>
      <c r="TF6" s="638"/>
      <c r="TG6" s="638"/>
      <c r="TH6" s="638"/>
      <c r="TI6" s="638"/>
      <c r="TJ6" s="638"/>
      <c r="TK6" s="638"/>
      <c r="TL6" s="638"/>
      <c r="TM6" s="638"/>
      <c r="TN6" s="638"/>
      <c r="TO6" s="638"/>
      <c r="TP6" s="638"/>
      <c r="TQ6" s="638"/>
      <c r="TR6" s="638"/>
      <c r="TS6" s="638"/>
      <c r="TT6" s="638"/>
      <c r="TU6" s="638"/>
      <c r="TV6" s="638"/>
      <c r="TW6" s="638"/>
      <c r="TX6" s="638"/>
      <c r="TY6" s="638"/>
      <c r="TZ6" s="638"/>
      <c r="UA6" s="638"/>
      <c r="UB6" s="638"/>
      <c r="UC6" s="638"/>
      <c r="UD6" s="638"/>
      <c r="UE6" s="638"/>
      <c r="UF6" s="638"/>
      <c r="UG6" s="638"/>
      <c r="UH6" s="638"/>
      <c r="UI6" s="638"/>
      <c r="UJ6" s="638"/>
      <c r="UK6" s="638"/>
      <c r="UL6" s="638"/>
      <c r="UM6" s="638"/>
      <c r="UN6" s="638"/>
      <c r="UO6" s="638"/>
      <c r="UP6" s="638"/>
      <c r="UQ6" s="638"/>
      <c r="UR6" s="638"/>
      <c r="US6" s="638"/>
      <c r="UT6" s="638"/>
      <c r="UU6" s="638"/>
      <c r="UV6" s="638"/>
      <c r="UW6" s="638"/>
      <c r="UX6" s="638"/>
      <c r="UY6" s="638"/>
      <c r="UZ6" s="638"/>
      <c r="VA6" s="638"/>
      <c r="VB6" s="638"/>
      <c r="VC6" s="638"/>
      <c r="VD6" s="638"/>
      <c r="VE6" s="638"/>
      <c r="VF6" s="638"/>
      <c r="VG6" s="638"/>
      <c r="VH6" s="638"/>
      <c r="VI6" s="638"/>
      <c r="VJ6" s="638"/>
      <c r="VK6" s="638"/>
      <c r="VL6" s="638"/>
      <c r="VM6" s="638"/>
      <c r="VN6" s="638"/>
      <c r="VO6" s="638"/>
      <c r="VP6" s="638"/>
      <c r="VQ6" s="638"/>
      <c r="VR6" s="638"/>
      <c r="VS6" s="638"/>
      <c r="VT6" s="638"/>
      <c r="VU6" s="638"/>
      <c r="VV6" s="638"/>
      <c r="VW6" s="638"/>
      <c r="VX6" s="638"/>
      <c r="VY6" s="638"/>
      <c r="VZ6" s="638"/>
      <c r="WA6" s="638"/>
      <c r="WB6" s="638"/>
      <c r="WC6" s="638"/>
      <c r="WD6" s="638"/>
      <c r="WE6" s="638"/>
      <c r="WF6" s="638"/>
      <c r="WG6" s="638"/>
      <c r="WH6" s="638"/>
      <c r="WI6" s="638"/>
      <c r="WJ6" s="638"/>
      <c r="WK6" s="638"/>
      <c r="WL6" s="638"/>
      <c r="WM6" s="638"/>
      <c r="WN6" s="638"/>
      <c r="WO6" s="638"/>
      <c r="WP6" s="638"/>
      <c r="WQ6" s="638"/>
      <c r="WR6" s="638"/>
      <c r="WS6" s="638"/>
      <c r="WT6" s="638"/>
      <c r="WU6" s="638"/>
      <c r="WV6" s="638"/>
      <c r="WW6" s="638"/>
      <c r="WX6" s="638"/>
      <c r="WY6" s="638"/>
      <c r="WZ6" s="638"/>
      <c r="XA6" s="638"/>
      <c r="XB6" s="638"/>
      <c r="XC6" s="638"/>
      <c r="XD6" s="638"/>
      <c r="XE6" s="638"/>
      <c r="XF6" s="638"/>
      <c r="XG6" s="638"/>
      <c r="XH6" s="638"/>
      <c r="XI6" s="638"/>
      <c r="XJ6" s="638"/>
      <c r="XK6" s="638"/>
      <c r="XL6" s="638"/>
      <c r="XM6" s="638"/>
      <c r="XN6" s="638"/>
      <c r="XO6" s="638"/>
      <c r="XP6" s="638"/>
      <c r="XQ6" s="638"/>
      <c r="XR6" s="638"/>
      <c r="XS6" s="638"/>
      <c r="XT6" s="638"/>
      <c r="XU6" s="638"/>
      <c r="XV6" s="638"/>
      <c r="XW6" s="638"/>
      <c r="XX6" s="638"/>
      <c r="XY6" s="638"/>
      <c r="XZ6" s="638"/>
      <c r="YA6" s="638"/>
      <c r="YB6" s="638"/>
      <c r="YC6" s="638"/>
      <c r="YD6" s="638"/>
      <c r="YE6" s="638"/>
      <c r="YF6" s="638"/>
      <c r="YG6" s="638"/>
      <c r="YH6" s="638"/>
      <c r="YI6" s="638"/>
      <c r="YJ6" s="638"/>
      <c r="YK6" s="638"/>
      <c r="YL6" s="638"/>
      <c r="YM6" s="638"/>
      <c r="YN6" s="638"/>
      <c r="YO6" s="638"/>
      <c r="YP6" s="638"/>
      <c r="YQ6" s="638"/>
      <c r="YR6" s="638"/>
      <c r="YS6" s="638"/>
      <c r="YT6" s="638"/>
      <c r="YU6" s="638"/>
      <c r="YV6" s="638"/>
      <c r="YW6" s="638"/>
      <c r="YX6" s="638"/>
      <c r="YY6" s="638"/>
      <c r="YZ6" s="638"/>
      <c r="ZA6" s="638"/>
      <c r="ZB6" s="638"/>
      <c r="ZC6" s="638"/>
      <c r="ZD6" s="638"/>
      <c r="ZE6" s="638"/>
      <c r="ZF6" s="638"/>
      <c r="ZG6" s="638"/>
      <c r="ZH6" s="638"/>
      <c r="ZI6" s="638"/>
      <c r="ZJ6" s="638"/>
      <c r="ZK6" s="638"/>
      <c r="ZL6" s="638"/>
      <c r="ZM6" s="638"/>
      <c r="ZN6" s="638"/>
      <c r="ZO6" s="638"/>
      <c r="ZP6" s="638"/>
      <c r="ZQ6" s="638"/>
      <c r="ZR6" s="638"/>
      <c r="ZS6" s="638"/>
      <c r="ZT6" s="638"/>
      <c r="ZU6" s="638"/>
      <c r="ZV6" s="638"/>
      <c r="ZW6" s="638"/>
      <c r="ZX6" s="638"/>
      <c r="ZY6" s="638"/>
      <c r="ZZ6" s="638"/>
      <c r="AAA6" s="638"/>
      <c r="AAB6" s="638"/>
      <c r="AAC6" s="638"/>
      <c r="AAD6" s="638"/>
      <c r="AAE6" s="638"/>
      <c r="AAF6" s="638"/>
      <c r="AAG6" s="638"/>
      <c r="AAH6" s="638"/>
      <c r="AAI6" s="638"/>
      <c r="AAJ6" s="638"/>
      <c r="AAK6" s="638"/>
      <c r="AAL6" s="638"/>
      <c r="AAM6" s="638"/>
      <c r="AAN6" s="638"/>
      <c r="AAO6" s="638"/>
      <c r="AAP6" s="638"/>
      <c r="AAQ6" s="638"/>
      <c r="AAR6" s="638"/>
      <c r="AAS6" s="638"/>
      <c r="AAT6" s="638"/>
      <c r="AAU6" s="638"/>
      <c r="AAV6" s="638"/>
      <c r="AAW6" s="638"/>
      <c r="AAX6" s="638"/>
      <c r="AAY6" s="638"/>
      <c r="AAZ6" s="638"/>
      <c r="ABA6" s="638"/>
      <c r="ABB6" s="638"/>
      <c r="ABC6" s="638"/>
      <c r="ABD6" s="638"/>
      <c r="ABE6" s="638"/>
      <c r="ABF6" s="638"/>
      <c r="ABG6" s="638"/>
      <c r="ABH6" s="638"/>
      <c r="ABI6" s="638"/>
      <c r="ABJ6" s="638"/>
      <c r="ABK6" s="638"/>
      <c r="ABL6" s="638"/>
      <c r="ABM6" s="638"/>
      <c r="ABN6" s="638"/>
      <c r="ABO6" s="638"/>
      <c r="ABP6" s="638"/>
      <c r="ABQ6" s="638"/>
      <c r="ABR6" s="638"/>
      <c r="ABS6" s="638"/>
      <c r="ABT6" s="638"/>
      <c r="ABU6" s="638"/>
      <c r="ABV6" s="638"/>
      <c r="ABW6" s="638"/>
      <c r="ABX6" s="638"/>
      <c r="ABY6" s="638"/>
      <c r="ABZ6" s="638"/>
      <c r="ACA6" s="638"/>
      <c r="ACB6" s="638"/>
      <c r="ACC6" s="638"/>
      <c r="ACD6" s="638"/>
      <c r="ACE6" s="638"/>
      <c r="ACF6" s="638"/>
      <c r="ACG6" s="638"/>
      <c r="ACH6" s="638"/>
      <c r="ACI6" s="638"/>
      <c r="ACJ6" s="638"/>
      <c r="ACK6" s="638"/>
      <c r="ACL6" s="638"/>
      <c r="ACM6" s="638"/>
      <c r="ACN6" s="638"/>
      <c r="ACO6" s="638"/>
      <c r="ACP6" s="638"/>
      <c r="ACQ6" s="638"/>
      <c r="ACR6" s="638"/>
      <c r="ACS6" s="638"/>
      <c r="ACT6" s="638"/>
      <c r="ACU6" s="638"/>
      <c r="ACV6" s="638"/>
      <c r="ACW6" s="638"/>
      <c r="ACX6" s="638"/>
      <c r="ACY6" s="638"/>
      <c r="ACZ6" s="638"/>
      <c r="ADA6" s="638"/>
      <c r="ADB6" s="638"/>
      <c r="ADC6" s="638"/>
      <c r="ADD6" s="638"/>
      <c r="ADE6" s="638"/>
      <c r="ADF6" s="638"/>
      <c r="ADG6" s="638"/>
      <c r="ADH6" s="638"/>
      <c r="ADI6" s="638"/>
      <c r="ADJ6" s="638"/>
      <c r="ADK6" s="638"/>
      <c r="ADL6" s="638"/>
      <c r="ADM6" s="638"/>
      <c r="ADN6" s="638"/>
      <c r="ADO6" s="638"/>
      <c r="ADP6" s="638"/>
      <c r="ADQ6" s="638"/>
      <c r="ADR6" s="638"/>
      <c r="ADS6" s="638"/>
      <c r="ADT6" s="638"/>
      <c r="ADU6" s="638"/>
      <c r="ADV6" s="638"/>
      <c r="ADW6" s="638"/>
      <c r="ADX6" s="638"/>
      <c r="ADY6" s="638"/>
      <c r="ADZ6" s="638"/>
      <c r="AEA6" s="638"/>
      <c r="AEB6" s="638"/>
      <c r="AEC6" s="638"/>
      <c r="AED6" s="638"/>
      <c r="AEE6" s="638"/>
      <c r="AEF6" s="638"/>
      <c r="AEG6" s="638"/>
      <c r="AEH6" s="638"/>
      <c r="AEI6" s="638"/>
      <c r="AEJ6" s="638"/>
      <c r="AEK6" s="638"/>
      <c r="AEL6" s="638"/>
      <c r="AEM6" s="638"/>
      <c r="AEN6" s="638"/>
      <c r="AEO6" s="638"/>
      <c r="AEP6" s="638"/>
      <c r="AEQ6" s="638"/>
      <c r="AER6" s="638"/>
      <c r="AES6" s="638"/>
      <c r="AET6" s="638"/>
      <c r="AEU6" s="638"/>
      <c r="AEV6" s="638"/>
      <c r="AEW6" s="638"/>
      <c r="AEX6" s="638"/>
      <c r="AEY6" s="638"/>
      <c r="AEZ6" s="638"/>
      <c r="AFA6" s="638"/>
      <c r="AFB6" s="638"/>
      <c r="AFC6" s="638"/>
      <c r="AFD6" s="638"/>
      <c r="AFE6" s="638"/>
      <c r="AFF6" s="638"/>
      <c r="AFG6" s="638"/>
      <c r="AFH6" s="638"/>
      <c r="AFI6" s="638"/>
      <c r="AFJ6" s="638"/>
      <c r="AFK6" s="638"/>
      <c r="AFL6" s="638"/>
      <c r="AFM6" s="638"/>
      <c r="AFN6" s="638"/>
      <c r="AFO6" s="638"/>
      <c r="AFP6" s="638"/>
      <c r="AFQ6" s="638"/>
      <c r="AFR6" s="638"/>
      <c r="AFS6" s="638"/>
      <c r="AFT6" s="638"/>
      <c r="AFU6" s="638"/>
      <c r="AFV6" s="638"/>
      <c r="AFW6" s="638"/>
      <c r="AFX6" s="638"/>
      <c r="AFY6" s="638"/>
      <c r="AFZ6" s="638"/>
      <c r="AGA6" s="638"/>
      <c r="AGB6" s="638"/>
      <c r="AGC6" s="638"/>
      <c r="AGD6" s="638"/>
      <c r="AGE6" s="638"/>
      <c r="AGF6" s="638"/>
      <c r="AGG6" s="638"/>
      <c r="AGH6" s="638"/>
      <c r="AGI6" s="638"/>
      <c r="AGJ6" s="638"/>
      <c r="AGK6" s="638"/>
      <c r="AGL6" s="638"/>
      <c r="AGM6" s="638"/>
      <c r="AGN6" s="638"/>
      <c r="AGO6" s="638"/>
      <c r="AGP6" s="638"/>
      <c r="AGQ6" s="638"/>
      <c r="AGR6" s="638"/>
      <c r="AGS6" s="638"/>
      <c r="AGT6" s="638"/>
      <c r="AGU6" s="638"/>
      <c r="AGV6" s="638"/>
      <c r="AGW6" s="638"/>
      <c r="AGX6" s="638"/>
      <c r="AGY6" s="638"/>
      <c r="AGZ6" s="638"/>
      <c r="AHA6" s="638"/>
      <c r="AHB6" s="638"/>
      <c r="AHC6" s="638"/>
      <c r="AHD6" s="638"/>
      <c r="AHE6" s="638"/>
      <c r="AHF6" s="638"/>
      <c r="AHG6" s="638"/>
      <c r="AHH6" s="638"/>
      <c r="AHI6" s="638"/>
      <c r="AHJ6" s="638"/>
      <c r="AHK6" s="638"/>
      <c r="AHL6" s="638"/>
      <c r="AHM6" s="638"/>
      <c r="AHN6" s="638"/>
      <c r="AHO6" s="638"/>
      <c r="AHP6" s="638"/>
      <c r="AHQ6" s="638"/>
      <c r="AHR6" s="638"/>
      <c r="AHS6" s="638"/>
      <c r="AHT6" s="638"/>
      <c r="AHU6" s="638"/>
      <c r="AHV6" s="638"/>
      <c r="AHW6" s="638"/>
      <c r="AHX6" s="638"/>
      <c r="AHY6" s="638"/>
      <c r="AHZ6" s="638"/>
      <c r="AIA6" s="638"/>
      <c r="AIB6" s="638"/>
      <c r="AIC6" s="638"/>
      <c r="AID6" s="638"/>
      <c r="AIE6" s="638"/>
      <c r="AIF6" s="638"/>
      <c r="AIG6" s="638"/>
      <c r="AIH6" s="638"/>
      <c r="AII6" s="638"/>
      <c r="AIJ6" s="638"/>
      <c r="AIK6" s="638"/>
      <c r="AIL6" s="638"/>
      <c r="AIM6" s="638"/>
      <c r="AIN6" s="638"/>
      <c r="AIO6" s="638"/>
      <c r="AIP6" s="638"/>
      <c r="AIQ6" s="638"/>
      <c r="AIR6" s="638"/>
      <c r="AIS6" s="638"/>
      <c r="AIT6" s="638"/>
      <c r="AIU6" s="638"/>
      <c r="AIV6" s="638"/>
      <c r="AIW6" s="638"/>
      <c r="AIX6" s="638"/>
      <c r="AIY6" s="638"/>
      <c r="AIZ6" s="638"/>
      <c r="AJA6" s="638"/>
      <c r="AJB6" s="638"/>
      <c r="AJC6" s="638"/>
      <c r="AJD6" s="638"/>
      <c r="AJE6" s="638"/>
      <c r="AJF6" s="638"/>
      <c r="AJG6" s="638"/>
      <c r="AJH6" s="638"/>
      <c r="AJI6" s="638"/>
      <c r="AJJ6" s="638"/>
      <c r="AJK6" s="638"/>
      <c r="AJL6" s="638"/>
      <c r="AJM6" s="638"/>
      <c r="AJN6" s="638"/>
      <c r="AJO6" s="638"/>
      <c r="AJP6" s="638"/>
      <c r="AJQ6" s="638"/>
      <c r="AJR6" s="638"/>
      <c r="AJS6" s="638"/>
      <c r="AJT6" s="638"/>
      <c r="AJU6" s="638"/>
      <c r="AJV6" s="638"/>
      <c r="AJW6" s="638"/>
      <c r="AJX6" s="638"/>
      <c r="AJY6" s="638"/>
      <c r="AJZ6" s="638"/>
      <c r="AKA6" s="638"/>
      <c r="AKB6" s="638"/>
      <c r="AKC6" s="638"/>
      <c r="AKD6" s="638"/>
      <c r="AKE6" s="638"/>
      <c r="AKF6" s="638"/>
      <c r="AKG6" s="638"/>
      <c r="AKH6" s="638"/>
      <c r="AKI6" s="638"/>
      <c r="AKJ6" s="638"/>
      <c r="AKK6" s="638"/>
      <c r="AKL6" s="638"/>
      <c r="AKM6" s="638"/>
      <c r="AKN6" s="638"/>
      <c r="AKO6" s="638"/>
      <c r="AKP6" s="638"/>
      <c r="AKQ6" s="638"/>
      <c r="AKR6" s="638"/>
      <c r="AKS6" s="638"/>
      <c r="AKT6" s="638"/>
      <c r="AKU6" s="638"/>
      <c r="AKV6" s="638"/>
      <c r="AKW6" s="638"/>
      <c r="AKX6" s="638"/>
      <c r="AKY6" s="638"/>
      <c r="AKZ6" s="638"/>
      <c r="ALA6" s="638"/>
      <c r="ALB6" s="638"/>
      <c r="ALC6" s="638"/>
      <c r="ALD6" s="638"/>
      <c r="ALE6" s="638"/>
      <c r="ALF6" s="638"/>
      <c r="ALG6" s="638"/>
      <c r="ALH6" s="638"/>
      <c r="ALI6" s="638"/>
      <c r="ALJ6" s="638"/>
      <c r="ALK6" s="638"/>
      <c r="ALL6" s="638"/>
      <c r="ALM6" s="638"/>
      <c r="ALN6" s="638"/>
      <c r="ALO6" s="638"/>
      <c r="ALP6" s="638"/>
      <c r="ALQ6" s="638"/>
      <c r="ALR6" s="638"/>
      <c r="ALS6" s="638"/>
      <c r="ALT6" s="638"/>
      <c r="ALU6" s="638"/>
      <c r="ALV6" s="638"/>
      <c r="ALW6" s="638"/>
      <c r="ALX6" s="638"/>
      <c r="ALY6" s="638"/>
      <c r="ALZ6" s="638"/>
      <c r="AMA6" s="638"/>
      <c r="AMB6" s="638"/>
      <c r="AMC6" s="638"/>
      <c r="AMD6" s="638"/>
      <c r="AME6" s="638"/>
      <c r="AMF6" s="638"/>
      <c r="AMG6" s="638"/>
      <c r="AMH6" s="638"/>
      <c r="AMI6" s="638"/>
      <c r="AMJ6" s="638"/>
      <c r="AMK6" s="638"/>
      <c r="AML6" s="638"/>
      <c r="AMM6" s="638"/>
      <c r="AMN6" s="638"/>
      <c r="AMO6" s="638"/>
      <c r="AMP6" s="638"/>
      <c r="AMQ6" s="638"/>
      <c r="AMR6" s="638"/>
      <c r="AMS6" s="638"/>
      <c r="AMT6" s="638"/>
      <c r="AMU6" s="638"/>
      <c r="AMV6" s="638"/>
      <c r="AMW6" s="638"/>
      <c r="AMX6" s="638"/>
      <c r="AMY6" s="638"/>
      <c r="AMZ6" s="638"/>
      <c r="ANA6" s="638"/>
      <c r="ANB6" s="638"/>
      <c r="ANC6" s="638"/>
      <c r="AND6" s="638"/>
      <c r="ANE6" s="638"/>
      <c r="ANF6" s="638"/>
      <c r="ANG6" s="638"/>
      <c r="ANH6" s="638"/>
      <c r="ANI6" s="638"/>
      <c r="ANJ6" s="638"/>
      <c r="ANK6" s="638"/>
      <c r="ANL6" s="638"/>
      <c r="ANM6" s="638"/>
      <c r="ANN6" s="638"/>
      <c r="ANO6" s="638"/>
      <c r="ANP6" s="638"/>
      <c r="ANQ6" s="638"/>
      <c r="ANR6" s="638"/>
      <c r="ANS6" s="638"/>
      <c r="ANT6" s="638"/>
      <c r="ANU6" s="638"/>
      <c r="ANV6" s="638"/>
      <c r="ANW6" s="638"/>
      <c r="ANX6" s="638"/>
      <c r="ANY6" s="638"/>
      <c r="ANZ6" s="638"/>
      <c r="AOA6" s="638"/>
      <c r="AOB6" s="638"/>
      <c r="AOC6" s="638"/>
      <c r="AOD6" s="638"/>
      <c r="AOE6" s="638"/>
      <c r="AOF6" s="638"/>
      <c r="AOG6" s="638"/>
      <c r="AOH6" s="638"/>
      <c r="AOI6" s="638"/>
      <c r="AOJ6" s="638"/>
      <c r="AOK6" s="638"/>
      <c r="AOL6" s="638"/>
      <c r="AOM6" s="638"/>
      <c r="AON6" s="638"/>
      <c r="AOO6" s="638"/>
      <c r="AOP6" s="638"/>
      <c r="AOQ6" s="638"/>
      <c r="AOR6" s="638"/>
      <c r="AOS6" s="638"/>
      <c r="AOT6" s="638"/>
      <c r="AOU6" s="638"/>
      <c r="AOV6" s="638"/>
      <c r="AOW6" s="638"/>
      <c r="AOX6" s="638"/>
      <c r="AOY6" s="638"/>
      <c r="AOZ6" s="638"/>
      <c r="APA6" s="638"/>
      <c r="APB6" s="638"/>
      <c r="APC6" s="638"/>
      <c r="APD6" s="638"/>
      <c r="APE6" s="638"/>
      <c r="APF6" s="638"/>
      <c r="APG6" s="638"/>
      <c r="APH6" s="638"/>
      <c r="API6" s="638"/>
      <c r="APJ6" s="638"/>
      <c r="APK6" s="638"/>
      <c r="APL6" s="638"/>
      <c r="APM6" s="638"/>
      <c r="APN6" s="638"/>
      <c r="APO6" s="638"/>
      <c r="APP6" s="638"/>
      <c r="APQ6" s="638"/>
      <c r="APR6" s="638"/>
      <c r="APS6" s="638"/>
      <c r="APT6" s="638"/>
      <c r="APU6" s="638"/>
      <c r="APV6" s="638"/>
      <c r="APW6" s="638"/>
      <c r="APX6" s="638"/>
    </row>
    <row r="7" spans="1:1116" s="40" customFormat="1" ht="15" customHeight="1">
      <c r="A7" s="187"/>
      <c r="B7" s="161"/>
      <c r="C7" s="52"/>
      <c r="D7" s="420"/>
      <c r="E7" s="425"/>
      <c r="F7" s="429"/>
      <c r="G7" s="188"/>
      <c r="H7" s="378"/>
      <c r="I7" s="383"/>
      <c r="J7" s="378"/>
      <c r="K7" s="130"/>
      <c r="L7" s="130"/>
      <c r="M7" s="450"/>
      <c r="N7" s="349"/>
      <c r="O7" s="450"/>
      <c r="P7" s="189"/>
      <c r="Q7" s="608"/>
      <c r="R7" s="609"/>
      <c r="S7" s="609"/>
      <c r="T7" s="577"/>
      <c r="U7" s="577"/>
      <c r="V7" s="577"/>
      <c r="W7" s="541"/>
      <c r="X7" s="541"/>
      <c r="Y7" s="541"/>
      <c r="Z7" s="541"/>
      <c r="AA7" s="541"/>
      <c r="AB7" s="541"/>
      <c r="AC7" s="541"/>
      <c r="AD7" s="541"/>
      <c r="AE7" s="541"/>
      <c r="AF7" s="541"/>
      <c r="AG7" s="541"/>
      <c r="AH7" s="541"/>
      <c r="AI7" s="541"/>
      <c r="AJ7" s="541"/>
      <c r="AK7" s="541"/>
      <c r="AL7" s="541"/>
      <c r="AM7" s="541"/>
      <c r="AN7" s="541"/>
      <c r="AO7" s="541"/>
      <c r="AP7" s="541"/>
      <c r="AQ7" s="541"/>
      <c r="AR7" s="541"/>
      <c r="AS7" s="541"/>
      <c r="AT7" s="541"/>
      <c r="AU7" s="541"/>
      <c r="AV7" s="541"/>
      <c r="AW7" s="541"/>
      <c r="AX7" s="541"/>
      <c r="AY7" s="541"/>
      <c r="AZ7" s="541"/>
      <c r="BA7" s="541"/>
      <c r="BB7" s="541"/>
      <c r="BC7" s="541"/>
      <c r="BD7" s="541"/>
      <c r="BE7" s="541"/>
      <c r="BF7" s="541"/>
      <c r="BG7" s="541"/>
      <c r="BH7" s="541"/>
      <c r="BI7" s="541"/>
      <c r="BJ7" s="541"/>
      <c r="BK7" s="541"/>
      <c r="BL7" s="541"/>
      <c r="BM7" s="541"/>
      <c r="BN7" s="541"/>
      <c r="BO7" s="541"/>
      <c r="BP7" s="541"/>
      <c r="BQ7" s="541"/>
      <c r="BR7" s="541"/>
      <c r="BS7" s="541"/>
      <c r="BT7" s="541"/>
      <c r="BU7" s="541"/>
      <c r="BV7" s="541"/>
      <c r="BW7" s="541"/>
      <c r="BX7" s="541"/>
      <c r="BY7" s="541"/>
      <c r="BZ7" s="541"/>
      <c r="CA7" s="541"/>
      <c r="CB7" s="541"/>
      <c r="CC7" s="541"/>
      <c r="CD7" s="542"/>
      <c r="CE7" s="609"/>
      <c r="CF7" s="541"/>
      <c r="CG7" s="541"/>
      <c r="CH7" s="541"/>
      <c r="CI7" s="541"/>
      <c r="CJ7" s="541"/>
      <c r="CK7" s="541"/>
      <c r="CL7" s="541"/>
      <c r="CM7" s="541"/>
      <c r="CN7" s="541"/>
      <c r="CO7" s="541"/>
      <c r="CP7" s="541"/>
      <c r="CQ7" s="541"/>
      <c r="CR7" s="541"/>
      <c r="CS7" s="541"/>
      <c r="CT7" s="541"/>
      <c r="CU7" s="541"/>
      <c r="CV7" s="541"/>
      <c r="CW7" s="541"/>
      <c r="CX7" s="541"/>
      <c r="CY7" s="541"/>
      <c r="CZ7" s="541"/>
      <c r="DA7" s="541"/>
      <c r="DB7" s="541"/>
      <c r="DC7" s="541"/>
      <c r="DD7" s="541"/>
      <c r="DE7" s="541"/>
      <c r="DF7" s="541"/>
      <c r="DG7" s="541"/>
      <c r="DH7" s="541"/>
      <c r="DI7" s="541"/>
      <c r="DJ7" s="541"/>
      <c r="DK7" s="541"/>
      <c r="DL7" s="541"/>
      <c r="DM7" s="541"/>
      <c r="DN7" s="541"/>
      <c r="DO7" s="541"/>
      <c r="DP7" s="541"/>
      <c r="DQ7" s="541"/>
      <c r="DR7" s="541"/>
      <c r="DS7" s="541"/>
      <c r="DT7" s="541"/>
      <c r="DU7" s="541"/>
      <c r="DV7" s="541"/>
      <c r="DW7" s="541"/>
      <c r="DX7" s="541"/>
      <c r="DY7" s="541"/>
      <c r="DZ7" s="541"/>
      <c r="EA7" s="541"/>
      <c r="EB7" s="541"/>
      <c r="EC7" s="541"/>
      <c r="ED7" s="541"/>
      <c r="EE7" s="541"/>
      <c r="EF7" s="541"/>
      <c r="EG7" s="541"/>
      <c r="EH7" s="541"/>
      <c r="EI7" s="541"/>
      <c r="EJ7" s="541"/>
      <c r="EK7" s="541"/>
      <c r="EL7" s="541"/>
      <c r="EM7" s="542"/>
      <c r="EN7" s="609"/>
      <c r="EO7" s="609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</row>
    <row r="8" spans="1:1116" s="272" customFormat="1" ht="15" customHeight="1">
      <c r="A8" s="268"/>
      <c r="B8" s="269"/>
      <c r="C8" s="270"/>
      <c r="D8" s="421"/>
      <c r="E8" s="359"/>
      <c r="F8" s="364"/>
      <c r="G8" s="271"/>
      <c r="H8" s="378"/>
      <c r="I8" s="385"/>
      <c r="J8" s="378"/>
      <c r="K8" s="130"/>
      <c r="L8" s="130"/>
      <c r="M8" s="450"/>
      <c r="N8" s="349"/>
      <c r="O8" s="450"/>
      <c r="P8" s="189"/>
      <c r="Q8" s="608"/>
      <c r="R8" s="365"/>
      <c r="S8" s="365"/>
      <c r="T8" s="577"/>
      <c r="U8" s="577"/>
      <c r="V8" s="577"/>
      <c r="W8" s="541"/>
      <c r="X8" s="541"/>
      <c r="Y8" s="541"/>
      <c r="Z8" s="541"/>
      <c r="AA8" s="541"/>
      <c r="AB8" s="541"/>
      <c r="AC8" s="541"/>
      <c r="AD8" s="541"/>
      <c r="AE8" s="541"/>
      <c r="AF8" s="541"/>
      <c r="AG8" s="541"/>
      <c r="AH8" s="541"/>
      <c r="AI8" s="541"/>
      <c r="AJ8" s="541"/>
      <c r="AK8" s="541"/>
      <c r="AL8" s="541"/>
      <c r="AM8" s="541"/>
      <c r="AN8" s="541"/>
      <c r="AO8" s="541"/>
      <c r="AP8" s="541"/>
      <c r="AQ8" s="541"/>
      <c r="AR8" s="541"/>
      <c r="AS8" s="541"/>
      <c r="AT8" s="541"/>
      <c r="AU8" s="541"/>
      <c r="AV8" s="541"/>
      <c r="AW8" s="541"/>
      <c r="AX8" s="541"/>
      <c r="AY8" s="541"/>
      <c r="AZ8" s="541"/>
      <c r="BA8" s="541"/>
      <c r="BB8" s="541"/>
      <c r="BC8" s="541"/>
      <c r="BD8" s="541"/>
      <c r="BE8" s="541"/>
      <c r="BF8" s="541"/>
      <c r="BG8" s="541"/>
      <c r="BH8" s="541"/>
      <c r="BI8" s="541"/>
      <c r="BJ8" s="541"/>
      <c r="BK8" s="541"/>
      <c r="BL8" s="541"/>
      <c r="BM8" s="541"/>
      <c r="BN8" s="541"/>
      <c r="BO8" s="541"/>
      <c r="BP8" s="541"/>
      <c r="BQ8" s="541"/>
      <c r="BR8" s="541"/>
      <c r="BS8" s="541"/>
      <c r="BT8" s="541"/>
      <c r="BU8" s="541"/>
      <c r="BV8" s="541"/>
      <c r="BW8" s="541"/>
      <c r="BX8" s="541"/>
      <c r="BY8" s="541"/>
      <c r="BZ8" s="541"/>
      <c r="CA8" s="541"/>
      <c r="CB8" s="541"/>
      <c r="CC8" s="541"/>
      <c r="CD8" s="542"/>
      <c r="CE8" s="365"/>
      <c r="CF8" s="541"/>
      <c r="CG8" s="541"/>
      <c r="CH8" s="541"/>
      <c r="CI8" s="541"/>
      <c r="CJ8" s="541"/>
      <c r="CK8" s="541"/>
      <c r="CL8" s="541"/>
      <c r="CM8" s="541"/>
      <c r="CN8" s="541"/>
      <c r="CO8" s="541"/>
      <c r="CP8" s="541"/>
      <c r="CQ8" s="541"/>
      <c r="CR8" s="541"/>
      <c r="CS8" s="541"/>
      <c r="CT8" s="541"/>
      <c r="CU8" s="541"/>
      <c r="CV8" s="541"/>
      <c r="CW8" s="541"/>
      <c r="CX8" s="541"/>
      <c r="CY8" s="541"/>
      <c r="CZ8" s="541"/>
      <c r="DA8" s="541"/>
      <c r="DB8" s="541"/>
      <c r="DC8" s="541"/>
      <c r="DD8" s="541"/>
      <c r="DE8" s="541"/>
      <c r="DF8" s="541"/>
      <c r="DG8" s="541"/>
      <c r="DH8" s="541"/>
      <c r="DI8" s="541"/>
      <c r="DJ8" s="541"/>
      <c r="DK8" s="541"/>
      <c r="DL8" s="541"/>
      <c r="DM8" s="541"/>
      <c r="DN8" s="541"/>
      <c r="DO8" s="541"/>
      <c r="DP8" s="541"/>
      <c r="DQ8" s="541"/>
      <c r="DR8" s="541"/>
      <c r="DS8" s="541"/>
      <c r="DT8" s="541"/>
      <c r="DU8" s="541"/>
      <c r="DV8" s="541"/>
      <c r="DW8" s="541"/>
      <c r="DX8" s="541"/>
      <c r="DY8" s="541"/>
      <c r="DZ8" s="541"/>
      <c r="EA8" s="541"/>
      <c r="EB8" s="541"/>
      <c r="EC8" s="541"/>
      <c r="ED8" s="541"/>
      <c r="EE8" s="541"/>
      <c r="EF8" s="541"/>
      <c r="EG8" s="541"/>
      <c r="EH8" s="541"/>
      <c r="EI8" s="541"/>
      <c r="EJ8" s="541"/>
      <c r="EK8" s="541"/>
      <c r="EL8" s="541"/>
      <c r="EM8" s="542"/>
      <c r="EN8" s="365"/>
      <c r="EO8" s="365"/>
      <c r="EP8" s="270"/>
      <c r="EQ8" s="270"/>
      <c r="ER8" s="270"/>
      <c r="ES8" s="270"/>
      <c r="ET8" s="270"/>
      <c r="EU8" s="270"/>
      <c r="EV8" s="270"/>
      <c r="EW8" s="270"/>
      <c r="EX8" s="270"/>
      <c r="EY8" s="270"/>
      <c r="EZ8" s="270"/>
      <c r="FA8" s="270"/>
      <c r="FB8" s="270"/>
      <c r="FC8" s="270"/>
      <c r="FD8" s="270"/>
      <c r="FE8" s="270"/>
      <c r="FF8" s="270"/>
      <c r="FG8" s="270"/>
      <c r="FH8" s="270"/>
      <c r="FI8" s="270"/>
      <c r="FJ8" s="270"/>
      <c r="FK8" s="270"/>
      <c r="FL8" s="270"/>
      <c r="FM8" s="270"/>
      <c r="FN8" s="270"/>
      <c r="FO8" s="270"/>
      <c r="FP8" s="270"/>
      <c r="FQ8" s="270"/>
      <c r="FR8" s="270"/>
      <c r="FS8" s="270"/>
      <c r="FT8" s="270"/>
      <c r="FU8" s="270"/>
      <c r="FV8" s="270"/>
      <c r="FW8" s="270"/>
      <c r="FX8" s="270"/>
      <c r="FY8" s="270"/>
      <c r="FZ8" s="270"/>
      <c r="GA8" s="270"/>
      <c r="GB8" s="270"/>
      <c r="GC8" s="270"/>
      <c r="GD8" s="270"/>
      <c r="GE8" s="270"/>
      <c r="GF8" s="270"/>
      <c r="GG8" s="270"/>
      <c r="GH8" s="270"/>
      <c r="GI8" s="270"/>
      <c r="GJ8" s="270"/>
      <c r="GK8" s="270"/>
      <c r="GL8" s="270"/>
      <c r="GM8" s="270"/>
      <c r="GN8" s="270"/>
      <c r="GO8" s="270"/>
      <c r="GP8" s="270"/>
      <c r="GQ8" s="270"/>
      <c r="GR8" s="270"/>
      <c r="GS8" s="270"/>
      <c r="GT8" s="270"/>
      <c r="GU8" s="270"/>
      <c r="GV8" s="270"/>
      <c r="GW8" s="270"/>
      <c r="GX8" s="270"/>
      <c r="GY8" s="270"/>
      <c r="GZ8" s="270"/>
      <c r="HA8" s="270"/>
      <c r="HB8" s="270"/>
      <c r="HC8" s="270"/>
      <c r="HD8" s="270"/>
      <c r="HE8" s="270"/>
      <c r="HF8" s="270"/>
      <c r="HG8" s="270"/>
      <c r="HH8" s="270"/>
      <c r="HI8" s="270"/>
      <c r="HJ8" s="270"/>
      <c r="HK8" s="270"/>
      <c r="HL8" s="270"/>
      <c r="HM8" s="270"/>
      <c r="HN8" s="270"/>
      <c r="HO8" s="270"/>
      <c r="HP8" s="270"/>
      <c r="HQ8" s="270"/>
      <c r="HR8" s="270"/>
      <c r="HS8" s="270"/>
      <c r="HT8" s="270"/>
      <c r="HU8" s="270"/>
      <c r="HV8" s="270"/>
      <c r="HW8" s="270"/>
      <c r="HX8" s="270"/>
      <c r="HY8" s="270"/>
      <c r="HZ8" s="270"/>
      <c r="IA8" s="270"/>
      <c r="IB8" s="270"/>
      <c r="IC8" s="270"/>
      <c r="ID8" s="270"/>
      <c r="IE8" s="270"/>
      <c r="IF8" s="270"/>
      <c r="IG8" s="270"/>
      <c r="IH8" s="270"/>
      <c r="II8" s="270"/>
      <c r="IJ8" s="270"/>
      <c r="IK8" s="270"/>
      <c r="IL8" s="270"/>
      <c r="IM8" s="270"/>
      <c r="IN8" s="270"/>
      <c r="IO8" s="270"/>
      <c r="IP8" s="270"/>
      <c r="IQ8" s="270"/>
      <c r="IR8" s="270"/>
      <c r="IS8" s="270"/>
      <c r="IT8" s="270"/>
      <c r="IU8" s="270"/>
      <c r="IV8" s="270"/>
      <c r="IW8" s="270"/>
      <c r="IX8" s="270"/>
      <c r="IY8" s="270"/>
      <c r="IZ8" s="270"/>
      <c r="JA8" s="270"/>
      <c r="JB8" s="270"/>
      <c r="JC8" s="270"/>
      <c r="JD8" s="270"/>
      <c r="JE8" s="270"/>
      <c r="JF8" s="270"/>
      <c r="JG8" s="270"/>
      <c r="JH8" s="270"/>
      <c r="JI8" s="270"/>
      <c r="JJ8" s="270"/>
      <c r="JK8" s="270"/>
      <c r="JL8" s="270"/>
      <c r="JM8" s="270"/>
      <c r="JN8" s="270"/>
      <c r="JO8" s="270"/>
      <c r="JP8" s="270"/>
      <c r="JQ8" s="270"/>
      <c r="JR8" s="270"/>
      <c r="JS8" s="270"/>
      <c r="JT8" s="270"/>
      <c r="JU8" s="270"/>
      <c r="JV8" s="270"/>
      <c r="JW8" s="270"/>
      <c r="JX8" s="270"/>
      <c r="JY8" s="270"/>
      <c r="JZ8" s="270"/>
      <c r="KA8" s="270"/>
      <c r="KB8" s="270"/>
      <c r="KC8" s="270"/>
      <c r="KD8" s="270"/>
      <c r="KE8" s="270"/>
      <c r="KF8" s="270"/>
      <c r="KG8" s="270"/>
      <c r="KH8" s="270"/>
      <c r="KI8" s="270"/>
      <c r="KJ8" s="270"/>
      <c r="KK8" s="270"/>
      <c r="KL8" s="270"/>
      <c r="KM8" s="270"/>
      <c r="KN8" s="270"/>
      <c r="KO8" s="270"/>
      <c r="KP8" s="270"/>
      <c r="KQ8" s="270"/>
      <c r="KR8" s="270"/>
      <c r="KS8" s="270"/>
      <c r="KT8" s="270"/>
      <c r="KU8" s="270"/>
      <c r="KV8" s="270"/>
      <c r="KW8" s="270"/>
      <c r="KX8" s="270"/>
      <c r="KY8" s="270"/>
      <c r="KZ8" s="270"/>
      <c r="LA8" s="270"/>
      <c r="LB8" s="270"/>
      <c r="LC8" s="270"/>
      <c r="LD8" s="270"/>
      <c r="LE8" s="270"/>
      <c r="LF8" s="270"/>
      <c r="LG8" s="270"/>
      <c r="LH8" s="270"/>
      <c r="LI8" s="270"/>
      <c r="LJ8" s="270"/>
      <c r="LK8" s="270"/>
      <c r="LL8" s="270"/>
      <c r="LM8" s="270"/>
      <c r="LN8" s="270"/>
      <c r="LO8" s="270"/>
      <c r="LP8" s="270"/>
      <c r="LQ8" s="270"/>
      <c r="LR8" s="270"/>
      <c r="LS8" s="270"/>
      <c r="LT8" s="270"/>
      <c r="LU8" s="270"/>
      <c r="LV8" s="270"/>
      <c r="LW8" s="270"/>
      <c r="LX8" s="270"/>
      <c r="LY8" s="270"/>
      <c r="LZ8" s="270"/>
      <c r="MA8" s="270"/>
      <c r="MB8" s="270"/>
      <c r="MC8" s="270"/>
      <c r="MD8" s="270"/>
      <c r="ME8" s="270"/>
      <c r="MF8" s="270"/>
      <c r="MG8" s="270"/>
      <c r="MH8" s="270"/>
      <c r="MI8" s="270"/>
      <c r="MJ8" s="270"/>
      <c r="MK8" s="270"/>
      <c r="ML8" s="270"/>
      <c r="MM8" s="270"/>
      <c r="MN8" s="270"/>
      <c r="MO8" s="270"/>
      <c r="MP8" s="270"/>
      <c r="MQ8" s="270"/>
      <c r="MR8" s="270"/>
      <c r="MS8" s="270"/>
      <c r="MT8" s="270"/>
      <c r="MU8" s="270"/>
      <c r="MV8" s="270"/>
      <c r="MW8" s="270"/>
      <c r="MX8" s="270"/>
      <c r="MY8" s="270"/>
      <c r="MZ8" s="270"/>
      <c r="NA8" s="270"/>
      <c r="NB8" s="270"/>
      <c r="NC8" s="270"/>
      <c r="ND8" s="270"/>
      <c r="NE8" s="270"/>
      <c r="NF8" s="270"/>
      <c r="NG8" s="270"/>
      <c r="NH8" s="270"/>
      <c r="NI8" s="270"/>
      <c r="NJ8" s="270"/>
      <c r="NK8" s="270"/>
      <c r="NL8" s="270"/>
      <c r="NM8" s="270"/>
      <c r="NN8" s="270"/>
      <c r="NO8" s="270"/>
      <c r="NP8" s="270"/>
      <c r="NQ8" s="270"/>
      <c r="NR8" s="270"/>
      <c r="NS8" s="270"/>
      <c r="NT8" s="270"/>
      <c r="NU8" s="270"/>
      <c r="NV8" s="270"/>
      <c r="NW8" s="270"/>
      <c r="NX8" s="270"/>
      <c r="NY8" s="270"/>
      <c r="NZ8" s="270"/>
      <c r="OA8" s="270"/>
      <c r="OB8" s="270"/>
      <c r="OC8" s="270"/>
      <c r="OD8" s="270"/>
      <c r="OE8" s="270"/>
      <c r="OF8" s="270"/>
      <c r="OG8" s="270"/>
      <c r="OH8" s="270"/>
      <c r="OI8" s="270"/>
      <c r="OJ8" s="270"/>
      <c r="OK8" s="270"/>
      <c r="OL8" s="270"/>
      <c r="OM8" s="270"/>
      <c r="ON8" s="270"/>
      <c r="OO8" s="270"/>
      <c r="OP8" s="270"/>
      <c r="OQ8" s="270"/>
      <c r="OR8" s="270"/>
      <c r="OS8" s="270"/>
      <c r="OT8" s="270"/>
      <c r="OU8" s="270"/>
      <c r="OV8" s="270"/>
      <c r="OW8" s="270"/>
      <c r="OX8" s="270"/>
      <c r="OY8" s="270"/>
      <c r="OZ8" s="270"/>
      <c r="PA8" s="270"/>
      <c r="PB8" s="270"/>
      <c r="PC8" s="270"/>
      <c r="PD8" s="270"/>
      <c r="PE8" s="270"/>
      <c r="PF8" s="270"/>
      <c r="PG8" s="270"/>
      <c r="PH8" s="270"/>
      <c r="PI8" s="270"/>
      <c r="PJ8" s="270"/>
      <c r="PK8" s="270"/>
      <c r="PL8" s="270"/>
      <c r="PM8" s="270"/>
      <c r="PN8" s="270"/>
      <c r="PO8" s="270"/>
      <c r="PP8" s="270"/>
      <c r="PQ8" s="270"/>
      <c r="PR8" s="270"/>
      <c r="PS8" s="270"/>
      <c r="PT8" s="270"/>
      <c r="PU8" s="270"/>
      <c r="PV8" s="270"/>
      <c r="PW8" s="270"/>
      <c r="PX8" s="270"/>
      <c r="PY8" s="270"/>
      <c r="PZ8" s="270"/>
      <c r="QA8" s="270"/>
      <c r="QB8" s="270"/>
      <c r="QC8" s="270"/>
      <c r="QD8" s="270"/>
      <c r="QE8" s="270"/>
      <c r="QF8" s="270"/>
      <c r="QG8" s="270"/>
      <c r="QH8" s="270"/>
      <c r="QI8" s="270"/>
      <c r="QJ8" s="270"/>
      <c r="QK8" s="270"/>
      <c r="QL8" s="270"/>
      <c r="QM8" s="270"/>
      <c r="QN8" s="270"/>
      <c r="QO8" s="270"/>
      <c r="QP8" s="270"/>
      <c r="QQ8" s="270"/>
      <c r="QR8" s="270"/>
      <c r="QS8" s="270"/>
      <c r="QT8" s="270"/>
      <c r="QU8" s="270"/>
      <c r="QV8" s="270"/>
      <c r="QW8" s="270"/>
      <c r="QX8" s="270"/>
      <c r="QY8" s="270"/>
      <c r="QZ8" s="270"/>
      <c r="RA8" s="270"/>
      <c r="RB8" s="270"/>
      <c r="RC8" s="270"/>
      <c r="RD8" s="270"/>
      <c r="RE8" s="270"/>
      <c r="RF8" s="270"/>
      <c r="RG8" s="270"/>
      <c r="RH8" s="270"/>
      <c r="RI8" s="270"/>
      <c r="RJ8" s="270"/>
      <c r="RK8" s="270"/>
      <c r="RL8" s="270"/>
      <c r="RM8" s="270"/>
      <c r="RN8" s="270"/>
      <c r="RO8" s="270"/>
      <c r="RP8" s="270"/>
      <c r="RQ8" s="270"/>
      <c r="RR8" s="270"/>
      <c r="RS8" s="270"/>
      <c r="RT8" s="270"/>
      <c r="RU8" s="270"/>
      <c r="RV8" s="270"/>
      <c r="RW8" s="270"/>
      <c r="RX8" s="270"/>
      <c r="RY8" s="270"/>
      <c r="RZ8" s="270"/>
      <c r="SA8" s="270"/>
      <c r="SB8" s="270"/>
      <c r="SC8" s="270"/>
      <c r="SD8" s="270"/>
      <c r="SE8" s="270"/>
      <c r="SF8" s="270"/>
      <c r="SG8" s="270"/>
      <c r="SH8" s="270"/>
      <c r="SI8" s="270"/>
      <c r="SJ8" s="270"/>
      <c r="SK8" s="270"/>
      <c r="SL8" s="270"/>
      <c r="SM8" s="270"/>
      <c r="SN8" s="270"/>
      <c r="SO8" s="270"/>
      <c r="SP8" s="270"/>
      <c r="SQ8" s="270"/>
      <c r="SR8" s="270"/>
      <c r="SS8" s="270"/>
      <c r="ST8" s="270"/>
      <c r="SU8" s="270"/>
      <c r="SV8" s="270"/>
      <c r="SW8" s="270"/>
      <c r="SX8" s="270"/>
      <c r="SY8" s="270"/>
      <c r="SZ8" s="270"/>
      <c r="TA8" s="270"/>
      <c r="TB8" s="270"/>
      <c r="TC8" s="270"/>
      <c r="TD8" s="270"/>
      <c r="TE8" s="270"/>
      <c r="TF8" s="270"/>
      <c r="TG8" s="270"/>
      <c r="TH8" s="270"/>
      <c r="TI8" s="270"/>
      <c r="TJ8" s="270"/>
      <c r="TK8" s="270"/>
      <c r="TL8" s="270"/>
      <c r="TM8" s="270"/>
      <c r="TN8" s="270"/>
      <c r="TO8" s="270"/>
      <c r="TP8" s="270"/>
      <c r="TQ8" s="270"/>
      <c r="TR8" s="270"/>
      <c r="TS8" s="270"/>
      <c r="TT8" s="270"/>
      <c r="TU8" s="270"/>
      <c r="TV8" s="270"/>
      <c r="TW8" s="270"/>
      <c r="TX8" s="270"/>
      <c r="TY8" s="270"/>
      <c r="TZ8" s="270"/>
      <c r="UA8" s="270"/>
      <c r="UB8" s="270"/>
      <c r="UC8" s="270"/>
      <c r="UD8" s="270"/>
      <c r="UE8" s="270"/>
      <c r="UF8" s="270"/>
      <c r="UG8" s="270"/>
      <c r="UH8" s="270"/>
      <c r="UI8" s="270"/>
      <c r="UJ8" s="270"/>
      <c r="UK8" s="270"/>
      <c r="UL8" s="270"/>
      <c r="UM8" s="270"/>
      <c r="UN8" s="270"/>
      <c r="UO8" s="270"/>
      <c r="UP8" s="270"/>
      <c r="UQ8" s="270"/>
      <c r="UR8" s="270"/>
      <c r="US8" s="270"/>
      <c r="UT8" s="270"/>
      <c r="UU8" s="270"/>
      <c r="UV8" s="270"/>
      <c r="UW8" s="270"/>
      <c r="UX8" s="270"/>
      <c r="UY8" s="270"/>
      <c r="UZ8" s="270"/>
      <c r="VA8" s="270"/>
      <c r="VB8" s="270"/>
      <c r="VC8" s="270"/>
      <c r="VD8" s="270"/>
      <c r="VE8" s="270"/>
      <c r="VF8" s="270"/>
      <c r="VG8" s="270"/>
      <c r="VH8" s="270"/>
      <c r="VI8" s="270"/>
      <c r="VJ8" s="270"/>
      <c r="VK8" s="270"/>
      <c r="VL8" s="270"/>
      <c r="VM8" s="270"/>
      <c r="VN8" s="270"/>
      <c r="VO8" s="270"/>
      <c r="VP8" s="270"/>
      <c r="VQ8" s="270"/>
      <c r="VR8" s="270"/>
      <c r="VS8" s="270"/>
      <c r="VT8" s="270"/>
      <c r="VU8" s="270"/>
      <c r="VV8" s="270"/>
      <c r="VW8" s="270"/>
      <c r="VX8" s="270"/>
      <c r="VY8" s="270"/>
      <c r="VZ8" s="270"/>
      <c r="WA8" s="270"/>
      <c r="WB8" s="270"/>
      <c r="WC8" s="270"/>
      <c r="WD8" s="270"/>
      <c r="WE8" s="270"/>
      <c r="WF8" s="270"/>
      <c r="WG8" s="270"/>
      <c r="WH8" s="270"/>
      <c r="WI8" s="270"/>
      <c r="WJ8" s="270"/>
      <c r="WK8" s="270"/>
      <c r="WL8" s="270"/>
      <c r="WM8" s="270"/>
      <c r="WN8" s="270"/>
      <c r="WO8" s="270"/>
      <c r="WP8" s="270"/>
      <c r="WQ8" s="270"/>
      <c r="WR8" s="270"/>
      <c r="WS8" s="270"/>
      <c r="WT8" s="270"/>
      <c r="WU8" s="270"/>
      <c r="WV8" s="270"/>
      <c r="WW8" s="270"/>
      <c r="WX8" s="270"/>
      <c r="WY8" s="270"/>
      <c r="WZ8" s="270"/>
      <c r="XA8" s="270"/>
      <c r="XB8" s="270"/>
      <c r="XC8" s="270"/>
      <c r="XD8" s="270"/>
      <c r="XE8" s="270"/>
      <c r="XF8" s="270"/>
      <c r="XG8" s="270"/>
      <c r="XH8" s="270"/>
      <c r="XI8" s="270"/>
      <c r="XJ8" s="270"/>
      <c r="XK8" s="270"/>
      <c r="XL8" s="270"/>
      <c r="XM8" s="270"/>
      <c r="XN8" s="270"/>
      <c r="XO8" s="270"/>
      <c r="XP8" s="270"/>
      <c r="XQ8" s="270"/>
      <c r="XR8" s="270"/>
      <c r="XS8" s="270"/>
      <c r="XT8" s="270"/>
      <c r="XU8" s="270"/>
      <c r="XV8" s="270"/>
      <c r="XW8" s="270"/>
      <c r="XX8" s="270"/>
      <c r="XY8" s="270"/>
      <c r="XZ8" s="270"/>
      <c r="YA8" s="270"/>
      <c r="YB8" s="270"/>
      <c r="YC8" s="270"/>
      <c r="YD8" s="270"/>
      <c r="YE8" s="270"/>
      <c r="YF8" s="270"/>
      <c r="YG8" s="270"/>
      <c r="YH8" s="270"/>
      <c r="YI8" s="270"/>
      <c r="YJ8" s="270"/>
      <c r="YK8" s="270"/>
      <c r="YL8" s="270"/>
      <c r="YM8" s="270"/>
      <c r="YN8" s="270"/>
      <c r="YO8" s="270"/>
      <c r="YP8" s="270"/>
      <c r="YQ8" s="270"/>
      <c r="YR8" s="270"/>
      <c r="YS8" s="270"/>
      <c r="YT8" s="270"/>
      <c r="YU8" s="270"/>
      <c r="YV8" s="270"/>
      <c r="YW8" s="270"/>
      <c r="YX8" s="270"/>
      <c r="YY8" s="270"/>
      <c r="YZ8" s="270"/>
      <c r="ZA8" s="270"/>
      <c r="ZB8" s="270"/>
      <c r="ZC8" s="270"/>
      <c r="ZD8" s="270"/>
      <c r="ZE8" s="270"/>
      <c r="ZF8" s="270"/>
      <c r="ZG8" s="270"/>
      <c r="ZH8" s="270"/>
      <c r="ZI8" s="270"/>
      <c r="ZJ8" s="270"/>
      <c r="ZK8" s="270"/>
      <c r="ZL8" s="270"/>
      <c r="ZM8" s="270"/>
      <c r="ZN8" s="270"/>
      <c r="ZO8" s="270"/>
      <c r="ZP8" s="270"/>
      <c r="ZQ8" s="270"/>
      <c r="ZR8" s="270"/>
      <c r="ZS8" s="270"/>
      <c r="ZT8" s="270"/>
      <c r="ZU8" s="270"/>
      <c r="ZV8" s="270"/>
      <c r="ZW8" s="270"/>
      <c r="ZX8" s="270"/>
      <c r="ZY8" s="270"/>
      <c r="ZZ8" s="270"/>
      <c r="AAA8" s="270"/>
      <c r="AAB8" s="270"/>
      <c r="AAC8" s="270"/>
      <c r="AAD8" s="270"/>
      <c r="AAE8" s="270"/>
      <c r="AAF8" s="270"/>
      <c r="AAG8" s="270"/>
      <c r="AAH8" s="270"/>
      <c r="AAI8" s="270"/>
      <c r="AAJ8" s="270"/>
      <c r="AAK8" s="270"/>
      <c r="AAL8" s="270"/>
      <c r="AAM8" s="270"/>
      <c r="AAN8" s="270"/>
      <c r="AAO8" s="270"/>
      <c r="AAP8" s="270"/>
      <c r="AAQ8" s="270"/>
      <c r="AAR8" s="270"/>
      <c r="AAS8" s="270"/>
      <c r="AAT8" s="270"/>
      <c r="AAU8" s="270"/>
      <c r="AAV8" s="270"/>
      <c r="AAW8" s="270"/>
      <c r="AAX8" s="270"/>
      <c r="AAY8" s="270"/>
      <c r="AAZ8" s="270"/>
      <c r="ABA8" s="270"/>
      <c r="ABB8" s="270"/>
      <c r="ABC8" s="270"/>
      <c r="ABD8" s="270"/>
      <c r="ABE8" s="270"/>
      <c r="ABF8" s="270"/>
      <c r="ABG8" s="270"/>
      <c r="ABH8" s="270"/>
      <c r="ABI8" s="270"/>
      <c r="ABJ8" s="270"/>
      <c r="ABK8" s="270"/>
      <c r="ABL8" s="270"/>
      <c r="ABM8" s="270"/>
      <c r="ABN8" s="270"/>
      <c r="ABO8" s="270"/>
      <c r="ABP8" s="270"/>
      <c r="ABQ8" s="270"/>
      <c r="ABR8" s="270"/>
      <c r="ABS8" s="270"/>
      <c r="ABT8" s="270"/>
      <c r="ABU8" s="270"/>
      <c r="ABV8" s="270"/>
      <c r="ABW8" s="270"/>
      <c r="ABX8" s="270"/>
      <c r="ABY8" s="270"/>
      <c r="ABZ8" s="270"/>
      <c r="ACA8" s="270"/>
      <c r="ACB8" s="270"/>
      <c r="ACC8" s="270"/>
      <c r="ACD8" s="270"/>
      <c r="ACE8" s="270"/>
      <c r="ACF8" s="270"/>
      <c r="ACG8" s="270"/>
      <c r="ACH8" s="270"/>
      <c r="ACI8" s="270"/>
      <c r="ACJ8" s="270"/>
      <c r="ACK8" s="270"/>
      <c r="ACL8" s="270"/>
      <c r="ACM8" s="270"/>
      <c r="ACN8" s="270"/>
      <c r="ACO8" s="270"/>
      <c r="ACP8" s="270"/>
      <c r="ACQ8" s="270"/>
      <c r="ACR8" s="270"/>
      <c r="ACS8" s="270"/>
      <c r="ACT8" s="270"/>
      <c r="ACU8" s="270"/>
      <c r="ACV8" s="270"/>
      <c r="ACW8" s="270"/>
      <c r="ACX8" s="270"/>
      <c r="ACY8" s="270"/>
      <c r="ACZ8" s="270"/>
      <c r="ADA8" s="270"/>
      <c r="ADB8" s="270"/>
      <c r="ADC8" s="270"/>
      <c r="ADD8" s="270"/>
      <c r="ADE8" s="270"/>
      <c r="ADF8" s="270"/>
      <c r="ADG8" s="270"/>
      <c r="ADH8" s="270"/>
      <c r="ADI8" s="270"/>
      <c r="ADJ8" s="270"/>
      <c r="ADK8" s="270"/>
      <c r="ADL8" s="270"/>
      <c r="ADM8" s="270"/>
      <c r="ADN8" s="270"/>
      <c r="ADO8" s="270"/>
      <c r="ADP8" s="270"/>
      <c r="ADQ8" s="270"/>
      <c r="ADR8" s="270"/>
      <c r="ADS8" s="270"/>
      <c r="ADT8" s="270"/>
      <c r="ADU8" s="270"/>
      <c r="ADV8" s="270"/>
      <c r="ADW8" s="270"/>
      <c r="ADX8" s="270"/>
      <c r="ADY8" s="270"/>
      <c r="ADZ8" s="270"/>
      <c r="AEA8" s="270"/>
      <c r="AEB8" s="270"/>
      <c r="AEC8" s="270"/>
      <c r="AED8" s="270"/>
      <c r="AEE8" s="270"/>
      <c r="AEF8" s="270"/>
      <c r="AEG8" s="270"/>
      <c r="AEH8" s="270"/>
      <c r="AEI8" s="270"/>
      <c r="AEJ8" s="270"/>
      <c r="AEK8" s="270"/>
      <c r="AEL8" s="270"/>
      <c r="AEM8" s="270"/>
      <c r="AEN8" s="270"/>
      <c r="AEO8" s="270"/>
      <c r="AEP8" s="270"/>
      <c r="AEQ8" s="270"/>
      <c r="AER8" s="270"/>
      <c r="AES8" s="270"/>
      <c r="AET8" s="270"/>
      <c r="AEU8" s="270"/>
      <c r="AEV8" s="270"/>
      <c r="AEW8" s="270"/>
      <c r="AEX8" s="270"/>
      <c r="AEY8" s="270"/>
      <c r="AEZ8" s="270"/>
      <c r="AFA8" s="270"/>
      <c r="AFB8" s="270"/>
      <c r="AFC8" s="270"/>
      <c r="AFD8" s="270"/>
      <c r="AFE8" s="270"/>
      <c r="AFF8" s="270"/>
      <c r="AFG8" s="270"/>
      <c r="AFH8" s="270"/>
      <c r="AFI8" s="270"/>
      <c r="AFJ8" s="270"/>
      <c r="AFK8" s="270"/>
      <c r="AFL8" s="270"/>
      <c r="AFM8" s="270"/>
      <c r="AFN8" s="270"/>
      <c r="AFO8" s="270"/>
      <c r="AFP8" s="270"/>
      <c r="AFQ8" s="270"/>
      <c r="AFR8" s="270"/>
      <c r="AFS8" s="270"/>
      <c r="AFT8" s="270"/>
      <c r="AFU8" s="270"/>
      <c r="AFV8" s="270"/>
      <c r="AFW8" s="270"/>
      <c r="AFX8" s="270"/>
      <c r="AFY8" s="270"/>
      <c r="AFZ8" s="270"/>
      <c r="AGA8" s="270"/>
      <c r="AGB8" s="270"/>
      <c r="AGC8" s="270"/>
      <c r="AGD8" s="270"/>
      <c r="AGE8" s="270"/>
      <c r="AGF8" s="270"/>
      <c r="AGG8" s="270"/>
      <c r="AGH8" s="270"/>
      <c r="AGI8" s="270"/>
      <c r="AGJ8" s="270"/>
      <c r="AGK8" s="270"/>
      <c r="AGL8" s="270"/>
      <c r="AGM8" s="270"/>
      <c r="AGN8" s="270"/>
      <c r="AGO8" s="270"/>
      <c r="AGP8" s="270"/>
      <c r="AGQ8" s="270"/>
      <c r="AGR8" s="270"/>
      <c r="AGS8" s="270"/>
      <c r="AGT8" s="270"/>
      <c r="AGU8" s="270"/>
      <c r="AGV8" s="270"/>
      <c r="AGW8" s="270"/>
      <c r="AGX8" s="270"/>
      <c r="AGY8" s="270"/>
      <c r="AGZ8" s="270"/>
      <c r="AHA8" s="270"/>
      <c r="AHB8" s="270"/>
      <c r="AHC8" s="270"/>
      <c r="AHD8" s="270"/>
      <c r="AHE8" s="270"/>
      <c r="AHF8" s="270"/>
      <c r="AHG8" s="270"/>
      <c r="AHH8" s="270"/>
      <c r="AHI8" s="270"/>
      <c r="AHJ8" s="270"/>
      <c r="AHK8" s="270"/>
      <c r="AHL8" s="270"/>
      <c r="AHM8" s="270"/>
      <c r="AHN8" s="270"/>
      <c r="AHO8" s="270"/>
      <c r="AHP8" s="270"/>
      <c r="AHQ8" s="270"/>
      <c r="AHR8" s="270"/>
      <c r="AHS8" s="270"/>
      <c r="AHT8" s="270"/>
      <c r="AHU8" s="270"/>
      <c r="AHV8" s="270"/>
      <c r="AHW8" s="270"/>
      <c r="AHX8" s="270"/>
      <c r="AHY8" s="270"/>
      <c r="AHZ8" s="270"/>
      <c r="AIA8" s="270"/>
      <c r="AIB8" s="270"/>
      <c r="AIC8" s="270"/>
      <c r="AID8" s="270"/>
      <c r="AIE8" s="270"/>
      <c r="AIF8" s="270"/>
      <c r="AIG8" s="270"/>
      <c r="AIH8" s="270"/>
      <c r="AII8" s="270"/>
      <c r="AIJ8" s="270"/>
      <c r="AIK8" s="270"/>
      <c r="AIL8" s="270"/>
      <c r="AIM8" s="270"/>
      <c r="AIN8" s="270"/>
      <c r="AIO8" s="270"/>
      <c r="AIP8" s="270"/>
      <c r="AIQ8" s="270"/>
      <c r="AIR8" s="270"/>
      <c r="AIS8" s="270"/>
      <c r="AIT8" s="270"/>
      <c r="AIU8" s="270"/>
      <c r="AIV8" s="270"/>
      <c r="AIW8" s="270"/>
      <c r="AIX8" s="270"/>
      <c r="AIY8" s="270"/>
      <c r="AIZ8" s="270"/>
      <c r="AJA8" s="270"/>
      <c r="AJB8" s="270"/>
      <c r="AJC8" s="270"/>
      <c r="AJD8" s="270"/>
      <c r="AJE8" s="270"/>
      <c r="AJF8" s="270"/>
      <c r="AJG8" s="270"/>
      <c r="AJH8" s="270"/>
      <c r="AJI8" s="270"/>
      <c r="AJJ8" s="270"/>
      <c r="AJK8" s="270"/>
      <c r="AJL8" s="270"/>
      <c r="AJM8" s="270"/>
      <c r="AJN8" s="270"/>
      <c r="AJO8" s="270"/>
      <c r="AJP8" s="270"/>
      <c r="AJQ8" s="270"/>
      <c r="AJR8" s="270"/>
      <c r="AJS8" s="270"/>
      <c r="AJT8" s="270"/>
      <c r="AJU8" s="270"/>
      <c r="AJV8" s="270"/>
      <c r="AJW8" s="270"/>
      <c r="AJX8" s="270"/>
      <c r="AJY8" s="270"/>
      <c r="AJZ8" s="270"/>
      <c r="AKA8" s="270"/>
      <c r="AKB8" s="270"/>
      <c r="AKC8" s="270"/>
      <c r="AKD8" s="270"/>
      <c r="AKE8" s="270"/>
      <c r="AKF8" s="270"/>
      <c r="AKG8" s="270"/>
      <c r="AKH8" s="270"/>
      <c r="AKI8" s="270"/>
      <c r="AKJ8" s="270"/>
      <c r="AKK8" s="270"/>
      <c r="AKL8" s="270"/>
      <c r="AKM8" s="270"/>
      <c r="AKN8" s="270"/>
      <c r="AKO8" s="270"/>
      <c r="AKP8" s="270"/>
      <c r="AKQ8" s="270"/>
      <c r="AKR8" s="270"/>
      <c r="AKS8" s="270"/>
      <c r="AKT8" s="270"/>
      <c r="AKU8" s="270"/>
      <c r="AKV8" s="270"/>
      <c r="AKW8" s="270"/>
      <c r="AKX8" s="270"/>
      <c r="AKY8" s="270"/>
      <c r="AKZ8" s="270"/>
      <c r="ALA8" s="270"/>
      <c r="ALB8" s="270"/>
      <c r="ALC8" s="270"/>
      <c r="ALD8" s="270"/>
      <c r="ALE8" s="270"/>
      <c r="ALF8" s="270"/>
      <c r="ALG8" s="270"/>
      <c r="ALH8" s="270"/>
      <c r="ALI8" s="270"/>
      <c r="ALJ8" s="270"/>
      <c r="ALK8" s="270"/>
      <c r="ALL8" s="270"/>
      <c r="ALM8" s="270"/>
      <c r="ALN8" s="270"/>
      <c r="ALO8" s="270"/>
      <c r="ALP8" s="270"/>
      <c r="ALQ8" s="270"/>
      <c r="ALR8" s="270"/>
      <c r="ALS8" s="270"/>
      <c r="ALT8" s="270"/>
      <c r="ALU8" s="270"/>
      <c r="ALV8" s="270"/>
      <c r="ALW8" s="270"/>
      <c r="ALX8" s="270"/>
      <c r="ALY8" s="270"/>
      <c r="ALZ8" s="270"/>
      <c r="AMA8" s="270"/>
      <c r="AMB8" s="270"/>
      <c r="AMC8" s="270"/>
      <c r="AMD8" s="270"/>
      <c r="AME8" s="270"/>
      <c r="AMF8" s="270"/>
      <c r="AMG8" s="270"/>
      <c r="AMH8" s="270"/>
      <c r="AMI8" s="270"/>
      <c r="AMJ8" s="270"/>
      <c r="AMK8" s="270"/>
      <c r="AML8" s="270"/>
      <c r="AMM8" s="270"/>
      <c r="AMN8" s="270"/>
      <c r="AMO8" s="270"/>
      <c r="AMP8" s="270"/>
      <c r="AMQ8" s="270"/>
      <c r="AMR8" s="270"/>
      <c r="AMS8" s="270"/>
      <c r="AMT8" s="270"/>
      <c r="AMU8" s="270"/>
      <c r="AMV8" s="270"/>
      <c r="AMW8" s="270"/>
      <c r="AMX8" s="270"/>
      <c r="AMY8" s="270"/>
      <c r="AMZ8" s="270"/>
      <c r="ANA8" s="270"/>
      <c r="ANB8" s="270"/>
      <c r="ANC8" s="270"/>
      <c r="AND8" s="270"/>
      <c r="ANE8" s="270"/>
      <c r="ANF8" s="270"/>
      <c r="ANG8" s="270"/>
      <c r="ANH8" s="270"/>
      <c r="ANI8" s="270"/>
      <c r="ANJ8" s="270"/>
      <c r="ANK8" s="270"/>
      <c r="ANL8" s="270"/>
      <c r="ANM8" s="270"/>
      <c r="ANN8" s="270"/>
      <c r="ANO8" s="270"/>
      <c r="ANP8" s="270"/>
      <c r="ANQ8" s="270"/>
      <c r="ANR8" s="270"/>
      <c r="ANS8" s="270"/>
      <c r="ANT8" s="270"/>
      <c r="ANU8" s="270"/>
      <c r="ANV8" s="270"/>
      <c r="ANW8" s="270"/>
      <c r="ANX8" s="270"/>
      <c r="ANY8" s="270"/>
      <c r="ANZ8" s="270"/>
      <c r="AOA8" s="270"/>
      <c r="AOB8" s="270"/>
      <c r="AOC8" s="270"/>
      <c r="AOD8" s="270"/>
      <c r="AOE8" s="270"/>
      <c r="AOF8" s="270"/>
      <c r="AOG8" s="270"/>
      <c r="AOH8" s="270"/>
      <c r="AOI8" s="270"/>
      <c r="AOJ8" s="270"/>
      <c r="AOK8" s="270"/>
      <c r="AOL8" s="270"/>
      <c r="AOM8" s="270"/>
      <c r="AON8" s="270"/>
      <c r="AOO8" s="270"/>
      <c r="AOP8" s="270"/>
      <c r="AOQ8" s="270"/>
      <c r="AOR8" s="270"/>
      <c r="AOS8" s="270"/>
      <c r="AOT8" s="270"/>
      <c r="AOU8" s="270"/>
      <c r="AOV8" s="270"/>
      <c r="AOW8" s="270"/>
      <c r="AOX8" s="270"/>
      <c r="AOY8" s="270"/>
      <c r="AOZ8" s="270"/>
      <c r="APA8" s="270"/>
      <c r="APB8" s="270"/>
      <c r="APC8" s="270"/>
      <c r="APD8" s="270"/>
      <c r="APE8" s="270"/>
      <c r="APF8" s="270"/>
      <c r="APG8" s="270"/>
      <c r="APH8" s="270"/>
      <c r="API8" s="270"/>
      <c r="APJ8" s="270"/>
      <c r="APK8" s="270"/>
      <c r="APL8" s="270"/>
      <c r="APM8" s="270"/>
      <c r="APN8" s="270"/>
      <c r="APO8" s="270"/>
      <c r="APP8" s="270"/>
      <c r="APQ8" s="270"/>
      <c r="APR8" s="270"/>
      <c r="APS8" s="270"/>
      <c r="APT8" s="270"/>
      <c r="APU8" s="270"/>
      <c r="APV8" s="270"/>
      <c r="APW8" s="270"/>
      <c r="APX8" s="270"/>
    </row>
    <row r="9" spans="1:1116" s="40" customFormat="1" ht="20.25" customHeight="1">
      <c r="A9" s="187"/>
      <c r="B9" s="161"/>
      <c r="C9" s="623" t="s">
        <v>329</v>
      </c>
      <c r="D9" s="420"/>
      <c r="E9" s="359"/>
      <c r="F9" s="429"/>
      <c r="G9" s="188"/>
      <c r="H9" s="378"/>
      <c r="I9" s="383"/>
      <c r="J9" s="378"/>
      <c r="K9" s="130"/>
      <c r="L9" s="130"/>
      <c r="M9" s="450"/>
      <c r="N9" s="349"/>
      <c r="O9" s="450"/>
      <c r="P9" s="189"/>
      <c r="Q9" s="608"/>
      <c r="R9" s="609"/>
      <c r="S9" s="609"/>
      <c r="T9" s="577"/>
      <c r="U9" s="577"/>
      <c r="V9" s="577"/>
      <c r="W9" s="541"/>
      <c r="X9" s="541"/>
      <c r="Y9" s="541"/>
      <c r="Z9" s="541"/>
      <c r="AA9" s="541"/>
      <c r="AB9" s="541"/>
      <c r="AC9" s="541"/>
      <c r="AD9" s="541"/>
      <c r="AE9" s="541"/>
      <c r="AF9" s="541"/>
      <c r="AG9" s="541"/>
      <c r="AH9" s="541"/>
      <c r="AI9" s="541"/>
      <c r="AJ9" s="541"/>
      <c r="AK9" s="541"/>
      <c r="AL9" s="541"/>
      <c r="AM9" s="541"/>
      <c r="AN9" s="541"/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  <c r="BF9" s="541"/>
      <c r="BG9" s="541"/>
      <c r="BH9" s="541"/>
      <c r="BI9" s="541"/>
      <c r="BJ9" s="541"/>
      <c r="BK9" s="541"/>
      <c r="BL9" s="541"/>
      <c r="BM9" s="541"/>
      <c r="BN9" s="541"/>
      <c r="BO9" s="541"/>
      <c r="BP9" s="541"/>
      <c r="BQ9" s="541"/>
      <c r="BR9" s="541"/>
      <c r="BS9" s="541"/>
      <c r="BT9" s="541"/>
      <c r="BU9" s="541"/>
      <c r="BV9" s="541"/>
      <c r="BW9" s="541"/>
      <c r="BX9" s="541"/>
      <c r="BY9" s="541"/>
      <c r="BZ9" s="541"/>
      <c r="CA9" s="541"/>
      <c r="CB9" s="541"/>
      <c r="CC9" s="541"/>
      <c r="CD9" s="542"/>
      <c r="CE9" s="609"/>
      <c r="CF9" s="541"/>
      <c r="CG9" s="541"/>
      <c r="CH9" s="541"/>
      <c r="CI9" s="541"/>
      <c r="CJ9" s="541"/>
      <c r="CK9" s="541"/>
      <c r="CL9" s="541"/>
      <c r="CM9" s="541"/>
      <c r="CN9" s="541"/>
      <c r="CO9" s="541"/>
      <c r="CP9" s="541"/>
      <c r="CQ9" s="541"/>
      <c r="CR9" s="541"/>
      <c r="CS9" s="541"/>
      <c r="CT9" s="541"/>
      <c r="CU9" s="541"/>
      <c r="CV9" s="541"/>
      <c r="CW9" s="541"/>
      <c r="CX9" s="541"/>
      <c r="CY9" s="541"/>
      <c r="CZ9" s="541"/>
      <c r="DA9" s="541"/>
      <c r="DB9" s="541"/>
      <c r="DC9" s="541"/>
      <c r="DD9" s="541"/>
      <c r="DE9" s="541"/>
      <c r="DF9" s="541"/>
      <c r="DG9" s="541"/>
      <c r="DH9" s="541"/>
      <c r="DI9" s="541"/>
      <c r="DJ9" s="541"/>
      <c r="DK9" s="541"/>
      <c r="DL9" s="541"/>
      <c r="DM9" s="541"/>
      <c r="DN9" s="541"/>
      <c r="DO9" s="541"/>
      <c r="DP9" s="541"/>
      <c r="DQ9" s="541"/>
      <c r="DR9" s="541"/>
      <c r="DS9" s="541"/>
      <c r="DT9" s="541"/>
      <c r="DU9" s="541"/>
      <c r="DV9" s="541"/>
      <c r="DW9" s="541"/>
      <c r="DX9" s="541"/>
      <c r="DY9" s="541"/>
      <c r="DZ9" s="541"/>
      <c r="EA9" s="541"/>
      <c r="EB9" s="541"/>
      <c r="EC9" s="541"/>
      <c r="ED9" s="541"/>
      <c r="EE9" s="541"/>
      <c r="EF9" s="541"/>
      <c r="EG9" s="541"/>
      <c r="EH9" s="541"/>
      <c r="EI9" s="541"/>
      <c r="EJ9" s="541"/>
      <c r="EK9" s="541"/>
      <c r="EL9" s="541"/>
      <c r="EM9" s="542"/>
      <c r="EN9" s="609"/>
      <c r="EO9" s="609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  <c r="AML9" s="52"/>
      <c r="AMM9" s="52"/>
      <c r="AMN9" s="52"/>
      <c r="AMO9" s="52"/>
      <c r="AMP9" s="52"/>
      <c r="AMQ9" s="52"/>
      <c r="AMR9" s="52"/>
      <c r="AMS9" s="52"/>
      <c r="AMT9" s="52"/>
      <c r="AMU9" s="52"/>
      <c r="AMV9" s="52"/>
      <c r="AMW9" s="52"/>
      <c r="AMX9" s="52"/>
      <c r="AMY9" s="52"/>
      <c r="AMZ9" s="52"/>
      <c r="ANA9" s="52"/>
      <c r="ANB9" s="52"/>
      <c r="ANC9" s="52"/>
      <c r="AND9" s="52"/>
      <c r="ANE9" s="52"/>
      <c r="ANF9" s="52"/>
      <c r="ANG9" s="52"/>
      <c r="ANH9" s="52"/>
      <c r="ANI9" s="52"/>
      <c r="ANJ9" s="52"/>
      <c r="ANK9" s="52"/>
      <c r="ANL9" s="52"/>
      <c r="ANM9" s="52"/>
      <c r="ANN9" s="52"/>
      <c r="ANO9" s="52"/>
      <c r="ANP9" s="52"/>
      <c r="ANQ9" s="52"/>
      <c r="ANR9" s="52"/>
      <c r="ANS9" s="52"/>
      <c r="ANT9" s="52"/>
      <c r="ANU9" s="52"/>
      <c r="ANV9" s="52"/>
      <c r="ANW9" s="52"/>
      <c r="ANX9" s="52"/>
      <c r="ANY9" s="52"/>
      <c r="ANZ9" s="52"/>
      <c r="AOA9" s="52"/>
      <c r="AOB9" s="52"/>
      <c r="AOC9" s="52"/>
      <c r="AOD9" s="52"/>
      <c r="AOE9" s="52"/>
      <c r="AOF9" s="52"/>
      <c r="AOG9" s="52"/>
      <c r="AOH9" s="52"/>
      <c r="AOI9" s="52"/>
      <c r="AOJ9" s="52"/>
      <c r="AOK9" s="52"/>
      <c r="AOL9" s="52"/>
      <c r="AOM9" s="52"/>
      <c r="AON9" s="52"/>
      <c r="AOO9" s="52"/>
      <c r="AOP9" s="52"/>
      <c r="AOQ9" s="52"/>
      <c r="AOR9" s="52"/>
      <c r="AOS9" s="52"/>
      <c r="AOT9" s="52"/>
      <c r="AOU9" s="52"/>
      <c r="AOV9" s="52"/>
      <c r="AOW9" s="52"/>
      <c r="AOX9" s="52"/>
      <c r="AOY9" s="52"/>
      <c r="AOZ9" s="52"/>
      <c r="APA9" s="52"/>
      <c r="APB9" s="52"/>
      <c r="APC9" s="52"/>
      <c r="APD9" s="52"/>
      <c r="APE9" s="52"/>
      <c r="APF9" s="52"/>
      <c r="APG9" s="52"/>
      <c r="APH9" s="52"/>
      <c r="API9" s="52"/>
      <c r="APJ9" s="52"/>
      <c r="APK9" s="52"/>
      <c r="APL9" s="52"/>
      <c r="APM9" s="52"/>
      <c r="APN9" s="52"/>
      <c r="APO9" s="52"/>
      <c r="APP9" s="52"/>
      <c r="APQ9" s="52"/>
      <c r="APR9" s="52"/>
      <c r="APS9" s="52"/>
      <c r="APT9" s="52"/>
      <c r="APU9" s="52"/>
      <c r="APV9" s="52"/>
      <c r="APW9" s="52"/>
      <c r="APX9" s="52"/>
    </row>
    <row r="10" spans="1:1116" s="272" customFormat="1" ht="15" customHeight="1">
      <c r="A10" s="268"/>
      <c r="B10" s="269"/>
      <c r="C10" s="270"/>
      <c r="D10" s="421"/>
      <c r="E10" s="359"/>
      <c r="F10" s="364"/>
      <c r="G10" s="271"/>
      <c r="H10" s="378"/>
      <c r="I10" s="385"/>
      <c r="J10" s="378"/>
      <c r="K10" s="130"/>
      <c r="L10" s="130"/>
      <c r="M10" s="450"/>
      <c r="N10" s="349"/>
      <c r="O10" s="450"/>
      <c r="P10" s="189"/>
      <c r="Q10" s="608"/>
      <c r="R10" s="365"/>
      <c r="S10" s="365"/>
      <c r="T10" s="577"/>
      <c r="U10" s="577"/>
      <c r="V10" s="577"/>
      <c r="W10" s="541"/>
      <c r="X10" s="541"/>
      <c r="Y10" s="541"/>
      <c r="Z10" s="541"/>
      <c r="AA10" s="541"/>
      <c r="AB10" s="541"/>
      <c r="AC10" s="541"/>
      <c r="AD10" s="541"/>
      <c r="AE10" s="541"/>
      <c r="AF10" s="541"/>
      <c r="AG10" s="541"/>
      <c r="AH10" s="541"/>
      <c r="AI10" s="541"/>
      <c r="AJ10" s="541"/>
      <c r="AK10" s="541"/>
      <c r="AL10" s="541"/>
      <c r="AM10" s="541"/>
      <c r="AN10" s="541"/>
      <c r="AO10" s="541"/>
      <c r="AP10" s="541"/>
      <c r="AQ10" s="541"/>
      <c r="AR10" s="541"/>
      <c r="AS10" s="541"/>
      <c r="AT10" s="541"/>
      <c r="AU10" s="541"/>
      <c r="AV10" s="541"/>
      <c r="AW10" s="541"/>
      <c r="AX10" s="541"/>
      <c r="AY10" s="541"/>
      <c r="AZ10" s="541"/>
      <c r="BA10" s="541"/>
      <c r="BB10" s="541"/>
      <c r="BC10" s="541"/>
      <c r="BD10" s="541"/>
      <c r="BE10" s="541"/>
      <c r="BF10" s="541"/>
      <c r="BG10" s="541"/>
      <c r="BH10" s="541"/>
      <c r="BI10" s="541"/>
      <c r="BJ10" s="541"/>
      <c r="BK10" s="541"/>
      <c r="BL10" s="541"/>
      <c r="BM10" s="541"/>
      <c r="BN10" s="541"/>
      <c r="BO10" s="541"/>
      <c r="BP10" s="541"/>
      <c r="BQ10" s="541"/>
      <c r="BR10" s="541"/>
      <c r="BS10" s="541"/>
      <c r="BT10" s="541"/>
      <c r="BU10" s="541"/>
      <c r="BV10" s="541"/>
      <c r="BW10" s="541"/>
      <c r="BX10" s="541"/>
      <c r="BY10" s="541"/>
      <c r="BZ10" s="541"/>
      <c r="CA10" s="541"/>
      <c r="CB10" s="541"/>
      <c r="CC10" s="541"/>
      <c r="CD10" s="542"/>
      <c r="CE10" s="365"/>
      <c r="CF10" s="541"/>
      <c r="CG10" s="541"/>
      <c r="CH10" s="541"/>
      <c r="CI10" s="541"/>
      <c r="CJ10" s="541"/>
      <c r="CK10" s="541"/>
      <c r="CL10" s="541"/>
      <c r="CM10" s="541"/>
      <c r="CN10" s="541"/>
      <c r="CO10" s="541"/>
      <c r="CP10" s="541"/>
      <c r="CQ10" s="541"/>
      <c r="CR10" s="541"/>
      <c r="CS10" s="541"/>
      <c r="CT10" s="541"/>
      <c r="CU10" s="541"/>
      <c r="CV10" s="541"/>
      <c r="CW10" s="541"/>
      <c r="CX10" s="541"/>
      <c r="CY10" s="541"/>
      <c r="CZ10" s="541"/>
      <c r="DA10" s="541"/>
      <c r="DB10" s="541"/>
      <c r="DC10" s="541"/>
      <c r="DD10" s="541"/>
      <c r="DE10" s="541"/>
      <c r="DF10" s="541"/>
      <c r="DG10" s="541"/>
      <c r="DH10" s="541"/>
      <c r="DI10" s="541"/>
      <c r="DJ10" s="541"/>
      <c r="DK10" s="541"/>
      <c r="DL10" s="541"/>
      <c r="DM10" s="541"/>
      <c r="DN10" s="541"/>
      <c r="DO10" s="541"/>
      <c r="DP10" s="541"/>
      <c r="DQ10" s="541"/>
      <c r="DR10" s="541"/>
      <c r="DS10" s="541"/>
      <c r="DT10" s="541"/>
      <c r="DU10" s="541"/>
      <c r="DV10" s="541"/>
      <c r="DW10" s="541"/>
      <c r="DX10" s="541"/>
      <c r="DY10" s="541"/>
      <c r="DZ10" s="541"/>
      <c r="EA10" s="541"/>
      <c r="EB10" s="541"/>
      <c r="EC10" s="541"/>
      <c r="ED10" s="541"/>
      <c r="EE10" s="541"/>
      <c r="EF10" s="541"/>
      <c r="EG10" s="541"/>
      <c r="EH10" s="541"/>
      <c r="EI10" s="541"/>
      <c r="EJ10" s="541"/>
      <c r="EK10" s="541"/>
      <c r="EL10" s="541"/>
      <c r="EM10" s="542"/>
      <c r="EN10" s="365"/>
      <c r="EO10" s="365"/>
      <c r="EP10" s="270"/>
      <c r="EQ10" s="270"/>
      <c r="ER10" s="270"/>
      <c r="ES10" s="270"/>
      <c r="ET10" s="270"/>
      <c r="EU10" s="270"/>
      <c r="EV10" s="270"/>
      <c r="EW10" s="270"/>
      <c r="EX10" s="270"/>
      <c r="EY10" s="270"/>
      <c r="EZ10" s="270"/>
      <c r="FA10" s="270"/>
      <c r="FB10" s="270"/>
      <c r="FC10" s="270"/>
      <c r="FD10" s="270"/>
      <c r="FE10" s="270"/>
      <c r="FF10" s="270"/>
      <c r="FG10" s="270"/>
      <c r="FH10" s="270"/>
      <c r="FI10" s="270"/>
      <c r="FJ10" s="270"/>
      <c r="FK10" s="270"/>
      <c r="FL10" s="270"/>
      <c r="FM10" s="270"/>
      <c r="FN10" s="270"/>
      <c r="FO10" s="270"/>
      <c r="FP10" s="270"/>
      <c r="FQ10" s="270"/>
      <c r="FR10" s="270"/>
      <c r="FS10" s="270"/>
      <c r="FT10" s="270"/>
      <c r="FU10" s="270"/>
      <c r="FV10" s="270"/>
      <c r="FW10" s="270"/>
      <c r="FX10" s="270"/>
      <c r="FY10" s="270"/>
      <c r="FZ10" s="270"/>
      <c r="GA10" s="270"/>
      <c r="GB10" s="270"/>
      <c r="GC10" s="270"/>
      <c r="GD10" s="270"/>
      <c r="GE10" s="270"/>
      <c r="GF10" s="270"/>
      <c r="GG10" s="270"/>
      <c r="GH10" s="270"/>
      <c r="GI10" s="270"/>
      <c r="GJ10" s="270"/>
      <c r="GK10" s="270"/>
      <c r="GL10" s="270"/>
      <c r="GM10" s="270"/>
      <c r="GN10" s="270"/>
      <c r="GO10" s="270"/>
      <c r="GP10" s="270"/>
      <c r="GQ10" s="270"/>
      <c r="GR10" s="270"/>
      <c r="GS10" s="270"/>
      <c r="GT10" s="270"/>
      <c r="GU10" s="270"/>
      <c r="GV10" s="270"/>
      <c r="GW10" s="270"/>
      <c r="GX10" s="270"/>
      <c r="GY10" s="270"/>
      <c r="GZ10" s="270"/>
      <c r="HA10" s="270"/>
      <c r="HB10" s="270"/>
      <c r="HC10" s="270"/>
      <c r="HD10" s="270"/>
      <c r="HE10" s="270"/>
      <c r="HF10" s="270"/>
      <c r="HG10" s="270"/>
      <c r="HH10" s="270"/>
      <c r="HI10" s="270"/>
      <c r="HJ10" s="270"/>
      <c r="HK10" s="270"/>
      <c r="HL10" s="270"/>
      <c r="HM10" s="270"/>
      <c r="HN10" s="270"/>
      <c r="HO10" s="270"/>
      <c r="HP10" s="270"/>
      <c r="HQ10" s="270"/>
      <c r="HR10" s="270"/>
      <c r="HS10" s="270"/>
      <c r="HT10" s="270"/>
      <c r="HU10" s="270"/>
      <c r="HV10" s="270"/>
      <c r="HW10" s="270"/>
      <c r="HX10" s="270"/>
      <c r="HY10" s="270"/>
      <c r="HZ10" s="270"/>
      <c r="IA10" s="270"/>
      <c r="IB10" s="270"/>
      <c r="IC10" s="270"/>
      <c r="ID10" s="270"/>
      <c r="IE10" s="270"/>
      <c r="IF10" s="270"/>
      <c r="IG10" s="270"/>
      <c r="IH10" s="270"/>
      <c r="II10" s="270"/>
      <c r="IJ10" s="270"/>
      <c r="IK10" s="270"/>
      <c r="IL10" s="270"/>
      <c r="IM10" s="270"/>
      <c r="IN10" s="270"/>
      <c r="IO10" s="270"/>
      <c r="IP10" s="270"/>
      <c r="IQ10" s="270"/>
      <c r="IR10" s="270"/>
      <c r="IS10" s="270"/>
      <c r="IT10" s="270"/>
      <c r="IU10" s="270"/>
      <c r="IV10" s="270"/>
      <c r="IW10" s="270"/>
      <c r="IX10" s="270"/>
      <c r="IY10" s="270"/>
      <c r="IZ10" s="270"/>
      <c r="JA10" s="270"/>
      <c r="JB10" s="270"/>
      <c r="JC10" s="270"/>
      <c r="JD10" s="270"/>
      <c r="JE10" s="270"/>
      <c r="JF10" s="270"/>
      <c r="JG10" s="270"/>
      <c r="JH10" s="270"/>
      <c r="JI10" s="270"/>
      <c r="JJ10" s="270"/>
      <c r="JK10" s="270"/>
      <c r="JL10" s="270"/>
      <c r="JM10" s="270"/>
      <c r="JN10" s="270"/>
      <c r="JO10" s="270"/>
      <c r="JP10" s="270"/>
      <c r="JQ10" s="270"/>
      <c r="JR10" s="270"/>
      <c r="JS10" s="270"/>
      <c r="JT10" s="270"/>
      <c r="JU10" s="270"/>
      <c r="JV10" s="270"/>
      <c r="JW10" s="270"/>
      <c r="JX10" s="270"/>
      <c r="JY10" s="270"/>
      <c r="JZ10" s="270"/>
      <c r="KA10" s="270"/>
      <c r="KB10" s="270"/>
      <c r="KC10" s="270"/>
      <c r="KD10" s="270"/>
      <c r="KE10" s="270"/>
      <c r="KF10" s="270"/>
      <c r="KG10" s="270"/>
      <c r="KH10" s="270"/>
      <c r="KI10" s="270"/>
      <c r="KJ10" s="270"/>
      <c r="KK10" s="270"/>
      <c r="KL10" s="270"/>
      <c r="KM10" s="270"/>
      <c r="KN10" s="270"/>
      <c r="KO10" s="270"/>
      <c r="KP10" s="270"/>
      <c r="KQ10" s="270"/>
      <c r="KR10" s="270"/>
      <c r="KS10" s="270"/>
      <c r="KT10" s="270"/>
      <c r="KU10" s="270"/>
      <c r="KV10" s="270"/>
      <c r="KW10" s="270"/>
      <c r="KX10" s="270"/>
      <c r="KY10" s="270"/>
      <c r="KZ10" s="270"/>
      <c r="LA10" s="270"/>
      <c r="LB10" s="270"/>
      <c r="LC10" s="270"/>
      <c r="LD10" s="270"/>
      <c r="LE10" s="270"/>
      <c r="LF10" s="270"/>
      <c r="LG10" s="270"/>
      <c r="LH10" s="270"/>
      <c r="LI10" s="270"/>
      <c r="LJ10" s="270"/>
      <c r="LK10" s="270"/>
      <c r="LL10" s="270"/>
      <c r="LM10" s="270"/>
      <c r="LN10" s="270"/>
      <c r="LO10" s="270"/>
      <c r="LP10" s="270"/>
      <c r="LQ10" s="270"/>
      <c r="LR10" s="270"/>
      <c r="LS10" s="270"/>
      <c r="LT10" s="270"/>
      <c r="LU10" s="270"/>
      <c r="LV10" s="270"/>
      <c r="LW10" s="270"/>
      <c r="LX10" s="270"/>
      <c r="LY10" s="270"/>
      <c r="LZ10" s="270"/>
      <c r="MA10" s="270"/>
      <c r="MB10" s="270"/>
      <c r="MC10" s="270"/>
      <c r="MD10" s="270"/>
      <c r="ME10" s="270"/>
      <c r="MF10" s="270"/>
      <c r="MG10" s="270"/>
      <c r="MH10" s="270"/>
      <c r="MI10" s="270"/>
      <c r="MJ10" s="270"/>
      <c r="MK10" s="270"/>
      <c r="ML10" s="270"/>
      <c r="MM10" s="270"/>
      <c r="MN10" s="270"/>
      <c r="MO10" s="270"/>
      <c r="MP10" s="270"/>
      <c r="MQ10" s="270"/>
      <c r="MR10" s="270"/>
      <c r="MS10" s="270"/>
      <c r="MT10" s="270"/>
      <c r="MU10" s="270"/>
      <c r="MV10" s="270"/>
      <c r="MW10" s="270"/>
      <c r="MX10" s="270"/>
      <c r="MY10" s="270"/>
      <c r="MZ10" s="270"/>
      <c r="NA10" s="270"/>
      <c r="NB10" s="270"/>
      <c r="NC10" s="270"/>
      <c r="ND10" s="270"/>
      <c r="NE10" s="270"/>
      <c r="NF10" s="270"/>
      <c r="NG10" s="270"/>
      <c r="NH10" s="270"/>
      <c r="NI10" s="270"/>
      <c r="NJ10" s="270"/>
      <c r="NK10" s="270"/>
      <c r="NL10" s="270"/>
      <c r="NM10" s="270"/>
      <c r="NN10" s="270"/>
      <c r="NO10" s="270"/>
      <c r="NP10" s="270"/>
      <c r="NQ10" s="270"/>
      <c r="NR10" s="270"/>
      <c r="NS10" s="270"/>
      <c r="NT10" s="270"/>
      <c r="NU10" s="270"/>
      <c r="NV10" s="270"/>
      <c r="NW10" s="270"/>
      <c r="NX10" s="270"/>
      <c r="NY10" s="270"/>
      <c r="NZ10" s="270"/>
      <c r="OA10" s="270"/>
      <c r="OB10" s="270"/>
      <c r="OC10" s="270"/>
      <c r="OD10" s="270"/>
      <c r="OE10" s="270"/>
      <c r="OF10" s="270"/>
      <c r="OG10" s="270"/>
      <c r="OH10" s="270"/>
      <c r="OI10" s="270"/>
      <c r="OJ10" s="270"/>
      <c r="OK10" s="270"/>
      <c r="OL10" s="270"/>
      <c r="OM10" s="270"/>
      <c r="ON10" s="270"/>
      <c r="OO10" s="270"/>
      <c r="OP10" s="270"/>
      <c r="OQ10" s="270"/>
      <c r="OR10" s="270"/>
      <c r="OS10" s="270"/>
      <c r="OT10" s="270"/>
      <c r="OU10" s="270"/>
      <c r="OV10" s="270"/>
      <c r="OW10" s="270"/>
      <c r="OX10" s="270"/>
      <c r="OY10" s="270"/>
      <c r="OZ10" s="270"/>
      <c r="PA10" s="270"/>
      <c r="PB10" s="270"/>
      <c r="PC10" s="270"/>
      <c r="PD10" s="270"/>
      <c r="PE10" s="270"/>
      <c r="PF10" s="270"/>
      <c r="PG10" s="270"/>
      <c r="PH10" s="270"/>
      <c r="PI10" s="270"/>
      <c r="PJ10" s="270"/>
      <c r="PK10" s="270"/>
      <c r="PL10" s="270"/>
      <c r="PM10" s="270"/>
      <c r="PN10" s="270"/>
      <c r="PO10" s="270"/>
      <c r="PP10" s="270"/>
      <c r="PQ10" s="270"/>
      <c r="PR10" s="270"/>
      <c r="PS10" s="270"/>
      <c r="PT10" s="270"/>
      <c r="PU10" s="270"/>
      <c r="PV10" s="270"/>
      <c r="PW10" s="270"/>
      <c r="PX10" s="270"/>
      <c r="PY10" s="270"/>
      <c r="PZ10" s="270"/>
      <c r="QA10" s="270"/>
      <c r="QB10" s="270"/>
      <c r="QC10" s="270"/>
      <c r="QD10" s="270"/>
      <c r="QE10" s="270"/>
      <c r="QF10" s="270"/>
      <c r="QG10" s="270"/>
      <c r="QH10" s="270"/>
      <c r="QI10" s="270"/>
      <c r="QJ10" s="270"/>
      <c r="QK10" s="270"/>
      <c r="QL10" s="270"/>
      <c r="QM10" s="270"/>
      <c r="QN10" s="270"/>
      <c r="QO10" s="270"/>
      <c r="QP10" s="270"/>
      <c r="QQ10" s="270"/>
      <c r="QR10" s="270"/>
      <c r="QS10" s="270"/>
      <c r="QT10" s="270"/>
      <c r="QU10" s="270"/>
      <c r="QV10" s="270"/>
      <c r="QW10" s="270"/>
      <c r="QX10" s="270"/>
      <c r="QY10" s="270"/>
      <c r="QZ10" s="270"/>
      <c r="RA10" s="270"/>
      <c r="RB10" s="270"/>
      <c r="RC10" s="270"/>
      <c r="RD10" s="270"/>
      <c r="RE10" s="270"/>
      <c r="RF10" s="270"/>
      <c r="RG10" s="270"/>
      <c r="RH10" s="270"/>
      <c r="RI10" s="270"/>
      <c r="RJ10" s="270"/>
      <c r="RK10" s="270"/>
      <c r="RL10" s="270"/>
      <c r="RM10" s="270"/>
      <c r="RN10" s="270"/>
      <c r="RO10" s="270"/>
      <c r="RP10" s="270"/>
      <c r="RQ10" s="270"/>
      <c r="RR10" s="270"/>
      <c r="RS10" s="270"/>
      <c r="RT10" s="270"/>
      <c r="RU10" s="270"/>
      <c r="RV10" s="270"/>
      <c r="RW10" s="270"/>
      <c r="RX10" s="270"/>
      <c r="RY10" s="270"/>
      <c r="RZ10" s="270"/>
      <c r="SA10" s="270"/>
      <c r="SB10" s="270"/>
      <c r="SC10" s="270"/>
      <c r="SD10" s="270"/>
      <c r="SE10" s="270"/>
      <c r="SF10" s="270"/>
      <c r="SG10" s="270"/>
      <c r="SH10" s="270"/>
      <c r="SI10" s="270"/>
      <c r="SJ10" s="270"/>
      <c r="SK10" s="270"/>
      <c r="SL10" s="270"/>
      <c r="SM10" s="270"/>
      <c r="SN10" s="270"/>
      <c r="SO10" s="270"/>
      <c r="SP10" s="270"/>
      <c r="SQ10" s="270"/>
      <c r="SR10" s="270"/>
      <c r="SS10" s="270"/>
      <c r="ST10" s="270"/>
      <c r="SU10" s="270"/>
      <c r="SV10" s="270"/>
      <c r="SW10" s="270"/>
      <c r="SX10" s="270"/>
      <c r="SY10" s="270"/>
      <c r="SZ10" s="270"/>
      <c r="TA10" s="270"/>
      <c r="TB10" s="270"/>
      <c r="TC10" s="270"/>
      <c r="TD10" s="270"/>
      <c r="TE10" s="270"/>
      <c r="TF10" s="270"/>
      <c r="TG10" s="270"/>
      <c r="TH10" s="270"/>
      <c r="TI10" s="270"/>
      <c r="TJ10" s="270"/>
      <c r="TK10" s="270"/>
      <c r="TL10" s="270"/>
      <c r="TM10" s="270"/>
      <c r="TN10" s="270"/>
      <c r="TO10" s="270"/>
      <c r="TP10" s="270"/>
      <c r="TQ10" s="270"/>
      <c r="TR10" s="270"/>
      <c r="TS10" s="270"/>
      <c r="TT10" s="270"/>
      <c r="TU10" s="270"/>
      <c r="TV10" s="270"/>
      <c r="TW10" s="270"/>
      <c r="TX10" s="270"/>
      <c r="TY10" s="270"/>
      <c r="TZ10" s="270"/>
      <c r="UA10" s="270"/>
      <c r="UB10" s="270"/>
      <c r="UC10" s="270"/>
      <c r="UD10" s="270"/>
      <c r="UE10" s="270"/>
      <c r="UF10" s="270"/>
      <c r="UG10" s="270"/>
      <c r="UH10" s="270"/>
      <c r="UI10" s="270"/>
      <c r="UJ10" s="270"/>
      <c r="UK10" s="270"/>
      <c r="UL10" s="270"/>
      <c r="UM10" s="270"/>
      <c r="UN10" s="270"/>
      <c r="UO10" s="270"/>
      <c r="UP10" s="270"/>
      <c r="UQ10" s="270"/>
      <c r="UR10" s="270"/>
      <c r="US10" s="270"/>
      <c r="UT10" s="270"/>
      <c r="UU10" s="270"/>
      <c r="UV10" s="270"/>
      <c r="UW10" s="270"/>
      <c r="UX10" s="270"/>
      <c r="UY10" s="270"/>
      <c r="UZ10" s="270"/>
      <c r="VA10" s="270"/>
      <c r="VB10" s="270"/>
      <c r="VC10" s="270"/>
      <c r="VD10" s="270"/>
      <c r="VE10" s="270"/>
      <c r="VF10" s="270"/>
      <c r="VG10" s="270"/>
      <c r="VH10" s="270"/>
      <c r="VI10" s="270"/>
      <c r="VJ10" s="270"/>
      <c r="VK10" s="270"/>
      <c r="VL10" s="270"/>
      <c r="VM10" s="270"/>
      <c r="VN10" s="270"/>
      <c r="VO10" s="270"/>
      <c r="VP10" s="270"/>
      <c r="VQ10" s="270"/>
      <c r="VR10" s="270"/>
      <c r="VS10" s="270"/>
      <c r="VT10" s="270"/>
      <c r="VU10" s="270"/>
      <c r="VV10" s="270"/>
      <c r="VW10" s="270"/>
      <c r="VX10" s="270"/>
      <c r="VY10" s="270"/>
      <c r="VZ10" s="270"/>
      <c r="WA10" s="270"/>
      <c r="WB10" s="270"/>
      <c r="WC10" s="270"/>
      <c r="WD10" s="270"/>
      <c r="WE10" s="270"/>
      <c r="WF10" s="270"/>
      <c r="WG10" s="270"/>
      <c r="WH10" s="270"/>
      <c r="WI10" s="270"/>
      <c r="WJ10" s="270"/>
      <c r="WK10" s="270"/>
      <c r="WL10" s="270"/>
      <c r="WM10" s="270"/>
      <c r="WN10" s="270"/>
      <c r="WO10" s="270"/>
      <c r="WP10" s="270"/>
      <c r="WQ10" s="270"/>
      <c r="WR10" s="270"/>
      <c r="WS10" s="270"/>
      <c r="WT10" s="270"/>
      <c r="WU10" s="270"/>
      <c r="WV10" s="270"/>
      <c r="WW10" s="270"/>
      <c r="WX10" s="270"/>
      <c r="WY10" s="270"/>
      <c r="WZ10" s="270"/>
      <c r="XA10" s="270"/>
      <c r="XB10" s="270"/>
      <c r="XC10" s="270"/>
      <c r="XD10" s="270"/>
      <c r="XE10" s="270"/>
      <c r="XF10" s="270"/>
      <c r="XG10" s="270"/>
      <c r="XH10" s="270"/>
      <c r="XI10" s="270"/>
      <c r="XJ10" s="270"/>
      <c r="XK10" s="270"/>
      <c r="XL10" s="270"/>
      <c r="XM10" s="270"/>
      <c r="XN10" s="270"/>
      <c r="XO10" s="270"/>
      <c r="XP10" s="270"/>
      <c r="XQ10" s="270"/>
      <c r="XR10" s="270"/>
      <c r="XS10" s="270"/>
      <c r="XT10" s="270"/>
      <c r="XU10" s="270"/>
      <c r="XV10" s="270"/>
      <c r="XW10" s="270"/>
      <c r="XX10" s="270"/>
      <c r="XY10" s="270"/>
      <c r="XZ10" s="270"/>
      <c r="YA10" s="270"/>
      <c r="YB10" s="270"/>
      <c r="YC10" s="270"/>
      <c r="YD10" s="270"/>
      <c r="YE10" s="270"/>
      <c r="YF10" s="270"/>
      <c r="YG10" s="270"/>
      <c r="YH10" s="270"/>
      <c r="YI10" s="270"/>
      <c r="YJ10" s="270"/>
      <c r="YK10" s="270"/>
      <c r="YL10" s="270"/>
      <c r="YM10" s="270"/>
      <c r="YN10" s="270"/>
      <c r="YO10" s="270"/>
      <c r="YP10" s="270"/>
      <c r="YQ10" s="270"/>
      <c r="YR10" s="270"/>
      <c r="YS10" s="270"/>
      <c r="YT10" s="270"/>
      <c r="YU10" s="270"/>
      <c r="YV10" s="270"/>
      <c r="YW10" s="270"/>
      <c r="YX10" s="270"/>
      <c r="YY10" s="270"/>
      <c r="YZ10" s="270"/>
      <c r="ZA10" s="270"/>
      <c r="ZB10" s="270"/>
      <c r="ZC10" s="270"/>
      <c r="ZD10" s="270"/>
      <c r="ZE10" s="270"/>
      <c r="ZF10" s="270"/>
      <c r="ZG10" s="270"/>
      <c r="ZH10" s="270"/>
      <c r="ZI10" s="270"/>
      <c r="ZJ10" s="270"/>
      <c r="ZK10" s="270"/>
      <c r="ZL10" s="270"/>
      <c r="ZM10" s="270"/>
      <c r="ZN10" s="270"/>
      <c r="ZO10" s="270"/>
      <c r="ZP10" s="270"/>
      <c r="ZQ10" s="270"/>
      <c r="ZR10" s="270"/>
      <c r="ZS10" s="270"/>
      <c r="ZT10" s="270"/>
      <c r="ZU10" s="270"/>
      <c r="ZV10" s="270"/>
      <c r="ZW10" s="270"/>
      <c r="ZX10" s="270"/>
      <c r="ZY10" s="270"/>
      <c r="ZZ10" s="270"/>
      <c r="AAA10" s="270"/>
      <c r="AAB10" s="270"/>
      <c r="AAC10" s="270"/>
      <c r="AAD10" s="270"/>
      <c r="AAE10" s="270"/>
      <c r="AAF10" s="270"/>
      <c r="AAG10" s="270"/>
      <c r="AAH10" s="270"/>
      <c r="AAI10" s="270"/>
      <c r="AAJ10" s="270"/>
      <c r="AAK10" s="270"/>
      <c r="AAL10" s="270"/>
      <c r="AAM10" s="270"/>
      <c r="AAN10" s="270"/>
      <c r="AAO10" s="270"/>
      <c r="AAP10" s="270"/>
      <c r="AAQ10" s="270"/>
      <c r="AAR10" s="270"/>
      <c r="AAS10" s="270"/>
      <c r="AAT10" s="270"/>
      <c r="AAU10" s="270"/>
      <c r="AAV10" s="270"/>
      <c r="AAW10" s="270"/>
      <c r="AAX10" s="270"/>
      <c r="AAY10" s="270"/>
      <c r="AAZ10" s="270"/>
      <c r="ABA10" s="270"/>
      <c r="ABB10" s="270"/>
      <c r="ABC10" s="270"/>
      <c r="ABD10" s="270"/>
      <c r="ABE10" s="270"/>
      <c r="ABF10" s="270"/>
      <c r="ABG10" s="270"/>
      <c r="ABH10" s="270"/>
      <c r="ABI10" s="270"/>
      <c r="ABJ10" s="270"/>
      <c r="ABK10" s="270"/>
      <c r="ABL10" s="270"/>
      <c r="ABM10" s="270"/>
      <c r="ABN10" s="270"/>
      <c r="ABO10" s="270"/>
      <c r="ABP10" s="270"/>
      <c r="ABQ10" s="270"/>
      <c r="ABR10" s="270"/>
      <c r="ABS10" s="270"/>
      <c r="ABT10" s="270"/>
      <c r="ABU10" s="270"/>
      <c r="ABV10" s="270"/>
      <c r="ABW10" s="270"/>
      <c r="ABX10" s="270"/>
      <c r="ABY10" s="270"/>
      <c r="ABZ10" s="270"/>
      <c r="ACA10" s="270"/>
      <c r="ACB10" s="270"/>
      <c r="ACC10" s="270"/>
      <c r="ACD10" s="270"/>
      <c r="ACE10" s="270"/>
      <c r="ACF10" s="270"/>
      <c r="ACG10" s="270"/>
      <c r="ACH10" s="270"/>
      <c r="ACI10" s="270"/>
      <c r="ACJ10" s="270"/>
      <c r="ACK10" s="270"/>
      <c r="ACL10" s="270"/>
      <c r="ACM10" s="270"/>
      <c r="ACN10" s="270"/>
      <c r="ACO10" s="270"/>
      <c r="ACP10" s="270"/>
      <c r="ACQ10" s="270"/>
      <c r="ACR10" s="270"/>
      <c r="ACS10" s="270"/>
      <c r="ACT10" s="270"/>
      <c r="ACU10" s="270"/>
      <c r="ACV10" s="270"/>
      <c r="ACW10" s="270"/>
      <c r="ACX10" s="270"/>
      <c r="ACY10" s="270"/>
      <c r="ACZ10" s="270"/>
      <c r="ADA10" s="270"/>
      <c r="ADB10" s="270"/>
      <c r="ADC10" s="270"/>
      <c r="ADD10" s="270"/>
      <c r="ADE10" s="270"/>
      <c r="ADF10" s="270"/>
      <c r="ADG10" s="270"/>
      <c r="ADH10" s="270"/>
      <c r="ADI10" s="270"/>
      <c r="ADJ10" s="270"/>
      <c r="ADK10" s="270"/>
      <c r="ADL10" s="270"/>
      <c r="ADM10" s="270"/>
      <c r="ADN10" s="270"/>
      <c r="ADO10" s="270"/>
      <c r="ADP10" s="270"/>
      <c r="ADQ10" s="270"/>
      <c r="ADR10" s="270"/>
      <c r="ADS10" s="270"/>
      <c r="ADT10" s="270"/>
      <c r="ADU10" s="270"/>
      <c r="ADV10" s="270"/>
      <c r="ADW10" s="270"/>
      <c r="ADX10" s="270"/>
      <c r="ADY10" s="270"/>
      <c r="ADZ10" s="270"/>
      <c r="AEA10" s="270"/>
      <c r="AEB10" s="270"/>
      <c r="AEC10" s="270"/>
      <c r="AED10" s="270"/>
      <c r="AEE10" s="270"/>
      <c r="AEF10" s="270"/>
      <c r="AEG10" s="270"/>
      <c r="AEH10" s="270"/>
      <c r="AEI10" s="270"/>
      <c r="AEJ10" s="270"/>
      <c r="AEK10" s="270"/>
      <c r="AEL10" s="270"/>
      <c r="AEM10" s="270"/>
      <c r="AEN10" s="270"/>
      <c r="AEO10" s="270"/>
      <c r="AEP10" s="270"/>
      <c r="AEQ10" s="270"/>
      <c r="AER10" s="270"/>
      <c r="AES10" s="270"/>
      <c r="AET10" s="270"/>
      <c r="AEU10" s="270"/>
      <c r="AEV10" s="270"/>
      <c r="AEW10" s="270"/>
      <c r="AEX10" s="270"/>
      <c r="AEY10" s="270"/>
      <c r="AEZ10" s="270"/>
      <c r="AFA10" s="270"/>
      <c r="AFB10" s="270"/>
      <c r="AFC10" s="270"/>
      <c r="AFD10" s="270"/>
      <c r="AFE10" s="270"/>
      <c r="AFF10" s="270"/>
      <c r="AFG10" s="270"/>
      <c r="AFH10" s="270"/>
      <c r="AFI10" s="270"/>
      <c r="AFJ10" s="270"/>
      <c r="AFK10" s="270"/>
      <c r="AFL10" s="270"/>
      <c r="AFM10" s="270"/>
      <c r="AFN10" s="270"/>
      <c r="AFO10" s="270"/>
      <c r="AFP10" s="270"/>
      <c r="AFQ10" s="270"/>
      <c r="AFR10" s="270"/>
      <c r="AFS10" s="270"/>
      <c r="AFT10" s="270"/>
      <c r="AFU10" s="270"/>
      <c r="AFV10" s="270"/>
      <c r="AFW10" s="270"/>
      <c r="AFX10" s="270"/>
      <c r="AFY10" s="270"/>
      <c r="AFZ10" s="270"/>
      <c r="AGA10" s="270"/>
      <c r="AGB10" s="270"/>
      <c r="AGC10" s="270"/>
      <c r="AGD10" s="270"/>
      <c r="AGE10" s="270"/>
      <c r="AGF10" s="270"/>
      <c r="AGG10" s="270"/>
      <c r="AGH10" s="270"/>
      <c r="AGI10" s="270"/>
      <c r="AGJ10" s="270"/>
      <c r="AGK10" s="270"/>
      <c r="AGL10" s="270"/>
      <c r="AGM10" s="270"/>
      <c r="AGN10" s="270"/>
      <c r="AGO10" s="270"/>
      <c r="AGP10" s="270"/>
      <c r="AGQ10" s="270"/>
      <c r="AGR10" s="270"/>
      <c r="AGS10" s="270"/>
      <c r="AGT10" s="270"/>
      <c r="AGU10" s="270"/>
      <c r="AGV10" s="270"/>
      <c r="AGW10" s="270"/>
      <c r="AGX10" s="270"/>
      <c r="AGY10" s="270"/>
      <c r="AGZ10" s="270"/>
      <c r="AHA10" s="270"/>
      <c r="AHB10" s="270"/>
      <c r="AHC10" s="270"/>
      <c r="AHD10" s="270"/>
      <c r="AHE10" s="270"/>
      <c r="AHF10" s="270"/>
      <c r="AHG10" s="270"/>
      <c r="AHH10" s="270"/>
      <c r="AHI10" s="270"/>
      <c r="AHJ10" s="270"/>
      <c r="AHK10" s="270"/>
      <c r="AHL10" s="270"/>
      <c r="AHM10" s="270"/>
      <c r="AHN10" s="270"/>
      <c r="AHO10" s="270"/>
      <c r="AHP10" s="270"/>
      <c r="AHQ10" s="270"/>
      <c r="AHR10" s="270"/>
      <c r="AHS10" s="270"/>
      <c r="AHT10" s="270"/>
      <c r="AHU10" s="270"/>
      <c r="AHV10" s="270"/>
      <c r="AHW10" s="270"/>
      <c r="AHX10" s="270"/>
      <c r="AHY10" s="270"/>
      <c r="AHZ10" s="270"/>
      <c r="AIA10" s="270"/>
      <c r="AIB10" s="270"/>
      <c r="AIC10" s="270"/>
      <c r="AID10" s="270"/>
      <c r="AIE10" s="270"/>
      <c r="AIF10" s="270"/>
      <c r="AIG10" s="270"/>
      <c r="AIH10" s="270"/>
      <c r="AII10" s="270"/>
      <c r="AIJ10" s="270"/>
      <c r="AIK10" s="270"/>
      <c r="AIL10" s="270"/>
      <c r="AIM10" s="270"/>
      <c r="AIN10" s="270"/>
      <c r="AIO10" s="270"/>
      <c r="AIP10" s="270"/>
      <c r="AIQ10" s="270"/>
      <c r="AIR10" s="270"/>
      <c r="AIS10" s="270"/>
      <c r="AIT10" s="270"/>
      <c r="AIU10" s="270"/>
      <c r="AIV10" s="270"/>
      <c r="AIW10" s="270"/>
      <c r="AIX10" s="270"/>
      <c r="AIY10" s="270"/>
      <c r="AIZ10" s="270"/>
      <c r="AJA10" s="270"/>
      <c r="AJB10" s="270"/>
      <c r="AJC10" s="270"/>
      <c r="AJD10" s="270"/>
      <c r="AJE10" s="270"/>
      <c r="AJF10" s="270"/>
      <c r="AJG10" s="270"/>
      <c r="AJH10" s="270"/>
      <c r="AJI10" s="270"/>
      <c r="AJJ10" s="270"/>
      <c r="AJK10" s="270"/>
      <c r="AJL10" s="270"/>
      <c r="AJM10" s="270"/>
      <c r="AJN10" s="270"/>
      <c r="AJO10" s="270"/>
      <c r="AJP10" s="270"/>
      <c r="AJQ10" s="270"/>
      <c r="AJR10" s="270"/>
      <c r="AJS10" s="270"/>
      <c r="AJT10" s="270"/>
      <c r="AJU10" s="270"/>
      <c r="AJV10" s="270"/>
      <c r="AJW10" s="270"/>
      <c r="AJX10" s="270"/>
      <c r="AJY10" s="270"/>
      <c r="AJZ10" s="270"/>
      <c r="AKA10" s="270"/>
      <c r="AKB10" s="270"/>
      <c r="AKC10" s="270"/>
      <c r="AKD10" s="270"/>
      <c r="AKE10" s="270"/>
      <c r="AKF10" s="270"/>
      <c r="AKG10" s="270"/>
      <c r="AKH10" s="270"/>
      <c r="AKI10" s="270"/>
      <c r="AKJ10" s="270"/>
      <c r="AKK10" s="270"/>
      <c r="AKL10" s="270"/>
      <c r="AKM10" s="270"/>
      <c r="AKN10" s="270"/>
      <c r="AKO10" s="270"/>
      <c r="AKP10" s="270"/>
      <c r="AKQ10" s="270"/>
      <c r="AKR10" s="270"/>
      <c r="AKS10" s="270"/>
      <c r="AKT10" s="270"/>
      <c r="AKU10" s="270"/>
      <c r="AKV10" s="270"/>
      <c r="AKW10" s="270"/>
      <c r="AKX10" s="270"/>
      <c r="AKY10" s="270"/>
      <c r="AKZ10" s="270"/>
      <c r="ALA10" s="270"/>
      <c r="ALB10" s="270"/>
      <c r="ALC10" s="270"/>
      <c r="ALD10" s="270"/>
      <c r="ALE10" s="270"/>
      <c r="ALF10" s="270"/>
      <c r="ALG10" s="270"/>
      <c r="ALH10" s="270"/>
      <c r="ALI10" s="270"/>
      <c r="ALJ10" s="270"/>
      <c r="ALK10" s="270"/>
      <c r="ALL10" s="270"/>
      <c r="ALM10" s="270"/>
      <c r="ALN10" s="270"/>
      <c r="ALO10" s="270"/>
      <c r="ALP10" s="270"/>
      <c r="ALQ10" s="270"/>
      <c r="ALR10" s="270"/>
      <c r="ALS10" s="270"/>
      <c r="ALT10" s="270"/>
      <c r="ALU10" s="270"/>
      <c r="ALV10" s="270"/>
      <c r="ALW10" s="270"/>
      <c r="ALX10" s="270"/>
      <c r="ALY10" s="270"/>
      <c r="ALZ10" s="270"/>
      <c r="AMA10" s="270"/>
      <c r="AMB10" s="270"/>
      <c r="AMC10" s="270"/>
      <c r="AMD10" s="270"/>
      <c r="AME10" s="270"/>
      <c r="AMF10" s="270"/>
      <c r="AMG10" s="270"/>
      <c r="AMH10" s="270"/>
      <c r="AMI10" s="270"/>
      <c r="AMJ10" s="270"/>
      <c r="AMK10" s="270"/>
      <c r="AML10" s="270"/>
      <c r="AMM10" s="270"/>
      <c r="AMN10" s="270"/>
      <c r="AMO10" s="270"/>
      <c r="AMP10" s="270"/>
      <c r="AMQ10" s="270"/>
      <c r="AMR10" s="270"/>
      <c r="AMS10" s="270"/>
      <c r="AMT10" s="270"/>
      <c r="AMU10" s="270"/>
      <c r="AMV10" s="270"/>
      <c r="AMW10" s="270"/>
      <c r="AMX10" s="270"/>
      <c r="AMY10" s="270"/>
      <c r="AMZ10" s="270"/>
      <c r="ANA10" s="270"/>
      <c r="ANB10" s="270"/>
      <c r="ANC10" s="270"/>
      <c r="AND10" s="270"/>
      <c r="ANE10" s="270"/>
      <c r="ANF10" s="270"/>
      <c r="ANG10" s="270"/>
      <c r="ANH10" s="270"/>
      <c r="ANI10" s="270"/>
      <c r="ANJ10" s="270"/>
      <c r="ANK10" s="270"/>
      <c r="ANL10" s="270"/>
      <c r="ANM10" s="270"/>
      <c r="ANN10" s="270"/>
      <c r="ANO10" s="270"/>
      <c r="ANP10" s="270"/>
      <c r="ANQ10" s="270"/>
      <c r="ANR10" s="270"/>
      <c r="ANS10" s="270"/>
      <c r="ANT10" s="270"/>
      <c r="ANU10" s="270"/>
      <c r="ANV10" s="270"/>
      <c r="ANW10" s="270"/>
      <c r="ANX10" s="270"/>
      <c r="ANY10" s="270"/>
      <c r="ANZ10" s="270"/>
      <c r="AOA10" s="270"/>
      <c r="AOB10" s="270"/>
      <c r="AOC10" s="270"/>
      <c r="AOD10" s="270"/>
      <c r="AOE10" s="270"/>
      <c r="AOF10" s="270"/>
      <c r="AOG10" s="270"/>
      <c r="AOH10" s="270"/>
      <c r="AOI10" s="270"/>
      <c r="AOJ10" s="270"/>
      <c r="AOK10" s="270"/>
      <c r="AOL10" s="270"/>
      <c r="AOM10" s="270"/>
      <c r="AON10" s="270"/>
      <c r="AOO10" s="270"/>
      <c r="AOP10" s="270"/>
      <c r="AOQ10" s="270"/>
      <c r="AOR10" s="270"/>
      <c r="AOS10" s="270"/>
      <c r="AOT10" s="270"/>
      <c r="AOU10" s="270"/>
      <c r="AOV10" s="270"/>
      <c r="AOW10" s="270"/>
      <c r="AOX10" s="270"/>
      <c r="AOY10" s="270"/>
      <c r="AOZ10" s="270"/>
      <c r="APA10" s="270"/>
      <c r="APB10" s="270"/>
      <c r="APC10" s="270"/>
      <c r="APD10" s="270"/>
      <c r="APE10" s="270"/>
      <c r="APF10" s="270"/>
      <c r="APG10" s="270"/>
      <c r="APH10" s="270"/>
      <c r="API10" s="270"/>
      <c r="APJ10" s="270"/>
      <c r="APK10" s="270"/>
      <c r="APL10" s="270"/>
      <c r="APM10" s="270"/>
      <c r="APN10" s="270"/>
      <c r="APO10" s="270"/>
      <c r="APP10" s="270"/>
      <c r="APQ10" s="270"/>
      <c r="APR10" s="270"/>
      <c r="APS10" s="270"/>
      <c r="APT10" s="270"/>
      <c r="APU10" s="270"/>
      <c r="APV10" s="270"/>
      <c r="APW10" s="270"/>
      <c r="APX10" s="270"/>
    </row>
    <row r="11" spans="1:1116" s="40" customFormat="1" ht="15" customHeight="1">
      <c r="A11" s="187"/>
      <c r="B11" s="161"/>
      <c r="C11" s="52"/>
      <c r="D11" s="421"/>
      <c r="E11" s="359"/>
      <c r="F11" s="429"/>
      <c r="G11" s="188"/>
      <c r="H11" s="378"/>
      <c r="I11" s="383"/>
      <c r="J11" s="378"/>
      <c r="K11" s="130"/>
      <c r="L11" s="130"/>
      <c r="M11" s="450"/>
      <c r="N11" s="349"/>
      <c r="O11" s="450"/>
      <c r="P11" s="189"/>
      <c r="Q11" s="608"/>
      <c r="R11" s="609"/>
      <c r="S11" s="609"/>
      <c r="T11" s="577"/>
      <c r="U11" s="577"/>
      <c r="V11" s="577"/>
      <c r="W11" s="541"/>
      <c r="X11" s="541"/>
      <c r="Y11" s="541"/>
      <c r="Z11" s="541"/>
      <c r="AA11" s="541"/>
      <c r="AB11" s="541"/>
      <c r="AC11" s="541"/>
      <c r="AD11" s="541"/>
      <c r="AE11" s="541"/>
      <c r="AF11" s="541"/>
      <c r="AG11" s="541"/>
      <c r="AH11" s="541"/>
      <c r="AI11" s="541"/>
      <c r="AJ11" s="541"/>
      <c r="AK11" s="541"/>
      <c r="AL11" s="541"/>
      <c r="AM11" s="541"/>
      <c r="AN11" s="541"/>
      <c r="AO11" s="541"/>
      <c r="AP11" s="541"/>
      <c r="AQ11" s="541"/>
      <c r="AR11" s="541"/>
      <c r="AS11" s="541"/>
      <c r="AT11" s="541"/>
      <c r="AU11" s="541"/>
      <c r="AV11" s="541"/>
      <c r="AW11" s="541"/>
      <c r="AX11" s="541"/>
      <c r="AY11" s="541"/>
      <c r="AZ11" s="541"/>
      <c r="BA11" s="541"/>
      <c r="BB11" s="541"/>
      <c r="BC11" s="541"/>
      <c r="BD11" s="541"/>
      <c r="BE11" s="541"/>
      <c r="BF11" s="541"/>
      <c r="BG11" s="541"/>
      <c r="BH11" s="541"/>
      <c r="BI11" s="541"/>
      <c r="BJ11" s="541"/>
      <c r="BK11" s="541"/>
      <c r="BL11" s="541"/>
      <c r="BM11" s="541"/>
      <c r="BN11" s="541"/>
      <c r="BO11" s="541"/>
      <c r="BP11" s="541"/>
      <c r="BQ11" s="541"/>
      <c r="BR11" s="541"/>
      <c r="BS11" s="541"/>
      <c r="BT11" s="541"/>
      <c r="BU11" s="541"/>
      <c r="BV11" s="541"/>
      <c r="BW11" s="541"/>
      <c r="BX11" s="541"/>
      <c r="BY11" s="541"/>
      <c r="BZ11" s="541"/>
      <c r="CA11" s="541"/>
      <c r="CB11" s="541"/>
      <c r="CC11" s="541"/>
      <c r="CD11" s="542"/>
      <c r="CE11" s="609"/>
      <c r="CF11" s="541"/>
      <c r="CG11" s="541"/>
      <c r="CH11" s="541"/>
      <c r="CI11" s="541"/>
      <c r="CJ11" s="541"/>
      <c r="CK11" s="541"/>
      <c r="CL11" s="541"/>
      <c r="CM11" s="541"/>
      <c r="CN11" s="541"/>
      <c r="CO11" s="541"/>
      <c r="CP11" s="541"/>
      <c r="CQ11" s="541"/>
      <c r="CR11" s="541"/>
      <c r="CS11" s="541"/>
      <c r="CT11" s="541"/>
      <c r="CU11" s="541"/>
      <c r="CV11" s="541"/>
      <c r="CW11" s="541"/>
      <c r="CX11" s="541"/>
      <c r="CY11" s="541"/>
      <c r="CZ11" s="541"/>
      <c r="DA11" s="541"/>
      <c r="DB11" s="541"/>
      <c r="DC11" s="541"/>
      <c r="DD11" s="541"/>
      <c r="DE11" s="541"/>
      <c r="DF11" s="541"/>
      <c r="DG11" s="541"/>
      <c r="DH11" s="541"/>
      <c r="DI11" s="541"/>
      <c r="DJ11" s="541"/>
      <c r="DK11" s="541"/>
      <c r="DL11" s="541"/>
      <c r="DM11" s="541"/>
      <c r="DN11" s="541"/>
      <c r="DO11" s="541"/>
      <c r="DP11" s="541"/>
      <c r="DQ11" s="541"/>
      <c r="DR11" s="541"/>
      <c r="DS11" s="541"/>
      <c r="DT11" s="541"/>
      <c r="DU11" s="541"/>
      <c r="DV11" s="541"/>
      <c r="DW11" s="541"/>
      <c r="DX11" s="541"/>
      <c r="DY11" s="541"/>
      <c r="DZ11" s="541"/>
      <c r="EA11" s="541"/>
      <c r="EB11" s="541"/>
      <c r="EC11" s="541"/>
      <c r="ED11" s="541"/>
      <c r="EE11" s="541"/>
      <c r="EF11" s="541"/>
      <c r="EG11" s="541"/>
      <c r="EH11" s="541"/>
      <c r="EI11" s="541"/>
      <c r="EJ11" s="541"/>
      <c r="EK11" s="541"/>
      <c r="EL11" s="541"/>
      <c r="EM11" s="542"/>
      <c r="EN11" s="609"/>
      <c r="EO11" s="609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</row>
    <row r="12" spans="1:1116" s="272" customFormat="1" ht="15" customHeight="1">
      <c r="A12" s="268"/>
      <c r="B12" s="269"/>
      <c r="C12" s="270"/>
      <c r="D12" s="421"/>
      <c r="E12" s="359"/>
      <c r="F12" s="364"/>
      <c r="G12" s="271"/>
      <c r="H12" s="378"/>
      <c r="I12" s="385"/>
      <c r="J12" s="378"/>
      <c r="K12" s="130"/>
      <c r="L12" s="130"/>
      <c r="M12" s="450"/>
      <c r="N12" s="349"/>
      <c r="O12" s="450"/>
      <c r="P12" s="189"/>
      <c r="Q12" s="608"/>
      <c r="R12" s="365"/>
      <c r="S12" s="365"/>
      <c r="T12" s="577"/>
      <c r="U12" s="577"/>
      <c r="V12" s="577"/>
      <c r="W12" s="541"/>
      <c r="X12" s="541"/>
      <c r="Y12" s="541"/>
      <c r="Z12" s="541"/>
      <c r="AA12" s="541"/>
      <c r="AB12" s="541"/>
      <c r="AC12" s="541"/>
      <c r="AD12" s="541"/>
      <c r="AE12" s="541"/>
      <c r="AF12" s="541"/>
      <c r="AG12" s="541"/>
      <c r="AH12" s="541"/>
      <c r="AI12" s="541"/>
      <c r="AJ12" s="541"/>
      <c r="AK12" s="541"/>
      <c r="AL12" s="541"/>
      <c r="AM12" s="541"/>
      <c r="AN12" s="541"/>
      <c r="AO12" s="541"/>
      <c r="AP12" s="541"/>
      <c r="AQ12" s="541"/>
      <c r="AR12" s="541"/>
      <c r="AS12" s="541"/>
      <c r="AT12" s="541"/>
      <c r="AU12" s="541"/>
      <c r="AV12" s="541"/>
      <c r="AW12" s="541"/>
      <c r="AX12" s="541"/>
      <c r="AY12" s="541"/>
      <c r="AZ12" s="541"/>
      <c r="BA12" s="541"/>
      <c r="BB12" s="541"/>
      <c r="BC12" s="541"/>
      <c r="BD12" s="541"/>
      <c r="BE12" s="541"/>
      <c r="BF12" s="541"/>
      <c r="BG12" s="541"/>
      <c r="BH12" s="541"/>
      <c r="BI12" s="541"/>
      <c r="BJ12" s="541"/>
      <c r="BK12" s="541"/>
      <c r="BL12" s="541"/>
      <c r="BM12" s="541"/>
      <c r="BN12" s="541"/>
      <c r="BO12" s="541"/>
      <c r="BP12" s="541"/>
      <c r="BQ12" s="541"/>
      <c r="BR12" s="541"/>
      <c r="BS12" s="541"/>
      <c r="BT12" s="541"/>
      <c r="BU12" s="541"/>
      <c r="BV12" s="541"/>
      <c r="BW12" s="541"/>
      <c r="BX12" s="541"/>
      <c r="BY12" s="541"/>
      <c r="BZ12" s="541"/>
      <c r="CA12" s="541"/>
      <c r="CB12" s="541"/>
      <c r="CC12" s="541"/>
      <c r="CD12" s="542"/>
      <c r="CE12" s="365"/>
      <c r="CF12" s="541"/>
      <c r="CG12" s="541"/>
      <c r="CH12" s="541"/>
      <c r="CI12" s="541"/>
      <c r="CJ12" s="541"/>
      <c r="CK12" s="541"/>
      <c r="CL12" s="541"/>
      <c r="CM12" s="541"/>
      <c r="CN12" s="541"/>
      <c r="CO12" s="541"/>
      <c r="CP12" s="541"/>
      <c r="CQ12" s="541"/>
      <c r="CR12" s="541"/>
      <c r="CS12" s="541"/>
      <c r="CT12" s="541"/>
      <c r="CU12" s="541"/>
      <c r="CV12" s="541"/>
      <c r="CW12" s="541"/>
      <c r="CX12" s="541"/>
      <c r="CY12" s="541"/>
      <c r="CZ12" s="541"/>
      <c r="DA12" s="541"/>
      <c r="DB12" s="541"/>
      <c r="DC12" s="541"/>
      <c r="DD12" s="541"/>
      <c r="DE12" s="541"/>
      <c r="DF12" s="541"/>
      <c r="DG12" s="541"/>
      <c r="DH12" s="541"/>
      <c r="DI12" s="541"/>
      <c r="DJ12" s="541"/>
      <c r="DK12" s="541"/>
      <c r="DL12" s="541"/>
      <c r="DM12" s="541"/>
      <c r="DN12" s="541"/>
      <c r="DO12" s="541"/>
      <c r="DP12" s="541"/>
      <c r="DQ12" s="541"/>
      <c r="DR12" s="541"/>
      <c r="DS12" s="541"/>
      <c r="DT12" s="541"/>
      <c r="DU12" s="541"/>
      <c r="DV12" s="541"/>
      <c r="DW12" s="541"/>
      <c r="DX12" s="541"/>
      <c r="DY12" s="541"/>
      <c r="DZ12" s="541"/>
      <c r="EA12" s="541"/>
      <c r="EB12" s="541"/>
      <c r="EC12" s="541"/>
      <c r="ED12" s="541"/>
      <c r="EE12" s="541"/>
      <c r="EF12" s="541"/>
      <c r="EG12" s="541"/>
      <c r="EH12" s="541"/>
      <c r="EI12" s="541"/>
      <c r="EJ12" s="541"/>
      <c r="EK12" s="541"/>
      <c r="EL12" s="541"/>
      <c r="EM12" s="542"/>
      <c r="EN12" s="365"/>
      <c r="EO12" s="365"/>
      <c r="EP12" s="270"/>
      <c r="EQ12" s="270"/>
      <c r="ER12" s="270"/>
      <c r="ES12" s="270"/>
      <c r="ET12" s="270"/>
      <c r="EU12" s="270"/>
      <c r="EV12" s="270"/>
      <c r="EW12" s="270"/>
      <c r="EX12" s="270"/>
      <c r="EY12" s="270"/>
      <c r="EZ12" s="270"/>
      <c r="FA12" s="270"/>
      <c r="FB12" s="270"/>
      <c r="FC12" s="270"/>
      <c r="FD12" s="270"/>
      <c r="FE12" s="270"/>
      <c r="FF12" s="270"/>
      <c r="FG12" s="270"/>
      <c r="FH12" s="270"/>
      <c r="FI12" s="270"/>
      <c r="FJ12" s="270"/>
      <c r="FK12" s="270"/>
      <c r="FL12" s="270"/>
      <c r="FM12" s="270"/>
      <c r="FN12" s="270"/>
      <c r="FO12" s="270"/>
      <c r="FP12" s="270"/>
      <c r="FQ12" s="270"/>
      <c r="FR12" s="270"/>
      <c r="FS12" s="270"/>
      <c r="FT12" s="270"/>
      <c r="FU12" s="270"/>
      <c r="FV12" s="270"/>
      <c r="FW12" s="270"/>
      <c r="FX12" s="270"/>
      <c r="FY12" s="270"/>
      <c r="FZ12" s="270"/>
      <c r="GA12" s="270"/>
      <c r="GB12" s="270"/>
      <c r="GC12" s="270"/>
      <c r="GD12" s="270"/>
      <c r="GE12" s="270"/>
      <c r="GF12" s="270"/>
      <c r="GG12" s="270"/>
      <c r="GH12" s="270"/>
      <c r="GI12" s="270"/>
      <c r="GJ12" s="270"/>
      <c r="GK12" s="270"/>
      <c r="GL12" s="270"/>
      <c r="GM12" s="270"/>
      <c r="GN12" s="270"/>
      <c r="GO12" s="270"/>
      <c r="GP12" s="270"/>
      <c r="GQ12" s="270"/>
      <c r="GR12" s="270"/>
      <c r="GS12" s="270"/>
      <c r="GT12" s="270"/>
      <c r="GU12" s="270"/>
      <c r="GV12" s="270"/>
      <c r="GW12" s="270"/>
      <c r="GX12" s="270"/>
      <c r="GY12" s="270"/>
      <c r="GZ12" s="270"/>
      <c r="HA12" s="270"/>
      <c r="HB12" s="270"/>
      <c r="HC12" s="270"/>
      <c r="HD12" s="270"/>
      <c r="HE12" s="270"/>
      <c r="HF12" s="270"/>
      <c r="HG12" s="270"/>
      <c r="HH12" s="270"/>
      <c r="HI12" s="270"/>
      <c r="HJ12" s="270"/>
      <c r="HK12" s="270"/>
      <c r="HL12" s="270"/>
      <c r="HM12" s="270"/>
      <c r="HN12" s="270"/>
      <c r="HO12" s="270"/>
      <c r="HP12" s="270"/>
      <c r="HQ12" s="270"/>
      <c r="HR12" s="270"/>
      <c r="HS12" s="270"/>
      <c r="HT12" s="270"/>
      <c r="HU12" s="270"/>
      <c r="HV12" s="270"/>
      <c r="HW12" s="270"/>
      <c r="HX12" s="270"/>
      <c r="HY12" s="270"/>
      <c r="HZ12" s="270"/>
      <c r="IA12" s="270"/>
      <c r="IB12" s="270"/>
      <c r="IC12" s="270"/>
      <c r="ID12" s="270"/>
      <c r="IE12" s="270"/>
      <c r="IF12" s="270"/>
      <c r="IG12" s="270"/>
      <c r="IH12" s="270"/>
      <c r="II12" s="270"/>
      <c r="IJ12" s="270"/>
      <c r="IK12" s="270"/>
      <c r="IL12" s="270"/>
      <c r="IM12" s="270"/>
      <c r="IN12" s="270"/>
      <c r="IO12" s="270"/>
      <c r="IP12" s="270"/>
      <c r="IQ12" s="270"/>
      <c r="IR12" s="270"/>
      <c r="IS12" s="270"/>
      <c r="IT12" s="270"/>
      <c r="IU12" s="270"/>
      <c r="IV12" s="270"/>
      <c r="IW12" s="270"/>
      <c r="IX12" s="270"/>
      <c r="IY12" s="270"/>
      <c r="IZ12" s="270"/>
      <c r="JA12" s="270"/>
      <c r="JB12" s="270"/>
      <c r="JC12" s="270"/>
      <c r="JD12" s="270"/>
      <c r="JE12" s="270"/>
      <c r="JF12" s="270"/>
      <c r="JG12" s="270"/>
      <c r="JH12" s="270"/>
      <c r="JI12" s="270"/>
      <c r="JJ12" s="270"/>
      <c r="JK12" s="270"/>
      <c r="JL12" s="270"/>
      <c r="JM12" s="270"/>
      <c r="JN12" s="270"/>
      <c r="JO12" s="270"/>
      <c r="JP12" s="270"/>
      <c r="JQ12" s="270"/>
      <c r="JR12" s="270"/>
      <c r="JS12" s="270"/>
      <c r="JT12" s="270"/>
      <c r="JU12" s="270"/>
      <c r="JV12" s="270"/>
      <c r="JW12" s="270"/>
      <c r="JX12" s="270"/>
      <c r="JY12" s="270"/>
      <c r="JZ12" s="270"/>
      <c r="KA12" s="270"/>
      <c r="KB12" s="270"/>
      <c r="KC12" s="270"/>
      <c r="KD12" s="270"/>
      <c r="KE12" s="270"/>
      <c r="KF12" s="270"/>
      <c r="KG12" s="270"/>
      <c r="KH12" s="270"/>
      <c r="KI12" s="270"/>
      <c r="KJ12" s="270"/>
      <c r="KK12" s="270"/>
      <c r="KL12" s="270"/>
      <c r="KM12" s="270"/>
      <c r="KN12" s="270"/>
      <c r="KO12" s="270"/>
      <c r="KP12" s="270"/>
      <c r="KQ12" s="270"/>
      <c r="KR12" s="270"/>
      <c r="KS12" s="270"/>
      <c r="KT12" s="270"/>
      <c r="KU12" s="270"/>
      <c r="KV12" s="270"/>
      <c r="KW12" s="270"/>
      <c r="KX12" s="270"/>
      <c r="KY12" s="270"/>
      <c r="KZ12" s="270"/>
      <c r="LA12" s="270"/>
      <c r="LB12" s="270"/>
      <c r="LC12" s="270"/>
      <c r="LD12" s="270"/>
      <c r="LE12" s="270"/>
      <c r="LF12" s="270"/>
      <c r="LG12" s="270"/>
      <c r="LH12" s="270"/>
      <c r="LI12" s="270"/>
      <c r="LJ12" s="270"/>
      <c r="LK12" s="270"/>
      <c r="LL12" s="270"/>
      <c r="LM12" s="270"/>
      <c r="LN12" s="270"/>
      <c r="LO12" s="270"/>
      <c r="LP12" s="270"/>
      <c r="LQ12" s="270"/>
      <c r="LR12" s="270"/>
      <c r="LS12" s="270"/>
      <c r="LT12" s="270"/>
      <c r="LU12" s="270"/>
      <c r="LV12" s="270"/>
      <c r="LW12" s="270"/>
      <c r="LX12" s="270"/>
      <c r="LY12" s="270"/>
      <c r="LZ12" s="270"/>
      <c r="MA12" s="270"/>
      <c r="MB12" s="270"/>
      <c r="MC12" s="270"/>
      <c r="MD12" s="270"/>
      <c r="ME12" s="270"/>
      <c r="MF12" s="270"/>
      <c r="MG12" s="270"/>
      <c r="MH12" s="270"/>
      <c r="MI12" s="270"/>
      <c r="MJ12" s="270"/>
      <c r="MK12" s="270"/>
      <c r="ML12" s="270"/>
      <c r="MM12" s="270"/>
      <c r="MN12" s="270"/>
      <c r="MO12" s="270"/>
      <c r="MP12" s="270"/>
      <c r="MQ12" s="270"/>
      <c r="MR12" s="270"/>
      <c r="MS12" s="270"/>
      <c r="MT12" s="270"/>
      <c r="MU12" s="270"/>
      <c r="MV12" s="270"/>
      <c r="MW12" s="270"/>
      <c r="MX12" s="270"/>
      <c r="MY12" s="270"/>
      <c r="MZ12" s="270"/>
      <c r="NA12" s="270"/>
      <c r="NB12" s="270"/>
      <c r="NC12" s="270"/>
      <c r="ND12" s="270"/>
      <c r="NE12" s="270"/>
      <c r="NF12" s="270"/>
      <c r="NG12" s="270"/>
      <c r="NH12" s="270"/>
      <c r="NI12" s="270"/>
      <c r="NJ12" s="270"/>
      <c r="NK12" s="270"/>
      <c r="NL12" s="270"/>
      <c r="NM12" s="270"/>
      <c r="NN12" s="270"/>
      <c r="NO12" s="270"/>
      <c r="NP12" s="270"/>
      <c r="NQ12" s="270"/>
      <c r="NR12" s="270"/>
      <c r="NS12" s="270"/>
      <c r="NT12" s="270"/>
      <c r="NU12" s="270"/>
      <c r="NV12" s="270"/>
      <c r="NW12" s="270"/>
      <c r="NX12" s="270"/>
      <c r="NY12" s="270"/>
      <c r="NZ12" s="270"/>
      <c r="OA12" s="270"/>
      <c r="OB12" s="270"/>
      <c r="OC12" s="270"/>
      <c r="OD12" s="270"/>
      <c r="OE12" s="270"/>
      <c r="OF12" s="270"/>
      <c r="OG12" s="270"/>
      <c r="OH12" s="270"/>
      <c r="OI12" s="270"/>
      <c r="OJ12" s="270"/>
      <c r="OK12" s="270"/>
      <c r="OL12" s="270"/>
      <c r="OM12" s="270"/>
      <c r="ON12" s="270"/>
      <c r="OO12" s="270"/>
      <c r="OP12" s="270"/>
      <c r="OQ12" s="270"/>
      <c r="OR12" s="270"/>
      <c r="OS12" s="270"/>
      <c r="OT12" s="270"/>
      <c r="OU12" s="270"/>
      <c r="OV12" s="270"/>
      <c r="OW12" s="270"/>
      <c r="OX12" s="270"/>
      <c r="OY12" s="270"/>
      <c r="OZ12" s="270"/>
      <c r="PA12" s="270"/>
      <c r="PB12" s="270"/>
      <c r="PC12" s="270"/>
      <c r="PD12" s="270"/>
      <c r="PE12" s="270"/>
      <c r="PF12" s="270"/>
      <c r="PG12" s="270"/>
      <c r="PH12" s="270"/>
      <c r="PI12" s="270"/>
      <c r="PJ12" s="270"/>
      <c r="PK12" s="270"/>
      <c r="PL12" s="270"/>
      <c r="PM12" s="270"/>
      <c r="PN12" s="270"/>
      <c r="PO12" s="270"/>
      <c r="PP12" s="270"/>
      <c r="PQ12" s="270"/>
      <c r="PR12" s="270"/>
      <c r="PS12" s="270"/>
      <c r="PT12" s="270"/>
      <c r="PU12" s="270"/>
      <c r="PV12" s="270"/>
      <c r="PW12" s="270"/>
      <c r="PX12" s="270"/>
      <c r="PY12" s="270"/>
      <c r="PZ12" s="270"/>
      <c r="QA12" s="270"/>
      <c r="QB12" s="270"/>
      <c r="QC12" s="270"/>
      <c r="QD12" s="270"/>
      <c r="QE12" s="270"/>
      <c r="QF12" s="270"/>
      <c r="QG12" s="270"/>
      <c r="QH12" s="270"/>
      <c r="QI12" s="270"/>
      <c r="QJ12" s="270"/>
      <c r="QK12" s="270"/>
      <c r="QL12" s="270"/>
      <c r="QM12" s="270"/>
      <c r="QN12" s="270"/>
      <c r="QO12" s="270"/>
      <c r="QP12" s="270"/>
      <c r="QQ12" s="270"/>
      <c r="QR12" s="270"/>
      <c r="QS12" s="270"/>
      <c r="QT12" s="270"/>
      <c r="QU12" s="270"/>
      <c r="QV12" s="270"/>
      <c r="QW12" s="270"/>
      <c r="QX12" s="270"/>
      <c r="QY12" s="270"/>
      <c r="QZ12" s="270"/>
      <c r="RA12" s="270"/>
      <c r="RB12" s="270"/>
      <c r="RC12" s="270"/>
      <c r="RD12" s="270"/>
      <c r="RE12" s="270"/>
      <c r="RF12" s="270"/>
      <c r="RG12" s="270"/>
      <c r="RH12" s="270"/>
      <c r="RI12" s="270"/>
      <c r="RJ12" s="270"/>
      <c r="RK12" s="270"/>
      <c r="RL12" s="270"/>
      <c r="RM12" s="270"/>
      <c r="RN12" s="270"/>
      <c r="RO12" s="270"/>
      <c r="RP12" s="270"/>
      <c r="RQ12" s="270"/>
      <c r="RR12" s="270"/>
      <c r="RS12" s="270"/>
      <c r="RT12" s="270"/>
      <c r="RU12" s="270"/>
      <c r="RV12" s="270"/>
      <c r="RW12" s="270"/>
      <c r="RX12" s="270"/>
      <c r="RY12" s="270"/>
      <c r="RZ12" s="270"/>
      <c r="SA12" s="270"/>
      <c r="SB12" s="270"/>
      <c r="SC12" s="270"/>
      <c r="SD12" s="270"/>
      <c r="SE12" s="270"/>
      <c r="SF12" s="270"/>
      <c r="SG12" s="270"/>
      <c r="SH12" s="270"/>
      <c r="SI12" s="270"/>
      <c r="SJ12" s="270"/>
      <c r="SK12" s="270"/>
      <c r="SL12" s="270"/>
      <c r="SM12" s="270"/>
      <c r="SN12" s="270"/>
      <c r="SO12" s="270"/>
      <c r="SP12" s="270"/>
      <c r="SQ12" s="270"/>
      <c r="SR12" s="270"/>
      <c r="SS12" s="270"/>
      <c r="ST12" s="270"/>
      <c r="SU12" s="270"/>
      <c r="SV12" s="270"/>
      <c r="SW12" s="270"/>
      <c r="SX12" s="270"/>
      <c r="SY12" s="270"/>
      <c r="SZ12" s="270"/>
      <c r="TA12" s="270"/>
      <c r="TB12" s="270"/>
      <c r="TC12" s="270"/>
      <c r="TD12" s="270"/>
      <c r="TE12" s="270"/>
      <c r="TF12" s="270"/>
      <c r="TG12" s="270"/>
      <c r="TH12" s="270"/>
      <c r="TI12" s="270"/>
      <c r="TJ12" s="270"/>
      <c r="TK12" s="270"/>
      <c r="TL12" s="270"/>
      <c r="TM12" s="270"/>
      <c r="TN12" s="270"/>
      <c r="TO12" s="270"/>
      <c r="TP12" s="270"/>
      <c r="TQ12" s="270"/>
      <c r="TR12" s="270"/>
      <c r="TS12" s="270"/>
      <c r="TT12" s="270"/>
      <c r="TU12" s="270"/>
      <c r="TV12" s="270"/>
      <c r="TW12" s="270"/>
      <c r="TX12" s="270"/>
      <c r="TY12" s="270"/>
      <c r="TZ12" s="270"/>
      <c r="UA12" s="270"/>
      <c r="UB12" s="270"/>
      <c r="UC12" s="270"/>
      <c r="UD12" s="270"/>
      <c r="UE12" s="270"/>
      <c r="UF12" s="270"/>
      <c r="UG12" s="270"/>
      <c r="UH12" s="270"/>
      <c r="UI12" s="270"/>
      <c r="UJ12" s="270"/>
      <c r="UK12" s="270"/>
      <c r="UL12" s="270"/>
      <c r="UM12" s="270"/>
      <c r="UN12" s="270"/>
      <c r="UO12" s="270"/>
      <c r="UP12" s="270"/>
      <c r="UQ12" s="270"/>
      <c r="UR12" s="270"/>
      <c r="US12" s="270"/>
      <c r="UT12" s="270"/>
      <c r="UU12" s="270"/>
      <c r="UV12" s="270"/>
      <c r="UW12" s="270"/>
      <c r="UX12" s="270"/>
      <c r="UY12" s="270"/>
      <c r="UZ12" s="270"/>
      <c r="VA12" s="270"/>
      <c r="VB12" s="270"/>
      <c r="VC12" s="270"/>
      <c r="VD12" s="270"/>
      <c r="VE12" s="270"/>
      <c r="VF12" s="270"/>
      <c r="VG12" s="270"/>
      <c r="VH12" s="270"/>
      <c r="VI12" s="270"/>
      <c r="VJ12" s="270"/>
      <c r="VK12" s="270"/>
      <c r="VL12" s="270"/>
      <c r="VM12" s="270"/>
      <c r="VN12" s="270"/>
      <c r="VO12" s="270"/>
      <c r="VP12" s="270"/>
      <c r="VQ12" s="270"/>
      <c r="VR12" s="270"/>
      <c r="VS12" s="270"/>
      <c r="VT12" s="270"/>
      <c r="VU12" s="270"/>
      <c r="VV12" s="270"/>
      <c r="VW12" s="270"/>
      <c r="VX12" s="270"/>
      <c r="VY12" s="270"/>
      <c r="VZ12" s="270"/>
      <c r="WA12" s="270"/>
      <c r="WB12" s="270"/>
      <c r="WC12" s="270"/>
      <c r="WD12" s="270"/>
      <c r="WE12" s="270"/>
      <c r="WF12" s="270"/>
      <c r="WG12" s="270"/>
      <c r="WH12" s="270"/>
      <c r="WI12" s="270"/>
      <c r="WJ12" s="270"/>
      <c r="WK12" s="270"/>
      <c r="WL12" s="270"/>
      <c r="WM12" s="270"/>
      <c r="WN12" s="270"/>
      <c r="WO12" s="270"/>
      <c r="WP12" s="270"/>
      <c r="WQ12" s="270"/>
      <c r="WR12" s="270"/>
      <c r="WS12" s="270"/>
      <c r="WT12" s="270"/>
      <c r="WU12" s="270"/>
      <c r="WV12" s="270"/>
      <c r="WW12" s="270"/>
      <c r="WX12" s="270"/>
      <c r="WY12" s="270"/>
      <c r="WZ12" s="270"/>
      <c r="XA12" s="270"/>
      <c r="XB12" s="270"/>
      <c r="XC12" s="270"/>
      <c r="XD12" s="270"/>
      <c r="XE12" s="270"/>
      <c r="XF12" s="270"/>
      <c r="XG12" s="270"/>
      <c r="XH12" s="270"/>
      <c r="XI12" s="270"/>
      <c r="XJ12" s="270"/>
      <c r="XK12" s="270"/>
      <c r="XL12" s="270"/>
      <c r="XM12" s="270"/>
      <c r="XN12" s="270"/>
      <c r="XO12" s="270"/>
      <c r="XP12" s="270"/>
      <c r="XQ12" s="270"/>
      <c r="XR12" s="270"/>
      <c r="XS12" s="270"/>
      <c r="XT12" s="270"/>
      <c r="XU12" s="270"/>
      <c r="XV12" s="270"/>
      <c r="XW12" s="270"/>
      <c r="XX12" s="270"/>
      <c r="XY12" s="270"/>
      <c r="XZ12" s="270"/>
      <c r="YA12" s="270"/>
      <c r="YB12" s="270"/>
      <c r="YC12" s="270"/>
      <c r="YD12" s="270"/>
      <c r="YE12" s="270"/>
      <c r="YF12" s="270"/>
      <c r="YG12" s="270"/>
      <c r="YH12" s="270"/>
      <c r="YI12" s="270"/>
      <c r="YJ12" s="270"/>
      <c r="YK12" s="270"/>
      <c r="YL12" s="270"/>
      <c r="YM12" s="270"/>
      <c r="YN12" s="270"/>
      <c r="YO12" s="270"/>
      <c r="YP12" s="270"/>
      <c r="YQ12" s="270"/>
      <c r="YR12" s="270"/>
      <c r="YS12" s="270"/>
      <c r="YT12" s="270"/>
      <c r="YU12" s="270"/>
      <c r="YV12" s="270"/>
      <c r="YW12" s="270"/>
      <c r="YX12" s="270"/>
      <c r="YY12" s="270"/>
      <c r="YZ12" s="270"/>
      <c r="ZA12" s="270"/>
      <c r="ZB12" s="270"/>
      <c r="ZC12" s="270"/>
      <c r="ZD12" s="270"/>
      <c r="ZE12" s="270"/>
      <c r="ZF12" s="270"/>
      <c r="ZG12" s="270"/>
      <c r="ZH12" s="270"/>
      <c r="ZI12" s="270"/>
      <c r="ZJ12" s="270"/>
      <c r="ZK12" s="270"/>
      <c r="ZL12" s="270"/>
      <c r="ZM12" s="270"/>
      <c r="ZN12" s="270"/>
      <c r="ZO12" s="270"/>
      <c r="ZP12" s="270"/>
      <c r="ZQ12" s="270"/>
      <c r="ZR12" s="270"/>
      <c r="ZS12" s="270"/>
      <c r="ZT12" s="270"/>
      <c r="ZU12" s="270"/>
      <c r="ZV12" s="270"/>
      <c r="ZW12" s="270"/>
      <c r="ZX12" s="270"/>
      <c r="ZY12" s="270"/>
      <c r="ZZ12" s="270"/>
      <c r="AAA12" s="270"/>
      <c r="AAB12" s="270"/>
      <c r="AAC12" s="270"/>
      <c r="AAD12" s="270"/>
      <c r="AAE12" s="270"/>
      <c r="AAF12" s="270"/>
      <c r="AAG12" s="270"/>
      <c r="AAH12" s="270"/>
      <c r="AAI12" s="270"/>
      <c r="AAJ12" s="270"/>
      <c r="AAK12" s="270"/>
      <c r="AAL12" s="270"/>
      <c r="AAM12" s="270"/>
      <c r="AAN12" s="270"/>
      <c r="AAO12" s="270"/>
      <c r="AAP12" s="270"/>
      <c r="AAQ12" s="270"/>
      <c r="AAR12" s="270"/>
      <c r="AAS12" s="270"/>
      <c r="AAT12" s="270"/>
      <c r="AAU12" s="270"/>
      <c r="AAV12" s="270"/>
      <c r="AAW12" s="270"/>
      <c r="AAX12" s="270"/>
      <c r="AAY12" s="270"/>
      <c r="AAZ12" s="270"/>
      <c r="ABA12" s="270"/>
      <c r="ABB12" s="270"/>
      <c r="ABC12" s="270"/>
      <c r="ABD12" s="270"/>
      <c r="ABE12" s="270"/>
      <c r="ABF12" s="270"/>
      <c r="ABG12" s="270"/>
      <c r="ABH12" s="270"/>
      <c r="ABI12" s="270"/>
      <c r="ABJ12" s="270"/>
      <c r="ABK12" s="270"/>
      <c r="ABL12" s="270"/>
      <c r="ABM12" s="270"/>
      <c r="ABN12" s="270"/>
      <c r="ABO12" s="270"/>
      <c r="ABP12" s="270"/>
      <c r="ABQ12" s="270"/>
      <c r="ABR12" s="270"/>
      <c r="ABS12" s="270"/>
      <c r="ABT12" s="270"/>
      <c r="ABU12" s="270"/>
      <c r="ABV12" s="270"/>
      <c r="ABW12" s="270"/>
      <c r="ABX12" s="270"/>
      <c r="ABY12" s="270"/>
      <c r="ABZ12" s="270"/>
      <c r="ACA12" s="270"/>
      <c r="ACB12" s="270"/>
      <c r="ACC12" s="270"/>
      <c r="ACD12" s="270"/>
      <c r="ACE12" s="270"/>
      <c r="ACF12" s="270"/>
      <c r="ACG12" s="270"/>
      <c r="ACH12" s="270"/>
      <c r="ACI12" s="270"/>
      <c r="ACJ12" s="270"/>
      <c r="ACK12" s="270"/>
      <c r="ACL12" s="270"/>
      <c r="ACM12" s="270"/>
      <c r="ACN12" s="270"/>
      <c r="ACO12" s="270"/>
      <c r="ACP12" s="270"/>
      <c r="ACQ12" s="270"/>
      <c r="ACR12" s="270"/>
      <c r="ACS12" s="270"/>
      <c r="ACT12" s="270"/>
      <c r="ACU12" s="270"/>
      <c r="ACV12" s="270"/>
      <c r="ACW12" s="270"/>
      <c r="ACX12" s="270"/>
      <c r="ACY12" s="270"/>
      <c r="ACZ12" s="270"/>
      <c r="ADA12" s="270"/>
      <c r="ADB12" s="270"/>
      <c r="ADC12" s="270"/>
      <c r="ADD12" s="270"/>
      <c r="ADE12" s="270"/>
      <c r="ADF12" s="270"/>
      <c r="ADG12" s="270"/>
      <c r="ADH12" s="270"/>
      <c r="ADI12" s="270"/>
      <c r="ADJ12" s="270"/>
      <c r="ADK12" s="270"/>
      <c r="ADL12" s="270"/>
      <c r="ADM12" s="270"/>
      <c r="ADN12" s="270"/>
      <c r="ADO12" s="270"/>
      <c r="ADP12" s="270"/>
      <c r="ADQ12" s="270"/>
      <c r="ADR12" s="270"/>
      <c r="ADS12" s="270"/>
      <c r="ADT12" s="270"/>
      <c r="ADU12" s="270"/>
      <c r="ADV12" s="270"/>
      <c r="ADW12" s="270"/>
      <c r="ADX12" s="270"/>
      <c r="ADY12" s="270"/>
      <c r="ADZ12" s="270"/>
      <c r="AEA12" s="270"/>
      <c r="AEB12" s="270"/>
      <c r="AEC12" s="270"/>
      <c r="AED12" s="270"/>
      <c r="AEE12" s="270"/>
      <c r="AEF12" s="270"/>
      <c r="AEG12" s="270"/>
      <c r="AEH12" s="270"/>
      <c r="AEI12" s="270"/>
      <c r="AEJ12" s="270"/>
      <c r="AEK12" s="270"/>
      <c r="AEL12" s="270"/>
      <c r="AEM12" s="270"/>
      <c r="AEN12" s="270"/>
      <c r="AEO12" s="270"/>
      <c r="AEP12" s="270"/>
      <c r="AEQ12" s="270"/>
      <c r="AER12" s="270"/>
      <c r="AES12" s="270"/>
      <c r="AET12" s="270"/>
      <c r="AEU12" s="270"/>
      <c r="AEV12" s="270"/>
      <c r="AEW12" s="270"/>
      <c r="AEX12" s="270"/>
      <c r="AEY12" s="270"/>
      <c r="AEZ12" s="270"/>
      <c r="AFA12" s="270"/>
      <c r="AFB12" s="270"/>
      <c r="AFC12" s="270"/>
      <c r="AFD12" s="270"/>
      <c r="AFE12" s="270"/>
      <c r="AFF12" s="270"/>
      <c r="AFG12" s="270"/>
      <c r="AFH12" s="270"/>
      <c r="AFI12" s="270"/>
      <c r="AFJ12" s="270"/>
      <c r="AFK12" s="270"/>
      <c r="AFL12" s="270"/>
      <c r="AFM12" s="270"/>
      <c r="AFN12" s="270"/>
      <c r="AFO12" s="270"/>
      <c r="AFP12" s="270"/>
      <c r="AFQ12" s="270"/>
      <c r="AFR12" s="270"/>
      <c r="AFS12" s="270"/>
      <c r="AFT12" s="270"/>
      <c r="AFU12" s="270"/>
      <c r="AFV12" s="270"/>
      <c r="AFW12" s="270"/>
      <c r="AFX12" s="270"/>
      <c r="AFY12" s="270"/>
      <c r="AFZ12" s="270"/>
      <c r="AGA12" s="270"/>
      <c r="AGB12" s="270"/>
      <c r="AGC12" s="270"/>
      <c r="AGD12" s="270"/>
      <c r="AGE12" s="270"/>
      <c r="AGF12" s="270"/>
      <c r="AGG12" s="270"/>
      <c r="AGH12" s="270"/>
      <c r="AGI12" s="270"/>
      <c r="AGJ12" s="270"/>
      <c r="AGK12" s="270"/>
      <c r="AGL12" s="270"/>
      <c r="AGM12" s="270"/>
      <c r="AGN12" s="270"/>
      <c r="AGO12" s="270"/>
      <c r="AGP12" s="270"/>
      <c r="AGQ12" s="270"/>
      <c r="AGR12" s="270"/>
      <c r="AGS12" s="270"/>
      <c r="AGT12" s="270"/>
      <c r="AGU12" s="270"/>
      <c r="AGV12" s="270"/>
      <c r="AGW12" s="270"/>
      <c r="AGX12" s="270"/>
      <c r="AGY12" s="270"/>
      <c r="AGZ12" s="270"/>
      <c r="AHA12" s="270"/>
      <c r="AHB12" s="270"/>
      <c r="AHC12" s="270"/>
      <c r="AHD12" s="270"/>
      <c r="AHE12" s="270"/>
      <c r="AHF12" s="270"/>
      <c r="AHG12" s="270"/>
      <c r="AHH12" s="270"/>
      <c r="AHI12" s="270"/>
      <c r="AHJ12" s="270"/>
      <c r="AHK12" s="270"/>
      <c r="AHL12" s="270"/>
      <c r="AHM12" s="270"/>
      <c r="AHN12" s="270"/>
      <c r="AHO12" s="270"/>
      <c r="AHP12" s="270"/>
      <c r="AHQ12" s="270"/>
      <c r="AHR12" s="270"/>
      <c r="AHS12" s="270"/>
      <c r="AHT12" s="270"/>
      <c r="AHU12" s="270"/>
      <c r="AHV12" s="270"/>
      <c r="AHW12" s="270"/>
      <c r="AHX12" s="270"/>
      <c r="AHY12" s="270"/>
      <c r="AHZ12" s="270"/>
      <c r="AIA12" s="270"/>
      <c r="AIB12" s="270"/>
      <c r="AIC12" s="270"/>
      <c r="AID12" s="270"/>
      <c r="AIE12" s="270"/>
      <c r="AIF12" s="270"/>
      <c r="AIG12" s="270"/>
      <c r="AIH12" s="270"/>
      <c r="AII12" s="270"/>
      <c r="AIJ12" s="270"/>
      <c r="AIK12" s="270"/>
      <c r="AIL12" s="270"/>
      <c r="AIM12" s="270"/>
      <c r="AIN12" s="270"/>
      <c r="AIO12" s="270"/>
      <c r="AIP12" s="270"/>
      <c r="AIQ12" s="270"/>
      <c r="AIR12" s="270"/>
      <c r="AIS12" s="270"/>
      <c r="AIT12" s="270"/>
      <c r="AIU12" s="270"/>
      <c r="AIV12" s="270"/>
      <c r="AIW12" s="270"/>
      <c r="AIX12" s="270"/>
      <c r="AIY12" s="270"/>
      <c r="AIZ12" s="270"/>
      <c r="AJA12" s="270"/>
      <c r="AJB12" s="270"/>
      <c r="AJC12" s="270"/>
      <c r="AJD12" s="270"/>
      <c r="AJE12" s="270"/>
      <c r="AJF12" s="270"/>
      <c r="AJG12" s="270"/>
      <c r="AJH12" s="270"/>
      <c r="AJI12" s="270"/>
      <c r="AJJ12" s="270"/>
      <c r="AJK12" s="270"/>
      <c r="AJL12" s="270"/>
      <c r="AJM12" s="270"/>
      <c r="AJN12" s="270"/>
      <c r="AJO12" s="270"/>
      <c r="AJP12" s="270"/>
      <c r="AJQ12" s="270"/>
      <c r="AJR12" s="270"/>
      <c r="AJS12" s="270"/>
      <c r="AJT12" s="270"/>
      <c r="AJU12" s="270"/>
      <c r="AJV12" s="270"/>
      <c r="AJW12" s="270"/>
      <c r="AJX12" s="270"/>
      <c r="AJY12" s="270"/>
      <c r="AJZ12" s="270"/>
      <c r="AKA12" s="270"/>
      <c r="AKB12" s="270"/>
      <c r="AKC12" s="270"/>
      <c r="AKD12" s="270"/>
      <c r="AKE12" s="270"/>
      <c r="AKF12" s="270"/>
      <c r="AKG12" s="270"/>
      <c r="AKH12" s="270"/>
      <c r="AKI12" s="270"/>
      <c r="AKJ12" s="270"/>
      <c r="AKK12" s="270"/>
      <c r="AKL12" s="270"/>
      <c r="AKM12" s="270"/>
      <c r="AKN12" s="270"/>
      <c r="AKO12" s="270"/>
      <c r="AKP12" s="270"/>
      <c r="AKQ12" s="270"/>
      <c r="AKR12" s="270"/>
      <c r="AKS12" s="270"/>
      <c r="AKT12" s="270"/>
      <c r="AKU12" s="270"/>
      <c r="AKV12" s="270"/>
      <c r="AKW12" s="270"/>
      <c r="AKX12" s="270"/>
      <c r="AKY12" s="270"/>
      <c r="AKZ12" s="270"/>
      <c r="ALA12" s="270"/>
      <c r="ALB12" s="270"/>
      <c r="ALC12" s="270"/>
      <c r="ALD12" s="270"/>
      <c r="ALE12" s="270"/>
      <c r="ALF12" s="270"/>
      <c r="ALG12" s="270"/>
      <c r="ALH12" s="270"/>
      <c r="ALI12" s="270"/>
      <c r="ALJ12" s="270"/>
      <c r="ALK12" s="270"/>
      <c r="ALL12" s="270"/>
      <c r="ALM12" s="270"/>
      <c r="ALN12" s="270"/>
      <c r="ALO12" s="270"/>
      <c r="ALP12" s="270"/>
      <c r="ALQ12" s="270"/>
      <c r="ALR12" s="270"/>
      <c r="ALS12" s="270"/>
      <c r="ALT12" s="270"/>
      <c r="ALU12" s="270"/>
      <c r="ALV12" s="270"/>
      <c r="ALW12" s="270"/>
      <c r="ALX12" s="270"/>
      <c r="ALY12" s="270"/>
      <c r="ALZ12" s="270"/>
      <c r="AMA12" s="270"/>
      <c r="AMB12" s="270"/>
      <c r="AMC12" s="270"/>
      <c r="AMD12" s="270"/>
      <c r="AME12" s="270"/>
      <c r="AMF12" s="270"/>
      <c r="AMG12" s="270"/>
      <c r="AMH12" s="270"/>
      <c r="AMI12" s="270"/>
      <c r="AMJ12" s="270"/>
      <c r="AMK12" s="270"/>
      <c r="AML12" s="270"/>
      <c r="AMM12" s="270"/>
      <c r="AMN12" s="270"/>
      <c r="AMO12" s="270"/>
      <c r="AMP12" s="270"/>
      <c r="AMQ12" s="270"/>
      <c r="AMR12" s="270"/>
      <c r="AMS12" s="270"/>
      <c r="AMT12" s="270"/>
      <c r="AMU12" s="270"/>
      <c r="AMV12" s="270"/>
      <c r="AMW12" s="270"/>
      <c r="AMX12" s="270"/>
      <c r="AMY12" s="270"/>
      <c r="AMZ12" s="270"/>
      <c r="ANA12" s="270"/>
      <c r="ANB12" s="270"/>
      <c r="ANC12" s="270"/>
      <c r="AND12" s="270"/>
      <c r="ANE12" s="270"/>
      <c r="ANF12" s="270"/>
      <c r="ANG12" s="270"/>
      <c r="ANH12" s="270"/>
      <c r="ANI12" s="270"/>
      <c r="ANJ12" s="270"/>
      <c r="ANK12" s="270"/>
      <c r="ANL12" s="270"/>
      <c r="ANM12" s="270"/>
      <c r="ANN12" s="270"/>
      <c r="ANO12" s="270"/>
      <c r="ANP12" s="270"/>
      <c r="ANQ12" s="270"/>
      <c r="ANR12" s="270"/>
      <c r="ANS12" s="270"/>
      <c r="ANT12" s="270"/>
      <c r="ANU12" s="270"/>
      <c r="ANV12" s="270"/>
      <c r="ANW12" s="270"/>
      <c r="ANX12" s="270"/>
      <c r="ANY12" s="270"/>
      <c r="ANZ12" s="270"/>
      <c r="AOA12" s="270"/>
      <c r="AOB12" s="270"/>
      <c r="AOC12" s="270"/>
      <c r="AOD12" s="270"/>
      <c r="AOE12" s="270"/>
      <c r="AOF12" s="270"/>
      <c r="AOG12" s="270"/>
      <c r="AOH12" s="270"/>
      <c r="AOI12" s="270"/>
      <c r="AOJ12" s="270"/>
      <c r="AOK12" s="270"/>
      <c r="AOL12" s="270"/>
      <c r="AOM12" s="270"/>
      <c r="AON12" s="270"/>
      <c r="AOO12" s="270"/>
      <c r="AOP12" s="270"/>
      <c r="AOQ12" s="270"/>
      <c r="AOR12" s="270"/>
      <c r="AOS12" s="270"/>
      <c r="AOT12" s="270"/>
      <c r="AOU12" s="270"/>
      <c r="AOV12" s="270"/>
      <c r="AOW12" s="270"/>
      <c r="AOX12" s="270"/>
      <c r="AOY12" s="270"/>
      <c r="AOZ12" s="270"/>
      <c r="APA12" s="270"/>
      <c r="APB12" s="270"/>
      <c r="APC12" s="270"/>
      <c r="APD12" s="270"/>
      <c r="APE12" s="270"/>
      <c r="APF12" s="270"/>
      <c r="APG12" s="270"/>
      <c r="APH12" s="270"/>
      <c r="API12" s="270"/>
      <c r="APJ12" s="270"/>
      <c r="APK12" s="270"/>
      <c r="APL12" s="270"/>
      <c r="APM12" s="270"/>
      <c r="APN12" s="270"/>
      <c r="APO12" s="270"/>
      <c r="APP12" s="270"/>
      <c r="APQ12" s="270"/>
      <c r="APR12" s="270"/>
      <c r="APS12" s="270"/>
      <c r="APT12" s="270"/>
      <c r="APU12" s="270"/>
      <c r="APV12" s="270"/>
      <c r="APW12" s="270"/>
      <c r="APX12" s="270"/>
    </row>
    <row r="13" spans="1:1116" s="272" customFormat="1" ht="15" customHeight="1">
      <c r="A13" s="268"/>
      <c r="B13" s="269"/>
      <c r="C13" s="270"/>
      <c r="D13" s="421"/>
      <c r="E13" s="359"/>
      <c r="F13" s="364"/>
      <c r="G13" s="271"/>
      <c r="H13" s="378"/>
      <c r="I13" s="385"/>
      <c r="J13" s="378"/>
      <c r="K13" s="130"/>
      <c r="L13" s="130"/>
      <c r="M13" s="450"/>
      <c r="N13" s="349"/>
      <c r="O13" s="450"/>
      <c r="P13" s="189"/>
      <c r="Q13" s="608"/>
      <c r="R13" s="365"/>
      <c r="S13" s="365"/>
      <c r="T13" s="577"/>
      <c r="U13" s="577"/>
      <c r="V13" s="577"/>
      <c r="W13" s="541"/>
      <c r="X13" s="541"/>
      <c r="Y13" s="541"/>
      <c r="Z13" s="541"/>
      <c r="AA13" s="541"/>
      <c r="AB13" s="541"/>
      <c r="AC13" s="541"/>
      <c r="AD13" s="541"/>
      <c r="AE13" s="541"/>
      <c r="AF13" s="541"/>
      <c r="AG13" s="541"/>
      <c r="AH13" s="541"/>
      <c r="AI13" s="541"/>
      <c r="AJ13" s="541"/>
      <c r="AK13" s="541"/>
      <c r="AL13" s="541"/>
      <c r="AM13" s="541"/>
      <c r="AN13" s="541"/>
      <c r="AO13" s="541"/>
      <c r="AP13" s="541"/>
      <c r="AQ13" s="541"/>
      <c r="AR13" s="541"/>
      <c r="AS13" s="541"/>
      <c r="AT13" s="541"/>
      <c r="AU13" s="541"/>
      <c r="AV13" s="541"/>
      <c r="AW13" s="541"/>
      <c r="AX13" s="541"/>
      <c r="AY13" s="541"/>
      <c r="AZ13" s="541"/>
      <c r="BA13" s="541"/>
      <c r="BB13" s="541"/>
      <c r="BC13" s="541"/>
      <c r="BD13" s="541"/>
      <c r="BE13" s="541"/>
      <c r="BF13" s="541"/>
      <c r="BG13" s="541"/>
      <c r="BH13" s="541"/>
      <c r="BI13" s="541"/>
      <c r="BJ13" s="541"/>
      <c r="BK13" s="541"/>
      <c r="BL13" s="541"/>
      <c r="BM13" s="541"/>
      <c r="BN13" s="541"/>
      <c r="BO13" s="541"/>
      <c r="BP13" s="541"/>
      <c r="BQ13" s="541"/>
      <c r="BR13" s="541"/>
      <c r="BS13" s="541"/>
      <c r="BT13" s="541"/>
      <c r="BU13" s="541"/>
      <c r="BV13" s="541"/>
      <c r="BW13" s="541"/>
      <c r="BX13" s="541"/>
      <c r="BY13" s="541"/>
      <c r="BZ13" s="541"/>
      <c r="CA13" s="541"/>
      <c r="CB13" s="541"/>
      <c r="CC13" s="541"/>
      <c r="CD13" s="542"/>
      <c r="CE13" s="365"/>
      <c r="CF13" s="541"/>
      <c r="CG13" s="541"/>
      <c r="CH13" s="541"/>
      <c r="CI13" s="541"/>
      <c r="CJ13" s="541"/>
      <c r="CK13" s="541"/>
      <c r="CL13" s="541"/>
      <c r="CM13" s="541"/>
      <c r="CN13" s="541"/>
      <c r="CO13" s="541"/>
      <c r="CP13" s="541"/>
      <c r="CQ13" s="541"/>
      <c r="CR13" s="541"/>
      <c r="CS13" s="541"/>
      <c r="CT13" s="541"/>
      <c r="CU13" s="541"/>
      <c r="CV13" s="541"/>
      <c r="CW13" s="541"/>
      <c r="CX13" s="541"/>
      <c r="CY13" s="541"/>
      <c r="CZ13" s="541"/>
      <c r="DA13" s="541"/>
      <c r="DB13" s="541"/>
      <c r="DC13" s="541"/>
      <c r="DD13" s="541"/>
      <c r="DE13" s="541"/>
      <c r="DF13" s="541"/>
      <c r="DG13" s="541"/>
      <c r="DH13" s="541"/>
      <c r="DI13" s="541"/>
      <c r="DJ13" s="541"/>
      <c r="DK13" s="541"/>
      <c r="DL13" s="541"/>
      <c r="DM13" s="541"/>
      <c r="DN13" s="541"/>
      <c r="DO13" s="541"/>
      <c r="DP13" s="541"/>
      <c r="DQ13" s="541"/>
      <c r="DR13" s="541"/>
      <c r="DS13" s="541"/>
      <c r="DT13" s="541"/>
      <c r="DU13" s="541"/>
      <c r="DV13" s="541"/>
      <c r="DW13" s="541"/>
      <c r="DX13" s="541"/>
      <c r="DY13" s="541"/>
      <c r="DZ13" s="541"/>
      <c r="EA13" s="541"/>
      <c r="EB13" s="541"/>
      <c r="EC13" s="541"/>
      <c r="ED13" s="541"/>
      <c r="EE13" s="541"/>
      <c r="EF13" s="541"/>
      <c r="EG13" s="541"/>
      <c r="EH13" s="541"/>
      <c r="EI13" s="541"/>
      <c r="EJ13" s="541"/>
      <c r="EK13" s="541"/>
      <c r="EL13" s="541"/>
      <c r="EM13" s="542"/>
      <c r="EN13" s="365"/>
      <c r="EO13" s="365"/>
      <c r="EP13" s="270"/>
      <c r="EQ13" s="270"/>
      <c r="ER13" s="270"/>
      <c r="ES13" s="270"/>
      <c r="ET13" s="270"/>
      <c r="EU13" s="270"/>
      <c r="EV13" s="270"/>
      <c r="EW13" s="270"/>
      <c r="EX13" s="270"/>
      <c r="EY13" s="270"/>
      <c r="EZ13" s="270"/>
      <c r="FA13" s="270"/>
      <c r="FB13" s="270"/>
      <c r="FC13" s="270"/>
      <c r="FD13" s="270"/>
      <c r="FE13" s="270"/>
      <c r="FF13" s="270"/>
      <c r="FG13" s="270"/>
      <c r="FH13" s="270"/>
      <c r="FI13" s="270"/>
      <c r="FJ13" s="270"/>
      <c r="FK13" s="270"/>
      <c r="FL13" s="270"/>
      <c r="FM13" s="270"/>
      <c r="FN13" s="270"/>
      <c r="FO13" s="270"/>
      <c r="FP13" s="270"/>
      <c r="FQ13" s="270"/>
      <c r="FR13" s="270"/>
      <c r="FS13" s="270"/>
      <c r="FT13" s="270"/>
      <c r="FU13" s="270"/>
      <c r="FV13" s="270"/>
      <c r="FW13" s="270"/>
      <c r="FX13" s="270"/>
      <c r="FY13" s="270"/>
      <c r="FZ13" s="270"/>
      <c r="GA13" s="270"/>
      <c r="GB13" s="270"/>
      <c r="GC13" s="270"/>
      <c r="GD13" s="270"/>
      <c r="GE13" s="270"/>
      <c r="GF13" s="270"/>
      <c r="GG13" s="270"/>
      <c r="GH13" s="270"/>
      <c r="GI13" s="270"/>
      <c r="GJ13" s="270"/>
      <c r="GK13" s="270"/>
      <c r="GL13" s="270"/>
      <c r="GM13" s="270"/>
      <c r="GN13" s="270"/>
      <c r="GO13" s="270"/>
      <c r="GP13" s="270"/>
      <c r="GQ13" s="270"/>
      <c r="GR13" s="270"/>
      <c r="GS13" s="270"/>
      <c r="GT13" s="270"/>
      <c r="GU13" s="270"/>
      <c r="GV13" s="270"/>
      <c r="GW13" s="270"/>
      <c r="GX13" s="270"/>
      <c r="GY13" s="270"/>
      <c r="GZ13" s="270"/>
      <c r="HA13" s="270"/>
      <c r="HB13" s="270"/>
      <c r="HC13" s="270"/>
      <c r="HD13" s="270"/>
      <c r="HE13" s="270"/>
      <c r="HF13" s="270"/>
      <c r="HG13" s="270"/>
      <c r="HH13" s="270"/>
      <c r="HI13" s="270"/>
      <c r="HJ13" s="270"/>
      <c r="HK13" s="270"/>
      <c r="HL13" s="270"/>
      <c r="HM13" s="270"/>
      <c r="HN13" s="270"/>
      <c r="HO13" s="270"/>
      <c r="HP13" s="270"/>
      <c r="HQ13" s="270"/>
      <c r="HR13" s="270"/>
      <c r="HS13" s="270"/>
      <c r="HT13" s="270"/>
      <c r="HU13" s="270"/>
      <c r="HV13" s="270"/>
      <c r="HW13" s="270"/>
      <c r="HX13" s="270"/>
      <c r="HY13" s="270"/>
      <c r="HZ13" s="270"/>
      <c r="IA13" s="270"/>
      <c r="IB13" s="270"/>
      <c r="IC13" s="270"/>
      <c r="ID13" s="270"/>
      <c r="IE13" s="270"/>
      <c r="IF13" s="270"/>
      <c r="IG13" s="270"/>
      <c r="IH13" s="270"/>
      <c r="II13" s="270"/>
      <c r="IJ13" s="270"/>
      <c r="IK13" s="270"/>
      <c r="IL13" s="270"/>
      <c r="IM13" s="270"/>
      <c r="IN13" s="270"/>
      <c r="IO13" s="270"/>
      <c r="IP13" s="270"/>
      <c r="IQ13" s="270"/>
      <c r="IR13" s="270"/>
      <c r="IS13" s="270"/>
      <c r="IT13" s="270"/>
      <c r="IU13" s="270"/>
      <c r="IV13" s="270"/>
      <c r="IW13" s="270"/>
      <c r="IX13" s="270"/>
      <c r="IY13" s="270"/>
      <c r="IZ13" s="270"/>
      <c r="JA13" s="270"/>
      <c r="JB13" s="270"/>
      <c r="JC13" s="270"/>
      <c r="JD13" s="270"/>
      <c r="JE13" s="270"/>
      <c r="JF13" s="270"/>
      <c r="JG13" s="270"/>
      <c r="JH13" s="270"/>
      <c r="JI13" s="270"/>
      <c r="JJ13" s="270"/>
      <c r="JK13" s="270"/>
      <c r="JL13" s="270"/>
      <c r="JM13" s="270"/>
      <c r="JN13" s="270"/>
      <c r="JO13" s="270"/>
      <c r="JP13" s="270"/>
      <c r="JQ13" s="270"/>
      <c r="JR13" s="270"/>
      <c r="JS13" s="270"/>
      <c r="JT13" s="270"/>
      <c r="JU13" s="270"/>
      <c r="JV13" s="270"/>
      <c r="JW13" s="270"/>
      <c r="JX13" s="270"/>
      <c r="JY13" s="270"/>
      <c r="JZ13" s="270"/>
      <c r="KA13" s="270"/>
      <c r="KB13" s="270"/>
      <c r="KC13" s="270"/>
      <c r="KD13" s="270"/>
      <c r="KE13" s="270"/>
      <c r="KF13" s="270"/>
      <c r="KG13" s="270"/>
      <c r="KH13" s="270"/>
      <c r="KI13" s="270"/>
      <c r="KJ13" s="270"/>
      <c r="KK13" s="270"/>
      <c r="KL13" s="270"/>
      <c r="KM13" s="270"/>
      <c r="KN13" s="270"/>
      <c r="KO13" s="270"/>
      <c r="KP13" s="270"/>
      <c r="KQ13" s="270"/>
      <c r="KR13" s="270"/>
      <c r="KS13" s="270"/>
      <c r="KT13" s="270"/>
      <c r="KU13" s="270"/>
      <c r="KV13" s="270"/>
      <c r="KW13" s="270"/>
      <c r="KX13" s="270"/>
      <c r="KY13" s="270"/>
      <c r="KZ13" s="270"/>
      <c r="LA13" s="270"/>
      <c r="LB13" s="270"/>
      <c r="LC13" s="270"/>
      <c r="LD13" s="270"/>
      <c r="LE13" s="270"/>
      <c r="LF13" s="270"/>
      <c r="LG13" s="270"/>
      <c r="LH13" s="270"/>
      <c r="LI13" s="270"/>
      <c r="LJ13" s="270"/>
      <c r="LK13" s="270"/>
      <c r="LL13" s="270"/>
      <c r="LM13" s="270"/>
      <c r="LN13" s="270"/>
      <c r="LO13" s="270"/>
      <c r="LP13" s="270"/>
      <c r="LQ13" s="270"/>
      <c r="LR13" s="270"/>
      <c r="LS13" s="270"/>
      <c r="LT13" s="270"/>
      <c r="LU13" s="270"/>
      <c r="LV13" s="270"/>
      <c r="LW13" s="270"/>
      <c r="LX13" s="270"/>
      <c r="LY13" s="270"/>
      <c r="LZ13" s="270"/>
      <c r="MA13" s="270"/>
      <c r="MB13" s="270"/>
      <c r="MC13" s="270"/>
      <c r="MD13" s="270"/>
      <c r="ME13" s="270"/>
      <c r="MF13" s="270"/>
      <c r="MG13" s="270"/>
      <c r="MH13" s="270"/>
      <c r="MI13" s="270"/>
      <c r="MJ13" s="270"/>
      <c r="MK13" s="270"/>
      <c r="ML13" s="270"/>
      <c r="MM13" s="270"/>
      <c r="MN13" s="270"/>
      <c r="MO13" s="270"/>
      <c r="MP13" s="270"/>
      <c r="MQ13" s="270"/>
      <c r="MR13" s="270"/>
      <c r="MS13" s="270"/>
      <c r="MT13" s="270"/>
      <c r="MU13" s="270"/>
      <c r="MV13" s="270"/>
      <c r="MW13" s="270"/>
      <c r="MX13" s="270"/>
      <c r="MY13" s="270"/>
      <c r="MZ13" s="270"/>
      <c r="NA13" s="270"/>
      <c r="NB13" s="270"/>
      <c r="NC13" s="270"/>
      <c r="ND13" s="270"/>
      <c r="NE13" s="270"/>
      <c r="NF13" s="270"/>
      <c r="NG13" s="270"/>
      <c r="NH13" s="270"/>
      <c r="NI13" s="270"/>
      <c r="NJ13" s="270"/>
      <c r="NK13" s="270"/>
      <c r="NL13" s="270"/>
      <c r="NM13" s="270"/>
      <c r="NN13" s="270"/>
      <c r="NO13" s="270"/>
      <c r="NP13" s="270"/>
      <c r="NQ13" s="270"/>
      <c r="NR13" s="270"/>
      <c r="NS13" s="270"/>
      <c r="NT13" s="270"/>
      <c r="NU13" s="270"/>
      <c r="NV13" s="270"/>
      <c r="NW13" s="270"/>
      <c r="NX13" s="270"/>
      <c r="NY13" s="270"/>
      <c r="NZ13" s="270"/>
      <c r="OA13" s="270"/>
      <c r="OB13" s="270"/>
      <c r="OC13" s="270"/>
      <c r="OD13" s="270"/>
      <c r="OE13" s="270"/>
      <c r="OF13" s="270"/>
      <c r="OG13" s="270"/>
      <c r="OH13" s="270"/>
      <c r="OI13" s="270"/>
      <c r="OJ13" s="270"/>
      <c r="OK13" s="270"/>
      <c r="OL13" s="270"/>
      <c r="OM13" s="270"/>
      <c r="ON13" s="270"/>
      <c r="OO13" s="270"/>
      <c r="OP13" s="270"/>
      <c r="OQ13" s="270"/>
      <c r="OR13" s="270"/>
      <c r="OS13" s="270"/>
      <c r="OT13" s="270"/>
      <c r="OU13" s="270"/>
      <c r="OV13" s="270"/>
      <c r="OW13" s="270"/>
      <c r="OX13" s="270"/>
      <c r="OY13" s="270"/>
      <c r="OZ13" s="270"/>
      <c r="PA13" s="270"/>
      <c r="PB13" s="270"/>
      <c r="PC13" s="270"/>
      <c r="PD13" s="270"/>
      <c r="PE13" s="270"/>
      <c r="PF13" s="270"/>
      <c r="PG13" s="270"/>
      <c r="PH13" s="270"/>
      <c r="PI13" s="270"/>
      <c r="PJ13" s="270"/>
      <c r="PK13" s="270"/>
      <c r="PL13" s="270"/>
      <c r="PM13" s="270"/>
      <c r="PN13" s="270"/>
      <c r="PO13" s="270"/>
      <c r="PP13" s="270"/>
      <c r="PQ13" s="270"/>
      <c r="PR13" s="270"/>
      <c r="PS13" s="270"/>
      <c r="PT13" s="270"/>
      <c r="PU13" s="270"/>
      <c r="PV13" s="270"/>
      <c r="PW13" s="270"/>
      <c r="PX13" s="270"/>
      <c r="PY13" s="270"/>
      <c r="PZ13" s="270"/>
      <c r="QA13" s="270"/>
      <c r="QB13" s="270"/>
      <c r="QC13" s="270"/>
      <c r="QD13" s="270"/>
      <c r="QE13" s="270"/>
      <c r="QF13" s="270"/>
      <c r="QG13" s="270"/>
      <c r="QH13" s="270"/>
      <c r="QI13" s="270"/>
      <c r="QJ13" s="270"/>
      <c r="QK13" s="270"/>
      <c r="QL13" s="270"/>
      <c r="QM13" s="270"/>
      <c r="QN13" s="270"/>
      <c r="QO13" s="270"/>
      <c r="QP13" s="270"/>
      <c r="QQ13" s="270"/>
      <c r="QR13" s="270"/>
      <c r="QS13" s="270"/>
      <c r="QT13" s="270"/>
      <c r="QU13" s="270"/>
      <c r="QV13" s="270"/>
      <c r="QW13" s="270"/>
      <c r="QX13" s="270"/>
      <c r="QY13" s="270"/>
      <c r="QZ13" s="270"/>
      <c r="RA13" s="270"/>
      <c r="RB13" s="270"/>
      <c r="RC13" s="270"/>
      <c r="RD13" s="270"/>
      <c r="RE13" s="270"/>
      <c r="RF13" s="270"/>
      <c r="RG13" s="270"/>
      <c r="RH13" s="270"/>
      <c r="RI13" s="270"/>
      <c r="RJ13" s="270"/>
      <c r="RK13" s="270"/>
      <c r="RL13" s="270"/>
      <c r="RM13" s="270"/>
      <c r="RN13" s="270"/>
      <c r="RO13" s="270"/>
      <c r="RP13" s="270"/>
      <c r="RQ13" s="270"/>
      <c r="RR13" s="270"/>
      <c r="RS13" s="270"/>
      <c r="RT13" s="270"/>
      <c r="RU13" s="270"/>
      <c r="RV13" s="270"/>
      <c r="RW13" s="270"/>
      <c r="RX13" s="270"/>
      <c r="RY13" s="270"/>
      <c r="RZ13" s="270"/>
      <c r="SA13" s="270"/>
      <c r="SB13" s="270"/>
      <c r="SC13" s="270"/>
      <c r="SD13" s="270"/>
      <c r="SE13" s="270"/>
      <c r="SF13" s="270"/>
      <c r="SG13" s="270"/>
      <c r="SH13" s="270"/>
      <c r="SI13" s="270"/>
      <c r="SJ13" s="270"/>
      <c r="SK13" s="270"/>
      <c r="SL13" s="270"/>
      <c r="SM13" s="270"/>
      <c r="SN13" s="270"/>
      <c r="SO13" s="270"/>
      <c r="SP13" s="270"/>
      <c r="SQ13" s="270"/>
      <c r="SR13" s="270"/>
      <c r="SS13" s="270"/>
      <c r="ST13" s="270"/>
      <c r="SU13" s="270"/>
      <c r="SV13" s="270"/>
      <c r="SW13" s="270"/>
      <c r="SX13" s="270"/>
      <c r="SY13" s="270"/>
      <c r="SZ13" s="270"/>
      <c r="TA13" s="270"/>
      <c r="TB13" s="270"/>
      <c r="TC13" s="270"/>
      <c r="TD13" s="270"/>
      <c r="TE13" s="270"/>
      <c r="TF13" s="270"/>
      <c r="TG13" s="270"/>
      <c r="TH13" s="270"/>
      <c r="TI13" s="270"/>
      <c r="TJ13" s="270"/>
      <c r="TK13" s="270"/>
      <c r="TL13" s="270"/>
      <c r="TM13" s="270"/>
      <c r="TN13" s="270"/>
      <c r="TO13" s="270"/>
      <c r="TP13" s="270"/>
      <c r="TQ13" s="270"/>
      <c r="TR13" s="270"/>
      <c r="TS13" s="270"/>
      <c r="TT13" s="270"/>
      <c r="TU13" s="270"/>
      <c r="TV13" s="270"/>
      <c r="TW13" s="270"/>
      <c r="TX13" s="270"/>
      <c r="TY13" s="270"/>
      <c r="TZ13" s="270"/>
      <c r="UA13" s="270"/>
      <c r="UB13" s="270"/>
      <c r="UC13" s="270"/>
      <c r="UD13" s="270"/>
      <c r="UE13" s="270"/>
      <c r="UF13" s="270"/>
      <c r="UG13" s="270"/>
      <c r="UH13" s="270"/>
      <c r="UI13" s="270"/>
      <c r="UJ13" s="270"/>
      <c r="UK13" s="270"/>
      <c r="UL13" s="270"/>
      <c r="UM13" s="270"/>
      <c r="UN13" s="270"/>
      <c r="UO13" s="270"/>
      <c r="UP13" s="270"/>
      <c r="UQ13" s="270"/>
      <c r="UR13" s="270"/>
      <c r="US13" s="270"/>
      <c r="UT13" s="270"/>
      <c r="UU13" s="270"/>
      <c r="UV13" s="270"/>
      <c r="UW13" s="270"/>
      <c r="UX13" s="270"/>
      <c r="UY13" s="270"/>
      <c r="UZ13" s="270"/>
      <c r="VA13" s="270"/>
      <c r="VB13" s="270"/>
      <c r="VC13" s="270"/>
      <c r="VD13" s="270"/>
      <c r="VE13" s="270"/>
      <c r="VF13" s="270"/>
      <c r="VG13" s="270"/>
      <c r="VH13" s="270"/>
      <c r="VI13" s="270"/>
      <c r="VJ13" s="270"/>
      <c r="VK13" s="270"/>
      <c r="VL13" s="270"/>
      <c r="VM13" s="270"/>
      <c r="VN13" s="270"/>
      <c r="VO13" s="270"/>
      <c r="VP13" s="270"/>
      <c r="VQ13" s="270"/>
      <c r="VR13" s="270"/>
      <c r="VS13" s="270"/>
      <c r="VT13" s="270"/>
      <c r="VU13" s="270"/>
      <c r="VV13" s="270"/>
      <c r="VW13" s="270"/>
      <c r="VX13" s="270"/>
      <c r="VY13" s="270"/>
      <c r="VZ13" s="270"/>
      <c r="WA13" s="270"/>
      <c r="WB13" s="270"/>
      <c r="WC13" s="270"/>
      <c r="WD13" s="270"/>
      <c r="WE13" s="270"/>
      <c r="WF13" s="270"/>
      <c r="WG13" s="270"/>
      <c r="WH13" s="270"/>
      <c r="WI13" s="270"/>
      <c r="WJ13" s="270"/>
      <c r="WK13" s="270"/>
      <c r="WL13" s="270"/>
      <c r="WM13" s="270"/>
      <c r="WN13" s="270"/>
      <c r="WO13" s="270"/>
      <c r="WP13" s="270"/>
      <c r="WQ13" s="270"/>
      <c r="WR13" s="270"/>
      <c r="WS13" s="270"/>
      <c r="WT13" s="270"/>
      <c r="WU13" s="270"/>
      <c r="WV13" s="270"/>
      <c r="WW13" s="270"/>
      <c r="WX13" s="270"/>
      <c r="WY13" s="270"/>
      <c r="WZ13" s="270"/>
      <c r="XA13" s="270"/>
      <c r="XB13" s="270"/>
      <c r="XC13" s="270"/>
      <c r="XD13" s="270"/>
      <c r="XE13" s="270"/>
      <c r="XF13" s="270"/>
      <c r="XG13" s="270"/>
      <c r="XH13" s="270"/>
      <c r="XI13" s="270"/>
      <c r="XJ13" s="270"/>
      <c r="XK13" s="270"/>
      <c r="XL13" s="270"/>
      <c r="XM13" s="270"/>
      <c r="XN13" s="270"/>
      <c r="XO13" s="270"/>
      <c r="XP13" s="270"/>
      <c r="XQ13" s="270"/>
      <c r="XR13" s="270"/>
      <c r="XS13" s="270"/>
      <c r="XT13" s="270"/>
      <c r="XU13" s="270"/>
      <c r="XV13" s="270"/>
      <c r="XW13" s="270"/>
      <c r="XX13" s="270"/>
      <c r="XY13" s="270"/>
      <c r="XZ13" s="270"/>
      <c r="YA13" s="270"/>
      <c r="YB13" s="270"/>
      <c r="YC13" s="270"/>
      <c r="YD13" s="270"/>
      <c r="YE13" s="270"/>
      <c r="YF13" s="270"/>
      <c r="YG13" s="270"/>
      <c r="YH13" s="270"/>
      <c r="YI13" s="270"/>
      <c r="YJ13" s="270"/>
      <c r="YK13" s="270"/>
      <c r="YL13" s="270"/>
      <c r="YM13" s="270"/>
      <c r="YN13" s="270"/>
      <c r="YO13" s="270"/>
      <c r="YP13" s="270"/>
      <c r="YQ13" s="270"/>
      <c r="YR13" s="270"/>
      <c r="YS13" s="270"/>
      <c r="YT13" s="270"/>
      <c r="YU13" s="270"/>
      <c r="YV13" s="270"/>
      <c r="YW13" s="270"/>
      <c r="YX13" s="270"/>
      <c r="YY13" s="270"/>
      <c r="YZ13" s="270"/>
      <c r="ZA13" s="270"/>
      <c r="ZB13" s="270"/>
      <c r="ZC13" s="270"/>
      <c r="ZD13" s="270"/>
      <c r="ZE13" s="270"/>
      <c r="ZF13" s="270"/>
      <c r="ZG13" s="270"/>
      <c r="ZH13" s="270"/>
      <c r="ZI13" s="270"/>
      <c r="ZJ13" s="270"/>
      <c r="ZK13" s="270"/>
      <c r="ZL13" s="270"/>
      <c r="ZM13" s="270"/>
      <c r="ZN13" s="270"/>
      <c r="ZO13" s="270"/>
      <c r="ZP13" s="270"/>
      <c r="ZQ13" s="270"/>
      <c r="ZR13" s="270"/>
      <c r="ZS13" s="270"/>
      <c r="ZT13" s="270"/>
      <c r="ZU13" s="270"/>
      <c r="ZV13" s="270"/>
      <c r="ZW13" s="270"/>
      <c r="ZX13" s="270"/>
      <c r="ZY13" s="270"/>
      <c r="ZZ13" s="270"/>
      <c r="AAA13" s="270"/>
      <c r="AAB13" s="270"/>
      <c r="AAC13" s="270"/>
      <c r="AAD13" s="270"/>
      <c r="AAE13" s="270"/>
      <c r="AAF13" s="270"/>
      <c r="AAG13" s="270"/>
      <c r="AAH13" s="270"/>
      <c r="AAI13" s="270"/>
      <c r="AAJ13" s="270"/>
      <c r="AAK13" s="270"/>
      <c r="AAL13" s="270"/>
      <c r="AAM13" s="270"/>
      <c r="AAN13" s="270"/>
      <c r="AAO13" s="270"/>
      <c r="AAP13" s="270"/>
      <c r="AAQ13" s="270"/>
      <c r="AAR13" s="270"/>
      <c r="AAS13" s="270"/>
      <c r="AAT13" s="270"/>
      <c r="AAU13" s="270"/>
      <c r="AAV13" s="270"/>
      <c r="AAW13" s="270"/>
      <c r="AAX13" s="270"/>
      <c r="AAY13" s="270"/>
      <c r="AAZ13" s="270"/>
      <c r="ABA13" s="270"/>
      <c r="ABB13" s="270"/>
      <c r="ABC13" s="270"/>
      <c r="ABD13" s="270"/>
      <c r="ABE13" s="270"/>
      <c r="ABF13" s="270"/>
      <c r="ABG13" s="270"/>
      <c r="ABH13" s="270"/>
      <c r="ABI13" s="270"/>
      <c r="ABJ13" s="270"/>
      <c r="ABK13" s="270"/>
      <c r="ABL13" s="270"/>
      <c r="ABM13" s="270"/>
      <c r="ABN13" s="270"/>
      <c r="ABO13" s="270"/>
      <c r="ABP13" s="270"/>
      <c r="ABQ13" s="270"/>
      <c r="ABR13" s="270"/>
      <c r="ABS13" s="270"/>
      <c r="ABT13" s="270"/>
      <c r="ABU13" s="270"/>
      <c r="ABV13" s="270"/>
      <c r="ABW13" s="270"/>
      <c r="ABX13" s="270"/>
      <c r="ABY13" s="270"/>
      <c r="ABZ13" s="270"/>
      <c r="ACA13" s="270"/>
      <c r="ACB13" s="270"/>
      <c r="ACC13" s="270"/>
      <c r="ACD13" s="270"/>
      <c r="ACE13" s="270"/>
      <c r="ACF13" s="270"/>
      <c r="ACG13" s="270"/>
      <c r="ACH13" s="270"/>
      <c r="ACI13" s="270"/>
      <c r="ACJ13" s="270"/>
      <c r="ACK13" s="270"/>
      <c r="ACL13" s="270"/>
      <c r="ACM13" s="270"/>
      <c r="ACN13" s="270"/>
      <c r="ACO13" s="270"/>
      <c r="ACP13" s="270"/>
      <c r="ACQ13" s="270"/>
      <c r="ACR13" s="270"/>
      <c r="ACS13" s="270"/>
      <c r="ACT13" s="270"/>
      <c r="ACU13" s="270"/>
      <c r="ACV13" s="270"/>
      <c r="ACW13" s="270"/>
      <c r="ACX13" s="270"/>
      <c r="ACY13" s="270"/>
      <c r="ACZ13" s="270"/>
      <c r="ADA13" s="270"/>
      <c r="ADB13" s="270"/>
      <c r="ADC13" s="270"/>
      <c r="ADD13" s="270"/>
      <c r="ADE13" s="270"/>
      <c r="ADF13" s="270"/>
      <c r="ADG13" s="270"/>
      <c r="ADH13" s="270"/>
      <c r="ADI13" s="270"/>
      <c r="ADJ13" s="270"/>
      <c r="ADK13" s="270"/>
      <c r="ADL13" s="270"/>
      <c r="ADM13" s="270"/>
      <c r="ADN13" s="270"/>
      <c r="ADO13" s="270"/>
      <c r="ADP13" s="270"/>
      <c r="ADQ13" s="270"/>
      <c r="ADR13" s="270"/>
      <c r="ADS13" s="270"/>
      <c r="ADT13" s="270"/>
      <c r="ADU13" s="270"/>
      <c r="ADV13" s="270"/>
      <c r="ADW13" s="270"/>
      <c r="ADX13" s="270"/>
      <c r="ADY13" s="270"/>
      <c r="ADZ13" s="270"/>
      <c r="AEA13" s="270"/>
      <c r="AEB13" s="270"/>
      <c r="AEC13" s="270"/>
      <c r="AED13" s="270"/>
      <c r="AEE13" s="270"/>
      <c r="AEF13" s="270"/>
      <c r="AEG13" s="270"/>
      <c r="AEH13" s="270"/>
      <c r="AEI13" s="270"/>
      <c r="AEJ13" s="270"/>
      <c r="AEK13" s="270"/>
      <c r="AEL13" s="270"/>
      <c r="AEM13" s="270"/>
      <c r="AEN13" s="270"/>
      <c r="AEO13" s="270"/>
      <c r="AEP13" s="270"/>
      <c r="AEQ13" s="270"/>
      <c r="AER13" s="270"/>
      <c r="AES13" s="270"/>
      <c r="AET13" s="270"/>
      <c r="AEU13" s="270"/>
      <c r="AEV13" s="270"/>
      <c r="AEW13" s="270"/>
      <c r="AEX13" s="270"/>
      <c r="AEY13" s="270"/>
      <c r="AEZ13" s="270"/>
      <c r="AFA13" s="270"/>
      <c r="AFB13" s="270"/>
      <c r="AFC13" s="270"/>
      <c r="AFD13" s="270"/>
      <c r="AFE13" s="270"/>
      <c r="AFF13" s="270"/>
      <c r="AFG13" s="270"/>
      <c r="AFH13" s="270"/>
      <c r="AFI13" s="270"/>
      <c r="AFJ13" s="270"/>
      <c r="AFK13" s="270"/>
      <c r="AFL13" s="270"/>
      <c r="AFM13" s="270"/>
      <c r="AFN13" s="270"/>
      <c r="AFO13" s="270"/>
      <c r="AFP13" s="270"/>
      <c r="AFQ13" s="270"/>
      <c r="AFR13" s="270"/>
      <c r="AFS13" s="270"/>
      <c r="AFT13" s="270"/>
      <c r="AFU13" s="270"/>
      <c r="AFV13" s="270"/>
      <c r="AFW13" s="270"/>
      <c r="AFX13" s="270"/>
      <c r="AFY13" s="270"/>
      <c r="AFZ13" s="270"/>
      <c r="AGA13" s="270"/>
      <c r="AGB13" s="270"/>
      <c r="AGC13" s="270"/>
      <c r="AGD13" s="270"/>
      <c r="AGE13" s="270"/>
      <c r="AGF13" s="270"/>
      <c r="AGG13" s="270"/>
      <c r="AGH13" s="270"/>
      <c r="AGI13" s="270"/>
      <c r="AGJ13" s="270"/>
      <c r="AGK13" s="270"/>
      <c r="AGL13" s="270"/>
      <c r="AGM13" s="270"/>
      <c r="AGN13" s="270"/>
      <c r="AGO13" s="270"/>
      <c r="AGP13" s="270"/>
      <c r="AGQ13" s="270"/>
      <c r="AGR13" s="270"/>
      <c r="AGS13" s="270"/>
      <c r="AGT13" s="270"/>
      <c r="AGU13" s="270"/>
      <c r="AGV13" s="270"/>
      <c r="AGW13" s="270"/>
      <c r="AGX13" s="270"/>
      <c r="AGY13" s="270"/>
      <c r="AGZ13" s="270"/>
      <c r="AHA13" s="270"/>
      <c r="AHB13" s="270"/>
      <c r="AHC13" s="270"/>
      <c r="AHD13" s="270"/>
      <c r="AHE13" s="270"/>
      <c r="AHF13" s="270"/>
      <c r="AHG13" s="270"/>
      <c r="AHH13" s="270"/>
      <c r="AHI13" s="270"/>
      <c r="AHJ13" s="270"/>
      <c r="AHK13" s="270"/>
      <c r="AHL13" s="270"/>
      <c r="AHM13" s="270"/>
      <c r="AHN13" s="270"/>
      <c r="AHO13" s="270"/>
      <c r="AHP13" s="270"/>
      <c r="AHQ13" s="270"/>
      <c r="AHR13" s="270"/>
      <c r="AHS13" s="270"/>
      <c r="AHT13" s="270"/>
      <c r="AHU13" s="270"/>
      <c r="AHV13" s="270"/>
      <c r="AHW13" s="270"/>
      <c r="AHX13" s="270"/>
      <c r="AHY13" s="270"/>
      <c r="AHZ13" s="270"/>
      <c r="AIA13" s="270"/>
      <c r="AIB13" s="270"/>
      <c r="AIC13" s="270"/>
      <c r="AID13" s="270"/>
      <c r="AIE13" s="270"/>
      <c r="AIF13" s="270"/>
      <c r="AIG13" s="270"/>
      <c r="AIH13" s="270"/>
      <c r="AII13" s="270"/>
      <c r="AIJ13" s="270"/>
      <c r="AIK13" s="270"/>
      <c r="AIL13" s="270"/>
      <c r="AIM13" s="270"/>
      <c r="AIN13" s="270"/>
      <c r="AIO13" s="270"/>
      <c r="AIP13" s="270"/>
      <c r="AIQ13" s="270"/>
      <c r="AIR13" s="270"/>
      <c r="AIS13" s="270"/>
      <c r="AIT13" s="270"/>
      <c r="AIU13" s="270"/>
      <c r="AIV13" s="270"/>
      <c r="AIW13" s="270"/>
      <c r="AIX13" s="270"/>
      <c r="AIY13" s="270"/>
      <c r="AIZ13" s="270"/>
      <c r="AJA13" s="270"/>
      <c r="AJB13" s="270"/>
      <c r="AJC13" s="270"/>
      <c r="AJD13" s="270"/>
      <c r="AJE13" s="270"/>
      <c r="AJF13" s="270"/>
      <c r="AJG13" s="270"/>
      <c r="AJH13" s="270"/>
      <c r="AJI13" s="270"/>
      <c r="AJJ13" s="270"/>
      <c r="AJK13" s="270"/>
      <c r="AJL13" s="270"/>
      <c r="AJM13" s="270"/>
      <c r="AJN13" s="270"/>
      <c r="AJO13" s="270"/>
      <c r="AJP13" s="270"/>
      <c r="AJQ13" s="270"/>
      <c r="AJR13" s="270"/>
      <c r="AJS13" s="270"/>
      <c r="AJT13" s="270"/>
      <c r="AJU13" s="270"/>
      <c r="AJV13" s="270"/>
      <c r="AJW13" s="270"/>
      <c r="AJX13" s="270"/>
      <c r="AJY13" s="270"/>
      <c r="AJZ13" s="270"/>
      <c r="AKA13" s="270"/>
      <c r="AKB13" s="270"/>
      <c r="AKC13" s="270"/>
      <c r="AKD13" s="270"/>
      <c r="AKE13" s="270"/>
      <c r="AKF13" s="270"/>
      <c r="AKG13" s="270"/>
      <c r="AKH13" s="270"/>
      <c r="AKI13" s="270"/>
      <c r="AKJ13" s="270"/>
      <c r="AKK13" s="270"/>
      <c r="AKL13" s="270"/>
      <c r="AKM13" s="270"/>
      <c r="AKN13" s="270"/>
      <c r="AKO13" s="270"/>
      <c r="AKP13" s="270"/>
      <c r="AKQ13" s="270"/>
      <c r="AKR13" s="270"/>
      <c r="AKS13" s="270"/>
      <c r="AKT13" s="270"/>
      <c r="AKU13" s="270"/>
      <c r="AKV13" s="270"/>
      <c r="AKW13" s="270"/>
      <c r="AKX13" s="270"/>
      <c r="AKY13" s="270"/>
      <c r="AKZ13" s="270"/>
      <c r="ALA13" s="270"/>
      <c r="ALB13" s="270"/>
      <c r="ALC13" s="270"/>
      <c r="ALD13" s="270"/>
      <c r="ALE13" s="270"/>
      <c r="ALF13" s="270"/>
      <c r="ALG13" s="270"/>
      <c r="ALH13" s="270"/>
      <c r="ALI13" s="270"/>
      <c r="ALJ13" s="270"/>
      <c r="ALK13" s="270"/>
      <c r="ALL13" s="270"/>
      <c r="ALM13" s="270"/>
      <c r="ALN13" s="270"/>
      <c r="ALO13" s="270"/>
      <c r="ALP13" s="270"/>
      <c r="ALQ13" s="270"/>
      <c r="ALR13" s="270"/>
      <c r="ALS13" s="270"/>
      <c r="ALT13" s="270"/>
      <c r="ALU13" s="270"/>
      <c r="ALV13" s="270"/>
      <c r="ALW13" s="270"/>
      <c r="ALX13" s="270"/>
      <c r="ALY13" s="270"/>
      <c r="ALZ13" s="270"/>
      <c r="AMA13" s="270"/>
      <c r="AMB13" s="270"/>
      <c r="AMC13" s="270"/>
      <c r="AMD13" s="270"/>
      <c r="AME13" s="270"/>
      <c r="AMF13" s="270"/>
      <c r="AMG13" s="270"/>
      <c r="AMH13" s="270"/>
      <c r="AMI13" s="270"/>
      <c r="AMJ13" s="270"/>
      <c r="AMK13" s="270"/>
      <c r="AML13" s="270"/>
      <c r="AMM13" s="270"/>
      <c r="AMN13" s="270"/>
      <c r="AMO13" s="270"/>
      <c r="AMP13" s="270"/>
      <c r="AMQ13" s="270"/>
      <c r="AMR13" s="270"/>
      <c r="AMS13" s="270"/>
      <c r="AMT13" s="270"/>
      <c r="AMU13" s="270"/>
      <c r="AMV13" s="270"/>
      <c r="AMW13" s="270"/>
      <c r="AMX13" s="270"/>
      <c r="AMY13" s="270"/>
      <c r="AMZ13" s="270"/>
      <c r="ANA13" s="270"/>
      <c r="ANB13" s="270"/>
      <c r="ANC13" s="270"/>
      <c r="AND13" s="270"/>
      <c r="ANE13" s="270"/>
      <c r="ANF13" s="270"/>
      <c r="ANG13" s="270"/>
      <c r="ANH13" s="270"/>
      <c r="ANI13" s="270"/>
      <c r="ANJ13" s="270"/>
      <c r="ANK13" s="270"/>
      <c r="ANL13" s="270"/>
      <c r="ANM13" s="270"/>
      <c r="ANN13" s="270"/>
      <c r="ANO13" s="270"/>
      <c r="ANP13" s="270"/>
      <c r="ANQ13" s="270"/>
      <c r="ANR13" s="270"/>
      <c r="ANS13" s="270"/>
      <c r="ANT13" s="270"/>
      <c r="ANU13" s="270"/>
      <c r="ANV13" s="270"/>
      <c r="ANW13" s="270"/>
      <c r="ANX13" s="270"/>
      <c r="ANY13" s="270"/>
      <c r="ANZ13" s="270"/>
      <c r="AOA13" s="270"/>
      <c r="AOB13" s="270"/>
      <c r="AOC13" s="270"/>
      <c r="AOD13" s="270"/>
      <c r="AOE13" s="270"/>
      <c r="AOF13" s="270"/>
      <c r="AOG13" s="270"/>
      <c r="AOH13" s="270"/>
      <c r="AOI13" s="270"/>
      <c r="AOJ13" s="270"/>
      <c r="AOK13" s="270"/>
      <c r="AOL13" s="270"/>
      <c r="AOM13" s="270"/>
      <c r="AON13" s="270"/>
      <c r="AOO13" s="270"/>
      <c r="AOP13" s="270"/>
      <c r="AOQ13" s="270"/>
      <c r="AOR13" s="270"/>
      <c r="AOS13" s="270"/>
      <c r="AOT13" s="270"/>
      <c r="AOU13" s="270"/>
      <c r="AOV13" s="270"/>
      <c r="AOW13" s="270"/>
      <c r="AOX13" s="270"/>
      <c r="AOY13" s="270"/>
      <c r="AOZ13" s="270"/>
      <c r="APA13" s="270"/>
      <c r="APB13" s="270"/>
      <c r="APC13" s="270"/>
      <c r="APD13" s="270"/>
      <c r="APE13" s="270"/>
      <c r="APF13" s="270"/>
      <c r="APG13" s="270"/>
      <c r="APH13" s="270"/>
      <c r="API13" s="270"/>
      <c r="APJ13" s="270"/>
      <c r="APK13" s="270"/>
      <c r="APL13" s="270"/>
      <c r="APM13" s="270"/>
      <c r="APN13" s="270"/>
      <c r="APO13" s="270"/>
      <c r="APP13" s="270"/>
      <c r="APQ13" s="270"/>
      <c r="APR13" s="270"/>
      <c r="APS13" s="270"/>
      <c r="APT13" s="270"/>
      <c r="APU13" s="270"/>
      <c r="APV13" s="270"/>
      <c r="APW13" s="270"/>
      <c r="APX13" s="270"/>
    </row>
    <row r="14" spans="1:1116" s="272" customFormat="1" ht="15" customHeight="1">
      <c r="A14" s="268"/>
      <c r="B14" s="269"/>
      <c r="C14" s="270"/>
      <c r="D14" s="421"/>
      <c r="E14" s="359"/>
      <c r="F14" s="364"/>
      <c r="G14" s="271"/>
      <c r="H14" s="379"/>
      <c r="I14" s="385"/>
      <c r="J14" s="378"/>
      <c r="K14" s="130"/>
      <c r="L14" s="130"/>
      <c r="M14" s="450"/>
      <c r="N14" s="349"/>
      <c r="O14" s="450"/>
      <c r="P14" s="189"/>
      <c r="Q14" s="608"/>
      <c r="R14" s="365"/>
      <c r="S14" s="365"/>
      <c r="T14" s="577"/>
      <c r="U14" s="577"/>
      <c r="V14" s="577"/>
      <c r="W14" s="541"/>
      <c r="X14" s="541"/>
      <c r="Y14" s="541"/>
      <c r="Z14" s="541"/>
      <c r="AA14" s="541"/>
      <c r="AB14" s="541"/>
      <c r="AC14" s="541"/>
      <c r="AD14" s="541"/>
      <c r="AE14" s="541"/>
      <c r="AF14" s="541"/>
      <c r="AG14" s="541"/>
      <c r="AH14" s="541"/>
      <c r="AI14" s="541"/>
      <c r="AJ14" s="541"/>
      <c r="AK14" s="541"/>
      <c r="AL14" s="541"/>
      <c r="AM14" s="541"/>
      <c r="AN14" s="541"/>
      <c r="AO14" s="541"/>
      <c r="AP14" s="541"/>
      <c r="AQ14" s="541"/>
      <c r="AR14" s="541"/>
      <c r="AS14" s="541"/>
      <c r="AT14" s="541"/>
      <c r="AU14" s="541"/>
      <c r="AV14" s="541"/>
      <c r="AW14" s="541"/>
      <c r="AX14" s="541"/>
      <c r="AY14" s="541"/>
      <c r="AZ14" s="541"/>
      <c r="BA14" s="541"/>
      <c r="BB14" s="541"/>
      <c r="BC14" s="541"/>
      <c r="BD14" s="541"/>
      <c r="BE14" s="541"/>
      <c r="BF14" s="541"/>
      <c r="BG14" s="541"/>
      <c r="BH14" s="541"/>
      <c r="BI14" s="541"/>
      <c r="BJ14" s="541"/>
      <c r="BK14" s="541"/>
      <c r="BL14" s="541"/>
      <c r="BM14" s="541"/>
      <c r="BN14" s="541"/>
      <c r="BO14" s="541"/>
      <c r="BP14" s="541"/>
      <c r="BQ14" s="541"/>
      <c r="BR14" s="541"/>
      <c r="BS14" s="541"/>
      <c r="BT14" s="541"/>
      <c r="BU14" s="541"/>
      <c r="BV14" s="541"/>
      <c r="BW14" s="541"/>
      <c r="BX14" s="541"/>
      <c r="BY14" s="541"/>
      <c r="BZ14" s="541"/>
      <c r="CA14" s="541"/>
      <c r="CB14" s="541"/>
      <c r="CC14" s="541"/>
      <c r="CD14" s="542"/>
      <c r="CE14" s="365"/>
      <c r="CF14" s="541"/>
      <c r="CG14" s="541"/>
      <c r="CH14" s="541"/>
      <c r="CI14" s="541"/>
      <c r="CJ14" s="541"/>
      <c r="CK14" s="541"/>
      <c r="CL14" s="541"/>
      <c r="CM14" s="541"/>
      <c r="CN14" s="541"/>
      <c r="CO14" s="541"/>
      <c r="CP14" s="541"/>
      <c r="CQ14" s="541"/>
      <c r="CR14" s="541"/>
      <c r="CS14" s="541"/>
      <c r="CT14" s="541"/>
      <c r="CU14" s="541"/>
      <c r="CV14" s="541"/>
      <c r="CW14" s="541"/>
      <c r="CX14" s="541"/>
      <c r="CY14" s="541"/>
      <c r="CZ14" s="541"/>
      <c r="DA14" s="541"/>
      <c r="DB14" s="541"/>
      <c r="DC14" s="541"/>
      <c r="DD14" s="541"/>
      <c r="DE14" s="541"/>
      <c r="DF14" s="541"/>
      <c r="DG14" s="541"/>
      <c r="DH14" s="541"/>
      <c r="DI14" s="541"/>
      <c r="DJ14" s="541"/>
      <c r="DK14" s="541"/>
      <c r="DL14" s="541"/>
      <c r="DM14" s="541"/>
      <c r="DN14" s="541"/>
      <c r="DO14" s="541"/>
      <c r="DP14" s="541"/>
      <c r="DQ14" s="541"/>
      <c r="DR14" s="541"/>
      <c r="DS14" s="541"/>
      <c r="DT14" s="541"/>
      <c r="DU14" s="541"/>
      <c r="DV14" s="541"/>
      <c r="DW14" s="541"/>
      <c r="DX14" s="541"/>
      <c r="DY14" s="541"/>
      <c r="DZ14" s="541"/>
      <c r="EA14" s="541"/>
      <c r="EB14" s="541"/>
      <c r="EC14" s="541"/>
      <c r="ED14" s="541"/>
      <c r="EE14" s="541"/>
      <c r="EF14" s="541"/>
      <c r="EG14" s="541"/>
      <c r="EH14" s="541"/>
      <c r="EI14" s="541"/>
      <c r="EJ14" s="541"/>
      <c r="EK14" s="541"/>
      <c r="EL14" s="541"/>
      <c r="EM14" s="542"/>
      <c r="EN14" s="365"/>
      <c r="EO14" s="365"/>
      <c r="EP14" s="270"/>
      <c r="EQ14" s="270"/>
      <c r="ER14" s="270"/>
      <c r="ES14" s="270"/>
      <c r="ET14" s="270"/>
      <c r="EU14" s="270"/>
      <c r="EV14" s="270"/>
      <c r="EW14" s="270"/>
      <c r="EX14" s="270"/>
      <c r="EY14" s="270"/>
      <c r="EZ14" s="270"/>
      <c r="FA14" s="270"/>
      <c r="FB14" s="270"/>
      <c r="FC14" s="270"/>
      <c r="FD14" s="270"/>
      <c r="FE14" s="270"/>
      <c r="FF14" s="270"/>
      <c r="FG14" s="270"/>
      <c r="FH14" s="270"/>
      <c r="FI14" s="270"/>
      <c r="FJ14" s="270"/>
      <c r="FK14" s="270"/>
      <c r="FL14" s="270"/>
      <c r="FM14" s="270"/>
      <c r="FN14" s="270"/>
      <c r="FO14" s="270"/>
      <c r="FP14" s="270"/>
      <c r="FQ14" s="270"/>
      <c r="FR14" s="270"/>
      <c r="FS14" s="270"/>
      <c r="FT14" s="270"/>
      <c r="FU14" s="270"/>
      <c r="FV14" s="270"/>
      <c r="FW14" s="270"/>
      <c r="FX14" s="270"/>
      <c r="FY14" s="270"/>
      <c r="FZ14" s="270"/>
      <c r="GA14" s="270"/>
      <c r="GB14" s="270"/>
      <c r="GC14" s="270"/>
      <c r="GD14" s="270"/>
      <c r="GE14" s="270"/>
      <c r="GF14" s="270"/>
      <c r="GG14" s="270"/>
      <c r="GH14" s="270"/>
      <c r="GI14" s="270"/>
      <c r="GJ14" s="270"/>
      <c r="GK14" s="270"/>
      <c r="GL14" s="270"/>
      <c r="GM14" s="270"/>
      <c r="GN14" s="270"/>
      <c r="GO14" s="270"/>
      <c r="GP14" s="270"/>
      <c r="GQ14" s="270"/>
      <c r="GR14" s="270"/>
      <c r="GS14" s="270"/>
      <c r="GT14" s="270"/>
      <c r="GU14" s="270"/>
      <c r="GV14" s="270"/>
      <c r="GW14" s="270"/>
      <c r="GX14" s="270"/>
      <c r="GY14" s="270"/>
      <c r="GZ14" s="270"/>
      <c r="HA14" s="270"/>
      <c r="HB14" s="270"/>
      <c r="HC14" s="270"/>
      <c r="HD14" s="270"/>
      <c r="HE14" s="270"/>
      <c r="HF14" s="270"/>
      <c r="HG14" s="270"/>
      <c r="HH14" s="270"/>
      <c r="HI14" s="270"/>
      <c r="HJ14" s="270"/>
      <c r="HK14" s="270"/>
      <c r="HL14" s="270"/>
      <c r="HM14" s="270"/>
      <c r="HN14" s="270"/>
      <c r="HO14" s="270"/>
      <c r="HP14" s="270"/>
      <c r="HQ14" s="270"/>
      <c r="HR14" s="270"/>
      <c r="HS14" s="270"/>
      <c r="HT14" s="270"/>
      <c r="HU14" s="270"/>
      <c r="HV14" s="270"/>
      <c r="HW14" s="270"/>
      <c r="HX14" s="270"/>
      <c r="HY14" s="270"/>
      <c r="HZ14" s="270"/>
      <c r="IA14" s="270"/>
      <c r="IB14" s="270"/>
      <c r="IC14" s="270"/>
      <c r="ID14" s="270"/>
      <c r="IE14" s="270"/>
      <c r="IF14" s="270"/>
      <c r="IG14" s="270"/>
      <c r="IH14" s="270"/>
      <c r="II14" s="270"/>
      <c r="IJ14" s="270"/>
      <c r="IK14" s="270"/>
      <c r="IL14" s="270"/>
      <c r="IM14" s="270"/>
      <c r="IN14" s="270"/>
      <c r="IO14" s="270"/>
      <c r="IP14" s="270"/>
      <c r="IQ14" s="270"/>
      <c r="IR14" s="270"/>
      <c r="IS14" s="270"/>
      <c r="IT14" s="270"/>
      <c r="IU14" s="270"/>
      <c r="IV14" s="270"/>
      <c r="IW14" s="270"/>
      <c r="IX14" s="270"/>
      <c r="IY14" s="270"/>
      <c r="IZ14" s="270"/>
      <c r="JA14" s="270"/>
      <c r="JB14" s="270"/>
      <c r="JC14" s="270"/>
      <c r="JD14" s="270"/>
      <c r="JE14" s="270"/>
      <c r="JF14" s="270"/>
      <c r="JG14" s="270"/>
      <c r="JH14" s="270"/>
      <c r="JI14" s="270"/>
      <c r="JJ14" s="270"/>
      <c r="JK14" s="270"/>
      <c r="JL14" s="270"/>
      <c r="JM14" s="270"/>
      <c r="JN14" s="270"/>
      <c r="JO14" s="270"/>
      <c r="JP14" s="270"/>
      <c r="JQ14" s="270"/>
      <c r="JR14" s="270"/>
      <c r="JS14" s="270"/>
      <c r="JT14" s="270"/>
      <c r="JU14" s="270"/>
      <c r="JV14" s="270"/>
      <c r="JW14" s="270"/>
      <c r="JX14" s="270"/>
      <c r="JY14" s="270"/>
      <c r="JZ14" s="270"/>
      <c r="KA14" s="270"/>
      <c r="KB14" s="270"/>
      <c r="KC14" s="270"/>
      <c r="KD14" s="270"/>
      <c r="KE14" s="270"/>
      <c r="KF14" s="270"/>
      <c r="KG14" s="270"/>
      <c r="KH14" s="270"/>
      <c r="KI14" s="270"/>
      <c r="KJ14" s="270"/>
      <c r="KK14" s="270"/>
      <c r="KL14" s="270"/>
      <c r="KM14" s="270"/>
      <c r="KN14" s="270"/>
      <c r="KO14" s="270"/>
      <c r="KP14" s="270"/>
      <c r="KQ14" s="270"/>
      <c r="KR14" s="270"/>
      <c r="KS14" s="270"/>
      <c r="KT14" s="270"/>
      <c r="KU14" s="270"/>
      <c r="KV14" s="270"/>
      <c r="KW14" s="270"/>
      <c r="KX14" s="270"/>
      <c r="KY14" s="270"/>
      <c r="KZ14" s="270"/>
      <c r="LA14" s="270"/>
      <c r="LB14" s="270"/>
      <c r="LC14" s="270"/>
      <c r="LD14" s="270"/>
      <c r="LE14" s="270"/>
      <c r="LF14" s="270"/>
      <c r="LG14" s="270"/>
      <c r="LH14" s="270"/>
      <c r="LI14" s="270"/>
      <c r="LJ14" s="270"/>
      <c r="LK14" s="270"/>
      <c r="LL14" s="270"/>
      <c r="LM14" s="270"/>
      <c r="LN14" s="270"/>
      <c r="LO14" s="270"/>
      <c r="LP14" s="270"/>
      <c r="LQ14" s="270"/>
      <c r="LR14" s="270"/>
      <c r="LS14" s="270"/>
      <c r="LT14" s="270"/>
      <c r="LU14" s="270"/>
      <c r="LV14" s="270"/>
      <c r="LW14" s="270"/>
      <c r="LX14" s="270"/>
      <c r="LY14" s="270"/>
      <c r="LZ14" s="270"/>
      <c r="MA14" s="270"/>
      <c r="MB14" s="270"/>
      <c r="MC14" s="270"/>
      <c r="MD14" s="270"/>
      <c r="ME14" s="270"/>
      <c r="MF14" s="270"/>
      <c r="MG14" s="270"/>
      <c r="MH14" s="270"/>
      <c r="MI14" s="270"/>
      <c r="MJ14" s="270"/>
      <c r="MK14" s="270"/>
      <c r="ML14" s="270"/>
      <c r="MM14" s="270"/>
      <c r="MN14" s="270"/>
      <c r="MO14" s="270"/>
      <c r="MP14" s="270"/>
      <c r="MQ14" s="270"/>
      <c r="MR14" s="270"/>
      <c r="MS14" s="270"/>
      <c r="MT14" s="270"/>
      <c r="MU14" s="270"/>
      <c r="MV14" s="270"/>
      <c r="MW14" s="270"/>
      <c r="MX14" s="270"/>
      <c r="MY14" s="270"/>
      <c r="MZ14" s="270"/>
      <c r="NA14" s="270"/>
      <c r="NB14" s="270"/>
      <c r="NC14" s="270"/>
      <c r="ND14" s="270"/>
      <c r="NE14" s="270"/>
      <c r="NF14" s="270"/>
      <c r="NG14" s="270"/>
      <c r="NH14" s="270"/>
      <c r="NI14" s="270"/>
      <c r="NJ14" s="270"/>
      <c r="NK14" s="270"/>
      <c r="NL14" s="270"/>
      <c r="NM14" s="270"/>
      <c r="NN14" s="270"/>
      <c r="NO14" s="270"/>
      <c r="NP14" s="270"/>
      <c r="NQ14" s="270"/>
      <c r="NR14" s="270"/>
      <c r="NS14" s="270"/>
      <c r="NT14" s="270"/>
      <c r="NU14" s="270"/>
      <c r="NV14" s="270"/>
      <c r="NW14" s="270"/>
      <c r="NX14" s="270"/>
      <c r="NY14" s="270"/>
      <c r="NZ14" s="270"/>
      <c r="OA14" s="270"/>
      <c r="OB14" s="270"/>
      <c r="OC14" s="270"/>
      <c r="OD14" s="270"/>
      <c r="OE14" s="270"/>
      <c r="OF14" s="270"/>
      <c r="OG14" s="270"/>
      <c r="OH14" s="270"/>
      <c r="OI14" s="270"/>
      <c r="OJ14" s="270"/>
      <c r="OK14" s="270"/>
      <c r="OL14" s="270"/>
      <c r="OM14" s="270"/>
      <c r="ON14" s="270"/>
      <c r="OO14" s="270"/>
      <c r="OP14" s="270"/>
      <c r="OQ14" s="270"/>
      <c r="OR14" s="270"/>
      <c r="OS14" s="270"/>
      <c r="OT14" s="270"/>
      <c r="OU14" s="270"/>
      <c r="OV14" s="270"/>
      <c r="OW14" s="270"/>
      <c r="OX14" s="270"/>
      <c r="OY14" s="270"/>
      <c r="OZ14" s="270"/>
      <c r="PA14" s="270"/>
      <c r="PB14" s="270"/>
      <c r="PC14" s="270"/>
      <c r="PD14" s="270"/>
      <c r="PE14" s="270"/>
      <c r="PF14" s="270"/>
      <c r="PG14" s="270"/>
      <c r="PH14" s="270"/>
      <c r="PI14" s="270"/>
      <c r="PJ14" s="270"/>
      <c r="PK14" s="270"/>
      <c r="PL14" s="270"/>
      <c r="PM14" s="270"/>
      <c r="PN14" s="270"/>
      <c r="PO14" s="270"/>
      <c r="PP14" s="270"/>
      <c r="PQ14" s="270"/>
      <c r="PR14" s="270"/>
      <c r="PS14" s="270"/>
      <c r="PT14" s="270"/>
      <c r="PU14" s="270"/>
      <c r="PV14" s="270"/>
      <c r="PW14" s="270"/>
      <c r="PX14" s="270"/>
      <c r="PY14" s="270"/>
      <c r="PZ14" s="270"/>
      <c r="QA14" s="270"/>
      <c r="QB14" s="270"/>
      <c r="QC14" s="270"/>
      <c r="QD14" s="270"/>
      <c r="QE14" s="270"/>
      <c r="QF14" s="270"/>
      <c r="QG14" s="270"/>
      <c r="QH14" s="270"/>
      <c r="QI14" s="270"/>
      <c r="QJ14" s="270"/>
      <c r="QK14" s="270"/>
      <c r="QL14" s="270"/>
      <c r="QM14" s="270"/>
      <c r="QN14" s="270"/>
      <c r="QO14" s="270"/>
      <c r="QP14" s="270"/>
      <c r="QQ14" s="270"/>
      <c r="QR14" s="270"/>
      <c r="QS14" s="270"/>
      <c r="QT14" s="270"/>
      <c r="QU14" s="270"/>
      <c r="QV14" s="270"/>
      <c r="QW14" s="270"/>
      <c r="QX14" s="270"/>
      <c r="QY14" s="270"/>
      <c r="QZ14" s="270"/>
      <c r="RA14" s="270"/>
      <c r="RB14" s="270"/>
      <c r="RC14" s="270"/>
      <c r="RD14" s="270"/>
      <c r="RE14" s="270"/>
      <c r="RF14" s="270"/>
      <c r="RG14" s="270"/>
      <c r="RH14" s="270"/>
      <c r="RI14" s="270"/>
      <c r="RJ14" s="270"/>
      <c r="RK14" s="270"/>
      <c r="RL14" s="270"/>
      <c r="RM14" s="270"/>
      <c r="RN14" s="270"/>
      <c r="RO14" s="270"/>
      <c r="RP14" s="270"/>
      <c r="RQ14" s="270"/>
      <c r="RR14" s="270"/>
      <c r="RS14" s="270"/>
      <c r="RT14" s="270"/>
      <c r="RU14" s="270"/>
      <c r="RV14" s="270"/>
      <c r="RW14" s="270"/>
      <c r="RX14" s="270"/>
      <c r="RY14" s="270"/>
      <c r="RZ14" s="270"/>
      <c r="SA14" s="270"/>
      <c r="SB14" s="270"/>
      <c r="SC14" s="270"/>
      <c r="SD14" s="270"/>
      <c r="SE14" s="270"/>
      <c r="SF14" s="270"/>
      <c r="SG14" s="270"/>
      <c r="SH14" s="270"/>
      <c r="SI14" s="270"/>
      <c r="SJ14" s="270"/>
      <c r="SK14" s="270"/>
      <c r="SL14" s="270"/>
      <c r="SM14" s="270"/>
      <c r="SN14" s="270"/>
      <c r="SO14" s="270"/>
      <c r="SP14" s="270"/>
      <c r="SQ14" s="270"/>
      <c r="SR14" s="270"/>
      <c r="SS14" s="270"/>
      <c r="ST14" s="270"/>
      <c r="SU14" s="270"/>
      <c r="SV14" s="270"/>
      <c r="SW14" s="270"/>
      <c r="SX14" s="270"/>
      <c r="SY14" s="270"/>
      <c r="SZ14" s="270"/>
      <c r="TA14" s="270"/>
      <c r="TB14" s="270"/>
      <c r="TC14" s="270"/>
      <c r="TD14" s="270"/>
      <c r="TE14" s="270"/>
      <c r="TF14" s="270"/>
      <c r="TG14" s="270"/>
      <c r="TH14" s="270"/>
      <c r="TI14" s="270"/>
      <c r="TJ14" s="270"/>
      <c r="TK14" s="270"/>
      <c r="TL14" s="270"/>
      <c r="TM14" s="270"/>
      <c r="TN14" s="270"/>
      <c r="TO14" s="270"/>
      <c r="TP14" s="270"/>
      <c r="TQ14" s="270"/>
      <c r="TR14" s="270"/>
      <c r="TS14" s="270"/>
      <c r="TT14" s="270"/>
      <c r="TU14" s="270"/>
      <c r="TV14" s="270"/>
      <c r="TW14" s="270"/>
      <c r="TX14" s="270"/>
      <c r="TY14" s="270"/>
      <c r="TZ14" s="270"/>
      <c r="UA14" s="270"/>
      <c r="UB14" s="270"/>
      <c r="UC14" s="270"/>
      <c r="UD14" s="270"/>
      <c r="UE14" s="270"/>
      <c r="UF14" s="270"/>
      <c r="UG14" s="270"/>
      <c r="UH14" s="270"/>
      <c r="UI14" s="270"/>
      <c r="UJ14" s="270"/>
      <c r="UK14" s="270"/>
      <c r="UL14" s="270"/>
      <c r="UM14" s="270"/>
      <c r="UN14" s="270"/>
      <c r="UO14" s="270"/>
      <c r="UP14" s="270"/>
      <c r="UQ14" s="270"/>
      <c r="UR14" s="270"/>
      <c r="US14" s="270"/>
      <c r="UT14" s="270"/>
      <c r="UU14" s="270"/>
      <c r="UV14" s="270"/>
      <c r="UW14" s="270"/>
      <c r="UX14" s="270"/>
      <c r="UY14" s="270"/>
      <c r="UZ14" s="270"/>
      <c r="VA14" s="270"/>
      <c r="VB14" s="270"/>
      <c r="VC14" s="270"/>
      <c r="VD14" s="270"/>
      <c r="VE14" s="270"/>
      <c r="VF14" s="270"/>
      <c r="VG14" s="270"/>
      <c r="VH14" s="270"/>
      <c r="VI14" s="270"/>
      <c r="VJ14" s="270"/>
      <c r="VK14" s="270"/>
      <c r="VL14" s="270"/>
      <c r="VM14" s="270"/>
      <c r="VN14" s="270"/>
      <c r="VO14" s="270"/>
      <c r="VP14" s="270"/>
      <c r="VQ14" s="270"/>
      <c r="VR14" s="270"/>
      <c r="VS14" s="270"/>
      <c r="VT14" s="270"/>
      <c r="VU14" s="270"/>
      <c r="VV14" s="270"/>
      <c r="VW14" s="270"/>
      <c r="VX14" s="270"/>
      <c r="VY14" s="270"/>
      <c r="VZ14" s="270"/>
      <c r="WA14" s="270"/>
      <c r="WB14" s="270"/>
      <c r="WC14" s="270"/>
      <c r="WD14" s="270"/>
      <c r="WE14" s="270"/>
      <c r="WF14" s="270"/>
      <c r="WG14" s="270"/>
      <c r="WH14" s="270"/>
      <c r="WI14" s="270"/>
      <c r="WJ14" s="270"/>
      <c r="WK14" s="270"/>
      <c r="WL14" s="270"/>
      <c r="WM14" s="270"/>
      <c r="WN14" s="270"/>
      <c r="WO14" s="270"/>
      <c r="WP14" s="270"/>
      <c r="WQ14" s="270"/>
      <c r="WR14" s="270"/>
      <c r="WS14" s="270"/>
      <c r="WT14" s="270"/>
      <c r="WU14" s="270"/>
      <c r="WV14" s="270"/>
      <c r="WW14" s="270"/>
      <c r="WX14" s="270"/>
      <c r="WY14" s="270"/>
      <c r="WZ14" s="270"/>
      <c r="XA14" s="270"/>
      <c r="XB14" s="270"/>
      <c r="XC14" s="270"/>
      <c r="XD14" s="270"/>
      <c r="XE14" s="270"/>
      <c r="XF14" s="270"/>
      <c r="XG14" s="270"/>
      <c r="XH14" s="270"/>
      <c r="XI14" s="270"/>
      <c r="XJ14" s="270"/>
      <c r="XK14" s="270"/>
      <c r="XL14" s="270"/>
      <c r="XM14" s="270"/>
      <c r="XN14" s="270"/>
      <c r="XO14" s="270"/>
      <c r="XP14" s="270"/>
      <c r="XQ14" s="270"/>
      <c r="XR14" s="270"/>
      <c r="XS14" s="270"/>
      <c r="XT14" s="270"/>
      <c r="XU14" s="270"/>
      <c r="XV14" s="270"/>
      <c r="XW14" s="270"/>
      <c r="XX14" s="270"/>
      <c r="XY14" s="270"/>
      <c r="XZ14" s="270"/>
      <c r="YA14" s="270"/>
      <c r="YB14" s="270"/>
      <c r="YC14" s="270"/>
      <c r="YD14" s="270"/>
      <c r="YE14" s="270"/>
      <c r="YF14" s="270"/>
      <c r="YG14" s="270"/>
      <c r="YH14" s="270"/>
      <c r="YI14" s="270"/>
      <c r="YJ14" s="270"/>
      <c r="YK14" s="270"/>
      <c r="YL14" s="270"/>
      <c r="YM14" s="270"/>
      <c r="YN14" s="270"/>
      <c r="YO14" s="270"/>
      <c r="YP14" s="270"/>
      <c r="YQ14" s="270"/>
      <c r="YR14" s="270"/>
      <c r="YS14" s="270"/>
      <c r="YT14" s="270"/>
      <c r="YU14" s="270"/>
      <c r="YV14" s="270"/>
      <c r="YW14" s="270"/>
      <c r="YX14" s="270"/>
      <c r="YY14" s="270"/>
      <c r="YZ14" s="270"/>
      <c r="ZA14" s="270"/>
      <c r="ZB14" s="270"/>
      <c r="ZC14" s="270"/>
      <c r="ZD14" s="270"/>
      <c r="ZE14" s="270"/>
      <c r="ZF14" s="270"/>
      <c r="ZG14" s="270"/>
      <c r="ZH14" s="270"/>
      <c r="ZI14" s="270"/>
      <c r="ZJ14" s="270"/>
      <c r="ZK14" s="270"/>
      <c r="ZL14" s="270"/>
      <c r="ZM14" s="270"/>
      <c r="ZN14" s="270"/>
      <c r="ZO14" s="270"/>
      <c r="ZP14" s="270"/>
      <c r="ZQ14" s="270"/>
      <c r="ZR14" s="270"/>
      <c r="ZS14" s="270"/>
      <c r="ZT14" s="270"/>
      <c r="ZU14" s="270"/>
      <c r="ZV14" s="270"/>
      <c r="ZW14" s="270"/>
      <c r="ZX14" s="270"/>
      <c r="ZY14" s="270"/>
      <c r="ZZ14" s="270"/>
      <c r="AAA14" s="270"/>
      <c r="AAB14" s="270"/>
      <c r="AAC14" s="270"/>
      <c r="AAD14" s="270"/>
      <c r="AAE14" s="270"/>
      <c r="AAF14" s="270"/>
      <c r="AAG14" s="270"/>
      <c r="AAH14" s="270"/>
      <c r="AAI14" s="270"/>
      <c r="AAJ14" s="270"/>
      <c r="AAK14" s="270"/>
      <c r="AAL14" s="270"/>
      <c r="AAM14" s="270"/>
      <c r="AAN14" s="270"/>
      <c r="AAO14" s="270"/>
      <c r="AAP14" s="270"/>
      <c r="AAQ14" s="270"/>
      <c r="AAR14" s="270"/>
      <c r="AAS14" s="270"/>
      <c r="AAT14" s="270"/>
      <c r="AAU14" s="270"/>
      <c r="AAV14" s="270"/>
      <c r="AAW14" s="270"/>
      <c r="AAX14" s="270"/>
      <c r="AAY14" s="270"/>
      <c r="AAZ14" s="270"/>
      <c r="ABA14" s="270"/>
      <c r="ABB14" s="270"/>
      <c r="ABC14" s="270"/>
      <c r="ABD14" s="270"/>
      <c r="ABE14" s="270"/>
      <c r="ABF14" s="270"/>
      <c r="ABG14" s="270"/>
      <c r="ABH14" s="270"/>
      <c r="ABI14" s="270"/>
      <c r="ABJ14" s="270"/>
      <c r="ABK14" s="270"/>
      <c r="ABL14" s="270"/>
      <c r="ABM14" s="270"/>
      <c r="ABN14" s="270"/>
      <c r="ABO14" s="270"/>
      <c r="ABP14" s="270"/>
      <c r="ABQ14" s="270"/>
      <c r="ABR14" s="270"/>
      <c r="ABS14" s="270"/>
      <c r="ABT14" s="270"/>
      <c r="ABU14" s="270"/>
      <c r="ABV14" s="270"/>
      <c r="ABW14" s="270"/>
      <c r="ABX14" s="270"/>
      <c r="ABY14" s="270"/>
      <c r="ABZ14" s="270"/>
      <c r="ACA14" s="270"/>
      <c r="ACB14" s="270"/>
      <c r="ACC14" s="270"/>
      <c r="ACD14" s="270"/>
      <c r="ACE14" s="270"/>
      <c r="ACF14" s="270"/>
      <c r="ACG14" s="270"/>
      <c r="ACH14" s="270"/>
      <c r="ACI14" s="270"/>
      <c r="ACJ14" s="270"/>
      <c r="ACK14" s="270"/>
      <c r="ACL14" s="270"/>
      <c r="ACM14" s="270"/>
      <c r="ACN14" s="270"/>
      <c r="ACO14" s="270"/>
      <c r="ACP14" s="270"/>
      <c r="ACQ14" s="270"/>
      <c r="ACR14" s="270"/>
      <c r="ACS14" s="270"/>
      <c r="ACT14" s="270"/>
      <c r="ACU14" s="270"/>
      <c r="ACV14" s="270"/>
      <c r="ACW14" s="270"/>
      <c r="ACX14" s="270"/>
      <c r="ACY14" s="270"/>
      <c r="ACZ14" s="270"/>
      <c r="ADA14" s="270"/>
      <c r="ADB14" s="270"/>
      <c r="ADC14" s="270"/>
      <c r="ADD14" s="270"/>
      <c r="ADE14" s="270"/>
      <c r="ADF14" s="270"/>
      <c r="ADG14" s="270"/>
      <c r="ADH14" s="270"/>
      <c r="ADI14" s="270"/>
      <c r="ADJ14" s="270"/>
      <c r="ADK14" s="270"/>
      <c r="ADL14" s="270"/>
      <c r="ADM14" s="270"/>
      <c r="ADN14" s="270"/>
      <c r="ADO14" s="270"/>
      <c r="ADP14" s="270"/>
      <c r="ADQ14" s="270"/>
      <c r="ADR14" s="270"/>
      <c r="ADS14" s="270"/>
      <c r="ADT14" s="270"/>
      <c r="ADU14" s="270"/>
      <c r="ADV14" s="270"/>
      <c r="ADW14" s="270"/>
      <c r="ADX14" s="270"/>
      <c r="ADY14" s="270"/>
      <c r="ADZ14" s="270"/>
      <c r="AEA14" s="270"/>
      <c r="AEB14" s="270"/>
      <c r="AEC14" s="270"/>
      <c r="AED14" s="270"/>
      <c r="AEE14" s="270"/>
      <c r="AEF14" s="270"/>
      <c r="AEG14" s="270"/>
      <c r="AEH14" s="270"/>
      <c r="AEI14" s="270"/>
      <c r="AEJ14" s="270"/>
      <c r="AEK14" s="270"/>
      <c r="AEL14" s="270"/>
      <c r="AEM14" s="270"/>
      <c r="AEN14" s="270"/>
      <c r="AEO14" s="270"/>
      <c r="AEP14" s="270"/>
      <c r="AEQ14" s="270"/>
      <c r="AER14" s="270"/>
      <c r="AES14" s="270"/>
      <c r="AET14" s="270"/>
      <c r="AEU14" s="270"/>
      <c r="AEV14" s="270"/>
      <c r="AEW14" s="270"/>
      <c r="AEX14" s="270"/>
      <c r="AEY14" s="270"/>
      <c r="AEZ14" s="270"/>
      <c r="AFA14" s="270"/>
      <c r="AFB14" s="270"/>
      <c r="AFC14" s="270"/>
      <c r="AFD14" s="270"/>
      <c r="AFE14" s="270"/>
      <c r="AFF14" s="270"/>
      <c r="AFG14" s="270"/>
      <c r="AFH14" s="270"/>
      <c r="AFI14" s="270"/>
      <c r="AFJ14" s="270"/>
      <c r="AFK14" s="270"/>
      <c r="AFL14" s="270"/>
      <c r="AFM14" s="270"/>
      <c r="AFN14" s="270"/>
      <c r="AFO14" s="270"/>
      <c r="AFP14" s="270"/>
      <c r="AFQ14" s="270"/>
      <c r="AFR14" s="270"/>
      <c r="AFS14" s="270"/>
      <c r="AFT14" s="270"/>
      <c r="AFU14" s="270"/>
      <c r="AFV14" s="270"/>
      <c r="AFW14" s="270"/>
      <c r="AFX14" s="270"/>
      <c r="AFY14" s="270"/>
      <c r="AFZ14" s="270"/>
      <c r="AGA14" s="270"/>
      <c r="AGB14" s="270"/>
      <c r="AGC14" s="270"/>
      <c r="AGD14" s="270"/>
      <c r="AGE14" s="270"/>
      <c r="AGF14" s="270"/>
      <c r="AGG14" s="270"/>
      <c r="AGH14" s="270"/>
      <c r="AGI14" s="270"/>
      <c r="AGJ14" s="270"/>
      <c r="AGK14" s="270"/>
      <c r="AGL14" s="270"/>
      <c r="AGM14" s="270"/>
      <c r="AGN14" s="270"/>
      <c r="AGO14" s="270"/>
      <c r="AGP14" s="270"/>
      <c r="AGQ14" s="270"/>
      <c r="AGR14" s="270"/>
      <c r="AGS14" s="270"/>
      <c r="AGT14" s="270"/>
      <c r="AGU14" s="270"/>
      <c r="AGV14" s="270"/>
      <c r="AGW14" s="270"/>
      <c r="AGX14" s="270"/>
      <c r="AGY14" s="270"/>
      <c r="AGZ14" s="270"/>
      <c r="AHA14" s="270"/>
      <c r="AHB14" s="270"/>
      <c r="AHC14" s="270"/>
      <c r="AHD14" s="270"/>
      <c r="AHE14" s="270"/>
      <c r="AHF14" s="270"/>
      <c r="AHG14" s="270"/>
      <c r="AHH14" s="270"/>
      <c r="AHI14" s="270"/>
      <c r="AHJ14" s="270"/>
      <c r="AHK14" s="270"/>
      <c r="AHL14" s="270"/>
      <c r="AHM14" s="270"/>
      <c r="AHN14" s="270"/>
      <c r="AHO14" s="270"/>
      <c r="AHP14" s="270"/>
      <c r="AHQ14" s="270"/>
      <c r="AHR14" s="270"/>
      <c r="AHS14" s="270"/>
      <c r="AHT14" s="270"/>
      <c r="AHU14" s="270"/>
      <c r="AHV14" s="270"/>
      <c r="AHW14" s="270"/>
      <c r="AHX14" s="270"/>
      <c r="AHY14" s="270"/>
      <c r="AHZ14" s="270"/>
      <c r="AIA14" s="270"/>
      <c r="AIB14" s="270"/>
      <c r="AIC14" s="270"/>
      <c r="AID14" s="270"/>
      <c r="AIE14" s="270"/>
      <c r="AIF14" s="270"/>
      <c r="AIG14" s="270"/>
      <c r="AIH14" s="270"/>
      <c r="AII14" s="270"/>
      <c r="AIJ14" s="270"/>
      <c r="AIK14" s="270"/>
      <c r="AIL14" s="270"/>
      <c r="AIM14" s="270"/>
      <c r="AIN14" s="270"/>
      <c r="AIO14" s="270"/>
      <c r="AIP14" s="270"/>
      <c r="AIQ14" s="270"/>
      <c r="AIR14" s="270"/>
      <c r="AIS14" s="270"/>
      <c r="AIT14" s="270"/>
      <c r="AIU14" s="270"/>
      <c r="AIV14" s="270"/>
      <c r="AIW14" s="270"/>
      <c r="AIX14" s="270"/>
      <c r="AIY14" s="270"/>
      <c r="AIZ14" s="270"/>
      <c r="AJA14" s="270"/>
      <c r="AJB14" s="270"/>
      <c r="AJC14" s="270"/>
      <c r="AJD14" s="270"/>
      <c r="AJE14" s="270"/>
      <c r="AJF14" s="270"/>
      <c r="AJG14" s="270"/>
      <c r="AJH14" s="270"/>
      <c r="AJI14" s="270"/>
      <c r="AJJ14" s="270"/>
      <c r="AJK14" s="270"/>
      <c r="AJL14" s="270"/>
      <c r="AJM14" s="270"/>
      <c r="AJN14" s="270"/>
      <c r="AJO14" s="270"/>
      <c r="AJP14" s="270"/>
      <c r="AJQ14" s="270"/>
      <c r="AJR14" s="270"/>
      <c r="AJS14" s="270"/>
      <c r="AJT14" s="270"/>
      <c r="AJU14" s="270"/>
      <c r="AJV14" s="270"/>
      <c r="AJW14" s="270"/>
      <c r="AJX14" s="270"/>
      <c r="AJY14" s="270"/>
      <c r="AJZ14" s="270"/>
      <c r="AKA14" s="270"/>
      <c r="AKB14" s="270"/>
      <c r="AKC14" s="270"/>
      <c r="AKD14" s="270"/>
      <c r="AKE14" s="270"/>
      <c r="AKF14" s="270"/>
      <c r="AKG14" s="270"/>
      <c r="AKH14" s="270"/>
      <c r="AKI14" s="270"/>
      <c r="AKJ14" s="270"/>
      <c r="AKK14" s="270"/>
      <c r="AKL14" s="270"/>
      <c r="AKM14" s="270"/>
      <c r="AKN14" s="270"/>
      <c r="AKO14" s="270"/>
      <c r="AKP14" s="270"/>
      <c r="AKQ14" s="270"/>
      <c r="AKR14" s="270"/>
      <c r="AKS14" s="270"/>
      <c r="AKT14" s="270"/>
      <c r="AKU14" s="270"/>
      <c r="AKV14" s="270"/>
      <c r="AKW14" s="270"/>
      <c r="AKX14" s="270"/>
      <c r="AKY14" s="270"/>
      <c r="AKZ14" s="270"/>
      <c r="ALA14" s="270"/>
      <c r="ALB14" s="270"/>
      <c r="ALC14" s="270"/>
      <c r="ALD14" s="270"/>
      <c r="ALE14" s="270"/>
      <c r="ALF14" s="270"/>
      <c r="ALG14" s="270"/>
      <c r="ALH14" s="270"/>
      <c r="ALI14" s="270"/>
      <c r="ALJ14" s="270"/>
      <c r="ALK14" s="270"/>
      <c r="ALL14" s="270"/>
      <c r="ALM14" s="270"/>
      <c r="ALN14" s="270"/>
      <c r="ALO14" s="270"/>
      <c r="ALP14" s="270"/>
      <c r="ALQ14" s="270"/>
      <c r="ALR14" s="270"/>
      <c r="ALS14" s="270"/>
      <c r="ALT14" s="270"/>
      <c r="ALU14" s="270"/>
      <c r="ALV14" s="270"/>
      <c r="ALW14" s="270"/>
      <c r="ALX14" s="270"/>
      <c r="ALY14" s="270"/>
      <c r="ALZ14" s="270"/>
      <c r="AMA14" s="270"/>
      <c r="AMB14" s="270"/>
      <c r="AMC14" s="270"/>
      <c r="AMD14" s="270"/>
      <c r="AME14" s="270"/>
      <c r="AMF14" s="270"/>
      <c r="AMG14" s="270"/>
      <c r="AMH14" s="270"/>
      <c r="AMI14" s="270"/>
      <c r="AMJ14" s="270"/>
      <c r="AMK14" s="270"/>
      <c r="AML14" s="270"/>
      <c r="AMM14" s="270"/>
      <c r="AMN14" s="270"/>
      <c r="AMO14" s="270"/>
      <c r="AMP14" s="270"/>
      <c r="AMQ14" s="270"/>
      <c r="AMR14" s="270"/>
      <c r="AMS14" s="270"/>
      <c r="AMT14" s="270"/>
      <c r="AMU14" s="270"/>
      <c r="AMV14" s="270"/>
      <c r="AMW14" s="270"/>
      <c r="AMX14" s="270"/>
      <c r="AMY14" s="270"/>
      <c r="AMZ14" s="270"/>
      <c r="ANA14" s="270"/>
      <c r="ANB14" s="270"/>
      <c r="ANC14" s="270"/>
      <c r="AND14" s="270"/>
      <c r="ANE14" s="270"/>
      <c r="ANF14" s="270"/>
      <c r="ANG14" s="270"/>
      <c r="ANH14" s="270"/>
      <c r="ANI14" s="270"/>
      <c r="ANJ14" s="270"/>
      <c r="ANK14" s="270"/>
      <c r="ANL14" s="270"/>
      <c r="ANM14" s="270"/>
      <c r="ANN14" s="270"/>
      <c r="ANO14" s="270"/>
      <c r="ANP14" s="270"/>
      <c r="ANQ14" s="270"/>
      <c r="ANR14" s="270"/>
      <c r="ANS14" s="270"/>
      <c r="ANT14" s="270"/>
      <c r="ANU14" s="270"/>
      <c r="ANV14" s="270"/>
      <c r="ANW14" s="270"/>
      <c r="ANX14" s="270"/>
      <c r="ANY14" s="270"/>
      <c r="ANZ14" s="270"/>
      <c r="AOA14" s="270"/>
      <c r="AOB14" s="270"/>
      <c r="AOC14" s="270"/>
      <c r="AOD14" s="270"/>
      <c r="AOE14" s="270"/>
      <c r="AOF14" s="270"/>
      <c r="AOG14" s="270"/>
      <c r="AOH14" s="270"/>
      <c r="AOI14" s="270"/>
      <c r="AOJ14" s="270"/>
      <c r="AOK14" s="270"/>
      <c r="AOL14" s="270"/>
      <c r="AOM14" s="270"/>
      <c r="AON14" s="270"/>
      <c r="AOO14" s="270"/>
      <c r="AOP14" s="270"/>
      <c r="AOQ14" s="270"/>
      <c r="AOR14" s="270"/>
      <c r="AOS14" s="270"/>
      <c r="AOT14" s="270"/>
      <c r="AOU14" s="270"/>
      <c r="AOV14" s="270"/>
      <c r="AOW14" s="270"/>
      <c r="AOX14" s="270"/>
      <c r="AOY14" s="270"/>
      <c r="AOZ14" s="270"/>
      <c r="APA14" s="270"/>
      <c r="APB14" s="270"/>
      <c r="APC14" s="270"/>
      <c r="APD14" s="270"/>
      <c r="APE14" s="270"/>
      <c r="APF14" s="270"/>
      <c r="APG14" s="270"/>
      <c r="APH14" s="270"/>
      <c r="API14" s="270"/>
      <c r="APJ14" s="270"/>
      <c r="APK14" s="270"/>
      <c r="APL14" s="270"/>
      <c r="APM14" s="270"/>
      <c r="APN14" s="270"/>
      <c r="APO14" s="270"/>
      <c r="APP14" s="270"/>
      <c r="APQ14" s="270"/>
      <c r="APR14" s="270"/>
      <c r="APS14" s="270"/>
      <c r="APT14" s="270"/>
      <c r="APU14" s="270"/>
      <c r="APV14" s="270"/>
      <c r="APW14" s="270"/>
      <c r="APX14" s="270"/>
    </row>
    <row r="15" spans="1:1116" s="40" customFormat="1" ht="15" customHeight="1">
      <c r="A15" s="187"/>
      <c r="B15" s="161"/>
      <c r="C15" s="52"/>
      <c r="D15" s="421"/>
      <c r="E15" s="359"/>
      <c r="F15" s="429"/>
      <c r="G15" s="188"/>
      <c r="H15" s="379"/>
      <c r="I15" s="383"/>
      <c r="J15" s="378"/>
      <c r="K15" s="130"/>
      <c r="L15" s="130"/>
      <c r="M15" s="450"/>
      <c r="N15" s="349"/>
      <c r="O15" s="450"/>
      <c r="P15" s="189"/>
      <c r="Q15" s="608"/>
      <c r="R15" s="609"/>
      <c r="S15" s="609"/>
      <c r="T15" s="577"/>
      <c r="U15" s="577"/>
      <c r="V15" s="577"/>
      <c r="W15" s="541"/>
      <c r="X15" s="541"/>
      <c r="Y15" s="541"/>
      <c r="Z15" s="541"/>
      <c r="AA15" s="541"/>
      <c r="AB15" s="541"/>
      <c r="AC15" s="541"/>
      <c r="AD15" s="541"/>
      <c r="AE15" s="541"/>
      <c r="AF15" s="541"/>
      <c r="AG15" s="541"/>
      <c r="AH15" s="541"/>
      <c r="AI15" s="541"/>
      <c r="AJ15" s="541"/>
      <c r="AK15" s="541"/>
      <c r="AL15" s="541"/>
      <c r="AM15" s="541"/>
      <c r="AN15" s="541"/>
      <c r="AO15" s="541"/>
      <c r="AP15" s="541"/>
      <c r="AQ15" s="541"/>
      <c r="AR15" s="541"/>
      <c r="AS15" s="541"/>
      <c r="AT15" s="541"/>
      <c r="AU15" s="541"/>
      <c r="AV15" s="541"/>
      <c r="AW15" s="541"/>
      <c r="AX15" s="541"/>
      <c r="AY15" s="541"/>
      <c r="AZ15" s="541"/>
      <c r="BA15" s="541"/>
      <c r="BB15" s="541"/>
      <c r="BC15" s="541"/>
      <c r="BD15" s="541"/>
      <c r="BE15" s="541"/>
      <c r="BF15" s="541"/>
      <c r="BG15" s="541"/>
      <c r="BH15" s="541"/>
      <c r="BI15" s="541"/>
      <c r="BJ15" s="541"/>
      <c r="BK15" s="541"/>
      <c r="BL15" s="541"/>
      <c r="BM15" s="541"/>
      <c r="BN15" s="541"/>
      <c r="BO15" s="541"/>
      <c r="BP15" s="541"/>
      <c r="BQ15" s="541"/>
      <c r="BR15" s="541"/>
      <c r="BS15" s="541"/>
      <c r="BT15" s="541"/>
      <c r="BU15" s="541"/>
      <c r="BV15" s="541"/>
      <c r="BW15" s="541"/>
      <c r="BX15" s="541"/>
      <c r="BY15" s="541"/>
      <c r="BZ15" s="541"/>
      <c r="CA15" s="541"/>
      <c r="CB15" s="541"/>
      <c r="CC15" s="541"/>
      <c r="CD15" s="542"/>
      <c r="CE15" s="609"/>
      <c r="CF15" s="541"/>
      <c r="CG15" s="541"/>
      <c r="CH15" s="541"/>
      <c r="CI15" s="541"/>
      <c r="CJ15" s="541"/>
      <c r="CK15" s="541"/>
      <c r="CL15" s="541"/>
      <c r="CM15" s="541"/>
      <c r="CN15" s="541"/>
      <c r="CO15" s="541"/>
      <c r="CP15" s="541"/>
      <c r="CQ15" s="541"/>
      <c r="CR15" s="541"/>
      <c r="CS15" s="541"/>
      <c r="CT15" s="541"/>
      <c r="CU15" s="541"/>
      <c r="CV15" s="541"/>
      <c r="CW15" s="541"/>
      <c r="CX15" s="541"/>
      <c r="CY15" s="541"/>
      <c r="CZ15" s="541"/>
      <c r="DA15" s="541"/>
      <c r="DB15" s="541"/>
      <c r="DC15" s="541"/>
      <c r="DD15" s="541"/>
      <c r="DE15" s="541"/>
      <c r="DF15" s="541"/>
      <c r="DG15" s="541"/>
      <c r="DH15" s="541"/>
      <c r="DI15" s="541"/>
      <c r="DJ15" s="541"/>
      <c r="DK15" s="541"/>
      <c r="DL15" s="541"/>
      <c r="DM15" s="541"/>
      <c r="DN15" s="541"/>
      <c r="DO15" s="541"/>
      <c r="DP15" s="541"/>
      <c r="DQ15" s="541"/>
      <c r="DR15" s="541"/>
      <c r="DS15" s="541"/>
      <c r="DT15" s="541"/>
      <c r="DU15" s="541"/>
      <c r="DV15" s="541"/>
      <c r="DW15" s="541"/>
      <c r="DX15" s="541"/>
      <c r="DY15" s="541"/>
      <c r="DZ15" s="541"/>
      <c r="EA15" s="541"/>
      <c r="EB15" s="541"/>
      <c r="EC15" s="541"/>
      <c r="ED15" s="541"/>
      <c r="EE15" s="541"/>
      <c r="EF15" s="541"/>
      <c r="EG15" s="541"/>
      <c r="EH15" s="541"/>
      <c r="EI15" s="541"/>
      <c r="EJ15" s="541"/>
      <c r="EK15" s="541"/>
      <c r="EL15" s="541"/>
      <c r="EM15" s="542"/>
      <c r="EN15" s="609"/>
      <c r="EO15" s="609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  <c r="JP15" s="52"/>
      <c r="JQ15" s="52"/>
      <c r="JR15" s="52"/>
      <c r="JS15" s="52"/>
      <c r="JT15" s="52"/>
      <c r="JU15" s="52"/>
      <c r="JV15" s="52"/>
      <c r="JW15" s="52"/>
      <c r="JX15" s="52"/>
      <c r="JY15" s="52"/>
      <c r="JZ15" s="52"/>
      <c r="KA15" s="52"/>
      <c r="KB15" s="52"/>
      <c r="KC15" s="52"/>
      <c r="KD15" s="52"/>
      <c r="KE15" s="52"/>
      <c r="KF15" s="52"/>
      <c r="KG15" s="52"/>
      <c r="KH15" s="52"/>
      <c r="KI15" s="52"/>
      <c r="KJ15" s="52"/>
      <c r="KK15" s="52"/>
      <c r="KL15" s="52"/>
      <c r="KM15" s="52"/>
      <c r="KN15" s="52"/>
      <c r="KO15" s="52"/>
      <c r="KP15" s="52"/>
      <c r="KQ15" s="52"/>
      <c r="KR15" s="52"/>
      <c r="KS15" s="52"/>
      <c r="KT15" s="52"/>
      <c r="KU15" s="52"/>
      <c r="KV15" s="52"/>
      <c r="KW15" s="52"/>
      <c r="KX15" s="52"/>
      <c r="KY15" s="52"/>
      <c r="KZ15" s="52"/>
      <c r="LA15" s="52"/>
      <c r="LB15" s="52"/>
      <c r="LC15" s="52"/>
      <c r="LD15" s="52"/>
      <c r="LE15" s="52"/>
      <c r="LF15" s="52"/>
      <c r="LG15" s="52"/>
      <c r="LH15" s="52"/>
      <c r="LI15" s="52"/>
      <c r="LJ15" s="52"/>
      <c r="LK15" s="52"/>
      <c r="LL15" s="52"/>
      <c r="LM15" s="52"/>
      <c r="LN15" s="52"/>
      <c r="LO15" s="52"/>
      <c r="LP15" s="52"/>
      <c r="LQ15" s="52"/>
      <c r="LR15" s="52"/>
      <c r="LS15" s="52"/>
      <c r="LT15" s="52"/>
      <c r="LU15" s="52"/>
      <c r="LV15" s="52"/>
      <c r="LW15" s="52"/>
      <c r="LX15" s="52"/>
      <c r="LY15" s="52"/>
      <c r="LZ15" s="52"/>
      <c r="MA15" s="52"/>
      <c r="MB15" s="52"/>
      <c r="MC15" s="52"/>
      <c r="MD15" s="52"/>
      <c r="ME15" s="52"/>
      <c r="MF15" s="52"/>
      <c r="MG15" s="52"/>
      <c r="MH15" s="52"/>
      <c r="MI15" s="52"/>
      <c r="MJ15" s="52"/>
      <c r="MK15" s="52"/>
      <c r="ML15" s="52"/>
      <c r="MM15" s="52"/>
      <c r="MN15" s="52"/>
      <c r="MO15" s="52"/>
      <c r="MP15" s="52"/>
      <c r="MQ15" s="52"/>
      <c r="MR15" s="52"/>
      <c r="MS15" s="52"/>
      <c r="MT15" s="52"/>
      <c r="MU15" s="52"/>
      <c r="MV15" s="52"/>
      <c r="MW15" s="52"/>
      <c r="MX15" s="52"/>
      <c r="MY15" s="52"/>
      <c r="MZ15" s="52"/>
      <c r="NA15" s="52"/>
      <c r="NB15" s="52"/>
      <c r="NC15" s="52"/>
      <c r="ND15" s="52"/>
      <c r="NE15" s="52"/>
      <c r="NF15" s="52"/>
      <c r="NG15" s="52"/>
      <c r="NH15" s="52"/>
      <c r="NI15" s="52"/>
      <c r="NJ15" s="52"/>
      <c r="NK15" s="52"/>
      <c r="NL15" s="52"/>
      <c r="NM15" s="52"/>
      <c r="NN15" s="52"/>
      <c r="NO15" s="52"/>
      <c r="NP15" s="52"/>
      <c r="NQ15" s="52"/>
      <c r="NR15" s="52"/>
      <c r="NS15" s="52"/>
      <c r="NT15" s="52"/>
      <c r="NU15" s="52"/>
      <c r="NV15" s="52"/>
      <c r="NW15" s="52"/>
      <c r="NX15" s="52"/>
      <c r="NY15" s="52"/>
      <c r="NZ15" s="52"/>
      <c r="OA15" s="52"/>
      <c r="OB15" s="52"/>
      <c r="OC15" s="52"/>
      <c r="OD15" s="52"/>
      <c r="OE15" s="52"/>
      <c r="OF15" s="52"/>
      <c r="OG15" s="52"/>
      <c r="OH15" s="52"/>
      <c r="OI15" s="52"/>
      <c r="OJ15" s="52"/>
      <c r="OK15" s="52"/>
      <c r="OL15" s="52"/>
      <c r="OM15" s="52"/>
      <c r="ON15" s="52"/>
      <c r="OO15" s="52"/>
      <c r="OP15" s="52"/>
      <c r="OQ15" s="52"/>
      <c r="OR15" s="52"/>
      <c r="OS15" s="52"/>
      <c r="OT15" s="52"/>
      <c r="OU15" s="52"/>
      <c r="OV15" s="52"/>
      <c r="OW15" s="52"/>
      <c r="OX15" s="52"/>
      <c r="OY15" s="52"/>
      <c r="OZ15" s="52"/>
      <c r="PA15" s="52"/>
      <c r="PB15" s="52"/>
      <c r="PC15" s="52"/>
      <c r="PD15" s="52"/>
      <c r="PE15" s="52"/>
      <c r="PF15" s="52"/>
      <c r="PG15" s="52"/>
      <c r="PH15" s="52"/>
      <c r="PI15" s="52"/>
      <c r="PJ15" s="52"/>
      <c r="PK15" s="52"/>
      <c r="PL15" s="52"/>
      <c r="PM15" s="52"/>
      <c r="PN15" s="52"/>
      <c r="PO15" s="52"/>
      <c r="PP15" s="52"/>
      <c r="PQ15" s="52"/>
      <c r="PR15" s="52"/>
      <c r="PS15" s="52"/>
      <c r="PT15" s="52"/>
      <c r="PU15" s="52"/>
      <c r="PV15" s="52"/>
      <c r="PW15" s="52"/>
      <c r="PX15" s="52"/>
      <c r="PY15" s="52"/>
      <c r="PZ15" s="52"/>
      <c r="QA15" s="52"/>
      <c r="QB15" s="52"/>
      <c r="QC15" s="52"/>
      <c r="QD15" s="52"/>
      <c r="QE15" s="52"/>
      <c r="QF15" s="52"/>
      <c r="QG15" s="52"/>
      <c r="QH15" s="52"/>
      <c r="QI15" s="52"/>
      <c r="QJ15" s="52"/>
      <c r="QK15" s="52"/>
      <c r="QL15" s="52"/>
      <c r="QM15" s="52"/>
      <c r="QN15" s="52"/>
      <c r="QO15" s="52"/>
      <c r="QP15" s="52"/>
      <c r="QQ15" s="52"/>
      <c r="QR15" s="52"/>
      <c r="QS15" s="52"/>
      <c r="QT15" s="52"/>
      <c r="QU15" s="52"/>
      <c r="QV15" s="52"/>
      <c r="QW15" s="52"/>
      <c r="QX15" s="52"/>
      <c r="QY15" s="52"/>
      <c r="QZ15" s="52"/>
      <c r="RA15" s="52"/>
      <c r="RB15" s="52"/>
      <c r="RC15" s="52"/>
      <c r="RD15" s="52"/>
      <c r="RE15" s="52"/>
      <c r="RF15" s="52"/>
      <c r="RG15" s="52"/>
      <c r="RH15" s="52"/>
      <c r="RI15" s="52"/>
      <c r="RJ15" s="52"/>
      <c r="RK15" s="52"/>
      <c r="RL15" s="52"/>
      <c r="RM15" s="52"/>
      <c r="RN15" s="52"/>
      <c r="RO15" s="52"/>
      <c r="RP15" s="52"/>
      <c r="RQ15" s="52"/>
      <c r="RR15" s="52"/>
      <c r="RS15" s="52"/>
      <c r="RT15" s="52"/>
      <c r="RU15" s="52"/>
      <c r="RV15" s="52"/>
      <c r="RW15" s="52"/>
      <c r="RX15" s="52"/>
      <c r="RY15" s="52"/>
      <c r="RZ15" s="52"/>
      <c r="SA15" s="52"/>
      <c r="SB15" s="52"/>
      <c r="SC15" s="52"/>
      <c r="SD15" s="52"/>
      <c r="SE15" s="52"/>
      <c r="SF15" s="52"/>
      <c r="SG15" s="52"/>
      <c r="SH15" s="52"/>
      <c r="SI15" s="52"/>
      <c r="SJ15" s="52"/>
      <c r="SK15" s="52"/>
      <c r="SL15" s="52"/>
      <c r="SM15" s="52"/>
      <c r="SN15" s="52"/>
      <c r="SO15" s="52"/>
      <c r="SP15" s="52"/>
      <c r="SQ15" s="52"/>
      <c r="SR15" s="52"/>
      <c r="SS15" s="52"/>
      <c r="ST15" s="52"/>
      <c r="SU15" s="52"/>
      <c r="SV15" s="52"/>
      <c r="SW15" s="52"/>
      <c r="SX15" s="52"/>
      <c r="SY15" s="52"/>
      <c r="SZ15" s="52"/>
      <c r="TA15" s="52"/>
      <c r="TB15" s="52"/>
      <c r="TC15" s="52"/>
      <c r="TD15" s="52"/>
      <c r="TE15" s="52"/>
      <c r="TF15" s="52"/>
      <c r="TG15" s="52"/>
      <c r="TH15" s="52"/>
      <c r="TI15" s="52"/>
      <c r="TJ15" s="52"/>
      <c r="TK15" s="52"/>
      <c r="TL15" s="52"/>
      <c r="TM15" s="52"/>
      <c r="TN15" s="52"/>
      <c r="TO15" s="52"/>
      <c r="TP15" s="52"/>
      <c r="TQ15" s="52"/>
      <c r="TR15" s="52"/>
      <c r="TS15" s="52"/>
      <c r="TT15" s="52"/>
      <c r="TU15" s="52"/>
      <c r="TV15" s="52"/>
      <c r="TW15" s="52"/>
      <c r="TX15" s="52"/>
      <c r="TY15" s="52"/>
      <c r="TZ15" s="52"/>
      <c r="UA15" s="52"/>
      <c r="UB15" s="52"/>
      <c r="UC15" s="52"/>
      <c r="UD15" s="52"/>
      <c r="UE15" s="52"/>
      <c r="UF15" s="52"/>
      <c r="UG15" s="52"/>
      <c r="UH15" s="52"/>
      <c r="UI15" s="52"/>
      <c r="UJ15" s="52"/>
      <c r="UK15" s="52"/>
      <c r="UL15" s="52"/>
      <c r="UM15" s="52"/>
      <c r="UN15" s="52"/>
      <c r="UO15" s="52"/>
      <c r="UP15" s="52"/>
      <c r="UQ15" s="52"/>
      <c r="UR15" s="52"/>
      <c r="US15" s="52"/>
      <c r="UT15" s="52"/>
      <c r="UU15" s="52"/>
      <c r="UV15" s="52"/>
      <c r="UW15" s="52"/>
      <c r="UX15" s="52"/>
      <c r="UY15" s="52"/>
      <c r="UZ15" s="52"/>
      <c r="VA15" s="52"/>
      <c r="VB15" s="52"/>
      <c r="VC15" s="52"/>
      <c r="VD15" s="52"/>
      <c r="VE15" s="52"/>
      <c r="VF15" s="52"/>
      <c r="VG15" s="52"/>
      <c r="VH15" s="52"/>
      <c r="VI15" s="52"/>
      <c r="VJ15" s="52"/>
      <c r="VK15" s="52"/>
      <c r="VL15" s="52"/>
      <c r="VM15" s="52"/>
      <c r="VN15" s="52"/>
      <c r="VO15" s="52"/>
      <c r="VP15" s="52"/>
      <c r="VQ15" s="52"/>
      <c r="VR15" s="52"/>
      <c r="VS15" s="52"/>
      <c r="VT15" s="52"/>
      <c r="VU15" s="52"/>
      <c r="VV15" s="52"/>
      <c r="VW15" s="52"/>
      <c r="VX15" s="52"/>
      <c r="VY15" s="52"/>
      <c r="VZ15" s="52"/>
      <c r="WA15" s="52"/>
      <c r="WB15" s="52"/>
      <c r="WC15" s="52"/>
      <c r="WD15" s="52"/>
      <c r="WE15" s="52"/>
      <c r="WF15" s="52"/>
      <c r="WG15" s="52"/>
      <c r="WH15" s="52"/>
      <c r="WI15" s="52"/>
      <c r="WJ15" s="52"/>
      <c r="WK15" s="52"/>
      <c r="WL15" s="52"/>
      <c r="WM15" s="52"/>
      <c r="WN15" s="52"/>
      <c r="WO15" s="52"/>
      <c r="WP15" s="52"/>
      <c r="WQ15" s="52"/>
      <c r="WR15" s="52"/>
      <c r="WS15" s="52"/>
      <c r="WT15" s="52"/>
      <c r="WU15" s="52"/>
      <c r="WV15" s="52"/>
      <c r="WW15" s="52"/>
      <c r="WX15" s="52"/>
      <c r="WY15" s="52"/>
      <c r="WZ15" s="52"/>
      <c r="XA15" s="52"/>
      <c r="XB15" s="52"/>
      <c r="XC15" s="52"/>
      <c r="XD15" s="52"/>
      <c r="XE15" s="52"/>
      <c r="XF15" s="52"/>
      <c r="XG15" s="52"/>
      <c r="XH15" s="52"/>
      <c r="XI15" s="52"/>
      <c r="XJ15" s="52"/>
      <c r="XK15" s="52"/>
      <c r="XL15" s="52"/>
      <c r="XM15" s="52"/>
      <c r="XN15" s="52"/>
      <c r="XO15" s="52"/>
      <c r="XP15" s="52"/>
      <c r="XQ15" s="52"/>
      <c r="XR15" s="52"/>
      <c r="XS15" s="52"/>
      <c r="XT15" s="52"/>
      <c r="XU15" s="52"/>
      <c r="XV15" s="52"/>
      <c r="XW15" s="52"/>
      <c r="XX15" s="52"/>
      <c r="XY15" s="52"/>
      <c r="XZ15" s="52"/>
      <c r="YA15" s="52"/>
      <c r="YB15" s="52"/>
      <c r="YC15" s="52"/>
      <c r="YD15" s="52"/>
      <c r="YE15" s="52"/>
      <c r="YF15" s="52"/>
      <c r="YG15" s="52"/>
      <c r="YH15" s="52"/>
      <c r="YI15" s="52"/>
      <c r="YJ15" s="52"/>
      <c r="YK15" s="52"/>
      <c r="YL15" s="52"/>
      <c r="YM15" s="52"/>
      <c r="YN15" s="52"/>
      <c r="YO15" s="52"/>
      <c r="YP15" s="52"/>
      <c r="YQ15" s="52"/>
      <c r="YR15" s="52"/>
      <c r="YS15" s="52"/>
      <c r="YT15" s="52"/>
      <c r="YU15" s="52"/>
      <c r="YV15" s="52"/>
      <c r="YW15" s="52"/>
      <c r="YX15" s="52"/>
      <c r="YY15" s="52"/>
      <c r="YZ15" s="52"/>
      <c r="ZA15" s="52"/>
      <c r="ZB15" s="52"/>
      <c r="ZC15" s="52"/>
      <c r="ZD15" s="52"/>
      <c r="ZE15" s="52"/>
      <c r="ZF15" s="52"/>
      <c r="ZG15" s="52"/>
      <c r="ZH15" s="52"/>
      <c r="ZI15" s="52"/>
      <c r="ZJ15" s="52"/>
      <c r="ZK15" s="52"/>
      <c r="ZL15" s="52"/>
      <c r="ZM15" s="52"/>
      <c r="ZN15" s="52"/>
      <c r="ZO15" s="52"/>
      <c r="ZP15" s="52"/>
      <c r="ZQ15" s="52"/>
      <c r="ZR15" s="52"/>
      <c r="ZS15" s="52"/>
      <c r="ZT15" s="52"/>
      <c r="ZU15" s="52"/>
      <c r="ZV15" s="52"/>
      <c r="ZW15" s="52"/>
      <c r="ZX15" s="52"/>
      <c r="ZY15" s="52"/>
      <c r="ZZ15" s="52"/>
      <c r="AAA15" s="52"/>
      <c r="AAB15" s="52"/>
      <c r="AAC15" s="52"/>
      <c r="AAD15" s="52"/>
      <c r="AAE15" s="52"/>
      <c r="AAF15" s="52"/>
      <c r="AAG15" s="52"/>
      <c r="AAH15" s="52"/>
      <c r="AAI15" s="52"/>
      <c r="AAJ15" s="52"/>
      <c r="AAK15" s="52"/>
      <c r="AAL15" s="52"/>
      <c r="AAM15" s="52"/>
      <c r="AAN15" s="52"/>
      <c r="AAO15" s="52"/>
      <c r="AAP15" s="52"/>
      <c r="AAQ15" s="52"/>
      <c r="AAR15" s="52"/>
      <c r="AAS15" s="52"/>
      <c r="AAT15" s="52"/>
      <c r="AAU15" s="52"/>
      <c r="AAV15" s="52"/>
      <c r="AAW15" s="52"/>
      <c r="AAX15" s="52"/>
      <c r="AAY15" s="52"/>
      <c r="AAZ15" s="52"/>
      <c r="ABA15" s="52"/>
      <c r="ABB15" s="52"/>
      <c r="ABC15" s="52"/>
      <c r="ABD15" s="52"/>
      <c r="ABE15" s="52"/>
      <c r="ABF15" s="52"/>
      <c r="ABG15" s="52"/>
      <c r="ABH15" s="52"/>
      <c r="ABI15" s="52"/>
      <c r="ABJ15" s="52"/>
      <c r="ABK15" s="52"/>
      <c r="ABL15" s="52"/>
      <c r="ABM15" s="52"/>
      <c r="ABN15" s="52"/>
      <c r="ABO15" s="52"/>
      <c r="ABP15" s="52"/>
      <c r="ABQ15" s="52"/>
      <c r="ABR15" s="52"/>
      <c r="ABS15" s="52"/>
      <c r="ABT15" s="52"/>
      <c r="ABU15" s="52"/>
      <c r="ABV15" s="52"/>
      <c r="ABW15" s="52"/>
      <c r="ABX15" s="52"/>
      <c r="ABY15" s="52"/>
      <c r="ABZ15" s="52"/>
      <c r="ACA15" s="52"/>
      <c r="ACB15" s="52"/>
      <c r="ACC15" s="52"/>
      <c r="ACD15" s="52"/>
      <c r="ACE15" s="52"/>
      <c r="ACF15" s="52"/>
      <c r="ACG15" s="52"/>
      <c r="ACH15" s="52"/>
      <c r="ACI15" s="52"/>
      <c r="ACJ15" s="52"/>
      <c r="ACK15" s="52"/>
      <c r="ACL15" s="52"/>
      <c r="ACM15" s="52"/>
      <c r="ACN15" s="52"/>
      <c r="ACO15" s="52"/>
      <c r="ACP15" s="52"/>
      <c r="ACQ15" s="52"/>
      <c r="ACR15" s="52"/>
      <c r="ACS15" s="52"/>
      <c r="ACT15" s="52"/>
      <c r="ACU15" s="52"/>
      <c r="ACV15" s="52"/>
      <c r="ACW15" s="52"/>
      <c r="ACX15" s="52"/>
      <c r="ACY15" s="52"/>
      <c r="ACZ15" s="52"/>
      <c r="ADA15" s="52"/>
      <c r="ADB15" s="52"/>
      <c r="ADC15" s="52"/>
      <c r="ADD15" s="52"/>
      <c r="ADE15" s="52"/>
      <c r="ADF15" s="52"/>
      <c r="ADG15" s="52"/>
      <c r="ADH15" s="52"/>
      <c r="ADI15" s="52"/>
      <c r="ADJ15" s="52"/>
      <c r="ADK15" s="52"/>
      <c r="ADL15" s="52"/>
      <c r="ADM15" s="52"/>
      <c r="ADN15" s="52"/>
      <c r="ADO15" s="52"/>
      <c r="ADP15" s="52"/>
      <c r="ADQ15" s="52"/>
      <c r="ADR15" s="52"/>
      <c r="ADS15" s="52"/>
      <c r="ADT15" s="52"/>
      <c r="ADU15" s="52"/>
      <c r="ADV15" s="52"/>
      <c r="ADW15" s="52"/>
      <c r="ADX15" s="52"/>
      <c r="ADY15" s="52"/>
      <c r="ADZ15" s="52"/>
      <c r="AEA15" s="52"/>
      <c r="AEB15" s="52"/>
      <c r="AEC15" s="52"/>
      <c r="AED15" s="52"/>
      <c r="AEE15" s="52"/>
      <c r="AEF15" s="52"/>
      <c r="AEG15" s="52"/>
      <c r="AEH15" s="52"/>
      <c r="AEI15" s="52"/>
      <c r="AEJ15" s="52"/>
      <c r="AEK15" s="52"/>
      <c r="AEL15" s="52"/>
      <c r="AEM15" s="52"/>
      <c r="AEN15" s="52"/>
      <c r="AEO15" s="52"/>
      <c r="AEP15" s="52"/>
      <c r="AEQ15" s="52"/>
      <c r="AER15" s="52"/>
      <c r="AES15" s="52"/>
      <c r="AET15" s="52"/>
      <c r="AEU15" s="52"/>
      <c r="AEV15" s="52"/>
      <c r="AEW15" s="52"/>
      <c r="AEX15" s="52"/>
      <c r="AEY15" s="52"/>
      <c r="AEZ15" s="52"/>
      <c r="AFA15" s="52"/>
      <c r="AFB15" s="52"/>
      <c r="AFC15" s="52"/>
      <c r="AFD15" s="52"/>
      <c r="AFE15" s="52"/>
      <c r="AFF15" s="52"/>
      <c r="AFG15" s="52"/>
      <c r="AFH15" s="52"/>
      <c r="AFI15" s="52"/>
      <c r="AFJ15" s="52"/>
      <c r="AFK15" s="52"/>
      <c r="AFL15" s="52"/>
      <c r="AFM15" s="52"/>
      <c r="AFN15" s="52"/>
      <c r="AFO15" s="52"/>
      <c r="AFP15" s="52"/>
      <c r="AFQ15" s="52"/>
      <c r="AFR15" s="52"/>
      <c r="AFS15" s="52"/>
      <c r="AFT15" s="52"/>
      <c r="AFU15" s="52"/>
      <c r="AFV15" s="52"/>
      <c r="AFW15" s="52"/>
      <c r="AFX15" s="52"/>
      <c r="AFY15" s="52"/>
      <c r="AFZ15" s="52"/>
      <c r="AGA15" s="52"/>
      <c r="AGB15" s="52"/>
      <c r="AGC15" s="52"/>
      <c r="AGD15" s="52"/>
      <c r="AGE15" s="52"/>
      <c r="AGF15" s="52"/>
      <c r="AGG15" s="52"/>
      <c r="AGH15" s="52"/>
      <c r="AGI15" s="52"/>
      <c r="AGJ15" s="52"/>
      <c r="AGK15" s="52"/>
      <c r="AGL15" s="52"/>
      <c r="AGM15" s="52"/>
      <c r="AGN15" s="52"/>
      <c r="AGO15" s="52"/>
      <c r="AGP15" s="52"/>
      <c r="AGQ15" s="52"/>
      <c r="AGR15" s="52"/>
      <c r="AGS15" s="52"/>
      <c r="AGT15" s="52"/>
      <c r="AGU15" s="52"/>
      <c r="AGV15" s="52"/>
      <c r="AGW15" s="52"/>
      <c r="AGX15" s="52"/>
      <c r="AGY15" s="52"/>
      <c r="AGZ15" s="52"/>
      <c r="AHA15" s="52"/>
      <c r="AHB15" s="52"/>
      <c r="AHC15" s="52"/>
      <c r="AHD15" s="52"/>
      <c r="AHE15" s="52"/>
      <c r="AHF15" s="52"/>
      <c r="AHG15" s="52"/>
      <c r="AHH15" s="52"/>
      <c r="AHI15" s="52"/>
      <c r="AHJ15" s="52"/>
      <c r="AHK15" s="52"/>
      <c r="AHL15" s="52"/>
      <c r="AHM15" s="52"/>
      <c r="AHN15" s="52"/>
      <c r="AHO15" s="52"/>
      <c r="AHP15" s="52"/>
      <c r="AHQ15" s="52"/>
      <c r="AHR15" s="52"/>
      <c r="AHS15" s="52"/>
      <c r="AHT15" s="52"/>
      <c r="AHU15" s="52"/>
      <c r="AHV15" s="52"/>
      <c r="AHW15" s="52"/>
      <c r="AHX15" s="52"/>
      <c r="AHY15" s="52"/>
      <c r="AHZ15" s="52"/>
      <c r="AIA15" s="52"/>
      <c r="AIB15" s="52"/>
      <c r="AIC15" s="52"/>
      <c r="AID15" s="52"/>
      <c r="AIE15" s="52"/>
      <c r="AIF15" s="52"/>
      <c r="AIG15" s="52"/>
      <c r="AIH15" s="52"/>
      <c r="AII15" s="52"/>
      <c r="AIJ15" s="52"/>
      <c r="AIK15" s="52"/>
      <c r="AIL15" s="52"/>
      <c r="AIM15" s="52"/>
      <c r="AIN15" s="52"/>
      <c r="AIO15" s="52"/>
      <c r="AIP15" s="52"/>
      <c r="AIQ15" s="52"/>
      <c r="AIR15" s="52"/>
      <c r="AIS15" s="52"/>
      <c r="AIT15" s="52"/>
      <c r="AIU15" s="52"/>
      <c r="AIV15" s="52"/>
      <c r="AIW15" s="52"/>
      <c r="AIX15" s="52"/>
      <c r="AIY15" s="52"/>
      <c r="AIZ15" s="52"/>
      <c r="AJA15" s="52"/>
      <c r="AJB15" s="52"/>
      <c r="AJC15" s="52"/>
      <c r="AJD15" s="52"/>
      <c r="AJE15" s="52"/>
      <c r="AJF15" s="52"/>
      <c r="AJG15" s="52"/>
      <c r="AJH15" s="52"/>
      <c r="AJI15" s="52"/>
      <c r="AJJ15" s="52"/>
      <c r="AJK15" s="52"/>
      <c r="AJL15" s="52"/>
      <c r="AJM15" s="52"/>
      <c r="AJN15" s="52"/>
      <c r="AJO15" s="52"/>
      <c r="AJP15" s="52"/>
      <c r="AJQ15" s="52"/>
      <c r="AJR15" s="52"/>
      <c r="AJS15" s="52"/>
      <c r="AJT15" s="52"/>
      <c r="AJU15" s="52"/>
      <c r="AJV15" s="52"/>
      <c r="AJW15" s="52"/>
      <c r="AJX15" s="52"/>
      <c r="AJY15" s="52"/>
      <c r="AJZ15" s="52"/>
      <c r="AKA15" s="52"/>
      <c r="AKB15" s="52"/>
      <c r="AKC15" s="52"/>
      <c r="AKD15" s="52"/>
      <c r="AKE15" s="52"/>
      <c r="AKF15" s="52"/>
      <c r="AKG15" s="52"/>
      <c r="AKH15" s="52"/>
      <c r="AKI15" s="52"/>
      <c r="AKJ15" s="52"/>
      <c r="AKK15" s="52"/>
      <c r="AKL15" s="52"/>
      <c r="AKM15" s="52"/>
      <c r="AKN15" s="52"/>
      <c r="AKO15" s="52"/>
      <c r="AKP15" s="52"/>
      <c r="AKQ15" s="52"/>
      <c r="AKR15" s="52"/>
      <c r="AKS15" s="52"/>
      <c r="AKT15" s="52"/>
      <c r="AKU15" s="52"/>
      <c r="AKV15" s="52"/>
      <c r="AKW15" s="52"/>
      <c r="AKX15" s="52"/>
      <c r="AKY15" s="52"/>
      <c r="AKZ15" s="52"/>
      <c r="ALA15" s="52"/>
      <c r="ALB15" s="52"/>
      <c r="ALC15" s="52"/>
      <c r="ALD15" s="52"/>
      <c r="ALE15" s="52"/>
      <c r="ALF15" s="52"/>
      <c r="ALG15" s="52"/>
      <c r="ALH15" s="52"/>
      <c r="ALI15" s="52"/>
      <c r="ALJ15" s="52"/>
      <c r="ALK15" s="52"/>
      <c r="ALL15" s="52"/>
      <c r="ALM15" s="52"/>
      <c r="ALN15" s="52"/>
      <c r="ALO15" s="52"/>
      <c r="ALP15" s="52"/>
      <c r="ALQ15" s="52"/>
      <c r="ALR15" s="52"/>
      <c r="ALS15" s="52"/>
      <c r="ALT15" s="52"/>
      <c r="ALU15" s="52"/>
      <c r="ALV15" s="52"/>
      <c r="ALW15" s="52"/>
      <c r="ALX15" s="52"/>
      <c r="ALY15" s="52"/>
      <c r="ALZ15" s="52"/>
      <c r="AMA15" s="52"/>
      <c r="AMB15" s="52"/>
      <c r="AMC15" s="52"/>
      <c r="AMD15" s="52"/>
      <c r="AME15" s="52"/>
      <c r="AMF15" s="52"/>
      <c r="AMG15" s="52"/>
      <c r="AMH15" s="52"/>
      <c r="AMI15" s="52"/>
      <c r="AMJ15" s="52"/>
      <c r="AMK15" s="52"/>
      <c r="AML15" s="52"/>
      <c r="AMM15" s="52"/>
      <c r="AMN15" s="52"/>
      <c r="AMO15" s="52"/>
      <c r="AMP15" s="52"/>
      <c r="AMQ15" s="52"/>
      <c r="AMR15" s="52"/>
      <c r="AMS15" s="52"/>
      <c r="AMT15" s="52"/>
      <c r="AMU15" s="52"/>
      <c r="AMV15" s="52"/>
      <c r="AMW15" s="52"/>
      <c r="AMX15" s="52"/>
      <c r="AMY15" s="52"/>
      <c r="AMZ15" s="52"/>
      <c r="ANA15" s="52"/>
      <c r="ANB15" s="52"/>
      <c r="ANC15" s="52"/>
      <c r="AND15" s="52"/>
      <c r="ANE15" s="52"/>
      <c r="ANF15" s="52"/>
      <c r="ANG15" s="52"/>
      <c r="ANH15" s="52"/>
      <c r="ANI15" s="52"/>
      <c r="ANJ15" s="52"/>
      <c r="ANK15" s="52"/>
      <c r="ANL15" s="52"/>
      <c r="ANM15" s="52"/>
      <c r="ANN15" s="52"/>
      <c r="ANO15" s="52"/>
      <c r="ANP15" s="52"/>
      <c r="ANQ15" s="52"/>
      <c r="ANR15" s="52"/>
      <c r="ANS15" s="52"/>
      <c r="ANT15" s="52"/>
      <c r="ANU15" s="52"/>
      <c r="ANV15" s="52"/>
      <c r="ANW15" s="52"/>
      <c r="ANX15" s="52"/>
      <c r="ANY15" s="52"/>
      <c r="ANZ15" s="52"/>
      <c r="AOA15" s="52"/>
      <c r="AOB15" s="52"/>
      <c r="AOC15" s="52"/>
      <c r="AOD15" s="52"/>
      <c r="AOE15" s="52"/>
      <c r="AOF15" s="52"/>
      <c r="AOG15" s="52"/>
      <c r="AOH15" s="52"/>
      <c r="AOI15" s="52"/>
      <c r="AOJ15" s="52"/>
      <c r="AOK15" s="52"/>
      <c r="AOL15" s="52"/>
      <c r="AOM15" s="52"/>
      <c r="AON15" s="52"/>
      <c r="AOO15" s="52"/>
      <c r="AOP15" s="52"/>
      <c r="AOQ15" s="52"/>
      <c r="AOR15" s="52"/>
      <c r="AOS15" s="52"/>
      <c r="AOT15" s="52"/>
      <c r="AOU15" s="52"/>
      <c r="AOV15" s="52"/>
      <c r="AOW15" s="52"/>
      <c r="AOX15" s="52"/>
      <c r="AOY15" s="52"/>
      <c r="AOZ15" s="52"/>
      <c r="APA15" s="52"/>
      <c r="APB15" s="52"/>
      <c r="APC15" s="52"/>
      <c r="APD15" s="52"/>
      <c r="APE15" s="52"/>
      <c r="APF15" s="52"/>
      <c r="APG15" s="52"/>
      <c r="APH15" s="52"/>
      <c r="API15" s="52"/>
      <c r="APJ15" s="52"/>
      <c r="APK15" s="52"/>
      <c r="APL15" s="52"/>
      <c r="APM15" s="52"/>
      <c r="APN15" s="52"/>
      <c r="APO15" s="52"/>
      <c r="APP15" s="52"/>
      <c r="APQ15" s="52"/>
      <c r="APR15" s="52"/>
      <c r="APS15" s="52"/>
      <c r="APT15" s="52"/>
      <c r="APU15" s="52"/>
      <c r="APV15" s="52"/>
      <c r="APW15" s="52"/>
      <c r="APX15" s="52"/>
    </row>
    <row r="16" spans="1:1116" s="272" customFormat="1" ht="15" customHeight="1">
      <c r="A16" s="268"/>
      <c r="B16" s="269"/>
      <c r="C16" s="270"/>
      <c r="D16" s="421"/>
      <c r="E16" s="359"/>
      <c r="F16" s="364"/>
      <c r="G16" s="271"/>
      <c r="H16" s="379"/>
      <c r="I16" s="385"/>
      <c r="J16" s="378"/>
      <c r="K16" s="130"/>
      <c r="L16" s="130"/>
      <c r="M16" s="450"/>
      <c r="N16" s="349"/>
      <c r="O16" s="450"/>
      <c r="P16" s="189"/>
      <c r="Q16" s="608"/>
      <c r="R16" s="365"/>
      <c r="S16" s="365"/>
      <c r="T16" s="577"/>
      <c r="U16" s="577"/>
      <c r="V16" s="577"/>
      <c r="W16" s="541"/>
      <c r="X16" s="541"/>
      <c r="Y16" s="541"/>
      <c r="Z16" s="541"/>
      <c r="AA16" s="541"/>
      <c r="AB16" s="541"/>
      <c r="AC16" s="541"/>
      <c r="AD16" s="541"/>
      <c r="AE16" s="541"/>
      <c r="AF16" s="541"/>
      <c r="AG16" s="541"/>
      <c r="AH16" s="541"/>
      <c r="AI16" s="541"/>
      <c r="AJ16" s="541"/>
      <c r="AK16" s="541"/>
      <c r="AL16" s="541"/>
      <c r="AM16" s="541"/>
      <c r="AN16" s="541"/>
      <c r="AO16" s="541"/>
      <c r="AP16" s="541"/>
      <c r="AQ16" s="541"/>
      <c r="AR16" s="541"/>
      <c r="AS16" s="541"/>
      <c r="AT16" s="541"/>
      <c r="AU16" s="541"/>
      <c r="AV16" s="541"/>
      <c r="AW16" s="541"/>
      <c r="AX16" s="541"/>
      <c r="AY16" s="541"/>
      <c r="AZ16" s="541"/>
      <c r="BA16" s="541"/>
      <c r="BB16" s="541"/>
      <c r="BC16" s="541"/>
      <c r="BD16" s="541"/>
      <c r="BE16" s="541"/>
      <c r="BF16" s="541"/>
      <c r="BG16" s="541"/>
      <c r="BH16" s="541"/>
      <c r="BI16" s="541"/>
      <c r="BJ16" s="541"/>
      <c r="BK16" s="541"/>
      <c r="BL16" s="541"/>
      <c r="BM16" s="541"/>
      <c r="BN16" s="541"/>
      <c r="BO16" s="541"/>
      <c r="BP16" s="541"/>
      <c r="BQ16" s="541"/>
      <c r="BR16" s="541"/>
      <c r="BS16" s="541"/>
      <c r="BT16" s="541"/>
      <c r="BU16" s="541"/>
      <c r="BV16" s="541"/>
      <c r="BW16" s="541"/>
      <c r="BX16" s="541"/>
      <c r="BY16" s="541"/>
      <c r="BZ16" s="541"/>
      <c r="CA16" s="541"/>
      <c r="CB16" s="541"/>
      <c r="CC16" s="541"/>
      <c r="CD16" s="542"/>
      <c r="CE16" s="365"/>
      <c r="CF16" s="541"/>
      <c r="CG16" s="541"/>
      <c r="CH16" s="541"/>
      <c r="CI16" s="541"/>
      <c r="CJ16" s="541"/>
      <c r="CK16" s="541"/>
      <c r="CL16" s="541"/>
      <c r="CM16" s="541"/>
      <c r="CN16" s="541"/>
      <c r="CO16" s="541"/>
      <c r="CP16" s="541"/>
      <c r="CQ16" s="541"/>
      <c r="CR16" s="541"/>
      <c r="CS16" s="541"/>
      <c r="CT16" s="541"/>
      <c r="CU16" s="541"/>
      <c r="CV16" s="541"/>
      <c r="CW16" s="541"/>
      <c r="CX16" s="541"/>
      <c r="CY16" s="541"/>
      <c r="CZ16" s="541"/>
      <c r="DA16" s="541"/>
      <c r="DB16" s="541"/>
      <c r="DC16" s="541"/>
      <c r="DD16" s="541"/>
      <c r="DE16" s="541"/>
      <c r="DF16" s="541"/>
      <c r="DG16" s="541"/>
      <c r="DH16" s="541"/>
      <c r="DI16" s="541"/>
      <c r="DJ16" s="541"/>
      <c r="DK16" s="541"/>
      <c r="DL16" s="541"/>
      <c r="DM16" s="541"/>
      <c r="DN16" s="541"/>
      <c r="DO16" s="541"/>
      <c r="DP16" s="541"/>
      <c r="DQ16" s="541"/>
      <c r="DR16" s="541"/>
      <c r="DS16" s="541"/>
      <c r="DT16" s="541"/>
      <c r="DU16" s="541"/>
      <c r="DV16" s="541"/>
      <c r="DW16" s="541"/>
      <c r="DX16" s="541"/>
      <c r="DY16" s="541"/>
      <c r="DZ16" s="541"/>
      <c r="EA16" s="541"/>
      <c r="EB16" s="541"/>
      <c r="EC16" s="541"/>
      <c r="ED16" s="541"/>
      <c r="EE16" s="541"/>
      <c r="EF16" s="541"/>
      <c r="EG16" s="541"/>
      <c r="EH16" s="541"/>
      <c r="EI16" s="541"/>
      <c r="EJ16" s="541"/>
      <c r="EK16" s="541"/>
      <c r="EL16" s="541"/>
      <c r="EM16" s="542"/>
      <c r="EN16" s="365"/>
      <c r="EO16" s="365"/>
      <c r="EP16" s="270"/>
      <c r="EQ16" s="270"/>
      <c r="ER16" s="270"/>
      <c r="ES16" s="270"/>
      <c r="ET16" s="270"/>
      <c r="EU16" s="270"/>
      <c r="EV16" s="270"/>
      <c r="EW16" s="270"/>
      <c r="EX16" s="270"/>
      <c r="EY16" s="270"/>
      <c r="EZ16" s="270"/>
      <c r="FA16" s="270"/>
      <c r="FB16" s="270"/>
      <c r="FC16" s="270"/>
      <c r="FD16" s="270"/>
      <c r="FE16" s="270"/>
      <c r="FF16" s="270"/>
      <c r="FG16" s="270"/>
      <c r="FH16" s="270"/>
      <c r="FI16" s="270"/>
      <c r="FJ16" s="270"/>
      <c r="FK16" s="270"/>
      <c r="FL16" s="270"/>
      <c r="FM16" s="270"/>
      <c r="FN16" s="270"/>
      <c r="FO16" s="270"/>
      <c r="FP16" s="270"/>
      <c r="FQ16" s="270"/>
      <c r="FR16" s="270"/>
      <c r="FS16" s="270"/>
      <c r="FT16" s="270"/>
      <c r="FU16" s="270"/>
      <c r="FV16" s="270"/>
      <c r="FW16" s="270"/>
      <c r="FX16" s="270"/>
      <c r="FY16" s="270"/>
      <c r="FZ16" s="270"/>
      <c r="GA16" s="270"/>
      <c r="GB16" s="270"/>
      <c r="GC16" s="270"/>
      <c r="GD16" s="270"/>
      <c r="GE16" s="270"/>
      <c r="GF16" s="270"/>
      <c r="GG16" s="270"/>
      <c r="GH16" s="270"/>
      <c r="GI16" s="270"/>
      <c r="GJ16" s="270"/>
      <c r="GK16" s="270"/>
      <c r="GL16" s="270"/>
      <c r="GM16" s="270"/>
      <c r="GN16" s="270"/>
      <c r="GO16" s="270"/>
      <c r="GP16" s="270"/>
      <c r="GQ16" s="270"/>
      <c r="GR16" s="270"/>
      <c r="GS16" s="270"/>
      <c r="GT16" s="270"/>
      <c r="GU16" s="270"/>
      <c r="GV16" s="270"/>
      <c r="GW16" s="270"/>
      <c r="GX16" s="270"/>
      <c r="GY16" s="270"/>
      <c r="GZ16" s="270"/>
      <c r="HA16" s="270"/>
      <c r="HB16" s="270"/>
      <c r="HC16" s="270"/>
      <c r="HD16" s="270"/>
      <c r="HE16" s="270"/>
      <c r="HF16" s="270"/>
      <c r="HG16" s="270"/>
      <c r="HH16" s="270"/>
      <c r="HI16" s="270"/>
      <c r="HJ16" s="270"/>
      <c r="HK16" s="270"/>
      <c r="HL16" s="270"/>
      <c r="HM16" s="270"/>
      <c r="HN16" s="270"/>
      <c r="HO16" s="270"/>
      <c r="HP16" s="270"/>
      <c r="HQ16" s="270"/>
      <c r="HR16" s="270"/>
      <c r="HS16" s="270"/>
      <c r="HT16" s="270"/>
      <c r="HU16" s="270"/>
      <c r="HV16" s="270"/>
      <c r="HW16" s="270"/>
      <c r="HX16" s="270"/>
      <c r="HY16" s="270"/>
      <c r="HZ16" s="270"/>
      <c r="IA16" s="270"/>
      <c r="IB16" s="270"/>
      <c r="IC16" s="270"/>
      <c r="ID16" s="270"/>
      <c r="IE16" s="270"/>
      <c r="IF16" s="270"/>
      <c r="IG16" s="270"/>
      <c r="IH16" s="270"/>
      <c r="II16" s="270"/>
      <c r="IJ16" s="270"/>
      <c r="IK16" s="270"/>
      <c r="IL16" s="270"/>
      <c r="IM16" s="270"/>
      <c r="IN16" s="270"/>
      <c r="IO16" s="270"/>
      <c r="IP16" s="270"/>
      <c r="IQ16" s="270"/>
      <c r="IR16" s="270"/>
      <c r="IS16" s="270"/>
      <c r="IT16" s="270"/>
      <c r="IU16" s="270"/>
      <c r="IV16" s="270"/>
      <c r="IW16" s="270"/>
      <c r="IX16" s="270"/>
      <c r="IY16" s="270"/>
      <c r="IZ16" s="270"/>
      <c r="JA16" s="270"/>
      <c r="JB16" s="270"/>
      <c r="JC16" s="270"/>
      <c r="JD16" s="270"/>
      <c r="JE16" s="270"/>
      <c r="JF16" s="270"/>
      <c r="JG16" s="270"/>
      <c r="JH16" s="270"/>
      <c r="JI16" s="270"/>
      <c r="JJ16" s="270"/>
      <c r="JK16" s="270"/>
      <c r="JL16" s="270"/>
      <c r="JM16" s="270"/>
      <c r="JN16" s="270"/>
      <c r="JO16" s="270"/>
      <c r="JP16" s="270"/>
      <c r="JQ16" s="270"/>
      <c r="JR16" s="270"/>
      <c r="JS16" s="270"/>
      <c r="JT16" s="270"/>
      <c r="JU16" s="270"/>
      <c r="JV16" s="270"/>
      <c r="JW16" s="270"/>
      <c r="JX16" s="270"/>
      <c r="JY16" s="270"/>
      <c r="JZ16" s="270"/>
      <c r="KA16" s="270"/>
      <c r="KB16" s="270"/>
      <c r="KC16" s="270"/>
      <c r="KD16" s="270"/>
      <c r="KE16" s="270"/>
      <c r="KF16" s="270"/>
      <c r="KG16" s="270"/>
      <c r="KH16" s="270"/>
      <c r="KI16" s="270"/>
      <c r="KJ16" s="270"/>
      <c r="KK16" s="270"/>
      <c r="KL16" s="270"/>
      <c r="KM16" s="270"/>
      <c r="KN16" s="270"/>
      <c r="KO16" s="270"/>
      <c r="KP16" s="270"/>
      <c r="KQ16" s="270"/>
      <c r="KR16" s="270"/>
      <c r="KS16" s="270"/>
      <c r="KT16" s="270"/>
      <c r="KU16" s="270"/>
      <c r="KV16" s="270"/>
      <c r="KW16" s="270"/>
      <c r="KX16" s="270"/>
      <c r="KY16" s="270"/>
      <c r="KZ16" s="270"/>
      <c r="LA16" s="270"/>
      <c r="LB16" s="270"/>
      <c r="LC16" s="270"/>
      <c r="LD16" s="270"/>
      <c r="LE16" s="270"/>
      <c r="LF16" s="270"/>
      <c r="LG16" s="270"/>
      <c r="LH16" s="270"/>
      <c r="LI16" s="270"/>
      <c r="LJ16" s="270"/>
      <c r="LK16" s="270"/>
      <c r="LL16" s="270"/>
      <c r="LM16" s="270"/>
      <c r="LN16" s="270"/>
      <c r="LO16" s="270"/>
      <c r="LP16" s="270"/>
      <c r="LQ16" s="270"/>
      <c r="LR16" s="270"/>
      <c r="LS16" s="270"/>
      <c r="LT16" s="270"/>
      <c r="LU16" s="270"/>
      <c r="LV16" s="270"/>
      <c r="LW16" s="270"/>
      <c r="LX16" s="270"/>
      <c r="LY16" s="270"/>
      <c r="LZ16" s="270"/>
      <c r="MA16" s="270"/>
      <c r="MB16" s="270"/>
      <c r="MC16" s="270"/>
      <c r="MD16" s="270"/>
      <c r="ME16" s="270"/>
      <c r="MF16" s="270"/>
      <c r="MG16" s="270"/>
      <c r="MH16" s="270"/>
      <c r="MI16" s="270"/>
      <c r="MJ16" s="270"/>
      <c r="MK16" s="270"/>
      <c r="ML16" s="270"/>
      <c r="MM16" s="270"/>
      <c r="MN16" s="270"/>
      <c r="MO16" s="270"/>
      <c r="MP16" s="270"/>
      <c r="MQ16" s="270"/>
      <c r="MR16" s="270"/>
      <c r="MS16" s="270"/>
      <c r="MT16" s="270"/>
      <c r="MU16" s="270"/>
      <c r="MV16" s="270"/>
      <c r="MW16" s="270"/>
      <c r="MX16" s="270"/>
      <c r="MY16" s="270"/>
      <c r="MZ16" s="270"/>
      <c r="NA16" s="270"/>
      <c r="NB16" s="270"/>
      <c r="NC16" s="270"/>
      <c r="ND16" s="270"/>
      <c r="NE16" s="270"/>
      <c r="NF16" s="270"/>
      <c r="NG16" s="270"/>
      <c r="NH16" s="270"/>
      <c r="NI16" s="270"/>
      <c r="NJ16" s="270"/>
      <c r="NK16" s="270"/>
      <c r="NL16" s="270"/>
      <c r="NM16" s="270"/>
      <c r="NN16" s="270"/>
      <c r="NO16" s="270"/>
      <c r="NP16" s="270"/>
      <c r="NQ16" s="270"/>
      <c r="NR16" s="270"/>
      <c r="NS16" s="270"/>
      <c r="NT16" s="270"/>
      <c r="NU16" s="270"/>
      <c r="NV16" s="270"/>
      <c r="NW16" s="270"/>
      <c r="NX16" s="270"/>
      <c r="NY16" s="270"/>
      <c r="NZ16" s="270"/>
      <c r="OA16" s="270"/>
      <c r="OB16" s="270"/>
      <c r="OC16" s="270"/>
      <c r="OD16" s="270"/>
      <c r="OE16" s="270"/>
      <c r="OF16" s="270"/>
      <c r="OG16" s="270"/>
      <c r="OH16" s="270"/>
      <c r="OI16" s="270"/>
      <c r="OJ16" s="270"/>
      <c r="OK16" s="270"/>
      <c r="OL16" s="270"/>
      <c r="OM16" s="270"/>
      <c r="ON16" s="270"/>
      <c r="OO16" s="270"/>
      <c r="OP16" s="270"/>
      <c r="OQ16" s="270"/>
      <c r="OR16" s="270"/>
      <c r="OS16" s="270"/>
      <c r="OT16" s="270"/>
      <c r="OU16" s="270"/>
      <c r="OV16" s="270"/>
      <c r="OW16" s="270"/>
      <c r="OX16" s="270"/>
      <c r="OY16" s="270"/>
      <c r="OZ16" s="270"/>
      <c r="PA16" s="270"/>
      <c r="PB16" s="270"/>
      <c r="PC16" s="270"/>
      <c r="PD16" s="270"/>
      <c r="PE16" s="270"/>
      <c r="PF16" s="270"/>
      <c r="PG16" s="270"/>
      <c r="PH16" s="270"/>
      <c r="PI16" s="270"/>
      <c r="PJ16" s="270"/>
      <c r="PK16" s="270"/>
      <c r="PL16" s="270"/>
      <c r="PM16" s="270"/>
      <c r="PN16" s="270"/>
      <c r="PO16" s="270"/>
      <c r="PP16" s="270"/>
      <c r="PQ16" s="270"/>
      <c r="PR16" s="270"/>
      <c r="PS16" s="270"/>
      <c r="PT16" s="270"/>
      <c r="PU16" s="270"/>
      <c r="PV16" s="270"/>
      <c r="PW16" s="270"/>
      <c r="PX16" s="270"/>
      <c r="PY16" s="270"/>
      <c r="PZ16" s="270"/>
      <c r="QA16" s="270"/>
      <c r="QB16" s="270"/>
      <c r="QC16" s="270"/>
      <c r="QD16" s="270"/>
      <c r="QE16" s="270"/>
      <c r="QF16" s="270"/>
      <c r="QG16" s="270"/>
      <c r="QH16" s="270"/>
      <c r="QI16" s="270"/>
      <c r="QJ16" s="270"/>
      <c r="QK16" s="270"/>
      <c r="QL16" s="270"/>
      <c r="QM16" s="270"/>
      <c r="QN16" s="270"/>
      <c r="QO16" s="270"/>
      <c r="QP16" s="270"/>
      <c r="QQ16" s="270"/>
      <c r="QR16" s="270"/>
      <c r="QS16" s="270"/>
      <c r="QT16" s="270"/>
      <c r="QU16" s="270"/>
      <c r="QV16" s="270"/>
      <c r="QW16" s="270"/>
      <c r="QX16" s="270"/>
      <c r="QY16" s="270"/>
      <c r="QZ16" s="270"/>
      <c r="RA16" s="270"/>
      <c r="RB16" s="270"/>
      <c r="RC16" s="270"/>
      <c r="RD16" s="270"/>
      <c r="RE16" s="270"/>
      <c r="RF16" s="270"/>
      <c r="RG16" s="270"/>
      <c r="RH16" s="270"/>
      <c r="RI16" s="270"/>
      <c r="RJ16" s="270"/>
      <c r="RK16" s="270"/>
      <c r="RL16" s="270"/>
      <c r="RM16" s="270"/>
      <c r="RN16" s="270"/>
      <c r="RO16" s="270"/>
      <c r="RP16" s="270"/>
      <c r="RQ16" s="270"/>
      <c r="RR16" s="270"/>
      <c r="RS16" s="270"/>
      <c r="RT16" s="270"/>
      <c r="RU16" s="270"/>
      <c r="RV16" s="270"/>
      <c r="RW16" s="270"/>
      <c r="RX16" s="270"/>
      <c r="RY16" s="270"/>
      <c r="RZ16" s="270"/>
      <c r="SA16" s="270"/>
      <c r="SB16" s="270"/>
      <c r="SC16" s="270"/>
      <c r="SD16" s="270"/>
      <c r="SE16" s="270"/>
      <c r="SF16" s="270"/>
      <c r="SG16" s="270"/>
      <c r="SH16" s="270"/>
      <c r="SI16" s="270"/>
      <c r="SJ16" s="270"/>
      <c r="SK16" s="270"/>
      <c r="SL16" s="270"/>
      <c r="SM16" s="270"/>
      <c r="SN16" s="270"/>
      <c r="SO16" s="270"/>
      <c r="SP16" s="270"/>
      <c r="SQ16" s="270"/>
      <c r="SR16" s="270"/>
      <c r="SS16" s="270"/>
      <c r="ST16" s="270"/>
      <c r="SU16" s="270"/>
      <c r="SV16" s="270"/>
      <c r="SW16" s="270"/>
      <c r="SX16" s="270"/>
      <c r="SY16" s="270"/>
      <c r="SZ16" s="270"/>
      <c r="TA16" s="270"/>
      <c r="TB16" s="270"/>
      <c r="TC16" s="270"/>
      <c r="TD16" s="270"/>
      <c r="TE16" s="270"/>
      <c r="TF16" s="270"/>
      <c r="TG16" s="270"/>
      <c r="TH16" s="270"/>
      <c r="TI16" s="270"/>
      <c r="TJ16" s="270"/>
      <c r="TK16" s="270"/>
      <c r="TL16" s="270"/>
      <c r="TM16" s="270"/>
      <c r="TN16" s="270"/>
      <c r="TO16" s="270"/>
      <c r="TP16" s="270"/>
      <c r="TQ16" s="270"/>
      <c r="TR16" s="270"/>
      <c r="TS16" s="270"/>
      <c r="TT16" s="270"/>
      <c r="TU16" s="270"/>
      <c r="TV16" s="270"/>
      <c r="TW16" s="270"/>
      <c r="TX16" s="270"/>
      <c r="TY16" s="270"/>
      <c r="TZ16" s="270"/>
      <c r="UA16" s="270"/>
      <c r="UB16" s="270"/>
      <c r="UC16" s="270"/>
      <c r="UD16" s="270"/>
      <c r="UE16" s="270"/>
      <c r="UF16" s="270"/>
      <c r="UG16" s="270"/>
      <c r="UH16" s="270"/>
      <c r="UI16" s="270"/>
      <c r="UJ16" s="270"/>
      <c r="UK16" s="270"/>
      <c r="UL16" s="270"/>
      <c r="UM16" s="270"/>
      <c r="UN16" s="270"/>
      <c r="UO16" s="270"/>
      <c r="UP16" s="270"/>
      <c r="UQ16" s="270"/>
      <c r="UR16" s="270"/>
      <c r="US16" s="270"/>
      <c r="UT16" s="270"/>
      <c r="UU16" s="270"/>
      <c r="UV16" s="270"/>
      <c r="UW16" s="270"/>
      <c r="UX16" s="270"/>
      <c r="UY16" s="270"/>
      <c r="UZ16" s="270"/>
      <c r="VA16" s="270"/>
      <c r="VB16" s="270"/>
      <c r="VC16" s="270"/>
      <c r="VD16" s="270"/>
      <c r="VE16" s="270"/>
      <c r="VF16" s="270"/>
      <c r="VG16" s="270"/>
      <c r="VH16" s="270"/>
      <c r="VI16" s="270"/>
      <c r="VJ16" s="270"/>
      <c r="VK16" s="270"/>
      <c r="VL16" s="270"/>
      <c r="VM16" s="270"/>
      <c r="VN16" s="270"/>
      <c r="VO16" s="270"/>
      <c r="VP16" s="270"/>
      <c r="VQ16" s="270"/>
      <c r="VR16" s="270"/>
      <c r="VS16" s="270"/>
      <c r="VT16" s="270"/>
      <c r="VU16" s="270"/>
      <c r="VV16" s="270"/>
      <c r="VW16" s="270"/>
      <c r="VX16" s="270"/>
      <c r="VY16" s="270"/>
      <c r="VZ16" s="270"/>
      <c r="WA16" s="270"/>
      <c r="WB16" s="270"/>
      <c r="WC16" s="270"/>
      <c r="WD16" s="270"/>
      <c r="WE16" s="270"/>
      <c r="WF16" s="270"/>
      <c r="WG16" s="270"/>
      <c r="WH16" s="270"/>
      <c r="WI16" s="270"/>
      <c r="WJ16" s="270"/>
      <c r="WK16" s="270"/>
      <c r="WL16" s="270"/>
      <c r="WM16" s="270"/>
      <c r="WN16" s="270"/>
      <c r="WO16" s="270"/>
      <c r="WP16" s="270"/>
      <c r="WQ16" s="270"/>
      <c r="WR16" s="270"/>
      <c r="WS16" s="270"/>
      <c r="WT16" s="270"/>
      <c r="WU16" s="270"/>
      <c r="WV16" s="270"/>
      <c r="WW16" s="270"/>
      <c r="WX16" s="270"/>
      <c r="WY16" s="270"/>
      <c r="WZ16" s="270"/>
      <c r="XA16" s="270"/>
      <c r="XB16" s="270"/>
      <c r="XC16" s="270"/>
      <c r="XD16" s="270"/>
      <c r="XE16" s="270"/>
      <c r="XF16" s="270"/>
      <c r="XG16" s="270"/>
      <c r="XH16" s="270"/>
      <c r="XI16" s="270"/>
      <c r="XJ16" s="270"/>
      <c r="XK16" s="270"/>
      <c r="XL16" s="270"/>
      <c r="XM16" s="270"/>
      <c r="XN16" s="270"/>
      <c r="XO16" s="270"/>
      <c r="XP16" s="270"/>
      <c r="XQ16" s="270"/>
      <c r="XR16" s="270"/>
      <c r="XS16" s="270"/>
      <c r="XT16" s="270"/>
      <c r="XU16" s="270"/>
      <c r="XV16" s="270"/>
      <c r="XW16" s="270"/>
      <c r="XX16" s="270"/>
      <c r="XY16" s="270"/>
      <c r="XZ16" s="270"/>
      <c r="YA16" s="270"/>
      <c r="YB16" s="270"/>
      <c r="YC16" s="270"/>
      <c r="YD16" s="270"/>
      <c r="YE16" s="270"/>
      <c r="YF16" s="270"/>
      <c r="YG16" s="270"/>
      <c r="YH16" s="270"/>
      <c r="YI16" s="270"/>
      <c r="YJ16" s="270"/>
      <c r="YK16" s="270"/>
      <c r="YL16" s="270"/>
      <c r="YM16" s="270"/>
      <c r="YN16" s="270"/>
      <c r="YO16" s="270"/>
      <c r="YP16" s="270"/>
      <c r="YQ16" s="270"/>
      <c r="YR16" s="270"/>
      <c r="YS16" s="270"/>
      <c r="YT16" s="270"/>
      <c r="YU16" s="270"/>
      <c r="YV16" s="270"/>
      <c r="YW16" s="270"/>
      <c r="YX16" s="270"/>
      <c r="YY16" s="270"/>
      <c r="YZ16" s="270"/>
      <c r="ZA16" s="270"/>
      <c r="ZB16" s="270"/>
      <c r="ZC16" s="270"/>
      <c r="ZD16" s="270"/>
      <c r="ZE16" s="270"/>
      <c r="ZF16" s="270"/>
      <c r="ZG16" s="270"/>
      <c r="ZH16" s="270"/>
      <c r="ZI16" s="270"/>
      <c r="ZJ16" s="270"/>
      <c r="ZK16" s="270"/>
      <c r="ZL16" s="270"/>
      <c r="ZM16" s="270"/>
      <c r="ZN16" s="270"/>
      <c r="ZO16" s="270"/>
      <c r="ZP16" s="270"/>
      <c r="ZQ16" s="270"/>
      <c r="ZR16" s="270"/>
      <c r="ZS16" s="270"/>
      <c r="ZT16" s="270"/>
      <c r="ZU16" s="270"/>
      <c r="ZV16" s="270"/>
      <c r="ZW16" s="270"/>
      <c r="ZX16" s="270"/>
      <c r="ZY16" s="270"/>
      <c r="ZZ16" s="270"/>
      <c r="AAA16" s="270"/>
      <c r="AAB16" s="270"/>
      <c r="AAC16" s="270"/>
      <c r="AAD16" s="270"/>
      <c r="AAE16" s="270"/>
      <c r="AAF16" s="270"/>
      <c r="AAG16" s="270"/>
      <c r="AAH16" s="270"/>
      <c r="AAI16" s="270"/>
      <c r="AAJ16" s="270"/>
      <c r="AAK16" s="270"/>
      <c r="AAL16" s="270"/>
      <c r="AAM16" s="270"/>
      <c r="AAN16" s="270"/>
      <c r="AAO16" s="270"/>
      <c r="AAP16" s="270"/>
      <c r="AAQ16" s="270"/>
      <c r="AAR16" s="270"/>
      <c r="AAS16" s="270"/>
      <c r="AAT16" s="270"/>
      <c r="AAU16" s="270"/>
      <c r="AAV16" s="270"/>
      <c r="AAW16" s="270"/>
      <c r="AAX16" s="270"/>
      <c r="AAY16" s="270"/>
      <c r="AAZ16" s="270"/>
      <c r="ABA16" s="270"/>
      <c r="ABB16" s="270"/>
      <c r="ABC16" s="270"/>
      <c r="ABD16" s="270"/>
      <c r="ABE16" s="270"/>
      <c r="ABF16" s="270"/>
      <c r="ABG16" s="270"/>
      <c r="ABH16" s="270"/>
      <c r="ABI16" s="270"/>
      <c r="ABJ16" s="270"/>
      <c r="ABK16" s="270"/>
      <c r="ABL16" s="270"/>
      <c r="ABM16" s="270"/>
      <c r="ABN16" s="270"/>
      <c r="ABO16" s="270"/>
      <c r="ABP16" s="270"/>
      <c r="ABQ16" s="270"/>
      <c r="ABR16" s="270"/>
      <c r="ABS16" s="270"/>
      <c r="ABT16" s="270"/>
      <c r="ABU16" s="270"/>
      <c r="ABV16" s="270"/>
      <c r="ABW16" s="270"/>
      <c r="ABX16" s="270"/>
      <c r="ABY16" s="270"/>
      <c r="ABZ16" s="270"/>
      <c r="ACA16" s="270"/>
      <c r="ACB16" s="270"/>
      <c r="ACC16" s="270"/>
      <c r="ACD16" s="270"/>
      <c r="ACE16" s="270"/>
      <c r="ACF16" s="270"/>
      <c r="ACG16" s="270"/>
      <c r="ACH16" s="270"/>
      <c r="ACI16" s="270"/>
      <c r="ACJ16" s="270"/>
      <c r="ACK16" s="270"/>
      <c r="ACL16" s="270"/>
      <c r="ACM16" s="270"/>
      <c r="ACN16" s="270"/>
      <c r="ACO16" s="270"/>
      <c r="ACP16" s="270"/>
      <c r="ACQ16" s="270"/>
      <c r="ACR16" s="270"/>
      <c r="ACS16" s="270"/>
      <c r="ACT16" s="270"/>
      <c r="ACU16" s="270"/>
      <c r="ACV16" s="270"/>
      <c r="ACW16" s="270"/>
      <c r="ACX16" s="270"/>
      <c r="ACY16" s="270"/>
      <c r="ACZ16" s="270"/>
      <c r="ADA16" s="270"/>
      <c r="ADB16" s="270"/>
      <c r="ADC16" s="270"/>
      <c r="ADD16" s="270"/>
      <c r="ADE16" s="270"/>
      <c r="ADF16" s="270"/>
      <c r="ADG16" s="270"/>
      <c r="ADH16" s="270"/>
      <c r="ADI16" s="270"/>
      <c r="ADJ16" s="270"/>
      <c r="ADK16" s="270"/>
      <c r="ADL16" s="270"/>
      <c r="ADM16" s="270"/>
      <c r="ADN16" s="270"/>
      <c r="ADO16" s="270"/>
      <c r="ADP16" s="270"/>
      <c r="ADQ16" s="270"/>
      <c r="ADR16" s="270"/>
      <c r="ADS16" s="270"/>
      <c r="ADT16" s="270"/>
      <c r="ADU16" s="270"/>
      <c r="ADV16" s="270"/>
      <c r="ADW16" s="270"/>
      <c r="ADX16" s="270"/>
      <c r="ADY16" s="270"/>
      <c r="ADZ16" s="270"/>
      <c r="AEA16" s="270"/>
      <c r="AEB16" s="270"/>
      <c r="AEC16" s="270"/>
      <c r="AED16" s="270"/>
      <c r="AEE16" s="270"/>
      <c r="AEF16" s="270"/>
      <c r="AEG16" s="270"/>
      <c r="AEH16" s="270"/>
      <c r="AEI16" s="270"/>
      <c r="AEJ16" s="270"/>
      <c r="AEK16" s="270"/>
      <c r="AEL16" s="270"/>
      <c r="AEM16" s="270"/>
      <c r="AEN16" s="270"/>
      <c r="AEO16" s="270"/>
      <c r="AEP16" s="270"/>
      <c r="AEQ16" s="270"/>
      <c r="AER16" s="270"/>
      <c r="AES16" s="270"/>
      <c r="AET16" s="270"/>
      <c r="AEU16" s="270"/>
      <c r="AEV16" s="270"/>
      <c r="AEW16" s="270"/>
      <c r="AEX16" s="270"/>
      <c r="AEY16" s="270"/>
      <c r="AEZ16" s="270"/>
      <c r="AFA16" s="270"/>
      <c r="AFB16" s="270"/>
      <c r="AFC16" s="270"/>
      <c r="AFD16" s="270"/>
      <c r="AFE16" s="270"/>
      <c r="AFF16" s="270"/>
      <c r="AFG16" s="270"/>
      <c r="AFH16" s="270"/>
      <c r="AFI16" s="270"/>
      <c r="AFJ16" s="270"/>
      <c r="AFK16" s="270"/>
      <c r="AFL16" s="270"/>
      <c r="AFM16" s="270"/>
      <c r="AFN16" s="270"/>
      <c r="AFO16" s="270"/>
      <c r="AFP16" s="270"/>
      <c r="AFQ16" s="270"/>
      <c r="AFR16" s="270"/>
      <c r="AFS16" s="270"/>
      <c r="AFT16" s="270"/>
      <c r="AFU16" s="270"/>
      <c r="AFV16" s="270"/>
      <c r="AFW16" s="270"/>
      <c r="AFX16" s="270"/>
      <c r="AFY16" s="270"/>
      <c r="AFZ16" s="270"/>
      <c r="AGA16" s="270"/>
      <c r="AGB16" s="270"/>
      <c r="AGC16" s="270"/>
      <c r="AGD16" s="270"/>
      <c r="AGE16" s="270"/>
      <c r="AGF16" s="270"/>
      <c r="AGG16" s="270"/>
      <c r="AGH16" s="270"/>
      <c r="AGI16" s="270"/>
      <c r="AGJ16" s="270"/>
      <c r="AGK16" s="270"/>
      <c r="AGL16" s="270"/>
      <c r="AGM16" s="270"/>
      <c r="AGN16" s="270"/>
      <c r="AGO16" s="270"/>
      <c r="AGP16" s="270"/>
      <c r="AGQ16" s="270"/>
      <c r="AGR16" s="270"/>
      <c r="AGS16" s="270"/>
      <c r="AGT16" s="270"/>
      <c r="AGU16" s="270"/>
      <c r="AGV16" s="270"/>
      <c r="AGW16" s="270"/>
      <c r="AGX16" s="270"/>
      <c r="AGY16" s="270"/>
      <c r="AGZ16" s="270"/>
      <c r="AHA16" s="270"/>
      <c r="AHB16" s="270"/>
      <c r="AHC16" s="270"/>
      <c r="AHD16" s="270"/>
      <c r="AHE16" s="270"/>
      <c r="AHF16" s="270"/>
      <c r="AHG16" s="270"/>
      <c r="AHH16" s="270"/>
      <c r="AHI16" s="270"/>
      <c r="AHJ16" s="270"/>
      <c r="AHK16" s="270"/>
      <c r="AHL16" s="270"/>
      <c r="AHM16" s="270"/>
      <c r="AHN16" s="270"/>
      <c r="AHO16" s="270"/>
      <c r="AHP16" s="270"/>
      <c r="AHQ16" s="270"/>
      <c r="AHR16" s="270"/>
      <c r="AHS16" s="270"/>
      <c r="AHT16" s="270"/>
      <c r="AHU16" s="270"/>
      <c r="AHV16" s="270"/>
      <c r="AHW16" s="270"/>
      <c r="AHX16" s="270"/>
      <c r="AHY16" s="270"/>
      <c r="AHZ16" s="270"/>
      <c r="AIA16" s="270"/>
      <c r="AIB16" s="270"/>
      <c r="AIC16" s="270"/>
      <c r="AID16" s="270"/>
      <c r="AIE16" s="270"/>
      <c r="AIF16" s="270"/>
      <c r="AIG16" s="270"/>
      <c r="AIH16" s="270"/>
      <c r="AII16" s="270"/>
      <c r="AIJ16" s="270"/>
      <c r="AIK16" s="270"/>
      <c r="AIL16" s="270"/>
      <c r="AIM16" s="270"/>
      <c r="AIN16" s="270"/>
      <c r="AIO16" s="270"/>
      <c r="AIP16" s="270"/>
      <c r="AIQ16" s="270"/>
      <c r="AIR16" s="270"/>
      <c r="AIS16" s="270"/>
      <c r="AIT16" s="270"/>
      <c r="AIU16" s="270"/>
      <c r="AIV16" s="270"/>
      <c r="AIW16" s="270"/>
      <c r="AIX16" s="270"/>
      <c r="AIY16" s="270"/>
      <c r="AIZ16" s="270"/>
      <c r="AJA16" s="270"/>
      <c r="AJB16" s="270"/>
      <c r="AJC16" s="270"/>
      <c r="AJD16" s="270"/>
      <c r="AJE16" s="270"/>
      <c r="AJF16" s="270"/>
      <c r="AJG16" s="270"/>
      <c r="AJH16" s="270"/>
      <c r="AJI16" s="270"/>
      <c r="AJJ16" s="270"/>
      <c r="AJK16" s="270"/>
      <c r="AJL16" s="270"/>
      <c r="AJM16" s="270"/>
      <c r="AJN16" s="270"/>
      <c r="AJO16" s="270"/>
      <c r="AJP16" s="270"/>
      <c r="AJQ16" s="270"/>
      <c r="AJR16" s="270"/>
      <c r="AJS16" s="270"/>
      <c r="AJT16" s="270"/>
      <c r="AJU16" s="270"/>
      <c r="AJV16" s="270"/>
      <c r="AJW16" s="270"/>
      <c r="AJX16" s="270"/>
      <c r="AJY16" s="270"/>
      <c r="AJZ16" s="270"/>
      <c r="AKA16" s="270"/>
      <c r="AKB16" s="270"/>
      <c r="AKC16" s="270"/>
      <c r="AKD16" s="270"/>
      <c r="AKE16" s="270"/>
      <c r="AKF16" s="270"/>
      <c r="AKG16" s="270"/>
      <c r="AKH16" s="270"/>
      <c r="AKI16" s="270"/>
      <c r="AKJ16" s="270"/>
      <c r="AKK16" s="270"/>
      <c r="AKL16" s="270"/>
      <c r="AKM16" s="270"/>
      <c r="AKN16" s="270"/>
      <c r="AKO16" s="270"/>
      <c r="AKP16" s="270"/>
      <c r="AKQ16" s="270"/>
      <c r="AKR16" s="270"/>
      <c r="AKS16" s="270"/>
      <c r="AKT16" s="270"/>
      <c r="AKU16" s="270"/>
      <c r="AKV16" s="270"/>
      <c r="AKW16" s="270"/>
      <c r="AKX16" s="270"/>
      <c r="AKY16" s="270"/>
      <c r="AKZ16" s="270"/>
      <c r="ALA16" s="270"/>
      <c r="ALB16" s="270"/>
      <c r="ALC16" s="270"/>
      <c r="ALD16" s="270"/>
      <c r="ALE16" s="270"/>
      <c r="ALF16" s="270"/>
      <c r="ALG16" s="270"/>
      <c r="ALH16" s="270"/>
      <c r="ALI16" s="270"/>
      <c r="ALJ16" s="270"/>
      <c r="ALK16" s="270"/>
      <c r="ALL16" s="270"/>
      <c r="ALM16" s="270"/>
      <c r="ALN16" s="270"/>
      <c r="ALO16" s="270"/>
      <c r="ALP16" s="270"/>
      <c r="ALQ16" s="270"/>
      <c r="ALR16" s="270"/>
      <c r="ALS16" s="270"/>
      <c r="ALT16" s="270"/>
      <c r="ALU16" s="270"/>
      <c r="ALV16" s="270"/>
      <c r="ALW16" s="270"/>
      <c r="ALX16" s="270"/>
      <c r="ALY16" s="270"/>
      <c r="ALZ16" s="270"/>
      <c r="AMA16" s="270"/>
      <c r="AMB16" s="270"/>
      <c r="AMC16" s="270"/>
      <c r="AMD16" s="270"/>
      <c r="AME16" s="270"/>
      <c r="AMF16" s="270"/>
      <c r="AMG16" s="270"/>
      <c r="AMH16" s="270"/>
      <c r="AMI16" s="270"/>
      <c r="AMJ16" s="270"/>
      <c r="AMK16" s="270"/>
      <c r="AML16" s="270"/>
      <c r="AMM16" s="270"/>
      <c r="AMN16" s="270"/>
      <c r="AMO16" s="270"/>
      <c r="AMP16" s="270"/>
      <c r="AMQ16" s="270"/>
      <c r="AMR16" s="270"/>
      <c r="AMS16" s="270"/>
      <c r="AMT16" s="270"/>
      <c r="AMU16" s="270"/>
      <c r="AMV16" s="270"/>
      <c r="AMW16" s="270"/>
      <c r="AMX16" s="270"/>
      <c r="AMY16" s="270"/>
      <c r="AMZ16" s="270"/>
      <c r="ANA16" s="270"/>
      <c r="ANB16" s="270"/>
      <c r="ANC16" s="270"/>
      <c r="AND16" s="270"/>
      <c r="ANE16" s="270"/>
      <c r="ANF16" s="270"/>
      <c r="ANG16" s="270"/>
      <c r="ANH16" s="270"/>
      <c r="ANI16" s="270"/>
      <c r="ANJ16" s="270"/>
      <c r="ANK16" s="270"/>
      <c r="ANL16" s="270"/>
      <c r="ANM16" s="270"/>
      <c r="ANN16" s="270"/>
      <c r="ANO16" s="270"/>
      <c r="ANP16" s="270"/>
      <c r="ANQ16" s="270"/>
      <c r="ANR16" s="270"/>
      <c r="ANS16" s="270"/>
      <c r="ANT16" s="270"/>
      <c r="ANU16" s="270"/>
      <c r="ANV16" s="270"/>
      <c r="ANW16" s="270"/>
      <c r="ANX16" s="270"/>
      <c r="ANY16" s="270"/>
      <c r="ANZ16" s="270"/>
      <c r="AOA16" s="270"/>
      <c r="AOB16" s="270"/>
      <c r="AOC16" s="270"/>
      <c r="AOD16" s="270"/>
      <c r="AOE16" s="270"/>
      <c r="AOF16" s="270"/>
      <c r="AOG16" s="270"/>
      <c r="AOH16" s="270"/>
      <c r="AOI16" s="270"/>
      <c r="AOJ16" s="270"/>
      <c r="AOK16" s="270"/>
      <c r="AOL16" s="270"/>
      <c r="AOM16" s="270"/>
      <c r="AON16" s="270"/>
      <c r="AOO16" s="270"/>
      <c r="AOP16" s="270"/>
      <c r="AOQ16" s="270"/>
      <c r="AOR16" s="270"/>
      <c r="AOS16" s="270"/>
      <c r="AOT16" s="270"/>
      <c r="AOU16" s="270"/>
      <c r="AOV16" s="270"/>
      <c r="AOW16" s="270"/>
      <c r="AOX16" s="270"/>
      <c r="AOY16" s="270"/>
      <c r="AOZ16" s="270"/>
      <c r="APA16" s="270"/>
      <c r="APB16" s="270"/>
      <c r="APC16" s="270"/>
      <c r="APD16" s="270"/>
      <c r="APE16" s="270"/>
      <c r="APF16" s="270"/>
      <c r="APG16" s="270"/>
      <c r="APH16" s="270"/>
      <c r="API16" s="270"/>
      <c r="APJ16" s="270"/>
      <c r="APK16" s="270"/>
      <c r="APL16" s="270"/>
      <c r="APM16" s="270"/>
      <c r="APN16" s="270"/>
      <c r="APO16" s="270"/>
      <c r="APP16" s="270"/>
      <c r="APQ16" s="270"/>
      <c r="APR16" s="270"/>
      <c r="APS16" s="270"/>
      <c r="APT16" s="270"/>
      <c r="APU16" s="270"/>
      <c r="APV16" s="270"/>
      <c r="APW16" s="270"/>
      <c r="APX16" s="270"/>
    </row>
    <row r="17" spans="1:1116" s="272" customFormat="1" ht="15" customHeight="1">
      <c r="A17" s="268"/>
      <c r="B17" s="269"/>
      <c r="C17" s="270"/>
      <c r="D17" s="421"/>
      <c r="E17" s="359"/>
      <c r="F17" s="364"/>
      <c r="G17" s="271"/>
      <c r="H17" s="379"/>
      <c r="I17" s="385"/>
      <c r="J17" s="378"/>
      <c r="K17" s="130"/>
      <c r="L17" s="130"/>
      <c r="M17" s="450"/>
      <c r="N17" s="349"/>
      <c r="O17" s="450"/>
      <c r="P17" s="189"/>
      <c r="Q17" s="608"/>
      <c r="R17" s="365"/>
      <c r="S17" s="365"/>
      <c r="T17" s="577"/>
      <c r="U17" s="577"/>
      <c r="V17" s="577"/>
      <c r="W17" s="541"/>
      <c r="X17" s="541"/>
      <c r="Y17" s="541"/>
      <c r="Z17" s="541"/>
      <c r="AA17" s="541"/>
      <c r="AB17" s="541"/>
      <c r="AC17" s="541"/>
      <c r="AD17" s="541"/>
      <c r="AE17" s="541"/>
      <c r="AF17" s="541"/>
      <c r="AG17" s="541"/>
      <c r="AH17" s="541"/>
      <c r="AI17" s="541"/>
      <c r="AJ17" s="541"/>
      <c r="AK17" s="541"/>
      <c r="AL17" s="541"/>
      <c r="AM17" s="541"/>
      <c r="AN17" s="541"/>
      <c r="AO17" s="541"/>
      <c r="AP17" s="541"/>
      <c r="AQ17" s="541"/>
      <c r="AR17" s="541"/>
      <c r="AS17" s="541"/>
      <c r="AT17" s="541"/>
      <c r="AU17" s="541"/>
      <c r="AV17" s="541"/>
      <c r="AW17" s="541"/>
      <c r="AX17" s="541"/>
      <c r="AY17" s="541"/>
      <c r="AZ17" s="541"/>
      <c r="BA17" s="541"/>
      <c r="BB17" s="541"/>
      <c r="BC17" s="541"/>
      <c r="BD17" s="541"/>
      <c r="BE17" s="541"/>
      <c r="BF17" s="541"/>
      <c r="BG17" s="541"/>
      <c r="BH17" s="541"/>
      <c r="BI17" s="541"/>
      <c r="BJ17" s="541"/>
      <c r="BK17" s="541"/>
      <c r="BL17" s="541"/>
      <c r="BM17" s="541"/>
      <c r="BN17" s="541"/>
      <c r="BO17" s="541"/>
      <c r="BP17" s="541"/>
      <c r="BQ17" s="541"/>
      <c r="BR17" s="541"/>
      <c r="BS17" s="541"/>
      <c r="BT17" s="541"/>
      <c r="BU17" s="541"/>
      <c r="BV17" s="541"/>
      <c r="BW17" s="541"/>
      <c r="BX17" s="541"/>
      <c r="BY17" s="541"/>
      <c r="BZ17" s="541"/>
      <c r="CA17" s="541"/>
      <c r="CB17" s="541"/>
      <c r="CC17" s="541"/>
      <c r="CD17" s="542"/>
      <c r="CE17" s="365"/>
      <c r="CF17" s="541"/>
      <c r="CG17" s="541"/>
      <c r="CH17" s="541"/>
      <c r="CI17" s="541"/>
      <c r="CJ17" s="541"/>
      <c r="CK17" s="541"/>
      <c r="CL17" s="541"/>
      <c r="CM17" s="541"/>
      <c r="CN17" s="541"/>
      <c r="CO17" s="541"/>
      <c r="CP17" s="541"/>
      <c r="CQ17" s="541"/>
      <c r="CR17" s="541"/>
      <c r="CS17" s="541"/>
      <c r="CT17" s="541"/>
      <c r="CU17" s="541"/>
      <c r="CV17" s="541"/>
      <c r="CW17" s="541"/>
      <c r="CX17" s="541"/>
      <c r="CY17" s="541"/>
      <c r="CZ17" s="541"/>
      <c r="DA17" s="541"/>
      <c r="DB17" s="541"/>
      <c r="DC17" s="541"/>
      <c r="DD17" s="541"/>
      <c r="DE17" s="541"/>
      <c r="DF17" s="541"/>
      <c r="DG17" s="541"/>
      <c r="DH17" s="541"/>
      <c r="DI17" s="541"/>
      <c r="DJ17" s="541"/>
      <c r="DK17" s="541"/>
      <c r="DL17" s="541"/>
      <c r="DM17" s="541"/>
      <c r="DN17" s="541"/>
      <c r="DO17" s="541"/>
      <c r="DP17" s="541"/>
      <c r="DQ17" s="541"/>
      <c r="DR17" s="541"/>
      <c r="DS17" s="541"/>
      <c r="DT17" s="541"/>
      <c r="DU17" s="541"/>
      <c r="DV17" s="541"/>
      <c r="DW17" s="541"/>
      <c r="DX17" s="541"/>
      <c r="DY17" s="541"/>
      <c r="DZ17" s="541"/>
      <c r="EA17" s="541"/>
      <c r="EB17" s="541"/>
      <c r="EC17" s="541"/>
      <c r="ED17" s="541"/>
      <c r="EE17" s="541"/>
      <c r="EF17" s="541"/>
      <c r="EG17" s="541"/>
      <c r="EH17" s="541"/>
      <c r="EI17" s="541"/>
      <c r="EJ17" s="541"/>
      <c r="EK17" s="541"/>
      <c r="EL17" s="541"/>
      <c r="EM17" s="542"/>
      <c r="EN17" s="365"/>
      <c r="EO17" s="365"/>
      <c r="EP17" s="270"/>
      <c r="EQ17" s="270"/>
      <c r="ER17" s="270"/>
      <c r="ES17" s="270"/>
      <c r="ET17" s="270"/>
      <c r="EU17" s="270"/>
      <c r="EV17" s="270"/>
      <c r="EW17" s="270"/>
      <c r="EX17" s="270"/>
      <c r="EY17" s="270"/>
      <c r="EZ17" s="270"/>
      <c r="FA17" s="270"/>
      <c r="FB17" s="270"/>
      <c r="FC17" s="270"/>
      <c r="FD17" s="270"/>
      <c r="FE17" s="270"/>
      <c r="FF17" s="270"/>
      <c r="FG17" s="270"/>
      <c r="FH17" s="270"/>
      <c r="FI17" s="270"/>
      <c r="FJ17" s="270"/>
      <c r="FK17" s="270"/>
      <c r="FL17" s="270"/>
      <c r="FM17" s="270"/>
      <c r="FN17" s="270"/>
      <c r="FO17" s="270"/>
      <c r="FP17" s="270"/>
      <c r="FQ17" s="270"/>
      <c r="FR17" s="270"/>
      <c r="FS17" s="270"/>
      <c r="FT17" s="270"/>
      <c r="FU17" s="270"/>
      <c r="FV17" s="270"/>
      <c r="FW17" s="270"/>
      <c r="FX17" s="270"/>
      <c r="FY17" s="270"/>
      <c r="FZ17" s="270"/>
      <c r="GA17" s="270"/>
      <c r="GB17" s="270"/>
      <c r="GC17" s="270"/>
      <c r="GD17" s="270"/>
      <c r="GE17" s="270"/>
      <c r="GF17" s="270"/>
      <c r="GG17" s="270"/>
      <c r="GH17" s="270"/>
      <c r="GI17" s="270"/>
      <c r="GJ17" s="270"/>
      <c r="GK17" s="270"/>
      <c r="GL17" s="270"/>
      <c r="GM17" s="270"/>
      <c r="GN17" s="270"/>
      <c r="GO17" s="270"/>
      <c r="GP17" s="270"/>
      <c r="GQ17" s="270"/>
      <c r="GR17" s="270"/>
      <c r="GS17" s="270"/>
      <c r="GT17" s="270"/>
      <c r="GU17" s="270"/>
      <c r="GV17" s="270"/>
      <c r="GW17" s="270"/>
      <c r="GX17" s="270"/>
      <c r="GY17" s="270"/>
      <c r="GZ17" s="270"/>
      <c r="HA17" s="270"/>
      <c r="HB17" s="270"/>
      <c r="HC17" s="270"/>
      <c r="HD17" s="270"/>
      <c r="HE17" s="270"/>
      <c r="HF17" s="270"/>
      <c r="HG17" s="270"/>
      <c r="HH17" s="270"/>
      <c r="HI17" s="270"/>
      <c r="HJ17" s="270"/>
      <c r="HK17" s="270"/>
      <c r="HL17" s="270"/>
      <c r="HM17" s="270"/>
      <c r="HN17" s="270"/>
      <c r="HO17" s="270"/>
      <c r="HP17" s="270"/>
      <c r="HQ17" s="270"/>
      <c r="HR17" s="270"/>
      <c r="HS17" s="270"/>
      <c r="HT17" s="270"/>
      <c r="HU17" s="270"/>
      <c r="HV17" s="270"/>
      <c r="HW17" s="270"/>
      <c r="HX17" s="270"/>
      <c r="HY17" s="270"/>
      <c r="HZ17" s="270"/>
      <c r="IA17" s="270"/>
      <c r="IB17" s="270"/>
      <c r="IC17" s="270"/>
      <c r="ID17" s="270"/>
      <c r="IE17" s="270"/>
      <c r="IF17" s="270"/>
      <c r="IG17" s="270"/>
      <c r="IH17" s="270"/>
      <c r="II17" s="270"/>
      <c r="IJ17" s="270"/>
      <c r="IK17" s="270"/>
      <c r="IL17" s="270"/>
      <c r="IM17" s="270"/>
      <c r="IN17" s="270"/>
      <c r="IO17" s="270"/>
      <c r="IP17" s="270"/>
      <c r="IQ17" s="270"/>
      <c r="IR17" s="270"/>
      <c r="IS17" s="270"/>
      <c r="IT17" s="270"/>
      <c r="IU17" s="270"/>
      <c r="IV17" s="270"/>
      <c r="IW17" s="270"/>
      <c r="IX17" s="270"/>
      <c r="IY17" s="270"/>
      <c r="IZ17" s="270"/>
      <c r="JA17" s="270"/>
      <c r="JB17" s="270"/>
      <c r="JC17" s="270"/>
      <c r="JD17" s="270"/>
      <c r="JE17" s="270"/>
      <c r="JF17" s="270"/>
      <c r="JG17" s="270"/>
      <c r="JH17" s="270"/>
      <c r="JI17" s="270"/>
      <c r="JJ17" s="270"/>
      <c r="JK17" s="270"/>
      <c r="JL17" s="270"/>
      <c r="JM17" s="270"/>
      <c r="JN17" s="270"/>
      <c r="JO17" s="270"/>
      <c r="JP17" s="270"/>
      <c r="JQ17" s="270"/>
      <c r="JR17" s="270"/>
      <c r="JS17" s="270"/>
      <c r="JT17" s="270"/>
      <c r="JU17" s="270"/>
      <c r="JV17" s="270"/>
      <c r="JW17" s="270"/>
      <c r="JX17" s="270"/>
      <c r="JY17" s="270"/>
      <c r="JZ17" s="270"/>
      <c r="KA17" s="270"/>
      <c r="KB17" s="270"/>
      <c r="KC17" s="270"/>
      <c r="KD17" s="270"/>
      <c r="KE17" s="270"/>
      <c r="KF17" s="270"/>
      <c r="KG17" s="270"/>
      <c r="KH17" s="270"/>
      <c r="KI17" s="270"/>
      <c r="KJ17" s="270"/>
      <c r="KK17" s="270"/>
      <c r="KL17" s="270"/>
      <c r="KM17" s="270"/>
      <c r="KN17" s="270"/>
      <c r="KO17" s="270"/>
      <c r="KP17" s="270"/>
      <c r="KQ17" s="270"/>
      <c r="KR17" s="270"/>
      <c r="KS17" s="270"/>
      <c r="KT17" s="270"/>
      <c r="KU17" s="270"/>
      <c r="KV17" s="270"/>
      <c r="KW17" s="270"/>
      <c r="KX17" s="270"/>
      <c r="KY17" s="270"/>
      <c r="KZ17" s="270"/>
      <c r="LA17" s="270"/>
      <c r="LB17" s="270"/>
      <c r="LC17" s="270"/>
      <c r="LD17" s="270"/>
      <c r="LE17" s="270"/>
      <c r="LF17" s="270"/>
      <c r="LG17" s="270"/>
      <c r="LH17" s="270"/>
      <c r="LI17" s="270"/>
      <c r="LJ17" s="270"/>
      <c r="LK17" s="270"/>
      <c r="LL17" s="270"/>
      <c r="LM17" s="270"/>
      <c r="LN17" s="270"/>
      <c r="LO17" s="270"/>
      <c r="LP17" s="270"/>
      <c r="LQ17" s="270"/>
      <c r="LR17" s="270"/>
      <c r="LS17" s="270"/>
      <c r="LT17" s="270"/>
      <c r="LU17" s="270"/>
      <c r="LV17" s="270"/>
      <c r="LW17" s="270"/>
      <c r="LX17" s="270"/>
      <c r="LY17" s="270"/>
      <c r="LZ17" s="270"/>
      <c r="MA17" s="270"/>
      <c r="MB17" s="270"/>
      <c r="MC17" s="270"/>
      <c r="MD17" s="270"/>
      <c r="ME17" s="270"/>
      <c r="MF17" s="270"/>
      <c r="MG17" s="270"/>
      <c r="MH17" s="270"/>
      <c r="MI17" s="270"/>
      <c r="MJ17" s="270"/>
      <c r="MK17" s="270"/>
      <c r="ML17" s="270"/>
      <c r="MM17" s="270"/>
      <c r="MN17" s="270"/>
      <c r="MO17" s="270"/>
      <c r="MP17" s="270"/>
      <c r="MQ17" s="270"/>
      <c r="MR17" s="270"/>
      <c r="MS17" s="270"/>
      <c r="MT17" s="270"/>
      <c r="MU17" s="270"/>
      <c r="MV17" s="270"/>
      <c r="MW17" s="270"/>
      <c r="MX17" s="270"/>
      <c r="MY17" s="270"/>
      <c r="MZ17" s="270"/>
      <c r="NA17" s="270"/>
      <c r="NB17" s="270"/>
      <c r="NC17" s="270"/>
      <c r="ND17" s="270"/>
      <c r="NE17" s="270"/>
      <c r="NF17" s="270"/>
      <c r="NG17" s="270"/>
      <c r="NH17" s="270"/>
      <c r="NI17" s="270"/>
      <c r="NJ17" s="270"/>
      <c r="NK17" s="270"/>
      <c r="NL17" s="270"/>
      <c r="NM17" s="270"/>
      <c r="NN17" s="270"/>
      <c r="NO17" s="270"/>
      <c r="NP17" s="270"/>
      <c r="NQ17" s="270"/>
      <c r="NR17" s="270"/>
      <c r="NS17" s="270"/>
      <c r="NT17" s="270"/>
      <c r="NU17" s="270"/>
      <c r="NV17" s="270"/>
      <c r="NW17" s="270"/>
      <c r="NX17" s="270"/>
      <c r="NY17" s="270"/>
      <c r="NZ17" s="270"/>
      <c r="OA17" s="270"/>
      <c r="OB17" s="270"/>
      <c r="OC17" s="270"/>
      <c r="OD17" s="270"/>
      <c r="OE17" s="270"/>
      <c r="OF17" s="270"/>
      <c r="OG17" s="270"/>
      <c r="OH17" s="270"/>
      <c r="OI17" s="270"/>
      <c r="OJ17" s="270"/>
      <c r="OK17" s="270"/>
      <c r="OL17" s="270"/>
      <c r="OM17" s="270"/>
      <c r="ON17" s="270"/>
      <c r="OO17" s="270"/>
      <c r="OP17" s="270"/>
      <c r="OQ17" s="270"/>
      <c r="OR17" s="270"/>
      <c r="OS17" s="270"/>
      <c r="OT17" s="270"/>
      <c r="OU17" s="270"/>
      <c r="OV17" s="270"/>
      <c r="OW17" s="270"/>
      <c r="OX17" s="270"/>
      <c r="OY17" s="270"/>
      <c r="OZ17" s="270"/>
      <c r="PA17" s="270"/>
      <c r="PB17" s="270"/>
      <c r="PC17" s="270"/>
      <c r="PD17" s="270"/>
      <c r="PE17" s="270"/>
      <c r="PF17" s="270"/>
      <c r="PG17" s="270"/>
      <c r="PH17" s="270"/>
      <c r="PI17" s="270"/>
      <c r="PJ17" s="270"/>
      <c r="PK17" s="270"/>
      <c r="PL17" s="270"/>
      <c r="PM17" s="270"/>
      <c r="PN17" s="270"/>
      <c r="PO17" s="270"/>
      <c r="PP17" s="270"/>
      <c r="PQ17" s="270"/>
      <c r="PR17" s="270"/>
      <c r="PS17" s="270"/>
      <c r="PT17" s="270"/>
      <c r="PU17" s="270"/>
      <c r="PV17" s="270"/>
      <c r="PW17" s="270"/>
      <c r="PX17" s="270"/>
      <c r="PY17" s="270"/>
      <c r="PZ17" s="270"/>
      <c r="QA17" s="270"/>
      <c r="QB17" s="270"/>
      <c r="QC17" s="270"/>
      <c r="QD17" s="270"/>
      <c r="QE17" s="270"/>
      <c r="QF17" s="270"/>
      <c r="QG17" s="270"/>
      <c r="QH17" s="270"/>
      <c r="QI17" s="270"/>
      <c r="QJ17" s="270"/>
      <c r="QK17" s="270"/>
      <c r="QL17" s="270"/>
      <c r="QM17" s="270"/>
      <c r="QN17" s="270"/>
      <c r="QO17" s="270"/>
      <c r="QP17" s="270"/>
      <c r="QQ17" s="270"/>
      <c r="QR17" s="270"/>
      <c r="QS17" s="270"/>
      <c r="QT17" s="270"/>
      <c r="QU17" s="270"/>
      <c r="QV17" s="270"/>
      <c r="QW17" s="270"/>
      <c r="QX17" s="270"/>
      <c r="QY17" s="270"/>
      <c r="QZ17" s="270"/>
      <c r="RA17" s="270"/>
      <c r="RB17" s="270"/>
      <c r="RC17" s="270"/>
      <c r="RD17" s="270"/>
      <c r="RE17" s="270"/>
      <c r="RF17" s="270"/>
      <c r="RG17" s="270"/>
      <c r="RH17" s="270"/>
      <c r="RI17" s="270"/>
      <c r="RJ17" s="270"/>
      <c r="RK17" s="270"/>
      <c r="RL17" s="270"/>
      <c r="RM17" s="270"/>
      <c r="RN17" s="270"/>
      <c r="RO17" s="270"/>
      <c r="RP17" s="270"/>
      <c r="RQ17" s="270"/>
      <c r="RR17" s="270"/>
      <c r="RS17" s="270"/>
      <c r="RT17" s="270"/>
      <c r="RU17" s="270"/>
      <c r="RV17" s="270"/>
      <c r="RW17" s="270"/>
      <c r="RX17" s="270"/>
      <c r="RY17" s="270"/>
      <c r="RZ17" s="270"/>
      <c r="SA17" s="270"/>
      <c r="SB17" s="270"/>
      <c r="SC17" s="270"/>
      <c r="SD17" s="270"/>
      <c r="SE17" s="270"/>
      <c r="SF17" s="270"/>
      <c r="SG17" s="270"/>
      <c r="SH17" s="270"/>
      <c r="SI17" s="270"/>
      <c r="SJ17" s="270"/>
      <c r="SK17" s="270"/>
      <c r="SL17" s="270"/>
      <c r="SM17" s="270"/>
      <c r="SN17" s="270"/>
      <c r="SO17" s="270"/>
      <c r="SP17" s="270"/>
      <c r="SQ17" s="270"/>
      <c r="SR17" s="270"/>
      <c r="SS17" s="270"/>
      <c r="ST17" s="270"/>
      <c r="SU17" s="270"/>
      <c r="SV17" s="270"/>
      <c r="SW17" s="270"/>
      <c r="SX17" s="270"/>
      <c r="SY17" s="270"/>
      <c r="SZ17" s="270"/>
      <c r="TA17" s="270"/>
      <c r="TB17" s="270"/>
      <c r="TC17" s="270"/>
      <c r="TD17" s="270"/>
      <c r="TE17" s="270"/>
      <c r="TF17" s="270"/>
      <c r="TG17" s="270"/>
      <c r="TH17" s="270"/>
      <c r="TI17" s="270"/>
      <c r="TJ17" s="270"/>
      <c r="TK17" s="270"/>
      <c r="TL17" s="270"/>
      <c r="TM17" s="270"/>
      <c r="TN17" s="270"/>
      <c r="TO17" s="270"/>
      <c r="TP17" s="270"/>
      <c r="TQ17" s="270"/>
      <c r="TR17" s="270"/>
      <c r="TS17" s="270"/>
      <c r="TT17" s="270"/>
      <c r="TU17" s="270"/>
      <c r="TV17" s="270"/>
      <c r="TW17" s="270"/>
      <c r="TX17" s="270"/>
      <c r="TY17" s="270"/>
      <c r="TZ17" s="270"/>
      <c r="UA17" s="270"/>
      <c r="UB17" s="270"/>
      <c r="UC17" s="270"/>
      <c r="UD17" s="270"/>
      <c r="UE17" s="270"/>
      <c r="UF17" s="270"/>
      <c r="UG17" s="270"/>
      <c r="UH17" s="270"/>
      <c r="UI17" s="270"/>
      <c r="UJ17" s="270"/>
      <c r="UK17" s="270"/>
      <c r="UL17" s="270"/>
      <c r="UM17" s="270"/>
      <c r="UN17" s="270"/>
      <c r="UO17" s="270"/>
      <c r="UP17" s="270"/>
      <c r="UQ17" s="270"/>
      <c r="UR17" s="270"/>
      <c r="US17" s="270"/>
      <c r="UT17" s="270"/>
      <c r="UU17" s="270"/>
      <c r="UV17" s="270"/>
      <c r="UW17" s="270"/>
      <c r="UX17" s="270"/>
      <c r="UY17" s="270"/>
      <c r="UZ17" s="270"/>
      <c r="VA17" s="270"/>
      <c r="VB17" s="270"/>
      <c r="VC17" s="270"/>
      <c r="VD17" s="270"/>
      <c r="VE17" s="270"/>
      <c r="VF17" s="270"/>
      <c r="VG17" s="270"/>
      <c r="VH17" s="270"/>
      <c r="VI17" s="270"/>
      <c r="VJ17" s="270"/>
      <c r="VK17" s="270"/>
      <c r="VL17" s="270"/>
      <c r="VM17" s="270"/>
      <c r="VN17" s="270"/>
      <c r="VO17" s="270"/>
      <c r="VP17" s="270"/>
      <c r="VQ17" s="270"/>
      <c r="VR17" s="270"/>
      <c r="VS17" s="270"/>
      <c r="VT17" s="270"/>
      <c r="VU17" s="270"/>
      <c r="VV17" s="270"/>
      <c r="VW17" s="270"/>
      <c r="VX17" s="270"/>
      <c r="VY17" s="270"/>
      <c r="VZ17" s="270"/>
      <c r="WA17" s="270"/>
      <c r="WB17" s="270"/>
      <c r="WC17" s="270"/>
      <c r="WD17" s="270"/>
      <c r="WE17" s="270"/>
      <c r="WF17" s="270"/>
      <c r="WG17" s="270"/>
      <c r="WH17" s="270"/>
      <c r="WI17" s="270"/>
      <c r="WJ17" s="270"/>
      <c r="WK17" s="270"/>
      <c r="WL17" s="270"/>
      <c r="WM17" s="270"/>
      <c r="WN17" s="270"/>
      <c r="WO17" s="270"/>
      <c r="WP17" s="270"/>
      <c r="WQ17" s="270"/>
      <c r="WR17" s="270"/>
      <c r="WS17" s="270"/>
      <c r="WT17" s="270"/>
      <c r="WU17" s="270"/>
      <c r="WV17" s="270"/>
      <c r="WW17" s="270"/>
      <c r="WX17" s="270"/>
      <c r="WY17" s="270"/>
      <c r="WZ17" s="270"/>
      <c r="XA17" s="270"/>
      <c r="XB17" s="270"/>
      <c r="XC17" s="270"/>
      <c r="XD17" s="270"/>
      <c r="XE17" s="270"/>
      <c r="XF17" s="270"/>
      <c r="XG17" s="270"/>
      <c r="XH17" s="270"/>
      <c r="XI17" s="270"/>
      <c r="XJ17" s="270"/>
      <c r="XK17" s="270"/>
      <c r="XL17" s="270"/>
      <c r="XM17" s="270"/>
      <c r="XN17" s="270"/>
      <c r="XO17" s="270"/>
      <c r="XP17" s="270"/>
      <c r="XQ17" s="270"/>
      <c r="XR17" s="270"/>
      <c r="XS17" s="270"/>
      <c r="XT17" s="270"/>
      <c r="XU17" s="270"/>
      <c r="XV17" s="270"/>
      <c r="XW17" s="270"/>
      <c r="XX17" s="270"/>
      <c r="XY17" s="270"/>
      <c r="XZ17" s="270"/>
      <c r="YA17" s="270"/>
      <c r="YB17" s="270"/>
      <c r="YC17" s="270"/>
      <c r="YD17" s="270"/>
      <c r="YE17" s="270"/>
      <c r="YF17" s="270"/>
      <c r="YG17" s="270"/>
      <c r="YH17" s="270"/>
      <c r="YI17" s="270"/>
      <c r="YJ17" s="270"/>
      <c r="YK17" s="270"/>
      <c r="YL17" s="270"/>
      <c r="YM17" s="270"/>
      <c r="YN17" s="270"/>
      <c r="YO17" s="270"/>
      <c r="YP17" s="270"/>
      <c r="YQ17" s="270"/>
      <c r="YR17" s="270"/>
      <c r="YS17" s="270"/>
      <c r="YT17" s="270"/>
      <c r="YU17" s="270"/>
      <c r="YV17" s="270"/>
      <c r="YW17" s="270"/>
      <c r="YX17" s="270"/>
      <c r="YY17" s="270"/>
      <c r="YZ17" s="270"/>
      <c r="ZA17" s="270"/>
      <c r="ZB17" s="270"/>
      <c r="ZC17" s="270"/>
      <c r="ZD17" s="270"/>
      <c r="ZE17" s="270"/>
      <c r="ZF17" s="270"/>
      <c r="ZG17" s="270"/>
      <c r="ZH17" s="270"/>
      <c r="ZI17" s="270"/>
      <c r="ZJ17" s="270"/>
      <c r="ZK17" s="270"/>
      <c r="ZL17" s="270"/>
      <c r="ZM17" s="270"/>
      <c r="ZN17" s="270"/>
      <c r="ZO17" s="270"/>
      <c r="ZP17" s="270"/>
      <c r="ZQ17" s="270"/>
      <c r="ZR17" s="270"/>
      <c r="ZS17" s="270"/>
      <c r="ZT17" s="270"/>
      <c r="ZU17" s="270"/>
      <c r="ZV17" s="270"/>
      <c r="ZW17" s="270"/>
      <c r="ZX17" s="270"/>
      <c r="ZY17" s="270"/>
      <c r="ZZ17" s="270"/>
      <c r="AAA17" s="270"/>
      <c r="AAB17" s="270"/>
      <c r="AAC17" s="270"/>
      <c r="AAD17" s="270"/>
      <c r="AAE17" s="270"/>
      <c r="AAF17" s="270"/>
      <c r="AAG17" s="270"/>
      <c r="AAH17" s="270"/>
      <c r="AAI17" s="270"/>
      <c r="AAJ17" s="270"/>
      <c r="AAK17" s="270"/>
      <c r="AAL17" s="270"/>
      <c r="AAM17" s="270"/>
      <c r="AAN17" s="270"/>
      <c r="AAO17" s="270"/>
      <c r="AAP17" s="270"/>
      <c r="AAQ17" s="270"/>
      <c r="AAR17" s="270"/>
      <c r="AAS17" s="270"/>
      <c r="AAT17" s="270"/>
      <c r="AAU17" s="270"/>
      <c r="AAV17" s="270"/>
      <c r="AAW17" s="270"/>
      <c r="AAX17" s="270"/>
      <c r="AAY17" s="270"/>
      <c r="AAZ17" s="270"/>
      <c r="ABA17" s="270"/>
      <c r="ABB17" s="270"/>
      <c r="ABC17" s="270"/>
      <c r="ABD17" s="270"/>
      <c r="ABE17" s="270"/>
      <c r="ABF17" s="270"/>
      <c r="ABG17" s="270"/>
      <c r="ABH17" s="270"/>
      <c r="ABI17" s="270"/>
      <c r="ABJ17" s="270"/>
      <c r="ABK17" s="270"/>
      <c r="ABL17" s="270"/>
      <c r="ABM17" s="270"/>
      <c r="ABN17" s="270"/>
      <c r="ABO17" s="270"/>
      <c r="ABP17" s="270"/>
      <c r="ABQ17" s="270"/>
      <c r="ABR17" s="270"/>
      <c r="ABS17" s="270"/>
      <c r="ABT17" s="270"/>
      <c r="ABU17" s="270"/>
      <c r="ABV17" s="270"/>
      <c r="ABW17" s="270"/>
      <c r="ABX17" s="270"/>
      <c r="ABY17" s="270"/>
      <c r="ABZ17" s="270"/>
      <c r="ACA17" s="270"/>
      <c r="ACB17" s="270"/>
      <c r="ACC17" s="270"/>
      <c r="ACD17" s="270"/>
      <c r="ACE17" s="270"/>
      <c r="ACF17" s="270"/>
      <c r="ACG17" s="270"/>
      <c r="ACH17" s="270"/>
      <c r="ACI17" s="270"/>
      <c r="ACJ17" s="270"/>
      <c r="ACK17" s="270"/>
      <c r="ACL17" s="270"/>
      <c r="ACM17" s="270"/>
      <c r="ACN17" s="270"/>
      <c r="ACO17" s="270"/>
      <c r="ACP17" s="270"/>
      <c r="ACQ17" s="270"/>
      <c r="ACR17" s="270"/>
      <c r="ACS17" s="270"/>
      <c r="ACT17" s="270"/>
      <c r="ACU17" s="270"/>
      <c r="ACV17" s="270"/>
      <c r="ACW17" s="270"/>
      <c r="ACX17" s="270"/>
      <c r="ACY17" s="270"/>
      <c r="ACZ17" s="270"/>
      <c r="ADA17" s="270"/>
      <c r="ADB17" s="270"/>
      <c r="ADC17" s="270"/>
      <c r="ADD17" s="270"/>
      <c r="ADE17" s="270"/>
      <c r="ADF17" s="270"/>
      <c r="ADG17" s="270"/>
      <c r="ADH17" s="270"/>
      <c r="ADI17" s="270"/>
      <c r="ADJ17" s="270"/>
      <c r="ADK17" s="270"/>
      <c r="ADL17" s="270"/>
      <c r="ADM17" s="270"/>
      <c r="ADN17" s="270"/>
      <c r="ADO17" s="270"/>
      <c r="ADP17" s="270"/>
      <c r="ADQ17" s="270"/>
      <c r="ADR17" s="270"/>
      <c r="ADS17" s="270"/>
      <c r="ADT17" s="270"/>
      <c r="ADU17" s="270"/>
      <c r="ADV17" s="270"/>
      <c r="ADW17" s="270"/>
      <c r="ADX17" s="270"/>
      <c r="ADY17" s="270"/>
      <c r="ADZ17" s="270"/>
      <c r="AEA17" s="270"/>
      <c r="AEB17" s="270"/>
      <c r="AEC17" s="270"/>
      <c r="AED17" s="270"/>
      <c r="AEE17" s="270"/>
      <c r="AEF17" s="270"/>
      <c r="AEG17" s="270"/>
      <c r="AEH17" s="270"/>
      <c r="AEI17" s="270"/>
      <c r="AEJ17" s="270"/>
      <c r="AEK17" s="270"/>
      <c r="AEL17" s="270"/>
      <c r="AEM17" s="270"/>
      <c r="AEN17" s="270"/>
      <c r="AEO17" s="270"/>
      <c r="AEP17" s="270"/>
      <c r="AEQ17" s="270"/>
      <c r="AER17" s="270"/>
      <c r="AES17" s="270"/>
      <c r="AET17" s="270"/>
      <c r="AEU17" s="270"/>
      <c r="AEV17" s="270"/>
      <c r="AEW17" s="270"/>
      <c r="AEX17" s="270"/>
      <c r="AEY17" s="270"/>
      <c r="AEZ17" s="270"/>
      <c r="AFA17" s="270"/>
      <c r="AFB17" s="270"/>
      <c r="AFC17" s="270"/>
      <c r="AFD17" s="270"/>
      <c r="AFE17" s="270"/>
      <c r="AFF17" s="270"/>
      <c r="AFG17" s="270"/>
      <c r="AFH17" s="270"/>
      <c r="AFI17" s="270"/>
      <c r="AFJ17" s="270"/>
      <c r="AFK17" s="270"/>
      <c r="AFL17" s="270"/>
      <c r="AFM17" s="270"/>
      <c r="AFN17" s="270"/>
      <c r="AFO17" s="270"/>
      <c r="AFP17" s="270"/>
      <c r="AFQ17" s="270"/>
      <c r="AFR17" s="270"/>
      <c r="AFS17" s="270"/>
      <c r="AFT17" s="270"/>
      <c r="AFU17" s="270"/>
      <c r="AFV17" s="270"/>
      <c r="AFW17" s="270"/>
      <c r="AFX17" s="270"/>
      <c r="AFY17" s="270"/>
      <c r="AFZ17" s="270"/>
      <c r="AGA17" s="270"/>
      <c r="AGB17" s="270"/>
      <c r="AGC17" s="270"/>
      <c r="AGD17" s="270"/>
      <c r="AGE17" s="270"/>
      <c r="AGF17" s="270"/>
      <c r="AGG17" s="270"/>
      <c r="AGH17" s="270"/>
      <c r="AGI17" s="270"/>
      <c r="AGJ17" s="270"/>
      <c r="AGK17" s="270"/>
      <c r="AGL17" s="270"/>
      <c r="AGM17" s="270"/>
      <c r="AGN17" s="270"/>
      <c r="AGO17" s="270"/>
      <c r="AGP17" s="270"/>
      <c r="AGQ17" s="270"/>
      <c r="AGR17" s="270"/>
      <c r="AGS17" s="270"/>
      <c r="AGT17" s="270"/>
      <c r="AGU17" s="270"/>
      <c r="AGV17" s="270"/>
      <c r="AGW17" s="270"/>
      <c r="AGX17" s="270"/>
      <c r="AGY17" s="270"/>
      <c r="AGZ17" s="270"/>
      <c r="AHA17" s="270"/>
      <c r="AHB17" s="270"/>
      <c r="AHC17" s="270"/>
      <c r="AHD17" s="270"/>
      <c r="AHE17" s="270"/>
      <c r="AHF17" s="270"/>
      <c r="AHG17" s="270"/>
      <c r="AHH17" s="270"/>
      <c r="AHI17" s="270"/>
      <c r="AHJ17" s="270"/>
      <c r="AHK17" s="270"/>
      <c r="AHL17" s="270"/>
      <c r="AHM17" s="270"/>
      <c r="AHN17" s="270"/>
      <c r="AHO17" s="270"/>
      <c r="AHP17" s="270"/>
      <c r="AHQ17" s="270"/>
      <c r="AHR17" s="270"/>
      <c r="AHS17" s="270"/>
      <c r="AHT17" s="270"/>
      <c r="AHU17" s="270"/>
      <c r="AHV17" s="270"/>
      <c r="AHW17" s="270"/>
      <c r="AHX17" s="270"/>
      <c r="AHY17" s="270"/>
      <c r="AHZ17" s="270"/>
      <c r="AIA17" s="270"/>
      <c r="AIB17" s="270"/>
      <c r="AIC17" s="270"/>
      <c r="AID17" s="270"/>
      <c r="AIE17" s="270"/>
      <c r="AIF17" s="270"/>
      <c r="AIG17" s="270"/>
      <c r="AIH17" s="270"/>
      <c r="AII17" s="270"/>
      <c r="AIJ17" s="270"/>
      <c r="AIK17" s="270"/>
      <c r="AIL17" s="270"/>
      <c r="AIM17" s="270"/>
      <c r="AIN17" s="270"/>
      <c r="AIO17" s="270"/>
      <c r="AIP17" s="270"/>
      <c r="AIQ17" s="270"/>
      <c r="AIR17" s="270"/>
      <c r="AIS17" s="270"/>
      <c r="AIT17" s="270"/>
      <c r="AIU17" s="270"/>
      <c r="AIV17" s="270"/>
      <c r="AIW17" s="270"/>
      <c r="AIX17" s="270"/>
      <c r="AIY17" s="270"/>
      <c r="AIZ17" s="270"/>
      <c r="AJA17" s="270"/>
      <c r="AJB17" s="270"/>
      <c r="AJC17" s="270"/>
      <c r="AJD17" s="270"/>
      <c r="AJE17" s="270"/>
      <c r="AJF17" s="270"/>
      <c r="AJG17" s="270"/>
      <c r="AJH17" s="270"/>
      <c r="AJI17" s="270"/>
      <c r="AJJ17" s="270"/>
      <c r="AJK17" s="270"/>
      <c r="AJL17" s="270"/>
      <c r="AJM17" s="270"/>
      <c r="AJN17" s="270"/>
      <c r="AJO17" s="270"/>
      <c r="AJP17" s="270"/>
      <c r="AJQ17" s="270"/>
      <c r="AJR17" s="270"/>
      <c r="AJS17" s="270"/>
      <c r="AJT17" s="270"/>
      <c r="AJU17" s="270"/>
      <c r="AJV17" s="270"/>
      <c r="AJW17" s="270"/>
      <c r="AJX17" s="270"/>
      <c r="AJY17" s="270"/>
      <c r="AJZ17" s="270"/>
      <c r="AKA17" s="270"/>
      <c r="AKB17" s="270"/>
      <c r="AKC17" s="270"/>
      <c r="AKD17" s="270"/>
      <c r="AKE17" s="270"/>
      <c r="AKF17" s="270"/>
      <c r="AKG17" s="270"/>
      <c r="AKH17" s="270"/>
      <c r="AKI17" s="270"/>
      <c r="AKJ17" s="270"/>
      <c r="AKK17" s="270"/>
      <c r="AKL17" s="270"/>
      <c r="AKM17" s="270"/>
      <c r="AKN17" s="270"/>
      <c r="AKO17" s="270"/>
      <c r="AKP17" s="270"/>
      <c r="AKQ17" s="270"/>
      <c r="AKR17" s="270"/>
      <c r="AKS17" s="270"/>
      <c r="AKT17" s="270"/>
      <c r="AKU17" s="270"/>
      <c r="AKV17" s="270"/>
      <c r="AKW17" s="270"/>
      <c r="AKX17" s="270"/>
      <c r="AKY17" s="270"/>
      <c r="AKZ17" s="270"/>
      <c r="ALA17" s="270"/>
      <c r="ALB17" s="270"/>
      <c r="ALC17" s="270"/>
      <c r="ALD17" s="270"/>
      <c r="ALE17" s="270"/>
      <c r="ALF17" s="270"/>
      <c r="ALG17" s="270"/>
      <c r="ALH17" s="270"/>
      <c r="ALI17" s="270"/>
      <c r="ALJ17" s="270"/>
      <c r="ALK17" s="270"/>
      <c r="ALL17" s="270"/>
      <c r="ALM17" s="270"/>
      <c r="ALN17" s="270"/>
      <c r="ALO17" s="270"/>
      <c r="ALP17" s="270"/>
      <c r="ALQ17" s="270"/>
      <c r="ALR17" s="270"/>
      <c r="ALS17" s="270"/>
      <c r="ALT17" s="270"/>
      <c r="ALU17" s="270"/>
      <c r="ALV17" s="270"/>
      <c r="ALW17" s="270"/>
      <c r="ALX17" s="270"/>
      <c r="ALY17" s="270"/>
      <c r="ALZ17" s="270"/>
      <c r="AMA17" s="270"/>
      <c r="AMB17" s="270"/>
      <c r="AMC17" s="270"/>
      <c r="AMD17" s="270"/>
      <c r="AME17" s="270"/>
      <c r="AMF17" s="270"/>
      <c r="AMG17" s="270"/>
      <c r="AMH17" s="270"/>
      <c r="AMI17" s="270"/>
      <c r="AMJ17" s="270"/>
      <c r="AMK17" s="270"/>
      <c r="AML17" s="270"/>
      <c r="AMM17" s="270"/>
      <c r="AMN17" s="270"/>
      <c r="AMO17" s="270"/>
      <c r="AMP17" s="270"/>
      <c r="AMQ17" s="270"/>
      <c r="AMR17" s="270"/>
      <c r="AMS17" s="270"/>
      <c r="AMT17" s="270"/>
      <c r="AMU17" s="270"/>
      <c r="AMV17" s="270"/>
      <c r="AMW17" s="270"/>
      <c r="AMX17" s="270"/>
      <c r="AMY17" s="270"/>
      <c r="AMZ17" s="270"/>
      <c r="ANA17" s="270"/>
      <c r="ANB17" s="270"/>
      <c r="ANC17" s="270"/>
      <c r="AND17" s="270"/>
      <c r="ANE17" s="270"/>
      <c r="ANF17" s="270"/>
      <c r="ANG17" s="270"/>
      <c r="ANH17" s="270"/>
      <c r="ANI17" s="270"/>
      <c r="ANJ17" s="270"/>
      <c r="ANK17" s="270"/>
      <c r="ANL17" s="270"/>
      <c r="ANM17" s="270"/>
      <c r="ANN17" s="270"/>
      <c r="ANO17" s="270"/>
      <c r="ANP17" s="270"/>
      <c r="ANQ17" s="270"/>
      <c r="ANR17" s="270"/>
      <c r="ANS17" s="270"/>
      <c r="ANT17" s="270"/>
      <c r="ANU17" s="270"/>
      <c r="ANV17" s="270"/>
      <c r="ANW17" s="270"/>
      <c r="ANX17" s="270"/>
      <c r="ANY17" s="270"/>
      <c r="ANZ17" s="270"/>
      <c r="AOA17" s="270"/>
      <c r="AOB17" s="270"/>
      <c r="AOC17" s="270"/>
      <c r="AOD17" s="270"/>
      <c r="AOE17" s="270"/>
      <c r="AOF17" s="270"/>
      <c r="AOG17" s="270"/>
      <c r="AOH17" s="270"/>
      <c r="AOI17" s="270"/>
      <c r="AOJ17" s="270"/>
      <c r="AOK17" s="270"/>
      <c r="AOL17" s="270"/>
      <c r="AOM17" s="270"/>
      <c r="AON17" s="270"/>
      <c r="AOO17" s="270"/>
      <c r="AOP17" s="270"/>
      <c r="AOQ17" s="270"/>
      <c r="AOR17" s="270"/>
      <c r="AOS17" s="270"/>
      <c r="AOT17" s="270"/>
      <c r="AOU17" s="270"/>
      <c r="AOV17" s="270"/>
      <c r="AOW17" s="270"/>
      <c r="AOX17" s="270"/>
      <c r="AOY17" s="270"/>
      <c r="AOZ17" s="270"/>
      <c r="APA17" s="270"/>
      <c r="APB17" s="270"/>
      <c r="APC17" s="270"/>
      <c r="APD17" s="270"/>
      <c r="APE17" s="270"/>
      <c r="APF17" s="270"/>
      <c r="APG17" s="270"/>
      <c r="APH17" s="270"/>
      <c r="API17" s="270"/>
      <c r="APJ17" s="270"/>
      <c r="APK17" s="270"/>
      <c r="APL17" s="270"/>
      <c r="APM17" s="270"/>
      <c r="APN17" s="270"/>
      <c r="APO17" s="270"/>
      <c r="APP17" s="270"/>
      <c r="APQ17" s="270"/>
      <c r="APR17" s="270"/>
      <c r="APS17" s="270"/>
      <c r="APT17" s="270"/>
      <c r="APU17" s="270"/>
      <c r="APV17" s="270"/>
      <c r="APW17" s="270"/>
      <c r="APX17" s="270"/>
    </row>
    <row r="18" spans="1:1116" s="272" customFormat="1" ht="15" customHeight="1">
      <c r="A18" s="268"/>
      <c r="B18" s="269"/>
      <c r="C18" s="270"/>
      <c r="D18" s="421"/>
      <c r="E18" s="359"/>
      <c r="F18" s="364"/>
      <c r="G18" s="271"/>
      <c r="H18" s="379"/>
      <c r="I18" s="385"/>
      <c r="J18" s="378"/>
      <c r="K18" s="130"/>
      <c r="L18" s="130"/>
      <c r="M18" s="450"/>
      <c r="N18" s="349"/>
      <c r="O18" s="450"/>
      <c r="P18" s="189"/>
      <c r="Q18" s="608"/>
      <c r="R18" s="365"/>
      <c r="S18" s="365"/>
      <c r="T18" s="577"/>
      <c r="U18" s="577"/>
      <c r="V18" s="577"/>
      <c r="W18" s="541"/>
      <c r="X18" s="541"/>
      <c r="Y18" s="541"/>
      <c r="Z18" s="541"/>
      <c r="AA18" s="541"/>
      <c r="AB18" s="541"/>
      <c r="AC18" s="541"/>
      <c r="AD18" s="541"/>
      <c r="AE18" s="541"/>
      <c r="AF18" s="541"/>
      <c r="AG18" s="541"/>
      <c r="AH18" s="541"/>
      <c r="AI18" s="541"/>
      <c r="AJ18" s="541"/>
      <c r="AK18" s="541"/>
      <c r="AL18" s="541"/>
      <c r="AM18" s="541"/>
      <c r="AN18" s="541"/>
      <c r="AO18" s="541"/>
      <c r="AP18" s="541"/>
      <c r="AQ18" s="541"/>
      <c r="AR18" s="541"/>
      <c r="AS18" s="541"/>
      <c r="AT18" s="541"/>
      <c r="AU18" s="541"/>
      <c r="AV18" s="541"/>
      <c r="AW18" s="541"/>
      <c r="AX18" s="541"/>
      <c r="AY18" s="541"/>
      <c r="AZ18" s="541"/>
      <c r="BA18" s="541"/>
      <c r="BB18" s="541"/>
      <c r="BC18" s="541"/>
      <c r="BD18" s="541"/>
      <c r="BE18" s="541"/>
      <c r="BF18" s="541"/>
      <c r="BG18" s="541"/>
      <c r="BH18" s="541"/>
      <c r="BI18" s="541"/>
      <c r="BJ18" s="541"/>
      <c r="BK18" s="541"/>
      <c r="BL18" s="541"/>
      <c r="BM18" s="541"/>
      <c r="BN18" s="541"/>
      <c r="BO18" s="541"/>
      <c r="BP18" s="541"/>
      <c r="BQ18" s="541"/>
      <c r="BR18" s="541"/>
      <c r="BS18" s="541"/>
      <c r="BT18" s="541"/>
      <c r="BU18" s="541"/>
      <c r="BV18" s="541"/>
      <c r="BW18" s="541"/>
      <c r="BX18" s="541"/>
      <c r="BY18" s="541"/>
      <c r="BZ18" s="541"/>
      <c r="CA18" s="541"/>
      <c r="CB18" s="541"/>
      <c r="CC18" s="541"/>
      <c r="CD18" s="542"/>
      <c r="CE18" s="365"/>
      <c r="CF18" s="541"/>
      <c r="CG18" s="541"/>
      <c r="CH18" s="541"/>
      <c r="CI18" s="541"/>
      <c r="CJ18" s="541"/>
      <c r="CK18" s="541"/>
      <c r="CL18" s="541"/>
      <c r="CM18" s="541"/>
      <c r="CN18" s="541"/>
      <c r="CO18" s="541"/>
      <c r="CP18" s="541"/>
      <c r="CQ18" s="541"/>
      <c r="CR18" s="541"/>
      <c r="CS18" s="541"/>
      <c r="CT18" s="541"/>
      <c r="CU18" s="541"/>
      <c r="CV18" s="541"/>
      <c r="CW18" s="541"/>
      <c r="CX18" s="541"/>
      <c r="CY18" s="541"/>
      <c r="CZ18" s="541"/>
      <c r="DA18" s="541"/>
      <c r="DB18" s="541"/>
      <c r="DC18" s="541"/>
      <c r="DD18" s="541"/>
      <c r="DE18" s="541"/>
      <c r="DF18" s="541"/>
      <c r="DG18" s="541"/>
      <c r="DH18" s="541"/>
      <c r="DI18" s="541"/>
      <c r="DJ18" s="541"/>
      <c r="DK18" s="541"/>
      <c r="DL18" s="541"/>
      <c r="DM18" s="541"/>
      <c r="DN18" s="541"/>
      <c r="DO18" s="541"/>
      <c r="DP18" s="541"/>
      <c r="DQ18" s="541"/>
      <c r="DR18" s="541"/>
      <c r="DS18" s="541"/>
      <c r="DT18" s="541"/>
      <c r="DU18" s="541"/>
      <c r="DV18" s="541"/>
      <c r="DW18" s="541"/>
      <c r="DX18" s="541"/>
      <c r="DY18" s="541"/>
      <c r="DZ18" s="541"/>
      <c r="EA18" s="541"/>
      <c r="EB18" s="541"/>
      <c r="EC18" s="541"/>
      <c r="ED18" s="541"/>
      <c r="EE18" s="541"/>
      <c r="EF18" s="541"/>
      <c r="EG18" s="541"/>
      <c r="EH18" s="541"/>
      <c r="EI18" s="541"/>
      <c r="EJ18" s="541"/>
      <c r="EK18" s="541"/>
      <c r="EL18" s="541"/>
      <c r="EM18" s="542"/>
      <c r="EN18" s="365"/>
      <c r="EO18" s="365"/>
      <c r="EP18" s="270"/>
      <c r="EQ18" s="270"/>
      <c r="ER18" s="270"/>
      <c r="ES18" s="270"/>
      <c r="ET18" s="270"/>
      <c r="EU18" s="270"/>
      <c r="EV18" s="270"/>
      <c r="EW18" s="270"/>
      <c r="EX18" s="270"/>
      <c r="EY18" s="270"/>
      <c r="EZ18" s="270"/>
      <c r="FA18" s="270"/>
      <c r="FB18" s="270"/>
      <c r="FC18" s="270"/>
      <c r="FD18" s="270"/>
      <c r="FE18" s="270"/>
      <c r="FF18" s="270"/>
      <c r="FG18" s="270"/>
      <c r="FH18" s="270"/>
      <c r="FI18" s="270"/>
      <c r="FJ18" s="270"/>
      <c r="FK18" s="270"/>
      <c r="FL18" s="270"/>
      <c r="FM18" s="270"/>
      <c r="FN18" s="270"/>
      <c r="FO18" s="270"/>
      <c r="FP18" s="270"/>
      <c r="FQ18" s="270"/>
      <c r="FR18" s="270"/>
      <c r="FS18" s="270"/>
      <c r="FT18" s="270"/>
      <c r="FU18" s="270"/>
      <c r="FV18" s="270"/>
      <c r="FW18" s="270"/>
      <c r="FX18" s="270"/>
      <c r="FY18" s="270"/>
      <c r="FZ18" s="270"/>
      <c r="GA18" s="270"/>
      <c r="GB18" s="270"/>
      <c r="GC18" s="270"/>
      <c r="GD18" s="270"/>
      <c r="GE18" s="270"/>
      <c r="GF18" s="270"/>
      <c r="GG18" s="270"/>
      <c r="GH18" s="270"/>
      <c r="GI18" s="270"/>
      <c r="GJ18" s="270"/>
      <c r="GK18" s="270"/>
      <c r="GL18" s="270"/>
      <c r="GM18" s="270"/>
      <c r="GN18" s="270"/>
      <c r="GO18" s="270"/>
      <c r="GP18" s="270"/>
      <c r="GQ18" s="270"/>
      <c r="GR18" s="270"/>
      <c r="GS18" s="270"/>
      <c r="GT18" s="270"/>
      <c r="GU18" s="270"/>
      <c r="GV18" s="270"/>
      <c r="GW18" s="270"/>
      <c r="GX18" s="270"/>
      <c r="GY18" s="270"/>
      <c r="GZ18" s="270"/>
      <c r="HA18" s="270"/>
      <c r="HB18" s="270"/>
      <c r="HC18" s="270"/>
      <c r="HD18" s="270"/>
      <c r="HE18" s="270"/>
      <c r="HF18" s="270"/>
      <c r="HG18" s="270"/>
      <c r="HH18" s="270"/>
      <c r="HI18" s="270"/>
      <c r="HJ18" s="270"/>
      <c r="HK18" s="270"/>
      <c r="HL18" s="270"/>
      <c r="HM18" s="270"/>
      <c r="HN18" s="270"/>
      <c r="HO18" s="270"/>
      <c r="HP18" s="270"/>
      <c r="HQ18" s="270"/>
      <c r="HR18" s="270"/>
      <c r="HS18" s="270"/>
      <c r="HT18" s="270"/>
      <c r="HU18" s="270"/>
      <c r="HV18" s="270"/>
      <c r="HW18" s="270"/>
      <c r="HX18" s="270"/>
      <c r="HY18" s="270"/>
      <c r="HZ18" s="270"/>
      <c r="IA18" s="270"/>
      <c r="IB18" s="270"/>
      <c r="IC18" s="270"/>
      <c r="ID18" s="270"/>
      <c r="IE18" s="270"/>
      <c r="IF18" s="270"/>
      <c r="IG18" s="270"/>
      <c r="IH18" s="270"/>
      <c r="II18" s="270"/>
      <c r="IJ18" s="270"/>
      <c r="IK18" s="270"/>
      <c r="IL18" s="270"/>
      <c r="IM18" s="270"/>
      <c r="IN18" s="270"/>
      <c r="IO18" s="270"/>
      <c r="IP18" s="270"/>
      <c r="IQ18" s="270"/>
      <c r="IR18" s="270"/>
      <c r="IS18" s="270"/>
      <c r="IT18" s="270"/>
      <c r="IU18" s="270"/>
      <c r="IV18" s="270"/>
      <c r="IW18" s="270"/>
      <c r="IX18" s="270"/>
      <c r="IY18" s="270"/>
      <c r="IZ18" s="270"/>
      <c r="JA18" s="270"/>
      <c r="JB18" s="270"/>
      <c r="JC18" s="270"/>
      <c r="JD18" s="270"/>
      <c r="JE18" s="270"/>
      <c r="JF18" s="270"/>
      <c r="JG18" s="270"/>
      <c r="JH18" s="270"/>
      <c r="JI18" s="270"/>
      <c r="JJ18" s="270"/>
      <c r="JK18" s="270"/>
      <c r="JL18" s="270"/>
      <c r="JM18" s="270"/>
      <c r="JN18" s="270"/>
      <c r="JO18" s="270"/>
      <c r="JP18" s="270"/>
      <c r="JQ18" s="270"/>
      <c r="JR18" s="270"/>
      <c r="JS18" s="270"/>
      <c r="JT18" s="270"/>
      <c r="JU18" s="270"/>
      <c r="JV18" s="270"/>
      <c r="JW18" s="270"/>
      <c r="JX18" s="270"/>
      <c r="JY18" s="270"/>
      <c r="JZ18" s="270"/>
      <c r="KA18" s="270"/>
      <c r="KB18" s="270"/>
      <c r="KC18" s="270"/>
      <c r="KD18" s="270"/>
      <c r="KE18" s="270"/>
      <c r="KF18" s="270"/>
      <c r="KG18" s="270"/>
      <c r="KH18" s="270"/>
      <c r="KI18" s="270"/>
      <c r="KJ18" s="270"/>
      <c r="KK18" s="270"/>
      <c r="KL18" s="270"/>
      <c r="KM18" s="270"/>
      <c r="KN18" s="270"/>
      <c r="KO18" s="270"/>
      <c r="KP18" s="270"/>
      <c r="KQ18" s="270"/>
      <c r="KR18" s="270"/>
      <c r="KS18" s="270"/>
      <c r="KT18" s="270"/>
      <c r="KU18" s="270"/>
      <c r="KV18" s="270"/>
      <c r="KW18" s="270"/>
      <c r="KX18" s="270"/>
      <c r="KY18" s="270"/>
      <c r="KZ18" s="270"/>
      <c r="LA18" s="270"/>
      <c r="LB18" s="270"/>
      <c r="LC18" s="270"/>
      <c r="LD18" s="270"/>
      <c r="LE18" s="270"/>
      <c r="LF18" s="270"/>
      <c r="LG18" s="270"/>
      <c r="LH18" s="270"/>
      <c r="LI18" s="270"/>
      <c r="LJ18" s="270"/>
      <c r="LK18" s="270"/>
      <c r="LL18" s="270"/>
      <c r="LM18" s="270"/>
      <c r="LN18" s="270"/>
      <c r="LO18" s="270"/>
      <c r="LP18" s="270"/>
      <c r="LQ18" s="270"/>
      <c r="LR18" s="270"/>
      <c r="LS18" s="270"/>
      <c r="LT18" s="270"/>
      <c r="LU18" s="270"/>
      <c r="LV18" s="270"/>
      <c r="LW18" s="270"/>
      <c r="LX18" s="270"/>
      <c r="LY18" s="270"/>
      <c r="LZ18" s="270"/>
      <c r="MA18" s="270"/>
      <c r="MB18" s="270"/>
      <c r="MC18" s="270"/>
      <c r="MD18" s="270"/>
      <c r="ME18" s="270"/>
      <c r="MF18" s="270"/>
      <c r="MG18" s="270"/>
      <c r="MH18" s="270"/>
      <c r="MI18" s="270"/>
      <c r="MJ18" s="270"/>
      <c r="MK18" s="270"/>
      <c r="ML18" s="270"/>
      <c r="MM18" s="270"/>
      <c r="MN18" s="270"/>
      <c r="MO18" s="270"/>
      <c r="MP18" s="270"/>
      <c r="MQ18" s="270"/>
      <c r="MR18" s="270"/>
      <c r="MS18" s="270"/>
      <c r="MT18" s="270"/>
      <c r="MU18" s="270"/>
      <c r="MV18" s="270"/>
      <c r="MW18" s="270"/>
      <c r="MX18" s="270"/>
      <c r="MY18" s="270"/>
      <c r="MZ18" s="270"/>
      <c r="NA18" s="270"/>
      <c r="NB18" s="270"/>
      <c r="NC18" s="270"/>
      <c r="ND18" s="270"/>
      <c r="NE18" s="270"/>
      <c r="NF18" s="270"/>
      <c r="NG18" s="270"/>
      <c r="NH18" s="270"/>
      <c r="NI18" s="270"/>
      <c r="NJ18" s="270"/>
      <c r="NK18" s="270"/>
      <c r="NL18" s="270"/>
      <c r="NM18" s="270"/>
      <c r="NN18" s="270"/>
      <c r="NO18" s="270"/>
      <c r="NP18" s="270"/>
      <c r="NQ18" s="270"/>
      <c r="NR18" s="270"/>
      <c r="NS18" s="270"/>
      <c r="NT18" s="270"/>
      <c r="NU18" s="270"/>
      <c r="NV18" s="270"/>
      <c r="NW18" s="270"/>
      <c r="NX18" s="270"/>
      <c r="NY18" s="270"/>
      <c r="NZ18" s="270"/>
      <c r="OA18" s="270"/>
      <c r="OB18" s="270"/>
      <c r="OC18" s="270"/>
      <c r="OD18" s="270"/>
      <c r="OE18" s="270"/>
      <c r="OF18" s="270"/>
      <c r="OG18" s="270"/>
      <c r="OH18" s="270"/>
      <c r="OI18" s="270"/>
      <c r="OJ18" s="270"/>
      <c r="OK18" s="270"/>
      <c r="OL18" s="270"/>
      <c r="OM18" s="270"/>
      <c r="ON18" s="270"/>
      <c r="OO18" s="270"/>
      <c r="OP18" s="270"/>
      <c r="OQ18" s="270"/>
      <c r="OR18" s="270"/>
      <c r="OS18" s="270"/>
      <c r="OT18" s="270"/>
      <c r="OU18" s="270"/>
      <c r="OV18" s="270"/>
      <c r="OW18" s="270"/>
      <c r="OX18" s="270"/>
      <c r="OY18" s="270"/>
      <c r="OZ18" s="270"/>
      <c r="PA18" s="270"/>
      <c r="PB18" s="270"/>
      <c r="PC18" s="270"/>
      <c r="PD18" s="270"/>
      <c r="PE18" s="270"/>
      <c r="PF18" s="270"/>
      <c r="PG18" s="270"/>
      <c r="PH18" s="270"/>
      <c r="PI18" s="270"/>
      <c r="PJ18" s="270"/>
      <c r="PK18" s="270"/>
      <c r="PL18" s="270"/>
      <c r="PM18" s="270"/>
      <c r="PN18" s="270"/>
      <c r="PO18" s="270"/>
      <c r="PP18" s="270"/>
      <c r="PQ18" s="270"/>
      <c r="PR18" s="270"/>
      <c r="PS18" s="270"/>
      <c r="PT18" s="270"/>
      <c r="PU18" s="270"/>
      <c r="PV18" s="270"/>
      <c r="PW18" s="270"/>
      <c r="PX18" s="270"/>
      <c r="PY18" s="270"/>
      <c r="PZ18" s="270"/>
      <c r="QA18" s="270"/>
      <c r="QB18" s="270"/>
      <c r="QC18" s="270"/>
      <c r="QD18" s="270"/>
      <c r="QE18" s="270"/>
      <c r="QF18" s="270"/>
      <c r="QG18" s="270"/>
      <c r="QH18" s="270"/>
      <c r="QI18" s="270"/>
      <c r="QJ18" s="270"/>
      <c r="QK18" s="270"/>
      <c r="QL18" s="270"/>
      <c r="QM18" s="270"/>
      <c r="QN18" s="270"/>
      <c r="QO18" s="270"/>
      <c r="QP18" s="270"/>
      <c r="QQ18" s="270"/>
      <c r="QR18" s="270"/>
      <c r="QS18" s="270"/>
      <c r="QT18" s="270"/>
      <c r="QU18" s="270"/>
      <c r="QV18" s="270"/>
      <c r="QW18" s="270"/>
      <c r="QX18" s="270"/>
      <c r="QY18" s="270"/>
      <c r="QZ18" s="270"/>
      <c r="RA18" s="270"/>
      <c r="RB18" s="270"/>
      <c r="RC18" s="270"/>
      <c r="RD18" s="270"/>
      <c r="RE18" s="270"/>
      <c r="RF18" s="270"/>
      <c r="RG18" s="270"/>
      <c r="RH18" s="270"/>
      <c r="RI18" s="270"/>
      <c r="RJ18" s="270"/>
      <c r="RK18" s="270"/>
      <c r="RL18" s="270"/>
      <c r="RM18" s="270"/>
      <c r="RN18" s="270"/>
      <c r="RO18" s="270"/>
      <c r="RP18" s="270"/>
      <c r="RQ18" s="270"/>
      <c r="RR18" s="270"/>
      <c r="RS18" s="270"/>
      <c r="RT18" s="270"/>
      <c r="RU18" s="270"/>
      <c r="RV18" s="270"/>
      <c r="RW18" s="270"/>
      <c r="RX18" s="270"/>
      <c r="RY18" s="270"/>
      <c r="RZ18" s="270"/>
      <c r="SA18" s="270"/>
      <c r="SB18" s="270"/>
      <c r="SC18" s="270"/>
      <c r="SD18" s="270"/>
      <c r="SE18" s="270"/>
      <c r="SF18" s="270"/>
      <c r="SG18" s="270"/>
      <c r="SH18" s="270"/>
      <c r="SI18" s="270"/>
      <c r="SJ18" s="270"/>
      <c r="SK18" s="270"/>
      <c r="SL18" s="270"/>
      <c r="SM18" s="270"/>
      <c r="SN18" s="270"/>
      <c r="SO18" s="270"/>
      <c r="SP18" s="270"/>
      <c r="SQ18" s="270"/>
      <c r="SR18" s="270"/>
      <c r="SS18" s="270"/>
      <c r="ST18" s="270"/>
      <c r="SU18" s="270"/>
      <c r="SV18" s="270"/>
      <c r="SW18" s="270"/>
      <c r="SX18" s="270"/>
      <c r="SY18" s="270"/>
      <c r="SZ18" s="270"/>
      <c r="TA18" s="270"/>
      <c r="TB18" s="270"/>
      <c r="TC18" s="270"/>
      <c r="TD18" s="270"/>
      <c r="TE18" s="270"/>
      <c r="TF18" s="270"/>
      <c r="TG18" s="270"/>
      <c r="TH18" s="270"/>
      <c r="TI18" s="270"/>
      <c r="TJ18" s="270"/>
      <c r="TK18" s="270"/>
      <c r="TL18" s="270"/>
      <c r="TM18" s="270"/>
      <c r="TN18" s="270"/>
      <c r="TO18" s="270"/>
      <c r="TP18" s="270"/>
      <c r="TQ18" s="270"/>
      <c r="TR18" s="270"/>
      <c r="TS18" s="270"/>
      <c r="TT18" s="270"/>
      <c r="TU18" s="270"/>
      <c r="TV18" s="270"/>
      <c r="TW18" s="270"/>
      <c r="TX18" s="270"/>
      <c r="TY18" s="270"/>
      <c r="TZ18" s="270"/>
      <c r="UA18" s="270"/>
      <c r="UB18" s="270"/>
      <c r="UC18" s="270"/>
      <c r="UD18" s="270"/>
      <c r="UE18" s="270"/>
      <c r="UF18" s="270"/>
      <c r="UG18" s="270"/>
      <c r="UH18" s="270"/>
      <c r="UI18" s="270"/>
      <c r="UJ18" s="270"/>
      <c r="UK18" s="270"/>
      <c r="UL18" s="270"/>
      <c r="UM18" s="270"/>
      <c r="UN18" s="270"/>
      <c r="UO18" s="270"/>
      <c r="UP18" s="270"/>
      <c r="UQ18" s="270"/>
      <c r="UR18" s="270"/>
      <c r="US18" s="270"/>
      <c r="UT18" s="270"/>
      <c r="UU18" s="270"/>
      <c r="UV18" s="270"/>
      <c r="UW18" s="270"/>
      <c r="UX18" s="270"/>
      <c r="UY18" s="270"/>
      <c r="UZ18" s="270"/>
      <c r="VA18" s="270"/>
      <c r="VB18" s="270"/>
      <c r="VC18" s="270"/>
      <c r="VD18" s="270"/>
      <c r="VE18" s="270"/>
      <c r="VF18" s="270"/>
      <c r="VG18" s="270"/>
      <c r="VH18" s="270"/>
      <c r="VI18" s="270"/>
      <c r="VJ18" s="270"/>
      <c r="VK18" s="270"/>
      <c r="VL18" s="270"/>
      <c r="VM18" s="270"/>
      <c r="VN18" s="270"/>
      <c r="VO18" s="270"/>
      <c r="VP18" s="270"/>
      <c r="VQ18" s="270"/>
      <c r="VR18" s="270"/>
      <c r="VS18" s="270"/>
      <c r="VT18" s="270"/>
      <c r="VU18" s="270"/>
      <c r="VV18" s="270"/>
      <c r="VW18" s="270"/>
      <c r="VX18" s="270"/>
      <c r="VY18" s="270"/>
      <c r="VZ18" s="270"/>
      <c r="WA18" s="270"/>
      <c r="WB18" s="270"/>
      <c r="WC18" s="270"/>
      <c r="WD18" s="270"/>
      <c r="WE18" s="270"/>
      <c r="WF18" s="270"/>
      <c r="WG18" s="270"/>
      <c r="WH18" s="270"/>
      <c r="WI18" s="270"/>
      <c r="WJ18" s="270"/>
      <c r="WK18" s="270"/>
      <c r="WL18" s="270"/>
      <c r="WM18" s="270"/>
      <c r="WN18" s="270"/>
      <c r="WO18" s="270"/>
      <c r="WP18" s="270"/>
      <c r="WQ18" s="270"/>
      <c r="WR18" s="270"/>
      <c r="WS18" s="270"/>
      <c r="WT18" s="270"/>
      <c r="WU18" s="270"/>
      <c r="WV18" s="270"/>
      <c r="WW18" s="270"/>
      <c r="WX18" s="270"/>
      <c r="WY18" s="270"/>
      <c r="WZ18" s="270"/>
      <c r="XA18" s="270"/>
      <c r="XB18" s="270"/>
      <c r="XC18" s="270"/>
      <c r="XD18" s="270"/>
      <c r="XE18" s="270"/>
      <c r="XF18" s="270"/>
      <c r="XG18" s="270"/>
      <c r="XH18" s="270"/>
      <c r="XI18" s="270"/>
      <c r="XJ18" s="270"/>
      <c r="XK18" s="270"/>
      <c r="XL18" s="270"/>
      <c r="XM18" s="270"/>
      <c r="XN18" s="270"/>
      <c r="XO18" s="270"/>
      <c r="XP18" s="270"/>
      <c r="XQ18" s="270"/>
      <c r="XR18" s="270"/>
      <c r="XS18" s="270"/>
      <c r="XT18" s="270"/>
      <c r="XU18" s="270"/>
      <c r="XV18" s="270"/>
      <c r="XW18" s="270"/>
      <c r="XX18" s="270"/>
      <c r="XY18" s="270"/>
      <c r="XZ18" s="270"/>
      <c r="YA18" s="270"/>
      <c r="YB18" s="270"/>
      <c r="YC18" s="270"/>
      <c r="YD18" s="270"/>
      <c r="YE18" s="270"/>
      <c r="YF18" s="270"/>
      <c r="YG18" s="270"/>
      <c r="YH18" s="270"/>
      <c r="YI18" s="270"/>
      <c r="YJ18" s="270"/>
      <c r="YK18" s="270"/>
      <c r="YL18" s="270"/>
      <c r="YM18" s="270"/>
      <c r="YN18" s="270"/>
      <c r="YO18" s="270"/>
      <c r="YP18" s="270"/>
      <c r="YQ18" s="270"/>
      <c r="YR18" s="270"/>
      <c r="YS18" s="270"/>
      <c r="YT18" s="270"/>
      <c r="YU18" s="270"/>
      <c r="YV18" s="270"/>
      <c r="YW18" s="270"/>
      <c r="YX18" s="270"/>
      <c r="YY18" s="270"/>
      <c r="YZ18" s="270"/>
      <c r="ZA18" s="270"/>
      <c r="ZB18" s="270"/>
      <c r="ZC18" s="270"/>
      <c r="ZD18" s="270"/>
      <c r="ZE18" s="270"/>
      <c r="ZF18" s="270"/>
      <c r="ZG18" s="270"/>
      <c r="ZH18" s="270"/>
      <c r="ZI18" s="270"/>
      <c r="ZJ18" s="270"/>
      <c r="ZK18" s="270"/>
      <c r="ZL18" s="270"/>
      <c r="ZM18" s="270"/>
      <c r="ZN18" s="270"/>
      <c r="ZO18" s="270"/>
      <c r="ZP18" s="270"/>
      <c r="ZQ18" s="270"/>
      <c r="ZR18" s="270"/>
      <c r="ZS18" s="270"/>
      <c r="ZT18" s="270"/>
      <c r="ZU18" s="270"/>
      <c r="ZV18" s="270"/>
      <c r="ZW18" s="270"/>
      <c r="ZX18" s="270"/>
      <c r="ZY18" s="270"/>
      <c r="ZZ18" s="270"/>
      <c r="AAA18" s="270"/>
      <c r="AAB18" s="270"/>
      <c r="AAC18" s="270"/>
      <c r="AAD18" s="270"/>
      <c r="AAE18" s="270"/>
      <c r="AAF18" s="270"/>
      <c r="AAG18" s="270"/>
      <c r="AAH18" s="270"/>
      <c r="AAI18" s="270"/>
      <c r="AAJ18" s="270"/>
      <c r="AAK18" s="270"/>
      <c r="AAL18" s="270"/>
      <c r="AAM18" s="270"/>
      <c r="AAN18" s="270"/>
      <c r="AAO18" s="270"/>
      <c r="AAP18" s="270"/>
      <c r="AAQ18" s="270"/>
      <c r="AAR18" s="270"/>
      <c r="AAS18" s="270"/>
      <c r="AAT18" s="270"/>
      <c r="AAU18" s="270"/>
      <c r="AAV18" s="270"/>
      <c r="AAW18" s="270"/>
      <c r="AAX18" s="270"/>
      <c r="AAY18" s="270"/>
      <c r="AAZ18" s="270"/>
      <c r="ABA18" s="270"/>
      <c r="ABB18" s="270"/>
      <c r="ABC18" s="270"/>
      <c r="ABD18" s="270"/>
      <c r="ABE18" s="270"/>
      <c r="ABF18" s="270"/>
      <c r="ABG18" s="270"/>
      <c r="ABH18" s="270"/>
      <c r="ABI18" s="270"/>
      <c r="ABJ18" s="270"/>
      <c r="ABK18" s="270"/>
      <c r="ABL18" s="270"/>
      <c r="ABM18" s="270"/>
      <c r="ABN18" s="270"/>
      <c r="ABO18" s="270"/>
      <c r="ABP18" s="270"/>
      <c r="ABQ18" s="270"/>
      <c r="ABR18" s="270"/>
      <c r="ABS18" s="270"/>
      <c r="ABT18" s="270"/>
      <c r="ABU18" s="270"/>
      <c r="ABV18" s="270"/>
      <c r="ABW18" s="270"/>
      <c r="ABX18" s="270"/>
      <c r="ABY18" s="270"/>
      <c r="ABZ18" s="270"/>
      <c r="ACA18" s="270"/>
      <c r="ACB18" s="270"/>
      <c r="ACC18" s="270"/>
      <c r="ACD18" s="270"/>
      <c r="ACE18" s="270"/>
      <c r="ACF18" s="270"/>
      <c r="ACG18" s="270"/>
      <c r="ACH18" s="270"/>
      <c r="ACI18" s="270"/>
      <c r="ACJ18" s="270"/>
      <c r="ACK18" s="270"/>
      <c r="ACL18" s="270"/>
      <c r="ACM18" s="270"/>
      <c r="ACN18" s="270"/>
      <c r="ACO18" s="270"/>
      <c r="ACP18" s="270"/>
      <c r="ACQ18" s="270"/>
      <c r="ACR18" s="270"/>
      <c r="ACS18" s="270"/>
      <c r="ACT18" s="270"/>
      <c r="ACU18" s="270"/>
      <c r="ACV18" s="270"/>
      <c r="ACW18" s="270"/>
      <c r="ACX18" s="270"/>
      <c r="ACY18" s="270"/>
      <c r="ACZ18" s="270"/>
      <c r="ADA18" s="270"/>
      <c r="ADB18" s="270"/>
      <c r="ADC18" s="270"/>
      <c r="ADD18" s="270"/>
      <c r="ADE18" s="270"/>
      <c r="ADF18" s="270"/>
      <c r="ADG18" s="270"/>
      <c r="ADH18" s="270"/>
      <c r="ADI18" s="270"/>
      <c r="ADJ18" s="270"/>
      <c r="ADK18" s="270"/>
      <c r="ADL18" s="270"/>
      <c r="ADM18" s="270"/>
      <c r="ADN18" s="270"/>
      <c r="ADO18" s="270"/>
      <c r="ADP18" s="270"/>
      <c r="ADQ18" s="270"/>
      <c r="ADR18" s="270"/>
      <c r="ADS18" s="270"/>
      <c r="ADT18" s="270"/>
      <c r="ADU18" s="270"/>
      <c r="ADV18" s="270"/>
      <c r="ADW18" s="270"/>
      <c r="ADX18" s="270"/>
      <c r="ADY18" s="270"/>
      <c r="ADZ18" s="270"/>
      <c r="AEA18" s="270"/>
      <c r="AEB18" s="270"/>
      <c r="AEC18" s="270"/>
      <c r="AED18" s="270"/>
      <c r="AEE18" s="270"/>
      <c r="AEF18" s="270"/>
      <c r="AEG18" s="270"/>
      <c r="AEH18" s="270"/>
      <c r="AEI18" s="270"/>
      <c r="AEJ18" s="270"/>
      <c r="AEK18" s="270"/>
      <c r="AEL18" s="270"/>
      <c r="AEM18" s="270"/>
      <c r="AEN18" s="270"/>
      <c r="AEO18" s="270"/>
      <c r="AEP18" s="270"/>
      <c r="AEQ18" s="270"/>
      <c r="AER18" s="270"/>
      <c r="AES18" s="270"/>
      <c r="AET18" s="270"/>
      <c r="AEU18" s="270"/>
      <c r="AEV18" s="270"/>
      <c r="AEW18" s="270"/>
      <c r="AEX18" s="270"/>
      <c r="AEY18" s="270"/>
      <c r="AEZ18" s="270"/>
      <c r="AFA18" s="270"/>
      <c r="AFB18" s="270"/>
      <c r="AFC18" s="270"/>
      <c r="AFD18" s="270"/>
      <c r="AFE18" s="270"/>
      <c r="AFF18" s="270"/>
      <c r="AFG18" s="270"/>
      <c r="AFH18" s="270"/>
      <c r="AFI18" s="270"/>
      <c r="AFJ18" s="270"/>
      <c r="AFK18" s="270"/>
      <c r="AFL18" s="270"/>
      <c r="AFM18" s="270"/>
      <c r="AFN18" s="270"/>
      <c r="AFO18" s="270"/>
      <c r="AFP18" s="270"/>
      <c r="AFQ18" s="270"/>
      <c r="AFR18" s="270"/>
      <c r="AFS18" s="270"/>
      <c r="AFT18" s="270"/>
      <c r="AFU18" s="270"/>
      <c r="AFV18" s="270"/>
      <c r="AFW18" s="270"/>
      <c r="AFX18" s="270"/>
      <c r="AFY18" s="270"/>
      <c r="AFZ18" s="270"/>
      <c r="AGA18" s="270"/>
      <c r="AGB18" s="270"/>
      <c r="AGC18" s="270"/>
      <c r="AGD18" s="270"/>
      <c r="AGE18" s="270"/>
      <c r="AGF18" s="270"/>
      <c r="AGG18" s="270"/>
      <c r="AGH18" s="270"/>
      <c r="AGI18" s="270"/>
      <c r="AGJ18" s="270"/>
      <c r="AGK18" s="270"/>
      <c r="AGL18" s="270"/>
      <c r="AGM18" s="270"/>
      <c r="AGN18" s="270"/>
      <c r="AGO18" s="270"/>
      <c r="AGP18" s="270"/>
      <c r="AGQ18" s="270"/>
      <c r="AGR18" s="270"/>
      <c r="AGS18" s="270"/>
      <c r="AGT18" s="270"/>
      <c r="AGU18" s="270"/>
      <c r="AGV18" s="270"/>
      <c r="AGW18" s="270"/>
      <c r="AGX18" s="270"/>
      <c r="AGY18" s="270"/>
      <c r="AGZ18" s="270"/>
      <c r="AHA18" s="270"/>
      <c r="AHB18" s="270"/>
      <c r="AHC18" s="270"/>
      <c r="AHD18" s="270"/>
      <c r="AHE18" s="270"/>
      <c r="AHF18" s="270"/>
      <c r="AHG18" s="270"/>
      <c r="AHH18" s="270"/>
      <c r="AHI18" s="270"/>
      <c r="AHJ18" s="270"/>
      <c r="AHK18" s="270"/>
      <c r="AHL18" s="270"/>
      <c r="AHM18" s="270"/>
      <c r="AHN18" s="270"/>
      <c r="AHO18" s="270"/>
      <c r="AHP18" s="270"/>
      <c r="AHQ18" s="270"/>
      <c r="AHR18" s="270"/>
      <c r="AHS18" s="270"/>
      <c r="AHT18" s="270"/>
      <c r="AHU18" s="270"/>
      <c r="AHV18" s="270"/>
      <c r="AHW18" s="270"/>
      <c r="AHX18" s="270"/>
      <c r="AHY18" s="270"/>
      <c r="AHZ18" s="270"/>
      <c r="AIA18" s="270"/>
      <c r="AIB18" s="270"/>
      <c r="AIC18" s="270"/>
      <c r="AID18" s="270"/>
      <c r="AIE18" s="270"/>
      <c r="AIF18" s="270"/>
      <c r="AIG18" s="270"/>
      <c r="AIH18" s="270"/>
      <c r="AII18" s="270"/>
      <c r="AIJ18" s="270"/>
      <c r="AIK18" s="270"/>
      <c r="AIL18" s="270"/>
      <c r="AIM18" s="270"/>
      <c r="AIN18" s="270"/>
      <c r="AIO18" s="270"/>
      <c r="AIP18" s="270"/>
      <c r="AIQ18" s="270"/>
      <c r="AIR18" s="270"/>
      <c r="AIS18" s="270"/>
      <c r="AIT18" s="270"/>
      <c r="AIU18" s="270"/>
      <c r="AIV18" s="270"/>
      <c r="AIW18" s="270"/>
      <c r="AIX18" s="270"/>
      <c r="AIY18" s="270"/>
      <c r="AIZ18" s="270"/>
      <c r="AJA18" s="270"/>
      <c r="AJB18" s="270"/>
      <c r="AJC18" s="270"/>
      <c r="AJD18" s="270"/>
      <c r="AJE18" s="270"/>
      <c r="AJF18" s="270"/>
      <c r="AJG18" s="270"/>
      <c r="AJH18" s="270"/>
      <c r="AJI18" s="270"/>
      <c r="AJJ18" s="270"/>
      <c r="AJK18" s="270"/>
      <c r="AJL18" s="270"/>
      <c r="AJM18" s="270"/>
      <c r="AJN18" s="270"/>
      <c r="AJO18" s="270"/>
      <c r="AJP18" s="270"/>
      <c r="AJQ18" s="270"/>
      <c r="AJR18" s="270"/>
      <c r="AJS18" s="270"/>
      <c r="AJT18" s="270"/>
      <c r="AJU18" s="270"/>
      <c r="AJV18" s="270"/>
      <c r="AJW18" s="270"/>
      <c r="AJX18" s="270"/>
      <c r="AJY18" s="270"/>
      <c r="AJZ18" s="270"/>
      <c r="AKA18" s="270"/>
      <c r="AKB18" s="270"/>
      <c r="AKC18" s="270"/>
      <c r="AKD18" s="270"/>
      <c r="AKE18" s="270"/>
      <c r="AKF18" s="270"/>
      <c r="AKG18" s="270"/>
      <c r="AKH18" s="270"/>
      <c r="AKI18" s="270"/>
      <c r="AKJ18" s="270"/>
      <c r="AKK18" s="270"/>
      <c r="AKL18" s="270"/>
      <c r="AKM18" s="270"/>
      <c r="AKN18" s="270"/>
      <c r="AKO18" s="270"/>
      <c r="AKP18" s="270"/>
      <c r="AKQ18" s="270"/>
      <c r="AKR18" s="270"/>
      <c r="AKS18" s="270"/>
      <c r="AKT18" s="270"/>
      <c r="AKU18" s="270"/>
      <c r="AKV18" s="270"/>
      <c r="AKW18" s="270"/>
      <c r="AKX18" s="270"/>
      <c r="AKY18" s="270"/>
      <c r="AKZ18" s="270"/>
      <c r="ALA18" s="270"/>
      <c r="ALB18" s="270"/>
      <c r="ALC18" s="270"/>
      <c r="ALD18" s="270"/>
      <c r="ALE18" s="270"/>
      <c r="ALF18" s="270"/>
      <c r="ALG18" s="270"/>
      <c r="ALH18" s="270"/>
      <c r="ALI18" s="270"/>
      <c r="ALJ18" s="270"/>
      <c r="ALK18" s="270"/>
      <c r="ALL18" s="270"/>
      <c r="ALM18" s="270"/>
      <c r="ALN18" s="270"/>
      <c r="ALO18" s="270"/>
      <c r="ALP18" s="270"/>
      <c r="ALQ18" s="270"/>
      <c r="ALR18" s="270"/>
      <c r="ALS18" s="270"/>
      <c r="ALT18" s="270"/>
      <c r="ALU18" s="270"/>
      <c r="ALV18" s="270"/>
      <c r="ALW18" s="270"/>
      <c r="ALX18" s="270"/>
      <c r="ALY18" s="270"/>
      <c r="ALZ18" s="270"/>
      <c r="AMA18" s="270"/>
      <c r="AMB18" s="270"/>
      <c r="AMC18" s="270"/>
      <c r="AMD18" s="270"/>
      <c r="AME18" s="270"/>
      <c r="AMF18" s="270"/>
      <c r="AMG18" s="270"/>
      <c r="AMH18" s="270"/>
      <c r="AMI18" s="270"/>
      <c r="AMJ18" s="270"/>
      <c r="AMK18" s="270"/>
      <c r="AML18" s="270"/>
      <c r="AMM18" s="270"/>
      <c r="AMN18" s="270"/>
      <c r="AMO18" s="270"/>
      <c r="AMP18" s="270"/>
      <c r="AMQ18" s="270"/>
      <c r="AMR18" s="270"/>
      <c r="AMS18" s="270"/>
      <c r="AMT18" s="270"/>
      <c r="AMU18" s="270"/>
      <c r="AMV18" s="270"/>
      <c r="AMW18" s="270"/>
      <c r="AMX18" s="270"/>
      <c r="AMY18" s="270"/>
      <c r="AMZ18" s="270"/>
      <c r="ANA18" s="270"/>
      <c r="ANB18" s="270"/>
      <c r="ANC18" s="270"/>
      <c r="AND18" s="270"/>
      <c r="ANE18" s="270"/>
      <c r="ANF18" s="270"/>
      <c r="ANG18" s="270"/>
      <c r="ANH18" s="270"/>
      <c r="ANI18" s="270"/>
      <c r="ANJ18" s="270"/>
      <c r="ANK18" s="270"/>
      <c r="ANL18" s="270"/>
      <c r="ANM18" s="270"/>
      <c r="ANN18" s="270"/>
      <c r="ANO18" s="270"/>
      <c r="ANP18" s="270"/>
      <c r="ANQ18" s="270"/>
      <c r="ANR18" s="270"/>
      <c r="ANS18" s="270"/>
      <c r="ANT18" s="270"/>
      <c r="ANU18" s="270"/>
      <c r="ANV18" s="270"/>
      <c r="ANW18" s="270"/>
      <c r="ANX18" s="270"/>
      <c r="ANY18" s="270"/>
      <c r="ANZ18" s="270"/>
      <c r="AOA18" s="270"/>
      <c r="AOB18" s="270"/>
      <c r="AOC18" s="270"/>
      <c r="AOD18" s="270"/>
      <c r="AOE18" s="270"/>
      <c r="AOF18" s="270"/>
      <c r="AOG18" s="270"/>
      <c r="AOH18" s="270"/>
      <c r="AOI18" s="270"/>
      <c r="AOJ18" s="270"/>
      <c r="AOK18" s="270"/>
      <c r="AOL18" s="270"/>
      <c r="AOM18" s="270"/>
      <c r="AON18" s="270"/>
      <c r="AOO18" s="270"/>
      <c r="AOP18" s="270"/>
      <c r="AOQ18" s="270"/>
      <c r="AOR18" s="270"/>
      <c r="AOS18" s="270"/>
      <c r="AOT18" s="270"/>
      <c r="AOU18" s="270"/>
      <c r="AOV18" s="270"/>
      <c r="AOW18" s="270"/>
      <c r="AOX18" s="270"/>
      <c r="AOY18" s="270"/>
      <c r="AOZ18" s="270"/>
      <c r="APA18" s="270"/>
      <c r="APB18" s="270"/>
      <c r="APC18" s="270"/>
      <c r="APD18" s="270"/>
      <c r="APE18" s="270"/>
      <c r="APF18" s="270"/>
      <c r="APG18" s="270"/>
      <c r="APH18" s="270"/>
      <c r="API18" s="270"/>
      <c r="APJ18" s="270"/>
      <c r="APK18" s="270"/>
      <c r="APL18" s="270"/>
      <c r="APM18" s="270"/>
      <c r="APN18" s="270"/>
      <c r="APO18" s="270"/>
      <c r="APP18" s="270"/>
      <c r="APQ18" s="270"/>
      <c r="APR18" s="270"/>
      <c r="APS18" s="270"/>
      <c r="APT18" s="270"/>
      <c r="APU18" s="270"/>
      <c r="APV18" s="270"/>
      <c r="APW18" s="270"/>
      <c r="APX18" s="270"/>
    </row>
    <row r="19" spans="1:1116" s="272" customFormat="1" ht="15" customHeight="1">
      <c r="A19" s="268"/>
      <c r="B19" s="269"/>
      <c r="C19" s="270"/>
      <c r="D19" s="421"/>
      <c r="E19" s="359"/>
      <c r="F19" s="364"/>
      <c r="G19" s="271"/>
      <c r="H19" s="379"/>
      <c r="I19" s="385"/>
      <c r="J19" s="378"/>
      <c r="K19" s="130"/>
      <c r="L19" s="130"/>
      <c r="M19" s="450"/>
      <c r="N19" s="349"/>
      <c r="O19" s="450"/>
      <c r="P19" s="189"/>
      <c r="Q19" s="608"/>
      <c r="R19" s="365"/>
      <c r="S19" s="365"/>
      <c r="T19" s="577"/>
      <c r="U19" s="577"/>
      <c r="V19" s="577"/>
      <c r="W19" s="541"/>
      <c r="X19" s="541"/>
      <c r="Y19" s="541"/>
      <c r="Z19" s="541"/>
      <c r="AA19" s="541"/>
      <c r="AB19" s="541"/>
      <c r="AC19" s="541"/>
      <c r="AD19" s="541"/>
      <c r="AE19" s="541"/>
      <c r="AF19" s="541"/>
      <c r="AG19" s="541"/>
      <c r="AH19" s="541"/>
      <c r="AI19" s="541"/>
      <c r="AJ19" s="541"/>
      <c r="AK19" s="541"/>
      <c r="AL19" s="541"/>
      <c r="AM19" s="541"/>
      <c r="AN19" s="541"/>
      <c r="AO19" s="541"/>
      <c r="AP19" s="541"/>
      <c r="AQ19" s="541"/>
      <c r="AR19" s="541"/>
      <c r="AS19" s="541"/>
      <c r="AT19" s="541"/>
      <c r="AU19" s="541"/>
      <c r="AV19" s="541"/>
      <c r="AW19" s="541"/>
      <c r="AX19" s="541"/>
      <c r="AY19" s="541"/>
      <c r="AZ19" s="541"/>
      <c r="BA19" s="541"/>
      <c r="BB19" s="541"/>
      <c r="BC19" s="541"/>
      <c r="BD19" s="541"/>
      <c r="BE19" s="541"/>
      <c r="BF19" s="541"/>
      <c r="BG19" s="541"/>
      <c r="BH19" s="541"/>
      <c r="BI19" s="541"/>
      <c r="BJ19" s="541"/>
      <c r="BK19" s="541"/>
      <c r="BL19" s="541"/>
      <c r="BM19" s="541"/>
      <c r="BN19" s="541"/>
      <c r="BO19" s="541"/>
      <c r="BP19" s="541"/>
      <c r="BQ19" s="541"/>
      <c r="BR19" s="541"/>
      <c r="BS19" s="541"/>
      <c r="BT19" s="541"/>
      <c r="BU19" s="541"/>
      <c r="BV19" s="541"/>
      <c r="BW19" s="541"/>
      <c r="BX19" s="541"/>
      <c r="BY19" s="541"/>
      <c r="BZ19" s="541"/>
      <c r="CA19" s="541"/>
      <c r="CB19" s="541"/>
      <c r="CC19" s="541"/>
      <c r="CD19" s="542"/>
      <c r="CE19" s="365"/>
      <c r="CF19" s="541"/>
      <c r="CG19" s="541"/>
      <c r="CH19" s="541"/>
      <c r="CI19" s="541"/>
      <c r="CJ19" s="541"/>
      <c r="CK19" s="541"/>
      <c r="CL19" s="541"/>
      <c r="CM19" s="541"/>
      <c r="CN19" s="541"/>
      <c r="CO19" s="541"/>
      <c r="CP19" s="541"/>
      <c r="CQ19" s="541"/>
      <c r="CR19" s="541"/>
      <c r="CS19" s="541"/>
      <c r="CT19" s="541"/>
      <c r="CU19" s="541"/>
      <c r="CV19" s="541"/>
      <c r="CW19" s="541"/>
      <c r="CX19" s="541"/>
      <c r="CY19" s="541"/>
      <c r="CZ19" s="541"/>
      <c r="DA19" s="541"/>
      <c r="DB19" s="541"/>
      <c r="DC19" s="541"/>
      <c r="DD19" s="541"/>
      <c r="DE19" s="541"/>
      <c r="DF19" s="541"/>
      <c r="DG19" s="541"/>
      <c r="DH19" s="541"/>
      <c r="DI19" s="541"/>
      <c r="DJ19" s="541"/>
      <c r="DK19" s="541"/>
      <c r="DL19" s="541"/>
      <c r="DM19" s="541"/>
      <c r="DN19" s="541"/>
      <c r="DO19" s="541"/>
      <c r="DP19" s="541"/>
      <c r="DQ19" s="541"/>
      <c r="DR19" s="541"/>
      <c r="DS19" s="541"/>
      <c r="DT19" s="541"/>
      <c r="DU19" s="541"/>
      <c r="DV19" s="541"/>
      <c r="DW19" s="541"/>
      <c r="DX19" s="541"/>
      <c r="DY19" s="541"/>
      <c r="DZ19" s="541"/>
      <c r="EA19" s="541"/>
      <c r="EB19" s="541"/>
      <c r="EC19" s="541"/>
      <c r="ED19" s="541"/>
      <c r="EE19" s="541"/>
      <c r="EF19" s="541"/>
      <c r="EG19" s="541"/>
      <c r="EH19" s="541"/>
      <c r="EI19" s="541"/>
      <c r="EJ19" s="541"/>
      <c r="EK19" s="541"/>
      <c r="EL19" s="541"/>
      <c r="EM19" s="542"/>
      <c r="EN19" s="365"/>
      <c r="EO19" s="365"/>
      <c r="EP19" s="270"/>
      <c r="EQ19" s="270"/>
      <c r="ER19" s="270"/>
      <c r="ES19" s="270"/>
      <c r="ET19" s="270"/>
      <c r="EU19" s="270"/>
      <c r="EV19" s="270"/>
      <c r="EW19" s="270"/>
      <c r="EX19" s="270"/>
      <c r="EY19" s="270"/>
      <c r="EZ19" s="270"/>
      <c r="FA19" s="270"/>
      <c r="FB19" s="270"/>
      <c r="FC19" s="270"/>
      <c r="FD19" s="270"/>
      <c r="FE19" s="270"/>
      <c r="FF19" s="270"/>
      <c r="FG19" s="270"/>
      <c r="FH19" s="270"/>
      <c r="FI19" s="270"/>
      <c r="FJ19" s="270"/>
      <c r="FK19" s="270"/>
      <c r="FL19" s="270"/>
      <c r="FM19" s="270"/>
      <c r="FN19" s="270"/>
      <c r="FO19" s="270"/>
      <c r="FP19" s="270"/>
      <c r="FQ19" s="270"/>
      <c r="FR19" s="270"/>
      <c r="FS19" s="270"/>
      <c r="FT19" s="270"/>
      <c r="FU19" s="270"/>
      <c r="FV19" s="270"/>
      <c r="FW19" s="270"/>
      <c r="FX19" s="270"/>
      <c r="FY19" s="270"/>
      <c r="FZ19" s="270"/>
      <c r="GA19" s="270"/>
      <c r="GB19" s="270"/>
      <c r="GC19" s="270"/>
      <c r="GD19" s="270"/>
      <c r="GE19" s="270"/>
      <c r="GF19" s="270"/>
      <c r="GG19" s="270"/>
      <c r="GH19" s="270"/>
      <c r="GI19" s="270"/>
      <c r="GJ19" s="270"/>
      <c r="GK19" s="270"/>
      <c r="GL19" s="270"/>
      <c r="GM19" s="270"/>
      <c r="GN19" s="270"/>
      <c r="GO19" s="270"/>
      <c r="GP19" s="270"/>
      <c r="GQ19" s="270"/>
      <c r="GR19" s="270"/>
      <c r="GS19" s="270"/>
      <c r="GT19" s="270"/>
      <c r="GU19" s="270"/>
      <c r="GV19" s="270"/>
      <c r="GW19" s="270"/>
      <c r="GX19" s="270"/>
      <c r="GY19" s="270"/>
      <c r="GZ19" s="270"/>
      <c r="HA19" s="270"/>
      <c r="HB19" s="270"/>
      <c r="HC19" s="270"/>
      <c r="HD19" s="270"/>
      <c r="HE19" s="270"/>
      <c r="HF19" s="270"/>
      <c r="HG19" s="270"/>
      <c r="HH19" s="270"/>
      <c r="HI19" s="270"/>
      <c r="HJ19" s="270"/>
      <c r="HK19" s="270"/>
      <c r="HL19" s="270"/>
      <c r="HM19" s="270"/>
      <c r="HN19" s="270"/>
      <c r="HO19" s="270"/>
      <c r="HP19" s="270"/>
      <c r="HQ19" s="270"/>
      <c r="HR19" s="270"/>
      <c r="HS19" s="270"/>
      <c r="HT19" s="270"/>
      <c r="HU19" s="270"/>
      <c r="HV19" s="270"/>
      <c r="HW19" s="270"/>
      <c r="HX19" s="270"/>
      <c r="HY19" s="270"/>
      <c r="HZ19" s="270"/>
      <c r="IA19" s="270"/>
      <c r="IB19" s="270"/>
      <c r="IC19" s="270"/>
      <c r="ID19" s="270"/>
      <c r="IE19" s="270"/>
      <c r="IF19" s="270"/>
      <c r="IG19" s="270"/>
      <c r="IH19" s="270"/>
      <c r="II19" s="270"/>
      <c r="IJ19" s="270"/>
      <c r="IK19" s="270"/>
      <c r="IL19" s="270"/>
      <c r="IM19" s="270"/>
      <c r="IN19" s="270"/>
      <c r="IO19" s="270"/>
      <c r="IP19" s="270"/>
      <c r="IQ19" s="270"/>
      <c r="IR19" s="270"/>
      <c r="IS19" s="270"/>
      <c r="IT19" s="270"/>
      <c r="IU19" s="270"/>
      <c r="IV19" s="270"/>
      <c r="IW19" s="270"/>
      <c r="IX19" s="270"/>
      <c r="IY19" s="270"/>
      <c r="IZ19" s="270"/>
      <c r="JA19" s="270"/>
      <c r="JB19" s="270"/>
      <c r="JC19" s="270"/>
      <c r="JD19" s="270"/>
      <c r="JE19" s="270"/>
      <c r="JF19" s="270"/>
      <c r="JG19" s="270"/>
      <c r="JH19" s="270"/>
      <c r="JI19" s="270"/>
      <c r="JJ19" s="270"/>
      <c r="JK19" s="270"/>
      <c r="JL19" s="270"/>
      <c r="JM19" s="270"/>
      <c r="JN19" s="270"/>
      <c r="JO19" s="270"/>
      <c r="JP19" s="270"/>
      <c r="JQ19" s="270"/>
      <c r="JR19" s="270"/>
      <c r="JS19" s="270"/>
      <c r="JT19" s="270"/>
      <c r="JU19" s="270"/>
      <c r="JV19" s="270"/>
      <c r="JW19" s="270"/>
      <c r="JX19" s="270"/>
      <c r="JY19" s="270"/>
      <c r="JZ19" s="270"/>
      <c r="KA19" s="270"/>
      <c r="KB19" s="270"/>
      <c r="KC19" s="270"/>
      <c r="KD19" s="270"/>
      <c r="KE19" s="270"/>
      <c r="KF19" s="270"/>
      <c r="KG19" s="270"/>
      <c r="KH19" s="270"/>
      <c r="KI19" s="270"/>
      <c r="KJ19" s="270"/>
      <c r="KK19" s="270"/>
      <c r="KL19" s="270"/>
      <c r="KM19" s="270"/>
      <c r="KN19" s="270"/>
      <c r="KO19" s="270"/>
      <c r="KP19" s="270"/>
      <c r="KQ19" s="270"/>
      <c r="KR19" s="270"/>
      <c r="KS19" s="270"/>
      <c r="KT19" s="270"/>
      <c r="KU19" s="270"/>
      <c r="KV19" s="270"/>
      <c r="KW19" s="270"/>
      <c r="KX19" s="270"/>
      <c r="KY19" s="270"/>
      <c r="KZ19" s="270"/>
      <c r="LA19" s="270"/>
      <c r="LB19" s="270"/>
      <c r="LC19" s="270"/>
      <c r="LD19" s="270"/>
      <c r="LE19" s="270"/>
      <c r="LF19" s="270"/>
      <c r="LG19" s="270"/>
      <c r="LH19" s="270"/>
      <c r="LI19" s="270"/>
      <c r="LJ19" s="270"/>
      <c r="LK19" s="270"/>
      <c r="LL19" s="270"/>
      <c r="LM19" s="270"/>
      <c r="LN19" s="270"/>
      <c r="LO19" s="270"/>
      <c r="LP19" s="270"/>
      <c r="LQ19" s="270"/>
      <c r="LR19" s="270"/>
      <c r="LS19" s="270"/>
      <c r="LT19" s="270"/>
      <c r="LU19" s="270"/>
      <c r="LV19" s="270"/>
      <c r="LW19" s="270"/>
      <c r="LX19" s="270"/>
      <c r="LY19" s="270"/>
      <c r="LZ19" s="270"/>
      <c r="MA19" s="270"/>
      <c r="MB19" s="270"/>
      <c r="MC19" s="270"/>
      <c r="MD19" s="270"/>
      <c r="ME19" s="270"/>
      <c r="MF19" s="270"/>
      <c r="MG19" s="270"/>
      <c r="MH19" s="270"/>
      <c r="MI19" s="270"/>
      <c r="MJ19" s="270"/>
      <c r="MK19" s="270"/>
      <c r="ML19" s="270"/>
      <c r="MM19" s="270"/>
      <c r="MN19" s="270"/>
      <c r="MO19" s="270"/>
      <c r="MP19" s="270"/>
      <c r="MQ19" s="270"/>
      <c r="MR19" s="270"/>
      <c r="MS19" s="270"/>
      <c r="MT19" s="270"/>
      <c r="MU19" s="270"/>
      <c r="MV19" s="270"/>
      <c r="MW19" s="270"/>
      <c r="MX19" s="270"/>
      <c r="MY19" s="270"/>
      <c r="MZ19" s="270"/>
      <c r="NA19" s="270"/>
      <c r="NB19" s="270"/>
      <c r="NC19" s="270"/>
      <c r="ND19" s="270"/>
      <c r="NE19" s="270"/>
      <c r="NF19" s="270"/>
      <c r="NG19" s="270"/>
      <c r="NH19" s="270"/>
      <c r="NI19" s="270"/>
      <c r="NJ19" s="270"/>
      <c r="NK19" s="270"/>
      <c r="NL19" s="270"/>
      <c r="NM19" s="270"/>
      <c r="NN19" s="270"/>
      <c r="NO19" s="270"/>
      <c r="NP19" s="270"/>
      <c r="NQ19" s="270"/>
      <c r="NR19" s="270"/>
      <c r="NS19" s="270"/>
      <c r="NT19" s="270"/>
      <c r="NU19" s="270"/>
      <c r="NV19" s="270"/>
      <c r="NW19" s="270"/>
      <c r="NX19" s="270"/>
      <c r="NY19" s="270"/>
      <c r="NZ19" s="270"/>
      <c r="OA19" s="270"/>
      <c r="OB19" s="270"/>
      <c r="OC19" s="270"/>
      <c r="OD19" s="270"/>
      <c r="OE19" s="270"/>
      <c r="OF19" s="270"/>
      <c r="OG19" s="270"/>
      <c r="OH19" s="270"/>
      <c r="OI19" s="270"/>
      <c r="OJ19" s="270"/>
      <c r="OK19" s="270"/>
      <c r="OL19" s="270"/>
      <c r="OM19" s="270"/>
      <c r="ON19" s="270"/>
      <c r="OO19" s="270"/>
      <c r="OP19" s="270"/>
      <c r="OQ19" s="270"/>
      <c r="OR19" s="270"/>
      <c r="OS19" s="270"/>
      <c r="OT19" s="270"/>
      <c r="OU19" s="270"/>
      <c r="OV19" s="270"/>
      <c r="OW19" s="270"/>
      <c r="OX19" s="270"/>
      <c r="OY19" s="270"/>
      <c r="OZ19" s="270"/>
      <c r="PA19" s="270"/>
      <c r="PB19" s="270"/>
      <c r="PC19" s="270"/>
      <c r="PD19" s="270"/>
      <c r="PE19" s="270"/>
      <c r="PF19" s="270"/>
      <c r="PG19" s="270"/>
      <c r="PH19" s="270"/>
      <c r="PI19" s="270"/>
      <c r="PJ19" s="270"/>
      <c r="PK19" s="270"/>
      <c r="PL19" s="270"/>
      <c r="PM19" s="270"/>
      <c r="PN19" s="270"/>
      <c r="PO19" s="270"/>
      <c r="PP19" s="270"/>
      <c r="PQ19" s="270"/>
      <c r="PR19" s="270"/>
      <c r="PS19" s="270"/>
      <c r="PT19" s="270"/>
      <c r="PU19" s="270"/>
      <c r="PV19" s="270"/>
      <c r="PW19" s="270"/>
      <c r="PX19" s="270"/>
      <c r="PY19" s="270"/>
      <c r="PZ19" s="270"/>
      <c r="QA19" s="270"/>
      <c r="QB19" s="270"/>
      <c r="QC19" s="270"/>
      <c r="QD19" s="270"/>
      <c r="QE19" s="270"/>
      <c r="QF19" s="270"/>
      <c r="QG19" s="270"/>
      <c r="QH19" s="270"/>
      <c r="QI19" s="270"/>
      <c r="QJ19" s="270"/>
      <c r="QK19" s="270"/>
      <c r="QL19" s="270"/>
      <c r="QM19" s="270"/>
      <c r="QN19" s="270"/>
      <c r="QO19" s="270"/>
      <c r="QP19" s="270"/>
      <c r="QQ19" s="270"/>
      <c r="QR19" s="270"/>
      <c r="QS19" s="270"/>
      <c r="QT19" s="270"/>
      <c r="QU19" s="270"/>
      <c r="QV19" s="270"/>
      <c r="QW19" s="270"/>
      <c r="QX19" s="270"/>
      <c r="QY19" s="270"/>
      <c r="QZ19" s="270"/>
      <c r="RA19" s="270"/>
      <c r="RB19" s="270"/>
      <c r="RC19" s="270"/>
      <c r="RD19" s="270"/>
      <c r="RE19" s="270"/>
      <c r="RF19" s="270"/>
      <c r="RG19" s="270"/>
      <c r="RH19" s="270"/>
      <c r="RI19" s="270"/>
      <c r="RJ19" s="270"/>
      <c r="RK19" s="270"/>
      <c r="RL19" s="270"/>
      <c r="RM19" s="270"/>
      <c r="RN19" s="270"/>
      <c r="RO19" s="270"/>
      <c r="RP19" s="270"/>
      <c r="RQ19" s="270"/>
      <c r="RR19" s="270"/>
      <c r="RS19" s="270"/>
      <c r="RT19" s="270"/>
      <c r="RU19" s="270"/>
      <c r="RV19" s="270"/>
      <c r="RW19" s="270"/>
      <c r="RX19" s="270"/>
      <c r="RY19" s="270"/>
      <c r="RZ19" s="270"/>
      <c r="SA19" s="270"/>
      <c r="SB19" s="270"/>
      <c r="SC19" s="270"/>
      <c r="SD19" s="270"/>
      <c r="SE19" s="270"/>
      <c r="SF19" s="270"/>
      <c r="SG19" s="270"/>
      <c r="SH19" s="270"/>
      <c r="SI19" s="270"/>
      <c r="SJ19" s="270"/>
      <c r="SK19" s="270"/>
      <c r="SL19" s="270"/>
      <c r="SM19" s="270"/>
      <c r="SN19" s="270"/>
      <c r="SO19" s="270"/>
      <c r="SP19" s="270"/>
      <c r="SQ19" s="270"/>
      <c r="SR19" s="270"/>
      <c r="SS19" s="270"/>
      <c r="ST19" s="270"/>
      <c r="SU19" s="270"/>
      <c r="SV19" s="270"/>
      <c r="SW19" s="270"/>
      <c r="SX19" s="270"/>
      <c r="SY19" s="270"/>
      <c r="SZ19" s="270"/>
      <c r="TA19" s="270"/>
      <c r="TB19" s="270"/>
      <c r="TC19" s="270"/>
      <c r="TD19" s="270"/>
      <c r="TE19" s="270"/>
      <c r="TF19" s="270"/>
      <c r="TG19" s="270"/>
      <c r="TH19" s="270"/>
      <c r="TI19" s="270"/>
      <c r="TJ19" s="270"/>
      <c r="TK19" s="270"/>
      <c r="TL19" s="270"/>
      <c r="TM19" s="270"/>
      <c r="TN19" s="270"/>
      <c r="TO19" s="270"/>
      <c r="TP19" s="270"/>
      <c r="TQ19" s="270"/>
      <c r="TR19" s="270"/>
      <c r="TS19" s="270"/>
      <c r="TT19" s="270"/>
      <c r="TU19" s="270"/>
      <c r="TV19" s="270"/>
      <c r="TW19" s="270"/>
      <c r="TX19" s="270"/>
      <c r="TY19" s="270"/>
      <c r="TZ19" s="270"/>
      <c r="UA19" s="270"/>
      <c r="UB19" s="270"/>
      <c r="UC19" s="270"/>
      <c r="UD19" s="270"/>
      <c r="UE19" s="270"/>
      <c r="UF19" s="270"/>
      <c r="UG19" s="270"/>
      <c r="UH19" s="270"/>
      <c r="UI19" s="270"/>
      <c r="UJ19" s="270"/>
      <c r="UK19" s="270"/>
      <c r="UL19" s="270"/>
      <c r="UM19" s="270"/>
      <c r="UN19" s="270"/>
      <c r="UO19" s="270"/>
      <c r="UP19" s="270"/>
      <c r="UQ19" s="270"/>
      <c r="UR19" s="270"/>
      <c r="US19" s="270"/>
      <c r="UT19" s="270"/>
      <c r="UU19" s="270"/>
      <c r="UV19" s="270"/>
      <c r="UW19" s="270"/>
      <c r="UX19" s="270"/>
      <c r="UY19" s="270"/>
      <c r="UZ19" s="270"/>
      <c r="VA19" s="270"/>
      <c r="VB19" s="270"/>
      <c r="VC19" s="270"/>
      <c r="VD19" s="270"/>
      <c r="VE19" s="270"/>
      <c r="VF19" s="270"/>
      <c r="VG19" s="270"/>
      <c r="VH19" s="270"/>
      <c r="VI19" s="270"/>
      <c r="VJ19" s="270"/>
      <c r="VK19" s="270"/>
      <c r="VL19" s="270"/>
      <c r="VM19" s="270"/>
      <c r="VN19" s="270"/>
      <c r="VO19" s="270"/>
      <c r="VP19" s="270"/>
      <c r="VQ19" s="270"/>
      <c r="VR19" s="270"/>
      <c r="VS19" s="270"/>
      <c r="VT19" s="270"/>
      <c r="VU19" s="270"/>
      <c r="VV19" s="270"/>
      <c r="VW19" s="270"/>
      <c r="VX19" s="270"/>
      <c r="VY19" s="270"/>
      <c r="VZ19" s="270"/>
      <c r="WA19" s="270"/>
      <c r="WB19" s="270"/>
      <c r="WC19" s="270"/>
      <c r="WD19" s="270"/>
      <c r="WE19" s="270"/>
      <c r="WF19" s="270"/>
      <c r="WG19" s="270"/>
      <c r="WH19" s="270"/>
      <c r="WI19" s="270"/>
      <c r="WJ19" s="270"/>
      <c r="WK19" s="270"/>
      <c r="WL19" s="270"/>
      <c r="WM19" s="270"/>
      <c r="WN19" s="270"/>
      <c r="WO19" s="270"/>
      <c r="WP19" s="270"/>
      <c r="WQ19" s="270"/>
      <c r="WR19" s="270"/>
      <c r="WS19" s="270"/>
      <c r="WT19" s="270"/>
      <c r="WU19" s="270"/>
      <c r="WV19" s="270"/>
      <c r="WW19" s="270"/>
      <c r="WX19" s="270"/>
      <c r="WY19" s="270"/>
      <c r="WZ19" s="270"/>
      <c r="XA19" s="270"/>
      <c r="XB19" s="270"/>
      <c r="XC19" s="270"/>
      <c r="XD19" s="270"/>
      <c r="XE19" s="270"/>
      <c r="XF19" s="270"/>
      <c r="XG19" s="270"/>
      <c r="XH19" s="270"/>
      <c r="XI19" s="270"/>
      <c r="XJ19" s="270"/>
      <c r="XK19" s="270"/>
      <c r="XL19" s="270"/>
      <c r="XM19" s="270"/>
      <c r="XN19" s="270"/>
      <c r="XO19" s="270"/>
      <c r="XP19" s="270"/>
      <c r="XQ19" s="270"/>
      <c r="XR19" s="270"/>
      <c r="XS19" s="270"/>
      <c r="XT19" s="270"/>
      <c r="XU19" s="270"/>
      <c r="XV19" s="270"/>
      <c r="XW19" s="270"/>
      <c r="XX19" s="270"/>
      <c r="XY19" s="270"/>
      <c r="XZ19" s="270"/>
      <c r="YA19" s="270"/>
      <c r="YB19" s="270"/>
      <c r="YC19" s="270"/>
      <c r="YD19" s="270"/>
      <c r="YE19" s="270"/>
      <c r="YF19" s="270"/>
      <c r="YG19" s="270"/>
      <c r="YH19" s="270"/>
      <c r="YI19" s="270"/>
      <c r="YJ19" s="270"/>
      <c r="YK19" s="270"/>
      <c r="YL19" s="270"/>
      <c r="YM19" s="270"/>
      <c r="YN19" s="270"/>
      <c r="YO19" s="270"/>
      <c r="YP19" s="270"/>
      <c r="YQ19" s="270"/>
      <c r="YR19" s="270"/>
      <c r="YS19" s="270"/>
      <c r="YT19" s="270"/>
      <c r="YU19" s="270"/>
      <c r="YV19" s="270"/>
      <c r="YW19" s="270"/>
      <c r="YX19" s="270"/>
      <c r="YY19" s="270"/>
      <c r="YZ19" s="270"/>
      <c r="ZA19" s="270"/>
      <c r="ZB19" s="270"/>
      <c r="ZC19" s="270"/>
      <c r="ZD19" s="270"/>
      <c r="ZE19" s="270"/>
      <c r="ZF19" s="270"/>
      <c r="ZG19" s="270"/>
      <c r="ZH19" s="270"/>
      <c r="ZI19" s="270"/>
      <c r="ZJ19" s="270"/>
      <c r="ZK19" s="270"/>
      <c r="ZL19" s="270"/>
      <c r="ZM19" s="270"/>
      <c r="ZN19" s="270"/>
      <c r="ZO19" s="270"/>
      <c r="ZP19" s="270"/>
      <c r="ZQ19" s="270"/>
      <c r="ZR19" s="270"/>
      <c r="ZS19" s="270"/>
      <c r="ZT19" s="270"/>
      <c r="ZU19" s="270"/>
      <c r="ZV19" s="270"/>
      <c r="ZW19" s="270"/>
      <c r="ZX19" s="270"/>
      <c r="ZY19" s="270"/>
      <c r="ZZ19" s="270"/>
      <c r="AAA19" s="270"/>
      <c r="AAB19" s="270"/>
      <c r="AAC19" s="270"/>
      <c r="AAD19" s="270"/>
      <c r="AAE19" s="270"/>
      <c r="AAF19" s="270"/>
      <c r="AAG19" s="270"/>
      <c r="AAH19" s="270"/>
      <c r="AAI19" s="270"/>
      <c r="AAJ19" s="270"/>
      <c r="AAK19" s="270"/>
      <c r="AAL19" s="270"/>
      <c r="AAM19" s="270"/>
      <c r="AAN19" s="270"/>
      <c r="AAO19" s="270"/>
      <c r="AAP19" s="270"/>
      <c r="AAQ19" s="270"/>
      <c r="AAR19" s="270"/>
      <c r="AAS19" s="270"/>
      <c r="AAT19" s="270"/>
      <c r="AAU19" s="270"/>
      <c r="AAV19" s="270"/>
      <c r="AAW19" s="270"/>
      <c r="AAX19" s="270"/>
      <c r="AAY19" s="270"/>
      <c r="AAZ19" s="270"/>
      <c r="ABA19" s="270"/>
      <c r="ABB19" s="270"/>
      <c r="ABC19" s="270"/>
      <c r="ABD19" s="270"/>
      <c r="ABE19" s="270"/>
      <c r="ABF19" s="270"/>
      <c r="ABG19" s="270"/>
      <c r="ABH19" s="270"/>
      <c r="ABI19" s="270"/>
      <c r="ABJ19" s="270"/>
      <c r="ABK19" s="270"/>
      <c r="ABL19" s="270"/>
      <c r="ABM19" s="270"/>
      <c r="ABN19" s="270"/>
      <c r="ABO19" s="270"/>
      <c r="ABP19" s="270"/>
      <c r="ABQ19" s="270"/>
      <c r="ABR19" s="270"/>
      <c r="ABS19" s="270"/>
      <c r="ABT19" s="270"/>
      <c r="ABU19" s="270"/>
      <c r="ABV19" s="270"/>
      <c r="ABW19" s="270"/>
      <c r="ABX19" s="270"/>
      <c r="ABY19" s="270"/>
      <c r="ABZ19" s="270"/>
      <c r="ACA19" s="270"/>
      <c r="ACB19" s="270"/>
      <c r="ACC19" s="270"/>
      <c r="ACD19" s="270"/>
      <c r="ACE19" s="270"/>
      <c r="ACF19" s="270"/>
      <c r="ACG19" s="270"/>
      <c r="ACH19" s="270"/>
      <c r="ACI19" s="270"/>
      <c r="ACJ19" s="270"/>
      <c r="ACK19" s="270"/>
      <c r="ACL19" s="270"/>
      <c r="ACM19" s="270"/>
      <c r="ACN19" s="270"/>
      <c r="ACO19" s="270"/>
      <c r="ACP19" s="270"/>
      <c r="ACQ19" s="270"/>
      <c r="ACR19" s="270"/>
      <c r="ACS19" s="270"/>
      <c r="ACT19" s="270"/>
      <c r="ACU19" s="270"/>
      <c r="ACV19" s="270"/>
      <c r="ACW19" s="270"/>
      <c r="ACX19" s="270"/>
      <c r="ACY19" s="270"/>
      <c r="ACZ19" s="270"/>
      <c r="ADA19" s="270"/>
      <c r="ADB19" s="270"/>
      <c r="ADC19" s="270"/>
      <c r="ADD19" s="270"/>
      <c r="ADE19" s="270"/>
      <c r="ADF19" s="270"/>
      <c r="ADG19" s="270"/>
      <c r="ADH19" s="270"/>
      <c r="ADI19" s="270"/>
      <c r="ADJ19" s="270"/>
      <c r="ADK19" s="270"/>
      <c r="ADL19" s="270"/>
      <c r="ADM19" s="270"/>
      <c r="ADN19" s="270"/>
      <c r="ADO19" s="270"/>
      <c r="ADP19" s="270"/>
      <c r="ADQ19" s="270"/>
      <c r="ADR19" s="270"/>
      <c r="ADS19" s="270"/>
      <c r="ADT19" s="270"/>
      <c r="ADU19" s="270"/>
      <c r="ADV19" s="270"/>
      <c r="ADW19" s="270"/>
      <c r="ADX19" s="270"/>
      <c r="ADY19" s="270"/>
      <c r="ADZ19" s="270"/>
      <c r="AEA19" s="270"/>
      <c r="AEB19" s="270"/>
      <c r="AEC19" s="270"/>
      <c r="AED19" s="270"/>
      <c r="AEE19" s="270"/>
      <c r="AEF19" s="270"/>
      <c r="AEG19" s="270"/>
      <c r="AEH19" s="270"/>
      <c r="AEI19" s="270"/>
      <c r="AEJ19" s="270"/>
      <c r="AEK19" s="270"/>
      <c r="AEL19" s="270"/>
      <c r="AEM19" s="270"/>
      <c r="AEN19" s="270"/>
      <c r="AEO19" s="270"/>
      <c r="AEP19" s="270"/>
      <c r="AEQ19" s="270"/>
      <c r="AER19" s="270"/>
      <c r="AES19" s="270"/>
      <c r="AET19" s="270"/>
      <c r="AEU19" s="270"/>
      <c r="AEV19" s="270"/>
      <c r="AEW19" s="270"/>
      <c r="AEX19" s="270"/>
      <c r="AEY19" s="270"/>
      <c r="AEZ19" s="270"/>
      <c r="AFA19" s="270"/>
      <c r="AFB19" s="270"/>
      <c r="AFC19" s="270"/>
      <c r="AFD19" s="270"/>
      <c r="AFE19" s="270"/>
      <c r="AFF19" s="270"/>
      <c r="AFG19" s="270"/>
      <c r="AFH19" s="270"/>
      <c r="AFI19" s="270"/>
      <c r="AFJ19" s="270"/>
      <c r="AFK19" s="270"/>
      <c r="AFL19" s="270"/>
      <c r="AFM19" s="270"/>
      <c r="AFN19" s="270"/>
      <c r="AFO19" s="270"/>
      <c r="AFP19" s="270"/>
      <c r="AFQ19" s="270"/>
      <c r="AFR19" s="270"/>
      <c r="AFS19" s="270"/>
      <c r="AFT19" s="270"/>
      <c r="AFU19" s="270"/>
      <c r="AFV19" s="270"/>
      <c r="AFW19" s="270"/>
      <c r="AFX19" s="270"/>
      <c r="AFY19" s="270"/>
      <c r="AFZ19" s="270"/>
      <c r="AGA19" s="270"/>
      <c r="AGB19" s="270"/>
      <c r="AGC19" s="270"/>
      <c r="AGD19" s="270"/>
      <c r="AGE19" s="270"/>
      <c r="AGF19" s="270"/>
      <c r="AGG19" s="270"/>
      <c r="AGH19" s="270"/>
      <c r="AGI19" s="270"/>
      <c r="AGJ19" s="270"/>
      <c r="AGK19" s="270"/>
      <c r="AGL19" s="270"/>
      <c r="AGM19" s="270"/>
      <c r="AGN19" s="270"/>
      <c r="AGO19" s="270"/>
      <c r="AGP19" s="270"/>
      <c r="AGQ19" s="270"/>
      <c r="AGR19" s="270"/>
      <c r="AGS19" s="270"/>
      <c r="AGT19" s="270"/>
      <c r="AGU19" s="270"/>
      <c r="AGV19" s="270"/>
      <c r="AGW19" s="270"/>
      <c r="AGX19" s="270"/>
      <c r="AGY19" s="270"/>
      <c r="AGZ19" s="270"/>
      <c r="AHA19" s="270"/>
      <c r="AHB19" s="270"/>
      <c r="AHC19" s="270"/>
      <c r="AHD19" s="270"/>
      <c r="AHE19" s="270"/>
      <c r="AHF19" s="270"/>
      <c r="AHG19" s="270"/>
      <c r="AHH19" s="270"/>
      <c r="AHI19" s="270"/>
      <c r="AHJ19" s="270"/>
      <c r="AHK19" s="270"/>
      <c r="AHL19" s="270"/>
      <c r="AHM19" s="270"/>
      <c r="AHN19" s="270"/>
      <c r="AHO19" s="270"/>
      <c r="AHP19" s="270"/>
      <c r="AHQ19" s="270"/>
      <c r="AHR19" s="270"/>
      <c r="AHS19" s="270"/>
      <c r="AHT19" s="270"/>
      <c r="AHU19" s="270"/>
      <c r="AHV19" s="270"/>
      <c r="AHW19" s="270"/>
      <c r="AHX19" s="270"/>
      <c r="AHY19" s="270"/>
      <c r="AHZ19" s="270"/>
      <c r="AIA19" s="270"/>
      <c r="AIB19" s="270"/>
      <c r="AIC19" s="270"/>
      <c r="AID19" s="270"/>
      <c r="AIE19" s="270"/>
      <c r="AIF19" s="270"/>
      <c r="AIG19" s="270"/>
      <c r="AIH19" s="270"/>
      <c r="AII19" s="270"/>
      <c r="AIJ19" s="270"/>
      <c r="AIK19" s="270"/>
      <c r="AIL19" s="270"/>
      <c r="AIM19" s="270"/>
      <c r="AIN19" s="270"/>
      <c r="AIO19" s="270"/>
      <c r="AIP19" s="270"/>
      <c r="AIQ19" s="270"/>
      <c r="AIR19" s="270"/>
      <c r="AIS19" s="270"/>
      <c r="AIT19" s="270"/>
      <c r="AIU19" s="270"/>
      <c r="AIV19" s="270"/>
      <c r="AIW19" s="270"/>
      <c r="AIX19" s="270"/>
      <c r="AIY19" s="270"/>
      <c r="AIZ19" s="270"/>
      <c r="AJA19" s="270"/>
      <c r="AJB19" s="270"/>
      <c r="AJC19" s="270"/>
      <c r="AJD19" s="270"/>
      <c r="AJE19" s="270"/>
      <c r="AJF19" s="270"/>
      <c r="AJG19" s="270"/>
      <c r="AJH19" s="270"/>
      <c r="AJI19" s="270"/>
      <c r="AJJ19" s="270"/>
      <c r="AJK19" s="270"/>
      <c r="AJL19" s="270"/>
      <c r="AJM19" s="270"/>
      <c r="AJN19" s="270"/>
      <c r="AJO19" s="270"/>
      <c r="AJP19" s="270"/>
      <c r="AJQ19" s="270"/>
      <c r="AJR19" s="270"/>
      <c r="AJS19" s="270"/>
      <c r="AJT19" s="270"/>
      <c r="AJU19" s="270"/>
      <c r="AJV19" s="270"/>
      <c r="AJW19" s="270"/>
      <c r="AJX19" s="270"/>
      <c r="AJY19" s="270"/>
      <c r="AJZ19" s="270"/>
      <c r="AKA19" s="270"/>
      <c r="AKB19" s="270"/>
      <c r="AKC19" s="270"/>
      <c r="AKD19" s="270"/>
      <c r="AKE19" s="270"/>
      <c r="AKF19" s="270"/>
      <c r="AKG19" s="270"/>
      <c r="AKH19" s="270"/>
      <c r="AKI19" s="270"/>
      <c r="AKJ19" s="270"/>
      <c r="AKK19" s="270"/>
      <c r="AKL19" s="270"/>
      <c r="AKM19" s="270"/>
      <c r="AKN19" s="270"/>
      <c r="AKO19" s="270"/>
      <c r="AKP19" s="270"/>
      <c r="AKQ19" s="270"/>
      <c r="AKR19" s="270"/>
      <c r="AKS19" s="270"/>
      <c r="AKT19" s="270"/>
      <c r="AKU19" s="270"/>
      <c r="AKV19" s="270"/>
      <c r="AKW19" s="270"/>
      <c r="AKX19" s="270"/>
      <c r="AKY19" s="270"/>
      <c r="AKZ19" s="270"/>
      <c r="ALA19" s="270"/>
      <c r="ALB19" s="270"/>
      <c r="ALC19" s="270"/>
      <c r="ALD19" s="270"/>
      <c r="ALE19" s="270"/>
      <c r="ALF19" s="270"/>
      <c r="ALG19" s="270"/>
      <c r="ALH19" s="270"/>
      <c r="ALI19" s="270"/>
      <c r="ALJ19" s="270"/>
      <c r="ALK19" s="270"/>
      <c r="ALL19" s="270"/>
      <c r="ALM19" s="270"/>
      <c r="ALN19" s="270"/>
      <c r="ALO19" s="270"/>
      <c r="ALP19" s="270"/>
      <c r="ALQ19" s="270"/>
      <c r="ALR19" s="270"/>
      <c r="ALS19" s="270"/>
      <c r="ALT19" s="270"/>
      <c r="ALU19" s="270"/>
      <c r="ALV19" s="270"/>
      <c r="ALW19" s="270"/>
      <c r="ALX19" s="270"/>
      <c r="ALY19" s="270"/>
      <c r="ALZ19" s="270"/>
      <c r="AMA19" s="270"/>
      <c r="AMB19" s="270"/>
      <c r="AMC19" s="270"/>
      <c r="AMD19" s="270"/>
      <c r="AME19" s="270"/>
      <c r="AMF19" s="270"/>
      <c r="AMG19" s="270"/>
      <c r="AMH19" s="270"/>
      <c r="AMI19" s="270"/>
      <c r="AMJ19" s="270"/>
      <c r="AMK19" s="270"/>
      <c r="AML19" s="270"/>
      <c r="AMM19" s="270"/>
      <c r="AMN19" s="270"/>
      <c r="AMO19" s="270"/>
      <c r="AMP19" s="270"/>
      <c r="AMQ19" s="270"/>
      <c r="AMR19" s="270"/>
      <c r="AMS19" s="270"/>
      <c r="AMT19" s="270"/>
      <c r="AMU19" s="270"/>
      <c r="AMV19" s="270"/>
      <c r="AMW19" s="270"/>
      <c r="AMX19" s="270"/>
      <c r="AMY19" s="270"/>
      <c r="AMZ19" s="270"/>
      <c r="ANA19" s="270"/>
      <c r="ANB19" s="270"/>
      <c r="ANC19" s="270"/>
      <c r="AND19" s="270"/>
      <c r="ANE19" s="270"/>
      <c r="ANF19" s="270"/>
      <c r="ANG19" s="270"/>
      <c r="ANH19" s="270"/>
      <c r="ANI19" s="270"/>
      <c r="ANJ19" s="270"/>
      <c r="ANK19" s="270"/>
      <c r="ANL19" s="270"/>
      <c r="ANM19" s="270"/>
      <c r="ANN19" s="270"/>
      <c r="ANO19" s="270"/>
      <c r="ANP19" s="270"/>
      <c r="ANQ19" s="270"/>
      <c r="ANR19" s="270"/>
      <c r="ANS19" s="270"/>
      <c r="ANT19" s="270"/>
      <c r="ANU19" s="270"/>
      <c r="ANV19" s="270"/>
      <c r="ANW19" s="270"/>
      <c r="ANX19" s="270"/>
      <c r="ANY19" s="270"/>
      <c r="ANZ19" s="270"/>
      <c r="AOA19" s="270"/>
      <c r="AOB19" s="270"/>
      <c r="AOC19" s="270"/>
      <c r="AOD19" s="270"/>
      <c r="AOE19" s="270"/>
      <c r="AOF19" s="270"/>
      <c r="AOG19" s="270"/>
      <c r="AOH19" s="270"/>
      <c r="AOI19" s="270"/>
      <c r="AOJ19" s="270"/>
      <c r="AOK19" s="270"/>
      <c r="AOL19" s="270"/>
      <c r="AOM19" s="270"/>
      <c r="AON19" s="270"/>
      <c r="AOO19" s="270"/>
      <c r="AOP19" s="270"/>
      <c r="AOQ19" s="270"/>
      <c r="AOR19" s="270"/>
      <c r="AOS19" s="270"/>
      <c r="AOT19" s="270"/>
      <c r="AOU19" s="270"/>
      <c r="AOV19" s="270"/>
      <c r="AOW19" s="270"/>
      <c r="AOX19" s="270"/>
      <c r="AOY19" s="270"/>
      <c r="AOZ19" s="270"/>
      <c r="APA19" s="270"/>
      <c r="APB19" s="270"/>
      <c r="APC19" s="270"/>
      <c r="APD19" s="270"/>
      <c r="APE19" s="270"/>
      <c r="APF19" s="270"/>
      <c r="APG19" s="270"/>
      <c r="APH19" s="270"/>
      <c r="API19" s="270"/>
      <c r="APJ19" s="270"/>
      <c r="APK19" s="270"/>
      <c r="APL19" s="270"/>
      <c r="APM19" s="270"/>
      <c r="APN19" s="270"/>
      <c r="APO19" s="270"/>
      <c r="APP19" s="270"/>
      <c r="APQ19" s="270"/>
      <c r="APR19" s="270"/>
      <c r="APS19" s="270"/>
      <c r="APT19" s="270"/>
      <c r="APU19" s="270"/>
      <c r="APV19" s="270"/>
      <c r="APW19" s="270"/>
      <c r="APX19" s="270"/>
    </row>
    <row r="20" spans="1:1116" s="40" customFormat="1" ht="15" customHeight="1">
      <c r="A20" s="187"/>
      <c r="B20" s="161"/>
      <c r="C20" s="52"/>
      <c r="D20" s="421"/>
      <c r="E20" s="359"/>
      <c r="F20" s="429"/>
      <c r="G20" s="188"/>
      <c r="H20" s="379"/>
      <c r="I20" s="383"/>
      <c r="J20" s="378"/>
      <c r="K20" s="130"/>
      <c r="L20" s="130"/>
      <c r="M20" s="450"/>
      <c r="N20" s="349"/>
      <c r="O20" s="450"/>
      <c r="P20" s="189"/>
      <c r="Q20" s="608"/>
      <c r="R20" s="609"/>
      <c r="S20" s="609"/>
      <c r="T20" s="577"/>
      <c r="U20" s="577"/>
      <c r="V20" s="577"/>
      <c r="W20" s="541"/>
      <c r="X20" s="541"/>
      <c r="Y20" s="541"/>
      <c r="Z20" s="541"/>
      <c r="AA20" s="541"/>
      <c r="AB20" s="541"/>
      <c r="AC20" s="541"/>
      <c r="AD20" s="541"/>
      <c r="AE20" s="541"/>
      <c r="AF20" s="541"/>
      <c r="AG20" s="541"/>
      <c r="AH20" s="541"/>
      <c r="AI20" s="541"/>
      <c r="AJ20" s="541"/>
      <c r="AK20" s="541"/>
      <c r="AL20" s="541"/>
      <c r="AM20" s="541"/>
      <c r="AN20" s="541"/>
      <c r="AO20" s="541"/>
      <c r="AP20" s="541"/>
      <c r="AQ20" s="541"/>
      <c r="AR20" s="541"/>
      <c r="AS20" s="541"/>
      <c r="AT20" s="541"/>
      <c r="AU20" s="541"/>
      <c r="AV20" s="541"/>
      <c r="AW20" s="541"/>
      <c r="AX20" s="541"/>
      <c r="AY20" s="541"/>
      <c r="AZ20" s="541"/>
      <c r="BA20" s="541"/>
      <c r="BB20" s="541"/>
      <c r="BC20" s="541"/>
      <c r="BD20" s="541"/>
      <c r="BE20" s="541"/>
      <c r="BF20" s="541"/>
      <c r="BG20" s="541"/>
      <c r="BH20" s="541"/>
      <c r="BI20" s="541"/>
      <c r="BJ20" s="541"/>
      <c r="BK20" s="541"/>
      <c r="BL20" s="541"/>
      <c r="BM20" s="541"/>
      <c r="BN20" s="541"/>
      <c r="BO20" s="541"/>
      <c r="BP20" s="541"/>
      <c r="BQ20" s="541"/>
      <c r="BR20" s="541"/>
      <c r="BS20" s="541"/>
      <c r="BT20" s="541"/>
      <c r="BU20" s="541"/>
      <c r="BV20" s="541"/>
      <c r="BW20" s="541"/>
      <c r="BX20" s="541"/>
      <c r="BY20" s="541"/>
      <c r="BZ20" s="541"/>
      <c r="CA20" s="541"/>
      <c r="CB20" s="541"/>
      <c r="CC20" s="541"/>
      <c r="CD20" s="542"/>
      <c r="CE20" s="609"/>
      <c r="CF20" s="541"/>
      <c r="CG20" s="541"/>
      <c r="CH20" s="541"/>
      <c r="CI20" s="541"/>
      <c r="CJ20" s="541"/>
      <c r="CK20" s="541"/>
      <c r="CL20" s="541"/>
      <c r="CM20" s="541"/>
      <c r="CN20" s="541"/>
      <c r="CO20" s="541"/>
      <c r="CP20" s="541"/>
      <c r="CQ20" s="541"/>
      <c r="CR20" s="541"/>
      <c r="CS20" s="541"/>
      <c r="CT20" s="541"/>
      <c r="CU20" s="541"/>
      <c r="CV20" s="541"/>
      <c r="CW20" s="541"/>
      <c r="CX20" s="541"/>
      <c r="CY20" s="541"/>
      <c r="CZ20" s="541"/>
      <c r="DA20" s="541"/>
      <c r="DB20" s="541"/>
      <c r="DC20" s="541"/>
      <c r="DD20" s="541"/>
      <c r="DE20" s="541"/>
      <c r="DF20" s="541"/>
      <c r="DG20" s="541"/>
      <c r="DH20" s="541"/>
      <c r="DI20" s="541"/>
      <c r="DJ20" s="541"/>
      <c r="DK20" s="541"/>
      <c r="DL20" s="541"/>
      <c r="DM20" s="541"/>
      <c r="DN20" s="541"/>
      <c r="DO20" s="541"/>
      <c r="DP20" s="541"/>
      <c r="DQ20" s="541"/>
      <c r="DR20" s="541"/>
      <c r="DS20" s="541"/>
      <c r="DT20" s="541"/>
      <c r="DU20" s="541"/>
      <c r="DV20" s="541"/>
      <c r="DW20" s="541"/>
      <c r="DX20" s="541"/>
      <c r="DY20" s="541"/>
      <c r="DZ20" s="541"/>
      <c r="EA20" s="541"/>
      <c r="EB20" s="541"/>
      <c r="EC20" s="541"/>
      <c r="ED20" s="541"/>
      <c r="EE20" s="541"/>
      <c r="EF20" s="541"/>
      <c r="EG20" s="541"/>
      <c r="EH20" s="541"/>
      <c r="EI20" s="541"/>
      <c r="EJ20" s="541"/>
      <c r="EK20" s="541"/>
      <c r="EL20" s="541"/>
      <c r="EM20" s="542"/>
      <c r="EN20" s="609"/>
      <c r="EO20" s="609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  <c r="IW20" s="52"/>
      <c r="IX20" s="52"/>
      <c r="IY20" s="52"/>
      <c r="IZ20" s="52"/>
      <c r="JA20" s="52"/>
      <c r="JB20" s="52"/>
      <c r="JC20" s="52"/>
      <c r="JD20" s="52"/>
      <c r="JE20" s="52"/>
      <c r="JF20" s="52"/>
      <c r="JG20" s="52"/>
      <c r="JH20" s="52"/>
      <c r="JI20" s="52"/>
      <c r="JJ20" s="52"/>
      <c r="JK20" s="52"/>
      <c r="JL20" s="52"/>
      <c r="JM20" s="52"/>
      <c r="JN20" s="52"/>
      <c r="JO20" s="52"/>
      <c r="JP20" s="52"/>
      <c r="JQ20" s="52"/>
      <c r="JR20" s="52"/>
      <c r="JS20" s="52"/>
      <c r="JT20" s="52"/>
      <c r="JU20" s="52"/>
      <c r="JV20" s="52"/>
      <c r="JW20" s="52"/>
      <c r="JX20" s="52"/>
      <c r="JY20" s="52"/>
      <c r="JZ20" s="52"/>
      <c r="KA20" s="52"/>
      <c r="KB20" s="52"/>
      <c r="KC20" s="52"/>
      <c r="KD20" s="52"/>
      <c r="KE20" s="52"/>
      <c r="KF20" s="52"/>
      <c r="KG20" s="52"/>
      <c r="KH20" s="52"/>
      <c r="KI20" s="52"/>
      <c r="KJ20" s="52"/>
      <c r="KK20" s="52"/>
      <c r="KL20" s="52"/>
      <c r="KM20" s="52"/>
      <c r="KN20" s="52"/>
      <c r="KO20" s="52"/>
      <c r="KP20" s="52"/>
      <c r="KQ20" s="52"/>
      <c r="KR20" s="52"/>
      <c r="KS20" s="52"/>
      <c r="KT20" s="52"/>
      <c r="KU20" s="52"/>
      <c r="KV20" s="52"/>
      <c r="KW20" s="52"/>
      <c r="KX20" s="52"/>
      <c r="KY20" s="52"/>
      <c r="KZ20" s="52"/>
      <c r="LA20" s="52"/>
      <c r="LB20" s="52"/>
      <c r="LC20" s="52"/>
      <c r="LD20" s="52"/>
      <c r="LE20" s="52"/>
      <c r="LF20" s="52"/>
      <c r="LG20" s="52"/>
      <c r="LH20" s="52"/>
      <c r="LI20" s="52"/>
      <c r="LJ20" s="52"/>
      <c r="LK20" s="52"/>
      <c r="LL20" s="52"/>
      <c r="LM20" s="52"/>
      <c r="LN20" s="52"/>
      <c r="LO20" s="52"/>
      <c r="LP20" s="52"/>
      <c r="LQ20" s="52"/>
      <c r="LR20" s="52"/>
      <c r="LS20" s="52"/>
      <c r="LT20" s="52"/>
      <c r="LU20" s="52"/>
      <c r="LV20" s="52"/>
      <c r="LW20" s="52"/>
      <c r="LX20" s="52"/>
      <c r="LY20" s="52"/>
      <c r="LZ20" s="52"/>
      <c r="MA20" s="52"/>
      <c r="MB20" s="52"/>
      <c r="MC20" s="52"/>
      <c r="MD20" s="52"/>
      <c r="ME20" s="52"/>
      <c r="MF20" s="52"/>
      <c r="MG20" s="52"/>
      <c r="MH20" s="52"/>
      <c r="MI20" s="52"/>
      <c r="MJ20" s="52"/>
      <c r="MK20" s="52"/>
      <c r="ML20" s="52"/>
      <c r="MM20" s="52"/>
      <c r="MN20" s="52"/>
      <c r="MO20" s="52"/>
      <c r="MP20" s="52"/>
      <c r="MQ20" s="52"/>
      <c r="MR20" s="52"/>
      <c r="MS20" s="52"/>
      <c r="MT20" s="52"/>
      <c r="MU20" s="52"/>
      <c r="MV20" s="52"/>
      <c r="MW20" s="52"/>
      <c r="MX20" s="52"/>
      <c r="MY20" s="52"/>
      <c r="MZ20" s="52"/>
      <c r="NA20" s="52"/>
      <c r="NB20" s="52"/>
      <c r="NC20" s="52"/>
      <c r="ND20" s="52"/>
      <c r="NE20" s="52"/>
      <c r="NF20" s="52"/>
      <c r="NG20" s="52"/>
      <c r="NH20" s="52"/>
      <c r="NI20" s="52"/>
      <c r="NJ20" s="52"/>
      <c r="NK20" s="52"/>
      <c r="NL20" s="52"/>
      <c r="NM20" s="52"/>
      <c r="NN20" s="52"/>
      <c r="NO20" s="52"/>
      <c r="NP20" s="52"/>
      <c r="NQ20" s="52"/>
      <c r="NR20" s="52"/>
      <c r="NS20" s="52"/>
      <c r="NT20" s="52"/>
      <c r="NU20" s="52"/>
      <c r="NV20" s="52"/>
      <c r="NW20" s="52"/>
      <c r="NX20" s="52"/>
      <c r="NY20" s="52"/>
      <c r="NZ20" s="52"/>
      <c r="OA20" s="52"/>
      <c r="OB20" s="52"/>
      <c r="OC20" s="52"/>
      <c r="OD20" s="52"/>
      <c r="OE20" s="52"/>
      <c r="OF20" s="52"/>
      <c r="OG20" s="52"/>
      <c r="OH20" s="52"/>
      <c r="OI20" s="52"/>
      <c r="OJ20" s="52"/>
      <c r="OK20" s="52"/>
      <c r="OL20" s="52"/>
      <c r="OM20" s="52"/>
      <c r="ON20" s="52"/>
      <c r="OO20" s="52"/>
      <c r="OP20" s="52"/>
      <c r="OQ20" s="52"/>
      <c r="OR20" s="52"/>
      <c r="OS20" s="52"/>
      <c r="OT20" s="52"/>
      <c r="OU20" s="52"/>
      <c r="OV20" s="52"/>
      <c r="OW20" s="52"/>
      <c r="OX20" s="52"/>
      <c r="OY20" s="52"/>
      <c r="OZ20" s="52"/>
      <c r="PA20" s="52"/>
      <c r="PB20" s="52"/>
      <c r="PC20" s="52"/>
      <c r="PD20" s="52"/>
      <c r="PE20" s="52"/>
      <c r="PF20" s="52"/>
      <c r="PG20" s="52"/>
      <c r="PH20" s="52"/>
      <c r="PI20" s="52"/>
      <c r="PJ20" s="52"/>
      <c r="PK20" s="52"/>
      <c r="PL20" s="52"/>
      <c r="PM20" s="52"/>
      <c r="PN20" s="52"/>
      <c r="PO20" s="52"/>
      <c r="PP20" s="52"/>
      <c r="PQ20" s="52"/>
      <c r="PR20" s="52"/>
      <c r="PS20" s="52"/>
      <c r="PT20" s="52"/>
      <c r="PU20" s="52"/>
      <c r="PV20" s="52"/>
      <c r="PW20" s="52"/>
      <c r="PX20" s="52"/>
      <c r="PY20" s="52"/>
      <c r="PZ20" s="52"/>
      <c r="QA20" s="52"/>
      <c r="QB20" s="52"/>
      <c r="QC20" s="52"/>
      <c r="QD20" s="52"/>
      <c r="QE20" s="52"/>
      <c r="QF20" s="52"/>
      <c r="QG20" s="52"/>
      <c r="QH20" s="52"/>
      <c r="QI20" s="52"/>
      <c r="QJ20" s="52"/>
      <c r="QK20" s="52"/>
      <c r="QL20" s="52"/>
      <c r="QM20" s="52"/>
      <c r="QN20" s="52"/>
      <c r="QO20" s="52"/>
      <c r="QP20" s="52"/>
      <c r="QQ20" s="52"/>
      <c r="QR20" s="52"/>
      <c r="QS20" s="52"/>
      <c r="QT20" s="52"/>
      <c r="QU20" s="52"/>
      <c r="QV20" s="52"/>
      <c r="QW20" s="52"/>
      <c r="QX20" s="52"/>
      <c r="QY20" s="52"/>
      <c r="QZ20" s="52"/>
      <c r="RA20" s="52"/>
      <c r="RB20" s="52"/>
      <c r="RC20" s="52"/>
      <c r="RD20" s="52"/>
      <c r="RE20" s="52"/>
      <c r="RF20" s="52"/>
      <c r="RG20" s="52"/>
      <c r="RH20" s="52"/>
      <c r="RI20" s="52"/>
      <c r="RJ20" s="52"/>
      <c r="RK20" s="52"/>
      <c r="RL20" s="52"/>
      <c r="RM20" s="52"/>
      <c r="RN20" s="52"/>
      <c r="RO20" s="52"/>
      <c r="RP20" s="52"/>
      <c r="RQ20" s="52"/>
      <c r="RR20" s="52"/>
      <c r="RS20" s="52"/>
      <c r="RT20" s="52"/>
      <c r="RU20" s="52"/>
      <c r="RV20" s="52"/>
      <c r="RW20" s="52"/>
      <c r="RX20" s="52"/>
      <c r="RY20" s="52"/>
      <c r="RZ20" s="52"/>
      <c r="SA20" s="52"/>
      <c r="SB20" s="52"/>
      <c r="SC20" s="52"/>
      <c r="SD20" s="52"/>
      <c r="SE20" s="52"/>
      <c r="SF20" s="52"/>
      <c r="SG20" s="52"/>
      <c r="SH20" s="52"/>
      <c r="SI20" s="52"/>
      <c r="SJ20" s="52"/>
      <c r="SK20" s="52"/>
      <c r="SL20" s="52"/>
      <c r="SM20" s="52"/>
      <c r="SN20" s="52"/>
      <c r="SO20" s="52"/>
      <c r="SP20" s="52"/>
      <c r="SQ20" s="52"/>
      <c r="SR20" s="52"/>
      <c r="SS20" s="52"/>
      <c r="ST20" s="52"/>
      <c r="SU20" s="52"/>
      <c r="SV20" s="52"/>
      <c r="SW20" s="52"/>
      <c r="SX20" s="52"/>
      <c r="SY20" s="52"/>
      <c r="SZ20" s="52"/>
      <c r="TA20" s="52"/>
      <c r="TB20" s="52"/>
      <c r="TC20" s="52"/>
      <c r="TD20" s="52"/>
      <c r="TE20" s="52"/>
      <c r="TF20" s="52"/>
      <c r="TG20" s="52"/>
      <c r="TH20" s="52"/>
      <c r="TI20" s="52"/>
      <c r="TJ20" s="52"/>
      <c r="TK20" s="52"/>
      <c r="TL20" s="52"/>
      <c r="TM20" s="52"/>
      <c r="TN20" s="52"/>
      <c r="TO20" s="52"/>
      <c r="TP20" s="52"/>
      <c r="TQ20" s="52"/>
      <c r="TR20" s="52"/>
      <c r="TS20" s="52"/>
      <c r="TT20" s="52"/>
      <c r="TU20" s="52"/>
      <c r="TV20" s="52"/>
      <c r="TW20" s="52"/>
      <c r="TX20" s="52"/>
      <c r="TY20" s="52"/>
      <c r="TZ20" s="52"/>
      <c r="UA20" s="52"/>
      <c r="UB20" s="52"/>
      <c r="UC20" s="52"/>
      <c r="UD20" s="52"/>
      <c r="UE20" s="52"/>
      <c r="UF20" s="52"/>
      <c r="UG20" s="52"/>
      <c r="UH20" s="52"/>
      <c r="UI20" s="52"/>
      <c r="UJ20" s="52"/>
      <c r="UK20" s="52"/>
      <c r="UL20" s="52"/>
      <c r="UM20" s="52"/>
      <c r="UN20" s="52"/>
      <c r="UO20" s="52"/>
      <c r="UP20" s="52"/>
      <c r="UQ20" s="52"/>
      <c r="UR20" s="52"/>
      <c r="US20" s="52"/>
      <c r="UT20" s="52"/>
      <c r="UU20" s="52"/>
      <c r="UV20" s="52"/>
      <c r="UW20" s="52"/>
      <c r="UX20" s="52"/>
      <c r="UY20" s="52"/>
      <c r="UZ20" s="52"/>
      <c r="VA20" s="52"/>
      <c r="VB20" s="52"/>
      <c r="VC20" s="52"/>
      <c r="VD20" s="52"/>
      <c r="VE20" s="52"/>
      <c r="VF20" s="52"/>
      <c r="VG20" s="52"/>
      <c r="VH20" s="52"/>
      <c r="VI20" s="52"/>
      <c r="VJ20" s="52"/>
      <c r="VK20" s="52"/>
      <c r="VL20" s="52"/>
      <c r="VM20" s="52"/>
      <c r="VN20" s="52"/>
      <c r="VO20" s="52"/>
      <c r="VP20" s="52"/>
      <c r="VQ20" s="52"/>
      <c r="VR20" s="52"/>
      <c r="VS20" s="52"/>
      <c r="VT20" s="52"/>
      <c r="VU20" s="52"/>
      <c r="VV20" s="52"/>
      <c r="VW20" s="52"/>
      <c r="VX20" s="52"/>
      <c r="VY20" s="52"/>
      <c r="VZ20" s="52"/>
      <c r="WA20" s="52"/>
      <c r="WB20" s="52"/>
      <c r="WC20" s="52"/>
      <c r="WD20" s="52"/>
      <c r="WE20" s="52"/>
      <c r="WF20" s="52"/>
      <c r="WG20" s="52"/>
      <c r="WH20" s="52"/>
      <c r="WI20" s="52"/>
      <c r="WJ20" s="52"/>
      <c r="WK20" s="52"/>
      <c r="WL20" s="52"/>
      <c r="WM20" s="52"/>
      <c r="WN20" s="52"/>
      <c r="WO20" s="52"/>
      <c r="WP20" s="52"/>
      <c r="WQ20" s="52"/>
      <c r="WR20" s="52"/>
      <c r="WS20" s="52"/>
      <c r="WT20" s="52"/>
      <c r="WU20" s="52"/>
      <c r="WV20" s="52"/>
      <c r="WW20" s="52"/>
      <c r="WX20" s="52"/>
      <c r="WY20" s="52"/>
      <c r="WZ20" s="52"/>
      <c r="XA20" s="52"/>
      <c r="XB20" s="52"/>
      <c r="XC20" s="52"/>
      <c r="XD20" s="52"/>
      <c r="XE20" s="52"/>
      <c r="XF20" s="52"/>
      <c r="XG20" s="52"/>
      <c r="XH20" s="52"/>
      <c r="XI20" s="52"/>
      <c r="XJ20" s="52"/>
      <c r="XK20" s="52"/>
      <c r="XL20" s="52"/>
      <c r="XM20" s="52"/>
      <c r="XN20" s="52"/>
      <c r="XO20" s="52"/>
      <c r="XP20" s="52"/>
      <c r="XQ20" s="52"/>
      <c r="XR20" s="52"/>
      <c r="XS20" s="52"/>
      <c r="XT20" s="52"/>
      <c r="XU20" s="52"/>
      <c r="XV20" s="52"/>
      <c r="XW20" s="52"/>
      <c r="XX20" s="52"/>
      <c r="XY20" s="52"/>
      <c r="XZ20" s="52"/>
      <c r="YA20" s="52"/>
      <c r="YB20" s="52"/>
      <c r="YC20" s="52"/>
      <c r="YD20" s="52"/>
      <c r="YE20" s="52"/>
      <c r="YF20" s="52"/>
      <c r="YG20" s="52"/>
      <c r="YH20" s="52"/>
      <c r="YI20" s="52"/>
      <c r="YJ20" s="52"/>
      <c r="YK20" s="52"/>
      <c r="YL20" s="52"/>
      <c r="YM20" s="52"/>
      <c r="YN20" s="52"/>
      <c r="YO20" s="52"/>
      <c r="YP20" s="52"/>
      <c r="YQ20" s="52"/>
      <c r="YR20" s="52"/>
      <c r="YS20" s="52"/>
      <c r="YT20" s="52"/>
      <c r="YU20" s="52"/>
      <c r="YV20" s="52"/>
      <c r="YW20" s="52"/>
      <c r="YX20" s="52"/>
      <c r="YY20" s="52"/>
      <c r="YZ20" s="52"/>
      <c r="ZA20" s="52"/>
      <c r="ZB20" s="52"/>
      <c r="ZC20" s="52"/>
      <c r="ZD20" s="52"/>
      <c r="ZE20" s="52"/>
      <c r="ZF20" s="52"/>
      <c r="ZG20" s="52"/>
      <c r="ZH20" s="52"/>
      <c r="ZI20" s="52"/>
      <c r="ZJ20" s="52"/>
      <c r="ZK20" s="52"/>
      <c r="ZL20" s="52"/>
      <c r="ZM20" s="52"/>
      <c r="ZN20" s="52"/>
      <c r="ZO20" s="52"/>
      <c r="ZP20" s="52"/>
      <c r="ZQ20" s="52"/>
      <c r="ZR20" s="52"/>
      <c r="ZS20" s="52"/>
      <c r="ZT20" s="52"/>
      <c r="ZU20" s="52"/>
      <c r="ZV20" s="52"/>
      <c r="ZW20" s="52"/>
      <c r="ZX20" s="52"/>
      <c r="ZY20" s="52"/>
      <c r="ZZ20" s="52"/>
      <c r="AAA20" s="52"/>
      <c r="AAB20" s="52"/>
      <c r="AAC20" s="52"/>
      <c r="AAD20" s="52"/>
      <c r="AAE20" s="52"/>
      <c r="AAF20" s="52"/>
      <c r="AAG20" s="52"/>
      <c r="AAH20" s="52"/>
      <c r="AAI20" s="52"/>
      <c r="AAJ20" s="52"/>
      <c r="AAK20" s="52"/>
      <c r="AAL20" s="52"/>
      <c r="AAM20" s="52"/>
      <c r="AAN20" s="52"/>
      <c r="AAO20" s="52"/>
      <c r="AAP20" s="52"/>
      <c r="AAQ20" s="52"/>
      <c r="AAR20" s="52"/>
      <c r="AAS20" s="52"/>
      <c r="AAT20" s="52"/>
      <c r="AAU20" s="52"/>
      <c r="AAV20" s="52"/>
      <c r="AAW20" s="52"/>
      <c r="AAX20" s="52"/>
      <c r="AAY20" s="52"/>
      <c r="AAZ20" s="52"/>
      <c r="ABA20" s="52"/>
      <c r="ABB20" s="52"/>
      <c r="ABC20" s="52"/>
      <c r="ABD20" s="52"/>
      <c r="ABE20" s="52"/>
      <c r="ABF20" s="52"/>
      <c r="ABG20" s="52"/>
      <c r="ABH20" s="52"/>
      <c r="ABI20" s="52"/>
      <c r="ABJ20" s="52"/>
      <c r="ABK20" s="52"/>
      <c r="ABL20" s="52"/>
      <c r="ABM20" s="52"/>
      <c r="ABN20" s="52"/>
      <c r="ABO20" s="52"/>
      <c r="ABP20" s="52"/>
      <c r="ABQ20" s="52"/>
      <c r="ABR20" s="52"/>
      <c r="ABS20" s="52"/>
      <c r="ABT20" s="52"/>
      <c r="ABU20" s="52"/>
      <c r="ABV20" s="52"/>
      <c r="ABW20" s="52"/>
      <c r="ABX20" s="52"/>
      <c r="ABY20" s="52"/>
      <c r="ABZ20" s="52"/>
      <c r="ACA20" s="52"/>
      <c r="ACB20" s="52"/>
      <c r="ACC20" s="52"/>
      <c r="ACD20" s="52"/>
      <c r="ACE20" s="52"/>
      <c r="ACF20" s="52"/>
      <c r="ACG20" s="52"/>
      <c r="ACH20" s="52"/>
      <c r="ACI20" s="52"/>
      <c r="ACJ20" s="52"/>
      <c r="ACK20" s="52"/>
      <c r="ACL20" s="52"/>
      <c r="ACM20" s="52"/>
      <c r="ACN20" s="52"/>
      <c r="ACO20" s="52"/>
      <c r="ACP20" s="52"/>
      <c r="ACQ20" s="52"/>
      <c r="ACR20" s="52"/>
      <c r="ACS20" s="52"/>
      <c r="ACT20" s="52"/>
      <c r="ACU20" s="52"/>
      <c r="ACV20" s="52"/>
      <c r="ACW20" s="52"/>
      <c r="ACX20" s="52"/>
      <c r="ACY20" s="52"/>
      <c r="ACZ20" s="52"/>
      <c r="ADA20" s="52"/>
      <c r="ADB20" s="52"/>
      <c r="ADC20" s="52"/>
      <c r="ADD20" s="52"/>
      <c r="ADE20" s="52"/>
      <c r="ADF20" s="52"/>
      <c r="ADG20" s="52"/>
      <c r="ADH20" s="52"/>
      <c r="ADI20" s="52"/>
      <c r="ADJ20" s="52"/>
      <c r="ADK20" s="52"/>
      <c r="ADL20" s="52"/>
      <c r="ADM20" s="52"/>
      <c r="ADN20" s="52"/>
      <c r="ADO20" s="52"/>
      <c r="ADP20" s="52"/>
      <c r="ADQ20" s="52"/>
      <c r="ADR20" s="52"/>
      <c r="ADS20" s="52"/>
      <c r="ADT20" s="52"/>
      <c r="ADU20" s="52"/>
      <c r="ADV20" s="52"/>
      <c r="ADW20" s="52"/>
      <c r="ADX20" s="52"/>
      <c r="ADY20" s="52"/>
      <c r="ADZ20" s="52"/>
      <c r="AEA20" s="52"/>
      <c r="AEB20" s="52"/>
      <c r="AEC20" s="52"/>
      <c r="AED20" s="52"/>
      <c r="AEE20" s="52"/>
      <c r="AEF20" s="52"/>
      <c r="AEG20" s="52"/>
      <c r="AEH20" s="52"/>
      <c r="AEI20" s="52"/>
      <c r="AEJ20" s="52"/>
      <c r="AEK20" s="52"/>
      <c r="AEL20" s="52"/>
      <c r="AEM20" s="52"/>
      <c r="AEN20" s="52"/>
      <c r="AEO20" s="52"/>
      <c r="AEP20" s="52"/>
      <c r="AEQ20" s="52"/>
      <c r="AER20" s="52"/>
      <c r="AES20" s="52"/>
      <c r="AET20" s="52"/>
      <c r="AEU20" s="52"/>
      <c r="AEV20" s="52"/>
      <c r="AEW20" s="52"/>
      <c r="AEX20" s="52"/>
      <c r="AEY20" s="52"/>
      <c r="AEZ20" s="52"/>
      <c r="AFA20" s="52"/>
      <c r="AFB20" s="52"/>
      <c r="AFC20" s="52"/>
      <c r="AFD20" s="52"/>
      <c r="AFE20" s="52"/>
      <c r="AFF20" s="52"/>
      <c r="AFG20" s="52"/>
      <c r="AFH20" s="52"/>
      <c r="AFI20" s="52"/>
      <c r="AFJ20" s="52"/>
      <c r="AFK20" s="52"/>
      <c r="AFL20" s="52"/>
      <c r="AFM20" s="52"/>
      <c r="AFN20" s="52"/>
      <c r="AFO20" s="52"/>
      <c r="AFP20" s="52"/>
      <c r="AFQ20" s="52"/>
      <c r="AFR20" s="52"/>
      <c r="AFS20" s="52"/>
      <c r="AFT20" s="52"/>
      <c r="AFU20" s="52"/>
      <c r="AFV20" s="52"/>
      <c r="AFW20" s="52"/>
      <c r="AFX20" s="52"/>
      <c r="AFY20" s="52"/>
      <c r="AFZ20" s="52"/>
      <c r="AGA20" s="52"/>
      <c r="AGB20" s="52"/>
      <c r="AGC20" s="52"/>
      <c r="AGD20" s="52"/>
      <c r="AGE20" s="52"/>
      <c r="AGF20" s="52"/>
      <c r="AGG20" s="52"/>
      <c r="AGH20" s="52"/>
      <c r="AGI20" s="52"/>
      <c r="AGJ20" s="52"/>
      <c r="AGK20" s="52"/>
      <c r="AGL20" s="52"/>
      <c r="AGM20" s="52"/>
      <c r="AGN20" s="52"/>
      <c r="AGO20" s="52"/>
      <c r="AGP20" s="52"/>
      <c r="AGQ20" s="52"/>
      <c r="AGR20" s="52"/>
      <c r="AGS20" s="52"/>
      <c r="AGT20" s="52"/>
      <c r="AGU20" s="52"/>
      <c r="AGV20" s="52"/>
      <c r="AGW20" s="52"/>
      <c r="AGX20" s="52"/>
      <c r="AGY20" s="52"/>
      <c r="AGZ20" s="52"/>
      <c r="AHA20" s="52"/>
      <c r="AHB20" s="52"/>
      <c r="AHC20" s="52"/>
      <c r="AHD20" s="52"/>
      <c r="AHE20" s="52"/>
      <c r="AHF20" s="52"/>
      <c r="AHG20" s="52"/>
      <c r="AHH20" s="52"/>
      <c r="AHI20" s="52"/>
      <c r="AHJ20" s="52"/>
      <c r="AHK20" s="52"/>
      <c r="AHL20" s="52"/>
      <c r="AHM20" s="52"/>
      <c r="AHN20" s="52"/>
      <c r="AHO20" s="52"/>
      <c r="AHP20" s="52"/>
      <c r="AHQ20" s="52"/>
      <c r="AHR20" s="52"/>
      <c r="AHS20" s="52"/>
      <c r="AHT20" s="52"/>
      <c r="AHU20" s="52"/>
      <c r="AHV20" s="52"/>
      <c r="AHW20" s="52"/>
      <c r="AHX20" s="52"/>
      <c r="AHY20" s="52"/>
      <c r="AHZ20" s="52"/>
      <c r="AIA20" s="52"/>
      <c r="AIB20" s="52"/>
      <c r="AIC20" s="52"/>
      <c r="AID20" s="52"/>
      <c r="AIE20" s="52"/>
      <c r="AIF20" s="52"/>
      <c r="AIG20" s="52"/>
      <c r="AIH20" s="52"/>
      <c r="AII20" s="52"/>
      <c r="AIJ20" s="52"/>
      <c r="AIK20" s="52"/>
      <c r="AIL20" s="52"/>
      <c r="AIM20" s="52"/>
      <c r="AIN20" s="52"/>
      <c r="AIO20" s="52"/>
      <c r="AIP20" s="52"/>
      <c r="AIQ20" s="52"/>
      <c r="AIR20" s="52"/>
      <c r="AIS20" s="52"/>
      <c r="AIT20" s="52"/>
      <c r="AIU20" s="52"/>
      <c r="AIV20" s="52"/>
      <c r="AIW20" s="52"/>
      <c r="AIX20" s="52"/>
      <c r="AIY20" s="52"/>
      <c r="AIZ20" s="52"/>
      <c r="AJA20" s="52"/>
      <c r="AJB20" s="52"/>
      <c r="AJC20" s="52"/>
      <c r="AJD20" s="52"/>
      <c r="AJE20" s="52"/>
      <c r="AJF20" s="52"/>
      <c r="AJG20" s="52"/>
      <c r="AJH20" s="52"/>
      <c r="AJI20" s="52"/>
      <c r="AJJ20" s="52"/>
      <c r="AJK20" s="52"/>
      <c r="AJL20" s="52"/>
      <c r="AJM20" s="52"/>
      <c r="AJN20" s="52"/>
      <c r="AJO20" s="52"/>
      <c r="AJP20" s="52"/>
      <c r="AJQ20" s="52"/>
      <c r="AJR20" s="52"/>
      <c r="AJS20" s="52"/>
      <c r="AJT20" s="52"/>
      <c r="AJU20" s="52"/>
      <c r="AJV20" s="52"/>
      <c r="AJW20" s="52"/>
      <c r="AJX20" s="52"/>
      <c r="AJY20" s="52"/>
      <c r="AJZ20" s="52"/>
      <c r="AKA20" s="52"/>
      <c r="AKB20" s="52"/>
      <c r="AKC20" s="52"/>
      <c r="AKD20" s="52"/>
      <c r="AKE20" s="52"/>
      <c r="AKF20" s="52"/>
      <c r="AKG20" s="52"/>
      <c r="AKH20" s="52"/>
      <c r="AKI20" s="52"/>
      <c r="AKJ20" s="52"/>
      <c r="AKK20" s="52"/>
      <c r="AKL20" s="52"/>
      <c r="AKM20" s="52"/>
      <c r="AKN20" s="52"/>
      <c r="AKO20" s="52"/>
      <c r="AKP20" s="52"/>
      <c r="AKQ20" s="52"/>
      <c r="AKR20" s="52"/>
      <c r="AKS20" s="52"/>
      <c r="AKT20" s="52"/>
      <c r="AKU20" s="52"/>
      <c r="AKV20" s="52"/>
      <c r="AKW20" s="52"/>
      <c r="AKX20" s="52"/>
      <c r="AKY20" s="52"/>
      <c r="AKZ20" s="52"/>
      <c r="ALA20" s="52"/>
      <c r="ALB20" s="52"/>
      <c r="ALC20" s="52"/>
      <c r="ALD20" s="52"/>
      <c r="ALE20" s="52"/>
      <c r="ALF20" s="52"/>
      <c r="ALG20" s="52"/>
      <c r="ALH20" s="52"/>
      <c r="ALI20" s="52"/>
      <c r="ALJ20" s="52"/>
      <c r="ALK20" s="52"/>
      <c r="ALL20" s="52"/>
      <c r="ALM20" s="52"/>
      <c r="ALN20" s="52"/>
      <c r="ALO20" s="52"/>
      <c r="ALP20" s="52"/>
      <c r="ALQ20" s="52"/>
      <c r="ALR20" s="52"/>
      <c r="ALS20" s="52"/>
      <c r="ALT20" s="52"/>
      <c r="ALU20" s="52"/>
      <c r="ALV20" s="52"/>
      <c r="ALW20" s="52"/>
      <c r="ALX20" s="52"/>
      <c r="ALY20" s="52"/>
      <c r="ALZ20" s="52"/>
      <c r="AMA20" s="52"/>
      <c r="AMB20" s="52"/>
      <c r="AMC20" s="52"/>
      <c r="AMD20" s="52"/>
      <c r="AME20" s="52"/>
      <c r="AMF20" s="52"/>
      <c r="AMG20" s="52"/>
      <c r="AMH20" s="52"/>
      <c r="AMI20" s="52"/>
      <c r="AMJ20" s="52"/>
      <c r="AMK20" s="52"/>
      <c r="AML20" s="52"/>
      <c r="AMM20" s="52"/>
      <c r="AMN20" s="52"/>
      <c r="AMO20" s="52"/>
      <c r="AMP20" s="52"/>
      <c r="AMQ20" s="52"/>
      <c r="AMR20" s="52"/>
      <c r="AMS20" s="52"/>
      <c r="AMT20" s="52"/>
      <c r="AMU20" s="52"/>
      <c r="AMV20" s="52"/>
      <c r="AMW20" s="52"/>
      <c r="AMX20" s="52"/>
      <c r="AMY20" s="52"/>
      <c r="AMZ20" s="52"/>
      <c r="ANA20" s="52"/>
      <c r="ANB20" s="52"/>
      <c r="ANC20" s="52"/>
      <c r="AND20" s="52"/>
      <c r="ANE20" s="52"/>
      <c r="ANF20" s="52"/>
      <c r="ANG20" s="52"/>
      <c r="ANH20" s="52"/>
      <c r="ANI20" s="52"/>
      <c r="ANJ20" s="52"/>
      <c r="ANK20" s="52"/>
      <c r="ANL20" s="52"/>
      <c r="ANM20" s="52"/>
      <c r="ANN20" s="52"/>
      <c r="ANO20" s="52"/>
      <c r="ANP20" s="52"/>
      <c r="ANQ20" s="52"/>
      <c r="ANR20" s="52"/>
      <c r="ANS20" s="52"/>
      <c r="ANT20" s="52"/>
      <c r="ANU20" s="52"/>
      <c r="ANV20" s="52"/>
      <c r="ANW20" s="52"/>
      <c r="ANX20" s="52"/>
      <c r="ANY20" s="52"/>
      <c r="ANZ20" s="52"/>
      <c r="AOA20" s="52"/>
      <c r="AOB20" s="52"/>
      <c r="AOC20" s="52"/>
      <c r="AOD20" s="52"/>
      <c r="AOE20" s="52"/>
      <c r="AOF20" s="52"/>
      <c r="AOG20" s="52"/>
      <c r="AOH20" s="52"/>
      <c r="AOI20" s="52"/>
      <c r="AOJ20" s="52"/>
      <c r="AOK20" s="52"/>
      <c r="AOL20" s="52"/>
      <c r="AOM20" s="52"/>
      <c r="AON20" s="52"/>
      <c r="AOO20" s="52"/>
      <c r="AOP20" s="52"/>
      <c r="AOQ20" s="52"/>
      <c r="AOR20" s="52"/>
      <c r="AOS20" s="52"/>
      <c r="AOT20" s="52"/>
      <c r="AOU20" s="52"/>
      <c r="AOV20" s="52"/>
      <c r="AOW20" s="52"/>
      <c r="AOX20" s="52"/>
      <c r="AOY20" s="52"/>
      <c r="AOZ20" s="52"/>
      <c r="APA20" s="52"/>
      <c r="APB20" s="52"/>
      <c r="APC20" s="52"/>
      <c r="APD20" s="52"/>
      <c r="APE20" s="52"/>
      <c r="APF20" s="52"/>
      <c r="APG20" s="52"/>
      <c r="APH20" s="52"/>
      <c r="API20" s="52"/>
      <c r="APJ20" s="52"/>
      <c r="APK20" s="52"/>
      <c r="APL20" s="52"/>
      <c r="APM20" s="52"/>
      <c r="APN20" s="52"/>
      <c r="APO20" s="52"/>
      <c r="APP20" s="52"/>
      <c r="APQ20" s="52"/>
      <c r="APR20" s="52"/>
      <c r="APS20" s="52"/>
      <c r="APT20" s="52"/>
      <c r="APU20" s="52"/>
      <c r="APV20" s="52"/>
      <c r="APW20" s="52"/>
      <c r="APX20" s="52"/>
    </row>
    <row r="21" spans="1:1116" s="277" customFormat="1" ht="15" customHeight="1">
      <c r="A21" s="273"/>
      <c r="B21" s="274"/>
      <c r="C21" s="275"/>
      <c r="D21" s="421"/>
      <c r="E21" s="359"/>
      <c r="F21" s="430"/>
      <c r="G21" s="276"/>
      <c r="H21" s="379"/>
      <c r="I21" s="384"/>
      <c r="J21" s="378"/>
      <c r="K21" s="130"/>
      <c r="L21" s="130"/>
      <c r="M21" s="450"/>
      <c r="N21" s="349"/>
      <c r="O21" s="450"/>
      <c r="P21" s="189"/>
      <c r="Q21" s="608"/>
      <c r="R21" s="414"/>
      <c r="S21" s="414"/>
      <c r="T21" s="577"/>
      <c r="U21" s="577"/>
      <c r="V21" s="577"/>
      <c r="W21" s="541"/>
      <c r="X21" s="541"/>
      <c r="Y21" s="541"/>
      <c r="Z21" s="541"/>
      <c r="AA21" s="541"/>
      <c r="AB21" s="541"/>
      <c r="AC21" s="541"/>
      <c r="AD21" s="541"/>
      <c r="AE21" s="541"/>
      <c r="AF21" s="541"/>
      <c r="AG21" s="541"/>
      <c r="AH21" s="541"/>
      <c r="AI21" s="541"/>
      <c r="AJ21" s="541"/>
      <c r="AK21" s="541"/>
      <c r="AL21" s="541"/>
      <c r="AM21" s="541"/>
      <c r="AN21" s="541"/>
      <c r="AO21" s="541"/>
      <c r="AP21" s="541"/>
      <c r="AQ21" s="541"/>
      <c r="AR21" s="541"/>
      <c r="AS21" s="541"/>
      <c r="AT21" s="541"/>
      <c r="AU21" s="541"/>
      <c r="AV21" s="541"/>
      <c r="AW21" s="541"/>
      <c r="AX21" s="541"/>
      <c r="AY21" s="541"/>
      <c r="AZ21" s="541"/>
      <c r="BA21" s="541"/>
      <c r="BB21" s="541"/>
      <c r="BC21" s="541"/>
      <c r="BD21" s="541"/>
      <c r="BE21" s="541"/>
      <c r="BF21" s="541"/>
      <c r="BG21" s="541"/>
      <c r="BH21" s="541"/>
      <c r="BI21" s="541"/>
      <c r="BJ21" s="541"/>
      <c r="BK21" s="541"/>
      <c r="BL21" s="541"/>
      <c r="BM21" s="541"/>
      <c r="BN21" s="541"/>
      <c r="BO21" s="541"/>
      <c r="BP21" s="541"/>
      <c r="BQ21" s="541"/>
      <c r="BR21" s="541"/>
      <c r="BS21" s="541"/>
      <c r="BT21" s="541"/>
      <c r="BU21" s="541"/>
      <c r="BV21" s="541"/>
      <c r="BW21" s="541"/>
      <c r="BX21" s="541"/>
      <c r="BY21" s="541"/>
      <c r="BZ21" s="541"/>
      <c r="CA21" s="541"/>
      <c r="CB21" s="541"/>
      <c r="CC21" s="541"/>
      <c r="CD21" s="542"/>
      <c r="CE21" s="414"/>
      <c r="CF21" s="541"/>
      <c r="CG21" s="541"/>
      <c r="CH21" s="541"/>
      <c r="CI21" s="541"/>
      <c r="CJ21" s="541"/>
      <c r="CK21" s="541"/>
      <c r="CL21" s="541"/>
      <c r="CM21" s="541"/>
      <c r="CN21" s="541"/>
      <c r="CO21" s="541"/>
      <c r="CP21" s="541"/>
      <c r="CQ21" s="541"/>
      <c r="CR21" s="541"/>
      <c r="CS21" s="541"/>
      <c r="CT21" s="541"/>
      <c r="CU21" s="541"/>
      <c r="CV21" s="541"/>
      <c r="CW21" s="541"/>
      <c r="CX21" s="541"/>
      <c r="CY21" s="541"/>
      <c r="CZ21" s="541"/>
      <c r="DA21" s="541"/>
      <c r="DB21" s="541"/>
      <c r="DC21" s="541"/>
      <c r="DD21" s="541"/>
      <c r="DE21" s="541"/>
      <c r="DF21" s="541"/>
      <c r="DG21" s="541"/>
      <c r="DH21" s="541"/>
      <c r="DI21" s="541"/>
      <c r="DJ21" s="541"/>
      <c r="DK21" s="541"/>
      <c r="DL21" s="541"/>
      <c r="DM21" s="541"/>
      <c r="DN21" s="541"/>
      <c r="DO21" s="541"/>
      <c r="DP21" s="541"/>
      <c r="DQ21" s="541"/>
      <c r="DR21" s="541"/>
      <c r="DS21" s="541"/>
      <c r="DT21" s="541"/>
      <c r="DU21" s="541"/>
      <c r="DV21" s="541"/>
      <c r="DW21" s="541"/>
      <c r="DX21" s="541"/>
      <c r="DY21" s="541"/>
      <c r="DZ21" s="541"/>
      <c r="EA21" s="541"/>
      <c r="EB21" s="541"/>
      <c r="EC21" s="541"/>
      <c r="ED21" s="541"/>
      <c r="EE21" s="541"/>
      <c r="EF21" s="541"/>
      <c r="EG21" s="541"/>
      <c r="EH21" s="541"/>
      <c r="EI21" s="541"/>
      <c r="EJ21" s="541"/>
      <c r="EK21" s="541"/>
      <c r="EL21" s="541"/>
      <c r="EM21" s="542"/>
      <c r="EN21" s="414"/>
      <c r="EO21" s="414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5"/>
      <c r="FB21" s="275"/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5"/>
      <c r="GG21" s="275"/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5"/>
      <c r="HM21" s="275"/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5"/>
      <c r="IS21" s="275"/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5"/>
      <c r="JX21" s="275"/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5"/>
      <c r="LD21" s="275"/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5"/>
      <c r="MI21" s="275"/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5"/>
      <c r="NO21" s="275"/>
      <c r="NP21" s="275"/>
      <c r="NQ21" s="275"/>
      <c r="NR21" s="275"/>
      <c r="NS21" s="275"/>
      <c r="NT21" s="275"/>
      <c r="NU21" s="275"/>
      <c r="NV21" s="275"/>
      <c r="NW21" s="275"/>
      <c r="NX21" s="275"/>
      <c r="NY21" s="275"/>
      <c r="NZ21" s="275"/>
      <c r="OA21" s="275"/>
      <c r="OB21" s="275"/>
      <c r="OC21" s="275"/>
      <c r="OD21" s="275"/>
      <c r="OE21" s="275"/>
      <c r="OF21" s="275"/>
      <c r="OG21" s="275"/>
      <c r="OH21" s="275"/>
      <c r="OI21" s="275"/>
      <c r="OJ21" s="275"/>
      <c r="OK21" s="275"/>
      <c r="OL21" s="275"/>
      <c r="OM21" s="275"/>
      <c r="ON21" s="275"/>
      <c r="OO21" s="275"/>
      <c r="OP21" s="275"/>
      <c r="OQ21" s="275"/>
      <c r="OR21" s="275"/>
      <c r="OS21" s="275"/>
      <c r="OT21" s="275"/>
      <c r="OU21" s="275"/>
      <c r="OV21" s="275"/>
      <c r="OW21" s="275"/>
      <c r="OX21" s="275"/>
      <c r="OY21" s="275"/>
      <c r="OZ21" s="275"/>
      <c r="PA21" s="275"/>
      <c r="PB21" s="275"/>
      <c r="PC21" s="275"/>
      <c r="PD21" s="275"/>
      <c r="PE21" s="275"/>
      <c r="PF21" s="275"/>
      <c r="PG21" s="275"/>
      <c r="PH21" s="275"/>
      <c r="PI21" s="275"/>
      <c r="PJ21" s="275"/>
      <c r="PK21" s="275"/>
      <c r="PL21" s="275"/>
      <c r="PM21" s="275"/>
      <c r="PN21" s="275"/>
      <c r="PO21" s="275"/>
      <c r="PP21" s="275"/>
      <c r="PQ21" s="275"/>
      <c r="PR21" s="275"/>
      <c r="PS21" s="275"/>
      <c r="PT21" s="275"/>
      <c r="PU21" s="275"/>
      <c r="PV21" s="275"/>
      <c r="PW21" s="275"/>
      <c r="PX21" s="275"/>
      <c r="PY21" s="275"/>
      <c r="PZ21" s="275"/>
      <c r="QA21" s="275"/>
      <c r="QB21" s="275"/>
      <c r="QC21" s="275"/>
      <c r="QD21" s="275"/>
      <c r="QE21" s="275"/>
      <c r="QF21" s="275"/>
      <c r="QG21" s="275"/>
      <c r="QH21" s="275"/>
      <c r="QI21" s="275"/>
      <c r="QJ21" s="275"/>
      <c r="QK21" s="275"/>
      <c r="QL21" s="275"/>
      <c r="QM21" s="275"/>
      <c r="QN21" s="275"/>
      <c r="QO21" s="275"/>
      <c r="QP21" s="275"/>
      <c r="QQ21" s="275"/>
      <c r="QR21" s="275"/>
      <c r="QS21" s="275"/>
      <c r="QT21" s="275"/>
      <c r="QU21" s="275"/>
      <c r="QV21" s="275"/>
      <c r="QW21" s="275"/>
      <c r="QX21" s="275"/>
      <c r="QY21" s="275"/>
      <c r="QZ21" s="275"/>
      <c r="RA21" s="275"/>
      <c r="RB21" s="275"/>
      <c r="RC21" s="275"/>
      <c r="RD21" s="275"/>
      <c r="RE21" s="275"/>
      <c r="RF21" s="275"/>
      <c r="RG21" s="275"/>
      <c r="RH21" s="275"/>
      <c r="RI21" s="275"/>
      <c r="RJ21" s="275"/>
      <c r="RK21" s="275"/>
      <c r="RL21" s="275"/>
      <c r="RM21" s="275"/>
      <c r="RN21" s="275"/>
      <c r="RO21" s="275"/>
      <c r="RP21" s="275"/>
      <c r="RQ21" s="275"/>
      <c r="RR21" s="275"/>
      <c r="RS21" s="275"/>
      <c r="RT21" s="275"/>
      <c r="RU21" s="275"/>
      <c r="RV21" s="275"/>
      <c r="RW21" s="275"/>
      <c r="RX21" s="275"/>
      <c r="RY21" s="275"/>
      <c r="RZ21" s="275"/>
      <c r="SA21" s="275"/>
      <c r="SB21" s="275"/>
      <c r="SC21" s="275"/>
      <c r="SD21" s="275"/>
      <c r="SE21" s="275"/>
      <c r="SF21" s="275"/>
      <c r="SG21" s="275"/>
      <c r="SH21" s="275"/>
      <c r="SI21" s="275"/>
      <c r="SJ21" s="275"/>
      <c r="SK21" s="275"/>
      <c r="SL21" s="275"/>
      <c r="SM21" s="275"/>
      <c r="SN21" s="275"/>
      <c r="SO21" s="275"/>
      <c r="SP21" s="275"/>
      <c r="SQ21" s="275"/>
      <c r="SR21" s="275"/>
      <c r="SS21" s="275"/>
      <c r="ST21" s="275"/>
      <c r="SU21" s="275"/>
      <c r="SV21" s="275"/>
      <c r="SW21" s="275"/>
      <c r="SX21" s="275"/>
      <c r="SY21" s="275"/>
      <c r="SZ21" s="275"/>
      <c r="TA21" s="275"/>
      <c r="TB21" s="275"/>
      <c r="TC21" s="275"/>
      <c r="TD21" s="275"/>
      <c r="TE21" s="275"/>
      <c r="TF21" s="275"/>
      <c r="TG21" s="275"/>
      <c r="TH21" s="275"/>
      <c r="TI21" s="275"/>
      <c r="TJ21" s="275"/>
      <c r="TK21" s="275"/>
      <c r="TL21" s="275"/>
      <c r="TM21" s="275"/>
      <c r="TN21" s="275"/>
      <c r="TO21" s="275"/>
      <c r="TP21" s="275"/>
      <c r="TQ21" s="275"/>
      <c r="TR21" s="275"/>
      <c r="TS21" s="275"/>
      <c r="TT21" s="275"/>
      <c r="TU21" s="275"/>
      <c r="TV21" s="275"/>
      <c r="TW21" s="275"/>
      <c r="TX21" s="275"/>
      <c r="TY21" s="275"/>
      <c r="TZ21" s="275"/>
      <c r="UA21" s="275"/>
      <c r="UB21" s="275"/>
      <c r="UC21" s="275"/>
      <c r="UD21" s="275"/>
      <c r="UE21" s="275"/>
      <c r="UF21" s="275"/>
      <c r="UG21" s="275"/>
      <c r="UH21" s="275"/>
      <c r="UI21" s="275"/>
      <c r="UJ21" s="275"/>
      <c r="UK21" s="275"/>
      <c r="UL21" s="275"/>
      <c r="UM21" s="275"/>
      <c r="UN21" s="275"/>
      <c r="UO21" s="275"/>
      <c r="UP21" s="275"/>
      <c r="UQ21" s="275"/>
      <c r="UR21" s="275"/>
      <c r="US21" s="275"/>
      <c r="UT21" s="275"/>
      <c r="UU21" s="275"/>
      <c r="UV21" s="275"/>
      <c r="UW21" s="275"/>
      <c r="UX21" s="275"/>
      <c r="UY21" s="275"/>
      <c r="UZ21" s="275"/>
      <c r="VA21" s="275"/>
      <c r="VB21" s="275"/>
      <c r="VC21" s="275"/>
      <c r="VD21" s="275"/>
      <c r="VE21" s="275"/>
      <c r="VF21" s="275"/>
      <c r="VG21" s="275"/>
      <c r="VH21" s="275"/>
      <c r="VI21" s="275"/>
      <c r="VJ21" s="275"/>
      <c r="VK21" s="275"/>
      <c r="VL21" s="275"/>
      <c r="VM21" s="275"/>
      <c r="VN21" s="275"/>
      <c r="VO21" s="275"/>
      <c r="VP21" s="275"/>
      <c r="VQ21" s="275"/>
      <c r="VR21" s="275"/>
      <c r="VS21" s="275"/>
      <c r="VT21" s="275"/>
      <c r="VU21" s="275"/>
      <c r="VV21" s="275"/>
      <c r="VW21" s="275"/>
      <c r="VX21" s="275"/>
      <c r="VY21" s="275"/>
      <c r="VZ21" s="275"/>
      <c r="WA21" s="275"/>
      <c r="WB21" s="275"/>
      <c r="WC21" s="275"/>
      <c r="WD21" s="275"/>
      <c r="WE21" s="275"/>
      <c r="WF21" s="275"/>
      <c r="WG21" s="275"/>
      <c r="WH21" s="275"/>
      <c r="WI21" s="275"/>
      <c r="WJ21" s="275"/>
      <c r="WK21" s="275"/>
      <c r="WL21" s="275"/>
      <c r="WM21" s="275"/>
      <c r="WN21" s="275"/>
      <c r="WO21" s="275"/>
      <c r="WP21" s="275"/>
      <c r="WQ21" s="275"/>
      <c r="WR21" s="275"/>
      <c r="WS21" s="275"/>
      <c r="WT21" s="275"/>
      <c r="WU21" s="275"/>
      <c r="WV21" s="275"/>
      <c r="WW21" s="275"/>
      <c r="WX21" s="275"/>
      <c r="WY21" s="275"/>
      <c r="WZ21" s="275"/>
      <c r="XA21" s="275"/>
      <c r="XB21" s="275"/>
      <c r="XC21" s="275"/>
      <c r="XD21" s="275"/>
      <c r="XE21" s="275"/>
      <c r="XF21" s="275"/>
      <c r="XG21" s="275"/>
      <c r="XH21" s="275"/>
      <c r="XI21" s="275"/>
      <c r="XJ21" s="275"/>
      <c r="XK21" s="275"/>
      <c r="XL21" s="275"/>
      <c r="XM21" s="275"/>
      <c r="XN21" s="275"/>
      <c r="XO21" s="275"/>
      <c r="XP21" s="275"/>
      <c r="XQ21" s="275"/>
      <c r="XR21" s="275"/>
      <c r="XS21" s="275"/>
      <c r="XT21" s="275"/>
      <c r="XU21" s="275"/>
      <c r="XV21" s="275"/>
      <c r="XW21" s="275"/>
      <c r="XX21" s="275"/>
      <c r="XY21" s="275"/>
      <c r="XZ21" s="275"/>
      <c r="YA21" s="275"/>
      <c r="YB21" s="275"/>
      <c r="YC21" s="275"/>
      <c r="YD21" s="275"/>
      <c r="YE21" s="275"/>
      <c r="YF21" s="275"/>
      <c r="YG21" s="275"/>
      <c r="YH21" s="275"/>
      <c r="YI21" s="275"/>
      <c r="YJ21" s="275"/>
      <c r="YK21" s="275"/>
      <c r="YL21" s="275"/>
      <c r="YM21" s="275"/>
      <c r="YN21" s="275"/>
      <c r="YO21" s="275"/>
      <c r="YP21" s="275"/>
      <c r="YQ21" s="275"/>
      <c r="YR21" s="275"/>
      <c r="YS21" s="275"/>
      <c r="YT21" s="275"/>
      <c r="YU21" s="275"/>
      <c r="YV21" s="275"/>
      <c r="YW21" s="275"/>
      <c r="YX21" s="275"/>
      <c r="YY21" s="275"/>
      <c r="YZ21" s="275"/>
      <c r="ZA21" s="275"/>
      <c r="ZB21" s="275"/>
      <c r="ZC21" s="275"/>
      <c r="ZD21" s="275"/>
      <c r="ZE21" s="275"/>
      <c r="ZF21" s="275"/>
      <c r="ZG21" s="275"/>
      <c r="ZH21" s="275"/>
      <c r="ZI21" s="275"/>
      <c r="ZJ21" s="275"/>
      <c r="ZK21" s="275"/>
      <c r="ZL21" s="275"/>
      <c r="ZM21" s="275"/>
      <c r="ZN21" s="275"/>
      <c r="ZO21" s="275"/>
      <c r="ZP21" s="275"/>
      <c r="ZQ21" s="275"/>
      <c r="ZR21" s="275"/>
      <c r="ZS21" s="275"/>
      <c r="ZT21" s="275"/>
      <c r="ZU21" s="275"/>
      <c r="ZV21" s="275"/>
      <c r="ZW21" s="275"/>
      <c r="ZX21" s="275"/>
      <c r="ZY21" s="275"/>
      <c r="ZZ21" s="275"/>
      <c r="AAA21" s="275"/>
      <c r="AAB21" s="275"/>
      <c r="AAC21" s="275"/>
      <c r="AAD21" s="275"/>
      <c r="AAE21" s="275"/>
      <c r="AAF21" s="275"/>
      <c r="AAG21" s="275"/>
      <c r="AAH21" s="275"/>
      <c r="AAI21" s="275"/>
      <c r="AAJ21" s="275"/>
      <c r="AAK21" s="275"/>
      <c r="AAL21" s="275"/>
      <c r="AAM21" s="275"/>
      <c r="AAN21" s="275"/>
      <c r="AAO21" s="275"/>
      <c r="AAP21" s="275"/>
      <c r="AAQ21" s="275"/>
      <c r="AAR21" s="275"/>
      <c r="AAS21" s="275"/>
      <c r="AAT21" s="275"/>
      <c r="AAU21" s="275"/>
      <c r="AAV21" s="275"/>
      <c r="AAW21" s="275"/>
      <c r="AAX21" s="275"/>
      <c r="AAY21" s="275"/>
      <c r="AAZ21" s="275"/>
      <c r="ABA21" s="275"/>
      <c r="ABB21" s="275"/>
      <c r="ABC21" s="275"/>
      <c r="ABD21" s="275"/>
      <c r="ABE21" s="275"/>
      <c r="ABF21" s="275"/>
      <c r="ABG21" s="275"/>
      <c r="ABH21" s="275"/>
      <c r="ABI21" s="275"/>
      <c r="ABJ21" s="275"/>
      <c r="ABK21" s="275"/>
      <c r="ABL21" s="275"/>
      <c r="ABM21" s="275"/>
      <c r="ABN21" s="275"/>
      <c r="ABO21" s="275"/>
      <c r="ABP21" s="275"/>
      <c r="ABQ21" s="275"/>
      <c r="ABR21" s="275"/>
      <c r="ABS21" s="275"/>
      <c r="ABT21" s="275"/>
      <c r="ABU21" s="275"/>
      <c r="ABV21" s="275"/>
      <c r="ABW21" s="275"/>
      <c r="ABX21" s="275"/>
      <c r="ABY21" s="275"/>
      <c r="ABZ21" s="275"/>
      <c r="ACA21" s="275"/>
      <c r="ACB21" s="275"/>
      <c r="ACC21" s="275"/>
      <c r="ACD21" s="275"/>
      <c r="ACE21" s="275"/>
      <c r="ACF21" s="275"/>
      <c r="ACG21" s="275"/>
      <c r="ACH21" s="275"/>
      <c r="ACI21" s="275"/>
      <c r="ACJ21" s="275"/>
      <c r="ACK21" s="275"/>
      <c r="ACL21" s="275"/>
      <c r="ACM21" s="275"/>
      <c r="ACN21" s="275"/>
      <c r="ACO21" s="275"/>
      <c r="ACP21" s="275"/>
      <c r="ACQ21" s="275"/>
      <c r="ACR21" s="275"/>
      <c r="ACS21" s="275"/>
      <c r="ACT21" s="275"/>
      <c r="ACU21" s="275"/>
      <c r="ACV21" s="275"/>
      <c r="ACW21" s="275"/>
      <c r="ACX21" s="275"/>
      <c r="ACY21" s="275"/>
      <c r="ACZ21" s="275"/>
      <c r="ADA21" s="275"/>
      <c r="ADB21" s="275"/>
      <c r="ADC21" s="275"/>
      <c r="ADD21" s="275"/>
      <c r="ADE21" s="275"/>
      <c r="ADF21" s="275"/>
      <c r="ADG21" s="275"/>
      <c r="ADH21" s="275"/>
      <c r="ADI21" s="275"/>
      <c r="ADJ21" s="275"/>
      <c r="ADK21" s="275"/>
      <c r="ADL21" s="275"/>
      <c r="ADM21" s="275"/>
      <c r="ADN21" s="275"/>
      <c r="ADO21" s="275"/>
      <c r="ADP21" s="275"/>
      <c r="ADQ21" s="275"/>
      <c r="ADR21" s="275"/>
      <c r="ADS21" s="275"/>
      <c r="ADT21" s="275"/>
      <c r="ADU21" s="275"/>
      <c r="ADV21" s="275"/>
      <c r="ADW21" s="275"/>
      <c r="ADX21" s="275"/>
      <c r="ADY21" s="275"/>
      <c r="ADZ21" s="275"/>
      <c r="AEA21" s="275"/>
      <c r="AEB21" s="275"/>
      <c r="AEC21" s="275"/>
      <c r="AED21" s="275"/>
      <c r="AEE21" s="275"/>
      <c r="AEF21" s="275"/>
      <c r="AEG21" s="275"/>
      <c r="AEH21" s="275"/>
      <c r="AEI21" s="275"/>
      <c r="AEJ21" s="275"/>
      <c r="AEK21" s="275"/>
      <c r="AEL21" s="275"/>
      <c r="AEM21" s="275"/>
      <c r="AEN21" s="275"/>
      <c r="AEO21" s="275"/>
      <c r="AEP21" s="275"/>
      <c r="AEQ21" s="275"/>
      <c r="AER21" s="275"/>
      <c r="AES21" s="275"/>
      <c r="AET21" s="275"/>
      <c r="AEU21" s="275"/>
      <c r="AEV21" s="275"/>
      <c r="AEW21" s="275"/>
      <c r="AEX21" s="275"/>
      <c r="AEY21" s="275"/>
      <c r="AEZ21" s="275"/>
      <c r="AFA21" s="275"/>
      <c r="AFB21" s="275"/>
      <c r="AFC21" s="275"/>
      <c r="AFD21" s="275"/>
      <c r="AFE21" s="275"/>
      <c r="AFF21" s="275"/>
      <c r="AFG21" s="275"/>
      <c r="AFH21" s="275"/>
      <c r="AFI21" s="275"/>
      <c r="AFJ21" s="275"/>
      <c r="AFK21" s="275"/>
      <c r="AFL21" s="275"/>
      <c r="AFM21" s="275"/>
      <c r="AFN21" s="275"/>
      <c r="AFO21" s="275"/>
      <c r="AFP21" s="275"/>
      <c r="AFQ21" s="275"/>
      <c r="AFR21" s="275"/>
      <c r="AFS21" s="275"/>
      <c r="AFT21" s="275"/>
      <c r="AFU21" s="275"/>
      <c r="AFV21" s="275"/>
      <c r="AFW21" s="275"/>
      <c r="AFX21" s="275"/>
      <c r="AFY21" s="275"/>
      <c r="AFZ21" s="275"/>
      <c r="AGA21" s="275"/>
      <c r="AGB21" s="275"/>
      <c r="AGC21" s="275"/>
      <c r="AGD21" s="275"/>
      <c r="AGE21" s="275"/>
      <c r="AGF21" s="275"/>
      <c r="AGG21" s="275"/>
      <c r="AGH21" s="275"/>
      <c r="AGI21" s="275"/>
      <c r="AGJ21" s="275"/>
      <c r="AGK21" s="275"/>
      <c r="AGL21" s="275"/>
      <c r="AGM21" s="275"/>
      <c r="AGN21" s="275"/>
      <c r="AGO21" s="275"/>
      <c r="AGP21" s="275"/>
      <c r="AGQ21" s="275"/>
      <c r="AGR21" s="275"/>
      <c r="AGS21" s="275"/>
      <c r="AGT21" s="275"/>
      <c r="AGU21" s="275"/>
      <c r="AGV21" s="275"/>
      <c r="AGW21" s="275"/>
      <c r="AGX21" s="275"/>
      <c r="AGY21" s="275"/>
      <c r="AGZ21" s="275"/>
      <c r="AHA21" s="275"/>
      <c r="AHB21" s="275"/>
      <c r="AHC21" s="275"/>
      <c r="AHD21" s="275"/>
      <c r="AHE21" s="275"/>
      <c r="AHF21" s="275"/>
      <c r="AHG21" s="275"/>
      <c r="AHH21" s="275"/>
      <c r="AHI21" s="275"/>
      <c r="AHJ21" s="275"/>
      <c r="AHK21" s="275"/>
      <c r="AHL21" s="275"/>
      <c r="AHM21" s="275"/>
      <c r="AHN21" s="275"/>
      <c r="AHO21" s="275"/>
      <c r="AHP21" s="275"/>
      <c r="AHQ21" s="275"/>
      <c r="AHR21" s="275"/>
      <c r="AHS21" s="275"/>
      <c r="AHT21" s="275"/>
      <c r="AHU21" s="275"/>
      <c r="AHV21" s="275"/>
      <c r="AHW21" s="275"/>
      <c r="AHX21" s="275"/>
      <c r="AHY21" s="275"/>
      <c r="AHZ21" s="275"/>
      <c r="AIA21" s="275"/>
      <c r="AIB21" s="275"/>
      <c r="AIC21" s="275"/>
      <c r="AID21" s="275"/>
      <c r="AIE21" s="275"/>
      <c r="AIF21" s="275"/>
      <c r="AIG21" s="275"/>
      <c r="AIH21" s="275"/>
      <c r="AII21" s="275"/>
      <c r="AIJ21" s="275"/>
      <c r="AIK21" s="275"/>
      <c r="AIL21" s="275"/>
      <c r="AIM21" s="275"/>
      <c r="AIN21" s="275"/>
      <c r="AIO21" s="275"/>
      <c r="AIP21" s="275"/>
      <c r="AIQ21" s="275"/>
      <c r="AIR21" s="275"/>
      <c r="AIS21" s="275"/>
      <c r="AIT21" s="275"/>
      <c r="AIU21" s="275"/>
      <c r="AIV21" s="275"/>
      <c r="AIW21" s="275"/>
      <c r="AIX21" s="275"/>
      <c r="AIY21" s="275"/>
      <c r="AIZ21" s="275"/>
      <c r="AJA21" s="275"/>
      <c r="AJB21" s="275"/>
      <c r="AJC21" s="275"/>
      <c r="AJD21" s="275"/>
      <c r="AJE21" s="275"/>
      <c r="AJF21" s="275"/>
      <c r="AJG21" s="275"/>
      <c r="AJH21" s="275"/>
      <c r="AJI21" s="275"/>
      <c r="AJJ21" s="275"/>
      <c r="AJK21" s="275"/>
      <c r="AJL21" s="275"/>
      <c r="AJM21" s="275"/>
      <c r="AJN21" s="275"/>
      <c r="AJO21" s="275"/>
      <c r="AJP21" s="275"/>
      <c r="AJQ21" s="275"/>
      <c r="AJR21" s="275"/>
      <c r="AJS21" s="275"/>
      <c r="AJT21" s="275"/>
      <c r="AJU21" s="275"/>
      <c r="AJV21" s="275"/>
      <c r="AJW21" s="275"/>
      <c r="AJX21" s="275"/>
      <c r="AJY21" s="275"/>
      <c r="AJZ21" s="275"/>
      <c r="AKA21" s="275"/>
      <c r="AKB21" s="275"/>
      <c r="AKC21" s="275"/>
      <c r="AKD21" s="275"/>
      <c r="AKE21" s="275"/>
      <c r="AKF21" s="275"/>
      <c r="AKG21" s="275"/>
      <c r="AKH21" s="275"/>
      <c r="AKI21" s="275"/>
      <c r="AKJ21" s="275"/>
      <c r="AKK21" s="275"/>
      <c r="AKL21" s="275"/>
      <c r="AKM21" s="275"/>
      <c r="AKN21" s="275"/>
      <c r="AKO21" s="275"/>
      <c r="AKP21" s="275"/>
      <c r="AKQ21" s="275"/>
      <c r="AKR21" s="275"/>
      <c r="AKS21" s="275"/>
      <c r="AKT21" s="275"/>
      <c r="AKU21" s="275"/>
      <c r="AKV21" s="275"/>
      <c r="AKW21" s="275"/>
      <c r="AKX21" s="275"/>
      <c r="AKY21" s="275"/>
      <c r="AKZ21" s="275"/>
      <c r="ALA21" s="275"/>
      <c r="ALB21" s="275"/>
      <c r="ALC21" s="275"/>
      <c r="ALD21" s="275"/>
      <c r="ALE21" s="275"/>
      <c r="ALF21" s="275"/>
      <c r="ALG21" s="275"/>
      <c r="ALH21" s="275"/>
      <c r="ALI21" s="275"/>
      <c r="ALJ21" s="275"/>
      <c r="ALK21" s="275"/>
      <c r="ALL21" s="275"/>
      <c r="ALM21" s="275"/>
      <c r="ALN21" s="275"/>
      <c r="ALO21" s="275"/>
      <c r="ALP21" s="275"/>
      <c r="ALQ21" s="275"/>
      <c r="ALR21" s="275"/>
      <c r="ALS21" s="275"/>
      <c r="ALT21" s="275"/>
      <c r="ALU21" s="275"/>
      <c r="ALV21" s="275"/>
      <c r="ALW21" s="275"/>
      <c r="ALX21" s="275"/>
      <c r="ALY21" s="275"/>
      <c r="ALZ21" s="275"/>
      <c r="AMA21" s="275"/>
      <c r="AMB21" s="275"/>
      <c r="AMC21" s="275"/>
      <c r="AMD21" s="275"/>
      <c r="AME21" s="275"/>
      <c r="AMF21" s="275"/>
      <c r="AMG21" s="275"/>
      <c r="AMH21" s="275"/>
      <c r="AMI21" s="275"/>
      <c r="AMJ21" s="275"/>
      <c r="AMK21" s="275"/>
      <c r="AML21" s="275"/>
      <c r="AMM21" s="275"/>
      <c r="AMN21" s="275"/>
      <c r="AMO21" s="275"/>
      <c r="AMP21" s="275"/>
      <c r="AMQ21" s="275"/>
      <c r="AMR21" s="275"/>
      <c r="AMS21" s="275"/>
      <c r="AMT21" s="275"/>
      <c r="AMU21" s="275"/>
      <c r="AMV21" s="275"/>
      <c r="AMW21" s="275"/>
      <c r="AMX21" s="275"/>
      <c r="AMY21" s="275"/>
      <c r="AMZ21" s="275"/>
      <c r="ANA21" s="275"/>
      <c r="ANB21" s="275"/>
      <c r="ANC21" s="275"/>
      <c r="AND21" s="275"/>
      <c r="ANE21" s="275"/>
      <c r="ANF21" s="275"/>
      <c r="ANG21" s="275"/>
      <c r="ANH21" s="275"/>
      <c r="ANI21" s="275"/>
      <c r="ANJ21" s="275"/>
      <c r="ANK21" s="275"/>
      <c r="ANL21" s="275"/>
      <c r="ANM21" s="275"/>
      <c r="ANN21" s="275"/>
      <c r="ANO21" s="275"/>
      <c r="ANP21" s="275"/>
      <c r="ANQ21" s="275"/>
      <c r="ANR21" s="275"/>
      <c r="ANS21" s="275"/>
      <c r="ANT21" s="275"/>
      <c r="ANU21" s="275"/>
      <c r="ANV21" s="275"/>
      <c r="ANW21" s="275"/>
      <c r="ANX21" s="275"/>
      <c r="ANY21" s="275"/>
      <c r="ANZ21" s="275"/>
      <c r="AOA21" s="275"/>
      <c r="AOB21" s="275"/>
      <c r="AOC21" s="275"/>
      <c r="AOD21" s="275"/>
      <c r="AOE21" s="275"/>
      <c r="AOF21" s="275"/>
      <c r="AOG21" s="275"/>
      <c r="AOH21" s="275"/>
      <c r="AOI21" s="275"/>
      <c r="AOJ21" s="275"/>
      <c r="AOK21" s="275"/>
      <c r="AOL21" s="275"/>
      <c r="AOM21" s="275"/>
      <c r="AON21" s="275"/>
      <c r="AOO21" s="275"/>
      <c r="AOP21" s="275"/>
      <c r="AOQ21" s="275"/>
      <c r="AOR21" s="275"/>
      <c r="AOS21" s="275"/>
      <c r="AOT21" s="275"/>
      <c r="AOU21" s="275"/>
      <c r="AOV21" s="275"/>
      <c r="AOW21" s="275"/>
      <c r="AOX21" s="275"/>
      <c r="AOY21" s="275"/>
      <c r="AOZ21" s="275"/>
      <c r="APA21" s="275"/>
      <c r="APB21" s="275"/>
      <c r="APC21" s="275"/>
      <c r="APD21" s="275"/>
      <c r="APE21" s="275"/>
      <c r="APF21" s="275"/>
      <c r="APG21" s="275"/>
      <c r="APH21" s="275"/>
      <c r="API21" s="275"/>
      <c r="APJ21" s="275"/>
      <c r="APK21" s="275"/>
      <c r="APL21" s="275"/>
      <c r="APM21" s="275"/>
      <c r="APN21" s="275"/>
      <c r="APO21" s="275"/>
      <c r="APP21" s="275"/>
      <c r="APQ21" s="275"/>
      <c r="APR21" s="275"/>
      <c r="APS21" s="275"/>
      <c r="APT21" s="275"/>
      <c r="APU21" s="275"/>
      <c r="APV21" s="275"/>
      <c r="APW21" s="275"/>
      <c r="APX21" s="275"/>
    </row>
    <row r="22" spans="1:1116" s="40" customFormat="1" ht="15" customHeight="1">
      <c r="A22" s="187"/>
      <c r="B22" s="161"/>
      <c r="C22" s="52"/>
      <c r="D22" s="421"/>
      <c r="E22" s="359"/>
      <c r="F22" s="429"/>
      <c r="G22" s="188"/>
      <c r="H22" s="379"/>
      <c r="I22" s="383"/>
      <c r="J22" s="378"/>
      <c r="K22" s="130"/>
      <c r="L22" s="130"/>
      <c r="M22" s="450"/>
      <c r="N22" s="349"/>
      <c r="O22" s="450"/>
      <c r="P22" s="189"/>
      <c r="Q22" s="608"/>
      <c r="R22" s="609"/>
      <c r="S22" s="609"/>
      <c r="T22" s="577"/>
      <c r="U22" s="577"/>
      <c r="V22" s="577"/>
      <c r="W22" s="541"/>
      <c r="X22" s="541"/>
      <c r="Y22" s="541"/>
      <c r="Z22" s="541"/>
      <c r="AA22" s="541"/>
      <c r="AB22" s="541"/>
      <c r="AC22" s="541"/>
      <c r="AD22" s="541"/>
      <c r="AE22" s="541"/>
      <c r="AF22" s="541"/>
      <c r="AG22" s="541"/>
      <c r="AH22" s="541"/>
      <c r="AI22" s="541"/>
      <c r="AJ22" s="541"/>
      <c r="AK22" s="541"/>
      <c r="AL22" s="541"/>
      <c r="AM22" s="541"/>
      <c r="AN22" s="541"/>
      <c r="AO22" s="541"/>
      <c r="AP22" s="541"/>
      <c r="AQ22" s="541"/>
      <c r="AR22" s="541"/>
      <c r="AS22" s="541"/>
      <c r="AT22" s="541"/>
      <c r="AU22" s="541"/>
      <c r="AV22" s="541"/>
      <c r="AW22" s="541"/>
      <c r="AX22" s="541"/>
      <c r="AY22" s="541"/>
      <c r="AZ22" s="541"/>
      <c r="BA22" s="541"/>
      <c r="BB22" s="541"/>
      <c r="BC22" s="541"/>
      <c r="BD22" s="541"/>
      <c r="BE22" s="541"/>
      <c r="BF22" s="541"/>
      <c r="BG22" s="541"/>
      <c r="BH22" s="541"/>
      <c r="BI22" s="541"/>
      <c r="BJ22" s="541"/>
      <c r="BK22" s="541"/>
      <c r="BL22" s="541"/>
      <c r="BM22" s="541"/>
      <c r="BN22" s="541"/>
      <c r="BO22" s="541"/>
      <c r="BP22" s="541"/>
      <c r="BQ22" s="541"/>
      <c r="BR22" s="541"/>
      <c r="BS22" s="541"/>
      <c r="BT22" s="541"/>
      <c r="BU22" s="541"/>
      <c r="BV22" s="541"/>
      <c r="BW22" s="541"/>
      <c r="BX22" s="541"/>
      <c r="BY22" s="541"/>
      <c r="BZ22" s="541"/>
      <c r="CA22" s="541"/>
      <c r="CB22" s="541"/>
      <c r="CC22" s="541"/>
      <c r="CD22" s="542"/>
      <c r="CE22" s="609"/>
      <c r="CF22" s="541"/>
      <c r="CG22" s="541"/>
      <c r="CH22" s="541"/>
      <c r="CI22" s="541"/>
      <c r="CJ22" s="541"/>
      <c r="CK22" s="541"/>
      <c r="CL22" s="541"/>
      <c r="CM22" s="541"/>
      <c r="CN22" s="541"/>
      <c r="CO22" s="541"/>
      <c r="CP22" s="541"/>
      <c r="CQ22" s="541"/>
      <c r="CR22" s="541"/>
      <c r="CS22" s="541"/>
      <c r="CT22" s="541"/>
      <c r="CU22" s="541"/>
      <c r="CV22" s="541"/>
      <c r="CW22" s="541"/>
      <c r="CX22" s="541"/>
      <c r="CY22" s="541"/>
      <c r="CZ22" s="541"/>
      <c r="DA22" s="541"/>
      <c r="DB22" s="541"/>
      <c r="DC22" s="541"/>
      <c r="DD22" s="541"/>
      <c r="DE22" s="541"/>
      <c r="DF22" s="541"/>
      <c r="DG22" s="541"/>
      <c r="DH22" s="541"/>
      <c r="DI22" s="541"/>
      <c r="DJ22" s="541"/>
      <c r="DK22" s="541"/>
      <c r="DL22" s="541"/>
      <c r="DM22" s="541"/>
      <c r="DN22" s="541"/>
      <c r="DO22" s="541"/>
      <c r="DP22" s="541"/>
      <c r="DQ22" s="541"/>
      <c r="DR22" s="541"/>
      <c r="DS22" s="541"/>
      <c r="DT22" s="541"/>
      <c r="DU22" s="541"/>
      <c r="DV22" s="541"/>
      <c r="DW22" s="541"/>
      <c r="DX22" s="541"/>
      <c r="DY22" s="541"/>
      <c r="DZ22" s="541"/>
      <c r="EA22" s="541"/>
      <c r="EB22" s="541"/>
      <c r="EC22" s="541"/>
      <c r="ED22" s="541"/>
      <c r="EE22" s="541"/>
      <c r="EF22" s="541"/>
      <c r="EG22" s="541"/>
      <c r="EH22" s="541"/>
      <c r="EI22" s="541"/>
      <c r="EJ22" s="541"/>
      <c r="EK22" s="541"/>
      <c r="EL22" s="541"/>
      <c r="EM22" s="542"/>
      <c r="EN22" s="609"/>
      <c r="EO22" s="609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2"/>
      <c r="IL22" s="52"/>
      <c r="IM22" s="52"/>
      <c r="IN22" s="52"/>
      <c r="IO22" s="52"/>
      <c r="IP22" s="52"/>
      <c r="IQ22" s="52"/>
      <c r="IR22" s="52"/>
      <c r="IS22" s="52"/>
      <c r="IT22" s="52"/>
      <c r="IU22" s="52"/>
      <c r="IV22" s="52"/>
      <c r="IW22" s="52"/>
      <c r="IX22" s="52"/>
      <c r="IY22" s="52"/>
      <c r="IZ22" s="52"/>
      <c r="JA22" s="52"/>
      <c r="JB22" s="52"/>
      <c r="JC22" s="52"/>
      <c r="JD22" s="52"/>
      <c r="JE22" s="52"/>
      <c r="JF22" s="52"/>
      <c r="JG22" s="52"/>
      <c r="JH22" s="52"/>
      <c r="JI22" s="52"/>
      <c r="JJ22" s="52"/>
      <c r="JK22" s="52"/>
      <c r="JL22" s="52"/>
      <c r="JM22" s="52"/>
      <c r="JN22" s="52"/>
      <c r="JO22" s="52"/>
      <c r="JP22" s="52"/>
      <c r="JQ22" s="52"/>
      <c r="JR22" s="52"/>
      <c r="JS22" s="52"/>
      <c r="JT22" s="52"/>
      <c r="JU22" s="52"/>
      <c r="JV22" s="52"/>
      <c r="JW22" s="52"/>
      <c r="JX22" s="52"/>
      <c r="JY22" s="52"/>
      <c r="JZ22" s="52"/>
      <c r="KA22" s="52"/>
      <c r="KB22" s="52"/>
      <c r="KC22" s="52"/>
      <c r="KD22" s="52"/>
      <c r="KE22" s="52"/>
      <c r="KF22" s="52"/>
      <c r="KG22" s="52"/>
      <c r="KH22" s="52"/>
      <c r="KI22" s="52"/>
      <c r="KJ22" s="52"/>
      <c r="KK22" s="52"/>
      <c r="KL22" s="52"/>
      <c r="KM22" s="52"/>
      <c r="KN22" s="52"/>
      <c r="KO22" s="52"/>
      <c r="KP22" s="52"/>
      <c r="KQ22" s="52"/>
      <c r="KR22" s="52"/>
      <c r="KS22" s="52"/>
      <c r="KT22" s="52"/>
      <c r="KU22" s="52"/>
      <c r="KV22" s="52"/>
      <c r="KW22" s="52"/>
      <c r="KX22" s="52"/>
      <c r="KY22" s="52"/>
      <c r="KZ22" s="52"/>
      <c r="LA22" s="52"/>
      <c r="LB22" s="52"/>
      <c r="LC22" s="52"/>
      <c r="LD22" s="52"/>
      <c r="LE22" s="52"/>
      <c r="LF22" s="52"/>
      <c r="LG22" s="52"/>
      <c r="LH22" s="52"/>
      <c r="LI22" s="52"/>
      <c r="LJ22" s="52"/>
      <c r="LK22" s="52"/>
      <c r="LL22" s="52"/>
      <c r="LM22" s="52"/>
      <c r="LN22" s="52"/>
      <c r="LO22" s="52"/>
      <c r="LP22" s="52"/>
      <c r="LQ22" s="52"/>
      <c r="LR22" s="52"/>
      <c r="LS22" s="52"/>
      <c r="LT22" s="52"/>
      <c r="LU22" s="52"/>
      <c r="LV22" s="52"/>
      <c r="LW22" s="52"/>
      <c r="LX22" s="52"/>
      <c r="LY22" s="52"/>
      <c r="LZ22" s="52"/>
      <c r="MA22" s="52"/>
      <c r="MB22" s="52"/>
      <c r="MC22" s="52"/>
      <c r="MD22" s="52"/>
      <c r="ME22" s="52"/>
      <c r="MF22" s="52"/>
      <c r="MG22" s="52"/>
      <c r="MH22" s="52"/>
      <c r="MI22" s="52"/>
      <c r="MJ22" s="52"/>
      <c r="MK22" s="52"/>
      <c r="ML22" s="52"/>
      <c r="MM22" s="52"/>
      <c r="MN22" s="52"/>
      <c r="MO22" s="52"/>
      <c r="MP22" s="52"/>
      <c r="MQ22" s="52"/>
      <c r="MR22" s="52"/>
      <c r="MS22" s="52"/>
      <c r="MT22" s="52"/>
      <c r="MU22" s="52"/>
      <c r="MV22" s="52"/>
      <c r="MW22" s="52"/>
      <c r="MX22" s="52"/>
      <c r="MY22" s="52"/>
      <c r="MZ22" s="52"/>
      <c r="NA22" s="52"/>
      <c r="NB22" s="52"/>
      <c r="NC22" s="52"/>
      <c r="ND22" s="52"/>
      <c r="NE22" s="52"/>
      <c r="NF22" s="52"/>
      <c r="NG22" s="52"/>
      <c r="NH22" s="52"/>
      <c r="NI22" s="52"/>
      <c r="NJ22" s="52"/>
      <c r="NK22" s="52"/>
      <c r="NL22" s="52"/>
      <c r="NM22" s="52"/>
      <c r="NN22" s="52"/>
      <c r="NO22" s="52"/>
      <c r="NP22" s="52"/>
      <c r="NQ22" s="52"/>
      <c r="NR22" s="52"/>
      <c r="NS22" s="52"/>
      <c r="NT22" s="52"/>
      <c r="NU22" s="52"/>
      <c r="NV22" s="52"/>
      <c r="NW22" s="52"/>
      <c r="NX22" s="52"/>
      <c r="NY22" s="52"/>
      <c r="NZ22" s="52"/>
      <c r="OA22" s="52"/>
      <c r="OB22" s="52"/>
      <c r="OC22" s="52"/>
      <c r="OD22" s="52"/>
      <c r="OE22" s="52"/>
      <c r="OF22" s="52"/>
      <c r="OG22" s="52"/>
      <c r="OH22" s="52"/>
      <c r="OI22" s="52"/>
      <c r="OJ22" s="52"/>
      <c r="OK22" s="52"/>
      <c r="OL22" s="52"/>
      <c r="OM22" s="52"/>
      <c r="ON22" s="52"/>
      <c r="OO22" s="52"/>
      <c r="OP22" s="52"/>
      <c r="OQ22" s="52"/>
      <c r="OR22" s="52"/>
      <c r="OS22" s="52"/>
      <c r="OT22" s="52"/>
      <c r="OU22" s="52"/>
      <c r="OV22" s="52"/>
      <c r="OW22" s="52"/>
      <c r="OX22" s="52"/>
      <c r="OY22" s="52"/>
      <c r="OZ22" s="52"/>
      <c r="PA22" s="52"/>
      <c r="PB22" s="52"/>
      <c r="PC22" s="52"/>
      <c r="PD22" s="52"/>
      <c r="PE22" s="52"/>
      <c r="PF22" s="52"/>
      <c r="PG22" s="52"/>
      <c r="PH22" s="52"/>
      <c r="PI22" s="52"/>
      <c r="PJ22" s="52"/>
      <c r="PK22" s="52"/>
      <c r="PL22" s="52"/>
      <c r="PM22" s="52"/>
      <c r="PN22" s="52"/>
      <c r="PO22" s="52"/>
      <c r="PP22" s="52"/>
      <c r="PQ22" s="52"/>
      <c r="PR22" s="52"/>
      <c r="PS22" s="52"/>
      <c r="PT22" s="52"/>
      <c r="PU22" s="52"/>
      <c r="PV22" s="52"/>
      <c r="PW22" s="52"/>
      <c r="PX22" s="52"/>
      <c r="PY22" s="52"/>
      <c r="PZ22" s="52"/>
      <c r="QA22" s="52"/>
      <c r="QB22" s="52"/>
      <c r="QC22" s="52"/>
      <c r="QD22" s="52"/>
      <c r="QE22" s="52"/>
      <c r="QF22" s="52"/>
      <c r="QG22" s="52"/>
      <c r="QH22" s="52"/>
      <c r="QI22" s="52"/>
      <c r="QJ22" s="52"/>
      <c r="QK22" s="52"/>
      <c r="QL22" s="52"/>
      <c r="QM22" s="52"/>
      <c r="QN22" s="52"/>
      <c r="QO22" s="52"/>
      <c r="QP22" s="52"/>
      <c r="QQ22" s="52"/>
      <c r="QR22" s="52"/>
      <c r="QS22" s="52"/>
      <c r="QT22" s="52"/>
      <c r="QU22" s="52"/>
      <c r="QV22" s="52"/>
      <c r="QW22" s="52"/>
      <c r="QX22" s="52"/>
      <c r="QY22" s="52"/>
      <c r="QZ22" s="52"/>
      <c r="RA22" s="52"/>
      <c r="RB22" s="52"/>
      <c r="RC22" s="52"/>
      <c r="RD22" s="52"/>
      <c r="RE22" s="52"/>
      <c r="RF22" s="52"/>
      <c r="RG22" s="52"/>
      <c r="RH22" s="52"/>
      <c r="RI22" s="52"/>
      <c r="RJ22" s="52"/>
      <c r="RK22" s="52"/>
      <c r="RL22" s="52"/>
      <c r="RM22" s="52"/>
      <c r="RN22" s="52"/>
      <c r="RO22" s="52"/>
      <c r="RP22" s="52"/>
      <c r="RQ22" s="52"/>
      <c r="RR22" s="52"/>
      <c r="RS22" s="52"/>
      <c r="RT22" s="52"/>
      <c r="RU22" s="52"/>
      <c r="RV22" s="52"/>
      <c r="RW22" s="52"/>
      <c r="RX22" s="52"/>
      <c r="RY22" s="52"/>
      <c r="RZ22" s="52"/>
      <c r="SA22" s="52"/>
      <c r="SB22" s="52"/>
      <c r="SC22" s="52"/>
      <c r="SD22" s="52"/>
      <c r="SE22" s="52"/>
      <c r="SF22" s="52"/>
      <c r="SG22" s="52"/>
      <c r="SH22" s="52"/>
      <c r="SI22" s="52"/>
      <c r="SJ22" s="52"/>
      <c r="SK22" s="52"/>
      <c r="SL22" s="52"/>
      <c r="SM22" s="52"/>
      <c r="SN22" s="52"/>
      <c r="SO22" s="52"/>
      <c r="SP22" s="52"/>
      <c r="SQ22" s="52"/>
      <c r="SR22" s="52"/>
      <c r="SS22" s="52"/>
      <c r="ST22" s="52"/>
      <c r="SU22" s="52"/>
      <c r="SV22" s="52"/>
      <c r="SW22" s="52"/>
      <c r="SX22" s="52"/>
      <c r="SY22" s="52"/>
      <c r="SZ22" s="52"/>
      <c r="TA22" s="52"/>
      <c r="TB22" s="52"/>
      <c r="TC22" s="52"/>
      <c r="TD22" s="52"/>
      <c r="TE22" s="52"/>
      <c r="TF22" s="52"/>
      <c r="TG22" s="52"/>
      <c r="TH22" s="52"/>
      <c r="TI22" s="52"/>
      <c r="TJ22" s="52"/>
      <c r="TK22" s="52"/>
      <c r="TL22" s="52"/>
      <c r="TM22" s="52"/>
      <c r="TN22" s="52"/>
      <c r="TO22" s="52"/>
      <c r="TP22" s="52"/>
      <c r="TQ22" s="52"/>
      <c r="TR22" s="52"/>
      <c r="TS22" s="52"/>
      <c r="TT22" s="52"/>
      <c r="TU22" s="52"/>
      <c r="TV22" s="52"/>
      <c r="TW22" s="52"/>
      <c r="TX22" s="52"/>
      <c r="TY22" s="52"/>
      <c r="TZ22" s="52"/>
      <c r="UA22" s="52"/>
      <c r="UB22" s="52"/>
      <c r="UC22" s="52"/>
      <c r="UD22" s="52"/>
      <c r="UE22" s="52"/>
      <c r="UF22" s="52"/>
      <c r="UG22" s="52"/>
      <c r="UH22" s="52"/>
      <c r="UI22" s="52"/>
      <c r="UJ22" s="52"/>
      <c r="UK22" s="52"/>
      <c r="UL22" s="52"/>
      <c r="UM22" s="52"/>
      <c r="UN22" s="52"/>
      <c r="UO22" s="52"/>
      <c r="UP22" s="52"/>
      <c r="UQ22" s="52"/>
      <c r="UR22" s="52"/>
      <c r="US22" s="52"/>
      <c r="UT22" s="52"/>
      <c r="UU22" s="52"/>
      <c r="UV22" s="52"/>
      <c r="UW22" s="52"/>
      <c r="UX22" s="52"/>
      <c r="UY22" s="52"/>
      <c r="UZ22" s="52"/>
      <c r="VA22" s="52"/>
      <c r="VB22" s="52"/>
      <c r="VC22" s="52"/>
      <c r="VD22" s="52"/>
      <c r="VE22" s="52"/>
      <c r="VF22" s="52"/>
      <c r="VG22" s="52"/>
      <c r="VH22" s="52"/>
      <c r="VI22" s="52"/>
      <c r="VJ22" s="52"/>
      <c r="VK22" s="52"/>
      <c r="VL22" s="52"/>
      <c r="VM22" s="52"/>
      <c r="VN22" s="52"/>
      <c r="VO22" s="52"/>
      <c r="VP22" s="52"/>
      <c r="VQ22" s="52"/>
      <c r="VR22" s="52"/>
      <c r="VS22" s="52"/>
      <c r="VT22" s="52"/>
      <c r="VU22" s="52"/>
      <c r="VV22" s="52"/>
      <c r="VW22" s="52"/>
      <c r="VX22" s="52"/>
      <c r="VY22" s="52"/>
      <c r="VZ22" s="52"/>
      <c r="WA22" s="52"/>
      <c r="WB22" s="52"/>
      <c r="WC22" s="52"/>
      <c r="WD22" s="52"/>
      <c r="WE22" s="52"/>
      <c r="WF22" s="52"/>
      <c r="WG22" s="52"/>
      <c r="WH22" s="52"/>
      <c r="WI22" s="52"/>
      <c r="WJ22" s="52"/>
      <c r="WK22" s="52"/>
      <c r="WL22" s="52"/>
      <c r="WM22" s="52"/>
      <c r="WN22" s="52"/>
      <c r="WO22" s="52"/>
      <c r="WP22" s="52"/>
      <c r="WQ22" s="52"/>
      <c r="WR22" s="52"/>
      <c r="WS22" s="52"/>
      <c r="WT22" s="52"/>
      <c r="WU22" s="52"/>
      <c r="WV22" s="52"/>
      <c r="WW22" s="52"/>
      <c r="WX22" s="52"/>
      <c r="WY22" s="52"/>
      <c r="WZ22" s="52"/>
      <c r="XA22" s="52"/>
      <c r="XB22" s="52"/>
      <c r="XC22" s="52"/>
      <c r="XD22" s="52"/>
      <c r="XE22" s="52"/>
      <c r="XF22" s="52"/>
      <c r="XG22" s="52"/>
      <c r="XH22" s="52"/>
      <c r="XI22" s="52"/>
      <c r="XJ22" s="52"/>
      <c r="XK22" s="52"/>
      <c r="XL22" s="52"/>
      <c r="XM22" s="52"/>
      <c r="XN22" s="52"/>
      <c r="XO22" s="52"/>
      <c r="XP22" s="52"/>
      <c r="XQ22" s="52"/>
      <c r="XR22" s="52"/>
      <c r="XS22" s="52"/>
      <c r="XT22" s="52"/>
      <c r="XU22" s="52"/>
      <c r="XV22" s="52"/>
      <c r="XW22" s="52"/>
      <c r="XX22" s="52"/>
      <c r="XY22" s="52"/>
      <c r="XZ22" s="52"/>
      <c r="YA22" s="52"/>
      <c r="YB22" s="52"/>
      <c r="YC22" s="52"/>
      <c r="YD22" s="52"/>
      <c r="YE22" s="52"/>
      <c r="YF22" s="52"/>
      <c r="YG22" s="52"/>
      <c r="YH22" s="52"/>
      <c r="YI22" s="52"/>
      <c r="YJ22" s="52"/>
      <c r="YK22" s="52"/>
      <c r="YL22" s="52"/>
      <c r="YM22" s="52"/>
      <c r="YN22" s="52"/>
      <c r="YO22" s="52"/>
      <c r="YP22" s="52"/>
      <c r="YQ22" s="52"/>
      <c r="YR22" s="52"/>
      <c r="YS22" s="52"/>
      <c r="YT22" s="52"/>
      <c r="YU22" s="52"/>
      <c r="YV22" s="52"/>
      <c r="YW22" s="52"/>
      <c r="YX22" s="52"/>
      <c r="YY22" s="52"/>
      <c r="YZ22" s="52"/>
      <c r="ZA22" s="52"/>
      <c r="ZB22" s="52"/>
      <c r="ZC22" s="52"/>
      <c r="ZD22" s="52"/>
      <c r="ZE22" s="52"/>
      <c r="ZF22" s="52"/>
      <c r="ZG22" s="52"/>
      <c r="ZH22" s="52"/>
      <c r="ZI22" s="52"/>
      <c r="ZJ22" s="52"/>
      <c r="ZK22" s="52"/>
      <c r="ZL22" s="52"/>
      <c r="ZM22" s="52"/>
      <c r="ZN22" s="52"/>
      <c r="ZO22" s="52"/>
      <c r="ZP22" s="52"/>
      <c r="ZQ22" s="52"/>
      <c r="ZR22" s="52"/>
      <c r="ZS22" s="52"/>
      <c r="ZT22" s="52"/>
      <c r="ZU22" s="52"/>
      <c r="ZV22" s="52"/>
      <c r="ZW22" s="52"/>
      <c r="ZX22" s="52"/>
      <c r="ZY22" s="52"/>
      <c r="ZZ22" s="52"/>
      <c r="AAA22" s="52"/>
      <c r="AAB22" s="52"/>
      <c r="AAC22" s="52"/>
      <c r="AAD22" s="52"/>
      <c r="AAE22" s="52"/>
      <c r="AAF22" s="52"/>
      <c r="AAG22" s="52"/>
      <c r="AAH22" s="52"/>
      <c r="AAI22" s="52"/>
      <c r="AAJ22" s="52"/>
      <c r="AAK22" s="52"/>
      <c r="AAL22" s="52"/>
      <c r="AAM22" s="52"/>
      <c r="AAN22" s="52"/>
      <c r="AAO22" s="52"/>
      <c r="AAP22" s="52"/>
      <c r="AAQ22" s="52"/>
      <c r="AAR22" s="52"/>
      <c r="AAS22" s="52"/>
      <c r="AAT22" s="52"/>
      <c r="AAU22" s="52"/>
      <c r="AAV22" s="52"/>
      <c r="AAW22" s="52"/>
      <c r="AAX22" s="52"/>
      <c r="AAY22" s="52"/>
      <c r="AAZ22" s="52"/>
      <c r="ABA22" s="52"/>
      <c r="ABB22" s="52"/>
      <c r="ABC22" s="52"/>
      <c r="ABD22" s="52"/>
      <c r="ABE22" s="52"/>
      <c r="ABF22" s="52"/>
      <c r="ABG22" s="52"/>
      <c r="ABH22" s="52"/>
      <c r="ABI22" s="52"/>
      <c r="ABJ22" s="52"/>
      <c r="ABK22" s="52"/>
      <c r="ABL22" s="52"/>
      <c r="ABM22" s="52"/>
      <c r="ABN22" s="52"/>
      <c r="ABO22" s="52"/>
      <c r="ABP22" s="52"/>
      <c r="ABQ22" s="52"/>
      <c r="ABR22" s="52"/>
      <c r="ABS22" s="52"/>
      <c r="ABT22" s="52"/>
      <c r="ABU22" s="52"/>
      <c r="ABV22" s="52"/>
      <c r="ABW22" s="52"/>
      <c r="ABX22" s="52"/>
      <c r="ABY22" s="52"/>
      <c r="ABZ22" s="52"/>
      <c r="ACA22" s="52"/>
      <c r="ACB22" s="52"/>
      <c r="ACC22" s="52"/>
      <c r="ACD22" s="52"/>
      <c r="ACE22" s="52"/>
      <c r="ACF22" s="52"/>
      <c r="ACG22" s="52"/>
      <c r="ACH22" s="52"/>
      <c r="ACI22" s="52"/>
      <c r="ACJ22" s="52"/>
      <c r="ACK22" s="52"/>
      <c r="ACL22" s="52"/>
      <c r="ACM22" s="52"/>
      <c r="ACN22" s="52"/>
      <c r="ACO22" s="52"/>
      <c r="ACP22" s="52"/>
      <c r="ACQ22" s="52"/>
      <c r="ACR22" s="52"/>
      <c r="ACS22" s="52"/>
      <c r="ACT22" s="52"/>
      <c r="ACU22" s="52"/>
      <c r="ACV22" s="52"/>
      <c r="ACW22" s="52"/>
      <c r="ACX22" s="52"/>
      <c r="ACY22" s="52"/>
      <c r="ACZ22" s="52"/>
      <c r="ADA22" s="52"/>
      <c r="ADB22" s="52"/>
      <c r="ADC22" s="52"/>
      <c r="ADD22" s="52"/>
      <c r="ADE22" s="52"/>
      <c r="ADF22" s="52"/>
      <c r="ADG22" s="52"/>
      <c r="ADH22" s="52"/>
      <c r="ADI22" s="52"/>
      <c r="ADJ22" s="52"/>
      <c r="ADK22" s="52"/>
      <c r="ADL22" s="52"/>
      <c r="ADM22" s="52"/>
      <c r="ADN22" s="52"/>
      <c r="ADO22" s="52"/>
      <c r="ADP22" s="52"/>
      <c r="ADQ22" s="52"/>
      <c r="ADR22" s="52"/>
      <c r="ADS22" s="52"/>
      <c r="ADT22" s="52"/>
      <c r="ADU22" s="52"/>
      <c r="ADV22" s="52"/>
      <c r="ADW22" s="52"/>
      <c r="ADX22" s="52"/>
      <c r="ADY22" s="52"/>
      <c r="ADZ22" s="52"/>
      <c r="AEA22" s="52"/>
      <c r="AEB22" s="52"/>
      <c r="AEC22" s="52"/>
      <c r="AED22" s="52"/>
      <c r="AEE22" s="52"/>
      <c r="AEF22" s="52"/>
      <c r="AEG22" s="52"/>
      <c r="AEH22" s="52"/>
      <c r="AEI22" s="52"/>
      <c r="AEJ22" s="52"/>
      <c r="AEK22" s="52"/>
      <c r="AEL22" s="52"/>
      <c r="AEM22" s="52"/>
      <c r="AEN22" s="52"/>
      <c r="AEO22" s="52"/>
      <c r="AEP22" s="52"/>
      <c r="AEQ22" s="52"/>
      <c r="AER22" s="52"/>
      <c r="AES22" s="52"/>
      <c r="AET22" s="52"/>
      <c r="AEU22" s="52"/>
      <c r="AEV22" s="52"/>
      <c r="AEW22" s="52"/>
      <c r="AEX22" s="52"/>
      <c r="AEY22" s="52"/>
      <c r="AEZ22" s="52"/>
      <c r="AFA22" s="52"/>
      <c r="AFB22" s="52"/>
      <c r="AFC22" s="52"/>
      <c r="AFD22" s="52"/>
      <c r="AFE22" s="52"/>
      <c r="AFF22" s="52"/>
      <c r="AFG22" s="52"/>
      <c r="AFH22" s="52"/>
      <c r="AFI22" s="52"/>
      <c r="AFJ22" s="52"/>
      <c r="AFK22" s="52"/>
      <c r="AFL22" s="52"/>
      <c r="AFM22" s="52"/>
      <c r="AFN22" s="52"/>
      <c r="AFO22" s="52"/>
      <c r="AFP22" s="52"/>
      <c r="AFQ22" s="52"/>
      <c r="AFR22" s="52"/>
      <c r="AFS22" s="52"/>
      <c r="AFT22" s="52"/>
      <c r="AFU22" s="52"/>
      <c r="AFV22" s="52"/>
      <c r="AFW22" s="52"/>
      <c r="AFX22" s="52"/>
      <c r="AFY22" s="52"/>
      <c r="AFZ22" s="52"/>
      <c r="AGA22" s="52"/>
      <c r="AGB22" s="52"/>
      <c r="AGC22" s="52"/>
      <c r="AGD22" s="52"/>
      <c r="AGE22" s="52"/>
      <c r="AGF22" s="52"/>
      <c r="AGG22" s="52"/>
      <c r="AGH22" s="52"/>
      <c r="AGI22" s="52"/>
      <c r="AGJ22" s="52"/>
      <c r="AGK22" s="52"/>
      <c r="AGL22" s="52"/>
      <c r="AGM22" s="52"/>
      <c r="AGN22" s="52"/>
      <c r="AGO22" s="52"/>
      <c r="AGP22" s="52"/>
      <c r="AGQ22" s="52"/>
      <c r="AGR22" s="52"/>
      <c r="AGS22" s="52"/>
      <c r="AGT22" s="52"/>
      <c r="AGU22" s="52"/>
      <c r="AGV22" s="52"/>
      <c r="AGW22" s="52"/>
      <c r="AGX22" s="52"/>
      <c r="AGY22" s="52"/>
      <c r="AGZ22" s="52"/>
      <c r="AHA22" s="52"/>
      <c r="AHB22" s="52"/>
      <c r="AHC22" s="52"/>
      <c r="AHD22" s="52"/>
      <c r="AHE22" s="52"/>
      <c r="AHF22" s="52"/>
      <c r="AHG22" s="52"/>
      <c r="AHH22" s="52"/>
      <c r="AHI22" s="52"/>
      <c r="AHJ22" s="52"/>
      <c r="AHK22" s="52"/>
      <c r="AHL22" s="52"/>
      <c r="AHM22" s="52"/>
      <c r="AHN22" s="52"/>
      <c r="AHO22" s="52"/>
      <c r="AHP22" s="52"/>
      <c r="AHQ22" s="52"/>
      <c r="AHR22" s="52"/>
      <c r="AHS22" s="52"/>
      <c r="AHT22" s="52"/>
      <c r="AHU22" s="52"/>
      <c r="AHV22" s="52"/>
      <c r="AHW22" s="52"/>
      <c r="AHX22" s="52"/>
      <c r="AHY22" s="52"/>
      <c r="AHZ22" s="52"/>
      <c r="AIA22" s="52"/>
      <c r="AIB22" s="52"/>
      <c r="AIC22" s="52"/>
      <c r="AID22" s="52"/>
      <c r="AIE22" s="52"/>
      <c r="AIF22" s="52"/>
      <c r="AIG22" s="52"/>
      <c r="AIH22" s="52"/>
      <c r="AII22" s="52"/>
      <c r="AIJ22" s="52"/>
      <c r="AIK22" s="52"/>
      <c r="AIL22" s="52"/>
      <c r="AIM22" s="52"/>
      <c r="AIN22" s="52"/>
      <c r="AIO22" s="52"/>
      <c r="AIP22" s="52"/>
      <c r="AIQ22" s="52"/>
      <c r="AIR22" s="52"/>
      <c r="AIS22" s="52"/>
      <c r="AIT22" s="52"/>
      <c r="AIU22" s="52"/>
      <c r="AIV22" s="52"/>
      <c r="AIW22" s="52"/>
      <c r="AIX22" s="52"/>
      <c r="AIY22" s="52"/>
      <c r="AIZ22" s="52"/>
      <c r="AJA22" s="52"/>
      <c r="AJB22" s="52"/>
      <c r="AJC22" s="52"/>
      <c r="AJD22" s="52"/>
      <c r="AJE22" s="52"/>
      <c r="AJF22" s="52"/>
      <c r="AJG22" s="52"/>
      <c r="AJH22" s="52"/>
      <c r="AJI22" s="52"/>
      <c r="AJJ22" s="52"/>
      <c r="AJK22" s="52"/>
      <c r="AJL22" s="52"/>
      <c r="AJM22" s="52"/>
      <c r="AJN22" s="52"/>
      <c r="AJO22" s="52"/>
      <c r="AJP22" s="52"/>
      <c r="AJQ22" s="52"/>
      <c r="AJR22" s="52"/>
      <c r="AJS22" s="52"/>
      <c r="AJT22" s="52"/>
      <c r="AJU22" s="52"/>
      <c r="AJV22" s="52"/>
      <c r="AJW22" s="52"/>
      <c r="AJX22" s="52"/>
      <c r="AJY22" s="52"/>
      <c r="AJZ22" s="52"/>
      <c r="AKA22" s="52"/>
      <c r="AKB22" s="52"/>
      <c r="AKC22" s="52"/>
      <c r="AKD22" s="52"/>
      <c r="AKE22" s="52"/>
      <c r="AKF22" s="52"/>
      <c r="AKG22" s="52"/>
      <c r="AKH22" s="52"/>
      <c r="AKI22" s="52"/>
      <c r="AKJ22" s="52"/>
      <c r="AKK22" s="52"/>
      <c r="AKL22" s="52"/>
      <c r="AKM22" s="52"/>
      <c r="AKN22" s="52"/>
      <c r="AKO22" s="52"/>
      <c r="AKP22" s="52"/>
      <c r="AKQ22" s="52"/>
      <c r="AKR22" s="52"/>
      <c r="AKS22" s="52"/>
      <c r="AKT22" s="52"/>
      <c r="AKU22" s="52"/>
      <c r="AKV22" s="52"/>
      <c r="AKW22" s="52"/>
      <c r="AKX22" s="52"/>
      <c r="AKY22" s="52"/>
      <c r="AKZ22" s="52"/>
      <c r="ALA22" s="52"/>
      <c r="ALB22" s="52"/>
      <c r="ALC22" s="52"/>
      <c r="ALD22" s="52"/>
      <c r="ALE22" s="52"/>
      <c r="ALF22" s="52"/>
      <c r="ALG22" s="52"/>
      <c r="ALH22" s="52"/>
      <c r="ALI22" s="52"/>
      <c r="ALJ22" s="52"/>
      <c r="ALK22" s="52"/>
      <c r="ALL22" s="52"/>
      <c r="ALM22" s="52"/>
      <c r="ALN22" s="52"/>
      <c r="ALO22" s="52"/>
      <c r="ALP22" s="52"/>
      <c r="ALQ22" s="52"/>
      <c r="ALR22" s="52"/>
      <c r="ALS22" s="52"/>
      <c r="ALT22" s="52"/>
      <c r="ALU22" s="52"/>
      <c r="ALV22" s="52"/>
      <c r="ALW22" s="52"/>
      <c r="ALX22" s="52"/>
      <c r="ALY22" s="52"/>
      <c r="ALZ22" s="52"/>
      <c r="AMA22" s="52"/>
      <c r="AMB22" s="52"/>
      <c r="AMC22" s="52"/>
      <c r="AMD22" s="52"/>
      <c r="AME22" s="52"/>
      <c r="AMF22" s="52"/>
      <c r="AMG22" s="52"/>
      <c r="AMH22" s="52"/>
      <c r="AMI22" s="52"/>
      <c r="AMJ22" s="52"/>
      <c r="AMK22" s="52"/>
      <c r="AML22" s="52"/>
      <c r="AMM22" s="52"/>
      <c r="AMN22" s="52"/>
      <c r="AMO22" s="52"/>
      <c r="AMP22" s="52"/>
      <c r="AMQ22" s="52"/>
      <c r="AMR22" s="52"/>
      <c r="AMS22" s="52"/>
      <c r="AMT22" s="52"/>
      <c r="AMU22" s="52"/>
      <c r="AMV22" s="52"/>
      <c r="AMW22" s="52"/>
      <c r="AMX22" s="52"/>
      <c r="AMY22" s="52"/>
      <c r="AMZ22" s="52"/>
      <c r="ANA22" s="52"/>
      <c r="ANB22" s="52"/>
      <c r="ANC22" s="52"/>
      <c r="AND22" s="52"/>
      <c r="ANE22" s="52"/>
      <c r="ANF22" s="52"/>
      <c r="ANG22" s="52"/>
      <c r="ANH22" s="52"/>
      <c r="ANI22" s="52"/>
      <c r="ANJ22" s="52"/>
      <c r="ANK22" s="52"/>
      <c r="ANL22" s="52"/>
      <c r="ANM22" s="52"/>
      <c r="ANN22" s="52"/>
      <c r="ANO22" s="52"/>
      <c r="ANP22" s="52"/>
      <c r="ANQ22" s="52"/>
      <c r="ANR22" s="52"/>
      <c r="ANS22" s="52"/>
      <c r="ANT22" s="52"/>
      <c r="ANU22" s="52"/>
      <c r="ANV22" s="52"/>
      <c r="ANW22" s="52"/>
      <c r="ANX22" s="52"/>
      <c r="ANY22" s="52"/>
      <c r="ANZ22" s="52"/>
      <c r="AOA22" s="52"/>
      <c r="AOB22" s="52"/>
      <c r="AOC22" s="52"/>
      <c r="AOD22" s="52"/>
      <c r="AOE22" s="52"/>
      <c r="AOF22" s="52"/>
      <c r="AOG22" s="52"/>
      <c r="AOH22" s="52"/>
      <c r="AOI22" s="52"/>
      <c r="AOJ22" s="52"/>
      <c r="AOK22" s="52"/>
      <c r="AOL22" s="52"/>
      <c r="AOM22" s="52"/>
      <c r="AON22" s="52"/>
      <c r="AOO22" s="52"/>
      <c r="AOP22" s="52"/>
      <c r="AOQ22" s="52"/>
      <c r="AOR22" s="52"/>
      <c r="AOS22" s="52"/>
      <c r="AOT22" s="52"/>
      <c r="AOU22" s="52"/>
      <c r="AOV22" s="52"/>
      <c r="AOW22" s="52"/>
      <c r="AOX22" s="52"/>
      <c r="AOY22" s="52"/>
      <c r="AOZ22" s="52"/>
      <c r="APA22" s="52"/>
      <c r="APB22" s="52"/>
      <c r="APC22" s="52"/>
      <c r="APD22" s="52"/>
      <c r="APE22" s="52"/>
      <c r="APF22" s="52"/>
      <c r="APG22" s="52"/>
      <c r="APH22" s="52"/>
      <c r="API22" s="52"/>
      <c r="APJ22" s="52"/>
      <c r="APK22" s="52"/>
      <c r="APL22" s="52"/>
      <c r="APM22" s="52"/>
      <c r="APN22" s="52"/>
      <c r="APO22" s="52"/>
      <c r="APP22" s="52"/>
      <c r="APQ22" s="52"/>
      <c r="APR22" s="52"/>
      <c r="APS22" s="52"/>
      <c r="APT22" s="52"/>
      <c r="APU22" s="52"/>
      <c r="APV22" s="52"/>
      <c r="APW22" s="52"/>
      <c r="APX22" s="52"/>
    </row>
    <row r="23" spans="1:1116" s="272" customFormat="1" ht="15" customHeight="1">
      <c r="A23" s="268"/>
      <c r="B23" s="269"/>
      <c r="C23" s="270"/>
      <c r="D23" s="421"/>
      <c r="E23" s="359"/>
      <c r="F23" s="364"/>
      <c r="G23" s="271"/>
      <c r="H23" s="379"/>
      <c r="I23" s="385"/>
      <c r="J23" s="378"/>
      <c r="K23" s="130"/>
      <c r="L23" s="130"/>
      <c r="M23" s="451"/>
      <c r="N23" s="349"/>
      <c r="O23" s="451"/>
      <c r="P23" s="189"/>
      <c r="Q23" s="608"/>
      <c r="R23" s="365"/>
      <c r="S23" s="365"/>
      <c r="T23" s="577"/>
      <c r="U23" s="577"/>
      <c r="V23" s="577"/>
      <c r="W23" s="541"/>
      <c r="X23" s="541"/>
      <c r="Y23" s="541"/>
      <c r="Z23" s="541"/>
      <c r="AA23" s="541"/>
      <c r="AB23" s="541"/>
      <c r="AC23" s="541"/>
      <c r="AD23" s="541"/>
      <c r="AE23" s="541"/>
      <c r="AF23" s="541"/>
      <c r="AG23" s="541"/>
      <c r="AH23" s="541"/>
      <c r="AI23" s="541"/>
      <c r="AJ23" s="541"/>
      <c r="AK23" s="541"/>
      <c r="AL23" s="541"/>
      <c r="AM23" s="541"/>
      <c r="AN23" s="541"/>
      <c r="AO23" s="541"/>
      <c r="AP23" s="541"/>
      <c r="AQ23" s="541"/>
      <c r="AR23" s="541"/>
      <c r="AS23" s="541"/>
      <c r="AT23" s="541"/>
      <c r="AU23" s="541"/>
      <c r="AV23" s="541"/>
      <c r="AW23" s="541"/>
      <c r="AX23" s="541"/>
      <c r="AY23" s="541"/>
      <c r="AZ23" s="541"/>
      <c r="BA23" s="541"/>
      <c r="BB23" s="541"/>
      <c r="BC23" s="541"/>
      <c r="BD23" s="541"/>
      <c r="BE23" s="541"/>
      <c r="BF23" s="541"/>
      <c r="BG23" s="541"/>
      <c r="BH23" s="541"/>
      <c r="BI23" s="541"/>
      <c r="BJ23" s="541"/>
      <c r="BK23" s="541"/>
      <c r="BL23" s="541"/>
      <c r="BM23" s="541"/>
      <c r="BN23" s="541"/>
      <c r="BO23" s="541"/>
      <c r="BP23" s="541"/>
      <c r="BQ23" s="541"/>
      <c r="BR23" s="541"/>
      <c r="BS23" s="541"/>
      <c r="BT23" s="541"/>
      <c r="BU23" s="541"/>
      <c r="BV23" s="541"/>
      <c r="BW23" s="541"/>
      <c r="BX23" s="541"/>
      <c r="BY23" s="541"/>
      <c r="BZ23" s="541"/>
      <c r="CA23" s="541"/>
      <c r="CB23" s="541"/>
      <c r="CC23" s="541"/>
      <c r="CD23" s="542"/>
      <c r="CE23" s="365"/>
      <c r="CF23" s="541"/>
      <c r="CG23" s="541"/>
      <c r="CH23" s="541"/>
      <c r="CI23" s="541"/>
      <c r="CJ23" s="541"/>
      <c r="CK23" s="541"/>
      <c r="CL23" s="541"/>
      <c r="CM23" s="541"/>
      <c r="CN23" s="541"/>
      <c r="CO23" s="541"/>
      <c r="CP23" s="541"/>
      <c r="CQ23" s="541"/>
      <c r="CR23" s="541"/>
      <c r="CS23" s="541"/>
      <c r="CT23" s="541"/>
      <c r="CU23" s="541"/>
      <c r="CV23" s="541"/>
      <c r="CW23" s="541"/>
      <c r="CX23" s="541"/>
      <c r="CY23" s="541"/>
      <c r="CZ23" s="541"/>
      <c r="DA23" s="541"/>
      <c r="DB23" s="541"/>
      <c r="DC23" s="541"/>
      <c r="DD23" s="541"/>
      <c r="DE23" s="541"/>
      <c r="DF23" s="541"/>
      <c r="DG23" s="541"/>
      <c r="DH23" s="541"/>
      <c r="DI23" s="541"/>
      <c r="DJ23" s="541"/>
      <c r="DK23" s="541"/>
      <c r="DL23" s="541"/>
      <c r="DM23" s="541"/>
      <c r="DN23" s="541"/>
      <c r="DO23" s="541"/>
      <c r="DP23" s="541"/>
      <c r="DQ23" s="541"/>
      <c r="DR23" s="541"/>
      <c r="DS23" s="541"/>
      <c r="DT23" s="541"/>
      <c r="DU23" s="541"/>
      <c r="DV23" s="541"/>
      <c r="DW23" s="541"/>
      <c r="DX23" s="541"/>
      <c r="DY23" s="541"/>
      <c r="DZ23" s="541"/>
      <c r="EA23" s="541"/>
      <c r="EB23" s="541"/>
      <c r="EC23" s="541"/>
      <c r="ED23" s="541"/>
      <c r="EE23" s="541"/>
      <c r="EF23" s="541"/>
      <c r="EG23" s="541"/>
      <c r="EH23" s="541"/>
      <c r="EI23" s="541"/>
      <c r="EJ23" s="541"/>
      <c r="EK23" s="541"/>
      <c r="EL23" s="541"/>
      <c r="EM23" s="542"/>
      <c r="EN23" s="365"/>
      <c r="EO23" s="365"/>
      <c r="EP23" s="270"/>
      <c r="EQ23" s="270"/>
      <c r="ER23" s="270"/>
      <c r="ES23" s="270"/>
      <c r="ET23" s="270"/>
      <c r="EU23" s="270"/>
      <c r="EV23" s="270"/>
      <c r="EW23" s="270"/>
      <c r="EX23" s="270"/>
      <c r="EY23" s="270"/>
      <c r="EZ23" s="270"/>
      <c r="FA23" s="270"/>
      <c r="FB23" s="270"/>
      <c r="FC23" s="270"/>
      <c r="FD23" s="270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0"/>
      <c r="GG23" s="270"/>
      <c r="GH23" s="270"/>
      <c r="GI23" s="270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0"/>
      <c r="HM23" s="270"/>
      <c r="HN23" s="270"/>
      <c r="HO23" s="270"/>
      <c r="HP23" s="270"/>
      <c r="HQ23" s="270"/>
      <c r="HR23" s="270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0"/>
      <c r="IS23" s="270"/>
      <c r="IT23" s="270"/>
      <c r="IU23" s="270"/>
      <c r="IV23" s="270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0"/>
      <c r="JX23" s="270"/>
      <c r="JY23" s="270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0"/>
      <c r="LD23" s="270"/>
      <c r="LE23" s="270"/>
      <c r="LF23" s="270"/>
      <c r="LG23" s="270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0"/>
      <c r="MI23" s="270"/>
      <c r="MJ23" s="270"/>
      <c r="MK23" s="270"/>
      <c r="ML23" s="270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0"/>
      <c r="NO23" s="270"/>
      <c r="NP23" s="270"/>
      <c r="NQ23" s="270"/>
      <c r="NR23" s="270"/>
      <c r="NS23" s="270"/>
      <c r="NT23" s="270"/>
      <c r="NU23" s="270"/>
      <c r="NV23" s="270"/>
      <c r="NW23" s="270"/>
      <c r="NX23" s="270"/>
      <c r="NY23" s="270"/>
      <c r="NZ23" s="270"/>
      <c r="OA23" s="270"/>
      <c r="OB23" s="270"/>
      <c r="OC23" s="270"/>
      <c r="OD23" s="270"/>
      <c r="OE23" s="270"/>
      <c r="OF23" s="270"/>
      <c r="OG23" s="270"/>
      <c r="OH23" s="270"/>
      <c r="OI23" s="270"/>
      <c r="OJ23" s="270"/>
      <c r="OK23" s="270"/>
      <c r="OL23" s="270"/>
      <c r="OM23" s="270"/>
      <c r="ON23" s="270"/>
      <c r="OO23" s="270"/>
      <c r="OP23" s="270"/>
      <c r="OQ23" s="270"/>
      <c r="OR23" s="270"/>
      <c r="OS23" s="270"/>
      <c r="OT23" s="270"/>
      <c r="OU23" s="270"/>
      <c r="OV23" s="270"/>
      <c r="OW23" s="270"/>
      <c r="OX23" s="270"/>
      <c r="OY23" s="270"/>
      <c r="OZ23" s="270"/>
      <c r="PA23" s="270"/>
      <c r="PB23" s="270"/>
      <c r="PC23" s="270"/>
      <c r="PD23" s="270"/>
      <c r="PE23" s="270"/>
      <c r="PF23" s="270"/>
      <c r="PG23" s="270"/>
      <c r="PH23" s="270"/>
      <c r="PI23" s="270"/>
      <c r="PJ23" s="270"/>
      <c r="PK23" s="270"/>
      <c r="PL23" s="270"/>
      <c r="PM23" s="270"/>
      <c r="PN23" s="270"/>
      <c r="PO23" s="270"/>
      <c r="PP23" s="270"/>
      <c r="PQ23" s="270"/>
      <c r="PR23" s="270"/>
      <c r="PS23" s="270"/>
      <c r="PT23" s="270"/>
      <c r="PU23" s="270"/>
      <c r="PV23" s="270"/>
      <c r="PW23" s="270"/>
      <c r="PX23" s="270"/>
      <c r="PY23" s="270"/>
      <c r="PZ23" s="270"/>
      <c r="QA23" s="270"/>
      <c r="QB23" s="270"/>
      <c r="QC23" s="270"/>
      <c r="QD23" s="270"/>
      <c r="QE23" s="270"/>
      <c r="QF23" s="270"/>
      <c r="QG23" s="270"/>
      <c r="QH23" s="270"/>
      <c r="QI23" s="270"/>
      <c r="QJ23" s="270"/>
      <c r="QK23" s="270"/>
      <c r="QL23" s="270"/>
      <c r="QM23" s="270"/>
      <c r="QN23" s="270"/>
      <c r="QO23" s="270"/>
      <c r="QP23" s="270"/>
      <c r="QQ23" s="270"/>
      <c r="QR23" s="270"/>
      <c r="QS23" s="270"/>
      <c r="QT23" s="270"/>
      <c r="QU23" s="270"/>
      <c r="QV23" s="270"/>
      <c r="QW23" s="270"/>
      <c r="QX23" s="270"/>
      <c r="QY23" s="270"/>
      <c r="QZ23" s="270"/>
      <c r="RA23" s="270"/>
      <c r="RB23" s="270"/>
      <c r="RC23" s="270"/>
      <c r="RD23" s="270"/>
      <c r="RE23" s="270"/>
      <c r="RF23" s="270"/>
      <c r="RG23" s="270"/>
      <c r="RH23" s="270"/>
      <c r="RI23" s="270"/>
      <c r="RJ23" s="270"/>
      <c r="RK23" s="270"/>
      <c r="RL23" s="270"/>
      <c r="RM23" s="270"/>
      <c r="RN23" s="270"/>
      <c r="RO23" s="270"/>
      <c r="RP23" s="270"/>
      <c r="RQ23" s="270"/>
      <c r="RR23" s="270"/>
      <c r="RS23" s="270"/>
      <c r="RT23" s="270"/>
      <c r="RU23" s="270"/>
      <c r="RV23" s="270"/>
      <c r="RW23" s="270"/>
      <c r="RX23" s="270"/>
      <c r="RY23" s="270"/>
      <c r="RZ23" s="270"/>
      <c r="SA23" s="270"/>
      <c r="SB23" s="270"/>
      <c r="SC23" s="270"/>
      <c r="SD23" s="270"/>
      <c r="SE23" s="270"/>
      <c r="SF23" s="270"/>
      <c r="SG23" s="270"/>
      <c r="SH23" s="270"/>
      <c r="SI23" s="270"/>
      <c r="SJ23" s="270"/>
      <c r="SK23" s="270"/>
      <c r="SL23" s="270"/>
      <c r="SM23" s="270"/>
      <c r="SN23" s="270"/>
      <c r="SO23" s="270"/>
      <c r="SP23" s="270"/>
      <c r="SQ23" s="270"/>
      <c r="SR23" s="270"/>
      <c r="SS23" s="270"/>
      <c r="ST23" s="270"/>
      <c r="SU23" s="270"/>
      <c r="SV23" s="270"/>
      <c r="SW23" s="270"/>
      <c r="SX23" s="270"/>
      <c r="SY23" s="270"/>
      <c r="SZ23" s="270"/>
      <c r="TA23" s="270"/>
      <c r="TB23" s="270"/>
      <c r="TC23" s="270"/>
      <c r="TD23" s="270"/>
      <c r="TE23" s="270"/>
      <c r="TF23" s="270"/>
      <c r="TG23" s="270"/>
      <c r="TH23" s="270"/>
      <c r="TI23" s="270"/>
      <c r="TJ23" s="270"/>
      <c r="TK23" s="270"/>
      <c r="TL23" s="270"/>
      <c r="TM23" s="270"/>
      <c r="TN23" s="270"/>
      <c r="TO23" s="270"/>
      <c r="TP23" s="270"/>
      <c r="TQ23" s="270"/>
      <c r="TR23" s="270"/>
      <c r="TS23" s="270"/>
      <c r="TT23" s="270"/>
      <c r="TU23" s="270"/>
      <c r="TV23" s="270"/>
      <c r="TW23" s="270"/>
      <c r="TX23" s="270"/>
      <c r="TY23" s="270"/>
      <c r="TZ23" s="270"/>
      <c r="UA23" s="270"/>
      <c r="UB23" s="270"/>
      <c r="UC23" s="270"/>
      <c r="UD23" s="270"/>
      <c r="UE23" s="270"/>
      <c r="UF23" s="270"/>
      <c r="UG23" s="270"/>
      <c r="UH23" s="270"/>
      <c r="UI23" s="270"/>
      <c r="UJ23" s="270"/>
      <c r="UK23" s="270"/>
      <c r="UL23" s="270"/>
      <c r="UM23" s="270"/>
      <c r="UN23" s="270"/>
      <c r="UO23" s="270"/>
      <c r="UP23" s="270"/>
      <c r="UQ23" s="270"/>
      <c r="UR23" s="270"/>
      <c r="US23" s="270"/>
      <c r="UT23" s="270"/>
      <c r="UU23" s="270"/>
      <c r="UV23" s="270"/>
      <c r="UW23" s="270"/>
      <c r="UX23" s="270"/>
      <c r="UY23" s="270"/>
      <c r="UZ23" s="270"/>
      <c r="VA23" s="270"/>
      <c r="VB23" s="270"/>
      <c r="VC23" s="270"/>
      <c r="VD23" s="270"/>
      <c r="VE23" s="270"/>
      <c r="VF23" s="270"/>
      <c r="VG23" s="270"/>
      <c r="VH23" s="270"/>
      <c r="VI23" s="270"/>
      <c r="VJ23" s="270"/>
      <c r="VK23" s="270"/>
      <c r="VL23" s="270"/>
      <c r="VM23" s="270"/>
      <c r="VN23" s="270"/>
      <c r="VO23" s="270"/>
      <c r="VP23" s="270"/>
      <c r="VQ23" s="270"/>
      <c r="VR23" s="270"/>
      <c r="VS23" s="270"/>
      <c r="VT23" s="270"/>
      <c r="VU23" s="270"/>
      <c r="VV23" s="270"/>
      <c r="VW23" s="270"/>
      <c r="VX23" s="270"/>
      <c r="VY23" s="270"/>
      <c r="VZ23" s="270"/>
      <c r="WA23" s="270"/>
      <c r="WB23" s="270"/>
      <c r="WC23" s="270"/>
      <c r="WD23" s="270"/>
      <c r="WE23" s="270"/>
      <c r="WF23" s="270"/>
      <c r="WG23" s="270"/>
      <c r="WH23" s="270"/>
      <c r="WI23" s="270"/>
      <c r="WJ23" s="270"/>
      <c r="WK23" s="270"/>
      <c r="WL23" s="270"/>
      <c r="WM23" s="270"/>
      <c r="WN23" s="270"/>
      <c r="WO23" s="270"/>
      <c r="WP23" s="270"/>
      <c r="WQ23" s="270"/>
      <c r="WR23" s="270"/>
      <c r="WS23" s="270"/>
      <c r="WT23" s="270"/>
      <c r="WU23" s="270"/>
      <c r="WV23" s="270"/>
      <c r="WW23" s="270"/>
      <c r="WX23" s="270"/>
      <c r="WY23" s="270"/>
      <c r="WZ23" s="270"/>
      <c r="XA23" s="270"/>
      <c r="XB23" s="270"/>
      <c r="XC23" s="270"/>
      <c r="XD23" s="270"/>
      <c r="XE23" s="270"/>
      <c r="XF23" s="270"/>
      <c r="XG23" s="270"/>
      <c r="XH23" s="270"/>
      <c r="XI23" s="270"/>
      <c r="XJ23" s="270"/>
      <c r="XK23" s="270"/>
      <c r="XL23" s="270"/>
      <c r="XM23" s="270"/>
      <c r="XN23" s="270"/>
      <c r="XO23" s="270"/>
      <c r="XP23" s="270"/>
      <c r="XQ23" s="270"/>
      <c r="XR23" s="270"/>
      <c r="XS23" s="270"/>
      <c r="XT23" s="270"/>
      <c r="XU23" s="270"/>
      <c r="XV23" s="270"/>
      <c r="XW23" s="270"/>
      <c r="XX23" s="270"/>
      <c r="XY23" s="270"/>
      <c r="XZ23" s="270"/>
      <c r="YA23" s="270"/>
      <c r="YB23" s="270"/>
      <c r="YC23" s="270"/>
      <c r="YD23" s="270"/>
      <c r="YE23" s="270"/>
      <c r="YF23" s="270"/>
      <c r="YG23" s="270"/>
      <c r="YH23" s="270"/>
      <c r="YI23" s="270"/>
      <c r="YJ23" s="270"/>
      <c r="YK23" s="270"/>
      <c r="YL23" s="270"/>
      <c r="YM23" s="270"/>
      <c r="YN23" s="270"/>
      <c r="YO23" s="270"/>
      <c r="YP23" s="270"/>
      <c r="YQ23" s="270"/>
      <c r="YR23" s="270"/>
      <c r="YS23" s="270"/>
      <c r="YT23" s="270"/>
      <c r="YU23" s="270"/>
      <c r="YV23" s="270"/>
      <c r="YW23" s="270"/>
      <c r="YX23" s="270"/>
      <c r="YY23" s="270"/>
      <c r="YZ23" s="270"/>
      <c r="ZA23" s="270"/>
      <c r="ZB23" s="270"/>
      <c r="ZC23" s="270"/>
      <c r="ZD23" s="270"/>
      <c r="ZE23" s="270"/>
      <c r="ZF23" s="270"/>
      <c r="ZG23" s="270"/>
      <c r="ZH23" s="270"/>
      <c r="ZI23" s="270"/>
      <c r="ZJ23" s="270"/>
      <c r="ZK23" s="270"/>
      <c r="ZL23" s="270"/>
      <c r="ZM23" s="270"/>
      <c r="ZN23" s="270"/>
      <c r="ZO23" s="270"/>
      <c r="ZP23" s="270"/>
      <c r="ZQ23" s="270"/>
      <c r="ZR23" s="270"/>
      <c r="ZS23" s="270"/>
      <c r="ZT23" s="270"/>
      <c r="ZU23" s="270"/>
      <c r="ZV23" s="270"/>
      <c r="ZW23" s="270"/>
      <c r="ZX23" s="270"/>
      <c r="ZY23" s="270"/>
      <c r="ZZ23" s="270"/>
      <c r="AAA23" s="270"/>
      <c r="AAB23" s="270"/>
      <c r="AAC23" s="270"/>
      <c r="AAD23" s="270"/>
      <c r="AAE23" s="270"/>
      <c r="AAF23" s="270"/>
      <c r="AAG23" s="270"/>
      <c r="AAH23" s="270"/>
      <c r="AAI23" s="270"/>
      <c r="AAJ23" s="270"/>
      <c r="AAK23" s="270"/>
      <c r="AAL23" s="270"/>
      <c r="AAM23" s="270"/>
      <c r="AAN23" s="270"/>
      <c r="AAO23" s="270"/>
      <c r="AAP23" s="270"/>
      <c r="AAQ23" s="270"/>
      <c r="AAR23" s="270"/>
      <c r="AAS23" s="270"/>
      <c r="AAT23" s="270"/>
      <c r="AAU23" s="270"/>
      <c r="AAV23" s="270"/>
      <c r="AAW23" s="270"/>
      <c r="AAX23" s="270"/>
      <c r="AAY23" s="270"/>
      <c r="AAZ23" s="270"/>
      <c r="ABA23" s="270"/>
      <c r="ABB23" s="270"/>
      <c r="ABC23" s="270"/>
      <c r="ABD23" s="270"/>
      <c r="ABE23" s="270"/>
      <c r="ABF23" s="270"/>
      <c r="ABG23" s="270"/>
      <c r="ABH23" s="270"/>
      <c r="ABI23" s="270"/>
      <c r="ABJ23" s="270"/>
      <c r="ABK23" s="270"/>
      <c r="ABL23" s="270"/>
      <c r="ABM23" s="270"/>
      <c r="ABN23" s="270"/>
      <c r="ABO23" s="270"/>
      <c r="ABP23" s="270"/>
      <c r="ABQ23" s="270"/>
      <c r="ABR23" s="270"/>
      <c r="ABS23" s="270"/>
      <c r="ABT23" s="270"/>
      <c r="ABU23" s="270"/>
      <c r="ABV23" s="270"/>
      <c r="ABW23" s="270"/>
      <c r="ABX23" s="270"/>
      <c r="ABY23" s="270"/>
      <c r="ABZ23" s="270"/>
      <c r="ACA23" s="270"/>
      <c r="ACB23" s="270"/>
      <c r="ACC23" s="270"/>
      <c r="ACD23" s="270"/>
      <c r="ACE23" s="270"/>
      <c r="ACF23" s="270"/>
      <c r="ACG23" s="270"/>
      <c r="ACH23" s="270"/>
      <c r="ACI23" s="270"/>
      <c r="ACJ23" s="270"/>
      <c r="ACK23" s="270"/>
      <c r="ACL23" s="270"/>
      <c r="ACM23" s="270"/>
      <c r="ACN23" s="270"/>
      <c r="ACO23" s="270"/>
      <c r="ACP23" s="270"/>
      <c r="ACQ23" s="270"/>
      <c r="ACR23" s="270"/>
      <c r="ACS23" s="270"/>
      <c r="ACT23" s="270"/>
      <c r="ACU23" s="270"/>
      <c r="ACV23" s="270"/>
      <c r="ACW23" s="270"/>
      <c r="ACX23" s="270"/>
      <c r="ACY23" s="270"/>
      <c r="ACZ23" s="270"/>
      <c r="ADA23" s="270"/>
      <c r="ADB23" s="270"/>
      <c r="ADC23" s="270"/>
      <c r="ADD23" s="270"/>
      <c r="ADE23" s="270"/>
      <c r="ADF23" s="270"/>
      <c r="ADG23" s="270"/>
      <c r="ADH23" s="270"/>
      <c r="ADI23" s="270"/>
      <c r="ADJ23" s="270"/>
      <c r="ADK23" s="270"/>
      <c r="ADL23" s="270"/>
      <c r="ADM23" s="270"/>
      <c r="ADN23" s="270"/>
      <c r="ADO23" s="270"/>
      <c r="ADP23" s="270"/>
      <c r="ADQ23" s="270"/>
      <c r="ADR23" s="270"/>
      <c r="ADS23" s="270"/>
      <c r="ADT23" s="270"/>
      <c r="ADU23" s="270"/>
      <c r="ADV23" s="270"/>
      <c r="ADW23" s="270"/>
      <c r="ADX23" s="270"/>
      <c r="ADY23" s="270"/>
      <c r="ADZ23" s="270"/>
      <c r="AEA23" s="270"/>
      <c r="AEB23" s="270"/>
      <c r="AEC23" s="270"/>
      <c r="AED23" s="270"/>
      <c r="AEE23" s="270"/>
      <c r="AEF23" s="270"/>
      <c r="AEG23" s="270"/>
      <c r="AEH23" s="270"/>
      <c r="AEI23" s="270"/>
      <c r="AEJ23" s="270"/>
      <c r="AEK23" s="270"/>
      <c r="AEL23" s="270"/>
      <c r="AEM23" s="270"/>
      <c r="AEN23" s="270"/>
      <c r="AEO23" s="270"/>
      <c r="AEP23" s="270"/>
      <c r="AEQ23" s="270"/>
      <c r="AER23" s="270"/>
      <c r="AES23" s="270"/>
      <c r="AET23" s="270"/>
      <c r="AEU23" s="270"/>
      <c r="AEV23" s="270"/>
      <c r="AEW23" s="270"/>
      <c r="AEX23" s="270"/>
      <c r="AEY23" s="270"/>
      <c r="AEZ23" s="270"/>
      <c r="AFA23" s="270"/>
      <c r="AFB23" s="270"/>
      <c r="AFC23" s="270"/>
      <c r="AFD23" s="270"/>
      <c r="AFE23" s="270"/>
      <c r="AFF23" s="270"/>
      <c r="AFG23" s="270"/>
      <c r="AFH23" s="270"/>
      <c r="AFI23" s="270"/>
      <c r="AFJ23" s="270"/>
      <c r="AFK23" s="270"/>
      <c r="AFL23" s="270"/>
      <c r="AFM23" s="270"/>
      <c r="AFN23" s="270"/>
      <c r="AFO23" s="270"/>
      <c r="AFP23" s="270"/>
      <c r="AFQ23" s="270"/>
      <c r="AFR23" s="270"/>
      <c r="AFS23" s="270"/>
      <c r="AFT23" s="270"/>
      <c r="AFU23" s="270"/>
      <c r="AFV23" s="270"/>
      <c r="AFW23" s="270"/>
      <c r="AFX23" s="270"/>
      <c r="AFY23" s="270"/>
      <c r="AFZ23" s="270"/>
      <c r="AGA23" s="270"/>
      <c r="AGB23" s="270"/>
      <c r="AGC23" s="270"/>
      <c r="AGD23" s="270"/>
      <c r="AGE23" s="270"/>
      <c r="AGF23" s="270"/>
      <c r="AGG23" s="270"/>
      <c r="AGH23" s="270"/>
      <c r="AGI23" s="270"/>
      <c r="AGJ23" s="270"/>
      <c r="AGK23" s="270"/>
      <c r="AGL23" s="270"/>
      <c r="AGM23" s="270"/>
      <c r="AGN23" s="270"/>
      <c r="AGO23" s="270"/>
      <c r="AGP23" s="270"/>
      <c r="AGQ23" s="270"/>
      <c r="AGR23" s="270"/>
      <c r="AGS23" s="270"/>
      <c r="AGT23" s="270"/>
      <c r="AGU23" s="270"/>
      <c r="AGV23" s="270"/>
      <c r="AGW23" s="270"/>
      <c r="AGX23" s="270"/>
      <c r="AGY23" s="270"/>
      <c r="AGZ23" s="270"/>
      <c r="AHA23" s="270"/>
      <c r="AHB23" s="270"/>
      <c r="AHC23" s="270"/>
      <c r="AHD23" s="270"/>
      <c r="AHE23" s="270"/>
      <c r="AHF23" s="270"/>
      <c r="AHG23" s="270"/>
      <c r="AHH23" s="270"/>
      <c r="AHI23" s="270"/>
      <c r="AHJ23" s="270"/>
      <c r="AHK23" s="270"/>
      <c r="AHL23" s="270"/>
      <c r="AHM23" s="270"/>
      <c r="AHN23" s="270"/>
      <c r="AHO23" s="270"/>
      <c r="AHP23" s="270"/>
      <c r="AHQ23" s="270"/>
      <c r="AHR23" s="270"/>
      <c r="AHS23" s="270"/>
      <c r="AHT23" s="270"/>
      <c r="AHU23" s="270"/>
      <c r="AHV23" s="270"/>
      <c r="AHW23" s="270"/>
      <c r="AHX23" s="270"/>
      <c r="AHY23" s="270"/>
      <c r="AHZ23" s="270"/>
      <c r="AIA23" s="270"/>
      <c r="AIB23" s="270"/>
      <c r="AIC23" s="270"/>
      <c r="AID23" s="270"/>
      <c r="AIE23" s="270"/>
      <c r="AIF23" s="270"/>
      <c r="AIG23" s="270"/>
      <c r="AIH23" s="270"/>
      <c r="AII23" s="270"/>
      <c r="AIJ23" s="270"/>
      <c r="AIK23" s="270"/>
      <c r="AIL23" s="270"/>
      <c r="AIM23" s="270"/>
      <c r="AIN23" s="270"/>
      <c r="AIO23" s="270"/>
      <c r="AIP23" s="270"/>
      <c r="AIQ23" s="270"/>
      <c r="AIR23" s="270"/>
      <c r="AIS23" s="270"/>
      <c r="AIT23" s="270"/>
      <c r="AIU23" s="270"/>
      <c r="AIV23" s="270"/>
      <c r="AIW23" s="270"/>
      <c r="AIX23" s="270"/>
      <c r="AIY23" s="270"/>
      <c r="AIZ23" s="270"/>
      <c r="AJA23" s="270"/>
      <c r="AJB23" s="270"/>
      <c r="AJC23" s="270"/>
      <c r="AJD23" s="270"/>
      <c r="AJE23" s="270"/>
      <c r="AJF23" s="270"/>
      <c r="AJG23" s="270"/>
      <c r="AJH23" s="270"/>
      <c r="AJI23" s="270"/>
      <c r="AJJ23" s="270"/>
      <c r="AJK23" s="270"/>
      <c r="AJL23" s="270"/>
      <c r="AJM23" s="270"/>
      <c r="AJN23" s="270"/>
      <c r="AJO23" s="270"/>
      <c r="AJP23" s="270"/>
      <c r="AJQ23" s="270"/>
      <c r="AJR23" s="270"/>
      <c r="AJS23" s="270"/>
      <c r="AJT23" s="270"/>
      <c r="AJU23" s="270"/>
      <c r="AJV23" s="270"/>
      <c r="AJW23" s="270"/>
      <c r="AJX23" s="270"/>
      <c r="AJY23" s="270"/>
      <c r="AJZ23" s="270"/>
      <c r="AKA23" s="270"/>
      <c r="AKB23" s="270"/>
      <c r="AKC23" s="270"/>
      <c r="AKD23" s="270"/>
      <c r="AKE23" s="270"/>
      <c r="AKF23" s="270"/>
      <c r="AKG23" s="270"/>
      <c r="AKH23" s="270"/>
      <c r="AKI23" s="270"/>
      <c r="AKJ23" s="270"/>
      <c r="AKK23" s="270"/>
      <c r="AKL23" s="270"/>
      <c r="AKM23" s="270"/>
      <c r="AKN23" s="270"/>
      <c r="AKO23" s="270"/>
      <c r="AKP23" s="270"/>
      <c r="AKQ23" s="270"/>
      <c r="AKR23" s="270"/>
      <c r="AKS23" s="270"/>
      <c r="AKT23" s="270"/>
      <c r="AKU23" s="270"/>
      <c r="AKV23" s="270"/>
      <c r="AKW23" s="270"/>
      <c r="AKX23" s="270"/>
      <c r="AKY23" s="270"/>
      <c r="AKZ23" s="270"/>
      <c r="ALA23" s="270"/>
      <c r="ALB23" s="270"/>
      <c r="ALC23" s="270"/>
      <c r="ALD23" s="270"/>
      <c r="ALE23" s="270"/>
      <c r="ALF23" s="270"/>
      <c r="ALG23" s="270"/>
      <c r="ALH23" s="270"/>
      <c r="ALI23" s="270"/>
      <c r="ALJ23" s="270"/>
      <c r="ALK23" s="270"/>
      <c r="ALL23" s="270"/>
      <c r="ALM23" s="270"/>
      <c r="ALN23" s="270"/>
      <c r="ALO23" s="270"/>
      <c r="ALP23" s="270"/>
      <c r="ALQ23" s="270"/>
      <c r="ALR23" s="270"/>
      <c r="ALS23" s="270"/>
      <c r="ALT23" s="270"/>
      <c r="ALU23" s="270"/>
      <c r="ALV23" s="270"/>
      <c r="ALW23" s="270"/>
      <c r="ALX23" s="270"/>
      <c r="ALY23" s="270"/>
      <c r="ALZ23" s="270"/>
      <c r="AMA23" s="270"/>
      <c r="AMB23" s="270"/>
      <c r="AMC23" s="270"/>
      <c r="AMD23" s="270"/>
      <c r="AME23" s="270"/>
      <c r="AMF23" s="270"/>
      <c r="AMG23" s="270"/>
      <c r="AMH23" s="270"/>
      <c r="AMI23" s="270"/>
      <c r="AMJ23" s="270"/>
      <c r="AMK23" s="270"/>
      <c r="AML23" s="270"/>
      <c r="AMM23" s="270"/>
      <c r="AMN23" s="270"/>
      <c r="AMO23" s="270"/>
      <c r="AMP23" s="270"/>
      <c r="AMQ23" s="270"/>
      <c r="AMR23" s="270"/>
      <c r="AMS23" s="270"/>
      <c r="AMT23" s="270"/>
      <c r="AMU23" s="270"/>
      <c r="AMV23" s="270"/>
      <c r="AMW23" s="270"/>
      <c r="AMX23" s="270"/>
      <c r="AMY23" s="270"/>
      <c r="AMZ23" s="270"/>
      <c r="ANA23" s="270"/>
      <c r="ANB23" s="270"/>
      <c r="ANC23" s="270"/>
      <c r="AND23" s="270"/>
      <c r="ANE23" s="270"/>
      <c r="ANF23" s="270"/>
      <c r="ANG23" s="270"/>
      <c r="ANH23" s="270"/>
      <c r="ANI23" s="270"/>
      <c r="ANJ23" s="270"/>
      <c r="ANK23" s="270"/>
      <c r="ANL23" s="270"/>
      <c r="ANM23" s="270"/>
      <c r="ANN23" s="270"/>
      <c r="ANO23" s="270"/>
      <c r="ANP23" s="270"/>
      <c r="ANQ23" s="270"/>
      <c r="ANR23" s="270"/>
      <c r="ANS23" s="270"/>
      <c r="ANT23" s="270"/>
      <c r="ANU23" s="270"/>
      <c r="ANV23" s="270"/>
      <c r="ANW23" s="270"/>
      <c r="ANX23" s="270"/>
      <c r="ANY23" s="270"/>
      <c r="ANZ23" s="270"/>
      <c r="AOA23" s="270"/>
      <c r="AOB23" s="270"/>
      <c r="AOC23" s="270"/>
      <c r="AOD23" s="270"/>
      <c r="AOE23" s="270"/>
      <c r="AOF23" s="270"/>
      <c r="AOG23" s="270"/>
      <c r="AOH23" s="270"/>
      <c r="AOI23" s="270"/>
      <c r="AOJ23" s="270"/>
      <c r="AOK23" s="270"/>
      <c r="AOL23" s="270"/>
      <c r="AOM23" s="270"/>
      <c r="AON23" s="270"/>
      <c r="AOO23" s="270"/>
      <c r="AOP23" s="270"/>
      <c r="AOQ23" s="270"/>
      <c r="AOR23" s="270"/>
      <c r="AOS23" s="270"/>
      <c r="AOT23" s="270"/>
      <c r="AOU23" s="270"/>
      <c r="AOV23" s="270"/>
      <c r="AOW23" s="270"/>
      <c r="AOX23" s="270"/>
      <c r="AOY23" s="270"/>
      <c r="AOZ23" s="270"/>
      <c r="APA23" s="270"/>
      <c r="APB23" s="270"/>
      <c r="APC23" s="270"/>
      <c r="APD23" s="270"/>
      <c r="APE23" s="270"/>
      <c r="APF23" s="270"/>
      <c r="APG23" s="270"/>
      <c r="APH23" s="270"/>
      <c r="API23" s="270"/>
      <c r="APJ23" s="270"/>
      <c r="APK23" s="270"/>
      <c r="APL23" s="270"/>
      <c r="APM23" s="270"/>
      <c r="APN23" s="270"/>
      <c r="APO23" s="270"/>
      <c r="APP23" s="270"/>
      <c r="APQ23" s="270"/>
      <c r="APR23" s="270"/>
      <c r="APS23" s="270"/>
      <c r="APT23" s="270"/>
      <c r="APU23" s="270"/>
      <c r="APV23" s="270"/>
      <c r="APW23" s="270"/>
      <c r="APX23" s="270"/>
    </row>
    <row r="24" spans="1:1116" s="4" customFormat="1" ht="17.25" customHeight="1">
      <c r="A24" s="410"/>
      <c r="B24" s="168"/>
      <c r="C24" s="415" t="s">
        <v>176</v>
      </c>
      <c r="D24" s="422"/>
      <c r="E24" s="426"/>
      <c r="F24" s="386"/>
      <c r="G24" s="375"/>
      <c r="H24" s="170">
        <f>SUM(H5:H23)</f>
        <v>14170</v>
      </c>
      <c r="I24" s="386"/>
      <c r="J24" s="170">
        <f>SUM(J6:J23)</f>
        <v>17004</v>
      </c>
      <c r="K24" s="170">
        <f>SUM(K5:K23)</f>
        <v>283.39999999999998</v>
      </c>
      <c r="L24" s="170">
        <f>SUM(L5:L23)</f>
        <v>17004</v>
      </c>
      <c r="M24" s="452"/>
      <c r="N24" s="170">
        <f>SUM(N5:N23)</f>
        <v>41273.171060108965</v>
      </c>
      <c r="O24" s="452"/>
      <c r="P24" s="170">
        <f>SUM(P5:P23)</f>
        <v>9549.6810178248015</v>
      </c>
      <c r="Q24" s="610"/>
      <c r="R24" s="12"/>
      <c r="S24" s="12"/>
      <c r="T24" s="611"/>
      <c r="U24" s="611"/>
      <c r="V24" s="611"/>
      <c r="W24" s="543"/>
      <c r="X24" s="543"/>
      <c r="Y24" s="543"/>
      <c r="Z24" s="543"/>
      <c r="AA24" s="543"/>
      <c r="AB24" s="543"/>
      <c r="AC24" s="543"/>
      <c r="AD24" s="543"/>
      <c r="AE24" s="543"/>
      <c r="AF24" s="543"/>
      <c r="AG24" s="543"/>
      <c r="AH24" s="543"/>
      <c r="AI24" s="543"/>
      <c r="AJ24" s="543"/>
      <c r="AK24" s="543"/>
      <c r="AL24" s="543"/>
      <c r="AM24" s="543"/>
      <c r="AN24" s="543"/>
      <c r="AO24" s="543"/>
      <c r="AP24" s="543"/>
      <c r="AQ24" s="543"/>
      <c r="AR24" s="543"/>
      <c r="AS24" s="543"/>
      <c r="AT24" s="543"/>
      <c r="AU24" s="543"/>
      <c r="AV24" s="543"/>
      <c r="AW24" s="543"/>
      <c r="AX24" s="543"/>
      <c r="AY24" s="543"/>
      <c r="AZ24" s="543"/>
      <c r="BA24" s="543"/>
      <c r="BB24" s="543"/>
      <c r="BC24" s="543"/>
      <c r="BD24" s="543"/>
      <c r="BE24" s="543"/>
      <c r="BF24" s="543"/>
      <c r="BG24" s="543"/>
      <c r="BH24" s="543"/>
      <c r="BI24" s="543"/>
      <c r="BJ24" s="543"/>
      <c r="BK24" s="543"/>
      <c r="BL24" s="543"/>
      <c r="BM24" s="543"/>
      <c r="BN24" s="543"/>
      <c r="BO24" s="543"/>
      <c r="BP24" s="543"/>
      <c r="BQ24" s="543"/>
      <c r="BR24" s="543"/>
      <c r="BS24" s="543"/>
      <c r="BT24" s="543"/>
      <c r="BU24" s="543"/>
      <c r="BV24" s="543"/>
      <c r="BW24" s="543"/>
      <c r="BX24" s="543"/>
      <c r="BY24" s="543"/>
      <c r="BZ24" s="543"/>
      <c r="CA24" s="543"/>
      <c r="CB24" s="543"/>
      <c r="CC24" s="543"/>
      <c r="CD24" s="543"/>
      <c r="CE24" s="12"/>
      <c r="CF24" s="543"/>
      <c r="CG24" s="543"/>
      <c r="CH24" s="543"/>
      <c r="CI24" s="543"/>
      <c r="CJ24" s="543"/>
      <c r="CK24" s="543"/>
      <c r="CL24" s="543"/>
      <c r="CM24" s="543"/>
      <c r="CN24" s="543"/>
      <c r="CO24" s="543"/>
      <c r="CP24" s="543"/>
      <c r="CQ24" s="543"/>
      <c r="CR24" s="543"/>
      <c r="CS24" s="543"/>
      <c r="CT24" s="543"/>
      <c r="CU24" s="543"/>
      <c r="CV24" s="543"/>
      <c r="CW24" s="543"/>
      <c r="CX24" s="543"/>
      <c r="CY24" s="543"/>
      <c r="CZ24" s="543"/>
      <c r="DA24" s="543"/>
      <c r="DB24" s="543"/>
      <c r="DC24" s="543"/>
      <c r="DD24" s="543"/>
      <c r="DE24" s="543"/>
      <c r="DF24" s="543"/>
      <c r="DG24" s="543"/>
      <c r="DH24" s="543"/>
      <c r="DI24" s="543"/>
      <c r="DJ24" s="543"/>
      <c r="DK24" s="543"/>
      <c r="DL24" s="543"/>
      <c r="DM24" s="543"/>
      <c r="DN24" s="543"/>
      <c r="DO24" s="543"/>
      <c r="DP24" s="543"/>
      <c r="DQ24" s="543"/>
      <c r="DR24" s="543"/>
      <c r="DS24" s="543"/>
      <c r="DT24" s="543"/>
      <c r="DU24" s="543"/>
      <c r="DV24" s="543"/>
      <c r="DW24" s="543"/>
      <c r="DX24" s="543"/>
      <c r="DY24" s="543"/>
      <c r="DZ24" s="543"/>
      <c r="EA24" s="543"/>
      <c r="EB24" s="543"/>
      <c r="EC24" s="543"/>
      <c r="ED24" s="543"/>
      <c r="EE24" s="543"/>
      <c r="EF24" s="543"/>
      <c r="EG24" s="543"/>
      <c r="EH24" s="543"/>
      <c r="EI24" s="543"/>
      <c r="EJ24" s="543"/>
      <c r="EK24" s="543"/>
      <c r="EL24" s="543"/>
      <c r="EM24" s="543"/>
      <c r="EN24" s="12"/>
      <c r="EO24" s="12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  <c r="IV24" s="58"/>
      <c r="IW24" s="58"/>
      <c r="IX24" s="58"/>
      <c r="IY24" s="58"/>
      <c r="IZ24" s="58"/>
      <c r="JA24" s="58"/>
      <c r="JB24" s="58"/>
      <c r="JC24" s="58"/>
      <c r="JD24" s="58"/>
      <c r="JE24" s="58"/>
      <c r="JF24" s="58"/>
      <c r="JG24" s="58"/>
      <c r="JH24" s="58"/>
      <c r="JI24" s="58"/>
      <c r="JJ24" s="58"/>
      <c r="JK24" s="58"/>
      <c r="JL24" s="58"/>
      <c r="JM24" s="58"/>
      <c r="JN24" s="58"/>
      <c r="JO24" s="58"/>
      <c r="JP24" s="58"/>
      <c r="JQ24" s="58"/>
      <c r="JR24" s="58"/>
      <c r="JS24" s="58"/>
      <c r="JT24" s="58"/>
      <c r="JU24" s="58"/>
      <c r="JV24" s="58"/>
      <c r="JW24" s="58"/>
      <c r="JX24" s="58"/>
      <c r="JY24" s="58"/>
      <c r="JZ24" s="58"/>
      <c r="KA24" s="58"/>
      <c r="KB24" s="58"/>
      <c r="KC24" s="58"/>
      <c r="KD24" s="58"/>
      <c r="KE24" s="58"/>
      <c r="KF24" s="58"/>
      <c r="KG24" s="58"/>
      <c r="KH24" s="58"/>
      <c r="KI24" s="58"/>
      <c r="KJ24" s="58"/>
      <c r="KK24" s="58"/>
      <c r="KL24" s="58"/>
      <c r="KM24" s="58"/>
      <c r="KN24" s="58"/>
      <c r="KO24" s="58"/>
      <c r="KP24" s="58"/>
      <c r="KQ24" s="58"/>
      <c r="KR24" s="58"/>
      <c r="KS24" s="58"/>
      <c r="KT24" s="58"/>
      <c r="KU24" s="58"/>
      <c r="KV24" s="58"/>
      <c r="KW24" s="58"/>
      <c r="KX24" s="58"/>
      <c r="KY24" s="58"/>
      <c r="KZ24" s="58"/>
      <c r="LA24" s="58"/>
      <c r="LB24" s="58"/>
      <c r="LC24" s="58"/>
      <c r="LD24" s="58"/>
      <c r="LE24" s="58"/>
      <c r="LF24" s="58"/>
      <c r="LG24" s="58"/>
      <c r="LH24" s="58"/>
      <c r="LI24" s="58"/>
      <c r="LJ24" s="58"/>
      <c r="LK24" s="58"/>
      <c r="LL24" s="58"/>
      <c r="LM24" s="58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  <c r="MI24" s="58"/>
      <c r="MJ24" s="58"/>
      <c r="MK24" s="58"/>
      <c r="ML24" s="58"/>
      <c r="MM24" s="58"/>
      <c r="MN24" s="58"/>
      <c r="MO24" s="58"/>
      <c r="MP24" s="58"/>
      <c r="MQ24" s="58"/>
      <c r="MR24" s="58"/>
      <c r="MS24" s="58"/>
      <c r="MT24" s="58"/>
      <c r="MU24" s="58"/>
      <c r="MV24" s="58"/>
      <c r="MW24" s="58"/>
      <c r="MX24" s="58"/>
      <c r="MY24" s="58"/>
      <c r="MZ24" s="58"/>
      <c r="NA24" s="58"/>
      <c r="NB24" s="58"/>
      <c r="NC24" s="58"/>
      <c r="ND24" s="58"/>
      <c r="NE24" s="58"/>
      <c r="NF24" s="58"/>
      <c r="NG24" s="58"/>
      <c r="NH24" s="58"/>
      <c r="NI24" s="58"/>
      <c r="NJ24" s="58"/>
      <c r="NK24" s="58"/>
      <c r="NL24" s="58"/>
      <c r="NM24" s="58"/>
      <c r="NN24" s="58"/>
      <c r="NO24" s="58"/>
      <c r="NP24" s="58"/>
      <c r="NQ24" s="58"/>
      <c r="NR24" s="58"/>
      <c r="NS24" s="58"/>
      <c r="NT24" s="58"/>
      <c r="NU24" s="58"/>
      <c r="NV24" s="58"/>
      <c r="NW24" s="58"/>
      <c r="NX24" s="58"/>
      <c r="NY24" s="58"/>
      <c r="NZ24" s="58"/>
      <c r="OA24" s="58"/>
      <c r="OB24" s="58"/>
      <c r="OC24" s="58"/>
      <c r="OD24" s="58"/>
      <c r="OE24" s="58"/>
      <c r="OF24" s="58"/>
      <c r="OG24" s="58"/>
      <c r="OH24" s="58"/>
      <c r="OI24" s="58"/>
      <c r="OJ24" s="58"/>
      <c r="OK24" s="58"/>
      <c r="OL24" s="58"/>
      <c r="OM24" s="58"/>
      <c r="ON24" s="58"/>
      <c r="OO24" s="58"/>
      <c r="OP24" s="58"/>
      <c r="OQ24" s="58"/>
      <c r="OR24" s="58"/>
      <c r="OS24" s="58"/>
      <c r="OT24" s="58"/>
      <c r="OU24" s="58"/>
      <c r="OV24" s="58"/>
      <c r="OW24" s="58"/>
      <c r="OX24" s="58"/>
      <c r="OY24" s="58"/>
      <c r="OZ24" s="58"/>
      <c r="PA24" s="58"/>
      <c r="PB24" s="58"/>
      <c r="PC24" s="58"/>
      <c r="PD24" s="58"/>
      <c r="PE24" s="58"/>
      <c r="PF24" s="58"/>
      <c r="PG24" s="58"/>
      <c r="PH24" s="58"/>
      <c r="PI24" s="58"/>
      <c r="PJ24" s="58"/>
      <c r="PK24" s="58"/>
      <c r="PL24" s="58"/>
      <c r="PM24" s="58"/>
      <c r="PN24" s="58"/>
      <c r="PO24" s="58"/>
      <c r="PP24" s="58"/>
      <c r="PQ24" s="58"/>
      <c r="PR24" s="58"/>
      <c r="PS24" s="58"/>
      <c r="PT24" s="58"/>
      <c r="PU24" s="58"/>
      <c r="PV24" s="58"/>
      <c r="PW24" s="58"/>
      <c r="PX24" s="58"/>
      <c r="PY24" s="58"/>
      <c r="PZ24" s="58"/>
      <c r="QA24" s="58"/>
      <c r="QB24" s="58"/>
      <c r="QC24" s="58"/>
      <c r="QD24" s="58"/>
      <c r="QE24" s="58"/>
      <c r="QF24" s="58"/>
      <c r="QG24" s="58"/>
      <c r="QH24" s="58"/>
      <c r="QI24" s="58"/>
      <c r="QJ24" s="58"/>
      <c r="QK24" s="58"/>
      <c r="QL24" s="58"/>
      <c r="QM24" s="58"/>
      <c r="QN24" s="58"/>
      <c r="QO24" s="58"/>
      <c r="QP24" s="58"/>
      <c r="QQ24" s="58"/>
      <c r="QR24" s="58"/>
      <c r="QS24" s="58"/>
      <c r="QT24" s="58"/>
      <c r="QU24" s="58"/>
      <c r="QV24" s="58"/>
      <c r="QW24" s="58"/>
      <c r="QX24" s="58"/>
      <c r="QY24" s="58"/>
      <c r="QZ24" s="58"/>
      <c r="RA24" s="58"/>
      <c r="RB24" s="58"/>
      <c r="RC24" s="58"/>
      <c r="RD24" s="58"/>
      <c r="RE24" s="58"/>
      <c r="RF24" s="58"/>
      <c r="RG24" s="58"/>
      <c r="RH24" s="58"/>
      <c r="RI24" s="58"/>
      <c r="RJ24" s="58"/>
      <c r="RK24" s="58"/>
      <c r="RL24" s="58"/>
      <c r="RM24" s="58"/>
      <c r="RN24" s="58"/>
      <c r="RO24" s="58"/>
      <c r="RP24" s="58"/>
      <c r="RQ24" s="58"/>
      <c r="RR24" s="58"/>
      <c r="RS24" s="58"/>
      <c r="RT24" s="58"/>
      <c r="RU24" s="58"/>
      <c r="RV24" s="58"/>
      <c r="RW24" s="58"/>
      <c r="RX24" s="58"/>
      <c r="RY24" s="58"/>
      <c r="RZ24" s="58"/>
      <c r="SA24" s="58"/>
      <c r="SB24" s="58"/>
      <c r="SC24" s="58"/>
      <c r="SD24" s="58"/>
      <c r="SE24" s="58"/>
      <c r="SF24" s="58"/>
      <c r="SG24" s="58"/>
      <c r="SH24" s="58"/>
      <c r="SI24" s="58"/>
      <c r="SJ24" s="58"/>
      <c r="SK24" s="58"/>
      <c r="SL24" s="58"/>
      <c r="SM24" s="58"/>
      <c r="SN24" s="58"/>
      <c r="SO24" s="58"/>
      <c r="SP24" s="58"/>
      <c r="SQ24" s="58"/>
      <c r="SR24" s="58"/>
      <c r="SS24" s="58"/>
      <c r="ST24" s="58"/>
      <c r="SU24" s="58"/>
      <c r="SV24" s="58"/>
      <c r="SW24" s="58"/>
      <c r="SX24" s="58"/>
      <c r="SY24" s="58"/>
      <c r="SZ24" s="58"/>
      <c r="TA24" s="58"/>
      <c r="TB24" s="58"/>
      <c r="TC24" s="58"/>
      <c r="TD24" s="58"/>
      <c r="TE24" s="58"/>
      <c r="TF24" s="58"/>
      <c r="TG24" s="58"/>
      <c r="TH24" s="58"/>
      <c r="TI24" s="58"/>
      <c r="TJ24" s="58"/>
      <c r="TK24" s="58"/>
      <c r="TL24" s="58"/>
      <c r="TM24" s="58"/>
      <c r="TN24" s="58"/>
      <c r="TO24" s="58"/>
      <c r="TP24" s="58"/>
      <c r="TQ24" s="58"/>
      <c r="TR24" s="58"/>
      <c r="TS24" s="58"/>
      <c r="TT24" s="58"/>
      <c r="TU24" s="58"/>
      <c r="TV24" s="58"/>
      <c r="TW24" s="58"/>
      <c r="TX24" s="58"/>
      <c r="TY24" s="58"/>
      <c r="TZ24" s="58"/>
      <c r="UA24" s="58"/>
      <c r="UB24" s="58"/>
      <c r="UC24" s="58"/>
      <c r="UD24" s="58"/>
      <c r="UE24" s="58"/>
      <c r="UF24" s="58"/>
      <c r="UG24" s="58"/>
      <c r="UH24" s="58"/>
      <c r="UI24" s="58"/>
      <c r="UJ24" s="58"/>
      <c r="UK24" s="58"/>
      <c r="UL24" s="58"/>
      <c r="UM24" s="58"/>
      <c r="UN24" s="58"/>
      <c r="UO24" s="58"/>
      <c r="UP24" s="58"/>
      <c r="UQ24" s="58"/>
      <c r="UR24" s="58"/>
      <c r="US24" s="58"/>
      <c r="UT24" s="58"/>
      <c r="UU24" s="58"/>
      <c r="UV24" s="58"/>
      <c r="UW24" s="58"/>
      <c r="UX24" s="58"/>
      <c r="UY24" s="58"/>
      <c r="UZ24" s="58"/>
      <c r="VA24" s="58"/>
      <c r="VB24" s="58"/>
      <c r="VC24" s="58"/>
      <c r="VD24" s="58"/>
      <c r="VE24" s="58"/>
      <c r="VF24" s="58"/>
      <c r="VG24" s="58"/>
      <c r="VH24" s="58"/>
      <c r="VI24" s="58"/>
      <c r="VJ24" s="58"/>
      <c r="VK24" s="58"/>
      <c r="VL24" s="58"/>
      <c r="VM24" s="58"/>
      <c r="VN24" s="58"/>
      <c r="VO24" s="58"/>
      <c r="VP24" s="58"/>
      <c r="VQ24" s="58"/>
      <c r="VR24" s="58"/>
      <c r="VS24" s="58"/>
      <c r="VT24" s="58"/>
      <c r="VU24" s="58"/>
      <c r="VV24" s="58"/>
      <c r="VW24" s="58"/>
      <c r="VX24" s="58"/>
      <c r="VY24" s="58"/>
      <c r="VZ24" s="58"/>
      <c r="WA24" s="58"/>
      <c r="WB24" s="58"/>
      <c r="WC24" s="58"/>
      <c r="WD24" s="58"/>
      <c r="WE24" s="58"/>
      <c r="WF24" s="58"/>
      <c r="WG24" s="58"/>
      <c r="WH24" s="58"/>
      <c r="WI24" s="58"/>
      <c r="WJ24" s="58"/>
      <c r="WK24" s="58"/>
      <c r="WL24" s="58"/>
      <c r="WM24" s="58"/>
      <c r="WN24" s="58"/>
      <c r="WO24" s="58"/>
      <c r="WP24" s="58"/>
      <c r="WQ24" s="58"/>
      <c r="WR24" s="58"/>
      <c r="WS24" s="58"/>
      <c r="WT24" s="58"/>
      <c r="WU24" s="58"/>
      <c r="WV24" s="58"/>
      <c r="WW24" s="58"/>
      <c r="WX24" s="58"/>
      <c r="WY24" s="58"/>
      <c r="WZ24" s="58"/>
      <c r="XA24" s="58"/>
      <c r="XB24" s="58"/>
      <c r="XC24" s="58"/>
      <c r="XD24" s="58"/>
      <c r="XE24" s="58"/>
      <c r="XF24" s="58"/>
      <c r="XG24" s="58"/>
      <c r="XH24" s="58"/>
      <c r="XI24" s="58"/>
      <c r="XJ24" s="58"/>
      <c r="XK24" s="58"/>
      <c r="XL24" s="58"/>
      <c r="XM24" s="58"/>
      <c r="XN24" s="58"/>
      <c r="XO24" s="58"/>
      <c r="XP24" s="58"/>
      <c r="XQ24" s="58"/>
      <c r="XR24" s="58"/>
      <c r="XS24" s="58"/>
      <c r="XT24" s="58"/>
      <c r="XU24" s="58"/>
      <c r="XV24" s="58"/>
      <c r="XW24" s="58"/>
      <c r="XX24" s="58"/>
      <c r="XY24" s="58"/>
      <c r="XZ24" s="58"/>
      <c r="YA24" s="58"/>
      <c r="YB24" s="58"/>
      <c r="YC24" s="58"/>
      <c r="YD24" s="58"/>
      <c r="YE24" s="58"/>
      <c r="YF24" s="58"/>
      <c r="YG24" s="58"/>
      <c r="YH24" s="58"/>
      <c r="YI24" s="58"/>
      <c r="YJ24" s="58"/>
      <c r="YK24" s="58"/>
      <c r="YL24" s="58"/>
      <c r="YM24" s="58"/>
      <c r="YN24" s="58"/>
      <c r="YO24" s="58"/>
      <c r="YP24" s="58"/>
      <c r="YQ24" s="58"/>
      <c r="YR24" s="58"/>
      <c r="YS24" s="58"/>
      <c r="YT24" s="58"/>
      <c r="YU24" s="58"/>
      <c r="YV24" s="58"/>
      <c r="YW24" s="58"/>
      <c r="YX24" s="58"/>
      <c r="YY24" s="58"/>
      <c r="YZ24" s="58"/>
      <c r="ZA24" s="58"/>
      <c r="ZB24" s="58"/>
      <c r="ZC24" s="58"/>
      <c r="ZD24" s="58"/>
      <c r="ZE24" s="58"/>
      <c r="ZF24" s="58"/>
      <c r="ZG24" s="58"/>
      <c r="ZH24" s="58"/>
      <c r="ZI24" s="58"/>
      <c r="ZJ24" s="58"/>
      <c r="ZK24" s="58"/>
      <c r="ZL24" s="58"/>
      <c r="ZM24" s="58"/>
      <c r="ZN24" s="58"/>
      <c r="ZO24" s="58"/>
      <c r="ZP24" s="58"/>
      <c r="ZQ24" s="58"/>
      <c r="ZR24" s="58"/>
      <c r="ZS24" s="58"/>
      <c r="ZT24" s="58"/>
      <c r="ZU24" s="58"/>
      <c r="ZV24" s="58"/>
      <c r="ZW24" s="58"/>
      <c r="ZX24" s="58"/>
      <c r="ZY24" s="58"/>
      <c r="ZZ24" s="58"/>
      <c r="AAA24" s="58"/>
      <c r="AAB24" s="58"/>
      <c r="AAC24" s="58"/>
      <c r="AAD24" s="58"/>
      <c r="AAE24" s="58"/>
      <c r="AAF24" s="58"/>
      <c r="AAG24" s="58"/>
      <c r="AAH24" s="58"/>
      <c r="AAI24" s="58"/>
      <c r="AAJ24" s="58"/>
      <c r="AAK24" s="58"/>
      <c r="AAL24" s="58"/>
      <c r="AAM24" s="58"/>
      <c r="AAN24" s="58"/>
      <c r="AAO24" s="58"/>
      <c r="AAP24" s="58"/>
      <c r="AAQ24" s="58"/>
      <c r="AAR24" s="58"/>
      <c r="AAS24" s="58"/>
      <c r="AAT24" s="58"/>
      <c r="AAU24" s="58"/>
      <c r="AAV24" s="58"/>
      <c r="AAW24" s="58"/>
      <c r="AAX24" s="58"/>
      <c r="AAY24" s="58"/>
      <c r="AAZ24" s="58"/>
      <c r="ABA24" s="58"/>
      <c r="ABB24" s="58"/>
      <c r="ABC24" s="58"/>
      <c r="ABD24" s="58"/>
      <c r="ABE24" s="58"/>
      <c r="ABF24" s="58"/>
      <c r="ABG24" s="58"/>
      <c r="ABH24" s="58"/>
      <c r="ABI24" s="58"/>
      <c r="ABJ24" s="58"/>
      <c r="ABK24" s="58"/>
      <c r="ABL24" s="58"/>
      <c r="ABM24" s="58"/>
      <c r="ABN24" s="58"/>
      <c r="ABO24" s="58"/>
      <c r="ABP24" s="58"/>
      <c r="ABQ24" s="58"/>
      <c r="ABR24" s="58"/>
      <c r="ABS24" s="58"/>
      <c r="ABT24" s="58"/>
      <c r="ABU24" s="58"/>
      <c r="ABV24" s="58"/>
      <c r="ABW24" s="58"/>
      <c r="ABX24" s="58"/>
      <c r="ABY24" s="58"/>
      <c r="ABZ24" s="58"/>
      <c r="ACA24" s="58"/>
      <c r="ACB24" s="58"/>
      <c r="ACC24" s="58"/>
      <c r="ACD24" s="58"/>
      <c r="ACE24" s="58"/>
      <c r="ACF24" s="58"/>
      <c r="ACG24" s="58"/>
      <c r="ACH24" s="58"/>
      <c r="ACI24" s="58"/>
      <c r="ACJ24" s="58"/>
      <c r="ACK24" s="58"/>
      <c r="ACL24" s="58"/>
      <c r="ACM24" s="58"/>
      <c r="ACN24" s="58"/>
      <c r="ACO24" s="58"/>
      <c r="ACP24" s="58"/>
      <c r="ACQ24" s="58"/>
      <c r="ACR24" s="58"/>
      <c r="ACS24" s="58"/>
      <c r="ACT24" s="58"/>
      <c r="ACU24" s="58"/>
      <c r="ACV24" s="58"/>
      <c r="ACW24" s="58"/>
      <c r="ACX24" s="58"/>
      <c r="ACY24" s="58"/>
      <c r="ACZ24" s="58"/>
      <c r="ADA24" s="58"/>
      <c r="ADB24" s="58"/>
      <c r="ADC24" s="58"/>
      <c r="ADD24" s="58"/>
      <c r="ADE24" s="58"/>
      <c r="ADF24" s="58"/>
      <c r="ADG24" s="58"/>
      <c r="ADH24" s="58"/>
      <c r="ADI24" s="58"/>
      <c r="ADJ24" s="58"/>
      <c r="ADK24" s="58"/>
      <c r="ADL24" s="58"/>
      <c r="ADM24" s="58"/>
      <c r="ADN24" s="58"/>
      <c r="ADO24" s="58"/>
      <c r="ADP24" s="58"/>
      <c r="ADQ24" s="58"/>
      <c r="ADR24" s="58"/>
      <c r="ADS24" s="58"/>
      <c r="ADT24" s="58"/>
      <c r="ADU24" s="58"/>
      <c r="ADV24" s="58"/>
      <c r="ADW24" s="58"/>
      <c r="ADX24" s="58"/>
      <c r="ADY24" s="58"/>
      <c r="ADZ24" s="58"/>
      <c r="AEA24" s="58"/>
      <c r="AEB24" s="58"/>
      <c r="AEC24" s="58"/>
      <c r="AED24" s="58"/>
      <c r="AEE24" s="58"/>
      <c r="AEF24" s="58"/>
      <c r="AEG24" s="58"/>
      <c r="AEH24" s="58"/>
      <c r="AEI24" s="58"/>
      <c r="AEJ24" s="58"/>
      <c r="AEK24" s="58"/>
      <c r="AEL24" s="58"/>
      <c r="AEM24" s="58"/>
      <c r="AEN24" s="58"/>
      <c r="AEO24" s="58"/>
      <c r="AEP24" s="58"/>
      <c r="AEQ24" s="58"/>
      <c r="AER24" s="58"/>
      <c r="AES24" s="58"/>
      <c r="AET24" s="58"/>
      <c r="AEU24" s="58"/>
      <c r="AEV24" s="58"/>
      <c r="AEW24" s="58"/>
      <c r="AEX24" s="58"/>
      <c r="AEY24" s="58"/>
      <c r="AEZ24" s="58"/>
      <c r="AFA24" s="58"/>
      <c r="AFB24" s="58"/>
      <c r="AFC24" s="58"/>
      <c r="AFD24" s="58"/>
      <c r="AFE24" s="58"/>
      <c r="AFF24" s="58"/>
      <c r="AFG24" s="58"/>
      <c r="AFH24" s="58"/>
      <c r="AFI24" s="58"/>
      <c r="AFJ24" s="58"/>
      <c r="AFK24" s="58"/>
      <c r="AFL24" s="58"/>
      <c r="AFM24" s="58"/>
      <c r="AFN24" s="58"/>
      <c r="AFO24" s="58"/>
      <c r="AFP24" s="58"/>
      <c r="AFQ24" s="58"/>
      <c r="AFR24" s="58"/>
      <c r="AFS24" s="58"/>
      <c r="AFT24" s="58"/>
      <c r="AFU24" s="58"/>
      <c r="AFV24" s="58"/>
      <c r="AFW24" s="58"/>
      <c r="AFX24" s="58"/>
      <c r="AFY24" s="58"/>
      <c r="AFZ24" s="58"/>
      <c r="AGA24" s="58"/>
      <c r="AGB24" s="58"/>
      <c r="AGC24" s="58"/>
      <c r="AGD24" s="58"/>
      <c r="AGE24" s="58"/>
      <c r="AGF24" s="58"/>
      <c r="AGG24" s="58"/>
      <c r="AGH24" s="58"/>
      <c r="AGI24" s="58"/>
      <c r="AGJ24" s="58"/>
      <c r="AGK24" s="58"/>
      <c r="AGL24" s="58"/>
      <c r="AGM24" s="58"/>
      <c r="AGN24" s="58"/>
      <c r="AGO24" s="58"/>
      <c r="AGP24" s="58"/>
      <c r="AGQ24" s="58"/>
      <c r="AGR24" s="58"/>
      <c r="AGS24" s="58"/>
      <c r="AGT24" s="58"/>
      <c r="AGU24" s="58"/>
      <c r="AGV24" s="58"/>
      <c r="AGW24" s="58"/>
      <c r="AGX24" s="58"/>
      <c r="AGY24" s="58"/>
      <c r="AGZ24" s="58"/>
      <c r="AHA24" s="58"/>
      <c r="AHB24" s="58"/>
      <c r="AHC24" s="58"/>
      <c r="AHD24" s="58"/>
      <c r="AHE24" s="58"/>
      <c r="AHF24" s="58"/>
      <c r="AHG24" s="58"/>
      <c r="AHH24" s="58"/>
      <c r="AHI24" s="58"/>
      <c r="AHJ24" s="58"/>
      <c r="AHK24" s="58"/>
      <c r="AHL24" s="58"/>
      <c r="AHM24" s="58"/>
      <c r="AHN24" s="58"/>
      <c r="AHO24" s="58"/>
      <c r="AHP24" s="58"/>
      <c r="AHQ24" s="58"/>
      <c r="AHR24" s="58"/>
      <c r="AHS24" s="58"/>
      <c r="AHT24" s="58"/>
      <c r="AHU24" s="58"/>
      <c r="AHV24" s="58"/>
      <c r="AHW24" s="58"/>
      <c r="AHX24" s="58"/>
      <c r="AHY24" s="58"/>
      <c r="AHZ24" s="58"/>
      <c r="AIA24" s="58"/>
      <c r="AIB24" s="58"/>
      <c r="AIC24" s="58"/>
      <c r="AID24" s="58"/>
      <c r="AIE24" s="58"/>
      <c r="AIF24" s="58"/>
      <c r="AIG24" s="58"/>
      <c r="AIH24" s="58"/>
      <c r="AII24" s="58"/>
      <c r="AIJ24" s="58"/>
      <c r="AIK24" s="58"/>
      <c r="AIL24" s="58"/>
      <c r="AIM24" s="58"/>
      <c r="AIN24" s="58"/>
      <c r="AIO24" s="58"/>
      <c r="AIP24" s="58"/>
      <c r="AIQ24" s="58"/>
      <c r="AIR24" s="58"/>
      <c r="AIS24" s="58"/>
      <c r="AIT24" s="58"/>
      <c r="AIU24" s="58"/>
      <c r="AIV24" s="58"/>
      <c r="AIW24" s="58"/>
      <c r="AIX24" s="58"/>
      <c r="AIY24" s="58"/>
      <c r="AIZ24" s="58"/>
      <c r="AJA24" s="58"/>
      <c r="AJB24" s="58"/>
      <c r="AJC24" s="58"/>
      <c r="AJD24" s="58"/>
      <c r="AJE24" s="58"/>
      <c r="AJF24" s="58"/>
      <c r="AJG24" s="58"/>
      <c r="AJH24" s="58"/>
      <c r="AJI24" s="58"/>
      <c r="AJJ24" s="58"/>
      <c r="AJK24" s="58"/>
      <c r="AJL24" s="58"/>
      <c r="AJM24" s="58"/>
      <c r="AJN24" s="58"/>
      <c r="AJO24" s="58"/>
      <c r="AJP24" s="58"/>
      <c r="AJQ24" s="58"/>
      <c r="AJR24" s="58"/>
      <c r="AJS24" s="58"/>
      <c r="AJT24" s="58"/>
      <c r="AJU24" s="58"/>
      <c r="AJV24" s="58"/>
      <c r="AJW24" s="58"/>
      <c r="AJX24" s="58"/>
      <c r="AJY24" s="58"/>
      <c r="AJZ24" s="58"/>
      <c r="AKA24" s="58"/>
      <c r="AKB24" s="58"/>
      <c r="AKC24" s="58"/>
      <c r="AKD24" s="58"/>
      <c r="AKE24" s="58"/>
      <c r="AKF24" s="58"/>
      <c r="AKG24" s="58"/>
      <c r="AKH24" s="58"/>
      <c r="AKI24" s="58"/>
      <c r="AKJ24" s="58"/>
      <c r="AKK24" s="58"/>
      <c r="AKL24" s="58"/>
      <c r="AKM24" s="58"/>
      <c r="AKN24" s="58"/>
      <c r="AKO24" s="58"/>
      <c r="AKP24" s="58"/>
      <c r="AKQ24" s="58"/>
      <c r="AKR24" s="58"/>
      <c r="AKS24" s="58"/>
      <c r="AKT24" s="58"/>
      <c r="AKU24" s="58"/>
      <c r="AKV24" s="58"/>
      <c r="AKW24" s="58"/>
      <c r="AKX24" s="58"/>
      <c r="AKY24" s="58"/>
      <c r="AKZ24" s="58"/>
      <c r="ALA24" s="58"/>
      <c r="ALB24" s="58"/>
      <c r="ALC24" s="58"/>
      <c r="ALD24" s="58"/>
      <c r="ALE24" s="58"/>
      <c r="ALF24" s="58"/>
      <c r="ALG24" s="58"/>
      <c r="ALH24" s="58"/>
      <c r="ALI24" s="58"/>
      <c r="ALJ24" s="58"/>
      <c r="ALK24" s="58"/>
      <c r="ALL24" s="58"/>
      <c r="ALM24" s="58"/>
      <c r="ALN24" s="58"/>
      <c r="ALO24" s="58"/>
      <c r="ALP24" s="58"/>
      <c r="ALQ24" s="58"/>
      <c r="ALR24" s="58"/>
      <c r="ALS24" s="58"/>
      <c r="ALT24" s="58"/>
      <c r="ALU24" s="58"/>
      <c r="ALV24" s="58"/>
      <c r="ALW24" s="58"/>
      <c r="ALX24" s="58"/>
      <c r="ALY24" s="58"/>
      <c r="ALZ24" s="58"/>
      <c r="AMA24" s="58"/>
      <c r="AMB24" s="58"/>
      <c r="AMC24" s="58"/>
      <c r="AMD24" s="58"/>
      <c r="AME24" s="58"/>
      <c r="AMF24" s="58"/>
      <c r="AMG24" s="58"/>
      <c r="AMH24" s="58"/>
      <c r="AMI24" s="58"/>
      <c r="AMJ24" s="58"/>
      <c r="AMK24" s="58"/>
      <c r="AML24" s="58"/>
      <c r="AMM24" s="58"/>
      <c r="AMN24" s="58"/>
      <c r="AMO24" s="58"/>
      <c r="AMP24" s="58"/>
      <c r="AMQ24" s="58"/>
      <c r="AMR24" s="58"/>
      <c r="AMS24" s="58"/>
      <c r="AMT24" s="58"/>
      <c r="AMU24" s="58"/>
      <c r="AMV24" s="58"/>
      <c r="AMW24" s="58"/>
      <c r="AMX24" s="58"/>
      <c r="AMY24" s="58"/>
      <c r="AMZ24" s="58"/>
      <c r="ANA24" s="58"/>
      <c r="ANB24" s="58"/>
      <c r="ANC24" s="58"/>
      <c r="AND24" s="58"/>
      <c r="ANE24" s="58"/>
      <c r="ANF24" s="58"/>
      <c r="ANG24" s="58"/>
      <c r="ANH24" s="58"/>
      <c r="ANI24" s="58"/>
      <c r="ANJ24" s="58"/>
      <c r="ANK24" s="58"/>
      <c r="ANL24" s="58"/>
      <c r="ANM24" s="58"/>
      <c r="ANN24" s="58"/>
      <c r="ANO24" s="58"/>
      <c r="ANP24" s="58"/>
      <c r="ANQ24" s="58"/>
      <c r="ANR24" s="58"/>
      <c r="ANS24" s="58"/>
      <c r="ANT24" s="58"/>
      <c r="ANU24" s="58"/>
      <c r="ANV24" s="58"/>
      <c r="ANW24" s="58"/>
      <c r="ANX24" s="58"/>
      <c r="ANY24" s="58"/>
      <c r="ANZ24" s="58"/>
      <c r="AOA24" s="58"/>
      <c r="AOB24" s="58"/>
      <c r="AOC24" s="58"/>
      <c r="AOD24" s="58"/>
      <c r="AOE24" s="58"/>
      <c r="AOF24" s="58"/>
      <c r="AOG24" s="58"/>
      <c r="AOH24" s="58"/>
      <c r="AOI24" s="58"/>
      <c r="AOJ24" s="58"/>
      <c r="AOK24" s="58"/>
      <c r="AOL24" s="58"/>
      <c r="AOM24" s="58"/>
      <c r="AON24" s="58"/>
      <c r="AOO24" s="58"/>
      <c r="AOP24" s="58"/>
      <c r="AOQ24" s="58"/>
      <c r="AOR24" s="58"/>
      <c r="AOS24" s="58"/>
      <c r="AOT24" s="58"/>
      <c r="AOU24" s="58"/>
      <c r="AOV24" s="58"/>
      <c r="AOW24" s="58"/>
      <c r="AOX24" s="58"/>
      <c r="AOY24" s="58"/>
      <c r="AOZ24" s="58"/>
      <c r="APA24" s="58"/>
      <c r="APB24" s="58"/>
      <c r="APC24" s="58"/>
      <c r="APD24" s="58"/>
      <c r="APE24" s="58"/>
      <c r="APF24" s="58"/>
      <c r="APG24" s="58"/>
      <c r="APH24" s="58"/>
      <c r="API24" s="58"/>
      <c r="APJ24" s="58"/>
      <c r="APK24" s="58"/>
      <c r="APL24" s="58"/>
      <c r="APM24" s="58"/>
      <c r="APN24" s="58"/>
      <c r="APO24" s="58"/>
      <c r="APP24" s="58"/>
      <c r="APQ24" s="58"/>
      <c r="APR24" s="58"/>
      <c r="APS24" s="58"/>
      <c r="APT24" s="58"/>
      <c r="APU24" s="58"/>
      <c r="APV24" s="58"/>
      <c r="APW24" s="58"/>
      <c r="APX24" s="58"/>
    </row>
    <row r="25" spans="1:1116">
      <c r="A25" s="5"/>
      <c r="B25" s="36"/>
      <c r="R25" s="613"/>
      <c r="S25" s="613"/>
      <c r="CE25" s="148"/>
      <c r="CF25" s="614"/>
      <c r="EN25" s="148"/>
      <c r="EO25" s="148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</row>
    <row r="26" spans="1:1116">
      <c r="A26" s="5"/>
      <c r="B26" s="36"/>
      <c r="H26" s="74"/>
      <c r="I26" s="388"/>
      <c r="J26" s="74"/>
      <c r="L26" s="376"/>
      <c r="N26" s="74"/>
      <c r="R26" s="613"/>
      <c r="S26" s="613"/>
      <c r="W26" s="615"/>
      <c r="X26" s="615"/>
      <c r="Y26" s="615"/>
      <c r="Z26" s="615"/>
      <c r="AA26" s="615"/>
      <c r="AB26" s="615"/>
      <c r="AC26" s="615"/>
      <c r="AD26" s="615"/>
      <c r="AE26" s="615"/>
      <c r="AF26" s="615"/>
      <c r="AG26" s="615"/>
      <c r="AH26" s="615"/>
      <c r="AI26" s="615"/>
      <c r="AJ26" s="615"/>
      <c r="AK26" s="615"/>
      <c r="AL26" s="615"/>
      <c r="AM26" s="615"/>
      <c r="AN26" s="615"/>
      <c r="AO26" s="615"/>
      <c r="AP26" s="615"/>
      <c r="AQ26" s="615"/>
      <c r="AR26" s="615"/>
      <c r="AS26" s="615"/>
      <c r="AT26" s="615"/>
      <c r="AU26" s="615"/>
      <c r="AV26" s="615"/>
      <c r="AW26" s="615"/>
      <c r="AX26" s="615"/>
      <c r="AY26" s="615"/>
      <c r="AZ26" s="615"/>
      <c r="BA26" s="615"/>
      <c r="BB26" s="615"/>
      <c r="BC26" s="615"/>
      <c r="BD26" s="615"/>
      <c r="BE26" s="615"/>
      <c r="BF26" s="615"/>
      <c r="BG26" s="615"/>
      <c r="BH26" s="615"/>
      <c r="BI26" s="615"/>
      <c r="BJ26" s="615"/>
      <c r="BK26" s="615"/>
      <c r="BL26" s="615"/>
      <c r="BM26" s="615"/>
      <c r="BN26" s="615"/>
      <c r="BO26" s="615"/>
      <c r="BP26" s="615"/>
      <c r="BQ26" s="615"/>
      <c r="BR26" s="615"/>
      <c r="BS26" s="615"/>
      <c r="BT26" s="615"/>
      <c r="BU26" s="615"/>
      <c r="BV26" s="615"/>
      <c r="BW26" s="615"/>
      <c r="BX26" s="615"/>
      <c r="BY26" s="615"/>
      <c r="BZ26" s="615"/>
      <c r="CA26" s="615"/>
      <c r="CB26" s="615"/>
      <c r="CC26" s="615"/>
      <c r="CD26" s="615"/>
    </row>
    <row r="27" spans="1:1116">
      <c r="H27" s="79"/>
      <c r="I27" s="389"/>
      <c r="J27" s="79"/>
      <c r="K27" s="401"/>
      <c r="L27" s="376"/>
      <c r="N27" s="376"/>
    </row>
    <row r="28" spans="1:1116">
      <c r="L28" s="328"/>
      <c r="N28" s="328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6" max="110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K23"/>
  <sheetViews>
    <sheetView view="pageBreakPreview" zoomScale="90" zoomScaleNormal="80" zoomScaleSheetLayoutView="90" workbookViewId="0">
      <pane ySplit="2" topLeftCell="A3" activePane="bottomLeft" state="frozen"/>
      <selection activeCell="I24" sqref="I24"/>
      <selection pane="bottomLeft" activeCell="N13" sqref="N13"/>
    </sheetView>
  </sheetViews>
  <sheetFormatPr defaultRowHeight="15"/>
  <cols>
    <col min="1" max="1" width="6.140625" style="3" customWidth="1"/>
    <col min="2" max="2" width="4.7109375" style="3" customWidth="1"/>
    <col min="3" max="3" width="38.28515625" style="3" customWidth="1"/>
    <col min="4" max="4" width="8.140625" style="14" customWidth="1"/>
    <col min="5" max="5" width="3.28515625" style="16" customWidth="1"/>
    <col min="6" max="6" width="11" style="19" customWidth="1"/>
    <col min="7" max="7" width="3.5703125" style="33" customWidth="1"/>
    <col min="8" max="8" width="11" style="73" customWidth="1"/>
    <col min="9" max="9" width="4.42578125" style="2" bestFit="1" customWidth="1"/>
    <col min="10" max="10" width="11.28515625" style="6" customWidth="1"/>
    <col min="11" max="11" width="8.7109375" style="6" customWidth="1"/>
    <col min="12" max="12" width="11.28515625" style="6" customWidth="1"/>
    <col min="13" max="13" width="5.42578125" style="484" customWidth="1"/>
    <col min="14" max="14" width="10.140625" style="6" customWidth="1"/>
    <col min="15" max="15" width="5.5703125" style="34" customWidth="1"/>
    <col min="16" max="16" width="10.7109375" style="6" customWidth="1"/>
    <col min="17" max="17" width="10" style="6" customWidth="1"/>
    <col min="18" max="18" width="4.7109375" customWidth="1"/>
    <col min="19" max="21" width="5.5703125" style="1" customWidth="1"/>
    <col min="22" max="22" width="5.85546875" style="3" customWidth="1"/>
    <col min="23" max="141" width="5.7109375" style="14" customWidth="1"/>
    <col min="142" max="16384" width="9.140625" style="3"/>
  </cols>
  <sheetData>
    <row r="1" spans="1:141" s="39" customFormat="1" ht="42.75" customHeight="1">
      <c r="A1" s="214" t="s">
        <v>208</v>
      </c>
      <c r="B1" s="214" t="s">
        <v>155</v>
      </c>
      <c r="C1" s="219"/>
      <c r="D1" s="253"/>
      <c r="E1" s="254"/>
      <c r="F1" s="330"/>
      <c r="G1" s="256"/>
      <c r="H1" s="257"/>
      <c r="I1" s="496"/>
      <c r="M1" s="478"/>
      <c r="N1" s="239" t="s">
        <v>177</v>
      </c>
      <c r="O1" s="41"/>
      <c r="P1" s="241">
        <v>60</v>
      </c>
      <c r="Q1" s="445"/>
      <c r="S1" s="42"/>
      <c r="T1" s="42"/>
      <c r="U1" s="42"/>
      <c r="V1" s="43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s="61" customFormat="1" ht="41.25" customHeight="1">
      <c r="A2" s="403" t="s">
        <v>254</v>
      </c>
      <c r="B2" s="405" t="s">
        <v>178</v>
      </c>
      <c r="C2" s="406" t="s">
        <v>144</v>
      </c>
      <c r="D2" s="475" t="s">
        <v>141</v>
      </c>
      <c r="E2" s="474" t="s">
        <v>142</v>
      </c>
      <c r="F2" s="476" t="s">
        <v>143</v>
      </c>
      <c r="G2" s="103" t="s">
        <v>156</v>
      </c>
      <c r="H2" s="103" t="s">
        <v>172</v>
      </c>
      <c r="I2" s="497" t="s">
        <v>102</v>
      </c>
      <c r="J2" s="477" t="s">
        <v>268</v>
      </c>
      <c r="K2" s="477" t="s">
        <v>270</v>
      </c>
      <c r="L2" s="477" t="s">
        <v>157</v>
      </c>
      <c r="M2" s="479" t="s">
        <v>129</v>
      </c>
      <c r="N2" s="477" t="s">
        <v>273</v>
      </c>
      <c r="O2" s="479" t="s">
        <v>130</v>
      </c>
      <c r="P2" s="477" t="s">
        <v>145</v>
      </c>
      <c r="Q2" s="477" t="s">
        <v>274</v>
      </c>
      <c r="S2" s="57" t="s">
        <v>102</v>
      </c>
      <c r="T2" s="57" t="s">
        <v>134</v>
      </c>
      <c r="U2" s="57" t="s">
        <v>135</v>
      </c>
      <c r="V2" s="62" t="s">
        <v>7</v>
      </c>
      <c r="W2" s="397">
        <v>1</v>
      </c>
      <c r="X2" s="62" t="s">
        <v>6</v>
      </c>
      <c r="Y2" s="397">
        <v>2</v>
      </c>
      <c r="Z2" s="62" t="s">
        <v>8</v>
      </c>
      <c r="AA2" s="397">
        <v>3</v>
      </c>
      <c r="AB2" s="62" t="s">
        <v>9</v>
      </c>
      <c r="AC2" s="397">
        <v>4</v>
      </c>
      <c r="AD2" s="62" t="s">
        <v>10</v>
      </c>
      <c r="AE2" s="397">
        <v>5</v>
      </c>
      <c r="AF2" s="62" t="s">
        <v>11</v>
      </c>
      <c r="AG2" s="397">
        <v>6</v>
      </c>
      <c r="AH2" s="62" t="s">
        <v>12</v>
      </c>
      <c r="AI2" s="397">
        <v>7</v>
      </c>
      <c r="AJ2" s="62" t="s">
        <v>13</v>
      </c>
      <c r="AK2" s="397">
        <v>8</v>
      </c>
      <c r="AL2" s="62" t="s">
        <v>14</v>
      </c>
      <c r="AM2" s="397">
        <v>9</v>
      </c>
      <c r="AN2" s="62" t="s">
        <v>15</v>
      </c>
      <c r="AO2" s="397">
        <v>10</v>
      </c>
      <c r="AP2" s="62" t="s">
        <v>16</v>
      </c>
      <c r="AQ2" s="397">
        <v>11</v>
      </c>
      <c r="AR2" s="62" t="s">
        <v>17</v>
      </c>
      <c r="AS2" s="397">
        <v>12</v>
      </c>
      <c r="AT2" s="62" t="s">
        <v>18</v>
      </c>
      <c r="AU2" s="397">
        <v>13</v>
      </c>
      <c r="AV2" s="62" t="s">
        <v>19</v>
      </c>
      <c r="AW2" s="397">
        <v>14</v>
      </c>
      <c r="AX2" s="62" t="s">
        <v>20</v>
      </c>
      <c r="AY2" s="397">
        <v>15</v>
      </c>
      <c r="AZ2" s="62" t="s">
        <v>21</v>
      </c>
      <c r="BA2" s="397">
        <v>16</v>
      </c>
      <c r="BB2" s="62" t="s">
        <v>22</v>
      </c>
      <c r="BC2" s="397">
        <v>17</v>
      </c>
      <c r="BD2" s="62" t="s">
        <v>23</v>
      </c>
      <c r="BE2" s="397">
        <v>18</v>
      </c>
      <c r="BF2" s="62" t="s">
        <v>24</v>
      </c>
      <c r="BG2" s="397">
        <v>19</v>
      </c>
      <c r="BH2" s="62" t="s">
        <v>25</v>
      </c>
      <c r="BI2" s="397">
        <v>20</v>
      </c>
      <c r="BJ2" s="62" t="s">
        <v>26</v>
      </c>
      <c r="BK2" s="397">
        <v>21</v>
      </c>
      <c r="BL2" s="62" t="s">
        <v>27</v>
      </c>
      <c r="BM2" s="397">
        <v>22</v>
      </c>
      <c r="BN2" s="62" t="s">
        <v>28</v>
      </c>
      <c r="BO2" s="397">
        <v>23</v>
      </c>
      <c r="BP2" s="62" t="s">
        <v>29</v>
      </c>
      <c r="BQ2" s="397">
        <v>24</v>
      </c>
      <c r="BR2" s="62" t="s">
        <v>30</v>
      </c>
      <c r="BS2" s="397">
        <v>25</v>
      </c>
      <c r="BT2" s="62" t="s">
        <v>31</v>
      </c>
      <c r="BU2" s="397">
        <v>26</v>
      </c>
      <c r="BV2" s="62" t="s">
        <v>32</v>
      </c>
      <c r="BW2" s="397">
        <v>27</v>
      </c>
      <c r="BX2" s="62" t="s">
        <v>33</v>
      </c>
      <c r="BY2" s="397">
        <v>28</v>
      </c>
      <c r="BZ2" s="62" t="s">
        <v>34</v>
      </c>
      <c r="CA2" s="397">
        <v>29</v>
      </c>
      <c r="CB2" s="62" t="s">
        <v>35</v>
      </c>
      <c r="CC2" s="397">
        <v>30</v>
      </c>
      <c r="CD2" s="62" t="s">
        <v>36</v>
      </c>
      <c r="CE2" s="397">
        <v>31</v>
      </c>
      <c r="CF2" s="62" t="s">
        <v>37</v>
      </c>
      <c r="CG2" s="397">
        <v>32</v>
      </c>
      <c r="CH2" s="62" t="s">
        <v>38</v>
      </c>
      <c r="CI2" s="397">
        <v>33</v>
      </c>
      <c r="CJ2" s="62" t="s">
        <v>39</v>
      </c>
      <c r="CK2" s="397">
        <v>34</v>
      </c>
      <c r="CL2" s="62" t="s">
        <v>40</v>
      </c>
      <c r="CM2" s="397">
        <v>35</v>
      </c>
      <c r="CN2" s="62" t="s">
        <v>41</v>
      </c>
      <c r="CO2" s="397">
        <v>36</v>
      </c>
      <c r="CP2" s="62" t="s">
        <v>42</v>
      </c>
      <c r="CQ2" s="397">
        <v>37</v>
      </c>
      <c r="CR2" s="62" t="s">
        <v>43</v>
      </c>
      <c r="CS2" s="397">
        <v>38</v>
      </c>
      <c r="CT2" s="62" t="s">
        <v>44</v>
      </c>
      <c r="CU2" s="397">
        <v>39</v>
      </c>
      <c r="CV2" s="62" t="s">
        <v>45</v>
      </c>
      <c r="CW2" s="397">
        <v>40</v>
      </c>
      <c r="CX2" s="62" t="s">
        <v>46</v>
      </c>
      <c r="CY2" s="397">
        <v>41</v>
      </c>
      <c r="CZ2" s="62" t="s">
        <v>47</v>
      </c>
      <c r="DA2" s="397">
        <v>42</v>
      </c>
      <c r="DB2" s="62" t="s">
        <v>48</v>
      </c>
      <c r="DC2" s="397">
        <v>43</v>
      </c>
      <c r="DD2" s="62" t="s">
        <v>49</v>
      </c>
      <c r="DE2" s="397">
        <v>44</v>
      </c>
      <c r="DF2" s="62" t="s">
        <v>50</v>
      </c>
      <c r="DG2" s="397">
        <v>45</v>
      </c>
      <c r="DH2" s="62" t="s">
        <v>51</v>
      </c>
      <c r="DI2" s="397">
        <v>46</v>
      </c>
      <c r="DJ2" s="62" t="s">
        <v>52</v>
      </c>
      <c r="DK2" s="397">
        <v>47</v>
      </c>
      <c r="DL2" s="62" t="s">
        <v>53</v>
      </c>
      <c r="DM2" s="397">
        <v>48</v>
      </c>
      <c r="DN2" s="62" t="s">
        <v>54</v>
      </c>
      <c r="DO2" s="397">
        <v>49</v>
      </c>
      <c r="DP2" s="62" t="s">
        <v>55</v>
      </c>
      <c r="DQ2" s="397">
        <v>50</v>
      </c>
      <c r="DR2" s="62" t="s">
        <v>56</v>
      </c>
      <c r="DS2" s="397">
        <v>51</v>
      </c>
      <c r="DT2" s="62" t="s">
        <v>57</v>
      </c>
      <c r="DU2" s="397">
        <v>52</v>
      </c>
      <c r="DV2" s="62" t="s">
        <v>58</v>
      </c>
      <c r="DW2" s="397">
        <v>53</v>
      </c>
      <c r="DX2" s="62" t="s">
        <v>59</v>
      </c>
      <c r="DY2" s="397">
        <v>54</v>
      </c>
      <c r="DZ2" s="62" t="s">
        <v>60</v>
      </c>
      <c r="EA2" s="397">
        <v>55</v>
      </c>
      <c r="EB2" s="62" t="s">
        <v>61</v>
      </c>
      <c r="EC2" s="397">
        <v>56</v>
      </c>
      <c r="ED2" s="62" t="s">
        <v>62</v>
      </c>
      <c r="EE2" s="397">
        <v>57</v>
      </c>
      <c r="EF2" s="62" t="s">
        <v>63</v>
      </c>
      <c r="EG2" s="397">
        <v>58</v>
      </c>
      <c r="EH2" s="62" t="s">
        <v>64</v>
      </c>
      <c r="EI2" s="397">
        <v>59</v>
      </c>
      <c r="EJ2" s="62" t="s">
        <v>65</v>
      </c>
      <c r="EK2" s="397">
        <v>60</v>
      </c>
    </row>
    <row r="3" spans="1:141" s="32" customFormat="1" ht="16.5" customHeight="1">
      <c r="A3" s="197" t="s">
        <v>5</v>
      </c>
      <c r="B3" s="204" t="s">
        <v>121</v>
      </c>
      <c r="C3" s="203"/>
      <c r="D3" s="198"/>
      <c r="E3" s="199"/>
      <c r="F3" s="331"/>
      <c r="G3" s="181"/>
      <c r="H3" s="182"/>
      <c r="I3" s="498"/>
      <c r="J3" s="200"/>
      <c r="K3" s="200"/>
      <c r="L3" s="200"/>
      <c r="M3" s="480"/>
      <c r="N3" s="200"/>
      <c r="O3" s="480"/>
      <c r="P3" s="201"/>
      <c r="Q3" s="201"/>
      <c r="R3" s="47"/>
      <c r="S3" s="411"/>
      <c r="T3" s="411"/>
      <c r="U3" s="411"/>
      <c r="V3" s="490"/>
      <c r="W3" s="456"/>
      <c r="X3" s="456"/>
      <c r="Y3" s="456"/>
      <c r="Z3" s="456"/>
      <c r="AA3" s="456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56"/>
      <c r="AQ3" s="456"/>
      <c r="AR3" s="456"/>
      <c r="AS3" s="456"/>
      <c r="AT3" s="456"/>
      <c r="AU3" s="456"/>
      <c r="AV3" s="456"/>
      <c r="AW3" s="456"/>
      <c r="AX3" s="456"/>
      <c r="AY3" s="456"/>
      <c r="AZ3" s="456"/>
      <c r="BA3" s="456"/>
      <c r="BB3" s="456"/>
      <c r="BC3" s="456"/>
      <c r="BD3" s="456"/>
      <c r="BE3" s="456"/>
      <c r="BF3" s="456"/>
      <c r="BG3" s="456"/>
      <c r="BH3" s="456"/>
      <c r="BI3" s="456"/>
      <c r="BJ3" s="456"/>
      <c r="BK3" s="456"/>
      <c r="BL3" s="456"/>
      <c r="BM3" s="456"/>
      <c r="BN3" s="456"/>
      <c r="BO3" s="456"/>
      <c r="BP3" s="456"/>
      <c r="BQ3" s="456"/>
      <c r="BR3" s="456"/>
      <c r="BS3" s="456"/>
      <c r="BT3" s="456"/>
      <c r="BU3" s="456"/>
      <c r="BV3" s="456"/>
      <c r="BW3" s="456"/>
      <c r="BX3" s="456"/>
      <c r="BY3" s="456"/>
      <c r="BZ3" s="456"/>
      <c r="CA3" s="456"/>
      <c r="CB3" s="456"/>
      <c r="CC3" s="456"/>
      <c r="CD3" s="456"/>
      <c r="CE3" s="456"/>
      <c r="CF3" s="456"/>
      <c r="CG3" s="456"/>
      <c r="CH3" s="456"/>
      <c r="CI3" s="456"/>
      <c r="CJ3" s="456"/>
      <c r="CK3" s="456"/>
      <c r="CL3" s="456"/>
      <c r="CM3" s="456"/>
      <c r="CN3" s="456"/>
      <c r="CO3" s="456"/>
      <c r="CP3" s="456"/>
      <c r="CQ3" s="456"/>
      <c r="CR3" s="456"/>
      <c r="CS3" s="456"/>
      <c r="CT3" s="456"/>
      <c r="CU3" s="456"/>
      <c r="CV3" s="456"/>
      <c r="CW3" s="456"/>
      <c r="CX3" s="456"/>
      <c r="CY3" s="456"/>
      <c r="CZ3" s="456"/>
      <c r="DA3" s="456"/>
      <c r="DB3" s="456"/>
      <c r="DC3" s="456"/>
      <c r="DD3" s="456"/>
      <c r="DE3" s="456"/>
      <c r="DF3" s="456"/>
      <c r="DG3" s="456"/>
      <c r="DH3" s="456"/>
      <c r="DI3" s="456"/>
      <c r="DJ3" s="456"/>
      <c r="DK3" s="456"/>
      <c r="DL3" s="456"/>
      <c r="DM3" s="456"/>
      <c r="DN3" s="456"/>
      <c r="DO3" s="456"/>
      <c r="DP3" s="456"/>
      <c r="DQ3" s="456"/>
      <c r="DR3" s="456"/>
      <c r="DS3" s="456"/>
      <c r="DT3" s="456"/>
      <c r="DU3" s="456"/>
      <c r="DV3" s="456"/>
      <c r="DW3" s="456"/>
      <c r="DX3" s="456"/>
      <c r="DY3" s="456"/>
      <c r="DZ3" s="456"/>
      <c r="EA3" s="456"/>
      <c r="EB3" s="456"/>
      <c r="EC3" s="456"/>
      <c r="ED3" s="456"/>
      <c r="EE3" s="456"/>
      <c r="EF3" s="456"/>
      <c r="EG3" s="456"/>
      <c r="EH3" s="456"/>
      <c r="EI3" s="456"/>
      <c r="EJ3" s="456"/>
      <c r="EK3" s="456"/>
    </row>
    <row r="4" spans="1:141" s="38" customFormat="1" ht="15" customHeight="1">
      <c r="A4" s="122">
        <v>5.0999999999999996</v>
      </c>
      <c r="B4" s="160" t="s">
        <v>91</v>
      </c>
      <c r="C4" s="154"/>
      <c r="D4" s="139"/>
      <c r="E4" s="123"/>
      <c r="F4" s="125"/>
      <c r="G4" s="184"/>
      <c r="H4" s="185"/>
      <c r="I4" s="499"/>
      <c r="J4" s="185"/>
      <c r="K4" s="185"/>
      <c r="L4" s="185"/>
      <c r="M4" s="481"/>
      <c r="N4" s="185"/>
      <c r="O4" s="481"/>
      <c r="P4" s="192"/>
      <c r="Q4" s="192"/>
      <c r="R4" s="454"/>
      <c r="S4" s="412"/>
      <c r="T4" s="412"/>
      <c r="U4" s="412"/>
      <c r="V4" s="77"/>
      <c r="W4" s="396"/>
      <c r="X4" s="278"/>
      <c r="Y4" s="396"/>
      <c r="Z4" s="278"/>
      <c r="AA4" s="396"/>
      <c r="AB4" s="278"/>
      <c r="AC4" s="396"/>
      <c r="AD4" s="278"/>
      <c r="AE4" s="396"/>
      <c r="AF4" s="278"/>
      <c r="AG4" s="396"/>
      <c r="AH4" s="278"/>
      <c r="AI4" s="396"/>
      <c r="AJ4" s="278"/>
      <c r="AK4" s="396"/>
      <c r="AL4" s="278"/>
      <c r="AM4" s="396"/>
      <c r="AN4" s="278"/>
      <c r="AO4" s="396"/>
      <c r="AP4" s="278"/>
      <c r="AQ4" s="396"/>
      <c r="AR4" s="278"/>
      <c r="AS4" s="396"/>
      <c r="AT4" s="278"/>
      <c r="AU4" s="396"/>
      <c r="AV4" s="278"/>
      <c r="AW4" s="396"/>
      <c r="AX4" s="278"/>
      <c r="AY4" s="396"/>
      <c r="AZ4" s="278"/>
      <c r="BA4" s="396"/>
      <c r="BB4" s="278"/>
      <c r="BC4" s="396"/>
      <c r="BD4" s="278"/>
      <c r="BE4" s="396"/>
      <c r="BF4" s="278"/>
      <c r="BG4" s="396"/>
      <c r="BH4" s="278"/>
      <c r="BI4" s="396"/>
      <c r="BJ4" s="278"/>
      <c r="BK4" s="396"/>
      <c r="BL4" s="278"/>
      <c r="BM4" s="396"/>
      <c r="BN4" s="278"/>
      <c r="BO4" s="396"/>
      <c r="BP4" s="278"/>
      <c r="BQ4" s="396"/>
      <c r="BR4" s="278"/>
      <c r="BS4" s="396"/>
      <c r="BT4" s="278"/>
      <c r="BU4" s="396"/>
      <c r="BV4" s="278"/>
      <c r="BW4" s="396"/>
      <c r="BX4" s="278"/>
      <c r="BY4" s="396"/>
      <c r="BZ4" s="278"/>
      <c r="CA4" s="396"/>
      <c r="CB4" s="278"/>
      <c r="CC4" s="396"/>
      <c r="CD4" s="278"/>
      <c r="CE4" s="396"/>
      <c r="CF4" s="278"/>
      <c r="CG4" s="396"/>
      <c r="CH4" s="278"/>
      <c r="CI4" s="396"/>
      <c r="CJ4" s="278"/>
      <c r="CK4" s="396"/>
      <c r="CL4" s="278"/>
      <c r="CM4" s="396"/>
      <c r="CN4" s="278"/>
      <c r="CO4" s="396"/>
      <c r="CP4" s="278"/>
      <c r="CQ4" s="396"/>
      <c r="CR4" s="278"/>
      <c r="CS4" s="396"/>
      <c r="CT4" s="278"/>
      <c r="CU4" s="396"/>
      <c r="CV4" s="278"/>
      <c r="CW4" s="396"/>
      <c r="CX4" s="278"/>
      <c r="CY4" s="396"/>
      <c r="CZ4" s="278"/>
      <c r="DA4" s="396"/>
      <c r="DB4" s="278"/>
      <c r="DC4" s="396"/>
      <c r="DD4" s="278"/>
      <c r="DE4" s="396"/>
      <c r="DF4" s="278"/>
      <c r="DG4" s="396"/>
      <c r="DH4" s="278"/>
      <c r="DI4" s="396"/>
      <c r="DJ4" s="278"/>
      <c r="DK4" s="396"/>
      <c r="DL4" s="278"/>
      <c r="DM4" s="396"/>
      <c r="DN4" s="278"/>
      <c r="DO4" s="396"/>
      <c r="DP4" s="278"/>
      <c r="DQ4" s="396"/>
      <c r="DR4" s="278"/>
      <c r="DS4" s="396"/>
      <c r="DT4" s="278"/>
      <c r="DU4" s="396"/>
      <c r="DV4" s="278"/>
      <c r="DW4" s="396"/>
      <c r="DX4" s="278"/>
      <c r="DY4" s="396"/>
      <c r="DZ4" s="278"/>
      <c r="EA4" s="396"/>
      <c r="EB4" s="278"/>
      <c r="EC4" s="396"/>
      <c r="ED4" s="278"/>
      <c r="EE4" s="396"/>
      <c r="EF4" s="278"/>
      <c r="EG4" s="396"/>
      <c r="EH4" s="278"/>
      <c r="EI4" s="396"/>
      <c r="EJ4" s="278"/>
      <c r="EK4" s="396"/>
    </row>
    <row r="5" spans="1:141" s="40" customFormat="1" ht="23.25" customHeight="1">
      <c r="A5" s="127">
        <v>5.0999999999999996</v>
      </c>
      <c r="B5" s="205"/>
      <c r="C5" s="565" t="s">
        <v>322</v>
      </c>
      <c r="D5" s="186"/>
      <c r="E5" s="135"/>
      <c r="F5" s="486"/>
      <c r="G5" s="186"/>
      <c r="H5" s="130"/>
      <c r="I5" s="500"/>
      <c r="J5" s="130"/>
      <c r="K5" s="130"/>
      <c r="L5" s="130"/>
      <c r="M5" s="503"/>
      <c r="N5" s="349"/>
      <c r="O5" s="503"/>
      <c r="P5" s="189"/>
      <c r="Q5" s="399">
        <f>((1/U5^$W$2)*W5)+((1/U5^$Y$2)*Y5)+((1/U5^$AA$2)*AA5)+((1/U5^$AC$2)*AC5)+((1/U5^$AE$2)*AE5)+((1/U5^$AG$2)*AG5)+((1/U5^$AI$2)*AI5)+((1/U5^$AK$2)*AK5)+((1/U5^$AM$2)*AM5)+((1/U5^$AO$2)*AO5)+((1/U5^$AQ$2)*AQ5)+((1/U5^$AS$2)*AS5)+((1/U5^$AU$2)*AU5)+((1/U5^$AW$2)*AW5)+((1/U5^$AY$2)*AY5)+((1/U5^$BA$2)*BA5)+((1/U5^$BC$2)*BC5)+((1/U5^$BE$2)*BE5)+((1/U5^$BG$2)*BG5)+((1/U5^$BI$2)*BI5)+((1/U5^$BK$2)*BK5)+((1/U5^$BM$2)*BM5)+((1/U5^$BO$2)*BO5)+((1/U5^$BQ$2)*BQ5)+((1/U5^$BS$2)*BS5)+((1/U5^$BU$2)*BU5)+((1/U5^$BW$2)*BW5)+((1/U5^$BY$2)*BY5)+((1/U5^$CA$2)*CA5)+((1/U5^$CC$2)*CC5)+((1/U5^$CE$2)*CE5)+((1/U5^$CG$2)*CG5)+((1/U5^$CI$2)*CI5)+((1/U5^$CK$2)*CK5)+((1/U5^$CM$2)*CM5)+((1/U5^$CO$2)*CO5)+((1/U5^$CQ$2)*CQ5)+((1/U5^$CS$2)*CS5)+((1/U5^$CU$2)*CU5)+((1/U5^$CW$2)*CW5)+((1/U5^$CY$2)*CY5)+((1/U5^$DA$2)*DA5)+((1/U5^$DC$2)*DC5)+((1/U5^$DE$2)*DE5)+((1/U5^$DG$2)*DG5)+((1/U5^$DI$2)*DI5)+((1/U5^$DK$2)*DK5)+((1/U5^$DM$2)*DM5)+((1/U5^$DO$2)*DO5)+((1/U5^$DQ$2)*DQ5)+((1/U5^$DS$2)*DS5)+((1/U5^$DU$2)*DU5)+((1/U5^$DW$2)*DW5)+((1/U5^$DY$2)*DY5)+((1/U5^$EA$2)*EA5)+((1/U5^$EC$2)*EC5)+((1/U5^$EE$2)*EE5)+((1/U5^$EG$2)*EG5)+((1/U5^$EI$2)*EI5)+(1/U5^$EK$2)*EK5</f>
        <v>0</v>
      </c>
      <c r="R5" s="52"/>
      <c r="S5" s="402">
        <f>((1+M5)/(1+O5))</f>
        <v>1</v>
      </c>
      <c r="T5" s="402">
        <f>1+M5</f>
        <v>1</v>
      </c>
      <c r="U5" s="402">
        <f>(1+O5)</f>
        <v>1</v>
      </c>
      <c r="V5" s="77">
        <f>IF(INT(V$2)=INT($G5),($J5),(0))</f>
        <v>0</v>
      </c>
      <c r="W5" s="502">
        <f>IF(INT(W$2)=INT($G5),($J5),(0))*$T5^W$2</f>
        <v>0</v>
      </c>
      <c r="X5" s="77">
        <f>IF(INT(X$2)=INT($G5),($J5),(0))</f>
        <v>0</v>
      </c>
      <c r="Y5" s="502">
        <f>IF(INT(Y$2)=INT($G5),($J5),(0))*$T5^Y$2</f>
        <v>0</v>
      </c>
      <c r="Z5" s="77">
        <f>IF(INT(Z$2)=INT($G5),($J5),(0))</f>
        <v>0</v>
      </c>
      <c r="AA5" s="502">
        <f>IF(INT(AA$2)=INT($G5),($J5),(0))*$T5^AA$2</f>
        <v>0</v>
      </c>
      <c r="AB5" s="77">
        <f>IF(INT(AB$2)=INT($G5),($J5),(0))</f>
        <v>0</v>
      </c>
      <c r="AC5" s="502">
        <f>IF(INT(AC$2)=INT($G5),($J5),(0))*$T5^AC$2</f>
        <v>0</v>
      </c>
      <c r="AD5" s="77">
        <f>IF(INT(AD$2)=INT($G5),($J5),(0))</f>
        <v>0</v>
      </c>
      <c r="AE5" s="502">
        <f>IF(INT(AE$2)=INT($G5),($J5),(0))*$T5^AE$2</f>
        <v>0</v>
      </c>
      <c r="AF5" s="77">
        <f>IF(INT(AF$2)=INT($G5),($J5),(0))</f>
        <v>0</v>
      </c>
      <c r="AG5" s="502">
        <f>IF(INT(AG$2)=INT($G5),($J5),(0))*$T5^AG$2</f>
        <v>0</v>
      </c>
      <c r="AH5" s="77">
        <f>IF(INT(AH$2)=INT($G5),($J5),(0))</f>
        <v>0</v>
      </c>
      <c r="AI5" s="502">
        <f>IF(INT(AI$2)=INT($G5),($J5),(0))*$T5^AI$2</f>
        <v>0</v>
      </c>
      <c r="AJ5" s="77">
        <f>IF(INT(AJ$2)=INT($G5),($J5),(0))</f>
        <v>0</v>
      </c>
      <c r="AK5" s="502">
        <f>IF(INT(AK$2)=INT($G5),($J5),(0))*$T5^AK$2</f>
        <v>0</v>
      </c>
      <c r="AL5" s="77">
        <f>IF(INT(AL$2)=INT($G5),($J5),(0))</f>
        <v>0</v>
      </c>
      <c r="AM5" s="502">
        <f>IF(INT(AM$2)=INT($G5),($J5),(0))*$T5^AM$2</f>
        <v>0</v>
      </c>
      <c r="AN5" s="77">
        <f>IF(INT(AN$2)=INT($G5),($J5),(0))</f>
        <v>0</v>
      </c>
      <c r="AO5" s="502">
        <f>IF(INT(AO$2)=INT($G5),($J5),(0))*$T5^AO$2</f>
        <v>0</v>
      </c>
      <c r="AP5" s="77">
        <f>IF(INT(AP$2)=INT($G5),($J5),(0))</f>
        <v>0</v>
      </c>
      <c r="AQ5" s="502">
        <f>IF(INT(AQ$2)=INT($G5),($J5),(0))*$T5^AQ$2</f>
        <v>0</v>
      </c>
      <c r="AR5" s="77">
        <f>IF(INT(AR$2)=INT($G5),($J5),(0))</f>
        <v>0</v>
      </c>
      <c r="AS5" s="502">
        <f>IF(INT(AS$2)=INT($G5),($J5),(0))*$T5^AS$2</f>
        <v>0</v>
      </c>
      <c r="AT5" s="77">
        <f>IF(INT(AT$2)=INT($G5),($J5),(0))</f>
        <v>0</v>
      </c>
      <c r="AU5" s="502">
        <f>IF(INT(AU$2)=INT($G5),($J5),(0))*$T5^AU$2</f>
        <v>0</v>
      </c>
      <c r="AV5" s="77">
        <f>IF(INT(AV$2)=INT($G5),($J5),(0))</f>
        <v>0</v>
      </c>
      <c r="AW5" s="502">
        <f>IF(INT(AW$2)=INT($G5),($J5),(0))*$T5^AW$2</f>
        <v>0</v>
      </c>
      <c r="AX5" s="77">
        <f>IF(INT(AX$2)=INT($G5),($J5),(0))</f>
        <v>0</v>
      </c>
      <c r="AY5" s="502">
        <f>IF(INT(AY$2)=INT($G5),($J5),(0))*$T5^AY$2</f>
        <v>0</v>
      </c>
      <c r="AZ5" s="77">
        <f>IF(INT(AZ$2)=INT($G5),($J5),(0))</f>
        <v>0</v>
      </c>
      <c r="BA5" s="502">
        <f>IF(INT(BA$2)=INT($G5),($J5),(0))*$T5^BA$2</f>
        <v>0</v>
      </c>
      <c r="BB5" s="77">
        <f>IF(INT(BB$2)=INT($G5),($J5),(0))</f>
        <v>0</v>
      </c>
      <c r="BC5" s="502">
        <f>IF(INT(BC$2)=INT($G5),($J5),(0))*$T5^BC$2</f>
        <v>0</v>
      </c>
      <c r="BD5" s="77">
        <f>IF(INT(BD$2)=INT($G5),($J5),(0))</f>
        <v>0</v>
      </c>
      <c r="BE5" s="502">
        <f>IF(INT(BE$2)=INT($G5),($J5),(0))*$T5^BE$2</f>
        <v>0</v>
      </c>
      <c r="BF5" s="77">
        <f>IF(INT(BF$2)=INT($G5),($J5),(0))</f>
        <v>0</v>
      </c>
      <c r="BG5" s="502">
        <f>IF(INT(BG$2)=INT($G5),($J5),(0))*$T5^BG$2</f>
        <v>0</v>
      </c>
      <c r="BH5" s="77">
        <f>IF(INT(BH$2)=INT($G5),($J5),(0))</f>
        <v>0</v>
      </c>
      <c r="BI5" s="502">
        <f>IF(INT(BI$2)=INT($G5),($J5),(0))*$T5^BI$2</f>
        <v>0</v>
      </c>
      <c r="BJ5" s="77">
        <f>IF(INT(BJ$2)=INT($G5),($J5),(0))</f>
        <v>0</v>
      </c>
      <c r="BK5" s="502">
        <f>IF(INT(BK$2)=INT($G5),($J5),(0))*$T5^BK$2</f>
        <v>0</v>
      </c>
      <c r="BL5" s="77">
        <f>IF(INT(BL$2)=INT($G5),($J5),(0))</f>
        <v>0</v>
      </c>
      <c r="BM5" s="502">
        <f>IF(INT(BM$2)=INT($G5),($J5),(0))*$T5^BM$2</f>
        <v>0</v>
      </c>
      <c r="BN5" s="77">
        <f>IF(INT(BN$2)=INT($G5),($J5),(0))</f>
        <v>0</v>
      </c>
      <c r="BO5" s="502">
        <f>IF(INT(BO$2)=INT($G5),($J5),(0))*$T5^BO$2</f>
        <v>0</v>
      </c>
      <c r="BP5" s="77">
        <f>IF(INT(BP$2)=INT($G5),($J5),(0))</f>
        <v>0</v>
      </c>
      <c r="BQ5" s="502">
        <f>IF(INT(BQ$2)=INT($G5),($J5),(0))*$T5^BQ$2</f>
        <v>0</v>
      </c>
      <c r="BR5" s="77">
        <f>IF(INT(BR$2)=INT($G5),($J5),(0))</f>
        <v>0</v>
      </c>
      <c r="BS5" s="502">
        <f>IF(INT(BS$2)=INT($G5),($J5),(0))*$T5^BS$2</f>
        <v>0</v>
      </c>
      <c r="BT5" s="77">
        <f>IF(INT(BT$2)=INT($G5),($J5),(0))</f>
        <v>0</v>
      </c>
      <c r="BU5" s="502">
        <f>IF(INT(BU$2)=INT($G5),($J5),(0))*$T5^BU$2</f>
        <v>0</v>
      </c>
      <c r="BV5" s="77">
        <f>IF(INT(BV$2)=INT($G5),($J5),(0))</f>
        <v>0</v>
      </c>
      <c r="BW5" s="502">
        <f>IF(INT(BW$2)=INT($G5),($J5),(0))*$T5^BW$2</f>
        <v>0</v>
      </c>
      <c r="BX5" s="77">
        <f>IF(INT(BX$2)=INT($G5),($J5),(0))</f>
        <v>0</v>
      </c>
      <c r="BY5" s="502">
        <f>IF(INT(BY$2)=INT($G5),($J5),(0))*$T5^BY$2</f>
        <v>0</v>
      </c>
      <c r="BZ5" s="77">
        <f>IF(INT(BZ$2)=INT($G5),($J5),(0))</f>
        <v>0</v>
      </c>
      <c r="CA5" s="502">
        <f>IF(INT(CA$2)=INT($G5),($J5),(0))*$T5^CA$2</f>
        <v>0</v>
      </c>
      <c r="CB5" s="77">
        <f>IF(INT(CB$2)=INT($G5),($J5),(0))</f>
        <v>0</v>
      </c>
      <c r="CC5" s="502">
        <f>IF(INT(CC$2)=INT($G5),($J5),(0))*$T5^CC$2</f>
        <v>0</v>
      </c>
      <c r="CD5" s="77">
        <f>IF(INT(CD$2)=INT($G5),($J5),(0))</f>
        <v>0</v>
      </c>
      <c r="CE5" s="502">
        <f>IF(INT(CE$2)=INT($G5),($J5),(0))*$T5^CE$2</f>
        <v>0</v>
      </c>
      <c r="CF5" s="77">
        <f>IF(INT(CF$2)=INT($G5),($J5),(0))</f>
        <v>0</v>
      </c>
      <c r="CG5" s="502">
        <f>IF(INT(CG$2)=INT($G5),($J5),(0))*$T5^CG$2</f>
        <v>0</v>
      </c>
      <c r="CH5" s="77">
        <f>IF(INT(CH$2)=INT($G5),($J5),(0))</f>
        <v>0</v>
      </c>
      <c r="CI5" s="502">
        <f>IF(INT(CI$2)=INT($G5),($J5),(0))*$T5^CI$2</f>
        <v>0</v>
      </c>
      <c r="CJ5" s="77">
        <f>IF(INT(CJ$2)=INT($G5),($J5),(0))</f>
        <v>0</v>
      </c>
      <c r="CK5" s="502">
        <f>IF(INT(CK$2)=INT($G5),($J5),(0))*$T5^CK$2</f>
        <v>0</v>
      </c>
      <c r="CL5" s="77">
        <f>IF(INT(CL$2)=INT($G5),($J5),(0))</f>
        <v>0</v>
      </c>
      <c r="CM5" s="502">
        <f>IF(INT(CM$2)=INT($G5),($J5),(0))*$T5^CM$2</f>
        <v>0</v>
      </c>
      <c r="CN5" s="77">
        <f>IF(INT(CN$2)=INT($G5),($J5),(0))</f>
        <v>0</v>
      </c>
      <c r="CO5" s="502">
        <f>IF(INT(CO$2)=INT($G5),($J5),(0))*$T5^CO$2</f>
        <v>0</v>
      </c>
      <c r="CP5" s="77">
        <f>IF(INT(CP$2)=INT($G5),($J5),(0))</f>
        <v>0</v>
      </c>
      <c r="CQ5" s="502">
        <f>IF(INT(CQ$2)=INT($G5),($J5),(0))*$T5^CQ$2</f>
        <v>0</v>
      </c>
      <c r="CR5" s="77">
        <f>IF(INT(CR$2)=INT($G5),($J5),(0))</f>
        <v>0</v>
      </c>
      <c r="CS5" s="502">
        <f>IF(INT(CS$2)=INT($G5),($J5),(0))*$T5^CS$2</f>
        <v>0</v>
      </c>
      <c r="CT5" s="77">
        <f>IF(INT(CT$2)=INT($G5),($J5),(0))</f>
        <v>0</v>
      </c>
      <c r="CU5" s="502">
        <f>IF(INT(CU$2)=INT($G5),($J5),(0))*$T5^CU$2</f>
        <v>0</v>
      </c>
      <c r="CV5" s="77">
        <f>IF(INT(CV$2)=INT($G5),($J5),(0))</f>
        <v>0</v>
      </c>
      <c r="CW5" s="502">
        <f>IF(INT(CW$2)=INT($G5),($J5),(0))*$T5^CW$2</f>
        <v>0</v>
      </c>
      <c r="CX5" s="77">
        <f>IF(INT(CX$2)=INT($G5),($J5),(0))</f>
        <v>0</v>
      </c>
      <c r="CY5" s="502">
        <f>IF(INT(CY$2)=INT($G5),($J5),(0))*$T5^CY$2</f>
        <v>0</v>
      </c>
      <c r="CZ5" s="77">
        <f>IF(INT(CZ$2)=INT($G5),($J5),(0))</f>
        <v>0</v>
      </c>
      <c r="DA5" s="502">
        <f>IF(INT(DA$2)=INT($G5),($J5),(0))*$T5^DA$2</f>
        <v>0</v>
      </c>
      <c r="DB5" s="77">
        <f>IF(INT(DB$2)=INT($G5),($J5),(0))</f>
        <v>0</v>
      </c>
      <c r="DC5" s="502">
        <f>IF(INT(DC$2)=INT($G5),($J5),(0))*$T5^DC$2</f>
        <v>0</v>
      </c>
      <c r="DD5" s="77">
        <f>IF(INT(DD$2)=INT($G5),($J5),(0))</f>
        <v>0</v>
      </c>
      <c r="DE5" s="502">
        <f>IF(INT(DE$2)=INT($G5),($J5),(0))*$T5^DE$2</f>
        <v>0</v>
      </c>
      <c r="DF5" s="77">
        <f>IF(INT(DF$2)=INT($G5),($J5),(0))</f>
        <v>0</v>
      </c>
      <c r="DG5" s="502">
        <f>IF(INT(DG$2)=INT($G5),($J5),(0))*$T5^DG$2</f>
        <v>0</v>
      </c>
      <c r="DH5" s="77">
        <f>IF(INT(DH$2)=INT($G5),($J5),(0))</f>
        <v>0</v>
      </c>
      <c r="DI5" s="502">
        <f>IF(INT(DI$2)=INT($G5),($J5),(0))*$T5^DI$2</f>
        <v>0</v>
      </c>
      <c r="DJ5" s="77">
        <f>IF(INT(DJ$2)=INT($G5),($J5),(0))</f>
        <v>0</v>
      </c>
      <c r="DK5" s="502">
        <f>IF(INT(DK$2)=INT($G5),($J5),(0))*$T5^DK$2</f>
        <v>0</v>
      </c>
      <c r="DL5" s="77">
        <f>IF(INT(DL$2)=INT($G5),($J5),(0))</f>
        <v>0</v>
      </c>
      <c r="DM5" s="502">
        <f>IF(INT(DM$2)=INT($G5),($J5),(0))*$T5^DM$2</f>
        <v>0</v>
      </c>
      <c r="DN5" s="77">
        <f>IF(INT(DN$2)=INT($G5),($J5),(0))</f>
        <v>0</v>
      </c>
      <c r="DO5" s="502">
        <f>IF(INT(DO$2)=INT($G5),($J5),(0))*$T5^DO$2</f>
        <v>0</v>
      </c>
      <c r="DP5" s="77">
        <f>IF(INT(DP$2)=INT($G5),($J5),(0))</f>
        <v>0</v>
      </c>
      <c r="DQ5" s="502">
        <f>IF(INT(DQ$2)=INT($G5),($J5),(0))*$T5^DQ$2</f>
        <v>0</v>
      </c>
      <c r="DR5" s="77">
        <f>IF(INT(DR$2)=INT($G5),($J5),(0))</f>
        <v>0</v>
      </c>
      <c r="DS5" s="502">
        <f>IF(INT(DS$2)=INT($G5),($J5),(0))*$T5^DS$2</f>
        <v>0</v>
      </c>
      <c r="DT5" s="77">
        <f>IF(INT(DT$2)=INT($G5),($J5),(0))</f>
        <v>0</v>
      </c>
      <c r="DU5" s="502">
        <f>IF(INT(DU$2)=INT($G5),($J5),(0))*$T5^DU$2</f>
        <v>0</v>
      </c>
      <c r="DV5" s="77">
        <f>IF(INT(DV$2)=INT($G5),($J5),(0))</f>
        <v>0</v>
      </c>
      <c r="DW5" s="502">
        <f>IF(INT(DW$2)=INT($G5),($J5),(0))*$T5^DW$2</f>
        <v>0</v>
      </c>
      <c r="DX5" s="77">
        <f>IF(INT(DX$2)=INT($G5),($J5),(0))</f>
        <v>0</v>
      </c>
      <c r="DY5" s="502">
        <f>IF(INT(DY$2)=INT($G5),($J5),(0))*$T5^DY$2</f>
        <v>0</v>
      </c>
      <c r="DZ5" s="77">
        <f>IF(INT(DZ$2)=INT($G5),($J5),(0))</f>
        <v>0</v>
      </c>
      <c r="EA5" s="502">
        <f>IF(INT(EA$2)=INT($G5),($J5),(0))*$T5^EA$2</f>
        <v>0</v>
      </c>
      <c r="EB5" s="77">
        <f>IF(INT(EB$2)=INT($G5),($J5),(0))</f>
        <v>0</v>
      </c>
      <c r="EC5" s="502">
        <f>IF(INT(EC$2)=INT($G5),($J5),(0))*$T5^EC$2</f>
        <v>0</v>
      </c>
      <c r="ED5" s="77">
        <f>IF(INT(ED$2)=INT($G5),($J5),(0))</f>
        <v>0</v>
      </c>
      <c r="EE5" s="502">
        <f>IF(INT(EE$2)=INT($G5),($J5),(0))*$T5^EE$2</f>
        <v>0</v>
      </c>
      <c r="EF5" s="77">
        <f>IF(INT(EF$2)=INT($G5),($J5),(0))</f>
        <v>0</v>
      </c>
      <c r="EG5" s="502">
        <f>IF(INT(EG$2)=INT($G5),($J5),(0))*$T5^EG$2</f>
        <v>0</v>
      </c>
      <c r="EH5" s="77">
        <f>IF(INT(EH$2)=INT($G5),($J5),(0))</f>
        <v>0</v>
      </c>
      <c r="EI5" s="502">
        <f>IF(INT(EI$2)=INT($G5),($J5),(0))*$T5^EI$2</f>
        <v>0</v>
      </c>
      <c r="EJ5" s="77">
        <f>IF(INT(EJ$2)=INT($G5),($J5),(0))</f>
        <v>0</v>
      </c>
      <c r="EK5" s="502">
        <f>IF(INT(EK$2)=INT($G5),($J5),(0))*$T5^EK$2</f>
        <v>0</v>
      </c>
    </row>
    <row r="6" spans="1:141" s="38" customFormat="1" ht="15" customHeight="1">
      <c r="A6" s="133">
        <v>5.2</v>
      </c>
      <c r="B6" s="160" t="s">
        <v>92</v>
      </c>
      <c r="C6" s="154"/>
      <c r="D6" s="487"/>
      <c r="E6" s="488"/>
      <c r="F6" s="489"/>
      <c r="G6" s="487"/>
      <c r="H6" s="130"/>
      <c r="I6" s="500"/>
      <c r="J6" s="130"/>
      <c r="K6" s="130"/>
      <c r="L6" s="130"/>
      <c r="M6" s="503"/>
      <c r="N6" s="349"/>
      <c r="O6" s="503"/>
      <c r="P6" s="189"/>
      <c r="Q6" s="399"/>
      <c r="R6" s="454"/>
      <c r="S6" s="78"/>
      <c r="T6" s="78"/>
      <c r="U6" s="78"/>
      <c r="V6" s="77"/>
      <c r="W6" s="502"/>
      <c r="X6" s="77"/>
      <c r="Y6" s="502"/>
      <c r="Z6" s="77"/>
      <c r="AA6" s="502"/>
      <c r="AB6" s="77"/>
      <c r="AC6" s="502"/>
      <c r="AD6" s="77"/>
      <c r="AE6" s="502"/>
      <c r="AF6" s="77"/>
      <c r="AG6" s="502"/>
      <c r="AH6" s="77"/>
      <c r="AI6" s="502"/>
      <c r="AJ6" s="77"/>
      <c r="AK6" s="502"/>
      <c r="AL6" s="77"/>
      <c r="AM6" s="502"/>
      <c r="AN6" s="77"/>
      <c r="AO6" s="502"/>
      <c r="AP6" s="77"/>
      <c r="AQ6" s="502"/>
      <c r="AR6" s="77"/>
      <c r="AS6" s="502"/>
      <c r="AT6" s="77"/>
      <c r="AU6" s="502"/>
      <c r="AV6" s="77"/>
      <c r="AW6" s="502"/>
      <c r="AX6" s="77"/>
      <c r="AY6" s="502"/>
      <c r="AZ6" s="77"/>
      <c r="BA6" s="502"/>
      <c r="BB6" s="77"/>
      <c r="BC6" s="502"/>
      <c r="BD6" s="77"/>
      <c r="BE6" s="502"/>
      <c r="BF6" s="77"/>
      <c r="BG6" s="502"/>
      <c r="BH6" s="77"/>
      <c r="BI6" s="502"/>
      <c r="BJ6" s="77"/>
      <c r="BK6" s="502"/>
      <c r="BL6" s="77"/>
      <c r="BM6" s="502"/>
      <c r="BN6" s="77"/>
      <c r="BO6" s="502"/>
      <c r="BP6" s="77"/>
      <c r="BQ6" s="502"/>
      <c r="BR6" s="77"/>
      <c r="BS6" s="502"/>
      <c r="BT6" s="77"/>
      <c r="BU6" s="502"/>
      <c r="BV6" s="77"/>
      <c r="BW6" s="502"/>
      <c r="BX6" s="77"/>
      <c r="BY6" s="502"/>
      <c r="BZ6" s="77"/>
      <c r="CA6" s="502"/>
      <c r="CB6" s="77"/>
      <c r="CC6" s="502"/>
      <c r="CD6" s="77"/>
      <c r="CE6" s="502"/>
      <c r="CF6" s="77"/>
      <c r="CG6" s="502"/>
      <c r="CH6" s="77"/>
      <c r="CI6" s="502"/>
      <c r="CJ6" s="77"/>
      <c r="CK6" s="502"/>
      <c r="CL6" s="77"/>
      <c r="CM6" s="502"/>
      <c r="CN6" s="77"/>
      <c r="CO6" s="502"/>
      <c r="CP6" s="77"/>
      <c r="CQ6" s="502"/>
      <c r="CR6" s="77"/>
      <c r="CS6" s="502"/>
      <c r="CT6" s="77"/>
      <c r="CU6" s="502"/>
      <c r="CV6" s="77"/>
      <c r="CW6" s="502"/>
      <c r="CX6" s="77"/>
      <c r="CY6" s="502"/>
      <c r="CZ6" s="77"/>
      <c r="DA6" s="502"/>
      <c r="DB6" s="77"/>
      <c r="DC6" s="502"/>
      <c r="DD6" s="77"/>
      <c r="DE6" s="502"/>
      <c r="DF6" s="77"/>
      <c r="DG6" s="502"/>
      <c r="DH6" s="77"/>
      <c r="DI6" s="502"/>
      <c r="DJ6" s="77"/>
      <c r="DK6" s="502"/>
      <c r="DL6" s="77"/>
      <c r="DM6" s="502"/>
      <c r="DN6" s="77"/>
      <c r="DO6" s="502"/>
      <c r="DP6" s="77"/>
      <c r="DQ6" s="502"/>
      <c r="DR6" s="77"/>
      <c r="DS6" s="502"/>
      <c r="DT6" s="77"/>
      <c r="DU6" s="502"/>
      <c r="DV6" s="77"/>
      <c r="DW6" s="502"/>
      <c r="DX6" s="77"/>
      <c r="DY6" s="502"/>
      <c r="DZ6" s="77"/>
      <c r="EA6" s="502"/>
      <c r="EB6" s="77"/>
      <c r="EC6" s="502"/>
      <c r="ED6" s="77"/>
      <c r="EE6" s="502"/>
      <c r="EF6" s="77"/>
      <c r="EG6" s="502"/>
      <c r="EH6" s="77"/>
      <c r="EI6" s="502"/>
      <c r="EJ6" s="77"/>
      <c r="EK6" s="502"/>
    </row>
    <row r="7" spans="1:141" s="38" customFormat="1" ht="23.25" customHeight="1">
      <c r="A7" s="136">
        <v>5.2</v>
      </c>
      <c r="B7" s="160"/>
      <c r="C7" s="565" t="s">
        <v>322</v>
      </c>
      <c r="D7" s="127"/>
      <c r="E7" s="134"/>
      <c r="F7" s="130"/>
      <c r="G7" s="127"/>
      <c r="H7" s="130"/>
      <c r="I7" s="500"/>
      <c r="J7" s="130"/>
      <c r="K7" s="130"/>
      <c r="L7" s="130"/>
      <c r="M7" s="503"/>
      <c r="N7" s="349"/>
      <c r="O7" s="503"/>
      <c r="P7" s="189"/>
      <c r="Q7" s="399">
        <f t="shared" ref="Q7:Q11" si="0">((1/U7^$W$2)*W7)+((1/U7^$Y$2)*Y7)+((1/U7^$AA$2)*AA7)+((1/U7^$AC$2)*AC7)+((1/U7^$AE$2)*AE7)+((1/U7^$AG$2)*AG7)+((1/U7^$AI$2)*AI7)+((1/U7^$AK$2)*AK7)+((1/U7^$AM$2)*AM7)+((1/U7^$AO$2)*AO7)+((1/U7^$AQ$2)*AQ7)+((1/U7^$AS$2)*AS7)+((1/U7^$AU$2)*AU7)+((1/U7^$AW$2)*AW7)+((1/U7^$AY$2)*AY7)+((1/U7^$BA$2)*BA7)+((1/U7^$BC$2)*BC7)+((1/U7^$BE$2)*BE7)+((1/U7^$BG$2)*BG7)+((1/U7^$BI$2)*BI7)+((1/U7^$BK$2)*BK7)+((1/U7^$BM$2)*BM7)+((1/U7^$BO$2)*BO7)+((1/U7^$BQ$2)*BQ7)+((1/U7^$BS$2)*BS7)+((1/U7^$BU$2)*BU7)+((1/U7^$BW$2)*BW7)+((1/U7^$BY$2)*BY7)+((1/U7^$CA$2)*CA7)+((1/U7^$CC$2)*CC7)+((1/U7^$CE$2)*CE7)+((1/U7^$CG$2)*CG7)+((1/U7^$CI$2)*CI7)+((1/U7^$CK$2)*CK7)+((1/U7^$CM$2)*CM7)+((1/U7^$CO$2)*CO7)+((1/U7^$CQ$2)*CQ7)+((1/U7^$CS$2)*CS7)+((1/U7^$CU$2)*CU7)+((1/U7^$CW$2)*CW7)+((1/U7^$CY$2)*CY7)+((1/U7^$DA$2)*DA7)+((1/U7^$DC$2)*DC7)+((1/U7^$DE$2)*DE7)+((1/U7^$DG$2)*DG7)+((1/U7^$DI$2)*DI7)+((1/U7^$DK$2)*DK7)+((1/U7^$DM$2)*DM7)+((1/U7^$DO$2)*DO7)+((1/U7^$DQ$2)*DQ7)+((1/U7^$DS$2)*DS7)+((1/U7^$DU$2)*DU7)+((1/U7^$DW$2)*DW7)+((1/U7^$DY$2)*DY7)+((1/U7^$EA$2)*EA7)+((1/U7^$EC$2)*EC7)+((1/U7^$EE$2)*EE7)+((1/U7^$EG$2)*EG7)+((1/U7^$EI$2)*EI7)+(1/U7^$EK$2)*EK7</f>
        <v>0</v>
      </c>
      <c r="R7" s="454"/>
      <c r="S7" s="402">
        <f>((1+M7)/(1+O7))</f>
        <v>1</v>
      </c>
      <c r="T7" s="402">
        <f>1+M7</f>
        <v>1</v>
      </c>
      <c r="U7" s="402">
        <f>(1+O7)</f>
        <v>1</v>
      </c>
      <c r="V7" s="77">
        <f t="shared" ref="V7:V11" si="1">IF(INT(V$2)=INT($G7),($J7),(0))</f>
        <v>0</v>
      </c>
      <c r="W7" s="502">
        <f>IF(INT(W$2)=INT($G7),($J7),(0))*$T7^W$2</f>
        <v>0</v>
      </c>
      <c r="X7" s="77">
        <f t="shared" ref="X7:X11" si="2">IF(INT(X$2)=INT($G7),($J7),(0))</f>
        <v>0</v>
      </c>
      <c r="Y7" s="502">
        <f>IF(INT(Y$2)=INT($G7),($J7),(0))*$T7^Y$2</f>
        <v>0</v>
      </c>
      <c r="Z7" s="77">
        <f t="shared" ref="Z7:Z11" si="3">IF(INT(Z$2)=INT($G7),($J7),(0))</f>
        <v>0</v>
      </c>
      <c r="AA7" s="502">
        <f>IF(INT(AA$2)=INT($G7),($J7),(0))*$T7^AA$2</f>
        <v>0</v>
      </c>
      <c r="AB7" s="77">
        <f t="shared" ref="AB7:AB11" si="4">IF(INT(AB$2)=INT($G7),($J7),(0))</f>
        <v>0</v>
      </c>
      <c r="AC7" s="502">
        <f>IF(INT(AC$2)=INT($G7),($J7),(0))*$T7^AC$2</f>
        <v>0</v>
      </c>
      <c r="AD7" s="77">
        <f t="shared" ref="AD7:AD11" si="5">IF(INT(AD$2)=INT($G7),($J7),(0))</f>
        <v>0</v>
      </c>
      <c r="AE7" s="502">
        <f>IF(INT(AE$2)=INT($G7),($J7),(0))*$T7^AE$2</f>
        <v>0</v>
      </c>
      <c r="AF7" s="77">
        <f t="shared" ref="AF7:AF11" si="6">IF(INT(AF$2)=INT($G7),($J7),(0))</f>
        <v>0</v>
      </c>
      <c r="AG7" s="502">
        <f>IF(INT(AG$2)=INT($G7),($J7),(0))*$T7^AG$2</f>
        <v>0</v>
      </c>
      <c r="AH7" s="77">
        <f t="shared" ref="AH7:AH11" si="7">IF(INT(AH$2)=INT($G7),($J7),(0))</f>
        <v>0</v>
      </c>
      <c r="AI7" s="502">
        <f>IF(INT(AI$2)=INT($G7),($J7),(0))*$T7^AI$2</f>
        <v>0</v>
      </c>
      <c r="AJ7" s="77">
        <f t="shared" ref="AJ7:AJ11" si="8">IF(INT(AJ$2)=INT($G7),($J7),(0))</f>
        <v>0</v>
      </c>
      <c r="AK7" s="502">
        <f>IF(INT(AK$2)=INT($G7),($J7),(0))*$T7^AK$2</f>
        <v>0</v>
      </c>
      <c r="AL7" s="77">
        <f t="shared" ref="AL7:AL11" si="9">IF(INT(AL$2)=INT($G7),($J7),(0))</f>
        <v>0</v>
      </c>
      <c r="AM7" s="502">
        <f>IF(INT(AM$2)=INT($G7),($J7),(0))*$T7^AM$2</f>
        <v>0</v>
      </c>
      <c r="AN7" s="77">
        <f t="shared" ref="AN7:AN11" si="10">IF(INT(AN$2)=INT($G7),($J7),(0))</f>
        <v>0</v>
      </c>
      <c r="AO7" s="502">
        <f>IF(INT(AO$2)=INT($G7),($J7),(0))*$T7^AO$2</f>
        <v>0</v>
      </c>
      <c r="AP7" s="77">
        <f t="shared" ref="AP7:AP11" si="11">IF(INT(AP$2)=INT($G7),($J7),(0))</f>
        <v>0</v>
      </c>
      <c r="AQ7" s="502">
        <f>IF(INT(AQ$2)=INT($G7),($J7),(0))*$T7^AQ$2</f>
        <v>0</v>
      </c>
      <c r="AR7" s="77">
        <f t="shared" ref="AR7:AR11" si="12">IF(INT(AR$2)=INT($G7),($J7),(0))</f>
        <v>0</v>
      </c>
      <c r="AS7" s="502">
        <f>IF(INT(AS$2)=INT($G7),($J7),(0))*$T7^AS$2</f>
        <v>0</v>
      </c>
      <c r="AT7" s="77">
        <f t="shared" ref="AT7:AT11" si="13">IF(INT(AT$2)=INT($G7),($J7),(0))</f>
        <v>0</v>
      </c>
      <c r="AU7" s="502">
        <f>IF(INT(AU$2)=INT($G7),($J7),(0))*$T7^AU$2</f>
        <v>0</v>
      </c>
      <c r="AV7" s="77">
        <f t="shared" ref="AV7:AV11" si="14">IF(INT(AV$2)=INT($G7),($J7),(0))</f>
        <v>0</v>
      </c>
      <c r="AW7" s="502">
        <f>IF(INT(AW$2)=INT($G7),($J7),(0))*$T7^AW$2</f>
        <v>0</v>
      </c>
      <c r="AX7" s="77">
        <f t="shared" ref="AX7:AX11" si="15">IF(INT(AX$2)=INT($G7),($J7),(0))</f>
        <v>0</v>
      </c>
      <c r="AY7" s="502">
        <f>IF(INT(AY$2)=INT($G7),($J7),(0))*$T7^AY$2</f>
        <v>0</v>
      </c>
      <c r="AZ7" s="77">
        <f t="shared" ref="AZ7:AZ11" si="16">IF(INT(AZ$2)=INT($G7),($J7),(0))</f>
        <v>0</v>
      </c>
      <c r="BA7" s="502">
        <f>IF(INT(BA$2)=INT($G7),($J7),(0))*$T7^BA$2</f>
        <v>0</v>
      </c>
      <c r="BB7" s="77">
        <f t="shared" ref="BB7:BB11" si="17">IF(INT(BB$2)=INT($G7),($J7),(0))</f>
        <v>0</v>
      </c>
      <c r="BC7" s="502">
        <f>IF(INT(BC$2)=INT($G7),($J7),(0))*$T7^BC$2</f>
        <v>0</v>
      </c>
      <c r="BD7" s="77">
        <f t="shared" ref="BD7:BD11" si="18">IF(INT(BD$2)=INT($G7),($J7),(0))</f>
        <v>0</v>
      </c>
      <c r="BE7" s="502">
        <f>IF(INT(BE$2)=INT($G7),($J7),(0))*$T7^BE$2</f>
        <v>0</v>
      </c>
      <c r="BF7" s="77">
        <f t="shared" ref="BF7:BF11" si="19">IF(INT(BF$2)=INT($G7),($J7),(0))</f>
        <v>0</v>
      </c>
      <c r="BG7" s="502">
        <f>IF(INT(BG$2)=INT($G7),($J7),(0))*$T7^BG$2</f>
        <v>0</v>
      </c>
      <c r="BH7" s="77">
        <f t="shared" ref="BH7:BH11" si="20">IF(INT(BH$2)=INT($G7),($J7),(0))</f>
        <v>0</v>
      </c>
      <c r="BI7" s="502">
        <f>IF(INT(BI$2)=INT($G7),($J7),(0))*$T7^BI$2</f>
        <v>0</v>
      </c>
      <c r="BJ7" s="77">
        <f t="shared" ref="BJ7:BJ11" si="21">IF(INT(BJ$2)=INT($G7),($J7),(0))</f>
        <v>0</v>
      </c>
      <c r="BK7" s="502">
        <f>IF(INT(BK$2)=INT($G7),($J7),(0))*$T7^BK$2</f>
        <v>0</v>
      </c>
      <c r="BL7" s="77">
        <f t="shared" ref="BL7:BL11" si="22">IF(INT(BL$2)=INT($G7),($J7),(0))</f>
        <v>0</v>
      </c>
      <c r="BM7" s="502">
        <f>IF(INT(BM$2)=INT($G7),($J7),(0))*$T7^BM$2</f>
        <v>0</v>
      </c>
      <c r="BN7" s="77">
        <f t="shared" ref="BN7:BN11" si="23">IF(INT(BN$2)=INT($G7),($J7),(0))</f>
        <v>0</v>
      </c>
      <c r="BO7" s="502">
        <f>IF(INT(BO$2)=INT($G7),($J7),(0))*$T7^BO$2</f>
        <v>0</v>
      </c>
      <c r="BP7" s="77">
        <f t="shared" ref="BP7:BP11" si="24">IF(INT(BP$2)=INT($G7),($J7),(0))</f>
        <v>0</v>
      </c>
      <c r="BQ7" s="502">
        <f>IF(INT(BQ$2)=INT($G7),($J7),(0))*$T7^BQ$2</f>
        <v>0</v>
      </c>
      <c r="BR7" s="77">
        <f t="shared" ref="BR7:BR11" si="25">IF(INT(BR$2)=INT($G7),($J7),(0))</f>
        <v>0</v>
      </c>
      <c r="BS7" s="502">
        <f>IF(INT(BS$2)=INT($G7),($J7),(0))*$T7^BS$2</f>
        <v>0</v>
      </c>
      <c r="BT7" s="77">
        <f t="shared" ref="BT7:BT11" si="26">IF(INT(BT$2)=INT($G7),($J7),(0))</f>
        <v>0</v>
      </c>
      <c r="BU7" s="502">
        <f>IF(INT(BU$2)=INT($G7),($J7),(0))*$T7^BU$2</f>
        <v>0</v>
      </c>
      <c r="BV7" s="77">
        <f t="shared" ref="BV7:BV11" si="27">IF(INT(BV$2)=INT($G7),($J7),(0))</f>
        <v>0</v>
      </c>
      <c r="BW7" s="502">
        <f>IF(INT(BW$2)=INT($G7),($J7),(0))*$T7^BW$2</f>
        <v>0</v>
      </c>
      <c r="BX7" s="77">
        <f t="shared" ref="BX7:BX11" si="28">IF(INT(BX$2)=INT($G7),($J7),(0))</f>
        <v>0</v>
      </c>
      <c r="BY7" s="502">
        <f>IF(INT(BY$2)=INT($G7),($J7),(0))*$T7^BY$2</f>
        <v>0</v>
      </c>
      <c r="BZ7" s="77">
        <f t="shared" ref="BZ7:BZ11" si="29">IF(INT(BZ$2)=INT($G7),($J7),(0))</f>
        <v>0</v>
      </c>
      <c r="CA7" s="502">
        <f>IF(INT(CA$2)=INT($G7),($J7),(0))*$T7^CA$2</f>
        <v>0</v>
      </c>
      <c r="CB7" s="77">
        <f t="shared" ref="CB7:CB11" si="30">IF(INT(CB$2)=INT($G7),($J7),(0))</f>
        <v>0</v>
      </c>
      <c r="CC7" s="502">
        <f>IF(INT(CC$2)=INT($G7),($J7),(0))*$T7^CC$2</f>
        <v>0</v>
      </c>
      <c r="CD7" s="77">
        <f t="shared" ref="CD7:CD11" si="31">IF(INT(CD$2)=INT($G7),($J7),(0))</f>
        <v>0</v>
      </c>
      <c r="CE7" s="502">
        <f>IF(INT(CE$2)=INT($G7),($J7),(0))*$T7^CE$2</f>
        <v>0</v>
      </c>
      <c r="CF7" s="77">
        <f t="shared" ref="CF7:CF11" si="32">IF(INT(CF$2)=INT($G7),($J7),(0))</f>
        <v>0</v>
      </c>
      <c r="CG7" s="502">
        <f>IF(INT(CG$2)=INT($G7),($J7),(0))*$T7^CG$2</f>
        <v>0</v>
      </c>
      <c r="CH7" s="77">
        <f t="shared" ref="CH7:CH11" si="33">IF(INT(CH$2)=INT($G7),($J7),(0))</f>
        <v>0</v>
      </c>
      <c r="CI7" s="502">
        <f>IF(INT(CI$2)=INT($G7),($J7),(0))*$T7^CI$2</f>
        <v>0</v>
      </c>
      <c r="CJ7" s="77">
        <f t="shared" ref="CJ7:CJ11" si="34">IF(INT(CJ$2)=INT($G7),($J7),(0))</f>
        <v>0</v>
      </c>
      <c r="CK7" s="502">
        <f>IF(INT(CK$2)=INT($G7),($J7),(0))*$T7^CK$2</f>
        <v>0</v>
      </c>
      <c r="CL7" s="77">
        <f t="shared" ref="CL7:CL11" si="35">IF(INT(CL$2)=INT($G7),($J7),(0))</f>
        <v>0</v>
      </c>
      <c r="CM7" s="502">
        <f>IF(INT(CM$2)=INT($G7),($J7),(0))*$T7^CM$2</f>
        <v>0</v>
      </c>
      <c r="CN7" s="77">
        <f t="shared" ref="CN7:CN11" si="36">IF(INT(CN$2)=INT($G7),($J7),(0))</f>
        <v>0</v>
      </c>
      <c r="CO7" s="502">
        <f>IF(INT(CO$2)=INT($G7),($J7),(0))*$T7^CO$2</f>
        <v>0</v>
      </c>
      <c r="CP7" s="77">
        <f t="shared" ref="CP7:CP11" si="37">IF(INT(CP$2)=INT($G7),($J7),(0))</f>
        <v>0</v>
      </c>
      <c r="CQ7" s="502">
        <f>IF(INT(CQ$2)=INT($G7),($J7),(0))*$T7^CQ$2</f>
        <v>0</v>
      </c>
      <c r="CR7" s="77">
        <f t="shared" ref="CR7:CR11" si="38">IF(INT(CR$2)=INT($G7),($J7),(0))</f>
        <v>0</v>
      </c>
      <c r="CS7" s="502">
        <f>IF(INT(CS$2)=INT($G7),($J7),(0))*$T7^CS$2</f>
        <v>0</v>
      </c>
      <c r="CT7" s="77">
        <f t="shared" ref="CT7:CT11" si="39">IF(INT(CT$2)=INT($G7),($J7),(0))</f>
        <v>0</v>
      </c>
      <c r="CU7" s="502">
        <f>IF(INT(CU$2)=INT($G7),($J7),(0))*$T7^CU$2</f>
        <v>0</v>
      </c>
      <c r="CV7" s="77">
        <f t="shared" ref="CV7:CV11" si="40">IF(INT(CV$2)=INT($G7),($J7),(0))</f>
        <v>0</v>
      </c>
      <c r="CW7" s="502">
        <f>IF(INT(CW$2)=INT($G7),($J7),(0))*$T7^CW$2</f>
        <v>0</v>
      </c>
      <c r="CX7" s="77">
        <f t="shared" ref="CX7:CX11" si="41">IF(INT(CX$2)=INT($G7),($J7),(0))</f>
        <v>0</v>
      </c>
      <c r="CY7" s="502">
        <f>IF(INT(CY$2)=INT($G7),($J7),(0))*$T7^CY$2</f>
        <v>0</v>
      </c>
      <c r="CZ7" s="77">
        <f t="shared" ref="CZ7:CZ11" si="42">IF(INT(CZ$2)=INT($G7),($J7),(0))</f>
        <v>0</v>
      </c>
      <c r="DA7" s="502">
        <f>IF(INT(DA$2)=INT($G7),($J7),(0))*$T7^DA$2</f>
        <v>0</v>
      </c>
      <c r="DB7" s="77">
        <f t="shared" ref="DB7:DB11" si="43">IF(INT(DB$2)=INT($G7),($J7),(0))</f>
        <v>0</v>
      </c>
      <c r="DC7" s="502">
        <f>IF(INT(DC$2)=INT($G7),($J7),(0))*$T7^DC$2</f>
        <v>0</v>
      </c>
      <c r="DD7" s="77">
        <f t="shared" ref="DD7:DD11" si="44">IF(INT(DD$2)=INT($G7),($J7),(0))</f>
        <v>0</v>
      </c>
      <c r="DE7" s="502">
        <f>IF(INT(DE$2)=INT($G7),($J7),(0))*$T7^DE$2</f>
        <v>0</v>
      </c>
      <c r="DF7" s="77">
        <f t="shared" ref="DF7:DF11" si="45">IF(INT(DF$2)=INT($G7),($J7),(0))</f>
        <v>0</v>
      </c>
      <c r="DG7" s="502">
        <f>IF(INT(DG$2)=INT($G7),($J7),(0))*$T7^DG$2</f>
        <v>0</v>
      </c>
      <c r="DH7" s="77">
        <f t="shared" ref="DH7:DH11" si="46">IF(INT(DH$2)=INT($G7),($J7),(0))</f>
        <v>0</v>
      </c>
      <c r="DI7" s="502">
        <f>IF(INT(DI$2)=INT($G7),($J7),(0))*$T7^DI$2</f>
        <v>0</v>
      </c>
      <c r="DJ7" s="77">
        <f t="shared" ref="DJ7:DJ11" si="47">IF(INT(DJ$2)=INT($G7),($J7),(0))</f>
        <v>0</v>
      </c>
      <c r="DK7" s="502">
        <f>IF(INT(DK$2)=INT($G7),($J7),(0))*$T7^DK$2</f>
        <v>0</v>
      </c>
      <c r="DL7" s="77">
        <f t="shared" ref="DL7:DL11" si="48">IF(INT(DL$2)=INT($G7),($J7),(0))</f>
        <v>0</v>
      </c>
      <c r="DM7" s="502">
        <f>IF(INT(DM$2)=INT($G7),($J7),(0))*$T7^DM$2</f>
        <v>0</v>
      </c>
      <c r="DN7" s="77">
        <f t="shared" ref="DN7:DN11" si="49">IF(INT(DN$2)=INT($G7),($J7),(0))</f>
        <v>0</v>
      </c>
      <c r="DO7" s="502">
        <f>IF(INT(DO$2)=INT($G7),($J7),(0))*$T7^DO$2</f>
        <v>0</v>
      </c>
      <c r="DP7" s="77">
        <f t="shared" ref="DP7:DP11" si="50">IF(INT(DP$2)=INT($G7),($J7),(0))</f>
        <v>0</v>
      </c>
      <c r="DQ7" s="502">
        <f>IF(INT(DQ$2)=INT($G7),($J7),(0))*$T7^DQ$2</f>
        <v>0</v>
      </c>
      <c r="DR7" s="77">
        <f t="shared" ref="DR7:DR11" si="51">IF(INT(DR$2)=INT($G7),($J7),(0))</f>
        <v>0</v>
      </c>
      <c r="DS7" s="502">
        <f>IF(INT(DS$2)=INT($G7),($J7),(0))*$T7^DS$2</f>
        <v>0</v>
      </c>
      <c r="DT7" s="77">
        <f t="shared" ref="DT7:DT11" si="52">IF(INT(DT$2)=INT($G7),($J7),(0))</f>
        <v>0</v>
      </c>
      <c r="DU7" s="502">
        <f>IF(INT(DU$2)=INT($G7),($J7),(0))*$T7^DU$2</f>
        <v>0</v>
      </c>
      <c r="DV7" s="77">
        <f t="shared" ref="DV7:DV11" si="53">IF(INT(DV$2)=INT($G7),($J7),(0))</f>
        <v>0</v>
      </c>
      <c r="DW7" s="502">
        <f>IF(INT(DW$2)=INT($G7),($J7),(0))*$T7^DW$2</f>
        <v>0</v>
      </c>
      <c r="DX7" s="77">
        <f t="shared" ref="DX7:DX11" si="54">IF(INT(DX$2)=INT($G7),($J7),(0))</f>
        <v>0</v>
      </c>
      <c r="DY7" s="502">
        <f>IF(INT(DY$2)=INT($G7),($J7),(0))*$T7^DY$2</f>
        <v>0</v>
      </c>
      <c r="DZ7" s="77">
        <f t="shared" ref="DZ7:DZ11" si="55">IF(INT(DZ$2)=INT($G7),($J7),(0))</f>
        <v>0</v>
      </c>
      <c r="EA7" s="502">
        <f>IF(INT(EA$2)=INT($G7),($J7),(0))*$T7^EA$2</f>
        <v>0</v>
      </c>
      <c r="EB7" s="77">
        <f t="shared" ref="EB7:EB11" si="56">IF(INT(EB$2)=INT($G7),($J7),(0))</f>
        <v>0</v>
      </c>
      <c r="EC7" s="502">
        <f>IF(INT(EC$2)=INT($G7),($J7),(0))*$T7^EC$2</f>
        <v>0</v>
      </c>
      <c r="ED7" s="77">
        <f t="shared" ref="ED7:ED11" si="57">IF(INT(ED$2)=INT($G7),($J7),(0))</f>
        <v>0</v>
      </c>
      <c r="EE7" s="502">
        <f>IF(INT(EE$2)=INT($G7),($J7),(0))*$T7^EE$2</f>
        <v>0</v>
      </c>
      <c r="EF7" s="77">
        <f t="shared" ref="EF7:EF11" si="58">IF(INT(EF$2)=INT($G7),($J7),(0))</f>
        <v>0</v>
      </c>
      <c r="EG7" s="502">
        <f>IF(INT(EG$2)=INT($G7),($J7),(0))*$T7^EG$2</f>
        <v>0</v>
      </c>
      <c r="EH7" s="77">
        <f t="shared" ref="EH7:EH11" si="59">IF(INT(EH$2)=INT($G7),($J7),(0))</f>
        <v>0</v>
      </c>
      <c r="EI7" s="502">
        <f>IF(INT(EI$2)=INT($G7),($J7),(0))*$T7^EI$2</f>
        <v>0</v>
      </c>
      <c r="EJ7" s="77">
        <f t="shared" ref="EJ7:EJ12" si="60">IF(INT(EJ$2)=INT($G7),($J7),(0))</f>
        <v>0</v>
      </c>
      <c r="EK7" s="502">
        <f>IF(INT(EK$2)=INT($G7),($J7),(0))*$T7^EK$2</f>
        <v>0</v>
      </c>
    </row>
    <row r="8" spans="1:141" s="38" customFormat="1" ht="15" customHeight="1">
      <c r="A8" s="133">
        <v>5.3</v>
      </c>
      <c r="B8" s="153" t="s">
        <v>93</v>
      </c>
      <c r="C8" s="155"/>
      <c r="D8" s="487"/>
      <c r="E8" s="488"/>
      <c r="F8" s="489"/>
      <c r="G8" s="487"/>
      <c r="H8" s="130"/>
      <c r="I8" s="500"/>
      <c r="J8" s="130"/>
      <c r="K8" s="130"/>
      <c r="L8" s="130"/>
      <c r="M8" s="503"/>
      <c r="N8" s="349"/>
      <c r="O8" s="503"/>
      <c r="P8" s="189"/>
      <c r="Q8" s="399"/>
      <c r="R8" s="454"/>
      <c r="S8" s="413"/>
      <c r="T8" s="413"/>
      <c r="U8" s="413"/>
      <c r="V8" s="77"/>
      <c r="W8" s="502"/>
      <c r="X8" s="77"/>
      <c r="Y8" s="502"/>
      <c r="Z8" s="77"/>
      <c r="AA8" s="502"/>
      <c r="AB8" s="77"/>
      <c r="AC8" s="502"/>
      <c r="AD8" s="77"/>
      <c r="AE8" s="502"/>
      <c r="AF8" s="77"/>
      <c r="AG8" s="502"/>
      <c r="AH8" s="77"/>
      <c r="AI8" s="502"/>
      <c r="AJ8" s="77"/>
      <c r="AK8" s="502"/>
      <c r="AL8" s="77"/>
      <c r="AM8" s="502"/>
      <c r="AN8" s="77"/>
      <c r="AO8" s="502"/>
      <c r="AP8" s="77"/>
      <c r="AQ8" s="502"/>
      <c r="AR8" s="77"/>
      <c r="AS8" s="502"/>
      <c r="AT8" s="77"/>
      <c r="AU8" s="502"/>
      <c r="AV8" s="77"/>
      <c r="AW8" s="502"/>
      <c r="AX8" s="77"/>
      <c r="AY8" s="502"/>
      <c r="AZ8" s="77"/>
      <c r="BA8" s="502"/>
      <c r="BB8" s="77"/>
      <c r="BC8" s="502"/>
      <c r="BD8" s="77"/>
      <c r="BE8" s="502"/>
      <c r="BF8" s="77"/>
      <c r="BG8" s="502"/>
      <c r="BH8" s="77"/>
      <c r="BI8" s="502"/>
      <c r="BJ8" s="77"/>
      <c r="BK8" s="502"/>
      <c r="BL8" s="77"/>
      <c r="BM8" s="502"/>
      <c r="BN8" s="77"/>
      <c r="BO8" s="502"/>
      <c r="BP8" s="77"/>
      <c r="BQ8" s="502"/>
      <c r="BR8" s="77"/>
      <c r="BS8" s="502"/>
      <c r="BT8" s="77"/>
      <c r="BU8" s="502"/>
      <c r="BV8" s="77"/>
      <c r="BW8" s="502"/>
      <c r="BX8" s="77"/>
      <c r="BY8" s="502"/>
      <c r="BZ8" s="77"/>
      <c r="CA8" s="502"/>
      <c r="CB8" s="77"/>
      <c r="CC8" s="502"/>
      <c r="CD8" s="77"/>
      <c r="CE8" s="502"/>
      <c r="CF8" s="77"/>
      <c r="CG8" s="502"/>
      <c r="CH8" s="77"/>
      <c r="CI8" s="502"/>
      <c r="CJ8" s="77"/>
      <c r="CK8" s="502"/>
      <c r="CL8" s="77"/>
      <c r="CM8" s="502"/>
      <c r="CN8" s="77"/>
      <c r="CO8" s="502"/>
      <c r="CP8" s="77"/>
      <c r="CQ8" s="502"/>
      <c r="CR8" s="77"/>
      <c r="CS8" s="502"/>
      <c r="CT8" s="77"/>
      <c r="CU8" s="502"/>
      <c r="CV8" s="77"/>
      <c r="CW8" s="502"/>
      <c r="CX8" s="77"/>
      <c r="CY8" s="502"/>
      <c r="CZ8" s="77"/>
      <c r="DA8" s="502"/>
      <c r="DB8" s="77"/>
      <c r="DC8" s="502"/>
      <c r="DD8" s="77"/>
      <c r="DE8" s="502"/>
      <c r="DF8" s="77"/>
      <c r="DG8" s="502"/>
      <c r="DH8" s="77"/>
      <c r="DI8" s="502"/>
      <c r="DJ8" s="77"/>
      <c r="DK8" s="502"/>
      <c r="DL8" s="77"/>
      <c r="DM8" s="502"/>
      <c r="DN8" s="77"/>
      <c r="DO8" s="502"/>
      <c r="DP8" s="77"/>
      <c r="DQ8" s="502"/>
      <c r="DR8" s="77"/>
      <c r="DS8" s="502"/>
      <c r="DT8" s="77"/>
      <c r="DU8" s="502"/>
      <c r="DV8" s="77"/>
      <c r="DW8" s="502"/>
      <c r="DX8" s="77"/>
      <c r="DY8" s="502"/>
      <c r="DZ8" s="77"/>
      <c r="EA8" s="502"/>
      <c r="EB8" s="77"/>
      <c r="EC8" s="502"/>
      <c r="ED8" s="77"/>
      <c r="EE8" s="502"/>
      <c r="EF8" s="77"/>
      <c r="EG8" s="502"/>
      <c r="EH8" s="77"/>
      <c r="EI8" s="502"/>
      <c r="EJ8" s="77"/>
      <c r="EK8" s="502"/>
    </row>
    <row r="9" spans="1:141" s="40" customFormat="1" ht="23.25" customHeight="1">
      <c r="A9" s="195">
        <v>5.3</v>
      </c>
      <c r="B9" s="205"/>
      <c r="C9" s="565" t="s">
        <v>322</v>
      </c>
      <c r="D9" s="186"/>
      <c r="E9" s="135"/>
      <c r="F9" s="486"/>
      <c r="G9" s="186"/>
      <c r="H9" s="130"/>
      <c r="I9" s="500"/>
      <c r="J9" s="130"/>
      <c r="K9" s="130"/>
      <c r="L9" s="130"/>
      <c r="M9" s="503"/>
      <c r="N9" s="349"/>
      <c r="O9" s="503"/>
      <c r="P9" s="189"/>
      <c r="Q9" s="399">
        <f t="shared" si="0"/>
        <v>0</v>
      </c>
      <c r="R9" s="52"/>
      <c r="S9" s="402">
        <f>((1+M9)/(1+O9))</f>
        <v>1</v>
      </c>
      <c r="T9" s="402">
        <f>1+M9</f>
        <v>1</v>
      </c>
      <c r="U9" s="402">
        <f>(1+O9)</f>
        <v>1</v>
      </c>
      <c r="V9" s="77">
        <f t="shared" si="1"/>
        <v>0</v>
      </c>
      <c r="W9" s="502">
        <f>IF(INT(W$2)=INT($G9),($J9),(0))*$T9^W$2</f>
        <v>0</v>
      </c>
      <c r="X9" s="77">
        <f t="shared" si="2"/>
        <v>0</v>
      </c>
      <c r="Y9" s="502">
        <f>IF(INT(Y$2)=INT($G9),($J9),(0))*$T9^Y$2</f>
        <v>0</v>
      </c>
      <c r="Z9" s="77">
        <f t="shared" si="3"/>
        <v>0</v>
      </c>
      <c r="AA9" s="502">
        <f>IF(INT(AA$2)=INT($G9),($J9),(0))*$T9^AA$2</f>
        <v>0</v>
      </c>
      <c r="AB9" s="77">
        <f t="shared" si="4"/>
        <v>0</v>
      </c>
      <c r="AC9" s="502">
        <f>IF(INT(AC$2)=INT($G9),($J9),(0))*$T9^AC$2</f>
        <v>0</v>
      </c>
      <c r="AD9" s="77">
        <f t="shared" si="5"/>
        <v>0</v>
      </c>
      <c r="AE9" s="502">
        <f>IF(INT(AE$2)=INT($G9),($J9),(0))*$T9^AE$2</f>
        <v>0</v>
      </c>
      <c r="AF9" s="77">
        <f t="shared" si="6"/>
        <v>0</v>
      </c>
      <c r="AG9" s="502">
        <f>IF(INT(AG$2)=INT($G9),($J9),(0))*$T9^AG$2</f>
        <v>0</v>
      </c>
      <c r="AH9" s="77">
        <f t="shared" si="7"/>
        <v>0</v>
      </c>
      <c r="AI9" s="502">
        <f>IF(INT(AI$2)=INT($G9),($J9),(0))*$T9^AI$2</f>
        <v>0</v>
      </c>
      <c r="AJ9" s="77">
        <f t="shared" si="8"/>
        <v>0</v>
      </c>
      <c r="AK9" s="502">
        <f>IF(INT(AK$2)=INT($G9),($J9),(0))*$T9^AK$2</f>
        <v>0</v>
      </c>
      <c r="AL9" s="77">
        <f t="shared" si="9"/>
        <v>0</v>
      </c>
      <c r="AM9" s="502">
        <f>IF(INT(AM$2)=INT($G9),($J9),(0))*$T9^AM$2</f>
        <v>0</v>
      </c>
      <c r="AN9" s="77">
        <f t="shared" si="10"/>
        <v>0</v>
      </c>
      <c r="AO9" s="502">
        <f>IF(INT(AO$2)=INT($G9),($J9),(0))*$T9^AO$2</f>
        <v>0</v>
      </c>
      <c r="AP9" s="77">
        <f t="shared" si="11"/>
        <v>0</v>
      </c>
      <c r="AQ9" s="502">
        <f>IF(INT(AQ$2)=INT($G9),($J9),(0))*$T9^AQ$2</f>
        <v>0</v>
      </c>
      <c r="AR9" s="77">
        <f t="shared" si="12"/>
        <v>0</v>
      </c>
      <c r="AS9" s="502">
        <f>IF(INT(AS$2)=INT($G9),($J9),(0))*$T9^AS$2</f>
        <v>0</v>
      </c>
      <c r="AT9" s="77">
        <f t="shared" si="13"/>
        <v>0</v>
      </c>
      <c r="AU9" s="502">
        <f>IF(INT(AU$2)=INT($G9),($J9),(0))*$T9^AU$2</f>
        <v>0</v>
      </c>
      <c r="AV9" s="77">
        <f t="shared" si="14"/>
        <v>0</v>
      </c>
      <c r="AW9" s="502">
        <f>IF(INT(AW$2)=INT($G9),($J9),(0))*$T9^AW$2</f>
        <v>0</v>
      </c>
      <c r="AX9" s="77">
        <f t="shared" si="15"/>
        <v>0</v>
      </c>
      <c r="AY9" s="502">
        <f>IF(INT(AY$2)=INT($G9),($J9),(0))*$T9^AY$2</f>
        <v>0</v>
      </c>
      <c r="AZ9" s="77">
        <f t="shared" si="16"/>
        <v>0</v>
      </c>
      <c r="BA9" s="502">
        <f>IF(INT(BA$2)=INT($G9),($J9),(0))*$T9^BA$2</f>
        <v>0</v>
      </c>
      <c r="BB9" s="77">
        <f t="shared" si="17"/>
        <v>0</v>
      </c>
      <c r="BC9" s="502">
        <f>IF(INT(BC$2)=INT($G9),($J9),(0))*$T9^BC$2</f>
        <v>0</v>
      </c>
      <c r="BD9" s="77">
        <f t="shared" si="18"/>
        <v>0</v>
      </c>
      <c r="BE9" s="502">
        <f>IF(INT(BE$2)=INT($G9),($J9),(0))*$T9^BE$2</f>
        <v>0</v>
      </c>
      <c r="BF9" s="77">
        <f t="shared" si="19"/>
        <v>0</v>
      </c>
      <c r="BG9" s="502">
        <f>IF(INT(BG$2)=INT($G9),($J9),(0))*$T9^BG$2</f>
        <v>0</v>
      </c>
      <c r="BH9" s="77">
        <f t="shared" si="20"/>
        <v>0</v>
      </c>
      <c r="BI9" s="502">
        <f>IF(INT(BI$2)=INT($G9),($J9),(0))*$T9^BI$2</f>
        <v>0</v>
      </c>
      <c r="BJ9" s="77">
        <f t="shared" si="21"/>
        <v>0</v>
      </c>
      <c r="BK9" s="502">
        <f>IF(INT(BK$2)=INT($G9),($J9),(0))*$T9^BK$2</f>
        <v>0</v>
      </c>
      <c r="BL9" s="77">
        <f t="shared" si="22"/>
        <v>0</v>
      </c>
      <c r="BM9" s="502">
        <f>IF(INT(BM$2)=INT($G9),($J9),(0))*$T9^BM$2</f>
        <v>0</v>
      </c>
      <c r="BN9" s="77">
        <f t="shared" si="23"/>
        <v>0</v>
      </c>
      <c r="BO9" s="502">
        <f>IF(INT(BO$2)=INT($G9),($J9),(0))*$T9^BO$2</f>
        <v>0</v>
      </c>
      <c r="BP9" s="77">
        <f t="shared" si="24"/>
        <v>0</v>
      </c>
      <c r="BQ9" s="502">
        <f>IF(INT(BQ$2)=INT($G9),($J9),(0))*$T9^BQ$2</f>
        <v>0</v>
      </c>
      <c r="BR9" s="77">
        <f t="shared" si="25"/>
        <v>0</v>
      </c>
      <c r="BS9" s="502">
        <f>IF(INT(BS$2)=INT($G9),($J9),(0))*$T9^BS$2</f>
        <v>0</v>
      </c>
      <c r="BT9" s="77">
        <f t="shared" si="26"/>
        <v>0</v>
      </c>
      <c r="BU9" s="502">
        <f>IF(INT(BU$2)=INT($G9),($J9),(0))*$T9^BU$2</f>
        <v>0</v>
      </c>
      <c r="BV9" s="77">
        <f t="shared" si="27"/>
        <v>0</v>
      </c>
      <c r="BW9" s="502">
        <f>IF(INT(BW$2)=INT($G9),($J9),(0))*$T9^BW$2</f>
        <v>0</v>
      </c>
      <c r="BX9" s="77">
        <f t="shared" si="28"/>
        <v>0</v>
      </c>
      <c r="BY9" s="502">
        <f>IF(INT(BY$2)=INT($G9),($J9),(0))*$T9^BY$2</f>
        <v>0</v>
      </c>
      <c r="BZ9" s="77">
        <f t="shared" si="29"/>
        <v>0</v>
      </c>
      <c r="CA9" s="502">
        <f>IF(INT(CA$2)=INT($G9),($J9),(0))*$T9^CA$2</f>
        <v>0</v>
      </c>
      <c r="CB9" s="77">
        <f t="shared" si="30"/>
        <v>0</v>
      </c>
      <c r="CC9" s="502">
        <f>IF(INT(CC$2)=INT($G9),($J9),(0))*$T9^CC$2</f>
        <v>0</v>
      </c>
      <c r="CD9" s="77">
        <f t="shared" si="31"/>
        <v>0</v>
      </c>
      <c r="CE9" s="502">
        <f>IF(INT(CE$2)=INT($G9),($J9),(0))*$T9^CE$2</f>
        <v>0</v>
      </c>
      <c r="CF9" s="77">
        <f t="shared" si="32"/>
        <v>0</v>
      </c>
      <c r="CG9" s="502">
        <f>IF(INT(CG$2)=INT($G9),($J9),(0))*$T9^CG$2</f>
        <v>0</v>
      </c>
      <c r="CH9" s="77">
        <f t="shared" si="33"/>
        <v>0</v>
      </c>
      <c r="CI9" s="502">
        <f>IF(INT(CI$2)=INT($G9),($J9),(0))*$T9^CI$2</f>
        <v>0</v>
      </c>
      <c r="CJ9" s="77">
        <f t="shared" si="34"/>
        <v>0</v>
      </c>
      <c r="CK9" s="502">
        <f>IF(INT(CK$2)=INT($G9),($J9),(0))*$T9^CK$2</f>
        <v>0</v>
      </c>
      <c r="CL9" s="77">
        <f t="shared" si="35"/>
        <v>0</v>
      </c>
      <c r="CM9" s="502">
        <f>IF(INT(CM$2)=INT($G9),($J9),(0))*$T9^CM$2</f>
        <v>0</v>
      </c>
      <c r="CN9" s="77">
        <f t="shared" si="36"/>
        <v>0</v>
      </c>
      <c r="CO9" s="502">
        <f>IF(INT(CO$2)=INT($G9),($J9),(0))*$T9^CO$2</f>
        <v>0</v>
      </c>
      <c r="CP9" s="77">
        <f t="shared" si="37"/>
        <v>0</v>
      </c>
      <c r="CQ9" s="502">
        <f>IF(INT(CQ$2)=INT($G9),($J9),(0))*$T9^CQ$2</f>
        <v>0</v>
      </c>
      <c r="CR9" s="77">
        <f t="shared" si="38"/>
        <v>0</v>
      </c>
      <c r="CS9" s="502">
        <f>IF(INT(CS$2)=INT($G9),($J9),(0))*$T9^CS$2</f>
        <v>0</v>
      </c>
      <c r="CT9" s="77">
        <f t="shared" si="39"/>
        <v>0</v>
      </c>
      <c r="CU9" s="502">
        <f>IF(INT(CU$2)=INT($G9),($J9),(0))*$T9^CU$2</f>
        <v>0</v>
      </c>
      <c r="CV9" s="77">
        <f t="shared" si="40"/>
        <v>0</v>
      </c>
      <c r="CW9" s="502">
        <f>IF(INT(CW$2)=INT($G9),($J9),(0))*$T9^CW$2</f>
        <v>0</v>
      </c>
      <c r="CX9" s="77">
        <f t="shared" si="41"/>
        <v>0</v>
      </c>
      <c r="CY9" s="502">
        <f>IF(INT(CY$2)=INT($G9),($J9),(0))*$T9^CY$2</f>
        <v>0</v>
      </c>
      <c r="CZ9" s="77">
        <f t="shared" si="42"/>
        <v>0</v>
      </c>
      <c r="DA9" s="502">
        <f>IF(INT(DA$2)=INT($G9),($J9),(0))*$T9^DA$2</f>
        <v>0</v>
      </c>
      <c r="DB9" s="77">
        <f t="shared" si="43"/>
        <v>0</v>
      </c>
      <c r="DC9" s="502">
        <f>IF(INT(DC$2)=INT($G9),($J9),(0))*$T9^DC$2</f>
        <v>0</v>
      </c>
      <c r="DD9" s="77">
        <f t="shared" si="44"/>
        <v>0</v>
      </c>
      <c r="DE9" s="502">
        <f>IF(INT(DE$2)=INT($G9),($J9),(0))*$T9^DE$2</f>
        <v>0</v>
      </c>
      <c r="DF9" s="77">
        <f t="shared" si="45"/>
        <v>0</v>
      </c>
      <c r="DG9" s="502">
        <f>IF(INT(DG$2)=INT($G9),($J9),(0))*$T9^DG$2</f>
        <v>0</v>
      </c>
      <c r="DH9" s="77">
        <f t="shared" si="46"/>
        <v>0</v>
      </c>
      <c r="DI9" s="502">
        <f>IF(INT(DI$2)=INT($G9),($J9),(0))*$T9^DI$2</f>
        <v>0</v>
      </c>
      <c r="DJ9" s="77">
        <f t="shared" si="47"/>
        <v>0</v>
      </c>
      <c r="DK9" s="502">
        <f>IF(INT(DK$2)=INT($G9),($J9),(0))*$T9^DK$2</f>
        <v>0</v>
      </c>
      <c r="DL9" s="77">
        <f t="shared" si="48"/>
        <v>0</v>
      </c>
      <c r="DM9" s="502">
        <f>IF(INT(DM$2)=INT($G9),($J9),(0))*$T9^DM$2</f>
        <v>0</v>
      </c>
      <c r="DN9" s="77">
        <f t="shared" si="49"/>
        <v>0</v>
      </c>
      <c r="DO9" s="502">
        <f>IF(INT(DO$2)=INT($G9),($J9),(0))*$T9^DO$2</f>
        <v>0</v>
      </c>
      <c r="DP9" s="77">
        <f t="shared" si="50"/>
        <v>0</v>
      </c>
      <c r="DQ9" s="502">
        <f>IF(INT(DQ$2)=INT($G9),($J9),(0))*$T9^DQ$2</f>
        <v>0</v>
      </c>
      <c r="DR9" s="77">
        <f t="shared" si="51"/>
        <v>0</v>
      </c>
      <c r="DS9" s="502">
        <f>IF(INT(DS$2)=INT($G9),($J9),(0))*$T9^DS$2</f>
        <v>0</v>
      </c>
      <c r="DT9" s="77">
        <f t="shared" si="52"/>
        <v>0</v>
      </c>
      <c r="DU9" s="502">
        <f>IF(INT(DU$2)=INT($G9),($J9),(0))*$T9^DU$2</f>
        <v>0</v>
      </c>
      <c r="DV9" s="77">
        <f t="shared" si="53"/>
        <v>0</v>
      </c>
      <c r="DW9" s="502">
        <f>IF(INT(DW$2)=INT($G9),($J9),(0))*$T9^DW$2</f>
        <v>0</v>
      </c>
      <c r="DX9" s="77">
        <f t="shared" si="54"/>
        <v>0</v>
      </c>
      <c r="DY9" s="502">
        <f>IF(INT(DY$2)=INT($G9),($J9),(0))*$T9^DY$2</f>
        <v>0</v>
      </c>
      <c r="DZ9" s="77">
        <f t="shared" si="55"/>
        <v>0</v>
      </c>
      <c r="EA9" s="502">
        <f>IF(INT(EA$2)=INT($G9),($J9),(0))*$T9^EA$2</f>
        <v>0</v>
      </c>
      <c r="EB9" s="77">
        <f t="shared" si="56"/>
        <v>0</v>
      </c>
      <c r="EC9" s="502">
        <f>IF(INT(EC$2)=INT($G9),($J9),(0))*$T9^EC$2</f>
        <v>0</v>
      </c>
      <c r="ED9" s="77">
        <f t="shared" si="57"/>
        <v>0</v>
      </c>
      <c r="EE9" s="502">
        <f>IF(INT(EE$2)=INT($G9),($J9),(0))*$T9^EE$2</f>
        <v>0</v>
      </c>
      <c r="EF9" s="77">
        <f t="shared" si="58"/>
        <v>0</v>
      </c>
      <c r="EG9" s="502">
        <f>IF(INT(EG$2)=INT($G9),($J9),(0))*$T9^EG$2</f>
        <v>0</v>
      </c>
      <c r="EH9" s="77">
        <f t="shared" si="59"/>
        <v>0</v>
      </c>
      <c r="EI9" s="502">
        <f>IF(INT(EI$2)=INT($G9),($J9),(0))*$T9^EI$2</f>
        <v>0</v>
      </c>
      <c r="EJ9" s="77">
        <f t="shared" si="60"/>
        <v>0</v>
      </c>
      <c r="EK9" s="502">
        <f>IF(INT(EK$2)=INT($G9),($J9),(0))*$T9^EK$2</f>
        <v>0</v>
      </c>
    </row>
    <row r="10" spans="1:141" s="38" customFormat="1" ht="15" customHeight="1">
      <c r="A10" s="133">
        <v>5.4</v>
      </c>
      <c r="B10" s="153" t="s">
        <v>122</v>
      </c>
      <c r="C10" s="155"/>
      <c r="D10" s="487"/>
      <c r="E10" s="488"/>
      <c r="F10" s="489"/>
      <c r="G10" s="487"/>
      <c r="H10" s="130"/>
      <c r="I10" s="500"/>
      <c r="J10" s="130"/>
      <c r="K10" s="130"/>
      <c r="L10" s="130"/>
      <c r="M10" s="503"/>
      <c r="N10" s="349"/>
      <c r="O10" s="503"/>
      <c r="P10" s="189"/>
      <c r="Q10" s="399"/>
      <c r="R10" s="454"/>
      <c r="S10" s="413"/>
      <c r="T10" s="413"/>
      <c r="U10" s="413"/>
      <c r="V10" s="77"/>
      <c r="W10" s="502"/>
      <c r="X10" s="77"/>
      <c r="Y10" s="502"/>
      <c r="Z10" s="77"/>
      <c r="AA10" s="502"/>
      <c r="AB10" s="77"/>
      <c r="AC10" s="502"/>
      <c r="AD10" s="77"/>
      <c r="AE10" s="502"/>
      <c r="AF10" s="77"/>
      <c r="AG10" s="502"/>
      <c r="AH10" s="77"/>
      <c r="AI10" s="502"/>
      <c r="AJ10" s="77"/>
      <c r="AK10" s="502"/>
      <c r="AL10" s="77"/>
      <c r="AM10" s="502"/>
      <c r="AN10" s="77"/>
      <c r="AO10" s="502"/>
      <c r="AP10" s="77"/>
      <c r="AQ10" s="502"/>
      <c r="AR10" s="77"/>
      <c r="AS10" s="502"/>
      <c r="AT10" s="77"/>
      <c r="AU10" s="502"/>
      <c r="AV10" s="77"/>
      <c r="AW10" s="502"/>
      <c r="AX10" s="77"/>
      <c r="AY10" s="502"/>
      <c r="AZ10" s="77"/>
      <c r="BA10" s="502"/>
      <c r="BB10" s="77"/>
      <c r="BC10" s="502"/>
      <c r="BD10" s="77"/>
      <c r="BE10" s="502"/>
      <c r="BF10" s="77"/>
      <c r="BG10" s="502"/>
      <c r="BH10" s="77"/>
      <c r="BI10" s="502"/>
      <c r="BJ10" s="77"/>
      <c r="BK10" s="502"/>
      <c r="BL10" s="77"/>
      <c r="BM10" s="502"/>
      <c r="BN10" s="77"/>
      <c r="BO10" s="502"/>
      <c r="BP10" s="77"/>
      <c r="BQ10" s="502"/>
      <c r="BR10" s="77"/>
      <c r="BS10" s="502"/>
      <c r="BT10" s="77"/>
      <c r="BU10" s="502"/>
      <c r="BV10" s="77"/>
      <c r="BW10" s="502"/>
      <c r="BX10" s="77"/>
      <c r="BY10" s="502"/>
      <c r="BZ10" s="77"/>
      <c r="CA10" s="502"/>
      <c r="CB10" s="77"/>
      <c r="CC10" s="502"/>
      <c r="CD10" s="77"/>
      <c r="CE10" s="502"/>
      <c r="CF10" s="77"/>
      <c r="CG10" s="502"/>
      <c r="CH10" s="77"/>
      <c r="CI10" s="502"/>
      <c r="CJ10" s="77"/>
      <c r="CK10" s="502"/>
      <c r="CL10" s="77"/>
      <c r="CM10" s="502"/>
      <c r="CN10" s="77"/>
      <c r="CO10" s="502"/>
      <c r="CP10" s="77"/>
      <c r="CQ10" s="502"/>
      <c r="CR10" s="77"/>
      <c r="CS10" s="502"/>
      <c r="CT10" s="77"/>
      <c r="CU10" s="502"/>
      <c r="CV10" s="77"/>
      <c r="CW10" s="502"/>
      <c r="CX10" s="77"/>
      <c r="CY10" s="502"/>
      <c r="CZ10" s="77"/>
      <c r="DA10" s="502"/>
      <c r="DB10" s="77"/>
      <c r="DC10" s="502"/>
      <c r="DD10" s="77"/>
      <c r="DE10" s="502"/>
      <c r="DF10" s="77"/>
      <c r="DG10" s="502"/>
      <c r="DH10" s="77"/>
      <c r="DI10" s="502"/>
      <c r="DJ10" s="77"/>
      <c r="DK10" s="502"/>
      <c r="DL10" s="77"/>
      <c r="DM10" s="502"/>
      <c r="DN10" s="77"/>
      <c r="DO10" s="502"/>
      <c r="DP10" s="77"/>
      <c r="DQ10" s="502"/>
      <c r="DR10" s="77"/>
      <c r="DS10" s="502"/>
      <c r="DT10" s="77"/>
      <c r="DU10" s="502"/>
      <c r="DV10" s="77"/>
      <c r="DW10" s="502"/>
      <c r="DX10" s="77"/>
      <c r="DY10" s="502"/>
      <c r="DZ10" s="77"/>
      <c r="EA10" s="502"/>
      <c r="EB10" s="77"/>
      <c r="EC10" s="502"/>
      <c r="ED10" s="77"/>
      <c r="EE10" s="502"/>
      <c r="EF10" s="77"/>
      <c r="EG10" s="502"/>
      <c r="EH10" s="77"/>
      <c r="EI10" s="502"/>
      <c r="EJ10" s="77"/>
      <c r="EK10" s="502"/>
    </row>
    <row r="11" spans="1:141" s="40" customFormat="1" ht="23.25" customHeight="1">
      <c r="A11" s="195">
        <v>5.4</v>
      </c>
      <c r="B11" s="190"/>
      <c r="C11" s="565" t="s">
        <v>322</v>
      </c>
      <c r="D11" s="186"/>
      <c r="E11" s="135"/>
      <c r="F11" s="486"/>
      <c r="G11" s="186"/>
      <c r="H11" s="130"/>
      <c r="I11" s="500"/>
      <c r="J11" s="130"/>
      <c r="K11" s="130"/>
      <c r="L11" s="130"/>
      <c r="M11" s="503"/>
      <c r="N11" s="349"/>
      <c r="O11" s="503"/>
      <c r="P11" s="189"/>
      <c r="Q11" s="399">
        <f t="shared" si="0"/>
        <v>0</v>
      </c>
      <c r="R11" s="52"/>
      <c r="S11" s="402">
        <f>((1+M11)/(1+O11))</f>
        <v>1</v>
      </c>
      <c r="T11" s="402">
        <f>1+M11</f>
        <v>1</v>
      </c>
      <c r="U11" s="402">
        <f>(1+O11)</f>
        <v>1</v>
      </c>
      <c r="V11" s="77">
        <f t="shared" si="1"/>
        <v>0</v>
      </c>
      <c r="W11" s="502">
        <f>IF(INT(W$2)=INT($G11),($J11),(0))*$T11^W$2</f>
        <v>0</v>
      </c>
      <c r="X11" s="77">
        <f t="shared" si="2"/>
        <v>0</v>
      </c>
      <c r="Y11" s="502">
        <f>IF(INT(Y$2)=INT($G11),($J11),(0))*$T11^Y$2</f>
        <v>0</v>
      </c>
      <c r="Z11" s="77">
        <f t="shared" si="3"/>
        <v>0</v>
      </c>
      <c r="AA11" s="502">
        <f>IF(INT(AA$2)=INT($G11),($J11),(0))*$T11^AA$2</f>
        <v>0</v>
      </c>
      <c r="AB11" s="77">
        <f t="shared" si="4"/>
        <v>0</v>
      </c>
      <c r="AC11" s="502">
        <f>IF(INT(AC$2)=INT($G11),($J11),(0))*$T11^AC$2</f>
        <v>0</v>
      </c>
      <c r="AD11" s="77">
        <f t="shared" si="5"/>
        <v>0</v>
      </c>
      <c r="AE11" s="502">
        <f>IF(INT(AE$2)=INT($G11),($J11),(0))*$T11^AE$2</f>
        <v>0</v>
      </c>
      <c r="AF11" s="77">
        <f t="shared" si="6"/>
        <v>0</v>
      </c>
      <c r="AG11" s="502">
        <f>IF(INT(AG$2)=INT($G11),($J11),(0))*$T11^AG$2</f>
        <v>0</v>
      </c>
      <c r="AH11" s="77">
        <f t="shared" si="7"/>
        <v>0</v>
      </c>
      <c r="AI11" s="502">
        <f>IF(INT(AI$2)=INT($G11),($J11),(0))*$T11^AI$2</f>
        <v>0</v>
      </c>
      <c r="AJ11" s="77">
        <f t="shared" si="8"/>
        <v>0</v>
      </c>
      <c r="AK11" s="502">
        <f>IF(INT(AK$2)=INT($G11),($J11),(0))*$T11^AK$2</f>
        <v>0</v>
      </c>
      <c r="AL11" s="77">
        <f t="shared" si="9"/>
        <v>0</v>
      </c>
      <c r="AM11" s="502">
        <f>IF(INT(AM$2)=INT($G11),($J11),(0))*$T11^AM$2</f>
        <v>0</v>
      </c>
      <c r="AN11" s="77">
        <f t="shared" si="10"/>
        <v>0</v>
      </c>
      <c r="AO11" s="502">
        <f>IF(INT(AO$2)=INT($G11),($J11),(0))*$T11^AO$2</f>
        <v>0</v>
      </c>
      <c r="AP11" s="77">
        <f t="shared" si="11"/>
        <v>0</v>
      </c>
      <c r="AQ11" s="502">
        <f>IF(INT(AQ$2)=INT($G11),($J11),(0))*$T11^AQ$2</f>
        <v>0</v>
      </c>
      <c r="AR11" s="77">
        <f t="shared" si="12"/>
        <v>0</v>
      </c>
      <c r="AS11" s="502">
        <f>IF(INT(AS$2)=INT($G11),($J11),(0))*$T11^AS$2</f>
        <v>0</v>
      </c>
      <c r="AT11" s="77">
        <f t="shared" si="13"/>
        <v>0</v>
      </c>
      <c r="AU11" s="502">
        <f>IF(INT(AU$2)=INT($G11),($J11),(0))*$T11^AU$2</f>
        <v>0</v>
      </c>
      <c r="AV11" s="77">
        <f t="shared" si="14"/>
        <v>0</v>
      </c>
      <c r="AW11" s="502">
        <f>IF(INT(AW$2)=INT($G11),($J11),(0))*$T11^AW$2</f>
        <v>0</v>
      </c>
      <c r="AX11" s="77">
        <f t="shared" si="15"/>
        <v>0</v>
      </c>
      <c r="AY11" s="502">
        <f>IF(INT(AY$2)=INT($G11),($J11),(0))*$T11^AY$2</f>
        <v>0</v>
      </c>
      <c r="AZ11" s="77">
        <f t="shared" si="16"/>
        <v>0</v>
      </c>
      <c r="BA11" s="502">
        <f>IF(INT(BA$2)=INT($G11),($J11),(0))*$T11^BA$2</f>
        <v>0</v>
      </c>
      <c r="BB11" s="77">
        <f t="shared" si="17"/>
        <v>0</v>
      </c>
      <c r="BC11" s="502">
        <f>IF(INT(BC$2)=INT($G11),($J11),(0))*$T11^BC$2</f>
        <v>0</v>
      </c>
      <c r="BD11" s="77">
        <f t="shared" si="18"/>
        <v>0</v>
      </c>
      <c r="BE11" s="502">
        <f>IF(INT(BE$2)=INT($G11),($J11),(0))*$T11^BE$2</f>
        <v>0</v>
      </c>
      <c r="BF11" s="77">
        <f t="shared" si="19"/>
        <v>0</v>
      </c>
      <c r="BG11" s="502">
        <f>IF(INT(BG$2)=INT($G11),($J11),(0))*$T11^BG$2</f>
        <v>0</v>
      </c>
      <c r="BH11" s="77">
        <f t="shared" si="20"/>
        <v>0</v>
      </c>
      <c r="BI11" s="502">
        <f>IF(INT(BI$2)=INT($G11),($J11),(0))*$T11^BI$2</f>
        <v>0</v>
      </c>
      <c r="BJ11" s="77">
        <f t="shared" si="21"/>
        <v>0</v>
      </c>
      <c r="BK11" s="502">
        <f>IF(INT(BK$2)=INT($G11),($J11),(0))*$T11^BK$2</f>
        <v>0</v>
      </c>
      <c r="BL11" s="77">
        <f t="shared" si="22"/>
        <v>0</v>
      </c>
      <c r="BM11" s="502">
        <f>IF(INT(BM$2)=INT($G11),($J11),(0))*$T11^BM$2</f>
        <v>0</v>
      </c>
      <c r="BN11" s="77">
        <f t="shared" si="23"/>
        <v>0</v>
      </c>
      <c r="BO11" s="502">
        <f>IF(INT(BO$2)=INT($G11),($J11),(0))*$T11^BO$2</f>
        <v>0</v>
      </c>
      <c r="BP11" s="77">
        <f t="shared" si="24"/>
        <v>0</v>
      </c>
      <c r="BQ11" s="502">
        <f>IF(INT(BQ$2)=INT($G11),($J11),(0))*$T11^BQ$2</f>
        <v>0</v>
      </c>
      <c r="BR11" s="77">
        <f t="shared" si="25"/>
        <v>0</v>
      </c>
      <c r="BS11" s="502">
        <f>IF(INT(BS$2)=INT($G11),($J11),(0))*$T11^BS$2</f>
        <v>0</v>
      </c>
      <c r="BT11" s="77">
        <f t="shared" si="26"/>
        <v>0</v>
      </c>
      <c r="BU11" s="502">
        <f>IF(INT(BU$2)=INT($G11),($J11),(0))*$T11^BU$2</f>
        <v>0</v>
      </c>
      <c r="BV11" s="77">
        <f t="shared" si="27"/>
        <v>0</v>
      </c>
      <c r="BW11" s="502">
        <f>IF(INT(BW$2)=INT($G11),($J11),(0))*$T11^BW$2</f>
        <v>0</v>
      </c>
      <c r="BX11" s="77">
        <f t="shared" si="28"/>
        <v>0</v>
      </c>
      <c r="BY11" s="502">
        <f>IF(INT(BY$2)=INT($G11),($J11),(0))*$T11^BY$2</f>
        <v>0</v>
      </c>
      <c r="BZ11" s="77">
        <f t="shared" si="29"/>
        <v>0</v>
      </c>
      <c r="CA11" s="502">
        <f>IF(INT(CA$2)=INT($G11),($J11),(0))*$T11^CA$2</f>
        <v>0</v>
      </c>
      <c r="CB11" s="77">
        <f t="shared" si="30"/>
        <v>0</v>
      </c>
      <c r="CC11" s="502">
        <f>IF(INT(CC$2)=INT($G11),($J11),(0))*$T11^CC$2</f>
        <v>0</v>
      </c>
      <c r="CD11" s="77">
        <f t="shared" si="31"/>
        <v>0</v>
      </c>
      <c r="CE11" s="502">
        <f>IF(INT(CE$2)=INT($G11),($J11),(0))*$T11^CE$2</f>
        <v>0</v>
      </c>
      <c r="CF11" s="77">
        <f t="shared" si="32"/>
        <v>0</v>
      </c>
      <c r="CG11" s="502">
        <f>IF(INT(CG$2)=INT($G11),($J11),(0))*$T11^CG$2</f>
        <v>0</v>
      </c>
      <c r="CH11" s="77">
        <f t="shared" si="33"/>
        <v>0</v>
      </c>
      <c r="CI11" s="502">
        <f>IF(INT(CI$2)=INT($G11),($J11),(0))*$T11^CI$2</f>
        <v>0</v>
      </c>
      <c r="CJ11" s="77">
        <f t="shared" si="34"/>
        <v>0</v>
      </c>
      <c r="CK11" s="502">
        <f>IF(INT(CK$2)=INT($G11),($J11),(0))*$T11^CK$2</f>
        <v>0</v>
      </c>
      <c r="CL11" s="77">
        <f t="shared" si="35"/>
        <v>0</v>
      </c>
      <c r="CM11" s="502">
        <f>IF(INT(CM$2)=INT($G11),($J11),(0))*$T11^CM$2</f>
        <v>0</v>
      </c>
      <c r="CN11" s="77">
        <f t="shared" si="36"/>
        <v>0</v>
      </c>
      <c r="CO11" s="502">
        <f>IF(INT(CO$2)=INT($G11),($J11),(0))*$T11^CO$2</f>
        <v>0</v>
      </c>
      <c r="CP11" s="77">
        <f t="shared" si="37"/>
        <v>0</v>
      </c>
      <c r="CQ11" s="502">
        <f>IF(INT(CQ$2)=INT($G11),($J11),(0))*$T11^CQ$2</f>
        <v>0</v>
      </c>
      <c r="CR11" s="77">
        <f t="shared" si="38"/>
        <v>0</v>
      </c>
      <c r="CS11" s="502">
        <f>IF(INT(CS$2)=INT($G11),($J11),(0))*$T11^CS$2</f>
        <v>0</v>
      </c>
      <c r="CT11" s="77">
        <f t="shared" si="39"/>
        <v>0</v>
      </c>
      <c r="CU11" s="502">
        <f>IF(INT(CU$2)=INT($G11),($J11),(0))*$T11^CU$2</f>
        <v>0</v>
      </c>
      <c r="CV11" s="77">
        <f t="shared" si="40"/>
        <v>0</v>
      </c>
      <c r="CW11" s="502">
        <f>IF(INT(CW$2)=INT($G11),($J11),(0))*$T11^CW$2</f>
        <v>0</v>
      </c>
      <c r="CX11" s="77">
        <f t="shared" si="41"/>
        <v>0</v>
      </c>
      <c r="CY11" s="502">
        <f>IF(INT(CY$2)=INT($G11),($J11),(0))*$T11^CY$2</f>
        <v>0</v>
      </c>
      <c r="CZ11" s="77">
        <f t="shared" si="42"/>
        <v>0</v>
      </c>
      <c r="DA11" s="502">
        <f>IF(INT(DA$2)=INT($G11),($J11),(0))*$T11^DA$2</f>
        <v>0</v>
      </c>
      <c r="DB11" s="77">
        <f t="shared" si="43"/>
        <v>0</v>
      </c>
      <c r="DC11" s="502">
        <f>IF(INT(DC$2)=INT($G11),($J11),(0))*$T11^DC$2</f>
        <v>0</v>
      </c>
      <c r="DD11" s="77">
        <f t="shared" si="44"/>
        <v>0</v>
      </c>
      <c r="DE11" s="502">
        <f>IF(INT(DE$2)=INT($G11),($J11),(0))*$T11^DE$2</f>
        <v>0</v>
      </c>
      <c r="DF11" s="77">
        <f t="shared" si="45"/>
        <v>0</v>
      </c>
      <c r="DG11" s="502">
        <f>IF(INT(DG$2)=INT($G11),($J11),(0))*$T11^DG$2</f>
        <v>0</v>
      </c>
      <c r="DH11" s="77">
        <f t="shared" si="46"/>
        <v>0</v>
      </c>
      <c r="DI11" s="502">
        <f>IF(INT(DI$2)=INT($G11),($J11),(0))*$T11^DI$2</f>
        <v>0</v>
      </c>
      <c r="DJ11" s="77">
        <f t="shared" si="47"/>
        <v>0</v>
      </c>
      <c r="DK11" s="502">
        <f>IF(INT(DK$2)=INT($G11),($J11),(0))*$T11^DK$2</f>
        <v>0</v>
      </c>
      <c r="DL11" s="77">
        <f t="shared" si="48"/>
        <v>0</v>
      </c>
      <c r="DM11" s="502">
        <f>IF(INT(DM$2)=INT($G11),($J11),(0))*$T11^DM$2</f>
        <v>0</v>
      </c>
      <c r="DN11" s="77">
        <f t="shared" si="49"/>
        <v>0</v>
      </c>
      <c r="DO11" s="502">
        <f>IF(INT(DO$2)=INT($G11),($J11),(0))*$T11^DO$2</f>
        <v>0</v>
      </c>
      <c r="DP11" s="77">
        <f t="shared" si="50"/>
        <v>0</v>
      </c>
      <c r="DQ11" s="502">
        <f>IF(INT(DQ$2)=INT($G11),($J11),(0))*$T11^DQ$2</f>
        <v>0</v>
      </c>
      <c r="DR11" s="77">
        <f t="shared" si="51"/>
        <v>0</v>
      </c>
      <c r="DS11" s="502">
        <f>IF(INT(DS$2)=INT($G11),($J11),(0))*$T11^DS$2</f>
        <v>0</v>
      </c>
      <c r="DT11" s="77">
        <f t="shared" si="52"/>
        <v>0</v>
      </c>
      <c r="DU11" s="502">
        <f>IF(INT(DU$2)=INT($G11),($J11),(0))*$T11^DU$2</f>
        <v>0</v>
      </c>
      <c r="DV11" s="77">
        <f t="shared" si="53"/>
        <v>0</v>
      </c>
      <c r="DW11" s="502">
        <f>IF(INT(DW$2)=INT($G11),($J11),(0))*$T11^DW$2</f>
        <v>0</v>
      </c>
      <c r="DX11" s="77">
        <f t="shared" si="54"/>
        <v>0</v>
      </c>
      <c r="DY11" s="502">
        <f>IF(INT(DY$2)=INT($G11),($J11),(0))*$T11^DY$2</f>
        <v>0</v>
      </c>
      <c r="DZ11" s="77">
        <f t="shared" si="55"/>
        <v>0</v>
      </c>
      <c r="EA11" s="502">
        <f>IF(INT(EA$2)=INT($G11),($J11),(0))*$T11^EA$2</f>
        <v>0</v>
      </c>
      <c r="EB11" s="77">
        <f t="shared" si="56"/>
        <v>0</v>
      </c>
      <c r="EC11" s="502">
        <f>IF(INT(EC$2)=INT($G11),($J11),(0))*$T11^EC$2</f>
        <v>0</v>
      </c>
      <c r="ED11" s="77">
        <f t="shared" si="57"/>
        <v>0</v>
      </c>
      <c r="EE11" s="502">
        <f>IF(INT(EE$2)=INT($G11),($J11),(0))*$T11^EE$2</f>
        <v>0</v>
      </c>
      <c r="EF11" s="77">
        <f t="shared" si="58"/>
        <v>0</v>
      </c>
      <c r="EG11" s="502">
        <f>IF(INT(EG$2)=INT($G11),($J11),(0))*$T11^EG$2</f>
        <v>0</v>
      </c>
      <c r="EH11" s="77">
        <f t="shared" si="59"/>
        <v>0</v>
      </c>
      <c r="EI11" s="502">
        <f>IF(INT(EI$2)=INT($G11),($J11),(0))*$T11^EI$2</f>
        <v>0</v>
      </c>
      <c r="EJ11" s="77">
        <f t="shared" si="60"/>
        <v>0</v>
      </c>
      <c r="EK11" s="502">
        <f>IF(INT(EK$2)=INT($G11),($J11),(0))*$T11^EK$2</f>
        <v>0</v>
      </c>
    </row>
    <row r="12" spans="1:141" s="38" customFormat="1" ht="15" customHeight="1">
      <c r="A12" s="133">
        <v>5.5</v>
      </c>
      <c r="B12" s="153" t="s">
        <v>68</v>
      </c>
      <c r="C12" s="155"/>
      <c r="D12" s="139"/>
      <c r="E12" s="123"/>
      <c r="F12" s="125"/>
      <c r="G12" s="139"/>
      <c r="H12" s="262"/>
      <c r="I12" s="501"/>
      <c r="J12" s="130"/>
      <c r="K12" s="130"/>
      <c r="L12" s="130"/>
      <c r="M12" s="482"/>
      <c r="N12" s="130"/>
      <c r="O12" s="503"/>
      <c r="P12" s="189"/>
      <c r="Q12" s="194"/>
      <c r="R12" s="454"/>
      <c r="S12" s="78"/>
      <c r="T12" s="78"/>
      <c r="U12" s="78"/>
      <c r="V12" s="77"/>
      <c r="W12" s="396"/>
      <c r="X12" s="278"/>
      <c r="Y12" s="396"/>
      <c r="Z12" s="278"/>
      <c r="AA12" s="396"/>
      <c r="AB12" s="278"/>
      <c r="AC12" s="396"/>
      <c r="AD12" s="278"/>
      <c r="AE12" s="396"/>
      <c r="AF12" s="278"/>
      <c r="AG12" s="396"/>
      <c r="AH12" s="278"/>
      <c r="AI12" s="396"/>
      <c r="AJ12" s="278"/>
      <c r="AK12" s="396"/>
      <c r="AL12" s="278"/>
      <c r="AM12" s="396"/>
      <c r="AN12" s="278"/>
      <c r="AO12" s="396"/>
      <c r="AP12" s="278"/>
      <c r="AQ12" s="396"/>
      <c r="AR12" s="278"/>
      <c r="AS12" s="396"/>
      <c r="AT12" s="278"/>
      <c r="AU12" s="396"/>
      <c r="AV12" s="278"/>
      <c r="AW12" s="396"/>
      <c r="AX12" s="278"/>
      <c r="AY12" s="396"/>
      <c r="AZ12" s="278"/>
      <c r="BA12" s="396"/>
      <c r="BB12" s="278"/>
      <c r="BC12" s="396"/>
      <c r="BD12" s="278"/>
      <c r="BE12" s="396"/>
      <c r="BF12" s="278"/>
      <c r="BG12" s="396"/>
      <c r="BH12" s="278"/>
      <c r="BI12" s="396"/>
      <c r="BJ12" s="278"/>
      <c r="BK12" s="396"/>
      <c r="BL12" s="278"/>
      <c r="BM12" s="396"/>
      <c r="BN12" s="278"/>
      <c r="BO12" s="396"/>
      <c r="BP12" s="278"/>
      <c r="BQ12" s="396"/>
      <c r="BR12" s="278"/>
      <c r="BS12" s="396"/>
      <c r="BT12" s="278"/>
      <c r="BU12" s="396"/>
      <c r="BV12" s="278"/>
      <c r="BW12" s="396"/>
      <c r="BX12" s="278"/>
      <c r="BY12" s="396"/>
      <c r="BZ12" s="278"/>
      <c r="CA12" s="396"/>
      <c r="CB12" s="278"/>
      <c r="CC12" s="396"/>
      <c r="CD12" s="278"/>
      <c r="CE12" s="396"/>
      <c r="CF12" s="278"/>
      <c r="CG12" s="396"/>
      <c r="CH12" s="278"/>
      <c r="CI12" s="396"/>
      <c r="CJ12" s="278"/>
      <c r="CK12" s="396"/>
      <c r="CL12" s="278"/>
      <c r="CM12" s="396"/>
      <c r="CN12" s="278"/>
      <c r="CO12" s="396"/>
      <c r="CP12" s="278"/>
      <c r="CQ12" s="396"/>
      <c r="CR12" s="278"/>
      <c r="CS12" s="396"/>
      <c r="CT12" s="278"/>
      <c r="CU12" s="396"/>
      <c r="CV12" s="278"/>
      <c r="CW12" s="396"/>
      <c r="CX12" s="278"/>
      <c r="CY12" s="396"/>
      <c r="CZ12" s="278"/>
      <c r="DA12" s="396"/>
      <c r="DB12" s="278"/>
      <c r="DC12" s="396"/>
      <c r="DD12" s="278"/>
      <c r="DE12" s="396"/>
      <c r="DF12" s="278"/>
      <c r="DG12" s="396"/>
      <c r="DH12" s="278"/>
      <c r="DI12" s="396"/>
      <c r="DJ12" s="278"/>
      <c r="DK12" s="396"/>
      <c r="DL12" s="278"/>
      <c r="DM12" s="396"/>
      <c r="DN12" s="278"/>
      <c r="DO12" s="396"/>
      <c r="DP12" s="278"/>
      <c r="DQ12" s="396"/>
      <c r="DR12" s="278"/>
      <c r="DS12" s="396"/>
      <c r="DT12" s="278"/>
      <c r="DU12" s="396"/>
      <c r="DV12" s="278"/>
      <c r="DW12" s="396"/>
      <c r="DX12" s="278"/>
      <c r="DY12" s="396"/>
      <c r="DZ12" s="278"/>
      <c r="EA12" s="396"/>
      <c r="EB12" s="278"/>
      <c r="EC12" s="396"/>
      <c r="ED12" s="278"/>
      <c r="EE12" s="396"/>
      <c r="EF12" s="278"/>
      <c r="EG12" s="396"/>
      <c r="EH12" s="278"/>
      <c r="EI12" s="396"/>
      <c r="EJ12" s="77">
        <f t="shared" si="60"/>
        <v>0</v>
      </c>
      <c r="EK12" s="502">
        <f>IF(INT(EK$2)=INT($G12),($J12),(0))*$T12^EK$2</f>
        <v>0</v>
      </c>
    </row>
    <row r="13" spans="1:141" s="395" customFormat="1" ht="17.25" customHeight="1">
      <c r="A13" s="390"/>
      <c r="B13" s="391"/>
      <c r="C13" s="392" t="s">
        <v>90</v>
      </c>
      <c r="D13" s="202"/>
      <c r="E13" s="393"/>
      <c r="F13" s="202"/>
      <c r="G13" s="394"/>
      <c r="H13" s="191">
        <f>SUM(H5:H12)</f>
        <v>0</v>
      </c>
      <c r="I13" s="191"/>
      <c r="J13" s="191">
        <f>SUM(J5:J12)</f>
        <v>0</v>
      </c>
      <c r="K13" s="191">
        <f>SUM(K5:K12)</f>
        <v>0</v>
      </c>
      <c r="L13" s="191">
        <f>SUM(L5:L12)</f>
        <v>0</v>
      </c>
      <c r="M13" s="529"/>
      <c r="N13" s="191">
        <f>SUM(N5:N11)</f>
        <v>0</v>
      </c>
      <c r="O13" s="529"/>
      <c r="P13" s="191">
        <f>SUM(P5:P12)</f>
        <v>0</v>
      </c>
      <c r="Q13" s="530">
        <f>SUM(Q5:Q12)</f>
        <v>0</v>
      </c>
      <c r="R13" s="485"/>
      <c r="S13" s="491"/>
      <c r="T13" s="491"/>
      <c r="U13" s="491"/>
      <c r="V13" s="279">
        <f>SUM(V4:V12)</f>
        <v>0</v>
      </c>
      <c r="W13" s="279">
        <f t="shared" ref="W13:CH13" si="61">SUM(W4:W12)</f>
        <v>0</v>
      </c>
      <c r="X13" s="279">
        <f t="shared" si="61"/>
        <v>0</v>
      </c>
      <c r="Y13" s="279">
        <f t="shared" si="61"/>
        <v>0</v>
      </c>
      <c r="Z13" s="279">
        <f t="shared" si="61"/>
        <v>0</v>
      </c>
      <c r="AA13" s="279">
        <f t="shared" si="61"/>
        <v>0</v>
      </c>
      <c r="AB13" s="279">
        <f t="shared" si="61"/>
        <v>0</v>
      </c>
      <c r="AC13" s="279">
        <f t="shared" si="61"/>
        <v>0</v>
      </c>
      <c r="AD13" s="279">
        <f t="shared" si="61"/>
        <v>0</v>
      </c>
      <c r="AE13" s="279">
        <f t="shared" si="61"/>
        <v>0</v>
      </c>
      <c r="AF13" s="279">
        <f t="shared" si="61"/>
        <v>0</v>
      </c>
      <c r="AG13" s="279">
        <f t="shared" si="61"/>
        <v>0</v>
      </c>
      <c r="AH13" s="279">
        <f t="shared" si="61"/>
        <v>0</v>
      </c>
      <c r="AI13" s="279">
        <f t="shared" si="61"/>
        <v>0</v>
      </c>
      <c r="AJ13" s="279">
        <f t="shared" si="61"/>
        <v>0</v>
      </c>
      <c r="AK13" s="279">
        <f t="shared" si="61"/>
        <v>0</v>
      </c>
      <c r="AL13" s="279">
        <f t="shared" si="61"/>
        <v>0</v>
      </c>
      <c r="AM13" s="279">
        <f t="shared" si="61"/>
        <v>0</v>
      </c>
      <c r="AN13" s="279">
        <f t="shared" si="61"/>
        <v>0</v>
      </c>
      <c r="AO13" s="279">
        <f t="shared" si="61"/>
        <v>0</v>
      </c>
      <c r="AP13" s="279">
        <f t="shared" si="61"/>
        <v>0</v>
      </c>
      <c r="AQ13" s="279">
        <f t="shared" si="61"/>
        <v>0</v>
      </c>
      <c r="AR13" s="279">
        <f t="shared" si="61"/>
        <v>0</v>
      </c>
      <c r="AS13" s="279">
        <f t="shared" si="61"/>
        <v>0</v>
      </c>
      <c r="AT13" s="279">
        <f t="shared" si="61"/>
        <v>0</v>
      </c>
      <c r="AU13" s="279">
        <f t="shared" si="61"/>
        <v>0</v>
      </c>
      <c r="AV13" s="279">
        <f t="shared" si="61"/>
        <v>0</v>
      </c>
      <c r="AW13" s="279">
        <f t="shared" si="61"/>
        <v>0</v>
      </c>
      <c r="AX13" s="279">
        <f t="shared" si="61"/>
        <v>0</v>
      </c>
      <c r="AY13" s="279">
        <f t="shared" si="61"/>
        <v>0</v>
      </c>
      <c r="AZ13" s="279">
        <f t="shared" si="61"/>
        <v>0</v>
      </c>
      <c r="BA13" s="279">
        <f t="shared" si="61"/>
        <v>0</v>
      </c>
      <c r="BB13" s="279">
        <f t="shared" si="61"/>
        <v>0</v>
      </c>
      <c r="BC13" s="279">
        <f t="shared" si="61"/>
        <v>0</v>
      </c>
      <c r="BD13" s="279">
        <f t="shared" si="61"/>
        <v>0</v>
      </c>
      <c r="BE13" s="279">
        <f t="shared" si="61"/>
        <v>0</v>
      </c>
      <c r="BF13" s="279">
        <f t="shared" si="61"/>
        <v>0</v>
      </c>
      <c r="BG13" s="279">
        <f t="shared" si="61"/>
        <v>0</v>
      </c>
      <c r="BH13" s="279">
        <f t="shared" si="61"/>
        <v>0</v>
      </c>
      <c r="BI13" s="279">
        <f t="shared" si="61"/>
        <v>0</v>
      </c>
      <c r="BJ13" s="279">
        <f t="shared" si="61"/>
        <v>0</v>
      </c>
      <c r="BK13" s="279">
        <f t="shared" si="61"/>
        <v>0</v>
      </c>
      <c r="BL13" s="279">
        <f t="shared" si="61"/>
        <v>0</v>
      </c>
      <c r="BM13" s="279">
        <f t="shared" si="61"/>
        <v>0</v>
      </c>
      <c r="BN13" s="279">
        <f t="shared" si="61"/>
        <v>0</v>
      </c>
      <c r="BO13" s="279">
        <f t="shared" si="61"/>
        <v>0</v>
      </c>
      <c r="BP13" s="279">
        <f t="shared" si="61"/>
        <v>0</v>
      </c>
      <c r="BQ13" s="279">
        <f t="shared" si="61"/>
        <v>0</v>
      </c>
      <c r="BR13" s="279">
        <f t="shared" si="61"/>
        <v>0</v>
      </c>
      <c r="BS13" s="279">
        <f t="shared" si="61"/>
        <v>0</v>
      </c>
      <c r="BT13" s="279">
        <f t="shared" si="61"/>
        <v>0</v>
      </c>
      <c r="BU13" s="279">
        <f t="shared" si="61"/>
        <v>0</v>
      </c>
      <c r="BV13" s="279">
        <f t="shared" si="61"/>
        <v>0</v>
      </c>
      <c r="BW13" s="279">
        <f t="shared" si="61"/>
        <v>0</v>
      </c>
      <c r="BX13" s="279">
        <f t="shared" si="61"/>
        <v>0</v>
      </c>
      <c r="BY13" s="279">
        <f t="shared" si="61"/>
        <v>0</v>
      </c>
      <c r="BZ13" s="279">
        <f t="shared" si="61"/>
        <v>0</v>
      </c>
      <c r="CA13" s="279">
        <f t="shared" si="61"/>
        <v>0</v>
      </c>
      <c r="CB13" s="279">
        <f t="shared" si="61"/>
        <v>0</v>
      </c>
      <c r="CC13" s="279">
        <f t="shared" si="61"/>
        <v>0</v>
      </c>
      <c r="CD13" s="279">
        <f t="shared" si="61"/>
        <v>0</v>
      </c>
      <c r="CE13" s="279">
        <f t="shared" si="61"/>
        <v>0</v>
      </c>
      <c r="CF13" s="279">
        <f t="shared" si="61"/>
        <v>0</v>
      </c>
      <c r="CG13" s="279">
        <f t="shared" si="61"/>
        <v>0</v>
      </c>
      <c r="CH13" s="279">
        <f t="shared" si="61"/>
        <v>0</v>
      </c>
      <c r="CI13" s="279">
        <f t="shared" ref="CI13:EK13" si="62">SUM(CI4:CI12)</f>
        <v>0</v>
      </c>
      <c r="CJ13" s="279">
        <f t="shared" si="62"/>
        <v>0</v>
      </c>
      <c r="CK13" s="279">
        <f t="shared" si="62"/>
        <v>0</v>
      </c>
      <c r="CL13" s="279">
        <f t="shared" si="62"/>
        <v>0</v>
      </c>
      <c r="CM13" s="279">
        <f t="shared" si="62"/>
        <v>0</v>
      </c>
      <c r="CN13" s="279">
        <f t="shared" si="62"/>
        <v>0</v>
      </c>
      <c r="CO13" s="279">
        <f t="shared" si="62"/>
        <v>0</v>
      </c>
      <c r="CP13" s="279">
        <f t="shared" si="62"/>
        <v>0</v>
      </c>
      <c r="CQ13" s="279">
        <f t="shared" si="62"/>
        <v>0</v>
      </c>
      <c r="CR13" s="279">
        <f t="shared" si="62"/>
        <v>0</v>
      </c>
      <c r="CS13" s="279">
        <f t="shared" si="62"/>
        <v>0</v>
      </c>
      <c r="CT13" s="279">
        <f t="shared" si="62"/>
        <v>0</v>
      </c>
      <c r="CU13" s="279">
        <f t="shared" si="62"/>
        <v>0</v>
      </c>
      <c r="CV13" s="279">
        <f t="shared" si="62"/>
        <v>0</v>
      </c>
      <c r="CW13" s="279">
        <f t="shared" si="62"/>
        <v>0</v>
      </c>
      <c r="CX13" s="279">
        <f t="shared" si="62"/>
        <v>0</v>
      </c>
      <c r="CY13" s="279">
        <f t="shared" si="62"/>
        <v>0</v>
      </c>
      <c r="CZ13" s="279">
        <f t="shared" si="62"/>
        <v>0</v>
      </c>
      <c r="DA13" s="279">
        <f t="shared" si="62"/>
        <v>0</v>
      </c>
      <c r="DB13" s="279">
        <f t="shared" si="62"/>
        <v>0</v>
      </c>
      <c r="DC13" s="279">
        <f t="shared" si="62"/>
        <v>0</v>
      </c>
      <c r="DD13" s="279">
        <f t="shared" si="62"/>
        <v>0</v>
      </c>
      <c r="DE13" s="279">
        <f t="shared" si="62"/>
        <v>0</v>
      </c>
      <c r="DF13" s="279">
        <f t="shared" si="62"/>
        <v>0</v>
      </c>
      <c r="DG13" s="279">
        <f t="shared" si="62"/>
        <v>0</v>
      </c>
      <c r="DH13" s="279">
        <f t="shared" si="62"/>
        <v>0</v>
      </c>
      <c r="DI13" s="279">
        <f t="shared" si="62"/>
        <v>0</v>
      </c>
      <c r="DJ13" s="279">
        <f t="shared" si="62"/>
        <v>0</v>
      </c>
      <c r="DK13" s="279">
        <f t="shared" si="62"/>
        <v>0</v>
      </c>
      <c r="DL13" s="279">
        <f t="shared" si="62"/>
        <v>0</v>
      </c>
      <c r="DM13" s="279">
        <f t="shared" si="62"/>
        <v>0</v>
      </c>
      <c r="DN13" s="279">
        <f t="shared" si="62"/>
        <v>0</v>
      </c>
      <c r="DO13" s="279">
        <f t="shared" si="62"/>
        <v>0</v>
      </c>
      <c r="DP13" s="279">
        <f t="shared" si="62"/>
        <v>0</v>
      </c>
      <c r="DQ13" s="279">
        <f t="shared" si="62"/>
        <v>0</v>
      </c>
      <c r="DR13" s="279">
        <f t="shared" si="62"/>
        <v>0</v>
      </c>
      <c r="DS13" s="279">
        <f t="shared" si="62"/>
        <v>0</v>
      </c>
      <c r="DT13" s="279">
        <f t="shared" si="62"/>
        <v>0</v>
      </c>
      <c r="DU13" s="279">
        <f t="shared" si="62"/>
        <v>0</v>
      </c>
      <c r="DV13" s="279">
        <f t="shared" si="62"/>
        <v>0</v>
      </c>
      <c r="DW13" s="279">
        <f t="shared" si="62"/>
        <v>0</v>
      </c>
      <c r="DX13" s="279">
        <f t="shared" si="62"/>
        <v>0</v>
      </c>
      <c r="DY13" s="279">
        <f t="shared" si="62"/>
        <v>0</v>
      </c>
      <c r="DZ13" s="279">
        <f t="shared" si="62"/>
        <v>0</v>
      </c>
      <c r="EA13" s="279">
        <f t="shared" si="62"/>
        <v>0</v>
      </c>
      <c r="EB13" s="279">
        <f t="shared" si="62"/>
        <v>0</v>
      </c>
      <c r="EC13" s="279">
        <f t="shared" si="62"/>
        <v>0</v>
      </c>
      <c r="ED13" s="279">
        <f t="shared" si="62"/>
        <v>0</v>
      </c>
      <c r="EE13" s="279">
        <f t="shared" si="62"/>
        <v>0</v>
      </c>
      <c r="EF13" s="279">
        <f t="shared" si="62"/>
        <v>0</v>
      </c>
      <c r="EG13" s="279">
        <f t="shared" si="62"/>
        <v>0</v>
      </c>
      <c r="EH13" s="279">
        <f t="shared" si="62"/>
        <v>0</v>
      </c>
      <c r="EI13" s="279">
        <f t="shared" si="62"/>
        <v>0</v>
      </c>
      <c r="EJ13" s="279">
        <f t="shared" si="62"/>
        <v>0</v>
      </c>
      <c r="EK13" s="279">
        <f t="shared" si="62"/>
        <v>0</v>
      </c>
    </row>
    <row r="14" spans="1:141">
      <c r="W14" s="398"/>
    </row>
    <row r="23" spans="16:16">
      <c r="P23" s="402">
        <f>(1+J23)</f>
        <v>1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6" max="1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8"/>
  <sheetViews>
    <sheetView view="pageBreakPreview" zoomScale="90" zoomScaleNormal="70" zoomScaleSheetLayoutView="90" workbookViewId="0">
      <selection activeCell="H10" sqref="H10"/>
    </sheetView>
  </sheetViews>
  <sheetFormatPr defaultRowHeight="14.25"/>
  <cols>
    <col min="1" max="1" width="8.140625" style="31" bestFit="1" customWidth="1"/>
    <col min="2" max="2" width="5.140625" style="31" customWidth="1"/>
    <col min="3" max="3" width="50.5703125" style="31" customWidth="1"/>
    <col min="4" max="4" width="9.28515625" style="31" customWidth="1"/>
    <col min="5" max="5" width="5.42578125" style="31" customWidth="1"/>
    <col min="6" max="6" width="11.5703125" style="473" customWidth="1"/>
    <col min="7" max="7" width="12" style="333" customWidth="1"/>
    <col min="8" max="8" width="12.140625" style="31" customWidth="1"/>
    <col min="9" max="9" width="10.140625" style="31" bestFit="1" customWidth="1"/>
    <col min="10" max="10" width="12.140625" style="31" customWidth="1"/>
    <col min="11" max="11" width="9.140625" style="31"/>
    <col min="12" max="12" width="12" style="31" customWidth="1"/>
    <col min="13" max="16384" width="9.140625" style="31"/>
  </cols>
  <sheetData>
    <row r="1" spans="1:10" s="50" customFormat="1" ht="41.25" customHeight="1">
      <c r="A1" s="214" t="s">
        <v>248</v>
      </c>
      <c r="B1" s="214" t="s">
        <v>133</v>
      </c>
      <c r="C1" s="219"/>
      <c r="D1" s="214"/>
      <c r="F1" s="239" t="s">
        <v>177</v>
      </c>
      <c r="G1" s="241">
        <v>60</v>
      </c>
    </row>
    <row r="2" spans="1:10" s="61" customFormat="1" ht="39" customHeight="1">
      <c r="A2" s="403" t="s">
        <v>254</v>
      </c>
      <c r="B2" s="405" t="s">
        <v>179</v>
      </c>
      <c r="C2" s="495" t="s">
        <v>144</v>
      </c>
      <c r="D2" s="475" t="s">
        <v>141</v>
      </c>
      <c r="E2" s="474" t="s">
        <v>142</v>
      </c>
      <c r="F2" s="512" t="s">
        <v>143</v>
      </c>
      <c r="G2" s="103" t="s">
        <v>160</v>
      </c>
      <c r="I2" s="603"/>
      <c r="J2" s="603"/>
    </row>
    <row r="3" spans="1:10" s="32" customFormat="1" ht="17.25" customHeight="1">
      <c r="A3" s="179" t="s">
        <v>162</v>
      </c>
      <c r="B3" s="163" t="s">
        <v>123</v>
      </c>
      <c r="C3" s="163"/>
      <c r="D3" s="164"/>
      <c r="E3" s="164"/>
      <c r="F3" s="468"/>
      <c r="G3" s="166"/>
      <c r="I3" s="616"/>
      <c r="J3" s="616"/>
    </row>
    <row r="4" spans="1:10" s="8" customFormat="1" ht="15" customHeight="1">
      <c r="A4" s="374">
        <v>6.1</v>
      </c>
      <c r="B4" s="159" t="s">
        <v>94</v>
      </c>
      <c r="C4" s="154"/>
      <c r="D4" s="123"/>
      <c r="E4" s="123"/>
      <c r="F4" s="467"/>
      <c r="G4" s="125"/>
      <c r="I4" s="80"/>
      <c r="J4" s="513"/>
    </row>
    <row r="5" spans="1:10" s="60" customFormat="1" ht="24" customHeight="1">
      <c r="A5" s="127">
        <v>6.1</v>
      </c>
      <c r="B5" s="162"/>
      <c r="C5" s="565" t="s">
        <v>322</v>
      </c>
      <c r="D5" s="136"/>
      <c r="E5" s="135"/>
      <c r="F5" s="431"/>
      <c r="G5" s="130"/>
      <c r="I5" s="617"/>
      <c r="J5" s="618"/>
    </row>
    <row r="6" spans="1:10" s="8" customFormat="1" ht="15" customHeight="1">
      <c r="A6" s="133">
        <v>6.2</v>
      </c>
      <c r="B6" s="160" t="s">
        <v>192</v>
      </c>
      <c r="C6" s="154"/>
      <c r="D6" s="136"/>
      <c r="E6" s="123"/>
      <c r="F6" s="341"/>
      <c r="G6" s="130"/>
      <c r="I6" s="80"/>
      <c r="J6" s="513"/>
    </row>
    <row r="7" spans="1:10" s="60" customFormat="1" ht="23.25" customHeight="1">
      <c r="A7" s="136">
        <v>6.2</v>
      </c>
      <c r="B7" s="21"/>
      <c r="C7" s="565" t="s">
        <v>322</v>
      </c>
      <c r="D7" s="136"/>
      <c r="E7" s="136"/>
      <c r="F7" s="431"/>
      <c r="G7" s="130"/>
      <c r="I7" s="617"/>
      <c r="J7" s="618"/>
    </row>
    <row r="8" spans="1:10" s="8" customFormat="1" ht="15" customHeight="1">
      <c r="A8" s="133">
        <v>6.3</v>
      </c>
      <c r="B8" s="153" t="s">
        <v>95</v>
      </c>
      <c r="C8" s="155"/>
      <c r="D8" s="136"/>
      <c r="E8" s="133"/>
      <c r="F8" s="341"/>
      <c r="G8" s="130"/>
      <c r="I8" s="80"/>
      <c r="J8" s="513"/>
    </row>
    <row r="9" spans="1:10" s="60" customFormat="1" ht="24.75" customHeight="1">
      <c r="A9" s="127">
        <v>6.3</v>
      </c>
      <c r="B9" s="162"/>
      <c r="C9" s="565" t="s">
        <v>322</v>
      </c>
      <c r="D9" s="136"/>
      <c r="E9" s="135"/>
      <c r="F9" s="431"/>
      <c r="G9" s="130"/>
      <c r="I9" s="617"/>
      <c r="J9" s="618"/>
    </row>
    <row r="10" spans="1:10" s="8" customFormat="1" ht="15" customHeight="1">
      <c r="A10" s="133">
        <v>6.4</v>
      </c>
      <c r="B10" s="153" t="s">
        <v>96</v>
      </c>
      <c r="C10" s="155"/>
      <c r="D10" s="136"/>
      <c r="E10" s="133"/>
      <c r="F10" s="341"/>
      <c r="G10" s="130"/>
      <c r="I10" s="80"/>
      <c r="J10" s="513"/>
    </row>
    <row r="11" spans="1:10" s="60" customFormat="1" ht="24" customHeight="1">
      <c r="A11" s="127">
        <v>6.4</v>
      </c>
      <c r="B11" s="162"/>
      <c r="C11" s="565" t="s">
        <v>322</v>
      </c>
      <c r="D11" s="136"/>
      <c r="E11" s="135"/>
      <c r="F11" s="431"/>
      <c r="G11" s="130"/>
      <c r="I11" s="617"/>
      <c r="J11" s="618"/>
    </row>
    <row r="12" spans="1:10" s="8" customFormat="1" ht="15" customHeight="1">
      <c r="A12" s="133">
        <v>6.5</v>
      </c>
      <c r="B12" s="153" t="s">
        <v>97</v>
      </c>
      <c r="C12" s="155"/>
      <c r="D12" s="136"/>
      <c r="E12" s="133"/>
      <c r="F12" s="341"/>
      <c r="G12" s="130"/>
      <c r="I12" s="80"/>
      <c r="J12" s="513"/>
    </row>
    <row r="13" spans="1:10" s="60" customFormat="1" ht="24" customHeight="1">
      <c r="A13" s="127">
        <v>6.5</v>
      </c>
      <c r="B13" s="162"/>
      <c r="C13" s="565" t="s">
        <v>322</v>
      </c>
      <c r="D13" s="136"/>
      <c r="E13" s="135"/>
      <c r="F13" s="431"/>
      <c r="G13" s="130"/>
      <c r="I13" s="617"/>
      <c r="J13" s="618"/>
    </row>
    <row r="14" spans="1:10" s="8" customFormat="1" ht="15" customHeight="1">
      <c r="A14" s="133">
        <v>6.6</v>
      </c>
      <c r="B14" s="153" t="s">
        <v>98</v>
      </c>
      <c r="C14" s="155"/>
      <c r="D14" s="136"/>
      <c r="E14" s="133"/>
      <c r="F14" s="341"/>
      <c r="G14" s="130"/>
      <c r="I14" s="80"/>
      <c r="J14" s="513"/>
    </row>
    <row r="15" spans="1:10" s="60" customFormat="1" ht="24" customHeight="1">
      <c r="A15" s="127">
        <v>6.6</v>
      </c>
      <c r="B15" s="162"/>
      <c r="C15" s="565" t="s">
        <v>322</v>
      </c>
      <c r="D15" s="136"/>
      <c r="E15" s="135"/>
      <c r="F15" s="431"/>
      <c r="G15" s="130"/>
      <c r="I15" s="617"/>
      <c r="J15" s="618"/>
    </row>
    <row r="16" spans="1:10" s="8" customFormat="1" ht="15" customHeight="1">
      <c r="A16" s="133">
        <v>6.7</v>
      </c>
      <c r="B16" s="153" t="s">
        <v>68</v>
      </c>
      <c r="C16" s="155"/>
      <c r="D16" s="133"/>
      <c r="E16" s="133"/>
      <c r="F16" s="341"/>
      <c r="G16" s="83"/>
      <c r="I16" s="80"/>
      <c r="J16" s="513"/>
    </row>
    <row r="17" spans="1:10" ht="19.5" customHeight="1">
      <c r="A17" s="115"/>
      <c r="B17" s="168"/>
      <c r="C17" s="169" t="s">
        <v>124</v>
      </c>
      <c r="D17" s="220"/>
      <c r="E17" s="220"/>
      <c r="F17" s="469"/>
      <c r="G17" s="191">
        <f>SUM(G4:G16)</f>
        <v>0</v>
      </c>
      <c r="I17" s="620"/>
      <c r="J17" s="619"/>
    </row>
    <row r="18" spans="1:10" s="3" customFormat="1">
      <c r="F18" s="470"/>
      <c r="G18" s="19"/>
      <c r="I18" s="586"/>
      <c r="J18" s="36"/>
    </row>
    <row r="19" spans="1:10" s="3" customFormat="1">
      <c r="F19" s="470"/>
      <c r="G19" s="19"/>
      <c r="I19" s="586"/>
      <c r="J19" s="36"/>
    </row>
    <row r="20" spans="1:10" ht="15">
      <c r="A20" s="3"/>
      <c r="B20" s="58"/>
      <c r="C20" s="58"/>
      <c r="D20" s="59"/>
      <c r="E20" s="59"/>
      <c r="F20" s="471"/>
      <c r="G20" s="145"/>
      <c r="I20" s="619"/>
      <c r="J20" s="619"/>
    </row>
    <row r="21" spans="1:10">
      <c r="B21" s="47"/>
      <c r="C21" s="47"/>
      <c r="D21" s="47"/>
      <c r="E21" s="47"/>
      <c r="F21" s="472"/>
      <c r="G21" s="332"/>
    </row>
    <row r="22" spans="1:10">
      <c r="B22" s="47"/>
      <c r="C22" s="47"/>
      <c r="D22" s="47"/>
      <c r="E22" s="47"/>
      <c r="F22" s="472"/>
      <c r="G22" s="332"/>
    </row>
    <row r="23" spans="1:10">
      <c r="B23" s="47"/>
      <c r="C23" s="47"/>
      <c r="D23" s="47"/>
      <c r="E23" s="47"/>
      <c r="F23" s="472"/>
      <c r="G23" s="332"/>
    </row>
    <row r="24" spans="1:10">
      <c r="B24" s="47"/>
      <c r="C24" s="47"/>
      <c r="D24" s="47"/>
      <c r="E24" s="47"/>
      <c r="F24" s="472"/>
      <c r="G24" s="332"/>
    </row>
    <row r="25" spans="1:10">
      <c r="B25" s="47"/>
      <c r="C25" s="47"/>
      <c r="D25" s="47"/>
      <c r="E25" s="47"/>
      <c r="F25" s="472"/>
      <c r="G25" s="332"/>
    </row>
    <row r="26" spans="1:10">
      <c r="B26" s="47"/>
      <c r="C26" s="47"/>
      <c r="D26" s="47"/>
      <c r="E26" s="47"/>
      <c r="F26" s="472"/>
      <c r="G26" s="332"/>
    </row>
    <row r="27" spans="1:10">
      <c r="B27" s="47"/>
      <c r="C27" s="47"/>
      <c r="D27" s="47"/>
      <c r="E27" s="47"/>
      <c r="F27" s="472"/>
      <c r="G27" s="332"/>
    </row>
    <row r="28" spans="1:10">
      <c r="B28" s="47"/>
      <c r="C28" s="47"/>
      <c r="D28" s="47"/>
      <c r="E28" s="47"/>
      <c r="F28" s="472"/>
      <c r="G28" s="33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5"/>
  <sheetViews>
    <sheetView view="pageBreakPreview" zoomScale="90" zoomScaleNormal="70" zoomScaleSheetLayoutView="90" workbookViewId="0">
      <selection activeCell="E10" sqref="E10"/>
    </sheetView>
  </sheetViews>
  <sheetFormatPr defaultRowHeight="15"/>
  <cols>
    <col min="1" max="1" width="5.140625" style="31" customWidth="1"/>
    <col min="2" max="2" width="5.7109375" style="31" customWidth="1"/>
    <col min="3" max="3" width="56.5703125" style="31" customWidth="1"/>
    <col min="4" max="4" width="9.28515625" style="31" customWidth="1"/>
    <col min="5" max="5" width="5.42578125" style="31" customWidth="1"/>
    <col min="6" max="6" width="11.5703125" style="31" customWidth="1"/>
    <col min="7" max="7" width="12" style="53" customWidth="1"/>
    <col min="8" max="8" width="12.140625" style="53" customWidth="1"/>
    <col min="9" max="9" width="5.7109375" style="507" customWidth="1"/>
    <col min="10" max="10" width="12.140625" style="507" customWidth="1"/>
    <col min="11" max="11" width="5.7109375" style="45" customWidth="1"/>
    <col min="12" max="12" width="12" style="53" customWidth="1"/>
    <col min="14" max="16" width="6.140625" style="45" customWidth="1"/>
    <col min="17" max="17" width="6.140625" style="49" customWidth="1"/>
    <col min="18" max="18" width="7" style="46" customWidth="1"/>
    <col min="19" max="16384" width="9.140625" style="31"/>
  </cols>
  <sheetData>
    <row r="1" spans="1:18" ht="40.5" customHeight="1">
      <c r="A1" s="219" t="s">
        <v>253</v>
      </c>
      <c r="B1" s="214" t="s">
        <v>167</v>
      </c>
      <c r="C1" s="219"/>
      <c r="D1" s="253"/>
      <c r="E1" s="254"/>
      <c r="F1" s="253"/>
      <c r="G1" s="256"/>
      <c r="I1" s="509"/>
      <c r="J1" s="239" t="s">
        <v>177</v>
      </c>
      <c r="K1" s="511"/>
      <c r="L1" s="241">
        <v>60</v>
      </c>
    </row>
    <row r="2" spans="1:18" s="35" customFormat="1" ht="41.25" customHeight="1">
      <c r="A2" s="492" t="s">
        <v>254</v>
      </c>
      <c r="B2" s="266" t="s">
        <v>179</v>
      </c>
      <c r="C2" s="494" t="s">
        <v>144</v>
      </c>
      <c r="D2" s="474" t="s">
        <v>141</v>
      </c>
      <c r="E2" s="474" t="s">
        <v>142</v>
      </c>
      <c r="F2" s="474" t="s">
        <v>143</v>
      </c>
      <c r="G2" s="493" t="s">
        <v>169</v>
      </c>
      <c r="H2" s="493" t="s">
        <v>275</v>
      </c>
      <c r="I2" s="508" t="s">
        <v>129</v>
      </c>
      <c r="J2" s="493" t="s">
        <v>276</v>
      </c>
      <c r="K2" s="508" t="s">
        <v>130</v>
      </c>
      <c r="L2" s="493" t="s">
        <v>145</v>
      </c>
      <c r="N2" s="10" t="s">
        <v>102</v>
      </c>
      <c r="O2" s="10" t="s">
        <v>134</v>
      </c>
      <c r="P2" s="10" t="s">
        <v>135</v>
      </c>
      <c r="Q2" s="11" t="s">
        <v>131</v>
      </c>
      <c r="R2" s="11" t="s">
        <v>132</v>
      </c>
    </row>
    <row r="3" spans="1:18" s="32" customFormat="1" ht="16.5" customHeight="1">
      <c r="A3" s="179" t="s">
        <v>158</v>
      </c>
      <c r="B3" s="172" t="s">
        <v>127</v>
      </c>
      <c r="C3" s="173"/>
      <c r="D3" s="164"/>
      <c r="E3" s="165"/>
      <c r="F3" s="164"/>
      <c r="G3" s="166"/>
      <c r="H3" s="166"/>
      <c r="I3" s="510"/>
      <c r="J3" s="504"/>
      <c r="K3" s="510"/>
      <c r="L3" s="167"/>
      <c r="N3" s="37"/>
      <c r="O3" s="37"/>
      <c r="P3" s="37"/>
      <c r="Q3" s="51"/>
      <c r="R3" s="51"/>
    </row>
    <row r="4" spans="1:18" s="38" customFormat="1" ht="15" customHeight="1">
      <c r="A4" s="122">
        <v>7.1</v>
      </c>
      <c r="B4" s="160" t="s">
        <v>125</v>
      </c>
      <c r="C4" s="155"/>
      <c r="D4" s="133"/>
      <c r="E4" s="133"/>
      <c r="F4" s="133"/>
      <c r="G4" s="185"/>
      <c r="H4" s="185"/>
      <c r="I4" s="481"/>
      <c r="J4" s="481"/>
      <c r="K4" s="481"/>
      <c r="L4" s="185"/>
      <c r="N4" s="37"/>
      <c r="O4" s="37"/>
      <c r="P4" s="37"/>
      <c r="Q4" s="51"/>
      <c r="R4" s="51"/>
    </row>
    <row r="5" spans="1:18" s="52" customFormat="1" ht="24" customHeight="1">
      <c r="A5" s="187"/>
      <c r="B5" s="205"/>
      <c r="C5" s="565" t="s">
        <v>322</v>
      </c>
      <c r="D5" s="127"/>
      <c r="E5" s="134"/>
      <c r="F5" s="127"/>
      <c r="G5" s="130"/>
      <c r="H5" s="130"/>
      <c r="I5" s="482"/>
      <c r="J5" s="505"/>
      <c r="K5" s="482"/>
      <c r="L5" s="130"/>
      <c r="N5" s="435">
        <f>(1-((1+I5)/(1+K5))^Q5)</f>
        <v>0</v>
      </c>
      <c r="O5" s="435">
        <f>(((1+K5)/(1+I5))-1)</f>
        <v>0</v>
      </c>
      <c r="P5" s="435">
        <f>IF(N5=0,Q5,N5/O5)</f>
        <v>60</v>
      </c>
      <c r="Q5" s="436">
        <v>60</v>
      </c>
      <c r="R5" s="436">
        <f>G5</f>
        <v>0</v>
      </c>
    </row>
    <row r="6" spans="1:18" s="38" customFormat="1" ht="15" customHeight="1">
      <c r="A6" s="133">
        <v>7.2</v>
      </c>
      <c r="B6" s="160" t="s">
        <v>99</v>
      </c>
      <c r="C6" s="264"/>
      <c r="D6" s="261"/>
      <c r="E6" s="261"/>
      <c r="F6" s="261"/>
      <c r="G6" s="262"/>
      <c r="H6" s="130"/>
      <c r="I6" s="482"/>
      <c r="J6" s="505"/>
      <c r="K6" s="482"/>
      <c r="L6" s="262"/>
      <c r="N6" s="78"/>
      <c r="O6" s="78"/>
      <c r="P6" s="78"/>
      <c r="Q6" s="437"/>
      <c r="R6" s="437"/>
    </row>
    <row r="7" spans="1:18" s="52" customFormat="1" ht="24" customHeight="1">
      <c r="A7" s="195"/>
      <c r="B7" s="190"/>
      <c r="C7" s="565" t="s">
        <v>322</v>
      </c>
      <c r="D7" s="193"/>
      <c r="E7" s="193"/>
      <c r="F7" s="193"/>
      <c r="G7" s="130"/>
      <c r="H7" s="130"/>
      <c r="I7" s="482"/>
      <c r="J7" s="505"/>
      <c r="K7" s="482"/>
      <c r="L7" s="130"/>
      <c r="N7" s="435">
        <f>(1-((1+I7)/(1+K7))^Q7)</f>
        <v>0</v>
      </c>
      <c r="O7" s="435">
        <f>(((1+K7)/(1+I7))-1)</f>
        <v>0</v>
      </c>
      <c r="P7" s="435">
        <f>IF(N7=0,Q7,N7/O7)</f>
        <v>0</v>
      </c>
      <c r="Q7" s="436"/>
      <c r="R7" s="436"/>
    </row>
    <row r="8" spans="1:18" s="38" customFormat="1" ht="15" customHeight="1">
      <c r="A8" s="133">
        <v>7.3</v>
      </c>
      <c r="B8" s="153" t="s">
        <v>100</v>
      </c>
      <c r="C8" s="264"/>
      <c r="D8" s="261"/>
      <c r="E8" s="261"/>
      <c r="F8" s="261"/>
      <c r="G8" s="262"/>
      <c r="H8" s="130"/>
      <c r="I8" s="482"/>
      <c r="J8" s="505"/>
      <c r="K8" s="482"/>
      <c r="L8" s="262"/>
      <c r="N8" s="78"/>
      <c r="O8" s="78"/>
      <c r="P8" s="78"/>
      <c r="Q8" s="437"/>
      <c r="R8" s="437"/>
    </row>
    <row r="9" spans="1:18" s="52" customFormat="1" ht="24" customHeight="1">
      <c r="A9" s="195"/>
      <c r="B9" s="190"/>
      <c r="C9" s="565" t="s">
        <v>322</v>
      </c>
      <c r="D9" s="193"/>
      <c r="E9" s="193"/>
      <c r="F9" s="193"/>
      <c r="G9" s="130"/>
      <c r="H9" s="130"/>
      <c r="I9" s="482"/>
      <c r="J9" s="505"/>
      <c r="K9" s="482"/>
      <c r="L9" s="130"/>
      <c r="N9" s="435">
        <f>(1-((1+I9)/(1+K9))^Q9)</f>
        <v>0</v>
      </c>
      <c r="O9" s="435">
        <f>(((1+K9)/(1+I9))-1)</f>
        <v>0</v>
      </c>
      <c r="P9" s="435">
        <f>IF(N9=0,Q9,N9/O9)</f>
        <v>0</v>
      </c>
      <c r="Q9" s="436"/>
      <c r="R9" s="436"/>
    </row>
    <row r="10" spans="1:18" s="38" customFormat="1" ht="15" customHeight="1">
      <c r="A10" s="133">
        <v>7.4</v>
      </c>
      <c r="B10" s="153" t="s">
        <v>101</v>
      </c>
      <c r="C10" s="265"/>
      <c r="D10" s="263"/>
      <c r="E10" s="263"/>
      <c r="F10" s="263"/>
      <c r="G10" s="262"/>
      <c r="H10" s="130"/>
      <c r="I10" s="482"/>
      <c r="J10" s="505"/>
      <c r="K10" s="482"/>
      <c r="L10" s="262"/>
      <c r="N10" s="78"/>
      <c r="O10" s="78"/>
      <c r="P10" s="78"/>
      <c r="Q10" s="437"/>
      <c r="R10" s="437"/>
    </row>
    <row r="11" spans="1:18" s="52" customFormat="1" ht="24" customHeight="1">
      <c r="A11" s="195"/>
      <c r="B11" s="190"/>
      <c r="C11" s="565" t="s">
        <v>322</v>
      </c>
      <c r="D11" s="193"/>
      <c r="E11" s="193"/>
      <c r="F11" s="193"/>
      <c r="G11" s="130"/>
      <c r="H11" s="130"/>
      <c r="I11" s="482"/>
      <c r="J11" s="505"/>
      <c r="K11" s="482"/>
      <c r="L11" s="130"/>
      <c r="N11" s="435">
        <f>(1-((1+I11)/(1+K11))^Q11)</f>
        <v>0</v>
      </c>
      <c r="O11" s="435">
        <f>(((1+K11)/(1+I11))-1)</f>
        <v>0</v>
      </c>
      <c r="P11" s="435">
        <f>IF(N11=0,Q11,N11/O11)</f>
        <v>0</v>
      </c>
      <c r="Q11" s="436"/>
      <c r="R11" s="436"/>
    </row>
    <row r="12" spans="1:18" s="38" customFormat="1" ht="15" customHeight="1">
      <c r="A12" s="133">
        <v>7.5</v>
      </c>
      <c r="B12" s="153" t="s">
        <v>68</v>
      </c>
      <c r="C12" s="265"/>
      <c r="D12" s="263"/>
      <c r="E12" s="263"/>
      <c r="F12" s="263"/>
      <c r="G12" s="262"/>
      <c r="H12" s="130"/>
      <c r="I12" s="482"/>
      <c r="J12" s="505"/>
      <c r="K12" s="482"/>
      <c r="L12" s="262"/>
      <c r="N12" s="78"/>
      <c r="O12" s="78"/>
      <c r="P12" s="78"/>
      <c r="Q12" s="437"/>
      <c r="R12" s="437"/>
    </row>
    <row r="13" spans="1:18" ht="16.5" customHeight="1">
      <c r="A13" s="115"/>
      <c r="B13" s="168" t="s">
        <v>128</v>
      </c>
      <c r="C13" s="267"/>
      <c r="D13" s="220"/>
      <c r="E13" s="220"/>
      <c r="F13" s="220"/>
      <c r="G13" s="191">
        <f>SUM(G4:G12)</f>
        <v>0</v>
      </c>
      <c r="H13" s="191">
        <f>SUM(H4:H12)</f>
        <v>0</v>
      </c>
      <c r="I13" s="483"/>
      <c r="J13" s="191">
        <f>SUM(J4:J12)</f>
        <v>0</v>
      </c>
      <c r="K13" s="483"/>
      <c r="L13" s="191">
        <f>SUM(L4:L12)</f>
        <v>0</v>
      </c>
      <c r="N13" s="438"/>
      <c r="O13" s="438"/>
      <c r="P13" s="438"/>
      <c r="Q13" s="439"/>
      <c r="R13" s="439"/>
    </row>
    <row r="14" spans="1:18" ht="18">
      <c r="A14" s="47"/>
      <c r="B14" s="47"/>
      <c r="C14" s="48"/>
      <c r="D14" s="48"/>
      <c r="E14" s="48"/>
      <c r="F14" s="48"/>
      <c r="G14" s="260"/>
      <c r="H14" s="260"/>
      <c r="I14" s="506"/>
      <c r="J14" s="506"/>
      <c r="K14" s="440"/>
      <c r="L14" s="260"/>
      <c r="N14" s="440"/>
      <c r="O14" s="440"/>
      <c r="P14" s="440"/>
      <c r="Q14" s="441"/>
      <c r="R14" s="441"/>
    </row>
    <row r="15" spans="1:18">
      <c r="C15" s="47"/>
      <c r="D15" s="47"/>
      <c r="E15" s="47"/>
      <c r="F15" s="47"/>
      <c r="G15" s="18"/>
      <c r="H15" s="18"/>
      <c r="I15" s="506"/>
      <c r="J15" s="506"/>
      <c r="K15" s="440"/>
      <c r="N15" s="440"/>
      <c r="O15" s="440"/>
      <c r="P15" s="440"/>
      <c r="Q15" s="442"/>
      <c r="R15" s="44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19</vt:i4>
      </vt:variant>
    </vt:vector>
  </HeadingPairs>
  <TitlesOfParts>
    <vt:vector size="32" baseType="lpstr">
      <vt:lpstr>Cover</vt:lpstr>
      <vt:lpstr>contents</vt:lpstr>
      <vt:lpstr>Parameters</vt:lpstr>
      <vt:lpstr>Basis of Est.</vt:lpstr>
      <vt:lpstr>Summary</vt:lpstr>
      <vt:lpstr>Summary L1</vt:lpstr>
      <vt:lpstr>Cost Plan L2</vt:lpstr>
      <vt:lpstr>AP1-Other Const Costs L2</vt:lpstr>
      <vt:lpstr>AP2-O&amp;M L2</vt:lpstr>
      <vt:lpstr>AP3-Replacement L2</vt:lpstr>
      <vt:lpstr>AP4-End of Life L2</vt:lpstr>
      <vt:lpstr>AP5-Non Construction L2</vt:lpstr>
      <vt:lpstr>AP6-Income L2 </vt:lpstr>
      <vt:lpstr>'AP1-Other Const Costs L2'!Print_Area</vt:lpstr>
      <vt:lpstr>'AP2-O&amp;M L2'!Print_Area</vt:lpstr>
      <vt:lpstr>'AP3-Replacement L2'!Print_Area</vt:lpstr>
      <vt:lpstr>'AP4-End of Life L2'!Print_Area</vt:lpstr>
      <vt:lpstr>'AP5-Non Construction L2'!Print_Area</vt:lpstr>
      <vt:lpstr>'AP6-Income L2 '!Print_Area</vt:lpstr>
      <vt:lpstr>'Basis of Est.'!Print_Area</vt:lpstr>
      <vt:lpstr>contents!Print_Area</vt:lpstr>
      <vt:lpstr>Cover!Print_Area</vt:lpstr>
      <vt:lpstr>Parameters!Print_Area</vt:lpstr>
      <vt:lpstr>Summary!Print_Area</vt:lpstr>
      <vt:lpstr>'Summary L1'!Print_Area</vt:lpstr>
      <vt:lpstr>'AP1-Other Const Costs L2'!Print_Titles</vt:lpstr>
      <vt:lpstr>'AP2-O&amp;M L2'!Print_Titles</vt:lpstr>
      <vt:lpstr>'AP3-Replacement L2'!Print_Titles</vt:lpstr>
      <vt:lpstr>'AP4-End of Life L2'!Print_Titles</vt:lpstr>
      <vt:lpstr>'AP5-Non Construction L2'!Print_Titles</vt:lpstr>
      <vt:lpstr>'AP6-Income L2 '!Print_Titles</vt:lpstr>
      <vt:lpstr>'Summary L1'!Print_Titles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Kehily</dc:creator>
  <cp:lastModifiedBy>Kehily</cp:lastModifiedBy>
  <cp:lastPrinted>2011-07-05T18:53:50Z</cp:lastPrinted>
  <dcterms:created xsi:type="dcterms:W3CDTF">2010-05-16T19:17:34Z</dcterms:created>
  <dcterms:modified xsi:type="dcterms:W3CDTF">2011-11-18T18:09:26Z</dcterms:modified>
</cp:coreProperties>
</file>