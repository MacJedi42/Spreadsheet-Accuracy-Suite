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saveExternalLinkValues="0" defaultThemeVersion="124226"/>
  <bookViews>
    <workbookView xWindow="1005" yWindow="1005" windowWidth="15000" windowHeight="10005" activeTab="2"/>
  </bookViews>
  <sheets>
    <sheet name="06_11_13" sheetId="1" r:id="rId1"/>
    <sheet name="Stability" sheetId="2" r:id="rId2"/>
    <sheet name="Results" sheetId="3" r:id="rId3"/>
  </sheets>
  <calcPr calcId="125725"/>
</workbook>
</file>

<file path=xl/calcChain.xml><?xml version="1.0" encoding="utf-8"?>
<calcChain xmlns="http://schemas.openxmlformats.org/spreadsheetml/2006/main">
  <c r="R63" i="3"/>
  <c r="T63"/>
  <c r="V63"/>
  <c r="X63"/>
  <c r="R60"/>
  <c r="T60"/>
  <c r="V60"/>
  <c r="X60"/>
  <c r="R57"/>
  <c r="T57"/>
  <c r="V57"/>
  <c r="X57"/>
  <c r="R54"/>
  <c r="T54"/>
  <c r="V54"/>
  <c r="X54"/>
  <c r="R48"/>
  <c r="T48"/>
  <c r="V48"/>
  <c r="X48"/>
  <c r="R45"/>
  <c r="T45"/>
  <c r="V45"/>
  <c r="X45"/>
  <c r="R42"/>
  <c r="T42"/>
  <c r="V42"/>
  <c r="X42"/>
  <c r="R39"/>
  <c r="T39"/>
  <c r="V39"/>
  <c r="X39"/>
  <c r="T6"/>
  <c r="T7"/>
  <c r="T8"/>
  <c r="T9"/>
  <c r="T10"/>
  <c r="T5"/>
  <c r="S24"/>
  <c r="T24"/>
  <c r="U24"/>
  <c r="V24"/>
  <c r="S23"/>
  <c r="T23"/>
  <c r="U23"/>
  <c r="V23"/>
  <c r="R24"/>
  <c r="R23"/>
  <c r="R25" l="1"/>
  <c r="V25"/>
  <c r="S25"/>
  <c r="U25"/>
  <c r="T25"/>
  <c r="K7" l="1"/>
  <c r="K9"/>
  <c r="K11"/>
  <c r="K13"/>
  <c r="K15"/>
  <c r="K17"/>
  <c r="K19"/>
  <c r="K21"/>
  <c r="K23"/>
  <c r="K25"/>
  <c r="K27"/>
  <c r="K29"/>
  <c r="K31"/>
  <c r="K33"/>
  <c r="K35"/>
  <c r="K37"/>
  <c r="K39"/>
  <c r="K41"/>
  <c r="K43"/>
  <c r="K45"/>
  <c r="K47"/>
  <c r="K49"/>
  <c r="K51"/>
  <c r="K53"/>
  <c r="K55"/>
  <c r="K57"/>
  <c r="K59"/>
  <c r="K61"/>
  <c r="K63"/>
  <c r="K65"/>
  <c r="K67"/>
  <c r="K69"/>
  <c r="K71"/>
  <c r="K73"/>
  <c r="K75"/>
  <c r="K77"/>
  <c r="K79"/>
  <c r="K81"/>
  <c r="K83"/>
  <c r="K85"/>
  <c r="K87"/>
  <c r="K89"/>
  <c r="K91"/>
  <c r="K93"/>
  <c r="K95"/>
  <c r="K97"/>
  <c r="K99"/>
  <c r="W53"/>
  <c r="W59"/>
  <c r="K5"/>
  <c r="K6"/>
  <c r="K8"/>
  <c r="K10"/>
  <c r="K12"/>
  <c r="K14"/>
  <c r="K16"/>
  <c r="K18"/>
  <c r="K20"/>
  <c r="K22"/>
  <c r="K24"/>
  <c r="K26"/>
  <c r="K28"/>
  <c r="K30"/>
  <c r="K32"/>
  <c r="K34"/>
  <c r="K36"/>
  <c r="K38"/>
  <c r="K40"/>
  <c r="K42"/>
  <c r="K44"/>
  <c r="K46"/>
  <c r="K48"/>
  <c r="K50"/>
  <c r="K52"/>
  <c r="K54"/>
  <c r="K56"/>
  <c r="K58"/>
  <c r="K60"/>
  <c r="K62"/>
  <c r="K64"/>
  <c r="K66"/>
  <c r="K68"/>
  <c r="K70"/>
  <c r="K72"/>
  <c r="K74"/>
  <c r="K76"/>
  <c r="K78"/>
  <c r="K80"/>
  <c r="K82"/>
  <c r="K84"/>
  <c r="K86"/>
  <c r="K88"/>
  <c r="K90"/>
  <c r="K92"/>
  <c r="K94"/>
  <c r="K96"/>
  <c r="K98"/>
  <c r="K100"/>
  <c r="W56"/>
  <c r="W62"/>
  <c r="M7"/>
  <c r="M9"/>
  <c r="M11"/>
  <c r="M13"/>
  <c r="M15"/>
  <c r="M17"/>
  <c r="M19"/>
  <c r="M21"/>
  <c r="M23"/>
  <c r="M25"/>
  <c r="M27"/>
  <c r="M29"/>
  <c r="M31"/>
  <c r="M33"/>
  <c r="M35"/>
  <c r="M37"/>
  <c r="M39"/>
  <c r="M41"/>
  <c r="M43"/>
  <c r="M45"/>
  <c r="M47"/>
  <c r="M49"/>
  <c r="M51"/>
  <c r="M53"/>
  <c r="M55"/>
  <c r="M57"/>
  <c r="M59"/>
  <c r="M61"/>
  <c r="M63"/>
  <c r="M65"/>
  <c r="M67"/>
  <c r="M69"/>
  <c r="M71"/>
  <c r="M73"/>
  <c r="M75"/>
  <c r="M77"/>
  <c r="M79"/>
  <c r="M81"/>
  <c r="M83"/>
  <c r="M85"/>
  <c r="M87"/>
  <c r="M89"/>
  <c r="M91"/>
  <c r="M93"/>
  <c r="M95"/>
  <c r="M97"/>
  <c r="M99"/>
  <c r="Y30"/>
  <c r="Y32"/>
  <c r="Y53"/>
  <c r="Y59"/>
  <c r="M5"/>
  <c r="M6"/>
  <c r="M8"/>
  <c r="M10"/>
  <c r="M12"/>
  <c r="M14"/>
  <c r="M16"/>
  <c r="M18"/>
  <c r="M20"/>
  <c r="M22"/>
  <c r="M24"/>
  <c r="M26"/>
  <c r="M28"/>
  <c r="M30"/>
  <c r="M32"/>
  <c r="M34"/>
  <c r="M36"/>
  <c r="M38"/>
  <c r="M40"/>
  <c r="M42"/>
  <c r="M44"/>
  <c r="M46"/>
  <c r="M48"/>
  <c r="M50"/>
  <c r="M52"/>
  <c r="M54"/>
  <c r="M56"/>
  <c r="M58"/>
  <c r="M60"/>
  <c r="M62"/>
  <c r="M64"/>
  <c r="M66"/>
  <c r="M68"/>
  <c r="M70"/>
  <c r="M72"/>
  <c r="M74"/>
  <c r="M76"/>
  <c r="M78"/>
  <c r="M80"/>
  <c r="M82"/>
  <c r="M84"/>
  <c r="M86"/>
  <c r="M88"/>
  <c r="M90"/>
  <c r="M92"/>
  <c r="M94"/>
  <c r="M96"/>
  <c r="M98"/>
  <c r="M100"/>
  <c r="Y31"/>
  <c r="Y33"/>
  <c r="Y56"/>
  <c r="Y62"/>
  <c r="I7"/>
  <c r="I9"/>
  <c r="I11"/>
  <c r="I13"/>
  <c r="I15"/>
  <c r="I17"/>
  <c r="I19"/>
  <c r="I21"/>
  <c r="I23"/>
  <c r="I25"/>
  <c r="I27"/>
  <c r="I29"/>
  <c r="I31"/>
  <c r="I33"/>
  <c r="I35"/>
  <c r="I37"/>
  <c r="I39"/>
  <c r="I41"/>
  <c r="I43"/>
  <c r="I45"/>
  <c r="I47"/>
  <c r="I49"/>
  <c r="I51"/>
  <c r="I53"/>
  <c r="I55"/>
  <c r="I57"/>
  <c r="I59"/>
  <c r="I61"/>
  <c r="I63"/>
  <c r="I65"/>
  <c r="I67"/>
  <c r="I69"/>
  <c r="I71"/>
  <c r="I73"/>
  <c r="I75"/>
  <c r="I77"/>
  <c r="I79"/>
  <c r="I81"/>
  <c r="I83"/>
  <c r="I85"/>
  <c r="I87"/>
  <c r="I89"/>
  <c r="I91"/>
  <c r="I93"/>
  <c r="I95"/>
  <c r="I97"/>
  <c r="I99"/>
  <c r="U53"/>
  <c r="U59"/>
  <c r="I5"/>
  <c r="I6"/>
  <c r="I8"/>
  <c r="I10"/>
  <c r="I12"/>
  <c r="I14"/>
  <c r="I16"/>
  <c r="I18"/>
  <c r="I20"/>
  <c r="I22"/>
  <c r="I24"/>
  <c r="I26"/>
  <c r="I28"/>
  <c r="I30"/>
  <c r="I32"/>
  <c r="I34"/>
  <c r="I36"/>
  <c r="I38"/>
  <c r="I40"/>
  <c r="I42"/>
  <c r="I44"/>
  <c r="I46"/>
  <c r="I48"/>
  <c r="I50"/>
  <c r="I52"/>
  <c r="I54"/>
  <c r="I56"/>
  <c r="I58"/>
  <c r="I60"/>
  <c r="I62"/>
  <c r="I64"/>
  <c r="I66"/>
  <c r="I68"/>
  <c r="I70"/>
  <c r="I72"/>
  <c r="I74"/>
  <c r="I76"/>
  <c r="I78"/>
  <c r="I80"/>
  <c r="I82"/>
  <c r="I84"/>
  <c r="I86"/>
  <c r="I88"/>
  <c r="I90"/>
  <c r="I92"/>
  <c r="I94"/>
  <c r="I96"/>
  <c r="I98"/>
  <c r="I100"/>
  <c r="U56"/>
  <c r="U62"/>
  <c r="G7"/>
  <c r="G9"/>
  <c r="G11"/>
  <c r="G13"/>
  <c r="G15"/>
  <c r="G17"/>
  <c r="G19"/>
  <c r="G21"/>
  <c r="G23"/>
  <c r="G25"/>
  <c r="G27"/>
  <c r="G29"/>
  <c r="G31"/>
  <c r="G33"/>
  <c r="G35"/>
  <c r="G37"/>
  <c r="G39"/>
  <c r="G41"/>
  <c r="G43"/>
  <c r="G45"/>
  <c r="G47"/>
  <c r="G49"/>
  <c r="G51"/>
  <c r="G53"/>
  <c r="G55"/>
  <c r="G57"/>
  <c r="G59"/>
  <c r="G61"/>
  <c r="G63"/>
  <c r="G65"/>
  <c r="G67"/>
  <c r="G69"/>
  <c r="G71"/>
  <c r="G73"/>
  <c r="G75"/>
  <c r="G77"/>
  <c r="G79"/>
  <c r="G81"/>
  <c r="G83"/>
  <c r="G85"/>
  <c r="G87"/>
  <c r="G89"/>
  <c r="G91"/>
  <c r="G93"/>
  <c r="G95"/>
  <c r="G97"/>
  <c r="G99"/>
  <c r="S53"/>
  <c r="S59"/>
  <c r="G5"/>
  <c r="G6"/>
  <c r="G8"/>
  <c r="G10"/>
  <c r="G12"/>
  <c r="G14"/>
  <c r="G16"/>
  <c r="G18"/>
  <c r="G20"/>
  <c r="G22"/>
  <c r="G24"/>
  <c r="G26"/>
  <c r="G28"/>
  <c r="G30"/>
  <c r="G32"/>
  <c r="G34"/>
  <c r="G36"/>
  <c r="G38"/>
  <c r="G40"/>
  <c r="G42"/>
  <c r="G44"/>
  <c r="G46"/>
  <c r="G48"/>
  <c r="G50"/>
  <c r="G52"/>
  <c r="G54"/>
  <c r="G56"/>
  <c r="G58"/>
  <c r="G60"/>
  <c r="G62"/>
  <c r="G64"/>
  <c r="G66"/>
  <c r="G68"/>
  <c r="G70"/>
  <c r="G72"/>
  <c r="G74"/>
  <c r="G76"/>
  <c r="G78"/>
  <c r="G80"/>
  <c r="G82"/>
  <c r="G84"/>
  <c r="G86"/>
  <c r="G88"/>
  <c r="G90"/>
  <c r="G92"/>
  <c r="G94"/>
  <c r="G96"/>
  <c r="G98"/>
  <c r="G100"/>
  <c r="S56"/>
  <c r="S62"/>
</calcChain>
</file>

<file path=xl/sharedStrings.xml><?xml version="1.0" encoding="utf-8"?>
<sst xmlns="http://schemas.openxmlformats.org/spreadsheetml/2006/main" count="1650" uniqueCount="559">
  <si>
    <t/>
  </si>
  <si>
    <t>0</t>
  </si>
  <si>
    <t>0.5</t>
  </si>
  <si>
    <t>001BLKV.D</t>
  </si>
  <si>
    <t>002BLKV.D</t>
  </si>
  <si>
    <t>003BLKV.D</t>
  </si>
  <si>
    <t>004CALB.D</t>
  </si>
  <si>
    <t>005CALS.D</t>
  </si>
  <si>
    <t>006CALS.D</t>
  </si>
  <si>
    <t>007CALS.D</t>
  </si>
  <si>
    <t>008CALS.D</t>
  </si>
  <si>
    <t>009CALS.D</t>
  </si>
  <si>
    <t>010CALS.D</t>
  </si>
  <si>
    <t>011CALS.D</t>
  </si>
  <si>
    <t>012CALS.D</t>
  </si>
  <si>
    <t>013BLKV.D</t>
  </si>
  <si>
    <t>014_QC1.D</t>
  </si>
  <si>
    <t>015BLKV.D</t>
  </si>
  <si>
    <t>016SMPL.D</t>
  </si>
  <si>
    <t>017SMPL.D</t>
  </si>
  <si>
    <t>018SMPL.D</t>
  </si>
  <si>
    <t>019SMPL.D</t>
  </si>
  <si>
    <t>020SMPL.D</t>
  </si>
  <si>
    <t>021SMPL.D</t>
  </si>
  <si>
    <t>022SMPL.D</t>
  </si>
  <si>
    <t>023SMPL.D</t>
  </si>
  <si>
    <t>024SMPL.D</t>
  </si>
  <si>
    <t>025BLKV.D</t>
  </si>
  <si>
    <t>026SMPL.D</t>
  </si>
  <si>
    <t>027BLKV.D</t>
  </si>
  <si>
    <t>028SMPL.D</t>
  </si>
  <si>
    <t>029BLKV.D</t>
  </si>
  <si>
    <t>030SMPL.D</t>
  </si>
  <si>
    <t>031BLKV.D</t>
  </si>
  <si>
    <t>032_QC1.D</t>
  </si>
  <si>
    <t>033BLKV.D</t>
  </si>
  <si>
    <t>034BLKV.D</t>
  </si>
  <si>
    <t>035_QC1.D</t>
  </si>
  <si>
    <t>036BLKV.D</t>
  </si>
  <si>
    <t>037SMPL.D</t>
  </si>
  <si>
    <t>038SMPL.D</t>
  </si>
  <si>
    <t>039SMPL.D</t>
  </si>
  <si>
    <t>040SMPL.D</t>
  </si>
  <si>
    <t>041SMPL.D</t>
  </si>
  <si>
    <t>042SMPL.D</t>
  </si>
  <si>
    <t>043SMPL.D</t>
  </si>
  <si>
    <t>044SMPL.D</t>
  </si>
  <si>
    <t>045SMPL.D</t>
  </si>
  <si>
    <t>046SMPL.D</t>
  </si>
  <si>
    <t>047SMPL.D</t>
  </si>
  <si>
    <t>048SMPL.D</t>
  </si>
  <si>
    <t>049BLKV.D</t>
  </si>
  <si>
    <t>050_QC1.D</t>
  </si>
  <si>
    <t>051BLKV.D</t>
  </si>
  <si>
    <t>052SMPL.D</t>
  </si>
  <si>
    <t>053SMPL.D</t>
  </si>
  <si>
    <t>054SMPL.D</t>
  </si>
  <si>
    <t>055SMPL.D</t>
  </si>
  <si>
    <t>056SMPL.D</t>
  </si>
  <si>
    <t>057SMPL.D</t>
  </si>
  <si>
    <t>058SMPL.D</t>
  </si>
  <si>
    <t>059SMPL.D</t>
  </si>
  <si>
    <t>060SMPL.D</t>
  </si>
  <si>
    <t>061SMPL.D</t>
  </si>
  <si>
    <t>062SMPL.D</t>
  </si>
  <si>
    <t>063SMPL.D</t>
  </si>
  <si>
    <t>064BLKV.D</t>
  </si>
  <si>
    <t>065_QC1.D</t>
  </si>
  <si>
    <t>066BLKV.D</t>
  </si>
  <si>
    <t>067SMPL.D</t>
  </si>
  <si>
    <t>068SMPL.D</t>
  </si>
  <si>
    <t>069SMPL.D</t>
  </si>
  <si>
    <t>070SMPL.D</t>
  </si>
  <si>
    <t>071SMPL.D</t>
  </si>
  <si>
    <t>072SMPL.D</t>
  </si>
  <si>
    <t>073SMPL.D</t>
  </si>
  <si>
    <t>074SMPL.D</t>
  </si>
  <si>
    <t>075SMPL.D</t>
  </si>
  <si>
    <t>076SMPL.D</t>
  </si>
  <si>
    <t>077SMPL.D</t>
  </si>
  <si>
    <t>078SMPL.D</t>
  </si>
  <si>
    <t>079BLKV.D</t>
  </si>
  <si>
    <t>080_QC1.D</t>
  </si>
  <si>
    <t>081BLKV.D</t>
  </si>
  <si>
    <t>082SMPL.D</t>
  </si>
  <si>
    <t>083SMPL.D</t>
  </si>
  <si>
    <t>084SMPL.D</t>
  </si>
  <si>
    <t>085SMPL.D</t>
  </si>
  <si>
    <t>086SMPL.D</t>
  </si>
  <si>
    <t>087SMPL.D</t>
  </si>
  <si>
    <t>088SMPL.D</t>
  </si>
  <si>
    <t>089SMPL.D</t>
  </si>
  <si>
    <t>090SMPL.D</t>
  </si>
  <si>
    <t>091SMPL.D</t>
  </si>
  <si>
    <t>092SMPL.D</t>
  </si>
  <si>
    <t>093SMPL.D</t>
  </si>
  <si>
    <t>094BLKV.D</t>
  </si>
  <si>
    <t>095_QC1.D</t>
  </si>
  <si>
    <t>096BLKV.D</t>
  </si>
  <si>
    <t>097SMPL.D</t>
  </si>
  <si>
    <t>098SMPL.D</t>
  </si>
  <si>
    <t>099SMPL.D</t>
  </si>
  <si>
    <t>1</t>
  </si>
  <si>
    <t>10</t>
  </si>
  <si>
    <t>100</t>
  </si>
  <si>
    <t>1000</t>
  </si>
  <si>
    <t>100SMPL.D</t>
  </si>
  <si>
    <t>101SMPL.D</t>
  </si>
  <si>
    <t>102SMPL.D</t>
  </si>
  <si>
    <t>103SMPL.D</t>
  </si>
  <si>
    <t>104SMPL.D</t>
  </si>
  <si>
    <t>105SMPL.D</t>
  </si>
  <si>
    <t>106SMPL.D</t>
  </si>
  <si>
    <t>107SMPL.D</t>
  </si>
  <si>
    <t>108SMPL.D</t>
  </si>
  <si>
    <t>109BLKV.D</t>
  </si>
  <si>
    <t>11</t>
  </si>
  <si>
    <t>110_QC1.D</t>
  </si>
  <si>
    <t>111BLKV.D</t>
  </si>
  <si>
    <t>112SMPL.D</t>
  </si>
  <si>
    <t>113SMPL.D</t>
  </si>
  <si>
    <t>114SMPL.D</t>
  </si>
  <si>
    <t>115SMPL.D</t>
  </si>
  <si>
    <t>116SMPL.D</t>
  </si>
  <si>
    <t>117SMPL.D</t>
  </si>
  <si>
    <t>118SMPL.D</t>
  </si>
  <si>
    <t>119SMPL.D</t>
  </si>
  <si>
    <t>12</t>
  </si>
  <si>
    <t>120SMPL.D</t>
  </si>
  <si>
    <t>121SMPL.D</t>
  </si>
  <si>
    <t>122SMPL.D</t>
  </si>
  <si>
    <t>123SMPL.D</t>
  </si>
  <si>
    <t>124BLKV.D</t>
  </si>
  <si>
    <t>125_QC1.D</t>
  </si>
  <si>
    <t>126BLKV.D</t>
  </si>
  <si>
    <t>127SMPL.D</t>
  </si>
  <si>
    <t>128SMPL.D</t>
  </si>
  <si>
    <t>129SMPL.D</t>
  </si>
  <si>
    <t>13</t>
  </si>
  <si>
    <t>130SMPL.D</t>
  </si>
  <si>
    <t>131SMPL.D</t>
  </si>
  <si>
    <t>132SMPL.D</t>
  </si>
  <si>
    <t>133SMPL.D</t>
  </si>
  <si>
    <t>134SMPL.D</t>
  </si>
  <si>
    <t>135SMPL.D</t>
  </si>
  <si>
    <t>136SMPL.D</t>
  </si>
  <si>
    <t>137SMPL.D</t>
  </si>
  <si>
    <t>138SMPL.D</t>
  </si>
  <si>
    <t>139BLKV.D</t>
  </si>
  <si>
    <t>14</t>
  </si>
  <si>
    <t>140_QC1.D</t>
  </si>
  <si>
    <t>141BLKV.D</t>
  </si>
  <si>
    <t>142SMPL.D</t>
  </si>
  <si>
    <t>143SMPL.D</t>
  </si>
  <si>
    <t>144SMPL.D</t>
  </si>
  <si>
    <t>145SMPL.D</t>
  </si>
  <si>
    <t>146SMPL.D</t>
  </si>
  <si>
    <t>147SMPL.D</t>
  </si>
  <si>
    <t>148SMPL.D</t>
  </si>
  <si>
    <t>149SMPL.D</t>
  </si>
  <si>
    <t>15</t>
  </si>
  <si>
    <t>150SMPL.D</t>
  </si>
  <si>
    <t>151SMPL.D</t>
  </si>
  <si>
    <t>152SMPL.D</t>
  </si>
  <si>
    <t>153SMPL.D</t>
  </si>
  <si>
    <t>154SMPL.D</t>
  </si>
  <si>
    <t>155BLKV.D</t>
  </si>
  <si>
    <t>156_QC1.D</t>
  </si>
  <si>
    <t>157BLKV.D</t>
  </si>
  <si>
    <t>158BLKV.D</t>
  </si>
  <si>
    <t>159CALB.D</t>
  </si>
  <si>
    <t>16</t>
  </si>
  <si>
    <t>160CALS.D</t>
  </si>
  <si>
    <t>161CALS.D</t>
  </si>
  <si>
    <t>162CALS.D</t>
  </si>
  <si>
    <t>163CALS.D</t>
  </si>
  <si>
    <t>164CALS.D</t>
  </si>
  <si>
    <t>165CALS.D</t>
  </si>
  <si>
    <t>166CALS.D</t>
  </si>
  <si>
    <t>167CALS.D</t>
  </si>
  <si>
    <t>168BLKV.D</t>
  </si>
  <si>
    <t>169_QC1.D</t>
  </si>
  <si>
    <t>17</t>
  </si>
  <si>
    <t>170BLKV.D</t>
  </si>
  <si>
    <t>171BLKV.D</t>
  </si>
  <si>
    <t>172BLKV.D</t>
  </si>
  <si>
    <t>173BLKV.D</t>
  </si>
  <si>
    <t>18</t>
  </si>
  <si>
    <t>19</t>
  </si>
  <si>
    <t>2</t>
  </si>
  <si>
    <t>20</t>
  </si>
  <si>
    <t xml:space="preserve">209  Bi ( ISTD )  [ 1 ] </t>
  </si>
  <si>
    <t>21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</si>
  <si>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</si>
  <si>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</si>
  <si>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</si>
  <si>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</si>
  <si>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</si>
  <si>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</si>
  <si>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</si>
  <si>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</si>
  <si>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</si>
  <si>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</si>
  <si>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22</t>
  </si>
  <si>
    <t>2201</t>
  </si>
  <si>
    <t>23</t>
  </si>
  <si>
    <t>24</t>
  </si>
  <si>
    <t>25</t>
  </si>
  <si>
    <t>26</t>
  </si>
  <si>
    <t>27</t>
  </si>
  <si>
    <t>28</t>
  </si>
  <si>
    <t>29</t>
  </si>
  <si>
    <t>3</t>
  </si>
  <si>
    <t>30</t>
  </si>
  <si>
    <t>31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</si>
  <si>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</si>
  <si>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</si>
  <si>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</si>
  <si>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</si>
  <si>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</si>
  <si>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</si>
  <si>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</si>
  <si>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</si>
  <si>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</si>
  <si>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</si>
  <si>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</si>
  <si>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</si>
  <si>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32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</si>
  <si>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</si>
  <si>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</si>
  <si>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</si>
  <si>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</si>
  <si>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</si>
  <si>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</si>
  <si>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</si>
  <si>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</si>
  <si>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</si>
  <si>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</si>
  <si>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</si>
  <si>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</si>
  <si>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33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</si>
  <si>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</si>
  <si>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</si>
  <si>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</si>
  <si>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</si>
  <si>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</si>
  <si>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</si>
  <si>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</si>
  <si>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</si>
  <si>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</si>
  <si>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</si>
  <si>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</si>
  <si>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</si>
  <si>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34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</si>
  <si>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</si>
  <si>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</si>
  <si>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</si>
  <si>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</si>
  <si>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</si>
  <si>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</si>
  <si>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</si>
  <si>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</si>
  <si>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</si>
  <si>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</si>
  <si>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</si>
  <si>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</si>
  <si>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35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</si>
  <si>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</si>
  <si>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</si>
  <si>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</si>
  <si>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</si>
  <si>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</si>
  <si>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</si>
  <si>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</si>
  <si>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</si>
  <si>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</si>
  <si>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</si>
  <si>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</si>
  <si>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</si>
  <si>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36</t>
  </si>
  <si>
    <t>37</t>
  </si>
  <si>
    <t>38</t>
  </si>
  <si>
    <t>39</t>
  </si>
  <si>
    <t>4</t>
  </si>
  <si>
    <t>40</t>
  </si>
  <si>
    <t>41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</si>
  <si>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</si>
  <si>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</si>
  <si>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</si>
  <si>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</si>
  <si>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</si>
  <si>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</si>
  <si>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</si>
  <si>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</si>
  <si>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</si>
  <si>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</si>
  <si>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</si>
  <si>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</si>
  <si>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42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</si>
  <si>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</si>
  <si>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</si>
  <si>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</si>
  <si>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</si>
  <si>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</si>
  <si>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</si>
  <si>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</si>
  <si>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</si>
  <si>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</si>
  <si>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</si>
  <si>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</si>
  <si>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</si>
  <si>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43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</si>
  <si>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</si>
  <si>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</si>
  <si>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</si>
  <si>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</si>
  <si>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</si>
  <si>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</si>
  <si>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</si>
  <si>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</si>
  <si>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</si>
  <si>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</si>
  <si>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</si>
  <si>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</si>
  <si>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44</t>
  </si>
  <si>
    <t xml:space="preserve">44  Ca  [ 1 ] 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</si>
  <si>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</si>
  <si>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</si>
  <si>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</si>
  <si>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</si>
  <si>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</si>
  <si>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</si>
  <si>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</si>
  <si>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</si>
  <si>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</si>
  <si>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</si>
  <si>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</si>
  <si>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</si>
  <si>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45</t>
  </si>
  <si>
    <t xml:space="preserve">45  Sc ( ISTD )  [ 1 ] </t>
  </si>
  <si>
    <t>46</t>
  </si>
  <si>
    <t>47</t>
  </si>
  <si>
    <t>48</t>
  </si>
  <si>
    <t>49</t>
  </si>
  <si>
    <t>5</t>
  </si>
  <si>
    <t>50</t>
  </si>
  <si>
    <t>51</t>
  </si>
  <si>
    <t>52</t>
  </si>
  <si>
    <t>53</t>
  </si>
  <si>
    <t>54</t>
  </si>
  <si>
    <t>55</t>
  </si>
  <si>
    <t xml:space="preserve">55  Mn  [ 1 ] </t>
  </si>
  <si>
    <t>56</t>
  </si>
  <si>
    <t xml:space="preserve">56  Fe  [ 1 ] </t>
  </si>
  <si>
    <t>57</t>
  </si>
  <si>
    <t xml:space="preserve">57  Fe  [ 1 ] </t>
  </si>
  <si>
    <t>58</t>
  </si>
  <si>
    <t>59</t>
  </si>
  <si>
    <t xml:space="preserve">59  Co  [ 1 ] </t>
  </si>
  <si>
    <t>6</t>
  </si>
  <si>
    <t>60</t>
  </si>
  <si>
    <t>61</t>
  </si>
  <si>
    <t>62</t>
  </si>
  <si>
    <t>63</t>
  </si>
  <si>
    <t xml:space="preserve">63  Cu  [ 1 ] </t>
  </si>
  <si>
    <t>64</t>
  </si>
  <si>
    <t xml:space="preserve">64  Zn  [ 1 ] </t>
  </si>
  <si>
    <t>65</t>
  </si>
  <si>
    <t>66</t>
  </si>
  <si>
    <t xml:space="preserve">66  Zn  [ 1 ] </t>
  </si>
  <si>
    <t>67</t>
  </si>
  <si>
    <t>68</t>
  </si>
  <si>
    <t>69</t>
  </si>
  <si>
    <t>7</t>
  </si>
  <si>
    <t>70</t>
  </si>
  <si>
    <t>71</t>
  </si>
  <si>
    <t>72</t>
  </si>
  <si>
    <t xml:space="preserve">72  Ge ( ISTD )  [ 1 ] </t>
  </si>
  <si>
    <t>73</t>
  </si>
  <si>
    <t>74</t>
  </si>
  <si>
    <t>75</t>
  </si>
  <si>
    <t>76</t>
  </si>
  <si>
    <t>77</t>
  </si>
  <si>
    <t>78</t>
  </si>
  <si>
    <t>79</t>
  </si>
  <si>
    <t>8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</si>
  <si>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</si>
  <si>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</si>
  <si>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</si>
  <si>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</si>
  <si>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</si>
  <si>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</si>
  <si>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</si>
  <si>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</si>
  <si>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</si>
  <si>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</si>
  <si>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</t>
  </si>
  <si>
    <t>90</t>
  </si>
  <si>
    <t>91</t>
  </si>
  <si>
    <t>92</t>
  </si>
  <si>
    <t>93</t>
  </si>
  <si>
    <t>94</t>
  </si>
  <si>
    <t>95</t>
  </si>
  <si>
    <t>96</t>
  </si>
  <si>
    <t>&lt;0.021</t>
  </si>
  <si>
    <t>&lt;0.026</t>
  </si>
  <si>
    <t>&lt;0.048</t>
  </si>
  <si>
    <t>&lt;0.072</t>
  </si>
  <si>
    <t>&lt;0.078</t>
  </si>
  <si>
    <t>&lt;0.134</t>
  </si>
  <si>
    <t>&lt;0.139</t>
  </si>
  <si>
    <t>&lt;0.140</t>
  </si>
  <si>
    <t>&lt;0.145</t>
  </si>
  <si>
    <t>&lt;0.146</t>
  </si>
  <si>
    <t>&lt;0.397</t>
  </si>
  <si>
    <t>&lt;0.568</t>
  </si>
  <si>
    <t>&lt;0.796</t>
  </si>
  <si>
    <t>&lt;1.699</t>
  </si>
  <si>
    <t>&lt;6.668</t>
  </si>
  <si>
    <t>Acid 5-13</t>
  </si>
  <si>
    <t>Acid 6-3</t>
  </si>
  <si>
    <t>Acid 6-5</t>
  </si>
  <si>
    <t>Acid 6-7</t>
  </si>
  <si>
    <t>Acq. Date-Time</t>
  </si>
  <si>
    <t>BlkVrfy</t>
  </si>
  <si>
    <t>Bovine 5-13</t>
  </si>
  <si>
    <t>Bovine 6-3</t>
  </si>
  <si>
    <t>Bovine 6-5</t>
  </si>
  <si>
    <t>Bovine 6-7</t>
  </si>
  <si>
    <t>CEM 5-13</t>
  </si>
  <si>
    <t>CEM 6-3</t>
  </si>
  <si>
    <t>CEM 6-5</t>
  </si>
  <si>
    <t>CEM 6-7</t>
  </si>
  <si>
    <t>CPS</t>
  </si>
  <si>
    <t>CPS RSD</t>
  </si>
  <si>
    <t>Ca[1]: CPS RSD value = 5.25 is over the allowed maximum = 5.00</t>
  </si>
  <si>
    <t>Ca[1]: Calibration Stability(QC1) value = 121.08% is outside the allowed range [80.00%, 120.00%]</t>
  </si>
  <si>
    <t>Ca[1]: Calibration Stability(QC1) value = 122.66% is outside the allowed range [80.00%, 120.00%]</t>
  </si>
  <si>
    <t>Ca[1]: Calibration Stability(QC1) value = 130.68% is outside the allowed range [80.00%, 120.00%]</t>
  </si>
  <si>
    <t>CalBlk</t>
  </si>
  <si>
    <t>CalStd</t>
  </si>
  <si>
    <t>Conc. [ ppb ]</t>
  </si>
  <si>
    <t>Data File</t>
  </si>
  <si>
    <t>Dilution</t>
  </si>
  <si>
    <t>Fe[1]: CPS RSD value = 5.12 is over the allowed maximum = 5.00
Ge[1]: CPS RSD value = 11.16 is over the allowed maximum = 5.00
Bi[1]: CPS RSD value = 8.91 is over the allowed maximum = 5.00</t>
  </si>
  <si>
    <t>Ge[1]: CPS RSD value = 10.20 is over the allowed maximum = 5.00
Bi[1]: CPS RSD value = 6.80 is over the allowed maximum = 5.00</t>
  </si>
  <si>
    <t>Ge[1]: CPS RSD value = 11.75 is over the allowed maximum = 5.00</t>
  </si>
  <si>
    <t>Ge[1]: CPS RSD value = 12.46 is over the allowed maximum = 5.00
Bi[1]: CPS RSD value = 7.48 is over the allowed maximum = 5.00</t>
  </si>
  <si>
    <t>Ge[1]: CPS RSD value = 16.29 is over the allowed maximum = 5.00
Bi[1]: CPS RSD value = 12.31 is over the allowed maximum = 5.00</t>
  </si>
  <si>
    <t>Ge[1]: CPS RSD value = 6.36 is over the allowed maximum = 5.00</t>
  </si>
  <si>
    <t>Ge[1]: CPS RSD value = 7.66 is over the allowed maximum = 5.00</t>
  </si>
  <si>
    <t>Level</t>
  </si>
  <si>
    <t>QC1</t>
  </si>
  <si>
    <t>Rjct</t>
  </si>
  <si>
    <t>Sample</t>
  </si>
  <si>
    <t>Sample Name</t>
  </si>
  <si>
    <t>Sc[1]: CPS RSD value = 13.50 is over the allowed maximum = 5.00
Ge[1]: CPS RSD value = 10.43 is over the allowed maximum = 5.00
Bi[1]: CPS RSD value = 11.48 is over the allowed maximum = 5.00</t>
  </si>
  <si>
    <t>Sc[1]: CPS RSD value = 15.53 is over the allowed maximum = 5.00
Mn[1]: CPS RSD value = 8.99 is over the allowed maximum = 5.00
Fe[1]: CPS RSD value = 9.35 is over the allowed maximum = 5.00
Co[1]: CPS RSD value = 8.53 is over the allowed maximum = 5.00
Cu[1]: CPS RSD value = 9.20 is over the allowed maximum = 5.00
Zn[1]: CPS RSD value = 9.45 is over the allowed maximum = 5.00
Zn[1]: CPS RSD value = 10.18 is over the allowed maximum = 5.00
Ge[1]: CPS RSD value = 12.48 is over the allowed maximum = 5.00
Bi[1]: CPS RSD value = 13.42 is over the allowed maximum = 5.00</t>
  </si>
  <si>
    <t>Sc[1]: CPS RSD value = 16.69 is over the allowed maximum = 5.00
Ge[1]: CPS RSD value = 9.50 is over the allowed maximum = 5.00
Bi[1]: CPS RSD value = 14.02 is over the allowed maximum = 5.00</t>
  </si>
  <si>
    <t>Sc[1]: CPS RSD value = 18.23 is over the allowed maximum = 5.00
Sc[1]: ISTD Recovery Percent value = 124.10 is outside the allowed range [80.00, 120.00]
Ge[1]: CPS RSD value = 17.63 is over the allowed maximum = 5.00
Bi[1]: CPS RSD value = 17.46 is over the allowed maximum = 5.00</t>
  </si>
  <si>
    <t>Sc[1]: CPS RSD value = 28.95 is over the allowed maximum = 5.00
Fe[1]: CPS RSD value = 5.19 is over the allowed maximum = 5.00
Ge[1]: CPS RSD value = 20.28 is over the allowed maximum = 5.00
Bi[1]: CPS RSD value = 23.98 is over the allowed maximum = 5.00</t>
  </si>
  <si>
    <t>Sc[1]: CPS RSD value = 31.82 is over the allowed maximum = 5.00
Ge[1]: CPS RSD value = 27.08 is over the allowed maximum = 5.00
Bi[1]: CPS RSD value = 29.41 is over the allowed maximum = 5.00</t>
  </si>
  <si>
    <t>Sc[1]: CPS RSD value = 5.25 is over the allowed maximum = 5.00
Ge[1]: CPS RSD value = 9.60 is over the allowed maximum = 5.00
Bi[1]: CPS RSD value = 9.79 is over the allowed maximum = 5.00</t>
  </si>
  <si>
    <t>Sc[1]: CPS RSD value = 5.26 is over the allowed maximum = 5.00</t>
  </si>
  <si>
    <t>Sc[1]: CPS RSD value = 5.30 is over the allowed maximum = 5.00</t>
  </si>
  <si>
    <t>Sc[1]: CPS RSD value = 5.49 is over the allowed maximum = 5.00
Ge[1]: CPS RSD value = 8.91 is over the allowed maximum = 5.00
Bi[1]: CPS RSD value = 9.76 is over the allowed maximum = 5.00</t>
  </si>
  <si>
    <t>Sc[1]: CPS RSD value = 5.50 is over the allowed maximum = 5.00
Bi[1]: CPS RSD value = 5.61 is over the allowed maximum = 5.00</t>
  </si>
  <si>
    <t>Sc[1]: CPS RSD value = 5.51 is over the allowed maximum = 5.00
Sc[1]: ISTD Recovery Percent value = 133.43 is outside the allowed range [80.00, 120.00]
Ge[1]: CPS RSD value = 9.23 is over the allowed maximum = 5.00
Bi[1]: CPS RSD value = 7.22 is over the allowed maximum = 5.00
Bi[1]: ISTD Recovery Percent value = 128.59 is outside the allowed range [80.00, 120.00]</t>
  </si>
  <si>
    <t>Sc[1]: CPS RSD value = 5.54 is over the allowed maximum = 5.00</t>
  </si>
  <si>
    <t>Sc[1]: CPS RSD value = 5.78 is over the allowed maximum = 5.00
Ge[1]: CPS RSD value = 5.09 is over the allowed maximum = 5.00</t>
  </si>
  <si>
    <t>Sc[1]: CPS RSD value = 6.05 is over the allowed maximum = 5.00
Ge[1]: CPS RSD value = 9.47 is over the allowed maximum = 5.00
Bi[1]: CPS RSD value = 7.21 is over the allowed maximum = 5.00</t>
  </si>
  <si>
    <t>Sc[1]: CPS RSD value = 6.25 is over the allowed maximum = 5.00
Sc[1]: ISTD Recovery Percent value = 142.11 is outside the allowed range [80.00, 120.00]
Bi[1]: ISTD Recovery Percent value = 135.16 is outside the allowed range [80.00, 120.00]</t>
  </si>
  <si>
    <t>Sc[1]: CPS RSD value = 6.35 is over the allowed maximum = 5.00
Ge[1]: CPS RSD value = 6.74 is over the allowed maximum = 5.00
Bi[1]: CPS RSD value = 5.34 is over the allowed maximum = 5.00</t>
  </si>
  <si>
    <t>Sc[1]: CPS RSD value = 6.73 is over the allowed maximum = 5.00
Ge[1]: CPS RSD value = 5.67 is over the allowed maximum = 5.00
Bi[1]: CPS RSD value = 6.71 is over the allowed maximum = 5.00</t>
  </si>
  <si>
    <t>Sc[1]: CPS RSD value = 7.18 is over the allowed maximum = 5.00
Bi[1]: CPS RSD value = 5.69 is over the allowed maximum = 5.00</t>
  </si>
  <si>
    <t>Sc[1]: CPS RSD value = 7.49 is over the allowed maximum = 5.00
Ge[1]: CPS RSD value = 8.79 is over the allowed maximum = 5.00
Bi[1]: CPS RSD value = 8.08 is over the allowed maximum = 5.00</t>
  </si>
  <si>
    <t>Sc[1]: CPS RSD value = 8.19 is over the allowed maximum = 5.00
Ge[1]: CPS RSD value = 6.68 is over the allowed maximum = 5.00
Bi[1]: CPS RSD value = 9.39 is over the allowed maximum = 5.00</t>
  </si>
  <si>
    <t>Sc[1]: CPS RSD value = 9.32 is over the allowed maximum = 5.00
Bi[1]: CPS RSD value = 6.85 is over the allowed maximum = 5.00</t>
  </si>
  <si>
    <t>Sc[1]: ISTD Recovery Percent value = 120.07 is outside the allowed range [80.00, 120.00]</t>
  </si>
  <si>
    <t>Sc[1]: ISTD Recovery Percent value = 121.55 is outside the allowed range [80.00, 120.00]</t>
  </si>
  <si>
    <t>Sc[1]: ISTD Recovery Percent value = 122.10 is outside the allowed range [80.00, 120.00]</t>
  </si>
  <si>
    <t>Type</t>
  </si>
  <si>
    <t>Vial Number</t>
  </si>
  <si>
    <t>check 10</t>
  </si>
  <si>
    <t>Ca [ppb]</t>
  </si>
  <si>
    <t>Mn [ppb]</t>
  </si>
  <si>
    <t>Fe [ppb]</t>
  </si>
  <si>
    <t>Co [ppb]</t>
  </si>
  <si>
    <t>Cu [ppb]</t>
  </si>
  <si>
    <t>Zn [ppb]</t>
  </si>
  <si>
    <t>Published reference value</t>
  </si>
  <si>
    <t>% recovery</t>
  </si>
  <si>
    <t>Standard elemental solution concentration</t>
  </si>
  <si>
    <t>Tune Step</t>
  </si>
  <si>
    <t>Mass</t>
  </si>
  <si>
    <t>Name</t>
  </si>
  <si>
    <t>R</t>
  </si>
  <si>
    <t>a</t>
  </si>
  <si>
    <t>b (blank)</t>
  </si>
  <si>
    <t>DL</t>
  </si>
  <si>
    <t>BEC</t>
  </si>
  <si>
    <t>Ca</t>
  </si>
  <si>
    <t>Mn</t>
  </si>
  <si>
    <t>Fe</t>
  </si>
  <si>
    <t>Co</t>
  </si>
  <si>
    <t>Cu</t>
  </si>
  <si>
    <t>Zn</t>
  </si>
  <si>
    <t>Mn [ug/g]</t>
  </si>
  <si>
    <t>Fe [ug/g]</t>
  </si>
  <si>
    <t>Cu [ug/g]</t>
  </si>
  <si>
    <t>Zn [ug/g]</t>
  </si>
  <si>
    <t>Mn CoV [ug/g]</t>
  </si>
  <si>
    <t>Fe CoV [ug/g]</t>
  </si>
  <si>
    <t>Cu CoV [ug/g]</t>
  </si>
  <si>
    <t>Zn CoV [ug/g]</t>
  </si>
  <si>
    <t>Average</t>
  </si>
  <si>
    <t>Standard deviation</t>
  </si>
  <si>
    <t>CoV</t>
  </si>
  <si>
    <t>Mn CoV [ppb]</t>
  </si>
  <si>
    <t>Fe CoV [ppb]</t>
  </si>
  <si>
    <t>Cu CoV [ppb]</t>
  </si>
  <si>
    <t>Zn CoV [ppb]</t>
  </si>
  <si>
    <t>Mn [ppm]</t>
  </si>
  <si>
    <t>Fe [ppm]</t>
  </si>
  <si>
    <t>Cu [ppm]</t>
  </si>
  <si>
    <t>Zn [ppm]</t>
  </si>
  <si>
    <t>Mn CoV [ppm]</t>
  </si>
  <si>
    <t>Fe CoV [ppm]</t>
  </si>
  <si>
    <t>Cu CoV [ppm]</t>
  </si>
  <si>
    <t>Zn CoV [ppm]</t>
  </si>
  <si>
    <t>Sampled area</t>
  </si>
  <si>
    <t>Description</t>
  </si>
  <si>
    <t>G</t>
  </si>
  <si>
    <t>H</t>
  </si>
  <si>
    <t>I</t>
  </si>
  <si>
    <t>T</t>
  </si>
  <si>
    <t>Globus pallidus</t>
  </si>
  <si>
    <t>Putamen</t>
  </si>
  <si>
    <t>Caudate</t>
  </si>
  <si>
    <t>Thalamus</t>
  </si>
  <si>
    <t>Detection limit [ppb]</t>
  </si>
  <si>
    <t>Background equivalent concentration [ppb]</t>
  </si>
  <si>
    <r>
      <t xml:space="preserve">Detection limit </t>
    </r>
    <r>
      <rPr>
        <b/>
        <sz val="10"/>
        <color theme="1"/>
        <rFont val="Calibri"/>
        <family val="2"/>
      </rPr>
      <t>×</t>
    </r>
    <r>
      <rPr>
        <b/>
        <sz val="10"/>
        <color theme="1"/>
        <rFont val="Arial"/>
        <family val="2"/>
      </rPr>
      <t xml:space="preserve"> 5 [ppb]</t>
    </r>
  </si>
  <si>
    <t>NIST bovine control 5-13-13</t>
  </si>
  <si>
    <t>NIST bovine 6-3-13</t>
  </si>
  <si>
    <t>NIST bovine 6-5-13</t>
  </si>
  <si>
    <t>NIST bovine 6-7-13</t>
  </si>
  <si>
    <t>Elemental control 5-13-13</t>
  </si>
  <si>
    <t>Elemental control 6-3-13</t>
  </si>
  <si>
    <t>Elemental control 6-5-13</t>
  </si>
  <si>
    <t>Elemental control 6-7-13</t>
  </si>
  <si>
    <t>Acid control 5-13-13</t>
  </si>
  <si>
    <t>Acid control 6-3-13</t>
  </si>
  <si>
    <t>Acid control 6-5-13</t>
  </si>
  <si>
    <t>Acid control 6-7-13</t>
  </si>
  <si>
    <t>Coefficient of Variance (CoV):</t>
  </si>
  <si>
    <t>Backgrounds and detection limits:</t>
  </si>
  <si>
    <t>Sample measurements:</t>
  </si>
  <si>
    <t>Control measurements:</t>
  </si>
</sst>
</file>

<file path=xl/styles.xml><?xml version="1.0" encoding="utf-8"?>
<styleSheet xmlns="http://schemas.openxmlformats.org/spreadsheetml/2006/main">
  <numFmts count="5">
    <numFmt numFmtId="164" formatCode="m/d/yyyy\ h:mm\ AM/PM"/>
    <numFmt numFmtId="165" formatCode="[$-409]m/d/yy\ h:mm\ AM/PM;@"/>
    <numFmt numFmtId="166" formatCode="0.0000"/>
    <numFmt numFmtId="167" formatCode="0.000"/>
    <numFmt numFmtId="168" formatCode="0.0"/>
  </numFmts>
  <fonts count="8">
    <font>
      <sz val="10"/>
      <name val="Arial"/>
    </font>
    <font>
      <sz val="10"/>
      <name val="Arial"/>
    </font>
    <font>
      <sz val="8.25"/>
      <color indexed="72"/>
      <name val="Arial"/>
    </font>
    <font>
      <sz val="8.25"/>
      <color indexed="64"/>
      <name val="Arial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10"/>
      </patternFill>
    </fill>
    <fill>
      <patternFill patternType="solid">
        <fgColor indexed="9"/>
        <bgColor indexed="10"/>
      </patternFill>
    </fill>
    <fill>
      <patternFill patternType="solid">
        <fgColor indexed="8"/>
        <bgColor indexed="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164" fontId="3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165" fontId="0" fillId="0" borderId="0" xfId="0" applyNumberFormat="1"/>
    <xf numFmtId="165" fontId="5" fillId="0" borderId="6" xfId="0" applyNumberFormat="1" applyFon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1" fillId="0" borderId="0" xfId="0" applyNumberFormat="1" applyFont="1"/>
    <xf numFmtId="166" fontId="0" fillId="0" borderId="1" xfId="0" applyNumberFormat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166" fontId="0" fillId="0" borderId="10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/>
    </xf>
    <xf numFmtId="167" fontId="0" fillId="0" borderId="10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68" fontId="0" fillId="0" borderId="9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8" fontId="0" fillId="0" borderId="2" xfId="0" applyNumberForma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66" fontId="4" fillId="0" borderId="9" xfId="0" applyNumberFormat="1" applyFont="1" applyBorder="1" applyAlignment="1">
      <alignment horizontal="center" vertical="center"/>
    </xf>
    <xf numFmtId="166" fontId="4" fillId="0" borderId="10" xfId="0" applyNumberFormat="1" applyFont="1" applyBorder="1" applyAlignment="1">
      <alignment horizontal="center" vertical="center"/>
    </xf>
    <xf numFmtId="0" fontId="4" fillId="0" borderId="0" xfId="0" applyFont="1"/>
    <xf numFmtId="2" fontId="1" fillId="0" borderId="0" xfId="0" applyNumberFormat="1" applyFont="1"/>
    <xf numFmtId="2" fontId="0" fillId="0" borderId="0" xfId="0" applyNumberFormat="1"/>
    <xf numFmtId="166" fontId="1" fillId="0" borderId="0" xfId="0" applyNumberFormat="1" applyFont="1"/>
    <xf numFmtId="166" fontId="0" fillId="0" borderId="0" xfId="0" applyNumberFormat="1"/>
    <xf numFmtId="168" fontId="1" fillId="0" borderId="0" xfId="0" applyNumberFormat="1" applyFont="1"/>
    <xf numFmtId="168" fontId="0" fillId="0" borderId="0" xfId="0" applyNumberFormat="1"/>
    <xf numFmtId="2" fontId="0" fillId="0" borderId="2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91">
    <dxf>
      <alignment horizontal="center" vertical="center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-409]m/d/yy\ h:mm\ AM/PM;@"/>
      <alignment horizontal="center" vertical="center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-409]m/d/yy\ h:mm\ AM/PM;@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</dxf>
    <dxf>
      <border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</dxf>
    <dxf>
      <border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7" formatCode="0.0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0.0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-409]m/d/yy\ h:mm\ AM/PM;@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</dxf>
    <dxf>
      <border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0.00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</dxf>
    <dxf>
      <border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0.00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</dxf>
    <dxf>
      <border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1"/>
      </font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0.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0.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-409]m/d/yy\ h:mm\ AM/PM;@"/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relativeIndent="255" justifyLastLine="0" shrinkToFit="0" mergeCell="0" readingOrder="0"/>
    </dxf>
    <dxf>
      <border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1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0F0F0"/>
      <rgbColor rgb="00EFEFEF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9</xdr:col>
      <xdr:colOff>600075</xdr:colOff>
      <xdr:row>32</xdr:row>
      <xdr:rowOff>85725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0" y="2105025"/>
          <a:ext cx="5476875" cy="3162300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19</xdr:col>
      <xdr:colOff>600075</xdr:colOff>
      <xdr:row>32</xdr:row>
      <xdr:rowOff>85725</xdr:rowOff>
    </xdr:to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2105025"/>
          <a:ext cx="5476875" cy="3162300"/>
        </a:xfrm>
        <a:prstGeom prst="rect">
          <a:avLst/>
        </a:prstGeom>
        <a:noFill/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4:M100" totalsRowShown="0" headerRowDxfId="90" dataDxfId="88" headerRowBorderDxfId="89" tableBorderDxfId="87" totalsRowBorderDxfId="86" headerRowCellStyle="Normal" dataCellStyle="Normal">
  <autoFilter ref="A4:M100"/>
  <tableColumns count="13">
    <tableColumn id="1" name="Sample Name" dataDxfId="85" dataCellStyle="Normal"/>
    <tableColumn id="2" name="Sampled area" dataDxfId="84" dataCellStyle="Normal"/>
    <tableColumn id="3" name="Description" dataDxfId="83" dataCellStyle="Normal"/>
    <tableColumn id="4" name="Acq. Date-Time" dataDxfId="82" dataCellStyle="Normal"/>
    <tableColumn id="5" name="Dilution" dataDxfId="81" dataCellStyle="Normal"/>
    <tableColumn id="8" name="Mn [ug/g]" dataDxfId="80" dataCellStyle="Normal"/>
    <tableColumn id="9" name="Mn CoV [ug/g]" dataDxfId="79" dataCellStyle="Normal">
      <calculatedColumnFormula>F5*$S$25</calculatedColumnFormula>
    </tableColumn>
    <tableColumn id="10" name="Fe [ug/g]" dataDxfId="78" dataCellStyle="Normal"/>
    <tableColumn id="11" name="Fe CoV [ug/g]" dataDxfId="77" dataCellStyle="Normal">
      <calculatedColumnFormula>H5*$T$25</calculatedColumnFormula>
    </tableColumn>
    <tableColumn id="12" name="Cu [ug/g]" dataDxfId="76" dataCellStyle="Normal"/>
    <tableColumn id="13" name="Cu CoV [ug/g]" dataDxfId="75" dataCellStyle="Normal">
      <calculatedColumnFormula>J5*$U$25</calculatedColumnFormula>
    </tableColumn>
    <tableColumn id="14" name="Zn [ug/g]" dataDxfId="74" dataCellStyle="Normal"/>
    <tableColumn id="15" name="Zn CoV [ug/g]" dataDxfId="73" dataCellStyle="Normal">
      <calculatedColumnFormula>L5*$V$25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O4:U10" totalsRowShown="0" headerRowDxfId="72" dataDxfId="70" headerRowBorderDxfId="71" tableBorderDxfId="69" totalsRowBorderDxfId="68" headerRowCellStyle="Normal" dataCellStyle="Normal">
  <autoFilter ref="O4:U10"/>
  <tableColumns count="7">
    <tableColumn id="1" name="Name" dataDxfId="67" dataCellStyle="Normal"/>
    <tableColumn id="2" name="R" dataDxfId="66" dataCellStyle="Normal"/>
    <tableColumn id="3" name="a" dataDxfId="65" dataCellStyle="Normal"/>
    <tableColumn id="4" name="b (blank)" dataDxfId="64" dataCellStyle="Normal"/>
    <tableColumn id="5" name="Detection limit [ppb]" dataDxfId="63" dataCellStyle="Normal"/>
    <tableColumn id="6" name="Detection limit × 5 [ppb]" dataDxfId="62" dataCellStyle="Normal">
      <calculatedColumnFormula>S5*5</calculatedColumnFormula>
    </tableColumn>
    <tableColumn id="7" name="Background equivalent concentration [ppb]" dataDxfId="61" dataCellStyle="Normal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O14:V25" totalsRowShown="0" headerRowDxfId="60" dataDxfId="58" headerRowBorderDxfId="59" tableBorderDxfId="57" totalsRowBorderDxfId="56" headerRowCellStyle="Normal" dataCellStyle="Normal">
  <autoFilter ref="O14:V25"/>
  <tableColumns count="8">
    <tableColumn id="1" name="Sample Name" dataDxfId="55" dataCellStyle="Normal"/>
    <tableColumn id="2" name="Acq. Date-Time" dataDxfId="54" dataCellStyle="Normal"/>
    <tableColumn id="3" name="Dilution" dataDxfId="53" dataCellStyle="Normal"/>
    <tableColumn id="4" name="Ca [ppb]" dataDxfId="52" dataCellStyle="Normal"/>
    <tableColumn id="5" name="Mn [ppb]" dataDxfId="51" dataCellStyle="Normal"/>
    <tableColumn id="6" name="Fe [ppb]" dataDxfId="50" dataCellStyle="Normal"/>
    <tableColumn id="8" name="Cu [ppb]" dataDxfId="49" dataCellStyle="Normal"/>
    <tableColumn id="9" name="Zn [ppb]" dataDxfId="48" dataCellStyle="Normal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O29:Y33" totalsRowShown="0" headerRowDxfId="47" dataDxfId="45" headerRowBorderDxfId="46" tableBorderDxfId="44" totalsRowBorderDxfId="43" headerRowCellStyle="Normal" dataCellStyle="Normal">
  <autoFilter ref="O29:Y33"/>
  <tableColumns count="11">
    <tableColumn id="1" name="Sample Name" dataDxfId="42" dataCellStyle="Normal"/>
    <tableColumn id="2" name="Acq. Date-Time" dataDxfId="41" dataCellStyle="Normal"/>
    <tableColumn id="3" name="Dilution" dataDxfId="40" dataCellStyle="Normal"/>
    <tableColumn id="6" name="Mn [ppb]" dataDxfId="39" dataCellStyle="Normal"/>
    <tableColumn id="7" name="Mn CoV [ppb]" dataDxfId="38" dataCellStyle="Normal"/>
    <tableColumn id="8" name="Fe [ppb]" dataDxfId="37" dataCellStyle="Normal"/>
    <tableColumn id="9" name="Fe CoV [ppb]" dataDxfId="36" dataCellStyle="Normal"/>
    <tableColumn id="10" name="Cu [ppb]" dataDxfId="35" dataCellStyle="Normal"/>
    <tableColumn id="11" name="Cu CoV [ppb]" dataDxfId="34" dataCellStyle="Normal"/>
    <tableColumn id="12" name="Zn [ppb]" dataDxfId="33" dataCellStyle="Normal"/>
    <tableColumn id="13" name="Zn CoV [ppb]" dataDxfId="32" dataCellStyle="Normal">
      <calculatedColumnFormula>X30*$V$25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7" name="Table7" displayName="Table7" ref="O35:Y48" totalsRowShown="0" headerRowDxfId="31" dataDxfId="29" headerRowBorderDxfId="30" tableBorderDxfId="28" totalsRowBorderDxfId="27" headerRowCellStyle="Normal" dataCellStyle="Normal">
  <autoFilter ref="O35:Y48"/>
  <tableColumns count="11">
    <tableColumn id="1" name="Sample Name" dataDxfId="0" dataCellStyle="Normal"/>
    <tableColumn id="2" name="Acq. Date-Time" dataDxfId="1" dataCellStyle="Normal"/>
    <tableColumn id="3" name="Dilution" dataDxfId="26" dataCellStyle="Normal"/>
    <tableColumn id="6" name="Mn [ppm]" dataDxfId="25" dataCellStyle="Normal"/>
    <tableColumn id="7" name="Mn CoV [ppm]" dataDxfId="24" dataCellStyle="Normal"/>
    <tableColumn id="8" name="Fe [ppm]" dataDxfId="23" dataCellStyle="Normal"/>
    <tableColumn id="9" name="Fe CoV [ppm]" dataDxfId="22" dataCellStyle="Normal"/>
    <tableColumn id="10" name="Cu [ppm]" dataDxfId="21" dataCellStyle="Normal"/>
    <tableColumn id="11" name="Cu CoV [ppm]" dataDxfId="20" dataCellStyle="Normal"/>
    <tableColumn id="12" name="Zn [ppm]" dataDxfId="19" dataCellStyle="Normal"/>
    <tableColumn id="13" name="Zn CoV [ppm]" dataDxfId="18" dataCellStyle="Normal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8" name="Table8" displayName="Table8" ref="O50:Y63" totalsRowShown="0" headerRowDxfId="17" dataDxfId="15" headerRowBorderDxfId="16" tableBorderDxfId="14" totalsRowBorderDxfId="13" headerRowCellStyle="Normal" dataCellStyle="Normal">
  <autoFilter ref="O50:Y63"/>
  <tableColumns count="11">
    <tableColumn id="1" name="Sample Name" dataDxfId="12" dataCellStyle="Normal"/>
    <tableColumn id="2" name="Acq. Date-Time" dataDxfId="11" dataCellStyle="Normal"/>
    <tableColumn id="3" name="Dilution" dataDxfId="10" dataCellStyle="Normal"/>
    <tableColumn id="6" name="Mn [ug/g]" dataDxfId="9" dataCellStyle="Normal"/>
    <tableColumn id="7" name="Mn CoV [ug/g]" dataDxfId="8" dataCellStyle="Normal"/>
    <tableColumn id="8" name="Fe [ug/g]" dataDxfId="7" dataCellStyle="Normal"/>
    <tableColumn id="9" name="Fe CoV [ug/g]" dataDxfId="6" dataCellStyle="Normal"/>
    <tableColumn id="10" name="Cu [ug/g]" dataDxfId="5" dataCellStyle="Normal"/>
    <tableColumn id="11" name="Cu CoV [ug/g]" dataDxfId="4" dataCellStyle="Normal"/>
    <tableColumn id="12" name="Zn [ug/g]" dataDxfId="3" dataCellStyle="Normal"/>
    <tableColumn id="13" name="Zn CoV [ug/g]" dataDxfId="2" dataCellStyle="Normal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AM175"/>
  <sheetViews>
    <sheetView workbookViewId="0">
      <selection activeCell="G25" sqref="G25"/>
    </sheetView>
  </sheetViews>
  <sheetFormatPr defaultRowHeight="12.75"/>
  <cols>
    <col min="1" max="1" width="4" customWidth="1"/>
    <col min="2" max="2" width="5.42578125" customWidth="1"/>
    <col min="3" max="3" width="26.42578125" customWidth="1"/>
    <col min="4" max="4" width="22.28515625" customWidth="1"/>
    <col min="5" max="5" width="18" customWidth="1"/>
    <col min="6" max="6" width="10.42578125" customWidth="1"/>
    <col min="7" max="7" width="54" customWidth="1"/>
    <col min="8" max="8" width="12.140625" customWidth="1"/>
    <col min="9" max="9" width="10.85546875" customWidth="1"/>
    <col min="10" max="10" width="11.140625" customWidth="1"/>
    <col min="11" max="11" width="10.7109375" customWidth="1"/>
    <col min="12" max="12" width="9.140625" customWidth="1"/>
    <col min="13" max="13" width="11.140625" customWidth="1"/>
    <col min="14" max="14" width="10.7109375" customWidth="1"/>
    <col min="15" max="15" width="9.140625" customWidth="1"/>
    <col min="16" max="16" width="11.140625" customWidth="1"/>
    <col min="17" max="17" width="10.7109375" customWidth="1"/>
    <col min="18" max="18" width="9.140625" customWidth="1"/>
    <col min="19" max="19" width="11.140625" customWidth="1"/>
    <col min="20" max="20" width="10.7109375" customWidth="1"/>
    <col min="21" max="21" width="9.140625" customWidth="1"/>
    <col min="22" max="22" width="11.140625" customWidth="1"/>
    <col min="23" max="23" width="10.7109375" customWidth="1"/>
    <col min="24" max="24" width="9.140625" customWidth="1"/>
    <col min="25" max="25" width="11.140625" customWidth="1"/>
    <col min="26" max="26" width="10.7109375" customWidth="1"/>
    <col min="27" max="27" width="9.140625" customWidth="1"/>
    <col min="28" max="28" width="11.140625" customWidth="1"/>
    <col min="29" max="29" width="10.7109375" customWidth="1"/>
    <col min="30" max="30" width="9.140625" customWidth="1"/>
    <col min="31" max="31" width="11.140625" customWidth="1"/>
    <col min="32" max="32" width="10.7109375" customWidth="1"/>
    <col min="33" max="33" width="9.140625" customWidth="1"/>
    <col min="34" max="34" width="10.7109375" customWidth="1"/>
    <col min="35" max="35" width="9.140625" customWidth="1"/>
    <col min="36" max="36" width="10.7109375" customWidth="1"/>
    <col min="37" max="37" width="9.140625" customWidth="1"/>
    <col min="38" max="38" width="10.7109375" customWidth="1"/>
    <col min="39" max="39" width="9.140625" customWidth="1"/>
  </cols>
  <sheetData>
    <row r="1" spans="1:39">
      <c r="A1" s="8" t="s">
        <v>454</v>
      </c>
      <c r="B1" s="9"/>
      <c r="C1" s="9"/>
      <c r="D1" s="9"/>
      <c r="E1" s="9"/>
      <c r="F1" s="9"/>
      <c r="G1" s="9"/>
      <c r="H1" s="9"/>
      <c r="I1" s="10"/>
      <c r="J1" s="8" t="s">
        <v>325</v>
      </c>
      <c r="K1" s="9"/>
      <c r="L1" s="10"/>
      <c r="M1" s="8" t="s">
        <v>351</v>
      </c>
      <c r="N1" s="9"/>
      <c r="O1" s="10"/>
      <c r="P1" s="8" t="s">
        <v>353</v>
      </c>
      <c r="Q1" s="9"/>
      <c r="R1" s="10"/>
      <c r="S1" s="8" t="s">
        <v>355</v>
      </c>
      <c r="T1" s="9"/>
      <c r="U1" s="10"/>
      <c r="V1" s="8" t="s">
        <v>358</v>
      </c>
      <c r="W1" s="9"/>
      <c r="X1" s="10"/>
      <c r="Y1" s="8" t="s">
        <v>364</v>
      </c>
      <c r="Z1" s="9"/>
      <c r="AA1" s="10"/>
      <c r="AB1" s="8" t="s">
        <v>366</v>
      </c>
      <c r="AC1" s="9"/>
      <c r="AD1" s="10"/>
      <c r="AE1" s="8" t="s">
        <v>369</v>
      </c>
      <c r="AF1" s="9"/>
      <c r="AG1" s="10"/>
      <c r="AH1" s="8" t="s">
        <v>339</v>
      </c>
      <c r="AI1" s="10"/>
      <c r="AJ1" s="8" t="s">
        <v>377</v>
      </c>
      <c r="AK1" s="10"/>
      <c r="AL1" s="8" t="s">
        <v>191</v>
      </c>
      <c r="AM1" s="10"/>
    </row>
    <row r="2" spans="1:39">
      <c r="A2" s="7" t="s">
        <v>0</v>
      </c>
      <c r="B2" s="7" t="s">
        <v>453</v>
      </c>
      <c r="C2" s="7" t="s">
        <v>442</v>
      </c>
      <c r="D2" s="7" t="s">
        <v>455</v>
      </c>
      <c r="E2" s="7" t="s">
        <v>423</v>
      </c>
      <c r="F2" s="7" t="s">
        <v>481</v>
      </c>
      <c r="G2" s="7" t="s">
        <v>451</v>
      </c>
      <c r="H2" s="7" t="s">
        <v>443</v>
      </c>
      <c r="I2" s="7" t="s">
        <v>482</v>
      </c>
      <c r="J2" s="7" t="s">
        <v>441</v>
      </c>
      <c r="K2" s="7" t="s">
        <v>433</v>
      </c>
      <c r="L2" s="7" t="s">
        <v>434</v>
      </c>
      <c r="M2" s="7" t="s">
        <v>441</v>
      </c>
      <c r="N2" s="7" t="s">
        <v>433</v>
      </c>
      <c r="O2" s="7" t="s">
        <v>434</v>
      </c>
      <c r="P2" s="7" t="s">
        <v>441</v>
      </c>
      <c r="Q2" s="7" t="s">
        <v>433</v>
      </c>
      <c r="R2" s="7" t="s">
        <v>434</v>
      </c>
      <c r="S2" s="7" t="s">
        <v>441</v>
      </c>
      <c r="T2" s="7" t="s">
        <v>433</v>
      </c>
      <c r="U2" s="7" t="s">
        <v>434</v>
      </c>
      <c r="V2" s="7" t="s">
        <v>441</v>
      </c>
      <c r="W2" s="7" t="s">
        <v>433</v>
      </c>
      <c r="X2" s="7" t="s">
        <v>434</v>
      </c>
      <c r="Y2" s="7" t="s">
        <v>441</v>
      </c>
      <c r="Z2" s="7" t="s">
        <v>433</v>
      </c>
      <c r="AA2" s="7" t="s">
        <v>434</v>
      </c>
      <c r="AB2" s="7" t="s">
        <v>441</v>
      </c>
      <c r="AC2" s="7" t="s">
        <v>433</v>
      </c>
      <c r="AD2" s="7" t="s">
        <v>434</v>
      </c>
      <c r="AE2" s="7" t="s">
        <v>441</v>
      </c>
      <c r="AF2" s="7" t="s">
        <v>433</v>
      </c>
      <c r="AG2" s="7" t="s">
        <v>434</v>
      </c>
      <c r="AH2" s="7" t="s">
        <v>433</v>
      </c>
      <c r="AI2" s="7" t="s">
        <v>434</v>
      </c>
      <c r="AJ2" s="7" t="s">
        <v>433</v>
      </c>
      <c r="AK2" s="7" t="s">
        <v>434</v>
      </c>
      <c r="AL2" s="7" t="s">
        <v>433</v>
      </c>
      <c r="AM2" s="7" t="s">
        <v>434</v>
      </c>
    </row>
    <row r="3" spans="1:39" ht="18.75" customHeight="1">
      <c r="A3" s="13"/>
      <c r="B3" s="13" t="b">
        <v>0</v>
      </c>
      <c r="C3" s="13" t="s">
        <v>3</v>
      </c>
      <c r="D3" s="13" t="s">
        <v>1</v>
      </c>
      <c r="E3" s="3">
        <v>41436.461516203701</v>
      </c>
      <c r="F3" s="4" t="s">
        <v>424</v>
      </c>
      <c r="G3" s="5" t="s">
        <v>0</v>
      </c>
      <c r="H3" s="5">
        <v>1</v>
      </c>
      <c r="I3" s="13" t="s">
        <v>193</v>
      </c>
      <c r="J3" s="6"/>
      <c r="K3" s="6">
        <v>336.68666666666667</v>
      </c>
      <c r="L3" s="6">
        <v>11.158020980046988</v>
      </c>
      <c r="M3" s="5"/>
      <c r="N3" s="5">
        <v>340.02000000000004</v>
      </c>
      <c r="O3" s="5">
        <v>13.261827982753092</v>
      </c>
      <c r="P3" s="6"/>
      <c r="Q3" s="6">
        <v>28346.23</v>
      </c>
      <c r="R3" s="6">
        <v>0.30112742951667004</v>
      </c>
      <c r="S3" s="5"/>
      <c r="T3" s="5">
        <v>696.7166666666667</v>
      </c>
      <c r="U3" s="5">
        <v>5.1756581912765114</v>
      </c>
      <c r="V3" s="6"/>
      <c r="W3" s="6">
        <v>323.34999999999997</v>
      </c>
      <c r="X3" s="6">
        <v>32.486344166924184</v>
      </c>
      <c r="Y3" s="5"/>
      <c r="Z3" s="5">
        <v>955.63333333333333</v>
      </c>
      <c r="AA3" s="5">
        <v>9.2970648745646276</v>
      </c>
      <c r="AB3" s="6"/>
      <c r="AC3" s="6">
        <v>967.85333333333335</v>
      </c>
      <c r="AD3" s="6">
        <v>6.0676235242328769</v>
      </c>
      <c r="AE3" s="5"/>
      <c r="AF3" s="5">
        <v>604.48333333333335</v>
      </c>
      <c r="AG3" s="5">
        <v>11.47974360281188</v>
      </c>
      <c r="AH3" s="6">
        <v>4004.0066666666667</v>
      </c>
      <c r="AI3" s="6">
        <v>2.238962427289227</v>
      </c>
      <c r="AJ3" s="5">
        <v>1662.38</v>
      </c>
      <c r="AK3" s="5">
        <v>3.5891456503037436</v>
      </c>
      <c r="AL3" s="6">
        <v>39638.353333333333</v>
      </c>
      <c r="AM3" s="6">
        <v>2.0919268538839115</v>
      </c>
    </row>
    <row r="4" spans="1:39" ht="18.75" customHeight="1">
      <c r="A4" s="13" t="s">
        <v>464</v>
      </c>
      <c r="B4" s="13" t="b">
        <v>0</v>
      </c>
      <c r="C4" s="13" t="s">
        <v>4</v>
      </c>
      <c r="D4" s="13" t="s">
        <v>1</v>
      </c>
      <c r="E4" s="3">
        <v>41436.464606481481</v>
      </c>
      <c r="F4" s="4" t="s">
        <v>424</v>
      </c>
      <c r="G4" s="5" t="s">
        <v>0</v>
      </c>
      <c r="H4" s="5">
        <v>1</v>
      </c>
      <c r="I4" s="13" t="s">
        <v>194</v>
      </c>
      <c r="J4" s="6"/>
      <c r="K4" s="6">
        <v>170.00666666666666</v>
      </c>
      <c r="L4" s="6">
        <v>17.970180365302717</v>
      </c>
      <c r="M4" s="5"/>
      <c r="N4" s="5">
        <v>505.59</v>
      </c>
      <c r="O4" s="5">
        <v>6.7668499605167938</v>
      </c>
      <c r="P4" s="6"/>
      <c r="Q4" s="6">
        <v>22822.086666666666</v>
      </c>
      <c r="R4" s="6">
        <v>0.87081625203987056</v>
      </c>
      <c r="S4" s="5"/>
      <c r="T4" s="5">
        <v>566.70666666666659</v>
      </c>
      <c r="U4" s="5">
        <v>13.453073155059702</v>
      </c>
      <c r="V4" s="6"/>
      <c r="W4" s="6">
        <v>1005.6366666666667</v>
      </c>
      <c r="X4" s="6">
        <v>4.5972730871808167</v>
      </c>
      <c r="Y4" s="5"/>
      <c r="Z4" s="5">
        <v>1431.2466666666667</v>
      </c>
      <c r="AA4" s="5">
        <v>6.8478812481516966</v>
      </c>
      <c r="AB4" s="6"/>
      <c r="AC4" s="6">
        <v>1409.0233333333333</v>
      </c>
      <c r="AD4" s="6">
        <v>8.7011084398871841</v>
      </c>
      <c r="AE4" s="5"/>
      <c r="AF4" s="5">
        <v>811.17</v>
      </c>
      <c r="AG4" s="5">
        <v>4.1164483524882796</v>
      </c>
      <c r="AH4" s="6">
        <v>197884.02333333332</v>
      </c>
      <c r="AI4" s="6">
        <v>5.304644472730895</v>
      </c>
      <c r="AJ4" s="5">
        <v>150412.72666666665</v>
      </c>
      <c r="AK4" s="5">
        <v>1.0351408170500853</v>
      </c>
      <c r="AL4" s="6">
        <v>3189764.6733333333</v>
      </c>
      <c r="AM4" s="6">
        <v>2.9492894216411307</v>
      </c>
    </row>
    <row r="5" spans="1:39" ht="18.75" customHeight="1">
      <c r="A5" s="13"/>
      <c r="B5" s="13" t="b">
        <v>0</v>
      </c>
      <c r="C5" s="13" t="s">
        <v>5</v>
      </c>
      <c r="D5" s="13" t="s">
        <v>1</v>
      </c>
      <c r="E5" s="3">
        <v>41436.46769675926</v>
      </c>
      <c r="F5" s="4" t="s">
        <v>424</v>
      </c>
      <c r="G5" s="5" t="s">
        <v>0</v>
      </c>
      <c r="H5" s="5">
        <v>1</v>
      </c>
      <c r="I5" s="13" t="s">
        <v>193</v>
      </c>
      <c r="J5" s="6"/>
      <c r="K5" s="6">
        <v>147.78333333333333</v>
      </c>
      <c r="L5" s="6">
        <v>28.204231339807617</v>
      </c>
      <c r="M5" s="5"/>
      <c r="N5" s="5">
        <v>470.03</v>
      </c>
      <c r="O5" s="5">
        <v>17.328895596902012</v>
      </c>
      <c r="P5" s="6"/>
      <c r="Q5" s="6">
        <v>21169.94</v>
      </c>
      <c r="R5" s="6">
        <v>2.6655910258031699</v>
      </c>
      <c r="S5" s="5"/>
      <c r="T5" s="5">
        <v>494.48</v>
      </c>
      <c r="U5" s="5">
        <v>9.7768480265897963</v>
      </c>
      <c r="V5" s="6"/>
      <c r="W5" s="6">
        <v>1098.98</v>
      </c>
      <c r="X5" s="6">
        <v>7.0121057947225163</v>
      </c>
      <c r="Y5" s="5"/>
      <c r="Z5" s="5">
        <v>1462.3533333333332</v>
      </c>
      <c r="AA5" s="5">
        <v>5.99832429651239</v>
      </c>
      <c r="AB5" s="6"/>
      <c r="AC5" s="6">
        <v>1134.5433333333333</v>
      </c>
      <c r="AD5" s="6">
        <v>7.3476529261428682</v>
      </c>
      <c r="AE5" s="5"/>
      <c r="AF5" s="5">
        <v>614.48666666666668</v>
      </c>
      <c r="AG5" s="5">
        <v>8.4449900801508146</v>
      </c>
      <c r="AH5" s="6">
        <v>218593.04666666666</v>
      </c>
      <c r="AI5" s="6">
        <v>3.0354066575752503</v>
      </c>
      <c r="AJ5" s="5">
        <v>152285.91</v>
      </c>
      <c r="AK5" s="5">
        <v>1.2153437369734326</v>
      </c>
      <c r="AL5" s="6">
        <v>3205526.03</v>
      </c>
      <c r="AM5" s="6">
        <v>3.1828372698371119</v>
      </c>
    </row>
    <row r="6" spans="1:39" ht="18.75" customHeight="1">
      <c r="A6" s="13"/>
      <c r="B6" s="13" t="b">
        <v>0</v>
      </c>
      <c r="C6" s="13" t="s">
        <v>6</v>
      </c>
      <c r="D6" s="13" t="s">
        <v>1</v>
      </c>
      <c r="E6" s="3">
        <v>41436.47078703704</v>
      </c>
      <c r="F6" s="4" t="s">
        <v>439</v>
      </c>
      <c r="G6" s="5" t="s">
        <v>102</v>
      </c>
      <c r="H6" s="5">
        <v>1</v>
      </c>
      <c r="I6" s="13" t="s">
        <v>194</v>
      </c>
      <c r="J6" s="6" t="s">
        <v>416</v>
      </c>
      <c r="K6" s="6">
        <v>140.00666666666666</v>
      </c>
      <c r="L6" s="6">
        <v>6.2968582927894072</v>
      </c>
      <c r="M6" s="5" t="s">
        <v>405</v>
      </c>
      <c r="N6" s="5">
        <v>456.69666666666672</v>
      </c>
      <c r="O6" s="5">
        <v>2.6301993714252103</v>
      </c>
      <c r="P6" s="6" t="s">
        <v>414</v>
      </c>
      <c r="Q6" s="6">
        <v>22038.816666666669</v>
      </c>
      <c r="R6" s="6">
        <v>2.6414547561842063</v>
      </c>
      <c r="S6" s="5" t="s">
        <v>415</v>
      </c>
      <c r="T6" s="5">
        <v>455.58666666666664</v>
      </c>
      <c r="U6" s="5">
        <v>6.3085101831066677</v>
      </c>
      <c r="V6" s="6" t="s">
        <v>405</v>
      </c>
      <c r="W6" s="6">
        <v>951.18333333333339</v>
      </c>
      <c r="X6" s="6">
        <v>11.336935679738666</v>
      </c>
      <c r="Y6" s="5" t="s">
        <v>407</v>
      </c>
      <c r="Z6" s="5">
        <v>1422.35</v>
      </c>
      <c r="AA6" s="5">
        <v>8.6189782586427821</v>
      </c>
      <c r="AB6" s="6" t="s">
        <v>413</v>
      </c>
      <c r="AC6" s="6">
        <v>864.50666666666666</v>
      </c>
      <c r="AD6" s="6">
        <v>7.9246370617998663</v>
      </c>
      <c r="AE6" s="5" t="s">
        <v>412</v>
      </c>
      <c r="AF6" s="5">
        <v>527.81333333333339</v>
      </c>
      <c r="AG6" s="5">
        <v>10.032342229990979</v>
      </c>
      <c r="AH6" s="6">
        <v>209849.31333333332</v>
      </c>
      <c r="AI6" s="6">
        <v>3.8703088766549611</v>
      </c>
      <c r="AJ6" s="5">
        <v>143577.05333333334</v>
      </c>
      <c r="AK6" s="5">
        <v>3.9421802198154547</v>
      </c>
      <c r="AL6" s="6">
        <v>3019093.08</v>
      </c>
      <c r="AM6" s="6">
        <v>3.7685405266853502</v>
      </c>
    </row>
    <row r="7" spans="1:39" ht="18.75" customHeight="1">
      <c r="A7" s="13"/>
      <c r="B7" s="13" t="b">
        <v>0</v>
      </c>
      <c r="C7" s="13" t="s">
        <v>7</v>
      </c>
      <c r="D7" s="13" t="s">
        <v>2</v>
      </c>
      <c r="E7" s="3">
        <v>41436.473900462966</v>
      </c>
      <c r="F7" s="4" t="s">
        <v>440</v>
      </c>
      <c r="G7" s="5" t="s">
        <v>189</v>
      </c>
      <c r="H7" s="5">
        <v>1</v>
      </c>
      <c r="I7" s="13" t="s">
        <v>195</v>
      </c>
      <c r="J7" s="6">
        <v>3.3892718101733701</v>
      </c>
      <c r="K7" s="6">
        <v>506.7</v>
      </c>
      <c r="L7" s="6">
        <v>4.558298413288238</v>
      </c>
      <c r="M7" s="5">
        <v>0.47059246826524198</v>
      </c>
      <c r="N7" s="5">
        <v>8975.0666666666657</v>
      </c>
      <c r="O7" s="5">
        <v>2.0117626406309834</v>
      </c>
      <c r="P7" s="6" t="s">
        <v>414</v>
      </c>
      <c r="Q7" s="6">
        <v>33635.306666666664</v>
      </c>
      <c r="R7" s="6">
        <v>0.64235950746274262</v>
      </c>
      <c r="S7" s="5" t="s">
        <v>415</v>
      </c>
      <c r="T7" s="5">
        <v>790.05333333333328</v>
      </c>
      <c r="U7" s="5">
        <v>6.3004257700873119</v>
      </c>
      <c r="V7" s="6">
        <v>0.49441909801841399</v>
      </c>
      <c r="W7" s="6">
        <v>26281.793333333335</v>
      </c>
      <c r="X7" s="6">
        <v>1.0077915199893686</v>
      </c>
      <c r="Y7" s="5">
        <v>0.498469046408619</v>
      </c>
      <c r="Z7" s="5">
        <v>20234.223333333332</v>
      </c>
      <c r="AA7" s="5">
        <v>1.3320121535704004</v>
      </c>
      <c r="AB7" s="6">
        <v>0.69533805938909798</v>
      </c>
      <c r="AC7" s="6">
        <v>8625.9366666666665</v>
      </c>
      <c r="AD7" s="6">
        <v>5.0790883614520199</v>
      </c>
      <c r="AE7" s="5">
        <v>0.71299505063097901</v>
      </c>
      <c r="AF7" s="5">
        <v>5248.8399999999992</v>
      </c>
      <c r="AG7" s="5">
        <v>1.5250466491922479</v>
      </c>
      <c r="AH7" s="6">
        <v>229711.04333333333</v>
      </c>
      <c r="AI7" s="6">
        <v>1.795354184345417</v>
      </c>
      <c r="AJ7" s="5">
        <v>151194.29999999999</v>
      </c>
      <c r="AK7" s="5">
        <v>0.21251568244491989</v>
      </c>
      <c r="AL7" s="6">
        <v>3275994.8133333339</v>
      </c>
      <c r="AM7" s="6">
        <v>1.2737546216902851</v>
      </c>
    </row>
    <row r="8" spans="1:39" ht="18.75" customHeight="1">
      <c r="A8" s="13"/>
      <c r="B8" s="13" t="b">
        <v>0</v>
      </c>
      <c r="C8" s="13" t="s">
        <v>8</v>
      </c>
      <c r="D8" s="13" t="s">
        <v>102</v>
      </c>
      <c r="E8" s="3">
        <v>41436.476990740739</v>
      </c>
      <c r="F8" s="4" t="s">
        <v>440</v>
      </c>
      <c r="G8" s="5" t="s">
        <v>212</v>
      </c>
      <c r="H8" s="5">
        <v>1</v>
      </c>
      <c r="I8" s="13" t="s">
        <v>196</v>
      </c>
      <c r="J8" s="6">
        <v>3.3976711045813999</v>
      </c>
      <c r="K8" s="6">
        <v>454.47333333333336</v>
      </c>
      <c r="L8" s="6">
        <v>10.11947099905167</v>
      </c>
      <c r="M8" s="5">
        <v>1.0117965763165799</v>
      </c>
      <c r="N8" s="5">
        <v>17118.433333333334</v>
      </c>
      <c r="O8" s="5">
        <v>0.52698447246168989</v>
      </c>
      <c r="P8" s="6">
        <v>1.02625177516326</v>
      </c>
      <c r="Q8" s="6">
        <v>46766.829999999994</v>
      </c>
      <c r="R8" s="6">
        <v>1.1372546571643745</v>
      </c>
      <c r="S8" s="5">
        <v>1.0034549924784499</v>
      </c>
      <c r="T8" s="5">
        <v>1113.4333333333334</v>
      </c>
      <c r="U8" s="5">
        <v>9.4113779725407394</v>
      </c>
      <c r="V8" s="6">
        <v>1.04559406869143</v>
      </c>
      <c r="W8" s="6">
        <v>49602.946666666663</v>
      </c>
      <c r="X8" s="6">
        <v>1.1332835500798999</v>
      </c>
      <c r="Y8" s="5">
        <v>1.04613958976404</v>
      </c>
      <c r="Z8" s="5">
        <v>37161.613333333335</v>
      </c>
      <c r="AA8" s="5">
        <v>0.99467504576409171</v>
      </c>
      <c r="AB8" s="6">
        <v>1.1255295618163701</v>
      </c>
      <c r="AC8" s="6">
        <v>12167.246666666666</v>
      </c>
      <c r="AD8" s="6">
        <v>1.4617189070048753</v>
      </c>
      <c r="AE8" s="5">
        <v>1.1644736333658601</v>
      </c>
      <c r="AF8" s="5">
        <v>7556.53</v>
      </c>
      <c r="AG8" s="5">
        <v>1.3172004708638587</v>
      </c>
      <c r="AH8" s="6">
        <v>231170.11499999999</v>
      </c>
      <c r="AI8" s="6">
        <v>0.47684795865415081</v>
      </c>
      <c r="AJ8" s="5">
        <v>138583.06</v>
      </c>
      <c r="AK8" s="5">
        <v>4.5974192159741643</v>
      </c>
      <c r="AL8" s="6">
        <v>3174343.5449999999</v>
      </c>
      <c r="AM8" s="6">
        <v>0.47094741704907778</v>
      </c>
    </row>
    <row r="9" spans="1:39" ht="18.75" customHeight="1">
      <c r="A9" s="13" t="s">
        <v>467</v>
      </c>
      <c r="B9" s="13" t="b">
        <v>0</v>
      </c>
      <c r="C9" s="13" t="s">
        <v>9</v>
      </c>
      <c r="D9" s="13" t="s">
        <v>189</v>
      </c>
      <c r="E9" s="3">
        <v>41436.480081018519</v>
      </c>
      <c r="F9" s="4" t="s">
        <v>440</v>
      </c>
      <c r="G9" s="5" t="s">
        <v>283</v>
      </c>
      <c r="H9" s="5">
        <v>1</v>
      </c>
      <c r="I9" s="13" t="s">
        <v>197</v>
      </c>
      <c r="J9" s="6">
        <v>11.3546001871056</v>
      </c>
      <c r="K9" s="6">
        <v>1556.82</v>
      </c>
      <c r="L9" s="6">
        <v>9.4149872596132358</v>
      </c>
      <c r="M9" s="5">
        <v>1.7179948557495599</v>
      </c>
      <c r="N9" s="5">
        <v>34588.129999999997</v>
      </c>
      <c r="O9" s="5">
        <v>0.82525911070404501</v>
      </c>
      <c r="P9" s="6">
        <v>1.6081360769320401</v>
      </c>
      <c r="Q9" s="6">
        <v>73457.263333333351</v>
      </c>
      <c r="R9" s="6">
        <v>0.61737334837018887</v>
      </c>
      <c r="S9" s="5">
        <v>1.6525583787584901</v>
      </c>
      <c r="T9" s="5">
        <v>1740.1866666666665</v>
      </c>
      <c r="U9" s="5">
        <v>0.8349052741291213</v>
      </c>
      <c r="V9" s="6">
        <v>1.74956984580943</v>
      </c>
      <c r="W9" s="6">
        <v>99447.38</v>
      </c>
      <c r="X9" s="6">
        <v>1.1482588629855615</v>
      </c>
      <c r="Y9" s="5">
        <v>1.7767230589584</v>
      </c>
      <c r="Z9" s="5">
        <v>74753.38</v>
      </c>
      <c r="AA9" s="5">
        <v>0.26650769995250972</v>
      </c>
      <c r="AB9" s="6">
        <v>1.88738926577366</v>
      </c>
      <c r="AC9" s="6">
        <v>23830.223333333332</v>
      </c>
      <c r="AD9" s="6">
        <v>0.76766516340801305</v>
      </c>
      <c r="AE9" s="5">
        <v>1.92153195631304</v>
      </c>
      <c r="AF9" s="5">
        <v>14388</v>
      </c>
      <c r="AG9" s="5">
        <v>0.6192972406186843</v>
      </c>
      <c r="AH9" s="6">
        <v>279999.29499999998</v>
      </c>
      <c r="AI9" s="6">
        <v>5.5137724483037305</v>
      </c>
      <c r="AJ9" s="5">
        <v>166050.065</v>
      </c>
      <c r="AK9" s="5">
        <v>9.231497915966159</v>
      </c>
      <c r="AL9" s="6">
        <v>3882117.5999999996</v>
      </c>
      <c r="AM9" s="6">
        <v>7.219166676792903</v>
      </c>
    </row>
    <row r="10" spans="1:39" ht="18.75" customHeight="1">
      <c r="A10" s="13"/>
      <c r="B10" s="13" t="b">
        <v>0</v>
      </c>
      <c r="C10" s="13" t="s">
        <v>10</v>
      </c>
      <c r="D10" s="13" t="s">
        <v>344</v>
      </c>
      <c r="E10" s="3">
        <v>41436.483182870368</v>
      </c>
      <c r="F10" s="4" t="s">
        <v>440</v>
      </c>
      <c r="G10" s="5" t="s">
        <v>344</v>
      </c>
      <c r="H10" s="5">
        <v>1</v>
      </c>
      <c r="I10" s="13" t="s">
        <v>198</v>
      </c>
      <c r="J10" s="6">
        <v>9.0871371723671004</v>
      </c>
      <c r="K10" s="6">
        <v>1094.5333333333335</v>
      </c>
      <c r="L10" s="6">
        <v>2.4617740038134839</v>
      </c>
      <c r="M10" s="5">
        <v>4.8137410072322497</v>
      </c>
      <c r="N10" s="5">
        <v>86078.67</v>
      </c>
      <c r="O10" s="5">
        <v>0.44534933270033161</v>
      </c>
      <c r="P10" s="6">
        <v>4.7978106149089799</v>
      </c>
      <c r="Q10" s="6">
        <v>152549.79666666666</v>
      </c>
      <c r="R10" s="6">
        <v>1.1247139341648249</v>
      </c>
      <c r="S10" s="5">
        <v>4.9045631278629198</v>
      </c>
      <c r="T10" s="5">
        <v>3700.5866666666666</v>
      </c>
      <c r="U10" s="5">
        <v>3.5252881025293616</v>
      </c>
      <c r="V10" s="6">
        <v>4.8968959684124904</v>
      </c>
      <c r="W10" s="6">
        <v>247706.02333333335</v>
      </c>
      <c r="X10" s="6">
        <v>0.85168132941588603</v>
      </c>
      <c r="Y10" s="5">
        <v>4.9636501436282803</v>
      </c>
      <c r="Z10" s="5">
        <v>185275.54</v>
      </c>
      <c r="AA10" s="5">
        <v>0.2541862915583849</v>
      </c>
      <c r="AB10" s="6">
        <v>4.9067876779199802</v>
      </c>
      <c r="AC10" s="6">
        <v>54528.623333333329</v>
      </c>
      <c r="AD10" s="6">
        <v>0.8587991403841162</v>
      </c>
      <c r="AE10" s="5">
        <v>4.9910455929637001</v>
      </c>
      <c r="AF10" s="5">
        <v>32912.639999999992</v>
      </c>
      <c r="AG10" s="5">
        <v>1.3778259406760804</v>
      </c>
      <c r="AH10" s="6">
        <v>227809.14333333334</v>
      </c>
      <c r="AI10" s="6">
        <v>0.29977906712872676</v>
      </c>
      <c r="AJ10" s="5">
        <v>148975.05333333334</v>
      </c>
      <c r="AK10" s="5">
        <v>0.2060295922593125</v>
      </c>
      <c r="AL10" s="6">
        <v>3242022.52</v>
      </c>
      <c r="AM10" s="6">
        <v>0.52414776402910546</v>
      </c>
    </row>
    <row r="11" spans="1:39" ht="18.75" customHeight="1">
      <c r="A11" s="13"/>
      <c r="B11" s="13" t="b">
        <v>0</v>
      </c>
      <c r="C11" s="13" t="s">
        <v>11</v>
      </c>
      <c r="D11" s="13" t="s">
        <v>103</v>
      </c>
      <c r="E11" s="3">
        <v>41436.486273148148</v>
      </c>
      <c r="F11" s="4" t="s">
        <v>440</v>
      </c>
      <c r="G11" s="5" t="s">
        <v>359</v>
      </c>
      <c r="H11" s="5">
        <v>1</v>
      </c>
      <c r="I11" s="13" t="s">
        <v>199</v>
      </c>
      <c r="J11" s="6">
        <v>9.9737902291134901</v>
      </c>
      <c r="K11" s="6">
        <v>1205.6633333333334</v>
      </c>
      <c r="L11" s="6">
        <v>5.6493970105036686</v>
      </c>
      <c r="M11" s="5">
        <v>9.5324418748273398</v>
      </c>
      <c r="N11" s="5">
        <v>172627.91</v>
      </c>
      <c r="O11" s="5">
        <v>0.27337115996150829</v>
      </c>
      <c r="P11" s="6">
        <v>9.4437837671875897</v>
      </c>
      <c r="Q11" s="6">
        <v>282420.40000000002</v>
      </c>
      <c r="R11" s="6">
        <v>0.58410122831492384</v>
      </c>
      <c r="S11" s="5">
        <v>9.7181142139620906</v>
      </c>
      <c r="T11" s="5">
        <v>6974.02</v>
      </c>
      <c r="U11" s="5">
        <v>2.2500110730023648</v>
      </c>
      <c r="V11" s="6">
        <v>9.7507074082457503</v>
      </c>
      <c r="W11" s="6">
        <v>499885.17333333334</v>
      </c>
      <c r="X11" s="6">
        <v>0.75708276753670056</v>
      </c>
      <c r="Y11" s="5">
        <v>9.8205518179946498</v>
      </c>
      <c r="Z11" s="5">
        <v>370769.58</v>
      </c>
      <c r="AA11" s="5">
        <v>0.74614008900019346</v>
      </c>
      <c r="AB11" s="6">
        <v>9.5572232293693808</v>
      </c>
      <c r="AC11" s="6">
        <v>106985.24333333333</v>
      </c>
      <c r="AD11" s="6">
        <v>1.3437774485821601</v>
      </c>
      <c r="AE11" s="5">
        <v>9.6077115291418398</v>
      </c>
      <c r="AF11" s="5">
        <v>63820.65</v>
      </c>
      <c r="AG11" s="5">
        <v>0.82716434876101952</v>
      </c>
      <c r="AH11" s="6">
        <v>228287.58333333334</v>
      </c>
      <c r="AI11" s="6">
        <v>0.18902730025317241</v>
      </c>
      <c r="AJ11" s="5">
        <v>151287.22333333336</v>
      </c>
      <c r="AK11" s="5">
        <v>0.56437749110337898</v>
      </c>
      <c r="AL11" s="6">
        <v>3273090.61</v>
      </c>
      <c r="AM11" s="6">
        <v>0.34797454717218024</v>
      </c>
    </row>
    <row r="12" spans="1:39" ht="18.75" customHeight="1">
      <c r="A12" s="13" t="s">
        <v>446</v>
      </c>
      <c r="B12" s="13" t="b">
        <v>0</v>
      </c>
      <c r="C12" s="13" t="s">
        <v>12</v>
      </c>
      <c r="D12" s="13" t="s">
        <v>345</v>
      </c>
      <c r="E12" s="3">
        <v>41436.489374999997</v>
      </c>
      <c r="F12" s="4" t="s">
        <v>440</v>
      </c>
      <c r="G12" s="5" t="s">
        <v>373</v>
      </c>
      <c r="H12" s="5">
        <v>1</v>
      </c>
      <c r="I12" s="13" t="s">
        <v>200</v>
      </c>
      <c r="J12" s="6">
        <v>67.384687830326399</v>
      </c>
      <c r="K12" s="6">
        <v>6064.6866666666656</v>
      </c>
      <c r="L12" s="6">
        <v>4.0536206375195523</v>
      </c>
      <c r="M12" s="5">
        <v>60.232881868840003</v>
      </c>
      <c r="N12" s="5">
        <v>866437.93</v>
      </c>
      <c r="O12" s="5">
        <v>3.6506052645803297</v>
      </c>
      <c r="P12" s="6">
        <v>62.225424747968802</v>
      </c>
      <c r="Q12" s="6">
        <v>1374550.43</v>
      </c>
      <c r="R12" s="6">
        <v>4.10271199307586</v>
      </c>
      <c r="S12" s="5">
        <v>61.5823489126102</v>
      </c>
      <c r="T12" s="5">
        <v>33049.486666666664</v>
      </c>
      <c r="U12" s="5">
        <v>4.1263197405448278</v>
      </c>
      <c r="V12" s="6">
        <v>62.420418914037498</v>
      </c>
      <c r="W12" s="6">
        <v>2546518.6799999997</v>
      </c>
      <c r="X12" s="6">
        <v>3.4217690524350419</v>
      </c>
      <c r="Y12" s="5">
        <v>63.859654762706498</v>
      </c>
      <c r="Z12" s="5">
        <v>1911850.9266666668</v>
      </c>
      <c r="AA12" s="5">
        <v>3.6720879321339286</v>
      </c>
      <c r="AB12" s="6">
        <v>59.756278488531301</v>
      </c>
      <c r="AC12" s="6">
        <v>528553.01666666672</v>
      </c>
      <c r="AD12" s="6">
        <v>3.7142180225310475</v>
      </c>
      <c r="AE12" s="5">
        <v>60.475341391934499</v>
      </c>
      <c r="AF12" s="5">
        <v>317030.56</v>
      </c>
      <c r="AG12" s="5">
        <v>3.7803376433367926</v>
      </c>
      <c r="AH12" s="6">
        <v>185243.40500000003</v>
      </c>
      <c r="AI12" s="6">
        <v>1.5713292743407183</v>
      </c>
      <c r="AJ12" s="5">
        <v>123774.01499999998</v>
      </c>
      <c r="AK12" s="5">
        <v>11.74680669397285</v>
      </c>
      <c r="AL12" s="6">
        <v>2640966.81</v>
      </c>
      <c r="AM12" s="6">
        <v>4.5739299036823704</v>
      </c>
    </row>
    <row r="13" spans="1:39" ht="18.75" customHeight="1">
      <c r="A13" s="13"/>
      <c r="B13" s="13" t="b">
        <v>0</v>
      </c>
      <c r="C13" s="13" t="s">
        <v>13</v>
      </c>
      <c r="D13" s="13" t="s">
        <v>104</v>
      </c>
      <c r="E13" s="3">
        <v>41436.492476851854</v>
      </c>
      <c r="F13" s="4" t="s">
        <v>440</v>
      </c>
      <c r="G13" s="5" t="s">
        <v>385</v>
      </c>
      <c r="H13" s="5">
        <v>1</v>
      </c>
      <c r="I13" s="13" t="s">
        <v>201</v>
      </c>
      <c r="J13" s="6">
        <v>97.016501256856998</v>
      </c>
      <c r="K13" s="6">
        <v>10363.65</v>
      </c>
      <c r="L13" s="6">
        <v>1.4239484981321897</v>
      </c>
      <c r="M13" s="5">
        <v>99.014821245160306</v>
      </c>
      <c r="N13" s="5">
        <v>1775211.3266666669</v>
      </c>
      <c r="O13" s="5">
        <v>1.5425964970521366</v>
      </c>
      <c r="P13" s="6">
        <v>98.210485584769501</v>
      </c>
      <c r="Q13" s="6">
        <v>2698608.6400000001</v>
      </c>
      <c r="R13" s="6">
        <v>0.31490462318849577</v>
      </c>
      <c r="S13" s="5">
        <v>97.871480070626603</v>
      </c>
      <c r="T13" s="5">
        <v>65400.49</v>
      </c>
      <c r="U13" s="5">
        <v>0.52086438558124082</v>
      </c>
      <c r="V13" s="6">
        <v>99.217322449114803</v>
      </c>
      <c r="W13" s="6">
        <v>5039709.6833333336</v>
      </c>
      <c r="X13" s="6">
        <v>0.7614960024254076</v>
      </c>
      <c r="Y13" s="5">
        <v>101.410803415226</v>
      </c>
      <c r="Z13" s="5">
        <v>3786471.75</v>
      </c>
      <c r="AA13" s="5">
        <v>0.68364921248304933</v>
      </c>
      <c r="AB13" s="6">
        <v>94.397309602412903</v>
      </c>
      <c r="AC13" s="6">
        <v>1040878.75</v>
      </c>
      <c r="AD13" s="6">
        <v>0.74296526457584533</v>
      </c>
      <c r="AE13" s="5">
        <v>95.824666430104401</v>
      </c>
      <c r="AF13" s="5">
        <v>626907.28666666674</v>
      </c>
      <c r="AG13" s="5">
        <v>0.28306821038799429</v>
      </c>
      <c r="AH13" s="6">
        <v>238154.67</v>
      </c>
      <c r="AI13" s="6">
        <v>0.57881386999407825</v>
      </c>
      <c r="AJ13" s="5">
        <v>150185.94</v>
      </c>
      <c r="AK13" s="5">
        <v>1.2493550553759039</v>
      </c>
      <c r="AL13" s="6">
        <v>3291661.3033333332</v>
      </c>
      <c r="AM13" s="6">
        <v>0.85144037050491406</v>
      </c>
    </row>
    <row r="14" spans="1:39" ht="18.75" customHeight="1">
      <c r="A14" s="13" t="s">
        <v>480</v>
      </c>
      <c r="B14" s="13" t="b">
        <v>0</v>
      </c>
      <c r="C14" s="13" t="s">
        <v>14</v>
      </c>
      <c r="D14" s="13" t="s">
        <v>105</v>
      </c>
      <c r="E14" s="3">
        <v>41436.49559027778</v>
      </c>
      <c r="F14" s="4" t="s">
        <v>440</v>
      </c>
      <c r="G14" s="5" t="s">
        <v>396</v>
      </c>
      <c r="H14" s="5">
        <v>1</v>
      </c>
      <c r="I14" s="13" t="s">
        <v>202</v>
      </c>
      <c r="J14" s="6">
        <v>1000.27673165026</v>
      </c>
      <c r="K14" s="6">
        <v>100344.15666666668</v>
      </c>
      <c r="L14" s="6">
        <v>1.2469808449289315</v>
      </c>
      <c r="M14" s="5">
        <v>1000.10413945547</v>
      </c>
      <c r="N14" s="5">
        <v>17056611.826666668</v>
      </c>
      <c r="O14" s="5">
        <v>9.3556483931846984E-2</v>
      </c>
      <c r="P14" s="6">
        <v>1000.18558473736</v>
      </c>
      <c r="Q14" s="6">
        <v>25945257.670000002</v>
      </c>
      <c r="R14" s="6">
        <v>0.25027322347331188</v>
      </c>
      <c r="S14" s="5">
        <v>1000.2161658463</v>
      </c>
      <c r="T14" s="5">
        <v>631694.45333333325</v>
      </c>
      <c r="U14" s="5">
        <v>0.20712574632307182</v>
      </c>
      <c r="V14" s="6">
        <v>1000.08127899162</v>
      </c>
      <c r="W14" s="6">
        <v>48321667.056666672</v>
      </c>
      <c r="X14" s="6">
        <v>0.67388032090929106</v>
      </c>
      <c r="Y14" s="5">
        <v>999.86089665505597</v>
      </c>
      <c r="Z14" s="5">
        <v>35505864.469999999</v>
      </c>
      <c r="AA14" s="5">
        <v>0.7286629693326665</v>
      </c>
      <c r="AB14" s="6">
        <v>1000.56506520005</v>
      </c>
      <c r="AC14" s="6">
        <v>10487983.316666666</v>
      </c>
      <c r="AD14" s="6">
        <v>1.0375426593766801</v>
      </c>
      <c r="AE14" s="5">
        <v>1000.4213945162099</v>
      </c>
      <c r="AF14" s="5">
        <v>6221530.4633333338</v>
      </c>
      <c r="AG14" s="5">
        <v>0.67805253586308478</v>
      </c>
      <c r="AH14" s="6">
        <v>256219.39</v>
      </c>
      <c r="AI14" s="6">
        <v>1.0404623877002477</v>
      </c>
      <c r="AJ14" s="5">
        <v>142870.38999999998</v>
      </c>
      <c r="AK14" s="5">
        <v>0.53232536060981461</v>
      </c>
      <c r="AL14" s="6">
        <v>3164929.26</v>
      </c>
      <c r="AM14" s="6">
        <v>1.040294581433868</v>
      </c>
    </row>
    <row r="15" spans="1:39" ht="18.75" customHeight="1">
      <c r="A15" s="13" t="s">
        <v>477</v>
      </c>
      <c r="B15" s="13" t="b">
        <v>0</v>
      </c>
      <c r="C15" s="13" t="s">
        <v>15</v>
      </c>
      <c r="D15" s="13" t="s">
        <v>1</v>
      </c>
      <c r="E15" s="3">
        <v>41436.498692129629</v>
      </c>
      <c r="F15" s="4" t="s">
        <v>424</v>
      </c>
      <c r="G15" s="5" t="s">
        <v>0</v>
      </c>
      <c r="H15" s="5">
        <v>1</v>
      </c>
      <c r="I15" s="13" t="s">
        <v>193</v>
      </c>
      <c r="J15" s="6" t="s">
        <v>416</v>
      </c>
      <c r="K15" s="6">
        <v>162.22999999999999</v>
      </c>
      <c r="L15" s="6">
        <v>13.988340843566105</v>
      </c>
      <c r="M15" s="5">
        <v>5.8264356174802703E-2</v>
      </c>
      <c r="N15" s="5">
        <v>1435.6900000000003</v>
      </c>
      <c r="O15" s="5">
        <v>14.921955205993662</v>
      </c>
      <c r="P15" s="6" t="s">
        <v>414</v>
      </c>
      <c r="Q15" s="6">
        <v>25203.333333333332</v>
      </c>
      <c r="R15" s="6">
        <v>1.1171910024934997</v>
      </c>
      <c r="S15" s="5" t="s">
        <v>415</v>
      </c>
      <c r="T15" s="5">
        <v>632.26333333333332</v>
      </c>
      <c r="U15" s="5">
        <v>7.9147491254780267</v>
      </c>
      <c r="V15" s="6">
        <v>4.68072458070189E-2</v>
      </c>
      <c r="W15" s="6">
        <v>3180.4466666666667</v>
      </c>
      <c r="X15" s="6">
        <v>0.91385550825103112</v>
      </c>
      <c r="Y15" s="5" t="s">
        <v>407</v>
      </c>
      <c r="Z15" s="5">
        <v>3366.06</v>
      </c>
      <c r="AA15" s="5">
        <v>4.4630177400408062</v>
      </c>
      <c r="AB15" s="6" t="s">
        <v>413</v>
      </c>
      <c r="AC15" s="6">
        <v>1747.9566666666667</v>
      </c>
      <c r="AD15" s="6">
        <v>6.429319858394213</v>
      </c>
      <c r="AE15" s="5" t="s">
        <v>412</v>
      </c>
      <c r="AF15" s="5">
        <v>1095.6466666666665</v>
      </c>
      <c r="AG15" s="5">
        <v>5.3423381503924414</v>
      </c>
      <c r="AH15" s="6">
        <v>192951.65666666665</v>
      </c>
      <c r="AI15" s="6">
        <v>9.3190800706257715</v>
      </c>
      <c r="AJ15" s="5">
        <v>141790.17333333334</v>
      </c>
      <c r="AK15" s="5">
        <v>2.9923976622920372</v>
      </c>
      <c r="AL15" s="6">
        <v>3071696.83</v>
      </c>
      <c r="AM15" s="6">
        <v>6.8511893524733427</v>
      </c>
    </row>
    <row r="16" spans="1:39" ht="18.75" customHeight="1">
      <c r="A16" s="13" t="s">
        <v>461</v>
      </c>
      <c r="B16" s="13" t="b">
        <v>0</v>
      </c>
      <c r="C16" s="13" t="s">
        <v>16</v>
      </c>
      <c r="D16" s="13" t="s">
        <v>483</v>
      </c>
      <c r="E16" s="3">
        <v>41436.501782407409</v>
      </c>
      <c r="F16" s="4" t="s">
        <v>452</v>
      </c>
      <c r="G16" s="5" t="s">
        <v>0</v>
      </c>
      <c r="H16" s="5">
        <v>1</v>
      </c>
      <c r="I16" s="13" t="s">
        <v>204</v>
      </c>
      <c r="J16" s="6">
        <v>11.548056085932499</v>
      </c>
      <c r="K16" s="6">
        <v>1323.4466666666667</v>
      </c>
      <c r="L16" s="6">
        <v>10.290787407094848</v>
      </c>
      <c r="M16" s="5">
        <v>9.2324626439932906</v>
      </c>
      <c r="N16" s="5">
        <v>162907.22</v>
      </c>
      <c r="O16" s="5">
        <v>2.3507728580371658</v>
      </c>
      <c r="P16" s="6">
        <v>9.2460038449389206</v>
      </c>
      <c r="Q16" s="6">
        <v>269370.0733333333</v>
      </c>
      <c r="R16" s="6">
        <v>3.5459383508650371</v>
      </c>
      <c r="S16" s="5">
        <v>9.1488135134355897</v>
      </c>
      <c r="T16" s="5">
        <v>6458.22</v>
      </c>
      <c r="U16" s="5">
        <v>1.1626176125003103</v>
      </c>
      <c r="V16" s="6">
        <v>9.3758987269145795</v>
      </c>
      <c r="W16" s="6">
        <v>466916.06666666665</v>
      </c>
      <c r="X16" s="6">
        <v>4.0041867402969817</v>
      </c>
      <c r="Y16" s="5">
        <v>9.5462336958647995</v>
      </c>
      <c r="Z16" s="5">
        <v>350833.53666666668</v>
      </c>
      <c r="AA16" s="5">
        <v>2.8538306207703346</v>
      </c>
      <c r="AB16" s="6">
        <v>9.3784353136422194</v>
      </c>
      <c r="AC16" s="6">
        <v>102048.99333333333</v>
      </c>
      <c r="AD16" s="6">
        <v>3.5398464040509685</v>
      </c>
      <c r="AE16" s="5">
        <v>9.4645118205431498</v>
      </c>
      <c r="AF16" s="5">
        <v>61231.353333333333</v>
      </c>
      <c r="AG16" s="5">
        <v>2.8507209757841694</v>
      </c>
      <c r="AH16" s="6">
        <v>245020.54333333336</v>
      </c>
      <c r="AI16" s="6">
        <v>31.817523818910498</v>
      </c>
      <c r="AJ16" s="5">
        <v>155008.57</v>
      </c>
      <c r="AK16" s="5">
        <v>27.079380947774862</v>
      </c>
      <c r="AL16" s="6">
        <v>3575102.9666666668</v>
      </c>
      <c r="AM16" s="6">
        <v>29.410057489160991</v>
      </c>
    </row>
    <row r="17" spans="1:39" ht="18.75" customHeight="1">
      <c r="A17" s="13" t="s">
        <v>472</v>
      </c>
      <c r="B17" s="13" t="b">
        <v>0</v>
      </c>
      <c r="C17" s="13" t="s">
        <v>17</v>
      </c>
      <c r="D17" s="13" t="s">
        <v>1</v>
      </c>
      <c r="E17" s="3">
        <v>41436.504872685182</v>
      </c>
      <c r="F17" s="4" t="s">
        <v>424</v>
      </c>
      <c r="G17" s="5" t="s">
        <v>0</v>
      </c>
      <c r="H17" s="5">
        <v>1</v>
      </c>
      <c r="I17" s="13" t="s">
        <v>194</v>
      </c>
      <c r="J17" s="6" t="s">
        <v>416</v>
      </c>
      <c r="K17" s="6">
        <v>135.56333333333333</v>
      </c>
      <c r="L17" s="6">
        <v>30.0484893253116</v>
      </c>
      <c r="M17" s="5" t="s">
        <v>405</v>
      </c>
      <c r="N17" s="5">
        <v>555.59333333333336</v>
      </c>
      <c r="O17" s="5">
        <v>7.8308505524287462</v>
      </c>
      <c r="P17" s="6" t="s">
        <v>414</v>
      </c>
      <c r="Q17" s="6">
        <v>21662.710000000003</v>
      </c>
      <c r="R17" s="6">
        <v>2.7053048839524858</v>
      </c>
      <c r="S17" s="5" t="s">
        <v>415</v>
      </c>
      <c r="T17" s="5">
        <v>510.0333333333333</v>
      </c>
      <c r="U17" s="5">
        <v>17.13113161059032</v>
      </c>
      <c r="V17" s="6" t="s">
        <v>405</v>
      </c>
      <c r="W17" s="6">
        <v>1098.9733333333334</v>
      </c>
      <c r="X17" s="6">
        <v>6.1970027463629984</v>
      </c>
      <c r="Y17" s="5" t="s">
        <v>407</v>
      </c>
      <c r="Z17" s="5">
        <v>1626.83</v>
      </c>
      <c r="AA17" s="5">
        <v>4.3034174322250403</v>
      </c>
      <c r="AB17" s="6" t="s">
        <v>413</v>
      </c>
      <c r="AC17" s="6">
        <v>981.19</v>
      </c>
      <c r="AD17" s="6">
        <v>16.259796790079125</v>
      </c>
      <c r="AE17" s="5" t="s">
        <v>412</v>
      </c>
      <c r="AF17" s="5">
        <v>683.38</v>
      </c>
      <c r="AG17" s="5">
        <v>2.7159723978094936</v>
      </c>
      <c r="AH17" s="6">
        <v>213533.34666666668</v>
      </c>
      <c r="AI17" s="6">
        <v>6.3465972778559196</v>
      </c>
      <c r="AJ17" s="5">
        <v>145007.97999999998</v>
      </c>
      <c r="AK17" s="5">
        <v>6.7437018984443906</v>
      </c>
      <c r="AL17" s="6">
        <v>3148784.6033333335</v>
      </c>
      <c r="AM17" s="6">
        <v>5.3390781760420012</v>
      </c>
    </row>
    <row r="18" spans="1:39" ht="18.75" customHeight="1">
      <c r="A18" s="13"/>
      <c r="B18" s="13" t="b">
        <v>0</v>
      </c>
      <c r="C18" s="13" t="s">
        <v>18</v>
      </c>
      <c r="D18" s="13" t="s">
        <v>419</v>
      </c>
      <c r="E18" s="3">
        <v>41436.507962962962</v>
      </c>
      <c r="F18" s="4" t="s">
        <v>454</v>
      </c>
      <c r="G18" s="5" t="s">
        <v>0</v>
      </c>
      <c r="H18" s="5">
        <v>1</v>
      </c>
      <c r="I18" s="13" t="s">
        <v>215</v>
      </c>
      <c r="J18" s="6">
        <v>9.8042117379970897</v>
      </c>
      <c r="K18" s="6">
        <v>1120.0966666666666</v>
      </c>
      <c r="L18" s="6">
        <v>9.4535626984687209</v>
      </c>
      <c r="M18" s="5" t="s">
        <v>405</v>
      </c>
      <c r="N18" s="5">
        <v>674.49333333333334</v>
      </c>
      <c r="O18" s="5">
        <v>18.919596768736412</v>
      </c>
      <c r="P18" s="6" t="s">
        <v>414</v>
      </c>
      <c r="Q18" s="6">
        <v>24034.936666666665</v>
      </c>
      <c r="R18" s="6">
        <v>1.5481295532032968</v>
      </c>
      <c r="S18" s="5" t="s">
        <v>415</v>
      </c>
      <c r="T18" s="5">
        <v>510.0333333333333</v>
      </c>
      <c r="U18" s="5">
        <v>10.877882678138191</v>
      </c>
      <c r="V18" s="6" t="s">
        <v>405</v>
      </c>
      <c r="W18" s="6">
        <v>1097.8700000000001</v>
      </c>
      <c r="X18" s="6">
        <v>9.1410197010966563</v>
      </c>
      <c r="Y18" s="5" t="s">
        <v>407</v>
      </c>
      <c r="Z18" s="5">
        <v>2182.4833333333336</v>
      </c>
      <c r="AA18" s="5">
        <v>1.2252116422528105</v>
      </c>
      <c r="AB18" s="6">
        <v>0.25800976525994102</v>
      </c>
      <c r="AC18" s="6">
        <v>3562.7666666666664</v>
      </c>
      <c r="AD18" s="6">
        <v>5.023208509846933</v>
      </c>
      <c r="AE18" s="5">
        <v>0.25184621248223799</v>
      </c>
      <c r="AF18" s="5">
        <v>2090.23</v>
      </c>
      <c r="AG18" s="5">
        <v>2.8349902740764308</v>
      </c>
      <c r="AH18" s="6">
        <v>232152.4</v>
      </c>
      <c r="AI18" s="6">
        <v>1.3325354172109867</v>
      </c>
      <c r="AJ18" s="5">
        <v>142726.03</v>
      </c>
      <c r="AK18" s="5">
        <v>0.8247510143915795</v>
      </c>
      <c r="AL18" s="6">
        <v>3215178.3566666669</v>
      </c>
      <c r="AM18" s="6">
        <v>0.41560817542313527</v>
      </c>
    </row>
    <row r="19" spans="1:39" ht="18.75" customHeight="1">
      <c r="A19" s="13" t="s">
        <v>445</v>
      </c>
      <c r="B19" s="13" t="b">
        <v>0</v>
      </c>
      <c r="C19" s="13" t="s">
        <v>19</v>
      </c>
      <c r="D19" s="13" t="s">
        <v>420</v>
      </c>
      <c r="E19" s="3">
        <v>41436.511030092595</v>
      </c>
      <c r="F19" s="4" t="s">
        <v>454</v>
      </c>
      <c r="G19" s="5" t="s">
        <v>0</v>
      </c>
      <c r="H19" s="5">
        <v>1</v>
      </c>
      <c r="I19" s="13" t="s">
        <v>216</v>
      </c>
      <c r="J19" s="6">
        <v>4.8710347885203804</v>
      </c>
      <c r="K19" s="6">
        <v>578.92999999999995</v>
      </c>
      <c r="L19" s="6">
        <v>12.408324341330133</v>
      </c>
      <c r="M19" s="5" t="s">
        <v>405</v>
      </c>
      <c r="N19" s="5">
        <v>617.81666666666661</v>
      </c>
      <c r="O19" s="5">
        <v>9.2888435238841023</v>
      </c>
      <c r="P19" s="6" t="s">
        <v>414</v>
      </c>
      <c r="Q19" s="6">
        <v>25887.69</v>
      </c>
      <c r="R19" s="6">
        <v>2.1137081559464783</v>
      </c>
      <c r="S19" s="5" t="s">
        <v>415</v>
      </c>
      <c r="T19" s="5">
        <v>682.27</v>
      </c>
      <c r="U19" s="5">
        <v>1.7155293144188839</v>
      </c>
      <c r="V19" s="6" t="s">
        <v>405</v>
      </c>
      <c r="W19" s="6">
        <v>1031.19</v>
      </c>
      <c r="X19" s="6">
        <v>17.338558204465084</v>
      </c>
      <c r="Y19" s="5" t="s">
        <v>407</v>
      </c>
      <c r="Z19" s="5">
        <v>2162.4699999999998</v>
      </c>
      <c r="AA19" s="5">
        <v>12.335325589103924</v>
      </c>
      <c r="AB19" s="6">
        <v>0.22957087427636499</v>
      </c>
      <c r="AC19" s="6">
        <v>2845.9333333333329</v>
      </c>
      <c r="AD19" s="6">
        <v>5.3433538634213029</v>
      </c>
      <c r="AE19" s="5">
        <v>0.22868723556125201</v>
      </c>
      <c r="AF19" s="5">
        <v>1735.7233333333334</v>
      </c>
      <c r="AG19" s="5">
        <v>5.9887666741869108</v>
      </c>
      <c r="AH19" s="6">
        <v>185462.30499999999</v>
      </c>
      <c r="AI19" s="6">
        <v>4.9004376775077585</v>
      </c>
      <c r="AJ19" s="5">
        <v>123511.04999999999</v>
      </c>
      <c r="AK19" s="5">
        <v>10.195315647574411</v>
      </c>
      <c r="AL19" s="6">
        <v>2649243.9450000003</v>
      </c>
      <c r="AM19" s="6">
        <v>6.7952765997241285</v>
      </c>
    </row>
    <row r="20" spans="1:39" ht="18.75" customHeight="1">
      <c r="A20" s="13"/>
      <c r="B20" s="13" t="b">
        <v>0</v>
      </c>
      <c r="C20" s="13" t="s">
        <v>20</v>
      </c>
      <c r="D20" s="13" t="s">
        <v>421</v>
      </c>
      <c r="E20" s="3">
        <v>41436.514155092591</v>
      </c>
      <c r="F20" s="4" t="s">
        <v>454</v>
      </c>
      <c r="G20" s="5" t="s">
        <v>0</v>
      </c>
      <c r="H20" s="5">
        <v>1</v>
      </c>
      <c r="I20" s="13" t="s">
        <v>217</v>
      </c>
      <c r="J20" s="6">
        <v>4.9721989659057497</v>
      </c>
      <c r="K20" s="6">
        <v>637.82000000000005</v>
      </c>
      <c r="L20" s="6">
        <v>7.8280220358489432</v>
      </c>
      <c r="M20" s="5" t="s">
        <v>405</v>
      </c>
      <c r="N20" s="5">
        <v>624.48333333333335</v>
      </c>
      <c r="O20" s="5">
        <v>12.106940466974542</v>
      </c>
      <c r="P20" s="6" t="s">
        <v>414</v>
      </c>
      <c r="Q20" s="6">
        <v>25552.793333333335</v>
      </c>
      <c r="R20" s="6">
        <v>1.9792788147513718</v>
      </c>
      <c r="S20" s="5" t="s">
        <v>415</v>
      </c>
      <c r="T20" s="5">
        <v>636.71</v>
      </c>
      <c r="U20" s="5">
        <v>2.7203134984041042</v>
      </c>
      <c r="V20" s="6" t="s">
        <v>405</v>
      </c>
      <c r="W20" s="6">
        <v>1291.23</v>
      </c>
      <c r="X20" s="6">
        <v>2.8440393630095118</v>
      </c>
      <c r="Y20" s="5" t="s">
        <v>407</v>
      </c>
      <c r="Z20" s="5">
        <v>2104.6866666666665</v>
      </c>
      <c r="AA20" s="5">
        <v>4.070400448261501</v>
      </c>
      <c r="AB20" s="6">
        <v>0.27685122469110901</v>
      </c>
      <c r="AC20" s="6">
        <v>3766.1666666666665</v>
      </c>
      <c r="AD20" s="6">
        <v>4.2217007784092822</v>
      </c>
      <c r="AE20" s="5">
        <v>0.29801036068244302</v>
      </c>
      <c r="AF20" s="5">
        <v>2380.2866666666669</v>
      </c>
      <c r="AG20" s="5">
        <v>2.8945420257946166</v>
      </c>
      <c r="AH20" s="6">
        <v>229107.29333333333</v>
      </c>
      <c r="AI20" s="6">
        <v>0.79883201935650461</v>
      </c>
      <c r="AJ20" s="5">
        <v>142959.02333333335</v>
      </c>
      <c r="AK20" s="5">
        <v>0.89045006888638434</v>
      </c>
      <c r="AL20" s="6">
        <v>3239854.186666667</v>
      </c>
      <c r="AM20" s="6">
        <v>0.39271757232094251</v>
      </c>
    </row>
    <row r="21" spans="1:39" ht="18.75" customHeight="1">
      <c r="A21" s="13"/>
      <c r="B21" s="13" t="b">
        <v>0</v>
      </c>
      <c r="C21" s="13" t="s">
        <v>21</v>
      </c>
      <c r="D21" s="13" t="s">
        <v>422</v>
      </c>
      <c r="E21" s="3">
        <v>41436.517233796294</v>
      </c>
      <c r="F21" s="4" t="s">
        <v>454</v>
      </c>
      <c r="G21" s="5" t="s">
        <v>0</v>
      </c>
      <c r="H21" s="5">
        <v>1</v>
      </c>
      <c r="I21" s="13" t="s">
        <v>218</v>
      </c>
      <c r="J21" s="6">
        <v>3.7425848514811499</v>
      </c>
      <c r="K21" s="6">
        <v>516.69999999999993</v>
      </c>
      <c r="L21" s="6">
        <v>10.737938979768272</v>
      </c>
      <c r="M21" s="5" t="s">
        <v>405</v>
      </c>
      <c r="N21" s="5">
        <v>594.48333333333323</v>
      </c>
      <c r="O21" s="5">
        <v>5.6446267099730791</v>
      </c>
      <c r="P21" s="6" t="s">
        <v>414</v>
      </c>
      <c r="Q21" s="6">
        <v>27833.036666666667</v>
      </c>
      <c r="R21" s="6">
        <v>0.96626464049952565</v>
      </c>
      <c r="S21" s="5" t="s">
        <v>415</v>
      </c>
      <c r="T21" s="5">
        <v>718.93666666666661</v>
      </c>
      <c r="U21" s="5">
        <v>10.828438954010615</v>
      </c>
      <c r="V21" s="6" t="s">
        <v>405</v>
      </c>
      <c r="W21" s="6">
        <v>1202.3166666666666</v>
      </c>
      <c r="X21" s="6">
        <v>7.0929604300910469</v>
      </c>
      <c r="Y21" s="5" t="s">
        <v>407</v>
      </c>
      <c r="Z21" s="5">
        <v>1712.3966666666668</v>
      </c>
      <c r="AA21" s="5">
        <v>7.7298053640286692</v>
      </c>
      <c r="AB21" s="6">
        <v>0.15955537057004199</v>
      </c>
      <c r="AC21" s="6">
        <v>2546.9833333333331</v>
      </c>
      <c r="AD21" s="6">
        <v>3.1775067266355874</v>
      </c>
      <c r="AE21" s="5">
        <v>0.17603721621471</v>
      </c>
      <c r="AF21" s="5">
        <v>1627.9400000000003</v>
      </c>
      <c r="AG21" s="5">
        <v>5.0593219897383594</v>
      </c>
      <c r="AH21" s="6">
        <v>228385.37333333332</v>
      </c>
      <c r="AI21" s="6">
        <v>5.1261899859012902E-2</v>
      </c>
      <c r="AJ21" s="5">
        <v>143545.48666666666</v>
      </c>
      <c r="AK21" s="5">
        <v>0.70678636083907298</v>
      </c>
      <c r="AL21" s="6">
        <v>3230200.1933333334</v>
      </c>
      <c r="AM21" s="6">
        <v>0.49072060816303231</v>
      </c>
    </row>
    <row r="22" spans="1:39" ht="18.75" customHeight="1">
      <c r="A22" s="13"/>
      <c r="B22" s="13" t="b">
        <v>0</v>
      </c>
      <c r="C22" s="13" t="s">
        <v>22</v>
      </c>
      <c r="D22" s="13" t="s">
        <v>429</v>
      </c>
      <c r="E22" s="3">
        <v>41436.520312499997</v>
      </c>
      <c r="F22" s="4" t="s">
        <v>454</v>
      </c>
      <c r="G22" s="5" t="s">
        <v>0</v>
      </c>
      <c r="H22" s="5">
        <v>3300</v>
      </c>
      <c r="I22" s="13" t="s">
        <v>219</v>
      </c>
      <c r="J22" s="6">
        <v>109926.712917971</v>
      </c>
      <c r="K22" s="6">
        <v>3500.5333333333333</v>
      </c>
      <c r="L22" s="6">
        <v>1.1900969706834812</v>
      </c>
      <c r="M22" s="5">
        <v>96359.375195219996</v>
      </c>
      <c r="N22" s="5">
        <v>501887.3133333333</v>
      </c>
      <c r="O22" s="5">
        <v>1.5796463346756648</v>
      </c>
      <c r="P22" s="6">
        <v>97949.138863565895</v>
      </c>
      <c r="Q22" s="6">
        <v>796731.78666666662</v>
      </c>
      <c r="R22" s="6">
        <v>1.0125075644014685</v>
      </c>
      <c r="S22" s="5">
        <v>101019.183522455</v>
      </c>
      <c r="T22" s="5">
        <v>19910.490000000002</v>
      </c>
      <c r="U22" s="5">
        <v>1.4096633789149149</v>
      </c>
      <c r="V22" s="6">
        <v>101220.32122960901</v>
      </c>
      <c r="W22" s="6">
        <v>1493197.6000000003</v>
      </c>
      <c r="X22" s="6">
        <v>1.0043379949791196</v>
      </c>
      <c r="Y22" s="5">
        <v>98348.421805697595</v>
      </c>
      <c r="Z22" s="5">
        <v>1067025.73</v>
      </c>
      <c r="AA22" s="5">
        <v>0.927064613008449</v>
      </c>
      <c r="AB22" s="6">
        <v>91619.132542396197</v>
      </c>
      <c r="AC22" s="6">
        <v>293885.93</v>
      </c>
      <c r="AD22" s="6">
        <v>0.39159720397377185</v>
      </c>
      <c r="AE22" s="5">
        <v>91909.214298420702</v>
      </c>
      <c r="AF22" s="5">
        <v>174922.70333333334</v>
      </c>
      <c r="AG22" s="5">
        <v>1.0332059138539953</v>
      </c>
      <c r="AH22" s="6">
        <v>228788.61333333331</v>
      </c>
      <c r="AI22" s="6">
        <v>0.30860972797416947</v>
      </c>
      <c r="AJ22" s="5">
        <v>143858.93666666665</v>
      </c>
      <c r="AK22" s="5">
        <v>0.54866174835121773</v>
      </c>
      <c r="AL22" s="6">
        <v>3251945.3666666672</v>
      </c>
      <c r="AM22" s="6">
        <v>0.65328903857245546</v>
      </c>
    </row>
    <row r="23" spans="1:39" ht="18.75" customHeight="1">
      <c r="A23" s="13"/>
      <c r="B23" s="13" t="b">
        <v>0</v>
      </c>
      <c r="C23" s="13" t="s">
        <v>23</v>
      </c>
      <c r="D23" s="13" t="s">
        <v>430</v>
      </c>
      <c r="E23" s="3">
        <v>41436.523402777777</v>
      </c>
      <c r="F23" s="4" t="s">
        <v>454</v>
      </c>
      <c r="G23" s="5" t="s">
        <v>0</v>
      </c>
      <c r="H23" s="5">
        <v>3300</v>
      </c>
      <c r="I23" s="13" t="s">
        <v>220</v>
      </c>
      <c r="J23" s="6">
        <v>166019.52948982001</v>
      </c>
      <c r="K23" s="6">
        <v>5229.9733333333334</v>
      </c>
      <c r="L23" s="6">
        <v>3.3022338694336471</v>
      </c>
      <c r="M23" s="5">
        <v>99706.513263211906</v>
      </c>
      <c r="N23" s="5">
        <v>520826.40666666668</v>
      </c>
      <c r="O23" s="5">
        <v>0.49156478334401482</v>
      </c>
      <c r="P23" s="6">
        <v>101927.48597687</v>
      </c>
      <c r="Q23" s="6">
        <v>830596.75</v>
      </c>
      <c r="R23" s="6">
        <v>0.91722591367605577</v>
      </c>
      <c r="S23" s="5">
        <v>104479.186717927</v>
      </c>
      <c r="T23" s="5">
        <v>20634.75</v>
      </c>
      <c r="U23" s="5">
        <v>2.8161528232825415</v>
      </c>
      <c r="V23" s="6">
        <v>104267.820324297</v>
      </c>
      <c r="W23" s="6">
        <v>1542648.2733333334</v>
      </c>
      <c r="X23" s="6">
        <v>1.6918328484202834</v>
      </c>
      <c r="Y23" s="5">
        <v>101189.309067439</v>
      </c>
      <c r="Z23" s="5">
        <v>1101032.6133333333</v>
      </c>
      <c r="AA23" s="5">
        <v>0.77882341536431388</v>
      </c>
      <c r="AB23" s="6">
        <v>95833.441761743597</v>
      </c>
      <c r="AC23" s="6">
        <v>308256.34666666662</v>
      </c>
      <c r="AD23" s="6">
        <v>0.828875370260446</v>
      </c>
      <c r="AE23" s="5">
        <v>96559.067187602195</v>
      </c>
      <c r="AF23" s="5">
        <v>184283.51333333334</v>
      </c>
      <c r="AG23" s="5">
        <v>0.55082338922057195</v>
      </c>
      <c r="AH23" s="6">
        <v>230703.58</v>
      </c>
      <c r="AI23" s="6">
        <v>1.0249440334278657</v>
      </c>
      <c r="AJ23" s="5">
        <v>144278.98666666666</v>
      </c>
      <c r="AK23" s="5">
        <v>0.38043563979699674</v>
      </c>
      <c r="AL23" s="6">
        <v>3253266.93</v>
      </c>
      <c r="AM23" s="6">
        <v>0.22407847041070733</v>
      </c>
    </row>
    <row r="24" spans="1:39" ht="18.75" customHeight="1">
      <c r="A24" s="13" t="s">
        <v>456</v>
      </c>
      <c r="B24" s="13" t="b">
        <v>0</v>
      </c>
      <c r="C24" s="13" t="s">
        <v>24</v>
      </c>
      <c r="D24" s="13" t="s">
        <v>431</v>
      </c>
      <c r="E24" s="3">
        <v>41436.526493055557</v>
      </c>
      <c r="F24" s="4" t="s">
        <v>454</v>
      </c>
      <c r="G24" s="5" t="s">
        <v>0</v>
      </c>
      <c r="H24" s="5">
        <v>3300</v>
      </c>
      <c r="I24" s="13" t="s">
        <v>221</v>
      </c>
      <c r="J24" s="6">
        <v>141140.027364963</v>
      </c>
      <c r="K24" s="6">
        <v>4445.2433333333329</v>
      </c>
      <c r="L24" s="6">
        <v>6.2805862717187759</v>
      </c>
      <c r="M24" s="5">
        <v>107105.004597202</v>
      </c>
      <c r="N24" s="5">
        <v>557995.81000000006</v>
      </c>
      <c r="O24" s="5">
        <v>2.8973449141855045</v>
      </c>
      <c r="P24" s="6">
        <v>105532.438338076</v>
      </c>
      <c r="Q24" s="6">
        <v>856970.81333333335</v>
      </c>
      <c r="R24" s="6">
        <v>2.7442211683951534</v>
      </c>
      <c r="S24" s="5">
        <v>110103.465884597</v>
      </c>
      <c r="T24" s="5">
        <v>21652.693333333333</v>
      </c>
      <c r="U24" s="5">
        <v>4.0832335627011229</v>
      </c>
      <c r="V24" s="6">
        <v>111520.88163617501</v>
      </c>
      <c r="W24" s="6">
        <v>1644537.0733333332</v>
      </c>
      <c r="X24" s="6">
        <v>3.6468054017309197</v>
      </c>
      <c r="Y24" s="5">
        <v>107672.365402186</v>
      </c>
      <c r="Z24" s="5">
        <v>1168406.1966666665</v>
      </c>
      <c r="AA24" s="5">
        <v>3.0254897687944631</v>
      </c>
      <c r="AB24" s="6">
        <v>100247.989019505</v>
      </c>
      <c r="AC24" s="6">
        <v>321593.28999999998</v>
      </c>
      <c r="AD24" s="6">
        <v>2.8827611672341393</v>
      </c>
      <c r="AE24" s="5">
        <v>100503.137802752</v>
      </c>
      <c r="AF24" s="5">
        <v>191339.66333333333</v>
      </c>
      <c r="AG24" s="5">
        <v>2.7982270695450207</v>
      </c>
      <c r="AH24" s="6">
        <v>229807.85333333336</v>
      </c>
      <c r="AI24" s="6">
        <v>13.495437269842681</v>
      </c>
      <c r="AJ24" s="5">
        <v>145189.38333333333</v>
      </c>
      <c r="AK24" s="5">
        <v>10.430028283061572</v>
      </c>
      <c r="AL24" s="6">
        <v>3223663.4599999995</v>
      </c>
      <c r="AM24" s="6">
        <v>11.478083938098395</v>
      </c>
    </row>
    <row r="25" spans="1:39" ht="18.75" customHeight="1">
      <c r="A25" s="13"/>
      <c r="B25" s="13" t="b">
        <v>0</v>
      </c>
      <c r="C25" s="13" t="s">
        <v>25</v>
      </c>
      <c r="D25" s="13" t="s">
        <v>432</v>
      </c>
      <c r="E25" s="3">
        <v>41436.529594907406</v>
      </c>
      <c r="F25" s="4" t="s">
        <v>454</v>
      </c>
      <c r="G25" s="5" t="s">
        <v>0</v>
      </c>
      <c r="H25" s="5">
        <v>3300</v>
      </c>
      <c r="I25" s="13" t="s">
        <v>222</v>
      </c>
      <c r="J25" s="6">
        <v>140601.23352278199</v>
      </c>
      <c r="K25" s="6">
        <v>4465.2433333333329</v>
      </c>
      <c r="L25" s="6">
        <v>4.3029209778199933</v>
      </c>
      <c r="M25" s="5">
        <v>99958.805567130301</v>
      </c>
      <c r="N25" s="5">
        <v>523890.26</v>
      </c>
      <c r="O25" s="5">
        <v>0.67341999940540054</v>
      </c>
      <c r="P25" s="6">
        <v>105431.47667376199</v>
      </c>
      <c r="Q25" s="6">
        <v>861278.8566666668</v>
      </c>
      <c r="R25" s="6">
        <v>0.60951269829989441</v>
      </c>
      <c r="S25" s="5">
        <v>108125.152445606</v>
      </c>
      <c r="T25" s="5">
        <v>21410.193333333333</v>
      </c>
      <c r="U25" s="5">
        <v>2.1273187523963619</v>
      </c>
      <c r="V25" s="6">
        <v>104853.9136742</v>
      </c>
      <c r="W25" s="6">
        <v>1556513.05</v>
      </c>
      <c r="X25" s="6">
        <v>1.2534318515423211</v>
      </c>
      <c r="Y25" s="5">
        <v>101334.014738506</v>
      </c>
      <c r="Z25" s="5">
        <v>1106306.0266666666</v>
      </c>
      <c r="AA25" s="5">
        <v>0.71573362398045348</v>
      </c>
      <c r="AB25" s="6">
        <v>94039.811796308393</v>
      </c>
      <c r="AC25" s="6">
        <v>303509.83666666667</v>
      </c>
      <c r="AD25" s="6">
        <v>1.459169536038712</v>
      </c>
      <c r="AE25" s="5">
        <v>94109.935995976906</v>
      </c>
      <c r="AF25" s="5">
        <v>180216.45</v>
      </c>
      <c r="AG25" s="5">
        <v>1.5018587482621819</v>
      </c>
      <c r="AH25" s="6">
        <v>231694.74333333332</v>
      </c>
      <c r="AI25" s="6">
        <v>1.2627966562183532</v>
      </c>
      <c r="AJ25" s="5">
        <v>144770.75333333333</v>
      </c>
      <c r="AK25" s="5">
        <v>0.75493102850126548</v>
      </c>
      <c r="AL25" s="6">
        <v>3283244.4333333336</v>
      </c>
      <c r="AM25" s="6">
        <v>0.49370046858694266</v>
      </c>
    </row>
    <row r="26" spans="1:39" ht="18.75" customHeight="1">
      <c r="A26" s="13"/>
      <c r="B26" s="13" t="b">
        <v>0</v>
      </c>
      <c r="C26" s="13" t="s">
        <v>26</v>
      </c>
      <c r="D26" s="13" t="s">
        <v>425</v>
      </c>
      <c r="E26" s="3">
        <v>41436.532685185186</v>
      </c>
      <c r="F26" s="4" t="s">
        <v>454</v>
      </c>
      <c r="G26" s="5" t="s">
        <v>0</v>
      </c>
      <c r="H26" s="5">
        <v>3.0414746543778803</v>
      </c>
      <c r="I26" s="13" t="s">
        <v>223</v>
      </c>
      <c r="J26" s="6">
        <v>148.09980438109699</v>
      </c>
      <c r="K26" s="6">
        <v>5015.4033333333336</v>
      </c>
      <c r="L26" s="6">
        <v>3.9072645007756166</v>
      </c>
      <c r="M26" s="5">
        <v>9.6416524158517092</v>
      </c>
      <c r="N26" s="5">
        <v>54506.87</v>
      </c>
      <c r="O26" s="5">
        <v>0.95305814475811645</v>
      </c>
      <c r="P26" s="6">
        <v>189.99816051923301</v>
      </c>
      <c r="Q26" s="6">
        <v>1640667.1966666665</v>
      </c>
      <c r="R26" s="6">
        <v>0.48946659203398313</v>
      </c>
      <c r="S26" s="5">
        <v>188.24129429086901</v>
      </c>
      <c r="T26" s="5">
        <v>39504.706666666665</v>
      </c>
      <c r="U26" s="5">
        <v>1.2627602318664353</v>
      </c>
      <c r="V26" s="6">
        <v>0.32642805149345699</v>
      </c>
      <c r="W26" s="6">
        <v>6130.3233333333337</v>
      </c>
      <c r="X26" s="6">
        <v>3.2284855374810393</v>
      </c>
      <c r="Y26" s="5">
        <v>274.20805642709399</v>
      </c>
      <c r="Z26" s="5">
        <v>3202279.85</v>
      </c>
      <c r="AA26" s="5">
        <v>0.92450784824758125</v>
      </c>
      <c r="AB26" s="6">
        <v>147.507529562965</v>
      </c>
      <c r="AC26" s="6">
        <v>509081.75666666665</v>
      </c>
      <c r="AD26" s="6">
        <v>0.42073304387197613</v>
      </c>
      <c r="AE26" s="5">
        <v>158.52683026744199</v>
      </c>
      <c r="AF26" s="5">
        <v>324561.32</v>
      </c>
      <c r="AG26" s="5">
        <v>0.86773548028546488</v>
      </c>
      <c r="AH26" s="6">
        <v>224148.33666666667</v>
      </c>
      <c r="AI26" s="6">
        <v>1.8415973812085533</v>
      </c>
      <c r="AJ26" s="5">
        <v>142841.38666666666</v>
      </c>
      <c r="AK26" s="5">
        <v>0.75656354596025321</v>
      </c>
      <c r="AL26" s="6">
        <v>3251467.66</v>
      </c>
      <c r="AM26" s="6">
        <v>1.6413073879005708</v>
      </c>
    </row>
    <row r="27" spans="1:39" ht="18.75" customHeight="1">
      <c r="A27" s="13"/>
      <c r="B27" s="13" t="b">
        <v>0</v>
      </c>
      <c r="C27" s="13" t="s">
        <v>27</v>
      </c>
      <c r="D27" s="13" t="s">
        <v>1</v>
      </c>
      <c r="E27" s="3">
        <v>41436.535775462966</v>
      </c>
      <c r="F27" s="4" t="s">
        <v>424</v>
      </c>
      <c r="G27" s="5" t="s">
        <v>0</v>
      </c>
      <c r="H27" s="5">
        <v>1</v>
      </c>
      <c r="I27" s="13" t="s">
        <v>193</v>
      </c>
      <c r="J27" s="6" t="s">
        <v>416</v>
      </c>
      <c r="K27" s="6">
        <v>155.5633333333333</v>
      </c>
      <c r="L27" s="6">
        <v>3.2726380138221995</v>
      </c>
      <c r="M27" s="5" t="s">
        <v>405</v>
      </c>
      <c r="N27" s="5">
        <v>664.48666666666668</v>
      </c>
      <c r="O27" s="5">
        <v>4.2071350572899897</v>
      </c>
      <c r="P27" s="6" t="s">
        <v>414</v>
      </c>
      <c r="Q27" s="6">
        <v>21376.603333333336</v>
      </c>
      <c r="R27" s="6">
        <v>1.2313432853988029</v>
      </c>
      <c r="S27" s="5" t="s">
        <v>415</v>
      </c>
      <c r="T27" s="5">
        <v>502.25333333333333</v>
      </c>
      <c r="U27" s="5">
        <v>5.1559815401238742</v>
      </c>
      <c r="V27" s="6" t="s">
        <v>405</v>
      </c>
      <c r="W27" s="6">
        <v>1505.6966666666667</v>
      </c>
      <c r="X27" s="6">
        <v>6.2245393160659939</v>
      </c>
      <c r="Y27" s="5" t="s">
        <v>407</v>
      </c>
      <c r="Z27" s="5">
        <v>1815.7433333333331</v>
      </c>
      <c r="AA27" s="5">
        <v>5.8648124715979746</v>
      </c>
      <c r="AB27" s="6" t="s">
        <v>413</v>
      </c>
      <c r="AC27" s="6">
        <v>1104.54</v>
      </c>
      <c r="AD27" s="6">
        <v>4.7175692150817508</v>
      </c>
      <c r="AE27" s="5" t="s">
        <v>412</v>
      </c>
      <c r="AF27" s="5">
        <v>684.49333333333334</v>
      </c>
      <c r="AG27" s="5">
        <v>15.26431351361364</v>
      </c>
      <c r="AH27" s="6">
        <v>218823.35666666666</v>
      </c>
      <c r="AI27" s="6">
        <v>1.9093138754404837</v>
      </c>
      <c r="AJ27" s="5">
        <v>145331.32</v>
      </c>
      <c r="AK27" s="5">
        <v>1.5379736427548265</v>
      </c>
      <c r="AL27" s="6">
        <v>3215244.7433333336</v>
      </c>
      <c r="AM27" s="6">
        <v>1.8193401823077766</v>
      </c>
    </row>
    <row r="28" spans="1:39" ht="18.75" customHeight="1">
      <c r="A28" s="13"/>
      <c r="B28" s="13" t="b">
        <v>0</v>
      </c>
      <c r="C28" s="13" t="s">
        <v>28</v>
      </c>
      <c r="D28" s="13" t="s">
        <v>426</v>
      </c>
      <c r="E28" s="3">
        <v>41436.538877314815</v>
      </c>
      <c r="F28" s="4" t="s">
        <v>454</v>
      </c>
      <c r="G28" s="5" t="s">
        <v>0</v>
      </c>
      <c r="H28" s="5">
        <v>2.3741007194244603</v>
      </c>
      <c r="I28" s="13" t="s">
        <v>224</v>
      </c>
      <c r="J28" s="6">
        <v>152.69245995875599</v>
      </c>
      <c r="K28" s="6">
        <v>6612.7266666666665</v>
      </c>
      <c r="L28" s="6">
        <v>2.947641154793645</v>
      </c>
      <c r="M28" s="5">
        <v>9.8192940355110903</v>
      </c>
      <c r="N28" s="5">
        <v>71328.039999999994</v>
      </c>
      <c r="O28" s="5">
        <v>0.36828568783213594</v>
      </c>
      <c r="P28" s="6">
        <v>192.17559709816001</v>
      </c>
      <c r="Q28" s="6">
        <v>2129972.8333333335</v>
      </c>
      <c r="R28" s="6">
        <v>0.9165067089193244</v>
      </c>
      <c r="S28" s="5">
        <v>186.96066446112999</v>
      </c>
      <c r="T28" s="5">
        <v>50392.993333333325</v>
      </c>
      <c r="U28" s="5">
        <v>1.7131388758052855</v>
      </c>
      <c r="V28" s="6">
        <v>0.298495604996319</v>
      </c>
      <c r="W28" s="6">
        <v>7052.9433333333336</v>
      </c>
      <c r="X28" s="6">
        <v>2.5593920641256744</v>
      </c>
      <c r="Y28" s="5">
        <v>274.99676254683999</v>
      </c>
      <c r="Z28" s="5">
        <v>4134276.57</v>
      </c>
      <c r="AA28" s="5">
        <v>1.3764324313060154</v>
      </c>
      <c r="AB28" s="6">
        <v>149.22532606962801</v>
      </c>
      <c r="AC28" s="6">
        <v>662813.77</v>
      </c>
      <c r="AD28" s="6">
        <v>0.42330399441593447</v>
      </c>
      <c r="AE28" s="5">
        <v>160.72417540050901</v>
      </c>
      <c r="AF28" s="5">
        <v>423506.7</v>
      </c>
      <c r="AG28" s="5">
        <v>0.70955667541883649</v>
      </c>
      <c r="AH28" s="6">
        <v>228291.30333333332</v>
      </c>
      <c r="AI28" s="6">
        <v>1.1357383429707146</v>
      </c>
      <c r="AJ28" s="5">
        <v>143549.09</v>
      </c>
      <c r="AK28" s="5">
        <v>0.74836102620731948</v>
      </c>
      <c r="AL28" s="6">
        <v>3247838.2833333332</v>
      </c>
      <c r="AM28" s="6">
        <v>0.63960395936664594</v>
      </c>
    </row>
    <row r="29" spans="1:39" ht="18.75" customHeight="1">
      <c r="A29" s="13"/>
      <c r="B29" s="13" t="b">
        <v>0</v>
      </c>
      <c r="C29" s="13" t="s">
        <v>29</v>
      </c>
      <c r="D29" s="13" t="s">
        <v>1</v>
      </c>
      <c r="E29" s="3">
        <v>41436.541967592595</v>
      </c>
      <c r="F29" s="4" t="s">
        <v>424</v>
      </c>
      <c r="G29" s="5" t="s">
        <v>0</v>
      </c>
      <c r="H29" s="5">
        <v>1</v>
      </c>
      <c r="I29" s="13" t="s">
        <v>194</v>
      </c>
      <c r="J29" s="6" t="s">
        <v>416</v>
      </c>
      <c r="K29" s="6">
        <v>148.9</v>
      </c>
      <c r="L29" s="6">
        <v>16.951488669315676</v>
      </c>
      <c r="M29" s="5" t="s">
        <v>405</v>
      </c>
      <c r="N29" s="5">
        <v>527.81333333333339</v>
      </c>
      <c r="O29" s="5">
        <v>10.26822001955402</v>
      </c>
      <c r="P29" s="6" t="s">
        <v>414</v>
      </c>
      <c r="Q29" s="6">
        <v>21581.573333333334</v>
      </c>
      <c r="R29" s="6">
        <v>1.920520200611358</v>
      </c>
      <c r="S29" s="5" t="s">
        <v>415</v>
      </c>
      <c r="T29" s="5">
        <v>483.3633333333334</v>
      </c>
      <c r="U29" s="5">
        <v>6.0125340903472067</v>
      </c>
      <c r="V29" s="6" t="s">
        <v>405</v>
      </c>
      <c r="W29" s="6">
        <v>1007.8566666666666</v>
      </c>
      <c r="X29" s="6">
        <v>3.3300035867304678</v>
      </c>
      <c r="Y29" s="5" t="s">
        <v>407</v>
      </c>
      <c r="Z29" s="5">
        <v>1786.85</v>
      </c>
      <c r="AA29" s="5">
        <v>3.0026989323380837</v>
      </c>
      <c r="AB29" s="6" t="s">
        <v>413</v>
      </c>
      <c r="AC29" s="6">
        <v>1012.3</v>
      </c>
      <c r="AD29" s="6">
        <v>1.3311622328243125</v>
      </c>
      <c r="AE29" s="5" t="s">
        <v>412</v>
      </c>
      <c r="AF29" s="5">
        <v>586.70666666666659</v>
      </c>
      <c r="AG29" s="5">
        <v>9.3020136469811643</v>
      </c>
      <c r="AH29" s="6">
        <v>223356.64333333331</v>
      </c>
      <c r="AI29" s="6">
        <v>0.86348111339037104</v>
      </c>
      <c r="AJ29" s="5">
        <v>145395.32000000004</v>
      </c>
      <c r="AK29" s="5">
        <v>2.4952868283154812</v>
      </c>
      <c r="AL29" s="6">
        <v>3177562.8</v>
      </c>
      <c r="AM29" s="6">
        <v>2.262612771236697</v>
      </c>
    </row>
    <row r="30" spans="1:39" ht="18.75" customHeight="1">
      <c r="A30" s="13"/>
      <c r="B30" s="13" t="b">
        <v>0</v>
      </c>
      <c r="C30" s="13" t="s">
        <v>30</v>
      </c>
      <c r="D30" s="13" t="s">
        <v>427</v>
      </c>
      <c r="E30" s="3">
        <v>41436.545069444444</v>
      </c>
      <c r="F30" s="4" t="s">
        <v>454</v>
      </c>
      <c r="G30" s="5" t="s">
        <v>0</v>
      </c>
      <c r="H30" s="5">
        <v>5.2799999999999994</v>
      </c>
      <c r="I30" s="13" t="s">
        <v>225</v>
      </c>
      <c r="J30" s="6">
        <v>162.114707662992</v>
      </c>
      <c r="K30" s="6">
        <v>3250.4633333333331</v>
      </c>
      <c r="L30" s="6">
        <v>1.4101579774758566</v>
      </c>
      <c r="M30" s="5">
        <v>10.2163729840999</v>
      </c>
      <c r="N30" s="5">
        <v>33821.013333333329</v>
      </c>
      <c r="O30" s="5">
        <v>0.52111520815216017</v>
      </c>
      <c r="P30" s="6">
        <v>190.78283004045201</v>
      </c>
      <c r="Q30" s="6">
        <v>968953.49333333329</v>
      </c>
      <c r="R30" s="6">
        <v>0.99744726155340302</v>
      </c>
      <c r="S30" s="5">
        <v>193.005494668159</v>
      </c>
      <c r="T30" s="5">
        <v>23778.993333333336</v>
      </c>
      <c r="U30" s="5">
        <v>1.853675882499153</v>
      </c>
      <c r="V30" s="6">
        <v>0.80539026214353404</v>
      </c>
      <c r="W30" s="6">
        <v>8406.9566666666669</v>
      </c>
      <c r="X30" s="6">
        <v>1.672718242555157</v>
      </c>
      <c r="Y30" s="5">
        <v>270.13402118338001</v>
      </c>
      <c r="Z30" s="5">
        <v>1838122.6966666665</v>
      </c>
      <c r="AA30" s="5">
        <v>1.5460757421737719</v>
      </c>
      <c r="AB30" s="6">
        <v>145.323553514411</v>
      </c>
      <c r="AC30" s="6">
        <v>292524.01333333337</v>
      </c>
      <c r="AD30" s="6">
        <v>1.0350493199579349</v>
      </c>
      <c r="AE30" s="5">
        <v>156.45702491309501</v>
      </c>
      <c r="AF30" s="5">
        <v>186816.97666666665</v>
      </c>
      <c r="AG30" s="5">
        <v>0.6386950300239288</v>
      </c>
      <c r="AH30" s="6">
        <v>228794.50666666668</v>
      </c>
      <c r="AI30" s="6">
        <v>0.71634365742100736</v>
      </c>
      <c r="AJ30" s="5">
        <v>144439.29333333333</v>
      </c>
      <c r="AK30" s="5">
        <v>0.70362521206623752</v>
      </c>
      <c r="AL30" s="6">
        <v>3251628.8033333332</v>
      </c>
      <c r="AM30" s="6">
        <v>0.5214995811916292</v>
      </c>
    </row>
    <row r="31" spans="1:39" ht="18.75" customHeight="1">
      <c r="A31" s="13"/>
      <c r="B31" s="13" t="b">
        <v>0</v>
      </c>
      <c r="C31" s="13" t="s">
        <v>31</v>
      </c>
      <c r="D31" s="13" t="s">
        <v>1</v>
      </c>
      <c r="E31" s="3">
        <v>41436.548171296294</v>
      </c>
      <c r="F31" s="4" t="s">
        <v>424</v>
      </c>
      <c r="G31" s="5" t="s">
        <v>0</v>
      </c>
      <c r="H31" s="5">
        <v>1</v>
      </c>
      <c r="I31" s="13" t="s">
        <v>193</v>
      </c>
      <c r="J31" s="6" t="s">
        <v>416</v>
      </c>
      <c r="K31" s="6">
        <v>164.45333333333335</v>
      </c>
      <c r="L31" s="6">
        <v>28.762142220628835</v>
      </c>
      <c r="M31" s="5" t="s">
        <v>405</v>
      </c>
      <c r="N31" s="5">
        <v>547.81333333333339</v>
      </c>
      <c r="O31" s="5">
        <v>7.5101458548408413</v>
      </c>
      <c r="P31" s="6" t="s">
        <v>414</v>
      </c>
      <c r="Q31" s="6">
        <v>21030.693333333333</v>
      </c>
      <c r="R31" s="6">
        <v>0.8362583195022919</v>
      </c>
      <c r="S31" s="5" t="s">
        <v>415</v>
      </c>
      <c r="T31" s="5">
        <v>485.58666666666664</v>
      </c>
      <c r="U31" s="5">
        <v>11.515445151610248</v>
      </c>
      <c r="V31" s="6" t="s">
        <v>405</v>
      </c>
      <c r="W31" s="6">
        <v>1547.9233333333334</v>
      </c>
      <c r="X31" s="6">
        <v>7.4678847336665353</v>
      </c>
      <c r="Y31" s="5" t="s">
        <v>407</v>
      </c>
      <c r="Z31" s="5">
        <v>2008.0033333333331</v>
      </c>
      <c r="AA31" s="5">
        <v>6.1554272213757342</v>
      </c>
      <c r="AB31" s="6" t="s">
        <v>413</v>
      </c>
      <c r="AC31" s="6">
        <v>1106.7566666666667</v>
      </c>
      <c r="AD31" s="6">
        <v>1.2048719211803167</v>
      </c>
      <c r="AE31" s="5" t="s">
        <v>412</v>
      </c>
      <c r="AF31" s="5">
        <v>771.16666666666663</v>
      </c>
      <c r="AG31" s="5">
        <v>8.584647086145047</v>
      </c>
      <c r="AH31" s="6">
        <v>232253.18666666665</v>
      </c>
      <c r="AI31" s="6">
        <v>0.66710884586400643</v>
      </c>
      <c r="AJ31" s="5">
        <v>144695.61666666667</v>
      </c>
      <c r="AK31" s="5">
        <v>2.1255683269070444</v>
      </c>
      <c r="AL31" s="6">
        <v>3269776.5133333332</v>
      </c>
      <c r="AM31" s="6">
        <v>1.6390433331376444</v>
      </c>
    </row>
    <row r="32" spans="1:39" ht="18.75" customHeight="1">
      <c r="A32" s="13"/>
      <c r="B32" s="13" t="b">
        <v>0</v>
      </c>
      <c r="C32" s="13" t="s">
        <v>32</v>
      </c>
      <c r="D32" s="13" t="s">
        <v>428</v>
      </c>
      <c r="E32" s="3">
        <v>41436.55128472222</v>
      </c>
      <c r="F32" s="4" t="s">
        <v>454</v>
      </c>
      <c r="G32" s="5" t="s">
        <v>0</v>
      </c>
      <c r="H32" s="5">
        <v>3.1884057971014492</v>
      </c>
      <c r="I32" s="13" t="s">
        <v>226</v>
      </c>
      <c r="J32" s="6">
        <v>143.78392939017499</v>
      </c>
      <c r="K32" s="6">
        <v>4713.09</v>
      </c>
      <c r="L32" s="6">
        <v>3.647115984138205</v>
      </c>
      <c r="M32" s="5">
        <v>9.7466447703629999</v>
      </c>
      <c r="N32" s="5">
        <v>53214.97</v>
      </c>
      <c r="O32" s="5">
        <v>1.9554994657429641</v>
      </c>
      <c r="P32" s="6">
        <v>192.50657660473999</v>
      </c>
      <c r="Q32" s="6">
        <v>1605660.8266666669</v>
      </c>
      <c r="R32" s="6">
        <v>1.4710205939711345</v>
      </c>
      <c r="S32" s="5">
        <v>189.42251088002499</v>
      </c>
      <c r="T32" s="5">
        <v>38395.366666666669</v>
      </c>
      <c r="U32" s="5">
        <v>0.90234327204327969</v>
      </c>
      <c r="V32" s="6">
        <v>0.30785864570722099</v>
      </c>
      <c r="W32" s="6">
        <v>5679.003333333334</v>
      </c>
      <c r="X32" s="6">
        <v>5.8397803609881924</v>
      </c>
      <c r="Y32" s="5">
        <v>276.99652305992799</v>
      </c>
      <c r="Z32" s="5">
        <v>3122967.14</v>
      </c>
      <c r="AA32" s="5">
        <v>0.44487113028202457</v>
      </c>
      <c r="AB32" s="6">
        <v>147.82534961471501</v>
      </c>
      <c r="AC32" s="6">
        <v>492587.8</v>
      </c>
      <c r="AD32" s="6">
        <v>0.55623163203894666</v>
      </c>
      <c r="AE32" s="5">
        <v>159.798705600695</v>
      </c>
      <c r="AF32" s="5">
        <v>315896.37333333329</v>
      </c>
      <c r="AG32" s="5">
        <v>0.97480364645981477</v>
      </c>
      <c r="AH32" s="6">
        <v>229355.1</v>
      </c>
      <c r="AI32" s="6">
        <v>0.69621495116250076</v>
      </c>
      <c r="AJ32" s="5">
        <v>144569.07666666666</v>
      </c>
      <c r="AK32" s="5">
        <v>0.90147237101925148</v>
      </c>
      <c r="AL32" s="6">
        <v>3237902.7300000004</v>
      </c>
      <c r="AM32" s="6">
        <v>0.90632798467384923</v>
      </c>
    </row>
    <row r="33" spans="1:39" ht="18.75" customHeight="1">
      <c r="A33" s="13"/>
      <c r="B33" s="13" t="b">
        <v>0</v>
      </c>
      <c r="C33" s="13" t="s">
        <v>33</v>
      </c>
      <c r="D33" s="13" t="s">
        <v>1</v>
      </c>
      <c r="E33" s="3">
        <v>41436.554375</v>
      </c>
      <c r="F33" s="4" t="s">
        <v>424</v>
      </c>
      <c r="G33" s="5" t="s">
        <v>0</v>
      </c>
      <c r="H33" s="5">
        <v>1</v>
      </c>
      <c r="I33" s="13" t="s">
        <v>193</v>
      </c>
      <c r="J33" s="6" t="s">
        <v>416</v>
      </c>
      <c r="K33" s="6">
        <v>152.23333333333332</v>
      </c>
      <c r="L33" s="6">
        <v>8.8504225990185716</v>
      </c>
      <c r="M33" s="5" t="s">
        <v>405</v>
      </c>
      <c r="N33" s="5">
        <v>651.15333333333331</v>
      </c>
      <c r="O33" s="5">
        <v>11.866900603872482</v>
      </c>
      <c r="P33" s="6" t="s">
        <v>414</v>
      </c>
      <c r="Q33" s="6">
        <v>21872.626666666667</v>
      </c>
      <c r="R33" s="6">
        <v>4.9372730500138085</v>
      </c>
      <c r="S33" s="5" t="s">
        <v>415</v>
      </c>
      <c r="T33" s="5">
        <v>521.14666666666665</v>
      </c>
      <c r="U33" s="5">
        <v>6.8401058261768757</v>
      </c>
      <c r="V33" s="6" t="s">
        <v>405</v>
      </c>
      <c r="W33" s="6">
        <v>1475.6966666666667</v>
      </c>
      <c r="X33" s="6">
        <v>8.3266762351693622</v>
      </c>
      <c r="Y33" s="5" t="s">
        <v>407</v>
      </c>
      <c r="Z33" s="5">
        <v>2158.0166666666669</v>
      </c>
      <c r="AA33" s="5">
        <v>2.9165332754121409</v>
      </c>
      <c r="AB33" s="6" t="s">
        <v>413</v>
      </c>
      <c r="AC33" s="6">
        <v>1186.7633333333333</v>
      </c>
      <c r="AD33" s="6">
        <v>1.4592313024628136</v>
      </c>
      <c r="AE33" s="5" t="s">
        <v>412</v>
      </c>
      <c r="AF33" s="5">
        <v>648.92999999999995</v>
      </c>
      <c r="AG33" s="5">
        <v>10.071689706120074</v>
      </c>
      <c r="AH33" s="6">
        <v>212444.8966666667</v>
      </c>
      <c r="AI33" s="6">
        <v>3.8205896158704569</v>
      </c>
      <c r="AJ33" s="5">
        <v>146148.25</v>
      </c>
      <c r="AK33" s="5">
        <v>1.5347603204976732</v>
      </c>
      <c r="AL33" s="6">
        <v>3205165.9933333336</v>
      </c>
      <c r="AM33" s="6">
        <v>2.5817761375878852</v>
      </c>
    </row>
    <row r="34" spans="1:39" ht="18.75" customHeight="1">
      <c r="A34" s="13" t="s">
        <v>468</v>
      </c>
      <c r="B34" s="13" t="b">
        <v>0</v>
      </c>
      <c r="C34" s="13" t="s">
        <v>34</v>
      </c>
      <c r="D34" s="13" t="s">
        <v>483</v>
      </c>
      <c r="E34" s="3">
        <v>41436.557453703703</v>
      </c>
      <c r="F34" s="4" t="s">
        <v>452</v>
      </c>
      <c r="G34" s="5" t="s">
        <v>0</v>
      </c>
      <c r="H34" s="5">
        <v>1</v>
      </c>
      <c r="I34" s="13" t="s">
        <v>204</v>
      </c>
      <c r="J34" s="6">
        <v>11.6433635166022</v>
      </c>
      <c r="K34" s="6">
        <v>1394.57</v>
      </c>
      <c r="L34" s="6">
        <v>7.5910815060275301</v>
      </c>
      <c r="M34" s="5">
        <v>9.5896127410339194</v>
      </c>
      <c r="N34" s="5">
        <v>168667.14666666667</v>
      </c>
      <c r="O34" s="5">
        <v>1.2248162696123455</v>
      </c>
      <c r="P34" s="6">
        <v>9.6304269764407398</v>
      </c>
      <c r="Q34" s="6">
        <v>277673.68</v>
      </c>
      <c r="R34" s="6">
        <v>0.24034479744068307</v>
      </c>
      <c r="S34" s="5">
        <v>9.6815440417723693</v>
      </c>
      <c r="T34" s="5">
        <v>6777.2533333333331</v>
      </c>
      <c r="U34" s="5">
        <v>4.8502385440404332</v>
      </c>
      <c r="V34" s="6">
        <v>9.6903774447760203</v>
      </c>
      <c r="W34" s="6">
        <v>481449.06</v>
      </c>
      <c r="X34" s="6">
        <v>0.9073208995628621</v>
      </c>
      <c r="Y34" s="5">
        <v>9.9176483250485195</v>
      </c>
      <c r="Z34" s="5">
        <v>361674.8033333334</v>
      </c>
      <c r="AA34" s="5">
        <v>0.51697492857315108</v>
      </c>
      <c r="AB34" s="6">
        <v>9.6506220793707094</v>
      </c>
      <c r="AC34" s="6">
        <v>104432.44333333334</v>
      </c>
      <c r="AD34" s="6">
        <v>1.0045377933304021</v>
      </c>
      <c r="AE34" s="5">
        <v>9.7470265455861504</v>
      </c>
      <c r="AF34" s="5">
        <v>62523.503333333334</v>
      </c>
      <c r="AG34" s="5">
        <v>0.29200082292320978</v>
      </c>
      <c r="AH34" s="6">
        <v>200053.78499999997</v>
      </c>
      <c r="AI34" s="6">
        <v>5.5358326598688032</v>
      </c>
      <c r="AJ34" s="5">
        <v>145924.28999999998</v>
      </c>
      <c r="AK34" s="5">
        <v>1.7397164707491517</v>
      </c>
      <c r="AL34" s="6">
        <v>3105705.58</v>
      </c>
      <c r="AM34" s="6">
        <v>3.5606292642463298</v>
      </c>
    </row>
    <row r="35" spans="1:39" ht="18.75" customHeight="1">
      <c r="A35" s="13" t="s">
        <v>449</v>
      </c>
      <c r="B35" s="13" t="b">
        <v>0</v>
      </c>
      <c r="C35" s="13" t="s">
        <v>35</v>
      </c>
      <c r="D35" s="13" t="s">
        <v>1</v>
      </c>
      <c r="E35" s="3">
        <v>41436.560555555552</v>
      </c>
      <c r="F35" s="4" t="s">
        <v>424</v>
      </c>
      <c r="G35" s="5" t="s">
        <v>0</v>
      </c>
      <c r="H35" s="5">
        <v>1</v>
      </c>
      <c r="I35" s="13" t="s">
        <v>194</v>
      </c>
      <c r="J35" s="6" t="s">
        <v>416</v>
      </c>
      <c r="K35" s="6">
        <v>158.9</v>
      </c>
      <c r="L35" s="6">
        <v>12.644553179383294</v>
      </c>
      <c r="M35" s="5" t="s">
        <v>405</v>
      </c>
      <c r="N35" s="5">
        <v>454.47333333333336</v>
      </c>
      <c r="O35" s="5">
        <v>16.009355287515483</v>
      </c>
      <c r="P35" s="6" t="s">
        <v>414</v>
      </c>
      <c r="Q35" s="6">
        <v>21626.026666666665</v>
      </c>
      <c r="R35" s="6">
        <v>0.22879505140849468</v>
      </c>
      <c r="S35" s="5" t="s">
        <v>415</v>
      </c>
      <c r="T35" s="5">
        <v>535.59</v>
      </c>
      <c r="U35" s="5">
        <v>10.495316933471598</v>
      </c>
      <c r="V35" s="6" t="s">
        <v>405</v>
      </c>
      <c r="W35" s="6">
        <v>971.18666666666661</v>
      </c>
      <c r="X35" s="6">
        <v>6.0479865420071119</v>
      </c>
      <c r="Y35" s="5" t="s">
        <v>407</v>
      </c>
      <c r="Z35" s="5">
        <v>1342.34</v>
      </c>
      <c r="AA35" s="5">
        <v>9.3888356751877211</v>
      </c>
      <c r="AB35" s="6" t="s">
        <v>413</v>
      </c>
      <c r="AC35" s="6">
        <v>905.62666666666667</v>
      </c>
      <c r="AD35" s="6">
        <v>3.6318322314978571</v>
      </c>
      <c r="AE35" s="5" t="s">
        <v>412</v>
      </c>
      <c r="AF35" s="5">
        <v>544.48333333333335</v>
      </c>
      <c r="AG35" s="5">
        <v>13.803767589174912</v>
      </c>
      <c r="AH35" s="6">
        <v>206721.94000000003</v>
      </c>
      <c r="AI35" s="6">
        <v>3.5691415813751974</v>
      </c>
      <c r="AJ35" s="5">
        <v>138366.84333333335</v>
      </c>
      <c r="AK35" s="5">
        <v>6.364680254379965</v>
      </c>
      <c r="AL35" s="6">
        <v>3010619.0166666671</v>
      </c>
      <c r="AM35" s="6">
        <v>3.7563585060341005</v>
      </c>
    </row>
    <row r="36" spans="1:39" ht="18.75" customHeight="1">
      <c r="A36" s="13" t="s">
        <v>469</v>
      </c>
      <c r="B36" s="13" t="b">
        <v>0</v>
      </c>
      <c r="C36" s="13" t="s">
        <v>36</v>
      </c>
      <c r="D36" s="13" t="s">
        <v>1</v>
      </c>
      <c r="E36" s="3">
        <v>41436.563634259262</v>
      </c>
      <c r="F36" s="4" t="s">
        <v>424</v>
      </c>
      <c r="G36" s="5" t="s">
        <v>0</v>
      </c>
      <c r="H36" s="5">
        <v>1</v>
      </c>
      <c r="I36" s="13" t="s">
        <v>193</v>
      </c>
      <c r="J36" s="6" t="s">
        <v>416</v>
      </c>
      <c r="K36" s="6">
        <v>130.01</v>
      </c>
      <c r="L36" s="6">
        <v>25.254012214920468</v>
      </c>
      <c r="M36" s="5" t="s">
        <v>405</v>
      </c>
      <c r="N36" s="5">
        <v>650.04666666666674</v>
      </c>
      <c r="O36" s="5">
        <v>3.3630558659065368</v>
      </c>
      <c r="P36" s="6" t="s">
        <v>414</v>
      </c>
      <c r="Q36" s="6">
        <v>20902.873333333333</v>
      </c>
      <c r="R36" s="6">
        <v>1.4486678064219993</v>
      </c>
      <c r="S36" s="5" t="s">
        <v>415</v>
      </c>
      <c r="T36" s="5">
        <v>497.80666666666667</v>
      </c>
      <c r="U36" s="5">
        <v>11.528174946995943</v>
      </c>
      <c r="V36" s="6" t="s">
        <v>405</v>
      </c>
      <c r="W36" s="6">
        <v>1503.4800000000002</v>
      </c>
      <c r="X36" s="6">
        <v>2.7778676698446358</v>
      </c>
      <c r="Y36" s="5" t="s">
        <v>407</v>
      </c>
      <c r="Z36" s="5">
        <v>1767.96</v>
      </c>
      <c r="AA36" s="5">
        <v>4.6589740773172768</v>
      </c>
      <c r="AB36" s="6" t="s">
        <v>413</v>
      </c>
      <c r="AC36" s="6">
        <v>1144.5400000000002</v>
      </c>
      <c r="AD36" s="6">
        <v>9.6136394928142259</v>
      </c>
      <c r="AE36" s="5" t="s">
        <v>412</v>
      </c>
      <c r="AF36" s="5">
        <v>648.93666666666661</v>
      </c>
      <c r="AG36" s="5">
        <v>5.2722889871037353</v>
      </c>
      <c r="AH36" s="6">
        <v>210519.88333333333</v>
      </c>
      <c r="AI36" s="6">
        <v>5.7817318715663548</v>
      </c>
      <c r="AJ36" s="5">
        <v>143503.00999999998</v>
      </c>
      <c r="AK36" s="5">
        <v>5.0946101506728416</v>
      </c>
      <c r="AL36" s="6">
        <v>3083066.1</v>
      </c>
      <c r="AM36" s="6">
        <v>4.9220427586263753</v>
      </c>
    </row>
    <row r="37" spans="1:39" ht="18.75" customHeight="1">
      <c r="A37" s="13"/>
      <c r="B37" s="13" t="b">
        <v>0</v>
      </c>
      <c r="C37" s="13" t="s">
        <v>37</v>
      </c>
      <c r="D37" s="13" t="s">
        <v>483</v>
      </c>
      <c r="E37" s="3">
        <v>41436.566712962966</v>
      </c>
      <c r="F37" s="4" t="s">
        <v>452</v>
      </c>
      <c r="G37" s="5" t="s">
        <v>0</v>
      </c>
      <c r="H37" s="5">
        <v>1</v>
      </c>
      <c r="I37" s="13" t="s">
        <v>204</v>
      </c>
      <c r="J37" s="6">
        <v>11.8015815098996</v>
      </c>
      <c r="K37" s="6">
        <v>1353.46</v>
      </c>
      <c r="L37" s="6">
        <v>2.6070126586378297</v>
      </c>
      <c r="M37" s="5">
        <v>9.4941505685635192</v>
      </c>
      <c r="N37" s="5">
        <v>166277.11333333331</v>
      </c>
      <c r="O37" s="5">
        <v>0.89062178805407788</v>
      </c>
      <c r="P37" s="6">
        <v>9.4929689629549596</v>
      </c>
      <c r="Q37" s="6">
        <v>274435.78000000003</v>
      </c>
      <c r="R37" s="6">
        <v>0.41913527458681871</v>
      </c>
      <c r="S37" s="5">
        <v>9.6279408582939308</v>
      </c>
      <c r="T37" s="5">
        <v>6687.2200000000012</v>
      </c>
      <c r="U37" s="5">
        <v>1.3148430709317633</v>
      </c>
      <c r="V37" s="6">
        <v>9.6301209344432106</v>
      </c>
      <c r="W37" s="6">
        <v>477484.81666666665</v>
      </c>
      <c r="X37" s="6">
        <v>0.27716508881873569</v>
      </c>
      <c r="Y37" s="5">
        <v>9.7885042808547897</v>
      </c>
      <c r="Z37" s="5">
        <v>357416.09666666668</v>
      </c>
      <c r="AA37" s="5">
        <v>0.20155489391095605</v>
      </c>
      <c r="AB37" s="6">
        <v>9.6013213891377998</v>
      </c>
      <c r="AC37" s="6">
        <v>103941.74666666666</v>
      </c>
      <c r="AD37" s="6">
        <v>0.23400291919879052</v>
      </c>
      <c r="AE37" s="5">
        <v>9.5569745005322204</v>
      </c>
      <c r="AF37" s="5">
        <v>61405.933333333327</v>
      </c>
      <c r="AG37" s="5">
        <v>1.8066197205769994</v>
      </c>
      <c r="AH37" s="6">
        <v>219929.16333333333</v>
      </c>
      <c r="AI37" s="6">
        <v>1.1708162594035396</v>
      </c>
      <c r="AJ37" s="5">
        <v>146315.77333333335</v>
      </c>
      <c r="AK37" s="5">
        <v>0.9148018889991536</v>
      </c>
      <c r="AL37" s="6">
        <v>3244475.5766666667</v>
      </c>
      <c r="AM37" s="6">
        <v>0.38118843877463654</v>
      </c>
    </row>
    <row r="38" spans="1:39" ht="18.75" customHeight="1">
      <c r="A38" s="13" t="s">
        <v>458</v>
      </c>
      <c r="B38" s="13" t="b">
        <v>0</v>
      </c>
      <c r="C38" s="13" t="s">
        <v>38</v>
      </c>
      <c r="D38" s="13" t="s">
        <v>1</v>
      </c>
      <c r="E38" s="3">
        <v>41436.569803240738</v>
      </c>
      <c r="F38" s="4" t="s">
        <v>424</v>
      </c>
      <c r="G38" s="5" t="s">
        <v>0</v>
      </c>
      <c r="H38" s="5">
        <v>1</v>
      </c>
      <c r="I38" s="13" t="s">
        <v>194</v>
      </c>
      <c r="J38" s="6" t="s">
        <v>416</v>
      </c>
      <c r="K38" s="6">
        <v>124.45</v>
      </c>
      <c r="L38" s="6">
        <v>13.746661694947795</v>
      </c>
      <c r="M38" s="5" t="s">
        <v>405</v>
      </c>
      <c r="N38" s="5">
        <v>490.03</v>
      </c>
      <c r="O38" s="5">
        <v>10.62549596640439</v>
      </c>
      <c r="P38" s="6" t="s">
        <v>414</v>
      </c>
      <c r="Q38" s="6">
        <v>21116.506666666668</v>
      </c>
      <c r="R38" s="6">
        <v>1.994876477523513</v>
      </c>
      <c r="S38" s="5" t="s">
        <v>415</v>
      </c>
      <c r="T38" s="5">
        <v>520.03666666666675</v>
      </c>
      <c r="U38" s="5">
        <v>9.4867488307265209</v>
      </c>
      <c r="V38" s="6" t="s">
        <v>405</v>
      </c>
      <c r="W38" s="6">
        <v>1021.19</v>
      </c>
      <c r="X38" s="6">
        <v>7.8372384819902399</v>
      </c>
      <c r="Y38" s="5" t="s">
        <v>407</v>
      </c>
      <c r="Z38" s="5">
        <v>1352.3466666666666</v>
      </c>
      <c r="AA38" s="5">
        <v>12.767538464444412</v>
      </c>
      <c r="AB38" s="6" t="s">
        <v>413</v>
      </c>
      <c r="AC38" s="6">
        <v>874.50999999999988</v>
      </c>
      <c r="AD38" s="6">
        <v>8.0897065125487302</v>
      </c>
      <c r="AE38" s="5" t="s">
        <v>412</v>
      </c>
      <c r="AF38" s="5">
        <v>598.92999999999995</v>
      </c>
      <c r="AG38" s="5">
        <v>12.450151559647672</v>
      </c>
      <c r="AH38" s="6">
        <v>198842.61666666667</v>
      </c>
      <c r="AI38" s="6">
        <v>16.687844730532785</v>
      </c>
      <c r="AJ38" s="5">
        <v>138641.79666666666</v>
      </c>
      <c r="AK38" s="5">
        <v>9.4971332978241154</v>
      </c>
      <c r="AL38" s="6">
        <v>2998076.706666667</v>
      </c>
      <c r="AM38" s="6">
        <v>14.022779358724433</v>
      </c>
    </row>
    <row r="39" spans="1:39" ht="18.75" customHeight="1">
      <c r="A39" s="13"/>
      <c r="B39" s="13" t="b">
        <v>0</v>
      </c>
      <c r="C39" s="13" t="s">
        <v>39</v>
      </c>
      <c r="D39" s="13" t="s">
        <v>102</v>
      </c>
      <c r="E39" s="3">
        <v>41436.572881944441</v>
      </c>
      <c r="F39" s="4" t="s">
        <v>454</v>
      </c>
      <c r="G39" s="5" t="s">
        <v>0</v>
      </c>
      <c r="H39" s="5">
        <v>0.97058823529411775</v>
      </c>
      <c r="I39" s="13" t="s">
        <v>228</v>
      </c>
      <c r="J39" s="6">
        <v>175.409688151285</v>
      </c>
      <c r="K39" s="6">
        <v>18351.926666666666</v>
      </c>
      <c r="L39" s="6">
        <v>2.8322538616560524</v>
      </c>
      <c r="M39" s="5">
        <v>4.4754251738513</v>
      </c>
      <c r="N39" s="5">
        <v>79193.916666666672</v>
      </c>
      <c r="O39" s="5">
        <v>1.6978134698387166</v>
      </c>
      <c r="P39" s="6">
        <v>158.139967325551</v>
      </c>
      <c r="Q39" s="6">
        <v>4260462.6800000006</v>
      </c>
      <c r="R39" s="6">
        <v>1.2921213332089672</v>
      </c>
      <c r="S39" s="5">
        <v>155.60950434388801</v>
      </c>
      <c r="T39" s="5">
        <v>102251.05333333334</v>
      </c>
      <c r="U39" s="5">
        <v>0.90471421724484391</v>
      </c>
      <c r="V39" s="6">
        <v>4.2626588969713302</v>
      </c>
      <c r="W39" s="6">
        <v>214410.33666666667</v>
      </c>
      <c r="X39" s="6">
        <v>1.0337679577167753</v>
      </c>
      <c r="Y39" s="5">
        <v>11.0014225043964</v>
      </c>
      <c r="Z39" s="5">
        <v>406612.68333333335</v>
      </c>
      <c r="AA39" s="5">
        <v>0.82220078718442879</v>
      </c>
      <c r="AB39" s="6">
        <v>17.263743684868899</v>
      </c>
      <c r="AC39" s="6">
        <v>187890.66</v>
      </c>
      <c r="AD39" s="6">
        <v>1.6877867168382175</v>
      </c>
      <c r="AE39" s="5">
        <v>18.156946698045399</v>
      </c>
      <c r="AF39" s="5">
        <v>117727.35666666667</v>
      </c>
      <c r="AG39" s="5">
        <v>0.82187012642975021</v>
      </c>
      <c r="AH39" s="6">
        <v>234747.905</v>
      </c>
      <c r="AI39" s="6">
        <v>1.6721153734617249</v>
      </c>
      <c r="AJ39" s="5">
        <v>144458.72</v>
      </c>
      <c r="AK39" s="5">
        <v>1.1313221361436017</v>
      </c>
      <c r="AL39" s="6">
        <v>3275021.88</v>
      </c>
      <c r="AM39" s="6">
        <v>0.59321220546626985</v>
      </c>
    </row>
    <row r="40" spans="1:39" ht="18.75" customHeight="1">
      <c r="A40" s="13" t="s">
        <v>466</v>
      </c>
      <c r="B40" s="13" t="b">
        <v>0</v>
      </c>
      <c r="C40" s="13" t="s">
        <v>40</v>
      </c>
      <c r="D40" s="13" t="s">
        <v>189</v>
      </c>
      <c r="E40" s="3">
        <v>41436.575983796298</v>
      </c>
      <c r="F40" s="4" t="s">
        <v>454</v>
      </c>
      <c r="G40" s="5" t="s">
        <v>0</v>
      </c>
      <c r="H40" s="5">
        <v>1.0549872122762147</v>
      </c>
      <c r="I40" s="13" t="s">
        <v>229</v>
      </c>
      <c r="J40" s="6">
        <v>104.103874719644</v>
      </c>
      <c r="K40" s="6">
        <v>9831.1133333333328</v>
      </c>
      <c r="L40" s="6">
        <v>2.9190129726237277</v>
      </c>
      <c r="M40" s="5">
        <v>0.73777374370333504</v>
      </c>
      <c r="N40" s="5">
        <v>11964.816666666666</v>
      </c>
      <c r="O40" s="5">
        <v>0.99439277035432405</v>
      </c>
      <c r="P40" s="6">
        <v>80.486583176246199</v>
      </c>
      <c r="Q40" s="6">
        <v>1942898.5133333334</v>
      </c>
      <c r="R40" s="6">
        <v>0.96649777953440896</v>
      </c>
      <c r="S40" s="5">
        <v>80.320192950643104</v>
      </c>
      <c r="T40" s="5">
        <v>46738.916666666664</v>
      </c>
      <c r="U40" s="5">
        <v>1.5949260043051552</v>
      </c>
      <c r="V40" s="6">
        <v>0.56036325296264</v>
      </c>
      <c r="W40" s="6">
        <v>25952.406666666666</v>
      </c>
      <c r="X40" s="6">
        <v>1.140413381287281</v>
      </c>
      <c r="Y40" s="5">
        <v>3.7192570628394002</v>
      </c>
      <c r="Z40" s="5">
        <v>123079.1</v>
      </c>
      <c r="AA40" s="5">
        <v>0.53956512320695926</v>
      </c>
      <c r="AB40" s="6">
        <v>9.7104773058387295</v>
      </c>
      <c r="AC40" s="6">
        <v>94939.32</v>
      </c>
      <c r="AD40" s="6">
        <v>0.78083785859187804</v>
      </c>
      <c r="AE40" s="5">
        <v>10.498661101460501</v>
      </c>
      <c r="AF40" s="5">
        <v>60487.156666666669</v>
      </c>
      <c r="AG40" s="5">
        <v>0.45257033525808688</v>
      </c>
      <c r="AH40" s="6">
        <v>204318.07999999999</v>
      </c>
      <c r="AI40" s="6">
        <v>5.4954466119041694</v>
      </c>
      <c r="AJ40" s="5">
        <v>138894.09999999998</v>
      </c>
      <c r="AK40" s="5">
        <v>3.299544174990253</v>
      </c>
      <c r="AL40" s="6">
        <v>3019003.6500000004</v>
      </c>
      <c r="AM40" s="6">
        <v>5.6110113004839004</v>
      </c>
    </row>
    <row r="41" spans="1:39" ht="18.75" customHeight="1">
      <c r="A41" s="13"/>
      <c r="B41" s="13" t="b">
        <v>0</v>
      </c>
      <c r="C41" s="13" t="s">
        <v>41</v>
      </c>
      <c r="D41" s="13" t="s">
        <v>212</v>
      </c>
      <c r="E41" s="3">
        <v>41436.579085648147</v>
      </c>
      <c r="F41" s="4" t="s">
        <v>454</v>
      </c>
      <c r="G41" s="5" t="s">
        <v>0</v>
      </c>
      <c r="H41" s="5">
        <v>1.3538461538461539</v>
      </c>
      <c r="I41" s="13" t="s">
        <v>230</v>
      </c>
      <c r="J41" s="6">
        <v>142.96686939799</v>
      </c>
      <c r="K41" s="6">
        <v>10846.166666666666</v>
      </c>
      <c r="L41" s="6">
        <v>3.2347213651731916</v>
      </c>
      <c r="M41" s="5">
        <v>11.714762825387099</v>
      </c>
      <c r="N41" s="5">
        <v>149796.24333333332</v>
      </c>
      <c r="O41" s="5">
        <v>1.6812557201566289</v>
      </c>
      <c r="P41" s="6">
        <v>97.568145212875706</v>
      </c>
      <c r="Q41" s="6">
        <v>1912333.5833333333</v>
      </c>
      <c r="R41" s="6">
        <v>1.2321697321896616</v>
      </c>
      <c r="S41" s="5">
        <v>97.230527022573298</v>
      </c>
      <c r="T41" s="5">
        <v>46325.66</v>
      </c>
      <c r="U41" s="5">
        <v>1.0070358133538884</v>
      </c>
      <c r="V41" s="6">
        <v>11.6738190549415</v>
      </c>
      <c r="W41" s="6">
        <v>422564.62666666665</v>
      </c>
      <c r="X41" s="6">
        <v>0.78719947604816465</v>
      </c>
      <c r="Y41" s="5">
        <v>15.020648850644699</v>
      </c>
      <c r="Z41" s="5">
        <v>400123.91666666669</v>
      </c>
      <c r="AA41" s="5">
        <v>0.96454684127949086</v>
      </c>
      <c r="AB41" s="6">
        <v>20.746321839834501</v>
      </c>
      <c r="AC41" s="6">
        <v>163409.70666666667</v>
      </c>
      <c r="AD41" s="6">
        <v>1.4769660811111935</v>
      </c>
      <c r="AE41" s="5">
        <v>21.384785069047101</v>
      </c>
      <c r="AF41" s="5">
        <v>99930.043333333335</v>
      </c>
      <c r="AG41" s="5">
        <v>0.65879671298499543</v>
      </c>
      <c r="AH41" s="6">
        <v>235587.30999999997</v>
      </c>
      <c r="AI41" s="6">
        <v>0.20581632815784806</v>
      </c>
      <c r="AJ41" s="5">
        <v>144573.68333333332</v>
      </c>
      <c r="AK41" s="5">
        <v>0.68773361982901637</v>
      </c>
      <c r="AL41" s="6">
        <v>3273984.2233333332</v>
      </c>
      <c r="AM41" s="6">
        <v>1.5059495759058241</v>
      </c>
    </row>
    <row r="42" spans="1:39" ht="18.75" customHeight="1">
      <c r="A42" s="13"/>
      <c r="B42" s="13" t="b">
        <v>0</v>
      </c>
      <c r="C42" s="13" t="s">
        <v>42</v>
      </c>
      <c r="D42" s="13" t="s">
        <v>283</v>
      </c>
      <c r="E42" s="3">
        <v>41436.582187499997</v>
      </c>
      <c r="F42" s="4" t="s">
        <v>454</v>
      </c>
      <c r="G42" s="5" t="s">
        <v>0</v>
      </c>
      <c r="H42" s="5">
        <v>1.3622291021671824</v>
      </c>
      <c r="I42" s="13" t="s">
        <v>231</v>
      </c>
      <c r="J42" s="6">
        <v>134.98393255724901</v>
      </c>
      <c r="K42" s="6">
        <v>10100.183333333332</v>
      </c>
      <c r="L42" s="6">
        <v>0.83394373816901746</v>
      </c>
      <c r="M42" s="5">
        <v>0.21850029298463899</v>
      </c>
      <c r="N42" s="5">
        <v>3200.4666666666667</v>
      </c>
      <c r="O42" s="5">
        <v>5.6286133878970697</v>
      </c>
      <c r="P42" s="6">
        <v>40.815730795952199</v>
      </c>
      <c r="Q42" s="6">
        <v>801230.17666666675</v>
      </c>
      <c r="R42" s="6">
        <v>1.3489895300065324</v>
      </c>
      <c r="S42" s="5">
        <v>41.7168243248517</v>
      </c>
      <c r="T42" s="5">
        <v>19847.096666666665</v>
      </c>
      <c r="U42" s="5">
        <v>2.0333723213461701</v>
      </c>
      <c r="V42" s="6">
        <v>3.3243028850194097E-2</v>
      </c>
      <c r="W42" s="6">
        <v>2131.3433333333332</v>
      </c>
      <c r="X42" s="6">
        <v>4.1100818577504983</v>
      </c>
      <c r="Y42" s="5">
        <v>5.0423065797191802</v>
      </c>
      <c r="Z42" s="5">
        <v>133308.34</v>
      </c>
      <c r="AA42" s="5">
        <v>0.82399149164969732</v>
      </c>
      <c r="AB42" s="6">
        <v>11.263404065594299</v>
      </c>
      <c r="AC42" s="6">
        <v>87821.613333333342</v>
      </c>
      <c r="AD42" s="6">
        <v>1.3854633725340961</v>
      </c>
      <c r="AE42" s="5">
        <v>12.0984290017372</v>
      </c>
      <c r="AF42" s="5">
        <v>55943.313333333332</v>
      </c>
      <c r="AG42" s="5">
        <v>1.3334059559974325</v>
      </c>
      <c r="AH42" s="6">
        <v>232640.01</v>
      </c>
      <c r="AI42" s="6">
        <v>1.2420864575139337</v>
      </c>
      <c r="AJ42" s="5">
        <v>143348.25333333333</v>
      </c>
      <c r="AK42" s="5">
        <v>0.76257874241570656</v>
      </c>
      <c r="AL42" s="6">
        <v>3238183.77</v>
      </c>
      <c r="AM42" s="6">
        <v>0.55000166800646133</v>
      </c>
    </row>
    <row r="43" spans="1:39" ht="18.75" customHeight="1">
      <c r="A43" s="13"/>
      <c r="B43" s="13" t="b">
        <v>0</v>
      </c>
      <c r="C43" s="13" t="s">
        <v>43</v>
      </c>
      <c r="D43" s="13" t="s">
        <v>344</v>
      </c>
      <c r="E43" s="3">
        <v>41436.585289351853</v>
      </c>
      <c r="F43" s="4" t="s">
        <v>454</v>
      </c>
      <c r="G43" s="5" t="s">
        <v>0</v>
      </c>
      <c r="H43" s="5">
        <v>0.80882352941176472</v>
      </c>
      <c r="I43" s="13" t="s">
        <v>232</v>
      </c>
      <c r="J43" s="6">
        <v>234.30508432032801</v>
      </c>
      <c r="K43" s="6">
        <v>29362.203333333335</v>
      </c>
      <c r="L43" s="6">
        <v>1.6624587377013631</v>
      </c>
      <c r="M43" s="5">
        <v>0.46010876417728702</v>
      </c>
      <c r="N43" s="5">
        <v>10226.916666666666</v>
      </c>
      <c r="O43" s="5">
        <v>4.3260732427235684</v>
      </c>
      <c r="P43" s="6">
        <v>213.20906041286</v>
      </c>
      <c r="Q43" s="6">
        <v>6901513.2300000004</v>
      </c>
      <c r="R43" s="6">
        <v>0.8039441646041775</v>
      </c>
      <c r="S43" s="5">
        <v>212.260794170944</v>
      </c>
      <c r="T43" s="5">
        <v>167224.33666666667</v>
      </c>
      <c r="U43" s="5">
        <v>0.76083465462301725</v>
      </c>
      <c r="V43" s="6">
        <v>4.3209427702878202E-2</v>
      </c>
      <c r="W43" s="6">
        <v>3550.55</v>
      </c>
      <c r="X43" s="6">
        <v>5.4493195803955157</v>
      </c>
      <c r="Y43" s="5">
        <v>7.46851439240488</v>
      </c>
      <c r="Z43" s="5">
        <v>331595.55</v>
      </c>
      <c r="AA43" s="5">
        <v>1.709525491302434</v>
      </c>
      <c r="AB43" s="6">
        <v>12.2596957527991</v>
      </c>
      <c r="AC43" s="6">
        <v>160841.37000000002</v>
      </c>
      <c r="AD43" s="6">
        <v>1.1635764706231126</v>
      </c>
      <c r="AE43" s="5">
        <v>13.122214079487099</v>
      </c>
      <c r="AF43" s="5">
        <v>102115.61333333334</v>
      </c>
      <c r="AG43" s="5">
        <v>0.66985218444693773</v>
      </c>
      <c r="AH43" s="6">
        <v>228822.35333333336</v>
      </c>
      <c r="AI43" s="6">
        <v>0.78623899059048985</v>
      </c>
      <c r="AJ43" s="5">
        <v>143854.84666666668</v>
      </c>
      <c r="AK43" s="5">
        <v>0.22080454697083357</v>
      </c>
      <c r="AL43" s="6">
        <v>3262195.436666667</v>
      </c>
      <c r="AM43" s="6">
        <v>0.47842198982051276</v>
      </c>
    </row>
    <row r="44" spans="1:39" ht="18.75" customHeight="1">
      <c r="A44" s="13"/>
      <c r="B44" s="13" t="b">
        <v>0</v>
      </c>
      <c r="C44" s="13" t="s">
        <v>44</v>
      </c>
      <c r="D44" s="13" t="s">
        <v>359</v>
      </c>
      <c r="E44" s="3">
        <v>41436.588391203702</v>
      </c>
      <c r="F44" s="4" t="s">
        <v>454</v>
      </c>
      <c r="G44" s="5" t="s">
        <v>0</v>
      </c>
      <c r="H44" s="5">
        <v>0.58149779735682816</v>
      </c>
      <c r="I44" s="13" t="s">
        <v>233</v>
      </c>
      <c r="J44" s="6">
        <v>208.992707651042</v>
      </c>
      <c r="K44" s="6">
        <v>36342.76</v>
      </c>
      <c r="L44" s="6">
        <v>2.273036725438514</v>
      </c>
      <c r="M44" s="5">
        <v>0.84899131728062005</v>
      </c>
      <c r="N44" s="5">
        <v>25488.193333333333</v>
      </c>
      <c r="O44" s="5">
        <v>1.9527100582701356</v>
      </c>
      <c r="P44" s="6">
        <v>220.481009897268</v>
      </c>
      <c r="Q44" s="6">
        <v>9901128.6733333338</v>
      </c>
      <c r="R44" s="6">
        <v>1.0507296166774962</v>
      </c>
      <c r="S44" s="5">
        <v>219.28929135883001</v>
      </c>
      <c r="T44" s="5">
        <v>239709.18333333335</v>
      </c>
      <c r="U44" s="5">
        <v>1.0115144896952115</v>
      </c>
      <c r="V44" s="6">
        <v>0.49183468672509401</v>
      </c>
      <c r="W44" s="6">
        <v>42037.646666666667</v>
      </c>
      <c r="X44" s="6">
        <v>0.77999105710158001</v>
      </c>
      <c r="Y44" s="5">
        <v>4.92611099643345</v>
      </c>
      <c r="Z44" s="5">
        <v>303857.47666666663</v>
      </c>
      <c r="AA44" s="5">
        <v>0.66489765651762633</v>
      </c>
      <c r="AB44" s="6">
        <v>9.7364083269577506</v>
      </c>
      <c r="AC44" s="6">
        <v>177309.64333333331</v>
      </c>
      <c r="AD44" s="6">
        <v>0.38827269646688428</v>
      </c>
      <c r="AE44" s="5">
        <v>10.4197002579429</v>
      </c>
      <c r="AF44" s="5">
        <v>112549.97333333333</v>
      </c>
      <c r="AG44" s="5">
        <v>0.63089976681820681</v>
      </c>
      <c r="AH44" s="6">
        <v>233079.42</v>
      </c>
      <c r="AI44" s="6">
        <v>1.4093546438834095</v>
      </c>
      <c r="AJ44" s="5">
        <v>143642.97</v>
      </c>
      <c r="AK44" s="5">
        <v>1.0853132777885095</v>
      </c>
      <c r="AL44" s="6">
        <v>3255993.4233333333</v>
      </c>
      <c r="AM44" s="6">
        <v>0.86727822388379883</v>
      </c>
    </row>
    <row r="45" spans="1:39" ht="18.75" customHeight="1">
      <c r="A45" s="13"/>
      <c r="B45" s="13" t="b">
        <v>0</v>
      </c>
      <c r="C45" s="13" t="s">
        <v>45</v>
      </c>
      <c r="D45" s="13" t="s">
        <v>373</v>
      </c>
      <c r="E45" s="3">
        <v>41436.591493055559</v>
      </c>
      <c r="F45" s="4" t="s">
        <v>454</v>
      </c>
      <c r="G45" s="5" t="s">
        <v>0</v>
      </c>
      <c r="H45" s="5">
        <v>0.47183299971404064</v>
      </c>
      <c r="I45" s="13" t="s">
        <v>234</v>
      </c>
      <c r="J45" s="6">
        <v>167.77789740534101</v>
      </c>
      <c r="K45" s="6">
        <v>36342.663333333338</v>
      </c>
      <c r="L45" s="6">
        <v>0.87986014384717659</v>
      </c>
      <c r="M45" s="5">
        <v>0.30164756916984498</v>
      </c>
      <c r="N45" s="5">
        <v>11542.309999999998</v>
      </c>
      <c r="O45" s="5">
        <v>1.2681894646568279</v>
      </c>
      <c r="P45" s="6">
        <v>88.586964321938893</v>
      </c>
      <c r="Q45" s="6">
        <v>4967474.4733333336</v>
      </c>
      <c r="R45" s="6">
        <v>1.1729463577215362</v>
      </c>
      <c r="S45" s="5">
        <v>88.405689443093806</v>
      </c>
      <c r="T45" s="5">
        <v>120628.64333333333</v>
      </c>
      <c r="U45" s="5">
        <v>1.4983789827971203</v>
      </c>
      <c r="V45" s="6" t="s">
        <v>405</v>
      </c>
      <c r="W45" s="6">
        <v>3251.58</v>
      </c>
      <c r="X45" s="6">
        <v>4.1706990737325675</v>
      </c>
      <c r="Y45" s="5">
        <v>2.6454764210588602</v>
      </c>
      <c r="Z45" s="5">
        <v>203768.99666666667</v>
      </c>
      <c r="AA45" s="5">
        <v>0.28007700709860051</v>
      </c>
      <c r="AB45" s="6">
        <v>5.6144164575554996</v>
      </c>
      <c r="AC45" s="6">
        <v>127620.23666666668</v>
      </c>
      <c r="AD45" s="6">
        <v>0.60551026660184004</v>
      </c>
      <c r="AE45" s="5">
        <v>6.0362798903155799</v>
      </c>
      <c r="AF45" s="5">
        <v>81379.376666666663</v>
      </c>
      <c r="AG45" s="5">
        <v>0.14806876739845842</v>
      </c>
      <c r="AH45" s="6">
        <v>242016.59</v>
      </c>
      <c r="AI45" s="6">
        <v>1.2133616945329133</v>
      </c>
      <c r="AJ45" s="5">
        <v>145183.87333333332</v>
      </c>
      <c r="AK45" s="5">
        <v>0.21651998322913976</v>
      </c>
      <c r="AL45" s="6">
        <v>3288651.8600000008</v>
      </c>
      <c r="AM45" s="6">
        <v>0.25649337993569399</v>
      </c>
    </row>
    <row r="46" spans="1:39" ht="18.75" customHeight="1">
      <c r="A46" s="13" t="s">
        <v>460</v>
      </c>
      <c r="B46" s="13" t="b">
        <v>0</v>
      </c>
      <c r="C46" s="13" t="s">
        <v>46</v>
      </c>
      <c r="D46" s="13" t="s">
        <v>385</v>
      </c>
      <c r="E46" s="3">
        <v>41436.594594907408</v>
      </c>
      <c r="F46" s="4" t="s">
        <v>454</v>
      </c>
      <c r="G46" s="5" t="s">
        <v>0</v>
      </c>
      <c r="H46" s="5">
        <v>0.6418360400661286</v>
      </c>
      <c r="I46" s="13" t="s">
        <v>235</v>
      </c>
      <c r="J46" s="6">
        <v>212.61276735354201</v>
      </c>
      <c r="K46" s="6">
        <v>31491.873333333333</v>
      </c>
      <c r="L46" s="6">
        <v>3.2069638984177575</v>
      </c>
      <c r="M46" s="5">
        <v>0.38136293380352898</v>
      </c>
      <c r="N46" s="5">
        <v>10000.120000000001</v>
      </c>
      <c r="O46" s="5">
        <v>3.1125934798635124</v>
      </c>
      <c r="P46" s="6">
        <v>56.077046628073198</v>
      </c>
      <c r="Q46" s="6">
        <v>2158285.8366666664</v>
      </c>
      <c r="R46" s="6">
        <v>4.2512545697789967</v>
      </c>
      <c r="S46" s="5">
        <v>56.071813633787002</v>
      </c>
      <c r="T46" s="5">
        <v>52418.423333333332</v>
      </c>
      <c r="U46" s="5">
        <v>5.1947526985154013</v>
      </c>
      <c r="V46" s="6">
        <v>5.5781201339235101E-2</v>
      </c>
      <c r="W46" s="6">
        <v>4894.2666666666664</v>
      </c>
      <c r="X46" s="6">
        <v>4.5096127325182902</v>
      </c>
      <c r="Y46" s="5">
        <v>4.7328158405230596</v>
      </c>
      <c r="Z46" s="5">
        <v>248885.26333333334</v>
      </c>
      <c r="AA46" s="5">
        <v>3.3569672974975879</v>
      </c>
      <c r="AB46" s="6">
        <v>8.2778070757055193</v>
      </c>
      <c r="AC46" s="6">
        <v>128562.68333333335</v>
      </c>
      <c r="AD46" s="6">
        <v>3.7664799872090851</v>
      </c>
      <c r="AE46" s="5">
        <v>8.8305840293743003</v>
      </c>
      <c r="AF46" s="5">
        <v>81272.773333333331</v>
      </c>
      <c r="AG46" s="5">
        <v>3.7765771473628753</v>
      </c>
      <c r="AH46" s="6">
        <v>221296.29</v>
      </c>
      <c r="AI46" s="6">
        <v>28.945985873027645</v>
      </c>
      <c r="AJ46" s="5">
        <v>139524.38333333333</v>
      </c>
      <c r="AK46" s="5">
        <v>20.280397694976557</v>
      </c>
      <c r="AL46" s="6">
        <v>3010606.31</v>
      </c>
      <c r="AM46" s="6">
        <v>23.982641163124431</v>
      </c>
    </row>
    <row r="47" spans="1:39" ht="18.75" customHeight="1">
      <c r="A47" s="13"/>
      <c r="B47" s="13" t="b">
        <v>0</v>
      </c>
      <c r="C47" s="13" t="s">
        <v>47</v>
      </c>
      <c r="D47" s="13" t="s">
        <v>396</v>
      </c>
      <c r="E47" s="3">
        <v>41436.597708333335</v>
      </c>
      <c r="F47" s="4" t="s">
        <v>454</v>
      </c>
      <c r="G47" s="5" t="s">
        <v>0</v>
      </c>
      <c r="H47" s="5">
        <v>1.4069494777233</v>
      </c>
      <c r="I47" s="13" t="s">
        <v>236</v>
      </c>
      <c r="J47" s="6">
        <v>86.136791786029207</v>
      </c>
      <c r="K47" s="6">
        <v>6407.0466666666662</v>
      </c>
      <c r="L47" s="6">
        <v>2.4089229735115336</v>
      </c>
      <c r="M47" s="5">
        <v>0.32117278247221798</v>
      </c>
      <c r="N47" s="5">
        <v>4440.8166666666666</v>
      </c>
      <c r="O47" s="5">
        <v>3.3845626064429992</v>
      </c>
      <c r="P47" s="6">
        <v>109.508631558267</v>
      </c>
      <c r="Q47" s="6">
        <v>2082918.5633333332</v>
      </c>
      <c r="R47" s="6">
        <v>0.34318267599548741</v>
      </c>
      <c r="S47" s="5">
        <v>108.12505898756901</v>
      </c>
      <c r="T47" s="5">
        <v>50001.806666666664</v>
      </c>
      <c r="U47" s="5">
        <v>0.42520938026640803</v>
      </c>
      <c r="V47" s="6">
        <v>0.201604872072744</v>
      </c>
      <c r="W47" s="6">
        <v>8037.876666666667</v>
      </c>
      <c r="X47" s="6">
        <v>2.8001017795012473</v>
      </c>
      <c r="Y47" s="5">
        <v>5.5924969569448697</v>
      </c>
      <c r="Z47" s="5">
        <v>145618.35</v>
      </c>
      <c r="AA47" s="5">
        <v>0.71316102530140613</v>
      </c>
      <c r="AB47" s="6">
        <v>8.6472968338520992</v>
      </c>
      <c r="AC47" s="6">
        <v>66680.463333333333</v>
      </c>
      <c r="AD47" s="6">
        <v>0.24609098921941513</v>
      </c>
      <c r="AE47" s="5">
        <v>9.1954891699411405</v>
      </c>
      <c r="AF47" s="5">
        <v>42048.13</v>
      </c>
      <c r="AG47" s="5">
        <v>1.160405431716983</v>
      </c>
      <c r="AH47" s="6">
        <v>233376.33333333334</v>
      </c>
      <c r="AI47" s="6">
        <v>0.87588372440798801</v>
      </c>
      <c r="AJ47" s="5">
        <v>145929.75333333333</v>
      </c>
      <c r="AK47" s="5">
        <v>0.61995381644683345</v>
      </c>
      <c r="AL47" s="6">
        <v>3267475.9933333336</v>
      </c>
      <c r="AM47" s="6">
        <v>0.60293752568881154</v>
      </c>
    </row>
    <row r="48" spans="1:39" ht="18.75" customHeight="1">
      <c r="A48" s="13"/>
      <c r="B48" s="13" t="b">
        <v>0</v>
      </c>
      <c r="C48" s="13" t="s">
        <v>48</v>
      </c>
      <c r="D48" s="13" t="s">
        <v>103</v>
      </c>
      <c r="E48" s="3">
        <v>41436.600810185184</v>
      </c>
      <c r="F48" s="4" t="s">
        <v>454</v>
      </c>
      <c r="G48" s="5" t="s">
        <v>0</v>
      </c>
      <c r="H48" s="5">
        <v>1.8824871648602395</v>
      </c>
      <c r="I48" s="13" t="s">
        <v>237</v>
      </c>
      <c r="J48" s="6">
        <v>77.902901039875303</v>
      </c>
      <c r="K48" s="6">
        <v>4391.8933333333334</v>
      </c>
      <c r="L48" s="6">
        <v>1.8738373204525107</v>
      </c>
      <c r="M48" s="5">
        <v>0.11499898478758</v>
      </c>
      <c r="N48" s="5">
        <v>1534.5966666666666</v>
      </c>
      <c r="O48" s="5">
        <v>9.0528353237287611</v>
      </c>
      <c r="P48" s="6">
        <v>133.58198067790099</v>
      </c>
      <c r="Q48" s="6">
        <v>1907651.17</v>
      </c>
      <c r="R48" s="6">
        <v>0.75633907475845152</v>
      </c>
      <c r="S48" s="5">
        <v>131.426458794665</v>
      </c>
      <c r="T48" s="5">
        <v>45624.773333333338</v>
      </c>
      <c r="U48" s="5">
        <v>2.4255066902475768</v>
      </c>
      <c r="V48" s="6">
        <v>3.36843900882954E-2</v>
      </c>
      <c r="W48" s="6">
        <v>1854.6366666666665</v>
      </c>
      <c r="X48" s="6">
        <v>4.3896926431290959</v>
      </c>
      <c r="Y48" s="5">
        <v>2.9401206772771502</v>
      </c>
      <c r="Z48" s="5">
        <v>58298.193333333336</v>
      </c>
      <c r="AA48" s="5">
        <v>1.3406250758573168</v>
      </c>
      <c r="AB48" s="6">
        <v>7.0602833953472501</v>
      </c>
      <c r="AC48" s="6">
        <v>41177.913333333338</v>
      </c>
      <c r="AD48" s="6">
        <v>1.168115055029501</v>
      </c>
      <c r="AE48" s="5">
        <v>7.4846156440157996</v>
      </c>
      <c r="AF48" s="5">
        <v>25880.05</v>
      </c>
      <c r="AG48" s="5">
        <v>0.75587934134052603</v>
      </c>
      <c r="AH48" s="6">
        <v>237752.31333333332</v>
      </c>
      <c r="AI48" s="6">
        <v>1.1234526263682678</v>
      </c>
      <c r="AJ48" s="5">
        <v>146438.20000000001</v>
      </c>
      <c r="AK48" s="5">
        <v>0.63473292601690268</v>
      </c>
      <c r="AL48" s="6">
        <v>3251100.2633333332</v>
      </c>
      <c r="AM48" s="6">
        <v>0.78110191074376123</v>
      </c>
    </row>
    <row r="49" spans="1:39" ht="18.75" customHeight="1">
      <c r="A49" s="13"/>
      <c r="B49" s="13" t="b">
        <v>0</v>
      </c>
      <c r="C49" s="13" t="s">
        <v>49</v>
      </c>
      <c r="D49" s="13" t="s">
        <v>116</v>
      </c>
      <c r="E49" s="3">
        <v>41436.603912037041</v>
      </c>
      <c r="F49" s="4" t="s">
        <v>454</v>
      </c>
      <c r="G49" s="5" t="s">
        <v>0</v>
      </c>
      <c r="H49" s="5">
        <v>1.9849624060150375</v>
      </c>
      <c r="I49" s="13" t="s">
        <v>238</v>
      </c>
      <c r="J49" s="6">
        <v>97.127670096315697</v>
      </c>
      <c r="K49" s="6">
        <v>5047.6533333333327</v>
      </c>
      <c r="L49" s="6">
        <v>2.1477912487988844</v>
      </c>
      <c r="M49" s="5">
        <v>0.22195829129960701</v>
      </c>
      <c r="N49" s="5">
        <v>2366.9499999999998</v>
      </c>
      <c r="O49" s="5">
        <v>4.9839858820030818</v>
      </c>
      <c r="P49" s="6">
        <v>132.34402183634501</v>
      </c>
      <c r="Q49" s="6">
        <v>1751056.7266666666</v>
      </c>
      <c r="R49" s="6">
        <v>0.39352703734592931</v>
      </c>
      <c r="S49" s="5">
        <v>131.91435673842599</v>
      </c>
      <c r="T49" s="5">
        <v>42440.626666666663</v>
      </c>
      <c r="U49" s="5">
        <v>2.1008158161969694</v>
      </c>
      <c r="V49" s="6">
        <v>4.6918906934914302E-2</v>
      </c>
      <c r="W49" s="6">
        <v>2086.9</v>
      </c>
      <c r="X49" s="6">
        <v>8.001930325050683</v>
      </c>
      <c r="Y49" s="5">
        <v>1.8872602604537101</v>
      </c>
      <c r="Z49" s="5">
        <v>35228.403333333328</v>
      </c>
      <c r="AA49" s="5">
        <v>2.2168489355234433</v>
      </c>
      <c r="AB49" s="6">
        <v>7.7030940532960397</v>
      </c>
      <c r="AC49" s="6">
        <v>41580.963333333333</v>
      </c>
      <c r="AD49" s="6">
        <v>1.2271939946534995</v>
      </c>
      <c r="AE49" s="5">
        <v>8.3838404198162895</v>
      </c>
      <c r="AF49" s="5">
        <v>26807.01</v>
      </c>
      <c r="AG49" s="5">
        <v>0.67323168662705724</v>
      </c>
      <c r="AH49" s="6">
        <v>218215.95333333334</v>
      </c>
      <c r="AI49" s="6">
        <v>4.0833717549388568</v>
      </c>
      <c r="AJ49" s="5">
        <v>143137.59333333335</v>
      </c>
      <c r="AK49" s="5">
        <v>4.1586972949057994</v>
      </c>
      <c r="AL49" s="6">
        <v>3144509.1166666667</v>
      </c>
      <c r="AM49" s="6">
        <v>3.100136639849334</v>
      </c>
    </row>
    <row r="50" spans="1:39" ht="18.75" customHeight="1">
      <c r="A50" s="13" t="s">
        <v>479</v>
      </c>
      <c r="B50" s="13" t="b">
        <v>0</v>
      </c>
      <c r="C50" s="13" t="s">
        <v>50</v>
      </c>
      <c r="D50" s="13" t="s">
        <v>127</v>
      </c>
      <c r="E50" s="3">
        <v>41436.607025462959</v>
      </c>
      <c r="F50" s="4" t="s">
        <v>454</v>
      </c>
      <c r="G50" s="5" t="s">
        <v>0</v>
      </c>
      <c r="H50" s="5">
        <v>1.2481089258698941</v>
      </c>
      <c r="I50" s="13" t="s">
        <v>239</v>
      </c>
      <c r="J50" s="6">
        <v>83.469764653847605</v>
      </c>
      <c r="K50" s="6">
        <v>7062.95</v>
      </c>
      <c r="L50" s="6">
        <v>1.7159586626378454</v>
      </c>
      <c r="M50" s="5">
        <v>0.24060723475528101</v>
      </c>
      <c r="N50" s="5">
        <v>3865.0800000000004</v>
      </c>
      <c r="O50" s="5">
        <v>2.5592675323616385</v>
      </c>
      <c r="P50" s="6">
        <v>33.646968790346598</v>
      </c>
      <c r="Q50" s="6">
        <v>744203.96333333326</v>
      </c>
      <c r="R50" s="6">
        <v>0.85368612666573607</v>
      </c>
      <c r="S50" s="5">
        <v>34.351175801901199</v>
      </c>
      <c r="T50" s="5">
        <v>18405.233333333334</v>
      </c>
      <c r="U50" s="5">
        <v>1.6525943742559404</v>
      </c>
      <c r="V50" s="6">
        <v>0.139508063649353</v>
      </c>
      <c r="W50" s="6">
        <v>6553.8433333333332</v>
      </c>
      <c r="X50" s="6">
        <v>2.7908171045839461</v>
      </c>
      <c r="Y50" s="5">
        <v>3.3762818106985502</v>
      </c>
      <c r="Z50" s="5">
        <v>100665.06666666667</v>
      </c>
      <c r="AA50" s="5">
        <v>1.1155103445578196</v>
      </c>
      <c r="AB50" s="6">
        <v>7.01434246195043</v>
      </c>
      <c r="AC50" s="6">
        <v>61720.356666666667</v>
      </c>
      <c r="AD50" s="6">
        <v>0.7837799730736984</v>
      </c>
      <c r="AE50" s="5">
        <v>7.6379292671698602</v>
      </c>
      <c r="AF50" s="5">
        <v>39841.33666666667</v>
      </c>
      <c r="AG50" s="5">
        <v>0.64676943943310861</v>
      </c>
      <c r="AH50" s="6">
        <v>255068.31666666668</v>
      </c>
      <c r="AI50" s="6">
        <v>2.9549891332088807</v>
      </c>
      <c r="AJ50" s="5">
        <v>147538.10666666669</v>
      </c>
      <c r="AK50" s="5">
        <v>0.48558628142144994</v>
      </c>
      <c r="AL50" s="6">
        <v>3363335.2633333332</v>
      </c>
      <c r="AM50" s="6">
        <v>1.471149237148393</v>
      </c>
    </row>
    <row r="51" spans="1:39" ht="18.75" customHeight="1">
      <c r="A51" s="13"/>
      <c r="B51" s="13" t="b">
        <v>0</v>
      </c>
      <c r="C51" s="13" t="s">
        <v>51</v>
      </c>
      <c r="D51" s="13" t="s">
        <v>1</v>
      </c>
      <c r="E51" s="3">
        <v>41436.610115740739</v>
      </c>
      <c r="F51" s="4" t="s">
        <v>424</v>
      </c>
      <c r="G51" s="5" t="s">
        <v>0</v>
      </c>
      <c r="H51" s="5">
        <v>1</v>
      </c>
      <c r="I51" s="13" t="s">
        <v>193</v>
      </c>
      <c r="J51" s="6" t="s">
        <v>416</v>
      </c>
      <c r="K51" s="6">
        <v>132.22666666666666</v>
      </c>
      <c r="L51" s="6">
        <v>9.5431752154944043</v>
      </c>
      <c r="M51" s="5" t="s">
        <v>405</v>
      </c>
      <c r="N51" s="5">
        <v>710.05</v>
      </c>
      <c r="O51" s="5">
        <v>6.6236290434393528</v>
      </c>
      <c r="P51" s="6" t="s">
        <v>414</v>
      </c>
      <c r="Q51" s="6">
        <v>22532.783333333336</v>
      </c>
      <c r="R51" s="6">
        <v>3.2557754386717264</v>
      </c>
      <c r="S51" s="5" t="s">
        <v>415</v>
      </c>
      <c r="T51" s="5">
        <v>528.92666666666662</v>
      </c>
      <c r="U51" s="5">
        <v>2.385703591225246</v>
      </c>
      <c r="V51" s="6" t="s">
        <v>405</v>
      </c>
      <c r="W51" s="6">
        <v>1527.92</v>
      </c>
      <c r="X51" s="6">
        <v>5.416909785244294</v>
      </c>
      <c r="Y51" s="5" t="s">
        <v>407</v>
      </c>
      <c r="Z51" s="5">
        <v>1723.4966666666667</v>
      </c>
      <c r="AA51" s="5">
        <v>4.1980528408552944</v>
      </c>
      <c r="AB51" s="6" t="s">
        <v>413</v>
      </c>
      <c r="AC51" s="6">
        <v>1230.1133333333332</v>
      </c>
      <c r="AD51" s="6">
        <v>11.392885467167941</v>
      </c>
      <c r="AE51" s="5" t="s">
        <v>412</v>
      </c>
      <c r="AF51" s="5">
        <v>703.38666666666666</v>
      </c>
      <c r="AG51" s="5">
        <v>9.9534767871909331</v>
      </c>
      <c r="AH51" s="6">
        <v>236604.68666666668</v>
      </c>
      <c r="AI51" s="6">
        <v>2.9995177735891199</v>
      </c>
      <c r="AJ51" s="5">
        <v>146399.31333333335</v>
      </c>
      <c r="AK51" s="5">
        <v>0.86324941327159277</v>
      </c>
      <c r="AL51" s="6">
        <v>3251641.06</v>
      </c>
      <c r="AM51" s="6">
        <v>1.349900577012729</v>
      </c>
    </row>
    <row r="52" spans="1:39" ht="18.75" customHeight="1">
      <c r="A52" s="13" t="s">
        <v>436</v>
      </c>
      <c r="B52" s="13" t="b">
        <v>0</v>
      </c>
      <c r="C52" s="13" t="s">
        <v>52</v>
      </c>
      <c r="D52" s="13" t="s">
        <v>483</v>
      </c>
      <c r="E52" s="3">
        <v>41436.613206018519</v>
      </c>
      <c r="F52" s="4" t="s">
        <v>452</v>
      </c>
      <c r="G52" s="5" t="s">
        <v>0</v>
      </c>
      <c r="H52" s="5">
        <v>1</v>
      </c>
      <c r="I52" s="13" t="s">
        <v>204</v>
      </c>
      <c r="J52" s="6">
        <v>12.107648066560699</v>
      </c>
      <c r="K52" s="6">
        <v>1436.7966666666669</v>
      </c>
      <c r="L52" s="6">
        <v>2.8135098890146688</v>
      </c>
      <c r="M52" s="5">
        <v>9.1554368627551508</v>
      </c>
      <c r="N52" s="5">
        <v>166335.18666666668</v>
      </c>
      <c r="O52" s="5">
        <v>1.1240148597814219</v>
      </c>
      <c r="P52" s="6">
        <v>9.1750239389079091</v>
      </c>
      <c r="Q52" s="6">
        <v>275883.62666666671</v>
      </c>
      <c r="R52" s="6">
        <v>1.9756606032229247</v>
      </c>
      <c r="S52" s="5">
        <v>9.6392990664537805</v>
      </c>
      <c r="T52" s="5">
        <v>6945.0899999999992</v>
      </c>
      <c r="U52" s="5">
        <v>1.9280714015453744</v>
      </c>
      <c r="V52" s="6">
        <v>9.2709313581249404</v>
      </c>
      <c r="W52" s="6">
        <v>476836.63999999996</v>
      </c>
      <c r="X52" s="6">
        <v>0.80650783887402377</v>
      </c>
      <c r="Y52" s="5">
        <v>9.3375238204240603</v>
      </c>
      <c r="Z52" s="5">
        <v>353683.70333333337</v>
      </c>
      <c r="AA52" s="5">
        <v>2.046137815799264</v>
      </c>
      <c r="AB52" s="6">
        <v>9.1701237974876992</v>
      </c>
      <c r="AC52" s="6">
        <v>103015.84333333334</v>
      </c>
      <c r="AD52" s="6">
        <v>1.6185735600161573</v>
      </c>
      <c r="AE52" s="5">
        <v>9.2703812855384893</v>
      </c>
      <c r="AF52" s="5">
        <v>61792.72</v>
      </c>
      <c r="AG52" s="5">
        <v>0.77940200785083724</v>
      </c>
      <c r="AH52" s="6">
        <v>245316.55666666667</v>
      </c>
      <c r="AI52" s="6">
        <v>3.0824850565316151</v>
      </c>
      <c r="AJ52" s="5">
        <v>151789.26</v>
      </c>
      <c r="AK52" s="5">
        <v>1.5377082989156059</v>
      </c>
      <c r="AL52" s="6">
        <v>3380178.1433333331</v>
      </c>
      <c r="AM52" s="6">
        <v>1.773397884078431</v>
      </c>
    </row>
    <row r="53" spans="1:39" ht="18.75" customHeight="1">
      <c r="A53" s="13"/>
      <c r="B53" s="13" t="b">
        <v>0</v>
      </c>
      <c r="C53" s="13" t="s">
        <v>53</v>
      </c>
      <c r="D53" s="13" t="s">
        <v>1</v>
      </c>
      <c r="E53" s="3">
        <v>41436.616284722222</v>
      </c>
      <c r="F53" s="4" t="s">
        <v>424</v>
      </c>
      <c r="G53" s="5" t="s">
        <v>0</v>
      </c>
      <c r="H53" s="5">
        <v>1</v>
      </c>
      <c r="I53" s="13" t="s">
        <v>194</v>
      </c>
      <c r="J53" s="6" t="s">
        <v>416</v>
      </c>
      <c r="K53" s="6">
        <v>133.34</v>
      </c>
      <c r="L53" s="6">
        <v>13.227622946383569</v>
      </c>
      <c r="M53" s="5" t="s">
        <v>405</v>
      </c>
      <c r="N53" s="5">
        <v>511.14333333333337</v>
      </c>
      <c r="O53" s="5">
        <v>3.2818980187660913</v>
      </c>
      <c r="P53" s="6" t="s">
        <v>414</v>
      </c>
      <c r="Q53" s="6">
        <v>21867.383333333331</v>
      </c>
      <c r="R53" s="6">
        <v>1.822856747726266</v>
      </c>
      <c r="S53" s="5" t="s">
        <v>415</v>
      </c>
      <c r="T53" s="5">
        <v>561.15</v>
      </c>
      <c r="U53" s="5">
        <v>15.877627135888345</v>
      </c>
      <c r="V53" s="6" t="s">
        <v>405</v>
      </c>
      <c r="W53" s="6">
        <v>1134.5366666666666</v>
      </c>
      <c r="X53" s="6">
        <v>7.181723564951084</v>
      </c>
      <c r="Y53" s="5" t="s">
        <v>407</v>
      </c>
      <c r="Z53" s="5">
        <v>1395.68</v>
      </c>
      <c r="AA53" s="5">
        <v>2.0316560724375279</v>
      </c>
      <c r="AB53" s="6" t="s">
        <v>413</v>
      </c>
      <c r="AC53" s="6">
        <v>924.51666666666677</v>
      </c>
      <c r="AD53" s="6">
        <v>10.226262795255501</v>
      </c>
      <c r="AE53" s="5" t="s">
        <v>412</v>
      </c>
      <c r="AF53" s="5">
        <v>574.48</v>
      </c>
      <c r="AG53" s="5">
        <v>4.2773058918837288</v>
      </c>
      <c r="AH53" s="6">
        <v>230887.97666666665</v>
      </c>
      <c r="AI53" s="6">
        <v>0.25221168061298249</v>
      </c>
      <c r="AJ53" s="5">
        <v>146837.51</v>
      </c>
      <c r="AK53" s="5">
        <v>0.70246874847101826</v>
      </c>
      <c r="AL53" s="6">
        <v>3302029.6366666667</v>
      </c>
      <c r="AM53" s="6">
        <v>0.94145591147435792</v>
      </c>
    </row>
    <row r="54" spans="1:39" ht="18.75" customHeight="1">
      <c r="A54" s="13"/>
      <c r="B54" s="13" t="b">
        <v>0</v>
      </c>
      <c r="C54" s="13" t="s">
        <v>54</v>
      </c>
      <c r="D54" s="13" t="s">
        <v>138</v>
      </c>
      <c r="E54" s="3">
        <v>41436.619386574072</v>
      </c>
      <c r="F54" s="4" t="s">
        <v>454</v>
      </c>
      <c r="G54" s="5" t="s">
        <v>0</v>
      </c>
      <c r="H54" s="5">
        <v>0.65704330512692877</v>
      </c>
      <c r="I54" s="13" t="s">
        <v>241</v>
      </c>
      <c r="J54" s="6">
        <v>79.680952217973697</v>
      </c>
      <c r="K54" s="6">
        <v>12424.01</v>
      </c>
      <c r="L54" s="6">
        <v>2.173009797796162</v>
      </c>
      <c r="M54" s="5">
        <v>0.62183833868322103</v>
      </c>
      <c r="N54" s="5">
        <v>16779.150000000001</v>
      </c>
      <c r="O54" s="5">
        <v>2.4221588830717957</v>
      </c>
      <c r="P54" s="6">
        <v>253.373428897677</v>
      </c>
      <c r="Q54" s="6">
        <v>10126274.086666666</v>
      </c>
      <c r="R54" s="6">
        <v>0.54874544779833412</v>
      </c>
      <c r="S54" s="5">
        <v>252.797974107513</v>
      </c>
      <c r="T54" s="5">
        <v>245926.94333333333</v>
      </c>
      <c r="U54" s="5">
        <v>0.21856910057431958</v>
      </c>
      <c r="V54" s="6">
        <v>0.22339771799750399</v>
      </c>
      <c r="W54" s="6">
        <v>17563.353333333336</v>
      </c>
      <c r="X54" s="6">
        <v>1.3266261605260943</v>
      </c>
      <c r="Y54" s="5">
        <v>8.8956970988682293</v>
      </c>
      <c r="Z54" s="5">
        <v>487470.46666666662</v>
      </c>
      <c r="AA54" s="5">
        <v>1.1329241866237092</v>
      </c>
      <c r="AB54" s="6">
        <v>13.0408172810977</v>
      </c>
      <c r="AC54" s="6">
        <v>211177.07333333333</v>
      </c>
      <c r="AD54" s="6">
        <v>0.51846305748728783</v>
      </c>
      <c r="AE54" s="5">
        <v>13.8915772869431</v>
      </c>
      <c r="AF54" s="5">
        <v>133445.24333333332</v>
      </c>
      <c r="AG54" s="5">
        <v>0.68071208691736351</v>
      </c>
      <c r="AH54" s="6">
        <v>238338.92333333334</v>
      </c>
      <c r="AI54" s="6">
        <v>1.3704827077731963</v>
      </c>
      <c r="AJ54" s="5">
        <v>144433.84333333335</v>
      </c>
      <c r="AK54" s="5">
        <v>0.92781570845335193</v>
      </c>
      <c r="AL54" s="6">
        <v>3257475.9233333333</v>
      </c>
      <c r="AM54" s="6">
        <v>1.007013495192693</v>
      </c>
    </row>
    <row r="55" spans="1:39" ht="18.75" customHeight="1">
      <c r="A55" s="13"/>
      <c r="B55" s="13" t="b">
        <v>0</v>
      </c>
      <c r="C55" s="13" t="s">
        <v>55</v>
      </c>
      <c r="D55" s="13" t="s">
        <v>149</v>
      </c>
      <c r="E55" s="3">
        <v>41436.622465277775</v>
      </c>
      <c r="F55" s="4" t="s">
        <v>454</v>
      </c>
      <c r="G55" s="5" t="s">
        <v>0</v>
      </c>
      <c r="H55" s="5">
        <v>0.94393592677345539</v>
      </c>
      <c r="I55" s="13" t="s">
        <v>242</v>
      </c>
      <c r="J55" s="6">
        <v>72.296821795975504</v>
      </c>
      <c r="K55" s="6">
        <v>8031.16</v>
      </c>
      <c r="L55" s="6">
        <v>4.9103705061066742</v>
      </c>
      <c r="M55" s="5">
        <v>0.27735169252470598</v>
      </c>
      <c r="N55" s="5">
        <v>5370.0066666666671</v>
      </c>
      <c r="O55" s="5">
        <v>3.0837366764386935</v>
      </c>
      <c r="P55" s="6">
        <v>176.77211599345301</v>
      </c>
      <c r="Q55" s="6">
        <v>4892739.8899999997</v>
      </c>
      <c r="R55" s="6">
        <v>0.81110708675405463</v>
      </c>
      <c r="S55" s="5">
        <v>175.739097352301</v>
      </c>
      <c r="T55" s="5">
        <v>118424.42</v>
      </c>
      <c r="U55" s="5">
        <v>0.98389900306033984</v>
      </c>
      <c r="V55" s="6" t="s">
        <v>405</v>
      </c>
      <c r="W55" s="6">
        <v>1455.6833333333332</v>
      </c>
      <c r="X55" s="6">
        <v>8.4903058708771582</v>
      </c>
      <c r="Y55" s="5">
        <v>6.2250781567588396</v>
      </c>
      <c r="Z55" s="5">
        <v>236031.69333333333</v>
      </c>
      <c r="AA55" s="5">
        <v>0.59529131754135789</v>
      </c>
      <c r="AB55" s="6">
        <v>9.8796467395990195</v>
      </c>
      <c r="AC55" s="6">
        <v>110677.93333333335</v>
      </c>
      <c r="AD55" s="6">
        <v>0.37702303058101405</v>
      </c>
      <c r="AE55" s="5">
        <v>10.656727941058101</v>
      </c>
      <c r="AF55" s="5">
        <v>70882.459999999992</v>
      </c>
      <c r="AG55" s="5">
        <v>1.4480349271280168</v>
      </c>
      <c r="AH55" s="6">
        <v>207771.4</v>
      </c>
      <c r="AI55" s="6">
        <v>4.4110886756246348</v>
      </c>
      <c r="AJ55" s="5">
        <v>142772.31</v>
      </c>
      <c r="AK55" s="5">
        <v>2.6814152826626052</v>
      </c>
      <c r="AL55" s="6">
        <v>3071785.5250000004</v>
      </c>
      <c r="AM55" s="6">
        <v>4.6652686596072463</v>
      </c>
    </row>
    <row r="56" spans="1:39" ht="18.75" customHeight="1">
      <c r="A56" s="13"/>
      <c r="B56" s="13" t="b">
        <v>0</v>
      </c>
      <c r="C56" s="13" t="s">
        <v>56</v>
      </c>
      <c r="D56" s="13" t="s">
        <v>160</v>
      </c>
      <c r="E56" s="3">
        <v>41436.625555555554</v>
      </c>
      <c r="F56" s="4" t="s">
        <v>454</v>
      </c>
      <c r="G56" s="5" t="s">
        <v>0</v>
      </c>
      <c r="H56" s="5">
        <v>0.45118949958982774</v>
      </c>
      <c r="I56" s="13" t="s">
        <v>243</v>
      </c>
      <c r="J56" s="6">
        <v>54.366535211044202</v>
      </c>
      <c r="K56" s="6">
        <v>12484.04</v>
      </c>
      <c r="L56" s="6">
        <v>0.67947437513054476</v>
      </c>
      <c r="M56" s="5">
        <v>0.47517916307811298</v>
      </c>
      <c r="N56" s="5">
        <v>18829.193333333333</v>
      </c>
      <c r="O56" s="5">
        <v>2.3216124384550207</v>
      </c>
      <c r="P56" s="6">
        <v>106.688447190893</v>
      </c>
      <c r="Q56" s="6">
        <v>6288253.4500000002</v>
      </c>
      <c r="R56" s="6">
        <v>1.0597096284613901</v>
      </c>
      <c r="S56" s="5">
        <v>106.73719907997901</v>
      </c>
      <c r="T56" s="5">
        <v>153101.90333333335</v>
      </c>
      <c r="U56" s="5">
        <v>1.3664509166185494</v>
      </c>
      <c r="V56" s="6">
        <v>0.28886293815458702</v>
      </c>
      <c r="W56" s="6">
        <v>32596.313333333335</v>
      </c>
      <c r="X56" s="6">
        <v>1.1032647266337026</v>
      </c>
      <c r="Y56" s="5">
        <v>3.42269008365251</v>
      </c>
      <c r="Z56" s="5">
        <v>276846.80666666664</v>
      </c>
      <c r="AA56" s="5">
        <v>1.5048079537703616</v>
      </c>
      <c r="AB56" s="6">
        <v>5.6884821086702697</v>
      </c>
      <c r="AC56" s="6">
        <v>135987.70333333334</v>
      </c>
      <c r="AD56" s="6">
        <v>1.0360982343336693</v>
      </c>
      <c r="AE56" s="5">
        <v>6.0312256802174096</v>
      </c>
      <c r="AF56" s="5">
        <v>85521.266666666663</v>
      </c>
      <c r="AG56" s="5">
        <v>1.1957511096976299</v>
      </c>
      <c r="AH56" s="6">
        <v>238848.50333333333</v>
      </c>
      <c r="AI56" s="6">
        <v>0.12664482399083624</v>
      </c>
      <c r="AJ56" s="5">
        <v>146078.89333333331</v>
      </c>
      <c r="AK56" s="5">
        <v>0.9281385266177673</v>
      </c>
      <c r="AL56" s="6">
        <v>3244524.01</v>
      </c>
      <c r="AM56" s="6">
        <v>0.98020963795377503</v>
      </c>
    </row>
    <row r="57" spans="1:39" ht="18.75" customHeight="1">
      <c r="A57" s="13" t="s">
        <v>470</v>
      </c>
      <c r="B57" s="13" t="b">
        <v>0</v>
      </c>
      <c r="C57" s="13" t="s">
        <v>57</v>
      </c>
      <c r="D57" s="13" t="s">
        <v>171</v>
      </c>
      <c r="E57" s="3">
        <v>41436.628657407404</v>
      </c>
      <c r="F57" s="4" t="s">
        <v>454</v>
      </c>
      <c r="G57" s="5" t="s">
        <v>0</v>
      </c>
      <c r="H57" s="5">
        <v>0.40882061446977208</v>
      </c>
      <c r="I57" s="13" t="s">
        <v>244</v>
      </c>
      <c r="J57" s="6">
        <v>124.95691904477</v>
      </c>
      <c r="K57" s="6">
        <v>30736.936666666665</v>
      </c>
      <c r="L57" s="6">
        <v>3.6814294461577775</v>
      </c>
      <c r="M57" s="5">
        <v>0.90180021862634596</v>
      </c>
      <c r="N57" s="5">
        <v>38025.776666666665</v>
      </c>
      <c r="O57" s="5">
        <v>2.6100868430729842</v>
      </c>
      <c r="P57" s="6">
        <v>73.608686666947506</v>
      </c>
      <c r="Q57" s="6">
        <v>4684365.3466666667</v>
      </c>
      <c r="R57" s="6">
        <v>2.4298020500506157</v>
      </c>
      <c r="S57" s="5">
        <v>73.186804908000497</v>
      </c>
      <c r="T57" s="5">
        <v>113347.14999999998</v>
      </c>
      <c r="U57" s="5">
        <v>2.2067313813162883</v>
      </c>
      <c r="V57" s="6">
        <v>0.58132937750787095</v>
      </c>
      <c r="W57" s="6">
        <v>69558.746666666659</v>
      </c>
      <c r="X57" s="6">
        <v>2.8109796000879936</v>
      </c>
      <c r="Y57" s="5">
        <v>7.9743620877384398</v>
      </c>
      <c r="Z57" s="5">
        <v>693288.95666666667</v>
      </c>
      <c r="AA57" s="5">
        <v>3.01130494327783</v>
      </c>
      <c r="AB57" s="6">
        <v>11.387464278922</v>
      </c>
      <c r="AC57" s="6">
        <v>292565.54666666663</v>
      </c>
      <c r="AD57" s="6">
        <v>2.5361519089174149</v>
      </c>
      <c r="AE57" s="5">
        <v>12.217585708732001</v>
      </c>
      <c r="AF57" s="5">
        <v>186086.77666666664</v>
      </c>
      <c r="AG57" s="5">
        <v>3.4992604061256447</v>
      </c>
      <c r="AH57" s="6">
        <v>212882.88500000001</v>
      </c>
      <c r="AI57" s="6">
        <v>6.054898421346766</v>
      </c>
      <c r="AJ57" s="5">
        <v>143780.66333333333</v>
      </c>
      <c r="AK57" s="5">
        <v>9.4739119074648972</v>
      </c>
      <c r="AL57" s="6">
        <v>2978361.2050000001</v>
      </c>
      <c r="AM57" s="6">
        <v>7.2123820249778952</v>
      </c>
    </row>
    <row r="58" spans="1:39" ht="18.75" customHeight="1">
      <c r="A58" s="13"/>
      <c r="B58" s="13" t="b">
        <v>0</v>
      </c>
      <c r="C58" s="13" t="s">
        <v>58</v>
      </c>
      <c r="D58" s="13" t="s">
        <v>182</v>
      </c>
      <c r="E58" s="3">
        <v>41436.631747685184</v>
      </c>
      <c r="F58" s="4" t="s">
        <v>454</v>
      </c>
      <c r="G58" s="5" t="s">
        <v>0</v>
      </c>
      <c r="H58" s="5">
        <v>0.51530293566520924</v>
      </c>
      <c r="I58" s="13" t="s">
        <v>245</v>
      </c>
      <c r="J58" s="6">
        <v>77.8455474075448</v>
      </c>
      <c r="K58" s="6">
        <v>15531.11</v>
      </c>
      <c r="L58" s="6">
        <v>2.6655864946156895</v>
      </c>
      <c r="M58" s="5">
        <v>0.21398717457122801</v>
      </c>
      <c r="N58" s="5">
        <v>7664.32</v>
      </c>
      <c r="O58" s="5">
        <v>2.9655728521558524</v>
      </c>
      <c r="P58" s="6">
        <v>186.35824114883101</v>
      </c>
      <c r="Q58" s="6">
        <v>9553890.8300000001</v>
      </c>
      <c r="R58" s="6">
        <v>0.5881592350272693</v>
      </c>
      <c r="S58" s="5">
        <v>185.122306724254</v>
      </c>
      <c r="T58" s="5">
        <v>231013.8</v>
      </c>
      <c r="U58" s="5">
        <v>0.56274597202885102</v>
      </c>
      <c r="V58" s="6" t="s">
        <v>405</v>
      </c>
      <c r="W58" s="6">
        <v>2300.2766666666666</v>
      </c>
      <c r="X58" s="6">
        <v>8.6969958626731625</v>
      </c>
      <c r="Y58" s="5">
        <v>7.1899681065315804</v>
      </c>
      <c r="Z58" s="5">
        <v>505278.43</v>
      </c>
      <c r="AA58" s="5">
        <v>0.64550121232062629</v>
      </c>
      <c r="AB58" s="6">
        <v>9.6307375474425303</v>
      </c>
      <c r="AC58" s="6">
        <v>200078.7</v>
      </c>
      <c r="AD58" s="6">
        <v>0.34484301839821468</v>
      </c>
      <c r="AE58" s="5">
        <v>10.3490487808832</v>
      </c>
      <c r="AF58" s="5">
        <v>127532.15</v>
      </c>
      <c r="AG58" s="5">
        <v>0.60888681923956867</v>
      </c>
      <c r="AH58" s="6">
        <v>240881.68000000002</v>
      </c>
      <c r="AI58" s="6">
        <v>0.6843859923981005</v>
      </c>
      <c r="AJ58" s="5">
        <v>145281.05000000002</v>
      </c>
      <c r="AK58" s="5">
        <v>0.25187149448501733</v>
      </c>
      <c r="AL58" s="6">
        <v>3291865.3666666667</v>
      </c>
      <c r="AM58" s="6">
        <v>0.54274949696969632</v>
      </c>
    </row>
    <row r="59" spans="1:39" ht="18.75" customHeight="1">
      <c r="A59" s="13" t="s">
        <v>435</v>
      </c>
      <c r="B59" s="13" t="b">
        <v>0</v>
      </c>
      <c r="C59" s="13" t="s">
        <v>59</v>
      </c>
      <c r="D59" s="13" t="s">
        <v>187</v>
      </c>
      <c r="E59" s="3">
        <v>41436.63484953704</v>
      </c>
      <c r="F59" s="4" t="s">
        <v>454</v>
      </c>
      <c r="G59" s="5" t="s">
        <v>0</v>
      </c>
      <c r="H59" s="5">
        <v>0.64127477652545661</v>
      </c>
      <c r="I59" s="13" t="s">
        <v>246</v>
      </c>
      <c r="J59" s="6">
        <v>78.215809380585497</v>
      </c>
      <c r="K59" s="6">
        <v>12637.57</v>
      </c>
      <c r="L59" s="6">
        <v>5.253427811574678</v>
      </c>
      <c r="M59" s="5">
        <v>0.37499297518095998</v>
      </c>
      <c r="N59" s="5">
        <v>10662.793333333333</v>
      </c>
      <c r="O59" s="5">
        <v>1.2917014307534027</v>
      </c>
      <c r="P59" s="6">
        <v>154.94791198862501</v>
      </c>
      <c r="Q59" s="6">
        <v>6425908.8633333342</v>
      </c>
      <c r="R59" s="6">
        <v>0.67538953591341544</v>
      </c>
      <c r="S59" s="5">
        <v>154.39247252508201</v>
      </c>
      <c r="T59" s="5">
        <v>155828.54</v>
      </c>
      <c r="U59" s="5">
        <v>0.71919787254965384</v>
      </c>
      <c r="V59" s="6">
        <v>0.20756429332724599</v>
      </c>
      <c r="W59" s="6">
        <v>16957.12</v>
      </c>
      <c r="X59" s="6">
        <v>0.91916696407175935</v>
      </c>
      <c r="Y59" s="5">
        <v>6.8116499555627597</v>
      </c>
      <c r="Z59" s="5">
        <v>387138.16</v>
      </c>
      <c r="AA59" s="5">
        <v>1.3093427806912308</v>
      </c>
      <c r="AB59" s="6">
        <v>8.80507667808169</v>
      </c>
      <c r="AC59" s="6">
        <v>148040.47666666668</v>
      </c>
      <c r="AD59" s="6">
        <v>1.2869411041201035</v>
      </c>
      <c r="AE59" s="5">
        <v>9.3342186814657104</v>
      </c>
      <c r="AF59" s="5">
        <v>93089.33</v>
      </c>
      <c r="AG59" s="5">
        <v>0.78035818750613062</v>
      </c>
      <c r="AH59" s="6">
        <v>239642.30999999997</v>
      </c>
      <c r="AI59" s="6">
        <v>1.5679030234508844</v>
      </c>
      <c r="AJ59" s="5">
        <v>146082.05666666667</v>
      </c>
      <c r="AK59" s="5">
        <v>0.36549114457525411</v>
      </c>
      <c r="AL59" s="6">
        <v>3291894.15</v>
      </c>
      <c r="AM59" s="6">
        <v>0.55735871596852793</v>
      </c>
    </row>
    <row r="60" spans="1:39" ht="18.75" customHeight="1">
      <c r="A60" s="13" t="s">
        <v>474</v>
      </c>
      <c r="B60" s="13" t="b">
        <v>0</v>
      </c>
      <c r="C60" s="13" t="s">
        <v>60</v>
      </c>
      <c r="D60" s="13" t="s">
        <v>188</v>
      </c>
      <c r="E60" s="3">
        <v>41436.637962962966</v>
      </c>
      <c r="F60" s="4" t="s">
        <v>454</v>
      </c>
      <c r="G60" s="5" t="s">
        <v>0</v>
      </c>
      <c r="H60" s="5">
        <v>0.60998151571164516</v>
      </c>
      <c r="I60" s="13" t="s">
        <v>247</v>
      </c>
      <c r="J60" s="6">
        <v>82.532539785832697</v>
      </c>
      <c r="K60" s="6">
        <v>13213.563333333334</v>
      </c>
      <c r="L60" s="6">
        <v>1.7185947059267963</v>
      </c>
      <c r="M60" s="5">
        <v>0.100884480552082</v>
      </c>
      <c r="N60" s="5">
        <v>3166.0399999999995</v>
      </c>
      <c r="O60" s="5">
        <v>7.539690175891832</v>
      </c>
      <c r="P60" s="6">
        <v>126.927450003377</v>
      </c>
      <c r="Q60" s="6">
        <v>5224167.2833333341</v>
      </c>
      <c r="R60" s="6">
        <v>2.363867087770442</v>
      </c>
      <c r="S60" s="5">
        <v>125.730073427459</v>
      </c>
      <c r="T60" s="5">
        <v>125883.05333333334</v>
      </c>
      <c r="U60" s="5">
        <v>1.713755901076933</v>
      </c>
      <c r="V60" s="6" t="s">
        <v>405</v>
      </c>
      <c r="W60" s="6">
        <v>1477.9166666666667</v>
      </c>
      <c r="X60" s="6">
        <v>7.5103580256793849</v>
      </c>
      <c r="Y60" s="5">
        <v>3.2315552221332</v>
      </c>
      <c r="Z60" s="5">
        <v>182795.93666666668</v>
      </c>
      <c r="AA60" s="5">
        <v>1.798690645893938</v>
      </c>
      <c r="AB60" s="6">
        <v>4.2461184088498403</v>
      </c>
      <c r="AC60" s="6">
        <v>71229.596666666679</v>
      </c>
      <c r="AD60" s="6">
        <v>1.6742256785262688</v>
      </c>
      <c r="AE60" s="5">
        <v>4.4780290745480498</v>
      </c>
      <c r="AF60" s="5">
        <v>44516.796666666669</v>
      </c>
      <c r="AG60" s="5">
        <v>2.4252877614613739</v>
      </c>
      <c r="AH60" s="6">
        <v>222708.20666666667</v>
      </c>
      <c r="AI60" s="6">
        <v>7.1825278779348825</v>
      </c>
      <c r="AJ60" s="5">
        <v>138005.42333333334</v>
      </c>
      <c r="AK60" s="5">
        <v>4.8109205566045627</v>
      </c>
      <c r="AL60" s="6">
        <v>3051308.8800000004</v>
      </c>
      <c r="AM60" s="6">
        <v>5.6900408458577951</v>
      </c>
    </row>
    <row r="61" spans="1:39" ht="18.75" customHeight="1">
      <c r="A61" s="13" t="s">
        <v>463</v>
      </c>
      <c r="B61" s="13" t="b">
        <v>0</v>
      </c>
      <c r="C61" s="13" t="s">
        <v>61</v>
      </c>
      <c r="D61" s="13" t="s">
        <v>190</v>
      </c>
      <c r="E61" s="3">
        <v>41436.641076388885</v>
      </c>
      <c r="F61" s="4" t="s">
        <v>454</v>
      </c>
      <c r="G61" s="5" t="s">
        <v>0</v>
      </c>
      <c r="H61" s="5">
        <v>0.6943713834823777</v>
      </c>
      <c r="I61" s="13" t="s">
        <v>248</v>
      </c>
      <c r="J61" s="6">
        <v>67.366311418312904</v>
      </c>
      <c r="K61" s="6">
        <v>9894.44</v>
      </c>
      <c r="L61" s="6">
        <v>1.663743072537436</v>
      </c>
      <c r="M61" s="5">
        <v>0.16651604352038901</v>
      </c>
      <c r="N61" s="5">
        <v>4588.6500000000005</v>
      </c>
      <c r="O61" s="5">
        <v>3.544767174785219</v>
      </c>
      <c r="P61" s="6">
        <v>69.453022995598303</v>
      </c>
      <c r="Q61" s="6">
        <v>2607957.67</v>
      </c>
      <c r="R61" s="6">
        <v>0.83746610180314573</v>
      </c>
      <c r="S61" s="5">
        <v>69.362212141549307</v>
      </c>
      <c r="T61" s="5">
        <v>63367.246666666666</v>
      </c>
      <c r="U61" s="5">
        <v>0.38535782193962487</v>
      </c>
      <c r="V61" s="6">
        <v>3.0658920269666101E-2</v>
      </c>
      <c r="W61" s="6">
        <v>2981.5266666666666</v>
      </c>
      <c r="X61" s="6">
        <v>6.2163472393667307</v>
      </c>
      <c r="Y61" s="5">
        <v>5.5046262146671099</v>
      </c>
      <c r="Z61" s="5">
        <v>282212.27666666667</v>
      </c>
      <c r="AA61" s="5">
        <v>0.42400216962409304</v>
      </c>
      <c r="AB61" s="6">
        <v>8.5724069022707194</v>
      </c>
      <c r="AC61" s="6">
        <v>129649.26666666668</v>
      </c>
      <c r="AD61" s="6">
        <v>1.152401271980267</v>
      </c>
      <c r="AE61" s="5">
        <v>9.2937755215708897</v>
      </c>
      <c r="AF61" s="5">
        <v>82813.143333333341</v>
      </c>
      <c r="AG61" s="5">
        <v>2.2301568131306704</v>
      </c>
      <c r="AH61" s="6">
        <v>219098.07</v>
      </c>
      <c r="AI61" s="6">
        <v>5.2579774484313067</v>
      </c>
      <c r="AJ61" s="5">
        <v>142884.95500000002</v>
      </c>
      <c r="AK61" s="5">
        <v>2.0425660628414861</v>
      </c>
      <c r="AL61" s="6">
        <v>3096601.0449999999</v>
      </c>
      <c r="AM61" s="6">
        <v>4.6722865164163832</v>
      </c>
    </row>
    <row r="62" spans="1:39" ht="18.75" customHeight="1">
      <c r="A62" s="13" t="s">
        <v>450</v>
      </c>
      <c r="B62" s="13" t="b">
        <v>0</v>
      </c>
      <c r="C62" s="13" t="s">
        <v>62</v>
      </c>
      <c r="D62" s="13" t="s">
        <v>192</v>
      </c>
      <c r="E62" s="3">
        <v>41436.644166666665</v>
      </c>
      <c r="F62" s="4" t="s">
        <v>454</v>
      </c>
      <c r="G62" s="5" t="s">
        <v>0</v>
      </c>
      <c r="H62" s="5">
        <v>0.67005076142131981</v>
      </c>
      <c r="I62" s="13" t="s">
        <v>249</v>
      </c>
      <c r="J62" s="6">
        <v>84.079692426792207</v>
      </c>
      <c r="K62" s="6">
        <v>10677.223333333333</v>
      </c>
      <c r="L62" s="6">
        <v>1.2450024243167934</v>
      </c>
      <c r="M62" s="5">
        <v>0.26670590376689901</v>
      </c>
      <c r="N62" s="5">
        <v>6249.2533333333331</v>
      </c>
      <c r="O62" s="5">
        <v>4.3763179413195186</v>
      </c>
      <c r="P62" s="6">
        <v>228.361672111248</v>
      </c>
      <c r="Q62" s="6">
        <v>7487303.706666667</v>
      </c>
      <c r="R62" s="6">
        <v>1.6406041693739493</v>
      </c>
      <c r="S62" s="5">
        <v>226.36829317213</v>
      </c>
      <c r="T62" s="5">
        <v>181301.05666666667</v>
      </c>
      <c r="U62" s="5">
        <v>2.1323850153120461</v>
      </c>
      <c r="V62" s="6">
        <v>2.9439504136133499E-2</v>
      </c>
      <c r="W62" s="6">
        <v>2592.5433333333331</v>
      </c>
      <c r="X62" s="6">
        <v>2.6047164686400346</v>
      </c>
      <c r="Y62" s="5">
        <v>7.6306068717995199</v>
      </c>
      <c r="Z62" s="5">
        <v>343955.14333333331</v>
      </c>
      <c r="AA62" s="5">
        <v>1.3891475727019498</v>
      </c>
      <c r="AB62" s="6">
        <v>12.5499172979102</v>
      </c>
      <c r="AC62" s="6">
        <v>166532.43666666668</v>
      </c>
      <c r="AD62" s="6">
        <v>1.3596606552171984</v>
      </c>
      <c r="AE62" s="5">
        <v>13.325428057569299</v>
      </c>
      <c r="AF62" s="5">
        <v>104912.62666666666</v>
      </c>
      <c r="AG62" s="5">
        <v>1.1804765638462122</v>
      </c>
      <c r="AH62" s="6">
        <v>210465.63</v>
      </c>
      <c r="AI62" s="6">
        <v>2.0880762275571745</v>
      </c>
      <c r="AJ62" s="5">
        <v>120750.73000000001</v>
      </c>
      <c r="AK62" s="5">
        <v>7.660985718762654</v>
      </c>
      <c r="AL62" s="6">
        <v>2600603.5549999997</v>
      </c>
      <c r="AM62" s="6">
        <v>4.6114835871151127</v>
      </c>
    </row>
    <row r="63" spans="1:39" ht="18.75" customHeight="1">
      <c r="A63" s="13"/>
      <c r="B63" s="13" t="b">
        <v>0</v>
      </c>
      <c r="C63" s="13" t="s">
        <v>63</v>
      </c>
      <c r="D63" s="13" t="s">
        <v>203</v>
      </c>
      <c r="E63" s="3">
        <v>41436.647291666668</v>
      </c>
      <c r="F63" s="4" t="s">
        <v>454</v>
      </c>
      <c r="G63" s="5" t="s">
        <v>0</v>
      </c>
      <c r="H63" s="5">
        <v>1.299212598425197</v>
      </c>
      <c r="I63" s="13" t="s">
        <v>250</v>
      </c>
      <c r="J63" s="6">
        <v>77.037489772457704</v>
      </c>
      <c r="K63" s="6">
        <v>6160.293333333334</v>
      </c>
      <c r="L63" s="6">
        <v>0.60372713336488515</v>
      </c>
      <c r="M63" s="5">
        <v>0.18715424343468601</v>
      </c>
      <c r="N63" s="5">
        <v>2950.4066666666672</v>
      </c>
      <c r="O63" s="5">
        <v>7.3131854075685965</v>
      </c>
      <c r="P63" s="6">
        <v>77.077921729253802</v>
      </c>
      <c r="Q63" s="6">
        <v>1580301.1733333331</v>
      </c>
      <c r="R63" s="6">
        <v>0.72240572052974672</v>
      </c>
      <c r="S63" s="5">
        <v>75.279259630749607</v>
      </c>
      <c r="T63" s="5">
        <v>37512.26</v>
      </c>
      <c r="U63" s="5">
        <v>0.14387638116043294</v>
      </c>
      <c r="V63" s="6" t="s">
        <v>405</v>
      </c>
      <c r="W63" s="6">
        <v>1421.24</v>
      </c>
      <c r="X63" s="6">
        <v>5.6309669841532211</v>
      </c>
      <c r="Y63" s="5">
        <v>5.2684204309246701</v>
      </c>
      <c r="Z63" s="5">
        <v>147349.01666666669</v>
      </c>
      <c r="AA63" s="5">
        <v>1.0495138667381161</v>
      </c>
      <c r="AB63" s="6">
        <v>8.1355689114346603</v>
      </c>
      <c r="AC63" s="6">
        <v>67381.193333333344</v>
      </c>
      <c r="AD63" s="6">
        <v>1.1861432851891616</v>
      </c>
      <c r="AE63" s="5">
        <v>8.7361925507970302</v>
      </c>
      <c r="AF63" s="5">
        <v>42903.45</v>
      </c>
      <c r="AG63" s="5">
        <v>1.8182663599069893</v>
      </c>
      <c r="AH63" s="6">
        <v>238653.99333333332</v>
      </c>
      <c r="AI63" s="6">
        <v>0.84157125891289619</v>
      </c>
      <c r="AJ63" s="5">
        <v>144763.69333333336</v>
      </c>
      <c r="AK63" s="5">
        <v>0.42519342526750159</v>
      </c>
      <c r="AL63" s="6">
        <v>3284850.2633333332</v>
      </c>
      <c r="AM63" s="6">
        <v>0.66606132828930631</v>
      </c>
    </row>
    <row r="64" spans="1:39" ht="18.75" customHeight="1">
      <c r="A64" s="13"/>
      <c r="B64" s="13" t="b">
        <v>0</v>
      </c>
      <c r="C64" s="13" t="s">
        <v>64</v>
      </c>
      <c r="D64" s="13" t="s">
        <v>205</v>
      </c>
      <c r="E64" s="3">
        <v>41436.650405092594</v>
      </c>
      <c r="F64" s="4" t="s">
        <v>454</v>
      </c>
      <c r="G64" s="5" t="s">
        <v>0</v>
      </c>
      <c r="H64" s="5">
        <v>0.92827004219409293</v>
      </c>
      <c r="I64" s="13" t="s">
        <v>251</v>
      </c>
      <c r="J64" s="6">
        <v>54.825438924456897</v>
      </c>
      <c r="K64" s="6">
        <v>6172.54</v>
      </c>
      <c r="L64" s="6">
        <v>2.5119679268619413</v>
      </c>
      <c r="M64" s="5">
        <v>0.14723252722046801</v>
      </c>
      <c r="N64" s="5">
        <v>3220.4633333333331</v>
      </c>
      <c r="O64" s="5">
        <v>4.6288674667176002</v>
      </c>
      <c r="P64" s="6">
        <v>46.635961199847202</v>
      </c>
      <c r="Q64" s="6">
        <v>1349511.2633333334</v>
      </c>
      <c r="R64" s="6">
        <v>2.3725220374846168</v>
      </c>
      <c r="S64" s="5">
        <v>45.729522628981101</v>
      </c>
      <c r="T64" s="5">
        <v>32148.703333333335</v>
      </c>
      <c r="U64" s="5">
        <v>1.7519683193441549</v>
      </c>
      <c r="V64" s="6" t="s">
        <v>405</v>
      </c>
      <c r="W64" s="6">
        <v>2091.3466666666668</v>
      </c>
      <c r="X64" s="6">
        <v>5.261480021996956</v>
      </c>
      <c r="Y64" s="5">
        <v>3.4019153024064002</v>
      </c>
      <c r="Z64" s="5">
        <v>134078.38999999998</v>
      </c>
      <c r="AA64" s="5">
        <v>1.3927433934213913</v>
      </c>
      <c r="AB64" s="6">
        <v>5.47214444284457</v>
      </c>
      <c r="AC64" s="6">
        <v>63850.49</v>
      </c>
      <c r="AD64" s="6">
        <v>2.0321284565348288</v>
      </c>
      <c r="AE64" s="5">
        <v>5.9070524087506699</v>
      </c>
      <c r="AF64" s="5">
        <v>40864.966666666667</v>
      </c>
      <c r="AG64" s="5">
        <v>1.954432768422107</v>
      </c>
      <c r="AH64" s="6">
        <v>241460.33</v>
      </c>
      <c r="AI64" s="6">
        <v>1.863960568502709</v>
      </c>
      <c r="AJ64" s="5">
        <v>145609.74666666667</v>
      </c>
      <c r="AK64" s="5">
        <v>0.36367229879858465</v>
      </c>
      <c r="AL64" s="6">
        <v>3262038.25</v>
      </c>
      <c r="AM64" s="6">
        <v>0.63742672845059611</v>
      </c>
    </row>
    <row r="65" spans="1:39" ht="18.75" customHeight="1">
      <c r="A65" s="13"/>
      <c r="B65" s="13" t="b">
        <v>0</v>
      </c>
      <c r="C65" s="13" t="s">
        <v>65</v>
      </c>
      <c r="D65" s="13" t="s">
        <v>206</v>
      </c>
      <c r="E65" s="3">
        <v>41436.65351851852</v>
      </c>
      <c r="F65" s="4" t="s">
        <v>454</v>
      </c>
      <c r="G65" s="5" t="s">
        <v>0</v>
      </c>
      <c r="H65" s="5">
        <v>0.92178770949720679</v>
      </c>
      <c r="I65" s="13" t="s">
        <v>252</v>
      </c>
      <c r="J65" s="6">
        <v>66.500827468372407</v>
      </c>
      <c r="K65" s="6">
        <v>7462.0133333333333</v>
      </c>
      <c r="L65" s="6">
        <v>3.4017349518700764</v>
      </c>
      <c r="M65" s="5">
        <v>0.161586006151196</v>
      </c>
      <c r="N65" s="5">
        <v>3488.33</v>
      </c>
      <c r="O65" s="5">
        <v>3.1993619521217127</v>
      </c>
      <c r="P65" s="6">
        <v>42.121899908244401</v>
      </c>
      <c r="Q65" s="6">
        <v>1221705.1066666667</v>
      </c>
      <c r="R65" s="6">
        <v>0.40630841359560993</v>
      </c>
      <c r="S65" s="5">
        <v>42.815888998128699</v>
      </c>
      <c r="T65" s="5">
        <v>30150.73</v>
      </c>
      <c r="U65" s="5">
        <v>1.5113611388497565</v>
      </c>
      <c r="V65" s="6" t="s">
        <v>405</v>
      </c>
      <c r="W65" s="6">
        <v>1389.0166666666667</v>
      </c>
      <c r="X65" s="6">
        <v>5.1497030034740741</v>
      </c>
      <c r="Y65" s="5">
        <v>5.2781899879071901</v>
      </c>
      <c r="Z65" s="5">
        <v>207364.67333333334</v>
      </c>
      <c r="AA65" s="5">
        <v>0.43593104016571405</v>
      </c>
      <c r="AB65" s="6">
        <v>11.3176849490091</v>
      </c>
      <c r="AC65" s="6">
        <v>131206.38666666669</v>
      </c>
      <c r="AD65" s="6">
        <v>0.62926172475335496</v>
      </c>
      <c r="AE65" s="5">
        <v>12.146998383713299</v>
      </c>
      <c r="AF65" s="5">
        <v>83520.213333333333</v>
      </c>
      <c r="AG65" s="5">
        <v>1.3425603428058988</v>
      </c>
      <c r="AH65" s="6">
        <v>234592.15333333332</v>
      </c>
      <c r="AI65" s="6">
        <v>1.2632648764839713</v>
      </c>
      <c r="AJ65" s="5">
        <v>144701.79666666666</v>
      </c>
      <c r="AK65" s="5">
        <v>0.89741329333678477</v>
      </c>
      <c r="AL65" s="6">
        <v>3279487.8700000006</v>
      </c>
      <c r="AM65" s="6">
        <v>1.0654553947878338</v>
      </c>
    </row>
    <row r="66" spans="1:39" ht="18.75" customHeight="1">
      <c r="A66" s="13"/>
      <c r="B66" s="13" t="b">
        <v>0</v>
      </c>
      <c r="C66" s="13" t="s">
        <v>66</v>
      </c>
      <c r="D66" s="13" t="s">
        <v>1</v>
      </c>
      <c r="E66" s="3">
        <v>41436.656597222223</v>
      </c>
      <c r="F66" s="4" t="s">
        <v>424</v>
      </c>
      <c r="G66" s="5" t="s">
        <v>0</v>
      </c>
      <c r="H66" s="5">
        <v>1</v>
      </c>
      <c r="I66" s="13" t="s">
        <v>193</v>
      </c>
      <c r="J66" s="6" t="s">
        <v>416</v>
      </c>
      <c r="K66" s="6">
        <v>162.23333333333332</v>
      </c>
      <c r="L66" s="6">
        <v>8.3048859687112824</v>
      </c>
      <c r="M66" s="5" t="s">
        <v>405</v>
      </c>
      <c r="N66" s="5">
        <v>577.81333333333339</v>
      </c>
      <c r="O66" s="5">
        <v>9.3443085865727689</v>
      </c>
      <c r="P66" s="6" t="s">
        <v>414</v>
      </c>
      <c r="Q66" s="6">
        <v>22160.006666666664</v>
      </c>
      <c r="R66" s="6">
        <v>1.783515050200114</v>
      </c>
      <c r="S66" s="5" t="s">
        <v>415</v>
      </c>
      <c r="T66" s="5">
        <v>577.81666666666672</v>
      </c>
      <c r="U66" s="5">
        <v>3.7090861451531238</v>
      </c>
      <c r="V66" s="6" t="s">
        <v>405</v>
      </c>
      <c r="W66" s="6">
        <v>1487.9166666666667</v>
      </c>
      <c r="X66" s="6">
        <v>12.260061690856734</v>
      </c>
      <c r="Y66" s="5" t="s">
        <v>407</v>
      </c>
      <c r="Z66" s="5">
        <v>1776.8433333333335</v>
      </c>
      <c r="AA66" s="5">
        <v>2.3434212638025569</v>
      </c>
      <c r="AB66" s="6" t="s">
        <v>413</v>
      </c>
      <c r="AC66" s="6">
        <v>1172.3233333333333</v>
      </c>
      <c r="AD66" s="6">
        <v>9.5183871867100827</v>
      </c>
      <c r="AE66" s="5" t="s">
        <v>412</v>
      </c>
      <c r="AF66" s="5">
        <v>694.48666666666668</v>
      </c>
      <c r="AG66" s="5">
        <v>10.618389444184295</v>
      </c>
      <c r="AH66" s="6">
        <v>227609.59333333335</v>
      </c>
      <c r="AI66" s="6">
        <v>1.157178121698081</v>
      </c>
      <c r="AJ66" s="5">
        <v>146660.94666666666</v>
      </c>
      <c r="AK66" s="5">
        <v>0.31394917823187724</v>
      </c>
      <c r="AL66" s="6">
        <v>3244982.3466666662</v>
      </c>
      <c r="AM66" s="6">
        <v>0.36788385490185732</v>
      </c>
    </row>
    <row r="67" spans="1:39" ht="18.75" customHeight="1">
      <c r="A67" s="13" t="s">
        <v>438</v>
      </c>
      <c r="B67" s="13" t="b">
        <v>0</v>
      </c>
      <c r="C67" s="13" t="s">
        <v>67</v>
      </c>
      <c r="D67" s="13" t="s">
        <v>483</v>
      </c>
      <c r="E67" s="3">
        <v>41436.659687500003</v>
      </c>
      <c r="F67" s="4" t="s">
        <v>452</v>
      </c>
      <c r="G67" s="5" t="s">
        <v>0</v>
      </c>
      <c r="H67" s="5">
        <v>1</v>
      </c>
      <c r="I67" s="13" t="s">
        <v>204</v>
      </c>
      <c r="J67" s="6">
        <v>13.0681408683676</v>
      </c>
      <c r="K67" s="6">
        <v>1420.1266666666663</v>
      </c>
      <c r="L67" s="6">
        <v>9.2479418345770164</v>
      </c>
      <c r="M67" s="5">
        <v>9.6553047610932801</v>
      </c>
      <c r="N67" s="5">
        <v>168480.05666666667</v>
      </c>
      <c r="O67" s="5">
        <v>0.85890289154068633</v>
      </c>
      <c r="P67" s="6">
        <v>9.7131697477840095</v>
      </c>
      <c r="Q67" s="6">
        <v>279679.75</v>
      </c>
      <c r="R67" s="6">
        <v>1.2065558393098186</v>
      </c>
      <c r="S67" s="5">
        <v>10.0140169318398</v>
      </c>
      <c r="T67" s="5">
        <v>6967.39</v>
      </c>
      <c r="U67" s="5">
        <v>2.3092880325977236</v>
      </c>
      <c r="V67" s="6">
        <v>9.8112782489999297</v>
      </c>
      <c r="W67" s="6">
        <v>483836.86000000004</v>
      </c>
      <c r="X67" s="6">
        <v>0.69685946027540135</v>
      </c>
      <c r="Y67" s="5">
        <v>9.9795100862278296</v>
      </c>
      <c r="Z67" s="5">
        <v>361434.39333333337</v>
      </c>
      <c r="AA67" s="5">
        <v>0.17733167838465552</v>
      </c>
      <c r="AB67" s="6">
        <v>9.7713754888581708</v>
      </c>
      <c r="AC67" s="6">
        <v>104934.79666666668</v>
      </c>
      <c r="AD67" s="6">
        <v>0.16886264133900192</v>
      </c>
      <c r="AE67" s="5">
        <v>9.9363605241141997</v>
      </c>
      <c r="AF67" s="5">
        <v>63265.156666666669</v>
      </c>
      <c r="AG67" s="5">
        <v>5.1067378727854697E-2</v>
      </c>
      <c r="AH67" s="6">
        <v>207594.435</v>
      </c>
      <c r="AI67" s="6">
        <v>3.6126529331801307</v>
      </c>
      <c r="AJ67" s="5">
        <v>145190.01</v>
      </c>
      <c r="AK67" s="5">
        <v>4.0732834866103245</v>
      </c>
      <c r="AL67" s="6">
        <v>3084434.8</v>
      </c>
      <c r="AM67" s="6">
        <v>3.8632284887995256</v>
      </c>
    </row>
    <row r="68" spans="1:39" ht="18.75" customHeight="1">
      <c r="A68" s="13" t="s">
        <v>475</v>
      </c>
      <c r="B68" s="13" t="b">
        <v>0</v>
      </c>
      <c r="C68" s="13" t="s">
        <v>68</v>
      </c>
      <c r="D68" s="13" t="s">
        <v>1</v>
      </c>
      <c r="E68" s="3">
        <v>41436.662789351853</v>
      </c>
      <c r="F68" s="4" t="s">
        <v>424</v>
      </c>
      <c r="G68" s="5" t="s">
        <v>0</v>
      </c>
      <c r="H68" s="5">
        <v>1</v>
      </c>
      <c r="I68" s="13" t="s">
        <v>194</v>
      </c>
      <c r="J68" s="6" t="s">
        <v>416</v>
      </c>
      <c r="K68" s="6">
        <v>147.79</v>
      </c>
      <c r="L68" s="6">
        <v>17.078805486576201</v>
      </c>
      <c r="M68" s="5" t="s">
        <v>405</v>
      </c>
      <c r="N68" s="5">
        <v>531.14333333333343</v>
      </c>
      <c r="O68" s="5">
        <v>22.184084677110469</v>
      </c>
      <c r="P68" s="6" t="s">
        <v>414</v>
      </c>
      <c r="Q68" s="6">
        <v>22003.196666666667</v>
      </c>
      <c r="R68" s="6">
        <v>2.6660730479200399</v>
      </c>
      <c r="S68" s="5" t="s">
        <v>415</v>
      </c>
      <c r="T68" s="5">
        <v>472.25333333333333</v>
      </c>
      <c r="U68" s="5">
        <v>2.269091228689148</v>
      </c>
      <c r="V68" s="6" t="s">
        <v>405</v>
      </c>
      <c r="W68" s="6">
        <v>1084.5333333333333</v>
      </c>
      <c r="X68" s="6">
        <v>22.395780413432135</v>
      </c>
      <c r="Y68" s="5" t="s">
        <v>407</v>
      </c>
      <c r="Z68" s="5">
        <v>1382.35</v>
      </c>
      <c r="AA68" s="5">
        <v>3.4641048427103778</v>
      </c>
      <c r="AB68" s="6" t="s">
        <v>413</v>
      </c>
      <c r="AC68" s="6">
        <v>883.4</v>
      </c>
      <c r="AD68" s="6">
        <v>14.458585060053045</v>
      </c>
      <c r="AE68" s="5" t="s">
        <v>412</v>
      </c>
      <c r="AF68" s="5">
        <v>585.59666666666669</v>
      </c>
      <c r="AG68" s="5">
        <v>16.899936334112009</v>
      </c>
      <c r="AH68" s="6">
        <v>209374.41</v>
      </c>
      <c r="AI68" s="6">
        <v>7.4857109932184152</v>
      </c>
      <c r="AJ68" s="5">
        <v>137362.44</v>
      </c>
      <c r="AK68" s="5">
        <v>8.7873547433262296</v>
      </c>
      <c r="AL68" s="6">
        <v>3002228.5449999999</v>
      </c>
      <c r="AM68" s="6">
        <v>8.0774405268366039</v>
      </c>
    </row>
    <row r="69" spans="1:39" ht="18.75" customHeight="1">
      <c r="A69" s="13"/>
      <c r="B69" s="13" t="b">
        <v>1</v>
      </c>
      <c r="C69" s="13" t="s">
        <v>69</v>
      </c>
      <c r="D69" s="13" t="s">
        <v>207</v>
      </c>
      <c r="E69" s="3">
        <v>41436.667847222219</v>
      </c>
      <c r="F69" s="4" t="s">
        <v>454</v>
      </c>
      <c r="G69" s="5" t="s">
        <v>0</v>
      </c>
      <c r="H69" s="5">
        <v>1</v>
      </c>
      <c r="I69" s="13" t="s">
        <v>254</v>
      </c>
      <c r="J69" s="6"/>
      <c r="K69" s="6"/>
      <c r="L69" s="6"/>
      <c r="M69" s="5"/>
      <c r="N69" s="5"/>
      <c r="O69" s="5"/>
      <c r="P69" s="6"/>
      <c r="Q69" s="6"/>
      <c r="R69" s="6"/>
      <c r="S69" s="5"/>
      <c r="T69" s="5"/>
      <c r="U69" s="5"/>
      <c r="V69" s="6"/>
      <c r="W69" s="6"/>
      <c r="X69" s="6"/>
      <c r="Y69" s="5"/>
      <c r="Z69" s="5"/>
      <c r="AA69" s="5"/>
      <c r="AB69" s="6"/>
      <c r="AC69" s="6"/>
      <c r="AD69" s="6"/>
      <c r="AE69" s="5"/>
      <c r="AF69" s="5"/>
      <c r="AG69" s="5"/>
      <c r="AH69" s="6"/>
      <c r="AI69" s="6"/>
      <c r="AJ69" s="5"/>
      <c r="AK69" s="5"/>
      <c r="AL69" s="6"/>
      <c r="AM69" s="6"/>
    </row>
    <row r="70" spans="1:39" ht="18.75" customHeight="1">
      <c r="A70" s="13"/>
      <c r="B70" s="13" t="b">
        <v>0</v>
      </c>
      <c r="C70" s="13" t="s">
        <v>70</v>
      </c>
      <c r="D70" s="13" t="s">
        <v>208</v>
      </c>
      <c r="E70" s="3">
        <v>41436.670937499999</v>
      </c>
      <c r="F70" s="4" t="s">
        <v>454</v>
      </c>
      <c r="G70" s="5" t="s">
        <v>0</v>
      </c>
      <c r="H70" s="5">
        <v>0.86500655307994756</v>
      </c>
      <c r="I70" s="13" t="s">
        <v>255</v>
      </c>
      <c r="J70" s="6">
        <v>197.22058001561899</v>
      </c>
      <c r="K70" s="6">
        <v>22809.713333333333</v>
      </c>
      <c r="L70" s="6">
        <v>0.80278110396249602</v>
      </c>
      <c r="M70" s="5">
        <v>0.13453942938426799</v>
      </c>
      <c r="N70" s="5">
        <v>3055.9766666666669</v>
      </c>
      <c r="O70" s="5">
        <v>2.0884248311884916</v>
      </c>
      <c r="P70" s="6">
        <v>148.972683373591</v>
      </c>
      <c r="Q70" s="6">
        <v>4468877.916666667</v>
      </c>
      <c r="R70" s="6">
        <v>0.58563396617163699</v>
      </c>
      <c r="S70" s="5">
        <v>147.83176588279201</v>
      </c>
      <c r="T70" s="5">
        <v>107980.65</v>
      </c>
      <c r="U70" s="5">
        <v>1.3559864284270151</v>
      </c>
      <c r="V70" s="6" t="s">
        <v>405</v>
      </c>
      <c r="W70" s="6">
        <v>1215.6566666666665</v>
      </c>
      <c r="X70" s="6">
        <v>6.1829669298706058</v>
      </c>
      <c r="Y70" s="5">
        <v>6.3458211132507403</v>
      </c>
      <c r="Z70" s="5">
        <v>260555.92</v>
      </c>
      <c r="AA70" s="5">
        <v>0.32811009630395482</v>
      </c>
      <c r="AB70" s="6">
        <v>7.6637382979724</v>
      </c>
      <c r="AC70" s="6">
        <v>93421.79</v>
      </c>
      <c r="AD70" s="6">
        <v>0.69780089179733396</v>
      </c>
      <c r="AE70" s="5">
        <v>8.1882157520268706</v>
      </c>
      <c r="AF70" s="5">
        <v>59110.116666666669</v>
      </c>
      <c r="AG70" s="5">
        <v>1.4811003268427685</v>
      </c>
      <c r="AH70" s="6">
        <v>219913.53</v>
      </c>
      <c r="AI70" s="6">
        <v>4.4105507558684582</v>
      </c>
      <c r="AJ70" s="5">
        <v>141887.79499999998</v>
      </c>
      <c r="AK70" s="5">
        <v>1.8451592586069436</v>
      </c>
      <c r="AL70" s="6">
        <v>3125955.4750000001</v>
      </c>
      <c r="AM70" s="6">
        <v>4.5552596604828954</v>
      </c>
    </row>
    <row r="71" spans="1:39" ht="18.75" customHeight="1">
      <c r="A71" s="13"/>
      <c r="B71" s="13" t="b">
        <v>0</v>
      </c>
      <c r="C71" s="13" t="s">
        <v>71</v>
      </c>
      <c r="D71" s="13" t="s">
        <v>209</v>
      </c>
      <c r="E71" s="3">
        <v>41436.674039351848</v>
      </c>
      <c r="F71" s="4" t="s">
        <v>454</v>
      </c>
      <c r="G71" s="5" t="s">
        <v>0</v>
      </c>
      <c r="H71" s="5">
        <v>0.62440870387890257</v>
      </c>
      <c r="I71" s="13" t="s">
        <v>256</v>
      </c>
      <c r="J71" s="6">
        <v>167.69524633859399</v>
      </c>
      <c r="K71" s="6">
        <v>27238.636666666669</v>
      </c>
      <c r="L71" s="6">
        <v>2.260010037598823</v>
      </c>
      <c r="M71" s="5">
        <v>0.100362872227257</v>
      </c>
      <c r="N71" s="5">
        <v>3219.3666666666668</v>
      </c>
      <c r="O71" s="5">
        <v>4.2330084131438603</v>
      </c>
      <c r="P71" s="6">
        <v>62.354363754795003</v>
      </c>
      <c r="Q71" s="6">
        <v>2628971.35</v>
      </c>
      <c r="R71" s="6">
        <v>1.2443916031022981</v>
      </c>
      <c r="S71" s="5">
        <v>61.501255858847799</v>
      </c>
      <c r="T71" s="5">
        <v>63067.186666666668</v>
      </c>
      <c r="U71" s="5">
        <v>0.99549000326425907</v>
      </c>
      <c r="V71" s="6" t="s">
        <v>405</v>
      </c>
      <c r="W71" s="6">
        <v>1327.9</v>
      </c>
      <c r="X71" s="6">
        <v>4.5284331112800658</v>
      </c>
      <c r="Y71" s="5">
        <v>3.1313248462581398</v>
      </c>
      <c r="Z71" s="5">
        <v>180788.00666666668</v>
      </c>
      <c r="AA71" s="5">
        <v>1.309066825228415</v>
      </c>
      <c r="AB71" s="6">
        <v>3.9458930522486799</v>
      </c>
      <c r="AC71" s="6">
        <v>67581.986666666664</v>
      </c>
      <c r="AD71" s="6">
        <v>1.839520453212554</v>
      </c>
      <c r="AE71" s="5">
        <v>4.2160663867637798</v>
      </c>
      <c r="AF71" s="5">
        <v>42820.936666666668</v>
      </c>
      <c r="AG71" s="5">
        <v>0.98783544848102911</v>
      </c>
      <c r="AH71" s="6">
        <v>234461.90333333332</v>
      </c>
      <c r="AI71" s="6">
        <v>1.9360031543546554</v>
      </c>
      <c r="AJ71" s="5">
        <v>143899.52333333332</v>
      </c>
      <c r="AK71" s="5">
        <v>0.35064177524685564</v>
      </c>
      <c r="AL71" s="6">
        <v>3238747.7966666669</v>
      </c>
      <c r="AM71" s="6">
        <v>0.96367773383518651</v>
      </c>
    </row>
    <row r="72" spans="1:39" ht="18.75" customHeight="1">
      <c r="A72" s="13"/>
      <c r="B72" s="13" t="b">
        <v>0</v>
      </c>
      <c r="C72" s="13" t="s">
        <v>72</v>
      </c>
      <c r="D72" s="13" t="s">
        <v>210</v>
      </c>
      <c r="E72" s="3">
        <v>41436.677129629628</v>
      </c>
      <c r="F72" s="4" t="s">
        <v>454</v>
      </c>
      <c r="G72" s="5" t="s">
        <v>0</v>
      </c>
      <c r="H72" s="5">
        <v>0.83650190114068435</v>
      </c>
      <c r="I72" s="13" t="s">
        <v>257</v>
      </c>
      <c r="J72" s="6">
        <v>198.73281353733799</v>
      </c>
      <c r="K72" s="6">
        <v>24265.063333333335</v>
      </c>
      <c r="L72" s="6">
        <v>1.2648976750641157</v>
      </c>
      <c r="M72" s="5">
        <v>0.13592148505898699</v>
      </c>
      <c r="N72" s="5">
        <v>3269.3633333333332</v>
      </c>
      <c r="O72" s="5">
        <v>4.9923829823889232</v>
      </c>
      <c r="P72" s="6">
        <v>57.532612216281002</v>
      </c>
      <c r="Q72" s="6">
        <v>1829134.8866666667</v>
      </c>
      <c r="R72" s="6">
        <v>1.2246101453985061</v>
      </c>
      <c r="S72" s="5">
        <v>56.785525900509498</v>
      </c>
      <c r="T72" s="5">
        <v>43884.526666666672</v>
      </c>
      <c r="U72" s="5">
        <v>1.2385492901285775</v>
      </c>
      <c r="V72" s="6" t="s">
        <v>405</v>
      </c>
      <c r="W72" s="6">
        <v>1544.59</v>
      </c>
      <c r="X72" s="6">
        <v>6.3200165788512219</v>
      </c>
      <c r="Y72" s="5">
        <v>4.8602866228253099</v>
      </c>
      <c r="Z72" s="5">
        <v>210577.20666666667</v>
      </c>
      <c r="AA72" s="5">
        <v>0.59182040897342647</v>
      </c>
      <c r="AB72" s="6">
        <v>8.4940301493292196</v>
      </c>
      <c r="AC72" s="6">
        <v>108769.48</v>
      </c>
      <c r="AD72" s="6">
        <v>0.69900820366122363</v>
      </c>
      <c r="AE72" s="5">
        <v>9.1575973100681907</v>
      </c>
      <c r="AF72" s="5">
        <v>69541.16333333333</v>
      </c>
      <c r="AG72" s="5">
        <v>0.3353147341321831</v>
      </c>
      <c r="AH72" s="6">
        <v>240871.02333333335</v>
      </c>
      <c r="AI72" s="6">
        <v>2.4347105631387227</v>
      </c>
      <c r="AJ72" s="5">
        <v>144844.5</v>
      </c>
      <c r="AK72" s="5">
        <v>1.4314956911209622</v>
      </c>
      <c r="AL72" s="6">
        <v>3293092.07</v>
      </c>
      <c r="AM72" s="6">
        <v>1.8129751730287711</v>
      </c>
    </row>
    <row r="73" spans="1:39" ht="18.75" customHeight="1">
      <c r="A73" s="13"/>
      <c r="B73" s="13" t="b">
        <v>0</v>
      </c>
      <c r="C73" s="13" t="s">
        <v>73</v>
      </c>
      <c r="D73" s="13" t="s">
        <v>211</v>
      </c>
      <c r="E73" s="3">
        <v>41436.680231481485</v>
      </c>
      <c r="F73" s="4" t="s">
        <v>454</v>
      </c>
      <c r="G73" s="5" t="s">
        <v>0</v>
      </c>
      <c r="H73" s="5">
        <v>0.47619047619047628</v>
      </c>
      <c r="I73" s="13" t="s">
        <v>258</v>
      </c>
      <c r="J73" s="6">
        <v>57.482533712877597</v>
      </c>
      <c r="K73" s="6">
        <v>12242.733333333332</v>
      </c>
      <c r="L73" s="6">
        <v>1.7454676927197159</v>
      </c>
      <c r="M73" s="5">
        <v>0.12099723904038601</v>
      </c>
      <c r="N73" s="5">
        <v>4792.036666666666</v>
      </c>
      <c r="O73" s="5">
        <v>1.4465833937169943</v>
      </c>
      <c r="P73" s="6">
        <v>74.267201013207298</v>
      </c>
      <c r="Q73" s="6">
        <v>4066985.9133333336</v>
      </c>
      <c r="R73" s="6">
        <v>0.93099663089951079</v>
      </c>
      <c r="S73" s="5">
        <v>73.476746505578504</v>
      </c>
      <c r="T73" s="5">
        <v>97899.46666666666</v>
      </c>
      <c r="U73" s="5">
        <v>1.2896317282187797</v>
      </c>
      <c r="V73" s="6" t="s">
        <v>405</v>
      </c>
      <c r="W73" s="6">
        <v>1821.2866666666669</v>
      </c>
      <c r="X73" s="6">
        <v>5.3125444662989487</v>
      </c>
      <c r="Y73" s="5">
        <v>5.4200111947481497</v>
      </c>
      <c r="Z73" s="5">
        <v>405866.27333333337</v>
      </c>
      <c r="AA73" s="5">
        <v>1.1770864825273881</v>
      </c>
      <c r="AB73" s="6">
        <v>9.3404340648542092</v>
      </c>
      <c r="AC73" s="6">
        <v>206606.95666666667</v>
      </c>
      <c r="AD73" s="6">
        <v>0.52606367049870162</v>
      </c>
      <c r="AE73" s="5">
        <v>10.0061629672454</v>
      </c>
      <c r="AF73" s="5">
        <v>131276.78333333333</v>
      </c>
      <c r="AG73" s="5">
        <v>1.8377101874321358</v>
      </c>
      <c r="AH73" s="6">
        <v>233624.26333333334</v>
      </c>
      <c r="AI73" s="6">
        <v>1.7747322859480532</v>
      </c>
      <c r="AJ73" s="5">
        <v>142981.85999999999</v>
      </c>
      <c r="AK73" s="5">
        <v>0.99572602335251148</v>
      </c>
      <c r="AL73" s="6">
        <v>3240563.4233333333</v>
      </c>
      <c r="AM73" s="6">
        <v>0.51046192824785075</v>
      </c>
    </row>
    <row r="74" spans="1:39" ht="18.75" customHeight="1">
      <c r="A74" s="13" t="s">
        <v>462</v>
      </c>
      <c r="B74" s="13" t="b">
        <v>0</v>
      </c>
      <c r="C74" s="13" t="s">
        <v>74</v>
      </c>
      <c r="D74" s="13" t="s">
        <v>213</v>
      </c>
      <c r="E74" s="3">
        <v>41436.683333333334</v>
      </c>
      <c r="F74" s="4" t="s">
        <v>454</v>
      </c>
      <c r="G74" s="5" t="s">
        <v>0</v>
      </c>
      <c r="H74" s="5">
        <v>0.51242236024844723</v>
      </c>
      <c r="I74" s="13" t="s">
        <v>259</v>
      </c>
      <c r="J74" s="6">
        <v>61.111660776058002</v>
      </c>
      <c r="K74" s="6">
        <v>11365.433333333334</v>
      </c>
      <c r="L74" s="6">
        <v>1.2499992966726277</v>
      </c>
      <c r="M74" s="5">
        <v>0.121780698852043</v>
      </c>
      <c r="N74" s="5">
        <v>4242.96</v>
      </c>
      <c r="O74" s="5">
        <v>2.4811696546085704</v>
      </c>
      <c r="P74" s="6">
        <v>82.5525983755998</v>
      </c>
      <c r="Q74" s="6">
        <v>3944856.61</v>
      </c>
      <c r="R74" s="6">
        <v>0.92097248104506557</v>
      </c>
      <c r="S74" s="5">
        <v>81.163350607694298</v>
      </c>
      <c r="T74" s="5">
        <v>94351.593333333338</v>
      </c>
      <c r="U74" s="5">
        <v>0.93778426569524531</v>
      </c>
      <c r="V74" s="6" t="s">
        <v>405</v>
      </c>
      <c r="W74" s="6">
        <v>1504.5866666666668</v>
      </c>
      <c r="X74" s="6">
        <v>13.880541641767064</v>
      </c>
      <c r="Y74" s="5">
        <v>3.3405411896513</v>
      </c>
      <c r="Z74" s="5">
        <v>218864.03</v>
      </c>
      <c r="AA74" s="5">
        <v>0.75585544145121486</v>
      </c>
      <c r="AB74" s="6">
        <v>7.5703083787850902</v>
      </c>
      <c r="AC74" s="6">
        <v>146423.83333333334</v>
      </c>
      <c r="AD74" s="6">
        <v>0.31334912882418969</v>
      </c>
      <c r="AE74" s="5">
        <v>8.0692441189945701</v>
      </c>
      <c r="AF74" s="5">
        <v>92571.713333333333</v>
      </c>
      <c r="AG74" s="5">
        <v>0.51644119506541486</v>
      </c>
      <c r="AH74" s="6">
        <v>213047.44666666666</v>
      </c>
      <c r="AI74" s="6">
        <v>5.2459205880519697</v>
      </c>
      <c r="AJ74" s="5">
        <v>135195.40333333335</v>
      </c>
      <c r="AK74" s="5">
        <v>9.6032536803586215</v>
      </c>
      <c r="AL74" s="6">
        <v>2986577.35</v>
      </c>
      <c r="AM74" s="6">
        <v>9.7919318718482415</v>
      </c>
    </row>
    <row r="75" spans="1:39" ht="18.75" customHeight="1">
      <c r="A75" s="13"/>
      <c r="B75" s="13" t="b">
        <v>0</v>
      </c>
      <c r="C75" s="13" t="s">
        <v>75</v>
      </c>
      <c r="D75" s="13" t="s">
        <v>214</v>
      </c>
      <c r="E75" s="3">
        <v>41436.686423611114</v>
      </c>
      <c r="F75" s="4" t="s">
        <v>454</v>
      </c>
      <c r="G75" s="5" t="s">
        <v>0</v>
      </c>
      <c r="H75" s="5">
        <v>0.51886792452830188</v>
      </c>
      <c r="I75" s="13" t="s">
        <v>260</v>
      </c>
      <c r="J75" s="6">
        <v>51.393110635318003</v>
      </c>
      <c r="K75" s="6">
        <v>10147.993333333334</v>
      </c>
      <c r="L75" s="6">
        <v>1.244422910361356</v>
      </c>
      <c r="M75" s="5">
        <v>9.4225415293599707E-2</v>
      </c>
      <c r="N75" s="5">
        <v>3582.7733333333331</v>
      </c>
      <c r="O75" s="5">
        <v>3.0778861251343232</v>
      </c>
      <c r="P75" s="6">
        <v>57.796053961159998</v>
      </c>
      <c r="Q75" s="6">
        <v>2933769.0866666674</v>
      </c>
      <c r="R75" s="6">
        <v>1.0364346486508371</v>
      </c>
      <c r="S75" s="5">
        <v>56.741495644252097</v>
      </c>
      <c r="T75" s="5">
        <v>70062.693333333344</v>
      </c>
      <c r="U75" s="5">
        <v>0.4427457557751609</v>
      </c>
      <c r="V75" s="6" t="s">
        <v>405</v>
      </c>
      <c r="W75" s="6">
        <v>1469.0233333333335</v>
      </c>
      <c r="X75" s="6">
        <v>6.2742156616995866</v>
      </c>
      <c r="Y75" s="5">
        <v>2.8028558825440402</v>
      </c>
      <c r="Z75" s="5">
        <v>194890.30666666667</v>
      </c>
      <c r="AA75" s="5">
        <v>1.4755511578808662</v>
      </c>
      <c r="AB75" s="6">
        <v>6.8436783688565903</v>
      </c>
      <c r="AC75" s="6">
        <v>140294.82999999999</v>
      </c>
      <c r="AD75" s="6">
        <v>1.0578559487224939</v>
      </c>
      <c r="AE75" s="5">
        <v>7.3416449270645296</v>
      </c>
      <c r="AF75" s="5">
        <v>89267.30333333333</v>
      </c>
      <c r="AG75" s="5">
        <v>1.5878387095585411</v>
      </c>
      <c r="AH75" s="6">
        <v>236481.91</v>
      </c>
      <c r="AI75" s="6">
        <v>1.1880783004162383</v>
      </c>
      <c r="AJ75" s="5">
        <v>144094.61666666667</v>
      </c>
      <c r="AK75" s="5">
        <v>0.63702930744521313</v>
      </c>
      <c r="AL75" s="6">
        <v>3270585.68</v>
      </c>
      <c r="AM75" s="6">
        <v>0.2008810208016418</v>
      </c>
    </row>
    <row r="76" spans="1:39" ht="18.75" customHeight="1">
      <c r="A76" s="13" t="s">
        <v>476</v>
      </c>
      <c r="B76" s="13" t="b">
        <v>0</v>
      </c>
      <c r="C76" s="13" t="s">
        <v>76</v>
      </c>
      <c r="D76" s="13" t="s">
        <v>227</v>
      </c>
      <c r="E76" s="3">
        <v>41436.68953703704</v>
      </c>
      <c r="F76" s="4" t="s">
        <v>454</v>
      </c>
      <c r="G76" s="5" t="s">
        <v>0</v>
      </c>
      <c r="H76" s="5">
        <v>0.75949367088607589</v>
      </c>
      <c r="I76" s="13" t="s">
        <v>261</v>
      </c>
      <c r="J76" s="6">
        <v>63.009324147662198</v>
      </c>
      <c r="K76" s="6">
        <v>8120.0733333333337</v>
      </c>
      <c r="L76" s="6">
        <v>2.6670104572787494</v>
      </c>
      <c r="M76" s="5">
        <v>0.118599461004915</v>
      </c>
      <c r="N76" s="5">
        <v>3000.41</v>
      </c>
      <c r="O76" s="5">
        <v>2.696987339301093</v>
      </c>
      <c r="P76" s="6">
        <v>67.554541743814994</v>
      </c>
      <c r="Q76" s="6">
        <v>2237812.7799999998</v>
      </c>
      <c r="R76" s="6">
        <v>0.9522017612982917</v>
      </c>
      <c r="S76" s="5">
        <v>66.0717004194574</v>
      </c>
      <c r="T76" s="5">
        <v>53197.21</v>
      </c>
      <c r="U76" s="5">
        <v>2.2083330731751789</v>
      </c>
      <c r="V76" s="6" t="s">
        <v>405</v>
      </c>
      <c r="W76" s="6">
        <v>1399.0166666666667</v>
      </c>
      <c r="X76" s="6">
        <v>4.0604914012859918</v>
      </c>
      <c r="Y76" s="5">
        <v>3.3641482155526901</v>
      </c>
      <c r="Z76" s="5">
        <v>152674.35999999999</v>
      </c>
      <c r="AA76" s="5">
        <v>0.63930047320980909</v>
      </c>
      <c r="AB76" s="6">
        <v>10.2990477951667</v>
      </c>
      <c r="AC76" s="6">
        <v>137558.43000000002</v>
      </c>
      <c r="AD76" s="6">
        <v>0.66861381346319793</v>
      </c>
      <c r="AE76" s="5">
        <v>11.159945461205201</v>
      </c>
      <c r="AF76" s="5">
        <v>88351.956666666665</v>
      </c>
      <c r="AG76" s="5">
        <v>1.2812548757154409</v>
      </c>
      <c r="AH76" s="6">
        <v>229180.01333333334</v>
      </c>
      <c r="AI76" s="6">
        <v>8.1946249898945371</v>
      </c>
      <c r="AJ76" s="5">
        <v>137851.09</v>
      </c>
      <c r="AK76" s="5">
        <v>6.6815424713396174</v>
      </c>
      <c r="AL76" s="6">
        <v>3093790.8233333337</v>
      </c>
      <c r="AM76" s="6">
        <v>9.3932875175742652</v>
      </c>
    </row>
    <row r="77" spans="1:39" ht="18.75" customHeight="1">
      <c r="A77" s="13"/>
      <c r="B77" s="13" t="b">
        <v>0</v>
      </c>
      <c r="C77" s="13" t="s">
        <v>77</v>
      </c>
      <c r="D77" s="13" t="s">
        <v>240</v>
      </c>
      <c r="E77" s="3">
        <v>41436.69263888889</v>
      </c>
      <c r="F77" s="4" t="s">
        <v>454</v>
      </c>
      <c r="G77" s="5" t="s">
        <v>0</v>
      </c>
      <c r="H77" s="5">
        <v>0.76212471131639736</v>
      </c>
      <c r="I77" s="13" t="s">
        <v>262</v>
      </c>
      <c r="J77" s="6">
        <v>125.100115399579</v>
      </c>
      <c r="K77" s="6">
        <v>16453.16</v>
      </c>
      <c r="L77" s="6">
        <v>3.2922092899478166</v>
      </c>
      <c r="M77" s="5">
        <v>0.230667831071487</v>
      </c>
      <c r="N77" s="5">
        <v>5571.2000000000007</v>
      </c>
      <c r="O77" s="5">
        <v>3.4091220477897934</v>
      </c>
      <c r="P77" s="6">
        <v>118.644254677417</v>
      </c>
      <c r="Q77" s="6">
        <v>4024640.53</v>
      </c>
      <c r="R77" s="6">
        <v>0.94680111722072524</v>
      </c>
      <c r="S77" s="5">
        <v>117.528929040663</v>
      </c>
      <c r="T77" s="5">
        <v>97005.64</v>
      </c>
      <c r="U77" s="5">
        <v>1.6330746600344115</v>
      </c>
      <c r="V77" s="6" t="s">
        <v>405</v>
      </c>
      <c r="W77" s="6">
        <v>1230.1066666666668</v>
      </c>
      <c r="X77" s="6">
        <v>2.0457943895067885</v>
      </c>
      <c r="Y77" s="5">
        <v>7.4005844056962999</v>
      </c>
      <c r="Z77" s="5">
        <v>343497.97333333333</v>
      </c>
      <c r="AA77" s="5">
        <v>1.6876910599510864</v>
      </c>
      <c r="AB77" s="6">
        <v>9.6336645405610195</v>
      </c>
      <c r="AC77" s="6">
        <v>132303.06666666668</v>
      </c>
      <c r="AD77" s="6">
        <v>1.9183062409380947</v>
      </c>
      <c r="AE77" s="5">
        <v>10.351376444732299</v>
      </c>
      <c r="AF77" s="5">
        <v>84312.743333333332</v>
      </c>
      <c r="AG77" s="5">
        <v>0.8041984124207594</v>
      </c>
      <c r="AH77" s="6">
        <v>231322.49333333332</v>
      </c>
      <c r="AI77" s="6">
        <v>1.141781176718893</v>
      </c>
      <c r="AJ77" s="5">
        <v>141734.02000000002</v>
      </c>
      <c r="AK77" s="5">
        <v>0.85073250023429792</v>
      </c>
      <c r="AL77" s="6">
        <v>3223765.3666666672</v>
      </c>
      <c r="AM77" s="6">
        <v>0.79299974511261273</v>
      </c>
    </row>
    <row r="78" spans="1:39" ht="18.75" customHeight="1">
      <c r="A78" s="13"/>
      <c r="B78" s="13" t="b">
        <v>0</v>
      </c>
      <c r="C78" s="13" t="s">
        <v>78</v>
      </c>
      <c r="D78" s="13" t="s">
        <v>253</v>
      </c>
      <c r="E78" s="3">
        <v>41436.695740740739</v>
      </c>
      <c r="F78" s="4" t="s">
        <v>454</v>
      </c>
      <c r="G78" s="5" t="s">
        <v>0</v>
      </c>
      <c r="H78" s="5">
        <v>0.56027164685908326</v>
      </c>
      <c r="I78" s="13" t="s">
        <v>263</v>
      </c>
      <c r="J78" s="6">
        <v>82.381961738326495</v>
      </c>
      <c r="K78" s="6">
        <v>14797.1</v>
      </c>
      <c r="L78" s="6">
        <v>2.3626940429069263</v>
      </c>
      <c r="M78" s="5">
        <v>0.13928911249731499</v>
      </c>
      <c r="N78" s="5">
        <v>4674.22</v>
      </c>
      <c r="O78" s="5">
        <v>4.1136625124321853</v>
      </c>
      <c r="P78" s="6">
        <v>164.25188123740901</v>
      </c>
      <c r="Q78" s="6">
        <v>7583264.3999999994</v>
      </c>
      <c r="R78" s="6">
        <v>1.0404291109259474</v>
      </c>
      <c r="S78" s="5">
        <v>162.977515084304</v>
      </c>
      <c r="T78" s="5">
        <v>183157.50666666668</v>
      </c>
      <c r="U78" s="5">
        <v>0.79159550336048023</v>
      </c>
      <c r="V78" s="6" t="s">
        <v>405</v>
      </c>
      <c r="W78" s="6">
        <v>1622.39</v>
      </c>
      <c r="X78" s="6">
        <v>4.4654565194292797</v>
      </c>
      <c r="Y78" s="5">
        <v>7.3260762554421097</v>
      </c>
      <c r="Z78" s="5">
        <v>463508.40333333332</v>
      </c>
      <c r="AA78" s="5">
        <v>0.40391185401768948</v>
      </c>
      <c r="AB78" s="6">
        <v>7.9913758036829599</v>
      </c>
      <c r="AC78" s="6">
        <v>149637.61666666667</v>
      </c>
      <c r="AD78" s="6">
        <v>0.78708855944516554</v>
      </c>
      <c r="AE78" s="5">
        <v>8.6233584728155996</v>
      </c>
      <c r="AF78" s="5">
        <v>95772.96</v>
      </c>
      <c r="AG78" s="5">
        <v>0.8398926904872126</v>
      </c>
      <c r="AH78" s="6">
        <v>236643.85333333336</v>
      </c>
      <c r="AI78" s="6">
        <v>1.6585223231243209</v>
      </c>
      <c r="AJ78" s="5">
        <v>142199.29</v>
      </c>
      <c r="AK78" s="5">
        <v>1.2393983873742254</v>
      </c>
      <c r="AL78" s="6">
        <v>3245034.396666667</v>
      </c>
      <c r="AM78" s="6">
        <v>1.4138340443335633</v>
      </c>
    </row>
    <row r="79" spans="1:39" ht="18.75" customHeight="1">
      <c r="A79" s="13"/>
      <c r="B79" s="13" t="b">
        <v>0</v>
      </c>
      <c r="C79" s="13" t="s">
        <v>79</v>
      </c>
      <c r="D79" s="13" t="s">
        <v>266</v>
      </c>
      <c r="E79" s="3">
        <v>41436.698842592596</v>
      </c>
      <c r="F79" s="4" t="s">
        <v>454</v>
      </c>
      <c r="G79" s="5" t="s">
        <v>0</v>
      </c>
      <c r="H79" s="5">
        <v>0.78853046594982079</v>
      </c>
      <c r="I79" s="13" t="s">
        <v>264</v>
      </c>
      <c r="J79" s="6">
        <v>22.382823909875899</v>
      </c>
      <c r="K79" s="6">
        <v>2980.4133333333334</v>
      </c>
      <c r="L79" s="6">
        <v>6.9354149689110827</v>
      </c>
      <c r="M79" s="5">
        <v>4.02054033519504E-2</v>
      </c>
      <c r="N79" s="5">
        <v>1323.45</v>
      </c>
      <c r="O79" s="5">
        <v>3.9349005199002085</v>
      </c>
      <c r="P79" s="6">
        <v>27.648684899004898</v>
      </c>
      <c r="Q79" s="6">
        <v>929764.06</v>
      </c>
      <c r="R79" s="6">
        <v>0.94957689165352821</v>
      </c>
      <c r="S79" s="5">
        <v>28.174510399484099</v>
      </c>
      <c r="T79" s="5">
        <v>22978.91</v>
      </c>
      <c r="U79" s="5">
        <v>0.71813748890867535</v>
      </c>
      <c r="V79" s="6" t="s">
        <v>405</v>
      </c>
      <c r="W79" s="6">
        <v>1163.4266666666667</v>
      </c>
      <c r="X79" s="6">
        <v>4.9718850768752363</v>
      </c>
      <c r="Y79" s="5">
        <v>1.6521901731247099</v>
      </c>
      <c r="Z79" s="5">
        <v>75743.203333333324</v>
      </c>
      <c r="AA79" s="5">
        <v>0.70175144003944123</v>
      </c>
      <c r="AB79" s="6">
        <v>2.3725013389298399</v>
      </c>
      <c r="AC79" s="6">
        <v>32364.843333333334</v>
      </c>
      <c r="AD79" s="6">
        <v>1.5678771364363158</v>
      </c>
      <c r="AE79" s="5">
        <v>2.5233106489930099</v>
      </c>
      <c r="AF79" s="5">
        <v>20403.376666666667</v>
      </c>
      <c r="AG79" s="5">
        <v>0.95858038049983096</v>
      </c>
      <c r="AH79" s="6">
        <v>236056.41</v>
      </c>
      <c r="AI79" s="6">
        <v>1.8594644926267501</v>
      </c>
      <c r="AJ79" s="5">
        <v>142715.98333333331</v>
      </c>
      <c r="AK79" s="5">
        <v>0.47587446952689966</v>
      </c>
      <c r="AL79" s="6">
        <v>3248250.0233333334</v>
      </c>
      <c r="AM79" s="6">
        <v>0.51074395542343232</v>
      </c>
    </row>
    <row r="80" spans="1:39" ht="18.75" customHeight="1">
      <c r="A80" s="13"/>
      <c r="B80" s="13" t="b">
        <v>0</v>
      </c>
      <c r="C80" s="13" t="s">
        <v>80</v>
      </c>
      <c r="D80" s="13" t="s">
        <v>279</v>
      </c>
      <c r="E80" s="3">
        <v>41436.701967592591</v>
      </c>
      <c r="F80" s="4" t="s">
        <v>454</v>
      </c>
      <c r="G80" s="5" t="s">
        <v>0</v>
      </c>
      <c r="H80" s="5">
        <v>0.78853046594982079</v>
      </c>
      <c r="I80" s="13" t="s">
        <v>265</v>
      </c>
      <c r="J80" s="6">
        <v>158.95472976825599</v>
      </c>
      <c r="K80" s="6">
        <v>20095.123333333333</v>
      </c>
      <c r="L80" s="6">
        <v>1.2852376055210497</v>
      </c>
      <c r="M80" s="5">
        <v>0.170595665581565</v>
      </c>
      <c r="N80" s="5">
        <v>4096.2666666666664</v>
      </c>
      <c r="O80" s="5">
        <v>2.5510089731640906</v>
      </c>
      <c r="P80" s="6">
        <v>70.242218509197201</v>
      </c>
      <c r="Q80" s="6">
        <v>2303332.36</v>
      </c>
      <c r="R80" s="6">
        <v>0.48530472046684808</v>
      </c>
      <c r="S80" s="5">
        <v>68.991096395041396</v>
      </c>
      <c r="T80" s="5">
        <v>55015.466666666667</v>
      </c>
      <c r="U80" s="5">
        <v>1.2999411952199664</v>
      </c>
      <c r="V80" s="6" t="s">
        <v>405</v>
      </c>
      <c r="W80" s="6">
        <v>1813.5233333333333</v>
      </c>
      <c r="X80" s="6">
        <v>9.8720896378985881</v>
      </c>
      <c r="Y80" s="5">
        <v>4.6865145342243899</v>
      </c>
      <c r="Z80" s="5">
        <v>209965.92</v>
      </c>
      <c r="AA80" s="5">
        <v>1.2157300544457956</v>
      </c>
      <c r="AB80" s="6">
        <v>10.4479439052109</v>
      </c>
      <c r="AC80" s="6">
        <v>138097.85666666666</v>
      </c>
      <c r="AD80" s="6">
        <v>0.4247567860510128</v>
      </c>
      <c r="AE80" s="5">
        <v>11.304322434656701</v>
      </c>
      <c r="AF80" s="5">
        <v>88619.493333333347</v>
      </c>
      <c r="AG80" s="5">
        <v>1.1249686640023282</v>
      </c>
      <c r="AH80" s="6">
        <v>232958.30333333334</v>
      </c>
      <c r="AI80" s="6">
        <v>1.3839260123726529</v>
      </c>
      <c r="AJ80" s="5">
        <v>141188.85666666666</v>
      </c>
      <c r="AK80" s="5">
        <v>0.33006066243225368</v>
      </c>
      <c r="AL80" s="6">
        <v>3240257.5566666666</v>
      </c>
      <c r="AM80" s="6">
        <v>0.110135902443632</v>
      </c>
    </row>
    <row r="81" spans="1:39" ht="18.75" customHeight="1">
      <c r="A81" s="13"/>
      <c r="B81" s="13" t="b">
        <v>0</v>
      </c>
      <c r="C81" s="13" t="s">
        <v>81</v>
      </c>
      <c r="D81" s="13" t="s">
        <v>1</v>
      </c>
      <c r="E81" s="3">
        <v>41436.705046296294</v>
      </c>
      <c r="F81" s="4" t="s">
        <v>424</v>
      </c>
      <c r="G81" s="5" t="s">
        <v>0</v>
      </c>
      <c r="H81" s="5">
        <v>1</v>
      </c>
      <c r="I81" s="13" t="s">
        <v>193</v>
      </c>
      <c r="J81" s="6" t="s">
        <v>416</v>
      </c>
      <c r="K81" s="6">
        <v>130.00666666666666</v>
      </c>
      <c r="L81" s="6">
        <v>15.596238170952454</v>
      </c>
      <c r="M81" s="5" t="s">
        <v>405</v>
      </c>
      <c r="N81" s="5">
        <v>643.37666666666667</v>
      </c>
      <c r="O81" s="5">
        <v>8.8396242054243928</v>
      </c>
      <c r="P81" s="6" t="s">
        <v>414</v>
      </c>
      <c r="Q81" s="6">
        <v>21979.793333333335</v>
      </c>
      <c r="R81" s="6">
        <v>1.6360333436862051</v>
      </c>
      <c r="S81" s="5" t="s">
        <v>415</v>
      </c>
      <c r="T81" s="5">
        <v>566.70333333333326</v>
      </c>
      <c r="U81" s="5">
        <v>9.4663762084683096</v>
      </c>
      <c r="V81" s="6" t="s">
        <v>405</v>
      </c>
      <c r="W81" s="6">
        <v>1435.6866666666667</v>
      </c>
      <c r="X81" s="6">
        <v>2.5577076469195807</v>
      </c>
      <c r="Y81" s="5" t="s">
        <v>407</v>
      </c>
      <c r="Z81" s="5">
        <v>1636.8333333333333</v>
      </c>
      <c r="AA81" s="5">
        <v>6.8046287753004533</v>
      </c>
      <c r="AB81" s="6" t="s">
        <v>413</v>
      </c>
      <c r="AC81" s="6">
        <v>1088.9766666666667</v>
      </c>
      <c r="AD81" s="6">
        <v>6.3504973712332626</v>
      </c>
      <c r="AE81" s="5" t="s">
        <v>412</v>
      </c>
      <c r="AF81" s="5">
        <v>626.71</v>
      </c>
      <c r="AG81" s="5">
        <v>15.752196964508409</v>
      </c>
      <c r="AH81" s="6">
        <v>222270.69666666668</v>
      </c>
      <c r="AI81" s="6">
        <v>0.29703661016003569</v>
      </c>
      <c r="AJ81" s="5">
        <v>143550.67333333334</v>
      </c>
      <c r="AK81" s="5">
        <v>0.87373711596924375</v>
      </c>
      <c r="AL81" s="6">
        <v>3242632.97</v>
      </c>
      <c r="AM81" s="6">
        <v>1.0246893451513313</v>
      </c>
    </row>
    <row r="82" spans="1:39" ht="18.75" customHeight="1">
      <c r="A82" s="13"/>
      <c r="B82" s="13" t="b">
        <v>0</v>
      </c>
      <c r="C82" s="13" t="s">
        <v>82</v>
      </c>
      <c r="D82" s="13" t="s">
        <v>483</v>
      </c>
      <c r="E82" s="3">
        <v>41436.708136574074</v>
      </c>
      <c r="F82" s="4" t="s">
        <v>452</v>
      </c>
      <c r="G82" s="5" t="s">
        <v>0</v>
      </c>
      <c r="H82" s="5">
        <v>1</v>
      </c>
      <c r="I82" s="13" t="s">
        <v>204</v>
      </c>
      <c r="J82" s="6">
        <v>11.8866601933167</v>
      </c>
      <c r="K82" s="6">
        <v>1335.68</v>
      </c>
      <c r="L82" s="6">
        <v>8.127641877386333</v>
      </c>
      <c r="M82" s="5">
        <v>9.5751614571744401</v>
      </c>
      <c r="N82" s="5">
        <v>164426.43000000002</v>
      </c>
      <c r="O82" s="5">
        <v>0.48135466857380765</v>
      </c>
      <c r="P82" s="6">
        <v>9.6817740451476304</v>
      </c>
      <c r="Q82" s="6">
        <v>274017.9366666667</v>
      </c>
      <c r="R82" s="6">
        <v>0.48092291373705037</v>
      </c>
      <c r="S82" s="5">
        <v>10.0483116625664</v>
      </c>
      <c r="T82" s="5">
        <v>6821.72</v>
      </c>
      <c r="U82" s="5">
        <v>2.9039604155608356</v>
      </c>
      <c r="V82" s="6">
        <v>9.7348198589239399</v>
      </c>
      <c r="W82" s="6">
        <v>473262.72333333333</v>
      </c>
      <c r="X82" s="6">
        <v>0.71612687808045838</v>
      </c>
      <c r="Y82" s="5">
        <v>9.9236721832884793</v>
      </c>
      <c r="Z82" s="5">
        <v>355278.13999999996</v>
      </c>
      <c r="AA82" s="5">
        <v>0.4354928711880342</v>
      </c>
      <c r="AB82" s="6">
        <v>9.6478282962541293</v>
      </c>
      <c r="AC82" s="6">
        <v>102414.33</v>
      </c>
      <c r="AD82" s="6">
        <v>0.77895508005672598</v>
      </c>
      <c r="AE82" s="5">
        <v>9.7666707055809407</v>
      </c>
      <c r="AF82" s="5">
        <v>61515.623333333329</v>
      </c>
      <c r="AG82" s="5">
        <v>0.49937427477743923</v>
      </c>
      <c r="AH82" s="6">
        <v>211565.7</v>
      </c>
      <c r="AI82" s="6">
        <v>4.0078582559689924</v>
      </c>
      <c r="AJ82" s="5">
        <v>143471.61666666667</v>
      </c>
      <c r="AK82" s="5">
        <v>1.1987503886689101</v>
      </c>
      <c r="AL82" s="6">
        <v>3147655.0566666666</v>
      </c>
      <c r="AM82" s="6">
        <v>2.4939442072874454</v>
      </c>
    </row>
    <row r="83" spans="1:39" ht="18.75" customHeight="1">
      <c r="A83" s="13"/>
      <c r="B83" s="13" t="b">
        <v>0</v>
      </c>
      <c r="C83" s="13" t="s">
        <v>83</v>
      </c>
      <c r="D83" s="13" t="s">
        <v>1</v>
      </c>
      <c r="E83" s="3">
        <v>41436.711215277777</v>
      </c>
      <c r="F83" s="4" t="s">
        <v>424</v>
      </c>
      <c r="G83" s="5" t="s">
        <v>0</v>
      </c>
      <c r="H83" s="5">
        <v>1</v>
      </c>
      <c r="I83" s="13" t="s">
        <v>194</v>
      </c>
      <c r="J83" s="6" t="s">
        <v>416</v>
      </c>
      <c r="K83" s="6">
        <v>137.78333333333333</v>
      </c>
      <c r="L83" s="6">
        <v>9.1583083209923544</v>
      </c>
      <c r="M83" s="5" t="s">
        <v>405</v>
      </c>
      <c r="N83" s="5">
        <v>515.5866666666667</v>
      </c>
      <c r="O83" s="5">
        <v>3.8970651446747495</v>
      </c>
      <c r="P83" s="6" t="s">
        <v>414</v>
      </c>
      <c r="Q83" s="6">
        <v>22136.67</v>
      </c>
      <c r="R83" s="6">
        <v>0.80803920357675452</v>
      </c>
      <c r="S83" s="5" t="s">
        <v>415</v>
      </c>
      <c r="T83" s="5">
        <v>582.26333333333332</v>
      </c>
      <c r="U83" s="5">
        <v>9.6888808600558143</v>
      </c>
      <c r="V83" s="6" t="s">
        <v>405</v>
      </c>
      <c r="W83" s="6">
        <v>1118.9866666666667</v>
      </c>
      <c r="X83" s="6">
        <v>2.7684358928495705</v>
      </c>
      <c r="Y83" s="5" t="s">
        <v>407</v>
      </c>
      <c r="Z83" s="5">
        <v>1457.92</v>
      </c>
      <c r="AA83" s="5">
        <v>6.6164760476549453</v>
      </c>
      <c r="AB83" s="6" t="s">
        <v>413</v>
      </c>
      <c r="AC83" s="6">
        <v>878.95666666666659</v>
      </c>
      <c r="AD83" s="6">
        <v>11.111799183251582</v>
      </c>
      <c r="AE83" s="5" t="s">
        <v>412</v>
      </c>
      <c r="AF83" s="5">
        <v>505.59</v>
      </c>
      <c r="AG83" s="5">
        <v>8.245037522177217</v>
      </c>
      <c r="AH83" s="6">
        <v>226664.51</v>
      </c>
      <c r="AI83" s="6">
        <v>2.1666601033399848</v>
      </c>
      <c r="AJ83" s="5">
        <v>145631.12333333332</v>
      </c>
      <c r="AK83" s="5">
        <v>0.1765409580711087</v>
      </c>
      <c r="AL83" s="6">
        <v>3320886.8933333331</v>
      </c>
      <c r="AM83" s="6">
        <v>1.6425855437502377</v>
      </c>
    </row>
    <row r="84" spans="1:39" ht="18.75" customHeight="1">
      <c r="A84" s="13"/>
      <c r="B84" s="13" t="b">
        <v>0</v>
      </c>
      <c r="C84" s="13" t="s">
        <v>84</v>
      </c>
      <c r="D84" s="13" t="s">
        <v>280</v>
      </c>
      <c r="E84" s="3">
        <v>41436.714317129627</v>
      </c>
      <c r="F84" s="4" t="s">
        <v>454</v>
      </c>
      <c r="G84" s="5" t="s">
        <v>0</v>
      </c>
      <c r="H84" s="5">
        <v>1</v>
      </c>
      <c r="I84" s="13" t="s">
        <v>267</v>
      </c>
      <c r="J84" s="6">
        <v>123.007693825698</v>
      </c>
      <c r="K84" s="6">
        <v>12417.340000000002</v>
      </c>
      <c r="L84" s="6">
        <v>0.76401417023456608</v>
      </c>
      <c r="M84" s="5">
        <v>0.303634495305525</v>
      </c>
      <c r="N84" s="5">
        <v>5613.4366666666674</v>
      </c>
      <c r="O84" s="5">
        <v>3.6833138381012613</v>
      </c>
      <c r="P84" s="6">
        <v>195.27306113187001</v>
      </c>
      <c r="Q84" s="6">
        <v>5064674.96</v>
      </c>
      <c r="R84" s="6">
        <v>1.358059020877759</v>
      </c>
      <c r="S84" s="5">
        <v>194.164236118498</v>
      </c>
      <c r="T84" s="5">
        <v>122543.15666666666</v>
      </c>
      <c r="U84" s="5">
        <v>1.0804904768481161</v>
      </c>
      <c r="V84" s="6">
        <v>5.2683845420870401E-2</v>
      </c>
      <c r="W84" s="6">
        <v>3478.3</v>
      </c>
      <c r="X84" s="6">
        <v>5.3134089389317252</v>
      </c>
      <c r="Y84" s="5">
        <v>11.503739158750999</v>
      </c>
      <c r="Z84" s="5">
        <v>408427.96666666662</v>
      </c>
      <c r="AA84" s="5">
        <v>0.74663732716038678</v>
      </c>
      <c r="AB84" s="6">
        <v>12.593813881161999</v>
      </c>
      <c r="AC84" s="6">
        <v>132388.16666666666</v>
      </c>
      <c r="AD84" s="6">
        <v>2.2120184985740532</v>
      </c>
      <c r="AE84" s="5">
        <v>13.3247702550002</v>
      </c>
      <c r="AF84" s="5">
        <v>83086.97</v>
      </c>
      <c r="AG84" s="5">
        <v>2.019431626156857</v>
      </c>
      <c r="AH84" s="6">
        <v>229250.01</v>
      </c>
      <c r="AI84" s="6">
        <v>1.1214678391964996</v>
      </c>
      <c r="AJ84" s="5">
        <v>142352.47</v>
      </c>
      <c r="AK84" s="5">
        <v>0.70270629973845622</v>
      </c>
      <c r="AL84" s="6">
        <v>3270272.6566666667</v>
      </c>
      <c r="AM84" s="6">
        <v>0.55923941405601185</v>
      </c>
    </row>
    <row r="85" spans="1:39" ht="18.75" customHeight="1">
      <c r="A85" s="13" t="s">
        <v>465</v>
      </c>
      <c r="B85" s="13" t="b">
        <v>0</v>
      </c>
      <c r="C85" s="13" t="s">
        <v>85</v>
      </c>
      <c r="D85" s="13" t="s">
        <v>281</v>
      </c>
      <c r="E85" s="3">
        <v>41436.717430555553</v>
      </c>
      <c r="F85" s="4" t="s">
        <v>454</v>
      </c>
      <c r="G85" s="5" t="s">
        <v>0</v>
      </c>
      <c r="H85" s="5">
        <v>0.8741721854304636</v>
      </c>
      <c r="I85" s="13" t="s">
        <v>268</v>
      </c>
      <c r="J85" s="6">
        <v>130.822784741031</v>
      </c>
      <c r="K85" s="6">
        <v>13631.733333333335</v>
      </c>
      <c r="L85" s="6">
        <v>3.4743073141051064</v>
      </c>
      <c r="M85" s="5">
        <v>0.27482860509801998</v>
      </c>
      <c r="N85" s="5">
        <v>5355.55</v>
      </c>
      <c r="O85" s="5">
        <v>0.99291753156967033</v>
      </c>
      <c r="P85" s="6">
        <v>97.935695873902006</v>
      </c>
      <c r="Q85" s="6">
        <v>2644461.73</v>
      </c>
      <c r="R85" s="6">
        <v>2.8837292070928959</v>
      </c>
      <c r="S85" s="5">
        <v>95.584083026102107</v>
      </c>
      <c r="T85" s="5">
        <v>62855.253333333334</v>
      </c>
      <c r="U85" s="5">
        <v>2.8202602701953303</v>
      </c>
      <c r="V85" s="6">
        <v>4.6920754801213903E-2</v>
      </c>
      <c r="W85" s="6">
        <v>3276.0399999999995</v>
      </c>
      <c r="X85" s="6">
        <v>1.2640864499810127</v>
      </c>
      <c r="Y85" s="5">
        <v>7.9157847268481003</v>
      </c>
      <c r="Z85" s="5">
        <v>293140.95666666661</v>
      </c>
      <c r="AA85" s="5">
        <v>2.2341457595265157</v>
      </c>
      <c r="AB85" s="6">
        <v>10.617105108245299</v>
      </c>
      <c r="AC85" s="6">
        <v>116056.13333333335</v>
      </c>
      <c r="AD85" s="6">
        <v>2.577653897356762</v>
      </c>
      <c r="AE85" s="5">
        <v>11.269166776728101</v>
      </c>
      <c r="AF85" s="5">
        <v>73257.37</v>
      </c>
      <c r="AG85" s="5">
        <v>2.1269655136727295</v>
      </c>
      <c r="AH85" s="6">
        <v>201851.02</v>
      </c>
      <c r="AI85" s="6">
        <v>5.4863502094780321</v>
      </c>
      <c r="AJ85" s="5">
        <v>131821.45500000002</v>
      </c>
      <c r="AK85" s="5">
        <v>8.9121559856416308</v>
      </c>
      <c r="AL85" s="6">
        <v>2913751.68</v>
      </c>
      <c r="AM85" s="6">
        <v>9.7610077693249853</v>
      </c>
    </row>
    <row r="86" spans="1:39" ht="18.75" customHeight="1">
      <c r="A86" s="13"/>
      <c r="B86" s="13" t="b">
        <v>0</v>
      </c>
      <c r="C86" s="13" t="s">
        <v>86</v>
      </c>
      <c r="D86" s="13" t="s">
        <v>282</v>
      </c>
      <c r="E86" s="3">
        <v>41436.720532407409</v>
      </c>
      <c r="F86" s="4" t="s">
        <v>454</v>
      </c>
      <c r="G86" s="5" t="s">
        <v>0</v>
      </c>
      <c r="H86" s="5">
        <v>1.0138248847926268</v>
      </c>
      <c r="I86" s="13" t="s">
        <v>269</v>
      </c>
      <c r="J86" s="6">
        <v>90.376135866051797</v>
      </c>
      <c r="K86" s="6">
        <v>9077.3333333333339</v>
      </c>
      <c r="L86" s="6">
        <v>3.9994523204765797</v>
      </c>
      <c r="M86" s="5">
        <v>0.15052224308112</v>
      </c>
      <c r="N86" s="5">
        <v>2991.5233333333331</v>
      </c>
      <c r="O86" s="5">
        <v>4.4604615096221956</v>
      </c>
      <c r="P86" s="6">
        <v>47.480563489220202</v>
      </c>
      <c r="Q86" s="6">
        <v>1237101.8066666666</v>
      </c>
      <c r="R86" s="6">
        <v>2.6637677629313501</v>
      </c>
      <c r="S86" s="5">
        <v>48.287206552529</v>
      </c>
      <c r="T86" s="5">
        <v>30545.703333333335</v>
      </c>
      <c r="U86" s="5">
        <v>1.6565659538280579</v>
      </c>
      <c r="V86" s="6" t="s">
        <v>405</v>
      </c>
      <c r="W86" s="6">
        <v>1237.8799999999999</v>
      </c>
      <c r="X86" s="6">
        <v>1.272651206622724</v>
      </c>
      <c r="Y86" s="5">
        <v>3.9174827104924801</v>
      </c>
      <c r="Z86" s="5">
        <v>138782.31333333332</v>
      </c>
      <c r="AA86" s="5">
        <v>1.0373703901510032</v>
      </c>
      <c r="AB86" s="6">
        <v>7.0778387634859596</v>
      </c>
      <c r="AC86" s="6">
        <v>74118.58</v>
      </c>
      <c r="AD86" s="6">
        <v>0.23794454989801969</v>
      </c>
      <c r="AE86" s="5">
        <v>7.6388688294739699</v>
      </c>
      <c r="AF86" s="5">
        <v>47434.82</v>
      </c>
      <c r="AG86" s="5">
        <v>0.7114187995029897</v>
      </c>
      <c r="AH86" s="6">
        <v>234011.24666666667</v>
      </c>
      <c r="AI86" s="6">
        <v>1.3338883830831814</v>
      </c>
      <c r="AJ86" s="5">
        <v>143036.94333333333</v>
      </c>
      <c r="AK86" s="5">
        <v>1.0746733323559483</v>
      </c>
      <c r="AL86" s="6">
        <v>3272465.9233333333</v>
      </c>
      <c r="AM86" s="6">
        <v>0.4364753640813549</v>
      </c>
    </row>
    <row r="87" spans="1:39" ht="18.75" customHeight="1">
      <c r="A87" s="13"/>
      <c r="B87" s="13" t="b">
        <v>0</v>
      </c>
      <c r="C87" s="13" t="s">
        <v>87</v>
      </c>
      <c r="D87" s="13" t="s">
        <v>284</v>
      </c>
      <c r="E87" s="3">
        <v>41436.723634259259</v>
      </c>
      <c r="F87" s="4" t="s">
        <v>454</v>
      </c>
      <c r="G87" s="5" t="s">
        <v>0</v>
      </c>
      <c r="H87" s="5">
        <v>0.93749999999999989</v>
      </c>
      <c r="I87" s="13" t="s">
        <v>270</v>
      </c>
      <c r="J87" s="6">
        <v>107.398644366841</v>
      </c>
      <c r="K87" s="6">
        <v>11841.306666666665</v>
      </c>
      <c r="L87" s="6">
        <v>4.3761875413421771</v>
      </c>
      <c r="M87" s="5">
        <v>0.26489590459207402</v>
      </c>
      <c r="N87" s="5">
        <v>5376.6933333333336</v>
      </c>
      <c r="O87" s="5">
        <v>5.8693077181300009</v>
      </c>
      <c r="P87" s="6">
        <v>33.441913693309097</v>
      </c>
      <c r="Q87" s="6">
        <v>965100.21333333338</v>
      </c>
      <c r="R87" s="6">
        <v>0.32675642237730024</v>
      </c>
      <c r="S87" s="5">
        <v>33.705986160798801</v>
      </c>
      <c r="T87" s="5">
        <v>23596.493333333336</v>
      </c>
      <c r="U87" s="5">
        <v>1.4750367750750675</v>
      </c>
      <c r="V87" s="6">
        <v>7.1996189528157298E-2</v>
      </c>
      <c r="W87" s="6">
        <v>4746.4733333333334</v>
      </c>
      <c r="X87" s="6">
        <v>2.0190907757854681</v>
      </c>
      <c r="Y87" s="5">
        <v>7.8179238456720803</v>
      </c>
      <c r="Z87" s="5">
        <v>303390.66333333333</v>
      </c>
      <c r="AA87" s="5">
        <v>0.23866876830075115</v>
      </c>
      <c r="AB87" s="6">
        <v>9.1725422929881404</v>
      </c>
      <c r="AC87" s="6">
        <v>105454.46333333333</v>
      </c>
      <c r="AD87" s="6">
        <v>0.88168963785176435</v>
      </c>
      <c r="AE87" s="5">
        <v>9.8237752964865397</v>
      </c>
      <c r="AF87" s="5">
        <v>66976.393333333326</v>
      </c>
      <c r="AG87" s="5">
        <v>0.2344476031097493</v>
      </c>
      <c r="AH87" s="6">
        <v>236500.22666666665</v>
      </c>
      <c r="AI87" s="6">
        <v>2.0684031726453869</v>
      </c>
      <c r="AJ87" s="5">
        <v>145701.09333333335</v>
      </c>
      <c r="AK87" s="5">
        <v>1.7667110471024916</v>
      </c>
      <c r="AL87" s="6">
        <v>3323185.9233333333</v>
      </c>
      <c r="AM87" s="6">
        <v>2.1101950628388138</v>
      </c>
    </row>
    <row r="88" spans="1:39" ht="18.75" customHeight="1">
      <c r="A88" s="13"/>
      <c r="B88" s="13" t="b">
        <v>0</v>
      </c>
      <c r="C88" s="13" t="s">
        <v>88</v>
      </c>
      <c r="D88" s="13" t="s">
        <v>285</v>
      </c>
      <c r="E88" s="3">
        <v>41436.726724537039</v>
      </c>
      <c r="F88" s="4" t="s">
        <v>454</v>
      </c>
      <c r="G88" s="5" t="s">
        <v>0</v>
      </c>
      <c r="H88" s="5">
        <v>0.79422382671480141</v>
      </c>
      <c r="I88" s="13" t="s">
        <v>271</v>
      </c>
      <c r="J88" s="6">
        <v>98.478134512901605</v>
      </c>
      <c r="K88" s="6">
        <v>12621.953333333333</v>
      </c>
      <c r="L88" s="6">
        <v>1.2294586074263707</v>
      </c>
      <c r="M88" s="5">
        <v>0.26083622013556301</v>
      </c>
      <c r="N88" s="5">
        <v>6084.7733333333335</v>
      </c>
      <c r="O88" s="5">
        <v>3.0454427813988696</v>
      </c>
      <c r="P88" s="6">
        <v>207.99161908746899</v>
      </c>
      <c r="Q88" s="6">
        <v>6842019.2033333341</v>
      </c>
      <c r="R88" s="6">
        <v>1.604841390103745</v>
      </c>
      <c r="S88" s="5">
        <v>206.07330133814801</v>
      </c>
      <c r="T88" s="5">
        <v>164987.11666666667</v>
      </c>
      <c r="U88" s="5">
        <v>1.7379121689013746</v>
      </c>
      <c r="V88" s="6">
        <v>5.9990907063038702E-2</v>
      </c>
      <c r="W88" s="6">
        <v>4616.4033333333327</v>
      </c>
      <c r="X88" s="6">
        <v>4.1089474557144205</v>
      </c>
      <c r="Y88" s="5">
        <v>5.2999961466364196</v>
      </c>
      <c r="Z88" s="5">
        <v>239526.55666666667</v>
      </c>
      <c r="AA88" s="5">
        <v>1.0406067411665911</v>
      </c>
      <c r="AB88" s="6">
        <v>11.945545002823</v>
      </c>
      <c r="AC88" s="6">
        <v>159269.12333333332</v>
      </c>
      <c r="AD88" s="6">
        <v>1.2159577652020741</v>
      </c>
      <c r="AE88" s="5">
        <v>12.873039956071199</v>
      </c>
      <c r="AF88" s="5">
        <v>101801.31</v>
      </c>
      <c r="AG88" s="5">
        <v>1.7131350414793276</v>
      </c>
      <c r="AH88" s="6">
        <v>239324.98666666666</v>
      </c>
      <c r="AI88" s="6">
        <v>1.2040302884848431</v>
      </c>
      <c r="AJ88" s="5">
        <v>143557.45666666667</v>
      </c>
      <c r="AK88" s="5">
        <v>0.43250974968329003</v>
      </c>
      <c r="AL88" s="6">
        <v>3288861.03</v>
      </c>
      <c r="AM88" s="6">
        <v>0.96736972845225933</v>
      </c>
    </row>
    <row r="89" spans="1:39" ht="18.75" customHeight="1">
      <c r="A89" s="13"/>
      <c r="B89" s="13" t="b">
        <v>0</v>
      </c>
      <c r="C89" s="13" t="s">
        <v>89</v>
      </c>
      <c r="D89" s="13" t="s">
        <v>298</v>
      </c>
      <c r="E89" s="3">
        <v>41436.729826388888</v>
      </c>
      <c r="F89" s="4" t="s">
        <v>454</v>
      </c>
      <c r="G89" s="5" t="s">
        <v>0</v>
      </c>
      <c r="H89" s="5">
        <v>0.6179775280898876</v>
      </c>
      <c r="I89" s="13" t="s">
        <v>272</v>
      </c>
      <c r="J89" s="6">
        <v>86.028508618077595</v>
      </c>
      <c r="K89" s="6">
        <v>14142.076666666666</v>
      </c>
      <c r="L89" s="6">
        <v>2.5195057162226489</v>
      </c>
      <c r="M89" s="5">
        <v>0.166380532034096</v>
      </c>
      <c r="N89" s="5">
        <v>5067.6533333333327</v>
      </c>
      <c r="O89" s="5">
        <v>0.68362812103986925</v>
      </c>
      <c r="P89" s="6">
        <v>158.91303469438401</v>
      </c>
      <c r="Q89" s="6">
        <v>6714331.913333334</v>
      </c>
      <c r="R89" s="6">
        <v>0.99102003639794867</v>
      </c>
      <c r="S89" s="5">
        <v>157.66377152995099</v>
      </c>
      <c r="T89" s="5">
        <v>162130.88666666669</v>
      </c>
      <c r="U89" s="5">
        <v>0.73998224891605147</v>
      </c>
      <c r="V89" s="6" t="s">
        <v>405</v>
      </c>
      <c r="W89" s="6">
        <v>1699.0633333333333</v>
      </c>
      <c r="X89" s="6">
        <v>4.3053565797437114</v>
      </c>
      <c r="Y89" s="5">
        <v>4.74281255310758</v>
      </c>
      <c r="Z89" s="5">
        <v>275080.07</v>
      </c>
      <c r="AA89" s="5">
        <v>1.0326419322497511</v>
      </c>
      <c r="AB89" s="6">
        <v>9.5770473196407195</v>
      </c>
      <c r="AC89" s="6">
        <v>163971.68333333332</v>
      </c>
      <c r="AD89" s="6">
        <v>0.69655268976107987</v>
      </c>
      <c r="AE89" s="5">
        <v>10.3745123966644</v>
      </c>
      <c r="AF89" s="5">
        <v>105350.87666666666</v>
      </c>
      <c r="AG89" s="5">
        <v>0.75251006462391301</v>
      </c>
      <c r="AH89" s="6">
        <v>234308.42333333334</v>
      </c>
      <c r="AI89" s="6">
        <v>1.6480897881901486</v>
      </c>
      <c r="AJ89" s="5">
        <v>143457.80333333334</v>
      </c>
      <c r="AK89" s="5">
        <v>0.62866712635888689</v>
      </c>
      <c r="AL89" s="6">
        <v>3253592.5199999996</v>
      </c>
      <c r="AM89" s="6">
        <v>0.37274523307378743</v>
      </c>
    </row>
    <row r="90" spans="1:39" ht="18.75" customHeight="1">
      <c r="A90" s="13"/>
      <c r="B90" s="13" t="b">
        <v>0</v>
      </c>
      <c r="C90" s="13" t="s">
        <v>90</v>
      </c>
      <c r="D90" s="13" t="s">
        <v>311</v>
      </c>
      <c r="E90" s="3">
        <v>41436.732939814814</v>
      </c>
      <c r="F90" s="4" t="s">
        <v>454</v>
      </c>
      <c r="G90" s="5" t="s">
        <v>0</v>
      </c>
      <c r="H90" s="5">
        <v>0.61281337047353757</v>
      </c>
      <c r="I90" s="13" t="s">
        <v>273</v>
      </c>
      <c r="J90" s="6">
        <v>75.524104461586106</v>
      </c>
      <c r="K90" s="6">
        <v>12499.659999999998</v>
      </c>
      <c r="L90" s="6">
        <v>1.6911944746349958</v>
      </c>
      <c r="M90" s="5">
        <v>0.133870251639989</v>
      </c>
      <c r="N90" s="5">
        <v>4185.1866666666674</v>
      </c>
      <c r="O90" s="5">
        <v>9.5500688854213482</v>
      </c>
      <c r="P90" s="6">
        <v>96.372652290097406</v>
      </c>
      <c r="Q90" s="6">
        <v>4102516.9533333331</v>
      </c>
      <c r="R90" s="6">
        <v>1.4040068014641225</v>
      </c>
      <c r="S90" s="5">
        <v>95.949746914620704</v>
      </c>
      <c r="T90" s="5">
        <v>99378.07666666666</v>
      </c>
      <c r="U90" s="5">
        <v>0.37083539596827753</v>
      </c>
      <c r="V90" s="6" t="s">
        <v>405</v>
      </c>
      <c r="W90" s="6">
        <v>2698.1333333333332</v>
      </c>
      <c r="X90" s="6">
        <v>6.0618418751012833</v>
      </c>
      <c r="Y90" s="5">
        <v>3.5289952649225298</v>
      </c>
      <c r="Z90" s="5">
        <v>206138.44333333336</v>
      </c>
      <c r="AA90" s="5">
        <v>1.2510798278345292</v>
      </c>
      <c r="AB90" s="6">
        <v>6.8926330852447002</v>
      </c>
      <c r="AC90" s="6">
        <v>118885.27999999998</v>
      </c>
      <c r="AD90" s="6">
        <v>0.86291249560494754</v>
      </c>
      <c r="AE90" s="5">
        <v>7.36718594047829</v>
      </c>
      <c r="AF90" s="5">
        <v>75367.58666666667</v>
      </c>
      <c r="AG90" s="5">
        <v>0.92666518093613426</v>
      </c>
      <c r="AH90" s="6">
        <v>233800.63333333333</v>
      </c>
      <c r="AI90" s="6">
        <v>0.52073556797388498</v>
      </c>
      <c r="AJ90" s="5">
        <v>143027.29666666666</v>
      </c>
      <c r="AK90" s="5">
        <v>0.2230323808255873</v>
      </c>
      <c r="AL90" s="6">
        <v>3243544.3266666667</v>
      </c>
      <c r="AM90" s="6">
        <v>0.36800798370025178</v>
      </c>
    </row>
    <row r="91" spans="1:39" ht="18.75" customHeight="1">
      <c r="A91" s="13"/>
      <c r="B91" s="13" t="b">
        <v>0</v>
      </c>
      <c r="C91" s="13" t="s">
        <v>91</v>
      </c>
      <c r="D91" s="13" t="s">
        <v>324</v>
      </c>
      <c r="E91" s="3">
        <v>41436.736041666663</v>
      </c>
      <c r="F91" s="4" t="s">
        <v>454</v>
      </c>
      <c r="G91" s="5" t="s">
        <v>0</v>
      </c>
      <c r="H91" s="5">
        <v>0.78665077473182365</v>
      </c>
      <c r="I91" s="13" t="s">
        <v>274</v>
      </c>
      <c r="J91" s="6">
        <v>105.379854714245</v>
      </c>
      <c r="K91" s="6">
        <v>13571.65</v>
      </c>
      <c r="L91" s="6">
        <v>2.7172971091613269</v>
      </c>
      <c r="M91" s="5">
        <v>0.16663428154667201</v>
      </c>
      <c r="N91" s="5">
        <v>4072.9066666666672</v>
      </c>
      <c r="O91" s="5">
        <v>2.5290796294444022</v>
      </c>
      <c r="P91" s="6">
        <v>50.3803479029797</v>
      </c>
      <c r="Q91" s="6">
        <v>1683608.36</v>
      </c>
      <c r="R91" s="6">
        <v>0.98957603925035986</v>
      </c>
      <c r="S91" s="5">
        <v>49.498819316188303</v>
      </c>
      <c r="T91" s="5">
        <v>40207.396666666667</v>
      </c>
      <c r="U91" s="5">
        <v>2.4495314170355624</v>
      </c>
      <c r="V91" s="6">
        <v>1.9655596269695601</v>
      </c>
      <c r="W91" s="6">
        <v>121804.31333333334</v>
      </c>
      <c r="X91" s="6">
        <v>0.87709366653277576</v>
      </c>
      <c r="Y91" s="5">
        <v>4.2293187112706203</v>
      </c>
      <c r="Z91" s="5">
        <v>192557.21</v>
      </c>
      <c r="AA91" s="5">
        <v>1.181765271830586</v>
      </c>
      <c r="AB91" s="6">
        <v>9.8634471108974893</v>
      </c>
      <c r="AC91" s="6">
        <v>132432.06999999998</v>
      </c>
      <c r="AD91" s="6">
        <v>1.0738271944987907</v>
      </c>
      <c r="AE91" s="5">
        <v>10.4144449493623</v>
      </c>
      <c r="AF91" s="5">
        <v>82943.72</v>
      </c>
      <c r="AG91" s="5">
        <v>0.63908262914095182</v>
      </c>
      <c r="AH91" s="6">
        <v>225163.95</v>
      </c>
      <c r="AI91" s="6">
        <v>1.173838972747449</v>
      </c>
      <c r="AJ91" s="5">
        <v>143032.67000000001</v>
      </c>
      <c r="AK91" s="5">
        <v>1.0863775623411627</v>
      </c>
      <c r="AL91" s="6">
        <v>3222367.2766666668</v>
      </c>
      <c r="AM91" s="6">
        <v>0.36889335160791603</v>
      </c>
    </row>
    <row r="92" spans="1:39" ht="18.75" customHeight="1">
      <c r="A92" s="13"/>
      <c r="B92" s="13" t="b">
        <v>0</v>
      </c>
      <c r="C92" s="13" t="s">
        <v>92</v>
      </c>
      <c r="D92" s="13" t="s">
        <v>338</v>
      </c>
      <c r="E92" s="3">
        <v>41436.739166666666</v>
      </c>
      <c r="F92" s="4" t="s">
        <v>454</v>
      </c>
      <c r="G92" s="5" t="s">
        <v>0</v>
      </c>
      <c r="H92" s="5">
        <v>0.68464730290456421</v>
      </c>
      <c r="I92" s="13" t="s">
        <v>275</v>
      </c>
      <c r="J92" s="6">
        <v>77.717649765099694</v>
      </c>
      <c r="K92" s="6">
        <v>11555.6</v>
      </c>
      <c r="L92" s="6">
        <v>1.1327818602352271</v>
      </c>
      <c r="M92" s="5">
        <v>0.191595110555971</v>
      </c>
      <c r="N92" s="5">
        <v>5247.7533333333331</v>
      </c>
      <c r="O92" s="5">
        <v>4.6400384443662075</v>
      </c>
      <c r="P92" s="6">
        <v>128.89199850295299</v>
      </c>
      <c r="Q92" s="6">
        <v>4920188.8533333335</v>
      </c>
      <c r="R92" s="6">
        <v>1.0329265748432559</v>
      </c>
      <c r="S92" s="5">
        <v>128.81261669813199</v>
      </c>
      <c r="T92" s="5">
        <v>119650.88333333335</v>
      </c>
      <c r="U92" s="5">
        <v>0.64928265057268097</v>
      </c>
      <c r="V92" s="6" t="s">
        <v>405</v>
      </c>
      <c r="W92" s="6">
        <v>2739.2433333333333</v>
      </c>
      <c r="X92" s="6">
        <v>6.417852865050869</v>
      </c>
      <c r="Y92" s="5">
        <v>6.1136616347230301</v>
      </c>
      <c r="Z92" s="5">
        <v>319736.68</v>
      </c>
      <c r="AA92" s="5">
        <v>0.93961747208173452</v>
      </c>
      <c r="AB92" s="6">
        <v>8.3532740304552</v>
      </c>
      <c r="AC92" s="6">
        <v>129240.30333333334</v>
      </c>
      <c r="AD92" s="6">
        <v>0.67086796128427295</v>
      </c>
      <c r="AE92" s="5">
        <v>9.00616890677715</v>
      </c>
      <c r="AF92" s="5">
        <v>82643.273333333331</v>
      </c>
      <c r="AG92" s="5">
        <v>0.66003970706353066</v>
      </c>
      <c r="AH92" s="6">
        <v>231572.48000000001</v>
      </c>
      <c r="AI92" s="6">
        <v>0.86844157700037405</v>
      </c>
      <c r="AJ92" s="5">
        <v>143416.02333333335</v>
      </c>
      <c r="AK92" s="5">
        <v>9.5001167774851486E-2</v>
      </c>
      <c r="AL92" s="6">
        <v>3251292.0333333337</v>
      </c>
      <c r="AM92" s="6">
        <v>0.56426031862617354</v>
      </c>
    </row>
    <row r="93" spans="1:39" ht="18.75" customHeight="1">
      <c r="A93" s="13"/>
      <c r="B93" s="13" t="b">
        <v>0</v>
      </c>
      <c r="C93" s="13" t="s">
        <v>93</v>
      </c>
      <c r="D93" s="13" t="s">
        <v>340</v>
      </c>
      <c r="E93" s="3">
        <v>41436.742268518516</v>
      </c>
      <c r="F93" s="4" t="s">
        <v>454</v>
      </c>
      <c r="G93" s="5" t="s">
        <v>0</v>
      </c>
      <c r="H93" s="5">
        <v>0.71817192600652868</v>
      </c>
      <c r="I93" s="13" t="s">
        <v>276</v>
      </c>
      <c r="J93" s="6">
        <v>90.363677196454901</v>
      </c>
      <c r="K93" s="6">
        <v>12718.703333333333</v>
      </c>
      <c r="L93" s="6">
        <v>2.5900266644469805</v>
      </c>
      <c r="M93" s="5">
        <v>0.20708722009819899</v>
      </c>
      <c r="N93" s="5">
        <v>5362.2233333333343</v>
      </c>
      <c r="O93" s="5">
        <v>3.4117745262974672</v>
      </c>
      <c r="P93" s="6">
        <v>121.798661343974</v>
      </c>
      <c r="Q93" s="6">
        <v>4408701.9833333334</v>
      </c>
      <c r="R93" s="6">
        <v>0.10941197795377193</v>
      </c>
      <c r="S93" s="5">
        <v>120.24400758418901</v>
      </c>
      <c r="T93" s="5">
        <v>105906.77</v>
      </c>
      <c r="U93" s="5">
        <v>0.13859311166508997</v>
      </c>
      <c r="V93" s="6" t="s">
        <v>405</v>
      </c>
      <c r="W93" s="6">
        <v>1949.09</v>
      </c>
      <c r="X93" s="6">
        <v>4.7966934230438527</v>
      </c>
      <c r="Y93" s="5">
        <v>8.5844569153037096</v>
      </c>
      <c r="Z93" s="5">
        <v>425021.37666666665</v>
      </c>
      <c r="AA93" s="5">
        <v>0.6460147459798582</v>
      </c>
      <c r="AB93" s="6">
        <v>12.159803401012899</v>
      </c>
      <c r="AC93" s="6">
        <v>177969.6333333333</v>
      </c>
      <c r="AD93" s="6">
        <v>1.8093925741515648</v>
      </c>
      <c r="AE93" s="5">
        <v>12.9676428982642</v>
      </c>
      <c r="AF93" s="5">
        <v>112583.12333333334</v>
      </c>
      <c r="AG93" s="5">
        <v>0.37053355366452084</v>
      </c>
      <c r="AH93" s="6">
        <v>237800.65</v>
      </c>
      <c r="AI93" s="6">
        <v>1.795774987172839</v>
      </c>
      <c r="AJ93" s="5">
        <v>142580.16</v>
      </c>
      <c r="AK93" s="5">
        <v>0.14476222631936889</v>
      </c>
      <c r="AL93" s="6">
        <v>3232178.9766666666</v>
      </c>
      <c r="AM93" s="6">
        <v>0.83624488168109712</v>
      </c>
    </row>
    <row r="94" spans="1:39" ht="18.75" customHeight="1">
      <c r="A94" s="13"/>
      <c r="B94" s="13" t="b">
        <v>0</v>
      </c>
      <c r="C94" s="13" t="s">
        <v>94</v>
      </c>
      <c r="D94" s="13" t="s">
        <v>341</v>
      </c>
      <c r="E94" s="3">
        <v>41436.745381944442</v>
      </c>
      <c r="F94" s="4" t="s">
        <v>454</v>
      </c>
      <c r="G94" s="5" t="s">
        <v>0</v>
      </c>
      <c r="H94" s="5">
        <v>0.77192982456140347</v>
      </c>
      <c r="I94" s="13" t="s">
        <v>277</v>
      </c>
      <c r="J94" s="6">
        <v>69.100770888201396</v>
      </c>
      <c r="K94" s="6">
        <v>9079.5199999999986</v>
      </c>
      <c r="L94" s="6">
        <v>2.528130510290282</v>
      </c>
      <c r="M94" s="5">
        <v>0.136771027595566</v>
      </c>
      <c r="N94" s="5">
        <v>3466.09</v>
      </c>
      <c r="O94" s="5">
        <v>6.6827247038092574</v>
      </c>
      <c r="P94" s="6">
        <v>49.6351420461354</v>
      </c>
      <c r="Q94" s="6">
        <v>1683257.2166666668</v>
      </c>
      <c r="R94" s="6">
        <v>1.3235181993981049</v>
      </c>
      <c r="S94" s="5">
        <v>48.864720199620898</v>
      </c>
      <c r="T94" s="5">
        <v>40278.806666666664</v>
      </c>
      <c r="U94" s="5">
        <v>1.5786378128120682</v>
      </c>
      <c r="V94" s="6" t="s">
        <v>405</v>
      </c>
      <c r="W94" s="6">
        <v>1689.0633333333333</v>
      </c>
      <c r="X94" s="6">
        <v>8.5491449556899717</v>
      </c>
      <c r="Y94" s="5">
        <v>3.1499308231594401</v>
      </c>
      <c r="Z94" s="5">
        <v>145875.11333333331</v>
      </c>
      <c r="AA94" s="5">
        <v>1.239773684730201</v>
      </c>
      <c r="AB94" s="6">
        <v>5.6155378511302798</v>
      </c>
      <c r="AC94" s="6">
        <v>76870.183333333334</v>
      </c>
      <c r="AD94" s="6">
        <v>1.2708479653836955</v>
      </c>
      <c r="AE94" s="5">
        <v>6.0230230009146704</v>
      </c>
      <c r="AF94" s="5">
        <v>48894.443333333336</v>
      </c>
      <c r="AG94" s="5">
        <v>1.9236191350576488</v>
      </c>
      <c r="AH94" s="6">
        <v>235844.85333333336</v>
      </c>
      <c r="AI94" s="6">
        <v>1.1435498653879221</v>
      </c>
      <c r="AJ94" s="5">
        <v>142430.45333333334</v>
      </c>
      <c r="AK94" s="5">
        <v>0.67514930474431067</v>
      </c>
      <c r="AL94" s="6">
        <v>3264715.1266666669</v>
      </c>
      <c r="AM94" s="6">
        <v>0.3958766941273632</v>
      </c>
    </row>
    <row r="95" spans="1:39" ht="18.75" customHeight="1">
      <c r="A95" s="13"/>
      <c r="B95" s="13" t="b">
        <v>0</v>
      </c>
      <c r="C95" s="13" t="s">
        <v>95</v>
      </c>
      <c r="D95" s="13" t="s">
        <v>342</v>
      </c>
      <c r="E95" s="3">
        <v>41436.748506944445</v>
      </c>
      <c r="F95" s="4" t="s">
        <v>454</v>
      </c>
      <c r="G95" s="5" t="s">
        <v>0</v>
      </c>
      <c r="H95" s="5">
        <v>1.010719754977029</v>
      </c>
      <c r="I95" s="13" t="s">
        <v>278</v>
      </c>
      <c r="J95" s="6">
        <v>75.531932309990395</v>
      </c>
      <c r="K95" s="6">
        <v>7622.0733333333337</v>
      </c>
      <c r="L95" s="6">
        <v>1.765852718570704</v>
      </c>
      <c r="M95" s="5">
        <v>0.15685785413532199</v>
      </c>
      <c r="N95" s="5">
        <v>3101.55</v>
      </c>
      <c r="O95" s="5">
        <v>6.9772042529371481</v>
      </c>
      <c r="P95" s="6">
        <v>35.268843961421403</v>
      </c>
      <c r="Q95" s="6">
        <v>926003.36333333328</v>
      </c>
      <c r="R95" s="6">
        <v>1.0609444018794301</v>
      </c>
      <c r="S95" s="5">
        <v>36.137988866089302</v>
      </c>
      <c r="T95" s="5">
        <v>23007.876666666667</v>
      </c>
      <c r="U95" s="5">
        <v>0.47369864472736534</v>
      </c>
      <c r="V95" s="6" t="s">
        <v>405</v>
      </c>
      <c r="W95" s="6">
        <v>1270.1066666666666</v>
      </c>
      <c r="X95" s="6">
        <v>5.2431063609210264</v>
      </c>
      <c r="Y95" s="5">
        <v>4.9113700557884901</v>
      </c>
      <c r="Z95" s="5">
        <v>173905.99</v>
      </c>
      <c r="AA95" s="5">
        <v>1.4435152857664539</v>
      </c>
      <c r="AB95" s="6">
        <v>6.6277831285145998</v>
      </c>
      <c r="AC95" s="6">
        <v>69568.996666666659</v>
      </c>
      <c r="AD95" s="6">
        <v>1.247943826121606</v>
      </c>
      <c r="AE95" s="5">
        <v>7.08352080569869</v>
      </c>
      <c r="AF95" s="5">
        <v>44086.47</v>
      </c>
      <c r="AG95" s="5">
        <v>1.4300661713100318</v>
      </c>
      <c r="AH95" s="6">
        <v>233026.01666666669</v>
      </c>
      <c r="AI95" s="6">
        <v>0.64588561639701947</v>
      </c>
      <c r="AJ95" s="5">
        <v>142813.74666666667</v>
      </c>
      <c r="AK95" s="5">
        <v>1.1285330329136709</v>
      </c>
      <c r="AL95" s="6">
        <v>3219280.5466666669</v>
      </c>
      <c r="AM95" s="6">
        <v>0.32688961202723038</v>
      </c>
    </row>
    <row r="96" spans="1:39" ht="18.75" customHeight="1">
      <c r="A96" s="13"/>
      <c r="B96" s="13" t="b">
        <v>0</v>
      </c>
      <c r="C96" s="13" t="s">
        <v>96</v>
      </c>
      <c r="D96" s="13" t="s">
        <v>1</v>
      </c>
      <c r="E96" s="3">
        <v>41436.751585648148</v>
      </c>
      <c r="F96" s="4" t="s">
        <v>424</v>
      </c>
      <c r="G96" s="5" t="s">
        <v>0</v>
      </c>
      <c r="H96" s="5">
        <v>1</v>
      </c>
      <c r="I96" s="13" t="s">
        <v>193</v>
      </c>
      <c r="J96" s="6" t="s">
        <v>416</v>
      </c>
      <c r="K96" s="6">
        <v>145.56333333333333</v>
      </c>
      <c r="L96" s="6">
        <v>10.821496534904085</v>
      </c>
      <c r="M96" s="5" t="s">
        <v>405</v>
      </c>
      <c r="N96" s="5">
        <v>636.70999999999992</v>
      </c>
      <c r="O96" s="5">
        <v>3.9532520115472751</v>
      </c>
      <c r="P96" s="6" t="s">
        <v>414</v>
      </c>
      <c r="Q96" s="6">
        <v>21555.99666666667</v>
      </c>
      <c r="R96" s="6">
        <v>1.1009186712258261</v>
      </c>
      <c r="S96" s="5" t="s">
        <v>415</v>
      </c>
      <c r="T96" s="5">
        <v>498.92333333333335</v>
      </c>
      <c r="U96" s="5">
        <v>4.2955934300631906</v>
      </c>
      <c r="V96" s="6" t="s">
        <v>405</v>
      </c>
      <c r="W96" s="6">
        <v>1443.4733333333334</v>
      </c>
      <c r="X96" s="6">
        <v>2.3093603016560387</v>
      </c>
      <c r="Y96" s="5" t="s">
        <v>407</v>
      </c>
      <c r="Z96" s="5">
        <v>1606.8266666666668</v>
      </c>
      <c r="AA96" s="5">
        <v>9.0223570535332644</v>
      </c>
      <c r="AB96" s="6" t="s">
        <v>413</v>
      </c>
      <c r="AC96" s="6">
        <v>1004.52</v>
      </c>
      <c r="AD96" s="6">
        <v>4.3187414981155321</v>
      </c>
      <c r="AE96" s="5" t="s">
        <v>412</v>
      </c>
      <c r="AF96" s="5">
        <v>654.49333333333334</v>
      </c>
      <c r="AG96" s="5">
        <v>9.9592881274309786</v>
      </c>
      <c r="AH96" s="6">
        <v>204951.76500000001</v>
      </c>
      <c r="AI96" s="6">
        <v>4.0700950424060256</v>
      </c>
      <c r="AJ96" s="5">
        <v>143029.01500000001</v>
      </c>
      <c r="AK96" s="5">
        <v>0.21599954650264974</v>
      </c>
      <c r="AL96" s="6">
        <v>3072000.2149999999</v>
      </c>
      <c r="AM96" s="6">
        <v>3.6723958697290073</v>
      </c>
    </row>
    <row r="97" spans="1:39" ht="18.75" customHeight="1">
      <c r="A97" s="13" t="s">
        <v>437</v>
      </c>
      <c r="B97" s="13" t="b">
        <v>0</v>
      </c>
      <c r="C97" s="13" t="s">
        <v>97</v>
      </c>
      <c r="D97" s="13" t="s">
        <v>483</v>
      </c>
      <c r="E97" s="3">
        <v>41436.754664351851</v>
      </c>
      <c r="F97" s="4" t="s">
        <v>452</v>
      </c>
      <c r="G97" s="5" t="s">
        <v>0</v>
      </c>
      <c r="H97" s="5">
        <v>1</v>
      </c>
      <c r="I97" s="13" t="s">
        <v>204</v>
      </c>
      <c r="J97" s="6">
        <v>12.2657260894968</v>
      </c>
      <c r="K97" s="6">
        <v>1393.4633333333331</v>
      </c>
      <c r="L97" s="6">
        <v>13.044990171151474</v>
      </c>
      <c r="M97" s="5">
        <v>9.4211310638286303</v>
      </c>
      <c r="N97" s="5">
        <v>164117.06333333332</v>
      </c>
      <c r="O97" s="5">
        <v>0.32533843140196855</v>
      </c>
      <c r="P97" s="6">
        <v>9.4128705816404601</v>
      </c>
      <c r="Q97" s="6">
        <v>270847.89333333331</v>
      </c>
      <c r="R97" s="6">
        <v>1.2853074627897543</v>
      </c>
      <c r="S97" s="5">
        <v>9.8346627903554502</v>
      </c>
      <c r="T97" s="5">
        <v>6783.9366666666674</v>
      </c>
      <c r="U97" s="5">
        <v>0.80787741713878614</v>
      </c>
      <c r="V97" s="6">
        <v>9.5788704820516397</v>
      </c>
      <c r="W97" s="6">
        <v>472395.00333333336</v>
      </c>
      <c r="X97" s="6">
        <v>1.0581604830147557</v>
      </c>
      <c r="Y97" s="5">
        <v>9.7368714089102504</v>
      </c>
      <c r="Z97" s="5">
        <v>353636.25</v>
      </c>
      <c r="AA97" s="5">
        <v>1.3713821412589666</v>
      </c>
      <c r="AB97" s="6">
        <v>9.4461094376415495</v>
      </c>
      <c r="AC97" s="6">
        <v>101728.90666666666</v>
      </c>
      <c r="AD97" s="6">
        <v>0.80695974030710849</v>
      </c>
      <c r="AE97" s="5">
        <v>9.5805654424283002</v>
      </c>
      <c r="AF97" s="5">
        <v>61219.95</v>
      </c>
      <c r="AG97" s="5">
        <v>0.99084308733683213</v>
      </c>
      <c r="AH97" s="6">
        <v>222862.25333333333</v>
      </c>
      <c r="AI97" s="6">
        <v>0.4580124500365047</v>
      </c>
      <c r="AJ97" s="5">
        <v>145521.92333333334</v>
      </c>
      <c r="AK97" s="5">
        <v>0.3745302899774493</v>
      </c>
      <c r="AL97" s="6">
        <v>3237306.6199999996</v>
      </c>
      <c r="AM97" s="6">
        <v>0.5368366863727978</v>
      </c>
    </row>
    <row r="98" spans="1:39" ht="18.75" customHeight="1">
      <c r="A98" s="13"/>
      <c r="B98" s="13" t="b">
        <v>0</v>
      </c>
      <c r="C98" s="13" t="s">
        <v>98</v>
      </c>
      <c r="D98" s="13" t="s">
        <v>1</v>
      </c>
      <c r="E98" s="3">
        <v>41436.757789351854</v>
      </c>
      <c r="F98" s="4" t="s">
        <v>424</v>
      </c>
      <c r="G98" s="5" t="s">
        <v>0</v>
      </c>
      <c r="H98" s="5">
        <v>1</v>
      </c>
      <c r="I98" s="13" t="s">
        <v>194</v>
      </c>
      <c r="J98" s="6" t="s">
        <v>416</v>
      </c>
      <c r="K98" s="6">
        <v>120.00666666666666</v>
      </c>
      <c r="L98" s="6">
        <v>20.035120320014013</v>
      </c>
      <c r="M98" s="5" t="s">
        <v>405</v>
      </c>
      <c r="N98" s="5">
        <v>447.80333333333334</v>
      </c>
      <c r="O98" s="5">
        <v>14.247813286883252</v>
      </c>
      <c r="P98" s="6" t="s">
        <v>414</v>
      </c>
      <c r="Q98" s="6">
        <v>22214.61</v>
      </c>
      <c r="R98" s="6">
        <v>1.3011283886969711</v>
      </c>
      <c r="S98" s="5" t="s">
        <v>415</v>
      </c>
      <c r="T98" s="5">
        <v>574.48333333333335</v>
      </c>
      <c r="U98" s="5">
        <v>17.420697894971195</v>
      </c>
      <c r="V98" s="6" t="s">
        <v>405</v>
      </c>
      <c r="W98" s="6">
        <v>1018.9699999999999</v>
      </c>
      <c r="X98" s="6">
        <v>7.0192924834791031</v>
      </c>
      <c r="Y98" s="5" t="s">
        <v>407</v>
      </c>
      <c r="Z98" s="5">
        <v>1307.8933333333332</v>
      </c>
      <c r="AA98" s="5">
        <v>3.951710371546409</v>
      </c>
      <c r="AB98" s="6" t="s">
        <v>413</v>
      </c>
      <c r="AC98" s="6">
        <v>1015.6366666666667</v>
      </c>
      <c r="AD98" s="6">
        <v>5.9202527996966454</v>
      </c>
      <c r="AE98" s="5" t="s">
        <v>412</v>
      </c>
      <c r="AF98" s="5">
        <v>622.26666666666654</v>
      </c>
      <c r="AG98" s="5">
        <v>9.6035024404545695</v>
      </c>
      <c r="AH98" s="6">
        <v>224586.6</v>
      </c>
      <c r="AI98" s="6">
        <v>0.31545019538984093</v>
      </c>
      <c r="AJ98" s="5">
        <v>145431.73000000001</v>
      </c>
      <c r="AK98" s="5">
        <v>0.80646189242230859</v>
      </c>
      <c r="AL98" s="6">
        <v>3288592.1066666669</v>
      </c>
      <c r="AM98" s="6">
        <v>0.73742782253784422</v>
      </c>
    </row>
    <row r="99" spans="1:39" ht="18.75" customHeight="1">
      <c r="A99" s="13"/>
      <c r="B99" s="13" t="b">
        <v>0</v>
      </c>
      <c r="C99" s="13" t="s">
        <v>99</v>
      </c>
      <c r="D99" s="13" t="s">
        <v>343</v>
      </c>
      <c r="E99" s="3">
        <v>41436.760891203703</v>
      </c>
      <c r="F99" s="4" t="s">
        <v>454</v>
      </c>
      <c r="G99" s="5" t="s">
        <v>0</v>
      </c>
      <c r="H99" s="5">
        <v>0.75085324232081918</v>
      </c>
      <c r="I99" s="13" t="s">
        <v>286</v>
      </c>
      <c r="J99" s="6">
        <v>145.241322102608</v>
      </c>
      <c r="K99" s="6">
        <v>19344.143333333333</v>
      </c>
      <c r="L99" s="6">
        <v>2.2004610427427194</v>
      </c>
      <c r="M99" s="5">
        <v>0.38398825703454598</v>
      </c>
      <c r="N99" s="5">
        <v>9092.8933333333334</v>
      </c>
      <c r="O99" s="5">
        <v>1.4069850474387149</v>
      </c>
      <c r="P99" s="6">
        <v>165.708384882838</v>
      </c>
      <c r="Q99" s="6">
        <v>5690055.333333333</v>
      </c>
      <c r="R99" s="6">
        <v>0.96817018802678856</v>
      </c>
      <c r="S99" s="5">
        <v>166.07788208623199</v>
      </c>
      <c r="T99" s="5">
        <v>138782.17000000001</v>
      </c>
      <c r="U99" s="5">
        <v>1.1990118799718021</v>
      </c>
      <c r="V99" s="6" t="s">
        <v>405</v>
      </c>
      <c r="W99" s="6">
        <v>1459.0233333333333</v>
      </c>
      <c r="X99" s="6">
        <v>3.6444139935097182</v>
      </c>
      <c r="Y99" s="5">
        <v>5.8929588046606796</v>
      </c>
      <c r="Z99" s="5">
        <v>277577.5733333333</v>
      </c>
      <c r="AA99" s="5">
        <v>0.85671657546110402</v>
      </c>
      <c r="AB99" s="6">
        <v>11.792677480530701</v>
      </c>
      <c r="AC99" s="6">
        <v>163984.13</v>
      </c>
      <c r="AD99" s="6">
        <v>0.85162759514064734</v>
      </c>
      <c r="AE99" s="5">
        <v>12.667012015614601</v>
      </c>
      <c r="AF99" s="5">
        <v>104475.46333333333</v>
      </c>
      <c r="AG99" s="5">
        <v>0.65170417174711692</v>
      </c>
      <c r="AH99" s="6">
        <v>232820.73333333331</v>
      </c>
      <c r="AI99" s="6">
        <v>1.2729069236117341</v>
      </c>
      <c r="AJ99" s="5">
        <v>141585.08333333334</v>
      </c>
      <c r="AK99" s="5">
        <v>1.0943660961444808</v>
      </c>
      <c r="AL99" s="6">
        <v>3247861.2333333329</v>
      </c>
      <c r="AM99" s="6">
        <v>1.388558158227903</v>
      </c>
    </row>
    <row r="100" spans="1:39" ht="18.75" customHeight="1">
      <c r="A100" s="13" t="s">
        <v>448</v>
      </c>
      <c r="B100" s="13" t="b">
        <v>0</v>
      </c>
      <c r="C100" s="13" t="s">
        <v>100</v>
      </c>
      <c r="D100" s="13" t="s">
        <v>345</v>
      </c>
      <c r="E100" s="3">
        <v>41436.764004629629</v>
      </c>
      <c r="F100" s="4" t="s">
        <v>454</v>
      </c>
      <c r="G100" s="5" t="s">
        <v>0</v>
      </c>
      <c r="H100" s="5">
        <v>0.79041916167664672</v>
      </c>
      <c r="I100" s="13" t="s">
        <v>287</v>
      </c>
      <c r="J100" s="6">
        <v>133.994297534314</v>
      </c>
      <c r="K100" s="6">
        <v>14292.256666666668</v>
      </c>
      <c r="L100" s="6">
        <v>0.87371631308922804</v>
      </c>
      <c r="M100" s="5">
        <v>0.33271927190537698</v>
      </c>
      <c r="N100" s="5">
        <v>6493.7766666666676</v>
      </c>
      <c r="O100" s="5">
        <v>3.9130461522013333</v>
      </c>
      <c r="P100" s="6">
        <v>133.369569449208</v>
      </c>
      <c r="Q100" s="6">
        <v>3623152.1333333328</v>
      </c>
      <c r="R100" s="6">
        <v>3.0275178168953718</v>
      </c>
      <c r="S100" s="5">
        <v>131.27760515726899</v>
      </c>
      <c r="T100" s="5">
        <v>87273.376666666663</v>
      </c>
      <c r="U100" s="5">
        <v>2.0892740115370505</v>
      </c>
      <c r="V100" s="6">
        <v>2.5572052884930401E-2</v>
      </c>
      <c r="W100" s="6">
        <v>2175.8066666666668</v>
      </c>
      <c r="X100" s="6">
        <v>5.5890055036981368</v>
      </c>
      <c r="Y100" s="5">
        <v>5.9487703195529402</v>
      </c>
      <c r="Z100" s="5">
        <v>221285.31333333332</v>
      </c>
      <c r="AA100" s="5">
        <v>3.1932695254964103</v>
      </c>
      <c r="AB100" s="6">
        <v>10.691662854507401</v>
      </c>
      <c r="AC100" s="6">
        <v>117118.42333333334</v>
      </c>
      <c r="AD100" s="6">
        <v>3.7156146564996551</v>
      </c>
      <c r="AE100" s="5">
        <v>11.384677110869699</v>
      </c>
      <c r="AF100" s="5">
        <v>74213.756666666668</v>
      </c>
      <c r="AG100" s="5">
        <v>3.1552292663120993</v>
      </c>
      <c r="AH100" s="6">
        <v>198026.54500000001</v>
      </c>
      <c r="AI100" s="6">
        <v>3.6502850771686011</v>
      </c>
      <c r="AJ100" s="5">
        <v>121477.99</v>
      </c>
      <c r="AK100" s="5">
        <v>16.287974782566792</v>
      </c>
      <c r="AL100" s="6">
        <v>2678813.605</v>
      </c>
      <c r="AM100" s="6">
        <v>12.31336872326855</v>
      </c>
    </row>
    <row r="101" spans="1:39" ht="18.75" customHeight="1">
      <c r="A101" s="13" t="s">
        <v>447</v>
      </c>
      <c r="B101" s="13" t="b">
        <v>0</v>
      </c>
      <c r="C101" s="13" t="s">
        <v>101</v>
      </c>
      <c r="D101" s="13" t="s">
        <v>346</v>
      </c>
      <c r="E101" s="3">
        <v>41436.767106481479</v>
      </c>
      <c r="F101" s="4" t="s">
        <v>454</v>
      </c>
      <c r="G101" s="5" t="s">
        <v>0</v>
      </c>
      <c r="H101" s="5">
        <v>0.89918256130790186</v>
      </c>
      <c r="I101" s="13" t="s">
        <v>288</v>
      </c>
      <c r="J101" s="6">
        <v>100.429812280348</v>
      </c>
      <c r="K101" s="6">
        <v>10082.343333333332</v>
      </c>
      <c r="L101" s="6">
        <v>0.91593510367843889</v>
      </c>
      <c r="M101" s="5">
        <v>0.24856289220894501</v>
      </c>
      <c r="N101" s="5">
        <v>4596.3966666666665</v>
      </c>
      <c r="O101" s="5">
        <v>0.97958279457219344</v>
      </c>
      <c r="P101" s="6">
        <v>78.203913518321897</v>
      </c>
      <c r="Q101" s="6">
        <v>2024451.03</v>
      </c>
      <c r="R101" s="6">
        <v>0.40120950771828001</v>
      </c>
      <c r="S101" s="5">
        <v>77.879274057877495</v>
      </c>
      <c r="T101" s="5">
        <v>49062.420000000006</v>
      </c>
      <c r="U101" s="5">
        <v>1.162028305570189</v>
      </c>
      <c r="V101" s="6" t="s">
        <v>405</v>
      </c>
      <c r="W101" s="6">
        <v>1317.8966666666668</v>
      </c>
      <c r="X101" s="6">
        <v>11.476958080578409</v>
      </c>
      <c r="Y101" s="5">
        <v>4.03356440241493</v>
      </c>
      <c r="Z101" s="5">
        <v>143132.90666666668</v>
      </c>
      <c r="AA101" s="5">
        <v>1.6642438634011756</v>
      </c>
      <c r="AB101" s="6">
        <v>7.4246286923355402</v>
      </c>
      <c r="AC101" s="6">
        <v>77759.443333333344</v>
      </c>
      <c r="AD101" s="6">
        <v>0.5601968657954377</v>
      </c>
      <c r="AE101" s="5">
        <v>8.0407026733312907</v>
      </c>
      <c r="AF101" s="5">
        <v>49996.856666666667</v>
      </c>
      <c r="AG101" s="5">
        <v>1.8564631640957281</v>
      </c>
      <c r="AH101" s="6">
        <v>200363.65333333332</v>
      </c>
      <c r="AI101" s="6">
        <v>4.8815222891587045</v>
      </c>
      <c r="AJ101" s="5">
        <v>128449.83666666667</v>
      </c>
      <c r="AK101" s="5">
        <v>12.459672804615247</v>
      </c>
      <c r="AL101" s="6">
        <v>2987224.1749999998</v>
      </c>
      <c r="AM101" s="6">
        <v>7.4813898192601886</v>
      </c>
    </row>
    <row r="102" spans="1:39" ht="18.75" customHeight="1">
      <c r="A102" s="13"/>
      <c r="B102" s="13" t="b">
        <v>0</v>
      </c>
      <c r="C102" s="13" t="s">
        <v>106</v>
      </c>
      <c r="D102" s="13" t="s">
        <v>347</v>
      </c>
      <c r="E102" s="3">
        <v>41436.770208333335</v>
      </c>
      <c r="F102" s="4" t="s">
        <v>454</v>
      </c>
      <c r="G102" s="5" t="s">
        <v>0</v>
      </c>
      <c r="H102" s="5">
        <v>0.51321928460342148</v>
      </c>
      <c r="I102" s="13" t="s">
        <v>289</v>
      </c>
      <c r="J102" s="6">
        <v>97.572561628522607</v>
      </c>
      <c r="K102" s="6">
        <v>19096.059999999998</v>
      </c>
      <c r="L102" s="6">
        <v>1.4056852211319155</v>
      </c>
      <c r="M102" s="5">
        <v>0.21670188596721299</v>
      </c>
      <c r="N102" s="5">
        <v>7619.8666666666659</v>
      </c>
      <c r="O102" s="5">
        <v>1.930932609820873</v>
      </c>
      <c r="P102" s="6">
        <v>44.249444076066297</v>
      </c>
      <c r="Q102" s="6">
        <v>2246125.4166666665</v>
      </c>
      <c r="R102" s="6">
        <v>1.7410862710175814</v>
      </c>
      <c r="S102" s="5">
        <v>43.309953923199203</v>
      </c>
      <c r="T102" s="5">
        <v>53459.243333333339</v>
      </c>
      <c r="U102" s="5">
        <v>0.58739596172874098</v>
      </c>
      <c r="V102" s="6" t="s">
        <v>405</v>
      </c>
      <c r="W102" s="6">
        <v>1693.5033333333333</v>
      </c>
      <c r="X102" s="6">
        <v>3.4987939282828688</v>
      </c>
      <c r="Y102" s="5">
        <v>3.3593373375123701</v>
      </c>
      <c r="Z102" s="5">
        <v>232762.84666666668</v>
      </c>
      <c r="AA102" s="5">
        <v>1.0200193155375368</v>
      </c>
      <c r="AB102" s="6">
        <v>8.3770813803500008</v>
      </c>
      <c r="AC102" s="6">
        <v>171145.76333333334</v>
      </c>
      <c r="AD102" s="6">
        <v>1.2587140166741357</v>
      </c>
      <c r="AE102" s="5">
        <v>9.0008369906126795</v>
      </c>
      <c r="AF102" s="5">
        <v>109073.34333333334</v>
      </c>
      <c r="AG102" s="5">
        <v>0.87799759000010169</v>
      </c>
      <c r="AH102" s="6">
        <v>232551.04000000001</v>
      </c>
      <c r="AI102" s="6">
        <v>0.44064812051951024</v>
      </c>
      <c r="AJ102" s="5">
        <v>142197.35</v>
      </c>
      <c r="AK102" s="5">
        <v>0.49928103716150524</v>
      </c>
      <c r="AL102" s="6">
        <v>3247460.4</v>
      </c>
      <c r="AM102" s="6">
        <v>0.24929336017160647</v>
      </c>
    </row>
    <row r="103" spans="1:39" ht="18.75" customHeight="1">
      <c r="A103" s="13"/>
      <c r="B103" s="13" t="b">
        <v>0</v>
      </c>
      <c r="C103" s="13" t="s">
        <v>107</v>
      </c>
      <c r="D103" s="13" t="s">
        <v>348</v>
      </c>
      <c r="E103" s="3">
        <v>41436.773310185185</v>
      </c>
      <c r="F103" s="4" t="s">
        <v>454</v>
      </c>
      <c r="G103" s="5" t="s">
        <v>0</v>
      </c>
      <c r="H103" s="5">
        <v>0.79326923076923073</v>
      </c>
      <c r="I103" s="13" t="s">
        <v>290</v>
      </c>
      <c r="J103" s="6">
        <v>156.12024400801801</v>
      </c>
      <c r="K103" s="6">
        <v>19626.693333333333</v>
      </c>
      <c r="L103" s="6">
        <v>1.9575897313853323</v>
      </c>
      <c r="M103" s="5">
        <v>0.44306922371284302</v>
      </c>
      <c r="N103" s="5">
        <v>9866.7733333333326</v>
      </c>
      <c r="O103" s="5">
        <v>1.6709068777449594</v>
      </c>
      <c r="P103" s="6">
        <v>177.724815056578</v>
      </c>
      <c r="Q103" s="6">
        <v>5761919.4966666671</v>
      </c>
      <c r="R103" s="6">
        <v>0.4778041827709435</v>
      </c>
      <c r="S103" s="5">
        <v>177.167086538381</v>
      </c>
      <c r="T103" s="5">
        <v>139786.23666666666</v>
      </c>
      <c r="U103" s="5">
        <v>0.70142371324407204</v>
      </c>
      <c r="V103" s="6" t="s">
        <v>405</v>
      </c>
      <c r="W103" s="6">
        <v>1999.1066666666666</v>
      </c>
      <c r="X103" s="6">
        <v>2.659255535709665</v>
      </c>
      <c r="Y103" s="5">
        <v>6.7079569737583302</v>
      </c>
      <c r="Z103" s="5">
        <v>298234.1166666667</v>
      </c>
      <c r="AA103" s="5">
        <v>0.8303966878966007</v>
      </c>
      <c r="AB103" s="6">
        <v>3.4485977857289898</v>
      </c>
      <c r="AC103" s="6">
        <v>45898.266666666663</v>
      </c>
      <c r="AD103" s="6">
        <v>0.61871906003651378</v>
      </c>
      <c r="AE103" s="5">
        <v>3.7080387101750301</v>
      </c>
      <c r="AF103" s="5">
        <v>29255.91</v>
      </c>
      <c r="AG103" s="5">
        <v>1.1000105577871113</v>
      </c>
      <c r="AH103" s="6">
        <v>233941.21666666665</v>
      </c>
      <c r="AI103" s="6">
        <v>2.288394498800427</v>
      </c>
      <c r="AJ103" s="5">
        <v>141233.94333333336</v>
      </c>
      <c r="AK103" s="5">
        <v>0.58014375081368919</v>
      </c>
      <c r="AL103" s="6">
        <v>3247854.3633333333</v>
      </c>
      <c r="AM103" s="6">
        <v>0.81038162249737322</v>
      </c>
    </row>
    <row r="104" spans="1:39" ht="18.75" customHeight="1">
      <c r="A104" s="13"/>
      <c r="B104" s="13" t="b">
        <v>0</v>
      </c>
      <c r="C104" s="13" t="s">
        <v>108</v>
      </c>
      <c r="D104" s="13" t="s">
        <v>349</v>
      </c>
      <c r="E104" s="3">
        <v>41436.776412037034</v>
      </c>
      <c r="F104" s="4" t="s">
        <v>454</v>
      </c>
      <c r="G104" s="5" t="s">
        <v>0</v>
      </c>
      <c r="H104" s="5">
        <v>0.95652173913043481</v>
      </c>
      <c r="I104" s="13" t="s">
        <v>291</v>
      </c>
      <c r="J104" s="6">
        <v>75.458433870191001</v>
      </c>
      <c r="K104" s="6">
        <v>8057.87</v>
      </c>
      <c r="L104" s="6">
        <v>1.9327649806500355</v>
      </c>
      <c r="M104" s="5">
        <v>0.15048337188295099</v>
      </c>
      <c r="N104" s="5">
        <v>3143.7833333333333</v>
      </c>
      <c r="O104" s="5">
        <v>4.4408701040626415</v>
      </c>
      <c r="P104" s="6">
        <v>159.61336288042199</v>
      </c>
      <c r="Q104" s="6">
        <v>4355267.123333334</v>
      </c>
      <c r="R104" s="6">
        <v>1.1747186212766949</v>
      </c>
      <c r="S104" s="5">
        <v>157.94616164342401</v>
      </c>
      <c r="T104" s="5">
        <v>104867.25666666667</v>
      </c>
      <c r="U104" s="5">
        <v>0.93528293856617317</v>
      </c>
      <c r="V104" s="6" t="s">
        <v>405</v>
      </c>
      <c r="W104" s="6">
        <v>1275.6666666666667</v>
      </c>
      <c r="X104" s="6">
        <v>5.763453831748536</v>
      </c>
      <c r="Y104" s="5">
        <v>6.5102131193285802</v>
      </c>
      <c r="Z104" s="5">
        <v>243568.61</v>
      </c>
      <c r="AA104" s="5">
        <v>1.1007876981678737</v>
      </c>
      <c r="AB104" s="6">
        <v>2.53336702750918</v>
      </c>
      <c r="AC104" s="6">
        <v>28677.026666666668</v>
      </c>
      <c r="AD104" s="6">
        <v>0.82976277314347946</v>
      </c>
      <c r="AE104" s="5">
        <v>2.6841356188547998</v>
      </c>
      <c r="AF104" s="5">
        <v>18010.486666666668</v>
      </c>
      <c r="AG104" s="5">
        <v>1.3203118866750889</v>
      </c>
      <c r="AH104" s="6">
        <v>237397.14</v>
      </c>
      <c r="AI104" s="6">
        <v>1.4973775987158906</v>
      </c>
      <c r="AJ104" s="5">
        <v>143142.25</v>
      </c>
      <c r="AK104" s="5">
        <v>0.70584908620930886</v>
      </c>
      <c r="AL104" s="6">
        <v>3271198.0400000005</v>
      </c>
      <c r="AM104" s="6">
        <v>0.38147111323645566</v>
      </c>
    </row>
    <row r="105" spans="1:39" ht="18.75" customHeight="1">
      <c r="A105" s="13"/>
      <c r="B105" s="13" t="b">
        <v>0</v>
      </c>
      <c r="C105" s="13" t="s">
        <v>109</v>
      </c>
      <c r="D105" s="13" t="s">
        <v>350</v>
      </c>
      <c r="E105" s="3">
        <v>41436.77952546296</v>
      </c>
      <c r="F105" s="4" t="s">
        <v>454</v>
      </c>
      <c r="G105" s="5" t="s">
        <v>0</v>
      </c>
      <c r="H105" s="5">
        <v>1.1205432937181665</v>
      </c>
      <c r="I105" s="13" t="s">
        <v>292</v>
      </c>
      <c r="J105" s="6">
        <v>55.571571175350599</v>
      </c>
      <c r="K105" s="6">
        <v>5096.5666666666666</v>
      </c>
      <c r="L105" s="6">
        <v>5.4159504606703521</v>
      </c>
      <c r="M105" s="5">
        <v>9.0885331186901203E-2</v>
      </c>
      <c r="N105" s="5">
        <v>1834.6333333333334</v>
      </c>
      <c r="O105" s="5">
        <v>8.7722426835307754</v>
      </c>
      <c r="P105" s="6">
        <v>63.246396322202401</v>
      </c>
      <c r="Q105" s="6">
        <v>1481229.7700000003</v>
      </c>
      <c r="R105" s="6">
        <v>1.817150925506241</v>
      </c>
      <c r="S105" s="5">
        <v>62.0771044364731</v>
      </c>
      <c r="T105" s="5">
        <v>35331.826666666668</v>
      </c>
      <c r="U105" s="5">
        <v>1.2442110237731696</v>
      </c>
      <c r="V105" s="6" t="s">
        <v>405</v>
      </c>
      <c r="W105" s="6">
        <v>1222.3266666666666</v>
      </c>
      <c r="X105" s="6">
        <v>4.8044191569139798</v>
      </c>
      <c r="Y105" s="5">
        <v>4.3876266393344698</v>
      </c>
      <c r="Z105" s="5">
        <v>140131.19999999998</v>
      </c>
      <c r="AA105" s="5">
        <v>0.18218284466172208</v>
      </c>
      <c r="AB105" s="6">
        <v>2.3996547823277701</v>
      </c>
      <c r="AC105" s="6">
        <v>23253.759999999998</v>
      </c>
      <c r="AD105" s="6">
        <v>0.76576122827808446</v>
      </c>
      <c r="AE105" s="5">
        <v>2.5525351941896499</v>
      </c>
      <c r="AF105" s="5">
        <v>14657.073333333334</v>
      </c>
      <c r="AG105" s="5">
        <v>1.9692860255759965</v>
      </c>
      <c r="AH105" s="6">
        <v>233709.14</v>
      </c>
      <c r="AI105" s="6">
        <v>0.32937498673343835</v>
      </c>
      <c r="AJ105" s="5">
        <v>142533.68999999997</v>
      </c>
      <c r="AK105" s="5">
        <v>0.63588807383573531</v>
      </c>
      <c r="AL105" s="6">
        <v>3244676.1666666665</v>
      </c>
      <c r="AM105" s="6">
        <v>1.0889123076054912</v>
      </c>
    </row>
    <row r="106" spans="1:39" ht="18.75" customHeight="1">
      <c r="A106" s="13"/>
      <c r="B106" s="13" t="b">
        <v>0</v>
      </c>
      <c r="C106" s="13" t="s">
        <v>110</v>
      </c>
      <c r="D106" s="13" t="s">
        <v>352</v>
      </c>
      <c r="E106" s="3">
        <v>41436.782627314817</v>
      </c>
      <c r="F106" s="4" t="s">
        <v>454</v>
      </c>
      <c r="G106" s="5" t="s">
        <v>0</v>
      </c>
      <c r="H106" s="5">
        <v>0.9579100145137881</v>
      </c>
      <c r="I106" s="13" t="s">
        <v>293</v>
      </c>
      <c r="J106" s="6">
        <v>69.335639818734506</v>
      </c>
      <c r="K106" s="6">
        <v>7467.5733333333337</v>
      </c>
      <c r="L106" s="6">
        <v>1.9203308546641837</v>
      </c>
      <c r="M106" s="5">
        <v>0.14976224581896</v>
      </c>
      <c r="N106" s="5">
        <v>3153.7833333333333</v>
      </c>
      <c r="O106" s="5">
        <v>5.2353358452268388</v>
      </c>
      <c r="P106" s="6">
        <v>43.731552276881402</v>
      </c>
      <c r="Q106" s="6">
        <v>1217835.8433333335</v>
      </c>
      <c r="R106" s="6">
        <v>1.2672519096374089</v>
      </c>
      <c r="S106" s="5">
        <v>44.5258670078628</v>
      </c>
      <c r="T106" s="5">
        <v>30100.49</v>
      </c>
      <c r="U106" s="5">
        <v>1.633182668269179</v>
      </c>
      <c r="V106" s="6" t="s">
        <v>405</v>
      </c>
      <c r="W106" s="6">
        <v>2108.0233333333335</v>
      </c>
      <c r="X106" s="6">
        <v>5.6857061395614741</v>
      </c>
      <c r="Y106" s="5">
        <v>6.0627741757648597</v>
      </c>
      <c r="Z106" s="5">
        <v>228534.75666666668</v>
      </c>
      <c r="AA106" s="5">
        <v>0.52371343386959857</v>
      </c>
      <c r="AB106" s="6">
        <v>3.8966675632046099</v>
      </c>
      <c r="AC106" s="6">
        <v>43955.026666666672</v>
      </c>
      <c r="AD106" s="6">
        <v>0.47259703098651584</v>
      </c>
      <c r="AE106" s="5">
        <v>4.1496945086766699</v>
      </c>
      <c r="AF106" s="5">
        <v>27753.14333333333</v>
      </c>
      <c r="AG106" s="5">
        <v>1.7739686735635523</v>
      </c>
      <c r="AH106" s="6">
        <v>237742.84666666668</v>
      </c>
      <c r="AI106" s="6">
        <v>0.75133883955695024</v>
      </c>
      <c r="AJ106" s="5">
        <v>144362.59</v>
      </c>
      <c r="AK106" s="5">
        <v>0.38991830412751621</v>
      </c>
      <c r="AL106" s="6">
        <v>3253339.9166666665</v>
      </c>
      <c r="AM106" s="6">
        <v>1.8615070938570806</v>
      </c>
    </row>
    <row r="107" spans="1:39" ht="18.75" customHeight="1">
      <c r="A107" s="13"/>
      <c r="B107" s="13" t="b">
        <v>0</v>
      </c>
      <c r="C107" s="13" t="s">
        <v>111</v>
      </c>
      <c r="D107" s="13" t="s">
        <v>354</v>
      </c>
      <c r="E107" s="3">
        <v>41436.785740740743</v>
      </c>
      <c r="F107" s="4" t="s">
        <v>454</v>
      </c>
      <c r="G107" s="5" t="s">
        <v>0</v>
      </c>
      <c r="H107" s="5">
        <v>0.52215189873417722</v>
      </c>
      <c r="I107" s="13" t="s">
        <v>294</v>
      </c>
      <c r="J107" s="6">
        <v>69.458400812405401</v>
      </c>
      <c r="K107" s="6">
        <v>13636.143333333333</v>
      </c>
      <c r="L107" s="6">
        <v>1.3564593262751401</v>
      </c>
      <c r="M107" s="5">
        <v>0.20692820693512501</v>
      </c>
      <c r="N107" s="5">
        <v>7306.37</v>
      </c>
      <c r="O107" s="5">
        <v>2.9382151843474555</v>
      </c>
      <c r="P107" s="6">
        <v>133.75139462325799</v>
      </c>
      <c r="Q107" s="6">
        <v>6745265.7333333343</v>
      </c>
      <c r="R107" s="6">
        <v>0.77985785967525489</v>
      </c>
      <c r="S107" s="5">
        <v>132.98817056120399</v>
      </c>
      <c r="T107" s="5">
        <v>163227.29</v>
      </c>
      <c r="U107" s="5">
        <v>1.5415907623800336</v>
      </c>
      <c r="V107" s="6" t="s">
        <v>405</v>
      </c>
      <c r="W107" s="6">
        <v>2049.1166666666668</v>
      </c>
      <c r="X107" s="6">
        <v>5.4556799779920961</v>
      </c>
      <c r="Y107" s="5">
        <v>7.4472013623953401</v>
      </c>
      <c r="Z107" s="5">
        <v>514313.09</v>
      </c>
      <c r="AA107" s="5">
        <v>0.62306493710865085</v>
      </c>
      <c r="AB107" s="6">
        <v>13.147905074647401</v>
      </c>
      <c r="AC107" s="6">
        <v>268133.33</v>
      </c>
      <c r="AD107" s="6">
        <v>0.9268827527176442</v>
      </c>
      <c r="AE107" s="5">
        <v>14.213637262811</v>
      </c>
      <c r="AF107" s="5">
        <v>171947.87</v>
      </c>
      <c r="AG107" s="5">
        <v>0.85695693217863711</v>
      </c>
      <c r="AH107" s="6">
        <v>235807.82666666666</v>
      </c>
      <c r="AI107" s="6">
        <v>0.78368553929788354</v>
      </c>
      <c r="AJ107" s="5">
        <v>144693.22999999998</v>
      </c>
      <c r="AK107" s="5">
        <v>1.1024007608484059</v>
      </c>
      <c r="AL107" s="6">
        <v>3275740.7833333337</v>
      </c>
      <c r="AM107" s="6">
        <v>0.84333570933424473</v>
      </c>
    </row>
    <row r="108" spans="1:39" ht="18.75" customHeight="1">
      <c r="A108" s="13"/>
      <c r="B108" s="13" t="b">
        <v>0</v>
      </c>
      <c r="C108" s="13" t="s">
        <v>112</v>
      </c>
      <c r="D108" s="13" t="s">
        <v>356</v>
      </c>
      <c r="E108" s="3">
        <v>41436.788854166669</v>
      </c>
      <c r="F108" s="4" t="s">
        <v>454</v>
      </c>
      <c r="G108" s="5" t="s">
        <v>0</v>
      </c>
      <c r="H108" s="5">
        <v>0.71583514099783074</v>
      </c>
      <c r="I108" s="13" t="s">
        <v>295</v>
      </c>
      <c r="J108" s="6">
        <v>66.1488322989279</v>
      </c>
      <c r="K108" s="6">
        <v>9458.6600000000017</v>
      </c>
      <c r="L108" s="6">
        <v>0.84122796242614739</v>
      </c>
      <c r="M108" s="5">
        <v>0.19717805912244599</v>
      </c>
      <c r="N108" s="5">
        <v>5183.28</v>
      </c>
      <c r="O108" s="5">
        <v>4.7538175652163313</v>
      </c>
      <c r="P108" s="6">
        <v>122.998416175221</v>
      </c>
      <c r="Q108" s="6">
        <v>4504040.1400000006</v>
      </c>
      <c r="R108" s="6">
        <v>1.3003214847379292</v>
      </c>
      <c r="S108" s="5">
        <v>121.94295561186399</v>
      </c>
      <c r="T108" s="5">
        <v>108654.15333333334</v>
      </c>
      <c r="U108" s="5">
        <v>1.3040996785286665</v>
      </c>
      <c r="V108" s="6" t="s">
        <v>405</v>
      </c>
      <c r="W108" s="6">
        <v>2474.7399999999998</v>
      </c>
      <c r="X108" s="6">
        <v>2.9094673404899281</v>
      </c>
      <c r="Y108" s="5">
        <v>6.5160259737996897</v>
      </c>
      <c r="Z108" s="5">
        <v>326742.9433333333</v>
      </c>
      <c r="AA108" s="5">
        <v>1.2919736249028639</v>
      </c>
      <c r="AB108" s="6">
        <v>10.5368204934851</v>
      </c>
      <c r="AC108" s="6">
        <v>156142.47</v>
      </c>
      <c r="AD108" s="6">
        <v>1.2176222120626721</v>
      </c>
      <c r="AE108" s="5">
        <v>11.1187027162409</v>
      </c>
      <c r="AF108" s="5">
        <v>97734.543333333335</v>
      </c>
      <c r="AG108" s="5">
        <v>1.8337603293715854</v>
      </c>
      <c r="AH108" s="6">
        <v>236276.28000000003</v>
      </c>
      <c r="AI108" s="6">
        <v>1.3329755735808804</v>
      </c>
      <c r="AJ108" s="5">
        <v>143853.94333333333</v>
      </c>
      <c r="AK108" s="5">
        <v>2.1787279257151639</v>
      </c>
      <c r="AL108" s="6">
        <v>3313616.0966666671</v>
      </c>
      <c r="AM108" s="6">
        <v>1.850866494627609</v>
      </c>
    </row>
    <row r="109" spans="1:39" ht="18.75" customHeight="1">
      <c r="A109" s="13"/>
      <c r="B109" s="13" t="b">
        <v>0</v>
      </c>
      <c r="C109" s="13" t="s">
        <v>113</v>
      </c>
      <c r="D109" s="13" t="s">
        <v>357</v>
      </c>
      <c r="E109" s="3">
        <v>41436.791956018518</v>
      </c>
      <c r="F109" s="4" t="s">
        <v>454</v>
      </c>
      <c r="G109" s="5" t="s">
        <v>0</v>
      </c>
      <c r="H109" s="5">
        <v>0.74492099322799099</v>
      </c>
      <c r="I109" s="13" t="s">
        <v>296</v>
      </c>
      <c r="J109" s="6">
        <v>52.597790292075203</v>
      </c>
      <c r="K109" s="6">
        <v>7228.543333333334</v>
      </c>
      <c r="L109" s="6">
        <v>3.4807708787320446</v>
      </c>
      <c r="M109" s="5">
        <v>0.17640860407416301</v>
      </c>
      <c r="N109" s="5">
        <v>4503.0566666666664</v>
      </c>
      <c r="O109" s="5">
        <v>2.9714332959915315</v>
      </c>
      <c r="P109" s="6">
        <v>99.525078063376199</v>
      </c>
      <c r="Q109" s="6">
        <v>3492051.72</v>
      </c>
      <c r="R109" s="6">
        <v>1.2730306725491052</v>
      </c>
      <c r="S109" s="5">
        <v>97.352224546555604</v>
      </c>
      <c r="T109" s="5">
        <v>83106.82666666666</v>
      </c>
      <c r="U109" s="5">
        <v>2.0602194488293772</v>
      </c>
      <c r="V109" s="6" t="s">
        <v>405</v>
      </c>
      <c r="W109" s="6">
        <v>1933.5466666666669</v>
      </c>
      <c r="X109" s="6">
        <v>6.3372538400202654</v>
      </c>
      <c r="Y109" s="5">
        <v>4.3499945521954198</v>
      </c>
      <c r="Z109" s="5">
        <v>209222.55333333334</v>
      </c>
      <c r="AA109" s="5">
        <v>1.6559903538093759</v>
      </c>
      <c r="AB109" s="6">
        <v>7.1469704772691003</v>
      </c>
      <c r="AC109" s="6">
        <v>101635.06666666667</v>
      </c>
      <c r="AD109" s="6">
        <v>0.7181933891383061</v>
      </c>
      <c r="AE109" s="5">
        <v>7.6189291139826603</v>
      </c>
      <c r="AF109" s="5">
        <v>64260.29</v>
      </c>
      <c r="AG109" s="5">
        <v>0.52945274641079654</v>
      </c>
      <c r="AH109" s="6">
        <v>242447.28000000003</v>
      </c>
      <c r="AI109" s="6">
        <v>0.98546747212100039</v>
      </c>
      <c r="AJ109" s="5">
        <v>143162.90666666665</v>
      </c>
      <c r="AK109" s="5">
        <v>0.54764157185381601</v>
      </c>
      <c r="AL109" s="6">
        <v>3284492.45</v>
      </c>
      <c r="AM109" s="6">
        <v>0.11066632847442201</v>
      </c>
    </row>
    <row r="110" spans="1:39" ht="18.75" customHeight="1">
      <c r="A110" s="13"/>
      <c r="B110" s="13" t="b">
        <v>0</v>
      </c>
      <c r="C110" s="13" t="s">
        <v>114</v>
      </c>
      <c r="D110" s="13" t="s">
        <v>360</v>
      </c>
      <c r="E110" s="3">
        <v>41436.795092592591</v>
      </c>
      <c r="F110" s="4" t="s">
        <v>454</v>
      </c>
      <c r="G110" s="5" t="s">
        <v>0</v>
      </c>
      <c r="H110" s="5">
        <v>0.48210372534696855</v>
      </c>
      <c r="I110" s="13" t="s">
        <v>297</v>
      </c>
      <c r="J110" s="6">
        <v>58.953574960811601</v>
      </c>
      <c r="K110" s="6">
        <v>12471.836666666664</v>
      </c>
      <c r="L110" s="6">
        <v>1.4840000634852664</v>
      </c>
      <c r="M110" s="5">
        <v>0.16094004928750899</v>
      </c>
      <c r="N110" s="5">
        <v>6189.22</v>
      </c>
      <c r="O110" s="5">
        <v>0.84274367309716447</v>
      </c>
      <c r="P110" s="6">
        <v>38.5404223914217</v>
      </c>
      <c r="Q110" s="6">
        <v>2107912.5733333328</v>
      </c>
      <c r="R110" s="6">
        <v>1.2626273563756718</v>
      </c>
      <c r="S110" s="5">
        <v>38.239768772267901</v>
      </c>
      <c r="T110" s="5">
        <v>50848.866666666669</v>
      </c>
      <c r="U110" s="5">
        <v>0.68928333791235985</v>
      </c>
      <c r="V110" s="6" t="s">
        <v>405</v>
      </c>
      <c r="W110" s="6">
        <v>1962.4366666666665</v>
      </c>
      <c r="X110" s="6">
        <v>0.3535587609338573</v>
      </c>
      <c r="Y110" s="5">
        <v>2.9833074807704101</v>
      </c>
      <c r="Z110" s="5">
        <v>222637.71</v>
      </c>
      <c r="AA110" s="5">
        <v>1.3696424893495331</v>
      </c>
      <c r="AB110" s="6">
        <v>9.3064366012697004</v>
      </c>
      <c r="AC110" s="6">
        <v>204567.74666666667</v>
      </c>
      <c r="AD110" s="6">
        <v>1.8681987324439926</v>
      </c>
      <c r="AE110" s="5">
        <v>9.9147654265991996</v>
      </c>
      <c r="AF110" s="5">
        <v>129272.55666666666</v>
      </c>
      <c r="AG110" s="5">
        <v>0.79206202220209598</v>
      </c>
      <c r="AH110" s="6">
        <v>238374.15666666665</v>
      </c>
      <c r="AI110" s="6">
        <v>0.7204064593056877</v>
      </c>
      <c r="AJ110" s="5">
        <v>143824.80333333334</v>
      </c>
      <c r="AK110" s="5">
        <v>0.96729197819156798</v>
      </c>
      <c r="AL110" s="6">
        <v>3242192.9066666667</v>
      </c>
      <c r="AM110" s="6">
        <v>0.4670622316945961</v>
      </c>
    </row>
    <row r="111" spans="1:39" ht="18.75" customHeight="1">
      <c r="A111" s="13"/>
      <c r="B111" s="13" t="b">
        <v>0</v>
      </c>
      <c r="C111" s="13" t="s">
        <v>115</v>
      </c>
      <c r="D111" s="13" t="s">
        <v>1</v>
      </c>
      <c r="E111" s="3">
        <v>41436.798171296294</v>
      </c>
      <c r="F111" s="4" t="s">
        <v>424</v>
      </c>
      <c r="G111" s="5" t="s">
        <v>0</v>
      </c>
      <c r="H111" s="5">
        <v>1</v>
      </c>
      <c r="I111" s="13" t="s">
        <v>193</v>
      </c>
      <c r="J111" s="6" t="s">
        <v>416</v>
      </c>
      <c r="K111" s="6">
        <v>153.34333333333333</v>
      </c>
      <c r="L111" s="6">
        <v>11.500873277145205</v>
      </c>
      <c r="M111" s="5" t="s">
        <v>405</v>
      </c>
      <c r="N111" s="5">
        <v>622.26333333333332</v>
      </c>
      <c r="O111" s="5">
        <v>15.01284102896561</v>
      </c>
      <c r="P111" s="6" t="s">
        <v>414</v>
      </c>
      <c r="Q111" s="6">
        <v>22487.17</v>
      </c>
      <c r="R111" s="6">
        <v>2.623859711134533</v>
      </c>
      <c r="S111" s="5" t="s">
        <v>415</v>
      </c>
      <c r="T111" s="5">
        <v>515.59</v>
      </c>
      <c r="U111" s="5">
        <v>3.7322454803415348</v>
      </c>
      <c r="V111" s="6" t="s">
        <v>405</v>
      </c>
      <c r="W111" s="6">
        <v>1477.9133333333332</v>
      </c>
      <c r="X111" s="6">
        <v>7.3312291665007985</v>
      </c>
      <c r="Y111" s="5" t="s">
        <v>407</v>
      </c>
      <c r="Z111" s="5">
        <v>1687.95</v>
      </c>
      <c r="AA111" s="5">
        <v>7.0393977087249873</v>
      </c>
      <c r="AB111" s="6" t="s">
        <v>413</v>
      </c>
      <c r="AC111" s="6">
        <v>1151.2066666666667</v>
      </c>
      <c r="AD111" s="6">
        <v>3.7795775285498019</v>
      </c>
      <c r="AE111" s="5" t="s">
        <v>412</v>
      </c>
      <c r="AF111" s="5">
        <v>658.93666666666661</v>
      </c>
      <c r="AG111" s="5">
        <v>6.603311775529451</v>
      </c>
      <c r="AH111" s="6">
        <v>223481.31666666668</v>
      </c>
      <c r="AI111" s="6">
        <v>0.92871169038449808</v>
      </c>
      <c r="AJ111" s="5">
        <v>145588.91666666666</v>
      </c>
      <c r="AK111" s="5">
        <v>0.63763277613875435</v>
      </c>
      <c r="AL111" s="6">
        <v>3257332.59</v>
      </c>
      <c r="AM111" s="6">
        <v>0.94844031023438202</v>
      </c>
    </row>
    <row r="112" spans="1:39" ht="18.75" customHeight="1">
      <c r="A112" s="13"/>
      <c r="B112" s="13" t="b">
        <v>0</v>
      </c>
      <c r="C112" s="13" t="s">
        <v>117</v>
      </c>
      <c r="D112" s="13" t="s">
        <v>483</v>
      </c>
      <c r="E112" s="3">
        <v>41436.80127314815</v>
      </c>
      <c r="F112" s="4" t="s">
        <v>452</v>
      </c>
      <c r="G112" s="5" t="s">
        <v>0</v>
      </c>
      <c r="H112" s="5">
        <v>1</v>
      </c>
      <c r="I112" s="13" t="s">
        <v>204</v>
      </c>
      <c r="J112" s="6">
        <v>11.9446921285956</v>
      </c>
      <c r="K112" s="6">
        <v>1364.5666666666666</v>
      </c>
      <c r="L112" s="6">
        <v>6.7410522006564211</v>
      </c>
      <c r="M112" s="5">
        <v>9.2779503695856906</v>
      </c>
      <c r="N112" s="5">
        <v>162062.14666666667</v>
      </c>
      <c r="O112" s="5">
        <v>1.2145228947534841</v>
      </c>
      <c r="P112" s="6">
        <v>9.3262446207918703</v>
      </c>
      <c r="Q112" s="6">
        <v>269277.07666666666</v>
      </c>
      <c r="R112" s="6">
        <v>1.1946334215634031</v>
      </c>
      <c r="S112" s="5">
        <v>9.6449959711536106</v>
      </c>
      <c r="T112" s="5">
        <v>6679.4066666666668</v>
      </c>
      <c r="U112" s="5">
        <v>1.0391514779460576</v>
      </c>
      <c r="V112" s="6">
        <v>9.3923841111370798</v>
      </c>
      <c r="W112" s="6">
        <v>464443.28666666668</v>
      </c>
      <c r="X112" s="6">
        <v>1.1177793875511746</v>
      </c>
      <c r="Y112" s="5">
        <v>9.5373462282065304</v>
      </c>
      <c r="Z112" s="5">
        <v>347334.18333333335</v>
      </c>
      <c r="AA112" s="5">
        <v>1.323567860828081</v>
      </c>
      <c r="AB112" s="6">
        <v>9.3904613954224505</v>
      </c>
      <c r="AC112" s="6">
        <v>101400.74666666666</v>
      </c>
      <c r="AD112" s="6">
        <v>0.70555899401727862</v>
      </c>
      <c r="AE112" s="5">
        <v>9.4094937106054601</v>
      </c>
      <c r="AF112" s="5">
        <v>60296.486666666671</v>
      </c>
      <c r="AG112" s="5">
        <v>1.4340494494097509</v>
      </c>
      <c r="AH112" s="6">
        <v>227499.09666666668</v>
      </c>
      <c r="AI112" s="6">
        <v>0.48577385845395848</v>
      </c>
      <c r="AJ112" s="5">
        <v>145905.39333333334</v>
      </c>
      <c r="AK112" s="5">
        <v>0.54980338003696427</v>
      </c>
      <c r="AL112" s="6">
        <v>3270438.9766666666</v>
      </c>
      <c r="AM112" s="6">
        <v>0.1761549531377064</v>
      </c>
    </row>
    <row r="113" spans="1:39" ht="18.75" customHeight="1">
      <c r="A113" s="13"/>
      <c r="B113" s="13" t="b">
        <v>0</v>
      </c>
      <c r="C113" s="13" t="s">
        <v>118</v>
      </c>
      <c r="D113" s="13" t="s">
        <v>1</v>
      </c>
      <c r="E113" s="3">
        <v>41436.804363425923</v>
      </c>
      <c r="F113" s="4" t="s">
        <v>424</v>
      </c>
      <c r="G113" s="5" t="s">
        <v>0</v>
      </c>
      <c r="H113" s="5">
        <v>1</v>
      </c>
      <c r="I113" s="13" t="s">
        <v>194</v>
      </c>
      <c r="J113" s="6" t="s">
        <v>416</v>
      </c>
      <c r="K113" s="6">
        <v>166.67666666666665</v>
      </c>
      <c r="L113" s="6">
        <v>14.000160097529399</v>
      </c>
      <c r="M113" s="5" t="s">
        <v>405</v>
      </c>
      <c r="N113" s="5">
        <v>505.58333333333331</v>
      </c>
      <c r="O113" s="5">
        <v>11.965506686147526</v>
      </c>
      <c r="P113" s="6" t="s">
        <v>414</v>
      </c>
      <c r="Q113" s="6">
        <v>21874.133333333331</v>
      </c>
      <c r="R113" s="6">
        <v>2.7401533194112497</v>
      </c>
      <c r="S113" s="5" t="s">
        <v>415</v>
      </c>
      <c r="T113" s="5">
        <v>505.59</v>
      </c>
      <c r="U113" s="5">
        <v>10.679770321113438</v>
      </c>
      <c r="V113" s="6" t="s">
        <v>405</v>
      </c>
      <c r="W113" s="6">
        <v>1160.1033333333335</v>
      </c>
      <c r="X113" s="6">
        <v>7.3317996925058218</v>
      </c>
      <c r="Y113" s="5" t="s">
        <v>407</v>
      </c>
      <c r="Z113" s="5">
        <v>1402.3499999999997</v>
      </c>
      <c r="AA113" s="5">
        <v>8.1887365436031683</v>
      </c>
      <c r="AB113" s="6" t="s">
        <v>413</v>
      </c>
      <c r="AC113" s="6">
        <v>952.3</v>
      </c>
      <c r="AD113" s="6">
        <v>8.8999129788945286</v>
      </c>
      <c r="AE113" s="5" t="s">
        <v>412</v>
      </c>
      <c r="AF113" s="5">
        <v>564.48</v>
      </c>
      <c r="AG113" s="5">
        <v>0.68118494770556637</v>
      </c>
      <c r="AH113" s="6">
        <v>224939.59</v>
      </c>
      <c r="AI113" s="6">
        <v>0.20964569698743224</v>
      </c>
      <c r="AJ113" s="5">
        <v>145226.44333333333</v>
      </c>
      <c r="AK113" s="5">
        <v>0.17385835999636864</v>
      </c>
      <c r="AL113" s="6">
        <v>3264795.4733333332</v>
      </c>
      <c r="AM113" s="6">
        <v>0.39956606471096018</v>
      </c>
    </row>
    <row r="114" spans="1:39" ht="18.75" customHeight="1">
      <c r="A114" s="13"/>
      <c r="B114" s="13" t="b">
        <v>0</v>
      </c>
      <c r="C114" s="13" t="s">
        <v>119</v>
      </c>
      <c r="D114" s="13" t="s">
        <v>361</v>
      </c>
      <c r="E114" s="3">
        <v>41436.80746527778</v>
      </c>
      <c r="F114" s="4" t="s">
        <v>454</v>
      </c>
      <c r="G114" s="5" t="s">
        <v>0</v>
      </c>
      <c r="H114" s="5">
        <v>0.81381011097410605</v>
      </c>
      <c r="I114" s="13" t="s">
        <v>299</v>
      </c>
      <c r="J114" s="6">
        <v>118.407254283165</v>
      </c>
      <c r="K114" s="6">
        <v>14718.159999999998</v>
      </c>
      <c r="L114" s="6">
        <v>0.37407973156631108</v>
      </c>
      <c r="M114" s="5">
        <v>0.28848611092535698</v>
      </c>
      <c r="N114" s="5">
        <v>6502.6833333333343</v>
      </c>
      <c r="O114" s="5">
        <v>4.0070857395451105</v>
      </c>
      <c r="P114" s="6">
        <v>182.62270941792099</v>
      </c>
      <c r="Q114" s="6">
        <v>5839273.9400000004</v>
      </c>
      <c r="R114" s="6">
        <v>1.1695057371187783</v>
      </c>
      <c r="S114" s="5">
        <v>181.78819072742499</v>
      </c>
      <c r="T114" s="5">
        <v>141450.57333333333</v>
      </c>
      <c r="U114" s="5">
        <v>1.611323127199632</v>
      </c>
      <c r="V114" s="6" t="s">
        <v>405</v>
      </c>
      <c r="W114" s="6">
        <v>1880.1966666666667</v>
      </c>
      <c r="X114" s="6">
        <v>3.3120738356477655</v>
      </c>
      <c r="Y114" s="5">
        <v>6.0488921673464899</v>
      </c>
      <c r="Z114" s="5">
        <v>265401.51333333337</v>
      </c>
      <c r="AA114" s="5">
        <v>1.6933078817140939</v>
      </c>
      <c r="AB114" s="6">
        <v>193.90968674735001</v>
      </c>
      <c r="AC114" s="6">
        <v>2498751.2966666669</v>
      </c>
      <c r="AD114" s="6">
        <v>1.2305193425420298</v>
      </c>
      <c r="AE114" s="5">
        <v>209.23935903803999</v>
      </c>
      <c r="AF114" s="5">
        <v>1599675.7933333337</v>
      </c>
      <c r="AG114" s="5">
        <v>1.0598934192733334</v>
      </c>
      <c r="AH114" s="6">
        <v>227194.02333333335</v>
      </c>
      <c r="AI114" s="6">
        <v>1.3637252003318476</v>
      </c>
      <c r="AJ114" s="5">
        <v>142895.13666666669</v>
      </c>
      <c r="AK114" s="5">
        <v>0.47284050178093406</v>
      </c>
      <c r="AL114" s="6">
        <v>3249087.66</v>
      </c>
      <c r="AM114" s="6">
        <v>0.6560686256959759</v>
      </c>
    </row>
    <row r="115" spans="1:39" ht="18.75" customHeight="1">
      <c r="A115" s="13"/>
      <c r="B115" s="13" t="b">
        <v>0</v>
      </c>
      <c r="C115" s="13" t="s">
        <v>120</v>
      </c>
      <c r="D115" s="13" t="s">
        <v>362</v>
      </c>
      <c r="E115" s="3">
        <v>41436.810578703706</v>
      </c>
      <c r="F115" s="4" t="s">
        <v>454</v>
      </c>
      <c r="G115" s="5" t="s">
        <v>0</v>
      </c>
      <c r="H115" s="5">
        <v>0.81081081081081074</v>
      </c>
      <c r="I115" s="13" t="s">
        <v>300</v>
      </c>
      <c r="J115" s="6">
        <v>107.502488632349</v>
      </c>
      <c r="K115" s="6">
        <v>13518.193333333335</v>
      </c>
      <c r="L115" s="6">
        <v>2.7953957638563023</v>
      </c>
      <c r="M115" s="5">
        <v>0.219601079312819</v>
      </c>
      <c r="N115" s="5">
        <v>5111.03</v>
      </c>
      <c r="O115" s="5">
        <v>2.3274473931663158</v>
      </c>
      <c r="P115" s="6">
        <v>99.786380415114195</v>
      </c>
      <c r="Q115" s="6">
        <v>3234805.5066666664</v>
      </c>
      <c r="R115" s="6">
        <v>0.57451236025775798</v>
      </c>
      <c r="S115" s="5">
        <v>100.11949506976001</v>
      </c>
      <c r="T115" s="5">
        <v>78947.460000000006</v>
      </c>
      <c r="U115" s="5">
        <v>1.120823264662878</v>
      </c>
      <c r="V115" s="6" t="s">
        <v>405</v>
      </c>
      <c r="W115" s="6">
        <v>1629.0566666666666</v>
      </c>
      <c r="X115" s="6">
        <v>4.3908990071199989</v>
      </c>
      <c r="Y115" s="5">
        <v>6.1041482005564296</v>
      </c>
      <c r="Z115" s="5">
        <v>270673.04666666669</v>
      </c>
      <c r="AA115" s="5">
        <v>1.3024409997616837</v>
      </c>
      <c r="AB115" s="6">
        <v>139.55513556409301</v>
      </c>
      <c r="AC115" s="6">
        <v>1817863.0966666667</v>
      </c>
      <c r="AD115" s="6">
        <v>0.82905610367487415</v>
      </c>
      <c r="AE115" s="5">
        <v>143.02451935278501</v>
      </c>
      <c r="AF115" s="5">
        <v>1105330.3933333333</v>
      </c>
      <c r="AG115" s="5">
        <v>0.56193488673772318</v>
      </c>
      <c r="AH115" s="6">
        <v>233675.83666666667</v>
      </c>
      <c r="AI115" s="6">
        <v>1.0338620744461384</v>
      </c>
      <c r="AJ115" s="5">
        <v>143895.22333333333</v>
      </c>
      <c r="AK115" s="5">
        <v>0.53068838543438879</v>
      </c>
      <c r="AL115" s="6">
        <v>3270123.9466666668</v>
      </c>
      <c r="AM115" s="6">
        <v>0.4985173795773743</v>
      </c>
    </row>
    <row r="116" spans="1:39" ht="18.75" customHeight="1">
      <c r="A116" s="13"/>
      <c r="B116" s="13" t="b">
        <v>0</v>
      </c>
      <c r="C116" s="13" t="s">
        <v>121</v>
      </c>
      <c r="D116" s="13" t="s">
        <v>363</v>
      </c>
      <c r="E116" s="3">
        <v>41436.813680555555</v>
      </c>
      <c r="F116" s="4" t="s">
        <v>454</v>
      </c>
      <c r="G116" s="5" t="s">
        <v>0</v>
      </c>
      <c r="H116" s="5">
        <v>0.86500655307994756</v>
      </c>
      <c r="I116" s="13" t="s">
        <v>301</v>
      </c>
      <c r="J116" s="6">
        <v>88.186272697011006</v>
      </c>
      <c r="K116" s="6">
        <v>10377.026666666667</v>
      </c>
      <c r="L116" s="6">
        <v>1.6223081672635526</v>
      </c>
      <c r="M116" s="5">
        <v>0.17465645040321701</v>
      </c>
      <c r="N116" s="5">
        <v>3908.4166666666665</v>
      </c>
      <c r="O116" s="5">
        <v>1.3332300596716993</v>
      </c>
      <c r="P116" s="6">
        <v>68.053962898571697</v>
      </c>
      <c r="Q116" s="6">
        <v>2066082.4166666667</v>
      </c>
      <c r="R116" s="6">
        <v>1.4409330458125273</v>
      </c>
      <c r="S116" s="5">
        <v>66.6437524137297</v>
      </c>
      <c r="T116" s="5">
        <v>49197.173333333332</v>
      </c>
      <c r="U116" s="5">
        <v>0.82428228510484036</v>
      </c>
      <c r="V116" s="6" t="s">
        <v>405</v>
      </c>
      <c r="W116" s="6">
        <v>1501.2533333333333</v>
      </c>
      <c r="X116" s="6">
        <v>4.1088530414547586</v>
      </c>
      <c r="Y116" s="5">
        <v>3.98415815883016</v>
      </c>
      <c r="Z116" s="5">
        <v>165381.93000000002</v>
      </c>
      <c r="AA116" s="5">
        <v>0.61225967404024384</v>
      </c>
      <c r="AB116" s="6">
        <v>163.48628281585999</v>
      </c>
      <c r="AC116" s="6">
        <v>1986701.2366666666</v>
      </c>
      <c r="AD116" s="6">
        <v>0.82716683209288266</v>
      </c>
      <c r="AE116" s="5">
        <v>166.22633785484001</v>
      </c>
      <c r="AF116" s="5">
        <v>1198466.5533333335</v>
      </c>
      <c r="AG116" s="5">
        <v>0.75732727491430851</v>
      </c>
      <c r="AH116" s="6">
        <v>233084.94666666666</v>
      </c>
      <c r="AI116" s="6">
        <v>1.4145104331775624</v>
      </c>
      <c r="AJ116" s="5">
        <v>143219.93000000002</v>
      </c>
      <c r="AK116" s="5">
        <v>0.75981249950502772</v>
      </c>
      <c r="AL116" s="6">
        <v>3242857</v>
      </c>
      <c r="AM116" s="6">
        <v>0.66765717422716753</v>
      </c>
    </row>
    <row r="117" spans="1:39" ht="18.75" customHeight="1">
      <c r="A117" s="13"/>
      <c r="B117" s="13" t="b">
        <v>0</v>
      </c>
      <c r="C117" s="13" t="s">
        <v>122</v>
      </c>
      <c r="D117" s="13" t="s">
        <v>365</v>
      </c>
      <c r="E117" s="3">
        <v>41436.816770833335</v>
      </c>
      <c r="F117" s="4" t="s">
        <v>454</v>
      </c>
      <c r="G117" s="5" t="s">
        <v>0</v>
      </c>
      <c r="H117" s="5">
        <v>0.68965517241379304</v>
      </c>
      <c r="I117" s="13" t="s">
        <v>302</v>
      </c>
      <c r="J117" s="6">
        <v>109.62289623228899</v>
      </c>
      <c r="K117" s="6">
        <v>16105.096666666666</v>
      </c>
      <c r="L117" s="6">
        <v>2.5978398243565004</v>
      </c>
      <c r="M117" s="5">
        <v>0.20211246924508899</v>
      </c>
      <c r="N117" s="5">
        <v>5466.7266666666665</v>
      </c>
      <c r="O117" s="5">
        <v>2.2616978015232174</v>
      </c>
      <c r="P117" s="6">
        <v>52.516223517928701</v>
      </c>
      <c r="Q117" s="6">
        <v>2000677.7866666664</v>
      </c>
      <c r="R117" s="6">
        <v>1.3949284261863437</v>
      </c>
      <c r="S117" s="5">
        <v>51.773544364811897</v>
      </c>
      <c r="T117" s="5">
        <v>47950.063333333332</v>
      </c>
      <c r="U117" s="5">
        <v>1.1685670499855789</v>
      </c>
      <c r="V117" s="6">
        <v>0.136305901372618</v>
      </c>
      <c r="W117" s="6">
        <v>10521.586666666668</v>
      </c>
      <c r="X117" s="6">
        <v>3.8293284718687981</v>
      </c>
      <c r="Y117" s="5">
        <v>3.5220826956734501</v>
      </c>
      <c r="Z117" s="5">
        <v>183231.84</v>
      </c>
      <c r="AA117" s="5">
        <v>1.0353906919556386</v>
      </c>
      <c r="AB117" s="6">
        <v>191.05906080472599</v>
      </c>
      <c r="AC117" s="6">
        <v>2911985.4766666666</v>
      </c>
      <c r="AD117" s="6">
        <v>1.444488542384716</v>
      </c>
      <c r="AE117" s="5">
        <v>204.800187274102</v>
      </c>
      <c r="AF117" s="5">
        <v>1851843.1666666667</v>
      </c>
      <c r="AG117" s="5">
        <v>0.70959995731633807</v>
      </c>
      <c r="AH117" s="6">
        <v>237191.67333333334</v>
      </c>
      <c r="AI117" s="6">
        <v>0.16779497275637376</v>
      </c>
      <c r="AJ117" s="5">
        <v>143232.82333333333</v>
      </c>
      <c r="AK117" s="5">
        <v>1.0382266679973298</v>
      </c>
      <c r="AL117" s="6">
        <v>3249744.95</v>
      </c>
      <c r="AM117" s="6">
        <v>0.71300774886164997</v>
      </c>
    </row>
    <row r="118" spans="1:39" ht="18.75" customHeight="1">
      <c r="A118" s="13" t="s">
        <v>471</v>
      </c>
      <c r="B118" s="13" t="b">
        <v>0</v>
      </c>
      <c r="C118" s="13" t="s">
        <v>123</v>
      </c>
      <c r="D118" s="13" t="s">
        <v>367</v>
      </c>
      <c r="E118" s="3">
        <v>41436.819884259261</v>
      </c>
      <c r="F118" s="4" t="s">
        <v>454</v>
      </c>
      <c r="G118" s="5" t="s">
        <v>0</v>
      </c>
      <c r="H118" s="5">
        <v>0.76388888888888873</v>
      </c>
      <c r="I118" s="13" t="s">
        <v>303</v>
      </c>
      <c r="J118" s="6">
        <v>199.449625895601</v>
      </c>
      <c r="K118" s="6">
        <v>31917.976666666666</v>
      </c>
      <c r="L118" s="6">
        <v>1.9222249325434722</v>
      </c>
      <c r="M118" s="5">
        <v>0.40438081859499397</v>
      </c>
      <c r="N118" s="5">
        <v>11602.343333333332</v>
      </c>
      <c r="O118" s="5">
        <v>2.9034819994929224</v>
      </c>
      <c r="P118" s="6">
        <v>127.94856809948401</v>
      </c>
      <c r="Q118" s="6">
        <v>5305414.7833333332</v>
      </c>
      <c r="R118" s="6">
        <v>1.9399832551550169</v>
      </c>
      <c r="S118" s="5">
        <v>127.975070114617</v>
      </c>
      <c r="T118" s="5">
        <v>128711.25</v>
      </c>
      <c r="U118" s="5">
        <v>1.5315116092676222</v>
      </c>
      <c r="V118" s="6" t="s">
        <v>405</v>
      </c>
      <c r="W118" s="6">
        <v>1823.5266666666666</v>
      </c>
      <c r="X118" s="6">
        <v>11.56694168291836</v>
      </c>
      <c r="Y118" s="5">
        <v>6.4056183005241802</v>
      </c>
      <c r="Z118" s="5">
        <v>362992.49333333335</v>
      </c>
      <c r="AA118" s="5">
        <v>1.5376485179042179</v>
      </c>
      <c r="AB118" s="6">
        <v>2.65985537519059</v>
      </c>
      <c r="AC118" s="6">
        <v>45166.016666666663</v>
      </c>
      <c r="AD118" s="6">
        <v>1.2225113245642243</v>
      </c>
      <c r="AE118" s="5">
        <v>2.8526587357373701</v>
      </c>
      <c r="AF118" s="5">
        <v>28771.61</v>
      </c>
      <c r="AG118" s="5">
        <v>1.3756476193676042</v>
      </c>
      <c r="AH118" s="6">
        <v>298213.69499999995</v>
      </c>
      <c r="AI118" s="6">
        <v>6.2526258617291175</v>
      </c>
      <c r="AJ118" s="5">
        <v>171935.63500000001</v>
      </c>
      <c r="AK118" s="5">
        <v>0.99019259503361889</v>
      </c>
      <c r="AL118" s="6">
        <v>4080458.2749999999</v>
      </c>
      <c r="AM118" s="6">
        <v>2.8347882742209807</v>
      </c>
    </row>
    <row r="119" spans="1:39" ht="18.75" customHeight="1">
      <c r="A119" s="13"/>
      <c r="B119" s="13" t="b">
        <v>0</v>
      </c>
      <c r="C119" s="13" t="s">
        <v>124</v>
      </c>
      <c r="D119" s="13" t="s">
        <v>368</v>
      </c>
      <c r="E119" s="3">
        <v>41436.822997685187</v>
      </c>
      <c r="F119" s="4" t="s">
        <v>454</v>
      </c>
      <c r="G119" s="5" t="s">
        <v>0</v>
      </c>
      <c r="H119" s="5">
        <v>1.0185185185185186</v>
      </c>
      <c r="I119" s="13" t="s">
        <v>304</v>
      </c>
      <c r="J119" s="6">
        <v>199.32225550952501</v>
      </c>
      <c r="K119" s="6">
        <v>19848.09</v>
      </c>
      <c r="L119" s="6">
        <v>1.2714119819598866</v>
      </c>
      <c r="M119" s="5">
        <v>0.44226253847924701</v>
      </c>
      <c r="N119" s="5">
        <v>7898.916666666667</v>
      </c>
      <c r="O119" s="5">
        <v>5.688588977186865</v>
      </c>
      <c r="P119" s="6">
        <v>103.955406583147</v>
      </c>
      <c r="Q119" s="6">
        <v>2681134.9599999995</v>
      </c>
      <c r="R119" s="6">
        <v>0.59526129872653544</v>
      </c>
      <c r="S119" s="5">
        <v>103.41133676905</v>
      </c>
      <c r="T119" s="5">
        <v>64865.253333333334</v>
      </c>
      <c r="U119" s="5">
        <v>1.3192872784789804</v>
      </c>
      <c r="V119" s="6" t="s">
        <v>405</v>
      </c>
      <c r="W119" s="6">
        <v>1501.2566666666669</v>
      </c>
      <c r="X119" s="6">
        <v>2.7767016553014745</v>
      </c>
      <c r="Y119" s="5">
        <v>7.61492368210995</v>
      </c>
      <c r="Z119" s="5">
        <v>268285.61333333334</v>
      </c>
      <c r="AA119" s="5">
        <v>1.2170398371842408</v>
      </c>
      <c r="AB119" s="6">
        <v>2.2437342749806999</v>
      </c>
      <c r="AC119" s="6">
        <v>24076.2</v>
      </c>
      <c r="AD119" s="6">
        <v>0.73446589094303072</v>
      </c>
      <c r="AE119" s="5">
        <v>2.3475825609947298</v>
      </c>
      <c r="AF119" s="5">
        <v>14936.206666666667</v>
      </c>
      <c r="AG119" s="5">
        <v>1.9643086146272402</v>
      </c>
      <c r="AH119" s="6">
        <v>233968.84333333335</v>
      </c>
      <c r="AI119" s="6">
        <v>0.68336475133326724</v>
      </c>
      <c r="AJ119" s="5">
        <v>143625.96666666667</v>
      </c>
      <c r="AK119" s="5">
        <v>1.2757981546517652</v>
      </c>
      <c r="AL119" s="6">
        <v>3263287.94</v>
      </c>
      <c r="AM119" s="6">
        <v>1.1190148192507279</v>
      </c>
    </row>
    <row r="120" spans="1:39" ht="18.75" customHeight="1">
      <c r="A120" s="13"/>
      <c r="B120" s="13" t="b">
        <v>0</v>
      </c>
      <c r="C120" s="13" t="s">
        <v>125</v>
      </c>
      <c r="D120" s="13" t="s">
        <v>370</v>
      </c>
      <c r="E120" s="3">
        <v>41436.826099537036</v>
      </c>
      <c r="F120" s="4" t="s">
        <v>454</v>
      </c>
      <c r="G120" s="5" t="s">
        <v>0</v>
      </c>
      <c r="H120" s="5">
        <v>2.0183486238532109</v>
      </c>
      <c r="I120" s="13" t="s">
        <v>305</v>
      </c>
      <c r="J120" s="6">
        <v>143.437945045562</v>
      </c>
      <c r="K120" s="6">
        <v>7325.2666666666664</v>
      </c>
      <c r="L120" s="6">
        <v>4.3595685544318892</v>
      </c>
      <c r="M120" s="5">
        <v>0.33260024824486101</v>
      </c>
      <c r="N120" s="5">
        <v>3294.9466666666667</v>
      </c>
      <c r="O120" s="5">
        <v>7.9432706696500324</v>
      </c>
      <c r="P120" s="6">
        <v>55.672480845417702</v>
      </c>
      <c r="Q120" s="6">
        <v>743651.59666666668</v>
      </c>
      <c r="R120" s="6">
        <v>1.0280132661944068</v>
      </c>
      <c r="S120" s="5">
        <v>57.346279286600698</v>
      </c>
      <c r="T120" s="5">
        <v>18555.526666666668</v>
      </c>
      <c r="U120" s="5">
        <v>1.5687304422452402</v>
      </c>
      <c r="V120" s="6">
        <v>3.0651938478162E-2</v>
      </c>
      <c r="W120" s="6">
        <v>1694.6066666666666</v>
      </c>
      <c r="X120" s="6">
        <v>3.5262927203220884</v>
      </c>
      <c r="Y120" s="5">
        <v>5.0212446725709903</v>
      </c>
      <c r="Z120" s="5">
        <v>90587.28333333334</v>
      </c>
      <c r="AA120" s="5">
        <v>0.68395616902948686</v>
      </c>
      <c r="AB120" s="6">
        <v>4.10361026674114</v>
      </c>
      <c r="AC120" s="6">
        <v>22376.99</v>
      </c>
      <c r="AD120" s="6">
        <v>1.9838887418898701</v>
      </c>
      <c r="AE120" s="5">
        <v>4.4794748047433597</v>
      </c>
      <c r="AF120" s="5">
        <v>14460.276666666667</v>
      </c>
      <c r="AG120" s="5">
        <v>1.5781220085434902</v>
      </c>
      <c r="AH120" s="6">
        <v>241211.6</v>
      </c>
      <c r="AI120" s="6">
        <v>1.1731554724018207</v>
      </c>
      <c r="AJ120" s="5">
        <v>144188.84666666668</v>
      </c>
      <c r="AK120" s="5">
        <v>0.64110296751671414</v>
      </c>
      <c r="AL120" s="6">
        <v>3253193.32</v>
      </c>
      <c r="AM120" s="6">
        <v>0.90406944407448231</v>
      </c>
    </row>
    <row r="121" spans="1:39" ht="18.75" customHeight="1">
      <c r="A121" s="13"/>
      <c r="B121" s="13" t="b">
        <v>0</v>
      </c>
      <c r="C121" s="13" t="s">
        <v>126</v>
      </c>
      <c r="D121" s="13" t="s">
        <v>371</v>
      </c>
      <c r="E121" s="3">
        <v>41436.829212962963</v>
      </c>
      <c r="F121" s="4" t="s">
        <v>454</v>
      </c>
      <c r="G121" s="5" t="s">
        <v>0</v>
      </c>
      <c r="H121" s="5">
        <v>0.78106508875739644</v>
      </c>
      <c r="I121" s="13" t="s">
        <v>306</v>
      </c>
      <c r="J121" s="6">
        <v>143.99289077882901</v>
      </c>
      <c r="K121" s="6">
        <v>18577.723333333335</v>
      </c>
      <c r="L121" s="6">
        <v>0.51557894828286455</v>
      </c>
      <c r="M121" s="5">
        <v>0.32180181578463901</v>
      </c>
      <c r="N121" s="5">
        <v>7469.833333333333</v>
      </c>
      <c r="O121" s="5">
        <v>3.6221471846700539</v>
      </c>
      <c r="P121" s="6">
        <v>46.4133762583226</v>
      </c>
      <c r="Q121" s="6">
        <v>1559557.0233333334</v>
      </c>
      <c r="R121" s="6">
        <v>0.84881906017385633</v>
      </c>
      <c r="S121" s="5">
        <v>45.786964655953099</v>
      </c>
      <c r="T121" s="5">
        <v>37387.596666666672</v>
      </c>
      <c r="U121" s="5">
        <v>1.3648608244487812</v>
      </c>
      <c r="V121" s="6" t="s">
        <v>405</v>
      </c>
      <c r="W121" s="6">
        <v>2224.6933333333332</v>
      </c>
      <c r="X121" s="6">
        <v>0.9515265719168744</v>
      </c>
      <c r="Y121" s="5">
        <v>2.5732190716137899</v>
      </c>
      <c r="Z121" s="5">
        <v>118215.76333333335</v>
      </c>
      <c r="AA121" s="5">
        <v>1.1100338337812776</v>
      </c>
      <c r="AB121" s="6">
        <v>2.8396526042355799</v>
      </c>
      <c r="AC121" s="6">
        <v>38905.839999999997</v>
      </c>
      <c r="AD121" s="6">
        <v>1.1131166410999891</v>
      </c>
      <c r="AE121" s="5">
        <v>3.0349299559064198</v>
      </c>
      <c r="AF121" s="5">
        <v>24647.093333333334</v>
      </c>
      <c r="AG121" s="5">
        <v>2.058677472488819</v>
      </c>
      <c r="AH121" s="6">
        <v>234201.20333333334</v>
      </c>
      <c r="AI121" s="6">
        <v>0.83167168136236369</v>
      </c>
      <c r="AJ121" s="5">
        <v>142633.43</v>
      </c>
      <c r="AK121" s="5">
        <v>0.3480190079231098</v>
      </c>
      <c r="AL121" s="6">
        <v>3238200.1933333334</v>
      </c>
      <c r="AM121" s="6">
        <v>1.0871526415295363</v>
      </c>
    </row>
    <row r="122" spans="1:39" ht="18.75" customHeight="1">
      <c r="A122" s="13"/>
      <c r="B122" s="13" t="b">
        <v>0</v>
      </c>
      <c r="C122" s="13" t="s">
        <v>128</v>
      </c>
      <c r="D122" s="13" t="s">
        <v>372</v>
      </c>
      <c r="E122" s="3">
        <v>41436.832326388889</v>
      </c>
      <c r="F122" s="4" t="s">
        <v>454</v>
      </c>
      <c r="G122" s="5" t="s">
        <v>0</v>
      </c>
      <c r="H122" s="5">
        <v>0.85051546391752586</v>
      </c>
      <c r="I122" s="13" t="s">
        <v>307</v>
      </c>
      <c r="J122" s="6">
        <v>103.739208970833</v>
      </c>
      <c r="K122" s="6">
        <v>12555.256666666668</v>
      </c>
      <c r="L122" s="6">
        <v>1.8781394355231396</v>
      </c>
      <c r="M122" s="5">
        <v>0.168615919497655</v>
      </c>
      <c r="N122" s="5">
        <v>3897.2933333333335</v>
      </c>
      <c r="O122" s="5">
        <v>1.1766193491765755</v>
      </c>
      <c r="P122" s="6">
        <v>166.32897315788301</v>
      </c>
      <c r="Q122" s="6">
        <v>5171747.84</v>
      </c>
      <c r="R122" s="6">
        <v>0.78510359467167634</v>
      </c>
      <c r="S122" s="5">
        <v>164.974810627023</v>
      </c>
      <c r="T122" s="5">
        <v>124828.26666666666</v>
      </c>
      <c r="U122" s="5">
        <v>0.5627424750021075</v>
      </c>
      <c r="V122" s="6" t="s">
        <v>405</v>
      </c>
      <c r="W122" s="6">
        <v>1650.16</v>
      </c>
      <c r="X122" s="6">
        <v>4.0553957058969168</v>
      </c>
      <c r="Y122" s="5">
        <v>6.1788531958069903</v>
      </c>
      <c r="Z122" s="5">
        <v>263531.77</v>
      </c>
      <c r="AA122" s="5">
        <v>0.61245620626954533</v>
      </c>
      <c r="AB122" s="6">
        <v>10.7617095902676</v>
      </c>
      <c r="AC122" s="6">
        <v>135613.44666666666</v>
      </c>
      <c r="AD122" s="6">
        <v>1.1911933105108001</v>
      </c>
      <c r="AE122" s="5">
        <v>11.5128302553988</v>
      </c>
      <c r="AF122" s="5">
        <v>86050.306666666671</v>
      </c>
      <c r="AG122" s="5">
        <v>0.84884652885967526</v>
      </c>
      <c r="AH122" s="6">
        <v>235035.98666666666</v>
      </c>
      <c r="AI122" s="6">
        <v>1.3957382016276634</v>
      </c>
      <c r="AJ122" s="5">
        <v>145148.81999999998</v>
      </c>
      <c r="AK122" s="5">
        <v>0.51143561678122995</v>
      </c>
      <c r="AL122" s="6">
        <v>3270408.7</v>
      </c>
      <c r="AM122" s="6">
        <v>0.66955957737871941</v>
      </c>
    </row>
    <row r="123" spans="1:39" ht="18.75" customHeight="1">
      <c r="A123" s="13"/>
      <c r="B123" s="13" t="b">
        <v>0</v>
      </c>
      <c r="C123" s="13" t="s">
        <v>129</v>
      </c>
      <c r="D123" s="13" t="s">
        <v>374</v>
      </c>
      <c r="E123" s="3">
        <v>41436.835428240738</v>
      </c>
      <c r="F123" s="4" t="s">
        <v>454</v>
      </c>
      <c r="G123" s="5" t="s">
        <v>0</v>
      </c>
      <c r="H123" s="5">
        <v>0.59891107078039929</v>
      </c>
      <c r="I123" s="13" t="s">
        <v>308</v>
      </c>
      <c r="J123" s="6">
        <v>80.932629214376306</v>
      </c>
      <c r="K123" s="6">
        <v>13821.86</v>
      </c>
      <c r="L123" s="6">
        <v>1.1726296137394869</v>
      </c>
      <c r="M123" s="5">
        <v>0.16232888428671599</v>
      </c>
      <c r="N123" s="5">
        <v>5131.1033333333335</v>
      </c>
      <c r="O123" s="5">
        <v>0.3408320143719431</v>
      </c>
      <c r="P123" s="6">
        <v>151.235229861232</v>
      </c>
      <c r="Q123" s="6">
        <v>6635741.1499999994</v>
      </c>
      <c r="R123" s="6">
        <v>1.5470918011377734</v>
      </c>
      <c r="S123" s="5">
        <v>151.23215623049001</v>
      </c>
      <c r="T123" s="5">
        <v>161492.32333333333</v>
      </c>
      <c r="U123" s="5">
        <v>1.6593258880893593</v>
      </c>
      <c r="V123" s="6" t="s">
        <v>405</v>
      </c>
      <c r="W123" s="6">
        <v>2041.34</v>
      </c>
      <c r="X123" s="6">
        <v>3.1930957108270217</v>
      </c>
      <c r="Y123" s="5">
        <v>5.1777490774707102</v>
      </c>
      <c r="Z123" s="5">
        <v>311672.65999999997</v>
      </c>
      <c r="AA123" s="5">
        <v>1.5878466646498366</v>
      </c>
      <c r="AB123" s="6">
        <v>7.9811155627232502</v>
      </c>
      <c r="AC123" s="6">
        <v>142020.98333333331</v>
      </c>
      <c r="AD123" s="6">
        <v>1.1148981041654344</v>
      </c>
      <c r="AE123" s="5">
        <v>8.5889042192493701</v>
      </c>
      <c r="AF123" s="5">
        <v>90649.343333333323</v>
      </c>
      <c r="AG123" s="5">
        <v>0.73777893641818948</v>
      </c>
      <c r="AH123" s="6">
        <v>236655.58666666667</v>
      </c>
      <c r="AI123" s="6">
        <v>1.0712204969446304</v>
      </c>
      <c r="AJ123" s="5">
        <v>144377.22666666668</v>
      </c>
      <c r="AK123" s="5">
        <v>0.56098094162611545</v>
      </c>
      <c r="AL123" s="6">
        <v>3283330.3699999996</v>
      </c>
      <c r="AM123" s="6">
        <v>0.97765609753010396</v>
      </c>
    </row>
    <row r="124" spans="1:39" ht="18.75" customHeight="1">
      <c r="A124" s="13"/>
      <c r="B124" s="13" t="b">
        <v>0</v>
      </c>
      <c r="C124" s="13" t="s">
        <v>130</v>
      </c>
      <c r="D124" s="13" t="s">
        <v>375</v>
      </c>
      <c r="E124" s="3">
        <v>41436.838553240741</v>
      </c>
      <c r="F124" s="4" t="s">
        <v>454</v>
      </c>
      <c r="G124" s="5" t="s">
        <v>0</v>
      </c>
      <c r="H124" s="5">
        <v>1.0138248847926268</v>
      </c>
      <c r="I124" s="13" t="s">
        <v>309</v>
      </c>
      <c r="J124" s="6">
        <v>81.959291457417706</v>
      </c>
      <c r="K124" s="6">
        <v>8405.82</v>
      </c>
      <c r="L124" s="6">
        <v>1.0060516063497598</v>
      </c>
      <c r="M124" s="5">
        <v>0.15197495681794901</v>
      </c>
      <c r="N124" s="5">
        <v>3072.65</v>
      </c>
      <c r="O124" s="5">
        <v>2.3906453100040808</v>
      </c>
      <c r="P124" s="6">
        <v>63.758822181208799</v>
      </c>
      <c r="Q124" s="6">
        <v>1685607.3533333333</v>
      </c>
      <c r="R124" s="6">
        <v>1.4608350986584553</v>
      </c>
      <c r="S124" s="5">
        <v>62.858251975945798</v>
      </c>
      <c r="T124" s="5">
        <v>40392.310000000005</v>
      </c>
      <c r="U124" s="5">
        <v>2.3090814165155873</v>
      </c>
      <c r="V124" s="6" t="s">
        <v>405</v>
      </c>
      <c r="W124" s="6">
        <v>2185.8066666666668</v>
      </c>
      <c r="X124" s="6">
        <v>3.4589438556405034</v>
      </c>
      <c r="Y124" s="5">
        <v>3.7314555700496399</v>
      </c>
      <c r="Z124" s="5">
        <v>134799.42333333334</v>
      </c>
      <c r="AA124" s="5">
        <v>0.93942038735795907</v>
      </c>
      <c r="AB124" s="6">
        <v>6.84814328913642</v>
      </c>
      <c r="AC124" s="6">
        <v>73120.953333333338</v>
      </c>
      <c r="AD124" s="6">
        <v>0.36862549695873759</v>
      </c>
      <c r="AE124" s="5">
        <v>7.2569594900029504</v>
      </c>
      <c r="AF124" s="5">
        <v>45956.33666666667</v>
      </c>
      <c r="AG124" s="5">
        <v>1.4059429486362935</v>
      </c>
      <c r="AH124" s="6">
        <v>240617.08666666667</v>
      </c>
      <c r="AI124" s="6">
        <v>1.2878951320021377</v>
      </c>
      <c r="AJ124" s="5">
        <v>145778.64333333334</v>
      </c>
      <c r="AK124" s="5">
        <v>0.86122405485963438</v>
      </c>
      <c r="AL124" s="6">
        <v>3254475.1266666669</v>
      </c>
      <c r="AM124" s="6">
        <v>0.6072517217637724</v>
      </c>
    </row>
    <row r="125" spans="1:39" ht="18.75" customHeight="1">
      <c r="A125" s="13"/>
      <c r="B125" s="13" t="b">
        <v>0</v>
      </c>
      <c r="C125" s="13" t="s">
        <v>131</v>
      </c>
      <c r="D125" s="13" t="s">
        <v>376</v>
      </c>
      <c r="E125" s="3">
        <v>41436.841666666667</v>
      </c>
      <c r="F125" s="4" t="s">
        <v>454</v>
      </c>
      <c r="G125" s="5" t="s">
        <v>0</v>
      </c>
      <c r="H125" s="5">
        <v>1.0344827586206897</v>
      </c>
      <c r="I125" s="13" t="s">
        <v>310</v>
      </c>
      <c r="J125" s="6">
        <v>98.104734518236796</v>
      </c>
      <c r="K125" s="6">
        <v>9673.2433333333338</v>
      </c>
      <c r="L125" s="6">
        <v>3.5377326040481445</v>
      </c>
      <c r="M125" s="5">
        <v>0.15593916539113201</v>
      </c>
      <c r="N125" s="5">
        <v>3037.0866666666666</v>
      </c>
      <c r="O125" s="5">
        <v>6.7931328864999321</v>
      </c>
      <c r="P125" s="6">
        <v>40.613671591746701</v>
      </c>
      <c r="Q125" s="6">
        <v>1043133.3266666667</v>
      </c>
      <c r="R125" s="6">
        <v>0.80761648428006472</v>
      </c>
      <c r="S125" s="5">
        <v>42.054088322949603</v>
      </c>
      <c r="T125" s="5">
        <v>26201.5</v>
      </c>
      <c r="U125" s="5">
        <v>2.0392151902215043</v>
      </c>
      <c r="V125" s="6">
        <v>3.0648292567675799E-2</v>
      </c>
      <c r="W125" s="6">
        <v>2384.7366666666667</v>
      </c>
      <c r="X125" s="6">
        <v>4.3827871669463558</v>
      </c>
      <c r="Y125" s="5">
        <v>6.6648244049607701</v>
      </c>
      <c r="Z125" s="5">
        <v>231001.23333333331</v>
      </c>
      <c r="AA125" s="5">
        <v>0.3276501442598968</v>
      </c>
      <c r="AB125" s="6">
        <v>12.5032825080688</v>
      </c>
      <c r="AC125" s="6">
        <v>127992.84666666666</v>
      </c>
      <c r="AD125" s="6">
        <v>0.70079043045312928</v>
      </c>
      <c r="AE125" s="5">
        <v>13.388294155910399</v>
      </c>
      <c r="AF125" s="5">
        <v>81287.813333333339</v>
      </c>
      <c r="AG125" s="5">
        <v>1.9524296429318717</v>
      </c>
      <c r="AH125" s="6">
        <v>238914.95666666667</v>
      </c>
      <c r="AI125" s="6">
        <v>1.8514928453054618</v>
      </c>
      <c r="AJ125" s="5">
        <v>143365.41333333333</v>
      </c>
      <c r="AK125" s="5">
        <v>0.42353444117562683</v>
      </c>
      <c r="AL125" s="6">
        <v>3244325.1266666669</v>
      </c>
      <c r="AM125" s="6">
        <v>0.72354584088243223</v>
      </c>
    </row>
    <row r="126" spans="1:39" ht="18.75" customHeight="1">
      <c r="A126" s="13" t="s">
        <v>459</v>
      </c>
      <c r="B126" s="13" t="b">
        <v>0</v>
      </c>
      <c r="C126" s="13" t="s">
        <v>132</v>
      </c>
      <c r="D126" s="13" t="s">
        <v>1</v>
      </c>
      <c r="E126" s="3">
        <v>41436.844756944447</v>
      </c>
      <c r="F126" s="4" t="s">
        <v>424</v>
      </c>
      <c r="G126" s="5" t="s">
        <v>0</v>
      </c>
      <c r="H126" s="5">
        <v>1</v>
      </c>
      <c r="I126" s="13" t="s">
        <v>193</v>
      </c>
      <c r="J126" s="6" t="s">
        <v>416</v>
      </c>
      <c r="K126" s="6">
        <v>155.56666666666666</v>
      </c>
      <c r="L126" s="6">
        <v>21.570408197773723</v>
      </c>
      <c r="M126" s="5" t="s">
        <v>405</v>
      </c>
      <c r="N126" s="5">
        <v>726.7166666666667</v>
      </c>
      <c r="O126" s="5">
        <v>2.7514162156350332</v>
      </c>
      <c r="P126" s="6" t="s">
        <v>414</v>
      </c>
      <c r="Q126" s="6">
        <v>22062.353333333333</v>
      </c>
      <c r="R126" s="6">
        <v>0.23248163432233368</v>
      </c>
      <c r="S126" s="5" t="s">
        <v>415</v>
      </c>
      <c r="T126" s="5">
        <v>543.37333333333333</v>
      </c>
      <c r="U126" s="5">
        <v>11.19489819984941</v>
      </c>
      <c r="V126" s="6" t="s">
        <v>405</v>
      </c>
      <c r="W126" s="6">
        <v>1581.2700000000002</v>
      </c>
      <c r="X126" s="6">
        <v>10.342719172458944</v>
      </c>
      <c r="Y126" s="5" t="s">
        <v>407</v>
      </c>
      <c r="Z126" s="5">
        <v>1713.5066666666669</v>
      </c>
      <c r="AA126" s="5">
        <v>11.981038098141228</v>
      </c>
      <c r="AB126" s="6" t="s">
        <v>413</v>
      </c>
      <c r="AC126" s="6">
        <v>1184.5433333333333</v>
      </c>
      <c r="AD126" s="6">
        <v>13.34786436940861</v>
      </c>
      <c r="AE126" s="5" t="s">
        <v>412</v>
      </c>
      <c r="AF126" s="5">
        <v>741.16666666666663</v>
      </c>
      <c r="AG126" s="5">
        <v>20.166580246478041</v>
      </c>
      <c r="AH126" s="6">
        <v>260422.32333333333</v>
      </c>
      <c r="AI126" s="6">
        <v>18.227175236031172</v>
      </c>
      <c r="AJ126" s="5">
        <v>155884.30666666667</v>
      </c>
      <c r="AK126" s="5">
        <v>17.625959377418035</v>
      </c>
      <c r="AL126" s="6">
        <v>3583179.6666666665</v>
      </c>
      <c r="AM126" s="6">
        <v>17.455428983522587</v>
      </c>
    </row>
    <row r="127" spans="1:39" ht="18.75" customHeight="1">
      <c r="A127" s="13"/>
      <c r="B127" s="13" t="b">
        <v>0</v>
      </c>
      <c r="C127" s="13" t="s">
        <v>133</v>
      </c>
      <c r="D127" s="13" t="s">
        <v>483</v>
      </c>
      <c r="E127" s="3">
        <v>41436.84784722222</v>
      </c>
      <c r="F127" s="4" t="s">
        <v>452</v>
      </c>
      <c r="G127" s="5" t="s">
        <v>0</v>
      </c>
      <c r="H127" s="5">
        <v>1</v>
      </c>
      <c r="I127" s="13" t="s">
        <v>204</v>
      </c>
      <c r="J127" s="6">
        <v>11.9216393594045</v>
      </c>
      <c r="K127" s="6">
        <v>1364.5633333333333</v>
      </c>
      <c r="L127" s="6">
        <v>5.3820393326039957</v>
      </c>
      <c r="M127" s="5">
        <v>9.2739414465289105</v>
      </c>
      <c r="N127" s="5">
        <v>162290.21333333335</v>
      </c>
      <c r="O127" s="5">
        <v>0.9375850794959022</v>
      </c>
      <c r="P127" s="6">
        <v>9.3658005694181306</v>
      </c>
      <c r="Q127" s="6">
        <v>270823.28666666668</v>
      </c>
      <c r="R127" s="6">
        <v>0.50698005289730064</v>
      </c>
      <c r="S127" s="5">
        <v>9.7119636365027695</v>
      </c>
      <c r="T127" s="5">
        <v>6735.0133333333333</v>
      </c>
      <c r="U127" s="5">
        <v>2.8500596540320053</v>
      </c>
      <c r="V127" s="6">
        <v>9.3942505757154695</v>
      </c>
      <c r="W127" s="6">
        <v>465387.98</v>
      </c>
      <c r="X127" s="6">
        <v>1.3929200322582456</v>
      </c>
      <c r="Y127" s="5">
        <v>9.5419615171993897</v>
      </c>
      <c r="Z127" s="5">
        <v>348136.84</v>
      </c>
      <c r="AA127" s="5">
        <v>0.94771488747729393</v>
      </c>
      <c r="AB127" s="6">
        <v>9.3099397316391403</v>
      </c>
      <c r="AC127" s="6">
        <v>100723.38333333335</v>
      </c>
      <c r="AD127" s="6">
        <v>2.2689676714022897</v>
      </c>
      <c r="AE127" s="5">
        <v>9.3743744573148593</v>
      </c>
      <c r="AF127" s="5">
        <v>60182.626666666671</v>
      </c>
      <c r="AG127" s="5">
        <v>1.6116576266056466</v>
      </c>
      <c r="AH127" s="6">
        <v>227606.86666666667</v>
      </c>
      <c r="AI127" s="6">
        <v>0.32255909054472276</v>
      </c>
      <c r="AJ127" s="5">
        <v>146178.01666666666</v>
      </c>
      <c r="AK127" s="5">
        <v>0.16764360025224617</v>
      </c>
      <c r="AL127" s="6">
        <v>3263477.66</v>
      </c>
      <c r="AM127" s="6">
        <v>0.16043341804664571</v>
      </c>
    </row>
    <row r="128" spans="1:39" ht="18.75" customHeight="1">
      <c r="A128" s="13"/>
      <c r="B128" s="13" t="b">
        <v>0</v>
      </c>
      <c r="C128" s="13" t="s">
        <v>134</v>
      </c>
      <c r="D128" s="13" t="s">
        <v>1</v>
      </c>
      <c r="E128" s="3">
        <v>41436.850937499999</v>
      </c>
      <c r="F128" s="4" t="s">
        <v>424</v>
      </c>
      <c r="G128" s="5" t="s">
        <v>0</v>
      </c>
      <c r="H128" s="5">
        <v>1</v>
      </c>
      <c r="I128" s="13" t="s">
        <v>194</v>
      </c>
      <c r="J128" s="6" t="s">
        <v>416</v>
      </c>
      <c r="K128" s="6">
        <v>140.01</v>
      </c>
      <c r="L128" s="6">
        <v>25.196281865705551</v>
      </c>
      <c r="M128" s="5" t="s">
        <v>405</v>
      </c>
      <c r="N128" s="5">
        <v>547.81666666666661</v>
      </c>
      <c r="O128" s="5">
        <v>10.368558455142752</v>
      </c>
      <c r="P128" s="6" t="s">
        <v>414</v>
      </c>
      <c r="Q128" s="6">
        <v>21471.360000000001</v>
      </c>
      <c r="R128" s="6">
        <v>1.7404931385601774</v>
      </c>
      <c r="S128" s="5" t="s">
        <v>415</v>
      </c>
      <c r="T128" s="5">
        <v>566.70000000000005</v>
      </c>
      <c r="U128" s="5">
        <v>3.0563804615652814</v>
      </c>
      <c r="V128" s="6" t="s">
        <v>405</v>
      </c>
      <c r="W128" s="6">
        <v>1106.7566666666669</v>
      </c>
      <c r="X128" s="6">
        <v>5.0129201196940993</v>
      </c>
      <c r="Y128" s="5" t="s">
        <v>407</v>
      </c>
      <c r="Z128" s="5">
        <v>1405.6866666666665</v>
      </c>
      <c r="AA128" s="5">
        <v>11.39461158915859</v>
      </c>
      <c r="AB128" s="6" t="s">
        <v>413</v>
      </c>
      <c r="AC128" s="6">
        <v>843.4</v>
      </c>
      <c r="AD128" s="6">
        <v>17.189041292968117</v>
      </c>
      <c r="AE128" s="5" t="s">
        <v>412</v>
      </c>
      <c r="AF128" s="5">
        <v>552.25666666666677</v>
      </c>
      <c r="AG128" s="5">
        <v>0.92205583502970689</v>
      </c>
      <c r="AH128" s="6">
        <v>226364.38</v>
      </c>
      <c r="AI128" s="6">
        <v>0.52130262198571198</v>
      </c>
      <c r="AJ128" s="5">
        <v>145659.68999999997</v>
      </c>
      <c r="AK128" s="5">
        <v>0.37688654746686862</v>
      </c>
      <c r="AL128" s="6">
        <v>3246581.3766666665</v>
      </c>
      <c r="AM128" s="6">
        <v>0.43016000436712837</v>
      </c>
    </row>
    <row r="129" spans="1:39" ht="18.75" customHeight="1">
      <c r="A129" s="13"/>
      <c r="B129" s="13" t="b">
        <v>0</v>
      </c>
      <c r="C129" s="13" t="s">
        <v>135</v>
      </c>
      <c r="D129" s="13" t="s">
        <v>378</v>
      </c>
      <c r="E129" s="3">
        <v>41436.854050925926</v>
      </c>
      <c r="F129" s="4" t="s">
        <v>454</v>
      </c>
      <c r="G129" s="5" t="s">
        <v>0</v>
      </c>
      <c r="H129" s="5">
        <v>0.76477404403244498</v>
      </c>
      <c r="I129" s="13" t="s">
        <v>312</v>
      </c>
      <c r="J129" s="6">
        <v>92.706446466593306</v>
      </c>
      <c r="K129" s="6">
        <v>12351.756666666668</v>
      </c>
      <c r="L129" s="6">
        <v>1.2288681066191678</v>
      </c>
      <c r="M129" s="5">
        <v>7.1599370987697794E-2</v>
      </c>
      <c r="N129" s="5">
        <v>2063.5633333333335</v>
      </c>
      <c r="O129" s="5">
        <v>5.0083270279042029</v>
      </c>
      <c r="P129" s="6">
        <v>150.110757625448</v>
      </c>
      <c r="Q129" s="6">
        <v>5137816.6933333343</v>
      </c>
      <c r="R129" s="6">
        <v>0.66927260999788796</v>
      </c>
      <c r="S129" s="5">
        <v>148.648978195903</v>
      </c>
      <c r="T129" s="5">
        <v>123805.81333333334</v>
      </c>
      <c r="U129" s="5">
        <v>1.3397297291170327</v>
      </c>
      <c r="V129" s="6" t="s">
        <v>405</v>
      </c>
      <c r="W129" s="6">
        <v>1531.2566666666669</v>
      </c>
      <c r="X129" s="6">
        <v>5.4054130343531774</v>
      </c>
      <c r="Y129" s="5">
        <v>6.5988688652955796</v>
      </c>
      <c r="Z129" s="5">
        <v>309547.40333333332</v>
      </c>
      <c r="AA129" s="5">
        <v>1.358305458548893</v>
      </c>
      <c r="AB129" s="6">
        <v>6.6399653672896601</v>
      </c>
      <c r="AC129" s="6">
        <v>92377.35</v>
      </c>
      <c r="AD129" s="6">
        <v>0.55905630449040755</v>
      </c>
      <c r="AE129" s="5">
        <v>7.10717257766313</v>
      </c>
      <c r="AF129" s="5">
        <v>58641.48</v>
      </c>
      <c r="AG129" s="5">
        <v>0.56502237870056071</v>
      </c>
      <c r="AH129" s="6">
        <v>234379.16333333333</v>
      </c>
      <c r="AI129" s="6">
        <v>0.6906736415481679</v>
      </c>
      <c r="AJ129" s="5">
        <v>143665.31999999998</v>
      </c>
      <c r="AK129" s="5">
        <v>0.44676761963709444</v>
      </c>
      <c r="AL129" s="6">
        <v>3220487.2433333336</v>
      </c>
      <c r="AM129" s="6">
        <v>0.32515278729440644</v>
      </c>
    </row>
    <row r="130" spans="1:39" ht="18.75" customHeight="1">
      <c r="A130" s="13"/>
      <c r="B130" s="13" t="b">
        <v>0</v>
      </c>
      <c r="C130" s="13" t="s">
        <v>136</v>
      </c>
      <c r="D130" s="13" t="s">
        <v>379</v>
      </c>
      <c r="E130" s="3">
        <v>41436.857175925928</v>
      </c>
      <c r="F130" s="4" t="s">
        <v>454</v>
      </c>
      <c r="G130" s="5" t="s">
        <v>0</v>
      </c>
      <c r="H130" s="5">
        <v>0.88829071332436083</v>
      </c>
      <c r="I130" s="13" t="s">
        <v>313</v>
      </c>
      <c r="J130" s="6">
        <v>84.297186781978994</v>
      </c>
      <c r="K130" s="6">
        <v>9705.4433333333345</v>
      </c>
      <c r="L130" s="6">
        <v>1.5969804129654173</v>
      </c>
      <c r="M130" s="5">
        <v>0.112175578524195</v>
      </c>
      <c r="N130" s="5">
        <v>2625.8933333333334</v>
      </c>
      <c r="O130" s="5">
        <v>5.364684464880825</v>
      </c>
      <c r="P130" s="6">
        <v>130.20596812200299</v>
      </c>
      <c r="Q130" s="6">
        <v>3844727.063333333</v>
      </c>
      <c r="R130" s="6">
        <v>0.57303173389473772</v>
      </c>
      <c r="S130" s="5">
        <v>129.147187338224</v>
      </c>
      <c r="T130" s="5">
        <v>92772.52</v>
      </c>
      <c r="U130" s="5">
        <v>1.5470300547112572</v>
      </c>
      <c r="V130" s="6" t="s">
        <v>405</v>
      </c>
      <c r="W130" s="6">
        <v>1689.0566666666666</v>
      </c>
      <c r="X130" s="6">
        <v>3.097890398570764</v>
      </c>
      <c r="Y130" s="5">
        <v>7.5386465815300001</v>
      </c>
      <c r="Z130" s="5">
        <v>304648.28666666668</v>
      </c>
      <c r="AA130" s="5">
        <v>1.1777439266371665</v>
      </c>
      <c r="AB130" s="6">
        <v>7.92502693295424</v>
      </c>
      <c r="AC130" s="6">
        <v>94961.833333333328</v>
      </c>
      <c r="AD130" s="6">
        <v>0.93652626343306111</v>
      </c>
      <c r="AE130" s="5">
        <v>8.4424746395388706</v>
      </c>
      <c r="AF130" s="5">
        <v>59995.523333333338</v>
      </c>
      <c r="AG130" s="5">
        <v>1.2150438109392829</v>
      </c>
      <c r="AH130" s="6">
        <v>242578.83333333334</v>
      </c>
      <c r="AI130" s="6">
        <v>1.6398901082123694</v>
      </c>
      <c r="AJ130" s="5">
        <v>143760.85666666666</v>
      </c>
      <c r="AK130" s="5">
        <v>1.2679863031370275</v>
      </c>
      <c r="AL130" s="6">
        <v>3234844.706666667</v>
      </c>
      <c r="AM130" s="6">
        <v>2.1420939508605201</v>
      </c>
    </row>
    <row r="131" spans="1:39" ht="18.75" customHeight="1">
      <c r="A131" s="13"/>
      <c r="B131" s="13" t="b">
        <v>0</v>
      </c>
      <c r="C131" s="13" t="s">
        <v>137</v>
      </c>
      <c r="D131" s="13" t="s">
        <v>380</v>
      </c>
      <c r="E131" s="3">
        <v>41436.860289351855</v>
      </c>
      <c r="F131" s="4" t="s">
        <v>454</v>
      </c>
      <c r="G131" s="5" t="s">
        <v>0</v>
      </c>
      <c r="H131" s="5">
        <v>0.859375</v>
      </c>
      <c r="I131" s="13" t="s">
        <v>314</v>
      </c>
      <c r="J131" s="6">
        <v>106.67540498558</v>
      </c>
      <c r="K131" s="6">
        <v>12625.286666666667</v>
      </c>
      <c r="L131" s="6">
        <v>3.0020250594782225</v>
      </c>
      <c r="M131" s="5">
        <v>1.2520384129821001</v>
      </c>
      <c r="N131" s="5">
        <v>25403.683333333334</v>
      </c>
      <c r="O131" s="5">
        <v>1.5948753652679726</v>
      </c>
      <c r="P131" s="6">
        <v>107.555184284813</v>
      </c>
      <c r="Q131" s="6">
        <v>3278906.6166666667</v>
      </c>
      <c r="R131" s="6">
        <v>1.6489241633545246</v>
      </c>
      <c r="S131" s="5">
        <v>106.20124926892299</v>
      </c>
      <c r="T131" s="5">
        <v>78760.19666666667</v>
      </c>
      <c r="U131" s="5">
        <v>0.94686570913500856</v>
      </c>
      <c r="V131" s="6" t="s">
        <v>405</v>
      </c>
      <c r="W131" s="6">
        <v>2122.4566666666665</v>
      </c>
      <c r="X131" s="6">
        <v>1.4254520400346058</v>
      </c>
      <c r="Y131" s="5">
        <v>10.717606869849501</v>
      </c>
      <c r="Z131" s="5">
        <v>446062.95666666672</v>
      </c>
      <c r="AA131" s="5">
        <v>1.0702995233624053</v>
      </c>
      <c r="AB131" s="6">
        <v>12.520193556995199</v>
      </c>
      <c r="AC131" s="6">
        <v>154184.49333333332</v>
      </c>
      <c r="AD131" s="6">
        <v>1.5139204931169647</v>
      </c>
      <c r="AE131" s="5">
        <v>13.3521257239824</v>
      </c>
      <c r="AF131" s="5">
        <v>97534.863333333342</v>
      </c>
      <c r="AG131" s="5">
        <v>2.2825138606591042</v>
      </c>
      <c r="AH131" s="6">
        <v>239021.82666666666</v>
      </c>
      <c r="AI131" s="6">
        <v>2.206847397548545</v>
      </c>
      <c r="AJ131" s="5">
        <v>143439.09666666668</v>
      </c>
      <c r="AK131" s="5">
        <v>0.21882039051987573</v>
      </c>
      <c r="AL131" s="6">
        <v>3244174.85</v>
      </c>
      <c r="AM131" s="6">
        <v>0.47827010342841364</v>
      </c>
    </row>
    <row r="132" spans="1:39" ht="18.75" customHeight="1">
      <c r="A132" s="13"/>
      <c r="B132" s="13" t="b">
        <v>0</v>
      </c>
      <c r="C132" s="13" t="s">
        <v>139</v>
      </c>
      <c r="D132" s="13" t="s">
        <v>381</v>
      </c>
      <c r="E132" s="3">
        <v>41436.863402777781</v>
      </c>
      <c r="F132" s="4" t="s">
        <v>454</v>
      </c>
      <c r="G132" s="5" t="s">
        <v>0</v>
      </c>
      <c r="H132" s="5">
        <v>1.0443037974683544</v>
      </c>
      <c r="I132" s="13" t="s">
        <v>315</v>
      </c>
      <c r="J132" s="6">
        <v>104.569440895406</v>
      </c>
      <c r="K132" s="6">
        <v>10261.406666666668</v>
      </c>
      <c r="L132" s="6">
        <v>1.6878732950269939</v>
      </c>
      <c r="M132" s="5">
        <v>0.109645990669373</v>
      </c>
      <c r="N132" s="5">
        <v>2264.7066666666665</v>
      </c>
      <c r="O132" s="5">
        <v>9.6416137784129656</v>
      </c>
      <c r="P132" s="6">
        <v>54.267740687743</v>
      </c>
      <c r="Q132" s="6">
        <v>1381136.66</v>
      </c>
      <c r="R132" s="6">
        <v>1.2204347070862938</v>
      </c>
      <c r="S132" s="5">
        <v>53.418901541961802</v>
      </c>
      <c r="T132" s="5">
        <v>33028.193333333336</v>
      </c>
      <c r="U132" s="5">
        <v>1.2510078957096422</v>
      </c>
      <c r="V132" s="6" t="s">
        <v>405</v>
      </c>
      <c r="W132" s="6">
        <v>1653.5033333333333</v>
      </c>
      <c r="X132" s="6">
        <v>4.7150164541644477</v>
      </c>
      <c r="Y132" s="5">
        <v>9.5569514451938904</v>
      </c>
      <c r="Z132" s="5">
        <v>329291.63333333336</v>
      </c>
      <c r="AA132" s="5">
        <v>0.99064521974316611</v>
      </c>
      <c r="AB132" s="6">
        <v>12.7410181855176</v>
      </c>
      <c r="AC132" s="6">
        <v>129885.75999999999</v>
      </c>
      <c r="AD132" s="6">
        <v>0.91805672880722433</v>
      </c>
      <c r="AE132" s="5">
        <v>13.635026309611501</v>
      </c>
      <c r="AF132" s="5">
        <v>82444.693333333344</v>
      </c>
      <c r="AG132" s="5">
        <v>0.90918505679834438</v>
      </c>
      <c r="AH132" s="6">
        <v>238624.51666666669</v>
      </c>
      <c r="AI132" s="6">
        <v>0.671585002731234</v>
      </c>
      <c r="AJ132" s="5">
        <v>144151.50333333333</v>
      </c>
      <c r="AK132" s="5">
        <v>0.87216369956909334</v>
      </c>
      <c r="AL132" s="6">
        <v>3256385.6100000008</v>
      </c>
      <c r="AM132" s="6">
        <v>0.47219575962175436</v>
      </c>
    </row>
    <row r="133" spans="1:39" ht="18.75" customHeight="1">
      <c r="A133" s="13" t="s">
        <v>444</v>
      </c>
      <c r="B133" s="13" t="b">
        <v>0</v>
      </c>
      <c r="C133" s="13" t="s">
        <v>140</v>
      </c>
      <c r="D133" s="13" t="s">
        <v>382</v>
      </c>
      <c r="E133" s="3">
        <v>41436.866527777776</v>
      </c>
      <c r="F133" s="4" t="s">
        <v>454</v>
      </c>
      <c r="G133" s="5" t="s">
        <v>0</v>
      </c>
      <c r="H133" s="5">
        <v>1.1498257839721255</v>
      </c>
      <c r="I133" s="13" t="s">
        <v>316</v>
      </c>
      <c r="J133" s="6">
        <v>106.18408754675301</v>
      </c>
      <c r="K133" s="6">
        <v>8293.5166666666682</v>
      </c>
      <c r="L133" s="6">
        <v>3.2873030983041618</v>
      </c>
      <c r="M133" s="5">
        <v>0.286615016133346</v>
      </c>
      <c r="N133" s="5">
        <v>4032.9133333333339</v>
      </c>
      <c r="O133" s="5">
        <v>10.201504063896106</v>
      </c>
      <c r="P133" s="6">
        <v>247.278098106286</v>
      </c>
      <c r="Q133" s="6">
        <v>4894002.666666667</v>
      </c>
      <c r="R133" s="6">
        <v>4.9022520044506646</v>
      </c>
      <c r="S133" s="5">
        <v>247.24248962953899</v>
      </c>
      <c r="T133" s="5">
        <v>118939.86333333333</v>
      </c>
      <c r="U133" s="5">
        <v>5.1155623662261753</v>
      </c>
      <c r="V133" s="6">
        <v>3.2368197713327697E-2</v>
      </c>
      <c r="W133" s="6">
        <v>2222.4666666666667</v>
      </c>
      <c r="X133" s="6">
        <v>11.487971540498044</v>
      </c>
      <c r="Y133" s="5">
        <v>7.3864243904826701</v>
      </c>
      <c r="Z133" s="5">
        <v>201435.52666666664</v>
      </c>
      <c r="AA133" s="5">
        <v>4.3313625259666209</v>
      </c>
      <c r="AB133" s="6">
        <v>14.2090215520718</v>
      </c>
      <c r="AC133" s="6">
        <v>114850.64666666667</v>
      </c>
      <c r="AD133" s="6">
        <v>3.6425117194015595</v>
      </c>
      <c r="AE133" s="5">
        <v>15.172404907122701</v>
      </c>
      <c r="AF133" s="5">
        <v>73184.036666666667</v>
      </c>
      <c r="AG133" s="5">
        <v>2.8062357943644685</v>
      </c>
      <c r="AH133" s="6">
        <v>207526.05499999999</v>
      </c>
      <c r="AI133" s="6">
        <v>3.9443801846663877</v>
      </c>
      <c r="AJ133" s="5">
        <v>129318.94</v>
      </c>
      <c r="AK133" s="5">
        <v>11.16007587939122</v>
      </c>
      <c r="AL133" s="6">
        <v>2807151.47</v>
      </c>
      <c r="AM133" s="6">
        <v>8.9050232965039537</v>
      </c>
    </row>
    <row r="134" spans="1:39" ht="18.75" customHeight="1">
      <c r="A134" s="13"/>
      <c r="B134" s="13" t="b">
        <v>0</v>
      </c>
      <c r="C134" s="13" t="s">
        <v>141</v>
      </c>
      <c r="D134" s="13" t="s">
        <v>383</v>
      </c>
      <c r="E134" s="3">
        <v>41436.869629629633</v>
      </c>
      <c r="F134" s="4" t="s">
        <v>454</v>
      </c>
      <c r="G134" s="5" t="s">
        <v>0</v>
      </c>
      <c r="H134" s="5">
        <v>1.083743842364532</v>
      </c>
      <c r="I134" s="13" t="s">
        <v>317</v>
      </c>
      <c r="J134" s="6">
        <v>89.061304350325003</v>
      </c>
      <c r="K134" s="6">
        <v>8413.5833333333339</v>
      </c>
      <c r="L134" s="6">
        <v>4.5890818657133439</v>
      </c>
      <c r="M134" s="5">
        <v>0.14348141616528401</v>
      </c>
      <c r="N134" s="5">
        <v>2727.0233333333331</v>
      </c>
      <c r="O134" s="5">
        <v>5.1277167579861969</v>
      </c>
      <c r="P134" s="6">
        <v>145.22598725356801</v>
      </c>
      <c r="Q134" s="6">
        <v>3511517.8966666665</v>
      </c>
      <c r="R134" s="6">
        <v>0.74571474704752128</v>
      </c>
      <c r="S134" s="5">
        <v>143.258302747887</v>
      </c>
      <c r="T134" s="5">
        <v>84274.986666666679</v>
      </c>
      <c r="U134" s="5">
        <v>1.0176560956502132</v>
      </c>
      <c r="V134" s="6" t="s">
        <v>405</v>
      </c>
      <c r="W134" s="6">
        <v>1829.09</v>
      </c>
      <c r="X134" s="6">
        <v>10.33867327713959</v>
      </c>
      <c r="Y134" s="5">
        <v>5.3561077883236203</v>
      </c>
      <c r="Z134" s="5">
        <v>177757.54333333333</v>
      </c>
      <c r="AA134" s="5">
        <v>1.2473607108356171</v>
      </c>
      <c r="AB134" s="6">
        <v>10.6924588352</v>
      </c>
      <c r="AC134" s="6">
        <v>104771.02666666667</v>
      </c>
      <c r="AD134" s="6">
        <v>1.1835465719705043</v>
      </c>
      <c r="AE134" s="5">
        <v>11.5108085207267</v>
      </c>
      <c r="AF134" s="5">
        <v>66896.223333333342</v>
      </c>
      <c r="AG134" s="5">
        <v>2.5960737608855369</v>
      </c>
      <c r="AH134" s="6">
        <v>236438.85666666669</v>
      </c>
      <c r="AI134" s="6">
        <v>2.0067037591612893</v>
      </c>
      <c r="AJ134" s="5">
        <v>143553.57</v>
      </c>
      <c r="AK134" s="5">
        <v>1.2881122154854259</v>
      </c>
      <c r="AL134" s="6">
        <v>3231908.0766666667</v>
      </c>
      <c r="AM134" s="6">
        <v>1.6879645494750259</v>
      </c>
    </row>
    <row r="135" spans="1:39" ht="18.75" customHeight="1">
      <c r="A135" s="13"/>
      <c r="B135" s="13" t="b">
        <v>0</v>
      </c>
      <c r="C135" s="13" t="s">
        <v>142</v>
      </c>
      <c r="D135" s="13" t="s">
        <v>384</v>
      </c>
      <c r="E135" s="3">
        <v>41436.872754629629</v>
      </c>
      <c r="F135" s="4" t="s">
        <v>454</v>
      </c>
      <c r="G135" s="5" t="s">
        <v>0</v>
      </c>
      <c r="H135" s="5">
        <v>1.1092436974789917</v>
      </c>
      <c r="I135" s="13" t="s">
        <v>318</v>
      </c>
      <c r="J135" s="6">
        <v>70.770515337765801</v>
      </c>
      <c r="K135" s="6">
        <v>6621.6433333333334</v>
      </c>
      <c r="L135" s="6">
        <v>3.7535767975279639</v>
      </c>
      <c r="M135" s="5">
        <v>0.13399069917567799</v>
      </c>
      <c r="N135" s="5">
        <v>2551.4366666666665</v>
      </c>
      <c r="O135" s="5">
        <v>7.196420575594999</v>
      </c>
      <c r="P135" s="6">
        <v>90.602126905380302</v>
      </c>
      <c r="Q135" s="6">
        <v>2169008.6133333333</v>
      </c>
      <c r="R135" s="6">
        <v>1.4370646180230158</v>
      </c>
      <c r="S135" s="5">
        <v>89.116649018367696</v>
      </c>
      <c r="T135" s="5">
        <v>51876.203333333331</v>
      </c>
      <c r="U135" s="5">
        <v>0.9306689340556189</v>
      </c>
      <c r="V135" s="6" t="s">
        <v>405</v>
      </c>
      <c r="W135" s="6">
        <v>2052.4566666666665</v>
      </c>
      <c r="X135" s="6">
        <v>2.1137049589259291</v>
      </c>
      <c r="Y135" s="5">
        <v>4.6020202015702703</v>
      </c>
      <c r="Z135" s="5">
        <v>150833.5</v>
      </c>
      <c r="AA135" s="5">
        <v>1.0910393871530488</v>
      </c>
      <c r="AB135" s="6">
        <v>6.9409824587567597</v>
      </c>
      <c r="AC135" s="6">
        <v>67381.023333333331</v>
      </c>
      <c r="AD135" s="6">
        <v>0.35149518508263872</v>
      </c>
      <c r="AE135" s="5">
        <v>7.4386364490487402</v>
      </c>
      <c r="AF135" s="5">
        <v>42817.723333333328</v>
      </c>
      <c r="AG135" s="5">
        <v>0.8915485087731061</v>
      </c>
      <c r="AH135" s="6">
        <v>240544.55333333334</v>
      </c>
      <c r="AI135" s="6">
        <v>1.6054944466018837</v>
      </c>
      <c r="AJ135" s="5">
        <v>144876.06333333332</v>
      </c>
      <c r="AK135" s="5">
        <v>0.78812900752884085</v>
      </c>
      <c r="AL135" s="6">
        <v>3257680.3333333335</v>
      </c>
      <c r="AM135" s="6">
        <v>0.15389828847116607</v>
      </c>
    </row>
    <row r="136" spans="1:39" ht="18.75" customHeight="1">
      <c r="A136" s="13"/>
      <c r="B136" s="13" t="b">
        <v>0</v>
      </c>
      <c r="C136" s="13" t="s">
        <v>143</v>
      </c>
      <c r="D136" s="13" t="s">
        <v>386</v>
      </c>
      <c r="E136" s="3">
        <v>41436.875879629632</v>
      </c>
      <c r="F136" s="4" t="s">
        <v>454</v>
      </c>
      <c r="G136" s="5" t="s">
        <v>0</v>
      </c>
      <c r="H136" s="5">
        <v>0.57996485061511427</v>
      </c>
      <c r="I136" s="13" t="s">
        <v>319</v>
      </c>
      <c r="J136" s="6">
        <v>89.698874732057902</v>
      </c>
      <c r="K136" s="6">
        <v>15954.963333333333</v>
      </c>
      <c r="L136" s="6">
        <v>0.62342330993306427</v>
      </c>
      <c r="M136" s="5">
        <v>0.12792896383438601</v>
      </c>
      <c r="N136" s="5">
        <v>4305.2133333333331</v>
      </c>
      <c r="O136" s="5">
        <v>2.7375089014529621</v>
      </c>
      <c r="P136" s="6">
        <v>47.052152183891799</v>
      </c>
      <c r="Q136" s="6">
        <v>2168426.4099999997</v>
      </c>
      <c r="R136" s="6">
        <v>0.34919163120121433</v>
      </c>
      <c r="S136" s="5">
        <v>45.4522375411103</v>
      </c>
      <c r="T136" s="5">
        <v>50937.956666666665</v>
      </c>
      <c r="U136" s="5">
        <v>1.1545631405618759</v>
      </c>
      <c r="V136" s="6" t="s">
        <v>405</v>
      </c>
      <c r="W136" s="6">
        <v>2485.86</v>
      </c>
      <c r="X136" s="6">
        <v>4.1476136818452689</v>
      </c>
      <c r="Y136" s="5">
        <v>5.0815023263359897</v>
      </c>
      <c r="Z136" s="5">
        <v>318978.85333333333</v>
      </c>
      <c r="AA136" s="5">
        <v>0.54866771889185861</v>
      </c>
      <c r="AB136" s="6">
        <v>10.072099901282099</v>
      </c>
      <c r="AC136" s="6">
        <v>186642.98333333337</v>
      </c>
      <c r="AD136" s="6">
        <v>1.1015648457889413</v>
      </c>
      <c r="AE136" s="5">
        <v>10.824649631522</v>
      </c>
      <c r="AF136" s="5">
        <v>118991.88333333335</v>
      </c>
      <c r="AG136" s="5">
        <v>0.46665334891571536</v>
      </c>
      <c r="AH136" s="6">
        <v>241303.42</v>
      </c>
      <c r="AI136" s="6">
        <v>1.7615836588899862</v>
      </c>
      <c r="AJ136" s="5">
        <v>145836.24</v>
      </c>
      <c r="AK136" s="5">
        <v>1.5368793710452244</v>
      </c>
      <c r="AL136" s="6">
        <v>3268722.0366666666</v>
      </c>
      <c r="AM136" s="6">
        <v>0.79893848606335871</v>
      </c>
    </row>
    <row r="137" spans="1:39" ht="18.75" customHeight="1">
      <c r="A137" s="13"/>
      <c r="B137" s="13" t="b">
        <v>0</v>
      </c>
      <c r="C137" s="13" t="s">
        <v>144</v>
      </c>
      <c r="D137" s="13" t="s">
        <v>387</v>
      </c>
      <c r="E137" s="3">
        <v>41436.879004629627</v>
      </c>
      <c r="F137" s="4" t="s">
        <v>454</v>
      </c>
      <c r="G137" s="5" t="s">
        <v>0</v>
      </c>
      <c r="H137" s="5">
        <v>0.8741721854304636</v>
      </c>
      <c r="I137" s="13" t="s">
        <v>320</v>
      </c>
      <c r="J137" s="6">
        <v>150.05797930648299</v>
      </c>
      <c r="K137" s="6">
        <v>17438.68</v>
      </c>
      <c r="L137" s="6">
        <v>2.5140387287880692</v>
      </c>
      <c r="M137" s="5">
        <v>0.56235208364207101</v>
      </c>
      <c r="N137" s="5">
        <v>11494.446666666665</v>
      </c>
      <c r="O137" s="5">
        <v>1.7006605146333671</v>
      </c>
      <c r="P137" s="6">
        <v>175.370135134956</v>
      </c>
      <c r="Q137" s="6">
        <v>5252691.66</v>
      </c>
      <c r="R137" s="6">
        <v>1.1713513404840989</v>
      </c>
      <c r="S137" s="5">
        <v>173.76874350806099</v>
      </c>
      <c r="T137" s="5">
        <v>126659.15</v>
      </c>
      <c r="U137" s="5">
        <v>0.80627131827344434</v>
      </c>
      <c r="V137" s="6" t="s">
        <v>405</v>
      </c>
      <c r="W137" s="6">
        <v>1830.1933333333334</v>
      </c>
      <c r="X137" s="6">
        <v>7.7341744528841945</v>
      </c>
      <c r="Y137" s="5">
        <v>8.0125313994629099</v>
      </c>
      <c r="Z137" s="5">
        <v>328856.91333333333</v>
      </c>
      <c r="AA137" s="5">
        <v>1.2542263423175515</v>
      </c>
      <c r="AB137" s="6">
        <v>12.7448860457385</v>
      </c>
      <c r="AC137" s="6">
        <v>154595.48666666666</v>
      </c>
      <c r="AD137" s="6">
        <v>0.89809068632779177</v>
      </c>
      <c r="AE137" s="5">
        <v>13.711726897513699</v>
      </c>
      <c r="AF137" s="5">
        <v>98658.023333333331</v>
      </c>
      <c r="AG137" s="5">
        <v>0.74672671172994454</v>
      </c>
      <c r="AH137" s="6">
        <v>240235.55333333332</v>
      </c>
      <c r="AI137" s="6">
        <v>1.330885731314047</v>
      </c>
      <c r="AJ137" s="5">
        <v>143730.35666666666</v>
      </c>
      <c r="AK137" s="5">
        <v>0.59624042206482841</v>
      </c>
      <c r="AL137" s="6">
        <v>3259037.3466666662</v>
      </c>
      <c r="AM137" s="6">
        <v>5.2852695084890829E-2</v>
      </c>
    </row>
    <row r="138" spans="1:39" ht="18.75" customHeight="1">
      <c r="A138" s="13"/>
      <c r="B138" s="13" t="b">
        <v>0</v>
      </c>
      <c r="C138" s="13" t="s">
        <v>145</v>
      </c>
      <c r="D138" s="13" t="s">
        <v>388</v>
      </c>
      <c r="E138" s="3">
        <v>41436.88212962963</v>
      </c>
      <c r="F138" s="4" t="s">
        <v>454</v>
      </c>
      <c r="G138" s="5" t="s">
        <v>0</v>
      </c>
      <c r="H138" s="5">
        <v>0.90163934426229497</v>
      </c>
      <c r="I138" s="13" t="s">
        <v>321</v>
      </c>
      <c r="J138" s="6">
        <v>69.831385792780907</v>
      </c>
      <c r="K138" s="6">
        <v>8008.9566666666678</v>
      </c>
      <c r="L138" s="6">
        <v>1.0802147020618214</v>
      </c>
      <c r="M138" s="5">
        <v>0.29138404428359599</v>
      </c>
      <c r="N138" s="5">
        <v>6050.2733333333335</v>
      </c>
      <c r="O138" s="5">
        <v>0.94999041199430434</v>
      </c>
      <c r="P138" s="6">
        <v>124.668104236605</v>
      </c>
      <c r="Q138" s="6">
        <v>3656048.4166666665</v>
      </c>
      <c r="R138" s="6">
        <v>0.98664602514365785</v>
      </c>
      <c r="S138" s="5">
        <v>123.734728864144</v>
      </c>
      <c r="T138" s="5">
        <v>88281.683333333334</v>
      </c>
      <c r="U138" s="5">
        <v>0.84024313401742046</v>
      </c>
      <c r="V138" s="6" t="s">
        <v>405</v>
      </c>
      <c r="W138" s="6">
        <v>2198.0233333333335</v>
      </c>
      <c r="X138" s="6">
        <v>5.6558345996630974</v>
      </c>
      <c r="Y138" s="5">
        <v>9.3471147991555306</v>
      </c>
      <c r="Z138" s="5">
        <v>374706.64666666667</v>
      </c>
      <c r="AA138" s="5">
        <v>0.788189687420489</v>
      </c>
      <c r="AB138" s="6">
        <v>9.1208168228296707</v>
      </c>
      <c r="AC138" s="6">
        <v>108383.37333333334</v>
      </c>
      <c r="AD138" s="6">
        <v>1.240338295893354</v>
      </c>
      <c r="AE138" s="5">
        <v>9.7416371809306899</v>
      </c>
      <c r="AF138" s="5">
        <v>68657.71666666666</v>
      </c>
      <c r="AG138" s="5">
        <v>1.0654952135001636</v>
      </c>
      <c r="AH138" s="6">
        <v>242170.01333333334</v>
      </c>
      <c r="AI138" s="6">
        <v>1.6867407208415244</v>
      </c>
      <c r="AJ138" s="5">
        <v>144871.73333333334</v>
      </c>
      <c r="AK138" s="5">
        <v>0.67558207940209059</v>
      </c>
      <c r="AL138" s="6">
        <v>3251481.4133333336</v>
      </c>
      <c r="AM138" s="6">
        <v>0.43538607819160591</v>
      </c>
    </row>
    <row r="139" spans="1:39" ht="18.75" customHeight="1">
      <c r="A139" s="13"/>
      <c r="B139" s="13" t="b">
        <v>0</v>
      </c>
      <c r="C139" s="13" t="s">
        <v>146</v>
      </c>
      <c r="D139" s="13" t="s">
        <v>389</v>
      </c>
      <c r="E139" s="3">
        <v>41436.885254629633</v>
      </c>
      <c r="F139" s="4" t="s">
        <v>454</v>
      </c>
      <c r="G139" s="5" t="s">
        <v>0</v>
      </c>
      <c r="H139" s="5">
        <v>1.0766721044045677</v>
      </c>
      <c r="I139" s="13" t="s">
        <v>322</v>
      </c>
      <c r="J139" s="6">
        <v>89.322694782480397</v>
      </c>
      <c r="K139" s="6">
        <v>8503.65</v>
      </c>
      <c r="L139" s="6">
        <v>1.7126219025993343</v>
      </c>
      <c r="M139" s="5">
        <v>0.18732904781812201</v>
      </c>
      <c r="N139" s="5">
        <v>3443.8600000000006</v>
      </c>
      <c r="O139" s="5">
        <v>1.9435956663207146</v>
      </c>
      <c r="P139" s="6">
        <v>48.988221882888702</v>
      </c>
      <c r="Q139" s="6">
        <v>1208682.03</v>
      </c>
      <c r="R139" s="6">
        <v>1.0651123624336614</v>
      </c>
      <c r="S139" s="5">
        <v>49.987926560577499</v>
      </c>
      <c r="T139" s="5">
        <v>29939.186666666665</v>
      </c>
      <c r="U139" s="5">
        <v>1.0938621255661871</v>
      </c>
      <c r="V139" s="6" t="s">
        <v>405</v>
      </c>
      <c r="W139" s="6">
        <v>1619.0466666666669</v>
      </c>
      <c r="X139" s="6">
        <v>9.0279258212860416</v>
      </c>
      <c r="Y139" s="5">
        <v>5.1150078236280603</v>
      </c>
      <c r="Z139" s="5">
        <v>171174.41666666666</v>
      </c>
      <c r="AA139" s="5">
        <v>1.7151781195269125</v>
      </c>
      <c r="AB139" s="6">
        <v>5.7420165606897298</v>
      </c>
      <c r="AC139" s="6">
        <v>57113.93</v>
      </c>
      <c r="AD139" s="6">
        <v>1.059426598748513</v>
      </c>
      <c r="AE139" s="5">
        <v>6.20187510981106</v>
      </c>
      <c r="AF139" s="5">
        <v>36572.636666666665</v>
      </c>
      <c r="AG139" s="5">
        <v>0.17332100935761152</v>
      </c>
      <c r="AH139" s="6">
        <v>238857.66333333333</v>
      </c>
      <c r="AI139" s="6">
        <v>2.1210769752116172</v>
      </c>
      <c r="AJ139" s="5">
        <v>143760.9733333333</v>
      </c>
      <c r="AK139" s="5">
        <v>0.52517914667319399</v>
      </c>
      <c r="AL139" s="6">
        <v>3236264.57</v>
      </c>
      <c r="AM139" s="6">
        <v>0.41215831190386737</v>
      </c>
    </row>
    <row r="140" spans="1:39" ht="18.75" customHeight="1">
      <c r="A140" s="13"/>
      <c r="B140" s="13" t="b">
        <v>0</v>
      </c>
      <c r="C140" s="13" t="s">
        <v>147</v>
      </c>
      <c r="D140" s="13" t="s">
        <v>390</v>
      </c>
      <c r="E140" s="3">
        <v>41436.888379629629</v>
      </c>
      <c r="F140" s="4" t="s">
        <v>454</v>
      </c>
      <c r="G140" s="5" t="s">
        <v>0</v>
      </c>
      <c r="H140" s="5">
        <v>0.7534246575342467</v>
      </c>
      <c r="I140" s="13" t="s">
        <v>323</v>
      </c>
      <c r="J140" s="6">
        <v>71.340086812700804</v>
      </c>
      <c r="K140" s="6">
        <v>9666.5166666666682</v>
      </c>
      <c r="L140" s="6">
        <v>2.433347088470355</v>
      </c>
      <c r="M140" s="5">
        <v>0.18840901616746</v>
      </c>
      <c r="N140" s="5">
        <v>4739.7866666666669</v>
      </c>
      <c r="O140" s="5">
        <v>5.571186785908842</v>
      </c>
      <c r="P140" s="6">
        <v>39.610673440056999</v>
      </c>
      <c r="Q140" s="6">
        <v>1390549.4733333334</v>
      </c>
      <c r="R140" s="6">
        <v>0.81928309303902946</v>
      </c>
      <c r="S140" s="5">
        <v>38.998388664001403</v>
      </c>
      <c r="T140" s="5">
        <v>33263.326666666668</v>
      </c>
      <c r="U140" s="5">
        <v>0.48397400648930061</v>
      </c>
      <c r="V140" s="6">
        <v>3.6486348259128103E-2</v>
      </c>
      <c r="W140" s="6">
        <v>3299.3733333333334</v>
      </c>
      <c r="X140" s="6">
        <v>3.5376682418434133</v>
      </c>
      <c r="Y140" s="5">
        <v>8.5173554133818907</v>
      </c>
      <c r="Z140" s="5">
        <v>404591.19333333336</v>
      </c>
      <c r="AA140" s="5">
        <v>0.77699680230722956</v>
      </c>
      <c r="AB140" s="6">
        <v>10.4820762806259</v>
      </c>
      <c r="AC140" s="6">
        <v>147316.6</v>
      </c>
      <c r="AD140" s="6">
        <v>1.1163129437088903</v>
      </c>
      <c r="AE140" s="5">
        <v>11.247995148131601</v>
      </c>
      <c r="AF140" s="5">
        <v>93766.529999999984</v>
      </c>
      <c r="AG140" s="5">
        <v>1.0141940728402012</v>
      </c>
      <c r="AH140" s="6">
        <v>244326.24333333332</v>
      </c>
      <c r="AI140" s="6">
        <v>2.256166553169177</v>
      </c>
      <c r="AJ140" s="5">
        <v>143486.68</v>
      </c>
      <c r="AK140" s="5">
        <v>0.4328171891657408</v>
      </c>
      <c r="AL140" s="6">
        <v>3263688.9433333334</v>
      </c>
      <c r="AM140" s="6">
        <v>2.0396636524452649</v>
      </c>
    </row>
    <row r="141" spans="1:39" ht="18.75" customHeight="1">
      <c r="A141" s="13"/>
      <c r="B141" s="13" t="b">
        <v>0</v>
      </c>
      <c r="C141" s="13" t="s">
        <v>148</v>
      </c>
      <c r="D141" s="13" t="s">
        <v>1</v>
      </c>
      <c r="E141" s="3">
        <v>41436.891481481478</v>
      </c>
      <c r="F141" s="4" t="s">
        <v>424</v>
      </c>
      <c r="G141" s="5" t="s">
        <v>0</v>
      </c>
      <c r="H141" s="5">
        <v>1</v>
      </c>
      <c r="I141" s="13" t="s">
        <v>193</v>
      </c>
      <c r="J141" s="6" t="s">
        <v>416</v>
      </c>
      <c r="K141" s="6">
        <v>176.67666666666665</v>
      </c>
      <c r="L141" s="6">
        <v>14.247163189749909</v>
      </c>
      <c r="M141" s="5" t="s">
        <v>405</v>
      </c>
      <c r="N141" s="5">
        <v>641.15333333333331</v>
      </c>
      <c r="O141" s="5">
        <v>5.797781682473544</v>
      </c>
      <c r="P141" s="6" t="s">
        <v>414</v>
      </c>
      <c r="Q141" s="6">
        <v>21686.036666666667</v>
      </c>
      <c r="R141" s="6">
        <v>1.4703341687832039</v>
      </c>
      <c r="S141" s="5" t="s">
        <v>415</v>
      </c>
      <c r="T141" s="5">
        <v>557.81666666666661</v>
      </c>
      <c r="U141" s="5">
        <v>4.1974909377601861</v>
      </c>
      <c r="V141" s="6" t="s">
        <v>405</v>
      </c>
      <c r="W141" s="6">
        <v>1350.1233333333332</v>
      </c>
      <c r="X141" s="6">
        <v>7.0407590159929327</v>
      </c>
      <c r="Y141" s="5" t="s">
        <v>407</v>
      </c>
      <c r="Z141" s="5">
        <v>1632.3833333333334</v>
      </c>
      <c r="AA141" s="5">
        <v>4.3912046030982133</v>
      </c>
      <c r="AB141" s="6" t="s">
        <v>413</v>
      </c>
      <c r="AC141" s="6">
        <v>1114.5366666666666</v>
      </c>
      <c r="AD141" s="6">
        <v>3.2942409303229092</v>
      </c>
      <c r="AE141" s="5" t="s">
        <v>412</v>
      </c>
      <c r="AF141" s="5">
        <v>624.48666666666668</v>
      </c>
      <c r="AG141" s="5">
        <v>9.4043199359688572</v>
      </c>
      <c r="AH141" s="6">
        <v>223257.99333333332</v>
      </c>
      <c r="AI141" s="6">
        <v>1.1022666041477494</v>
      </c>
      <c r="AJ141" s="5">
        <v>145574.9</v>
      </c>
      <c r="AK141" s="5">
        <v>1.0032332762966854</v>
      </c>
      <c r="AL141" s="6">
        <v>3233553.5266666668</v>
      </c>
      <c r="AM141" s="6">
        <v>1.0452017295599736</v>
      </c>
    </row>
    <row r="142" spans="1:39" ht="18.75" customHeight="1">
      <c r="A142" s="13" t="s">
        <v>457</v>
      </c>
      <c r="B142" s="13" t="b">
        <v>0</v>
      </c>
      <c r="C142" s="13" t="s">
        <v>150</v>
      </c>
      <c r="D142" s="13" t="s">
        <v>483</v>
      </c>
      <c r="E142" s="3">
        <v>41436.894571759258</v>
      </c>
      <c r="F142" s="4" t="s">
        <v>452</v>
      </c>
      <c r="G142" s="5" t="s">
        <v>0</v>
      </c>
      <c r="H142" s="5">
        <v>1</v>
      </c>
      <c r="I142" s="13" t="s">
        <v>204</v>
      </c>
      <c r="J142" s="6">
        <v>11.817415489397201</v>
      </c>
      <c r="K142" s="6">
        <v>1405.6866666666667</v>
      </c>
      <c r="L142" s="6">
        <v>16.486758160440214</v>
      </c>
      <c r="M142" s="5">
        <v>8.4096209766621595</v>
      </c>
      <c r="N142" s="5">
        <v>153729.46333333335</v>
      </c>
      <c r="O142" s="5">
        <v>8.9854866837380936</v>
      </c>
      <c r="P142" s="6">
        <v>8.2950302228110804</v>
      </c>
      <c r="Q142" s="6">
        <v>253103.20333333337</v>
      </c>
      <c r="R142" s="6">
        <v>9.3492681662134416</v>
      </c>
      <c r="S142" s="5">
        <v>8.35438296810654</v>
      </c>
      <c r="T142" s="5">
        <v>6132.5533333333342</v>
      </c>
      <c r="U142" s="5">
        <v>6.9200763332529949</v>
      </c>
      <c r="V142" s="6">
        <v>8.4740638961115309</v>
      </c>
      <c r="W142" s="6">
        <v>438671.40000000008</v>
      </c>
      <c r="X142" s="6">
        <v>8.530546022350407</v>
      </c>
      <c r="Y142" s="5">
        <v>8.6335937716886608</v>
      </c>
      <c r="Z142" s="5">
        <v>329043.70666666667</v>
      </c>
      <c r="AA142" s="5">
        <v>9.2030725620176579</v>
      </c>
      <c r="AB142" s="6">
        <v>8.4348414261721896</v>
      </c>
      <c r="AC142" s="6">
        <v>95351.933333333334</v>
      </c>
      <c r="AD142" s="6">
        <v>9.4478890539797717</v>
      </c>
      <c r="AE142" s="5">
        <v>8.4418109420420997</v>
      </c>
      <c r="AF142" s="5">
        <v>56604.323333333334</v>
      </c>
      <c r="AG142" s="5">
        <v>10.182809446461897</v>
      </c>
      <c r="AH142" s="6">
        <v>247092.62</v>
      </c>
      <c r="AI142" s="6">
        <v>15.527464017961826</v>
      </c>
      <c r="AJ142" s="5">
        <v>155220.09333333335</v>
      </c>
      <c r="AK142" s="5">
        <v>12.481408518493703</v>
      </c>
      <c r="AL142" s="6">
        <v>3517321.3699999996</v>
      </c>
      <c r="AM142" s="6">
        <v>13.420050849808939</v>
      </c>
    </row>
    <row r="143" spans="1:39" ht="18.75" customHeight="1">
      <c r="A143" s="13"/>
      <c r="B143" s="13" t="b">
        <v>0</v>
      </c>
      <c r="C143" s="13" t="s">
        <v>151</v>
      </c>
      <c r="D143" s="13" t="s">
        <v>1</v>
      </c>
      <c r="E143" s="3">
        <v>41436.897662037038</v>
      </c>
      <c r="F143" s="4" t="s">
        <v>424</v>
      </c>
      <c r="G143" s="5" t="s">
        <v>0</v>
      </c>
      <c r="H143" s="5">
        <v>1</v>
      </c>
      <c r="I143" s="13" t="s">
        <v>194</v>
      </c>
      <c r="J143" s="6" t="s">
        <v>416</v>
      </c>
      <c r="K143" s="6">
        <v>143.34</v>
      </c>
      <c r="L143" s="6">
        <v>10.138370167325338</v>
      </c>
      <c r="M143" s="5" t="s">
        <v>405</v>
      </c>
      <c r="N143" s="5">
        <v>528.92666666666662</v>
      </c>
      <c r="O143" s="5">
        <v>4.1010296017512511</v>
      </c>
      <c r="P143" s="6" t="s">
        <v>414</v>
      </c>
      <c r="Q143" s="6">
        <v>22362.543333333335</v>
      </c>
      <c r="R143" s="6">
        <v>1.5694349344473595</v>
      </c>
      <c r="S143" s="5" t="s">
        <v>415</v>
      </c>
      <c r="T143" s="5">
        <v>523.36666666666667</v>
      </c>
      <c r="U143" s="5">
        <v>15.962906802295018</v>
      </c>
      <c r="V143" s="6" t="s">
        <v>405</v>
      </c>
      <c r="W143" s="6">
        <v>1142.3166666666666</v>
      </c>
      <c r="X143" s="6">
        <v>4.6362672740027762</v>
      </c>
      <c r="Y143" s="5" t="s">
        <v>407</v>
      </c>
      <c r="Z143" s="5">
        <v>1423.4633333333331</v>
      </c>
      <c r="AA143" s="5">
        <v>9.2532556039748286</v>
      </c>
      <c r="AB143" s="6" t="s">
        <v>413</v>
      </c>
      <c r="AC143" s="6">
        <v>936.74000000000012</v>
      </c>
      <c r="AD143" s="6">
        <v>15.002360652878732</v>
      </c>
      <c r="AE143" s="5" t="s">
        <v>412</v>
      </c>
      <c r="AF143" s="5">
        <v>568.92666666666662</v>
      </c>
      <c r="AG143" s="5">
        <v>9.5444781390942737</v>
      </c>
      <c r="AH143" s="6">
        <v>233296.92333333334</v>
      </c>
      <c r="AI143" s="6">
        <v>0.78847485382505922</v>
      </c>
      <c r="AJ143" s="5">
        <v>147491.9</v>
      </c>
      <c r="AK143" s="5">
        <v>0.84150442461004193</v>
      </c>
      <c r="AL143" s="6">
        <v>3244377.1033333335</v>
      </c>
      <c r="AM143" s="6">
        <v>0.71730631791231314</v>
      </c>
    </row>
    <row r="144" spans="1:39" ht="18.75" customHeight="1">
      <c r="A144" s="13"/>
      <c r="B144" s="13" t="b">
        <v>0</v>
      </c>
      <c r="C144" s="13" t="s">
        <v>152</v>
      </c>
      <c r="D144" s="13" t="s">
        <v>391</v>
      </c>
      <c r="E144" s="3">
        <v>41436.900775462964</v>
      </c>
      <c r="F144" s="4" t="s">
        <v>454</v>
      </c>
      <c r="G144" s="5" t="s">
        <v>0</v>
      </c>
      <c r="H144" s="5">
        <v>0.8098159509202455</v>
      </c>
      <c r="I144" s="13" t="s">
        <v>326</v>
      </c>
      <c r="J144" s="6">
        <v>102.78409896845599</v>
      </c>
      <c r="K144" s="6">
        <v>13018.973333333333</v>
      </c>
      <c r="L144" s="6">
        <v>1.5348978868086518</v>
      </c>
      <c r="M144" s="5">
        <v>0.19254713802307399</v>
      </c>
      <c r="N144" s="5">
        <v>4567.5033333333331</v>
      </c>
      <c r="O144" s="5">
        <v>0.76206638936514148</v>
      </c>
      <c r="P144" s="6">
        <v>119.84177507714099</v>
      </c>
      <c r="Q144" s="6">
        <v>3906769.6966666668</v>
      </c>
      <c r="R144" s="6">
        <v>1.5186466687516951</v>
      </c>
      <c r="S144" s="5">
        <v>118.578461791995</v>
      </c>
      <c r="T144" s="5">
        <v>94049.35000000002</v>
      </c>
      <c r="U144" s="5">
        <v>1.8059745125410482</v>
      </c>
      <c r="V144" s="6" t="s">
        <v>405</v>
      </c>
      <c r="W144" s="6">
        <v>2138.0233333333331</v>
      </c>
      <c r="X144" s="6">
        <v>8.0337020515642301</v>
      </c>
      <c r="Y144" s="5">
        <v>5.7364928108967899</v>
      </c>
      <c r="Z144" s="5">
        <v>256188.6033333333</v>
      </c>
      <c r="AA144" s="5">
        <v>0.5557057884260147</v>
      </c>
      <c r="AB144" s="6">
        <v>11.3894920413374</v>
      </c>
      <c r="AC144" s="6">
        <v>150170.18333333335</v>
      </c>
      <c r="AD144" s="6">
        <v>1.0037366573421289</v>
      </c>
      <c r="AE144" s="5">
        <v>12.2726425782996</v>
      </c>
      <c r="AF144" s="5">
        <v>95978.073333333348</v>
      </c>
      <c r="AG144" s="5">
        <v>1.303807842289652</v>
      </c>
      <c r="AH144" s="6">
        <v>241099.21333333335</v>
      </c>
      <c r="AI144" s="6">
        <v>1.9170694761167923</v>
      </c>
      <c r="AJ144" s="5">
        <v>144689.71</v>
      </c>
      <c r="AK144" s="5">
        <v>0.51956582125432826</v>
      </c>
      <c r="AL144" s="6">
        <v>3264970.5400000005</v>
      </c>
      <c r="AM144" s="6">
        <v>0.11471926017826591</v>
      </c>
    </row>
    <row r="145" spans="1:39" ht="18.75" customHeight="1">
      <c r="A145" s="13"/>
      <c r="B145" s="13" t="b">
        <v>0</v>
      </c>
      <c r="C145" s="13" t="s">
        <v>153</v>
      </c>
      <c r="D145" s="13" t="s">
        <v>392</v>
      </c>
      <c r="E145" s="3">
        <v>41436.903900462959</v>
      </c>
      <c r="F145" s="4" t="s">
        <v>454</v>
      </c>
      <c r="G145" s="5" t="s">
        <v>0</v>
      </c>
      <c r="H145" s="5">
        <v>1.1578947368421053</v>
      </c>
      <c r="I145" s="13" t="s">
        <v>327</v>
      </c>
      <c r="J145" s="6">
        <v>103.531045614416</v>
      </c>
      <c r="K145" s="6">
        <v>9232.996666666666</v>
      </c>
      <c r="L145" s="6">
        <v>1.0067522819669268</v>
      </c>
      <c r="M145" s="5">
        <v>0.19319634370973299</v>
      </c>
      <c r="N145" s="5">
        <v>3350.5033333333336</v>
      </c>
      <c r="O145" s="5">
        <v>3.9392532025029814</v>
      </c>
      <c r="P145" s="6">
        <v>115.02921794489799</v>
      </c>
      <c r="Q145" s="6">
        <v>2635711.8199999998</v>
      </c>
      <c r="R145" s="6">
        <v>0.37603180837367145</v>
      </c>
      <c r="S145" s="5">
        <v>113.543116629816</v>
      </c>
      <c r="T145" s="5">
        <v>63275.666666666664</v>
      </c>
      <c r="U145" s="5">
        <v>0.30727676313589602</v>
      </c>
      <c r="V145" s="6" t="s">
        <v>405</v>
      </c>
      <c r="W145" s="6">
        <v>1389.0133333333333</v>
      </c>
      <c r="X145" s="6">
        <v>2.4279096665056392</v>
      </c>
      <c r="Y145" s="5">
        <v>6.45264279302536</v>
      </c>
      <c r="Z145" s="5">
        <v>202303.89333333331</v>
      </c>
      <c r="AA145" s="5">
        <v>0.64627219032063465</v>
      </c>
      <c r="AB145" s="6">
        <v>9.9963525131337096</v>
      </c>
      <c r="AC145" s="6">
        <v>92724.373333333337</v>
      </c>
      <c r="AD145" s="6">
        <v>0.86237174484803814</v>
      </c>
      <c r="AE145" s="5">
        <v>10.7432065269444</v>
      </c>
      <c r="AF145" s="5">
        <v>59098.78666666666</v>
      </c>
      <c r="AG145" s="5">
        <v>0.9444375735021876</v>
      </c>
      <c r="AH145" s="6">
        <v>240120.37333333332</v>
      </c>
      <c r="AI145" s="6">
        <v>1.985506157309755</v>
      </c>
      <c r="AJ145" s="5">
        <v>145015.20666666667</v>
      </c>
      <c r="AK145" s="5">
        <v>0.63747977913213527</v>
      </c>
      <c r="AL145" s="6">
        <v>3244144.2900000005</v>
      </c>
      <c r="AM145" s="6">
        <v>0.24067063732149765</v>
      </c>
    </row>
    <row r="146" spans="1:39" ht="18.75" customHeight="1">
      <c r="A146" s="13"/>
      <c r="B146" s="13" t="b">
        <v>0</v>
      </c>
      <c r="C146" s="13" t="s">
        <v>154</v>
      </c>
      <c r="D146" s="13" t="s">
        <v>393</v>
      </c>
      <c r="E146" s="3">
        <v>41436.907013888886</v>
      </c>
      <c r="F146" s="4" t="s">
        <v>454</v>
      </c>
      <c r="G146" s="5" t="s">
        <v>0</v>
      </c>
      <c r="H146" s="5">
        <v>0.86842105263157887</v>
      </c>
      <c r="I146" s="13" t="s">
        <v>328</v>
      </c>
      <c r="J146" s="6">
        <v>82.643196073783599</v>
      </c>
      <c r="K146" s="6">
        <v>9799.9</v>
      </c>
      <c r="L146" s="6">
        <v>4.5445860025392468</v>
      </c>
      <c r="M146" s="5">
        <v>0.12287276466470901</v>
      </c>
      <c r="N146" s="5">
        <v>2905.9533333333334</v>
      </c>
      <c r="O146" s="5">
        <v>1.3196081113671758</v>
      </c>
      <c r="P146" s="6">
        <v>48.551739848393801</v>
      </c>
      <c r="Q146" s="6">
        <v>1490249.89</v>
      </c>
      <c r="R146" s="6">
        <v>1.6178179398896795</v>
      </c>
      <c r="S146" s="5">
        <v>47.076828211379997</v>
      </c>
      <c r="T146" s="5">
        <v>35120.360000000008</v>
      </c>
      <c r="U146" s="5">
        <v>0.83478896784602552</v>
      </c>
      <c r="V146" s="6" t="s">
        <v>405</v>
      </c>
      <c r="W146" s="6">
        <v>1693.4966666666667</v>
      </c>
      <c r="X146" s="6">
        <v>9.7897857231212644</v>
      </c>
      <c r="Y146" s="5">
        <v>3.70716345718726</v>
      </c>
      <c r="Z146" s="5">
        <v>155015.34999999998</v>
      </c>
      <c r="AA146" s="5">
        <v>0.65295905711997138</v>
      </c>
      <c r="AB146" s="6">
        <v>6.2268613090145903</v>
      </c>
      <c r="AC146" s="6">
        <v>77016.206666666665</v>
      </c>
      <c r="AD146" s="6">
        <v>0.43271141803904944</v>
      </c>
      <c r="AE146" s="5">
        <v>6.6149753998004703</v>
      </c>
      <c r="AF146" s="5">
        <v>48523.46</v>
      </c>
      <c r="AG146" s="5">
        <v>1.4173745471571928</v>
      </c>
      <c r="AH146" s="6">
        <v>244348.31999999998</v>
      </c>
      <c r="AI146" s="6">
        <v>1.4954727658291442</v>
      </c>
      <c r="AJ146" s="5">
        <v>144744.04666666666</v>
      </c>
      <c r="AK146" s="5">
        <v>0.40750339151776693</v>
      </c>
      <c r="AL146" s="6">
        <v>3261767.8</v>
      </c>
      <c r="AM146" s="6">
        <v>1.0233540942771264</v>
      </c>
    </row>
    <row r="147" spans="1:39" ht="18.75" customHeight="1">
      <c r="A147" s="13" t="s">
        <v>473</v>
      </c>
      <c r="B147" s="13" t="b">
        <v>0</v>
      </c>
      <c r="C147" s="13" t="s">
        <v>155</v>
      </c>
      <c r="D147" s="13" t="s">
        <v>394</v>
      </c>
      <c r="E147" s="3">
        <v>41436.910138888888</v>
      </c>
      <c r="F147" s="4" t="s">
        <v>454</v>
      </c>
      <c r="G147" s="5" t="s">
        <v>0</v>
      </c>
      <c r="H147" s="5">
        <v>0.70138150903294372</v>
      </c>
      <c r="I147" s="13" t="s">
        <v>329</v>
      </c>
      <c r="J147" s="6">
        <v>118.91500225756999</v>
      </c>
      <c r="K147" s="6">
        <v>16736.826666666668</v>
      </c>
      <c r="L147" s="6">
        <v>2.3976712266841651</v>
      </c>
      <c r="M147" s="5">
        <v>0.163209909775057</v>
      </c>
      <c r="N147" s="5">
        <v>4328.54</v>
      </c>
      <c r="O147" s="5">
        <v>2.3137500079796949</v>
      </c>
      <c r="P147" s="6">
        <v>30.2585192740158</v>
      </c>
      <c r="Q147" s="6">
        <v>1114348.8833333333</v>
      </c>
      <c r="R147" s="6">
        <v>1.379372755675093</v>
      </c>
      <c r="S147" s="5">
        <v>30.999978196099999</v>
      </c>
      <c r="T147" s="5">
        <v>27702.963333333333</v>
      </c>
      <c r="U147" s="5">
        <v>1.6366909541069878</v>
      </c>
      <c r="V147" s="6" t="s">
        <v>405</v>
      </c>
      <c r="W147" s="6">
        <v>1551.2566666666669</v>
      </c>
      <c r="X147" s="6">
        <v>3.3323980171707941</v>
      </c>
      <c r="Y147" s="5">
        <v>4.0264817897128999</v>
      </c>
      <c r="Z147" s="5">
        <v>200720.22666666668</v>
      </c>
      <c r="AA147" s="5">
        <v>0.85878674188576398</v>
      </c>
      <c r="AB147" s="6">
        <v>10.3760692845712</v>
      </c>
      <c r="AC147" s="6">
        <v>152427.77666666667</v>
      </c>
      <c r="AD147" s="6">
        <v>1.1993418262184365</v>
      </c>
      <c r="AE147" s="5">
        <v>11.225877699771999</v>
      </c>
      <c r="AF147" s="5">
        <v>97805.823333333319</v>
      </c>
      <c r="AG147" s="5">
        <v>1.6538097592045002</v>
      </c>
      <c r="AH147" s="6">
        <v>228077.69666666666</v>
      </c>
      <c r="AI147" s="6">
        <v>6.731958089113772</v>
      </c>
      <c r="AJ147" s="5">
        <v>140014.99</v>
      </c>
      <c r="AK147" s="5">
        <v>5.6735155053557147</v>
      </c>
      <c r="AL147" s="6">
        <v>3086508.95</v>
      </c>
      <c r="AM147" s="6">
        <v>6.7139840042017438</v>
      </c>
    </row>
    <row r="148" spans="1:39" ht="18.75" customHeight="1">
      <c r="A148" s="13"/>
      <c r="B148" s="13" t="b">
        <v>0</v>
      </c>
      <c r="C148" s="13" t="s">
        <v>156</v>
      </c>
      <c r="D148" s="13" t="s">
        <v>395</v>
      </c>
      <c r="E148" s="3">
        <v>41436.913252314815</v>
      </c>
      <c r="F148" s="4" t="s">
        <v>454</v>
      </c>
      <c r="G148" s="5" t="s">
        <v>0</v>
      </c>
      <c r="H148" s="5">
        <v>1.0076335877862594</v>
      </c>
      <c r="I148" s="13" t="s">
        <v>330</v>
      </c>
      <c r="J148" s="6">
        <v>315.21685374878899</v>
      </c>
      <c r="K148" s="6">
        <v>32051.616666666669</v>
      </c>
      <c r="L148" s="6">
        <v>2.0555862747034892</v>
      </c>
      <c r="M148" s="5">
        <v>1.13795750832769</v>
      </c>
      <c r="N148" s="5">
        <v>20076.273333333334</v>
      </c>
      <c r="O148" s="5">
        <v>1.0222796818597046</v>
      </c>
      <c r="P148" s="6">
        <v>197.361309191918</v>
      </c>
      <c r="Q148" s="6">
        <v>5191936.3099999996</v>
      </c>
      <c r="R148" s="6">
        <v>1.0041318105627899</v>
      </c>
      <c r="S148" s="5">
        <v>195.13233633679201</v>
      </c>
      <c r="T148" s="5">
        <v>124914.46333333333</v>
      </c>
      <c r="U148" s="5">
        <v>0.56566930401556215</v>
      </c>
      <c r="V148" s="6">
        <v>2.62188837467059E-2</v>
      </c>
      <c r="W148" s="6">
        <v>2243.5933333333337</v>
      </c>
      <c r="X148" s="6">
        <v>6.2414226668118422</v>
      </c>
      <c r="Y148" s="5">
        <v>5.9837608719027697</v>
      </c>
      <c r="Z148" s="5">
        <v>216178.42333333334</v>
      </c>
      <c r="AA148" s="5">
        <v>0.49186622035170141</v>
      </c>
      <c r="AB148" s="6">
        <v>14.496633116649599</v>
      </c>
      <c r="AC148" s="6">
        <v>154430.54666666666</v>
      </c>
      <c r="AD148" s="6">
        <v>0.85206531247367878</v>
      </c>
      <c r="AE148" s="5">
        <v>15.570619465835801</v>
      </c>
      <c r="AF148" s="5">
        <v>98383.81</v>
      </c>
      <c r="AG148" s="5">
        <v>1.0462255138592227</v>
      </c>
      <c r="AH148" s="6">
        <v>237777.38</v>
      </c>
      <c r="AI148" s="6">
        <v>1.1425257227302643</v>
      </c>
      <c r="AJ148" s="5">
        <v>145493.02000000002</v>
      </c>
      <c r="AK148" s="5">
        <v>0.92331107698842751</v>
      </c>
      <c r="AL148" s="6">
        <v>3253864.7433333336</v>
      </c>
      <c r="AM148" s="6">
        <v>1.1831649070581696</v>
      </c>
    </row>
    <row r="149" spans="1:39" ht="18.75" customHeight="1">
      <c r="A149" s="13"/>
      <c r="B149" s="13" t="b">
        <v>0</v>
      </c>
      <c r="C149" s="13" t="s">
        <v>157</v>
      </c>
      <c r="D149" s="13" t="s">
        <v>397</v>
      </c>
      <c r="E149" s="3">
        <v>41436.916377314818</v>
      </c>
      <c r="F149" s="4" t="s">
        <v>454</v>
      </c>
      <c r="G149" s="5" t="s">
        <v>0</v>
      </c>
      <c r="H149" s="5">
        <v>0.86387434554973819</v>
      </c>
      <c r="I149" s="13" t="s">
        <v>331</v>
      </c>
      <c r="J149" s="6">
        <v>162.68975264572001</v>
      </c>
      <c r="K149" s="6">
        <v>19317.343333333334</v>
      </c>
      <c r="L149" s="6">
        <v>2.0224298416053381</v>
      </c>
      <c r="M149" s="5">
        <v>0.40315976011397298</v>
      </c>
      <c r="N149" s="5">
        <v>8552.6066666666666</v>
      </c>
      <c r="O149" s="5">
        <v>0.24322705221560001</v>
      </c>
      <c r="P149" s="6">
        <v>118.85847846385499</v>
      </c>
      <c r="Q149" s="6">
        <v>3646907.0966666662</v>
      </c>
      <c r="R149" s="6">
        <v>0.98394985848546357</v>
      </c>
      <c r="S149" s="5">
        <v>117.327211404495</v>
      </c>
      <c r="T149" s="5">
        <v>87583.563333333339</v>
      </c>
      <c r="U149" s="5">
        <v>0.62628401646738419</v>
      </c>
      <c r="V149" s="6" t="s">
        <v>405</v>
      </c>
      <c r="W149" s="6">
        <v>2093.5566666666668</v>
      </c>
      <c r="X149" s="6">
        <v>6.3638335949487344</v>
      </c>
      <c r="Y149" s="5">
        <v>5.6692723343644698</v>
      </c>
      <c r="Z149" s="5">
        <v>238309.43666666665</v>
      </c>
      <c r="AA149" s="5">
        <v>0.80268654207119461</v>
      </c>
      <c r="AB149" s="6">
        <v>9.9272315513148595</v>
      </c>
      <c r="AC149" s="6">
        <v>123302.76333333332</v>
      </c>
      <c r="AD149" s="6">
        <v>0.95912725707086033</v>
      </c>
      <c r="AE149" s="5">
        <v>10.6626828115199</v>
      </c>
      <c r="AF149" s="5">
        <v>78548.006666666668</v>
      </c>
      <c r="AG149" s="5">
        <v>1.3517640187245437</v>
      </c>
      <c r="AH149" s="6">
        <v>235316.87333333332</v>
      </c>
      <c r="AI149" s="6">
        <v>0.78341868992956831</v>
      </c>
      <c r="AJ149" s="5">
        <v>145218.83666666664</v>
      </c>
      <c r="AK149" s="5">
        <v>0.46081751916020747</v>
      </c>
      <c r="AL149" s="6">
        <v>3242855.4033333338</v>
      </c>
      <c r="AM149" s="6">
        <v>0.85177040012642502</v>
      </c>
    </row>
    <row r="150" spans="1:39" ht="18.75" customHeight="1">
      <c r="A150" s="13"/>
      <c r="B150" s="13" t="b">
        <v>0</v>
      </c>
      <c r="C150" s="13" t="s">
        <v>158</v>
      </c>
      <c r="D150" s="13" t="s">
        <v>398</v>
      </c>
      <c r="E150" s="3">
        <v>41436.919490740744</v>
      </c>
      <c r="F150" s="4" t="s">
        <v>454</v>
      </c>
      <c r="G150" s="5" t="s">
        <v>0</v>
      </c>
      <c r="H150" s="5">
        <v>0.8527131782945736</v>
      </c>
      <c r="I150" s="13" t="s">
        <v>332</v>
      </c>
      <c r="J150" s="6">
        <v>138.30563514924901</v>
      </c>
      <c r="K150" s="6">
        <v>16567.73</v>
      </c>
      <c r="L150" s="6">
        <v>0.74534192001565658</v>
      </c>
      <c r="M150" s="5">
        <v>0.31182543396250501</v>
      </c>
      <c r="N150" s="5">
        <v>6763.8999999999987</v>
      </c>
      <c r="O150" s="5">
        <v>5.6828125555093516</v>
      </c>
      <c r="P150" s="6">
        <v>81.372889877096199</v>
      </c>
      <c r="Q150" s="6">
        <v>2522503.7966666669</v>
      </c>
      <c r="R150" s="6">
        <v>0.8125444515494975</v>
      </c>
      <c r="S150" s="5">
        <v>80.797779328556999</v>
      </c>
      <c r="T150" s="5">
        <v>60908.073333333334</v>
      </c>
      <c r="U150" s="5">
        <v>1.6389151413437535</v>
      </c>
      <c r="V150" s="6" t="s">
        <v>405</v>
      </c>
      <c r="W150" s="6">
        <v>1734.62</v>
      </c>
      <c r="X150" s="6">
        <v>8.0086583486298775</v>
      </c>
      <c r="Y150" s="5">
        <v>4.3314351887270597</v>
      </c>
      <c r="Z150" s="5">
        <v>183780.79</v>
      </c>
      <c r="AA150" s="5">
        <v>0.36268134549580816</v>
      </c>
      <c r="AB150" s="6">
        <v>8.2963114207512998</v>
      </c>
      <c r="AC150" s="6">
        <v>103966.47333333333</v>
      </c>
      <c r="AD150" s="6">
        <v>0.51176995747103182</v>
      </c>
      <c r="AE150" s="5">
        <v>8.9412159333751404</v>
      </c>
      <c r="AF150" s="5">
        <v>66445.596666666665</v>
      </c>
      <c r="AG150" s="5">
        <v>1.2315497471410581</v>
      </c>
      <c r="AH150" s="6">
        <v>237842.63666666669</v>
      </c>
      <c r="AI150" s="6">
        <v>1.1178145509892992</v>
      </c>
      <c r="AJ150" s="5">
        <v>144434.96</v>
      </c>
      <c r="AK150" s="5">
        <v>0.78246568865119348</v>
      </c>
      <c r="AL150" s="6">
        <v>3235347.8666666672</v>
      </c>
      <c r="AM150" s="6">
        <v>0.84055622667188656</v>
      </c>
    </row>
    <row r="151" spans="1:39" ht="18.75" customHeight="1">
      <c r="A151" s="13"/>
      <c r="B151" s="13" t="b">
        <v>0</v>
      </c>
      <c r="C151" s="13" t="s">
        <v>159</v>
      </c>
      <c r="D151" s="13" t="s">
        <v>399</v>
      </c>
      <c r="E151" s="3">
        <v>41436.922627314816</v>
      </c>
      <c r="F151" s="4" t="s">
        <v>454</v>
      </c>
      <c r="G151" s="5" t="s">
        <v>0</v>
      </c>
      <c r="H151" s="5">
        <v>0.89430894308943087</v>
      </c>
      <c r="I151" s="13" t="s">
        <v>333</v>
      </c>
      <c r="J151" s="6">
        <v>208.90971744391501</v>
      </c>
      <c r="K151" s="6">
        <v>23808.880000000001</v>
      </c>
      <c r="L151" s="6">
        <v>3.5063308412793761</v>
      </c>
      <c r="M151" s="5">
        <v>0.25927895267894702</v>
      </c>
      <c r="N151" s="5">
        <v>5462.25</v>
      </c>
      <c r="O151" s="5">
        <v>3.5309244470483558</v>
      </c>
      <c r="P151" s="6">
        <v>30.331467238186899</v>
      </c>
      <c r="Q151" s="6">
        <v>911405.21333333338</v>
      </c>
      <c r="R151" s="6">
        <v>1.6053889601770703</v>
      </c>
      <c r="S151" s="5">
        <v>31.3841166726965</v>
      </c>
      <c r="T151" s="5">
        <v>22863.296666666665</v>
      </c>
      <c r="U151" s="5">
        <v>1.6890354614353236</v>
      </c>
      <c r="V151" s="6">
        <v>5.4423437327929397E-2</v>
      </c>
      <c r="W151" s="6">
        <v>3930.6366666666668</v>
      </c>
      <c r="X151" s="6">
        <v>1.3651243197038252</v>
      </c>
      <c r="Y151" s="5">
        <v>3.5829481720635998</v>
      </c>
      <c r="Z151" s="5">
        <v>145345.41666666666</v>
      </c>
      <c r="AA151" s="5">
        <v>1.1521072775223149</v>
      </c>
      <c r="AB151" s="6">
        <v>18.660147636853001</v>
      </c>
      <c r="AC151" s="6">
        <v>222099.41666666666</v>
      </c>
      <c r="AD151" s="6">
        <v>1.6081782531982975</v>
      </c>
      <c r="AE151" s="5">
        <v>20.065947523286201</v>
      </c>
      <c r="AF151" s="5">
        <v>141675.78666666665</v>
      </c>
      <c r="AG151" s="5">
        <v>1.1403745363808391</v>
      </c>
      <c r="AH151" s="6">
        <v>244950.28000000003</v>
      </c>
      <c r="AI151" s="6">
        <v>1.0071645068952122</v>
      </c>
      <c r="AJ151" s="5">
        <v>144522.34666666668</v>
      </c>
      <c r="AK151" s="5">
        <v>0.79143418224521134</v>
      </c>
      <c r="AL151" s="6">
        <v>3296083.6666666665</v>
      </c>
      <c r="AM151" s="6">
        <v>0.46313435110445095</v>
      </c>
    </row>
    <row r="152" spans="1:39" ht="18.75" customHeight="1">
      <c r="A152" s="13"/>
      <c r="B152" s="13" t="b">
        <v>0</v>
      </c>
      <c r="C152" s="13" t="s">
        <v>161</v>
      </c>
      <c r="D152" s="13" t="s">
        <v>400</v>
      </c>
      <c r="E152" s="3">
        <v>41436.925752314812</v>
      </c>
      <c r="F152" s="4" t="s">
        <v>454</v>
      </c>
      <c r="G152" s="5" t="s">
        <v>0</v>
      </c>
      <c r="H152" s="5">
        <v>1.1827956989247312</v>
      </c>
      <c r="I152" s="13" t="s">
        <v>334</v>
      </c>
      <c r="J152" s="6">
        <v>100.824264569756</v>
      </c>
      <c r="K152" s="6">
        <v>8871.6366666666672</v>
      </c>
      <c r="L152" s="6">
        <v>1.1231892348236685</v>
      </c>
      <c r="M152" s="5">
        <v>8.9940714884685996E-2</v>
      </c>
      <c r="N152" s="5">
        <v>1791.2933333333333</v>
      </c>
      <c r="O152" s="5">
        <v>9.1349240509635319</v>
      </c>
      <c r="P152" s="6">
        <v>162.103742199518</v>
      </c>
      <c r="Q152" s="6">
        <v>3653476.5766666667</v>
      </c>
      <c r="R152" s="6">
        <v>0.74171987272320083</v>
      </c>
      <c r="S152" s="5">
        <v>160.260185011928</v>
      </c>
      <c r="T152" s="5">
        <v>87872.773333333331</v>
      </c>
      <c r="U152" s="5">
        <v>1.4041031628123182</v>
      </c>
      <c r="V152" s="6">
        <v>4.3400519694711502E-2</v>
      </c>
      <c r="W152" s="6">
        <v>2779.2533333333336</v>
      </c>
      <c r="X152" s="6">
        <v>8.6436160952254131</v>
      </c>
      <c r="Y152" s="5">
        <v>6.0362068024926598</v>
      </c>
      <c r="Z152" s="5">
        <v>186690.79333333333</v>
      </c>
      <c r="AA152" s="5">
        <v>1.6702562765117686</v>
      </c>
      <c r="AB152" s="6">
        <v>2.9041338456297598</v>
      </c>
      <c r="AC152" s="6">
        <v>27188.783333333336</v>
      </c>
      <c r="AD152" s="6">
        <v>1.0941008135478503</v>
      </c>
      <c r="AE152" s="5">
        <v>3.10439781386797</v>
      </c>
      <c r="AF152" s="5">
        <v>17220.8</v>
      </c>
      <c r="AG152" s="5">
        <v>1.9315486839244116</v>
      </c>
      <c r="AH152" s="6">
        <v>238503.78666666665</v>
      </c>
      <c r="AI152" s="6">
        <v>1.2205696402501514</v>
      </c>
      <c r="AJ152" s="5">
        <v>146045.58666666667</v>
      </c>
      <c r="AK152" s="5">
        <v>0.45811403305991427</v>
      </c>
      <c r="AL152" s="6">
        <v>3252509.6033333335</v>
      </c>
      <c r="AM152" s="6">
        <v>0.58339572459363609</v>
      </c>
    </row>
    <row r="153" spans="1:39" ht="18.75" customHeight="1">
      <c r="A153" s="13"/>
      <c r="B153" s="13" t="b">
        <v>0</v>
      </c>
      <c r="C153" s="13" t="s">
        <v>162</v>
      </c>
      <c r="D153" s="13" t="s">
        <v>401</v>
      </c>
      <c r="E153" s="3">
        <v>41436.928865740738</v>
      </c>
      <c r="F153" s="4" t="s">
        <v>454</v>
      </c>
      <c r="G153" s="5" t="s">
        <v>0</v>
      </c>
      <c r="H153" s="5">
        <v>0.81081081081081074</v>
      </c>
      <c r="I153" s="13" t="s">
        <v>335</v>
      </c>
      <c r="J153" s="6">
        <v>70.475785432290294</v>
      </c>
      <c r="K153" s="6">
        <v>8947.2266666666674</v>
      </c>
      <c r="L153" s="6">
        <v>1.0506656385544624</v>
      </c>
      <c r="M153" s="5">
        <v>8.2005557601254706E-2</v>
      </c>
      <c r="N153" s="5">
        <v>2204.6933333333332</v>
      </c>
      <c r="O153" s="5">
        <v>2.1510180315252465</v>
      </c>
      <c r="P153" s="6">
        <v>71.8528934180638</v>
      </c>
      <c r="Q153" s="6">
        <v>2344735.0333333332</v>
      </c>
      <c r="R153" s="6">
        <v>0.59778879567642373</v>
      </c>
      <c r="S153" s="5">
        <v>70.835649493569605</v>
      </c>
      <c r="T153" s="5">
        <v>56210.573333333334</v>
      </c>
      <c r="U153" s="5">
        <v>0.89504342804822712</v>
      </c>
      <c r="V153" s="6" t="s">
        <v>405</v>
      </c>
      <c r="W153" s="6">
        <v>2161.3533333333335</v>
      </c>
      <c r="X153" s="6">
        <v>7.1631691235446437</v>
      </c>
      <c r="Y153" s="5">
        <v>4.9578926889879398</v>
      </c>
      <c r="Z153" s="5">
        <v>220974.80666666667</v>
      </c>
      <c r="AA153" s="5">
        <v>1.9199200607565463</v>
      </c>
      <c r="AB153" s="6">
        <v>2.0000628239926401</v>
      </c>
      <c r="AC153" s="6">
        <v>27016.373333333333</v>
      </c>
      <c r="AD153" s="6">
        <v>2.2059917918205847</v>
      </c>
      <c r="AE153" s="5">
        <v>2.1923106243972401</v>
      </c>
      <c r="AF153" s="5">
        <v>17533.316666666669</v>
      </c>
      <c r="AG153" s="5">
        <v>0.97166928951594334</v>
      </c>
      <c r="AH153" s="6">
        <v>239403.44333333336</v>
      </c>
      <c r="AI153" s="6">
        <v>1.9620935230608876</v>
      </c>
      <c r="AJ153" s="5">
        <v>144488.57999999999</v>
      </c>
      <c r="AK153" s="5">
        <v>1.3109951803338995</v>
      </c>
      <c r="AL153" s="6">
        <v>3264800.7866666666</v>
      </c>
      <c r="AM153" s="6">
        <v>1.2218751712496108</v>
      </c>
    </row>
    <row r="154" spans="1:39" ht="18.75" customHeight="1">
      <c r="A154" s="13"/>
      <c r="B154" s="13" t="b">
        <v>0</v>
      </c>
      <c r="C154" s="13" t="s">
        <v>163</v>
      </c>
      <c r="D154" s="13" t="s">
        <v>402</v>
      </c>
      <c r="E154" s="3">
        <v>41436.931979166664</v>
      </c>
      <c r="F154" s="4" t="s">
        <v>454</v>
      </c>
      <c r="G154" s="5" t="s">
        <v>0</v>
      </c>
      <c r="H154" s="5">
        <v>1.8282548476454292</v>
      </c>
      <c r="I154" s="13" t="s">
        <v>336</v>
      </c>
      <c r="J154" s="6">
        <v>102.817627682127</v>
      </c>
      <c r="K154" s="6">
        <v>5824.6033333333335</v>
      </c>
      <c r="L154" s="6">
        <v>2.2989855819823055</v>
      </c>
      <c r="M154" s="5">
        <v>0.17517978118844499</v>
      </c>
      <c r="N154" s="5">
        <v>2108.0066666666662</v>
      </c>
      <c r="O154" s="5">
        <v>1.2287992606126523</v>
      </c>
      <c r="P154" s="6">
        <v>48.319188060851602</v>
      </c>
      <c r="Q154" s="6">
        <v>713260.78000000014</v>
      </c>
      <c r="R154" s="6">
        <v>0.34817252497998435</v>
      </c>
      <c r="S154" s="5">
        <v>48.696724517278703</v>
      </c>
      <c r="T154" s="5">
        <v>17417.55</v>
      </c>
      <c r="U154" s="5">
        <v>0.2773098440505799</v>
      </c>
      <c r="V154" s="6">
        <v>0.105013110512729</v>
      </c>
      <c r="W154" s="6">
        <v>3753.9333333333329</v>
      </c>
      <c r="X154" s="6">
        <v>2.5061019651591345</v>
      </c>
      <c r="Y154" s="5">
        <v>4.7973317401936004</v>
      </c>
      <c r="Z154" s="5">
        <v>95442.19</v>
      </c>
      <c r="AA154" s="5">
        <v>7.9897074007216351E-2</v>
      </c>
      <c r="AB154" s="6">
        <v>3.5404055360562099</v>
      </c>
      <c r="AC154" s="6">
        <v>21348.969999999998</v>
      </c>
      <c r="AD154" s="6">
        <v>0.65704851872282988</v>
      </c>
      <c r="AE154" s="5">
        <v>3.85298045975631</v>
      </c>
      <c r="AF154" s="5">
        <v>13752.963333333333</v>
      </c>
      <c r="AG154" s="5">
        <v>1.3988766396588204</v>
      </c>
      <c r="AH154" s="6">
        <v>237259.61666666667</v>
      </c>
      <c r="AI154" s="6">
        <v>1.9859816973801232</v>
      </c>
      <c r="AJ154" s="5">
        <v>144144.13999999998</v>
      </c>
      <c r="AK154" s="5">
        <v>0.38424412728234775</v>
      </c>
      <c r="AL154" s="6">
        <v>3240781.65</v>
      </c>
      <c r="AM154" s="6">
        <v>0.46436362064698689</v>
      </c>
    </row>
    <row r="155" spans="1:39" ht="18.75" customHeight="1">
      <c r="A155" s="13"/>
      <c r="B155" s="13" t="b">
        <v>0</v>
      </c>
      <c r="C155" s="13" t="s">
        <v>164</v>
      </c>
      <c r="D155" s="13" t="s">
        <v>403</v>
      </c>
      <c r="E155" s="3">
        <v>41436.935104166667</v>
      </c>
      <c r="F155" s="4" t="s">
        <v>454</v>
      </c>
      <c r="G155" s="5" t="s">
        <v>0</v>
      </c>
      <c r="H155" s="5">
        <v>1.7232375979112273</v>
      </c>
      <c r="I155" s="13" t="s">
        <v>337</v>
      </c>
      <c r="J155" s="6">
        <v>102.565981929892</v>
      </c>
      <c r="K155" s="6">
        <v>6169.2133333333331</v>
      </c>
      <c r="L155" s="6">
        <v>2.6460673762359708</v>
      </c>
      <c r="M155" s="5">
        <v>9.7955189583041294E-2</v>
      </c>
      <c r="N155" s="5">
        <v>1440.14</v>
      </c>
      <c r="O155" s="5">
        <v>2.8062337315233599</v>
      </c>
      <c r="P155" s="6">
        <v>31.2484746641546</v>
      </c>
      <c r="Q155" s="6">
        <v>497376.3</v>
      </c>
      <c r="R155" s="6">
        <v>1.4468503386711371</v>
      </c>
      <c r="S155" s="5">
        <v>32.439906838434801</v>
      </c>
      <c r="T155" s="5">
        <v>12471.886666666667</v>
      </c>
      <c r="U155" s="5">
        <v>1.3949008885528433</v>
      </c>
      <c r="V155" s="6" t="s">
        <v>405</v>
      </c>
      <c r="W155" s="6">
        <v>1612.3766666666668</v>
      </c>
      <c r="X155" s="6">
        <v>8.1775464857342985</v>
      </c>
      <c r="Y155" s="5">
        <v>4.8206766788225304</v>
      </c>
      <c r="Z155" s="5">
        <v>101874.71999999999</v>
      </c>
      <c r="AA155" s="5">
        <v>0.37900109075629224</v>
      </c>
      <c r="AB155" s="6">
        <v>2.0487035327514702</v>
      </c>
      <c r="AC155" s="6">
        <v>13470.46</v>
      </c>
      <c r="AD155" s="6">
        <v>1.4618358980836779</v>
      </c>
      <c r="AE155" s="5">
        <v>2.1836276489183701</v>
      </c>
      <c r="AF155" s="5">
        <v>8499.2633333333342</v>
      </c>
      <c r="AG155" s="5">
        <v>3.1123199388743563</v>
      </c>
      <c r="AH155" s="6">
        <v>238158.14666666664</v>
      </c>
      <c r="AI155" s="6">
        <v>0.10519252925882443</v>
      </c>
      <c r="AJ155" s="5">
        <v>144468.07666666666</v>
      </c>
      <c r="AK155" s="5">
        <v>1.3183658542632168</v>
      </c>
      <c r="AL155" s="6">
        <v>3249540.75</v>
      </c>
      <c r="AM155" s="6">
        <v>0.37556532515929303</v>
      </c>
    </row>
    <row r="156" spans="1:39" ht="18.75" customHeight="1">
      <c r="A156" s="13"/>
      <c r="B156" s="13" t="b">
        <v>0</v>
      </c>
      <c r="C156" s="13" t="s">
        <v>165</v>
      </c>
      <c r="D156" s="13" t="s">
        <v>207</v>
      </c>
      <c r="E156" s="3">
        <v>41436.938206018516</v>
      </c>
      <c r="F156" s="4" t="s">
        <v>454</v>
      </c>
      <c r="G156" s="5" t="s">
        <v>0</v>
      </c>
      <c r="H156" s="5">
        <v>1.1000000000000001</v>
      </c>
      <c r="I156" s="13" t="s">
        <v>254</v>
      </c>
      <c r="J156" s="6">
        <v>239.48965277336899</v>
      </c>
      <c r="K156" s="6">
        <v>22415.75333333333</v>
      </c>
      <c r="L156" s="6">
        <v>1.9552611931050727</v>
      </c>
      <c r="M156" s="5">
        <v>0.15123342522070099</v>
      </c>
      <c r="N156" s="5">
        <v>2859.2666666666664</v>
      </c>
      <c r="O156" s="5">
        <v>1.3664782057885609</v>
      </c>
      <c r="P156" s="6">
        <v>185.14635404325401</v>
      </c>
      <c r="Q156" s="6">
        <v>4477696.8066666657</v>
      </c>
      <c r="R156" s="6">
        <v>0.70937890688462546</v>
      </c>
      <c r="S156" s="5">
        <v>183.79478579991601</v>
      </c>
      <c r="T156" s="5">
        <v>108150.17333333334</v>
      </c>
      <c r="U156" s="5">
        <v>1.0565849182568732</v>
      </c>
      <c r="V156" s="6" t="s">
        <v>405</v>
      </c>
      <c r="W156" s="6">
        <v>1237.8866666666665</v>
      </c>
      <c r="X156" s="6">
        <v>2.7642302845222395</v>
      </c>
      <c r="Y156" s="5">
        <v>8.1169942632343108</v>
      </c>
      <c r="Z156" s="5">
        <v>269035.19</v>
      </c>
      <c r="AA156" s="5">
        <v>1.3969036461971536</v>
      </c>
      <c r="AB156" s="6">
        <v>11.1666620862255</v>
      </c>
      <c r="AC156" s="6">
        <v>109541.61333333333</v>
      </c>
      <c r="AD156" s="6">
        <v>1.0995726495634124</v>
      </c>
      <c r="AE156" s="5">
        <v>12.034590144324</v>
      </c>
      <c r="AF156" s="5">
        <v>70014.303333333344</v>
      </c>
      <c r="AG156" s="5">
        <v>1.1263337450884818</v>
      </c>
      <c r="AH156" s="6">
        <v>237358.21</v>
      </c>
      <c r="AI156" s="6">
        <v>2.8734061221743832</v>
      </c>
      <c r="AJ156" s="5">
        <v>145927.28000000003</v>
      </c>
      <c r="AK156" s="5">
        <v>1.2567861386702734</v>
      </c>
      <c r="AL156" s="6">
        <v>3275939.3266666667</v>
      </c>
      <c r="AM156" s="6">
        <v>2.7132623637442679</v>
      </c>
    </row>
    <row r="157" spans="1:39" ht="18.75" customHeight="1">
      <c r="A157" s="13"/>
      <c r="B157" s="13" t="b">
        <v>0</v>
      </c>
      <c r="C157" s="13" t="s">
        <v>166</v>
      </c>
      <c r="D157" s="13" t="s">
        <v>1</v>
      </c>
      <c r="E157" s="3">
        <v>41436.941284722219</v>
      </c>
      <c r="F157" s="4" t="s">
        <v>424</v>
      </c>
      <c r="G157" s="5" t="s">
        <v>0</v>
      </c>
      <c r="H157" s="5">
        <v>1</v>
      </c>
      <c r="I157" s="13" t="s">
        <v>193</v>
      </c>
      <c r="J157" s="6" t="s">
        <v>416</v>
      </c>
      <c r="K157" s="6">
        <v>128.89666666666668</v>
      </c>
      <c r="L157" s="6">
        <v>9.0846122027998799</v>
      </c>
      <c r="M157" s="5" t="s">
        <v>405</v>
      </c>
      <c r="N157" s="5">
        <v>651.15666666666664</v>
      </c>
      <c r="O157" s="5">
        <v>6.0652249237700024</v>
      </c>
      <c r="P157" s="6" t="s">
        <v>414</v>
      </c>
      <c r="Q157" s="6">
        <v>22429.319999999996</v>
      </c>
      <c r="R157" s="6">
        <v>2.0503973149515748</v>
      </c>
      <c r="S157" s="5" t="s">
        <v>415</v>
      </c>
      <c r="T157" s="5">
        <v>470.02666666666664</v>
      </c>
      <c r="U157" s="5">
        <v>32.554650905515572</v>
      </c>
      <c r="V157" s="6" t="s">
        <v>405</v>
      </c>
      <c r="W157" s="6">
        <v>1476.8066666666666</v>
      </c>
      <c r="X157" s="6">
        <v>10.638797331823946</v>
      </c>
      <c r="Y157" s="5" t="s">
        <v>407</v>
      </c>
      <c r="Z157" s="5">
        <v>1704.62</v>
      </c>
      <c r="AA157" s="5">
        <v>1.4415099487101595</v>
      </c>
      <c r="AB157" s="6" t="s">
        <v>413</v>
      </c>
      <c r="AC157" s="6">
        <v>1122.3133333333333</v>
      </c>
      <c r="AD157" s="6">
        <v>4.0325076513412483</v>
      </c>
      <c r="AE157" s="5" t="s">
        <v>412</v>
      </c>
      <c r="AF157" s="5">
        <v>631.15333333333331</v>
      </c>
      <c r="AG157" s="5">
        <v>8.7158326717311212</v>
      </c>
      <c r="AH157" s="6">
        <v>229492.05999999997</v>
      </c>
      <c r="AI157" s="6">
        <v>0.87536677267214069</v>
      </c>
      <c r="AJ157" s="5">
        <v>147499.20333333334</v>
      </c>
      <c r="AK157" s="5">
        <v>1.9115403571363769</v>
      </c>
      <c r="AL157" s="6">
        <v>3284631.93</v>
      </c>
      <c r="AM157" s="6">
        <v>1.5313196668755902</v>
      </c>
    </row>
    <row r="158" spans="1:39" ht="18.75" customHeight="1">
      <c r="A158" s="13"/>
      <c r="B158" s="13" t="b">
        <v>1</v>
      </c>
      <c r="C158" s="13" t="s">
        <v>167</v>
      </c>
      <c r="D158" s="13" t="s">
        <v>483</v>
      </c>
      <c r="E158" s="3">
        <v>41436.944386574076</v>
      </c>
      <c r="F158" s="4" t="s">
        <v>452</v>
      </c>
      <c r="G158" s="5" t="s">
        <v>0</v>
      </c>
      <c r="H158" s="5">
        <v>1</v>
      </c>
      <c r="I158" s="13" t="s">
        <v>204</v>
      </c>
      <c r="J158" s="6"/>
      <c r="K158" s="6"/>
      <c r="L158" s="6"/>
      <c r="M158" s="5"/>
      <c r="N158" s="5"/>
      <c r="O158" s="5"/>
      <c r="P158" s="6"/>
      <c r="Q158" s="6"/>
      <c r="R158" s="6"/>
      <c r="S158" s="5"/>
      <c r="T158" s="5"/>
      <c r="U158" s="5"/>
      <c r="V158" s="6"/>
      <c r="W158" s="6"/>
      <c r="X158" s="6"/>
      <c r="Y158" s="5"/>
      <c r="Z158" s="5"/>
      <c r="AA158" s="5"/>
      <c r="AB158" s="6"/>
      <c r="AC158" s="6"/>
      <c r="AD158" s="6"/>
      <c r="AE158" s="5"/>
      <c r="AF158" s="5"/>
      <c r="AG158" s="5"/>
      <c r="AH158" s="6"/>
      <c r="AI158" s="6"/>
      <c r="AJ158" s="5"/>
      <c r="AK158" s="5"/>
      <c r="AL158" s="6"/>
      <c r="AM158" s="6"/>
    </row>
    <row r="159" spans="1:39" ht="18.75" customHeight="1">
      <c r="A159" s="13"/>
      <c r="B159" s="13" t="b">
        <v>0</v>
      </c>
      <c r="C159" s="13" t="s">
        <v>168</v>
      </c>
      <c r="D159" s="13" t="s">
        <v>1</v>
      </c>
      <c r="E159" s="3">
        <v>41436.947476851848</v>
      </c>
      <c r="F159" s="4" t="s">
        <v>424</v>
      </c>
      <c r="G159" s="5" t="s">
        <v>0</v>
      </c>
      <c r="H159" s="5">
        <v>1</v>
      </c>
      <c r="I159" s="13" t="s">
        <v>194</v>
      </c>
      <c r="J159" s="6" t="s">
        <v>416</v>
      </c>
      <c r="K159" s="6">
        <v>158.9</v>
      </c>
      <c r="L159" s="6">
        <v>35.188724124753016</v>
      </c>
      <c r="M159" s="5" t="s">
        <v>405</v>
      </c>
      <c r="N159" s="5">
        <v>501.14333333333337</v>
      </c>
      <c r="O159" s="5">
        <v>9.0314361256476747</v>
      </c>
      <c r="P159" s="6" t="s">
        <v>414</v>
      </c>
      <c r="Q159" s="6">
        <v>21992.006666666664</v>
      </c>
      <c r="R159" s="6">
        <v>0.76313942797756473</v>
      </c>
      <c r="S159" s="5" t="s">
        <v>415</v>
      </c>
      <c r="T159" s="5">
        <v>528.91999999999996</v>
      </c>
      <c r="U159" s="5">
        <v>14.610209565752017</v>
      </c>
      <c r="V159" s="6" t="s">
        <v>405</v>
      </c>
      <c r="W159" s="6">
        <v>1088.9833333333333</v>
      </c>
      <c r="X159" s="6">
        <v>7.2719500556484444</v>
      </c>
      <c r="Y159" s="5" t="s">
        <v>407</v>
      </c>
      <c r="Z159" s="5">
        <v>1396.7933333333333</v>
      </c>
      <c r="AA159" s="5">
        <v>4.4205656391158694</v>
      </c>
      <c r="AB159" s="6" t="s">
        <v>413</v>
      </c>
      <c r="AC159" s="6">
        <v>943.40666666666675</v>
      </c>
      <c r="AD159" s="6">
        <v>5.0097203599196369</v>
      </c>
      <c r="AE159" s="5" t="s">
        <v>412</v>
      </c>
      <c r="AF159" s="5">
        <v>582.26333333333332</v>
      </c>
      <c r="AG159" s="5">
        <v>14.644812810070878</v>
      </c>
      <c r="AH159" s="6">
        <v>233994.53000000003</v>
      </c>
      <c r="AI159" s="6">
        <v>0.92619102438331136</v>
      </c>
      <c r="AJ159" s="5">
        <v>148602.19</v>
      </c>
      <c r="AK159" s="5">
        <v>1.4326256724134556</v>
      </c>
      <c r="AL159" s="6">
        <v>3310219.3233333337</v>
      </c>
      <c r="AM159" s="6">
        <v>0.83865584732291965</v>
      </c>
    </row>
    <row r="160" spans="1:39" ht="18.75" customHeight="1">
      <c r="A160" s="13"/>
      <c r="B160" s="13" t="b">
        <v>0</v>
      </c>
      <c r="C160" s="13" t="s">
        <v>169</v>
      </c>
      <c r="D160" s="13" t="s">
        <v>1</v>
      </c>
      <c r="E160" s="3">
        <v>41436.950578703705</v>
      </c>
      <c r="F160" s="4" t="s">
        <v>424</v>
      </c>
      <c r="G160" s="5" t="s">
        <v>0</v>
      </c>
      <c r="H160" s="5">
        <v>1</v>
      </c>
      <c r="I160" s="13" t="s">
        <v>193</v>
      </c>
      <c r="J160" s="6" t="s">
        <v>416</v>
      </c>
      <c r="K160" s="6">
        <v>175.56666666666669</v>
      </c>
      <c r="L160" s="6">
        <v>10.79703361492186</v>
      </c>
      <c r="M160" s="5" t="s">
        <v>405</v>
      </c>
      <c r="N160" s="5">
        <v>634.48666666666657</v>
      </c>
      <c r="O160" s="5">
        <v>9.4038934067519353</v>
      </c>
      <c r="P160" s="6" t="s">
        <v>414</v>
      </c>
      <c r="Q160" s="6">
        <v>21679.383333333335</v>
      </c>
      <c r="R160" s="6">
        <v>1.9569559865058164</v>
      </c>
      <c r="S160" s="5" t="s">
        <v>415</v>
      </c>
      <c r="T160" s="5">
        <v>537.81333333333328</v>
      </c>
      <c r="U160" s="5">
        <v>15.939796714276994</v>
      </c>
      <c r="V160" s="6" t="s">
        <v>405</v>
      </c>
      <c r="W160" s="6">
        <v>1603.5033333333333</v>
      </c>
      <c r="X160" s="6">
        <v>10.916656292303751</v>
      </c>
      <c r="Y160" s="5" t="s">
        <v>407</v>
      </c>
      <c r="Z160" s="5">
        <v>1716.84</v>
      </c>
      <c r="AA160" s="5">
        <v>5.3635515499980961</v>
      </c>
      <c r="AB160" s="6" t="s">
        <v>413</v>
      </c>
      <c r="AC160" s="6">
        <v>1144.5433333333333</v>
      </c>
      <c r="AD160" s="6">
        <v>6.1120203378101463</v>
      </c>
      <c r="AE160" s="5" t="s">
        <v>412</v>
      </c>
      <c r="AF160" s="5">
        <v>630.04333333333341</v>
      </c>
      <c r="AG160" s="5">
        <v>10.094122289933665</v>
      </c>
      <c r="AH160" s="6">
        <v>229811.41666666666</v>
      </c>
      <c r="AI160" s="6">
        <v>1.0148480495643624</v>
      </c>
      <c r="AJ160" s="5">
        <v>147256.33666666664</v>
      </c>
      <c r="AK160" s="5">
        <v>0.44868270948320732</v>
      </c>
      <c r="AL160" s="6">
        <v>3254036.5466666669</v>
      </c>
      <c r="AM160" s="6">
        <v>1.1400062184236912</v>
      </c>
    </row>
    <row r="161" spans="1:39" ht="18.75" customHeight="1">
      <c r="A161" s="13"/>
      <c r="B161" s="13" t="b">
        <v>0</v>
      </c>
      <c r="C161" s="13" t="s">
        <v>170</v>
      </c>
      <c r="D161" s="13" t="s">
        <v>1</v>
      </c>
      <c r="E161" s="3">
        <v>41436.953657407408</v>
      </c>
      <c r="F161" s="4" t="s">
        <v>439</v>
      </c>
      <c r="G161" s="5" t="s">
        <v>102</v>
      </c>
      <c r="H161" s="5">
        <v>1</v>
      </c>
      <c r="I161" s="13" t="s">
        <v>194</v>
      </c>
      <c r="J161" s="6" t="s">
        <v>418</v>
      </c>
      <c r="K161" s="6">
        <v>153.34333333333333</v>
      </c>
      <c r="L161" s="6">
        <v>30.666974792703051</v>
      </c>
      <c r="M161" s="5" t="s">
        <v>408</v>
      </c>
      <c r="N161" s="5">
        <v>496.69666666666672</v>
      </c>
      <c r="O161" s="5">
        <v>19.182780239484483</v>
      </c>
      <c r="P161" s="6" t="s">
        <v>409</v>
      </c>
      <c r="Q161" s="6">
        <v>21672.69</v>
      </c>
      <c r="R161" s="6">
        <v>1.3515045037616056</v>
      </c>
      <c r="S161" s="5" t="s">
        <v>417</v>
      </c>
      <c r="T161" s="5">
        <v>515.59333333333336</v>
      </c>
      <c r="U161" s="5">
        <v>14.243984087219111</v>
      </c>
      <c r="V161" s="6" t="s">
        <v>404</v>
      </c>
      <c r="W161" s="6">
        <v>1076.7466666666667</v>
      </c>
      <c r="X161" s="6">
        <v>6.3978576702317991</v>
      </c>
      <c r="Y161" s="5" t="s">
        <v>406</v>
      </c>
      <c r="Z161" s="5">
        <v>1310.1133333333335</v>
      </c>
      <c r="AA161" s="5">
        <v>9.5076445522304169</v>
      </c>
      <c r="AB161" s="6" t="s">
        <v>411</v>
      </c>
      <c r="AC161" s="6">
        <v>888.95333333333326</v>
      </c>
      <c r="AD161" s="6">
        <v>11.165609388269671</v>
      </c>
      <c r="AE161" s="5" t="s">
        <v>410</v>
      </c>
      <c r="AF161" s="5">
        <v>516.69666666666672</v>
      </c>
      <c r="AG161" s="5">
        <v>11.19355852876992</v>
      </c>
      <c r="AH161" s="6">
        <v>229286.92666666667</v>
      </c>
      <c r="AI161" s="6">
        <v>0.32856026080515177</v>
      </c>
      <c r="AJ161" s="5">
        <v>147025.75333333333</v>
      </c>
      <c r="AK161" s="5">
        <v>0.65136614905208923</v>
      </c>
      <c r="AL161" s="6">
        <v>3268825.5766666667</v>
      </c>
      <c r="AM161" s="6">
        <v>0.90885152571152628</v>
      </c>
    </row>
    <row r="162" spans="1:39" ht="18.75" customHeight="1">
      <c r="A162" s="13"/>
      <c r="B162" s="13" t="b">
        <v>0</v>
      </c>
      <c r="C162" s="13" t="s">
        <v>172</v>
      </c>
      <c r="D162" s="13" t="s">
        <v>2</v>
      </c>
      <c r="E162" s="3">
        <v>41436.956747685188</v>
      </c>
      <c r="F162" s="4" t="s">
        <v>440</v>
      </c>
      <c r="G162" s="5" t="s">
        <v>189</v>
      </c>
      <c r="H162" s="5">
        <v>1</v>
      </c>
      <c r="I162" s="13" t="s">
        <v>195</v>
      </c>
      <c r="J162" s="6" t="s">
        <v>418</v>
      </c>
      <c r="K162" s="6">
        <v>495.59</v>
      </c>
      <c r="L162" s="6">
        <v>16.217959635498254</v>
      </c>
      <c r="M162" s="5">
        <v>0.48074143905872802</v>
      </c>
      <c r="N162" s="5">
        <v>8989.5066666666662</v>
      </c>
      <c r="O162" s="5">
        <v>2.2192836976839407</v>
      </c>
      <c r="P162" s="6">
        <v>0.451829611913041</v>
      </c>
      <c r="Q162" s="6">
        <v>33941.253333333334</v>
      </c>
      <c r="R162" s="6">
        <v>1.5536737139592958</v>
      </c>
      <c r="S162" s="5" t="s">
        <v>417</v>
      </c>
      <c r="T162" s="5">
        <v>861.17333333333329</v>
      </c>
      <c r="U162" s="5">
        <v>9.8035189399920153</v>
      </c>
      <c r="V162" s="6">
        <v>0.49254773179576899</v>
      </c>
      <c r="W162" s="6">
        <v>25766.433333333334</v>
      </c>
      <c r="X162" s="6">
        <v>2.6551844476101785</v>
      </c>
      <c r="Y162" s="5">
        <v>0.49480990288916499</v>
      </c>
      <c r="Z162" s="5">
        <v>19642.449999999997</v>
      </c>
      <c r="AA162" s="5">
        <v>1.8542208799965365</v>
      </c>
      <c r="AB162" s="6">
        <v>0.68467044689830703</v>
      </c>
      <c r="AC162" s="6">
        <v>8398.0633333333335</v>
      </c>
      <c r="AD162" s="6">
        <v>2.4744567912874325</v>
      </c>
      <c r="AE162" s="5">
        <v>0.70781598466325102</v>
      </c>
      <c r="AF162" s="5">
        <v>5135.4766666666665</v>
      </c>
      <c r="AG162" s="5">
        <v>2.4727172661751102</v>
      </c>
      <c r="AH162" s="6">
        <v>233485.09333333335</v>
      </c>
      <c r="AI162" s="6">
        <v>0.48837804164302268</v>
      </c>
      <c r="AJ162" s="5">
        <v>147975.06666666668</v>
      </c>
      <c r="AK162" s="5">
        <v>1.4751175407138006</v>
      </c>
      <c r="AL162" s="6">
        <v>3250974.9866666663</v>
      </c>
      <c r="AM162" s="6">
        <v>0.45852467426636045</v>
      </c>
    </row>
    <row r="163" spans="1:39" ht="18.75" customHeight="1">
      <c r="A163" s="13"/>
      <c r="B163" s="13" t="b">
        <v>0</v>
      </c>
      <c r="C163" s="13" t="s">
        <v>173</v>
      </c>
      <c r="D163" s="13" t="s">
        <v>102</v>
      </c>
      <c r="E163" s="3">
        <v>41436.959837962961</v>
      </c>
      <c r="F163" s="4" t="s">
        <v>440</v>
      </c>
      <c r="G163" s="5" t="s">
        <v>212</v>
      </c>
      <c r="H163" s="5">
        <v>1</v>
      </c>
      <c r="I163" s="13" t="s">
        <v>196</v>
      </c>
      <c r="J163" s="6" t="s">
        <v>418</v>
      </c>
      <c r="K163" s="6">
        <v>344.46333333333331</v>
      </c>
      <c r="L163" s="6">
        <v>8.9912131536075197</v>
      </c>
      <c r="M163" s="5">
        <v>0.935337726242221</v>
      </c>
      <c r="N163" s="5">
        <v>17034.943333333333</v>
      </c>
      <c r="O163" s="5">
        <v>1.1890974540808894</v>
      </c>
      <c r="P163" s="6">
        <v>0.88974784776118299</v>
      </c>
      <c r="Q163" s="6">
        <v>45743.366666666669</v>
      </c>
      <c r="R163" s="6">
        <v>1.1553756269994675</v>
      </c>
      <c r="S163" s="5" t="s">
        <v>417</v>
      </c>
      <c r="T163" s="5">
        <v>1102.3166666666666</v>
      </c>
      <c r="U163" s="5">
        <v>5.6772199266257317</v>
      </c>
      <c r="V163" s="6">
        <v>0.95675147394715998</v>
      </c>
      <c r="W163" s="6">
        <v>49064.623333333329</v>
      </c>
      <c r="X163" s="6">
        <v>0.82425012890214711</v>
      </c>
      <c r="Y163" s="5">
        <v>0.94907998089307899</v>
      </c>
      <c r="Z163" s="5">
        <v>36493.456666666665</v>
      </c>
      <c r="AA163" s="5">
        <v>0.70853355958766073</v>
      </c>
      <c r="AB163" s="6">
        <v>1.01606853391112</v>
      </c>
      <c r="AC163" s="6">
        <v>12036.026666666667</v>
      </c>
      <c r="AD163" s="6">
        <v>1.5159966425824722</v>
      </c>
      <c r="AE163" s="5">
        <v>1.0531726266321999</v>
      </c>
      <c r="AF163" s="5">
        <v>7394.246666666666</v>
      </c>
      <c r="AG163" s="5">
        <v>3.2712941334218391</v>
      </c>
      <c r="AH163" s="6">
        <v>226963.68000000002</v>
      </c>
      <c r="AI163" s="6">
        <v>1.4746444369475094</v>
      </c>
      <c r="AJ163" s="5">
        <v>148073.5</v>
      </c>
      <c r="AK163" s="5">
        <v>0.39971522708205981</v>
      </c>
      <c r="AL163" s="6">
        <v>3235641.6200000006</v>
      </c>
      <c r="AM163" s="6">
        <v>0.6710131097757237</v>
      </c>
    </row>
    <row r="164" spans="1:39" ht="18.75" customHeight="1">
      <c r="A164" s="13"/>
      <c r="B164" s="13" t="b">
        <v>0</v>
      </c>
      <c r="C164" s="13" t="s">
        <v>174</v>
      </c>
      <c r="D164" s="13" t="s">
        <v>189</v>
      </c>
      <c r="E164" s="3">
        <v>41436.96292824074</v>
      </c>
      <c r="F164" s="4" t="s">
        <v>440</v>
      </c>
      <c r="G164" s="5" t="s">
        <v>283</v>
      </c>
      <c r="H164" s="5">
        <v>1</v>
      </c>
      <c r="I164" s="13" t="s">
        <v>197</v>
      </c>
      <c r="J164" s="6">
        <v>13.247423538047499</v>
      </c>
      <c r="K164" s="6">
        <v>1534.5933333333332</v>
      </c>
      <c r="L164" s="6">
        <v>5.3625205753788876</v>
      </c>
      <c r="M164" s="5">
        <v>1.92448544885585</v>
      </c>
      <c r="N164" s="5">
        <v>34337.58666666667</v>
      </c>
      <c r="O164" s="5">
        <v>0.95017725317291146</v>
      </c>
      <c r="P164" s="6">
        <v>1.93889550274571</v>
      </c>
      <c r="Q164" s="6">
        <v>73551.58</v>
      </c>
      <c r="R164" s="6">
        <v>1.3133761030212143</v>
      </c>
      <c r="S164" s="5">
        <v>2.0915468267491302</v>
      </c>
      <c r="T164" s="5">
        <v>1870.2</v>
      </c>
      <c r="U164" s="5">
        <v>4.6450476851208133</v>
      </c>
      <c r="V164" s="6">
        <v>1.9488628717607901</v>
      </c>
      <c r="W164" s="6">
        <v>98299.10000000002</v>
      </c>
      <c r="X164" s="6">
        <v>1.3206752915672735</v>
      </c>
      <c r="Y164" s="5">
        <v>1.9575622551057299</v>
      </c>
      <c r="Z164" s="5">
        <v>73472.53333333334</v>
      </c>
      <c r="AA164" s="5">
        <v>1.2214799128507032</v>
      </c>
      <c r="AB164" s="6">
        <v>2.08344501069557</v>
      </c>
      <c r="AC164" s="6">
        <v>23612.180000000004</v>
      </c>
      <c r="AD164" s="6">
        <v>1.9787963103529809</v>
      </c>
      <c r="AE164" s="5">
        <v>2.07024359204555</v>
      </c>
      <c r="AF164" s="5">
        <v>13956.513333333334</v>
      </c>
      <c r="AG164" s="5">
        <v>2.6529910234815062</v>
      </c>
      <c r="AH164" s="6">
        <v>229771.94333333336</v>
      </c>
      <c r="AI164" s="6">
        <v>0.95061077759355828</v>
      </c>
      <c r="AJ164" s="5">
        <v>147303.87</v>
      </c>
      <c r="AK164" s="5">
        <v>1.1096263270196149</v>
      </c>
      <c r="AL164" s="6">
        <v>3260729.4633333334</v>
      </c>
      <c r="AM164" s="6">
        <v>0.26703111636029503</v>
      </c>
    </row>
    <row r="165" spans="1:39" ht="18.75" customHeight="1">
      <c r="A165" s="13"/>
      <c r="B165" s="13" t="b">
        <v>0</v>
      </c>
      <c r="C165" s="13" t="s">
        <v>175</v>
      </c>
      <c r="D165" s="13" t="s">
        <v>344</v>
      </c>
      <c r="E165" s="3">
        <v>41436.96601851852</v>
      </c>
      <c r="F165" s="4" t="s">
        <v>440</v>
      </c>
      <c r="G165" s="5" t="s">
        <v>344</v>
      </c>
      <c r="H165" s="5">
        <v>1</v>
      </c>
      <c r="I165" s="13" t="s">
        <v>198</v>
      </c>
      <c r="J165" s="6">
        <v>8.5819792438423903</v>
      </c>
      <c r="K165" s="6">
        <v>1048.97</v>
      </c>
      <c r="L165" s="6">
        <v>10.960116858942115</v>
      </c>
      <c r="M165" s="5">
        <v>4.8467662528379396</v>
      </c>
      <c r="N165" s="5">
        <v>85807.35</v>
      </c>
      <c r="O165" s="5">
        <v>0.79380870199524423</v>
      </c>
      <c r="P165" s="6">
        <v>4.77107385989585</v>
      </c>
      <c r="Q165" s="6">
        <v>149417.22333333336</v>
      </c>
      <c r="R165" s="6">
        <v>0.82341706133142856</v>
      </c>
      <c r="S165" s="5">
        <v>4.9046286333213498</v>
      </c>
      <c r="T165" s="5">
        <v>3695.0366666666664</v>
      </c>
      <c r="U165" s="5">
        <v>4.9006760937603113</v>
      </c>
      <c r="V165" s="6">
        <v>4.8604465647136399</v>
      </c>
      <c r="W165" s="6">
        <v>243766.89333333334</v>
      </c>
      <c r="X165" s="6">
        <v>1.6536437440962577</v>
      </c>
      <c r="Y165" s="5">
        <v>4.9134211930370704</v>
      </c>
      <c r="Z165" s="5">
        <v>182611.68333333335</v>
      </c>
      <c r="AA165" s="5">
        <v>1.4473462398077226</v>
      </c>
      <c r="AB165" s="6">
        <v>4.9010324777590197</v>
      </c>
      <c r="AC165" s="6">
        <v>54394.93</v>
      </c>
      <c r="AD165" s="6">
        <v>1.6748378254672216</v>
      </c>
      <c r="AE165" s="5">
        <v>4.8503147151810699</v>
      </c>
      <c r="AF165" s="5">
        <v>32037.789999999997</v>
      </c>
      <c r="AG165" s="5">
        <v>2.7428704505567891</v>
      </c>
      <c r="AH165" s="6">
        <v>232288.39</v>
      </c>
      <c r="AI165" s="6">
        <v>0.90761411837073314</v>
      </c>
      <c r="AJ165" s="5">
        <v>147427.04666666666</v>
      </c>
      <c r="AK165" s="5">
        <v>0.29168802434277474</v>
      </c>
      <c r="AL165" s="6">
        <v>3266555.6433333331</v>
      </c>
      <c r="AM165" s="6">
        <v>0.29004585651887943</v>
      </c>
    </row>
    <row r="166" spans="1:39" ht="18.75" customHeight="1">
      <c r="A166" s="13"/>
      <c r="B166" s="13" t="b">
        <v>0</v>
      </c>
      <c r="C166" s="13" t="s">
        <v>176</v>
      </c>
      <c r="D166" s="13" t="s">
        <v>103</v>
      </c>
      <c r="E166" s="3">
        <v>41436.96912037037</v>
      </c>
      <c r="F166" s="4" t="s">
        <v>440</v>
      </c>
      <c r="G166" s="5" t="s">
        <v>359</v>
      </c>
      <c r="H166" s="5">
        <v>1</v>
      </c>
      <c r="I166" s="13" t="s">
        <v>199</v>
      </c>
      <c r="J166" s="6">
        <v>10.04235986276</v>
      </c>
      <c r="K166" s="6">
        <v>1198.9933333333333</v>
      </c>
      <c r="L166" s="6">
        <v>8.1362599913987506</v>
      </c>
      <c r="M166" s="5">
        <v>9.6576374100548694</v>
      </c>
      <c r="N166" s="5">
        <v>170206.55</v>
      </c>
      <c r="O166" s="5">
        <v>0.776100043051142</v>
      </c>
      <c r="P166" s="6">
        <v>9.7003739427532807</v>
      </c>
      <c r="Q166" s="6">
        <v>280881.81</v>
      </c>
      <c r="R166" s="6">
        <v>0.3343614415939361</v>
      </c>
      <c r="S166" s="5">
        <v>10.0045502695357</v>
      </c>
      <c r="T166" s="5">
        <v>6989.5933333333332</v>
      </c>
      <c r="U166" s="5">
        <v>4.8693144007427334</v>
      </c>
      <c r="V166" s="6">
        <v>9.8867098998105494</v>
      </c>
      <c r="W166" s="6">
        <v>493915.44333333336</v>
      </c>
      <c r="X166" s="6">
        <v>1.026786266690731</v>
      </c>
      <c r="Y166" s="5">
        <v>9.9584515493859502</v>
      </c>
      <c r="Z166" s="5">
        <v>368159.22333333333</v>
      </c>
      <c r="AA166" s="5">
        <v>0.85408896558905201</v>
      </c>
      <c r="AB166" s="6">
        <v>9.6687301422911798</v>
      </c>
      <c r="AC166" s="6">
        <v>106262.05666666666</v>
      </c>
      <c r="AD166" s="6">
        <v>2.138191688751907</v>
      </c>
      <c r="AE166" s="5">
        <v>9.6572072362059096</v>
      </c>
      <c r="AF166" s="5">
        <v>63171.683333333327</v>
      </c>
      <c r="AG166" s="5">
        <v>2.0615907900300798</v>
      </c>
      <c r="AH166" s="6">
        <v>231536.19666666668</v>
      </c>
      <c r="AI166" s="6">
        <v>0.61790393102598407</v>
      </c>
      <c r="AJ166" s="5">
        <v>147188.95666666667</v>
      </c>
      <c r="AK166" s="5">
        <v>0.62519760216524423</v>
      </c>
      <c r="AL166" s="6">
        <v>3251009.1566666667</v>
      </c>
      <c r="AM166" s="6">
        <v>0.65845049568708502</v>
      </c>
    </row>
    <row r="167" spans="1:39" ht="18.75" customHeight="1">
      <c r="A167" s="13"/>
      <c r="B167" s="13" t="b">
        <v>0</v>
      </c>
      <c r="C167" s="13" t="s">
        <v>177</v>
      </c>
      <c r="D167" s="13" t="s">
        <v>345</v>
      </c>
      <c r="E167" s="3">
        <v>41436.972210648149</v>
      </c>
      <c r="F167" s="4" t="s">
        <v>440</v>
      </c>
      <c r="G167" s="5" t="s">
        <v>373</v>
      </c>
      <c r="H167" s="5">
        <v>1</v>
      </c>
      <c r="I167" s="13" t="s">
        <v>200</v>
      </c>
      <c r="J167" s="6">
        <v>54.486912144939197</v>
      </c>
      <c r="K167" s="6">
        <v>5832.3866666666663</v>
      </c>
      <c r="L167" s="6">
        <v>4.2192479072431084</v>
      </c>
      <c r="M167" s="5">
        <v>48.4032526029644</v>
      </c>
      <c r="N167" s="5">
        <v>851480.07666666666</v>
      </c>
      <c r="O167" s="5">
        <v>0.88870761426062195</v>
      </c>
      <c r="P167" s="6">
        <v>50.3442472305343</v>
      </c>
      <c r="Q167" s="6">
        <v>1367563.3133333335</v>
      </c>
      <c r="R167" s="6">
        <v>1.1979801679393502</v>
      </c>
      <c r="S167" s="5">
        <v>50.306541977214302</v>
      </c>
      <c r="T167" s="5">
        <v>33077.26</v>
      </c>
      <c r="U167" s="5">
        <v>1.1263297208581233</v>
      </c>
      <c r="V167" s="6">
        <v>50.636083611647301</v>
      </c>
      <c r="W167" s="6">
        <v>2526505.64</v>
      </c>
      <c r="X167" s="6">
        <v>0.75497710210650626</v>
      </c>
      <c r="Y167" s="5">
        <v>51.711449827780498</v>
      </c>
      <c r="Z167" s="5">
        <v>1907312.0566666666</v>
      </c>
      <c r="AA167" s="5">
        <v>1.1617788014119632</v>
      </c>
      <c r="AB167" s="6">
        <v>48.010570458388102</v>
      </c>
      <c r="AC167" s="6">
        <v>524420.66333333345</v>
      </c>
      <c r="AD167" s="6">
        <v>0.48276812619265791</v>
      </c>
      <c r="AE167" s="5">
        <v>48.2802996181046</v>
      </c>
      <c r="AF167" s="5">
        <v>313910.11</v>
      </c>
      <c r="AG167" s="5">
        <v>1.2865398772854382</v>
      </c>
      <c r="AH167" s="6">
        <v>234794.32666666666</v>
      </c>
      <c r="AI167" s="6">
        <v>0.56153164930645572</v>
      </c>
      <c r="AJ167" s="5">
        <v>147260.89333333334</v>
      </c>
      <c r="AK167" s="5">
        <v>0.86710035320467926</v>
      </c>
      <c r="AL167" s="6">
        <v>3268704.186666667</v>
      </c>
      <c r="AM167" s="6">
        <v>4.9983437549017594E-2</v>
      </c>
    </row>
    <row r="168" spans="1:39" ht="18.75" customHeight="1">
      <c r="A168" s="13"/>
      <c r="B168" s="13" t="b">
        <v>0</v>
      </c>
      <c r="C168" s="13" t="s">
        <v>178</v>
      </c>
      <c r="D168" s="13" t="s">
        <v>104</v>
      </c>
      <c r="E168" s="3">
        <v>41436.975300925929</v>
      </c>
      <c r="F168" s="4" t="s">
        <v>440</v>
      </c>
      <c r="G168" s="5" t="s">
        <v>385</v>
      </c>
      <c r="H168" s="5">
        <v>1</v>
      </c>
      <c r="I168" s="13" t="s">
        <v>201</v>
      </c>
      <c r="J168" s="6">
        <v>99.507369014652497</v>
      </c>
      <c r="K168" s="6">
        <v>10564.900000000001</v>
      </c>
      <c r="L168" s="6">
        <v>0.90222817347783546</v>
      </c>
      <c r="M168" s="5">
        <v>100.652125890759</v>
      </c>
      <c r="N168" s="5">
        <v>1777173.7566666666</v>
      </c>
      <c r="O168" s="5">
        <v>1.0100854353239535</v>
      </c>
      <c r="P168" s="6">
        <v>101.10274655590101</v>
      </c>
      <c r="Q168" s="6">
        <v>2735229.7866666666</v>
      </c>
      <c r="R168" s="6">
        <v>1.5212748235646989</v>
      </c>
      <c r="S168" s="5">
        <v>99.725793661673606</v>
      </c>
      <c r="T168" s="5">
        <v>65328.03666666666</v>
      </c>
      <c r="U168" s="5">
        <v>0.49090038774778921</v>
      </c>
      <c r="V168" s="6">
        <v>100.13734854307501</v>
      </c>
      <c r="W168" s="6">
        <v>5015356.7666666666</v>
      </c>
      <c r="X168" s="6">
        <v>0.47635128600020454</v>
      </c>
      <c r="Y168" s="5">
        <v>101.113715643701</v>
      </c>
      <c r="Z168" s="5">
        <v>3742967.1299999994</v>
      </c>
      <c r="AA168" s="5">
        <v>1.2461250042306156</v>
      </c>
      <c r="AB168" s="6">
        <v>94.395768162125293</v>
      </c>
      <c r="AC168" s="6">
        <v>1034347.8733333334</v>
      </c>
      <c r="AD168" s="6">
        <v>1.2745177897190942</v>
      </c>
      <c r="AE168" s="5">
        <v>95.188489435612098</v>
      </c>
      <c r="AF168" s="5">
        <v>620864.52333333343</v>
      </c>
      <c r="AG168" s="5">
        <v>1.0799623570434069</v>
      </c>
      <c r="AH168" s="6">
        <v>238954.55999999997</v>
      </c>
      <c r="AI168" s="6">
        <v>0.47139416293920083</v>
      </c>
      <c r="AJ168" s="5">
        <v>147850.86666666667</v>
      </c>
      <c r="AK168" s="5">
        <v>0.48051220653054261</v>
      </c>
      <c r="AL168" s="6">
        <v>3256068.77</v>
      </c>
      <c r="AM168" s="6">
        <v>0.50019608127326443</v>
      </c>
    </row>
    <row r="169" spans="1:39" ht="18.75" customHeight="1">
      <c r="A169" s="13" t="s">
        <v>478</v>
      </c>
      <c r="B169" s="13" t="b">
        <v>0</v>
      </c>
      <c r="C169" s="13" t="s">
        <v>179</v>
      </c>
      <c r="D169" s="13" t="s">
        <v>105</v>
      </c>
      <c r="E169" s="3">
        <v>41436.978391203702</v>
      </c>
      <c r="F169" s="4" t="s">
        <v>440</v>
      </c>
      <c r="G169" s="5" t="s">
        <v>396</v>
      </c>
      <c r="H169" s="5">
        <v>1</v>
      </c>
      <c r="I169" s="13" t="s">
        <v>202</v>
      </c>
      <c r="J169" s="6">
        <v>999.78189352004995</v>
      </c>
      <c r="K169" s="6">
        <v>100453.48</v>
      </c>
      <c r="L169" s="6">
        <v>1.7359438960535996</v>
      </c>
      <c r="M169" s="5">
        <v>1000.01903989607</v>
      </c>
      <c r="N169" s="5">
        <v>16928039.886666667</v>
      </c>
      <c r="O169" s="5">
        <v>0.73557691522787216</v>
      </c>
      <c r="P169" s="6">
        <v>999.87691042049698</v>
      </c>
      <c r="Q169" s="6">
        <v>25755140.449999999</v>
      </c>
      <c r="R169" s="6">
        <v>0.51001031865066515</v>
      </c>
      <c r="S169" s="5">
        <v>1000.01243351822</v>
      </c>
      <c r="T169" s="5">
        <v>623702.5</v>
      </c>
      <c r="U169" s="5">
        <v>0.13052639741215469</v>
      </c>
      <c r="V169" s="6">
        <v>999.95644088220502</v>
      </c>
      <c r="W169" s="6">
        <v>48017213.173333339</v>
      </c>
      <c r="X169" s="6">
        <v>0.23868856075340961</v>
      </c>
      <c r="Y169" s="5">
        <v>999.80404271333896</v>
      </c>
      <c r="Z169" s="5">
        <v>35480018.636666663</v>
      </c>
      <c r="AA169" s="5">
        <v>0.55536654077561709</v>
      </c>
      <c r="AB169" s="6">
        <v>1000.66342690328</v>
      </c>
      <c r="AC169" s="6">
        <v>10506704.773333333</v>
      </c>
      <c r="AD169" s="6">
        <v>0.82392204630599708</v>
      </c>
      <c r="AE169" s="5">
        <v>1000.57101486179</v>
      </c>
      <c r="AF169" s="5">
        <v>6253683.1700000009</v>
      </c>
      <c r="AG169" s="5">
        <v>1.0994918231852946</v>
      </c>
      <c r="AH169" s="6">
        <v>275313.37999999995</v>
      </c>
      <c r="AI169" s="6">
        <v>4.2029379065479491</v>
      </c>
      <c r="AJ169" s="5">
        <v>141783.62666666668</v>
      </c>
      <c r="AK169" s="5">
        <v>0.79676645760243348</v>
      </c>
      <c r="AL169" s="6">
        <v>3094179.57</v>
      </c>
      <c r="AM169" s="6">
        <v>0.33130393231956484</v>
      </c>
    </row>
    <row r="170" spans="1:39" ht="18.75" customHeight="1">
      <c r="A170" s="13"/>
      <c r="B170" s="13" t="b">
        <v>0</v>
      </c>
      <c r="C170" s="13" t="s">
        <v>180</v>
      </c>
      <c r="D170" s="13" t="s">
        <v>1</v>
      </c>
      <c r="E170" s="3">
        <v>41436.981469907405</v>
      </c>
      <c r="F170" s="4" t="s">
        <v>424</v>
      </c>
      <c r="G170" s="5" t="s">
        <v>0</v>
      </c>
      <c r="H170" s="5">
        <v>1</v>
      </c>
      <c r="I170" s="13" t="s">
        <v>193</v>
      </c>
      <c r="J170" s="6" t="s">
        <v>418</v>
      </c>
      <c r="K170" s="6">
        <v>156.67666666666665</v>
      </c>
      <c r="L170" s="6">
        <v>9.7495387421140443</v>
      </c>
      <c r="M170" s="5" t="s">
        <v>408</v>
      </c>
      <c r="N170" s="5">
        <v>1420.1266666666663</v>
      </c>
      <c r="O170" s="5">
        <v>6.7592473158167836</v>
      </c>
      <c r="P170" s="6">
        <v>0.209176897696882</v>
      </c>
      <c r="Q170" s="6">
        <v>26469.786666666663</v>
      </c>
      <c r="R170" s="6">
        <v>1.0715889614924374</v>
      </c>
      <c r="S170" s="5" t="s">
        <v>417</v>
      </c>
      <c r="T170" s="5">
        <v>648.92999999999995</v>
      </c>
      <c r="U170" s="5">
        <v>6.2778878967158533</v>
      </c>
      <c r="V170" s="6">
        <v>3.6031065209565699E-2</v>
      </c>
      <c r="W170" s="6">
        <v>2788.15</v>
      </c>
      <c r="X170" s="6">
        <v>1.4268743987096333</v>
      </c>
      <c r="Y170" s="5">
        <v>6.0093745469091603E-2</v>
      </c>
      <c r="Z170" s="5">
        <v>3419.396666666667</v>
      </c>
      <c r="AA170" s="5">
        <v>2.2243852485347135</v>
      </c>
      <c r="AB170" s="6" t="s">
        <v>411</v>
      </c>
      <c r="AC170" s="6">
        <v>1671.2766666666666</v>
      </c>
      <c r="AD170" s="6">
        <v>8.5438824044487696</v>
      </c>
      <c r="AE170" s="5" t="s">
        <v>410</v>
      </c>
      <c r="AF170" s="5">
        <v>1150.0966666666666</v>
      </c>
      <c r="AG170" s="5">
        <v>1.2630768134618995</v>
      </c>
      <c r="AH170" s="6">
        <v>219570.27</v>
      </c>
      <c r="AI170" s="6">
        <v>0.11085006426738223</v>
      </c>
      <c r="AJ170" s="5">
        <v>142818.40666666665</v>
      </c>
      <c r="AK170" s="5">
        <v>1.3516892093632331</v>
      </c>
      <c r="AL170" s="6">
        <v>3229299.7433333336</v>
      </c>
      <c r="AM170" s="6">
        <v>0.37232371419120991</v>
      </c>
    </row>
    <row r="171" spans="1:39" ht="18.75" customHeight="1">
      <c r="A171" s="13"/>
      <c r="B171" s="13" t="b">
        <v>1</v>
      </c>
      <c r="C171" s="13" t="s">
        <v>181</v>
      </c>
      <c r="D171" s="13" t="s">
        <v>483</v>
      </c>
      <c r="E171" s="3">
        <v>41436.984571759262</v>
      </c>
      <c r="F171" s="4" t="s">
        <v>452</v>
      </c>
      <c r="G171" s="5" t="s">
        <v>0</v>
      </c>
      <c r="H171" s="5">
        <v>1</v>
      </c>
      <c r="I171" s="13" t="s">
        <v>204</v>
      </c>
      <c r="J171" s="6"/>
      <c r="K171" s="6"/>
      <c r="L171" s="6"/>
      <c r="M171" s="5"/>
      <c r="N171" s="5"/>
      <c r="O171" s="5"/>
      <c r="P171" s="6"/>
      <c r="Q171" s="6"/>
      <c r="R171" s="6"/>
      <c r="S171" s="5"/>
      <c r="T171" s="5"/>
      <c r="U171" s="5"/>
      <c r="V171" s="6"/>
      <c r="W171" s="6"/>
      <c r="X171" s="6"/>
      <c r="Y171" s="5"/>
      <c r="Z171" s="5"/>
      <c r="AA171" s="5"/>
      <c r="AB171" s="6"/>
      <c r="AC171" s="6"/>
      <c r="AD171" s="6"/>
      <c r="AE171" s="5"/>
      <c r="AF171" s="5"/>
      <c r="AG171" s="5"/>
      <c r="AH171" s="6"/>
      <c r="AI171" s="6"/>
      <c r="AJ171" s="5"/>
      <c r="AK171" s="5"/>
      <c r="AL171" s="6"/>
      <c r="AM171" s="6"/>
    </row>
    <row r="172" spans="1:39" ht="18.75" customHeight="1">
      <c r="A172" s="13"/>
      <c r="B172" s="13" t="b">
        <v>0</v>
      </c>
      <c r="C172" s="13" t="s">
        <v>183</v>
      </c>
      <c r="D172" s="13" t="s">
        <v>1</v>
      </c>
      <c r="E172" s="3">
        <v>41436.987662037034</v>
      </c>
      <c r="F172" s="4" t="s">
        <v>424</v>
      </c>
      <c r="G172" s="5" t="s">
        <v>0</v>
      </c>
      <c r="H172" s="5">
        <v>1</v>
      </c>
      <c r="I172" s="13" t="s">
        <v>194</v>
      </c>
      <c r="J172" s="6" t="s">
        <v>418</v>
      </c>
      <c r="K172" s="6">
        <v>141.12</v>
      </c>
      <c r="L172" s="6">
        <v>7.2159424767731783</v>
      </c>
      <c r="M172" s="5" t="s">
        <v>408</v>
      </c>
      <c r="N172" s="5">
        <v>603.37333333333333</v>
      </c>
      <c r="O172" s="5">
        <v>13.944652153074172</v>
      </c>
      <c r="P172" s="6" t="s">
        <v>409</v>
      </c>
      <c r="Q172" s="6">
        <v>22105.58</v>
      </c>
      <c r="R172" s="6">
        <v>1.9174522315745952</v>
      </c>
      <c r="S172" s="5" t="s">
        <v>417</v>
      </c>
      <c r="T172" s="5">
        <v>485.59</v>
      </c>
      <c r="U172" s="5">
        <v>4.8713142304727484</v>
      </c>
      <c r="V172" s="6" t="s">
        <v>404</v>
      </c>
      <c r="W172" s="6">
        <v>1101.2</v>
      </c>
      <c r="X172" s="6">
        <v>6.7509629584923205</v>
      </c>
      <c r="Y172" s="5" t="s">
        <v>406</v>
      </c>
      <c r="Z172" s="5">
        <v>1455.6933333333334</v>
      </c>
      <c r="AA172" s="5">
        <v>8.7334346515734733</v>
      </c>
      <c r="AB172" s="6" t="s">
        <v>411</v>
      </c>
      <c r="AC172" s="6">
        <v>964.51666666666654</v>
      </c>
      <c r="AD172" s="6">
        <v>14.591749720482413</v>
      </c>
      <c r="AE172" s="5" t="s">
        <v>410</v>
      </c>
      <c r="AF172" s="5">
        <v>618.92999999999995</v>
      </c>
      <c r="AG172" s="5">
        <v>11.828776111540725</v>
      </c>
      <c r="AH172" s="6">
        <v>219091.78666666665</v>
      </c>
      <c r="AI172" s="6">
        <v>0.79131270013637434</v>
      </c>
      <c r="AJ172" s="5">
        <v>141907.69</v>
      </c>
      <c r="AK172" s="5">
        <v>0.98006146347899814</v>
      </c>
      <c r="AL172" s="6">
        <v>3232431.4800000004</v>
      </c>
      <c r="AM172" s="6">
        <v>0.53783799339710858</v>
      </c>
    </row>
    <row r="173" spans="1:39" ht="18.75" customHeight="1">
      <c r="A173" s="13"/>
      <c r="B173" s="13" t="b">
        <v>0</v>
      </c>
      <c r="C173" s="13" t="s">
        <v>184</v>
      </c>
      <c r="D173" s="13" t="s">
        <v>1</v>
      </c>
      <c r="E173" s="3">
        <v>41436.990752314814</v>
      </c>
      <c r="F173" s="4" t="s">
        <v>424</v>
      </c>
      <c r="G173" s="5" t="s">
        <v>0</v>
      </c>
      <c r="H173" s="5">
        <v>1</v>
      </c>
      <c r="I173" s="13" t="s">
        <v>193</v>
      </c>
      <c r="J173" s="6" t="s">
        <v>418</v>
      </c>
      <c r="K173" s="6">
        <v>144.45333333333335</v>
      </c>
      <c r="L173" s="6">
        <v>8.7354318453069801</v>
      </c>
      <c r="M173" s="5" t="s">
        <v>408</v>
      </c>
      <c r="N173" s="5">
        <v>807.83333333333337</v>
      </c>
      <c r="O173" s="5">
        <v>10.06009549802774</v>
      </c>
      <c r="P173" s="6" t="s">
        <v>409</v>
      </c>
      <c r="Q173" s="6">
        <v>21245.48</v>
      </c>
      <c r="R173" s="6">
        <v>0.82759450710640636</v>
      </c>
      <c r="S173" s="5" t="s">
        <v>417</v>
      </c>
      <c r="T173" s="5">
        <v>521.14666666666665</v>
      </c>
      <c r="U173" s="5">
        <v>10.039629575187988</v>
      </c>
      <c r="V173" s="6" t="s">
        <v>404</v>
      </c>
      <c r="W173" s="6">
        <v>1875.7533333333333</v>
      </c>
      <c r="X173" s="6">
        <v>7.9197151267328607</v>
      </c>
      <c r="Y173" s="5" t="s">
        <v>406</v>
      </c>
      <c r="Z173" s="5">
        <v>1916.8733333333332</v>
      </c>
      <c r="AA173" s="5">
        <v>5.1856229812403036</v>
      </c>
      <c r="AB173" s="6" t="s">
        <v>411</v>
      </c>
      <c r="AC173" s="6">
        <v>1201.2233333333334</v>
      </c>
      <c r="AD173" s="6">
        <v>7.0284403901107515</v>
      </c>
      <c r="AE173" s="5" t="s">
        <v>410</v>
      </c>
      <c r="AF173" s="5">
        <v>735.61</v>
      </c>
      <c r="AG173" s="5">
        <v>11.103799136620987</v>
      </c>
      <c r="AH173" s="6">
        <v>223100.98</v>
      </c>
      <c r="AI173" s="6">
        <v>0.66056337974590984</v>
      </c>
      <c r="AJ173" s="5">
        <v>142193.34</v>
      </c>
      <c r="AK173" s="5">
        <v>0.58317682848627062</v>
      </c>
      <c r="AL173" s="6">
        <v>3214798.91</v>
      </c>
      <c r="AM173" s="6">
        <v>0.51781741253643176</v>
      </c>
    </row>
    <row r="174" spans="1:39" ht="18.75" customHeight="1">
      <c r="A174" s="13"/>
      <c r="B174" s="13" t="b">
        <v>0</v>
      </c>
      <c r="C174" s="13" t="s">
        <v>185</v>
      </c>
      <c r="D174" s="13" t="s">
        <v>1</v>
      </c>
      <c r="E174" s="3">
        <v>41436.993854166663</v>
      </c>
      <c r="F174" s="4" t="s">
        <v>424</v>
      </c>
      <c r="G174" s="5" t="s">
        <v>0</v>
      </c>
      <c r="H174" s="5">
        <v>1</v>
      </c>
      <c r="I174" s="13" t="s">
        <v>194</v>
      </c>
      <c r="J174" s="6" t="s">
        <v>418</v>
      </c>
      <c r="K174" s="6">
        <v>145.56333333333333</v>
      </c>
      <c r="L174" s="6">
        <v>25.224928392717587</v>
      </c>
      <c r="M174" s="5" t="s">
        <v>408</v>
      </c>
      <c r="N174" s="5">
        <v>496.7</v>
      </c>
      <c r="O174" s="5">
        <v>16.494494318660429</v>
      </c>
      <c r="P174" s="6" t="s">
        <v>409</v>
      </c>
      <c r="Q174" s="6">
        <v>21187.703333333335</v>
      </c>
      <c r="R174" s="6">
        <v>1.6012089620939407</v>
      </c>
      <c r="S174" s="5" t="s">
        <v>417</v>
      </c>
      <c r="T174" s="5">
        <v>536.70333333333338</v>
      </c>
      <c r="U174" s="5">
        <v>13.220684709493536</v>
      </c>
      <c r="V174" s="6" t="s">
        <v>404</v>
      </c>
      <c r="W174" s="6">
        <v>1105.6500000000001</v>
      </c>
      <c r="X174" s="6">
        <v>7.4120856893390235</v>
      </c>
      <c r="Y174" s="5" t="s">
        <v>406</v>
      </c>
      <c r="Z174" s="5">
        <v>1502.3566666666666</v>
      </c>
      <c r="AA174" s="5">
        <v>3.271403787726479</v>
      </c>
      <c r="AB174" s="6" t="s">
        <v>411</v>
      </c>
      <c r="AC174" s="6">
        <v>953.40666666666664</v>
      </c>
      <c r="AD174" s="6">
        <v>8.6152569978864495</v>
      </c>
      <c r="AE174" s="5" t="s">
        <v>410</v>
      </c>
      <c r="AF174" s="5">
        <v>548.92333333333329</v>
      </c>
      <c r="AG174" s="5">
        <v>11.998264631084</v>
      </c>
      <c r="AH174" s="6">
        <v>220290.06666666665</v>
      </c>
      <c r="AI174" s="6">
        <v>0.5520260462593064</v>
      </c>
      <c r="AJ174" s="5">
        <v>142716.86666666667</v>
      </c>
      <c r="AK174" s="5">
        <v>0.61857068949607952</v>
      </c>
      <c r="AL174" s="6">
        <v>3226168.7</v>
      </c>
      <c r="AM174" s="6">
        <v>0.54337651920771513</v>
      </c>
    </row>
    <row r="175" spans="1:39" ht="18.75" customHeight="1">
      <c r="A175" s="13"/>
      <c r="B175" s="13" t="b">
        <v>0</v>
      </c>
      <c r="C175" s="13" t="s">
        <v>186</v>
      </c>
      <c r="D175" s="13" t="s">
        <v>1</v>
      </c>
      <c r="E175" s="3">
        <v>41436.996932870374</v>
      </c>
      <c r="F175" s="4" t="s">
        <v>424</v>
      </c>
      <c r="G175" s="5" t="s">
        <v>0</v>
      </c>
      <c r="H175" s="5">
        <v>1</v>
      </c>
      <c r="I175" s="13" t="s">
        <v>193</v>
      </c>
      <c r="J175" s="6" t="s">
        <v>418</v>
      </c>
      <c r="K175" s="6">
        <v>126.67333333333333</v>
      </c>
      <c r="L175" s="6">
        <v>13.155886729665728</v>
      </c>
      <c r="M175" s="5" t="s">
        <v>408</v>
      </c>
      <c r="N175" s="5">
        <v>821.17</v>
      </c>
      <c r="O175" s="5">
        <v>7.641795127385187</v>
      </c>
      <c r="P175" s="6" t="s">
        <v>409</v>
      </c>
      <c r="Q175" s="6">
        <v>21344.51</v>
      </c>
      <c r="R175" s="6">
        <v>2.3714995258768035</v>
      </c>
      <c r="S175" s="5" t="s">
        <v>417</v>
      </c>
      <c r="T175" s="5">
        <v>490.03</v>
      </c>
      <c r="U175" s="5">
        <v>6.5606457117180934</v>
      </c>
      <c r="V175" s="6" t="s">
        <v>404</v>
      </c>
      <c r="W175" s="6">
        <v>1951.3233333333335</v>
      </c>
      <c r="X175" s="6">
        <v>3.9780659552500457</v>
      </c>
      <c r="Y175" s="5" t="s">
        <v>406</v>
      </c>
      <c r="Z175" s="5">
        <v>2026.88</v>
      </c>
      <c r="AA175" s="5">
        <v>6.1454114702543912</v>
      </c>
      <c r="AB175" s="6" t="s">
        <v>411</v>
      </c>
      <c r="AC175" s="6">
        <v>1216.77</v>
      </c>
      <c r="AD175" s="6">
        <v>9.5266566733551556</v>
      </c>
      <c r="AE175" s="5" t="s">
        <v>410</v>
      </c>
      <c r="AF175" s="5">
        <v>745.61</v>
      </c>
      <c r="AG175" s="5">
        <v>8.2726466147959741</v>
      </c>
      <c r="AH175" s="6">
        <v>214411.29666666666</v>
      </c>
      <c r="AI175" s="6">
        <v>1.6069545369525717</v>
      </c>
      <c r="AJ175" s="5">
        <v>141588.54</v>
      </c>
      <c r="AK175" s="5">
        <v>0.10265743400311156</v>
      </c>
      <c r="AL175" s="6">
        <v>3204277.8333333335</v>
      </c>
      <c r="AM175" s="6">
        <v>0.60876008069368737</v>
      </c>
    </row>
  </sheetData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>
      <selection activeCell="H9" sqref="H9"/>
    </sheetView>
  </sheetViews>
  <sheetFormatPr defaultRowHeight="12.75"/>
  <sheetData>
    <row r="1" spans="1:8">
      <c r="A1" s="12" t="s">
        <v>493</v>
      </c>
      <c r="B1" s="12" t="s">
        <v>494</v>
      </c>
      <c r="C1" s="12" t="s">
        <v>495</v>
      </c>
      <c r="D1" s="12" t="s">
        <v>496</v>
      </c>
      <c r="E1" s="12" t="s">
        <v>497</v>
      </c>
      <c r="F1" s="12" t="s">
        <v>498</v>
      </c>
      <c r="G1" s="12" t="s">
        <v>499</v>
      </c>
      <c r="H1" s="12" t="s">
        <v>500</v>
      </c>
    </row>
    <row r="2" spans="1:8">
      <c r="A2" s="13">
        <v>1</v>
      </c>
      <c r="B2" s="13">
        <v>44</v>
      </c>
      <c r="C2" s="13" t="s">
        <v>501</v>
      </c>
      <c r="D2" s="13">
        <v>0.99998111871767104</v>
      </c>
      <c r="E2" s="13">
        <v>7.0121907861507137E-4</v>
      </c>
      <c r="F2" s="13">
        <v>9.7479219796516112E-4</v>
      </c>
      <c r="G2" s="13">
        <v>0.15927594434523112</v>
      </c>
      <c r="H2" s="13">
        <v>1.3901392983921728</v>
      </c>
    </row>
    <row r="3" spans="1:8">
      <c r="A3" s="13">
        <v>1</v>
      </c>
      <c r="B3" s="13">
        <v>55</v>
      </c>
      <c r="C3" s="13" t="s">
        <v>502</v>
      </c>
      <c r="D3" s="13">
        <v>0.99999955035982768</v>
      </c>
      <c r="E3" s="13">
        <v>0.11937163309133531</v>
      </c>
      <c r="F3" s="13">
        <v>3.1862379542663376E-3</v>
      </c>
      <c r="G3" s="13">
        <v>5.190888035684604E-3</v>
      </c>
      <c r="H3" s="13">
        <v>2.6691751396484945E-2</v>
      </c>
    </row>
    <row r="4" spans="1:8">
      <c r="A4" s="13">
        <v>1</v>
      </c>
      <c r="B4" s="13">
        <v>56</v>
      </c>
      <c r="C4" s="13" t="s">
        <v>503</v>
      </c>
      <c r="D4" s="13">
        <v>0.99999856355095684</v>
      </c>
      <c r="E4" s="13">
        <v>0.18141614079784879</v>
      </c>
      <c r="F4" s="13">
        <v>0.15359233107991715</v>
      </c>
      <c r="G4" s="13">
        <v>7.9342537794790946E-2</v>
      </c>
      <c r="H4" s="13">
        <v>0.84662991068178661</v>
      </c>
    </row>
    <row r="5" spans="1:8">
      <c r="A5" s="13">
        <v>1</v>
      </c>
      <c r="B5" s="13">
        <v>57</v>
      </c>
      <c r="C5" s="13" t="s">
        <v>503</v>
      </c>
      <c r="D5" s="13">
        <v>0.99999780166785934</v>
      </c>
      <c r="E5" s="13">
        <v>4.4174376878791319E-3</v>
      </c>
      <c r="F5" s="13">
        <v>3.1736084704921171E-3</v>
      </c>
      <c r="G5" s="13">
        <v>0.11369482692601449</v>
      </c>
      <c r="H5" s="13">
        <v>0.71842744476058629</v>
      </c>
    </row>
    <row r="6" spans="1:8">
      <c r="A6" s="13">
        <v>1</v>
      </c>
      <c r="B6" s="13">
        <v>59</v>
      </c>
      <c r="C6" s="13" t="s">
        <v>504</v>
      </c>
      <c r="D6" s="13">
        <v>0.99999971571936985</v>
      </c>
      <c r="E6" s="13">
        <v>0.33820064301851005</v>
      </c>
      <c r="F6" s="13">
        <v>6.6156897831391769E-3</v>
      </c>
      <c r="G6" s="13">
        <v>5.1124628568543192E-3</v>
      </c>
      <c r="H6" s="13">
        <v>1.9561434668168547E-2</v>
      </c>
    </row>
    <row r="7" spans="1:8">
      <c r="A7" s="13">
        <v>1</v>
      </c>
      <c r="B7" s="13">
        <v>63</v>
      </c>
      <c r="C7" s="13" t="s">
        <v>505</v>
      </c>
      <c r="D7" s="13">
        <v>0.99999887199983661</v>
      </c>
      <c r="E7" s="13">
        <v>0.24855372591920252</v>
      </c>
      <c r="F7" s="13">
        <v>9.9340446229574265E-3</v>
      </c>
      <c r="G7" s="13">
        <v>1.4499849456029865E-2</v>
      </c>
      <c r="H7" s="13">
        <v>3.9967393714253514E-2</v>
      </c>
    </row>
    <row r="8" spans="1:8">
      <c r="A8" s="13">
        <v>1</v>
      </c>
      <c r="B8" s="13">
        <v>64</v>
      </c>
      <c r="C8" s="13" t="s">
        <v>506</v>
      </c>
      <c r="D8" s="13">
        <v>0.99998391695763678</v>
      </c>
      <c r="E8" s="13">
        <v>7.3365123519097838E-2</v>
      </c>
      <c r="F8" s="13">
        <v>6.0398974501783874E-3</v>
      </c>
      <c r="G8" s="13">
        <v>2.9224455238189492E-2</v>
      </c>
      <c r="H8" s="13">
        <v>8.2326549189358736E-2</v>
      </c>
    </row>
    <row r="9" spans="1:8">
      <c r="A9" s="13">
        <v>1</v>
      </c>
      <c r="B9" s="13">
        <v>66</v>
      </c>
      <c r="C9" s="13" t="s">
        <v>506</v>
      </c>
      <c r="D9" s="13">
        <v>0.99999095325820209</v>
      </c>
      <c r="E9" s="13">
        <v>4.3526511672430851E-2</v>
      </c>
      <c r="F9" s="13">
        <v>3.6815917514475827E-3</v>
      </c>
      <c r="G9" s="13">
        <v>2.9014175239126045E-2</v>
      </c>
      <c r="H9" s="13">
        <v>8.4582743022328086E-2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O120"/>
  <sheetViews>
    <sheetView tabSelected="1" topLeftCell="A4" workbookViewId="0">
      <selection activeCell="R68" sqref="R68"/>
    </sheetView>
  </sheetViews>
  <sheetFormatPr defaultRowHeight="12.75"/>
  <cols>
    <col min="1" max="1" width="12.42578125" customWidth="1"/>
    <col min="2" max="2" width="12.5703125" customWidth="1"/>
    <col min="3" max="3" width="14.42578125" customWidth="1"/>
    <col min="4" max="4" width="17.140625" style="26" customWidth="1"/>
    <col min="5" max="5" width="9.140625" style="56"/>
    <col min="6" max="6" width="9.28515625" customWidth="1"/>
    <col min="7" max="7" width="12.7109375" customWidth="1"/>
    <col min="8" max="8" width="9.42578125" style="58" customWidth="1"/>
    <col min="9" max="9" width="12.85546875" style="58" customWidth="1"/>
    <col min="10" max="10" width="9.140625" style="60"/>
    <col min="11" max="11" width="12.5703125" style="60" customWidth="1"/>
    <col min="12" max="12" width="9.28515625" style="56" customWidth="1"/>
    <col min="13" max="13" width="12.7109375" style="56" customWidth="1"/>
    <col min="14" max="14" width="9.28515625" style="56" customWidth="1"/>
    <col min="15" max="15" width="21.28515625" style="56" customWidth="1"/>
    <col min="16" max="16" width="17.42578125" customWidth="1"/>
    <col min="17" max="17" width="10.7109375" customWidth="1"/>
    <col min="18" max="18" width="18.28515625" customWidth="1"/>
    <col min="19" max="19" width="16.28515625" customWidth="1"/>
    <col min="20" max="20" width="18.28515625" customWidth="1"/>
    <col min="21" max="22" width="18.85546875" customWidth="1"/>
    <col min="23" max="23" width="32.5703125" customWidth="1"/>
    <col min="25" max="25" width="12.5703125" customWidth="1"/>
    <col min="26" max="26" width="9.28515625" customWidth="1"/>
    <col min="27" max="27" width="12.7109375" customWidth="1"/>
    <col min="28" max="28" width="9.28515625" customWidth="1"/>
    <col min="29" max="29" width="12.7109375" customWidth="1"/>
  </cols>
  <sheetData>
    <row r="2" spans="1:41">
      <c r="A2" s="55" t="s">
        <v>557</v>
      </c>
      <c r="O2" s="55" t="s">
        <v>556</v>
      </c>
    </row>
    <row r="3" spans="1:41" s="11" customFormat="1" ht="10.5" customHeight="1">
      <c r="D3" s="22"/>
      <c r="E3" s="57"/>
      <c r="H3" s="59"/>
      <c r="I3" s="59"/>
      <c r="J3" s="61"/>
      <c r="K3" s="61"/>
      <c r="L3" s="57"/>
      <c r="M3" s="57"/>
      <c r="N3" s="57"/>
      <c r="O3" s="57"/>
    </row>
    <row r="4" spans="1:41" ht="51">
      <c r="A4" s="48" t="s">
        <v>455</v>
      </c>
      <c r="B4" s="48" t="s">
        <v>530</v>
      </c>
      <c r="C4" s="48" t="s">
        <v>531</v>
      </c>
      <c r="D4" s="64" t="s">
        <v>423</v>
      </c>
      <c r="E4" s="65" t="s">
        <v>443</v>
      </c>
      <c r="F4" s="66" t="s">
        <v>507</v>
      </c>
      <c r="G4" s="66" t="s">
        <v>511</v>
      </c>
      <c r="H4" s="67" t="s">
        <v>508</v>
      </c>
      <c r="I4" s="67" t="s">
        <v>512</v>
      </c>
      <c r="J4" s="65" t="s">
        <v>509</v>
      </c>
      <c r="K4" s="65" t="s">
        <v>513</v>
      </c>
      <c r="L4" s="65" t="s">
        <v>510</v>
      </c>
      <c r="M4" s="65" t="s">
        <v>514</v>
      </c>
      <c r="N4"/>
      <c r="O4" s="19" t="s">
        <v>495</v>
      </c>
      <c r="P4" s="20" t="s">
        <v>496</v>
      </c>
      <c r="Q4" s="20" t="s">
        <v>497</v>
      </c>
      <c r="R4" s="20" t="s">
        <v>498</v>
      </c>
      <c r="S4" s="20" t="s">
        <v>540</v>
      </c>
      <c r="T4" s="20" t="s">
        <v>542</v>
      </c>
      <c r="U4" s="21" t="s">
        <v>541</v>
      </c>
      <c r="AG4" s="1" t="s">
        <v>455</v>
      </c>
      <c r="AH4" s="1" t="s">
        <v>423</v>
      </c>
      <c r="AI4" s="1" t="s">
        <v>443</v>
      </c>
      <c r="AJ4" s="1" t="s">
        <v>484</v>
      </c>
      <c r="AK4" s="1" t="s">
        <v>485</v>
      </c>
      <c r="AL4" s="1" t="s">
        <v>486</v>
      </c>
      <c r="AM4" s="1" t="s">
        <v>487</v>
      </c>
      <c r="AN4" s="1" t="s">
        <v>488</v>
      </c>
      <c r="AO4" s="1" t="s">
        <v>489</v>
      </c>
    </row>
    <row r="5" spans="1:41">
      <c r="A5" s="14">
        <v>1939</v>
      </c>
      <c r="B5" s="15" t="s">
        <v>532</v>
      </c>
      <c r="C5" s="15" t="s">
        <v>536</v>
      </c>
      <c r="D5" s="24">
        <v>41436.572881944441</v>
      </c>
      <c r="E5" s="31">
        <v>0.97058823529411775</v>
      </c>
      <c r="F5" s="27">
        <v>4.4754251738513</v>
      </c>
      <c r="G5" s="27">
        <f>F5*$S$25</f>
        <v>7.8742566610376735E-2</v>
      </c>
      <c r="H5" s="43">
        <v>158.139967325551</v>
      </c>
      <c r="I5" s="43">
        <f>H5*$T$25</f>
        <v>2.9778999070668974</v>
      </c>
      <c r="J5" s="31">
        <v>11.0014225043964</v>
      </c>
      <c r="K5" s="31">
        <f>J5*$U$25</f>
        <v>0.23715348009532008</v>
      </c>
      <c r="L5" s="31">
        <v>18.156946698045399</v>
      </c>
      <c r="M5" s="62">
        <f>L5*$V$25</f>
        <v>0.33515439371128114</v>
      </c>
      <c r="N5"/>
      <c r="O5" s="14" t="s">
        <v>501</v>
      </c>
      <c r="P5" s="27">
        <v>0.99998111871767104</v>
      </c>
      <c r="Q5" s="27">
        <v>7.0121907861507137E-4</v>
      </c>
      <c r="R5" s="27">
        <v>9.7479219796516112E-4</v>
      </c>
      <c r="S5" s="27">
        <v>0.15927594434523112</v>
      </c>
      <c r="T5" s="27">
        <f>S5*5</f>
        <v>0.79637972172615568</v>
      </c>
      <c r="U5" s="28">
        <v>1.3901392983921728</v>
      </c>
      <c r="AG5" s="2" t="s">
        <v>1</v>
      </c>
      <c r="AH5" s="3">
        <v>41436.47078703704</v>
      </c>
      <c r="AI5" s="5">
        <v>1</v>
      </c>
      <c r="AJ5" s="6" t="s">
        <v>416</v>
      </c>
      <c r="AK5" s="5" t="s">
        <v>405</v>
      </c>
      <c r="AL5" s="6" t="s">
        <v>414</v>
      </c>
      <c r="AM5" s="6" t="s">
        <v>405</v>
      </c>
      <c r="AN5" s="5" t="s">
        <v>407</v>
      </c>
      <c r="AO5" s="5" t="s">
        <v>412</v>
      </c>
    </row>
    <row r="6" spans="1:41">
      <c r="A6" s="14">
        <v>1939</v>
      </c>
      <c r="B6" s="15" t="s">
        <v>533</v>
      </c>
      <c r="C6" s="15" t="s">
        <v>537</v>
      </c>
      <c r="D6" s="24">
        <v>41436.575983796298</v>
      </c>
      <c r="E6" s="31">
        <v>1.0549872122762147</v>
      </c>
      <c r="F6" s="27">
        <v>0.73777374370333504</v>
      </c>
      <c r="G6" s="27">
        <f t="shared" ref="G6:G69" si="0">F6*$S$25</f>
        <v>1.2980710413029712E-2</v>
      </c>
      <c r="H6" s="43">
        <v>80.486583176246199</v>
      </c>
      <c r="I6" s="43">
        <f t="shared" ref="I6:I69" si="1">H6*$T$25</f>
        <v>1.5156256360371076</v>
      </c>
      <c r="J6" s="31">
        <v>3.7192570628394002</v>
      </c>
      <c r="K6" s="31">
        <f t="shared" ref="K6:K69" si="2">J6*$U$25</f>
        <v>8.0174609735148589E-2</v>
      </c>
      <c r="L6" s="31">
        <v>10.498661101460501</v>
      </c>
      <c r="M6" s="62">
        <f t="shared" ref="M6:M69" si="3">L6*$V$25</f>
        <v>0.19379207609939128</v>
      </c>
      <c r="N6"/>
      <c r="O6" s="14" t="s">
        <v>502</v>
      </c>
      <c r="P6" s="27">
        <v>0.99999955035982768</v>
      </c>
      <c r="Q6" s="27">
        <v>0.11937163309133531</v>
      </c>
      <c r="R6" s="27">
        <v>3.1862379542663376E-3</v>
      </c>
      <c r="S6" s="27">
        <v>5.190888035684604E-3</v>
      </c>
      <c r="T6" s="27">
        <f t="shared" ref="T6:T10" si="4">S6*5</f>
        <v>2.5954440178423022E-2</v>
      </c>
      <c r="U6" s="28">
        <v>2.6691751396484945E-2</v>
      </c>
      <c r="AG6" s="2" t="s">
        <v>2</v>
      </c>
      <c r="AH6" s="3">
        <v>41436.473900462966</v>
      </c>
      <c r="AI6" s="5">
        <v>1</v>
      </c>
      <c r="AJ6" s="6">
        <v>3.3892718101733701</v>
      </c>
      <c r="AK6" s="5">
        <v>0.47059246826524198</v>
      </c>
      <c r="AL6" s="6" t="s">
        <v>414</v>
      </c>
      <c r="AM6" s="6">
        <v>0.49441909801841399</v>
      </c>
      <c r="AN6" s="5">
        <v>0.498469046408619</v>
      </c>
      <c r="AO6" s="5">
        <v>0.71299505063097901</v>
      </c>
    </row>
    <row r="7" spans="1:41">
      <c r="A7" s="14">
        <v>1939</v>
      </c>
      <c r="B7" s="15" t="s">
        <v>534</v>
      </c>
      <c r="C7" s="15" t="s">
        <v>538</v>
      </c>
      <c r="D7" s="24">
        <v>41436.579085648147</v>
      </c>
      <c r="E7" s="31">
        <v>1.3538461538461539</v>
      </c>
      <c r="F7" s="27">
        <v>11.714762825387099</v>
      </c>
      <c r="G7" s="27">
        <f t="shared" si="0"/>
        <v>0.20611460504187129</v>
      </c>
      <c r="H7" s="43">
        <v>97.568145212875706</v>
      </c>
      <c r="I7" s="43">
        <f t="shared" si="1"/>
        <v>1.8372848779207231</v>
      </c>
      <c r="J7" s="31">
        <v>15.020648850644699</v>
      </c>
      <c r="K7" s="31">
        <f t="shared" si="2"/>
        <v>0.32379441356757555</v>
      </c>
      <c r="L7" s="31">
        <v>21.384785069047101</v>
      </c>
      <c r="M7" s="62">
        <f t="shared" si="3"/>
        <v>0.39473622926007107</v>
      </c>
      <c r="N7"/>
      <c r="O7" s="14" t="s">
        <v>503</v>
      </c>
      <c r="P7" s="27">
        <v>0.99999856355095684</v>
      </c>
      <c r="Q7" s="27">
        <v>0.18141614079784879</v>
      </c>
      <c r="R7" s="27">
        <v>0.15359233107991715</v>
      </c>
      <c r="S7" s="27">
        <v>7.9342537794790946E-2</v>
      </c>
      <c r="T7" s="27">
        <f t="shared" si="4"/>
        <v>0.39671268897395473</v>
      </c>
      <c r="U7" s="28">
        <v>0.84662991068178661</v>
      </c>
      <c r="AG7" s="2" t="s">
        <v>102</v>
      </c>
      <c r="AH7" s="3">
        <v>41436.476990740739</v>
      </c>
      <c r="AI7" s="5">
        <v>1</v>
      </c>
      <c r="AJ7" s="6">
        <v>3.3976711045813999</v>
      </c>
      <c r="AK7" s="5">
        <v>1.0117965763165799</v>
      </c>
      <c r="AL7" s="6">
        <v>1.02625177516326</v>
      </c>
      <c r="AM7" s="6">
        <v>1.04559406869143</v>
      </c>
      <c r="AN7" s="5">
        <v>1.04613958976404</v>
      </c>
      <c r="AO7" s="5">
        <v>1.1644736333658601</v>
      </c>
    </row>
    <row r="8" spans="1:41">
      <c r="A8" s="14">
        <v>1939</v>
      </c>
      <c r="B8" s="15" t="s">
        <v>535</v>
      </c>
      <c r="C8" s="15" t="s">
        <v>539</v>
      </c>
      <c r="D8" s="24">
        <v>41436.582187499997</v>
      </c>
      <c r="E8" s="31">
        <v>1.3622291021671824</v>
      </c>
      <c r="F8" s="27">
        <v>0.21850029298463899</v>
      </c>
      <c r="G8" s="27">
        <f t="shared" si="0"/>
        <v>3.8443886795953008E-3</v>
      </c>
      <c r="H8" s="43">
        <v>40.815730795952199</v>
      </c>
      <c r="I8" s="43">
        <f t="shared" si="1"/>
        <v>0.7685922983272</v>
      </c>
      <c r="J8" s="31">
        <v>5.0423065797191802</v>
      </c>
      <c r="K8" s="31">
        <f t="shared" si="2"/>
        <v>0.10869508489561847</v>
      </c>
      <c r="L8" s="31">
        <v>12.0984290017372</v>
      </c>
      <c r="M8" s="62">
        <f t="shared" si="3"/>
        <v>0.2233217789515633</v>
      </c>
      <c r="N8"/>
      <c r="O8" s="14" t="s">
        <v>504</v>
      </c>
      <c r="P8" s="27">
        <v>0.99999971571936985</v>
      </c>
      <c r="Q8" s="27">
        <v>0.33820064301851005</v>
      </c>
      <c r="R8" s="27">
        <v>6.6156897831391769E-3</v>
      </c>
      <c r="S8" s="27">
        <v>5.1124628568543192E-3</v>
      </c>
      <c r="T8" s="27">
        <f t="shared" si="4"/>
        <v>2.5562314284271595E-2</v>
      </c>
      <c r="U8" s="28">
        <v>1.9561434668168547E-2</v>
      </c>
      <c r="AG8" s="2" t="s">
        <v>189</v>
      </c>
      <c r="AH8" s="3">
        <v>41436.480081018519</v>
      </c>
      <c r="AI8" s="5">
        <v>1</v>
      </c>
      <c r="AJ8" s="6">
        <v>11.3546001871056</v>
      </c>
      <c r="AK8" s="5">
        <v>1.7179948557495599</v>
      </c>
      <c r="AL8" s="6">
        <v>1.6081360769320401</v>
      </c>
      <c r="AM8" s="6">
        <v>1.74956984580943</v>
      </c>
      <c r="AN8" s="5">
        <v>1.7767230589584</v>
      </c>
      <c r="AO8" s="5">
        <v>1.92153195631304</v>
      </c>
    </row>
    <row r="9" spans="1:41">
      <c r="A9" s="14">
        <v>2019</v>
      </c>
      <c r="B9" s="15" t="s">
        <v>532</v>
      </c>
      <c r="C9" s="15" t="s">
        <v>536</v>
      </c>
      <c r="D9" s="24">
        <v>41436.585289351853</v>
      </c>
      <c r="E9" s="31">
        <v>0.80882352941176472</v>
      </c>
      <c r="F9" s="27">
        <v>0.46010876417728702</v>
      </c>
      <c r="G9" s="27">
        <f t="shared" si="0"/>
        <v>8.0953526433490824E-3</v>
      </c>
      <c r="H9" s="43">
        <v>213.20906041286</v>
      </c>
      <c r="I9" s="43">
        <f t="shared" si="1"/>
        <v>4.0148942226744202</v>
      </c>
      <c r="J9" s="31">
        <v>7.46851439240488</v>
      </c>
      <c r="K9" s="31">
        <f t="shared" si="2"/>
        <v>0.16099592380830752</v>
      </c>
      <c r="L9" s="31">
        <v>13.122214079487099</v>
      </c>
      <c r="M9" s="62">
        <f t="shared" si="3"/>
        <v>0.24221956351469481</v>
      </c>
      <c r="N9"/>
      <c r="O9" s="14" t="s">
        <v>505</v>
      </c>
      <c r="P9" s="27">
        <v>0.99999887199983661</v>
      </c>
      <c r="Q9" s="27">
        <v>0.24855372591920252</v>
      </c>
      <c r="R9" s="27">
        <v>9.9340446229574265E-3</v>
      </c>
      <c r="S9" s="27">
        <v>1.4499849456029865E-2</v>
      </c>
      <c r="T9" s="27">
        <f t="shared" si="4"/>
        <v>7.2499247280149323E-2</v>
      </c>
      <c r="U9" s="28">
        <v>3.9967393714253514E-2</v>
      </c>
      <c r="AG9" s="2" t="s">
        <v>344</v>
      </c>
      <c r="AH9" s="3">
        <v>41436.483182870368</v>
      </c>
      <c r="AI9" s="5">
        <v>1</v>
      </c>
      <c r="AJ9" s="6">
        <v>9.0871371723671004</v>
      </c>
      <c r="AK9" s="5">
        <v>4.8137410072322497</v>
      </c>
      <c r="AL9" s="6">
        <v>4.7978106149089799</v>
      </c>
      <c r="AM9" s="6">
        <v>4.8968959684124904</v>
      </c>
      <c r="AN9" s="5">
        <v>4.9636501436282803</v>
      </c>
      <c r="AO9" s="5">
        <v>4.9910455929637001</v>
      </c>
    </row>
    <row r="10" spans="1:41">
      <c r="A10" s="14">
        <v>2019</v>
      </c>
      <c r="B10" s="15" t="s">
        <v>533</v>
      </c>
      <c r="C10" s="15" t="s">
        <v>537</v>
      </c>
      <c r="D10" s="24">
        <v>41436.588391203702</v>
      </c>
      <c r="E10" s="31">
        <v>0.58149779735682816</v>
      </c>
      <c r="F10" s="27">
        <v>0.84899131728062005</v>
      </c>
      <c r="G10" s="27">
        <f t="shared" si="0"/>
        <v>1.493752051608358E-2</v>
      </c>
      <c r="H10" s="43">
        <v>220.481009897268</v>
      </c>
      <c r="I10" s="43">
        <f t="shared" si="1"/>
        <v>4.1518307483361081</v>
      </c>
      <c r="J10" s="31">
        <v>4.92611099643345</v>
      </c>
      <c r="K10" s="31">
        <f t="shared" si="2"/>
        <v>0.10619030090637484</v>
      </c>
      <c r="L10" s="31">
        <v>10.4197002579429</v>
      </c>
      <c r="M10" s="62">
        <f t="shared" si="3"/>
        <v>0.1923345582646927</v>
      </c>
      <c r="N10"/>
      <c r="O10" s="17" t="s">
        <v>506</v>
      </c>
      <c r="P10" s="29">
        <v>0.99999095325820209</v>
      </c>
      <c r="Q10" s="29">
        <v>4.3526511672430851E-2</v>
      </c>
      <c r="R10" s="29">
        <v>3.6815917514475827E-3</v>
      </c>
      <c r="S10" s="29">
        <v>2.9014175239126045E-2</v>
      </c>
      <c r="T10" s="29">
        <f t="shared" si="4"/>
        <v>0.14507087619563022</v>
      </c>
      <c r="U10" s="30">
        <v>8.4582743022328086E-2</v>
      </c>
      <c r="AG10" s="2" t="s">
        <v>103</v>
      </c>
      <c r="AH10" s="3">
        <v>41436.486273148148</v>
      </c>
      <c r="AI10" s="5">
        <v>1</v>
      </c>
      <c r="AJ10" s="6">
        <v>9.9737902291134901</v>
      </c>
      <c r="AK10" s="5">
        <v>9.5324418748273398</v>
      </c>
      <c r="AL10" s="6">
        <v>9.4437837671875897</v>
      </c>
      <c r="AM10" s="6">
        <v>9.7507074082457503</v>
      </c>
      <c r="AN10" s="5">
        <v>9.8205518179946498</v>
      </c>
      <c r="AO10" s="5">
        <v>9.6077115291418398</v>
      </c>
    </row>
    <row r="11" spans="1:41">
      <c r="A11" s="14">
        <v>2019</v>
      </c>
      <c r="B11" s="15" t="s">
        <v>534</v>
      </c>
      <c r="C11" s="15" t="s">
        <v>538</v>
      </c>
      <c r="D11" s="24">
        <v>41436.591493055559</v>
      </c>
      <c r="E11" s="31">
        <v>0.47183299971404064</v>
      </c>
      <c r="F11" s="27">
        <v>0.30164756916984498</v>
      </c>
      <c r="G11" s="27">
        <f t="shared" si="0"/>
        <v>5.3073178269171396E-3</v>
      </c>
      <c r="H11" s="43">
        <v>88.586964321938893</v>
      </c>
      <c r="I11" s="43">
        <f t="shared" si="1"/>
        <v>1.668162181155435</v>
      </c>
      <c r="J11" s="31">
        <v>2.6454764210588602</v>
      </c>
      <c r="K11" s="31">
        <f t="shared" si="2"/>
        <v>5.7027528895786453E-2</v>
      </c>
      <c r="L11" s="31">
        <v>6.0362798903155799</v>
      </c>
      <c r="M11" s="62">
        <f t="shared" si="3"/>
        <v>0.11142213283735104</v>
      </c>
      <c r="N11"/>
      <c r="O11"/>
      <c r="AG11" s="2" t="s">
        <v>345</v>
      </c>
      <c r="AH11" s="3">
        <v>41436.489374999997</v>
      </c>
      <c r="AI11" s="5">
        <v>1</v>
      </c>
      <c r="AJ11" s="6">
        <v>67.384687830326399</v>
      </c>
      <c r="AK11" s="5">
        <v>60.232881868840003</v>
      </c>
      <c r="AL11" s="6">
        <v>62.225424747968802</v>
      </c>
      <c r="AM11" s="6">
        <v>62.420418914037498</v>
      </c>
      <c r="AN11" s="5">
        <v>63.859654762706498</v>
      </c>
      <c r="AO11" s="5">
        <v>60.475341391934499</v>
      </c>
    </row>
    <row r="12" spans="1:41">
      <c r="A12" s="14">
        <v>2019</v>
      </c>
      <c r="B12" s="15" t="s">
        <v>535</v>
      </c>
      <c r="C12" s="15" t="s">
        <v>539</v>
      </c>
      <c r="D12" s="24">
        <v>41436.594594907408</v>
      </c>
      <c r="E12" s="31">
        <v>0.6418360400661286</v>
      </c>
      <c r="F12" s="27">
        <v>0.38136293380352898</v>
      </c>
      <c r="G12" s="27">
        <f t="shared" si="0"/>
        <v>6.7098644377314824E-3</v>
      </c>
      <c r="H12" s="43">
        <v>56.077046628073198</v>
      </c>
      <c r="I12" s="43">
        <f t="shared" si="1"/>
        <v>1.0559748731865588</v>
      </c>
      <c r="J12" s="31">
        <v>4.7328158405230596</v>
      </c>
      <c r="K12" s="31">
        <f t="shared" si="2"/>
        <v>0.10202351075797379</v>
      </c>
      <c r="L12" s="31">
        <v>8.8305840293743003</v>
      </c>
      <c r="M12" s="62">
        <f t="shared" si="3"/>
        <v>0.16300147187192374</v>
      </c>
      <c r="N12"/>
      <c r="O12" s="55" t="s">
        <v>555</v>
      </c>
      <c r="AG12" s="2" t="s">
        <v>104</v>
      </c>
      <c r="AH12" s="3">
        <v>41436.492476851854</v>
      </c>
      <c r="AI12" s="5">
        <v>1</v>
      </c>
      <c r="AJ12" s="6">
        <v>97.016501256856998</v>
      </c>
      <c r="AK12" s="5">
        <v>99.014821245160306</v>
      </c>
      <c r="AL12" s="6">
        <v>98.210485584769501</v>
      </c>
      <c r="AM12" s="6">
        <v>99.217322449114803</v>
      </c>
      <c r="AN12" s="5">
        <v>101.410803415226</v>
      </c>
      <c r="AO12" s="5">
        <v>95.824666430104401</v>
      </c>
    </row>
    <row r="13" spans="1:41">
      <c r="A13" s="14">
        <v>2073</v>
      </c>
      <c r="B13" s="15" t="s">
        <v>532</v>
      </c>
      <c r="C13" s="15" t="s">
        <v>536</v>
      </c>
      <c r="D13" s="24">
        <v>41436.597708333335</v>
      </c>
      <c r="E13" s="31">
        <v>1.4069494777233</v>
      </c>
      <c r="F13" s="27">
        <v>0.32117278247221798</v>
      </c>
      <c r="G13" s="27">
        <f t="shared" si="0"/>
        <v>5.6508528765090568E-3</v>
      </c>
      <c r="H13" s="43">
        <v>109.508631558267</v>
      </c>
      <c r="I13" s="43">
        <f t="shared" si="1"/>
        <v>2.0621336228624401</v>
      </c>
      <c r="J13" s="31">
        <v>5.5924969569448697</v>
      </c>
      <c r="K13" s="31">
        <f t="shared" si="2"/>
        <v>0.12055532957051271</v>
      </c>
      <c r="L13" s="31">
        <v>9.1954891699411405</v>
      </c>
      <c r="M13" s="62">
        <f t="shared" si="3"/>
        <v>0.16973716169811984</v>
      </c>
      <c r="N13"/>
      <c r="O13"/>
      <c r="AG13" s="2" t="s">
        <v>105</v>
      </c>
      <c r="AH13" s="3">
        <v>41436.49559027778</v>
      </c>
      <c r="AI13" s="5">
        <v>1</v>
      </c>
      <c r="AJ13" s="6">
        <v>1000.27673165026</v>
      </c>
      <c r="AK13" s="5">
        <v>1000.10413945547</v>
      </c>
      <c r="AL13" s="6">
        <v>1000.18558473736</v>
      </c>
      <c r="AM13" s="6">
        <v>1000.08127899162</v>
      </c>
      <c r="AN13" s="5">
        <v>999.86089665505597</v>
      </c>
      <c r="AO13" s="5">
        <v>1000.4213945162099</v>
      </c>
    </row>
    <row r="14" spans="1:41" ht="38.25">
      <c r="A14" s="14">
        <v>2073</v>
      </c>
      <c r="B14" s="15" t="s">
        <v>533</v>
      </c>
      <c r="C14" s="15" t="s">
        <v>537</v>
      </c>
      <c r="D14" s="24">
        <v>41436.600810185184</v>
      </c>
      <c r="E14" s="31">
        <v>1.8824871648602395</v>
      </c>
      <c r="F14" s="27">
        <v>0.11499898478758</v>
      </c>
      <c r="G14" s="27">
        <f t="shared" si="0"/>
        <v>2.0233418877539234E-3</v>
      </c>
      <c r="H14" s="43">
        <v>133.58198067790099</v>
      </c>
      <c r="I14" s="43">
        <f t="shared" si="1"/>
        <v>2.5154537121385951</v>
      </c>
      <c r="J14" s="31">
        <v>2.9401206772771502</v>
      </c>
      <c r="K14" s="31">
        <f t="shared" si="2"/>
        <v>6.3379063047332831E-2</v>
      </c>
      <c r="L14" s="31">
        <v>7.4846156440157996</v>
      </c>
      <c r="M14" s="62">
        <f t="shared" si="3"/>
        <v>0.13815658877283185</v>
      </c>
      <c r="N14"/>
      <c r="O14" s="19" t="s">
        <v>455</v>
      </c>
      <c r="P14" s="20" t="s">
        <v>423</v>
      </c>
      <c r="Q14" s="20" t="s">
        <v>443</v>
      </c>
      <c r="R14" s="20" t="s">
        <v>484</v>
      </c>
      <c r="S14" s="20" t="s">
        <v>485</v>
      </c>
      <c r="T14" s="20" t="s">
        <v>486</v>
      </c>
      <c r="U14" s="20" t="s">
        <v>488</v>
      </c>
      <c r="V14" s="21" t="s">
        <v>489</v>
      </c>
    </row>
    <row r="15" spans="1:41">
      <c r="A15" s="14">
        <v>2073</v>
      </c>
      <c r="B15" s="15" t="s">
        <v>534</v>
      </c>
      <c r="C15" s="15" t="s">
        <v>538</v>
      </c>
      <c r="D15" s="24">
        <v>41436.603912037041</v>
      </c>
      <c r="E15" s="31">
        <v>1.9849624060150375</v>
      </c>
      <c r="F15" s="27">
        <v>0.22195829129960701</v>
      </c>
      <c r="G15" s="27">
        <f t="shared" si="0"/>
        <v>3.9052301979041904E-3</v>
      </c>
      <c r="H15" s="43">
        <v>132.34402183634501</v>
      </c>
      <c r="I15" s="43">
        <f t="shared" si="1"/>
        <v>2.492141973926123</v>
      </c>
      <c r="J15" s="31">
        <v>1.8872602604537101</v>
      </c>
      <c r="K15" s="31">
        <f t="shared" si="2"/>
        <v>4.0682951539524913E-2</v>
      </c>
      <c r="L15" s="31">
        <v>8.3838404198162895</v>
      </c>
      <c r="M15" s="62">
        <f t="shared" si="3"/>
        <v>0.15475514686498176</v>
      </c>
      <c r="N15"/>
      <c r="O15" s="14" t="s">
        <v>483</v>
      </c>
      <c r="P15" s="24">
        <v>41436.501782407409</v>
      </c>
      <c r="Q15" s="15">
        <v>1</v>
      </c>
      <c r="R15" s="27">
        <v>11.548056085932499</v>
      </c>
      <c r="S15" s="27">
        <v>9.2324626439932906</v>
      </c>
      <c r="T15" s="27">
        <v>9.2460038449389206</v>
      </c>
      <c r="U15" s="27">
        <v>9.5462336958647995</v>
      </c>
      <c r="V15" s="28">
        <v>9.4645118205431498</v>
      </c>
    </row>
    <row r="16" spans="1:41">
      <c r="A16" s="14">
        <v>2073</v>
      </c>
      <c r="B16" s="15" t="s">
        <v>535</v>
      </c>
      <c r="C16" s="15" t="s">
        <v>539</v>
      </c>
      <c r="D16" s="24">
        <v>41436.607025462959</v>
      </c>
      <c r="E16" s="31">
        <v>1.2481089258698941</v>
      </c>
      <c r="F16" s="27">
        <v>0.24060723475528101</v>
      </c>
      <c r="G16" s="27">
        <f t="shared" si="0"/>
        <v>4.2333477767325456E-3</v>
      </c>
      <c r="H16" s="43">
        <v>33.646968790346598</v>
      </c>
      <c r="I16" s="43">
        <f t="shared" si="1"/>
        <v>0.63359887401258397</v>
      </c>
      <c r="J16" s="31">
        <v>3.3762818106985502</v>
      </c>
      <c r="K16" s="31">
        <f t="shared" si="2"/>
        <v>7.2781222689130842E-2</v>
      </c>
      <c r="L16" s="31">
        <v>7.6379292671698602</v>
      </c>
      <c r="M16" s="62">
        <f t="shared" si="3"/>
        <v>0.14098656538015486</v>
      </c>
      <c r="N16"/>
      <c r="O16" s="14" t="s">
        <v>483</v>
      </c>
      <c r="P16" s="24">
        <v>41436.557453703703</v>
      </c>
      <c r="Q16" s="15">
        <v>1</v>
      </c>
      <c r="R16" s="27">
        <v>11.6433635166022</v>
      </c>
      <c r="S16" s="27">
        <v>9.5896127410339194</v>
      </c>
      <c r="T16" s="27">
        <v>9.6304269764407398</v>
      </c>
      <c r="U16" s="27">
        <v>9.9176483250485195</v>
      </c>
      <c r="V16" s="28">
        <v>9.7470265455861504</v>
      </c>
    </row>
    <row r="17" spans="1:25">
      <c r="A17" s="14">
        <v>2147</v>
      </c>
      <c r="B17" s="15" t="s">
        <v>532</v>
      </c>
      <c r="C17" s="15" t="s">
        <v>536</v>
      </c>
      <c r="D17" s="24">
        <v>41436.619386574072</v>
      </c>
      <c r="E17" s="31">
        <v>0.65704330512692877</v>
      </c>
      <c r="F17" s="27">
        <v>0.62183833868322103</v>
      </c>
      <c r="G17" s="27">
        <f t="shared" si="0"/>
        <v>1.0940892742602348E-2</v>
      </c>
      <c r="H17" s="43">
        <v>253.373428897677</v>
      </c>
      <c r="I17" s="43">
        <f t="shared" si="1"/>
        <v>4.771220856612028</v>
      </c>
      <c r="J17" s="31">
        <v>8.8956970988682293</v>
      </c>
      <c r="K17" s="31">
        <f t="shared" si="2"/>
        <v>0.19176115852539838</v>
      </c>
      <c r="L17" s="31">
        <v>13.8915772869431</v>
      </c>
      <c r="M17" s="62">
        <f t="shared" si="3"/>
        <v>0.25642104042746455</v>
      </c>
      <c r="N17"/>
      <c r="O17" s="14" t="s">
        <v>483</v>
      </c>
      <c r="P17" s="24">
        <v>41436.566712962966</v>
      </c>
      <c r="Q17" s="15">
        <v>1</v>
      </c>
      <c r="R17" s="27">
        <v>11.8015815098996</v>
      </c>
      <c r="S17" s="27">
        <v>9.4941505685635192</v>
      </c>
      <c r="T17" s="27">
        <v>9.4929689629549596</v>
      </c>
      <c r="U17" s="27">
        <v>9.7885042808547897</v>
      </c>
      <c r="V17" s="28">
        <v>9.5569745005322204</v>
      </c>
    </row>
    <row r="18" spans="1:25">
      <c r="A18" s="14">
        <v>2147</v>
      </c>
      <c r="B18" s="15" t="s">
        <v>533</v>
      </c>
      <c r="C18" s="15" t="s">
        <v>537</v>
      </c>
      <c r="D18" s="24">
        <v>41436.622465277775</v>
      </c>
      <c r="E18" s="31">
        <v>0.94393592677345539</v>
      </c>
      <c r="F18" s="27">
        <v>0.27735169252470598</v>
      </c>
      <c r="G18" s="27">
        <f t="shared" si="0"/>
        <v>4.8798456626487716E-3</v>
      </c>
      <c r="H18" s="43">
        <v>176.77211599345301</v>
      </c>
      <c r="I18" s="43">
        <f t="shared" si="1"/>
        <v>3.3287579142168537</v>
      </c>
      <c r="J18" s="31">
        <v>6.2250781567588396</v>
      </c>
      <c r="K18" s="31">
        <f t="shared" si="2"/>
        <v>0.13419164186729118</v>
      </c>
      <c r="L18" s="31">
        <v>10.656727941058101</v>
      </c>
      <c r="M18" s="62">
        <f t="shared" si="3"/>
        <v>0.19670979110248127</v>
      </c>
      <c r="N18"/>
      <c r="O18" s="14" t="s">
        <v>483</v>
      </c>
      <c r="P18" s="24">
        <v>41436.613206018519</v>
      </c>
      <c r="Q18" s="15">
        <v>1</v>
      </c>
      <c r="R18" s="27">
        <v>12.107648066560699</v>
      </c>
      <c r="S18" s="27">
        <v>9.1554368627551508</v>
      </c>
      <c r="T18" s="27">
        <v>9.1750239389079091</v>
      </c>
      <c r="U18" s="27">
        <v>9.3375238204240603</v>
      </c>
      <c r="V18" s="28">
        <v>9.2703812855384893</v>
      </c>
    </row>
    <row r="19" spans="1:25">
      <c r="A19" s="14">
        <v>2147</v>
      </c>
      <c r="B19" s="15" t="s">
        <v>534</v>
      </c>
      <c r="C19" s="15" t="s">
        <v>538</v>
      </c>
      <c r="D19" s="24">
        <v>41436.625555555554</v>
      </c>
      <c r="E19" s="31">
        <v>0.45118949958982774</v>
      </c>
      <c r="F19" s="27">
        <v>0.47517916307811298</v>
      </c>
      <c r="G19" s="27">
        <f t="shared" si="0"/>
        <v>8.3605077611749144E-3</v>
      </c>
      <c r="H19" s="43">
        <v>106.688447190893</v>
      </c>
      <c r="I19" s="43">
        <f t="shared" si="1"/>
        <v>2.0090273341262996</v>
      </c>
      <c r="J19" s="31">
        <v>3.42269008365251</v>
      </c>
      <c r="K19" s="31">
        <f t="shared" si="2"/>
        <v>7.3781628175952838E-2</v>
      </c>
      <c r="L19" s="31">
        <v>6.0312256802174096</v>
      </c>
      <c r="M19" s="62">
        <f t="shared" si="3"/>
        <v>0.11132883847738445</v>
      </c>
      <c r="N19"/>
      <c r="O19" s="14" t="s">
        <v>483</v>
      </c>
      <c r="P19" s="24">
        <v>41436.708136574074</v>
      </c>
      <c r="Q19" s="15">
        <v>1</v>
      </c>
      <c r="R19" s="27">
        <v>11.8866601933167</v>
      </c>
      <c r="S19" s="27">
        <v>9.5751614571744401</v>
      </c>
      <c r="T19" s="27">
        <v>9.6817740451476304</v>
      </c>
      <c r="U19" s="27">
        <v>9.9236721832884793</v>
      </c>
      <c r="V19" s="28">
        <v>9.7666707055809407</v>
      </c>
    </row>
    <row r="20" spans="1:25">
      <c r="A20" s="14">
        <v>2147</v>
      </c>
      <c r="B20" s="15" t="s">
        <v>535</v>
      </c>
      <c r="C20" s="15" t="s">
        <v>539</v>
      </c>
      <c r="D20" s="24">
        <v>41436.628657407404</v>
      </c>
      <c r="E20" s="31">
        <v>0.40882061446977208</v>
      </c>
      <c r="F20" s="27">
        <v>0.90180021862634596</v>
      </c>
      <c r="G20" s="27">
        <f t="shared" si="0"/>
        <v>1.5866663171876936E-2</v>
      </c>
      <c r="H20" s="43">
        <v>73.608686666947506</v>
      </c>
      <c r="I20" s="43">
        <f t="shared" si="1"/>
        <v>1.3861094376829486</v>
      </c>
      <c r="J20" s="31">
        <v>7.9743620877384398</v>
      </c>
      <c r="K20" s="31">
        <f t="shared" si="2"/>
        <v>0.17190029015716929</v>
      </c>
      <c r="L20" s="31">
        <v>12.217585708732001</v>
      </c>
      <c r="M20" s="62">
        <f t="shared" si="3"/>
        <v>0.22552126185767185</v>
      </c>
      <c r="N20"/>
      <c r="O20" s="14" t="s">
        <v>483</v>
      </c>
      <c r="P20" s="24">
        <v>41436.754664351851</v>
      </c>
      <c r="Q20" s="15">
        <v>1</v>
      </c>
      <c r="R20" s="27">
        <v>12.2657260894968</v>
      </c>
      <c r="S20" s="27">
        <v>9.4211310638286303</v>
      </c>
      <c r="T20" s="27">
        <v>9.4128705816404601</v>
      </c>
      <c r="U20" s="27">
        <v>9.7368714089102504</v>
      </c>
      <c r="V20" s="28">
        <v>9.5805654424283002</v>
      </c>
    </row>
    <row r="21" spans="1:25">
      <c r="A21" s="14">
        <v>2153</v>
      </c>
      <c r="B21" s="15" t="s">
        <v>532</v>
      </c>
      <c r="C21" s="15" t="s">
        <v>536</v>
      </c>
      <c r="D21" s="24">
        <v>41436.631747685184</v>
      </c>
      <c r="E21" s="31">
        <v>0.51530293566520924</v>
      </c>
      <c r="F21" s="27">
        <v>0.21398717457122801</v>
      </c>
      <c r="G21" s="27">
        <f t="shared" si="0"/>
        <v>3.7649829218217405E-3</v>
      </c>
      <c r="H21" s="43">
        <v>186.35824114883101</v>
      </c>
      <c r="I21" s="43">
        <f t="shared" si="1"/>
        <v>3.5092721870607653</v>
      </c>
      <c r="J21" s="31">
        <v>7.1899681065315804</v>
      </c>
      <c r="K21" s="31">
        <f t="shared" si="2"/>
        <v>0.15499140747997991</v>
      </c>
      <c r="L21" s="31">
        <v>10.3490487808832</v>
      </c>
      <c r="M21" s="62">
        <f t="shared" si="3"/>
        <v>0.19103042088121402</v>
      </c>
      <c r="N21"/>
      <c r="O21" s="14" t="s">
        <v>483</v>
      </c>
      <c r="P21" s="24">
        <v>41436.80127314815</v>
      </c>
      <c r="Q21" s="15">
        <v>1</v>
      </c>
      <c r="R21" s="27">
        <v>11.9446921285956</v>
      </c>
      <c r="S21" s="27">
        <v>9.2779503695856906</v>
      </c>
      <c r="T21" s="27">
        <v>9.3262446207918703</v>
      </c>
      <c r="U21" s="27">
        <v>9.5373462282065304</v>
      </c>
      <c r="V21" s="28">
        <v>9.4094937106054601</v>
      </c>
    </row>
    <row r="22" spans="1:25">
      <c r="A22" s="14">
        <v>2153</v>
      </c>
      <c r="B22" s="15" t="s">
        <v>533</v>
      </c>
      <c r="C22" s="15" t="s">
        <v>537</v>
      </c>
      <c r="D22" s="24">
        <v>41436.63484953704</v>
      </c>
      <c r="E22" s="31">
        <v>0.64127477652545661</v>
      </c>
      <c r="F22" s="27">
        <v>0.37499297518095998</v>
      </c>
      <c r="G22" s="27">
        <f t="shared" si="0"/>
        <v>6.5977886300353514E-3</v>
      </c>
      <c r="H22" s="43">
        <v>154.94791198862501</v>
      </c>
      <c r="I22" s="43">
        <f t="shared" si="1"/>
        <v>2.9177909956263393</v>
      </c>
      <c r="J22" s="31">
        <v>6.8116499555627597</v>
      </c>
      <c r="K22" s="31">
        <f t="shared" si="2"/>
        <v>0.14683614700801559</v>
      </c>
      <c r="L22" s="31">
        <v>9.3342186814657104</v>
      </c>
      <c r="M22" s="62">
        <f t="shared" si="3"/>
        <v>0.17229793395229431</v>
      </c>
      <c r="N22"/>
      <c r="O22" s="14" t="s">
        <v>483</v>
      </c>
      <c r="P22" s="24">
        <v>41436.84784722222</v>
      </c>
      <c r="Q22" s="15">
        <v>1</v>
      </c>
      <c r="R22" s="27">
        <v>11.9216393594045</v>
      </c>
      <c r="S22" s="27">
        <v>9.2739414465289105</v>
      </c>
      <c r="T22" s="27">
        <v>9.3658005694181306</v>
      </c>
      <c r="U22" s="27">
        <v>9.5419615171993897</v>
      </c>
      <c r="V22" s="28">
        <v>9.3743744573148593</v>
      </c>
    </row>
    <row r="23" spans="1:25">
      <c r="A23" s="14">
        <v>2153</v>
      </c>
      <c r="B23" s="15" t="s">
        <v>534</v>
      </c>
      <c r="C23" s="15" t="s">
        <v>538</v>
      </c>
      <c r="D23" s="24">
        <v>41436.637962962966</v>
      </c>
      <c r="E23" s="31">
        <v>0.60998151571164516</v>
      </c>
      <c r="F23" s="27">
        <v>0.100884480552082</v>
      </c>
      <c r="G23" s="27">
        <f t="shared" si="0"/>
        <v>1.7750051941968893E-3</v>
      </c>
      <c r="H23" s="43">
        <v>126.927450003377</v>
      </c>
      <c r="I23" s="43">
        <f t="shared" si="1"/>
        <v>2.3901436680531303</v>
      </c>
      <c r="J23" s="31">
        <v>3.2315552221332</v>
      </c>
      <c r="K23" s="31">
        <f t="shared" si="2"/>
        <v>6.9661406671985754E-2</v>
      </c>
      <c r="L23" s="31">
        <v>4.4780290745480498</v>
      </c>
      <c r="M23" s="62">
        <f t="shared" si="3"/>
        <v>8.2658783134677921E-2</v>
      </c>
      <c r="N23"/>
      <c r="O23" s="14" t="s">
        <v>515</v>
      </c>
      <c r="P23" s="15"/>
      <c r="Q23" s="15"/>
      <c r="R23" s="27">
        <f>AVERAGE(R15:R22)</f>
        <v>11.889920868726074</v>
      </c>
      <c r="S23" s="27">
        <f>AVERAGE(S15:S22)</f>
        <v>9.3774808941829448</v>
      </c>
      <c r="T23" s="27">
        <f>AVERAGE(T15:T22)</f>
        <v>9.4163891925300778</v>
      </c>
      <c r="U23" s="27">
        <f>AVERAGE(U15:U22)</f>
        <v>9.6662201824746035</v>
      </c>
      <c r="V23" s="28">
        <f>AVERAGE(V15:V22)</f>
        <v>9.5212498085161972</v>
      </c>
    </row>
    <row r="24" spans="1:25">
      <c r="A24" s="14">
        <v>2153</v>
      </c>
      <c r="B24" s="15" t="s">
        <v>535</v>
      </c>
      <c r="C24" s="15" t="s">
        <v>539</v>
      </c>
      <c r="D24" s="24">
        <v>41436.641076388885</v>
      </c>
      <c r="E24" s="31">
        <v>0.6943713834823777</v>
      </c>
      <c r="F24" s="27">
        <v>0.16651604352038901</v>
      </c>
      <c r="G24" s="27">
        <f t="shared" si="0"/>
        <v>2.9297553057550637E-3</v>
      </c>
      <c r="H24" s="43">
        <v>69.453022995598303</v>
      </c>
      <c r="I24" s="43">
        <f t="shared" si="1"/>
        <v>1.3078550237609052</v>
      </c>
      <c r="J24" s="31">
        <v>5.5046262146671099</v>
      </c>
      <c r="K24" s="31">
        <f t="shared" si="2"/>
        <v>0.11866113340438947</v>
      </c>
      <c r="L24" s="31">
        <v>9.2937755215708897</v>
      </c>
      <c r="M24" s="62">
        <f t="shared" si="3"/>
        <v>0.17155140410012615</v>
      </c>
      <c r="N24"/>
      <c r="O24" s="14" t="s">
        <v>516</v>
      </c>
      <c r="P24" s="15"/>
      <c r="Q24" s="15"/>
      <c r="R24" s="27">
        <f>STDEV(R15:R22)</f>
        <v>0.23241501737715611</v>
      </c>
      <c r="S24" s="27">
        <f>STDEV(S15:S22)</f>
        <v>0.16499145561902093</v>
      </c>
      <c r="T24" s="27">
        <f>STDEV(T15:T22)</f>
        <v>0.1773180112249233</v>
      </c>
      <c r="U24" s="27">
        <f>STDEV(U15:U22)</f>
        <v>0.20837103153936593</v>
      </c>
      <c r="V24" s="28">
        <f>STDEV(V15:V22)</f>
        <v>0.17575029326326214</v>
      </c>
    </row>
    <row r="25" spans="1:25">
      <c r="A25" s="14">
        <v>2185</v>
      </c>
      <c r="B25" s="15" t="s">
        <v>532</v>
      </c>
      <c r="C25" s="15" t="s">
        <v>536</v>
      </c>
      <c r="D25" s="24">
        <v>41436.644166666665</v>
      </c>
      <c r="E25" s="31">
        <v>0.67005076142131981</v>
      </c>
      <c r="F25" s="27">
        <v>0.26670590376689901</v>
      </c>
      <c r="G25" s="27">
        <f t="shared" si="0"/>
        <v>4.6925390497978984E-3</v>
      </c>
      <c r="H25" s="43">
        <v>228.361672111248</v>
      </c>
      <c r="I25" s="43">
        <f t="shared" si="1"/>
        <v>4.3002298132374257</v>
      </c>
      <c r="J25" s="31">
        <v>7.6306068717995199</v>
      </c>
      <c r="K25" s="31">
        <f t="shared" si="2"/>
        <v>0.16449008972824705</v>
      </c>
      <c r="L25" s="31">
        <v>13.325428057569299</v>
      </c>
      <c r="M25" s="62">
        <f t="shared" si="3"/>
        <v>0.24597063789688317</v>
      </c>
      <c r="N25"/>
      <c r="O25" s="51" t="s">
        <v>517</v>
      </c>
      <c r="P25" s="52"/>
      <c r="Q25" s="52"/>
      <c r="R25" s="53">
        <f>R24/R23</f>
        <v>1.9547229955791778E-2</v>
      </c>
      <c r="S25" s="53">
        <f t="shared" ref="S25:V25" si="5">S24/S23</f>
        <v>1.7594432607308079E-2</v>
      </c>
      <c r="T25" s="53">
        <f t="shared" si="5"/>
        <v>1.8830786153740099E-2</v>
      </c>
      <c r="U25" s="53">
        <f t="shared" si="5"/>
        <v>2.1556619609923042E-2</v>
      </c>
      <c r="V25" s="54">
        <f t="shared" si="5"/>
        <v>1.8458741950669526E-2</v>
      </c>
    </row>
    <row r="26" spans="1:25">
      <c r="A26" s="14">
        <v>2185</v>
      </c>
      <c r="B26" s="15" t="s">
        <v>533</v>
      </c>
      <c r="C26" s="15" t="s">
        <v>537</v>
      </c>
      <c r="D26" s="24">
        <v>41436.647291666668</v>
      </c>
      <c r="E26" s="31">
        <v>1.299212598425197</v>
      </c>
      <c r="F26" s="27">
        <v>0.18715424343468601</v>
      </c>
      <c r="G26" s="27">
        <f t="shared" si="0"/>
        <v>3.2928727232833135E-3</v>
      </c>
      <c r="H26" s="43">
        <v>77.077921729253802</v>
      </c>
      <c r="I26" s="43">
        <f t="shared" si="1"/>
        <v>1.4514378612582957</v>
      </c>
      <c r="J26" s="31">
        <v>5.2684204309246701</v>
      </c>
      <c r="K26" s="31">
        <f t="shared" si="2"/>
        <v>0.11356933517458995</v>
      </c>
      <c r="L26" s="31">
        <v>8.7361925507970302</v>
      </c>
      <c r="M26" s="62">
        <f t="shared" si="3"/>
        <v>0.16125912392652375</v>
      </c>
      <c r="N26"/>
      <c r="O26"/>
    </row>
    <row r="27" spans="1:25">
      <c r="A27" s="14">
        <v>2185</v>
      </c>
      <c r="B27" s="15" t="s">
        <v>534</v>
      </c>
      <c r="C27" s="15" t="s">
        <v>538</v>
      </c>
      <c r="D27" s="24">
        <v>41436.650405092594</v>
      </c>
      <c r="E27" s="31">
        <v>0.92827004219409293</v>
      </c>
      <c r="F27" s="27">
        <v>0.14723252722046801</v>
      </c>
      <c r="G27" s="27">
        <f t="shared" si="0"/>
        <v>2.5904727777841768E-3</v>
      </c>
      <c r="H27" s="43">
        <v>46.635961199847202</v>
      </c>
      <c r="I27" s="43">
        <f t="shared" si="1"/>
        <v>0.87819181242844324</v>
      </c>
      <c r="J27" s="31">
        <v>3.4019153024064002</v>
      </c>
      <c r="K27" s="31">
        <f t="shared" si="2"/>
        <v>7.3333794119151086E-2</v>
      </c>
      <c r="L27" s="31">
        <v>5.9070524087506699</v>
      </c>
      <c r="M27" s="62">
        <f t="shared" si="3"/>
        <v>0.10903675610220946</v>
      </c>
      <c r="N27"/>
      <c r="O27" s="55" t="s">
        <v>558</v>
      </c>
    </row>
    <row r="28" spans="1:25">
      <c r="A28" s="14">
        <v>2185</v>
      </c>
      <c r="B28" s="15" t="s">
        <v>535</v>
      </c>
      <c r="C28" s="15" t="s">
        <v>539</v>
      </c>
      <c r="D28" s="24">
        <v>41436.65351851852</v>
      </c>
      <c r="E28" s="31">
        <v>0.92178770949720679</v>
      </c>
      <c r="F28" s="27">
        <v>0.161586006151196</v>
      </c>
      <c r="G28" s="27">
        <f t="shared" si="0"/>
        <v>2.8430140955112869E-3</v>
      </c>
      <c r="H28" s="43">
        <v>42.121899908244401</v>
      </c>
      <c r="I28" s="43">
        <f t="shared" si="1"/>
        <v>0.79318848956139498</v>
      </c>
      <c r="J28" s="31">
        <v>5.2781899879071901</v>
      </c>
      <c r="K28" s="31">
        <f t="shared" si="2"/>
        <v>0.1137799337982196</v>
      </c>
      <c r="L28" s="31">
        <v>12.146998383713299</v>
      </c>
      <c r="M28" s="62">
        <f t="shared" si="3"/>
        <v>0.22421830864016362</v>
      </c>
      <c r="N28"/>
      <c r="O28"/>
    </row>
    <row r="29" spans="1:25" ht="38.25">
      <c r="A29" s="14">
        <v>2224</v>
      </c>
      <c r="B29" s="15" t="s">
        <v>532</v>
      </c>
      <c r="C29" s="15" t="s">
        <v>536</v>
      </c>
      <c r="D29" s="24">
        <v>41436.938206018516</v>
      </c>
      <c r="E29" s="31">
        <v>1.1000000000000001</v>
      </c>
      <c r="F29" s="27">
        <v>0.15123342522070099</v>
      </c>
      <c r="G29" s="27">
        <f t="shared" si="0"/>
        <v>2.6608663080179896E-3</v>
      </c>
      <c r="H29" s="43">
        <v>185.14635404325401</v>
      </c>
      <c r="I29" s="43">
        <f t="shared" si="1"/>
        <v>3.4864514001331699</v>
      </c>
      <c r="J29" s="31">
        <v>8.1169942632343108</v>
      </c>
      <c r="K29" s="31">
        <f t="shared" si="2"/>
        <v>0.17497495770846958</v>
      </c>
      <c r="L29" s="31">
        <v>12.034590144324</v>
      </c>
      <c r="M29" s="62">
        <f t="shared" si="3"/>
        <v>0.22214339395614743</v>
      </c>
      <c r="N29"/>
      <c r="O29" s="19" t="s">
        <v>455</v>
      </c>
      <c r="P29" s="20" t="s">
        <v>423</v>
      </c>
      <c r="Q29" s="20" t="s">
        <v>443</v>
      </c>
      <c r="R29" s="20" t="s">
        <v>485</v>
      </c>
      <c r="S29" s="20" t="s">
        <v>518</v>
      </c>
      <c r="T29" s="20" t="s">
        <v>486</v>
      </c>
      <c r="U29" s="20" t="s">
        <v>519</v>
      </c>
      <c r="V29" s="20" t="s">
        <v>488</v>
      </c>
      <c r="W29" s="20" t="s">
        <v>520</v>
      </c>
      <c r="X29" s="20" t="s">
        <v>489</v>
      </c>
      <c r="Y29" s="21" t="s">
        <v>521</v>
      </c>
    </row>
    <row r="30" spans="1:25">
      <c r="A30" s="14">
        <v>2224</v>
      </c>
      <c r="B30" s="15" t="s">
        <v>533</v>
      </c>
      <c r="C30" s="15" t="s">
        <v>537</v>
      </c>
      <c r="D30" s="24">
        <v>41436.670937499999</v>
      </c>
      <c r="E30" s="31">
        <v>0.86500655307994756</v>
      </c>
      <c r="F30" s="27">
        <v>0.13453942938426799</v>
      </c>
      <c r="G30" s="27">
        <f t="shared" si="0"/>
        <v>2.3671449233271876E-3</v>
      </c>
      <c r="H30" s="43">
        <v>148.972683373591</v>
      </c>
      <c r="I30" s="43">
        <f t="shared" si="1"/>
        <v>2.8052727433569253</v>
      </c>
      <c r="J30" s="31">
        <v>6.3458211132507403</v>
      </c>
      <c r="K30" s="31">
        <f t="shared" si="2"/>
        <v>0.13679445185096459</v>
      </c>
      <c r="L30" s="31">
        <v>8.1882157520268706</v>
      </c>
      <c r="M30" s="62">
        <f t="shared" si="3"/>
        <v>0.15114416160307143</v>
      </c>
      <c r="N30"/>
      <c r="O30" s="45" t="s">
        <v>551</v>
      </c>
      <c r="P30" s="24">
        <v>41436.507962962962</v>
      </c>
      <c r="Q30" s="15">
        <v>1</v>
      </c>
      <c r="R30" s="15" t="s">
        <v>405</v>
      </c>
      <c r="S30" s="15"/>
      <c r="T30" s="15" t="s">
        <v>414</v>
      </c>
      <c r="U30" s="15"/>
      <c r="V30" s="15" t="s">
        <v>407</v>
      </c>
      <c r="W30" s="15"/>
      <c r="X30" s="33">
        <v>0.25184621248223799</v>
      </c>
      <c r="Y30" s="34">
        <f>X30*$V$25</f>
        <v>4.6487642474631174E-3</v>
      </c>
    </row>
    <row r="31" spans="1:25">
      <c r="A31" s="14">
        <v>2224</v>
      </c>
      <c r="B31" s="15" t="s">
        <v>534</v>
      </c>
      <c r="C31" s="15" t="s">
        <v>538</v>
      </c>
      <c r="D31" s="24">
        <v>41436.674039351848</v>
      </c>
      <c r="E31" s="31">
        <v>0.62440870387890257</v>
      </c>
      <c r="F31" s="27">
        <v>0.100362872227257</v>
      </c>
      <c r="G31" s="27">
        <f t="shared" si="0"/>
        <v>1.7658277916783448E-3</v>
      </c>
      <c r="H31" s="43">
        <v>62.354363754795003</v>
      </c>
      <c r="I31" s="43">
        <f t="shared" si="1"/>
        <v>1.1741816896190673</v>
      </c>
      <c r="J31" s="31">
        <v>3.1313248462581398</v>
      </c>
      <c r="K31" s="31">
        <f t="shared" si="2"/>
        <v>6.7500778585887475E-2</v>
      </c>
      <c r="L31" s="31">
        <v>4.2160663867637798</v>
      </c>
      <c r="M31" s="62">
        <f t="shared" si="3"/>
        <v>7.7823281480164277E-2</v>
      </c>
      <c r="N31"/>
      <c r="O31" s="45" t="s">
        <v>552</v>
      </c>
      <c r="P31" s="24">
        <v>41436.511030092595</v>
      </c>
      <c r="Q31" s="15">
        <v>1</v>
      </c>
      <c r="R31" s="15" t="s">
        <v>405</v>
      </c>
      <c r="S31" s="15"/>
      <c r="T31" s="15" t="s">
        <v>414</v>
      </c>
      <c r="U31" s="15"/>
      <c r="V31" s="15" t="s">
        <v>407</v>
      </c>
      <c r="W31" s="15"/>
      <c r="X31" s="33">
        <v>0.22868723556125201</v>
      </c>
      <c r="Y31" s="34">
        <f>X31*$V$25</f>
        <v>4.2212786686371268E-3</v>
      </c>
    </row>
    <row r="32" spans="1:25">
      <c r="A32" s="14">
        <v>2224</v>
      </c>
      <c r="B32" s="15" t="s">
        <v>535</v>
      </c>
      <c r="C32" s="15" t="s">
        <v>539</v>
      </c>
      <c r="D32" s="24">
        <v>41436.677129629628</v>
      </c>
      <c r="E32" s="31">
        <v>0.83650190114068435</v>
      </c>
      <c r="F32" s="27">
        <v>0.13592148505898699</v>
      </c>
      <c r="G32" s="27">
        <f t="shared" si="0"/>
        <v>2.3914614087555785E-3</v>
      </c>
      <c r="H32" s="43">
        <v>57.532612216281002</v>
      </c>
      <c r="I32" s="43">
        <f t="shared" si="1"/>
        <v>1.0833843175108429</v>
      </c>
      <c r="J32" s="31">
        <v>4.8602866228253099</v>
      </c>
      <c r="K32" s="31">
        <f t="shared" si="2"/>
        <v>0.10477134992344271</v>
      </c>
      <c r="L32" s="31">
        <v>9.1575973100681907</v>
      </c>
      <c r="M32" s="62">
        <f t="shared" si="3"/>
        <v>0.16903772563469413</v>
      </c>
      <c r="N32"/>
      <c r="O32" s="45" t="s">
        <v>553</v>
      </c>
      <c r="P32" s="24">
        <v>41436.514155092591</v>
      </c>
      <c r="Q32" s="15">
        <v>1</v>
      </c>
      <c r="R32" s="15" t="s">
        <v>405</v>
      </c>
      <c r="S32" s="15"/>
      <c r="T32" s="15" t="s">
        <v>414</v>
      </c>
      <c r="U32" s="15"/>
      <c r="V32" s="15" t="s">
        <v>407</v>
      </c>
      <c r="W32" s="15"/>
      <c r="X32" s="33">
        <v>0.29801036068244302</v>
      </c>
      <c r="Y32" s="34">
        <f>X32*$V$25</f>
        <v>5.5008963464631671E-3</v>
      </c>
    </row>
    <row r="33" spans="1:25">
      <c r="A33" s="14">
        <v>2273</v>
      </c>
      <c r="B33" s="15" t="s">
        <v>532</v>
      </c>
      <c r="C33" s="15" t="s">
        <v>536</v>
      </c>
      <c r="D33" s="24">
        <v>41436.680231481485</v>
      </c>
      <c r="E33" s="31">
        <v>0.47619047619047628</v>
      </c>
      <c r="F33" s="27">
        <v>0.12099723904038601</v>
      </c>
      <c r="G33" s="27">
        <f t="shared" si="0"/>
        <v>2.1288777679664178E-3</v>
      </c>
      <c r="H33" s="43">
        <v>74.267201013207298</v>
      </c>
      <c r="I33" s="43">
        <f t="shared" si="1"/>
        <v>1.3985097805165367</v>
      </c>
      <c r="J33" s="31">
        <v>5.4200111947481497</v>
      </c>
      <c r="K33" s="31">
        <f t="shared" si="2"/>
        <v>0.11683711960671038</v>
      </c>
      <c r="L33" s="31">
        <v>10.0061629672454</v>
      </c>
      <c r="M33" s="62">
        <f t="shared" si="3"/>
        <v>0.18470118012872852</v>
      </c>
      <c r="N33"/>
      <c r="O33" s="50" t="s">
        <v>554</v>
      </c>
      <c r="P33" s="25">
        <v>41436.517233796294</v>
      </c>
      <c r="Q33" s="18">
        <v>1</v>
      </c>
      <c r="R33" s="18" t="s">
        <v>405</v>
      </c>
      <c r="S33" s="18"/>
      <c r="T33" s="18" t="s">
        <v>414</v>
      </c>
      <c r="U33" s="18"/>
      <c r="V33" s="18" t="s">
        <v>407</v>
      </c>
      <c r="W33" s="18"/>
      <c r="X33" s="35">
        <v>0.17603721621471</v>
      </c>
      <c r="Y33" s="36">
        <f>X33*$V$25</f>
        <v>3.2494255478215492E-3</v>
      </c>
    </row>
    <row r="34" spans="1:25">
      <c r="A34" s="14">
        <v>2273</v>
      </c>
      <c r="B34" s="15" t="s">
        <v>533</v>
      </c>
      <c r="C34" s="15" t="s">
        <v>537</v>
      </c>
      <c r="D34" s="24">
        <v>41436.683333333334</v>
      </c>
      <c r="E34" s="31">
        <v>0.51242236024844723</v>
      </c>
      <c r="F34" s="27">
        <v>0.121780698852043</v>
      </c>
      <c r="G34" s="27">
        <f t="shared" si="0"/>
        <v>2.1426622988231507E-3</v>
      </c>
      <c r="H34" s="43">
        <v>82.5525983755998</v>
      </c>
      <c r="I34" s="43">
        <f t="shared" si="1"/>
        <v>1.554530326446512</v>
      </c>
      <c r="J34" s="31">
        <v>3.3405411896513</v>
      </c>
      <c r="K34" s="31">
        <f t="shared" si="2"/>
        <v>7.2010775716592854E-2</v>
      </c>
      <c r="L34" s="31">
        <v>8.0692441189945701</v>
      </c>
      <c r="M34" s="62">
        <f t="shared" si="3"/>
        <v>0.14894809492947844</v>
      </c>
      <c r="N34"/>
      <c r="O34"/>
      <c r="P34" s="26"/>
    </row>
    <row r="35" spans="1:25" ht="38.25">
      <c r="A35" s="14">
        <v>2273</v>
      </c>
      <c r="B35" s="15" t="s">
        <v>534</v>
      </c>
      <c r="C35" s="15" t="s">
        <v>538</v>
      </c>
      <c r="D35" s="24">
        <v>41436.686423611114</v>
      </c>
      <c r="E35" s="31">
        <v>0.51886792452830188</v>
      </c>
      <c r="F35" s="27">
        <v>9.4225415293599707E-2</v>
      </c>
      <c r="G35" s="27">
        <f t="shared" si="0"/>
        <v>1.657842719278856E-3</v>
      </c>
      <c r="H35" s="43">
        <v>57.796053961159998</v>
      </c>
      <c r="I35" s="43">
        <f t="shared" si="1"/>
        <v>1.0883451326726272</v>
      </c>
      <c r="J35" s="31">
        <v>2.8028558825440402</v>
      </c>
      <c r="K35" s="31">
        <f t="shared" si="2"/>
        <v>6.0420098081437008E-2</v>
      </c>
      <c r="L35" s="31">
        <v>7.3416449270645296</v>
      </c>
      <c r="M35" s="62">
        <f t="shared" si="3"/>
        <v>0.13551752920212615</v>
      </c>
      <c r="N35"/>
      <c r="O35" s="48" t="s">
        <v>455</v>
      </c>
      <c r="P35" s="23" t="s">
        <v>423</v>
      </c>
      <c r="Q35" s="20" t="s">
        <v>443</v>
      </c>
      <c r="R35" s="20" t="s">
        <v>522</v>
      </c>
      <c r="S35" s="20" t="s">
        <v>526</v>
      </c>
      <c r="T35" s="20" t="s">
        <v>523</v>
      </c>
      <c r="U35" s="20" t="s">
        <v>527</v>
      </c>
      <c r="V35" s="20" t="s">
        <v>524</v>
      </c>
      <c r="W35" s="20" t="s">
        <v>528</v>
      </c>
      <c r="X35" s="20" t="s">
        <v>525</v>
      </c>
      <c r="Y35" s="21" t="s">
        <v>529</v>
      </c>
    </row>
    <row r="36" spans="1:25" ht="30" customHeight="1">
      <c r="A36" s="14">
        <v>2273</v>
      </c>
      <c r="B36" s="15" t="s">
        <v>535</v>
      </c>
      <c r="C36" s="15" t="s">
        <v>539</v>
      </c>
      <c r="D36" s="24">
        <v>41436.68953703704</v>
      </c>
      <c r="E36" s="31">
        <v>0.75949367088607589</v>
      </c>
      <c r="F36" s="27">
        <v>0.118599461004915</v>
      </c>
      <c r="G36" s="27">
        <f t="shared" si="0"/>
        <v>2.0866902239140396E-3</v>
      </c>
      <c r="H36" s="43">
        <v>67.554541743814994</v>
      </c>
      <c r="I36" s="43">
        <f t="shared" si="1"/>
        <v>1.272105129291689</v>
      </c>
      <c r="J36" s="31">
        <v>3.3641482155526901</v>
      </c>
      <c r="K36" s="31">
        <f t="shared" si="2"/>
        <v>7.2519663394070732E-2</v>
      </c>
      <c r="L36" s="31">
        <v>11.159945461205201</v>
      </c>
      <c r="M36" s="62">
        <f t="shared" si="3"/>
        <v>0.20599855345193241</v>
      </c>
      <c r="N36"/>
      <c r="O36" s="49" t="s">
        <v>492</v>
      </c>
      <c r="P36" s="24"/>
      <c r="Q36" s="15"/>
      <c r="R36" s="43">
        <v>100</v>
      </c>
      <c r="S36" s="43"/>
      <c r="T36" s="43">
        <v>100</v>
      </c>
      <c r="U36" s="43"/>
      <c r="V36" s="43">
        <v>100</v>
      </c>
      <c r="W36" s="43"/>
      <c r="X36" s="43">
        <v>100</v>
      </c>
      <c r="Y36" s="44"/>
    </row>
    <row r="37" spans="1:25">
      <c r="A37" s="14">
        <v>2274</v>
      </c>
      <c r="B37" s="15" t="s">
        <v>532</v>
      </c>
      <c r="C37" s="15" t="s">
        <v>536</v>
      </c>
      <c r="D37" s="24">
        <v>41436.69263888889</v>
      </c>
      <c r="E37" s="31">
        <v>0.76212471131639736</v>
      </c>
      <c r="F37" s="27">
        <v>0.230667831071487</v>
      </c>
      <c r="G37" s="27">
        <f t="shared" si="0"/>
        <v>4.0584696084612027E-3</v>
      </c>
      <c r="H37" s="43">
        <v>118.644254677417</v>
      </c>
      <c r="I37" s="43">
        <f t="shared" si="1"/>
        <v>2.234164588200318</v>
      </c>
      <c r="J37" s="31">
        <v>7.4005844056962999</v>
      </c>
      <c r="K37" s="31">
        <f t="shared" si="2"/>
        <v>0.15953158292472353</v>
      </c>
      <c r="L37" s="31">
        <v>10.351376444732299</v>
      </c>
      <c r="M37" s="62">
        <f t="shared" si="3"/>
        <v>0.19107338662755247</v>
      </c>
      <c r="N37"/>
      <c r="O37" s="15"/>
      <c r="P37" s="24"/>
      <c r="Q37" s="15"/>
      <c r="R37" s="15"/>
      <c r="S37" s="15"/>
      <c r="T37" s="15"/>
      <c r="U37" s="15"/>
      <c r="V37" s="15"/>
      <c r="W37" s="15"/>
      <c r="X37" s="15"/>
      <c r="Y37" s="16"/>
    </row>
    <row r="38" spans="1:25">
      <c r="A38" s="14">
        <v>2274</v>
      </c>
      <c r="B38" s="15" t="s">
        <v>533</v>
      </c>
      <c r="C38" s="15" t="s">
        <v>537</v>
      </c>
      <c r="D38" s="24">
        <v>41436.695740740739</v>
      </c>
      <c r="E38" s="31">
        <v>0.56027164685908326</v>
      </c>
      <c r="F38" s="27">
        <v>0.13928911249731499</v>
      </c>
      <c r="G38" s="27">
        <f t="shared" si="0"/>
        <v>2.4507129027657622E-3</v>
      </c>
      <c r="H38" s="43">
        <v>164.25188123740901</v>
      </c>
      <c r="I38" s="43">
        <f t="shared" si="1"/>
        <v>3.0929920509311648</v>
      </c>
      <c r="J38" s="31">
        <v>7.3260762554421097</v>
      </c>
      <c r="K38" s="31">
        <f t="shared" si="2"/>
        <v>0.15792543907185494</v>
      </c>
      <c r="L38" s="31">
        <v>8.6233584728155996</v>
      </c>
      <c r="M38" s="62">
        <f t="shared" si="3"/>
        <v>0.1591763487978228</v>
      </c>
      <c r="N38"/>
      <c r="O38" s="50" t="s">
        <v>547</v>
      </c>
      <c r="P38" s="24">
        <v>41436.520312499997</v>
      </c>
      <c r="Q38" s="15">
        <v>3300</v>
      </c>
      <c r="R38" s="43">
        <v>96.359375195219997</v>
      </c>
      <c r="S38" s="43">
        <v>1.6953885329546119</v>
      </c>
      <c r="T38" s="43">
        <v>97.949138863565892</v>
      </c>
      <c r="U38" s="43">
        <v>1.844459287882803</v>
      </c>
      <c r="V38" s="43">
        <v>98.348421805697598</v>
      </c>
      <c r="W38" s="43">
        <v>2.1200595181016837</v>
      </c>
      <c r="X38" s="43">
        <v>91.909214298420707</v>
      </c>
      <c r="Y38" s="44">
        <v>1.6965284696233336</v>
      </c>
    </row>
    <row r="39" spans="1:25">
      <c r="A39" s="14">
        <v>2274</v>
      </c>
      <c r="B39" s="15" t="s">
        <v>534</v>
      </c>
      <c r="C39" s="15" t="s">
        <v>538</v>
      </c>
      <c r="D39" s="24">
        <v>41436.698842592596</v>
      </c>
      <c r="E39" s="31">
        <v>0.78853046594982079</v>
      </c>
      <c r="F39" s="27">
        <v>4.02054033519504E-2</v>
      </c>
      <c r="G39" s="27">
        <f t="shared" si="0"/>
        <v>7.0739125972552963E-4</v>
      </c>
      <c r="H39" s="43">
        <v>27.648684899004898</v>
      </c>
      <c r="I39" s="43">
        <f t="shared" si="1"/>
        <v>0.5206464727653044</v>
      </c>
      <c r="J39" s="31">
        <v>1.6521901731247099</v>
      </c>
      <c r="K39" s="31">
        <f t="shared" si="2"/>
        <v>3.5615635085302265E-2</v>
      </c>
      <c r="L39" s="31">
        <v>2.5233106489930099</v>
      </c>
      <c r="M39" s="62">
        <f t="shared" si="3"/>
        <v>4.6577140131138423E-2</v>
      </c>
      <c r="N39"/>
      <c r="O39" s="15" t="s">
        <v>491</v>
      </c>
      <c r="P39" s="24"/>
      <c r="Q39" s="15"/>
      <c r="R39" s="43">
        <f t="shared" ref="R39:X39" si="6">R38/R36*100</f>
        <v>96.359375195219997</v>
      </c>
      <c r="S39" s="43"/>
      <c r="T39" s="43">
        <f t="shared" si="6"/>
        <v>97.949138863565892</v>
      </c>
      <c r="U39" s="43"/>
      <c r="V39" s="43">
        <f t="shared" si="6"/>
        <v>98.348421805697598</v>
      </c>
      <c r="W39" s="43"/>
      <c r="X39" s="43">
        <f t="shared" si="6"/>
        <v>91.909214298420707</v>
      </c>
      <c r="Y39" s="43"/>
    </row>
    <row r="40" spans="1:25">
      <c r="A40" s="14">
        <v>2274</v>
      </c>
      <c r="B40" s="15" t="s">
        <v>535</v>
      </c>
      <c r="C40" s="15" t="s">
        <v>539</v>
      </c>
      <c r="D40" s="24">
        <v>41436.701967592591</v>
      </c>
      <c r="E40" s="31">
        <v>0.78853046594982079</v>
      </c>
      <c r="F40" s="27">
        <v>0.170595665581565</v>
      </c>
      <c r="G40" s="27">
        <f t="shared" si="0"/>
        <v>3.0015339411737117E-3</v>
      </c>
      <c r="H40" s="43">
        <v>70.242218509197201</v>
      </c>
      <c r="I40" s="43">
        <f t="shared" si="1"/>
        <v>1.3227161957109772</v>
      </c>
      <c r="J40" s="31">
        <v>4.6865145342243899</v>
      </c>
      <c r="K40" s="31">
        <f t="shared" si="2"/>
        <v>0.10102541111065083</v>
      </c>
      <c r="L40" s="31">
        <v>11.304322434656701</v>
      </c>
      <c r="M40" s="62">
        <f t="shared" si="3"/>
        <v>0.20866357074849232</v>
      </c>
      <c r="N40"/>
      <c r="O40" s="40"/>
      <c r="P40" s="39"/>
      <c r="Q40" s="40"/>
      <c r="R40" s="40"/>
      <c r="S40" s="40"/>
      <c r="T40" s="40"/>
      <c r="U40" s="40"/>
      <c r="V40" s="40"/>
      <c r="W40" s="40"/>
      <c r="X40" s="40"/>
      <c r="Y40" s="41"/>
    </row>
    <row r="41" spans="1:25">
      <c r="A41" s="14">
        <v>2277</v>
      </c>
      <c r="B41" s="15" t="s">
        <v>532</v>
      </c>
      <c r="C41" s="15" t="s">
        <v>536</v>
      </c>
      <c r="D41" s="24">
        <v>41436.714317129627</v>
      </c>
      <c r="E41" s="31">
        <v>1</v>
      </c>
      <c r="F41" s="27">
        <v>0.303634495305525</v>
      </c>
      <c r="G41" s="27">
        <f t="shared" si="0"/>
        <v>5.3422766649070608E-3</v>
      </c>
      <c r="H41" s="43">
        <v>195.27306113187001</v>
      </c>
      <c r="I41" s="43">
        <f t="shared" si="1"/>
        <v>3.6771452557604616</v>
      </c>
      <c r="J41" s="31">
        <v>11.503739158750999</v>
      </c>
      <c r="K41" s="31">
        <f t="shared" si="2"/>
        <v>0.24798172913697139</v>
      </c>
      <c r="L41" s="31">
        <v>13.3247702550002</v>
      </c>
      <c r="M41" s="62">
        <f t="shared" si="3"/>
        <v>0.24595849568900566</v>
      </c>
      <c r="N41"/>
      <c r="O41" s="50" t="s">
        <v>548</v>
      </c>
      <c r="P41" s="24">
        <v>41436.523402777777</v>
      </c>
      <c r="Q41" s="15">
        <v>3300</v>
      </c>
      <c r="R41" s="43">
        <v>99.706513263211903</v>
      </c>
      <c r="S41" s="43">
        <v>1.7542795281192509</v>
      </c>
      <c r="T41" s="43">
        <v>101.92748597687</v>
      </c>
      <c r="U41" s="43">
        <v>1.9193746916187817</v>
      </c>
      <c r="V41" s="43">
        <v>101.189309067439</v>
      </c>
      <c r="W41" s="43">
        <v>2.1812994441577187</v>
      </c>
      <c r="X41" s="43">
        <v>96.559067187602196</v>
      </c>
      <c r="Y41" s="44">
        <v>1.7823589042133101</v>
      </c>
    </row>
    <row r="42" spans="1:25">
      <c r="A42" s="14">
        <v>2277</v>
      </c>
      <c r="B42" s="15" t="s">
        <v>533</v>
      </c>
      <c r="C42" s="15" t="s">
        <v>537</v>
      </c>
      <c r="D42" s="24">
        <v>41436.717430555553</v>
      </c>
      <c r="E42" s="31">
        <v>0.8741721854304636</v>
      </c>
      <c r="F42" s="27">
        <v>0.27482860509801998</v>
      </c>
      <c r="G42" s="27">
        <f t="shared" si="0"/>
        <v>4.8354533709575979E-3</v>
      </c>
      <c r="H42" s="43">
        <v>97.935695873902006</v>
      </c>
      <c r="I42" s="43">
        <f t="shared" si="1"/>
        <v>1.8442061458191752</v>
      </c>
      <c r="J42" s="31">
        <v>7.9157847268481003</v>
      </c>
      <c r="K42" s="31">
        <f t="shared" si="2"/>
        <v>0.17063756027070306</v>
      </c>
      <c r="L42" s="31">
        <v>11.269166776728101</v>
      </c>
      <c r="M42" s="62">
        <f t="shared" si="3"/>
        <v>0.20801464153068228</v>
      </c>
      <c r="N42"/>
      <c r="O42" s="15" t="s">
        <v>491</v>
      </c>
      <c r="P42" s="24"/>
      <c r="Q42" s="15"/>
      <c r="R42" s="43">
        <f t="shared" ref="R42:X42" si="7">R41/R36*100</f>
        <v>99.706513263211903</v>
      </c>
      <c r="S42" s="43"/>
      <c r="T42" s="43">
        <f t="shared" si="7"/>
        <v>101.92748597687</v>
      </c>
      <c r="U42" s="43"/>
      <c r="V42" s="43">
        <f t="shared" si="7"/>
        <v>101.189309067439</v>
      </c>
      <c r="W42" s="43"/>
      <c r="X42" s="43">
        <f t="shared" si="7"/>
        <v>96.559067187602196</v>
      </c>
      <c r="Y42" s="43"/>
    </row>
    <row r="43" spans="1:25">
      <c r="A43" s="14">
        <v>2277</v>
      </c>
      <c r="B43" s="15" t="s">
        <v>534</v>
      </c>
      <c r="C43" s="15" t="s">
        <v>538</v>
      </c>
      <c r="D43" s="24">
        <v>41436.720532407409</v>
      </c>
      <c r="E43" s="31">
        <v>1.0138248847926268</v>
      </c>
      <c r="F43" s="27">
        <v>0.15052224308112</v>
      </c>
      <c r="G43" s="27">
        <f t="shared" si="0"/>
        <v>2.6483534617916106E-3</v>
      </c>
      <c r="H43" s="43">
        <v>47.480563489220202</v>
      </c>
      <c r="I43" s="43">
        <f t="shared" si="1"/>
        <v>0.8940963375245855</v>
      </c>
      <c r="J43" s="31">
        <v>3.9174827104924801</v>
      </c>
      <c r="K43" s="31">
        <f t="shared" si="2"/>
        <v>8.4447684618536661E-2</v>
      </c>
      <c r="L43" s="31">
        <v>7.6388688294739699</v>
      </c>
      <c r="M43" s="62">
        <f t="shared" si="3"/>
        <v>0.14100390851827299</v>
      </c>
      <c r="N43"/>
      <c r="O43" s="40"/>
      <c r="P43" s="39"/>
      <c r="Q43" s="40"/>
      <c r="R43" s="40"/>
      <c r="S43" s="40"/>
      <c r="T43" s="40"/>
      <c r="U43" s="40"/>
      <c r="V43" s="40"/>
      <c r="W43" s="40"/>
      <c r="X43" s="40"/>
      <c r="Y43" s="41"/>
    </row>
    <row r="44" spans="1:25">
      <c r="A44" s="14">
        <v>2277</v>
      </c>
      <c r="B44" s="15" t="s">
        <v>535</v>
      </c>
      <c r="C44" s="15" t="s">
        <v>539</v>
      </c>
      <c r="D44" s="24">
        <v>41436.723634259259</v>
      </c>
      <c r="E44" s="31">
        <v>0.93749999999999989</v>
      </c>
      <c r="F44" s="27">
        <v>0.26489590459207402</v>
      </c>
      <c r="G44" s="27">
        <f t="shared" si="0"/>
        <v>4.6606931412971567E-3</v>
      </c>
      <c r="H44" s="43">
        <v>33.441913693309097</v>
      </c>
      <c r="I44" s="43">
        <f t="shared" si="1"/>
        <v>0.6297375253305364</v>
      </c>
      <c r="J44" s="31">
        <v>7.8179238456720803</v>
      </c>
      <c r="K44" s="31">
        <f t="shared" si="2"/>
        <v>0.16852801048049973</v>
      </c>
      <c r="L44" s="31">
        <v>9.8237752964865397</v>
      </c>
      <c r="M44" s="62">
        <f t="shared" si="3"/>
        <v>0.18133453317920706</v>
      </c>
      <c r="N44"/>
      <c r="O44" s="50" t="s">
        <v>549</v>
      </c>
      <c r="P44" s="24">
        <v>41436.526493055557</v>
      </c>
      <c r="Q44" s="15">
        <v>3300</v>
      </c>
      <c r="R44" s="43">
        <v>107.105004597202</v>
      </c>
      <c r="S44" s="43">
        <v>1.8844517852908926</v>
      </c>
      <c r="T44" s="43">
        <v>105.53243833807599</v>
      </c>
      <c r="U44" s="43">
        <v>1.9872587786270723</v>
      </c>
      <c r="V44" s="43">
        <v>107.672365402186</v>
      </c>
      <c r="W44" s="43">
        <v>2.3210522234755619</v>
      </c>
      <c r="X44" s="43">
        <v>100.50313780275199</v>
      </c>
      <c r="Y44" s="44">
        <v>1.8551614859335788</v>
      </c>
    </row>
    <row r="45" spans="1:25">
      <c r="A45" s="14">
        <v>2285</v>
      </c>
      <c r="B45" s="15" t="s">
        <v>532</v>
      </c>
      <c r="C45" s="15" t="s">
        <v>536</v>
      </c>
      <c r="D45" s="24">
        <v>41436.726724537039</v>
      </c>
      <c r="E45" s="31">
        <v>0.79422382671480141</v>
      </c>
      <c r="F45" s="27">
        <v>0.26083622013556301</v>
      </c>
      <c r="G45" s="27">
        <f t="shared" si="0"/>
        <v>4.5892652967201384E-3</v>
      </c>
      <c r="H45" s="43">
        <v>207.99161908746899</v>
      </c>
      <c r="I45" s="43">
        <f t="shared" si="1"/>
        <v>3.916645700806296</v>
      </c>
      <c r="J45" s="31">
        <v>5.2999961466364196</v>
      </c>
      <c r="K45" s="31">
        <f t="shared" si="2"/>
        <v>0.1142500008670992</v>
      </c>
      <c r="L45" s="31">
        <v>12.873039956071199</v>
      </c>
      <c r="M45" s="62">
        <f t="shared" si="3"/>
        <v>0.23762012266977645</v>
      </c>
      <c r="N45"/>
      <c r="O45" s="15" t="s">
        <v>491</v>
      </c>
      <c r="P45" s="24"/>
      <c r="Q45" s="15"/>
      <c r="R45" s="43">
        <f t="shared" ref="R45:X45" si="8">R44/R36*100</f>
        <v>107.105004597202</v>
      </c>
      <c r="S45" s="43"/>
      <c r="T45" s="43">
        <f t="shared" si="8"/>
        <v>105.53243833807599</v>
      </c>
      <c r="U45" s="43"/>
      <c r="V45" s="43">
        <f t="shared" si="8"/>
        <v>107.67236540218602</v>
      </c>
      <c r="W45" s="43"/>
      <c r="X45" s="43">
        <f t="shared" si="8"/>
        <v>100.50313780275199</v>
      </c>
      <c r="Y45" s="43"/>
    </row>
    <row r="46" spans="1:25">
      <c r="A46" s="14">
        <v>2285</v>
      </c>
      <c r="B46" s="15" t="s">
        <v>533</v>
      </c>
      <c r="C46" s="15" t="s">
        <v>537</v>
      </c>
      <c r="D46" s="24">
        <v>41436.729826388888</v>
      </c>
      <c r="E46" s="31">
        <v>0.6179775280898876</v>
      </c>
      <c r="F46" s="27">
        <v>0.166380532034096</v>
      </c>
      <c r="G46" s="27">
        <f t="shared" si="0"/>
        <v>2.9273710580419651E-3</v>
      </c>
      <c r="H46" s="43">
        <v>158.91303469438401</v>
      </c>
      <c r="I46" s="43">
        <f t="shared" si="1"/>
        <v>2.9924573733718263</v>
      </c>
      <c r="J46" s="31">
        <v>4.74281255310758</v>
      </c>
      <c r="K46" s="31">
        <f t="shared" si="2"/>
        <v>0.10223900608850803</v>
      </c>
      <c r="L46" s="31">
        <v>10.3745123966644</v>
      </c>
      <c r="M46" s="62">
        <f t="shared" si="3"/>
        <v>0.19150044719405021</v>
      </c>
      <c r="N46"/>
      <c r="O46" s="40"/>
      <c r="P46" s="39"/>
      <c r="Q46" s="40"/>
      <c r="R46" s="40"/>
      <c r="S46" s="40"/>
      <c r="T46" s="40"/>
      <c r="U46" s="40"/>
      <c r="V46" s="40"/>
      <c r="W46" s="40"/>
      <c r="X46" s="40"/>
      <c r="Y46" s="41"/>
    </row>
    <row r="47" spans="1:25">
      <c r="A47" s="14">
        <v>2285</v>
      </c>
      <c r="B47" s="15" t="s">
        <v>534</v>
      </c>
      <c r="C47" s="15" t="s">
        <v>538</v>
      </c>
      <c r="D47" s="24">
        <v>41436.732939814814</v>
      </c>
      <c r="E47" s="31">
        <v>0.61281337047353757</v>
      </c>
      <c r="F47" s="27">
        <v>0.133870251639989</v>
      </c>
      <c r="G47" s="27">
        <f t="shared" si="0"/>
        <v>2.3553711206031605E-3</v>
      </c>
      <c r="H47" s="43">
        <v>96.372652290097406</v>
      </c>
      <c r="I47" s="43">
        <f t="shared" si="1"/>
        <v>1.8147728063435753</v>
      </c>
      <c r="J47" s="31">
        <v>3.5289952649225298</v>
      </c>
      <c r="K47" s="31">
        <f t="shared" si="2"/>
        <v>7.6073208531154568E-2</v>
      </c>
      <c r="L47" s="31">
        <v>7.36718594047829</v>
      </c>
      <c r="M47" s="62">
        <f t="shared" si="3"/>
        <v>0.13598898417788935</v>
      </c>
      <c r="N47"/>
      <c r="O47" s="50" t="s">
        <v>550</v>
      </c>
      <c r="P47" s="24">
        <v>41436.529594907406</v>
      </c>
      <c r="Q47" s="15">
        <v>3300</v>
      </c>
      <c r="R47" s="43">
        <v>99.958805567130298</v>
      </c>
      <c r="S47" s="43">
        <v>1.7587184680578858</v>
      </c>
      <c r="T47" s="43">
        <v>105.43147667376199</v>
      </c>
      <c r="U47" s="43">
        <v>1.9853575911166497</v>
      </c>
      <c r="V47" s="43">
        <v>101.334014738506</v>
      </c>
      <c r="W47" s="43">
        <v>2.1844188092643089</v>
      </c>
      <c r="X47" s="43">
        <v>94.109935995976912</v>
      </c>
      <c r="Y47" s="44">
        <v>1.7371510235437631</v>
      </c>
    </row>
    <row r="48" spans="1:25">
      <c r="A48" s="14">
        <v>2285</v>
      </c>
      <c r="B48" s="15" t="s">
        <v>535</v>
      </c>
      <c r="C48" s="15" t="s">
        <v>539</v>
      </c>
      <c r="D48" s="24">
        <v>41436.736041666663</v>
      </c>
      <c r="E48" s="31">
        <v>0.78665077473182365</v>
      </c>
      <c r="F48" s="27">
        <v>0.16663428154667201</v>
      </c>
      <c r="G48" s="27">
        <f t="shared" si="0"/>
        <v>2.931835636740121E-3</v>
      </c>
      <c r="H48" s="43">
        <v>50.3803479029797</v>
      </c>
      <c r="I48" s="43">
        <f t="shared" si="1"/>
        <v>0.94870155771203923</v>
      </c>
      <c r="J48" s="31">
        <v>4.2293187112706203</v>
      </c>
      <c r="K48" s="31">
        <f t="shared" si="2"/>
        <v>9.1169814667990706E-2</v>
      </c>
      <c r="L48" s="31">
        <v>10.4144449493623</v>
      </c>
      <c r="M48" s="62">
        <f t="shared" si="3"/>
        <v>0.19223755187973227</v>
      </c>
      <c r="N48"/>
      <c r="O48" s="15" t="s">
        <v>491</v>
      </c>
      <c r="P48" s="25"/>
      <c r="Q48" s="18"/>
      <c r="R48" s="42">
        <f t="shared" ref="R48:X48" si="9">R47/R36*100</f>
        <v>99.958805567130298</v>
      </c>
      <c r="S48" s="42"/>
      <c r="T48" s="42">
        <f t="shared" si="9"/>
        <v>105.43147667376198</v>
      </c>
      <c r="U48" s="42"/>
      <c r="V48" s="42">
        <f t="shared" si="9"/>
        <v>101.334014738506</v>
      </c>
      <c r="W48" s="42"/>
      <c r="X48" s="42">
        <f t="shared" si="9"/>
        <v>94.109935995976912</v>
      </c>
      <c r="Y48" s="18"/>
    </row>
    <row r="49" spans="1:25">
      <c r="A49" s="14">
        <v>2296</v>
      </c>
      <c r="B49" s="15" t="s">
        <v>532</v>
      </c>
      <c r="C49" s="15" t="s">
        <v>536</v>
      </c>
      <c r="D49" s="24">
        <v>41436.739166666666</v>
      </c>
      <c r="E49" s="31">
        <v>0.68464730290456421</v>
      </c>
      <c r="F49" s="27">
        <v>0.191595110555971</v>
      </c>
      <c r="G49" s="27">
        <f t="shared" si="0"/>
        <v>3.3710072605667727E-3</v>
      </c>
      <c r="H49" s="43">
        <v>128.89199850295299</v>
      </c>
      <c r="I49" s="43">
        <f t="shared" si="1"/>
        <v>2.4271376607372965</v>
      </c>
      <c r="J49" s="31">
        <v>6.1136616347230301</v>
      </c>
      <c r="K49" s="31">
        <f t="shared" si="2"/>
        <v>0.13178987828350464</v>
      </c>
      <c r="L49" s="31">
        <v>9.00616890677715</v>
      </c>
      <c r="M49" s="62">
        <f t="shared" si="3"/>
        <v>0.16624254781434289</v>
      </c>
      <c r="N49"/>
      <c r="O49"/>
      <c r="P49" s="26"/>
    </row>
    <row r="50" spans="1:25" ht="38.25">
      <c r="A50" s="14">
        <v>2296</v>
      </c>
      <c r="B50" s="15" t="s">
        <v>533</v>
      </c>
      <c r="C50" s="15" t="s">
        <v>537</v>
      </c>
      <c r="D50" s="24">
        <v>41436.742268518516</v>
      </c>
      <c r="E50" s="31">
        <v>0.71817192600652868</v>
      </c>
      <c r="F50" s="27">
        <v>0.20708722009819899</v>
      </c>
      <c r="G50" s="27">
        <f t="shared" si="0"/>
        <v>3.6435821378525374E-3</v>
      </c>
      <c r="H50" s="43">
        <v>121.798661343974</v>
      </c>
      <c r="I50" s="43">
        <f t="shared" si="1"/>
        <v>2.293564545580185</v>
      </c>
      <c r="J50" s="31">
        <v>8.5844569153037096</v>
      </c>
      <c r="K50" s="31">
        <f t="shared" si="2"/>
        <v>0.18505187228097542</v>
      </c>
      <c r="L50" s="31">
        <v>12.9676428982642</v>
      </c>
      <c r="M50" s="62">
        <f t="shared" si="3"/>
        <v>0.23936637396749116</v>
      </c>
      <c r="N50"/>
      <c r="O50" s="48" t="s">
        <v>455</v>
      </c>
      <c r="P50" s="23" t="s">
        <v>423</v>
      </c>
      <c r="Q50" s="20" t="s">
        <v>443</v>
      </c>
      <c r="R50" s="20" t="s">
        <v>507</v>
      </c>
      <c r="S50" s="20" t="s">
        <v>511</v>
      </c>
      <c r="T50" s="20" t="s">
        <v>508</v>
      </c>
      <c r="U50" s="20" t="s">
        <v>512</v>
      </c>
      <c r="V50" s="20" t="s">
        <v>509</v>
      </c>
      <c r="W50" s="20" t="s">
        <v>513</v>
      </c>
      <c r="X50" s="20" t="s">
        <v>510</v>
      </c>
      <c r="Y50" s="21" t="s">
        <v>514</v>
      </c>
    </row>
    <row r="51" spans="1:25" ht="38.25">
      <c r="A51" s="14">
        <v>2296</v>
      </c>
      <c r="B51" s="15" t="s">
        <v>534</v>
      </c>
      <c r="C51" s="15" t="s">
        <v>538</v>
      </c>
      <c r="D51" s="24">
        <v>41436.745381944442</v>
      </c>
      <c r="E51" s="31">
        <v>0.77192982456140347</v>
      </c>
      <c r="F51" s="27">
        <v>0.136771027595566</v>
      </c>
      <c r="G51" s="27">
        <f t="shared" si="0"/>
        <v>2.4064086276624594E-3</v>
      </c>
      <c r="H51" s="43">
        <v>49.6351420461354</v>
      </c>
      <c r="I51" s="43">
        <f t="shared" si="1"/>
        <v>0.93466874558128954</v>
      </c>
      <c r="J51" s="31">
        <v>3.1499308231594401</v>
      </c>
      <c r="K51" s="31">
        <f t="shared" si="2"/>
        <v>6.7901860552419813E-2</v>
      </c>
      <c r="L51" s="31">
        <v>6.0230230009146704</v>
      </c>
      <c r="M51" s="62">
        <f t="shared" si="3"/>
        <v>0.11117742733683109</v>
      </c>
      <c r="N51"/>
      <c r="O51" s="37" t="s">
        <v>490</v>
      </c>
      <c r="P51" s="24"/>
      <c r="Q51" s="15"/>
      <c r="R51" s="31">
        <v>10.46</v>
      </c>
      <c r="S51" s="31">
        <v>0.47</v>
      </c>
      <c r="T51" s="31">
        <v>197.94</v>
      </c>
      <c r="U51" s="31">
        <v>0.65</v>
      </c>
      <c r="V51" s="43">
        <v>275.2</v>
      </c>
      <c r="W51" s="43">
        <v>4.5999999999999996</v>
      </c>
      <c r="X51" s="43">
        <v>181.1</v>
      </c>
      <c r="Y51" s="44">
        <v>1</v>
      </c>
    </row>
    <row r="52" spans="1:25">
      <c r="A52" s="14">
        <v>2296</v>
      </c>
      <c r="B52" s="15" t="s">
        <v>535</v>
      </c>
      <c r="C52" s="15" t="s">
        <v>539</v>
      </c>
      <c r="D52" s="24">
        <v>41436.748506944445</v>
      </c>
      <c r="E52" s="31">
        <v>1.010719754977029</v>
      </c>
      <c r="F52" s="27">
        <v>0.15685785413532199</v>
      </c>
      <c r="G52" s="27">
        <f t="shared" si="0"/>
        <v>2.7598249435108837E-3</v>
      </c>
      <c r="H52" s="43">
        <v>35.268843961421403</v>
      </c>
      <c r="I52" s="43">
        <f t="shared" si="1"/>
        <v>0.6641400585271543</v>
      </c>
      <c r="J52" s="31">
        <v>4.9113700557884901</v>
      </c>
      <c r="K52" s="31">
        <f t="shared" si="2"/>
        <v>0.10587253605619899</v>
      </c>
      <c r="L52" s="31">
        <v>7.08352080569869</v>
      </c>
      <c r="M52" s="62">
        <f t="shared" si="3"/>
        <v>0.13075288265459081</v>
      </c>
      <c r="N52"/>
      <c r="O52" s="14"/>
      <c r="P52" s="24"/>
      <c r="Q52" s="15"/>
      <c r="R52" s="31"/>
      <c r="S52" s="31"/>
      <c r="T52" s="31"/>
      <c r="U52" s="31"/>
      <c r="V52" s="43"/>
      <c r="W52" s="43"/>
      <c r="X52" s="43"/>
      <c r="Y52" s="44"/>
    </row>
    <row r="53" spans="1:25" ht="26.25" customHeight="1">
      <c r="A53" s="14">
        <v>2337</v>
      </c>
      <c r="B53" s="15" t="s">
        <v>532</v>
      </c>
      <c r="C53" s="15" t="s">
        <v>536</v>
      </c>
      <c r="D53" s="24">
        <v>41436.760891203703</v>
      </c>
      <c r="E53" s="31">
        <v>0.75085324232081918</v>
      </c>
      <c r="F53" s="27">
        <v>0.38398825703454598</v>
      </c>
      <c r="G53" s="27">
        <f t="shared" si="0"/>
        <v>6.7560555103920112E-3</v>
      </c>
      <c r="H53" s="43">
        <v>165.708384882838</v>
      </c>
      <c r="I53" s="43">
        <f t="shared" si="1"/>
        <v>3.120419159610381</v>
      </c>
      <c r="J53" s="31">
        <v>5.8929588046606796</v>
      </c>
      <c r="K53" s="31">
        <f t="shared" si="2"/>
        <v>0.12703227132901707</v>
      </c>
      <c r="L53" s="31">
        <v>12.667012015614601</v>
      </c>
      <c r="M53" s="62">
        <f t="shared" si="3"/>
        <v>0.2338171060822602</v>
      </c>
      <c r="N53"/>
      <c r="O53" s="46" t="s">
        <v>543</v>
      </c>
      <c r="P53" s="24">
        <v>41436.532685185186</v>
      </c>
      <c r="Q53" s="31">
        <v>3.0414746543778803</v>
      </c>
      <c r="R53" s="31">
        <v>9.6416524158517092</v>
      </c>
      <c r="S53" s="31">
        <f>R53*$S$25</f>
        <v>0.16963940365379201</v>
      </c>
      <c r="T53" s="31">
        <v>189.99816051923301</v>
      </c>
      <c r="U53" s="31">
        <f>T53*$T$25</f>
        <v>3.5778147303416619</v>
      </c>
      <c r="V53" s="43">
        <v>274.20805642709399</v>
      </c>
      <c r="W53" s="43">
        <f>V53*$U$25</f>
        <v>5.9109987663751786</v>
      </c>
      <c r="X53" s="43">
        <v>158.52683026744199</v>
      </c>
      <c r="Y53" s="44">
        <f>X53*$V$25</f>
        <v>2.9262058521642991</v>
      </c>
    </row>
    <row r="54" spans="1:25">
      <c r="A54" s="14">
        <v>2337</v>
      </c>
      <c r="B54" s="15" t="s">
        <v>533</v>
      </c>
      <c r="C54" s="15" t="s">
        <v>537</v>
      </c>
      <c r="D54" s="24">
        <v>41436.764004629629</v>
      </c>
      <c r="E54" s="31">
        <v>0.79041916167664672</v>
      </c>
      <c r="F54" s="27">
        <v>0.33271927190537698</v>
      </c>
      <c r="G54" s="27">
        <f t="shared" si="0"/>
        <v>5.8540068066917673E-3</v>
      </c>
      <c r="H54" s="43">
        <v>133.369569449208</v>
      </c>
      <c r="I54" s="43">
        <f t="shared" si="1"/>
        <v>2.5114538417144248</v>
      </c>
      <c r="J54" s="31">
        <v>5.9487703195529402</v>
      </c>
      <c r="K54" s="31">
        <f t="shared" si="2"/>
        <v>0.12823537892540307</v>
      </c>
      <c r="L54" s="31">
        <v>11.384677110869699</v>
      </c>
      <c r="M54" s="62">
        <f t="shared" si="3"/>
        <v>0.21014681698123766</v>
      </c>
      <c r="N54"/>
      <c r="O54" s="37" t="s">
        <v>491</v>
      </c>
      <c r="P54" s="24"/>
      <c r="Q54" s="31"/>
      <c r="R54" s="43">
        <f t="shared" ref="R54:X54" si="10">R53/R51*100</f>
        <v>92.176409329366237</v>
      </c>
      <c r="S54" s="43"/>
      <c r="T54" s="43">
        <f t="shared" si="10"/>
        <v>95.987754127125896</v>
      </c>
      <c r="U54" s="43"/>
      <c r="V54" s="43">
        <f t="shared" si="10"/>
        <v>99.639555387752182</v>
      </c>
      <c r="W54" s="43"/>
      <c r="X54" s="43">
        <f t="shared" si="10"/>
        <v>87.535521958830472</v>
      </c>
      <c r="Y54" s="43"/>
    </row>
    <row r="55" spans="1:25">
      <c r="A55" s="14">
        <v>2337</v>
      </c>
      <c r="B55" s="15" t="s">
        <v>534</v>
      </c>
      <c r="C55" s="15" t="s">
        <v>538</v>
      </c>
      <c r="D55" s="24">
        <v>41436.767106481479</v>
      </c>
      <c r="E55" s="31">
        <v>0.89918256130790186</v>
      </c>
      <c r="F55" s="27">
        <v>0.24856289220894501</v>
      </c>
      <c r="G55" s="27">
        <f t="shared" si="0"/>
        <v>4.3733230556478649E-3</v>
      </c>
      <c r="H55" s="43">
        <v>78.203913518321897</v>
      </c>
      <c r="I55" s="43">
        <f t="shared" si="1"/>
        <v>1.4726411718491041</v>
      </c>
      <c r="J55" s="31">
        <v>4.03356440241493</v>
      </c>
      <c r="K55" s="31">
        <f t="shared" si="2"/>
        <v>8.6950013494985198E-2</v>
      </c>
      <c r="L55" s="31">
        <v>8.0407026733312907</v>
      </c>
      <c r="M55" s="62">
        <f t="shared" si="3"/>
        <v>0.14842125574908091</v>
      </c>
      <c r="N55"/>
      <c r="O55" s="38"/>
      <c r="P55" s="39"/>
      <c r="Q55" s="40"/>
      <c r="R55" s="40"/>
      <c r="S55" s="40"/>
      <c r="T55" s="40"/>
      <c r="U55" s="40"/>
      <c r="V55" s="40"/>
      <c r="W55" s="40"/>
      <c r="X55" s="40"/>
      <c r="Y55" s="41"/>
    </row>
    <row r="56" spans="1:25" ht="25.5">
      <c r="A56" s="14">
        <v>2337</v>
      </c>
      <c r="B56" s="15" t="s">
        <v>535</v>
      </c>
      <c r="C56" s="15" t="s">
        <v>539</v>
      </c>
      <c r="D56" s="24">
        <v>41436.770208333335</v>
      </c>
      <c r="E56" s="31">
        <v>0.51321928460342148</v>
      </c>
      <c r="F56" s="27">
        <v>0.21670188596721299</v>
      </c>
      <c r="G56" s="27">
        <f t="shared" si="0"/>
        <v>3.8127467285266892E-3</v>
      </c>
      <c r="H56" s="43">
        <v>44.249444076066297</v>
      </c>
      <c r="I56" s="43">
        <f t="shared" si="1"/>
        <v>0.83325181881828603</v>
      </c>
      <c r="J56" s="31">
        <v>3.3593373375123701</v>
      </c>
      <c r="K56" s="31">
        <f t="shared" si="2"/>
        <v>7.2415957126165817E-2</v>
      </c>
      <c r="L56" s="31">
        <v>9.0008369906126795</v>
      </c>
      <c r="M56" s="62">
        <f t="shared" si="3"/>
        <v>0.16614412734976033</v>
      </c>
      <c r="N56"/>
      <c r="O56" s="46" t="s">
        <v>544</v>
      </c>
      <c r="P56" s="24">
        <v>41436.538877314815</v>
      </c>
      <c r="Q56" s="31">
        <v>2.3741007194244603</v>
      </c>
      <c r="R56" s="31">
        <v>9.8192940355110903</v>
      </c>
      <c r="S56" s="31">
        <f>R56*$S$25</f>
        <v>0.17276490715914206</v>
      </c>
      <c r="T56" s="31">
        <v>192.17559709816001</v>
      </c>
      <c r="U56" s="31">
        <f>T56*$T$25</f>
        <v>3.6188175729227674</v>
      </c>
      <c r="V56" s="43">
        <v>274.99676254683999</v>
      </c>
      <c r="W56" s="43">
        <f>V56*$U$25</f>
        <v>5.9280006041825608</v>
      </c>
      <c r="X56" s="43">
        <v>160.72417540050901</v>
      </c>
      <c r="Y56" s="44">
        <f>X56*$V$25</f>
        <v>2.9667660789521428</v>
      </c>
    </row>
    <row r="57" spans="1:25">
      <c r="A57" s="14">
        <v>2345</v>
      </c>
      <c r="B57" s="15" t="s">
        <v>532</v>
      </c>
      <c r="C57" s="15" t="s">
        <v>536</v>
      </c>
      <c r="D57" s="24">
        <v>41436.773310185185</v>
      </c>
      <c r="E57" s="31">
        <v>0.79326923076923073</v>
      </c>
      <c r="F57" s="27">
        <v>0.44306922371284302</v>
      </c>
      <c r="G57" s="27">
        <f t="shared" si="0"/>
        <v>7.795551596987923E-3</v>
      </c>
      <c r="H57" s="43">
        <v>177.724815056578</v>
      </c>
      <c r="I57" s="43">
        <f t="shared" si="1"/>
        <v>3.346697986543429</v>
      </c>
      <c r="J57" s="31">
        <v>6.7079569737583302</v>
      </c>
      <c r="K57" s="31">
        <f t="shared" si="2"/>
        <v>0.14460087684303885</v>
      </c>
      <c r="L57" s="31">
        <v>3.7080387101750301</v>
      </c>
      <c r="M57" s="62">
        <f t="shared" si="3"/>
        <v>6.8445729694214349E-2</v>
      </c>
      <c r="N57"/>
      <c r="O57" s="37" t="s">
        <v>491</v>
      </c>
      <c r="P57" s="24"/>
      <c r="Q57" s="31"/>
      <c r="R57" s="43">
        <f t="shared" ref="R57:X57" si="11">R56/R51*100</f>
        <v>93.874703972381354</v>
      </c>
      <c r="S57" s="43"/>
      <c r="T57" s="43">
        <f t="shared" si="11"/>
        <v>97.087802919147222</v>
      </c>
      <c r="U57" s="43"/>
      <c r="V57" s="43">
        <f t="shared" si="11"/>
        <v>99.926149181264535</v>
      </c>
      <c r="W57" s="43"/>
      <c r="X57" s="43">
        <f t="shared" si="11"/>
        <v>88.748854445339049</v>
      </c>
      <c r="Y57" s="43"/>
    </row>
    <row r="58" spans="1:25">
      <c r="A58" s="14">
        <v>2345</v>
      </c>
      <c r="B58" s="15" t="s">
        <v>533</v>
      </c>
      <c r="C58" s="15" t="s">
        <v>537</v>
      </c>
      <c r="D58" s="24">
        <v>41436.776412037034</v>
      </c>
      <c r="E58" s="31">
        <v>0.95652173913043481</v>
      </c>
      <c r="F58" s="27">
        <v>0.15048337188295099</v>
      </c>
      <c r="G58" s="27">
        <f t="shared" si="0"/>
        <v>2.6476695451150608E-3</v>
      </c>
      <c r="H58" s="43">
        <v>159.61336288042199</v>
      </c>
      <c r="I58" s="43">
        <f t="shared" si="1"/>
        <v>3.0056451036805445</v>
      </c>
      <c r="J58" s="31">
        <v>6.5102131193285802</v>
      </c>
      <c r="K58" s="31">
        <f t="shared" si="2"/>
        <v>0.14033818779289672</v>
      </c>
      <c r="L58" s="31">
        <v>2.6841356188547998</v>
      </c>
      <c r="M58" s="62">
        <f t="shared" si="3"/>
        <v>4.9545766749041403E-2</v>
      </c>
      <c r="N58"/>
      <c r="O58" s="38"/>
      <c r="P58" s="39"/>
      <c r="Q58" s="40"/>
      <c r="R58" s="40"/>
      <c r="S58" s="40"/>
      <c r="T58" s="40"/>
      <c r="U58" s="40"/>
      <c r="V58" s="40"/>
      <c r="W58" s="40"/>
      <c r="X58" s="40"/>
      <c r="Y58" s="41"/>
    </row>
    <row r="59" spans="1:25" ht="25.5">
      <c r="A59" s="14">
        <v>2345</v>
      </c>
      <c r="B59" s="15" t="s">
        <v>534</v>
      </c>
      <c r="C59" s="15" t="s">
        <v>538</v>
      </c>
      <c r="D59" s="24">
        <v>41436.77952546296</v>
      </c>
      <c r="E59" s="31">
        <v>1.1205432937181665</v>
      </c>
      <c r="F59" s="27">
        <v>9.0885331186901203E-2</v>
      </c>
      <c r="G59" s="27">
        <f t="shared" si="0"/>
        <v>1.5990758345608084E-3</v>
      </c>
      <c r="H59" s="43">
        <v>63.246396322202401</v>
      </c>
      <c r="I59" s="43">
        <f t="shared" si="1"/>
        <v>1.1909793641380877</v>
      </c>
      <c r="J59" s="31">
        <v>4.3876266393344698</v>
      </c>
      <c r="K59" s="31">
        <f t="shared" si="2"/>
        <v>9.4582398454498159E-2</v>
      </c>
      <c r="L59" s="31">
        <v>2.5525351941896499</v>
      </c>
      <c r="M59" s="62">
        <f t="shared" si="3"/>
        <v>4.711658846954888E-2</v>
      </c>
      <c r="N59"/>
      <c r="O59" s="46" t="s">
        <v>545</v>
      </c>
      <c r="P59" s="24">
        <v>41436.545069444444</v>
      </c>
      <c r="Q59" s="31">
        <v>5.2799999999999994</v>
      </c>
      <c r="R59" s="31">
        <v>10.2163729840999</v>
      </c>
      <c r="S59" s="31">
        <f>R59*$S$25</f>
        <v>0.17975128595986861</v>
      </c>
      <c r="T59" s="31">
        <v>190.78283004045201</v>
      </c>
      <c r="U59" s="31">
        <f>T59*$T$25</f>
        <v>3.5925906742970946</v>
      </c>
      <c r="V59" s="43">
        <v>270.13402118338001</v>
      </c>
      <c r="W59" s="43">
        <f>V59*$U$25</f>
        <v>5.8231763383490156</v>
      </c>
      <c r="X59" s="43">
        <v>156.45702491309501</v>
      </c>
      <c r="Y59" s="44">
        <f>X59*$V$25</f>
        <v>2.8879998492402943</v>
      </c>
    </row>
    <row r="60" spans="1:25">
      <c r="A60" s="14">
        <v>2345</v>
      </c>
      <c r="B60" s="15" t="s">
        <v>535</v>
      </c>
      <c r="C60" s="15" t="s">
        <v>539</v>
      </c>
      <c r="D60" s="24">
        <v>41436.782627314817</v>
      </c>
      <c r="E60" s="31">
        <v>0.9579100145137881</v>
      </c>
      <c r="F60" s="27">
        <v>0.14976224581896</v>
      </c>
      <c r="G60" s="27">
        <f t="shared" si="0"/>
        <v>2.6349817411807979E-3</v>
      </c>
      <c r="H60" s="43">
        <v>43.731552276881402</v>
      </c>
      <c r="I60" s="43">
        <f t="shared" si="1"/>
        <v>0.8234995090970596</v>
      </c>
      <c r="J60" s="31">
        <v>6.0627741757648597</v>
      </c>
      <c r="K60" s="31">
        <f t="shared" si="2"/>
        <v>0.13069291668782779</v>
      </c>
      <c r="L60" s="31">
        <v>4.1496945086766699</v>
      </c>
      <c r="M60" s="62">
        <f t="shared" si="3"/>
        <v>7.6598140109773019E-2</v>
      </c>
      <c r="N60"/>
      <c r="O60" s="37" t="s">
        <v>491</v>
      </c>
      <c r="P60" s="24"/>
      <c r="Q60" s="31"/>
      <c r="R60" s="43">
        <f t="shared" ref="R60:X60" si="12">R59/R51*100</f>
        <v>97.670869828870934</v>
      </c>
      <c r="S60" s="43"/>
      <c r="T60" s="43">
        <f t="shared" si="12"/>
        <v>96.384171991740942</v>
      </c>
      <c r="U60" s="43"/>
      <c r="V60" s="43">
        <f t="shared" si="12"/>
        <v>98.15916467419332</v>
      </c>
      <c r="W60" s="43"/>
      <c r="X60" s="43">
        <f t="shared" si="12"/>
        <v>86.392614529594155</v>
      </c>
      <c r="Y60" s="43"/>
    </row>
    <row r="61" spans="1:25">
      <c r="A61" s="14">
        <v>2399</v>
      </c>
      <c r="B61" s="15" t="s">
        <v>532</v>
      </c>
      <c r="C61" s="15" t="s">
        <v>536</v>
      </c>
      <c r="D61" s="24">
        <v>41436.785740740743</v>
      </c>
      <c r="E61" s="31">
        <v>0.52215189873417722</v>
      </c>
      <c r="F61" s="27">
        <v>0.20692820693512501</v>
      </c>
      <c r="G61" s="27">
        <f t="shared" si="0"/>
        <v>3.6407843914711573E-3</v>
      </c>
      <c r="H61" s="43">
        <v>133.75139462325799</v>
      </c>
      <c r="I61" s="43">
        <f t="shared" si="1"/>
        <v>2.5186439099150744</v>
      </c>
      <c r="J61" s="31">
        <v>7.4472013623953401</v>
      </c>
      <c r="K61" s="31">
        <f t="shared" si="2"/>
        <v>0.16053648692765699</v>
      </c>
      <c r="L61" s="31">
        <v>14.213637262811</v>
      </c>
      <c r="M61" s="62">
        <f t="shared" si="3"/>
        <v>0.26236586241464899</v>
      </c>
      <c r="N61"/>
      <c r="O61" s="38"/>
      <c r="P61" s="39"/>
      <c r="Q61" s="40"/>
      <c r="R61" s="40"/>
      <c r="S61" s="40"/>
      <c r="T61" s="40"/>
      <c r="U61" s="40"/>
      <c r="V61" s="40"/>
      <c r="W61" s="40"/>
      <c r="X61" s="40"/>
      <c r="Y61" s="41"/>
    </row>
    <row r="62" spans="1:25" ht="25.5">
      <c r="A62" s="14">
        <v>2399</v>
      </c>
      <c r="B62" s="15" t="s">
        <v>533</v>
      </c>
      <c r="C62" s="15" t="s">
        <v>537</v>
      </c>
      <c r="D62" s="24">
        <v>41436.788854166669</v>
      </c>
      <c r="E62" s="31">
        <v>0.71583514099783074</v>
      </c>
      <c r="F62" s="27">
        <v>0.19717805912244599</v>
      </c>
      <c r="G62" s="27">
        <f t="shared" si="0"/>
        <v>3.4692360728696839E-3</v>
      </c>
      <c r="H62" s="43">
        <v>122.998416175221</v>
      </c>
      <c r="I62" s="43">
        <f t="shared" si="1"/>
        <v>2.316156872244314</v>
      </c>
      <c r="J62" s="31">
        <v>6.5160259737996897</v>
      </c>
      <c r="K62" s="31">
        <f t="shared" si="2"/>
        <v>0.14046349328557828</v>
      </c>
      <c r="L62" s="31">
        <v>11.1187027162409</v>
      </c>
      <c r="M62" s="62">
        <f t="shared" si="3"/>
        <v>0.20523726426529912</v>
      </c>
      <c r="N62"/>
      <c r="O62" s="46" t="s">
        <v>546</v>
      </c>
      <c r="P62" s="24">
        <v>41436.55128472222</v>
      </c>
      <c r="Q62" s="31">
        <v>3.1884057971014492</v>
      </c>
      <c r="R62" s="31">
        <v>9.7466447703629999</v>
      </c>
      <c r="S62" s="31">
        <f>R62*$S$25</f>
        <v>0.17148668455952354</v>
      </c>
      <c r="T62" s="31">
        <v>192.50657660473999</v>
      </c>
      <c r="U62" s="31">
        <f>T62*$T$25</f>
        <v>3.6250501772324455</v>
      </c>
      <c r="V62" s="43">
        <v>276.99652305992799</v>
      </c>
      <c r="W62" s="43">
        <f>V62*$U$25</f>
        <v>5.9711086808741438</v>
      </c>
      <c r="X62" s="43">
        <v>159.798705600695</v>
      </c>
      <c r="Y62" s="44">
        <f>X62*$V$25</f>
        <v>2.9496830707342383</v>
      </c>
    </row>
    <row r="63" spans="1:25">
      <c r="A63" s="14">
        <v>2399</v>
      </c>
      <c r="B63" s="15" t="s">
        <v>534</v>
      </c>
      <c r="C63" s="15" t="s">
        <v>538</v>
      </c>
      <c r="D63" s="24">
        <v>41436.791956018518</v>
      </c>
      <c r="E63" s="31">
        <v>0.74492099322799099</v>
      </c>
      <c r="F63" s="27">
        <v>0.17640860407416301</v>
      </c>
      <c r="G63" s="27">
        <f t="shared" si="0"/>
        <v>3.1038092957321544E-3</v>
      </c>
      <c r="H63" s="43">
        <v>99.525078063376199</v>
      </c>
      <c r="I63" s="43">
        <f t="shared" si="1"/>
        <v>1.8741354619457271</v>
      </c>
      <c r="J63" s="31">
        <v>4.3499945521954198</v>
      </c>
      <c r="K63" s="31">
        <f t="shared" si="2"/>
        <v>9.377117786691419E-2</v>
      </c>
      <c r="L63" s="31">
        <v>7.6189291139826603</v>
      </c>
      <c r="M63" s="62">
        <f t="shared" si="3"/>
        <v>0.14063584645544913</v>
      </c>
      <c r="N63"/>
      <c r="O63" s="47" t="s">
        <v>491</v>
      </c>
      <c r="P63" s="25"/>
      <c r="Q63" s="18"/>
      <c r="R63" s="42">
        <f t="shared" ref="R63:X63" si="13">R62/R51*100</f>
        <v>93.180160328518156</v>
      </c>
      <c r="S63" s="42"/>
      <c r="T63" s="42">
        <f t="shared" si="13"/>
        <v>97.255014956421135</v>
      </c>
      <c r="U63" s="42"/>
      <c r="V63" s="42">
        <f t="shared" si="13"/>
        <v>100.65280634445057</v>
      </c>
      <c r="W63" s="42"/>
      <c r="X63" s="42">
        <f t="shared" si="13"/>
        <v>88.237827499003316</v>
      </c>
      <c r="Y63" s="42"/>
    </row>
    <row r="64" spans="1:25">
      <c r="A64" s="14">
        <v>2399</v>
      </c>
      <c r="B64" s="15" t="s">
        <v>535</v>
      </c>
      <c r="C64" s="15" t="s">
        <v>539</v>
      </c>
      <c r="D64" s="24">
        <v>41436.795092592591</v>
      </c>
      <c r="E64" s="31">
        <v>0.48210372534696855</v>
      </c>
      <c r="F64" s="27">
        <v>0.16094004928750899</v>
      </c>
      <c r="G64" s="27">
        <f t="shared" si="0"/>
        <v>2.8316488510059176E-3</v>
      </c>
      <c r="H64" s="43">
        <v>38.5404223914217</v>
      </c>
      <c r="I64" s="43">
        <f t="shared" si="1"/>
        <v>0.72574645232767865</v>
      </c>
      <c r="J64" s="31">
        <v>2.9833074807704101</v>
      </c>
      <c r="K64" s="31">
        <f t="shared" si="2"/>
        <v>6.4310024542405531E-2</v>
      </c>
      <c r="L64" s="31">
        <v>9.9147654265991996</v>
      </c>
      <c r="M64" s="62">
        <f t="shared" si="3"/>
        <v>0.1830140965110145</v>
      </c>
      <c r="N64"/>
      <c r="O64"/>
    </row>
    <row r="65" spans="1:15">
      <c r="A65" s="14">
        <v>2405</v>
      </c>
      <c r="B65" s="15" t="s">
        <v>532</v>
      </c>
      <c r="C65" s="15" t="s">
        <v>536</v>
      </c>
      <c r="D65" s="24">
        <v>41436.80746527778</v>
      </c>
      <c r="E65" s="31">
        <v>0.81381011097410605</v>
      </c>
      <c r="F65" s="27">
        <v>0.28848611092535698</v>
      </c>
      <c r="G65" s="27">
        <f t="shared" si="0"/>
        <v>5.0757494368205962E-3</v>
      </c>
      <c r="H65" s="43">
        <v>182.62270941792099</v>
      </c>
      <c r="I65" s="43">
        <f t="shared" si="1"/>
        <v>3.438929187865488</v>
      </c>
      <c r="J65" s="31">
        <v>6.0488921673464899</v>
      </c>
      <c r="K65" s="31">
        <f t="shared" si="2"/>
        <v>0.13039366751293124</v>
      </c>
      <c r="L65" s="31">
        <v>209.23935903803999</v>
      </c>
      <c r="M65" s="62">
        <f t="shared" si="3"/>
        <v>3.8622953344066717</v>
      </c>
      <c r="N65"/>
      <c r="O65"/>
    </row>
    <row r="66" spans="1:15">
      <c r="A66" s="14">
        <v>2405</v>
      </c>
      <c r="B66" s="15" t="s">
        <v>533</v>
      </c>
      <c r="C66" s="15" t="s">
        <v>537</v>
      </c>
      <c r="D66" s="24">
        <v>41436.810578703706</v>
      </c>
      <c r="E66" s="31">
        <v>0.81081081081081074</v>
      </c>
      <c r="F66" s="27">
        <v>0.219601079312819</v>
      </c>
      <c r="G66" s="27">
        <f t="shared" si="0"/>
        <v>3.8637563904615102E-3</v>
      </c>
      <c r="H66" s="43">
        <v>99.786380415114195</v>
      </c>
      <c r="I66" s="43">
        <f t="shared" si="1"/>
        <v>1.8790559906527746</v>
      </c>
      <c r="J66" s="31">
        <v>6.1041482005564296</v>
      </c>
      <c r="K66" s="31">
        <f t="shared" si="2"/>
        <v>0.13158480080199117</v>
      </c>
      <c r="L66" s="31">
        <v>143.02451935278501</v>
      </c>
      <c r="M66" s="62">
        <f t="shared" si="3"/>
        <v>2.6400526953515984</v>
      </c>
      <c r="N66"/>
      <c r="O66"/>
    </row>
    <row r="67" spans="1:15">
      <c r="A67" s="14">
        <v>2405</v>
      </c>
      <c r="B67" s="15" t="s">
        <v>534</v>
      </c>
      <c r="C67" s="15" t="s">
        <v>538</v>
      </c>
      <c r="D67" s="24">
        <v>41436.813680555555</v>
      </c>
      <c r="E67" s="31">
        <v>0.86500655307994756</v>
      </c>
      <c r="F67" s="27">
        <v>0.17465645040321701</v>
      </c>
      <c r="G67" s="27">
        <f t="shared" si="0"/>
        <v>3.0729811460510474E-3</v>
      </c>
      <c r="H67" s="43">
        <v>68.053962898571697</v>
      </c>
      <c r="I67" s="43">
        <f t="shared" si="1"/>
        <v>1.2815096222575664</v>
      </c>
      <c r="J67" s="31">
        <v>3.98415815883016</v>
      </c>
      <c r="K67" s="31">
        <f t="shared" si="2"/>
        <v>8.5884981895673104E-2</v>
      </c>
      <c r="L67" s="31">
        <v>166.22633785484001</v>
      </c>
      <c r="M67" s="62">
        <f t="shared" si="3"/>
        <v>3.0683290758673012</v>
      </c>
      <c r="N67"/>
      <c r="O67"/>
    </row>
    <row r="68" spans="1:15">
      <c r="A68" s="14">
        <v>2405</v>
      </c>
      <c r="B68" s="15" t="s">
        <v>535</v>
      </c>
      <c r="C68" s="15" t="s">
        <v>539</v>
      </c>
      <c r="D68" s="24">
        <v>41436.816770833335</v>
      </c>
      <c r="E68" s="31">
        <v>0.68965517241379304</v>
      </c>
      <c r="F68" s="27">
        <v>0.20211246924508899</v>
      </c>
      <c r="G68" s="27">
        <f t="shared" si="0"/>
        <v>3.5560542192293451E-3</v>
      </c>
      <c r="H68" s="43">
        <v>52.516223517928701</v>
      </c>
      <c r="I68" s="43">
        <f t="shared" si="1"/>
        <v>0.98892177466813191</v>
      </c>
      <c r="J68" s="31">
        <v>3.5220826956734501</v>
      </c>
      <c r="K68" s="31">
        <f t="shared" si="2"/>
        <v>7.5924196905324898E-2</v>
      </c>
      <c r="L68" s="31">
        <v>204.800187274102</v>
      </c>
      <c r="M68" s="62">
        <f t="shared" si="3"/>
        <v>3.7803538083414421</v>
      </c>
      <c r="N68"/>
      <c r="O68"/>
    </row>
    <row r="69" spans="1:15">
      <c r="A69" s="14">
        <v>2413</v>
      </c>
      <c r="B69" s="15" t="s">
        <v>532</v>
      </c>
      <c r="C69" s="15" t="s">
        <v>536</v>
      </c>
      <c r="D69" s="24">
        <v>41436.819884259261</v>
      </c>
      <c r="E69" s="31">
        <v>0.76388888888888873</v>
      </c>
      <c r="F69" s="27">
        <v>0.40438081859499397</v>
      </c>
      <c r="G69" s="27">
        <f t="shared" si="0"/>
        <v>7.1148510604576954E-3</v>
      </c>
      <c r="H69" s="43">
        <v>127.94856809948401</v>
      </c>
      <c r="I69" s="43">
        <f t="shared" si="1"/>
        <v>2.4093721245586357</v>
      </c>
      <c r="J69" s="31">
        <v>6.4056183005241802</v>
      </c>
      <c r="K69" s="31">
        <f t="shared" si="2"/>
        <v>0.13808347707076146</v>
      </c>
      <c r="L69" s="31">
        <v>2.8526587357373701</v>
      </c>
      <c r="M69" s="62">
        <f t="shared" si="3"/>
        <v>5.2656491476299284E-2</v>
      </c>
      <c r="N69"/>
      <c r="O69"/>
    </row>
    <row r="70" spans="1:15">
      <c r="A70" s="14">
        <v>2413</v>
      </c>
      <c r="B70" s="15" t="s">
        <v>533</v>
      </c>
      <c r="C70" s="15" t="s">
        <v>537</v>
      </c>
      <c r="D70" s="24">
        <v>41436.822997685187</v>
      </c>
      <c r="E70" s="31">
        <v>1.0185185185185186</v>
      </c>
      <c r="F70" s="27">
        <v>0.44226253847924701</v>
      </c>
      <c r="G70" s="27">
        <f t="shared" ref="G70:G100" si="14">F70*$S$25</f>
        <v>7.7813584280101078E-3</v>
      </c>
      <c r="H70" s="43">
        <v>103.955406583147</v>
      </c>
      <c r="I70" s="43">
        <f t="shared" ref="I70:I100" si="15">H70*$T$25</f>
        <v>1.9575620308923467</v>
      </c>
      <c r="J70" s="31">
        <v>7.61492368210995</v>
      </c>
      <c r="K70" s="31">
        <f t="shared" ref="K70:K100" si="16">J70*$U$25</f>
        <v>0.16415201317383873</v>
      </c>
      <c r="L70" s="31">
        <v>2.3475825609947298</v>
      </c>
      <c r="M70" s="62">
        <f t="shared" ref="M70:M100" si="17">L70*$V$25</f>
        <v>4.3333420701293625E-2</v>
      </c>
      <c r="N70"/>
      <c r="O70"/>
    </row>
    <row r="71" spans="1:15">
      <c r="A71" s="14">
        <v>2413</v>
      </c>
      <c r="B71" s="15" t="s">
        <v>534</v>
      </c>
      <c r="C71" s="15" t="s">
        <v>538</v>
      </c>
      <c r="D71" s="24">
        <v>41436.826099537036</v>
      </c>
      <c r="E71" s="31">
        <v>2.0183486238532109</v>
      </c>
      <c r="F71" s="27">
        <v>0.33260024824486101</v>
      </c>
      <c r="G71" s="27">
        <f t="shared" si="14"/>
        <v>5.8519126529181439E-3</v>
      </c>
      <c r="H71" s="43">
        <v>55.672480845417702</v>
      </c>
      <c r="I71" s="43">
        <f t="shared" si="15"/>
        <v>1.0483565814482525</v>
      </c>
      <c r="J71" s="31">
        <v>5.0212446725709903</v>
      </c>
      <c r="K71" s="31">
        <f t="shared" si="16"/>
        <v>0.10824106137496541</v>
      </c>
      <c r="L71" s="31">
        <v>4.4794748047433597</v>
      </c>
      <c r="M71" s="62">
        <f t="shared" si="17"/>
        <v>8.2685469495283437E-2</v>
      </c>
      <c r="N71"/>
      <c r="O71"/>
    </row>
    <row r="72" spans="1:15">
      <c r="A72" s="14">
        <v>2413</v>
      </c>
      <c r="B72" s="15" t="s">
        <v>535</v>
      </c>
      <c r="C72" s="15" t="s">
        <v>539</v>
      </c>
      <c r="D72" s="24">
        <v>41436.829212962963</v>
      </c>
      <c r="E72" s="31">
        <v>0.78106508875739644</v>
      </c>
      <c r="F72" s="27">
        <v>0.32180181578463901</v>
      </c>
      <c r="G72" s="27">
        <f t="shared" si="14"/>
        <v>5.6619203607322002E-3</v>
      </c>
      <c r="H72" s="43">
        <v>46.4133762583226</v>
      </c>
      <c r="I72" s="43">
        <f t="shared" si="15"/>
        <v>0.87400036299355066</v>
      </c>
      <c r="J72" s="31">
        <v>2.5732190716137899</v>
      </c>
      <c r="K72" s="31">
        <f t="shared" si="16"/>
        <v>5.5469904699777785E-2</v>
      </c>
      <c r="L72" s="31">
        <v>3.0349299559064198</v>
      </c>
      <c r="M72" s="62">
        <f t="shared" si="17"/>
        <v>5.6020988894433445E-2</v>
      </c>
      <c r="N72"/>
      <c r="O72"/>
    </row>
    <row r="73" spans="1:15">
      <c r="A73" s="14">
        <v>2426</v>
      </c>
      <c r="B73" s="15" t="s">
        <v>532</v>
      </c>
      <c r="C73" s="15" t="s">
        <v>536</v>
      </c>
      <c r="D73" s="24">
        <v>41436.832326388889</v>
      </c>
      <c r="E73" s="31">
        <v>0.85051546391752586</v>
      </c>
      <c r="F73" s="27">
        <v>0.168615919497655</v>
      </c>
      <c r="G73" s="27">
        <f t="shared" si="14"/>
        <v>2.9667014321207753E-3</v>
      </c>
      <c r="H73" s="43">
        <v>166.32897315788301</v>
      </c>
      <c r="I73" s="43">
        <f t="shared" si="15"/>
        <v>3.1321053247072719</v>
      </c>
      <c r="J73" s="31">
        <v>6.1788531958069903</v>
      </c>
      <c r="K73" s="31">
        <f t="shared" si="16"/>
        <v>0.13319518796756863</v>
      </c>
      <c r="L73" s="31">
        <v>11.5128302553988</v>
      </c>
      <c r="M73" s="62">
        <f t="shared" si="17"/>
        <v>0.2125123628062672</v>
      </c>
      <c r="N73"/>
      <c r="O73"/>
    </row>
    <row r="74" spans="1:15">
      <c r="A74" s="14">
        <v>2426</v>
      </c>
      <c r="B74" s="15" t="s">
        <v>533</v>
      </c>
      <c r="C74" s="15" t="s">
        <v>537</v>
      </c>
      <c r="D74" s="24">
        <v>41436.835428240738</v>
      </c>
      <c r="E74" s="31">
        <v>0.59891107078039929</v>
      </c>
      <c r="F74" s="27">
        <v>0.16232888428671599</v>
      </c>
      <c r="G74" s="27">
        <f t="shared" si="14"/>
        <v>2.8560846148021359E-3</v>
      </c>
      <c r="H74" s="43">
        <v>151.235229861232</v>
      </c>
      <c r="I74" s="43">
        <f t="shared" si="15"/>
        <v>2.8478782724285887</v>
      </c>
      <c r="J74" s="31">
        <v>5.1777490774707102</v>
      </c>
      <c r="K74" s="31">
        <f t="shared" si="16"/>
        <v>0.11161476729866605</v>
      </c>
      <c r="L74" s="31">
        <v>8.5889042192493701</v>
      </c>
      <c r="M74" s="62">
        <f t="shared" si="17"/>
        <v>0.15854036662214085</v>
      </c>
      <c r="N74"/>
      <c r="O74"/>
    </row>
    <row r="75" spans="1:15">
      <c r="A75" s="14">
        <v>2426</v>
      </c>
      <c r="B75" s="15" t="s">
        <v>534</v>
      </c>
      <c r="C75" s="15" t="s">
        <v>538</v>
      </c>
      <c r="D75" s="24">
        <v>41436.838553240741</v>
      </c>
      <c r="E75" s="31">
        <v>1.0138248847926268</v>
      </c>
      <c r="F75" s="27">
        <v>0.15197495681794901</v>
      </c>
      <c r="G75" s="27">
        <f t="shared" si="14"/>
        <v>2.6739131357319591E-3</v>
      </c>
      <c r="H75" s="43">
        <v>63.758822181208799</v>
      </c>
      <c r="I75" s="43">
        <f t="shared" si="15"/>
        <v>1.2006287459086837</v>
      </c>
      <c r="J75" s="31">
        <v>3.7314555700496399</v>
      </c>
      <c r="K75" s="31">
        <f t="shared" si="16"/>
        <v>8.043756831488863E-2</v>
      </c>
      <c r="L75" s="31">
        <v>7.2569594900029504</v>
      </c>
      <c r="M75" s="62">
        <f t="shared" si="17"/>
        <v>0.1339543425724268</v>
      </c>
      <c r="N75"/>
      <c r="O75"/>
    </row>
    <row r="76" spans="1:15">
      <c r="A76" s="14">
        <v>2426</v>
      </c>
      <c r="B76" s="15" t="s">
        <v>535</v>
      </c>
      <c r="C76" s="15" t="s">
        <v>539</v>
      </c>
      <c r="D76" s="24">
        <v>41436.841666666667</v>
      </c>
      <c r="E76" s="31">
        <v>1.0344827586206897</v>
      </c>
      <c r="F76" s="27">
        <v>0.15593916539113201</v>
      </c>
      <c r="G76" s="27">
        <f t="shared" si="14"/>
        <v>2.7436611363141406E-3</v>
      </c>
      <c r="H76" s="43">
        <v>40.613671591746701</v>
      </c>
      <c r="I76" s="43">
        <f t="shared" si="15"/>
        <v>0.76478736466241137</v>
      </c>
      <c r="J76" s="31">
        <v>6.6648244049607701</v>
      </c>
      <c r="K76" s="31">
        <f t="shared" si="16"/>
        <v>0.143671084464671</v>
      </c>
      <c r="L76" s="31">
        <v>13.388294155910399</v>
      </c>
      <c r="M76" s="62">
        <f t="shared" si="17"/>
        <v>0.24713106698360696</v>
      </c>
      <c r="N76"/>
      <c r="O76"/>
    </row>
    <row r="77" spans="1:15">
      <c r="A77" s="14">
        <v>2430</v>
      </c>
      <c r="B77" s="15" t="s">
        <v>532</v>
      </c>
      <c r="C77" s="15" t="s">
        <v>536</v>
      </c>
      <c r="D77" s="24">
        <v>41436.854050925926</v>
      </c>
      <c r="E77" s="31">
        <v>0.76477404403244498</v>
      </c>
      <c r="F77" s="27">
        <v>7.1599370987697794E-2</v>
      </c>
      <c r="G77" s="27">
        <f t="shared" si="14"/>
        <v>1.2597503075686982E-3</v>
      </c>
      <c r="H77" s="43">
        <v>150.110757625448</v>
      </c>
      <c r="I77" s="43">
        <f t="shared" si="15"/>
        <v>2.8267035762207224</v>
      </c>
      <c r="J77" s="31">
        <v>6.5988688652955796</v>
      </c>
      <c r="K77" s="31">
        <f t="shared" si="16"/>
        <v>0.14224930598494132</v>
      </c>
      <c r="L77" s="31">
        <v>7.10717257766313</v>
      </c>
      <c r="M77" s="62">
        <f t="shared" si="17"/>
        <v>0.13118946460995848</v>
      </c>
      <c r="N77"/>
      <c r="O77"/>
    </row>
    <row r="78" spans="1:15">
      <c r="A78" s="14">
        <v>2430</v>
      </c>
      <c r="B78" s="15" t="s">
        <v>533</v>
      </c>
      <c r="C78" s="15" t="s">
        <v>537</v>
      </c>
      <c r="D78" s="24">
        <v>41436.857175925928</v>
      </c>
      <c r="E78" s="31">
        <v>0.88829071332436083</v>
      </c>
      <c r="F78" s="27">
        <v>0.112175578524195</v>
      </c>
      <c r="G78" s="27">
        <f t="shared" si="14"/>
        <v>1.9736656565297445E-3</v>
      </c>
      <c r="H78" s="43">
        <v>130.20596812200299</v>
      </c>
      <c r="I78" s="43">
        <f t="shared" si="15"/>
        <v>2.4518807416461388</v>
      </c>
      <c r="J78" s="31">
        <v>7.5386465815300001</v>
      </c>
      <c r="K78" s="31">
        <f t="shared" si="16"/>
        <v>0.16250773673168889</v>
      </c>
      <c r="L78" s="31">
        <v>8.4424746395388706</v>
      </c>
      <c r="M78" s="62">
        <f t="shared" si="17"/>
        <v>0.15583746079631974</v>
      </c>
      <c r="N78"/>
      <c r="O78"/>
    </row>
    <row r="79" spans="1:15">
      <c r="A79" s="14">
        <v>2430</v>
      </c>
      <c r="B79" s="15" t="s">
        <v>534</v>
      </c>
      <c r="C79" s="15" t="s">
        <v>538</v>
      </c>
      <c r="D79" s="24">
        <v>41436.860289351855</v>
      </c>
      <c r="E79" s="31">
        <v>0.859375</v>
      </c>
      <c r="F79" s="27">
        <v>1.2520384129821001</v>
      </c>
      <c r="G79" s="27">
        <f t="shared" si="14"/>
        <v>2.2028905478974521E-2</v>
      </c>
      <c r="H79" s="43">
        <v>107.555184284813</v>
      </c>
      <c r="I79" s="43">
        <f t="shared" si="15"/>
        <v>2.0253486749934213</v>
      </c>
      <c r="J79" s="31">
        <v>10.717606869849501</v>
      </c>
      <c r="K79" s="31">
        <f t="shared" si="16"/>
        <v>0.23103537442204367</v>
      </c>
      <c r="L79" s="31">
        <v>13.3521257239824</v>
      </c>
      <c r="M79" s="62">
        <f t="shared" si="17"/>
        <v>0.24646344323188765</v>
      </c>
      <c r="N79"/>
      <c r="O79"/>
    </row>
    <row r="80" spans="1:15">
      <c r="A80" s="14">
        <v>2430</v>
      </c>
      <c r="B80" s="15" t="s">
        <v>535</v>
      </c>
      <c r="C80" s="15" t="s">
        <v>539</v>
      </c>
      <c r="D80" s="24">
        <v>41436.863402777781</v>
      </c>
      <c r="E80" s="31">
        <v>1.0443037974683544</v>
      </c>
      <c r="F80" s="27">
        <v>0.109645990669373</v>
      </c>
      <c r="G80" s="27">
        <f t="shared" si="14"/>
        <v>1.9291589934938137E-3</v>
      </c>
      <c r="H80" s="43">
        <v>54.267740687743</v>
      </c>
      <c r="I80" s="43">
        <f t="shared" si="15"/>
        <v>1.021904219937509</v>
      </c>
      <c r="J80" s="31">
        <v>9.5569514451938904</v>
      </c>
      <c r="K80" s="31">
        <f t="shared" si="16"/>
        <v>0.20601556693454898</v>
      </c>
      <c r="L80" s="31">
        <v>13.635026309611501</v>
      </c>
      <c r="M80" s="62">
        <f t="shared" si="17"/>
        <v>0.25168543213970851</v>
      </c>
      <c r="N80"/>
      <c r="O80"/>
    </row>
    <row r="81" spans="1:15">
      <c r="A81" s="14">
        <v>2436</v>
      </c>
      <c r="B81" s="15" t="s">
        <v>532</v>
      </c>
      <c r="C81" s="15" t="s">
        <v>536</v>
      </c>
      <c r="D81" s="24">
        <v>41436.866527777776</v>
      </c>
      <c r="E81" s="31">
        <v>1.1498257839721255</v>
      </c>
      <c r="F81" s="27">
        <v>0.286615016133346</v>
      </c>
      <c r="G81" s="27">
        <f t="shared" si="14"/>
        <v>5.0428285856006739E-3</v>
      </c>
      <c r="H81" s="43">
        <v>247.278098106286</v>
      </c>
      <c r="I81" s="43">
        <f t="shared" si="15"/>
        <v>4.6564409859430365</v>
      </c>
      <c r="J81" s="31">
        <v>7.3864243904826701</v>
      </c>
      <c r="K81" s="31">
        <f t="shared" si="16"/>
        <v>0.15922634086309256</v>
      </c>
      <c r="L81" s="31">
        <v>15.172404907122701</v>
      </c>
      <c r="M81" s="62">
        <f t="shared" si="17"/>
        <v>0.28006350695165</v>
      </c>
      <c r="N81"/>
      <c r="O81"/>
    </row>
    <row r="82" spans="1:15">
      <c r="A82" s="14">
        <v>2436</v>
      </c>
      <c r="B82" s="15" t="s">
        <v>533</v>
      </c>
      <c r="C82" s="15" t="s">
        <v>537</v>
      </c>
      <c r="D82" s="24">
        <v>41436.869629629633</v>
      </c>
      <c r="E82" s="31">
        <v>1.083743842364532</v>
      </c>
      <c r="F82" s="27">
        <v>0.14348141616528401</v>
      </c>
      <c r="G82" s="27">
        <f t="shared" si="14"/>
        <v>2.5244741071212135E-3</v>
      </c>
      <c r="H82" s="43">
        <v>145.22598725356801</v>
      </c>
      <c r="I82" s="43">
        <f t="shared" si="15"/>
        <v>2.7347195099377246</v>
      </c>
      <c r="J82" s="31">
        <v>5.3561077883236203</v>
      </c>
      <c r="K82" s="31">
        <f t="shared" si="16"/>
        <v>0.11545957818263848</v>
      </c>
      <c r="L82" s="31">
        <v>11.5108085207267</v>
      </c>
      <c r="M82" s="62">
        <f t="shared" si="17"/>
        <v>0.21247504412766216</v>
      </c>
      <c r="N82"/>
      <c r="O82"/>
    </row>
    <row r="83" spans="1:15">
      <c r="A83" s="14">
        <v>2436</v>
      </c>
      <c r="B83" s="15" t="s">
        <v>534</v>
      </c>
      <c r="C83" s="15" t="s">
        <v>538</v>
      </c>
      <c r="D83" s="24">
        <v>41436.872754629629</v>
      </c>
      <c r="E83" s="31">
        <v>1.1092436974789917</v>
      </c>
      <c r="F83" s="27">
        <v>0.13399069917567799</v>
      </c>
      <c r="G83" s="27">
        <f t="shared" si="14"/>
        <v>2.3574903266525564E-3</v>
      </c>
      <c r="H83" s="43">
        <v>90.602126905380302</v>
      </c>
      <c r="I83" s="43">
        <f t="shared" si="15"/>
        <v>1.7061092768292387</v>
      </c>
      <c r="J83" s="31">
        <v>4.6020202015702703</v>
      </c>
      <c r="K83" s="31">
        <f t="shared" si="16"/>
        <v>9.9203998922431674E-2</v>
      </c>
      <c r="L83" s="31">
        <v>7.4386364490487402</v>
      </c>
      <c r="M83" s="62">
        <f t="shared" si="17"/>
        <v>0.13730787067783537</v>
      </c>
      <c r="N83"/>
      <c r="O83"/>
    </row>
    <row r="84" spans="1:15">
      <c r="A84" s="14">
        <v>2436</v>
      </c>
      <c r="B84" s="15" t="s">
        <v>535</v>
      </c>
      <c r="C84" s="15" t="s">
        <v>539</v>
      </c>
      <c r="D84" s="24">
        <v>41436.875879629632</v>
      </c>
      <c r="E84" s="31">
        <v>0.57996485061511427</v>
      </c>
      <c r="F84" s="27">
        <v>0.12792896383438601</v>
      </c>
      <c r="G84" s="27">
        <f t="shared" si="14"/>
        <v>2.2508375327068572E-3</v>
      </c>
      <c r="H84" s="43">
        <v>47.052152183891799</v>
      </c>
      <c r="I84" s="43">
        <f t="shared" si="15"/>
        <v>0.88602901584810168</v>
      </c>
      <c r="J84" s="31">
        <v>5.0815023263359897</v>
      </c>
      <c r="K84" s="31">
        <f t="shared" si="16"/>
        <v>0.10954001269576395</v>
      </c>
      <c r="L84" s="31">
        <v>10.824649631522</v>
      </c>
      <c r="M84" s="62">
        <f t="shared" si="17"/>
        <v>0.19980941425467458</v>
      </c>
      <c r="N84"/>
      <c r="O84"/>
    </row>
    <row r="85" spans="1:15">
      <c r="A85" s="14">
        <v>2460</v>
      </c>
      <c r="B85" s="15" t="s">
        <v>532</v>
      </c>
      <c r="C85" s="15" t="s">
        <v>536</v>
      </c>
      <c r="D85" s="24">
        <v>41436.879004629627</v>
      </c>
      <c r="E85" s="31">
        <v>0.8741721854304636</v>
      </c>
      <c r="F85" s="27">
        <v>0.56235208364207101</v>
      </c>
      <c r="G85" s="27">
        <f t="shared" si="14"/>
        <v>9.8942658372196939E-3</v>
      </c>
      <c r="H85" s="43">
        <v>175.370135134956</v>
      </c>
      <c r="I85" s="43">
        <f t="shared" si="15"/>
        <v>3.3023575124788596</v>
      </c>
      <c r="J85" s="31">
        <v>8.0125313994629099</v>
      </c>
      <c r="K85" s="31">
        <f t="shared" si="16"/>
        <v>0.17272309149078627</v>
      </c>
      <c r="L85" s="31">
        <v>13.711726897513699</v>
      </c>
      <c r="M85" s="62">
        <f t="shared" si="17"/>
        <v>0.25310122849925981</v>
      </c>
      <c r="N85"/>
      <c r="O85"/>
    </row>
    <row r="86" spans="1:15">
      <c r="A86" s="14">
        <v>2460</v>
      </c>
      <c r="B86" s="15" t="s">
        <v>533</v>
      </c>
      <c r="C86" s="15" t="s">
        <v>537</v>
      </c>
      <c r="D86" s="24">
        <v>41436.88212962963</v>
      </c>
      <c r="E86" s="31">
        <v>0.90163934426229497</v>
      </c>
      <c r="F86" s="27">
        <v>0.29138404428359599</v>
      </c>
      <c r="G86" s="27">
        <f t="shared" si="14"/>
        <v>5.1267369299926027E-3</v>
      </c>
      <c r="H86" s="43">
        <v>124.668104236605</v>
      </c>
      <c r="I86" s="43">
        <f t="shared" si="15"/>
        <v>2.3475984110716888</v>
      </c>
      <c r="J86" s="31">
        <v>9.3471147991555306</v>
      </c>
      <c r="K86" s="31">
        <f t="shared" si="16"/>
        <v>0.20149219817567798</v>
      </c>
      <c r="L86" s="31">
        <v>9.7416371809306899</v>
      </c>
      <c r="M86" s="62">
        <f t="shared" si="17"/>
        <v>0.17981836689984734</v>
      </c>
      <c r="N86"/>
      <c r="O86"/>
    </row>
    <row r="87" spans="1:15">
      <c r="A87" s="14">
        <v>2460</v>
      </c>
      <c r="B87" s="15" t="s">
        <v>534</v>
      </c>
      <c r="C87" s="15" t="s">
        <v>538</v>
      </c>
      <c r="D87" s="24">
        <v>41436.885254629633</v>
      </c>
      <c r="E87" s="31">
        <v>1.0766721044045677</v>
      </c>
      <c r="F87" s="27">
        <v>0.18732904781812201</v>
      </c>
      <c r="G87" s="27">
        <f t="shared" si="14"/>
        <v>3.2959483072271404E-3</v>
      </c>
      <c r="H87" s="43">
        <v>48.988221882888702</v>
      </c>
      <c r="I87" s="43">
        <f t="shared" si="15"/>
        <v>0.92248673032864825</v>
      </c>
      <c r="J87" s="31">
        <v>5.1150078236280603</v>
      </c>
      <c r="K87" s="31">
        <f t="shared" si="16"/>
        <v>0.11026227795573042</v>
      </c>
      <c r="L87" s="31">
        <v>6.20187510981106</v>
      </c>
      <c r="M87" s="62">
        <f t="shared" si="17"/>
        <v>0.11447881226228258</v>
      </c>
      <c r="N87"/>
      <c r="O87"/>
    </row>
    <row r="88" spans="1:15">
      <c r="A88" s="14">
        <v>2460</v>
      </c>
      <c r="B88" s="15" t="s">
        <v>535</v>
      </c>
      <c r="C88" s="15" t="s">
        <v>539</v>
      </c>
      <c r="D88" s="24">
        <v>41436.888379629629</v>
      </c>
      <c r="E88" s="31">
        <v>0.7534246575342467</v>
      </c>
      <c r="F88" s="27">
        <v>0.18840901616746</v>
      </c>
      <c r="G88" s="27">
        <f t="shared" si="14"/>
        <v>3.3149497375675931E-3</v>
      </c>
      <c r="H88" s="43">
        <v>39.610673440056999</v>
      </c>
      <c r="I88" s="43">
        <f t="shared" si="15"/>
        <v>0.74590012095534608</v>
      </c>
      <c r="J88" s="31">
        <v>8.5173554133818907</v>
      </c>
      <c r="K88" s="31">
        <f t="shared" si="16"/>
        <v>0.18360539072879223</v>
      </c>
      <c r="L88" s="31">
        <v>11.247995148131601</v>
      </c>
      <c r="M88" s="62">
        <f t="shared" si="17"/>
        <v>0.20762383990174407</v>
      </c>
      <c r="N88"/>
      <c r="O88"/>
    </row>
    <row r="89" spans="1:15">
      <c r="A89" s="14">
        <v>2462</v>
      </c>
      <c r="B89" s="15" t="s">
        <v>532</v>
      </c>
      <c r="C89" s="15" t="s">
        <v>536</v>
      </c>
      <c r="D89" s="24">
        <v>41436.900775462964</v>
      </c>
      <c r="E89" s="31">
        <v>0.8098159509202455</v>
      </c>
      <c r="F89" s="27">
        <v>0.19254713802307399</v>
      </c>
      <c r="G89" s="27">
        <f t="shared" si="14"/>
        <v>3.3877576436770222E-3</v>
      </c>
      <c r="H89" s="43">
        <v>119.84177507714099</v>
      </c>
      <c r="I89" s="43">
        <f t="shared" si="15"/>
        <v>2.256714838762262</v>
      </c>
      <c r="J89" s="31">
        <v>5.7364928108967899</v>
      </c>
      <c r="K89" s="31">
        <f t="shared" si="16"/>
        <v>0.1236593934195603</v>
      </c>
      <c r="L89" s="31">
        <v>12.2726425782996</v>
      </c>
      <c r="M89" s="62">
        <f t="shared" si="17"/>
        <v>0.22653754240563184</v>
      </c>
      <c r="N89"/>
      <c r="O89"/>
    </row>
    <row r="90" spans="1:15">
      <c r="A90" s="14">
        <v>2462</v>
      </c>
      <c r="B90" s="15" t="s">
        <v>533</v>
      </c>
      <c r="C90" s="15" t="s">
        <v>537</v>
      </c>
      <c r="D90" s="24">
        <v>41436.903900462959</v>
      </c>
      <c r="E90" s="31">
        <v>1.1578947368421053</v>
      </c>
      <c r="F90" s="27">
        <v>0.19319634370973299</v>
      </c>
      <c r="G90" s="27">
        <f t="shared" si="14"/>
        <v>3.399180049379225E-3</v>
      </c>
      <c r="H90" s="43">
        <v>115.02921794489799</v>
      </c>
      <c r="I90" s="43">
        <f t="shared" si="15"/>
        <v>2.1660906045523372</v>
      </c>
      <c r="J90" s="31">
        <v>6.45264279302536</v>
      </c>
      <c r="K90" s="31">
        <f t="shared" si="16"/>
        <v>0.13909716616795906</v>
      </c>
      <c r="L90" s="31">
        <v>10.7432065269444</v>
      </c>
      <c r="M90" s="62">
        <f t="shared" si="17"/>
        <v>0.19830607700361527</v>
      </c>
      <c r="N90"/>
      <c r="O90"/>
    </row>
    <row r="91" spans="1:15">
      <c r="A91" s="14">
        <v>2462</v>
      </c>
      <c r="B91" s="15" t="s">
        <v>534</v>
      </c>
      <c r="C91" s="15" t="s">
        <v>538</v>
      </c>
      <c r="D91" s="24">
        <v>41436.907013888886</v>
      </c>
      <c r="E91" s="31">
        <v>0.86842105263157887</v>
      </c>
      <c r="F91" s="27">
        <v>0.12287276466470901</v>
      </c>
      <c r="G91" s="27">
        <f t="shared" si="14"/>
        <v>2.1618765771668482E-3</v>
      </c>
      <c r="H91" s="43">
        <v>48.551739848393801</v>
      </c>
      <c r="I91" s="43">
        <f t="shared" si="15"/>
        <v>0.91426743047712544</v>
      </c>
      <c r="J91" s="31">
        <v>3.70716345718726</v>
      </c>
      <c r="K91" s="31">
        <f t="shared" si="16"/>
        <v>7.9913912478392982E-2</v>
      </c>
      <c r="L91" s="31">
        <v>6.6149753998004703</v>
      </c>
      <c r="M91" s="62">
        <f t="shared" si="17"/>
        <v>0.12210412391494387</v>
      </c>
      <c r="N91"/>
      <c r="O91"/>
    </row>
    <row r="92" spans="1:15">
      <c r="A92" s="14">
        <v>2462</v>
      </c>
      <c r="B92" s="15" t="s">
        <v>535</v>
      </c>
      <c r="C92" s="15" t="s">
        <v>539</v>
      </c>
      <c r="D92" s="24">
        <v>41436.910138888888</v>
      </c>
      <c r="E92" s="31">
        <v>0.70138150903294372</v>
      </c>
      <c r="F92" s="27">
        <v>0.163209909775057</v>
      </c>
      <c r="G92" s="27">
        <f t="shared" si="14"/>
        <v>2.8715857583820727E-3</v>
      </c>
      <c r="H92" s="43">
        <v>30.2585192740158</v>
      </c>
      <c r="I92" s="43">
        <f t="shared" si="15"/>
        <v>0.56979170577781468</v>
      </c>
      <c r="J92" s="31">
        <v>4.0264817897128999</v>
      </c>
      <c r="K92" s="31">
        <f t="shared" si="16"/>
        <v>8.6797336307123121E-2</v>
      </c>
      <c r="L92" s="31">
        <v>11.225877699771999</v>
      </c>
      <c r="M92" s="62">
        <f t="shared" si="17"/>
        <v>0.20721557962986692</v>
      </c>
      <c r="N92"/>
      <c r="O92"/>
    </row>
    <row r="93" spans="1:15">
      <c r="A93" s="14">
        <v>2529</v>
      </c>
      <c r="B93" s="15" t="s">
        <v>532</v>
      </c>
      <c r="C93" s="15" t="s">
        <v>536</v>
      </c>
      <c r="D93" s="24">
        <v>41436.913252314815</v>
      </c>
      <c r="E93" s="31">
        <v>1.0076335877862594</v>
      </c>
      <c r="F93" s="27">
        <v>1.13795750832769</v>
      </c>
      <c r="G93" s="27">
        <f t="shared" si="14"/>
        <v>2.0021716690251764E-2</v>
      </c>
      <c r="H93" s="43">
        <v>197.361309191918</v>
      </c>
      <c r="I93" s="43">
        <f t="shared" si="15"/>
        <v>3.7164686084151879</v>
      </c>
      <c r="J93" s="31">
        <v>5.9837608719027697</v>
      </c>
      <c r="K93" s="31">
        <f t="shared" si="16"/>
        <v>0.12898965695234946</v>
      </c>
      <c r="L93" s="31">
        <v>15.570619465835801</v>
      </c>
      <c r="M93" s="62">
        <f t="shared" si="17"/>
        <v>0.28741404673193482</v>
      </c>
      <c r="N93"/>
      <c r="O93"/>
    </row>
    <row r="94" spans="1:15">
      <c r="A94" s="14">
        <v>2529</v>
      </c>
      <c r="B94" s="15" t="s">
        <v>533</v>
      </c>
      <c r="C94" s="15" t="s">
        <v>537</v>
      </c>
      <c r="D94" s="24">
        <v>41436.916377314818</v>
      </c>
      <c r="E94" s="31">
        <v>0.86387434554973819</v>
      </c>
      <c r="F94" s="27">
        <v>0.40315976011397298</v>
      </c>
      <c r="G94" s="27">
        <f t="shared" si="14"/>
        <v>7.0933672293037892E-3</v>
      </c>
      <c r="H94" s="43">
        <v>118.85847846385499</v>
      </c>
      <c r="I94" s="43">
        <f t="shared" si="15"/>
        <v>2.2381985905117765</v>
      </c>
      <c r="J94" s="31">
        <v>5.6692723343644698</v>
      </c>
      <c r="K94" s="31">
        <f t="shared" si="16"/>
        <v>0.12221034717695531</v>
      </c>
      <c r="L94" s="31">
        <v>10.6626828115199</v>
      </c>
      <c r="M94" s="62">
        <f t="shared" si="17"/>
        <v>0.19681971051968528</v>
      </c>
      <c r="N94"/>
      <c r="O94"/>
    </row>
    <row r="95" spans="1:15">
      <c r="A95" s="14">
        <v>2529</v>
      </c>
      <c r="B95" s="15" t="s">
        <v>534</v>
      </c>
      <c r="C95" s="15" t="s">
        <v>538</v>
      </c>
      <c r="D95" s="24">
        <v>41436.919490740744</v>
      </c>
      <c r="E95" s="31">
        <v>0.8527131782945736</v>
      </c>
      <c r="F95" s="27">
        <v>0.31182543396250501</v>
      </c>
      <c r="G95" s="27">
        <f t="shared" si="14"/>
        <v>5.4863915830978905E-3</v>
      </c>
      <c r="H95" s="43">
        <v>81.372889877096199</v>
      </c>
      <c r="I95" s="43">
        <f t="shared" si="15"/>
        <v>1.532315487987441</v>
      </c>
      <c r="J95" s="31">
        <v>4.3314351887270597</v>
      </c>
      <c r="K95" s="31">
        <f t="shared" si="16"/>
        <v>9.3371100728424444E-2</v>
      </c>
      <c r="L95" s="31">
        <v>8.9412159333751404</v>
      </c>
      <c r="M95" s="62">
        <f t="shared" si="17"/>
        <v>0.1650435976393865</v>
      </c>
      <c r="N95"/>
      <c r="O95"/>
    </row>
    <row r="96" spans="1:15">
      <c r="A96" s="14">
        <v>2529</v>
      </c>
      <c r="B96" s="15" t="s">
        <v>535</v>
      </c>
      <c r="C96" s="15" t="s">
        <v>539</v>
      </c>
      <c r="D96" s="24">
        <v>41436.922627314816</v>
      </c>
      <c r="E96" s="31">
        <v>0.89430894308943087</v>
      </c>
      <c r="F96" s="27">
        <v>0.25927895267894702</v>
      </c>
      <c r="G96" s="27">
        <f t="shared" si="14"/>
        <v>4.5618660594031538E-3</v>
      </c>
      <c r="H96" s="43">
        <v>30.331467238186899</v>
      </c>
      <c r="I96" s="43">
        <f t="shared" si="15"/>
        <v>0.57116537329147132</v>
      </c>
      <c r="J96" s="31">
        <v>3.5829481720635998</v>
      </c>
      <c r="K96" s="31">
        <f t="shared" si="16"/>
        <v>7.7236250827244113E-2</v>
      </c>
      <c r="L96" s="31">
        <v>20.065947523286201</v>
      </c>
      <c r="M96" s="62">
        <f t="shared" si="17"/>
        <v>0.37039214732801629</v>
      </c>
      <c r="N96"/>
      <c r="O96"/>
    </row>
    <row r="97" spans="1:15">
      <c r="A97" s="14">
        <v>2530</v>
      </c>
      <c r="B97" s="15" t="s">
        <v>532</v>
      </c>
      <c r="C97" s="15" t="s">
        <v>536</v>
      </c>
      <c r="D97" s="24">
        <v>41436.925752314812</v>
      </c>
      <c r="E97" s="31">
        <v>1.1827956989247312</v>
      </c>
      <c r="F97" s="27">
        <v>8.9940714884685996E-2</v>
      </c>
      <c r="G97" s="27">
        <f t="shared" si="14"/>
        <v>1.5824558466917184E-3</v>
      </c>
      <c r="H97" s="43">
        <v>162.103742199518</v>
      </c>
      <c r="I97" s="43">
        <f t="shared" si="15"/>
        <v>3.0525409040801379</v>
      </c>
      <c r="J97" s="31">
        <v>6.0362068024926598</v>
      </c>
      <c r="K97" s="31">
        <f t="shared" si="16"/>
        <v>0.13012021392816414</v>
      </c>
      <c r="L97" s="31">
        <v>3.10439781386797</v>
      </c>
      <c r="M97" s="62">
        <f t="shared" si="17"/>
        <v>5.7303278158411464E-2</v>
      </c>
      <c r="N97"/>
      <c r="O97"/>
    </row>
    <row r="98" spans="1:15">
      <c r="A98" s="14">
        <v>2530</v>
      </c>
      <c r="B98" s="15" t="s">
        <v>533</v>
      </c>
      <c r="C98" s="15" t="s">
        <v>537</v>
      </c>
      <c r="D98" s="24">
        <v>41436.928865740738</v>
      </c>
      <c r="E98" s="31">
        <v>0.81081081081081074</v>
      </c>
      <c r="F98" s="27">
        <v>8.2005557601254706E-2</v>
      </c>
      <c r="G98" s="27">
        <f t="shared" si="14"/>
        <v>1.4428412566399966E-3</v>
      </c>
      <c r="H98" s="43">
        <v>71.8528934180638</v>
      </c>
      <c r="I98" s="43">
        <f t="shared" si="15"/>
        <v>1.3530464704830389</v>
      </c>
      <c r="J98" s="31">
        <v>4.9578926889879398</v>
      </c>
      <c r="K98" s="31">
        <f t="shared" si="16"/>
        <v>0.1068754067633315</v>
      </c>
      <c r="L98" s="31">
        <v>2.1923106243972401</v>
      </c>
      <c r="M98" s="62">
        <f t="shared" si="17"/>
        <v>4.046729609145984E-2</v>
      </c>
      <c r="N98"/>
      <c r="O98"/>
    </row>
    <row r="99" spans="1:15">
      <c r="A99" s="14">
        <v>2530</v>
      </c>
      <c r="B99" s="15" t="s">
        <v>534</v>
      </c>
      <c r="C99" s="15" t="s">
        <v>538</v>
      </c>
      <c r="D99" s="24">
        <v>41436.931979166664</v>
      </c>
      <c r="E99" s="31">
        <v>1.8282548476454292</v>
      </c>
      <c r="F99" s="27">
        <v>0.17517978118844499</v>
      </c>
      <c r="G99" s="27">
        <f t="shared" si="14"/>
        <v>3.082188854283071E-3</v>
      </c>
      <c r="H99" s="43">
        <v>48.319188060851602</v>
      </c>
      <c r="I99" s="43">
        <f t="shared" si="15"/>
        <v>0.90988829749624822</v>
      </c>
      <c r="J99" s="31">
        <v>4.7973317401936004</v>
      </c>
      <c r="K99" s="31">
        <f t="shared" si="16"/>
        <v>0.1034142554659636</v>
      </c>
      <c r="L99" s="31">
        <v>3.85298045975631</v>
      </c>
      <c r="M99" s="62">
        <f t="shared" si="17"/>
        <v>7.1121172047613757E-2</v>
      </c>
      <c r="N99"/>
      <c r="O99"/>
    </row>
    <row r="100" spans="1:15">
      <c r="A100" s="17">
        <v>2530</v>
      </c>
      <c r="B100" s="18" t="s">
        <v>535</v>
      </c>
      <c r="C100" s="18" t="s">
        <v>539</v>
      </c>
      <c r="D100" s="25">
        <v>41436.935104166667</v>
      </c>
      <c r="E100" s="32">
        <v>1.7232375979112273</v>
      </c>
      <c r="F100" s="29">
        <v>9.7955189583041294E-2</v>
      </c>
      <c r="G100" s="29">
        <f t="shared" si="14"/>
        <v>1.7234659816549064E-3</v>
      </c>
      <c r="H100" s="42">
        <v>31.2484746641546</v>
      </c>
      <c r="I100" s="42">
        <f t="shared" si="15"/>
        <v>0.58843334403126069</v>
      </c>
      <c r="J100" s="32">
        <v>4.8206766788225304</v>
      </c>
      <c r="K100" s="32">
        <f t="shared" si="16"/>
        <v>0.10391749342780444</v>
      </c>
      <c r="L100" s="32">
        <v>2.1836276489183701</v>
      </c>
      <c r="M100" s="63">
        <f t="shared" si="17"/>
        <v>4.0307019287731387E-2</v>
      </c>
      <c r="N100"/>
      <c r="O100"/>
    </row>
    <row r="101" spans="1:15">
      <c r="G101" s="11"/>
      <c r="H101" s="59"/>
      <c r="I101" s="59"/>
      <c r="J101" s="61"/>
      <c r="K101" s="61"/>
      <c r="L101" s="57"/>
      <c r="M101" s="57"/>
      <c r="N101" s="57"/>
      <c r="O101" s="57"/>
    </row>
    <row r="102" spans="1:15">
      <c r="G102" s="11"/>
      <c r="H102" s="59"/>
      <c r="I102" s="59"/>
      <c r="J102" s="61"/>
      <c r="K102" s="61"/>
      <c r="L102" s="57"/>
      <c r="M102" s="57"/>
      <c r="N102" s="57"/>
      <c r="O102" s="57"/>
    </row>
    <row r="108" spans="1:15">
      <c r="G108" s="11"/>
      <c r="H108" s="59"/>
      <c r="I108" s="59"/>
      <c r="J108" s="61"/>
      <c r="K108" s="61"/>
      <c r="L108" s="57"/>
      <c r="M108" s="57"/>
      <c r="N108" s="57"/>
      <c r="O108" s="57"/>
    </row>
    <row r="120" spans="6:15">
      <c r="F120" s="11"/>
      <c r="G120" s="11"/>
      <c r="H120" s="59"/>
      <c r="I120" s="59"/>
      <c r="J120" s="61"/>
      <c r="K120" s="61"/>
      <c r="L120" s="57"/>
      <c r="M120" s="57"/>
      <c r="N120" s="57"/>
      <c r="O120" s="57"/>
    </row>
  </sheetData>
  <pageMargins left="0.7" right="0.7" top="0.75" bottom="0.75" header="0.3" footer="0.3"/>
  <pageSetup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06_11_13</vt:lpstr>
      <vt:lpstr>Stability</vt:lpstr>
      <vt:lpstr>Results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 Admin</dc:creator>
  <cp:lastModifiedBy>Local Admin</cp:lastModifiedBy>
  <dcterms:created xsi:type="dcterms:W3CDTF">2013-06-13T17:17:05Z</dcterms:created>
  <dcterms:modified xsi:type="dcterms:W3CDTF">2013-06-13T22:26:18Z</dcterms:modified>
</cp:coreProperties>
</file>