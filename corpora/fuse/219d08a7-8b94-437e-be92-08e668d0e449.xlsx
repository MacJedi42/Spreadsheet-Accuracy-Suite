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rimary Layout" sheetId="1" r:id="rId4"/>
  </sheets>
  <definedNames>
    <definedName name="_xlnm.Print_Area" localSheetId="0">'Primary Layout'!$A$1:$AG$31</definedName>
  </definedNames>
  <calcPr calcId="124519" calcMode="auto" fullCalcOnLoad="0"/>
</workbook>
</file>

<file path=xl/sharedStrings.xml><?xml version="1.0" encoding="utf-8"?>
<sst xmlns="http://schemas.openxmlformats.org/spreadsheetml/2006/main" uniqueCount="86">
  <si>
    <t>ID:</t>
  </si>
  <si>
    <t>82165880</t>
  </si>
  <si>
    <t>Notes/Supplemental Information:</t>
  </si>
  <si>
    <t>REIT Name:</t>
  </si>
  <si>
    <t>Plum Creek Timber Company, Inc.</t>
  </si>
  <si>
    <t>Tax Year:</t>
  </si>
  <si>
    <t>Report Date (mm/dd/yyyy):</t>
  </si>
  <si>
    <t>TARGET DELIVERY DATE: JANUARY 17, 2014</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</si>
  <si>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</si>
  <si>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</si>
  <si>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</si>
  <si>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</si>
  <si>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</si>
  <si>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</si>
  <si>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</si>
  <si>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</si>
  <si>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</si>
  <si>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</si>
  <si>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</si>
  <si>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</si>
  <si>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</si>
  <si>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</si>
  <si>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</si>
  <si>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</si>
  <si>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</si>
  <si>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</si>
  <si>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</si>
  <si>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</si>
  <si>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</si>
  <si>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</si>
  <si>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</si>
  <si>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</si>
  <si>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</si>
  <si>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</si>
  <si>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</si>
  <si>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</si>
  <si>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</si>
  <si>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</si>
  <si>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</si>
  <si>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</si>
  <si>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</si>
  <si>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</si>
  <si>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</si>
  <si>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</si>
  <si>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</si>
  <si>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</si>
  <si>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</si>
  <si>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</si>
  <si>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</si>
  <si>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</si>
  <si>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</si>
  <si>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</si>
  <si>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</si>
  <si>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</si>
  <si>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</si>
  <si>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</si>
  <si>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</si>
  <si>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</si>
  <si>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</si>
  <si>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</si>
  <si>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</si>
  <si>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</si>
  <si>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</si>
  <si>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</si>
  <si>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</si>
  <si>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</si>
  <si>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</si>
  <si>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</si>
  <si>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</si>
  <si>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</si>
  <si>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</si>
  <si>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</si>
  <si>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</si>
  <si>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</si>
  <si>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</si>
  <si>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</si>
  <si>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</si>
  <si>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</si>
  <si>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</si>
  <si>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</si>
  <si>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</si>
  <si>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</si>
  <si>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</si>
  <si>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Plum Creek Timber Company, Inc. - Common</t>
  </si>
  <si>
    <t>729251108</t>
  </si>
  <si>
    <t>PCL</t>
  </si>
</sst>
</file>

<file path=xl/styles.xml><?xml version="1.0" encoding="utf-8"?>
<styleSheet xmlns="http://schemas.openxmlformats.org/spreadsheetml/2006/main" xml:space="preserve">
  <numFmts count="1">
    <numFmt numFmtId="164" formatCode="_(&quot;$&quot;* #,##0.000000_);_(&quot;$&quot;* \(#,##0.000000\);_(&quot;$&quot;* &quot;-&quot;??_);_(@_)"/>
  </numFmts>
  <fonts count="9">
    <font>
      <b val="0"/>
      <i val="0"/>
      <strike val="0"/>
      <u val="none"/>
      <sz val="11"/>
      <color rgb="FF000000"/>
      <name val="Calibri"/>
    </font>
    <font>
      <b val="0"/>
      <i val="0"/>
      <strike val="0"/>
      <u val="none"/>
      <sz val="8"/>
      <color rgb="FF000000"/>
      <name val="Arial"/>
    </font>
    <font>
      <b val="1"/>
      <i val="0"/>
      <strike val="0"/>
      <u val="none"/>
      <sz val="9"/>
      <color rgb="FF000000"/>
      <name val="Arial"/>
    </font>
    <font>
      <b val="1"/>
      <i val="0"/>
      <strike val="0"/>
      <u val="none"/>
      <sz val="8"/>
      <color rgb="FF000000"/>
      <name val="Arial"/>
    </font>
    <font>
      <b val="0"/>
      <i val="1"/>
      <strike val="0"/>
      <u val="none"/>
      <sz val="8"/>
      <color rgb="FF000000"/>
      <name val="Arial"/>
    </font>
    <font>
      <b val="0"/>
      <i val="0"/>
      <strike val="1"/>
      <u val="single"/>
      <sz val="8"/>
      <color rgb="FF000000"/>
      <name val="Arial"/>
    </font>
    <font>
      <b val="1"/>
      <i val="0"/>
      <strike val="0"/>
      <u val="none"/>
      <sz val="8"/>
      <color rgb="FFFABF8F"/>
      <name val="Arial"/>
    </font>
    <font>
      <b val="0"/>
      <i val="0"/>
      <strike val="0"/>
      <u val="none"/>
      <sz val="8"/>
      <color rgb="FFA5A5A5"/>
      <name val="Arial"/>
    </font>
    <font>
      <b val="1"/>
      <i val="0"/>
      <strike val="0"/>
      <u val="single"/>
      <sz val="8"/>
      <color rgb="FF000000"/>
      <name val="Arial"/>
    </font>
  </fonts>
  <fills count="7">
    <fill>
      <patternFill patternType="none"/>
    </fill>
    <fill>
      <patternFill patternType="gray125">
        <fgColor rgb="FFFFFFFF"/>
        <bgColor rgb="FF000000"/>
      </patternFill>
    </fill>
    <fill>
      <patternFill patternType="none"/>
    </fill>
    <fill>
      <patternFill patternType="solid">
        <fgColor rgb="FFC0C0C0"/>
        <bgColor rgb="FFFFFFFF"/>
      </patternFill>
    </fill>
    <fill>
      <patternFill patternType="solid">
        <fgColor rgb="FFFFFFCC"/>
        <bgColor rgb="FFFFFFFF"/>
      </patternFill>
    </fill>
    <fill>
      <patternFill patternType="solid">
        <fgColor rgb="FFFFCC99"/>
        <bgColor rgb="FFFFFFFF"/>
      </patternFill>
    </fill>
    <fill>
      <patternFill patternType="solid">
        <fgColor rgb="FFFFFFFF"/>
        <bgColor rgb="FFFFFFFF"/>
      </patternFill>
    </fill>
  </fills>
  <borders count="40">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left style="thin">
        <color rgb="FF000000"/>
      </left>
      <top style="thin">
        <color rgb="FFC0C0C0"/>
      </top>
      <bottom style="thin">
        <color rgb="FFC0C0C0"/>
      </bottom>
    </border>
    <border>
      <top style="thin">
        <color rgb="FFC0C0C0"/>
      </top>
      <bottom style="thin">
        <color rgb="FFC0C0C0"/>
      </bottom>
    </border>
    <border>
      <right style="thin">
        <color rgb="FF000000"/>
      </right>
      <top style="thin">
        <color rgb="FFC0C0C0"/>
      </top>
      <bottom style="thin">
        <color rgb="FFC0C0C0"/>
      </bottom>
    </border>
    <border>
      <left style="thin">
        <color rgb="FF000000"/>
      </left>
      <top style="thin">
        <color rgb="FFC0C0C0"/>
      </top>
      <bottom style="thin">
        <color rgb="FF000000"/>
      </bottom>
    </border>
    <border>
      <top style="thin">
        <color rgb="FFC0C0C0"/>
      </top>
      <bottom style="thin">
        <color rgb="FF000000"/>
      </bottom>
    </border>
    <border>
      <right style="thin">
        <color rgb="FF000000"/>
      </right>
      <top style="thin">
        <color rgb="FFC0C0C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CCCCFF"/>
      </right>
      <top style="thin">
        <color rgb="FF000000"/>
      </top>
      <bottom style="thin">
        <color rgb="FFCCCCFF"/>
      </bottom>
    </border>
    <border>
      <left style="thin">
        <color rgb="FFCCCCFF"/>
      </left>
      <right style="thin">
        <color rgb="FFCCCCFF"/>
      </right>
      <top style="thin">
        <color rgb="FF000000"/>
      </top>
      <bottom style="thin">
        <color rgb="FFCCCCFF"/>
      </bottom>
    </border>
    <border>
      <left style="thin">
        <color rgb="FFCCCCFF"/>
      </left>
      <right style="thin">
        <color rgb="FFCCCCFF"/>
      </right>
      <top style="thin">
        <color rgb="FFCCCCFF"/>
      </top>
      <bottom style="thin">
        <color rgb="FFCCCCFF"/>
      </bottom>
    </border>
    <border>
      <left style="thin">
        <color rgb="FFCCCCFF"/>
      </left>
      <top style="thin">
        <color rgb="FF000000"/>
      </top>
      <bottom style="thin">
        <color rgb="FFCCCCFF"/>
      </bottom>
    </border>
    <border>
      <left style="thin">
        <color rgb="FF969696"/>
      </left>
      <right style="thin">
        <color rgb="FF969696"/>
      </right>
      <bottom style="thin">
        <color rgb="FF969696"/>
      </bottom>
    </border>
    <border>
      <right style="thin">
        <color rgb="FFCCCCFF"/>
      </right>
      <top style="thin">
        <color rgb="FF000000"/>
      </top>
      <bottom style="thin">
        <color rgb="FFCCCCFF"/>
      </bottom>
    </border>
    <border>
      <left style="thin">
        <color rgb="FF969696"/>
      </left>
      <right style="thin">
        <color rgb="FF969696"/>
      </right>
      <top style="thin">
        <color rgb="FF000000"/>
      </top>
      <bottom style="thin">
        <color rgb="FF969696"/>
      </bottom>
    </border>
    <border>
      <left style="thin">
        <color rgb="FF000000"/>
      </left>
      <right style="thin">
        <color rgb="FFCCCCFF"/>
      </right>
      <bottom style="thin">
        <color rgb="FFCCCCFF"/>
      </bottom>
    </border>
    <border>
      <left style="thin">
        <color rgb="FFCCCCFF"/>
      </left>
      <right style="thin">
        <color rgb="FFCCCCFF"/>
      </right>
      <bottom style="thin">
        <color rgb="FFCCCCFF"/>
      </bottom>
    </border>
    <border>
      <left style="thin">
        <color rgb="FFCCCCFF"/>
      </left>
      <bottom style="thin">
        <color rgb="FFCCCCFF"/>
      </bottom>
    </border>
    <border>
      <right style="thin">
        <color rgb="FFCCCCFF"/>
      </right>
      <bottom style="thin">
        <color rgb="FFCCCCFF"/>
      </bottom>
    </border>
    <border>
      <left style="thin">
        <color rgb="FFCCCCFF"/>
      </left>
      <top style="thin">
        <color rgb="FFCCCCFF"/>
      </top>
      <bottom style="thin">
        <color rgb="FFCCCCFF"/>
      </bottom>
    </border>
    <border>
      <left style="thin">
        <color rgb="FF969696"/>
      </left>
      <right style="thin">
        <color rgb="FF969696"/>
      </right>
      <top style="thin">
        <color rgb="FF969696"/>
      </top>
      <bottom style="thin">
        <color rgb="FF969696"/>
      </bottom>
    </border>
    <border>
      <right style="thin">
        <color rgb="FFCCCCFF"/>
      </right>
      <top style="thin">
        <color rgb="FFCCCCFF"/>
      </top>
      <bottom style="thin">
        <color rgb="FFCCCCFF"/>
      </bottom>
    </border>
    <border>
      <left style="thin">
        <color rgb="FF000000"/>
      </left>
      <right style="thin">
        <color rgb="FFCCCCFF"/>
      </right>
      <top style="thin">
        <color rgb="FFCCCCFF"/>
      </top>
      <bottom style="thin">
        <color rgb="FFCCCCFF"/>
      </bottom>
    </border>
    <border>
      <top style="thin">
        <color rgb="FF000000"/>
      </top>
    </border>
  </borders>
  <cellStyleXfs count="1">
    <xf numFmtId="0" fontId="0" fillId="0" borderId="0"/>
  </cellStyleXfs>
  <cellXfs count="103">
    <xf xfId="0" fontId="0" numFmtId="0" fillId="2" borderId="0" applyFont="0" applyNumberFormat="0" applyFill="0" applyBorder="0" applyAlignment="0">
      <alignment horizontal="general" vertical="bottom" textRotation="0" wrapText="false" shrinkToFit="false"/>
    </xf>
    <xf xfId="0" fontId="1" numFmtId="0" fillId="3" borderId="0" applyFont="1"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right" vertical="bottom" textRotation="0" wrapText="false" shrinkToFit="false" indent="1"/>
    </xf>
    <xf xfId="0" fontId="3" numFmtId="0" fillId="4" borderId="1" applyFont="1" applyNumberFormat="0" applyFill="1" applyBorder="1" applyAlignment="1">
      <alignment horizontal="left" vertical="bottom" textRotation="0" wrapText="false" shrinkToFit="false"/>
    </xf>
    <xf xfId="0" fontId="1" numFmtId="0" fillId="4" borderId="2" applyFont="1" applyNumberFormat="0" applyFill="1" applyBorder="1" applyAlignment="0">
      <alignment horizontal="general" vertical="bottom" textRotation="0" wrapText="false" shrinkToFit="false"/>
    </xf>
    <xf xfId="0" fontId="1" numFmtId="0" fillId="4" borderId="3"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right" vertical="bottom" textRotation="0" wrapText="false" shrinkToFit="false" indent="1"/>
    </xf>
    <xf xfId="0" fontId="3" numFmtId="0" fillId="4" borderId="4" applyFont="1" applyNumberFormat="0" applyFill="1" applyBorder="1" applyAlignment="1">
      <alignment horizontal="left" vertical="bottom" textRotation="0" wrapText="false" shrinkToFit="false"/>
    </xf>
    <xf xfId="0" fontId="1" numFmtId="0" fillId="4" borderId="5" applyFont="1" applyNumberFormat="0" applyFill="1" applyBorder="1" applyAlignment="1">
      <alignment horizontal="center" vertical="bottom" textRotation="0" wrapText="false" shrinkToFit="false"/>
    </xf>
    <xf xfId="0" fontId="1" numFmtId="0" fillId="4" borderId="5" applyFont="1" applyNumberFormat="0" applyFill="1" applyBorder="1" applyAlignment="0">
      <alignment horizontal="general" vertical="bottom" textRotation="0" wrapText="false" shrinkToFit="false"/>
    </xf>
    <xf xfId="0" fontId="1" numFmtId="0" fillId="4" borderId="6" applyFont="1" applyNumberFormat="0" applyFill="1" applyBorder="1" applyAlignment="0">
      <alignment horizontal="general" vertical="bottom" textRotation="0" wrapText="false" shrinkToFit="false"/>
    </xf>
    <xf xfId="0" fontId="1" numFmtId="0" fillId="3" borderId="0" applyFont="1" applyNumberFormat="0" applyFill="1" applyBorder="0" applyAlignment="1">
      <alignment horizontal="center" vertical="bottom" textRotation="0" wrapText="false" shrinkToFit="false"/>
    </xf>
    <xf xfId="0" fontId="3" numFmtId="0" fillId="4" borderId="7" applyFont="1" applyNumberFormat="0" applyFill="1" applyBorder="1" applyAlignment="1">
      <alignment horizontal="left" vertical="bottom" textRotation="0" wrapText="false" shrinkToFit="false"/>
    </xf>
    <xf xfId="0" fontId="1" numFmtId="0" fillId="4" borderId="8" applyFont="1" applyNumberFormat="0" applyFill="1" applyBorder="1" applyAlignment="0">
      <alignment horizontal="general" vertical="bottom" textRotation="0" wrapText="false" shrinkToFit="false"/>
    </xf>
    <xf xfId="0" fontId="1" numFmtId="0" fillId="4" borderId="9"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left"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4" numFmtId="0" fillId="3" borderId="0" applyFont="1" applyNumberFormat="0" applyFill="1" applyBorder="0" applyAlignment="1">
      <alignment horizontal="general" vertical="top" textRotation="0" wrapText="true" shrinkToFit="false"/>
    </xf>
    <xf xfId="0" fontId="1" numFmtId="0" fillId="3" borderId="0" applyFont="1" applyNumberFormat="0" applyFill="1" applyBorder="0" applyAlignment="1">
      <alignment horizontal="general" vertical="bottom" textRotation="0" wrapText="true" shrinkToFit="false"/>
    </xf>
    <xf xfId="0" fontId="1" numFmtId="0" fillId="3" borderId="10" applyFont="1" applyNumberFormat="0" applyFill="1" applyBorder="1" applyAlignment="0">
      <alignment horizontal="general" vertical="bottom" textRotation="0" wrapText="false" shrinkToFit="false"/>
    </xf>
    <xf xfId="0" fontId="5" numFmtId="0" fillId="3" borderId="0" applyFont="1" applyNumberFormat="0" applyFill="1" applyBorder="0" applyAlignment="1">
      <alignment horizontal="center" vertical="bottom" textRotation="0" wrapText="false" shrinkToFit="false"/>
    </xf>
    <xf xfId="0" fontId="1" numFmtId="0" fillId="5" borderId="11" applyFont="1" applyNumberFormat="0" applyFill="1" applyBorder="1" applyAlignment="1">
      <alignment horizontal="center" vertical="bottom" textRotation="0" wrapText="false" shrinkToFit="false"/>
    </xf>
    <xf xfId="0" fontId="1" numFmtId="0" fillId="5" borderId="12"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3" numFmtId="0" fillId="4" borderId="14" applyFont="1" applyNumberFormat="0" applyFill="1" applyBorder="1" applyAlignment="0">
      <alignment horizontal="general" vertical="bottom" textRotation="0" wrapText="false" shrinkToFit="false"/>
    </xf>
    <xf xfId="0" fontId="3" numFmtId="0" fillId="4" borderId="15"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1" numFmtId="0" fillId="4" borderId="12"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3" numFmtId="0" fillId="4" borderId="11"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1" numFmtId="0" fillId="4" borderId="15" applyFont="1" applyNumberFormat="0" applyFill="1" applyBorder="1" applyAlignment="0">
      <alignment horizontal="general"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0">
      <alignment horizontal="general" vertical="bottom" textRotation="0" wrapText="false" shrinkToFit="false"/>
    </xf>
    <xf xfId="0" fontId="3" numFmtId="0" fillId="4" borderId="22"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1" numFmtId="0" fillId="4" borderId="15" applyFont="1" applyNumberFormat="0" applyFill="1" applyBorder="1" applyAlignment="1">
      <alignment horizontal="left" vertical="bottom" textRotation="0" wrapText="false" shrinkToFit="false"/>
    </xf>
    <xf xfId="0" fontId="3" numFmtId="0" fillId="4" borderId="13" applyFont="1" applyNumberFormat="0" applyFill="1" applyBorder="1" applyAlignment="1">
      <alignment horizontal="center" vertical="bottom" textRotation="0" wrapText="false" shrinkToFit="false"/>
    </xf>
    <xf xfId="0" fontId="3" numFmtId="0" fillId="3" borderId="13"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3" numFmtId="49" fillId="4" borderId="19" applyFont="1" applyNumberFormat="1" applyFill="1" applyBorder="1" applyAlignment="1">
      <alignment horizontal="center" vertical="bottom" textRotation="0" wrapText="false" shrinkToFit="false"/>
    </xf>
    <xf xfId="0" fontId="3" numFmtId="49" fillId="4" borderId="20" applyFont="1" applyNumberFormat="1" applyFill="1" applyBorder="1" applyAlignment="1">
      <alignment horizontal="center" vertical="bottom" textRotation="0" wrapText="false" shrinkToFit="false"/>
    </xf>
    <xf xfId="0" fontId="1" numFmtId="0" fillId="4" borderId="20" applyFont="1" applyNumberFormat="0" applyFill="1" applyBorder="1" applyAlignment="0">
      <alignment horizontal="general" vertical="bottom" textRotation="0" wrapText="false" shrinkToFit="false"/>
    </xf>
    <xf xfId="0" fontId="3" numFmtId="0" fillId="4" borderId="23" applyFont="1" applyNumberFormat="0" applyFill="1" applyBorder="1" applyAlignment="1">
      <alignment horizontal="center" vertical="bottom" textRotation="0" wrapText="false" shrinkToFit="false"/>
    </xf>
    <xf xfId="0" fontId="3" numFmtId="9" fillId="4" borderId="20" applyFont="1" applyNumberFormat="1" applyFill="1" applyBorder="1" applyAlignment="1">
      <alignment horizontal="center" vertical="bottom" textRotation="0" wrapText="false" shrinkToFit="false"/>
    </xf>
    <xf xfId="0" fontId="1" numFmtId="49" fillId="2" borderId="24" applyFont="1" applyNumberFormat="1" applyFill="0" applyBorder="1" applyAlignment="0" applyProtection="true">
      <alignment horizontal="general" vertical="bottom" textRotation="0" wrapText="false" shrinkToFit="false"/>
      <protection locked="false"/>
    </xf>
    <xf xfId="0" fontId="1" numFmtId="49" fillId="2" borderId="25" applyFont="1" applyNumberFormat="1" applyFill="0" applyBorder="1" applyAlignment="0" applyProtection="true">
      <alignment horizontal="general" vertical="bottom" textRotation="0" wrapText="false" shrinkToFit="false"/>
      <protection locked="false"/>
    </xf>
    <xf xfId="0" fontId="1" numFmtId="0" fillId="2" borderId="25" applyFont="1" applyNumberFormat="0" applyFill="0" applyBorder="1" applyAlignment="0" applyProtection="true">
      <alignment horizontal="general" vertical="bottom" textRotation="0" wrapText="false" shrinkToFit="false"/>
      <protection locked="false"/>
    </xf>
    <xf xfId="0" fontId="1" numFmtId="164" fillId="2" borderId="25" applyFont="1" applyNumberFormat="1" applyFill="0" applyBorder="1" applyAlignment="0" applyProtection="true">
      <alignment horizontal="general"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164" fillId="2" borderId="27" applyFont="1" applyNumberFormat="1" applyFill="0" applyBorder="1" applyAlignment="0" applyProtection="true">
      <alignment horizontal="general" vertical="bottom" textRotation="0" wrapText="false" shrinkToFit="false"/>
      <protection locked="false"/>
    </xf>
    <xf xfId="0" fontId="1" numFmtId="0" fillId="3" borderId="28" applyFont="1" applyNumberFormat="0" applyFill="1" applyBorder="1" applyAlignment="0">
      <alignment horizontal="general" vertical="bottom" textRotation="0" wrapText="false" shrinkToFit="false"/>
    </xf>
    <xf xfId="0" fontId="1" numFmtId="164" fillId="2" borderId="29"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pplyProtection="true">
      <alignment horizontal="general" vertical="bottom" textRotation="0" wrapText="false" shrinkToFit="false"/>
      <protection locked="false"/>
    </xf>
    <xf xfId="0" fontId="1" numFmtId="0" fillId="3" borderId="0" applyFont="1" applyNumberFormat="0" applyFill="1" applyBorder="0" applyAlignment="0">
      <alignment horizontal="general" vertical="bottom" textRotation="0" wrapText="false" shrinkToFit="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0" fillId="2" borderId="32" applyFont="1" applyNumberFormat="0" applyFill="0" applyBorder="1" applyAlignment="1" applyProtection="true">
      <alignment horizontal="center" vertical="bottom" textRotation="0" wrapText="false" shrinkToFit="false"/>
      <protection locked="false"/>
    </xf>
    <xf xfId="0" fontId="1" numFmtId="14"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3"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xf xfId="0" fontId="1" numFmtId="0" fillId="2" borderId="33" applyFont="1" applyNumberFormat="0" applyFill="0" applyBorder="1" applyAlignment="0" applyProtection="true">
      <alignment horizontal="general" vertical="bottom" textRotation="0" wrapText="false" shrinkToFit="false"/>
      <protection locked="false"/>
    </xf>
    <xf xfId="0" fontId="1" numFmtId="164" fillId="2" borderId="35" applyFont="1" applyNumberFormat="1" applyFill="0" applyBorder="1" applyAlignment="0" applyProtection="true">
      <alignment horizontal="general" vertical="bottom" textRotation="0" wrapText="false" shrinkToFit="false"/>
      <protection locked="false"/>
    </xf>
    <xf xfId="0" fontId="1" numFmtId="0" fillId="3" borderId="36" applyFont="1" applyNumberFormat="0" applyFill="1" applyBorder="1" applyAlignment="0">
      <alignment horizontal="general" vertical="bottom" textRotation="0" wrapText="false" shrinkToFit="false"/>
    </xf>
    <xf xfId="0" fontId="1" numFmtId="164" fillId="2" borderId="37" applyFont="1" applyNumberFormat="1" applyFill="0" applyBorder="1" applyAlignment="0" applyProtection="true">
      <alignment horizontal="general" vertical="bottom" textRotation="0" wrapText="false" shrinkToFit="false"/>
      <protection locked="false"/>
    </xf>
    <xf xfId="0" fontId="1" numFmtId="0" fillId="2" borderId="35" applyFont="1" applyNumberFormat="0" applyFill="0" applyBorder="1" applyAlignment="0" applyProtection="true">
      <alignment horizontal="general" vertical="bottom" textRotation="0" wrapText="false" shrinkToFit="false"/>
      <protection locked="false"/>
    </xf>
    <xf xfId="0" fontId="1" numFmtId="49" fillId="2" borderId="38" applyFont="1" applyNumberFormat="1" applyFill="0" applyBorder="1" applyAlignment="0" applyProtection="true">
      <alignment horizontal="general" vertical="bottom" textRotation="0" wrapText="false" shrinkToFit="false"/>
      <protection locked="false"/>
    </xf>
    <xf xfId="0" fontId="1" numFmtId="49" fillId="2" borderId="26" applyFont="1" applyNumberFormat="1" applyFill="0" applyBorder="1" applyAlignment="0" applyProtection="true">
      <alignment horizontal="general" vertical="bottom" textRotation="0" wrapText="false" shrinkToFit="false"/>
      <protection locked="false"/>
    </xf>
    <xf xfId="0" fontId="1" numFmtId="0" fillId="2" borderId="26" applyFont="1" applyNumberFormat="0" applyFill="0" applyBorder="1" applyAlignment="1" applyProtection="true">
      <alignment horizontal="center" vertical="bottom" textRotation="0" wrapText="false" shrinkToFit="false"/>
      <protection locked="false"/>
    </xf>
    <xf xfId="0" fontId="1" numFmtId="14" fillId="2" borderId="26" applyFont="1" applyNumberFormat="1" applyFill="0" applyBorder="1" applyAlignment="0" applyProtection="true">
      <alignment horizontal="general" vertical="bottom" textRotation="0" wrapText="false" shrinkToFit="false"/>
      <protection locked="false"/>
    </xf>
    <xf xfId="0" fontId="3" numFmtId="164" fillId="5" borderId="11" applyFont="1" applyNumberFormat="1" applyFill="1" applyBorder="1" applyAlignment="0">
      <alignment horizontal="general"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3" numFmtId="0" fillId="5" borderId="12" applyFont="1" applyNumberFormat="0" applyFill="1" applyBorder="1" applyAlignment="0">
      <alignment horizontal="general" vertical="bottom" textRotation="0" wrapText="false" shrinkToFit="false"/>
    </xf>
    <xf xfId="0" fontId="3" numFmtId="0" fillId="3" borderId="13" applyFont="1" applyNumberFormat="0" applyFill="1" applyBorder="1" applyAlignment="0">
      <alignment horizontal="general" vertical="bottom" textRotation="0" wrapText="false" shrinkToFit="false"/>
    </xf>
    <xf xfId="0" fontId="1" numFmtId="0" fillId="2" borderId="25" applyFont="1" applyNumberFormat="0" applyFill="0" applyBorder="1" applyAlignment="1" applyProtection="true">
      <alignment horizontal="center" vertical="bottom" textRotation="0" wrapText="false" shrinkToFit="false"/>
      <protection locked="false"/>
    </xf>
    <xf xfId="0" fontId="1" numFmtId="14" fillId="2" borderId="25"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lignment horizontal="general" vertical="bottom" textRotation="0" wrapText="false" shrinkToFit="false"/>
    </xf>
    <xf xfId="0" fontId="1" numFmtId="0" fillId="2" borderId="27" applyFont="1" applyNumberFormat="0" applyFill="0" applyBorder="1" applyAlignment="0" applyProtection="true">
      <alignment horizontal="general" vertical="bottom" textRotation="0" wrapText="false" shrinkToFit="false"/>
      <protection locked="false"/>
    </xf>
    <xf xfId="0" fontId="3" numFmtId="0" fillId="5" borderId="11" applyFont="1" applyNumberFormat="0" applyFill="1" applyBorder="1" applyAlignment="1">
      <alignment horizontal="left" vertical="bottom" textRotation="0" wrapText="false" shrinkToFit="false"/>
    </xf>
    <xf xfId="0" fontId="3" numFmtId="0" fillId="5" borderId="11" applyFont="1" applyNumberFormat="0" applyFill="1" applyBorder="1" applyAlignment="1">
      <alignment horizontal="center"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6" numFmtId="0" fillId="5" borderId="11" applyFont="1" applyNumberFormat="0" applyFill="1" applyBorder="1" applyAlignment="1">
      <alignment horizontal="left" vertical="bottom" textRotation="0" wrapText="false" shrinkToFit="false"/>
    </xf>
    <xf xfId="0" fontId="7" numFmtId="0" fillId="3" borderId="0" applyFont="1" applyNumberFormat="0" applyFill="1" applyBorder="0" applyAlignment="0" applyProtection="true">
      <alignment horizontal="general" vertical="bottom" textRotation="0" wrapText="false" shrinkToFit="false"/>
      <protection hidden="false"/>
    </xf>
    <xf xfId="0" fontId="1" numFmtId="0" fillId="3" borderId="0" applyFont="1" applyNumberFormat="0" applyFill="1" applyBorder="0" applyAlignment="0" applyProtection="true">
      <alignment horizontal="general" vertical="bottom" textRotation="0" wrapText="false" shrinkToFit="false"/>
      <protection hidden="false"/>
    </xf>
    <xf xfId="0" fontId="3" numFmtId="0" fillId="6" borderId="21" applyFont="1" applyNumberFormat="0" applyFill="1" applyBorder="1" applyAlignment="1" applyProtection="true">
      <alignment horizontal="left" vertical="top" textRotation="0" wrapText="false" shrinkToFit="false"/>
      <protection locked="false"/>
    </xf>
    <xf xfId="0" fontId="0" numFmtId="0" fillId="2" borderId="39" applyFont="0" applyNumberFormat="0" applyFill="0" applyBorder="1" applyAlignment="1" applyProtection="true">
      <alignment horizontal="general" vertical="top" textRotation="0" wrapText="false" shrinkToFit="false"/>
      <protection locked="false"/>
    </xf>
    <xf xfId="0" fontId="0" numFmtId="0" fillId="2" borderId="14" applyFont="0" applyNumberFormat="0" applyFill="0" applyBorder="1" applyAlignment="1" applyProtection="true">
      <alignment horizontal="general" vertical="top" textRotation="0" wrapText="false" shrinkToFit="false"/>
      <protection locked="false"/>
    </xf>
    <xf xfId="0" fontId="0" numFmtId="0" fillId="2" borderId="13" applyFont="0" applyNumberFormat="0" applyFill="0" applyBorder="1" applyAlignment="1" applyProtection="true">
      <alignment horizontal="general" vertical="top" textRotation="0" wrapText="false" shrinkToFit="false"/>
      <protection locked="false"/>
    </xf>
    <xf xfId="0" fontId="0" numFmtId="0" fillId="2" borderId="0" applyFont="0" applyNumberFormat="0" applyFill="0" applyBorder="0" applyAlignment="1" applyProtection="true">
      <alignment horizontal="general" vertical="top" textRotation="0" wrapText="false" shrinkToFit="false"/>
      <protection locked="false"/>
    </xf>
    <xf xfId="0" fontId="0" numFmtId="0" fillId="2" borderId="16" applyFont="0" applyNumberFormat="0" applyFill="0" applyBorder="1" applyAlignment="1" applyProtection="true">
      <alignment horizontal="general" vertical="top" textRotation="0" wrapText="false" shrinkToFit="false"/>
      <protection locked="false"/>
    </xf>
    <xf xfId="0" fontId="0" numFmtId="0" fillId="2" borderId="23" applyFont="0" applyNumberFormat="0" applyFill="0" applyBorder="1" applyAlignment="1" applyProtection="true">
      <alignment horizontal="general" vertical="top" textRotation="0" wrapText="false" shrinkToFit="false"/>
      <protection locked="false"/>
    </xf>
    <xf xfId="0" fontId="0" numFmtId="0" fillId="2" borderId="10" applyFont="0" applyNumberFormat="0" applyFill="0" applyBorder="1" applyAlignment="1" applyProtection="true">
      <alignment horizontal="general" vertical="top" textRotation="0" wrapText="false" shrinkToFit="false"/>
      <protection locked="false"/>
    </xf>
    <xf xfId="0" fontId="0" numFmtId="0" fillId="2" borderId="19" applyFont="0" applyNumberFormat="0" applyFill="0" applyBorder="1" applyAlignment="1" applyProtection="true">
      <alignment horizontal="general" vertical="top" textRotation="0" wrapText="false" shrinkToFit="false"/>
      <protection locked="false"/>
    </xf>
    <xf xfId="0" fontId="4" numFmtId="0" fillId="3" borderId="0" applyFont="1" applyNumberFormat="0" applyFill="1" applyBorder="0" applyAlignment="1">
      <alignment horizontal="left" vertical="top" textRotation="0" wrapText="true" shrinkToFit="false"/>
    </xf>
    <xf xfId="0" fontId="8" numFmtId="0" fillId="3" borderId="10" applyFont="1" applyNumberFormat="0" applyFill="1" applyBorder="1" applyAlignment="1">
      <alignment horizontal="left" vertical="bottom" textRotation="0" wrapText="false" shrinkToFit="false"/>
    </xf>
    <xf xfId="0" fontId="3" numFmtId="0" fillId="4" borderId="12" applyFont="1" applyNumberFormat="0" applyFill="1" applyBorder="1" applyAlignment="1">
      <alignment horizontal="center" vertical="bottom" textRotation="0" wrapText="false" shrinkToFit="false"/>
    </xf>
    <xf xfId="0" fontId="1"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1" numFmtId="14" fillId="2" borderId="11" applyFont="1" applyNumberFormat="1" applyFill="0" applyBorder="1" applyAlignment="1" applyProtection="true">
      <alignment horizontal="left" vertical="bottom"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G168"/>
  <sheetViews>
    <sheetView tabSelected="1" workbookViewId="0" view="pageBreakPreview" showGridLines="true" showRowColHeaders="1">
      <pane ySplit="18" topLeftCell="A19" activePane="bottomLeft" state="frozen"/>
      <selection pane="bottomLeft" activeCell="A19" sqref="A19"/>
    </sheetView>
  </sheetViews>
  <sheetFormatPr defaultRowHeight="14.4" outlineLevelRow="0" outlineLevelCol="0"/>
  <cols>
    <col min="1" max="1" width="35.85546875" customWidth="true" style="1"/>
    <col min="2" max="2" width="12.42578125" customWidth="true" style="1"/>
    <col min="3" max="3" width="9.140625" customWidth="true" style="1"/>
    <col min="4" max="4" width="9.140625" customWidth="true" style="1"/>
    <col min="5" max="5" width="9.140625" customWidth="true" style="1"/>
    <col min="6" max="6" width="9.140625" customWidth="true" style="1"/>
    <col min="7" max="7" width="9.140625" customWidth="true" style="1"/>
    <col min="8" max="8" width="11.42578125" customWidth="true" style="1"/>
    <col min="9" max="9" width="9.140625" customWidth="true" style="1"/>
    <col min="10" max="10" width="12" customWidth="true" style="1"/>
    <col min="11" max="11" width="11.28515625" customWidth="true" style="1"/>
    <col min="12" max="12" width="11" customWidth="true" style="1"/>
    <col min="13" max="13" width="16.85546875" customWidth="true" style="1"/>
    <col min="14" max="14" width="13.85546875" customWidth="true" style="1"/>
    <col min="15" max="15" width="13.85546875" customWidth="true" style="1"/>
    <col min="16" max="16" width="13.85546875" customWidth="true" style="1"/>
    <col min="17" max="17" width="13.85546875" customWidth="true" style="1"/>
    <col min="18" max="18" width="13.85546875" customWidth="true" style="1"/>
    <col min="19" max="19" width="13.85546875" customWidth="true" style="1"/>
    <col min="20" max="20" width="13.85546875" customWidth="true" style="1"/>
    <col min="21" max="21" width="11.85546875" customWidth="true" style="1"/>
    <col min="22" max="22" width="14.85546875" customWidth="true" style="1"/>
    <col min="23" max="23" width="11.85546875" customWidth="true" style="1"/>
    <col min="24" max="24" width="12.5703125" customWidth="true" style="1"/>
    <col min="25" max="25" width="12.85546875" customWidth="true" style="1"/>
    <col min="26" max="26" width="12.42578125" customWidth="true" style="1"/>
    <col min="27" max="27" width="9.140625" customWidth="true" style="1"/>
    <col min="28" max="28" width="11.28515625" customWidth="true" style="1"/>
    <col min="29" max="29" width="11.28515625" customWidth="true" style="1"/>
    <col min="30" max="30" width="10.7109375" customWidth="true" style="1"/>
    <col min="31" max="31" width="13.7109375" customWidth="true" style="1"/>
    <col min="32" max="32" width="13.7109375" customWidth="true" style="1"/>
    <col min="33" max="33" width="3.28515625" customWidth="true" style="1"/>
  </cols>
  <sheetData>
    <row r="1" spans="1:33" customHeight="1" ht="11.25" s="87" customFormat="1">
      <c r="B1" s="86"/>
    </row>
    <row r="2" spans="1:33">
      <c r="A2" s="2" t="s">
        <v>0</v>
      </c>
      <c r="B2" s="3" t="s">
        <v>1</v>
      </c>
      <c r="C2" s="4"/>
      <c r="D2" s="4"/>
      <c r="E2" s="4"/>
      <c r="F2" s="4"/>
      <c r="G2" s="5"/>
      <c r="J2" s="6" t="s">
        <v>2</v>
      </c>
      <c r="K2" s="88"/>
      <c r="L2" s="89"/>
      <c r="M2" s="89"/>
      <c r="N2" s="89"/>
      <c r="O2" s="89"/>
      <c r="P2" s="89"/>
      <c r="Q2" s="90"/>
    </row>
    <row r="3" spans="1:33">
      <c r="A3" s="2" t="s">
        <v>3</v>
      </c>
      <c r="B3" s="7" t="s">
        <v>4</v>
      </c>
      <c r="C3" s="8"/>
      <c r="D3" s="8"/>
      <c r="E3" s="8"/>
      <c r="F3" s="9"/>
      <c r="G3" s="10"/>
      <c r="H3" s="11"/>
      <c r="J3" s="11"/>
      <c r="K3" s="91"/>
      <c r="L3" s="92"/>
      <c r="M3" s="92"/>
      <c r="N3" s="92"/>
      <c r="O3" s="92"/>
      <c r="P3" s="92"/>
      <c r="Q3" s="93"/>
      <c r="R3" s="11"/>
      <c r="S3" s="11"/>
      <c r="T3" s="11"/>
      <c r="U3" s="11"/>
      <c r="V3" s="11"/>
      <c r="W3" s="11"/>
      <c r="X3" s="11"/>
      <c r="Y3" s="11"/>
      <c r="Z3" s="11"/>
      <c r="AA3" s="11"/>
      <c r="AB3" s="11"/>
      <c r="AC3" s="11"/>
      <c r="AD3" s="11"/>
    </row>
    <row r="4" spans="1:33">
      <c r="A4" s="2" t="s">
        <v>5</v>
      </c>
      <c r="B4" s="12">
        <v>2013</v>
      </c>
      <c r="C4" s="13"/>
      <c r="D4" s="13"/>
      <c r="E4" s="13"/>
      <c r="F4" s="13"/>
      <c r="G4" s="14"/>
      <c r="K4" s="91"/>
      <c r="L4" s="92"/>
      <c r="M4" s="92"/>
      <c r="N4" s="92"/>
      <c r="O4" s="92"/>
      <c r="P4" s="92"/>
      <c r="Q4" s="93"/>
    </row>
    <row r="5" spans="1:33">
      <c r="A5" s="11"/>
      <c r="B5" s="11"/>
      <c r="C5" s="11"/>
      <c r="D5" s="11"/>
      <c r="E5" s="11"/>
      <c r="F5" s="11"/>
      <c r="G5" s="11"/>
      <c r="H5" s="11"/>
      <c r="J5" s="11"/>
      <c r="K5" s="94"/>
      <c r="L5" s="95"/>
      <c r="M5" s="95"/>
      <c r="N5" s="95"/>
      <c r="O5" s="95"/>
      <c r="P5" s="95"/>
      <c r="Q5" s="96"/>
      <c r="R5" s="11"/>
      <c r="S5" s="11"/>
      <c r="T5" s="11"/>
      <c r="U5" s="11"/>
      <c r="V5" s="11"/>
      <c r="W5" s="11"/>
      <c r="X5" s="11"/>
      <c r="Y5" s="11"/>
      <c r="Z5" s="11"/>
      <c r="AA5" s="11"/>
      <c r="AB5" s="11"/>
      <c r="AC5" s="11"/>
      <c r="AD5" s="11"/>
    </row>
    <row r="6" spans="1:33">
      <c r="A6" s="6" t="s">
        <v>6</v>
      </c>
      <c r="B6" s="102">
        <v>41649</v>
      </c>
      <c r="C6" s="11"/>
      <c r="D6" s="15" t="s">
        <v>7</v>
      </c>
      <c r="E6" s="16"/>
      <c r="G6" s="11"/>
      <c r="H6" s="11"/>
      <c r="I6" s="11"/>
      <c r="Q6" s="11"/>
      <c r="R6" s="11"/>
      <c r="S6" s="11"/>
      <c r="T6" s="11"/>
      <c r="U6" s="11"/>
      <c r="V6" s="11"/>
      <c r="W6" s="11"/>
      <c r="X6" s="11"/>
      <c r="Y6" s="11"/>
      <c r="Z6" s="11"/>
      <c r="AA6" s="11"/>
      <c r="AB6" s="11"/>
      <c r="AC6" s="11"/>
      <c r="AD6" s="11"/>
    </row>
    <row r="7" spans="1:33">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c r="A8" s="11"/>
      <c r="B8" s="11"/>
      <c r="C8" s="11"/>
      <c r="D8" s="11"/>
      <c r="E8" s="11"/>
      <c r="F8" s="11"/>
      <c r="G8" s="11"/>
      <c r="H8" s="11"/>
      <c r="I8" s="11"/>
      <c r="Q8" s="11"/>
      <c r="R8" s="11"/>
      <c r="S8" s="11"/>
      <c r="T8" s="11"/>
      <c r="U8" s="11"/>
      <c r="V8" s="11"/>
      <c r="W8" s="11"/>
      <c r="X8" s="11"/>
      <c r="Y8" s="11"/>
      <c r="Z8" s="11"/>
      <c r="AA8" s="11"/>
      <c r="AB8" s="11"/>
      <c r="AC8" s="11"/>
      <c r="AD8" s="11"/>
    </row>
    <row r="9" spans="1:33">
      <c r="A9" s="97" t="s">
        <v>8</v>
      </c>
      <c r="B9" s="97"/>
      <c r="C9" s="97"/>
      <c r="D9" s="97"/>
      <c r="E9" s="97"/>
      <c r="F9" s="97"/>
      <c r="G9" s="97"/>
      <c r="H9" s="97"/>
      <c r="I9" s="97"/>
      <c r="J9" s="97"/>
      <c r="K9" s="97"/>
      <c r="L9" s="97"/>
      <c r="M9" s="97"/>
      <c r="N9" s="18"/>
      <c r="O9" s="18"/>
      <c r="P9" s="18"/>
      <c r="Q9" s="11"/>
      <c r="R9" s="11"/>
      <c r="S9" s="11"/>
      <c r="T9" s="11"/>
      <c r="U9" s="11"/>
      <c r="V9" s="11"/>
      <c r="W9" s="11"/>
      <c r="X9" s="11"/>
      <c r="Y9" s="11"/>
      <c r="Z9" s="11"/>
      <c r="AA9" s="11"/>
      <c r="AB9" s="11"/>
      <c r="AC9" s="11"/>
      <c r="AD9" s="11"/>
    </row>
    <row r="10" spans="1:33">
      <c r="A10" s="97"/>
      <c r="B10" s="97"/>
      <c r="C10" s="97"/>
      <c r="D10" s="97"/>
      <c r="E10" s="97"/>
      <c r="F10" s="97"/>
      <c r="G10" s="97"/>
      <c r="H10" s="97"/>
      <c r="I10" s="97"/>
      <c r="J10" s="97"/>
      <c r="K10" s="97"/>
      <c r="L10" s="97"/>
      <c r="M10" s="97"/>
      <c r="N10" s="18"/>
      <c r="O10" s="18"/>
      <c r="P10" s="18"/>
      <c r="Q10" s="11"/>
      <c r="R10" s="11"/>
      <c r="S10" s="11"/>
      <c r="T10" s="11"/>
      <c r="U10" s="11"/>
      <c r="V10" s="11"/>
      <c r="W10" s="11"/>
      <c r="X10" s="11"/>
      <c r="Y10" s="11"/>
      <c r="Z10" s="11"/>
      <c r="AA10" s="11"/>
      <c r="AB10" s="11"/>
      <c r="AC10" s="11"/>
      <c r="AD10" s="11"/>
    </row>
    <row r="11" spans="1:33">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c r="A13" s="98" t="s">
        <v>9</v>
      </c>
      <c r="B13" s="98"/>
      <c r="C13" s="98"/>
      <c r="D13" s="98"/>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c r="A14" s="21">
        <v>1</v>
      </c>
      <c r="B14" s="21">
        <v>2</v>
      </c>
      <c r="C14" s="21">
        <v>3</v>
      </c>
      <c r="D14" s="21">
        <v>4</v>
      </c>
      <c r="E14" s="21">
        <f>D14+1</f>
        <v>5</v>
      </c>
      <c r="F14" s="21">
        <f>E14+1</f>
        <v>6</v>
      </c>
      <c r="G14" s="21">
        <f>F14+1</f>
        <v>7</v>
      </c>
      <c r="H14" s="21">
        <f>G14+1</f>
        <v>8</v>
      </c>
      <c r="I14" s="21">
        <f>H14+1</f>
        <v>9</v>
      </c>
      <c r="J14" s="21">
        <f>I14+1</f>
        <v>10</v>
      </c>
      <c r="K14" s="21">
        <f>J14+1</f>
        <v>11</v>
      </c>
      <c r="L14" s="21">
        <f>K14+1</f>
        <v>12</v>
      </c>
      <c r="M14" s="21">
        <f>L14+1</f>
        <v>13</v>
      </c>
      <c r="N14" s="21">
        <v>14</v>
      </c>
      <c r="O14" s="21">
        <v>15</v>
      </c>
      <c r="P14" s="21">
        <v>16</v>
      </c>
      <c r="Q14" s="21">
        <v>17</v>
      </c>
      <c r="R14" s="21">
        <v>18</v>
      </c>
      <c r="S14" s="21">
        <v>19</v>
      </c>
      <c r="T14" s="21">
        <v>20</v>
      </c>
      <c r="U14" s="21">
        <v>21</v>
      </c>
      <c r="V14" s="21">
        <f>U14+1</f>
        <v>22</v>
      </c>
      <c r="W14" s="21">
        <f>V14+1</f>
        <v>23</v>
      </c>
      <c r="X14" s="21">
        <f>W14+1</f>
        <v>24</v>
      </c>
      <c r="Y14" s="21">
        <f>X14+1</f>
        <v>25</v>
      </c>
      <c r="Z14" s="21">
        <f>Y14+1</f>
        <v>26</v>
      </c>
      <c r="AA14" s="21">
        <f>Z14+1</f>
        <v>27</v>
      </c>
      <c r="AB14" s="21">
        <f>AA14+1</f>
        <v>28</v>
      </c>
      <c r="AC14" s="21">
        <f>AB14+1</f>
        <v>29</v>
      </c>
      <c r="AD14" s="21">
        <f>AC14+1</f>
        <v>30</v>
      </c>
      <c r="AE14" s="21">
        <f>AD14+1</f>
        <v>31</v>
      </c>
      <c r="AF14" s="22">
        <v>32</v>
      </c>
      <c r="AG14" s="23"/>
    </row>
    <row r="15" spans="1:33">
      <c r="A15" s="24"/>
      <c r="B15" s="25"/>
      <c r="C15" s="25"/>
      <c r="D15" s="25"/>
      <c r="E15" s="25"/>
      <c r="F15" s="25"/>
      <c r="G15" s="25"/>
      <c r="H15" s="25"/>
      <c r="I15" s="25"/>
      <c r="J15" s="26" t="s">
        <v>10</v>
      </c>
      <c r="K15" s="99" t="s">
        <v>11</v>
      </c>
      <c r="L15" s="100"/>
      <c r="M15" s="101"/>
      <c r="N15" s="27"/>
      <c r="O15" s="28" t="s">
        <v>12</v>
      </c>
      <c r="P15" s="29"/>
      <c r="Q15" s="30" t="s">
        <v>13</v>
      </c>
      <c r="R15" s="30"/>
      <c r="S15" s="31" t="s">
        <v>14</v>
      </c>
      <c r="T15" s="31"/>
      <c r="U15" s="30" t="s">
        <v>15</v>
      </c>
      <c r="V15" s="32" t="s">
        <v>16</v>
      </c>
      <c r="W15" s="33" t="s">
        <v>17</v>
      </c>
      <c r="X15" s="33" t="s">
        <v>18</v>
      </c>
      <c r="Y15" s="33" t="s">
        <v>19</v>
      </c>
      <c r="Z15" s="33" t="s">
        <v>20</v>
      </c>
      <c r="AA15" s="33" t="s">
        <v>21</v>
      </c>
      <c r="AB15" s="33" t="s">
        <v>22</v>
      </c>
      <c r="AC15" s="33" t="s">
        <v>23</v>
      </c>
      <c r="AD15" s="25"/>
      <c r="AE15" s="34"/>
      <c r="AF15" s="35" t="s">
        <v>24</v>
      </c>
      <c r="AG15" s="36"/>
    </row>
    <row r="16" spans="1:33">
      <c r="A16" s="37"/>
      <c r="B16" s="37"/>
      <c r="C16" s="37"/>
      <c r="D16" s="37"/>
      <c r="E16" s="37"/>
      <c r="F16" s="37"/>
      <c r="G16" s="38"/>
      <c r="H16" s="38"/>
      <c r="I16" s="37"/>
      <c r="J16" s="26" t="s">
        <v>25</v>
      </c>
      <c r="K16" s="25">
        <v>2012</v>
      </c>
      <c r="L16" s="25">
        <v>2014</v>
      </c>
      <c r="M16" s="25">
        <v>2013</v>
      </c>
      <c r="N16" s="39"/>
      <c r="O16" s="39"/>
      <c r="P16" s="25" t="s">
        <v>26</v>
      </c>
      <c r="Q16" s="37" t="s">
        <v>27</v>
      </c>
      <c r="R16" s="25" t="s">
        <v>28</v>
      </c>
      <c r="S16" s="25" t="s">
        <v>28</v>
      </c>
      <c r="T16" s="25" t="s">
        <v>28</v>
      </c>
      <c r="U16" s="37" t="s">
        <v>29</v>
      </c>
      <c r="V16" s="25" t="s">
        <v>30</v>
      </c>
      <c r="W16" s="25" t="s">
        <v>31</v>
      </c>
      <c r="X16" s="25"/>
      <c r="Y16" s="34"/>
      <c r="Z16" s="25"/>
      <c r="AA16" s="25" t="s">
        <v>26</v>
      </c>
      <c r="AB16" s="25" t="s">
        <v>32</v>
      </c>
      <c r="AC16" s="25" t="s">
        <v>33</v>
      </c>
      <c r="AD16" s="37" t="s">
        <v>34</v>
      </c>
      <c r="AE16" s="37" t="s">
        <v>35</v>
      </c>
      <c r="AF16" s="40" t="s">
        <v>36</v>
      </c>
      <c r="AG16" s="41"/>
    </row>
    <row r="17" spans="1:33">
      <c r="A17" s="26" t="s">
        <v>37</v>
      </c>
      <c r="B17" s="38"/>
      <c r="C17" s="37" t="s">
        <v>38</v>
      </c>
      <c r="D17" s="37" t="s">
        <v>39</v>
      </c>
      <c r="E17" s="37" t="s">
        <v>40</v>
      </c>
      <c r="F17" s="37" t="s">
        <v>41</v>
      </c>
      <c r="G17" s="37" t="s">
        <v>42</v>
      </c>
      <c r="H17" s="37" t="s">
        <v>43</v>
      </c>
      <c r="I17" s="37" t="s">
        <v>44</v>
      </c>
      <c r="J17" s="26" t="s">
        <v>45</v>
      </c>
      <c r="K17" s="37" t="s">
        <v>46</v>
      </c>
      <c r="L17" s="37" t="s">
        <v>47</v>
      </c>
      <c r="M17" s="37" t="s">
        <v>48</v>
      </c>
      <c r="N17" s="37" t="s">
        <v>49</v>
      </c>
      <c r="O17" s="37" t="s">
        <v>50</v>
      </c>
      <c r="P17" s="37" t="s">
        <v>51</v>
      </c>
      <c r="Q17" s="37" t="s">
        <v>52</v>
      </c>
      <c r="R17" s="37" t="s">
        <v>49</v>
      </c>
      <c r="S17" s="37" t="s">
        <v>50</v>
      </c>
      <c r="T17" s="37" t="s">
        <v>53</v>
      </c>
      <c r="U17" s="40" t="s">
        <v>52</v>
      </c>
      <c r="V17" s="37" t="s">
        <v>54</v>
      </c>
      <c r="W17" s="37" t="s">
        <v>55</v>
      </c>
      <c r="X17" s="42" t="s">
        <v>56</v>
      </c>
      <c r="Y17" s="37" t="s">
        <v>57</v>
      </c>
      <c r="Z17" s="37" t="s">
        <v>58</v>
      </c>
      <c r="AA17" s="37" t="s">
        <v>51</v>
      </c>
      <c r="AB17" s="37" t="s">
        <v>59</v>
      </c>
      <c r="AC17" s="37" t="s">
        <v>59</v>
      </c>
      <c r="AD17" s="37" t="s">
        <v>60</v>
      </c>
      <c r="AE17" s="37" t="s">
        <v>61</v>
      </c>
      <c r="AF17" s="40" t="s">
        <v>62</v>
      </c>
      <c r="AG17" s="41"/>
    </row>
    <row r="18" spans="1:33">
      <c r="A18" s="43" t="s">
        <v>63</v>
      </c>
      <c r="B18" s="44" t="s">
        <v>64</v>
      </c>
      <c r="C18" s="44" t="s">
        <v>65</v>
      </c>
      <c r="D18" s="33" t="s">
        <v>66</v>
      </c>
      <c r="E18" s="33" t="s">
        <v>67</v>
      </c>
      <c r="F18" s="33" t="s">
        <v>68</v>
      </c>
      <c r="G18" s="33" t="s">
        <v>69</v>
      </c>
      <c r="H18" s="33" t="s">
        <v>69</v>
      </c>
      <c r="I18" s="33" t="s">
        <v>69</v>
      </c>
      <c r="J18" s="33" t="s">
        <v>70</v>
      </c>
      <c r="K18" s="45"/>
      <c r="L18" s="45"/>
      <c r="M18" s="33" t="s">
        <v>71</v>
      </c>
      <c r="N18" s="33" t="s">
        <v>52</v>
      </c>
      <c r="O18" s="33" t="s">
        <v>72</v>
      </c>
      <c r="P18" s="33" t="s">
        <v>73</v>
      </c>
      <c r="Q18" s="33" t="s">
        <v>74</v>
      </c>
      <c r="R18" s="33" t="s">
        <v>52</v>
      </c>
      <c r="S18" s="33" t="s">
        <v>75</v>
      </c>
      <c r="T18" s="33" t="s">
        <v>73</v>
      </c>
      <c r="U18" s="46" t="s">
        <v>76</v>
      </c>
      <c r="V18" s="33"/>
      <c r="W18" s="33" t="s">
        <v>77</v>
      </c>
      <c r="X18" s="33" t="s">
        <v>77</v>
      </c>
      <c r="Y18" s="47" t="s">
        <v>78</v>
      </c>
      <c r="Z18" s="33" t="s">
        <v>79</v>
      </c>
      <c r="AA18" s="33" t="s">
        <v>73</v>
      </c>
      <c r="AB18" s="33" t="s">
        <v>80</v>
      </c>
      <c r="AC18" s="33" t="s">
        <v>80</v>
      </c>
      <c r="AD18" s="33" t="s">
        <v>52</v>
      </c>
      <c r="AE18" s="33" t="s">
        <v>81</v>
      </c>
      <c r="AF18" s="46" t="s">
        <v>82</v>
      </c>
      <c r="AG18" s="41"/>
    </row>
    <row r="19" spans="1:33" hidden="true">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5"/>
      <c r="AG19" s="57"/>
    </row>
    <row r="20" spans="1:33">
      <c r="A20" s="58" t="s">
        <v>83</v>
      </c>
      <c r="B20" s="59" t="s">
        <v>84</v>
      </c>
      <c r="C20" s="59" t="s">
        <v>85</v>
      </c>
      <c r="D20" s="60"/>
      <c r="E20" s="60"/>
      <c r="F20" s="60"/>
      <c r="G20" s="61">
        <v>41320</v>
      </c>
      <c r="H20" s="61"/>
      <c r="I20" s="61">
        <v>41334</v>
      </c>
      <c r="J20" s="62">
        <v>0.42</v>
      </c>
      <c r="K20" s="52"/>
      <c r="L20" s="52"/>
      <c r="M20" s="52">
        <v>0.42</v>
      </c>
      <c r="N20" s="62"/>
      <c r="O20" s="63"/>
      <c r="P20" s="54"/>
      <c r="Q20" s="64"/>
      <c r="R20" s="62"/>
      <c r="S20" s="54"/>
      <c r="T20" s="54"/>
      <c r="U20" s="62"/>
      <c r="V20" s="62">
        <v>0.42</v>
      </c>
      <c r="W20" s="62"/>
      <c r="X20" s="54"/>
      <c r="Y20" s="62"/>
      <c r="Z20" s="62"/>
      <c r="AA20" s="54"/>
      <c r="AB20" s="62"/>
      <c r="AC20" s="62"/>
      <c r="AD20" s="54"/>
      <c r="AE20" s="54"/>
      <c r="AF20" s="65"/>
      <c r="AG20" s="36"/>
    </row>
    <row r="21" spans="1:33">
      <c r="A21" s="58" t="s">
        <v>83</v>
      </c>
      <c r="B21" s="59" t="s">
        <v>84</v>
      </c>
      <c r="C21" s="59" t="s">
        <v>85</v>
      </c>
      <c r="D21" s="60"/>
      <c r="E21" s="60"/>
      <c r="F21" s="60"/>
      <c r="G21" s="61">
        <v>41411</v>
      </c>
      <c r="H21" s="61"/>
      <c r="I21" s="61">
        <v>41425</v>
      </c>
      <c r="J21" s="62">
        <v>0.44</v>
      </c>
      <c r="K21" s="52"/>
      <c r="L21" s="52"/>
      <c r="M21" s="52">
        <v>0.44</v>
      </c>
      <c r="N21" s="62"/>
      <c r="O21" s="63"/>
      <c r="P21" s="54"/>
      <c r="Q21" s="64"/>
      <c r="R21" s="62"/>
      <c r="S21" s="54"/>
      <c r="T21" s="54"/>
      <c r="U21" s="62"/>
      <c r="V21" s="62">
        <v>0.44</v>
      </c>
      <c r="W21" s="62"/>
      <c r="X21" s="54"/>
      <c r="Y21" s="62"/>
      <c r="Z21" s="62"/>
      <c r="AA21" s="54"/>
      <c r="AB21" s="62"/>
      <c r="AC21" s="62"/>
      <c r="AD21" s="54"/>
      <c r="AE21" s="54"/>
      <c r="AF21" s="65"/>
      <c r="AG21" s="36"/>
    </row>
    <row r="22" spans="1:33">
      <c r="A22" s="58" t="s">
        <v>83</v>
      </c>
      <c r="B22" s="59" t="s">
        <v>84</v>
      </c>
      <c r="C22" s="59" t="s">
        <v>85</v>
      </c>
      <c r="D22" s="60"/>
      <c r="E22" s="60"/>
      <c r="F22" s="60"/>
      <c r="G22" s="61">
        <v>41502</v>
      </c>
      <c r="H22" s="61"/>
      <c r="I22" s="61">
        <v>41516</v>
      </c>
      <c r="J22" s="62">
        <v>0.44</v>
      </c>
      <c r="K22" s="52"/>
      <c r="L22" s="52"/>
      <c r="M22" s="52">
        <v>0.44</v>
      </c>
      <c r="N22" s="52"/>
      <c r="O22" s="66"/>
      <c r="P22" s="67"/>
      <c r="Q22" s="68"/>
      <c r="R22" s="52"/>
      <c r="S22" s="67"/>
      <c r="T22" s="67"/>
      <c r="U22" s="52"/>
      <c r="V22" s="52">
        <v>0.44</v>
      </c>
      <c r="W22" s="52"/>
      <c r="X22" s="67"/>
      <c r="Y22" s="52"/>
      <c r="Z22" s="52"/>
      <c r="AA22" s="67"/>
      <c r="AB22" s="52"/>
      <c r="AC22" s="52"/>
      <c r="AD22" s="67"/>
      <c r="AE22" s="67"/>
      <c r="AF22" s="69"/>
      <c r="AG22" s="36"/>
    </row>
    <row r="23" spans="1:33">
      <c r="A23" s="58" t="s">
        <v>83</v>
      </c>
      <c r="B23" s="59" t="s">
        <v>84</v>
      </c>
      <c r="C23" s="59" t="s">
        <v>85</v>
      </c>
      <c r="D23" s="72"/>
      <c r="E23" s="72"/>
      <c r="F23" s="72"/>
      <c r="G23" s="73">
        <v>41593</v>
      </c>
      <c r="H23" s="73"/>
      <c r="I23" s="73">
        <v>41605</v>
      </c>
      <c r="J23" s="52">
        <v>0.44</v>
      </c>
      <c r="K23" s="52"/>
      <c r="L23" s="52"/>
      <c r="M23" s="52">
        <v>0.44</v>
      </c>
      <c r="N23" s="52"/>
      <c r="O23" s="66"/>
      <c r="P23" s="67"/>
      <c r="Q23" s="68"/>
      <c r="R23" s="52"/>
      <c r="S23" s="67"/>
      <c r="T23" s="67"/>
      <c r="U23" s="52"/>
      <c r="V23" s="52">
        <v>0.44</v>
      </c>
      <c r="W23" s="52"/>
      <c r="X23" s="67"/>
      <c r="Y23" s="52"/>
      <c r="Z23" s="52"/>
      <c r="AA23" s="67"/>
      <c r="AB23" s="52"/>
      <c r="AC23" s="52"/>
      <c r="AD23" s="67"/>
      <c r="AE23" s="67"/>
      <c r="AF23" s="69"/>
      <c r="AG23" s="36"/>
    </row>
    <row r="24" spans="1:33">
      <c r="A24" s="82" t="str">
        <f>IF(COUNTA(M20:M23)=0,"",IF(COUNTA(F20:F23)=0,IF(COUNTA(D20:D23)=0,"Totals - Final","Totals - Estimated"),"Totals - Corrected"))</f>
        <v>Totals - Final</v>
      </c>
      <c r="B24" s="85" t="str">
        <f>IF(ISNA(INDEX(B20:B23,MAX(MATCH(REPT("z",255),B20:B23)))),"",INDEX(B20:B23,MAX(MATCH(REPT("z",255),B20:B23))))</f>
        <v>729251108</v>
      </c>
      <c r="C24" s="85" t="str">
        <f>IF(ISNA(INDEX(C20:C23,MAX(MATCH(REPT("z",255),C20:C23)))),"",INDEX(C20:C23,MAX(MATCH(REPT("z",255),C20:C23))))</f>
        <v>PCL</v>
      </c>
      <c r="D24" s="85" t="str">
        <f>IF(ISNA(INDEX(A20:A23,MAX(MATCH(REPT("z",255),A20:A23)))),"",INDEX(A20:A23,MAX(MATCH(REPT("z",255),A20:A23))))</f>
        <v>Plum Creek Timber Company, Inc. - Common</v>
      </c>
      <c r="E24" s="83"/>
      <c r="F24" s="83"/>
      <c r="G24" s="84"/>
      <c r="H24" s="84"/>
      <c r="I24" s="84"/>
      <c r="J24" s="74">
        <f>SUM(IF(NOT(ISBLANK($B19:$B23)),J19:J23,""))</f>
        <v>0.44</v>
      </c>
      <c r="K24" s="74">
        <f>SUM(IF(NOT(ISBLANK($B19:$B23)),K19:K23,""))</f>
        <v>0</v>
      </c>
      <c r="L24" s="74">
        <f>SUM(IF(NOT(ISBLANK($B19:$B23)),L19:L23,""))</f>
        <v>0</v>
      </c>
      <c r="M24" s="74">
        <f>SUM(IF(NOT(ISBLANK($B19:$B23)),M19:M23,""))</f>
        <v>0.44</v>
      </c>
      <c r="N24" s="74">
        <f>SUM(IF(NOT(ISBLANK($B19:$B23)),N19:N23,""))</f>
        <v>0</v>
      </c>
      <c r="O24" s="74">
        <f>SUM(IF(NOT(ISBLANK($B19:$B23)),O19:O23,""))</f>
        <v>0</v>
      </c>
      <c r="P24" s="75"/>
      <c r="Q24" s="74">
        <f>SUM(IF(NOT(ISBLANK($B19:$B23)),Q19:Q23,""))</f>
        <v>0</v>
      </c>
      <c r="R24" s="74">
        <f>SUM(IF(NOT(ISBLANK($B19:$B23)),R19:R23,""))</f>
        <v>0</v>
      </c>
      <c r="S24" s="75"/>
      <c r="T24" s="75"/>
      <c r="U24" s="74">
        <f>SUM(IF(NOT(ISBLANK($B19:$B23)),U19:U23,""))</f>
        <v>0</v>
      </c>
      <c r="V24" s="74">
        <f>SUM(IF(NOT(ISBLANK($B19:$B23)),V19:V23,""))</f>
        <v>0.44</v>
      </c>
      <c r="W24" s="74">
        <f>SUM(IF(NOT(ISBLANK($B19:$B23)),W19:W23,""))</f>
        <v>0</v>
      </c>
      <c r="X24" s="75"/>
      <c r="Y24" s="74">
        <f>SUM(IF(NOT(ISBLANK($B19:$B23)),Y19:Y23,""))</f>
        <v>0</v>
      </c>
      <c r="Z24" s="74">
        <f>SUM(IF(NOT(ISBLANK($B19:$B23)),Z19:Z23,""))</f>
        <v>0</v>
      </c>
      <c r="AA24" s="75"/>
      <c r="AB24" s="74">
        <f>SUM(IF(NOT(ISBLANK($B19:$B23)),AB19:AB23,""))</f>
        <v>0</v>
      </c>
      <c r="AC24" s="74">
        <f>SUM(IF(NOT(ISBLANK($B19:$B23)),AC19:AC23,""))</f>
        <v>0</v>
      </c>
      <c r="AD24" s="75"/>
      <c r="AE24" s="75"/>
      <c r="AF24" s="76"/>
      <c r="AG24" s="77">
        <v>1</v>
      </c>
    </row>
    <row r="25" spans="1:33" hidden="true">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6"/>
    </row>
    <row r="26" spans="1:33">
      <c r="A26" s="58"/>
      <c r="B26" s="59"/>
      <c r="C26" s="59"/>
      <c r="D26" s="60"/>
      <c r="E26" s="60"/>
      <c r="F26" s="60"/>
      <c r="G26" s="61"/>
      <c r="H26" s="61"/>
      <c r="I26" s="61"/>
      <c r="J26" s="62"/>
      <c r="K26" s="52"/>
      <c r="L26" s="52"/>
      <c r="M26" s="52"/>
      <c r="N26" s="62"/>
      <c r="O26" s="63"/>
      <c r="P26" s="54"/>
      <c r="Q26" s="64"/>
      <c r="R26" s="62"/>
      <c r="S26" s="54"/>
      <c r="T26" s="54"/>
      <c r="U26" s="62"/>
      <c r="V26" s="62"/>
      <c r="W26" s="62"/>
      <c r="X26" s="54"/>
      <c r="Y26" s="62"/>
      <c r="Z26" s="62"/>
      <c r="AA26" s="54"/>
      <c r="AB26" s="62"/>
      <c r="AC26" s="62"/>
      <c r="AD26" s="54"/>
      <c r="AE26" s="54"/>
      <c r="AF26" s="65"/>
      <c r="AG26" s="36"/>
    </row>
    <row r="27" spans="1:33">
      <c r="A27" s="58"/>
      <c r="B27" s="59"/>
      <c r="C27" s="59"/>
      <c r="D27" s="60"/>
      <c r="E27" s="60"/>
      <c r="F27" s="60"/>
      <c r="G27" s="61"/>
      <c r="H27" s="61"/>
      <c r="I27" s="61"/>
      <c r="J27" s="62"/>
      <c r="K27" s="52"/>
      <c r="L27" s="52"/>
      <c r="M27" s="52"/>
      <c r="N27" s="62"/>
      <c r="O27" s="63"/>
      <c r="P27" s="54"/>
      <c r="Q27" s="64"/>
      <c r="R27" s="62"/>
      <c r="S27" s="54"/>
      <c r="T27" s="54"/>
      <c r="U27" s="62"/>
      <c r="V27" s="62"/>
      <c r="W27" s="62"/>
      <c r="X27" s="54"/>
      <c r="Y27" s="62"/>
      <c r="Z27" s="62"/>
      <c r="AA27" s="54"/>
      <c r="AB27" s="62"/>
      <c r="AC27" s="62"/>
      <c r="AD27" s="54"/>
      <c r="AE27" s="54"/>
      <c r="AF27" s="65"/>
      <c r="AG27" s="36"/>
    </row>
    <row r="28" spans="1:33">
      <c r="A28" s="58"/>
      <c r="B28" s="59"/>
      <c r="C28" s="59"/>
      <c r="D28" s="60"/>
      <c r="E28" s="60"/>
      <c r="F28" s="60"/>
      <c r="G28" s="61"/>
      <c r="H28" s="61"/>
      <c r="I28" s="61"/>
      <c r="J28" s="62"/>
      <c r="K28" s="52"/>
      <c r="L28" s="52"/>
      <c r="M28" s="52"/>
      <c r="N28" s="52"/>
      <c r="O28" s="66"/>
      <c r="P28" s="67"/>
      <c r="Q28" s="68"/>
      <c r="R28" s="52"/>
      <c r="S28" s="67"/>
      <c r="T28" s="67"/>
      <c r="U28" s="52"/>
      <c r="V28" s="52"/>
      <c r="W28" s="52"/>
      <c r="X28" s="67"/>
      <c r="Y28" s="52"/>
      <c r="Z28" s="52"/>
      <c r="AA28" s="67"/>
      <c r="AB28" s="52"/>
      <c r="AC28" s="52"/>
      <c r="AD28" s="67"/>
      <c r="AE28" s="67"/>
      <c r="AF28" s="69"/>
      <c r="AG28" s="36"/>
    </row>
    <row r="29" spans="1:33">
      <c r="A29" s="70"/>
      <c r="B29" s="71"/>
      <c r="C29" s="71"/>
      <c r="D29" s="72"/>
      <c r="E29" s="72"/>
      <c r="F29" s="72"/>
      <c r="G29" s="73"/>
      <c r="H29" s="73"/>
      <c r="I29" s="73"/>
      <c r="J29" s="52"/>
      <c r="K29" s="52"/>
      <c r="L29" s="52"/>
      <c r="M29" s="52"/>
      <c r="N29" s="52"/>
      <c r="O29" s="66"/>
      <c r="P29" s="67"/>
      <c r="Q29" s="68"/>
      <c r="R29" s="52"/>
      <c r="S29" s="67"/>
      <c r="T29" s="67"/>
      <c r="U29" s="52"/>
      <c r="V29" s="52"/>
      <c r="W29" s="52"/>
      <c r="X29" s="67"/>
      <c r="Y29" s="52"/>
      <c r="Z29" s="52"/>
      <c r="AA29" s="67"/>
      <c r="AB29" s="52"/>
      <c r="AC29" s="52"/>
      <c r="AD29" s="67"/>
      <c r="AE29" s="67"/>
      <c r="AF29" s="69"/>
      <c r="AG29" s="36"/>
    </row>
    <row r="30" spans="1:33">
      <c r="A30" s="82" t="str">
        <f>IF(COUNTA(M26:M29)=0,"",IF(COUNTA(F26:F29)=0,IF(COUNTA(D26:D29)=0,"Totals - Final","Totals - Estimated"),"Totals - Corrected"))</f>
        <v/>
      </c>
      <c r="B30" s="85" t="str">
        <f>IF(ISNA(INDEX(B26:B29,MAX(MATCH(REPT("z",255),B26:B29)))),"",INDEX(B26:B29,MAX(MATCH(REPT("z",255),B26:B29))))</f>
        <v/>
      </c>
      <c r="C30" s="85" t="str">
        <f>IF(ISNA(INDEX(C26:C29,MAX(MATCH(REPT("z",255),C26:C29)))),"",INDEX(C26:C29,MAX(MATCH(REPT("z",255),C26:C29))))</f>
        <v/>
      </c>
      <c r="D30" s="85" t="str">
        <f>IF(ISNA(INDEX(A26:A29,MAX(MATCH(REPT("z",255),A26:A29)))),"",INDEX(A26:A29,MAX(MATCH(REPT("z",255),A26:A29))))</f>
        <v/>
      </c>
      <c r="E30" s="83"/>
      <c r="F30" s="83"/>
      <c r="G30" s="84"/>
      <c r="H30" s="84"/>
      <c r="I30" s="84"/>
      <c r="J30" s="74">
        <f>SUM(IF(NOT(ISBLANK($B25:$B29)),J25:J29,""))</f>
        <v>0</v>
      </c>
      <c r="K30" s="74">
        <f>SUM(IF(NOT(ISBLANK($B25:$B29)),K25:K29,""))</f>
        <v>0</v>
      </c>
      <c r="L30" s="74">
        <f>SUM(IF(NOT(ISBLANK($B25:$B29)),L25:L29,""))</f>
        <v>0</v>
      </c>
      <c r="M30" s="74">
        <f>SUM(IF(NOT(ISBLANK($B25:$B29)),M25:M29,""))</f>
        <v>0</v>
      </c>
      <c r="N30" s="74">
        <f>SUM(IF(NOT(ISBLANK($B25:$B29)),N25:N29,""))</f>
        <v>0</v>
      </c>
      <c r="O30" s="74">
        <f>SUM(IF(NOT(ISBLANK($B25:$B29)),O25:O29,""))</f>
        <v>0</v>
      </c>
      <c r="P30" s="75"/>
      <c r="Q30" s="74">
        <f>SUM(IF(NOT(ISBLANK($B25:$B29)),Q25:Q29,""))</f>
        <v>0</v>
      </c>
      <c r="R30" s="74">
        <f>SUM(IF(NOT(ISBLANK($B25:$B29)),R25:R29,""))</f>
        <v>0</v>
      </c>
      <c r="S30" s="75"/>
      <c r="T30" s="75"/>
      <c r="U30" s="74">
        <f>SUM(IF(NOT(ISBLANK($B25:$B29)),U25:U29,""))</f>
        <v>0</v>
      </c>
      <c r="V30" s="74">
        <f>SUM(IF(NOT(ISBLANK($B25:$B29)),V25:V29,""))</f>
        <v>0</v>
      </c>
      <c r="W30" s="74">
        <f>SUM(IF(NOT(ISBLANK($B25:$B29)),W25:W29,""))</f>
        <v>0</v>
      </c>
      <c r="X30" s="75"/>
      <c r="Y30" s="74">
        <f>SUM(IF(NOT(ISBLANK($B25:$B29)),Y25:Y29,""))</f>
        <v>0</v>
      </c>
      <c r="Z30" s="74">
        <f>SUM(IF(NOT(ISBLANK($B25:$B29)),Z25:Z29,""))</f>
        <v>0</v>
      </c>
      <c r="AA30" s="75"/>
      <c r="AB30" s="74">
        <f>SUM(IF(NOT(ISBLANK($B25:$B29)),AB25:AB29,""))</f>
        <v>0</v>
      </c>
      <c r="AC30" s="74">
        <f>SUM(IF(NOT(ISBLANK($B25:$B29)),AC25:AC29,""))</f>
        <v>0</v>
      </c>
      <c r="AD30" s="75"/>
      <c r="AE30" s="75"/>
      <c r="AF30" s="76"/>
      <c r="AG30" s="77">
        <v>1</v>
      </c>
    </row>
    <row r="31" spans="1:33" hidden="true">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6"/>
    </row>
    <row r="32" spans="1:33">
      <c r="A32" s="58"/>
      <c r="B32" s="59"/>
      <c r="C32" s="59"/>
      <c r="D32" s="60"/>
      <c r="E32" s="60"/>
      <c r="F32" s="60"/>
      <c r="G32" s="61"/>
      <c r="H32" s="61"/>
      <c r="I32" s="61"/>
      <c r="J32" s="62"/>
      <c r="K32" s="52"/>
      <c r="L32" s="52"/>
      <c r="M32" s="52"/>
      <c r="N32" s="62"/>
      <c r="O32" s="63"/>
      <c r="P32" s="54"/>
      <c r="Q32" s="64"/>
      <c r="R32" s="62"/>
      <c r="S32" s="54"/>
      <c r="T32" s="54"/>
      <c r="U32" s="62"/>
      <c r="V32" s="62"/>
      <c r="W32" s="62"/>
      <c r="X32" s="54"/>
      <c r="Y32" s="62"/>
      <c r="Z32" s="62"/>
      <c r="AA32" s="54"/>
      <c r="AB32" s="62"/>
      <c r="AC32" s="62"/>
      <c r="AD32" s="54"/>
      <c r="AE32" s="54"/>
      <c r="AF32" s="65"/>
      <c r="AG32" s="36"/>
    </row>
    <row r="33" spans="1:33">
      <c r="A33" s="58"/>
      <c r="B33" s="59"/>
      <c r="C33" s="59"/>
      <c r="D33" s="60"/>
      <c r="E33" s="60"/>
      <c r="F33" s="60"/>
      <c r="G33" s="61"/>
      <c r="H33" s="61"/>
      <c r="I33" s="61"/>
      <c r="J33" s="62"/>
      <c r="K33" s="52"/>
      <c r="L33" s="52"/>
      <c r="M33" s="52"/>
      <c r="N33" s="62"/>
      <c r="O33" s="63"/>
      <c r="P33" s="54"/>
      <c r="Q33" s="64"/>
      <c r="R33" s="62"/>
      <c r="S33" s="54"/>
      <c r="T33" s="54"/>
      <c r="U33" s="62"/>
      <c r="V33" s="62"/>
      <c r="W33" s="62"/>
      <c r="X33" s="54"/>
      <c r="Y33" s="62"/>
      <c r="Z33" s="62"/>
      <c r="AA33" s="54"/>
      <c r="AB33" s="62"/>
      <c r="AC33" s="62"/>
      <c r="AD33" s="54"/>
      <c r="AE33" s="54"/>
      <c r="AF33" s="65"/>
      <c r="AG33" s="36"/>
    </row>
    <row r="34" spans="1:33">
      <c r="A34" s="70"/>
      <c r="B34" s="71"/>
      <c r="C34" s="71"/>
      <c r="D34" s="72"/>
      <c r="E34" s="72"/>
      <c r="F34" s="72"/>
      <c r="G34" s="73"/>
      <c r="H34" s="73"/>
      <c r="I34" s="73"/>
      <c r="J34" s="52"/>
      <c r="K34" s="52"/>
      <c r="L34" s="52"/>
      <c r="M34" s="52"/>
      <c r="N34" s="52"/>
      <c r="O34" s="66"/>
      <c r="P34" s="67"/>
      <c r="Q34" s="68"/>
      <c r="R34" s="52"/>
      <c r="S34" s="67"/>
      <c r="T34" s="67"/>
      <c r="U34" s="52"/>
      <c r="V34" s="52"/>
      <c r="W34" s="52"/>
      <c r="X34" s="67"/>
      <c r="Y34" s="52"/>
      <c r="Z34" s="52"/>
      <c r="AA34" s="67"/>
      <c r="AB34" s="52"/>
      <c r="AC34" s="52"/>
      <c r="AD34" s="67"/>
      <c r="AE34" s="67"/>
      <c r="AF34" s="69"/>
      <c r="AG34" s="36"/>
    </row>
    <row r="35" spans="1:33">
      <c r="A35" s="70"/>
      <c r="B35" s="71"/>
      <c r="C35" s="71"/>
      <c r="D35" s="72"/>
      <c r="E35" s="72"/>
      <c r="F35" s="72"/>
      <c r="G35" s="73"/>
      <c r="H35" s="73"/>
      <c r="I35" s="73"/>
      <c r="J35" s="52"/>
      <c r="K35" s="52"/>
      <c r="L35" s="52"/>
      <c r="M35" s="52"/>
      <c r="N35" s="52"/>
      <c r="O35" s="66"/>
      <c r="P35" s="67"/>
      <c r="Q35" s="68"/>
      <c r="R35" s="52"/>
      <c r="S35" s="67"/>
      <c r="T35" s="67"/>
      <c r="U35" s="52"/>
      <c r="V35" s="52"/>
      <c r="W35" s="52"/>
      <c r="X35" s="67"/>
      <c r="Y35" s="52"/>
      <c r="Z35" s="52"/>
      <c r="AA35" s="67"/>
      <c r="AB35" s="52"/>
      <c r="AC35" s="52"/>
      <c r="AD35" s="67"/>
      <c r="AE35" s="67"/>
      <c r="AF35" s="69"/>
      <c r="AG35" s="36"/>
    </row>
    <row r="36" spans="1:33">
      <c r="A36" s="82" t="str">
        <f>IF(COUNTA(M32:M35)=0,"",IF(COUNTA(F32:F35)=0,IF(COUNTA(D32:D35)=0,"Totals - Final","Totals - Estimated"),"Totals - Corrected"))</f>
        <v/>
      </c>
      <c r="B36" s="85" t="str">
        <f>IF(ISNA(INDEX(B32:B35,MAX(MATCH(REPT("z",255),B32:B35)))),"",INDEX(B32:B35,MAX(MATCH(REPT("z",255),B32:B35))))</f>
        <v/>
      </c>
      <c r="C36" s="85" t="str">
        <f>IF(ISNA(INDEX(C32:C35,MAX(MATCH(REPT("z",255),C32:C35)))),"",INDEX(C32:C35,MAX(MATCH(REPT("z",255),C32:C35))))</f>
        <v/>
      </c>
      <c r="D36" s="85" t="str">
        <f>IF(ISNA(INDEX(A32:A35,MAX(MATCH(REPT("z",255),A32:A35)))),"",INDEX(A32:A35,MAX(MATCH(REPT("z",255),A32:A35))))</f>
        <v/>
      </c>
      <c r="E36" s="83"/>
      <c r="F36" s="83"/>
      <c r="G36" s="84"/>
      <c r="H36" s="84"/>
      <c r="I36" s="84"/>
      <c r="J36" s="74">
        <f>SUM(IF(NOT(ISBLANK($B31:$B35)),J31:J35,""))</f>
        <v>0</v>
      </c>
      <c r="K36" s="74">
        <f>SUM(IF(NOT(ISBLANK($B31:$B35)),K31:K35,""))</f>
        <v>0</v>
      </c>
      <c r="L36" s="74">
        <f>SUM(IF(NOT(ISBLANK($B31:$B35)),L31:L35,""))</f>
        <v>0</v>
      </c>
      <c r="M36" s="74">
        <f>SUM(IF(NOT(ISBLANK($B31:$B35)),M31:M35,""))</f>
        <v>0</v>
      </c>
      <c r="N36" s="74">
        <f>SUM(IF(NOT(ISBLANK($B31:$B35)),N31:N35,""))</f>
        <v>0</v>
      </c>
      <c r="O36" s="74">
        <f>SUM(IF(NOT(ISBLANK($B31:$B35)),O31:O35,""))</f>
        <v>0</v>
      </c>
      <c r="P36" s="75"/>
      <c r="Q36" s="74">
        <f>SUM(IF(NOT(ISBLANK($B31:$B35)),Q31:Q35,""))</f>
        <v>0</v>
      </c>
      <c r="R36" s="74">
        <f>SUM(IF(NOT(ISBLANK($B31:$B35)),R31:R35,""))</f>
        <v>0</v>
      </c>
      <c r="S36" s="75"/>
      <c r="T36" s="75"/>
      <c r="U36" s="74">
        <f>SUM(IF(NOT(ISBLANK($B31:$B35)),U31:U35,""))</f>
        <v>0</v>
      </c>
      <c r="V36" s="74">
        <f>SUM(IF(NOT(ISBLANK($B31:$B35)),V31:V35,""))</f>
        <v>0</v>
      </c>
      <c r="W36" s="74">
        <f>SUM(IF(NOT(ISBLANK($B31:$B35)),W31:W35,""))</f>
        <v>0</v>
      </c>
      <c r="X36" s="75"/>
      <c r="Y36" s="74">
        <f>SUM(IF(NOT(ISBLANK($B31:$B35)),Y31:Y35,""))</f>
        <v>0</v>
      </c>
      <c r="Z36" s="74">
        <f>SUM(IF(NOT(ISBLANK($B31:$B35)),Z31:Z35,""))</f>
        <v>0</v>
      </c>
      <c r="AA36" s="75"/>
      <c r="AB36" s="74">
        <f>SUM(IF(NOT(ISBLANK($B31:$B35)),AB31:AB35,""))</f>
        <v>0</v>
      </c>
      <c r="AC36" s="74">
        <f>SUM(IF(NOT(ISBLANK($B31:$B35)),AC31:AC35,""))</f>
        <v>0</v>
      </c>
      <c r="AD36" s="75"/>
      <c r="AE36" s="75"/>
      <c r="AF36" s="76"/>
      <c r="AG36" s="77">
        <v>1</v>
      </c>
    </row>
    <row r="37" spans="1:33" hidden="true">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6"/>
    </row>
    <row r="38" spans="1:33">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6"/>
    </row>
    <row r="39" spans="1:33">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6"/>
    </row>
    <row r="40" spans="1:33">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6"/>
    </row>
    <row r="41" spans="1:33">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6"/>
    </row>
    <row r="42" spans="1:33">
      <c r="A42" s="82" t="str">
        <f>IF(COUNTA(M38:M41)=0,"",IF(COUNTA(F38:F41)=0,IF(COUNTA(D38:D41)=0,"Totals - Final","Totals - Estimated"),"Totals - Corrected"))</f>
        <v/>
      </c>
      <c r="B42" s="85" t="str">
        <f>IF(ISNA(INDEX(B38:B41,MAX(MATCH(REPT("z",255),B38:B41)))),"",INDEX(B38:B41,MAX(MATCH(REPT("z",255),B38:B41))))</f>
        <v/>
      </c>
      <c r="C42" s="85" t="str">
        <f>IF(ISNA(INDEX(C38:C41,MAX(MATCH(REPT("z",255),C38:C41)))),"",INDEX(C38:C41,MAX(MATCH(REPT("z",255),C38:C41))))</f>
        <v/>
      </c>
      <c r="D42" s="85" t="str">
        <f>IF(ISNA(INDEX(A38:A41,MAX(MATCH(REPT("z",255),A38:A41)))),"",INDEX(A38:A41,MAX(MATCH(REPT("z",255),A38:A41))))</f>
        <v/>
      </c>
      <c r="E42" s="83"/>
      <c r="F42" s="83"/>
      <c r="G42" s="84"/>
      <c r="H42" s="84"/>
      <c r="I42" s="84"/>
      <c r="J42" s="74">
        <f>SUM(IF(NOT(ISBLANK($B37:$B41)),J37:J41,""))</f>
        <v>0</v>
      </c>
      <c r="K42" s="74">
        <f>SUM(IF(NOT(ISBLANK($B37:$B41)),K37:K41,""))</f>
        <v>0</v>
      </c>
      <c r="L42" s="74">
        <f>SUM(IF(NOT(ISBLANK($B37:$B41)),L37:L41,""))</f>
        <v>0</v>
      </c>
      <c r="M42" s="74">
        <f>SUM(IF(NOT(ISBLANK($B37:$B41)),M37:M41,""))</f>
        <v>0</v>
      </c>
      <c r="N42" s="74">
        <f>SUM(IF(NOT(ISBLANK($B37:$B41)),N37:N41,""))</f>
        <v>0</v>
      </c>
      <c r="O42" s="74">
        <f>SUM(IF(NOT(ISBLANK($B37:$B41)),O37:O41,""))</f>
        <v>0</v>
      </c>
      <c r="P42" s="75"/>
      <c r="Q42" s="74">
        <f>SUM(IF(NOT(ISBLANK($B37:$B41)),Q37:Q41,""))</f>
        <v>0</v>
      </c>
      <c r="R42" s="74">
        <f>SUM(IF(NOT(ISBLANK($B37:$B41)),R37:R41,""))</f>
        <v>0</v>
      </c>
      <c r="S42" s="75"/>
      <c r="T42" s="75"/>
      <c r="U42" s="74">
        <f>SUM(IF(NOT(ISBLANK($B37:$B41)),U37:U41,""))</f>
        <v>0</v>
      </c>
      <c r="V42" s="74">
        <f>SUM(IF(NOT(ISBLANK($B37:$B41)),V37:V41,""))</f>
        <v>0</v>
      </c>
      <c r="W42" s="74">
        <f>SUM(IF(NOT(ISBLANK($B37:$B41)),W37:W41,""))</f>
        <v>0</v>
      </c>
      <c r="X42" s="75"/>
      <c r="Y42" s="74">
        <f>SUM(IF(NOT(ISBLANK($B37:$B41)),Y37:Y41,""))</f>
        <v>0</v>
      </c>
      <c r="Z42" s="74">
        <f>SUM(IF(NOT(ISBLANK($B37:$B41)),Z37:Z41,""))</f>
        <v>0</v>
      </c>
      <c r="AA42" s="75"/>
      <c r="AB42" s="74">
        <f>SUM(IF(NOT(ISBLANK($B37:$B41)),AB37:AB41,""))</f>
        <v>0</v>
      </c>
      <c r="AC42" s="74">
        <f>SUM(IF(NOT(ISBLANK($B37:$B41)),AC37:AC41,""))</f>
        <v>0</v>
      </c>
      <c r="AD42" s="75"/>
      <c r="AE42" s="75"/>
      <c r="AF42" s="76"/>
      <c r="AG42" s="77">
        <v>1</v>
      </c>
    </row>
    <row r="43" spans="1:33" hidden="true">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6"/>
    </row>
    <row r="44" spans="1:33">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6"/>
    </row>
    <row r="45" spans="1:33">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6"/>
    </row>
    <row r="46" spans="1:33">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6"/>
    </row>
    <row r="47" spans="1:33">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6"/>
    </row>
    <row r="48" spans="1:33">
      <c r="A48" s="82" t="str">
        <f>IF(COUNTA(M44:M47)=0,"",IF(COUNTA(F44:F47)=0,IF(COUNTA(D44:D47)=0,"Totals - Final","Totals - Estimated"),"Totals - Corrected"))</f>
        <v/>
      </c>
      <c r="B48" s="85" t="str">
        <f>IF(ISNA(INDEX(B44:B47,MAX(MATCH(REPT("z",255),B44:B47)))),"",INDEX(B44:B47,MAX(MATCH(REPT("z",255),B44:B47))))</f>
        <v/>
      </c>
      <c r="C48" s="85" t="str">
        <f>IF(ISNA(INDEX(C44:C47,MAX(MATCH(REPT("z",255),C44:C47)))),"",INDEX(C44:C47,MAX(MATCH(REPT("z",255),C44:C47))))</f>
        <v/>
      </c>
      <c r="D48" s="85" t="str">
        <f>IF(ISNA(INDEX(A44:A47,MAX(MATCH(REPT("z",255),A44:A47)))),"",INDEX(A44:A47,MAX(MATCH(REPT("z",255),A44:A47))))</f>
        <v/>
      </c>
      <c r="E48" s="83"/>
      <c r="F48" s="83"/>
      <c r="G48" s="84"/>
      <c r="H48" s="84"/>
      <c r="I48" s="84"/>
      <c r="J48" s="74">
        <f>SUM(IF(NOT(ISBLANK($B43:$B47)),J43:J47,""))</f>
        <v>0</v>
      </c>
      <c r="K48" s="74">
        <f>SUM(IF(NOT(ISBLANK($B43:$B47)),K43:K47,""))</f>
        <v>0</v>
      </c>
      <c r="L48" s="74">
        <f>SUM(IF(NOT(ISBLANK($B43:$B47)),L43:L47,""))</f>
        <v>0</v>
      </c>
      <c r="M48" s="74">
        <f>SUM(IF(NOT(ISBLANK($B43:$B47)),M43:M47,""))</f>
        <v>0</v>
      </c>
      <c r="N48" s="74">
        <f>SUM(IF(NOT(ISBLANK($B43:$B47)),N43:N47,""))</f>
        <v>0</v>
      </c>
      <c r="O48" s="74">
        <f>SUM(IF(NOT(ISBLANK($B43:$B47)),O43:O47,""))</f>
        <v>0</v>
      </c>
      <c r="P48" s="75"/>
      <c r="Q48" s="74">
        <f>SUM(IF(NOT(ISBLANK($B43:$B47)),Q43:Q47,""))</f>
        <v>0</v>
      </c>
      <c r="R48" s="74">
        <f>SUM(IF(NOT(ISBLANK($B43:$B47)),R43:R47,""))</f>
        <v>0</v>
      </c>
      <c r="S48" s="75"/>
      <c r="T48" s="75"/>
      <c r="U48" s="74">
        <f>SUM(IF(NOT(ISBLANK($B43:$B47)),U43:U47,""))</f>
        <v>0</v>
      </c>
      <c r="V48" s="74">
        <f>SUM(IF(NOT(ISBLANK($B43:$B47)),V43:V47,""))</f>
        <v>0</v>
      </c>
      <c r="W48" s="74">
        <f>SUM(IF(NOT(ISBLANK($B43:$B47)),W43:W47,""))</f>
        <v>0</v>
      </c>
      <c r="X48" s="75"/>
      <c r="Y48" s="74">
        <f>SUM(IF(NOT(ISBLANK($B43:$B47)),Y43:Y47,""))</f>
        <v>0</v>
      </c>
      <c r="Z48" s="74">
        <f>SUM(IF(NOT(ISBLANK($B43:$B47)),Z43:Z47,""))</f>
        <v>0</v>
      </c>
      <c r="AA48" s="75"/>
      <c r="AB48" s="74">
        <f>SUM(IF(NOT(ISBLANK($B43:$B47)),AB43:AB47,""))</f>
        <v>0</v>
      </c>
      <c r="AC48" s="74">
        <f>SUM(IF(NOT(ISBLANK($B43:$B47)),AC43:AC47,""))</f>
        <v>0</v>
      </c>
      <c r="AD48" s="75"/>
      <c r="AE48" s="75"/>
      <c r="AF48" s="76"/>
      <c r="AG48" s="77">
        <v>1</v>
      </c>
    </row>
    <row r="49" spans="1:33" hidden="true">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6"/>
    </row>
    <row r="50" spans="1:33">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6"/>
    </row>
    <row r="51" spans="1:33">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6"/>
    </row>
    <row r="52" spans="1:33">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6"/>
    </row>
    <row r="53" spans="1:33">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6"/>
    </row>
    <row r="54" spans="1:33">
      <c r="A54" s="82" t="str">
        <f>IF(COUNTA(M50:M53)=0,"",IF(COUNTA(F50:F53)=0,IF(COUNTA(D50:D53)=0,"Totals - Final","Totals - Estimated"),"Totals - Corrected"))</f>
        <v/>
      </c>
      <c r="B54" s="85" t="str">
        <f>IF(ISNA(INDEX(B50:B53,MAX(MATCH(REPT("z",255),B50:B53)))),"",INDEX(B50:B53,MAX(MATCH(REPT("z",255),B50:B53))))</f>
        <v/>
      </c>
      <c r="C54" s="85" t="str">
        <f>IF(ISNA(INDEX(C50:C53,MAX(MATCH(REPT("z",255),C50:C53)))),"",INDEX(C50:C53,MAX(MATCH(REPT("z",255),C50:C53))))</f>
        <v/>
      </c>
      <c r="D54" s="85" t="str">
        <f>IF(ISNA(INDEX(A50:A53,MAX(MATCH(REPT("z",255),A50:A53)))),"",INDEX(A50:A53,MAX(MATCH(REPT("z",255),A50:A53))))</f>
        <v/>
      </c>
      <c r="E54" s="83"/>
      <c r="F54" s="83"/>
      <c r="G54" s="84"/>
      <c r="H54" s="84"/>
      <c r="I54" s="84"/>
      <c r="J54" s="74">
        <f>SUM(IF(NOT(ISBLANK($B49:$B53)),J49:J53,""))</f>
        <v>0</v>
      </c>
      <c r="K54" s="74">
        <f>SUM(IF(NOT(ISBLANK($B49:$B53)),K49:K53,""))</f>
        <v>0</v>
      </c>
      <c r="L54" s="74">
        <f>SUM(IF(NOT(ISBLANK($B49:$B53)),L49:L53,""))</f>
        <v>0</v>
      </c>
      <c r="M54" s="74">
        <f>SUM(IF(NOT(ISBLANK($B49:$B53)),M49:M53,""))</f>
        <v>0</v>
      </c>
      <c r="N54" s="74">
        <f>SUM(IF(NOT(ISBLANK($B49:$B53)),N49:N53,""))</f>
        <v>0</v>
      </c>
      <c r="O54" s="74">
        <f>SUM(IF(NOT(ISBLANK($B49:$B53)),O49:O53,""))</f>
        <v>0</v>
      </c>
      <c r="P54" s="75"/>
      <c r="Q54" s="74">
        <f>SUM(IF(NOT(ISBLANK($B49:$B53)),Q49:Q53,""))</f>
        <v>0</v>
      </c>
      <c r="R54" s="74">
        <f>SUM(IF(NOT(ISBLANK($B49:$B53)),R49:R53,""))</f>
        <v>0</v>
      </c>
      <c r="S54" s="75"/>
      <c r="T54" s="75"/>
      <c r="U54" s="74">
        <f>SUM(IF(NOT(ISBLANK($B49:$B53)),U49:U53,""))</f>
        <v>0</v>
      </c>
      <c r="V54" s="74">
        <f>SUM(IF(NOT(ISBLANK($B49:$B53)),V49:V53,""))</f>
        <v>0</v>
      </c>
      <c r="W54" s="74">
        <f>SUM(IF(NOT(ISBLANK($B49:$B53)),W49:W53,""))</f>
        <v>0</v>
      </c>
      <c r="X54" s="75"/>
      <c r="Y54" s="74">
        <f>SUM(IF(NOT(ISBLANK($B49:$B53)),Y49:Y53,""))</f>
        <v>0</v>
      </c>
      <c r="Z54" s="74">
        <f>SUM(IF(NOT(ISBLANK($B49:$B53)),Z49:Z53,""))</f>
        <v>0</v>
      </c>
      <c r="AA54" s="75"/>
      <c r="AB54" s="74">
        <f>SUM(IF(NOT(ISBLANK($B49:$B53)),AB49:AB53,""))</f>
        <v>0</v>
      </c>
      <c r="AC54" s="74">
        <f>SUM(IF(NOT(ISBLANK($B49:$B53)),AC49:AC53,""))</f>
        <v>0</v>
      </c>
      <c r="AD54" s="75"/>
      <c r="AE54" s="75"/>
      <c r="AF54" s="76"/>
      <c r="AG54" s="77">
        <v>1</v>
      </c>
    </row>
    <row r="55" spans="1:33" hidden="true">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6"/>
    </row>
    <row r="56" spans="1:33">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6"/>
    </row>
    <row r="57" spans="1:33">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6"/>
    </row>
    <row r="58" spans="1:33">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6"/>
    </row>
    <row r="59" spans="1:33">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6"/>
    </row>
    <row r="60" spans="1:33">
      <c r="A60" s="82" t="str">
        <f>IF(COUNTA(M56:M59)=0,"",IF(COUNTA(F56:F59)=0,IF(COUNTA(D56:D59)=0,"Totals - Final","Totals - Estimated"),"Totals - Corrected"))</f>
        <v/>
      </c>
      <c r="B60" s="85" t="str">
        <f>IF(ISNA(INDEX(B56:B59,MAX(MATCH(REPT("z",255),B56:B59)))),"",INDEX(B56:B59,MAX(MATCH(REPT("z",255),B56:B59))))</f>
        <v/>
      </c>
      <c r="C60" s="85" t="str">
        <f>IF(ISNA(INDEX(C56:C59,MAX(MATCH(REPT("z",255),C56:C59)))),"",INDEX(C56:C59,MAX(MATCH(REPT("z",255),C56:C59))))</f>
        <v/>
      </c>
      <c r="D60" s="85" t="str">
        <f>IF(ISNA(INDEX(A56:A59,MAX(MATCH(REPT("z",255),A56:A59)))),"",INDEX(A56:A59,MAX(MATCH(REPT("z",255),A56:A59))))</f>
        <v/>
      </c>
      <c r="E60" s="83"/>
      <c r="F60" s="83"/>
      <c r="G60" s="84"/>
      <c r="H60" s="84"/>
      <c r="I60" s="84"/>
      <c r="J60" s="74">
        <f>SUM(IF(NOT(ISBLANK($B55:$B59)),J55:J59,""))</f>
        <v>0</v>
      </c>
      <c r="K60" s="74">
        <f>SUM(IF(NOT(ISBLANK($B55:$B59)),K55:K59,""))</f>
        <v>0</v>
      </c>
      <c r="L60" s="74">
        <f>SUM(IF(NOT(ISBLANK($B55:$B59)),L55:L59,""))</f>
        <v>0</v>
      </c>
      <c r="M60" s="74">
        <f>SUM(IF(NOT(ISBLANK($B55:$B59)),M55:M59,""))</f>
        <v>0</v>
      </c>
      <c r="N60" s="74">
        <f>SUM(IF(NOT(ISBLANK($B55:$B59)),N55:N59,""))</f>
        <v>0</v>
      </c>
      <c r="O60" s="74">
        <f>SUM(IF(NOT(ISBLANK($B55:$B59)),O55:O59,""))</f>
        <v>0</v>
      </c>
      <c r="P60" s="75"/>
      <c r="Q60" s="74">
        <f>SUM(IF(NOT(ISBLANK($B55:$B59)),Q55:Q59,""))</f>
        <v>0</v>
      </c>
      <c r="R60" s="74">
        <f>SUM(IF(NOT(ISBLANK($B55:$B59)),R55:R59,""))</f>
        <v>0</v>
      </c>
      <c r="S60" s="75"/>
      <c r="T60" s="75"/>
      <c r="U60" s="74">
        <f>SUM(IF(NOT(ISBLANK($B55:$B59)),U55:U59,""))</f>
        <v>0</v>
      </c>
      <c r="V60" s="74">
        <f>SUM(IF(NOT(ISBLANK($B55:$B59)),V55:V59,""))</f>
        <v>0</v>
      </c>
      <c r="W60" s="74">
        <f>SUM(IF(NOT(ISBLANK($B55:$B59)),W55:W59,""))</f>
        <v>0</v>
      </c>
      <c r="X60" s="75"/>
      <c r="Y60" s="74">
        <f>SUM(IF(NOT(ISBLANK($B55:$B59)),Y55:Y59,""))</f>
        <v>0</v>
      </c>
      <c r="Z60" s="74">
        <f>SUM(IF(NOT(ISBLANK($B55:$B59)),Z55:Z59,""))</f>
        <v>0</v>
      </c>
      <c r="AA60" s="75"/>
      <c r="AB60" s="74">
        <f>SUM(IF(NOT(ISBLANK($B55:$B59)),AB55:AB59,""))</f>
        <v>0</v>
      </c>
      <c r="AC60" s="74">
        <f>SUM(IF(NOT(ISBLANK($B55:$B59)),AC55:AC59,""))</f>
        <v>0</v>
      </c>
      <c r="AD60" s="75"/>
      <c r="AE60" s="75"/>
      <c r="AF60" s="76"/>
      <c r="AG60" s="77">
        <v>1</v>
      </c>
    </row>
    <row r="61" spans="1:33" hidden="true">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6"/>
    </row>
    <row r="62" spans="1:33">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6"/>
    </row>
    <row r="63" spans="1:33">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6"/>
    </row>
    <row r="64" spans="1:33">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6"/>
    </row>
    <row r="65" spans="1:33">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6"/>
    </row>
    <row r="66" spans="1:33">
      <c r="A66" s="82" t="str">
        <f>IF(COUNTA(M62:M65)=0,"",IF(COUNTA(F62:F65)=0,IF(COUNTA(D62:D65)=0,"Totals - Final","Totals - Estimated"),"Totals - Corrected"))</f>
        <v/>
      </c>
      <c r="B66" s="85" t="str">
        <f>IF(ISNA(INDEX(B62:B65,MAX(MATCH(REPT("z",255),B62:B65)))),"",INDEX(B62:B65,MAX(MATCH(REPT("z",255),B62:B65))))</f>
        <v/>
      </c>
      <c r="C66" s="85" t="str">
        <f>IF(ISNA(INDEX(C62:C65,MAX(MATCH(REPT("z",255),C62:C65)))),"",INDEX(C62:C65,MAX(MATCH(REPT("z",255),C62:C65))))</f>
        <v/>
      </c>
      <c r="D66" s="85" t="str">
        <f>IF(ISNA(INDEX(A62:A65,MAX(MATCH(REPT("z",255),A62:A65)))),"",INDEX(A62:A65,MAX(MATCH(REPT("z",255),A62:A65))))</f>
        <v/>
      </c>
      <c r="E66" s="83"/>
      <c r="F66" s="83"/>
      <c r="G66" s="84"/>
      <c r="H66" s="84"/>
      <c r="I66" s="84"/>
      <c r="J66" s="74">
        <f>SUM(IF(NOT(ISBLANK($B61:$B65)),J61:J65,""))</f>
        <v>0</v>
      </c>
      <c r="K66" s="74">
        <f>SUM(IF(NOT(ISBLANK($B61:$B65)),K61:K65,""))</f>
        <v>0</v>
      </c>
      <c r="L66" s="74">
        <f>SUM(IF(NOT(ISBLANK($B61:$B65)),L61:L65,""))</f>
        <v>0</v>
      </c>
      <c r="M66" s="74">
        <f>SUM(IF(NOT(ISBLANK($B61:$B65)),M61:M65,""))</f>
        <v>0</v>
      </c>
      <c r="N66" s="74">
        <f>SUM(IF(NOT(ISBLANK($B61:$B65)),N61:N65,""))</f>
        <v>0</v>
      </c>
      <c r="O66" s="74">
        <f>SUM(IF(NOT(ISBLANK($B61:$B65)),O61:O65,""))</f>
        <v>0</v>
      </c>
      <c r="P66" s="75"/>
      <c r="Q66" s="74">
        <f>SUM(IF(NOT(ISBLANK($B61:$B65)),Q61:Q65,""))</f>
        <v>0</v>
      </c>
      <c r="R66" s="74">
        <f>SUM(IF(NOT(ISBLANK($B61:$B65)),R61:R65,""))</f>
        <v>0</v>
      </c>
      <c r="S66" s="75"/>
      <c r="T66" s="75"/>
      <c r="U66" s="74">
        <f>SUM(IF(NOT(ISBLANK($B61:$B65)),U61:U65,""))</f>
        <v>0</v>
      </c>
      <c r="V66" s="74">
        <f>SUM(IF(NOT(ISBLANK($B61:$B65)),V61:V65,""))</f>
        <v>0</v>
      </c>
      <c r="W66" s="74">
        <f>SUM(IF(NOT(ISBLANK($B61:$B65)),W61:W65,""))</f>
        <v>0</v>
      </c>
      <c r="X66" s="75"/>
      <c r="Y66" s="74">
        <f>SUM(IF(NOT(ISBLANK($B61:$B65)),Y61:Y65,""))</f>
        <v>0</v>
      </c>
      <c r="Z66" s="74">
        <f>SUM(IF(NOT(ISBLANK($B61:$B65)),Z61:Z65,""))</f>
        <v>0</v>
      </c>
      <c r="AA66" s="75"/>
      <c r="AB66" s="74">
        <f>SUM(IF(NOT(ISBLANK($B61:$B65)),AB61:AB65,""))</f>
        <v>0</v>
      </c>
      <c r="AC66" s="74">
        <f>SUM(IF(NOT(ISBLANK($B61:$B65)),AC61:AC65,""))</f>
        <v>0</v>
      </c>
      <c r="AD66" s="75"/>
      <c r="AE66" s="75"/>
      <c r="AF66" s="76"/>
      <c r="AG66" s="77">
        <v>1</v>
      </c>
    </row>
    <row r="67" spans="1:33" hidden="true">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6"/>
    </row>
    <row r="68" spans="1:33">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6"/>
    </row>
    <row r="69" spans="1:33">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6"/>
    </row>
    <row r="70" spans="1:33">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6"/>
    </row>
    <row r="71" spans="1:33">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6"/>
    </row>
    <row r="72" spans="1:33">
      <c r="A72" s="82" t="str">
        <f>IF(COUNTA(M68:M71)=0,"",IF(COUNTA(F68:F71)=0,IF(COUNTA(D68:D71)=0,"Totals - Final","Totals - Estimated"),"Totals - Corrected"))</f>
        <v/>
      </c>
      <c r="B72" s="85" t="str">
        <f>IF(ISNA(INDEX(B68:B71,MAX(MATCH(REPT("z",255),B68:B71)))),"",INDEX(B68:B71,MAX(MATCH(REPT("z",255),B68:B71))))</f>
        <v/>
      </c>
      <c r="C72" s="85" t="str">
        <f>IF(ISNA(INDEX(C68:C71,MAX(MATCH(REPT("z",255),C68:C71)))),"",INDEX(C68:C71,MAX(MATCH(REPT("z",255),C68:C71))))</f>
        <v/>
      </c>
      <c r="D72" s="85" t="str">
        <f>IF(ISNA(INDEX(A68:A71,MAX(MATCH(REPT("z",255),A68:A71)))),"",INDEX(A68:A71,MAX(MATCH(REPT("z",255),A68:A71))))</f>
        <v/>
      </c>
      <c r="E72" s="83"/>
      <c r="F72" s="83"/>
      <c r="G72" s="84"/>
      <c r="H72" s="84"/>
      <c r="I72" s="84"/>
      <c r="J72" s="74">
        <f>SUM(IF(NOT(ISBLANK($B67:$B71)),J67:J71,""))</f>
        <v>0</v>
      </c>
      <c r="K72" s="74">
        <f>SUM(IF(NOT(ISBLANK($B67:$B71)),K67:K71,""))</f>
        <v>0</v>
      </c>
      <c r="L72" s="74">
        <f>SUM(IF(NOT(ISBLANK($B67:$B71)),L67:L71,""))</f>
        <v>0</v>
      </c>
      <c r="M72" s="74">
        <f>SUM(IF(NOT(ISBLANK($B67:$B71)),M67:M71,""))</f>
        <v>0</v>
      </c>
      <c r="N72" s="74">
        <f>SUM(IF(NOT(ISBLANK($B67:$B71)),N67:N71,""))</f>
        <v>0</v>
      </c>
      <c r="O72" s="74">
        <f>SUM(IF(NOT(ISBLANK($B67:$B71)),O67:O71,""))</f>
        <v>0</v>
      </c>
      <c r="P72" s="75"/>
      <c r="Q72" s="74">
        <f>SUM(IF(NOT(ISBLANK($B67:$B71)),Q67:Q71,""))</f>
        <v>0</v>
      </c>
      <c r="R72" s="74">
        <f>SUM(IF(NOT(ISBLANK($B67:$B71)),R67:R71,""))</f>
        <v>0</v>
      </c>
      <c r="S72" s="75"/>
      <c r="T72" s="75"/>
      <c r="U72" s="74">
        <f>SUM(IF(NOT(ISBLANK($B67:$B71)),U67:U71,""))</f>
        <v>0</v>
      </c>
      <c r="V72" s="74">
        <f>SUM(IF(NOT(ISBLANK($B67:$B71)),V67:V71,""))</f>
        <v>0</v>
      </c>
      <c r="W72" s="74">
        <f>SUM(IF(NOT(ISBLANK($B67:$B71)),W67:W71,""))</f>
        <v>0</v>
      </c>
      <c r="X72" s="75"/>
      <c r="Y72" s="74">
        <f>SUM(IF(NOT(ISBLANK($B67:$B71)),Y67:Y71,""))</f>
        <v>0</v>
      </c>
      <c r="Z72" s="74">
        <f>SUM(IF(NOT(ISBLANK($B67:$B71)),Z67:Z71,""))</f>
        <v>0</v>
      </c>
      <c r="AA72" s="75"/>
      <c r="AB72" s="74">
        <f>SUM(IF(NOT(ISBLANK($B67:$B71)),AB67:AB71,""))</f>
        <v>0</v>
      </c>
      <c r="AC72" s="74">
        <f>SUM(IF(NOT(ISBLANK($B67:$B71)),AC67:AC71,""))</f>
        <v>0</v>
      </c>
      <c r="AD72" s="75"/>
      <c r="AE72" s="75"/>
      <c r="AF72" s="76"/>
      <c r="AG72" s="77">
        <v>1</v>
      </c>
    </row>
    <row r="73" spans="1:33" hidden="true">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6"/>
    </row>
    <row r="74" spans="1:33">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6"/>
    </row>
    <row r="75" spans="1:33">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6"/>
    </row>
    <row r="76" spans="1:33">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6"/>
    </row>
    <row r="77" spans="1:33">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6"/>
    </row>
    <row r="78" spans="1:33">
      <c r="A78" s="82" t="str">
        <f>IF(COUNTA(M74:M77)=0,"",IF(COUNTA(F74:F77)=0,IF(COUNTA(D74:D77)=0,"Totals - Final","Totals - Estimated"),"Totals - Corrected"))</f>
        <v/>
      </c>
      <c r="B78" s="85" t="str">
        <f>IF(ISNA(INDEX(B74:B77,MAX(MATCH(REPT("z",255),B74:B77)))),"",INDEX(B74:B77,MAX(MATCH(REPT("z",255),B74:B77))))</f>
        <v/>
      </c>
      <c r="C78" s="85" t="str">
        <f>IF(ISNA(INDEX(C74:C77,MAX(MATCH(REPT("z",255),C74:C77)))),"",INDEX(C74:C77,MAX(MATCH(REPT("z",255),C74:C77))))</f>
        <v/>
      </c>
      <c r="D78" s="85" t="str">
        <f>IF(ISNA(INDEX(A74:A77,MAX(MATCH(REPT("z",255),A74:A77)))),"",INDEX(A74:A77,MAX(MATCH(REPT("z",255),A74:A77))))</f>
        <v/>
      </c>
      <c r="E78" s="83"/>
      <c r="F78" s="83"/>
      <c r="G78" s="84"/>
      <c r="H78" s="84"/>
      <c r="I78" s="84"/>
      <c r="J78" s="74">
        <f>SUM(IF(NOT(ISBLANK($B73:$B77)),J73:J77,""))</f>
        <v>0</v>
      </c>
      <c r="K78" s="74">
        <f>SUM(IF(NOT(ISBLANK($B73:$B77)),K73:K77,""))</f>
        <v>0</v>
      </c>
      <c r="L78" s="74">
        <f>SUM(IF(NOT(ISBLANK($B73:$B77)),L73:L77,""))</f>
        <v>0</v>
      </c>
      <c r="M78" s="74">
        <f>SUM(IF(NOT(ISBLANK($B73:$B77)),M73:M77,""))</f>
        <v>0</v>
      </c>
      <c r="N78" s="74">
        <f>SUM(IF(NOT(ISBLANK($B73:$B77)),N73:N77,""))</f>
        <v>0</v>
      </c>
      <c r="O78" s="74">
        <f>SUM(IF(NOT(ISBLANK($B73:$B77)),O73:O77,""))</f>
        <v>0</v>
      </c>
      <c r="P78" s="75"/>
      <c r="Q78" s="74">
        <f>SUM(IF(NOT(ISBLANK($B73:$B77)),Q73:Q77,""))</f>
        <v>0</v>
      </c>
      <c r="R78" s="74">
        <f>SUM(IF(NOT(ISBLANK($B73:$B77)),R73:R77,""))</f>
        <v>0</v>
      </c>
      <c r="S78" s="75"/>
      <c r="T78" s="75"/>
      <c r="U78" s="74">
        <f>SUM(IF(NOT(ISBLANK($B73:$B77)),U73:U77,""))</f>
        <v>0</v>
      </c>
      <c r="V78" s="74">
        <f>SUM(IF(NOT(ISBLANK($B73:$B77)),V73:V77,""))</f>
        <v>0</v>
      </c>
      <c r="W78" s="74">
        <f>SUM(IF(NOT(ISBLANK($B73:$B77)),W73:W77,""))</f>
        <v>0</v>
      </c>
      <c r="X78" s="75"/>
      <c r="Y78" s="74">
        <f>SUM(IF(NOT(ISBLANK($B73:$B77)),Y73:Y77,""))</f>
        <v>0</v>
      </c>
      <c r="Z78" s="74">
        <f>SUM(IF(NOT(ISBLANK($B73:$B77)),Z73:Z77,""))</f>
        <v>0</v>
      </c>
      <c r="AA78" s="75"/>
      <c r="AB78" s="74">
        <f>SUM(IF(NOT(ISBLANK($B73:$B77)),AB73:AB77,""))</f>
        <v>0</v>
      </c>
      <c r="AC78" s="74">
        <f>SUM(IF(NOT(ISBLANK($B73:$B77)),AC73:AC77,""))</f>
        <v>0</v>
      </c>
      <c r="AD78" s="75"/>
      <c r="AE78" s="75"/>
      <c r="AF78" s="76"/>
      <c r="AG78" s="77">
        <v>1</v>
      </c>
    </row>
    <row r="79" spans="1:33" hidden="true">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6"/>
    </row>
    <row r="80" spans="1:33">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6"/>
    </row>
    <row r="81" spans="1:33">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6"/>
    </row>
    <row r="82" spans="1:33">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6"/>
    </row>
    <row r="83" spans="1:33">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6"/>
    </row>
    <row r="84" spans="1:33">
      <c r="A84" s="82" t="str">
        <f>IF(COUNTA(M80:M83)=0,"",IF(COUNTA(F80:F83)=0,IF(COUNTA(D80:D83)=0,"Totals - Final","Totals - Estimated"),"Totals - Corrected"))</f>
        <v/>
      </c>
      <c r="B84" s="85" t="str">
        <f>IF(ISNA(INDEX(B80:B83,MAX(MATCH(REPT("z",255),B80:B83)))),"",INDEX(B80:B83,MAX(MATCH(REPT("z",255),B80:B83))))</f>
        <v/>
      </c>
      <c r="C84" s="85" t="str">
        <f>IF(ISNA(INDEX(C80:C83,MAX(MATCH(REPT("z",255),C80:C83)))),"",INDEX(C80:C83,MAX(MATCH(REPT("z",255),C80:C83))))</f>
        <v/>
      </c>
      <c r="D84" s="85" t="str">
        <f>IF(ISNA(INDEX(A80:A83,MAX(MATCH(REPT("z",255),A80:A83)))),"",INDEX(A80:A83,MAX(MATCH(REPT("z",255),A80:A83))))</f>
        <v/>
      </c>
      <c r="E84" s="83"/>
      <c r="F84" s="83"/>
      <c r="G84" s="84"/>
      <c r="H84" s="84"/>
      <c r="I84" s="84"/>
      <c r="J84" s="74">
        <f>SUM(IF(NOT(ISBLANK($B79:$B83)),J79:J83,""))</f>
        <v>0</v>
      </c>
      <c r="K84" s="74">
        <f>SUM(IF(NOT(ISBLANK($B79:$B83)),K79:K83,""))</f>
        <v>0</v>
      </c>
      <c r="L84" s="74">
        <f>SUM(IF(NOT(ISBLANK($B79:$B83)),L79:L83,""))</f>
        <v>0</v>
      </c>
      <c r="M84" s="74">
        <f>SUM(IF(NOT(ISBLANK($B79:$B83)),M79:M83,""))</f>
        <v>0</v>
      </c>
      <c r="N84" s="74">
        <f>SUM(IF(NOT(ISBLANK($B79:$B83)),N79:N83,""))</f>
        <v>0</v>
      </c>
      <c r="O84" s="74">
        <f>SUM(IF(NOT(ISBLANK($B79:$B83)),O79:O83,""))</f>
        <v>0</v>
      </c>
      <c r="P84" s="75"/>
      <c r="Q84" s="74">
        <f>SUM(IF(NOT(ISBLANK($B79:$B83)),Q79:Q83,""))</f>
        <v>0</v>
      </c>
      <c r="R84" s="74">
        <f>SUM(IF(NOT(ISBLANK($B79:$B83)),R79:R83,""))</f>
        <v>0</v>
      </c>
      <c r="S84" s="75"/>
      <c r="T84" s="75"/>
      <c r="U84" s="74">
        <f>SUM(IF(NOT(ISBLANK($B79:$B83)),U79:U83,""))</f>
        <v>0</v>
      </c>
      <c r="V84" s="74">
        <f>SUM(IF(NOT(ISBLANK($B79:$B83)),V79:V83,""))</f>
        <v>0</v>
      </c>
      <c r="W84" s="74">
        <f>SUM(IF(NOT(ISBLANK($B79:$B83)),W79:W83,""))</f>
        <v>0</v>
      </c>
      <c r="X84" s="75"/>
      <c r="Y84" s="74">
        <f>SUM(IF(NOT(ISBLANK($B79:$B83)),Y79:Y83,""))</f>
        <v>0</v>
      </c>
      <c r="Z84" s="74">
        <f>SUM(IF(NOT(ISBLANK($B79:$B83)),Z79:Z83,""))</f>
        <v>0</v>
      </c>
      <c r="AA84" s="75"/>
      <c r="AB84" s="74">
        <f>SUM(IF(NOT(ISBLANK($B79:$B83)),AB79:AB83,""))</f>
        <v>0</v>
      </c>
      <c r="AC84" s="74">
        <f>SUM(IF(NOT(ISBLANK($B79:$B83)),AC79:AC83,""))</f>
        <v>0</v>
      </c>
      <c r="AD84" s="75"/>
      <c r="AE84" s="75"/>
      <c r="AF84" s="76"/>
      <c r="AG84" s="77">
        <v>1</v>
      </c>
    </row>
    <row r="85" spans="1:33" hidden="true">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6"/>
    </row>
    <row r="86" spans="1:33">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6"/>
    </row>
    <row r="87" spans="1:33">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6"/>
    </row>
    <row r="88" spans="1:33">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6"/>
    </row>
    <row r="89" spans="1:33">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6"/>
    </row>
    <row r="90" spans="1:33">
      <c r="A90" s="82" t="str">
        <f>IF(COUNTA(M86:M89)=0,"",IF(COUNTA(F86:F89)=0,IF(COUNTA(D86:D89)=0,"Totals - Final","Totals - Estimated"),"Totals - Corrected"))</f>
        <v/>
      </c>
      <c r="B90" s="85" t="str">
        <f>IF(ISNA(INDEX(B86:B89,MAX(MATCH(REPT("z",255),B86:B89)))),"",INDEX(B86:B89,MAX(MATCH(REPT("z",255),B86:B89))))</f>
        <v/>
      </c>
      <c r="C90" s="85" t="str">
        <f>IF(ISNA(INDEX(C86:C89,MAX(MATCH(REPT("z",255),C86:C89)))),"",INDEX(C86:C89,MAX(MATCH(REPT("z",255),C86:C89))))</f>
        <v/>
      </c>
      <c r="D90" s="85" t="str">
        <f>IF(ISNA(INDEX(A86:A89,MAX(MATCH(REPT("z",255),A86:A89)))),"",INDEX(A86:A89,MAX(MATCH(REPT("z",255),A86:A89))))</f>
        <v/>
      </c>
      <c r="E90" s="83"/>
      <c r="F90" s="83"/>
      <c r="G90" s="84"/>
      <c r="H90" s="84"/>
      <c r="I90" s="84"/>
      <c r="J90" s="74">
        <f>SUM(IF(NOT(ISBLANK($B85:$B89)),J85:J89,""))</f>
        <v>0</v>
      </c>
      <c r="K90" s="74">
        <f>SUM(IF(NOT(ISBLANK($B85:$B89)),K85:K89,""))</f>
        <v>0</v>
      </c>
      <c r="L90" s="74">
        <f>SUM(IF(NOT(ISBLANK($B85:$B89)),L85:L89,""))</f>
        <v>0</v>
      </c>
      <c r="M90" s="74">
        <f>SUM(IF(NOT(ISBLANK($B85:$B89)),M85:M89,""))</f>
        <v>0</v>
      </c>
      <c r="N90" s="74">
        <f>SUM(IF(NOT(ISBLANK($B85:$B89)),N85:N89,""))</f>
        <v>0</v>
      </c>
      <c r="O90" s="74">
        <f>SUM(IF(NOT(ISBLANK($B85:$B89)),O85:O89,""))</f>
        <v>0</v>
      </c>
      <c r="P90" s="75"/>
      <c r="Q90" s="74">
        <f>SUM(IF(NOT(ISBLANK($B85:$B89)),Q85:Q89,""))</f>
        <v>0</v>
      </c>
      <c r="R90" s="74">
        <f>SUM(IF(NOT(ISBLANK($B85:$B89)),R85:R89,""))</f>
        <v>0</v>
      </c>
      <c r="S90" s="75"/>
      <c r="T90" s="75"/>
      <c r="U90" s="74">
        <f>SUM(IF(NOT(ISBLANK($B85:$B89)),U85:U89,""))</f>
        <v>0</v>
      </c>
      <c r="V90" s="74">
        <f>SUM(IF(NOT(ISBLANK($B85:$B89)),V85:V89,""))</f>
        <v>0</v>
      </c>
      <c r="W90" s="74">
        <f>SUM(IF(NOT(ISBLANK($B85:$B89)),W85:W89,""))</f>
        <v>0</v>
      </c>
      <c r="X90" s="75"/>
      <c r="Y90" s="74">
        <f>SUM(IF(NOT(ISBLANK($B85:$B89)),Y85:Y89,""))</f>
        <v>0</v>
      </c>
      <c r="Z90" s="74">
        <f>SUM(IF(NOT(ISBLANK($B85:$B89)),Z85:Z89,""))</f>
        <v>0</v>
      </c>
      <c r="AA90" s="75"/>
      <c r="AB90" s="74">
        <f>SUM(IF(NOT(ISBLANK($B85:$B89)),AB85:AB89,""))</f>
        <v>0</v>
      </c>
      <c r="AC90" s="74">
        <f>SUM(IF(NOT(ISBLANK($B85:$B89)),AC85:AC89,""))</f>
        <v>0</v>
      </c>
      <c r="AD90" s="75"/>
      <c r="AE90" s="75"/>
      <c r="AF90" s="76"/>
      <c r="AG90" s="77">
        <v>1</v>
      </c>
    </row>
    <row r="91" spans="1:33" hidden="true">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6"/>
    </row>
    <row r="92" spans="1:33">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6"/>
    </row>
    <row r="93" spans="1:33">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6"/>
    </row>
    <row r="94" spans="1:33">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6"/>
    </row>
    <row r="95" spans="1:33">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6"/>
    </row>
    <row r="96" spans="1:33">
      <c r="A96" s="82" t="str">
        <f>IF(COUNTA(M92:M95)=0,"",IF(COUNTA(F92:F95)=0,IF(COUNTA(D92:D95)=0,"Totals - Final","Totals - Estimated"),"Totals - Corrected"))</f>
        <v/>
      </c>
      <c r="B96" s="85" t="str">
        <f>IF(ISNA(INDEX(B92:B95,MAX(MATCH(REPT("z",255),B92:B95)))),"",INDEX(B92:B95,MAX(MATCH(REPT("z",255),B92:B95))))</f>
        <v/>
      </c>
      <c r="C96" s="85" t="str">
        <f>IF(ISNA(INDEX(C92:C95,MAX(MATCH(REPT("z",255),C92:C95)))),"",INDEX(C92:C95,MAX(MATCH(REPT("z",255),C92:C95))))</f>
        <v/>
      </c>
      <c r="D96" s="85" t="str">
        <f>IF(ISNA(INDEX(A92:A95,MAX(MATCH(REPT("z",255),A92:A95)))),"",INDEX(A92:A95,MAX(MATCH(REPT("z",255),A92:A95))))</f>
        <v/>
      </c>
      <c r="E96" s="83"/>
      <c r="F96" s="83"/>
      <c r="G96" s="84"/>
      <c r="H96" s="84"/>
      <c r="I96" s="84"/>
      <c r="J96" s="74">
        <f>SUM(IF(NOT(ISBLANK($B91:$B95)),J91:J95,""))</f>
        <v>0</v>
      </c>
      <c r="K96" s="74">
        <f>SUM(IF(NOT(ISBLANK($B91:$B95)),K91:K95,""))</f>
        <v>0</v>
      </c>
      <c r="L96" s="74">
        <f>SUM(IF(NOT(ISBLANK($B91:$B95)),L91:L95,""))</f>
        <v>0</v>
      </c>
      <c r="M96" s="74">
        <f>SUM(IF(NOT(ISBLANK($B91:$B95)),M91:M95,""))</f>
        <v>0</v>
      </c>
      <c r="N96" s="74">
        <f>SUM(IF(NOT(ISBLANK($B91:$B95)),N91:N95,""))</f>
        <v>0</v>
      </c>
      <c r="O96" s="74">
        <f>SUM(IF(NOT(ISBLANK($B91:$B95)),O91:O95,""))</f>
        <v>0</v>
      </c>
      <c r="P96" s="75"/>
      <c r="Q96" s="74">
        <f>SUM(IF(NOT(ISBLANK($B91:$B95)),Q91:Q95,""))</f>
        <v>0</v>
      </c>
      <c r="R96" s="74">
        <f>SUM(IF(NOT(ISBLANK($B91:$B95)),R91:R95,""))</f>
        <v>0</v>
      </c>
      <c r="S96" s="75"/>
      <c r="T96" s="75"/>
      <c r="U96" s="74">
        <f>SUM(IF(NOT(ISBLANK($B91:$B95)),U91:U95,""))</f>
        <v>0</v>
      </c>
      <c r="V96" s="74">
        <f>SUM(IF(NOT(ISBLANK($B91:$B95)),V91:V95,""))</f>
        <v>0</v>
      </c>
      <c r="W96" s="74">
        <f>SUM(IF(NOT(ISBLANK($B91:$B95)),W91:W95,""))</f>
        <v>0</v>
      </c>
      <c r="X96" s="75"/>
      <c r="Y96" s="74">
        <f>SUM(IF(NOT(ISBLANK($B91:$B95)),Y91:Y95,""))</f>
        <v>0</v>
      </c>
      <c r="Z96" s="74">
        <f>SUM(IF(NOT(ISBLANK($B91:$B95)),Z91:Z95,""))</f>
        <v>0</v>
      </c>
      <c r="AA96" s="75"/>
      <c r="AB96" s="74">
        <f>SUM(IF(NOT(ISBLANK($B91:$B95)),AB91:AB95,""))</f>
        <v>0</v>
      </c>
      <c r="AC96" s="74">
        <f>SUM(IF(NOT(ISBLANK($B91:$B95)),AC91:AC95,""))</f>
        <v>0</v>
      </c>
      <c r="AD96" s="75"/>
      <c r="AE96" s="75"/>
      <c r="AF96" s="76"/>
      <c r="AG96" s="77">
        <v>1</v>
      </c>
    </row>
    <row r="97" spans="1:33" hidden="true">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6"/>
    </row>
    <row r="98" spans="1:33">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6"/>
    </row>
    <row r="99" spans="1:33">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6"/>
    </row>
    <row r="100" spans="1:33">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6"/>
    </row>
    <row r="101" spans="1:33">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6"/>
    </row>
    <row r="102" spans="1:33">
      <c r="A102" s="82" t="str">
        <f>IF(COUNTA(M98:M101)=0,"",IF(COUNTA(F98:F101)=0,IF(COUNTA(D98:D101)=0,"Totals - Final","Totals - Estimated"),"Totals - Corrected"))</f>
        <v/>
      </c>
      <c r="B102" s="85" t="str">
        <f>IF(ISNA(INDEX(B98:B101,MAX(MATCH(REPT("z",255),B98:B101)))),"",INDEX(B98:B101,MAX(MATCH(REPT("z",255),B98:B101))))</f>
        <v/>
      </c>
      <c r="C102" s="85" t="str">
        <f>IF(ISNA(INDEX(C98:C101,MAX(MATCH(REPT("z",255),C98:C101)))),"",INDEX(C98:C101,MAX(MATCH(REPT("z",255),C98:C101))))</f>
        <v/>
      </c>
      <c r="D102" s="85" t="str">
        <f>IF(ISNA(INDEX(A98:A101,MAX(MATCH(REPT("z",255),A98:A101)))),"",INDEX(A98:A101,MAX(MATCH(REPT("z",255),A98:A101))))</f>
        <v/>
      </c>
      <c r="E102" s="83"/>
      <c r="F102" s="83"/>
      <c r="G102" s="84"/>
      <c r="H102" s="84"/>
      <c r="I102" s="84"/>
      <c r="J102" s="74">
        <f>SUM(IF(NOT(ISBLANK($B97:$B101)),J97:J101,""))</f>
        <v>0</v>
      </c>
      <c r="K102" s="74">
        <f>SUM(IF(NOT(ISBLANK($B97:$B101)),K97:K101,""))</f>
        <v>0</v>
      </c>
      <c r="L102" s="74">
        <f>SUM(IF(NOT(ISBLANK($B97:$B101)),L97:L101,""))</f>
        <v>0</v>
      </c>
      <c r="M102" s="74">
        <f>SUM(IF(NOT(ISBLANK($B97:$B101)),M97:M101,""))</f>
        <v>0</v>
      </c>
      <c r="N102" s="74">
        <f>SUM(IF(NOT(ISBLANK($B97:$B101)),N97:N101,""))</f>
        <v>0</v>
      </c>
      <c r="O102" s="74">
        <f>SUM(IF(NOT(ISBLANK($B97:$B101)),O97:O101,""))</f>
        <v>0</v>
      </c>
      <c r="P102" s="75"/>
      <c r="Q102" s="74">
        <f>SUM(IF(NOT(ISBLANK($B97:$B101)),Q97:Q101,""))</f>
        <v>0</v>
      </c>
      <c r="R102" s="74">
        <f>SUM(IF(NOT(ISBLANK($B97:$B101)),R97:R101,""))</f>
        <v>0</v>
      </c>
      <c r="S102" s="75"/>
      <c r="T102" s="75"/>
      <c r="U102" s="74">
        <f>SUM(IF(NOT(ISBLANK($B97:$B101)),U97:U101,""))</f>
        <v>0</v>
      </c>
      <c r="V102" s="74">
        <f>SUM(IF(NOT(ISBLANK($B97:$B101)),V97:V101,""))</f>
        <v>0</v>
      </c>
      <c r="W102" s="74">
        <f>SUM(IF(NOT(ISBLANK($B97:$B101)),W97:W101,""))</f>
        <v>0</v>
      </c>
      <c r="X102" s="75"/>
      <c r="Y102" s="74">
        <f>SUM(IF(NOT(ISBLANK($B97:$B101)),Y97:Y101,""))</f>
        <v>0</v>
      </c>
      <c r="Z102" s="74">
        <f>SUM(IF(NOT(ISBLANK($B97:$B101)),Z97:Z101,""))</f>
        <v>0</v>
      </c>
      <c r="AA102" s="75"/>
      <c r="AB102" s="74">
        <f>SUM(IF(NOT(ISBLANK($B97:$B101)),AB97:AB101,""))</f>
        <v>0</v>
      </c>
      <c r="AC102" s="74">
        <f>SUM(IF(NOT(ISBLANK($B97:$B101)),AC97:AC101,""))</f>
        <v>0</v>
      </c>
      <c r="AD102" s="75"/>
      <c r="AE102" s="75"/>
      <c r="AF102" s="76"/>
      <c r="AG102" s="77">
        <v>1</v>
      </c>
    </row>
    <row r="103" spans="1:33" hidden="true">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6"/>
    </row>
    <row r="104" spans="1:33">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6"/>
    </row>
    <row r="105" spans="1:33">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6"/>
    </row>
    <row r="106" spans="1:33">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6"/>
    </row>
    <row r="107" spans="1:33">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6"/>
    </row>
    <row r="108" spans="1:33">
      <c r="A108" s="82" t="str">
        <f>IF(COUNTA(M104:M107)=0,"",IF(COUNTA(F104:F107)=0,IF(COUNTA(D104:D107)=0,"Totals - Final","Totals - Estimated"),"Totals - Corrected"))</f>
        <v/>
      </c>
      <c r="B108" s="85" t="str">
        <f>IF(ISNA(INDEX(B104:B107,MAX(MATCH(REPT("z",255),B104:B107)))),"",INDEX(B104:B107,MAX(MATCH(REPT("z",255),B104:B107))))</f>
        <v/>
      </c>
      <c r="C108" s="85" t="str">
        <f>IF(ISNA(INDEX(C104:C107,MAX(MATCH(REPT("z",255),C104:C107)))),"",INDEX(C104:C107,MAX(MATCH(REPT("z",255),C104:C107))))</f>
        <v/>
      </c>
      <c r="D108" s="85" t="str">
        <f>IF(ISNA(INDEX(A104:A107,MAX(MATCH(REPT("z",255),A104:A107)))),"",INDEX(A104:A107,MAX(MATCH(REPT("z",255),A104:A107))))</f>
        <v/>
      </c>
      <c r="E108" s="83"/>
      <c r="F108" s="83"/>
      <c r="G108" s="84"/>
      <c r="H108" s="84"/>
      <c r="I108" s="84"/>
      <c r="J108" s="74">
        <f>SUM(IF(NOT(ISBLANK($B103:$B107)),J103:J107,""))</f>
        <v>0</v>
      </c>
      <c r="K108" s="74">
        <f>SUM(IF(NOT(ISBLANK($B103:$B107)),K103:K107,""))</f>
        <v>0</v>
      </c>
      <c r="L108" s="74">
        <f>SUM(IF(NOT(ISBLANK($B103:$B107)),L103:L107,""))</f>
        <v>0</v>
      </c>
      <c r="M108" s="74">
        <f>SUM(IF(NOT(ISBLANK($B103:$B107)),M103:M107,""))</f>
        <v>0</v>
      </c>
      <c r="N108" s="74">
        <f>SUM(IF(NOT(ISBLANK($B103:$B107)),N103:N107,""))</f>
        <v>0</v>
      </c>
      <c r="O108" s="74">
        <f>SUM(IF(NOT(ISBLANK($B103:$B107)),O103:O107,""))</f>
        <v>0</v>
      </c>
      <c r="P108" s="75"/>
      <c r="Q108" s="74">
        <f>SUM(IF(NOT(ISBLANK($B103:$B107)),Q103:Q107,""))</f>
        <v>0</v>
      </c>
      <c r="R108" s="74">
        <f>SUM(IF(NOT(ISBLANK($B103:$B107)),R103:R107,""))</f>
        <v>0</v>
      </c>
      <c r="S108" s="75"/>
      <c r="T108" s="75"/>
      <c r="U108" s="74">
        <f>SUM(IF(NOT(ISBLANK($B103:$B107)),U103:U107,""))</f>
        <v>0</v>
      </c>
      <c r="V108" s="74">
        <f>SUM(IF(NOT(ISBLANK($B103:$B107)),V103:V107,""))</f>
        <v>0</v>
      </c>
      <c r="W108" s="74">
        <f>SUM(IF(NOT(ISBLANK($B103:$B107)),W103:W107,""))</f>
        <v>0</v>
      </c>
      <c r="X108" s="75"/>
      <c r="Y108" s="74">
        <f>SUM(IF(NOT(ISBLANK($B103:$B107)),Y103:Y107,""))</f>
        <v>0</v>
      </c>
      <c r="Z108" s="74">
        <f>SUM(IF(NOT(ISBLANK($B103:$B107)),Z103:Z107,""))</f>
        <v>0</v>
      </c>
      <c r="AA108" s="75"/>
      <c r="AB108" s="74">
        <f>SUM(IF(NOT(ISBLANK($B103:$B107)),AB103:AB107,""))</f>
        <v>0</v>
      </c>
      <c r="AC108" s="74">
        <f>SUM(IF(NOT(ISBLANK($B103:$B107)),AC103:AC107,""))</f>
        <v>0</v>
      </c>
      <c r="AD108" s="75"/>
      <c r="AE108" s="75"/>
      <c r="AF108" s="76"/>
      <c r="AG108" s="77">
        <v>1</v>
      </c>
    </row>
    <row r="109" spans="1:33" hidden="true">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6"/>
    </row>
    <row r="110" spans="1:33">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6"/>
    </row>
    <row r="111" spans="1:33">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6"/>
    </row>
    <row r="112" spans="1:33">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6"/>
    </row>
    <row r="113" spans="1:33">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6"/>
    </row>
    <row r="114" spans="1:33">
      <c r="A114" s="82" t="str">
        <f>IF(COUNTA(M110:M113)=0,"",IF(COUNTA(F110:F113)=0,IF(COUNTA(D110:D113)=0,"Totals - Final","Totals - Estimated"),"Totals - Corrected"))</f>
        <v/>
      </c>
      <c r="B114" s="85" t="str">
        <f>IF(ISNA(INDEX(B110:B113,MAX(MATCH(REPT("z",255),B110:B113)))),"",INDEX(B110:B113,MAX(MATCH(REPT("z",255),B110:B113))))</f>
        <v/>
      </c>
      <c r="C114" s="85" t="str">
        <f>IF(ISNA(INDEX(C110:C113,MAX(MATCH(REPT("z",255),C110:C113)))),"",INDEX(C110:C113,MAX(MATCH(REPT("z",255),C110:C113))))</f>
        <v/>
      </c>
      <c r="D114" s="85" t="str">
        <f>IF(ISNA(INDEX(A110:A113,MAX(MATCH(REPT("z",255),A110:A113)))),"",INDEX(A110:A113,MAX(MATCH(REPT("z",255),A110:A113))))</f>
        <v/>
      </c>
      <c r="E114" s="83"/>
      <c r="F114" s="83"/>
      <c r="G114" s="84"/>
      <c r="H114" s="84"/>
      <c r="I114" s="84"/>
      <c r="J114" s="74">
        <f>SUM(IF(NOT(ISBLANK($B109:$B113)),J109:J113,""))</f>
        <v>0</v>
      </c>
      <c r="K114" s="74">
        <f>SUM(IF(NOT(ISBLANK($B109:$B113)),K109:K113,""))</f>
        <v>0</v>
      </c>
      <c r="L114" s="74">
        <f>SUM(IF(NOT(ISBLANK($B109:$B113)),L109:L113,""))</f>
        <v>0</v>
      </c>
      <c r="M114" s="74">
        <f>SUM(IF(NOT(ISBLANK($B109:$B113)),M109:M113,""))</f>
        <v>0</v>
      </c>
      <c r="N114" s="74">
        <f>SUM(IF(NOT(ISBLANK($B109:$B113)),N109:N113,""))</f>
        <v>0</v>
      </c>
      <c r="O114" s="74">
        <f>SUM(IF(NOT(ISBLANK($B109:$B113)),O109:O113,""))</f>
        <v>0</v>
      </c>
      <c r="P114" s="75"/>
      <c r="Q114" s="74">
        <f>SUM(IF(NOT(ISBLANK($B109:$B113)),Q109:Q113,""))</f>
        <v>0</v>
      </c>
      <c r="R114" s="74">
        <f>SUM(IF(NOT(ISBLANK($B109:$B113)),R109:R113,""))</f>
        <v>0</v>
      </c>
      <c r="S114" s="75"/>
      <c r="T114" s="75"/>
      <c r="U114" s="74">
        <f>SUM(IF(NOT(ISBLANK($B109:$B113)),U109:U113,""))</f>
        <v>0</v>
      </c>
      <c r="V114" s="74">
        <f>SUM(IF(NOT(ISBLANK($B109:$B113)),V109:V113,""))</f>
        <v>0</v>
      </c>
      <c r="W114" s="74">
        <f>SUM(IF(NOT(ISBLANK($B109:$B113)),W109:W113,""))</f>
        <v>0</v>
      </c>
      <c r="X114" s="75"/>
      <c r="Y114" s="74">
        <f>SUM(IF(NOT(ISBLANK($B109:$B113)),Y109:Y113,""))</f>
        <v>0</v>
      </c>
      <c r="Z114" s="74">
        <f>SUM(IF(NOT(ISBLANK($B109:$B113)),Z109:Z113,""))</f>
        <v>0</v>
      </c>
      <c r="AA114" s="75"/>
      <c r="AB114" s="74">
        <f>SUM(IF(NOT(ISBLANK($B109:$B113)),AB109:AB113,""))</f>
        <v>0</v>
      </c>
      <c r="AC114" s="74">
        <f>SUM(IF(NOT(ISBLANK($B109:$B113)),AC109:AC113,""))</f>
        <v>0</v>
      </c>
      <c r="AD114" s="75"/>
      <c r="AE114" s="75"/>
      <c r="AF114" s="76"/>
      <c r="AG114" s="77">
        <v>1</v>
      </c>
    </row>
    <row r="115" spans="1:33" hidden="true">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6"/>
    </row>
    <row r="116" spans="1:33">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6"/>
    </row>
    <row r="117" spans="1:33">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6"/>
    </row>
    <row r="118" spans="1:33">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6"/>
    </row>
    <row r="119" spans="1:33">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6"/>
    </row>
    <row r="120" spans="1:33">
      <c r="A120" s="82" t="str">
        <f>IF(COUNTA(M116:M119)=0,"",IF(COUNTA(F116:F119)=0,IF(COUNTA(D116:D119)=0,"Totals - Final","Totals - Estimated"),"Totals - Corrected"))</f>
        <v/>
      </c>
      <c r="B120" s="85" t="str">
        <f>IF(ISNA(INDEX(B116:B119,MAX(MATCH(REPT("z",255),B116:B119)))),"",INDEX(B116:B119,MAX(MATCH(REPT("z",255),B116:B119))))</f>
        <v/>
      </c>
      <c r="C120" s="85" t="str">
        <f>IF(ISNA(INDEX(C116:C119,MAX(MATCH(REPT("z",255),C116:C119)))),"",INDEX(C116:C119,MAX(MATCH(REPT("z",255),C116:C119))))</f>
        <v/>
      </c>
      <c r="D120" s="85" t="str">
        <f>IF(ISNA(INDEX(A116:A119,MAX(MATCH(REPT("z",255),A116:A119)))),"",INDEX(A116:A119,MAX(MATCH(REPT("z",255),A116:A119))))</f>
        <v/>
      </c>
      <c r="E120" s="83"/>
      <c r="F120" s="83"/>
      <c r="G120" s="84"/>
      <c r="H120" s="84"/>
      <c r="I120" s="84"/>
      <c r="J120" s="74">
        <f>SUM(IF(NOT(ISBLANK($B115:$B119)),J115:J119,""))</f>
        <v>0</v>
      </c>
      <c r="K120" s="74">
        <f>SUM(IF(NOT(ISBLANK($B115:$B119)),K115:K119,""))</f>
        <v>0</v>
      </c>
      <c r="L120" s="74">
        <f>SUM(IF(NOT(ISBLANK($B115:$B119)),L115:L119,""))</f>
        <v>0</v>
      </c>
      <c r="M120" s="74">
        <f>SUM(IF(NOT(ISBLANK($B115:$B119)),M115:M119,""))</f>
        <v>0</v>
      </c>
      <c r="N120" s="74">
        <f>SUM(IF(NOT(ISBLANK($B115:$B119)),N115:N119,""))</f>
        <v>0</v>
      </c>
      <c r="O120" s="74">
        <f>SUM(IF(NOT(ISBLANK($B115:$B119)),O115:O119,""))</f>
        <v>0</v>
      </c>
      <c r="P120" s="75"/>
      <c r="Q120" s="74">
        <f>SUM(IF(NOT(ISBLANK($B115:$B119)),Q115:Q119,""))</f>
        <v>0</v>
      </c>
      <c r="R120" s="74">
        <f>SUM(IF(NOT(ISBLANK($B115:$B119)),R115:R119,""))</f>
        <v>0</v>
      </c>
      <c r="S120" s="75"/>
      <c r="T120" s="75"/>
      <c r="U120" s="74">
        <f>SUM(IF(NOT(ISBLANK($B115:$B119)),U115:U119,""))</f>
        <v>0</v>
      </c>
      <c r="V120" s="74">
        <f>SUM(IF(NOT(ISBLANK($B115:$B119)),V115:V119,""))</f>
        <v>0</v>
      </c>
      <c r="W120" s="74">
        <f>SUM(IF(NOT(ISBLANK($B115:$B119)),W115:W119,""))</f>
        <v>0</v>
      </c>
      <c r="X120" s="75"/>
      <c r="Y120" s="74">
        <f>SUM(IF(NOT(ISBLANK($B115:$B119)),Y115:Y119,""))</f>
        <v>0</v>
      </c>
      <c r="Z120" s="74">
        <f>SUM(IF(NOT(ISBLANK($B115:$B119)),Z115:Z119,""))</f>
        <v>0</v>
      </c>
      <c r="AA120" s="75"/>
      <c r="AB120" s="74">
        <f>SUM(IF(NOT(ISBLANK($B115:$B119)),AB115:AB119,""))</f>
        <v>0</v>
      </c>
      <c r="AC120" s="74">
        <f>SUM(IF(NOT(ISBLANK($B115:$B119)),AC115:AC119,""))</f>
        <v>0</v>
      </c>
      <c r="AD120" s="75"/>
      <c r="AE120" s="75"/>
      <c r="AF120" s="76"/>
      <c r="AG120" s="77">
        <v>1</v>
      </c>
    </row>
    <row r="121" spans="1:33" hidden="true">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6"/>
    </row>
    <row r="122" spans="1:33">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6"/>
    </row>
    <row r="123" spans="1:33">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6"/>
    </row>
    <row r="124" spans="1:33">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6"/>
    </row>
    <row r="125" spans="1:33">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6"/>
    </row>
    <row r="126" spans="1:33">
      <c r="A126" s="82" t="str">
        <f>IF(COUNTA(M122:M125)=0,"",IF(COUNTA(F122:F125)=0,IF(COUNTA(D122:D125)=0,"Totals - Final","Totals - Estimated"),"Totals - Corrected"))</f>
        <v/>
      </c>
      <c r="B126" s="85" t="str">
        <f>IF(ISNA(INDEX(B122:B125,MAX(MATCH(REPT("z",255),B122:B125)))),"",INDEX(B122:B125,MAX(MATCH(REPT("z",255),B122:B125))))</f>
        <v/>
      </c>
      <c r="C126" s="85" t="str">
        <f>IF(ISNA(INDEX(C122:C125,MAX(MATCH(REPT("z",255),C122:C125)))),"",INDEX(C122:C125,MAX(MATCH(REPT("z",255),C122:C125))))</f>
        <v/>
      </c>
      <c r="D126" s="85" t="str">
        <f>IF(ISNA(INDEX(A122:A125,MAX(MATCH(REPT("z",255),A122:A125)))),"",INDEX(A122:A125,MAX(MATCH(REPT("z",255),A122:A125))))</f>
        <v/>
      </c>
      <c r="E126" s="83"/>
      <c r="F126" s="83"/>
      <c r="G126" s="84"/>
      <c r="H126" s="84"/>
      <c r="I126" s="84"/>
      <c r="J126" s="74">
        <f>SUM(IF(NOT(ISBLANK($B121:$B125)),J121:J125,""))</f>
        <v>0</v>
      </c>
      <c r="K126" s="74">
        <f>SUM(IF(NOT(ISBLANK($B121:$B125)),K121:K125,""))</f>
        <v>0</v>
      </c>
      <c r="L126" s="74">
        <f>SUM(IF(NOT(ISBLANK($B121:$B125)),L121:L125,""))</f>
        <v>0</v>
      </c>
      <c r="M126" s="74">
        <f>SUM(IF(NOT(ISBLANK($B121:$B125)),M121:M125,""))</f>
        <v>0</v>
      </c>
      <c r="N126" s="74">
        <f>SUM(IF(NOT(ISBLANK($B121:$B125)),N121:N125,""))</f>
        <v>0</v>
      </c>
      <c r="O126" s="74">
        <f>SUM(IF(NOT(ISBLANK($B121:$B125)),O121:O125,""))</f>
        <v>0</v>
      </c>
      <c r="P126" s="75"/>
      <c r="Q126" s="74">
        <f>SUM(IF(NOT(ISBLANK($B121:$B125)),Q121:Q125,""))</f>
        <v>0</v>
      </c>
      <c r="R126" s="74">
        <f>SUM(IF(NOT(ISBLANK($B121:$B125)),R121:R125,""))</f>
        <v>0</v>
      </c>
      <c r="S126" s="75"/>
      <c r="T126" s="75"/>
      <c r="U126" s="74">
        <f>SUM(IF(NOT(ISBLANK($B121:$B125)),U121:U125,""))</f>
        <v>0</v>
      </c>
      <c r="V126" s="74">
        <f>SUM(IF(NOT(ISBLANK($B121:$B125)),V121:V125,""))</f>
        <v>0</v>
      </c>
      <c r="W126" s="74">
        <f>SUM(IF(NOT(ISBLANK($B121:$B125)),W121:W125,""))</f>
        <v>0</v>
      </c>
      <c r="X126" s="75"/>
      <c r="Y126" s="74">
        <f>SUM(IF(NOT(ISBLANK($B121:$B125)),Y121:Y125,""))</f>
        <v>0</v>
      </c>
      <c r="Z126" s="74">
        <f>SUM(IF(NOT(ISBLANK($B121:$B125)),Z121:Z125,""))</f>
        <v>0</v>
      </c>
      <c r="AA126" s="75"/>
      <c r="AB126" s="74">
        <f>SUM(IF(NOT(ISBLANK($B121:$B125)),AB121:AB125,""))</f>
        <v>0</v>
      </c>
      <c r="AC126" s="74">
        <f>SUM(IF(NOT(ISBLANK($B121:$B125)),AC121:AC125,""))</f>
        <v>0</v>
      </c>
      <c r="AD126" s="75"/>
      <c r="AE126" s="75"/>
      <c r="AF126" s="76"/>
      <c r="AG126" s="77">
        <v>1</v>
      </c>
    </row>
    <row r="127" spans="1:33" hidden="true">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6"/>
    </row>
    <row r="128" spans="1:33">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6"/>
    </row>
    <row r="129" spans="1:33">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6"/>
    </row>
    <row r="130" spans="1:33">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6"/>
    </row>
    <row r="131" spans="1:33">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6"/>
    </row>
    <row r="132" spans="1:33">
      <c r="A132" s="82" t="str">
        <f>IF(COUNTA(M128:M131)=0,"",IF(COUNTA(F128:F131)=0,IF(COUNTA(D128:D131)=0,"Totals - Final","Totals - Estimated"),"Totals - Corrected"))</f>
        <v/>
      </c>
      <c r="B132" s="85" t="str">
        <f>IF(ISNA(INDEX(B128:B131,MAX(MATCH(REPT("z",255),B128:B131)))),"",INDEX(B128:B131,MAX(MATCH(REPT("z",255),B128:B131))))</f>
        <v/>
      </c>
      <c r="C132" s="85" t="str">
        <f>IF(ISNA(INDEX(C128:C131,MAX(MATCH(REPT("z",255),C128:C131)))),"",INDEX(C128:C131,MAX(MATCH(REPT("z",255),C128:C131))))</f>
        <v/>
      </c>
      <c r="D132" s="85" t="str">
        <f>IF(ISNA(INDEX(A128:A131,MAX(MATCH(REPT("z",255),A128:A131)))),"",INDEX(A128:A131,MAX(MATCH(REPT("z",255),A128:A131))))</f>
        <v/>
      </c>
      <c r="E132" s="83"/>
      <c r="F132" s="83"/>
      <c r="G132" s="84"/>
      <c r="H132" s="84"/>
      <c r="I132" s="84"/>
      <c r="J132" s="74">
        <f>SUM(IF(NOT(ISBLANK($B127:$B131)),J127:J131,""))</f>
        <v>0</v>
      </c>
      <c r="K132" s="74">
        <f>SUM(IF(NOT(ISBLANK($B127:$B131)),K127:K131,""))</f>
        <v>0</v>
      </c>
      <c r="L132" s="74">
        <f>SUM(IF(NOT(ISBLANK($B127:$B131)),L127:L131,""))</f>
        <v>0</v>
      </c>
      <c r="M132" s="74">
        <f>SUM(IF(NOT(ISBLANK($B127:$B131)),M127:M131,""))</f>
        <v>0</v>
      </c>
      <c r="N132" s="74">
        <f>SUM(IF(NOT(ISBLANK($B127:$B131)),N127:N131,""))</f>
        <v>0</v>
      </c>
      <c r="O132" s="74">
        <f>SUM(IF(NOT(ISBLANK($B127:$B131)),O127:O131,""))</f>
        <v>0</v>
      </c>
      <c r="P132" s="75"/>
      <c r="Q132" s="74">
        <f>SUM(IF(NOT(ISBLANK($B127:$B131)),Q127:Q131,""))</f>
        <v>0</v>
      </c>
      <c r="R132" s="74">
        <f>SUM(IF(NOT(ISBLANK($B127:$B131)),R127:R131,""))</f>
        <v>0</v>
      </c>
      <c r="S132" s="75"/>
      <c r="T132" s="75"/>
      <c r="U132" s="74">
        <f>SUM(IF(NOT(ISBLANK($B127:$B131)),U127:U131,""))</f>
        <v>0</v>
      </c>
      <c r="V132" s="74">
        <f>SUM(IF(NOT(ISBLANK($B127:$B131)),V127:V131,""))</f>
        <v>0</v>
      </c>
      <c r="W132" s="74">
        <f>SUM(IF(NOT(ISBLANK($B127:$B131)),W127:W131,""))</f>
        <v>0</v>
      </c>
      <c r="X132" s="75"/>
      <c r="Y132" s="74">
        <f>SUM(IF(NOT(ISBLANK($B127:$B131)),Y127:Y131,""))</f>
        <v>0</v>
      </c>
      <c r="Z132" s="74">
        <f>SUM(IF(NOT(ISBLANK($B127:$B131)),Z127:Z131,""))</f>
        <v>0</v>
      </c>
      <c r="AA132" s="75"/>
      <c r="AB132" s="74">
        <f>SUM(IF(NOT(ISBLANK($B127:$B131)),AB127:AB131,""))</f>
        <v>0</v>
      </c>
      <c r="AC132" s="74">
        <f>SUM(IF(NOT(ISBLANK($B127:$B131)),AC127:AC131,""))</f>
        <v>0</v>
      </c>
      <c r="AD132" s="75"/>
      <c r="AE132" s="75"/>
      <c r="AF132" s="76"/>
      <c r="AG132" s="77">
        <v>1</v>
      </c>
    </row>
    <row r="133" spans="1:33" hidden="true">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6"/>
    </row>
    <row r="134" spans="1:33">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6"/>
    </row>
    <row r="135" spans="1:33">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6"/>
    </row>
    <row r="136" spans="1:33">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6"/>
    </row>
    <row r="137" spans="1:33">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6"/>
    </row>
    <row r="138" spans="1:33">
      <c r="A138" s="82" t="str">
        <f>IF(COUNTA(M134:M137)=0,"",IF(COUNTA(F134:F137)=0,IF(COUNTA(D134:D137)=0,"Totals - Final","Totals - Estimated"),"Totals - Corrected"))</f>
        <v/>
      </c>
      <c r="B138" s="85" t="str">
        <f>IF(ISNA(INDEX(B134:B137,MAX(MATCH(REPT("z",255),B134:B137)))),"",INDEX(B134:B137,MAX(MATCH(REPT("z",255),B134:B137))))</f>
        <v/>
      </c>
      <c r="C138" s="85" t="str">
        <f>IF(ISNA(INDEX(C134:C137,MAX(MATCH(REPT("z",255),C134:C137)))),"",INDEX(C134:C137,MAX(MATCH(REPT("z",255),C134:C137))))</f>
        <v/>
      </c>
      <c r="D138" s="85" t="str">
        <f>IF(ISNA(INDEX(A134:A137,MAX(MATCH(REPT("z",255),A134:A137)))),"",INDEX(A134:A137,MAX(MATCH(REPT("z",255),A134:A137))))</f>
        <v/>
      </c>
      <c r="E138" s="83"/>
      <c r="F138" s="83"/>
      <c r="G138" s="84"/>
      <c r="H138" s="84"/>
      <c r="I138" s="84"/>
      <c r="J138" s="74">
        <f>SUM(IF(NOT(ISBLANK($B133:$B137)),J133:J137,""))</f>
        <v>0</v>
      </c>
      <c r="K138" s="74">
        <f>SUM(IF(NOT(ISBLANK($B133:$B137)),K133:K137,""))</f>
        <v>0</v>
      </c>
      <c r="L138" s="74">
        <f>SUM(IF(NOT(ISBLANK($B133:$B137)),L133:L137,""))</f>
        <v>0</v>
      </c>
      <c r="M138" s="74">
        <f>SUM(IF(NOT(ISBLANK($B133:$B137)),M133:M137,""))</f>
        <v>0</v>
      </c>
      <c r="N138" s="74">
        <f>SUM(IF(NOT(ISBLANK($B133:$B137)),N133:N137,""))</f>
        <v>0</v>
      </c>
      <c r="O138" s="74">
        <f>SUM(IF(NOT(ISBLANK($B133:$B137)),O133:O137,""))</f>
        <v>0</v>
      </c>
      <c r="P138" s="75"/>
      <c r="Q138" s="74">
        <f>SUM(IF(NOT(ISBLANK($B133:$B137)),Q133:Q137,""))</f>
        <v>0</v>
      </c>
      <c r="R138" s="74">
        <f>SUM(IF(NOT(ISBLANK($B133:$B137)),R133:R137,""))</f>
        <v>0</v>
      </c>
      <c r="S138" s="75"/>
      <c r="T138" s="75"/>
      <c r="U138" s="74">
        <f>SUM(IF(NOT(ISBLANK($B133:$B137)),U133:U137,""))</f>
        <v>0</v>
      </c>
      <c r="V138" s="74">
        <f>SUM(IF(NOT(ISBLANK($B133:$B137)),V133:V137,""))</f>
        <v>0</v>
      </c>
      <c r="W138" s="74">
        <f>SUM(IF(NOT(ISBLANK($B133:$B137)),W133:W137,""))</f>
        <v>0</v>
      </c>
      <c r="X138" s="75"/>
      <c r="Y138" s="74">
        <f>SUM(IF(NOT(ISBLANK($B133:$B137)),Y133:Y137,""))</f>
        <v>0</v>
      </c>
      <c r="Z138" s="74">
        <f>SUM(IF(NOT(ISBLANK($B133:$B137)),Z133:Z137,""))</f>
        <v>0</v>
      </c>
      <c r="AA138" s="75"/>
      <c r="AB138" s="74">
        <f>SUM(IF(NOT(ISBLANK($B133:$B137)),AB133:AB137,""))</f>
        <v>0</v>
      </c>
      <c r="AC138" s="74">
        <f>SUM(IF(NOT(ISBLANK($B133:$B137)),AC133:AC137,""))</f>
        <v>0</v>
      </c>
      <c r="AD138" s="75"/>
      <c r="AE138" s="75"/>
      <c r="AF138" s="76"/>
      <c r="AG138" s="77">
        <v>1</v>
      </c>
    </row>
    <row r="139" spans="1:33" hidden="true">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6"/>
    </row>
    <row r="140" spans="1:33">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6"/>
    </row>
    <row r="141" spans="1:33">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6"/>
    </row>
    <row r="142" spans="1:33">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6"/>
    </row>
    <row r="143" spans="1:33">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6"/>
    </row>
    <row r="144" spans="1:33">
      <c r="A144" s="82" t="str">
        <f>IF(COUNTA(M140:M143)=0,"",IF(COUNTA(F140:F143)=0,IF(COUNTA(D140:D143)=0,"Totals - Final","Totals - Estimated"),"Totals - Corrected"))</f>
        <v/>
      </c>
      <c r="B144" s="85" t="str">
        <f>IF(ISNA(INDEX(B140:B143,MAX(MATCH(REPT("z",255),B140:B143)))),"",INDEX(B140:B143,MAX(MATCH(REPT("z",255),B140:B143))))</f>
        <v/>
      </c>
      <c r="C144" s="85" t="str">
        <f>IF(ISNA(INDEX(C140:C143,MAX(MATCH(REPT("z",255),C140:C143)))),"",INDEX(C140:C143,MAX(MATCH(REPT("z",255),C140:C143))))</f>
        <v/>
      </c>
      <c r="D144" s="85" t="str">
        <f>IF(ISNA(INDEX(A140:A143,MAX(MATCH(REPT("z",255),A140:A143)))),"",INDEX(A140:A143,MAX(MATCH(REPT("z",255),A140:A143))))</f>
        <v/>
      </c>
      <c r="E144" s="83"/>
      <c r="F144" s="83"/>
      <c r="G144" s="84"/>
      <c r="H144" s="84"/>
      <c r="I144" s="84"/>
      <c r="J144" s="74">
        <f>SUM(IF(NOT(ISBLANK($B139:$B143)),J139:J143,""))</f>
        <v>0</v>
      </c>
      <c r="K144" s="74">
        <f>SUM(IF(NOT(ISBLANK($B139:$B143)),K139:K143,""))</f>
        <v>0</v>
      </c>
      <c r="L144" s="74">
        <f>SUM(IF(NOT(ISBLANK($B139:$B143)),L139:L143,""))</f>
        <v>0</v>
      </c>
      <c r="M144" s="74">
        <f>SUM(IF(NOT(ISBLANK($B139:$B143)),M139:M143,""))</f>
        <v>0</v>
      </c>
      <c r="N144" s="74">
        <f>SUM(IF(NOT(ISBLANK($B139:$B143)),N139:N143,""))</f>
        <v>0</v>
      </c>
      <c r="O144" s="74">
        <f>SUM(IF(NOT(ISBLANK($B139:$B143)),O139:O143,""))</f>
        <v>0</v>
      </c>
      <c r="P144" s="75"/>
      <c r="Q144" s="74">
        <f>SUM(IF(NOT(ISBLANK($B139:$B143)),Q139:Q143,""))</f>
        <v>0</v>
      </c>
      <c r="R144" s="74">
        <f>SUM(IF(NOT(ISBLANK($B139:$B143)),R139:R143,""))</f>
        <v>0</v>
      </c>
      <c r="S144" s="75"/>
      <c r="T144" s="75"/>
      <c r="U144" s="74">
        <f>SUM(IF(NOT(ISBLANK($B139:$B143)),U139:U143,""))</f>
        <v>0</v>
      </c>
      <c r="V144" s="74">
        <f>SUM(IF(NOT(ISBLANK($B139:$B143)),V139:V143,""))</f>
        <v>0</v>
      </c>
      <c r="W144" s="74">
        <f>SUM(IF(NOT(ISBLANK($B139:$B143)),W139:W143,""))</f>
        <v>0</v>
      </c>
      <c r="X144" s="75"/>
      <c r="Y144" s="74">
        <f>SUM(IF(NOT(ISBLANK($B139:$B143)),Y139:Y143,""))</f>
        <v>0</v>
      </c>
      <c r="Z144" s="74">
        <f>SUM(IF(NOT(ISBLANK($B139:$B143)),Z139:Z143,""))</f>
        <v>0</v>
      </c>
      <c r="AA144" s="75"/>
      <c r="AB144" s="74">
        <f>SUM(IF(NOT(ISBLANK($B139:$B143)),AB139:AB143,""))</f>
        <v>0</v>
      </c>
      <c r="AC144" s="74">
        <f>SUM(IF(NOT(ISBLANK($B139:$B143)),AC139:AC143,""))</f>
        <v>0</v>
      </c>
      <c r="AD144" s="75"/>
      <c r="AE144" s="75"/>
      <c r="AF144" s="76"/>
      <c r="AG144" s="77">
        <v>1</v>
      </c>
    </row>
    <row r="145" spans="1:33" hidden="true">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6"/>
    </row>
    <row r="146" spans="1:33">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6"/>
    </row>
    <row r="147" spans="1:33">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6"/>
    </row>
    <row r="148" spans="1:33">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6"/>
    </row>
    <row r="149" spans="1:33">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6"/>
    </row>
    <row r="150" spans="1:33">
      <c r="A150" s="82" t="str">
        <f>IF(COUNTA(M146:M149)=0,"",IF(COUNTA(F146:F149)=0,IF(COUNTA(D146:D149)=0,"Totals - Final","Totals - Estimated"),"Totals - Corrected"))</f>
        <v/>
      </c>
      <c r="B150" s="85" t="str">
        <f>IF(ISNA(INDEX(B146:B149,MAX(MATCH(REPT("z",255),B146:B149)))),"",INDEX(B146:B149,MAX(MATCH(REPT("z",255),B146:B149))))</f>
        <v/>
      </c>
      <c r="C150" s="85" t="str">
        <f>IF(ISNA(INDEX(C146:C149,MAX(MATCH(REPT("z",255),C146:C149)))),"",INDEX(C146:C149,MAX(MATCH(REPT("z",255),C146:C149))))</f>
        <v/>
      </c>
      <c r="D150" s="85" t="str">
        <f>IF(ISNA(INDEX(A146:A149,MAX(MATCH(REPT("z",255),A146:A149)))),"",INDEX(A146:A149,MAX(MATCH(REPT("z",255),A146:A149))))</f>
        <v/>
      </c>
      <c r="E150" s="83"/>
      <c r="F150" s="83"/>
      <c r="G150" s="84"/>
      <c r="H150" s="84"/>
      <c r="I150" s="84"/>
      <c r="J150" s="74">
        <f>SUM(IF(NOT(ISBLANK($B145:$B149)),J145:J149,""))</f>
        <v>0</v>
      </c>
      <c r="K150" s="74">
        <f>SUM(IF(NOT(ISBLANK($B145:$B149)),K145:K149,""))</f>
        <v>0</v>
      </c>
      <c r="L150" s="74">
        <f>SUM(IF(NOT(ISBLANK($B145:$B149)),L145:L149,""))</f>
        <v>0</v>
      </c>
      <c r="M150" s="74">
        <f>SUM(IF(NOT(ISBLANK($B145:$B149)),M145:M149,""))</f>
        <v>0</v>
      </c>
      <c r="N150" s="74">
        <f>SUM(IF(NOT(ISBLANK($B145:$B149)),N145:N149,""))</f>
        <v>0</v>
      </c>
      <c r="O150" s="74">
        <f>SUM(IF(NOT(ISBLANK($B145:$B149)),O145:O149,""))</f>
        <v>0</v>
      </c>
      <c r="P150" s="75"/>
      <c r="Q150" s="74">
        <f>SUM(IF(NOT(ISBLANK($B145:$B149)),Q145:Q149,""))</f>
        <v>0</v>
      </c>
      <c r="R150" s="74">
        <f>SUM(IF(NOT(ISBLANK($B145:$B149)),R145:R149,""))</f>
        <v>0</v>
      </c>
      <c r="S150" s="75"/>
      <c r="T150" s="75"/>
      <c r="U150" s="74">
        <f>SUM(IF(NOT(ISBLANK($B145:$B149)),U145:U149,""))</f>
        <v>0</v>
      </c>
      <c r="V150" s="74">
        <f>SUM(IF(NOT(ISBLANK($B145:$B149)),V145:V149,""))</f>
        <v>0</v>
      </c>
      <c r="W150" s="74">
        <f>SUM(IF(NOT(ISBLANK($B145:$B149)),W145:W149,""))</f>
        <v>0</v>
      </c>
      <c r="X150" s="75"/>
      <c r="Y150" s="74">
        <f>SUM(IF(NOT(ISBLANK($B145:$B149)),Y145:Y149,""))</f>
        <v>0</v>
      </c>
      <c r="Z150" s="74">
        <f>SUM(IF(NOT(ISBLANK($B145:$B149)),Z145:Z149,""))</f>
        <v>0</v>
      </c>
      <c r="AA150" s="75"/>
      <c r="AB150" s="74">
        <f>SUM(IF(NOT(ISBLANK($B145:$B149)),AB145:AB149,""))</f>
        <v>0</v>
      </c>
      <c r="AC150" s="74">
        <f>SUM(IF(NOT(ISBLANK($B145:$B149)),AC145:AC149,""))</f>
        <v>0</v>
      </c>
      <c r="AD150" s="75"/>
      <c r="AE150" s="75"/>
      <c r="AF150" s="76"/>
      <c r="AG150" s="77">
        <v>1</v>
      </c>
    </row>
    <row r="151" spans="1:33" hidden="true">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6"/>
    </row>
    <row r="152" spans="1:33">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6"/>
    </row>
    <row r="153" spans="1:33">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6"/>
    </row>
    <row r="154" spans="1:33">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6"/>
    </row>
    <row r="155" spans="1:33">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6"/>
    </row>
    <row r="156" spans="1:33">
      <c r="A156" s="82" t="str">
        <f>IF(COUNTA(M152:M155)=0,"",IF(COUNTA(F152:F155)=0,IF(COUNTA(D152:D155)=0,"Totals - Final","Totals - Estimated"),"Totals - Corrected"))</f>
        <v/>
      </c>
      <c r="B156" s="85" t="str">
        <f>IF(ISNA(INDEX(B152:B155,MAX(MATCH(REPT("z",255),B152:B155)))),"",INDEX(B152:B155,MAX(MATCH(REPT("z",255),B152:B155))))</f>
        <v/>
      </c>
      <c r="C156" s="85" t="str">
        <f>IF(ISNA(INDEX(C152:C155,MAX(MATCH(REPT("z",255),C152:C155)))),"",INDEX(C152:C155,MAX(MATCH(REPT("z",255),C152:C155))))</f>
        <v/>
      </c>
      <c r="D156" s="85" t="str">
        <f>IF(ISNA(INDEX(A152:A155,MAX(MATCH(REPT("z",255),A152:A155)))),"",INDEX(A152:A155,MAX(MATCH(REPT("z",255),A152:A155))))</f>
        <v/>
      </c>
      <c r="E156" s="83"/>
      <c r="F156" s="83"/>
      <c r="G156" s="84"/>
      <c r="H156" s="84"/>
      <c r="I156" s="84"/>
      <c r="J156" s="74">
        <f>SUM(IF(NOT(ISBLANK($B151:$B155)),J151:J155,""))</f>
        <v>0</v>
      </c>
      <c r="K156" s="74">
        <f>SUM(IF(NOT(ISBLANK($B151:$B155)),K151:K155,""))</f>
        <v>0</v>
      </c>
      <c r="L156" s="74">
        <f>SUM(IF(NOT(ISBLANK($B151:$B155)),L151:L155,""))</f>
        <v>0</v>
      </c>
      <c r="M156" s="74">
        <f>SUM(IF(NOT(ISBLANK($B151:$B155)),M151:M155,""))</f>
        <v>0</v>
      </c>
      <c r="N156" s="74">
        <f>SUM(IF(NOT(ISBLANK($B151:$B155)),N151:N155,""))</f>
        <v>0</v>
      </c>
      <c r="O156" s="74">
        <f>SUM(IF(NOT(ISBLANK($B151:$B155)),O151:O155,""))</f>
        <v>0</v>
      </c>
      <c r="P156" s="75"/>
      <c r="Q156" s="74">
        <f>SUM(IF(NOT(ISBLANK($B151:$B155)),Q151:Q155,""))</f>
        <v>0</v>
      </c>
      <c r="R156" s="74">
        <f>SUM(IF(NOT(ISBLANK($B151:$B155)),R151:R155,""))</f>
        <v>0</v>
      </c>
      <c r="S156" s="75"/>
      <c r="T156" s="75"/>
      <c r="U156" s="74">
        <f>SUM(IF(NOT(ISBLANK($B151:$B155)),U151:U155,""))</f>
        <v>0</v>
      </c>
      <c r="V156" s="74">
        <f>SUM(IF(NOT(ISBLANK($B151:$B155)),V151:V155,""))</f>
        <v>0</v>
      </c>
      <c r="W156" s="74">
        <f>SUM(IF(NOT(ISBLANK($B151:$B155)),W151:W155,""))</f>
        <v>0</v>
      </c>
      <c r="X156" s="75"/>
      <c r="Y156" s="74">
        <f>SUM(IF(NOT(ISBLANK($B151:$B155)),Y151:Y155,""))</f>
        <v>0</v>
      </c>
      <c r="Z156" s="74">
        <f>SUM(IF(NOT(ISBLANK($B151:$B155)),Z151:Z155,""))</f>
        <v>0</v>
      </c>
      <c r="AA156" s="75"/>
      <c r="AB156" s="74">
        <f>SUM(IF(NOT(ISBLANK($B151:$B155)),AB151:AB155,""))</f>
        <v>0</v>
      </c>
      <c r="AC156" s="74">
        <f>SUM(IF(NOT(ISBLANK($B151:$B155)),AC151:AC155,""))</f>
        <v>0</v>
      </c>
      <c r="AD156" s="75"/>
      <c r="AE156" s="75"/>
      <c r="AF156" s="76"/>
      <c r="AG156" s="77">
        <v>1</v>
      </c>
    </row>
    <row r="157" spans="1:33" hidden="true">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6"/>
    </row>
    <row r="158" spans="1:33">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6"/>
    </row>
    <row r="159" spans="1:33">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6"/>
    </row>
    <row r="160" spans="1:33">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6"/>
    </row>
    <row r="161" spans="1:33">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6"/>
    </row>
    <row r="162" spans="1:33">
      <c r="A162" s="82" t="str">
        <f>IF(COUNTA(M158:M161)=0,"",IF(COUNTA(F158:F161)=0,IF(COUNTA(D158:D161)=0,"Totals - Final","Totals - Estimated"),"Totals - Corrected"))</f>
        <v/>
      </c>
      <c r="B162" s="85" t="str">
        <f>IF(ISNA(INDEX(B158:B161,MAX(MATCH(REPT("z",255),B158:B161)))),"",INDEX(B158:B161,MAX(MATCH(REPT("z",255),B158:B161))))</f>
        <v/>
      </c>
      <c r="C162" s="85" t="str">
        <f>IF(ISNA(INDEX(C158:C161,MAX(MATCH(REPT("z",255),C158:C161)))),"",INDEX(C158:C161,MAX(MATCH(REPT("z",255),C158:C161))))</f>
        <v/>
      </c>
      <c r="D162" s="85" t="str">
        <f>IF(ISNA(INDEX(A158:A161,MAX(MATCH(REPT("z",255),A158:A161)))),"",INDEX(A158:A161,MAX(MATCH(REPT("z",255),A158:A161))))</f>
        <v/>
      </c>
      <c r="E162" s="83"/>
      <c r="F162" s="83"/>
      <c r="G162" s="84"/>
      <c r="H162" s="84"/>
      <c r="I162" s="84"/>
      <c r="J162" s="74">
        <f>SUM(IF(NOT(ISBLANK($B157:$B161)),J157:J161,""))</f>
        <v>0</v>
      </c>
      <c r="K162" s="74">
        <f>SUM(IF(NOT(ISBLANK($B157:$B161)),K157:K161,""))</f>
        <v>0</v>
      </c>
      <c r="L162" s="74">
        <f>SUM(IF(NOT(ISBLANK($B157:$B161)),L157:L161,""))</f>
        <v>0</v>
      </c>
      <c r="M162" s="74">
        <f>SUM(IF(NOT(ISBLANK($B157:$B161)),M157:M161,""))</f>
        <v>0</v>
      </c>
      <c r="N162" s="74">
        <f>SUM(IF(NOT(ISBLANK($B157:$B161)),N157:N161,""))</f>
        <v>0</v>
      </c>
      <c r="O162" s="74">
        <f>SUM(IF(NOT(ISBLANK($B157:$B161)),O157:O161,""))</f>
        <v>0</v>
      </c>
      <c r="P162" s="75"/>
      <c r="Q162" s="74">
        <f>SUM(IF(NOT(ISBLANK($B157:$B161)),Q157:Q161,""))</f>
        <v>0</v>
      </c>
      <c r="R162" s="74">
        <f>SUM(IF(NOT(ISBLANK($B157:$B161)),R157:R161,""))</f>
        <v>0</v>
      </c>
      <c r="S162" s="75"/>
      <c r="T162" s="75"/>
      <c r="U162" s="74">
        <f>SUM(IF(NOT(ISBLANK($B157:$B161)),U157:U161,""))</f>
        <v>0</v>
      </c>
      <c r="V162" s="74">
        <f>SUM(IF(NOT(ISBLANK($B157:$B161)),V157:V161,""))</f>
        <v>0</v>
      </c>
      <c r="W162" s="74">
        <f>SUM(IF(NOT(ISBLANK($B157:$B161)),W157:W161,""))</f>
        <v>0</v>
      </c>
      <c r="X162" s="75"/>
      <c r="Y162" s="74">
        <f>SUM(IF(NOT(ISBLANK($B157:$B161)),Y157:Y161,""))</f>
        <v>0</v>
      </c>
      <c r="Z162" s="74">
        <f>SUM(IF(NOT(ISBLANK($B157:$B161)),Z157:Z161,""))</f>
        <v>0</v>
      </c>
      <c r="AA162" s="75"/>
      <c r="AB162" s="74">
        <f>SUM(IF(NOT(ISBLANK($B157:$B161)),AB157:AB161,""))</f>
        <v>0</v>
      </c>
      <c r="AC162" s="74">
        <f>SUM(IF(NOT(ISBLANK($B157:$B161)),AC157:AC161,""))</f>
        <v>0</v>
      </c>
      <c r="AD162" s="75"/>
      <c r="AE162" s="75"/>
      <c r="AF162" s="76"/>
      <c r="AG162" s="77">
        <v>1</v>
      </c>
    </row>
    <row r="163" spans="1:33" hidden="true">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6"/>
    </row>
    <row r="164" spans="1:33">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6"/>
    </row>
    <row r="165" spans="1:33">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6"/>
    </row>
    <row r="166" spans="1:33">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6"/>
    </row>
    <row r="167" spans="1:33">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6"/>
    </row>
    <row r="168" spans="1:33">
      <c r="A168" s="82" t="str">
        <f>IF(COUNTA(M164:M167)=0,"",IF(COUNTA(F164:F167)=0,IF(COUNTA(D164:D167)=0,"Totals - Final","Totals - Estimated"),"Totals - Corrected"))</f>
        <v/>
      </c>
      <c r="B168" s="85" t="str">
        <f>IF(ISNA(INDEX(B164:B167,MAX(MATCH(REPT("z",255),B164:B167)))),"",INDEX(B164:B167,MAX(MATCH(REPT("z",255),B164:B167))))</f>
        <v/>
      </c>
      <c r="C168" s="85" t="str">
        <f>IF(ISNA(INDEX(C164:C167,MAX(MATCH(REPT("z",255),C164:C167)))),"",INDEX(C164:C167,MAX(MATCH(REPT("z",255),C164:C167))))</f>
        <v/>
      </c>
      <c r="D168" s="85" t="str">
        <f>IF(ISNA(INDEX(A164:A167,MAX(MATCH(REPT("z",255),A164:A167)))),"",INDEX(A164:A167,MAX(MATCH(REPT("z",255),A164:A167))))</f>
        <v/>
      </c>
      <c r="E168" s="83"/>
      <c r="F168" s="83"/>
      <c r="G168" s="84"/>
      <c r="H168" s="84"/>
      <c r="I168" s="84"/>
      <c r="J168" s="74">
        <f>SUM(IF(NOT(ISBLANK($B163:$B167)),J163:J167,""))</f>
        <v>0</v>
      </c>
      <c r="K168" s="74">
        <f>SUM(IF(NOT(ISBLANK($B163:$B167)),K163:K167,""))</f>
        <v>0</v>
      </c>
      <c r="L168" s="74">
        <f>SUM(IF(NOT(ISBLANK($B163:$B167)),L163:L167,""))</f>
        <v>0</v>
      </c>
      <c r="M168" s="74">
        <f>SUM(IF(NOT(ISBLANK($B163:$B167)),M163:M167,""))</f>
        <v>0</v>
      </c>
      <c r="N168" s="74">
        <f>SUM(IF(NOT(ISBLANK($B163:$B167)),N163:N167,""))</f>
        <v>0</v>
      </c>
      <c r="O168" s="74">
        <f>SUM(IF(NOT(ISBLANK($B163:$B167)),O163:O167,""))</f>
        <v>0</v>
      </c>
      <c r="P168" s="75"/>
      <c r="Q168" s="74">
        <f>SUM(IF(NOT(ISBLANK($B163:$B167)),Q163:Q167,""))</f>
        <v>0</v>
      </c>
      <c r="R168" s="74">
        <f>SUM(IF(NOT(ISBLANK($B163:$B167)),R163:R167,""))</f>
        <v>0</v>
      </c>
      <c r="S168" s="75"/>
      <c r="T168" s="75"/>
      <c r="U168" s="74">
        <f>SUM(IF(NOT(ISBLANK($B163:$B167)),U163:U167,""))</f>
        <v>0</v>
      </c>
      <c r="V168" s="74">
        <f>SUM(IF(NOT(ISBLANK($B163:$B167)),V163:V167,""))</f>
        <v>0</v>
      </c>
      <c r="W168" s="74">
        <f>SUM(IF(NOT(ISBLANK($B163:$B167)),W163:W167,""))</f>
        <v>0</v>
      </c>
      <c r="X168" s="75"/>
      <c r="Y168" s="74">
        <f>SUM(IF(NOT(ISBLANK($B163:$B167)),Y163:Y167,""))</f>
        <v>0</v>
      </c>
      <c r="Z168" s="74">
        <f>SUM(IF(NOT(ISBLANK($B163:$B167)),Z163:Z167,""))</f>
        <v>0</v>
      </c>
      <c r="AA168" s="75"/>
      <c r="AB168" s="74">
        <f>SUM(IF(NOT(ISBLANK($B163:$B167)),AB163:AB167,""))</f>
        <v>0</v>
      </c>
      <c r="AC168" s="74">
        <f>SUM(IF(NOT(ISBLANK($B163:$B167)),AC163:AC167,""))</f>
        <v>0</v>
      </c>
      <c r="AD168" s="75"/>
      <c r="AE168" s="75"/>
      <c r="AF168" s="76"/>
      <c r="AG168" s="77">
        <v>1</v>
      </c>
    </row>
  </sheetData>
  <sheetProtection password="D411"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2281817c2be9eecbef3e111c1bf69d3" sqref="A25:AG29 A19:AG23 A31:AG35 A37:AG41 A43:AG47 A49:AG53 A55:AG59 A61:AG65 A67:AG71 A73:AG77 A79:AG83 A85:AG89 A91:AG95 A97:AG101 A103:AG107 A109:AG113 A115:AG119 A121:AG125 A127:AG131 A133:AG137 A139:AG143 A145:AG149 A151:AG155 A157:AG161 A163:AG167" password="CE88"/>
    <protectedRange name="p68b1f1cc15d8987eafe633c9488bdc05" sqref="B6" password=""/>
    <protectedRange name="pcd10f43b6dda9efa7a329bea8709a951" sqref="A31:AG35 A25:AG29 A37:AG41 A43:AG47 A49:AG53 A55:AG59 A61:AG65 A67:AG71 A73:AG77 A79:AG83 A85:AG89 A91:AG95 A97:AG101 A103:AG107 A109:AG113 A115:AG119 A121:AG125 A127:AG131 A133:AG137 A139:AG143 A145:AG149 A151:AG155 A157:AG161 A163:AG167 A19:AG23" password=""/>
  </protectedRanges>
  <mergeCells>
    <mergeCell ref="K2:Q5"/>
    <mergeCell ref="A9:M10"/>
    <mergeCell ref="A13:D13"/>
    <mergeCell ref="K15:M15"/>
  </mergeCells>
  <dataValidations count="500">
    <dataValidation allowBlank="1" showDropDown="0" showInputMessage="0" showErrorMessage="0" promptTitle="Note:" prompt="Additional rows can be inserted if more than 4 dividends were paid on a security." sqref="A163"/>
    <dataValidation allowBlank="1" showDropDown="0" showInputMessage="0" showErrorMessage="0" promptTitle="Note:" prompt="Additional rows can be inserted if more than 4 dividends were paid on a security." sqref="A164"/>
    <dataValidation allowBlank="1" showDropDown="0" showInputMessage="0" showErrorMessage="0" promptTitle="Note:" prompt="Additional rows can be inserted if more than 4 dividends were paid on a security." sqref="A165"/>
    <dataValidation allowBlank="1" showDropDown="0" showInputMessage="0" showErrorMessage="0" promptTitle="Note:" prompt="Additional rows can be inserted if more than 4 dividends were paid on a security." sqref="A166"/>
    <dataValidation allowBlank="1" showDropDown="0" showInputMessage="0" showErrorMessage="0" promptTitle="Note:" prompt="Additional rows can be inserted if more than 4 dividends were paid on a security." sqref="A167"/>
    <dataValidation allowBlank="1" showDropDown="0" showInputMessage="0" showErrorMessage="0" promptTitle="Note:" prompt="Additional rows can be inserted if more than 4 dividends were paid on a security." sqref="A25"/>
    <dataValidation allowBlank="1" showDropDown="0" showInputMessage="0" showErrorMessage="0" promptTitle="Note:" prompt="Additional rows can be inserted if more than 4 dividends were paid on a security." sqref="A26"/>
    <dataValidation allowBlank="1" showDropDown="0" showInputMessage="0" showErrorMessage="0" promptTitle="Note:" prompt="Additional rows can be inserted if more than 4 dividends were paid on a security." sqref="A27"/>
    <dataValidation allowBlank="1" showDropDown="0" showInputMessage="0" showErrorMessage="0" promptTitle="Note:" prompt="Additional rows can be inserted if more than 4 dividends were paid on a security." sqref="A28"/>
    <dataValidation allowBlank="1" showDropDown="0" showInputMessage="0" showErrorMessage="0" promptTitle="Note:" prompt="Additional rows can be inserted if more than 4 dividends were paid on a security." sqref="A29"/>
    <dataValidation allowBlank="1" showDropDown="0" showInputMessage="0" showErrorMessage="0" promptTitle="Note:" prompt="Additional rows can be inserted if more than 4 dividends were paid on a security." sqref="A31"/>
    <dataValidation allowBlank="1" showDropDown="0" showInputMessage="0" showErrorMessage="0" promptTitle="Note:" prompt="Additional rows can be inserted if more than 4 dividends were paid on a security." sqref="A32"/>
    <dataValidation allowBlank="1" showDropDown="0" showInputMessage="0" showErrorMessage="0" promptTitle="Note:" prompt="Additional rows can be inserted if more than 4 dividends were paid on a security." sqref="A33"/>
    <dataValidation allowBlank="1" showDropDown="0" showInputMessage="0" showErrorMessage="0" promptTitle="Note:" prompt="Additional rows can be inserted if more than 4 dividends were paid on a security." sqref="A34"/>
    <dataValidation allowBlank="1" showDropDown="0" showInputMessage="0" showErrorMessage="0" promptTitle="Note:" prompt="Additional rows can be inserted if more than 4 dividends were paid on a security." sqref="A35"/>
    <dataValidation allowBlank="1" showDropDown="0" showInputMessage="0" showErrorMessage="0" promptTitle="Note:" prompt="Additional rows can be inserted if more than 4 dividends were paid on a security." sqref="A37"/>
    <dataValidation allowBlank="1" showDropDown="0" showInputMessage="0" showErrorMessage="0" promptTitle="Note:" prompt="Additional rows can be inserted if more than 4 dividends were paid on a security." sqref="A38"/>
    <dataValidation allowBlank="1" showDropDown="0" showInputMessage="0" showErrorMessage="0" promptTitle="Note:" prompt="Additional rows can be inserted if more than 4 dividends were paid on a security." sqref="A39"/>
    <dataValidation allowBlank="1" showDropDown="0" showInputMessage="0" showErrorMessage="0" promptTitle="Note:" prompt="Additional rows can be inserted if more than 4 dividends were paid on a security." sqref="A40"/>
    <dataValidation allowBlank="1" showDropDown="0" showInputMessage="0" showErrorMessage="0" promptTitle="Note:" prompt="Additional rows can be inserted if more than 4 dividends were paid on a security." sqref="A41"/>
    <dataValidation allowBlank="1" showDropDown="0" showInputMessage="0" showErrorMessage="0" promptTitle="Note:" prompt="Additional rows can be inserted if more than 4 dividends were paid on a security." sqref="A43"/>
    <dataValidation allowBlank="1" showDropDown="0" showInputMessage="0" showErrorMessage="0" promptTitle="Note:" prompt="Additional rows can be inserted if more than 4 dividends were paid on a security." sqref="A44"/>
    <dataValidation allowBlank="1" showDropDown="0" showInputMessage="0" showErrorMessage="0" promptTitle="Note:" prompt="Additional rows can be inserted if more than 4 dividends were paid on a security." sqref="A45"/>
    <dataValidation allowBlank="1" showDropDown="0" showInputMessage="0" showErrorMessage="0" promptTitle="Note:" prompt="Additional rows can be inserted if more than 4 dividends were paid on a security." sqref="A46"/>
    <dataValidation allowBlank="1" showDropDown="0" showInputMessage="0" showErrorMessage="0" promptTitle="Note:" prompt="Additional rows can be inserted if more than 4 dividends were paid on a security." sqref="A47"/>
    <dataValidation allowBlank="1" showDropDown="0" showInputMessage="0" showErrorMessage="0" promptTitle="Note:" prompt="Additional rows can be inserted if more than 4 dividends were paid on a security." sqref="A49"/>
    <dataValidation allowBlank="1" showDropDown="0" showInputMessage="0" showErrorMessage="0" promptTitle="Note:" prompt="Additional rows can be inserted if more than 4 dividends were paid on a security." sqref="A50"/>
    <dataValidation allowBlank="1" showDropDown="0" showInputMessage="0" showErrorMessage="0" promptTitle="Note:" prompt="Additional rows can be inserted if more than 4 dividends were paid on a security." sqref="A51"/>
    <dataValidation allowBlank="1" showDropDown="0" showInputMessage="0" showErrorMessage="0" promptTitle="Note:" prompt="Additional rows can be inserted if more than 4 dividends were paid on a security." sqref="A52"/>
    <dataValidation allowBlank="1" showDropDown="0" showInputMessage="0" showErrorMessage="0" promptTitle="Note:" prompt="Additional rows can be inserted if more than 4 dividends were paid on a security." sqref="A53"/>
    <dataValidation allowBlank="1" showDropDown="0" showInputMessage="0" showErrorMessage="0" promptTitle="Note:" prompt="Additional rows can be inserted if more than 4 dividends were paid on a security." sqref="A55"/>
    <dataValidation allowBlank="1" showDropDown="0" showInputMessage="0" showErrorMessage="0" promptTitle="Note:" prompt="Additional rows can be inserted if more than 4 dividends were paid on a security." sqref="A56"/>
    <dataValidation allowBlank="1" showDropDown="0" showInputMessage="0" showErrorMessage="0" promptTitle="Note:" prompt="Additional rows can be inserted if more than 4 dividends were paid on a security." sqref="A57"/>
    <dataValidation allowBlank="1" showDropDown="0" showInputMessage="0" showErrorMessage="0" promptTitle="Note:" prompt="Additional rows can be inserted if more than 4 dividends were paid on a security." sqref="A58"/>
    <dataValidation allowBlank="1" showDropDown="0" showInputMessage="0" showErrorMessage="0" promptTitle="Note:" prompt="Additional rows can be inserted if more than 4 dividends were paid on a security." sqref="A59"/>
    <dataValidation allowBlank="1" showDropDown="0" showInputMessage="0" showErrorMessage="0" promptTitle="Note:" prompt="Additional rows can be inserted if more than 4 dividends were paid on a security." sqref="A61"/>
    <dataValidation allowBlank="1" showDropDown="0" showInputMessage="0" showErrorMessage="0" promptTitle="Note:" prompt="Additional rows can be inserted if more than 4 dividends were paid on a security." sqref="A62"/>
    <dataValidation allowBlank="1" showDropDown="0" showInputMessage="0" showErrorMessage="0" promptTitle="Note:" prompt="Additional rows can be inserted if more than 4 dividends were paid on a security." sqref="A63"/>
    <dataValidation allowBlank="1" showDropDown="0" showInputMessage="0" showErrorMessage="0" promptTitle="Note:" prompt="Additional rows can be inserted if more than 4 dividends were paid on a security." sqref="A64"/>
    <dataValidation allowBlank="1" showDropDown="0" showInputMessage="0" showErrorMessage="0" promptTitle="Note:" prompt="Additional rows can be inserted if more than 4 dividends were paid on a security." sqref="A65"/>
    <dataValidation allowBlank="1" showDropDown="0" showInputMessage="0" showErrorMessage="0" promptTitle="Note:" prompt="Additional rows can be inserted if more than 4 dividends were paid on a security." sqref="A67"/>
    <dataValidation allowBlank="1" showDropDown="0" showInputMessage="0" showErrorMessage="0" promptTitle="Note:" prompt="Additional rows can be inserted if more than 4 dividends were paid on a security." sqref="A68"/>
    <dataValidation allowBlank="1" showDropDown="0" showInputMessage="0" showErrorMessage="0" promptTitle="Note:" prompt="Additional rows can be inserted if more than 4 dividends were paid on a security." sqref="A69"/>
    <dataValidation allowBlank="1" showDropDown="0" showInputMessage="0" showErrorMessage="0" promptTitle="Note:" prompt="Additional rows can be inserted if more than 4 dividends were paid on a security." sqref="A70"/>
    <dataValidation allowBlank="1" showDropDown="0" showInputMessage="0" showErrorMessage="0" promptTitle="Note:" prompt="Additional rows can be inserted if more than 4 dividends were paid on a security." sqref="A71"/>
    <dataValidation allowBlank="1" showDropDown="0" showInputMessage="0" showErrorMessage="0" promptTitle="Note:" prompt="Additional rows can be inserted if more than 4 dividends were paid on a security." sqref="A73"/>
    <dataValidation allowBlank="1" showDropDown="0" showInputMessage="0" showErrorMessage="0" promptTitle="Note:" prompt="Additional rows can be inserted if more than 4 dividends were paid on a security." sqref="A74"/>
    <dataValidation allowBlank="1" showDropDown="0" showInputMessage="0" showErrorMessage="0" promptTitle="Note:" prompt="Additional rows can be inserted if more than 4 dividends were paid on a security." sqref="A75"/>
    <dataValidation allowBlank="1" showDropDown="0" showInputMessage="0" showErrorMessage="0" promptTitle="Note:" prompt="Additional rows can be inserted if more than 4 dividends were paid on a security." sqref="A76"/>
    <dataValidation allowBlank="1" showDropDown="0" showInputMessage="0" showErrorMessage="0" promptTitle="Note:" prompt="Additional rows can be inserted if more than 4 dividends were paid on a security." sqref="A77"/>
    <dataValidation allowBlank="1" showDropDown="0" showInputMessage="0" showErrorMessage="0" promptTitle="Note:" prompt="Additional rows can be inserted if more than 4 dividends were paid on a security." sqref="A79"/>
    <dataValidation allowBlank="1" showDropDown="0" showInputMessage="0" showErrorMessage="0" promptTitle="Note:" prompt="Additional rows can be inserted if more than 4 dividends were paid on a security." sqref="A80"/>
    <dataValidation allowBlank="1" showDropDown="0" showInputMessage="0" showErrorMessage="0" promptTitle="Note:" prompt="Additional rows can be inserted if more than 4 dividends were paid on a security." sqref="A81"/>
    <dataValidation allowBlank="1" showDropDown="0" showInputMessage="0" showErrorMessage="0" promptTitle="Note:" prompt="Additional rows can be inserted if more than 4 dividends were paid on a security." sqref="A82"/>
    <dataValidation allowBlank="1" showDropDown="0" showInputMessage="0" showErrorMessage="0" promptTitle="Note:" prompt="Additional rows can be inserted if more than 4 dividends were paid on a security." sqref="A83"/>
    <dataValidation allowBlank="1" showDropDown="0" showInputMessage="0" showErrorMessage="0" promptTitle="Note:" prompt="Additional rows can be inserted if more than 4 dividends were paid on a security." sqref="A85"/>
    <dataValidation allowBlank="1" showDropDown="0" showInputMessage="0" showErrorMessage="0" promptTitle="Note:" prompt="Additional rows can be inserted if more than 4 dividends were paid on a security." sqref="A86"/>
    <dataValidation allowBlank="1" showDropDown="0" showInputMessage="0" showErrorMessage="0" promptTitle="Note:" prompt="Additional rows can be inserted if more than 4 dividends were paid on a security." sqref="A87"/>
    <dataValidation allowBlank="1" showDropDown="0" showInputMessage="0" showErrorMessage="0" promptTitle="Note:" prompt="Additional rows can be inserted if more than 4 dividends were paid on a security." sqref="A88"/>
    <dataValidation allowBlank="1" showDropDown="0" showInputMessage="0" showErrorMessage="0" promptTitle="Note:" prompt="Additional rows can be inserted if more than 4 dividends were paid on a security." sqref="A89"/>
    <dataValidation allowBlank="1" showDropDown="0" showInputMessage="0" showErrorMessage="0" promptTitle="Note:" prompt="Additional rows can be inserted if more than 4 dividends were paid on a security." sqref="A91"/>
    <dataValidation allowBlank="1" showDropDown="0" showInputMessage="0" showErrorMessage="0" promptTitle="Note:" prompt="Additional rows can be inserted if more than 4 dividends were paid on a security." sqref="A92"/>
    <dataValidation allowBlank="1" showDropDown="0" showInputMessage="0" showErrorMessage="0" promptTitle="Note:" prompt="Additional rows can be inserted if more than 4 dividends were paid on a security." sqref="A93"/>
    <dataValidation allowBlank="1" showDropDown="0" showInputMessage="0" showErrorMessage="0" promptTitle="Note:" prompt="Additional rows can be inserted if more than 4 dividends were paid on a security." sqref="A94"/>
    <dataValidation allowBlank="1" showDropDown="0" showInputMessage="0" showErrorMessage="0" promptTitle="Note:" prompt="Additional rows can be inserted if more than 4 dividends were paid on a security." sqref="A95"/>
    <dataValidation allowBlank="1" showDropDown="0" showInputMessage="0" showErrorMessage="0" promptTitle="Note:" prompt="Additional rows can be inserted if more than 4 dividends were paid on a security." sqref="A97"/>
    <dataValidation allowBlank="1" showDropDown="0" showInputMessage="0" showErrorMessage="0" promptTitle="Note:" prompt="Additional rows can be inserted if more than 4 dividends were paid on a security." sqref="A98"/>
    <dataValidation allowBlank="1" showDropDown="0" showInputMessage="0" showErrorMessage="0" promptTitle="Note:" prompt="Additional rows can be inserted if more than 4 dividends were paid on a security." sqref="A99"/>
    <dataValidation allowBlank="1" showDropDown="0" showInputMessage="0" showErrorMessage="0" promptTitle="Note:" prompt="Additional rows can be inserted if more than 4 dividends were paid on a security." sqref="A100"/>
    <dataValidation allowBlank="1" showDropDown="0" showInputMessage="0" showErrorMessage="0" promptTitle="Note:" prompt="Additional rows can be inserted if more than 4 dividends were paid on a security." sqref="A101"/>
    <dataValidation allowBlank="1" showDropDown="0" showInputMessage="0" showErrorMessage="0" promptTitle="Note:" prompt="Additional rows can be inserted if more than 4 dividends were paid on a security." sqref="A103"/>
    <dataValidation allowBlank="1" showDropDown="0" showInputMessage="0" showErrorMessage="0" promptTitle="Note:" prompt="Additional rows can be inserted if more than 4 dividends were paid on a security." sqref="A104"/>
    <dataValidation allowBlank="1" showDropDown="0" showInputMessage="0" showErrorMessage="0" promptTitle="Note:" prompt="Additional rows can be inserted if more than 4 dividends were paid on a security." sqref="A105"/>
    <dataValidation allowBlank="1" showDropDown="0" showInputMessage="0" showErrorMessage="0" promptTitle="Note:" prompt="Additional rows can be inserted if more than 4 dividends were paid on a security." sqref="A106"/>
    <dataValidation allowBlank="1" showDropDown="0" showInputMessage="0" showErrorMessage="0" promptTitle="Note:" prompt="Additional rows can be inserted if more than 4 dividends were paid on a security." sqref="A107"/>
    <dataValidation allowBlank="1" showDropDown="0" showInputMessage="0" showErrorMessage="0" promptTitle="Note:" prompt="Additional rows can be inserted if more than 4 dividends were paid on a security." sqref="A109"/>
    <dataValidation allowBlank="1" showDropDown="0" showInputMessage="0" showErrorMessage="0" promptTitle="Note:" prompt="Additional rows can be inserted if more than 4 dividends were paid on a security." sqref="A110"/>
    <dataValidation allowBlank="1" showDropDown="0" showInputMessage="0" showErrorMessage="0" promptTitle="Note:" prompt="Additional rows can be inserted if more than 4 dividends were paid on a security." sqref="A111"/>
    <dataValidation allowBlank="1" showDropDown="0" showInputMessage="0" showErrorMessage="0" promptTitle="Note:" prompt="Additional rows can be inserted if more than 4 dividends were paid on a security." sqref="A112"/>
    <dataValidation allowBlank="1" showDropDown="0" showInputMessage="0" showErrorMessage="0" promptTitle="Note:" prompt="Additional rows can be inserted if more than 4 dividends were paid on a security." sqref="A113"/>
    <dataValidation allowBlank="1" showDropDown="0" showInputMessage="0" showErrorMessage="0" promptTitle="Note:" prompt="Additional rows can be inserted if more than 4 dividends were paid on a security." sqref="A115"/>
    <dataValidation allowBlank="1" showDropDown="0" showInputMessage="0" showErrorMessage="0" promptTitle="Note:" prompt="Additional rows can be inserted if more than 4 dividends were paid on a security." sqref="A116"/>
    <dataValidation allowBlank="1" showDropDown="0" showInputMessage="0" showErrorMessage="0" promptTitle="Note:" prompt="Additional rows can be inserted if more than 4 dividends were paid on a security." sqref="A117"/>
    <dataValidation allowBlank="1" showDropDown="0" showInputMessage="0" showErrorMessage="0" promptTitle="Note:" prompt="Additional rows can be inserted if more than 4 dividends were paid on a security." sqref="A118"/>
    <dataValidation allowBlank="1" showDropDown="0" showInputMessage="0" showErrorMessage="0" promptTitle="Note:" prompt="Additional rows can be inserted if more than 4 dividends were paid on a security." sqref="A119"/>
    <dataValidation allowBlank="1" showDropDown="0" showInputMessage="0" showErrorMessage="0" promptTitle="Note:" prompt="Additional rows can be inserted if more than 4 dividends were paid on a security." sqref="A121"/>
    <dataValidation allowBlank="1" showDropDown="0" showInputMessage="0" showErrorMessage="0" promptTitle="Note:" prompt="Additional rows can be inserted if more than 4 dividends were paid on a security." sqref="A122"/>
    <dataValidation allowBlank="1" showDropDown="0" showInputMessage="0" showErrorMessage="0" promptTitle="Note:" prompt="Additional rows can be inserted if more than 4 dividends were paid on a security." sqref="A123"/>
    <dataValidation allowBlank="1" showDropDown="0" showInputMessage="0" showErrorMessage="0" promptTitle="Note:" prompt="Additional rows can be inserted if more than 4 dividends were paid on a security." sqref="A124"/>
    <dataValidation allowBlank="1" showDropDown="0" showInputMessage="0" showErrorMessage="0" promptTitle="Note:" prompt="Additional rows can be inserted if more than 4 dividends were paid on a security." sqref="A125"/>
    <dataValidation allowBlank="1" showDropDown="0" showInputMessage="0" showErrorMessage="0" promptTitle="Note:" prompt="Additional rows can be inserted if more than 4 dividends were paid on a security." sqref="A127"/>
    <dataValidation allowBlank="1" showDropDown="0" showInputMessage="0" showErrorMessage="0" promptTitle="Note:" prompt="Additional rows can be inserted if more than 4 dividends were paid on a security." sqref="A128"/>
    <dataValidation allowBlank="1" showDropDown="0" showInputMessage="0" showErrorMessage="0" promptTitle="Note:" prompt="Additional rows can be inserted if more than 4 dividends were paid on a security." sqref="A129"/>
    <dataValidation allowBlank="1" showDropDown="0" showInputMessage="0" showErrorMessage="0" promptTitle="Note:" prompt="Additional rows can be inserted if more than 4 dividends were paid on a security." sqref="A130"/>
    <dataValidation allowBlank="1" showDropDown="0" showInputMessage="0" showErrorMessage="0" promptTitle="Note:" prompt="Additional rows can be inserted if more than 4 dividends were paid on a security." sqref="A131"/>
    <dataValidation allowBlank="1" showDropDown="0" showInputMessage="0" showErrorMessage="0" promptTitle="Note:" prompt="Additional rows can be inserted if more than 4 dividends were paid on a security." sqref="A133"/>
    <dataValidation allowBlank="1" showDropDown="0" showInputMessage="0" showErrorMessage="0" promptTitle="Note:" prompt="Additional rows can be inserted if more than 4 dividends were paid on a security." sqref="A134"/>
    <dataValidation allowBlank="1" showDropDown="0" showInputMessage="0" showErrorMessage="0" promptTitle="Note:" prompt="Additional rows can be inserted if more than 4 dividends were paid on a security." sqref="A135"/>
    <dataValidation allowBlank="1" showDropDown="0" showInputMessage="0" showErrorMessage="0" promptTitle="Note:" prompt="Additional rows can be inserted if more than 4 dividends were paid on a security." sqref="A136"/>
    <dataValidation allowBlank="1" showDropDown="0" showInputMessage="0" showErrorMessage="0" promptTitle="Note:" prompt="Additional rows can be inserted if more than 4 dividends were paid on a security." sqref="A137"/>
    <dataValidation allowBlank="1" showDropDown="0" showInputMessage="0" showErrorMessage="0" promptTitle="Note:" prompt="Additional rows can be inserted if more than 4 dividends were paid on a security." sqref="A139"/>
    <dataValidation allowBlank="1" showDropDown="0" showInputMessage="0" showErrorMessage="0" promptTitle="Note:" prompt="Additional rows can be inserted if more than 4 dividends were paid on a security." sqref="A140"/>
    <dataValidation allowBlank="1" showDropDown="0" showInputMessage="0" showErrorMessage="0" promptTitle="Note:" prompt="Additional rows can be inserted if more than 4 dividends were paid on a security." sqref="A141"/>
    <dataValidation allowBlank="1" showDropDown="0" showInputMessage="0" showErrorMessage="0" promptTitle="Note:" prompt="Additional rows can be inserted if more than 4 dividends were paid on a security." sqref="A142"/>
    <dataValidation allowBlank="1" showDropDown="0" showInputMessage="0" showErrorMessage="0" promptTitle="Note:" prompt="Additional rows can be inserted if more than 4 dividends were paid on a security." sqref="A143"/>
    <dataValidation allowBlank="1" showDropDown="0" showInputMessage="0" showErrorMessage="0" promptTitle="Note:" prompt="Additional rows can be inserted if more than 4 dividends were paid on a security." sqref="A145"/>
    <dataValidation allowBlank="1" showDropDown="0" showInputMessage="0" showErrorMessage="0" promptTitle="Note:" prompt="Additional rows can be inserted if more than 4 dividends were paid on a security." sqref="A146"/>
    <dataValidation allowBlank="1" showDropDown="0" showInputMessage="0" showErrorMessage="0" promptTitle="Note:" prompt="Additional rows can be inserted if more than 4 dividends were paid on a security." sqref="A147"/>
    <dataValidation allowBlank="1" showDropDown="0" showInputMessage="0" showErrorMessage="0" promptTitle="Note:" prompt="Additional rows can be inserted if more than 4 dividends were paid on a security." sqref="A148"/>
    <dataValidation allowBlank="1" showDropDown="0" showInputMessage="0" showErrorMessage="0" promptTitle="Note:" prompt="Additional rows can be inserted if more than 4 dividends were paid on a security." sqref="A149"/>
    <dataValidation allowBlank="1" showDropDown="0" showInputMessage="0" showErrorMessage="0" promptTitle="Note:" prompt="Additional rows can be inserted if more than 4 dividends were paid on a security." sqref="A151"/>
    <dataValidation allowBlank="1" showDropDown="0" showInputMessage="0" showErrorMessage="0" promptTitle="Note:" prompt="Additional rows can be inserted if more than 4 dividends were paid on a security." sqref="A152"/>
    <dataValidation allowBlank="1" showDropDown="0" showInputMessage="0" showErrorMessage="0" promptTitle="Note:" prompt="Additional rows can be inserted if more than 4 dividends were paid on a security." sqref="A153"/>
    <dataValidation allowBlank="1" showDropDown="0" showInputMessage="0" showErrorMessage="0" promptTitle="Note:" prompt="Additional rows can be inserted if more than 4 dividends were paid on a security." sqref="A154"/>
    <dataValidation allowBlank="1" showDropDown="0" showInputMessage="0" showErrorMessage="0" promptTitle="Note:" prompt="Additional rows can be inserted if more than 4 dividends were paid on a security." sqref="A155"/>
    <dataValidation allowBlank="1" showDropDown="0" showInputMessage="0" showErrorMessage="0" promptTitle="Note:" prompt="Additional rows can be inserted if more than 4 dividends were paid on a security." sqref="A157"/>
    <dataValidation allowBlank="1" showDropDown="0" showInputMessage="0" showErrorMessage="0" promptTitle="Note:" prompt="Additional rows can be inserted if more than 4 dividends were paid on a security." sqref="A158"/>
    <dataValidation allowBlank="1" showDropDown="0" showInputMessage="0" showErrorMessage="0" promptTitle="Note:" prompt="Additional rows can be inserted if more than 4 dividends were paid on a security." sqref="A159"/>
    <dataValidation allowBlank="1" showDropDown="0" showInputMessage="0" showErrorMessage="0" promptTitle="Note:" prompt="Additional rows can be inserted if more than 4 dividends were paid on a security." sqref="A160"/>
    <dataValidation allowBlank="1" showDropDown="0" showInputMessage="0" showErrorMessage="0" promptTitle="Note:" prompt="Additional rows can be inserted if more than 4 dividends were paid on a security." sqref="A161"/>
    <dataValidation allowBlank="1" showDropDown="0" showInputMessage="0" showErrorMessage="0" promptTitle="Note:" prompt="Additional rows can be inserted if more than 4 dividends were paid on a security." sqref="A19"/>
    <dataValidation allowBlank="1" showDropDown="0" showInputMessage="0" showErrorMessage="0" promptTitle="Note:" prompt="Additional rows can be inserted if more than 4 dividends were paid on a security." sqref="A20"/>
    <dataValidation allowBlank="1" showDropDown="0" showInputMessage="0" showErrorMessage="0" promptTitle="Note:" prompt="Additional rows can be inserted if more than 4 dividends were paid on a security." sqref="A21"/>
    <dataValidation allowBlank="1" showDropDown="0" showInputMessage="0" showErrorMessage="0" promptTitle="Note:" prompt="Additional rows can be inserted if more than 4 dividends were paid on a security." sqref="A22"/>
    <dataValidation allowBlank="1" showDropDown="0" showInputMessage="0" showErrorMessage="0" promptTitle="Note:" prompt="Additional rows can be inserted if more than 4 dividends were paid on a security." sqref="A23"/>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3">
      <formula1>MID(F$18,2,1)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3">
      <formula1>MID(E$18,2,1)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3">
      <formula1>MID(D$18,2,1)</formula1>
    </dataValidation>
  </dataValidations>
  <printOptions gridLines="false" gridLinesSet="true"/>
  <pageMargins left="0.7" right="0.7" top="0.75" bottom="0.75" header="0.3" footer="0.3"/>
  <pageSetup paperSize="1" orientation="landscape" scale="52" fitToHeight="1" fitToWidth="1"/>
  <headerFooter differentOddEven="false" differentFirst="false" scaleWithDoc="true" alignWithMargins="true">
    <oddHeader/>
    <oddFooter/>
    <evenHeader/>
    <evenFooter/>
    <firstHeader/>
    <firstFooter/>
  </headerFooter>
  <colBreaks count="1" manualBreakCount="1">
    <brk id="18"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Renee Staton</cp:lastModifiedBy>
  <dcterms:created xsi:type="dcterms:W3CDTF">2012-11-27T09:14:45-05:00</dcterms:created>
  <dcterms:modified xsi:type="dcterms:W3CDTF">2014-01-07T17:53:40-05:00</dcterms:modified>
  <dc:title/>
  <dc:description/>
  <dc:subject/>
  <cp:keywords/>
  <cp:category/>
</cp:coreProperties>
</file>