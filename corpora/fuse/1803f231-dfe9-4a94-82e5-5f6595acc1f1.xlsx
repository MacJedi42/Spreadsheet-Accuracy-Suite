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3820"/>
  <bookViews>
    <workbookView xWindow="10065" yWindow="-15" windowWidth="10110" windowHeight="9105"/>
  </bookViews>
  <sheets>
    <sheet name="1415T 022414" sheetId="29" r:id="rId1"/>
    <sheet name="1314A 071013" sheetId="27" r:id="rId2"/>
    <sheet name="1314T 032913" sheetId="26" r:id="rId3"/>
    <sheet name="1213A 080212" sheetId="19" r:id="rId4"/>
    <sheet name="1213T 031712" sheetId="18" r:id="rId5"/>
    <sheet name="1112Adopt" sheetId="14" r:id="rId6"/>
    <sheet name="Datetel Jul 10, 2013" sheetId="28" r:id="rId7"/>
    <sheet name="Sheet2" sheetId="24" r:id="rId8"/>
    <sheet name="Sheet3" sheetId="25" r:id="rId9"/>
    <sheet name="cognos as of Aug 2" sheetId="20" r:id="rId10"/>
    <sheet name="Sheet4" sheetId="21" r:id="rId11"/>
    <sheet name="Sheet1" sheetId="8" r:id="rId12"/>
    <sheet name="Datetel Feb 28, 2013" sheetId="23" r:id="rId13"/>
  </sheets>
  <externalReferences>
    <externalReference r:id="rId14"/>
  </externalReferences>
  <definedNames>
    <definedName name="_xlnm._FilterDatabase" localSheetId="7" hidden="1">Sheet2!$A$1:$Q$241</definedName>
    <definedName name="_xlnm.Print_Area" localSheetId="5">'1112Adopt'!$A$1:$T$238</definedName>
    <definedName name="_xlnm.Print_Area" localSheetId="3">'1213A 080212'!$B$1:$O$193</definedName>
    <definedName name="_xlnm.Print_Area" localSheetId="4">'1213T 031712'!$B$1:$O$182</definedName>
    <definedName name="_xlnm.Print_Area" localSheetId="1">'1314A 071013'!$B$1:$P$190</definedName>
    <definedName name="_xlnm.Print_Area" localSheetId="2">'1314T 032913'!$B$1:$O$186</definedName>
    <definedName name="_xlnm.Print_Area" localSheetId="0">'1415T 022414'!$A$1:$K$214</definedName>
    <definedName name="_xlnm.Print_Titles" localSheetId="5">'1112Adopt'!$71:$72</definedName>
  </definedNames>
  <calcPr calcId="145621"/>
  <webPublishing codePage="1252"/>
</workbook>
</file>

<file path=xl/calcChain.xml><?xml version="1.0" encoding="utf-8"?>
<calcChain xmlns="http://schemas.openxmlformats.org/spreadsheetml/2006/main">
  <c r="G15" i="29" l="1"/>
  <c r="K81" i="29"/>
  <c r="K61" i="29"/>
  <c r="K65" i="29"/>
  <c r="K21" i="29" l="1"/>
  <c r="K52" i="29"/>
  <c r="J53" i="29"/>
  <c r="K23" i="29"/>
  <c r="K19" i="29" l="1"/>
  <c r="K115" i="29" l="1"/>
  <c r="K113" i="29" l="1"/>
  <c r="K78" i="29"/>
  <c r="K79" i="29"/>
  <c r="K36" i="29"/>
  <c r="K37" i="29"/>
  <c r="K38" i="29"/>
  <c r="K117" i="29" l="1"/>
  <c r="J110" i="29"/>
  <c r="J104" i="29"/>
  <c r="K167" i="29"/>
  <c r="K60" i="29"/>
  <c r="K18" i="29"/>
  <c r="K166" i="29" l="1"/>
  <c r="K49" i="29"/>
  <c r="K50" i="29"/>
  <c r="K51" i="29"/>
  <c r="L52" i="29" s="1"/>
  <c r="K54" i="29"/>
  <c r="K55" i="29"/>
  <c r="K56" i="29"/>
  <c r="K58" i="29"/>
  <c r="K59" i="29"/>
  <c r="K62" i="29"/>
  <c r="K63" i="29"/>
  <c r="K64" i="29"/>
  <c r="K66" i="29"/>
  <c r="K67" i="29"/>
  <c r="K68" i="29"/>
  <c r="K69" i="29"/>
  <c r="K70" i="29"/>
  <c r="K71" i="29"/>
  <c r="K72" i="29"/>
  <c r="K74" i="29"/>
  <c r="K75" i="29"/>
  <c r="K76" i="29"/>
  <c r="K77" i="29"/>
  <c r="K80" i="29"/>
  <c r="K82" i="29"/>
  <c r="K83" i="29"/>
  <c r="K84" i="29"/>
  <c r="K85" i="29"/>
  <c r="K86" i="29"/>
  <c r="K87" i="29"/>
  <c r="K88" i="29"/>
  <c r="K48" i="29"/>
  <c r="K40" i="29" l="1"/>
  <c r="J15" i="29"/>
  <c r="K15" i="29" s="1"/>
  <c r="J10" i="29"/>
  <c r="K4" i="29"/>
  <c r="K5" i="29"/>
  <c r="K6" i="29"/>
  <c r="K7" i="29"/>
  <c r="K8" i="29"/>
  <c r="L8" i="29" s="1"/>
  <c r="K9" i="29"/>
  <c r="K11" i="29"/>
  <c r="K12" i="29"/>
  <c r="K13" i="29"/>
  <c r="K14" i="29"/>
  <c r="K16" i="29"/>
  <c r="K17" i="29"/>
  <c r="K20" i="29"/>
  <c r="L20" i="29" s="1"/>
  <c r="K22" i="29"/>
  <c r="L23" i="29" s="1"/>
  <c r="K24" i="29"/>
  <c r="K25" i="29"/>
  <c r="K26" i="29"/>
  <c r="K27" i="29"/>
  <c r="K28" i="29"/>
  <c r="K29" i="29"/>
  <c r="K30" i="29"/>
  <c r="K31" i="29"/>
  <c r="K33" i="29"/>
  <c r="K34" i="29"/>
  <c r="K35" i="29"/>
  <c r="K39" i="29"/>
  <c r="K41" i="29"/>
  <c r="K42" i="29"/>
  <c r="K43" i="29"/>
  <c r="K3" i="29"/>
  <c r="G10" i="29"/>
  <c r="H10" i="29"/>
  <c r="I10" i="29"/>
  <c r="K10" i="29" l="1"/>
  <c r="H110" i="29"/>
  <c r="H104" i="29"/>
  <c r="K100" i="29"/>
  <c r="K101" i="29"/>
  <c r="K102" i="29"/>
  <c r="K103" i="29"/>
  <c r="K105" i="29"/>
  <c r="K106" i="29"/>
  <c r="K107" i="29"/>
  <c r="K108" i="29"/>
  <c r="K109" i="29"/>
  <c r="K111" i="29"/>
  <c r="K112" i="29"/>
  <c r="K116" i="29"/>
  <c r="K118" i="29"/>
  <c r="K119" i="29"/>
  <c r="K120" i="29"/>
  <c r="K121" i="29"/>
  <c r="K123" i="29"/>
  <c r="K124" i="29"/>
  <c r="K125" i="29"/>
  <c r="K126" i="29"/>
  <c r="K127" i="29"/>
  <c r="K128" i="29"/>
  <c r="K129" i="29"/>
  <c r="K130" i="29"/>
  <c r="K131" i="29"/>
  <c r="K132" i="29"/>
  <c r="K133" i="29"/>
  <c r="K134" i="29"/>
  <c r="K135" i="29"/>
  <c r="K136" i="29"/>
  <c r="K137" i="29"/>
  <c r="K138" i="29"/>
  <c r="K139" i="29"/>
  <c r="K140" i="29"/>
  <c r="K141" i="29"/>
  <c r="K142" i="29"/>
  <c r="K143" i="29"/>
  <c r="K144" i="29"/>
  <c r="K145" i="29"/>
  <c r="K146" i="29"/>
  <c r="K147" i="29"/>
  <c r="K148" i="29"/>
  <c r="K149" i="29"/>
  <c r="K150" i="29"/>
  <c r="K151" i="29"/>
  <c r="K152" i="29"/>
  <c r="K153" i="29"/>
  <c r="K97" i="29"/>
  <c r="K98" i="29"/>
  <c r="K99" i="29"/>
  <c r="K96" i="29"/>
  <c r="G53" i="29" l="1"/>
  <c r="G57" i="29"/>
  <c r="H53" i="29"/>
  <c r="H32" i="29"/>
  <c r="I32" i="29"/>
  <c r="J32" i="29"/>
  <c r="G32" i="29"/>
  <c r="H15" i="29"/>
  <c r="J44" i="29" l="1"/>
  <c r="K32" i="29"/>
  <c r="K44" i="29" s="1"/>
  <c r="I44" i="29"/>
  <c r="H44" i="29"/>
  <c r="K209" i="29"/>
  <c r="K207" i="29"/>
  <c r="K206" i="29"/>
  <c r="K203" i="29"/>
  <c r="K201" i="29"/>
  <c r="K200" i="29"/>
  <c r="K202" i="29"/>
  <c r="G208" i="29"/>
  <c r="K208" i="29" s="1"/>
  <c r="G205" i="29"/>
  <c r="K205" i="29" s="1"/>
  <c r="J188" i="29"/>
  <c r="H188" i="29"/>
  <c r="H194" i="29" s="1"/>
  <c r="G188" i="29"/>
  <c r="G194" i="29" s="1"/>
  <c r="J171" i="29"/>
  <c r="J122" i="29"/>
  <c r="I122" i="29"/>
  <c r="H122" i="29"/>
  <c r="H158" i="29" s="1"/>
  <c r="J154" i="29"/>
  <c r="G154" i="29"/>
  <c r="J194" i="29" l="1"/>
  <c r="L193" i="29" s="1"/>
  <c r="J158" i="29"/>
  <c r="J89" i="29"/>
  <c r="I89" i="29"/>
  <c r="H89" i="29"/>
  <c r="G89" i="29"/>
  <c r="J73" i="29"/>
  <c r="I73" i="29"/>
  <c r="H73" i="29"/>
  <c r="G73" i="29"/>
  <c r="J57" i="29"/>
  <c r="K57" i="29" s="1"/>
  <c r="I57" i="29"/>
  <c r="H57" i="29"/>
  <c r="K53" i="29"/>
  <c r="I53" i="29"/>
  <c r="G44" i="29"/>
  <c r="L43" i="29" s="1"/>
  <c r="K73" i="29" l="1"/>
  <c r="K89" i="29"/>
  <c r="H90" i="29"/>
  <c r="H196" i="29" s="1"/>
  <c r="H211" i="29" s="1"/>
  <c r="G90" i="29"/>
  <c r="J90" i="29"/>
  <c r="J196" i="29" s="1"/>
  <c r="J211" i="29" s="1"/>
  <c r="I90" i="29"/>
  <c r="I98" i="29"/>
  <c r="I100" i="29"/>
  <c r="I104" i="29" s="1"/>
  <c r="I105" i="29"/>
  <c r="I106" i="29"/>
  <c r="I107" i="29"/>
  <c r="I108" i="29"/>
  <c r="I109" i="29"/>
  <c r="I112" i="29"/>
  <c r="I113" i="29"/>
  <c r="I115" i="29"/>
  <c r="I123" i="29"/>
  <c r="I124" i="29"/>
  <c r="I126" i="29"/>
  <c r="I127" i="29"/>
  <c r="I128" i="29"/>
  <c r="I129" i="29"/>
  <c r="I130" i="29"/>
  <c r="I132" i="29"/>
  <c r="I135" i="29"/>
  <c r="L89" i="29" l="1"/>
  <c r="I110" i="29"/>
  <c r="K162" i="29"/>
  <c r="K163" i="29"/>
  <c r="K164" i="29"/>
  <c r="K165" i="29"/>
  <c r="K168" i="29"/>
  <c r="K169" i="29"/>
  <c r="K170" i="29"/>
  <c r="K171" i="29"/>
  <c r="K172" i="29"/>
  <c r="K173" i="29"/>
  <c r="K174" i="29"/>
  <c r="K175" i="29"/>
  <c r="K176" i="29"/>
  <c r="K177" i="29"/>
  <c r="K178" i="29"/>
  <c r="K179" i="29"/>
  <c r="K180" i="29"/>
  <c r="K181" i="29"/>
  <c r="K182" i="29"/>
  <c r="K183" i="29"/>
  <c r="K184" i="29"/>
  <c r="K185" i="29"/>
  <c r="K186" i="29"/>
  <c r="K187" i="29"/>
  <c r="K189" i="29"/>
  <c r="K190" i="29"/>
  <c r="K191" i="29"/>
  <c r="K192" i="29"/>
  <c r="K193" i="29"/>
  <c r="K188" i="29" l="1"/>
  <c r="K194" i="29"/>
  <c r="I163" i="29" l="1"/>
  <c r="I169" i="29"/>
  <c r="I170" i="29"/>
  <c r="I172" i="29"/>
  <c r="I173" i="29"/>
  <c r="I178" i="29"/>
  <c r="I179" i="29"/>
  <c r="I180" i="29"/>
  <c r="I181" i="29"/>
  <c r="I182" i="29"/>
  <c r="I183" i="29"/>
  <c r="I184" i="29"/>
  <c r="I185" i="29"/>
  <c r="I189" i="29"/>
  <c r="I190" i="29"/>
  <c r="I192" i="29"/>
  <c r="I162" i="29"/>
  <c r="I155" i="29"/>
  <c r="I156" i="29"/>
  <c r="I188" i="29" l="1"/>
  <c r="I194" i="29" s="1"/>
  <c r="I158" i="29"/>
  <c r="I196" i="29" l="1"/>
  <c r="I211" i="29" s="1"/>
  <c r="G110" i="29"/>
  <c r="K110" i="29" s="1"/>
  <c r="G104" i="29"/>
  <c r="K104" i="29" s="1"/>
  <c r="K155" i="29"/>
  <c r="K156" i="29"/>
  <c r="K157" i="29" l="1"/>
  <c r="K90" i="29" l="1"/>
  <c r="K154" i="29"/>
  <c r="G122" i="29"/>
  <c r="K122" i="29" s="1"/>
  <c r="I190" i="27"/>
  <c r="Q186" i="27"/>
  <c r="Q128" i="27"/>
  <c r="Q127" i="27"/>
  <c r="Q124" i="27"/>
  <c r="Q123" i="27"/>
  <c r="Q120" i="27"/>
  <c r="Q119" i="27"/>
  <c r="Q116" i="27"/>
  <c r="Q115" i="27"/>
  <c r="P129" i="27"/>
  <c r="Q129" i="27" s="1"/>
  <c r="P128" i="27"/>
  <c r="P127" i="27"/>
  <c r="P126" i="27"/>
  <c r="Q126" i="27" s="1"/>
  <c r="P125" i="27"/>
  <c r="Q125" i="27" s="1"/>
  <c r="P124" i="27"/>
  <c r="P123" i="27"/>
  <c r="P122" i="27"/>
  <c r="Q122" i="27" s="1"/>
  <c r="P121" i="27"/>
  <c r="Q121" i="27" s="1"/>
  <c r="P120" i="27"/>
  <c r="P119" i="27"/>
  <c r="P118" i="27"/>
  <c r="Q118" i="27" s="1"/>
  <c r="P117" i="27"/>
  <c r="Q117" i="27" s="1"/>
  <c r="P116" i="27"/>
  <c r="P115" i="27"/>
  <c r="P114" i="27"/>
  <c r="Q114" i="27" s="1"/>
  <c r="P113" i="27"/>
  <c r="Q113" i="27" s="1"/>
  <c r="G158" i="29" l="1"/>
  <c r="K158" i="29"/>
  <c r="K196" i="29" s="1"/>
  <c r="K211" i="29" s="1"/>
  <c r="P19" i="27"/>
  <c r="Q19" i="27" s="1"/>
  <c r="L19" i="27"/>
  <c r="K19" i="27"/>
  <c r="J19" i="27"/>
  <c r="L157" i="29" l="1"/>
  <c r="L158" i="29" s="1"/>
  <c r="G196" i="29"/>
  <c r="G211" i="29" s="1"/>
  <c r="M19" i="27"/>
  <c r="O24" i="27"/>
  <c r="L210" i="29" l="1"/>
  <c r="L211" i="29" s="1"/>
  <c r="O51" i="27"/>
  <c r="K148" i="27"/>
  <c r="L148" i="27"/>
  <c r="P148" i="27"/>
  <c r="Q148" i="27" s="1"/>
  <c r="M148" i="27" l="1"/>
  <c r="O82" i="27"/>
  <c r="O88" i="27"/>
  <c r="O98" i="27"/>
  <c r="O130" i="27"/>
  <c r="O29" i="27" l="1"/>
  <c r="O61" i="27"/>
  <c r="N88" i="27" l="1"/>
  <c r="N82" i="27"/>
  <c r="N98" i="27"/>
  <c r="O184" i="27"/>
  <c r="P184" i="27" s="1"/>
  <c r="Q184" i="27" s="1"/>
  <c r="O185" i="27"/>
  <c r="P185" i="27" s="1"/>
  <c r="Q185" i="27" s="1"/>
  <c r="O188" i="27"/>
  <c r="P188" i="27" s="1"/>
  <c r="Q188" i="27" s="1"/>
  <c r="J18" i="27" l="1"/>
  <c r="J21" i="27"/>
  <c r="F132" i="28"/>
  <c r="F139" i="28"/>
  <c r="F140" i="28"/>
  <c r="F141" i="28"/>
  <c r="F142" i="28"/>
  <c r="F143" i="28"/>
  <c r="F270" i="28"/>
  <c r="F272" i="28" s="1"/>
  <c r="G202" i="28"/>
  <c r="H262" i="28"/>
  <c r="F262" i="28"/>
  <c r="E262" i="28"/>
  <c r="G262" i="28"/>
  <c r="G173" i="28"/>
  <c r="G174" i="28"/>
  <c r="G175" i="28"/>
  <c r="K169" i="27"/>
  <c r="L151" i="27"/>
  <c r="K151" i="27"/>
  <c r="K105" i="27"/>
  <c r="G224" i="28"/>
  <c r="F225" i="28"/>
  <c r="G225" i="28"/>
  <c r="H225" i="28"/>
  <c r="I225" i="28"/>
  <c r="F201" i="28"/>
  <c r="G247" i="28"/>
  <c r="I256" i="28"/>
  <c r="I262" i="28" s="1"/>
  <c r="I261" i="28"/>
  <c r="I260" i="28"/>
  <c r="I259" i="28"/>
  <c r="I258" i="28"/>
  <c r="I257" i="28"/>
  <c r="F247" i="28" l="1"/>
  <c r="G139" i="28" l="1"/>
  <c r="G140" i="28"/>
  <c r="G141" i="28"/>
  <c r="G142" i="28"/>
  <c r="G143" i="28"/>
  <c r="O92" i="27" l="1"/>
  <c r="O22" i="27"/>
  <c r="P7" i="27" l="1"/>
  <c r="Q7" i="27" s="1"/>
  <c r="P8" i="27"/>
  <c r="Q8" i="27" s="1"/>
  <c r="P9" i="27"/>
  <c r="Q9" i="27" s="1"/>
  <c r="P10" i="27"/>
  <c r="Q10" i="27" s="1"/>
  <c r="P11" i="27"/>
  <c r="Q11" i="27" s="1"/>
  <c r="P12" i="27"/>
  <c r="Q12" i="27" s="1"/>
  <c r="P13" i="27"/>
  <c r="Q13" i="27" s="1"/>
  <c r="P14" i="27"/>
  <c r="Q14" i="27" s="1"/>
  <c r="P15" i="27"/>
  <c r="Q15" i="27" s="1"/>
  <c r="P16" i="27"/>
  <c r="Q16" i="27" s="1"/>
  <c r="P17" i="27"/>
  <c r="Q17" i="27" s="1"/>
  <c r="P18" i="27"/>
  <c r="Q18" i="27" s="1"/>
  <c r="P20" i="27"/>
  <c r="Q20" i="27" s="1"/>
  <c r="P21" i="27"/>
  <c r="Q21" i="27" s="1"/>
  <c r="P22" i="27"/>
  <c r="Q22" i="27" s="1"/>
  <c r="P23" i="27"/>
  <c r="Q23" i="27" s="1"/>
  <c r="P24" i="27"/>
  <c r="Q24" i="27" s="1"/>
  <c r="P25" i="27"/>
  <c r="Q25" i="27" s="1"/>
  <c r="P26" i="27"/>
  <c r="Q26" i="27" s="1"/>
  <c r="P27" i="27"/>
  <c r="Q27" i="27" s="1"/>
  <c r="P28" i="27"/>
  <c r="Q28" i="27" s="1"/>
  <c r="P29" i="27"/>
  <c r="Q29" i="27" s="1"/>
  <c r="P30" i="27"/>
  <c r="Q30" i="27" s="1"/>
  <c r="P6" i="27"/>
  <c r="Q6" i="27" s="1"/>
  <c r="P39" i="27"/>
  <c r="Q39" i="27" s="1"/>
  <c r="P40" i="27"/>
  <c r="Q40" i="27" s="1"/>
  <c r="P41" i="27"/>
  <c r="Q41" i="27" s="1"/>
  <c r="P42" i="27"/>
  <c r="Q42" i="27" s="1"/>
  <c r="P43" i="27"/>
  <c r="Q43" i="27" s="1"/>
  <c r="P44" i="27"/>
  <c r="Q44" i="27" s="1"/>
  <c r="P45" i="27"/>
  <c r="Q45" i="27" s="1"/>
  <c r="P46" i="27"/>
  <c r="Q46" i="27" s="1"/>
  <c r="P47" i="27"/>
  <c r="Q47" i="27" s="1"/>
  <c r="P48" i="27"/>
  <c r="Q48" i="27" s="1"/>
  <c r="P50" i="27"/>
  <c r="Q50" i="27" s="1"/>
  <c r="P51" i="27"/>
  <c r="Q51" i="27" s="1"/>
  <c r="P52" i="27"/>
  <c r="Q52" i="27" s="1"/>
  <c r="P53" i="27"/>
  <c r="Q53" i="27" s="1"/>
  <c r="P54" i="27"/>
  <c r="Q54" i="27" s="1"/>
  <c r="P55" i="27"/>
  <c r="Q55" i="27" s="1"/>
  <c r="P56" i="27"/>
  <c r="Q56" i="27" s="1"/>
  <c r="P57" i="27"/>
  <c r="Q57" i="27" s="1"/>
  <c r="P58" i="27"/>
  <c r="Q58" i="27" s="1"/>
  <c r="P59" i="27"/>
  <c r="Q59" i="27" s="1"/>
  <c r="P60" i="27"/>
  <c r="Q60" i="27" s="1"/>
  <c r="P61" i="27"/>
  <c r="Q61" i="27" s="1"/>
  <c r="P62" i="27"/>
  <c r="Q62" i="27" s="1"/>
  <c r="P63" i="27"/>
  <c r="Q63" i="27" s="1"/>
  <c r="P64" i="27"/>
  <c r="Q64" i="27" s="1"/>
  <c r="P65" i="27"/>
  <c r="Q65" i="27" s="1"/>
  <c r="P66" i="27"/>
  <c r="Q66" i="27" s="1"/>
  <c r="P67" i="27"/>
  <c r="Q67" i="27" s="1"/>
  <c r="P38" i="27"/>
  <c r="Q38" i="27" s="1"/>
  <c r="Q31" i="27" l="1"/>
  <c r="Q68" i="27"/>
  <c r="O100" i="27"/>
  <c r="O134" i="27" s="1"/>
  <c r="M185" i="27" l="1"/>
  <c r="J187" i="27"/>
  <c r="M187" i="27"/>
  <c r="N187" i="27" s="1"/>
  <c r="P187" i="27" s="1"/>
  <c r="Q187" i="27" s="1"/>
  <c r="M188" i="27"/>
  <c r="P180" i="27"/>
  <c r="Q180" i="27" s="1"/>
  <c r="P169" i="27"/>
  <c r="Q169" i="27" s="1"/>
  <c r="P168" i="27"/>
  <c r="Q168" i="27" s="1"/>
  <c r="P167" i="27"/>
  <c r="Q167" i="27" s="1"/>
  <c r="P166" i="27"/>
  <c r="Q166" i="27" s="1"/>
  <c r="P165" i="27"/>
  <c r="Q165" i="27" s="1"/>
  <c r="P164" i="27"/>
  <c r="Q164" i="27" s="1"/>
  <c r="P163" i="27"/>
  <c r="Q163" i="27" s="1"/>
  <c r="P162" i="27"/>
  <c r="Q162" i="27" s="1"/>
  <c r="P161" i="27"/>
  <c r="Q161" i="27" s="1"/>
  <c r="P160" i="27"/>
  <c r="Q160" i="27" s="1"/>
  <c r="P159" i="27"/>
  <c r="Q159" i="27" s="1"/>
  <c r="P158" i="27"/>
  <c r="Q158" i="27" s="1"/>
  <c r="P157" i="27"/>
  <c r="Q157" i="27" s="1"/>
  <c r="P156" i="27"/>
  <c r="Q156" i="27" s="1"/>
  <c r="P155" i="27"/>
  <c r="Q155" i="27" s="1"/>
  <c r="P154" i="27"/>
  <c r="Q154" i="27" s="1"/>
  <c r="P153" i="27"/>
  <c r="Q153" i="27" s="1"/>
  <c r="P152" i="27"/>
  <c r="Q152" i="27" s="1"/>
  <c r="P151" i="27"/>
  <c r="Q151" i="27" s="1"/>
  <c r="P150" i="27"/>
  <c r="Q150" i="27" s="1"/>
  <c r="P149" i="27"/>
  <c r="Q149" i="27" s="1"/>
  <c r="P147" i="27"/>
  <c r="Q147" i="27" s="1"/>
  <c r="P146" i="27"/>
  <c r="Q146" i="27" s="1"/>
  <c r="P145" i="27"/>
  <c r="Q145" i="27" s="1"/>
  <c r="P144" i="27"/>
  <c r="Q144" i="27" s="1"/>
  <c r="P143" i="27"/>
  <c r="Q143" i="27" s="1"/>
  <c r="P142" i="27"/>
  <c r="Q142" i="27" s="1"/>
  <c r="P141" i="27"/>
  <c r="Q141" i="27" s="1"/>
  <c r="P140" i="27"/>
  <c r="Q140" i="27" s="1"/>
  <c r="P139" i="27"/>
  <c r="Q139" i="27" s="1"/>
  <c r="P133" i="27"/>
  <c r="Q133" i="27" s="1"/>
  <c r="P132" i="27"/>
  <c r="Q132" i="27" s="1"/>
  <c r="P131" i="27"/>
  <c r="Q131" i="27" s="1"/>
  <c r="P112" i="27"/>
  <c r="Q112" i="27" s="1"/>
  <c r="P74" i="27"/>
  <c r="Q74" i="27" s="1"/>
  <c r="P75" i="27"/>
  <c r="Q75" i="27" s="1"/>
  <c r="P76" i="27"/>
  <c r="Q76" i="27" s="1"/>
  <c r="P77" i="27"/>
  <c r="Q77" i="27" s="1"/>
  <c r="P78" i="27"/>
  <c r="Q78" i="27" s="1"/>
  <c r="P79" i="27"/>
  <c r="Q79" i="27" s="1"/>
  <c r="P80" i="27"/>
  <c r="Q80" i="27" s="1"/>
  <c r="P81" i="27"/>
  <c r="Q81" i="27" s="1"/>
  <c r="P83" i="27"/>
  <c r="Q83" i="27" s="1"/>
  <c r="P84" i="27"/>
  <c r="Q84" i="27" s="1"/>
  <c r="P85" i="27"/>
  <c r="Q85" i="27" s="1"/>
  <c r="P86" i="27"/>
  <c r="Q86" i="27" s="1"/>
  <c r="P87" i="27"/>
  <c r="Q87" i="27" s="1"/>
  <c r="P89" i="27"/>
  <c r="Q89" i="27" s="1"/>
  <c r="P90" i="27"/>
  <c r="Q90" i="27" s="1"/>
  <c r="P91" i="27"/>
  <c r="Q91" i="27" s="1"/>
  <c r="P92" i="27"/>
  <c r="Q92" i="27" s="1"/>
  <c r="P93" i="27"/>
  <c r="Q93" i="27" s="1"/>
  <c r="P94" i="27"/>
  <c r="Q94" i="27" s="1"/>
  <c r="P95" i="27"/>
  <c r="Q95" i="27" s="1"/>
  <c r="P96" i="27"/>
  <c r="Q96" i="27" s="1"/>
  <c r="P97" i="27"/>
  <c r="Q97" i="27" s="1"/>
  <c r="P99" i="27"/>
  <c r="Q99" i="27" s="1"/>
  <c r="P100" i="27"/>
  <c r="Q100" i="27" s="1"/>
  <c r="P101" i="27"/>
  <c r="Q101" i="27" s="1"/>
  <c r="P102" i="27"/>
  <c r="Q102" i="27" s="1"/>
  <c r="P103" i="27"/>
  <c r="Q103" i="27" s="1"/>
  <c r="P104" i="27"/>
  <c r="Q104" i="27" s="1"/>
  <c r="P105" i="27"/>
  <c r="Q105" i="27" s="1"/>
  <c r="P106" i="27"/>
  <c r="Q106" i="27" s="1"/>
  <c r="P107" i="27"/>
  <c r="Q107" i="27" s="1"/>
  <c r="P108" i="27"/>
  <c r="Q108" i="27" s="1"/>
  <c r="P109" i="27"/>
  <c r="Q109" i="27" s="1"/>
  <c r="P110" i="27"/>
  <c r="Q110" i="27" s="1"/>
  <c r="P111" i="27"/>
  <c r="Q111" i="27" s="1"/>
  <c r="P73" i="27"/>
  <c r="Q73" i="27" s="1"/>
  <c r="Q170" i="27" l="1"/>
  <c r="P82" i="27"/>
  <c r="P98" i="27"/>
  <c r="P88" i="27"/>
  <c r="G83" i="28"/>
  <c r="K141" i="27"/>
  <c r="F12" i="28"/>
  <c r="I261" i="25"/>
  <c r="I260" i="25"/>
  <c r="I259" i="25"/>
  <c r="I258" i="25"/>
  <c r="I257" i="25"/>
  <c r="I256" i="25"/>
  <c r="I255" i="25"/>
  <c r="I254" i="25"/>
  <c r="I253" i="25"/>
  <c r="I252" i="25"/>
  <c r="I251" i="25"/>
  <c r="I250" i="25"/>
  <c r="I249" i="25"/>
  <c r="I248" i="25"/>
  <c r="I247" i="25"/>
  <c r="I246" i="25"/>
  <c r="I245" i="25"/>
  <c r="I244" i="25"/>
  <c r="I243" i="25"/>
  <c r="I242" i="25"/>
  <c r="I241" i="25"/>
  <c r="I240" i="25"/>
  <c r="I239" i="25"/>
  <c r="I238" i="25"/>
  <c r="I237" i="25"/>
  <c r="I236" i="25"/>
  <c r="I235" i="25"/>
  <c r="I234" i="25"/>
  <c r="I233" i="25"/>
  <c r="I232" i="25"/>
  <c r="I231" i="25"/>
  <c r="I230" i="25"/>
  <c r="I229" i="25"/>
  <c r="I228" i="25"/>
  <c r="I227" i="25"/>
  <c r="I226" i="25"/>
  <c r="I225" i="25"/>
  <c r="I224" i="25"/>
  <c r="I223" i="25"/>
  <c r="I222" i="25"/>
  <c r="I221" i="25"/>
  <c r="I220" i="25"/>
  <c r="I219" i="25"/>
  <c r="I218" i="25"/>
  <c r="I217" i="25"/>
  <c r="I216" i="25"/>
  <c r="I215" i="25"/>
  <c r="I214" i="25"/>
  <c r="I213" i="25"/>
  <c r="I212" i="25"/>
  <c r="I211" i="25"/>
  <c r="I210" i="25"/>
  <c r="I209" i="25"/>
  <c r="I208" i="25"/>
  <c r="I207" i="25"/>
  <c r="I206" i="25"/>
  <c r="I205" i="25"/>
  <c r="I204" i="25"/>
  <c r="I203" i="25"/>
  <c r="I202" i="25"/>
  <c r="I201" i="25"/>
  <c r="I200" i="25"/>
  <c r="I199" i="25"/>
  <c r="I198" i="25"/>
  <c r="I197" i="25"/>
  <c r="I196" i="25"/>
  <c r="I195" i="25"/>
  <c r="I194" i="25"/>
  <c r="I193" i="25"/>
  <c r="I192" i="25"/>
  <c r="I191" i="25"/>
  <c r="I190" i="25"/>
  <c r="I189" i="25"/>
  <c r="I188" i="25"/>
  <c r="I187" i="25"/>
  <c r="I186" i="25"/>
  <c r="I185" i="25"/>
  <c r="I184" i="25"/>
  <c r="I183" i="25"/>
  <c r="I182" i="25"/>
  <c r="I181" i="25"/>
  <c r="I180" i="25"/>
  <c r="I179" i="25"/>
  <c r="I178" i="25"/>
  <c r="I177" i="25"/>
  <c r="I176" i="25"/>
  <c r="I175" i="25"/>
  <c r="I174" i="25"/>
  <c r="I173" i="25"/>
  <c r="I172" i="25"/>
  <c r="I171" i="25"/>
  <c r="I170" i="25"/>
  <c r="I169" i="25"/>
  <c r="I168" i="25"/>
  <c r="I167" i="25"/>
  <c r="I166" i="25"/>
  <c r="I165" i="25"/>
  <c r="I164" i="25"/>
  <c r="I163" i="25"/>
  <c r="I162" i="25"/>
  <c r="I161" i="25"/>
  <c r="I160" i="25"/>
  <c r="I159" i="25"/>
  <c r="I158" i="25"/>
  <c r="I157" i="25"/>
  <c r="I156" i="25"/>
  <c r="I155" i="25"/>
  <c r="I154" i="25"/>
  <c r="I153" i="25"/>
  <c r="I152" i="25"/>
  <c r="I151" i="25"/>
  <c r="I150" i="25"/>
  <c r="I149" i="25"/>
  <c r="I148" i="25"/>
  <c r="I147" i="25"/>
  <c r="I146" i="25"/>
  <c r="I145" i="25"/>
  <c r="I144" i="25"/>
  <c r="I143" i="25"/>
  <c r="I142" i="25"/>
  <c r="I141" i="25"/>
  <c r="I140" i="25"/>
  <c r="I139" i="25"/>
  <c r="I138" i="25"/>
  <c r="I137" i="25"/>
  <c r="I136" i="25"/>
  <c r="I135" i="25"/>
  <c r="I134" i="25"/>
  <c r="I133" i="25"/>
  <c r="I132" i="25"/>
  <c r="I131" i="25"/>
  <c r="I130" i="25"/>
  <c r="I129" i="25"/>
  <c r="I128" i="25"/>
  <c r="I127" i="25"/>
  <c r="I126" i="25"/>
  <c r="I125" i="25"/>
  <c r="I124" i="25"/>
  <c r="I123" i="25"/>
  <c r="I122" i="25"/>
  <c r="I121" i="25"/>
  <c r="I120" i="25"/>
  <c r="I119" i="25"/>
  <c r="I118" i="25"/>
  <c r="I117" i="25"/>
  <c r="I116" i="25"/>
  <c r="I115" i="25"/>
  <c r="I114" i="25"/>
  <c r="I113" i="25"/>
  <c r="I112" i="25"/>
  <c r="I111" i="25"/>
  <c r="I110" i="25"/>
  <c r="I109" i="25"/>
  <c r="I108" i="25"/>
  <c r="I107" i="25"/>
  <c r="I106" i="25"/>
  <c r="I105" i="25"/>
  <c r="I104" i="25"/>
  <c r="I103" i="25"/>
  <c r="I102" i="25"/>
  <c r="I101" i="25"/>
  <c r="I100" i="25"/>
  <c r="I99" i="25"/>
  <c r="I98" i="25"/>
  <c r="I97" i="25"/>
  <c r="I96" i="25"/>
  <c r="I95" i="25"/>
  <c r="I94" i="25"/>
  <c r="I93" i="25"/>
  <c r="I92" i="25"/>
  <c r="I91" i="25"/>
  <c r="I90" i="25"/>
  <c r="I89" i="25"/>
  <c r="I88" i="25"/>
  <c r="I87" i="25"/>
  <c r="I86" i="25"/>
  <c r="I85" i="25"/>
  <c r="I84" i="25"/>
  <c r="I83" i="25"/>
  <c r="I82" i="25"/>
  <c r="I81" i="25"/>
  <c r="I80" i="25"/>
  <c r="I79" i="25"/>
  <c r="I78" i="25"/>
  <c r="I77" i="25"/>
  <c r="I76" i="25"/>
  <c r="I75" i="25"/>
  <c r="I66" i="25"/>
  <c r="I65" i="25"/>
  <c r="I64" i="25"/>
  <c r="I63" i="25"/>
  <c r="I62" i="25"/>
  <c r="I61" i="25"/>
  <c r="I60" i="25"/>
  <c r="I59" i="25"/>
  <c r="I58" i="25"/>
  <c r="I57" i="25"/>
  <c r="I56" i="25"/>
  <c r="I55" i="25"/>
  <c r="I54" i="25"/>
  <c r="I53" i="25"/>
  <c r="I52" i="25"/>
  <c r="I51" i="25"/>
  <c r="I50" i="25"/>
  <c r="I49" i="25"/>
  <c r="I48" i="25"/>
  <c r="I47" i="25"/>
  <c r="I46" i="25"/>
  <c r="I45" i="25"/>
  <c r="I44" i="25"/>
  <c r="I43" i="25"/>
  <c r="I42" i="25"/>
  <c r="I41" i="25"/>
  <c r="I40" i="25"/>
  <c r="I39" i="25"/>
  <c r="I38" i="25"/>
  <c r="I37" i="25"/>
  <c r="I36" i="25"/>
  <c r="I35" i="25"/>
  <c r="I34" i="25"/>
  <c r="I33" i="25"/>
  <c r="I32" i="25"/>
  <c r="I31" i="25"/>
  <c r="I30" i="25"/>
  <c r="I29" i="25"/>
  <c r="I28" i="25"/>
  <c r="I27" i="25"/>
  <c r="I26" i="25"/>
  <c r="I25" i="25"/>
  <c r="I24" i="25"/>
  <c r="I23" i="25"/>
  <c r="I22" i="25"/>
  <c r="I21" i="25"/>
  <c r="I20" i="25"/>
  <c r="I19" i="25"/>
  <c r="I18" i="25"/>
  <c r="I17" i="25"/>
  <c r="I16" i="25"/>
  <c r="I15" i="25"/>
  <c r="I14" i="25"/>
  <c r="I13" i="25"/>
  <c r="I12" i="25"/>
  <c r="I11" i="25"/>
  <c r="I10" i="25"/>
  <c r="I9" i="25"/>
  <c r="F254" i="28" l="1"/>
  <c r="F253" i="28"/>
  <c r="F252" i="28"/>
  <c r="J168" i="27" s="1"/>
  <c r="F250" i="28"/>
  <c r="J111" i="27" s="1"/>
  <c r="F249" i="28"/>
  <c r="J109" i="27" s="1"/>
  <c r="F248" i="28"/>
  <c r="J108" i="27"/>
  <c r="F246" i="28"/>
  <c r="J106" i="27" s="1"/>
  <c r="F245" i="28"/>
  <c r="J107" i="27" s="1"/>
  <c r="F244" i="28"/>
  <c r="J112" i="27" s="1"/>
  <c r="F243" i="28"/>
  <c r="J169" i="27" s="1"/>
  <c r="F242" i="28"/>
  <c r="F241" i="28"/>
  <c r="J167" i="27" s="1"/>
  <c r="F240" i="28"/>
  <c r="F239" i="28"/>
  <c r="J162" i="27" s="1"/>
  <c r="F237" i="28"/>
  <c r="F236" i="28"/>
  <c r="J161" i="27" s="1"/>
  <c r="F235" i="28"/>
  <c r="J160" i="27" s="1"/>
  <c r="F234" i="28"/>
  <c r="J166" i="27" s="1"/>
  <c r="F233" i="28"/>
  <c r="J165" i="27" s="1"/>
  <c r="F232" i="28"/>
  <c r="J133" i="27" s="1"/>
  <c r="F231" i="28"/>
  <c r="J149" i="27" s="1"/>
  <c r="F230" i="28"/>
  <c r="J158" i="27" s="1"/>
  <c r="F229" i="28"/>
  <c r="J157" i="27" s="1"/>
  <c r="F228" i="28"/>
  <c r="J156" i="27" s="1"/>
  <c r="F227" i="28"/>
  <c r="F226" i="28"/>
  <c r="J154" i="27"/>
  <c r="F223" i="28"/>
  <c r="J105" i="27" s="1"/>
  <c r="F222" i="28"/>
  <c r="F221" i="28"/>
  <c r="J103" i="27" s="1"/>
  <c r="F220" i="28"/>
  <c r="J102" i="27" s="1"/>
  <c r="F219" i="28"/>
  <c r="F218" i="28"/>
  <c r="F217" i="28"/>
  <c r="F216" i="28"/>
  <c r="F215" i="28"/>
  <c r="F214" i="28"/>
  <c r="F213" i="28"/>
  <c r="J91" i="27" s="1"/>
  <c r="F212" i="28"/>
  <c r="F211" i="28"/>
  <c r="F210" i="28"/>
  <c r="F209" i="28"/>
  <c r="F208" i="28"/>
  <c r="J93" i="27" s="1"/>
  <c r="F207" i="28"/>
  <c r="F206" i="28"/>
  <c r="F205" i="28"/>
  <c r="F204" i="28"/>
  <c r="J146" i="27" s="1"/>
  <c r="F203" i="28"/>
  <c r="J147" i="27" s="1"/>
  <c r="F200" i="28"/>
  <c r="J132" i="27" s="1"/>
  <c r="F199" i="28"/>
  <c r="J97" i="27" s="1"/>
  <c r="F198" i="28"/>
  <c r="J96" i="27" s="1"/>
  <c r="F197" i="28"/>
  <c r="F196" i="28"/>
  <c r="J145" i="27" s="1"/>
  <c r="F195" i="28"/>
  <c r="F194" i="28"/>
  <c r="F193" i="28"/>
  <c r="F192" i="28"/>
  <c r="J90" i="27" s="1"/>
  <c r="F191" i="28"/>
  <c r="J76" i="27" s="1"/>
  <c r="F190" i="28"/>
  <c r="J75" i="27" s="1"/>
  <c r="F189" i="28"/>
  <c r="J81" i="27" s="1"/>
  <c r="F188" i="28"/>
  <c r="J80" i="27" s="1"/>
  <c r="F187" i="28"/>
  <c r="J79" i="27" s="1"/>
  <c r="F186" i="28"/>
  <c r="J78" i="27" s="1"/>
  <c r="F185" i="28"/>
  <c r="J77" i="27" s="1"/>
  <c r="F184" i="28"/>
  <c r="J87" i="27" s="1"/>
  <c r="F183" i="28"/>
  <c r="J86" i="27" s="1"/>
  <c r="F182" i="28"/>
  <c r="J85" i="27" s="1"/>
  <c r="F181" i="28"/>
  <c r="J84" i="27" s="1"/>
  <c r="F180" i="28"/>
  <c r="J83" i="27" s="1"/>
  <c r="F179" i="28"/>
  <c r="J140" i="27" s="1"/>
  <c r="F178" i="28"/>
  <c r="J139" i="27" s="1"/>
  <c r="F177" i="28"/>
  <c r="J92" i="27" s="1"/>
  <c r="F175" i="28"/>
  <c r="J180" i="27" s="1"/>
  <c r="F174" i="28"/>
  <c r="F173" i="28"/>
  <c r="F169" i="28"/>
  <c r="F167" i="28"/>
  <c r="F166" i="28"/>
  <c r="J15" i="27" s="1"/>
  <c r="F165" i="28"/>
  <c r="J16" i="27" s="1"/>
  <c r="F164" i="28"/>
  <c r="F163" i="28"/>
  <c r="J25" i="27" s="1"/>
  <c r="F162" i="28"/>
  <c r="J26" i="27" s="1"/>
  <c r="F161" i="28"/>
  <c r="J30" i="27" s="1"/>
  <c r="F159" i="28"/>
  <c r="F158" i="28"/>
  <c r="J24" i="27" s="1"/>
  <c r="F157" i="28"/>
  <c r="J23" i="27" s="1"/>
  <c r="F156" i="28"/>
  <c r="F155" i="28"/>
  <c r="F154" i="28"/>
  <c r="F153" i="28"/>
  <c r="F152" i="28"/>
  <c r="F151" i="28"/>
  <c r="F150" i="28"/>
  <c r="J17" i="27" s="1"/>
  <c r="F149" i="28"/>
  <c r="F148" i="28"/>
  <c r="F147" i="28"/>
  <c r="J10" i="27" s="1"/>
  <c r="F146" i="28"/>
  <c r="J9" i="27" s="1"/>
  <c r="F145" i="28"/>
  <c r="J8" i="27" s="1"/>
  <c r="F144" i="28"/>
  <c r="J7" i="27" s="1"/>
  <c r="F138" i="28"/>
  <c r="J5" i="27" s="1"/>
  <c r="F137" i="28"/>
  <c r="J4" i="27" s="1"/>
  <c r="F136" i="28"/>
  <c r="F135" i="28"/>
  <c r="F134" i="28"/>
  <c r="F133" i="28"/>
  <c r="J22" i="27"/>
  <c r="F131" i="28"/>
  <c r="F130" i="28"/>
  <c r="F126" i="28"/>
  <c r="F125" i="28"/>
  <c r="F124" i="28"/>
  <c r="F123" i="28"/>
  <c r="F122" i="28"/>
  <c r="F121" i="28"/>
  <c r="F120" i="28"/>
  <c r="F119" i="28"/>
  <c r="F118" i="28"/>
  <c r="F117" i="28"/>
  <c r="F116" i="28"/>
  <c r="F115" i="28"/>
  <c r="F114" i="28"/>
  <c r="F113" i="28"/>
  <c r="F112" i="28"/>
  <c r="F111" i="28"/>
  <c r="F110" i="28"/>
  <c r="F109" i="28"/>
  <c r="F108" i="28"/>
  <c r="F107" i="28"/>
  <c r="F106" i="28"/>
  <c r="F105" i="28"/>
  <c r="F104" i="28"/>
  <c r="F103" i="28"/>
  <c r="F102" i="28"/>
  <c r="F101" i="28"/>
  <c r="F100" i="28"/>
  <c r="F99" i="28"/>
  <c r="F98" i="28"/>
  <c r="F97" i="28"/>
  <c r="F96" i="28"/>
  <c r="F95" i="28"/>
  <c r="F94" i="28"/>
  <c r="F93" i="28"/>
  <c r="F92" i="28"/>
  <c r="F91" i="28"/>
  <c r="F90" i="28"/>
  <c r="F89" i="28"/>
  <c r="F88" i="28"/>
  <c r="F87" i="28"/>
  <c r="F86" i="28"/>
  <c r="F85" i="28"/>
  <c r="F80" i="28"/>
  <c r="J63" i="27" s="1"/>
  <c r="F79" i="28"/>
  <c r="J41" i="27" s="1"/>
  <c r="F78" i="28"/>
  <c r="J40" i="27" s="1"/>
  <c r="F77" i="28"/>
  <c r="J39" i="27" s="1"/>
  <c r="F76" i="28"/>
  <c r="J37" i="27" s="1"/>
  <c r="F75" i="28"/>
  <c r="F74" i="28"/>
  <c r="J66" i="27" s="1"/>
  <c r="F73" i="28"/>
  <c r="J65" i="27" s="1"/>
  <c r="F72" i="28"/>
  <c r="J64" i="27" s="1"/>
  <c r="F71" i="28"/>
  <c r="J48" i="27" s="1"/>
  <c r="F70" i="28"/>
  <c r="F69" i="28"/>
  <c r="F68" i="28"/>
  <c r="F67" i="28"/>
  <c r="F66" i="28"/>
  <c r="F65" i="28"/>
  <c r="F64" i="28"/>
  <c r="F63" i="28"/>
  <c r="F62" i="28"/>
  <c r="F61" i="28"/>
  <c r="J58" i="27" s="1"/>
  <c r="F60" i="28"/>
  <c r="J62" i="27" s="1"/>
  <c r="F59" i="28"/>
  <c r="J61" i="27" s="1"/>
  <c r="F58" i="28"/>
  <c r="J60" i="27" s="1"/>
  <c r="F57" i="28"/>
  <c r="J56" i="27" s="1"/>
  <c r="F56" i="28"/>
  <c r="F55" i="28"/>
  <c r="F54" i="28"/>
  <c r="F53" i="28"/>
  <c r="F52" i="28"/>
  <c r="F51" i="28"/>
  <c r="F50" i="28"/>
  <c r="F49" i="28"/>
  <c r="F48" i="28"/>
  <c r="F47" i="28"/>
  <c r="F46" i="28"/>
  <c r="F45" i="28"/>
  <c r="F44" i="28"/>
  <c r="F43" i="28"/>
  <c r="F42" i="28"/>
  <c r="F41" i="28"/>
  <c r="F40" i="28"/>
  <c r="F39" i="28"/>
  <c r="F38" i="28"/>
  <c r="F37" i="28"/>
  <c r="F36" i="28"/>
  <c r="F35" i="28"/>
  <c r="F34" i="28"/>
  <c r="F33" i="28"/>
  <c r="F32" i="28"/>
  <c r="F31" i="28"/>
  <c r="F30" i="28"/>
  <c r="F29" i="28"/>
  <c r="F28" i="28"/>
  <c r="F27" i="28"/>
  <c r="F26" i="28"/>
  <c r="F25" i="28"/>
  <c r="F24" i="28"/>
  <c r="F23" i="28"/>
  <c r="F22" i="28"/>
  <c r="F21" i="28"/>
  <c r="F20" i="28"/>
  <c r="F19" i="28"/>
  <c r="F18" i="28"/>
  <c r="F17" i="28"/>
  <c r="F16" i="28"/>
  <c r="F15" i="28"/>
  <c r="F14" i="28"/>
  <c r="J57" i="27" s="1"/>
  <c r="F13" i="28"/>
  <c r="J59" i="27" s="1"/>
  <c r="F11" i="28"/>
  <c r="J51" i="27" s="1"/>
  <c r="F10" i="28"/>
  <c r="J53" i="27" s="1"/>
  <c r="F9" i="28"/>
  <c r="F8" i="28"/>
  <c r="F7" i="28"/>
  <c r="F6" i="28"/>
  <c r="F5" i="28"/>
  <c r="F4" i="28"/>
  <c r="F3" i="28"/>
  <c r="J179" i="27"/>
  <c r="J178" i="27"/>
  <c r="J159" i="27"/>
  <c r="J155" i="27"/>
  <c r="J131" i="27"/>
  <c r="J110" i="27"/>
  <c r="J104" i="27"/>
  <c r="F238" i="28"/>
  <c r="J163" i="27" s="1"/>
  <c r="H238" i="28"/>
  <c r="L163" i="27" s="1"/>
  <c r="G238" i="28"/>
  <c r="K163" i="27" s="1"/>
  <c r="H254" i="28"/>
  <c r="H253" i="28"/>
  <c r="H252" i="28"/>
  <c r="L168" i="27" s="1"/>
  <c r="H251" i="28"/>
  <c r="L130" i="27" s="1"/>
  <c r="H250" i="28"/>
  <c r="L111" i="27" s="1"/>
  <c r="H249" i="28"/>
  <c r="L109" i="27" s="1"/>
  <c r="H248" i="28"/>
  <c r="L110" i="27" s="1"/>
  <c r="H247" i="28"/>
  <c r="L108" i="27" s="1"/>
  <c r="H246" i="28"/>
  <c r="L106" i="27" s="1"/>
  <c r="H245" i="28"/>
  <c r="L107" i="27" s="1"/>
  <c r="H244" i="28"/>
  <c r="L112" i="27" s="1"/>
  <c r="H243" i="28"/>
  <c r="L169" i="27" s="1"/>
  <c r="H242" i="28"/>
  <c r="H241" i="28"/>
  <c r="L167" i="27" s="1"/>
  <c r="H240" i="28"/>
  <c r="L159" i="27" s="1"/>
  <c r="H239" i="28"/>
  <c r="L162" i="27" s="1"/>
  <c r="H237" i="28"/>
  <c r="H236" i="28"/>
  <c r="L161" i="27" s="1"/>
  <c r="H235" i="28"/>
  <c r="L160" i="27" s="1"/>
  <c r="H234" i="28"/>
  <c r="L166" i="27" s="1"/>
  <c r="H233" i="28"/>
  <c r="L165" i="27" s="1"/>
  <c r="H232" i="28"/>
  <c r="L133" i="27" s="1"/>
  <c r="H231" i="28"/>
  <c r="L149" i="27" s="1"/>
  <c r="H230" i="28"/>
  <c r="H229" i="28"/>
  <c r="L157" i="27" s="1"/>
  <c r="H228" i="28"/>
  <c r="L156" i="27" s="1"/>
  <c r="H227" i="28"/>
  <c r="L155" i="27" s="1"/>
  <c r="H226" i="28"/>
  <c r="L154" i="27"/>
  <c r="H223" i="28"/>
  <c r="H222" i="28"/>
  <c r="L104" i="27" s="1"/>
  <c r="H221" i="28"/>
  <c r="L103" i="27" s="1"/>
  <c r="H220" i="28"/>
  <c r="H219" i="28"/>
  <c r="H218" i="28"/>
  <c r="H217" i="28"/>
  <c r="L94" i="27" s="1"/>
  <c r="H216" i="28"/>
  <c r="H215" i="28"/>
  <c r="L99" i="27" s="1"/>
  <c r="H214" i="28"/>
  <c r="H213" i="28"/>
  <c r="H212" i="28"/>
  <c r="H211" i="28"/>
  <c r="H210" i="28"/>
  <c r="H209" i="28"/>
  <c r="H208" i="28"/>
  <c r="L93" i="27" s="1"/>
  <c r="H207" i="28"/>
  <c r="H206" i="28"/>
  <c r="H205" i="28"/>
  <c r="H204" i="28"/>
  <c r="L146" i="27" s="1"/>
  <c r="H203" i="28"/>
  <c r="L147" i="27" s="1"/>
  <c r="H202" i="28"/>
  <c r="L131" i="27" s="1"/>
  <c r="H201" i="28"/>
  <c r="H200" i="28"/>
  <c r="L132" i="27" s="1"/>
  <c r="H199" i="28"/>
  <c r="L97" i="27" s="1"/>
  <c r="H198" i="28"/>
  <c r="L96" i="27" s="1"/>
  <c r="H197" i="28"/>
  <c r="H196" i="28"/>
  <c r="L145" i="27" s="1"/>
  <c r="H195" i="28"/>
  <c r="H194" i="28"/>
  <c r="L143" i="27" s="1"/>
  <c r="H193" i="28"/>
  <c r="L141" i="27" s="1"/>
  <c r="H192" i="28"/>
  <c r="L90" i="27" s="1"/>
  <c r="H191" i="28"/>
  <c r="L76" i="27" s="1"/>
  <c r="H190" i="28"/>
  <c r="L75" i="27" s="1"/>
  <c r="H189" i="28"/>
  <c r="L81" i="27" s="1"/>
  <c r="H188" i="28"/>
  <c r="L80" i="27" s="1"/>
  <c r="H187" i="28"/>
  <c r="L79" i="27" s="1"/>
  <c r="H186" i="28"/>
  <c r="L78" i="27" s="1"/>
  <c r="H185" i="28"/>
  <c r="L77" i="27" s="1"/>
  <c r="H184" i="28"/>
  <c r="L87" i="27" s="1"/>
  <c r="H183" i="28"/>
  <c r="L86" i="27" s="1"/>
  <c r="H182" i="28"/>
  <c r="L85" i="27" s="1"/>
  <c r="H181" i="28"/>
  <c r="H180" i="28"/>
  <c r="L83" i="27" s="1"/>
  <c r="H179" i="28"/>
  <c r="L140" i="27" s="1"/>
  <c r="H178" i="28"/>
  <c r="L139" i="27" s="1"/>
  <c r="H177" i="28"/>
  <c r="L92" i="27" s="1"/>
  <c r="H175" i="28"/>
  <c r="H174" i="28"/>
  <c r="H173" i="28"/>
  <c r="H167" i="28"/>
  <c r="L13" i="27" s="1"/>
  <c r="H166" i="28"/>
  <c r="L15" i="27" s="1"/>
  <c r="H165" i="28"/>
  <c r="L16" i="27" s="1"/>
  <c r="H164" i="28"/>
  <c r="L14" i="27" s="1"/>
  <c r="H163" i="28"/>
  <c r="L25" i="27" s="1"/>
  <c r="H162" i="28"/>
  <c r="L26" i="27" s="1"/>
  <c r="H161" i="28"/>
  <c r="L30" i="27" s="1"/>
  <c r="H160" i="28"/>
  <c r="L29" i="27" s="1"/>
  <c r="H159" i="28"/>
  <c r="L28" i="27" s="1"/>
  <c r="H158" i="28"/>
  <c r="L24" i="27" s="1"/>
  <c r="H157" i="28"/>
  <c r="L23" i="27" s="1"/>
  <c r="H156" i="28"/>
  <c r="H155" i="28"/>
  <c r="H154" i="28"/>
  <c r="H153" i="28"/>
  <c r="H152" i="28"/>
  <c r="H151" i="28"/>
  <c r="L18" i="27" s="1"/>
  <c r="H150" i="28"/>
  <c r="L17" i="27" s="1"/>
  <c r="H149" i="28"/>
  <c r="H148" i="28"/>
  <c r="L27" i="27" s="1"/>
  <c r="H147" i="28"/>
  <c r="L10" i="27" s="1"/>
  <c r="H146" i="28"/>
  <c r="L9" i="27" s="1"/>
  <c r="H145" i="28"/>
  <c r="L8" i="27" s="1"/>
  <c r="H144" i="28"/>
  <c r="L7" i="27" s="1"/>
  <c r="H138" i="28"/>
  <c r="L5" i="27" s="1"/>
  <c r="H137" i="28"/>
  <c r="L4" i="27" s="1"/>
  <c r="H136" i="28"/>
  <c r="H135" i="28"/>
  <c r="H134" i="28"/>
  <c r="H133" i="28"/>
  <c r="H132" i="28"/>
  <c r="L22" i="27" s="1"/>
  <c r="H131" i="28"/>
  <c r="L20" i="27" s="1"/>
  <c r="H130" i="28"/>
  <c r="L21" i="27" s="1"/>
  <c r="H126" i="28"/>
  <c r="H125" i="28"/>
  <c r="H124" i="28"/>
  <c r="H123" i="28"/>
  <c r="H122" i="28"/>
  <c r="H121" i="28"/>
  <c r="H120" i="28"/>
  <c r="H119" i="28"/>
  <c r="H118" i="28"/>
  <c r="H117" i="28"/>
  <c r="H116" i="28"/>
  <c r="H115" i="28"/>
  <c r="H114" i="28"/>
  <c r="H113" i="28"/>
  <c r="H112" i="28"/>
  <c r="H111" i="28"/>
  <c r="H110" i="28"/>
  <c r="H109" i="28"/>
  <c r="H108" i="28"/>
  <c r="H107" i="28"/>
  <c r="H106" i="28"/>
  <c r="H105" i="28"/>
  <c r="H104" i="28"/>
  <c r="H103" i="28"/>
  <c r="H102" i="28"/>
  <c r="H101" i="28"/>
  <c r="H100" i="28"/>
  <c r="H99" i="28"/>
  <c r="H98" i="28"/>
  <c r="H97" i="28"/>
  <c r="H96" i="28"/>
  <c r="H95" i="28"/>
  <c r="H94" i="28"/>
  <c r="H93" i="28"/>
  <c r="H92" i="28"/>
  <c r="H91" i="28"/>
  <c r="H90" i="28"/>
  <c r="H89" i="28"/>
  <c r="H88" i="28"/>
  <c r="H87" i="28"/>
  <c r="H86" i="28"/>
  <c r="H85" i="28"/>
  <c r="H80" i="28"/>
  <c r="L63" i="27" s="1"/>
  <c r="H79" i="28"/>
  <c r="L41" i="27" s="1"/>
  <c r="H78" i="28"/>
  <c r="L40" i="27" s="1"/>
  <c r="H77" i="28"/>
  <c r="L39" i="27" s="1"/>
  <c r="H76" i="28"/>
  <c r="L37" i="27" s="1"/>
  <c r="H75" i="28"/>
  <c r="L36" i="27" s="1"/>
  <c r="H74" i="28"/>
  <c r="L66" i="27" s="1"/>
  <c r="H73" i="28"/>
  <c r="L65" i="27" s="1"/>
  <c r="H72" i="28"/>
  <c r="L64" i="27" s="1"/>
  <c r="H71" i="28"/>
  <c r="L48" i="27" s="1"/>
  <c r="H70" i="28"/>
  <c r="H69" i="28"/>
  <c r="H68" i="28"/>
  <c r="H67" i="28"/>
  <c r="H66" i="28"/>
  <c r="H65" i="28"/>
  <c r="H64" i="28"/>
  <c r="L50" i="27" s="1"/>
  <c r="H63" i="28"/>
  <c r="L46" i="27" s="1"/>
  <c r="H62" i="28"/>
  <c r="L45" i="27" s="1"/>
  <c r="H61" i="28"/>
  <c r="L58" i="27" s="1"/>
  <c r="H60" i="28"/>
  <c r="L62" i="27" s="1"/>
  <c r="H59" i="28"/>
  <c r="L61" i="27" s="1"/>
  <c r="H58" i="28"/>
  <c r="L60" i="27" s="1"/>
  <c r="H57" i="28"/>
  <c r="L56" i="27" s="1"/>
  <c r="H56" i="28"/>
  <c r="L55" i="27" s="1"/>
  <c r="H55" i="28"/>
  <c r="H54" i="28"/>
  <c r="H53" i="28"/>
  <c r="H52" i="28"/>
  <c r="H51" i="28"/>
  <c r="H50" i="28"/>
  <c r="H49" i="28"/>
  <c r="H48" i="28"/>
  <c r="H47" i="28"/>
  <c r="H46" i="28"/>
  <c r="H45" i="28"/>
  <c r="H44" i="28"/>
  <c r="H43" i="28"/>
  <c r="H42" i="28"/>
  <c r="H41" i="28"/>
  <c r="H40" i="28"/>
  <c r="H39" i="28"/>
  <c r="H38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H20" i="28"/>
  <c r="H19" i="28"/>
  <c r="H18" i="28"/>
  <c r="H17" i="28"/>
  <c r="H16" i="28"/>
  <c r="H15" i="28"/>
  <c r="L44" i="27" s="1"/>
  <c r="H14" i="28"/>
  <c r="L57" i="27" s="1"/>
  <c r="H13" i="28"/>
  <c r="L59" i="27" s="1"/>
  <c r="H11" i="28"/>
  <c r="L51" i="27" s="1"/>
  <c r="H10" i="28"/>
  <c r="L53" i="27" s="1"/>
  <c r="H9" i="28"/>
  <c r="H8" i="28"/>
  <c r="H7" i="28"/>
  <c r="H6" i="28"/>
  <c r="H5" i="28"/>
  <c r="H4" i="28"/>
  <c r="H3" i="28"/>
  <c r="L52" i="27" s="1"/>
  <c r="G12" i="28"/>
  <c r="K54" i="27" s="1"/>
  <c r="M54" i="27" s="1"/>
  <c r="G3" i="28"/>
  <c r="G254" i="28"/>
  <c r="G253" i="28"/>
  <c r="G252" i="28"/>
  <c r="K168" i="27" s="1"/>
  <c r="G250" i="28"/>
  <c r="K111" i="27" s="1"/>
  <c r="G249" i="28"/>
  <c r="K109" i="27" s="1"/>
  <c r="G248" i="28"/>
  <c r="K110" i="27" s="1"/>
  <c r="K108" i="27"/>
  <c r="G246" i="28"/>
  <c r="K106" i="27" s="1"/>
  <c r="G245" i="28"/>
  <c r="K107" i="27" s="1"/>
  <c r="G244" i="28"/>
  <c r="G243" i="28"/>
  <c r="G242" i="28"/>
  <c r="K101" i="27" s="1"/>
  <c r="M101" i="27" s="1"/>
  <c r="G241" i="28"/>
  <c r="K167" i="27" s="1"/>
  <c r="G240" i="28"/>
  <c r="K159" i="27" s="1"/>
  <c r="G239" i="28"/>
  <c r="K162" i="27" s="1"/>
  <c r="G237" i="28"/>
  <c r="G236" i="28"/>
  <c r="K161" i="27" s="1"/>
  <c r="G235" i="28"/>
  <c r="K160" i="27" s="1"/>
  <c r="G234" i="28"/>
  <c r="K166" i="27" s="1"/>
  <c r="G233" i="28"/>
  <c r="K165" i="27" s="1"/>
  <c r="G232" i="28"/>
  <c r="K133" i="27" s="1"/>
  <c r="G231" i="28"/>
  <c r="K149" i="27" s="1"/>
  <c r="G230" i="28"/>
  <c r="K158" i="27" s="1"/>
  <c r="G229" i="28"/>
  <c r="K157" i="27" s="1"/>
  <c r="G228" i="28"/>
  <c r="K156" i="27" s="1"/>
  <c r="G227" i="28"/>
  <c r="K155" i="27" s="1"/>
  <c r="G226" i="28"/>
  <c r="K154" i="27"/>
  <c r="G223" i="28"/>
  <c r="G222" i="28"/>
  <c r="K104" i="27" s="1"/>
  <c r="G221" i="28"/>
  <c r="G220" i="28"/>
  <c r="K102" i="27" s="1"/>
  <c r="G219" i="28"/>
  <c r="G218" i="28"/>
  <c r="G217" i="28"/>
  <c r="K94" i="27" s="1"/>
  <c r="G216" i="28"/>
  <c r="G215" i="28"/>
  <c r="K99" i="27" s="1"/>
  <c r="G214" i="28"/>
  <c r="G213" i="28"/>
  <c r="K91" i="27" s="1"/>
  <c r="G212" i="28"/>
  <c r="G211" i="28"/>
  <c r="G210" i="28"/>
  <c r="G209" i="28"/>
  <c r="G208" i="28"/>
  <c r="G207" i="28"/>
  <c r="G206" i="28"/>
  <c r="G205" i="28"/>
  <c r="G204" i="28"/>
  <c r="K146" i="27" s="1"/>
  <c r="G203" i="28"/>
  <c r="K147" i="27" s="1"/>
  <c r="G201" i="28"/>
  <c r="G200" i="28"/>
  <c r="K132" i="27" s="1"/>
  <c r="G199" i="28"/>
  <c r="K97" i="27" s="1"/>
  <c r="G198" i="28"/>
  <c r="K96" i="27" s="1"/>
  <c r="G197" i="28"/>
  <c r="K95" i="27" s="1"/>
  <c r="M95" i="27" s="1"/>
  <c r="G196" i="28"/>
  <c r="K145" i="27" s="1"/>
  <c r="G195" i="28"/>
  <c r="K73" i="27" s="1"/>
  <c r="G194" i="28"/>
  <c r="G193" i="28"/>
  <c r="G192" i="28"/>
  <c r="G191" i="28"/>
  <c r="K76" i="27" s="1"/>
  <c r="G190" i="28"/>
  <c r="K75" i="27" s="1"/>
  <c r="G189" i="28"/>
  <c r="K81" i="27" s="1"/>
  <c r="G188" i="28"/>
  <c r="K80" i="27" s="1"/>
  <c r="G187" i="28"/>
  <c r="K79" i="27" s="1"/>
  <c r="G186" i="28"/>
  <c r="K78" i="27" s="1"/>
  <c r="G185" i="28"/>
  <c r="G184" i="28"/>
  <c r="K87" i="27" s="1"/>
  <c r="G183" i="28"/>
  <c r="G182" i="28"/>
  <c r="K85" i="27" s="1"/>
  <c r="G181" i="28"/>
  <c r="K84" i="27" s="1"/>
  <c r="G180" i="28"/>
  <c r="K83" i="27" s="1"/>
  <c r="G179" i="28"/>
  <c r="K140" i="27" s="1"/>
  <c r="G178" i="28"/>
  <c r="K139" i="27" s="1"/>
  <c r="G177" i="28"/>
  <c r="K92" i="27" s="1"/>
  <c r="G176" i="28"/>
  <c r="K179" i="27"/>
  <c r="G169" i="28"/>
  <c r="K187" i="27" s="1"/>
  <c r="G167" i="28"/>
  <c r="K13" i="27" s="1"/>
  <c r="G166" i="28"/>
  <c r="K15" i="27" s="1"/>
  <c r="G165" i="28"/>
  <c r="K16" i="27" s="1"/>
  <c r="G164" i="28"/>
  <c r="G163" i="28"/>
  <c r="K25" i="27" s="1"/>
  <c r="G162" i="28"/>
  <c r="K26" i="27" s="1"/>
  <c r="G161" i="28"/>
  <c r="K30" i="27" s="1"/>
  <c r="G160" i="28"/>
  <c r="K29" i="27" s="1"/>
  <c r="G159" i="28"/>
  <c r="K28" i="27" s="1"/>
  <c r="G158" i="28"/>
  <c r="K24" i="27" s="1"/>
  <c r="G157" i="28"/>
  <c r="K23" i="27" s="1"/>
  <c r="G156" i="28"/>
  <c r="G155" i="28"/>
  <c r="G154" i="28"/>
  <c r="G153" i="28"/>
  <c r="G152" i="28"/>
  <c r="G151" i="28"/>
  <c r="G150" i="28"/>
  <c r="K17" i="27" s="1"/>
  <c r="G149" i="28"/>
  <c r="G148" i="28"/>
  <c r="K27" i="27" s="1"/>
  <c r="G147" i="28"/>
  <c r="K10" i="27" s="1"/>
  <c r="G146" i="28"/>
  <c r="G145" i="28"/>
  <c r="K8" i="27" s="1"/>
  <c r="G144" i="28"/>
  <c r="K7" i="27" s="1"/>
  <c r="G138" i="28"/>
  <c r="K5" i="27" s="1"/>
  <c r="G137" i="28"/>
  <c r="K4" i="27" s="1"/>
  <c r="G136" i="28"/>
  <c r="G135" i="28"/>
  <c r="G134" i="28"/>
  <c r="G133" i="28"/>
  <c r="G132" i="28"/>
  <c r="G131" i="28"/>
  <c r="K20" i="27" s="1"/>
  <c r="G130" i="28"/>
  <c r="K21" i="27" s="1"/>
  <c r="G126" i="28"/>
  <c r="G125" i="28"/>
  <c r="G124" i="28"/>
  <c r="G123" i="28"/>
  <c r="G122" i="28"/>
  <c r="G121" i="28"/>
  <c r="G120" i="28"/>
  <c r="G119" i="28"/>
  <c r="G118" i="28"/>
  <c r="G117" i="28"/>
  <c r="G116" i="28"/>
  <c r="G115" i="28"/>
  <c r="G114" i="28"/>
  <c r="G113" i="28"/>
  <c r="G112" i="28"/>
  <c r="G111" i="28"/>
  <c r="G110" i="28"/>
  <c r="G109" i="28"/>
  <c r="G108" i="28"/>
  <c r="G107" i="28"/>
  <c r="G106" i="28"/>
  <c r="G105" i="28"/>
  <c r="G104" i="28"/>
  <c r="G103" i="28"/>
  <c r="G102" i="28"/>
  <c r="G101" i="28"/>
  <c r="G100" i="28"/>
  <c r="G99" i="28"/>
  <c r="G98" i="28"/>
  <c r="G97" i="28"/>
  <c r="G96" i="28"/>
  <c r="G95" i="28"/>
  <c r="G94" i="28"/>
  <c r="G93" i="28"/>
  <c r="G92" i="28"/>
  <c r="G91" i="28"/>
  <c r="G90" i="28"/>
  <c r="G89" i="28"/>
  <c r="G88" i="28"/>
  <c r="G87" i="28"/>
  <c r="G86" i="28"/>
  <c r="G85" i="28"/>
  <c r="G80" i="28"/>
  <c r="K63" i="27" s="1"/>
  <c r="G79" i="28"/>
  <c r="K41" i="27" s="1"/>
  <c r="G78" i="28"/>
  <c r="K40" i="27" s="1"/>
  <c r="G77" i="28"/>
  <c r="K39" i="27" s="1"/>
  <c r="G76" i="28"/>
  <c r="K37" i="27" s="1"/>
  <c r="G75" i="28"/>
  <c r="K36" i="27" s="1"/>
  <c r="G74" i="28"/>
  <c r="K66" i="27" s="1"/>
  <c r="G73" i="28"/>
  <c r="K65" i="27" s="1"/>
  <c r="G72" i="28"/>
  <c r="G71" i="28"/>
  <c r="K48" i="27" s="1"/>
  <c r="G70" i="28"/>
  <c r="G69" i="28"/>
  <c r="G68" i="28"/>
  <c r="G67" i="28"/>
  <c r="G66" i="28"/>
  <c r="G65" i="28"/>
  <c r="G64" i="28"/>
  <c r="G63" i="28"/>
  <c r="K46" i="27" s="1"/>
  <c r="G62" i="28"/>
  <c r="K45" i="27" s="1"/>
  <c r="G61" i="28"/>
  <c r="G60" i="28"/>
  <c r="K62" i="27" s="1"/>
  <c r="G59" i="28"/>
  <c r="K61" i="27" s="1"/>
  <c r="G58" i="28"/>
  <c r="K60" i="27" s="1"/>
  <c r="G57" i="28"/>
  <c r="K56" i="27" s="1"/>
  <c r="G56" i="28"/>
  <c r="K55" i="27" s="1"/>
  <c r="G55" i="28"/>
  <c r="G54" i="28"/>
  <c r="G53" i="28"/>
  <c r="G52" i="28"/>
  <c r="G51" i="28"/>
  <c r="G50" i="28"/>
  <c r="G49" i="28"/>
  <c r="G48" i="28"/>
  <c r="G47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K57" i="27" s="1"/>
  <c r="G13" i="28"/>
  <c r="K59" i="27" s="1"/>
  <c r="G11" i="28"/>
  <c r="K51" i="27" s="1"/>
  <c r="G10" i="28"/>
  <c r="G9" i="28"/>
  <c r="G8" i="28"/>
  <c r="G7" i="28"/>
  <c r="G6" i="28"/>
  <c r="G5" i="28"/>
  <c r="G4" i="28"/>
  <c r="K178" i="27"/>
  <c r="K131" i="27"/>
  <c r="G251" i="28"/>
  <c r="K130" i="27" s="1"/>
  <c r="F251" i="28"/>
  <c r="J130" i="27" s="1"/>
  <c r="E255" i="28"/>
  <c r="E176" i="28"/>
  <c r="F170" i="28"/>
  <c r="I170" i="28" s="1"/>
  <c r="E168" i="28"/>
  <c r="E172" i="28" s="1"/>
  <c r="E127" i="28"/>
  <c r="I83" i="28"/>
  <c r="I82" i="28"/>
  <c r="E81" i="28"/>
  <c r="E84" i="28" s="1"/>
  <c r="N179" i="27"/>
  <c r="N178" i="27"/>
  <c r="I170" i="27"/>
  <c r="M152" i="27"/>
  <c r="J151" i="27"/>
  <c r="M150" i="27"/>
  <c r="M144" i="27"/>
  <c r="O170" i="27"/>
  <c r="M142" i="27"/>
  <c r="I130" i="27"/>
  <c r="M126" i="27"/>
  <c r="M125" i="27"/>
  <c r="M124" i="27"/>
  <c r="M123" i="27"/>
  <c r="M122" i="27"/>
  <c r="M121" i="27"/>
  <c r="M119" i="27"/>
  <c r="M118" i="27"/>
  <c r="M117" i="27"/>
  <c r="M116" i="27"/>
  <c r="M115" i="27"/>
  <c r="M114" i="27"/>
  <c r="M113" i="27"/>
  <c r="M100" i="27"/>
  <c r="I98" i="27"/>
  <c r="Q98" i="27" s="1"/>
  <c r="I88" i="27"/>
  <c r="Q88" i="27" s="1"/>
  <c r="I82" i="27"/>
  <c r="Q82" i="27" s="1"/>
  <c r="M74" i="27"/>
  <c r="I68" i="27"/>
  <c r="O68" i="27"/>
  <c r="M47" i="27"/>
  <c r="O31" i="27"/>
  <c r="I31" i="27"/>
  <c r="O178" i="27" l="1"/>
  <c r="P178" i="27" s="1"/>
  <c r="O179" i="27"/>
  <c r="P179" i="27" s="1"/>
  <c r="Q179" i="27" s="1"/>
  <c r="L89" i="27"/>
  <c r="J13" i="27"/>
  <c r="M13" i="27" s="1"/>
  <c r="J167" i="28"/>
  <c r="I62" i="28"/>
  <c r="J45" i="27"/>
  <c r="M45" i="27" s="1"/>
  <c r="I208" i="28"/>
  <c r="H176" i="28"/>
  <c r="I121" i="28"/>
  <c r="I30" i="28"/>
  <c r="I70" i="28"/>
  <c r="I106" i="28"/>
  <c r="I114" i="28"/>
  <c r="I207" i="28"/>
  <c r="I162" i="28"/>
  <c r="F160" i="28"/>
  <c r="J29" i="27" s="1"/>
  <c r="M29" i="27" s="1"/>
  <c r="I14" i="28"/>
  <c r="E263" i="28"/>
  <c r="I183" i="28"/>
  <c r="K64" i="27"/>
  <c r="I242" i="28"/>
  <c r="K86" i="27"/>
  <c r="I238" i="28"/>
  <c r="I161" i="28"/>
  <c r="E265" i="28"/>
  <c r="J27" i="27"/>
  <c r="M27" i="27" s="1"/>
  <c r="J20" i="27"/>
  <c r="M20" i="27" s="1"/>
  <c r="J28" i="27"/>
  <c r="M28" i="27" s="1"/>
  <c r="J14" i="27"/>
  <c r="J36" i="27"/>
  <c r="M36" i="27" s="1"/>
  <c r="J55" i="27"/>
  <c r="M55" i="27" s="1"/>
  <c r="I19" i="28"/>
  <c r="I35" i="28"/>
  <c r="I51" i="28"/>
  <c r="I67" i="28"/>
  <c r="I87" i="28"/>
  <c r="I95" i="28"/>
  <c r="I103" i="28"/>
  <c r="I111" i="28"/>
  <c r="L38" i="27"/>
  <c r="I154" i="28"/>
  <c r="I182" i="28"/>
  <c r="L91" i="27"/>
  <c r="M91" i="27" s="1"/>
  <c r="I21" i="28"/>
  <c r="I47" i="28"/>
  <c r="I55" i="28"/>
  <c r="I123" i="28"/>
  <c r="L73" i="27"/>
  <c r="M73" i="27" s="1"/>
  <c r="L105" i="27"/>
  <c r="M105" i="27" s="1"/>
  <c r="I174" i="28"/>
  <c r="I249" i="28"/>
  <c r="I7" i="28"/>
  <c r="I40" i="28"/>
  <c r="I164" i="28"/>
  <c r="L84" i="27"/>
  <c r="L88" i="27" s="1"/>
  <c r="L158" i="27"/>
  <c r="M158" i="27" s="1"/>
  <c r="I181" i="28"/>
  <c r="I91" i="28"/>
  <c r="I99" i="28"/>
  <c r="I134" i="28"/>
  <c r="H127" i="28"/>
  <c r="I191" i="28"/>
  <c r="I215" i="28"/>
  <c r="I232" i="28"/>
  <c r="I93" i="28"/>
  <c r="I101" i="28"/>
  <c r="I136" i="28"/>
  <c r="I23" i="28"/>
  <c r="I46" i="28"/>
  <c r="I71" i="28"/>
  <c r="I90" i="28"/>
  <c r="I113" i="28"/>
  <c r="I26" i="28"/>
  <c r="I34" i="28"/>
  <c r="I66" i="28"/>
  <c r="I219" i="28"/>
  <c r="M141" i="27"/>
  <c r="I15" i="28"/>
  <c r="I188" i="28"/>
  <c r="I152" i="28"/>
  <c r="I5" i="28"/>
  <c r="I69" i="28"/>
  <c r="I4" i="28"/>
  <c r="I29" i="28"/>
  <c r="I37" i="28"/>
  <c r="I61" i="28"/>
  <c r="F176" i="28"/>
  <c r="I10" i="28"/>
  <c r="I27" i="28"/>
  <c r="I22" i="28"/>
  <c r="H168" i="28"/>
  <c r="H172" i="28" s="1"/>
  <c r="I198" i="28"/>
  <c r="I146" i="28"/>
  <c r="I43" i="28"/>
  <c r="I3" i="28"/>
  <c r="K58" i="27"/>
  <c r="G81" i="28"/>
  <c r="G84" i="28" s="1"/>
  <c r="I187" i="28"/>
  <c r="I234" i="28"/>
  <c r="K90" i="27"/>
  <c r="I209" i="28"/>
  <c r="I94" i="28"/>
  <c r="I245" i="28"/>
  <c r="I38" i="28"/>
  <c r="I42" i="28"/>
  <c r="I60" i="28"/>
  <c r="I98" i="28"/>
  <c r="I179" i="28"/>
  <c r="I190" i="28"/>
  <c r="K9" i="27"/>
  <c r="M9" i="27" s="1"/>
  <c r="K103" i="27"/>
  <c r="I204" i="28"/>
  <c r="I205" i="28"/>
  <c r="I54" i="28"/>
  <c r="I122" i="28"/>
  <c r="I228" i="28"/>
  <c r="I77" i="28"/>
  <c r="I109" i="28"/>
  <c r="I166" i="28"/>
  <c r="I171" i="28"/>
  <c r="I180" i="28"/>
  <c r="I194" i="28"/>
  <c r="I211" i="28"/>
  <c r="K52" i="27"/>
  <c r="K18" i="27"/>
  <c r="I117" i="28"/>
  <c r="I88" i="28"/>
  <c r="I131" i="28"/>
  <c r="I218" i="28"/>
  <c r="I58" i="28"/>
  <c r="I247" i="28"/>
  <c r="K143" i="27"/>
  <c r="K22" i="27"/>
  <c r="I18" i="28"/>
  <c r="I50" i="28"/>
  <c r="I96" i="28"/>
  <c r="I197" i="28"/>
  <c r="I230" i="28"/>
  <c r="K112" i="27"/>
  <c r="I235" i="28"/>
  <c r="I150" i="28"/>
  <c r="I169" i="28"/>
  <c r="I196" i="28"/>
  <c r="I253" i="28"/>
  <c r="K44" i="27"/>
  <c r="K50" i="27"/>
  <c r="K93" i="27"/>
  <c r="M37" i="27"/>
  <c r="I76" i="28"/>
  <c r="I151" i="28"/>
  <c r="I156" i="28"/>
  <c r="I159" i="28"/>
  <c r="I192" i="28"/>
  <c r="I193" i="28"/>
  <c r="I213" i="28"/>
  <c r="I243" i="28"/>
  <c r="K180" i="27"/>
  <c r="K14" i="27"/>
  <c r="I32" i="28"/>
  <c r="I125" i="28"/>
  <c r="I148" i="28"/>
  <c r="I184" i="28"/>
  <c r="I200" i="28"/>
  <c r="I16" i="28"/>
  <c r="I36" i="28"/>
  <c r="I72" i="28"/>
  <c r="I75" i="28"/>
  <c r="I221" i="28"/>
  <c r="K53" i="27"/>
  <c r="K77" i="27"/>
  <c r="I226" i="28"/>
  <c r="I80" i="28"/>
  <c r="I24" i="28"/>
  <c r="I64" i="28"/>
  <c r="I56" i="28"/>
  <c r="I59" i="28"/>
  <c r="I104" i="28"/>
  <c r="I119" i="28"/>
  <c r="I135" i="28"/>
  <c r="I237" i="28"/>
  <c r="I239" i="28"/>
  <c r="I254" i="28"/>
  <c r="I48" i="28"/>
  <c r="I124" i="28"/>
  <c r="I68" i="28"/>
  <c r="I167" i="28"/>
  <c r="I217" i="28"/>
  <c r="I8" i="28"/>
  <c r="I223" i="28"/>
  <c r="I17" i="28"/>
  <c r="I44" i="28"/>
  <c r="I73" i="28"/>
  <c r="I138" i="28"/>
  <c r="F255" i="28"/>
  <c r="I177" i="28"/>
  <c r="I13" i="28"/>
  <c r="I25" i="28"/>
  <c r="I52" i="28"/>
  <c r="I63" i="28"/>
  <c r="I144" i="28"/>
  <c r="I214" i="28"/>
  <c r="I248" i="28"/>
  <c r="I6" i="28"/>
  <c r="I79" i="28"/>
  <c r="G127" i="28"/>
  <c r="K184" i="27" s="1"/>
  <c r="M184" i="27" s="1"/>
  <c r="I85" i="28"/>
  <c r="I163" i="28"/>
  <c r="H255" i="28"/>
  <c r="I41" i="28"/>
  <c r="I153" i="28"/>
  <c r="I11" i="28"/>
  <c r="I49" i="28"/>
  <c r="I78" i="28"/>
  <c r="F127" i="28"/>
  <c r="I86" i="28"/>
  <c r="I102" i="28"/>
  <c r="I107" i="28"/>
  <c r="I112" i="28"/>
  <c r="I133" i="28"/>
  <c r="I175" i="28"/>
  <c r="I203" i="28"/>
  <c r="I236" i="28"/>
  <c r="M48" i="27"/>
  <c r="H81" i="28"/>
  <c r="I9" i="28"/>
  <c r="I20" i="28"/>
  <c r="I31" i="28"/>
  <c r="I45" i="28"/>
  <c r="I57" i="28"/>
  <c r="I74" i="28"/>
  <c r="I115" i="28"/>
  <c r="I145" i="28"/>
  <c r="I147" i="28"/>
  <c r="I231" i="28"/>
  <c r="I33" i="28"/>
  <c r="F81" i="28"/>
  <c r="I173" i="28"/>
  <c r="I241" i="28"/>
  <c r="I28" i="28"/>
  <c r="I39" i="28"/>
  <c r="I53" i="28"/>
  <c r="I65" i="28"/>
  <c r="I89" i="28"/>
  <c r="I92" i="28"/>
  <c r="I97" i="28"/>
  <c r="I100" i="28"/>
  <c r="I105" i="28"/>
  <c r="I108" i="28"/>
  <c r="I220" i="28"/>
  <c r="I252" i="28"/>
  <c r="I110" i="28"/>
  <c r="I126" i="28"/>
  <c r="I149" i="28"/>
  <c r="I165" i="28"/>
  <c r="I178" i="28"/>
  <c r="I120" i="28"/>
  <c r="E128" i="28"/>
  <c r="I130" i="28"/>
  <c r="I137" i="28"/>
  <c r="I155" i="28"/>
  <c r="I158" i="28"/>
  <c r="I185" i="28"/>
  <c r="I195" i="28"/>
  <c r="I201" i="28"/>
  <c r="I206" i="28"/>
  <c r="I212" i="28"/>
  <c r="I222" i="28"/>
  <c r="I229" i="28"/>
  <c r="I240" i="28"/>
  <c r="I246" i="28"/>
  <c r="M17" i="27"/>
  <c r="M24" i="27"/>
  <c r="I118" i="28"/>
  <c r="G168" i="28"/>
  <c r="G172" i="28" s="1"/>
  <c r="I132" i="28"/>
  <c r="I157" i="28"/>
  <c r="I186" i="28"/>
  <c r="I202" i="28"/>
  <c r="M26" i="27"/>
  <c r="I116" i="28"/>
  <c r="I189" i="28"/>
  <c r="I199" i="28"/>
  <c r="I210" i="28"/>
  <c r="I216" i="28"/>
  <c r="I227" i="28"/>
  <c r="I233" i="28"/>
  <c r="I244" i="28"/>
  <c r="I250" i="28"/>
  <c r="J42" i="27"/>
  <c r="M63" i="27"/>
  <c r="M23" i="27"/>
  <c r="M25" i="27"/>
  <c r="M51" i="27"/>
  <c r="M7" i="27"/>
  <c r="M10" i="27"/>
  <c r="M80" i="27"/>
  <c r="I134" i="27"/>
  <c r="I173" i="27" s="1"/>
  <c r="M140" i="27"/>
  <c r="M155" i="27"/>
  <c r="M41" i="27"/>
  <c r="M99" i="27"/>
  <c r="L6" i="27"/>
  <c r="M102" i="27"/>
  <c r="M139" i="27"/>
  <c r="J88" i="27"/>
  <c r="M79" i="27"/>
  <c r="M97" i="27"/>
  <c r="K38" i="27"/>
  <c r="M57" i="27"/>
  <c r="M59" i="27"/>
  <c r="J98" i="27"/>
  <c r="J164" i="27"/>
  <c r="J170" i="27" s="1"/>
  <c r="M162" i="27"/>
  <c r="M30" i="27"/>
  <c r="M46" i="27"/>
  <c r="J6" i="27"/>
  <c r="L11" i="27"/>
  <c r="M16" i="27"/>
  <c r="L82" i="27"/>
  <c r="M87" i="27"/>
  <c r="M130" i="27"/>
  <c r="M133" i="27"/>
  <c r="N170" i="27"/>
  <c r="M156" i="27"/>
  <c r="K164" i="27"/>
  <c r="M166" i="27"/>
  <c r="K6" i="27"/>
  <c r="M8" i="27"/>
  <c r="M21" i="27"/>
  <c r="M39" i="27"/>
  <c r="N68" i="27"/>
  <c r="M61" i="27"/>
  <c r="M65" i="27"/>
  <c r="M76" i="27"/>
  <c r="M92" i="27"/>
  <c r="K98" i="27"/>
  <c r="L164" i="27"/>
  <c r="M161" i="27"/>
  <c r="N130" i="27"/>
  <c r="M60" i="27"/>
  <c r="M62" i="27"/>
  <c r="M81" i="27"/>
  <c r="M83" i="27"/>
  <c r="M160" i="27"/>
  <c r="M163" i="27"/>
  <c r="M94" i="27"/>
  <c r="M132" i="27"/>
  <c r="M15" i="27"/>
  <c r="L42" i="27"/>
  <c r="M66" i="27"/>
  <c r="M78" i="27"/>
  <c r="M165" i="27"/>
  <c r="M5" i="27"/>
  <c r="M56" i="27"/>
  <c r="M157" i="27"/>
  <c r="J11" i="27"/>
  <c r="J82" i="27"/>
  <c r="M85" i="27"/>
  <c r="M131" i="27"/>
  <c r="M151" i="27"/>
  <c r="M154" i="27"/>
  <c r="M104" i="27"/>
  <c r="M106" i="27"/>
  <c r="M107" i="27"/>
  <c r="M108" i="27"/>
  <c r="M109" i="27"/>
  <c r="M110" i="27"/>
  <c r="M111" i="27"/>
  <c r="M40" i="27"/>
  <c r="M159" i="27"/>
  <c r="K42" i="27"/>
  <c r="M96" i="27"/>
  <c r="L98" i="27"/>
  <c r="O173" i="27"/>
  <c r="M4" i="27"/>
  <c r="J67" i="27"/>
  <c r="M149" i="27"/>
  <c r="L67" i="27"/>
  <c r="M145" i="27"/>
  <c r="M146" i="27"/>
  <c r="M147" i="27"/>
  <c r="M167" i="27"/>
  <c r="M168" i="27"/>
  <c r="M169" i="27"/>
  <c r="M75" i="27"/>
  <c r="I30" i="26"/>
  <c r="N30" i="26"/>
  <c r="N180" i="26"/>
  <c r="P190" i="27" l="1"/>
  <c r="Q178" i="27"/>
  <c r="Q190" i="27" s="1"/>
  <c r="O190" i="27"/>
  <c r="N134" i="27"/>
  <c r="P130" i="27"/>
  <c r="Q130" i="27" s="1"/>
  <c r="F168" i="28"/>
  <c r="I160" i="28"/>
  <c r="I168" i="28" s="1"/>
  <c r="I172" i="28" s="1"/>
  <c r="J38" i="27"/>
  <c r="M38" i="27" s="1"/>
  <c r="M64" i="27"/>
  <c r="K67" i="27"/>
  <c r="P68" i="27" s="1"/>
  <c r="K88" i="27"/>
  <c r="M86" i="27"/>
  <c r="E266" i="28"/>
  <c r="E267" i="28" s="1"/>
  <c r="M84" i="27"/>
  <c r="L170" i="27"/>
  <c r="M171" i="27" s="1"/>
  <c r="H263" i="28"/>
  <c r="F263" i="28"/>
  <c r="M58" i="27"/>
  <c r="M44" i="27"/>
  <c r="K11" i="27"/>
  <c r="K31" i="27" s="1"/>
  <c r="M89" i="27"/>
  <c r="M22" i="27"/>
  <c r="M90" i="27"/>
  <c r="I81" i="28"/>
  <c r="I84" i="28" s="1"/>
  <c r="M112" i="27"/>
  <c r="M103" i="27"/>
  <c r="M93" i="27"/>
  <c r="M143" i="27"/>
  <c r="M50" i="27"/>
  <c r="M18" i="27"/>
  <c r="M52" i="27"/>
  <c r="M77" i="27"/>
  <c r="M82" i="27" s="1"/>
  <c r="K82" i="27"/>
  <c r="M53" i="27"/>
  <c r="M14" i="27"/>
  <c r="G128" i="28"/>
  <c r="I127" i="28"/>
  <c r="M42" i="27"/>
  <c r="I176" i="28"/>
  <c r="F84" i="28"/>
  <c r="F128" i="28" s="1"/>
  <c r="G255" i="28"/>
  <c r="G270" i="28" s="1"/>
  <c r="G272" i="28" s="1"/>
  <c r="H84" i="28"/>
  <c r="H128" i="28" s="1"/>
  <c r="H265" i="28"/>
  <c r="I251" i="28"/>
  <c r="I255" i="28" s="1"/>
  <c r="K170" i="27"/>
  <c r="P170" i="27"/>
  <c r="L31" i="27"/>
  <c r="P31" i="27"/>
  <c r="N31" i="27"/>
  <c r="L68" i="27"/>
  <c r="M69" i="27" s="1"/>
  <c r="J31" i="27"/>
  <c r="M6" i="27"/>
  <c r="J134" i="27"/>
  <c r="J172" i="27" s="1"/>
  <c r="L134" i="27"/>
  <c r="M164" i="27"/>
  <c r="M98" i="27"/>
  <c r="S219" i="26"/>
  <c r="S218" i="26"/>
  <c r="S217" i="26"/>
  <c r="S216" i="26"/>
  <c r="S215" i="26"/>
  <c r="S214" i="26"/>
  <c r="S213" i="26"/>
  <c r="S212" i="26"/>
  <c r="S211" i="26"/>
  <c r="S210" i="26"/>
  <c r="S209" i="26"/>
  <c r="S208" i="26"/>
  <c r="S207" i="26"/>
  <c r="S206" i="26"/>
  <c r="S205" i="26"/>
  <c r="S204" i="26"/>
  <c r="S203" i="26"/>
  <c r="S202" i="26"/>
  <c r="S201" i="26"/>
  <c r="S200" i="26"/>
  <c r="S199" i="26"/>
  <c r="S198" i="26"/>
  <c r="S197" i="26"/>
  <c r="S196" i="26"/>
  <c r="S195" i="26"/>
  <c r="S194" i="26"/>
  <c r="S193" i="26"/>
  <c r="S192" i="26"/>
  <c r="S191" i="26"/>
  <c r="S190" i="26"/>
  <c r="S189" i="26"/>
  <c r="R188" i="26"/>
  <c r="S188" i="26" s="1"/>
  <c r="R187" i="26"/>
  <c r="S187" i="26" s="1"/>
  <c r="R186" i="26"/>
  <c r="R185" i="26"/>
  <c r="S185" i="26" s="1"/>
  <c r="R184" i="26"/>
  <c r="M184" i="26"/>
  <c r="R183" i="26"/>
  <c r="M183" i="26"/>
  <c r="J183" i="26"/>
  <c r="R182" i="26"/>
  <c r="S182" i="26" s="1"/>
  <c r="R181" i="26"/>
  <c r="M181" i="26"/>
  <c r="R180" i="26"/>
  <c r="S180" i="26" s="1"/>
  <c r="K180" i="26"/>
  <c r="M180" i="26" s="1"/>
  <c r="R179" i="26"/>
  <c r="S179" i="26" s="1"/>
  <c r="R178" i="26"/>
  <c r="S178" i="26" s="1"/>
  <c r="R177" i="26"/>
  <c r="S177" i="26" s="1"/>
  <c r="R176" i="26"/>
  <c r="S176" i="26" s="1"/>
  <c r="O176" i="26"/>
  <c r="K176" i="26"/>
  <c r="J176" i="26"/>
  <c r="R175" i="26"/>
  <c r="S175" i="26" s="1"/>
  <c r="O175" i="26"/>
  <c r="K175" i="26"/>
  <c r="J175" i="26"/>
  <c r="R174" i="26"/>
  <c r="S174" i="26" s="1"/>
  <c r="O174" i="26"/>
  <c r="K174" i="26"/>
  <c r="J174" i="26"/>
  <c r="I166" i="26"/>
  <c r="R165" i="26"/>
  <c r="O165" i="26"/>
  <c r="L165" i="26"/>
  <c r="K165" i="26"/>
  <c r="J165" i="26"/>
  <c r="R164" i="26"/>
  <c r="O164" i="26"/>
  <c r="L164" i="26"/>
  <c r="K164" i="26"/>
  <c r="J164" i="26"/>
  <c r="P164" i="26" s="1"/>
  <c r="R163" i="26"/>
  <c r="O163" i="26"/>
  <c r="L163" i="26"/>
  <c r="K163" i="26"/>
  <c r="J163" i="26"/>
  <c r="R162" i="26"/>
  <c r="N162" i="26"/>
  <c r="O162" i="26" s="1"/>
  <c r="L162" i="26"/>
  <c r="K162" i="26"/>
  <c r="J162" i="26"/>
  <c r="R161" i="26"/>
  <c r="O161" i="26"/>
  <c r="L161" i="26"/>
  <c r="K161" i="26"/>
  <c r="J161" i="26"/>
  <c r="P161" i="26" s="1"/>
  <c r="R160" i="26"/>
  <c r="O160" i="26"/>
  <c r="R159" i="26"/>
  <c r="O159" i="26"/>
  <c r="L159" i="26"/>
  <c r="K159" i="26"/>
  <c r="J159" i="26"/>
  <c r="P159" i="26" s="1"/>
  <c r="R158" i="26"/>
  <c r="O158" i="26"/>
  <c r="L158" i="26"/>
  <c r="K158" i="26"/>
  <c r="J158" i="26"/>
  <c r="P158" i="26" s="1"/>
  <c r="R157" i="26"/>
  <c r="O157" i="26"/>
  <c r="L157" i="26"/>
  <c r="K157" i="26"/>
  <c r="J157" i="26"/>
  <c r="R156" i="26"/>
  <c r="O156" i="26"/>
  <c r="L156" i="26"/>
  <c r="K156" i="26"/>
  <c r="J156" i="26"/>
  <c r="R155" i="26"/>
  <c r="O155" i="26"/>
  <c r="L155" i="26"/>
  <c r="K155" i="26"/>
  <c r="J155" i="26"/>
  <c r="R154" i="26"/>
  <c r="O154" i="26"/>
  <c r="L154" i="26"/>
  <c r="K154" i="26"/>
  <c r="J154" i="26"/>
  <c r="P154" i="26" s="1"/>
  <c r="R153" i="26"/>
  <c r="O153" i="26"/>
  <c r="L153" i="26"/>
  <c r="K153" i="26"/>
  <c r="J153" i="26"/>
  <c r="R152" i="26"/>
  <c r="O152" i="26"/>
  <c r="L152" i="26"/>
  <c r="K152" i="26"/>
  <c r="J152" i="26"/>
  <c r="R151" i="26"/>
  <c r="O151" i="26"/>
  <c r="L151" i="26"/>
  <c r="K151" i="26"/>
  <c r="J151" i="26"/>
  <c r="R150" i="26"/>
  <c r="O150" i="26"/>
  <c r="L150" i="26"/>
  <c r="K150" i="26"/>
  <c r="J150" i="26"/>
  <c r="P150" i="26" s="1"/>
  <c r="P149" i="26"/>
  <c r="O149" i="26"/>
  <c r="P148" i="26"/>
  <c r="O148" i="26"/>
  <c r="M148" i="26"/>
  <c r="R147" i="26"/>
  <c r="P147" i="26"/>
  <c r="O147" i="26"/>
  <c r="L147" i="26"/>
  <c r="K147" i="26"/>
  <c r="J147" i="26"/>
  <c r="P146" i="26"/>
  <c r="O146" i="26"/>
  <c r="L146" i="26"/>
  <c r="M146" i="26" s="1"/>
  <c r="R145" i="26"/>
  <c r="O145" i="26"/>
  <c r="L145" i="26"/>
  <c r="K145" i="26"/>
  <c r="J145" i="26"/>
  <c r="P145" i="26" s="1"/>
  <c r="R144" i="26"/>
  <c r="O144" i="26"/>
  <c r="L144" i="26"/>
  <c r="K144" i="26"/>
  <c r="R143" i="26"/>
  <c r="O143" i="26"/>
  <c r="L143" i="26"/>
  <c r="K143" i="26"/>
  <c r="J143" i="26"/>
  <c r="R142" i="26"/>
  <c r="O142" i="26"/>
  <c r="L142" i="26"/>
  <c r="K142" i="26"/>
  <c r="J142" i="26"/>
  <c r="R141" i="26"/>
  <c r="O141" i="26"/>
  <c r="L141" i="26"/>
  <c r="K141" i="26"/>
  <c r="J141" i="26"/>
  <c r="R140" i="26"/>
  <c r="P140" i="26"/>
  <c r="O140" i="26"/>
  <c r="M140" i="26"/>
  <c r="P139" i="26"/>
  <c r="O139" i="26"/>
  <c r="L139" i="26"/>
  <c r="K139" i="26"/>
  <c r="P138" i="26"/>
  <c r="N138" i="26"/>
  <c r="O138" i="26" s="1"/>
  <c r="M138" i="26"/>
  <c r="R137" i="26"/>
  <c r="P137" i="26"/>
  <c r="O137" i="26"/>
  <c r="L137" i="26"/>
  <c r="K137" i="26"/>
  <c r="R136" i="26"/>
  <c r="O136" i="26"/>
  <c r="L136" i="26"/>
  <c r="K136" i="26"/>
  <c r="J136" i="26"/>
  <c r="P136" i="26" s="1"/>
  <c r="R135" i="26"/>
  <c r="O135" i="26"/>
  <c r="L135" i="26"/>
  <c r="K135" i="26"/>
  <c r="J135" i="26"/>
  <c r="P135" i="26" s="1"/>
  <c r="R129" i="26"/>
  <c r="O129" i="26"/>
  <c r="L129" i="26"/>
  <c r="K129" i="26"/>
  <c r="J129" i="26"/>
  <c r="P129" i="26" s="1"/>
  <c r="R128" i="26"/>
  <c r="O128" i="26"/>
  <c r="L128" i="26"/>
  <c r="K128" i="26"/>
  <c r="J128" i="26"/>
  <c r="P128" i="26" s="1"/>
  <c r="R127" i="26"/>
  <c r="O127" i="26"/>
  <c r="L127" i="26"/>
  <c r="K127" i="26"/>
  <c r="J127" i="26"/>
  <c r="P127" i="26" s="1"/>
  <c r="R126" i="26"/>
  <c r="N126" i="26"/>
  <c r="L126" i="26"/>
  <c r="K126" i="26"/>
  <c r="J126" i="26"/>
  <c r="I126" i="26"/>
  <c r="O124" i="26"/>
  <c r="O123" i="26"/>
  <c r="P122" i="26"/>
  <c r="O122" i="26"/>
  <c r="M122" i="26"/>
  <c r="P121" i="26"/>
  <c r="O121" i="26"/>
  <c r="M121" i="26"/>
  <c r="P120" i="26"/>
  <c r="O120" i="26"/>
  <c r="M120" i="26"/>
  <c r="P119" i="26"/>
  <c r="O119" i="26"/>
  <c r="M119" i="26"/>
  <c r="P118" i="26"/>
  <c r="O118" i="26"/>
  <c r="M118" i="26"/>
  <c r="P117" i="26"/>
  <c r="O117" i="26"/>
  <c r="M117" i="26"/>
  <c r="P116" i="26"/>
  <c r="O116" i="26"/>
  <c r="M116" i="26"/>
  <c r="P115" i="26"/>
  <c r="O115" i="26"/>
  <c r="M115" i="26"/>
  <c r="P114" i="26"/>
  <c r="O114" i="26"/>
  <c r="M114" i="26"/>
  <c r="P113" i="26"/>
  <c r="O113" i="26"/>
  <c r="M113" i="26"/>
  <c r="P112" i="26"/>
  <c r="O112" i="26"/>
  <c r="M112" i="26"/>
  <c r="P111" i="26"/>
  <c r="O111" i="26"/>
  <c r="M111" i="26"/>
  <c r="R110" i="26"/>
  <c r="P110" i="26"/>
  <c r="O110" i="26"/>
  <c r="M110" i="26"/>
  <c r="R109" i="26"/>
  <c r="O109" i="26"/>
  <c r="L109" i="26"/>
  <c r="K109" i="26"/>
  <c r="J109" i="26"/>
  <c r="P109" i="26" s="1"/>
  <c r="R108" i="26"/>
  <c r="O108" i="26"/>
  <c r="L108" i="26"/>
  <c r="K108" i="26"/>
  <c r="J108" i="26"/>
  <c r="P108" i="26" s="1"/>
  <c r="R107" i="26"/>
  <c r="O107" i="26"/>
  <c r="L107" i="26"/>
  <c r="K107" i="26"/>
  <c r="J107" i="26"/>
  <c r="P107" i="26" s="1"/>
  <c r="R106" i="26"/>
  <c r="O106" i="26"/>
  <c r="L106" i="26"/>
  <c r="K106" i="26"/>
  <c r="J106" i="26"/>
  <c r="P106" i="26" s="1"/>
  <c r="R105" i="26"/>
  <c r="O105" i="26"/>
  <c r="L105" i="26"/>
  <c r="K105" i="26"/>
  <c r="J105" i="26"/>
  <c r="P105" i="26" s="1"/>
  <c r="R104" i="26"/>
  <c r="O104" i="26"/>
  <c r="L104" i="26"/>
  <c r="K104" i="26"/>
  <c r="J104" i="26"/>
  <c r="P104" i="26" s="1"/>
  <c r="R103" i="26"/>
  <c r="O103" i="26"/>
  <c r="L103" i="26"/>
  <c r="K103" i="26"/>
  <c r="J103" i="26"/>
  <c r="P103" i="26" s="1"/>
  <c r="R102" i="26"/>
  <c r="O102" i="26"/>
  <c r="L102" i="26"/>
  <c r="K102" i="26"/>
  <c r="J102" i="26"/>
  <c r="P102" i="26" s="1"/>
  <c r="R101" i="26"/>
  <c r="O101" i="26"/>
  <c r="L101" i="26"/>
  <c r="K101" i="26"/>
  <c r="J101" i="26"/>
  <c r="P101" i="26" s="1"/>
  <c r="R100" i="26"/>
  <c r="O100" i="26"/>
  <c r="L100" i="26"/>
  <c r="K100" i="26"/>
  <c r="J100" i="26"/>
  <c r="P100" i="26" s="1"/>
  <c r="R99" i="26"/>
  <c r="O99" i="26"/>
  <c r="K99" i="26"/>
  <c r="J99" i="26"/>
  <c r="P99" i="26" s="1"/>
  <c r="R98" i="26"/>
  <c r="P98" i="26"/>
  <c r="O98" i="26"/>
  <c r="K98" i="26"/>
  <c r="M98" i="26" s="1"/>
  <c r="P97" i="26"/>
  <c r="N97" i="26"/>
  <c r="O97" i="26" s="1"/>
  <c r="M97" i="26"/>
  <c r="R96" i="26"/>
  <c r="O96" i="26"/>
  <c r="L96" i="26"/>
  <c r="K96" i="26"/>
  <c r="J96" i="26"/>
  <c r="P96" i="26" s="1"/>
  <c r="R95" i="26"/>
  <c r="I95" i="26"/>
  <c r="R94" i="26"/>
  <c r="O94" i="26"/>
  <c r="L94" i="26"/>
  <c r="K94" i="26"/>
  <c r="J94" i="26"/>
  <c r="P94" i="26" s="1"/>
  <c r="R93" i="26"/>
  <c r="O93" i="26"/>
  <c r="L93" i="26"/>
  <c r="K93" i="26"/>
  <c r="J93" i="26"/>
  <c r="P93" i="26" s="1"/>
  <c r="O92" i="26"/>
  <c r="K92" i="26"/>
  <c r="M92" i="26" s="1"/>
  <c r="R91" i="26"/>
  <c r="P91" i="26"/>
  <c r="O91" i="26"/>
  <c r="L91" i="26"/>
  <c r="K91" i="26"/>
  <c r="O90" i="26"/>
  <c r="L90" i="26"/>
  <c r="K90" i="26"/>
  <c r="J90" i="26"/>
  <c r="R89" i="26"/>
  <c r="N89" i="26"/>
  <c r="L89" i="26"/>
  <c r="K89" i="26"/>
  <c r="J89" i="26"/>
  <c r="P89" i="26" s="1"/>
  <c r="R88" i="26"/>
  <c r="O88" i="26"/>
  <c r="L88" i="26"/>
  <c r="K88" i="26"/>
  <c r="J88" i="26"/>
  <c r="P88" i="26" s="1"/>
  <c r="R87" i="26"/>
  <c r="O87" i="26"/>
  <c r="L87" i="26"/>
  <c r="K87" i="26"/>
  <c r="J87" i="26"/>
  <c r="P87" i="26" s="1"/>
  <c r="R86" i="26"/>
  <c r="O86" i="26"/>
  <c r="L86" i="26"/>
  <c r="K86" i="26"/>
  <c r="J86" i="26"/>
  <c r="P86" i="26" s="1"/>
  <c r="R85" i="26"/>
  <c r="I85" i="26"/>
  <c r="O85" i="26" s="1"/>
  <c r="R84" i="26"/>
  <c r="O84" i="26"/>
  <c r="L84" i="26"/>
  <c r="K84" i="26"/>
  <c r="J84" i="26"/>
  <c r="P84" i="26" s="1"/>
  <c r="R83" i="26"/>
  <c r="O83" i="26"/>
  <c r="L83" i="26"/>
  <c r="K83" i="26"/>
  <c r="J83" i="26"/>
  <c r="P83" i="26" s="1"/>
  <c r="R82" i="26"/>
  <c r="O82" i="26"/>
  <c r="L82" i="26"/>
  <c r="K82" i="26"/>
  <c r="J82" i="26"/>
  <c r="P82" i="26" s="1"/>
  <c r="R81" i="26"/>
  <c r="O81" i="26"/>
  <c r="L81" i="26"/>
  <c r="K81" i="26"/>
  <c r="J81" i="26"/>
  <c r="P81" i="26" s="1"/>
  <c r="R80" i="26"/>
  <c r="O80" i="26"/>
  <c r="L80" i="26"/>
  <c r="K80" i="26"/>
  <c r="J80" i="26"/>
  <c r="P80" i="26" s="1"/>
  <c r="R79" i="26"/>
  <c r="I79" i="26"/>
  <c r="R78" i="26"/>
  <c r="O78" i="26"/>
  <c r="L78" i="26"/>
  <c r="K78" i="26"/>
  <c r="J78" i="26"/>
  <c r="P78" i="26" s="1"/>
  <c r="R77" i="26"/>
  <c r="O77" i="26"/>
  <c r="L77" i="26"/>
  <c r="K77" i="26"/>
  <c r="J77" i="26"/>
  <c r="P77" i="26" s="1"/>
  <c r="R76" i="26"/>
  <c r="O76" i="26"/>
  <c r="L76" i="26"/>
  <c r="K76" i="26"/>
  <c r="J76" i="26"/>
  <c r="P76" i="26" s="1"/>
  <c r="R75" i="26"/>
  <c r="O75" i="26"/>
  <c r="L75" i="26"/>
  <c r="K75" i="26"/>
  <c r="J75" i="26"/>
  <c r="P75" i="26" s="1"/>
  <c r="R74" i="26"/>
  <c r="O74" i="26"/>
  <c r="L74" i="26"/>
  <c r="K74" i="26"/>
  <c r="J74" i="26"/>
  <c r="P74" i="26" s="1"/>
  <c r="R73" i="26"/>
  <c r="P73" i="26"/>
  <c r="O73" i="26"/>
  <c r="L73" i="26"/>
  <c r="K73" i="26"/>
  <c r="J73" i="26"/>
  <c r="R72" i="26"/>
  <c r="O72" i="26"/>
  <c r="L72" i="26"/>
  <c r="K72" i="26"/>
  <c r="J72" i="26"/>
  <c r="P72" i="26" s="1"/>
  <c r="R71" i="26"/>
  <c r="P71" i="26"/>
  <c r="O71" i="26"/>
  <c r="M71" i="26"/>
  <c r="R70" i="26"/>
  <c r="P70" i="26"/>
  <c r="O70" i="26"/>
  <c r="L70" i="26"/>
  <c r="K70" i="26"/>
  <c r="I65" i="26"/>
  <c r="O64" i="26"/>
  <c r="O63" i="26"/>
  <c r="L63" i="26"/>
  <c r="K63" i="26"/>
  <c r="J63" i="26"/>
  <c r="O62" i="26"/>
  <c r="L62" i="26"/>
  <c r="K62" i="26"/>
  <c r="J62" i="26"/>
  <c r="O61" i="26"/>
  <c r="L61" i="26"/>
  <c r="K61" i="26"/>
  <c r="J61" i="26"/>
  <c r="O60" i="26"/>
  <c r="L60" i="26"/>
  <c r="K60" i="26"/>
  <c r="J60" i="26"/>
  <c r="O59" i="26"/>
  <c r="L59" i="26"/>
  <c r="K59" i="26"/>
  <c r="J59" i="26"/>
  <c r="O58" i="26"/>
  <c r="L58" i="26"/>
  <c r="K58" i="26"/>
  <c r="J58" i="26"/>
  <c r="O57" i="26"/>
  <c r="L57" i="26"/>
  <c r="K57" i="26"/>
  <c r="J57" i="26"/>
  <c r="O56" i="26"/>
  <c r="L56" i="26"/>
  <c r="K56" i="26"/>
  <c r="J56" i="26"/>
  <c r="O55" i="26"/>
  <c r="L55" i="26"/>
  <c r="K55" i="26"/>
  <c r="J55" i="26"/>
  <c r="O54" i="26"/>
  <c r="L54" i="26"/>
  <c r="K54" i="26"/>
  <c r="J54" i="26"/>
  <c r="O53" i="26"/>
  <c r="L53" i="26"/>
  <c r="K53" i="26"/>
  <c r="J53" i="26"/>
  <c r="O52" i="26"/>
  <c r="L52" i="26"/>
  <c r="K52" i="26"/>
  <c r="J52" i="26"/>
  <c r="O51" i="26"/>
  <c r="L51" i="26"/>
  <c r="K51" i="26"/>
  <c r="J51" i="26"/>
  <c r="O50" i="26"/>
  <c r="L50" i="26"/>
  <c r="K50" i="26"/>
  <c r="N49" i="26"/>
  <c r="O49" i="26" s="1"/>
  <c r="L49" i="26"/>
  <c r="K49" i="26"/>
  <c r="J49" i="26"/>
  <c r="O48" i="26"/>
  <c r="L48" i="26"/>
  <c r="K48" i="26"/>
  <c r="O47" i="26"/>
  <c r="L47" i="26"/>
  <c r="K47" i="26"/>
  <c r="J47" i="26"/>
  <c r="N46" i="26"/>
  <c r="M46" i="26"/>
  <c r="O45" i="26"/>
  <c r="L45" i="26"/>
  <c r="K45" i="26"/>
  <c r="O44" i="26"/>
  <c r="L44" i="26"/>
  <c r="K44" i="26"/>
  <c r="J44" i="26"/>
  <c r="O43" i="26"/>
  <c r="L43" i="26"/>
  <c r="K43" i="26"/>
  <c r="O42" i="26"/>
  <c r="O41" i="26"/>
  <c r="L40" i="26"/>
  <c r="K40" i="26"/>
  <c r="J40" i="26"/>
  <c r="M40" i="26" s="1"/>
  <c r="L39" i="26"/>
  <c r="K39" i="26"/>
  <c r="J39" i="26"/>
  <c r="L38" i="26"/>
  <c r="K38" i="26"/>
  <c r="J38" i="26"/>
  <c r="R37" i="26"/>
  <c r="O37" i="26"/>
  <c r="L36" i="26"/>
  <c r="K36" i="26"/>
  <c r="J36" i="26"/>
  <c r="L35" i="26"/>
  <c r="K35" i="26"/>
  <c r="J35" i="26"/>
  <c r="O29" i="26"/>
  <c r="L29" i="26"/>
  <c r="K29" i="26"/>
  <c r="J29" i="26"/>
  <c r="O28" i="26"/>
  <c r="L28" i="26"/>
  <c r="K28" i="26"/>
  <c r="J28" i="26"/>
  <c r="O27" i="26"/>
  <c r="L27" i="26"/>
  <c r="K27" i="26"/>
  <c r="J27" i="26"/>
  <c r="O26" i="26"/>
  <c r="L26" i="26"/>
  <c r="K26" i="26"/>
  <c r="J26" i="26"/>
  <c r="O25" i="26"/>
  <c r="L25" i="26"/>
  <c r="K25" i="26"/>
  <c r="J25" i="26"/>
  <c r="O24" i="26"/>
  <c r="L24" i="26"/>
  <c r="K24" i="26"/>
  <c r="J24" i="26"/>
  <c r="O23" i="26"/>
  <c r="L23" i="26"/>
  <c r="K23" i="26"/>
  <c r="J23" i="26"/>
  <c r="O22" i="26"/>
  <c r="L22" i="26"/>
  <c r="K22" i="26"/>
  <c r="J22" i="26"/>
  <c r="O21" i="26"/>
  <c r="L21" i="26"/>
  <c r="K21" i="26"/>
  <c r="J21" i="26"/>
  <c r="O20" i="26"/>
  <c r="L20" i="26"/>
  <c r="K20" i="26"/>
  <c r="J20" i="26"/>
  <c r="O19" i="26"/>
  <c r="L19" i="26"/>
  <c r="K19" i="26"/>
  <c r="J19" i="26"/>
  <c r="O18" i="26"/>
  <c r="L18" i="26"/>
  <c r="K18" i="26"/>
  <c r="J18" i="26"/>
  <c r="O17" i="26"/>
  <c r="L17" i="26"/>
  <c r="K17" i="26"/>
  <c r="J17" i="26"/>
  <c r="O16" i="26"/>
  <c r="L16" i="26"/>
  <c r="K16" i="26"/>
  <c r="J16" i="26"/>
  <c r="O15" i="26"/>
  <c r="L15" i="26"/>
  <c r="K15" i="26"/>
  <c r="J15" i="26"/>
  <c r="O14" i="26"/>
  <c r="L14" i="26"/>
  <c r="K14" i="26"/>
  <c r="J14" i="26"/>
  <c r="O13" i="26"/>
  <c r="L13" i="26"/>
  <c r="K13" i="26"/>
  <c r="J13" i="26"/>
  <c r="O12" i="26"/>
  <c r="L10" i="26"/>
  <c r="K10" i="26"/>
  <c r="J10" i="26"/>
  <c r="L9" i="26"/>
  <c r="K9" i="26"/>
  <c r="J9" i="26"/>
  <c r="L8" i="26"/>
  <c r="K8" i="26"/>
  <c r="J8" i="26"/>
  <c r="L7" i="26"/>
  <c r="K7" i="26"/>
  <c r="J7" i="26"/>
  <c r="L5" i="26"/>
  <c r="K5" i="26"/>
  <c r="J5" i="26"/>
  <c r="L4" i="26"/>
  <c r="K4" i="26"/>
  <c r="J4" i="26"/>
  <c r="P134" i="27" l="1"/>
  <c r="P173" i="27" s="1"/>
  <c r="Q134" i="27"/>
  <c r="Q173" i="27" s="1"/>
  <c r="F172" i="28"/>
  <c r="J168" i="28"/>
  <c r="G265" i="28"/>
  <c r="G263" i="28"/>
  <c r="N173" i="27"/>
  <c r="N190" i="27" s="1"/>
  <c r="J68" i="27"/>
  <c r="J173" i="27" s="1"/>
  <c r="J190" i="27" s="1"/>
  <c r="F265" i="28"/>
  <c r="K68" i="27"/>
  <c r="M88" i="27"/>
  <c r="M134" i="27" s="1"/>
  <c r="M67" i="27"/>
  <c r="M68" i="27" s="1"/>
  <c r="L172" i="27"/>
  <c r="M11" i="27"/>
  <c r="M31" i="27" s="1"/>
  <c r="K134" i="27"/>
  <c r="K172" i="27" s="1"/>
  <c r="I263" i="28"/>
  <c r="I128" i="28"/>
  <c r="I265" i="28"/>
  <c r="M141" i="26"/>
  <c r="M18" i="26"/>
  <c r="M20" i="26"/>
  <c r="M24" i="26"/>
  <c r="M25" i="26"/>
  <c r="S181" i="26"/>
  <c r="L173" i="27"/>
  <c r="L190" i="27" s="1"/>
  <c r="M135" i="27"/>
  <c r="M170" i="27"/>
  <c r="J6" i="26"/>
  <c r="O6" i="26" s="1"/>
  <c r="M26" i="26"/>
  <c r="M28" i="26"/>
  <c r="M35" i="26"/>
  <c r="M45" i="26"/>
  <c r="M50" i="26"/>
  <c r="M142" i="26"/>
  <c r="S142" i="26" s="1"/>
  <c r="P126" i="26"/>
  <c r="M153" i="26"/>
  <c r="S153" i="26" s="1"/>
  <c r="M162" i="26"/>
  <c r="S162" i="26" s="1"/>
  <c r="M165" i="26"/>
  <c r="S165" i="26" s="1"/>
  <c r="M151" i="26"/>
  <c r="S151" i="26" s="1"/>
  <c r="M57" i="26"/>
  <c r="M59" i="26"/>
  <c r="M63" i="26"/>
  <c r="M47" i="26"/>
  <c r="K6" i="26"/>
  <c r="K41" i="26"/>
  <c r="M52" i="26"/>
  <c r="M54" i="26"/>
  <c r="M56" i="26"/>
  <c r="M60" i="26"/>
  <c r="L41" i="26"/>
  <c r="M13" i="26"/>
  <c r="N184" i="26" s="1"/>
  <c r="O184" i="26" s="1"/>
  <c r="M15" i="26"/>
  <c r="M17" i="26"/>
  <c r="M36" i="26"/>
  <c r="M43" i="26"/>
  <c r="M157" i="26"/>
  <c r="S157" i="26" s="1"/>
  <c r="M143" i="26"/>
  <c r="S143" i="26" s="1"/>
  <c r="M152" i="26"/>
  <c r="S152" i="26" s="1"/>
  <c r="M155" i="26"/>
  <c r="S155" i="26" s="1"/>
  <c r="P165" i="26"/>
  <c r="M70" i="26"/>
  <c r="S70" i="26" s="1"/>
  <c r="S140" i="26"/>
  <c r="P141" i="26"/>
  <c r="M163" i="26"/>
  <c r="S163" i="26" s="1"/>
  <c r="K95" i="26"/>
  <c r="P155" i="26"/>
  <c r="S71" i="26"/>
  <c r="P151" i="26"/>
  <c r="M156" i="26"/>
  <c r="S156" i="26" s="1"/>
  <c r="M159" i="26"/>
  <c r="S159" i="26" s="1"/>
  <c r="M161" i="26"/>
  <c r="S161" i="26" s="1"/>
  <c r="I130" i="26"/>
  <c r="I169" i="26" s="1"/>
  <c r="I186" i="26" s="1"/>
  <c r="M73" i="26"/>
  <c r="S73" i="26" s="1"/>
  <c r="J85" i="26"/>
  <c r="S110" i="26"/>
  <c r="K79" i="26"/>
  <c r="L85" i="26"/>
  <c r="M77" i="26"/>
  <c r="S77" i="26" s="1"/>
  <c r="M5" i="26"/>
  <c r="M126" i="26"/>
  <c r="S126" i="26" s="1"/>
  <c r="M4" i="26"/>
  <c r="M129" i="26"/>
  <c r="S129" i="26" s="1"/>
  <c r="J64" i="26"/>
  <c r="O79" i="26"/>
  <c r="M128" i="26"/>
  <c r="S128" i="26" s="1"/>
  <c r="M137" i="26"/>
  <c r="S137" i="26" s="1"/>
  <c r="N166" i="26"/>
  <c r="M49" i="26"/>
  <c r="M76" i="26"/>
  <c r="S76" i="26" s="1"/>
  <c r="M89" i="26"/>
  <c r="S89" i="26" s="1"/>
  <c r="J79" i="26"/>
  <c r="P79" i="26" s="1"/>
  <c r="M21" i="26"/>
  <c r="J41" i="26"/>
  <c r="M44" i="26"/>
  <c r="M58" i="26"/>
  <c r="M81" i="26"/>
  <c r="S81" i="26" s="1"/>
  <c r="M88" i="26"/>
  <c r="S88" i="26" s="1"/>
  <c r="N130" i="26"/>
  <c r="S98" i="26"/>
  <c r="O126" i="26"/>
  <c r="M139" i="26"/>
  <c r="S141" i="26"/>
  <c r="P143" i="26"/>
  <c r="P153" i="26"/>
  <c r="P157" i="26"/>
  <c r="P163" i="26"/>
  <c r="M83" i="26"/>
  <c r="S83" i="26" s="1"/>
  <c r="M14" i="26"/>
  <c r="M72" i="26"/>
  <c r="S72" i="26" s="1"/>
  <c r="S184" i="26"/>
  <c r="M8" i="26"/>
  <c r="M22" i="26"/>
  <c r="M82" i="26"/>
  <c r="S82" i="26" s="1"/>
  <c r="M75" i="26"/>
  <c r="S75" i="26" s="1"/>
  <c r="M9" i="26"/>
  <c r="M23" i="26"/>
  <c r="K37" i="26"/>
  <c r="M48" i="26"/>
  <c r="K64" i="26"/>
  <c r="L6" i="26"/>
  <c r="M29" i="26"/>
  <c r="L37" i="26"/>
  <c r="N65" i="26"/>
  <c r="M78" i="26"/>
  <c r="S78" i="26" s="1"/>
  <c r="M127" i="26"/>
  <c r="S127" i="26" s="1"/>
  <c r="M136" i="26"/>
  <c r="S136" i="26" s="1"/>
  <c r="M147" i="26"/>
  <c r="S147" i="26" s="1"/>
  <c r="K160" i="26"/>
  <c r="K166" i="26" s="1"/>
  <c r="M39" i="26"/>
  <c r="M53" i="26"/>
  <c r="M86" i="26"/>
  <c r="S86" i="26" s="1"/>
  <c r="M7" i="26"/>
  <c r="M51" i="26"/>
  <c r="M55" i="26"/>
  <c r="M84" i="26"/>
  <c r="S84" i="26" s="1"/>
  <c r="M87" i="26"/>
  <c r="S87" i="26" s="1"/>
  <c r="P142" i="26"/>
  <c r="M144" i="26"/>
  <c r="S144" i="26" s="1"/>
  <c r="M150" i="26"/>
  <c r="S150" i="26" s="1"/>
  <c r="P152" i="26"/>
  <c r="M154" i="26"/>
  <c r="S154" i="26" s="1"/>
  <c r="L160" i="26"/>
  <c r="L166" i="26" s="1"/>
  <c r="P156" i="26"/>
  <c r="M158" i="26"/>
  <c r="S158" i="26" s="1"/>
  <c r="M164" i="26"/>
  <c r="S164" i="26" s="1"/>
  <c r="S183" i="26"/>
  <c r="L64" i="26"/>
  <c r="M61" i="26"/>
  <c r="M90" i="26"/>
  <c r="S90" i="26" s="1"/>
  <c r="P90" i="26"/>
  <c r="M135" i="26"/>
  <c r="M19" i="26"/>
  <c r="L95" i="26"/>
  <c r="M91" i="26"/>
  <c r="J37" i="26"/>
  <c r="L79" i="26"/>
  <c r="M74" i="26"/>
  <c r="O166" i="26"/>
  <c r="K11" i="26"/>
  <c r="L11" i="26"/>
  <c r="M10" i="26"/>
  <c r="M16" i="26"/>
  <c r="M27" i="26"/>
  <c r="K85" i="26"/>
  <c r="M80" i="26"/>
  <c r="P162" i="26"/>
  <c r="J95" i="26"/>
  <c r="P95" i="26" s="1"/>
  <c r="O183" i="26"/>
  <c r="M94" i="26"/>
  <c r="S94" i="26" s="1"/>
  <c r="M96" i="26"/>
  <c r="S96" i="26" s="1"/>
  <c r="M99" i="26"/>
  <c r="S99" i="26" s="1"/>
  <c r="M100" i="26"/>
  <c r="S100" i="26" s="1"/>
  <c r="M101" i="26"/>
  <c r="S101" i="26" s="1"/>
  <c r="M102" i="26"/>
  <c r="S102" i="26" s="1"/>
  <c r="M103" i="26"/>
  <c r="S103" i="26" s="1"/>
  <c r="M104" i="26"/>
  <c r="S104" i="26" s="1"/>
  <c r="M105" i="26"/>
  <c r="S105" i="26" s="1"/>
  <c r="M106" i="26"/>
  <c r="S106" i="26" s="1"/>
  <c r="M107" i="26"/>
  <c r="S107" i="26" s="1"/>
  <c r="M108" i="26"/>
  <c r="S108" i="26" s="1"/>
  <c r="M109" i="26"/>
  <c r="S109" i="26" s="1"/>
  <c r="M145" i="26"/>
  <c r="S145" i="26" s="1"/>
  <c r="J11" i="26"/>
  <c r="J160" i="26"/>
  <c r="P160" i="26" s="1"/>
  <c r="O46" i="26"/>
  <c r="O65" i="26" s="1"/>
  <c r="O89" i="26"/>
  <c r="M93" i="26"/>
  <c r="S93" i="26" s="1"/>
  <c r="M62" i="26"/>
  <c r="O95" i="26"/>
  <c r="M38" i="26"/>
  <c r="F266" i="28" l="1"/>
  <c r="F267" i="28" s="1"/>
  <c r="H266" i="28"/>
  <c r="K173" i="27"/>
  <c r="K190" i="27" s="1"/>
  <c r="K65" i="26"/>
  <c r="M172" i="27"/>
  <c r="M173" i="27"/>
  <c r="M190" i="27" s="1"/>
  <c r="K30" i="26"/>
  <c r="M41" i="26"/>
  <c r="M6" i="26"/>
  <c r="M64" i="26"/>
  <c r="M160" i="26"/>
  <c r="S160" i="26" s="1"/>
  <c r="L130" i="26"/>
  <c r="M131" i="26" s="1"/>
  <c r="K130" i="26"/>
  <c r="K168" i="26" s="1"/>
  <c r="O130" i="26"/>
  <c r="N169" i="26"/>
  <c r="N186" i="26" s="1"/>
  <c r="L30" i="26"/>
  <c r="J130" i="26"/>
  <c r="L65" i="26"/>
  <c r="M66" i="26" s="1"/>
  <c r="J166" i="26"/>
  <c r="O11" i="26"/>
  <c r="M11" i="26"/>
  <c r="S74" i="26"/>
  <c r="M79" i="26"/>
  <c r="S135" i="26"/>
  <c r="J65" i="26"/>
  <c r="M37" i="26"/>
  <c r="S80" i="26"/>
  <c r="M85" i="26"/>
  <c r="S85" i="26" s="1"/>
  <c r="M167" i="26"/>
  <c r="M95" i="26"/>
  <c r="S91" i="26"/>
  <c r="J30" i="26"/>
  <c r="G266" i="28" l="1"/>
  <c r="G267" i="28" s="1"/>
  <c r="I266" i="28"/>
  <c r="I267" i="28" s="1"/>
  <c r="H267" i="28"/>
  <c r="M65" i="26"/>
  <c r="M30" i="26"/>
  <c r="M166" i="26"/>
  <c r="K169" i="26"/>
  <c r="K186" i="26" s="1"/>
  <c r="L168" i="26"/>
  <c r="O30" i="26"/>
  <c r="O169" i="26" s="1"/>
  <c r="O186" i="26" s="1"/>
  <c r="J169" i="26"/>
  <c r="J186" i="26" s="1"/>
  <c r="L169" i="26"/>
  <c r="L186" i="26" s="1"/>
  <c r="J168" i="26"/>
  <c r="S79" i="26"/>
  <c r="M130" i="26"/>
  <c r="M169" i="26" l="1"/>
  <c r="M186" i="26" s="1"/>
  <c r="S186" i="26" s="1"/>
  <c r="M168" i="26"/>
  <c r="P187" i="23" l="1"/>
  <c r="Q187" i="23" s="1"/>
  <c r="P261" i="23"/>
  <c r="Q261" i="23" s="1"/>
  <c r="P260" i="23"/>
  <c r="Q260" i="23" s="1"/>
  <c r="P259" i="23"/>
  <c r="Q259" i="23" s="1"/>
  <c r="P258" i="23"/>
  <c r="P257" i="23"/>
  <c r="P256" i="23"/>
  <c r="Q256" i="23" s="1"/>
  <c r="P255" i="23"/>
  <c r="Q255" i="23" s="1"/>
  <c r="P254" i="23"/>
  <c r="Q254" i="23" s="1"/>
  <c r="P253" i="23"/>
  <c r="Q253" i="23" s="1"/>
  <c r="P252" i="23"/>
  <c r="Q252" i="23" s="1"/>
  <c r="P251" i="23"/>
  <c r="Q251" i="23" s="1"/>
  <c r="P250" i="23"/>
  <c r="Q250" i="23" s="1"/>
  <c r="P249" i="23"/>
  <c r="Q249" i="23" s="1"/>
  <c r="P248" i="23"/>
  <c r="Q248" i="23" s="1"/>
  <c r="P247" i="23"/>
  <c r="Q247" i="23" s="1"/>
  <c r="P246" i="23"/>
  <c r="Q246" i="23" s="1"/>
  <c r="P245" i="23"/>
  <c r="Q245" i="23" s="1"/>
  <c r="P243" i="23"/>
  <c r="Q243" i="23" s="1"/>
  <c r="P234" i="23"/>
  <c r="Q234" i="23" s="1"/>
  <c r="P214" i="23"/>
  <c r="Q214" i="23" s="1"/>
  <c r="P210" i="23"/>
  <c r="Q210" i="23" s="1"/>
  <c r="P208" i="23"/>
  <c r="Q208" i="23" s="1"/>
  <c r="P206" i="23"/>
  <c r="Q206" i="23" s="1"/>
  <c r="P205" i="23"/>
  <c r="Q205" i="23" s="1"/>
  <c r="P204" i="23"/>
  <c r="Q204" i="23" s="1"/>
  <c r="P203" i="23"/>
  <c r="Q203" i="23" s="1"/>
  <c r="P201" i="23"/>
  <c r="Q201" i="23" s="1"/>
  <c r="P200" i="23"/>
  <c r="Q200" i="23" s="1"/>
  <c r="P199" i="23"/>
  <c r="Q199" i="23" s="1"/>
  <c r="P195" i="23"/>
  <c r="Q195" i="23" s="1"/>
  <c r="P191" i="23"/>
  <c r="Q191" i="23" s="1"/>
  <c r="P219" i="23"/>
  <c r="Q219" i="23" s="1"/>
  <c r="I256" i="23"/>
  <c r="H256" i="23"/>
  <c r="G256" i="23"/>
  <c r="F256" i="23"/>
  <c r="J268" i="23"/>
  <c r="I132" i="23"/>
  <c r="I133" i="23"/>
  <c r="I134" i="23"/>
  <c r="I135" i="23"/>
  <c r="I162" i="23"/>
  <c r="G253" i="23"/>
  <c r="G170" i="23"/>
  <c r="P189" i="23" l="1"/>
  <c r="Q189" i="23" s="1"/>
  <c r="E256" i="23"/>
  <c r="E127" i="23"/>
  <c r="G243" i="23" l="1"/>
  <c r="F243" i="23"/>
  <c r="G251" i="23"/>
  <c r="F251" i="23"/>
  <c r="L251" i="23"/>
  <c r="K251" i="23"/>
  <c r="J251" i="23"/>
  <c r="J241" i="24"/>
  <c r="I241" i="24"/>
  <c r="J240" i="24"/>
  <c r="I240" i="24"/>
  <c r="J239" i="24"/>
  <c r="I239" i="24"/>
  <c r="J238" i="24"/>
  <c r="I238" i="24"/>
  <c r="J237" i="24"/>
  <c r="I237" i="24"/>
  <c r="J236" i="24"/>
  <c r="I236" i="24"/>
  <c r="J235" i="24"/>
  <c r="I235" i="24"/>
  <c r="J234" i="24"/>
  <c r="I234" i="24"/>
  <c r="J233" i="24"/>
  <c r="I233" i="24"/>
  <c r="J232" i="24"/>
  <c r="I232" i="24"/>
  <c r="J231" i="24"/>
  <c r="I231" i="24"/>
  <c r="J230" i="24"/>
  <c r="I230" i="24"/>
  <c r="J229" i="24"/>
  <c r="I229" i="24"/>
  <c r="J228" i="24"/>
  <c r="I228" i="24"/>
  <c r="J227" i="24"/>
  <c r="I227" i="24"/>
  <c r="J226" i="24"/>
  <c r="I226" i="24"/>
  <c r="J225" i="24"/>
  <c r="I225" i="24"/>
  <c r="J224" i="24"/>
  <c r="I224" i="24"/>
  <c r="J223" i="24"/>
  <c r="I223" i="24"/>
  <c r="J222" i="24"/>
  <c r="I222" i="24"/>
  <c r="J221" i="24"/>
  <c r="I221" i="24"/>
  <c r="J220" i="24"/>
  <c r="I220" i="24"/>
  <c r="J219" i="24"/>
  <c r="I219" i="24"/>
  <c r="J218" i="24"/>
  <c r="I218" i="24"/>
  <c r="J217" i="24"/>
  <c r="I217" i="24"/>
  <c r="J216" i="24"/>
  <c r="I216" i="24"/>
  <c r="J215" i="24"/>
  <c r="I215" i="24"/>
  <c r="J214" i="24"/>
  <c r="I214" i="24"/>
  <c r="J213" i="24"/>
  <c r="I213" i="24"/>
  <c r="J212" i="24"/>
  <c r="I212" i="24"/>
  <c r="J211" i="24"/>
  <c r="I211" i="24"/>
  <c r="J210" i="24"/>
  <c r="I210" i="24"/>
  <c r="J209" i="24"/>
  <c r="I209" i="24"/>
  <c r="J208" i="24"/>
  <c r="I208" i="24"/>
  <c r="J207" i="24"/>
  <c r="I207" i="24"/>
  <c r="J206" i="24"/>
  <c r="I206" i="24"/>
  <c r="J205" i="24"/>
  <c r="I205" i="24"/>
  <c r="J204" i="24"/>
  <c r="I204" i="24"/>
  <c r="J203" i="24"/>
  <c r="I203" i="24"/>
  <c r="J202" i="24"/>
  <c r="I202" i="24"/>
  <c r="J201" i="24"/>
  <c r="I201" i="24"/>
  <c r="J200" i="24"/>
  <c r="I200" i="24"/>
  <c r="J199" i="24"/>
  <c r="I199" i="24"/>
  <c r="J198" i="24"/>
  <c r="I198" i="24"/>
  <c r="J197" i="24"/>
  <c r="I197" i="24"/>
  <c r="J196" i="24"/>
  <c r="I196" i="24"/>
  <c r="J195" i="24"/>
  <c r="I195" i="24"/>
  <c r="J194" i="24"/>
  <c r="I194" i="24"/>
  <c r="J193" i="24"/>
  <c r="I193" i="24"/>
  <c r="J192" i="24"/>
  <c r="I192" i="24"/>
  <c r="J191" i="24"/>
  <c r="I191" i="24"/>
  <c r="J190" i="24"/>
  <c r="I190" i="24"/>
  <c r="J189" i="24"/>
  <c r="I189" i="24"/>
  <c r="J188" i="24"/>
  <c r="I188" i="24"/>
  <c r="J187" i="24"/>
  <c r="I187" i="24"/>
  <c r="J186" i="24"/>
  <c r="I186" i="24"/>
  <c r="J185" i="24"/>
  <c r="I185" i="24"/>
  <c r="J184" i="24"/>
  <c r="I184" i="24"/>
  <c r="J183" i="24"/>
  <c r="I183" i="24"/>
  <c r="J182" i="24"/>
  <c r="I182" i="24"/>
  <c r="J181" i="24"/>
  <c r="I181" i="24"/>
  <c r="J180" i="24"/>
  <c r="I180" i="24"/>
  <c r="J179" i="24"/>
  <c r="I179" i="24"/>
  <c r="J178" i="24"/>
  <c r="I178" i="24"/>
  <c r="J177" i="24"/>
  <c r="I177" i="24"/>
  <c r="J176" i="24"/>
  <c r="I176" i="24"/>
  <c r="J175" i="24"/>
  <c r="I175" i="24"/>
  <c r="J174" i="24"/>
  <c r="I174" i="24"/>
  <c r="J173" i="24"/>
  <c r="I173" i="24"/>
  <c r="J172" i="24"/>
  <c r="I172" i="24"/>
  <c r="J171" i="24"/>
  <c r="I171" i="24"/>
  <c r="J170" i="24"/>
  <c r="I170" i="24"/>
  <c r="J169" i="24"/>
  <c r="I169" i="24"/>
  <c r="J168" i="24"/>
  <c r="I168" i="24"/>
  <c r="J167" i="24"/>
  <c r="I167" i="24"/>
  <c r="J166" i="24"/>
  <c r="I166" i="24"/>
  <c r="J165" i="24"/>
  <c r="I165" i="24"/>
  <c r="J164" i="24"/>
  <c r="I164" i="24"/>
  <c r="J163" i="24"/>
  <c r="I163" i="24"/>
  <c r="J162" i="24"/>
  <c r="I162" i="24"/>
  <c r="J161" i="24"/>
  <c r="I161" i="24"/>
  <c r="J160" i="24"/>
  <c r="I160" i="24"/>
  <c r="J159" i="24"/>
  <c r="I159" i="24"/>
  <c r="J158" i="24"/>
  <c r="I158" i="24"/>
  <c r="J157" i="24"/>
  <c r="I157" i="24"/>
  <c r="J156" i="24"/>
  <c r="I156" i="24"/>
  <c r="J155" i="24"/>
  <c r="I155" i="24"/>
  <c r="J154" i="24"/>
  <c r="I154" i="24"/>
  <c r="J153" i="24"/>
  <c r="I153" i="24"/>
  <c r="J152" i="24"/>
  <c r="I152" i="24"/>
  <c r="J151" i="24"/>
  <c r="I151" i="24"/>
  <c r="J150" i="24"/>
  <c r="I150" i="24"/>
  <c r="J149" i="24"/>
  <c r="I149" i="24"/>
  <c r="J148" i="24"/>
  <c r="I148" i="24"/>
  <c r="J147" i="24"/>
  <c r="I147" i="24"/>
  <c r="J146" i="24"/>
  <c r="I146" i="24"/>
  <c r="J145" i="24"/>
  <c r="I145" i="24"/>
  <c r="J144" i="24"/>
  <c r="I144" i="24"/>
  <c r="J143" i="24"/>
  <c r="I143" i="24"/>
  <c r="J142" i="24"/>
  <c r="I142" i="24"/>
  <c r="J141" i="24"/>
  <c r="I141" i="24"/>
  <c r="J140" i="24"/>
  <c r="I140" i="24"/>
  <c r="J139" i="24"/>
  <c r="I139" i="24"/>
  <c r="J138" i="24"/>
  <c r="I138" i="24"/>
  <c r="J137" i="24"/>
  <c r="I137" i="24"/>
  <c r="J136" i="24"/>
  <c r="I136" i="24"/>
  <c r="J135" i="24"/>
  <c r="I135" i="24"/>
  <c r="J134" i="24"/>
  <c r="I134" i="24"/>
  <c r="J133" i="24"/>
  <c r="I133" i="24"/>
  <c r="J132" i="24"/>
  <c r="I132" i="24"/>
  <c r="J131" i="24"/>
  <c r="I131" i="24"/>
  <c r="J130" i="24"/>
  <c r="I130" i="24"/>
  <c r="J129" i="24"/>
  <c r="I129" i="24"/>
  <c r="J128" i="24"/>
  <c r="I128" i="24"/>
  <c r="J127" i="24"/>
  <c r="I127" i="24"/>
  <c r="J126" i="24"/>
  <c r="I126" i="24"/>
  <c r="J125" i="24"/>
  <c r="I125" i="24"/>
  <c r="J124" i="24"/>
  <c r="I124" i="24"/>
  <c r="J123" i="24"/>
  <c r="I123" i="24"/>
  <c r="J122" i="24"/>
  <c r="I122" i="24"/>
  <c r="J121" i="24"/>
  <c r="I121" i="24"/>
  <c r="J120" i="24"/>
  <c r="I120" i="24"/>
  <c r="J119" i="24"/>
  <c r="I119" i="24"/>
  <c r="J118" i="24"/>
  <c r="I118" i="24"/>
  <c r="J117" i="24"/>
  <c r="I117" i="24"/>
  <c r="J116" i="24"/>
  <c r="I116" i="24"/>
  <c r="J115" i="24"/>
  <c r="I115" i="24"/>
  <c r="J114" i="24"/>
  <c r="I114" i="24"/>
  <c r="J113" i="24"/>
  <c r="I113" i="24"/>
  <c r="J112" i="24"/>
  <c r="I112" i="24"/>
  <c r="J111" i="24"/>
  <c r="I111" i="24"/>
  <c r="J110" i="24"/>
  <c r="I110" i="24"/>
  <c r="J109" i="24"/>
  <c r="I109" i="24"/>
  <c r="J108" i="24"/>
  <c r="I108" i="24"/>
  <c r="J107" i="24"/>
  <c r="I107" i="24"/>
  <c r="J106" i="24"/>
  <c r="I106" i="24"/>
  <c r="J105" i="24"/>
  <c r="I105" i="24"/>
  <c r="J104" i="24"/>
  <c r="I104" i="24"/>
  <c r="J103" i="24"/>
  <c r="I103" i="24"/>
  <c r="J102" i="24"/>
  <c r="I102" i="24"/>
  <c r="J101" i="24"/>
  <c r="I101" i="24"/>
  <c r="J100" i="24"/>
  <c r="I100" i="24"/>
  <c r="J99" i="24"/>
  <c r="I99" i="24"/>
  <c r="J98" i="24"/>
  <c r="I98" i="24"/>
  <c r="J97" i="24"/>
  <c r="I97" i="24"/>
  <c r="J96" i="24"/>
  <c r="I96" i="24"/>
  <c r="J95" i="24"/>
  <c r="I95" i="24"/>
  <c r="J94" i="24"/>
  <c r="I94" i="24"/>
  <c r="J93" i="24"/>
  <c r="I93" i="24"/>
  <c r="J92" i="24"/>
  <c r="I92" i="24"/>
  <c r="J91" i="24"/>
  <c r="I91" i="24"/>
  <c r="J90" i="24"/>
  <c r="I90" i="24"/>
  <c r="J89" i="24"/>
  <c r="I89" i="24"/>
  <c r="J88" i="24"/>
  <c r="I88" i="24"/>
  <c r="J87" i="24"/>
  <c r="I87" i="24"/>
  <c r="J86" i="24"/>
  <c r="I86" i="24"/>
  <c r="J85" i="24"/>
  <c r="I85" i="24"/>
  <c r="J84" i="24"/>
  <c r="I84" i="24"/>
  <c r="J83" i="24"/>
  <c r="I83" i="24"/>
  <c r="J82" i="24"/>
  <c r="I82" i="24"/>
  <c r="J81" i="24"/>
  <c r="I81" i="24"/>
  <c r="J80" i="24"/>
  <c r="I80" i="24"/>
  <c r="J79" i="24"/>
  <c r="I79" i="24"/>
  <c r="J78" i="24"/>
  <c r="I78" i="24"/>
  <c r="J77" i="24"/>
  <c r="I77" i="24"/>
  <c r="J76" i="24"/>
  <c r="I76" i="24"/>
  <c r="J75" i="24"/>
  <c r="I75" i="24"/>
  <c r="J74" i="24"/>
  <c r="I74" i="24"/>
  <c r="J73" i="24"/>
  <c r="I73" i="24"/>
  <c r="J72" i="24"/>
  <c r="I72" i="24"/>
  <c r="J71" i="24"/>
  <c r="I71" i="24"/>
  <c r="J70" i="24"/>
  <c r="I70" i="24"/>
  <c r="J69" i="24"/>
  <c r="I69" i="24"/>
  <c r="J68" i="24"/>
  <c r="I68" i="24"/>
  <c r="J67" i="24"/>
  <c r="I67" i="24"/>
  <c r="J66" i="24"/>
  <c r="I66" i="24"/>
  <c r="J65" i="24"/>
  <c r="I65" i="24"/>
  <c r="J64" i="24"/>
  <c r="I64" i="24"/>
  <c r="J63" i="24"/>
  <c r="I63" i="24"/>
  <c r="J62" i="24"/>
  <c r="I62" i="24"/>
  <c r="J61" i="24"/>
  <c r="I61" i="24"/>
  <c r="J60" i="24"/>
  <c r="I60" i="24"/>
  <c r="J59" i="24"/>
  <c r="I59" i="24"/>
  <c r="J58" i="24"/>
  <c r="I58" i="24"/>
  <c r="J57" i="24"/>
  <c r="I57" i="24"/>
  <c r="J56" i="24"/>
  <c r="I56" i="24"/>
  <c r="J55" i="24"/>
  <c r="I55" i="24"/>
  <c r="J54" i="24"/>
  <c r="I54" i="24"/>
  <c r="J53" i="24"/>
  <c r="I53" i="24"/>
  <c r="J52" i="24"/>
  <c r="I52" i="24"/>
  <c r="J51" i="24"/>
  <c r="I51" i="24"/>
  <c r="J50" i="24"/>
  <c r="I50" i="24"/>
  <c r="J49" i="24"/>
  <c r="I49" i="24"/>
  <c r="J48" i="24"/>
  <c r="I48" i="24"/>
  <c r="J47" i="24"/>
  <c r="I47" i="24"/>
  <c r="J46" i="24"/>
  <c r="I46" i="24"/>
  <c r="J45" i="24"/>
  <c r="I45" i="24"/>
  <c r="J44" i="24"/>
  <c r="I44" i="24"/>
  <c r="J43" i="24"/>
  <c r="I43" i="24"/>
  <c r="J42" i="24"/>
  <c r="I42" i="24"/>
  <c r="J41" i="24"/>
  <c r="I41" i="24"/>
  <c r="J40" i="24"/>
  <c r="I40" i="24"/>
  <c r="J39" i="24"/>
  <c r="I39" i="24"/>
  <c r="J38" i="24"/>
  <c r="I38" i="24"/>
  <c r="J37" i="24"/>
  <c r="I37" i="24"/>
  <c r="J36" i="24"/>
  <c r="I36" i="24"/>
  <c r="J35" i="24"/>
  <c r="I35" i="24"/>
  <c r="J34" i="24"/>
  <c r="I34" i="24"/>
  <c r="J33" i="24"/>
  <c r="I33" i="24"/>
  <c r="J32" i="24"/>
  <c r="I32" i="24"/>
  <c r="J31" i="24"/>
  <c r="I31" i="24"/>
  <c r="J30" i="24"/>
  <c r="I30" i="24"/>
  <c r="J29" i="24"/>
  <c r="I29" i="24"/>
  <c r="J28" i="24"/>
  <c r="I28" i="24"/>
  <c r="J27" i="24"/>
  <c r="I27" i="24"/>
  <c r="J26" i="24"/>
  <c r="I26" i="24"/>
  <c r="J25" i="24"/>
  <c r="I25" i="24"/>
  <c r="J24" i="24"/>
  <c r="I24" i="24"/>
  <c r="J23" i="24"/>
  <c r="I23" i="24"/>
  <c r="J22" i="24"/>
  <c r="I22" i="24"/>
  <c r="J21" i="24"/>
  <c r="I21" i="24"/>
  <c r="J20" i="24"/>
  <c r="I20" i="24"/>
  <c r="J19" i="24"/>
  <c r="I19" i="24"/>
  <c r="J18" i="24"/>
  <c r="I18" i="24"/>
  <c r="J17" i="24"/>
  <c r="I17" i="24"/>
  <c r="J16" i="24"/>
  <c r="I16" i="24"/>
  <c r="J15" i="24"/>
  <c r="I15" i="24"/>
  <c r="J14" i="24"/>
  <c r="I14" i="24"/>
  <c r="J13" i="24"/>
  <c r="I13" i="24"/>
  <c r="J12" i="24"/>
  <c r="I12" i="24"/>
  <c r="J11" i="24"/>
  <c r="I11" i="24"/>
  <c r="J10" i="24"/>
  <c r="I10" i="24"/>
  <c r="J9" i="24"/>
  <c r="I9" i="24"/>
  <c r="J8" i="24"/>
  <c r="I8" i="24"/>
  <c r="J7" i="24"/>
  <c r="I7" i="24"/>
  <c r="J6" i="24"/>
  <c r="I6" i="24"/>
  <c r="J5" i="24"/>
  <c r="I5" i="24"/>
  <c r="J4" i="24"/>
  <c r="I4" i="24"/>
  <c r="J3" i="24"/>
  <c r="I3" i="24"/>
  <c r="J2" i="24"/>
  <c r="I2" i="24"/>
  <c r="F10" i="23"/>
  <c r="H252" i="23"/>
  <c r="H250" i="23"/>
  <c r="H249" i="23"/>
  <c r="H248" i="23"/>
  <c r="H246" i="23"/>
  <c r="H245" i="23"/>
  <c r="H244" i="23"/>
  <c r="H243" i="23"/>
  <c r="H242" i="23"/>
  <c r="H241" i="23"/>
  <c r="H240" i="23"/>
  <c r="H239" i="23"/>
  <c r="H238" i="23"/>
  <c r="H237" i="23"/>
  <c r="H236" i="23"/>
  <c r="H235" i="23"/>
  <c r="H234" i="23"/>
  <c r="H233" i="23"/>
  <c r="H232" i="23"/>
  <c r="H231" i="23"/>
  <c r="H230" i="23"/>
  <c r="H229" i="23"/>
  <c r="H228" i="23"/>
  <c r="H227" i="23"/>
  <c r="H226" i="23"/>
  <c r="H225" i="23"/>
  <c r="H224" i="23"/>
  <c r="H223" i="23"/>
  <c r="H222" i="23"/>
  <c r="H221" i="23"/>
  <c r="H220" i="23"/>
  <c r="H219" i="23"/>
  <c r="H218" i="23"/>
  <c r="H217" i="23"/>
  <c r="H216" i="23"/>
  <c r="H215" i="23"/>
  <c r="H214" i="23"/>
  <c r="H213" i="23"/>
  <c r="H212" i="23"/>
  <c r="H211" i="23"/>
  <c r="H210" i="23"/>
  <c r="H209" i="23"/>
  <c r="H208" i="23"/>
  <c r="H207" i="23"/>
  <c r="H206" i="23"/>
  <c r="H205" i="23"/>
  <c r="H204" i="23"/>
  <c r="H203" i="23"/>
  <c r="H202" i="23"/>
  <c r="H201" i="23"/>
  <c r="H200" i="23"/>
  <c r="H199" i="23"/>
  <c r="H198" i="23"/>
  <c r="H197" i="23"/>
  <c r="H196" i="23"/>
  <c r="I196" i="23" s="1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69" i="23"/>
  <c r="H168" i="23"/>
  <c r="H167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9" i="23"/>
  <c r="H8" i="23"/>
  <c r="H11" i="23"/>
  <c r="H10" i="23"/>
  <c r="H7" i="23"/>
  <c r="H6" i="23"/>
  <c r="H5" i="23"/>
  <c r="H4" i="23"/>
  <c r="H3" i="23"/>
  <c r="E170" i="23"/>
  <c r="E254" i="23" s="1"/>
  <c r="E253" i="23"/>
  <c r="E247" i="23"/>
  <c r="F249" i="23"/>
  <c r="G249" i="23"/>
  <c r="J249" i="23"/>
  <c r="K249" i="23"/>
  <c r="L249" i="23"/>
  <c r="P175" i="24"/>
  <c r="Q175" i="24" s="1"/>
  <c r="G154" i="23"/>
  <c r="G165" i="23"/>
  <c r="F165" i="23"/>
  <c r="P137" i="24" s="1"/>
  <c r="Q137" i="24" s="1"/>
  <c r="G163" i="23"/>
  <c r="F163" i="23"/>
  <c r="P156" i="24" s="1"/>
  <c r="Q156" i="24" s="1"/>
  <c r="G169" i="23"/>
  <c r="F169" i="23"/>
  <c r="P203" i="24" s="1"/>
  <c r="Q203" i="24" s="1"/>
  <c r="G168" i="23"/>
  <c r="F168" i="23"/>
  <c r="P199" i="24" s="1"/>
  <c r="Q199" i="24" s="1"/>
  <c r="G167" i="23"/>
  <c r="F167" i="23"/>
  <c r="P198" i="24" s="1"/>
  <c r="Q198" i="24" s="1"/>
  <c r="G161" i="23"/>
  <c r="F161" i="23"/>
  <c r="P157" i="24" s="1"/>
  <c r="Q157" i="24" s="1"/>
  <c r="G160" i="23"/>
  <c r="F160" i="23"/>
  <c r="P158" i="24" s="1"/>
  <c r="Q158" i="24" s="1"/>
  <c r="G159" i="23"/>
  <c r="F159" i="23"/>
  <c r="P155" i="24" s="1"/>
  <c r="Q155" i="24" s="1"/>
  <c r="G158" i="23"/>
  <c r="F158" i="23"/>
  <c r="P154" i="24" s="1"/>
  <c r="Q154" i="24" s="1"/>
  <c r="G157" i="23"/>
  <c r="F157" i="23"/>
  <c r="P153" i="24" s="1"/>
  <c r="Q153" i="24" s="1"/>
  <c r="G156" i="23"/>
  <c r="F156" i="23"/>
  <c r="P152" i="24" s="1"/>
  <c r="Q152" i="24" s="1"/>
  <c r="G155" i="23"/>
  <c r="F155" i="23"/>
  <c r="P151" i="24" s="1"/>
  <c r="Q151" i="24" s="1"/>
  <c r="G153" i="23"/>
  <c r="F153" i="23"/>
  <c r="P149" i="24" s="1"/>
  <c r="Q149" i="24" s="1"/>
  <c r="G152" i="23"/>
  <c r="F152" i="23"/>
  <c r="P148" i="24" s="1"/>
  <c r="Q148" i="24" s="1"/>
  <c r="G151" i="23"/>
  <c r="F151" i="23"/>
  <c r="P147" i="24" s="1"/>
  <c r="Q147" i="24" s="1"/>
  <c r="G150" i="23"/>
  <c r="F150" i="23"/>
  <c r="P142" i="24" s="1"/>
  <c r="Q142" i="24" s="1"/>
  <c r="G149" i="23"/>
  <c r="F149" i="23"/>
  <c r="P146" i="24" s="1"/>
  <c r="Q146" i="24" s="1"/>
  <c r="G148" i="23"/>
  <c r="F148" i="23"/>
  <c r="P145" i="24" s="1"/>
  <c r="Q145" i="24" s="1"/>
  <c r="G147" i="23"/>
  <c r="F147" i="23"/>
  <c r="P144" i="24" s="1"/>
  <c r="Q144" i="24" s="1"/>
  <c r="G146" i="23"/>
  <c r="F146" i="23"/>
  <c r="P143" i="24" s="1"/>
  <c r="Q143" i="24" s="1"/>
  <c r="G145" i="23"/>
  <c r="F145" i="23"/>
  <c r="P141" i="24" s="1"/>
  <c r="Q141" i="24" s="1"/>
  <c r="G144" i="23"/>
  <c r="F144" i="23"/>
  <c r="P140" i="24" s="1"/>
  <c r="Q140" i="24" s="1"/>
  <c r="G143" i="23"/>
  <c r="F143" i="23"/>
  <c r="P139" i="24" s="1"/>
  <c r="Q139" i="24" s="1"/>
  <c r="G142" i="23"/>
  <c r="F142" i="23"/>
  <c r="P138" i="24" s="1"/>
  <c r="Q138" i="24" s="1"/>
  <c r="G141" i="23"/>
  <c r="F141" i="23"/>
  <c r="P136" i="24" s="1"/>
  <c r="Q136" i="24" s="1"/>
  <c r="G140" i="23"/>
  <c r="F140" i="23"/>
  <c r="P135" i="24" s="1"/>
  <c r="Q135" i="24" s="1"/>
  <c r="G139" i="23"/>
  <c r="F139" i="23"/>
  <c r="P134" i="24" s="1"/>
  <c r="Q134" i="24" s="1"/>
  <c r="G138" i="23"/>
  <c r="F138" i="23"/>
  <c r="P133" i="24" s="1"/>
  <c r="Q133" i="24" s="1"/>
  <c r="G137" i="23"/>
  <c r="F137" i="23"/>
  <c r="P132" i="24" s="1"/>
  <c r="Q132" i="24" s="1"/>
  <c r="G136" i="23"/>
  <c r="F136" i="23"/>
  <c r="P131" i="24" s="1"/>
  <c r="Q131" i="24" s="1"/>
  <c r="G135" i="23"/>
  <c r="F135" i="23"/>
  <c r="P128" i="24" s="1"/>
  <c r="Q128" i="24" s="1"/>
  <c r="G134" i="23"/>
  <c r="F134" i="23"/>
  <c r="P127" i="24" s="1"/>
  <c r="Q127" i="24" s="1"/>
  <c r="G133" i="23"/>
  <c r="F133" i="23"/>
  <c r="P126" i="24" s="1"/>
  <c r="Q126" i="24" s="1"/>
  <c r="G132" i="23"/>
  <c r="F132" i="23"/>
  <c r="P125" i="24" s="1"/>
  <c r="Q125" i="24" s="1"/>
  <c r="G131" i="23"/>
  <c r="F131" i="23"/>
  <c r="P130" i="24" s="1"/>
  <c r="Q130" i="24" s="1"/>
  <c r="G130" i="23"/>
  <c r="F130" i="23"/>
  <c r="P129" i="24" s="1"/>
  <c r="Q129" i="24" s="1"/>
  <c r="G129" i="23"/>
  <c r="F129" i="23"/>
  <c r="P124" i="24" s="1"/>
  <c r="Q124" i="24" s="1"/>
  <c r="G125" i="23"/>
  <c r="F125" i="23"/>
  <c r="P112" i="24" s="1"/>
  <c r="Q112" i="24" s="1"/>
  <c r="G124" i="23"/>
  <c r="F124" i="23"/>
  <c r="P110" i="24" s="1"/>
  <c r="Q110" i="24" s="1"/>
  <c r="G123" i="23"/>
  <c r="F123" i="23"/>
  <c r="P108" i="24" s="1"/>
  <c r="Q108" i="24" s="1"/>
  <c r="G122" i="23"/>
  <c r="F122" i="23"/>
  <c r="P106" i="24" s="1"/>
  <c r="Q106" i="24" s="1"/>
  <c r="G121" i="23"/>
  <c r="F121" i="23"/>
  <c r="P104" i="24" s="1"/>
  <c r="Q104" i="24" s="1"/>
  <c r="G120" i="23"/>
  <c r="F120" i="23"/>
  <c r="P102" i="24" s="1"/>
  <c r="Q102" i="24" s="1"/>
  <c r="G119" i="23"/>
  <c r="F119" i="23"/>
  <c r="P100" i="24" s="1"/>
  <c r="Q100" i="24" s="1"/>
  <c r="G118" i="23"/>
  <c r="F118" i="23"/>
  <c r="P98" i="24" s="1"/>
  <c r="Q98" i="24" s="1"/>
  <c r="G117" i="23"/>
  <c r="F117" i="23"/>
  <c r="P97" i="24" s="1"/>
  <c r="Q97" i="24" s="1"/>
  <c r="G116" i="23"/>
  <c r="F116" i="23"/>
  <c r="P95" i="24" s="1"/>
  <c r="Q95" i="24" s="1"/>
  <c r="G115" i="23"/>
  <c r="F115" i="23"/>
  <c r="P93" i="24" s="1"/>
  <c r="Q93" i="24" s="1"/>
  <c r="G114" i="23"/>
  <c r="F114" i="23"/>
  <c r="P91" i="24" s="1"/>
  <c r="Q91" i="24" s="1"/>
  <c r="G113" i="23"/>
  <c r="F113" i="23"/>
  <c r="P90" i="24" s="1"/>
  <c r="Q90" i="24" s="1"/>
  <c r="G112" i="23"/>
  <c r="F112" i="23"/>
  <c r="P88" i="24" s="1"/>
  <c r="Q88" i="24" s="1"/>
  <c r="G111" i="23"/>
  <c r="F111" i="23"/>
  <c r="P86" i="24" s="1"/>
  <c r="Q86" i="24" s="1"/>
  <c r="G110" i="23"/>
  <c r="F110" i="23"/>
  <c r="P84" i="24" s="1"/>
  <c r="Q84" i="24" s="1"/>
  <c r="G109" i="23"/>
  <c r="F109" i="23"/>
  <c r="P74" i="24" s="1"/>
  <c r="Q74" i="24" s="1"/>
  <c r="G108" i="23"/>
  <c r="F108" i="23"/>
  <c r="P72" i="24" s="1"/>
  <c r="Q72" i="24" s="1"/>
  <c r="G107" i="23"/>
  <c r="F107" i="23"/>
  <c r="P70" i="24" s="1"/>
  <c r="Q70" i="24" s="1"/>
  <c r="G106" i="23"/>
  <c r="F106" i="23"/>
  <c r="P67" i="24" s="1"/>
  <c r="Q67" i="24" s="1"/>
  <c r="G105" i="23"/>
  <c r="F105" i="23"/>
  <c r="P65" i="24" s="1"/>
  <c r="Q65" i="24" s="1"/>
  <c r="G104" i="23"/>
  <c r="F104" i="23"/>
  <c r="P63" i="24" s="1"/>
  <c r="Q63" i="24" s="1"/>
  <c r="G103" i="23"/>
  <c r="F103" i="23"/>
  <c r="P61" i="24" s="1"/>
  <c r="Q61" i="24" s="1"/>
  <c r="G102" i="23"/>
  <c r="F102" i="23"/>
  <c r="P59" i="24" s="1"/>
  <c r="Q59" i="24" s="1"/>
  <c r="G101" i="23"/>
  <c r="F101" i="23"/>
  <c r="P57" i="24" s="1"/>
  <c r="Q57" i="24" s="1"/>
  <c r="G100" i="23"/>
  <c r="F100" i="23"/>
  <c r="P55" i="24" s="1"/>
  <c r="Q55" i="24" s="1"/>
  <c r="G99" i="23"/>
  <c r="F99" i="23"/>
  <c r="P53" i="24" s="1"/>
  <c r="Q53" i="24" s="1"/>
  <c r="G98" i="23"/>
  <c r="F98" i="23"/>
  <c r="P51" i="24" s="1"/>
  <c r="Q51" i="24" s="1"/>
  <c r="G97" i="23"/>
  <c r="F97" i="23"/>
  <c r="P49" i="24" s="1"/>
  <c r="Q49" i="24" s="1"/>
  <c r="G96" i="23"/>
  <c r="F96" i="23"/>
  <c r="P47" i="24" s="1"/>
  <c r="Q47" i="24" s="1"/>
  <c r="G95" i="23"/>
  <c r="F95" i="23"/>
  <c r="P45" i="24" s="1"/>
  <c r="Q45" i="24" s="1"/>
  <c r="G94" i="23"/>
  <c r="F94" i="23"/>
  <c r="P44" i="24" s="1"/>
  <c r="Q44" i="24" s="1"/>
  <c r="G93" i="23"/>
  <c r="F93" i="23"/>
  <c r="P42" i="24" s="1"/>
  <c r="Q42" i="24" s="1"/>
  <c r="G92" i="23"/>
  <c r="F92" i="23"/>
  <c r="P40" i="24" s="1"/>
  <c r="Q40" i="24" s="1"/>
  <c r="G91" i="23"/>
  <c r="F91" i="23"/>
  <c r="P38" i="24" s="1"/>
  <c r="Q38" i="24" s="1"/>
  <c r="G90" i="23"/>
  <c r="F90" i="23"/>
  <c r="P35" i="24" s="1"/>
  <c r="Q35" i="24" s="1"/>
  <c r="G89" i="23"/>
  <c r="F89" i="23"/>
  <c r="P33" i="24" s="1"/>
  <c r="Q33" i="24" s="1"/>
  <c r="G88" i="23"/>
  <c r="F88" i="23"/>
  <c r="P31" i="24" s="1"/>
  <c r="Q31" i="24" s="1"/>
  <c r="G87" i="23"/>
  <c r="F87" i="23"/>
  <c r="P29" i="24" s="1"/>
  <c r="Q29" i="24" s="1"/>
  <c r="G86" i="23"/>
  <c r="F86" i="23"/>
  <c r="P27" i="24" s="1"/>
  <c r="Q27" i="24" s="1"/>
  <c r="G85" i="23"/>
  <c r="F85" i="23"/>
  <c r="P24" i="24" s="1"/>
  <c r="Q24" i="24" s="1"/>
  <c r="G84" i="23"/>
  <c r="F84" i="23"/>
  <c r="P15" i="24" s="1"/>
  <c r="Q15" i="24" s="1"/>
  <c r="G69" i="23"/>
  <c r="F69" i="23"/>
  <c r="G58" i="23"/>
  <c r="F58" i="23"/>
  <c r="P19" i="24" s="1"/>
  <c r="Q19" i="24" s="1"/>
  <c r="G79" i="23"/>
  <c r="F79" i="23"/>
  <c r="P121" i="24" s="1"/>
  <c r="Q121" i="24" s="1"/>
  <c r="G78" i="23"/>
  <c r="F78" i="23"/>
  <c r="P120" i="24" s="1"/>
  <c r="Q120" i="24" s="1"/>
  <c r="G77" i="23"/>
  <c r="F77" i="23"/>
  <c r="P119" i="24" s="1"/>
  <c r="Q119" i="24" s="1"/>
  <c r="G76" i="23"/>
  <c r="F76" i="23"/>
  <c r="P118" i="24" s="1"/>
  <c r="Q118" i="24" s="1"/>
  <c r="G75" i="23"/>
  <c r="F75" i="23"/>
  <c r="P117" i="24" s="1"/>
  <c r="Q117" i="24" s="1"/>
  <c r="G74" i="23"/>
  <c r="F74" i="23"/>
  <c r="P116" i="24" s="1"/>
  <c r="Q116" i="24" s="1"/>
  <c r="G73" i="23"/>
  <c r="F73" i="23"/>
  <c r="P115" i="24" s="1"/>
  <c r="Q115" i="24" s="1"/>
  <c r="G72" i="23"/>
  <c r="F72" i="23"/>
  <c r="P114" i="24" s="1"/>
  <c r="Q114" i="24" s="1"/>
  <c r="G71" i="23"/>
  <c r="F71" i="23"/>
  <c r="P113" i="24" s="1"/>
  <c r="Q113" i="24" s="1"/>
  <c r="G70" i="23"/>
  <c r="F70" i="23"/>
  <c r="P82" i="24" s="1"/>
  <c r="Q82" i="24" s="1"/>
  <c r="G68" i="23"/>
  <c r="F68" i="23"/>
  <c r="P81" i="24" s="1"/>
  <c r="Q81" i="24" s="1"/>
  <c r="G67" i="23"/>
  <c r="F67" i="23"/>
  <c r="P80" i="24" s="1"/>
  <c r="Q80" i="24" s="1"/>
  <c r="G66" i="23"/>
  <c r="F66" i="23"/>
  <c r="P78" i="24" s="1"/>
  <c r="Q78" i="24" s="1"/>
  <c r="G65" i="23"/>
  <c r="F65" i="23"/>
  <c r="P77" i="24" s="1"/>
  <c r="Q77" i="24" s="1"/>
  <c r="G64" i="23"/>
  <c r="F64" i="23"/>
  <c r="P76" i="24" s="1"/>
  <c r="Q76" i="24" s="1"/>
  <c r="G63" i="23"/>
  <c r="F63" i="23"/>
  <c r="P75" i="24" s="1"/>
  <c r="Q75" i="24" s="1"/>
  <c r="G62" i="23"/>
  <c r="F62" i="23"/>
  <c r="P25" i="24" s="1"/>
  <c r="Q25" i="24" s="1"/>
  <c r="G61" i="23"/>
  <c r="F61" i="23"/>
  <c r="P22" i="24" s="1"/>
  <c r="Q22" i="24" s="1"/>
  <c r="G60" i="23"/>
  <c r="F60" i="23"/>
  <c r="P21" i="24" s="1"/>
  <c r="Q21" i="24" s="1"/>
  <c r="G59" i="23"/>
  <c r="F59" i="23"/>
  <c r="P20" i="24" s="1"/>
  <c r="Q20" i="24" s="1"/>
  <c r="G57" i="23"/>
  <c r="F57" i="23"/>
  <c r="P18" i="24" s="1"/>
  <c r="Q18" i="24" s="1"/>
  <c r="G56" i="23"/>
  <c r="F56" i="23"/>
  <c r="P17" i="24" s="1"/>
  <c r="Q17" i="24" s="1"/>
  <c r="G55" i="23"/>
  <c r="F55" i="23"/>
  <c r="P16" i="24" s="1"/>
  <c r="Q16" i="24" s="1"/>
  <c r="G54" i="23"/>
  <c r="F54" i="23"/>
  <c r="P23" i="24" s="1"/>
  <c r="Q23" i="24" s="1"/>
  <c r="G53" i="23"/>
  <c r="F53" i="23"/>
  <c r="P111" i="24" s="1"/>
  <c r="Q111" i="24" s="1"/>
  <c r="G52" i="23"/>
  <c r="F52" i="23"/>
  <c r="P109" i="24" s="1"/>
  <c r="Q109" i="24" s="1"/>
  <c r="G51" i="23"/>
  <c r="F51" i="23"/>
  <c r="P107" i="24" s="1"/>
  <c r="Q107" i="24" s="1"/>
  <c r="G50" i="23"/>
  <c r="F50" i="23"/>
  <c r="P105" i="24" s="1"/>
  <c r="Q105" i="24" s="1"/>
  <c r="G49" i="23"/>
  <c r="F49" i="23"/>
  <c r="P103" i="24" s="1"/>
  <c r="Q103" i="24" s="1"/>
  <c r="G48" i="23"/>
  <c r="F48" i="23"/>
  <c r="P101" i="24" s="1"/>
  <c r="Q101" i="24" s="1"/>
  <c r="G47" i="23"/>
  <c r="F47" i="23"/>
  <c r="P99" i="24" s="1"/>
  <c r="Q99" i="24" s="1"/>
  <c r="G46" i="23"/>
  <c r="F46" i="23"/>
  <c r="P96" i="24" s="1"/>
  <c r="Q96" i="24" s="1"/>
  <c r="G45" i="23"/>
  <c r="F45" i="23"/>
  <c r="P94" i="24" s="1"/>
  <c r="Q94" i="24" s="1"/>
  <c r="G44" i="23"/>
  <c r="F44" i="23"/>
  <c r="P92" i="24" s="1"/>
  <c r="Q92" i="24" s="1"/>
  <c r="G43" i="23"/>
  <c r="F43" i="23"/>
  <c r="P89" i="24" s="1"/>
  <c r="Q89" i="24" s="1"/>
  <c r="G42" i="23"/>
  <c r="F42" i="23"/>
  <c r="P87" i="24" s="1"/>
  <c r="Q87" i="24" s="1"/>
  <c r="G41" i="23"/>
  <c r="F41" i="23"/>
  <c r="P85" i="24" s="1"/>
  <c r="Q85" i="24" s="1"/>
  <c r="G40" i="23"/>
  <c r="F40" i="23"/>
  <c r="P83" i="24" s="1"/>
  <c r="Q83" i="24" s="1"/>
  <c r="G39" i="23"/>
  <c r="F39" i="23"/>
  <c r="P73" i="24" s="1"/>
  <c r="Q73" i="24" s="1"/>
  <c r="G38" i="23"/>
  <c r="F38" i="23"/>
  <c r="P71" i="24" s="1"/>
  <c r="Q71" i="24" s="1"/>
  <c r="G37" i="23"/>
  <c r="F37" i="23"/>
  <c r="P69" i="24" s="1"/>
  <c r="Q69" i="24" s="1"/>
  <c r="G36" i="23"/>
  <c r="F36" i="23"/>
  <c r="P68" i="24" s="1"/>
  <c r="Q68" i="24" s="1"/>
  <c r="G35" i="23"/>
  <c r="F35" i="23"/>
  <c r="P66" i="24" s="1"/>
  <c r="Q66" i="24" s="1"/>
  <c r="G34" i="23"/>
  <c r="F34" i="23"/>
  <c r="P64" i="24" s="1"/>
  <c r="Q64" i="24" s="1"/>
  <c r="G33" i="23"/>
  <c r="F33" i="23"/>
  <c r="P62" i="24" s="1"/>
  <c r="Q62" i="24" s="1"/>
  <c r="G32" i="23"/>
  <c r="F32" i="23"/>
  <c r="P60" i="24" s="1"/>
  <c r="Q60" i="24" s="1"/>
  <c r="G31" i="23"/>
  <c r="F31" i="23"/>
  <c r="P58" i="24" s="1"/>
  <c r="Q58" i="24" s="1"/>
  <c r="G30" i="23"/>
  <c r="F30" i="23"/>
  <c r="P56" i="24" s="1"/>
  <c r="Q56" i="24" s="1"/>
  <c r="G29" i="23"/>
  <c r="F29" i="23"/>
  <c r="P54" i="24" s="1"/>
  <c r="Q54" i="24" s="1"/>
  <c r="G28" i="23"/>
  <c r="F28" i="23"/>
  <c r="P52" i="24" s="1"/>
  <c r="Q52" i="24" s="1"/>
  <c r="G27" i="23"/>
  <c r="F27" i="23"/>
  <c r="P50" i="24" s="1"/>
  <c r="Q50" i="24" s="1"/>
  <c r="G26" i="23"/>
  <c r="F26" i="23"/>
  <c r="P48" i="24" s="1"/>
  <c r="Q48" i="24" s="1"/>
  <c r="G25" i="23"/>
  <c r="F25" i="23"/>
  <c r="P46" i="24" s="1"/>
  <c r="Q46" i="24" s="1"/>
  <c r="G24" i="23"/>
  <c r="F24" i="23"/>
  <c r="P43" i="24" s="1"/>
  <c r="Q43" i="24" s="1"/>
  <c r="G23" i="23"/>
  <c r="F23" i="23"/>
  <c r="P41" i="24" s="1"/>
  <c r="Q41" i="24" s="1"/>
  <c r="G22" i="23"/>
  <c r="F22" i="23"/>
  <c r="P39" i="24" s="1"/>
  <c r="Q39" i="24" s="1"/>
  <c r="G21" i="23"/>
  <c r="F21" i="23"/>
  <c r="P37" i="24" s="1"/>
  <c r="Q37" i="24" s="1"/>
  <c r="G20" i="23"/>
  <c r="F20" i="23"/>
  <c r="P36" i="24" s="1"/>
  <c r="Q36" i="24" s="1"/>
  <c r="G19" i="23"/>
  <c r="F19" i="23"/>
  <c r="P34" i="24" s="1"/>
  <c r="Q34" i="24" s="1"/>
  <c r="G18" i="23"/>
  <c r="F18" i="23"/>
  <c r="P32" i="24" s="1"/>
  <c r="Q32" i="24" s="1"/>
  <c r="G17" i="23"/>
  <c r="F17" i="23"/>
  <c r="P30" i="24" s="1"/>
  <c r="Q30" i="24" s="1"/>
  <c r="G16" i="23"/>
  <c r="F16" i="23"/>
  <c r="P28" i="24" s="1"/>
  <c r="Q28" i="24" s="1"/>
  <c r="G15" i="23"/>
  <c r="F15" i="23"/>
  <c r="P26" i="24" s="1"/>
  <c r="Q26" i="24" s="1"/>
  <c r="G14" i="23"/>
  <c r="F14" i="23"/>
  <c r="P14" i="24" s="1"/>
  <c r="Q14" i="24" s="1"/>
  <c r="G13" i="23"/>
  <c r="F13" i="23"/>
  <c r="P12" i="24" s="1"/>
  <c r="Q12" i="24" s="1"/>
  <c r="G12" i="23"/>
  <c r="F12" i="23"/>
  <c r="P11" i="24" s="1"/>
  <c r="Q11" i="24" s="1"/>
  <c r="G9" i="23"/>
  <c r="F9" i="23"/>
  <c r="P4" i="24" s="1"/>
  <c r="Q4" i="24" s="1"/>
  <c r="G8" i="23"/>
  <c r="F8" i="23"/>
  <c r="P3" i="24" s="1"/>
  <c r="Q3" i="24" s="1"/>
  <c r="G11" i="23"/>
  <c r="F11" i="23"/>
  <c r="P10" i="24" s="1"/>
  <c r="Q10" i="24" s="1"/>
  <c r="G10" i="23"/>
  <c r="P9" i="24"/>
  <c r="Q9" i="24" s="1"/>
  <c r="G7" i="23"/>
  <c r="F7" i="23"/>
  <c r="P8" i="24" s="1"/>
  <c r="Q8" i="24" s="1"/>
  <c r="G6" i="23"/>
  <c r="F6" i="23"/>
  <c r="P7" i="24" s="1"/>
  <c r="Q7" i="24" s="1"/>
  <c r="G5" i="23"/>
  <c r="F5" i="23"/>
  <c r="P6" i="24" s="1"/>
  <c r="Q6" i="24" s="1"/>
  <c r="G4" i="23"/>
  <c r="F4" i="23"/>
  <c r="P5" i="24" s="1"/>
  <c r="Q5" i="24" s="1"/>
  <c r="G3" i="23"/>
  <c r="F3" i="23"/>
  <c r="P2" i="24" s="1"/>
  <c r="Q2" i="24" s="1"/>
  <c r="P13" i="24"/>
  <c r="Q13" i="24" s="1"/>
  <c r="H122" i="24"/>
  <c r="G122" i="24"/>
  <c r="E122" i="24"/>
  <c r="D122" i="24"/>
  <c r="C122" i="24"/>
  <c r="F122" i="24"/>
  <c r="M241" i="24"/>
  <c r="M240" i="24"/>
  <c r="M239" i="24"/>
  <c r="M238" i="24"/>
  <c r="M237" i="24"/>
  <c r="M236" i="24"/>
  <c r="M235" i="24"/>
  <c r="O251" i="23" l="1"/>
  <c r="H170" i="23"/>
  <c r="O249" i="23"/>
  <c r="I249" i="23"/>
  <c r="F170" i="23"/>
  <c r="I69" i="23"/>
  <c r="P79" i="24"/>
  <c r="Q79" i="24" s="1"/>
  <c r="J8" i="23" l="1"/>
  <c r="J9" i="23"/>
  <c r="J64" i="23"/>
  <c r="J65" i="23"/>
  <c r="J66" i="23"/>
  <c r="J67" i="23"/>
  <c r="J68" i="23"/>
  <c r="J150" i="23"/>
  <c r="I8" i="23"/>
  <c r="I9" i="23"/>
  <c r="I64" i="23"/>
  <c r="I65" i="23"/>
  <c r="I66" i="23"/>
  <c r="I67" i="23"/>
  <c r="I68" i="23"/>
  <c r="I150" i="23"/>
  <c r="M226" i="24"/>
  <c r="M225" i="24"/>
  <c r="M224" i="24"/>
  <c r="M223" i="24"/>
  <c r="M222" i="24"/>
  <c r="M221" i="24"/>
  <c r="M220" i="24"/>
  <c r="M219" i="24"/>
  <c r="M218" i="24"/>
  <c r="M217" i="24"/>
  <c r="M216" i="24"/>
  <c r="M215" i="24"/>
  <c r="M214" i="24"/>
  <c r="M213" i="24"/>
  <c r="M212" i="24"/>
  <c r="M211" i="24"/>
  <c r="M210" i="24"/>
  <c r="M209" i="24"/>
  <c r="M208" i="24"/>
  <c r="M207" i="24"/>
  <c r="M206" i="24"/>
  <c r="M205" i="24"/>
  <c r="M204" i="24"/>
  <c r="M203" i="24"/>
  <c r="M202" i="24"/>
  <c r="M201" i="24"/>
  <c r="M200" i="24"/>
  <c r="M199" i="24"/>
  <c r="M198" i="24"/>
  <c r="M197" i="24"/>
  <c r="M196" i="24"/>
  <c r="M195" i="24"/>
  <c r="M194" i="24"/>
  <c r="M193" i="24"/>
  <c r="M192" i="24"/>
  <c r="M191" i="24"/>
  <c r="M190" i="24"/>
  <c r="M188" i="24"/>
  <c r="M187" i="24"/>
  <c r="M186" i="24"/>
  <c r="M183" i="24"/>
  <c r="M182" i="24"/>
  <c r="M181" i="24"/>
  <c r="M180" i="24"/>
  <c r="M179" i="24"/>
  <c r="M178" i="24"/>
  <c r="M177" i="24"/>
  <c r="M176" i="24"/>
  <c r="M175" i="24"/>
  <c r="M174" i="24"/>
  <c r="M173" i="24"/>
  <c r="M172" i="24"/>
  <c r="M171" i="24"/>
  <c r="M170" i="24"/>
  <c r="M169" i="24"/>
  <c r="M168" i="24"/>
  <c r="M167" i="24"/>
  <c r="M166" i="24"/>
  <c r="M165" i="24"/>
  <c r="M164" i="24"/>
  <c r="M163" i="24"/>
  <c r="M162" i="24"/>
  <c r="M161" i="24"/>
  <c r="M160" i="24"/>
  <c r="M159" i="24"/>
  <c r="M158" i="24"/>
  <c r="M157" i="24"/>
  <c r="M156" i="24"/>
  <c r="M155" i="24"/>
  <c r="M154" i="24"/>
  <c r="M153" i="24"/>
  <c r="M152" i="24"/>
  <c r="M151" i="24"/>
  <c r="M150" i="24"/>
  <c r="M149" i="24"/>
  <c r="M148" i="24"/>
  <c r="M147" i="24"/>
  <c r="M146" i="24"/>
  <c r="M145" i="24"/>
  <c r="M144" i="24"/>
  <c r="M143" i="24"/>
  <c r="M142" i="24"/>
  <c r="M141" i="24"/>
  <c r="M140" i="24"/>
  <c r="M139" i="24"/>
  <c r="M138" i="24"/>
  <c r="M137" i="24"/>
  <c r="M136" i="24"/>
  <c r="M135" i="24"/>
  <c r="M134" i="24"/>
  <c r="M133" i="24"/>
  <c r="M132" i="24"/>
  <c r="M131" i="24"/>
  <c r="M130" i="24"/>
  <c r="M234" i="24"/>
  <c r="M129" i="24"/>
  <c r="M128" i="24"/>
  <c r="M127" i="24"/>
  <c r="M126" i="24"/>
  <c r="M124" i="24"/>
  <c r="M121" i="24"/>
  <c r="M120" i="24"/>
  <c r="M119" i="24"/>
  <c r="M118" i="24"/>
  <c r="M117" i="24"/>
  <c r="M116" i="24"/>
  <c r="M115" i="24"/>
  <c r="M114" i="24"/>
  <c r="M113" i="24"/>
  <c r="M112" i="24"/>
  <c r="M111" i="24"/>
  <c r="M110" i="24"/>
  <c r="M109" i="24"/>
  <c r="M108" i="24"/>
  <c r="M107" i="24"/>
  <c r="M106" i="24"/>
  <c r="M105" i="24"/>
  <c r="M104" i="24"/>
  <c r="M103" i="24"/>
  <c r="M102" i="24"/>
  <c r="M101" i="24"/>
  <c r="M100" i="24"/>
  <c r="M99" i="24"/>
  <c r="M98" i="24"/>
  <c r="M97" i="24"/>
  <c r="M96" i="24"/>
  <c r="M95" i="24"/>
  <c r="M94" i="24"/>
  <c r="M93" i="24"/>
  <c r="M92" i="24"/>
  <c r="M91" i="24"/>
  <c r="M90" i="24"/>
  <c r="M89" i="24"/>
  <c r="M88" i="24"/>
  <c r="M87" i="24"/>
  <c r="M86" i="24"/>
  <c r="M85" i="24"/>
  <c r="M84" i="24"/>
  <c r="M83" i="24"/>
  <c r="M82" i="24"/>
  <c r="M81" i="24"/>
  <c r="M80" i="24"/>
  <c r="M79" i="24"/>
  <c r="M78" i="24"/>
  <c r="M77" i="24"/>
  <c r="M76" i="24"/>
  <c r="M75" i="24"/>
  <c r="M74" i="24"/>
  <c r="M233" i="24"/>
  <c r="M232" i="24"/>
  <c r="M231" i="24"/>
  <c r="M230" i="24"/>
  <c r="M229" i="24"/>
  <c r="M73" i="24"/>
  <c r="M72" i="24"/>
  <c r="M71" i="24"/>
  <c r="M70" i="24"/>
  <c r="M69" i="24"/>
  <c r="M68" i="24"/>
  <c r="M67" i="24"/>
  <c r="M66" i="24"/>
  <c r="M65" i="24"/>
  <c r="M64" i="24"/>
  <c r="M63" i="24"/>
  <c r="M62" i="24"/>
  <c r="M61" i="24"/>
  <c r="M60" i="24"/>
  <c r="M59" i="24"/>
  <c r="M58" i="24"/>
  <c r="M57" i="24"/>
  <c r="M56" i="24"/>
  <c r="M55" i="24"/>
  <c r="M54" i="24"/>
  <c r="M53" i="24"/>
  <c r="M52" i="24"/>
  <c r="M51" i="24"/>
  <c r="M50" i="24"/>
  <c r="M49" i="24"/>
  <c r="M48" i="24"/>
  <c r="M47" i="24"/>
  <c r="M46" i="24"/>
  <c r="M45" i="24"/>
  <c r="M44" i="24"/>
  <c r="M43" i="24"/>
  <c r="M42" i="24"/>
  <c r="M41" i="24"/>
  <c r="M40" i="24"/>
  <c r="M39" i="24"/>
  <c r="M38" i="24"/>
  <c r="M37" i="24"/>
  <c r="M36" i="24"/>
  <c r="M35" i="24"/>
  <c r="M34" i="24"/>
  <c r="M33" i="24"/>
  <c r="M32" i="24"/>
  <c r="M31" i="24"/>
  <c r="M30" i="24"/>
  <c r="M29" i="24"/>
  <c r="M28" i="24"/>
  <c r="M27" i="24"/>
  <c r="M26" i="24"/>
  <c r="M25" i="24"/>
  <c r="M24" i="24"/>
  <c r="M23" i="24"/>
  <c r="M22" i="24"/>
  <c r="M21" i="24"/>
  <c r="M20" i="24"/>
  <c r="M19" i="24"/>
  <c r="M18" i="24"/>
  <c r="M17" i="24"/>
  <c r="M16" i="24"/>
  <c r="M15" i="24"/>
  <c r="M14" i="24"/>
  <c r="M13" i="24"/>
  <c r="M12" i="24"/>
  <c r="M10" i="24"/>
  <c r="M9" i="24"/>
  <c r="M8" i="24"/>
  <c r="M7" i="24"/>
  <c r="M6" i="24"/>
  <c r="M5" i="24"/>
  <c r="M4" i="24"/>
  <c r="M3" i="24"/>
  <c r="M228" i="24"/>
  <c r="M227" i="24"/>
  <c r="M2" i="24"/>
  <c r="M189" i="24"/>
  <c r="M185" i="24"/>
  <c r="M184" i="24"/>
  <c r="M125" i="24"/>
  <c r="M11" i="24"/>
  <c r="H80" i="23"/>
  <c r="H83" i="23" s="1"/>
  <c r="G80" i="23"/>
  <c r="G83" i="23" s="1"/>
  <c r="F80" i="23"/>
  <c r="F83" i="23" s="1"/>
  <c r="H126" i="23"/>
  <c r="G126" i="23"/>
  <c r="F126" i="23"/>
  <c r="E126" i="23"/>
  <c r="J246" i="23"/>
  <c r="J245" i="23"/>
  <c r="J219" i="23"/>
  <c r="J210" i="23"/>
  <c r="J208" i="23"/>
  <c r="J206" i="23"/>
  <c r="J205" i="23"/>
  <c r="J204" i="23"/>
  <c r="J203" i="23"/>
  <c r="J201" i="23"/>
  <c r="J200" i="23"/>
  <c r="J199" i="23"/>
  <c r="G246" i="23"/>
  <c r="F246" i="23"/>
  <c r="P241" i="24" s="1"/>
  <c r="Q241" i="24" s="1"/>
  <c r="G245" i="23"/>
  <c r="F245" i="23"/>
  <c r="P240" i="24" s="1"/>
  <c r="Q240" i="24" s="1"/>
  <c r="G244" i="23"/>
  <c r="F244" i="23"/>
  <c r="P239" i="24" s="1"/>
  <c r="Q239" i="24" s="1"/>
  <c r="P238" i="24"/>
  <c r="Q238" i="24" s="1"/>
  <c r="G250" i="23"/>
  <c r="F250" i="23"/>
  <c r="P237" i="24" s="1"/>
  <c r="Q237" i="24" s="1"/>
  <c r="G242" i="23"/>
  <c r="F242" i="23"/>
  <c r="P236" i="24" s="1"/>
  <c r="Q236" i="24" s="1"/>
  <c r="G241" i="23"/>
  <c r="F241" i="23"/>
  <c r="P235" i="24" s="1"/>
  <c r="Q235" i="24" s="1"/>
  <c r="P234" i="24"/>
  <c r="Q234" i="24" s="1"/>
  <c r="G240" i="23"/>
  <c r="F240" i="23"/>
  <c r="P233" i="24" s="1"/>
  <c r="Q233" i="24" s="1"/>
  <c r="G239" i="23"/>
  <c r="F239" i="23"/>
  <c r="P232" i="24" s="1"/>
  <c r="Q232" i="24" s="1"/>
  <c r="G238" i="23"/>
  <c r="F238" i="23"/>
  <c r="P231" i="24" s="1"/>
  <c r="Q231" i="24" s="1"/>
  <c r="G248" i="23"/>
  <c r="F248" i="23"/>
  <c r="G237" i="23"/>
  <c r="F237" i="23"/>
  <c r="P229" i="24" s="1"/>
  <c r="Q229" i="24" s="1"/>
  <c r="G252" i="23"/>
  <c r="F252" i="23"/>
  <c r="P228" i="24" s="1"/>
  <c r="Q228" i="24" s="1"/>
  <c r="G236" i="23"/>
  <c r="F236" i="23"/>
  <c r="P227" i="24" s="1"/>
  <c r="Q227" i="24" s="1"/>
  <c r="G235" i="23"/>
  <c r="F235" i="23"/>
  <c r="P226" i="24" s="1"/>
  <c r="Q226" i="24" s="1"/>
  <c r="G234" i="23"/>
  <c r="F234" i="23"/>
  <c r="P225" i="24" s="1"/>
  <c r="Q225" i="24" s="1"/>
  <c r="G233" i="23"/>
  <c r="F233" i="23"/>
  <c r="P224" i="24" s="1"/>
  <c r="Q224" i="24" s="1"/>
  <c r="G232" i="23"/>
  <c r="F232" i="23"/>
  <c r="P223" i="24" s="1"/>
  <c r="Q223" i="24" s="1"/>
  <c r="G231" i="23"/>
  <c r="F231" i="23"/>
  <c r="P222" i="24" s="1"/>
  <c r="Q222" i="24" s="1"/>
  <c r="G230" i="23"/>
  <c r="F230" i="23"/>
  <c r="P221" i="24" s="1"/>
  <c r="Q221" i="24" s="1"/>
  <c r="G229" i="23"/>
  <c r="F229" i="23"/>
  <c r="P220" i="24" s="1"/>
  <c r="Q220" i="24" s="1"/>
  <c r="G228" i="23"/>
  <c r="F228" i="23"/>
  <c r="P219" i="24" s="1"/>
  <c r="Q219" i="24" s="1"/>
  <c r="G227" i="23"/>
  <c r="F227" i="23"/>
  <c r="P218" i="24" s="1"/>
  <c r="Q218" i="24" s="1"/>
  <c r="G226" i="23"/>
  <c r="F226" i="23"/>
  <c r="P217" i="24" s="1"/>
  <c r="Q217" i="24" s="1"/>
  <c r="G225" i="23"/>
  <c r="F225" i="23"/>
  <c r="P216" i="24" s="1"/>
  <c r="Q216" i="24" s="1"/>
  <c r="G224" i="23"/>
  <c r="F224" i="23"/>
  <c r="P215" i="24" s="1"/>
  <c r="Q215" i="24" s="1"/>
  <c r="G223" i="23"/>
  <c r="F223" i="23"/>
  <c r="P214" i="24" s="1"/>
  <c r="Q214" i="24" s="1"/>
  <c r="G222" i="23"/>
  <c r="F222" i="23"/>
  <c r="P213" i="24" s="1"/>
  <c r="Q213" i="24" s="1"/>
  <c r="G221" i="23"/>
  <c r="F221" i="23"/>
  <c r="P212" i="24" s="1"/>
  <c r="Q212" i="24" s="1"/>
  <c r="G220" i="23"/>
  <c r="F220" i="23"/>
  <c r="P211" i="24" s="1"/>
  <c r="Q211" i="24" s="1"/>
  <c r="G219" i="23"/>
  <c r="F219" i="23"/>
  <c r="P210" i="24" s="1"/>
  <c r="Q210" i="24" s="1"/>
  <c r="G218" i="23"/>
  <c r="F218" i="23"/>
  <c r="P209" i="24" s="1"/>
  <c r="Q209" i="24" s="1"/>
  <c r="G217" i="23"/>
  <c r="F217" i="23"/>
  <c r="P208" i="24" s="1"/>
  <c r="Q208" i="24" s="1"/>
  <c r="G216" i="23"/>
  <c r="F216" i="23"/>
  <c r="P207" i="24" s="1"/>
  <c r="Q207" i="24" s="1"/>
  <c r="G215" i="23"/>
  <c r="F215" i="23"/>
  <c r="P206" i="24" s="1"/>
  <c r="Q206" i="24" s="1"/>
  <c r="G214" i="23"/>
  <c r="F214" i="23"/>
  <c r="P205" i="24" s="1"/>
  <c r="Q205" i="24" s="1"/>
  <c r="G213" i="23"/>
  <c r="F213" i="23"/>
  <c r="P204" i="24" s="1"/>
  <c r="Q204" i="24" s="1"/>
  <c r="G212" i="23"/>
  <c r="F212" i="23"/>
  <c r="P202" i="24" s="1"/>
  <c r="Q202" i="24" s="1"/>
  <c r="G211" i="23"/>
  <c r="F211" i="23"/>
  <c r="P201" i="24" s="1"/>
  <c r="Q201" i="24" s="1"/>
  <c r="G210" i="23"/>
  <c r="F210" i="23"/>
  <c r="P200" i="24" s="1"/>
  <c r="Q200" i="24" s="1"/>
  <c r="G209" i="23"/>
  <c r="F209" i="23"/>
  <c r="P197" i="24" s="1"/>
  <c r="Q197" i="24" s="1"/>
  <c r="G208" i="23"/>
  <c r="F208" i="23"/>
  <c r="P196" i="24" s="1"/>
  <c r="Q196" i="24" s="1"/>
  <c r="G207" i="23"/>
  <c r="F207" i="23"/>
  <c r="P195" i="24" s="1"/>
  <c r="Q195" i="24" s="1"/>
  <c r="G206" i="23"/>
  <c r="F206" i="23"/>
  <c r="P194" i="24" s="1"/>
  <c r="Q194" i="24" s="1"/>
  <c r="G205" i="23"/>
  <c r="F205" i="23"/>
  <c r="P193" i="24" s="1"/>
  <c r="Q193" i="24" s="1"/>
  <c r="G204" i="23"/>
  <c r="F204" i="23"/>
  <c r="P192" i="24" s="1"/>
  <c r="Q192" i="24" s="1"/>
  <c r="G203" i="23"/>
  <c r="F203" i="23"/>
  <c r="P191" i="24" s="1"/>
  <c r="Q191" i="24" s="1"/>
  <c r="G202" i="23"/>
  <c r="F202" i="23"/>
  <c r="P190" i="24" s="1"/>
  <c r="Q190" i="24" s="1"/>
  <c r="G201" i="23"/>
  <c r="F201" i="23"/>
  <c r="P189" i="24" s="1"/>
  <c r="Q189" i="24" s="1"/>
  <c r="G200" i="23"/>
  <c r="F200" i="23"/>
  <c r="P188" i="24" s="1"/>
  <c r="Q188" i="24" s="1"/>
  <c r="G199" i="23"/>
  <c r="F199" i="23"/>
  <c r="P187" i="24" s="1"/>
  <c r="Q187" i="24" s="1"/>
  <c r="G198" i="23"/>
  <c r="F198" i="23"/>
  <c r="P186" i="24" s="1"/>
  <c r="Q186" i="24" s="1"/>
  <c r="G197" i="23"/>
  <c r="F197" i="23"/>
  <c r="P185" i="24" s="1"/>
  <c r="Q185" i="24" s="1"/>
  <c r="G195" i="23"/>
  <c r="F195" i="23"/>
  <c r="P184" i="24" s="1"/>
  <c r="Q184" i="24" s="1"/>
  <c r="G194" i="23"/>
  <c r="F194" i="23"/>
  <c r="P183" i="24" s="1"/>
  <c r="Q183" i="24" s="1"/>
  <c r="G193" i="23"/>
  <c r="F193" i="23"/>
  <c r="P182" i="24" s="1"/>
  <c r="Q182" i="24" s="1"/>
  <c r="G192" i="23"/>
  <c r="F192" i="23"/>
  <c r="P181" i="24" s="1"/>
  <c r="Q181" i="24" s="1"/>
  <c r="G191" i="23"/>
  <c r="F191" i="23"/>
  <c r="P180" i="24" s="1"/>
  <c r="Q180" i="24" s="1"/>
  <c r="G190" i="23"/>
  <c r="F190" i="23"/>
  <c r="P179" i="24" s="1"/>
  <c r="Q179" i="24" s="1"/>
  <c r="G189" i="23"/>
  <c r="F189" i="23"/>
  <c r="P178" i="24" s="1"/>
  <c r="Q178" i="24" s="1"/>
  <c r="G188" i="23"/>
  <c r="F188" i="23"/>
  <c r="P177" i="24" s="1"/>
  <c r="Q177" i="24" s="1"/>
  <c r="G187" i="23"/>
  <c r="F187" i="23"/>
  <c r="P176" i="24" s="1"/>
  <c r="Q176" i="24" s="1"/>
  <c r="G186" i="23"/>
  <c r="F186" i="23"/>
  <c r="P174" i="24" s="1"/>
  <c r="Q174" i="24" s="1"/>
  <c r="G185" i="23"/>
  <c r="F185" i="23"/>
  <c r="P173" i="24" s="1"/>
  <c r="Q173" i="24" s="1"/>
  <c r="G184" i="23"/>
  <c r="F184" i="23"/>
  <c r="P172" i="24" s="1"/>
  <c r="Q172" i="24" s="1"/>
  <c r="G183" i="23"/>
  <c r="F183" i="23"/>
  <c r="P171" i="24" s="1"/>
  <c r="Q171" i="24" s="1"/>
  <c r="G182" i="23"/>
  <c r="F182" i="23"/>
  <c r="P170" i="24" s="1"/>
  <c r="Q170" i="24" s="1"/>
  <c r="G181" i="23"/>
  <c r="F181" i="23"/>
  <c r="P169" i="24" s="1"/>
  <c r="Q169" i="24" s="1"/>
  <c r="G180" i="23"/>
  <c r="F180" i="23"/>
  <c r="P168" i="24" s="1"/>
  <c r="Q168" i="24" s="1"/>
  <c r="G179" i="23"/>
  <c r="F179" i="23"/>
  <c r="P167" i="24" s="1"/>
  <c r="Q167" i="24" s="1"/>
  <c r="G178" i="23"/>
  <c r="F178" i="23"/>
  <c r="P166" i="24" s="1"/>
  <c r="Q166" i="24" s="1"/>
  <c r="G177" i="23"/>
  <c r="F177" i="23"/>
  <c r="P165" i="24" s="1"/>
  <c r="Q165" i="24" s="1"/>
  <c r="G176" i="23"/>
  <c r="F176" i="23"/>
  <c r="P164" i="24" s="1"/>
  <c r="Q164" i="24" s="1"/>
  <c r="G175" i="23"/>
  <c r="F175" i="23"/>
  <c r="P163" i="24" s="1"/>
  <c r="Q163" i="24" s="1"/>
  <c r="G174" i="23"/>
  <c r="F174" i="23"/>
  <c r="P162" i="24" s="1"/>
  <c r="Q162" i="24" s="1"/>
  <c r="G173" i="23"/>
  <c r="F173" i="23"/>
  <c r="P161" i="24" s="1"/>
  <c r="Q161" i="24" s="1"/>
  <c r="G172" i="23"/>
  <c r="F172" i="23"/>
  <c r="P160" i="24" s="1"/>
  <c r="Q160" i="24" s="1"/>
  <c r="G171" i="23"/>
  <c r="F171" i="23"/>
  <c r="P230" i="24" l="1"/>
  <c r="Q230" i="24" s="1"/>
  <c r="F253" i="23"/>
  <c r="G247" i="23"/>
  <c r="H247" i="23"/>
  <c r="H253" i="23"/>
  <c r="P159" i="24"/>
  <c r="Q159" i="24" s="1"/>
  <c r="F247" i="23"/>
  <c r="F254" i="23" s="1"/>
  <c r="F127" i="23"/>
  <c r="H127" i="23"/>
  <c r="G127" i="23"/>
  <c r="O206" i="23"/>
  <c r="O203" i="23"/>
  <c r="O204" i="23"/>
  <c r="O205" i="23"/>
  <c r="O199" i="23"/>
  <c r="O210" i="23"/>
  <c r="O246" i="23"/>
  <c r="O200" i="23"/>
  <c r="O219" i="23"/>
  <c r="O208" i="23"/>
  <c r="O201" i="23"/>
  <c r="O245" i="23"/>
  <c r="J58" i="23"/>
  <c r="J81" i="23"/>
  <c r="I81" i="23"/>
  <c r="J79" i="23"/>
  <c r="J78" i="23"/>
  <c r="J77" i="23"/>
  <c r="J76" i="23"/>
  <c r="J75" i="23"/>
  <c r="J74" i="23"/>
  <c r="J73" i="23"/>
  <c r="J72" i="23"/>
  <c r="J71" i="23"/>
  <c r="J70" i="23"/>
  <c r="J63" i="23"/>
  <c r="J62" i="23"/>
  <c r="J61" i="23"/>
  <c r="J60" i="23"/>
  <c r="J59" i="23"/>
  <c r="J57" i="23"/>
  <c r="J56" i="23"/>
  <c r="J55" i="23"/>
  <c r="J54" i="23"/>
  <c r="J53" i="23"/>
  <c r="J52" i="23"/>
  <c r="J51" i="23"/>
  <c r="J50" i="23"/>
  <c r="J49" i="23"/>
  <c r="J48" i="23"/>
  <c r="J47" i="23"/>
  <c r="J46" i="23"/>
  <c r="J45" i="23"/>
  <c r="J44" i="23"/>
  <c r="J43" i="23"/>
  <c r="J42" i="23"/>
  <c r="J41" i="23"/>
  <c r="J40" i="23"/>
  <c r="J39" i="23"/>
  <c r="J38" i="23"/>
  <c r="J37" i="23"/>
  <c r="J36" i="23"/>
  <c r="J35" i="23"/>
  <c r="J34" i="23"/>
  <c r="J33" i="23"/>
  <c r="J32" i="23"/>
  <c r="J31" i="23"/>
  <c r="J30" i="23"/>
  <c r="J29" i="23"/>
  <c r="J28" i="23"/>
  <c r="J27" i="23"/>
  <c r="J26" i="23"/>
  <c r="J25" i="23"/>
  <c r="J24" i="23"/>
  <c r="J23" i="23"/>
  <c r="J22" i="23"/>
  <c r="J21" i="23"/>
  <c r="J20" i="23"/>
  <c r="J19" i="23"/>
  <c r="J18" i="23"/>
  <c r="J17" i="23"/>
  <c r="J16" i="23"/>
  <c r="J15" i="23"/>
  <c r="J14" i="23"/>
  <c r="J13" i="23"/>
  <c r="J12" i="23"/>
  <c r="J11" i="23"/>
  <c r="J10" i="23"/>
  <c r="J7" i="23"/>
  <c r="J6" i="23"/>
  <c r="J5" i="23"/>
  <c r="J4" i="23"/>
  <c r="J3" i="23"/>
  <c r="E80" i="23"/>
  <c r="E83" i="23" s="1"/>
  <c r="H162" i="23"/>
  <c r="H166" i="23" s="1"/>
  <c r="J130" i="23"/>
  <c r="I130" i="23"/>
  <c r="J160" i="23"/>
  <c r="J161" i="23"/>
  <c r="J159" i="23"/>
  <c r="J158" i="23"/>
  <c r="J157" i="23"/>
  <c r="J156" i="23"/>
  <c r="J155" i="23"/>
  <c r="J153" i="23"/>
  <c r="J152" i="23"/>
  <c r="J151" i="23"/>
  <c r="J149" i="23"/>
  <c r="J148" i="23"/>
  <c r="J147" i="23"/>
  <c r="J146" i="23"/>
  <c r="J145" i="23"/>
  <c r="J144" i="23"/>
  <c r="J143" i="23"/>
  <c r="J142" i="23"/>
  <c r="J141" i="23"/>
  <c r="J140" i="23"/>
  <c r="J139" i="23"/>
  <c r="J138" i="23"/>
  <c r="J137" i="23"/>
  <c r="J136" i="23"/>
  <c r="J131" i="23"/>
  <c r="F164" i="23"/>
  <c r="E162" i="23"/>
  <c r="I246" i="23"/>
  <c r="I245" i="23"/>
  <c r="I244" i="23"/>
  <c r="I243" i="23"/>
  <c r="I250" i="23"/>
  <c r="I242" i="23"/>
  <c r="I241" i="23"/>
  <c r="I240" i="23"/>
  <c r="I239" i="23"/>
  <c r="I238" i="23"/>
  <c r="I248" i="23"/>
  <c r="I237" i="23"/>
  <c r="I252" i="23"/>
  <c r="I236" i="23"/>
  <c r="I235" i="23"/>
  <c r="I234" i="23"/>
  <c r="I233" i="23"/>
  <c r="I232" i="23"/>
  <c r="I231" i="23"/>
  <c r="I230" i="23"/>
  <c r="I229" i="23"/>
  <c r="I228" i="23"/>
  <c r="I227" i="23"/>
  <c r="I226" i="23"/>
  <c r="I225" i="23"/>
  <c r="I224" i="23"/>
  <c r="I223" i="23"/>
  <c r="I222" i="23"/>
  <c r="I221" i="23"/>
  <c r="I220" i="23"/>
  <c r="I219" i="23"/>
  <c r="I218" i="23"/>
  <c r="I217" i="23"/>
  <c r="I216" i="23"/>
  <c r="I215" i="23"/>
  <c r="I214" i="23"/>
  <c r="I213" i="23"/>
  <c r="I212" i="23"/>
  <c r="I211" i="23"/>
  <c r="I210" i="23"/>
  <c r="I209" i="23"/>
  <c r="I208" i="23"/>
  <c r="I207" i="23"/>
  <c r="I206" i="23"/>
  <c r="I205" i="23"/>
  <c r="I204" i="23"/>
  <c r="I203" i="23"/>
  <c r="I202" i="23"/>
  <c r="I201" i="23"/>
  <c r="I200" i="23"/>
  <c r="I199" i="23"/>
  <c r="I198" i="23"/>
  <c r="I197" i="23"/>
  <c r="I195" i="23"/>
  <c r="I194" i="23"/>
  <c r="I193" i="23"/>
  <c r="I192" i="23"/>
  <c r="I191" i="23"/>
  <c r="I190" i="23"/>
  <c r="I189" i="23"/>
  <c r="I188" i="23"/>
  <c r="I187" i="23"/>
  <c r="I186" i="23"/>
  <c r="I185" i="23"/>
  <c r="I184" i="23"/>
  <c r="I183" i="23"/>
  <c r="I182" i="23"/>
  <c r="I181" i="23"/>
  <c r="I180" i="23"/>
  <c r="I179" i="23"/>
  <c r="I178" i="23"/>
  <c r="I177" i="23"/>
  <c r="I176" i="23"/>
  <c r="I175" i="23"/>
  <c r="I174" i="23"/>
  <c r="I173" i="23"/>
  <c r="I172" i="23"/>
  <c r="I171" i="23"/>
  <c r="I169" i="23"/>
  <c r="I168" i="23"/>
  <c r="I167" i="23"/>
  <c r="I160" i="23"/>
  <c r="I161" i="23"/>
  <c r="I163" i="23"/>
  <c r="I159" i="23"/>
  <c r="I158" i="23"/>
  <c r="I157" i="23"/>
  <c r="I156" i="23"/>
  <c r="I155" i="23"/>
  <c r="I153" i="23"/>
  <c r="I152" i="23"/>
  <c r="I151" i="23"/>
  <c r="I149" i="23"/>
  <c r="I148" i="23"/>
  <c r="I147" i="23"/>
  <c r="I146" i="23"/>
  <c r="I145" i="23"/>
  <c r="I144" i="23"/>
  <c r="I143" i="23"/>
  <c r="I142" i="23"/>
  <c r="I165" i="23"/>
  <c r="I141" i="23"/>
  <c r="I140" i="23"/>
  <c r="I139" i="23"/>
  <c r="I138" i="23"/>
  <c r="I137" i="23"/>
  <c r="I136" i="23"/>
  <c r="I131" i="23"/>
  <c r="I79" i="23"/>
  <c r="I78" i="23"/>
  <c r="I77" i="23"/>
  <c r="I76" i="23"/>
  <c r="I75" i="23"/>
  <c r="I74" i="23"/>
  <c r="I73" i="23"/>
  <c r="I72" i="23"/>
  <c r="I71" i="23"/>
  <c r="I125" i="23"/>
  <c r="I53" i="23"/>
  <c r="I124" i="23"/>
  <c r="I52" i="23"/>
  <c r="I123" i="23"/>
  <c r="I51" i="23"/>
  <c r="I122" i="23"/>
  <c r="I50" i="23"/>
  <c r="I121" i="23"/>
  <c r="I49" i="23"/>
  <c r="I120" i="23"/>
  <c r="I48" i="23"/>
  <c r="I119" i="23"/>
  <c r="I47" i="23"/>
  <c r="I118" i="23"/>
  <c r="I117" i="23"/>
  <c r="I46" i="23"/>
  <c r="I116" i="23"/>
  <c r="I45" i="23"/>
  <c r="I115" i="23"/>
  <c r="I44" i="23"/>
  <c r="I114" i="23"/>
  <c r="I113" i="23"/>
  <c r="I43" i="23"/>
  <c r="I112" i="23"/>
  <c r="I42" i="23"/>
  <c r="I111" i="23"/>
  <c r="I41" i="23"/>
  <c r="I110" i="23"/>
  <c r="I40" i="23"/>
  <c r="I70" i="23"/>
  <c r="I63" i="23"/>
  <c r="I109" i="23"/>
  <c r="I39" i="23"/>
  <c r="I108" i="23"/>
  <c r="I38" i="23"/>
  <c r="I107" i="23"/>
  <c r="I37" i="23"/>
  <c r="I36" i="23"/>
  <c r="I106" i="23"/>
  <c r="I35" i="23"/>
  <c r="I105" i="23"/>
  <c r="I34" i="23"/>
  <c r="I104" i="23"/>
  <c r="I33" i="23"/>
  <c r="I103" i="23"/>
  <c r="I32" i="23"/>
  <c r="I102" i="23"/>
  <c r="I31" i="23"/>
  <c r="I101" i="23"/>
  <c r="I30" i="23"/>
  <c r="I100" i="23"/>
  <c r="I29" i="23"/>
  <c r="I99" i="23"/>
  <c r="I28" i="23"/>
  <c r="I98" i="23"/>
  <c r="I27" i="23"/>
  <c r="I97" i="23"/>
  <c r="I26" i="23"/>
  <c r="I96" i="23"/>
  <c r="I25" i="23"/>
  <c r="I95" i="23"/>
  <c r="I94" i="23"/>
  <c r="I24" i="23"/>
  <c r="I93" i="23"/>
  <c r="I23" i="23"/>
  <c r="I92" i="23"/>
  <c r="I22" i="23"/>
  <c r="I91" i="23"/>
  <c r="I21" i="23"/>
  <c r="I20" i="23"/>
  <c r="I90" i="23"/>
  <c r="I19" i="23"/>
  <c r="I89" i="23"/>
  <c r="I18" i="23"/>
  <c r="I88" i="23"/>
  <c r="I17" i="23"/>
  <c r="I87" i="23"/>
  <c r="I16" i="23"/>
  <c r="I86" i="23"/>
  <c r="I15" i="23"/>
  <c r="I62" i="23"/>
  <c r="I85" i="23"/>
  <c r="I54" i="23"/>
  <c r="I61" i="23"/>
  <c r="I60" i="23"/>
  <c r="I59" i="23"/>
  <c r="I58" i="23"/>
  <c r="I57" i="23"/>
  <c r="I56" i="23"/>
  <c r="I55" i="23"/>
  <c r="I84" i="23"/>
  <c r="I14" i="23"/>
  <c r="I82" i="23"/>
  <c r="I13" i="23"/>
  <c r="I12" i="23"/>
  <c r="I11" i="23"/>
  <c r="I10" i="23"/>
  <c r="I7" i="23"/>
  <c r="I6" i="23"/>
  <c r="I5" i="23"/>
  <c r="I4" i="23"/>
  <c r="I3" i="23"/>
  <c r="G254" i="23" l="1"/>
  <c r="H254" i="23"/>
  <c r="I170" i="23"/>
  <c r="I253" i="23"/>
  <c r="I247" i="23"/>
  <c r="H265" i="23"/>
  <c r="I164" i="23"/>
  <c r="F154" i="23"/>
  <c r="P150" i="24" s="1"/>
  <c r="Q150" i="24" s="1"/>
  <c r="E166" i="23"/>
  <c r="I126" i="23"/>
  <c r="I80" i="23"/>
  <c r="I83" i="23" s="1"/>
  <c r="G162" i="23"/>
  <c r="G166" i="23" s="1"/>
  <c r="J129" i="23"/>
  <c r="I129" i="23"/>
  <c r="P238" i="23"/>
  <c r="Q238" i="23" s="1"/>
  <c r="P202" i="23"/>
  <c r="Q202" i="23" s="1"/>
  <c r="P207" i="23"/>
  <c r="Q207" i="23" s="1"/>
  <c r="P213" i="23"/>
  <c r="Q213" i="23" s="1"/>
  <c r="P239" i="23"/>
  <c r="Q239" i="23" s="1"/>
  <c r="J239" i="23"/>
  <c r="O239" i="23" s="1"/>
  <c r="P212" i="23"/>
  <c r="Q212" i="23" s="1"/>
  <c r="J212" i="23"/>
  <c r="O212" i="23" s="1"/>
  <c r="J252" i="23"/>
  <c r="O252" i="23" s="1"/>
  <c r="J202" i="23"/>
  <c r="O202" i="23" s="1"/>
  <c r="L259" i="23"/>
  <c r="L258" i="23"/>
  <c r="L257" i="23"/>
  <c r="L255" i="23"/>
  <c r="L254" i="23"/>
  <c r="L247" i="23"/>
  <c r="L246" i="23"/>
  <c r="L245" i="23"/>
  <c r="L244" i="23"/>
  <c r="L243" i="23"/>
  <c r="L250" i="23"/>
  <c r="L242" i="23"/>
  <c r="L241" i="23"/>
  <c r="L240" i="23"/>
  <c r="L239" i="23"/>
  <c r="L238" i="23"/>
  <c r="L248" i="23"/>
  <c r="L237" i="23"/>
  <c r="L252" i="23"/>
  <c r="L236" i="23"/>
  <c r="L235" i="23"/>
  <c r="L234" i="23"/>
  <c r="L233" i="23"/>
  <c r="L232" i="23"/>
  <c r="L231" i="23"/>
  <c r="L230" i="23"/>
  <c r="L229" i="23"/>
  <c r="L228" i="23"/>
  <c r="L227" i="23"/>
  <c r="L226" i="23"/>
  <c r="L225" i="23"/>
  <c r="L224" i="23"/>
  <c r="L223" i="23"/>
  <c r="L222" i="23"/>
  <c r="L221" i="23"/>
  <c r="L220" i="23"/>
  <c r="L219" i="23"/>
  <c r="L218" i="23"/>
  <c r="L217" i="23"/>
  <c r="L216" i="23"/>
  <c r="L215" i="23"/>
  <c r="L214" i="23"/>
  <c r="L213" i="23"/>
  <c r="L212" i="23"/>
  <c r="L211" i="23"/>
  <c r="L210" i="23"/>
  <c r="L209" i="23"/>
  <c r="L208" i="23"/>
  <c r="L207" i="23"/>
  <c r="L206" i="23"/>
  <c r="L205" i="23"/>
  <c r="L204" i="23"/>
  <c r="L203" i="23"/>
  <c r="L202" i="23"/>
  <c r="L201" i="23"/>
  <c r="L200" i="23"/>
  <c r="L199" i="23"/>
  <c r="L198" i="23"/>
  <c r="L197" i="23"/>
  <c r="L195" i="23"/>
  <c r="L194" i="23"/>
  <c r="L193" i="23"/>
  <c r="L192" i="23"/>
  <c r="L191" i="23"/>
  <c r="L190" i="23"/>
  <c r="L189" i="23"/>
  <c r="L188" i="23"/>
  <c r="L187" i="23"/>
  <c r="L186" i="23"/>
  <c r="L185" i="23"/>
  <c r="L184" i="23"/>
  <c r="L183" i="23"/>
  <c r="L182" i="23"/>
  <c r="L181" i="23"/>
  <c r="L180" i="23"/>
  <c r="L179" i="23"/>
  <c r="L178" i="23"/>
  <c r="L177" i="23"/>
  <c r="L176" i="23"/>
  <c r="L175" i="23"/>
  <c r="L174" i="23"/>
  <c r="L173" i="23"/>
  <c r="L172" i="23"/>
  <c r="L171" i="23"/>
  <c r="J243" i="23"/>
  <c r="O243" i="23" s="1"/>
  <c r="J214" i="23"/>
  <c r="O214" i="23" s="1"/>
  <c r="J250" i="23"/>
  <c r="O250" i="23" s="1"/>
  <c r="J248" i="23"/>
  <c r="O248" i="23" s="1"/>
  <c r="J237" i="23"/>
  <c r="O237" i="23" s="1"/>
  <c r="J238" i="23"/>
  <c r="O238" i="23" s="1"/>
  <c r="J217" i="23"/>
  <c r="O217" i="23" s="1"/>
  <c r="J207" i="23"/>
  <c r="O207" i="23" s="1"/>
  <c r="J213" i="23"/>
  <c r="O213" i="23" s="1"/>
  <c r="K246" i="23"/>
  <c r="K245" i="23"/>
  <c r="K244" i="23"/>
  <c r="K243" i="23"/>
  <c r="K250" i="23"/>
  <c r="K242" i="23"/>
  <c r="K241" i="23"/>
  <c r="K240" i="23"/>
  <c r="K239" i="23"/>
  <c r="K238" i="23"/>
  <c r="K248" i="23"/>
  <c r="K237" i="23"/>
  <c r="K252" i="23"/>
  <c r="K236" i="23"/>
  <c r="K235" i="23"/>
  <c r="K234" i="23"/>
  <c r="K233" i="23"/>
  <c r="K232" i="23"/>
  <c r="K231" i="23"/>
  <c r="K230" i="23"/>
  <c r="K229" i="23"/>
  <c r="K228" i="23"/>
  <c r="K227" i="23"/>
  <c r="K226" i="23"/>
  <c r="K225" i="23"/>
  <c r="K224" i="23"/>
  <c r="K223" i="23"/>
  <c r="K222" i="23"/>
  <c r="K221" i="23"/>
  <c r="K220" i="23"/>
  <c r="K219" i="23"/>
  <c r="K218" i="23"/>
  <c r="K217" i="23"/>
  <c r="K216" i="23"/>
  <c r="K215" i="23"/>
  <c r="K214" i="23"/>
  <c r="K213" i="23"/>
  <c r="K169" i="23"/>
  <c r="K212" i="23"/>
  <c r="K211" i="23"/>
  <c r="K210" i="23"/>
  <c r="K168" i="23"/>
  <c r="K167" i="23"/>
  <c r="K209" i="23"/>
  <c r="K208" i="23"/>
  <c r="K207" i="23"/>
  <c r="K206" i="23"/>
  <c r="K205" i="23"/>
  <c r="K204" i="23"/>
  <c r="K203" i="23"/>
  <c r="K202" i="23"/>
  <c r="K201" i="23"/>
  <c r="K200" i="23"/>
  <c r="K199" i="23"/>
  <c r="K198" i="23"/>
  <c r="K197" i="23"/>
  <c r="K195" i="23"/>
  <c r="K194" i="23"/>
  <c r="K193" i="23"/>
  <c r="K192" i="23"/>
  <c r="K191" i="23"/>
  <c r="K190" i="23"/>
  <c r="K189" i="23"/>
  <c r="K188" i="23"/>
  <c r="K187" i="23"/>
  <c r="K186" i="23"/>
  <c r="K185" i="23"/>
  <c r="K184" i="23"/>
  <c r="K183" i="23"/>
  <c r="K182" i="23"/>
  <c r="K181" i="23"/>
  <c r="K180" i="23"/>
  <c r="K179" i="23"/>
  <c r="K178" i="23"/>
  <c r="K177" i="23"/>
  <c r="K176" i="23"/>
  <c r="K175" i="23"/>
  <c r="K174" i="23"/>
  <c r="K173" i="23"/>
  <c r="K172" i="23"/>
  <c r="K171" i="23"/>
  <c r="P188" i="23"/>
  <c r="Q188" i="23" s="1"/>
  <c r="J188" i="23"/>
  <c r="O188" i="23" s="1"/>
  <c r="P235" i="23"/>
  <c r="Q235" i="23" s="1"/>
  <c r="J235" i="23"/>
  <c r="O235" i="23" s="1"/>
  <c r="P244" i="23"/>
  <c r="Q244" i="23" s="1"/>
  <c r="J244" i="23"/>
  <c r="O244" i="23" s="1"/>
  <c r="P233" i="23"/>
  <c r="Q233" i="23" s="1"/>
  <c r="J233" i="23"/>
  <c r="O233" i="23" s="1"/>
  <c r="P227" i="23"/>
  <c r="Q227" i="23" s="1"/>
  <c r="J227" i="23"/>
  <c r="O227" i="23" s="1"/>
  <c r="P226" i="23"/>
  <c r="Q226" i="23" s="1"/>
  <c r="J226" i="23"/>
  <c r="O226" i="23" s="1"/>
  <c r="P230" i="23"/>
  <c r="Q230" i="23" s="1"/>
  <c r="J230" i="23"/>
  <c r="O230" i="23" s="1"/>
  <c r="P231" i="23"/>
  <c r="Q231" i="23" s="1"/>
  <c r="J231" i="23"/>
  <c r="O231" i="23" s="1"/>
  <c r="P229" i="23"/>
  <c r="Q229" i="23" s="1"/>
  <c r="J229" i="23"/>
  <c r="O229" i="23" s="1"/>
  <c r="P228" i="23"/>
  <c r="Q228" i="23" s="1"/>
  <c r="J228" i="23"/>
  <c r="O228" i="23" s="1"/>
  <c r="P232" i="23"/>
  <c r="Q232" i="23" s="1"/>
  <c r="J232" i="23"/>
  <c r="O232" i="23" s="1"/>
  <c r="P223" i="23"/>
  <c r="Q223" i="23" s="1"/>
  <c r="J223" i="23"/>
  <c r="O223" i="23" s="1"/>
  <c r="P222" i="23"/>
  <c r="Q222" i="23" s="1"/>
  <c r="J222" i="23"/>
  <c r="O222" i="23" s="1"/>
  <c r="P221" i="23"/>
  <c r="Q221" i="23" s="1"/>
  <c r="J221" i="23"/>
  <c r="O221" i="23" s="1"/>
  <c r="P220" i="23"/>
  <c r="Q220" i="23" s="1"/>
  <c r="J220" i="23"/>
  <c r="O220" i="23" s="1"/>
  <c r="P218" i="23"/>
  <c r="Q218" i="23" s="1"/>
  <c r="J218" i="23"/>
  <c r="O218" i="23" s="1"/>
  <c r="P224" i="23"/>
  <c r="Q224" i="23" s="1"/>
  <c r="J224" i="23"/>
  <c r="O224" i="23" s="1"/>
  <c r="P197" i="23"/>
  <c r="Q197" i="23" s="1"/>
  <c r="J197" i="23"/>
  <c r="O197" i="23" s="1"/>
  <c r="P198" i="23"/>
  <c r="Q198" i="23" s="1"/>
  <c r="J198" i="23"/>
  <c r="O198" i="23" s="1"/>
  <c r="P190" i="23"/>
  <c r="Q190" i="23" s="1"/>
  <c r="J190" i="23"/>
  <c r="O190" i="23" s="1"/>
  <c r="P173" i="23"/>
  <c r="Q173" i="23" s="1"/>
  <c r="J173" i="23"/>
  <c r="O173" i="23" s="1"/>
  <c r="P172" i="23"/>
  <c r="Q172" i="23" s="1"/>
  <c r="J172" i="23"/>
  <c r="O172" i="23" s="1"/>
  <c r="P209" i="23"/>
  <c r="Q209" i="23" s="1"/>
  <c r="J209" i="23"/>
  <c r="O209" i="23" s="1"/>
  <c r="J184" i="23" l="1"/>
  <c r="O184" i="23" s="1"/>
  <c r="P184" i="23"/>
  <c r="Q184" i="23" s="1"/>
  <c r="I254" i="23"/>
  <c r="J154" i="23"/>
  <c r="I127" i="23"/>
  <c r="J189" i="23"/>
  <c r="O189" i="23" s="1"/>
  <c r="G265" i="23"/>
  <c r="J187" i="23"/>
  <c r="O187" i="23" s="1"/>
  <c r="J234" i="23"/>
  <c r="O234" i="23" s="1"/>
  <c r="F162" i="23"/>
  <c r="I154" i="23"/>
  <c r="I166" i="23" s="1"/>
  <c r="I265" i="23" l="1"/>
  <c r="F166" i="23"/>
  <c r="K162" i="23"/>
  <c r="F265" i="23" l="1"/>
  <c r="P225" i="23"/>
  <c r="Q225" i="23" s="1"/>
  <c r="P194" i="23"/>
  <c r="Q194" i="23" s="1"/>
  <c r="P196" i="23"/>
  <c r="Q196" i="23" s="1"/>
  <c r="P236" i="23"/>
  <c r="Q236" i="23" s="1"/>
  <c r="P242" i="23"/>
  <c r="Q242" i="23" s="1"/>
  <c r="P240" i="23"/>
  <c r="Q240" i="23" s="1"/>
  <c r="P241" i="23"/>
  <c r="Q241" i="23" s="1"/>
  <c r="P216" i="23"/>
  <c r="Q216" i="23" s="1"/>
  <c r="P215" i="23"/>
  <c r="Q215" i="23" s="1"/>
  <c r="P193" i="23"/>
  <c r="Q193" i="23" s="1"/>
  <c r="P192" i="23"/>
  <c r="Q192" i="23" s="1"/>
  <c r="P211" i="23"/>
  <c r="Q211" i="23" s="1"/>
  <c r="P171" i="23"/>
  <c r="Q171" i="23" s="1"/>
  <c r="P186" i="23"/>
  <c r="Q186" i="23" s="1"/>
  <c r="P178" i="23"/>
  <c r="Q178" i="23" s="1"/>
  <c r="P177" i="23"/>
  <c r="Q177" i="23" s="1"/>
  <c r="P176" i="23"/>
  <c r="Q176" i="23" s="1"/>
  <c r="P175" i="23"/>
  <c r="Q175" i="23" s="1"/>
  <c r="P174" i="23"/>
  <c r="Q174" i="23" s="1"/>
  <c r="P183" i="23"/>
  <c r="Q183" i="23" s="1"/>
  <c r="P182" i="23"/>
  <c r="Q182" i="23" s="1"/>
  <c r="P181" i="23"/>
  <c r="Q181" i="23" s="1"/>
  <c r="P180" i="23"/>
  <c r="Q180" i="23" s="1"/>
  <c r="P179" i="23"/>
  <c r="Q179" i="23" s="1"/>
  <c r="J225" i="23"/>
  <c r="O225" i="23" s="1"/>
  <c r="J195" i="23"/>
  <c r="O195" i="23" s="1"/>
  <c r="J236" i="23"/>
  <c r="O236" i="23" s="1"/>
  <c r="J242" i="23"/>
  <c r="O242" i="23" s="1"/>
  <c r="J241" i="23"/>
  <c r="O241" i="23" s="1"/>
  <c r="J216" i="23"/>
  <c r="O216" i="23" s="1"/>
  <c r="J215" i="23"/>
  <c r="O215" i="23" s="1"/>
  <c r="J193" i="23"/>
  <c r="O193" i="23" s="1"/>
  <c r="J192" i="23"/>
  <c r="O192" i="23" s="1"/>
  <c r="J171" i="23"/>
  <c r="O171" i="23" s="1"/>
  <c r="J186" i="23"/>
  <c r="O186" i="23" s="1"/>
  <c r="J178" i="23"/>
  <c r="O178" i="23" s="1"/>
  <c r="J177" i="23"/>
  <c r="O177" i="23" s="1"/>
  <c r="J176" i="23"/>
  <c r="O176" i="23" s="1"/>
  <c r="J175" i="23"/>
  <c r="O175" i="23" s="1"/>
  <c r="J174" i="23"/>
  <c r="O174" i="23" s="1"/>
  <c r="J183" i="23"/>
  <c r="O183" i="23" s="1"/>
  <c r="J182" i="23"/>
  <c r="O182" i="23" s="1"/>
  <c r="J181" i="23"/>
  <c r="O181" i="23" s="1"/>
  <c r="J180" i="23"/>
  <c r="O180" i="23" s="1"/>
  <c r="J179" i="23"/>
  <c r="O179" i="23" s="1"/>
  <c r="K24" i="19"/>
  <c r="P217" i="23" l="1"/>
  <c r="Q217" i="23" s="1"/>
  <c r="P185" i="23"/>
  <c r="Q185" i="23" s="1"/>
  <c r="P237" i="23"/>
  <c r="Q237" i="23" s="1"/>
  <c r="J194" i="23"/>
  <c r="O194" i="23" s="1"/>
  <c r="J240" i="23"/>
  <c r="O240" i="23" s="1"/>
  <c r="J185" i="23"/>
  <c r="O185" i="23" s="1"/>
  <c r="J191" i="23"/>
  <c r="O191" i="23" s="1"/>
  <c r="J211" i="23"/>
  <c r="O211" i="23" s="1"/>
  <c r="N87" i="19"/>
  <c r="G267" i="23" l="1"/>
  <c r="G268" i="23" s="1"/>
  <c r="P178" i="19"/>
  <c r="P177" i="19"/>
  <c r="I267" i="23" l="1"/>
  <c r="I268" i="23" s="1"/>
  <c r="H267" i="23"/>
  <c r="H268" i="23" s="1"/>
  <c r="F267" i="23"/>
  <c r="F268" i="23" s="1"/>
  <c r="O88" i="19"/>
  <c r="N81" i="19"/>
  <c r="O179" i="19"/>
  <c r="O180" i="19"/>
  <c r="O181" i="19"/>
  <c r="H257" i="23" l="1"/>
  <c r="G257" i="23"/>
  <c r="G258" i="23" s="1"/>
  <c r="F257" i="23"/>
  <c r="F258" i="23" s="1"/>
  <c r="I205" i="20"/>
  <c r="H205" i="20"/>
  <c r="I250" i="20"/>
  <c r="H250" i="20"/>
  <c r="J249" i="20"/>
  <c r="J72" i="20"/>
  <c r="J248" i="20"/>
  <c r="J71" i="20"/>
  <c r="J247" i="20"/>
  <c r="J70" i="20"/>
  <c r="J246" i="20"/>
  <c r="J69" i="20"/>
  <c r="J245" i="20"/>
  <c r="J68" i="20"/>
  <c r="J244" i="20"/>
  <c r="J67" i="20"/>
  <c r="J243" i="20"/>
  <c r="J66" i="20"/>
  <c r="J242" i="20"/>
  <c r="J241" i="20"/>
  <c r="J65" i="20"/>
  <c r="J240" i="20"/>
  <c r="J64" i="20"/>
  <c r="J239" i="20"/>
  <c r="J63" i="20"/>
  <c r="J238" i="20"/>
  <c r="J62" i="20"/>
  <c r="J237" i="20"/>
  <c r="J61" i="20"/>
  <c r="J236" i="20"/>
  <c r="J60" i="20"/>
  <c r="J235" i="20"/>
  <c r="J59" i="20"/>
  <c r="J234" i="20"/>
  <c r="J58" i="20"/>
  <c r="J233" i="20"/>
  <c r="J57" i="20"/>
  <c r="J232" i="20"/>
  <c r="J56" i="20"/>
  <c r="J231" i="20"/>
  <c r="J55" i="20"/>
  <c r="J230" i="20"/>
  <c r="J229" i="20"/>
  <c r="J54" i="20"/>
  <c r="J228" i="20"/>
  <c r="J53" i="20"/>
  <c r="J227" i="20"/>
  <c r="J52" i="20"/>
  <c r="J226" i="20"/>
  <c r="J51" i="20"/>
  <c r="J225" i="20"/>
  <c r="J50" i="20"/>
  <c r="J224" i="20"/>
  <c r="J49" i="20"/>
  <c r="J223" i="20"/>
  <c r="J48" i="20"/>
  <c r="J222" i="20"/>
  <c r="J47" i="20"/>
  <c r="J221" i="20"/>
  <c r="J46" i="20"/>
  <c r="J220" i="20"/>
  <c r="J45" i="20"/>
  <c r="J219" i="20"/>
  <c r="J44" i="20"/>
  <c r="J218" i="20"/>
  <c r="J43" i="20"/>
  <c r="J217" i="20"/>
  <c r="J216" i="20"/>
  <c r="J42" i="20"/>
  <c r="J215" i="20"/>
  <c r="J41" i="20"/>
  <c r="J214" i="20"/>
  <c r="J40" i="20"/>
  <c r="J213" i="20"/>
  <c r="J39" i="20"/>
  <c r="J212" i="20"/>
  <c r="J38" i="20"/>
  <c r="J211" i="20"/>
  <c r="J37" i="20"/>
  <c r="J210" i="20"/>
  <c r="J36" i="20"/>
  <c r="J209" i="20"/>
  <c r="J35" i="20"/>
  <c r="J208" i="20"/>
  <c r="J34" i="20"/>
  <c r="J207" i="20"/>
  <c r="J33" i="20"/>
  <c r="J206" i="20"/>
  <c r="J32" i="20"/>
  <c r="K53" i="19" s="1"/>
  <c r="J7" i="20"/>
  <c r="I74" i="20"/>
  <c r="H74" i="20"/>
  <c r="E74" i="20"/>
  <c r="G250" i="20" s="1"/>
  <c r="F250" i="20" s="1"/>
  <c r="K110" i="19"/>
  <c r="K109" i="19"/>
  <c r="K108" i="19"/>
  <c r="K107" i="19"/>
  <c r="K106" i="19"/>
  <c r="K105" i="19"/>
  <c r="K102" i="19"/>
  <c r="K97" i="19"/>
  <c r="K92" i="19"/>
  <c r="K94" i="19"/>
  <c r="G205" i="20" s="1"/>
  <c r="F205" i="20" s="1"/>
  <c r="G74" i="20" s="1"/>
  <c r="F74" i="20" s="1"/>
  <c r="N53" i="19"/>
  <c r="K142" i="19"/>
  <c r="P189" i="19"/>
  <c r="O189" i="19"/>
  <c r="O186" i="19"/>
  <c r="M153" i="19"/>
  <c r="O153" i="19" s="1"/>
  <c r="K152" i="19"/>
  <c r="K144" i="19"/>
  <c r="K134" i="19"/>
  <c r="J134" i="19"/>
  <c r="K130" i="19"/>
  <c r="J130" i="19"/>
  <c r="J111" i="19"/>
  <c r="K101" i="19"/>
  <c r="K72" i="19"/>
  <c r="J95" i="19"/>
  <c r="L130" i="20" s="1"/>
  <c r="M130" i="20" s="1"/>
  <c r="J94" i="19"/>
  <c r="K170" i="19"/>
  <c r="J170" i="19"/>
  <c r="L199" i="20" s="1"/>
  <c r="M199" i="20" s="1"/>
  <c r="K169" i="19"/>
  <c r="J169" i="19"/>
  <c r="L198" i="20" s="1"/>
  <c r="M198" i="20" s="1"/>
  <c r="K168" i="19"/>
  <c r="J168" i="19"/>
  <c r="L189" i="20" s="1"/>
  <c r="M189" i="20" s="1"/>
  <c r="K167" i="19"/>
  <c r="J167" i="19"/>
  <c r="L183" i="20" s="1"/>
  <c r="M183" i="20" s="1"/>
  <c r="K166" i="19"/>
  <c r="J166" i="19"/>
  <c r="L177" i="20" s="1"/>
  <c r="M177" i="20" s="1"/>
  <c r="K165" i="19"/>
  <c r="J165" i="19"/>
  <c r="L176" i="20" s="1"/>
  <c r="M176" i="20" s="1"/>
  <c r="K163" i="19"/>
  <c r="J163" i="19"/>
  <c r="L180" i="20" s="1"/>
  <c r="M180" i="20" s="1"/>
  <c r="K162" i="19"/>
  <c r="J162" i="19"/>
  <c r="L181" i="20" s="1"/>
  <c r="M181" i="20" s="1"/>
  <c r="K161" i="19"/>
  <c r="J161" i="19"/>
  <c r="L179" i="20" s="1"/>
  <c r="M179" i="20" s="1"/>
  <c r="K160" i="19"/>
  <c r="J160" i="19"/>
  <c r="L178" i="20" s="1"/>
  <c r="M178" i="20" s="1"/>
  <c r="K159" i="19"/>
  <c r="J159" i="19"/>
  <c r="L182" i="20" s="1"/>
  <c r="M182" i="20" s="1"/>
  <c r="K158" i="19"/>
  <c r="J158" i="19"/>
  <c r="L172" i="20" s="1"/>
  <c r="M172" i="20" s="1"/>
  <c r="K157" i="19"/>
  <c r="J157" i="19"/>
  <c r="L171" i="20" s="1"/>
  <c r="M171" i="20" s="1"/>
  <c r="K156" i="19"/>
  <c r="J156" i="19"/>
  <c r="L170" i="20" s="1"/>
  <c r="M170" i="20" s="1"/>
  <c r="K155" i="19"/>
  <c r="J155" i="19"/>
  <c r="L169" i="20" s="1"/>
  <c r="M169" i="20" s="1"/>
  <c r="K154" i="19"/>
  <c r="J154" i="19"/>
  <c r="L167" i="20" s="1"/>
  <c r="M167" i="20" s="1"/>
  <c r="K150" i="19"/>
  <c r="J150" i="19"/>
  <c r="L173" i="20" s="1"/>
  <c r="M173" i="20" s="1"/>
  <c r="K149" i="19"/>
  <c r="J149" i="19"/>
  <c r="L138" i="20" s="1"/>
  <c r="M138" i="20" s="1"/>
  <c r="K148" i="19"/>
  <c r="J148" i="19"/>
  <c r="L139" i="20" s="1"/>
  <c r="M139" i="20" s="1"/>
  <c r="K147" i="19"/>
  <c r="J147" i="19"/>
  <c r="L127" i="20" s="1"/>
  <c r="M127" i="20" s="1"/>
  <c r="K141" i="19"/>
  <c r="J141" i="19"/>
  <c r="L108" i="20" s="1"/>
  <c r="M108" i="20" s="1"/>
  <c r="K140" i="19"/>
  <c r="J140" i="19"/>
  <c r="L107" i="20" s="1"/>
  <c r="M107" i="20" s="1"/>
  <c r="K133" i="19"/>
  <c r="J133" i="19"/>
  <c r="L175" i="20" s="1"/>
  <c r="M175" i="20" s="1"/>
  <c r="K132" i="19"/>
  <c r="J132" i="19"/>
  <c r="L132" i="20" s="1"/>
  <c r="M132" i="20" s="1"/>
  <c r="K131" i="19"/>
  <c r="J131" i="19"/>
  <c r="L131" i="20" s="1"/>
  <c r="M131" i="20" s="1"/>
  <c r="K116" i="19"/>
  <c r="J116" i="19"/>
  <c r="L200" i="20" s="1"/>
  <c r="M200" i="20" s="1"/>
  <c r="K115" i="19"/>
  <c r="J115" i="19"/>
  <c r="L195" i="20" s="1"/>
  <c r="M195" i="20" s="1"/>
  <c r="K114" i="19"/>
  <c r="J114" i="19"/>
  <c r="L191" i="20" s="1"/>
  <c r="M191" i="20" s="1"/>
  <c r="K113" i="19"/>
  <c r="J113" i="19"/>
  <c r="L194" i="20" s="1"/>
  <c r="M194" i="20" s="1"/>
  <c r="K111" i="19"/>
  <c r="J110" i="19"/>
  <c r="L192" i="20" s="1"/>
  <c r="M192" i="20" s="1"/>
  <c r="J109" i="19"/>
  <c r="L190" i="20" s="1"/>
  <c r="M190" i="20" s="1"/>
  <c r="J108" i="19"/>
  <c r="L188" i="20" s="1"/>
  <c r="M188" i="20" s="1"/>
  <c r="J107" i="19"/>
  <c r="L187" i="20" s="1"/>
  <c r="M187" i="20" s="1"/>
  <c r="K98" i="19"/>
  <c r="K95" i="19"/>
  <c r="K93" i="19"/>
  <c r="L197" i="20"/>
  <c r="M197" i="20" s="1"/>
  <c r="L196" i="20"/>
  <c r="M196" i="20" s="1"/>
  <c r="L193" i="20"/>
  <c r="M193" i="20" s="1"/>
  <c r="L186" i="20"/>
  <c r="M186" i="20" s="1"/>
  <c r="L185" i="20"/>
  <c r="M185" i="20" s="1"/>
  <c r="L184" i="20"/>
  <c r="M184" i="20" s="1"/>
  <c r="L174" i="20"/>
  <c r="M174" i="20" s="1"/>
  <c r="L168" i="20"/>
  <c r="M168" i="20" s="1"/>
  <c r="L166" i="20"/>
  <c r="M166" i="20" s="1"/>
  <c r="L165" i="20"/>
  <c r="M165" i="20" s="1"/>
  <c r="L164" i="20"/>
  <c r="M164" i="20" s="1"/>
  <c r="L163" i="20"/>
  <c r="M163" i="20" s="1"/>
  <c r="L161" i="20"/>
  <c r="M161" i="20" s="1"/>
  <c r="L160" i="20"/>
  <c r="M160" i="20" s="1"/>
  <c r="L159" i="20"/>
  <c r="M159" i="20" s="1"/>
  <c r="L158" i="20"/>
  <c r="M158" i="20" s="1"/>
  <c r="L257" i="20"/>
  <c r="M257" i="20" s="1"/>
  <c r="L155" i="20"/>
  <c r="M155" i="20" s="1"/>
  <c r="L154" i="20"/>
  <c r="M154" i="20" s="1"/>
  <c r="L153" i="20"/>
  <c r="M153" i="20" s="1"/>
  <c r="L152" i="20"/>
  <c r="M152" i="20" s="1"/>
  <c r="L151" i="20"/>
  <c r="M151" i="20" s="1"/>
  <c r="L150" i="20"/>
  <c r="M150" i="20" s="1"/>
  <c r="L149" i="20"/>
  <c r="M149" i="20" s="1"/>
  <c r="L255" i="20"/>
  <c r="M255" i="20" s="1"/>
  <c r="L148" i="20"/>
  <c r="M148" i="20" s="1"/>
  <c r="L147" i="20"/>
  <c r="M147" i="20" s="1"/>
  <c r="L146" i="20"/>
  <c r="M146" i="20" s="1"/>
  <c r="L145" i="20"/>
  <c r="M145" i="20" s="1"/>
  <c r="L144" i="20"/>
  <c r="M144" i="20" s="1"/>
  <c r="L143" i="20"/>
  <c r="M143" i="20" s="1"/>
  <c r="L141" i="20"/>
  <c r="M141" i="20" s="1"/>
  <c r="L140" i="20"/>
  <c r="M140" i="20" s="1"/>
  <c r="L137" i="20"/>
  <c r="M137" i="20" s="1"/>
  <c r="L136" i="20"/>
  <c r="M136" i="20" s="1"/>
  <c r="L135" i="20"/>
  <c r="M135" i="20" s="1"/>
  <c r="L134" i="20"/>
  <c r="M134" i="20" s="1"/>
  <c r="L133" i="20"/>
  <c r="M133" i="20" s="1"/>
  <c r="L129" i="20"/>
  <c r="M129" i="20" s="1"/>
  <c r="L128" i="20"/>
  <c r="M128" i="20" s="1"/>
  <c r="L126" i="20"/>
  <c r="M126" i="20" s="1"/>
  <c r="L125" i="20"/>
  <c r="M125" i="20" s="1"/>
  <c r="L124" i="20"/>
  <c r="M124" i="20" s="1"/>
  <c r="L123" i="20"/>
  <c r="M123" i="20" s="1"/>
  <c r="L109" i="20"/>
  <c r="M109" i="20" s="1"/>
  <c r="J92" i="19"/>
  <c r="L142" i="20" s="1"/>
  <c r="M142" i="20" s="1"/>
  <c r="J200" i="20"/>
  <c r="J199" i="20"/>
  <c r="J198" i="20"/>
  <c r="J197" i="20"/>
  <c r="J196" i="20"/>
  <c r="J195" i="20"/>
  <c r="J194" i="20"/>
  <c r="J193" i="20"/>
  <c r="J192" i="20"/>
  <c r="J191" i="20"/>
  <c r="J190" i="20"/>
  <c r="J189" i="20"/>
  <c r="J188" i="20"/>
  <c r="J187" i="20"/>
  <c r="J186" i="20"/>
  <c r="J185" i="20"/>
  <c r="J184" i="20"/>
  <c r="J183" i="20"/>
  <c r="J182" i="20"/>
  <c r="J181" i="20"/>
  <c r="J180" i="20"/>
  <c r="J179" i="20"/>
  <c r="J178" i="20"/>
  <c r="J177" i="20"/>
  <c r="J176" i="20"/>
  <c r="J175" i="20"/>
  <c r="J174" i="20"/>
  <c r="J173" i="20"/>
  <c r="J172" i="20"/>
  <c r="J171" i="20"/>
  <c r="J170" i="20"/>
  <c r="J169" i="20"/>
  <c r="J168" i="20"/>
  <c r="J167" i="20"/>
  <c r="J166" i="20"/>
  <c r="J165" i="20"/>
  <c r="J164" i="20"/>
  <c r="J163" i="20"/>
  <c r="J162" i="20"/>
  <c r="J161" i="20"/>
  <c r="J160" i="20"/>
  <c r="J159" i="20"/>
  <c r="J158" i="20"/>
  <c r="J157" i="20"/>
  <c r="J156" i="20"/>
  <c r="J257" i="20"/>
  <c r="J155" i="20"/>
  <c r="J154" i="20"/>
  <c r="J153" i="20"/>
  <c r="J152" i="20"/>
  <c r="J151" i="20"/>
  <c r="J150" i="20"/>
  <c r="J149" i="20"/>
  <c r="J255" i="20"/>
  <c r="J148" i="20"/>
  <c r="J147" i="20"/>
  <c r="J146" i="20"/>
  <c r="J145" i="20"/>
  <c r="J144" i="20"/>
  <c r="J143" i="20"/>
  <c r="J142" i="20"/>
  <c r="J141" i="20"/>
  <c r="J140" i="20"/>
  <c r="J139" i="20"/>
  <c r="J138" i="20"/>
  <c r="J137" i="20"/>
  <c r="J136" i="20"/>
  <c r="J135" i="20"/>
  <c r="J134" i="20"/>
  <c r="J133" i="20"/>
  <c r="J132" i="20"/>
  <c r="J131" i="20"/>
  <c r="J130" i="20"/>
  <c r="J129" i="20"/>
  <c r="J128" i="20"/>
  <c r="J127" i="20"/>
  <c r="J126" i="20"/>
  <c r="J125" i="20"/>
  <c r="J124" i="20"/>
  <c r="J123" i="20"/>
  <c r="J122" i="20"/>
  <c r="J121" i="20"/>
  <c r="J120" i="20"/>
  <c r="J119" i="20"/>
  <c r="J118" i="20"/>
  <c r="J117" i="20"/>
  <c r="J116" i="20"/>
  <c r="J115" i="20"/>
  <c r="J114" i="20"/>
  <c r="J113" i="20"/>
  <c r="J112" i="20"/>
  <c r="J111" i="20"/>
  <c r="J110" i="20"/>
  <c r="J109" i="20"/>
  <c r="J108" i="20"/>
  <c r="J107" i="20"/>
  <c r="J106" i="20"/>
  <c r="J73" i="20"/>
  <c r="J31" i="20"/>
  <c r="J30" i="20"/>
  <c r="J29" i="20"/>
  <c r="J28" i="20"/>
  <c r="J27" i="20"/>
  <c r="J26" i="20"/>
  <c r="J25" i="20"/>
  <c r="J24" i="20"/>
  <c r="J23" i="20"/>
  <c r="J22" i="20"/>
  <c r="J21" i="20"/>
  <c r="J20" i="20"/>
  <c r="J19" i="20"/>
  <c r="J18" i="20"/>
  <c r="J17" i="20"/>
  <c r="J16" i="20"/>
  <c r="J15" i="20"/>
  <c r="J14" i="20"/>
  <c r="J13" i="20"/>
  <c r="J12" i="20"/>
  <c r="J11" i="20"/>
  <c r="J10" i="20"/>
  <c r="J9" i="20"/>
  <c r="J8" i="20"/>
  <c r="J6" i="20"/>
  <c r="J5" i="20"/>
  <c r="J4" i="20"/>
  <c r="J3" i="20"/>
  <c r="J2" i="20"/>
  <c r="I172" i="19"/>
  <c r="I202" i="20"/>
  <c r="H202" i="20"/>
  <c r="G202" i="20"/>
  <c r="F202" i="20"/>
  <c r="E202" i="20"/>
  <c r="L7" i="19"/>
  <c r="L12" i="19"/>
  <c r="L39" i="19"/>
  <c r="L43" i="19"/>
  <c r="L66" i="19"/>
  <c r="L81" i="19"/>
  <c r="L87" i="19"/>
  <c r="L96" i="19"/>
  <c r="L99" i="19"/>
  <c r="L108" i="19"/>
  <c r="L112" i="19" s="1"/>
  <c r="L164" i="19"/>
  <c r="L171" i="19" s="1"/>
  <c r="H258" i="23" l="1"/>
  <c r="Q258" i="23" s="1"/>
  <c r="Q257" i="23"/>
  <c r="I257" i="23"/>
  <c r="I258" i="23" s="1"/>
  <c r="J205" i="20"/>
  <c r="J251" i="20"/>
  <c r="J250" i="20"/>
  <c r="K44" i="19"/>
  <c r="J102" i="20"/>
  <c r="J202" i="20"/>
  <c r="L32" i="19"/>
  <c r="L67" i="19"/>
  <c r="L135" i="19"/>
  <c r="N132" i="19"/>
  <c r="N131" i="19"/>
  <c r="L196" i="19" l="1"/>
  <c r="L174" i="19"/>
  <c r="N100" i="19"/>
  <c r="P51" i="19"/>
  <c r="M51" i="19"/>
  <c r="O51" i="19" s="1"/>
  <c r="O54" i="19"/>
  <c r="O25" i="19"/>
  <c r="N152" i="19"/>
  <c r="L191" i="19" l="1"/>
  <c r="L193" i="19" s="1"/>
  <c r="N91" i="19"/>
  <c r="N135" i="19" s="1"/>
  <c r="N56" i="19"/>
  <c r="N27" i="19"/>
  <c r="N32" i="19" s="1"/>
  <c r="O17" i="19"/>
  <c r="N171" i="19"/>
  <c r="N67" i="19"/>
  <c r="N174" i="19" l="1"/>
  <c r="N191" i="19" s="1"/>
  <c r="K104" i="19"/>
  <c r="J104" i="19"/>
  <c r="L162" i="20" s="1"/>
  <c r="M162" i="20" s="1"/>
  <c r="K103" i="19"/>
  <c r="J103" i="19"/>
  <c r="L157" i="20" s="1"/>
  <c r="M157" i="20" s="1"/>
  <c r="J102" i="19"/>
  <c r="L156" i="20" s="1"/>
  <c r="M156" i="20" s="1"/>
  <c r="K91" i="19"/>
  <c r="J91" i="19"/>
  <c r="L106" i="20" s="1"/>
  <c r="M106" i="20" s="1"/>
  <c r="K89" i="19"/>
  <c r="J89" i="19"/>
  <c r="L122" i="20" s="1"/>
  <c r="M122" i="20" s="1"/>
  <c r="K86" i="19"/>
  <c r="J86" i="19"/>
  <c r="L114" i="20" s="1"/>
  <c r="M114" i="20" s="1"/>
  <c r="K85" i="19"/>
  <c r="J85" i="19"/>
  <c r="L113" i="20" s="1"/>
  <c r="M113" i="20" s="1"/>
  <c r="K84" i="19"/>
  <c r="J84" i="19"/>
  <c r="L112" i="20" s="1"/>
  <c r="M112" i="20" s="1"/>
  <c r="K83" i="19"/>
  <c r="J83" i="19"/>
  <c r="L111" i="20" s="1"/>
  <c r="M111" i="20" s="1"/>
  <c r="K82" i="19"/>
  <c r="J82" i="19"/>
  <c r="L110" i="20" s="1"/>
  <c r="M110" i="20" s="1"/>
  <c r="K80" i="19"/>
  <c r="J80" i="19"/>
  <c r="L119" i="20" s="1"/>
  <c r="M119" i="20" s="1"/>
  <c r="K79" i="19"/>
  <c r="J79" i="19"/>
  <c r="L118" i="20" s="1"/>
  <c r="M118" i="20" s="1"/>
  <c r="K78" i="19"/>
  <c r="J78" i="19"/>
  <c r="L117" i="20" s="1"/>
  <c r="M117" i="20" s="1"/>
  <c r="K77" i="19"/>
  <c r="J77" i="19"/>
  <c r="L116" i="20" s="1"/>
  <c r="M116" i="20" s="1"/>
  <c r="K76" i="19"/>
  <c r="J76" i="19"/>
  <c r="L115" i="20" s="1"/>
  <c r="M115" i="20" s="1"/>
  <c r="K75" i="19"/>
  <c r="J75" i="19"/>
  <c r="L121" i="20" s="1"/>
  <c r="M121" i="20" s="1"/>
  <c r="K74" i="19"/>
  <c r="J74" i="19"/>
  <c r="L120" i="20" s="1"/>
  <c r="M120" i="20" s="1"/>
  <c r="K65" i="19"/>
  <c r="J65" i="19"/>
  <c r="K64" i="19"/>
  <c r="J64" i="19"/>
  <c r="K62" i="19"/>
  <c r="J62" i="19"/>
  <c r="K61" i="19"/>
  <c r="J61" i="19"/>
  <c r="K60" i="19"/>
  <c r="J60" i="19"/>
  <c r="K59" i="19"/>
  <c r="J59" i="19"/>
  <c r="K57" i="19"/>
  <c r="J57" i="19"/>
  <c r="K56" i="19"/>
  <c r="J56" i="19"/>
  <c r="K48" i="19"/>
  <c r="J48" i="19"/>
  <c r="K46" i="19"/>
  <c r="J46" i="19"/>
  <c r="K45" i="19"/>
  <c r="J45" i="19"/>
  <c r="K42" i="19"/>
  <c r="J42" i="19"/>
  <c r="K41" i="19"/>
  <c r="J41" i="19"/>
  <c r="K40" i="19"/>
  <c r="J40" i="19"/>
  <c r="K38" i="19"/>
  <c r="J38" i="19"/>
  <c r="K37" i="19"/>
  <c r="J37" i="19"/>
  <c r="K17" i="19"/>
  <c r="I104" i="20"/>
  <c r="H104" i="20"/>
  <c r="G104" i="20"/>
  <c r="K29" i="19"/>
  <c r="K31" i="19"/>
  <c r="J31" i="19"/>
  <c r="K30" i="19"/>
  <c r="J30" i="19"/>
  <c r="K28" i="19"/>
  <c r="J28" i="19"/>
  <c r="K27" i="19"/>
  <c r="J27" i="19"/>
  <c r="K23" i="19"/>
  <c r="J23" i="19"/>
  <c r="K22" i="19"/>
  <c r="J22" i="19"/>
  <c r="J19" i="19"/>
  <c r="F104" i="20"/>
  <c r="E104" i="20"/>
  <c r="K18" i="19"/>
  <c r="J18" i="19"/>
  <c r="K15" i="19"/>
  <c r="K13" i="19"/>
  <c r="J13" i="19"/>
  <c r="K14" i="19"/>
  <c r="J14" i="19"/>
  <c r="K11" i="19"/>
  <c r="J11" i="19"/>
  <c r="K10" i="19"/>
  <c r="J10" i="19"/>
  <c r="K9" i="19"/>
  <c r="J9" i="19"/>
  <c r="K8" i="19"/>
  <c r="J8" i="19"/>
  <c r="M5" i="19"/>
  <c r="K5" i="19"/>
  <c r="J5" i="19"/>
  <c r="K6" i="19"/>
  <c r="K4" i="19"/>
  <c r="J6" i="19"/>
  <c r="J4" i="19"/>
  <c r="P188" i="19"/>
  <c r="P186" i="19"/>
  <c r="P185" i="19"/>
  <c r="P170" i="19"/>
  <c r="P169" i="19"/>
  <c r="P168" i="19"/>
  <c r="P167" i="19"/>
  <c r="P166" i="19"/>
  <c r="P165" i="19"/>
  <c r="P164" i="19"/>
  <c r="P163" i="19"/>
  <c r="P162" i="19"/>
  <c r="P161" i="19"/>
  <c r="P160" i="19"/>
  <c r="P159" i="19"/>
  <c r="P158" i="19"/>
  <c r="P157" i="19"/>
  <c r="P156" i="19"/>
  <c r="P155" i="19"/>
  <c r="P154" i="19"/>
  <c r="P152" i="19"/>
  <c r="P151" i="19"/>
  <c r="P150" i="19"/>
  <c r="P149" i="19"/>
  <c r="P148" i="19"/>
  <c r="P147" i="19"/>
  <c r="P146" i="19"/>
  <c r="P145" i="19"/>
  <c r="P144" i="19"/>
  <c r="P143" i="19"/>
  <c r="P142" i="19"/>
  <c r="P141" i="19"/>
  <c r="P140" i="19"/>
  <c r="P139" i="19"/>
  <c r="P138" i="19"/>
  <c r="P137" i="19"/>
  <c r="P136" i="19"/>
  <c r="P135" i="19"/>
  <c r="P134" i="19"/>
  <c r="P133" i="19"/>
  <c r="P132" i="19"/>
  <c r="P131" i="19"/>
  <c r="P130" i="19"/>
  <c r="P129" i="19"/>
  <c r="P128" i="19"/>
  <c r="P127" i="19"/>
  <c r="P126" i="19"/>
  <c r="P125" i="19"/>
  <c r="P124" i="19"/>
  <c r="P123" i="19"/>
  <c r="P122" i="19"/>
  <c r="P121" i="19"/>
  <c r="P120" i="19"/>
  <c r="P119" i="19"/>
  <c r="P118" i="19"/>
  <c r="P117" i="19"/>
  <c r="P116" i="19"/>
  <c r="P115" i="19"/>
  <c r="P114" i="19"/>
  <c r="P113" i="19"/>
  <c r="P112" i="19"/>
  <c r="P111" i="19"/>
  <c r="P110" i="19"/>
  <c r="P109" i="19"/>
  <c r="P108" i="19"/>
  <c r="P107" i="19"/>
  <c r="P106" i="19"/>
  <c r="P105" i="19"/>
  <c r="P104" i="19"/>
  <c r="P103" i="19"/>
  <c r="P102" i="19"/>
  <c r="P101" i="19"/>
  <c r="P100" i="19"/>
  <c r="P99" i="19"/>
  <c r="P98" i="19"/>
  <c r="P97" i="19"/>
  <c r="P96" i="19"/>
  <c r="P95" i="19"/>
  <c r="P94" i="19"/>
  <c r="P93" i="19"/>
  <c r="P92" i="19"/>
  <c r="P91" i="19"/>
  <c r="P90" i="19"/>
  <c r="P89" i="19"/>
  <c r="P87" i="19"/>
  <c r="P86" i="19"/>
  <c r="P85" i="19"/>
  <c r="P84" i="19"/>
  <c r="P83" i="19"/>
  <c r="P82" i="19"/>
  <c r="P81" i="19"/>
  <c r="P80" i="19"/>
  <c r="P79" i="19"/>
  <c r="P78" i="19"/>
  <c r="P77" i="19"/>
  <c r="P76" i="19"/>
  <c r="P75" i="19"/>
  <c r="P74" i="19"/>
  <c r="P73" i="19"/>
  <c r="P72" i="19"/>
  <c r="P65" i="19"/>
  <c r="P64" i="19"/>
  <c r="P63" i="19"/>
  <c r="P62" i="19"/>
  <c r="P61" i="19"/>
  <c r="P60" i="19"/>
  <c r="P59" i="19"/>
  <c r="P58" i="19"/>
  <c r="P57" i="19"/>
  <c r="P56" i="19"/>
  <c r="P55" i="19"/>
  <c r="P53" i="19"/>
  <c r="P52" i="19"/>
  <c r="P50" i="19"/>
  <c r="P49" i="19"/>
  <c r="P48" i="19"/>
  <c r="P47" i="19"/>
  <c r="P46" i="19"/>
  <c r="P45" i="19"/>
  <c r="P44" i="19"/>
  <c r="P43" i="19"/>
  <c r="P42" i="19"/>
  <c r="P41" i="19"/>
  <c r="P40" i="19"/>
  <c r="P39" i="19"/>
  <c r="P38" i="19"/>
  <c r="P37" i="19"/>
  <c r="P31" i="19"/>
  <c r="P30" i="19"/>
  <c r="P29" i="19"/>
  <c r="P28" i="19"/>
  <c r="P27" i="19"/>
  <c r="P26" i="19"/>
  <c r="P24" i="19"/>
  <c r="P23" i="19"/>
  <c r="P22" i="19"/>
  <c r="P21" i="19"/>
  <c r="P20" i="19"/>
  <c r="P19" i="19"/>
  <c r="P18" i="19"/>
  <c r="P16" i="19"/>
  <c r="P15" i="19"/>
  <c r="P14" i="19"/>
  <c r="P13" i="19"/>
  <c r="P12" i="19"/>
  <c r="P11" i="19"/>
  <c r="P10" i="19"/>
  <c r="P9" i="19"/>
  <c r="P8" i="19"/>
  <c r="P7" i="19"/>
  <c r="P6" i="19"/>
  <c r="P4" i="19"/>
  <c r="J188" i="19" l="1"/>
  <c r="I188" i="19"/>
  <c r="M188" i="19" s="1"/>
  <c r="O188" i="19" s="1"/>
  <c r="J185" i="19"/>
  <c r="I185" i="19"/>
  <c r="I191" i="19" s="1"/>
  <c r="M170" i="19"/>
  <c r="O170" i="19" s="1"/>
  <c r="M169" i="19"/>
  <c r="O169" i="19" s="1"/>
  <c r="M168" i="19"/>
  <c r="O168" i="19" s="1"/>
  <c r="M167" i="19"/>
  <c r="O167" i="19" s="1"/>
  <c r="M166" i="19"/>
  <c r="O166" i="19" s="1"/>
  <c r="M165" i="19"/>
  <c r="O165" i="19" s="1"/>
  <c r="M164" i="19"/>
  <c r="O164" i="19" s="1"/>
  <c r="K164" i="19"/>
  <c r="K171" i="19" s="1"/>
  <c r="J164" i="19"/>
  <c r="J171" i="19" s="1"/>
  <c r="M163" i="19"/>
  <c r="O163" i="19" s="1"/>
  <c r="M162" i="19"/>
  <c r="O162" i="19" s="1"/>
  <c r="M161" i="19"/>
  <c r="O161" i="19" s="1"/>
  <c r="M160" i="19"/>
  <c r="O160" i="19" s="1"/>
  <c r="M159" i="19"/>
  <c r="O159" i="19" s="1"/>
  <c r="M158" i="19"/>
  <c r="O158" i="19" s="1"/>
  <c r="M157" i="19"/>
  <c r="O157" i="19" s="1"/>
  <c r="M156" i="19"/>
  <c r="O156" i="19" s="1"/>
  <c r="M155" i="19"/>
  <c r="O155" i="19" s="1"/>
  <c r="M154" i="19"/>
  <c r="O154" i="19" s="1"/>
  <c r="M152" i="19"/>
  <c r="O152" i="19" s="1"/>
  <c r="M151" i="19"/>
  <c r="O151" i="19" s="1"/>
  <c r="M150" i="19"/>
  <c r="O150" i="19" s="1"/>
  <c r="M149" i="19"/>
  <c r="O149" i="19" s="1"/>
  <c r="M148" i="19"/>
  <c r="O148" i="19" s="1"/>
  <c r="M147" i="19"/>
  <c r="O147" i="19" s="1"/>
  <c r="M146" i="19"/>
  <c r="O146" i="19" s="1"/>
  <c r="M145" i="19"/>
  <c r="O145" i="19" s="1"/>
  <c r="M144" i="19"/>
  <c r="O144" i="19" s="1"/>
  <c r="M143" i="19"/>
  <c r="O143" i="19" s="1"/>
  <c r="M142" i="19"/>
  <c r="O142" i="19" s="1"/>
  <c r="M141" i="19"/>
  <c r="O141" i="19" s="1"/>
  <c r="M140" i="19"/>
  <c r="O140" i="19" s="1"/>
  <c r="M134" i="19"/>
  <c r="O134" i="19" s="1"/>
  <c r="M133" i="19"/>
  <c r="O133" i="19" s="1"/>
  <c r="M132" i="19"/>
  <c r="O132" i="19" s="1"/>
  <c r="M131" i="19"/>
  <c r="O131" i="19" s="1"/>
  <c r="M130" i="19"/>
  <c r="O130" i="19" s="1"/>
  <c r="M129" i="19"/>
  <c r="O129" i="19" s="1"/>
  <c r="M128" i="19"/>
  <c r="O128" i="19" s="1"/>
  <c r="M127" i="19"/>
  <c r="O127" i="19" s="1"/>
  <c r="M126" i="19"/>
  <c r="O126" i="19" s="1"/>
  <c r="M125" i="19"/>
  <c r="O125" i="19" s="1"/>
  <c r="M124" i="19"/>
  <c r="O124" i="19" s="1"/>
  <c r="M123" i="19"/>
  <c r="O123" i="19" s="1"/>
  <c r="M122" i="19"/>
  <c r="O122" i="19" s="1"/>
  <c r="M121" i="19"/>
  <c r="O121" i="19" s="1"/>
  <c r="M120" i="19"/>
  <c r="O120" i="19" s="1"/>
  <c r="M119" i="19"/>
  <c r="O119" i="19" s="1"/>
  <c r="M118" i="19"/>
  <c r="O118" i="19" s="1"/>
  <c r="M117" i="19"/>
  <c r="O117" i="19" s="1"/>
  <c r="M116" i="19"/>
  <c r="O116" i="19" s="1"/>
  <c r="M115" i="19"/>
  <c r="O115" i="19" s="1"/>
  <c r="M114" i="19"/>
  <c r="O114" i="19" s="1"/>
  <c r="M113" i="19"/>
  <c r="O113" i="19" s="1"/>
  <c r="K112" i="19"/>
  <c r="J112" i="19"/>
  <c r="I112" i="19"/>
  <c r="M111" i="19"/>
  <c r="O111" i="19" s="1"/>
  <c r="M110" i="19"/>
  <c r="O110" i="19" s="1"/>
  <c r="M109" i="19"/>
  <c r="O109" i="19" s="1"/>
  <c r="M107" i="19"/>
  <c r="O107" i="19" s="1"/>
  <c r="M106" i="19"/>
  <c r="O106" i="19" s="1"/>
  <c r="M105" i="19"/>
  <c r="O105" i="19" s="1"/>
  <c r="M104" i="19"/>
  <c r="O104" i="19" s="1"/>
  <c r="M103" i="19"/>
  <c r="O103" i="19" s="1"/>
  <c r="M102" i="19"/>
  <c r="O102" i="19" s="1"/>
  <c r="M101" i="19"/>
  <c r="O101" i="19" s="1"/>
  <c r="M100" i="19"/>
  <c r="O100" i="19" s="1"/>
  <c r="K99" i="19"/>
  <c r="J99" i="19"/>
  <c r="I99" i="19"/>
  <c r="M98" i="19"/>
  <c r="O98" i="19" s="1"/>
  <c r="M97" i="19"/>
  <c r="O97" i="19" s="1"/>
  <c r="K96" i="19"/>
  <c r="J96" i="19"/>
  <c r="I96" i="19"/>
  <c r="M95" i="19"/>
  <c r="O95" i="19" s="1"/>
  <c r="M94" i="19"/>
  <c r="O94" i="19" s="1"/>
  <c r="M93" i="19"/>
  <c r="O93" i="19" s="1"/>
  <c r="M92" i="19"/>
  <c r="O92" i="19" s="1"/>
  <c r="M91" i="19"/>
  <c r="O91" i="19" s="1"/>
  <c r="M90" i="19"/>
  <c r="O90" i="19" s="1"/>
  <c r="M89" i="19"/>
  <c r="O89" i="19" s="1"/>
  <c r="M87" i="19"/>
  <c r="O87" i="19" s="1"/>
  <c r="K87" i="19"/>
  <c r="J87" i="19"/>
  <c r="M86" i="19"/>
  <c r="O86" i="19" s="1"/>
  <c r="M85" i="19"/>
  <c r="O85" i="19" s="1"/>
  <c r="M84" i="19"/>
  <c r="O84" i="19" s="1"/>
  <c r="M83" i="19"/>
  <c r="O83" i="19" s="1"/>
  <c r="M82" i="19"/>
  <c r="O82" i="19" s="1"/>
  <c r="M136" i="19"/>
  <c r="K81" i="19"/>
  <c r="J81" i="19"/>
  <c r="M80" i="19"/>
  <c r="O80" i="19" s="1"/>
  <c r="M79" i="19"/>
  <c r="O79" i="19" s="1"/>
  <c r="M78" i="19"/>
  <c r="O78" i="19" s="1"/>
  <c r="M77" i="19"/>
  <c r="O77" i="19" s="1"/>
  <c r="M76" i="19"/>
  <c r="O76" i="19" s="1"/>
  <c r="M75" i="19"/>
  <c r="O75" i="19" s="1"/>
  <c r="M74" i="19"/>
  <c r="O74" i="19" s="1"/>
  <c r="M73" i="19"/>
  <c r="O73" i="19" s="1"/>
  <c r="M72" i="19"/>
  <c r="M66" i="19"/>
  <c r="O66" i="19" s="1"/>
  <c r="K66" i="19"/>
  <c r="J66" i="19"/>
  <c r="M65" i="19"/>
  <c r="M64" i="19"/>
  <c r="O64" i="19" s="1"/>
  <c r="M63" i="19"/>
  <c r="O63" i="19" s="1"/>
  <c r="M62" i="19"/>
  <c r="O62" i="19" s="1"/>
  <c r="M61" i="19"/>
  <c r="O61" i="19" s="1"/>
  <c r="M60" i="19"/>
  <c r="O60" i="19" s="1"/>
  <c r="M59" i="19"/>
  <c r="O59" i="19" s="1"/>
  <c r="M58" i="19"/>
  <c r="O58" i="19" s="1"/>
  <c r="M57" i="19"/>
  <c r="O57" i="19" s="1"/>
  <c r="M56" i="19"/>
  <c r="O56" i="19" s="1"/>
  <c r="M55" i="19"/>
  <c r="O55" i="19" s="1"/>
  <c r="M53" i="19"/>
  <c r="O53" i="19" s="1"/>
  <c r="M52" i="19"/>
  <c r="O52" i="19" s="1"/>
  <c r="M50" i="19"/>
  <c r="O50" i="19" s="1"/>
  <c r="M49" i="19"/>
  <c r="O49" i="19" s="1"/>
  <c r="M48" i="19"/>
  <c r="O48" i="19" s="1"/>
  <c r="M47" i="19"/>
  <c r="O47" i="19" s="1"/>
  <c r="M46" i="19"/>
  <c r="O46" i="19" s="1"/>
  <c r="M45" i="19"/>
  <c r="O45" i="19" s="1"/>
  <c r="M44" i="19"/>
  <c r="O44" i="19" s="1"/>
  <c r="K43" i="19"/>
  <c r="J43" i="19"/>
  <c r="I43" i="19"/>
  <c r="M42" i="19"/>
  <c r="O42" i="19" s="1"/>
  <c r="M41" i="19"/>
  <c r="O41" i="19" s="1"/>
  <c r="M40" i="19"/>
  <c r="O40" i="19" s="1"/>
  <c r="K39" i="19"/>
  <c r="J39" i="19"/>
  <c r="I39" i="19"/>
  <c r="M39" i="19" s="1"/>
  <c r="O39" i="19" s="1"/>
  <c r="M38" i="19"/>
  <c r="M37" i="19"/>
  <c r="M31" i="19"/>
  <c r="O31" i="19" s="1"/>
  <c r="M30" i="19"/>
  <c r="O30" i="19" s="1"/>
  <c r="M29" i="19"/>
  <c r="O29" i="19" s="1"/>
  <c r="M28" i="19"/>
  <c r="O28" i="19" s="1"/>
  <c r="M27" i="19"/>
  <c r="O27" i="19" s="1"/>
  <c r="M26" i="19"/>
  <c r="O26" i="19" s="1"/>
  <c r="M24" i="19"/>
  <c r="O24" i="19" s="1"/>
  <c r="M23" i="19"/>
  <c r="O23" i="19" s="1"/>
  <c r="M22" i="19"/>
  <c r="O22" i="19" s="1"/>
  <c r="M21" i="19"/>
  <c r="O21" i="19" s="1"/>
  <c r="M20" i="19"/>
  <c r="O20" i="19" s="1"/>
  <c r="M19" i="19"/>
  <c r="O19" i="19" s="1"/>
  <c r="M18" i="19"/>
  <c r="O18" i="19" s="1"/>
  <c r="M16" i="19"/>
  <c r="O16" i="19" s="1"/>
  <c r="M15" i="19"/>
  <c r="O15" i="19" s="1"/>
  <c r="M14" i="19"/>
  <c r="O14" i="19" s="1"/>
  <c r="M13" i="19"/>
  <c r="O13" i="19" s="1"/>
  <c r="M12" i="19"/>
  <c r="O12" i="19" s="1"/>
  <c r="K12" i="19"/>
  <c r="J12" i="19"/>
  <c r="M11" i="19"/>
  <c r="O11" i="19" s="1"/>
  <c r="M10" i="19"/>
  <c r="O10" i="19" s="1"/>
  <c r="M9" i="19"/>
  <c r="O9" i="19" s="1"/>
  <c r="M8" i="19"/>
  <c r="O8" i="19" s="1"/>
  <c r="K7" i="19"/>
  <c r="J7" i="19"/>
  <c r="M6" i="19"/>
  <c r="M4" i="19"/>
  <c r="I108" i="18"/>
  <c r="M185" i="19" l="1"/>
  <c r="O185" i="19" s="1"/>
  <c r="O72" i="19"/>
  <c r="K135" i="19"/>
  <c r="O171" i="19"/>
  <c r="J135" i="19"/>
  <c r="M43" i="19"/>
  <c r="O43" i="19" s="1"/>
  <c r="O67" i="19" s="1"/>
  <c r="M96" i="19"/>
  <c r="O96" i="19" s="1"/>
  <c r="M99" i="19"/>
  <c r="O99" i="19" s="1"/>
  <c r="J32" i="19"/>
  <c r="J67" i="19"/>
  <c r="K32" i="19"/>
  <c r="M171" i="19"/>
  <c r="M68" i="19"/>
  <c r="M81" i="19"/>
  <c r="O81" i="19" s="1"/>
  <c r="M33" i="19"/>
  <c r="M172" i="19"/>
  <c r="M7" i="19"/>
  <c r="M108" i="19"/>
  <c r="N104" i="18"/>
  <c r="M67" i="19" l="1"/>
  <c r="J174" i="19"/>
  <c r="J191" i="19" s="1"/>
  <c r="M112" i="19"/>
  <c r="M135" i="19" s="1"/>
  <c r="O108" i="19"/>
  <c r="M32" i="19"/>
  <c r="O7" i="19"/>
  <c r="O32" i="19" s="1"/>
  <c r="N108" i="18"/>
  <c r="L108" i="18"/>
  <c r="K108" i="18"/>
  <c r="J108" i="18"/>
  <c r="M174" i="19" l="1"/>
  <c r="M191" i="19" s="1"/>
  <c r="O112" i="19"/>
  <c r="O135" i="19" s="1"/>
  <c r="O45" i="18"/>
  <c r="O15" i="18"/>
  <c r="O174" i="19" l="1"/>
  <c r="O191" i="19" s="1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4" i="18"/>
  <c r="O43" i="18"/>
  <c r="O42" i="18"/>
  <c r="O40" i="18"/>
  <c r="O39" i="18"/>
  <c r="O38" i="18"/>
  <c r="O36" i="18"/>
  <c r="O35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4" i="18"/>
  <c r="O13" i="18"/>
  <c r="O12" i="18"/>
  <c r="O10" i="18"/>
  <c r="O9" i="18"/>
  <c r="O8" i="18"/>
  <c r="O7" i="18"/>
  <c r="O5" i="18"/>
  <c r="O4" i="18"/>
  <c r="O158" i="18"/>
  <c r="O157" i="18"/>
  <c r="O156" i="18"/>
  <c r="O155" i="18"/>
  <c r="O154" i="18"/>
  <c r="O130" i="18"/>
  <c r="O129" i="18"/>
  <c r="O128" i="18"/>
  <c r="O127" i="18"/>
  <c r="O126" i="18"/>
  <c r="O125" i="18"/>
  <c r="O124" i="18"/>
  <c r="O123" i="18"/>
  <c r="O122" i="18"/>
  <c r="O121" i="18"/>
  <c r="O120" i="18"/>
  <c r="O119" i="18"/>
  <c r="O118" i="18"/>
  <c r="O117" i="18"/>
  <c r="O116" i="18"/>
  <c r="O115" i="18"/>
  <c r="O114" i="18"/>
  <c r="O113" i="18"/>
  <c r="O112" i="18"/>
  <c r="O101" i="18"/>
  <c r="O100" i="18"/>
  <c r="O99" i="18"/>
  <c r="O98" i="18"/>
  <c r="O97" i="18"/>
  <c r="O96" i="18"/>
  <c r="O94" i="18"/>
  <c r="O93" i="18"/>
  <c r="O91" i="18"/>
  <c r="O90" i="18"/>
  <c r="O89" i="18"/>
  <c r="O88" i="18"/>
  <c r="O87" i="18"/>
  <c r="O86" i="18"/>
  <c r="O85" i="18"/>
  <c r="O83" i="18"/>
  <c r="O82" i="18"/>
  <c r="O81" i="18"/>
  <c r="O80" i="18"/>
  <c r="O79" i="18"/>
  <c r="O77" i="18"/>
  <c r="O76" i="18"/>
  <c r="O75" i="18"/>
  <c r="O74" i="18"/>
  <c r="O73" i="18"/>
  <c r="O72" i="18"/>
  <c r="O71" i="18"/>
  <c r="O70" i="18"/>
  <c r="O69" i="18"/>
  <c r="O165" i="18"/>
  <c r="O164" i="18"/>
  <c r="O162" i="18"/>
  <c r="O161" i="18"/>
  <c r="O160" i="18"/>
  <c r="O153" i="18"/>
  <c r="O152" i="18"/>
  <c r="O151" i="18"/>
  <c r="O150" i="18"/>
  <c r="O149" i="18"/>
  <c r="O148" i="18"/>
  <c r="O147" i="18"/>
  <c r="O146" i="18"/>
  <c r="O145" i="18"/>
  <c r="O144" i="18"/>
  <c r="O143" i="18"/>
  <c r="O142" i="18"/>
  <c r="O141" i="18"/>
  <c r="O140" i="18"/>
  <c r="O139" i="18"/>
  <c r="O138" i="18"/>
  <c r="O137" i="18"/>
  <c r="O136" i="18"/>
  <c r="O163" i="18"/>
  <c r="O107" i="18"/>
  <c r="O111" i="18"/>
  <c r="O109" i="18"/>
  <c r="O106" i="18"/>
  <c r="O110" i="18"/>
  <c r="O105" i="18"/>
  <c r="O104" i="18"/>
  <c r="O103" i="18"/>
  <c r="O102" i="18"/>
  <c r="O108" i="18" l="1"/>
  <c r="M52" i="18"/>
  <c r="M24" i="18"/>
  <c r="J177" i="18" l="1"/>
  <c r="I177" i="18"/>
  <c r="O177" i="18" s="1"/>
  <c r="J174" i="18"/>
  <c r="I174" i="18"/>
  <c r="O174" i="18" s="1"/>
  <c r="J159" i="18" l="1"/>
  <c r="J166" i="18" s="1"/>
  <c r="K159" i="18"/>
  <c r="L159" i="18"/>
  <c r="L166" i="18" s="1"/>
  <c r="N159" i="18"/>
  <c r="M178" i="18"/>
  <c r="M177" i="18"/>
  <c r="M175" i="18"/>
  <c r="M174" i="18"/>
  <c r="M165" i="18"/>
  <c r="M164" i="18"/>
  <c r="M163" i="18"/>
  <c r="M162" i="18"/>
  <c r="M161" i="18"/>
  <c r="M160" i="18"/>
  <c r="M158" i="18"/>
  <c r="M157" i="18"/>
  <c r="M156" i="18"/>
  <c r="M155" i="18"/>
  <c r="M154" i="18"/>
  <c r="M153" i="18"/>
  <c r="M152" i="18"/>
  <c r="M151" i="18"/>
  <c r="M150" i="18"/>
  <c r="M149" i="18"/>
  <c r="K148" i="18"/>
  <c r="M148" i="18" s="1"/>
  <c r="K147" i="18"/>
  <c r="M146" i="18"/>
  <c r="M145" i="18"/>
  <c r="M144" i="18"/>
  <c r="M143" i="18"/>
  <c r="M142" i="18"/>
  <c r="M141" i="18"/>
  <c r="M140" i="18"/>
  <c r="M139" i="18"/>
  <c r="M138" i="18"/>
  <c r="M137" i="18"/>
  <c r="M136" i="18"/>
  <c r="K130" i="18"/>
  <c r="M130" i="18" s="1"/>
  <c r="M129" i="18"/>
  <c r="M128" i="18"/>
  <c r="M127" i="18"/>
  <c r="M126" i="18"/>
  <c r="M112" i="18"/>
  <c r="M107" i="18"/>
  <c r="M111" i="18"/>
  <c r="M109" i="18"/>
  <c r="M106" i="18"/>
  <c r="M110" i="18"/>
  <c r="M105" i="18"/>
  <c r="M104" i="18"/>
  <c r="M103" i="18"/>
  <c r="M102" i="18"/>
  <c r="M101" i="18"/>
  <c r="M100" i="18"/>
  <c r="M99" i="18"/>
  <c r="M98" i="18"/>
  <c r="M97" i="18"/>
  <c r="M96" i="18"/>
  <c r="N95" i="18"/>
  <c r="L95" i="18"/>
  <c r="K95" i="18"/>
  <c r="J95" i="18"/>
  <c r="I95" i="18"/>
  <c r="O95" i="18" s="1"/>
  <c r="M94" i="18"/>
  <c r="M93" i="18"/>
  <c r="N92" i="18"/>
  <c r="L92" i="18"/>
  <c r="K92" i="18"/>
  <c r="J92" i="18"/>
  <c r="I92" i="18"/>
  <c r="O92" i="18" s="1"/>
  <c r="M91" i="18"/>
  <c r="M90" i="18"/>
  <c r="M89" i="18"/>
  <c r="K88" i="18"/>
  <c r="M88" i="18" s="1"/>
  <c r="M87" i="18"/>
  <c r="M85" i="18"/>
  <c r="N84" i="18"/>
  <c r="O84" i="18" s="1"/>
  <c r="L84" i="18"/>
  <c r="K84" i="18"/>
  <c r="J84" i="18"/>
  <c r="M83" i="18"/>
  <c r="M82" i="18"/>
  <c r="M81" i="18"/>
  <c r="M80" i="18"/>
  <c r="M79" i="18"/>
  <c r="N78" i="18"/>
  <c r="L78" i="18"/>
  <c r="K78" i="18"/>
  <c r="J78" i="18"/>
  <c r="M77" i="18"/>
  <c r="M76" i="18"/>
  <c r="M75" i="18"/>
  <c r="M74" i="18"/>
  <c r="M73" i="18"/>
  <c r="M72" i="18"/>
  <c r="M71" i="18"/>
  <c r="M70" i="18"/>
  <c r="M69" i="18"/>
  <c r="N63" i="18"/>
  <c r="O63" i="18" s="1"/>
  <c r="L63" i="18"/>
  <c r="K63" i="18"/>
  <c r="J63" i="18"/>
  <c r="M62" i="18"/>
  <c r="M61" i="18"/>
  <c r="M60" i="18"/>
  <c r="M59" i="18"/>
  <c r="M58" i="18"/>
  <c r="M57" i="18"/>
  <c r="M56" i="18"/>
  <c r="M55" i="18"/>
  <c r="M54" i="18"/>
  <c r="M53" i="18"/>
  <c r="M51" i="18"/>
  <c r="M50" i="18"/>
  <c r="M49" i="18"/>
  <c r="M48" i="18"/>
  <c r="K47" i="18"/>
  <c r="M47" i="18" s="1"/>
  <c r="M46" i="18"/>
  <c r="M44" i="18"/>
  <c r="M43" i="18"/>
  <c r="M42" i="18"/>
  <c r="N41" i="18"/>
  <c r="L41" i="18"/>
  <c r="K41" i="18"/>
  <c r="J41" i="18"/>
  <c r="I41" i="18"/>
  <c r="O41" i="18" s="1"/>
  <c r="M40" i="18"/>
  <c r="M39" i="18"/>
  <c r="M38" i="18"/>
  <c r="N37" i="18"/>
  <c r="L37" i="18"/>
  <c r="K37" i="18"/>
  <c r="J37" i="18"/>
  <c r="I37" i="18"/>
  <c r="O37" i="18" s="1"/>
  <c r="M36" i="18"/>
  <c r="M35" i="18"/>
  <c r="M29" i="18"/>
  <c r="M28" i="18"/>
  <c r="M27" i="18"/>
  <c r="M26" i="18"/>
  <c r="M23" i="18"/>
  <c r="M22" i="18"/>
  <c r="L21" i="18"/>
  <c r="M20" i="18"/>
  <c r="M19" i="18"/>
  <c r="M18" i="18"/>
  <c r="K17" i="18"/>
  <c r="M17" i="18" s="1"/>
  <c r="M16" i="18"/>
  <c r="M14" i="18"/>
  <c r="M13" i="18"/>
  <c r="M12" i="18"/>
  <c r="M25" i="18"/>
  <c r="N11" i="18"/>
  <c r="O11" i="18" s="1"/>
  <c r="L11" i="18"/>
  <c r="K11" i="18"/>
  <c r="J11" i="18"/>
  <c r="M10" i="18"/>
  <c r="M9" i="18"/>
  <c r="M8" i="18"/>
  <c r="M7" i="18"/>
  <c r="N6" i="18"/>
  <c r="O6" i="18" s="1"/>
  <c r="O30" i="18" s="1"/>
  <c r="L6" i="18"/>
  <c r="K6" i="18"/>
  <c r="J6" i="18"/>
  <c r="M5" i="18"/>
  <c r="M4" i="18"/>
  <c r="J131" i="18" l="1"/>
  <c r="L131" i="18"/>
  <c r="K131" i="18"/>
  <c r="N131" i="18"/>
  <c r="M108" i="18"/>
  <c r="O78" i="18"/>
  <c r="O131" i="18" s="1"/>
  <c r="O64" i="18"/>
  <c r="N166" i="18"/>
  <c r="O167" i="18" s="1"/>
  <c r="O159" i="18"/>
  <c r="O166" i="18" s="1"/>
  <c r="J64" i="18"/>
  <c r="L64" i="18"/>
  <c r="M92" i="18"/>
  <c r="M159" i="18"/>
  <c r="K166" i="18"/>
  <c r="K64" i="18"/>
  <c r="N64" i="18"/>
  <c r="O65" i="18" s="1"/>
  <c r="M21" i="18"/>
  <c r="M37" i="18"/>
  <c r="M84" i="18"/>
  <c r="M95" i="18"/>
  <c r="M63" i="18"/>
  <c r="M41" i="18"/>
  <c r="M78" i="18"/>
  <c r="M6" i="18"/>
  <c r="M11" i="18"/>
  <c r="M147" i="18"/>
  <c r="Y142" i="14"/>
  <c r="R142" i="14"/>
  <c r="M131" i="18" l="1"/>
  <c r="M64" i="18"/>
  <c r="M166" i="18"/>
  <c r="T93" i="14"/>
  <c r="K192" i="14" l="1"/>
  <c r="R163" i="14"/>
  <c r="N163" i="14"/>
  <c r="K193" i="14"/>
  <c r="K169" i="14"/>
  <c r="K160" i="14"/>
  <c r="K114" i="14"/>
  <c r="K79" i="14"/>
  <c r="K24" i="14"/>
  <c r="L160" i="14"/>
  <c r="Y160" i="14" s="1"/>
  <c r="L48" i="14"/>
  <c r="L24" i="14"/>
  <c r="L17" i="14"/>
  <c r="L92" i="14"/>
  <c r="Y92" i="14" s="1"/>
  <c r="L63" i="14"/>
  <c r="L50" i="14"/>
  <c r="Y50" i="14" s="1"/>
  <c r="Y227" i="14"/>
  <c r="Y223" i="14"/>
  <c r="Y220" i="14"/>
  <c r="Y219" i="14"/>
  <c r="Y218" i="14"/>
  <c r="Y217" i="14"/>
  <c r="Y216" i="14"/>
  <c r="Y215" i="14"/>
  <c r="Y214" i="14"/>
  <c r="Y213" i="14"/>
  <c r="Y212" i="14"/>
  <c r="Y211" i="14"/>
  <c r="Y210" i="14"/>
  <c r="Y209" i="14"/>
  <c r="Y208" i="14"/>
  <c r="Y207" i="14"/>
  <c r="Y206" i="14"/>
  <c r="Y205" i="14"/>
  <c r="Y204" i="14"/>
  <c r="Y203" i="14"/>
  <c r="Y202" i="14"/>
  <c r="Y201" i="14"/>
  <c r="Y200" i="14"/>
  <c r="Y199" i="14"/>
  <c r="Y198" i="14"/>
  <c r="Y197" i="14"/>
  <c r="Y196" i="14"/>
  <c r="Y195" i="14"/>
  <c r="Y194" i="14"/>
  <c r="Y193" i="14"/>
  <c r="Y192" i="14"/>
  <c r="Y191" i="14"/>
  <c r="Y190" i="14"/>
  <c r="Y188" i="14"/>
  <c r="Y187" i="14"/>
  <c r="Y186" i="14"/>
  <c r="Y185" i="14"/>
  <c r="Y184" i="14"/>
  <c r="Y183" i="14"/>
  <c r="Y182" i="14"/>
  <c r="Y181" i="14"/>
  <c r="Y180" i="14"/>
  <c r="Y179" i="14"/>
  <c r="Y178" i="14"/>
  <c r="Y177" i="14"/>
  <c r="Y176" i="14"/>
  <c r="Y175" i="14"/>
  <c r="Y174" i="14"/>
  <c r="Y173" i="14"/>
  <c r="Y172" i="14"/>
  <c r="Y171" i="14"/>
  <c r="Y170" i="14"/>
  <c r="Y169" i="14"/>
  <c r="Y167" i="14"/>
  <c r="Y166" i="14"/>
  <c r="Y164" i="14"/>
  <c r="Y162" i="14"/>
  <c r="Y161" i="14"/>
  <c r="Y159" i="14"/>
  <c r="Y158" i="14"/>
  <c r="Y157" i="14"/>
  <c r="Y156" i="14"/>
  <c r="Y155" i="14"/>
  <c r="Y154" i="14"/>
  <c r="Y153" i="14"/>
  <c r="Y151" i="14"/>
  <c r="Y150" i="14"/>
  <c r="Y149" i="14"/>
  <c r="Y148" i="14"/>
  <c r="Y147" i="14"/>
  <c r="Y146" i="14"/>
  <c r="Y145" i="14"/>
  <c r="Y143" i="14"/>
  <c r="Y141" i="14"/>
  <c r="Y140" i="14"/>
  <c r="Y139" i="14"/>
  <c r="Y138" i="14"/>
  <c r="Y137" i="14"/>
  <c r="Y136" i="14"/>
  <c r="Y135" i="14"/>
  <c r="Y134" i="14"/>
  <c r="Y133" i="14"/>
  <c r="Y132" i="14"/>
  <c r="Y131" i="14"/>
  <c r="Y130" i="14"/>
  <c r="Y129" i="14"/>
  <c r="Y128" i="14"/>
  <c r="Y127" i="14"/>
  <c r="Y126" i="14"/>
  <c r="Y125" i="14"/>
  <c r="Y124" i="14"/>
  <c r="Y123" i="14"/>
  <c r="Y122" i="14"/>
  <c r="Y121" i="14"/>
  <c r="Y120" i="14"/>
  <c r="Y119" i="14"/>
  <c r="Y118" i="14"/>
  <c r="Y117" i="14"/>
  <c r="Y116" i="14"/>
  <c r="Y115" i="14"/>
  <c r="Y114" i="14"/>
  <c r="Y113" i="14"/>
  <c r="Y111" i="14"/>
  <c r="Y110" i="14"/>
  <c r="Y109" i="14"/>
  <c r="Y108" i="14"/>
  <c r="Y107" i="14"/>
  <c r="Y106" i="14"/>
  <c r="Y105" i="14"/>
  <c r="Y103" i="14"/>
  <c r="Y102" i="14"/>
  <c r="Y100" i="14"/>
  <c r="Y99" i="14"/>
  <c r="Y98" i="14"/>
  <c r="Y97" i="14"/>
  <c r="Y96" i="14"/>
  <c r="Y95" i="14"/>
  <c r="Y94" i="14"/>
  <c r="Y93" i="14"/>
  <c r="Y90" i="14"/>
  <c r="Y89" i="14"/>
  <c r="Y88" i="14"/>
  <c r="Y87" i="14"/>
  <c r="Y86" i="14"/>
  <c r="Y84" i="14"/>
  <c r="Y83" i="14"/>
  <c r="Y82" i="14"/>
  <c r="Y81" i="14"/>
  <c r="Y80" i="14"/>
  <c r="Y79" i="14"/>
  <c r="Y78" i="14"/>
  <c r="Y77" i="14"/>
  <c r="Y76" i="14"/>
  <c r="Y75" i="14"/>
  <c r="Y74" i="14"/>
  <c r="Y73" i="14"/>
  <c r="Y72" i="14"/>
  <c r="Y71" i="14"/>
  <c r="Y70" i="14"/>
  <c r="Y69" i="14"/>
  <c r="Y66" i="14"/>
  <c r="Y65" i="14"/>
  <c r="Y64" i="14"/>
  <c r="Y63" i="14"/>
  <c r="Y62" i="14"/>
  <c r="Y61" i="14"/>
  <c r="Y60" i="14"/>
  <c r="Y59" i="14"/>
  <c r="Y58" i="14"/>
  <c r="Y57" i="14"/>
  <c r="Y56" i="14"/>
  <c r="Y54" i="14"/>
  <c r="Y53" i="14"/>
  <c r="Y52" i="14"/>
  <c r="Y51" i="14"/>
  <c r="Y49" i="14"/>
  <c r="Y48" i="14"/>
  <c r="Y47" i="14"/>
  <c r="Y46" i="14"/>
  <c r="Y45" i="14"/>
  <c r="Y43" i="14"/>
  <c r="Y42" i="14"/>
  <c r="Y41" i="14"/>
  <c r="Y39" i="14"/>
  <c r="Y38" i="14"/>
  <c r="Y37" i="14"/>
  <c r="Y36" i="14"/>
  <c r="Y35" i="14"/>
  <c r="Y34" i="14"/>
  <c r="Y32" i="14"/>
  <c r="Y31" i="14"/>
  <c r="Y30" i="14"/>
  <c r="Y29" i="14"/>
  <c r="Y28" i="14"/>
  <c r="Y27" i="14"/>
  <c r="Y25" i="14"/>
  <c r="Y24" i="14"/>
  <c r="Y21" i="14"/>
  <c r="Y20" i="14"/>
  <c r="Y19" i="14"/>
  <c r="Y18" i="14"/>
  <c r="Y17" i="14"/>
  <c r="Y16" i="14"/>
  <c r="Y15" i="14"/>
  <c r="Y14" i="14"/>
  <c r="Y13" i="14"/>
  <c r="Y12" i="14"/>
  <c r="Y10" i="14"/>
  <c r="Y9" i="14"/>
  <c r="Y8" i="14"/>
  <c r="Y7" i="14"/>
  <c r="Y5" i="14"/>
  <c r="V221" i="14" l="1"/>
  <c r="L112" i="14" l="1"/>
  <c r="Y112" i="14" s="1"/>
  <c r="L152" i="14"/>
  <c r="Y152" i="14" s="1"/>
  <c r="O33" i="14"/>
  <c r="M26" i="14"/>
  <c r="N25" i="14"/>
  <c r="K26" i="14"/>
  <c r="J26" i="14"/>
  <c r="Q26" i="14"/>
  <c r="P26" i="14"/>
  <c r="P33" i="14" s="1"/>
  <c r="L23" i="14"/>
  <c r="Y23" i="14" s="1"/>
  <c r="R24" i="14"/>
  <c r="N24" i="14"/>
  <c r="L26" i="14" l="1"/>
  <c r="Y26" i="14" s="1"/>
  <c r="T234" i="14" l="1"/>
  <c r="T233" i="14"/>
  <c r="T231" i="14"/>
  <c r="T221" i="14"/>
  <c r="R186" i="14" l="1"/>
  <c r="Q189" i="14" l="1"/>
  <c r="O221" i="14" l="1"/>
  <c r="Q168" i="14"/>
  <c r="Q165" i="14"/>
  <c r="Q122" i="14"/>
  <c r="Q120" i="14"/>
  <c r="Q117" i="14"/>
  <c r="Q105" i="14"/>
  <c r="Q104" i="14"/>
  <c r="Q101" i="14"/>
  <c r="R218" i="14"/>
  <c r="R217" i="14"/>
  <c r="R216" i="14"/>
  <c r="R215" i="14"/>
  <c r="R214" i="14"/>
  <c r="R213" i="14"/>
  <c r="R212" i="14"/>
  <c r="R211" i="14"/>
  <c r="R210" i="14"/>
  <c r="R209" i="14"/>
  <c r="R208" i="14"/>
  <c r="R207" i="14"/>
  <c r="R206" i="14"/>
  <c r="R205" i="14"/>
  <c r="R204" i="14"/>
  <c r="K204" i="14"/>
  <c r="N218" i="14" s="1"/>
  <c r="R203" i="14"/>
  <c r="N203" i="14"/>
  <c r="R202" i="14"/>
  <c r="N202" i="14"/>
  <c r="R201" i="14"/>
  <c r="N201" i="14"/>
  <c r="R200" i="14"/>
  <c r="N200" i="14"/>
  <c r="R199" i="14"/>
  <c r="N199" i="14"/>
  <c r="R198" i="14"/>
  <c r="N198" i="14"/>
  <c r="R197" i="14"/>
  <c r="N197" i="14"/>
  <c r="R196" i="14"/>
  <c r="N196" i="14"/>
  <c r="R195" i="14"/>
  <c r="N195" i="14"/>
  <c r="R193" i="14"/>
  <c r="N193" i="14"/>
  <c r="R174" i="14"/>
  <c r="N174" i="14"/>
  <c r="R173" i="14"/>
  <c r="N173" i="14"/>
  <c r="R172" i="14"/>
  <c r="N172" i="14"/>
  <c r="R171" i="14"/>
  <c r="N171" i="14"/>
  <c r="R170" i="14"/>
  <c r="N170" i="14"/>
  <c r="R169" i="14"/>
  <c r="P168" i="14"/>
  <c r="P221" i="14" s="1"/>
  <c r="M168" i="14"/>
  <c r="L168" i="14"/>
  <c r="Y168" i="14" s="1"/>
  <c r="K168" i="14"/>
  <c r="J168" i="14"/>
  <c r="R167" i="14"/>
  <c r="N167" i="14"/>
  <c r="R166" i="14"/>
  <c r="N166" i="14"/>
  <c r="R165" i="14"/>
  <c r="M165" i="14"/>
  <c r="L165" i="14"/>
  <c r="Y165" i="14" s="1"/>
  <c r="K165" i="14"/>
  <c r="J165" i="14"/>
  <c r="R164" i="14"/>
  <c r="N164" i="14"/>
  <c r="R162" i="14"/>
  <c r="N162" i="14"/>
  <c r="R161" i="14"/>
  <c r="N161" i="14"/>
  <c r="R160" i="14"/>
  <c r="N160" i="14"/>
  <c r="R159" i="14"/>
  <c r="N159" i="14"/>
  <c r="R66" i="14"/>
  <c r="N66" i="14"/>
  <c r="R65" i="14"/>
  <c r="N65" i="14"/>
  <c r="R64" i="14"/>
  <c r="N64" i="14"/>
  <c r="R63" i="14"/>
  <c r="N63" i="14"/>
  <c r="Q56" i="14"/>
  <c r="R28" i="14"/>
  <c r="Q27" i="14"/>
  <c r="N165" i="14" l="1"/>
  <c r="Q221" i="14"/>
  <c r="Q33" i="14"/>
  <c r="N168" i="14"/>
  <c r="Q223" i="14"/>
  <c r="R168" i="14"/>
  <c r="R95" i="14"/>
  <c r="N95" i="14"/>
  <c r="R115" i="14"/>
  <c r="N115" i="14"/>
  <c r="R114" i="14"/>
  <c r="R112" i="14"/>
  <c r="N112" i="14"/>
  <c r="R111" i="14"/>
  <c r="R76" i="14"/>
  <c r="N76" i="14"/>
  <c r="R75" i="14"/>
  <c r="P236" i="14"/>
  <c r="O236" i="14"/>
  <c r="R234" i="14"/>
  <c r="N234" i="14"/>
  <c r="R233" i="14"/>
  <c r="N233" i="14"/>
  <c r="R231" i="14"/>
  <c r="N231" i="14"/>
  <c r="N230" i="14"/>
  <c r="Q230" i="14" s="1"/>
  <c r="R220" i="14"/>
  <c r="N220" i="14"/>
  <c r="R219" i="14"/>
  <c r="N219" i="14"/>
  <c r="R194" i="14"/>
  <c r="N194" i="14"/>
  <c r="R192" i="14"/>
  <c r="N192" i="14"/>
  <c r="R191" i="14"/>
  <c r="N191" i="14"/>
  <c r="R190" i="14"/>
  <c r="N190" i="14"/>
  <c r="R189" i="14"/>
  <c r="M189" i="14"/>
  <c r="M221" i="14" s="1"/>
  <c r="L189" i="14"/>
  <c r="Y189" i="14" s="1"/>
  <c r="K189" i="14"/>
  <c r="J189" i="14"/>
  <c r="R188" i="14"/>
  <c r="N188" i="14"/>
  <c r="N189" i="14" s="1"/>
  <c r="R187" i="14"/>
  <c r="R185" i="14"/>
  <c r="R184" i="14"/>
  <c r="R183" i="14"/>
  <c r="N183" i="14"/>
  <c r="R182" i="14"/>
  <c r="N182" i="14"/>
  <c r="R181" i="14"/>
  <c r="N181" i="14"/>
  <c r="R180" i="14"/>
  <c r="N180" i="14"/>
  <c r="R179" i="14"/>
  <c r="N179" i="14"/>
  <c r="R178" i="14"/>
  <c r="R177" i="14"/>
  <c r="K177" i="14"/>
  <c r="R176" i="14"/>
  <c r="N176" i="14"/>
  <c r="R175" i="14"/>
  <c r="N175" i="14"/>
  <c r="R158" i="14"/>
  <c r="N158" i="14"/>
  <c r="R157" i="14"/>
  <c r="N157" i="14"/>
  <c r="R156" i="14"/>
  <c r="N156" i="14"/>
  <c r="R155" i="14"/>
  <c r="N155" i="14"/>
  <c r="R154" i="14"/>
  <c r="N154" i="14"/>
  <c r="R153" i="14"/>
  <c r="N153" i="14"/>
  <c r="R152" i="14"/>
  <c r="R151" i="14"/>
  <c r="N151" i="14"/>
  <c r="R150" i="14"/>
  <c r="R149" i="14"/>
  <c r="N149" i="14"/>
  <c r="O144" i="14"/>
  <c r="R143" i="14"/>
  <c r="R141" i="14"/>
  <c r="R140" i="14"/>
  <c r="R139" i="14"/>
  <c r="R138" i="14"/>
  <c r="R137" i="14"/>
  <c r="R136" i="14"/>
  <c r="R135" i="14"/>
  <c r="R134" i="14"/>
  <c r="R133" i="14"/>
  <c r="R132" i="14"/>
  <c r="R131" i="14"/>
  <c r="R130" i="14"/>
  <c r="R129" i="14"/>
  <c r="R128" i="14"/>
  <c r="R127" i="14"/>
  <c r="R126" i="14"/>
  <c r="R125" i="14"/>
  <c r="R124" i="14"/>
  <c r="N124" i="14"/>
  <c r="R123" i="14"/>
  <c r="R122" i="14"/>
  <c r="N122" i="14"/>
  <c r="R121" i="14"/>
  <c r="R120" i="14"/>
  <c r="N120" i="14"/>
  <c r="R119" i="14"/>
  <c r="R118" i="14"/>
  <c r="N118" i="14"/>
  <c r="R117" i="14"/>
  <c r="R116" i="14"/>
  <c r="N116" i="14"/>
  <c r="R113" i="14"/>
  <c r="N113" i="14"/>
  <c r="R110" i="14"/>
  <c r="R109" i="14"/>
  <c r="R108" i="14"/>
  <c r="R107" i="14"/>
  <c r="R106" i="14"/>
  <c r="R105" i="14"/>
  <c r="P104" i="14"/>
  <c r="P144" i="14" s="1"/>
  <c r="M104" i="14"/>
  <c r="L104" i="14"/>
  <c r="Y104" i="14" s="1"/>
  <c r="K104" i="14"/>
  <c r="J104" i="14"/>
  <c r="R103" i="14"/>
  <c r="R102" i="14"/>
  <c r="N104" i="14"/>
  <c r="R101" i="14"/>
  <c r="M101" i="14"/>
  <c r="L101" i="14"/>
  <c r="Y101" i="14" s="1"/>
  <c r="K101" i="14"/>
  <c r="J101" i="14"/>
  <c r="R100" i="14"/>
  <c r="N100" i="14"/>
  <c r="N101" i="14" s="1"/>
  <c r="R99" i="14"/>
  <c r="R98" i="14"/>
  <c r="R97" i="14"/>
  <c r="N97" i="14"/>
  <c r="R96" i="14"/>
  <c r="N96" i="14"/>
  <c r="R94" i="14"/>
  <c r="N94" i="14"/>
  <c r="R93" i="14"/>
  <c r="N93" i="14"/>
  <c r="R92" i="14"/>
  <c r="N92" i="14"/>
  <c r="M91" i="14"/>
  <c r="L91" i="14"/>
  <c r="Y91" i="14" s="1"/>
  <c r="K91" i="14"/>
  <c r="J91" i="14"/>
  <c r="Q90" i="14"/>
  <c r="R90" i="14" s="1"/>
  <c r="N90" i="14"/>
  <c r="R89" i="14"/>
  <c r="N89" i="14"/>
  <c r="R88" i="14"/>
  <c r="N88" i="14"/>
  <c r="R87" i="14"/>
  <c r="N87" i="14"/>
  <c r="Q91" i="14"/>
  <c r="N86" i="14"/>
  <c r="M85" i="14"/>
  <c r="L85" i="14"/>
  <c r="K85" i="14"/>
  <c r="J85" i="14"/>
  <c r="R84" i="14"/>
  <c r="N84" i="14"/>
  <c r="R83" i="14"/>
  <c r="N83" i="14"/>
  <c r="R82" i="14"/>
  <c r="N82" i="14"/>
  <c r="R81" i="14"/>
  <c r="N81" i="14"/>
  <c r="R80" i="14"/>
  <c r="N80" i="14"/>
  <c r="R79" i="14"/>
  <c r="N79" i="14"/>
  <c r="R78" i="14"/>
  <c r="R77" i="14"/>
  <c r="N77" i="14"/>
  <c r="R74" i="14"/>
  <c r="N74" i="14"/>
  <c r="R73" i="14"/>
  <c r="Q68" i="14"/>
  <c r="R67" i="14"/>
  <c r="O67" i="14"/>
  <c r="M67" i="14"/>
  <c r="L67" i="14"/>
  <c r="Y67" i="14" s="1"/>
  <c r="K67" i="14"/>
  <c r="R62" i="14"/>
  <c r="N62" i="14"/>
  <c r="R61" i="14"/>
  <c r="N61" i="14"/>
  <c r="R60" i="14"/>
  <c r="R59" i="14"/>
  <c r="N59" i="14"/>
  <c r="R58" i="14"/>
  <c r="R57" i="14"/>
  <c r="N57" i="14"/>
  <c r="R56" i="14"/>
  <c r="P55" i="14"/>
  <c r="P68" i="14" s="1"/>
  <c r="O55" i="14"/>
  <c r="M55" i="14"/>
  <c r="L55" i="14"/>
  <c r="Y55" i="14" s="1"/>
  <c r="K55" i="14"/>
  <c r="J55" i="14"/>
  <c r="R54" i="14"/>
  <c r="N54" i="14"/>
  <c r="R53" i="14"/>
  <c r="N53" i="14"/>
  <c r="R52" i="14"/>
  <c r="N52" i="14"/>
  <c r="R51" i="14"/>
  <c r="N51" i="14"/>
  <c r="R50" i="14"/>
  <c r="N50" i="14"/>
  <c r="R49" i="14"/>
  <c r="N49" i="14"/>
  <c r="R48" i="14"/>
  <c r="N48" i="14"/>
  <c r="R47" i="14"/>
  <c r="N47" i="14"/>
  <c r="R46" i="14"/>
  <c r="N46" i="14"/>
  <c r="R45" i="14"/>
  <c r="N45" i="14"/>
  <c r="R44" i="14"/>
  <c r="M44" i="14"/>
  <c r="L44" i="14"/>
  <c r="Y44" i="14" s="1"/>
  <c r="K44" i="14"/>
  <c r="J44" i="14"/>
  <c r="R43" i="14"/>
  <c r="N43" i="14"/>
  <c r="R42" i="14"/>
  <c r="N42" i="14"/>
  <c r="R41" i="14"/>
  <c r="N41" i="14"/>
  <c r="R40" i="14"/>
  <c r="M40" i="14"/>
  <c r="L40" i="14"/>
  <c r="Y40" i="14" s="1"/>
  <c r="K40" i="14"/>
  <c r="J40" i="14"/>
  <c r="R39" i="14"/>
  <c r="N39" i="14"/>
  <c r="R38" i="14"/>
  <c r="N38" i="14"/>
  <c r="R32" i="14"/>
  <c r="N32" i="14"/>
  <c r="R31" i="14"/>
  <c r="R30" i="14"/>
  <c r="N30" i="14"/>
  <c r="R29" i="14"/>
  <c r="N28" i="14"/>
  <c r="R27" i="14"/>
  <c r="R23" i="14"/>
  <c r="R26" i="14" s="1"/>
  <c r="N23" i="14"/>
  <c r="N26" i="14" s="1"/>
  <c r="R22" i="14"/>
  <c r="M22" i="14"/>
  <c r="L22" i="14"/>
  <c r="Y22" i="14" s="1"/>
  <c r="K22" i="14"/>
  <c r="J22" i="14"/>
  <c r="R21" i="14"/>
  <c r="N21" i="14"/>
  <c r="R20" i="14"/>
  <c r="N20" i="14"/>
  <c r="R19" i="14"/>
  <c r="N19" i="14"/>
  <c r="R18" i="14"/>
  <c r="N18" i="14"/>
  <c r="R17" i="14"/>
  <c r="N17" i="14"/>
  <c r="R16" i="14"/>
  <c r="N16" i="14"/>
  <c r="R15" i="14"/>
  <c r="N15" i="14"/>
  <c r="R14" i="14"/>
  <c r="N14" i="14"/>
  <c r="R13" i="14"/>
  <c r="N13" i="14"/>
  <c r="R12" i="14"/>
  <c r="N12" i="14"/>
  <c r="R11" i="14"/>
  <c r="M11" i="14"/>
  <c r="L11" i="14"/>
  <c r="Y11" i="14" s="1"/>
  <c r="K11" i="14"/>
  <c r="J11" i="14"/>
  <c r="R10" i="14"/>
  <c r="N10" i="14"/>
  <c r="R9" i="14"/>
  <c r="N9" i="14"/>
  <c r="R8" i="14"/>
  <c r="N8" i="14"/>
  <c r="R7" i="14"/>
  <c r="N7" i="14"/>
  <c r="R6" i="14"/>
  <c r="M6" i="14"/>
  <c r="L6" i="14"/>
  <c r="Y6" i="14" s="1"/>
  <c r="K6" i="14"/>
  <c r="J6" i="14"/>
  <c r="J33" i="14" s="1"/>
  <c r="R5" i="14"/>
  <c r="N5" i="14"/>
  <c r="R4" i="14"/>
  <c r="N4" i="14"/>
  <c r="M144" i="14" l="1"/>
  <c r="N11" i="14"/>
  <c r="N22" i="14"/>
  <c r="J144" i="14"/>
  <c r="R33" i="14"/>
  <c r="K68" i="14"/>
  <c r="M33" i="14"/>
  <c r="K33" i="14"/>
  <c r="L144" i="14"/>
  <c r="Y85" i="14"/>
  <c r="N44" i="14"/>
  <c r="N40" i="14"/>
  <c r="N6" i="14"/>
  <c r="N33" i="14" s="1"/>
  <c r="L33" i="14"/>
  <c r="Y33" i="14" s="1"/>
  <c r="N91" i="14"/>
  <c r="N55" i="14"/>
  <c r="R230" i="14"/>
  <c r="T230" i="14"/>
  <c r="J68" i="14"/>
  <c r="K144" i="14"/>
  <c r="L221" i="14"/>
  <c r="Y221" i="14" s="1"/>
  <c r="R221" i="14"/>
  <c r="K221" i="14"/>
  <c r="J221" i="14"/>
  <c r="N67" i="14"/>
  <c r="L68" i="14"/>
  <c r="M68" i="14"/>
  <c r="O68" i="14"/>
  <c r="N85" i="14"/>
  <c r="Q85" i="14"/>
  <c r="Q224" i="14" s="1"/>
  <c r="R68" i="14"/>
  <c r="Q144" i="14"/>
  <c r="Q226" i="14" s="1"/>
  <c r="Q236" i="14" s="1"/>
  <c r="R104" i="14"/>
  <c r="N152" i="14"/>
  <c r="N178" i="14"/>
  <c r="R86" i="14"/>
  <c r="R91" i="14" s="1"/>
  <c r="N68" i="14" l="1"/>
  <c r="K222" i="14"/>
  <c r="Y68" i="14"/>
  <c r="L222" i="14"/>
  <c r="N144" i="14"/>
  <c r="Y144" i="14"/>
  <c r="T236" i="14"/>
  <c r="V234" i="14"/>
  <c r="N221" i="14"/>
  <c r="M226" i="14"/>
  <c r="M236" i="14" s="1"/>
  <c r="L226" i="14"/>
  <c r="R85" i="14"/>
  <c r="R144" i="14" s="1"/>
  <c r="R226" i="14" s="1"/>
  <c r="R236" i="14" s="1"/>
  <c r="J226" i="14"/>
  <c r="J236" i="14" s="1"/>
  <c r="K226" i="14"/>
  <c r="K236" i="14" s="1"/>
  <c r="N226" i="14" l="1"/>
  <c r="N236" i="14" s="1"/>
  <c r="Y222" i="14"/>
  <c r="N222" i="14"/>
  <c r="L236" i="14"/>
  <c r="Y226" i="14"/>
  <c r="Y225" i="14" l="1"/>
  <c r="Y224" i="14"/>
  <c r="M30" i="18" l="1"/>
  <c r="L30" i="18"/>
  <c r="J30" i="18"/>
  <c r="K30" i="18"/>
  <c r="N30" i="18"/>
  <c r="N185" i="18" s="1"/>
  <c r="O31" i="18" l="1"/>
  <c r="J171" i="18"/>
  <c r="J180" i="18" s="1"/>
  <c r="K171" i="18"/>
  <c r="K180" i="18" s="1"/>
  <c r="L171" i="18"/>
  <c r="L180" i="18" s="1"/>
  <c r="M171" i="18"/>
  <c r="M180" i="18" s="1"/>
  <c r="O132" i="18"/>
  <c r="N171" i="18"/>
  <c r="N180" i="18" s="1"/>
  <c r="N182" i="18" s="1"/>
  <c r="O171" i="18"/>
  <c r="O180" i="18" s="1"/>
  <c r="F203" i="20" l="1"/>
  <c r="E203" i="20"/>
  <c r="G203" i="20"/>
  <c r="I203" i="20"/>
  <c r="H203" i="20"/>
  <c r="K67" i="19" l="1"/>
  <c r="K174" i="19" s="1"/>
  <c r="K191" i="19" s="1"/>
  <c r="G252" i="20"/>
  <c r="F252" i="20"/>
  <c r="E257" i="23" l="1"/>
</calcChain>
</file>

<file path=xl/comments1.xml><?xml version="1.0" encoding="utf-8"?>
<comments xmlns="http://schemas.openxmlformats.org/spreadsheetml/2006/main">
  <authors>
    <author>Ngoc Chim</author>
    <author>Administrator</author>
    <author>Sandy Dinh</author>
  </authors>
  <commentList>
    <comment ref="C16" authorId="0">
      <text>
        <r>
          <rPr>
            <b/>
            <sz val="9"/>
            <color indexed="81"/>
            <rFont val="Tahoma"/>
            <family val="2"/>
          </rPr>
          <t>Ngoc Chim:</t>
        </r>
        <r>
          <rPr>
            <sz val="9"/>
            <color indexed="81"/>
            <rFont val="Tahoma"/>
            <family val="2"/>
          </rPr>
          <t xml:space="preserve">
$200 per FT Faculty</t>
        </r>
      </text>
    </comment>
    <comment ref="C22" authorId="0">
      <text>
        <r>
          <rPr>
            <b/>
            <sz val="9"/>
            <color indexed="81"/>
            <rFont val="Tahoma"/>
            <family val="2"/>
          </rPr>
          <t>Ngoc Chim:</t>
        </r>
        <r>
          <rPr>
            <sz val="9"/>
            <color indexed="81"/>
            <rFont val="Tahoma"/>
            <family val="2"/>
          </rPr>
          <t xml:space="preserve">
$125 per day x 197 days</t>
        </r>
      </text>
    </comment>
    <comment ref="F41" authorId="1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TOPS from 6750 to 6150. 4/5/12</t>
        </r>
      </text>
    </comment>
    <comment ref="C51" authorId="2">
      <text>
        <r>
          <rPr>
            <b/>
            <sz val="9"/>
            <color indexed="81"/>
            <rFont val="Tahoma"/>
            <family val="2"/>
          </rPr>
          <t>Sandy Dinh:</t>
        </r>
        <r>
          <rPr>
            <sz val="9"/>
            <color indexed="81"/>
            <rFont val="Tahoma"/>
            <family val="2"/>
          </rPr>
          <t xml:space="preserve">
for July &amp; June at 2,500 ea.</t>
        </r>
      </text>
    </comment>
    <comment ref="C64" authorId="0">
      <text>
        <r>
          <rPr>
            <b/>
            <sz val="9"/>
            <color indexed="81"/>
            <rFont val="Tahoma"/>
            <family val="2"/>
          </rPr>
          <t>Ngoc Chim:</t>
        </r>
        <r>
          <rPr>
            <sz val="9"/>
            <color indexed="81"/>
            <rFont val="Tahoma"/>
            <family val="2"/>
          </rPr>
          <t xml:space="preserve">
$125 per day x 197 days</t>
        </r>
      </text>
    </comment>
    <comment ref="F76" authorId="1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TOPS from 6750 to 6150. 4/5/12</t>
        </r>
      </text>
    </comment>
    <comment ref="K114" authorId="0">
      <text>
        <r>
          <rPr>
            <b/>
            <sz val="9"/>
            <color indexed="81"/>
            <rFont val="Tahoma"/>
            <family val="2"/>
          </rPr>
          <t>Ngoc Chim:</t>
        </r>
        <r>
          <rPr>
            <sz val="9"/>
            <color indexed="81"/>
            <rFont val="Tahoma"/>
            <family val="2"/>
          </rPr>
          <t xml:space="preserve">
$113,036 C/O budget from 12/13, plus $60,000 balance from 13/14.</t>
        </r>
      </text>
    </comment>
    <comment ref="C174" authorId="1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Contract is from 7/1/10 through 6/30/13.</t>
        </r>
      </text>
    </comment>
    <comment ref="D191" authorId="1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Move budget from cc 304190 for 11/12 FY.</t>
        </r>
      </text>
    </comment>
  </commentList>
</comments>
</file>

<file path=xl/comments2.xml><?xml version="1.0" encoding="utf-8"?>
<comments xmlns="http://schemas.openxmlformats.org/spreadsheetml/2006/main">
  <authors>
    <author>Administrator</author>
    <author>Ngoc Chim</author>
  </authors>
  <commentList>
    <comment ref="H15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cost center and Tops code.</t>
        </r>
      </text>
    </comment>
    <comment ref="H16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cost center and Tops code.</t>
        </r>
      </text>
    </comment>
    <comment ref="H28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TOPS from 6750 to 6150. 4/5/12</t>
        </r>
      </text>
    </comment>
    <comment ref="H46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object code.</t>
        </r>
      </text>
    </comment>
    <comment ref="H47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object code.</t>
        </r>
      </text>
    </comment>
    <comment ref="H60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TOPS from 6750 to 6150. 4/5/12</t>
        </r>
      </text>
    </comment>
    <comment ref="H93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return tops code to 6770 - remove 6720</t>
        </r>
      </text>
    </comment>
    <comment ref="H100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3/4/11
Expense used to be in cost center 304190.  Per conversation with Brigit, she will move expense to cost center 309600.</t>
        </r>
      </text>
    </comment>
    <comment ref="H106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Tops code change from 6750 to 6780. 4/5/12</t>
        </r>
      </text>
    </comment>
    <comment ref="D107" authorId="1">
      <text>
        <r>
          <rPr>
            <b/>
            <sz val="9"/>
            <color indexed="81"/>
            <rFont val="Tahoma"/>
            <family val="2"/>
          </rPr>
          <t>Ngoc Chim:</t>
        </r>
        <r>
          <rPr>
            <sz val="9"/>
            <color indexed="81"/>
            <rFont val="Tahoma"/>
            <family val="2"/>
          </rPr>
          <t xml:space="preserve">
IS has been using $ to purchase supplies.  Need to reduce.</t>
        </r>
      </text>
    </comment>
    <comment ref="D150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Contract is from 7/1/10 through 6/30/13.</t>
        </r>
      </text>
    </comment>
    <comment ref="F167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Move budget from cc 304190 for 11/12 FY.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H15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cost center and Tops code.</t>
        </r>
      </text>
    </comment>
    <comment ref="H16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cost center and Tops code.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TOPS from 6750 to 6150. 4/5/12</t>
        </r>
      </text>
    </comment>
    <comment ref="H45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object code.</t>
        </r>
      </text>
    </comment>
    <comment ref="H46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object code.</t>
        </r>
      </text>
    </comment>
    <comment ref="H57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TOPS from 6750 to 6150. 4/5/12</t>
        </r>
      </text>
    </comment>
    <comment ref="H90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prior tops code 6720</t>
        </r>
      </text>
    </comment>
    <comment ref="H97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3/4/11
Expense used to be in cost center 304190.  Per conversation with Brigit, she will move expense to cost center 309600.</t>
        </r>
      </text>
    </comment>
    <comment ref="H103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Tops code change from 6750 to 6780. 4/5/12</t>
        </r>
      </text>
    </comment>
    <comment ref="D146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Contract is from 7/1/10 through 6/30/13.</t>
        </r>
      </text>
    </comment>
    <comment ref="F163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Move budget from cc 304190 for 11/12 FY.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H15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cost center and Tops code.</t>
        </r>
      </text>
    </comment>
    <comment ref="H16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cost center and Tops code.</t>
        </r>
      </text>
    </comment>
    <comment ref="H29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TOPS from 6750 to 6150. 4/5/12</t>
        </r>
      </text>
    </comment>
    <comment ref="H46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object code.</t>
        </r>
      </text>
    </comment>
    <comment ref="H47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object code.</t>
        </r>
      </text>
    </comment>
    <comment ref="H58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TOPS from 6750 to 6150. 4/5/12</t>
        </r>
      </text>
    </comment>
    <comment ref="H92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prior tops code 6720</t>
        </r>
      </text>
    </comment>
    <comment ref="H100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3/4/11
Expense used to be in cost center 304190.  Per conversation with Brigit, she will move expense to cost center 309600.</t>
        </r>
      </text>
    </comment>
    <comment ref="H106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Tops code change from 6750 to 6780. 4/5/12</t>
        </r>
      </text>
    </comment>
    <comment ref="D151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Contract is from 7/1/10 through 6/30/13.</t>
        </r>
      </text>
    </comment>
    <comment ref="D156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Per Beth Perelli:
Rachel Metz x2142 in Health Services will prepare journal entry in May or June.  </t>
        </r>
      </text>
    </comment>
    <comment ref="F167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Move budget from cc 304190 for 11/12 FY.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H14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cost center and Tops code.</t>
        </r>
      </text>
    </comment>
    <comment ref="H15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cost center and Tops code.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TOPS from 6750 to 6150. 4/5/12</t>
        </r>
      </text>
    </comment>
    <comment ref="H44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object code.</t>
        </r>
      </text>
    </comment>
    <comment ref="H45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object code.</t>
        </r>
      </text>
    </comment>
    <comment ref="H55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TOPS from 6750 to 6150. 4/5/12</t>
        </r>
      </text>
    </comment>
    <comment ref="H88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prior tops code 6720</t>
        </r>
      </text>
    </comment>
    <comment ref="H96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3/4/11
Expense used to be in cost center 304190.  Per conversation with Brigit, she will move expense to cost center 309600.</t>
        </r>
      </text>
    </comment>
    <comment ref="H102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Tops code change from 6750 to 6780. 4/5/12</t>
        </r>
      </text>
    </comment>
    <comment ref="D147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Contract is from 7/1/10 through 6/30/13.</t>
        </r>
      </text>
    </comment>
    <comment ref="D151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Per Beth Perelli:
Rachel Metz x2142 in Health Services will prepare journal entry in May or June.  </t>
        </r>
      </text>
    </comment>
    <comment ref="F162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Move budget from cc 304190 for 11/12 FY.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H15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cost center and Tops code.</t>
        </r>
      </text>
    </comment>
    <comment ref="H48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object code.</t>
        </r>
      </text>
    </comment>
    <comment ref="H78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2/25/11 change Tops code from 5900 to 6740 to reflect non instruction.</t>
        </r>
      </text>
    </comment>
    <comment ref="H105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3/4/11
Expense used to be in cost center 304190.  Per conversation with Brigit, she will move expense to cost center 309600.</t>
        </r>
      </text>
    </comment>
    <comment ref="H169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3/4/11
Expense used to be in cost center 304190.  Per conversation with Brigit, she will move expense to cost center 309600.</t>
        </r>
      </text>
    </comment>
    <comment ref="D177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Contract is from 7/1/10 through 6/30/13.</t>
        </r>
      </text>
    </comment>
    <comment ref="D181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Per Beth Perelli:
Rachel Metz x2142 in Health Services will prepare journal entry in May or June.  </t>
        </r>
      </text>
    </comment>
    <comment ref="F192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Move budget from cc 304190 for 11/12 FY.</t>
        </r>
      </text>
    </comment>
  </commentList>
</comments>
</file>

<file path=xl/comments7.xml><?xml version="1.0" encoding="utf-8"?>
<comments xmlns="http://schemas.openxmlformats.org/spreadsheetml/2006/main">
  <authors>
    <author>Administrator</author>
  </authors>
  <commentList>
    <comment ref="A14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cost center and Tops code.</t>
        </r>
      </text>
    </comment>
    <comment ref="A15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cost center and Tops code.</t>
        </r>
      </text>
    </comment>
    <comment ref="A27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TOPS from 6750 to 6150. 4/5/12</t>
        </r>
      </text>
    </comment>
    <comment ref="A44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object code.</t>
        </r>
      </text>
    </comment>
    <comment ref="A45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object code.</t>
        </r>
      </text>
    </comment>
    <comment ref="A55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change TOPS from 6750 to 6150. 4/5/12</t>
        </r>
      </text>
    </comment>
    <comment ref="A88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prior tops code 6720</t>
        </r>
      </text>
    </comment>
    <comment ref="A96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3/4/11
Expense used to be in cost center 304190.  Per conversation with Brigit, she will move expense to cost center 309600.</t>
        </r>
      </text>
    </comment>
    <comment ref="A102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Tops code change from 6750 to 6780. 4/5/12</t>
        </r>
      </text>
    </comment>
  </commentList>
</comments>
</file>

<file path=xl/sharedStrings.xml><?xml version="1.0" encoding="utf-8"?>
<sst xmlns="http://schemas.openxmlformats.org/spreadsheetml/2006/main" count="9848" uniqueCount="1163">
  <si>
    <t>100_300130_6600_55180_819</t>
  </si>
  <si>
    <t>Chancellor</t>
  </si>
  <si>
    <t>100_301120_6720_55170_819</t>
  </si>
  <si>
    <t>Dean of Advancement</t>
  </si>
  <si>
    <t>100_304010_6570_55800_819</t>
  </si>
  <si>
    <t>100_304010_6570_55811_819</t>
  </si>
  <si>
    <t>100_304010_6570_55820_819</t>
  </si>
  <si>
    <t>100_304010_6570_55840_819</t>
  </si>
  <si>
    <t>100_304010_6570_55850_819</t>
  </si>
  <si>
    <t>100_304020_6570_55800_819</t>
  </si>
  <si>
    <t>100_304020_6570_55811_819</t>
  </si>
  <si>
    <t>100_304020_6570_55820_819</t>
  </si>
  <si>
    <t>100_304020_6570_55840_819</t>
  </si>
  <si>
    <t>100_304020_6570_55850_819</t>
  </si>
  <si>
    <t>100_304168_5900_53710_819</t>
  </si>
  <si>
    <t>100_304168_6740_53710_819</t>
  </si>
  <si>
    <t>100_304169_7310_57300_819</t>
  </si>
  <si>
    <t>100_304170_6720_55160_819</t>
  </si>
  <si>
    <t>100_304170_6720_55170_819</t>
  </si>
  <si>
    <t>100_304170_6720_55185_819</t>
  </si>
  <si>
    <t>100_304170_6720_55300_819</t>
  </si>
  <si>
    <t>100_304170_6720_55592_819</t>
  </si>
  <si>
    <t>Over</t>
  </si>
  <si>
    <t>100_304180_6600_55910_819</t>
  </si>
  <si>
    <t>100_304180_6600_57130_819</t>
  </si>
  <si>
    <t>100_304190_5900_53450_819</t>
  </si>
  <si>
    <t>100_304190_6600_57300_819</t>
  </si>
  <si>
    <t>100_304190_6740_53450_819</t>
  </si>
  <si>
    <t>100_305200_4900_51316_819</t>
  </si>
  <si>
    <t>100_305200_4900_53110_819</t>
  </si>
  <si>
    <t>100_305200_4900_53410_819</t>
  </si>
  <si>
    <t>100_305200_6700_53311_819</t>
  </si>
  <si>
    <t>100_305200_6730_54210_819</t>
  </si>
  <si>
    <t>100_305200_6730_55160_819</t>
  </si>
  <si>
    <t>100_305200_6730_55400_819</t>
  </si>
  <si>
    <t>100_305200_6730_55900_819</t>
  </si>
  <si>
    <t>100_305225_6750_55125_819</t>
  </si>
  <si>
    <t>100_305226_6700_52325_819</t>
  </si>
  <si>
    <t>100_306000_6600_55115_819</t>
  </si>
  <si>
    <t>Staff Development</t>
  </si>
  <si>
    <t>100_306000_6750_55125_819</t>
  </si>
  <si>
    <t>100_309600_6770_55940_819</t>
  </si>
  <si>
    <t>100_310700_6150_55500_819</t>
  </si>
  <si>
    <t>100_310700_6750_55500_819</t>
  </si>
  <si>
    <t>100_310700_6780_54210_819</t>
  </si>
  <si>
    <t>100_310700_6780_54230_819</t>
  </si>
  <si>
    <t>100_310700_6780_55125_819</t>
  </si>
  <si>
    <t>100_310700_6780_55510_819</t>
  </si>
  <si>
    <t>100_310700_6780_56410_819</t>
  </si>
  <si>
    <t>100_310710_6780_55510_819</t>
  </si>
  <si>
    <t>100_310720_6570_55830_819</t>
  </si>
  <si>
    <t>100_310720_6570_55832_819</t>
  </si>
  <si>
    <t>100_310720_6590_55510_819</t>
  </si>
  <si>
    <t>100_311812_6510_55160_819</t>
  </si>
  <si>
    <t>100_311812_6510_55810_819</t>
  </si>
  <si>
    <t>Gasoline</t>
  </si>
  <si>
    <t>100_311860_6590_54210_819</t>
  </si>
  <si>
    <t>100_311860_6590_55160_819</t>
  </si>
  <si>
    <t>11/12</t>
  </si>
  <si>
    <t>Tent Bud</t>
  </si>
  <si>
    <t>Categorical Program: Transfer Out, Fringe Benefits</t>
  </si>
  <si>
    <t>Fixed Cost Description</t>
  </si>
  <si>
    <t>Account Number</t>
  </si>
  <si>
    <t>NDSL Collection Admin Costs (Perkins Loans)</t>
  </si>
  <si>
    <t>Cal Grant Interest Payment</t>
  </si>
  <si>
    <t>Utilities, Mission College</t>
  </si>
  <si>
    <t>Angel</t>
  </si>
  <si>
    <t>DISTRICT SERVICES</t>
  </si>
  <si>
    <t>Board Elections/Redistricting Board Election</t>
  </si>
  <si>
    <t>Advancement Audit Expense</t>
  </si>
  <si>
    <t>Armored Car Service</t>
  </si>
  <si>
    <t>County Payroll Processing Fee</t>
  </si>
  <si>
    <t>Audit Expenses/GASB 34 Financial Statements</t>
  </si>
  <si>
    <t>Printing Services Budget Book/Board Agendas/Printing of Negotiated Contracts</t>
  </si>
  <si>
    <t>Bank Service Charges</t>
  </si>
  <si>
    <t>Dues, Copyright Fees</t>
  </si>
  <si>
    <t>Arbitrage</t>
  </si>
  <si>
    <t>Legal Expenses</t>
  </si>
  <si>
    <t>Unfunded Banked Leave</t>
  </si>
  <si>
    <t>Retiree Medical Benefits - Instructional</t>
  </si>
  <si>
    <t>Retiree Medical Benefits - Non Instructional</t>
  </si>
  <si>
    <t>Vacation Payoffs</t>
  </si>
  <si>
    <t>Advertising: Human Resources</t>
  </si>
  <si>
    <t>Supervisors staff development</t>
  </si>
  <si>
    <t>SEIU Negotiator Substitutes</t>
  </si>
  <si>
    <t>On-going Funding for BRMS</t>
  </si>
  <si>
    <t>Ergonomic Equipment</t>
  </si>
  <si>
    <t>Staff Mandated Training</t>
  </si>
  <si>
    <t>SLETS/CLETS</t>
  </si>
  <si>
    <t>ARMS</t>
  </si>
  <si>
    <t>Property/Liability Insurance</t>
  </si>
  <si>
    <t>Property/Liability Insurance Deductible</t>
  </si>
  <si>
    <t>Microcomputer software annual licenses</t>
  </si>
  <si>
    <t>Maintenance, Network System</t>
  </si>
  <si>
    <t>Technology Staff Training</t>
  </si>
  <si>
    <t>Maintenance, HP 9000</t>
  </si>
  <si>
    <t>Telephone Services (Local/Long Distance)</t>
  </si>
  <si>
    <t>Nextel Radio/Cell Phone Service</t>
  </si>
  <si>
    <t>Nortel Telephone System Mntce</t>
  </si>
  <si>
    <t>Fire Alarm Life and Safety Test (Honeywell) -Annual</t>
  </si>
  <si>
    <t>Fire Extinguishers and ANSUL Systems (Ace Fire)</t>
  </si>
  <si>
    <t>Elevator Service</t>
  </si>
  <si>
    <t>Automatic Doors</t>
  </si>
  <si>
    <t>Emergency Generator PM and Load Tests</t>
  </si>
  <si>
    <t>A1 Vacuum Service/Pump out Sediment Traps</t>
  </si>
  <si>
    <t>Water Backflow Test and Repair</t>
  </si>
  <si>
    <t>Arrows Septic Tank Service/Pump out Sediment Traps</t>
  </si>
  <si>
    <t>Designated Operator -fuel pumps</t>
  </si>
  <si>
    <t>Annual Fusion License</t>
  </si>
  <si>
    <t>Technical Safety Services</t>
  </si>
  <si>
    <t>JPA Hazardous Materials (Cost of operating department)</t>
  </si>
  <si>
    <t>Environmental Reg. Requirements (Hazardous Materials)</t>
  </si>
  <si>
    <t>Emergency lighting service annual fee</t>
  </si>
  <si>
    <t>Annual cost for pool chemicals</t>
  </si>
  <si>
    <t>Walshon Fire Protection</t>
  </si>
  <si>
    <t>Total District Services</t>
  </si>
  <si>
    <t>Grand Total</t>
  </si>
  <si>
    <t>10/11</t>
  </si>
  <si>
    <t>Budget</t>
  </si>
  <si>
    <t>Encumb.</t>
  </si>
  <si>
    <t>Adopt Bud</t>
  </si>
  <si>
    <t>Budget Adjust.</t>
  </si>
  <si>
    <t>Incr / (Decr)</t>
  </si>
  <si>
    <t>Actual Exp</t>
  </si>
  <si>
    <t>Available</t>
  </si>
  <si>
    <t>Contact Info.</t>
  </si>
  <si>
    <t>Francine/Sarah</t>
  </si>
  <si>
    <t>Ron Smith</t>
  </si>
  <si>
    <t>VC Admin Serv</t>
  </si>
  <si>
    <t>Dir of Facilities</t>
  </si>
  <si>
    <t>Dir of Public Safety</t>
  </si>
  <si>
    <t>Dir of General Serv</t>
  </si>
  <si>
    <t>Dir of Information Syst</t>
  </si>
  <si>
    <t>Total District wide</t>
  </si>
  <si>
    <t>DISTRICT WIDE</t>
  </si>
  <si>
    <t>PT Faculty Medical Benefits Reimb. ($15,000/sem. Max)</t>
  </si>
  <si>
    <t>Contract Required Safety Items-Shoes</t>
  </si>
  <si>
    <t>100_304170_6720_55593_819</t>
  </si>
  <si>
    <t>100_304170_6720_55595_819</t>
  </si>
  <si>
    <t>Final payment</t>
  </si>
  <si>
    <t>Bank charges</t>
  </si>
  <si>
    <t>E Commerce charges</t>
  </si>
  <si>
    <t>10% Increase</t>
  </si>
  <si>
    <t>Increase in cost</t>
  </si>
  <si>
    <t>Additional services</t>
  </si>
  <si>
    <t>Javier/Chia Chen</t>
  </si>
  <si>
    <t>100_309600_6770_54215_819</t>
  </si>
  <si>
    <t>Explanation for Adjustments</t>
  </si>
  <si>
    <t>Responsibility</t>
  </si>
  <si>
    <t>Criteria</t>
  </si>
  <si>
    <t>E</t>
  </si>
  <si>
    <t>Faculty SERP Premium 5 of 5 yrs</t>
  </si>
  <si>
    <t>Confidential/Supr  SERP Premium 3 of 5 yrs</t>
  </si>
  <si>
    <t>D</t>
  </si>
  <si>
    <t>A</t>
  </si>
  <si>
    <t>H</t>
  </si>
  <si>
    <t>County Communications</t>
  </si>
  <si>
    <t>Fingerprinting Services</t>
  </si>
  <si>
    <t>Safety/Maintenance of Standards (uniforms/Cleaning/Bullet Resistant Vests)</t>
  </si>
  <si>
    <t>Law Enforcement Training</t>
  </si>
  <si>
    <t>Ed Maduli/Christina</t>
  </si>
  <si>
    <t>Linda Francis</t>
  </si>
  <si>
    <t>Sewer ( One payment each year)</t>
  </si>
  <si>
    <t>C</t>
  </si>
  <si>
    <t>C, B</t>
  </si>
  <si>
    <t>B</t>
  </si>
  <si>
    <t>B, C</t>
  </si>
  <si>
    <t>F</t>
  </si>
  <si>
    <t>C, E</t>
  </si>
  <si>
    <t>B, E</t>
  </si>
  <si>
    <t>B , F</t>
  </si>
  <si>
    <t>Linda Francis/Virginia</t>
  </si>
  <si>
    <t>Linda Francis/Susan</t>
  </si>
  <si>
    <t>Brigit Espinosa</t>
  </si>
  <si>
    <t>Software purchased in current year</t>
  </si>
  <si>
    <t>Benefits Consultant (BB&amp;T) - 2 of 3 years</t>
  </si>
  <si>
    <t>G</t>
  </si>
  <si>
    <t>WEST VALLEY COLLEGE</t>
  </si>
  <si>
    <t>Tenure Faculty</t>
  </si>
  <si>
    <t>Campbell Center Lease</t>
  </si>
  <si>
    <t>Academic Senate -to be funded from other source</t>
  </si>
  <si>
    <t>Accreditation</t>
  </si>
  <si>
    <t>Classified Senate</t>
  </si>
  <si>
    <t>Schedule of classes and catalog</t>
  </si>
  <si>
    <t>100_101000_6010_55160_819</t>
  </si>
  <si>
    <t>100_103201_6010_55210_819</t>
  </si>
  <si>
    <t>100_103251_4900_51310_819</t>
  </si>
  <si>
    <t>100_115200_6960_51450_819</t>
  </si>
  <si>
    <t>100_115200_6960_55940_819</t>
  </si>
  <si>
    <t>100_131000_6470_55520_819</t>
  </si>
  <si>
    <t>100_119303_6720_51450_819</t>
  </si>
  <si>
    <t>100_119303_6750_55115_819</t>
  </si>
  <si>
    <t>100_119303_6750_55200_819</t>
  </si>
  <si>
    <t>100_119304_6750_55115_819</t>
  </si>
  <si>
    <t>100_119304_6750_55200_819</t>
  </si>
  <si>
    <t>100_100100_6090_51227_819</t>
  </si>
  <si>
    <t>100_119305_6750_55115_819</t>
  </si>
  <si>
    <t>100_119305_6750_55160_819</t>
  </si>
  <si>
    <t>100_119305_6750_55200_819</t>
  </si>
  <si>
    <t>Consolidated budget for Link+ and other costs</t>
  </si>
  <si>
    <t xml:space="preserve">$125 per day x 197 days </t>
  </si>
  <si>
    <t>Base from Final Budget. Increased from FY11</t>
  </si>
  <si>
    <t>$200/ea @ 26</t>
  </si>
  <si>
    <t>DataTel Software Maintenance</t>
  </si>
  <si>
    <t>Coaches Stipends (Negotiated Item)</t>
  </si>
  <si>
    <t>Management SERP Premium 3 of 5 yrs</t>
  </si>
  <si>
    <t>MISSION COLLEGE</t>
  </si>
  <si>
    <t>Academic Senate</t>
  </si>
  <si>
    <t>Total West Valley College</t>
  </si>
  <si>
    <t>Total Mission College</t>
  </si>
  <si>
    <t>100_206200_6750_54210_819</t>
  </si>
  <si>
    <t>100_206200_6750_55200_819</t>
  </si>
  <si>
    <t>100_206300_6750_52310_819</t>
  </si>
  <si>
    <t>100_206300_6750_54210_819</t>
  </si>
  <si>
    <t>100_206300_6750_55115_819</t>
  </si>
  <si>
    <t>100_206300_6750_55205_819</t>
  </si>
  <si>
    <t>100_220000_6010_55160_819</t>
  </si>
  <si>
    <t>100_220000_6440_55940_819</t>
  </si>
  <si>
    <t>100_220000_6770_51450_819</t>
  </si>
  <si>
    <t>100_200700_6090_54210_819</t>
  </si>
  <si>
    <t>100_200700_6090_55120_819</t>
  </si>
  <si>
    <t>100_200700_6090_51227_819</t>
  </si>
  <si>
    <t>100_200700_6090_55910_819</t>
  </si>
  <si>
    <t>100_290100_6600_55210_819</t>
  </si>
  <si>
    <t>100_220910_4900_51310_819</t>
  </si>
  <si>
    <t>Utilities, West Valley College</t>
  </si>
  <si>
    <t>Retiree Medical Benefits</t>
  </si>
  <si>
    <t>Police - Various Items</t>
  </si>
  <si>
    <t>Worku Negash</t>
  </si>
  <si>
    <t>Accreditation - Supplies/Materials</t>
  </si>
  <si>
    <t>Accreditation - Professional Services</t>
  </si>
  <si>
    <t>Accreditation - Other Reassigned Time</t>
  </si>
  <si>
    <t>Accreditation - Dues, Memberships &amp; Fees</t>
  </si>
  <si>
    <t xml:space="preserve">Marketing and Communications </t>
  </si>
  <si>
    <t>VP Admin. Services</t>
  </si>
  <si>
    <t>Insurance for PE and Athletics Students</t>
  </si>
  <si>
    <t>Faculty Travel</t>
  </si>
  <si>
    <t>Faculty Travel &amp; Conference</t>
  </si>
  <si>
    <t>Classified Senate - Hrly classified Salary</t>
  </si>
  <si>
    <t>Classified Senate - Food Services</t>
  </si>
  <si>
    <t>Classified Senate - Travel &amp; Conference</t>
  </si>
  <si>
    <t>Academic Senate - Travel &amp; Conference</t>
  </si>
  <si>
    <t>Academic Senate - Supplies/Materials</t>
  </si>
  <si>
    <t>Classified Senate - Supplies/Materials</t>
  </si>
  <si>
    <t>College President</t>
  </si>
  <si>
    <t>Michael Renzi</t>
  </si>
  <si>
    <t>100_310720_6010_55160_819</t>
  </si>
  <si>
    <t>Remove from fixed cost</t>
  </si>
  <si>
    <r>
      <t>100_105600_6400_55160_</t>
    </r>
    <r>
      <rPr>
        <sz val="9"/>
        <color rgb="FFFF0000"/>
        <rFont val="Arial"/>
        <family val="2"/>
      </rPr>
      <t>819</t>
    </r>
  </si>
  <si>
    <r>
      <t>100_105600_6400_55300_</t>
    </r>
    <r>
      <rPr>
        <sz val="9"/>
        <color rgb="FFFF0000"/>
        <rFont val="Arial"/>
        <family val="2"/>
      </rPr>
      <t>819</t>
    </r>
  </si>
  <si>
    <t>Detail Description</t>
  </si>
  <si>
    <t>Utilities, West Valley College - Utilities</t>
  </si>
  <si>
    <t>Utilities, West Valley College - Gas</t>
  </si>
  <si>
    <t>Utilities, West Valley College - Trash</t>
  </si>
  <si>
    <t>Utilities, West Valley College - Water</t>
  </si>
  <si>
    <t>Utilities, West Valley College - Sewer</t>
  </si>
  <si>
    <t>Utilities, Mission College - Utilities</t>
  </si>
  <si>
    <t>Utilities, Mission College - Gas</t>
  </si>
  <si>
    <t>Utilities, Mission College - Trash</t>
  </si>
  <si>
    <t>Utilities, Mission College - Water</t>
  </si>
  <si>
    <t>Utilities, Mission College - Sewer</t>
  </si>
  <si>
    <t>Dean Instruct. &amp; Matric.</t>
  </si>
  <si>
    <t>Physical Education Division</t>
  </si>
  <si>
    <t>Dean Learning Center</t>
  </si>
  <si>
    <t>Campbell Center</t>
  </si>
  <si>
    <t>Move to fund 120</t>
  </si>
  <si>
    <t>Emergency Services</t>
  </si>
  <si>
    <t>Add - new 11/12 FY</t>
  </si>
  <si>
    <t>C, D</t>
  </si>
  <si>
    <t xml:space="preserve">HBA Penalty </t>
  </si>
  <si>
    <t>Revised computation method</t>
  </si>
  <si>
    <t>100_304180_6600_55150_819</t>
  </si>
  <si>
    <t>Working Bud</t>
  </si>
  <si>
    <t>100_201000_6770_55300_819</t>
  </si>
  <si>
    <t>100_106100_6120_55510_819</t>
  </si>
  <si>
    <t xml:space="preserve">NISOD </t>
  </si>
  <si>
    <t xml:space="preserve">Academic Senate </t>
  </si>
  <si>
    <t>ACE-Negotiated portion of COLA towards Health Benefit Increases</t>
  </si>
  <si>
    <t xml:space="preserve">Faculty Travel &amp; Conference </t>
  </si>
  <si>
    <t xml:space="preserve">Curricunet </t>
  </si>
  <si>
    <t xml:space="preserve">Curricunet  </t>
  </si>
  <si>
    <t>2 Faculty will receive tenure in 11/12 FY</t>
  </si>
  <si>
    <t>2 year budget cycle</t>
  </si>
  <si>
    <t>100_304170_6720_52350_819</t>
  </si>
  <si>
    <t xml:space="preserve">PC Replacement </t>
  </si>
  <si>
    <t>HVAC Maintenance Contract</t>
  </si>
  <si>
    <t>Total decrease to fixed cost:</t>
  </si>
  <si>
    <t>Total increase to fixed cost:</t>
  </si>
  <si>
    <t>D, G</t>
  </si>
  <si>
    <t>Staff Development Recognition Reception</t>
  </si>
  <si>
    <t>B, G</t>
  </si>
  <si>
    <t>100_220000_6120_55510_819</t>
  </si>
  <si>
    <t>Fr. Associated Faculty Allocation Model</t>
  </si>
  <si>
    <t>Tricore, Link + Consortium, Library Maintenance</t>
  </si>
  <si>
    <t>Senates &amp; Staff Development</t>
  </si>
  <si>
    <t>Chris Rolen</t>
  </si>
  <si>
    <t>NISOD-Travel for faculty to go to Texas</t>
  </si>
  <si>
    <t>FT Faculty STRS contributions for excess sick leave</t>
  </si>
  <si>
    <t>AVC HR</t>
  </si>
  <si>
    <t>Parts for computer and network repair</t>
  </si>
  <si>
    <t>Additional cost</t>
  </si>
  <si>
    <t>MC</t>
  </si>
  <si>
    <t>DW</t>
  </si>
  <si>
    <t>DS</t>
  </si>
  <si>
    <t>WVC</t>
  </si>
  <si>
    <t>100_100100_6090_55200_819</t>
  </si>
  <si>
    <t>Carry-over</t>
  </si>
  <si>
    <t>100_103201_6010_55220_819</t>
  </si>
  <si>
    <t>Accreditation - Travel &amp; Conference</t>
  </si>
  <si>
    <t>Accreditation - Other Reassign Time</t>
  </si>
  <si>
    <t>100_119303_6720_54210_819</t>
  </si>
  <si>
    <t>NISOD-Food Services</t>
  </si>
  <si>
    <t>NISOD-Supplies</t>
  </si>
  <si>
    <t>NISOD-Salary</t>
  </si>
  <si>
    <t>100_308604_6770_55120_819</t>
  </si>
  <si>
    <t>100_308601_6770_55120_819</t>
  </si>
  <si>
    <t>100_308603_6770_55120_819</t>
  </si>
  <si>
    <t>100_308602_6770_55120_819</t>
  </si>
  <si>
    <t>100_308600_6770_55160_819</t>
  </si>
  <si>
    <t>100_308600_6770_55500_819</t>
  </si>
  <si>
    <t>B,D</t>
  </si>
  <si>
    <t>B,C,D</t>
  </si>
  <si>
    <t>B,C,E</t>
  </si>
  <si>
    <t>B,C,D,E</t>
  </si>
  <si>
    <t>A,B,C</t>
  </si>
  <si>
    <t>EverBridge - Text Messaging</t>
  </si>
  <si>
    <t>100_308500_6770_55160_819</t>
  </si>
  <si>
    <t>Additional phone &amp; Services</t>
  </si>
  <si>
    <t>100_301120_6720_55595_819</t>
  </si>
  <si>
    <t>Financial Aid Match: SEOG &amp; Fed Work Study</t>
  </si>
  <si>
    <t>Medical Mandated Testing (Injury)</t>
  </si>
  <si>
    <t>Financial Aid Match: SEOG, Fed Work Study</t>
  </si>
  <si>
    <t>Add Internet Connectivity Secondary Circuit Fee</t>
  </si>
  <si>
    <t xml:space="preserve">CLARIS Class TRACKS </t>
  </si>
  <si>
    <t>SARS Software Products -Counseling Sched System</t>
  </si>
  <si>
    <t xml:space="preserve">CCCApply </t>
  </si>
  <si>
    <t>100_304170_6790_53520_819</t>
  </si>
  <si>
    <t>100_304170_6790_53530_819</t>
  </si>
  <si>
    <t>Unemployment Experience Rate - Non Instr</t>
  </si>
  <si>
    <t>Unemployment Experience Rate - Instr</t>
  </si>
  <si>
    <t>√</t>
  </si>
  <si>
    <t>Total Including C/O:</t>
  </si>
  <si>
    <t>as of 6/30/11</t>
  </si>
  <si>
    <t>Faculty Travel &amp; Conference  C/O fr 10/11</t>
  </si>
  <si>
    <t>100_290100_6010_55220_819</t>
  </si>
  <si>
    <t>Move from District Wide</t>
  </si>
  <si>
    <t>Move to campus</t>
  </si>
  <si>
    <t>Move from District Services</t>
  </si>
  <si>
    <t>144 FT Faculty @ $200 each</t>
  </si>
  <si>
    <t>166 FT Faculty @ $200 each</t>
  </si>
  <si>
    <t>ACE-Negotiated  0.92% of COLA Health Benefit Reserve</t>
  </si>
  <si>
    <t>SixTen and Associates - Mandated Costs</t>
  </si>
  <si>
    <t>Faculty Travel &amp; Conference  C/O from Pr Yr</t>
  </si>
  <si>
    <t>Advancement Credit Card Management Fee</t>
  </si>
  <si>
    <t>DOJ Fingerprinting Connection Fee</t>
  </si>
  <si>
    <t>100_308601_6770_55160_819</t>
  </si>
  <si>
    <t>Actual Adjust.</t>
  </si>
  <si>
    <t>X</t>
  </si>
  <si>
    <t>Report on 7/18/11</t>
  </si>
  <si>
    <t>100_201000_6770_51450_819</t>
  </si>
  <si>
    <t>100_201000_6770_55921_819</t>
  </si>
  <si>
    <t xml:space="preserve">Emergency Services </t>
  </si>
  <si>
    <t>100_304180_6720_52350_819</t>
  </si>
  <si>
    <t>Addittional cost</t>
  </si>
  <si>
    <t>C/O</t>
  </si>
  <si>
    <t>bad debt</t>
  </si>
  <si>
    <t>100_304190_6720_55985_819</t>
  </si>
  <si>
    <t xml:space="preserve">SEIU One-Time Bonus (2% Negotiation) </t>
  </si>
  <si>
    <t>100_304197_6790_52500_819</t>
  </si>
  <si>
    <t>100_220001_6600_57300_819</t>
  </si>
  <si>
    <t>100_220002_6600_57300_819</t>
  </si>
  <si>
    <t>100_220003_6750_55500_819</t>
  </si>
  <si>
    <t>100_220004_6750_55500_819</t>
  </si>
  <si>
    <t>100_220005_6150_55500_819</t>
  </si>
  <si>
    <t>100_220006_6150_55500_819</t>
  </si>
  <si>
    <t>100_103203_6600_57300_819</t>
  </si>
  <si>
    <t>100_103204_6600_57300_819</t>
  </si>
  <si>
    <t>100_103205_6750_55500_819</t>
  </si>
  <si>
    <t>100_103206_6750_55500_819</t>
  </si>
  <si>
    <t>100_103207_6150_55500_819</t>
  </si>
  <si>
    <t>100_103208_6150_55500_819</t>
  </si>
  <si>
    <t>100_103203_7310_57300_819</t>
  </si>
  <si>
    <t>100_103204_7310_57300_819</t>
  </si>
  <si>
    <t>100_220001_7310_57300_819</t>
  </si>
  <si>
    <t>100_220002_7310_57300_819</t>
  </si>
  <si>
    <t>100_304180_6770_52350_819</t>
  </si>
  <si>
    <t>as of 2/8/12</t>
  </si>
  <si>
    <r>
      <t>100_</t>
    </r>
    <r>
      <rPr>
        <sz val="9"/>
        <color rgb="FFC00000"/>
        <rFont val="Arial"/>
        <family val="2"/>
      </rPr>
      <t>220910</t>
    </r>
    <r>
      <rPr>
        <sz val="9"/>
        <rFont val="Arial"/>
        <family val="2"/>
      </rPr>
      <t>_4900_51310_819</t>
    </r>
  </si>
  <si>
    <t xml:space="preserve">Emergency Preparedness Services </t>
  </si>
  <si>
    <t>Dean of Instr, Lib. St/LA</t>
  </si>
  <si>
    <r>
      <t>100_</t>
    </r>
    <r>
      <rPr>
        <sz val="9"/>
        <color rgb="FFFF0000"/>
        <rFont val="Arial"/>
        <family val="2"/>
      </rPr>
      <t>230000</t>
    </r>
    <r>
      <rPr>
        <sz val="9"/>
        <rFont val="Arial"/>
        <family val="2"/>
      </rPr>
      <t>_6120_55510_819</t>
    </r>
  </si>
  <si>
    <r>
      <t>100_100100_6090_</t>
    </r>
    <r>
      <rPr>
        <sz val="9"/>
        <color rgb="FFFF0000"/>
        <rFont val="Arial"/>
        <family val="2"/>
      </rPr>
      <t>55910</t>
    </r>
    <r>
      <rPr>
        <sz val="9"/>
        <rFont val="Arial"/>
        <family val="2"/>
      </rPr>
      <t>_819</t>
    </r>
  </si>
  <si>
    <t>Final payment made in 11/12</t>
  </si>
  <si>
    <t>Stabilize cost at $7,822,000</t>
  </si>
  <si>
    <t>Analytic - Budget &amp; Position Control</t>
  </si>
  <si>
    <t>Budget Reduction Plan</t>
  </si>
  <si>
    <t>Faculty Travel &amp; Conference  C/O fr 11/12</t>
  </si>
  <si>
    <t>100-304190-7310-57300-819</t>
  </si>
  <si>
    <t>Interfund Transfer to Fund 293</t>
  </si>
  <si>
    <t>No longer need</t>
  </si>
  <si>
    <t>CCCApply / BOGS (Student-Right-to-know)</t>
  </si>
  <si>
    <t xml:space="preserve">CCCApply / BOGS (Student-Right-to-know) </t>
  </si>
  <si>
    <t>New</t>
  </si>
  <si>
    <t>100_220007_6010_55500_819</t>
  </si>
  <si>
    <t>100_103209_6010_55500_819</t>
  </si>
  <si>
    <t>Astra Schedule/LaserFiche Avante/FormFusion</t>
  </si>
  <si>
    <t>12/13</t>
  </si>
  <si>
    <t>Actual Increase/(Decrease)</t>
  </si>
  <si>
    <t>No longer needed</t>
  </si>
  <si>
    <t>Professional Development</t>
  </si>
  <si>
    <t>Additional security for network</t>
  </si>
  <si>
    <t>One-time item</t>
  </si>
  <si>
    <t>SLETS/CLETS/ISD/Lexipol</t>
  </si>
  <si>
    <t>Added ISD and Lexipol</t>
  </si>
  <si>
    <t>Additional expense for 2 new employee</t>
  </si>
  <si>
    <t>Turnkey Server Migration (One-Time)</t>
  </si>
  <si>
    <t>Senates</t>
  </si>
  <si>
    <t>Equipment Maintenance - Hardware</t>
  </si>
  <si>
    <t>Actual increase/(decrease)</t>
  </si>
  <si>
    <t>Annual Software Licenses</t>
  </si>
  <si>
    <t>100_310700_6780_55500_819</t>
  </si>
  <si>
    <r>
      <t>100_220004_</t>
    </r>
    <r>
      <rPr>
        <sz val="9"/>
        <color rgb="FFFF0000"/>
        <rFont val="Arial"/>
        <family val="2"/>
      </rPr>
      <t>6150</t>
    </r>
    <r>
      <rPr>
        <sz val="9"/>
        <rFont val="Arial"/>
        <family val="2"/>
      </rPr>
      <t>_55500_819</t>
    </r>
  </si>
  <si>
    <r>
      <t>100_103206_</t>
    </r>
    <r>
      <rPr>
        <sz val="9"/>
        <color rgb="FFFF0000"/>
        <rFont val="Arial"/>
        <family val="2"/>
      </rPr>
      <t>6150</t>
    </r>
    <r>
      <rPr>
        <sz val="9"/>
        <rFont val="Arial"/>
        <family val="2"/>
      </rPr>
      <t>_55500_819</t>
    </r>
  </si>
  <si>
    <t>A, F</t>
  </si>
  <si>
    <t>100_304190_6720_55160_819</t>
  </si>
  <si>
    <t>3 Faculty will receive tenure in 12/13 FY @ $5,500 each</t>
  </si>
  <si>
    <t>5 Faculty will receive tenure in 12/13 FY @ $5,500 each</t>
  </si>
  <si>
    <t>PT Faculty Medical Benefits Reimb. ($30,000/sem. Max)</t>
  </si>
  <si>
    <t>Multiple account numbers</t>
  </si>
  <si>
    <t>Senates/ VP of Admin. Services</t>
  </si>
  <si>
    <t>Mngr/Conf/Supr  SERP Premium 4 of 5 yrs</t>
  </si>
  <si>
    <t>Costcenter Description</t>
  </si>
  <si>
    <t>Object Description</t>
  </si>
  <si>
    <t>Budget Responsibility Title Description</t>
  </si>
  <si>
    <t>Adopted Budget</t>
  </si>
  <si>
    <t>Working Budget</t>
  </si>
  <si>
    <t>Actual</t>
  </si>
  <si>
    <t>Encumbrance</t>
  </si>
  <si>
    <t>Balance</t>
  </si>
  <si>
    <t>Other Reassigned Time</t>
  </si>
  <si>
    <t>Travel, Conference</t>
  </si>
  <si>
    <t>VP Instruction</t>
  </si>
  <si>
    <t>Contracted Services</t>
  </si>
  <si>
    <t>Faculty Travel &amp; Conf.</t>
  </si>
  <si>
    <t>Cur. Year Fac. Travel &amp; Con</t>
  </si>
  <si>
    <t>VP Administrative Services</t>
  </si>
  <si>
    <t>Prior Yr.Fac. Travel/Conf.</t>
  </si>
  <si>
    <t>WVC Categorical MOE</t>
  </si>
  <si>
    <t>Transfers Out</t>
  </si>
  <si>
    <t>WVC Financial Aid Match</t>
  </si>
  <si>
    <t>WVC Claris Class TRACKS</t>
  </si>
  <si>
    <t>Soft. Lic./Soft. Purch.</t>
  </si>
  <si>
    <t>WVC SARS</t>
  </si>
  <si>
    <t>WVC Angel</t>
  </si>
  <si>
    <t>WVC CCCApply</t>
  </si>
  <si>
    <t>College Hourly-Academic</t>
  </si>
  <si>
    <t>PT Faculty, Teaching</t>
  </si>
  <si>
    <t>100_103260_6570_55820_819</t>
  </si>
  <si>
    <t>WVC Utilities</t>
  </si>
  <si>
    <t>Trash</t>
  </si>
  <si>
    <t>100_105600_6400_55300_819</t>
  </si>
  <si>
    <t>Publications</t>
  </si>
  <si>
    <t>Printing</t>
  </si>
  <si>
    <t>Dean Instruction &amp; Matriculation</t>
  </si>
  <si>
    <t>100_106100_6120_55160_819</t>
  </si>
  <si>
    <t>Library</t>
  </si>
  <si>
    <t>Dean Learning Services</t>
  </si>
  <si>
    <t>100_106100_6120_55210_819</t>
  </si>
  <si>
    <t>100_106100_6120_55220_819</t>
  </si>
  <si>
    <t>Equipment Maint. &amp; Repair</t>
  </si>
  <si>
    <t>100_107100_0700_55210_819</t>
  </si>
  <si>
    <t>WVC Instructional Computi</t>
  </si>
  <si>
    <t>Dean Instructional Computer Technologies</t>
  </si>
  <si>
    <t>100_107100_0700_55220_819</t>
  </si>
  <si>
    <t>100_111100_0200_55210_819</t>
  </si>
  <si>
    <t>Architecture</t>
  </si>
  <si>
    <t>AAS Division</t>
  </si>
  <si>
    <t>100_111100_0200_55220_819</t>
  </si>
  <si>
    <t>100_111200_1300_55210_819</t>
  </si>
  <si>
    <t>Child Study</t>
  </si>
  <si>
    <t>100_111200_1300_55220_819</t>
  </si>
  <si>
    <t>100_111400_0900_55210_819</t>
  </si>
  <si>
    <t>Engineering</t>
  </si>
  <si>
    <t>100_111400_0900_55220_819</t>
  </si>
  <si>
    <t>100_111500_1300_55210_819</t>
  </si>
  <si>
    <t>Fashion Design</t>
  </si>
  <si>
    <t>100_111500_1300_55220_819</t>
  </si>
  <si>
    <t>100_111600_1200_55210_819</t>
  </si>
  <si>
    <t>Health Care Technology</t>
  </si>
  <si>
    <t>100_111600_1200_55220_819</t>
  </si>
  <si>
    <t>100_111700_1300_55210_819</t>
  </si>
  <si>
    <t>Interior Design</t>
  </si>
  <si>
    <t>100_111700_1300_55220_819</t>
  </si>
  <si>
    <t>100_111800_1400_55210_819</t>
  </si>
  <si>
    <t>Paralegal</t>
  </si>
  <si>
    <t>100_111800_1400_55220_819</t>
  </si>
  <si>
    <t>100_111900_2100_55210_819</t>
  </si>
  <si>
    <t>Park Mgmt</t>
  </si>
  <si>
    <t>100_111900_2100_55220_819</t>
  </si>
  <si>
    <t>100_112002_6010_55220_819</t>
  </si>
  <si>
    <t>Business Division Office</t>
  </si>
  <si>
    <t>Business Division</t>
  </si>
  <si>
    <t>100_112100_0500_55210_819</t>
  </si>
  <si>
    <t>Accounting</t>
  </si>
  <si>
    <t>100_112100_0500_55220_819</t>
  </si>
  <si>
    <t>100_112200_0500_55210_819</t>
  </si>
  <si>
    <t>General Business</t>
  </si>
  <si>
    <t>100_112200_0500_55220_819</t>
  </si>
  <si>
    <t>100_112300_0700_55210_819</t>
  </si>
  <si>
    <t>Computer Applications</t>
  </si>
  <si>
    <t>100_112300_0700_55220_819</t>
  </si>
  <si>
    <t>100_112400_0700_55210_819</t>
  </si>
  <si>
    <t>C.I.S.</t>
  </si>
  <si>
    <t>100_112400_0700_55220_819</t>
  </si>
  <si>
    <t>100_112500_0500_55210_819</t>
  </si>
  <si>
    <t>Court Reporting</t>
  </si>
  <si>
    <t>100_112500_0500_55220_819</t>
  </si>
  <si>
    <t>100_112600_0700_55210_819</t>
  </si>
  <si>
    <t>Digital Media</t>
  </si>
  <si>
    <t>100_112600_0700_55220_819</t>
  </si>
  <si>
    <t>100_113100_1000_55210_819</t>
  </si>
  <si>
    <t>Art</t>
  </si>
  <si>
    <t>Fine Arts Division</t>
  </si>
  <si>
    <t>100_113100_1000_55220_819</t>
  </si>
  <si>
    <t>100_113200_1000_55210_819</t>
  </si>
  <si>
    <t>Music</t>
  </si>
  <si>
    <t>100_113200_1000_55220_819</t>
  </si>
  <si>
    <t>100_113300_1000_55210_819</t>
  </si>
  <si>
    <t>Theater Arts</t>
  </si>
  <si>
    <t>100_113300_1000_55220_819</t>
  </si>
  <si>
    <t>100_114100_1500_55210_819</t>
  </si>
  <si>
    <t>English</t>
  </si>
  <si>
    <t>Language Arts Division</t>
  </si>
  <si>
    <t>100_114100_1500_55220_819</t>
  </si>
  <si>
    <t>100_114200_1500_55210_819</t>
  </si>
  <si>
    <t>E.S.L.</t>
  </si>
  <si>
    <t>100_114200_1500_55220_819</t>
  </si>
  <si>
    <t>100_114300_1100_55210_819</t>
  </si>
  <si>
    <t>Foreign Language</t>
  </si>
  <si>
    <t>100_114300_1100_55220_819</t>
  </si>
  <si>
    <t>100_114400_0600_55220_819</t>
  </si>
  <si>
    <t>Journalism</t>
  </si>
  <si>
    <t>100_114600_4900_55210_819</t>
  </si>
  <si>
    <t>Reading</t>
  </si>
  <si>
    <t>100_114600_4900_55220_819</t>
  </si>
  <si>
    <t>100_114700_1500_55210_819</t>
  </si>
  <si>
    <t>Communication Studies</t>
  </si>
  <si>
    <t>100_114700_1500_55220_819</t>
  </si>
  <si>
    <t>100_115000_6010_55210_819</t>
  </si>
  <si>
    <t>P.E. Division Office</t>
  </si>
  <si>
    <t>100_115000_6010_55220_819</t>
  </si>
  <si>
    <t>Intercollegiate Athletics</t>
  </si>
  <si>
    <t>PT Fac. Non Teach Stipends</t>
  </si>
  <si>
    <t>100_115200_6960_53120_819</t>
  </si>
  <si>
    <t>STRS - Non Instructional</t>
  </si>
  <si>
    <t>100_115200_6960_53340_819</t>
  </si>
  <si>
    <t>Medicare - Non-Instr.</t>
  </si>
  <si>
    <t>100_115200_6960_53350_819</t>
  </si>
  <si>
    <t>Apple Plan - Instr.</t>
  </si>
  <si>
    <t>100_115200_6960_53530_819</t>
  </si>
  <si>
    <t>UI - Non Instr.</t>
  </si>
  <si>
    <t>100_115200_6960_53620_819</t>
  </si>
  <si>
    <t>Worker's Comp.-Non Instr.</t>
  </si>
  <si>
    <t>Insurance</t>
  </si>
  <si>
    <t>100_116200_0400_55210_819</t>
  </si>
  <si>
    <t>Biology</t>
  </si>
  <si>
    <t>Science Math Division</t>
  </si>
  <si>
    <t>100_116200_0400_55220_819</t>
  </si>
  <si>
    <t>100_116300_1900_55210_819</t>
  </si>
  <si>
    <t>Chemistry</t>
  </si>
  <si>
    <t>100_116300_1900_55220_819</t>
  </si>
  <si>
    <t>100_116500_1700_55210_819</t>
  </si>
  <si>
    <t>Mathematics</t>
  </si>
  <si>
    <t>100_116500_1700_55220_819</t>
  </si>
  <si>
    <t>100_116600_1900_55210_819</t>
  </si>
  <si>
    <t>Physical Science</t>
  </si>
  <si>
    <t>100_116600_1900_55220_819</t>
  </si>
  <si>
    <t>100_117100_2100_55210_819</t>
  </si>
  <si>
    <t>Admin. of Justice</t>
  </si>
  <si>
    <t>Social Science Division</t>
  </si>
  <si>
    <t>100_117100_2100_55220_819</t>
  </si>
  <si>
    <t>100_117200_2200_55210_819</t>
  </si>
  <si>
    <t>Anthropology</t>
  </si>
  <si>
    <t>100_117200_2200_55220_819</t>
  </si>
  <si>
    <t>100_117250_2200_55210_819</t>
  </si>
  <si>
    <t>Geography</t>
  </si>
  <si>
    <t>100_117250_2200_55220_819</t>
  </si>
  <si>
    <t>100_117300_2200_55210_819</t>
  </si>
  <si>
    <t>Economics</t>
  </si>
  <si>
    <t>100_117300_2200_55220_819</t>
  </si>
  <si>
    <t>100_117400_1500_55220_819</t>
  </si>
  <si>
    <t>Humanities</t>
  </si>
  <si>
    <t>100_117450_1500_55210_819</t>
  </si>
  <si>
    <t>Philosophy</t>
  </si>
  <si>
    <t>100_117450_1500_55220_819</t>
  </si>
  <si>
    <t>100_117500_2200_55210_819</t>
  </si>
  <si>
    <t>History</t>
  </si>
  <si>
    <t>100_117500_2200_55220_819</t>
  </si>
  <si>
    <t>100_117600_2200_55210_819</t>
  </si>
  <si>
    <t>Political Science</t>
  </si>
  <si>
    <t>100_117600_2200_55220_819</t>
  </si>
  <si>
    <t>100_117700_1000_55210_819</t>
  </si>
  <si>
    <t>Photography</t>
  </si>
  <si>
    <t>100_117700_1000_55220_819</t>
  </si>
  <si>
    <t>100_117800_2000_55210_819</t>
  </si>
  <si>
    <t>Psychology</t>
  </si>
  <si>
    <t>100_117800_2000_55220_819</t>
  </si>
  <si>
    <t>100_117900_2200_55210_819</t>
  </si>
  <si>
    <t>Sociology</t>
  </si>
  <si>
    <t>100_117900_2200_55220_819</t>
  </si>
  <si>
    <t>100_118000_6010_55210_819</t>
  </si>
  <si>
    <t>Student Services Division</t>
  </si>
  <si>
    <t>100_118000_6010_55220_819</t>
  </si>
  <si>
    <t>WVC-NISOD</t>
  </si>
  <si>
    <t>Food Services</t>
  </si>
  <si>
    <t>WVC S.D. Academic Senate</t>
  </si>
  <si>
    <t>WVC S.D. Classified Senate</t>
  </si>
  <si>
    <t>Leases</t>
  </si>
  <si>
    <t>Accreditation/Program Rev</t>
  </si>
  <si>
    <t>Dues, Memberships &amp; Fees</t>
  </si>
  <si>
    <t>MC President</t>
  </si>
  <si>
    <t>Non-Instr. Supplies/Materia</t>
  </si>
  <si>
    <t>100_206200_6750_55115_819</t>
  </si>
  <si>
    <t>MC-Classified Senate</t>
  </si>
  <si>
    <t>Hourly Classified Salaries</t>
  </si>
  <si>
    <t>Travel, Conference- Other Intl</t>
  </si>
  <si>
    <t>VP Administration</t>
  </si>
  <si>
    <t>VP Admin Services</t>
  </si>
  <si>
    <t>100_220000_6770_53120_819</t>
  </si>
  <si>
    <t>100_220000_6770_53340_819</t>
  </si>
  <si>
    <t>100_220000_6770_53350_819</t>
  </si>
  <si>
    <t>100_220000_6770_53530_819</t>
  </si>
  <si>
    <t>100_220000_6770_53620_819</t>
  </si>
  <si>
    <t>MC Categorical MOE</t>
  </si>
  <si>
    <t>MC Financial Aid Match</t>
  </si>
  <si>
    <t>MC Claris Class TRACKS</t>
  </si>
  <si>
    <t>MC SARS</t>
  </si>
  <si>
    <t>MC Angel</t>
  </si>
  <si>
    <t>MC CCCApply</t>
  </si>
  <si>
    <t>Utilities</t>
  </si>
  <si>
    <t>Fixed Cost-Faculty</t>
  </si>
  <si>
    <t>Fixed Cost-Faculty Travel</t>
  </si>
  <si>
    <t>100_290200_6110_55510_819</t>
  </si>
  <si>
    <t>Fixed Cost-Library</t>
  </si>
  <si>
    <t>Chanc.-Bd of Trustees</t>
  </si>
  <si>
    <t>Election Expenses</t>
  </si>
  <si>
    <t>Advance. Admin.</t>
  </si>
  <si>
    <t>Audit Expenses</t>
  </si>
  <si>
    <t>CC - E Commerce Charges</t>
  </si>
  <si>
    <t>100_304000_7900_55000_819</t>
  </si>
  <si>
    <t>Vice Chancellor Budget Adm</t>
  </si>
  <si>
    <t>Operating Exp. Umb. Acct.</t>
  </si>
  <si>
    <t>Vice Chancellor Adm Services</t>
  </si>
  <si>
    <t>DW Utilities - WV</t>
  </si>
  <si>
    <t>Natural Gas</t>
  </si>
  <si>
    <t>Water</t>
  </si>
  <si>
    <t>Sewer</t>
  </si>
  <si>
    <t>DW Utilities  - MC</t>
  </si>
  <si>
    <t>Retirement Incentive</t>
  </si>
  <si>
    <t>SERP -Instructional</t>
  </si>
  <si>
    <t>Negotiations</t>
  </si>
  <si>
    <t xml:space="preserve">Fiscal Svcs. </t>
  </si>
  <si>
    <t>Hrly Class Special Services</t>
  </si>
  <si>
    <t>Collection Agency</t>
  </si>
  <si>
    <t>Bank Charges</t>
  </si>
  <si>
    <t>UI - Instr.</t>
  </si>
  <si>
    <t>100_304180_6600_52350_819</t>
  </si>
  <si>
    <t>Vice Chan.-Fiscal Admin.</t>
  </si>
  <si>
    <t>100_304180_6600_53100_819</t>
  </si>
  <si>
    <t>Mandatory Fringe Benefits</t>
  </si>
  <si>
    <t>100_304180_6600_53340_819</t>
  </si>
  <si>
    <t>100_304180_6600_53530_819</t>
  </si>
  <si>
    <t>100_304180_6600_53620_819</t>
  </si>
  <si>
    <t>Legal</t>
  </si>
  <si>
    <t>100_304180_6720_55150_819</t>
  </si>
  <si>
    <t>100_304180_6770_53340_819</t>
  </si>
  <si>
    <t>100_304180_6770_53530_819</t>
  </si>
  <si>
    <t>100_304180_6770_53620_819</t>
  </si>
  <si>
    <t>Distwide Allot.</t>
  </si>
  <si>
    <t>Hlth Benefits - Inst Retirees</t>
  </si>
  <si>
    <t>100_304197_0000_48897_819</t>
  </si>
  <si>
    <t>Dist. Revenue</t>
  </si>
  <si>
    <t>Rebates</t>
  </si>
  <si>
    <t>Retro Pay</t>
  </si>
  <si>
    <t>100_304197_6790_53220_819</t>
  </si>
  <si>
    <t>PERS- Non-Instr.</t>
  </si>
  <si>
    <t>100_304197_6790_53320_819</t>
  </si>
  <si>
    <t>OASDI- Non-Instr.</t>
  </si>
  <si>
    <t>100_304197_6790_53340_819</t>
  </si>
  <si>
    <t>100_304197_6790_53420_819</t>
  </si>
  <si>
    <t>Hlth. Ben. - Other NonInstr</t>
  </si>
  <si>
    <t>100_304197_6790_53530_819</t>
  </si>
  <si>
    <t>100_304197_6790_53620_819</t>
  </si>
  <si>
    <t>100_304197_7310_57300_819</t>
  </si>
  <si>
    <t>HR- Admin.</t>
  </si>
  <si>
    <t>Banked Leave - Instructional</t>
  </si>
  <si>
    <t>Director of Human Resources</t>
  </si>
  <si>
    <t>STRS-Instr.</t>
  </si>
  <si>
    <t>100_305200_4900_53120_819</t>
  </si>
  <si>
    <t>100_305200_4900_53220_819</t>
  </si>
  <si>
    <t>100_305200_4900_53320_819</t>
  </si>
  <si>
    <t>100_305200_4900_53340_819</t>
  </si>
  <si>
    <t>Hlth. Ben.-Acad &amp; Instr. Ai</t>
  </si>
  <si>
    <t>100_305200_4900_53530_819</t>
  </si>
  <si>
    <t>100_305200_4900_53620_819</t>
  </si>
  <si>
    <t>Vacation Payout</t>
  </si>
  <si>
    <t>100_305200_6730_53311_819</t>
  </si>
  <si>
    <t>Advertising</t>
  </si>
  <si>
    <t>Other</t>
  </si>
  <si>
    <t>HR-Supervisor's Staff Dev.</t>
  </si>
  <si>
    <t>Training</t>
  </si>
  <si>
    <t>HR - SEIU Neg Fixed Cost</t>
  </si>
  <si>
    <t>Hrly Class. Replacements</t>
  </si>
  <si>
    <t>Staff Development -District</t>
  </si>
  <si>
    <t>100_308500_6600_55120_819</t>
  </si>
  <si>
    <t>Pub. Safety- Admin.</t>
  </si>
  <si>
    <t>Professional Services</t>
  </si>
  <si>
    <t>Director of Public Safety</t>
  </si>
  <si>
    <t>Fixed Costs</t>
  </si>
  <si>
    <t>Fingerprinting</t>
  </si>
  <si>
    <t>Safety/Maint of Standards</t>
  </si>
  <si>
    <t>Gen. Svcs.-Purchasing</t>
  </si>
  <si>
    <t>Non Instruct - Safety Shoes</t>
  </si>
  <si>
    <t>Director of General Services</t>
  </si>
  <si>
    <t>Info. Sys.-Admin.</t>
  </si>
  <si>
    <t>Director of Information Systems</t>
  </si>
  <si>
    <t>Non-Instr. Computer Supp.</t>
  </si>
  <si>
    <t>Replacement Equipment</t>
  </si>
  <si>
    <t>Info. Sys.-Data</t>
  </si>
  <si>
    <t>Info. Sys.-PBX</t>
  </si>
  <si>
    <t>Telephone</t>
  </si>
  <si>
    <t>Radio/Cell Phone</t>
  </si>
  <si>
    <t>Facility-Cogen. Maint.</t>
  </si>
  <si>
    <t>Director of Facilities</t>
  </si>
  <si>
    <t>Facility-Safety/Hazard.</t>
  </si>
  <si>
    <t>891_304169_0000_48900_819</t>
  </si>
  <si>
    <t>Transfers In</t>
  </si>
  <si>
    <t>Row Labels</t>
  </si>
  <si>
    <t>100_100100_6090_55910_819</t>
  </si>
  <si>
    <t>100_103206_6150_55500_819</t>
  </si>
  <si>
    <t>100_220004_6150_55500_819</t>
  </si>
  <si>
    <t>100_230000_6120_55510_819</t>
  </si>
  <si>
    <t>Count of Account Number</t>
  </si>
  <si>
    <t xml:space="preserve">multiple </t>
  </si>
  <si>
    <t>Academic Senate - Food Services</t>
  </si>
  <si>
    <t>HigherOne</t>
  </si>
  <si>
    <t>annual subs. refund/FA disburs.</t>
  </si>
  <si>
    <t>increase due to change in carrier</t>
  </si>
  <si>
    <t>4% rebate for 12/13</t>
  </si>
  <si>
    <t>Change in Trustee election</t>
  </si>
  <si>
    <t>Accreditation preparation</t>
  </si>
  <si>
    <t>100_100100_6090_54210_819</t>
  </si>
  <si>
    <t>3% increase</t>
  </si>
  <si>
    <t>Rate decrease</t>
  </si>
  <si>
    <t>Final payment made in 12/13</t>
  </si>
  <si>
    <t>as of 6/30/12</t>
  </si>
  <si>
    <t>grand total</t>
  </si>
  <si>
    <t>additional cost</t>
  </si>
  <si>
    <t>Elections/Redistricting Board Election</t>
  </si>
  <si>
    <t>100_220900_6490_55160_819</t>
  </si>
  <si>
    <t>100_102000_6490_55160_819</t>
  </si>
  <si>
    <t>BRMS/SmartBen Benefit System</t>
  </si>
  <si>
    <t>PeopleAdmin (e-recruit system)</t>
  </si>
  <si>
    <t>add online recruiting system</t>
  </si>
  <si>
    <t>ACE Reassigned Time</t>
  </si>
  <si>
    <t>100_103200_6010_51221_818</t>
  </si>
  <si>
    <t>100_220000_6010_51221_818</t>
  </si>
  <si>
    <t>100_304197_7310_57300_818</t>
  </si>
  <si>
    <t>Debt Service for LRB 2011 - Solar Project</t>
  </si>
  <si>
    <t>100-304197-7310-57300-819</t>
  </si>
  <si>
    <t>F,G</t>
  </si>
  <si>
    <t>Expenditures with Offsetting Revenues</t>
  </si>
  <si>
    <t>Fixed Costs Grand Total</t>
  </si>
  <si>
    <t>Total</t>
  </si>
  <si>
    <t>YE Recalculation</t>
  </si>
  <si>
    <t>Change accounting process</t>
  </si>
  <si>
    <t>Debt Service for LRB 2011 (Solar Project)</t>
  </si>
  <si>
    <t>100_309960_6770_55160_819</t>
  </si>
  <si>
    <t>100_309960_6770_54210_819</t>
  </si>
  <si>
    <t>100_100100_6090_52350_819</t>
  </si>
  <si>
    <t>100_100100_6090_53323_819</t>
  </si>
  <si>
    <t>100_100100_6090_53324_819</t>
  </si>
  <si>
    <t>Apple Plan - Non-Instr</t>
  </si>
  <si>
    <t>100_100100_6090_53520_819</t>
  </si>
  <si>
    <t>100_100100_6090_53620_819</t>
  </si>
  <si>
    <t>VP Student Services</t>
  </si>
  <si>
    <t>College Admin Services Office</t>
  </si>
  <si>
    <t>Shared Gov Reassigned Time</t>
  </si>
  <si>
    <t>Astra/LaserFiche/FormFusion</t>
  </si>
  <si>
    <t>100_111004_2100_55210_819</t>
  </si>
  <si>
    <t>Admin of Justice</t>
  </si>
  <si>
    <t>100_111004_2100_55220_819</t>
  </si>
  <si>
    <t>100_220000_6770_53314_819</t>
  </si>
  <si>
    <t>Apple Plan - Instr</t>
  </si>
  <si>
    <t>100_220000_6770_53323_819</t>
  </si>
  <si>
    <t>100_220000_6770_53520_819</t>
  </si>
  <si>
    <t>MC - Collegewide</t>
  </si>
  <si>
    <t>Instructional Progr&amp;Svcs</t>
  </si>
  <si>
    <t>VP, Instruction</t>
  </si>
  <si>
    <t>100_304180_6770_52320_819</t>
  </si>
  <si>
    <t>Class OT Salary</t>
  </si>
  <si>
    <t>100_304180_6770_53323_819</t>
  </si>
  <si>
    <t>100_304180_6770_53520_819</t>
  </si>
  <si>
    <t>100_304190_7300_57300_819</t>
  </si>
  <si>
    <t>100_304197_0000_48896_818</t>
  </si>
  <si>
    <t>Reimb. Ace Release Time</t>
  </si>
  <si>
    <t>100_304197_0000_48897_818</t>
  </si>
  <si>
    <t>100_304197_6720_55185_819</t>
  </si>
  <si>
    <t>100_304197_7210_57131_819</t>
  </si>
  <si>
    <t>Bond Admin Fee</t>
  </si>
  <si>
    <t>Club Activities</t>
  </si>
  <si>
    <t>100_309660_6770_54210_819</t>
  </si>
  <si>
    <t>Gen. Svcs-JPA Worker Comp</t>
  </si>
  <si>
    <t>100_309660_6770_55160_819</t>
  </si>
  <si>
    <t>Community College Search Service</t>
  </si>
  <si>
    <t>College Admin</t>
  </si>
  <si>
    <t>VP Administrat</t>
  </si>
  <si>
    <t>VP Student Ser</t>
  </si>
  <si>
    <t>WVC Categorica</t>
  </si>
  <si>
    <t>WVC Financial</t>
  </si>
  <si>
    <t>WVC SARS : Sof</t>
  </si>
  <si>
    <t>WVC Angel : So</t>
  </si>
  <si>
    <t>WVC CCCApply :</t>
  </si>
  <si>
    <t>Astra/LaserFic</t>
  </si>
  <si>
    <t>College Hourly</t>
  </si>
  <si>
    <t>Library : Cur.</t>
  </si>
  <si>
    <t>Library : Prio</t>
  </si>
  <si>
    <t>Library : Equi</t>
  </si>
  <si>
    <t>WVC Instructio</t>
  </si>
  <si>
    <t>Admin of Justi</t>
  </si>
  <si>
    <t>Architecture :</t>
  </si>
  <si>
    <t>Child Study :</t>
  </si>
  <si>
    <t>Engineering :</t>
  </si>
  <si>
    <t>Health Care Te</t>
  </si>
  <si>
    <t>Interior Desig</t>
  </si>
  <si>
    <t>Paralegal : Cu</t>
  </si>
  <si>
    <t>Paralegal : Pr</t>
  </si>
  <si>
    <t>Park Mgmt : Cu</t>
  </si>
  <si>
    <t>Park Mgmt : Pr</t>
  </si>
  <si>
    <t>Business Divis</t>
  </si>
  <si>
    <t>Accounting : C</t>
  </si>
  <si>
    <t>Accounting : P</t>
  </si>
  <si>
    <t>General Busine</t>
  </si>
  <si>
    <t>Computer Appli</t>
  </si>
  <si>
    <t>C.I.S. : Cur.</t>
  </si>
  <si>
    <t>C.I.S. : Prior</t>
  </si>
  <si>
    <t>Court Reportin</t>
  </si>
  <si>
    <t>Art : Cur. Yea</t>
  </si>
  <si>
    <t>Art : Prior Yr</t>
  </si>
  <si>
    <t>Music : Cur. Y</t>
  </si>
  <si>
    <t>Music : Prior</t>
  </si>
  <si>
    <t>Theater Arts :</t>
  </si>
  <si>
    <t>English : Cur.</t>
  </si>
  <si>
    <t>English : Prio</t>
  </si>
  <si>
    <t>E.S.L. : Cur.</t>
  </si>
  <si>
    <t>E.S.L. : Prior</t>
  </si>
  <si>
    <t>Foreign Langua</t>
  </si>
  <si>
    <t>Reading : Cur.</t>
  </si>
  <si>
    <t>Reading : Prio</t>
  </si>
  <si>
    <t>Communication</t>
  </si>
  <si>
    <t>P.E. Division</t>
  </si>
  <si>
    <t>Intercollegiat</t>
  </si>
  <si>
    <t>Biology : Cur.</t>
  </si>
  <si>
    <t>Biology : Prio</t>
  </si>
  <si>
    <t>Chemistry : Cu</t>
  </si>
  <si>
    <t>Chemistry : Pr</t>
  </si>
  <si>
    <t>Mathematics :</t>
  </si>
  <si>
    <t>Physical Scien</t>
  </si>
  <si>
    <t>Admin. of Just</t>
  </si>
  <si>
    <t>Anthropology :</t>
  </si>
  <si>
    <t>Geography : Cu</t>
  </si>
  <si>
    <t>Geography : Pr</t>
  </si>
  <si>
    <t>Economics : Cu</t>
  </si>
  <si>
    <t>Economics : Pr</t>
  </si>
  <si>
    <t>Humanities : P</t>
  </si>
  <si>
    <t>Philosophy : C</t>
  </si>
  <si>
    <t>Philosophy : P</t>
  </si>
  <si>
    <t>History : Cur.</t>
  </si>
  <si>
    <t>History : Prio</t>
  </si>
  <si>
    <t>Political Scie</t>
  </si>
  <si>
    <t>Photography :</t>
  </si>
  <si>
    <t>Psychology : C</t>
  </si>
  <si>
    <t>Psychology : P</t>
  </si>
  <si>
    <t>Sociology : Cu</t>
  </si>
  <si>
    <t>Sociology : Pr</t>
  </si>
  <si>
    <t>Student Servic</t>
  </si>
  <si>
    <t>WVC-NISOD : PT</t>
  </si>
  <si>
    <t>WVC-NISOD : Fo</t>
  </si>
  <si>
    <t>WVC-NISOD : Tr</t>
  </si>
  <si>
    <t>WVC S.D. Acade</t>
  </si>
  <si>
    <t>WVC S.D. Class</t>
  </si>
  <si>
    <t>Campbell Cente</t>
  </si>
  <si>
    <t>Accreditation/</t>
  </si>
  <si>
    <t>Academic Senat</t>
  </si>
  <si>
    <t>MC-Classified</t>
  </si>
  <si>
    <t>MC Categorical</t>
  </si>
  <si>
    <t>MC Financial A</t>
  </si>
  <si>
    <t>MC SARS : Soft</t>
  </si>
  <si>
    <t>MC Angel : Sof</t>
  </si>
  <si>
    <t>MC CCCApply :</t>
  </si>
  <si>
    <t>MC - Collegewi</t>
  </si>
  <si>
    <t>Utilities : PT</t>
  </si>
  <si>
    <t>Instructional</t>
  </si>
  <si>
    <t>Fixed Cost-Fac</t>
  </si>
  <si>
    <t>Fixed Cost-Lib</t>
  </si>
  <si>
    <t>Chanc.-Bd of T</t>
  </si>
  <si>
    <t>Advance. Admin</t>
  </si>
  <si>
    <t>DW Utilities -</t>
  </si>
  <si>
    <t>DW Utilities</t>
  </si>
  <si>
    <t>Retirement Inc</t>
  </si>
  <si>
    <t>Negotiations :</t>
  </si>
  <si>
    <t>Fiscal Svcs.</t>
  </si>
  <si>
    <t>Vice Chan.-Fis</t>
  </si>
  <si>
    <t>Distwide Allot</t>
  </si>
  <si>
    <t>HR- Admin. : B</t>
  </si>
  <si>
    <t>HR- Admin. : S</t>
  </si>
  <si>
    <t>HR- Admin. : H</t>
  </si>
  <si>
    <t>HR- Admin. : V</t>
  </si>
  <si>
    <t>HR- Admin. : N</t>
  </si>
  <si>
    <t>HR- Admin. : C</t>
  </si>
  <si>
    <t>HR- Admin. : A</t>
  </si>
  <si>
    <t>HR-Supervisor'</t>
  </si>
  <si>
    <t>HR - SEIU Neg</t>
  </si>
  <si>
    <t>Staff Developm</t>
  </si>
  <si>
    <t>Pub. Safety- A</t>
  </si>
  <si>
    <t>Fixed Costs :</t>
  </si>
  <si>
    <t>Training : Pro</t>
  </si>
  <si>
    <t>Safety/Maint o</t>
  </si>
  <si>
    <t>County Communi</t>
  </si>
  <si>
    <t>Gen. Svcs.-Pur</t>
  </si>
  <si>
    <t>Gen. Svcs-JPA</t>
  </si>
  <si>
    <t>Info. Sys.-Adm</t>
  </si>
  <si>
    <t>Info. Sys.-Dat</t>
  </si>
  <si>
    <t>Facility-Cogen</t>
  </si>
  <si>
    <t>Facility-Safet</t>
  </si>
  <si>
    <t>GL Account</t>
  </si>
  <si>
    <t>Desc</t>
  </si>
  <si>
    <t>YTD Encumbrances</t>
  </si>
  <si>
    <t>MTD Actual</t>
  </si>
  <si>
    <t>YTD Actual</t>
  </si>
  <si>
    <t>YTD Budget</t>
  </si>
  <si>
    <t>% Avail</t>
  </si>
  <si>
    <t>100_100100_6090_53220_819</t>
  </si>
  <si>
    <t>100_100100_6090_53320_819</t>
  </si>
  <si>
    <t>100_115200_6960_53314_819</t>
  </si>
  <si>
    <t>100_115200_6960_53323_819</t>
  </si>
  <si>
    <t>100_115200_6960_53520_819</t>
  </si>
  <si>
    <t>100_200700_6090_51450_819</t>
  </si>
  <si>
    <t>WVC Total</t>
  </si>
  <si>
    <t>MC SubTotal</t>
  </si>
  <si>
    <t>MC Total 818 and 819</t>
  </si>
  <si>
    <t>PT Fac Non Teaching Stipends</t>
  </si>
  <si>
    <t>Accreditation - PT Faculty Non Teaching Stipend</t>
  </si>
  <si>
    <t>WVC Total 818&amp; 819</t>
  </si>
  <si>
    <t>Accreditation - Hourly Classified</t>
  </si>
  <si>
    <t>Prepaid</t>
  </si>
  <si>
    <t>collection agency</t>
  </si>
  <si>
    <t>STR's Inst.</t>
  </si>
  <si>
    <t>13/14</t>
  </si>
  <si>
    <t>Tnt. Budget</t>
  </si>
  <si>
    <t>Arbitrage/Actuarial</t>
  </si>
  <si>
    <t>increase for Actuarial report</t>
  </si>
  <si>
    <t>Mngr/Conf/Supr  SERP Premium 5 of 5 yrs</t>
  </si>
  <si>
    <t>Emergency Generator PM and Load Tests Fees</t>
  </si>
  <si>
    <t>Vacuum Service/Pump out Sediment Traps</t>
  </si>
  <si>
    <t>increase due to add'l load test fees</t>
  </si>
  <si>
    <t>increase for inspection cost 4x a yr</t>
  </si>
  <si>
    <t>move to Vacuum Service</t>
  </si>
  <si>
    <t>Fumehood Testing &amp; Inspc (prev Tech Safety)</t>
  </si>
  <si>
    <t>increase to cover annual compliance</t>
  </si>
  <si>
    <t>Emergency Lighting Annual Test &amp; Monitoring</t>
  </si>
  <si>
    <t>Fire Alarm Annual Life/Safety Test &amp; Monitoring</t>
  </si>
  <si>
    <t>increase due to new fire alarm sys.</t>
  </si>
  <si>
    <t>Fire Suppression Systems (prev extinguisher)</t>
  </si>
  <si>
    <t>incr for monthly inspct-prior annual</t>
  </si>
  <si>
    <t>Fire Protection-Sprinkler System</t>
  </si>
  <si>
    <t>Kitchen Lab Hood Cleaning</t>
  </si>
  <si>
    <t>Maintenance Work Order System</t>
  </si>
  <si>
    <t>new-county health code requirement</t>
  </si>
  <si>
    <t>as of 2/28/13</t>
  </si>
  <si>
    <t>Change in Trustee election/cost per yr</t>
  </si>
  <si>
    <t>100_115200_6960_53324_819</t>
  </si>
  <si>
    <t>100_200700_6090_53120_819</t>
  </si>
  <si>
    <t>100_200700_6090_53323_819</t>
  </si>
  <si>
    <t>100_200700_6090_53520_819</t>
  </si>
  <si>
    <t>100_200700_6090_53620_819</t>
  </si>
  <si>
    <t>100_304170_4900_53510_819</t>
  </si>
  <si>
    <t>WVC Total 818 and 819</t>
  </si>
  <si>
    <t>DS 818</t>
  </si>
  <si>
    <t>DS Fixed Cost</t>
  </si>
  <si>
    <t>DS prepaid</t>
  </si>
  <si>
    <t>object</t>
  </si>
  <si>
    <t>loc</t>
  </si>
  <si>
    <t>Facilities subtotal</t>
  </si>
  <si>
    <t>SmartBen Benefit System only</t>
  </si>
  <si>
    <t>Benefits Consultant (BB&amp;T) - 3 of 3 years</t>
  </si>
  <si>
    <t>Faculty Travel &amp; Conference  C/O fr 13/14</t>
  </si>
  <si>
    <t>No tenure bonus for 13/14</t>
  </si>
  <si>
    <t>Senate</t>
  </si>
  <si>
    <t>Academic Senate President Stipend</t>
  </si>
  <si>
    <t>ACE 166 @ 200</t>
  </si>
  <si>
    <t>100_119304_6750_51450_819</t>
  </si>
  <si>
    <t>100_206200_6750_51450_819</t>
  </si>
  <si>
    <t>ACE 145 @ 200</t>
  </si>
  <si>
    <t>one-time cost for FY 12/13</t>
  </si>
  <si>
    <t>increase for  DIR permits</t>
  </si>
  <si>
    <t>annual increase</t>
  </si>
  <si>
    <t xml:space="preserve"> </t>
  </si>
  <si>
    <t>FY 13/14 Jul/Jun</t>
  </si>
  <si>
    <t>increase in cost per County</t>
  </si>
  <si>
    <t>renewal increase 6%</t>
  </si>
  <si>
    <t>annual and incr 5 yr insp new bldgs</t>
  </si>
  <si>
    <t>Printing Svcs Budget Book/Board Agendas/Negotiated Contracts</t>
  </si>
  <si>
    <t>reduction due to change in process</t>
  </si>
  <si>
    <t>Final payment  amount  for 13/14</t>
  </si>
  <si>
    <t>liability insurance increase in cost</t>
  </si>
  <si>
    <t>new-annual cost of maintence sys.</t>
  </si>
  <si>
    <t>100_308602_6770_55200_819</t>
  </si>
  <si>
    <t>Adopt Budget</t>
  </si>
  <si>
    <t>West Valley Mi</t>
  </si>
  <si>
    <t>ssion Community</t>
  </si>
  <si>
    <t>Colle</t>
  </si>
  <si>
    <t>ge District</t>
  </si>
  <si>
    <t>YTD Budg</t>
  </si>
  <si>
    <t>et Report Ending</t>
  </si>
  <si>
    <t>0/2013</t>
  </si>
  <si>
    <t>Op</t>
  </si>
  <si>
    <t>tions - All Stat</t>
  </si>
  <si>
    <t>uses</t>
  </si>
  <si>
    <t>Fiscal Year: 2013</t>
  </si>
  <si>
    <t>UND: 100 - Genera</t>
  </si>
  <si>
    <t>---------------</t>
  </si>
  <si>
    <t>----------------</t>
  </si>
  <si>
    <t>------------</t>
  </si>
  <si>
    <t>-------</t>
  </si>
  <si>
    <t>Training : Tra</t>
  </si>
  <si>
    <t>_________________________</t>
  </si>
  <si>
    <t>100_100100_6090_56400_819</t>
  </si>
  <si>
    <t>100_119303_6750_51450_819</t>
  </si>
  <si>
    <t>100_206200_6750_53120_819</t>
  </si>
  <si>
    <t>100_206200_6750_53323_819</t>
  </si>
  <si>
    <t>100_206200_6750_53520_819</t>
  </si>
  <si>
    <t>100_206200_6750_53620_819</t>
  </si>
  <si>
    <t>100_220000_6010_53120_818</t>
  </si>
  <si>
    <t>100_220000_6010_53323_818</t>
  </si>
  <si>
    <t>100_220000_6010_53520_818</t>
  </si>
  <si>
    <t>100_220000_6010_53620_818</t>
  </si>
  <si>
    <t>100_304190_7310_57300_819</t>
  </si>
  <si>
    <t>100_309600_6770_55400_819</t>
  </si>
  <si>
    <t>Accreditation - equipment</t>
  </si>
  <si>
    <t>Incr due to Evaluation visit</t>
  </si>
  <si>
    <t>as of 7/10/13</t>
  </si>
  <si>
    <t>Energy Management System</t>
  </si>
  <si>
    <t>YE recalculation</t>
  </si>
  <si>
    <t>Realign budget per actual</t>
  </si>
  <si>
    <t>Incr. MC for SLO module</t>
  </si>
  <si>
    <t>Increase in contract</t>
  </si>
  <si>
    <t>Adj per insurance renewal rate</t>
  </si>
  <si>
    <t>Decr. due to chg in vendor</t>
  </si>
  <si>
    <t>new- contract for HVAC</t>
  </si>
  <si>
    <t>Incr fee &amp; Evaluation visit</t>
  </si>
  <si>
    <t>Renewal rate adj for 2 yr contr.</t>
  </si>
  <si>
    <t>WVMCEA Negotiator Substitutes</t>
  </si>
  <si>
    <t>Final Budget</t>
  </si>
  <si>
    <t>2012-13</t>
  </si>
  <si>
    <t>2013-14</t>
  </si>
  <si>
    <t>Incr/(Decr)</t>
  </si>
  <si>
    <t>Student Insurance</t>
  </si>
  <si>
    <r>
      <t xml:space="preserve">Athletics Insurance </t>
    </r>
    <r>
      <rPr>
        <i/>
        <sz val="9"/>
        <color rgb="FFFF0000"/>
        <rFont val="Arial"/>
        <family val="2"/>
      </rPr>
      <t>for PE and Athletics</t>
    </r>
    <r>
      <rPr>
        <sz val="9"/>
        <rFont val="Arial"/>
        <family val="2"/>
      </rPr>
      <t xml:space="preserve"> </t>
    </r>
    <r>
      <rPr>
        <i/>
        <sz val="9"/>
        <color rgb="FFFF0000"/>
        <rFont val="Arial"/>
        <family val="2"/>
      </rPr>
      <t>Students</t>
    </r>
  </si>
  <si>
    <t>100_103200_6440_55940_819</t>
  </si>
  <si>
    <t>WVC Faculty Travel &amp; Conference  C/O from Pr Yr</t>
  </si>
  <si>
    <t>WVC Faculty Travel &amp; Conference  C/O fr 12/13</t>
  </si>
  <si>
    <t>MC Faculty Travel &amp; Conference  C/O from Pr Yr</t>
  </si>
  <si>
    <t>MC Faculty Travel &amp; Conference  C/O fr 12/13</t>
  </si>
  <si>
    <t>Final Budget 2013-14</t>
  </si>
  <si>
    <t>Budget Adjust. Incr / (Decr)</t>
  </si>
  <si>
    <t>Actuals          2013-14
as of 2/28/14</t>
  </si>
  <si>
    <t xml:space="preserve"> Total</t>
  </si>
  <si>
    <t>Academic Senate - non teaching stipends</t>
  </si>
  <si>
    <t>Academic Senate - benefits</t>
  </si>
  <si>
    <t>100_206200_6750_53xxx_819</t>
  </si>
  <si>
    <t>Academic Senate - dues membership &amp; fee</t>
  </si>
  <si>
    <t>100_206200_6750_55910_819</t>
  </si>
  <si>
    <t>Academic Senate - Stipends</t>
  </si>
  <si>
    <t>100_119100_6030_51450_819</t>
  </si>
  <si>
    <t>Accreditation - Travel, Conference</t>
  </si>
  <si>
    <t>Accreditation -Duplicating</t>
  </si>
  <si>
    <t>100_100100_6090_54240_819</t>
  </si>
  <si>
    <t>Chancellor-BOT Election expenses</t>
  </si>
  <si>
    <t xml:space="preserve">Public Safety Admin -EverBridge - Text Messaging </t>
  </si>
  <si>
    <t>Tent Budget
2014-15</t>
  </si>
  <si>
    <t>c/o fr Pr Yr fr Fund Bal.</t>
  </si>
  <si>
    <t>Based on CrYr estimate</t>
  </si>
  <si>
    <t>Based on actual expense</t>
  </si>
  <si>
    <t>100_304197_7310_57301_818</t>
  </si>
  <si>
    <t>Debt Service for LRB 2011 (Solar Project) PrYr C/O</t>
  </si>
  <si>
    <t>Debt Service for LRB 2011 (Solar Project) CrYr</t>
  </si>
  <si>
    <t>WVC Faculty Travel &amp; Conference  C/O from PrYr</t>
  </si>
  <si>
    <t>MC Faculty Travel &amp; Conference  C/O from PrYr</t>
  </si>
  <si>
    <t>WVC Faculty Travel &amp; Conference  C/O fr 13/14</t>
  </si>
  <si>
    <t>MC Faculty Travel &amp; Conference  C/O fr 13/14</t>
  </si>
  <si>
    <t>Working Budget
2013-14</t>
  </si>
  <si>
    <t>Academic Senate President - benefits</t>
  </si>
  <si>
    <t>100_206200_6750_53XXX_819</t>
  </si>
  <si>
    <t>Accreditation - Non Teach Stipends</t>
  </si>
  <si>
    <t>Accreditation - Hrly Classified Salary</t>
  </si>
  <si>
    <t>Accreditation - Benefits</t>
  </si>
  <si>
    <t>100_200700_6090_52310_819</t>
  </si>
  <si>
    <t>100_200700_6090_53xxx_819</t>
  </si>
  <si>
    <t>Accreditation - Foods</t>
  </si>
  <si>
    <t>100_200700_6090_55115_819</t>
  </si>
  <si>
    <t>100_200700_6090_55205_819</t>
  </si>
  <si>
    <t>100_200700_6090_55300_819</t>
  </si>
  <si>
    <t>Accreditation - Printing</t>
  </si>
  <si>
    <t>Accreditation - Food</t>
  </si>
  <si>
    <t>100_100100_6090_55115_819</t>
  </si>
  <si>
    <t>100_304180_6770_54210_819</t>
  </si>
  <si>
    <t>2 faculty @ 5,500 each</t>
  </si>
  <si>
    <t>decrease in FTES</t>
  </si>
  <si>
    <t>Renewal rate adj for 2 yr contract</t>
  </si>
  <si>
    <t>Insurance for Students</t>
  </si>
  <si>
    <t xml:space="preserve">Insurance for Athletics </t>
  </si>
  <si>
    <t>5 yr contract completed</t>
  </si>
  <si>
    <t>Internal Audit</t>
  </si>
  <si>
    <t>Utilities, Mission College - Electricity</t>
  </si>
  <si>
    <t>Utilities, West Valley College - Electricity</t>
  </si>
  <si>
    <t>Board Elections</t>
  </si>
  <si>
    <t>move to college's oper. budget</t>
  </si>
  <si>
    <t>14.4 FT Faculty</t>
  </si>
  <si>
    <t>Tenure Faculty - Salary</t>
  </si>
  <si>
    <t>Tenure Faculty - Benefits</t>
  </si>
  <si>
    <t>at 11.123%</t>
  </si>
  <si>
    <t>100_220910_4900_53xxx_819</t>
  </si>
  <si>
    <t>Move to college's oper. budget</t>
  </si>
  <si>
    <t>Dues, Membership</t>
  </si>
  <si>
    <t>Increase funding level</t>
  </si>
  <si>
    <t>State funded</t>
  </si>
  <si>
    <t>100_103251_4900_53XXX_819</t>
  </si>
  <si>
    <t>move to college's oper.budget</t>
  </si>
  <si>
    <t>166 FT Faculty</t>
  </si>
  <si>
    <t xml:space="preserve">New contract </t>
  </si>
  <si>
    <t>Districtwide internal control</t>
  </si>
  <si>
    <t>LaserFiche</t>
  </si>
  <si>
    <t>Form Fusion</t>
  </si>
  <si>
    <t>Astra Schedule</t>
  </si>
  <si>
    <t>LaserFiche Avante</t>
  </si>
  <si>
    <t>FormFusion</t>
  </si>
  <si>
    <t>M. Hovey</t>
  </si>
  <si>
    <t>Athletics</t>
  </si>
  <si>
    <t>Academic Senate President benefits</t>
  </si>
  <si>
    <t>100_119304_6750_53xxx_819</t>
  </si>
  <si>
    <t>100_115200_6960_53xxx_819</t>
  </si>
  <si>
    <t>100_220000_6770_53xxx_819</t>
  </si>
  <si>
    <t xml:space="preserve">Coaches Stipends </t>
  </si>
  <si>
    <t xml:space="preserve">Coaches Benefits </t>
  </si>
  <si>
    <t>Curricunet  (Governet)  Meta upgrade  - one time</t>
  </si>
  <si>
    <t>B, F</t>
  </si>
  <si>
    <t>B, D</t>
  </si>
  <si>
    <t>Bond Admin Fee - LRB 2011</t>
  </si>
  <si>
    <t>for July &amp; June at 2,500 ea.</t>
  </si>
  <si>
    <t>Curricunet (Governet) Meta upgrade - one time</t>
  </si>
  <si>
    <t>ARMS (Computer Aided Dispatch System)</t>
  </si>
  <si>
    <t>SLETS/CLETS/ISD/Lexipol (Sofware for law enforcement)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</si>
</sst>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84" x14ac:knownFonts="1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Calibri"/>
      <family val="2"/>
    </font>
    <font>
      <b/>
      <sz val="11"/>
      <color rgb="FF00B050"/>
      <name val="Arial"/>
      <family val="2"/>
    </font>
    <font>
      <b/>
      <sz val="11"/>
      <color theme="9" tint="-0.249977111117893"/>
      <name val="Arial"/>
      <family val="2"/>
    </font>
    <font>
      <b/>
      <sz val="11"/>
      <color theme="8" tint="-0.249977111117893"/>
      <name val="Arial"/>
      <family val="2"/>
    </font>
    <font>
      <sz val="9"/>
      <color rgb="FFFF0000"/>
      <name val="Arial"/>
      <family val="2"/>
    </font>
    <font>
      <sz val="9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sz val="9"/>
      <color rgb="FF7030A0"/>
      <name val="Arial"/>
      <family val="2"/>
    </font>
    <font>
      <sz val="10"/>
      <color rgb="FF7030A0"/>
      <name val="Arial"/>
      <family val="2"/>
    </font>
    <font>
      <sz val="12"/>
      <color rgb="FF7030A0"/>
      <name val="Arial"/>
      <family val="2"/>
    </font>
    <font>
      <sz val="7"/>
      <name val="Arial"/>
      <family val="2"/>
    </font>
    <font>
      <sz val="10"/>
      <color rgb="FF00B050"/>
      <name val="Arial"/>
      <family val="2"/>
    </font>
    <font>
      <sz val="9"/>
      <color rgb="FF00B050"/>
      <name val="Arial"/>
      <family val="2"/>
    </font>
    <font>
      <sz val="12"/>
      <color rgb="FF00B050"/>
      <name val="Arial"/>
      <family val="2"/>
    </font>
    <font>
      <sz val="10"/>
      <color rgb="FF0070C0"/>
      <name val="Arial"/>
      <family val="2"/>
    </font>
    <font>
      <sz val="9"/>
      <color rgb="FF0070C0"/>
      <name val="Arial"/>
      <family val="2"/>
    </font>
    <font>
      <sz val="12"/>
      <color rgb="FF0070C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9" tint="-0.499984740745262"/>
      <name val="Arial"/>
      <family val="2"/>
    </font>
    <font>
      <sz val="9"/>
      <color theme="9" tint="-0.499984740745262"/>
      <name val="Arial"/>
      <family val="2"/>
    </font>
    <font>
      <sz val="12"/>
      <color theme="9" tint="-0.499984740745262"/>
      <name val="Arial"/>
      <family val="2"/>
    </font>
    <font>
      <b/>
      <sz val="12"/>
      <color rgb="FFFF0000"/>
      <name val="Calibri"/>
      <family val="2"/>
    </font>
    <font>
      <sz val="9"/>
      <color rgb="FFC00000"/>
      <name val="Arial"/>
      <family val="2"/>
    </font>
    <font>
      <sz val="9"/>
      <color theme="0" tint="-0.34998626667073579"/>
      <name val="Arial"/>
      <family val="2"/>
    </font>
    <font>
      <strike/>
      <sz val="9"/>
      <color rgb="FF0070C0"/>
      <name val="Arial"/>
      <family val="2"/>
    </font>
    <font>
      <sz val="8"/>
      <color theme="1"/>
      <name val="Tahoma"/>
      <family val="2"/>
    </font>
    <font>
      <u/>
      <sz val="8"/>
      <color rgb="FF0000FF"/>
      <name val="Tahoma"/>
      <family val="2"/>
    </font>
    <font>
      <sz val="10"/>
      <color theme="5"/>
      <name val="Tahoma"/>
      <family val="2"/>
    </font>
    <font>
      <sz val="8"/>
      <color theme="5"/>
      <name val="Tahoma"/>
      <family val="2"/>
    </font>
    <font>
      <u/>
      <sz val="8"/>
      <color theme="5"/>
      <name val="Tahoma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  <font>
      <u/>
      <sz val="8"/>
      <color rgb="FFFF0000"/>
      <name val="Tahoma"/>
      <family val="2"/>
    </font>
    <font>
      <sz val="10"/>
      <color rgb="FFFF0000"/>
      <name val="Tahoma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Tahoma"/>
      <family val="2"/>
    </font>
    <font>
      <b/>
      <sz val="11"/>
      <name val="Arial"/>
      <family val="2"/>
    </font>
    <font>
      <sz val="8"/>
      <name val="Tahoma"/>
      <family val="2"/>
    </font>
    <font>
      <sz val="12"/>
      <name val="Arial"/>
      <family val="2"/>
    </font>
    <font>
      <sz val="10"/>
      <name val="Tahoma"/>
      <family val="2"/>
    </font>
    <font>
      <i/>
      <sz val="9"/>
      <color rgb="FFFF0000"/>
      <name val="Arial"/>
      <family val="2"/>
    </font>
    <font>
      <b/>
      <sz val="11"/>
      <name val="Calibri"/>
      <family val="2"/>
      <scheme val="minor"/>
    </font>
    <font>
      <strike/>
      <sz val="9"/>
      <name val="Arial"/>
      <family val="2"/>
    </font>
    <font>
      <b/>
      <sz val="9"/>
      <color rgb="FF0070C0"/>
      <name val="Arial"/>
      <family val="2"/>
    </font>
    <font>
      <b/>
      <sz val="10"/>
      <color rgb="FF0070C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D2E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32">
    <xf numFmtId="0" fontId="0" fillId="0" borderId="0"/>
    <xf numFmtId="44" fontId="6" fillId="0" borderId="0" applyFont="0" applyFill="0" applyBorder="0" applyAlignment="0" applyProtection="0"/>
    <xf numFmtId="0" fontId="9" fillId="0" borderId="0"/>
    <xf numFmtId="43" fontId="6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63" applyNumberFormat="0" applyFill="0" applyAlignment="0" applyProtection="0"/>
    <xf numFmtId="0" fontId="58" fillId="0" borderId="64" applyNumberFormat="0" applyFill="0" applyAlignment="0" applyProtection="0"/>
    <xf numFmtId="0" fontId="59" fillId="0" borderId="65" applyNumberFormat="0" applyFill="0" applyAlignment="0" applyProtection="0"/>
    <xf numFmtId="0" fontId="59" fillId="0" borderId="0" applyNumberFormat="0" applyFill="0" applyBorder="0" applyAlignment="0" applyProtection="0"/>
    <xf numFmtId="0" fontId="60" fillId="9" borderId="0" applyNumberFormat="0" applyBorder="0" applyAlignment="0" applyProtection="0"/>
    <xf numFmtId="0" fontId="61" fillId="10" borderId="0" applyNumberFormat="0" applyBorder="0" applyAlignment="0" applyProtection="0"/>
    <xf numFmtId="0" fontId="62" fillId="11" borderId="0" applyNumberFormat="0" applyBorder="0" applyAlignment="0" applyProtection="0"/>
    <xf numFmtId="0" fontId="63" fillId="12" borderId="66" applyNumberFormat="0" applyAlignment="0" applyProtection="0"/>
    <xf numFmtId="0" fontId="64" fillId="13" borderId="67" applyNumberFormat="0" applyAlignment="0" applyProtection="0"/>
    <xf numFmtId="0" fontId="65" fillId="13" borderId="66" applyNumberFormat="0" applyAlignment="0" applyProtection="0"/>
    <xf numFmtId="0" fontId="66" fillId="0" borderId="68" applyNumberFormat="0" applyFill="0" applyAlignment="0" applyProtection="0"/>
    <xf numFmtId="0" fontId="67" fillId="14" borderId="69" applyNumberFormat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71" applyNumberFormat="0" applyFill="0" applyAlignment="0" applyProtection="0"/>
    <xf numFmtId="0" fontId="71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71" fillId="19" borderId="0" applyNumberFormat="0" applyBorder="0" applyAlignment="0" applyProtection="0"/>
    <xf numFmtId="0" fontId="71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71" fillId="23" borderId="0" applyNumberFormat="0" applyBorder="0" applyAlignment="0" applyProtection="0"/>
    <xf numFmtId="0" fontId="71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71" fillId="27" borderId="0" applyNumberFormat="0" applyBorder="0" applyAlignment="0" applyProtection="0"/>
    <xf numFmtId="0" fontId="71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71" fillId="31" borderId="0" applyNumberFormat="0" applyBorder="0" applyAlignment="0" applyProtection="0"/>
    <xf numFmtId="0" fontId="71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71" fillId="35" borderId="0" applyNumberFormat="0" applyBorder="0" applyAlignment="0" applyProtection="0"/>
    <xf numFmtId="0" fontId="71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71" fillId="39" borderId="0" applyNumberFormat="0" applyBorder="0" applyAlignment="0" applyProtection="0"/>
    <xf numFmtId="0" fontId="5" fillId="0" borderId="0"/>
    <xf numFmtId="0" fontId="5" fillId="15" borderId="70" applyNumberFormat="0" applyFont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0" borderId="0"/>
    <xf numFmtId="0" fontId="3" fillId="15" borderId="70" applyNumberFormat="0" applyFont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0" borderId="0"/>
    <xf numFmtId="0" fontId="2" fillId="15" borderId="70" applyNumberFormat="0" applyFont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0" borderId="0"/>
    <xf numFmtId="0" fontId="2" fillId="15" borderId="70" applyNumberFormat="0" applyFont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70" applyNumberFormat="0" applyFont="0" applyAlignment="0" applyProtection="0"/>
    <xf numFmtId="0" fontId="1" fillId="15" borderId="70" applyNumberFormat="0" applyFont="0" applyAlignment="0" applyProtection="0"/>
    <xf numFmtId="0" fontId="1" fillId="15" borderId="70" applyNumberFormat="0" applyFont="0" applyAlignment="0" applyProtection="0"/>
    <xf numFmtId="0" fontId="1" fillId="15" borderId="70" applyNumberFormat="0" applyFont="0" applyAlignment="0" applyProtection="0"/>
  </cellStyleXfs>
  <cellXfs count="1185">
    <xf numFmtId="0" fontId="0" fillId="0" borderId="0" xfId="0"/>
    <xf numFmtId="0" fontId="7" fillId="0" borderId="0" xfId="0" applyFont="1" applyFill="1" applyBorder="1" applyAlignment="1" applyProtection="1"/>
    <xf numFmtId="0" fontId="7" fillId="0" borderId="20" xfId="0" applyFont="1" applyFill="1" applyBorder="1" applyAlignment="1" applyProtection="1"/>
    <xf numFmtId="0" fontId="7" fillId="0" borderId="20" xfId="0" applyFont="1" applyFill="1" applyBorder="1" applyAlignment="1" applyProtection="1">
      <alignment horizontal="center"/>
    </xf>
    <xf numFmtId="0" fontId="7" fillId="0" borderId="0" xfId="0" applyFont="1" applyFill="1" applyBorder="1" applyAlignment="1" applyProtection="1">
      <alignment horizontal="center"/>
    </xf>
    <xf numFmtId="0" fontId="7" fillId="0" borderId="20" xfId="0" applyFont="1" applyFill="1" applyBorder="1" applyAlignment="1" applyProtection="1">
      <alignment horizontal="center" vertical="center"/>
    </xf>
    <xf numFmtId="0" fontId="7" fillId="0" borderId="20" xfId="0" applyFont="1" applyFill="1" applyBorder="1" applyAlignment="1" applyProtection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7" fillId="0" borderId="8" xfId="0" applyFont="1" applyFill="1" applyBorder="1" applyAlignment="1" applyProtection="1">
      <alignment horizontal="center" vertical="center"/>
    </xf>
    <xf numFmtId="41" fontId="7" fillId="2" borderId="22" xfId="3" applyNumberFormat="1" applyFont="1" applyFill="1" applyBorder="1" applyAlignment="1">
      <alignment vertical="top"/>
    </xf>
    <xf numFmtId="0" fontId="7" fillId="0" borderId="24" xfId="0" applyFont="1" applyFill="1" applyBorder="1" applyAlignment="1" applyProtection="1"/>
    <xf numFmtId="41" fontId="7" fillId="2" borderId="24" xfId="3" applyNumberFormat="1" applyFont="1" applyFill="1" applyBorder="1" applyAlignment="1">
      <alignment vertical="top"/>
    </xf>
    <xf numFmtId="0" fontId="7" fillId="0" borderId="20" xfId="1" applyNumberFormat="1" applyFont="1" applyFill="1" applyBorder="1" applyAlignment="1">
      <alignment horizontal="left" vertical="center"/>
    </xf>
    <xf numFmtId="0" fontId="7" fillId="0" borderId="34" xfId="0" applyFont="1" applyFill="1" applyBorder="1" applyAlignment="1" applyProtection="1">
      <alignment horizontal="left" vertical="center" wrapText="1"/>
    </xf>
    <xf numFmtId="0" fontId="7" fillId="0" borderId="23" xfId="0" applyFont="1" applyFill="1" applyBorder="1" applyAlignment="1" applyProtection="1">
      <alignment horizontal="left" vertical="center"/>
    </xf>
    <xf numFmtId="0" fontId="7" fillId="0" borderId="0" xfId="0" applyNumberFormat="1" applyFont="1" applyBorder="1" applyAlignment="1">
      <alignment horizontal="center" vertical="center"/>
    </xf>
    <xf numFmtId="0" fontId="7" fillId="0" borderId="8" xfId="0" applyNumberFormat="1" applyFont="1" applyFill="1" applyBorder="1" applyAlignment="1" applyProtection="1">
      <alignment horizontal="center" vertical="center"/>
    </xf>
    <xf numFmtId="0" fontId="7" fillId="0" borderId="5" xfId="0" applyFont="1" applyFill="1" applyBorder="1" applyAlignment="1" applyProtection="1">
      <alignment horizontal="center" vertical="center"/>
    </xf>
    <xf numFmtId="0" fontId="7" fillId="3" borderId="7" xfId="0" applyFont="1" applyFill="1" applyBorder="1" applyAlignment="1" applyProtection="1">
      <alignment horizontal="center" vertic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0" borderId="23" xfId="0" applyFont="1" applyFill="1" applyBorder="1" applyAlignment="1" applyProtection="1">
      <alignment horizontal="center" vertical="center"/>
    </xf>
    <xf numFmtId="0" fontId="7" fillId="0" borderId="7" xfId="0" applyFont="1" applyFill="1" applyBorder="1" applyAlignment="1" applyProtection="1">
      <alignment horizontal="center" vertical="center"/>
    </xf>
    <xf numFmtId="0" fontId="7" fillId="3" borderId="23" xfId="0" applyFont="1" applyFill="1" applyBorder="1" applyAlignment="1" applyProtection="1">
      <alignment horizontal="center" vertical="center"/>
    </xf>
    <xf numFmtId="0" fontId="7" fillId="0" borderId="15" xfId="0" applyNumberFormat="1" applyFont="1" applyFill="1" applyBorder="1" applyAlignment="1" applyProtection="1">
      <alignment horizontal="center" vertical="center"/>
    </xf>
    <xf numFmtId="0" fontId="7" fillId="0" borderId="25" xfId="0" applyNumberFormat="1" applyFont="1" applyFill="1" applyBorder="1" applyAlignment="1" applyProtection="1">
      <alignment horizontal="center" vertical="center"/>
    </xf>
    <xf numFmtId="0" fontId="7" fillId="3" borderId="8" xfId="0" applyNumberFormat="1" applyFont="1" applyFill="1" applyBorder="1" applyAlignment="1" applyProtection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</xf>
    <xf numFmtId="0" fontId="7" fillId="0" borderId="7" xfId="0" applyNumberFormat="1" applyFont="1" applyFill="1" applyBorder="1" applyAlignment="1" applyProtection="1">
      <alignment horizontal="center" vertical="center"/>
    </xf>
    <xf numFmtId="0" fontId="7" fillId="0" borderId="4" xfId="0" applyNumberFormat="1" applyFont="1" applyFill="1" applyBorder="1" applyAlignment="1" applyProtection="1">
      <alignment horizontal="center" vertical="center"/>
    </xf>
    <xf numFmtId="0" fontId="7" fillId="0" borderId="5" xfId="0" applyNumberFormat="1" applyFont="1" applyFill="1" applyBorder="1" applyAlignment="1" applyProtection="1">
      <alignment horizontal="center" vertical="center"/>
    </xf>
    <xf numFmtId="0" fontId="7" fillId="0" borderId="23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14" xfId="0" applyFont="1" applyFill="1" applyBorder="1" applyAlignment="1" applyProtection="1">
      <alignment horizontal="center" vertical="center"/>
    </xf>
    <xf numFmtId="0" fontId="7" fillId="0" borderId="4" xfId="0" applyFont="1" applyFill="1" applyBorder="1" applyAlignment="1" applyProtection="1">
      <alignment horizontal="center" vertical="center"/>
    </xf>
    <xf numFmtId="0" fontId="7" fillId="0" borderId="38" xfId="0" applyFont="1" applyFill="1" applyBorder="1" applyAlignment="1" applyProtection="1">
      <alignment horizontal="center" vertical="center"/>
    </xf>
    <xf numFmtId="0" fontId="7" fillId="0" borderId="4" xfId="2" applyFont="1" applyFill="1" applyBorder="1" applyAlignment="1" applyProtection="1">
      <alignment horizontal="center" vertical="center"/>
    </xf>
    <xf numFmtId="0" fontId="7" fillId="3" borderId="4" xfId="0" applyNumberFormat="1" applyFont="1" applyFill="1" applyBorder="1" applyAlignment="1" applyProtection="1">
      <alignment horizontal="center" vertical="center"/>
    </xf>
    <xf numFmtId="0" fontId="19" fillId="3" borderId="4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/>
    </xf>
    <xf numFmtId="0" fontId="7" fillId="0" borderId="37" xfId="0" applyNumberFormat="1" applyFont="1" applyFill="1" applyBorder="1" applyAlignment="1" applyProtection="1">
      <alignment horizontal="center" vertical="center"/>
    </xf>
    <xf numFmtId="0" fontId="7" fillId="0" borderId="38" xfId="0" applyNumberFormat="1" applyFont="1" applyFill="1" applyBorder="1" applyAlignment="1" applyProtection="1">
      <alignment horizontal="center" vertical="center"/>
    </xf>
    <xf numFmtId="0" fontId="7" fillId="0" borderId="35" xfId="0" applyNumberFormat="1" applyFont="1" applyFill="1" applyBorder="1" applyAlignment="1" applyProtection="1">
      <alignment horizontal="center" vertical="center"/>
    </xf>
    <xf numFmtId="0" fontId="10" fillId="0" borderId="23" xfId="0" applyFont="1" applyFill="1" applyBorder="1" applyAlignment="1" applyProtection="1">
      <alignment horizontal="center" vertical="center"/>
    </xf>
    <xf numFmtId="0" fontId="10" fillId="0" borderId="8" xfId="0" applyNumberFormat="1" applyFont="1" applyFill="1" applyBorder="1" applyAlignment="1" applyProtection="1">
      <alignment horizontal="center" vertical="center"/>
    </xf>
    <xf numFmtId="0" fontId="7" fillId="0" borderId="35" xfId="0" applyFont="1" applyFill="1" applyBorder="1" applyAlignment="1" applyProtection="1">
      <alignment horizontal="center" vertical="center"/>
    </xf>
    <xf numFmtId="0" fontId="7" fillId="0" borderId="37" xfId="0" applyFont="1" applyFill="1" applyBorder="1" applyAlignment="1" applyProtection="1">
      <alignment horizontal="center" vertical="center"/>
    </xf>
    <xf numFmtId="0" fontId="7" fillId="0" borderId="24" xfId="0" applyFont="1" applyFill="1" applyBorder="1" applyAlignment="1" applyProtection="1">
      <alignment horizontal="center"/>
    </xf>
    <xf numFmtId="0" fontId="7" fillId="0" borderId="24" xfId="0" applyNumberFormat="1" applyFont="1" applyFill="1" applyBorder="1" applyAlignment="1" applyProtection="1">
      <alignment horizontal="center" vertical="center"/>
    </xf>
    <xf numFmtId="0" fontId="7" fillId="0" borderId="24" xfId="0" applyFont="1" applyFill="1" applyBorder="1" applyAlignment="1" applyProtection="1">
      <alignment horizontal="center" vertical="center"/>
    </xf>
    <xf numFmtId="0" fontId="25" fillId="0" borderId="0" xfId="0" applyFont="1" applyBorder="1" applyAlignment="1">
      <alignment horizontal="center" vertical="center"/>
    </xf>
    <xf numFmtId="41" fontId="7" fillId="2" borderId="20" xfId="0" applyNumberFormat="1" applyFont="1" applyFill="1" applyBorder="1" applyAlignment="1">
      <alignment horizontal="center" vertical="center"/>
    </xf>
    <xf numFmtId="41" fontId="7" fillId="2" borderId="22" xfId="3" applyNumberFormat="1" applyFont="1" applyFill="1" applyBorder="1" applyAlignment="1">
      <alignment horizontal="center" vertical="center"/>
    </xf>
    <xf numFmtId="41" fontId="7" fillId="2" borderId="36" xfId="3" applyNumberFormat="1" applyFont="1" applyFill="1" applyBorder="1" applyAlignment="1">
      <alignment horizontal="center" vertical="center"/>
    </xf>
    <xf numFmtId="41" fontId="7" fillId="0" borderId="20" xfId="1" applyNumberFormat="1" applyFont="1" applyFill="1" applyBorder="1" applyAlignment="1" applyProtection="1">
      <alignment horizontal="center" vertical="center"/>
    </xf>
    <xf numFmtId="41" fontId="7" fillId="0" borderId="20" xfId="1" applyNumberFormat="1" applyFont="1" applyFill="1" applyBorder="1" applyAlignment="1">
      <alignment horizontal="center" vertical="center"/>
    </xf>
    <xf numFmtId="41" fontId="7" fillId="3" borderId="20" xfId="0" applyNumberFormat="1" applyFont="1" applyFill="1" applyBorder="1" applyAlignment="1">
      <alignment horizontal="center" vertical="center"/>
    </xf>
    <xf numFmtId="41" fontId="7" fillId="3" borderId="22" xfId="3" applyNumberFormat="1" applyFont="1" applyFill="1" applyBorder="1" applyAlignment="1">
      <alignment horizontal="center" vertical="center"/>
    </xf>
    <xf numFmtId="41" fontId="7" fillId="3" borderId="36" xfId="3" applyNumberFormat="1" applyFont="1" applyFill="1" applyBorder="1" applyAlignment="1">
      <alignment horizontal="center" vertical="center"/>
    </xf>
    <xf numFmtId="41" fontId="7" fillId="3" borderId="20" xfId="1" applyNumberFormat="1" applyFont="1" applyFill="1" applyBorder="1" applyAlignment="1" applyProtection="1">
      <alignment horizontal="center" vertical="center"/>
    </xf>
    <xf numFmtId="41" fontId="7" fillId="3" borderId="24" xfId="1" applyNumberFormat="1" applyFont="1" applyFill="1" applyBorder="1" applyAlignment="1" applyProtection="1">
      <alignment horizontal="center" vertical="center"/>
    </xf>
    <xf numFmtId="41" fontId="7" fillId="3" borderId="20" xfId="1" applyNumberFormat="1" applyFont="1" applyFill="1" applyBorder="1" applyAlignment="1">
      <alignment horizontal="center" vertical="center"/>
    </xf>
    <xf numFmtId="41" fontId="7" fillId="2" borderId="36" xfId="1" applyNumberFormat="1" applyFont="1" applyFill="1" applyBorder="1" applyAlignment="1" applyProtection="1">
      <alignment horizontal="center" vertical="center"/>
    </xf>
    <xf numFmtId="41" fontId="7" fillId="2" borderId="23" xfId="3" applyNumberFormat="1" applyFont="1" applyFill="1" applyBorder="1" applyAlignment="1">
      <alignment horizontal="center" vertical="center"/>
    </xf>
    <xf numFmtId="41" fontId="7" fillId="0" borderId="23" xfId="1" applyNumberFormat="1" applyFont="1" applyFill="1" applyBorder="1" applyAlignment="1" applyProtection="1">
      <alignment horizontal="center" vertical="center"/>
    </xf>
    <xf numFmtId="41" fontId="7" fillId="0" borderId="24" xfId="1" applyNumberFormat="1" applyFont="1" applyFill="1" applyBorder="1" applyAlignment="1" applyProtection="1">
      <alignment horizontal="center" vertical="center"/>
    </xf>
    <xf numFmtId="41" fontId="7" fillId="2" borderId="38" xfId="3" applyNumberFormat="1" applyFont="1" applyFill="1" applyBorder="1" applyAlignment="1">
      <alignment horizontal="center" vertical="center"/>
    </xf>
    <xf numFmtId="41" fontId="7" fillId="0" borderId="38" xfId="1" applyNumberFormat="1" applyFont="1" applyFill="1" applyBorder="1" applyAlignment="1" applyProtection="1">
      <alignment horizontal="center" vertical="center"/>
    </xf>
    <xf numFmtId="41" fontId="7" fillId="0" borderId="38" xfId="1" applyNumberFormat="1" applyFont="1" applyFill="1" applyBorder="1" applyAlignment="1">
      <alignment horizontal="center" vertical="center"/>
    </xf>
    <xf numFmtId="41" fontId="7" fillId="2" borderId="7" xfId="3" applyNumberFormat="1" applyFont="1" applyFill="1" applyBorder="1" applyAlignment="1">
      <alignment horizontal="center" vertical="center"/>
    </xf>
    <xf numFmtId="41" fontId="7" fillId="2" borderId="37" xfId="3" applyNumberFormat="1" applyFont="1" applyFill="1" applyBorder="1" applyAlignment="1">
      <alignment horizontal="center" vertical="center"/>
    </xf>
    <xf numFmtId="41" fontId="7" fillId="0" borderId="27" xfId="1" applyNumberFormat="1" applyFont="1" applyFill="1" applyBorder="1" applyAlignment="1" applyProtection="1">
      <alignment horizontal="center" vertical="center"/>
    </xf>
    <xf numFmtId="41" fontId="7" fillId="0" borderId="7" xfId="1" applyNumberFormat="1" applyFont="1" applyFill="1" applyBorder="1" applyAlignment="1">
      <alignment horizontal="center" vertical="center"/>
    </xf>
    <xf numFmtId="0" fontId="16" fillId="0" borderId="2" xfId="0" applyFont="1" applyBorder="1" applyAlignment="1" applyProtection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1" fontId="12" fillId="0" borderId="0" xfId="0" applyNumberFormat="1" applyFont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41" fontId="11" fillId="2" borderId="10" xfId="0" quotePrefix="1" applyNumberFormat="1" applyFont="1" applyFill="1" applyBorder="1" applyAlignment="1">
      <alignment horizontal="center" vertical="center"/>
    </xf>
    <xf numFmtId="13" fontId="11" fillId="2" borderId="10" xfId="0" quotePrefix="1" applyNumberFormat="1" applyFont="1" applyFill="1" applyBorder="1" applyAlignment="1">
      <alignment horizontal="center" vertical="center"/>
    </xf>
    <xf numFmtId="41" fontId="11" fillId="0" borderId="10" xfId="0" quotePrefix="1" applyNumberFormat="1" applyFont="1" applyFill="1" applyBorder="1" applyAlignment="1">
      <alignment horizontal="center" vertical="center"/>
    </xf>
    <xf numFmtId="41" fontId="11" fillId="0" borderId="10" xfId="0" applyNumberFormat="1" applyFont="1" applyBorder="1" applyAlignment="1">
      <alignment horizontal="center" vertical="center"/>
    </xf>
    <xf numFmtId="41" fontId="11" fillId="2" borderId="11" xfId="0" quotePrefix="1" applyNumberFormat="1" applyFont="1" applyFill="1" applyBorder="1" applyAlignment="1">
      <alignment horizontal="center" vertical="center"/>
    </xf>
    <xf numFmtId="0" fontId="8" fillId="0" borderId="18" xfId="0" applyFont="1" applyFill="1" applyBorder="1" applyAlignment="1" applyProtection="1">
      <alignment horizontal="center" vertical="center"/>
    </xf>
    <xf numFmtId="0" fontId="8" fillId="0" borderId="12" xfId="0" applyFont="1" applyFill="1" applyBorder="1" applyAlignment="1" applyProtection="1">
      <alignment horizontal="center" vertical="center"/>
    </xf>
    <xf numFmtId="41" fontId="8" fillId="2" borderId="12" xfId="1" applyNumberFormat="1" applyFont="1" applyFill="1" applyBorder="1" applyAlignment="1" applyProtection="1">
      <alignment horizontal="center" vertical="center"/>
    </xf>
    <xf numFmtId="41" fontId="10" fillId="2" borderId="12" xfId="1" applyNumberFormat="1" applyFont="1" applyFill="1" applyBorder="1" applyAlignment="1" applyProtection="1">
      <alignment horizontal="center" vertical="center"/>
    </xf>
    <xf numFmtId="41" fontId="8" fillId="0" borderId="12" xfId="1" applyNumberFormat="1" applyFont="1" applyFill="1" applyBorder="1" applyAlignment="1" applyProtection="1">
      <alignment horizontal="center" vertical="center"/>
    </xf>
    <xf numFmtId="41" fontId="8" fillId="0" borderId="12" xfId="1" applyNumberFormat="1" applyFont="1" applyBorder="1" applyAlignment="1">
      <alignment horizontal="center" vertical="center"/>
    </xf>
    <xf numFmtId="41" fontId="8" fillId="2" borderId="13" xfId="0" applyNumberFormat="1" applyFont="1" applyFill="1" applyBorder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0" xfId="1" applyNumberFormat="1" applyFont="1" applyFill="1" applyBorder="1" applyAlignment="1">
      <alignment horizontal="center" vertical="center"/>
    </xf>
    <xf numFmtId="41" fontId="7" fillId="3" borderId="10" xfId="3" applyNumberFormat="1" applyFont="1" applyFill="1" applyBorder="1" applyAlignment="1">
      <alignment horizontal="center" vertical="center"/>
    </xf>
    <xf numFmtId="41" fontId="7" fillId="3" borderId="10" xfId="1" applyNumberFormat="1" applyFont="1" applyFill="1" applyBorder="1" applyAlignment="1" applyProtection="1">
      <alignment horizontal="center" vertical="center"/>
    </xf>
    <xf numFmtId="41" fontId="7" fillId="3" borderId="10" xfId="1" applyNumberFormat="1" applyFont="1" applyFill="1" applyBorder="1" applyAlignment="1">
      <alignment horizontal="center" vertical="center"/>
    </xf>
    <xf numFmtId="0" fontId="7" fillId="3" borderId="4" xfId="1" applyNumberFormat="1" applyFont="1" applyFill="1" applyBorder="1" applyAlignment="1">
      <alignment horizontal="center" vertical="center"/>
    </xf>
    <xf numFmtId="41" fontId="7" fillId="3" borderId="4" xfId="3" applyNumberFormat="1" applyFont="1" applyFill="1" applyBorder="1" applyAlignment="1">
      <alignment horizontal="center" vertical="center"/>
    </xf>
    <xf numFmtId="41" fontId="7" fillId="3" borderId="37" xfId="3" applyNumberFormat="1" applyFont="1" applyFill="1" applyBorder="1" applyAlignment="1">
      <alignment horizontal="center" vertical="center"/>
    </xf>
    <xf numFmtId="41" fontId="7" fillId="3" borderId="4" xfId="1" applyNumberFormat="1" applyFont="1" applyFill="1" applyBorder="1" applyAlignment="1" applyProtection="1">
      <alignment horizontal="center" vertical="center"/>
    </xf>
    <xf numFmtId="41" fontId="7" fillId="3" borderId="37" xfId="1" applyNumberFormat="1" applyFont="1" applyFill="1" applyBorder="1" applyAlignment="1" applyProtection="1">
      <alignment horizontal="center" vertical="center"/>
    </xf>
    <xf numFmtId="41" fontId="7" fillId="3" borderId="4" xfId="1" applyNumberFormat="1" applyFont="1" applyFill="1" applyBorder="1" applyAlignment="1">
      <alignment horizontal="center" vertical="center"/>
    </xf>
    <xf numFmtId="41" fontId="7" fillId="3" borderId="4" xfId="0" applyNumberFormat="1" applyFont="1" applyFill="1" applyBorder="1" applyAlignment="1">
      <alignment horizontal="center" vertical="center"/>
    </xf>
    <xf numFmtId="41" fontId="7" fillId="0" borderId="5" xfId="1" applyNumberFormat="1" applyFont="1" applyFill="1" applyBorder="1" applyAlignment="1" applyProtection="1">
      <alignment horizontal="center" vertical="center"/>
    </xf>
    <xf numFmtId="41" fontId="7" fillId="2" borderId="5" xfId="0" applyNumberFormat="1" applyFont="1" applyFill="1" applyBorder="1" applyAlignment="1">
      <alignment horizontal="center" vertical="center"/>
    </xf>
    <xf numFmtId="41" fontId="7" fillId="3" borderId="7" xfId="1" applyNumberFormat="1" applyFont="1" applyFill="1" applyBorder="1" applyAlignment="1" applyProtection="1">
      <alignment horizontal="center" vertical="center"/>
    </xf>
    <xf numFmtId="41" fontId="7" fillId="3" borderId="35" xfId="1" applyNumberFormat="1" applyFont="1" applyFill="1" applyBorder="1" applyAlignment="1" applyProtection="1">
      <alignment horizontal="center" vertical="center"/>
    </xf>
    <xf numFmtId="41" fontId="7" fillId="3" borderId="7" xfId="1" applyNumberFormat="1" applyFont="1" applyFill="1" applyBorder="1" applyAlignment="1">
      <alignment horizontal="center" vertical="center"/>
    </xf>
    <xf numFmtId="41" fontId="7" fillId="3" borderId="7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 applyProtection="1">
      <alignment horizontal="center" vertical="center"/>
    </xf>
    <xf numFmtId="0" fontId="7" fillId="0" borderId="20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41" fontId="7" fillId="3" borderId="23" xfId="3" applyNumberFormat="1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10" fillId="0" borderId="40" xfId="0" applyFont="1" applyFill="1" applyBorder="1" applyAlignment="1" applyProtection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10" fillId="0" borderId="41" xfId="0" applyFont="1" applyFill="1" applyBorder="1" applyAlignment="1" applyProtection="1">
      <alignment horizontal="center" vertical="center"/>
    </xf>
    <xf numFmtId="0" fontId="10" fillId="0" borderId="42" xfId="0" applyNumberFormat="1" applyFont="1" applyFill="1" applyBorder="1" applyAlignment="1" applyProtection="1">
      <alignment horizontal="center" vertical="center"/>
    </xf>
    <xf numFmtId="41" fontId="8" fillId="2" borderId="19" xfId="1" applyNumberFormat="1" applyFont="1" applyFill="1" applyBorder="1" applyAlignment="1">
      <alignment horizontal="center" vertical="center"/>
    </xf>
    <xf numFmtId="41" fontId="8" fillId="0" borderId="19" xfId="1" applyNumberFormat="1" applyFont="1" applyFill="1" applyBorder="1" applyAlignment="1">
      <alignment horizontal="center" vertical="center"/>
    </xf>
    <xf numFmtId="38" fontId="9" fillId="0" borderId="0" xfId="0" applyNumberFormat="1" applyFont="1" applyAlignment="1">
      <alignment horizontal="center" vertical="center"/>
    </xf>
    <xf numFmtId="0" fontId="10" fillId="0" borderId="0" xfId="0" applyFont="1" applyFill="1" applyBorder="1" applyAlignment="1" applyProtection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 applyProtection="1">
      <alignment horizontal="center" vertical="center"/>
    </xf>
    <xf numFmtId="0" fontId="10" fillId="0" borderId="0" xfId="0" applyNumberFormat="1" applyFont="1" applyFill="1" applyBorder="1" applyAlignment="1" applyProtection="1">
      <alignment horizontal="center" vertical="center"/>
    </xf>
    <xf numFmtId="41" fontId="8" fillId="0" borderId="0" xfId="1" applyNumberFormat="1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41" fontId="12" fillId="0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0" fontId="8" fillId="0" borderId="29" xfId="0" applyFont="1" applyFill="1" applyBorder="1" applyAlignment="1" applyProtection="1">
      <alignment horizontal="center" vertical="center"/>
    </xf>
    <xf numFmtId="0" fontId="7" fillId="0" borderId="36" xfId="0" applyFont="1" applyFill="1" applyBorder="1" applyAlignment="1" applyProtection="1">
      <alignment horizontal="center" vertical="center"/>
    </xf>
    <xf numFmtId="0" fontId="17" fillId="0" borderId="2" xfId="0" applyFont="1" applyBorder="1" applyAlignment="1" applyProtection="1">
      <alignment horizontal="center" vertical="center"/>
    </xf>
    <xf numFmtId="41" fontId="7" fillId="2" borderId="7" xfId="1" applyNumberFormat="1" applyFont="1" applyFill="1" applyBorder="1" applyAlignment="1" applyProtection="1">
      <alignment horizontal="center" vertical="center"/>
    </xf>
    <xf numFmtId="41" fontId="7" fillId="0" borderId="7" xfId="1" applyNumberFormat="1" applyFont="1" applyFill="1" applyBorder="1" applyAlignment="1" applyProtection="1">
      <alignment horizontal="center" vertical="center"/>
    </xf>
    <xf numFmtId="41" fontId="7" fillId="0" borderId="7" xfId="1" applyNumberFormat="1" applyFont="1" applyBorder="1" applyAlignment="1">
      <alignment horizontal="center" vertical="center"/>
    </xf>
    <xf numFmtId="41" fontId="7" fillId="2" borderId="7" xfId="0" applyNumberFormat="1" applyFont="1" applyFill="1" applyBorder="1" applyAlignment="1">
      <alignment horizontal="center" vertical="center"/>
    </xf>
    <xf numFmtId="41" fontId="7" fillId="2" borderId="4" xfId="1" applyNumberFormat="1" applyFont="1" applyFill="1" applyBorder="1" applyAlignment="1" applyProtection="1">
      <alignment horizontal="center" vertical="center"/>
    </xf>
    <xf numFmtId="41" fontId="7" fillId="0" borderId="4" xfId="1" applyNumberFormat="1" applyFont="1" applyFill="1" applyBorder="1" applyAlignment="1" applyProtection="1">
      <alignment horizontal="center" vertical="center"/>
    </xf>
    <xf numFmtId="41" fontId="7" fillId="0" borderId="4" xfId="1" applyNumberFormat="1" applyFont="1" applyBorder="1" applyAlignment="1">
      <alignment horizontal="center" vertical="center"/>
    </xf>
    <xf numFmtId="41" fontId="7" fillId="2" borderId="4" xfId="0" applyNumberFormat="1" applyFont="1" applyFill="1" applyBorder="1" applyAlignment="1">
      <alignment horizontal="center" vertical="center"/>
    </xf>
    <xf numFmtId="41" fontId="7" fillId="2" borderId="5" xfId="1" applyNumberFormat="1" applyFont="1" applyFill="1" applyBorder="1" applyAlignment="1" applyProtection="1">
      <alignment horizontal="center" vertical="center"/>
    </xf>
    <xf numFmtId="41" fontId="7" fillId="0" borderId="5" xfId="1" applyNumberFormat="1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7" fillId="3" borderId="17" xfId="0" applyFont="1" applyFill="1" applyBorder="1" applyAlignment="1" applyProtection="1">
      <alignment horizontal="center" vertical="center"/>
    </xf>
    <xf numFmtId="41" fontId="7" fillId="2" borderId="37" xfId="1" applyNumberFormat="1" applyFont="1" applyFill="1" applyBorder="1" applyAlignment="1" applyProtection="1">
      <alignment horizontal="center" vertical="center"/>
    </xf>
    <xf numFmtId="41" fontId="7" fillId="0" borderId="4" xfId="1" applyNumberFormat="1" applyFont="1" applyFill="1" applyBorder="1" applyAlignment="1">
      <alignment horizontal="center" vertical="center"/>
    </xf>
    <xf numFmtId="41" fontId="7" fillId="2" borderId="38" xfId="1" applyNumberFormat="1" applyFont="1" applyFill="1" applyBorder="1" applyAlignment="1" applyProtection="1">
      <alignment horizontal="center" vertical="center"/>
    </xf>
    <xf numFmtId="41" fontId="7" fillId="0" borderId="5" xfId="1" applyNumberFormat="1" applyFont="1" applyFill="1" applyBorder="1" applyAlignment="1">
      <alignment horizontal="center" vertical="center"/>
    </xf>
    <xf numFmtId="41" fontId="7" fillId="2" borderId="1" xfId="1" applyNumberFormat="1" applyFont="1" applyFill="1" applyBorder="1" applyAlignment="1" applyProtection="1">
      <alignment horizontal="center" vertical="center"/>
    </xf>
    <xf numFmtId="41" fontId="7" fillId="0" borderId="1" xfId="1" applyNumberFormat="1" applyFont="1" applyFill="1" applyBorder="1" applyAlignment="1" applyProtection="1">
      <alignment horizontal="center" vertical="center"/>
    </xf>
    <xf numFmtId="41" fontId="7" fillId="0" borderId="1" xfId="1" applyNumberFormat="1" applyFont="1" applyBorder="1" applyAlignment="1">
      <alignment horizontal="center" vertical="center"/>
    </xf>
    <xf numFmtId="41" fontId="7" fillId="2" borderId="1" xfId="0" applyNumberFormat="1" applyFont="1" applyFill="1" applyBorder="1" applyAlignment="1">
      <alignment horizontal="center" vertical="center"/>
    </xf>
    <xf numFmtId="41" fontId="7" fillId="2" borderId="24" xfId="3" applyNumberFormat="1" applyFont="1" applyFill="1" applyBorder="1" applyAlignment="1">
      <alignment horizontal="center" vertical="center"/>
    </xf>
    <xf numFmtId="41" fontId="7" fillId="0" borderId="24" xfId="1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41" fontId="7" fillId="2" borderId="35" xfId="1" applyNumberFormat="1" applyFont="1" applyFill="1" applyBorder="1" applyAlignment="1" applyProtection="1">
      <alignment horizontal="center" vertical="center"/>
    </xf>
    <xf numFmtId="41" fontId="7" fillId="2" borderId="35" xfId="0" applyNumberFormat="1" applyFont="1" applyFill="1" applyBorder="1" applyAlignment="1">
      <alignment horizontal="center" vertical="center"/>
    </xf>
    <xf numFmtId="41" fontId="7" fillId="2" borderId="38" xfId="0" applyNumberFormat="1" applyFont="1" applyFill="1" applyBorder="1" applyAlignment="1">
      <alignment horizontal="center" vertical="center"/>
    </xf>
    <xf numFmtId="0" fontId="10" fillId="0" borderId="42" xfId="0" applyFont="1" applyFill="1" applyBorder="1" applyAlignment="1" applyProtection="1">
      <alignment horizontal="center" vertical="center"/>
    </xf>
    <xf numFmtId="41" fontId="10" fillId="0" borderId="0" xfId="0" applyNumberFormat="1" applyFont="1" applyFill="1" applyBorder="1" applyAlignment="1" applyProtection="1">
      <alignment horizontal="center" vertical="center"/>
    </xf>
    <xf numFmtId="41" fontId="9" fillId="0" borderId="0" xfId="1" applyNumberFormat="1" applyFont="1" applyFill="1" applyBorder="1" applyAlignment="1">
      <alignment horizontal="center" vertical="center"/>
    </xf>
    <xf numFmtId="0" fontId="17" fillId="0" borderId="15" xfId="0" applyFont="1" applyBorder="1" applyAlignment="1" applyProtection="1">
      <alignment horizontal="center" vertical="center"/>
    </xf>
    <xf numFmtId="41" fontId="7" fillId="0" borderId="0" xfId="1" applyNumberFormat="1" applyFont="1" applyFill="1" applyBorder="1" applyAlignment="1" applyProtection="1">
      <alignment horizontal="center" vertical="center"/>
    </xf>
    <xf numFmtId="41" fontId="9" fillId="0" borderId="0" xfId="1" applyNumberFormat="1" applyFont="1" applyBorder="1" applyAlignment="1">
      <alignment horizontal="center" vertical="center"/>
    </xf>
    <xf numFmtId="41" fontId="9" fillId="0" borderId="0" xfId="0" applyNumberFormat="1" applyFont="1" applyBorder="1" applyAlignment="1">
      <alignment horizontal="center" vertical="center"/>
    </xf>
    <xf numFmtId="41" fontId="7" fillId="2" borderId="14" xfId="1" applyNumberFormat="1" applyFont="1" applyFill="1" applyBorder="1" applyAlignment="1" applyProtection="1">
      <alignment horizontal="center" vertical="center"/>
    </xf>
    <xf numFmtId="41" fontId="7" fillId="0" borderId="14" xfId="1" applyNumberFormat="1" applyFont="1" applyFill="1" applyBorder="1" applyAlignment="1" applyProtection="1">
      <alignment horizontal="center" vertical="center"/>
    </xf>
    <xf numFmtId="41" fontId="7" fillId="0" borderId="14" xfId="1" applyNumberFormat="1" applyFont="1" applyBorder="1" applyAlignment="1">
      <alignment horizontal="center" vertical="center"/>
    </xf>
    <xf numFmtId="41" fontId="7" fillId="2" borderId="14" xfId="0" applyNumberFormat="1" applyFont="1" applyFill="1" applyBorder="1" applyAlignment="1">
      <alignment horizontal="center" vertical="center"/>
    </xf>
    <xf numFmtId="41" fontId="7" fillId="0" borderId="14" xfId="1" applyNumberFormat="1" applyFont="1" applyFill="1" applyBorder="1" applyAlignment="1">
      <alignment horizontal="center" vertical="center"/>
    </xf>
    <xf numFmtId="41" fontId="7" fillId="2" borderId="37" xfId="0" applyNumberFormat="1" applyFont="1" applyFill="1" applyBorder="1" applyAlignment="1">
      <alignment horizontal="center" vertical="center"/>
    </xf>
    <xf numFmtId="41" fontId="7" fillId="3" borderId="5" xfId="1" applyNumberFormat="1" applyFont="1" applyFill="1" applyBorder="1" applyAlignment="1" applyProtection="1">
      <alignment horizontal="center" vertical="center"/>
    </xf>
    <xf numFmtId="41" fontId="7" fillId="3" borderId="38" xfId="1" applyNumberFormat="1" applyFont="1" applyFill="1" applyBorder="1" applyAlignment="1" applyProtection="1">
      <alignment horizontal="center" vertical="center"/>
    </xf>
    <xf numFmtId="41" fontId="7" fillId="3" borderId="5" xfId="1" applyNumberFormat="1" applyFont="1" applyFill="1" applyBorder="1" applyAlignment="1">
      <alignment horizontal="center" vertical="center"/>
    </xf>
    <xf numFmtId="41" fontId="7" fillId="3" borderId="5" xfId="0" applyNumberFormat="1" applyFont="1" applyFill="1" applyBorder="1" applyAlignment="1">
      <alignment horizontal="center" vertical="center"/>
    </xf>
    <xf numFmtId="41" fontId="7" fillId="3" borderId="14" xfId="1" applyNumberFormat="1" applyFont="1" applyFill="1" applyBorder="1" applyAlignment="1" applyProtection="1">
      <alignment horizontal="center" vertical="center"/>
    </xf>
    <xf numFmtId="41" fontId="7" fillId="3" borderId="36" xfId="1" applyNumberFormat="1" applyFont="1" applyFill="1" applyBorder="1" applyAlignment="1" applyProtection="1">
      <alignment horizontal="center" vertical="center"/>
    </xf>
    <xf numFmtId="41" fontId="7" fillId="3" borderId="14" xfId="1" applyNumberFormat="1" applyFont="1" applyFill="1" applyBorder="1" applyAlignment="1">
      <alignment horizontal="center" vertical="center"/>
    </xf>
    <xf numFmtId="41" fontId="7" fillId="3" borderId="14" xfId="0" applyNumberFormat="1" applyFont="1" applyFill="1" applyBorder="1" applyAlignment="1">
      <alignment horizontal="center" vertical="center"/>
    </xf>
    <xf numFmtId="41" fontId="7" fillId="2" borderId="20" xfId="1" applyNumberFormat="1" applyFont="1" applyFill="1" applyBorder="1" applyAlignment="1" applyProtection="1">
      <alignment horizontal="center" vertical="center"/>
    </xf>
    <xf numFmtId="41" fontId="7" fillId="0" borderId="38" xfId="1" applyNumberFormat="1" applyFont="1" applyBorder="1" applyAlignment="1">
      <alignment horizontal="center" vertical="center"/>
    </xf>
    <xf numFmtId="41" fontId="7" fillId="2" borderId="24" xfId="0" applyNumberFormat="1" applyFont="1" applyFill="1" applyBorder="1" applyAlignment="1">
      <alignment horizontal="center" vertical="center"/>
    </xf>
    <xf numFmtId="38" fontId="10" fillId="0" borderId="40" xfId="0" applyNumberFormat="1" applyFont="1" applyFill="1" applyBorder="1" applyAlignment="1" applyProtection="1">
      <alignment horizontal="center" vertical="center"/>
    </xf>
    <xf numFmtId="38" fontId="8" fillId="0" borderId="41" xfId="0" applyNumberFormat="1" applyFont="1" applyBorder="1" applyAlignment="1">
      <alignment horizontal="center" vertical="center"/>
    </xf>
    <xf numFmtId="38" fontId="10" fillId="0" borderId="41" xfId="0" applyNumberFormat="1" applyFont="1" applyFill="1" applyBorder="1" applyAlignment="1" applyProtection="1">
      <alignment horizontal="center" vertical="center"/>
    </xf>
    <xf numFmtId="38" fontId="10" fillId="0" borderId="42" xfId="0" applyNumberFormat="1" applyFont="1" applyFill="1" applyBorder="1" applyAlignment="1" applyProtection="1">
      <alignment horizontal="center" vertical="center"/>
    </xf>
    <xf numFmtId="38" fontId="25" fillId="0" borderId="0" xfId="0" applyNumberFormat="1" applyFont="1" applyAlignment="1">
      <alignment horizontal="center" vertical="center"/>
    </xf>
    <xf numFmtId="38" fontId="7" fillId="0" borderId="0" xfId="0" applyNumberFormat="1" applyFont="1" applyFill="1" applyBorder="1" applyAlignment="1" applyProtection="1">
      <alignment horizontal="center" vertical="center"/>
    </xf>
    <xf numFmtId="38" fontId="9" fillId="0" borderId="0" xfId="0" applyNumberFormat="1" applyFont="1" applyBorder="1" applyAlignment="1">
      <alignment horizontal="center" vertical="center"/>
    </xf>
    <xf numFmtId="38" fontId="10" fillId="0" borderId="0" xfId="0" applyNumberFormat="1" applyFont="1" applyBorder="1" applyAlignment="1" applyProtection="1">
      <alignment horizontal="center" vertical="center"/>
      <protection locked="0"/>
    </xf>
    <xf numFmtId="41" fontId="20" fillId="0" borderId="0" xfId="1" applyNumberFormat="1" applyFont="1" applyFill="1" applyBorder="1" applyAlignment="1" applyProtection="1">
      <alignment horizontal="center" vertical="center"/>
    </xf>
    <xf numFmtId="38" fontId="25" fillId="0" borderId="0" xfId="0" applyNumberFormat="1" applyFont="1" applyBorder="1" applyAlignment="1">
      <alignment horizontal="center" vertical="center"/>
    </xf>
    <xf numFmtId="38" fontId="10" fillId="0" borderId="0" xfId="0" applyNumberFormat="1" applyFont="1" applyFill="1" applyBorder="1" applyAlignment="1" applyProtection="1">
      <alignment horizontal="center" vertical="center"/>
    </xf>
    <xf numFmtId="38" fontId="8" fillId="0" borderId="0" xfId="0" applyNumberFormat="1" applyFont="1" applyAlignment="1">
      <alignment horizontal="center" vertical="center"/>
    </xf>
    <xf numFmtId="38" fontId="8" fillId="0" borderId="0" xfId="0" applyNumberFormat="1" applyFont="1" applyFill="1" applyBorder="1" applyAlignment="1" applyProtection="1">
      <alignment horizontal="center" vertical="center"/>
    </xf>
    <xf numFmtId="41" fontId="21" fillId="0" borderId="0" xfId="1" applyNumberFormat="1" applyFont="1" applyFill="1" applyBorder="1" applyAlignment="1" applyProtection="1">
      <alignment horizontal="center" vertical="center"/>
    </xf>
    <xf numFmtId="41" fontId="8" fillId="0" borderId="0" xfId="1" applyNumberFormat="1" applyFont="1" applyAlignment="1">
      <alignment horizontal="center" vertical="center"/>
    </xf>
    <xf numFmtId="41" fontId="8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38" fontId="24" fillId="0" borderId="0" xfId="0" applyNumberFormat="1" applyFont="1" applyAlignment="1">
      <alignment horizontal="center" vertical="center"/>
    </xf>
    <xf numFmtId="41" fontId="14" fillId="0" borderId="0" xfId="1" applyNumberFormat="1" applyFont="1" applyFill="1" applyBorder="1" applyAlignment="1" applyProtection="1">
      <alignment horizontal="center" vertical="center"/>
    </xf>
    <xf numFmtId="41" fontId="9" fillId="0" borderId="0" xfId="1" applyNumberFormat="1" applyFont="1" applyAlignment="1">
      <alignment horizontal="center" vertical="center"/>
    </xf>
    <xf numFmtId="41" fontId="9" fillId="0" borderId="0" xfId="0" applyNumberFormat="1" applyFont="1" applyAlignment="1">
      <alignment horizontal="center" vertical="center"/>
    </xf>
    <xf numFmtId="38" fontId="13" fillId="0" borderId="0" xfId="0" applyNumberFormat="1" applyFont="1" applyBorder="1" applyAlignment="1">
      <alignment horizontal="center" vertical="center"/>
    </xf>
    <xf numFmtId="38" fontId="13" fillId="0" borderId="0" xfId="0" applyNumberFormat="1" applyFont="1" applyBorder="1" applyAlignment="1" applyProtection="1">
      <alignment horizontal="center" vertical="center"/>
    </xf>
    <xf numFmtId="41" fontId="13" fillId="0" borderId="16" xfId="1" applyNumberFormat="1" applyFont="1" applyBorder="1" applyAlignment="1">
      <alignment horizontal="center" vertical="center"/>
    </xf>
    <xf numFmtId="0" fontId="13" fillId="0" borderId="0" xfId="0" applyNumberFormat="1" applyFont="1" applyBorder="1" applyAlignment="1">
      <alignment horizontal="center" vertical="center"/>
    </xf>
    <xf numFmtId="38" fontId="24" fillId="0" borderId="0" xfId="0" applyNumberFormat="1" applyFont="1" applyBorder="1" applyAlignment="1">
      <alignment horizontal="center" vertical="center"/>
    </xf>
    <xf numFmtId="38" fontId="12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7" fillId="0" borderId="5" xfId="0" applyFont="1" applyFill="1" applyBorder="1" applyAlignment="1" applyProtection="1">
      <alignment horizontal="left" vertical="center"/>
    </xf>
    <xf numFmtId="0" fontId="7" fillId="0" borderId="5" xfId="1" applyNumberFormat="1" applyFont="1" applyFill="1" applyBorder="1" applyAlignment="1">
      <alignment horizontal="left" vertical="center"/>
    </xf>
    <xf numFmtId="0" fontId="7" fillId="3" borderId="7" xfId="0" applyFont="1" applyFill="1" applyBorder="1" applyAlignment="1" applyProtection="1">
      <alignment horizontal="left" vertical="center"/>
    </xf>
    <xf numFmtId="0" fontId="7" fillId="3" borderId="4" xfId="0" applyFont="1" applyFill="1" applyBorder="1" applyAlignment="1" applyProtection="1">
      <alignment horizontal="left" vertical="center"/>
    </xf>
    <xf numFmtId="0" fontId="7" fillId="3" borderId="4" xfId="1" applyNumberFormat="1" applyFont="1" applyFill="1" applyBorder="1" applyAlignment="1">
      <alignment horizontal="left" vertical="center"/>
    </xf>
    <xf numFmtId="0" fontId="7" fillId="0" borderId="6" xfId="0" applyFont="1" applyFill="1" applyBorder="1" applyAlignment="1" applyProtection="1">
      <alignment horizontal="left" vertical="center"/>
    </xf>
    <xf numFmtId="0" fontId="7" fillId="0" borderId="38" xfId="0" applyFont="1" applyFill="1" applyBorder="1" applyAlignment="1" applyProtection="1">
      <alignment horizontal="left" vertical="center"/>
    </xf>
    <xf numFmtId="0" fontId="7" fillId="0" borderId="20" xfId="0" applyFont="1" applyFill="1" applyBorder="1" applyAlignment="1">
      <alignment horizontal="left" vertical="center"/>
    </xf>
    <xf numFmtId="0" fontId="7" fillId="0" borderId="24" xfId="0" applyFont="1" applyFill="1" applyBorder="1" applyAlignment="1" applyProtection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7" xfId="0" applyFont="1" applyFill="1" applyBorder="1" applyAlignment="1" applyProtection="1">
      <alignment horizontal="left" vertical="center"/>
    </xf>
    <xf numFmtId="0" fontId="7" fillId="0" borderId="7" xfId="0" applyFont="1" applyFill="1" applyBorder="1" applyAlignment="1">
      <alignment horizontal="left" vertical="center"/>
    </xf>
    <xf numFmtId="0" fontId="7" fillId="0" borderId="3" xfId="0" applyFont="1" applyFill="1" applyBorder="1" applyAlignment="1" applyProtection="1">
      <alignment horizontal="left" vertical="center"/>
    </xf>
    <xf numFmtId="0" fontId="7" fillId="0" borderId="21" xfId="0" applyFont="1" applyFill="1" applyBorder="1" applyAlignment="1" applyProtection="1">
      <alignment horizontal="left" vertical="center"/>
    </xf>
    <xf numFmtId="0" fontId="7" fillId="3" borderId="20" xfId="0" applyFont="1" applyFill="1" applyBorder="1" applyAlignment="1" applyProtection="1">
      <alignment horizontal="left" vertical="center"/>
    </xf>
    <xf numFmtId="0" fontId="7" fillId="3" borderId="20" xfId="0" applyFont="1" applyFill="1" applyBorder="1" applyAlignment="1">
      <alignment horizontal="left" vertical="center"/>
    </xf>
    <xf numFmtId="0" fontId="7" fillId="3" borderId="23" xfId="0" applyFont="1" applyFill="1" applyBorder="1" applyAlignment="1" applyProtection="1">
      <alignment horizontal="left" vertical="center"/>
    </xf>
    <xf numFmtId="0" fontId="7" fillId="3" borderId="24" xfId="0" applyFont="1" applyFill="1" applyBorder="1" applyAlignment="1" applyProtection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3" xfId="0" applyFont="1" applyFill="1" applyBorder="1" applyAlignment="1">
      <alignment horizontal="left" vertical="center"/>
    </xf>
    <xf numFmtId="0" fontId="7" fillId="3" borderId="20" xfId="1" applyNumberFormat="1" applyFont="1" applyFill="1" applyBorder="1" applyAlignment="1">
      <alignment horizontal="left" vertical="center"/>
    </xf>
    <xf numFmtId="0" fontId="7" fillId="3" borderId="34" xfId="0" applyFont="1" applyFill="1" applyBorder="1" applyAlignment="1" applyProtection="1">
      <alignment horizontal="left" vertical="center"/>
    </xf>
    <xf numFmtId="0" fontId="7" fillId="3" borderId="21" xfId="0" applyFont="1" applyFill="1" applyBorder="1" applyAlignment="1" applyProtection="1">
      <alignment horizontal="left" vertical="center"/>
    </xf>
    <xf numFmtId="0" fontId="7" fillId="0" borderId="36" xfId="0" applyFont="1" applyFill="1" applyBorder="1" applyAlignment="1" applyProtection="1">
      <alignment horizontal="left" vertical="center"/>
    </xf>
    <xf numFmtId="0" fontId="7" fillId="0" borderId="36" xfId="1" applyNumberFormat="1" applyFont="1" applyFill="1" applyBorder="1" applyAlignment="1">
      <alignment horizontal="left" vertical="center"/>
    </xf>
    <xf numFmtId="0" fontId="7" fillId="0" borderId="34" xfId="0" applyFont="1" applyFill="1" applyBorder="1" applyAlignment="1" applyProtection="1">
      <alignment horizontal="left" vertical="center"/>
    </xf>
    <xf numFmtId="0" fontId="7" fillId="0" borderId="39" xfId="0" applyFont="1" applyFill="1" applyBorder="1" applyAlignment="1" applyProtection="1">
      <alignment horizontal="left" vertical="center"/>
    </xf>
    <xf numFmtId="0" fontId="7" fillId="3" borderId="34" xfId="0" applyFont="1" applyFill="1" applyBorder="1" applyAlignment="1" applyProtection="1">
      <alignment horizontal="left" vertical="center" wrapText="1"/>
    </xf>
    <xf numFmtId="0" fontId="7" fillId="3" borderId="23" xfId="0" applyFont="1" applyFill="1" applyBorder="1" applyAlignment="1" applyProtection="1">
      <alignment horizontal="left" vertical="center" wrapText="1"/>
    </xf>
    <xf numFmtId="0" fontId="7" fillId="0" borderId="23" xfId="0" applyFont="1" applyFill="1" applyBorder="1" applyAlignment="1" applyProtection="1">
      <alignment horizontal="left" vertical="center" wrapText="1"/>
    </xf>
    <xf numFmtId="0" fontId="7" fillId="0" borderId="24" xfId="0" applyFont="1" applyBorder="1" applyAlignment="1">
      <alignment horizontal="left" vertical="center"/>
    </xf>
    <xf numFmtId="0" fontId="7" fillId="0" borderId="38" xfId="1" applyNumberFormat="1" applyFont="1" applyFill="1" applyBorder="1" applyAlignment="1">
      <alignment horizontal="left" vertical="center"/>
    </xf>
    <xf numFmtId="0" fontId="7" fillId="0" borderId="33" xfId="0" applyFont="1" applyFill="1" applyBorder="1" applyAlignment="1" applyProtection="1">
      <alignment horizontal="left" vertical="center" wrapText="1"/>
    </xf>
    <xf numFmtId="0" fontId="7" fillId="0" borderId="38" xfId="0" applyFont="1" applyFill="1" applyBorder="1" applyAlignment="1" applyProtection="1">
      <alignment horizontal="left" vertical="center" wrapText="1"/>
    </xf>
    <xf numFmtId="0" fontId="7" fillId="0" borderId="7" xfId="1" applyNumberFormat="1" applyFont="1" applyFill="1" applyBorder="1" applyAlignment="1">
      <alignment horizontal="left" vertical="center"/>
    </xf>
    <xf numFmtId="0" fontId="7" fillId="0" borderId="35" xfId="0" applyFont="1" applyFill="1" applyBorder="1" applyAlignment="1" applyProtection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0" borderId="30" xfId="0" applyFont="1" applyFill="1" applyBorder="1" applyAlignment="1" applyProtection="1">
      <alignment horizontal="left" vertical="center"/>
    </xf>
    <xf numFmtId="0" fontId="7" fillId="0" borderId="4" xfId="0" applyFont="1" applyFill="1" applyBorder="1" applyAlignment="1" applyProtection="1">
      <alignment horizontal="left" vertical="center"/>
    </xf>
    <xf numFmtId="0" fontId="7" fillId="0" borderId="4" xfId="1" applyNumberFormat="1" applyFont="1" applyBorder="1" applyAlignment="1">
      <alignment horizontal="left" vertical="center"/>
    </xf>
    <xf numFmtId="0" fontId="7" fillId="0" borderId="31" xfId="0" applyFont="1" applyFill="1" applyBorder="1" applyAlignment="1" applyProtection="1">
      <alignment horizontal="left" vertical="center"/>
    </xf>
    <xf numFmtId="0" fontId="7" fillId="0" borderId="26" xfId="0" applyFont="1" applyFill="1" applyBorder="1" applyAlignment="1" applyProtection="1">
      <alignment horizontal="left" vertical="center"/>
    </xf>
    <xf numFmtId="0" fontId="7" fillId="0" borderId="5" xfId="1" applyNumberFormat="1" applyFont="1" applyBorder="1" applyAlignment="1">
      <alignment horizontal="left" vertical="center"/>
    </xf>
    <xf numFmtId="0" fontId="7" fillId="0" borderId="32" xfId="0" applyFont="1" applyFill="1" applyBorder="1" applyAlignment="1" applyProtection="1">
      <alignment horizontal="left" vertical="center"/>
    </xf>
    <xf numFmtId="0" fontId="7" fillId="0" borderId="20" xfId="1" applyNumberFormat="1" applyFont="1" applyBorder="1" applyAlignment="1">
      <alignment horizontal="left" vertical="center"/>
    </xf>
    <xf numFmtId="0" fontId="7" fillId="3" borderId="31" xfId="0" applyFont="1" applyFill="1" applyBorder="1" applyAlignment="1" applyProtection="1">
      <alignment horizontal="left" vertical="center"/>
    </xf>
    <xf numFmtId="0" fontId="7" fillId="3" borderId="26" xfId="0" applyFont="1" applyFill="1" applyBorder="1" applyAlignment="1" applyProtection="1">
      <alignment horizontal="left" vertical="center"/>
    </xf>
    <xf numFmtId="0" fontId="7" fillId="3" borderId="17" xfId="0" applyFont="1" applyFill="1" applyBorder="1" applyAlignment="1" applyProtection="1">
      <alignment horizontal="left" vertical="center"/>
    </xf>
    <xf numFmtId="0" fontId="7" fillId="3" borderId="5" xfId="0" applyFont="1" applyFill="1" applyBorder="1" applyAlignment="1" applyProtection="1">
      <alignment horizontal="left" vertical="center"/>
    </xf>
    <xf numFmtId="0" fontId="7" fillId="3" borderId="5" xfId="1" applyNumberFormat="1" applyFont="1" applyFill="1" applyBorder="1" applyAlignment="1">
      <alignment horizontal="left" vertical="center"/>
    </xf>
    <xf numFmtId="0" fontId="7" fillId="0" borderId="24" xfId="1" applyNumberFormat="1" applyFont="1" applyBorder="1" applyAlignment="1">
      <alignment horizontal="left" vertical="center"/>
    </xf>
    <xf numFmtId="0" fontId="7" fillId="3" borderId="35" xfId="0" applyFont="1" applyFill="1" applyBorder="1" applyAlignment="1" applyProtection="1">
      <alignment horizontal="left" vertical="center"/>
    </xf>
    <xf numFmtId="0" fontId="7" fillId="3" borderId="37" xfId="0" applyFont="1" applyFill="1" applyBorder="1" applyAlignment="1" applyProtection="1">
      <alignment horizontal="left" vertical="center"/>
    </xf>
    <xf numFmtId="0" fontId="7" fillId="3" borderId="38" xfId="0" applyFont="1" applyFill="1" applyBorder="1" applyAlignment="1" applyProtection="1">
      <alignment horizontal="left" vertical="center"/>
    </xf>
    <xf numFmtId="0" fontId="7" fillId="0" borderId="23" xfId="1" applyNumberFormat="1" applyFont="1" applyBorder="1" applyAlignment="1">
      <alignment horizontal="left" vertical="center"/>
    </xf>
    <xf numFmtId="0" fontId="7" fillId="0" borderId="4" xfId="1" applyNumberFormat="1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/>
    </xf>
    <xf numFmtId="0" fontId="7" fillId="0" borderId="1" xfId="0" applyFont="1" applyFill="1" applyBorder="1" applyAlignment="1" applyProtection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7" fillId="0" borderId="14" xfId="0" applyFont="1" applyFill="1" applyBorder="1" applyAlignment="1" applyProtection="1">
      <alignment horizontal="left" vertical="center"/>
    </xf>
    <xf numFmtId="0" fontId="7" fillId="0" borderId="14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7" fillId="3" borderId="14" xfId="0" applyFont="1" applyFill="1" applyBorder="1" applyAlignment="1" applyProtection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0" borderId="38" xfId="0" applyFont="1" applyFill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41" fontId="7" fillId="0" borderId="20" xfId="1" applyNumberFormat="1" applyFont="1" applyFill="1" applyBorder="1" applyAlignment="1" applyProtection="1">
      <alignment vertical="center"/>
    </xf>
    <xf numFmtId="41" fontId="10" fillId="2" borderId="23" xfId="3" applyNumberFormat="1" applyFont="1" applyFill="1" applyBorder="1" applyAlignment="1">
      <alignment horizontal="center" vertical="center"/>
    </xf>
    <xf numFmtId="41" fontId="10" fillId="2" borderId="36" xfId="3" applyNumberFormat="1" applyFont="1" applyFill="1" applyBorder="1" applyAlignment="1">
      <alignment horizontal="center" vertical="center"/>
    </xf>
    <xf numFmtId="41" fontId="10" fillId="0" borderId="23" xfId="1" applyNumberFormat="1" applyFont="1" applyFill="1" applyBorder="1" applyAlignment="1" applyProtection="1">
      <alignment horizontal="center" vertical="center"/>
    </xf>
    <xf numFmtId="0" fontId="7" fillId="3" borderId="36" xfId="0" applyFont="1" applyFill="1" applyBorder="1" applyAlignment="1" applyProtection="1">
      <alignment horizontal="left" vertical="center"/>
    </xf>
    <xf numFmtId="0" fontId="7" fillId="3" borderId="36" xfId="1" applyNumberFormat="1" applyFont="1" applyFill="1" applyBorder="1" applyAlignment="1">
      <alignment horizontal="left" vertical="center"/>
    </xf>
    <xf numFmtId="0" fontId="7" fillId="3" borderId="36" xfId="0" applyFont="1" applyFill="1" applyBorder="1" applyAlignment="1" applyProtection="1">
      <alignment horizontal="center" vertical="center"/>
    </xf>
    <xf numFmtId="41" fontId="7" fillId="3" borderId="36" xfId="1" applyNumberFormat="1" applyFont="1" applyFill="1" applyBorder="1" applyAlignment="1">
      <alignment horizontal="center" vertical="center"/>
    </xf>
    <xf numFmtId="41" fontId="7" fillId="3" borderId="36" xfId="0" applyNumberFormat="1" applyFont="1" applyFill="1" applyBorder="1" applyAlignment="1">
      <alignment horizontal="center" vertical="center"/>
    </xf>
    <xf numFmtId="41" fontId="10" fillId="2" borderId="23" xfId="1" applyNumberFormat="1" applyFont="1" applyFill="1" applyBorder="1" applyAlignment="1" applyProtection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0" fontId="7" fillId="3" borderId="10" xfId="0" applyFont="1" applyFill="1" applyBorder="1" applyAlignment="1" applyProtection="1">
      <alignment horizontal="left" vertical="center"/>
    </xf>
    <xf numFmtId="41" fontId="7" fillId="4" borderId="36" xfId="3" applyNumberFormat="1" applyFont="1" applyFill="1" applyBorder="1" applyAlignment="1">
      <alignment vertical="center"/>
    </xf>
    <xf numFmtId="41" fontId="7" fillId="0" borderId="37" xfId="1" applyNumberFormat="1" applyFont="1" applyFill="1" applyBorder="1" applyAlignment="1" applyProtection="1">
      <alignment horizontal="center" vertical="center"/>
    </xf>
    <xf numFmtId="41" fontId="7" fillId="0" borderId="35" xfId="1" applyNumberFormat="1" applyFont="1" applyFill="1" applyBorder="1" applyAlignment="1" applyProtection="1">
      <alignment horizontal="center" vertical="center"/>
    </xf>
    <xf numFmtId="41" fontId="7" fillId="4" borderId="4" xfId="1" applyNumberFormat="1" applyFont="1" applyFill="1" applyBorder="1" applyAlignment="1" applyProtection="1">
      <alignment horizontal="center" vertical="center"/>
    </xf>
    <xf numFmtId="0" fontId="26" fillId="0" borderId="30" xfId="0" applyFont="1" applyFill="1" applyBorder="1" applyAlignment="1" applyProtection="1">
      <alignment horizontal="left" vertical="center"/>
    </xf>
    <xf numFmtId="0" fontId="26" fillId="0" borderId="32" xfId="0" applyFont="1" applyFill="1" applyBorder="1" applyAlignment="1" applyProtection="1">
      <alignment horizontal="left" vertical="center"/>
    </xf>
    <xf numFmtId="0" fontId="26" fillId="0" borderId="7" xfId="0" applyFont="1" applyFill="1" applyBorder="1" applyAlignment="1" applyProtection="1">
      <alignment horizontal="left" vertical="center"/>
    </xf>
    <xf numFmtId="0" fontId="26" fillId="0" borderId="7" xfId="0" applyFont="1" applyFill="1" applyBorder="1" applyAlignment="1">
      <alignment horizontal="left" vertical="center"/>
    </xf>
    <xf numFmtId="0" fontId="26" fillId="0" borderId="7" xfId="0" applyFont="1" applyBorder="1" applyAlignment="1">
      <alignment horizontal="left" vertical="center"/>
    </xf>
    <xf numFmtId="0" fontId="26" fillId="0" borderId="7" xfId="0" applyFont="1" applyBorder="1" applyAlignment="1">
      <alignment horizontal="center" vertical="center"/>
    </xf>
    <xf numFmtId="0" fontId="26" fillId="0" borderId="7" xfId="0" applyNumberFormat="1" applyFont="1" applyFill="1" applyBorder="1" applyAlignment="1" applyProtection="1">
      <alignment horizontal="center" vertical="center"/>
    </xf>
    <xf numFmtId="41" fontId="26" fillId="2" borderId="7" xfId="1" applyNumberFormat="1" applyFont="1" applyFill="1" applyBorder="1" applyAlignment="1" applyProtection="1">
      <alignment horizontal="center" vertical="center"/>
    </xf>
    <xf numFmtId="41" fontId="26" fillId="0" borderId="7" xfId="1" applyNumberFormat="1" applyFont="1" applyFill="1" applyBorder="1" applyAlignment="1" applyProtection="1">
      <alignment horizontal="center" vertical="center"/>
    </xf>
    <xf numFmtId="41" fontId="26" fillId="0" borderId="7" xfId="1" applyNumberFormat="1" applyFont="1" applyFill="1" applyBorder="1" applyAlignment="1">
      <alignment horizontal="center" vertical="center"/>
    </xf>
    <xf numFmtId="41" fontId="26" fillId="2" borderId="35" xfId="0" applyNumberFormat="1" applyFont="1" applyFill="1" applyBorder="1" applyAlignment="1">
      <alignment horizontal="center" vertical="center"/>
    </xf>
    <xf numFmtId="0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6" fillId="0" borderId="5" xfId="0" applyFont="1" applyFill="1" applyBorder="1" applyAlignment="1" applyProtection="1">
      <alignment horizontal="left" vertical="center"/>
    </xf>
    <xf numFmtId="0" fontId="26" fillId="0" borderId="5" xfId="0" applyFont="1" applyFill="1" applyBorder="1" applyAlignment="1">
      <alignment horizontal="left" vertical="center"/>
    </xf>
    <xf numFmtId="0" fontId="26" fillId="0" borderId="5" xfId="0" applyFont="1" applyBorder="1" applyAlignment="1">
      <alignment horizontal="left" vertical="center"/>
    </xf>
    <xf numFmtId="0" fontId="26" fillId="0" borderId="5" xfId="0" applyFont="1" applyBorder="1" applyAlignment="1">
      <alignment horizontal="center" vertical="center"/>
    </xf>
    <xf numFmtId="0" fontId="26" fillId="0" borderId="5" xfId="0" applyNumberFormat="1" applyFont="1" applyFill="1" applyBorder="1" applyAlignment="1" applyProtection="1">
      <alignment horizontal="center" vertical="center"/>
    </xf>
    <xf numFmtId="41" fontId="26" fillId="2" borderId="5" xfId="1" applyNumberFormat="1" applyFont="1" applyFill="1" applyBorder="1" applyAlignment="1" applyProtection="1">
      <alignment horizontal="center" vertical="center"/>
    </xf>
    <xf numFmtId="41" fontId="26" fillId="0" borderId="5" xfId="1" applyNumberFormat="1" applyFont="1" applyFill="1" applyBorder="1" applyAlignment="1" applyProtection="1">
      <alignment horizontal="center" vertical="center"/>
    </xf>
    <xf numFmtId="41" fontId="26" fillId="0" borderId="5" xfId="1" applyNumberFormat="1" applyFont="1" applyFill="1" applyBorder="1" applyAlignment="1">
      <alignment horizontal="center" vertical="center"/>
    </xf>
    <xf numFmtId="41" fontId="26" fillId="2" borderId="38" xfId="0" applyNumberFormat="1" applyFont="1" applyFill="1" applyBorder="1" applyAlignment="1">
      <alignment horizontal="center" vertical="center"/>
    </xf>
    <xf numFmtId="0" fontId="26" fillId="0" borderId="1" xfId="0" applyFont="1" applyFill="1" applyBorder="1" applyAlignment="1" applyProtection="1">
      <alignment horizontal="left" vertical="center"/>
    </xf>
    <xf numFmtId="0" fontId="26" fillId="0" borderId="14" xfId="0" applyFont="1" applyFill="1" applyBorder="1" applyAlignment="1">
      <alignment horizontal="left" vertical="center"/>
    </xf>
    <xf numFmtId="0" fontId="26" fillId="0" borderId="24" xfId="0" applyFont="1" applyBorder="1" applyAlignment="1">
      <alignment horizontal="left" vertical="center"/>
    </xf>
    <xf numFmtId="0" fontId="26" fillId="0" borderId="20" xfId="0" applyFont="1" applyBorder="1" applyAlignment="1">
      <alignment horizontal="left" vertical="center"/>
    </xf>
    <xf numFmtId="0" fontId="26" fillId="0" borderId="20" xfId="0" applyFont="1" applyFill="1" applyBorder="1" applyAlignment="1">
      <alignment horizontal="center" vertical="center"/>
    </xf>
    <xf numFmtId="0" fontId="26" fillId="0" borderId="14" xfId="0" applyFont="1" applyFill="1" applyBorder="1" applyAlignment="1" applyProtection="1">
      <alignment horizontal="center" vertical="center"/>
    </xf>
    <xf numFmtId="41" fontId="26" fillId="2" borderId="14" xfId="1" applyNumberFormat="1" applyFont="1" applyFill="1" applyBorder="1" applyAlignment="1">
      <alignment horizontal="center" vertical="center"/>
    </xf>
    <xf numFmtId="41" fontId="26" fillId="2" borderId="36" xfId="1" applyNumberFormat="1" applyFont="1" applyFill="1" applyBorder="1" applyAlignment="1">
      <alignment horizontal="center" vertical="center"/>
    </xf>
    <xf numFmtId="41" fontId="26" fillId="0" borderId="14" xfId="1" applyNumberFormat="1" applyFont="1" applyBorder="1" applyAlignment="1">
      <alignment horizontal="center" vertical="center"/>
    </xf>
    <xf numFmtId="41" fontId="26" fillId="0" borderId="14" xfId="1" applyNumberFormat="1" applyFont="1" applyFill="1" applyBorder="1" applyAlignment="1">
      <alignment horizontal="center" vertical="center"/>
    </xf>
    <xf numFmtId="41" fontId="26" fillId="2" borderId="24" xfId="0" applyNumberFormat="1" applyFont="1" applyFill="1" applyBorder="1" applyAlignment="1">
      <alignment horizontal="center" vertical="center"/>
    </xf>
    <xf numFmtId="41" fontId="27" fillId="0" borderId="0" xfId="0" applyNumberFormat="1" applyFont="1" applyAlignment="1">
      <alignment horizontal="center" vertical="center"/>
    </xf>
    <xf numFmtId="0" fontId="7" fillId="0" borderId="34" xfId="0" applyFont="1" applyFill="1" applyBorder="1" applyAlignment="1" applyProtection="1">
      <alignment vertical="center" wrapText="1"/>
    </xf>
    <xf numFmtId="0" fontId="7" fillId="0" borderId="20" xfId="0" applyFont="1" applyFill="1" applyBorder="1" applyAlignment="1" applyProtection="1">
      <alignment vertical="center"/>
    </xf>
    <xf numFmtId="41" fontId="18" fillId="2" borderId="36" xfId="3" applyNumberFormat="1" applyFont="1" applyFill="1" applyBorder="1" applyAlignment="1">
      <alignment vertical="center"/>
    </xf>
    <xf numFmtId="41" fontId="18" fillId="0" borderId="20" xfId="1" applyNumberFormat="1" applyFont="1" applyFill="1" applyBorder="1" applyAlignment="1" applyProtection="1">
      <alignment vertical="center"/>
    </xf>
    <xf numFmtId="41" fontId="18" fillId="0" borderId="24" xfId="1" applyNumberFormat="1" applyFont="1" applyFill="1" applyBorder="1" applyAlignment="1" applyProtection="1">
      <alignment horizontal="center" vertical="center"/>
    </xf>
    <xf numFmtId="41" fontId="18" fillId="3" borderId="24" xfId="1" applyNumberFormat="1" applyFont="1" applyFill="1" applyBorder="1" applyAlignment="1" applyProtection="1">
      <alignment horizontal="center" vertical="center"/>
    </xf>
    <xf numFmtId="41" fontId="18" fillId="3" borderId="20" xfId="1" applyNumberFormat="1" applyFont="1" applyFill="1" applyBorder="1" applyAlignment="1" applyProtection="1">
      <alignment horizontal="center" vertical="center"/>
    </xf>
    <xf numFmtId="41" fontId="18" fillId="0" borderId="20" xfId="1" applyNumberFormat="1" applyFont="1" applyFill="1" applyBorder="1" applyAlignment="1" applyProtection="1">
      <alignment horizontal="center" vertical="center"/>
    </xf>
    <xf numFmtId="0" fontId="7" fillId="3" borderId="37" xfId="0" applyFont="1" applyFill="1" applyBorder="1" applyAlignment="1" applyProtection="1">
      <alignment horizontal="center" vertical="center"/>
    </xf>
    <xf numFmtId="0" fontId="7" fillId="0" borderId="24" xfId="0" applyFont="1" applyFill="1" applyBorder="1" applyAlignment="1">
      <alignment horizontal="left" vertical="center"/>
    </xf>
    <xf numFmtId="41" fontId="7" fillId="2" borderId="24" xfId="1" applyNumberFormat="1" applyFont="1" applyFill="1" applyBorder="1" applyAlignment="1" applyProtection="1">
      <alignment horizontal="center" vertical="center"/>
    </xf>
    <xf numFmtId="0" fontId="15" fillId="0" borderId="2" xfId="0" applyFont="1" applyFill="1" applyBorder="1" applyAlignment="1" applyProtection="1">
      <alignment horizontal="left" vertical="center"/>
    </xf>
    <xf numFmtId="0" fontId="7" fillId="0" borderId="8" xfId="0" applyFont="1" applyFill="1" applyBorder="1" applyAlignment="1" applyProtection="1">
      <alignment horizontal="left" vertical="center"/>
    </xf>
    <xf numFmtId="41" fontId="7" fillId="0" borderId="24" xfId="1" applyNumberFormat="1" applyFont="1" applyBorder="1" applyAlignment="1">
      <alignment horizontal="center" vertical="center"/>
    </xf>
    <xf numFmtId="41" fontId="12" fillId="0" borderId="0" xfId="0" applyNumberFormat="1" applyFont="1" applyFill="1" applyAlignment="1">
      <alignment horizontal="center" vertical="center"/>
    </xf>
    <xf numFmtId="41" fontId="7" fillId="0" borderId="0" xfId="0" applyNumberFormat="1" applyFont="1" applyFill="1" applyBorder="1" applyAlignment="1">
      <alignment horizontal="center" vertical="center"/>
    </xf>
    <xf numFmtId="41" fontId="9" fillId="0" borderId="0" xfId="0" applyNumberFormat="1" applyFont="1" applyFill="1" applyBorder="1" applyAlignment="1">
      <alignment horizontal="center" vertical="center"/>
    </xf>
    <xf numFmtId="41" fontId="8" fillId="0" borderId="0" xfId="0" applyNumberFormat="1" applyFont="1" applyFill="1" applyAlignment="1">
      <alignment horizontal="center" vertical="center"/>
    </xf>
    <xf numFmtId="41" fontId="9" fillId="0" borderId="0" xfId="0" applyNumberFormat="1" applyFont="1" applyFill="1" applyAlignment="1">
      <alignment horizontal="center" vertical="center"/>
    </xf>
    <xf numFmtId="38" fontId="12" fillId="0" borderId="0" xfId="0" applyNumberFormat="1" applyFont="1" applyFill="1" applyAlignment="1">
      <alignment horizontal="center" vertical="center"/>
    </xf>
    <xf numFmtId="41" fontId="11" fillId="2" borderId="28" xfId="0" quotePrefix="1" applyNumberFormat="1" applyFont="1" applyFill="1" applyBorder="1" applyAlignment="1">
      <alignment horizontal="center" vertical="center"/>
    </xf>
    <xf numFmtId="41" fontId="8" fillId="2" borderId="29" xfId="0" applyNumberFormat="1" applyFont="1" applyFill="1" applyBorder="1" applyAlignment="1">
      <alignment horizontal="center" vertical="center"/>
    </xf>
    <xf numFmtId="0" fontId="7" fillId="0" borderId="35" xfId="0" applyFont="1" applyFill="1" applyBorder="1" applyAlignment="1">
      <alignment horizontal="left" vertical="center"/>
    </xf>
    <xf numFmtId="41" fontId="7" fillId="0" borderId="35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7" fillId="0" borderId="43" xfId="0" applyFont="1" applyFill="1" applyBorder="1" applyAlignment="1" applyProtection="1">
      <alignment horizontal="left" vertical="center"/>
    </xf>
    <xf numFmtId="41" fontId="7" fillId="0" borderId="37" xfId="0" applyNumberFormat="1" applyFont="1" applyFill="1" applyBorder="1" applyAlignment="1">
      <alignment horizontal="center" vertical="center"/>
    </xf>
    <xf numFmtId="41" fontId="7" fillId="0" borderId="37" xfId="1" applyNumberFormat="1" applyFont="1" applyFill="1" applyBorder="1" applyAlignment="1">
      <alignment horizontal="center" vertical="center"/>
    </xf>
    <xf numFmtId="41" fontId="7" fillId="3" borderId="45" xfId="0" applyNumberFormat="1" applyFont="1" applyFill="1" applyBorder="1" applyAlignment="1">
      <alignment horizontal="center" vertical="center"/>
    </xf>
    <xf numFmtId="41" fontId="7" fillId="3" borderId="24" xfId="0" applyNumberFormat="1" applyFont="1" applyFill="1" applyBorder="1" applyAlignment="1">
      <alignment horizontal="center" vertical="center"/>
    </xf>
    <xf numFmtId="41" fontId="7" fillId="0" borderId="24" xfId="0" applyNumberFormat="1" applyFont="1" applyFill="1" applyBorder="1" applyAlignment="1">
      <alignment horizontal="center" vertical="center"/>
    </xf>
    <xf numFmtId="41" fontId="26" fillId="0" borderId="24" xfId="0" applyNumberFormat="1" applyFont="1" applyFill="1" applyBorder="1" applyAlignment="1">
      <alignment horizontal="center" vertical="center"/>
    </xf>
    <xf numFmtId="41" fontId="7" fillId="0" borderId="44" xfId="0" applyNumberFormat="1" applyFont="1" applyFill="1" applyBorder="1" applyAlignment="1">
      <alignment horizontal="center" vertical="center"/>
    </xf>
    <xf numFmtId="41" fontId="7" fillId="0" borderId="35" xfId="0" applyNumberFormat="1" applyFont="1" applyFill="1" applyBorder="1" applyAlignment="1">
      <alignment horizontal="center" vertical="center"/>
    </xf>
    <xf numFmtId="41" fontId="26" fillId="0" borderId="27" xfId="0" applyNumberFormat="1" applyFont="1" applyFill="1" applyBorder="1" applyAlignment="1">
      <alignment horizontal="center" vertical="center"/>
    </xf>
    <xf numFmtId="41" fontId="26" fillId="0" borderId="35" xfId="0" applyNumberFormat="1" applyFont="1" applyFill="1" applyBorder="1" applyAlignment="1">
      <alignment horizontal="center" vertical="center"/>
    </xf>
    <xf numFmtId="41" fontId="10" fillId="0" borderId="44" xfId="1" applyNumberFormat="1" applyFont="1" applyFill="1" applyBorder="1" applyAlignment="1" applyProtection="1">
      <alignment horizontal="center" vertical="center"/>
    </xf>
    <xf numFmtId="41" fontId="7" fillId="0" borderId="27" xfId="0" applyNumberFormat="1" applyFont="1" applyFill="1" applyBorder="1" applyAlignment="1">
      <alignment horizontal="center" vertical="center"/>
    </xf>
    <xf numFmtId="41" fontId="7" fillId="3" borderId="45" xfId="1" applyNumberFormat="1" applyFont="1" applyFill="1" applyBorder="1" applyAlignment="1" applyProtection="1">
      <alignment horizontal="center" vertical="center"/>
    </xf>
    <xf numFmtId="0" fontId="7" fillId="0" borderId="27" xfId="0" applyFont="1" applyFill="1" applyBorder="1" applyAlignment="1" applyProtection="1">
      <alignment horizontal="left" vertical="center"/>
    </xf>
    <xf numFmtId="0" fontId="7" fillId="0" borderId="27" xfId="1" applyNumberFormat="1" applyFont="1" applyFill="1" applyBorder="1" applyAlignment="1">
      <alignment horizontal="left" vertical="center"/>
    </xf>
    <xf numFmtId="0" fontId="7" fillId="0" borderId="46" xfId="0" applyFont="1" applyFill="1" applyBorder="1" applyAlignment="1" applyProtection="1">
      <alignment horizontal="left" vertical="center" wrapText="1"/>
    </xf>
    <xf numFmtId="0" fontId="7" fillId="0" borderId="27" xfId="0" applyFont="1" applyFill="1" applyBorder="1" applyAlignment="1" applyProtection="1">
      <alignment horizontal="left" vertical="center" wrapText="1"/>
    </xf>
    <xf numFmtId="0" fontId="7" fillId="0" borderId="27" xfId="0" applyFont="1" applyFill="1" applyBorder="1" applyAlignment="1" applyProtection="1">
      <alignment horizontal="center" vertical="center"/>
    </xf>
    <xf numFmtId="41" fontId="7" fillId="2" borderId="27" xfId="3" applyNumberFormat="1" applyFont="1" applyFill="1" applyBorder="1" applyAlignment="1">
      <alignment horizontal="center" vertical="center"/>
    </xf>
    <xf numFmtId="41" fontId="7" fillId="0" borderId="27" xfId="1" applyNumberFormat="1" applyFont="1" applyFill="1" applyBorder="1" applyAlignment="1">
      <alignment horizontal="center" vertical="center"/>
    </xf>
    <xf numFmtId="41" fontId="7" fillId="2" borderId="27" xfId="0" applyNumberFormat="1" applyFont="1" applyFill="1" applyBorder="1" applyAlignment="1">
      <alignment horizontal="center" vertical="center"/>
    </xf>
    <xf numFmtId="41" fontId="7" fillId="0" borderId="45" xfId="0" applyNumberFormat="1" applyFont="1" applyFill="1" applyBorder="1" applyAlignment="1">
      <alignment horizontal="center" vertical="center"/>
    </xf>
    <xf numFmtId="0" fontId="29" fillId="0" borderId="20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10" fillId="0" borderId="34" xfId="0" applyFont="1" applyFill="1" applyBorder="1" applyAlignment="1" applyProtection="1">
      <alignment horizontal="left" vertical="center" wrapText="1"/>
    </xf>
    <xf numFmtId="0" fontId="10" fillId="0" borderId="23" xfId="0" applyFont="1" applyFill="1" applyBorder="1" applyAlignment="1" applyProtection="1">
      <alignment horizontal="left" vertical="center" wrapText="1"/>
    </xf>
    <xf numFmtId="0" fontId="10" fillId="0" borderId="20" xfId="0" applyFont="1" applyFill="1" applyBorder="1" applyAlignment="1" applyProtection="1">
      <alignment horizontal="left" vertical="center"/>
    </xf>
    <xf numFmtId="0" fontId="10" fillId="0" borderId="24" xfId="1" applyNumberFormat="1" applyFont="1" applyFill="1" applyBorder="1" applyAlignment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41" fontId="7" fillId="2" borderId="45" xfId="0" applyNumberFormat="1" applyFont="1" applyFill="1" applyBorder="1" applyAlignment="1">
      <alignment horizontal="center" vertical="center"/>
    </xf>
    <xf numFmtId="41" fontId="7" fillId="2" borderId="10" xfId="0" applyNumberFormat="1" applyFont="1" applyFill="1" applyBorder="1" applyAlignment="1">
      <alignment horizontal="center" vertical="center"/>
    </xf>
    <xf numFmtId="41" fontId="7" fillId="2" borderId="36" xfId="0" applyNumberFormat="1" applyFont="1" applyFill="1" applyBorder="1" applyAlignment="1">
      <alignment horizontal="center" vertical="center"/>
    </xf>
    <xf numFmtId="41" fontId="10" fillId="2" borderId="44" xfId="1" applyNumberFormat="1" applyFont="1" applyFill="1" applyBorder="1" applyAlignment="1" applyProtection="1">
      <alignment horizontal="center" vertical="center"/>
    </xf>
    <xf numFmtId="41" fontId="7" fillId="2" borderId="44" xfId="0" applyNumberFormat="1" applyFont="1" applyFill="1" applyBorder="1" applyAlignment="1">
      <alignment horizontal="center" vertical="center"/>
    </xf>
    <xf numFmtId="0" fontId="26" fillId="0" borderId="35" xfId="0" applyNumberFormat="1" applyFont="1" applyFill="1" applyBorder="1" applyAlignment="1" applyProtection="1">
      <alignment horizontal="center" vertical="center"/>
    </xf>
    <xf numFmtId="0" fontId="26" fillId="0" borderId="38" xfId="0" applyNumberFormat="1" applyFont="1" applyFill="1" applyBorder="1" applyAlignment="1" applyProtection="1">
      <alignment horizontal="center" vertical="center"/>
    </xf>
    <xf numFmtId="0" fontId="7" fillId="3" borderId="37" xfId="0" applyNumberFormat="1" applyFont="1" applyFill="1" applyBorder="1" applyAlignment="1" applyProtection="1">
      <alignment horizontal="center" vertical="center"/>
    </xf>
    <xf numFmtId="0" fontId="19" fillId="3" borderId="37" xfId="0" applyNumberFormat="1" applyFont="1" applyFill="1" applyBorder="1" applyAlignment="1">
      <alignment horizontal="center" vertical="center"/>
    </xf>
    <xf numFmtId="0" fontId="7" fillId="0" borderId="36" xfId="0" applyNumberFormat="1" applyFont="1" applyFill="1" applyBorder="1" applyAlignment="1" applyProtection="1">
      <alignment horizontal="center" vertical="center"/>
    </xf>
    <xf numFmtId="0" fontId="7" fillId="3" borderId="35" xfId="0" applyFont="1" applyFill="1" applyBorder="1" applyAlignment="1" applyProtection="1">
      <alignment horizontal="center" vertical="center"/>
    </xf>
    <xf numFmtId="0" fontId="7" fillId="3" borderId="38" xfId="0" applyFont="1" applyFill="1" applyBorder="1" applyAlignment="1" applyProtection="1">
      <alignment horizontal="center" vertical="center"/>
    </xf>
    <xf numFmtId="0" fontId="26" fillId="0" borderId="36" xfId="0" applyFont="1" applyFill="1" applyBorder="1" applyAlignment="1" applyProtection="1">
      <alignment horizontal="center" vertical="center"/>
    </xf>
    <xf numFmtId="0" fontId="7" fillId="0" borderId="37" xfId="2" applyFont="1" applyFill="1" applyBorder="1" applyAlignment="1" applyProtection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7" xfId="0" applyFont="1" applyFill="1" applyBorder="1" applyAlignment="1" applyProtection="1">
      <alignment horizontal="left" vertical="center"/>
    </xf>
    <xf numFmtId="0" fontId="31" fillId="0" borderId="7" xfId="1" applyNumberFormat="1" applyFont="1" applyBorder="1" applyAlignment="1">
      <alignment horizontal="left" vertical="center"/>
    </xf>
    <xf numFmtId="0" fontId="31" fillId="0" borderId="30" xfId="0" applyFont="1" applyFill="1" applyBorder="1" applyAlignment="1" applyProtection="1">
      <alignment horizontal="left" vertical="center"/>
    </xf>
    <xf numFmtId="0" fontId="31" fillId="0" borderId="7" xfId="0" applyFont="1" applyFill="1" applyBorder="1" applyAlignment="1" applyProtection="1">
      <alignment horizontal="center" vertical="center"/>
    </xf>
    <xf numFmtId="0" fontId="31" fillId="0" borderId="7" xfId="0" applyNumberFormat="1" applyFont="1" applyFill="1" applyBorder="1" applyAlignment="1" applyProtection="1">
      <alignment horizontal="center" vertical="center"/>
    </xf>
    <xf numFmtId="0" fontId="31" fillId="0" borderId="35" xfId="0" applyNumberFormat="1" applyFont="1" applyFill="1" applyBorder="1" applyAlignment="1" applyProtection="1">
      <alignment horizontal="center" vertical="center"/>
    </xf>
    <xf numFmtId="41" fontId="31" fillId="2" borderId="7" xfId="1" applyNumberFormat="1" applyFont="1" applyFill="1" applyBorder="1" applyAlignment="1" applyProtection="1">
      <alignment horizontal="center" vertical="center"/>
    </xf>
    <xf numFmtId="41" fontId="31" fillId="2" borderId="35" xfId="1" applyNumberFormat="1" applyFont="1" applyFill="1" applyBorder="1" applyAlignment="1" applyProtection="1">
      <alignment horizontal="center" vertical="center"/>
    </xf>
    <xf numFmtId="41" fontId="31" fillId="0" borderId="7" xfId="1" applyNumberFormat="1" applyFont="1" applyFill="1" applyBorder="1" applyAlignment="1" applyProtection="1">
      <alignment horizontal="center" vertical="center"/>
    </xf>
    <xf numFmtId="41" fontId="31" fillId="0" borderId="7" xfId="1" applyNumberFormat="1" applyFont="1" applyBorder="1" applyAlignment="1">
      <alignment horizontal="center" vertical="center"/>
    </xf>
    <xf numFmtId="41" fontId="31" fillId="2" borderId="7" xfId="0" applyNumberFormat="1" applyFont="1" applyFill="1" applyBorder="1" applyAlignment="1">
      <alignment horizontal="center" vertical="center"/>
    </xf>
    <xf numFmtId="41" fontId="31" fillId="0" borderId="35" xfId="0" applyNumberFormat="1" applyFont="1" applyFill="1" applyBorder="1" applyAlignment="1">
      <alignment horizontal="center" vertical="center"/>
    </xf>
    <xf numFmtId="41" fontId="31" fillId="2" borderId="35" xfId="0" applyNumberFormat="1" applyFont="1" applyFill="1" applyBorder="1" applyAlignment="1">
      <alignment horizontal="center" vertical="center"/>
    </xf>
    <xf numFmtId="0" fontId="30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1" fillId="0" borderId="5" xfId="0" applyFont="1" applyFill="1" applyBorder="1" applyAlignment="1" applyProtection="1">
      <alignment horizontal="left" vertical="center"/>
    </xf>
    <xf numFmtId="0" fontId="31" fillId="0" borderId="5" xfId="1" applyNumberFormat="1" applyFont="1" applyBorder="1" applyAlignment="1">
      <alignment horizontal="left" vertical="center"/>
    </xf>
    <xf numFmtId="0" fontId="31" fillId="0" borderId="32" xfId="0" applyFont="1" applyFill="1" applyBorder="1" applyAlignment="1" applyProtection="1">
      <alignment horizontal="left" vertical="center"/>
    </xf>
    <xf numFmtId="0" fontId="31" fillId="0" borderId="5" xfId="0" applyFont="1" applyFill="1" applyBorder="1" applyAlignment="1" applyProtection="1">
      <alignment horizontal="center" vertical="center"/>
    </xf>
    <xf numFmtId="0" fontId="31" fillId="0" borderId="5" xfId="0" applyNumberFormat="1" applyFont="1" applyFill="1" applyBorder="1" applyAlignment="1" applyProtection="1">
      <alignment horizontal="center" vertical="center"/>
    </xf>
    <xf numFmtId="0" fontId="31" fillId="0" borderId="38" xfId="0" applyNumberFormat="1" applyFont="1" applyFill="1" applyBorder="1" applyAlignment="1" applyProtection="1">
      <alignment horizontal="center" vertical="center"/>
    </xf>
    <xf numFmtId="41" fontId="31" fillId="2" borderId="5" xfId="1" applyNumberFormat="1" applyFont="1" applyFill="1" applyBorder="1" applyAlignment="1" applyProtection="1">
      <alignment horizontal="center" vertical="center"/>
    </xf>
    <xf numFmtId="41" fontId="31" fillId="2" borderId="38" xfId="1" applyNumberFormat="1" applyFont="1" applyFill="1" applyBorder="1" applyAlignment="1" applyProtection="1">
      <alignment horizontal="center" vertical="center"/>
    </xf>
    <xf numFmtId="41" fontId="31" fillId="0" borderId="5" xfId="1" applyNumberFormat="1" applyFont="1" applyFill="1" applyBorder="1" applyAlignment="1" applyProtection="1">
      <alignment horizontal="center" vertical="center"/>
    </xf>
    <xf numFmtId="41" fontId="31" fillId="0" borderId="5" xfId="1" applyNumberFormat="1" applyFont="1" applyBorder="1" applyAlignment="1">
      <alignment horizontal="center" vertical="center"/>
    </xf>
    <xf numFmtId="41" fontId="31" fillId="2" borderId="5" xfId="0" applyNumberFormat="1" applyFont="1" applyFill="1" applyBorder="1" applyAlignment="1">
      <alignment horizontal="center" vertical="center"/>
    </xf>
    <xf numFmtId="41" fontId="31" fillId="0" borderId="38" xfId="0" applyNumberFormat="1" applyFont="1" applyFill="1" applyBorder="1" applyAlignment="1">
      <alignment horizontal="center" vertical="center"/>
    </xf>
    <xf numFmtId="41" fontId="31" fillId="2" borderId="27" xfId="0" applyNumberFormat="1" applyFont="1" applyFill="1" applyBorder="1" applyAlignment="1">
      <alignment horizontal="center" vertical="center"/>
    </xf>
    <xf numFmtId="41" fontId="31" fillId="0" borderId="27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4" xfId="0" applyFont="1" applyFill="1" applyBorder="1" applyAlignment="1" applyProtection="1">
      <alignment horizontal="left" vertical="center"/>
    </xf>
    <xf numFmtId="0" fontId="34" fillId="0" borderId="4" xfId="0" applyFont="1" applyFill="1" applyBorder="1" applyAlignment="1">
      <alignment horizontal="left" vertical="center"/>
    </xf>
    <xf numFmtId="0" fontId="34" fillId="0" borderId="31" xfId="0" applyFont="1" applyFill="1" applyBorder="1" applyAlignment="1" applyProtection="1">
      <alignment horizontal="left" vertical="center"/>
    </xf>
    <xf numFmtId="0" fontId="34" fillId="0" borderId="26" xfId="0" applyFont="1" applyFill="1" applyBorder="1" applyAlignment="1" applyProtection="1">
      <alignment horizontal="left" vertical="center"/>
    </xf>
    <xf numFmtId="0" fontId="34" fillId="0" borderId="7" xfId="0" applyFont="1" applyBorder="1" applyAlignment="1">
      <alignment horizontal="left" vertical="center"/>
    </xf>
    <xf numFmtId="0" fontId="34" fillId="0" borderId="4" xfId="0" applyFont="1" applyBorder="1" applyAlignment="1">
      <alignment horizontal="center" vertical="center"/>
    </xf>
    <xf numFmtId="0" fontId="34" fillId="0" borderId="4" xfId="0" applyNumberFormat="1" applyFont="1" applyFill="1" applyBorder="1" applyAlignment="1" applyProtection="1">
      <alignment horizontal="center" vertical="center"/>
    </xf>
    <xf numFmtId="0" fontId="34" fillId="0" borderId="37" xfId="0" applyNumberFormat="1" applyFont="1" applyFill="1" applyBorder="1" applyAlignment="1" applyProtection="1">
      <alignment horizontal="center" vertical="center"/>
    </xf>
    <xf numFmtId="41" fontId="34" fillId="2" borderId="4" xfId="1" applyNumberFormat="1" applyFont="1" applyFill="1" applyBorder="1" applyAlignment="1" applyProtection="1">
      <alignment horizontal="center" vertical="center"/>
    </xf>
    <xf numFmtId="41" fontId="34" fillId="2" borderId="37" xfId="1" applyNumberFormat="1" applyFont="1" applyFill="1" applyBorder="1" applyAlignment="1" applyProtection="1">
      <alignment horizontal="center" vertical="center"/>
    </xf>
    <xf numFmtId="41" fontId="34" fillId="0" borderId="4" xfId="1" applyNumberFormat="1" applyFont="1" applyFill="1" applyBorder="1" applyAlignment="1" applyProtection="1">
      <alignment horizontal="center" vertical="center"/>
    </xf>
    <xf numFmtId="41" fontId="34" fillId="0" borderId="4" xfId="1" applyNumberFormat="1" applyFont="1" applyFill="1" applyBorder="1" applyAlignment="1">
      <alignment horizontal="center" vertical="center"/>
    </xf>
    <xf numFmtId="41" fontId="34" fillId="2" borderId="35" xfId="0" applyNumberFormat="1" applyFont="1" applyFill="1" applyBorder="1" applyAlignment="1">
      <alignment horizontal="center" vertical="center"/>
    </xf>
    <xf numFmtId="41" fontId="34" fillId="0" borderId="35" xfId="0" applyNumberFormat="1" applyFont="1" applyFill="1" applyBorder="1" applyAlignment="1">
      <alignment horizontal="center" vertical="center"/>
    </xf>
    <xf numFmtId="0" fontId="33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4" fillId="0" borderId="12" xfId="0" applyFont="1" applyFill="1" applyBorder="1" applyAlignment="1" applyProtection="1">
      <alignment horizontal="left" vertical="center"/>
    </xf>
    <xf numFmtId="0" fontId="34" fillId="0" borderId="12" xfId="0" applyFont="1" applyFill="1" applyBorder="1" applyAlignment="1">
      <alignment horizontal="left" vertical="center"/>
    </xf>
    <xf numFmtId="0" fontId="34" fillId="0" borderId="29" xfId="0" applyFont="1" applyFill="1" applyBorder="1" applyAlignment="1" applyProtection="1">
      <alignment horizontal="left" vertical="center"/>
    </xf>
    <xf numFmtId="0" fontId="34" fillId="0" borderId="12" xfId="0" applyFont="1" applyBorder="1" applyAlignment="1">
      <alignment horizontal="left" vertical="center"/>
    </xf>
    <xf numFmtId="0" fontId="34" fillId="0" borderId="12" xfId="0" applyFont="1" applyBorder="1" applyAlignment="1">
      <alignment horizontal="center" vertical="center"/>
    </xf>
    <xf numFmtId="0" fontId="34" fillId="0" borderId="12" xfId="0" applyNumberFormat="1" applyFont="1" applyFill="1" applyBorder="1" applyAlignment="1" applyProtection="1">
      <alignment horizontal="center" vertical="center"/>
    </xf>
    <xf numFmtId="41" fontId="34" fillId="2" borderId="12" xfId="1" applyNumberFormat="1" applyFont="1" applyFill="1" applyBorder="1" applyAlignment="1" applyProtection="1">
      <alignment horizontal="center" vertical="center"/>
    </xf>
    <xf numFmtId="41" fontId="34" fillId="0" borderId="12" xfId="1" applyNumberFormat="1" applyFont="1" applyFill="1" applyBorder="1" applyAlignment="1" applyProtection="1">
      <alignment horizontal="center" vertical="center"/>
    </xf>
    <xf numFmtId="41" fontId="34" fillId="0" borderId="12" xfId="1" applyNumberFormat="1" applyFont="1" applyFill="1" applyBorder="1" applyAlignment="1">
      <alignment horizontal="center" vertical="center"/>
    </xf>
    <xf numFmtId="41" fontId="34" fillId="2" borderId="12" xfId="0" applyNumberFormat="1" applyFont="1" applyFill="1" applyBorder="1" applyAlignment="1">
      <alignment horizontal="center" vertical="center"/>
    </xf>
    <xf numFmtId="41" fontId="34" fillId="0" borderId="12" xfId="0" applyNumberFormat="1" applyFont="1" applyFill="1" applyBorder="1" applyAlignment="1">
      <alignment horizontal="center" vertical="center"/>
    </xf>
    <xf numFmtId="0" fontId="34" fillId="0" borderId="27" xfId="0" applyFont="1" applyFill="1" applyBorder="1" applyAlignment="1" applyProtection="1">
      <alignment horizontal="left" vertical="center"/>
    </xf>
    <xf numFmtId="0" fontId="34" fillId="0" borderId="27" xfId="0" applyFont="1" applyFill="1" applyBorder="1" applyAlignment="1">
      <alignment horizontal="left" vertical="center"/>
    </xf>
    <xf numFmtId="0" fontId="34" fillId="0" borderId="43" xfId="0" applyFont="1" applyFill="1" applyBorder="1" applyAlignment="1" applyProtection="1">
      <alignment horizontal="left" vertical="center"/>
    </xf>
    <xf numFmtId="0" fontId="34" fillId="0" borderId="27" xfId="0" applyFont="1" applyBorder="1" applyAlignment="1">
      <alignment horizontal="left" vertical="center"/>
    </xf>
    <xf numFmtId="0" fontId="34" fillId="0" borderId="27" xfId="0" applyFont="1" applyBorder="1" applyAlignment="1">
      <alignment horizontal="center" vertical="center"/>
    </xf>
    <xf numFmtId="0" fontId="34" fillId="0" borderId="27" xfId="0" applyNumberFormat="1" applyFont="1" applyFill="1" applyBorder="1" applyAlignment="1" applyProtection="1">
      <alignment horizontal="center" vertical="center"/>
    </xf>
    <xf numFmtId="0" fontId="34" fillId="0" borderId="38" xfId="0" applyNumberFormat="1" applyFont="1" applyFill="1" applyBorder="1" applyAlignment="1" applyProtection="1">
      <alignment horizontal="center" vertical="center"/>
    </xf>
    <xf numFmtId="41" fontId="34" fillId="2" borderId="27" xfId="1" applyNumberFormat="1" applyFont="1" applyFill="1" applyBorder="1" applyAlignment="1" applyProtection="1">
      <alignment horizontal="center" vertical="center"/>
    </xf>
    <xf numFmtId="41" fontId="34" fillId="0" borderId="27" xfId="1" applyNumberFormat="1" applyFont="1" applyFill="1" applyBorder="1" applyAlignment="1" applyProtection="1">
      <alignment horizontal="center" vertical="center"/>
    </xf>
    <xf numFmtId="41" fontId="34" fillId="0" borderId="27" xfId="1" applyNumberFormat="1" applyFont="1" applyFill="1" applyBorder="1" applyAlignment="1">
      <alignment horizontal="center" vertical="center"/>
    </xf>
    <xf numFmtId="41" fontId="34" fillId="2" borderId="27" xfId="0" applyNumberFormat="1" applyFont="1" applyFill="1" applyBorder="1" applyAlignment="1">
      <alignment horizontal="center" vertical="center"/>
    </xf>
    <xf numFmtId="41" fontId="34" fillId="0" borderId="27" xfId="0" applyNumberFormat="1" applyFont="1" applyFill="1" applyBorder="1" applyAlignment="1">
      <alignment horizontal="center" vertical="center"/>
    </xf>
    <xf numFmtId="0" fontId="7" fillId="0" borderId="36" xfId="0" applyFont="1" applyFill="1" applyBorder="1" applyAlignment="1">
      <alignment horizontal="left" vertical="center"/>
    </xf>
    <xf numFmtId="41" fontId="7" fillId="0" borderId="36" xfId="1" applyNumberFormat="1" applyFont="1" applyFill="1" applyBorder="1" applyAlignment="1" applyProtection="1">
      <alignment horizontal="center" vertical="center"/>
    </xf>
    <xf numFmtId="41" fontId="7" fillId="0" borderId="36" xfId="1" applyNumberFormat="1" applyFont="1" applyFill="1" applyBorder="1" applyAlignment="1">
      <alignment horizontal="center" vertical="center"/>
    </xf>
    <xf numFmtId="41" fontId="7" fillId="0" borderId="36" xfId="0" applyNumberFormat="1" applyFont="1" applyFill="1" applyBorder="1" applyAlignment="1">
      <alignment horizontal="center" vertical="center"/>
    </xf>
    <xf numFmtId="0" fontId="7" fillId="0" borderId="37" xfId="0" applyFont="1" applyFill="1" applyBorder="1" applyAlignment="1" applyProtection="1">
      <alignment horizontal="left" vertical="center"/>
    </xf>
    <xf numFmtId="0" fontId="7" fillId="0" borderId="37" xfId="0" applyFont="1" applyFill="1" applyBorder="1" applyAlignment="1">
      <alignment horizontal="left" vertical="center"/>
    </xf>
    <xf numFmtId="0" fontId="36" fillId="0" borderId="0" xfId="0" applyFont="1"/>
    <xf numFmtId="0" fontId="3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41" fontId="39" fillId="2" borderId="38" xfId="1" applyNumberFormat="1" applyFont="1" applyFill="1" applyBorder="1" applyAlignment="1" applyProtection="1">
      <alignment horizontal="center" vertical="center"/>
    </xf>
    <xf numFmtId="0" fontId="38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9" fillId="0" borderId="37" xfId="0" applyFont="1" applyFill="1" applyBorder="1" applyAlignment="1" applyProtection="1">
      <alignment horizontal="left" vertical="center"/>
    </xf>
    <xf numFmtId="0" fontId="39" fillId="0" borderId="37" xfId="1" applyNumberFormat="1" applyFont="1" applyBorder="1" applyAlignment="1">
      <alignment horizontal="left" vertical="center"/>
    </xf>
    <xf numFmtId="0" fontId="39" fillId="0" borderId="31" xfId="0" applyFont="1" applyFill="1" applyBorder="1" applyAlignment="1" applyProtection="1">
      <alignment horizontal="left" vertical="center"/>
    </xf>
    <xf numFmtId="0" fontId="39" fillId="0" borderId="37" xfId="0" applyFont="1" applyFill="1" applyBorder="1" applyAlignment="1" applyProtection="1">
      <alignment horizontal="center" vertical="center"/>
    </xf>
    <xf numFmtId="0" fontId="39" fillId="0" borderId="37" xfId="0" applyNumberFormat="1" applyFont="1" applyFill="1" applyBorder="1" applyAlignment="1" applyProtection="1">
      <alignment horizontal="center" vertical="center"/>
    </xf>
    <xf numFmtId="41" fontId="39" fillId="2" borderId="37" xfId="1" applyNumberFormat="1" applyFont="1" applyFill="1" applyBorder="1" applyAlignment="1" applyProtection="1">
      <alignment horizontal="center" vertical="center"/>
    </xf>
    <xf numFmtId="41" fontId="39" fillId="0" borderId="38" xfId="1" applyNumberFormat="1" applyFont="1" applyFill="1" applyBorder="1" applyAlignment="1" applyProtection="1">
      <alignment horizontal="center" vertical="center"/>
    </xf>
    <xf numFmtId="41" fontId="39" fillId="0" borderId="37" xfId="1" applyNumberFormat="1" applyFont="1" applyBorder="1" applyAlignment="1">
      <alignment horizontal="center" vertical="center"/>
    </xf>
    <xf numFmtId="41" fontId="39" fillId="2" borderId="37" xfId="0" applyNumberFormat="1" applyFont="1" applyFill="1" applyBorder="1" applyAlignment="1">
      <alignment horizontal="center" vertical="center"/>
    </xf>
    <xf numFmtId="41" fontId="39" fillId="0" borderId="38" xfId="0" applyNumberFormat="1" applyFont="1" applyFill="1" applyBorder="1" applyAlignment="1">
      <alignment horizontal="center" vertical="center"/>
    </xf>
    <xf numFmtId="41" fontId="39" fillId="2" borderId="38" xfId="0" applyNumberFormat="1" applyFont="1" applyFill="1" applyBorder="1" applyAlignment="1">
      <alignment horizontal="center" vertical="center"/>
    </xf>
    <xf numFmtId="0" fontId="39" fillId="0" borderId="10" xfId="0" applyFont="1" applyFill="1" applyBorder="1" applyAlignment="1" applyProtection="1">
      <alignment horizontal="left" vertical="center"/>
    </xf>
    <xf numFmtId="0" fontId="39" fillId="0" borderId="10" xfId="1" applyNumberFormat="1" applyFont="1" applyBorder="1" applyAlignment="1">
      <alignment horizontal="left" vertical="center"/>
    </xf>
    <xf numFmtId="0" fontId="39" fillId="0" borderId="28" xfId="0" applyFont="1" applyFill="1" applyBorder="1" applyAlignment="1" applyProtection="1">
      <alignment horizontal="left" vertical="center"/>
    </xf>
    <xf numFmtId="0" fontId="39" fillId="0" borderId="10" xfId="0" applyFont="1" applyFill="1" applyBorder="1" applyAlignment="1" applyProtection="1">
      <alignment horizontal="center" vertical="center"/>
    </xf>
    <xf numFmtId="0" fontId="39" fillId="0" borderId="10" xfId="0" applyNumberFormat="1" applyFont="1" applyFill="1" applyBorder="1" applyAlignment="1" applyProtection="1">
      <alignment horizontal="center" vertical="center"/>
    </xf>
    <xf numFmtId="41" fontId="39" fillId="2" borderId="10" xfId="1" applyNumberFormat="1" applyFont="1" applyFill="1" applyBorder="1" applyAlignment="1" applyProtection="1">
      <alignment horizontal="center" vertical="center"/>
    </xf>
    <xf numFmtId="41" fontId="39" fillId="0" borderId="10" xfId="1" applyNumberFormat="1" applyFont="1" applyFill="1" applyBorder="1" applyAlignment="1" applyProtection="1">
      <alignment horizontal="center" vertical="center"/>
    </xf>
    <xf numFmtId="41" fontId="39" fillId="0" borderId="10" xfId="1" applyNumberFormat="1" applyFont="1" applyBorder="1" applyAlignment="1">
      <alignment horizontal="center" vertical="center"/>
    </xf>
    <xf numFmtId="41" fontId="39" fillId="2" borderId="10" xfId="0" applyNumberFormat="1" applyFont="1" applyFill="1" applyBorder="1" applyAlignment="1">
      <alignment horizontal="center" vertical="center"/>
    </xf>
    <xf numFmtId="41" fontId="39" fillId="0" borderId="10" xfId="0" applyNumberFormat="1" applyFont="1" applyFill="1" applyBorder="1" applyAlignment="1">
      <alignment horizontal="center" vertical="center"/>
    </xf>
    <xf numFmtId="38" fontId="41" fillId="0" borderId="0" xfId="0" applyNumberFormat="1" applyFont="1" applyAlignment="1">
      <alignment horizontal="center" vertical="center"/>
    </xf>
    <xf numFmtId="41" fontId="18" fillId="2" borderId="24" xfId="3" applyNumberFormat="1" applyFont="1" applyFill="1" applyBorder="1" applyAlignment="1">
      <alignment vertical="center"/>
    </xf>
    <xf numFmtId="41" fontId="18" fillId="0" borderId="24" xfId="1" applyNumberFormat="1" applyFont="1" applyFill="1" applyBorder="1" applyAlignment="1" applyProtection="1">
      <alignment vertical="center"/>
    </xf>
    <xf numFmtId="0" fontId="7" fillId="0" borderId="24" xfId="0" applyFont="1" applyFill="1" applyBorder="1" applyAlignment="1" applyProtection="1">
      <alignment vertical="center"/>
    </xf>
    <xf numFmtId="0" fontId="7" fillId="0" borderId="0" xfId="0" applyFont="1" applyFill="1" applyBorder="1" applyAlignment="1" applyProtection="1">
      <alignment vertical="center"/>
    </xf>
    <xf numFmtId="0" fontId="7" fillId="0" borderId="0" xfId="0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center" vertical="center"/>
    </xf>
    <xf numFmtId="41" fontId="18" fillId="0" borderId="0" xfId="1" applyNumberFormat="1" applyFont="1" applyFill="1" applyBorder="1" applyAlignment="1" applyProtection="1">
      <alignment vertical="center"/>
    </xf>
    <xf numFmtId="41" fontId="7" fillId="0" borderId="0" xfId="1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41" fontId="7" fillId="0" borderId="0" xfId="3" applyNumberFormat="1" applyFont="1" applyFill="1" applyBorder="1" applyAlignment="1">
      <alignment vertical="top"/>
    </xf>
    <xf numFmtId="41" fontId="18" fillId="0" borderId="0" xfId="3" applyNumberFormat="1" applyFont="1" applyFill="1" applyBorder="1" applyAlignment="1">
      <alignment vertical="center"/>
    </xf>
    <xf numFmtId="0" fontId="12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41" fontId="31" fillId="2" borderId="37" xfId="0" applyNumberFormat="1" applyFont="1" applyFill="1" applyBorder="1" applyAlignment="1">
      <alignment horizontal="center" vertical="center"/>
    </xf>
    <xf numFmtId="0" fontId="31" fillId="0" borderId="7" xfId="1" applyNumberFormat="1" applyFont="1" applyFill="1" applyBorder="1" applyAlignment="1">
      <alignment horizontal="left" vertical="center"/>
    </xf>
    <xf numFmtId="41" fontId="31" fillId="0" borderId="35" xfId="1" applyNumberFormat="1" applyFont="1" applyFill="1" applyBorder="1" applyAlignment="1" applyProtection="1">
      <alignment horizontal="center" vertical="center"/>
    </xf>
    <xf numFmtId="41" fontId="31" fillId="0" borderId="7" xfId="1" applyNumberFormat="1" applyFont="1" applyFill="1" applyBorder="1" applyAlignment="1">
      <alignment horizontal="center" vertical="center"/>
    </xf>
    <xf numFmtId="41" fontId="31" fillId="0" borderId="7" xfId="0" applyNumberFormat="1" applyFont="1" applyFill="1" applyBorder="1" applyAlignment="1">
      <alignment horizontal="center" vertical="center"/>
    </xf>
    <xf numFmtId="0" fontId="30" fillId="0" borderId="0" xfId="0" applyNumberFormat="1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32" fillId="0" borderId="0" xfId="0" applyFont="1" applyFill="1" applyAlignment="1">
      <alignment horizontal="center" vertical="center"/>
    </xf>
    <xf numFmtId="0" fontId="31" fillId="0" borderId="5" xfId="1" applyNumberFormat="1" applyFont="1" applyFill="1" applyBorder="1" applyAlignment="1">
      <alignment horizontal="left" vertical="center"/>
    </xf>
    <xf numFmtId="41" fontId="31" fillId="0" borderId="38" xfId="1" applyNumberFormat="1" applyFont="1" applyFill="1" applyBorder="1" applyAlignment="1" applyProtection="1">
      <alignment horizontal="center" vertical="center"/>
    </xf>
    <xf numFmtId="41" fontId="31" fillId="0" borderId="5" xfId="1" applyNumberFormat="1" applyFont="1" applyFill="1" applyBorder="1" applyAlignment="1">
      <alignment horizontal="center" vertical="center"/>
    </xf>
    <xf numFmtId="41" fontId="31" fillId="0" borderId="5" xfId="0" applyNumberFormat="1" applyFont="1" applyFill="1" applyBorder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6" fillId="0" borderId="7" xfId="0" applyFont="1" applyFill="1" applyBorder="1" applyAlignment="1">
      <alignment horizontal="center" vertical="center"/>
    </xf>
    <xf numFmtId="0" fontId="27" fillId="0" borderId="0" xfId="0" applyNumberFormat="1" applyFont="1" applyFill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0" fontId="33" fillId="0" borderId="0" xfId="0" applyFont="1" applyFill="1" applyAlignment="1">
      <alignment horizontal="center" vertical="center"/>
    </xf>
    <xf numFmtId="0" fontId="34" fillId="0" borderId="7" xfId="0" applyFont="1" applyFill="1" applyBorder="1" applyAlignment="1">
      <alignment horizontal="left" vertical="center"/>
    </xf>
    <xf numFmtId="0" fontId="34" fillId="0" borderId="4" xfId="0" applyFont="1" applyFill="1" applyBorder="1" applyAlignment="1">
      <alignment horizontal="center" vertical="center"/>
    </xf>
    <xf numFmtId="0" fontId="33" fillId="0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34" fillId="0" borderId="27" xfId="0" applyFont="1" applyFill="1" applyBorder="1" applyAlignment="1">
      <alignment horizontal="center" vertical="center"/>
    </xf>
    <xf numFmtId="41" fontId="37" fillId="0" borderId="16" xfId="0" applyNumberFormat="1" applyFont="1" applyBorder="1" applyAlignment="1">
      <alignment horizontal="center" vertical="center"/>
    </xf>
    <xf numFmtId="41" fontId="7" fillId="2" borderId="5" xfId="3" applyNumberFormat="1" applyFont="1" applyFill="1" applyBorder="1" applyAlignment="1">
      <alignment horizontal="center" vertical="center"/>
    </xf>
    <xf numFmtId="41" fontId="7" fillId="2" borderId="23" xfId="0" applyNumberFormat="1" applyFont="1" applyFill="1" applyBorder="1" applyAlignment="1">
      <alignment horizontal="center" vertical="center"/>
    </xf>
    <xf numFmtId="41" fontId="7" fillId="0" borderId="24" xfId="3" applyNumberFormat="1" applyFont="1" applyFill="1" applyBorder="1" applyAlignment="1">
      <alignment horizontal="center" vertical="center"/>
    </xf>
    <xf numFmtId="41" fontId="7" fillId="2" borderId="23" xfId="1" applyNumberFormat="1" applyFont="1" applyFill="1" applyBorder="1" applyAlignment="1" applyProtection="1">
      <alignment horizontal="center" vertical="center"/>
    </xf>
    <xf numFmtId="41" fontId="7" fillId="0" borderId="23" xfId="1" applyNumberFormat="1" applyFont="1" applyBorder="1" applyAlignment="1">
      <alignment horizontal="center" vertical="center"/>
    </xf>
    <xf numFmtId="0" fontId="7" fillId="3" borderId="37" xfId="0" applyFont="1" applyFill="1" applyBorder="1" applyAlignment="1">
      <alignment horizontal="left" vertical="center"/>
    </xf>
    <xf numFmtId="41" fontId="7" fillId="3" borderId="37" xfId="1" applyNumberFormat="1" applyFont="1" applyFill="1" applyBorder="1" applyAlignment="1">
      <alignment horizontal="center" vertical="center"/>
    </xf>
    <xf numFmtId="41" fontId="7" fillId="3" borderId="37" xfId="0" applyNumberFormat="1" applyFont="1" applyFill="1" applyBorder="1" applyAlignment="1">
      <alignment horizontal="center" vertical="center"/>
    </xf>
    <xf numFmtId="164" fontId="12" fillId="0" borderId="0" xfId="3" applyNumberFormat="1" applyFont="1" applyAlignment="1">
      <alignment horizontal="center" vertical="center"/>
    </xf>
    <xf numFmtId="164" fontId="9" fillId="0" borderId="0" xfId="3" applyNumberFormat="1" applyFont="1" applyAlignment="1">
      <alignment horizontal="center" vertical="center"/>
    </xf>
    <xf numFmtId="164" fontId="7" fillId="0" borderId="0" xfId="3" applyNumberFormat="1" applyFont="1" applyBorder="1" applyAlignment="1">
      <alignment horizontal="center" vertical="center"/>
    </xf>
    <xf numFmtId="164" fontId="30" fillId="0" borderId="0" xfId="3" applyNumberFormat="1" applyFont="1" applyAlignment="1">
      <alignment horizontal="center" vertical="center"/>
    </xf>
    <xf numFmtId="164" fontId="27" fillId="0" borderId="0" xfId="3" applyNumberFormat="1" applyFont="1" applyAlignment="1">
      <alignment horizontal="center" vertical="center"/>
    </xf>
    <xf numFmtId="164" fontId="33" fillId="0" borderId="0" xfId="3" applyNumberFormat="1" applyFont="1" applyAlignment="1">
      <alignment horizontal="center" vertical="center"/>
    </xf>
    <xf numFmtId="164" fontId="9" fillId="0" borderId="0" xfId="3" applyNumberFormat="1" applyFont="1" applyFill="1" applyBorder="1" applyAlignment="1">
      <alignment horizontal="center" vertical="center"/>
    </xf>
    <xf numFmtId="164" fontId="12" fillId="0" borderId="0" xfId="3" applyNumberFormat="1" applyFont="1" applyFill="1" applyBorder="1" applyAlignment="1">
      <alignment horizontal="center" vertical="center"/>
    </xf>
    <xf numFmtId="164" fontId="10" fillId="0" borderId="0" xfId="3" applyNumberFormat="1" applyFont="1" applyBorder="1" applyAlignment="1">
      <alignment horizontal="center" vertical="center"/>
    </xf>
    <xf numFmtId="164" fontId="38" fillId="0" borderId="0" xfId="3" applyNumberFormat="1" applyFont="1" applyAlignment="1">
      <alignment horizontal="center" vertical="center"/>
    </xf>
    <xf numFmtId="164" fontId="30" fillId="0" borderId="0" xfId="3" applyNumberFormat="1" applyFont="1" applyFill="1" applyAlignment="1">
      <alignment horizontal="center" vertical="center"/>
    </xf>
    <xf numFmtId="164" fontId="9" fillId="0" borderId="0" xfId="3" applyNumberFormat="1" applyFont="1" applyBorder="1" applyAlignment="1">
      <alignment horizontal="center" vertical="center"/>
    </xf>
    <xf numFmtId="164" fontId="27" fillId="0" borderId="0" xfId="3" applyNumberFormat="1" applyFont="1" applyFill="1" applyAlignment="1">
      <alignment horizontal="center" vertical="center"/>
    </xf>
    <xf numFmtId="164" fontId="33" fillId="0" borderId="0" xfId="3" applyNumberFormat="1" applyFont="1" applyFill="1" applyAlignment="1">
      <alignment horizontal="center" vertical="center"/>
    </xf>
    <xf numFmtId="164" fontId="8" fillId="0" borderId="0" xfId="3" applyNumberFormat="1" applyFont="1" applyAlignment="1">
      <alignment horizontal="center" vertical="center"/>
    </xf>
    <xf numFmtId="164" fontId="12" fillId="0" borderId="0" xfId="3" applyNumberFormat="1" applyFont="1" applyFill="1" applyAlignment="1">
      <alignment horizontal="center" vertical="center"/>
    </xf>
    <xf numFmtId="164" fontId="37" fillId="0" borderId="0" xfId="3" applyNumberFormat="1" applyFont="1" applyAlignment="1">
      <alignment horizontal="center" vertical="center"/>
    </xf>
    <xf numFmtId="0" fontId="7" fillId="3" borderId="23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center" vertical="center"/>
    </xf>
    <xf numFmtId="41" fontId="7" fillId="3" borderId="23" xfId="1" applyNumberFormat="1" applyFont="1" applyFill="1" applyBorder="1" applyAlignment="1" applyProtection="1">
      <alignment horizontal="center" vertical="center"/>
    </xf>
    <xf numFmtId="41" fontId="18" fillId="3" borderId="23" xfId="1" applyNumberFormat="1" applyFont="1" applyFill="1" applyBorder="1" applyAlignment="1" applyProtection="1">
      <alignment horizontal="center" vertical="center"/>
    </xf>
    <xf numFmtId="41" fontId="7" fillId="3" borderId="23" xfId="1" applyNumberFormat="1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41" fontId="7" fillId="0" borderId="23" xfId="3" applyNumberFormat="1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41" fontId="18" fillId="3" borderId="36" xfId="1" applyNumberFormat="1" applyFont="1" applyFill="1" applyBorder="1" applyAlignment="1" applyProtection="1">
      <alignment horizontal="center" vertical="center"/>
    </xf>
    <xf numFmtId="41" fontId="7" fillId="3" borderId="38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 applyProtection="1">
      <alignment horizontal="center" vertical="center"/>
    </xf>
    <xf numFmtId="38" fontId="9" fillId="0" borderId="0" xfId="0" applyNumberFormat="1" applyFont="1" applyAlignment="1">
      <alignment horizontal="left" vertical="center"/>
    </xf>
    <xf numFmtId="164" fontId="12" fillId="0" borderId="0" xfId="0" applyNumberFormat="1" applyFont="1" applyAlignment="1">
      <alignment horizontal="center" vertical="center"/>
    </xf>
    <xf numFmtId="41" fontId="11" fillId="4" borderId="10" xfId="0" quotePrefix="1" applyNumberFormat="1" applyFont="1" applyFill="1" applyBorder="1" applyAlignment="1">
      <alignment horizontal="center" vertical="center"/>
    </xf>
    <xf numFmtId="41" fontId="8" fillId="4" borderId="12" xfId="1" applyNumberFormat="1" applyFont="1" applyFill="1" applyBorder="1" applyAlignment="1" applyProtection="1">
      <alignment horizontal="center" vertical="center"/>
    </xf>
    <xf numFmtId="41" fontId="7" fillId="0" borderId="0" xfId="0" applyNumberFormat="1" applyFont="1" applyBorder="1" applyAlignment="1">
      <alignment horizontal="center" vertical="center"/>
    </xf>
    <xf numFmtId="41" fontId="8" fillId="4" borderId="19" xfId="1" applyNumberFormat="1" applyFont="1" applyFill="1" applyBorder="1" applyAlignment="1">
      <alignment horizontal="center" vertical="center"/>
    </xf>
    <xf numFmtId="41" fontId="7" fillId="4" borderId="23" xfId="1" applyNumberFormat="1" applyFont="1" applyFill="1" applyBorder="1" applyAlignment="1" applyProtection="1">
      <alignment horizontal="center" vertical="center"/>
    </xf>
    <xf numFmtId="41" fontId="7" fillId="5" borderId="27" xfId="1" applyNumberFormat="1" applyFont="1" applyFill="1" applyBorder="1" applyAlignment="1" applyProtection="1">
      <alignment horizontal="center" vertical="center"/>
    </xf>
    <xf numFmtId="41" fontId="7" fillId="5" borderId="5" xfId="1" applyNumberFormat="1" applyFont="1" applyFill="1" applyBorder="1" applyAlignment="1" applyProtection="1">
      <alignment horizontal="center" vertical="center"/>
    </xf>
    <xf numFmtId="41" fontId="7" fillId="5" borderId="14" xfId="1" applyNumberFormat="1" applyFont="1" applyFill="1" applyBorder="1" applyAlignment="1" applyProtection="1">
      <alignment horizontal="center" vertical="center"/>
    </xf>
    <xf numFmtId="41" fontId="7" fillId="0" borderId="12" xfId="0" applyNumberFormat="1" applyFont="1" applyFill="1" applyBorder="1" applyAlignment="1">
      <alignment horizontal="center" vertical="center"/>
    </xf>
    <xf numFmtId="41" fontId="7" fillId="2" borderId="12" xfId="0" applyNumberFormat="1" applyFont="1" applyFill="1" applyBorder="1" applyAlignment="1">
      <alignment horizontal="center" vertical="center"/>
    </xf>
    <xf numFmtId="0" fontId="7" fillId="0" borderId="44" xfId="0" applyNumberFormat="1" applyFont="1" applyFill="1" applyBorder="1" applyAlignment="1" applyProtection="1">
      <alignment horizontal="center" vertical="center"/>
    </xf>
    <xf numFmtId="13" fontId="11" fillId="0" borderId="10" xfId="0" quotePrefix="1" applyNumberFormat="1" applyFont="1" applyFill="1" applyBorder="1" applyAlignment="1">
      <alignment horizontal="center" vertical="center"/>
    </xf>
    <xf numFmtId="41" fontId="10" fillId="0" borderId="18" xfId="1" applyNumberFormat="1" applyFont="1" applyFill="1" applyBorder="1" applyAlignment="1" applyProtection="1">
      <alignment horizontal="center" vertical="center"/>
    </xf>
    <xf numFmtId="0" fontId="7" fillId="0" borderId="24" xfId="0" applyFont="1" applyBorder="1" applyAlignment="1">
      <alignment horizontal="center" vertical="center"/>
    </xf>
    <xf numFmtId="41" fontId="7" fillId="0" borderId="45" xfId="3" applyNumberFormat="1" applyFont="1" applyBorder="1" applyAlignment="1">
      <alignment horizontal="center" vertical="center"/>
    </xf>
    <xf numFmtId="41" fontId="7" fillId="0" borderId="45" xfId="0" applyNumberFormat="1" applyFont="1" applyBorder="1" applyAlignment="1">
      <alignment horizontal="center" vertical="center"/>
    </xf>
    <xf numFmtId="41" fontId="7" fillId="0" borderId="24" xfId="3" applyNumberFormat="1" applyFont="1" applyBorder="1" applyAlignment="1">
      <alignment horizontal="center" vertical="center"/>
    </xf>
    <xf numFmtId="41" fontId="7" fillId="0" borderId="24" xfId="0" applyNumberFormat="1" applyFont="1" applyBorder="1" applyAlignment="1">
      <alignment horizontal="center" vertical="center"/>
    </xf>
    <xf numFmtId="41" fontId="7" fillId="0" borderId="44" xfId="0" applyNumberFormat="1" applyFont="1" applyBorder="1" applyAlignment="1">
      <alignment horizontal="center" vertical="center"/>
    </xf>
    <xf numFmtId="41" fontId="9" fillId="0" borderId="24" xfId="3" applyNumberFormat="1" applyFont="1" applyBorder="1" applyAlignment="1">
      <alignment horizontal="center" vertical="center"/>
    </xf>
    <xf numFmtId="41" fontId="9" fillId="0" borderId="24" xfId="0" applyNumberFormat="1" applyFont="1" applyBorder="1" applyAlignment="1">
      <alignment horizontal="center" vertical="center"/>
    </xf>
    <xf numFmtId="41" fontId="12" fillId="0" borderId="24" xfId="3" applyNumberFormat="1" applyFont="1" applyBorder="1" applyAlignment="1">
      <alignment horizontal="center" vertical="center"/>
    </xf>
    <xf numFmtId="41" fontId="12" fillId="0" borderId="24" xfId="0" applyNumberFormat="1" applyFont="1" applyBorder="1" applyAlignment="1">
      <alignment horizontal="center" vertical="center"/>
    </xf>
    <xf numFmtId="41" fontId="8" fillId="0" borderId="19" xfId="3" applyNumberFormat="1" applyFont="1" applyBorder="1" applyAlignment="1">
      <alignment horizontal="center" vertical="center"/>
    </xf>
    <xf numFmtId="0" fontId="34" fillId="0" borderId="24" xfId="0" applyFont="1" applyFill="1" applyBorder="1" applyAlignment="1" applyProtection="1">
      <alignment horizontal="left" vertical="center"/>
    </xf>
    <xf numFmtId="0" fontId="34" fillId="0" borderId="21" xfId="0" applyFont="1" applyFill="1" applyBorder="1" applyAlignment="1" applyProtection="1">
      <alignment horizontal="left" vertical="center"/>
    </xf>
    <xf numFmtId="0" fontId="34" fillId="0" borderId="24" xfId="0" applyFont="1" applyBorder="1" applyAlignment="1">
      <alignment horizontal="left" vertical="center"/>
    </xf>
    <xf numFmtId="0" fontId="7" fillId="0" borderId="7" xfId="1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27" xfId="0" applyFont="1" applyFill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27" xfId="0" applyNumberFormat="1" applyFont="1" applyFill="1" applyBorder="1" applyAlignment="1" applyProtection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0" borderId="36" xfId="0" applyFont="1" applyFill="1" applyBorder="1" applyAlignment="1" applyProtection="1">
      <alignment horizontal="left" vertical="center"/>
    </xf>
    <xf numFmtId="0" fontId="34" fillId="0" borderId="36" xfId="1" applyNumberFormat="1" applyFont="1" applyFill="1" applyBorder="1" applyAlignment="1">
      <alignment horizontal="left" vertical="center"/>
    </xf>
    <xf numFmtId="0" fontId="34" fillId="0" borderId="34" xfId="0" applyFont="1" applyFill="1" applyBorder="1" applyAlignment="1" applyProtection="1">
      <alignment horizontal="left" vertical="center"/>
    </xf>
    <xf numFmtId="0" fontId="34" fillId="0" borderId="39" xfId="0" applyFont="1" applyFill="1" applyBorder="1" applyAlignment="1" applyProtection="1">
      <alignment horizontal="left" vertical="center"/>
    </xf>
    <xf numFmtId="0" fontId="34" fillId="0" borderId="36" xfId="0" applyFont="1" applyFill="1" applyBorder="1" applyAlignment="1" applyProtection="1">
      <alignment horizontal="center" vertical="center"/>
    </xf>
    <xf numFmtId="0" fontId="34" fillId="0" borderId="8" xfId="0" applyFont="1" applyFill="1" applyBorder="1" applyAlignment="1" applyProtection="1">
      <alignment horizontal="center" vertical="center"/>
    </xf>
    <xf numFmtId="41" fontId="34" fillId="0" borderId="24" xfId="3" applyNumberFormat="1" applyFont="1" applyBorder="1" applyAlignment="1">
      <alignment horizontal="center" vertical="center"/>
    </xf>
    <xf numFmtId="0" fontId="34" fillId="0" borderId="23" xfId="0" applyFont="1" applyFill="1" applyBorder="1" applyAlignment="1" applyProtection="1">
      <alignment horizontal="left" vertical="center"/>
    </xf>
    <xf numFmtId="0" fontId="34" fillId="0" borderId="23" xfId="0" applyFont="1" applyFill="1" applyBorder="1" applyAlignment="1">
      <alignment horizontal="left" vertical="center"/>
    </xf>
    <xf numFmtId="0" fontId="34" fillId="0" borderId="34" xfId="0" applyFont="1" applyFill="1" applyBorder="1" applyAlignment="1" applyProtection="1">
      <alignment horizontal="left" vertical="center" wrapText="1"/>
    </xf>
    <xf numFmtId="0" fontId="34" fillId="0" borderId="23" xfId="0" applyFont="1" applyFill="1" applyBorder="1" applyAlignment="1" applyProtection="1">
      <alignment horizontal="left" vertical="center" wrapText="1"/>
    </xf>
    <xf numFmtId="0" fontId="34" fillId="0" borderId="24" xfId="0" applyFont="1" applyFill="1" applyBorder="1" applyAlignment="1">
      <alignment horizontal="center" vertical="center"/>
    </xf>
    <xf numFmtId="41" fontId="7" fillId="0" borderId="44" xfId="3" applyNumberFormat="1" applyFont="1" applyBorder="1" applyAlignment="1">
      <alignment horizontal="center" vertical="center"/>
    </xf>
    <xf numFmtId="0" fontId="34" fillId="0" borderId="20" xfId="0" applyFont="1" applyFill="1" applyBorder="1" applyAlignment="1" applyProtection="1">
      <alignment horizontal="left" vertical="center"/>
    </xf>
    <xf numFmtId="0" fontId="34" fillId="0" borderId="24" xfId="1" applyNumberFormat="1" applyFont="1" applyFill="1" applyBorder="1" applyAlignment="1">
      <alignment horizontal="left" vertical="center"/>
    </xf>
    <xf numFmtId="0" fontId="34" fillId="0" borderId="23" xfId="0" applyFont="1" applyFill="1" applyBorder="1" applyAlignment="1" applyProtection="1">
      <alignment horizontal="center" vertical="center"/>
    </xf>
    <xf numFmtId="0" fontId="34" fillId="0" borderId="8" xfId="0" applyNumberFormat="1" applyFont="1" applyFill="1" applyBorder="1" applyAlignment="1" applyProtection="1">
      <alignment horizontal="center" vertical="center"/>
    </xf>
    <xf numFmtId="41" fontId="34" fillId="0" borderId="44" xfId="3" applyNumberFormat="1" applyFont="1" applyBorder="1" applyAlignment="1">
      <alignment horizontal="center" vertical="center"/>
    </xf>
    <xf numFmtId="0" fontId="7" fillId="0" borderId="12" xfId="0" applyFont="1" applyFill="1" applyBorder="1" applyAlignment="1" applyProtection="1">
      <alignment horizontal="left" vertical="center"/>
    </xf>
    <xf numFmtId="0" fontId="7" fillId="0" borderId="12" xfId="0" applyFont="1" applyFill="1" applyBorder="1" applyAlignment="1">
      <alignment horizontal="left" vertical="center"/>
    </xf>
    <xf numFmtId="0" fontId="7" fillId="0" borderId="29" xfId="0" applyFont="1" applyFill="1" applyBorder="1" applyAlignment="1" applyProtection="1">
      <alignment horizontal="left" vertical="center"/>
    </xf>
    <xf numFmtId="0" fontId="7" fillId="0" borderId="12" xfId="0" applyFont="1" applyBorder="1" applyAlignment="1">
      <alignment horizontal="center" vertical="center"/>
    </xf>
    <xf numFmtId="0" fontId="7" fillId="0" borderId="12" xfId="0" applyNumberFormat="1" applyFont="1" applyFill="1" applyBorder="1" applyAlignment="1" applyProtection="1">
      <alignment horizontal="center" vertical="center"/>
    </xf>
    <xf numFmtId="0" fontId="34" fillId="0" borderId="5" xfId="0" applyFont="1" applyFill="1" applyBorder="1" applyAlignment="1" applyProtection="1">
      <alignment horizontal="left" vertical="center"/>
    </xf>
    <xf numFmtId="0" fontId="34" fillId="0" borderId="5" xfId="1" applyNumberFormat="1" applyFont="1" applyFill="1" applyBorder="1" applyAlignment="1">
      <alignment horizontal="left" vertical="center"/>
    </xf>
    <xf numFmtId="0" fontId="34" fillId="0" borderId="5" xfId="0" applyFont="1" applyFill="1" applyBorder="1" applyAlignment="1" applyProtection="1">
      <alignment horizontal="center" vertical="center"/>
    </xf>
    <xf numFmtId="0" fontId="34" fillId="0" borderId="23" xfId="0" applyFont="1" applyBorder="1" applyAlignment="1">
      <alignment horizontal="left" vertical="center"/>
    </xf>
    <xf numFmtId="41" fontId="7" fillId="0" borderId="35" xfId="3" applyNumberFormat="1" applyFont="1" applyBorder="1" applyAlignment="1">
      <alignment horizontal="center" vertical="center"/>
    </xf>
    <xf numFmtId="41" fontId="7" fillId="4" borderId="24" xfId="0" applyNumberFormat="1" applyFont="1" applyFill="1" applyBorder="1" applyAlignment="1">
      <alignment horizontal="center" vertical="center"/>
    </xf>
    <xf numFmtId="41" fontId="7" fillId="6" borderId="24" xfId="3" applyNumberFormat="1" applyFont="1" applyFill="1" applyBorder="1" applyAlignment="1">
      <alignment horizontal="center" vertical="center"/>
    </xf>
    <xf numFmtId="41" fontId="7" fillId="6" borderId="24" xfId="0" applyNumberFormat="1" applyFont="1" applyFill="1" applyBorder="1" applyAlignment="1">
      <alignment horizontal="center" vertical="center"/>
    </xf>
    <xf numFmtId="0" fontId="34" fillId="0" borderId="24" xfId="0" applyFont="1" applyFill="1" applyBorder="1" applyAlignment="1" applyProtection="1">
      <alignment horizontal="center" vertical="center"/>
    </xf>
    <xf numFmtId="0" fontId="34" fillId="0" borderId="14" xfId="0" applyFont="1" applyFill="1" applyBorder="1" applyAlignment="1" applyProtection="1">
      <alignment horizontal="left" vertical="center"/>
    </xf>
    <xf numFmtId="0" fontId="34" fillId="0" borderId="14" xfId="0" applyFont="1" applyFill="1" applyBorder="1" applyAlignment="1">
      <alignment horizontal="left" vertical="center"/>
    </xf>
    <xf numFmtId="0" fontId="34" fillId="0" borderId="14" xfId="0" applyFont="1" applyFill="1" applyBorder="1" applyAlignment="1" applyProtection="1">
      <alignment horizontal="center" vertical="center"/>
    </xf>
    <xf numFmtId="0" fontId="34" fillId="0" borderId="23" xfId="1" applyNumberFormat="1" applyFont="1" applyBorder="1" applyAlignment="1">
      <alignment horizontal="left" vertical="center"/>
    </xf>
    <xf numFmtId="0" fontId="34" fillId="0" borderId="6" xfId="0" applyFont="1" applyFill="1" applyBorder="1" applyAlignment="1" applyProtection="1">
      <alignment horizontal="left" vertical="center"/>
    </xf>
    <xf numFmtId="0" fontId="34" fillId="0" borderId="23" xfId="0" applyNumberFormat="1" applyFont="1" applyFill="1" applyBorder="1" applyAlignment="1" applyProtection="1">
      <alignment horizontal="center" vertical="center"/>
    </xf>
    <xf numFmtId="0" fontId="34" fillId="0" borderId="24" xfId="1" applyNumberFormat="1" applyFont="1" applyBorder="1" applyAlignment="1">
      <alignment horizontal="left" vertical="center"/>
    </xf>
    <xf numFmtId="0" fontId="34" fillId="0" borderId="6" xfId="0" applyFont="1" applyFill="1" applyBorder="1" applyAlignment="1" applyProtection="1">
      <alignment horizontal="center" vertical="center"/>
    </xf>
    <xf numFmtId="164" fontId="8" fillId="0" borderId="19" xfId="3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1" fontId="34" fillId="0" borderId="24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7" fillId="6" borderId="10" xfId="0" applyFont="1" applyFill="1" applyBorder="1" applyAlignment="1" applyProtection="1">
      <alignment horizontal="center" vertical="center"/>
    </xf>
    <xf numFmtId="0" fontId="7" fillId="6" borderId="4" xfId="0" applyFont="1" applyFill="1" applyBorder="1" applyAlignment="1" applyProtection="1">
      <alignment horizontal="center" vertical="center"/>
    </xf>
    <xf numFmtId="0" fontId="7" fillId="6" borderId="36" xfId="0" applyFont="1" applyFill="1" applyBorder="1" applyAlignment="1" applyProtection="1">
      <alignment horizontal="left" vertical="center"/>
    </xf>
    <xf numFmtId="0" fontId="7" fillId="6" borderId="36" xfId="0" applyFont="1" applyFill="1" applyBorder="1" applyAlignment="1" applyProtection="1">
      <alignment horizontal="center" vertical="center"/>
    </xf>
    <xf numFmtId="0" fontId="7" fillId="6" borderId="20" xfId="0" applyFont="1" applyFill="1" applyBorder="1" applyAlignment="1" applyProtection="1">
      <alignment horizontal="left" vertical="center"/>
    </xf>
    <xf numFmtId="0" fontId="7" fillId="6" borderId="20" xfId="0" applyFont="1" applyFill="1" applyBorder="1" applyAlignment="1" applyProtection="1">
      <alignment horizontal="center" vertical="center"/>
    </xf>
    <xf numFmtId="0" fontId="7" fillId="6" borderId="20" xfId="0" applyFont="1" applyFill="1" applyBorder="1" applyAlignment="1">
      <alignment horizontal="left" vertical="center"/>
    </xf>
    <xf numFmtId="0" fontId="7" fillId="6" borderId="20" xfId="0" applyFont="1" applyFill="1" applyBorder="1" applyAlignment="1">
      <alignment horizontal="center" vertical="center"/>
    </xf>
    <xf numFmtId="0" fontId="7" fillId="6" borderId="21" xfId="0" applyFont="1" applyFill="1" applyBorder="1" applyAlignment="1" applyProtection="1">
      <alignment horizontal="left" vertical="center"/>
    </xf>
    <xf numFmtId="0" fontId="7" fillId="6" borderId="8" xfId="0" applyFont="1" applyFill="1" applyBorder="1" applyAlignment="1" applyProtection="1">
      <alignment horizontal="center" vertical="center"/>
    </xf>
    <xf numFmtId="0" fontId="7" fillId="6" borderId="10" xfId="1" applyNumberFormat="1" applyFont="1" applyFill="1" applyBorder="1" applyAlignment="1">
      <alignment horizontal="center" vertical="center"/>
    </xf>
    <xf numFmtId="0" fontId="7" fillId="6" borderId="10" xfId="0" applyFont="1" applyFill="1" applyBorder="1" applyAlignment="1" applyProtection="1">
      <alignment horizontal="left" vertical="center"/>
    </xf>
    <xf numFmtId="0" fontId="7" fillId="6" borderId="4" xfId="1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 applyProtection="1">
      <alignment horizontal="left" vertical="center"/>
    </xf>
    <xf numFmtId="0" fontId="7" fillId="6" borderId="36" xfId="1" applyNumberFormat="1" applyFont="1" applyFill="1" applyBorder="1" applyAlignment="1">
      <alignment horizontal="left" vertical="center"/>
    </xf>
    <xf numFmtId="0" fontId="7" fillId="6" borderId="20" xfId="1" applyNumberFormat="1" applyFont="1" applyFill="1" applyBorder="1" applyAlignment="1">
      <alignment horizontal="left" vertical="center"/>
    </xf>
    <xf numFmtId="0" fontId="7" fillId="6" borderId="34" xfId="0" applyFont="1" applyFill="1" applyBorder="1" applyAlignment="1" applyProtection="1">
      <alignment horizontal="left" vertical="center"/>
    </xf>
    <xf numFmtId="0" fontId="7" fillId="6" borderId="34" xfId="0" applyFont="1" applyFill="1" applyBorder="1" applyAlignment="1" applyProtection="1">
      <alignment horizontal="left" vertical="center" wrapText="1"/>
    </xf>
    <xf numFmtId="0" fontId="7" fillId="6" borderId="23" xfId="0" applyFont="1" applyFill="1" applyBorder="1" applyAlignment="1" applyProtection="1">
      <alignment horizontal="left" vertical="center" wrapText="1"/>
    </xf>
    <xf numFmtId="0" fontId="7" fillId="6" borderId="8" xfId="0" applyNumberFormat="1" applyFont="1" applyFill="1" applyBorder="1" applyAlignment="1" applyProtection="1">
      <alignment horizontal="center" vertical="center"/>
    </xf>
    <xf numFmtId="0" fontId="7" fillId="6" borderId="4" xfId="1" applyNumberFormat="1" applyFont="1" applyFill="1" applyBorder="1" applyAlignment="1">
      <alignment horizontal="left" vertical="center"/>
    </xf>
    <xf numFmtId="0" fontId="7" fillId="6" borderId="31" xfId="0" applyFont="1" applyFill="1" applyBorder="1" applyAlignment="1" applyProtection="1">
      <alignment horizontal="left" vertical="center"/>
    </xf>
    <xf numFmtId="0" fontId="7" fillId="6" borderId="26" xfId="0" applyFont="1" applyFill="1" applyBorder="1" applyAlignment="1" applyProtection="1">
      <alignment horizontal="left" vertical="center"/>
    </xf>
    <xf numFmtId="0" fontId="7" fillId="6" borderId="4" xfId="0" applyNumberFormat="1" applyFont="1" applyFill="1" applyBorder="1" applyAlignment="1" applyProtection="1">
      <alignment horizontal="center" vertical="center"/>
    </xf>
    <xf numFmtId="0" fontId="7" fillId="6" borderId="17" xfId="0" applyFont="1" applyFill="1" applyBorder="1" applyAlignment="1" applyProtection="1">
      <alignment horizontal="left" vertical="center"/>
    </xf>
    <xf numFmtId="0" fontId="7" fillId="6" borderId="17" xfId="0" applyFont="1" applyFill="1" applyBorder="1" applyAlignment="1" applyProtection="1">
      <alignment horizontal="center" vertical="center"/>
    </xf>
    <xf numFmtId="0" fontId="19" fillId="6" borderId="4" xfId="0" applyNumberFormat="1" applyFont="1" applyFill="1" applyBorder="1" applyAlignment="1">
      <alignment horizontal="center" vertical="center"/>
    </xf>
    <xf numFmtId="0" fontId="7" fillId="6" borderId="5" xfId="0" applyFont="1" applyFill="1" applyBorder="1" applyAlignment="1" applyProtection="1">
      <alignment horizontal="left" vertical="center"/>
    </xf>
    <xf numFmtId="0" fontId="7" fillId="6" borderId="5" xfId="1" applyNumberFormat="1" applyFont="1" applyFill="1" applyBorder="1" applyAlignment="1">
      <alignment horizontal="left" vertical="center"/>
    </xf>
    <xf numFmtId="0" fontId="7" fillId="6" borderId="35" xfId="0" applyFont="1" applyFill="1" applyBorder="1" applyAlignment="1" applyProtection="1">
      <alignment horizontal="left" vertical="center"/>
    </xf>
    <xf numFmtId="0" fontId="7" fillId="6" borderId="37" xfId="0" applyFont="1" applyFill="1" applyBorder="1" applyAlignment="1" applyProtection="1">
      <alignment horizontal="left" vertical="center"/>
    </xf>
    <xf numFmtId="0" fontId="7" fillId="6" borderId="38" xfId="0" applyFont="1" applyFill="1" applyBorder="1" applyAlignment="1" applyProtection="1">
      <alignment horizontal="left" vertical="center"/>
    </xf>
    <xf numFmtId="0" fontId="7" fillId="6" borderId="7" xfId="0" applyFont="1" applyFill="1" applyBorder="1" applyAlignment="1" applyProtection="1">
      <alignment horizontal="left" vertical="center"/>
    </xf>
    <xf numFmtId="0" fontId="7" fillId="6" borderId="7" xfId="0" applyFont="1" applyFill="1" applyBorder="1" applyAlignment="1">
      <alignment horizontal="left" vertical="center"/>
    </xf>
    <xf numFmtId="0" fontId="7" fillId="6" borderId="7" xfId="0" applyFont="1" applyFill="1" applyBorder="1" applyAlignment="1" applyProtection="1">
      <alignment horizontal="center" vertical="center"/>
    </xf>
    <xf numFmtId="0" fontId="7" fillId="6" borderId="4" xfId="0" applyFont="1" applyFill="1" applyBorder="1" applyAlignment="1">
      <alignment horizontal="left" vertical="center"/>
    </xf>
    <xf numFmtId="0" fontId="7" fillId="6" borderId="5" xfId="0" applyFont="1" applyFill="1" applyBorder="1" applyAlignment="1">
      <alignment horizontal="left" vertical="center"/>
    </xf>
    <xf numFmtId="0" fontId="7" fillId="6" borderId="5" xfId="0" applyFont="1" applyFill="1" applyBorder="1" applyAlignment="1" applyProtection="1">
      <alignment horizontal="center" vertical="center"/>
    </xf>
    <xf numFmtId="0" fontId="7" fillId="6" borderId="14" xfId="0" applyFont="1" applyFill="1" applyBorder="1" applyAlignment="1" applyProtection="1">
      <alignment horizontal="left" vertical="center"/>
    </xf>
    <xf numFmtId="0" fontId="7" fillId="6" borderId="14" xfId="0" applyFont="1" applyFill="1" applyBorder="1" applyAlignment="1">
      <alignment horizontal="left" vertical="center"/>
    </xf>
    <xf numFmtId="0" fontId="7" fillId="6" borderId="24" xfId="0" applyFont="1" applyFill="1" applyBorder="1" applyAlignment="1" applyProtection="1">
      <alignment horizontal="left" vertical="center"/>
    </xf>
    <xf numFmtId="0" fontId="7" fillId="6" borderId="37" xfId="0" applyFont="1" applyFill="1" applyBorder="1" applyAlignment="1" applyProtection="1">
      <alignment horizontal="center" vertical="center"/>
    </xf>
    <xf numFmtId="0" fontId="7" fillId="6" borderId="37" xfId="0" applyFont="1" applyFill="1" applyBorder="1" applyAlignment="1">
      <alignment horizontal="left" vertical="center"/>
    </xf>
    <xf numFmtId="41" fontId="7" fillId="6" borderId="45" xfId="0" applyNumberFormat="1" applyFont="1" applyFill="1" applyBorder="1" applyAlignment="1">
      <alignment horizontal="center" vertical="center"/>
    </xf>
    <xf numFmtId="41" fontId="7" fillId="0" borderId="35" xfId="0" applyNumberFormat="1" applyFont="1" applyBorder="1" applyAlignment="1">
      <alignment horizontal="center" vertical="center"/>
    </xf>
    <xf numFmtId="41" fontId="11" fillId="0" borderId="28" xfId="0" applyNumberFormat="1" applyFont="1" applyBorder="1" applyAlignment="1">
      <alignment horizontal="center" vertical="center"/>
    </xf>
    <xf numFmtId="41" fontId="8" fillId="0" borderId="29" xfId="1" applyNumberFormat="1" applyFont="1" applyBorder="1" applyAlignment="1">
      <alignment horizontal="center" vertical="center"/>
    </xf>
    <xf numFmtId="41" fontId="10" fillId="0" borderId="10" xfId="0" quotePrefix="1" applyNumberFormat="1" applyFont="1" applyBorder="1" applyAlignment="1">
      <alignment horizontal="center" vertical="center"/>
    </xf>
    <xf numFmtId="41" fontId="10" fillId="0" borderId="12" xfId="0" applyNumberFormat="1" applyFont="1" applyBorder="1" applyAlignment="1">
      <alignment horizontal="center" vertical="center"/>
    </xf>
    <xf numFmtId="41" fontId="10" fillId="0" borderId="19" xfId="0" applyNumberFormat="1" applyFont="1" applyBorder="1" applyAlignment="1">
      <alignment horizontal="center" vertical="center"/>
    </xf>
    <xf numFmtId="41" fontId="34" fillId="0" borderId="24" xfId="0" applyNumberFormat="1" applyFont="1" applyBorder="1" applyAlignment="1">
      <alignment horizontal="center" vertical="center"/>
    </xf>
    <xf numFmtId="41" fontId="7" fillId="6" borderId="38" xfId="3" applyNumberFormat="1" applyFont="1" applyFill="1" applyBorder="1" applyAlignment="1">
      <alignment horizontal="center" vertical="center"/>
    </xf>
    <xf numFmtId="41" fontId="7" fillId="6" borderId="45" xfId="3" applyNumberFormat="1" applyFont="1" applyFill="1" applyBorder="1" applyAlignment="1">
      <alignment horizontal="center" vertical="center"/>
    </xf>
    <xf numFmtId="41" fontId="8" fillId="0" borderId="10" xfId="0" quotePrefix="1" applyNumberFormat="1" applyFont="1" applyBorder="1" applyAlignment="1">
      <alignment horizontal="center" vertical="center"/>
    </xf>
    <xf numFmtId="41" fontId="8" fillId="0" borderId="37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41" fontId="8" fillId="0" borderId="0" xfId="3" applyNumberFormat="1" applyFont="1" applyBorder="1" applyAlignment="1">
      <alignment horizontal="center" vertical="center"/>
    </xf>
    <xf numFmtId="41" fontId="43" fillId="0" borderId="0" xfId="0" applyNumberFormat="1" applyFont="1" applyBorder="1" applyAlignment="1">
      <alignment horizontal="center" vertical="center"/>
    </xf>
    <xf numFmtId="0" fontId="39" fillId="0" borderId="45" xfId="0" applyFont="1" applyFill="1" applyBorder="1" applyAlignment="1" applyProtection="1">
      <alignment horizontal="left" vertical="center"/>
    </xf>
    <xf numFmtId="0" fontId="39" fillId="0" borderId="45" xfId="1" applyNumberFormat="1" applyFont="1" applyBorder="1" applyAlignment="1">
      <alignment horizontal="left" vertical="center"/>
    </xf>
    <xf numFmtId="0" fontId="39" fillId="0" borderId="47" xfId="0" applyFont="1" applyFill="1" applyBorder="1" applyAlignment="1" applyProtection="1">
      <alignment horizontal="left" vertical="center"/>
    </xf>
    <xf numFmtId="0" fontId="39" fillId="0" borderId="45" xfId="0" applyFont="1" applyFill="1" applyBorder="1" applyAlignment="1" applyProtection="1">
      <alignment horizontal="center" vertical="center"/>
    </xf>
    <xf numFmtId="0" fontId="39" fillId="0" borderId="45" xfId="0" applyNumberFormat="1" applyFont="1" applyFill="1" applyBorder="1" applyAlignment="1" applyProtection="1">
      <alignment horizontal="center" vertical="center"/>
    </xf>
    <xf numFmtId="41" fontId="11" fillId="0" borderId="11" xfId="0" quotePrefix="1" applyNumberFormat="1" applyFont="1" applyFill="1" applyBorder="1" applyAlignment="1">
      <alignment horizontal="center" vertical="center"/>
    </xf>
    <xf numFmtId="41" fontId="8" fillId="0" borderId="13" xfId="0" applyNumberFormat="1" applyFont="1" applyFill="1" applyBorder="1" applyAlignment="1">
      <alignment horizontal="center" vertical="center"/>
    </xf>
    <xf numFmtId="41" fontId="34" fillId="0" borderId="44" xfId="1" applyNumberFormat="1" applyFont="1" applyFill="1" applyBorder="1" applyAlignment="1" applyProtection="1">
      <alignment horizontal="center" vertical="center"/>
    </xf>
    <xf numFmtId="41" fontId="39" fillId="0" borderId="45" xfId="0" applyNumberFormat="1" applyFont="1" applyFill="1" applyBorder="1" applyAlignment="1">
      <alignment horizontal="center" vertical="center"/>
    </xf>
    <xf numFmtId="41" fontId="7" fillId="0" borderId="38" xfId="0" applyNumberFormat="1" applyFont="1" applyFill="1" applyBorder="1" applyAlignment="1">
      <alignment horizontal="center" vertical="center"/>
    </xf>
    <xf numFmtId="41" fontId="13" fillId="0" borderId="16" xfId="1" applyNumberFormat="1" applyFont="1" applyFill="1" applyBorder="1" applyAlignment="1">
      <alignment horizontal="center" vertical="center"/>
    </xf>
    <xf numFmtId="41" fontId="37" fillId="0" borderId="16" xfId="0" applyNumberFormat="1" applyFont="1" applyFill="1" applyBorder="1" applyAlignment="1">
      <alignment horizontal="center" vertical="center"/>
    </xf>
    <xf numFmtId="0" fontId="34" fillId="0" borderId="7" xfId="0" applyFont="1" applyFill="1" applyBorder="1" applyAlignment="1" applyProtection="1">
      <alignment horizontal="left" vertical="center"/>
    </xf>
    <xf numFmtId="0" fontId="34" fillId="0" borderId="35" xfId="0" applyFont="1" applyFill="1" applyBorder="1" applyAlignment="1" applyProtection="1">
      <alignment horizontal="left" vertical="center"/>
    </xf>
    <xf numFmtId="0" fontId="34" fillId="0" borderId="35" xfId="0" applyFont="1" applyFill="1" applyBorder="1" applyAlignment="1">
      <alignment horizontal="left" vertical="center"/>
    </xf>
    <xf numFmtId="0" fontId="34" fillId="0" borderId="35" xfId="0" applyFont="1" applyBorder="1" applyAlignment="1">
      <alignment horizontal="left" vertical="center"/>
    </xf>
    <xf numFmtId="0" fontId="34" fillId="0" borderId="35" xfId="0" applyFont="1" applyBorder="1" applyAlignment="1">
      <alignment horizontal="center" vertical="center"/>
    </xf>
    <xf numFmtId="0" fontId="34" fillId="6" borderId="14" xfId="0" applyFont="1" applyFill="1" applyBorder="1" applyAlignment="1">
      <alignment horizontal="left" vertical="center"/>
    </xf>
    <xf numFmtId="0" fontId="34" fillId="6" borderId="7" xfId="0" applyFont="1" applyFill="1" applyBorder="1" applyAlignment="1">
      <alignment horizontal="left" vertical="center"/>
    </xf>
    <xf numFmtId="0" fontId="44" fillId="6" borderId="14" xfId="0" applyFont="1" applyFill="1" applyBorder="1" applyAlignment="1" applyProtection="1">
      <alignment horizontal="center" vertical="center"/>
    </xf>
    <xf numFmtId="0" fontId="44" fillId="6" borderId="7" xfId="0" applyFont="1" applyFill="1" applyBorder="1" applyAlignment="1" applyProtection="1">
      <alignment horizontal="center" vertical="center"/>
    </xf>
    <xf numFmtId="41" fontId="44" fillId="6" borderId="24" xfId="0" applyNumberFormat="1" applyFont="1" applyFill="1" applyBorder="1" applyAlignment="1">
      <alignment horizontal="center" vertical="center"/>
    </xf>
    <xf numFmtId="41" fontId="44" fillId="6" borderId="24" xfId="3" applyNumberFormat="1" applyFont="1" applyFill="1" applyBorder="1" applyAlignment="1">
      <alignment horizontal="center" vertical="center"/>
    </xf>
    <xf numFmtId="0" fontId="44" fillId="6" borderId="14" xfId="0" applyFont="1" applyFill="1" applyBorder="1" applyAlignment="1" applyProtection="1">
      <alignment horizontal="left" vertical="center"/>
    </xf>
    <xf numFmtId="0" fontId="44" fillId="6" borderId="24" xfId="0" applyFont="1" applyFill="1" applyBorder="1" applyAlignment="1" applyProtection="1">
      <alignment horizontal="left" vertical="center"/>
    </xf>
    <xf numFmtId="0" fontId="44" fillId="6" borderId="20" xfId="0" applyFont="1" applyFill="1" applyBorder="1" applyAlignment="1">
      <alignment horizontal="left" vertical="center"/>
    </xf>
    <xf numFmtId="0" fontId="44" fillId="6" borderId="20" xfId="0" applyFont="1" applyFill="1" applyBorder="1" applyAlignment="1">
      <alignment horizontal="center" vertical="center"/>
    </xf>
    <xf numFmtId="0" fontId="44" fillId="6" borderId="7" xfId="0" applyFont="1" applyFill="1" applyBorder="1" applyAlignment="1" applyProtection="1">
      <alignment horizontal="left" vertical="center"/>
    </xf>
    <xf numFmtId="0" fontId="44" fillId="6" borderId="7" xfId="0" applyFont="1" applyFill="1" applyBorder="1" applyAlignment="1">
      <alignment horizontal="left" vertical="center"/>
    </xf>
    <xf numFmtId="0" fontId="44" fillId="6" borderId="7" xfId="0" applyFont="1" applyFill="1" applyBorder="1" applyAlignment="1">
      <alignment horizontal="center" vertical="center"/>
    </xf>
    <xf numFmtId="0" fontId="44" fillId="6" borderId="1" xfId="0" applyFont="1" applyFill="1" applyBorder="1" applyAlignment="1" applyProtection="1">
      <alignment horizontal="left" vertical="center"/>
    </xf>
    <xf numFmtId="41" fontId="44" fillId="0" borderId="24" xfId="0" applyNumberFormat="1" applyFont="1" applyFill="1" applyBorder="1" applyAlignment="1">
      <alignment horizontal="center" vertical="center"/>
    </xf>
    <xf numFmtId="41" fontId="8" fillId="0" borderId="48" xfId="0" applyNumberFormat="1" applyFont="1" applyBorder="1" applyAlignment="1">
      <alignment horizontal="center" vertical="center"/>
    </xf>
    <xf numFmtId="0" fontId="45" fillId="7" borderId="49" xfId="0" applyFont="1" applyFill="1" applyBorder="1" applyAlignment="1">
      <alignment horizontal="center" vertical="top"/>
    </xf>
    <xf numFmtId="0" fontId="45" fillId="0" borderId="50" xfId="0" applyFont="1" applyBorder="1" applyAlignment="1">
      <alignment vertical="top"/>
    </xf>
    <xf numFmtId="4" fontId="45" fillId="0" borderId="50" xfId="0" applyNumberFormat="1" applyFont="1" applyBorder="1" applyAlignment="1">
      <alignment horizontal="right" vertical="top"/>
    </xf>
    <xf numFmtId="4" fontId="46" fillId="0" borderId="50" xfId="0" applyNumberFormat="1" applyFont="1" applyBorder="1" applyAlignment="1">
      <alignment horizontal="right" vertical="top"/>
    </xf>
    <xf numFmtId="0" fontId="45" fillId="0" borderId="51" xfId="0" applyFont="1" applyBorder="1" applyAlignment="1">
      <alignment vertical="top"/>
    </xf>
    <xf numFmtId="4" fontId="45" fillId="0" borderId="52" xfId="0" applyNumberFormat="1" applyFont="1" applyBorder="1" applyAlignment="1">
      <alignment horizontal="righ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7" fillId="0" borderId="0" xfId="0" applyFont="1" applyAlignment="1">
      <alignment horizontal="left"/>
    </xf>
    <xf numFmtId="0" fontId="47" fillId="0" borderId="0" xfId="0" applyNumberFormat="1" applyFont="1"/>
    <xf numFmtId="0" fontId="47" fillId="0" borderId="0" xfId="0" applyFont="1"/>
    <xf numFmtId="0" fontId="7" fillId="6" borderId="37" xfId="1" applyNumberFormat="1" applyFont="1" applyFill="1" applyBorder="1" applyAlignment="1">
      <alignment horizontal="center" vertical="center"/>
    </xf>
    <xf numFmtId="41" fontId="7" fillId="0" borderId="48" xfId="0" applyNumberFormat="1" applyFont="1" applyFill="1" applyBorder="1" applyAlignment="1">
      <alignment horizontal="center" vertical="center"/>
    </xf>
    <xf numFmtId="41" fontId="7" fillId="6" borderId="48" xfId="0" applyNumberFormat="1" applyFont="1" applyFill="1" applyBorder="1" applyAlignment="1">
      <alignment horizontal="center" vertical="center"/>
    </xf>
    <xf numFmtId="41" fontId="7" fillId="6" borderId="10" xfId="0" applyNumberFormat="1" applyFont="1" applyFill="1" applyBorder="1" applyAlignment="1">
      <alignment horizontal="center" vertical="center"/>
    </xf>
    <xf numFmtId="41" fontId="7" fillId="0" borderId="38" xfId="3" applyNumberFormat="1" applyFont="1" applyFill="1" applyBorder="1" applyAlignment="1">
      <alignment horizontal="center" vertical="center"/>
    </xf>
    <xf numFmtId="0" fontId="48" fillId="0" borderId="50" xfId="0" applyFont="1" applyBorder="1" applyAlignment="1">
      <alignment vertical="top"/>
    </xf>
    <xf numFmtId="4" fontId="48" fillId="0" borderId="50" xfId="0" applyNumberFormat="1" applyFont="1" applyBorder="1" applyAlignment="1">
      <alignment horizontal="right" vertical="top"/>
    </xf>
    <xf numFmtId="4" fontId="49" fillId="0" borderId="50" xfId="0" applyNumberFormat="1" applyFont="1" applyBorder="1" applyAlignment="1">
      <alignment horizontal="right" vertical="top"/>
    </xf>
    <xf numFmtId="0" fontId="48" fillId="0" borderId="51" xfId="0" applyFont="1" applyBorder="1" applyAlignment="1">
      <alignment vertical="top"/>
    </xf>
    <xf numFmtId="4" fontId="48" fillId="0" borderId="52" xfId="0" applyNumberFormat="1" applyFont="1" applyBorder="1" applyAlignment="1">
      <alignment horizontal="right" vertical="top"/>
    </xf>
    <xf numFmtId="0" fontId="7" fillId="0" borderId="53" xfId="0" applyFont="1" applyFill="1" applyBorder="1" applyAlignment="1" applyProtection="1">
      <alignment horizontal="left" vertical="center"/>
    </xf>
    <xf numFmtId="0" fontId="7" fillId="0" borderId="53" xfId="0" applyFont="1" applyFill="1" applyBorder="1" applyAlignment="1">
      <alignment horizontal="left" vertical="center"/>
    </xf>
    <xf numFmtId="0" fontId="7" fillId="0" borderId="54" xfId="0" applyFont="1" applyFill="1" applyBorder="1" applyAlignment="1" applyProtection="1">
      <alignment horizontal="left" vertical="center"/>
    </xf>
    <xf numFmtId="0" fontId="7" fillId="0" borderId="53" xfId="0" applyFont="1" applyFill="1" applyBorder="1" applyAlignment="1" applyProtection="1">
      <alignment horizontal="center" vertical="center"/>
    </xf>
    <xf numFmtId="4" fontId="0" fillId="0" borderId="0" xfId="0" applyNumberFormat="1"/>
    <xf numFmtId="0" fontId="45" fillId="0" borderId="0" xfId="0" applyFont="1" applyBorder="1" applyAlignment="1">
      <alignment vertical="top"/>
    </xf>
    <xf numFmtId="4" fontId="46" fillId="0" borderId="0" xfId="0" applyNumberFormat="1" applyFont="1" applyBorder="1" applyAlignment="1">
      <alignment horizontal="right" vertical="top"/>
    </xf>
    <xf numFmtId="164" fontId="8" fillId="0" borderId="10" xfId="3" quotePrefix="1" applyNumberFormat="1" applyFont="1" applyBorder="1" applyAlignment="1">
      <alignment horizontal="center" vertical="center"/>
    </xf>
    <xf numFmtId="164" fontId="13" fillId="0" borderId="16" xfId="3" applyNumberFormat="1" applyFont="1" applyBorder="1" applyAlignment="1">
      <alignment horizontal="center" vertical="center"/>
    </xf>
    <xf numFmtId="0" fontId="7" fillId="0" borderId="38" xfId="1" applyNumberFormat="1" applyFont="1" applyBorder="1" applyAlignment="1">
      <alignment horizontal="left" vertical="center"/>
    </xf>
    <xf numFmtId="0" fontId="7" fillId="0" borderId="48" xfId="0" applyFont="1" applyFill="1" applyBorder="1" applyAlignment="1" applyProtection="1">
      <alignment horizontal="left" vertical="center"/>
    </xf>
    <xf numFmtId="0" fontId="7" fillId="0" borderId="45" xfId="0" applyFont="1" applyFill="1" applyBorder="1" applyAlignment="1" applyProtection="1">
      <alignment horizontal="left" vertical="center"/>
    </xf>
    <xf numFmtId="0" fontId="7" fillId="0" borderId="45" xfId="1" applyNumberFormat="1" applyFont="1" applyBorder="1" applyAlignment="1">
      <alignment horizontal="left" vertical="center"/>
    </xf>
    <xf numFmtId="0" fontId="7" fillId="0" borderId="47" xfId="0" applyFont="1" applyFill="1" applyBorder="1" applyAlignment="1" applyProtection="1">
      <alignment horizontal="left" vertical="center"/>
    </xf>
    <xf numFmtId="0" fontId="7" fillId="0" borderId="45" xfId="0" applyFont="1" applyFill="1" applyBorder="1" applyAlignment="1" applyProtection="1">
      <alignment horizontal="center" vertical="center"/>
    </xf>
    <xf numFmtId="0" fontId="7" fillId="0" borderId="45" xfId="0" applyNumberFormat="1" applyFont="1" applyFill="1" applyBorder="1" applyAlignment="1" applyProtection="1">
      <alignment horizontal="center" vertical="center"/>
    </xf>
    <xf numFmtId="0" fontId="7" fillId="0" borderId="37" xfId="1" applyNumberFormat="1" applyFont="1" applyBorder="1" applyAlignment="1">
      <alignment horizontal="left" vertical="center"/>
    </xf>
    <xf numFmtId="4" fontId="50" fillId="0" borderId="52" xfId="0" applyNumberFormat="1" applyFont="1" applyBorder="1" applyAlignment="1">
      <alignment horizontal="right" vertical="top"/>
    </xf>
    <xf numFmtId="4" fontId="0" fillId="4" borderId="0" xfId="0" applyNumberFormat="1" applyFill="1"/>
    <xf numFmtId="0" fontId="45" fillId="0" borderId="0" xfId="0" applyFont="1" applyFill="1" applyBorder="1" applyAlignment="1">
      <alignment vertical="top"/>
    </xf>
    <xf numFmtId="0" fontId="51" fillId="0" borderId="50" xfId="0" applyFont="1" applyBorder="1" applyAlignment="1">
      <alignment vertical="top"/>
    </xf>
    <xf numFmtId="4" fontId="51" fillId="0" borderId="50" xfId="0" applyNumberFormat="1" applyFont="1" applyBorder="1" applyAlignment="1">
      <alignment horizontal="right" vertical="top"/>
    </xf>
    <xf numFmtId="4" fontId="52" fillId="0" borderId="50" xfId="0" applyNumberFormat="1" applyFont="1" applyBorder="1" applyAlignment="1">
      <alignment horizontal="right" vertical="top"/>
    </xf>
    <xf numFmtId="4" fontId="53" fillId="0" borderId="0" xfId="0" applyNumberFormat="1" applyFont="1"/>
    <xf numFmtId="0" fontId="53" fillId="0" borderId="0" xfId="0" applyFont="1"/>
    <xf numFmtId="0" fontId="51" fillId="0" borderId="51" xfId="0" applyFont="1" applyBorder="1" applyAlignment="1">
      <alignment vertical="top"/>
    </xf>
    <xf numFmtId="4" fontId="51" fillId="0" borderId="52" xfId="0" applyNumberFormat="1" applyFont="1" applyBorder="1" applyAlignment="1">
      <alignment horizontal="right" vertical="top"/>
    </xf>
    <xf numFmtId="0" fontId="45" fillId="4" borderId="50" xfId="0" applyFont="1" applyFill="1" applyBorder="1" applyAlignment="1">
      <alignment vertical="top"/>
    </xf>
    <xf numFmtId="4" fontId="45" fillId="4" borderId="50" xfId="0" applyNumberFormat="1" applyFont="1" applyFill="1" applyBorder="1" applyAlignment="1">
      <alignment horizontal="right" vertical="top"/>
    </xf>
    <xf numFmtId="4" fontId="46" fillId="4" borderId="50" xfId="0" applyNumberFormat="1" applyFont="1" applyFill="1" applyBorder="1" applyAlignment="1">
      <alignment horizontal="right" vertical="top"/>
    </xf>
    <xf numFmtId="0" fontId="0" fillId="4" borderId="0" xfId="0" applyFill="1"/>
    <xf numFmtId="0" fontId="45" fillId="4" borderId="51" xfId="0" applyFont="1" applyFill="1" applyBorder="1" applyAlignment="1">
      <alignment vertical="top"/>
    </xf>
    <xf numFmtId="4" fontId="45" fillId="4" borderId="52" xfId="0" applyNumberFormat="1" applyFont="1" applyFill="1" applyBorder="1" applyAlignment="1">
      <alignment horizontal="right" vertical="top"/>
    </xf>
    <xf numFmtId="41" fontId="54" fillId="0" borderId="0" xfId="0" applyNumberFormat="1" applyFont="1" applyFill="1" applyBorder="1" applyAlignment="1">
      <alignment horizontal="center" vertical="center"/>
    </xf>
    <xf numFmtId="41" fontId="54" fillId="0" borderId="0" xfId="0" applyNumberFormat="1" applyFont="1" applyFill="1" applyAlignment="1">
      <alignment horizontal="center" vertical="center"/>
    </xf>
    <xf numFmtId="164" fontId="12" fillId="0" borderId="2" xfId="3" applyNumberFormat="1" applyFont="1" applyBorder="1" applyAlignment="1">
      <alignment horizontal="center" vertical="center"/>
    </xf>
    <xf numFmtId="0" fontId="7" fillId="0" borderId="48" xfId="0" applyFont="1" applyFill="1" applyBorder="1" applyAlignment="1">
      <alignment horizontal="left" vertical="center"/>
    </xf>
    <xf numFmtId="41" fontId="55" fillId="0" borderId="0" xfId="0" applyNumberFormat="1" applyFont="1" applyBorder="1" applyAlignment="1">
      <alignment horizontal="center" vertical="center"/>
    </xf>
    <xf numFmtId="41" fontId="8" fillId="0" borderId="12" xfId="0" applyNumberFormat="1" applyFont="1" applyBorder="1" applyAlignment="1">
      <alignment horizontal="center" vertical="center"/>
    </xf>
    <xf numFmtId="41" fontId="34" fillId="0" borderId="38" xfId="3" applyNumberFormat="1" applyFont="1" applyFill="1" applyBorder="1" applyAlignment="1">
      <alignment horizontal="center" vertical="center"/>
    </xf>
    <xf numFmtId="41" fontId="8" fillId="0" borderId="19" xfId="0" applyNumberFormat="1" applyFont="1" applyBorder="1" applyAlignment="1">
      <alignment horizontal="center" vertical="center"/>
    </xf>
    <xf numFmtId="0" fontId="0" fillId="0" borderId="0" xfId="0" applyFill="1"/>
    <xf numFmtId="4" fontId="0" fillId="0" borderId="0" xfId="0" applyNumberFormat="1" applyFill="1"/>
    <xf numFmtId="0" fontId="7" fillId="0" borderId="24" xfId="0" applyFont="1" applyFill="1" applyBorder="1" applyAlignment="1" applyProtection="1">
      <alignment horizontal="left" vertical="center" wrapText="1"/>
    </xf>
    <xf numFmtId="164" fontId="7" fillId="0" borderId="8" xfId="3" applyNumberFormat="1" applyFont="1" applyBorder="1" applyAlignment="1">
      <alignment horizontal="center" vertical="center"/>
    </xf>
    <xf numFmtId="164" fontId="7" fillId="0" borderId="24" xfId="3" applyNumberFormat="1" applyFont="1" applyBorder="1" applyAlignment="1">
      <alignment horizontal="center" vertical="center"/>
    </xf>
    <xf numFmtId="0" fontId="7" fillId="0" borderId="48" xfId="1" applyNumberFormat="1" applyFont="1" applyBorder="1" applyAlignment="1">
      <alignment horizontal="left" vertical="center"/>
    </xf>
    <xf numFmtId="0" fontId="7" fillId="0" borderId="55" xfId="0" applyFont="1" applyFill="1" applyBorder="1" applyAlignment="1" applyProtection="1">
      <alignment horizontal="left" vertical="center"/>
    </xf>
    <xf numFmtId="0" fontId="7" fillId="0" borderId="48" xfId="0" applyFont="1" applyFill="1" applyBorder="1" applyAlignment="1" applyProtection="1">
      <alignment horizontal="center" vertical="center"/>
    </xf>
    <xf numFmtId="0" fontId="7" fillId="0" borderId="48" xfId="0" applyNumberFormat="1" applyFont="1" applyFill="1" applyBorder="1" applyAlignment="1" applyProtection="1">
      <alignment horizontal="center" vertical="center"/>
    </xf>
    <xf numFmtId="164" fontId="9" fillId="0" borderId="8" xfId="3" applyNumberFormat="1" applyFont="1" applyBorder="1" applyAlignment="1">
      <alignment horizontal="center" vertical="center"/>
    </xf>
    <xf numFmtId="41" fontId="10" fillId="0" borderId="0" xfId="0" applyNumberFormat="1" applyFont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164" fontId="8" fillId="0" borderId="56" xfId="3" quotePrefix="1" applyNumberFormat="1" applyFont="1" applyBorder="1" applyAlignment="1">
      <alignment horizontal="center" vertical="center"/>
    </xf>
    <xf numFmtId="41" fontId="8" fillId="0" borderId="57" xfId="0" applyNumberFormat="1" applyFont="1" applyBorder="1" applyAlignment="1">
      <alignment horizontal="center" vertical="center"/>
    </xf>
    <xf numFmtId="41" fontId="7" fillId="0" borderId="27" xfId="0" applyNumberFormat="1" applyFont="1" applyBorder="1" applyAlignment="1">
      <alignment horizontal="center" vertical="center"/>
    </xf>
    <xf numFmtId="38" fontId="13" fillId="0" borderId="0" xfId="0" applyNumberFormat="1" applyFont="1" applyBorder="1" applyAlignment="1" applyProtection="1">
      <alignment horizontal="right" vertical="center"/>
    </xf>
    <xf numFmtId="41" fontId="7" fillId="0" borderId="53" xfId="0" applyNumberFormat="1" applyFont="1" applyFill="1" applyBorder="1" applyAlignment="1">
      <alignment horizontal="center" vertical="center"/>
    </xf>
    <xf numFmtId="41" fontId="7" fillId="0" borderId="37" xfId="3" applyNumberFormat="1" applyFont="1" applyFill="1" applyBorder="1" applyAlignment="1">
      <alignment horizontal="center" vertical="center"/>
    </xf>
    <xf numFmtId="41" fontId="7" fillId="0" borderId="53" xfId="0" applyNumberFormat="1" applyFont="1" applyBorder="1" applyAlignment="1">
      <alignment horizontal="center" vertical="center"/>
    </xf>
    <xf numFmtId="0" fontId="7" fillId="0" borderId="15" xfId="0" applyFont="1" applyFill="1" applyBorder="1" applyAlignment="1" applyProtection="1">
      <alignment horizontal="left" vertical="center"/>
    </xf>
    <xf numFmtId="41" fontId="7" fillId="0" borderId="27" xfId="3" applyNumberFormat="1" applyFont="1" applyFill="1" applyBorder="1" applyAlignment="1">
      <alignment horizontal="center" vertical="center"/>
    </xf>
    <xf numFmtId="0" fontId="7" fillId="0" borderId="58" xfId="0" applyFont="1" applyFill="1" applyBorder="1" applyAlignment="1" applyProtection="1">
      <alignment horizontal="left" vertical="center"/>
    </xf>
    <xf numFmtId="0" fontId="7" fillId="0" borderId="45" xfId="0" applyFont="1" applyFill="1" applyBorder="1" applyAlignment="1">
      <alignment horizontal="left" vertical="center"/>
    </xf>
    <xf numFmtId="41" fontId="7" fillId="0" borderId="45" xfId="3" applyNumberFormat="1" applyFont="1" applyFill="1" applyBorder="1" applyAlignment="1">
      <alignment horizontal="center" vertical="center"/>
    </xf>
    <xf numFmtId="41" fontId="7" fillId="0" borderId="59" xfId="3" applyNumberFormat="1" applyFont="1" applyFill="1" applyBorder="1" applyAlignment="1">
      <alignment horizontal="center" vertical="center"/>
    </xf>
    <xf numFmtId="0" fontId="7" fillId="0" borderId="60" xfId="0" applyFont="1" applyFill="1" applyBorder="1" applyAlignment="1" applyProtection="1">
      <alignment horizontal="left" vertical="center"/>
    </xf>
    <xf numFmtId="41" fontId="7" fillId="0" borderId="61" xfId="3" applyNumberFormat="1" applyFont="1" applyFill="1" applyBorder="1" applyAlignment="1">
      <alignment horizontal="center" vertical="center"/>
    </xf>
    <xf numFmtId="0" fontId="7" fillId="0" borderId="62" xfId="0" applyFont="1" applyFill="1" applyBorder="1" applyAlignment="1" applyProtection="1">
      <alignment horizontal="left" vertical="center"/>
    </xf>
    <xf numFmtId="0" fontId="7" fillId="0" borderId="44" xfId="0" applyFont="1" applyFill="1" applyBorder="1" applyAlignment="1">
      <alignment horizontal="left" vertical="center"/>
    </xf>
    <xf numFmtId="0" fontId="7" fillId="0" borderId="44" xfId="0" applyFont="1" applyFill="1" applyBorder="1" applyAlignment="1" applyProtection="1">
      <alignment horizontal="left" vertical="center"/>
    </xf>
    <xf numFmtId="0" fontId="7" fillId="0" borderId="44" xfId="0" applyFont="1" applyFill="1" applyBorder="1" applyAlignment="1" applyProtection="1">
      <alignment horizontal="center" vertical="center"/>
    </xf>
    <xf numFmtId="41" fontId="7" fillId="0" borderId="12" xfId="3" applyNumberFormat="1" applyFont="1" applyFill="1" applyBorder="1" applyAlignment="1">
      <alignment horizontal="center" vertical="center"/>
    </xf>
    <xf numFmtId="41" fontId="7" fillId="0" borderId="13" xfId="3" applyNumberFormat="1" applyFont="1" applyFill="1" applyBorder="1" applyAlignment="1">
      <alignment horizontal="center" vertical="center"/>
    </xf>
    <xf numFmtId="41" fontId="27" fillId="0" borderId="0" xfId="0" applyNumberFormat="1" applyFont="1" applyFill="1" applyBorder="1" applyAlignment="1">
      <alignment horizontal="center" vertical="center"/>
    </xf>
    <xf numFmtId="13" fontId="11" fillId="0" borderId="11" xfId="0" quotePrefix="1" applyNumberFormat="1" applyFont="1" applyFill="1" applyBorder="1" applyAlignment="1">
      <alignment horizontal="center" vertical="center"/>
    </xf>
    <xf numFmtId="14" fontId="8" fillId="0" borderId="12" xfId="1" applyNumberFormat="1" applyFont="1" applyFill="1" applyBorder="1" applyAlignment="1" applyProtection="1">
      <alignment horizontal="center" vertical="center"/>
    </xf>
    <xf numFmtId="4" fontId="6" fillId="0" borderId="50" xfId="0" applyNumberFormat="1" applyFont="1" applyBorder="1" applyAlignment="1">
      <alignment vertical="top"/>
    </xf>
    <xf numFmtId="0" fontId="0" fillId="0" borderId="50" xfId="0" applyBorder="1" applyAlignment="1"/>
    <xf numFmtId="41" fontId="7" fillId="0" borderId="48" xfId="3" applyNumberFormat="1" applyFont="1" applyFill="1" applyBorder="1" applyAlignment="1">
      <alignment horizontal="center" vertical="center"/>
    </xf>
    <xf numFmtId="43" fontId="0" fillId="0" borderId="0" xfId="0" applyNumberFormat="1"/>
    <xf numFmtId="0" fontId="45" fillId="8" borderId="51" xfId="0" applyFont="1" applyFill="1" applyBorder="1" applyAlignment="1">
      <alignment vertical="top"/>
    </xf>
    <xf numFmtId="4" fontId="45" fillId="8" borderId="52" xfId="0" applyNumberFormat="1" applyFont="1" applyFill="1" applyBorder="1" applyAlignment="1">
      <alignment horizontal="right" vertical="top"/>
    </xf>
    <xf numFmtId="4" fontId="45" fillId="8" borderId="50" xfId="0" applyNumberFormat="1" applyFont="1" applyFill="1" applyBorder="1" applyAlignment="1">
      <alignment horizontal="right" vertical="top"/>
    </xf>
    <xf numFmtId="0" fontId="0" fillId="8" borderId="0" xfId="0" applyFill="1"/>
    <xf numFmtId="0" fontId="45" fillId="8" borderId="50" xfId="0" applyFont="1" applyFill="1" applyBorder="1" applyAlignment="1">
      <alignment vertical="top"/>
    </xf>
    <xf numFmtId="0" fontId="7" fillId="0" borderId="37" xfId="0" applyFont="1" applyBorder="1" applyAlignment="1">
      <alignment horizontal="left" vertical="center"/>
    </xf>
    <xf numFmtId="0" fontId="72" fillId="0" borderId="0" xfId="0" applyFont="1"/>
    <xf numFmtId="0" fontId="7" fillId="0" borderId="36" xfId="0" applyFont="1" applyFill="1" applyBorder="1" applyAlignment="1" applyProtection="1">
      <alignment horizontal="left" vertical="center" wrapText="1"/>
    </xf>
    <xf numFmtId="4" fontId="25" fillId="0" borderId="0" xfId="0" applyNumberFormat="1" applyFont="1" applyFill="1" applyBorder="1" applyAlignment="1">
      <alignment horizontal="center" vertical="center"/>
    </xf>
    <xf numFmtId="41" fontId="34" fillId="6" borderId="24" xfId="0" applyNumberFormat="1" applyFont="1" applyFill="1" applyBorder="1" applyAlignment="1">
      <alignment horizontal="center" vertical="center"/>
    </xf>
    <xf numFmtId="0" fontId="50" fillId="0" borderId="51" xfId="0" applyFont="1" applyBorder="1" applyAlignment="1">
      <alignment vertical="top"/>
    </xf>
    <xf numFmtId="4" fontId="50" fillId="0" borderId="50" xfId="0" applyNumberFormat="1" applyFont="1" applyBorder="1" applyAlignment="1">
      <alignment horizontal="right" vertical="top"/>
    </xf>
    <xf numFmtId="4" fontId="50" fillId="4" borderId="52" xfId="0" applyNumberFormat="1" applyFont="1" applyFill="1" applyBorder="1" applyAlignment="1">
      <alignment horizontal="right" vertical="top"/>
    </xf>
    <xf numFmtId="0" fontId="50" fillId="4" borderId="51" xfId="0" applyFont="1" applyFill="1" applyBorder="1" applyAlignment="1">
      <alignment vertical="top"/>
    </xf>
    <xf numFmtId="41" fontId="34" fillId="6" borderId="38" xfId="3" applyNumberFormat="1" applyFont="1" applyFill="1" applyBorder="1" applyAlignment="1">
      <alignment horizontal="center" vertical="center"/>
    </xf>
    <xf numFmtId="0" fontId="5" fillId="0" borderId="0" xfId="44"/>
    <xf numFmtId="0" fontId="5" fillId="0" borderId="0" xfId="44"/>
    <xf numFmtId="43" fontId="5" fillId="0" borderId="0" xfId="3" applyFont="1"/>
    <xf numFmtId="43" fontId="0" fillId="0" borderId="0" xfId="3" applyFont="1"/>
    <xf numFmtId="0" fontId="68" fillId="0" borderId="0" xfId="44" applyFont="1"/>
    <xf numFmtId="0" fontId="7" fillId="0" borderId="72" xfId="0" applyFont="1" applyFill="1" applyBorder="1" applyAlignment="1" applyProtection="1">
      <alignment horizontal="left" vertical="center"/>
    </xf>
    <xf numFmtId="4" fontId="72" fillId="0" borderId="0" xfId="0" applyNumberFormat="1" applyFont="1"/>
    <xf numFmtId="0" fontId="50" fillId="0" borderId="50" xfId="0" applyFont="1" applyBorder="1" applyAlignment="1">
      <alignment vertical="top"/>
    </xf>
    <xf numFmtId="0" fontId="50" fillId="0" borderId="0" xfId="0" applyFont="1" applyFill="1" applyBorder="1" applyAlignment="1">
      <alignment vertical="top"/>
    </xf>
    <xf numFmtId="0" fontId="50" fillId="0" borderId="0" xfId="0" applyFont="1" applyBorder="1" applyAlignment="1">
      <alignment vertical="top"/>
    </xf>
    <xf numFmtId="4" fontId="50" fillId="0" borderId="0" xfId="0" applyNumberFormat="1" applyFont="1" applyBorder="1" applyAlignment="1">
      <alignment horizontal="right" vertical="top"/>
    </xf>
    <xf numFmtId="0" fontId="4" fillId="0" borderId="0" xfId="44" applyFont="1"/>
    <xf numFmtId="41" fontId="34" fillId="0" borderId="44" xfId="0" applyNumberFormat="1" applyFont="1" applyFill="1" applyBorder="1" applyAlignment="1">
      <alignment horizontal="center" vertical="center"/>
    </xf>
    <xf numFmtId="41" fontId="7" fillId="0" borderId="59" xfId="0" applyNumberFormat="1" applyFont="1" applyFill="1" applyBorder="1" applyAlignment="1">
      <alignment horizontal="center" vertical="center"/>
    </xf>
    <xf numFmtId="41" fontId="34" fillId="0" borderId="73" xfId="0" applyNumberFormat="1" applyFont="1" applyFill="1" applyBorder="1" applyAlignment="1">
      <alignment horizontal="center" vertical="center"/>
    </xf>
    <xf numFmtId="41" fontId="34" fillId="0" borderId="74" xfId="0" applyNumberFormat="1" applyFont="1" applyFill="1" applyBorder="1" applyAlignment="1">
      <alignment horizontal="center" vertical="center"/>
    </xf>
    <xf numFmtId="43" fontId="12" fillId="0" borderId="0" xfId="3" applyNumberFormat="1" applyFont="1" applyAlignment="1">
      <alignment horizontal="center" vertical="center"/>
    </xf>
    <xf numFmtId="41" fontId="34" fillId="0" borderId="75" xfId="0" applyNumberFormat="1" applyFont="1" applyFill="1" applyBorder="1" applyAlignment="1">
      <alignment horizontal="center" vertical="center"/>
    </xf>
    <xf numFmtId="41" fontId="7" fillId="0" borderId="48" xfId="0" applyNumberFormat="1" applyFont="1" applyBorder="1" applyAlignment="1">
      <alignment horizontal="center" vertical="center"/>
    </xf>
    <xf numFmtId="0" fontId="7" fillId="0" borderId="35" xfId="0" applyFont="1" applyBorder="1" applyAlignment="1">
      <alignment horizontal="left" vertical="center"/>
    </xf>
    <xf numFmtId="0" fontId="7" fillId="0" borderId="35" xfId="0" applyFont="1" applyBorder="1" applyAlignment="1">
      <alignment horizontal="center" vertical="center"/>
    </xf>
    <xf numFmtId="0" fontId="17" fillId="0" borderId="15" xfId="0" applyFont="1" applyBorder="1" applyAlignment="1" applyProtection="1">
      <alignment horizontal="left" vertical="center"/>
    </xf>
    <xf numFmtId="0" fontId="55" fillId="0" borderId="0" xfId="0" applyFont="1" applyBorder="1" applyAlignment="1">
      <alignment horizontal="center" vertical="center"/>
    </xf>
    <xf numFmtId="164" fontId="54" fillId="0" borderId="0" xfId="3" applyNumberFormat="1" applyFont="1" applyAlignment="1">
      <alignment horizontal="center" vertical="center"/>
    </xf>
    <xf numFmtId="41" fontId="73" fillId="0" borderId="16" xfId="1" applyNumberFormat="1" applyFont="1" applyFill="1" applyBorder="1" applyAlignment="1">
      <alignment horizontal="center" vertical="center"/>
    </xf>
    <xf numFmtId="41" fontId="36" fillId="0" borderId="16" xfId="0" applyNumberFormat="1" applyFont="1" applyBorder="1" applyAlignment="1">
      <alignment horizontal="center" vertical="center"/>
    </xf>
    <xf numFmtId="0" fontId="10" fillId="0" borderId="44" xfId="0" applyFont="1" applyFill="1" applyBorder="1" applyAlignment="1" applyProtection="1">
      <alignment horizontal="left" vertical="center"/>
    </xf>
    <xf numFmtId="0" fontId="10" fillId="0" borderId="44" xfId="0" applyFont="1" applyFill="1" applyBorder="1" applyAlignment="1" applyProtection="1">
      <alignment horizontal="center" vertical="center"/>
    </xf>
    <xf numFmtId="41" fontId="10" fillId="0" borderId="44" xfId="0" applyNumberFormat="1" applyFont="1" applyFill="1" applyBorder="1" applyAlignment="1">
      <alignment horizontal="center" vertical="center"/>
    </xf>
    <xf numFmtId="41" fontId="10" fillId="0" borderId="12" xfId="3" applyNumberFormat="1" applyFont="1" applyFill="1" applyBorder="1" applyAlignment="1">
      <alignment horizontal="center" vertical="center"/>
    </xf>
    <xf numFmtId="41" fontId="10" fillId="0" borderId="44" xfId="0" applyNumberFormat="1" applyFont="1" applyBorder="1" applyAlignment="1">
      <alignment horizontal="center" vertical="center"/>
    </xf>
    <xf numFmtId="0" fontId="34" fillId="0" borderId="24" xfId="0" applyFont="1" applyFill="1" applyBorder="1" applyAlignment="1">
      <alignment horizontal="left" vertical="center"/>
    </xf>
    <xf numFmtId="0" fontId="34" fillId="0" borderId="36" xfId="0" applyFont="1" applyFill="1" applyBorder="1" applyAlignment="1" applyProtection="1">
      <alignment horizontal="left" vertical="center" wrapText="1"/>
    </xf>
    <xf numFmtId="0" fontId="34" fillId="0" borderId="36" xfId="0" applyFont="1" applyBorder="1" applyAlignment="1">
      <alignment horizontal="left" vertical="center"/>
    </xf>
    <xf numFmtId="0" fontId="34" fillId="0" borderId="36" xfId="0" applyFont="1" applyFill="1" applyBorder="1" applyAlignment="1">
      <alignment horizontal="center" vertical="center"/>
    </xf>
    <xf numFmtId="41" fontId="34" fillId="0" borderId="48" xfId="3" applyNumberFormat="1" applyFont="1" applyFill="1" applyBorder="1" applyAlignment="1">
      <alignment horizontal="center" vertical="center"/>
    </xf>
    <xf numFmtId="41" fontId="7" fillId="0" borderId="36" xfId="0" applyNumberFormat="1" applyFont="1" applyBorder="1" applyAlignment="1">
      <alignment horizontal="center" vertical="center"/>
    </xf>
    <xf numFmtId="41" fontId="34" fillId="0" borderId="36" xfId="0" applyNumberFormat="1" applyFont="1" applyFill="1" applyBorder="1" applyAlignment="1">
      <alignment horizontal="center" vertical="center"/>
    </xf>
    <xf numFmtId="0" fontId="16" fillId="0" borderId="2" xfId="0" applyFont="1" applyBorder="1" applyAlignment="1" applyProtection="1"/>
    <xf numFmtId="0" fontId="15" fillId="0" borderId="2" xfId="0" applyFont="1" applyFill="1" applyBorder="1" applyAlignment="1" applyProtection="1">
      <alignment horizontal="left"/>
    </xf>
    <xf numFmtId="0" fontId="17" fillId="0" borderId="2" xfId="0" applyFont="1" applyBorder="1" applyAlignment="1" applyProtection="1">
      <alignment horizontal="center"/>
    </xf>
    <xf numFmtId="0" fontId="36" fillId="0" borderId="0" xfId="0" applyFont="1" applyAlignment="1">
      <alignment horizontal="left"/>
    </xf>
    <xf numFmtId="14" fontId="0" fillId="0" borderId="0" xfId="0" applyNumberFormat="1"/>
    <xf numFmtId="16" fontId="0" fillId="0" borderId="0" xfId="0" applyNumberFormat="1"/>
    <xf numFmtId="41" fontId="18" fillId="0" borderId="0" xfId="0" applyNumberFormat="1" applyFont="1" applyBorder="1" applyAlignment="1">
      <alignment horizontal="center" vertical="center"/>
    </xf>
    <xf numFmtId="0" fontId="7" fillId="0" borderId="24" xfId="1" applyNumberFormat="1" applyFont="1" applyFill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0" fontId="7" fillId="0" borderId="36" xfId="0" applyFont="1" applyFill="1" applyBorder="1" applyAlignment="1">
      <alignment horizontal="center" vertical="center"/>
    </xf>
    <xf numFmtId="0" fontId="74" fillId="0" borderId="51" xfId="0" applyFont="1" applyBorder="1" applyAlignment="1">
      <alignment vertical="top"/>
    </xf>
    <xf numFmtId="4" fontId="74" fillId="0" borderId="52" xfId="0" applyNumberFormat="1" applyFont="1" applyBorder="1" applyAlignment="1">
      <alignment horizontal="right" vertical="top"/>
    </xf>
    <xf numFmtId="0" fontId="73" fillId="0" borderId="2" xfId="0" applyFont="1" applyBorder="1" applyAlignment="1" applyProtection="1"/>
    <xf numFmtId="0" fontId="75" fillId="0" borderId="0" xfId="0" applyFont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13" fontId="8" fillId="0" borderId="11" xfId="0" quotePrefix="1" applyNumberFormat="1" applyFont="1" applyFill="1" applyBorder="1" applyAlignment="1">
      <alignment horizontal="center" vertical="center"/>
    </xf>
    <xf numFmtId="41" fontId="8" fillId="0" borderId="10" xfId="0" quotePrefix="1" applyNumberFormat="1" applyFont="1" applyFill="1" applyBorder="1" applyAlignment="1">
      <alignment horizontal="center" vertical="center"/>
    </xf>
    <xf numFmtId="41" fontId="8" fillId="0" borderId="10" xfId="0" applyNumberFormat="1" applyFont="1" applyBorder="1" applyAlignment="1">
      <alignment horizontal="center" vertical="center"/>
    </xf>
    <xf numFmtId="4" fontId="75" fillId="0" borderId="0" xfId="0" applyNumberFormat="1" applyFont="1" applyFill="1" applyBorder="1" applyAlignment="1">
      <alignment horizontal="center" vertical="center"/>
    </xf>
    <xf numFmtId="0" fontId="75" fillId="0" borderId="0" xfId="0" applyFont="1" applyFill="1" applyBorder="1" applyAlignment="1">
      <alignment horizontal="center" vertical="center"/>
    </xf>
    <xf numFmtId="0" fontId="73" fillId="0" borderId="2" xfId="0" applyFont="1" applyFill="1" applyBorder="1" applyAlignment="1" applyProtection="1">
      <alignment horizontal="left"/>
    </xf>
    <xf numFmtId="0" fontId="9" fillId="0" borderId="28" xfId="0" applyFont="1" applyFill="1" applyBorder="1" applyAlignment="1">
      <alignment horizontal="center" vertical="center"/>
    </xf>
    <xf numFmtId="0" fontId="76" fillId="0" borderId="0" xfId="0" applyFont="1"/>
    <xf numFmtId="0" fontId="73" fillId="0" borderId="2" xfId="0" applyFont="1" applyBorder="1" applyAlignment="1" applyProtection="1">
      <alignment horizontal="center"/>
    </xf>
    <xf numFmtId="164" fontId="9" fillId="0" borderId="2" xfId="3" applyNumberFormat="1" applyFont="1" applyBorder="1" applyAlignment="1">
      <alignment horizontal="center" vertical="center"/>
    </xf>
    <xf numFmtId="41" fontId="7" fillId="0" borderId="74" xfId="0" applyNumberFormat="1" applyFont="1" applyFill="1" applyBorder="1" applyAlignment="1">
      <alignment horizontal="center" vertical="center"/>
    </xf>
    <xf numFmtId="41" fontId="7" fillId="0" borderId="76" xfId="0" applyNumberFormat="1" applyFont="1" applyFill="1" applyBorder="1" applyAlignment="1">
      <alignment horizontal="center" vertical="center"/>
    </xf>
    <xf numFmtId="0" fontId="73" fillId="0" borderId="15" xfId="0" applyFont="1" applyBorder="1" applyAlignment="1" applyProtection="1">
      <alignment horizontal="left" vertical="center"/>
    </xf>
    <xf numFmtId="0" fontId="75" fillId="0" borderId="0" xfId="0" applyFont="1" applyBorder="1" applyAlignment="1">
      <alignment horizontal="center" vertical="center"/>
    </xf>
    <xf numFmtId="0" fontId="73" fillId="0" borderId="0" xfId="0" applyFont="1" applyBorder="1" applyAlignment="1" applyProtection="1"/>
    <xf numFmtId="41" fontId="7" fillId="6" borderId="48" xfId="3" applyNumberFormat="1" applyFont="1" applyFill="1" applyBorder="1" applyAlignment="1">
      <alignment horizontal="center" vertical="center"/>
    </xf>
    <xf numFmtId="41" fontId="7" fillId="6" borderId="37" xfId="0" applyNumberFormat="1" applyFont="1" applyFill="1" applyBorder="1" applyAlignment="1">
      <alignment horizontal="center" vertical="center"/>
    </xf>
    <xf numFmtId="0" fontId="9" fillId="0" borderId="53" xfId="0" applyFont="1" applyFill="1" applyBorder="1" applyAlignment="1">
      <alignment horizontal="center" vertical="center"/>
    </xf>
    <xf numFmtId="13" fontId="8" fillId="0" borderId="53" xfId="0" quotePrefix="1" applyNumberFormat="1" applyFont="1" applyFill="1" applyBorder="1" applyAlignment="1">
      <alignment horizontal="center" vertical="center"/>
    </xf>
    <xf numFmtId="41" fontId="8" fillId="0" borderId="53" xfId="0" quotePrefix="1" applyNumberFormat="1" applyFont="1" applyFill="1" applyBorder="1" applyAlignment="1">
      <alignment horizontal="center" vertical="center"/>
    </xf>
    <xf numFmtId="41" fontId="8" fillId="0" borderId="53" xfId="0" applyNumberFormat="1" applyFont="1" applyBorder="1" applyAlignment="1">
      <alignment horizontal="center" vertical="center"/>
    </xf>
    <xf numFmtId="41" fontId="8" fillId="0" borderId="53" xfId="0" quotePrefix="1" applyNumberFormat="1" applyFont="1" applyBorder="1" applyAlignment="1">
      <alignment horizontal="center" vertical="center"/>
    </xf>
    <xf numFmtId="164" fontId="8" fillId="0" borderId="53" xfId="3" quotePrefix="1" applyNumberFormat="1" applyFont="1" applyBorder="1" applyAlignment="1">
      <alignment horizontal="center" vertical="center"/>
    </xf>
    <xf numFmtId="0" fontId="8" fillId="0" borderId="48" xfId="0" applyFont="1" applyFill="1" applyBorder="1" applyAlignment="1" applyProtection="1">
      <alignment horizontal="center" vertical="center"/>
    </xf>
    <xf numFmtId="41" fontId="8" fillId="0" borderId="48" xfId="0" applyNumberFormat="1" applyFont="1" applyFill="1" applyBorder="1" applyAlignment="1">
      <alignment horizontal="center" vertical="center"/>
    </xf>
    <xf numFmtId="41" fontId="10" fillId="0" borderId="48" xfId="1" applyNumberFormat="1" applyFont="1" applyFill="1" applyBorder="1" applyAlignment="1" applyProtection="1">
      <alignment horizontal="center" vertical="center"/>
    </xf>
    <xf numFmtId="14" fontId="8" fillId="0" borderId="48" xfId="1" applyNumberFormat="1" applyFont="1" applyFill="1" applyBorder="1" applyAlignment="1" applyProtection="1">
      <alignment horizontal="center" vertical="center"/>
    </xf>
    <xf numFmtId="41" fontId="8" fillId="0" borderId="48" xfId="1" applyNumberFormat="1" applyFont="1" applyBorder="1" applyAlignment="1">
      <alignment horizontal="center" vertical="center"/>
    </xf>
    <xf numFmtId="0" fontId="7" fillId="0" borderId="53" xfId="0" applyFont="1" applyBorder="1" applyAlignment="1">
      <alignment horizontal="left" vertical="center"/>
    </xf>
    <xf numFmtId="0" fontId="7" fillId="0" borderId="37" xfId="0" applyFont="1" applyBorder="1" applyAlignment="1">
      <alignment horizontal="center" vertical="center"/>
    </xf>
    <xf numFmtId="0" fontId="10" fillId="0" borderId="24" xfId="0" applyFont="1" applyFill="1" applyBorder="1" applyAlignment="1" applyProtection="1">
      <alignment horizontal="center" vertical="center"/>
    </xf>
    <xf numFmtId="0" fontId="10" fillId="0" borderId="24" xfId="0" applyNumberFormat="1" applyFont="1" applyFill="1" applyBorder="1" applyAlignment="1" applyProtection="1">
      <alignment horizontal="center" vertical="center"/>
    </xf>
    <xf numFmtId="164" fontId="8" fillId="0" borderId="24" xfId="3" applyNumberFormat="1" applyFont="1" applyBorder="1" applyAlignment="1">
      <alignment horizontal="center" vertical="center"/>
    </xf>
    <xf numFmtId="0" fontId="73" fillId="0" borderId="0" xfId="0" applyFont="1" applyFill="1" applyBorder="1" applyAlignment="1" applyProtection="1">
      <alignment horizontal="left"/>
    </xf>
    <xf numFmtId="0" fontId="7" fillId="6" borderId="46" xfId="0" applyFont="1" applyFill="1" applyBorder="1" applyAlignment="1" applyProtection="1">
      <alignment horizontal="left" vertical="center"/>
    </xf>
    <xf numFmtId="0" fontId="7" fillId="3" borderId="48" xfId="0" applyFont="1" applyFill="1" applyBorder="1" applyAlignment="1" applyProtection="1">
      <alignment horizontal="left" vertical="center"/>
    </xf>
    <xf numFmtId="0" fontId="7" fillId="6" borderId="77" xfId="0" applyFont="1" applyFill="1" applyBorder="1" applyAlignment="1" applyProtection="1">
      <alignment horizontal="left" vertical="center"/>
    </xf>
    <xf numFmtId="0" fontId="7" fillId="6" borderId="48" xfId="0" applyFont="1" applyFill="1" applyBorder="1" applyAlignment="1" applyProtection="1">
      <alignment horizontal="center" vertical="center"/>
    </xf>
    <xf numFmtId="0" fontId="7" fillId="6" borderId="15" xfId="0" applyFont="1" applyFill="1" applyBorder="1" applyAlignment="1" applyProtection="1">
      <alignment horizontal="center" vertical="center"/>
    </xf>
    <xf numFmtId="0" fontId="7" fillId="0" borderId="78" xfId="0" applyFont="1" applyFill="1" applyBorder="1" applyAlignment="1" applyProtection="1">
      <alignment horizontal="left" vertical="center" wrapText="1"/>
    </xf>
    <xf numFmtId="0" fontId="7" fillId="0" borderId="53" xfId="0" applyFont="1" applyFill="1" applyBorder="1" applyAlignment="1" applyProtection="1">
      <alignment horizontal="left" vertical="center" wrapText="1"/>
    </xf>
    <xf numFmtId="0" fontId="7" fillId="0" borderId="53" xfId="0" applyNumberFormat="1" applyFont="1" applyFill="1" applyBorder="1" applyAlignment="1" applyProtection="1">
      <alignment horizontal="center" vertical="center"/>
    </xf>
    <xf numFmtId="41" fontId="8" fillId="0" borderId="24" xfId="1" applyNumberFormat="1" applyFont="1" applyFill="1" applyBorder="1" applyAlignment="1">
      <alignment horizontal="center" vertical="center"/>
    </xf>
    <xf numFmtId="0" fontId="7" fillId="4" borderId="14" xfId="0" applyFont="1" applyFill="1" applyBorder="1" applyAlignment="1" applyProtection="1">
      <alignment horizontal="left" vertical="center"/>
    </xf>
    <xf numFmtId="164" fontId="9" fillId="0" borderId="0" xfId="3" applyNumberFormat="1" applyFont="1" applyFill="1" applyAlignment="1">
      <alignment horizontal="center" vertical="center"/>
    </xf>
    <xf numFmtId="164" fontId="9" fillId="0" borderId="0" xfId="3" applyNumberFormat="1" applyFont="1" applyFill="1" applyAlignment="1">
      <alignment horizontal="center"/>
    </xf>
    <xf numFmtId="0" fontId="76" fillId="0" borderId="0" xfId="0" applyFont="1" applyFill="1"/>
    <xf numFmtId="41" fontId="7" fillId="0" borderId="8" xfId="0" applyNumberFormat="1" applyFont="1" applyFill="1" applyBorder="1" applyAlignment="1">
      <alignment horizontal="center" vertical="center"/>
    </xf>
    <xf numFmtId="164" fontId="7" fillId="0" borderId="24" xfId="3" applyNumberFormat="1" applyFont="1" applyFill="1" applyBorder="1" applyAlignment="1">
      <alignment horizontal="center" vertical="center"/>
    </xf>
    <xf numFmtId="41" fontId="10" fillId="0" borderId="0" xfId="0" applyNumberFormat="1" applyFont="1" applyFill="1" applyBorder="1" applyAlignment="1">
      <alignment horizontal="center" vertical="center"/>
    </xf>
    <xf numFmtId="41" fontId="36" fillId="0" borderId="16" xfId="0" applyNumberFormat="1" applyFont="1" applyFill="1" applyBorder="1" applyAlignment="1">
      <alignment horizontal="center" vertical="center"/>
    </xf>
    <xf numFmtId="41" fontId="10" fillId="0" borderId="36" xfId="0" applyNumberFormat="1" applyFont="1" applyFill="1" applyBorder="1" applyAlignment="1">
      <alignment horizontal="center" vertical="center"/>
    </xf>
    <xf numFmtId="0" fontId="7" fillId="0" borderId="81" xfId="0" applyFont="1" applyFill="1" applyBorder="1" applyAlignment="1" applyProtection="1">
      <alignment horizontal="center" vertical="center"/>
    </xf>
    <xf numFmtId="0" fontId="7" fillId="0" borderId="81" xfId="0" applyNumberFormat="1" applyFont="1" applyFill="1" applyBorder="1" applyAlignment="1" applyProtection="1">
      <alignment horizontal="center" vertical="center"/>
    </xf>
    <xf numFmtId="0" fontId="7" fillId="0" borderId="81" xfId="0" applyFont="1" applyFill="1" applyBorder="1" applyAlignment="1" applyProtection="1">
      <alignment horizontal="left" vertical="center"/>
    </xf>
    <xf numFmtId="0" fontId="7" fillId="0" borderId="82" xfId="0" applyFont="1" applyFill="1" applyBorder="1" applyAlignment="1" applyProtection="1">
      <alignment horizontal="left" vertical="center"/>
    </xf>
    <xf numFmtId="41" fontId="7" fillId="0" borderId="81" xfId="0" applyNumberFormat="1" applyFont="1" applyFill="1" applyBorder="1" applyAlignment="1">
      <alignment horizontal="center" vertical="center"/>
    </xf>
    <xf numFmtId="0" fontId="10" fillId="0" borderId="36" xfId="0" applyFont="1" applyFill="1" applyBorder="1" applyAlignment="1" applyProtection="1">
      <alignment horizontal="left" vertical="center"/>
    </xf>
    <xf numFmtId="164" fontId="9" fillId="0" borderId="0" xfId="3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7" fillId="6" borderId="21" xfId="0" applyFont="1" applyFill="1" applyBorder="1" applyAlignment="1">
      <alignment horizontal="left" vertical="center"/>
    </xf>
    <xf numFmtId="0" fontId="73" fillId="0" borderId="0" xfId="0" applyFont="1" applyBorder="1" applyAlignment="1" applyProtection="1">
      <alignment vertical="center"/>
    </xf>
    <xf numFmtId="0" fontId="73" fillId="0" borderId="0" xfId="0" applyFont="1" applyFill="1" applyBorder="1" applyAlignment="1" applyProtection="1">
      <alignment horizontal="left" vertical="center"/>
    </xf>
    <xf numFmtId="0" fontId="73" fillId="0" borderId="0" xfId="0" applyFont="1" applyBorder="1" applyAlignment="1" applyProtection="1">
      <alignment horizontal="left" vertical="center"/>
    </xf>
    <xf numFmtId="0" fontId="7" fillId="6" borderId="21" xfId="1" applyNumberFormat="1" applyFont="1" applyFill="1" applyBorder="1" applyAlignment="1">
      <alignment horizontal="left" vertical="center"/>
    </xf>
    <xf numFmtId="0" fontId="7" fillId="0" borderId="85" xfId="0" applyFont="1" applyFill="1" applyBorder="1" applyAlignment="1" applyProtection="1">
      <alignment horizontal="left" vertical="center"/>
    </xf>
    <xf numFmtId="0" fontId="7" fillId="0" borderId="85" xfId="0" applyFont="1" applyFill="1" applyBorder="1" applyAlignment="1" applyProtection="1">
      <alignment horizontal="center" vertical="center"/>
    </xf>
    <xf numFmtId="0" fontId="7" fillId="6" borderId="24" xfId="0" applyFont="1" applyFill="1" applyBorder="1" applyAlignment="1" applyProtection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6" borderId="39" xfId="1" applyNumberFormat="1" applyFont="1" applyFill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41" fontId="7" fillId="0" borderId="85" xfId="0" applyNumberFormat="1" applyFont="1" applyFill="1" applyBorder="1" applyAlignment="1">
      <alignment horizontal="center" vertical="center"/>
    </xf>
    <xf numFmtId="0" fontId="7" fillId="6" borderId="24" xfId="0" applyFont="1" applyFill="1" applyBorder="1" applyAlignment="1" applyProtection="1">
      <alignment horizontal="left" vertical="center"/>
    </xf>
    <xf numFmtId="0" fontId="33" fillId="0" borderId="0" xfId="0" applyFont="1" applyAlignment="1">
      <alignment horizontal="center" vertical="center"/>
    </xf>
    <xf numFmtId="0" fontId="7" fillId="6" borderId="85" xfId="0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Fill="1" applyBorder="1" applyAlignment="1" applyProtection="1">
      <alignment horizontal="center" vertical="center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1" fontId="7" fillId="0" borderId="24" xfId="0" applyNumberFormat="1" applyFont="1" applyFill="1" applyBorder="1" applyAlignment="1">
      <alignment horizontal="center" vertical="center"/>
    </xf>
    <xf numFmtId="0" fontId="7" fillId="6" borderId="24" xfId="0" applyFont="1" applyFill="1" applyBorder="1" applyAlignment="1" applyProtection="1">
      <alignment horizontal="left" vertical="center"/>
    </xf>
    <xf numFmtId="0" fontId="7" fillId="0" borderId="24" xfId="0" applyFont="1" applyFill="1" applyBorder="1" applyAlignment="1" applyProtection="1">
      <alignment horizontal="left" vertical="center"/>
    </xf>
    <xf numFmtId="0" fontId="7" fillId="0" borderId="36" xfId="0" applyFont="1" applyBorder="1" applyAlignment="1">
      <alignment horizontal="left" vertical="center"/>
    </xf>
    <xf numFmtId="0" fontId="7" fillId="0" borderId="8" xfId="0" applyNumberFormat="1" applyFont="1" applyFill="1" applyBorder="1" applyAlignment="1" applyProtection="1">
      <alignment horizontal="center" vertical="center"/>
    </xf>
    <xf numFmtId="41" fontId="7" fillId="0" borderId="36" xfId="0" applyNumberFormat="1" applyFont="1" applyFill="1" applyBorder="1" applyAlignment="1">
      <alignment horizontal="center" vertical="center"/>
    </xf>
    <xf numFmtId="0" fontId="7" fillId="0" borderId="36" xfId="0" applyFont="1" applyFill="1" applyBorder="1" applyAlignment="1" applyProtection="1">
      <alignment horizontal="left" vertical="center"/>
    </xf>
    <xf numFmtId="0" fontId="7" fillId="0" borderId="36" xfId="0" applyFont="1" applyFill="1" applyBorder="1" applyAlignment="1" applyProtection="1">
      <alignment horizontal="center" vertical="center"/>
    </xf>
    <xf numFmtId="0" fontId="7" fillId="0" borderId="84" xfId="0" applyFont="1" applyFill="1" applyBorder="1" applyAlignment="1" applyProtection="1">
      <alignment horizontal="left" vertical="center"/>
    </xf>
    <xf numFmtId="0" fontId="7" fillId="0" borderId="34" xfId="0" applyFont="1" applyFill="1" applyBorder="1" applyAlignment="1" applyProtection="1">
      <alignment horizontal="left" vertical="center" wrapText="1"/>
    </xf>
    <xf numFmtId="0" fontId="7" fillId="0" borderId="24" xfId="0" applyFont="1" applyFill="1" applyBorder="1" applyAlignment="1" applyProtection="1">
      <alignment horizontal="center" vertical="center"/>
    </xf>
    <xf numFmtId="0" fontId="7" fillId="0" borderId="25" xfId="0" applyNumberFormat="1" applyFont="1" applyFill="1" applyBorder="1" applyAlignment="1" applyProtection="1">
      <alignment horizontal="center" vertical="center"/>
    </xf>
    <xf numFmtId="0" fontId="7" fillId="0" borderId="24" xfId="0" applyNumberFormat="1" applyFont="1" applyFill="1" applyBorder="1" applyAlignment="1" applyProtection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7" fillId="0" borderId="24" xfId="0" applyFont="1" applyBorder="1" applyAlignment="1">
      <alignment horizontal="center" vertical="center"/>
    </xf>
    <xf numFmtId="41" fontId="9" fillId="0" borderId="0" xfId="0" applyNumberFormat="1" applyFont="1" applyAlignment="1">
      <alignment horizontal="center" vertical="center"/>
    </xf>
    <xf numFmtId="41" fontId="7" fillId="6" borderId="81" xfId="0" applyNumberFormat="1" applyFont="1" applyFill="1" applyBorder="1" applyAlignment="1">
      <alignment horizontal="center" vertical="center"/>
    </xf>
    <xf numFmtId="0" fontId="7" fillId="6" borderId="24" xfId="0" applyNumberFormat="1" applyFont="1" applyFill="1" applyBorder="1" applyAlignment="1" applyProtection="1">
      <alignment horizontal="center" vertical="center"/>
    </xf>
    <xf numFmtId="0" fontId="19" fillId="6" borderId="24" xfId="0" applyNumberFormat="1" applyFont="1" applyFill="1" applyBorder="1" applyAlignment="1">
      <alignment horizontal="center" vertical="center"/>
    </xf>
    <xf numFmtId="41" fontId="7" fillId="40" borderId="24" xfId="0" applyNumberFormat="1" applyFont="1" applyFill="1" applyBorder="1" applyAlignment="1">
      <alignment horizontal="center" vertical="center"/>
    </xf>
    <xf numFmtId="0" fontId="7" fillId="40" borderId="4" xfId="1" applyNumberFormat="1" applyFont="1" applyFill="1" applyBorder="1" applyAlignment="1">
      <alignment horizontal="left" vertical="center"/>
    </xf>
    <xf numFmtId="0" fontId="7" fillId="40" borderId="24" xfId="0" applyFont="1" applyFill="1" applyBorder="1" applyAlignment="1" applyProtection="1">
      <alignment horizontal="left" vertical="center"/>
    </xf>
    <xf numFmtId="0" fontId="7" fillId="40" borderId="24" xfId="0" applyFont="1" applyFill="1" applyBorder="1" applyAlignment="1" applyProtection="1">
      <alignment horizontal="center" vertical="center"/>
    </xf>
    <xf numFmtId="0" fontId="7" fillId="40" borderId="5" xfId="1" applyNumberFormat="1" applyFont="1" applyFill="1" applyBorder="1" applyAlignment="1">
      <alignment horizontal="left" vertical="center"/>
    </xf>
    <xf numFmtId="41" fontId="7" fillId="6" borderId="85" xfId="0" applyNumberFormat="1" applyFont="1" applyFill="1" applyBorder="1" applyAlignment="1">
      <alignment horizontal="center" vertical="center"/>
    </xf>
    <xf numFmtId="0" fontId="7" fillId="6" borderId="79" xfId="1" applyNumberFormat="1" applyFont="1" applyFill="1" applyBorder="1" applyAlignment="1">
      <alignment horizontal="center" vertical="center"/>
    </xf>
    <xf numFmtId="0" fontId="7" fillId="6" borderId="8" xfId="1" applyNumberFormat="1" applyFont="1" applyFill="1" applyBorder="1" applyAlignment="1">
      <alignment horizontal="left" vertical="center"/>
    </xf>
    <xf numFmtId="0" fontId="7" fillId="0" borderId="79" xfId="0" applyFont="1" applyFill="1" applyBorder="1" applyAlignment="1">
      <alignment horizontal="left" vertical="center"/>
    </xf>
    <xf numFmtId="0" fontId="7" fillId="0" borderId="86" xfId="0" applyFont="1" applyFill="1" applyBorder="1" applyAlignment="1">
      <alignment horizontal="left" vertical="center"/>
    </xf>
    <xf numFmtId="0" fontId="7" fillId="0" borderId="79" xfId="1" applyNumberFormat="1" applyFont="1" applyFill="1" applyBorder="1" applyAlignment="1">
      <alignment horizontal="left" vertical="center"/>
    </xf>
    <xf numFmtId="0" fontId="7" fillId="0" borderId="79" xfId="1" applyNumberFormat="1" applyFont="1" applyBorder="1" applyAlignment="1">
      <alignment horizontal="left" vertical="center"/>
    </xf>
    <xf numFmtId="0" fontId="7" fillId="0" borderId="87" xfId="1" applyNumberFormat="1" applyFont="1" applyBorder="1" applyAlignment="1">
      <alignment horizontal="left" vertical="center"/>
    </xf>
    <xf numFmtId="0" fontId="7" fillId="0" borderId="87" xfId="0" applyFont="1" applyFill="1" applyBorder="1" applyAlignment="1">
      <alignment horizontal="left" vertical="center"/>
    </xf>
    <xf numFmtId="0" fontId="7" fillId="0" borderId="91" xfId="0" applyFont="1" applyFill="1" applyBorder="1" applyAlignment="1" applyProtection="1">
      <alignment horizontal="left" vertical="center"/>
    </xf>
    <xf numFmtId="0" fontId="7" fillId="0" borderId="80" xfId="0" applyFont="1" applyFill="1" applyBorder="1" applyAlignment="1">
      <alignment horizontal="left" vertical="center"/>
    </xf>
    <xf numFmtId="0" fontId="7" fillId="0" borderId="92" xfId="0" applyFont="1" applyFill="1" applyBorder="1" applyAlignment="1" applyProtection="1">
      <alignment horizontal="left" vertical="center"/>
    </xf>
    <xf numFmtId="0" fontId="7" fillId="0" borderId="91" xfId="0" applyFont="1" applyBorder="1" applyAlignment="1">
      <alignment horizontal="left" vertical="center"/>
    </xf>
    <xf numFmtId="0" fontId="7" fillId="0" borderId="91" xfId="0" applyFont="1" applyBorder="1" applyAlignment="1">
      <alignment horizontal="center" vertical="center"/>
    </xf>
    <xf numFmtId="0" fontId="7" fillId="0" borderId="91" xfId="0" applyNumberFormat="1" applyFont="1" applyFill="1" applyBorder="1" applyAlignment="1" applyProtection="1">
      <alignment horizontal="center" vertical="center"/>
    </xf>
    <xf numFmtId="41" fontId="7" fillId="0" borderId="91" xfId="0" applyNumberFormat="1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164" fontId="70" fillId="0" borderId="24" xfId="19" applyNumberFormat="1" applyFill="1" applyBorder="1" applyAlignment="1">
      <alignment horizontal="center" vertical="center"/>
    </xf>
    <xf numFmtId="0" fontId="78" fillId="0" borderId="24" xfId="7" applyFont="1" applyFill="1" applyBorder="1" applyAlignment="1" applyProtection="1">
      <alignment horizontal="center" vertical="center"/>
    </xf>
    <xf numFmtId="0" fontId="78" fillId="0" borderId="0" xfId="7" applyFont="1" applyFill="1" applyBorder="1" applyAlignment="1" applyProtection="1">
      <alignment horizontal="center" vertical="center"/>
    </xf>
    <xf numFmtId="0" fontId="78" fillId="0" borderId="84" xfId="7" applyFont="1" applyFill="1" applyBorder="1" applyAlignment="1" applyProtection="1">
      <alignment horizontal="center" vertical="center"/>
    </xf>
    <xf numFmtId="0" fontId="78" fillId="0" borderId="84" xfId="7" applyFont="1" applyFill="1" applyBorder="1" applyAlignment="1" applyProtection="1">
      <alignment horizontal="center" vertical="center" wrapText="1"/>
    </xf>
    <xf numFmtId="41" fontId="78" fillId="0" borderId="24" xfId="7" applyNumberFormat="1" applyFont="1" applyFill="1" applyBorder="1" applyAlignment="1">
      <alignment horizontal="center" vertical="center" wrapText="1"/>
    </xf>
    <xf numFmtId="0" fontId="78" fillId="0" borderId="24" xfId="7" applyFont="1" applyFill="1" applyBorder="1" applyAlignment="1" applyProtection="1">
      <alignment horizontal="center" vertical="center" wrapText="1"/>
    </xf>
    <xf numFmtId="0" fontId="78" fillId="0" borderId="65" xfId="7" applyFont="1" applyAlignment="1">
      <alignment horizontal="center" vertical="center"/>
    </xf>
    <xf numFmtId="0" fontId="7" fillId="6" borderId="24" xfId="0" applyFont="1" applyFill="1" applyBorder="1" applyAlignment="1" applyProtection="1">
      <alignment horizontal="left" vertical="center" wrapText="1"/>
    </xf>
    <xf numFmtId="0" fontId="7" fillId="6" borderId="24" xfId="0" applyFont="1" applyFill="1" applyBorder="1" applyAlignment="1">
      <alignment horizontal="left" vertical="center"/>
    </xf>
    <xf numFmtId="0" fontId="7" fillId="6" borderId="24" xfId="0" applyFont="1" applyFill="1" applyBorder="1" applyAlignment="1">
      <alignment horizontal="center" vertical="center"/>
    </xf>
    <xf numFmtId="41" fontId="7" fillId="6" borderId="27" xfId="0" applyNumberFormat="1" applyFont="1" applyFill="1" applyBorder="1" applyAlignment="1">
      <alignment horizontal="center" vertical="center"/>
    </xf>
    <xf numFmtId="41" fontId="7" fillId="6" borderId="36" xfId="0" applyNumberFormat="1" applyFont="1" applyFill="1" applyBorder="1" applyAlignment="1">
      <alignment horizontal="center" vertical="center"/>
    </xf>
    <xf numFmtId="0" fontId="79" fillId="0" borderId="36" xfId="0" applyFont="1" applyFill="1" applyBorder="1" applyAlignment="1" applyProtection="1">
      <alignment horizontal="left" vertical="center"/>
    </xf>
    <xf numFmtId="0" fontId="7" fillId="6" borderId="79" xfId="0" applyFont="1" applyFill="1" applyBorder="1" applyAlignment="1">
      <alignment horizontal="left" vertical="center"/>
    </xf>
    <xf numFmtId="0" fontId="7" fillId="6" borderId="23" xfId="0" applyFont="1" applyFill="1" applyBorder="1" applyAlignment="1" applyProtection="1">
      <alignment horizontal="left" vertical="center"/>
    </xf>
    <xf numFmtId="0" fontId="7" fillId="6" borderId="23" xfId="0" applyFont="1" applyFill="1" applyBorder="1" applyAlignment="1" applyProtection="1">
      <alignment horizontal="center" vertical="center"/>
    </xf>
    <xf numFmtId="0" fontId="7" fillId="6" borderId="23" xfId="0" applyFont="1" applyFill="1" applyBorder="1" applyAlignment="1">
      <alignment horizontal="center" vertical="center"/>
    </xf>
    <xf numFmtId="0" fontId="10" fillId="0" borderId="24" xfId="0" applyFont="1" applyFill="1" applyBorder="1" applyAlignment="1" applyProtection="1">
      <alignment horizontal="left" vertical="center"/>
    </xf>
    <xf numFmtId="0" fontId="10" fillId="0" borderId="87" xfId="1" applyNumberFormat="1" applyFont="1" applyFill="1" applyBorder="1" applyAlignment="1">
      <alignment horizontal="left" vertical="center"/>
    </xf>
    <xf numFmtId="0" fontId="10" fillId="0" borderId="89" xfId="0" applyFont="1" applyFill="1" applyBorder="1" applyAlignment="1" applyProtection="1">
      <alignment horizontal="left" vertical="center"/>
    </xf>
    <xf numFmtId="0" fontId="10" fillId="0" borderId="89" xfId="0" applyFont="1" applyFill="1" applyBorder="1" applyAlignment="1" applyProtection="1">
      <alignment horizontal="center" vertical="center"/>
    </xf>
    <xf numFmtId="0" fontId="10" fillId="0" borderId="89" xfId="0" applyNumberFormat="1" applyFont="1" applyFill="1" applyBorder="1" applyAlignment="1" applyProtection="1">
      <alignment horizontal="center" vertical="center"/>
    </xf>
    <xf numFmtId="41" fontId="10" fillId="0" borderId="24" xfId="0" applyNumberFormat="1" applyFont="1" applyFill="1" applyBorder="1" applyAlignment="1">
      <alignment horizontal="center" vertical="center"/>
    </xf>
    <xf numFmtId="0" fontId="80" fillId="0" borderId="0" xfId="0" applyFont="1" applyBorder="1" applyAlignment="1">
      <alignment horizontal="center" vertical="center"/>
    </xf>
    <xf numFmtId="0" fontId="10" fillId="0" borderId="85" xfId="0" applyFont="1" applyFill="1" applyBorder="1" applyAlignment="1" applyProtection="1">
      <alignment horizontal="left" vertical="center"/>
    </xf>
    <xf numFmtId="0" fontId="10" fillId="0" borderId="85" xfId="0" applyFont="1" applyFill="1" applyBorder="1" applyAlignment="1" applyProtection="1">
      <alignment horizontal="center" vertical="center"/>
    </xf>
    <xf numFmtId="0" fontId="10" fillId="0" borderId="85" xfId="0" applyNumberFormat="1" applyFont="1" applyFill="1" applyBorder="1" applyAlignment="1" applyProtection="1">
      <alignment horizontal="center" vertical="center"/>
    </xf>
    <xf numFmtId="0" fontId="10" fillId="0" borderId="79" xfId="0" applyFont="1" applyFill="1" applyBorder="1" applyAlignment="1">
      <alignment horizontal="left" vertical="center"/>
    </xf>
    <xf numFmtId="0" fontId="10" fillId="0" borderId="39" xfId="0" applyFont="1" applyFill="1" applyBorder="1" applyAlignment="1" applyProtection="1">
      <alignment horizontal="left" vertical="center"/>
    </xf>
    <xf numFmtId="0" fontId="10" fillId="0" borderId="23" xfId="0" applyFont="1" applyBorder="1" applyAlignment="1">
      <alignment horizontal="center" vertical="center"/>
    </xf>
    <xf numFmtId="0" fontId="7" fillId="6" borderId="7" xfId="1" applyNumberFormat="1" applyFont="1" applyFill="1" applyBorder="1" applyAlignment="1">
      <alignment horizontal="left" vertical="center"/>
    </xf>
    <xf numFmtId="0" fontId="7" fillId="6" borderId="38" xfId="1" applyNumberFormat="1" applyFont="1" applyFill="1" applyBorder="1" applyAlignment="1">
      <alignment horizontal="left" vertical="center"/>
    </xf>
    <xf numFmtId="0" fontId="10" fillId="0" borderId="36" xfId="1" applyNumberFormat="1" applyFont="1" applyFill="1" applyBorder="1" applyAlignment="1">
      <alignment horizontal="left" vertical="center"/>
    </xf>
    <xf numFmtId="0" fontId="10" fillId="0" borderId="88" xfId="0" applyFont="1" applyFill="1" applyBorder="1" applyAlignment="1" applyProtection="1">
      <alignment horizontal="left" vertical="center"/>
    </xf>
    <xf numFmtId="0" fontId="7" fillId="6" borderId="36" xfId="0" applyFont="1" applyFill="1" applyBorder="1" applyAlignment="1">
      <alignment horizontal="left" vertical="center"/>
    </xf>
    <xf numFmtId="0" fontId="7" fillId="6" borderId="36" xfId="0" applyFont="1" applyFill="1" applyBorder="1" applyAlignment="1">
      <alignment horizontal="center" vertical="center"/>
    </xf>
    <xf numFmtId="41" fontId="7" fillId="0" borderId="90" xfId="0" applyNumberFormat="1" applyFont="1" applyFill="1" applyBorder="1" applyAlignment="1">
      <alignment horizontal="center" vertical="center"/>
    </xf>
    <xf numFmtId="41" fontId="10" fillId="0" borderId="85" xfId="0" applyNumberFormat="1" applyFont="1" applyFill="1" applyBorder="1" applyAlignment="1">
      <alignment horizontal="center" vertical="center"/>
    </xf>
    <xf numFmtId="0" fontId="10" fillId="0" borderId="23" xfId="0" applyFont="1" applyFill="1" applyBorder="1" applyAlignment="1" applyProtection="1">
      <alignment horizontal="left" vertical="center"/>
    </xf>
    <xf numFmtId="0" fontId="10" fillId="0" borderId="23" xfId="0" applyFont="1" applyFill="1" applyBorder="1" applyAlignment="1">
      <alignment horizontal="left" vertical="center"/>
    </xf>
    <xf numFmtId="0" fontId="10" fillId="0" borderId="46" xfId="0" applyFont="1" applyFill="1" applyBorder="1" applyAlignment="1" applyProtection="1">
      <alignment horizontal="left" vertical="center" wrapText="1"/>
    </xf>
    <xf numFmtId="0" fontId="10" fillId="0" borderId="83" xfId="0" applyFont="1" applyFill="1" applyBorder="1" applyAlignment="1">
      <alignment horizontal="center" vertical="center"/>
    </xf>
    <xf numFmtId="0" fontId="10" fillId="0" borderId="83" xfId="0" applyNumberFormat="1" applyFont="1" applyFill="1" applyBorder="1" applyAlignment="1" applyProtection="1">
      <alignment horizontal="center" vertical="center"/>
    </xf>
    <xf numFmtId="0" fontId="10" fillId="0" borderId="85" xfId="1" applyNumberFormat="1" applyFont="1" applyBorder="1" applyAlignment="1">
      <alignment horizontal="left" vertical="center"/>
    </xf>
    <xf numFmtId="0" fontId="10" fillId="0" borderId="8" xfId="0" applyFont="1" applyFill="1" applyBorder="1" applyAlignment="1" applyProtection="1">
      <alignment horizontal="left" vertical="center" wrapText="1"/>
    </xf>
    <xf numFmtId="0" fontId="7" fillId="6" borderId="24" xfId="1" applyNumberFormat="1" applyFont="1" applyFill="1" applyBorder="1" applyAlignment="1">
      <alignment horizontal="left" vertical="center"/>
    </xf>
    <xf numFmtId="0" fontId="10" fillId="0" borderId="24" xfId="0" applyFont="1" applyFill="1" applyBorder="1" applyAlignment="1" applyProtection="1">
      <alignment horizontal="left" vertical="center" wrapText="1"/>
    </xf>
    <xf numFmtId="41" fontId="70" fillId="0" borderId="24" xfId="19" applyNumberFormat="1" applyFill="1" applyBorder="1" applyAlignment="1">
      <alignment horizontal="center" vertical="center"/>
    </xf>
    <xf numFmtId="0" fontId="10" fillId="0" borderId="39" xfId="0" applyFont="1" applyFill="1" applyBorder="1" applyAlignment="1" applyProtection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0" fillId="0" borderId="8" xfId="19" applyFill="1" applyBorder="1" applyAlignment="1" applyProtection="1">
      <alignment horizontal="center" vertical="center"/>
    </xf>
    <xf numFmtId="0" fontId="70" fillId="0" borderId="79" xfId="19" applyNumberFormat="1" applyFill="1" applyBorder="1" applyAlignment="1" applyProtection="1">
      <alignment horizontal="center" vertical="center"/>
    </xf>
    <xf numFmtId="0" fontId="10" fillId="0" borderId="24" xfId="1" applyNumberFormat="1" applyFont="1" applyBorder="1" applyAlignment="1">
      <alignment horizontal="left" vertical="center"/>
    </xf>
    <xf numFmtId="0" fontId="10" fillId="0" borderId="6" xfId="0" applyFont="1" applyFill="1" applyBorder="1" applyAlignment="1" applyProtection="1">
      <alignment horizontal="center" vertical="center"/>
    </xf>
    <xf numFmtId="0" fontId="10" fillId="0" borderId="23" xfId="0" applyNumberFormat="1" applyFont="1" applyFill="1" applyBorder="1" applyAlignment="1" applyProtection="1">
      <alignment horizontal="center" vertical="center"/>
    </xf>
    <xf numFmtId="41" fontId="10" fillId="0" borderId="81" xfId="0" applyNumberFormat="1" applyFont="1" applyFill="1" applyBorder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10" fillId="0" borderId="23" xfId="1" applyNumberFormat="1" applyFont="1" applyBorder="1" applyAlignment="1">
      <alignment horizontal="left" vertical="center"/>
    </xf>
    <xf numFmtId="0" fontId="10" fillId="0" borderId="6" xfId="0" applyFont="1" applyFill="1" applyBorder="1" applyAlignment="1" applyProtection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7" fillId="0" borderId="85" xfId="0" applyFont="1" applyFill="1" applyBorder="1" applyAlignment="1">
      <alignment horizontal="left" vertical="center"/>
    </xf>
    <xf numFmtId="0" fontId="7" fillId="0" borderId="91" xfId="0" applyFont="1" applyFill="1" applyBorder="1" applyAlignment="1">
      <alignment horizontal="left" vertical="center"/>
    </xf>
    <xf numFmtId="0" fontId="7" fillId="0" borderId="91" xfId="0" applyFont="1" applyFill="1" applyBorder="1" applyAlignment="1" applyProtection="1">
      <alignment horizontal="center" vertical="center"/>
    </xf>
    <xf numFmtId="41" fontId="10" fillId="0" borderId="12" xfId="0" applyNumberFormat="1" applyFont="1" applyFill="1" applyBorder="1" applyAlignment="1">
      <alignment horizontal="center" vertical="center"/>
    </xf>
    <xf numFmtId="41" fontId="10" fillId="0" borderId="74" xfId="0" applyNumberFormat="1" applyFont="1" applyFill="1" applyBorder="1" applyAlignment="1">
      <alignment horizontal="center" vertical="center"/>
    </xf>
    <xf numFmtId="0" fontId="7" fillId="40" borderId="58" xfId="0" applyFont="1" applyFill="1" applyBorder="1" applyAlignment="1" applyProtection="1">
      <alignment horizontal="left" vertical="center"/>
    </xf>
    <xf numFmtId="0" fontId="7" fillId="40" borderId="45" xfId="0" applyFont="1" applyFill="1" applyBorder="1" applyAlignment="1">
      <alignment horizontal="left" vertical="center"/>
    </xf>
    <xf numFmtId="0" fontId="7" fillId="40" borderId="45" xfId="0" applyFont="1" applyFill="1" applyBorder="1" applyAlignment="1" applyProtection="1">
      <alignment horizontal="left" vertical="center"/>
    </xf>
    <xf numFmtId="0" fontId="7" fillId="40" borderId="45" xfId="0" applyFont="1" applyFill="1" applyBorder="1" applyAlignment="1" applyProtection="1">
      <alignment horizontal="center" vertical="center"/>
    </xf>
    <xf numFmtId="41" fontId="7" fillId="40" borderId="45" xfId="0" applyNumberFormat="1" applyFont="1" applyFill="1" applyBorder="1" applyAlignment="1">
      <alignment horizontal="center" vertical="center"/>
    </xf>
    <xf numFmtId="0" fontId="7" fillId="40" borderId="60" xfId="0" applyFont="1" applyFill="1" applyBorder="1" applyAlignment="1" applyProtection="1">
      <alignment horizontal="left" vertical="center"/>
    </xf>
    <xf numFmtId="0" fontId="7" fillId="40" borderId="24" xfId="0" applyFont="1" applyFill="1" applyBorder="1" applyAlignment="1">
      <alignment horizontal="left" vertical="center"/>
    </xf>
    <xf numFmtId="41" fontId="7" fillId="40" borderId="85" xfId="0" applyNumberFormat="1" applyFont="1" applyFill="1" applyBorder="1" applyAlignment="1">
      <alignment horizontal="center" vertical="center"/>
    </xf>
    <xf numFmtId="0" fontId="7" fillId="40" borderId="72" xfId="0" applyFont="1" applyFill="1" applyBorder="1" applyAlignment="1" applyProtection="1">
      <alignment horizontal="left" vertical="center"/>
    </xf>
    <xf numFmtId="0" fontId="7" fillId="40" borderId="91" xfId="0" applyFont="1" applyFill="1" applyBorder="1" applyAlignment="1">
      <alignment horizontal="left" vertical="center"/>
    </xf>
    <xf numFmtId="164" fontId="9" fillId="0" borderId="0" xfId="0" applyNumberFormat="1" applyFont="1" applyAlignment="1">
      <alignment horizontal="center" vertical="center"/>
    </xf>
    <xf numFmtId="41" fontId="8" fillId="0" borderId="24" xfId="3" applyNumberFormat="1" applyFont="1" applyFill="1" applyBorder="1" applyAlignment="1">
      <alignment horizontal="center" vertical="center"/>
    </xf>
    <xf numFmtId="0" fontId="10" fillId="0" borderId="8" xfId="0" applyFont="1" applyFill="1" applyBorder="1" applyAlignment="1" applyProtection="1">
      <alignment horizontal="center" vertical="center"/>
    </xf>
    <xf numFmtId="0" fontId="10" fillId="0" borderId="79" xfId="0" applyFont="1" applyFill="1" applyBorder="1" applyAlignment="1" applyProtection="1">
      <alignment horizontal="center" vertical="center"/>
    </xf>
    <xf numFmtId="0" fontId="7" fillId="0" borderId="20" xfId="18" applyFont="1" applyFill="1" applyBorder="1" applyAlignment="1" applyProtection="1">
      <alignment horizontal="left" vertical="center"/>
    </xf>
    <xf numFmtId="0" fontId="7" fillId="0" borderId="85" xfId="18" applyFont="1" applyFill="1" applyBorder="1" applyAlignment="1" applyProtection="1">
      <alignment horizontal="left" vertical="center"/>
    </xf>
    <xf numFmtId="0" fontId="78" fillId="0" borderId="0" xfId="7" applyFont="1" applyBorder="1" applyAlignment="1">
      <alignment horizontal="center" vertical="center"/>
    </xf>
    <xf numFmtId="0" fontId="7" fillId="0" borderId="90" xfId="0" applyFont="1" applyFill="1" applyBorder="1" applyAlignment="1" applyProtection="1">
      <alignment horizontal="left" vertical="center"/>
    </xf>
    <xf numFmtId="164" fontId="8" fillId="0" borderId="24" xfId="3" applyNumberFormat="1" applyFont="1" applyFill="1" applyBorder="1" applyAlignment="1">
      <alignment horizontal="center" vertical="center"/>
    </xf>
    <xf numFmtId="38" fontId="10" fillId="0" borderId="39" xfId="0" applyNumberFormat="1" applyFont="1" applyFill="1" applyBorder="1" applyAlignment="1" applyProtection="1">
      <alignment horizontal="center" vertical="center"/>
    </xf>
    <xf numFmtId="38" fontId="8" fillId="0" borderId="8" xfId="0" applyNumberFormat="1" applyFont="1" applyBorder="1" applyAlignment="1">
      <alignment horizontal="center" vertical="center"/>
    </xf>
    <xf numFmtId="38" fontId="10" fillId="0" borderId="8" xfId="0" applyNumberFormat="1" applyFont="1" applyFill="1" applyBorder="1" applyAlignment="1" applyProtection="1">
      <alignment horizontal="center" vertical="center"/>
    </xf>
    <xf numFmtId="38" fontId="10" fillId="0" borderId="79" xfId="0" applyNumberFormat="1" applyFont="1" applyFill="1" applyBorder="1" applyAlignment="1" applyProtection="1">
      <alignment horizontal="center" vertical="center"/>
    </xf>
    <xf numFmtId="41" fontId="7" fillId="0" borderId="39" xfId="0" applyNumberFormat="1" applyFont="1" applyFill="1" applyBorder="1" applyAlignment="1">
      <alignment horizontal="center" vertical="center"/>
    </xf>
    <xf numFmtId="43" fontId="9" fillId="0" borderId="0" xfId="3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6" borderId="85" xfId="1" applyNumberFormat="1" applyFont="1" applyFill="1" applyBorder="1" applyAlignment="1">
      <alignment horizontal="left" vertical="center"/>
    </xf>
    <xf numFmtId="0" fontId="82" fillId="0" borderId="89" xfId="0" applyFont="1" applyFill="1" applyBorder="1" applyAlignment="1" applyProtection="1">
      <alignment horizontal="left" vertical="center"/>
    </xf>
    <xf numFmtId="0" fontId="82" fillId="0" borderId="85" xfId="0" applyFont="1" applyFill="1" applyBorder="1" applyAlignment="1" applyProtection="1">
      <alignment horizontal="left" vertical="center"/>
    </xf>
    <xf numFmtId="0" fontId="82" fillId="6" borderId="20" xfId="0" applyFont="1" applyFill="1" applyBorder="1" applyAlignment="1" applyProtection="1">
      <alignment horizontal="left" vertical="center"/>
    </xf>
    <xf numFmtId="0" fontId="82" fillId="0" borderId="24" xfId="0" applyFont="1" applyBorder="1" applyAlignment="1">
      <alignment horizontal="left" vertical="center"/>
    </xf>
    <xf numFmtId="0" fontId="82" fillId="6" borderId="85" xfId="0" applyFont="1" applyFill="1" applyBorder="1" applyAlignment="1" applyProtection="1">
      <alignment horizontal="left" vertical="center"/>
    </xf>
    <xf numFmtId="0" fontId="82" fillId="0" borderId="24" xfId="0" applyFont="1" applyFill="1" applyBorder="1" applyAlignment="1" applyProtection="1">
      <alignment horizontal="left" vertical="center"/>
    </xf>
    <xf numFmtId="0" fontId="7" fillId="40" borderId="1" xfId="0" applyFont="1" applyFill="1" applyBorder="1" applyAlignment="1" applyProtection="1">
      <alignment horizontal="left" vertical="center"/>
    </xf>
    <xf numFmtId="0" fontId="7" fillId="40" borderId="14" xfId="0" applyFont="1" applyFill="1" applyBorder="1" applyAlignment="1">
      <alignment horizontal="left" vertical="center"/>
    </xf>
    <xf numFmtId="0" fontId="7" fillId="40" borderId="20" xfId="0" applyFont="1" applyFill="1" applyBorder="1" applyAlignment="1">
      <alignment horizontal="left" vertical="center"/>
    </xf>
    <xf numFmtId="0" fontId="7" fillId="40" borderId="20" xfId="0" applyFont="1" applyFill="1" applyBorder="1" applyAlignment="1">
      <alignment horizontal="center" vertical="center"/>
    </xf>
    <xf numFmtId="0" fontId="7" fillId="40" borderId="14" xfId="0" applyFont="1" applyFill="1" applyBorder="1" applyAlignment="1" applyProtection="1">
      <alignment horizontal="center" vertical="center"/>
    </xf>
    <xf numFmtId="41" fontId="7" fillId="40" borderId="81" xfId="0" applyNumberFormat="1" applyFont="1" applyFill="1" applyBorder="1" applyAlignment="1">
      <alignment horizontal="center" vertical="center"/>
    </xf>
    <xf numFmtId="0" fontId="7" fillId="40" borderId="14" xfId="0" applyFont="1" applyFill="1" applyBorder="1" applyAlignment="1" applyProtection="1">
      <alignment horizontal="left" vertical="center"/>
    </xf>
    <xf numFmtId="0" fontId="7" fillId="40" borderId="84" xfId="0" applyFont="1" applyFill="1" applyBorder="1" applyAlignment="1" applyProtection="1">
      <alignment horizontal="left" vertical="center"/>
    </xf>
    <xf numFmtId="0" fontId="7" fillId="40" borderId="84" xfId="0" applyFont="1" applyFill="1" applyBorder="1" applyAlignment="1">
      <alignment horizontal="left" vertical="center"/>
    </xf>
    <xf numFmtId="41" fontId="7" fillId="40" borderId="48" xfId="0" applyNumberFormat="1" applyFont="1" applyFill="1" applyBorder="1" applyAlignment="1">
      <alignment horizontal="center" vertical="center"/>
    </xf>
    <xf numFmtId="0" fontId="7" fillId="40" borderId="7" xfId="0" applyFont="1" applyFill="1" applyBorder="1" applyAlignment="1" applyProtection="1">
      <alignment horizontal="left" vertical="center"/>
    </xf>
    <xf numFmtId="0" fontId="7" fillId="40" borderId="35" xfId="0" applyFont="1" applyFill="1" applyBorder="1" applyAlignment="1">
      <alignment horizontal="left" vertical="center"/>
    </xf>
    <xf numFmtId="0" fontId="7" fillId="40" borderId="35" xfId="0" applyFont="1" applyFill="1" applyBorder="1" applyAlignment="1" applyProtection="1">
      <alignment horizontal="left" vertical="center"/>
    </xf>
    <xf numFmtId="0" fontId="7" fillId="40" borderId="35" xfId="0" applyFont="1" applyFill="1" applyBorder="1" applyAlignment="1">
      <alignment horizontal="center" vertical="center"/>
    </xf>
    <xf numFmtId="0" fontId="7" fillId="40" borderId="84" xfId="0" applyFont="1" applyFill="1" applyBorder="1" applyAlignment="1">
      <alignment horizontal="center" vertical="center"/>
    </xf>
    <xf numFmtId="0" fontId="82" fillId="0" borderId="32" xfId="0" applyFont="1" applyFill="1" applyBorder="1" applyAlignment="1" applyProtection="1">
      <alignment horizontal="left" vertical="center"/>
    </xf>
    <xf numFmtId="0" fontId="83" fillId="0" borderId="24" xfId="0" applyFont="1" applyFill="1" applyBorder="1" applyAlignment="1" applyProtection="1">
      <alignment horizontal="left" vertical="center"/>
    </xf>
    <xf numFmtId="0" fontId="82" fillId="6" borderId="24" xfId="0" applyFont="1" applyFill="1" applyBorder="1" applyAlignment="1" applyProtection="1">
      <alignment horizontal="left" vertical="center"/>
    </xf>
    <xf numFmtId="0" fontId="82" fillId="0" borderId="20" xfId="0" applyFont="1" applyFill="1" applyBorder="1" applyAlignment="1" applyProtection="1">
      <alignment horizontal="left" vertical="center"/>
    </xf>
    <xf numFmtId="0" fontId="78" fillId="0" borderId="36" xfId="7" applyFont="1" applyFill="1" applyBorder="1" applyAlignment="1" applyProtection="1">
      <alignment horizontal="center" vertical="center"/>
    </xf>
    <xf numFmtId="0" fontId="78" fillId="0" borderId="36" xfId="7" applyFont="1" applyFill="1" applyBorder="1" applyAlignment="1" applyProtection="1">
      <alignment horizontal="center" vertical="center" wrapText="1"/>
    </xf>
    <xf numFmtId="41" fontId="76" fillId="0" borderId="0" xfId="0" applyNumberFormat="1" applyFont="1" applyFill="1"/>
    <xf numFmtId="43" fontId="34" fillId="0" borderId="0" xfId="0" applyNumberFormat="1" applyFont="1" applyBorder="1" applyAlignment="1">
      <alignment horizontal="center" vertical="center"/>
    </xf>
    <xf numFmtId="43" fontId="7" fillId="0" borderId="0" xfId="0" applyNumberFormat="1" applyFont="1" applyBorder="1" applyAlignment="1">
      <alignment horizontal="center" vertical="center"/>
    </xf>
    <xf numFmtId="0" fontId="7" fillId="6" borderId="85" xfId="0" applyFont="1" applyFill="1" applyBorder="1" applyAlignment="1">
      <alignment horizontal="left" vertical="center"/>
    </xf>
    <xf numFmtId="43" fontId="80" fillId="0" borderId="0" xfId="0" applyNumberFormat="1" applyFont="1" applyBorder="1" applyAlignment="1">
      <alignment horizontal="center" vertical="center"/>
    </xf>
    <xf numFmtId="41" fontId="10" fillId="0" borderId="48" xfId="0" applyNumberFormat="1" applyFont="1" applyFill="1" applyBorder="1" applyAlignment="1">
      <alignment horizontal="center" vertical="center"/>
    </xf>
  </cellXfs>
  <cellStyles count="132">
    <cellStyle name="20% - Accent1" xfId="21" builtinId="30" customBuiltin="1"/>
    <cellStyle name="20% - Accent1 2" xfId="46"/>
    <cellStyle name="20% - Accent1 2 2" xfId="74"/>
    <cellStyle name="20% - Accent1 2 2 2" xfId="89"/>
    <cellStyle name="20% - Accent1 2 3" xfId="88"/>
    <cellStyle name="20% - Accent1 3" xfId="60"/>
    <cellStyle name="20% - Accent1 3 2" xfId="90"/>
    <cellStyle name="20% - Accent2" xfId="25" builtinId="34" customBuiltin="1"/>
    <cellStyle name="20% - Accent2 2" xfId="48"/>
    <cellStyle name="20% - Accent2 2 2" xfId="76"/>
    <cellStyle name="20% - Accent2 2 2 2" xfId="92"/>
    <cellStyle name="20% - Accent2 2 3" xfId="91"/>
    <cellStyle name="20% - Accent2 3" xfId="62"/>
    <cellStyle name="20% - Accent2 3 2" xfId="93"/>
    <cellStyle name="20% - Accent3" xfId="29" builtinId="38" customBuiltin="1"/>
    <cellStyle name="20% - Accent3 2" xfId="50"/>
    <cellStyle name="20% - Accent3 2 2" xfId="78"/>
    <cellStyle name="20% - Accent3 2 2 2" xfId="95"/>
    <cellStyle name="20% - Accent3 2 3" xfId="94"/>
    <cellStyle name="20% - Accent3 3" xfId="64"/>
    <cellStyle name="20% - Accent3 3 2" xfId="96"/>
    <cellStyle name="20% - Accent4" xfId="33" builtinId="42" customBuiltin="1"/>
    <cellStyle name="20% - Accent4 2" xfId="52"/>
    <cellStyle name="20% - Accent4 2 2" xfId="80"/>
    <cellStyle name="20% - Accent4 2 2 2" xfId="98"/>
    <cellStyle name="20% - Accent4 2 3" xfId="97"/>
    <cellStyle name="20% - Accent4 3" xfId="66"/>
    <cellStyle name="20% - Accent4 3 2" xfId="99"/>
    <cellStyle name="20% - Accent5" xfId="37" builtinId="46" customBuiltin="1"/>
    <cellStyle name="20% - Accent5 2" xfId="54"/>
    <cellStyle name="20% - Accent5 2 2" xfId="82"/>
    <cellStyle name="20% - Accent5 2 2 2" xfId="101"/>
    <cellStyle name="20% - Accent5 2 3" xfId="100"/>
    <cellStyle name="20% - Accent5 3" xfId="68"/>
    <cellStyle name="20% - Accent5 3 2" xfId="102"/>
    <cellStyle name="20% - Accent6" xfId="41" builtinId="50" customBuiltin="1"/>
    <cellStyle name="20% - Accent6 2" xfId="56"/>
    <cellStyle name="20% - Accent6 2 2" xfId="84"/>
    <cellStyle name="20% - Accent6 2 2 2" xfId="104"/>
    <cellStyle name="20% - Accent6 2 3" xfId="103"/>
    <cellStyle name="20% - Accent6 3" xfId="70"/>
    <cellStyle name="20% - Accent6 3 2" xfId="105"/>
    <cellStyle name="40% - Accent1" xfId="22" builtinId="31" customBuiltin="1"/>
    <cellStyle name="40% - Accent1 2" xfId="47"/>
    <cellStyle name="40% - Accent1 2 2" xfId="75"/>
    <cellStyle name="40% - Accent1 2 2 2" xfId="107"/>
    <cellStyle name="40% - Accent1 2 3" xfId="106"/>
    <cellStyle name="40% - Accent1 3" xfId="61"/>
    <cellStyle name="40% - Accent1 3 2" xfId="108"/>
    <cellStyle name="40% - Accent2" xfId="26" builtinId="35" customBuiltin="1"/>
    <cellStyle name="40% - Accent2 2" xfId="49"/>
    <cellStyle name="40% - Accent2 2 2" xfId="77"/>
    <cellStyle name="40% - Accent2 2 2 2" xfId="110"/>
    <cellStyle name="40% - Accent2 2 3" xfId="109"/>
    <cellStyle name="40% - Accent2 3" xfId="63"/>
    <cellStyle name="40% - Accent2 3 2" xfId="111"/>
    <cellStyle name="40% - Accent3" xfId="30" builtinId="39" customBuiltin="1"/>
    <cellStyle name="40% - Accent3 2" xfId="51"/>
    <cellStyle name="40% - Accent3 2 2" xfId="79"/>
    <cellStyle name="40% - Accent3 2 2 2" xfId="113"/>
    <cellStyle name="40% - Accent3 2 3" xfId="112"/>
    <cellStyle name="40% - Accent3 3" xfId="65"/>
    <cellStyle name="40% - Accent3 3 2" xfId="114"/>
    <cellStyle name="40% - Accent4" xfId="34" builtinId="43" customBuiltin="1"/>
    <cellStyle name="40% - Accent4 2" xfId="53"/>
    <cellStyle name="40% - Accent4 2 2" xfId="81"/>
    <cellStyle name="40% - Accent4 2 2 2" xfId="116"/>
    <cellStyle name="40% - Accent4 2 3" xfId="115"/>
    <cellStyle name="40% - Accent4 3" xfId="67"/>
    <cellStyle name="40% - Accent4 3 2" xfId="117"/>
    <cellStyle name="40% - Accent5" xfId="38" builtinId="47" customBuiltin="1"/>
    <cellStyle name="40% - Accent5 2" xfId="55"/>
    <cellStyle name="40% - Accent5 2 2" xfId="83"/>
    <cellStyle name="40% - Accent5 2 2 2" xfId="119"/>
    <cellStyle name="40% - Accent5 2 3" xfId="118"/>
    <cellStyle name="40% - Accent5 3" xfId="69"/>
    <cellStyle name="40% - Accent5 3 2" xfId="120"/>
    <cellStyle name="40% - Accent6" xfId="42" builtinId="51" customBuiltin="1"/>
    <cellStyle name="40% - Accent6 2" xfId="57"/>
    <cellStyle name="40% - Accent6 2 2" xfId="85"/>
    <cellStyle name="40% - Accent6 2 2 2" xfId="122"/>
    <cellStyle name="40% - Accent6 2 3" xfId="121"/>
    <cellStyle name="40% - Accent6 3" xfId="71"/>
    <cellStyle name="40% - Accent6 3 2" xfId="123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3" builtinId="3"/>
    <cellStyle name="Currency" xfId="1" builtinId="4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44"/>
    <cellStyle name="Normal 2 140" xfId="2"/>
    <cellStyle name="Normal 2 2" xfId="58"/>
    <cellStyle name="Normal 2 2 2" xfId="86"/>
    <cellStyle name="Normal 2 2 2 2" xfId="126"/>
    <cellStyle name="Normal 2 2 3" xfId="125"/>
    <cellStyle name="Normal 2 3" xfId="72"/>
    <cellStyle name="Normal 2 3 2" xfId="127"/>
    <cellStyle name="Normal 2 4" xfId="124"/>
    <cellStyle name="Note 2" xfId="45"/>
    <cellStyle name="Note 2 2" xfId="59"/>
    <cellStyle name="Note 2 2 2" xfId="87"/>
    <cellStyle name="Note 2 2 2 2" xfId="130"/>
    <cellStyle name="Note 2 2 3" xfId="129"/>
    <cellStyle name="Note 2 3" xfId="73"/>
    <cellStyle name="Note 2 3 2" xfId="131"/>
    <cellStyle name="Note 2 4" xfId="128"/>
    <cellStyle name="Output" xfId="13" builtinId="21" customBuiltin="1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" cy="152400"/>
    <xdr:pic>
      <xdr:nvPicPr>
        <xdr:cNvPr id="2" name="filter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" cy="152400"/>
    <xdr:pic>
      <xdr:nvPicPr>
        <xdr:cNvPr id="2" name="filter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" cy="152400"/>
    <xdr:pic>
      <xdr:nvPicPr>
        <xdr:cNvPr id="2" name="filter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4375"/>
          <a:ext cx="152400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andy.dinh\Desktop\Actuals%20FY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gnos Feb 14, 2014"/>
    </sheetNames>
    <sheetDataSet>
      <sheetData sheetId="0">
        <row r="1">
          <cell r="A1" t="str">
            <v>Printed on: Feb 24, 2014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0.62686341999999995</v>
          </cell>
          <cell r="G1">
            <v>0</v>
          </cell>
          <cell r="H1">
            <v>0</v>
          </cell>
          <cell r="I1">
            <v>0</v>
          </cell>
        </row>
        <row r="2">
          <cell r="A2" t="str">
            <v xml:space="preserve"> West Valley Mission Community College District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</row>
        <row r="3">
          <cell r="A3" t="str">
            <v xml:space="preserve"> Financial Summary Trend  Report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 xml:space="preserve">Fiscal Year: 2014  and  Budget Responsibility: 300  and  Cost Center:  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 t="str">
            <v>2014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 t="str">
            <v>Adopted Budget</v>
          </cell>
          <cell r="F6" t="str">
            <v>Working Budget</v>
          </cell>
          <cell r="G6" t="str">
            <v>Actual</v>
          </cell>
          <cell r="H6" t="str">
            <v>Encumbrance</v>
          </cell>
          <cell r="I6" t="str">
            <v>Balance</v>
          </cell>
        </row>
        <row r="7">
          <cell r="A7" t="str">
            <v>100_300130_6600_55180_819</v>
          </cell>
          <cell r="B7" t="str">
            <v>Chanc.-Bd of Trustees</v>
          </cell>
          <cell r="C7" t="str">
            <v>Election Expenses</v>
          </cell>
          <cell r="D7" t="str">
            <v>Chancellor</v>
          </cell>
          <cell r="E7">
            <v>60000</v>
          </cell>
          <cell r="F7">
            <v>173036</v>
          </cell>
          <cell r="G7">
            <v>0</v>
          </cell>
          <cell r="H7">
            <v>0</v>
          </cell>
          <cell r="I7">
            <v>173036</v>
          </cell>
        </row>
        <row r="8">
          <cell r="A8" t="str">
            <v>100_301120_6720_55170_819</v>
          </cell>
          <cell r="B8" t="str">
            <v>Advance. Admin.</v>
          </cell>
          <cell r="C8" t="str">
            <v>Audit Expenses</v>
          </cell>
          <cell r="D8" t="str">
            <v>Dean of Advancement</v>
          </cell>
          <cell r="E8">
            <v>16000</v>
          </cell>
          <cell r="F8">
            <v>16000</v>
          </cell>
          <cell r="G8">
            <v>9800</v>
          </cell>
          <cell r="H8">
            <v>6200</v>
          </cell>
          <cell r="I8">
            <v>0</v>
          </cell>
        </row>
        <row r="9">
          <cell r="A9" t="str">
            <v>100_301120_6720_55595_819</v>
          </cell>
          <cell r="B9" t="str">
            <v>Advance. Admin.</v>
          </cell>
          <cell r="C9" t="str">
            <v>CC - E Commerce Charges</v>
          </cell>
          <cell r="D9" t="str">
            <v>Dean of Advancement</v>
          </cell>
          <cell r="E9">
            <v>864</v>
          </cell>
          <cell r="F9">
            <v>864</v>
          </cell>
          <cell r="G9">
            <v>0</v>
          </cell>
          <cell r="H9">
            <v>0</v>
          </cell>
          <cell r="I9">
            <v>864</v>
          </cell>
        </row>
        <row r="10">
          <cell r="A10" t="str">
            <v>100_304010_6570_55800_819</v>
          </cell>
          <cell r="B10" t="str">
            <v>DW Utilities - WV</v>
          </cell>
          <cell r="C10" t="str">
            <v>Utilities</v>
          </cell>
          <cell r="D10" t="str">
            <v>Vice Chancellor Adm Services</v>
          </cell>
          <cell r="E10">
            <v>786963</v>
          </cell>
          <cell r="F10">
            <v>786963</v>
          </cell>
          <cell r="G10">
            <v>432981.55</v>
          </cell>
          <cell r="H10">
            <v>0</v>
          </cell>
          <cell r="I10">
            <v>353981.45</v>
          </cell>
        </row>
        <row r="11">
          <cell r="A11" t="str">
            <v>100_304010_6570_55811_819</v>
          </cell>
          <cell r="B11" t="str">
            <v>DW Utilities - WV</v>
          </cell>
          <cell r="C11" t="str">
            <v>Natural Gas</v>
          </cell>
          <cell r="D11" t="str">
            <v>Vice Chancellor Adm Services</v>
          </cell>
          <cell r="E11">
            <v>151485</v>
          </cell>
          <cell r="F11">
            <v>151485</v>
          </cell>
          <cell r="G11">
            <v>99886.89</v>
          </cell>
          <cell r="H11">
            <v>0</v>
          </cell>
          <cell r="I11">
            <v>51598.11</v>
          </cell>
        </row>
        <row r="12">
          <cell r="A12" t="str">
            <v>100_304010_6570_55820_819</v>
          </cell>
          <cell r="B12" t="str">
            <v>DW Utilities - WV</v>
          </cell>
          <cell r="C12" t="str">
            <v>Trash</v>
          </cell>
          <cell r="D12" t="str">
            <v>Vice Chancellor Adm Services</v>
          </cell>
          <cell r="E12">
            <v>18000</v>
          </cell>
          <cell r="F12">
            <v>18000</v>
          </cell>
          <cell r="G12">
            <v>12764.92</v>
          </cell>
          <cell r="H12">
            <v>5235.08</v>
          </cell>
          <cell r="I12">
            <v>0</v>
          </cell>
        </row>
        <row r="13">
          <cell r="A13" t="str">
            <v>100_304010_6570_55840_819</v>
          </cell>
          <cell r="B13" t="str">
            <v>DW Utilities - WV</v>
          </cell>
          <cell r="C13" t="str">
            <v>Water</v>
          </cell>
          <cell r="D13" t="str">
            <v>Vice Chancellor Adm Services</v>
          </cell>
          <cell r="E13">
            <v>172895</v>
          </cell>
          <cell r="F13">
            <v>172895</v>
          </cell>
          <cell r="G13">
            <v>117792.75</v>
          </cell>
          <cell r="H13">
            <v>0</v>
          </cell>
          <cell r="I13">
            <v>55102.25</v>
          </cell>
        </row>
        <row r="14">
          <cell r="A14" t="str">
            <v>100_304010_6570_55850_819</v>
          </cell>
          <cell r="B14" t="str">
            <v>DW Utilities - WV</v>
          </cell>
          <cell r="C14" t="str">
            <v>Sewer</v>
          </cell>
          <cell r="D14" t="str">
            <v>Vice Chancellor Adm Services</v>
          </cell>
          <cell r="E14">
            <v>38236</v>
          </cell>
          <cell r="F14">
            <v>38236</v>
          </cell>
          <cell r="G14">
            <v>79035.539999999994</v>
          </cell>
          <cell r="H14">
            <v>0</v>
          </cell>
          <cell r="I14">
            <v>-40799.54</v>
          </cell>
        </row>
        <row r="15">
          <cell r="A15" t="str">
            <v>100_304020_6570_55800_819</v>
          </cell>
          <cell r="B15" t="str">
            <v>DW Utilities  - MC</v>
          </cell>
          <cell r="C15" t="str">
            <v>Utilities</v>
          </cell>
          <cell r="D15" t="str">
            <v>Vice Chancellor Adm Services</v>
          </cell>
          <cell r="E15">
            <v>607482</v>
          </cell>
          <cell r="F15">
            <v>607482</v>
          </cell>
          <cell r="G15">
            <v>371683.24</v>
          </cell>
          <cell r="H15">
            <v>0</v>
          </cell>
          <cell r="I15">
            <v>235798.76</v>
          </cell>
        </row>
        <row r="16">
          <cell r="A16" t="str">
            <v>100_304020_6570_55811_819</v>
          </cell>
          <cell r="B16" t="str">
            <v>DW Utilities  - MC</v>
          </cell>
          <cell r="C16" t="str">
            <v>Natural Gas</v>
          </cell>
          <cell r="D16" t="str">
            <v>Vice Chancellor Adm Services</v>
          </cell>
          <cell r="E16">
            <v>148560</v>
          </cell>
          <cell r="F16">
            <v>148560</v>
          </cell>
          <cell r="G16">
            <v>103427.72</v>
          </cell>
          <cell r="H16">
            <v>0</v>
          </cell>
          <cell r="I16">
            <v>45132.28</v>
          </cell>
        </row>
        <row r="17">
          <cell r="A17" t="str">
            <v>100_304020_6570_55820_819</v>
          </cell>
          <cell r="B17" t="str">
            <v>DW Utilities  - MC</v>
          </cell>
          <cell r="C17" t="str">
            <v>Trash</v>
          </cell>
          <cell r="D17" t="str">
            <v>Vice Chancellor Adm Services</v>
          </cell>
          <cell r="E17">
            <v>36516</v>
          </cell>
          <cell r="F17">
            <v>36516</v>
          </cell>
          <cell r="G17">
            <v>14095.14</v>
          </cell>
          <cell r="H17">
            <v>10904.86</v>
          </cell>
          <cell r="I17">
            <v>11516</v>
          </cell>
        </row>
        <row r="18">
          <cell r="A18" t="str">
            <v>100_304020_6570_55840_819</v>
          </cell>
          <cell r="B18" t="str">
            <v>DW Utilities  - MC</v>
          </cell>
          <cell r="C18" t="str">
            <v>Water</v>
          </cell>
          <cell r="D18" t="str">
            <v>Vice Chancellor Adm Services</v>
          </cell>
          <cell r="E18">
            <v>85236</v>
          </cell>
          <cell r="F18">
            <v>85236</v>
          </cell>
          <cell r="G18">
            <v>54683.54</v>
          </cell>
          <cell r="H18">
            <v>0</v>
          </cell>
          <cell r="I18">
            <v>30552.46</v>
          </cell>
        </row>
        <row r="19">
          <cell r="A19" t="str">
            <v>100_304020_6570_55850_819</v>
          </cell>
          <cell r="B19" t="str">
            <v>DW Utilities  - MC</v>
          </cell>
          <cell r="C19" t="str">
            <v>Sewer</v>
          </cell>
          <cell r="D19" t="str">
            <v>Vice Chancellor Adm Services</v>
          </cell>
          <cell r="E19">
            <v>29964</v>
          </cell>
          <cell r="F19">
            <v>29964</v>
          </cell>
          <cell r="G19">
            <v>14760</v>
          </cell>
          <cell r="H19">
            <v>0</v>
          </cell>
          <cell r="I19">
            <v>15204</v>
          </cell>
        </row>
        <row r="20">
          <cell r="A20" t="str">
            <v>100_304168_6740_53710_819</v>
          </cell>
          <cell r="B20" t="str">
            <v>Retirement Incentive</v>
          </cell>
          <cell r="C20" t="str">
            <v>SERP -Instructional</v>
          </cell>
          <cell r="D20" t="str">
            <v>Vice Chancellor Adm Services</v>
          </cell>
          <cell r="E20">
            <v>193709</v>
          </cell>
          <cell r="F20">
            <v>193709</v>
          </cell>
          <cell r="G20">
            <v>193708.68</v>
          </cell>
          <cell r="H20">
            <v>0</v>
          </cell>
          <cell r="I20">
            <v>0.32</v>
          </cell>
        </row>
        <row r="21">
          <cell r="A21" t="str">
            <v>100_304169_7310_57300_819</v>
          </cell>
          <cell r="B21" t="str">
            <v>Negotiations</v>
          </cell>
          <cell r="C21" t="str">
            <v>Transfers Out</v>
          </cell>
          <cell r="D21" t="str">
            <v>Vice Chancellor Adm Services</v>
          </cell>
          <cell r="E21">
            <v>398419</v>
          </cell>
          <cell r="F21">
            <v>398419</v>
          </cell>
          <cell r="G21">
            <v>398419</v>
          </cell>
          <cell r="H21">
            <v>0</v>
          </cell>
          <cell r="I21">
            <v>0</v>
          </cell>
        </row>
        <row r="22">
          <cell r="A22" t="str">
            <v>100_304170_4900_53510_819</v>
          </cell>
          <cell r="B22" t="str">
            <v xml:space="preserve">Fiscal Svcs. </v>
          </cell>
          <cell r="C22" t="str">
            <v>UI - Instr.</v>
          </cell>
          <cell r="D22" t="str">
            <v>Vice Chancellor Adm Services</v>
          </cell>
          <cell r="E22">
            <v>25954</v>
          </cell>
          <cell r="F22">
            <v>25954</v>
          </cell>
          <cell r="G22">
            <v>11176.95</v>
          </cell>
          <cell r="H22">
            <v>0</v>
          </cell>
          <cell r="I22">
            <v>14777.05</v>
          </cell>
        </row>
        <row r="23">
          <cell r="A23" t="str">
            <v>100_304170_6720_55160_819</v>
          </cell>
          <cell r="B23" t="str">
            <v xml:space="preserve">Fiscal Svcs. </v>
          </cell>
          <cell r="C23" t="str">
            <v>Contracted Services</v>
          </cell>
          <cell r="D23" t="str">
            <v>Vice Chancellor Adm Services</v>
          </cell>
          <cell r="E23">
            <v>209305</v>
          </cell>
          <cell r="F23">
            <v>207905</v>
          </cell>
          <cell r="G23">
            <v>181972.59</v>
          </cell>
          <cell r="H23">
            <v>21930.16</v>
          </cell>
          <cell r="I23">
            <v>4002.25</v>
          </cell>
        </row>
        <row r="24">
          <cell r="A24" t="str">
            <v>100_304170_6720_55170_819</v>
          </cell>
          <cell r="B24" t="str">
            <v xml:space="preserve">Fiscal Svcs. </v>
          </cell>
          <cell r="C24" t="str">
            <v>Audit Expenses</v>
          </cell>
          <cell r="D24" t="str">
            <v>Vice Chancellor Adm Services</v>
          </cell>
          <cell r="E24">
            <v>87700</v>
          </cell>
          <cell r="F24">
            <v>96300</v>
          </cell>
          <cell r="G24">
            <v>89100</v>
          </cell>
          <cell r="H24">
            <v>6600</v>
          </cell>
          <cell r="I24">
            <v>600</v>
          </cell>
        </row>
        <row r="25">
          <cell r="A25" t="str">
            <v>100_304170_6720_55185_819</v>
          </cell>
          <cell r="B25" t="str">
            <v xml:space="preserve">Fiscal Svcs. </v>
          </cell>
          <cell r="C25" t="str">
            <v>Collection Agency</v>
          </cell>
          <cell r="D25" t="str">
            <v>Vice Chancellor Adm Services</v>
          </cell>
          <cell r="E25">
            <v>4500</v>
          </cell>
          <cell r="F25">
            <v>4500</v>
          </cell>
          <cell r="G25">
            <v>3705.95</v>
          </cell>
          <cell r="H25">
            <v>2460.5700000000002</v>
          </cell>
          <cell r="I25">
            <v>-1666.52</v>
          </cell>
        </row>
        <row r="26">
          <cell r="A26" t="str">
            <v>100_304170_6720_55300_819</v>
          </cell>
          <cell r="B26" t="str">
            <v xml:space="preserve">Fiscal Svcs. </v>
          </cell>
          <cell r="C26" t="str">
            <v>Printing</v>
          </cell>
          <cell r="D26" t="str">
            <v>Vice Chancellor Adm Services</v>
          </cell>
          <cell r="E26">
            <v>15000</v>
          </cell>
          <cell r="F26">
            <v>15000</v>
          </cell>
          <cell r="G26">
            <v>10403.83</v>
          </cell>
          <cell r="H26">
            <v>0</v>
          </cell>
          <cell r="I26">
            <v>4596.17</v>
          </cell>
        </row>
        <row r="27">
          <cell r="A27" t="str">
            <v>100_304170_6720_55593_819</v>
          </cell>
          <cell r="B27" t="str">
            <v xml:space="preserve">Fiscal Svcs. </v>
          </cell>
          <cell r="C27" t="str">
            <v>Bank Charges</v>
          </cell>
          <cell r="D27" t="str">
            <v>Vice Chancellor Adm Services</v>
          </cell>
          <cell r="E27">
            <v>20000</v>
          </cell>
          <cell r="F27">
            <v>20000</v>
          </cell>
          <cell r="G27">
            <v>49946.95</v>
          </cell>
          <cell r="H27">
            <v>0</v>
          </cell>
          <cell r="I27">
            <v>-29946.95</v>
          </cell>
        </row>
        <row r="28">
          <cell r="A28" t="str">
            <v>100_304170_6720_55595_819</v>
          </cell>
          <cell r="B28" t="str">
            <v xml:space="preserve">Fiscal Svcs. </v>
          </cell>
          <cell r="C28" t="str">
            <v>CC - E Commerce Charges</v>
          </cell>
          <cell r="D28" t="str">
            <v>Vice Chancellor Adm Services</v>
          </cell>
          <cell r="E28">
            <v>165000</v>
          </cell>
          <cell r="F28">
            <v>165000</v>
          </cell>
          <cell r="G28">
            <v>40046.54</v>
          </cell>
          <cell r="H28">
            <v>0</v>
          </cell>
          <cell r="I28">
            <v>124953.46</v>
          </cell>
        </row>
        <row r="29">
          <cell r="A29" t="str">
            <v>100_304170_6790_53520_819</v>
          </cell>
          <cell r="B29" t="str">
            <v xml:space="preserve">Fiscal Svcs. </v>
          </cell>
          <cell r="C29" t="str">
            <v>UI - Non Instr.</v>
          </cell>
          <cell r="D29" t="str">
            <v>Vice Chancellor Adm Services</v>
          </cell>
          <cell r="E29">
            <v>25954</v>
          </cell>
          <cell r="F29">
            <v>25954</v>
          </cell>
          <cell r="G29">
            <v>11176.95</v>
          </cell>
          <cell r="H29">
            <v>0</v>
          </cell>
          <cell r="I29">
            <v>14777.05</v>
          </cell>
        </row>
        <row r="30">
          <cell r="A30" t="str">
            <v>100_304180_6600_55150_819</v>
          </cell>
          <cell r="B30" t="str">
            <v>Vice Chan.-Fiscal Admin.</v>
          </cell>
          <cell r="C30" t="str">
            <v>Legal</v>
          </cell>
          <cell r="D30" t="str">
            <v>Vice Chancellor Adm Services</v>
          </cell>
          <cell r="E30">
            <v>140000</v>
          </cell>
          <cell r="F30">
            <v>290000</v>
          </cell>
          <cell r="G30">
            <v>145260.07</v>
          </cell>
          <cell r="H30">
            <v>129739.93</v>
          </cell>
          <cell r="I30">
            <v>15000</v>
          </cell>
        </row>
        <row r="31">
          <cell r="A31" t="str">
            <v>100_304180_6600_55910_819</v>
          </cell>
          <cell r="B31" t="str">
            <v>Vice Chan.-Fiscal Admin.</v>
          </cell>
          <cell r="C31" t="str">
            <v>Dues, Memberships &amp; Fees</v>
          </cell>
          <cell r="D31" t="str">
            <v>Vice Chancellor Adm Services</v>
          </cell>
          <cell r="E31">
            <v>50000</v>
          </cell>
          <cell r="F31">
            <v>50000</v>
          </cell>
          <cell r="G31">
            <v>44425.68</v>
          </cell>
          <cell r="H31">
            <v>0</v>
          </cell>
          <cell r="I31">
            <v>5574.32</v>
          </cell>
        </row>
        <row r="32">
          <cell r="A32" t="str">
            <v>100_304180_6720_52350_819</v>
          </cell>
          <cell r="B32" t="str">
            <v>Vice Chan.-Fiscal Admin.</v>
          </cell>
          <cell r="C32" t="str">
            <v>Hrly Class Special Services</v>
          </cell>
          <cell r="D32" t="str">
            <v>Vice Chancellor Adm Services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100_304180_6770_52350_819</v>
          </cell>
          <cell r="B33" t="str">
            <v>Vice Chan.-Fiscal Admin.</v>
          </cell>
          <cell r="C33" t="str">
            <v>Hrly Class Special Services</v>
          </cell>
          <cell r="D33" t="str">
            <v>Vice Chancellor Adm Services</v>
          </cell>
          <cell r="E33">
            <v>40000</v>
          </cell>
          <cell r="F33">
            <v>37500</v>
          </cell>
          <cell r="G33">
            <v>11875</v>
          </cell>
          <cell r="H33">
            <v>0</v>
          </cell>
          <cell r="I33">
            <v>25625</v>
          </cell>
        </row>
        <row r="34">
          <cell r="A34" t="str">
            <v>100_304180_6770_53323_819</v>
          </cell>
          <cell r="B34" t="str">
            <v>Vice Chan.-Fiscal Admin.</v>
          </cell>
          <cell r="C34" t="str">
            <v>Medicare - Non-Instr.</v>
          </cell>
          <cell r="D34" t="str">
            <v>Vice Chancellor Adm Services</v>
          </cell>
          <cell r="E34">
            <v>0</v>
          </cell>
          <cell r="F34">
            <v>0</v>
          </cell>
          <cell r="G34">
            <v>172.21</v>
          </cell>
          <cell r="H34">
            <v>0</v>
          </cell>
          <cell r="I34">
            <v>-172.21</v>
          </cell>
        </row>
        <row r="35">
          <cell r="A35" t="str">
            <v>100_304180_6770_53520_819</v>
          </cell>
          <cell r="B35" t="str">
            <v>Vice Chan.-Fiscal Admin.</v>
          </cell>
          <cell r="C35" t="str">
            <v>UI - Non Instr.</v>
          </cell>
          <cell r="D35" t="str">
            <v>Vice Chancellor Adm Services</v>
          </cell>
          <cell r="E35">
            <v>0</v>
          </cell>
          <cell r="F35">
            <v>0</v>
          </cell>
          <cell r="G35">
            <v>5.96</v>
          </cell>
          <cell r="H35">
            <v>0</v>
          </cell>
          <cell r="I35">
            <v>-5.96</v>
          </cell>
        </row>
        <row r="36">
          <cell r="A36" t="str">
            <v>100_304180_6770_53620_819</v>
          </cell>
          <cell r="B36" t="str">
            <v>Vice Chan.-Fiscal Admin.</v>
          </cell>
          <cell r="C36" t="str">
            <v>Worker's Comp.-Non Instr.</v>
          </cell>
          <cell r="D36" t="str">
            <v>Vice Chancellor Adm Services</v>
          </cell>
          <cell r="E36">
            <v>0</v>
          </cell>
          <cell r="F36">
            <v>0</v>
          </cell>
          <cell r="G36">
            <v>163.06</v>
          </cell>
          <cell r="H36">
            <v>0</v>
          </cell>
          <cell r="I36">
            <v>-163.06</v>
          </cell>
        </row>
        <row r="37">
          <cell r="A37" t="str">
            <v>100_304180_6770_54210_819</v>
          </cell>
          <cell r="B37" t="str">
            <v>Vice Chan.-Fiscal Admin.</v>
          </cell>
          <cell r="C37" t="str">
            <v>Non-Instr. Supplies/Materia</v>
          </cell>
          <cell r="D37" t="str">
            <v>Vice Chancellor Adm Services</v>
          </cell>
          <cell r="E37">
            <v>0</v>
          </cell>
          <cell r="F37">
            <v>2500</v>
          </cell>
          <cell r="G37">
            <v>75</v>
          </cell>
          <cell r="H37">
            <v>1000</v>
          </cell>
          <cell r="I37">
            <v>1425</v>
          </cell>
        </row>
        <row r="38">
          <cell r="A38" t="str">
            <v>100_304190_6720_55160_819</v>
          </cell>
          <cell r="B38" t="str">
            <v>Distwide Allot.</v>
          </cell>
          <cell r="C38" t="str">
            <v>Contracted Services</v>
          </cell>
          <cell r="D38" t="str">
            <v>Vice Chancellor Adm Services</v>
          </cell>
          <cell r="E38">
            <v>15480</v>
          </cell>
          <cell r="F38">
            <v>15480</v>
          </cell>
          <cell r="G38">
            <v>0</v>
          </cell>
          <cell r="H38">
            <v>15480</v>
          </cell>
          <cell r="I38">
            <v>0</v>
          </cell>
        </row>
        <row r="39">
          <cell r="A39" t="str">
            <v>100_304190_7300_57300_819</v>
          </cell>
          <cell r="B39" t="str">
            <v>Distwide Allot.</v>
          </cell>
          <cell r="C39" t="str">
            <v>Transfers Out</v>
          </cell>
          <cell r="D39" t="str">
            <v>Vice Chancellor Adm Services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100_304190_7310_57300_819</v>
          </cell>
          <cell r="B40" t="str">
            <v>Distwide Allot.</v>
          </cell>
          <cell r="C40" t="str">
            <v>Transfers Out</v>
          </cell>
          <cell r="D40" t="str">
            <v>Vice Chancellor Adm Services</v>
          </cell>
          <cell r="E40">
            <v>7822000</v>
          </cell>
          <cell r="F40">
            <v>7822000</v>
          </cell>
          <cell r="G40">
            <v>7822000</v>
          </cell>
          <cell r="H40">
            <v>0</v>
          </cell>
          <cell r="I40">
            <v>0</v>
          </cell>
        </row>
        <row r="41">
          <cell r="A41" t="str">
            <v>100_304197_7210_57131_819</v>
          </cell>
          <cell r="B41" t="str">
            <v>Dist. Revenue</v>
          </cell>
          <cell r="C41" t="str">
            <v>Bond Admin Fee</v>
          </cell>
          <cell r="D41" t="str">
            <v>Vice Chancellor Adm Services</v>
          </cell>
          <cell r="E41">
            <v>0</v>
          </cell>
          <cell r="F41">
            <v>1400</v>
          </cell>
          <cell r="G41">
            <v>1400</v>
          </cell>
          <cell r="H41">
            <v>0</v>
          </cell>
          <cell r="I41">
            <v>0</v>
          </cell>
        </row>
        <row r="42">
          <cell r="A42" t="str">
            <v>100_305200_4900_51316_819</v>
          </cell>
          <cell r="B42" t="str">
            <v>HR- Admin.</v>
          </cell>
          <cell r="C42" t="str">
            <v>Banked Leave - Instructional</v>
          </cell>
          <cell r="D42" t="str">
            <v>Director of Human Resources</v>
          </cell>
          <cell r="E42">
            <v>176382</v>
          </cell>
          <cell r="F42">
            <v>-83064</v>
          </cell>
          <cell r="G42">
            <v>0</v>
          </cell>
          <cell r="H42">
            <v>0</v>
          </cell>
          <cell r="I42">
            <v>-83064</v>
          </cell>
        </row>
        <row r="43">
          <cell r="A43" t="str">
            <v>100_305200_4900_53110_819</v>
          </cell>
          <cell r="B43" t="str">
            <v>HR- Admin.</v>
          </cell>
          <cell r="C43" t="str">
            <v>STRS-Instr.</v>
          </cell>
          <cell r="D43" t="str">
            <v>Director of Human Resources</v>
          </cell>
          <cell r="E43">
            <v>7500</v>
          </cell>
          <cell r="F43">
            <v>7500</v>
          </cell>
          <cell r="G43">
            <v>0</v>
          </cell>
          <cell r="H43">
            <v>0</v>
          </cell>
          <cell r="I43">
            <v>7500</v>
          </cell>
        </row>
        <row r="44">
          <cell r="A44" t="str">
            <v>100_305200_4900_53410_819</v>
          </cell>
          <cell r="B44" t="str">
            <v>HR- Admin.</v>
          </cell>
          <cell r="C44" t="str">
            <v>Hlth. Ben.-Acad &amp; Instr. Ai</v>
          </cell>
          <cell r="D44" t="str">
            <v>Director of Human Resources</v>
          </cell>
          <cell r="E44">
            <v>60000</v>
          </cell>
          <cell r="F44">
            <v>60000</v>
          </cell>
          <cell r="G44">
            <v>29999.919999999998</v>
          </cell>
          <cell r="H44">
            <v>0</v>
          </cell>
          <cell r="I44">
            <v>30000.080000000002</v>
          </cell>
        </row>
        <row r="45">
          <cell r="A45" t="str">
            <v>100_305200_6700_53311_819</v>
          </cell>
          <cell r="B45" t="str">
            <v>HR- Admin.</v>
          </cell>
          <cell r="C45" t="str">
            <v>Vacation Payout</v>
          </cell>
          <cell r="D45" t="str">
            <v>Director of Human Resources</v>
          </cell>
          <cell r="E45">
            <v>200000</v>
          </cell>
          <cell r="F45">
            <v>200000</v>
          </cell>
          <cell r="G45">
            <v>101777.62</v>
          </cell>
          <cell r="H45">
            <v>0</v>
          </cell>
          <cell r="I45">
            <v>98222.38</v>
          </cell>
        </row>
        <row r="46">
          <cell r="A46" t="str">
            <v>100_305200_6730_53311_819</v>
          </cell>
          <cell r="B46" t="str">
            <v>HR- Admin.</v>
          </cell>
          <cell r="C46" t="str">
            <v>Vacation Payout</v>
          </cell>
          <cell r="D46" t="str">
            <v>Director of Human Resources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100_305200_6730_54210_819</v>
          </cell>
          <cell r="B47" t="str">
            <v>HR- Admin.</v>
          </cell>
          <cell r="C47" t="str">
            <v>Non-Instr. Supplies/Materia</v>
          </cell>
          <cell r="D47" t="str">
            <v>Director of Human Resources</v>
          </cell>
          <cell r="E47">
            <v>43900</v>
          </cell>
          <cell r="F47">
            <v>43900</v>
          </cell>
          <cell r="G47">
            <v>18437.47</v>
          </cell>
          <cell r="H47">
            <v>23408.04</v>
          </cell>
          <cell r="I47">
            <v>2054.4899999999998</v>
          </cell>
        </row>
        <row r="48">
          <cell r="A48" t="str">
            <v>100_305200_6730_55160_819</v>
          </cell>
          <cell r="B48" t="str">
            <v>HR- Admin.</v>
          </cell>
          <cell r="C48" t="str">
            <v>Contracted Services</v>
          </cell>
          <cell r="D48" t="str">
            <v>Director of Human Resources</v>
          </cell>
          <cell r="E48">
            <v>159201</v>
          </cell>
          <cell r="F48">
            <v>164424</v>
          </cell>
          <cell r="G48">
            <v>121282.01</v>
          </cell>
          <cell r="H48">
            <v>44102.29</v>
          </cell>
          <cell r="I48">
            <v>-960.3</v>
          </cell>
        </row>
        <row r="49">
          <cell r="A49" t="str">
            <v>100_305200_6730_55400_819</v>
          </cell>
          <cell r="B49" t="str">
            <v>HR- Admin.</v>
          </cell>
          <cell r="C49" t="str">
            <v>Advertising</v>
          </cell>
          <cell r="D49" t="str">
            <v>Director of Human Resources</v>
          </cell>
          <cell r="E49">
            <v>90000</v>
          </cell>
          <cell r="F49">
            <v>110000</v>
          </cell>
          <cell r="G49">
            <v>67482.210000000006</v>
          </cell>
          <cell r="H49">
            <v>23702</v>
          </cell>
          <cell r="I49">
            <v>18815.79</v>
          </cell>
        </row>
        <row r="50">
          <cell r="A50" t="str">
            <v>100_305200_6730_55900_819</v>
          </cell>
          <cell r="B50" t="str">
            <v>HR- Admin.</v>
          </cell>
          <cell r="C50" t="str">
            <v>Club Activities</v>
          </cell>
          <cell r="D50" t="str">
            <v>Director of Human Resources</v>
          </cell>
          <cell r="E50">
            <v>3000</v>
          </cell>
          <cell r="F50">
            <v>3000</v>
          </cell>
          <cell r="G50">
            <v>0</v>
          </cell>
          <cell r="H50">
            <v>0</v>
          </cell>
          <cell r="I50">
            <v>3000</v>
          </cell>
        </row>
        <row r="51">
          <cell r="A51" t="str">
            <v>100_305225_6750_55125_819</v>
          </cell>
          <cell r="B51" t="str">
            <v>HR-Supervisor's Staff Dev.</v>
          </cell>
          <cell r="C51" t="str">
            <v>Training</v>
          </cell>
          <cell r="D51" t="str">
            <v>Director of Human Resources</v>
          </cell>
          <cell r="E51">
            <v>5200</v>
          </cell>
          <cell r="F51">
            <v>5200</v>
          </cell>
          <cell r="G51">
            <v>0</v>
          </cell>
          <cell r="H51">
            <v>0</v>
          </cell>
          <cell r="I51">
            <v>5200</v>
          </cell>
        </row>
        <row r="52">
          <cell r="A52" t="str">
            <v>100_305226_6700_52325_819</v>
          </cell>
          <cell r="B52" t="str">
            <v>HR - SEIU Neg Fixed Cost</v>
          </cell>
          <cell r="C52" t="str">
            <v>Hrly Class. Replacements</v>
          </cell>
          <cell r="D52" t="str">
            <v>Director of Human Resources</v>
          </cell>
          <cell r="E52">
            <v>1000</v>
          </cell>
          <cell r="F52">
            <v>1000</v>
          </cell>
          <cell r="G52">
            <v>0</v>
          </cell>
          <cell r="H52">
            <v>0</v>
          </cell>
          <cell r="I52">
            <v>1000</v>
          </cell>
        </row>
        <row r="53">
          <cell r="A53" t="str">
            <v>100_306000_6750_55125_819</v>
          </cell>
          <cell r="B53" t="str">
            <v>Staff Development -District</v>
          </cell>
          <cell r="C53" t="str">
            <v>Training</v>
          </cell>
          <cell r="D53" t="str">
            <v>Staff Development</v>
          </cell>
          <cell r="E53">
            <v>4000</v>
          </cell>
          <cell r="F53">
            <v>4000</v>
          </cell>
          <cell r="G53">
            <v>1631.45</v>
          </cell>
          <cell r="H53">
            <v>368.55</v>
          </cell>
          <cell r="I53">
            <v>2000</v>
          </cell>
        </row>
        <row r="54">
          <cell r="A54" t="str">
            <v>100_308500_6770_55160_819</v>
          </cell>
          <cell r="B54" t="str">
            <v>Pub. Safety- Admin.</v>
          </cell>
          <cell r="C54" t="str">
            <v>Contracted Services</v>
          </cell>
          <cell r="D54" t="str">
            <v>Director of Public Safety</v>
          </cell>
          <cell r="E54">
            <v>20000</v>
          </cell>
          <cell r="F54">
            <v>17941</v>
          </cell>
          <cell r="G54">
            <v>17940.150000000001</v>
          </cell>
          <cell r="H54">
            <v>0</v>
          </cell>
          <cell r="I54">
            <v>0.85</v>
          </cell>
        </row>
        <row r="55">
          <cell r="A55" t="str">
            <v>100_308600_6770_55160_819</v>
          </cell>
          <cell r="B55" t="str">
            <v>Fixed Costs</v>
          </cell>
          <cell r="C55" t="str">
            <v>Contracted Services</v>
          </cell>
          <cell r="D55" t="str">
            <v>Director of Public Safety</v>
          </cell>
          <cell r="E55">
            <v>12124</v>
          </cell>
          <cell r="F55">
            <v>12124</v>
          </cell>
          <cell r="G55">
            <v>6794.84</v>
          </cell>
          <cell r="H55">
            <v>5071.03</v>
          </cell>
          <cell r="I55">
            <v>258.13</v>
          </cell>
        </row>
        <row r="56">
          <cell r="A56" t="str">
            <v>100_308600_6770_55500_819</v>
          </cell>
          <cell r="B56" t="str">
            <v>Fixed Costs</v>
          </cell>
          <cell r="C56" t="str">
            <v>Soft. Lic./Soft. Purch.</v>
          </cell>
          <cell r="D56" t="str">
            <v>Director of Public Safety</v>
          </cell>
          <cell r="E56">
            <v>6775</v>
          </cell>
          <cell r="F56">
            <v>12975</v>
          </cell>
          <cell r="G56">
            <v>6200</v>
          </cell>
          <cell r="H56">
            <v>6578</v>
          </cell>
          <cell r="I56">
            <v>197</v>
          </cell>
        </row>
        <row r="57">
          <cell r="A57" t="str">
            <v>100_308601_6770_55120_819</v>
          </cell>
          <cell r="B57" t="str">
            <v>Fingerprinting</v>
          </cell>
          <cell r="C57" t="str">
            <v>Professional Services</v>
          </cell>
          <cell r="D57" t="str">
            <v>Director of Public Safety</v>
          </cell>
          <cell r="E57">
            <v>5124</v>
          </cell>
          <cell r="F57">
            <v>5124</v>
          </cell>
          <cell r="G57">
            <v>3596</v>
          </cell>
          <cell r="H57">
            <v>0</v>
          </cell>
          <cell r="I57">
            <v>1528</v>
          </cell>
        </row>
        <row r="58">
          <cell r="A58" t="str">
            <v>100_308601_6770_55160_819</v>
          </cell>
          <cell r="B58" t="str">
            <v>Fingerprinting</v>
          </cell>
          <cell r="C58" t="str">
            <v>Contracted Services</v>
          </cell>
          <cell r="D58" t="str">
            <v>Director of Public Safety</v>
          </cell>
          <cell r="E58">
            <v>4590</v>
          </cell>
          <cell r="F58">
            <v>4590</v>
          </cell>
          <cell r="G58">
            <v>4040</v>
          </cell>
          <cell r="H58">
            <v>0</v>
          </cell>
          <cell r="I58">
            <v>550</v>
          </cell>
        </row>
        <row r="59">
          <cell r="A59" t="str">
            <v>100_308602_6770_55200_819</v>
          </cell>
          <cell r="B59" t="str">
            <v>Training</v>
          </cell>
          <cell r="C59" t="str">
            <v>Travel, Conference</v>
          </cell>
          <cell r="D59" t="str">
            <v>Director of Public Safety</v>
          </cell>
          <cell r="E59">
            <v>7000</v>
          </cell>
          <cell r="F59">
            <v>7000</v>
          </cell>
          <cell r="G59">
            <v>2517.63</v>
          </cell>
          <cell r="H59">
            <v>0</v>
          </cell>
          <cell r="I59">
            <v>4482.37</v>
          </cell>
        </row>
        <row r="60">
          <cell r="A60" t="str">
            <v>100_308603_6770_55120_819</v>
          </cell>
          <cell r="B60" t="str">
            <v>Safety/Maint of Standards</v>
          </cell>
          <cell r="C60" t="str">
            <v>Professional Services</v>
          </cell>
          <cell r="D60" t="str">
            <v>Director of Public Safety</v>
          </cell>
          <cell r="E60">
            <v>13700</v>
          </cell>
          <cell r="F60">
            <v>13700</v>
          </cell>
          <cell r="G60">
            <v>3821.99</v>
          </cell>
          <cell r="H60">
            <v>9878.01</v>
          </cell>
          <cell r="I60">
            <v>0</v>
          </cell>
        </row>
        <row r="61">
          <cell r="A61" t="str">
            <v>100_308604_6770_55120_819</v>
          </cell>
          <cell r="B61" t="str">
            <v>County Communications</v>
          </cell>
          <cell r="C61" t="str">
            <v>Professional Services</v>
          </cell>
          <cell r="D61" t="str">
            <v>Director of Public Safety</v>
          </cell>
          <cell r="E61">
            <v>38000</v>
          </cell>
          <cell r="F61">
            <v>40059</v>
          </cell>
          <cell r="G61">
            <v>21437.5</v>
          </cell>
          <cell r="H61">
            <v>16562.5</v>
          </cell>
          <cell r="I61">
            <v>2059</v>
          </cell>
        </row>
        <row r="62">
          <cell r="A62" t="str">
            <v>100_309600_6770_54215_819</v>
          </cell>
          <cell r="B62" t="str">
            <v>Gen. Svcs.-Purchasing</v>
          </cell>
          <cell r="C62" t="str">
            <v>Non Instruct - Safety Shoes</v>
          </cell>
          <cell r="D62" t="str">
            <v>Director of General Services</v>
          </cell>
          <cell r="E62">
            <v>7000</v>
          </cell>
          <cell r="F62">
            <v>7000</v>
          </cell>
          <cell r="G62">
            <v>3177.88</v>
          </cell>
          <cell r="H62">
            <v>1822.12</v>
          </cell>
          <cell r="I62">
            <v>2000</v>
          </cell>
        </row>
        <row r="63">
          <cell r="A63" t="str">
            <v>100_309600_6770_55940_819</v>
          </cell>
          <cell r="B63" t="str">
            <v>Gen. Svcs.-Purchasing</v>
          </cell>
          <cell r="C63" t="str">
            <v>Insurance</v>
          </cell>
          <cell r="D63" t="str">
            <v>Director of General Services</v>
          </cell>
          <cell r="E63">
            <v>708833</v>
          </cell>
          <cell r="F63">
            <v>708833</v>
          </cell>
          <cell r="G63">
            <v>695125.08</v>
          </cell>
          <cell r="H63">
            <v>0</v>
          </cell>
          <cell r="I63">
            <v>13707.92</v>
          </cell>
        </row>
        <row r="64">
          <cell r="A64" t="str">
            <v>100_309660_6770_54210_819</v>
          </cell>
          <cell r="B64" t="str">
            <v>Gen. Svcs-JPA Worker Comp</v>
          </cell>
          <cell r="C64" t="str">
            <v>Non-Instr. Supplies/Materia</v>
          </cell>
          <cell r="D64" t="str">
            <v>Director of General Services</v>
          </cell>
          <cell r="E64">
            <v>21100</v>
          </cell>
          <cell r="F64">
            <v>21100</v>
          </cell>
          <cell r="G64">
            <v>5186.55</v>
          </cell>
          <cell r="H64">
            <v>13313.29</v>
          </cell>
          <cell r="I64">
            <v>2600.16</v>
          </cell>
        </row>
        <row r="65">
          <cell r="A65" t="str">
            <v>100_309660_6770_55160_819</v>
          </cell>
          <cell r="B65" t="str">
            <v>Gen. Svcs-JPA Worker Comp</v>
          </cell>
          <cell r="C65" t="str">
            <v>Contracted Services</v>
          </cell>
          <cell r="D65" t="str">
            <v>Director of General Services</v>
          </cell>
          <cell r="E65">
            <v>57000</v>
          </cell>
          <cell r="F65">
            <v>57000</v>
          </cell>
          <cell r="G65">
            <v>32705.99</v>
          </cell>
          <cell r="H65">
            <v>21399.87</v>
          </cell>
          <cell r="I65">
            <v>2894.14</v>
          </cell>
        </row>
        <row r="66">
          <cell r="A66" t="str">
            <v>100_310700_6780_54210_819</v>
          </cell>
          <cell r="B66" t="str">
            <v>Info. Sys.-Admin.</v>
          </cell>
          <cell r="C66" t="str">
            <v>Non-Instr. Supplies/Materia</v>
          </cell>
          <cell r="D66" t="str">
            <v>Director of Information Systems</v>
          </cell>
          <cell r="E66">
            <v>43817</v>
          </cell>
          <cell r="F66">
            <v>43817</v>
          </cell>
          <cell r="G66">
            <v>14064.15</v>
          </cell>
          <cell r="H66">
            <v>2020.14</v>
          </cell>
          <cell r="I66">
            <v>27732.71</v>
          </cell>
        </row>
        <row r="67">
          <cell r="A67" t="str">
            <v>100_310700_6780_54230_819</v>
          </cell>
          <cell r="B67" t="str">
            <v>Info. Sys.-Admin.</v>
          </cell>
          <cell r="C67" t="str">
            <v>Non-Instr. Computer Supp.</v>
          </cell>
          <cell r="D67" t="str">
            <v>Director of Information Systems</v>
          </cell>
          <cell r="E67">
            <v>0</v>
          </cell>
          <cell r="F67">
            <v>11142</v>
          </cell>
          <cell r="G67">
            <v>11141.64</v>
          </cell>
          <cell r="H67">
            <v>0</v>
          </cell>
          <cell r="I67">
            <v>0.36</v>
          </cell>
        </row>
        <row r="68">
          <cell r="A68" t="str">
            <v>100_310700_6780_55500_819</v>
          </cell>
          <cell r="B68" t="str">
            <v>Info. Sys.-Admin.</v>
          </cell>
          <cell r="C68" t="str">
            <v>Soft. Lic./Soft. Purch.</v>
          </cell>
          <cell r="D68" t="str">
            <v>Director of Information Systems</v>
          </cell>
          <cell r="E68">
            <v>219443</v>
          </cell>
          <cell r="F68">
            <v>233050</v>
          </cell>
          <cell r="G68">
            <v>209145.41</v>
          </cell>
          <cell r="H68">
            <v>0</v>
          </cell>
          <cell r="I68">
            <v>23904.59</v>
          </cell>
        </row>
        <row r="69">
          <cell r="A69" t="str">
            <v>100_310700_6780_55510_819</v>
          </cell>
          <cell r="B69" t="str">
            <v>Info. Sys.-Admin.</v>
          </cell>
          <cell r="C69" t="str">
            <v>Equipment Maint. &amp; Repair</v>
          </cell>
          <cell r="D69" t="str">
            <v>Director of Information Systems</v>
          </cell>
          <cell r="E69">
            <v>850979</v>
          </cell>
          <cell r="F69">
            <v>878237</v>
          </cell>
          <cell r="G69">
            <v>772022.4</v>
          </cell>
          <cell r="H69">
            <v>18268.689999999999</v>
          </cell>
          <cell r="I69">
            <v>87945.91</v>
          </cell>
        </row>
        <row r="70">
          <cell r="A70" t="str">
            <v>100_310700_6780_56410_819</v>
          </cell>
          <cell r="B70" t="str">
            <v>Info. Sys.-Admin.</v>
          </cell>
          <cell r="C70" t="str">
            <v>Replacement Equipment</v>
          </cell>
          <cell r="D70" t="str">
            <v>Director of Information Systems</v>
          </cell>
          <cell r="E70">
            <v>50000</v>
          </cell>
          <cell r="F70">
            <v>50000</v>
          </cell>
          <cell r="G70">
            <v>46166.65</v>
          </cell>
          <cell r="H70">
            <v>129.44999999999999</v>
          </cell>
          <cell r="I70">
            <v>3703.9</v>
          </cell>
        </row>
        <row r="71">
          <cell r="A71" t="str">
            <v>100_310720_6570_55830_819</v>
          </cell>
          <cell r="B71" t="str">
            <v>Info. Sys.-PBX</v>
          </cell>
          <cell r="C71" t="str">
            <v>Telephone</v>
          </cell>
          <cell r="D71" t="str">
            <v>Director of Information Systems</v>
          </cell>
          <cell r="E71">
            <v>157118</v>
          </cell>
          <cell r="F71">
            <v>157118</v>
          </cell>
          <cell r="G71">
            <v>86957.13</v>
          </cell>
          <cell r="H71">
            <v>63752.02</v>
          </cell>
          <cell r="I71">
            <v>6408.85</v>
          </cell>
        </row>
        <row r="72">
          <cell r="A72" t="str">
            <v>100_310720_6570_55832_819</v>
          </cell>
          <cell r="B72" t="str">
            <v>Info. Sys.-PBX</v>
          </cell>
          <cell r="C72" t="str">
            <v>Radio/Cell Phone</v>
          </cell>
          <cell r="D72" t="str">
            <v>Director of Information Systems</v>
          </cell>
          <cell r="E72">
            <v>32000</v>
          </cell>
          <cell r="F72">
            <v>32000</v>
          </cell>
          <cell r="G72">
            <v>14000.7</v>
          </cell>
          <cell r="H72">
            <v>37485.57</v>
          </cell>
          <cell r="I72">
            <v>-19486.27</v>
          </cell>
        </row>
        <row r="73">
          <cell r="A73" t="str">
            <v>100_311812_6510_55160_819</v>
          </cell>
          <cell r="B73" t="str">
            <v>Facility-Cogen. Maint.</v>
          </cell>
          <cell r="C73" t="str">
            <v>Contracted Services</v>
          </cell>
          <cell r="D73" t="str">
            <v>Director of Facilities</v>
          </cell>
          <cell r="E73">
            <v>556684</v>
          </cell>
          <cell r="F73">
            <v>556684</v>
          </cell>
          <cell r="G73">
            <v>381454.29</v>
          </cell>
          <cell r="H73">
            <v>153896.31</v>
          </cell>
          <cell r="I73">
            <v>21333.4</v>
          </cell>
        </row>
        <row r="74">
          <cell r="A74" t="str">
            <v>100_311812_6510_55810_819</v>
          </cell>
          <cell r="B74" t="str">
            <v>Facility-Cogen. Maint.</v>
          </cell>
          <cell r="C74" t="str">
            <v>Gasoline</v>
          </cell>
          <cell r="D74" t="str">
            <v>Director of Facilities</v>
          </cell>
          <cell r="E74">
            <v>60000</v>
          </cell>
          <cell r="F74">
            <v>60000</v>
          </cell>
          <cell r="G74">
            <v>35171.22</v>
          </cell>
          <cell r="H74">
            <v>24828.78</v>
          </cell>
          <cell r="I74">
            <v>0</v>
          </cell>
        </row>
        <row r="75">
          <cell r="A75" t="str">
            <v>100_311860_6590_54210_819</v>
          </cell>
          <cell r="B75" t="str">
            <v>Facility-Safety/Hazard.</v>
          </cell>
          <cell r="C75" t="str">
            <v>Non-Instr. Supplies/Materia</v>
          </cell>
          <cell r="D75" t="str">
            <v>Director of Facilities</v>
          </cell>
          <cell r="E75">
            <v>0</v>
          </cell>
          <cell r="F75">
            <v>0</v>
          </cell>
          <cell r="G75">
            <v>0</v>
          </cell>
          <cell r="H75">
            <v>3</v>
          </cell>
          <cell r="I75">
            <v>-3</v>
          </cell>
        </row>
        <row r="76">
          <cell r="A76" t="str">
            <v>891_304169_0000_48900_819</v>
          </cell>
          <cell r="B76" t="str">
            <v>Negotiations</v>
          </cell>
          <cell r="C76" t="str">
            <v>Transfers In</v>
          </cell>
          <cell r="D76" t="str">
            <v>Vice Chancellor Adm Services</v>
          </cell>
          <cell r="E76">
            <v>-398419</v>
          </cell>
          <cell r="F76">
            <v>-398419</v>
          </cell>
          <cell r="G76">
            <v>-398419</v>
          </cell>
          <cell r="H76">
            <v>0</v>
          </cell>
          <cell r="I76">
            <v>0</v>
          </cell>
        </row>
        <row r="77">
          <cell r="E77">
            <v>14588273</v>
          </cell>
          <cell r="F77">
            <v>14683893</v>
          </cell>
          <cell r="G77">
            <v>12640804.590000005</v>
          </cell>
          <cell r="H77">
            <v>666140.26</v>
          </cell>
          <cell r="I77">
            <v>1376948.1500000001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A1:P244"/>
  <sheetViews>
    <sheetView tabSelected="1" topLeftCell="A131" zoomScale="90" zoomScaleNormal="90" workbookViewId="0">
      <selection activeCell="C203" sqref="C203"/>
    </sheetView>
  </sheetViews>
  <sheetFormatPr defaultColWidth="9.140625" defaultRowHeight="15" customHeight="1" outlineLevelRow="2" x14ac:dyDescent="0.2"/>
  <cols>
    <col min="1" max="1" width="21.7109375" style="75" customWidth="1"/>
    <col min="2" max="2" width="12.7109375" style="74" hidden="1" customWidth="1"/>
    <col min="3" max="3" width="40" style="75" customWidth="1"/>
    <col min="4" max="4" width="22.28515625" style="74" customWidth="1"/>
    <col min="5" max="5" width="7.7109375" style="74" customWidth="1"/>
    <col min="6" max="6" width="26.140625" style="74" customWidth="1"/>
    <col min="7" max="8" width="15.42578125" style="583" customWidth="1"/>
    <col min="9" max="9" width="14.5703125" style="583" customWidth="1"/>
    <col min="10" max="10" width="13.140625" style="583" customWidth="1"/>
    <col min="11" max="11" width="15.42578125" style="583" customWidth="1"/>
    <col min="12" max="12" width="14.140625" style="75" bestFit="1" customWidth="1"/>
    <col min="13" max="13" width="12.28515625" style="75" customWidth="1"/>
    <col min="14" max="14" width="10.42578125" style="75" bestFit="1" customWidth="1"/>
    <col min="15" max="16" width="11.42578125" style="75" bestFit="1" customWidth="1"/>
    <col min="17" max="16384" width="9.140625" style="75"/>
  </cols>
  <sheetData>
    <row r="1" spans="1:12" ht="25.15" customHeight="1" outlineLevel="1" x14ac:dyDescent="0.2">
      <c r="A1" s="1001" t="s">
        <v>206</v>
      </c>
      <c r="C1" s="999"/>
      <c r="G1" s="982"/>
      <c r="H1" s="982"/>
      <c r="I1" s="983"/>
      <c r="J1" s="982"/>
      <c r="K1" s="982"/>
    </row>
    <row r="2" spans="1:12" s="1066" customFormat="1" ht="45.75" outlineLevel="1" thickBot="1" x14ac:dyDescent="0.25">
      <c r="A2" s="1060" t="s">
        <v>148</v>
      </c>
      <c r="B2" s="1061" t="s">
        <v>125</v>
      </c>
      <c r="C2" s="1062" t="s">
        <v>61</v>
      </c>
      <c r="D2" s="1063" t="s">
        <v>147</v>
      </c>
      <c r="E2" s="1062" t="s">
        <v>149</v>
      </c>
      <c r="F2" s="1062" t="s">
        <v>62</v>
      </c>
      <c r="G2" s="1064" t="s">
        <v>1074</v>
      </c>
      <c r="H2" s="1064" t="s">
        <v>1101</v>
      </c>
      <c r="I2" s="1064" t="s">
        <v>1076</v>
      </c>
      <c r="J2" s="1065" t="s">
        <v>1075</v>
      </c>
      <c r="K2" s="1064" t="s">
        <v>1090</v>
      </c>
    </row>
    <row r="3" spans="1:12" s="7" customFormat="1" ht="15" customHeight="1" outlineLevel="2" x14ac:dyDescent="0.2">
      <c r="A3" s="1005"/>
      <c r="B3" s="1043"/>
      <c r="C3" s="1019" t="s">
        <v>242</v>
      </c>
      <c r="D3" s="1005"/>
      <c r="E3" s="1005"/>
      <c r="F3" s="1005" t="s">
        <v>210</v>
      </c>
      <c r="G3" s="1042">
        <v>1000</v>
      </c>
      <c r="H3" s="1042"/>
      <c r="I3" s="1042"/>
      <c r="J3" s="1042">
        <v>0</v>
      </c>
      <c r="K3" s="1042">
        <f>G3+J3</f>
        <v>1000</v>
      </c>
    </row>
    <row r="4" spans="1:12" s="1006" customFormat="1" ht="15" customHeight="1" outlineLevel="2" x14ac:dyDescent="0.2">
      <c r="A4" s="1005"/>
      <c r="B4" s="1043"/>
      <c r="C4" s="1019" t="s">
        <v>1078</v>
      </c>
      <c r="D4" s="1005"/>
      <c r="E4" s="1005"/>
      <c r="F4" s="1005" t="s">
        <v>1002</v>
      </c>
      <c r="G4" s="1042"/>
      <c r="H4" s="1042"/>
      <c r="I4" s="1042"/>
      <c r="J4" s="1042"/>
      <c r="K4" s="1042">
        <f t="shared" ref="K4:K43" si="0">G4+J4</f>
        <v>0</v>
      </c>
    </row>
    <row r="5" spans="1:12" s="1006" customFormat="1" ht="15" customHeight="1" outlineLevel="2" x14ac:dyDescent="0.2">
      <c r="A5" s="1005"/>
      <c r="B5" s="1043"/>
      <c r="C5" s="1019" t="s">
        <v>1079</v>
      </c>
      <c r="D5" s="1005"/>
      <c r="E5" s="1005"/>
      <c r="F5" s="1005" t="s">
        <v>1080</v>
      </c>
      <c r="G5" s="1042"/>
      <c r="H5" s="1042"/>
      <c r="I5" s="1042"/>
      <c r="J5" s="1042"/>
      <c r="K5" s="1042">
        <f t="shared" si="0"/>
        <v>0</v>
      </c>
    </row>
    <row r="6" spans="1:12" s="1006" customFormat="1" ht="15" customHeight="1" outlineLevel="2" x14ac:dyDescent="0.2">
      <c r="A6" s="1005"/>
      <c r="B6" s="1043"/>
      <c r="C6" s="1019" t="s">
        <v>1081</v>
      </c>
      <c r="D6" s="1005"/>
      <c r="E6" s="1005"/>
      <c r="F6" s="1005" t="s">
        <v>1082</v>
      </c>
      <c r="G6" s="1042">
        <v>0</v>
      </c>
      <c r="H6" s="1042">
        <v>2100</v>
      </c>
      <c r="I6" s="1042">
        <v>2051</v>
      </c>
      <c r="J6" s="1042"/>
      <c r="K6" s="1042">
        <f t="shared" si="0"/>
        <v>0</v>
      </c>
    </row>
    <row r="7" spans="1:12" s="7" customFormat="1" ht="15" customHeight="1" outlineLevel="2" x14ac:dyDescent="0.2">
      <c r="A7" s="1005"/>
      <c r="B7" s="1043"/>
      <c r="C7" s="1019" t="s">
        <v>241</v>
      </c>
      <c r="D7" s="1005"/>
      <c r="E7" s="1005"/>
      <c r="F7" s="1005" t="s">
        <v>211</v>
      </c>
      <c r="G7" s="662">
        <v>3000</v>
      </c>
      <c r="H7" s="662">
        <v>1900</v>
      </c>
      <c r="I7" s="662">
        <v>1704</v>
      </c>
      <c r="J7" s="662">
        <v>0</v>
      </c>
      <c r="K7" s="1042">
        <f t="shared" si="0"/>
        <v>3000</v>
      </c>
    </row>
    <row r="8" spans="1:12" s="631" customFormat="1" ht="15" customHeight="1" outlineLevel="1" x14ac:dyDescent="0.2">
      <c r="A8" s="1019"/>
      <c r="B8" s="1073"/>
      <c r="C8" s="692" t="s">
        <v>999</v>
      </c>
      <c r="D8" s="1094"/>
      <c r="E8" s="1095" t="s">
        <v>163</v>
      </c>
      <c r="F8" s="695" t="s">
        <v>1002</v>
      </c>
      <c r="G8" s="662">
        <v>5000</v>
      </c>
      <c r="H8" s="662">
        <v>5000</v>
      </c>
      <c r="I8" s="662">
        <v>1999</v>
      </c>
      <c r="J8" s="1071">
        <v>0</v>
      </c>
      <c r="K8" s="1042">
        <f t="shared" si="0"/>
        <v>5000</v>
      </c>
      <c r="L8" s="1180">
        <f>K8*11.123%</f>
        <v>556.15</v>
      </c>
    </row>
    <row r="9" spans="1:12" s="631" customFormat="1" ht="15" customHeight="1" outlineLevel="1" x14ac:dyDescent="0.2">
      <c r="A9" s="1019"/>
      <c r="B9" s="1073"/>
      <c r="C9" s="692" t="s">
        <v>1102</v>
      </c>
      <c r="D9" s="1068" t="s">
        <v>1131</v>
      </c>
      <c r="E9" s="1069" t="s">
        <v>163</v>
      </c>
      <c r="F9" s="695" t="s">
        <v>1103</v>
      </c>
      <c r="G9" s="662">
        <v>0</v>
      </c>
      <c r="H9" s="662">
        <v>0</v>
      </c>
      <c r="I9" s="662">
        <v>58</v>
      </c>
      <c r="J9" s="662">
        <v>556</v>
      </c>
      <c r="K9" s="1042">
        <f t="shared" si="0"/>
        <v>556</v>
      </c>
    </row>
    <row r="10" spans="1:12" s="1083" customFormat="1" ht="15" customHeight="1" outlineLevel="1" x14ac:dyDescent="0.2">
      <c r="A10" s="1077" t="s">
        <v>416</v>
      </c>
      <c r="B10" s="1078" t="s">
        <v>228</v>
      </c>
      <c r="C10" s="1079" t="s">
        <v>207</v>
      </c>
      <c r="D10" s="1152"/>
      <c r="E10" s="1080" t="s">
        <v>163</v>
      </c>
      <c r="F10" s="1081" t="s">
        <v>428</v>
      </c>
      <c r="G10" s="1082">
        <f>SUM(G3:G9)</f>
        <v>9000</v>
      </c>
      <c r="H10" s="1082">
        <f>SUM(H3:H9)</f>
        <v>9000</v>
      </c>
      <c r="I10" s="1082">
        <f>SUM(I3:I9)</f>
        <v>5812</v>
      </c>
      <c r="J10" s="1082">
        <f>SUM(J3:J9)</f>
        <v>556</v>
      </c>
      <c r="K10" s="1097">
        <f t="shared" si="0"/>
        <v>9556</v>
      </c>
    </row>
    <row r="11" spans="1:12" s="7" customFormat="1" ht="15" customHeight="1" outlineLevel="2" x14ac:dyDescent="0.2">
      <c r="A11" s="1019"/>
      <c r="B11" s="1044"/>
      <c r="C11" s="1019" t="s">
        <v>238</v>
      </c>
      <c r="D11" s="1019"/>
      <c r="E11" s="1005"/>
      <c r="F11" s="1005" t="s">
        <v>212</v>
      </c>
      <c r="G11" s="662">
        <v>1000</v>
      </c>
      <c r="H11" s="662">
        <v>1000</v>
      </c>
      <c r="I11" s="662"/>
      <c r="J11" s="662">
        <v>0</v>
      </c>
      <c r="K11" s="1042">
        <f t="shared" si="0"/>
        <v>1000</v>
      </c>
    </row>
    <row r="12" spans="1:12" s="7" customFormat="1" ht="15" customHeight="1" outlineLevel="2" x14ac:dyDescent="0.2">
      <c r="A12" s="1019"/>
      <c r="B12" s="1044"/>
      <c r="C12" s="1019" t="s">
        <v>243</v>
      </c>
      <c r="D12" s="1019"/>
      <c r="E12" s="1005"/>
      <c r="F12" s="1005" t="s">
        <v>213</v>
      </c>
      <c r="G12" s="662">
        <v>500</v>
      </c>
      <c r="H12" s="662">
        <v>500</v>
      </c>
      <c r="I12" s="662"/>
      <c r="J12" s="662">
        <v>0</v>
      </c>
      <c r="K12" s="1042">
        <f t="shared" si="0"/>
        <v>500</v>
      </c>
    </row>
    <row r="13" spans="1:12" s="7" customFormat="1" ht="15" customHeight="1" outlineLevel="2" x14ac:dyDescent="0.2">
      <c r="A13" s="1019"/>
      <c r="B13" s="1044"/>
      <c r="C13" s="1019" t="s">
        <v>239</v>
      </c>
      <c r="D13" s="1019"/>
      <c r="E13" s="1005"/>
      <c r="F13" s="1005" t="s">
        <v>214</v>
      </c>
      <c r="G13" s="662">
        <v>1500</v>
      </c>
      <c r="H13" s="662">
        <v>1500</v>
      </c>
      <c r="I13" s="662"/>
      <c r="J13" s="662">
        <v>0</v>
      </c>
      <c r="K13" s="1042">
        <f t="shared" si="0"/>
        <v>1500</v>
      </c>
    </row>
    <row r="14" spans="1:12" s="7" customFormat="1" ht="15" customHeight="1" outlineLevel="2" x14ac:dyDescent="0.2">
      <c r="A14" s="1019"/>
      <c r="B14" s="1044"/>
      <c r="C14" s="1019" t="s">
        <v>240</v>
      </c>
      <c r="D14" s="1019"/>
      <c r="E14" s="1005"/>
      <c r="F14" s="1005" t="s">
        <v>215</v>
      </c>
      <c r="G14" s="662">
        <v>1500</v>
      </c>
      <c r="H14" s="662">
        <v>1500</v>
      </c>
      <c r="I14" s="662"/>
      <c r="J14" s="662">
        <v>0</v>
      </c>
      <c r="K14" s="1042">
        <f t="shared" si="0"/>
        <v>1500</v>
      </c>
    </row>
    <row r="15" spans="1:12" s="1083" customFormat="1" ht="15" customHeight="1" outlineLevel="1" x14ac:dyDescent="0.2">
      <c r="A15" s="1077" t="s">
        <v>416</v>
      </c>
      <c r="B15" s="1078" t="s">
        <v>228</v>
      </c>
      <c r="C15" s="1084" t="s">
        <v>182</v>
      </c>
      <c r="D15" s="1153"/>
      <c r="E15" s="1085" t="s">
        <v>163</v>
      </c>
      <c r="F15" s="1086" t="s">
        <v>428</v>
      </c>
      <c r="G15" s="1082">
        <f>SUM(G11:G14)</f>
        <v>4500</v>
      </c>
      <c r="H15" s="1082">
        <f>SUM(H11:H14)</f>
        <v>4500</v>
      </c>
      <c r="I15" s="1082"/>
      <c r="J15" s="1082">
        <f>SUM(J11:J14)</f>
        <v>0</v>
      </c>
      <c r="K15" s="1097">
        <f>G15+J15</f>
        <v>4500</v>
      </c>
    </row>
    <row r="16" spans="1:12" s="7" customFormat="1" ht="15" customHeight="1" outlineLevel="1" x14ac:dyDescent="0.2">
      <c r="A16" s="1020" t="s">
        <v>236</v>
      </c>
      <c r="B16" s="1045" t="s">
        <v>228</v>
      </c>
      <c r="C16" s="14" t="s">
        <v>237</v>
      </c>
      <c r="D16" s="230" t="s">
        <v>1128</v>
      </c>
      <c r="E16" s="114" t="s">
        <v>153</v>
      </c>
      <c r="F16" s="20" t="s">
        <v>223</v>
      </c>
      <c r="G16" s="375">
        <v>29000</v>
      </c>
      <c r="H16" s="1018">
        <v>29000</v>
      </c>
      <c r="I16" s="375">
        <v>21824</v>
      </c>
      <c r="J16" s="375">
        <v>-200</v>
      </c>
      <c r="K16" s="1009">
        <f t="shared" si="0"/>
        <v>28800</v>
      </c>
    </row>
    <row r="17" spans="1:12" s="7" customFormat="1" ht="15" customHeight="1" outlineLevel="1" x14ac:dyDescent="0.2">
      <c r="A17" s="1020" t="s">
        <v>234</v>
      </c>
      <c r="B17" s="1045" t="s">
        <v>228</v>
      </c>
      <c r="C17" s="14" t="s">
        <v>1129</v>
      </c>
      <c r="D17" s="6" t="s">
        <v>1117</v>
      </c>
      <c r="E17" s="114" t="s">
        <v>153</v>
      </c>
      <c r="F17" s="20" t="s">
        <v>224</v>
      </c>
      <c r="G17" s="375">
        <v>0</v>
      </c>
      <c r="H17" s="1018"/>
      <c r="I17" s="375"/>
      <c r="J17" s="375">
        <v>11000</v>
      </c>
      <c r="K17" s="1009">
        <f t="shared" si="0"/>
        <v>11000</v>
      </c>
    </row>
    <row r="18" spans="1:12" s="1008" customFormat="1" ht="15" customHeight="1" outlineLevel="1" x14ac:dyDescent="0.2">
      <c r="A18" s="1020" t="s">
        <v>234</v>
      </c>
      <c r="B18" s="1046"/>
      <c r="C18" s="14" t="s">
        <v>1130</v>
      </c>
      <c r="D18" s="1053" t="s">
        <v>1131</v>
      </c>
      <c r="E18" s="114" t="s">
        <v>153</v>
      </c>
      <c r="F18" s="20" t="s">
        <v>1132</v>
      </c>
      <c r="G18" s="1018"/>
      <c r="H18" s="1018"/>
      <c r="I18" s="1018"/>
      <c r="J18" s="1018">
        <v>1224</v>
      </c>
      <c r="K18" s="1009">
        <f t="shared" si="0"/>
        <v>1224</v>
      </c>
    </row>
    <row r="19" spans="1:12" s="1150" customFormat="1" ht="15" customHeight="1" outlineLevel="1" x14ac:dyDescent="0.2">
      <c r="A19" s="1020" t="s">
        <v>389</v>
      </c>
      <c r="B19" s="1046"/>
      <c r="C19" s="231" t="s">
        <v>293</v>
      </c>
      <c r="D19" s="231" t="s">
        <v>143</v>
      </c>
      <c r="E19" s="45" t="s">
        <v>154</v>
      </c>
      <c r="F19" s="21" t="s">
        <v>741</v>
      </c>
      <c r="G19" s="1018">
        <v>37594</v>
      </c>
      <c r="H19" s="1018">
        <v>37594</v>
      </c>
      <c r="I19" s="1018">
        <v>37326</v>
      </c>
      <c r="J19" s="1018">
        <v>250</v>
      </c>
      <c r="K19" s="1009">
        <f t="shared" si="0"/>
        <v>37844</v>
      </c>
    </row>
    <row r="20" spans="1:12" s="7" customFormat="1" ht="15" customHeight="1" outlineLevel="1" x14ac:dyDescent="0.2">
      <c r="A20" s="1020" t="s">
        <v>234</v>
      </c>
      <c r="B20" s="1047" t="s">
        <v>228</v>
      </c>
      <c r="C20" s="14" t="s">
        <v>1121</v>
      </c>
      <c r="D20" s="234"/>
      <c r="E20" s="5" t="s">
        <v>163</v>
      </c>
      <c r="F20" s="20" t="s">
        <v>217</v>
      </c>
      <c r="G20" s="375">
        <v>39654</v>
      </c>
      <c r="H20" s="1018">
        <v>39654</v>
      </c>
      <c r="I20" s="375">
        <v>39654</v>
      </c>
      <c r="J20" s="375"/>
      <c r="K20" s="1009">
        <f t="shared" si="0"/>
        <v>39654</v>
      </c>
      <c r="L20" s="600">
        <f>K20-I20</f>
        <v>0</v>
      </c>
    </row>
    <row r="21" spans="1:12" s="1008" customFormat="1" ht="15" customHeight="1" outlineLevel="1" x14ac:dyDescent="0.2">
      <c r="A21" s="1020" t="s">
        <v>234</v>
      </c>
      <c r="B21" s="1047"/>
      <c r="C21" s="14" t="s">
        <v>1120</v>
      </c>
      <c r="D21" s="247"/>
      <c r="E21" s="1028" t="s">
        <v>163</v>
      </c>
      <c r="F21" s="20" t="s">
        <v>217</v>
      </c>
      <c r="G21" s="1018">
        <v>34057</v>
      </c>
      <c r="H21" s="1018">
        <v>34057</v>
      </c>
      <c r="I21" s="1018"/>
      <c r="J21" s="1018"/>
      <c r="K21" s="1009">
        <f t="shared" si="0"/>
        <v>34057</v>
      </c>
    </row>
    <row r="22" spans="1:12" s="7" customFormat="1" ht="15" customHeight="1" outlineLevel="1" x14ac:dyDescent="0.2">
      <c r="A22" s="1020" t="s">
        <v>1148</v>
      </c>
      <c r="B22" s="1047" t="s">
        <v>228</v>
      </c>
      <c r="C22" s="14" t="s">
        <v>1153</v>
      </c>
      <c r="D22" s="234"/>
      <c r="E22" s="5" t="s">
        <v>153</v>
      </c>
      <c r="F22" s="20" t="s">
        <v>218</v>
      </c>
      <c r="G22" s="375">
        <v>15000</v>
      </c>
      <c r="H22" s="1018">
        <v>15000</v>
      </c>
      <c r="I22" s="375">
        <v>6009</v>
      </c>
      <c r="J22" s="375"/>
      <c r="K22" s="1009">
        <f t="shared" si="0"/>
        <v>15000</v>
      </c>
    </row>
    <row r="23" spans="1:12" s="1008" customFormat="1" ht="15" customHeight="1" outlineLevel="1" x14ac:dyDescent="0.2">
      <c r="A23" s="1020" t="s">
        <v>1148</v>
      </c>
      <c r="B23" s="1047"/>
      <c r="C23" s="14" t="s">
        <v>1154</v>
      </c>
      <c r="D23" s="247" t="s">
        <v>1131</v>
      </c>
      <c r="E23" s="1028" t="s">
        <v>153</v>
      </c>
      <c r="F23" s="20" t="s">
        <v>1152</v>
      </c>
      <c r="G23" s="1018">
        <v>0</v>
      </c>
      <c r="H23" s="1018">
        <v>0</v>
      </c>
      <c r="I23" s="1018">
        <v>0</v>
      </c>
      <c r="J23" s="1018">
        <v>1668</v>
      </c>
      <c r="K23" s="1009">
        <f t="shared" si="0"/>
        <v>1668</v>
      </c>
      <c r="L23" s="1181">
        <f>K22*11.123%</f>
        <v>1668.45</v>
      </c>
    </row>
    <row r="24" spans="1:12" s="7" customFormat="1" ht="15" customHeight="1" outlineLevel="1" x14ac:dyDescent="0.2">
      <c r="A24" s="1019" t="s">
        <v>244</v>
      </c>
      <c r="B24" s="1073"/>
      <c r="C24" s="1074" t="s">
        <v>1104</v>
      </c>
      <c r="D24" s="680"/>
      <c r="E24" s="681" t="s">
        <v>163</v>
      </c>
      <c r="F24" s="1075" t="s">
        <v>947</v>
      </c>
      <c r="G24" s="662">
        <v>0</v>
      </c>
      <c r="H24" s="662">
        <v>8500</v>
      </c>
      <c r="I24" s="662">
        <v>9810</v>
      </c>
      <c r="J24" s="662"/>
      <c r="K24" s="1042">
        <f t="shared" si="0"/>
        <v>0</v>
      </c>
    </row>
    <row r="25" spans="1:12" s="1008" customFormat="1" ht="15" customHeight="1" outlineLevel="1" x14ac:dyDescent="0.2">
      <c r="A25" s="1019" t="s">
        <v>244</v>
      </c>
      <c r="B25" s="1073"/>
      <c r="C25" s="1074" t="s">
        <v>1105</v>
      </c>
      <c r="D25" s="1019"/>
      <c r="E25" s="1005" t="s">
        <v>163</v>
      </c>
      <c r="F25" s="1075" t="s">
        <v>1107</v>
      </c>
      <c r="G25" s="662"/>
      <c r="H25" s="662">
        <v>1000</v>
      </c>
      <c r="I25" s="662">
        <v>323</v>
      </c>
      <c r="J25" s="662"/>
      <c r="K25" s="1042">
        <f t="shared" si="0"/>
        <v>0</v>
      </c>
    </row>
    <row r="26" spans="1:12" s="1008" customFormat="1" ht="15" customHeight="1" outlineLevel="1" x14ac:dyDescent="0.2">
      <c r="A26" s="1019" t="s">
        <v>244</v>
      </c>
      <c r="B26" s="1073"/>
      <c r="C26" s="1074" t="s">
        <v>1106</v>
      </c>
      <c r="D26" s="1019"/>
      <c r="E26" s="1005" t="s">
        <v>163</v>
      </c>
      <c r="F26" s="1075" t="s">
        <v>1108</v>
      </c>
      <c r="G26" s="662"/>
      <c r="H26" s="662"/>
      <c r="I26" s="662">
        <v>1088</v>
      </c>
      <c r="J26" s="662"/>
      <c r="K26" s="1042">
        <f t="shared" si="0"/>
        <v>0</v>
      </c>
    </row>
    <row r="27" spans="1:12" s="7" customFormat="1" ht="15" customHeight="1" outlineLevel="1" x14ac:dyDescent="0.2">
      <c r="A27" s="1019" t="s">
        <v>244</v>
      </c>
      <c r="B27" s="1073"/>
      <c r="C27" s="1074" t="s">
        <v>229</v>
      </c>
      <c r="D27" s="1154" t="s">
        <v>1133</v>
      </c>
      <c r="E27" s="681" t="s">
        <v>163</v>
      </c>
      <c r="F27" s="1075" t="s">
        <v>219</v>
      </c>
      <c r="G27" s="662">
        <v>10000</v>
      </c>
      <c r="H27" s="662">
        <v>1500</v>
      </c>
      <c r="I27" s="662">
        <v>2260</v>
      </c>
      <c r="J27" s="662">
        <v>-10000</v>
      </c>
      <c r="K27" s="1042">
        <f t="shared" si="0"/>
        <v>0</v>
      </c>
    </row>
    <row r="28" spans="1:12" s="7" customFormat="1" ht="15" customHeight="1" outlineLevel="2" x14ac:dyDescent="0.2">
      <c r="A28" s="1019" t="s">
        <v>244</v>
      </c>
      <c r="B28" s="1073"/>
      <c r="C28" s="1074" t="s">
        <v>1109</v>
      </c>
      <c r="D28" s="680"/>
      <c r="E28" s="683" t="s">
        <v>163</v>
      </c>
      <c r="F28" s="1075" t="s">
        <v>1110</v>
      </c>
      <c r="G28" s="662">
        <v>0</v>
      </c>
      <c r="H28" s="662">
        <v>150</v>
      </c>
      <c r="I28" s="662"/>
      <c r="J28" s="662"/>
      <c r="K28" s="1042">
        <f t="shared" si="0"/>
        <v>0</v>
      </c>
    </row>
    <row r="29" spans="1:12" s="1008" customFormat="1" ht="15" customHeight="1" outlineLevel="2" x14ac:dyDescent="0.2">
      <c r="A29" s="1019" t="s">
        <v>244</v>
      </c>
      <c r="B29" s="1073"/>
      <c r="C29" s="1074" t="s">
        <v>1085</v>
      </c>
      <c r="D29" s="1019"/>
      <c r="E29" s="1069" t="s">
        <v>163</v>
      </c>
      <c r="F29" s="1075" t="s">
        <v>1111</v>
      </c>
      <c r="G29" s="662"/>
      <c r="H29" s="662">
        <v>15000</v>
      </c>
      <c r="I29" s="662"/>
      <c r="J29" s="662"/>
      <c r="K29" s="1042">
        <f t="shared" si="0"/>
        <v>0</v>
      </c>
    </row>
    <row r="30" spans="1:12" s="1008" customFormat="1" ht="15" customHeight="1" outlineLevel="2" x14ac:dyDescent="0.2">
      <c r="A30" s="1019" t="s">
        <v>244</v>
      </c>
      <c r="B30" s="1073"/>
      <c r="C30" s="1074" t="s">
        <v>1113</v>
      </c>
      <c r="D30" s="1019"/>
      <c r="E30" s="1069" t="s">
        <v>163</v>
      </c>
      <c r="F30" s="1075" t="s">
        <v>1112</v>
      </c>
      <c r="G30" s="662"/>
      <c r="H30" s="662">
        <v>8000</v>
      </c>
      <c r="I30" s="662">
        <v>223</v>
      </c>
      <c r="J30" s="662"/>
      <c r="K30" s="1042">
        <f t="shared" si="0"/>
        <v>0</v>
      </c>
    </row>
    <row r="31" spans="1:12" s="7" customFormat="1" ht="15" customHeight="1" outlineLevel="1" x14ac:dyDescent="0.2">
      <c r="A31" s="1019" t="s">
        <v>244</v>
      </c>
      <c r="B31" s="1073" t="s">
        <v>228</v>
      </c>
      <c r="C31" s="1074" t="s">
        <v>232</v>
      </c>
      <c r="D31" s="680" t="s">
        <v>1118</v>
      </c>
      <c r="E31" s="1076" t="s">
        <v>163</v>
      </c>
      <c r="F31" s="1075" t="s">
        <v>222</v>
      </c>
      <c r="G31" s="662">
        <v>19137</v>
      </c>
      <c r="H31" s="662">
        <v>19137</v>
      </c>
      <c r="I31" s="662">
        <v>19137</v>
      </c>
      <c r="J31" s="662">
        <v>-286</v>
      </c>
      <c r="K31" s="1042">
        <f t="shared" si="0"/>
        <v>18851</v>
      </c>
    </row>
    <row r="32" spans="1:12" s="394" customFormat="1" ht="15" customHeight="1" outlineLevel="1" x14ac:dyDescent="0.2">
      <c r="A32" s="1077" t="s">
        <v>244</v>
      </c>
      <c r="B32" s="1087"/>
      <c r="C32" s="1088" t="s">
        <v>181</v>
      </c>
      <c r="D32" s="1077" t="s">
        <v>1134</v>
      </c>
      <c r="E32" s="1089" t="s">
        <v>163</v>
      </c>
      <c r="F32" s="1086" t="s">
        <v>428</v>
      </c>
      <c r="G32" s="1082">
        <f>SUM(G24:G31)</f>
        <v>29137</v>
      </c>
      <c r="H32" s="1082">
        <f t="shared" ref="H32:J32" si="1">SUM(H24:H31)</f>
        <v>53287</v>
      </c>
      <c r="I32" s="1082">
        <f t="shared" si="1"/>
        <v>32841</v>
      </c>
      <c r="J32" s="1082">
        <f t="shared" si="1"/>
        <v>-10286</v>
      </c>
      <c r="K32" s="1097">
        <f t="shared" si="0"/>
        <v>18851</v>
      </c>
    </row>
    <row r="33" spans="1:12" s="416" customFormat="1" ht="15" customHeight="1" outlineLevel="1" x14ac:dyDescent="0.2">
      <c r="A33" s="1020" t="s">
        <v>234</v>
      </c>
      <c r="B33" s="1048" t="s">
        <v>171</v>
      </c>
      <c r="C33" s="234" t="s">
        <v>60</v>
      </c>
      <c r="D33" s="229" t="s">
        <v>1135</v>
      </c>
      <c r="E33" s="49" t="s">
        <v>163</v>
      </c>
      <c r="F33" s="48" t="s">
        <v>383</v>
      </c>
      <c r="G33" s="375">
        <v>340397</v>
      </c>
      <c r="H33" s="1018">
        <v>340397</v>
      </c>
      <c r="I33" s="375">
        <v>218683</v>
      </c>
      <c r="J33" s="375">
        <v>73603</v>
      </c>
      <c r="K33" s="1009">
        <f t="shared" si="0"/>
        <v>414000</v>
      </c>
    </row>
    <row r="34" spans="1:12" s="416" customFormat="1" ht="15" customHeight="1" outlineLevel="1" x14ac:dyDescent="0.2">
      <c r="A34" s="1020" t="s">
        <v>234</v>
      </c>
      <c r="B34" s="1049" t="s">
        <v>171</v>
      </c>
      <c r="C34" s="264" t="s">
        <v>329</v>
      </c>
      <c r="D34" s="1020" t="s">
        <v>1135</v>
      </c>
      <c r="E34" s="17" t="s">
        <v>163</v>
      </c>
      <c r="F34" s="29" t="s">
        <v>384</v>
      </c>
      <c r="G34" s="375">
        <v>81876</v>
      </c>
      <c r="H34" s="1018">
        <v>81876</v>
      </c>
      <c r="I34" s="375"/>
      <c r="J34" s="375">
        <v>12910</v>
      </c>
      <c r="K34" s="1009">
        <f t="shared" si="0"/>
        <v>94786</v>
      </c>
    </row>
    <row r="35" spans="1:12" s="416" customFormat="1" ht="15" customHeight="1" outlineLevel="1" x14ac:dyDescent="0.2">
      <c r="A35" s="1020" t="s">
        <v>234</v>
      </c>
      <c r="B35" s="1049"/>
      <c r="C35" s="370" t="s">
        <v>745</v>
      </c>
      <c r="D35" s="1020" t="s">
        <v>143</v>
      </c>
      <c r="E35" s="34" t="s">
        <v>167</v>
      </c>
      <c r="F35" s="41" t="s">
        <v>759</v>
      </c>
      <c r="G35" s="375">
        <v>2500</v>
      </c>
      <c r="H35" s="1018">
        <v>2500</v>
      </c>
      <c r="I35" s="375">
        <v>2625</v>
      </c>
      <c r="J35" s="375">
        <v>125</v>
      </c>
      <c r="K35" s="1009">
        <f t="shared" si="0"/>
        <v>2625</v>
      </c>
    </row>
    <row r="36" spans="1:12" s="7" customFormat="1" ht="15" customHeight="1" outlineLevel="1" x14ac:dyDescent="0.2">
      <c r="A36" s="1020" t="s">
        <v>234</v>
      </c>
      <c r="B36" s="1047" t="s">
        <v>228</v>
      </c>
      <c r="C36" s="14" t="s">
        <v>1144</v>
      </c>
      <c r="D36" s="227"/>
      <c r="E36" s="5" t="s">
        <v>154</v>
      </c>
      <c r="F36" s="20" t="s">
        <v>403</v>
      </c>
      <c r="G36" s="1018">
        <v>9950</v>
      </c>
      <c r="H36" s="1018">
        <v>37299</v>
      </c>
      <c r="I36" s="1018">
        <v>18242</v>
      </c>
      <c r="J36" s="1018"/>
      <c r="K36" s="1009">
        <f t="shared" si="0"/>
        <v>9950</v>
      </c>
    </row>
    <row r="37" spans="1:12" s="1008" customFormat="1" ht="15" customHeight="1" outlineLevel="1" x14ac:dyDescent="0.2">
      <c r="A37" s="1020" t="s">
        <v>234</v>
      </c>
      <c r="B37" s="1047"/>
      <c r="C37" s="1020" t="s">
        <v>1142</v>
      </c>
      <c r="D37" s="1003"/>
      <c r="E37" s="1028" t="s">
        <v>154</v>
      </c>
      <c r="F37" s="20" t="s">
        <v>403</v>
      </c>
      <c r="G37" s="1018">
        <v>8160</v>
      </c>
      <c r="H37" s="1018"/>
      <c r="I37" s="1018"/>
      <c r="J37" s="1018"/>
      <c r="K37" s="1009">
        <f t="shared" si="0"/>
        <v>8160</v>
      </c>
    </row>
    <row r="38" spans="1:12" s="1008" customFormat="1" ht="15" customHeight="1" outlineLevel="1" x14ac:dyDescent="0.2">
      <c r="A38" s="1020" t="s">
        <v>234</v>
      </c>
      <c r="B38" s="1047"/>
      <c r="C38" s="1020" t="s">
        <v>1143</v>
      </c>
      <c r="D38" s="1003" t="s">
        <v>143</v>
      </c>
      <c r="E38" s="1028" t="s">
        <v>154</v>
      </c>
      <c r="F38" s="20" t="s">
        <v>403</v>
      </c>
      <c r="G38" s="1018">
        <v>949</v>
      </c>
      <c r="H38" s="1018"/>
      <c r="I38" s="1018"/>
      <c r="J38" s="1018">
        <v>38</v>
      </c>
      <c r="K38" s="1009">
        <f t="shared" si="0"/>
        <v>987</v>
      </c>
    </row>
    <row r="39" spans="1:12" s="7" customFormat="1" ht="15" customHeight="1" outlineLevel="1" x14ac:dyDescent="0.2">
      <c r="A39" s="1020" t="s">
        <v>234</v>
      </c>
      <c r="B39" s="1047" t="s">
        <v>228</v>
      </c>
      <c r="C39" s="14" t="s">
        <v>280</v>
      </c>
      <c r="D39" s="227"/>
      <c r="E39" s="5" t="s">
        <v>154</v>
      </c>
      <c r="F39" s="20" t="s">
        <v>216</v>
      </c>
      <c r="G39" s="375">
        <v>11800</v>
      </c>
      <c r="H39" s="1018">
        <v>11800</v>
      </c>
      <c r="I39" s="375">
        <v>11800</v>
      </c>
      <c r="J39" s="375"/>
      <c r="K39" s="1009">
        <f t="shared" si="0"/>
        <v>11800</v>
      </c>
    </row>
    <row r="40" spans="1:12" s="322" customFormat="1" ht="15" customHeight="1" outlineLevel="1" x14ac:dyDescent="0.2">
      <c r="A40" s="1020" t="s">
        <v>234</v>
      </c>
      <c r="B40" s="1047" t="s">
        <v>228</v>
      </c>
      <c r="C40" s="14" t="s">
        <v>1155</v>
      </c>
      <c r="D40" s="227"/>
      <c r="E40" s="5" t="s">
        <v>154</v>
      </c>
      <c r="F40" s="20" t="s">
        <v>216</v>
      </c>
      <c r="G40" s="1018">
        <v>0</v>
      </c>
      <c r="H40" s="1018">
        <v>0</v>
      </c>
      <c r="I40" s="1018">
        <v>0</v>
      </c>
      <c r="J40" s="1018">
        <v>15000</v>
      </c>
      <c r="K40" s="1009">
        <f t="shared" ref="K40" si="2">G40+J40</f>
        <v>15000</v>
      </c>
    </row>
    <row r="41" spans="1:12" s="446" customFormat="1" ht="15" customHeight="1" outlineLevel="1" x14ac:dyDescent="0.2">
      <c r="A41" s="1020" t="s">
        <v>234</v>
      </c>
      <c r="B41" s="1050" t="s">
        <v>127</v>
      </c>
      <c r="C41" s="1173" t="s">
        <v>334</v>
      </c>
      <c r="D41" s="251"/>
      <c r="E41" s="626" t="s">
        <v>154</v>
      </c>
      <c r="F41" s="29" t="s">
        <v>740</v>
      </c>
      <c r="G41" s="375">
        <v>6500</v>
      </c>
      <c r="H41" s="1018">
        <v>6500</v>
      </c>
      <c r="I41" s="375">
        <v>0</v>
      </c>
      <c r="J41" s="375"/>
      <c r="K41" s="1009">
        <f t="shared" si="0"/>
        <v>6500</v>
      </c>
    </row>
    <row r="42" spans="1:12" s="446" customFormat="1" ht="15" customHeight="1" outlineLevel="1" x14ac:dyDescent="0.2">
      <c r="A42" s="1020" t="s">
        <v>234</v>
      </c>
      <c r="B42" s="1045" t="s">
        <v>127</v>
      </c>
      <c r="C42" s="234" t="s">
        <v>66</v>
      </c>
      <c r="D42" s="1155" t="s">
        <v>1119</v>
      </c>
      <c r="E42" s="611" t="s">
        <v>154</v>
      </c>
      <c r="F42" s="48" t="s">
        <v>373</v>
      </c>
      <c r="G42" s="375">
        <v>82626</v>
      </c>
      <c r="H42" s="1018">
        <v>82626</v>
      </c>
      <c r="I42" s="375">
        <v>82626</v>
      </c>
      <c r="J42" s="375">
        <v>4131</v>
      </c>
      <c r="K42" s="1009">
        <f t="shared" si="0"/>
        <v>86757</v>
      </c>
    </row>
    <row r="43" spans="1:12" s="74" customFormat="1" ht="15" customHeight="1" outlineLevel="1" x14ac:dyDescent="0.2">
      <c r="A43" s="1051" t="s">
        <v>234</v>
      </c>
      <c r="B43" s="1052" t="s">
        <v>127</v>
      </c>
      <c r="C43" s="1053" t="s">
        <v>401</v>
      </c>
      <c r="D43" s="1054" t="s">
        <v>1136</v>
      </c>
      <c r="E43" s="1055" t="s">
        <v>154</v>
      </c>
      <c r="F43" s="1056" t="s">
        <v>374</v>
      </c>
      <c r="G43" s="1057">
        <v>15609</v>
      </c>
      <c r="H43" s="1057">
        <v>15609</v>
      </c>
      <c r="I43" s="1057">
        <v>11400</v>
      </c>
      <c r="J43" s="1057">
        <v>-15609</v>
      </c>
      <c r="K43" s="1009">
        <f t="shared" si="0"/>
        <v>0</v>
      </c>
      <c r="L43" s="1149">
        <f>SUM(G44,J44)</f>
        <v>851051</v>
      </c>
    </row>
    <row r="44" spans="1:12" s="134" customFormat="1" ht="15" customHeight="1" outlineLevel="1" x14ac:dyDescent="0.2">
      <c r="A44" s="1108"/>
      <c r="B44" s="1109"/>
      <c r="C44" s="1110"/>
      <c r="D44" s="1110"/>
      <c r="E44" s="1110"/>
      <c r="F44" s="1111" t="s">
        <v>209</v>
      </c>
      <c r="G44" s="1059">
        <f>SUM(G10,G15:G22,G32:G43)</f>
        <v>758309</v>
      </c>
      <c r="H44" s="1059">
        <f>SUM(H10,H15:H22,H32:H43)</f>
        <v>800699</v>
      </c>
      <c r="I44" s="1059">
        <f>SUM(I10,I15:I22,I32:I43)</f>
        <v>488842</v>
      </c>
      <c r="J44" s="1059">
        <f>SUM(J10,J15:J22,J32:J43)</f>
        <v>92742</v>
      </c>
      <c r="K44" s="1059">
        <f>SUM(K10,K15:K22,K32:K43)</f>
        <v>851051</v>
      </c>
    </row>
    <row r="45" spans="1:12" s="135" customFormat="1" ht="25.15" customHeight="1" outlineLevel="1" x14ac:dyDescent="0.2">
      <c r="A45" s="127"/>
      <c r="B45" s="128"/>
      <c r="C45" s="129"/>
      <c r="D45" s="127"/>
      <c r="E45" s="127"/>
      <c r="F45" s="130"/>
      <c r="G45" s="574"/>
      <c r="H45" s="996"/>
      <c r="I45" s="574"/>
      <c r="J45" s="574"/>
      <c r="K45" s="574"/>
    </row>
    <row r="46" spans="1:12" s="1066" customFormat="1" ht="15.75" outlineLevel="1" thickBot="1" x14ac:dyDescent="0.25">
      <c r="A46" s="1000" t="s">
        <v>177</v>
      </c>
      <c r="B46" s="134"/>
      <c r="C46" s="1000"/>
      <c r="D46" s="134"/>
      <c r="E46" s="134"/>
      <c r="F46" s="134"/>
      <c r="G46" s="574"/>
      <c r="H46" s="996"/>
      <c r="I46" s="574"/>
      <c r="J46" s="574"/>
      <c r="K46" s="574"/>
    </row>
    <row r="47" spans="1:12" s="1066" customFormat="1" ht="45.75" outlineLevel="1" thickBot="1" x14ac:dyDescent="0.25">
      <c r="A47" s="1060" t="s">
        <v>148</v>
      </c>
      <c r="B47" s="1061" t="s">
        <v>125</v>
      </c>
      <c r="C47" s="1062" t="s">
        <v>61</v>
      </c>
      <c r="D47" s="1063" t="s">
        <v>147</v>
      </c>
      <c r="E47" s="1062" t="s">
        <v>149</v>
      </c>
      <c r="F47" s="1062" t="s">
        <v>62</v>
      </c>
      <c r="G47" s="1064" t="s">
        <v>1074</v>
      </c>
      <c r="H47" s="1064" t="s">
        <v>1101</v>
      </c>
      <c r="I47" s="1064" t="s">
        <v>1076</v>
      </c>
      <c r="J47" s="1065" t="s">
        <v>1075</v>
      </c>
      <c r="K47" s="1064" t="s">
        <v>1090</v>
      </c>
    </row>
    <row r="48" spans="1:12" s="7" customFormat="1" ht="15" customHeight="1" outlineLevel="2" x14ac:dyDescent="0.2">
      <c r="A48" s="680"/>
      <c r="B48" s="1002"/>
      <c r="C48" s="1019" t="s">
        <v>207</v>
      </c>
      <c r="D48" s="1019"/>
      <c r="E48" s="1005"/>
      <c r="F48" s="1005" t="s">
        <v>193</v>
      </c>
      <c r="G48" s="781">
        <v>1100</v>
      </c>
      <c r="H48" s="1042">
        <v>1100</v>
      </c>
      <c r="I48" s="1070">
        <v>0</v>
      </c>
      <c r="J48" s="781">
        <v>0</v>
      </c>
      <c r="K48" s="781">
        <f>G48+J48</f>
        <v>1100</v>
      </c>
    </row>
    <row r="49" spans="1:12" s="1008" customFormat="1" ht="15" customHeight="1" outlineLevel="2" x14ac:dyDescent="0.2">
      <c r="A49" s="680"/>
      <c r="B49" s="1002"/>
      <c r="C49" s="1019" t="s">
        <v>207</v>
      </c>
      <c r="D49" s="1019"/>
      <c r="E49" s="1005"/>
      <c r="F49" s="1005" t="s">
        <v>194</v>
      </c>
      <c r="G49" s="662">
        <v>3300</v>
      </c>
      <c r="H49" s="662">
        <v>3300</v>
      </c>
      <c r="I49" s="662">
        <v>0</v>
      </c>
      <c r="J49" s="662">
        <v>0</v>
      </c>
      <c r="K49" s="781">
        <f t="shared" ref="K49:K89" si="3">G49+J49</f>
        <v>3300</v>
      </c>
    </row>
    <row r="50" spans="1:12" s="631" customFormat="1" ht="15" customHeight="1" outlineLevel="1" x14ac:dyDescent="0.2">
      <c r="A50" s="1010"/>
      <c r="B50" s="1007"/>
      <c r="C50" s="1019" t="s">
        <v>1083</v>
      </c>
      <c r="D50" s="1019"/>
      <c r="E50" s="1005"/>
      <c r="F50" s="1012" t="s">
        <v>1084</v>
      </c>
      <c r="G50" s="1071"/>
      <c r="H50" s="662">
        <v>5000</v>
      </c>
      <c r="I50" s="1071">
        <v>5000</v>
      </c>
      <c r="J50" s="1071">
        <v>0</v>
      </c>
      <c r="K50" s="781">
        <f t="shared" si="3"/>
        <v>0</v>
      </c>
    </row>
    <row r="51" spans="1:12" s="1083" customFormat="1" ht="15" customHeight="1" outlineLevel="1" x14ac:dyDescent="0.2">
      <c r="A51" s="1019"/>
      <c r="B51" s="1068"/>
      <c r="C51" s="692" t="s">
        <v>999</v>
      </c>
      <c r="D51" s="1094" t="s">
        <v>1159</v>
      </c>
      <c r="E51" s="1095" t="s">
        <v>163</v>
      </c>
      <c r="F51" s="695" t="s">
        <v>1001</v>
      </c>
      <c r="G51" s="1071">
        <v>5000</v>
      </c>
      <c r="H51" s="662"/>
      <c r="I51" s="1071"/>
      <c r="J51" s="1071"/>
      <c r="K51" s="781">
        <f t="shared" si="3"/>
        <v>5000</v>
      </c>
    </row>
    <row r="52" spans="1:12" s="1083" customFormat="1" ht="15" customHeight="1" outlineLevel="1" x14ac:dyDescent="0.2">
      <c r="A52" s="1019"/>
      <c r="B52" s="1068"/>
      <c r="C52" s="692" t="s">
        <v>1149</v>
      </c>
      <c r="D52" s="1182" t="s">
        <v>1131</v>
      </c>
      <c r="E52" s="1069" t="s">
        <v>163</v>
      </c>
      <c r="F52" s="695" t="s">
        <v>1150</v>
      </c>
      <c r="G52" s="662"/>
      <c r="H52" s="662"/>
      <c r="I52" s="662"/>
      <c r="J52" s="662">
        <v>556</v>
      </c>
      <c r="K52" s="781">
        <f t="shared" si="3"/>
        <v>556</v>
      </c>
      <c r="L52" s="1183">
        <f>K51*11.123%</f>
        <v>556.15</v>
      </c>
    </row>
    <row r="53" spans="1:12" s="7" customFormat="1" ht="15" customHeight="1" outlineLevel="2" x14ac:dyDescent="0.2">
      <c r="A53" s="995" t="s">
        <v>416</v>
      </c>
      <c r="B53" s="1092" t="s">
        <v>245</v>
      </c>
      <c r="C53" s="1093" t="s">
        <v>276</v>
      </c>
      <c r="D53" s="1153"/>
      <c r="E53" s="1080" t="s">
        <v>163</v>
      </c>
      <c r="F53" s="1081" t="s">
        <v>428</v>
      </c>
      <c r="G53" s="1082">
        <f>SUM(G48:G51)</f>
        <v>9400</v>
      </c>
      <c r="H53" s="1082">
        <f>SUM(H48:H51)</f>
        <v>9400</v>
      </c>
      <c r="I53" s="1082">
        <f t="shared" ref="I53" si="4">SUM(I48:I51)</f>
        <v>5000</v>
      </c>
      <c r="J53" s="1082">
        <f>SUM(J48:J52)</f>
        <v>556</v>
      </c>
      <c r="K53" s="1184">
        <f t="shared" si="3"/>
        <v>9956</v>
      </c>
    </row>
    <row r="54" spans="1:12" s="7" customFormat="1" ht="15" customHeight="1" outlineLevel="2" x14ac:dyDescent="0.2">
      <c r="A54" s="680"/>
      <c r="B54" s="998"/>
      <c r="C54" s="1067" t="s">
        <v>182</v>
      </c>
      <c r="D54" s="1019"/>
      <c r="E54" s="1005"/>
      <c r="F54" s="1005" t="s">
        <v>196</v>
      </c>
      <c r="G54" s="662">
        <v>3660</v>
      </c>
      <c r="H54" s="662">
        <v>3660</v>
      </c>
      <c r="I54" s="662">
        <v>442</v>
      </c>
      <c r="J54" s="662">
        <v>0</v>
      </c>
      <c r="K54" s="781">
        <f t="shared" si="3"/>
        <v>3660</v>
      </c>
    </row>
    <row r="55" spans="1:12" s="7" customFormat="1" ht="15" customHeight="1" outlineLevel="2" x14ac:dyDescent="0.2">
      <c r="A55" s="680"/>
      <c r="B55" s="998"/>
      <c r="C55" s="1067" t="s">
        <v>182</v>
      </c>
      <c r="D55" s="1068"/>
      <c r="E55" s="1069"/>
      <c r="F55" s="1005" t="s">
        <v>197</v>
      </c>
      <c r="G55" s="662">
        <v>440</v>
      </c>
      <c r="H55" s="662">
        <v>440</v>
      </c>
      <c r="I55" s="662"/>
      <c r="J55" s="662">
        <v>0</v>
      </c>
      <c r="K55" s="781">
        <f t="shared" si="3"/>
        <v>440</v>
      </c>
    </row>
    <row r="56" spans="1:12" s="1083" customFormat="1" ht="15" customHeight="1" outlineLevel="1" x14ac:dyDescent="0.2">
      <c r="A56" s="680"/>
      <c r="B56" s="998"/>
      <c r="C56" s="1067" t="s">
        <v>182</v>
      </c>
      <c r="D56" s="1068"/>
      <c r="E56" s="1069"/>
      <c r="F56" s="1005" t="s">
        <v>198</v>
      </c>
      <c r="G56" s="662">
        <v>300</v>
      </c>
      <c r="H56" s="662">
        <v>300</v>
      </c>
      <c r="I56" s="662"/>
      <c r="J56" s="662">
        <v>0</v>
      </c>
      <c r="K56" s="781">
        <f t="shared" si="3"/>
        <v>300</v>
      </c>
    </row>
    <row r="57" spans="1:12" s="7" customFormat="1" ht="15" customHeight="1" outlineLevel="1" x14ac:dyDescent="0.2">
      <c r="A57" s="1098" t="s">
        <v>416</v>
      </c>
      <c r="B57" s="1099" t="s">
        <v>245</v>
      </c>
      <c r="C57" s="1100" t="s">
        <v>182</v>
      </c>
      <c r="D57" s="1153"/>
      <c r="E57" s="1101" t="s">
        <v>163</v>
      </c>
      <c r="F57" s="1102" t="s">
        <v>428</v>
      </c>
      <c r="G57" s="989">
        <f>SUM(G54:G56)</f>
        <v>4400</v>
      </c>
      <c r="H57" s="989">
        <f t="shared" ref="H57:J57" si="5">SUM(H54:H56)</f>
        <v>4400</v>
      </c>
      <c r="I57" s="989">
        <f t="shared" si="5"/>
        <v>442</v>
      </c>
      <c r="J57" s="989">
        <f t="shared" si="5"/>
        <v>0</v>
      </c>
      <c r="K57" s="1184">
        <f t="shared" si="3"/>
        <v>4400</v>
      </c>
    </row>
    <row r="58" spans="1:12" s="7" customFormat="1" ht="15" customHeight="1" outlineLevel="1" x14ac:dyDescent="0.2">
      <c r="A58" s="6" t="s">
        <v>234</v>
      </c>
      <c r="B58" s="12" t="s">
        <v>245</v>
      </c>
      <c r="C58" s="1027" t="s">
        <v>278</v>
      </c>
      <c r="D58" s="1021" t="s">
        <v>1139</v>
      </c>
      <c r="E58" s="1025" t="s">
        <v>153</v>
      </c>
      <c r="F58" s="1022" t="s">
        <v>185</v>
      </c>
      <c r="G58" s="1023">
        <v>33200</v>
      </c>
      <c r="H58" s="1018">
        <v>33200</v>
      </c>
      <c r="I58" s="1023">
        <v>5491</v>
      </c>
      <c r="J58" s="1023"/>
      <c r="K58" s="780">
        <f t="shared" si="3"/>
        <v>33200</v>
      </c>
    </row>
    <row r="59" spans="1:12" s="7" customFormat="1" ht="15" customHeight="1" outlineLevel="1" x14ac:dyDescent="0.2">
      <c r="A59" s="6" t="s">
        <v>234</v>
      </c>
      <c r="B59" s="12" t="s">
        <v>245</v>
      </c>
      <c r="C59" s="1027" t="s">
        <v>1129</v>
      </c>
      <c r="D59" s="1020"/>
      <c r="E59" s="1028" t="s">
        <v>153</v>
      </c>
      <c r="F59" s="1022" t="s">
        <v>186</v>
      </c>
      <c r="G59" s="1018"/>
      <c r="H59" s="1018"/>
      <c r="I59" s="1018"/>
      <c r="J59" s="1018"/>
      <c r="K59" s="780">
        <f t="shared" si="3"/>
        <v>0</v>
      </c>
    </row>
    <row r="60" spans="1:12" s="1008" customFormat="1" ht="15" customHeight="1" outlineLevel="1" x14ac:dyDescent="0.2">
      <c r="A60" s="6" t="s">
        <v>234</v>
      </c>
      <c r="B60" s="12" t="s">
        <v>245</v>
      </c>
      <c r="C60" s="1027" t="s">
        <v>1130</v>
      </c>
      <c r="D60" s="1051"/>
      <c r="E60" s="1025" t="s">
        <v>153</v>
      </c>
      <c r="F60" s="1022" t="s">
        <v>1137</v>
      </c>
      <c r="G60" s="1023">
        <v>0</v>
      </c>
      <c r="H60" s="1023">
        <v>0</v>
      </c>
      <c r="I60" s="1023">
        <v>0</v>
      </c>
      <c r="J60" s="1023">
        <v>0</v>
      </c>
      <c r="K60" s="780">
        <f t="shared" si="3"/>
        <v>0</v>
      </c>
    </row>
    <row r="61" spans="1:12" s="7" customFormat="1" ht="15" customHeight="1" outlineLevel="1" x14ac:dyDescent="0.2">
      <c r="A61" s="231" t="s">
        <v>263</v>
      </c>
      <c r="B61" s="255" t="s">
        <v>245</v>
      </c>
      <c r="C61" s="1026" t="s">
        <v>293</v>
      </c>
      <c r="D61" s="1026" t="s">
        <v>143</v>
      </c>
      <c r="E61" s="1028" t="s">
        <v>154</v>
      </c>
      <c r="F61" s="1029" t="s">
        <v>274</v>
      </c>
      <c r="G61" s="1018">
        <v>40155</v>
      </c>
      <c r="H61" s="1018">
        <v>40155</v>
      </c>
      <c r="I61" s="1018">
        <v>39339</v>
      </c>
      <c r="J61" s="1018">
        <v>2345</v>
      </c>
      <c r="K61" s="780">
        <f t="shared" si="3"/>
        <v>42500</v>
      </c>
    </row>
    <row r="62" spans="1:12" s="7" customFormat="1" ht="15" customHeight="1" outlineLevel="1" x14ac:dyDescent="0.2">
      <c r="A62" s="6" t="s">
        <v>234</v>
      </c>
      <c r="B62" s="12" t="s">
        <v>245</v>
      </c>
      <c r="C62" s="14" t="s">
        <v>1121</v>
      </c>
      <c r="D62" s="1020"/>
      <c r="E62" s="1028" t="s">
        <v>163</v>
      </c>
      <c r="F62" s="1022" t="s">
        <v>188</v>
      </c>
      <c r="G62" s="1018">
        <v>79263</v>
      </c>
      <c r="H62" s="1018">
        <v>79263</v>
      </c>
      <c r="I62" s="1018">
        <v>79263</v>
      </c>
      <c r="J62" s="1018"/>
      <c r="K62" s="780">
        <f t="shared" si="3"/>
        <v>79263</v>
      </c>
    </row>
    <row r="63" spans="1:12" s="7" customFormat="1" ht="15" customHeight="1" outlineLevel="1" x14ac:dyDescent="0.2">
      <c r="A63" s="6" t="s">
        <v>234</v>
      </c>
      <c r="B63" s="12" t="s">
        <v>245</v>
      </c>
      <c r="C63" s="1027" t="s">
        <v>1120</v>
      </c>
      <c r="D63" s="1072"/>
      <c r="E63" s="1025" t="s">
        <v>163</v>
      </c>
      <c r="F63" s="1022" t="s">
        <v>1069</v>
      </c>
      <c r="G63" s="1023">
        <v>31305</v>
      </c>
      <c r="H63" s="1018">
        <v>31305</v>
      </c>
      <c r="I63" s="1023">
        <v>31305</v>
      </c>
      <c r="J63" s="1023"/>
      <c r="K63" s="780">
        <f t="shared" si="3"/>
        <v>31305</v>
      </c>
    </row>
    <row r="64" spans="1:12" s="7" customFormat="1" ht="15" customHeight="1" outlineLevel="1" x14ac:dyDescent="0.2">
      <c r="A64" s="6" t="s">
        <v>1148</v>
      </c>
      <c r="B64" s="12" t="s">
        <v>245</v>
      </c>
      <c r="C64" s="14" t="s">
        <v>1153</v>
      </c>
      <c r="D64" s="1024"/>
      <c r="E64" s="1025" t="s">
        <v>153</v>
      </c>
      <c r="F64" s="1022" t="s">
        <v>187</v>
      </c>
      <c r="G64" s="1023">
        <v>22161</v>
      </c>
      <c r="H64" s="1018">
        <v>22161</v>
      </c>
      <c r="I64" s="1018">
        <v>10399</v>
      </c>
      <c r="J64" s="1023"/>
      <c r="K64" s="780">
        <f t="shared" si="3"/>
        <v>22161</v>
      </c>
    </row>
    <row r="65" spans="1:12" s="1008" customFormat="1" ht="15" customHeight="1" outlineLevel="1" x14ac:dyDescent="0.2">
      <c r="A65" s="6" t="s">
        <v>1148</v>
      </c>
      <c r="B65" s="930"/>
      <c r="C65" s="14" t="s">
        <v>1154</v>
      </c>
      <c r="D65" s="1020" t="s">
        <v>1131</v>
      </c>
      <c r="E65" s="1028" t="s">
        <v>153</v>
      </c>
      <c r="F65" s="1022" t="s">
        <v>1151</v>
      </c>
      <c r="G65" s="1018">
        <v>2465</v>
      </c>
      <c r="H65" s="1018">
        <v>2465</v>
      </c>
      <c r="I65" s="1018"/>
      <c r="J65" s="1018"/>
      <c r="K65" s="1009">
        <f t="shared" si="3"/>
        <v>2465</v>
      </c>
    </row>
    <row r="66" spans="1:12" s="631" customFormat="1" ht="15" customHeight="1" outlineLevel="1" x14ac:dyDescent="0.2">
      <c r="A66" s="680" t="s">
        <v>244</v>
      </c>
      <c r="B66" s="690"/>
      <c r="C66" s="693" t="s">
        <v>232</v>
      </c>
      <c r="D66" s="1019" t="s">
        <v>1118</v>
      </c>
      <c r="E66" s="1005" t="s">
        <v>163</v>
      </c>
      <c r="F66" s="695" t="s">
        <v>738</v>
      </c>
      <c r="G66" s="662">
        <v>22159</v>
      </c>
      <c r="H66" s="662">
        <v>22159</v>
      </c>
      <c r="I66" s="662">
        <v>22159</v>
      </c>
      <c r="J66" s="662">
        <v>-3308</v>
      </c>
      <c r="K66" s="781">
        <f t="shared" si="3"/>
        <v>18851</v>
      </c>
    </row>
    <row r="67" spans="1:12" s="631" customFormat="1" ht="15" customHeight="1" outlineLevel="1" x14ac:dyDescent="0.2">
      <c r="A67" s="680" t="s">
        <v>244</v>
      </c>
      <c r="B67" s="691" t="s">
        <v>245</v>
      </c>
      <c r="C67" s="693" t="s">
        <v>954</v>
      </c>
      <c r="D67" s="1156" t="s">
        <v>1138</v>
      </c>
      <c r="E67" s="1005" t="s">
        <v>163</v>
      </c>
      <c r="F67" s="695" t="s">
        <v>779</v>
      </c>
      <c r="G67" s="1071">
        <v>8650</v>
      </c>
      <c r="H67" s="662"/>
      <c r="I67" s="1071"/>
      <c r="J67" s="1071">
        <v>-8650</v>
      </c>
      <c r="K67" s="781">
        <f t="shared" si="3"/>
        <v>0</v>
      </c>
    </row>
    <row r="68" spans="1:12" s="74" customFormat="1" ht="15" customHeight="1" outlineLevel="1" x14ac:dyDescent="0.2">
      <c r="A68" s="680" t="s">
        <v>244</v>
      </c>
      <c r="B68" s="691" t="s">
        <v>245</v>
      </c>
      <c r="C68" s="693" t="s">
        <v>229</v>
      </c>
      <c r="D68" s="1156" t="s">
        <v>1127</v>
      </c>
      <c r="E68" s="1005" t="s">
        <v>163</v>
      </c>
      <c r="F68" s="695" t="s">
        <v>751</v>
      </c>
      <c r="G68" s="662">
        <v>1350</v>
      </c>
      <c r="H68" s="662">
        <v>12080</v>
      </c>
      <c r="I68" s="662">
        <v>1075</v>
      </c>
      <c r="J68" s="662">
        <v>-1350</v>
      </c>
      <c r="K68" s="781">
        <f t="shared" si="3"/>
        <v>0</v>
      </c>
    </row>
    <row r="69" spans="1:12" s="74" customFormat="1" ht="15" customHeight="1" outlineLevel="1" x14ac:dyDescent="0.2">
      <c r="A69" s="680" t="s">
        <v>244</v>
      </c>
      <c r="B69" s="1090" t="s">
        <v>171</v>
      </c>
      <c r="C69" s="693" t="s">
        <v>1085</v>
      </c>
      <c r="D69" s="1019"/>
      <c r="E69" s="1005" t="s">
        <v>163</v>
      </c>
      <c r="F69" s="695" t="s">
        <v>305</v>
      </c>
      <c r="G69" s="662"/>
      <c r="H69" s="662">
        <v>16500</v>
      </c>
      <c r="I69" s="662">
        <v>10146</v>
      </c>
      <c r="J69" s="662"/>
      <c r="K69" s="781">
        <f t="shared" si="3"/>
        <v>0</v>
      </c>
    </row>
    <row r="70" spans="1:12" s="1017" customFormat="1" ht="15" customHeight="1" outlineLevel="1" x14ac:dyDescent="0.2">
      <c r="A70" s="680" t="s">
        <v>244</v>
      </c>
      <c r="B70" s="704" t="s">
        <v>171</v>
      </c>
      <c r="C70" s="693" t="s">
        <v>1086</v>
      </c>
      <c r="D70" s="1019"/>
      <c r="E70" s="1005" t="s">
        <v>163</v>
      </c>
      <c r="F70" s="695" t="s">
        <v>1087</v>
      </c>
      <c r="G70" s="662"/>
      <c r="H70" s="662">
        <v>3500</v>
      </c>
      <c r="I70" s="662">
        <v>1546</v>
      </c>
      <c r="J70" s="662"/>
      <c r="K70" s="781">
        <f t="shared" si="3"/>
        <v>0</v>
      </c>
    </row>
    <row r="71" spans="1:12" s="74" customFormat="1" ht="15" customHeight="1" outlineLevel="1" x14ac:dyDescent="0.2">
      <c r="A71" s="680" t="s">
        <v>244</v>
      </c>
      <c r="B71" s="1151"/>
      <c r="C71" s="693" t="s">
        <v>1114</v>
      </c>
      <c r="D71" s="1019"/>
      <c r="E71" s="1005" t="s">
        <v>163</v>
      </c>
      <c r="F71" s="695" t="s">
        <v>1115</v>
      </c>
      <c r="G71" s="662"/>
      <c r="H71" s="662">
        <v>625</v>
      </c>
      <c r="I71" s="662">
        <v>0</v>
      </c>
      <c r="J71" s="662"/>
      <c r="K71" s="781">
        <f t="shared" si="3"/>
        <v>0</v>
      </c>
    </row>
    <row r="72" spans="1:12" s="673" customFormat="1" ht="15" customHeight="1" outlineLevel="1" x14ac:dyDescent="0.2">
      <c r="A72" s="680" t="s">
        <v>244</v>
      </c>
      <c r="B72" s="1091"/>
      <c r="C72" s="693" t="s">
        <v>1049</v>
      </c>
      <c r="D72" s="1019"/>
      <c r="E72" s="1005" t="s">
        <v>163</v>
      </c>
      <c r="F72" s="695" t="s">
        <v>1037</v>
      </c>
      <c r="G72" s="662"/>
      <c r="H72" s="662"/>
      <c r="I72" s="662"/>
      <c r="J72" s="662"/>
      <c r="K72" s="781">
        <f t="shared" si="3"/>
        <v>0</v>
      </c>
    </row>
    <row r="73" spans="1:12" s="7" customFormat="1" ht="15" customHeight="1" outlineLevel="1" x14ac:dyDescent="0.2">
      <c r="A73" s="399" t="s">
        <v>244</v>
      </c>
      <c r="B73" s="1103"/>
      <c r="C73" s="1104" t="s">
        <v>181</v>
      </c>
      <c r="D73" s="1077" t="s">
        <v>1134</v>
      </c>
      <c r="E73" s="968" t="s">
        <v>163</v>
      </c>
      <c r="F73" s="1102" t="s">
        <v>428</v>
      </c>
      <c r="G73" s="1082">
        <f>SUM(G66:G72)</f>
        <v>32159</v>
      </c>
      <c r="H73" s="1082">
        <f t="shared" ref="H73:J73" si="6">SUM(H66:H72)</f>
        <v>54864</v>
      </c>
      <c r="I73" s="1082">
        <f t="shared" si="6"/>
        <v>34926</v>
      </c>
      <c r="J73" s="1082">
        <f t="shared" si="6"/>
        <v>-13308</v>
      </c>
      <c r="K73" s="1184">
        <f t="shared" si="3"/>
        <v>18851</v>
      </c>
    </row>
    <row r="74" spans="1:12" s="7" customFormat="1" ht="15" customHeight="1" outlineLevel="1" x14ac:dyDescent="0.2">
      <c r="A74" s="1020" t="s">
        <v>234</v>
      </c>
      <c r="B74" s="930" t="s">
        <v>245</v>
      </c>
      <c r="C74" s="1020" t="s">
        <v>60</v>
      </c>
      <c r="D74" s="1020"/>
      <c r="E74" s="1028" t="s">
        <v>163</v>
      </c>
      <c r="F74" s="1030" t="s">
        <v>381</v>
      </c>
      <c r="G74" s="1018">
        <v>468710</v>
      </c>
      <c r="H74" s="1018">
        <v>468710</v>
      </c>
      <c r="I74" s="1018">
        <v>468710</v>
      </c>
      <c r="J74" s="1018"/>
      <c r="K74" s="780">
        <f t="shared" si="3"/>
        <v>468710</v>
      </c>
    </row>
    <row r="75" spans="1:12" s="74" customFormat="1" ht="15" customHeight="1" outlineLevel="1" x14ac:dyDescent="0.2">
      <c r="A75" s="1020" t="s">
        <v>234</v>
      </c>
      <c r="B75" s="930" t="s">
        <v>245</v>
      </c>
      <c r="C75" s="1020" t="s">
        <v>331</v>
      </c>
      <c r="D75" s="1020"/>
      <c r="E75" s="1028" t="s">
        <v>163</v>
      </c>
      <c r="F75" s="1030" t="s">
        <v>382</v>
      </c>
      <c r="G75" s="1018">
        <v>89345</v>
      </c>
      <c r="H75" s="1018">
        <v>89345</v>
      </c>
      <c r="I75" s="1018">
        <v>0</v>
      </c>
      <c r="J75" s="1018"/>
      <c r="K75" s="780">
        <f t="shared" si="3"/>
        <v>89345</v>
      </c>
    </row>
    <row r="76" spans="1:12" s="74" customFormat="1" ht="15" customHeight="1" outlineLevel="1" x14ac:dyDescent="0.2">
      <c r="A76" s="1020" t="s">
        <v>234</v>
      </c>
      <c r="B76" s="354" t="s">
        <v>127</v>
      </c>
      <c r="C76" s="1020" t="s">
        <v>745</v>
      </c>
      <c r="D76" s="1020" t="s">
        <v>143</v>
      </c>
      <c r="E76" s="1028" t="s">
        <v>167</v>
      </c>
      <c r="F76" s="1030" t="s">
        <v>760</v>
      </c>
      <c r="G76" s="1018">
        <v>2500</v>
      </c>
      <c r="H76" s="1018">
        <v>2500</v>
      </c>
      <c r="I76" s="1018">
        <v>2625</v>
      </c>
      <c r="J76" s="1018">
        <v>125</v>
      </c>
      <c r="K76" s="780">
        <f t="shared" si="3"/>
        <v>2625</v>
      </c>
      <c r="L76" s="213"/>
    </row>
    <row r="77" spans="1:12" s="74" customFormat="1" ht="15" customHeight="1" outlineLevel="1" x14ac:dyDescent="0.2">
      <c r="A77" s="1020" t="s">
        <v>234</v>
      </c>
      <c r="B77" s="354" t="s">
        <v>127</v>
      </c>
      <c r="C77" s="1020" t="s">
        <v>1144</v>
      </c>
      <c r="D77" s="1020"/>
      <c r="E77" s="1028" t="s">
        <v>154</v>
      </c>
      <c r="F77" s="1030" t="s">
        <v>404</v>
      </c>
      <c r="G77" s="1018">
        <v>9950</v>
      </c>
      <c r="H77" s="1018">
        <v>19057</v>
      </c>
      <c r="I77" s="1018">
        <v>0</v>
      </c>
      <c r="J77" s="1018"/>
      <c r="K77" s="780">
        <f t="shared" si="3"/>
        <v>9950</v>
      </c>
    </row>
    <row r="78" spans="1:12" s="1017" customFormat="1" ht="15" customHeight="1" outlineLevel="1" x14ac:dyDescent="0.2">
      <c r="A78" s="1020" t="s">
        <v>234</v>
      </c>
      <c r="B78" s="354"/>
      <c r="C78" s="1020" t="s">
        <v>1145</v>
      </c>
      <c r="D78" s="1020"/>
      <c r="E78" s="1028" t="s">
        <v>154</v>
      </c>
      <c r="F78" s="1030" t="s">
        <v>404</v>
      </c>
      <c r="G78" s="1018">
        <v>8160</v>
      </c>
      <c r="H78" s="1018"/>
      <c r="I78" s="1018"/>
      <c r="J78" s="1018"/>
      <c r="K78" s="780">
        <f t="shared" si="3"/>
        <v>8160</v>
      </c>
    </row>
    <row r="79" spans="1:12" s="1017" customFormat="1" ht="15" customHeight="1" outlineLevel="1" x14ac:dyDescent="0.2">
      <c r="A79" s="1020" t="s">
        <v>234</v>
      </c>
      <c r="B79" s="354"/>
      <c r="C79" s="1020" t="s">
        <v>1146</v>
      </c>
      <c r="D79" s="1020" t="s">
        <v>143</v>
      </c>
      <c r="E79" s="1028" t="s">
        <v>154</v>
      </c>
      <c r="F79" s="1030" t="s">
        <v>404</v>
      </c>
      <c r="G79" s="1018">
        <v>949</v>
      </c>
      <c r="H79" s="1018"/>
      <c r="I79" s="1018"/>
      <c r="J79" s="1018">
        <v>38</v>
      </c>
      <c r="K79" s="780">
        <f t="shared" si="3"/>
        <v>987</v>
      </c>
    </row>
    <row r="80" spans="1:12" s="7" customFormat="1" ht="15" customHeight="1" outlineLevel="1" x14ac:dyDescent="0.2">
      <c r="A80" s="1020" t="s">
        <v>234</v>
      </c>
      <c r="B80" s="354" t="s">
        <v>127</v>
      </c>
      <c r="C80" s="832" t="s">
        <v>279</v>
      </c>
      <c r="D80" s="1020"/>
      <c r="E80" s="1028" t="s">
        <v>154</v>
      </c>
      <c r="F80" s="1030" t="s">
        <v>184</v>
      </c>
      <c r="G80" s="1018">
        <v>7800</v>
      </c>
      <c r="H80" s="1018">
        <v>7800</v>
      </c>
      <c r="I80" s="1018">
        <v>7800</v>
      </c>
      <c r="J80" s="1018"/>
      <c r="K80" s="780">
        <f t="shared" si="3"/>
        <v>7800</v>
      </c>
    </row>
    <row r="81" spans="1:13" s="1008" customFormat="1" ht="15" customHeight="1" outlineLevel="1" x14ac:dyDescent="0.2">
      <c r="A81" s="1020" t="s">
        <v>234</v>
      </c>
      <c r="B81" s="354"/>
      <c r="C81" s="832" t="s">
        <v>1160</v>
      </c>
      <c r="D81" s="227"/>
      <c r="E81" s="1028" t="s">
        <v>154</v>
      </c>
      <c r="F81" s="1030" t="s">
        <v>184</v>
      </c>
      <c r="G81" s="1018">
        <v>0</v>
      </c>
      <c r="H81" s="1018">
        <v>0</v>
      </c>
      <c r="I81" s="1018">
        <v>0</v>
      </c>
      <c r="J81" s="1018">
        <v>15000</v>
      </c>
      <c r="K81" s="780">
        <f t="shared" si="3"/>
        <v>15000</v>
      </c>
    </row>
    <row r="82" spans="1:13" s="7" customFormat="1" ht="15" customHeight="1" outlineLevel="2" x14ac:dyDescent="0.2">
      <c r="A82" s="1020" t="s">
        <v>234</v>
      </c>
      <c r="B82" s="930" t="s">
        <v>245</v>
      </c>
      <c r="C82" s="1157" t="s">
        <v>334</v>
      </c>
      <c r="D82" s="1031"/>
      <c r="E82" s="1032" t="s">
        <v>154</v>
      </c>
      <c r="F82" s="1030" t="s">
        <v>739</v>
      </c>
      <c r="G82" s="1018">
        <v>6500</v>
      </c>
      <c r="H82" s="1018">
        <v>6500</v>
      </c>
      <c r="I82" s="1018">
        <v>0</v>
      </c>
      <c r="J82" s="1018"/>
      <c r="K82" s="780">
        <f t="shared" si="3"/>
        <v>6500</v>
      </c>
    </row>
    <row r="83" spans="1:13" s="7" customFormat="1" ht="15" customHeight="1" outlineLevel="2" x14ac:dyDescent="0.2">
      <c r="A83" s="1020" t="s">
        <v>234</v>
      </c>
      <c r="B83" s="1105"/>
      <c r="C83" s="1020" t="s">
        <v>66</v>
      </c>
      <c r="D83" s="1031"/>
      <c r="E83" s="1032" t="s">
        <v>154</v>
      </c>
      <c r="F83" s="1030" t="s">
        <v>379</v>
      </c>
      <c r="G83" s="1018">
        <v>82626</v>
      </c>
      <c r="H83" s="1018">
        <v>82626</v>
      </c>
      <c r="I83" s="1018">
        <v>82626</v>
      </c>
      <c r="J83" s="1018"/>
      <c r="K83" s="780">
        <f t="shared" si="3"/>
        <v>82626</v>
      </c>
    </row>
    <row r="84" spans="1:13" s="7" customFormat="1" ht="15" customHeight="1" outlineLevel="2" x14ac:dyDescent="0.2">
      <c r="A84" s="1020" t="s">
        <v>234</v>
      </c>
      <c r="B84" s="1105"/>
      <c r="C84" s="1020" t="s">
        <v>400</v>
      </c>
      <c r="D84" s="1031" t="s">
        <v>1136</v>
      </c>
      <c r="E84" s="1032" t="s">
        <v>154</v>
      </c>
      <c r="F84" s="1030" t="s">
        <v>380</v>
      </c>
      <c r="G84" s="1018">
        <v>15609</v>
      </c>
      <c r="H84" s="1018">
        <v>15609</v>
      </c>
      <c r="I84" s="1018">
        <v>11400</v>
      </c>
      <c r="J84" s="1018">
        <v>-15609</v>
      </c>
      <c r="K84" s="780">
        <f t="shared" si="3"/>
        <v>0</v>
      </c>
    </row>
    <row r="85" spans="1:13" s="1008" customFormat="1" ht="15" customHeight="1" outlineLevel="2" x14ac:dyDescent="0.2">
      <c r="A85" s="1020" t="s">
        <v>264</v>
      </c>
      <c r="B85" s="1105"/>
      <c r="C85" s="832" t="s">
        <v>179</v>
      </c>
      <c r="D85" s="1157" t="s">
        <v>1127</v>
      </c>
      <c r="E85" s="1028"/>
      <c r="F85" s="1030" t="s">
        <v>189</v>
      </c>
      <c r="G85" s="1018">
        <v>34000</v>
      </c>
      <c r="H85" s="1018">
        <v>34000</v>
      </c>
      <c r="I85" s="1018">
        <v>34000</v>
      </c>
      <c r="J85" s="1018">
        <v>-34000</v>
      </c>
      <c r="K85" s="780">
        <f t="shared" si="3"/>
        <v>0</v>
      </c>
    </row>
    <row r="86" spans="1:13" s="74" customFormat="1" ht="15" customHeight="1" outlineLevel="1" x14ac:dyDescent="0.2">
      <c r="A86" s="1019"/>
      <c r="B86" s="930" t="s">
        <v>245</v>
      </c>
      <c r="C86" s="1067" t="s">
        <v>313</v>
      </c>
      <c r="D86" s="1019"/>
      <c r="E86" s="1005"/>
      <c r="F86" s="1035" t="s">
        <v>1038</v>
      </c>
      <c r="G86" s="662">
        <v>4400</v>
      </c>
      <c r="H86" s="662"/>
      <c r="I86" s="662"/>
      <c r="J86" s="662">
        <v>-4400</v>
      </c>
      <c r="K86" s="781">
        <f t="shared" si="3"/>
        <v>0</v>
      </c>
    </row>
    <row r="87" spans="1:13" s="1013" customFormat="1" ht="15" customHeight="1" outlineLevel="1" x14ac:dyDescent="0.2">
      <c r="A87" s="1019"/>
      <c r="B87" s="1058"/>
      <c r="C87" s="1067" t="s">
        <v>311</v>
      </c>
      <c r="D87" s="1019"/>
      <c r="E87" s="1005"/>
      <c r="F87" s="1035" t="s">
        <v>191</v>
      </c>
      <c r="G87" s="662">
        <v>1100</v>
      </c>
      <c r="H87" s="662">
        <v>5500</v>
      </c>
      <c r="I87" s="662">
        <v>2206</v>
      </c>
      <c r="J87" s="662">
        <v>-1100</v>
      </c>
      <c r="K87" s="781">
        <f t="shared" si="3"/>
        <v>0</v>
      </c>
    </row>
    <row r="88" spans="1:13" s="673" customFormat="1" ht="15" customHeight="1" outlineLevel="1" x14ac:dyDescent="0.2">
      <c r="A88" s="1019"/>
      <c r="B88" s="1058"/>
      <c r="C88" s="1067" t="s">
        <v>296</v>
      </c>
      <c r="D88" s="1019"/>
      <c r="E88" s="1005"/>
      <c r="F88" s="1035" t="s">
        <v>192</v>
      </c>
      <c r="G88" s="662">
        <v>3300</v>
      </c>
      <c r="H88" s="662">
        <v>3300</v>
      </c>
      <c r="I88" s="662"/>
      <c r="J88" s="662">
        <v>-3300</v>
      </c>
      <c r="K88" s="781">
        <f t="shared" si="3"/>
        <v>0</v>
      </c>
    </row>
    <row r="89" spans="1:13" s="1013" customFormat="1" ht="15" customHeight="1" outlineLevel="1" x14ac:dyDescent="0.2">
      <c r="A89" s="1174" t="s">
        <v>429</v>
      </c>
      <c r="B89" s="1058"/>
      <c r="C89" s="1106" t="s">
        <v>409</v>
      </c>
      <c r="D89" s="1157" t="s">
        <v>1127</v>
      </c>
      <c r="E89" s="968"/>
      <c r="F89" s="969" t="s">
        <v>428</v>
      </c>
      <c r="G89" s="1082">
        <f>SUM(G86:G88)</f>
        <v>8800</v>
      </c>
      <c r="H89" s="1082">
        <f t="shared" ref="H89:J89" si="7">SUM(H86:H88)</f>
        <v>8800</v>
      </c>
      <c r="I89" s="1082">
        <f t="shared" si="7"/>
        <v>2206</v>
      </c>
      <c r="J89" s="1082">
        <f t="shared" si="7"/>
        <v>-8800</v>
      </c>
      <c r="K89" s="780">
        <f t="shared" si="3"/>
        <v>0</v>
      </c>
      <c r="L89" s="1149">
        <f>SUM(G90,J90)</f>
        <v>933339</v>
      </c>
    </row>
    <row r="90" spans="1:13" s="1013" customFormat="1" ht="15" customHeight="1" outlineLevel="1" x14ac:dyDescent="0.2">
      <c r="A90" s="1108"/>
      <c r="B90" s="1109"/>
      <c r="C90" s="1110"/>
      <c r="D90" s="1110"/>
      <c r="E90" s="1110"/>
      <c r="F90" s="1111" t="s">
        <v>208</v>
      </c>
      <c r="G90" s="1107">
        <f>SUM(G53,G57:G64,G73:G85,G89)</f>
        <v>986992</v>
      </c>
      <c r="H90" s="1107">
        <f>SUM(H53,H57:H64,H73:H85,H89)</f>
        <v>1009695</v>
      </c>
      <c r="I90" s="1107">
        <f>SUM(I53,I57:I64,I73:I85,I89)</f>
        <v>815532</v>
      </c>
      <c r="J90" s="1107">
        <f>SUM(J53,J57:J64,J73:J85,J89)</f>
        <v>-53653</v>
      </c>
      <c r="K90" s="1107">
        <f>SUM(K53,K57:K64,K73:K85,K89)</f>
        <v>933339</v>
      </c>
    </row>
    <row r="91" spans="1:13" s="1013" customFormat="1" ht="15" customHeight="1" outlineLevel="1" x14ac:dyDescent="0.2">
      <c r="A91" s="1014"/>
      <c r="B91" s="1016"/>
      <c r="C91" s="1014"/>
      <c r="D91" s="1014"/>
      <c r="E91" s="1014"/>
      <c r="F91" s="1015"/>
      <c r="G91" s="131"/>
      <c r="H91" s="131"/>
      <c r="I91" s="131"/>
      <c r="J91" s="131"/>
      <c r="K91" s="131"/>
    </row>
    <row r="92" spans="1:13" ht="15" customHeight="1" x14ac:dyDescent="0.2">
      <c r="A92" s="1014"/>
      <c r="B92" s="1016"/>
      <c r="C92" s="1014"/>
      <c r="D92" s="1014"/>
      <c r="E92" s="1014"/>
      <c r="F92" s="1015"/>
      <c r="G92" s="131"/>
      <c r="H92" s="131"/>
      <c r="I92" s="131"/>
      <c r="J92" s="131"/>
      <c r="K92" s="131"/>
    </row>
    <row r="93" spans="1:13" ht="25.15" customHeight="1" x14ac:dyDescent="0.2">
      <c r="A93" s="74"/>
      <c r="C93" s="74"/>
      <c r="G93" s="984"/>
      <c r="H93" s="984"/>
      <c r="I93" s="984"/>
      <c r="J93" s="984"/>
      <c r="K93" s="984"/>
    </row>
    <row r="94" spans="1:13" s="1066" customFormat="1" ht="15.75" outlineLevel="1" thickBot="1" x14ac:dyDescent="0.25">
      <c r="A94" s="1001" t="s">
        <v>134</v>
      </c>
      <c r="B94" s="74"/>
      <c r="C94" s="1001"/>
      <c r="D94" s="74"/>
      <c r="E94" s="74"/>
      <c r="F94" s="74"/>
      <c r="G94" s="996"/>
      <c r="H94" s="996"/>
      <c r="I94" s="996"/>
      <c r="J94" s="996"/>
      <c r="K94" s="996"/>
    </row>
    <row r="95" spans="1:13" s="1066" customFormat="1" ht="45.75" outlineLevel="1" thickBot="1" x14ac:dyDescent="0.25">
      <c r="A95" s="1060" t="s">
        <v>148</v>
      </c>
      <c r="B95" s="1061" t="s">
        <v>125</v>
      </c>
      <c r="C95" s="1177" t="s">
        <v>61</v>
      </c>
      <c r="D95" s="1178" t="s">
        <v>147</v>
      </c>
      <c r="E95" s="1177" t="s">
        <v>149</v>
      </c>
      <c r="F95" s="1177" t="s">
        <v>62</v>
      </c>
      <c r="G95" s="1064" t="s">
        <v>1074</v>
      </c>
      <c r="H95" s="1064" t="s">
        <v>1101</v>
      </c>
      <c r="I95" s="1064" t="s">
        <v>1076</v>
      </c>
      <c r="J95" s="1065" t="s">
        <v>1075</v>
      </c>
      <c r="K95" s="1064" t="s">
        <v>1090</v>
      </c>
    </row>
    <row r="96" spans="1:13" s="74" customFormat="1" ht="15" customHeight="1" x14ac:dyDescent="0.2">
      <c r="A96" s="1003" t="s">
        <v>128</v>
      </c>
      <c r="B96" s="801" t="s">
        <v>161</v>
      </c>
      <c r="C96" s="993" t="s">
        <v>64</v>
      </c>
      <c r="D96" s="992"/>
      <c r="E96" s="990" t="s">
        <v>163</v>
      </c>
      <c r="F96" s="991" t="s">
        <v>19</v>
      </c>
      <c r="G96" s="994">
        <v>2000</v>
      </c>
      <c r="H96" s="1009">
        <v>2000</v>
      </c>
      <c r="I96" s="994">
        <v>1666</v>
      </c>
      <c r="J96" s="994"/>
      <c r="K96" s="1018">
        <f>G96+J96</f>
        <v>2000</v>
      </c>
      <c r="L96" s="213"/>
      <c r="M96" s="213"/>
    </row>
    <row r="97" spans="1:13" s="153" customFormat="1" ht="15" customHeight="1" x14ac:dyDescent="0.2">
      <c r="A97" s="1020" t="s">
        <v>128</v>
      </c>
      <c r="B97" s="805" t="s">
        <v>161</v>
      </c>
      <c r="C97" s="1020" t="s">
        <v>63</v>
      </c>
      <c r="D97" s="1020" t="s">
        <v>1054</v>
      </c>
      <c r="E97" s="1028" t="s">
        <v>167</v>
      </c>
      <c r="F97" s="1030" t="s">
        <v>19</v>
      </c>
      <c r="G97" s="375">
        <v>2500</v>
      </c>
      <c r="H97" s="1009">
        <v>2500</v>
      </c>
      <c r="I97" s="994">
        <v>2218</v>
      </c>
      <c r="J97" s="375"/>
      <c r="K97" s="1018">
        <f t="shared" ref="K97:K153" si="8">G97+J97</f>
        <v>2500</v>
      </c>
      <c r="L97" s="213"/>
      <c r="M97" s="213"/>
    </row>
    <row r="98" spans="1:13" s="74" customFormat="1" ht="15" customHeight="1" outlineLevel="1" x14ac:dyDescent="0.2">
      <c r="A98" s="221" t="s">
        <v>128</v>
      </c>
      <c r="B98" s="263" t="s">
        <v>161</v>
      </c>
      <c r="C98" s="1020" t="s">
        <v>962</v>
      </c>
      <c r="D98" s="1020" t="s">
        <v>1122</v>
      </c>
      <c r="E98" s="1028" t="s">
        <v>153</v>
      </c>
      <c r="F98" s="1030" t="s">
        <v>15</v>
      </c>
      <c r="G98" s="375">
        <v>193709</v>
      </c>
      <c r="H98" s="1009">
        <v>193709</v>
      </c>
      <c r="I98" s="994">
        <f>VLOOKUP(F98,'[1]Cognos Feb 14, 2014'!$A:$I,7)</f>
        <v>193708.68</v>
      </c>
      <c r="J98" s="375">
        <v>-193709</v>
      </c>
      <c r="K98" s="1018">
        <f t="shared" si="8"/>
        <v>0</v>
      </c>
      <c r="L98" s="213"/>
      <c r="M98" s="213"/>
    </row>
    <row r="99" spans="1:13" s="74" customFormat="1" ht="15" customHeight="1" outlineLevel="1" x14ac:dyDescent="0.2">
      <c r="A99" s="1019"/>
      <c r="B99" s="1038"/>
      <c r="C99" s="1019" t="s">
        <v>1124</v>
      </c>
      <c r="D99" s="1019"/>
      <c r="E99" s="1005"/>
      <c r="F99" s="1035" t="s">
        <v>9</v>
      </c>
      <c r="G99" s="662">
        <v>607482</v>
      </c>
      <c r="H99" s="1042">
        <v>607482</v>
      </c>
      <c r="I99" s="1034">
        <v>436691</v>
      </c>
      <c r="J99" s="662"/>
      <c r="K99" s="662">
        <f t="shared" si="8"/>
        <v>607482</v>
      </c>
      <c r="L99" s="213"/>
      <c r="M99" s="213"/>
    </row>
    <row r="100" spans="1:13" s="74" customFormat="1" ht="15" customHeight="1" outlineLevel="1" x14ac:dyDescent="0.2">
      <c r="A100" s="1019"/>
      <c r="B100" s="1038"/>
      <c r="C100" s="1019" t="s">
        <v>257</v>
      </c>
      <c r="D100" s="1019"/>
      <c r="E100" s="1005"/>
      <c r="F100" s="1036" t="s">
        <v>10</v>
      </c>
      <c r="G100" s="662">
        <v>148560</v>
      </c>
      <c r="H100" s="1042">
        <v>148560</v>
      </c>
      <c r="I100" s="1034">
        <f>VLOOKUP(F100,'[1]Cognos Feb 14, 2014'!$A:$I,7)</f>
        <v>103427.72</v>
      </c>
      <c r="J100" s="662"/>
      <c r="K100" s="662">
        <f t="shared" si="8"/>
        <v>148560</v>
      </c>
      <c r="L100" s="213"/>
      <c r="M100" s="213"/>
    </row>
    <row r="101" spans="1:13" s="74" customFormat="1" ht="15" customHeight="1" outlineLevel="1" x14ac:dyDescent="0.2">
      <c r="A101" s="1019"/>
      <c r="B101" s="1038"/>
      <c r="C101" s="1019" t="s">
        <v>258</v>
      </c>
      <c r="D101" s="1019"/>
      <c r="E101" s="1005"/>
      <c r="F101" s="1036" t="s">
        <v>11</v>
      </c>
      <c r="G101" s="662">
        <v>36515.5</v>
      </c>
      <c r="H101" s="1042">
        <v>36516</v>
      </c>
      <c r="I101" s="1034">
        <v>14600</v>
      </c>
      <c r="J101" s="662"/>
      <c r="K101" s="662">
        <f t="shared" si="8"/>
        <v>36515.5</v>
      </c>
      <c r="L101" s="213"/>
      <c r="M101" s="213"/>
    </row>
    <row r="102" spans="1:13" s="74" customFormat="1" ht="15" customHeight="1" outlineLevel="1" x14ac:dyDescent="0.2">
      <c r="A102" s="1019"/>
      <c r="B102" s="1038"/>
      <c r="C102" s="1019" t="s">
        <v>259</v>
      </c>
      <c r="D102" s="1019"/>
      <c r="E102" s="1005"/>
      <c r="F102" s="1036" t="s">
        <v>12</v>
      </c>
      <c r="G102" s="662">
        <v>85236</v>
      </c>
      <c r="H102" s="1042">
        <v>85236</v>
      </c>
      <c r="I102" s="1034">
        <v>59213</v>
      </c>
      <c r="J102" s="662"/>
      <c r="K102" s="662">
        <f t="shared" si="8"/>
        <v>85236</v>
      </c>
      <c r="L102" s="213"/>
      <c r="M102" s="213"/>
    </row>
    <row r="103" spans="1:13" s="1116" customFormat="1" ht="15" customHeight="1" x14ac:dyDescent="0.2">
      <c r="A103" s="1019"/>
      <c r="B103" s="1041"/>
      <c r="C103" s="1019" t="s">
        <v>260</v>
      </c>
      <c r="D103" s="1019"/>
      <c r="E103" s="1005"/>
      <c r="F103" s="1036" t="s">
        <v>13</v>
      </c>
      <c r="G103" s="662">
        <v>29964</v>
      </c>
      <c r="H103" s="1042">
        <v>29964</v>
      </c>
      <c r="I103" s="1034">
        <v>15947</v>
      </c>
      <c r="J103" s="662"/>
      <c r="K103" s="662">
        <f t="shared" si="8"/>
        <v>29964</v>
      </c>
      <c r="L103" s="208"/>
      <c r="M103" s="208"/>
    </row>
    <row r="104" spans="1:13" s="74" customFormat="1" ht="15" customHeight="1" outlineLevel="1" x14ac:dyDescent="0.2">
      <c r="A104" s="1077" t="s">
        <v>128</v>
      </c>
      <c r="B104" s="1112" t="s">
        <v>161</v>
      </c>
      <c r="C104" s="1088" t="s">
        <v>65</v>
      </c>
      <c r="D104" s="1077" t="s">
        <v>1054</v>
      </c>
      <c r="E104" s="1113" t="s">
        <v>150</v>
      </c>
      <c r="F104" s="1114" t="s">
        <v>428</v>
      </c>
      <c r="G104" s="1082">
        <f>SUM(G99:G103)</f>
        <v>907757.5</v>
      </c>
      <c r="H104" s="1097">
        <f>SUM(H99:H103)</f>
        <v>907758</v>
      </c>
      <c r="I104" s="1115">
        <f>SUM(I99:I103)</f>
        <v>629878.72</v>
      </c>
      <c r="J104" s="1082">
        <f>SUM(J99:J103)</f>
        <v>0</v>
      </c>
      <c r="K104" s="1082">
        <f t="shared" si="8"/>
        <v>907757.5</v>
      </c>
      <c r="L104" s="213"/>
      <c r="M104" s="213"/>
    </row>
    <row r="105" spans="1:13" s="74" customFormat="1" ht="15" customHeight="1" outlineLevel="1" x14ac:dyDescent="0.2">
      <c r="A105" s="1019"/>
      <c r="B105" s="696"/>
      <c r="C105" s="1019" t="s">
        <v>1125</v>
      </c>
      <c r="D105" s="1019"/>
      <c r="E105" s="1005"/>
      <c r="F105" s="1035" t="s">
        <v>4</v>
      </c>
      <c r="G105" s="662">
        <v>786963</v>
      </c>
      <c r="H105" s="1042">
        <v>786963</v>
      </c>
      <c r="I105" s="1034">
        <f>VLOOKUP(F105,'[1]Cognos Feb 14, 2014'!$A:$I,7)</f>
        <v>432981.55</v>
      </c>
      <c r="J105" s="662"/>
      <c r="K105" s="662">
        <f t="shared" si="8"/>
        <v>786963</v>
      </c>
      <c r="L105" s="213"/>
      <c r="M105" s="213"/>
    </row>
    <row r="106" spans="1:13" s="74" customFormat="1" ht="15" customHeight="1" outlineLevel="1" x14ac:dyDescent="0.2">
      <c r="A106" s="1019"/>
      <c r="B106" s="696"/>
      <c r="C106" s="1019" t="s">
        <v>252</v>
      </c>
      <c r="D106" s="1019"/>
      <c r="E106" s="1005"/>
      <c r="F106" s="1036" t="s">
        <v>5</v>
      </c>
      <c r="G106" s="662">
        <v>151485</v>
      </c>
      <c r="H106" s="1042">
        <v>151485</v>
      </c>
      <c r="I106" s="1034">
        <f>VLOOKUP(F106,'[1]Cognos Feb 14, 2014'!$A:$I,7)</f>
        <v>99886.89</v>
      </c>
      <c r="J106" s="662"/>
      <c r="K106" s="662">
        <f t="shared" si="8"/>
        <v>151485</v>
      </c>
      <c r="L106" s="213"/>
      <c r="M106" s="213"/>
    </row>
    <row r="107" spans="1:13" s="74" customFormat="1" ht="15" customHeight="1" outlineLevel="1" x14ac:dyDescent="0.2">
      <c r="A107" s="1019"/>
      <c r="B107" s="696"/>
      <c r="C107" s="1019" t="s">
        <v>253</v>
      </c>
      <c r="D107" s="1019"/>
      <c r="E107" s="1005"/>
      <c r="F107" s="1036" t="s">
        <v>6</v>
      </c>
      <c r="G107" s="662">
        <v>18000</v>
      </c>
      <c r="H107" s="1042">
        <v>18000</v>
      </c>
      <c r="I107" s="1034">
        <f>VLOOKUP(F107,'[1]Cognos Feb 14, 2014'!$A:$I,7)</f>
        <v>12764.92</v>
      </c>
      <c r="J107" s="662"/>
      <c r="K107" s="662">
        <f t="shared" si="8"/>
        <v>18000</v>
      </c>
      <c r="L107" s="213"/>
      <c r="M107" s="213"/>
    </row>
    <row r="108" spans="1:13" s="74" customFormat="1" ht="15" customHeight="1" outlineLevel="1" x14ac:dyDescent="0.2">
      <c r="A108" s="1019"/>
      <c r="B108" s="696"/>
      <c r="C108" s="1019" t="s">
        <v>254</v>
      </c>
      <c r="D108" s="1019"/>
      <c r="E108" s="1005"/>
      <c r="F108" s="1036" t="s">
        <v>7</v>
      </c>
      <c r="G108" s="662">
        <v>172895</v>
      </c>
      <c r="H108" s="1042">
        <v>172895</v>
      </c>
      <c r="I108" s="1034">
        <f>VLOOKUP(F108,'[1]Cognos Feb 14, 2014'!$A:$I,7)</f>
        <v>117792.75</v>
      </c>
      <c r="J108" s="662"/>
      <c r="K108" s="662">
        <f t="shared" si="8"/>
        <v>172895</v>
      </c>
      <c r="L108" s="213"/>
      <c r="M108" s="213"/>
    </row>
    <row r="109" spans="1:13" s="1116" customFormat="1" ht="15" customHeight="1" x14ac:dyDescent="0.2">
      <c r="A109" s="1019"/>
      <c r="B109" s="696"/>
      <c r="C109" s="1019" t="s">
        <v>255</v>
      </c>
      <c r="D109" s="1175" t="s">
        <v>162</v>
      </c>
      <c r="E109" s="1005"/>
      <c r="F109" s="1036" t="s">
        <v>8</v>
      </c>
      <c r="G109" s="662">
        <v>38236</v>
      </c>
      <c r="H109" s="1042">
        <v>38236</v>
      </c>
      <c r="I109" s="1034">
        <f>VLOOKUP(F109,'[1]Cognos Feb 14, 2014'!$A:$I,7)</f>
        <v>79035.539999999994</v>
      </c>
      <c r="J109" s="662"/>
      <c r="K109" s="662">
        <f t="shared" si="8"/>
        <v>38236</v>
      </c>
      <c r="L109" s="208"/>
      <c r="M109" s="208"/>
    </row>
    <row r="110" spans="1:13" s="74" customFormat="1" ht="15" customHeight="1" x14ac:dyDescent="0.2">
      <c r="A110" s="1077" t="s">
        <v>128</v>
      </c>
      <c r="B110" s="1117" t="s">
        <v>161</v>
      </c>
      <c r="C110" s="1118" t="s">
        <v>225</v>
      </c>
      <c r="D110" s="1077" t="s">
        <v>1054</v>
      </c>
      <c r="E110" s="43" t="s">
        <v>150</v>
      </c>
      <c r="F110" s="1114" t="s">
        <v>428</v>
      </c>
      <c r="G110" s="1082">
        <f>SUM(G105:G109)</f>
        <v>1167579</v>
      </c>
      <c r="H110" s="1097">
        <f>SUM(H105:H109)</f>
        <v>1167579</v>
      </c>
      <c r="I110" s="1115">
        <f>SUM(I105:I109)</f>
        <v>742461.65</v>
      </c>
      <c r="J110" s="1082">
        <f>SUM(J105:J109)</f>
        <v>0</v>
      </c>
      <c r="K110" s="1082">
        <f t="shared" si="8"/>
        <v>1167579</v>
      </c>
      <c r="L110" s="213"/>
      <c r="M110" s="213"/>
    </row>
    <row r="111" spans="1:13" s="74" customFormat="1" ht="15" customHeight="1" x14ac:dyDescent="0.2">
      <c r="A111" s="227" t="s">
        <v>128</v>
      </c>
      <c r="B111" s="798"/>
      <c r="C111" s="836" t="s">
        <v>768</v>
      </c>
      <c r="D111" s="227"/>
      <c r="E111" s="34" t="s">
        <v>167</v>
      </c>
      <c r="F111" s="41" t="s">
        <v>1047</v>
      </c>
      <c r="G111" s="375">
        <v>0</v>
      </c>
      <c r="H111" s="1009"/>
      <c r="I111" s="994"/>
      <c r="J111" s="375"/>
      <c r="K111" s="1018">
        <f t="shared" si="8"/>
        <v>0</v>
      </c>
      <c r="L111" s="213"/>
      <c r="M111" s="213"/>
    </row>
    <row r="112" spans="1:13" s="74" customFormat="1" ht="15" customHeight="1" x14ac:dyDescent="0.2">
      <c r="A112" s="221" t="s">
        <v>128</v>
      </c>
      <c r="B112" s="277" t="s">
        <v>161</v>
      </c>
      <c r="C112" s="370" t="s">
        <v>350</v>
      </c>
      <c r="D112" s="221"/>
      <c r="E112" s="17" t="s">
        <v>153</v>
      </c>
      <c r="F112" s="29" t="s">
        <v>16</v>
      </c>
      <c r="G112" s="375">
        <v>398419</v>
      </c>
      <c r="H112" s="1009">
        <v>398419</v>
      </c>
      <c r="I112" s="994">
        <f>VLOOKUP(F112,'[1]Cognos Feb 14, 2014'!$A:$I,7)</f>
        <v>398419</v>
      </c>
      <c r="J112" s="375"/>
      <c r="K112" s="1018">
        <f t="shared" si="8"/>
        <v>398419</v>
      </c>
      <c r="L112" s="213"/>
      <c r="M112" s="213"/>
    </row>
    <row r="113" spans="1:13" s="1017" customFormat="1" ht="15" customHeight="1" x14ac:dyDescent="0.2">
      <c r="A113" s="227" t="s">
        <v>128</v>
      </c>
      <c r="B113" s="292"/>
      <c r="C113" s="370" t="s">
        <v>394</v>
      </c>
      <c r="D113" s="227"/>
      <c r="E113" s="34" t="s">
        <v>167</v>
      </c>
      <c r="F113" s="41" t="s">
        <v>424</v>
      </c>
      <c r="G113" s="375">
        <v>15480</v>
      </c>
      <c r="H113" s="1009">
        <v>15480</v>
      </c>
      <c r="I113" s="994">
        <f>VLOOKUP(F113,'[1]Cognos Feb 14, 2014'!$A:$I,7)</f>
        <v>0</v>
      </c>
      <c r="J113" s="375"/>
      <c r="K113" s="1018">
        <f t="shared" si="8"/>
        <v>15480</v>
      </c>
      <c r="L113" s="1033"/>
    </row>
    <row r="114" spans="1:13" s="74" customFormat="1" ht="15" customHeight="1" x14ac:dyDescent="0.2">
      <c r="A114" s="283" t="s">
        <v>1</v>
      </c>
      <c r="B114" s="284"/>
      <c r="C114" s="283" t="s">
        <v>1088</v>
      </c>
      <c r="D114" s="1139" t="s">
        <v>1091</v>
      </c>
      <c r="E114" s="5" t="s">
        <v>167</v>
      </c>
      <c r="F114" s="32" t="s">
        <v>0</v>
      </c>
      <c r="G114" s="1018"/>
      <c r="H114" s="1018">
        <v>113036</v>
      </c>
      <c r="I114" s="994">
        <v>0</v>
      </c>
      <c r="J114" s="1018">
        <v>173036</v>
      </c>
      <c r="K114" s="1018">
        <v>173036</v>
      </c>
      <c r="L114" s="213"/>
      <c r="M114" s="213"/>
    </row>
    <row r="115" spans="1:13" s="74" customFormat="1" ht="15" customHeight="1" x14ac:dyDescent="0.2">
      <c r="A115" s="283" t="s">
        <v>1</v>
      </c>
      <c r="B115" s="284" t="s">
        <v>161</v>
      </c>
      <c r="C115" s="283" t="s">
        <v>1126</v>
      </c>
      <c r="D115" s="1176" t="s">
        <v>980</v>
      </c>
      <c r="E115" s="5" t="s">
        <v>167</v>
      </c>
      <c r="F115" s="32" t="s">
        <v>0</v>
      </c>
      <c r="G115" s="375">
        <v>60000</v>
      </c>
      <c r="H115" s="1009">
        <v>60000</v>
      </c>
      <c r="I115" s="994">
        <f>VLOOKUP(F115,'[1]Cognos Feb 14, 2014'!$A:$I,7)</f>
        <v>0</v>
      </c>
      <c r="J115" s="375"/>
      <c r="K115" s="1018">
        <f>G115+J115</f>
        <v>60000</v>
      </c>
      <c r="L115" s="213"/>
      <c r="M115" s="213"/>
    </row>
    <row r="116" spans="1:13" s="1017" customFormat="1" ht="15" customHeight="1" x14ac:dyDescent="0.2">
      <c r="A116" s="259" t="s">
        <v>128</v>
      </c>
      <c r="B116" s="285" t="s">
        <v>160</v>
      </c>
      <c r="C116" s="259" t="s">
        <v>388</v>
      </c>
      <c r="D116" s="259" t="s">
        <v>1147</v>
      </c>
      <c r="E116" s="33" t="s">
        <v>165</v>
      </c>
      <c r="F116" s="49" t="s">
        <v>385</v>
      </c>
      <c r="G116" s="375">
        <v>40000</v>
      </c>
      <c r="H116" s="1009">
        <v>37500</v>
      </c>
      <c r="I116" s="994">
        <v>14737</v>
      </c>
      <c r="J116" s="375"/>
      <c r="K116" s="1018">
        <f t="shared" si="8"/>
        <v>40000</v>
      </c>
      <c r="L116" s="1033"/>
      <c r="M116" s="1033"/>
    </row>
    <row r="117" spans="1:13" s="74" customFormat="1" ht="15" customHeight="1" outlineLevel="1" x14ac:dyDescent="0.2">
      <c r="A117" s="1020" t="s">
        <v>128</v>
      </c>
      <c r="B117" s="1031"/>
      <c r="C117" s="1020" t="s">
        <v>388</v>
      </c>
      <c r="D117" s="1020"/>
      <c r="E117" s="1028" t="s">
        <v>165</v>
      </c>
      <c r="F117" s="1028" t="s">
        <v>1116</v>
      </c>
      <c r="G117" s="1018"/>
      <c r="H117" s="1009">
        <v>2500</v>
      </c>
      <c r="I117" s="1009">
        <v>75</v>
      </c>
      <c r="J117" s="1018"/>
      <c r="K117" s="1018">
        <f t="shared" si="8"/>
        <v>0</v>
      </c>
      <c r="L117" s="213"/>
      <c r="M117" s="213"/>
    </row>
    <row r="118" spans="1:13" s="74" customFormat="1" ht="15" customHeight="1" outlineLevel="1" x14ac:dyDescent="0.2">
      <c r="A118" s="1019"/>
      <c r="B118" s="709"/>
      <c r="C118" s="1019" t="s">
        <v>74</v>
      </c>
      <c r="D118" s="1019" t="s">
        <v>956</v>
      </c>
      <c r="E118" s="1005"/>
      <c r="F118" s="1005" t="s">
        <v>807</v>
      </c>
      <c r="G118" s="662"/>
      <c r="H118" s="1042"/>
      <c r="I118" s="1034"/>
      <c r="J118" s="662"/>
      <c r="K118" s="662">
        <f t="shared" si="8"/>
        <v>0</v>
      </c>
      <c r="L118" s="213"/>
      <c r="M118" s="213"/>
    </row>
    <row r="119" spans="1:13" s="74" customFormat="1" ht="15" customHeight="1" outlineLevel="1" x14ac:dyDescent="0.2">
      <c r="A119" s="1019"/>
      <c r="B119" s="718"/>
      <c r="C119" s="1019" t="s">
        <v>74</v>
      </c>
      <c r="D119" s="1019" t="s">
        <v>22</v>
      </c>
      <c r="E119" s="1005"/>
      <c r="F119" s="1005" t="s">
        <v>21</v>
      </c>
      <c r="G119" s="662"/>
      <c r="H119" s="1042"/>
      <c r="I119" s="1034"/>
      <c r="J119" s="662"/>
      <c r="K119" s="662">
        <f t="shared" si="8"/>
        <v>0</v>
      </c>
      <c r="L119" s="213"/>
      <c r="M119" s="213"/>
    </row>
    <row r="120" spans="1:13" s="74" customFormat="1" ht="15" customHeight="1" outlineLevel="1" x14ac:dyDescent="0.2">
      <c r="A120" s="1019"/>
      <c r="B120" s="711"/>
      <c r="C120" s="1019" t="s">
        <v>74</v>
      </c>
      <c r="D120" s="1019" t="s">
        <v>140</v>
      </c>
      <c r="E120" s="1005"/>
      <c r="F120" s="1005" t="s">
        <v>137</v>
      </c>
      <c r="G120" s="662">
        <v>20000</v>
      </c>
      <c r="H120" s="1042">
        <v>20000</v>
      </c>
      <c r="I120" s="1034">
        <v>15989</v>
      </c>
      <c r="J120" s="662"/>
      <c r="K120" s="662">
        <f t="shared" si="8"/>
        <v>20000</v>
      </c>
      <c r="L120" s="213"/>
      <c r="M120" s="213"/>
    </row>
    <row r="121" spans="1:13" s="1116" customFormat="1" ht="15" customHeight="1" x14ac:dyDescent="0.2">
      <c r="A121" s="1019"/>
      <c r="B121" s="712"/>
      <c r="C121" s="1019" t="s">
        <v>74</v>
      </c>
      <c r="D121" s="1019" t="s">
        <v>141</v>
      </c>
      <c r="E121" s="1005"/>
      <c r="F121" s="1005" t="s">
        <v>138</v>
      </c>
      <c r="G121" s="662">
        <v>165000</v>
      </c>
      <c r="H121" s="1042">
        <v>165000</v>
      </c>
      <c r="I121" s="1034">
        <v>113570</v>
      </c>
      <c r="J121" s="662"/>
      <c r="K121" s="662">
        <f t="shared" si="8"/>
        <v>165000</v>
      </c>
      <c r="L121" s="208"/>
      <c r="M121" s="208"/>
    </row>
    <row r="122" spans="1:13" s="446" customFormat="1" ht="15" customHeight="1" x14ac:dyDescent="0.2">
      <c r="A122" s="1098" t="s">
        <v>128</v>
      </c>
      <c r="B122" s="1119" t="s">
        <v>172</v>
      </c>
      <c r="C122" s="1098" t="s">
        <v>74</v>
      </c>
      <c r="D122" s="1098"/>
      <c r="E122" s="43" t="s">
        <v>167</v>
      </c>
      <c r="F122" s="1114" t="s">
        <v>428</v>
      </c>
      <c r="G122" s="1082">
        <f>SUM(G118:G121)</f>
        <v>185000</v>
      </c>
      <c r="H122" s="1082">
        <f t="shared" ref="H122:J122" si="9">SUM(H118:H121)</f>
        <v>185000</v>
      </c>
      <c r="I122" s="1082">
        <f t="shared" si="9"/>
        <v>129559</v>
      </c>
      <c r="J122" s="1082">
        <f t="shared" si="9"/>
        <v>0</v>
      </c>
      <c r="K122" s="1082">
        <f t="shared" si="8"/>
        <v>185000</v>
      </c>
      <c r="L122" s="213"/>
      <c r="M122" s="213"/>
    </row>
    <row r="123" spans="1:13" s="74" customFormat="1" ht="15" customHeight="1" x14ac:dyDescent="0.2">
      <c r="A123" s="283" t="s">
        <v>128</v>
      </c>
      <c r="B123" s="284" t="s">
        <v>161</v>
      </c>
      <c r="C123" s="283" t="s">
        <v>226</v>
      </c>
      <c r="D123" s="229"/>
      <c r="E123" s="20" t="s">
        <v>153</v>
      </c>
      <c r="F123" s="49" t="s">
        <v>1047</v>
      </c>
      <c r="G123" s="375">
        <v>7822000</v>
      </c>
      <c r="H123" s="1009">
        <v>7822000</v>
      </c>
      <c r="I123" s="994">
        <f>VLOOKUP(F123,'[1]Cognos Feb 14, 2014'!$A:$I,7)</f>
        <v>7822000</v>
      </c>
      <c r="J123" s="375"/>
      <c r="K123" s="1018">
        <f t="shared" si="8"/>
        <v>7822000</v>
      </c>
      <c r="L123" s="213"/>
      <c r="M123" s="213"/>
    </row>
    <row r="124" spans="1:13" s="74" customFormat="1" ht="15" customHeight="1" x14ac:dyDescent="0.2">
      <c r="A124" s="1020" t="s">
        <v>131</v>
      </c>
      <c r="B124" s="354" t="s">
        <v>173</v>
      </c>
      <c r="C124" s="1020" t="s">
        <v>90</v>
      </c>
      <c r="D124" s="1020" t="s">
        <v>1057</v>
      </c>
      <c r="E124" s="1028" t="s">
        <v>167</v>
      </c>
      <c r="F124" s="1028" t="s">
        <v>41</v>
      </c>
      <c r="G124" s="1018">
        <v>668833</v>
      </c>
      <c r="H124" s="1009">
        <v>708833</v>
      </c>
      <c r="I124" s="994">
        <f>VLOOKUP(F124,'[1]Cognos Feb 14, 2014'!$A:$I,7)</f>
        <v>695125.08</v>
      </c>
      <c r="J124" s="1018"/>
      <c r="K124" s="1018">
        <f t="shared" si="8"/>
        <v>668833</v>
      </c>
      <c r="L124" s="213"/>
      <c r="M124" s="213"/>
    </row>
    <row r="125" spans="1:13" s="74" customFormat="1" ht="15" customHeight="1" x14ac:dyDescent="0.2">
      <c r="A125" s="227" t="s">
        <v>131</v>
      </c>
      <c r="B125" s="292" t="s">
        <v>173</v>
      </c>
      <c r="C125" s="227" t="s">
        <v>91</v>
      </c>
      <c r="D125" s="227"/>
      <c r="E125" s="34" t="s">
        <v>167</v>
      </c>
      <c r="F125" s="34" t="s">
        <v>41</v>
      </c>
      <c r="G125" s="1018">
        <v>40000</v>
      </c>
      <c r="H125" s="1009"/>
      <c r="I125" s="994"/>
      <c r="J125" s="1018"/>
      <c r="K125" s="1018">
        <f t="shared" si="8"/>
        <v>40000</v>
      </c>
      <c r="L125" s="213"/>
      <c r="M125" s="213"/>
    </row>
    <row r="126" spans="1:13" s="74" customFormat="1" ht="15" customHeight="1" x14ac:dyDescent="0.2">
      <c r="A126" s="283" t="s">
        <v>298</v>
      </c>
      <c r="B126" s="282" t="s">
        <v>161</v>
      </c>
      <c r="C126" s="259" t="s">
        <v>78</v>
      </c>
      <c r="D126" s="259" t="s">
        <v>1053</v>
      </c>
      <c r="E126" s="33" t="s">
        <v>153</v>
      </c>
      <c r="F126" s="33" t="s">
        <v>28</v>
      </c>
      <c r="G126" s="1018">
        <v>176382</v>
      </c>
      <c r="H126" s="1009">
        <v>83064</v>
      </c>
      <c r="I126" s="994">
        <f>VLOOKUP(F126,'[1]Cognos Feb 14, 2014'!$A:$I,7)</f>
        <v>0</v>
      </c>
      <c r="J126" s="375"/>
      <c r="K126" s="1018">
        <f t="shared" si="8"/>
        <v>176382</v>
      </c>
      <c r="L126" s="213"/>
      <c r="M126" s="213"/>
    </row>
    <row r="127" spans="1:13" s="74" customFormat="1" ht="15" customHeight="1" x14ac:dyDescent="0.2">
      <c r="A127" s="283" t="s">
        <v>298</v>
      </c>
      <c r="B127" s="286" t="s">
        <v>161</v>
      </c>
      <c r="C127" s="283" t="s">
        <v>297</v>
      </c>
      <c r="D127" s="6"/>
      <c r="E127" s="5" t="s">
        <v>153</v>
      </c>
      <c r="F127" s="32" t="s">
        <v>29</v>
      </c>
      <c r="G127" s="1018">
        <v>7500</v>
      </c>
      <c r="H127" s="1009">
        <v>7500</v>
      </c>
      <c r="I127" s="994">
        <f>VLOOKUP(F127,'[1]Cognos Feb 14, 2014'!$A:$I,7)</f>
        <v>0</v>
      </c>
      <c r="J127" s="375"/>
      <c r="K127" s="1018">
        <f t="shared" si="8"/>
        <v>7500</v>
      </c>
      <c r="L127" s="213"/>
      <c r="M127" s="213"/>
    </row>
    <row r="128" spans="1:13" s="74" customFormat="1" ht="15" customHeight="1" x14ac:dyDescent="0.2">
      <c r="A128" s="283" t="s">
        <v>298</v>
      </c>
      <c r="B128" s="286" t="s">
        <v>161</v>
      </c>
      <c r="C128" s="283" t="s">
        <v>427</v>
      </c>
      <c r="D128" s="6"/>
      <c r="E128" s="5" t="s">
        <v>153</v>
      </c>
      <c r="F128" s="32" t="s">
        <v>30</v>
      </c>
      <c r="G128" s="1018">
        <v>60000</v>
      </c>
      <c r="H128" s="1009">
        <v>60000</v>
      </c>
      <c r="I128" s="994">
        <f>VLOOKUP(F128,'[1]Cognos Feb 14, 2014'!$A:$I,7)</f>
        <v>29999.919999999998</v>
      </c>
      <c r="J128" s="375"/>
      <c r="K128" s="1018">
        <f t="shared" si="8"/>
        <v>60000</v>
      </c>
      <c r="L128" s="213"/>
      <c r="M128" s="213"/>
    </row>
    <row r="129" spans="1:13" s="74" customFormat="1" ht="15" customHeight="1" x14ac:dyDescent="0.2">
      <c r="A129" s="283" t="s">
        <v>298</v>
      </c>
      <c r="B129" s="286" t="s">
        <v>161</v>
      </c>
      <c r="C129" s="1020" t="s">
        <v>81</v>
      </c>
      <c r="D129" s="1020"/>
      <c r="E129" s="1028" t="s">
        <v>153</v>
      </c>
      <c r="F129" s="33" t="s">
        <v>31</v>
      </c>
      <c r="G129" s="1018">
        <v>200000</v>
      </c>
      <c r="H129" s="1009">
        <v>200000</v>
      </c>
      <c r="I129" s="994">
        <f>VLOOKUP(F129,'[1]Cognos Feb 14, 2014'!$A:$I,7)</f>
        <v>101777.62</v>
      </c>
      <c r="J129" s="375"/>
      <c r="K129" s="1018">
        <f t="shared" si="8"/>
        <v>200000</v>
      </c>
      <c r="L129" s="213"/>
      <c r="M129" s="213"/>
    </row>
    <row r="130" spans="1:13" s="74" customFormat="1" ht="15" customHeight="1" x14ac:dyDescent="0.2">
      <c r="A130" s="1158" t="s">
        <v>132</v>
      </c>
      <c r="B130" s="1159" t="s">
        <v>127</v>
      </c>
      <c r="C130" s="1159" t="s">
        <v>419</v>
      </c>
      <c r="D130" s="1160"/>
      <c r="E130" s="1161" t="s">
        <v>154</v>
      </c>
      <c r="F130" s="1162" t="s">
        <v>420</v>
      </c>
      <c r="G130" s="1037">
        <v>219443</v>
      </c>
      <c r="H130" s="1132">
        <v>233050</v>
      </c>
      <c r="I130" s="1163">
        <f>VLOOKUP(F130,'[1]Cognos Feb 14, 2014'!$A:$I,7)</f>
        <v>209145.41</v>
      </c>
      <c r="J130" s="1037"/>
      <c r="K130" s="1037">
        <f t="shared" si="8"/>
        <v>219443</v>
      </c>
      <c r="L130" s="213"/>
      <c r="M130" s="213"/>
    </row>
    <row r="131" spans="1:13" s="1017" customFormat="1" ht="15" customHeight="1" x14ac:dyDescent="0.2">
      <c r="A131" s="1158" t="s">
        <v>132</v>
      </c>
      <c r="B131" s="1159" t="s">
        <v>127</v>
      </c>
      <c r="C131" s="1164" t="s">
        <v>299</v>
      </c>
      <c r="D131" s="1039" t="s">
        <v>1054</v>
      </c>
      <c r="E131" s="1161" t="s">
        <v>154</v>
      </c>
      <c r="F131" s="1162" t="s">
        <v>44</v>
      </c>
      <c r="G131" s="1037">
        <v>43817</v>
      </c>
      <c r="H131" s="1132">
        <v>54959</v>
      </c>
      <c r="I131" s="1163">
        <v>25206</v>
      </c>
      <c r="J131" s="1037"/>
      <c r="K131" s="1037">
        <f t="shared" si="8"/>
        <v>43817</v>
      </c>
      <c r="L131" s="1033"/>
      <c r="M131" s="1033"/>
    </row>
    <row r="132" spans="1:13" s="1011" customFormat="1" ht="15" customHeight="1" x14ac:dyDescent="0.2">
      <c r="A132" s="1168" t="s">
        <v>132</v>
      </c>
      <c r="B132" s="1169"/>
      <c r="C132" s="1170" t="s">
        <v>417</v>
      </c>
      <c r="D132" s="1039" t="s">
        <v>1054</v>
      </c>
      <c r="E132" s="1171" t="s">
        <v>154</v>
      </c>
      <c r="F132" s="1162" t="s">
        <v>47</v>
      </c>
      <c r="G132" s="1037">
        <v>850979</v>
      </c>
      <c r="H132" s="1132">
        <v>878237</v>
      </c>
      <c r="I132" s="1163">
        <f>VLOOKUP(F132,'[1]Cognos Feb 14, 2014'!$A:$I,7)</f>
        <v>772022.4</v>
      </c>
      <c r="J132" s="1037"/>
      <c r="K132" s="1037">
        <f t="shared" si="8"/>
        <v>850979</v>
      </c>
      <c r="L132" s="1033"/>
      <c r="M132" s="1033"/>
    </row>
    <row r="133" spans="1:13" s="531" customFormat="1" ht="15" customHeight="1" x14ac:dyDescent="0.2">
      <c r="A133" s="1168" t="s">
        <v>132</v>
      </c>
      <c r="B133" s="1166"/>
      <c r="C133" s="1165" t="s">
        <v>284</v>
      </c>
      <c r="D133" s="1039"/>
      <c r="E133" s="1172" t="s">
        <v>167</v>
      </c>
      <c r="F133" s="1162" t="s">
        <v>48</v>
      </c>
      <c r="G133" s="1037">
        <v>50000</v>
      </c>
      <c r="H133" s="1132">
        <v>50000</v>
      </c>
      <c r="I133" s="1167">
        <v>46286</v>
      </c>
      <c r="J133" s="1037"/>
      <c r="K133" s="1037">
        <f t="shared" si="8"/>
        <v>50000</v>
      </c>
      <c r="L133" s="213"/>
      <c r="M133" s="213"/>
    </row>
    <row r="134" spans="1:13" s="74" customFormat="1" ht="15" customHeight="1" x14ac:dyDescent="0.2">
      <c r="A134" s="1158" t="s">
        <v>132</v>
      </c>
      <c r="B134" s="1159" t="s">
        <v>127</v>
      </c>
      <c r="C134" s="1164" t="s">
        <v>96</v>
      </c>
      <c r="D134" s="1039"/>
      <c r="E134" s="1161" t="s">
        <v>167</v>
      </c>
      <c r="F134" s="1162" t="s">
        <v>50</v>
      </c>
      <c r="G134" s="1037">
        <v>157118</v>
      </c>
      <c r="H134" s="1132">
        <v>157118</v>
      </c>
      <c r="I134" s="1163">
        <v>94955</v>
      </c>
      <c r="J134" s="1037"/>
      <c r="K134" s="1037">
        <f t="shared" si="8"/>
        <v>157118</v>
      </c>
      <c r="L134" s="213"/>
      <c r="M134" s="213"/>
    </row>
    <row r="135" spans="1:13" s="74" customFormat="1" ht="15" customHeight="1" x14ac:dyDescent="0.2">
      <c r="A135" s="1158" t="s">
        <v>132</v>
      </c>
      <c r="B135" s="1159" t="s">
        <v>127</v>
      </c>
      <c r="C135" s="1164" t="s">
        <v>97</v>
      </c>
      <c r="D135" s="1160" t="s">
        <v>1058</v>
      </c>
      <c r="E135" s="1161" t="s">
        <v>170</v>
      </c>
      <c r="F135" s="1162" t="s">
        <v>51</v>
      </c>
      <c r="G135" s="1037">
        <v>32000</v>
      </c>
      <c r="H135" s="1132">
        <v>32000</v>
      </c>
      <c r="I135" s="1163">
        <f>VLOOKUP(F135,'[1]Cognos Feb 14, 2014'!$A:$I,7)</f>
        <v>14000.7</v>
      </c>
      <c r="J135" s="1037"/>
      <c r="K135" s="1037">
        <f t="shared" si="8"/>
        <v>32000</v>
      </c>
      <c r="L135" s="213"/>
      <c r="M135" s="213"/>
    </row>
    <row r="136" spans="1:13" s="74" customFormat="1" ht="15" customHeight="1" thickBot="1" x14ac:dyDescent="0.25">
      <c r="A136" s="1051" t="s">
        <v>131</v>
      </c>
      <c r="B136" s="1121" t="s">
        <v>145</v>
      </c>
      <c r="C136" s="1051" t="s">
        <v>111</v>
      </c>
      <c r="D136" s="1051"/>
      <c r="E136" s="1122" t="s">
        <v>166</v>
      </c>
      <c r="F136" s="1122" t="s">
        <v>813</v>
      </c>
      <c r="G136" s="1057">
        <v>57000</v>
      </c>
      <c r="H136" s="1057">
        <v>57000</v>
      </c>
      <c r="I136" s="1096">
        <v>35275</v>
      </c>
      <c r="J136" s="1057"/>
      <c r="K136" s="377">
        <f t="shared" si="8"/>
        <v>57000</v>
      </c>
      <c r="L136" s="213"/>
      <c r="M136" s="213"/>
    </row>
    <row r="137" spans="1:13" s="74" customFormat="1" ht="15" customHeight="1" x14ac:dyDescent="0.2">
      <c r="A137" s="1125" t="s">
        <v>129</v>
      </c>
      <c r="B137" s="1126" t="s">
        <v>145</v>
      </c>
      <c r="C137" s="1127" t="s">
        <v>101</v>
      </c>
      <c r="D137" s="1127"/>
      <c r="E137" s="1128" t="s">
        <v>1156</v>
      </c>
      <c r="F137" s="1128" t="s">
        <v>53</v>
      </c>
      <c r="G137" s="1129">
        <v>25500</v>
      </c>
      <c r="H137" s="1129"/>
      <c r="I137" s="1129"/>
      <c r="J137" s="1129"/>
      <c r="K137" s="1132">
        <f t="shared" si="8"/>
        <v>25500</v>
      </c>
      <c r="L137" s="213"/>
      <c r="M137" s="213"/>
    </row>
    <row r="138" spans="1:13" s="74" customFormat="1" ht="15" customHeight="1" x14ac:dyDescent="0.2">
      <c r="A138" s="1130" t="s">
        <v>129</v>
      </c>
      <c r="B138" s="1131" t="s">
        <v>145</v>
      </c>
      <c r="C138" s="1039" t="s">
        <v>102</v>
      </c>
      <c r="D138" s="1039"/>
      <c r="E138" s="1040" t="s">
        <v>1156</v>
      </c>
      <c r="F138" s="1040" t="s">
        <v>53</v>
      </c>
      <c r="G138" s="1037">
        <v>18636</v>
      </c>
      <c r="H138" s="1132"/>
      <c r="I138" s="1132"/>
      <c r="J138" s="1037"/>
      <c r="K138" s="1037">
        <f t="shared" si="8"/>
        <v>18636</v>
      </c>
      <c r="L138" s="213"/>
      <c r="M138" s="213"/>
    </row>
    <row r="139" spans="1:13" s="74" customFormat="1" ht="15" customHeight="1" x14ac:dyDescent="0.2">
      <c r="A139" s="1130" t="s">
        <v>129</v>
      </c>
      <c r="B139" s="1131" t="s">
        <v>145</v>
      </c>
      <c r="C139" s="1039" t="s">
        <v>963</v>
      </c>
      <c r="D139" s="1039"/>
      <c r="E139" s="1040" t="s">
        <v>1156</v>
      </c>
      <c r="F139" s="1040" t="s">
        <v>53</v>
      </c>
      <c r="G139" s="1037">
        <v>19385</v>
      </c>
      <c r="H139" s="1132"/>
      <c r="I139" s="1132"/>
      <c r="J139" s="1037"/>
      <c r="K139" s="1037">
        <f t="shared" si="8"/>
        <v>19385</v>
      </c>
      <c r="L139" s="213"/>
      <c r="M139" s="213"/>
    </row>
    <row r="140" spans="1:13" s="74" customFormat="1" ht="15" customHeight="1" x14ac:dyDescent="0.2">
      <c r="A140" s="1130" t="s">
        <v>129</v>
      </c>
      <c r="B140" s="1131" t="s">
        <v>145</v>
      </c>
      <c r="C140" s="1039" t="s">
        <v>964</v>
      </c>
      <c r="D140" s="1039"/>
      <c r="E140" s="1040" t="s">
        <v>167</v>
      </c>
      <c r="F140" s="1040" t="s">
        <v>53</v>
      </c>
      <c r="G140" s="1037">
        <v>8805</v>
      </c>
      <c r="H140" s="1132"/>
      <c r="I140" s="1132"/>
      <c r="J140" s="1037"/>
      <c r="K140" s="1037">
        <f t="shared" si="8"/>
        <v>8805</v>
      </c>
      <c r="L140" s="213"/>
      <c r="M140" s="213"/>
    </row>
    <row r="141" spans="1:13" s="74" customFormat="1" ht="15" customHeight="1" x14ac:dyDescent="0.2">
      <c r="A141" s="1130" t="s">
        <v>129</v>
      </c>
      <c r="B141" s="1131" t="s">
        <v>145</v>
      </c>
      <c r="C141" s="1039" t="s">
        <v>105</v>
      </c>
      <c r="D141" s="1039"/>
      <c r="E141" s="1040" t="s">
        <v>167</v>
      </c>
      <c r="F141" s="1040" t="s">
        <v>53</v>
      </c>
      <c r="G141" s="1037">
        <v>0</v>
      </c>
      <c r="H141" s="1132"/>
      <c r="I141" s="1132"/>
      <c r="J141" s="1037"/>
      <c r="K141" s="1037">
        <f t="shared" si="8"/>
        <v>0</v>
      </c>
      <c r="L141" s="213"/>
      <c r="M141" s="213"/>
    </row>
    <row r="142" spans="1:13" s="74" customFormat="1" ht="15" customHeight="1" x14ac:dyDescent="0.2">
      <c r="A142" s="1130" t="s">
        <v>129</v>
      </c>
      <c r="B142" s="1131" t="s">
        <v>145</v>
      </c>
      <c r="C142" s="1039" t="s">
        <v>106</v>
      </c>
      <c r="D142" s="1039"/>
      <c r="E142" s="1040" t="s">
        <v>167</v>
      </c>
      <c r="F142" s="1040" t="s">
        <v>53</v>
      </c>
      <c r="G142" s="1037">
        <v>0</v>
      </c>
      <c r="H142" s="1132"/>
      <c r="I142" s="1132"/>
      <c r="J142" s="1037"/>
      <c r="K142" s="1037">
        <f t="shared" si="8"/>
        <v>0</v>
      </c>
      <c r="L142" s="213"/>
      <c r="M142" s="213"/>
    </row>
    <row r="143" spans="1:13" s="74" customFormat="1" ht="15" customHeight="1" x14ac:dyDescent="0.2">
      <c r="A143" s="1130" t="s">
        <v>129</v>
      </c>
      <c r="B143" s="1131" t="s">
        <v>145</v>
      </c>
      <c r="C143" s="1039" t="s">
        <v>285</v>
      </c>
      <c r="D143" s="1039"/>
      <c r="E143" s="1040" t="s">
        <v>167</v>
      </c>
      <c r="F143" s="1040" t="s">
        <v>53</v>
      </c>
      <c r="G143" s="1037">
        <v>250000</v>
      </c>
      <c r="H143" s="1132"/>
      <c r="I143" s="1132"/>
      <c r="J143" s="1037"/>
      <c r="K143" s="1037">
        <f t="shared" si="8"/>
        <v>250000</v>
      </c>
      <c r="L143" s="213"/>
      <c r="M143" s="213"/>
    </row>
    <row r="144" spans="1:13" s="74" customFormat="1" ht="15" customHeight="1" x14ac:dyDescent="0.2">
      <c r="A144" s="1130" t="s">
        <v>129</v>
      </c>
      <c r="B144" s="1131"/>
      <c r="C144" s="1039" t="s">
        <v>1052</v>
      </c>
      <c r="D144" s="1039"/>
      <c r="E144" s="1040" t="s">
        <v>167</v>
      </c>
      <c r="F144" s="1040" t="s">
        <v>53</v>
      </c>
      <c r="G144" s="1037">
        <v>70000</v>
      </c>
      <c r="H144" s="1132"/>
      <c r="I144" s="1132"/>
      <c r="J144" s="1037">
        <v>0</v>
      </c>
      <c r="K144" s="1037">
        <f t="shared" si="8"/>
        <v>70000</v>
      </c>
      <c r="L144" s="213"/>
      <c r="M144" s="213"/>
    </row>
    <row r="145" spans="1:16" s="74" customFormat="1" ht="15" customHeight="1" x14ac:dyDescent="0.2">
      <c r="A145" s="1130" t="s">
        <v>129</v>
      </c>
      <c r="B145" s="1131" t="s">
        <v>145</v>
      </c>
      <c r="C145" s="1039" t="s">
        <v>107</v>
      </c>
      <c r="D145" s="1039"/>
      <c r="E145" s="1040" t="s">
        <v>167</v>
      </c>
      <c r="F145" s="1040" t="s">
        <v>53</v>
      </c>
      <c r="G145" s="1037">
        <v>3010</v>
      </c>
      <c r="H145" s="1132"/>
      <c r="I145" s="1132"/>
      <c r="J145" s="1037"/>
      <c r="K145" s="1037">
        <f t="shared" si="8"/>
        <v>3010</v>
      </c>
      <c r="L145" s="213"/>
      <c r="M145" s="213"/>
    </row>
    <row r="146" spans="1:16" s="74" customFormat="1" ht="15" customHeight="1" x14ac:dyDescent="0.2">
      <c r="A146" s="1130" t="s">
        <v>129</v>
      </c>
      <c r="B146" s="1131" t="s">
        <v>145</v>
      </c>
      <c r="C146" s="1039" t="s">
        <v>108</v>
      </c>
      <c r="D146" s="1039"/>
      <c r="E146" s="1040" t="s">
        <v>154</v>
      </c>
      <c r="F146" s="1040" t="s">
        <v>53</v>
      </c>
      <c r="G146" s="1037">
        <v>4152</v>
      </c>
      <c r="H146" s="1132"/>
      <c r="I146" s="1132"/>
      <c r="J146" s="1037"/>
      <c r="K146" s="1037">
        <f t="shared" si="8"/>
        <v>4152</v>
      </c>
      <c r="L146" s="213"/>
      <c r="M146" s="213"/>
    </row>
    <row r="147" spans="1:16" s="74" customFormat="1" ht="15" customHeight="1" x14ac:dyDescent="0.2">
      <c r="A147" s="1130" t="s">
        <v>129</v>
      </c>
      <c r="B147" s="1131" t="s">
        <v>145</v>
      </c>
      <c r="C147" s="1039" t="s">
        <v>968</v>
      </c>
      <c r="D147" s="1039"/>
      <c r="E147" s="1040" t="s">
        <v>165</v>
      </c>
      <c r="F147" s="1040" t="s">
        <v>53</v>
      </c>
      <c r="G147" s="1037">
        <v>5518</v>
      </c>
      <c r="H147" s="1132"/>
      <c r="I147" s="1132"/>
      <c r="J147" s="1037"/>
      <c r="K147" s="1037">
        <f t="shared" si="8"/>
        <v>5518</v>
      </c>
      <c r="L147" s="213"/>
      <c r="M147" s="213"/>
    </row>
    <row r="148" spans="1:16" s="74" customFormat="1" ht="15" customHeight="1" x14ac:dyDescent="0.2">
      <c r="A148" s="1130" t="s">
        <v>129</v>
      </c>
      <c r="B148" s="1131" t="s">
        <v>145</v>
      </c>
      <c r="C148" s="1039" t="s">
        <v>970</v>
      </c>
      <c r="D148" s="1039"/>
      <c r="E148" s="1040" t="s">
        <v>165</v>
      </c>
      <c r="F148" s="1040" t="s">
        <v>53</v>
      </c>
      <c r="G148" s="1037">
        <v>3375</v>
      </c>
      <c r="H148" s="1132"/>
      <c r="I148" s="1132"/>
      <c r="J148" s="1037"/>
      <c r="K148" s="1037">
        <f t="shared" si="8"/>
        <v>3375</v>
      </c>
      <c r="L148" s="213"/>
      <c r="M148" s="213"/>
    </row>
    <row r="149" spans="1:16" s="74" customFormat="1" ht="15" customHeight="1" x14ac:dyDescent="0.2">
      <c r="A149" s="1130" t="s">
        <v>129</v>
      </c>
      <c r="B149" s="1131" t="s">
        <v>145</v>
      </c>
      <c r="C149" s="1039" t="s">
        <v>971</v>
      </c>
      <c r="D149" s="1039"/>
      <c r="E149" s="1040" t="s">
        <v>164</v>
      </c>
      <c r="F149" s="1040" t="s">
        <v>53</v>
      </c>
      <c r="G149" s="1037">
        <v>51768</v>
      </c>
      <c r="H149" s="1132"/>
      <c r="I149" s="1132"/>
      <c r="J149" s="1037"/>
      <c r="K149" s="1037">
        <f t="shared" si="8"/>
        <v>51768</v>
      </c>
      <c r="L149" s="213"/>
      <c r="M149" s="213"/>
    </row>
    <row r="150" spans="1:16" s="74" customFormat="1" ht="15" customHeight="1" x14ac:dyDescent="0.2">
      <c r="A150" s="1130" t="s">
        <v>129</v>
      </c>
      <c r="B150" s="1131" t="s">
        <v>145</v>
      </c>
      <c r="C150" s="1039" t="s">
        <v>973</v>
      </c>
      <c r="D150" s="1039"/>
      <c r="E150" s="1040" t="s">
        <v>164</v>
      </c>
      <c r="F150" s="1040" t="s">
        <v>53</v>
      </c>
      <c r="G150" s="1037">
        <v>44730</v>
      </c>
      <c r="H150" s="1132"/>
      <c r="I150" s="1132"/>
      <c r="J150" s="1037"/>
      <c r="K150" s="1037">
        <f t="shared" si="8"/>
        <v>44730</v>
      </c>
      <c r="L150" s="213"/>
      <c r="M150" s="213"/>
    </row>
    <row r="151" spans="1:16" s="74" customFormat="1" ht="15" customHeight="1" x14ac:dyDescent="0.2">
      <c r="A151" s="1133" t="s">
        <v>129</v>
      </c>
      <c r="B151" s="1134" t="s">
        <v>145</v>
      </c>
      <c r="C151" s="1039" t="s">
        <v>975</v>
      </c>
      <c r="D151" s="1039"/>
      <c r="E151" s="1040" t="s">
        <v>165</v>
      </c>
      <c r="F151" s="1040" t="s">
        <v>53</v>
      </c>
      <c r="G151" s="1037">
        <v>10874</v>
      </c>
      <c r="H151" s="1132"/>
      <c r="I151" s="1132"/>
      <c r="J151" s="1037"/>
      <c r="K151" s="1037">
        <f t="shared" si="8"/>
        <v>10874</v>
      </c>
      <c r="L151" s="213"/>
      <c r="M151" s="213"/>
    </row>
    <row r="152" spans="1:16" s="74" customFormat="1" ht="15" customHeight="1" x14ac:dyDescent="0.2">
      <c r="A152" s="1133" t="s">
        <v>129</v>
      </c>
      <c r="B152" s="1134"/>
      <c r="C152" s="1039" t="s">
        <v>976</v>
      </c>
      <c r="D152" s="1039"/>
      <c r="E152" s="1040" t="s">
        <v>165</v>
      </c>
      <c r="F152" s="1040" t="s">
        <v>53</v>
      </c>
      <c r="G152" s="1037">
        <v>24215</v>
      </c>
      <c r="H152" s="1132"/>
      <c r="I152" s="1132"/>
      <c r="J152" s="1037"/>
      <c r="K152" s="1037">
        <f t="shared" si="8"/>
        <v>24215</v>
      </c>
      <c r="L152" s="213"/>
      <c r="M152" s="213"/>
    </row>
    <row r="153" spans="1:16" s="74" customFormat="1" ht="15" customHeight="1" x14ac:dyDescent="0.2">
      <c r="A153" s="1133" t="s">
        <v>129</v>
      </c>
      <c r="B153" s="1134" t="s">
        <v>145</v>
      </c>
      <c r="C153" s="1039" t="s">
        <v>977</v>
      </c>
      <c r="D153" s="1039"/>
      <c r="E153" s="1040" t="s">
        <v>167</v>
      </c>
      <c r="F153" s="1040" t="s">
        <v>53</v>
      </c>
      <c r="G153" s="1037">
        <v>16716</v>
      </c>
      <c r="H153" s="1132"/>
      <c r="I153" s="1132"/>
      <c r="J153" s="1037"/>
      <c r="K153" s="1037">
        <f t="shared" si="8"/>
        <v>16716</v>
      </c>
      <c r="L153" s="213"/>
      <c r="M153" s="213"/>
    </row>
    <row r="154" spans="1:16" s="531" customFormat="1" ht="15" customHeight="1" thickBot="1" x14ac:dyDescent="0.25">
      <c r="A154" s="857"/>
      <c r="B154" s="858" t="s">
        <v>145</v>
      </c>
      <c r="C154" s="859"/>
      <c r="D154" s="911" t="s">
        <v>993</v>
      </c>
      <c r="E154" s="912"/>
      <c r="F154" s="912" t="s">
        <v>53</v>
      </c>
      <c r="G154" s="913">
        <f>SUM(G137:G153)</f>
        <v>556684</v>
      </c>
      <c r="H154" s="1123">
        <v>556684</v>
      </c>
      <c r="I154" s="1123">
        <v>381454</v>
      </c>
      <c r="J154" s="913">
        <f t="shared" ref="J154:K154" si="10">SUM(J137:J153)</f>
        <v>0</v>
      </c>
      <c r="K154" s="1124">
        <f t="shared" si="10"/>
        <v>556684</v>
      </c>
      <c r="L154" s="363"/>
      <c r="M154" s="363"/>
    </row>
    <row r="155" spans="1:16" s="531" customFormat="1" ht="15" customHeight="1" x14ac:dyDescent="0.2">
      <c r="A155" s="1003" t="s">
        <v>128</v>
      </c>
      <c r="B155" s="1120"/>
      <c r="C155" s="849" t="s">
        <v>339</v>
      </c>
      <c r="D155" s="1003"/>
      <c r="E155" s="1004" t="s">
        <v>167</v>
      </c>
      <c r="F155" s="23" t="s">
        <v>986</v>
      </c>
      <c r="G155" s="1009">
        <v>25954</v>
      </c>
      <c r="H155" s="1009">
        <v>25954</v>
      </c>
      <c r="I155" s="1009">
        <f>VLOOKUP(F155,'[1]Cognos Feb 14, 2014'!$A:$I,7)</f>
        <v>11176.95</v>
      </c>
      <c r="J155" s="1009">
        <v>0</v>
      </c>
      <c r="K155" s="1009">
        <f t="shared" ref="K155:K157" si="11">G155-J155</f>
        <v>25954</v>
      </c>
      <c r="L155" s="363"/>
      <c r="M155" s="363"/>
    </row>
    <row r="156" spans="1:16" s="74" customFormat="1" ht="15" customHeight="1" x14ac:dyDescent="0.2">
      <c r="A156" s="1020" t="s">
        <v>128</v>
      </c>
      <c r="B156" s="354"/>
      <c r="C156" s="1020" t="s">
        <v>338</v>
      </c>
      <c r="D156" s="1020"/>
      <c r="E156" s="1028" t="s">
        <v>167</v>
      </c>
      <c r="F156" s="1030" t="s">
        <v>336</v>
      </c>
      <c r="G156" s="1018">
        <v>25954</v>
      </c>
      <c r="H156" s="1018">
        <v>25954</v>
      </c>
      <c r="I156" s="1018">
        <f>VLOOKUP(F156,'[1]Cognos Feb 14, 2014'!$A:$I,7)</f>
        <v>11176.95</v>
      </c>
      <c r="J156" s="1018">
        <v>0</v>
      </c>
      <c r="K156" s="1018">
        <f t="shared" si="11"/>
        <v>25954</v>
      </c>
      <c r="L156" s="213"/>
      <c r="M156" s="213"/>
      <c r="N156" s="1135"/>
      <c r="O156" s="1033"/>
      <c r="P156" s="1033"/>
    </row>
    <row r="157" spans="1:16" s="673" customFormat="1" ht="15" customHeight="1" x14ac:dyDescent="0.2">
      <c r="A157" s="1020" t="s">
        <v>130</v>
      </c>
      <c r="B157" s="354"/>
      <c r="C157" s="1020" t="s">
        <v>1089</v>
      </c>
      <c r="D157" s="1020"/>
      <c r="E157" s="1028" t="s">
        <v>165</v>
      </c>
      <c r="F157" s="1030" t="s">
        <v>326</v>
      </c>
      <c r="G157" s="1018">
        <v>20000</v>
      </c>
      <c r="H157" s="1018">
        <v>17941</v>
      </c>
      <c r="I157" s="1018">
        <v>17940</v>
      </c>
      <c r="J157" s="1018"/>
      <c r="K157" s="1018">
        <f t="shared" si="11"/>
        <v>20000</v>
      </c>
      <c r="L157" s="1135">
        <f>SUM(G158,J158)</f>
        <v>13965435.5</v>
      </c>
      <c r="M157" s="213"/>
      <c r="O157" s="208"/>
    </row>
    <row r="158" spans="1:16" s="673" customFormat="1" ht="15" customHeight="1" x14ac:dyDescent="0.2">
      <c r="A158" s="1108"/>
      <c r="B158" s="1109"/>
      <c r="C158" s="1137"/>
      <c r="D158" s="1137"/>
      <c r="E158" s="1137"/>
      <c r="F158" s="1138" t="s">
        <v>133</v>
      </c>
      <c r="G158" s="1136">
        <f>SUM(G96:G98,G104,G110:G116,G122:G136,G154:G157)</f>
        <v>13986108.5</v>
      </c>
      <c r="H158" s="1136">
        <f>SUM(H96:H98,H104,H110:H117,H122:H136,H154:H157)</f>
        <v>14055775</v>
      </c>
      <c r="I158" s="1136">
        <f>SUM(I96:I98,I104,I110:I116,I122:I136,I154:I157)</f>
        <v>12380189.079999998</v>
      </c>
      <c r="J158" s="1136">
        <f>SUM(J96:J98,J104,J110:J116,J122:J136,J154:J157)</f>
        <v>-20673</v>
      </c>
      <c r="K158" s="1136">
        <f>SUM(K96:K98,K104,K110:K116,K122:K136,K154:K157)</f>
        <v>13965435.5</v>
      </c>
      <c r="L158" s="213">
        <f>K158-L157</f>
        <v>0</v>
      </c>
    </row>
    <row r="159" spans="1:16" s="153" customFormat="1" ht="25.15" customHeight="1" x14ac:dyDescent="0.2">
      <c r="A159" s="127"/>
      <c r="B159" s="731"/>
      <c r="C159" s="127"/>
      <c r="D159" s="127"/>
      <c r="E159" s="127"/>
      <c r="F159" s="127"/>
      <c r="G159" s="984"/>
      <c r="H159" s="1179"/>
      <c r="I159" s="984"/>
      <c r="J159" s="984"/>
      <c r="K159" s="984"/>
      <c r="L159" s="213"/>
    </row>
    <row r="160" spans="1:16" s="1141" customFormat="1" outlineLevel="1" x14ac:dyDescent="0.2">
      <c r="A160" s="1001" t="s">
        <v>67</v>
      </c>
      <c r="B160" s="153"/>
      <c r="C160" s="1001"/>
      <c r="D160" s="129"/>
      <c r="E160" s="129"/>
      <c r="F160" s="129"/>
      <c r="G160" s="574"/>
      <c r="H160" s="996"/>
      <c r="I160" s="574"/>
      <c r="J160" s="574"/>
      <c r="K160" s="574"/>
    </row>
    <row r="161" spans="1:12" s="1066" customFormat="1" ht="45.75" outlineLevel="1" thickBot="1" x14ac:dyDescent="0.25">
      <c r="A161" s="1060" t="s">
        <v>148</v>
      </c>
      <c r="B161" s="1061" t="s">
        <v>125</v>
      </c>
      <c r="C161" s="1060" t="s">
        <v>61</v>
      </c>
      <c r="D161" s="1065" t="s">
        <v>147</v>
      </c>
      <c r="E161" s="1060" t="s">
        <v>149</v>
      </c>
      <c r="F161" s="1060" t="s">
        <v>62</v>
      </c>
      <c r="G161" s="1064" t="s">
        <v>1074</v>
      </c>
      <c r="H161" s="1064" t="s">
        <v>1101</v>
      </c>
      <c r="I161" s="1064" t="s">
        <v>1076</v>
      </c>
      <c r="J161" s="1065" t="s">
        <v>1075</v>
      </c>
      <c r="K161" s="1064" t="s">
        <v>1090</v>
      </c>
    </row>
    <row r="162" spans="1:12" s="74" customFormat="1" ht="15" customHeight="1" x14ac:dyDescent="0.2">
      <c r="A162" s="1003" t="s">
        <v>3</v>
      </c>
      <c r="B162" s="1120" t="s">
        <v>161</v>
      </c>
      <c r="C162" s="1003" t="s">
        <v>69</v>
      </c>
      <c r="D162" s="1140" t="s">
        <v>1140</v>
      </c>
      <c r="E162" s="1004" t="s">
        <v>167</v>
      </c>
      <c r="F162" s="1004" t="s">
        <v>2</v>
      </c>
      <c r="G162" s="1009">
        <v>16000</v>
      </c>
      <c r="H162" s="1009">
        <v>16000</v>
      </c>
      <c r="I162" s="1009">
        <f>VLOOKUP(F162,'[1]Cognos Feb 14, 2014'!$A:$I,7)</f>
        <v>9800</v>
      </c>
      <c r="J162" s="1009">
        <v>-7500</v>
      </c>
      <c r="K162" s="1009">
        <f t="shared" ref="K162:K193" si="12">G162+J162</f>
        <v>8500</v>
      </c>
      <c r="L162" s="213"/>
    </row>
    <row r="163" spans="1:12" s="531" customFormat="1" ht="15" customHeight="1" x14ac:dyDescent="0.2">
      <c r="A163" s="283" t="s">
        <v>3</v>
      </c>
      <c r="B163" s="367"/>
      <c r="C163" s="256" t="s">
        <v>353</v>
      </c>
      <c r="D163" s="256"/>
      <c r="E163" s="45" t="s">
        <v>167</v>
      </c>
      <c r="F163" s="45" t="s">
        <v>328</v>
      </c>
      <c r="G163" s="375">
        <v>864</v>
      </c>
      <c r="H163" s="1009">
        <v>864</v>
      </c>
      <c r="I163" s="994">
        <f>VLOOKUP(F163,'[1]Cognos Feb 14, 2014'!$A:$I,7)</f>
        <v>0</v>
      </c>
      <c r="J163" s="375"/>
      <c r="K163" s="1018">
        <f t="shared" si="12"/>
        <v>864</v>
      </c>
      <c r="L163" s="363"/>
    </row>
    <row r="164" spans="1:12" s="531" customFormat="1" ht="15" customHeight="1" x14ac:dyDescent="0.2">
      <c r="A164" s="1020" t="s">
        <v>128</v>
      </c>
      <c r="B164" s="354" t="s">
        <v>160</v>
      </c>
      <c r="C164" s="1020" t="s">
        <v>70</v>
      </c>
      <c r="D164" s="1020"/>
      <c r="E164" s="1028" t="s">
        <v>167</v>
      </c>
      <c r="F164" s="1028" t="s">
        <v>17</v>
      </c>
      <c r="G164" s="1018">
        <v>5106</v>
      </c>
      <c r="H164" s="1009">
        <v>5106</v>
      </c>
      <c r="I164" s="994">
        <v>3310</v>
      </c>
      <c r="J164" s="1018"/>
      <c r="K164" s="1018">
        <f t="shared" si="12"/>
        <v>5106</v>
      </c>
      <c r="L164" s="363"/>
    </row>
    <row r="165" spans="1:12" s="531" customFormat="1" ht="15" customHeight="1" x14ac:dyDescent="0.2">
      <c r="A165" s="1020" t="s">
        <v>128</v>
      </c>
      <c r="B165" s="354" t="s">
        <v>160</v>
      </c>
      <c r="C165" s="1020" t="s">
        <v>71</v>
      </c>
      <c r="D165" s="1020"/>
      <c r="E165" s="1028" t="s">
        <v>167</v>
      </c>
      <c r="F165" s="1028" t="s">
        <v>17</v>
      </c>
      <c r="G165" s="1018">
        <v>204199</v>
      </c>
      <c r="H165" s="1009">
        <v>202799</v>
      </c>
      <c r="I165" s="994">
        <v>178663</v>
      </c>
      <c r="J165" s="1018"/>
      <c r="K165" s="1018">
        <f t="shared" si="12"/>
        <v>204199</v>
      </c>
      <c r="L165" s="363"/>
    </row>
    <row r="166" spans="1:12" s="531" customFormat="1" ht="15" customHeight="1" x14ac:dyDescent="0.2">
      <c r="A166" s="1020" t="s">
        <v>128</v>
      </c>
      <c r="B166" s="354" t="s">
        <v>160</v>
      </c>
      <c r="C166" s="1020" t="s">
        <v>72</v>
      </c>
      <c r="D166" s="1020"/>
      <c r="E166" s="1028" t="s">
        <v>167</v>
      </c>
      <c r="F166" s="1028" t="s">
        <v>18</v>
      </c>
      <c r="G166" s="1018">
        <v>78700</v>
      </c>
      <c r="H166" s="1009">
        <v>78700</v>
      </c>
      <c r="I166" s="994">
        <v>78700</v>
      </c>
      <c r="J166" s="1018">
        <v>-15700</v>
      </c>
      <c r="K166" s="1018">
        <f>G166+J166</f>
        <v>63000</v>
      </c>
      <c r="L166" s="363"/>
    </row>
    <row r="167" spans="1:12" s="531" customFormat="1" ht="15" customHeight="1" x14ac:dyDescent="0.2">
      <c r="A167" s="1020" t="s">
        <v>128</v>
      </c>
      <c r="B167" s="1120"/>
      <c r="C167" s="1003" t="s">
        <v>1123</v>
      </c>
      <c r="D167" s="1003" t="s">
        <v>1141</v>
      </c>
      <c r="E167" s="1004" t="s">
        <v>167</v>
      </c>
      <c r="F167" s="1004" t="s">
        <v>18</v>
      </c>
      <c r="G167" s="1023"/>
      <c r="H167" s="1009"/>
      <c r="I167" s="1009"/>
      <c r="J167" s="1023">
        <v>20000</v>
      </c>
      <c r="K167" s="1018">
        <f>G167+J167</f>
        <v>20000</v>
      </c>
      <c r="L167" s="363"/>
    </row>
    <row r="168" spans="1:12" s="531" customFormat="1" ht="15" customHeight="1" x14ac:dyDescent="0.2">
      <c r="A168" s="221" t="s">
        <v>128</v>
      </c>
      <c r="B168" s="277" t="s">
        <v>161</v>
      </c>
      <c r="C168" s="221" t="s">
        <v>960</v>
      </c>
      <c r="D168" s="221"/>
      <c r="E168" s="17" t="s">
        <v>167</v>
      </c>
      <c r="F168" s="17" t="s">
        <v>18</v>
      </c>
      <c r="G168" s="1018">
        <v>9000</v>
      </c>
      <c r="H168" s="1009">
        <v>17600</v>
      </c>
      <c r="I168" s="994">
        <v>10400</v>
      </c>
      <c r="J168" s="1018"/>
      <c r="K168" s="1018">
        <f t="shared" si="12"/>
        <v>9000</v>
      </c>
      <c r="L168" s="363"/>
    </row>
    <row r="169" spans="1:12" s="74" customFormat="1" ht="15" customHeight="1" x14ac:dyDescent="0.2">
      <c r="A169" s="283" t="s">
        <v>128</v>
      </c>
      <c r="B169" s="284" t="s">
        <v>160</v>
      </c>
      <c r="C169" s="283" t="s">
        <v>1012</v>
      </c>
      <c r="D169" s="6"/>
      <c r="E169" s="5" t="s">
        <v>167</v>
      </c>
      <c r="F169" s="32" t="s">
        <v>20</v>
      </c>
      <c r="G169" s="1018">
        <v>15000</v>
      </c>
      <c r="H169" s="1009">
        <v>15000</v>
      </c>
      <c r="I169" s="994">
        <f>VLOOKUP(F169,'[1]Cognos Feb 14, 2014'!$A:$I,7)</f>
        <v>10403.83</v>
      </c>
      <c r="J169" s="1018"/>
      <c r="K169" s="1018">
        <f t="shared" si="12"/>
        <v>15000</v>
      </c>
      <c r="L169" s="213"/>
    </row>
    <row r="170" spans="1:12" s="74" customFormat="1" ht="15" customHeight="1" x14ac:dyDescent="0.2">
      <c r="A170" s="259" t="s">
        <v>128</v>
      </c>
      <c r="B170" s="281" t="s">
        <v>160</v>
      </c>
      <c r="C170" s="259" t="s">
        <v>75</v>
      </c>
      <c r="D170" s="259"/>
      <c r="E170" s="33" t="s">
        <v>167</v>
      </c>
      <c r="F170" s="33" t="s">
        <v>23</v>
      </c>
      <c r="G170" s="375">
        <v>50000</v>
      </c>
      <c r="H170" s="1009">
        <v>50000</v>
      </c>
      <c r="I170" s="994">
        <f>VLOOKUP(F170,'[1]Cognos Feb 14, 2014'!$A:$I,7)</f>
        <v>44425.68</v>
      </c>
      <c r="J170" s="375"/>
      <c r="K170" s="1018">
        <f t="shared" si="12"/>
        <v>50000</v>
      </c>
      <c r="L170" s="213"/>
    </row>
    <row r="171" spans="1:12" s="74" customFormat="1" ht="15" customHeight="1" outlineLevel="1" x14ac:dyDescent="0.2">
      <c r="A171" s="283" t="s">
        <v>128</v>
      </c>
      <c r="B171" s="285" t="s">
        <v>160</v>
      </c>
      <c r="C171" s="283" t="s">
        <v>77</v>
      </c>
      <c r="D171" s="6" t="s">
        <v>1092</v>
      </c>
      <c r="E171" s="5" t="s">
        <v>167</v>
      </c>
      <c r="F171" s="32" t="s">
        <v>271</v>
      </c>
      <c r="G171" s="375">
        <v>140000</v>
      </c>
      <c r="H171" s="1009">
        <v>290000</v>
      </c>
      <c r="I171" s="994">
        <v>171827</v>
      </c>
      <c r="J171" s="375">
        <f>H171-G171</f>
        <v>150000</v>
      </c>
      <c r="K171" s="1018">
        <f t="shared" si="12"/>
        <v>290000</v>
      </c>
      <c r="L171" s="213"/>
    </row>
    <row r="172" spans="1:12" s="74" customFormat="1" ht="15" customHeight="1" x14ac:dyDescent="0.2">
      <c r="A172" s="283" t="s">
        <v>128</v>
      </c>
      <c r="B172" s="875"/>
      <c r="C172" s="229" t="s">
        <v>1158</v>
      </c>
      <c r="D172" s="229" t="s">
        <v>1093</v>
      </c>
      <c r="E172" s="49" t="s">
        <v>167</v>
      </c>
      <c r="F172" s="32" t="s">
        <v>808</v>
      </c>
      <c r="G172" s="375">
        <v>0</v>
      </c>
      <c r="H172" s="1009">
        <v>1400</v>
      </c>
      <c r="I172" s="994">
        <f>VLOOKUP(F172,'[1]Cognos Feb 14, 2014'!$A:$I,7)</f>
        <v>1400</v>
      </c>
      <c r="J172" s="375">
        <v>1400</v>
      </c>
      <c r="K172" s="1018">
        <f t="shared" si="12"/>
        <v>1400</v>
      </c>
      <c r="L172" s="213"/>
    </row>
    <row r="173" spans="1:12" s="74" customFormat="1" ht="15" customHeight="1" x14ac:dyDescent="0.2">
      <c r="A173" s="283" t="s">
        <v>298</v>
      </c>
      <c r="B173" s="286" t="s">
        <v>161</v>
      </c>
      <c r="C173" s="283" t="s">
        <v>87</v>
      </c>
      <c r="D173" s="6"/>
      <c r="E173" s="5" t="s">
        <v>163</v>
      </c>
      <c r="F173" s="32" t="s">
        <v>40</v>
      </c>
      <c r="G173" s="375">
        <v>4000</v>
      </c>
      <c r="H173" s="1009">
        <v>4000</v>
      </c>
      <c r="I173" s="994">
        <f>VLOOKUP(F173,'[1]Cognos Feb 14, 2014'!$A:$I,7)</f>
        <v>1631.45</v>
      </c>
      <c r="J173" s="375"/>
      <c r="K173" s="1018">
        <f t="shared" si="12"/>
        <v>4000</v>
      </c>
      <c r="L173" s="213"/>
    </row>
    <row r="174" spans="1:12" s="74" customFormat="1" ht="15" customHeight="1" x14ac:dyDescent="0.2">
      <c r="A174" s="229" t="s">
        <v>298</v>
      </c>
      <c r="B174" s="354" t="s">
        <v>126</v>
      </c>
      <c r="C174" s="799" t="s">
        <v>995</v>
      </c>
      <c r="D174" s="1020"/>
      <c r="E174" s="1028" t="s">
        <v>167</v>
      </c>
      <c r="F174" s="1028" t="s">
        <v>33</v>
      </c>
      <c r="G174" s="1018">
        <v>65000</v>
      </c>
      <c r="H174" s="1009">
        <v>65000</v>
      </c>
      <c r="I174" s="994">
        <v>49047</v>
      </c>
      <c r="J174" s="375"/>
      <c r="K174" s="1018">
        <f t="shared" si="12"/>
        <v>65000</v>
      </c>
      <c r="L174" s="213"/>
    </row>
    <row r="175" spans="1:12" s="74" customFormat="1" ht="15" customHeight="1" x14ac:dyDescent="0.2">
      <c r="A175" s="227" t="s">
        <v>298</v>
      </c>
      <c r="B175" s="292" t="s">
        <v>126</v>
      </c>
      <c r="C175" s="799" t="s">
        <v>994</v>
      </c>
      <c r="D175" s="490"/>
      <c r="E175" s="34" t="s">
        <v>167</v>
      </c>
      <c r="F175" s="34" t="s">
        <v>33</v>
      </c>
      <c r="G175" s="1018">
        <v>73996</v>
      </c>
      <c r="H175" s="1009">
        <v>73996</v>
      </c>
      <c r="I175" s="994">
        <v>52546</v>
      </c>
      <c r="J175" s="375"/>
      <c r="K175" s="1018">
        <f t="shared" si="12"/>
        <v>73996</v>
      </c>
      <c r="L175" s="213"/>
    </row>
    <row r="176" spans="1:12" s="74" customFormat="1" ht="15" customHeight="1" outlineLevel="1" x14ac:dyDescent="0.2">
      <c r="A176" s="227" t="s">
        <v>298</v>
      </c>
      <c r="B176" s="825"/>
      <c r="C176" s="799" t="s">
        <v>762</v>
      </c>
      <c r="D176" s="231"/>
      <c r="E176" s="34" t="s">
        <v>167</v>
      </c>
      <c r="F176" s="34" t="s">
        <v>33</v>
      </c>
      <c r="G176" s="1018">
        <v>20205</v>
      </c>
      <c r="H176" s="1009">
        <v>25428</v>
      </c>
      <c r="I176" s="994">
        <v>21166</v>
      </c>
      <c r="J176" s="375"/>
      <c r="K176" s="1018">
        <f t="shared" si="12"/>
        <v>20205</v>
      </c>
      <c r="L176" s="213"/>
    </row>
    <row r="177" spans="1:14" s="74" customFormat="1" ht="15" customHeight="1" x14ac:dyDescent="0.2">
      <c r="A177" s="227" t="s">
        <v>298</v>
      </c>
      <c r="B177" s="825"/>
      <c r="C177" s="799" t="s">
        <v>814</v>
      </c>
      <c r="D177" s="231"/>
      <c r="E177" s="34" t="s">
        <v>167</v>
      </c>
      <c r="F177" s="34" t="s">
        <v>33</v>
      </c>
      <c r="G177" s="1018">
        <v>0</v>
      </c>
      <c r="H177" s="1009"/>
      <c r="I177" s="994"/>
      <c r="J177" s="375"/>
      <c r="K177" s="1018">
        <f t="shared" si="12"/>
        <v>0</v>
      </c>
      <c r="L177" s="213"/>
    </row>
    <row r="178" spans="1:14" s="74" customFormat="1" ht="15" customHeight="1" x14ac:dyDescent="0.2">
      <c r="A178" s="283" t="s">
        <v>298</v>
      </c>
      <c r="B178" s="277" t="s">
        <v>126</v>
      </c>
      <c r="C178" s="221" t="s">
        <v>86</v>
      </c>
      <c r="D178" s="231"/>
      <c r="E178" s="33" t="s">
        <v>167</v>
      </c>
      <c r="F178" s="17" t="s">
        <v>32</v>
      </c>
      <c r="G178" s="1018">
        <v>43900</v>
      </c>
      <c r="H178" s="1009">
        <v>43900</v>
      </c>
      <c r="I178" s="994">
        <f>VLOOKUP(F178,'[1]Cognos Feb 14, 2014'!$A:$I,7)</f>
        <v>18437.47</v>
      </c>
      <c r="J178" s="375"/>
      <c r="K178" s="1018">
        <f t="shared" si="12"/>
        <v>43900</v>
      </c>
      <c r="L178" s="213"/>
    </row>
    <row r="179" spans="1:14" s="74" customFormat="1" ht="15" customHeight="1" x14ac:dyDescent="0.2">
      <c r="A179" s="283" t="s">
        <v>298</v>
      </c>
      <c r="B179" s="284" t="s">
        <v>126</v>
      </c>
      <c r="C179" s="283" t="s">
        <v>82</v>
      </c>
      <c r="D179" s="231"/>
      <c r="E179" s="21" t="s">
        <v>167</v>
      </c>
      <c r="F179" s="32" t="s">
        <v>34</v>
      </c>
      <c r="G179" s="1018">
        <v>90000</v>
      </c>
      <c r="H179" s="1009">
        <v>110000</v>
      </c>
      <c r="I179" s="994">
        <f>VLOOKUP(F179,'[1]Cognos Feb 14, 2014'!$A:$I,7)</f>
        <v>67482.210000000006</v>
      </c>
      <c r="J179" s="375"/>
      <c r="K179" s="1018">
        <f t="shared" si="12"/>
        <v>90000</v>
      </c>
      <c r="L179" s="213"/>
    </row>
    <row r="180" spans="1:14" s="74" customFormat="1" ht="15" customHeight="1" x14ac:dyDescent="0.2">
      <c r="A180" s="283" t="s">
        <v>298</v>
      </c>
      <c r="B180" s="284" t="s">
        <v>126</v>
      </c>
      <c r="C180" s="283" t="s">
        <v>330</v>
      </c>
      <c r="D180" s="231"/>
      <c r="E180" s="21" t="s">
        <v>163</v>
      </c>
      <c r="F180" s="32" t="s">
        <v>35</v>
      </c>
      <c r="G180" s="1018">
        <v>3000</v>
      </c>
      <c r="H180" s="1009">
        <v>3000</v>
      </c>
      <c r="I180" s="994">
        <f>VLOOKUP(F180,'[1]Cognos Feb 14, 2014'!$A:$I,7)</f>
        <v>0</v>
      </c>
      <c r="J180" s="375"/>
      <c r="K180" s="1018">
        <f t="shared" si="12"/>
        <v>3000</v>
      </c>
      <c r="L180" s="213"/>
    </row>
    <row r="181" spans="1:14" s="74" customFormat="1" ht="15" customHeight="1" x14ac:dyDescent="0.2">
      <c r="A181" s="283" t="s">
        <v>298</v>
      </c>
      <c r="B181" s="284" t="s">
        <v>126</v>
      </c>
      <c r="C181" s="283" t="s">
        <v>83</v>
      </c>
      <c r="D181" s="231"/>
      <c r="E181" s="21" t="s">
        <v>153</v>
      </c>
      <c r="F181" s="32" t="s">
        <v>36</v>
      </c>
      <c r="G181" s="1018">
        <v>5200</v>
      </c>
      <c r="H181" s="1009">
        <v>5200</v>
      </c>
      <c r="I181" s="994">
        <f>VLOOKUP(F181,'[1]Cognos Feb 14, 2014'!$A:$I,7)</f>
        <v>0</v>
      </c>
      <c r="J181" s="375"/>
      <c r="K181" s="1018">
        <f t="shared" si="12"/>
        <v>5200</v>
      </c>
      <c r="L181" s="213"/>
    </row>
    <row r="182" spans="1:14" s="74" customFormat="1" ht="15" customHeight="1" outlineLevel="1" x14ac:dyDescent="0.2">
      <c r="A182" s="283" t="s">
        <v>298</v>
      </c>
      <c r="B182" s="228" t="s">
        <v>126</v>
      </c>
      <c r="C182" s="6" t="s">
        <v>1062</v>
      </c>
      <c r="D182" s="6"/>
      <c r="E182" s="5" t="s">
        <v>153</v>
      </c>
      <c r="F182" s="5" t="s">
        <v>37</v>
      </c>
      <c r="G182" s="375">
        <v>1000</v>
      </c>
      <c r="H182" s="1009">
        <v>1000</v>
      </c>
      <c r="I182" s="994">
        <f>VLOOKUP(F182,'[1]Cognos Feb 14, 2014'!$A:$I,7)</f>
        <v>0</v>
      </c>
      <c r="J182" s="375"/>
      <c r="K182" s="1018">
        <f t="shared" si="12"/>
        <v>1000</v>
      </c>
      <c r="L182" s="213"/>
    </row>
    <row r="183" spans="1:14" s="74" customFormat="1" ht="15" customHeight="1" outlineLevel="1" x14ac:dyDescent="0.2">
      <c r="A183" s="1019"/>
      <c r="B183" s="1068"/>
      <c r="C183" s="1019" t="s">
        <v>156</v>
      </c>
      <c r="D183" s="1019"/>
      <c r="E183" s="1005" t="s">
        <v>165</v>
      </c>
      <c r="F183" s="1005" t="s">
        <v>314</v>
      </c>
      <c r="G183" s="662">
        <v>38000</v>
      </c>
      <c r="H183" s="1042">
        <v>40059</v>
      </c>
      <c r="I183" s="1034">
        <f>VLOOKUP(F183,'[1]Cognos Feb 14, 2014'!$A:$I,7)</f>
        <v>21437.5</v>
      </c>
      <c r="J183" s="662"/>
      <c r="K183" s="662">
        <f t="shared" si="12"/>
        <v>38000</v>
      </c>
      <c r="L183" s="213"/>
    </row>
    <row r="184" spans="1:14" s="74" customFormat="1" ht="15" customHeight="1" outlineLevel="1" x14ac:dyDescent="0.2">
      <c r="A184" s="1019"/>
      <c r="B184" s="1068"/>
      <c r="C184" s="1019" t="s">
        <v>157</v>
      </c>
      <c r="D184" s="1019"/>
      <c r="E184" s="1005" t="s">
        <v>165</v>
      </c>
      <c r="F184" s="1005" t="s">
        <v>315</v>
      </c>
      <c r="G184" s="662">
        <v>5124</v>
      </c>
      <c r="H184" s="1042">
        <v>5124</v>
      </c>
      <c r="I184" s="1034">
        <f>VLOOKUP(F184,'[1]Cognos Feb 14, 2014'!$A:$I,7)</f>
        <v>3596</v>
      </c>
      <c r="J184" s="662"/>
      <c r="K184" s="662">
        <f t="shared" si="12"/>
        <v>5124</v>
      </c>
      <c r="L184" s="213"/>
    </row>
    <row r="185" spans="1:14" s="74" customFormat="1" ht="15" customHeight="1" outlineLevel="1" x14ac:dyDescent="0.2">
      <c r="A185" s="1019"/>
      <c r="B185" s="1068"/>
      <c r="C185" s="1019" t="s">
        <v>354</v>
      </c>
      <c r="D185" s="1019"/>
      <c r="E185" s="1005" t="s">
        <v>165</v>
      </c>
      <c r="F185" s="1005" t="s">
        <v>355</v>
      </c>
      <c r="G185" s="662">
        <v>4590</v>
      </c>
      <c r="H185" s="1042">
        <v>4590</v>
      </c>
      <c r="I185" s="1034">
        <f>VLOOKUP(F185,'[1]Cognos Feb 14, 2014'!$A:$I,7)</f>
        <v>4040</v>
      </c>
      <c r="J185" s="662"/>
      <c r="K185" s="662">
        <f t="shared" si="12"/>
        <v>4590</v>
      </c>
      <c r="L185" s="213"/>
    </row>
    <row r="186" spans="1:14" s="74" customFormat="1" ht="15" customHeight="1" outlineLevel="1" x14ac:dyDescent="0.2">
      <c r="A186" s="1019"/>
      <c r="B186" s="1068"/>
      <c r="C186" s="1019" t="s">
        <v>158</v>
      </c>
      <c r="D186" s="1019"/>
      <c r="E186" s="1005" t="s">
        <v>153</v>
      </c>
      <c r="F186" s="1005" t="s">
        <v>316</v>
      </c>
      <c r="G186" s="662">
        <v>13700</v>
      </c>
      <c r="H186" s="1042">
        <v>13700</v>
      </c>
      <c r="I186" s="1034">
        <v>4003</v>
      </c>
      <c r="J186" s="662"/>
      <c r="K186" s="662">
        <f t="shared" si="12"/>
        <v>13700</v>
      </c>
      <c r="L186" s="213"/>
    </row>
    <row r="187" spans="1:14" s="1116" customFormat="1" ht="15" customHeight="1" x14ac:dyDescent="0.2">
      <c r="A187" s="1019"/>
      <c r="B187" s="1068"/>
      <c r="C187" s="1019" t="s">
        <v>159</v>
      </c>
      <c r="D187" s="1019"/>
      <c r="E187" s="1005" t="s">
        <v>153</v>
      </c>
      <c r="F187" s="1005" t="s">
        <v>1017</v>
      </c>
      <c r="G187" s="662">
        <v>7000</v>
      </c>
      <c r="H187" s="1042">
        <v>7000</v>
      </c>
      <c r="I187" s="1034">
        <v>4454</v>
      </c>
      <c r="J187" s="662"/>
      <c r="K187" s="662">
        <f t="shared" si="12"/>
        <v>7000</v>
      </c>
      <c r="L187" s="208"/>
    </row>
    <row r="188" spans="1:14" s="74" customFormat="1" ht="15" customHeight="1" x14ac:dyDescent="0.2">
      <c r="A188" s="1098" t="s">
        <v>130</v>
      </c>
      <c r="B188" s="1099" t="s">
        <v>295</v>
      </c>
      <c r="C188" s="1098" t="s">
        <v>227</v>
      </c>
      <c r="D188" s="1098"/>
      <c r="E188" s="968" t="s">
        <v>1157</v>
      </c>
      <c r="F188" s="1114" t="s">
        <v>428</v>
      </c>
      <c r="G188" s="1082">
        <f>SUM(G183:G187)</f>
        <v>68414</v>
      </c>
      <c r="H188" s="1082">
        <f t="shared" ref="H188:K188" si="13">SUM(H183:H187)</f>
        <v>70473</v>
      </c>
      <c r="I188" s="1082">
        <f t="shared" si="13"/>
        <v>37530.5</v>
      </c>
      <c r="J188" s="1082">
        <f t="shared" si="13"/>
        <v>0</v>
      </c>
      <c r="K188" s="1082">
        <f t="shared" si="13"/>
        <v>68414</v>
      </c>
      <c r="L188" s="213"/>
    </row>
    <row r="189" spans="1:14" s="74" customFormat="1" ht="15" customHeight="1" x14ac:dyDescent="0.2">
      <c r="A189" s="229" t="s">
        <v>130</v>
      </c>
      <c r="B189" s="354" t="s">
        <v>295</v>
      </c>
      <c r="C189" s="1020" t="s">
        <v>1162</v>
      </c>
      <c r="D189" s="1020"/>
      <c r="E189" s="1028" t="s">
        <v>324</v>
      </c>
      <c r="F189" s="1028" t="s">
        <v>318</v>
      </c>
      <c r="G189" s="375">
        <v>12124</v>
      </c>
      <c r="H189" s="1009">
        <v>12124</v>
      </c>
      <c r="I189" s="994">
        <f>VLOOKUP(F189,'[1]Cognos Feb 14, 2014'!$A:$I,7)</f>
        <v>6794.84</v>
      </c>
      <c r="J189" s="375"/>
      <c r="K189" s="1018">
        <f t="shared" si="12"/>
        <v>12124</v>
      </c>
      <c r="L189" s="213"/>
    </row>
    <row r="190" spans="1:14" s="74" customFormat="1" ht="15" customHeight="1" x14ac:dyDescent="0.2">
      <c r="A190" s="221" t="s">
        <v>130</v>
      </c>
      <c r="B190" s="277" t="s">
        <v>295</v>
      </c>
      <c r="C190" s="221" t="s">
        <v>1161</v>
      </c>
      <c r="D190" s="221"/>
      <c r="E190" s="34" t="s">
        <v>324</v>
      </c>
      <c r="F190" s="34" t="s">
        <v>319</v>
      </c>
      <c r="G190" s="375">
        <v>6775</v>
      </c>
      <c r="H190" s="1009">
        <v>12975</v>
      </c>
      <c r="I190" s="994">
        <f>VLOOKUP(F190,'[1]Cognos Feb 14, 2014'!$A:$I,7)</f>
        <v>6200</v>
      </c>
      <c r="J190" s="375"/>
      <c r="K190" s="1018">
        <f t="shared" si="12"/>
        <v>6775</v>
      </c>
      <c r="L190" s="213"/>
    </row>
    <row r="191" spans="1:14" s="74" customFormat="1" ht="15" customHeight="1" x14ac:dyDescent="0.2">
      <c r="A191" s="259" t="s">
        <v>131</v>
      </c>
      <c r="B191" s="285" t="s">
        <v>173</v>
      </c>
      <c r="C191" s="259" t="s">
        <v>136</v>
      </c>
      <c r="D191" s="259"/>
      <c r="E191" s="33" t="s">
        <v>1157</v>
      </c>
      <c r="F191" s="35" t="s">
        <v>146</v>
      </c>
      <c r="G191" s="375">
        <v>7000</v>
      </c>
      <c r="H191" s="1009">
        <v>7000</v>
      </c>
      <c r="I191" s="994">
        <v>3325</v>
      </c>
      <c r="J191" s="375"/>
      <c r="K191" s="1018">
        <f t="shared" si="12"/>
        <v>7000</v>
      </c>
      <c r="L191" s="213"/>
    </row>
    <row r="192" spans="1:14" s="74" customFormat="1" ht="15" customHeight="1" x14ac:dyDescent="0.2">
      <c r="A192" s="283" t="s">
        <v>129</v>
      </c>
      <c r="B192" s="232" t="s">
        <v>145</v>
      </c>
      <c r="C192" s="283" t="s">
        <v>55</v>
      </c>
      <c r="D192" s="6"/>
      <c r="E192" s="5" t="s">
        <v>167</v>
      </c>
      <c r="F192" s="32" t="s">
        <v>54</v>
      </c>
      <c r="G192" s="375">
        <v>60000</v>
      </c>
      <c r="H192" s="1009">
        <v>60000</v>
      </c>
      <c r="I192" s="994">
        <f>VLOOKUP(F192,'[1]Cognos Feb 14, 2014'!$A:$I,7)</f>
        <v>35171.22</v>
      </c>
      <c r="J192" s="375"/>
      <c r="K192" s="1018">
        <f t="shared" si="12"/>
        <v>60000</v>
      </c>
      <c r="L192" s="213"/>
      <c r="N192" s="1033"/>
    </row>
    <row r="193" spans="1:12" s="204" customFormat="1" ht="15" customHeight="1" x14ac:dyDescent="0.2">
      <c r="A193" s="1142" t="s">
        <v>131</v>
      </c>
      <c r="B193" s="1121" t="s">
        <v>145</v>
      </c>
      <c r="C193" s="1051" t="s">
        <v>110</v>
      </c>
      <c r="D193" s="1051"/>
      <c r="E193" s="1122" t="s">
        <v>166</v>
      </c>
      <c r="F193" s="1122" t="s">
        <v>811</v>
      </c>
      <c r="G193" s="1057">
        <v>21100</v>
      </c>
      <c r="H193" s="1096">
        <v>21100</v>
      </c>
      <c r="I193" s="1096">
        <v>6335</v>
      </c>
      <c r="J193" s="1057"/>
      <c r="K193" s="1057">
        <f t="shared" si="12"/>
        <v>21100</v>
      </c>
      <c r="L193" s="213">
        <f>SUM(G194,J194)</f>
        <v>1148783</v>
      </c>
    </row>
    <row r="194" spans="1:12" s="199" customFormat="1" ht="15" customHeight="1" x14ac:dyDescent="0.2">
      <c r="A194" s="1144"/>
      <c r="B194" s="1145"/>
      <c r="C194" s="1146"/>
      <c r="D194" s="1146"/>
      <c r="E194" s="1146"/>
      <c r="F194" s="1147" t="s">
        <v>115</v>
      </c>
      <c r="G194" s="1143">
        <f>SUM(G162:G182,G188:G193)</f>
        <v>1000583</v>
      </c>
      <c r="H194" s="1143">
        <f>SUM(H162:H182,H188:H193)</f>
        <v>1192665</v>
      </c>
      <c r="I194" s="1143">
        <f t="shared" ref="I194:K194" si="14">SUM(I162:I182,I188:I193)</f>
        <v>814596.19999999984</v>
      </c>
      <c r="J194" s="1143">
        <f t="shared" si="14"/>
        <v>148200</v>
      </c>
      <c r="K194" s="1143">
        <f t="shared" si="14"/>
        <v>1148783</v>
      </c>
      <c r="L194" s="213"/>
    </row>
    <row r="195" spans="1:12" s="214" customFormat="1" ht="15" customHeight="1" x14ac:dyDescent="0.2">
      <c r="A195" s="198"/>
      <c r="B195" s="199"/>
      <c r="C195" s="200"/>
      <c r="D195" s="200"/>
      <c r="E195" s="200"/>
      <c r="F195" s="198"/>
      <c r="G195" s="574"/>
      <c r="H195" s="996"/>
      <c r="I195" s="574"/>
      <c r="J195" s="574"/>
      <c r="K195" s="574"/>
      <c r="L195" s="213"/>
    </row>
    <row r="196" spans="1:12" ht="15" customHeight="1" thickBot="1" x14ac:dyDescent="0.25">
      <c r="A196" s="198"/>
      <c r="B196" s="214"/>
      <c r="C196" s="215"/>
      <c r="D196" s="215"/>
      <c r="E196" s="215"/>
      <c r="F196" s="845" t="s">
        <v>1077</v>
      </c>
      <c r="G196" s="909">
        <f>SUM(G44,G90,G158,G194)</f>
        <v>16731992.5</v>
      </c>
      <c r="H196" s="909">
        <f>SUM(H44,H90,H158,H194)</f>
        <v>17058834</v>
      </c>
      <c r="I196" s="909">
        <f>SUM(I44,I90,I158,I194)</f>
        <v>14499159.279999997</v>
      </c>
      <c r="J196" s="909">
        <f>SUM(J44,J90,J158,J194)</f>
        <v>166616</v>
      </c>
      <c r="K196" s="909">
        <f>SUM(K44,K90,K158,K194)</f>
        <v>16898608.5</v>
      </c>
      <c r="L196" s="213"/>
    </row>
    <row r="197" spans="1:12" ht="25.15" customHeight="1" thickTop="1" x14ac:dyDescent="0.2">
      <c r="L197" s="213"/>
    </row>
    <row r="198" spans="1:12" s="1141" customFormat="1" outlineLevel="1" x14ac:dyDescent="0.2">
      <c r="A198" s="997" t="s">
        <v>771</v>
      </c>
      <c r="B198" s="74"/>
      <c r="C198" s="997"/>
      <c r="D198" s="74" t="s">
        <v>1007</v>
      </c>
      <c r="E198" s="74"/>
      <c r="F198" s="74"/>
      <c r="G198" s="583"/>
      <c r="H198" s="583"/>
      <c r="I198" s="583"/>
      <c r="J198" s="583"/>
      <c r="K198" s="583"/>
    </row>
    <row r="199" spans="1:12" s="1066" customFormat="1" ht="45.75" outlineLevel="1" thickBot="1" x14ac:dyDescent="0.25">
      <c r="A199" s="1060" t="s">
        <v>148</v>
      </c>
      <c r="B199" s="1061" t="s">
        <v>125</v>
      </c>
      <c r="C199" s="1062" t="s">
        <v>61</v>
      </c>
      <c r="D199" s="1063" t="s">
        <v>147</v>
      </c>
      <c r="E199" s="1062" t="s">
        <v>149</v>
      </c>
      <c r="F199" s="1062" t="s">
        <v>62</v>
      </c>
      <c r="G199" s="1064" t="s">
        <v>1074</v>
      </c>
      <c r="H199" s="1064" t="s">
        <v>1101</v>
      </c>
      <c r="I199" s="1064" t="s">
        <v>1076</v>
      </c>
      <c r="J199" s="1065" t="s">
        <v>1075</v>
      </c>
      <c r="K199" s="1064" t="s">
        <v>1090</v>
      </c>
    </row>
    <row r="200" spans="1:12" s="7" customFormat="1" ht="15" customHeight="1" x14ac:dyDescent="0.2">
      <c r="A200" s="229" t="s">
        <v>627</v>
      </c>
      <c r="B200" s="354"/>
      <c r="C200" s="229" t="s">
        <v>764</v>
      </c>
      <c r="D200" s="229" t="s">
        <v>775</v>
      </c>
      <c r="E200" s="49" t="s">
        <v>153</v>
      </c>
      <c r="F200" s="16" t="s">
        <v>765</v>
      </c>
      <c r="G200" s="375">
        <v>23600</v>
      </c>
      <c r="H200" s="985">
        <v>0</v>
      </c>
      <c r="I200" s="1018">
        <v>0</v>
      </c>
      <c r="J200" s="986">
        <v>0</v>
      </c>
      <c r="K200" s="1018">
        <f t="shared" ref="K200:K201" si="15">SUM(G200+J200)</f>
        <v>23600</v>
      </c>
      <c r="L200" s="213"/>
    </row>
    <row r="201" spans="1:12" s="1008" customFormat="1" ht="15" customHeight="1" x14ac:dyDescent="0.2">
      <c r="A201" s="229" t="s">
        <v>627</v>
      </c>
      <c r="B201" s="354"/>
      <c r="C201" s="229" t="s">
        <v>764</v>
      </c>
      <c r="D201" s="229" t="s">
        <v>775</v>
      </c>
      <c r="E201" s="49" t="s">
        <v>153</v>
      </c>
      <c r="F201" s="49" t="s">
        <v>766</v>
      </c>
      <c r="G201" s="375">
        <v>23600</v>
      </c>
      <c r="H201" s="985">
        <v>0</v>
      </c>
      <c r="I201" s="1018">
        <v>0</v>
      </c>
      <c r="J201" s="986">
        <v>0</v>
      </c>
      <c r="K201" s="1018">
        <f t="shared" si="15"/>
        <v>23600</v>
      </c>
      <c r="L201" s="1033"/>
    </row>
    <row r="202" spans="1:12" s="7" customFormat="1" ht="15" customHeight="1" x14ac:dyDescent="0.2">
      <c r="A202" s="1020" t="s">
        <v>627</v>
      </c>
      <c r="B202" s="835"/>
      <c r="C202" s="836" t="s">
        <v>1095</v>
      </c>
      <c r="D202" s="1139"/>
      <c r="E202" s="837" t="s">
        <v>167</v>
      </c>
      <c r="F202" s="838" t="s">
        <v>1094</v>
      </c>
      <c r="G202" s="1018">
        <v>0</v>
      </c>
      <c r="H202" s="1148">
        <v>337298</v>
      </c>
      <c r="I202" s="1018">
        <v>0</v>
      </c>
      <c r="J202" s="986">
        <v>337298</v>
      </c>
      <c r="K202" s="1018">
        <f>SUM(G202+J202)</f>
        <v>337298</v>
      </c>
      <c r="L202" s="213"/>
    </row>
    <row r="203" spans="1:12" s="74" customFormat="1" ht="15" customHeight="1" x14ac:dyDescent="0.2">
      <c r="A203" s="1020" t="s">
        <v>627</v>
      </c>
      <c r="B203" s="835"/>
      <c r="C203" s="836" t="s">
        <v>1096</v>
      </c>
      <c r="D203" s="799"/>
      <c r="E203" s="837" t="s">
        <v>167</v>
      </c>
      <c r="F203" s="838" t="s">
        <v>767</v>
      </c>
      <c r="G203" s="375">
        <v>809143</v>
      </c>
      <c r="H203" s="1148">
        <v>0</v>
      </c>
      <c r="I203" s="1018">
        <v>0</v>
      </c>
      <c r="J203" s="986">
        <v>0</v>
      </c>
      <c r="K203" s="1018">
        <f>SUM(G203+J203)</f>
        <v>809143</v>
      </c>
      <c r="L203" s="213"/>
    </row>
    <row r="204" spans="1:12" ht="15" customHeight="1" x14ac:dyDescent="0.2">
      <c r="A204" s="127"/>
      <c r="B204" s="731"/>
      <c r="C204" s="127"/>
      <c r="D204" s="127"/>
      <c r="E204" s="127"/>
      <c r="F204" s="130"/>
      <c r="G204" s="987"/>
      <c r="H204" s="987"/>
      <c r="I204" s="987"/>
      <c r="J204" s="987"/>
      <c r="K204" s="987"/>
      <c r="L204" s="213"/>
    </row>
    <row r="205" spans="1:12" ht="15" customHeight="1" x14ac:dyDescent="0.2">
      <c r="A205" s="346" t="s">
        <v>234</v>
      </c>
      <c r="C205" s="345" t="s">
        <v>1097</v>
      </c>
      <c r="D205" s="2"/>
      <c r="E205" s="3" t="s">
        <v>153</v>
      </c>
      <c r="F205" s="16" t="s">
        <v>307</v>
      </c>
      <c r="G205" s="375">
        <f>119365+20774</f>
        <v>140139</v>
      </c>
      <c r="H205" s="1018">
        <v>140139</v>
      </c>
      <c r="I205" s="375">
        <v>10018</v>
      </c>
      <c r="J205" s="375">
        <v>-10018</v>
      </c>
      <c r="K205" s="1018">
        <f t="shared" ref="K205:K209" si="16">SUM(G205+J205)</f>
        <v>130121</v>
      </c>
      <c r="L205" s="213"/>
    </row>
    <row r="206" spans="1:12" ht="15" customHeight="1" x14ac:dyDescent="0.2">
      <c r="A206" s="346" t="s">
        <v>234</v>
      </c>
      <c r="C206" s="345" t="s">
        <v>1099</v>
      </c>
      <c r="D206" s="2"/>
      <c r="E206" s="3" t="s">
        <v>153</v>
      </c>
      <c r="F206" s="16" t="s">
        <v>307</v>
      </c>
      <c r="G206" s="375"/>
      <c r="H206" s="1018">
        <v>0</v>
      </c>
      <c r="I206" s="375">
        <v>0</v>
      </c>
      <c r="J206" s="375">
        <v>0</v>
      </c>
      <c r="K206" s="1018">
        <f t="shared" si="16"/>
        <v>0</v>
      </c>
      <c r="L206" s="213"/>
    </row>
    <row r="207" spans="1:12" ht="15" customHeight="1" x14ac:dyDescent="0.2">
      <c r="A207" s="524"/>
      <c r="C207" s="345"/>
      <c r="D207" s="10"/>
      <c r="E207" s="47"/>
      <c r="F207" s="16"/>
      <c r="G207" s="375"/>
      <c r="H207" s="1018"/>
      <c r="I207" s="375"/>
      <c r="J207" s="375"/>
      <c r="K207" s="1018">
        <f t="shared" si="16"/>
        <v>0</v>
      </c>
      <c r="L207" s="213"/>
    </row>
    <row r="208" spans="1:12" ht="15" customHeight="1" x14ac:dyDescent="0.2">
      <c r="A208" s="346" t="s">
        <v>234</v>
      </c>
      <c r="C208" s="345" t="s">
        <v>1098</v>
      </c>
      <c r="D208" s="2"/>
      <c r="E208" s="3" t="s">
        <v>153</v>
      </c>
      <c r="F208" s="16" t="s">
        <v>344</v>
      </c>
      <c r="G208" s="375">
        <f>150650+4238</f>
        <v>154888</v>
      </c>
      <c r="H208" s="1018">
        <v>154888</v>
      </c>
      <c r="I208" s="375">
        <v>0</v>
      </c>
      <c r="J208" s="375">
        <v>0</v>
      </c>
      <c r="K208" s="1018">
        <f t="shared" si="16"/>
        <v>154888</v>
      </c>
      <c r="L208" s="213"/>
    </row>
    <row r="209" spans="1:14" s="530" customFormat="1" ht="15" customHeight="1" x14ac:dyDescent="0.2">
      <c r="A209" s="346" t="s">
        <v>234</v>
      </c>
      <c r="B209" s="74"/>
      <c r="C209" s="345" t="s">
        <v>1100</v>
      </c>
      <c r="D209" s="2"/>
      <c r="E209" s="3" t="s">
        <v>153</v>
      </c>
      <c r="F209" s="16" t="s">
        <v>344</v>
      </c>
      <c r="G209" s="375">
        <v>0</v>
      </c>
      <c r="H209" s="1018">
        <v>0</v>
      </c>
      <c r="I209" s="375">
        <v>0</v>
      </c>
      <c r="J209" s="375">
        <v>0</v>
      </c>
      <c r="K209" s="1018">
        <f t="shared" si="16"/>
        <v>0</v>
      </c>
      <c r="L209" s="213"/>
    </row>
    <row r="210" spans="1:14" s="495" customFormat="1" ht="15" customHeight="1" x14ac:dyDescent="0.2">
      <c r="A210" s="525"/>
      <c r="B210" s="531"/>
      <c r="C210" s="526"/>
      <c r="D210" s="1"/>
      <c r="E210" s="4"/>
      <c r="F210" s="527"/>
      <c r="G210" s="583"/>
      <c r="H210" s="583"/>
      <c r="I210" s="583"/>
      <c r="J210" s="583"/>
      <c r="K210" s="583"/>
      <c r="L210" s="213">
        <f>SUM(G211,J211)</f>
        <v>18377258.5</v>
      </c>
    </row>
    <row r="211" spans="1:14" ht="15" customHeight="1" thickBot="1" x14ac:dyDescent="0.25">
      <c r="A211" s="493"/>
      <c r="B211" s="494"/>
      <c r="C211" s="493"/>
      <c r="D211" s="494"/>
      <c r="E211" s="494"/>
      <c r="F211" s="494" t="s">
        <v>772</v>
      </c>
      <c r="G211" s="988">
        <f>SUM(G196,G200:G209)</f>
        <v>17883362.5</v>
      </c>
      <c r="H211" s="988">
        <f>SUM(H196,H200:H209)</f>
        <v>17691159</v>
      </c>
      <c r="I211" s="988">
        <f t="shared" ref="I211:K211" si="17">SUM(I196,I200:I209)</f>
        <v>14509177.279999997</v>
      </c>
      <c r="J211" s="988">
        <f>SUM(J196,J200:J209)</f>
        <v>493896</v>
      </c>
      <c r="K211" s="988">
        <f t="shared" si="17"/>
        <v>18377258.5</v>
      </c>
      <c r="L211" s="213">
        <f>L210-K211</f>
        <v>0</v>
      </c>
    </row>
    <row r="212" spans="1:14" s="77" customFormat="1" ht="15" customHeight="1" thickTop="1" x14ac:dyDescent="0.2">
      <c r="A212" s="75"/>
      <c r="B212" s="74"/>
      <c r="C212" s="75"/>
      <c r="D212" s="74"/>
      <c r="E212" s="74"/>
      <c r="F212" s="74"/>
      <c r="G212" s="583"/>
      <c r="H212" s="583"/>
      <c r="I212" s="583"/>
      <c r="J212" s="583"/>
      <c r="K212" s="583"/>
      <c r="L212" s="213"/>
      <c r="N212" s="76"/>
    </row>
    <row r="213" spans="1:14" ht="15" customHeight="1" x14ac:dyDescent="0.2">
      <c r="L213" s="213"/>
    </row>
    <row r="214" spans="1:14" ht="15" customHeight="1" x14ac:dyDescent="0.2">
      <c r="L214" s="213"/>
    </row>
    <row r="215" spans="1:14" ht="15" customHeight="1" x14ac:dyDescent="0.2">
      <c r="L215" s="213"/>
    </row>
    <row r="216" spans="1:14" ht="15" customHeight="1" x14ac:dyDescent="0.2">
      <c r="B216" s="75"/>
      <c r="D216" s="75"/>
      <c r="E216" s="75"/>
      <c r="F216" s="75"/>
      <c r="L216" s="213"/>
    </row>
    <row r="217" spans="1:14" ht="15" customHeight="1" x14ac:dyDescent="0.2">
      <c r="B217" s="75"/>
      <c r="D217" s="75"/>
      <c r="E217" s="75"/>
      <c r="F217" s="75"/>
      <c r="L217" s="213"/>
    </row>
    <row r="218" spans="1:14" ht="15" customHeight="1" x14ac:dyDescent="0.2">
      <c r="B218" s="75"/>
      <c r="D218" s="75"/>
      <c r="E218" s="75"/>
      <c r="F218" s="75"/>
      <c r="L218" s="213"/>
    </row>
    <row r="219" spans="1:14" ht="15" customHeight="1" x14ac:dyDescent="0.2">
      <c r="B219" s="75"/>
      <c r="D219" s="75"/>
      <c r="E219" s="75"/>
      <c r="F219" s="75"/>
      <c r="L219" s="213"/>
    </row>
    <row r="220" spans="1:14" ht="15" customHeight="1" x14ac:dyDescent="0.2">
      <c r="B220" s="75"/>
      <c r="D220" s="75"/>
      <c r="E220" s="75"/>
      <c r="F220" s="75"/>
      <c r="L220" s="213"/>
    </row>
    <row r="221" spans="1:14" ht="15" customHeight="1" x14ac:dyDescent="0.2">
      <c r="B221" s="75"/>
      <c r="D221" s="75"/>
      <c r="E221" s="75"/>
      <c r="F221" s="75"/>
      <c r="L221" s="213"/>
    </row>
    <row r="222" spans="1:14" ht="15" customHeight="1" x14ac:dyDescent="0.2">
      <c r="B222" s="75"/>
      <c r="D222" s="75"/>
      <c r="E222" s="75"/>
      <c r="F222" s="75"/>
      <c r="L222" s="213"/>
    </row>
    <row r="223" spans="1:14" ht="15" customHeight="1" x14ac:dyDescent="0.2">
      <c r="B223" s="75"/>
      <c r="D223" s="75"/>
      <c r="E223" s="75"/>
      <c r="F223" s="75"/>
      <c r="L223" s="213"/>
    </row>
    <row r="224" spans="1:14" ht="15" customHeight="1" x14ac:dyDescent="0.2">
      <c r="B224" s="75"/>
      <c r="D224" s="75"/>
      <c r="E224" s="75"/>
      <c r="F224" s="75"/>
      <c r="L224" s="213"/>
    </row>
    <row r="225" spans="2:12" ht="15" customHeight="1" x14ac:dyDescent="0.2">
      <c r="B225" s="75"/>
      <c r="D225" s="75"/>
      <c r="E225" s="75"/>
      <c r="F225" s="75"/>
      <c r="L225" s="213"/>
    </row>
    <row r="226" spans="2:12" ht="15" customHeight="1" x14ac:dyDescent="0.2">
      <c r="B226" s="75"/>
      <c r="D226" s="75"/>
      <c r="E226" s="75"/>
      <c r="F226" s="75"/>
      <c r="L226" s="213"/>
    </row>
    <row r="227" spans="2:12" ht="15" customHeight="1" x14ac:dyDescent="0.2">
      <c r="B227" s="75"/>
      <c r="D227" s="75"/>
      <c r="E227" s="75"/>
      <c r="F227" s="75"/>
      <c r="L227" s="213"/>
    </row>
    <row r="228" spans="2:12" ht="15" customHeight="1" x14ac:dyDescent="0.2">
      <c r="B228" s="75"/>
      <c r="D228" s="75"/>
      <c r="E228" s="75"/>
      <c r="F228" s="75"/>
      <c r="L228" s="213"/>
    </row>
    <row r="229" spans="2:12" ht="15" customHeight="1" x14ac:dyDescent="0.2">
      <c r="B229" s="75"/>
      <c r="D229" s="75"/>
      <c r="E229" s="75"/>
      <c r="F229" s="75"/>
      <c r="L229" s="213"/>
    </row>
    <row r="230" spans="2:12" ht="15" customHeight="1" x14ac:dyDescent="0.2">
      <c r="B230" s="75"/>
      <c r="D230" s="75"/>
      <c r="E230" s="75"/>
      <c r="F230" s="75"/>
      <c r="L230" s="213"/>
    </row>
    <row r="231" spans="2:12" ht="15" customHeight="1" x14ac:dyDescent="0.2">
      <c r="B231" s="75"/>
      <c r="D231" s="75"/>
      <c r="E231" s="75"/>
      <c r="F231" s="75"/>
      <c r="L231" s="213"/>
    </row>
    <row r="232" spans="2:12" ht="15" customHeight="1" x14ac:dyDescent="0.2">
      <c r="B232" s="75"/>
      <c r="D232" s="75"/>
      <c r="E232" s="75"/>
      <c r="F232" s="75"/>
      <c r="G232" s="530"/>
      <c r="H232" s="530"/>
      <c r="I232" s="530"/>
      <c r="J232" s="530"/>
      <c r="K232" s="530"/>
      <c r="L232" s="213"/>
    </row>
    <row r="233" spans="2:12" ht="15" customHeight="1" x14ac:dyDescent="0.2">
      <c r="B233" s="75"/>
      <c r="D233" s="75"/>
      <c r="E233" s="75"/>
      <c r="F233" s="75"/>
      <c r="G233" s="530"/>
      <c r="H233" s="530"/>
      <c r="I233" s="530"/>
      <c r="J233" s="530"/>
      <c r="K233" s="530"/>
      <c r="L233" s="213"/>
    </row>
    <row r="234" spans="2:12" ht="15" customHeight="1" x14ac:dyDescent="0.2">
      <c r="B234" s="75"/>
      <c r="D234" s="75"/>
      <c r="E234" s="75"/>
      <c r="F234" s="75"/>
      <c r="G234" s="530"/>
      <c r="H234" s="530"/>
      <c r="I234" s="530"/>
      <c r="J234" s="530"/>
      <c r="K234" s="530"/>
      <c r="L234" s="213"/>
    </row>
    <row r="235" spans="2:12" ht="15" customHeight="1" x14ac:dyDescent="0.2">
      <c r="B235" s="75"/>
      <c r="D235" s="75"/>
      <c r="E235" s="75"/>
      <c r="F235" s="75"/>
      <c r="G235" s="530"/>
      <c r="H235" s="530"/>
      <c r="I235" s="530"/>
      <c r="J235" s="530"/>
      <c r="K235" s="530"/>
      <c r="L235" s="213"/>
    </row>
    <row r="236" spans="2:12" ht="15" customHeight="1" x14ac:dyDescent="0.2">
      <c r="B236" s="75"/>
      <c r="D236" s="75"/>
      <c r="E236" s="75"/>
      <c r="F236" s="75"/>
      <c r="G236" s="530"/>
      <c r="H236" s="530"/>
      <c r="I236" s="530"/>
      <c r="J236" s="530"/>
      <c r="K236" s="530"/>
      <c r="L236" s="213"/>
    </row>
    <row r="237" spans="2:12" ht="15" customHeight="1" x14ac:dyDescent="0.2">
      <c r="B237" s="75"/>
      <c r="D237" s="75"/>
      <c r="E237" s="75"/>
      <c r="F237" s="75"/>
      <c r="G237" s="530"/>
      <c r="H237" s="530"/>
      <c r="I237" s="530"/>
      <c r="J237" s="530"/>
      <c r="K237" s="530"/>
      <c r="L237" s="213"/>
    </row>
    <row r="238" spans="2:12" ht="15" customHeight="1" x14ac:dyDescent="0.2">
      <c r="B238" s="75"/>
      <c r="D238" s="75"/>
      <c r="E238" s="75"/>
      <c r="F238" s="75"/>
      <c r="G238" s="530"/>
      <c r="H238" s="530"/>
      <c r="I238" s="530"/>
      <c r="J238" s="530"/>
      <c r="K238" s="530"/>
      <c r="L238" s="213"/>
    </row>
    <row r="239" spans="2:12" ht="15" customHeight="1" x14ac:dyDescent="0.2">
      <c r="B239" s="75"/>
      <c r="D239" s="75"/>
      <c r="E239" s="75"/>
      <c r="F239" s="75"/>
      <c r="G239" s="530"/>
      <c r="H239" s="530"/>
      <c r="I239" s="530"/>
      <c r="J239" s="530"/>
      <c r="K239" s="530"/>
      <c r="L239" s="213"/>
    </row>
    <row r="240" spans="2:12" ht="15" customHeight="1" x14ac:dyDescent="0.2">
      <c r="B240" s="75"/>
      <c r="D240" s="75"/>
      <c r="E240" s="75"/>
      <c r="F240" s="75"/>
      <c r="G240" s="530"/>
      <c r="H240" s="530"/>
      <c r="I240" s="530"/>
      <c r="J240" s="530"/>
      <c r="K240" s="530"/>
      <c r="L240" s="213"/>
    </row>
    <row r="241" spans="2:12" ht="15" customHeight="1" x14ac:dyDescent="0.2">
      <c r="B241" s="75"/>
      <c r="D241" s="75"/>
      <c r="E241" s="75"/>
      <c r="F241" s="75"/>
      <c r="G241" s="530"/>
      <c r="H241" s="530"/>
      <c r="I241" s="530"/>
      <c r="J241" s="530"/>
      <c r="K241" s="530"/>
      <c r="L241" s="213"/>
    </row>
    <row r="242" spans="2:12" ht="15" customHeight="1" x14ac:dyDescent="0.2">
      <c r="B242" s="75"/>
      <c r="D242" s="75"/>
      <c r="E242" s="75"/>
      <c r="F242" s="75"/>
      <c r="G242" s="530"/>
      <c r="H242" s="530"/>
      <c r="I242" s="530"/>
      <c r="J242" s="530"/>
      <c r="K242" s="530"/>
      <c r="L242" s="213"/>
    </row>
    <row r="243" spans="2:12" ht="15" customHeight="1" x14ac:dyDescent="0.2">
      <c r="B243" s="75"/>
      <c r="D243" s="75"/>
      <c r="E243" s="75"/>
      <c r="F243" s="75"/>
      <c r="G243" s="530"/>
      <c r="H243" s="530"/>
      <c r="I243" s="530"/>
      <c r="J243" s="530"/>
      <c r="K243" s="530"/>
      <c r="L243" s="213"/>
    </row>
    <row r="244" spans="2:12" ht="15" customHeight="1" x14ac:dyDescent="0.2">
      <c r="B244" s="75"/>
      <c r="D244" s="75"/>
      <c r="E244" s="75"/>
      <c r="F244" s="75"/>
      <c r="G244" s="530"/>
      <c r="H244" s="530"/>
      <c r="I244" s="530"/>
      <c r="J244" s="530"/>
      <c r="K244" s="530"/>
    </row>
  </sheetData>
  <pageMargins left="0.32" right="0.21" top="0.47" bottom="0.37" header="0.35" footer="0.25"/>
  <pageSetup scale="72" fitToHeight="0" orientation="landscape" r:id="rId1"/>
  <headerFooter>
    <oddHeader>&amp;C&amp;11Fixed Costs Projections for
14/15 Tentative Budget</oddHeader>
    <oddFooter>&amp;L&amp;8&amp;F&amp;C&amp;P of &amp;N&amp;R&amp;8Date Printed: &amp;D</oddFooter>
  </headerFooter>
  <rowBreaks count="4" manualBreakCount="4">
    <brk id="44" max="16383" man="1"/>
    <brk id="92" max="16383" man="1"/>
    <brk id="158" max="16383" man="1"/>
    <brk id="196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S223"/>
  <sheetViews>
    <sheetView topLeftCell="A10" zoomScaleNormal="100" workbookViewId="0">
      <pane xSplit="6" topLeftCell="M1" activePane="topRight" state="frozen"/>
      <selection pane="topRight" activeCell="A26" sqref="A26:XFD26"/>
    </sheetView>
  </sheetViews>
  <sheetFormatPr defaultColWidth="9.140625" defaultRowHeight="15" outlineLevelRow="2" outlineLevelCol="2" x14ac:dyDescent="0.2"/>
  <cols>
    <col min="1" max="1" width="5.42578125" style="75" hidden="1" customWidth="1"/>
    <col min="2" max="2" width="21.7109375" style="75" hidden="1" customWidth="1"/>
    <col min="3" max="3" width="12.7109375" style="74" hidden="1" customWidth="1"/>
    <col min="4" max="4" width="40" style="75" customWidth="1"/>
    <col min="5" max="5" width="8.28515625" style="75" customWidth="1"/>
    <col min="6" max="6" width="22.28515625" style="74" customWidth="1"/>
    <col min="7" max="7" width="7.7109375" style="74" customWidth="1"/>
    <col min="8" max="8" width="26.140625" style="74" customWidth="1"/>
    <col min="9" max="9" width="14.28515625" style="364" bestFit="1" customWidth="1"/>
    <col min="10" max="10" width="14.28515625" style="568" customWidth="1" outlineLevel="2"/>
    <col min="11" max="11" width="14.28515625" style="78" customWidth="1" outlineLevel="2"/>
    <col min="12" max="12" width="11.140625" style="75" customWidth="1" outlineLevel="2"/>
    <col min="13" max="13" width="14.28515625" style="75" customWidth="1" outlineLevel="1"/>
    <col min="14" max="14" width="15.42578125" style="568" customWidth="1"/>
    <col min="15" max="15" width="13.140625" style="568" customWidth="1"/>
    <col min="16" max="17" width="15.42578125" style="568" customWidth="1"/>
    <col min="18" max="18" width="11.28515625" style="75" bestFit="1" customWidth="1"/>
    <col min="19" max="16384" width="9.140625" style="75"/>
  </cols>
  <sheetData>
    <row r="1" spans="1:17" ht="24" customHeight="1" outlineLevel="1" thickBot="1" x14ac:dyDescent="0.3">
      <c r="A1" s="74"/>
      <c r="B1" s="935" t="s">
        <v>206</v>
      </c>
      <c r="D1" s="952" t="s">
        <v>206</v>
      </c>
      <c r="E1" s="74"/>
      <c r="I1" s="363"/>
      <c r="J1" s="569"/>
      <c r="K1" s="936"/>
      <c r="L1" s="74"/>
      <c r="M1" s="74"/>
      <c r="N1" s="569"/>
      <c r="O1" s="569"/>
      <c r="P1" s="569"/>
      <c r="Q1" s="569"/>
    </row>
    <row r="2" spans="1:17" ht="12.75" outlineLevel="1" x14ac:dyDescent="0.2">
      <c r="A2" s="74"/>
      <c r="B2" s="937" t="s">
        <v>118</v>
      </c>
      <c r="C2" s="80"/>
      <c r="D2" s="955"/>
      <c r="E2" s="955"/>
      <c r="F2" s="955"/>
      <c r="G2" s="955"/>
      <c r="H2" s="955"/>
      <c r="I2" s="956" t="s">
        <v>1063</v>
      </c>
      <c r="J2" s="956">
        <v>0.92307692307692313</v>
      </c>
      <c r="K2" s="957" t="s">
        <v>123</v>
      </c>
      <c r="L2" s="958"/>
      <c r="M2" s="959" t="s">
        <v>124</v>
      </c>
      <c r="N2" s="956" t="s">
        <v>958</v>
      </c>
      <c r="O2" s="960" t="s">
        <v>121</v>
      </c>
      <c r="P2" s="956" t="s">
        <v>1063</v>
      </c>
      <c r="Q2" s="956" t="s">
        <v>121</v>
      </c>
    </row>
    <row r="3" spans="1:17" s="74" customFormat="1" ht="13.5" outlineLevel="1" thickBot="1" x14ac:dyDescent="0.25">
      <c r="B3" s="87" t="s">
        <v>148</v>
      </c>
      <c r="C3" s="88" t="s">
        <v>125</v>
      </c>
      <c r="D3" s="961" t="s">
        <v>61</v>
      </c>
      <c r="E3" s="961"/>
      <c r="F3" s="961" t="s">
        <v>147</v>
      </c>
      <c r="G3" s="961" t="s">
        <v>149</v>
      </c>
      <c r="H3" s="961" t="s">
        <v>62</v>
      </c>
      <c r="I3" s="962" t="s">
        <v>1064</v>
      </c>
      <c r="J3" s="963" t="s">
        <v>272</v>
      </c>
      <c r="K3" s="964" t="s">
        <v>1051</v>
      </c>
      <c r="L3" s="965" t="s">
        <v>119</v>
      </c>
      <c r="M3" s="961" t="s">
        <v>118</v>
      </c>
      <c r="N3" s="962" t="s">
        <v>959</v>
      </c>
      <c r="O3" s="961" t="s">
        <v>122</v>
      </c>
      <c r="P3" s="962" t="s">
        <v>1065</v>
      </c>
      <c r="Q3" s="962" t="s">
        <v>1066</v>
      </c>
    </row>
    <row r="4" spans="1:17" s="7" customFormat="1" ht="12" outlineLevel="2" x14ac:dyDescent="0.2">
      <c r="B4" s="676"/>
      <c r="C4" s="686"/>
      <c r="D4" s="706" t="s">
        <v>242</v>
      </c>
      <c r="E4" s="353"/>
      <c r="F4" s="717"/>
      <c r="G4" s="717"/>
      <c r="H4" s="717" t="s">
        <v>210</v>
      </c>
      <c r="I4" s="781">
        <v>1000</v>
      </c>
      <c r="J4" s="953">
        <f>VLOOKUP(H4,'Datetel Jul 10, 2013'!A:F,6,0)</f>
        <v>372</v>
      </c>
      <c r="K4" s="954">
        <f>VLOOKUP(H4,'Datetel Jul 10, 2013'!A:G,7,0)</f>
        <v>371.39</v>
      </c>
      <c r="L4" s="954">
        <f>VLOOKUP(H4,'Datetel Jul 10, 2013'!A:I,8,0)</f>
        <v>0</v>
      </c>
      <c r="M4" s="781">
        <f>J4-K4-L4</f>
        <v>0.61000000000001364</v>
      </c>
      <c r="N4" s="780"/>
      <c r="O4" s="780"/>
      <c r="P4" s="780"/>
      <c r="Q4" s="780"/>
    </row>
    <row r="5" spans="1:17" s="7" customFormat="1" ht="12" outlineLevel="2" x14ac:dyDescent="0.2">
      <c r="B5" s="677"/>
      <c r="C5" s="688"/>
      <c r="D5" s="689" t="s">
        <v>241</v>
      </c>
      <c r="E5" s="19"/>
      <c r="F5" s="677"/>
      <c r="G5" s="677"/>
      <c r="H5" s="677" t="s">
        <v>211</v>
      </c>
      <c r="I5" s="662">
        <v>3000</v>
      </c>
      <c r="J5" s="727">
        <f>VLOOKUP(H5,'Datetel Jul 10, 2013'!A:F,6,0)+SUM('Datetel Jul 10, 2013'!F139:F143)</f>
        <v>3628</v>
      </c>
      <c r="K5" s="781">
        <f>VLOOKUP(H5,'Datetel Jul 10, 2013'!A:G,7,0)</f>
        <v>2717.25</v>
      </c>
      <c r="L5" s="781">
        <f>VLOOKUP(H5,'Datetel Jul 10, 2013'!A:I,8,0)</f>
        <v>0</v>
      </c>
      <c r="M5" s="662">
        <f>J5-K5-L5</f>
        <v>910.75</v>
      </c>
      <c r="N5" s="375"/>
      <c r="O5" s="375"/>
      <c r="P5" s="375"/>
      <c r="Q5" s="375"/>
    </row>
    <row r="6" spans="1:17" s="631" customFormat="1" ht="12" outlineLevel="1" x14ac:dyDescent="0.2">
      <c r="A6" s="7"/>
      <c r="B6" s="221" t="s">
        <v>416</v>
      </c>
      <c r="C6" s="222" t="s">
        <v>228</v>
      </c>
      <c r="D6" s="221" t="s">
        <v>207</v>
      </c>
      <c r="E6" s="221"/>
      <c r="F6" s="221"/>
      <c r="G6" s="17" t="s">
        <v>163</v>
      </c>
      <c r="H6" s="30" t="s">
        <v>428</v>
      </c>
      <c r="I6" s="375">
        <v>4000</v>
      </c>
      <c r="J6" s="783">
        <f>SUM(J4:J5)</f>
        <v>4000</v>
      </c>
      <c r="K6" s="375">
        <f>SUM(K4:K5)</f>
        <v>3088.64</v>
      </c>
      <c r="L6" s="375">
        <f>SUM(L4:L5)</f>
        <v>0</v>
      </c>
      <c r="M6" s="615">
        <f>J6-K6-L6</f>
        <v>911.36000000000013</v>
      </c>
      <c r="N6" s="375">
        <v>4000</v>
      </c>
      <c r="O6" s="375"/>
      <c r="P6" s="375">
        <f>N6+O6</f>
        <v>4000</v>
      </c>
      <c r="Q6" s="375">
        <f>P6-I6</f>
        <v>0</v>
      </c>
    </row>
    <row r="7" spans="1:17" s="7" customFormat="1" ht="12" outlineLevel="2" x14ac:dyDescent="0.2">
      <c r="B7" s="678"/>
      <c r="C7" s="690"/>
      <c r="D7" s="678" t="s">
        <v>238</v>
      </c>
      <c r="E7" s="298"/>
      <c r="F7" s="678"/>
      <c r="G7" s="679"/>
      <c r="H7" s="679" t="s">
        <v>212</v>
      </c>
      <c r="I7" s="662">
        <v>1000</v>
      </c>
      <c r="J7" s="727">
        <f>VLOOKUP(H7,'Datetel Jul 10, 2013'!A:F,6,0)</f>
        <v>0</v>
      </c>
      <c r="K7" s="662">
        <f>VLOOKUP(H7,'Datetel Jul 10, 2013'!A:G,7,0)</f>
        <v>0</v>
      </c>
      <c r="L7" s="662">
        <f>VLOOKUP(H7,'Datetel Jul 10, 2013'!A:I,8,0)</f>
        <v>0</v>
      </c>
      <c r="M7" s="662">
        <f t="shared" ref="M7:M10" si="0">J7-K7-L7</f>
        <v>0</v>
      </c>
      <c r="N7" s="375"/>
      <c r="O7" s="375"/>
      <c r="P7" s="375">
        <f t="shared" ref="P7:Q30" si="1">N7+O7</f>
        <v>0</v>
      </c>
      <c r="Q7" s="375">
        <f t="shared" si="1"/>
        <v>0</v>
      </c>
    </row>
    <row r="8" spans="1:17" s="7" customFormat="1" ht="12" outlineLevel="2" x14ac:dyDescent="0.2">
      <c r="B8" s="678"/>
      <c r="C8" s="690"/>
      <c r="D8" s="678" t="s">
        <v>243</v>
      </c>
      <c r="E8" s="298"/>
      <c r="F8" s="678"/>
      <c r="G8" s="679"/>
      <c r="H8" s="679" t="s">
        <v>213</v>
      </c>
      <c r="I8" s="662">
        <v>500</v>
      </c>
      <c r="J8" s="727">
        <f>VLOOKUP(H8,'Datetel Jul 10, 2013'!A:F,6,0)</f>
        <v>300</v>
      </c>
      <c r="K8" s="662">
        <f>VLOOKUP(H8,'Datetel Jul 10, 2013'!A:G,7,0)</f>
        <v>204.23</v>
      </c>
      <c r="L8" s="662">
        <f>VLOOKUP(H8,'Datetel Jul 10, 2013'!A:I,8,0)</f>
        <v>0</v>
      </c>
      <c r="M8" s="662">
        <f t="shared" si="0"/>
        <v>95.77000000000001</v>
      </c>
      <c r="N8" s="375"/>
      <c r="O8" s="375"/>
      <c r="P8" s="375">
        <f t="shared" si="1"/>
        <v>0</v>
      </c>
      <c r="Q8" s="375">
        <f t="shared" si="1"/>
        <v>0</v>
      </c>
    </row>
    <row r="9" spans="1:17" s="7" customFormat="1" ht="12" outlineLevel="2" x14ac:dyDescent="0.2">
      <c r="B9" s="678"/>
      <c r="C9" s="690"/>
      <c r="D9" s="678" t="s">
        <v>239</v>
      </c>
      <c r="E9" s="298"/>
      <c r="F9" s="678"/>
      <c r="G9" s="679"/>
      <c r="H9" s="679" t="s">
        <v>214</v>
      </c>
      <c r="I9" s="662">
        <v>1500</v>
      </c>
      <c r="J9" s="727">
        <f>VLOOKUP(H9,'Datetel Jul 10, 2013'!A:F,6,0)</f>
        <v>1000</v>
      </c>
      <c r="K9" s="662">
        <f>VLOOKUP(H9,'Datetel Jul 10, 2013'!A:G,7,0)</f>
        <v>800</v>
      </c>
      <c r="L9" s="662">
        <f>VLOOKUP(H9,'Datetel Jul 10, 2013'!A:I,8,0)</f>
        <v>0</v>
      </c>
      <c r="M9" s="662">
        <f t="shared" si="0"/>
        <v>200</v>
      </c>
      <c r="N9" s="375"/>
      <c r="O9" s="375"/>
      <c r="P9" s="375">
        <f t="shared" si="1"/>
        <v>0</v>
      </c>
      <c r="Q9" s="375">
        <f t="shared" si="1"/>
        <v>0</v>
      </c>
    </row>
    <row r="10" spans="1:17" s="7" customFormat="1" ht="12" outlineLevel="2" x14ac:dyDescent="0.2">
      <c r="B10" s="678"/>
      <c r="C10" s="690"/>
      <c r="D10" s="678" t="s">
        <v>240</v>
      </c>
      <c r="E10" s="298"/>
      <c r="F10" s="678"/>
      <c r="G10" s="679"/>
      <c r="H10" s="679" t="s">
        <v>215</v>
      </c>
      <c r="I10" s="662">
        <v>1500</v>
      </c>
      <c r="J10" s="727">
        <f>VLOOKUP(H10,'Datetel Jul 10, 2013'!A:F,6,0)</f>
        <v>3247</v>
      </c>
      <c r="K10" s="662">
        <f>VLOOKUP(H10,'Datetel Jul 10, 2013'!A:G,7,0)</f>
        <v>3246.43</v>
      </c>
      <c r="L10" s="662">
        <f>VLOOKUP(H10,'Datetel Jul 10, 2013'!A:I,8,0)</f>
        <v>0</v>
      </c>
      <c r="M10" s="662">
        <f t="shared" si="0"/>
        <v>0.57000000000016371</v>
      </c>
      <c r="N10" s="375"/>
      <c r="O10" s="375"/>
      <c r="P10" s="375">
        <f t="shared" si="1"/>
        <v>0</v>
      </c>
      <c r="Q10" s="375">
        <f t="shared" si="1"/>
        <v>0</v>
      </c>
    </row>
    <row r="11" spans="1:17" s="631" customFormat="1" ht="12" outlineLevel="1" x14ac:dyDescent="0.2">
      <c r="A11" s="7"/>
      <c r="B11" s="221" t="s">
        <v>416</v>
      </c>
      <c r="C11" s="222" t="s">
        <v>228</v>
      </c>
      <c r="D11" s="221" t="s">
        <v>182</v>
      </c>
      <c r="E11" s="221"/>
      <c r="F11" s="221"/>
      <c r="G11" s="17" t="s">
        <v>163</v>
      </c>
      <c r="H11" s="30" t="s">
        <v>428</v>
      </c>
      <c r="I11" s="375">
        <v>4500</v>
      </c>
      <c r="J11" s="783">
        <f>SUM(J7:J10)</f>
        <v>4547</v>
      </c>
      <c r="K11" s="375">
        <f t="shared" ref="K11:L11" si="2">SUM(K7:K10)</f>
        <v>4250.66</v>
      </c>
      <c r="L11" s="375">
        <f t="shared" si="2"/>
        <v>0</v>
      </c>
      <c r="M11" s="615">
        <f>J11-K11-L11</f>
        <v>296.34000000000015</v>
      </c>
      <c r="N11" s="375">
        <v>4500</v>
      </c>
      <c r="O11" s="375"/>
      <c r="P11" s="375">
        <f t="shared" si="1"/>
        <v>4500</v>
      </c>
      <c r="Q11" s="375">
        <f t="shared" ref="Q11:Q30" si="3">P11-I11</f>
        <v>0</v>
      </c>
    </row>
    <row r="12" spans="1:17" s="631" customFormat="1" ht="12" outlineLevel="1" x14ac:dyDescent="0.2">
      <c r="A12" s="7"/>
      <c r="B12" s="229" t="s">
        <v>998</v>
      </c>
      <c r="C12" s="354"/>
      <c r="D12" s="246" t="s">
        <v>999</v>
      </c>
      <c r="E12" s="877"/>
      <c r="F12" s="931"/>
      <c r="G12" s="932" t="s">
        <v>163</v>
      </c>
      <c r="H12" s="16" t="s">
        <v>1002</v>
      </c>
      <c r="I12" s="489"/>
      <c r="J12" s="868"/>
      <c r="K12" s="489"/>
      <c r="L12" s="489"/>
      <c r="M12" s="921"/>
      <c r="N12" s="375">
        <v>5000</v>
      </c>
      <c r="O12" s="489"/>
      <c r="P12" s="375">
        <f t="shared" si="1"/>
        <v>5000</v>
      </c>
      <c r="Q12" s="375">
        <f t="shared" si="3"/>
        <v>5000</v>
      </c>
    </row>
    <row r="13" spans="1:17" s="7" customFormat="1" ht="12" outlineLevel="1" x14ac:dyDescent="0.2">
      <c r="B13" s="6" t="s">
        <v>236</v>
      </c>
      <c r="C13" s="228" t="s">
        <v>228</v>
      </c>
      <c r="D13" s="14" t="s">
        <v>237</v>
      </c>
      <c r="E13" s="229"/>
      <c r="F13" s="230"/>
      <c r="G13" s="114" t="s">
        <v>150</v>
      </c>
      <c r="H13" s="20" t="s">
        <v>223</v>
      </c>
      <c r="I13" s="375">
        <v>28800</v>
      </c>
      <c r="J13" s="783">
        <f>VLOOKUP(H13,'Datetel Jul 10, 2013'!A:F,6,0)</f>
        <v>28800</v>
      </c>
      <c r="K13" s="375">
        <f>VLOOKUP(H13,'Datetel Jul 10, 2013'!A:G,7,0)</f>
        <v>22961.919999999998</v>
      </c>
      <c r="L13" s="375">
        <f>VLOOKUP(H13,'Datetel Jul 10, 2013'!A:I,8,0)</f>
        <v>0</v>
      </c>
      <c r="M13" s="615">
        <f>J13-K13-L13</f>
        <v>5838.0800000000017</v>
      </c>
      <c r="N13" s="375">
        <v>29000</v>
      </c>
      <c r="O13" s="375"/>
      <c r="P13" s="375">
        <f t="shared" si="1"/>
        <v>29000</v>
      </c>
      <c r="Q13" s="375">
        <f t="shared" si="3"/>
        <v>200</v>
      </c>
    </row>
    <row r="14" spans="1:17" s="7" customFormat="1" ht="12" outlineLevel="1" x14ac:dyDescent="0.2">
      <c r="B14" s="6" t="s">
        <v>234</v>
      </c>
      <c r="C14" s="228" t="s">
        <v>228</v>
      </c>
      <c r="D14" s="14" t="s">
        <v>178</v>
      </c>
      <c r="E14" s="229"/>
      <c r="F14" s="6"/>
      <c r="G14" s="114" t="s">
        <v>150</v>
      </c>
      <c r="H14" s="20" t="s">
        <v>224</v>
      </c>
      <c r="I14" s="375">
        <v>16500</v>
      </c>
      <c r="J14" s="783">
        <f>VLOOKUP(H14,'Datetel Jul 10, 2013'!A:F,6,0)</f>
        <v>16500</v>
      </c>
      <c r="K14" s="375">
        <f>VLOOKUP(H14,'Datetel Jul 10, 2013'!A:G,7,0)</f>
        <v>16500</v>
      </c>
      <c r="L14" s="375">
        <f>VLOOKUP(H14,'Datetel Jul 10, 2013'!A:I,8,0)</f>
        <v>0</v>
      </c>
      <c r="M14" s="615">
        <f t="shared" ref="M14:M30" si="4">J14-K14-L14</f>
        <v>0</v>
      </c>
      <c r="N14" s="375">
        <v>0</v>
      </c>
      <c r="O14" s="375"/>
      <c r="P14" s="375">
        <f t="shared" si="1"/>
        <v>0</v>
      </c>
      <c r="Q14" s="375">
        <f t="shared" si="3"/>
        <v>-16500</v>
      </c>
    </row>
    <row r="15" spans="1:17" s="7" customFormat="1" ht="12" outlineLevel="1" x14ac:dyDescent="0.2">
      <c r="B15" s="231" t="s">
        <v>389</v>
      </c>
      <c r="C15" s="232" t="s">
        <v>228</v>
      </c>
      <c r="D15" s="231" t="s">
        <v>293</v>
      </c>
      <c r="E15" s="233"/>
      <c r="F15" s="233"/>
      <c r="G15" s="21" t="s">
        <v>154</v>
      </c>
      <c r="H15" s="21" t="s">
        <v>642</v>
      </c>
      <c r="I15" s="375">
        <v>37594</v>
      </c>
      <c r="J15" s="783">
        <f>VLOOKUP(H15,'Datetel Jul 10, 2013'!A:F,6,0)</f>
        <v>37971</v>
      </c>
      <c r="K15" s="375">
        <f>VLOOKUP(H15,'Datetel Jul 10, 2013'!A:G,7,0)</f>
        <v>37812.03</v>
      </c>
      <c r="L15" s="375">
        <f>VLOOKUP(H15,'Datetel Jul 10, 2013'!A:I,8,0)</f>
        <v>53.97</v>
      </c>
      <c r="M15" s="615">
        <f t="shared" si="4"/>
        <v>105.00000000000117</v>
      </c>
      <c r="N15" s="375">
        <v>37594</v>
      </c>
      <c r="O15" s="375"/>
      <c r="P15" s="375">
        <f t="shared" si="1"/>
        <v>37594</v>
      </c>
      <c r="Q15" s="375">
        <f t="shared" si="3"/>
        <v>0</v>
      </c>
    </row>
    <row r="16" spans="1:17" s="7" customFormat="1" ht="12" outlineLevel="1" x14ac:dyDescent="0.2">
      <c r="B16" s="231" t="s">
        <v>389</v>
      </c>
      <c r="C16" s="367"/>
      <c r="D16" s="256" t="s">
        <v>415</v>
      </c>
      <c r="E16" s="258"/>
      <c r="F16" s="231"/>
      <c r="G16" s="45" t="s">
        <v>154</v>
      </c>
      <c r="H16" s="21" t="s">
        <v>741</v>
      </c>
      <c r="I16" s="375">
        <v>4877</v>
      </c>
      <c r="J16" s="783">
        <f>VLOOKUP(H16,'Datetel Jul 10, 2013'!A:F,6,0)</f>
        <v>4500</v>
      </c>
      <c r="K16" s="375">
        <f>VLOOKUP(H16,'Datetel Jul 10, 2013'!A:G,7,0)</f>
        <v>4500</v>
      </c>
      <c r="L16" s="375">
        <f>VLOOKUP(H16,'Datetel Jul 10, 2013'!A:I,8,0)</f>
        <v>0</v>
      </c>
      <c r="M16" s="615">
        <f t="shared" si="4"/>
        <v>0</v>
      </c>
      <c r="N16" s="375">
        <v>0</v>
      </c>
      <c r="O16" s="375"/>
      <c r="P16" s="375">
        <f t="shared" si="1"/>
        <v>0</v>
      </c>
      <c r="Q16" s="375">
        <f t="shared" si="3"/>
        <v>-4877</v>
      </c>
    </row>
    <row r="17" spans="1:17" s="7" customFormat="1" ht="12" outlineLevel="1" x14ac:dyDescent="0.2">
      <c r="B17" s="6" t="s">
        <v>234</v>
      </c>
      <c r="C17" s="12" t="s">
        <v>228</v>
      </c>
      <c r="D17" s="14" t="s">
        <v>235</v>
      </c>
      <c r="E17" s="226"/>
      <c r="F17" s="234"/>
      <c r="G17" s="5" t="s">
        <v>268</v>
      </c>
      <c r="H17" s="20" t="s">
        <v>217</v>
      </c>
      <c r="I17" s="375">
        <v>73711</v>
      </c>
      <c r="J17" s="783">
        <f>VLOOKUP(H17,'Datetel Jul 10, 2013'!A:F,6,0)</f>
        <v>73711</v>
      </c>
      <c r="K17" s="375">
        <f>VLOOKUP(H17,'Datetel Jul 10, 2013'!A:G,7,0)</f>
        <v>72921.119999999995</v>
      </c>
      <c r="L17" s="375">
        <f>VLOOKUP(H17,'Datetel Jul 10, 2013'!A:I,8,0)</f>
        <v>0</v>
      </c>
      <c r="M17" s="615">
        <f t="shared" si="4"/>
        <v>789.88000000000466</v>
      </c>
      <c r="N17" s="375">
        <v>73711</v>
      </c>
      <c r="O17" s="375"/>
      <c r="P17" s="375">
        <f t="shared" si="1"/>
        <v>73711</v>
      </c>
      <c r="Q17" s="375">
        <f t="shared" si="3"/>
        <v>0</v>
      </c>
    </row>
    <row r="18" spans="1:17" s="7" customFormat="1" ht="12" outlineLevel="1" x14ac:dyDescent="0.2">
      <c r="B18" s="6" t="s">
        <v>234</v>
      </c>
      <c r="C18" s="12" t="s">
        <v>228</v>
      </c>
      <c r="D18" s="14" t="s">
        <v>204</v>
      </c>
      <c r="E18" s="226"/>
      <c r="F18" s="234"/>
      <c r="G18" s="5" t="s">
        <v>150</v>
      </c>
      <c r="H18" s="20" t="s">
        <v>218</v>
      </c>
      <c r="I18" s="375">
        <v>15000</v>
      </c>
      <c r="J18" s="783">
        <f>VLOOKUP(H18,'Datetel Jul 10, 2013'!A:F,6,0)+SUM('Datetel Jul 10, 2013'!F152:F156)</f>
        <v>14487</v>
      </c>
      <c r="K18" s="375">
        <f>SUM('Datetel Jul 10, 2013'!G151:G156)</f>
        <v>14416.900000000001</v>
      </c>
      <c r="L18" s="375">
        <f>VLOOKUP(H18,'Datetel Jul 10, 2013'!A:I,8,0)</f>
        <v>0</v>
      </c>
      <c r="M18" s="615">
        <f t="shared" si="4"/>
        <v>70.099999999998545</v>
      </c>
      <c r="N18" s="375">
        <v>15000</v>
      </c>
      <c r="O18" s="375"/>
      <c r="P18" s="375">
        <f t="shared" si="1"/>
        <v>15000</v>
      </c>
      <c r="Q18" s="375">
        <f t="shared" si="3"/>
        <v>0</v>
      </c>
    </row>
    <row r="19" spans="1:17" s="7" customFormat="1" ht="12" customHeight="1" outlineLevel="1" x14ac:dyDescent="0.2">
      <c r="B19" s="14" t="s">
        <v>244</v>
      </c>
      <c r="C19" s="228"/>
      <c r="D19" s="14" t="s">
        <v>229</v>
      </c>
      <c r="E19" s="229"/>
      <c r="F19" s="6"/>
      <c r="G19" s="5" t="s">
        <v>163</v>
      </c>
      <c r="H19" s="20" t="s">
        <v>947</v>
      </c>
      <c r="I19" s="375">
        <v>0</v>
      </c>
      <c r="J19" s="783">
        <f>VLOOKUP(H19,'Datetel Jul 10, 2013'!A:F,6,0)</f>
        <v>11686</v>
      </c>
      <c r="K19" s="375">
        <f>VLOOKUP(H19,'Datetel Jul 10, 2013'!A:G,7,0)</f>
        <v>12291.36</v>
      </c>
      <c r="L19" s="375">
        <f>VLOOKUP(H19,'Datetel Jul 10, 2013'!A:I,8,0)</f>
        <v>0</v>
      </c>
      <c r="M19" s="615">
        <f t="shared" ref="M19" si="5">J19-K19-L19</f>
        <v>-605.36000000000058</v>
      </c>
      <c r="N19" s="375">
        <v>0</v>
      </c>
      <c r="O19" s="375">
        <v>8500</v>
      </c>
      <c r="P19" s="375">
        <f t="shared" ref="P19" si="6">N19+O19</f>
        <v>8500</v>
      </c>
      <c r="Q19" s="375">
        <f t="shared" si="3"/>
        <v>8500</v>
      </c>
    </row>
    <row r="20" spans="1:17" s="7" customFormat="1" ht="12" customHeight="1" outlineLevel="1" x14ac:dyDescent="0.2">
      <c r="B20" s="14" t="s">
        <v>244</v>
      </c>
      <c r="C20" s="228"/>
      <c r="D20" s="14" t="s">
        <v>229</v>
      </c>
      <c r="E20" s="229"/>
      <c r="F20" s="6"/>
      <c r="G20" s="5" t="s">
        <v>163</v>
      </c>
      <c r="H20" s="20" t="s">
        <v>219</v>
      </c>
      <c r="I20" s="375">
        <v>10000</v>
      </c>
      <c r="J20" s="783">
        <f>VLOOKUP(H20,'Datetel Jul 10, 2013'!A:F,6,0)</f>
        <v>1500</v>
      </c>
      <c r="K20" s="375">
        <f>VLOOKUP(H20,'Datetel Jul 10, 2013'!A:G,7,0)</f>
        <v>183.64</v>
      </c>
      <c r="L20" s="375">
        <f>VLOOKUP(H20,'Datetel Jul 10, 2013'!A:I,8,0)</f>
        <v>0</v>
      </c>
      <c r="M20" s="615">
        <f t="shared" si="4"/>
        <v>1316.3600000000001</v>
      </c>
      <c r="N20" s="375">
        <v>10000</v>
      </c>
      <c r="O20" s="375">
        <v>-8500</v>
      </c>
      <c r="P20" s="375">
        <f t="shared" si="1"/>
        <v>1500</v>
      </c>
      <c r="Q20" s="375">
        <f t="shared" si="3"/>
        <v>-8500</v>
      </c>
    </row>
    <row r="21" spans="1:17" s="7" customFormat="1" ht="12" outlineLevel="2" x14ac:dyDescent="0.2">
      <c r="B21" s="14" t="s">
        <v>244</v>
      </c>
      <c r="C21" s="228"/>
      <c r="D21" s="14" t="s">
        <v>952</v>
      </c>
      <c r="E21" s="229"/>
      <c r="F21" s="6"/>
      <c r="G21" s="114" t="s">
        <v>163</v>
      </c>
      <c r="H21" s="20" t="s">
        <v>947</v>
      </c>
      <c r="I21" s="375"/>
      <c r="J21" s="783">
        <f>VLOOKUP(H21,'Datetel Jul 10, 2013'!A:F,6,0)+1327</f>
        <v>13013</v>
      </c>
      <c r="K21" s="375">
        <f>VLOOKUP(H21,'Datetel Jul 10, 2013'!A:G,7,0)</f>
        <v>12291.36</v>
      </c>
      <c r="L21" s="375">
        <f>VLOOKUP(H21,'Datetel Jul 10, 2013'!A:I,8,0)</f>
        <v>0</v>
      </c>
      <c r="M21" s="615">
        <f t="shared" si="4"/>
        <v>721.63999999999942</v>
      </c>
      <c r="N21" s="375">
        <v>0</v>
      </c>
      <c r="O21" s="375"/>
      <c r="P21" s="375">
        <f t="shared" si="1"/>
        <v>0</v>
      </c>
      <c r="Q21" s="375">
        <f t="shared" si="3"/>
        <v>0</v>
      </c>
    </row>
    <row r="22" spans="1:17" s="7" customFormat="1" ht="12" outlineLevel="1" x14ac:dyDescent="0.2">
      <c r="B22" s="14" t="s">
        <v>244</v>
      </c>
      <c r="C22" s="228" t="s">
        <v>228</v>
      </c>
      <c r="D22" s="14" t="s">
        <v>232</v>
      </c>
      <c r="E22" s="229"/>
      <c r="F22" s="6" t="s">
        <v>1050</v>
      </c>
      <c r="G22" s="119" t="s">
        <v>163</v>
      </c>
      <c r="H22" s="20" t="s">
        <v>222</v>
      </c>
      <c r="I22" s="375">
        <v>17453</v>
      </c>
      <c r="J22" s="783">
        <f>VLOOKUP(H22,'Datetel Jul 10, 2013'!A:F,6,0)</f>
        <v>17453</v>
      </c>
      <c r="K22" s="375">
        <f>VLOOKUP(H22,'Datetel Jul 10, 2013'!A:G,7,0)+'Datetel Jul 10, 2013'!G133+'Datetel Jul 10, 2013'!G134+'Datetel Jul 10, 2013'!G135+'Datetel Jul 10, 2013'!G136</f>
        <v>16964.859999999997</v>
      </c>
      <c r="L22" s="375">
        <f>VLOOKUP(H22,'Datetel Jul 10, 2013'!A:I,8,0)</f>
        <v>0</v>
      </c>
      <c r="M22" s="615">
        <f t="shared" si="4"/>
        <v>488.14000000000306</v>
      </c>
      <c r="N22" s="375">
        <v>17453</v>
      </c>
      <c r="O22" s="375">
        <f>19137-N22</f>
        <v>1684</v>
      </c>
      <c r="P22" s="375">
        <f t="shared" si="1"/>
        <v>19137</v>
      </c>
      <c r="Q22" s="375">
        <f t="shared" si="3"/>
        <v>1684</v>
      </c>
    </row>
    <row r="23" spans="1:17" s="416" customFormat="1" ht="12.75" outlineLevel="1" x14ac:dyDescent="0.2">
      <c r="A23" s="74"/>
      <c r="B23" s="229" t="s">
        <v>234</v>
      </c>
      <c r="C23" s="271" t="s">
        <v>171</v>
      </c>
      <c r="D23" s="234" t="s">
        <v>60</v>
      </c>
      <c r="E23" s="229"/>
      <c r="F23" s="229"/>
      <c r="G23" s="49" t="s">
        <v>163</v>
      </c>
      <c r="H23" s="48" t="s">
        <v>383</v>
      </c>
      <c r="I23" s="375">
        <v>340397</v>
      </c>
      <c r="J23" s="783">
        <f>VLOOKUP(H23,'Datetel Jul 10, 2013'!A:F,6,0)</f>
        <v>340397</v>
      </c>
      <c r="K23" s="375">
        <f>VLOOKUP(H23,'Datetel Jul 10, 2013'!A:G,7,0)</f>
        <v>320394.84999999998</v>
      </c>
      <c r="L23" s="375">
        <f>VLOOKUP(H23,'Datetel Jul 10, 2013'!A:I,8,0)</f>
        <v>0</v>
      </c>
      <c r="M23" s="615">
        <f t="shared" si="4"/>
        <v>20002.150000000023</v>
      </c>
      <c r="N23" s="375">
        <v>340397</v>
      </c>
      <c r="O23" s="375"/>
      <c r="P23" s="375">
        <f t="shared" si="1"/>
        <v>340397</v>
      </c>
      <c r="Q23" s="375">
        <f t="shared" si="3"/>
        <v>0</v>
      </c>
    </row>
    <row r="24" spans="1:17" s="416" customFormat="1" ht="12.75" outlineLevel="1" x14ac:dyDescent="0.2">
      <c r="A24" s="74"/>
      <c r="B24" s="221" t="s">
        <v>234</v>
      </c>
      <c r="C24" s="263" t="s">
        <v>171</v>
      </c>
      <c r="D24" s="264" t="s">
        <v>329</v>
      </c>
      <c r="E24" s="221"/>
      <c r="F24" s="227"/>
      <c r="G24" s="17" t="s">
        <v>163</v>
      </c>
      <c r="H24" s="29" t="s">
        <v>384</v>
      </c>
      <c r="I24" s="375">
        <v>88013</v>
      </c>
      <c r="J24" s="783">
        <f>VLOOKUP(H24,'Datetel Jul 10, 2013'!A:F,6,0)</f>
        <v>88013</v>
      </c>
      <c r="K24" s="375">
        <f>VLOOKUP(H24,'Datetel Jul 10, 2013'!A:G,7,0)</f>
        <v>0</v>
      </c>
      <c r="L24" s="375">
        <f>VLOOKUP(H24,'Datetel Jul 10, 2013'!A:I,8,0)</f>
        <v>0</v>
      </c>
      <c r="M24" s="615">
        <f t="shared" si="4"/>
        <v>88013</v>
      </c>
      <c r="N24" s="375">
        <v>88013</v>
      </c>
      <c r="O24" s="375">
        <f>81876-88013</f>
        <v>-6137</v>
      </c>
      <c r="P24" s="375">
        <f t="shared" si="1"/>
        <v>81876</v>
      </c>
      <c r="Q24" s="375">
        <f t="shared" si="3"/>
        <v>-6137</v>
      </c>
    </row>
    <row r="25" spans="1:17" s="416" customFormat="1" ht="12.75" outlineLevel="1" x14ac:dyDescent="0.2">
      <c r="A25" s="74"/>
      <c r="B25" s="221" t="s">
        <v>234</v>
      </c>
      <c r="C25" s="798"/>
      <c r="D25" s="370" t="s">
        <v>745</v>
      </c>
      <c r="E25" s="370"/>
      <c r="F25" s="227"/>
      <c r="G25" s="34" t="s">
        <v>153</v>
      </c>
      <c r="H25" s="41" t="s">
        <v>759</v>
      </c>
      <c r="I25" s="375">
        <v>2500</v>
      </c>
      <c r="J25" s="783">
        <f>VLOOKUP(H25,'Datetel Jul 10, 2013'!A:F,6,0)</f>
        <v>2500</v>
      </c>
      <c r="K25" s="375">
        <f>VLOOKUP(H25,'Datetel Jul 10, 2013'!A:G,7,0)</f>
        <v>2500</v>
      </c>
      <c r="L25" s="375">
        <f>VLOOKUP(H25,'Datetel Jul 10, 2013'!A:I,8,0)</f>
        <v>0</v>
      </c>
      <c r="M25" s="615">
        <f t="shared" si="4"/>
        <v>0</v>
      </c>
      <c r="N25" s="375">
        <v>2500</v>
      </c>
      <c r="O25" s="375"/>
      <c r="P25" s="375">
        <f t="shared" si="1"/>
        <v>2500</v>
      </c>
      <c r="Q25" s="375">
        <f t="shared" si="3"/>
        <v>0</v>
      </c>
    </row>
    <row r="26" spans="1:17" s="7" customFormat="1" ht="12" outlineLevel="1" x14ac:dyDescent="0.2">
      <c r="B26" s="221" t="s">
        <v>234</v>
      </c>
      <c r="C26" s="12" t="s">
        <v>228</v>
      </c>
      <c r="D26" s="14" t="s">
        <v>405</v>
      </c>
      <c r="E26" s="226"/>
      <c r="F26" s="227"/>
      <c r="G26" s="5" t="s">
        <v>154</v>
      </c>
      <c r="H26" s="20" t="s">
        <v>403</v>
      </c>
      <c r="I26" s="375">
        <v>19057</v>
      </c>
      <c r="J26" s="783">
        <f>VLOOKUP(H26,'Datetel Jul 10, 2013'!A:F,6,0)</f>
        <v>19057</v>
      </c>
      <c r="K26" s="375">
        <f>VLOOKUP(H26,'Datetel Jul 10, 2013'!A:G,7,0)</f>
        <v>18110</v>
      </c>
      <c r="L26" s="375">
        <f>VLOOKUP(H26,'Datetel Jul 10, 2013'!A:I,8,0)</f>
        <v>0</v>
      </c>
      <c r="M26" s="615">
        <f t="shared" si="4"/>
        <v>947</v>
      </c>
      <c r="N26" s="375">
        <v>19057</v>
      </c>
      <c r="O26" s="375"/>
      <c r="P26" s="375">
        <f t="shared" si="1"/>
        <v>19057</v>
      </c>
      <c r="Q26" s="375">
        <f t="shared" si="3"/>
        <v>0</v>
      </c>
    </row>
    <row r="27" spans="1:17" s="7" customFormat="1" ht="12" outlineLevel="1" x14ac:dyDescent="0.2">
      <c r="B27" s="221" t="s">
        <v>234</v>
      </c>
      <c r="C27" s="12" t="s">
        <v>228</v>
      </c>
      <c r="D27" s="14" t="s">
        <v>280</v>
      </c>
      <c r="E27" s="226"/>
      <c r="F27" s="227" t="s">
        <v>1055</v>
      </c>
      <c r="G27" s="5" t="s">
        <v>154</v>
      </c>
      <c r="H27" s="20" t="s">
        <v>216</v>
      </c>
      <c r="I27" s="375">
        <v>7479</v>
      </c>
      <c r="J27" s="783">
        <f>VLOOKUP(H27,'Datetel Jul 10, 2013'!A:F,6,0)</f>
        <v>7479</v>
      </c>
      <c r="K27" s="375">
        <f>VLOOKUP(H27,'Datetel Jul 10, 2013'!A:G,7,0)</f>
        <v>7479</v>
      </c>
      <c r="L27" s="375">
        <f>VLOOKUP(H27,'Datetel Jul 10, 2013'!A:I,8,0)</f>
        <v>0</v>
      </c>
      <c r="M27" s="615">
        <f t="shared" si="4"/>
        <v>0</v>
      </c>
      <c r="N27" s="375">
        <v>7479</v>
      </c>
      <c r="O27" s="375">
        <v>4321</v>
      </c>
      <c r="P27" s="375">
        <f t="shared" si="1"/>
        <v>11800</v>
      </c>
      <c r="Q27" s="375">
        <f t="shared" si="3"/>
        <v>4321</v>
      </c>
    </row>
    <row r="28" spans="1:17" s="322" customFormat="1" ht="12.75" outlineLevel="1" x14ac:dyDescent="0.2">
      <c r="A28" s="74"/>
      <c r="B28" s="221" t="s">
        <v>234</v>
      </c>
      <c r="C28" s="277" t="s">
        <v>127</v>
      </c>
      <c r="D28" s="264" t="s">
        <v>334</v>
      </c>
      <c r="E28" s="221"/>
      <c r="F28" s="251"/>
      <c r="G28" s="626" t="s">
        <v>154</v>
      </c>
      <c r="H28" s="29" t="s">
        <v>740</v>
      </c>
      <c r="I28" s="375">
        <v>6500</v>
      </c>
      <c r="J28" s="783">
        <f>VLOOKUP(H28,'Datetel Jul 10, 2013'!A:F,6,0)</f>
        <v>6453</v>
      </c>
      <c r="K28" s="375">
        <f>VLOOKUP(H28,'Datetel Jul 10, 2013'!A:G,7,0)</f>
        <v>6255</v>
      </c>
      <c r="L28" s="375">
        <f>VLOOKUP(H28,'Datetel Jul 10, 2013'!A:I,8,0)</f>
        <v>0</v>
      </c>
      <c r="M28" s="615">
        <f t="shared" si="4"/>
        <v>198</v>
      </c>
      <c r="N28" s="375">
        <v>6500</v>
      </c>
      <c r="O28" s="375"/>
      <c r="P28" s="375">
        <f t="shared" si="1"/>
        <v>6500</v>
      </c>
      <c r="Q28" s="375">
        <f t="shared" si="3"/>
        <v>0</v>
      </c>
    </row>
    <row r="29" spans="1:17" s="446" customFormat="1" ht="12.75" outlineLevel="1" x14ac:dyDescent="0.2">
      <c r="A29" s="74"/>
      <c r="B29" s="221" t="s">
        <v>234</v>
      </c>
      <c r="C29" s="354" t="s">
        <v>127</v>
      </c>
      <c r="D29" s="234" t="s">
        <v>66</v>
      </c>
      <c r="E29" s="229"/>
      <c r="F29" s="251" t="s">
        <v>1061</v>
      </c>
      <c r="G29" s="611" t="s">
        <v>154</v>
      </c>
      <c r="H29" s="48" t="s">
        <v>373</v>
      </c>
      <c r="I29" s="375">
        <v>78691</v>
      </c>
      <c r="J29" s="783">
        <f>VLOOKUP(H29,'Datetel Jul 10, 2013'!A:F,6,0)</f>
        <v>78691</v>
      </c>
      <c r="K29" s="375">
        <f>VLOOKUP(H29,'Datetel Jul 10, 2013'!A:G,7,0)</f>
        <v>78691.63</v>
      </c>
      <c r="L29" s="375">
        <f>VLOOKUP(H29,'Datetel Jul 10, 2013'!A:I,8,0)</f>
        <v>0</v>
      </c>
      <c r="M29" s="615">
        <f t="shared" si="4"/>
        <v>-0.63000000000465661</v>
      </c>
      <c r="N29" s="375">
        <v>83413</v>
      </c>
      <c r="O29" s="375">
        <f>(165252/2)-83413</f>
        <v>-787</v>
      </c>
      <c r="P29" s="375">
        <f t="shared" si="1"/>
        <v>82626</v>
      </c>
      <c r="Q29" s="375">
        <f t="shared" si="3"/>
        <v>3935</v>
      </c>
    </row>
    <row r="30" spans="1:17" s="446" customFormat="1" ht="13.5" outlineLevel="1" thickBot="1" x14ac:dyDescent="0.25">
      <c r="A30" s="74"/>
      <c r="B30" s="221" t="s">
        <v>234</v>
      </c>
      <c r="C30" s="651" t="s">
        <v>127</v>
      </c>
      <c r="D30" s="261" t="s">
        <v>401</v>
      </c>
      <c r="E30" s="490"/>
      <c r="F30" s="966"/>
      <c r="G30" s="967" t="s">
        <v>154</v>
      </c>
      <c r="H30" s="40" t="s">
        <v>374</v>
      </c>
      <c r="I30" s="846">
        <v>15609</v>
      </c>
      <c r="J30" s="847">
        <f>VLOOKUP(H30,'Datetel Jul 10, 2013'!A:F,6,0)</f>
        <v>15609</v>
      </c>
      <c r="K30" s="846">
        <f>VLOOKUP(H30,'Datetel Jul 10, 2013'!A:G,7,0)</f>
        <v>11514.1</v>
      </c>
      <c r="L30" s="846">
        <f>VLOOKUP(H30,'Datetel Jul 10, 2013'!A:I,8,0)</f>
        <v>4099.8999999999996</v>
      </c>
      <c r="M30" s="848">
        <f t="shared" si="4"/>
        <v>-5</v>
      </c>
      <c r="N30" s="846">
        <v>15609</v>
      </c>
      <c r="O30" s="846"/>
      <c r="P30" s="846">
        <f t="shared" si="1"/>
        <v>15609</v>
      </c>
      <c r="Q30" s="846">
        <f t="shared" si="3"/>
        <v>0</v>
      </c>
    </row>
    <row r="31" spans="1:17" s="74" customFormat="1" ht="13.5" outlineLevel="1" thickBot="1" x14ac:dyDescent="0.25">
      <c r="B31" s="120"/>
      <c r="C31" s="121"/>
      <c r="D31" s="968"/>
      <c r="E31" s="968"/>
      <c r="F31" s="968"/>
      <c r="G31" s="968"/>
      <c r="H31" s="969" t="s">
        <v>209</v>
      </c>
      <c r="I31" s="970">
        <f>SUM(I6,I11,I12:I30)</f>
        <v>770681</v>
      </c>
      <c r="J31" s="970">
        <f>SUM(J6,J11,J13:J30)</f>
        <v>786367</v>
      </c>
      <c r="K31" s="970">
        <f>SUM(K6,K11,K13:K30)</f>
        <v>663127.06999999995</v>
      </c>
      <c r="L31" s="970">
        <f t="shared" ref="L31:M31" si="7">SUM(L6,L11,L13:L30)</f>
        <v>4153.87</v>
      </c>
      <c r="M31" s="970">
        <f t="shared" si="7"/>
        <v>119086.06000000003</v>
      </c>
      <c r="N31" s="970">
        <f>SUM(N6,N11,N12:N30)</f>
        <v>759226</v>
      </c>
      <c r="O31" s="970">
        <f>SUM(O6,O11,O12:O30)</f>
        <v>-919</v>
      </c>
      <c r="P31" s="970">
        <f>SUM(P6,P11,P12:P30)</f>
        <v>758307</v>
      </c>
      <c r="Q31" s="970">
        <f>SUM(Q6,Q11,Q12:Q30)</f>
        <v>-12374</v>
      </c>
    </row>
    <row r="32" spans="1:17" s="134" customFormat="1" ht="17.25" customHeight="1" outlineLevel="1" x14ac:dyDescent="0.2">
      <c r="B32" s="127"/>
      <c r="C32" s="128"/>
      <c r="D32" s="129"/>
      <c r="E32" s="129"/>
      <c r="F32" s="127"/>
      <c r="G32" s="127"/>
      <c r="H32" s="130"/>
      <c r="I32" s="131"/>
      <c r="J32" s="574"/>
      <c r="K32" s="941"/>
      <c r="L32" s="942"/>
      <c r="M32" s="600">
        <v>412305</v>
      </c>
      <c r="N32" s="574"/>
      <c r="O32" s="574"/>
      <c r="P32" s="574"/>
      <c r="Q32" s="574"/>
    </row>
    <row r="33" spans="1:17" s="135" customFormat="1" ht="24" customHeight="1" outlineLevel="1" thickBot="1" x14ac:dyDescent="0.3">
      <c r="A33" s="134"/>
      <c r="B33" s="943" t="s">
        <v>177</v>
      </c>
      <c r="C33" s="134"/>
      <c r="D33" s="971" t="s">
        <v>177</v>
      </c>
      <c r="E33" s="134"/>
      <c r="F33" s="134"/>
      <c r="G33" s="134"/>
      <c r="H33" s="134"/>
      <c r="I33" s="361"/>
      <c r="J33" s="574"/>
      <c r="K33" s="941"/>
      <c r="L33" s="942"/>
      <c r="M33" s="600"/>
      <c r="N33" s="574"/>
      <c r="O33" s="574"/>
      <c r="P33" s="574"/>
      <c r="Q33" s="574"/>
    </row>
    <row r="34" spans="1:17" ht="12.75" outlineLevel="1" x14ac:dyDescent="0.2">
      <c r="A34" s="74"/>
      <c r="B34" s="937" t="s">
        <v>118</v>
      </c>
      <c r="C34" s="80"/>
      <c r="D34" s="955"/>
      <c r="E34" s="955"/>
      <c r="F34" s="955"/>
      <c r="G34" s="955"/>
      <c r="H34" s="955"/>
      <c r="I34" s="956">
        <v>0.92307692307692313</v>
      </c>
      <c r="J34" s="956">
        <v>0.92307692307692313</v>
      </c>
      <c r="K34" s="957" t="s">
        <v>123</v>
      </c>
      <c r="L34" s="958"/>
      <c r="M34" s="959" t="s">
        <v>124</v>
      </c>
      <c r="N34" s="956" t="s">
        <v>958</v>
      </c>
      <c r="O34" s="960" t="s">
        <v>121</v>
      </c>
      <c r="P34" s="956" t="s">
        <v>958</v>
      </c>
      <c r="Q34" s="956" t="s">
        <v>958</v>
      </c>
    </row>
    <row r="35" spans="1:17" s="74" customFormat="1" ht="13.5" outlineLevel="1" thickBot="1" x14ac:dyDescent="0.25">
      <c r="B35" s="87" t="s">
        <v>148</v>
      </c>
      <c r="C35" s="88" t="s">
        <v>125</v>
      </c>
      <c r="D35" s="961" t="s">
        <v>61</v>
      </c>
      <c r="E35" s="961" t="s">
        <v>250</v>
      </c>
      <c r="F35" s="961" t="s">
        <v>147</v>
      </c>
      <c r="G35" s="961" t="s">
        <v>149</v>
      </c>
      <c r="H35" s="961" t="s">
        <v>62</v>
      </c>
      <c r="I35" s="962" t="s">
        <v>120</v>
      </c>
      <c r="J35" s="963" t="s">
        <v>272</v>
      </c>
      <c r="K35" s="964" t="s">
        <v>1051</v>
      </c>
      <c r="L35" s="965" t="s">
        <v>119</v>
      </c>
      <c r="M35" s="961" t="s">
        <v>118</v>
      </c>
      <c r="N35" s="962" t="s">
        <v>959</v>
      </c>
      <c r="O35" s="961" t="s">
        <v>122</v>
      </c>
      <c r="P35" s="962" t="s">
        <v>1018</v>
      </c>
      <c r="Q35" s="962" t="s">
        <v>1018</v>
      </c>
    </row>
    <row r="36" spans="1:17" s="7" customFormat="1" ht="12" outlineLevel="2" x14ac:dyDescent="0.2">
      <c r="B36" s="680"/>
      <c r="C36" s="691"/>
      <c r="D36" s="972" t="s">
        <v>207</v>
      </c>
      <c r="E36" s="973"/>
      <c r="F36" s="974"/>
      <c r="G36" s="975"/>
      <c r="H36" s="976" t="s">
        <v>193</v>
      </c>
      <c r="I36" s="781">
        <v>1100</v>
      </c>
      <c r="J36" s="953">
        <f>VLOOKUP(H36,'Datetel Jul 10, 2013'!A:F,6,0)</f>
        <v>1100</v>
      </c>
      <c r="K36" s="781">
        <f>VLOOKUP(H36,'Datetel Jul 10, 2013'!A:G,7,0)</f>
        <v>0</v>
      </c>
      <c r="L36" s="781">
        <f>VLOOKUP(H36,'Datetel Jul 10, 2013'!A:I,8,0)</f>
        <v>0</v>
      </c>
      <c r="M36" s="903">
        <f t="shared" ref="M36:M67" si="8">J36-K36-L36</f>
        <v>1100</v>
      </c>
      <c r="N36" s="780"/>
      <c r="O36" s="780"/>
      <c r="P36" s="780"/>
      <c r="Q36" s="780"/>
    </row>
    <row r="37" spans="1:17" s="7" customFormat="1" ht="12" outlineLevel="2" x14ac:dyDescent="0.2">
      <c r="B37" s="680"/>
      <c r="C37" s="691"/>
      <c r="D37" s="692" t="s">
        <v>207</v>
      </c>
      <c r="E37" s="237"/>
      <c r="F37" s="684"/>
      <c r="G37" s="681"/>
      <c r="H37" s="685" t="s">
        <v>194</v>
      </c>
      <c r="I37" s="662">
        <v>3300</v>
      </c>
      <c r="J37" s="727">
        <f>VLOOKUP(H37,'Datetel Jul 10, 2013'!A:F,6,0)</f>
        <v>3300</v>
      </c>
      <c r="K37" s="662">
        <f>VLOOKUP(H37,'Datetel Jul 10, 2013'!A:G,7,0)</f>
        <v>0</v>
      </c>
      <c r="L37" s="662">
        <f>VLOOKUP(H37,'Datetel Jul 10, 2013'!A:I,8,0)</f>
        <v>0</v>
      </c>
      <c r="M37" s="615">
        <f t="shared" si="8"/>
        <v>3300</v>
      </c>
      <c r="N37" s="375"/>
      <c r="O37" s="375"/>
      <c r="P37" s="375"/>
      <c r="Q37" s="375"/>
    </row>
    <row r="38" spans="1:17" s="631" customFormat="1" ht="12" outlineLevel="1" x14ac:dyDescent="0.2">
      <c r="A38" s="7"/>
      <c r="B38" s="244" t="s">
        <v>416</v>
      </c>
      <c r="C38" s="245" t="s">
        <v>245</v>
      </c>
      <c r="D38" s="246" t="s">
        <v>276</v>
      </c>
      <c r="E38" s="244"/>
      <c r="F38" s="247"/>
      <c r="G38" s="140" t="s">
        <v>163</v>
      </c>
      <c r="H38" s="30" t="s">
        <v>428</v>
      </c>
      <c r="I38" s="375">
        <v>4400</v>
      </c>
      <c r="J38" s="783">
        <f>SUM(J36:J37)</f>
        <v>4400</v>
      </c>
      <c r="K38" s="375">
        <f t="shared" ref="K38:L38" si="9">SUM(K36:K37)</f>
        <v>0</v>
      </c>
      <c r="L38" s="375">
        <f t="shared" si="9"/>
        <v>0</v>
      </c>
      <c r="M38" s="615">
        <f t="shared" si="8"/>
        <v>4400</v>
      </c>
      <c r="N38" s="375">
        <v>4400</v>
      </c>
      <c r="O38" s="375"/>
      <c r="P38" s="375">
        <f>N38+O38</f>
        <v>4400</v>
      </c>
      <c r="Q38" s="375">
        <f t="shared" ref="Q38:Q67" si="10">P38-I38</f>
        <v>0</v>
      </c>
    </row>
    <row r="39" spans="1:17" s="7" customFormat="1" ht="12" customHeight="1" outlineLevel="2" x14ac:dyDescent="0.2">
      <c r="B39" s="680"/>
      <c r="C39" s="682"/>
      <c r="D39" s="693" t="s">
        <v>182</v>
      </c>
      <c r="E39" s="694"/>
      <c r="F39" s="680"/>
      <c r="G39" s="681"/>
      <c r="H39" s="685" t="s">
        <v>196</v>
      </c>
      <c r="I39" s="662">
        <v>660</v>
      </c>
      <c r="J39" s="727">
        <f>VLOOKUP(H39,'Datetel Jul 10, 2013'!A:F,6,0)</f>
        <v>3660</v>
      </c>
      <c r="K39" s="662">
        <f>VLOOKUP(H39,'Datetel Jul 10, 2013'!A:G,7,0)</f>
        <v>3033.84</v>
      </c>
      <c r="L39" s="662">
        <f>VLOOKUP(H39,'Datetel Jul 10, 2013'!A:I,8,0)</f>
        <v>0</v>
      </c>
      <c r="M39" s="615">
        <f t="shared" si="8"/>
        <v>626.15999999999985</v>
      </c>
      <c r="N39" s="375"/>
      <c r="O39" s="375"/>
      <c r="P39" s="375">
        <f t="shared" ref="P39:P67" si="11">N39+O39</f>
        <v>0</v>
      </c>
      <c r="Q39" s="375">
        <f t="shared" si="10"/>
        <v>-660</v>
      </c>
    </row>
    <row r="40" spans="1:17" s="7" customFormat="1" ht="12" outlineLevel="2" x14ac:dyDescent="0.2">
      <c r="B40" s="680"/>
      <c r="C40" s="682"/>
      <c r="D40" s="693" t="s">
        <v>182</v>
      </c>
      <c r="E40" s="694"/>
      <c r="F40" s="682"/>
      <c r="G40" s="683"/>
      <c r="H40" s="685" t="s">
        <v>197</v>
      </c>
      <c r="I40" s="662">
        <v>440</v>
      </c>
      <c r="J40" s="727">
        <f>VLOOKUP(H40,'Datetel Jul 10, 2013'!A:F,6,0)</f>
        <v>440</v>
      </c>
      <c r="K40" s="662">
        <f>VLOOKUP(H40,'Datetel Jul 10, 2013'!A:G,7,0)</f>
        <v>440.02</v>
      </c>
      <c r="L40" s="662">
        <f>VLOOKUP(H40,'Datetel Jul 10, 2013'!A:I,8,0)</f>
        <v>0</v>
      </c>
      <c r="M40" s="615">
        <f t="shared" si="8"/>
        <v>-1.999999999998181E-2</v>
      </c>
      <c r="N40" s="375"/>
      <c r="O40" s="375"/>
      <c r="P40" s="375">
        <f t="shared" si="11"/>
        <v>0</v>
      </c>
      <c r="Q40" s="375">
        <f t="shared" si="10"/>
        <v>-440</v>
      </c>
    </row>
    <row r="41" spans="1:17" s="7" customFormat="1" ht="12" outlineLevel="2" x14ac:dyDescent="0.2">
      <c r="B41" s="680"/>
      <c r="C41" s="682"/>
      <c r="D41" s="693" t="s">
        <v>182</v>
      </c>
      <c r="E41" s="694"/>
      <c r="F41" s="682"/>
      <c r="G41" s="683"/>
      <c r="H41" s="685" t="s">
        <v>198</v>
      </c>
      <c r="I41" s="662">
        <v>3300</v>
      </c>
      <c r="J41" s="727">
        <f>VLOOKUP(H41,'Datetel Jul 10, 2013'!A:F,6,0)</f>
        <v>300</v>
      </c>
      <c r="K41" s="662">
        <f>VLOOKUP(H41,'Datetel Jul 10, 2013'!A:G,7,0)</f>
        <v>274.48</v>
      </c>
      <c r="L41" s="662">
        <f>VLOOKUP(H41,'Datetel Jul 10, 2013'!A:I,8,0)</f>
        <v>0</v>
      </c>
      <c r="M41" s="615">
        <f t="shared" si="8"/>
        <v>25.519999999999982</v>
      </c>
      <c r="N41" s="375"/>
      <c r="O41" s="375"/>
      <c r="P41" s="375">
        <f t="shared" si="11"/>
        <v>0</v>
      </c>
      <c r="Q41" s="375">
        <f t="shared" si="10"/>
        <v>-3300</v>
      </c>
    </row>
    <row r="42" spans="1:17" s="631" customFormat="1" ht="12" outlineLevel="1" x14ac:dyDescent="0.2">
      <c r="A42" s="7"/>
      <c r="B42" s="14" t="s">
        <v>416</v>
      </c>
      <c r="C42" s="240" t="s">
        <v>245</v>
      </c>
      <c r="D42" s="13" t="s">
        <v>182</v>
      </c>
      <c r="E42" s="250"/>
      <c r="F42" s="251"/>
      <c r="G42" s="304" t="s">
        <v>163</v>
      </c>
      <c r="H42" s="30" t="s">
        <v>428</v>
      </c>
      <c r="I42" s="375">
        <v>4400</v>
      </c>
      <c r="J42" s="783">
        <f>SUM(J39:J41)</f>
        <v>4400</v>
      </c>
      <c r="K42" s="375">
        <f t="shared" ref="K42:L42" si="12">SUM(K39:K41)</f>
        <v>3748.34</v>
      </c>
      <c r="L42" s="375">
        <f t="shared" si="12"/>
        <v>0</v>
      </c>
      <c r="M42" s="615">
        <f t="shared" si="8"/>
        <v>651.65999999999985</v>
      </c>
      <c r="N42" s="375">
        <v>4400</v>
      </c>
      <c r="O42" s="375"/>
      <c r="P42" s="375">
        <f t="shared" si="11"/>
        <v>4400</v>
      </c>
      <c r="Q42" s="375">
        <f t="shared" si="10"/>
        <v>0</v>
      </c>
    </row>
    <row r="43" spans="1:17" s="631" customFormat="1" ht="12" outlineLevel="1" x14ac:dyDescent="0.2">
      <c r="A43" s="7"/>
      <c r="B43" s="229" t="s">
        <v>998</v>
      </c>
      <c r="C43" s="354"/>
      <c r="D43" s="246" t="s">
        <v>999</v>
      </c>
      <c r="E43" s="877"/>
      <c r="F43" s="931"/>
      <c r="G43" s="932" t="s">
        <v>163</v>
      </c>
      <c r="H43" s="16" t="s">
        <v>1001</v>
      </c>
      <c r="I43" s="489"/>
      <c r="J43" s="868"/>
      <c r="K43" s="489"/>
      <c r="L43" s="489"/>
      <c r="M43" s="921"/>
      <c r="N43" s="375">
        <v>5000</v>
      </c>
      <c r="O43" s="489"/>
      <c r="P43" s="375">
        <f t="shared" si="11"/>
        <v>5000</v>
      </c>
      <c r="Q43" s="375">
        <f t="shared" si="10"/>
        <v>5000</v>
      </c>
    </row>
    <row r="44" spans="1:17" s="7" customFormat="1" ht="12" outlineLevel="1" x14ac:dyDescent="0.2">
      <c r="B44" s="6" t="s">
        <v>234</v>
      </c>
      <c r="C44" s="12" t="s">
        <v>245</v>
      </c>
      <c r="D44" s="13" t="s">
        <v>278</v>
      </c>
      <c r="E44" s="250"/>
      <c r="F44" s="230"/>
      <c r="G44" s="5" t="s">
        <v>150</v>
      </c>
      <c r="H44" s="16" t="s">
        <v>185</v>
      </c>
      <c r="I44" s="375">
        <v>33200</v>
      </c>
      <c r="J44" s="783">
        <v>33200</v>
      </c>
      <c r="K44" s="375">
        <f>SUM('Datetel Jul 10, 2013'!G16:G55)</f>
        <v>12426.09</v>
      </c>
      <c r="L44" s="375">
        <f>VLOOKUP(H44,'Datetel Jul 10, 2013'!A:I,8,0)</f>
        <v>0</v>
      </c>
      <c r="M44" s="615">
        <f t="shared" si="8"/>
        <v>20773.91</v>
      </c>
      <c r="N44" s="375">
        <v>33200</v>
      </c>
      <c r="O44" s="375"/>
      <c r="P44" s="375">
        <f t="shared" si="11"/>
        <v>33200</v>
      </c>
      <c r="Q44" s="375">
        <f t="shared" si="10"/>
        <v>0</v>
      </c>
    </row>
    <row r="45" spans="1:17" s="7" customFormat="1" ht="12" outlineLevel="1" x14ac:dyDescent="0.2">
      <c r="B45" s="6" t="s">
        <v>234</v>
      </c>
      <c r="C45" s="12" t="s">
        <v>245</v>
      </c>
      <c r="D45" s="13" t="s">
        <v>178</v>
      </c>
      <c r="E45" s="14"/>
      <c r="F45" s="6"/>
      <c r="G45" s="5" t="s">
        <v>150</v>
      </c>
      <c r="H45" s="16" t="s">
        <v>186</v>
      </c>
      <c r="I45" s="375">
        <v>27500</v>
      </c>
      <c r="J45" s="783">
        <f>VLOOKUP(H45,'Datetel Jul 10, 2013'!A:F,6,0)</f>
        <v>27500</v>
      </c>
      <c r="K45" s="375">
        <f>VLOOKUP(H45,'Datetel Jul 10, 2013'!A:G,7,0)</f>
        <v>27500</v>
      </c>
      <c r="L45" s="375">
        <f>VLOOKUP(H45,'Datetel Jul 10, 2013'!A:I,8,0)</f>
        <v>0</v>
      </c>
      <c r="M45" s="615">
        <f t="shared" si="8"/>
        <v>0</v>
      </c>
      <c r="N45" s="375">
        <v>0</v>
      </c>
      <c r="O45" s="375"/>
      <c r="P45" s="375">
        <f t="shared" si="11"/>
        <v>0</v>
      </c>
      <c r="Q45" s="375">
        <f t="shared" si="10"/>
        <v>-27500</v>
      </c>
    </row>
    <row r="46" spans="1:17" s="7" customFormat="1" ht="12" outlineLevel="1" x14ac:dyDescent="0.2">
      <c r="B46" s="231" t="s">
        <v>263</v>
      </c>
      <c r="C46" s="255" t="s">
        <v>245</v>
      </c>
      <c r="D46" s="231" t="s">
        <v>293</v>
      </c>
      <c r="E46" s="256" t="s">
        <v>199</v>
      </c>
      <c r="F46" s="231"/>
      <c r="G46" s="49" t="s">
        <v>154</v>
      </c>
      <c r="H46" s="24" t="s">
        <v>274</v>
      </c>
      <c r="I46" s="375">
        <v>40155</v>
      </c>
      <c r="J46" s="783">
        <v>40155</v>
      </c>
      <c r="K46" s="375">
        <f>VLOOKUP(H46,'Datetel Jul 10, 2013'!A:G,7,0)-K47</f>
        <v>39679.56</v>
      </c>
      <c r="L46" s="375">
        <f>VLOOKUP(H46,'Datetel Jul 10, 2013'!A:I,8,0)</f>
        <v>830.44</v>
      </c>
      <c r="M46" s="615">
        <f t="shared" si="8"/>
        <v>-354.99999999999773</v>
      </c>
      <c r="N46" s="375">
        <v>40155</v>
      </c>
      <c r="O46" s="375"/>
      <c r="P46" s="375">
        <f t="shared" si="11"/>
        <v>40155</v>
      </c>
      <c r="Q46" s="375">
        <f t="shared" si="10"/>
        <v>0</v>
      </c>
    </row>
    <row r="47" spans="1:17" s="7" customFormat="1" ht="12" outlineLevel="1" x14ac:dyDescent="0.2">
      <c r="B47" s="231" t="s">
        <v>263</v>
      </c>
      <c r="C47" s="255" t="s">
        <v>245</v>
      </c>
      <c r="D47" s="256" t="s">
        <v>415</v>
      </c>
      <c r="E47" s="256" t="s">
        <v>199</v>
      </c>
      <c r="F47" s="231"/>
      <c r="G47" s="33" t="s">
        <v>154</v>
      </c>
      <c r="H47" s="24" t="s">
        <v>274</v>
      </c>
      <c r="I47" s="375">
        <v>4877</v>
      </c>
      <c r="J47" s="783">
        <v>4877</v>
      </c>
      <c r="K47" s="375">
        <v>4500</v>
      </c>
      <c r="L47" s="375">
        <v>0</v>
      </c>
      <c r="M47" s="615">
        <f t="shared" si="8"/>
        <v>377</v>
      </c>
      <c r="N47" s="375">
        <v>0</v>
      </c>
      <c r="O47" s="375"/>
      <c r="P47" s="375">
        <f t="shared" si="11"/>
        <v>0</v>
      </c>
      <c r="Q47" s="375">
        <f t="shared" si="10"/>
        <v>-4877</v>
      </c>
    </row>
    <row r="48" spans="1:17" s="7" customFormat="1" ht="13.5" customHeight="1" outlineLevel="1" x14ac:dyDescent="0.2">
      <c r="B48" s="6" t="s">
        <v>262</v>
      </c>
      <c r="C48" s="12" t="s">
        <v>245</v>
      </c>
      <c r="D48" s="13" t="s">
        <v>1068</v>
      </c>
      <c r="E48" s="14" t="s">
        <v>201</v>
      </c>
      <c r="F48" s="6"/>
      <c r="G48" s="5" t="s">
        <v>268</v>
      </c>
      <c r="H48" s="16" t="s">
        <v>188</v>
      </c>
      <c r="I48" s="375">
        <v>110568</v>
      </c>
      <c r="J48" s="783">
        <f>VLOOKUP(H48,'Datetel Jul 10, 2013'!A:F,6,0)</f>
        <v>109382</v>
      </c>
      <c r="K48" s="375">
        <f>VLOOKUP(H48,'Datetel Jul 10, 2013'!A:G,7,0)</f>
        <v>109381.68</v>
      </c>
      <c r="L48" s="375">
        <f>VLOOKUP(H48,'Datetel Jul 10, 2013'!A:I,8,0)</f>
        <v>0</v>
      </c>
      <c r="M48" s="615">
        <f t="shared" si="8"/>
        <v>0.32000000000698492</v>
      </c>
      <c r="N48" s="375">
        <v>110568</v>
      </c>
      <c r="O48" s="375"/>
      <c r="P48" s="375">
        <f t="shared" si="11"/>
        <v>110568</v>
      </c>
      <c r="Q48" s="375">
        <f t="shared" si="10"/>
        <v>0</v>
      </c>
    </row>
    <row r="49" spans="1:18" s="7" customFormat="1" ht="13.5" customHeight="1" outlineLevel="1" x14ac:dyDescent="0.2">
      <c r="B49" s="229"/>
      <c r="C49" s="930"/>
      <c r="D49" s="13" t="s">
        <v>1067</v>
      </c>
      <c r="E49" s="244"/>
      <c r="F49" s="244"/>
      <c r="G49" s="140"/>
      <c r="H49" s="16" t="s">
        <v>1069</v>
      </c>
      <c r="I49" s="489"/>
      <c r="J49" s="868"/>
      <c r="K49" s="489"/>
      <c r="L49" s="489"/>
      <c r="M49" s="921"/>
      <c r="N49" s="489"/>
      <c r="O49" s="489"/>
      <c r="P49" s="489"/>
      <c r="Q49" s="489"/>
    </row>
    <row r="50" spans="1:18" s="7" customFormat="1" ht="12" outlineLevel="1" x14ac:dyDescent="0.2">
      <c r="B50" s="6" t="s">
        <v>262</v>
      </c>
      <c r="C50" s="12" t="s">
        <v>245</v>
      </c>
      <c r="D50" s="13" t="s">
        <v>204</v>
      </c>
      <c r="E50" s="14"/>
      <c r="F50" s="14"/>
      <c r="G50" s="5" t="s">
        <v>150</v>
      </c>
      <c r="H50" s="16" t="s">
        <v>187</v>
      </c>
      <c r="I50" s="375">
        <v>24625</v>
      </c>
      <c r="J50" s="783">
        <v>25811</v>
      </c>
      <c r="K50" s="375">
        <f>SUM('Datetel Jul 10, 2013'!G64:G70)</f>
        <v>24377.140000000003</v>
      </c>
      <c r="L50" s="375">
        <f>VLOOKUP(H50,'Datetel Jul 10, 2013'!A:I,8,0)</f>
        <v>0</v>
      </c>
      <c r="M50" s="615">
        <f t="shared" si="8"/>
        <v>1433.8599999999969</v>
      </c>
      <c r="N50" s="375">
        <v>24625</v>
      </c>
      <c r="O50" s="375"/>
      <c r="P50" s="375">
        <f t="shared" si="11"/>
        <v>24625</v>
      </c>
      <c r="Q50" s="375">
        <f t="shared" si="10"/>
        <v>0</v>
      </c>
    </row>
    <row r="51" spans="1:18" s="7" customFormat="1" ht="12" outlineLevel="1" x14ac:dyDescent="0.2">
      <c r="B51" s="6" t="s">
        <v>244</v>
      </c>
      <c r="C51" s="12" t="s">
        <v>245</v>
      </c>
      <c r="D51" s="13" t="s">
        <v>232</v>
      </c>
      <c r="E51" s="250"/>
      <c r="F51" s="6" t="s">
        <v>1060</v>
      </c>
      <c r="G51" s="5" t="s">
        <v>163</v>
      </c>
      <c r="H51" s="16" t="s">
        <v>738</v>
      </c>
      <c r="I51" s="375">
        <v>18953</v>
      </c>
      <c r="J51" s="783">
        <f>VLOOKUP(H51,'Datetel Jul 10, 2013'!A:F,6,0)</f>
        <v>18940</v>
      </c>
      <c r="K51" s="375">
        <f>VLOOKUP(H51,'Datetel Jul 10, 2013'!A:G,7,0)</f>
        <v>18326</v>
      </c>
      <c r="L51" s="375">
        <f>VLOOKUP(H51,'Datetel Jul 10, 2013'!A:I,8,0)</f>
        <v>0</v>
      </c>
      <c r="M51" s="615">
        <f t="shared" si="8"/>
        <v>614</v>
      </c>
      <c r="N51" s="375">
        <v>19137</v>
      </c>
      <c r="O51" s="375">
        <f>22159-19137</f>
        <v>3022</v>
      </c>
      <c r="P51" s="375">
        <f t="shared" si="11"/>
        <v>22159</v>
      </c>
      <c r="Q51" s="375">
        <f t="shared" si="10"/>
        <v>3206</v>
      </c>
    </row>
    <row r="52" spans="1:18" s="7" customFormat="1" ht="12" outlineLevel="1" x14ac:dyDescent="0.2">
      <c r="B52" s="6" t="s">
        <v>244</v>
      </c>
      <c r="C52" s="245"/>
      <c r="D52" s="13" t="s">
        <v>954</v>
      </c>
      <c r="E52" s="877"/>
      <c r="F52" s="6"/>
      <c r="G52" s="5" t="s">
        <v>163</v>
      </c>
      <c r="H52" s="16" t="s">
        <v>779</v>
      </c>
      <c r="I52" s="489"/>
      <c r="J52" s="783">
        <v>7299</v>
      </c>
      <c r="K52" s="375">
        <f>SUM('Datetel Jul 10, 2013'!G3:G9)</f>
        <v>10948.32</v>
      </c>
      <c r="L52" s="375">
        <f>VLOOKUP(H52,'Datetel Jul 10, 2013'!A:I,8,0)</f>
        <v>0</v>
      </c>
      <c r="M52" s="615">
        <f t="shared" si="8"/>
        <v>-3649.3199999999997</v>
      </c>
      <c r="N52" s="375">
        <v>8650</v>
      </c>
      <c r="O52" s="375"/>
      <c r="P52" s="375">
        <f t="shared" si="11"/>
        <v>8650</v>
      </c>
      <c r="Q52" s="375">
        <f t="shared" si="10"/>
        <v>8650</v>
      </c>
    </row>
    <row r="53" spans="1:18" s="631" customFormat="1" ht="12" outlineLevel="1" x14ac:dyDescent="0.2">
      <c r="A53" s="7"/>
      <c r="B53" s="6" t="s">
        <v>244</v>
      </c>
      <c r="C53" s="12" t="s">
        <v>245</v>
      </c>
      <c r="D53" s="13" t="s">
        <v>229</v>
      </c>
      <c r="E53" s="250"/>
      <c r="F53" s="6"/>
      <c r="G53" s="5" t="s">
        <v>163</v>
      </c>
      <c r="H53" s="16" t="s">
        <v>751</v>
      </c>
      <c r="I53" s="375">
        <v>10000</v>
      </c>
      <c r="J53" s="783">
        <f>VLOOKUP(H53,'Datetel Jul 10, 2013'!A:F,6,0)</f>
        <v>1374</v>
      </c>
      <c r="K53" s="375">
        <f>VLOOKUP(H53,'Datetel Jul 10, 2013'!A:G,7,0)</f>
        <v>955.06</v>
      </c>
      <c r="L53" s="375">
        <f>VLOOKUP(H53,'Datetel Jul 10, 2013'!A:I,8,0)</f>
        <v>0.13</v>
      </c>
      <c r="M53" s="615">
        <f t="shared" si="8"/>
        <v>418.81000000000006</v>
      </c>
      <c r="N53" s="375">
        <v>1350</v>
      </c>
      <c r="O53" s="375"/>
      <c r="P53" s="375">
        <f t="shared" si="11"/>
        <v>1350</v>
      </c>
      <c r="Q53" s="375">
        <f t="shared" si="10"/>
        <v>-8650</v>
      </c>
    </row>
    <row r="54" spans="1:18" s="631" customFormat="1" ht="12" outlineLevel="1" x14ac:dyDescent="0.2">
      <c r="A54" s="7"/>
      <c r="B54" s="6" t="s">
        <v>244</v>
      </c>
      <c r="C54" s="12" t="s">
        <v>245</v>
      </c>
      <c r="D54" s="13" t="s">
        <v>1049</v>
      </c>
      <c r="E54" s="832"/>
      <c r="F54" s="229"/>
      <c r="G54" s="49" t="s">
        <v>163</v>
      </c>
      <c r="H54" s="16" t="s">
        <v>1037</v>
      </c>
      <c r="I54" s="375"/>
      <c r="J54" s="868">
        <v>1340</v>
      </c>
      <c r="K54" s="375">
        <f>VLOOKUP(H54,'Datetel Jul 10, 2013'!A:G,7,0)</f>
        <v>1330.92</v>
      </c>
      <c r="L54" s="375"/>
      <c r="M54" s="615">
        <f t="shared" si="8"/>
        <v>9.0799999999999272</v>
      </c>
      <c r="N54" s="375">
        <v>0</v>
      </c>
      <c r="O54" s="375"/>
      <c r="P54" s="375">
        <f t="shared" si="11"/>
        <v>0</v>
      </c>
      <c r="Q54" s="375">
        <f t="shared" si="10"/>
        <v>0</v>
      </c>
    </row>
    <row r="55" spans="1:18" s="74" customFormat="1" ht="12.75" outlineLevel="1" x14ac:dyDescent="0.2">
      <c r="B55" s="229" t="s">
        <v>234</v>
      </c>
      <c r="C55" s="625" t="s">
        <v>171</v>
      </c>
      <c r="D55" s="234" t="s">
        <v>60</v>
      </c>
      <c r="E55" s="229"/>
      <c r="F55" s="229"/>
      <c r="G55" s="49" t="s">
        <v>163</v>
      </c>
      <c r="H55" s="48" t="s">
        <v>381</v>
      </c>
      <c r="I55" s="375">
        <v>468710</v>
      </c>
      <c r="J55" s="783">
        <f>VLOOKUP(H55,'Datetel Jul 10, 2013'!A:F,6,0)</f>
        <v>468710</v>
      </c>
      <c r="K55" s="375">
        <f>VLOOKUP(H55,'Datetel Jul 10, 2013'!A:G,7,0)</f>
        <v>468710</v>
      </c>
      <c r="L55" s="375">
        <f>VLOOKUP(H55,'Datetel Jul 10, 2013'!A:I,8,0)</f>
        <v>0</v>
      </c>
      <c r="M55" s="615">
        <f t="shared" si="8"/>
        <v>0</v>
      </c>
      <c r="N55" s="375">
        <v>468710</v>
      </c>
      <c r="O55" s="375"/>
      <c r="P55" s="375">
        <f t="shared" si="11"/>
        <v>468710</v>
      </c>
      <c r="Q55" s="375">
        <f t="shared" si="10"/>
        <v>0</v>
      </c>
    </row>
    <row r="56" spans="1:18" s="74" customFormat="1" ht="12.75" outlineLevel="1" x14ac:dyDescent="0.2">
      <c r="B56" s="221" t="s">
        <v>234</v>
      </c>
      <c r="C56" s="263" t="s">
        <v>171</v>
      </c>
      <c r="D56" s="264" t="s">
        <v>331</v>
      </c>
      <c r="E56" s="221"/>
      <c r="F56" s="221"/>
      <c r="G56" s="17" t="s">
        <v>163</v>
      </c>
      <c r="H56" s="29" t="s">
        <v>382</v>
      </c>
      <c r="I56" s="375">
        <v>89345</v>
      </c>
      <c r="J56" s="783">
        <f>VLOOKUP(H56,'Datetel Jul 10, 2013'!A:F,6,0)</f>
        <v>89345</v>
      </c>
      <c r="K56" s="375">
        <f>VLOOKUP(H56,'Datetel Jul 10, 2013'!A:G,7,0)</f>
        <v>0</v>
      </c>
      <c r="L56" s="375">
        <f>VLOOKUP(H56,'Datetel Jul 10, 2013'!A:I,8,0)</f>
        <v>0</v>
      </c>
      <c r="M56" s="615">
        <f t="shared" si="8"/>
        <v>89345</v>
      </c>
      <c r="N56" s="375">
        <v>89345</v>
      </c>
      <c r="O56" s="375"/>
      <c r="P56" s="375">
        <f t="shared" si="11"/>
        <v>89345</v>
      </c>
      <c r="Q56" s="375">
        <f t="shared" si="10"/>
        <v>0</v>
      </c>
    </row>
    <row r="57" spans="1:18" s="74" customFormat="1" ht="12.75" outlineLevel="1" x14ac:dyDescent="0.2">
      <c r="B57" s="221" t="s">
        <v>234</v>
      </c>
      <c r="C57" s="798"/>
      <c r="D57" s="370" t="s">
        <v>745</v>
      </c>
      <c r="E57" s="370"/>
      <c r="F57" s="227"/>
      <c r="G57" s="34" t="s">
        <v>153</v>
      </c>
      <c r="H57" s="23" t="s">
        <v>760</v>
      </c>
      <c r="I57" s="375">
        <v>2500</v>
      </c>
      <c r="J57" s="783">
        <f>VLOOKUP(H57,'Datetel Jul 10, 2013'!A:F,6,0)</f>
        <v>2500</v>
      </c>
      <c r="K57" s="375">
        <f>VLOOKUP(H57,'Datetel Jul 10, 2013'!A:G,7,0)</f>
        <v>2500</v>
      </c>
      <c r="L57" s="375">
        <f>VLOOKUP(H57,'Datetel Jul 10, 2013'!A:I,8,0)</f>
        <v>0</v>
      </c>
      <c r="M57" s="615">
        <f t="shared" si="8"/>
        <v>0</v>
      </c>
      <c r="N57" s="375">
        <v>2500</v>
      </c>
      <c r="O57" s="375"/>
      <c r="P57" s="375">
        <f t="shared" si="11"/>
        <v>2500</v>
      </c>
      <c r="Q57" s="375">
        <f t="shared" si="10"/>
        <v>0</v>
      </c>
    </row>
    <row r="58" spans="1:18" s="7" customFormat="1" ht="12" outlineLevel="1" x14ac:dyDescent="0.2">
      <c r="B58" s="221" t="s">
        <v>234</v>
      </c>
      <c r="C58" s="252" t="s">
        <v>245</v>
      </c>
      <c r="D58" s="14" t="s">
        <v>405</v>
      </c>
      <c r="E58" s="226"/>
      <c r="F58" s="227"/>
      <c r="G58" s="5" t="s">
        <v>154</v>
      </c>
      <c r="H58" s="23" t="s">
        <v>404</v>
      </c>
      <c r="I58" s="375">
        <v>19057</v>
      </c>
      <c r="J58" s="783">
        <f>VLOOKUP(H58,'Datetel Jul 10, 2013'!A:F,6,0)</f>
        <v>19057</v>
      </c>
      <c r="K58" s="375">
        <f>VLOOKUP(H58,'Datetel Jul 10, 2013'!A:G,7,0)</f>
        <v>18110</v>
      </c>
      <c r="L58" s="375">
        <f>VLOOKUP(H58,'Datetel Jul 10, 2013'!A:I,8,0)</f>
        <v>0</v>
      </c>
      <c r="M58" s="615">
        <f t="shared" si="8"/>
        <v>947</v>
      </c>
      <c r="N58" s="375">
        <v>19057</v>
      </c>
      <c r="O58" s="375"/>
      <c r="P58" s="375">
        <f t="shared" si="11"/>
        <v>19057</v>
      </c>
      <c r="Q58" s="375">
        <f t="shared" si="10"/>
        <v>0</v>
      </c>
    </row>
    <row r="59" spans="1:18" s="7" customFormat="1" ht="12" outlineLevel="1" x14ac:dyDescent="0.2">
      <c r="B59" s="221" t="s">
        <v>234</v>
      </c>
      <c r="C59" s="252" t="s">
        <v>245</v>
      </c>
      <c r="D59" s="253" t="s">
        <v>279</v>
      </c>
      <c r="E59" s="254"/>
      <c r="F59" s="227" t="s">
        <v>1056</v>
      </c>
      <c r="G59" s="5" t="s">
        <v>154</v>
      </c>
      <c r="H59" s="23" t="s">
        <v>184</v>
      </c>
      <c r="I59" s="375">
        <v>7479</v>
      </c>
      <c r="J59" s="783">
        <f>VLOOKUP(H59,'Datetel Jul 10, 2013'!A:F,6,0)</f>
        <v>7479</v>
      </c>
      <c r="K59" s="375">
        <f>VLOOKUP(H59,'Datetel Jul 10, 2013'!A:G,7,0)</f>
        <v>7479</v>
      </c>
      <c r="L59" s="375">
        <f>VLOOKUP(H59,'Datetel Jul 10, 2013'!A:I,8,0)</f>
        <v>0</v>
      </c>
      <c r="M59" s="615">
        <f t="shared" si="8"/>
        <v>0</v>
      </c>
      <c r="N59" s="375">
        <v>7479</v>
      </c>
      <c r="O59" s="375">
        <v>321</v>
      </c>
      <c r="P59" s="375">
        <f t="shared" si="11"/>
        <v>7800</v>
      </c>
      <c r="Q59" s="375">
        <f t="shared" si="10"/>
        <v>321</v>
      </c>
    </row>
    <row r="60" spans="1:18" s="74" customFormat="1" ht="12.75" outlineLevel="1" x14ac:dyDescent="0.2">
      <c r="B60" s="221" t="s">
        <v>234</v>
      </c>
      <c r="C60" s="277" t="s">
        <v>127</v>
      </c>
      <c r="D60" s="264" t="s">
        <v>334</v>
      </c>
      <c r="E60" s="221"/>
      <c r="F60" s="281"/>
      <c r="G60" s="626" t="s">
        <v>154</v>
      </c>
      <c r="H60" s="29" t="s">
        <v>739</v>
      </c>
      <c r="I60" s="375">
        <v>6500</v>
      </c>
      <c r="J60" s="783">
        <f>VLOOKUP(H60,'Datetel Jul 10, 2013'!A:F,6,0)</f>
        <v>6500</v>
      </c>
      <c r="K60" s="375">
        <f>VLOOKUP(H60,'Datetel Jul 10, 2013'!A:G,7,0)</f>
        <v>6255</v>
      </c>
      <c r="L60" s="375">
        <f>VLOOKUP(H60,'Datetel Jul 10, 2013'!A:I,8,0)</f>
        <v>0</v>
      </c>
      <c r="M60" s="615">
        <f t="shared" si="8"/>
        <v>245</v>
      </c>
      <c r="N60" s="375">
        <v>6500</v>
      </c>
      <c r="O60" s="375"/>
      <c r="P60" s="375">
        <f t="shared" si="11"/>
        <v>6500</v>
      </c>
      <c r="Q60" s="375">
        <f t="shared" si="10"/>
        <v>0</v>
      </c>
    </row>
    <row r="61" spans="1:18" s="74" customFormat="1" ht="12.75" customHeight="1" outlineLevel="1" x14ac:dyDescent="0.2">
      <c r="B61" s="221" t="s">
        <v>234</v>
      </c>
      <c r="C61" s="354" t="s">
        <v>127</v>
      </c>
      <c r="D61" s="234" t="s">
        <v>66</v>
      </c>
      <c r="E61" s="229"/>
      <c r="F61" s="251" t="s">
        <v>1061</v>
      </c>
      <c r="G61" s="611" t="s">
        <v>154</v>
      </c>
      <c r="H61" s="48" t="s">
        <v>379</v>
      </c>
      <c r="I61" s="375">
        <v>78691</v>
      </c>
      <c r="J61" s="783">
        <f>VLOOKUP(H61,'Datetel Jul 10, 2013'!A:F,6,0)</f>
        <v>78691</v>
      </c>
      <c r="K61" s="375">
        <f>VLOOKUP(H61,'Datetel Jul 10, 2013'!A:G,7,0)</f>
        <v>78690.63</v>
      </c>
      <c r="L61" s="375">
        <f>VLOOKUP(H61,'Datetel Jul 10, 2013'!A:I,8,0)</f>
        <v>0</v>
      </c>
      <c r="M61" s="615">
        <f t="shared" si="8"/>
        <v>0.36999999999534339</v>
      </c>
      <c r="N61" s="375">
        <v>83413</v>
      </c>
      <c r="O61" s="375">
        <f>(165252/2)-83413</f>
        <v>-787</v>
      </c>
      <c r="P61" s="375">
        <f t="shared" si="11"/>
        <v>82626</v>
      </c>
      <c r="Q61" s="375">
        <f t="shared" si="10"/>
        <v>3935</v>
      </c>
      <c r="R61" s="213"/>
    </row>
    <row r="62" spans="1:18" s="74" customFormat="1" ht="12.75" outlineLevel="1" x14ac:dyDescent="0.2">
      <c r="B62" s="221" t="s">
        <v>234</v>
      </c>
      <c r="C62" s="627" t="s">
        <v>127</v>
      </c>
      <c r="D62" s="370" t="s">
        <v>400</v>
      </c>
      <c r="E62" s="384"/>
      <c r="F62" s="628"/>
      <c r="G62" s="629" t="s">
        <v>154</v>
      </c>
      <c r="H62" s="630" t="s">
        <v>380</v>
      </c>
      <c r="I62" s="375">
        <v>15609</v>
      </c>
      <c r="J62" s="783">
        <f>VLOOKUP(H62,'Datetel Jul 10, 2013'!A:F,6,0)</f>
        <v>15609</v>
      </c>
      <c r="K62" s="375">
        <f>VLOOKUP(H62,'Datetel Jul 10, 2013'!A:G,7,0)</f>
        <v>15614</v>
      </c>
      <c r="L62" s="375">
        <f>VLOOKUP(H62,'Datetel Jul 10, 2013'!A:I,8,0)</f>
        <v>0</v>
      </c>
      <c r="M62" s="615">
        <f t="shared" si="8"/>
        <v>-5</v>
      </c>
      <c r="N62" s="375">
        <v>15609</v>
      </c>
      <c r="O62" s="375"/>
      <c r="P62" s="375">
        <f t="shared" si="11"/>
        <v>15609</v>
      </c>
      <c r="Q62" s="375">
        <f t="shared" si="10"/>
        <v>0</v>
      </c>
    </row>
    <row r="63" spans="1:18" s="7" customFormat="1" ht="12" outlineLevel="1" x14ac:dyDescent="0.2">
      <c r="B63" s="384" t="s">
        <v>264</v>
      </c>
      <c r="C63" s="385" t="s">
        <v>245</v>
      </c>
      <c r="D63" s="386" t="s">
        <v>179</v>
      </c>
      <c r="E63" s="387"/>
      <c r="F63" s="370"/>
      <c r="G63" s="388" t="s">
        <v>153</v>
      </c>
      <c r="H63" s="23" t="s">
        <v>189</v>
      </c>
      <c r="I63" s="375">
        <v>34000</v>
      </c>
      <c r="J63" s="783">
        <f>VLOOKUP(H63,'Datetel Jul 10, 2013'!A:F,6,0)</f>
        <v>34000</v>
      </c>
      <c r="K63" s="375">
        <f>VLOOKUP(H63,'Datetel Jul 10, 2013'!A:G,7,0)</f>
        <v>34000</v>
      </c>
      <c r="L63" s="375">
        <f>VLOOKUP(H63,'Datetel Jul 10, 2013'!A:I,8,0)</f>
        <v>0</v>
      </c>
      <c r="M63" s="615">
        <f t="shared" si="8"/>
        <v>0</v>
      </c>
      <c r="N63" s="375">
        <v>34000</v>
      </c>
      <c r="O63" s="375"/>
      <c r="P63" s="375">
        <f t="shared" si="11"/>
        <v>34000</v>
      </c>
      <c r="Q63" s="375">
        <f t="shared" si="10"/>
        <v>0</v>
      </c>
    </row>
    <row r="64" spans="1:18" s="7" customFormat="1" ht="12" outlineLevel="2" x14ac:dyDescent="0.2">
      <c r="B64" s="680"/>
      <c r="C64" s="691"/>
      <c r="D64" s="693" t="s">
        <v>313</v>
      </c>
      <c r="E64" s="694"/>
      <c r="F64" s="684"/>
      <c r="G64" s="681"/>
      <c r="H64" s="695" t="s">
        <v>1038</v>
      </c>
      <c r="I64" s="662">
        <v>4400</v>
      </c>
      <c r="J64" s="727">
        <f>VLOOKUP(H64,'Datetel Jul 10, 2013'!A:F,6,0)</f>
        <v>699</v>
      </c>
      <c r="K64" s="662">
        <f>VLOOKUP(H64,'Datetel Jul 10, 2013'!A:G,7,0)</f>
        <v>0</v>
      </c>
      <c r="L64" s="662">
        <f>VLOOKUP(H64,'Datetel Jul 10, 2013'!A:I,8,0)</f>
        <v>0</v>
      </c>
      <c r="M64" s="615">
        <f t="shared" si="8"/>
        <v>699</v>
      </c>
      <c r="N64" s="375">
        <v>4400</v>
      </c>
      <c r="O64" s="375"/>
      <c r="P64" s="375">
        <f t="shared" si="11"/>
        <v>4400</v>
      </c>
      <c r="Q64" s="375">
        <f t="shared" si="10"/>
        <v>0</v>
      </c>
    </row>
    <row r="65" spans="1:19" s="7" customFormat="1" ht="12" outlineLevel="2" x14ac:dyDescent="0.2">
      <c r="B65" s="680"/>
      <c r="C65" s="691"/>
      <c r="D65" s="693" t="s">
        <v>311</v>
      </c>
      <c r="E65" s="694"/>
      <c r="F65" s="684"/>
      <c r="G65" s="681"/>
      <c r="H65" s="695" t="s">
        <v>191</v>
      </c>
      <c r="I65" s="662">
        <v>1100</v>
      </c>
      <c r="J65" s="727">
        <f>VLOOKUP(H65,'Datetel Jul 10, 2013'!A:F,6,0)</f>
        <v>5718</v>
      </c>
      <c r="K65" s="662">
        <f>VLOOKUP(H65,'Datetel Jul 10, 2013'!A:G,7,0)</f>
        <v>5564.7</v>
      </c>
      <c r="L65" s="662">
        <f>VLOOKUP(H65,'Datetel Jul 10, 2013'!A:I,8,0)</f>
        <v>0</v>
      </c>
      <c r="M65" s="615">
        <f t="shared" si="8"/>
        <v>153.30000000000018</v>
      </c>
      <c r="N65" s="375">
        <v>1100</v>
      </c>
      <c r="O65" s="375"/>
      <c r="P65" s="375">
        <f t="shared" si="11"/>
        <v>1100</v>
      </c>
      <c r="Q65" s="375">
        <f t="shared" si="10"/>
        <v>0</v>
      </c>
    </row>
    <row r="66" spans="1:19" s="7" customFormat="1" ht="12" outlineLevel="2" x14ac:dyDescent="0.2">
      <c r="B66" s="680"/>
      <c r="C66" s="691"/>
      <c r="D66" s="693" t="s">
        <v>296</v>
      </c>
      <c r="E66" s="694"/>
      <c r="F66" s="680"/>
      <c r="G66" s="681"/>
      <c r="H66" s="695" t="s">
        <v>192</v>
      </c>
      <c r="I66" s="662">
        <v>3300</v>
      </c>
      <c r="J66" s="727">
        <f>VLOOKUP(H66,'Datetel Jul 10, 2013'!A:F,6,0)</f>
        <v>2383</v>
      </c>
      <c r="K66" s="662">
        <f>VLOOKUP(H66,'Datetel Jul 10, 2013'!A:G,7,0)</f>
        <v>924.08</v>
      </c>
      <c r="L66" s="662">
        <f>VLOOKUP(H66,'Datetel Jul 10, 2013'!A:I,8,0)</f>
        <v>0</v>
      </c>
      <c r="M66" s="615">
        <f t="shared" si="8"/>
        <v>1458.92</v>
      </c>
      <c r="N66" s="375">
        <v>3300</v>
      </c>
      <c r="O66" s="375"/>
      <c r="P66" s="375">
        <f t="shared" si="11"/>
        <v>3300</v>
      </c>
      <c r="Q66" s="375">
        <f t="shared" si="10"/>
        <v>0</v>
      </c>
    </row>
    <row r="67" spans="1:19" s="631" customFormat="1" ht="12.75" outlineLevel="1" thickBot="1" x14ac:dyDescent="0.25">
      <c r="A67" s="7"/>
      <c r="B67" s="6" t="s">
        <v>429</v>
      </c>
      <c r="C67" s="930" t="s">
        <v>245</v>
      </c>
      <c r="D67" s="977" t="s">
        <v>409</v>
      </c>
      <c r="E67" s="978"/>
      <c r="F67" s="791"/>
      <c r="G67" s="792" t="s">
        <v>163</v>
      </c>
      <c r="H67" s="979" t="s">
        <v>428</v>
      </c>
      <c r="I67" s="846">
        <v>8800</v>
      </c>
      <c r="J67" s="847">
        <f>SUM(J64:J66)</f>
        <v>8800</v>
      </c>
      <c r="K67" s="846">
        <f>SUM(K64:K66)</f>
        <v>6488.78</v>
      </c>
      <c r="L67" s="846">
        <f>SUM(L64:L66)</f>
        <v>0</v>
      </c>
      <c r="M67" s="848">
        <f t="shared" si="8"/>
        <v>2311.2200000000003</v>
      </c>
      <c r="N67" s="846">
        <v>8800</v>
      </c>
      <c r="O67" s="846"/>
      <c r="P67" s="846">
        <f t="shared" si="11"/>
        <v>8800</v>
      </c>
      <c r="Q67" s="846">
        <f t="shared" si="10"/>
        <v>0</v>
      </c>
    </row>
    <row r="68" spans="1:19" s="74" customFormat="1" ht="13.5" outlineLevel="1" thickBot="1" x14ac:dyDescent="0.25">
      <c r="B68" s="120"/>
      <c r="C68" s="121"/>
      <c r="D68" s="968"/>
      <c r="E68" s="968"/>
      <c r="F68" s="968"/>
      <c r="G68" s="968"/>
      <c r="H68" s="969" t="s">
        <v>208</v>
      </c>
      <c r="I68" s="980">
        <f t="shared" ref="I68:N68" si="13">SUM(I38,I42,I43:I63,I67)</f>
        <v>1009369</v>
      </c>
      <c r="J68" s="980">
        <f t="shared" si="13"/>
        <v>1009369</v>
      </c>
      <c r="K68" s="980">
        <f t="shared" si="13"/>
        <v>891020.52</v>
      </c>
      <c r="L68" s="980">
        <f t="shared" si="13"/>
        <v>830.57</v>
      </c>
      <c r="M68" s="980">
        <f t="shared" si="13"/>
        <v>117517.91</v>
      </c>
      <c r="N68" s="980">
        <f t="shared" si="13"/>
        <v>986898</v>
      </c>
      <c r="O68" s="980">
        <f>SUM(O38,O42,O43:O63,O67)</f>
        <v>2556</v>
      </c>
      <c r="P68" s="980">
        <f t="shared" ref="P68:Q68" si="14">SUM(P38,P42,P43:P63,P67)</f>
        <v>989454</v>
      </c>
      <c r="Q68" s="980">
        <f t="shared" si="14"/>
        <v>-19915</v>
      </c>
    </row>
    <row r="69" spans="1:19" ht="15.75" customHeight="1" x14ac:dyDescent="0.2">
      <c r="A69" s="74"/>
      <c r="B69" s="74"/>
      <c r="D69" s="74"/>
      <c r="E69" s="74"/>
      <c r="I69" s="363"/>
      <c r="J69" s="569"/>
      <c r="K69" s="936"/>
      <c r="L69" s="936"/>
      <c r="M69" s="600">
        <f>SUM(I68,L68)</f>
        <v>1010199.57</v>
      </c>
      <c r="N69" s="945"/>
      <c r="O69" s="945"/>
      <c r="P69" s="945"/>
      <c r="Q69" s="945"/>
    </row>
    <row r="70" spans="1:19" ht="24" customHeight="1" thickBot="1" x14ac:dyDescent="0.3">
      <c r="A70" s="74"/>
      <c r="B70" s="946" t="s">
        <v>134</v>
      </c>
      <c r="D70" s="946" t="s">
        <v>134</v>
      </c>
      <c r="E70" s="74"/>
      <c r="I70" s="363"/>
      <c r="J70" s="569"/>
      <c r="K70" s="936"/>
      <c r="L70" s="936"/>
      <c r="M70" s="600"/>
      <c r="N70" s="947"/>
      <c r="O70" s="947"/>
      <c r="P70" s="947"/>
      <c r="Q70" s="947"/>
    </row>
    <row r="71" spans="1:19" ht="12" customHeight="1" x14ac:dyDescent="0.2">
      <c r="A71" s="74"/>
      <c r="B71" s="937" t="s">
        <v>118</v>
      </c>
      <c r="C71" s="80"/>
      <c r="D71" s="944"/>
      <c r="E71" s="80"/>
      <c r="F71" s="80"/>
      <c r="G71" s="80"/>
      <c r="H71" s="80"/>
      <c r="I71" s="938">
        <v>0.92307692307692313</v>
      </c>
      <c r="J71" s="938">
        <v>0.92307692307692313</v>
      </c>
      <c r="K71" s="939" t="s">
        <v>123</v>
      </c>
      <c r="L71" s="940"/>
      <c r="M71" s="729" t="s">
        <v>124</v>
      </c>
      <c r="N71" s="938" t="s">
        <v>958</v>
      </c>
      <c r="O71" s="796" t="s">
        <v>121</v>
      </c>
      <c r="P71" s="938" t="s">
        <v>958</v>
      </c>
      <c r="Q71" s="938" t="s">
        <v>958</v>
      </c>
    </row>
    <row r="72" spans="1:19" s="74" customFormat="1" ht="12.75" customHeight="1" thickBot="1" x14ac:dyDescent="0.25">
      <c r="B72" s="87" t="s">
        <v>148</v>
      </c>
      <c r="C72" s="88" t="s">
        <v>125</v>
      </c>
      <c r="D72" s="139" t="s">
        <v>61</v>
      </c>
      <c r="E72" s="88"/>
      <c r="F72" s="88" t="s">
        <v>147</v>
      </c>
      <c r="G72" s="88" t="s">
        <v>149</v>
      </c>
      <c r="H72" s="88" t="s">
        <v>62</v>
      </c>
      <c r="I72" s="740" t="s">
        <v>120</v>
      </c>
      <c r="J72" s="610" t="s">
        <v>272</v>
      </c>
      <c r="K72" s="865" t="s">
        <v>1051</v>
      </c>
      <c r="L72" s="92" t="s">
        <v>119</v>
      </c>
      <c r="M72" s="88" t="s">
        <v>118</v>
      </c>
      <c r="N72" s="740" t="s">
        <v>959</v>
      </c>
      <c r="O72" s="88" t="s">
        <v>122</v>
      </c>
      <c r="P72" s="740" t="s">
        <v>1018</v>
      </c>
      <c r="Q72" s="740" t="s">
        <v>1018</v>
      </c>
    </row>
    <row r="73" spans="1:19" s="74" customFormat="1" ht="12.6" customHeight="1" x14ac:dyDescent="0.2">
      <c r="A73" s="74" t="s">
        <v>302</v>
      </c>
      <c r="B73" s="800" t="s">
        <v>128</v>
      </c>
      <c r="C73" s="801" t="s">
        <v>161</v>
      </c>
      <c r="D73" s="802" t="s">
        <v>64</v>
      </c>
      <c r="E73" s="800"/>
      <c r="F73" s="800"/>
      <c r="G73" s="803" t="s">
        <v>163</v>
      </c>
      <c r="H73" s="804" t="s">
        <v>19</v>
      </c>
      <c r="I73" s="375">
        <v>4500</v>
      </c>
      <c r="J73" s="783">
        <v>4500</v>
      </c>
      <c r="K73" s="375">
        <f>VLOOKUP(H73,'Datetel Jul 10, 2013'!A:G,7,0)-K74</f>
        <v>4228.09</v>
      </c>
      <c r="L73" s="375">
        <f>VLOOKUP(H73,'Datetel Jul 10, 2013'!A:I,8,0)</f>
        <v>271.97000000000003</v>
      </c>
      <c r="M73" s="615">
        <f>J73-K73-L73</f>
        <v>-6.0000000000172804E-2</v>
      </c>
      <c r="N73" s="375">
        <v>2000</v>
      </c>
      <c r="O73" s="375"/>
      <c r="P73" s="375">
        <f>N73+O73</f>
        <v>2000</v>
      </c>
      <c r="Q73" s="375">
        <f t="shared" ref="Q73:Q133" si="15">P73-I73</f>
        <v>-2500</v>
      </c>
      <c r="R73" s="213"/>
    </row>
    <row r="74" spans="1:19" s="74" customFormat="1" ht="12.6" customHeight="1" x14ac:dyDescent="0.2">
      <c r="A74" s="74" t="s">
        <v>302</v>
      </c>
      <c r="B74" s="490" t="s">
        <v>128</v>
      </c>
      <c r="C74" s="805" t="s">
        <v>161</v>
      </c>
      <c r="D74" s="261" t="s">
        <v>63</v>
      </c>
      <c r="E74" s="490"/>
      <c r="F74" s="229" t="s">
        <v>1054</v>
      </c>
      <c r="G74" s="46" t="s">
        <v>176</v>
      </c>
      <c r="H74" s="40" t="s">
        <v>19</v>
      </c>
      <c r="I74" s="375">
        <v>5000</v>
      </c>
      <c r="J74" s="783">
        <v>5000</v>
      </c>
      <c r="K74" s="375">
        <v>1341</v>
      </c>
      <c r="L74" s="375">
        <v>0</v>
      </c>
      <c r="M74" s="615">
        <f t="shared" ref="M74:M81" si="16">J74-K74-L74</f>
        <v>3659</v>
      </c>
      <c r="N74" s="375">
        <v>5000</v>
      </c>
      <c r="O74" s="375">
        <v>-2500</v>
      </c>
      <c r="P74" s="375">
        <f t="shared" ref="P74:P112" si="17">N74+O74</f>
        <v>2500</v>
      </c>
      <c r="Q74" s="375">
        <f t="shared" si="15"/>
        <v>-2500</v>
      </c>
      <c r="R74" s="213"/>
      <c r="S74" s="213"/>
    </row>
    <row r="75" spans="1:19" s="74" customFormat="1" ht="12.6" customHeight="1" x14ac:dyDescent="0.2">
      <c r="A75" s="74" t="s">
        <v>302</v>
      </c>
      <c r="B75" s="229" t="s">
        <v>128</v>
      </c>
      <c r="C75" s="271" t="s">
        <v>161</v>
      </c>
      <c r="D75" s="234" t="s">
        <v>151</v>
      </c>
      <c r="E75" s="229"/>
      <c r="F75" s="229"/>
      <c r="G75" s="49" t="s">
        <v>150</v>
      </c>
      <c r="H75" s="48" t="s">
        <v>14</v>
      </c>
      <c r="I75" s="375">
        <v>47825</v>
      </c>
      <c r="J75" s="783">
        <f>VLOOKUP(H75,'Datetel Jul 10, 2013'!A:F,6,0)</f>
        <v>47825</v>
      </c>
      <c r="K75" s="375">
        <f>VLOOKUP(H75,'Datetel Jul 10, 2013'!A:G,7,0)</f>
        <v>47825</v>
      </c>
      <c r="L75" s="375">
        <f>VLOOKUP(H75,'Datetel Jul 10, 2013'!A:I,8,0)</f>
        <v>0</v>
      </c>
      <c r="M75" s="615">
        <f t="shared" si="16"/>
        <v>0</v>
      </c>
      <c r="N75" s="375">
        <v>0</v>
      </c>
      <c r="O75" s="375"/>
      <c r="P75" s="375">
        <f t="shared" si="17"/>
        <v>0</v>
      </c>
      <c r="Q75" s="375">
        <f t="shared" si="15"/>
        <v>-47825</v>
      </c>
      <c r="R75" s="213"/>
      <c r="S75" s="213"/>
    </row>
    <row r="76" spans="1:19" s="153" customFormat="1" ht="12.6" customHeight="1" x14ac:dyDescent="0.2">
      <c r="A76" s="74" t="s">
        <v>302</v>
      </c>
      <c r="B76" s="221" t="s">
        <v>128</v>
      </c>
      <c r="C76" s="263" t="s">
        <v>161</v>
      </c>
      <c r="D76" s="264" t="s">
        <v>962</v>
      </c>
      <c r="E76" s="221"/>
      <c r="F76" s="221"/>
      <c r="G76" s="17" t="s">
        <v>150</v>
      </c>
      <c r="H76" s="29" t="s">
        <v>15</v>
      </c>
      <c r="I76" s="375">
        <v>196910</v>
      </c>
      <c r="J76" s="783">
        <f>VLOOKUP(H76,'Datetel Jul 10, 2013'!A:F,6,0)</f>
        <v>196910</v>
      </c>
      <c r="K76" s="375">
        <f>VLOOKUP(H76,'Datetel Jul 10, 2013'!A:G,7,0)</f>
        <v>193708.68</v>
      </c>
      <c r="L76" s="375">
        <f>VLOOKUP(H76,'Datetel Jul 10, 2013'!A:I,8,0)</f>
        <v>0</v>
      </c>
      <c r="M76" s="615">
        <f t="shared" si="16"/>
        <v>3201.320000000007</v>
      </c>
      <c r="N76" s="375">
        <v>193709</v>
      </c>
      <c r="O76" s="375"/>
      <c r="P76" s="375">
        <f t="shared" si="17"/>
        <v>193709</v>
      </c>
      <c r="Q76" s="375">
        <f t="shared" si="15"/>
        <v>-3201</v>
      </c>
      <c r="R76" s="213"/>
      <c r="S76" s="213"/>
    </row>
    <row r="77" spans="1:19" s="74" customFormat="1" ht="12.6" customHeight="1" outlineLevel="1" x14ac:dyDescent="0.2">
      <c r="A77" s="74" t="s">
        <v>302</v>
      </c>
      <c r="B77" s="689"/>
      <c r="C77" s="696"/>
      <c r="D77" s="697" t="s">
        <v>256</v>
      </c>
      <c r="E77" s="698"/>
      <c r="F77" s="689"/>
      <c r="G77" s="677"/>
      <c r="H77" s="699" t="s">
        <v>9</v>
      </c>
      <c r="I77" s="375">
        <v>627482</v>
      </c>
      <c r="J77" s="783">
        <f>VLOOKUP(H77,'Datetel Jul 10, 2013'!A:F,6,0)</f>
        <v>627482</v>
      </c>
      <c r="K77" s="375">
        <f>VLOOKUP(H77,'Datetel Jul 10, 2013'!A:G,7,0)</f>
        <v>557686.18999999994</v>
      </c>
      <c r="L77" s="375">
        <f>VLOOKUP(H77,'Datetel Jul 10, 2013'!A:I,8,0)</f>
        <v>0</v>
      </c>
      <c r="M77" s="615">
        <f t="shared" si="16"/>
        <v>69795.810000000056</v>
      </c>
      <c r="N77" s="375">
        <v>627482</v>
      </c>
      <c r="O77" s="375">
        <v>-20000</v>
      </c>
      <c r="P77" s="375">
        <f t="shared" si="17"/>
        <v>607482</v>
      </c>
      <c r="Q77" s="375">
        <f t="shared" si="15"/>
        <v>-20000</v>
      </c>
      <c r="R77" s="213"/>
      <c r="S77" s="213"/>
    </row>
    <row r="78" spans="1:19" s="74" customFormat="1" ht="12.6" customHeight="1" outlineLevel="1" x14ac:dyDescent="0.2">
      <c r="A78" s="74" t="s">
        <v>302</v>
      </c>
      <c r="B78" s="689"/>
      <c r="C78" s="696"/>
      <c r="D78" s="697" t="s">
        <v>257</v>
      </c>
      <c r="E78" s="698"/>
      <c r="F78" s="700"/>
      <c r="G78" s="701"/>
      <c r="H78" s="702" t="s">
        <v>10</v>
      </c>
      <c r="I78" s="375">
        <v>121560</v>
      </c>
      <c r="J78" s="783">
        <f>VLOOKUP(H78,'Datetel Jul 10, 2013'!A:F,6,0)</f>
        <v>121560</v>
      </c>
      <c r="K78" s="375">
        <f>VLOOKUP(H78,'Datetel Jul 10, 2013'!A:G,7,0)</f>
        <v>149524.62</v>
      </c>
      <c r="L78" s="375">
        <f>VLOOKUP(H78,'Datetel Jul 10, 2013'!A:I,8,0)</f>
        <v>0</v>
      </c>
      <c r="M78" s="615">
        <f t="shared" si="16"/>
        <v>-27964.619999999995</v>
      </c>
      <c r="N78" s="375">
        <v>121560</v>
      </c>
      <c r="O78" s="375">
        <v>27000</v>
      </c>
      <c r="P78" s="375">
        <f t="shared" si="17"/>
        <v>148560</v>
      </c>
      <c r="Q78" s="375">
        <f t="shared" si="15"/>
        <v>27000</v>
      </c>
      <c r="R78" s="213"/>
      <c r="S78" s="213"/>
    </row>
    <row r="79" spans="1:19" s="74" customFormat="1" ht="12.6" customHeight="1" outlineLevel="1" x14ac:dyDescent="0.2">
      <c r="A79" s="74" t="s">
        <v>302</v>
      </c>
      <c r="B79" s="689"/>
      <c r="C79" s="696"/>
      <c r="D79" s="697" t="s">
        <v>258</v>
      </c>
      <c r="E79" s="698"/>
      <c r="F79" s="700"/>
      <c r="G79" s="701"/>
      <c r="H79" s="702" t="s">
        <v>11</v>
      </c>
      <c r="I79" s="375">
        <v>30757.5</v>
      </c>
      <c r="J79" s="783">
        <f>VLOOKUP(H79,'Datetel Jul 10, 2013'!A:F,6,0)</f>
        <v>30758</v>
      </c>
      <c r="K79" s="375">
        <f>VLOOKUP(H79,'Datetel Jul 10, 2013'!A:G,7,0)</f>
        <v>20792.02</v>
      </c>
      <c r="L79" s="375">
        <f>VLOOKUP(H79,'Datetel Jul 10, 2013'!A:I,8,0)</f>
        <v>9965.98</v>
      </c>
      <c r="M79" s="615">
        <f t="shared" si="16"/>
        <v>0</v>
      </c>
      <c r="N79" s="375">
        <v>30757.5</v>
      </c>
      <c r="O79" s="375">
        <v>5758</v>
      </c>
      <c r="P79" s="375">
        <f t="shared" si="17"/>
        <v>36515.5</v>
      </c>
      <c r="Q79" s="375">
        <f t="shared" si="15"/>
        <v>5758</v>
      </c>
      <c r="R79" s="213"/>
      <c r="S79" s="213"/>
    </row>
    <row r="80" spans="1:19" s="74" customFormat="1" ht="12.6" customHeight="1" outlineLevel="1" x14ac:dyDescent="0.2">
      <c r="A80" s="74" t="s">
        <v>302</v>
      </c>
      <c r="B80" s="689"/>
      <c r="C80" s="696"/>
      <c r="D80" s="697" t="s">
        <v>259</v>
      </c>
      <c r="E80" s="698"/>
      <c r="F80" s="700"/>
      <c r="G80" s="701"/>
      <c r="H80" s="702" t="s">
        <v>12</v>
      </c>
      <c r="I80" s="375">
        <v>55236</v>
      </c>
      <c r="J80" s="783">
        <f>VLOOKUP(H80,'Datetel Jul 10, 2013'!A:F,6,0)</f>
        <v>55236</v>
      </c>
      <c r="K80" s="375">
        <f>VLOOKUP(H80,'Datetel Jul 10, 2013'!A:G,7,0)</f>
        <v>86688.04</v>
      </c>
      <c r="L80" s="375">
        <f>VLOOKUP(H80,'Datetel Jul 10, 2013'!A:I,8,0)</f>
        <v>0</v>
      </c>
      <c r="M80" s="615">
        <f t="shared" si="16"/>
        <v>-31452.039999999994</v>
      </c>
      <c r="N80" s="375">
        <v>55236</v>
      </c>
      <c r="O80" s="375">
        <v>30000</v>
      </c>
      <c r="P80" s="375">
        <f t="shared" si="17"/>
        <v>85236</v>
      </c>
      <c r="Q80" s="375">
        <f t="shared" si="15"/>
        <v>30000</v>
      </c>
      <c r="R80" s="213"/>
      <c r="S80" s="213"/>
    </row>
    <row r="81" spans="1:19" s="74" customFormat="1" ht="12.6" customHeight="1" outlineLevel="1" x14ac:dyDescent="0.2">
      <c r="A81" s="74" t="s">
        <v>302</v>
      </c>
      <c r="B81" s="703"/>
      <c r="C81" s="704"/>
      <c r="D81" s="697" t="s">
        <v>260</v>
      </c>
      <c r="E81" s="698"/>
      <c r="F81" s="700"/>
      <c r="G81" s="701"/>
      <c r="H81" s="702" t="s">
        <v>13</v>
      </c>
      <c r="I81" s="375">
        <v>14964</v>
      </c>
      <c r="J81" s="783">
        <f>VLOOKUP(H81,'Datetel Jul 10, 2013'!A:F,6,0)</f>
        <v>14964</v>
      </c>
      <c r="K81" s="375">
        <f>VLOOKUP(H81,'Datetel Jul 10, 2013'!A:G,7,0)</f>
        <v>27676.86</v>
      </c>
      <c r="L81" s="375">
        <f>VLOOKUP(H81,'Datetel Jul 10, 2013'!A:I,8,0)</f>
        <v>0</v>
      </c>
      <c r="M81" s="615">
        <f t="shared" si="16"/>
        <v>-12712.86</v>
      </c>
      <c r="N81" s="375">
        <v>14964</v>
      </c>
      <c r="O81" s="375">
        <v>15000</v>
      </c>
      <c r="P81" s="375">
        <f t="shared" si="17"/>
        <v>29964</v>
      </c>
      <c r="Q81" s="375">
        <f t="shared" si="15"/>
        <v>15000</v>
      </c>
      <c r="R81" s="213"/>
      <c r="S81" s="213"/>
    </row>
    <row r="82" spans="1:19" s="446" customFormat="1" ht="12.6" customHeight="1" x14ac:dyDescent="0.2">
      <c r="A82" s="74" t="s">
        <v>302</v>
      </c>
      <c r="B82" s="229" t="s">
        <v>128</v>
      </c>
      <c r="C82" s="271" t="s">
        <v>161</v>
      </c>
      <c r="D82" s="247" t="s">
        <v>65</v>
      </c>
      <c r="E82" s="229"/>
      <c r="F82" s="229" t="s">
        <v>1054</v>
      </c>
      <c r="G82" s="113" t="s">
        <v>167</v>
      </c>
      <c r="H82" s="30" t="s">
        <v>428</v>
      </c>
      <c r="I82" s="783">
        <f>SUM(I77:I81)</f>
        <v>849999.5</v>
      </c>
      <c r="J82" s="783">
        <f t="shared" ref="J82:M82" si="18">SUM(J77:J81)</f>
        <v>850000</v>
      </c>
      <c r="K82" s="783">
        <f t="shared" si="18"/>
        <v>842367.73</v>
      </c>
      <c r="L82" s="783">
        <f t="shared" si="18"/>
        <v>9965.98</v>
      </c>
      <c r="M82" s="783">
        <f t="shared" si="18"/>
        <v>-2333.7099999999336</v>
      </c>
      <c r="N82" s="375">
        <f>SUM(N77:N81)</f>
        <v>849999.5</v>
      </c>
      <c r="O82" s="375">
        <f t="shared" ref="O82:P82" si="19">SUM(O77:O81)</f>
        <v>57758</v>
      </c>
      <c r="P82" s="375">
        <f t="shared" si="19"/>
        <v>907757.5</v>
      </c>
      <c r="Q82" s="375">
        <f t="shared" si="15"/>
        <v>57758</v>
      </c>
      <c r="R82" s="213"/>
      <c r="S82" s="213"/>
    </row>
    <row r="83" spans="1:19" s="74" customFormat="1" ht="12.6" customHeight="1" outlineLevel="1" x14ac:dyDescent="0.2">
      <c r="A83" s="74" t="s">
        <v>302</v>
      </c>
      <c r="B83" s="705"/>
      <c r="C83" s="696"/>
      <c r="D83" s="697" t="s">
        <v>251</v>
      </c>
      <c r="E83" s="698"/>
      <c r="F83" s="689"/>
      <c r="G83" s="677"/>
      <c r="H83" s="699" t="s">
        <v>4</v>
      </c>
      <c r="I83" s="375">
        <v>606962.73</v>
      </c>
      <c r="J83" s="783">
        <f>VLOOKUP(H83,'Datetel Jul 10, 2013'!A:F,6,0)</f>
        <v>605563</v>
      </c>
      <c r="K83" s="375">
        <f>VLOOKUP(H83,'Datetel Jul 10, 2013'!A:G,7,0)</f>
        <v>789154.26</v>
      </c>
      <c r="L83" s="375">
        <f>VLOOKUP(H83,'Datetel Jul 10, 2013'!A:I,8,0)</f>
        <v>0</v>
      </c>
      <c r="M83" s="615">
        <f t="shared" ref="M83:M97" si="20">J83-K83-L83</f>
        <v>-183591.26</v>
      </c>
      <c r="N83" s="375">
        <v>606962.73</v>
      </c>
      <c r="O83" s="375">
        <v>180000</v>
      </c>
      <c r="P83" s="375">
        <f t="shared" si="17"/>
        <v>786962.73</v>
      </c>
      <c r="Q83" s="375">
        <f t="shared" si="15"/>
        <v>180000</v>
      </c>
      <c r="R83" s="213"/>
      <c r="S83" s="213"/>
    </row>
    <row r="84" spans="1:19" s="74" customFormat="1" ht="12.6" customHeight="1" outlineLevel="1" x14ac:dyDescent="0.2">
      <c r="A84" s="74" t="s">
        <v>302</v>
      </c>
      <c r="B84" s="706"/>
      <c r="C84" s="696"/>
      <c r="D84" s="697" t="s">
        <v>252</v>
      </c>
      <c r="E84" s="698"/>
      <c r="F84" s="700"/>
      <c r="G84" s="701"/>
      <c r="H84" s="702" t="s">
        <v>5</v>
      </c>
      <c r="I84" s="375">
        <v>159484.5</v>
      </c>
      <c r="J84" s="783">
        <f>VLOOKUP(H84,'Datetel Jul 10, 2013'!A:F,6,0)</f>
        <v>159485</v>
      </c>
      <c r="K84" s="375">
        <f>VLOOKUP(H84,'Datetel Jul 10, 2013'!A:G,7,0)</f>
        <v>151040.07</v>
      </c>
      <c r="L84" s="375">
        <f>VLOOKUP(H84,'Datetel Jul 10, 2013'!A:I,8,0)</f>
        <v>0</v>
      </c>
      <c r="M84" s="615">
        <f t="shared" si="20"/>
        <v>8444.929999999993</v>
      </c>
      <c r="N84" s="375">
        <v>159484.5</v>
      </c>
      <c r="O84" s="375">
        <v>-8000</v>
      </c>
      <c r="P84" s="375">
        <f t="shared" si="17"/>
        <v>151484.5</v>
      </c>
      <c r="Q84" s="375">
        <f t="shared" si="15"/>
        <v>-8000</v>
      </c>
      <c r="R84" s="213"/>
      <c r="S84" s="213"/>
    </row>
    <row r="85" spans="1:19" s="74" customFormat="1" ht="12.6" customHeight="1" outlineLevel="1" x14ac:dyDescent="0.2">
      <c r="A85" s="74" t="s">
        <v>302</v>
      </c>
      <c r="B85" s="706"/>
      <c r="C85" s="696"/>
      <c r="D85" s="697" t="s">
        <v>253</v>
      </c>
      <c r="E85" s="698"/>
      <c r="F85" s="700"/>
      <c r="G85" s="701"/>
      <c r="H85" s="702" t="s">
        <v>6</v>
      </c>
      <c r="I85" s="375">
        <v>21421.32</v>
      </c>
      <c r="J85" s="783">
        <f>VLOOKUP(H85,'Datetel Jul 10, 2013'!A:F,6,0)</f>
        <v>21421</v>
      </c>
      <c r="K85" s="375">
        <f>VLOOKUP(H85,'Datetel Jul 10, 2013'!A:G,7,0)</f>
        <v>15176.79</v>
      </c>
      <c r="L85" s="375">
        <f>VLOOKUP(H85,'Datetel Jul 10, 2013'!A:I,8,0)</f>
        <v>6244.21</v>
      </c>
      <c r="M85" s="615">
        <f t="shared" si="20"/>
        <v>0</v>
      </c>
      <c r="N85" s="375">
        <v>21421.32</v>
      </c>
      <c r="O85" s="375">
        <v>-3421</v>
      </c>
      <c r="P85" s="375">
        <f t="shared" si="17"/>
        <v>18000.32</v>
      </c>
      <c r="Q85" s="375">
        <f t="shared" si="15"/>
        <v>-3421</v>
      </c>
      <c r="R85" s="213"/>
      <c r="S85" s="213"/>
    </row>
    <row r="86" spans="1:19" s="74" customFormat="1" ht="12.6" customHeight="1" outlineLevel="1" x14ac:dyDescent="0.2">
      <c r="A86" s="74" t="s">
        <v>302</v>
      </c>
      <c r="B86" s="706"/>
      <c r="C86" s="696"/>
      <c r="D86" s="697" t="s">
        <v>254</v>
      </c>
      <c r="E86" s="698"/>
      <c r="F86" s="700"/>
      <c r="G86" s="701"/>
      <c r="H86" s="702" t="s">
        <v>7</v>
      </c>
      <c r="I86" s="375">
        <v>137895.45000000001</v>
      </c>
      <c r="J86" s="783">
        <f>VLOOKUP(H86,'Datetel Jul 10, 2013'!A:F,6,0)</f>
        <v>137895</v>
      </c>
      <c r="K86" s="375">
        <f>VLOOKUP(H86,'Datetel Jul 10, 2013'!A:G,7,0)</f>
        <v>173566.99</v>
      </c>
      <c r="L86" s="375">
        <f>VLOOKUP(H86,'Datetel Jul 10, 2013'!A:I,8,0)</f>
        <v>0</v>
      </c>
      <c r="M86" s="615">
        <f t="shared" si="20"/>
        <v>-35671.989999999991</v>
      </c>
      <c r="N86" s="375">
        <v>137895.45000000001</v>
      </c>
      <c r="O86" s="375">
        <v>35000</v>
      </c>
      <c r="P86" s="375">
        <f t="shared" si="17"/>
        <v>172895.45</v>
      </c>
      <c r="Q86" s="375">
        <f t="shared" si="15"/>
        <v>35000</v>
      </c>
      <c r="R86" s="213"/>
      <c r="S86" s="213"/>
    </row>
    <row r="87" spans="1:19" s="74" customFormat="1" ht="12.6" customHeight="1" outlineLevel="1" x14ac:dyDescent="0.2">
      <c r="A87" s="74" t="s">
        <v>302</v>
      </c>
      <c r="B87" s="707"/>
      <c r="C87" s="696"/>
      <c r="D87" s="697" t="s">
        <v>255</v>
      </c>
      <c r="E87" s="698" t="s">
        <v>162</v>
      </c>
      <c r="F87" s="700"/>
      <c r="G87" s="701"/>
      <c r="H87" s="702" t="s">
        <v>8</v>
      </c>
      <c r="I87" s="375">
        <v>74236</v>
      </c>
      <c r="J87" s="783">
        <f>VLOOKUP(H87,'Datetel Jul 10, 2013'!A:F,6,0)</f>
        <v>74236</v>
      </c>
      <c r="K87" s="375">
        <f>VLOOKUP(H87,'Datetel Jul 10, 2013'!A:G,7,0)</f>
        <v>37559.97</v>
      </c>
      <c r="L87" s="375">
        <f>VLOOKUP(H87,'Datetel Jul 10, 2013'!A:I,8,0)</f>
        <v>0</v>
      </c>
      <c r="M87" s="615">
        <f t="shared" si="20"/>
        <v>36676.03</v>
      </c>
      <c r="N87" s="375">
        <v>74236</v>
      </c>
      <c r="O87" s="375">
        <v>-36000</v>
      </c>
      <c r="P87" s="375">
        <f t="shared" si="17"/>
        <v>38236</v>
      </c>
      <c r="Q87" s="375">
        <f t="shared" si="15"/>
        <v>-36000</v>
      </c>
      <c r="R87" s="213"/>
      <c r="S87" s="213"/>
    </row>
    <row r="88" spans="1:19" s="446" customFormat="1" ht="12.6" customHeight="1" x14ac:dyDescent="0.2">
      <c r="A88" s="74" t="s">
        <v>302</v>
      </c>
      <c r="B88" s="229" t="s">
        <v>128</v>
      </c>
      <c r="C88" s="275" t="s">
        <v>161</v>
      </c>
      <c r="D88" s="226" t="s">
        <v>225</v>
      </c>
      <c r="E88" s="229"/>
      <c r="F88" s="229" t="s">
        <v>1054</v>
      </c>
      <c r="G88" s="20" t="s">
        <v>167</v>
      </c>
      <c r="H88" s="30" t="s">
        <v>428</v>
      </c>
      <c r="I88" s="375">
        <f>SUM(I83:I87)</f>
        <v>1000000</v>
      </c>
      <c r="J88" s="375">
        <f t="shared" ref="J88:M88" si="21">SUM(J83:J87)</f>
        <v>998600</v>
      </c>
      <c r="K88" s="375">
        <f t="shared" si="21"/>
        <v>1166498.08</v>
      </c>
      <c r="L88" s="375">
        <f t="shared" si="21"/>
        <v>6244.21</v>
      </c>
      <c r="M88" s="375">
        <f t="shared" si="21"/>
        <v>-174142.29</v>
      </c>
      <c r="N88" s="375">
        <f>SUM(N83:N87)</f>
        <v>1000000</v>
      </c>
      <c r="O88" s="375">
        <f t="shared" ref="O88:P88" si="22">SUM(O83:O87)</f>
        <v>167579</v>
      </c>
      <c r="P88" s="375">
        <f t="shared" si="22"/>
        <v>1167579</v>
      </c>
      <c r="Q88" s="375">
        <f t="shared" si="15"/>
        <v>167579</v>
      </c>
      <c r="R88" s="213"/>
      <c r="S88" s="213"/>
    </row>
    <row r="89" spans="1:19" s="74" customFormat="1" ht="12.6" customHeight="1" x14ac:dyDescent="0.2">
      <c r="A89" s="74" t="s">
        <v>302</v>
      </c>
      <c r="B89" s="227" t="s">
        <v>128</v>
      </c>
      <c r="C89" s="798"/>
      <c r="D89" s="836" t="s">
        <v>768</v>
      </c>
      <c r="E89" s="227"/>
      <c r="F89" s="227"/>
      <c r="G89" s="34" t="s">
        <v>770</v>
      </c>
      <c r="H89" s="41" t="s">
        <v>1047</v>
      </c>
      <c r="I89" s="375">
        <v>150000</v>
      </c>
      <c r="J89" s="783">
        <v>150000</v>
      </c>
      <c r="K89" s="375">
        <v>0</v>
      </c>
      <c r="L89" s="375">
        <f>VLOOKUP(H89,'Datetel Jul 10, 2013'!A:I,8,0)</f>
        <v>0</v>
      </c>
      <c r="M89" s="375">
        <f t="shared" si="20"/>
        <v>150000</v>
      </c>
      <c r="N89" s="375">
        <v>150000</v>
      </c>
      <c r="O89" s="375">
        <v>-150000</v>
      </c>
      <c r="P89" s="375">
        <f t="shared" si="17"/>
        <v>0</v>
      </c>
      <c r="Q89" s="375">
        <f t="shared" si="15"/>
        <v>-150000</v>
      </c>
      <c r="R89" s="213"/>
      <c r="S89" s="213"/>
    </row>
    <row r="90" spans="1:19" s="74" customFormat="1" ht="12.6" customHeight="1" x14ac:dyDescent="0.2">
      <c r="A90" s="74" t="s">
        <v>302</v>
      </c>
      <c r="B90" s="221" t="s">
        <v>128</v>
      </c>
      <c r="C90" s="277" t="s">
        <v>161</v>
      </c>
      <c r="D90" s="370" t="s">
        <v>350</v>
      </c>
      <c r="E90" s="221"/>
      <c r="F90" s="221"/>
      <c r="G90" s="17" t="s">
        <v>150</v>
      </c>
      <c r="H90" s="29" t="s">
        <v>16</v>
      </c>
      <c r="I90" s="375">
        <v>398419</v>
      </c>
      <c r="J90" s="783">
        <f>VLOOKUP(H90,'Datetel Jul 10, 2013'!A:F,6,0)</f>
        <v>398419</v>
      </c>
      <c r="K90" s="375">
        <f>VLOOKUP(H90,'Datetel Jul 10, 2013'!A:G,7,0)</f>
        <v>398419</v>
      </c>
      <c r="L90" s="375">
        <f>VLOOKUP(H90,'Datetel Jul 10, 2013'!A:I,8,0)</f>
        <v>0</v>
      </c>
      <c r="M90" s="615">
        <f t="shared" si="20"/>
        <v>0</v>
      </c>
      <c r="N90" s="375">
        <v>398419</v>
      </c>
      <c r="O90" s="375"/>
      <c r="P90" s="375">
        <f t="shared" si="17"/>
        <v>398419</v>
      </c>
      <c r="Q90" s="375">
        <f t="shared" si="15"/>
        <v>0</v>
      </c>
      <c r="R90" s="213"/>
      <c r="S90" s="213"/>
    </row>
    <row r="91" spans="1:19" s="74" customFormat="1" ht="12.6" customHeight="1" x14ac:dyDescent="0.2">
      <c r="A91" s="74" t="s">
        <v>302</v>
      </c>
      <c r="B91" s="227" t="s">
        <v>128</v>
      </c>
      <c r="C91" s="292"/>
      <c r="D91" s="370" t="s">
        <v>394</v>
      </c>
      <c r="E91" s="227"/>
      <c r="F91" s="227"/>
      <c r="G91" s="34" t="s">
        <v>167</v>
      </c>
      <c r="H91" s="41" t="s">
        <v>424</v>
      </c>
      <c r="I91" s="375">
        <v>15480</v>
      </c>
      <c r="J91" s="783">
        <f>VLOOKUP(H91,'Datetel Jul 10, 2013'!A:F,6,0)</f>
        <v>15480</v>
      </c>
      <c r="K91" s="375">
        <f>VLOOKUP(H91,'Datetel Jul 10, 2013'!A:G,7,0)</f>
        <v>15480</v>
      </c>
      <c r="L91" s="375">
        <f>VLOOKUP(H91,'Datetel Jul 10, 2013'!A:I,8,0)</f>
        <v>0</v>
      </c>
      <c r="M91" s="615">
        <f t="shared" si="20"/>
        <v>0</v>
      </c>
      <c r="N91" s="375">
        <v>15480</v>
      </c>
      <c r="O91" s="375"/>
      <c r="P91" s="375">
        <f t="shared" si="17"/>
        <v>15480</v>
      </c>
      <c r="Q91" s="375">
        <f t="shared" si="15"/>
        <v>0</v>
      </c>
      <c r="R91" s="213"/>
      <c r="S91" s="213"/>
    </row>
    <row r="92" spans="1:19" s="74" customFormat="1" ht="12.6" customHeight="1" x14ac:dyDescent="0.2">
      <c r="A92" s="74" t="s">
        <v>302</v>
      </c>
      <c r="B92" s="283" t="s">
        <v>1</v>
      </c>
      <c r="C92" s="284" t="s">
        <v>161</v>
      </c>
      <c r="D92" s="283" t="s">
        <v>758</v>
      </c>
      <c r="E92" s="229"/>
      <c r="F92" s="6" t="s">
        <v>980</v>
      </c>
      <c r="G92" s="5" t="s">
        <v>153</v>
      </c>
      <c r="H92" s="32" t="s">
        <v>0</v>
      </c>
      <c r="I92" s="375">
        <v>190925</v>
      </c>
      <c r="J92" s="783">
        <f>VLOOKUP(H92,'Datetel Jul 10, 2013'!A:F,6,0)</f>
        <v>190925</v>
      </c>
      <c r="K92" s="375">
        <f>VLOOKUP(H92,'Datetel Jul 10, 2013'!A:G,7,0)</f>
        <v>77888.95</v>
      </c>
      <c r="L92" s="375">
        <f>VLOOKUP(H92,'Datetel Jul 10, 2013'!A:I,8,0)</f>
        <v>0</v>
      </c>
      <c r="M92" s="615">
        <f t="shared" si="20"/>
        <v>113036.05</v>
      </c>
      <c r="N92" s="375">
        <v>95462</v>
      </c>
      <c r="O92" s="375">
        <f>60000-N92</f>
        <v>-35462</v>
      </c>
      <c r="P92" s="375">
        <f t="shared" si="17"/>
        <v>60000</v>
      </c>
      <c r="Q92" s="375">
        <f t="shared" si="15"/>
        <v>-130925</v>
      </c>
      <c r="R92" s="213"/>
      <c r="S92" s="213"/>
    </row>
    <row r="93" spans="1:19" s="74" customFormat="1" ht="12.6" customHeight="1" x14ac:dyDescent="0.2">
      <c r="A93" s="74" t="s">
        <v>302</v>
      </c>
      <c r="B93" s="259" t="s">
        <v>128</v>
      </c>
      <c r="C93" s="285" t="s">
        <v>160</v>
      </c>
      <c r="D93" s="259" t="s">
        <v>388</v>
      </c>
      <c r="E93" s="259"/>
      <c r="F93" s="259"/>
      <c r="G93" s="33" t="s">
        <v>165</v>
      </c>
      <c r="H93" s="49" t="s">
        <v>385</v>
      </c>
      <c r="I93" s="375">
        <v>40000</v>
      </c>
      <c r="J93" s="783">
        <f>VLOOKUP(H93,'Datetel Jul 10, 2013'!A:F,6,0)+2000</f>
        <v>40000</v>
      </c>
      <c r="K93" s="375">
        <f>VLOOKUP(H93,'Datetel Jul 10, 2013'!A:G,7,0)+'Datetel Jul 10, 2013'!G207+'Datetel Jul 10, 2013'!G209+'Datetel Jul 10, 2013'!G210+'Datetel Jul 10, 2013'!G211</f>
        <v>28490.429999999997</v>
      </c>
      <c r="L93" s="375">
        <f>VLOOKUP(H93,'Datetel Jul 10, 2013'!A:I,8,0)</f>
        <v>0</v>
      </c>
      <c r="M93" s="615">
        <f t="shared" si="20"/>
        <v>11509.570000000003</v>
      </c>
      <c r="N93" s="375">
        <v>40000</v>
      </c>
      <c r="O93" s="375"/>
      <c r="P93" s="375">
        <f t="shared" si="17"/>
        <v>40000</v>
      </c>
      <c r="Q93" s="375">
        <f t="shared" si="15"/>
        <v>0</v>
      </c>
      <c r="R93" s="213"/>
      <c r="S93" s="213"/>
    </row>
    <row r="94" spans="1:19" s="74" customFormat="1" ht="12.6" customHeight="1" outlineLevel="1" x14ac:dyDescent="0.2">
      <c r="A94" s="74" t="s">
        <v>302</v>
      </c>
      <c r="B94" s="708"/>
      <c r="C94" s="709"/>
      <c r="D94" s="708" t="s">
        <v>74</v>
      </c>
      <c r="E94" s="708"/>
      <c r="F94" s="708" t="s">
        <v>956</v>
      </c>
      <c r="G94" s="710"/>
      <c r="H94" s="710" t="s">
        <v>807</v>
      </c>
      <c r="I94" s="375">
        <v>0</v>
      </c>
      <c r="J94" s="783">
        <v>0</v>
      </c>
      <c r="K94" s="375">
        <f>VLOOKUP(H94,'Datetel Jul 10, 2013'!A:G,7,0)</f>
        <v>10.46</v>
      </c>
      <c r="L94" s="375">
        <f>VLOOKUP(H94,'Datetel Jul 10, 2013'!A:I,8,0)</f>
        <v>0</v>
      </c>
      <c r="M94" s="615">
        <f t="shared" si="20"/>
        <v>-10.46</v>
      </c>
      <c r="N94" s="375">
        <v>0</v>
      </c>
      <c r="O94" s="375"/>
      <c r="P94" s="375">
        <f t="shared" si="17"/>
        <v>0</v>
      </c>
      <c r="Q94" s="375">
        <f t="shared" si="15"/>
        <v>0</v>
      </c>
      <c r="R94" s="213"/>
      <c r="S94" s="213"/>
    </row>
    <row r="95" spans="1:19" s="74" customFormat="1" ht="12.6" customHeight="1" outlineLevel="1" x14ac:dyDescent="0.2">
      <c r="B95" s="706"/>
      <c r="C95" s="718"/>
      <c r="D95" s="706" t="s">
        <v>74</v>
      </c>
      <c r="E95" s="706"/>
      <c r="F95" s="706" t="s">
        <v>22</v>
      </c>
      <c r="G95" s="717"/>
      <c r="H95" s="717" t="s">
        <v>21</v>
      </c>
      <c r="I95" s="375">
        <v>0</v>
      </c>
      <c r="J95" s="783">
        <v>0</v>
      </c>
      <c r="K95" s="375">
        <f>VLOOKUP(H95,'Datetel Jul 10, 2013'!A:G,7,0)</f>
        <v>-81</v>
      </c>
      <c r="L95" s="489"/>
      <c r="M95" s="615">
        <f t="shared" si="20"/>
        <v>81</v>
      </c>
      <c r="N95" s="375">
        <v>0</v>
      </c>
      <c r="O95" s="375"/>
      <c r="P95" s="375">
        <f t="shared" si="17"/>
        <v>0</v>
      </c>
      <c r="Q95" s="375">
        <f t="shared" si="15"/>
        <v>0</v>
      </c>
      <c r="R95" s="213"/>
      <c r="S95" s="213"/>
    </row>
    <row r="96" spans="1:19" s="74" customFormat="1" ht="12.6" customHeight="1" outlineLevel="1" x14ac:dyDescent="0.2">
      <c r="A96" s="74" t="s">
        <v>302</v>
      </c>
      <c r="B96" s="689"/>
      <c r="C96" s="711"/>
      <c r="D96" s="706" t="s">
        <v>74</v>
      </c>
      <c r="E96" s="706"/>
      <c r="F96" s="706" t="s">
        <v>140</v>
      </c>
      <c r="G96" s="717"/>
      <c r="H96" s="717" t="s">
        <v>137</v>
      </c>
      <c r="I96" s="375">
        <v>15000</v>
      </c>
      <c r="J96" s="783">
        <f>VLOOKUP(H96,'Datetel Jul 10, 2013'!A:F,6,0)</f>
        <v>15000</v>
      </c>
      <c r="K96" s="375">
        <f>VLOOKUP(H96,'Datetel Jul 10, 2013'!A:G,7,0)</f>
        <v>34814.36</v>
      </c>
      <c r="L96" s="375">
        <f>VLOOKUP(H96,'Datetel Jul 10, 2013'!A:I,8,0)</f>
        <v>0</v>
      </c>
      <c r="M96" s="615">
        <f t="shared" si="20"/>
        <v>-19814.36</v>
      </c>
      <c r="N96" s="375">
        <v>15000</v>
      </c>
      <c r="O96" s="375">
        <v>5000</v>
      </c>
      <c r="P96" s="375">
        <f t="shared" si="17"/>
        <v>20000</v>
      </c>
      <c r="Q96" s="375">
        <f t="shared" si="15"/>
        <v>5000</v>
      </c>
      <c r="R96" s="213"/>
      <c r="S96" s="213"/>
    </row>
    <row r="97" spans="1:19" s="74" customFormat="1" ht="12.6" customHeight="1" outlineLevel="1" x14ac:dyDescent="0.2">
      <c r="A97" s="74" t="s">
        <v>302</v>
      </c>
      <c r="B97" s="703"/>
      <c r="C97" s="712"/>
      <c r="D97" s="703" t="s">
        <v>74</v>
      </c>
      <c r="E97" s="703"/>
      <c r="F97" s="703" t="s">
        <v>141</v>
      </c>
      <c r="G97" s="713"/>
      <c r="H97" s="713" t="s">
        <v>138</v>
      </c>
      <c r="I97" s="375">
        <v>165000</v>
      </c>
      <c r="J97" s="783">
        <f>VLOOKUP(H97,'Datetel Jul 10, 2013'!A:F,6,0)</f>
        <v>165000</v>
      </c>
      <c r="K97" s="375">
        <f>VLOOKUP(H97,'Datetel Jul 10, 2013'!A:G,7,0)</f>
        <v>163353.78</v>
      </c>
      <c r="L97" s="375">
        <f>VLOOKUP(H97,'Datetel Jul 10, 2013'!A:I,8,0)</f>
        <v>0</v>
      </c>
      <c r="M97" s="615">
        <f t="shared" si="20"/>
        <v>1646.2200000000012</v>
      </c>
      <c r="N97" s="375">
        <v>165000</v>
      </c>
      <c r="O97" s="375"/>
      <c r="P97" s="375">
        <f t="shared" si="17"/>
        <v>165000</v>
      </c>
      <c r="Q97" s="375">
        <f t="shared" si="15"/>
        <v>0</v>
      </c>
      <c r="R97" s="213"/>
      <c r="S97" s="213"/>
    </row>
    <row r="98" spans="1:19" s="446" customFormat="1" ht="12.6" customHeight="1" x14ac:dyDescent="0.2">
      <c r="A98" s="74" t="s">
        <v>302</v>
      </c>
      <c r="B98" s="14" t="s">
        <v>128</v>
      </c>
      <c r="C98" s="239" t="s">
        <v>172</v>
      </c>
      <c r="D98" s="14" t="s">
        <v>74</v>
      </c>
      <c r="E98" s="229"/>
      <c r="F98" s="14"/>
      <c r="G98" s="20" t="s">
        <v>176</v>
      </c>
      <c r="H98" s="30" t="s">
        <v>428</v>
      </c>
      <c r="I98" s="783">
        <f t="shared" ref="I98:P98" si="23">SUM(I94:I97)</f>
        <v>180000</v>
      </c>
      <c r="J98" s="783">
        <f t="shared" si="23"/>
        <v>180000</v>
      </c>
      <c r="K98" s="375">
        <f t="shared" si="23"/>
        <v>198097.6</v>
      </c>
      <c r="L98" s="375">
        <f t="shared" si="23"/>
        <v>0</v>
      </c>
      <c r="M98" s="375">
        <f t="shared" si="23"/>
        <v>-18097.599999999999</v>
      </c>
      <c r="N98" s="375">
        <f t="shared" si="23"/>
        <v>180000</v>
      </c>
      <c r="O98" s="375">
        <f t="shared" si="23"/>
        <v>5000</v>
      </c>
      <c r="P98" s="375">
        <f t="shared" si="23"/>
        <v>185000</v>
      </c>
      <c r="Q98" s="375">
        <f t="shared" si="15"/>
        <v>5000</v>
      </c>
      <c r="R98" s="213"/>
      <c r="S98" s="213"/>
    </row>
    <row r="99" spans="1:19" s="446" customFormat="1" ht="12.6" customHeight="1" x14ac:dyDescent="0.2">
      <c r="A99" s="74" t="s">
        <v>302</v>
      </c>
      <c r="B99" s="283" t="s">
        <v>128</v>
      </c>
      <c r="C99" s="284" t="s">
        <v>161</v>
      </c>
      <c r="D99" s="283" t="s">
        <v>226</v>
      </c>
      <c r="E99" s="229"/>
      <c r="F99" s="229"/>
      <c r="G99" s="20" t="s">
        <v>150</v>
      </c>
      <c r="H99" s="49" t="s">
        <v>1047</v>
      </c>
      <c r="I99" s="783">
        <v>7822000</v>
      </c>
      <c r="J99" s="783">
        <v>7822000</v>
      </c>
      <c r="K99" s="375">
        <f>VLOOKUP(H99,'Datetel Jul 10, 2013'!A:G,7,0)</f>
        <v>7822000</v>
      </c>
      <c r="L99" s="375">
        <f>VLOOKUP(H99,'Datetel Jul 10, 2013'!A:I,8,0)</f>
        <v>0</v>
      </c>
      <c r="M99" s="375">
        <f t="shared" ref="M99:M133" si="24">J99-K99-L99</f>
        <v>0</v>
      </c>
      <c r="N99" s="375">
        <v>7822000</v>
      </c>
      <c r="O99" s="375"/>
      <c r="P99" s="375">
        <f t="shared" si="17"/>
        <v>7822000</v>
      </c>
      <c r="Q99" s="375">
        <f t="shared" si="15"/>
        <v>0</v>
      </c>
      <c r="R99" s="213"/>
      <c r="S99" s="213"/>
    </row>
    <row r="100" spans="1:19" s="74" customFormat="1" ht="12.6" customHeight="1" x14ac:dyDescent="0.2">
      <c r="A100" s="74" t="s">
        <v>302</v>
      </c>
      <c r="B100" s="229" t="s">
        <v>131</v>
      </c>
      <c r="C100" s="251" t="s">
        <v>173</v>
      </c>
      <c r="D100" s="229" t="s">
        <v>90</v>
      </c>
      <c r="E100" s="229"/>
      <c r="F100" s="229" t="s">
        <v>1057</v>
      </c>
      <c r="G100" s="49" t="s">
        <v>153</v>
      </c>
      <c r="H100" s="49" t="s">
        <v>41</v>
      </c>
      <c r="I100" s="375">
        <v>639644</v>
      </c>
      <c r="J100" s="783">
        <v>639644</v>
      </c>
      <c r="K100" s="375">
        <v>639644</v>
      </c>
      <c r="L100" s="375">
        <v>0</v>
      </c>
      <c r="M100" s="615">
        <f t="shared" si="24"/>
        <v>0</v>
      </c>
      <c r="N100" s="375">
        <v>703608.4</v>
      </c>
      <c r="O100" s="375">
        <f>668833-N100</f>
        <v>-34775.400000000023</v>
      </c>
      <c r="P100" s="375">
        <f t="shared" si="17"/>
        <v>668833</v>
      </c>
      <c r="Q100" s="375">
        <f t="shared" si="15"/>
        <v>29189</v>
      </c>
      <c r="R100" s="213"/>
      <c r="S100" s="213"/>
    </row>
    <row r="101" spans="1:19" s="74" customFormat="1" ht="12.6" customHeight="1" x14ac:dyDescent="0.2">
      <c r="A101" s="74" t="s">
        <v>302</v>
      </c>
      <c r="B101" s="227" t="s">
        <v>131</v>
      </c>
      <c r="C101" s="292" t="s">
        <v>173</v>
      </c>
      <c r="D101" s="227" t="s">
        <v>91</v>
      </c>
      <c r="E101" s="227"/>
      <c r="F101" s="227"/>
      <c r="G101" s="34" t="s">
        <v>153</v>
      </c>
      <c r="H101" s="34" t="s">
        <v>41</v>
      </c>
      <c r="I101" s="375">
        <v>40000</v>
      </c>
      <c r="J101" s="783">
        <v>40000</v>
      </c>
      <c r="K101" s="375">
        <f>VLOOKUP(H101,'Datetel Jul 10, 2013'!A:G,7,0)-K100</f>
        <v>28631.359999999986</v>
      </c>
      <c r="L101" s="375">
        <v>0</v>
      </c>
      <c r="M101" s="615">
        <f t="shared" si="24"/>
        <v>11368.640000000014</v>
      </c>
      <c r="N101" s="375">
        <v>40000</v>
      </c>
      <c r="O101" s="375"/>
      <c r="P101" s="375">
        <f t="shared" si="17"/>
        <v>40000</v>
      </c>
      <c r="Q101" s="375">
        <f t="shared" si="15"/>
        <v>0</v>
      </c>
      <c r="R101" s="213"/>
      <c r="S101" s="213"/>
    </row>
    <row r="102" spans="1:19" s="74" customFormat="1" ht="12.6" customHeight="1" x14ac:dyDescent="0.2">
      <c r="A102" s="74" t="s">
        <v>302</v>
      </c>
      <c r="B102" s="283" t="s">
        <v>298</v>
      </c>
      <c r="C102" s="282" t="s">
        <v>161</v>
      </c>
      <c r="D102" s="259" t="s">
        <v>78</v>
      </c>
      <c r="E102" s="259"/>
      <c r="F102" s="259" t="s">
        <v>1053</v>
      </c>
      <c r="G102" s="33" t="s">
        <v>150</v>
      </c>
      <c r="H102" s="33" t="s">
        <v>28</v>
      </c>
      <c r="I102" s="375">
        <v>164946</v>
      </c>
      <c r="J102" s="783">
        <f>VLOOKUP(H102,'Datetel Jul 10, 2013'!A:F,6,0)</f>
        <v>-11436</v>
      </c>
      <c r="K102" s="375">
        <f>VLOOKUP(H102,'Datetel Jul 10, 2013'!A:G,7,0)</f>
        <v>0</v>
      </c>
      <c r="L102" s="375">
        <v>0</v>
      </c>
      <c r="M102" s="615">
        <f t="shared" si="24"/>
        <v>-11436</v>
      </c>
      <c r="N102" s="375">
        <v>164946</v>
      </c>
      <c r="O102" s="375">
        <v>11436</v>
      </c>
      <c r="P102" s="375">
        <f t="shared" si="17"/>
        <v>176382</v>
      </c>
      <c r="Q102" s="375">
        <f t="shared" si="15"/>
        <v>11436</v>
      </c>
      <c r="R102" s="213"/>
      <c r="S102" s="213"/>
    </row>
    <row r="103" spans="1:19" s="74" customFormat="1" ht="12.6" customHeight="1" x14ac:dyDescent="0.2">
      <c r="A103" s="74" t="s">
        <v>302</v>
      </c>
      <c r="B103" s="283" t="s">
        <v>298</v>
      </c>
      <c r="C103" s="286" t="s">
        <v>161</v>
      </c>
      <c r="D103" s="283" t="s">
        <v>297</v>
      </c>
      <c r="E103" s="229"/>
      <c r="F103" s="6"/>
      <c r="G103" s="5" t="s">
        <v>150</v>
      </c>
      <c r="H103" s="32" t="s">
        <v>29</v>
      </c>
      <c r="I103" s="375">
        <v>7500</v>
      </c>
      <c r="J103" s="783">
        <f>VLOOKUP(H103,'Datetel Jul 10, 2013'!A:F,6,0)</f>
        <v>7500</v>
      </c>
      <c r="K103" s="375">
        <f>VLOOKUP(H103,'Datetel Jul 10, 2013'!A:G,7,0)</f>
        <v>2828.37</v>
      </c>
      <c r="L103" s="375">
        <f>VLOOKUP(H103,'Datetel Jul 10, 2013'!A:I,8,0)</f>
        <v>0</v>
      </c>
      <c r="M103" s="615">
        <f t="shared" si="24"/>
        <v>4671.63</v>
      </c>
      <c r="N103" s="375">
        <v>7500</v>
      </c>
      <c r="O103" s="375"/>
      <c r="P103" s="375">
        <f t="shared" si="17"/>
        <v>7500</v>
      </c>
      <c r="Q103" s="375">
        <f t="shared" si="15"/>
        <v>0</v>
      </c>
      <c r="R103" s="213"/>
      <c r="S103" s="213"/>
    </row>
    <row r="104" spans="1:19" s="74" customFormat="1" ht="12.6" customHeight="1" x14ac:dyDescent="0.2">
      <c r="A104" s="74" t="s">
        <v>302</v>
      </c>
      <c r="B104" s="283" t="s">
        <v>298</v>
      </c>
      <c r="C104" s="286" t="s">
        <v>161</v>
      </c>
      <c r="D104" s="283" t="s">
        <v>427</v>
      </c>
      <c r="E104" s="229"/>
      <c r="F104" s="6"/>
      <c r="G104" s="5" t="s">
        <v>150</v>
      </c>
      <c r="H104" s="32" t="s">
        <v>30</v>
      </c>
      <c r="I104" s="375">
        <v>60000</v>
      </c>
      <c r="J104" s="783">
        <f>VLOOKUP(H104,'Datetel Jul 10, 2013'!A:F,6,0)</f>
        <v>60000</v>
      </c>
      <c r="K104" s="375">
        <f>VLOOKUP(H104,'Datetel Jul 10, 2013'!A:G,7,0)</f>
        <v>60000.02</v>
      </c>
      <c r="L104" s="375">
        <f>VLOOKUP(H104,'Datetel Jul 10, 2013'!A:I,8,0)</f>
        <v>0</v>
      </c>
      <c r="M104" s="615">
        <f t="shared" si="24"/>
        <v>-1.9999999996798579E-2</v>
      </c>
      <c r="N104" s="375">
        <v>60000</v>
      </c>
      <c r="O104" s="375"/>
      <c r="P104" s="375">
        <f t="shared" si="17"/>
        <v>60000</v>
      </c>
      <c r="Q104" s="375">
        <f t="shared" si="15"/>
        <v>0</v>
      </c>
      <c r="R104" s="213"/>
      <c r="S104" s="213"/>
    </row>
    <row r="105" spans="1:19" s="74" customFormat="1" ht="12.6" customHeight="1" x14ac:dyDescent="0.2">
      <c r="A105" s="74" t="s">
        <v>302</v>
      </c>
      <c r="B105" s="283" t="s">
        <v>298</v>
      </c>
      <c r="C105" s="286" t="s">
        <v>161</v>
      </c>
      <c r="D105" s="259" t="s">
        <v>81</v>
      </c>
      <c r="E105" s="259"/>
      <c r="F105" s="259"/>
      <c r="G105" s="33" t="s">
        <v>150</v>
      </c>
      <c r="H105" s="33" t="s">
        <v>31</v>
      </c>
      <c r="I105" s="375">
        <v>200000</v>
      </c>
      <c r="J105" s="783">
        <f>VLOOKUP(H105,'Datetel Jul 10, 2013'!A:F,6,0)</f>
        <v>200000</v>
      </c>
      <c r="K105" s="375">
        <f>VLOOKUP(H105,'Datetel Jul 10, 2013'!A:G,7,0)+'Datetel Jul 10, 2013'!G224</f>
        <v>179432.44</v>
      </c>
      <c r="L105" s="375">
        <f>SUM('Datetel Jul 10, 2013'!H191)</f>
        <v>0</v>
      </c>
      <c r="M105" s="615">
        <f t="shared" si="24"/>
        <v>20567.559999999998</v>
      </c>
      <c r="N105" s="375">
        <v>200000</v>
      </c>
      <c r="O105" s="375"/>
      <c r="P105" s="375">
        <f t="shared" si="17"/>
        <v>200000</v>
      </c>
      <c r="Q105" s="375">
        <f t="shared" si="15"/>
        <v>0</v>
      </c>
      <c r="R105" s="213"/>
      <c r="S105" s="213"/>
    </row>
    <row r="106" spans="1:19" s="74" customFormat="1" ht="12.6" customHeight="1" x14ac:dyDescent="0.2">
      <c r="A106" s="74" t="s">
        <v>302</v>
      </c>
      <c r="B106" s="278" t="s">
        <v>132</v>
      </c>
      <c r="C106" s="284" t="s">
        <v>127</v>
      </c>
      <c r="D106" s="284" t="s">
        <v>419</v>
      </c>
      <c r="E106" s="251"/>
      <c r="F106" s="293"/>
      <c r="G106" s="114" t="s">
        <v>154</v>
      </c>
      <c r="H106" s="32" t="s">
        <v>420</v>
      </c>
      <c r="I106" s="375">
        <v>219443</v>
      </c>
      <c r="J106" s="783">
        <f>VLOOKUP(H106,'Datetel Jul 10, 2013'!A:F,6,0)</f>
        <v>219443</v>
      </c>
      <c r="K106" s="375">
        <f>VLOOKUP(H106,'Datetel Jul 10, 2013'!A:G,7,0)</f>
        <v>215658.52</v>
      </c>
      <c r="L106" s="375">
        <f>VLOOKUP(H106,'Datetel Jul 10, 2013'!A:I,8,0)</f>
        <v>195</v>
      </c>
      <c r="M106" s="615">
        <f t="shared" si="24"/>
        <v>3589.4800000000105</v>
      </c>
      <c r="N106" s="375">
        <v>219443</v>
      </c>
      <c r="O106" s="375"/>
      <c r="P106" s="375">
        <f t="shared" si="17"/>
        <v>219443</v>
      </c>
      <c r="Q106" s="375">
        <f t="shared" si="15"/>
        <v>0</v>
      </c>
      <c r="R106" s="213"/>
      <c r="S106" s="213"/>
    </row>
    <row r="107" spans="1:19" s="74" customFormat="1" ht="12.6" customHeight="1" x14ac:dyDescent="0.2">
      <c r="A107" s="74" t="s">
        <v>302</v>
      </c>
      <c r="B107" s="278" t="s">
        <v>132</v>
      </c>
      <c r="C107" s="284" t="s">
        <v>127</v>
      </c>
      <c r="D107" s="981" t="s">
        <v>299</v>
      </c>
      <c r="E107" s="229"/>
      <c r="F107" s="229" t="s">
        <v>1054</v>
      </c>
      <c r="G107" s="114" t="s">
        <v>154</v>
      </c>
      <c r="H107" s="32" t="s">
        <v>44</v>
      </c>
      <c r="I107" s="375">
        <v>48817</v>
      </c>
      <c r="J107" s="783">
        <f>VLOOKUP(H107,'Datetel Jul 10, 2013'!A:F,6,0)</f>
        <v>51538</v>
      </c>
      <c r="K107" s="375">
        <f>VLOOKUP(H107,'Datetel Jul 10, 2013'!A:G,7,0)</f>
        <v>24002.84</v>
      </c>
      <c r="L107" s="375">
        <f>VLOOKUP(H107,'Datetel Jul 10, 2013'!A:I,8,0)</f>
        <v>2440.3000000000002</v>
      </c>
      <c r="M107" s="615">
        <f t="shared" si="24"/>
        <v>25094.86</v>
      </c>
      <c r="N107" s="375">
        <v>48817</v>
      </c>
      <c r="O107" s="375">
        <v>-5000</v>
      </c>
      <c r="P107" s="375">
        <f t="shared" si="17"/>
        <v>43817</v>
      </c>
      <c r="Q107" s="375">
        <f t="shared" si="15"/>
        <v>-5000</v>
      </c>
      <c r="R107" s="213"/>
      <c r="S107" s="213"/>
    </row>
    <row r="108" spans="1:19" s="446" customFormat="1" ht="12.6" customHeight="1" x14ac:dyDescent="0.2">
      <c r="A108" s="74" t="s">
        <v>302</v>
      </c>
      <c r="B108" s="231" t="s">
        <v>132</v>
      </c>
      <c r="C108" s="367"/>
      <c r="D108" s="256" t="s">
        <v>417</v>
      </c>
      <c r="E108" s="256"/>
      <c r="F108" s="229" t="s">
        <v>1054</v>
      </c>
      <c r="G108" s="905" t="s">
        <v>423</v>
      </c>
      <c r="H108" s="32" t="s">
        <v>47</v>
      </c>
      <c r="I108" s="783">
        <v>855979</v>
      </c>
      <c r="J108" s="783">
        <f>VLOOKUP(H108,'Datetel Jul 10, 2013'!A:F,6,0)</f>
        <v>855979</v>
      </c>
      <c r="K108" s="375">
        <f>VLOOKUP(H108,'Datetel Jul 10, 2013'!A:G,7,0)</f>
        <v>822994.90999999992</v>
      </c>
      <c r="L108" s="375">
        <f>VLOOKUP(H108,'Datetel Jul 10, 2013'!A:I,8,0)</f>
        <v>1038.25</v>
      </c>
      <c r="M108" s="615">
        <f t="shared" si="24"/>
        <v>31945.840000000084</v>
      </c>
      <c r="N108" s="375">
        <v>855979</v>
      </c>
      <c r="O108" s="375">
        <v>-5000</v>
      </c>
      <c r="P108" s="375">
        <f t="shared" si="17"/>
        <v>850979</v>
      </c>
      <c r="Q108" s="375">
        <f t="shared" si="15"/>
        <v>-5000</v>
      </c>
      <c r="R108" s="213"/>
      <c r="S108" s="213"/>
    </row>
    <row r="109" spans="1:19" s="531" customFormat="1" ht="12.6" customHeight="1" x14ac:dyDescent="0.2">
      <c r="A109" s="74" t="s">
        <v>302</v>
      </c>
      <c r="B109" s="278" t="s">
        <v>132</v>
      </c>
      <c r="C109" s="284" t="s">
        <v>127</v>
      </c>
      <c r="D109" s="283" t="s">
        <v>96</v>
      </c>
      <c r="E109" s="229"/>
      <c r="F109" s="229"/>
      <c r="G109" s="114" t="s">
        <v>167</v>
      </c>
      <c r="H109" s="32" t="s">
        <v>50</v>
      </c>
      <c r="I109" s="375">
        <v>157118</v>
      </c>
      <c r="J109" s="783">
        <f>VLOOKUP(H109,'Datetel Jul 10, 2013'!A:F,6,0)</f>
        <v>157118</v>
      </c>
      <c r="K109" s="375">
        <f>VLOOKUP(H109,'Datetel Jul 10, 2013'!A:G,7,0)</f>
        <v>147064.25</v>
      </c>
      <c r="L109" s="375">
        <f>VLOOKUP(H109,'Datetel Jul 10, 2013'!A:I,8,0)</f>
        <v>7935.75</v>
      </c>
      <c r="M109" s="615">
        <f t="shared" si="24"/>
        <v>2118</v>
      </c>
      <c r="N109" s="375">
        <v>157118</v>
      </c>
      <c r="O109" s="375"/>
      <c r="P109" s="375">
        <f t="shared" si="17"/>
        <v>157118</v>
      </c>
      <c r="Q109" s="375">
        <f t="shared" si="15"/>
        <v>0</v>
      </c>
      <c r="R109" s="213"/>
      <c r="S109" s="213"/>
    </row>
    <row r="110" spans="1:19" s="74" customFormat="1" ht="12.6" customHeight="1" x14ac:dyDescent="0.2">
      <c r="A110" s="74" t="s">
        <v>302</v>
      </c>
      <c r="B110" s="278" t="s">
        <v>132</v>
      </c>
      <c r="C110" s="284" t="s">
        <v>127</v>
      </c>
      <c r="D110" s="283" t="s">
        <v>284</v>
      </c>
      <c r="E110" s="229"/>
      <c r="F110" s="293"/>
      <c r="G110" s="114" t="s">
        <v>154</v>
      </c>
      <c r="H110" s="32" t="s">
        <v>48</v>
      </c>
      <c r="I110" s="375">
        <v>50000</v>
      </c>
      <c r="J110" s="783">
        <f>VLOOKUP(H110,'Datetel Jul 10, 2013'!A:F,6,0)</f>
        <v>50000</v>
      </c>
      <c r="K110" s="375">
        <f>VLOOKUP(H110,'Datetel Jul 10, 2013'!A:G,7,0)</f>
        <v>44269.89</v>
      </c>
      <c r="L110" s="375">
        <f>VLOOKUP(H110,'Datetel Jul 10, 2013'!A:I,8,0)</f>
        <v>0</v>
      </c>
      <c r="M110" s="615">
        <f t="shared" si="24"/>
        <v>5730.1100000000006</v>
      </c>
      <c r="N110" s="375">
        <v>50000</v>
      </c>
      <c r="O110" s="375"/>
      <c r="P110" s="375">
        <f t="shared" si="17"/>
        <v>50000</v>
      </c>
      <c r="Q110" s="375">
        <f t="shared" si="15"/>
        <v>0</v>
      </c>
      <c r="R110" s="213"/>
      <c r="S110" s="213"/>
    </row>
    <row r="111" spans="1:19" s="74" customFormat="1" ht="12.6" customHeight="1" x14ac:dyDescent="0.2">
      <c r="A111" s="74" t="s">
        <v>302</v>
      </c>
      <c r="B111" s="278" t="s">
        <v>132</v>
      </c>
      <c r="C111" s="284" t="s">
        <v>127</v>
      </c>
      <c r="D111" s="283" t="s">
        <v>97</v>
      </c>
      <c r="E111" s="229"/>
      <c r="F111" s="293" t="s">
        <v>1058</v>
      </c>
      <c r="G111" s="115" t="s">
        <v>170</v>
      </c>
      <c r="H111" s="32" t="s">
        <v>51</v>
      </c>
      <c r="I111" s="375">
        <v>52000</v>
      </c>
      <c r="J111" s="783">
        <f>VLOOKUP(H111,'Datetel Jul 10, 2013'!A:F,6,0)</f>
        <v>54361</v>
      </c>
      <c r="K111" s="375">
        <f>VLOOKUP(H111,'Datetel Jul 10, 2013'!A:G,7,0)</f>
        <v>31481.87</v>
      </c>
      <c r="L111" s="375">
        <f>VLOOKUP(H111,'Datetel Jul 10, 2013'!A:I,8,0)</f>
        <v>21798.2</v>
      </c>
      <c r="M111" s="615">
        <f t="shared" si="24"/>
        <v>1080.9300000000003</v>
      </c>
      <c r="N111" s="375">
        <v>52000</v>
      </c>
      <c r="O111" s="375">
        <v>-20000</v>
      </c>
      <c r="P111" s="375">
        <f t="shared" si="17"/>
        <v>32000</v>
      </c>
      <c r="Q111" s="375">
        <f t="shared" si="15"/>
        <v>-20000</v>
      </c>
      <c r="R111" s="213"/>
      <c r="S111" s="213"/>
    </row>
    <row r="112" spans="1:19" s="74" customFormat="1" ht="12.6" customHeight="1" thickBot="1" x14ac:dyDescent="0.25">
      <c r="A112" s="74" t="s">
        <v>302</v>
      </c>
      <c r="B112" s="227" t="s">
        <v>131</v>
      </c>
      <c r="C112" s="790" t="s">
        <v>145</v>
      </c>
      <c r="D112" s="789" t="s">
        <v>111</v>
      </c>
      <c r="E112" s="789"/>
      <c r="F112" s="789"/>
      <c r="G112" s="792" t="s">
        <v>166</v>
      </c>
      <c r="H112" s="792" t="s">
        <v>813</v>
      </c>
      <c r="I112" s="846">
        <v>57000</v>
      </c>
      <c r="J112" s="847">
        <f>VLOOKUP(H112,'Datetel Jul 10, 2013'!A:F,6,0)</f>
        <v>57000</v>
      </c>
      <c r="K112" s="846">
        <f>VLOOKUP(H112,'Datetel Jul 10, 2013'!A:G,7,0)</f>
        <v>48445.01</v>
      </c>
      <c r="L112" s="846">
        <f>VLOOKUP(H112,'Datetel Jul 10, 2013'!A:I,8,0)</f>
        <v>1380.89</v>
      </c>
      <c r="M112" s="848">
        <f t="shared" si="24"/>
        <v>7174.0999999999976</v>
      </c>
      <c r="N112" s="846">
        <v>57000</v>
      </c>
      <c r="O112" s="846"/>
      <c r="P112" s="846">
        <f t="shared" si="17"/>
        <v>57000</v>
      </c>
      <c r="Q112" s="375">
        <f t="shared" si="15"/>
        <v>0</v>
      </c>
      <c r="R112" s="213"/>
      <c r="S112" s="213"/>
    </row>
    <row r="113" spans="1:19" s="74" customFormat="1" ht="12.6" customHeight="1" x14ac:dyDescent="0.2">
      <c r="A113" s="74" t="s">
        <v>302</v>
      </c>
      <c r="B113" s="851" t="s">
        <v>129</v>
      </c>
      <c r="C113" s="852" t="s">
        <v>145</v>
      </c>
      <c r="D113" s="229" t="s">
        <v>101</v>
      </c>
      <c r="E113" s="229"/>
      <c r="F113" s="229"/>
      <c r="G113" s="49" t="s">
        <v>290</v>
      </c>
      <c r="H113" s="49" t="s">
        <v>53</v>
      </c>
      <c r="I113" s="375">
        <v>22680</v>
      </c>
      <c r="J113" s="562"/>
      <c r="K113" s="375"/>
      <c r="L113" s="375"/>
      <c r="M113" s="375">
        <f t="shared" si="24"/>
        <v>0</v>
      </c>
      <c r="N113" s="375">
        <v>25500</v>
      </c>
      <c r="O113" s="375"/>
      <c r="P113" s="375">
        <f>N113</f>
        <v>25500</v>
      </c>
      <c r="Q113" s="375">
        <f t="shared" si="15"/>
        <v>2820</v>
      </c>
      <c r="R113" s="213"/>
      <c r="S113" s="213"/>
    </row>
    <row r="114" spans="1:19" s="74" customFormat="1" ht="12.6" customHeight="1" x14ac:dyDescent="0.2">
      <c r="A114" s="74" t="s">
        <v>302</v>
      </c>
      <c r="B114" s="855" t="s">
        <v>129</v>
      </c>
      <c r="C114" s="354" t="s">
        <v>145</v>
      </c>
      <c r="D114" s="229" t="s">
        <v>102</v>
      </c>
      <c r="E114" s="229"/>
      <c r="F114" s="229"/>
      <c r="G114" s="49" t="s">
        <v>163</v>
      </c>
      <c r="H114" s="49" t="s">
        <v>53</v>
      </c>
      <c r="I114" s="375">
        <v>18636</v>
      </c>
      <c r="J114" s="562"/>
      <c r="K114" s="375"/>
      <c r="L114" s="375"/>
      <c r="M114" s="615">
        <f t="shared" si="24"/>
        <v>0</v>
      </c>
      <c r="N114" s="375">
        <v>18636</v>
      </c>
      <c r="O114" s="375"/>
      <c r="P114" s="375">
        <f>N114</f>
        <v>18636</v>
      </c>
      <c r="Q114" s="375">
        <f t="shared" si="15"/>
        <v>0</v>
      </c>
      <c r="R114" s="213"/>
      <c r="S114" s="213"/>
    </row>
    <row r="115" spans="1:19" s="74" customFormat="1" ht="12.6" customHeight="1" x14ac:dyDescent="0.2">
      <c r="A115" s="74" t="s">
        <v>302</v>
      </c>
      <c r="B115" s="855" t="s">
        <v>129</v>
      </c>
      <c r="C115" s="354" t="s">
        <v>145</v>
      </c>
      <c r="D115" s="229" t="s">
        <v>963</v>
      </c>
      <c r="E115" s="229"/>
      <c r="F115" s="229"/>
      <c r="G115" s="49" t="s">
        <v>165</v>
      </c>
      <c r="H115" s="49" t="s">
        <v>53</v>
      </c>
      <c r="I115" s="375">
        <v>14732</v>
      </c>
      <c r="J115" s="562"/>
      <c r="K115" s="375"/>
      <c r="L115" s="375"/>
      <c r="M115" s="615">
        <f t="shared" si="24"/>
        <v>0</v>
      </c>
      <c r="N115" s="375">
        <v>19385</v>
      </c>
      <c r="O115" s="375"/>
      <c r="P115" s="375">
        <f>N115</f>
        <v>19385</v>
      </c>
      <c r="Q115" s="375">
        <f t="shared" si="15"/>
        <v>4653</v>
      </c>
      <c r="R115" s="213"/>
      <c r="S115" s="213"/>
    </row>
    <row r="116" spans="1:19" s="74" customFormat="1" ht="12.6" customHeight="1" x14ac:dyDescent="0.2">
      <c r="A116" s="74" t="s">
        <v>302</v>
      </c>
      <c r="B116" s="855" t="s">
        <v>129</v>
      </c>
      <c r="C116" s="354" t="s">
        <v>145</v>
      </c>
      <c r="D116" s="229" t="s">
        <v>964</v>
      </c>
      <c r="E116" s="229"/>
      <c r="F116" s="229"/>
      <c r="G116" s="49" t="s">
        <v>155</v>
      </c>
      <c r="H116" s="49" t="s">
        <v>53</v>
      </c>
      <c r="I116" s="375">
        <v>4090</v>
      </c>
      <c r="J116" s="562"/>
      <c r="K116" s="375"/>
      <c r="L116" s="375"/>
      <c r="M116" s="615">
        <f t="shared" si="24"/>
        <v>0</v>
      </c>
      <c r="N116" s="375">
        <v>8805</v>
      </c>
      <c r="O116" s="375"/>
      <c r="P116" s="375">
        <f>N116</f>
        <v>8805</v>
      </c>
      <c r="Q116" s="375">
        <f t="shared" si="15"/>
        <v>4715</v>
      </c>
      <c r="R116" s="213"/>
      <c r="S116" s="213"/>
    </row>
    <row r="117" spans="1:19" s="74" customFormat="1" ht="12.6" customHeight="1" x14ac:dyDescent="0.2">
      <c r="A117" s="74" t="s">
        <v>302</v>
      </c>
      <c r="B117" s="855" t="s">
        <v>129</v>
      </c>
      <c r="C117" s="354" t="s">
        <v>145</v>
      </c>
      <c r="D117" s="229" t="s">
        <v>105</v>
      </c>
      <c r="E117" s="229"/>
      <c r="F117" s="229"/>
      <c r="G117" s="49" t="s">
        <v>155</v>
      </c>
      <c r="H117" s="49" t="s">
        <v>53</v>
      </c>
      <c r="I117" s="375">
        <v>2000</v>
      </c>
      <c r="J117" s="562"/>
      <c r="K117" s="375"/>
      <c r="L117" s="375"/>
      <c r="M117" s="615">
        <f t="shared" si="24"/>
        <v>0</v>
      </c>
      <c r="N117" s="375">
        <v>0</v>
      </c>
      <c r="O117" s="375"/>
      <c r="P117" s="375">
        <f t="shared" ref="P117:P119" si="25">N117</f>
        <v>0</v>
      </c>
      <c r="Q117" s="375">
        <f t="shared" si="15"/>
        <v>-2000</v>
      </c>
      <c r="R117" s="213"/>
      <c r="S117" s="213"/>
    </row>
    <row r="118" spans="1:19" s="74" customFormat="1" ht="12.6" customHeight="1" x14ac:dyDescent="0.2">
      <c r="A118" s="74" t="s">
        <v>302</v>
      </c>
      <c r="B118" s="855" t="s">
        <v>129</v>
      </c>
      <c r="C118" s="354" t="s">
        <v>145</v>
      </c>
      <c r="D118" s="229" t="s">
        <v>106</v>
      </c>
      <c r="E118" s="229"/>
      <c r="F118" s="229"/>
      <c r="G118" s="49" t="s">
        <v>155</v>
      </c>
      <c r="H118" s="49" t="s">
        <v>53</v>
      </c>
      <c r="I118" s="375">
        <v>300</v>
      </c>
      <c r="J118" s="562"/>
      <c r="K118" s="375"/>
      <c r="L118" s="375"/>
      <c r="M118" s="615">
        <f t="shared" si="24"/>
        <v>0</v>
      </c>
      <c r="N118" s="375">
        <v>0</v>
      </c>
      <c r="O118" s="375"/>
      <c r="P118" s="375">
        <f t="shared" si="25"/>
        <v>0</v>
      </c>
      <c r="Q118" s="375">
        <f t="shared" si="15"/>
        <v>-300</v>
      </c>
      <c r="R118" s="213"/>
      <c r="S118" s="213"/>
    </row>
    <row r="119" spans="1:19" s="74" customFormat="1" ht="12.6" customHeight="1" x14ac:dyDescent="0.2">
      <c r="A119" s="74" t="s">
        <v>302</v>
      </c>
      <c r="B119" s="855" t="s">
        <v>129</v>
      </c>
      <c r="C119" s="354" t="s">
        <v>145</v>
      </c>
      <c r="D119" s="229" t="s">
        <v>285</v>
      </c>
      <c r="E119" s="229"/>
      <c r="F119" s="229"/>
      <c r="G119" s="49" t="s">
        <v>155</v>
      </c>
      <c r="H119" s="49" t="s">
        <v>53</v>
      </c>
      <c r="I119" s="375">
        <v>250000</v>
      </c>
      <c r="J119" s="562"/>
      <c r="K119" s="375"/>
      <c r="L119" s="375"/>
      <c r="M119" s="615">
        <f t="shared" si="24"/>
        <v>0</v>
      </c>
      <c r="N119" s="375">
        <v>250000</v>
      </c>
      <c r="O119" s="375"/>
      <c r="P119" s="375">
        <f t="shared" si="25"/>
        <v>250000</v>
      </c>
      <c r="Q119" s="375">
        <f t="shared" si="15"/>
        <v>0</v>
      </c>
      <c r="R119" s="213"/>
      <c r="S119" s="213"/>
    </row>
    <row r="120" spans="1:19" s="74" customFormat="1" ht="12.6" customHeight="1" x14ac:dyDescent="0.2">
      <c r="A120" s="74" t="s">
        <v>302</v>
      </c>
      <c r="B120" s="855" t="s">
        <v>129</v>
      </c>
      <c r="C120" s="354"/>
      <c r="D120" s="229" t="s">
        <v>1052</v>
      </c>
      <c r="E120" s="229"/>
      <c r="F120" s="229" t="s">
        <v>1059</v>
      </c>
      <c r="G120" s="49" t="s">
        <v>155</v>
      </c>
      <c r="H120" s="49" t="s">
        <v>53</v>
      </c>
      <c r="I120" s="375">
        <v>0</v>
      </c>
      <c r="J120" s="562"/>
      <c r="K120" s="375"/>
      <c r="L120" s="375"/>
      <c r="M120" s="615"/>
      <c r="N120" s="375">
        <v>0</v>
      </c>
      <c r="O120" s="375">
        <v>70000</v>
      </c>
      <c r="P120" s="375">
        <f>O120</f>
        <v>70000</v>
      </c>
      <c r="Q120" s="375">
        <f t="shared" si="15"/>
        <v>70000</v>
      </c>
      <c r="R120" s="213"/>
      <c r="S120" s="213"/>
    </row>
    <row r="121" spans="1:19" s="74" customFormat="1" ht="12.6" customHeight="1" x14ac:dyDescent="0.2">
      <c r="A121" s="74" t="s">
        <v>302</v>
      </c>
      <c r="B121" s="855" t="s">
        <v>129</v>
      </c>
      <c r="C121" s="354" t="s">
        <v>145</v>
      </c>
      <c r="D121" s="229" t="s">
        <v>107</v>
      </c>
      <c r="E121" s="229"/>
      <c r="F121" s="229"/>
      <c r="G121" s="49" t="s">
        <v>155</v>
      </c>
      <c r="H121" s="49" t="s">
        <v>53</v>
      </c>
      <c r="I121" s="375">
        <v>2640</v>
      </c>
      <c r="J121" s="562"/>
      <c r="K121" s="375"/>
      <c r="L121" s="375"/>
      <c r="M121" s="615">
        <f t="shared" si="24"/>
        <v>0</v>
      </c>
      <c r="N121" s="375">
        <v>3010</v>
      </c>
      <c r="O121" s="375"/>
      <c r="P121" s="375">
        <f>N121</f>
        <v>3010</v>
      </c>
      <c r="Q121" s="375">
        <f t="shared" si="15"/>
        <v>370</v>
      </c>
      <c r="R121" s="213"/>
      <c r="S121" s="213"/>
    </row>
    <row r="122" spans="1:19" s="74" customFormat="1" ht="12.6" customHeight="1" x14ac:dyDescent="0.2">
      <c r="A122" s="74" t="s">
        <v>302</v>
      </c>
      <c r="B122" s="855" t="s">
        <v>129</v>
      </c>
      <c r="C122" s="354" t="s">
        <v>145</v>
      </c>
      <c r="D122" s="229" t="s">
        <v>108</v>
      </c>
      <c r="E122" s="229"/>
      <c r="F122" s="229"/>
      <c r="G122" s="49" t="s">
        <v>163</v>
      </c>
      <c r="H122" s="49" t="s">
        <v>53</v>
      </c>
      <c r="I122" s="375">
        <v>4152</v>
      </c>
      <c r="J122" s="562"/>
      <c r="K122" s="375"/>
      <c r="L122" s="375"/>
      <c r="M122" s="615">
        <f t="shared" si="24"/>
        <v>0</v>
      </c>
      <c r="N122" s="375">
        <v>4152</v>
      </c>
      <c r="O122" s="375"/>
      <c r="P122" s="375">
        <f t="shared" ref="P122:P129" si="26">N122</f>
        <v>4152</v>
      </c>
      <c r="Q122" s="375">
        <f t="shared" si="15"/>
        <v>0</v>
      </c>
      <c r="R122" s="213"/>
      <c r="S122" s="213"/>
    </row>
    <row r="123" spans="1:19" s="74" customFormat="1" ht="12.6" customHeight="1" x14ac:dyDescent="0.2">
      <c r="A123" s="74" t="s">
        <v>302</v>
      </c>
      <c r="B123" s="855" t="s">
        <v>129</v>
      </c>
      <c r="C123" s="354" t="s">
        <v>145</v>
      </c>
      <c r="D123" s="229" t="s">
        <v>968</v>
      </c>
      <c r="E123" s="229"/>
      <c r="F123" s="229"/>
      <c r="G123" s="49" t="s">
        <v>165</v>
      </c>
      <c r="H123" s="49" t="s">
        <v>53</v>
      </c>
      <c r="I123" s="375">
        <v>2640</v>
      </c>
      <c r="J123" s="562"/>
      <c r="K123" s="375"/>
      <c r="L123" s="375"/>
      <c r="M123" s="615">
        <f t="shared" si="24"/>
        <v>0</v>
      </c>
      <c r="N123" s="375">
        <v>5518</v>
      </c>
      <c r="O123" s="375"/>
      <c r="P123" s="375">
        <f t="shared" si="26"/>
        <v>5518</v>
      </c>
      <c r="Q123" s="375">
        <f t="shared" si="15"/>
        <v>2878</v>
      </c>
      <c r="R123" s="213"/>
      <c r="S123" s="213"/>
    </row>
    <row r="124" spans="1:19" s="74" customFormat="1" ht="12.6" customHeight="1" x14ac:dyDescent="0.2">
      <c r="A124" s="74" t="s">
        <v>302</v>
      </c>
      <c r="B124" s="855" t="s">
        <v>129</v>
      </c>
      <c r="C124" s="354" t="s">
        <v>145</v>
      </c>
      <c r="D124" s="229" t="s">
        <v>970</v>
      </c>
      <c r="E124" s="229"/>
      <c r="F124" s="229"/>
      <c r="G124" s="49" t="s">
        <v>165</v>
      </c>
      <c r="H124" s="49" t="s">
        <v>53</v>
      </c>
      <c r="I124" s="375">
        <v>3120</v>
      </c>
      <c r="J124" s="562"/>
      <c r="K124" s="375"/>
      <c r="L124" s="375"/>
      <c r="M124" s="615">
        <f t="shared" si="24"/>
        <v>0</v>
      </c>
      <c r="N124" s="375">
        <v>3375</v>
      </c>
      <c r="O124" s="375"/>
      <c r="P124" s="375">
        <f t="shared" si="26"/>
        <v>3375</v>
      </c>
      <c r="Q124" s="375">
        <f t="shared" si="15"/>
        <v>255</v>
      </c>
      <c r="R124" s="213"/>
      <c r="S124" s="213"/>
    </row>
    <row r="125" spans="1:19" s="74" customFormat="1" ht="12.6" customHeight="1" x14ac:dyDescent="0.2">
      <c r="A125" s="74" t="s">
        <v>302</v>
      </c>
      <c r="B125" s="855" t="s">
        <v>129</v>
      </c>
      <c r="C125" s="354" t="s">
        <v>145</v>
      </c>
      <c r="D125" s="229" t="s">
        <v>971</v>
      </c>
      <c r="E125" s="229"/>
      <c r="F125" s="229"/>
      <c r="G125" s="49" t="s">
        <v>164</v>
      </c>
      <c r="H125" s="49" t="s">
        <v>53</v>
      </c>
      <c r="I125" s="375">
        <v>35893</v>
      </c>
      <c r="J125" s="562"/>
      <c r="K125" s="375"/>
      <c r="L125" s="375"/>
      <c r="M125" s="615">
        <f t="shared" si="24"/>
        <v>0</v>
      </c>
      <c r="N125" s="375">
        <v>51768</v>
      </c>
      <c r="O125" s="375"/>
      <c r="P125" s="375">
        <f t="shared" si="26"/>
        <v>51768</v>
      </c>
      <c r="Q125" s="375">
        <f t="shared" si="15"/>
        <v>15875</v>
      </c>
      <c r="R125" s="213"/>
      <c r="S125" s="213"/>
    </row>
    <row r="126" spans="1:19" s="74" customFormat="1" ht="12.6" customHeight="1" x14ac:dyDescent="0.2">
      <c r="A126" s="74" t="s">
        <v>302</v>
      </c>
      <c r="B126" s="855" t="s">
        <v>129</v>
      </c>
      <c r="C126" s="354" t="s">
        <v>145</v>
      </c>
      <c r="D126" s="229" t="s">
        <v>973</v>
      </c>
      <c r="E126" s="229"/>
      <c r="F126" s="229"/>
      <c r="G126" s="49" t="s">
        <v>164</v>
      </c>
      <c r="H126" s="49" t="s">
        <v>53</v>
      </c>
      <c r="I126" s="375">
        <v>12890</v>
      </c>
      <c r="J126" s="562"/>
      <c r="K126" s="375"/>
      <c r="L126" s="375"/>
      <c r="M126" s="615">
        <f t="shared" si="24"/>
        <v>0</v>
      </c>
      <c r="N126" s="375">
        <v>44730</v>
      </c>
      <c r="O126" s="375"/>
      <c r="P126" s="375">
        <f t="shared" si="26"/>
        <v>44730</v>
      </c>
      <c r="Q126" s="375">
        <f t="shared" si="15"/>
        <v>31840</v>
      </c>
      <c r="R126" s="213"/>
      <c r="S126" s="213"/>
    </row>
    <row r="127" spans="1:19" s="74" customFormat="1" ht="12.6" customHeight="1" x14ac:dyDescent="0.2">
      <c r="A127" s="74" t="s">
        <v>302</v>
      </c>
      <c r="B127" s="890" t="s">
        <v>129</v>
      </c>
      <c r="C127" s="790" t="s">
        <v>145</v>
      </c>
      <c r="D127" s="229" t="s">
        <v>975</v>
      </c>
      <c r="E127" s="229"/>
      <c r="F127" s="229"/>
      <c r="G127" s="49" t="s">
        <v>165</v>
      </c>
      <c r="H127" s="49" t="s">
        <v>53</v>
      </c>
      <c r="I127" s="375">
        <v>6300</v>
      </c>
      <c r="J127" s="562"/>
      <c r="K127" s="375"/>
      <c r="L127" s="375"/>
      <c r="M127" s="615">
        <v>0</v>
      </c>
      <c r="N127" s="375">
        <v>10874</v>
      </c>
      <c r="O127" s="375"/>
      <c r="P127" s="375">
        <f t="shared" si="26"/>
        <v>10874</v>
      </c>
      <c r="Q127" s="375">
        <f t="shared" si="15"/>
        <v>4574</v>
      </c>
      <c r="R127" s="213"/>
      <c r="S127" s="213"/>
    </row>
    <row r="128" spans="1:19" s="74" customFormat="1" ht="12.6" customHeight="1" x14ac:dyDescent="0.2">
      <c r="A128" s="74" t="s">
        <v>302</v>
      </c>
      <c r="B128" s="890" t="s">
        <v>129</v>
      </c>
      <c r="C128" s="790"/>
      <c r="D128" s="229" t="s">
        <v>976</v>
      </c>
      <c r="E128" s="229"/>
      <c r="F128" s="229"/>
      <c r="G128" s="49" t="s">
        <v>165</v>
      </c>
      <c r="H128" s="49" t="s">
        <v>53</v>
      </c>
      <c r="I128" s="375">
        <v>0</v>
      </c>
      <c r="J128" s="562"/>
      <c r="K128" s="375"/>
      <c r="L128" s="375"/>
      <c r="M128" s="615">
        <v>0</v>
      </c>
      <c r="N128" s="375">
        <v>24215</v>
      </c>
      <c r="O128" s="375"/>
      <c r="P128" s="375">
        <f t="shared" si="26"/>
        <v>24215</v>
      </c>
      <c r="Q128" s="375">
        <f t="shared" si="15"/>
        <v>24215</v>
      </c>
      <c r="R128" s="213"/>
      <c r="S128" s="213"/>
    </row>
    <row r="129" spans="1:19" s="74" customFormat="1" ht="12.6" customHeight="1" x14ac:dyDescent="0.2">
      <c r="A129" s="74" t="s">
        <v>302</v>
      </c>
      <c r="B129" s="890" t="s">
        <v>129</v>
      </c>
      <c r="C129" s="790" t="s">
        <v>145</v>
      </c>
      <c r="D129" s="229" t="s">
        <v>977</v>
      </c>
      <c r="E129" s="229"/>
      <c r="F129" s="229"/>
      <c r="G129" s="49" t="s">
        <v>155</v>
      </c>
      <c r="H129" s="49" t="s">
        <v>53</v>
      </c>
      <c r="I129" s="375">
        <v>0</v>
      </c>
      <c r="J129" s="562"/>
      <c r="K129" s="375"/>
      <c r="L129" s="375"/>
      <c r="M129" s="615">
        <v>0</v>
      </c>
      <c r="N129" s="375">
        <v>16716</v>
      </c>
      <c r="O129" s="375"/>
      <c r="P129" s="375">
        <f t="shared" si="26"/>
        <v>16716</v>
      </c>
      <c r="Q129" s="375">
        <f t="shared" si="15"/>
        <v>16716</v>
      </c>
      <c r="R129" s="213"/>
      <c r="S129" s="213"/>
    </row>
    <row r="130" spans="1:19" s="74" customFormat="1" ht="12.6" customHeight="1" thickBot="1" x14ac:dyDescent="0.25">
      <c r="A130" s="74" t="s">
        <v>302</v>
      </c>
      <c r="B130" s="857" t="s">
        <v>129</v>
      </c>
      <c r="C130" s="858" t="s">
        <v>145</v>
      </c>
      <c r="D130" s="859"/>
      <c r="E130" s="859"/>
      <c r="F130" s="911" t="s">
        <v>993</v>
      </c>
      <c r="G130" s="912" t="s">
        <v>155</v>
      </c>
      <c r="H130" s="912" t="s">
        <v>53</v>
      </c>
      <c r="I130" s="913">
        <f>SUM(I113:I129)</f>
        <v>380073</v>
      </c>
      <c r="J130" s="914">
        <f>VLOOKUP(H130,'Datetel Jul 10, 2013'!A:F,6,0)</f>
        <v>380073</v>
      </c>
      <c r="K130" s="913">
        <f>VLOOKUP(H130,'Datetel Jul 10, 2013'!A:G,7,0)</f>
        <v>337296.03</v>
      </c>
      <c r="L130" s="913">
        <f>VLOOKUP(H130,'Datetel Jul 10, 2013'!A:I,8,0)</f>
        <v>42179.05</v>
      </c>
      <c r="M130" s="915">
        <f t="shared" ref="M130" si="27">J130-K130-L130</f>
        <v>597.91999999996915</v>
      </c>
      <c r="N130" s="948">
        <f>SUM(N113:N129)</f>
        <v>486684</v>
      </c>
      <c r="O130" s="948">
        <f>SUM(O113:O129)</f>
        <v>70000</v>
      </c>
      <c r="P130" s="949">
        <f>N130+O130</f>
        <v>556684</v>
      </c>
      <c r="Q130" s="375">
        <f t="shared" si="15"/>
        <v>176611</v>
      </c>
      <c r="R130" s="213"/>
      <c r="S130" s="213"/>
    </row>
    <row r="131" spans="1:19" s="74" customFormat="1" ht="12.6" customHeight="1" x14ac:dyDescent="0.2">
      <c r="A131" s="74" t="s">
        <v>302</v>
      </c>
      <c r="B131" s="384" t="s">
        <v>128</v>
      </c>
      <c r="C131" s="627"/>
      <c r="D131" s="849" t="s">
        <v>339</v>
      </c>
      <c r="E131" s="384"/>
      <c r="F131" s="229" t="s">
        <v>753</v>
      </c>
      <c r="G131" s="388" t="s">
        <v>163</v>
      </c>
      <c r="H131" s="23" t="s">
        <v>986</v>
      </c>
      <c r="I131" s="382">
        <v>32983</v>
      </c>
      <c r="J131" s="868">
        <f>VLOOKUP(H131,'Datetel Jul 10, 2013'!A:F,6,0)</f>
        <v>32983</v>
      </c>
      <c r="K131" s="780">
        <f>VLOOKUP(H131,'Datetel Jul 10, 2013'!A:G,7,0)</f>
        <v>25552.560000000001</v>
      </c>
      <c r="L131" s="780">
        <f>VLOOKUP(H131,'Datetel Jul 10, 2013'!A:I,8,0)</f>
        <v>0</v>
      </c>
      <c r="M131" s="903">
        <f t="shared" si="24"/>
        <v>7430.4399999999987</v>
      </c>
      <c r="N131" s="382">
        <v>32983</v>
      </c>
      <c r="O131" s="375">
        <v>-7029</v>
      </c>
      <c r="P131" s="382">
        <f t="shared" ref="P131:P133" si="28">N131+O131</f>
        <v>25954</v>
      </c>
      <c r="Q131" s="375">
        <f t="shared" si="15"/>
        <v>-7029</v>
      </c>
      <c r="R131" s="213"/>
      <c r="S131" s="213"/>
    </row>
    <row r="132" spans="1:19" s="74" customFormat="1" ht="12.6" customHeight="1" x14ac:dyDescent="0.2">
      <c r="A132" s="74" t="s">
        <v>302</v>
      </c>
      <c r="B132" s="278" t="s">
        <v>128</v>
      </c>
      <c r="C132" s="354"/>
      <c r="D132" s="357" t="s">
        <v>338</v>
      </c>
      <c r="E132" s="229"/>
      <c r="F132" s="229" t="s">
        <v>753</v>
      </c>
      <c r="G132" s="49" t="s">
        <v>163</v>
      </c>
      <c r="H132" s="23" t="s">
        <v>336</v>
      </c>
      <c r="I132" s="375">
        <v>32983</v>
      </c>
      <c r="J132" s="783">
        <f>VLOOKUP(H132,'Datetel Jul 10, 2013'!A:F,6,0)</f>
        <v>32983</v>
      </c>
      <c r="K132" s="375">
        <f>VLOOKUP(H132,'Datetel Jul 10, 2013'!A:G,7,0)</f>
        <v>25552.53</v>
      </c>
      <c r="L132" s="375">
        <f>VLOOKUP(H132,'Datetel Jul 10, 2013'!A:I,8,0)</f>
        <v>0</v>
      </c>
      <c r="M132" s="615">
        <f t="shared" si="24"/>
        <v>7430.4700000000012</v>
      </c>
      <c r="N132" s="375">
        <v>32983</v>
      </c>
      <c r="O132" s="375">
        <v>-7029</v>
      </c>
      <c r="P132" s="375">
        <f t="shared" si="28"/>
        <v>25954</v>
      </c>
      <c r="Q132" s="375">
        <f t="shared" si="15"/>
        <v>-7029</v>
      </c>
      <c r="R132" s="213"/>
      <c r="S132" s="213"/>
    </row>
    <row r="133" spans="1:19" s="74" customFormat="1" ht="12.6" customHeight="1" thickBot="1" x14ac:dyDescent="0.25">
      <c r="A133" s="74" t="s">
        <v>302</v>
      </c>
      <c r="B133" s="229" t="s">
        <v>130</v>
      </c>
      <c r="C133" s="354"/>
      <c r="D133" s="357" t="s">
        <v>325</v>
      </c>
      <c r="E133" s="229"/>
      <c r="F133" s="229"/>
      <c r="G133" s="49" t="s">
        <v>165</v>
      </c>
      <c r="H133" s="16" t="s">
        <v>326</v>
      </c>
      <c r="I133" s="375">
        <v>20000</v>
      </c>
      <c r="J133" s="783">
        <f>VLOOKUP(H133,'Datetel Jul 10, 2013'!A:F,6,0)</f>
        <v>17941</v>
      </c>
      <c r="K133" s="375">
        <f>VLOOKUP(H133,'Datetel Jul 10, 2013'!A:G,7,0)</f>
        <v>17940.150000000001</v>
      </c>
      <c r="L133" s="375">
        <f>VLOOKUP(H133,'Datetel Jul 10, 2013'!A:I,8,0)</f>
        <v>0</v>
      </c>
      <c r="M133" s="615">
        <f t="shared" si="24"/>
        <v>0.84999999999854481</v>
      </c>
      <c r="N133" s="377">
        <v>20000</v>
      </c>
      <c r="O133" s="375"/>
      <c r="P133" s="375">
        <f t="shared" si="28"/>
        <v>20000</v>
      </c>
      <c r="Q133" s="375">
        <f t="shared" si="15"/>
        <v>0</v>
      </c>
      <c r="R133" s="213"/>
      <c r="S133" s="213"/>
    </row>
    <row r="134" spans="1:19" s="673" customFormat="1" ht="12.6" customHeight="1" thickBot="1" x14ac:dyDescent="0.25">
      <c r="B134" s="120"/>
      <c r="C134" s="121"/>
      <c r="D134" s="122"/>
      <c r="E134" s="122"/>
      <c r="F134" s="122"/>
      <c r="G134" s="122"/>
      <c r="H134" s="169" t="s">
        <v>133</v>
      </c>
      <c r="I134" s="621">
        <f t="shared" ref="I134:P134" si="29">SUM(I73:I76,I82,I88,I89:I93,I98,I99:I112,I130:I133)</f>
        <v>13919544.5</v>
      </c>
      <c r="J134" s="621">
        <f t="shared" si="29"/>
        <v>13744786</v>
      </c>
      <c r="K134" s="621">
        <f t="shared" si="29"/>
        <v>13447139.309999997</v>
      </c>
      <c r="L134" s="621">
        <f t="shared" si="29"/>
        <v>93449.600000000006</v>
      </c>
      <c r="M134" s="621">
        <f t="shared" si="29"/>
        <v>204197.09000000014</v>
      </c>
      <c r="N134" s="621">
        <f t="shared" si="29"/>
        <v>13941130.9</v>
      </c>
      <c r="O134" s="621">
        <f t="shared" si="29"/>
        <v>44977.599999999977</v>
      </c>
      <c r="P134" s="621">
        <f t="shared" si="29"/>
        <v>13986108.5</v>
      </c>
      <c r="Q134" s="621">
        <f t="shared" ref="Q134" si="30">SUM(Q73:Q76,Q82,Q88,Q89:Q93,Q98,Q99:Q112,Q130:Q133)</f>
        <v>66564</v>
      </c>
      <c r="R134" s="213"/>
      <c r="S134" s="213"/>
    </row>
    <row r="135" spans="1:19" s="673" customFormat="1" ht="12.6" customHeight="1" x14ac:dyDescent="0.2">
      <c r="B135" s="127"/>
      <c r="C135" s="731"/>
      <c r="D135" s="127"/>
      <c r="E135" s="127"/>
      <c r="F135" s="127"/>
      <c r="G135" s="127"/>
      <c r="H135" s="127"/>
      <c r="I135" s="131"/>
      <c r="J135" s="732"/>
      <c r="K135" s="732"/>
      <c r="L135" s="732"/>
      <c r="M135" s="600">
        <f>SUM(I134,L134)</f>
        <v>14012994.1</v>
      </c>
      <c r="N135" s="945"/>
      <c r="O135" s="945"/>
      <c r="P135" s="945"/>
      <c r="Q135" s="945"/>
      <c r="R135" s="213"/>
    </row>
    <row r="136" spans="1:19" s="153" customFormat="1" ht="12.6" customHeight="1" thickBot="1" x14ac:dyDescent="0.25">
      <c r="B136" s="950" t="s">
        <v>67</v>
      </c>
      <c r="D136" s="950" t="s">
        <v>67</v>
      </c>
      <c r="E136" s="129"/>
      <c r="F136" s="129"/>
      <c r="G136" s="129"/>
      <c r="H136" s="129"/>
      <c r="I136" s="361"/>
      <c r="J136" s="579"/>
      <c r="K136" s="951"/>
      <c r="L136" s="951"/>
      <c r="M136" s="600"/>
      <c r="N136" s="579"/>
      <c r="O136" s="579"/>
      <c r="P136" s="579"/>
      <c r="Q136" s="579"/>
      <c r="R136" s="213"/>
    </row>
    <row r="137" spans="1:19" ht="12.6" customHeight="1" x14ac:dyDescent="0.2">
      <c r="A137" s="74"/>
      <c r="B137" s="937" t="s">
        <v>118</v>
      </c>
      <c r="C137" s="80"/>
      <c r="D137" s="80"/>
      <c r="E137" s="80"/>
      <c r="F137" s="80"/>
      <c r="G137" s="80"/>
      <c r="H137" s="80"/>
      <c r="I137" s="938">
        <v>0.92307692307692313</v>
      </c>
      <c r="J137" s="938">
        <v>0.92307692307692313</v>
      </c>
      <c r="K137" s="939" t="s">
        <v>123</v>
      </c>
      <c r="L137" s="940"/>
      <c r="M137" s="729" t="s">
        <v>124</v>
      </c>
      <c r="N137" s="938" t="s">
        <v>958</v>
      </c>
      <c r="O137" s="796" t="s">
        <v>121</v>
      </c>
      <c r="P137" s="938" t="s">
        <v>958</v>
      </c>
      <c r="Q137" s="938" t="s">
        <v>958</v>
      </c>
      <c r="R137" s="213"/>
    </row>
    <row r="138" spans="1:19" s="74" customFormat="1" ht="12.6" customHeight="1" thickBot="1" x14ac:dyDescent="0.25">
      <c r="B138" s="87" t="s">
        <v>148</v>
      </c>
      <c r="C138" s="88" t="s">
        <v>125</v>
      </c>
      <c r="D138" s="88" t="s">
        <v>61</v>
      </c>
      <c r="E138" s="88"/>
      <c r="F138" s="88" t="s">
        <v>147</v>
      </c>
      <c r="G138" s="88" t="s">
        <v>149</v>
      </c>
      <c r="H138" s="88" t="s">
        <v>62</v>
      </c>
      <c r="I138" s="740" t="s">
        <v>120</v>
      </c>
      <c r="J138" s="610" t="s">
        <v>272</v>
      </c>
      <c r="K138" s="865" t="s">
        <v>1051</v>
      </c>
      <c r="L138" s="92" t="s">
        <v>119</v>
      </c>
      <c r="M138" s="88" t="s">
        <v>118</v>
      </c>
      <c r="N138" s="740" t="s">
        <v>959</v>
      </c>
      <c r="O138" s="88" t="s">
        <v>122</v>
      </c>
      <c r="P138" s="740" t="s">
        <v>1018</v>
      </c>
      <c r="Q138" s="740" t="s">
        <v>1018</v>
      </c>
      <c r="R138" s="213"/>
    </row>
    <row r="139" spans="1:19" s="74" customFormat="1" ht="12.6" customHeight="1" x14ac:dyDescent="0.2">
      <c r="A139" s="74" t="s">
        <v>303</v>
      </c>
      <c r="B139" s="283" t="s">
        <v>3</v>
      </c>
      <c r="C139" s="284" t="s">
        <v>161</v>
      </c>
      <c r="D139" s="283" t="s">
        <v>69</v>
      </c>
      <c r="E139" s="229"/>
      <c r="F139" s="6"/>
      <c r="G139" s="5" t="s">
        <v>268</v>
      </c>
      <c r="H139" s="32" t="s">
        <v>2</v>
      </c>
      <c r="I139" s="375">
        <v>16000</v>
      </c>
      <c r="J139" s="783">
        <f>VLOOKUP(H139,'Datetel Jul 10, 2013'!A:F,6,0)</f>
        <v>16000</v>
      </c>
      <c r="K139" s="375">
        <f>VLOOKUP(H139,'Datetel Jul 10, 2013'!A:G,7,0)</f>
        <v>9800</v>
      </c>
      <c r="L139" s="375">
        <f>VLOOKUP(H139,'Datetel Jul 10, 2013'!A:I,8,0)</f>
        <v>6200</v>
      </c>
      <c r="M139" s="615">
        <f t="shared" ref="M139:M169" si="31">J139-K139-L139</f>
        <v>0</v>
      </c>
      <c r="N139" s="375">
        <v>16000</v>
      </c>
      <c r="O139" s="375"/>
      <c r="P139" s="375">
        <f t="shared" ref="P139:P169" si="32">N139+O139</f>
        <v>16000</v>
      </c>
      <c r="Q139" s="375">
        <f t="shared" ref="Q139:Q169" si="33">P139-I139</f>
        <v>0</v>
      </c>
      <c r="R139" s="213"/>
    </row>
    <row r="140" spans="1:19" s="74" customFormat="1" ht="12.6" customHeight="1" x14ac:dyDescent="0.2">
      <c r="A140" s="74" t="s">
        <v>303</v>
      </c>
      <c r="B140" s="283" t="s">
        <v>3</v>
      </c>
      <c r="C140" s="367"/>
      <c r="D140" s="256" t="s">
        <v>353</v>
      </c>
      <c r="E140" s="256"/>
      <c r="F140" s="256"/>
      <c r="G140" s="45" t="s">
        <v>176</v>
      </c>
      <c r="H140" s="45" t="s">
        <v>328</v>
      </c>
      <c r="I140" s="375">
        <v>864</v>
      </c>
      <c r="J140" s="783">
        <f>VLOOKUP(H140,'Datetel Jul 10, 2013'!A:F,6,0)</f>
        <v>864</v>
      </c>
      <c r="K140" s="375">
        <f>VLOOKUP(H140,'Datetel Jul 10, 2013'!A:G,7,0)</f>
        <v>698.75</v>
      </c>
      <c r="L140" s="375">
        <f>VLOOKUP(H140,'Datetel Jul 10, 2013'!A:I,8,0)</f>
        <v>0</v>
      </c>
      <c r="M140" s="615">
        <f t="shared" si="31"/>
        <v>165.25</v>
      </c>
      <c r="N140" s="375">
        <v>864</v>
      </c>
      <c r="O140" s="375"/>
      <c r="P140" s="375">
        <f t="shared" si="32"/>
        <v>864</v>
      </c>
      <c r="Q140" s="375">
        <f t="shared" si="33"/>
        <v>0</v>
      </c>
      <c r="R140" s="213"/>
    </row>
    <row r="141" spans="1:19" s="74" customFormat="1" ht="12.6" customHeight="1" x14ac:dyDescent="0.2">
      <c r="A141" s="74" t="s">
        <v>303</v>
      </c>
      <c r="B141" s="229" t="s">
        <v>128</v>
      </c>
      <c r="C141" s="251" t="s">
        <v>160</v>
      </c>
      <c r="D141" s="229" t="s">
        <v>70</v>
      </c>
      <c r="E141" s="229"/>
      <c r="F141" s="229"/>
      <c r="G141" s="49" t="s">
        <v>153</v>
      </c>
      <c r="H141" s="49" t="s">
        <v>17</v>
      </c>
      <c r="I141" s="375">
        <v>5106</v>
      </c>
      <c r="J141" s="783">
        <v>5106</v>
      </c>
      <c r="K141" s="375">
        <f>124162.92-K142</f>
        <v>4963.9199999999983</v>
      </c>
      <c r="L141" s="375">
        <f>VLOOKUP(H141,'Datetel Jul 10, 2013'!A:I,8,0)</f>
        <v>0</v>
      </c>
      <c r="M141" s="615">
        <f t="shared" si="31"/>
        <v>142.08000000000175</v>
      </c>
      <c r="N141" s="375">
        <v>5106</v>
      </c>
      <c r="O141" s="375"/>
      <c r="P141" s="375">
        <f t="shared" si="32"/>
        <v>5106</v>
      </c>
      <c r="Q141" s="375">
        <f t="shared" si="33"/>
        <v>0</v>
      </c>
      <c r="R141" s="213"/>
    </row>
    <row r="142" spans="1:19" s="74" customFormat="1" ht="12.6" customHeight="1" x14ac:dyDescent="0.2">
      <c r="A142" s="74" t="s">
        <v>303</v>
      </c>
      <c r="B142" s="229" t="s">
        <v>128</v>
      </c>
      <c r="C142" s="251" t="s">
        <v>160</v>
      </c>
      <c r="D142" s="229" t="s">
        <v>71</v>
      </c>
      <c r="E142" s="229"/>
      <c r="F142" s="229"/>
      <c r="G142" s="49" t="s">
        <v>153</v>
      </c>
      <c r="H142" s="49" t="s">
        <v>17</v>
      </c>
      <c r="I142" s="375">
        <v>119199</v>
      </c>
      <c r="J142" s="783">
        <v>119199</v>
      </c>
      <c r="K142" s="375">
        <v>119199</v>
      </c>
      <c r="L142" s="375"/>
      <c r="M142" s="615">
        <f t="shared" si="31"/>
        <v>0</v>
      </c>
      <c r="N142" s="375">
        <v>204199</v>
      </c>
      <c r="O142" s="375"/>
      <c r="P142" s="375">
        <f t="shared" si="32"/>
        <v>204199</v>
      </c>
      <c r="Q142" s="375">
        <f t="shared" si="33"/>
        <v>85000</v>
      </c>
      <c r="R142" s="213"/>
    </row>
    <row r="143" spans="1:19" s="74" customFormat="1" ht="12.6" customHeight="1" x14ac:dyDescent="0.2">
      <c r="A143" s="74" t="s">
        <v>303</v>
      </c>
      <c r="B143" s="229" t="s">
        <v>128</v>
      </c>
      <c r="C143" s="251" t="s">
        <v>160</v>
      </c>
      <c r="D143" s="229" t="s">
        <v>72</v>
      </c>
      <c r="E143" s="229"/>
      <c r="F143" s="229"/>
      <c r="G143" s="49" t="s">
        <v>153</v>
      </c>
      <c r="H143" s="49" t="s">
        <v>18</v>
      </c>
      <c r="I143" s="375">
        <v>78700</v>
      </c>
      <c r="J143" s="783">
        <v>78700</v>
      </c>
      <c r="K143" s="375">
        <f>VLOOKUP(H143,'Datetel Jul 10, 2013'!A:G,7,0)</f>
        <v>78700</v>
      </c>
      <c r="L143" s="375">
        <f>VLOOKUP(H143,'Datetel Jul 10, 2013'!A:I,8,0)</f>
        <v>0</v>
      </c>
      <c r="M143" s="615">
        <f t="shared" si="31"/>
        <v>0</v>
      </c>
      <c r="N143" s="375">
        <v>78700</v>
      </c>
      <c r="O143" s="375"/>
      <c r="P143" s="375">
        <f t="shared" si="32"/>
        <v>78700</v>
      </c>
      <c r="Q143" s="375">
        <f t="shared" si="33"/>
        <v>0</v>
      </c>
      <c r="R143" s="213"/>
    </row>
    <row r="144" spans="1:19" s="74" customFormat="1" ht="12.6" customHeight="1" x14ac:dyDescent="0.2">
      <c r="A144" s="74" t="s">
        <v>303</v>
      </c>
      <c r="B144" s="221" t="s">
        <v>128</v>
      </c>
      <c r="C144" s="281" t="s">
        <v>161</v>
      </c>
      <c r="D144" s="221" t="s">
        <v>960</v>
      </c>
      <c r="E144" s="221"/>
      <c r="F144" s="221"/>
      <c r="G144" s="17" t="s">
        <v>153</v>
      </c>
      <c r="H144" s="17" t="s">
        <v>18</v>
      </c>
      <c r="I144" s="375">
        <v>4000</v>
      </c>
      <c r="J144" s="783">
        <v>4000</v>
      </c>
      <c r="K144" s="375">
        <v>0</v>
      </c>
      <c r="L144" s="375"/>
      <c r="M144" s="615">
        <f t="shared" si="31"/>
        <v>4000</v>
      </c>
      <c r="N144" s="375">
        <v>9000</v>
      </c>
      <c r="O144" s="375"/>
      <c r="P144" s="375">
        <f t="shared" si="32"/>
        <v>9000</v>
      </c>
      <c r="Q144" s="375">
        <f t="shared" si="33"/>
        <v>5000</v>
      </c>
      <c r="R144" s="213"/>
    </row>
    <row r="145" spans="1:18" s="74" customFormat="1" ht="12.6" customHeight="1" x14ac:dyDescent="0.2">
      <c r="A145" s="74" t="s">
        <v>303</v>
      </c>
      <c r="B145" s="283" t="s">
        <v>128</v>
      </c>
      <c r="C145" s="286" t="s">
        <v>160</v>
      </c>
      <c r="D145" s="283" t="s">
        <v>1012</v>
      </c>
      <c r="E145" s="229"/>
      <c r="F145" s="6"/>
      <c r="G145" s="5" t="s">
        <v>176</v>
      </c>
      <c r="H145" s="32" t="s">
        <v>20</v>
      </c>
      <c r="I145" s="375">
        <v>15000</v>
      </c>
      <c r="J145" s="783">
        <f>VLOOKUP(H145,'Datetel Jul 10, 2013'!A:F,6,0)</f>
        <v>15000</v>
      </c>
      <c r="K145" s="375">
        <f>VLOOKUP(H145,'Datetel Jul 10, 2013'!A:G,7,0)</f>
        <v>6353.28</v>
      </c>
      <c r="L145" s="375">
        <f>VLOOKUP(H145,'Datetel Jul 10, 2013'!A:I,8,0)</f>
        <v>0</v>
      </c>
      <c r="M145" s="615">
        <f t="shared" si="31"/>
        <v>8646.7200000000012</v>
      </c>
      <c r="N145" s="375">
        <v>15000</v>
      </c>
      <c r="O145" s="375"/>
      <c r="P145" s="375">
        <f t="shared" si="32"/>
        <v>15000</v>
      </c>
      <c r="Q145" s="375">
        <f t="shared" si="33"/>
        <v>0</v>
      </c>
      <c r="R145" s="213"/>
    </row>
    <row r="146" spans="1:18" s="74" customFormat="1" ht="12.6" customHeight="1" x14ac:dyDescent="0.2">
      <c r="A146" s="74" t="s">
        <v>303</v>
      </c>
      <c r="B146" s="259" t="s">
        <v>128</v>
      </c>
      <c r="C146" s="281" t="s">
        <v>160</v>
      </c>
      <c r="D146" s="259" t="s">
        <v>75</v>
      </c>
      <c r="E146" s="259"/>
      <c r="F146" s="259"/>
      <c r="G146" s="33" t="s">
        <v>176</v>
      </c>
      <c r="H146" s="33" t="s">
        <v>23</v>
      </c>
      <c r="I146" s="375">
        <v>50000</v>
      </c>
      <c r="J146" s="783">
        <f>VLOOKUP(H146,'Datetel Jul 10, 2013'!A:F,6,0)</f>
        <v>50000</v>
      </c>
      <c r="K146" s="375">
        <f>VLOOKUP(H146,'Datetel Jul 10, 2013'!A:G,7,0)</f>
        <v>44151.32</v>
      </c>
      <c r="L146" s="375">
        <f>VLOOKUP(H146,'Datetel Jul 10, 2013'!A:I,8,0)</f>
        <v>0</v>
      </c>
      <c r="M146" s="615">
        <f t="shared" si="31"/>
        <v>5848.68</v>
      </c>
      <c r="N146" s="375">
        <v>50000</v>
      </c>
      <c r="O146" s="375"/>
      <c r="P146" s="375">
        <f t="shared" si="32"/>
        <v>50000</v>
      </c>
      <c r="Q146" s="375">
        <f t="shared" si="33"/>
        <v>0</v>
      </c>
      <c r="R146" s="213"/>
    </row>
    <row r="147" spans="1:18" s="74" customFormat="1" ht="12.6" customHeight="1" x14ac:dyDescent="0.2">
      <c r="A147" s="74" t="s">
        <v>303</v>
      </c>
      <c r="B147" s="283" t="s">
        <v>128</v>
      </c>
      <c r="C147" s="285" t="s">
        <v>160</v>
      </c>
      <c r="D147" s="283" t="s">
        <v>77</v>
      </c>
      <c r="E147" s="229"/>
      <c r="F147" s="6"/>
      <c r="G147" s="5" t="s">
        <v>153</v>
      </c>
      <c r="H147" s="32" t="s">
        <v>271</v>
      </c>
      <c r="I147" s="375">
        <v>140000</v>
      </c>
      <c r="J147" s="783">
        <f>VLOOKUP(H147,'Datetel Jul 10, 2013'!A:F,6,0)</f>
        <v>270500</v>
      </c>
      <c r="K147" s="375">
        <f>VLOOKUP(H147,'Datetel Jul 10, 2013'!A:G,7,0)</f>
        <v>250240.56</v>
      </c>
      <c r="L147" s="375">
        <f>VLOOKUP(H147,'Datetel Jul 10, 2013'!A:I,8,0)</f>
        <v>20259.439999999999</v>
      </c>
      <c r="M147" s="615">
        <f t="shared" si="31"/>
        <v>0</v>
      </c>
      <c r="N147" s="375">
        <v>140000</v>
      </c>
      <c r="O147" s="375"/>
      <c r="P147" s="375">
        <f t="shared" si="32"/>
        <v>140000</v>
      </c>
      <c r="Q147" s="375">
        <f t="shared" si="33"/>
        <v>0</v>
      </c>
      <c r="R147" s="213"/>
    </row>
    <row r="148" spans="1:18" s="74" customFormat="1" ht="12.6" customHeight="1" outlineLevel="1" x14ac:dyDescent="0.2">
      <c r="B148" s="283" t="s">
        <v>128</v>
      </c>
      <c r="C148" s="875"/>
      <c r="D148" s="229" t="s">
        <v>809</v>
      </c>
      <c r="E148" s="229"/>
      <c r="F148" s="229"/>
      <c r="G148" s="49" t="s">
        <v>153</v>
      </c>
      <c r="H148" s="32" t="s">
        <v>808</v>
      </c>
      <c r="I148" s="375"/>
      <c r="J148" s="868">
        <v>1400</v>
      </c>
      <c r="K148" s="375">
        <f>VLOOKUP(H148,'Datetel Jul 10, 2013'!A:G,7,0)</f>
        <v>1400</v>
      </c>
      <c r="L148" s="375">
        <f>VLOOKUP(H148,'Datetel Jul 10, 2013'!A:I,8,0)</f>
        <v>0</v>
      </c>
      <c r="M148" s="615">
        <f t="shared" si="31"/>
        <v>0</v>
      </c>
      <c r="N148" s="375">
        <v>0</v>
      </c>
      <c r="O148" s="375"/>
      <c r="P148" s="375">
        <f t="shared" si="32"/>
        <v>0</v>
      </c>
      <c r="Q148" s="375">
        <f t="shared" si="33"/>
        <v>0</v>
      </c>
      <c r="R148" s="213"/>
    </row>
    <row r="149" spans="1:18" s="74" customFormat="1" ht="12.6" customHeight="1" x14ac:dyDescent="0.2">
      <c r="A149" s="74" t="s">
        <v>303</v>
      </c>
      <c r="B149" s="283" t="s">
        <v>298</v>
      </c>
      <c r="C149" s="286" t="s">
        <v>161</v>
      </c>
      <c r="D149" s="283" t="s">
        <v>87</v>
      </c>
      <c r="E149" s="229"/>
      <c r="F149" s="6"/>
      <c r="G149" s="5" t="s">
        <v>163</v>
      </c>
      <c r="H149" s="32" t="s">
        <v>40</v>
      </c>
      <c r="I149" s="375">
        <v>4000</v>
      </c>
      <c r="J149" s="783">
        <f>VLOOKUP(H149,'Datetel Jul 10, 2013'!A:F,6,0)</f>
        <v>4000</v>
      </c>
      <c r="K149" s="375">
        <f>VLOOKUP(H149,'Datetel Jul 10, 2013'!A:G,7,0)</f>
        <v>2639.86</v>
      </c>
      <c r="L149" s="375">
        <f>VLOOKUP(H149,'Datetel Jul 10, 2013'!A:I,8,0)</f>
        <v>211</v>
      </c>
      <c r="M149" s="615">
        <f t="shared" si="31"/>
        <v>1149.1399999999999</v>
      </c>
      <c r="N149" s="375">
        <v>4000</v>
      </c>
      <c r="O149" s="375"/>
      <c r="P149" s="375">
        <f t="shared" si="32"/>
        <v>4000</v>
      </c>
      <c r="Q149" s="375">
        <f t="shared" si="33"/>
        <v>0</v>
      </c>
      <c r="R149" s="213"/>
    </row>
    <row r="150" spans="1:18" s="74" customFormat="1" ht="12.6" customHeight="1" x14ac:dyDescent="0.2">
      <c r="A150" s="74" t="s">
        <v>303</v>
      </c>
      <c r="B150" s="229" t="s">
        <v>298</v>
      </c>
      <c r="C150" s="354" t="s">
        <v>126</v>
      </c>
      <c r="D150" s="799" t="s">
        <v>995</v>
      </c>
      <c r="E150" s="229"/>
      <c r="F150" s="229"/>
      <c r="G150" s="49" t="s">
        <v>153</v>
      </c>
      <c r="H150" s="49" t="s">
        <v>33</v>
      </c>
      <c r="I150" s="375">
        <v>65000</v>
      </c>
      <c r="J150" s="783">
        <v>65000</v>
      </c>
      <c r="K150" s="375">
        <v>70416.710000000006</v>
      </c>
      <c r="L150" s="375"/>
      <c r="M150" s="615">
        <f t="shared" si="31"/>
        <v>-5416.7100000000064</v>
      </c>
      <c r="N150" s="375">
        <v>65000</v>
      </c>
      <c r="O150" s="375"/>
      <c r="P150" s="375">
        <f t="shared" si="32"/>
        <v>65000</v>
      </c>
      <c r="Q150" s="375">
        <f t="shared" si="33"/>
        <v>0</v>
      </c>
      <c r="R150" s="213"/>
    </row>
    <row r="151" spans="1:18" s="74" customFormat="1" ht="12.6" customHeight="1" x14ac:dyDescent="0.2">
      <c r="A151" s="74" t="s">
        <v>303</v>
      </c>
      <c r="B151" s="227" t="s">
        <v>298</v>
      </c>
      <c r="C151" s="292" t="s">
        <v>126</v>
      </c>
      <c r="D151" s="799" t="s">
        <v>994</v>
      </c>
      <c r="E151" s="490"/>
      <c r="F151" s="490"/>
      <c r="G151" s="34" t="s">
        <v>153</v>
      </c>
      <c r="H151" s="34" t="s">
        <v>33</v>
      </c>
      <c r="I151" s="375">
        <v>73852</v>
      </c>
      <c r="J151" s="783">
        <f>34580+36926+2346</f>
        <v>73852</v>
      </c>
      <c r="K151" s="783">
        <f>34162.5+30475.55</f>
        <v>64638.05</v>
      </c>
      <c r="L151" s="375">
        <f>6450+417.5</f>
        <v>6867.5</v>
      </c>
      <c r="M151" s="615">
        <f t="shared" si="31"/>
        <v>2346.4499999999971</v>
      </c>
      <c r="N151" s="375">
        <v>73996</v>
      </c>
      <c r="O151" s="375"/>
      <c r="P151" s="375">
        <f t="shared" si="32"/>
        <v>73996</v>
      </c>
      <c r="Q151" s="375">
        <f t="shared" si="33"/>
        <v>144</v>
      </c>
      <c r="R151" s="213"/>
    </row>
    <row r="152" spans="1:18" s="74" customFormat="1" ht="12.6" customHeight="1" x14ac:dyDescent="0.2">
      <c r="A152" s="74" t="s">
        <v>303</v>
      </c>
      <c r="B152" s="227" t="s">
        <v>298</v>
      </c>
      <c r="C152" s="825"/>
      <c r="D152" s="799" t="s">
        <v>762</v>
      </c>
      <c r="E152" s="490"/>
      <c r="F152" s="231"/>
      <c r="G152" s="34" t="s">
        <v>153</v>
      </c>
      <c r="H152" s="34" t="s">
        <v>33</v>
      </c>
      <c r="I152" s="375">
        <v>20205</v>
      </c>
      <c r="J152" s="783">
        <v>20205</v>
      </c>
      <c r="K152" s="375">
        <v>20205</v>
      </c>
      <c r="L152" s="375">
        <v>0</v>
      </c>
      <c r="M152" s="615">
        <f t="shared" si="31"/>
        <v>0</v>
      </c>
      <c r="N152" s="375">
        <v>20205</v>
      </c>
      <c r="O152" s="375"/>
      <c r="P152" s="375">
        <f t="shared" si="32"/>
        <v>20205</v>
      </c>
      <c r="Q152" s="375">
        <f t="shared" si="33"/>
        <v>0</v>
      </c>
      <c r="R152" s="213"/>
    </row>
    <row r="153" spans="1:18" s="74" customFormat="1" ht="12.6" customHeight="1" outlineLevel="1" x14ac:dyDescent="0.2">
      <c r="A153" s="74" t="s">
        <v>303</v>
      </c>
      <c r="B153" s="227" t="s">
        <v>298</v>
      </c>
      <c r="C153" s="825"/>
      <c r="D153" s="799" t="s">
        <v>814</v>
      </c>
      <c r="E153" s="490"/>
      <c r="F153" s="231"/>
      <c r="G153" s="34" t="s">
        <v>153</v>
      </c>
      <c r="H153" s="34" t="s">
        <v>33</v>
      </c>
      <c r="I153" s="375">
        <v>0</v>
      </c>
      <c r="J153" s="783">
        <v>20000</v>
      </c>
      <c r="K153" s="375">
        <v>20000</v>
      </c>
      <c r="L153" s="375">
        <v>0</v>
      </c>
      <c r="M153" s="615"/>
      <c r="N153" s="375">
        <v>0</v>
      </c>
      <c r="O153" s="375"/>
      <c r="P153" s="375">
        <f t="shared" si="32"/>
        <v>0</v>
      </c>
      <c r="Q153" s="375">
        <f t="shared" si="33"/>
        <v>0</v>
      </c>
      <c r="R153" s="213"/>
    </row>
    <row r="154" spans="1:18" s="74" customFormat="1" ht="12.6" customHeight="1" x14ac:dyDescent="0.2">
      <c r="A154" s="74" t="s">
        <v>303</v>
      </c>
      <c r="B154" s="283" t="s">
        <v>298</v>
      </c>
      <c r="C154" s="277" t="s">
        <v>126</v>
      </c>
      <c r="D154" s="221" t="s">
        <v>86</v>
      </c>
      <c r="E154" s="259"/>
      <c r="F154" s="231"/>
      <c r="G154" s="33" t="s">
        <v>150</v>
      </c>
      <c r="H154" s="17" t="s">
        <v>32</v>
      </c>
      <c r="I154" s="375">
        <v>43900</v>
      </c>
      <c r="J154" s="783">
        <f>VLOOKUP(H154,'Datetel Jul 10, 2013'!A:F,6,0)</f>
        <v>43900</v>
      </c>
      <c r="K154" s="375">
        <f>VLOOKUP(H154,'Datetel Jul 10, 2013'!A:G,7,0)</f>
        <v>47080.26</v>
      </c>
      <c r="L154" s="375">
        <f>VLOOKUP(H154,'Datetel Jul 10, 2013'!A:I,8,0)</f>
        <v>-2856.21</v>
      </c>
      <c r="M154" s="615">
        <f t="shared" si="31"/>
        <v>-324.050000000002</v>
      </c>
      <c r="N154" s="375">
        <v>43900</v>
      </c>
      <c r="O154" s="375"/>
      <c r="P154" s="375">
        <f t="shared" si="32"/>
        <v>43900</v>
      </c>
      <c r="Q154" s="375">
        <f t="shared" si="33"/>
        <v>0</v>
      </c>
      <c r="R154" s="213"/>
    </row>
    <row r="155" spans="1:18" s="74" customFormat="1" ht="12.6" customHeight="1" x14ac:dyDescent="0.2">
      <c r="A155" s="74" t="s">
        <v>303</v>
      </c>
      <c r="B155" s="283" t="s">
        <v>298</v>
      </c>
      <c r="C155" s="284" t="s">
        <v>126</v>
      </c>
      <c r="D155" s="283" t="s">
        <v>82</v>
      </c>
      <c r="E155" s="231"/>
      <c r="F155" s="231"/>
      <c r="G155" s="21" t="s">
        <v>176</v>
      </c>
      <c r="H155" s="32" t="s">
        <v>34</v>
      </c>
      <c r="I155" s="375">
        <v>90000</v>
      </c>
      <c r="J155" s="783">
        <f>VLOOKUP(H155,'Datetel Jul 10, 2013'!A:F,6,0)</f>
        <v>70000</v>
      </c>
      <c r="K155" s="375">
        <f>VLOOKUP(H155,'Datetel Jul 10, 2013'!A:G,7,0)</f>
        <v>28140.18</v>
      </c>
      <c r="L155" s="375">
        <f>VLOOKUP(H155,'Datetel Jul 10, 2013'!A:I,8,0)</f>
        <v>33488.82</v>
      </c>
      <c r="M155" s="615">
        <f t="shared" si="31"/>
        <v>8371</v>
      </c>
      <c r="N155" s="375">
        <v>90000</v>
      </c>
      <c r="O155" s="375"/>
      <c r="P155" s="375">
        <f t="shared" si="32"/>
        <v>90000</v>
      </c>
      <c r="Q155" s="375">
        <f t="shared" si="33"/>
        <v>0</v>
      </c>
      <c r="R155" s="213"/>
    </row>
    <row r="156" spans="1:18" s="74" customFormat="1" ht="12.6" customHeight="1" x14ac:dyDescent="0.2">
      <c r="A156" s="74" t="s">
        <v>303</v>
      </c>
      <c r="B156" s="283" t="s">
        <v>298</v>
      </c>
      <c r="C156" s="284" t="s">
        <v>126</v>
      </c>
      <c r="D156" s="283" t="s">
        <v>330</v>
      </c>
      <c r="E156" s="231"/>
      <c r="F156" s="231"/>
      <c r="G156" s="21" t="s">
        <v>168</v>
      </c>
      <c r="H156" s="32" t="s">
        <v>35</v>
      </c>
      <c r="I156" s="375">
        <v>3000</v>
      </c>
      <c r="J156" s="783">
        <f>VLOOKUP(H156,'Datetel Jul 10, 2013'!A:F,6,0)</f>
        <v>3000</v>
      </c>
      <c r="K156" s="375">
        <f>VLOOKUP(H156,'Datetel Jul 10, 2013'!A:G,7,0)</f>
        <v>0</v>
      </c>
      <c r="L156" s="375">
        <f>VLOOKUP(H156,'Datetel Jul 10, 2013'!A:I,8,0)</f>
        <v>0</v>
      </c>
      <c r="M156" s="615">
        <f t="shared" si="31"/>
        <v>3000</v>
      </c>
      <c r="N156" s="375">
        <v>3000</v>
      </c>
      <c r="O156" s="375"/>
      <c r="P156" s="375">
        <f t="shared" si="32"/>
        <v>3000</v>
      </c>
      <c r="Q156" s="375">
        <f t="shared" si="33"/>
        <v>0</v>
      </c>
      <c r="R156" s="213"/>
    </row>
    <row r="157" spans="1:18" s="74" customFormat="1" ht="12.6" customHeight="1" x14ac:dyDescent="0.2">
      <c r="A157" s="74" t="s">
        <v>303</v>
      </c>
      <c r="B157" s="283" t="s">
        <v>298</v>
      </c>
      <c r="C157" s="284" t="s">
        <v>126</v>
      </c>
      <c r="D157" s="283" t="s">
        <v>83</v>
      </c>
      <c r="E157" s="231"/>
      <c r="F157" s="231"/>
      <c r="G157" s="21" t="s">
        <v>150</v>
      </c>
      <c r="H157" s="32" t="s">
        <v>36</v>
      </c>
      <c r="I157" s="375">
        <v>5200</v>
      </c>
      <c r="J157" s="783">
        <f>VLOOKUP(H157,'Datetel Jul 10, 2013'!A:F,6,0)</f>
        <v>5200</v>
      </c>
      <c r="K157" s="375">
        <f>VLOOKUP(H157,'Datetel Jul 10, 2013'!A:G,7,0)</f>
        <v>0</v>
      </c>
      <c r="L157" s="375">
        <f>VLOOKUP(H157,'Datetel Jul 10, 2013'!A:I,8,0)</f>
        <v>0</v>
      </c>
      <c r="M157" s="615">
        <f t="shared" si="31"/>
        <v>5200</v>
      </c>
      <c r="N157" s="375">
        <v>5200</v>
      </c>
      <c r="O157" s="375"/>
      <c r="P157" s="375">
        <f t="shared" si="32"/>
        <v>5200</v>
      </c>
      <c r="Q157" s="375">
        <f t="shared" si="33"/>
        <v>0</v>
      </c>
      <c r="R157" s="213"/>
    </row>
    <row r="158" spans="1:18" s="74" customFormat="1" ht="12.6" customHeight="1" x14ac:dyDescent="0.2">
      <c r="A158" s="74" t="s">
        <v>303</v>
      </c>
      <c r="B158" s="283" t="s">
        <v>298</v>
      </c>
      <c r="C158" s="228" t="s">
        <v>126</v>
      </c>
      <c r="D158" s="6" t="s">
        <v>1062</v>
      </c>
      <c r="E158" s="229"/>
      <c r="F158" s="6"/>
      <c r="G158" s="5" t="s">
        <v>150</v>
      </c>
      <c r="H158" s="5" t="s">
        <v>37</v>
      </c>
      <c r="I158" s="375">
        <v>1000</v>
      </c>
      <c r="J158" s="783">
        <f>VLOOKUP(H158,'Datetel Jul 10, 2013'!A:F,6,0)</f>
        <v>1000</v>
      </c>
      <c r="K158" s="375">
        <f>VLOOKUP(H158,'Datetel Jul 10, 2013'!A:G,7,0)</f>
        <v>0</v>
      </c>
      <c r="L158" s="375">
        <f>VLOOKUP(H158,'Datetel Jul 10, 2013'!A:I,8,0)</f>
        <v>0</v>
      </c>
      <c r="M158" s="615">
        <f t="shared" si="31"/>
        <v>1000</v>
      </c>
      <c r="N158" s="375">
        <v>1000</v>
      </c>
      <c r="O158" s="375"/>
      <c r="P158" s="375">
        <f t="shared" si="32"/>
        <v>1000</v>
      </c>
      <c r="Q158" s="375">
        <f t="shared" si="33"/>
        <v>0</v>
      </c>
      <c r="R158" s="213"/>
    </row>
    <row r="159" spans="1:18" s="74" customFormat="1" ht="12.6" customHeight="1" outlineLevel="1" x14ac:dyDescent="0.2">
      <c r="A159" s="74" t="s">
        <v>303</v>
      </c>
      <c r="B159" s="689"/>
      <c r="C159" s="711"/>
      <c r="D159" s="689" t="s">
        <v>156</v>
      </c>
      <c r="E159" s="689"/>
      <c r="F159" s="689"/>
      <c r="G159" s="717" t="s">
        <v>320</v>
      </c>
      <c r="H159" s="717" t="s">
        <v>314</v>
      </c>
      <c r="I159" s="662">
        <v>38000</v>
      </c>
      <c r="J159" s="727">
        <f>VLOOKUP(H159,'Datetel Jul 10, 2013'!A:F,6,0)</f>
        <v>38000</v>
      </c>
      <c r="K159" s="662">
        <f>VLOOKUP(H159,'Datetel Jul 10, 2013'!A:G,7,0)</f>
        <v>35615.879999999997</v>
      </c>
      <c r="L159" s="662">
        <f>VLOOKUP(H159,'Datetel Jul 10, 2013'!A:I,8,0)</f>
        <v>2384.12</v>
      </c>
      <c r="M159" s="662">
        <f t="shared" si="31"/>
        <v>0</v>
      </c>
      <c r="N159" s="375">
        <v>38000</v>
      </c>
      <c r="O159" s="662"/>
      <c r="P159" s="375">
        <f t="shared" si="32"/>
        <v>38000</v>
      </c>
      <c r="Q159" s="375">
        <f t="shared" si="33"/>
        <v>0</v>
      </c>
      <c r="R159" s="213"/>
    </row>
    <row r="160" spans="1:18" s="74" customFormat="1" ht="12.6" customHeight="1" outlineLevel="1" x14ac:dyDescent="0.2">
      <c r="A160" s="74" t="s">
        <v>303</v>
      </c>
      <c r="B160" s="689"/>
      <c r="C160" s="711"/>
      <c r="D160" s="689" t="s">
        <v>157</v>
      </c>
      <c r="E160" s="689"/>
      <c r="F160" s="689"/>
      <c r="G160" s="717" t="s">
        <v>321</v>
      </c>
      <c r="H160" s="717" t="s">
        <v>315</v>
      </c>
      <c r="I160" s="662">
        <v>5124</v>
      </c>
      <c r="J160" s="727">
        <f>VLOOKUP(H160,'Datetel Jul 10, 2013'!A:F,6,0)</f>
        <v>7124</v>
      </c>
      <c r="K160" s="662">
        <f>VLOOKUP(H160,'Datetel Jul 10, 2013'!A:G,7,0)</f>
        <v>5947</v>
      </c>
      <c r="L160" s="662">
        <f>VLOOKUP(H160,'Datetel Jul 10, 2013'!A:I,8,0)</f>
        <v>380</v>
      </c>
      <c r="M160" s="662">
        <f t="shared" si="31"/>
        <v>797</v>
      </c>
      <c r="N160" s="375">
        <v>5124</v>
      </c>
      <c r="O160" s="662"/>
      <c r="P160" s="375">
        <f t="shared" si="32"/>
        <v>5124</v>
      </c>
      <c r="Q160" s="375">
        <f t="shared" si="33"/>
        <v>0</v>
      </c>
      <c r="R160" s="213"/>
    </row>
    <row r="161" spans="1:18" s="74" customFormat="1" ht="12.6" customHeight="1" outlineLevel="1" x14ac:dyDescent="0.2">
      <c r="A161" s="74" t="s">
        <v>303</v>
      </c>
      <c r="B161" s="706"/>
      <c r="C161" s="718"/>
      <c r="D161" s="706" t="s">
        <v>354</v>
      </c>
      <c r="E161" s="706"/>
      <c r="F161" s="706"/>
      <c r="G161" s="717"/>
      <c r="H161" s="717" t="s">
        <v>355</v>
      </c>
      <c r="I161" s="662">
        <v>4590</v>
      </c>
      <c r="J161" s="727">
        <f>VLOOKUP(H161,'Datetel Jul 10, 2013'!A:F,6,0)</f>
        <v>4590</v>
      </c>
      <c r="K161" s="662">
        <f>VLOOKUP(H161,'Datetel Jul 10, 2013'!A:G,7,0)</f>
        <v>0</v>
      </c>
      <c r="L161" s="662">
        <f>VLOOKUP(H161,'Datetel Jul 10, 2013'!A:I,8,0)</f>
        <v>0</v>
      </c>
      <c r="M161" s="662">
        <f t="shared" si="31"/>
        <v>4590</v>
      </c>
      <c r="N161" s="375">
        <v>4590</v>
      </c>
      <c r="O161" s="662"/>
      <c r="P161" s="375">
        <f t="shared" si="32"/>
        <v>4590</v>
      </c>
      <c r="Q161" s="375">
        <f t="shared" si="33"/>
        <v>0</v>
      </c>
      <c r="R161" s="213"/>
    </row>
    <row r="162" spans="1:18" s="74" customFormat="1" ht="12.6" customHeight="1" outlineLevel="1" x14ac:dyDescent="0.2">
      <c r="A162" s="74" t="s">
        <v>303</v>
      </c>
      <c r="B162" s="689"/>
      <c r="C162" s="711"/>
      <c r="D162" s="689" t="s">
        <v>158</v>
      </c>
      <c r="E162" s="689"/>
      <c r="F162" s="689"/>
      <c r="G162" s="717" t="s">
        <v>150</v>
      </c>
      <c r="H162" s="717" t="s">
        <v>316</v>
      </c>
      <c r="I162" s="662">
        <v>13700</v>
      </c>
      <c r="J162" s="727">
        <f>VLOOKUP(H162,'Datetel Jul 10, 2013'!A:F,6,0)</f>
        <v>14759</v>
      </c>
      <c r="K162" s="662">
        <f>VLOOKUP(H162,'Datetel Jul 10, 2013'!A:G,7,0)</f>
        <v>13708.29</v>
      </c>
      <c r="L162" s="662">
        <f>VLOOKUP(H162,'Datetel Jul 10, 2013'!A:I,8,0)</f>
        <v>1089.3499999999999</v>
      </c>
      <c r="M162" s="662">
        <f t="shared" si="31"/>
        <v>-38.640000000000782</v>
      </c>
      <c r="N162" s="375">
        <v>13700</v>
      </c>
      <c r="O162" s="662"/>
      <c r="P162" s="375">
        <f t="shared" si="32"/>
        <v>13700</v>
      </c>
      <c r="Q162" s="375">
        <f t="shared" si="33"/>
        <v>0</v>
      </c>
      <c r="R162" s="213"/>
    </row>
    <row r="163" spans="1:18" s="74" customFormat="1" ht="12.6" customHeight="1" outlineLevel="1" x14ac:dyDescent="0.2">
      <c r="A163" s="74" t="s">
        <v>303</v>
      </c>
      <c r="B163" s="689"/>
      <c r="C163" s="711"/>
      <c r="D163" s="689" t="s">
        <v>159</v>
      </c>
      <c r="E163" s="689"/>
      <c r="F163" s="689"/>
      <c r="G163" s="717" t="s">
        <v>322</v>
      </c>
      <c r="H163" s="717" t="s">
        <v>1017</v>
      </c>
      <c r="I163" s="662">
        <v>7000</v>
      </c>
      <c r="J163" s="727">
        <f>VLOOKUP(H163,'Datetel Jul 10, 2013'!A:F,6,0)</f>
        <v>7000</v>
      </c>
      <c r="K163" s="662">
        <f>VLOOKUP(H163,'Datetel Jul 10, 2013'!A:G,7,0)</f>
        <v>4194.6400000000003</v>
      </c>
      <c r="L163" s="662">
        <f>VLOOKUP(H163,'Datetel Jul 10, 2013'!A:I,8,0)</f>
        <v>0</v>
      </c>
      <c r="M163" s="662">
        <f t="shared" si="31"/>
        <v>2805.3599999999997</v>
      </c>
      <c r="N163" s="375">
        <v>7000</v>
      </c>
      <c r="O163" s="662"/>
      <c r="P163" s="375">
        <f t="shared" si="32"/>
        <v>7000</v>
      </c>
      <c r="Q163" s="375">
        <f t="shared" si="33"/>
        <v>0</v>
      </c>
      <c r="R163" s="213"/>
    </row>
    <row r="164" spans="1:18" s="446" customFormat="1" ht="12.6" customHeight="1" x14ac:dyDescent="0.2">
      <c r="A164" s="74" t="s">
        <v>303</v>
      </c>
      <c r="B164" s="14" t="s">
        <v>130</v>
      </c>
      <c r="C164" s="240" t="s">
        <v>295</v>
      </c>
      <c r="D164" s="14" t="s">
        <v>227</v>
      </c>
      <c r="E164" s="229"/>
      <c r="F164" s="14"/>
      <c r="G164" s="49" t="s">
        <v>323</v>
      </c>
      <c r="H164" s="30" t="s">
        <v>428</v>
      </c>
      <c r="I164" s="375">
        <v>68414</v>
      </c>
      <c r="J164" s="783">
        <f>SUM(J159:J163)</f>
        <v>71473</v>
      </c>
      <c r="K164" s="375">
        <f t="shared" ref="K164:M164" si="34">SUM(K159:K163)</f>
        <v>59465.81</v>
      </c>
      <c r="L164" s="375">
        <f t="shared" si="34"/>
        <v>3853.47</v>
      </c>
      <c r="M164" s="375">
        <f t="shared" si="34"/>
        <v>8153.7199999999984</v>
      </c>
      <c r="N164" s="375">
        <v>68414</v>
      </c>
      <c r="O164" s="375"/>
      <c r="P164" s="375">
        <f t="shared" si="32"/>
        <v>68414</v>
      </c>
      <c r="Q164" s="375">
        <f t="shared" si="33"/>
        <v>0</v>
      </c>
      <c r="R164" s="213"/>
    </row>
    <row r="165" spans="1:18" s="74" customFormat="1" ht="12.6" customHeight="1" x14ac:dyDescent="0.2">
      <c r="A165" s="74" t="s">
        <v>303</v>
      </c>
      <c r="B165" s="229" t="s">
        <v>130</v>
      </c>
      <c r="C165" s="354" t="s">
        <v>295</v>
      </c>
      <c r="D165" s="229" t="s">
        <v>412</v>
      </c>
      <c r="E165" s="229"/>
      <c r="F165" s="229"/>
      <c r="G165" s="49" t="s">
        <v>324</v>
      </c>
      <c r="H165" s="49" t="s">
        <v>318</v>
      </c>
      <c r="I165" s="375">
        <v>12124</v>
      </c>
      <c r="J165" s="783">
        <f>VLOOKUP(H165,'Datetel Jul 10, 2013'!A:F,6,0)</f>
        <v>11124</v>
      </c>
      <c r="K165" s="375">
        <f>VLOOKUP(H165,'Datetel Jul 10, 2013'!A:G,7,0)</f>
        <v>9288.51</v>
      </c>
      <c r="L165" s="375">
        <f>VLOOKUP(H165,'Datetel Jul 10, 2013'!A:I,8,0)</f>
        <v>1835.36</v>
      </c>
      <c r="M165" s="615">
        <f t="shared" si="31"/>
        <v>0.12999999999988177</v>
      </c>
      <c r="N165" s="375">
        <v>12124</v>
      </c>
      <c r="O165" s="375"/>
      <c r="P165" s="375">
        <f t="shared" si="32"/>
        <v>12124</v>
      </c>
      <c r="Q165" s="375">
        <f t="shared" si="33"/>
        <v>0</v>
      </c>
      <c r="R165" s="213"/>
    </row>
    <row r="166" spans="1:18" s="74" customFormat="1" ht="12.6" customHeight="1" x14ac:dyDescent="0.2">
      <c r="A166" s="74" t="s">
        <v>303</v>
      </c>
      <c r="B166" s="221" t="s">
        <v>130</v>
      </c>
      <c r="C166" s="277" t="s">
        <v>295</v>
      </c>
      <c r="D166" s="221" t="s">
        <v>89</v>
      </c>
      <c r="E166" s="221"/>
      <c r="F166" s="221"/>
      <c r="G166" s="34" t="s">
        <v>324</v>
      </c>
      <c r="H166" s="34" t="s">
        <v>319</v>
      </c>
      <c r="I166" s="375">
        <v>6578</v>
      </c>
      <c r="J166" s="783">
        <f>VLOOKUP(H166,'Datetel Jul 10, 2013'!A:F,6,0)</f>
        <v>6578</v>
      </c>
      <c r="K166" s="375">
        <f>VLOOKUP(H166,'Datetel Jul 10, 2013'!A:G,7,0)</f>
        <v>6200</v>
      </c>
      <c r="L166" s="375">
        <f>VLOOKUP(H166,'Datetel Jul 10, 2013'!A:I,8,0)</f>
        <v>0</v>
      </c>
      <c r="M166" s="615">
        <f t="shared" si="31"/>
        <v>378</v>
      </c>
      <c r="N166" s="375">
        <v>6775.34</v>
      </c>
      <c r="O166" s="375"/>
      <c r="P166" s="375">
        <f t="shared" si="32"/>
        <v>6775.34</v>
      </c>
      <c r="Q166" s="375">
        <f t="shared" si="33"/>
        <v>197.34000000000015</v>
      </c>
      <c r="R166" s="213"/>
    </row>
    <row r="167" spans="1:18" s="74" customFormat="1" ht="12.6" customHeight="1" x14ac:dyDescent="0.2">
      <c r="A167" s="74" t="s">
        <v>303</v>
      </c>
      <c r="B167" s="259" t="s">
        <v>131</v>
      </c>
      <c r="C167" s="285" t="s">
        <v>173</v>
      </c>
      <c r="D167" s="259" t="s">
        <v>136</v>
      </c>
      <c r="E167" s="259"/>
      <c r="F167" s="259"/>
      <c r="G167" s="33" t="s">
        <v>169</v>
      </c>
      <c r="H167" s="35" t="s">
        <v>146</v>
      </c>
      <c r="I167" s="375">
        <v>7000</v>
      </c>
      <c r="J167" s="783">
        <f>VLOOKUP(H167,'Datetel Jul 10, 2013'!A:F,6,0)</f>
        <v>7000</v>
      </c>
      <c r="K167" s="375">
        <f>VLOOKUP(H167,'Datetel Jul 10, 2013'!A:G,7,0)</f>
        <v>5471.81</v>
      </c>
      <c r="L167" s="375">
        <f>VLOOKUP(H167,'Datetel Jul 10, 2013'!A:I,8,0)</f>
        <v>559.88</v>
      </c>
      <c r="M167" s="615">
        <f t="shared" si="31"/>
        <v>968.3099999999996</v>
      </c>
      <c r="N167" s="375">
        <v>7000</v>
      </c>
      <c r="O167" s="375"/>
      <c r="P167" s="375">
        <f t="shared" si="32"/>
        <v>7000</v>
      </c>
      <c r="Q167" s="375">
        <f t="shared" si="33"/>
        <v>0</v>
      </c>
      <c r="R167" s="213"/>
    </row>
    <row r="168" spans="1:18" s="74" customFormat="1" ht="12.6" customHeight="1" x14ac:dyDescent="0.2">
      <c r="A168" s="74" t="s">
        <v>303</v>
      </c>
      <c r="B168" s="283" t="s">
        <v>129</v>
      </c>
      <c r="C168" s="232" t="s">
        <v>145</v>
      </c>
      <c r="D168" s="283" t="s">
        <v>55</v>
      </c>
      <c r="E168" s="229"/>
      <c r="F168" s="6"/>
      <c r="G168" s="5" t="s">
        <v>288</v>
      </c>
      <c r="H168" s="32" t="s">
        <v>54</v>
      </c>
      <c r="I168" s="375">
        <v>60000</v>
      </c>
      <c r="J168" s="783">
        <f>VLOOKUP(H168,'Datetel Jul 10, 2013'!A:F,6,0)</f>
        <v>60000</v>
      </c>
      <c r="K168" s="375">
        <f>VLOOKUP(H168,'Datetel Jul 10, 2013'!A:G,7,0)</f>
        <v>66407.87</v>
      </c>
      <c r="L168" s="375">
        <f>VLOOKUP(H168,'Datetel Jul 10, 2013'!A:I,8,0)</f>
        <v>0</v>
      </c>
      <c r="M168" s="615">
        <f t="shared" si="31"/>
        <v>-6407.8699999999953</v>
      </c>
      <c r="N168" s="375">
        <v>60000</v>
      </c>
      <c r="O168" s="375"/>
      <c r="P168" s="375">
        <f t="shared" si="32"/>
        <v>60000</v>
      </c>
      <c r="Q168" s="375">
        <f t="shared" si="33"/>
        <v>0</v>
      </c>
      <c r="R168" s="213"/>
    </row>
    <row r="169" spans="1:18" s="74" customFormat="1" ht="12.6" customHeight="1" thickBot="1" x14ac:dyDescent="0.25">
      <c r="A169" s="74" t="s">
        <v>303</v>
      </c>
      <c r="B169" s="259" t="s">
        <v>131</v>
      </c>
      <c r="C169" s="232" t="s">
        <v>145</v>
      </c>
      <c r="D169" s="283" t="s">
        <v>110</v>
      </c>
      <c r="E169" s="229"/>
      <c r="F169" s="6"/>
      <c r="G169" s="5" t="s">
        <v>166</v>
      </c>
      <c r="H169" s="32" t="s">
        <v>811</v>
      </c>
      <c r="I169" s="375">
        <v>21100</v>
      </c>
      <c r="J169" s="783">
        <f>VLOOKUP(H169,'Datetel Jul 10, 2013'!A:F,6,0)</f>
        <v>21100</v>
      </c>
      <c r="K169" s="375">
        <f>VLOOKUP(H169,'Datetel Jul 10, 2013'!A:G,7,0)+'Datetel Jul 10, 2013'!G254</f>
        <v>19774.29</v>
      </c>
      <c r="L169" s="375">
        <f>VLOOKUP(H169,'Datetel Jul 10, 2013'!A:I,8,0)</f>
        <v>657.47</v>
      </c>
      <c r="M169" s="615">
        <f t="shared" si="31"/>
        <v>668.2399999999991</v>
      </c>
      <c r="N169" s="375">
        <v>21100</v>
      </c>
      <c r="O169" s="375"/>
      <c r="P169" s="375">
        <f t="shared" si="32"/>
        <v>21100</v>
      </c>
      <c r="Q169" s="375">
        <f t="shared" si="33"/>
        <v>0</v>
      </c>
      <c r="R169" s="213"/>
    </row>
    <row r="170" spans="1:18" s="204" customFormat="1" ht="13.5" thickBot="1" x14ac:dyDescent="0.25">
      <c r="A170" s="74" t="s">
        <v>303</v>
      </c>
      <c r="B170" s="193"/>
      <c r="C170" s="194"/>
      <c r="D170" s="195"/>
      <c r="E170" s="195"/>
      <c r="F170" s="195"/>
      <c r="G170" s="195"/>
      <c r="H170" s="196" t="s">
        <v>115</v>
      </c>
      <c r="I170" s="621">
        <f t="shared" ref="I170:P170" si="35">SUM(I139:I158,I164:I169)</f>
        <v>910242</v>
      </c>
      <c r="J170" s="621">
        <f t="shared" si="35"/>
        <v>1044201</v>
      </c>
      <c r="K170" s="621">
        <f t="shared" si="35"/>
        <v>935235.18</v>
      </c>
      <c r="L170" s="621">
        <f t="shared" si="35"/>
        <v>71076.73000000001</v>
      </c>
      <c r="M170" s="829">
        <f t="shared" si="35"/>
        <v>37889.089999999989</v>
      </c>
      <c r="N170" s="672">
        <f t="shared" si="35"/>
        <v>1000583.34</v>
      </c>
      <c r="O170" s="672">
        <f t="shared" si="35"/>
        <v>0</v>
      </c>
      <c r="P170" s="672">
        <f t="shared" si="35"/>
        <v>1000583.34</v>
      </c>
      <c r="Q170" s="672">
        <f t="shared" ref="Q170" si="36">SUM(Q139:Q158,Q164:Q169)</f>
        <v>90341.34</v>
      </c>
      <c r="R170" s="213"/>
    </row>
    <row r="171" spans="1:18" s="199" customFormat="1" ht="11.25" customHeight="1" x14ac:dyDescent="0.2">
      <c r="B171" s="198"/>
      <c r="D171" s="200"/>
      <c r="E171" s="200"/>
      <c r="F171" s="200"/>
      <c r="G171" s="200"/>
      <c r="H171" s="198"/>
      <c r="I171" s="822"/>
      <c r="J171" s="822"/>
      <c r="K171" s="822"/>
      <c r="L171" s="929"/>
      <c r="M171" s="826">
        <f>SUM(I170,L170)</f>
        <v>981318.73</v>
      </c>
      <c r="N171" s="579"/>
      <c r="O171" s="579"/>
      <c r="P171" s="579"/>
      <c r="Q171" s="579"/>
      <c r="R171" s="213"/>
    </row>
    <row r="172" spans="1:18" s="126" customFormat="1" ht="10.5" customHeight="1" x14ac:dyDescent="0.2">
      <c r="B172" s="198"/>
      <c r="D172" s="200"/>
      <c r="E172" s="200"/>
      <c r="F172" s="200"/>
      <c r="G172" s="200"/>
      <c r="H172" s="198"/>
      <c r="I172" s="823"/>
      <c r="J172" s="569">
        <f>J170+J134</f>
        <v>14788987</v>
      </c>
      <c r="K172" s="569">
        <f>K170+K134</f>
        <v>14382374.489999996</v>
      </c>
      <c r="L172" s="908">
        <f>L170+L134</f>
        <v>164526.33000000002</v>
      </c>
      <c r="M172" s="908">
        <f>M170+M134</f>
        <v>242086.18000000014</v>
      </c>
      <c r="N172" s="569"/>
      <c r="O172" s="569"/>
      <c r="P172" s="569"/>
      <c r="Q172" s="569"/>
      <c r="R172" s="213"/>
    </row>
    <row r="173" spans="1:18" s="214" customFormat="1" ht="16.5" thickBot="1" x14ac:dyDescent="0.25">
      <c r="B173" s="198"/>
      <c r="D173" s="215"/>
      <c r="E173" s="215"/>
      <c r="F173" s="215"/>
      <c r="G173" s="215"/>
      <c r="H173" s="845" t="s">
        <v>773</v>
      </c>
      <c r="I173" s="909">
        <f t="shared" ref="I173:P173" si="37">I134+I170+I31+I68</f>
        <v>16609836.5</v>
      </c>
      <c r="J173" s="909">
        <f t="shared" si="37"/>
        <v>16584723</v>
      </c>
      <c r="K173" s="909">
        <f t="shared" si="37"/>
        <v>15936522.079999996</v>
      </c>
      <c r="L173" s="909">
        <f t="shared" si="37"/>
        <v>169510.77000000002</v>
      </c>
      <c r="M173" s="909">
        <f t="shared" si="37"/>
        <v>478690.15000000014</v>
      </c>
      <c r="N173" s="909">
        <f t="shared" si="37"/>
        <v>16687838.24</v>
      </c>
      <c r="O173" s="909">
        <f t="shared" si="37"/>
        <v>46614.599999999977</v>
      </c>
      <c r="P173" s="909">
        <f t="shared" si="37"/>
        <v>16734452.84</v>
      </c>
      <c r="Q173" s="909">
        <f t="shared" ref="Q173" si="38">Q134+Q170+Q31+Q68</f>
        <v>124616.34</v>
      </c>
      <c r="R173" s="213"/>
    </row>
    <row r="174" spans="1:18" ht="9" customHeight="1" thickTop="1" x14ac:dyDescent="0.2">
      <c r="R174" s="213"/>
    </row>
    <row r="175" spans="1:18" ht="29.25" customHeight="1" thickBot="1" x14ac:dyDescent="0.3">
      <c r="B175" s="926" t="s">
        <v>771</v>
      </c>
      <c r="D175" s="926" t="s">
        <v>771</v>
      </c>
      <c r="F175" s="74" t="s">
        <v>1007</v>
      </c>
      <c r="R175" s="213"/>
    </row>
    <row r="176" spans="1:18" ht="12.75" x14ac:dyDescent="0.2">
      <c r="B176" s="79" t="s">
        <v>118</v>
      </c>
      <c r="C176" s="80"/>
      <c r="D176" s="81"/>
      <c r="E176" s="81"/>
      <c r="F176" s="80"/>
      <c r="G176" s="80"/>
      <c r="H176" s="80"/>
      <c r="I176" s="864">
        <v>0.92307692307692313</v>
      </c>
      <c r="J176" s="864">
        <v>0.92307692307692313</v>
      </c>
      <c r="K176" s="84" t="s">
        <v>123</v>
      </c>
      <c r="L176" s="85"/>
      <c r="M176" s="729" t="s">
        <v>124</v>
      </c>
      <c r="N176" s="864" t="s">
        <v>958</v>
      </c>
      <c r="O176" s="796" t="s">
        <v>121</v>
      </c>
      <c r="P176" s="864" t="s">
        <v>958</v>
      </c>
      <c r="Q176" s="864" t="s">
        <v>958</v>
      </c>
      <c r="R176" s="213"/>
    </row>
    <row r="177" spans="1:18" s="74" customFormat="1" ht="13.5" thickBot="1" x14ac:dyDescent="0.25">
      <c r="B177" s="87" t="s">
        <v>148</v>
      </c>
      <c r="C177" s="88" t="s">
        <v>125</v>
      </c>
      <c r="D177" s="88" t="s">
        <v>61</v>
      </c>
      <c r="E177" s="88"/>
      <c r="F177" s="88" t="s">
        <v>147</v>
      </c>
      <c r="G177" s="88" t="s">
        <v>149</v>
      </c>
      <c r="H177" s="88" t="s">
        <v>62</v>
      </c>
      <c r="I177" s="740" t="s">
        <v>120</v>
      </c>
      <c r="J177" s="610" t="s">
        <v>272</v>
      </c>
      <c r="K177" s="865" t="s">
        <v>1051</v>
      </c>
      <c r="L177" s="92" t="s">
        <v>119</v>
      </c>
      <c r="M177" s="88" t="s">
        <v>118</v>
      </c>
      <c r="N177" s="740" t="s">
        <v>959</v>
      </c>
      <c r="O177" s="88" t="s">
        <v>122</v>
      </c>
      <c r="P177" s="740" t="s">
        <v>1018</v>
      </c>
      <c r="Q177" s="740" t="s">
        <v>1018</v>
      </c>
      <c r="R177" s="213"/>
    </row>
    <row r="178" spans="1:18" s="7" customFormat="1" ht="12.75" x14ac:dyDescent="0.2">
      <c r="B178" s="229" t="s">
        <v>627</v>
      </c>
      <c r="C178" s="354"/>
      <c r="D178" s="229" t="s">
        <v>764</v>
      </c>
      <c r="E178" s="832"/>
      <c r="F178" s="229" t="s">
        <v>775</v>
      </c>
      <c r="G178" s="49" t="s">
        <v>150</v>
      </c>
      <c r="H178" s="16" t="s">
        <v>765</v>
      </c>
      <c r="I178" s="375">
        <v>26000</v>
      </c>
      <c r="J178" s="783">
        <f>VLOOKUP(H178,'Datetel Jul 10, 2013'!A:F,6,0)</f>
        <v>26000</v>
      </c>
      <c r="K178" s="833">
        <f>VLOOKUP(H178,'Datetel Jul 10, 2013'!A:G,7,0)</f>
        <v>0</v>
      </c>
      <c r="L178" s="375">
        <v>0</v>
      </c>
      <c r="M178" s="844">
        <v>0</v>
      </c>
      <c r="N178" s="834">
        <f>I178</f>
        <v>26000</v>
      </c>
      <c r="O178" s="833">
        <f>23600-N178</f>
        <v>-2400</v>
      </c>
      <c r="P178" s="375">
        <f t="shared" ref="P178:P180" si="39">N178+O178</f>
        <v>23600</v>
      </c>
      <c r="Q178" s="375">
        <f t="shared" ref="Q178:Q180" si="40">P178-I178</f>
        <v>-2400</v>
      </c>
      <c r="R178" s="213"/>
    </row>
    <row r="179" spans="1:18" s="7" customFormat="1" ht="12.75" x14ac:dyDescent="0.2">
      <c r="B179" s="229" t="s">
        <v>627</v>
      </c>
      <c r="C179" s="354"/>
      <c r="D179" s="229" t="s">
        <v>764</v>
      </c>
      <c r="E179" s="229"/>
      <c r="F179" s="229" t="s">
        <v>775</v>
      </c>
      <c r="G179" s="49" t="s">
        <v>150</v>
      </c>
      <c r="H179" s="49" t="s">
        <v>766</v>
      </c>
      <c r="I179" s="375">
        <v>26000</v>
      </c>
      <c r="J179" s="783">
        <f>VLOOKUP(H179,'Datetel Jul 10, 2013'!A:F,6,0)</f>
        <v>26000</v>
      </c>
      <c r="K179" s="833">
        <f>VLOOKUP(H179,'Datetel Jul 10, 2013'!A:G,7,0)</f>
        <v>26000</v>
      </c>
      <c r="L179" s="375">
        <v>0</v>
      </c>
      <c r="M179" s="615">
        <v>0</v>
      </c>
      <c r="N179" s="834">
        <f>I179</f>
        <v>26000</v>
      </c>
      <c r="O179" s="833">
        <f>23600-N179</f>
        <v>-2400</v>
      </c>
      <c r="P179" s="375">
        <f t="shared" si="39"/>
        <v>23600</v>
      </c>
      <c r="Q179" s="375">
        <f t="shared" si="40"/>
        <v>-2400</v>
      </c>
      <c r="R179" s="213"/>
    </row>
    <row r="180" spans="1:18" s="7" customFormat="1" ht="12.75" x14ac:dyDescent="0.2">
      <c r="B180" s="229" t="s">
        <v>128</v>
      </c>
      <c r="C180" s="835"/>
      <c r="D180" s="836" t="s">
        <v>776</v>
      </c>
      <c r="E180" s="799"/>
      <c r="F180" s="799"/>
      <c r="G180" s="837" t="s">
        <v>176</v>
      </c>
      <c r="H180" s="838" t="s">
        <v>767</v>
      </c>
      <c r="I180" s="375">
        <v>683000</v>
      </c>
      <c r="J180" s="783">
        <f>VLOOKUP(H180,'Datetel Jul 10, 2013'!A:F,6,0)</f>
        <v>683000</v>
      </c>
      <c r="K180" s="833">
        <f>VLOOKUP(H180,'Datetel Jul 10, 2013'!A:G,7,0)</f>
        <v>565605.06000000006</v>
      </c>
      <c r="L180" s="375">
        <v>0</v>
      </c>
      <c r="M180" s="615">
        <v>0</v>
      </c>
      <c r="N180" s="834">
        <v>809143</v>
      </c>
      <c r="O180" s="834"/>
      <c r="P180" s="375">
        <f t="shared" si="39"/>
        <v>809143</v>
      </c>
      <c r="Q180" s="375">
        <f t="shared" si="40"/>
        <v>126143</v>
      </c>
      <c r="R180" s="213"/>
    </row>
    <row r="181" spans="1:18" s="631" customFormat="1" ht="12.75" x14ac:dyDescent="0.2">
      <c r="B181" s="229"/>
      <c r="C181" s="354"/>
      <c r="D181" s="229"/>
      <c r="E181" s="229"/>
      <c r="F181" s="229"/>
      <c r="G181" s="49"/>
      <c r="H181" s="49"/>
      <c r="I181" s="375"/>
      <c r="J181" s="615"/>
      <c r="K181" s="834"/>
      <c r="L181" s="375"/>
      <c r="M181" s="615"/>
      <c r="N181" s="834"/>
      <c r="O181" s="834"/>
      <c r="P181" s="834"/>
      <c r="Q181" s="834"/>
      <c r="R181" s="213"/>
    </row>
    <row r="182" spans="1:18" s="74" customFormat="1" ht="12.75" x14ac:dyDescent="0.2">
      <c r="B182" s="127"/>
      <c r="C182" s="731"/>
      <c r="D182" s="127"/>
      <c r="E182" s="127"/>
      <c r="F182" s="127"/>
      <c r="G182" s="127"/>
      <c r="H182" s="130"/>
      <c r="I182" s="840"/>
      <c r="J182" s="840"/>
      <c r="K182" s="840"/>
      <c r="L182" s="840"/>
      <c r="M182" s="840"/>
      <c r="N182" s="840"/>
      <c r="O182" s="840"/>
      <c r="P182" s="840"/>
      <c r="Q182" s="840"/>
      <c r="R182" s="213"/>
    </row>
    <row r="183" spans="1:18" x14ac:dyDescent="0.25">
      <c r="B183" s="492" t="s">
        <v>306</v>
      </c>
      <c r="K183" s="568"/>
      <c r="P183" s="569"/>
      <c r="Q183" s="569"/>
      <c r="R183" s="213"/>
    </row>
    <row r="184" spans="1:18" ht="17.25" customHeight="1" x14ac:dyDescent="0.2">
      <c r="A184" s="75" t="s">
        <v>304</v>
      </c>
      <c r="B184" s="346" t="s">
        <v>234</v>
      </c>
      <c r="D184" s="345" t="s">
        <v>1070</v>
      </c>
      <c r="F184" s="2"/>
      <c r="G184" s="3" t="s">
        <v>150</v>
      </c>
      <c r="H184" s="16" t="s">
        <v>307</v>
      </c>
      <c r="I184" s="615">
        <v>134929.5</v>
      </c>
      <c r="J184" s="615">
        <v>111310</v>
      </c>
      <c r="K184" s="615">
        <f>'Datetel Jul 10, 2013'!G127</f>
        <v>18464.879999999997</v>
      </c>
      <c r="L184" s="615"/>
      <c r="M184" s="615">
        <f>J184-K184-L184</f>
        <v>92845.119999999995</v>
      </c>
      <c r="N184" s="615">
        <v>126912</v>
      </c>
      <c r="O184" s="615">
        <f>116465-N184</f>
        <v>-10447</v>
      </c>
      <c r="P184" s="615">
        <f t="shared" ref="P184:P185" si="41">N184+O184</f>
        <v>116465</v>
      </c>
      <c r="Q184" s="375">
        <f t="shared" ref="Q184:Q188" si="42">P184-I184</f>
        <v>-18464.5</v>
      </c>
      <c r="R184" s="213"/>
    </row>
    <row r="185" spans="1:18" ht="17.25" customHeight="1" x14ac:dyDescent="0.2">
      <c r="A185" s="75" t="s">
        <v>304</v>
      </c>
      <c r="B185" s="346" t="s">
        <v>234</v>
      </c>
      <c r="D185" s="345" t="s">
        <v>1071</v>
      </c>
      <c r="F185" s="2"/>
      <c r="G185" s="3" t="s">
        <v>150</v>
      </c>
      <c r="H185" s="16" t="s">
        <v>307</v>
      </c>
      <c r="I185" s="615">
        <v>0</v>
      </c>
      <c r="J185" s="615">
        <v>23620</v>
      </c>
      <c r="K185" s="615">
        <v>0</v>
      </c>
      <c r="L185" s="615"/>
      <c r="M185" s="615">
        <f>J185-K185-L185</f>
        <v>23620</v>
      </c>
      <c r="N185" s="615">
        <v>29957</v>
      </c>
      <c r="O185" s="615">
        <f>20774-N185</f>
        <v>-9183</v>
      </c>
      <c r="P185" s="615">
        <f t="shared" si="41"/>
        <v>20774</v>
      </c>
      <c r="Q185" s="375">
        <f t="shared" si="42"/>
        <v>20774</v>
      </c>
      <c r="R185" s="213"/>
    </row>
    <row r="186" spans="1:18" ht="17.25" customHeight="1" x14ac:dyDescent="0.2">
      <c r="B186" s="524"/>
      <c r="D186" s="345"/>
      <c r="F186" s="10"/>
      <c r="G186" s="47"/>
      <c r="H186" s="16"/>
      <c r="I186" s="615"/>
      <c r="J186" s="615"/>
      <c r="K186" s="615"/>
      <c r="L186" s="615"/>
      <c r="M186" s="615"/>
      <c r="N186" s="615"/>
      <c r="O186" s="615"/>
      <c r="P186" s="615"/>
      <c r="Q186" s="375">
        <f t="shared" si="42"/>
        <v>0</v>
      </c>
      <c r="R186" s="213"/>
    </row>
    <row r="187" spans="1:18" ht="17.25" customHeight="1" x14ac:dyDescent="0.2">
      <c r="A187" s="75" t="s">
        <v>301</v>
      </c>
      <c r="B187" s="346" t="s">
        <v>234</v>
      </c>
      <c r="D187" s="345" t="s">
        <v>1072</v>
      </c>
      <c r="F187" s="2"/>
      <c r="G187" s="3" t="s">
        <v>150</v>
      </c>
      <c r="H187" s="16" t="s">
        <v>344</v>
      </c>
      <c r="I187" s="615">
        <v>150650</v>
      </c>
      <c r="J187" s="615">
        <f>118118+18791</f>
        <v>136909</v>
      </c>
      <c r="K187" s="615">
        <f>'Datetel Jul 10, 2013'!G169</f>
        <v>0</v>
      </c>
      <c r="L187" s="615"/>
      <c r="M187" s="615">
        <f>SUM(I187,L187)</f>
        <v>150650</v>
      </c>
      <c r="N187" s="615">
        <f>M187+O187</f>
        <v>150650</v>
      </c>
      <c r="O187" s="615">
        <v>0</v>
      </c>
      <c r="P187" s="615">
        <f>N187+O187</f>
        <v>150650</v>
      </c>
      <c r="Q187" s="375">
        <f t="shared" si="42"/>
        <v>0</v>
      </c>
      <c r="R187" s="213"/>
    </row>
    <row r="188" spans="1:18" ht="17.25" customHeight="1" x14ac:dyDescent="0.2">
      <c r="A188" s="75" t="s">
        <v>301</v>
      </c>
      <c r="B188" s="346" t="s">
        <v>234</v>
      </c>
      <c r="D188" s="345" t="s">
        <v>1073</v>
      </c>
      <c r="F188" s="2"/>
      <c r="G188" s="3" t="s">
        <v>150</v>
      </c>
      <c r="H188" s="16" t="s">
        <v>344</v>
      </c>
      <c r="I188" s="615">
        <v>0</v>
      </c>
      <c r="J188" s="615">
        <v>13741</v>
      </c>
      <c r="K188" s="615">
        <v>0</v>
      </c>
      <c r="L188" s="615"/>
      <c r="M188" s="615">
        <f>SUM(I188,L188)</f>
        <v>0</v>
      </c>
      <c r="N188" s="615">
        <v>20998</v>
      </c>
      <c r="O188" s="615">
        <f>5838-20998</f>
        <v>-15160</v>
      </c>
      <c r="P188" s="615">
        <f>N188+O188</f>
        <v>5838</v>
      </c>
      <c r="Q188" s="375">
        <f t="shared" si="42"/>
        <v>5838</v>
      </c>
      <c r="R188" s="213"/>
    </row>
    <row r="189" spans="1:18" s="530" customFormat="1" ht="17.25" customHeight="1" x14ac:dyDescent="0.2">
      <c r="B189" s="525"/>
      <c r="C189" s="531"/>
      <c r="D189" s="526"/>
      <c r="F189" s="1"/>
      <c r="G189" s="4"/>
      <c r="H189" s="527"/>
      <c r="I189" s="360"/>
      <c r="J189" s="583"/>
      <c r="K189" s="535"/>
      <c r="N189" s="583"/>
      <c r="O189" s="583"/>
      <c r="P189" s="583"/>
      <c r="Q189" s="583"/>
      <c r="R189" s="213"/>
    </row>
    <row r="190" spans="1:18" s="495" customFormat="1" ht="16.5" thickBot="1" x14ac:dyDescent="0.25">
      <c r="A190" s="493"/>
      <c r="B190" s="493"/>
      <c r="C190" s="494"/>
      <c r="D190" s="493"/>
      <c r="E190" s="493"/>
      <c r="F190" s="494"/>
      <c r="G190" s="494"/>
      <c r="H190" s="494" t="s">
        <v>772</v>
      </c>
      <c r="I190" s="910">
        <f>SUM(I178:I188)</f>
        <v>1020579.5</v>
      </c>
      <c r="J190" s="910">
        <f t="shared" ref="J190:O190" si="43">J173+J178+J179+J180+J184+J185+J187+J188</f>
        <v>17605303</v>
      </c>
      <c r="K190" s="910">
        <f t="shared" si="43"/>
        <v>16546592.019999998</v>
      </c>
      <c r="L190" s="910">
        <f t="shared" si="43"/>
        <v>169510.77000000002</v>
      </c>
      <c r="M190" s="910">
        <f t="shared" si="43"/>
        <v>745805.27000000014</v>
      </c>
      <c r="N190" s="910">
        <f t="shared" si="43"/>
        <v>17877498.240000002</v>
      </c>
      <c r="O190" s="910">
        <f t="shared" si="43"/>
        <v>7024.5999999999767</v>
      </c>
      <c r="P190" s="910">
        <f t="shared" ref="P190:Q190" si="44">SUM(P178:P188)</f>
        <v>1150070</v>
      </c>
      <c r="Q190" s="910">
        <f t="shared" si="44"/>
        <v>129490.5</v>
      </c>
      <c r="R190" s="213"/>
    </row>
    <row r="191" spans="1:18" ht="15.75" thickTop="1" x14ac:dyDescent="0.2">
      <c r="L191" s="76"/>
      <c r="R191" s="213"/>
    </row>
    <row r="192" spans="1:18" s="77" customFormat="1" x14ac:dyDescent="0.2">
      <c r="A192" s="75"/>
      <c r="B192" s="75"/>
      <c r="C192" s="74"/>
      <c r="D192" s="75"/>
      <c r="E192" s="75"/>
      <c r="F192" s="74"/>
      <c r="G192" s="74"/>
      <c r="H192" s="74"/>
      <c r="I192" s="364"/>
      <c r="J192" s="568"/>
      <c r="K192" s="78"/>
      <c r="L192" s="76"/>
      <c r="N192" s="568"/>
      <c r="O192" s="568"/>
      <c r="P192" s="568"/>
      <c r="Q192" s="568"/>
      <c r="R192" s="213"/>
    </row>
    <row r="193" spans="3:18" x14ac:dyDescent="0.2">
      <c r="I193" s="568"/>
      <c r="R193" s="213"/>
    </row>
    <row r="194" spans="3:18" x14ac:dyDescent="0.2">
      <c r="I194" s="901"/>
      <c r="R194" s="213"/>
    </row>
    <row r="195" spans="3:18" x14ac:dyDescent="0.2">
      <c r="C195" s="75"/>
      <c r="F195" s="75"/>
      <c r="G195" s="75"/>
      <c r="H195" s="75"/>
      <c r="I195" s="901"/>
      <c r="R195" s="213"/>
    </row>
    <row r="196" spans="3:18" x14ac:dyDescent="0.2">
      <c r="C196" s="75"/>
      <c r="F196" s="75"/>
      <c r="G196" s="75"/>
      <c r="H196" s="75"/>
      <c r="I196" s="901"/>
      <c r="R196" s="213"/>
    </row>
    <row r="197" spans="3:18" x14ac:dyDescent="0.2">
      <c r="C197" s="75"/>
      <c r="F197" s="75"/>
      <c r="G197" s="75"/>
      <c r="H197" s="75"/>
      <c r="I197" s="901"/>
      <c r="R197" s="213"/>
    </row>
    <row r="198" spans="3:18" x14ac:dyDescent="0.2">
      <c r="C198" s="75"/>
      <c r="F198" s="75"/>
      <c r="G198" s="75"/>
      <c r="H198" s="75"/>
      <c r="I198" s="568"/>
      <c r="R198" s="213"/>
    </row>
    <row r="199" spans="3:18" x14ac:dyDescent="0.2">
      <c r="C199" s="75"/>
      <c r="F199" s="75"/>
      <c r="G199" s="75"/>
      <c r="H199" s="75"/>
      <c r="I199" s="568"/>
      <c r="R199" s="213"/>
    </row>
    <row r="200" spans="3:18" x14ac:dyDescent="0.2">
      <c r="C200" s="75"/>
      <c r="F200" s="75"/>
      <c r="G200" s="75"/>
      <c r="H200" s="75"/>
      <c r="R200" s="213"/>
    </row>
    <row r="201" spans="3:18" x14ac:dyDescent="0.2">
      <c r="C201" s="75"/>
      <c r="F201" s="75"/>
      <c r="G201" s="75"/>
      <c r="H201" s="75"/>
      <c r="R201" s="213"/>
    </row>
    <row r="202" spans="3:18" x14ac:dyDescent="0.2">
      <c r="C202" s="75"/>
      <c r="F202" s="75"/>
      <c r="G202" s="75"/>
      <c r="H202" s="75"/>
      <c r="R202" s="213"/>
    </row>
    <row r="203" spans="3:18" x14ac:dyDescent="0.2">
      <c r="C203" s="75"/>
      <c r="F203" s="75"/>
      <c r="G203" s="75"/>
      <c r="H203" s="75"/>
      <c r="R203" s="213"/>
    </row>
    <row r="204" spans="3:18" x14ac:dyDescent="0.2">
      <c r="C204" s="75"/>
      <c r="F204" s="75"/>
      <c r="G204" s="75"/>
      <c r="H204" s="75"/>
      <c r="R204" s="213"/>
    </row>
    <row r="205" spans="3:18" x14ac:dyDescent="0.2">
      <c r="C205" s="75"/>
      <c r="F205" s="75"/>
      <c r="G205" s="75"/>
      <c r="H205" s="75"/>
      <c r="R205" s="213"/>
    </row>
    <row r="206" spans="3:18" x14ac:dyDescent="0.2">
      <c r="C206" s="75"/>
      <c r="F206" s="75"/>
      <c r="G206" s="75"/>
      <c r="H206" s="75"/>
      <c r="R206" s="213"/>
    </row>
    <row r="207" spans="3:18" x14ac:dyDescent="0.2">
      <c r="C207" s="75"/>
      <c r="F207" s="75"/>
      <c r="G207" s="75"/>
      <c r="H207" s="75"/>
      <c r="R207" s="213"/>
    </row>
    <row r="208" spans="3:18" x14ac:dyDescent="0.2">
      <c r="C208" s="75"/>
      <c r="F208" s="75"/>
      <c r="G208" s="75"/>
      <c r="H208" s="75"/>
      <c r="R208" s="213"/>
    </row>
    <row r="209" spans="3:18" x14ac:dyDescent="0.2">
      <c r="C209" s="75"/>
      <c r="F209" s="75"/>
      <c r="G209" s="75"/>
      <c r="H209" s="75"/>
      <c r="R209" s="213"/>
    </row>
    <row r="210" spans="3:18" x14ac:dyDescent="0.2">
      <c r="C210" s="75"/>
      <c r="F210" s="75"/>
      <c r="G210" s="75"/>
      <c r="H210" s="75"/>
      <c r="R210" s="213"/>
    </row>
    <row r="211" spans="3:18" ht="12.75" x14ac:dyDescent="0.2">
      <c r="C211" s="75"/>
      <c r="F211" s="75"/>
      <c r="G211" s="75"/>
      <c r="H211" s="75"/>
      <c r="I211" s="75"/>
      <c r="J211" s="75"/>
      <c r="K211" s="75"/>
      <c r="N211" s="75"/>
      <c r="O211" s="75"/>
      <c r="P211" s="75"/>
      <c r="Q211" s="75"/>
      <c r="R211" s="213"/>
    </row>
    <row r="212" spans="3:18" ht="12.75" x14ac:dyDescent="0.2">
      <c r="C212" s="75"/>
      <c r="F212" s="75"/>
      <c r="G212" s="75"/>
      <c r="H212" s="75"/>
      <c r="I212" s="75"/>
      <c r="J212" s="75"/>
      <c r="K212" s="75"/>
      <c r="N212" s="75"/>
      <c r="O212" s="75"/>
      <c r="P212" s="75"/>
      <c r="Q212" s="75"/>
      <c r="R212" s="213"/>
    </row>
    <row r="213" spans="3:18" ht="12.75" x14ac:dyDescent="0.2">
      <c r="C213" s="75"/>
      <c r="F213" s="75"/>
      <c r="G213" s="75"/>
      <c r="H213" s="75"/>
      <c r="I213" s="75"/>
      <c r="J213" s="75"/>
      <c r="K213" s="75"/>
      <c r="N213" s="75"/>
      <c r="O213" s="75"/>
      <c r="P213" s="75"/>
      <c r="Q213" s="75"/>
      <c r="R213" s="213"/>
    </row>
    <row r="214" spans="3:18" ht="12.75" x14ac:dyDescent="0.2">
      <c r="C214" s="75"/>
      <c r="F214" s="75"/>
      <c r="G214" s="75"/>
      <c r="H214" s="75"/>
      <c r="I214" s="75"/>
      <c r="J214" s="75"/>
      <c r="K214" s="75"/>
      <c r="N214" s="75"/>
      <c r="O214" s="75"/>
      <c r="P214" s="75"/>
      <c r="Q214" s="75"/>
      <c r="R214" s="213"/>
    </row>
    <row r="215" spans="3:18" ht="12.75" x14ac:dyDescent="0.2">
      <c r="C215" s="75"/>
      <c r="F215" s="75"/>
      <c r="G215" s="75"/>
      <c r="H215" s="75"/>
      <c r="I215" s="75"/>
      <c r="J215" s="75"/>
      <c r="K215" s="75"/>
      <c r="N215" s="75"/>
      <c r="O215" s="75"/>
      <c r="P215" s="75"/>
      <c r="Q215" s="75"/>
      <c r="R215" s="213"/>
    </row>
    <row r="216" spans="3:18" ht="12.75" x14ac:dyDescent="0.2">
      <c r="C216" s="75"/>
      <c r="F216" s="75"/>
      <c r="G216" s="75"/>
      <c r="H216" s="75"/>
      <c r="I216" s="75"/>
      <c r="J216" s="75"/>
      <c r="K216" s="75"/>
      <c r="N216" s="75"/>
      <c r="O216" s="75"/>
      <c r="P216" s="75"/>
      <c r="Q216" s="75"/>
      <c r="R216" s="213"/>
    </row>
    <row r="217" spans="3:18" ht="12.75" x14ac:dyDescent="0.2">
      <c r="C217" s="75"/>
      <c r="F217" s="75"/>
      <c r="G217" s="75"/>
      <c r="H217" s="75"/>
      <c r="I217" s="75"/>
      <c r="J217" s="75"/>
      <c r="K217" s="75"/>
      <c r="N217" s="75"/>
      <c r="O217" s="75"/>
      <c r="P217" s="75"/>
      <c r="Q217" s="75"/>
      <c r="R217" s="213"/>
    </row>
    <row r="218" spans="3:18" ht="12.75" x14ac:dyDescent="0.2">
      <c r="C218" s="75"/>
      <c r="F218" s="75"/>
      <c r="G218" s="75"/>
      <c r="H218" s="75"/>
      <c r="I218" s="75"/>
      <c r="J218" s="75"/>
      <c r="K218" s="75"/>
      <c r="N218" s="75"/>
      <c r="O218" s="75"/>
      <c r="P218" s="75"/>
      <c r="Q218" s="75"/>
      <c r="R218" s="213"/>
    </row>
    <row r="219" spans="3:18" ht="12.75" x14ac:dyDescent="0.2">
      <c r="C219" s="75"/>
      <c r="F219" s="75"/>
      <c r="G219" s="75"/>
      <c r="H219" s="75"/>
      <c r="I219" s="75"/>
      <c r="J219" s="75"/>
      <c r="K219" s="75"/>
      <c r="N219" s="75"/>
      <c r="O219" s="75"/>
      <c r="P219" s="75"/>
      <c r="Q219" s="75"/>
      <c r="R219" s="213"/>
    </row>
    <row r="220" spans="3:18" ht="12.75" x14ac:dyDescent="0.2">
      <c r="C220" s="75"/>
      <c r="F220" s="75"/>
      <c r="G220" s="75"/>
      <c r="H220" s="75"/>
      <c r="I220" s="75"/>
      <c r="J220" s="75"/>
      <c r="K220" s="75"/>
      <c r="N220" s="75"/>
      <c r="O220" s="75"/>
      <c r="P220" s="75"/>
      <c r="Q220" s="75"/>
      <c r="R220" s="213"/>
    </row>
    <row r="221" spans="3:18" ht="12.75" x14ac:dyDescent="0.2">
      <c r="C221" s="75"/>
      <c r="F221" s="75"/>
      <c r="G221" s="75"/>
      <c r="H221" s="75"/>
      <c r="I221" s="75"/>
      <c r="J221" s="75"/>
      <c r="K221" s="75"/>
      <c r="N221" s="75"/>
      <c r="O221" s="75"/>
      <c r="P221" s="75"/>
      <c r="Q221" s="75"/>
      <c r="R221" s="213"/>
    </row>
    <row r="222" spans="3:18" ht="12.75" x14ac:dyDescent="0.2">
      <c r="C222" s="75"/>
      <c r="F222" s="75"/>
      <c r="G222" s="75"/>
      <c r="H222" s="75"/>
      <c r="I222" s="75"/>
      <c r="J222" s="75"/>
      <c r="K222" s="75"/>
      <c r="N222" s="75"/>
      <c r="O222" s="75"/>
      <c r="P222" s="75"/>
      <c r="Q222" s="75"/>
      <c r="R222" s="213"/>
    </row>
    <row r="223" spans="3:18" ht="12.75" x14ac:dyDescent="0.2">
      <c r="C223" s="75"/>
      <c r="F223" s="75"/>
      <c r="G223" s="75"/>
      <c r="H223" s="75"/>
      <c r="I223" s="75"/>
      <c r="J223" s="75"/>
      <c r="K223" s="75"/>
      <c r="N223" s="75"/>
      <c r="O223" s="75"/>
      <c r="P223" s="75"/>
      <c r="Q223" s="75"/>
      <c r="R223" s="213"/>
    </row>
  </sheetData>
  <pageMargins left="0.32" right="0.21" top="0.47" bottom="0.25" header="0.35" footer="0.25"/>
  <pageSetup scale="79" fitToHeight="0" orientation="landscape" r:id="rId1"/>
  <headerFooter>
    <oddHeader>&amp;C&amp;11Fixed Costs Projections for
13/14 Adopted Budget</oddHeader>
    <oddFooter>&amp;L&amp;8&amp;F&amp;C&amp;P of &amp;N&amp;R&amp;8Date Printed: &amp;D</oddFooter>
  </headerFooter>
  <rowBreaks count="4" manualBreakCount="4">
    <brk id="32" max="16383" man="1"/>
    <brk id="69" max="16383" man="1"/>
    <brk id="134" min="1" max="15" man="1"/>
    <brk id="174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219"/>
  <sheetViews>
    <sheetView topLeftCell="A50" zoomScaleNormal="100" workbookViewId="0">
      <pane xSplit="6" topLeftCell="K1" activePane="topRight" state="frozen"/>
      <selection pane="topRight" activeCell="K90" sqref="K90"/>
    </sheetView>
  </sheetViews>
  <sheetFormatPr defaultColWidth="9.140625" defaultRowHeight="15" outlineLevelRow="2" outlineLevelCol="2" x14ac:dyDescent="0.2"/>
  <cols>
    <col min="1" max="1" width="5.42578125" style="75" bestFit="1" customWidth="1"/>
    <col min="2" max="2" width="21.7109375" style="75" customWidth="1"/>
    <col min="3" max="3" width="12.7109375" style="74" hidden="1" customWidth="1"/>
    <col min="4" max="4" width="38.42578125" style="75" customWidth="1"/>
    <col min="5" max="5" width="8.28515625" style="75" hidden="1" customWidth="1"/>
    <col min="6" max="6" width="28.140625" style="74" customWidth="1"/>
    <col min="7" max="7" width="7.7109375" style="74" bestFit="1" customWidth="1"/>
    <col min="8" max="8" width="26.140625" style="74" customWidth="1"/>
    <col min="9" max="9" width="14.28515625" style="364" bestFit="1" customWidth="1"/>
    <col min="10" max="10" width="14.28515625" style="568" customWidth="1" outlineLevel="2"/>
    <col min="11" max="11" width="14.28515625" style="78" customWidth="1" outlineLevel="2"/>
    <col min="12" max="12" width="15.42578125" style="75" customWidth="1" outlineLevel="2"/>
    <col min="13" max="13" width="14.28515625" style="75" customWidth="1" outlineLevel="1"/>
    <col min="14" max="14" width="13.140625" style="568" customWidth="1"/>
    <col min="15" max="15" width="15.42578125" style="568" customWidth="1"/>
    <col min="16" max="16384" width="9.140625" style="75"/>
  </cols>
  <sheetData>
    <row r="1" spans="2:15" ht="24" customHeight="1" outlineLevel="1" thickBot="1" x14ac:dyDescent="0.3">
      <c r="B1" s="923" t="s">
        <v>206</v>
      </c>
      <c r="I1" s="359"/>
    </row>
    <row r="2" spans="2:15" ht="12.75" outlineLevel="1" x14ac:dyDescent="0.2">
      <c r="B2" s="79" t="s">
        <v>118</v>
      </c>
      <c r="C2" s="80"/>
      <c r="D2" s="81"/>
      <c r="E2" s="81"/>
      <c r="F2" s="80"/>
      <c r="G2" s="80"/>
      <c r="H2" s="80"/>
      <c r="I2" s="864">
        <v>0.92307692307692313</v>
      </c>
      <c r="J2" s="864">
        <v>0.92307692307692313</v>
      </c>
      <c r="K2" s="84" t="s">
        <v>123</v>
      </c>
      <c r="L2" s="85"/>
      <c r="M2" s="729" t="s">
        <v>124</v>
      </c>
      <c r="N2" s="796" t="s">
        <v>121</v>
      </c>
      <c r="O2" s="864" t="s">
        <v>958</v>
      </c>
    </row>
    <row r="3" spans="2:15" s="74" customFormat="1" ht="13.5" outlineLevel="1" thickBot="1" x14ac:dyDescent="0.25">
      <c r="B3" s="87" t="s">
        <v>148</v>
      </c>
      <c r="C3" s="88" t="s">
        <v>125</v>
      </c>
      <c r="D3" s="88" t="s">
        <v>61</v>
      </c>
      <c r="E3" s="88"/>
      <c r="F3" s="88" t="s">
        <v>147</v>
      </c>
      <c r="G3" s="88" t="s">
        <v>149</v>
      </c>
      <c r="H3" s="88" t="s">
        <v>62</v>
      </c>
      <c r="I3" s="740" t="s">
        <v>120</v>
      </c>
      <c r="J3" s="610" t="s">
        <v>272</v>
      </c>
      <c r="K3" s="865" t="s">
        <v>979</v>
      </c>
      <c r="L3" s="92" t="s">
        <v>119</v>
      </c>
      <c r="M3" s="88" t="s">
        <v>118</v>
      </c>
      <c r="N3" s="88" t="s">
        <v>122</v>
      </c>
      <c r="O3" s="740" t="s">
        <v>959</v>
      </c>
    </row>
    <row r="4" spans="2:15" s="7" customFormat="1" ht="12" hidden="1" outlineLevel="2" x14ac:dyDescent="0.2">
      <c r="B4" s="676"/>
      <c r="C4" s="686"/>
      <c r="D4" s="687" t="s">
        <v>242</v>
      </c>
      <c r="E4" s="95"/>
      <c r="F4" s="676"/>
      <c r="G4" s="676"/>
      <c r="H4" s="676" t="s">
        <v>210</v>
      </c>
      <c r="I4" s="719">
        <v>1000</v>
      </c>
      <c r="J4" s="727">
        <f>VLOOKUP(H4,'Datetel Feb 28, 2013'!A:F,6,0)</f>
        <v>1000</v>
      </c>
      <c r="K4" s="782">
        <f>VLOOKUP(H4,'Datetel Feb 28, 2013'!A:G,7,0)</f>
        <v>163.62</v>
      </c>
      <c r="L4" s="782">
        <f>VLOOKUP(H4,'Datetel Feb 28, 2013'!A:I,8,0)</f>
        <v>0</v>
      </c>
      <c r="M4" s="662">
        <f>J4-K4-L4</f>
        <v>836.38</v>
      </c>
      <c r="N4" s="674"/>
      <c r="O4" s="674"/>
    </row>
    <row r="5" spans="2:15" s="7" customFormat="1" ht="12" hidden="1" outlineLevel="2" x14ac:dyDescent="0.2">
      <c r="B5" s="677"/>
      <c r="C5" s="688"/>
      <c r="D5" s="689" t="s">
        <v>241</v>
      </c>
      <c r="E5" s="19"/>
      <c r="F5" s="677"/>
      <c r="G5" s="677"/>
      <c r="H5" s="677" t="s">
        <v>211</v>
      </c>
      <c r="I5" s="662">
        <v>3000</v>
      </c>
      <c r="J5" s="727">
        <f>VLOOKUP(H5,'Datetel Feb 28, 2013'!A:F,6,0)</f>
        <v>3000</v>
      </c>
      <c r="K5" s="781">
        <f>VLOOKUP(H5,'Datetel Feb 28, 2013'!A:G,7,0)</f>
        <v>1067.25</v>
      </c>
      <c r="L5" s="781">
        <f>VLOOKUP(H5,'Datetel Feb 28, 2013'!A:I,8,0)</f>
        <v>0</v>
      </c>
      <c r="M5" s="662">
        <f>J5-K5-L5</f>
        <v>1932.75</v>
      </c>
      <c r="N5" s="674"/>
      <c r="O5" s="674"/>
    </row>
    <row r="6" spans="2:15" s="631" customFormat="1" ht="12" outlineLevel="1" collapsed="1" x14ac:dyDescent="0.2">
      <c r="B6" s="655" t="s">
        <v>416</v>
      </c>
      <c r="C6" s="656" t="s">
        <v>228</v>
      </c>
      <c r="D6" s="655" t="s">
        <v>207</v>
      </c>
      <c r="E6" s="655"/>
      <c r="F6" s="655"/>
      <c r="G6" s="657" t="s">
        <v>163</v>
      </c>
      <c r="H6" s="669" t="s">
        <v>428</v>
      </c>
      <c r="I6" s="674">
        <v>4000</v>
      </c>
      <c r="J6" s="828">
        <f>SUM(J4:J5)</f>
        <v>4000</v>
      </c>
      <c r="K6" s="674">
        <f>SUM(K4:K5)</f>
        <v>1230.8699999999999</v>
      </c>
      <c r="L6" s="674">
        <f>SUM(L4:L5)</f>
        <v>0</v>
      </c>
      <c r="M6" s="726">
        <f>J6-K6-L6</f>
        <v>2769.13</v>
      </c>
      <c r="N6" s="674"/>
      <c r="O6" s="674">
        <f>J6</f>
        <v>4000</v>
      </c>
    </row>
    <row r="7" spans="2:15" s="7" customFormat="1" ht="12" hidden="1" outlineLevel="2" x14ac:dyDescent="0.2">
      <c r="B7" s="678"/>
      <c r="C7" s="690"/>
      <c r="D7" s="678" t="s">
        <v>238</v>
      </c>
      <c r="E7" s="298"/>
      <c r="F7" s="678"/>
      <c r="G7" s="679"/>
      <c r="H7" s="679" t="s">
        <v>212</v>
      </c>
      <c r="I7" s="879">
        <v>1000</v>
      </c>
      <c r="J7" s="884">
        <f>VLOOKUP(H7,'Datetel Feb 28, 2013'!A:F,6,0)</f>
        <v>1000</v>
      </c>
      <c r="K7" s="879">
        <f>VLOOKUP(H7,'Datetel Feb 28, 2013'!A:G,7,0)</f>
        <v>0</v>
      </c>
      <c r="L7" s="879">
        <f>VLOOKUP(H7,'Datetel Feb 28, 2013'!A:I,8,0)</f>
        <v>0</v>
      </c>
      <c r="M7" s="662">
        <f t="shared" ref="M7:M10" si="0">J7-K7-L7</f>
        <v>1000</v>
      </c>
      <c r="N7" s="674"/>
      <c r="O7" s="674"/>
    </row>
    <row r="8" spans="2:15" s="7" customFormat="1" ht="12" hidden="1" outlineLevel="2" x14ac:dyDescent="0.2">
      <c r="B8" s="678"/>
      <c r="C8" s="690"/>
      <c r="D8" s="678" t="s">
        <v>243</v>
      </c>
      <c r="E8" s="298"/>
      <c r="F8" s="678"/>
      <c r="G8" s="679"/>
      <c r="H8" s="679" t="s">
        <v>213</v>
      </c>
      <c r="I8" s="879">
        <v>500</v>
      </c>
      <c r="J8" s="884">
        <f>VLOOKUP(H8,'Datetel Feb 28, 2013'!A:F,6,0)</f>
        <v>500</v>
      </c>
      <c r="K8" s="879">
        <f>VLOOKUP(H8,'Datetel Feb 28, 2013'!A:G,7,0)</f>
        <v>0</v>
      </c>
      <c r="L8" s="879">
        <f>VLOOKUP(H8,'Datetel Feb 28, 2013'!A:I,8,0)</f>
        <v>0</v>
      </c>
      <c r="M8" s="662">
        <f t="shared" si="0"/>
        <v>500</v>
      </c>
      <c r="N8" s="674"/>
      <c r="O8" s="674"/>
    </row>
    <row r="9" spans="2:15" s="7" customFormat="1" ht="12" hidden="1" outlineLevel="2" x14ac:dyDescent="0.2">
      <c r="B9" s="678"/>
      <c r="C9" s="690"/>
      <c r="D9" s="678" t="s">
        <v>239</v>
      </c>
      <c r="E9" s="298"/>
      <c r="F9" s="678"/>
      <c r="G9" s="679"/>
      <c r="H9" s="679" t="s">
        <v>214</v>
      </c>
      <c r="I9" s="879">
        <v>1500</v>
      </c>
      <c r="J9" s="884">
        <f>VLOOKUP(H9,'Datetel Feb 28, 2013'!A:F,6,0)</f>
        <v>1500</v>
      </c>
      <c r="K9" s="879">
        <f>VLOOKUP(H9,'Datetel Feb 28, 2013'!A:G,7,0)</f>
        <v>0</v>
      </c>
      <c r="L9" s="879">
        <f>VLOOKUP(H9,'Datetel Feb 28, 2013'!A:I,8,0)</f>
        <v>0</v>
      </c>
      <c r="M9" s="662">
        <f t="shared" si="0"/>
        <v>1500</v>
      </c>
      <c r="N9" s="674"/>
      <c r="O9" s="674"/>
    </row>
    <row r="10" spans="2:15" s="7" customFormat="1" ht="12" hidden="1" outlineLevel="2" x14ac:dyDescent="0.2">
      <c r="B10" s="678"/>
      <c r="C10" s="690"/>
      <c r="D10" s="678" t="s">
        <v>240</v>
      </c>
      <c r="E10" s="298"/>
      <c r="F10" s="678"/>
      <c r="G10" s="679"/>
      <c r="H10" s="679" t="s">
        <v>215</v>
      </c>
      <c r="I10" s="879">
        <v>1500</v>
      </c>
      <c r="J10" s="884">
        <f>VLOOKUP(H10,'Datetel Feb 28, 2013'!A:F,6,0)</f>
        <v>1500</v>
      </c>
      <c r="K10" s="879">
        <f>VLOOKUP(H10,'Datetel Feb 28, 2013'!A:G,7,0)</f>
        <v>197.05</v>
      </c>
      <c r="L10" s="879">
        <f>VLOOKUP(H10,'Datetel Feb 28, 2013'!A:I,8,0)</f>
        <v>0</v>
      </c>
      <c r="M10" s="662">
        <f t="shared" si="0"/>
        <v>1302.95</v>
      </c>
      <c r="N10" s="674"/>
      <c r="O10" s="674"/>
    </row>
    <row r="11" spans="2:15" s="631" customFormat="1" ht="12" outlineLevel="1" collapsed="1" x14ac:dyDescent="0.2">
      <c r="B11" s="655" t="s">
        <v>416</v>
      </c>
      <c r="C11" s="656" t="s">
        <v>228</v>
      </c>
      <c r="D11" s="655" t="s">
        <v>182</v>
      </c>
      <c r="E11" s="655"/>
      <c r="F11" s="655"/>
      <c r="G11" s="657" t="s">
        <v>163</v>
      </c>
      <c r="H11" s="669" t="s">
        <v>428</v>
      </c>
      <c r="I11" s="674">
        <v>4500</v>
      </c>
      <c r="J11" s="828">
        <f>SUM(J7:J10)</f>
        <v>4500</v>
      </c>
      <c r="K11" s="674">
        <f t="shared" ref="K11:L11" si="1">SUM(K7:K10)</f>
        <v>197.05</v>
      </c>
      <c r="L11" s="674">
        <f t="shared" si="1"/>
        <v>0</v>
      </c>
      <c r="M11" s="726">
        <f>J11-K11-L11</f>
        <v>4302.95</v>
      </c>
      <c r="N11" s="674"/>
      <c r="O11" s="674">
        <f>J11</f>
        <v>4500</v>
      </c>
    </row>
    <row r="12" spans="2:15" s="631" customFormat="1" ht="12" outlineLevel="1" x14ac:dyDescent="0.2">
      <c r="B12" s="622" t="s">
        <v>998</v>
      </c>
      <c r="C12" s="916"/>
      <c r="D12" s="634" t="s">
        <v>999</v>
      </c>
      <c r="E12" s="917"/>
      <c r="F12" s="918" t="s">
        <v>1008</v>
      </c>
      <c r="G12" s="919" t="s">
        <v>163</v>
      </c>
      <c r="H12" s="648" t="s">
        <v>1002</v>
      </c>
      <c r="I12" s="922"/>
      <c r="J12" s="920"/>
      <c r="K12" s="922"/>
      <c r="L12" s="922"/>
      <c r="M12" s="921"/>
      <c r="N12" s="922">
        <v>5000</v>
      </c>
      <c r="O12" s="674">
        <f t="shared" ref="O12" si="2">I12+N12</f>
        <v>5000</v>
      </c>
    </row>
    <row r="13" spans="2:15" s="7" customFormat="1" ht="12" outlineLevel="1" x14ac:dyDescent="0.2">
      <c r="B13" s="6" t="s">
        <v>236</v>
      </c>
      <c r="C13" s="228" t="s">
        <v>228</v>
      </c>
      <c r="D13" s="14" t="s">
        <v>237</v>
      </c>
      <c r="E13" s="229"/>
      <c r="F13" s="230" t="s">
        <v>1003</v>
      </c>
      <c r="G13" s="114" t="s">
        <v>150</v>
      </c>
      <c r="H13" s="20" t="s">
        <v>223</v>
      </c>
      <c r="I13" s="375">
        <v>28800</v>
      </c>
      <c r="J13" s="783">
        <f>VLOOKUP(H13,'Datetel Feb 28, 2013'!A:F,6,0)</f>
        <v>28800</v>
      </c>
      <c r="K13" s="375">
        <f>VLOOKUP(H13,'Datetel Feb 28, 2013'!A:G,7,0)</f>
        <v>7802.44</v>
      </c>
      <c r="L13" s="375">
        <f>VLOOKUP(H13,'Datetel Feb 28, 2013'!A:I,8,0)</f>
        <v>0</v>
      </c>
      <c r="M13" s="615">
        <f>J13-K13-L13</f>
        <v>20997.56</v>
      </c>
      <c r="N13" s="674">
        <v>200</v>
      </c>
      <c r="O13" s="674">
        <f>I13+N13</f>
        <v>29000</v>
      </c>
    </row>
    <row r="14" spans="2:15" s="7" customFormat="1" ht="12" outlineLevel="1" x14ac:dyDescent="0.2">
      <c r="B14" s="6" t="s">
        <v>234</v>
      </c>
      <c r="C14" s="228" t="s">
        <v>228</v>
      </c>
      <c r="D14" s="14" t="s">
        <v>178</v>
      </c>
      <c r="E14" s="229"/>
      <c r="F14" s="6" t="s">
        <v>997</v>
      </c>
      <c r="G14" s="114" t="s">
        <v>150</v>
      </c>
      <c r="H14" s="20" t="s">
        <v>224</v>
      </c>
      <c r="I14" s="375">
        <v>16500</v>
      </c>
      <c r="J14" s="783">
        <f>VLOOKUP(H14,'Datetel Feb 28, 2013'!A:F,6,0)</f>
        <v>16500</v>
      </c>
      <c r="K14" s="375">
        <f>VLOOKUP(H14,'Datetel Feb 28, 2013'!A:G,7,0)</f>
        <v>16500</v>
      </c>
      <c r="L14" s="375">
        <f>VLOOKUP(H14,'Datetel Feb 28, 2013'!A:I,8,0)</f>
        <v>0</v>
      </c>
      <c r="M14" s="615">
        <f t="shared" ref="M14:M29" si="3">J14-K14-L14</f>
        <v>0</v>
      </c>
      <c r="N14" s="674">
        <v>-16500</v>
      </c>
      <c r="O14" s="674">
        <f>I14+N14</f>
        <v>0</v>
      </c>
    </row>
    <row r="15" spans="2:15" s="7" customFormat="1" ht="12" outlineLevel="1" x14ac:dyDescent="0.2">
      <c r="B15" s="231" t="s">
        <v>389</v>
      </c>
      <c r="C15" s="232" t="s">
        <v>228</v>
      </c>
      <c r="D15" s="231" t="s">
        <v>293</v>
      </c>
      <c r="E15" s="233"/>
      <c r="F15" s="233"/>
      <c r="G15" s="21" t="s">
        <v>154</v>
      </c>
      <c r="H15" s="21" t="s">
        <v>642</v>
      </c>
      <c r="I15" s="375">
        <v>37594</v>
      </c>
      <c r="J15" s="783">
        <f>VLOOKUP(H15,'Datetel Feb 28, 2013'!A:F,6,0)</f>
        <v>37971</v>
      </c>
      <c r="K15" s="375">
        <f>VLOOKUP(H15,'Datetel Feb 28, 2013'!A:G,7,0)</f>
        <v>36427.35</v>
      </c>
      <c r="L15" s="375">
        <f>VLOOKUP(H15,'Datetel Feb 28, 2013'!A:I,8,0)</f>
        <v>1438.65</v>
      </c>
      <c r="M15" s="615">
        <f t="shared" si="3"/>
        <v>105.00000000000136</v>
      </c>
      <c r="N15" s="674"/>
      <c r="O15" s="674">
        <f t="shared" ref="O15:O29" si="4">I15+N15</f>
        <v>37594</v>
      </c>
    </row>
    <row r="16" spans="2:15" s="7" customFormat="1" ht="12" outlineLevel="1" x14ac:dyDescent="0.2">
      <c r="B16" s="231" t="s">
        <v>389</v>
      </c>
      <c r="C16" s="367"/>
      <c r="D16" s="256" t="s">
        <v>415</v>
      </c>
      <c r="E16" s="258"/>
      <c r="F16" s="231" t="s">
        <v>1004</v>
      </c>
      <c r="G16" s="45" t="s">
        <v>154</v>
      </c>
      <c r="H16" s="21" t="s">
        <v>741</v>
      </c>
      <c r="I16" s="375">
        <v>4877</v>
      </c>
      <c r="J16" s="783">
        <f>VLOOKUP(H16,'Datetel Feb 28, 2013'!A:F,6,0)</f>
        <v>4500</v>
      </c>
      <c r="K16" s="375">
        <f>VLOOKUP(H16,'Datetel Feb 28, 2013'!A:G,7,0)</f>
        <v>4500</v>
      </c>
      <c r="L16" s="375">
        <f>VLOOKUP(H16,'Datetel Feb 28, 2013'!A:I,8,0)</f>
        <v>0</v>
      </c>
      <c r="M16" s="615">
        <f t="shared" si="3"/>
        <v>0</v>
      </c>
      <c r="N16" s="674">
        <v>-4877</v>
      </c>
      <c r="O16" s="674">
        <f t="shared" si="4"/>
        <v>0</v>
      </c>
    </row>
    <row r="17" spans="1:15" s="7" customFormat="1" ht="12" outlineLevel="1" x14ac:dyDescent="0.2">
      <c r="B17" s="6" t="s">
        <v>234</v>
      </c>
      <c r="C17" s="12" t="s">
        <v>228</v>
      </c>
      <c r="D17" s="14" t="s">
        <v>235</v>
      </c>
      <c r="E17" s="226"/>
      <c r="F17" s="234"/>
      <c r="G17" s="5" t="s">
        <v>268</v>
      </c>
      <c r="H17" s="20" t="s">
        <v>217</v>
      </c>
      <c r="I17" s="375">
        <v>73711</v>
      </c>
      <c r="J17" s="783">
        <f>VLOOKUP(H17,'Datetel Feb 28, 2013'!A:F,6,0)</f>
        <v>73711</v>
      </c>
      <c r="K17" s="375">
        <f>VLOOKUP(H17,'Datetel Feb 28, 2013'!A:G,7,0)</f>
        <v>72921.119999999995</v>
      </c>
      <c r="L17" s="375">
        <f>VLOOKUP(H17,'Datetel Feb 28, 2013'!A:I,8,0)</f>
        <v>0</v>
      </c>
      <c r="M17" s="615">
        <f t="shared" si="3"/>
        <v>789.88000000000466</v>
      </c>
      <c r="N17" s="674"/>
      <c r="O17" s="674">
        <f t="shared" si="4"/>
        <v>73711</v>
      </c>
    </row>
    <row r="18" spans="1:15" s="7" customFormat="1" ht="12" outlineLevel="1" x14ac:dyDescent="0.2">
      <c r="B18" s="6" t="s">
        <v>234</v>
      </c>
      <c r="C18" s="12" t="s">
        <v>228</v>
      </c>
      <c r="D18" s="14" t="s">
        <v>204</v>
      </c>
      <c r="E18" s="226"/>
      <c r="F18" s="234"/>
      <c r="G18" s="5" t="s">
        <v>150</v>
      </c>
      <c r="H18" s="20" t="s">
        <v>218</v>
      </c>
      <c r="I18" s="375">
        <v>15000</v>
      </c>
      <c r="J18" s="783">
        <f>VLOOKUP(H18,'Datetel Feb 28, 2013'!A:F,6,0)</f>
        <v>15000</v>
      </c>
      <c r="K18" s="375">
        <f>SUM('Datetel Feb 28, 2013'!G145:G150)</f>
        <v>4748.2700000000004</v>
      </c>
      <c r="L18" s="375">
        <f>VLOOKUP(H18,'Datetel Feb 28, 2013'!A:I,8,0)</f>
        <v>0</v>
      </c>
      <c r="M18" s="615">
        <f t="shared" si="3"/>
        <v>10251.73</v>
      </c>
      <c r="N18" s="674"/>
      <c r="O18" s="674">
        <f t="shared" si="4"/>
        <v>15000</v>
      </c>
    </row>
    <row r="19" spans="1:15" s="7" customFormat="1" ht="12" customHeight="1" outlineLevel="1" x14ac:dyDescent="0.2">
      <c r="B19" s="14" t="s">
        <v>244</v>
      </c>
      <c r="C19" s="228"/>
      <c r="D19" s="14" t="s">
        <v>229</v>
      </c>
      <c r="E19" s="229"/>
      <c r="F19" s="6" t="s">
        <v>750</v>
      </c>
      <c r="G19" s="5" t="s">
        <v>163</v>
      </c>
      <c r="H19" s="20" t="s">
        <v>219</v>
      </c>
      <c r="I19" s="375">
        <v>10000</v>
      </c>
      <c r="J19" s="783">
        <f>VLOOKUP(H19,'Datetel Feb 28, 2013'!A:F,6,0)</f>
        <v>1500</v>
      </c>
      <c r="K19" s="375">
        <f>VLOOKUP(H19,'Datetel Feb 28, 2013'!A:G,7,0)</f>
        <v>176.12</v>
      </c>
      <c r="L19" s="375">
        <f>VLOOKUP(H19,'Datetel Feb 28, 2013'!A:I,8,0)</f>
        <v>0</v>
      </c>
      <c r="M19" s="615">
        <f t="shared" si="3"/>
        <v>1323.88</v>
      </c>
      <c r="N19" s="674"/>
      <c r="O19" s="674">
        <f t="shared" si="4"/>
        <v>10000</v>
      </c>
    </row>
    <row r="20" spans="1:15" s="7" customFormat="1" ht="12" hidden="1" outlineLevel="2" x14ac:dyDescent="0.2">
      <c r="B20" s="14" t="s">
        <v>244</v>
      </c>
      <c r="C20" s="228"/>
      <c r="D20" s="14" t="s">
        <v>952</v>
      </c>
      <c r="E20" s="229"/>
      <c r="F20" s="6"/>
      <c r="G20" s="114" t="s">
        <v>163</v>
      </c>
      <c r="H20" s="20" t="s">
        <v>947</v>
      </c>
      <c r="I20" s="375"/>
      <c r="J20" s="783">
        <f>VLOOKUP(H20,'Datetel Feb 28, 2013'!A:F,6,0)</f>
        <v>8500</v>
      </c>
      <c r="K20" s="375">
        <f>VLOOKUP(H20,'Datetel Feb 28, 2013'!A:G,7,0)</f>
        <v>1817.64</v>
      </c>
      <c r="L20" s="375">
        <f>VLOOKUP(H20,'Datetel Feb 28, 2013'!A:I,8,0)</f>
        <v>0</v>
      </c>
      <c r="M20" s="615">
        <f t="shared" si="3"/>
        <v>6682.36</v>
      </c>
      <c r="N20" s="674"/>
      <c r="O20" s="674">
        <f t="shared" si="4"/>
        <v>0</v>
      </c>
    </row>
    <row r="21" spans="1:15" s="7" customFormat="1" ht="12" outlineLevel="1" collapsed="1" x14ac:dyDescent="0.2">
      <c r="B21" s="14" t="s">
        <v>244</v>
      </c>
      <c r="C21" s="228" t="s">
        <v>228</v>
      </c>
      <c r="D21" s="14" t="s">
        <v>232</v>
      </c>
      <c r="E21" s="229"/>
      <c r="F21" s="6"/>
      <c r="G21" s="119" t="s">
        <v>163</v>
      </c>
      <c r="H21" s="20" t="s">
        <v>222</v>
      </c>
      <c r="I21" s="375">
        <v>17453</v>
      </c>
      <c r="J21" s="783">
        <f>VLOOKUP(H21,'Datetel Feb 28, 2013'!A:F,6,0)</f>
        <v>17453</v>
      </c>
      <c r="K21" s="375">
        <f>VLOOKUP(H21,'Datetel Feb 28, 2013'!A:G,7,0)+'Datetel Feb 28, 2013'!G132+'Datetel Feb 28, 2013'!G133+'Datetel Feb 28, 2013'!G134+'Datetel Feb 28, 2013'!G135</f>
        <v>15800.349999999999</v>
      </c>
      <c r="L21" s="375">
        <f>VLOOKUP(H21,'Datetel Feb 28, 2013'!A:I,8,0)</f>
        <v>0</v>
      </c>
      <c r="M21" s="615">
        <f t="shared" si="3"/>
        <v>1652.6500000000015</v>
      </c>
      <c r="N21" s="674"/>
      <c r="O21" s="674">
        <f t="shared" si="4"/>
        <v>17453</v>
      </c>
    </row>
    <row r="22" spans="1:15" s="416" customFormat="1" ht="12.75" outlineLevel="1" x14ac:dyDescent="0.2">
      <c r="A22" s="74"/>
      <c r="B22" s="229" t="s">
        <v>234</v>
      </c>
      <c r="C22" s="271" t="s">
        <v>171</v>
      </c>
      <c r="D22" s="234" t="s">
        <v>60</v>
      </c>
      <c r="E22" s="229"/>
      <c r="F22" s="229"/>
      <c r="G22" s="49" t="s">
        <v>163</v>
      </c>
      <c r="H22" s="48" t="s">
        <v>383</v>
      </c>
      <c r="I22" s="375">
        <v>340397</v>
      </c>
      <c r="J22" s="783">
        <f>VLOOKUP(H22,'Datetel Feb 28, 2013'!A:F,6,0)</f>
        <v>340397</v>
      </c>
      <c r="K22" s="375">
        <f>VLOOKUP(H22,'Datetel Feb 28, 2013'!A:G,7,0)</f>
        <v>242743.92</v>
      </c>
      <c r="L22" s="375">
        <f>VLOOKUP(H22,'Datetel Feb 28, 2013'!A:I,8,0)</f>
        <v>0</v>
      </c>
      <c r="M22" s="615">
        <f t="shared" si="3"/>
        <v>97653.079999999987</v>
      </c>
      <c r="N22" s="674"/>
      <c r="O22" s="674">
        <f t="shared" si="4"/>
        <v>340397</v>
      </c>
    </row>
    <row r="23" spans="1:15" s="416" customFormat="1" ht="12.75" outlineLevel="1" x14ac:dyDescent="0.2">
      <c r="A23" s="74"/>
      <c r="B23" s="221" t="s">
        <v>234</v>
      </c>
      <c r="C23" s="263" t="s">
        <v>171</v>
      </c>
      <c r="D23" s="264" t="s">
        <v>329</v>
      </c>
      <c r="E23" s="221"/>
      <c r="F23" s="227"/>
      <c r="G23" s="17" t="s">
        <v>163</v>
      </c>
      <c r="H23" s="29" t="s">
        <v>384</v>
      </c>
      <c r="I23" s="375">
        <v>88013</v>
      </c>
      <c r="J23" s="783">
        <f>VLOOKUP(H23,'Datetel Feb 28, 2013'!A:F,6,0)</f>
        <v>88013</v>
      </c>
      <c r="K23" s="375">
        <f>VLOOKUP(H23,'Datetel Feb 28, 2013'!A:G,7,0)</f>
        <v>0</v>
      </c>
      <c r="L23" s="375">
        <f>VLOOKUP(H23,'Datetel Feb 28, 2013'!A:I,8,0)</f>
        <v>0</v>
      </c>
      <c r="M23" s="615">
        <f t="shared" si="3"/>
        <v>88013</v>
      </c>
      <c r="N23" s="674"/>
      <c r="O23" s="674">
        <f t="shared" si="4"/>
        <v>88013</v>
      </c>
    </row>
    <row r="24" spans="1:15" s="416" customFormat="1" ht="12.75" outlineLevel="1" x14ac:dyDescent="0.2">
      <c r="A24" s="74"/>
      <c r="B24" s="221" t="s">
        <v>234</v>
      </c>
      <c r="C24" s="798"/>
      <c r="D24" s="370" t="s">
        <v>745</v>
      </c>
      <c r="E24" s="370"/>
      <c r="F24" s="227"/>
      <c r="G24" s="34" t="s">
        <v>153</v>
      </c>
      <c r="H24" s="41" t="s">
        <v>759</v>
      </c>
      <c r="I24" s="375">
        <v>2500</v>
      </c>
      <c r="J24" s="783">
        <f>VLOOKUP(H24,'Datetel Feb 28, 2013'!A:F,6,0)</f>
        <v>2500</v>
      </c>
      <c r="K24" s="375">
        <f>VLOOKUP(H24,'Datetel Feb 28, 2013'!A:G,7,0)</f>
        <v>2500</v>
      </c>
      <c r="L24" s="375">
        <f>VLOOKUP(H24,'Datetel Feb 28, 2013'!A:I,8,0)</f>
        <v>0</v>
      </c>
      <c r="M24" s="615">
        <f t="shared" si="3"/>
        <v>0</v>
      </c>
      <c r="N24" s="674"/>
      <c r="O24" s="674">
        <f t="shared" si="4"/>
        <v>2500</v>
      </c>
    </row>
    <row r="25" spans="1:15" s="7" customFormat="1" ht="12" outlineLevel="1" x14ac:dyDescent="0.2">
      <c r="B25" s="229" t="s">
        <v>132</v>
      </c>
      <c r="C25" s="12" t="s">
        <v>228</v>
      </c>
      <c r="D25" s="14" t="s">
        <v>405</v>
      </c>
      <c r="E25" s="226"/>
      <c r="F25" s="227"/>
      <c r="G25" s="5" t="s">
        <v>154</v>
      </c>
      <c r="H25" s="20" t="s">
        <v>403</v>
      </c>
      <c r="I25" s="375">
        <v>19057</v>
      </c>
      <c r="J25" s="783">
        <f>VLOOKUP(H25,'Datetel Feb 28, 2013'!A:F,6,0)</f>
        <v>19057</v>
      </c>
      <c r="K25" s="375">
        <f>VLOOKUP(H25,'Datetel Feb 28, 2013'!A:G,7,0)</f>
        <v>8160</v>
      </c>
      <c r="L25" s="375">
        <f>VLOOKUP(H25,'Datetel Feb 28, 2013'!A:I,8,0)</f>
        <v>0</v>
      </c>
      <c r="M25" s="615">
        <f t="shared" si="3"/>
        <v>10897</v>
      </c>
      <c r="N25" s="674"/>
      <c r="O25" s="674">
        <f t="shared" si="4"/>
        <v>19057</v>
      </c>
    </row>
    <row r="26" spans="1:15" s="7" customFormat="1" ht="12" outlineLevel="1" x14ac:dyDescent="0.2">
      <c r="B26" s="229" t="s">
        <v>132</v>
      </c>
      <c r="C26" s="12" t="s">
        <v>228</v>
      </c>
      <c r="D26" s="14" t="s">
        <v>280</v>
      </c>
      <c r="E26" s="226"/>
      <c r="F26" s="227"/>
      <c r="G26" s="5" t="s">
        <v>154</v>
      </c>
      <c r="H26" s="20" t="s">
        <v>216</v>
      </c>
      <c r="I26" s="375">
        <v>7479</v>
      </c>
      <c r="J26" s="783">
        <f>VLOOKUP(H26,'Datetel Feb 28, 2013'!A:F,6,0)</f>
        <v>7479</v>
      </c>
      <c r="K26" s="375">
        <f>VLOOKUP(H26,'Datetel Feb 28, 2013'!A:G,7,0)</f>
        <v>7479</v>
      </c>
      <c r="L26" s="375">
        <f>VLOOKUP(H26,'Datetel Feb 28, 2013'!A:I,8,0)</f>
        <v>0</v>
      </c>
      <c r="M26" s="615">
        <f t="shared" si="3"/>
        <v>0</v>
      </c>
      <c r="N26" s="674"/>
      <c r="O26" s="674">
        <f t="shared" si="4"/>
        <v>7479</v>
      </c>
    </row>
    <row r="27" spans="1:15" s="322" customFormat="1" ht="12.75" outlineLevel="1" x14ac:dyDescent="0.2">
      <c r="A27" s="74"/>
      <c r="B27" s="221" t="s">
        <v>132</v>
      </c>
      <c r="C27" s="277" t="s">
        <v>127</v>
      </c>
      <c r="D27" s="264" t="s">
        <v>334</v>
      </c>
      <c r="E27" s="221"/>
      <c r="F27" s="251"/>
      <c r="G27" s="626" t="s">
        <v>154</v>
      </c>
      <c r="H27" s="29" t="s">
        <v>740</v>
      </c>
      <c r="I27" s="375">
        <v>6500</v>
      </c>
      <c r="J27" s="783">
        <f>VLOOKUP(H27,'Datetel Feb 28, 2013'!A:F,6,0)</f>
        <v>6500</v>
      </c>
      <c r="K27" s="375">
        <f>VLOOKUP(H27,'Datetel Feb 28, 2013'!A:G,7,0)</f>
        <v>6255</v>
      </c>
      <c r="L27" s="375">
        <f>VLOOKUP(H27,'Datetel Feb 28, 2013'!A:I,8,0)</f>
        <v>0</v>
      </c>
      <c r="M27" s="615">
        <f t="shared" si="3"/>
        <v>245</v>
      </c>
      <c r="N27" s="674"/>
      <c r="O27" s="674">
        <f t="shared" si="4"/>
        <v>6500</v>
      </c>
    </row>
    <row r="28" spans="1:15" s="446" customFormat="1" ht="12.75" outlineLevel="1" x14ac:dyDescent="0.2">
      <c r="A28" s="74"/>
      <c r="B28" s="229" t="s">
        <v>132</v>
      </c>
      <c r="C28" s="354" t="s">
        <v>127</v>
      </c>
      <c r="D28" s="234" t="s">
        <v>66</v>
      </c>
      <c r="E28" s="229"/>
      <c r="F28" s="251" t="s">
        <v>1010</v>
      </c>
      <c r="G28" s="611" t="s">
        <v>154</v>
      </c>
      <c r="H28" s="48" t="s">
        <v>373</v>
      </c>
      <c r="I28" s="375">
        <v>78691</v>
      </c>
      <c r="J28" s="783">
        <f>VLOOKUP(H28,'Datetel Feb 28, 2013'!A:F,6,0)</f>
        <v>78691</v>
      </c>
      <c r="K28" s="375">
        <f>VLOOKUP(H28,'Datetel Feb 28, 2013'!A:G,7,0)</f>
        <v>78691.63</v>
      </c>
      <c r="L28" s="375">
        <f>VLOOKUP(H28,'Datetel Feb 28, 2013'!A:I,8,0)</f>
        <v>0</v>
      </c>
      <c r="M28" s="615">
        <f t="shared" si="3"/>
        <v>-0.63000000000465661</v>
      </c>
      <c r="N28" s="674">
        <v>4722</v>
      </c>
      <c r="O28" s="674">
        <f t="shared" si="4"/>
        <v>83413</v>
      </c>
    </row>
    <row r="29" spans="1:15" s="446" customFormat="1" ht="13.5" outlineLevel="1" thickBot="1" x14ac:dyDescent="0.25">
      <c r="A29" s="74"/>
      <c r="B29" s="650" t="s">
        <v>132</v>
      </c>
      <c r="C29" s="651" t="s">
        <v>127</v>
      </c>
      <c r="D29" s="652" t="s">
        <v>401</v>
      </c>
      <c r="E29" s="650"/>
      <c r="F29" s="251"/>
      <c r="G29" s="653" t="s">
        <v>154</v>
      </c>
      <c r="H29" s="654" t="s">
        <v>374</v>
      </c>
      <c r="I29" s="375">
        <v>15609</v>
      </c>
      <c r="J29" s="783">
        <f>VLOOKUP(H29,'Datetel Feb 28, 2013'!A:F,6,0)</f>
        <v>15609</v>
      </c>
      <c r="K29" s="375">
        <f>VLOOKUP(H29,'Datetel Feb 28, 2013'!A:G,7,0)</f>
        <v>11514.1</v>
      </c>
      <c r="L29" s="375">
        <f>VLOOKUP(H29,'Datetel Feb 28, 2013'!A:I,8,0)</f>
        <v>4099.8999999999996</v>
      </c>
      <c r="M29" s="615">
        <f t="shared" si="3"/>
        <v>-5</v>
      </c>
      <c r="N29" s="674"/>
      <c r="O29" s="674">
        <f t="shared" si="4"/>
        <v>15609</v>
      </c>
    </row>
    <row r="30" spans="1:15" s="74" customFormat="1" ht="13.5" outlineLevel="1" thickBot="1" x14ac:dyDescent="0.25">
      <c r="B30" s="120"/>
      <c r="C30" s="121"/>
      <c r="D30" s="122"/>
      <c r="E30" s="122"/>
      <c r="F30" s="122"/>
      <c r="G30" s="122"/>
      <c r="H30" s="123" t="s">
        <v>209</v>
      </c>
      <c r="I30" s="672">
        <f>SUM(I6,I11,I12:I29)</f>
        <v>770681</v>
      </c>
      <c r="J30" s="672">
        <f>SUM(J6,J11,J13:J29)</f>
        <v>770681</v>
      </c>
      <c r="K30" s="672">
        <f>SUM(K6,K11,K13:K29)</f>
        <v>519464.86</v>
      </c>
      <c r="L30" s="672">
        <f t="shared" ref="L30:M30" si="5">SUM(L6,L11,L13:L29)</f>
        <v>5538.5499999999993</v>
      </c>
      <c r="M30" s="672">
        <f t="shared" si="5"/>
        <v>245677.58999999997</v>
      </c>
      <c r="N30" s="672">
        <f>SUM(N6,N11,N12:N29)</f>
        <v>-11455</v>
      </c>
      <c r="O30" s="672">
        <f>SUM(O6,O11,O12:O29)</f>
        <v>759226</v>
      </c>
    </row>
    <row r="31" spans="1:15" s="134" customFormat="1" ht="17.25" customHeight="1" outlineLevel="1" x14ac:dyDescent="0.2">
      <c r="B31" s="127"/>
      <c r="C31" s="128"/>
      <c r="D31" s="129"/>
      <c r="E31" s="129"/>
      <c r="F31" s="127"/>
      <c r="G31" s="127"/>
      <c r="H31" s="130"/>
      <c r="I31" s="131"/>
      <c r="J31" s="574"/>
      <c r="K31" s="878"/>
      <c r="L31" s="133"/>
      <c r="M31" s="826">
        <v>412305</v>
      </c>
      <c r="N31" s="574"/>
      <c r="O31" s="574"/>
    </row>
    <row r="32" spans="1:15" s="135" customFormat="1" ht="24" customHeight="1" outlineLevel="1" thickBot="1" x14ac:dyDescent="0.3">
      <c r="B32" s="924" t="s">
        <v>177</v>
      </c>
      <c r="C32" s="134"/>
      <c r="F32" s="134"/>
      <c r="G32" s="134"/>
      <c r="H32" s="134"/>
      <c r="I32" s="136"/>
      <c r="J32" s="575"/>
      <c r="K32" s="878"/>
      <c r="L32" s="133"/>
      <c r="M32" s="600"/>
      <c r="N32" s="575"/>
      <c r="O32" s="575"/>
    </row>
    <row r="33" spans="2:18" ht="12.75" outlineLevel="1" x14ac:dyDescent="0.2">
      <c r="B33" s="79" t="s">
        <v>118</v>
      </c>
      <c r="C33" s="80"/>
      <c r="D33" s="138"/>
      <c r="E33" s="81"/>
      <c r="F33" s="80"/>
      <c r="G33" s="80"/>
      <c r="H33" s="80"/>
      <c r="I33" s="864">
        <v>0.92307692307692313</v>
      </c>
      <c r="J33" s="864">
        <v>0.92307692307692313</v>
      </c>
      <c r="K33" s="84" t="s">
        <v>123</v>
      </c>
      <c r="L33" s="85"/>
      <c r="M33" s="729" t="s">
        <v>124</v>
      </c>
      <c r="N33" s="796" t="s">
        <v>121</v>
      </c>
      <c r="O33" s="864" t="s">
        <v>958</v>
      </c>
    </row>
    <row r="34" spans="2:18" s="74" customFormat="1" ht="13.5" outlineLevel="1" thickBot="1" x14ac:dyDescent="0.25">
      <c r="B34" s="87" t="s">
        <v>148</v>
      </c>
      <c r="C34" s="88" t="s">
        <v>125</v>
      </c>
      <c r="D34" s="139" t="s">
        <v>61</v>
      </c>
      <c r="E34" s="88" t="s">
        <v>250</v>
      </c>
      <c r="F34" s="88" t="s">
        <v>147</v>
      </c>
      <c r="G34" s="88" t="s">
        <v>149</v>
      </c>
      <c r="H34" s="88" t="s">
        <v>62</v>
      </c>
      <c r="I34" s="740" t="s">
        <v>120</v>
      </c>
      <c r="J34" s="610" t="s">
        <v>272</v>
      </c>
      <c r="K34" s="865" t="s">
        <v>979</v>
      </c>
      <c r="L34" s="92" t="s">
        <v>119</v>
      </c>
      <c r="M34" s="88" t="s">
        <v>118</v>
      </c>
      <c r="N34" s="88" t="s">
        <v>122</v>
      </c>
      <c r="O34" s="740" t="s">
        <v>959</v>
      </c>
    </row>
    <row r="35" spans="2:18" s="7" customFormat="1" ht="12" hidden="1" outlineLevel="2" x14ac:dyDescent="0.2">
      <c r="B35" s="680"/>
      <c r="C35" s="691"/>
      <c r="D35" s="692" t="s">
        <v>180</v>
      </c>
      <c r="E35" s="237"/>
      <c r="F35" s="684"/>
      <c r="G35" s="681"/>
      <c r="H35" s="685" t="s">
        <v>193</v>
      </c>
      <c r="I35" s="662">
        <v>1100</v>
      </c>
      <c r="J35" s="727">
        <f>VLOOKUP(H35,'Datetel Feb 28, 2013'!A:F,6,0)</f>
        <v>1100</v>
      </c>
      <c r="K35" s="662">
        <f>VLOOKUP(H35,'Datetel Feb 28, 2013'!A:G,7,0)</f>
        <v>0</v>
      </c>
      <c r="L35" s="879">
        <f>VLOOKUP(H35,'Datetel Feb 28, 2013'!A:I,8,0)</f>
        <v>0</v>
      </c>
      <c r="M35" s="615">
        <f t="shared" ref="M35:M64" si="6">J35-K35-L35</f>
        <v>1100</v>
      </c>
      <c r="N35" s="674"/>
      <c r="O35" s="674"/>
    </row>
    <row r="36" spans="2:18" s="7" customFormat="1" ht="12" hidden="1" outlineLevel="2" x14ac:dyDescent="0.2">
      <c r="B36" s="680"/>
      <c r="C36" s="691"/>
      <c r="D36" s="692" t="s">
        <v>180</v>
      </c>
      <c r="E36" s="237"/>
      <c r="F36" s="684"/>
      <c r="G36" s="681"/>
      <c r="H36" s="685" t="s">
        <v>194</v>
      </c>
      <c r="I36" s="662">
        <v>3300</v>
      </c>
      <c r="J36" s="727">
        <f>VLOOKUP(H36,'Datetel Feb 28, 2013'!A:F,6,0)</f>
        <v>3300</v>
      </c>
      <c r="K36" s="662">
        <f>VLOOKUP(H36,'Datetel Feb 28, 2013'!A:G,7,0)</f>
        <v>0</v>
      </c>
      <c r="L36" s="879">
        <f>VLOOKUP(H36,'Datetel Feb 28, 2013'!A:I,8,0)</f>
        <v>0</v>
      </c>
      <c r="M36" s="615">
        <f t="shared" si="6"/>
        <v>3300</v>
      </c>
      <c r="N36" s="674"/>
      <c r="O36" s="674"/>
    </row>
    <row r="37" spans="2:18" s="631" customFormat="1" ht="12" outlineLevel="1" collapsed="1" x14ac:dyDescent="0.2">
      <c r="B37" s="632" t="s">
        <v>416</v>
      </c>
      <c r="C37" s="633" t="s">
        <v>245</v>
      </c>
      <c r="D37" s="634" t="s">
        <v>276</v>
      </c>
      <c r="E37" s="632"/>
      <c r="F37" s="635"/>
      <c r="G37" s="636" t="s">
        <v>163</v>
      </c>
      <c r="H37" s="669" t="s">
        <v>428</v>
      </c>
      <c r="I37" s="674">
        <v>4400</v>
      </c>
      <c r="J37" s="828">
        <f>SUM(J35:J36)</f>
        <v>4400</v>
      </c>
      <c r="K37" s="674">
        <f t="shared" ref="K37:L37" si="7">SUM(K35:K36)</f>
        <v>0</v>
      </c>
      <c r="L37" s="674">
        <f t="shared" si="7"/>
        <v>0</v>
      </c>
      <c r="M37" s="615">
        <f t="shared" si="6"/>
        <v>4400</v>
      </c>
      <c r="N37" s="674"/>
      <c r="O37" s="674">
        <f>I37</f>
        <v>4400</v>
      </c>
      <c r="R37" s="631">
        <f>0.4*24464</f>
        <v>9785.6</v>
      </c>
    </row>
    <row r="38" spans="2:18" s="7" customFormat="1" ht="12" hidden="1" customHeight="1" outlineLevel="2" x14ac:dyDescent="0.2">
      <c r="B38" s="680"/>
      <c r="C38" s="682"/>
      <c r="D38" s="693" t="s">
        <v>182</v>
      </c>
      <c r="E38" s="694"/>
      <c r="F38" s="680"/>
      <c r="G38" s="681"/>
      <c r="H38" s="685" t="s">
        <v>196</v>
      </c>
      <c r="I38" s="879">
        <v>660</v>
      </c>
      <c r="J38" s="884">
        <f>VLOOKUP(H38,'Datetel Feb 28, 2013'!A:F,6,0)</f>
        <v>3660</v>
      </c>
      <c r="K38" s="662">
        <f>VLOOKUP(H38,'Datetel Feb 28, 2013'!A:G,7,0)</f>
        <v>452.71</v>
      </c>
      <c r="L38" s="879">
        <f>VLOOKUP(H38,'Datetel Feb 28, 2013'!A:I,8,0)</f>
        <v>0</v>
      </c>
      <c r="M38" s="615">
        <f t="shared" si="6"/>
        <v>3207.29</v>
      </c>
      <c r="N38" s="674"/>
      <c r="O38" s="674"/>
    </row>
    <row r="39" spans="2:18" s="7" customFormat="1" ht="12" hidden="1" outlineLevel="2" x14ac:dyDescent="0.2">
      <c r="B39" s="680"/>
      <c r="C39" s="682"/>
      <c r="D39" s="693" t="s">
        <v>182</v>
      </c>
      <c r="E39" s="694"/>
      <c r="F39" s="682"/>
      <c r="G39" s="683"/>
      <c r="H39" s="685" t="s">
        <v>197</v>
      </c>
      <c r="I39" s="879">
        <v>440</v>
      </c>
      <c r="J39" s="884">
        <f>VLOOKUP(H39,'Datetel Feb 28, 2013'!A:F,6,0)</f>
        <v>440</v>
      </c>
      <c r="K39" s="662">
        <f>VLOOKUP(H39,'Datetel Feb 28, 2013'!A:G,7,0)</f>
        <v>0</v>
      </c>
      <c r="L39" s="879">
        <f>VLOOKUP(H39,'Datetel Feb 28, 2013'!A:I,8,0)</f>
        <v>0</v>
      </c>
      <c r="M39" s="615">
        <f t="shared" si="6"/>
        <v>440</v>
      </c>
      <c r="N39" s="674"/>
      <c r="O39" s="674"/>
    </row>
    <row r="40" spans="2:18" s="7" customFormat="1" ht="12" hidden="1" outlineLevel="2" x14ac:dyDescent="0.2">
      <c r="B40" s="680"/>
      <c r="C40" s="682"/>
      <c r="D40" s="693" t="s">
        <v>182</v>
      </c>
      <c r="E40" s="694"/>
      <c r="F40" s="682"/>
      <c r="G40" s="683"/>
      <c r="H40" s="685" t="s">
        <v>198</v>
      </c>
      <c r="I40" s="879">
        <v>3300</v>
      </c>
      <c r="J40" s="884">
        <f>VLOOKUP(H40,'Datetel Feb 28, 2013'!A:F,6,0)</f>
        <v>300</v>
      </c>
      <c r="K40" s="662">
        <f>VLOOKUP(H40,'Datetel Feb 28, 2013'!A:G,7,0)</f>
        <v>85</v>
      </c>
      <c r="L40" s="879">
        <f>VLOOKUP(H40,'Datetel Feb 28, 2013'!A:I,8,0)</f>
        <v>0</v>
      </c>
      <c r="M40" s="615">
        <f t="shared" si="6"/>
        <v>215</v>
      </c>
      <c r="N40" s="674"/>
      <c r="O40" s="674"/>
    </row>
    <row r="41" spans="2:18" s="631" customFormat="1" ht="12" outlineLevel="1" collapsed="1" x14ac:dyDescent="0.2">
      <c r="B41" s="639" t="s">
        <v>416</v>
      </c>
      <c r="C41" s="640" t="s">
        <v>245</v>
      </c>
      <c r="D41" s="641" t="s">
        <v>182</v>
      </c>
      <c r="E41" s="642"/>
      <c r="F41" s="624"/>
      <c r="G41" s="643" t="s">
        <v>163</v>
      </c>
      <c r="H41" s="669" t="s">
        <v>428</v>
      </c>
      <c r="I41" s="674">
        <v>4400</v>
      </c>
      <c r="J41" s="828">
        <f>SUM(J38:J40)</f>
        <v>4400</v>
      </c>
      <c r="K41" s="674">
        <f t="shared" ref="K41:L41" si="8">SUM(K38:K40)</f>
        <v>537.71</v>
      </c>
      <c r="L41" s="674">
        <f t="shared" si="8"/>
        <v>0</v>
      </c>
      <c r="M41" s="615">
        <f t="shared" si="6"/>
        <v>3862.29</v>
      </c>
      <c r="N41" s="674"/>
      <c r="O41" s="674">
        <f>I41</f>
        <v>4400</v>
      </c>
    </row>
    <row r="42" spans="2:18" s="631" customFormat="1" ht="12" outlineLevel="1" x14ac:dyDescent="0.2">
      <c r="B42" s="622" t="s">
        <v>998</v>
      </c>
      <c r="C42" s="916"/>
      <c r="D42" s="634" t="s">
        <v>999</v>
      </c>
      <c r="E42" s="917"/>
      <c r="F42" s="918" t="s">
        <v>1008</v>
      </c>
      <c r="G42" s="919" t="s">
        <v>163</v>
      </c>
      <c r="H42" s="648" t="s">
        <v>1001</v>
      </c>
      <c r="I42" s="922"/>
      <c r="J42" s="920"/>
      <c r="K42" s="922"/>
      <c r="L42" s="922"/>
      <c r="M42" s="921"/>
      <c r="N42" s="922">
        <v>5000</v>
      </c>
      <c r="O42" s="674">
        <f t="shared" ref="O42:O64" si="9">I42+N42</f>
        <v>5000</v>
      </c>
    </row>
    <row r="43" spans="2:18" s="7" customFormat="1" ht="12" outlineLevel="1" x14ac:dyDescent="0.2">
      <c r="B43" s="6" t="s">
        <v>234</v>
      </c>
      <c r="C43" s="12" t="s">
        <v>245</v>
      </c>
      <c r="D43" s="13" t="s">
        <v>278</v>
      </c>
      <c r="E43" s="250"/>
      <c r="F43" s="230" t="s">
        <v>1000</v>
      </c>
      <c r="G43" s="5" t="s">
        <v>150</v>
      </c>
      <c r="H43" s="16" t="s">
        <v>185</v>
      </c>
      <c r="I43" s="375">
        <v>33200</v>
      </c>
      <c r="J43" s="783">
        <v>33200</v>
      </c>
      <c r="K43" s="375">
        <f>SUM('Datetel Feb 28, 2013'!G15:G54)</f>
        <v>3243.3</v>
      </c>
      <c r="L43" s="375">
        <f>VLOOKUP(H43,'Datetel Feb 28, 2013'!A:I,8,0)</f>
        <v>0</v>
      </c>
      <c r="M43" s="615">
        <f t="shared" si="6"/>
        <v>29956.7</v>
      </c>
      <c r="N43" s="674"/>
      <c r="O43" s="674">
        <f t="shared" si="9"/>
        <v>33200</v>
      </c>
    </row>
    <row r="44" spans="2:18" s="7" customFormat="1" ht="12" outlineLevel="1" x14ac:dyDescent="0.2">
      <c r="B44" s="6" t="s">
        <v>234</v>
      </c>
      <c r="C44" s="12" t="s">
        <v>245</v>
      </c>
      <c r="D44" s="13" t="s">
        <v>178</v>
      </c>
      <c r="E44" s="14"/>
      <c r="F44" s="6" t="s">
        <v>997</v>
      </c>
      <c r="G44" s="5" t="s">
        <v>150</v>
      </c>
      <c r="H44" s="16" t="s">
        <v>186</v>
      </c>
      <c r="I44" s="375">
        <v>27500</v>
      </c>
      <c r="J44" s="783">
        <f>VLOOKUP(H44,'Datetel Feb 28, 2013'!A:F,6,0)</f>
        <v>27500</v>
      </c>
      <c r="K44" s="375">
        <f>VLOOKUP(H44,'Datetel Feb 28, 2013'!A:G,7,0)</f>
        <v>0</v>
      </c>
      <c r="L44" s="375">
        <f>VLOOKUP(H44,'Datetel Feb 28, 2013'!A:I,8,0)</f>
        <v>0</v>
      </c>
      <c r="M44" s="615">
        <f t="shared" si="6"/>
        <v>27500</v>
      </c>
      <c r="N44" s="674">
        <v>-27500</v>
      </c>
      <c r="O44" s="674">
        <f>I44+N44</f>
        <v>0</v>
      </c>
    </row>
    <row r="45" spans="2:18" s="7" customFormat="1" ht="12" outlineLevel="1" x14ac:dyDescent="0.2">
      <c r="B45" s="231" t="s">
        <v>263</v>
      </c>
      <c r="C45" s="255" t="s">
        <v>245</v>
      </c>
      <c r="D45" s="231" t="s">
        <v>293</v>
      </c>
      <c r="E45" s="256" t="s">
        <v>199</v>
      </c>
      <c r="F45" s="231"/>
      <c r="G45" s="49" t="s">
        <v>154</v>
      </c>
      <c r="H45" s="24" t="s">
        <v>274</v>
      </c>
      <c r="I45" s="375">
        <v>40155</v>
      </c>
      <c r="J45" s="783">
        <v>40155</v>
      </c>
      <c r="K45" s="375">
        <f>VLOOKUP(H45,'Datetel Feb 28, 2013'!A:G,7,0)-K46</f>
        <v>38145.910000000003</v>
      </c>
      <c r="L45" s="375">
        <f>VLOOKUP(H45,'Datetel Feb 28, 2013'!A:I,8,0)</f>
        <v>2364.09</v>
      </c>
      <c r="M45" s="615">
        <f t="shared" si="6"/>
        <v>-355.00000000000364</v>
      </c>
      <c r="N45" s="674"/>
      <c r="O45" s="674">
        <f t="shared" si="9"/>
        <v>40155</v>
      </c>
    </row>
    <row r="46" spans="2:18" s="7" customFormat="1" ht="12" outlineLevel="1" x14ac:dyDescent="0.2">
      <c r="B46" s="231" t="s">
        <v>263</v>
      </c>
      <c r="C46" s="255" t="s">
        <v>245</v>
      </c>
      <c r="D46" s="256" t="s">
        <v>415</v>
      </c>
      <c r="E46" s="256" t="s">
        <v>199</v>
      </c>
      <c r="F46" s="231" t="s">
        <v>1004</v>
      </c>
      <c r="G46" s="33" t="s">
        <v>154</v>
      </c>
      <c r="H46" s="24" t="s">
        <v>274</v>
      </c>
      <c r="I46" s="375">
        <v>4877</v>
      </c>
      <c r="J46" s="783">
        <v>4877</v>
      </c>
      <c r="K46" s="375">
        <v>4500</v>
      </c>
      <c r="L46" s="375">
        <v>0</v>
      </c>
      <c r="M46" s="615">
        <f t="shared" si="6"/>
        <v>377</v>
      </c>
      <c r="N46" s="674">
        <f>-I46</f>
        <v>-4877</v>
      </c>
      <c r="O46" s="674">
        <f t="shared" si="9"/>
        <v>0</v>
      </c>
    </row>
    <row r="47" spans="2:18" s="7" customFormat="1" ht="13.5" customHeight="1" outlineLevel="1" x14ac:dyDescent="0.2">
      <c r="B47" s="6" t="s">
        <v>262</v>
      </c>
      <c r="C47" s="12" t="s">
        <v>245</v>
      </c>
      <c r="D47" s="13" t="s">
        <v>235</v>
      </c>
      <c r="E47" s="14" t="s">
        <v>201</v>
      </c>
      <c r="F47" s="6"/>
      <c r="G47" s="5" t="s">
        <v>268</v>
      </c>
      <c r="H47" s="16" t="s">
        <v>188</v>
      </c>
      <c r="I47" s="375">
        <v>110568</v>
      </c>
      <c r="J47" s="783">
        <f>VLOOKUP(H47,'Datetel Feb 28, 2013'!A:F,6,0)</f>
        <v>109382</v>
      </c>
      <c r="K47" s="375">
        <f>VLOOKUP(H47,'Datetel Feb 28, 2013'!A:G,7,0)</f>
        <v>109381.68</v>
      </c>
      <c r="L47" s="375">
        <f>VLOOKUP(H47,'Datetel Feb 28, 2013'!A:I,8,0)</f>
        <v>0</v>
      </c>
      <c r="M47" s="615">
        <f t="shared" si="6"/>
        <v>0.32000000000698492</v>
      </c>
      <c r="N47" s="674"/>
      <c r="O47" s="674">
        <f t="shared" si="9"/>
        <v>110568</v>
      </c>
    </row>
    <row r="48" spans="2:18" s="7" customFormat="1" ht="12" outlineLevel="1" x14ac:dyDescent="0.2">
      <c r="B48" s="6" t="s">
        <v>262</v>
      </c>
      <c r="C48" s="12" t="s">
        <v>245</v>
      </c>
      <c r="D48" s="13" t="s">
        <v>204</v>
      </c>
      <c r="E48" s="14"/>
      <c r="F48" s="14"/>
      <c r="G48" s="5" t="s">
        <v>150</v>
      </c>
      <c r="H48" s="16" t="s">
        <v>187</v>
      </c>
      <c r="I48" s="375">
        <v>24625</v>
      </c>
      <c r="J48" s="783">
        <v>25811</v>
      </c>
      <c r="K48" s="375">
        <f>SUM('Datetel Feb 28, 2013'!G63:G69)</f>
        <v>10874.640000000001</v>
      </c>
      <c r="L48" s="375">
        <f>VLOOKUP(H48,'Datetel Feb 28, 2013'!A:I,8,0)</f>
        <v>0</v>
      </c>
      <c r="M48" s="615">
        <f t="shared" si="6"/>
        <v>14936.359999999999</v>
      </c>
      <c r="N48" s="674"/>
      <c r="O48" s="674">
        <f t="shared" si="9"/>
        <v>24625</v>
      </c>
    </row>
    <row r="49" spans="2:15" s="7" customFormat="1" ht="12" outlineLevel="1" x14ac:dyDescent="0.2">
      <c r="B49" s="6" t="s">
        <v>244</v>
      </c>
      <c r="C49" s="12" t="s">
        <v>245</v>
      </c>
      <c r="D49" s="13" t="s">
        <v>232</v>
      </c>
      <c r="E49" s="250"/>
      <c r="F49" s="234"/>
      <c r="G49" s="5" t="s">
        <v>163</v>
      </c>
      <c r="H49" s="16" t="s">
        <v>738</v>
      </c>
      <c r="I49" s="375">
        <v>18953</v>
      </c>
      <c r="J49" s="783">
        <f>VLOOKUP(H49,'Datetel Feb 28, 2013'!A:F,6,0)</f>
        <v>18953</v>
      </c>
      <c r="K49" s="375">
        <f>VLOOKUP(H49,'Datetel Feb 28, 2013'!A:G,7,0)</f>
        <v>18326</v>
      </c>
      <c r="L49" s="375">
        <f>VLOOKUP(H49,'Datetel Feb 28, 2013'!A:I,8,0)</f>
        <v>0</v>
      </c>
      <c r="M49" s="615">
        <f t="shared" si="6"/>
        <v>627</v>
      </c>
      <c r="N49" s="674">
        <f>2000+(17137-18953)</f>
        <v>184</v>
      </c>
      <c r="O49" s="674">
        <f t="shared" si="9"/>
        <v>19137</v>
      </c>
    </row>
    <row r="50" spans="2:15" s="7" customFormat="1" ht="12" outlineLevel="1" x14ac:dyDescent="0.2">
      <c r="B50" s="6" t="s">
        <v>244</v>
      </c>
      <c r="C50" s="245"/>
      <c r="D50" s="13" t="s">
        <v>954</v>
      </c>
      <c r="E50" s="877"/>
      <c r="F50" s="6"/>
      <c r="G50" s="5" t="s">
        <v>163</v>
      </c>
      <c r="H50" s="16" t="s">
        <v>779</v>
      </c>
      <c r="I50" s="489"/>
      <c r="J50" s="783">
        <v>7299</v>
      </c>
      <c r="K50" s="375">
        <f>SUM('Datetel Feb 28, 2013'!G3:G9)</f>
        <v>492.66</v>
      </c>
      <c r="L50" s="375">
        <f>VLOOKUP(H50,'Datetel Feb 28, 2013'!A:I,8,0)</f>
        <v>0</v>
      </c>
      <c r="M50" s="615">
        <f t="shared" si="6"/>
        <v>6806.34</v>
      </c>
      <c r="N50" s="674">
        <v>8650</v>
      </c>
      <c r="O50" s="674">
        <f t="shared" si="9"/>
        <v>8650</v>
      </c>
    </row>
    <row r="51" spans="2:15" s="631" customFormat="1" ht="12" outlineLevel="1" x14ac:dyDescent="0.2">
      <c r="B51" s="6" t="s">
        <v>244</v>
      </c>
      <c r="C51" s="12" t="s">
        <v>245</v>
      </c>
      <c r="D51" s="13" t="s">
        <v>229</v>
      </c>
      <c r="E51" s="250"/>
      <c r="F51" s="6"/>
      <c r="G51" s="5" t="s">
        <v>163</v>
      </c>
      <c r="H51" s="16" t="s">
        <v>751</v>
      </c>
      <c r="I51" s="375">
        <v>10000</v>
      </c>
      <c r="J51" s="783">
        <f>VLOOKUP(H51,'Datetel Feb 28, 2013'!A:F,6,0)</f>
        <v>2701</v>
      </c>
      <c r="K51" s="375">
        <f>VLOOKUP(H51,'Datetel Feb 28, 2013'!A:G,7,0)</f>
        <v>99</v>
      </c>
      <c r="L51" s="375">
        <f>VLOOKUP(H51,'Datetel Feb 28, 2013'!A:I,8,0)</f>
        <v>0</v>
      </c>
      <c r="M51" s="615">
        <f t="shared" si="6"/>
        <v>2602</v>
      </c>
      <c r="N51" s="674">
        <v>-8650</v>
      </c>
      <c r="O51" s="674">
        <f t="shared" si="9"/>
        <v>1350</v>
      </c>
    </row>
    <row r="52" spans="2:15" s="74" customFormat="1" ht="12.75" outlineLevel="1" x14ac:dyDescent="0.2">
      <c r="B52" s="229" t="s">
        <v>234</v>
      </c>
      <c r="C52" s="625" t="s">
        <v>171</v>
      </c>
      <c r="D52" s="234" t="s">
        <v>60</v>
      </c>
      <c r="E52" s="229"/>
      <c r="F52" s="229"/>
      <c r="G52" s="49" t="s">
        <v>163</v>
      </c>
      <c r="H52" s="48" t="s">
        <v>381</v>
      </c>
      <c r="I52" s="375">
        <v>468710</v>
      </c>
      <c r="J52" s="783">
        <f>VLOOKUP(H52,'Datetel Feb 28, 2013'!A:F,6,0)</f>
        <v>468710</v>
      </c>
      <c r="K52" s="375">
        <f>VLOOKUP(H52,'Datetel Feb 28, 2013'!A:G,7,0)</f>
        <v>0</v>
      </c>
      <c r="L52" s="375">
        <f>VLOOKUP(H52,'Datetel Feb 28, 2013'!A:I,8,0)</f>
        <v>0</v>
      </c>
      <c r="M52" s="615">
        <f t="shared" si="6"/>
        <v>468710</v>
      </c>
      <c r="N52" s="674"/>
      <c r="O52" s="674">
        <f t="shared" si="9"/>
        <v>468710</v>
      </c>
    </row>
    <row r="53" spans="2:15" s="74" customFormat="1" ht="12.75" outlineLevel="1" x14ac:dyDescent="0.2">
      <c r="B53" s="221" t="s">
        <v>234</v>
      </c>
      <c r="C53" s="263" t="s">
        <v>171</v>
      </c>
      <c r="D53" s="264" t="s">
        <v>331</v>
      </c>
      <c r="E53" s="221"/>
      <c r="F53" s="221"/>
      <c r="G53" s="17" t="s">
        <v>163</v>
      </c>
      <c r="H53" s="29" t="s">
        <v>382</v>
      </c>
      <c r="I53" s="375">
        <v>89345</v>
      </c>
      <c r="J53" s="783">
        <f>VLOOKUP(H53,'Datetel Feb 28, 2013'!A:F,6,0)</f>
        <v>89345</v>
      </c>
      <c r="K53" s="375">
        <f>VLOOKUP(H53,'Datetel Feb 28, 2013'!A:G,7,0)</f>
        <v>0</v>
      </c>
      <c r="L53" s="375">
        <f>VLOOKUP(H53,'Datetel Feb 28, 2013'!A:I,8,0)</f>
        <v>0</v>
      </c>
      <c r="M53" s="615">
        <f t="shared" si="6"/>
        <v>89345</v>
      </c>
      <c r="N53" s="674"/>
      <c r="O53" s="674">
        <f t="shared" si="9"/>
        <v>89345</v>
      </c>
    </row>
    <row r="54" spans="2:15" s="74" customFormat="1" ht="12.75" outlineLevel="1" x14ac:dyDescent="0.2">
      <c r="B54" s="221" t="s">
        <v>234</v>
      </c>
      <c r="C54" s="798"/>
      <c r="D54" s="370" t="s">
        <v>745</v>
      </c>
      <c r="E54" s="370"/>
      <c r="F54" s="227"/>
      <c r="G54" s="34" t="s">
        <v>153</v>
      </c>
      <c r="H54" s="23" t="s">
        <v>760</v>
      </c>
      <c r="I54" s="375">
        <v>2500</v>
      </c>
      <c r="J54" s="783">
        <f>VLOOKUP(H54,'Datetel Feb 28, 2013'!A:F,6,0)</f>
        <v>2500</v>
      </c>
      <c r="K54" s="375">
        <f>VLOOKUP(H54,'Datetel Feb 28, 2013'!A:G,7,0)</f>
        <v>2500</v>
      </c>
      <c r="L54" s="375">
        <f>VLOOKUP(H54,'Datetel Feb 28, 2013'!A:I,8,0)</f>
        <v>0</v>
      </c>
      <c r="M54" s="615">
        <f t="shared" si="6"/>
        <v>0</v>
      </c>
      <c r="N54" s="674"/>
      <c r="O54" s="674">
        <f t="shared" si="9"/>
        <v>2500</v>
      </c>
    </row>
    <row r="55" spans="2:15" s="7" customFormat="1" ht="12" outlineLevel="1" x14ac:dyDescent="0.2">
      <c r="B55" s="221" t="s">
        <v>132</v>
      </c>
      <c r="C55" s="252" t="s">
        <v>245</v>
      </c>
      <c r="D55" s="14" t="s">
        <v>405</v>
      </c>
      <c r="E55" s="226"/>
      <c r="F55" s="227"/>
      <c r="G55" s="5" t="s">
        <v>154</v>
      </c>
      <c r="H55" s="23" t="s">
        <v>404</v>
      </c>
      <c r="I55" s="375">
        <v>19057</v>
      </c>
      <c r="J55" s="783">
        <f>VLOOKUP(H55,'Datetel Feb 28, 2013'!A:F,6,0)</f>
        <v>19057</v>
      </c>
      <c r="K55" s="375">
        <f>VLOOKUP(H55,'Datetel Feb 28, 2013'!A:G,7,0)</f>
        <v>8160</v>
      </c>
      <c r="L55" s="375">
        <f>VLOOKUP(H55,'Datetel Feb 28, 2013'!A:I,8,0)</f>
        <v>0</v>
      </c>
      <c r="M55" s="615">
        <f t="shared" si="6"/>
        <v>10897</v>
      </c>
      <c r="N55" s="674"/>
      <c r="O55" s="674">
        <f t="shared" si="9"/>
        <v>19057</v>
      </c>
    </row>
    <row r="56" spans="2:15" s="7" customFormat="1" ht="12" outlineLevel="1" x14ac:dyDescent="0.2">
      <c r="B56" s="221" t="s">
        <v>132</v>
      </c>
      <c r="C56" s="252" t="s">
        <v>245</v>
      </c>
      <c r="D56" s="253" t="s">
        <v>279</v>
      </c>
      <c r="E56" s="254"/>
      <c r="F56" s="227"/>
      <c r="G56" s="5" t="s">
        <v>154</v>
      </c>
      <c r="H56" s="23" t="s">
        <v>184</v>
      </c>
      <c r="I56" s="375">
        <v>7479</v>
      </c>
      <c r="J56" s="783">
        <f>VLOOKUP(H56,'Datetel Feb 28, 2013'!A:F,6,0)</f>
        <v>7479</v>
      </c>
      <c r="K56" s="375">
        <f>VLOOKUP(H56,'Datetel Feb 28, 2013'!A:G,7,0)</f>
        <v>7479</v>
      </c>
      <c r="L56" s="375">
        <f>VLOOKUP(H56,'Datetel Feb 28, 2013'!A:I,8,0)</f>
        <v>0</v>
      </c>
      <c r="M56" s="615">
        <f t="shared" si="6"/>
        <v>0</v>
      </c>
      <c r="N56" s="674"/>
      <c r="O56" s="674">
        <f t="shared" si="9"/>
        <v>7479</v>
      </c>
    </row>
    <row r="57" spans="2:15" s="74" customFormat="1" ht="12.75" outlineLevel="1" x14ac:dyDescent="0.2">
      <c r="B57" s="221" t="s">
        <v>132</v>
      </c>
      <c r="C57" s="277" t="s">
        <v>127</v>
      </c>
      <c r="D57" s="264" t="s">
        <v>334</v>
      </c>
      <c r="E57" s="221"/>
      <c r="F57" s="281"/>
      <c r="G57" s="626" t="s">
        <v>154</v>
      </c>
      <c r="H57" s="29" t="s">
        <v>739</v>
      </c>
      <c r="I57" s="375">
        <v>6500</v>
      </c>
      <c r="J57" s="783">
        <f>VLOOKUP(H57,'Datetel Feb 28, 2013'!A:F,6,0)</f>
        <v>6500</v>
      </c>
      <c r="K57" s="375">
        <f>VLOOKUP(H57,'Datetel Feb 28, 2013'!A:G,7,0)</f>
        <v>6255</v>
      </c>
      <c r="L57" s="375">
        <f>VLOOKUP(H57,'Datetel Feb 28, 2013'!A:I,8,0)</f>
        <v>0</v>
      </c>
      <c r="M57" s="615">
        <f t="shared" si="6"/>
        <v>245</v>
      </c>
      <c r="N57" s="674"/>
      <c r="O57" s="674">
        <f t="shared" si="9"/>
        <v>6500</v>
      </c>
    </row>
    <row r="58" spans="2:15" s="74" customFormat="1" ht="12.75" customHeight="1" outlineLevel="1" x14ac:dyDescent="0.2">
      <c r="B58" s="221" t="s">
        <v>132</v>
      </c>
      <c r="C58" s="354" t="s">
        <v>127</v>
      </c>
      <c r="D58" s="234" t="s">
        <v>66</v>
      </c>
      <c r="E58" s="229"/>
      <c r="F58" s="251" t="s">
        <v>1010</v>
      </c>
      <c r="G58" s="611" t="s">
        <v>154</v>
      </c>
      <c r="H58" s="48" t="s">
        <v>379</v>
      </c>
      <c r="I58" s="375">
        <v>78691</v>
      </c>
      <c r="J58" s="783">
        <f>VLOOKUP(H58,'Datetel Feb 28, 2013'!A:F,6,0)</f>
        <v>78691</v>
      </c>
      <c r="K58" s="375">
        <f>VLOOKUP(H58,'Datetel Feb 28, 2013'!A:G,7,0)</f>
        <v>78690.63</v>
      </c>
      <c r="L58" s="375">
        <f>VLOOKUP(H58,'Datetel Feb 28, 2013'!A:I,8,0)</f>
        <v>0</v>
      </c>
      <c r="M58" s="615">
        <f t="shared" si="6"/>
        <v>0.36999999999534339</v>
      </c>
      <c r="N58" s="674">
        <v>4722</v>
      </c>
      <c r="O58" s="674">
        <f t="shared" si="9"/>
        <v>83413</v>
      </c>
    </row>
    <row r="59" spans="2:15" s="74" customFormat="1" ht="12.75" outlineLevel="1" x14ac:dyDescent="0.2">
      <c r="B59" s="221" t="s">
        <v>132</v>
      </c>
      <c r="C59" s="627" t="s">
        <v>127</v>
      </c>
      <c r="D59" s="370" t="s">
        <v>400</v>
      </c>
      <c r="E59" s="384"/>
      <c r="F59" s="628"/>
      <c r="G59" s="629" t="s">
        <v>154</v>
      </c>
      <c r="H59" s="630" t="s">
        <v>380</v>
      </c>
      <c r="I59" s="375">
        <v>15609</v>
      </c>
      <c r="J59" s="783">
        <f>VLOOKUP(H59,'Datetel Feb 28, 2013'!A:F,6,0)</f>
        <v>15609</v>
      </c>
      <c r="K59" s="375">
        <f>VLOOKUP(H59,'Datetel Feb 28, 2013'!A:G,7,0)</f>
        <v>15614</v>
      </c>
      <c r="L59" s="375">
        <f>VLOOKUP(H59,'Datetel Feb 28, 2013'!A:I,8,0)</f>
        <v>0</v>
      </c>
      <c r="M59" s="615">
        <f t="shared" si="6"/>
        <v>-5</v>
      </c>
      <c r="N59" s="674"/>
      <c r="O59" s="674">
        <f t="shared" si="9"/>
        <v>15609</v>
      </c>
    </row>
    <row r="60" spans="2:15" s="7" customFormat="1" ht="12" outlineLevel="1" x14ac:dyDescent="0.2">
      <c r="B60" s="384" t="s">
        <v>264</v>
      </c>
      <c r="C60" s="385" t="s">
        <v>245</v>
      </c>
      <c r="D60" s="386" t="s">
        <v>179</v>
      </c>
      <c r="E60" s="387"/>
      <c r="F60" s="370"/>
      <c r="G60" s="388" t="s">
        <v>153</v>
      </c>
      <c r="H60" s="23" t="s">
        <v>189</v>
      </c>
      <c r="I60" s="375">
        <v>34000</v>
      </c>
      <c r="J60" s="783">
        <f>VLOOKUP(H60,'Datetel Feb 28, 2013'!A:F,6,0)</f>
        <v>34000</v>
      </c>
      <c r="K60" s="375">
        <f>VLOOKUP(H60,'Datetel Feb 28, 2013'!A:G,7,0)</f>
        <v>34000</v>
      </c>
      <c r="L60" s="375">
        <f>VLOOKUP(H60,'Datetel Feb 28, 2013'!A:I,8,0)</f>
        <v>0</v>
      </c>
      <c r="M60" s="615">
        <f t="shared" si="6"/>
        <v>0</v>
      </c>
      <c r="N60" s="674"/>
      <c r="O60" s="674">
        <f t="shared" si="9"/>
        <v>34000</v>
      </c>
    </row>
    <row r="61" spans="2:15" s="7" customFormat="1" ht="12" hidden="1" outlineLevel="2" x14ac:dyDescent="0.2">
      <c r="B61" s="680"/>
      <c r="C61" s="691"/>
      <c r="D61" s="693" t="s">
        <v>313</v>
      </c>
      <c r="E61" s="694"/>
      <c r="F61" s="684"/>
      <c r="G61" s="681"/>
      <c r="H61" s="695" t="s">
        <v>190</v>
      </c>
      <c r="I61" s="662">
        <v>4400</v>
      </c>
      <c r="J61" s="727">
        <f>VLOOKUP(H61,'Datetel Feb 28, 2013'!A:F,6,0)</f>
        <v>4400</v>
      </c>
      <c r="K61" s="662">
        <f>VLOOKUP(H61,'Datetel Feb 28, 2013'!A:G,7,0)</f>
        <v>0</v>
      </c>
      <c r="L61" s="662">
        <f>VLOOKUP(H61,'Datetel Feb 28, 2013'!A:I,8,0)</f>
        <v>0</v>
      </c>
      <c r="M61" s="615">
        <f t="shared" si="6"/>
        <v>4400</v>
      </c>
      <c r="N61" s="674"/>
      <c r="O61" s="674">
        <f t="shared" si="9"/>
        <v>4400</v>
      </c>
    </row>
    <row r="62" spans="2:15" s="7" customFormat="1" ht="12" hidden="1" outlineLevel="2" x14ac:dyDescent="0.2">
      <c r="B62" s="680"/>
      <c r="C62" s="691"/>
      <c r="D62" s="693" t="s">
        <v>311</v>
      </c>
      <c r="E62" s="694"/>
      <c r="F62" s="684"/>
      <c r="G62" s="681"/>
      <c r="H62" s="695" t="s">
        <v>191</v>
      </c>
      <c r="I62" s="662">
        <v>1100</v>
      </c>
      <c r="J62" s="727">
        <f>VLOOKUP(H62,'Datetel Feb 28, 2013'!A:F,6,0)</f>
        <v>1100</v>
      </c>
      <c r="K62" s="662">
        <f>VLOOKUP(H62,'Datetel Feb 28, 2013'!A:G,7,0)</f>
        <v>1025.6300000000001</v>
      </c>
      <c r="L62" s="662">
        <f>VLOOKUP(H62,'Datetel Feb 28, 2013'!A:I,8,0)</f>
        <v>0</v>
      </c>
      <c r="M62" s="615">
        <f t="shared" si="6"/>
        <v>74.369999999999891</v>
      </c>
      <c r="N62" s="674"/>
      <c r="O62" s="674">
        <f t="shared" si="9"/>
        <v>1100</v>
      </c>
    </row>
    <row r="63" spans="2:15" s="7" customFormat="1" ht="12" hidden="1" outlineLevel="2" x14ac:dyDescent="0.2">
      <c r="B63" s="680"/>
      <c r="C63" s="691"/>
      <c r="D63" s="693" t="s">
        <v>296</v>
      </c>
      <c r="E63" s="694"/>
      <c r="F63" s="680"/>
      <c r="G63" s="681"/>
      <c r="H63" s="695" t="s">
        <v>192</v>
      </c>
      <c r="I63" s="662">
        <v>3300</v>
      </c>
      <c r="J63" s="727">
        <f>VLOOKUP(H63,'Datetel Feb 28, 2013'!A:F,6,0)</f>
        <v>3300</v>
      </c>
      <c r="K63" s="662">
        <f>VLOOKUP(H63,'Datetel Feb 28, 2013'!A:G,7,0)</f>
        <v>0</v>
      </c>
      <c r="L63" s="662">
        <f>VLOOKUP(H63,'Datetel Feb 28, 2013'!A:I,8,0)</f>
        <v>0</v>
      </c>
      <c r="M63" s="615">
        <f t="shared" si="6"/>
        <v>3300</v>
      </c>
      <c r="N63" s="674"/>
      <c r="O63" s="674">
        <f t="shared" si="9"/>
        <v>3300</v>
      </c>
    </row>
    <row r="64" spans="2:15" s="631" customFormat="1" ht="12.75" outlineLevel="1" collapsed="1" thickBot="1" x14ac:dyDescent="0.25">
      <c r="B64" s="645" t="s">
        <v>429</v>
      </c>
      <c r="C64" s="646" t="s">
        <v>245</v>
      </c>
      <c r="D64" s="641" t="s">
        <v>409</v>
      </c>
      <c r="E64" s="642"/>
      <c r="F64" s="623"/>
      <c r="G64" s="647" t="s">
        <v>163</v>
      </c>
      <c r="H64" s="669" t="s">
        <v>428</v>
      </c>
      <c r="I64" s="674">
        <v>8800</v>
      </c>
      <c r="J64" s="828">
        <f>SUM(J61:J63)</f>
        <v>8800</v>
      </c>
      <c r="K64" s="674">
        <f>SUM(K61:K63)</f>
        <v>1025.6300000000001</v>
      </c>
      <c r="L64" s="674">
        <f>SUM(L61:L63)</f>
        <v>0</v>
      </c>
      <c r="M64" s="615">
        <f t="shared" si="6"/>
        <v>7774.37</v>
      </c>
      <c r="N64" s="674"/>
      <c r="O64" s="674">
        <f t="shared" si="9"/>
        <v>8800</v>
      </c>
    </row>
    <row r="65" spans="1:19" s="74" customFormat="1" ht="13.5" outlineLevel="1" thickBot="1" x14ac:dyDescent="0.25">
      <c r="B65" s="120"/>
      <c r="C65" s="121"/>
      <c r="D65" s="122"/>
      <c r="E65" s="122"/>
      <c r="F65" s="122"/>
      <c r="G65" s="122"/>
      <c r="H65" s="123" t="s">
        <v>208</v>
      </c>
      <c r="I65" s="125">
        <f t="shared" ref="I65:O65" si="10">SUM(I37,I41,I42:I60,I64)</f>
        <v>1009369</v>
      </c>
      <c r="J65" s="125">
        <f t="shared" si="10"/>
        <v>1009369</v>
      </c>
      <c r="K65" s="125">
        <f t="shared" si="10"/>
        <v>339325.16000000003</v>
      </c>
      <c r="L65" s="125">
        <f t="shared" si="10"/>
        <v>2364.09</v>
      </c>
      <c r="M65" s="125">
        <f t="shared" si="10"/>
        <v>667679.75</v>
      </c>
      <c r="N65" s="125">
        <f t="shared" si="10"/>
        <v>-22471</v>
      </c>
      <c r="O65" s="125">
        <f t="shared" si="10"/>
        <v>986898</v>
      </c>
    </row>
    <row r="66" spans="1:19" ht="15.75" customHeight="1" x14ac:dyDescent="0.2">
      <c r="I66" s="359"/>
      <c r="L66" s="78"/>
      <c r="M66" s="826">
        <f>SUM(I65,L65)</f>
        <v>1011733.09</v>
      </c>
      <c r="N66"/>
      <c r="O66"/>
    </row>
    <row r="67" spans="1:19" ht="24" customHeight="1" thickBot="1" x14ac:dyDescent="0.3">
      <c r="B67" s="925" t="s">
        <v>134</v>
      </c>
      <c r="I67" s="359"/>
      <c r="L67" s="78"/>
      <c r="M67" s="600"/>
      <c r="N67" s="824"/>
      <c r="O67" s="824"/>
    </row>
    <row r="68" spans="1:19" ht="12" customHeight="1" x14ac:dyDescent="0.2">
      <c r="B68" s="79" t="s">
        <v>118</v>
      </c>
      <c r="C68" s="80"/>
      <c r="D68" s="138"/>
      <c r="E68" s="81"/>
      <c r="F68" s="80"/>
      <c r="G68" s="80"/>
      <c r="H68" s="80"/>
      <c r="I68" s="864">
        <v>0.92307692307692313</v>
      </c>
      <c r="J68" s="864">
        <v>0.92307692307692313</v>
      </c>
      <c r="K68" s="84" t="s">
        <v>123</v>
      </c>
      <c r="L68" s="85"/>
      <c r="M68" s="729" t="s">
        <v>124</v>
      </c>
      <c r="N68" s="796" t="s">
        <v>121</v>
      </c>
      <c r="O68" s="864" t="s">
        <v>958</v>
      </c>
    </row>
    <row r="69" spans="1:19" s="74" customFormat="1" ht="12.75" customHeight="1" thickBot="1" x14ac:dyDescent="0.25">
      <c r="B69" s="87" t="s">
        <v>148</v>
      </c>
      <c r="C69" s="88" t="s">
        <v>125</v>
      </c>
      <c r="D69" s="139" t="s">
        <v>61</v>
      </c>
      <c r="E69" s="88"/>
      <c r="F69" s="88" t="s">
        <v>147</v>
      </c>
      <c r="G69" s="88" t="s">
        <v>149</v>
      </c>
      <c r="H69" s="88" t="s">
        <v>62</v>
      </c>
      <c r="I69" s="740" t="s">
        <v>120</v>
      </c>
      <c r="J69" s="610" t="s">
        <v>272</v>
      </c>
      <c r="K69" s="865" t="s">
        <v>979</v>
      </c>
      <c r="L69" s="92" t="s">
        <v>119</v>
      </c>
      <c r="M69" s="88" t="s">
        <v>118</v>
      </c>
      <c r="N69" s="88" t="s">
        <v>122</v>
      </c>
      <c r="O69" s="740" t="s">
        <v>959</v>
      </c>
    </row>
    <row r="70" spans="1:19" s="74" customFormat="1" ht="12.6" customHeight="1" x14ac:dyDescent="0.2">
      <c r="A70" s="74" t="s">
        <v>302</v>
      </c>
      <c r="B70" s="800" t="s">
        <v>128</v>
      </c>
      <c r="C70" s="801" t="s">
        <v>161</v>
      </c>
      <c r="D70" s="802" t="s">
        <v>64</v>
      </c>
      <c r="E70" s="800"/>
      <c r="F70" s="800" t="s">
        <v>1013</v>
      </c>
      <c r="G70" s="803" t="s">
        <v>163</v>
      </c>
      <c r="H70" s="804" t="s">
        <v>19</v>
      </c>
      <c r="I70" s="375">
        <v>4500</v>
      </c>
      <c r="J70" s="783">
        <v>4500</v>
      </c>
      <c r="K70" s="375">
        <f>VLOOKUP(H70,'Datetel Feb 28, 2013'!A:G,7,0)-K71</f>
        <v>2304.63</v>
      </c>
      <c r="L70" s="375">
        <f>VLOOKUP(H70,'Datetel Feb 28, 2013'!A:I,8,0)</f>
        <v>2195.4299999999998</v>
      </c>
      <c r="M70" s="615">
        <f>J70-K70-L70</f>
        <v>-5.999999999994543E-2</v>
      </c>
      <c r="N70" s="674">
        <v>-2500</v>
      </c>
      <c r="O70" s="674">
        <f t="shared" ref="O70:O124" si="11">I70+N70</f>
        <v>2000</v>
      </c>
      <c r="P70" s="213">
        <f t="shared" ref="P70:P126" si="12">I70-J70</f>
        <v>0</v>
      </c>
      <c r="R70" s="74">
        <f>SUMIF('Datetel Feb 28, 2013'!A:A,'1314T 032913'!H70,'Datetel Feb 28, 2013'!I:I)</f>
        <v>3658.94</v>
      </c>
      <c r="S70" s="213">
        <f>M70-R70</f>
        <v>-3659</v>
      </c>
    </row>
    <row r="71" spans="1:19" s="74" customFormat="1" ht="12.6" customHeight="1" x14ac:dyDescent="0.2">
      <c r="A71" s="74" t="s">
        <v>302</v>
      </c>
      <c r="B71" s="490" t="s">
        <v>128</v>
      </c>
      <c r="C71" s="805" t="s">
        <v>161</v>
      </c>
      <c r="D71" s="261" t="s">
        <v>63</v>
      </c>
      <c r="E71" s="490"/>
      <c r="F71" s="490"/>
      <c r="G71" s="46" t="s">
        <v>176</v>
      </c>
      <c r="H71" s="40" t="s">
        <v>19</v>
      </c>
      <c r="I71" s="375">
        <v>5000</v>
      </c>
      <c r="J71" s="783">
        <v>5000</v>
      </c>
      <c r="K71" s="375">
        <v>1341</v>
      </c>
      <c r="L71" s="375">
        <v>0</v>
      </c>
      <c r="M71" s="615">
        <f t="shared" ref="M71:M78" si="13">J71-K71-L71</f>
        <v>3659</v>
      </c>
      <c r="N71" s="674"/>
      <c r="O71" s="674">
        <f t="shared" si="11"/>
        <v>5000</v>
      </c>
      <c r="P71" s="213">
        <f t="shared" si="12"/>
        <v>0</v>
      </c>
      <c r="R71" s="74">
        <f>SUMIF('Datetel Feb 28, 2013'!A:A,'1314T 032913'!H71,'Datetel Feb 28, 2013'!I:I)</f>
        <v>3658.94</v>
      </c>
      <c r="S71" s="213">
        <f t="shared" ref="S71:S137" si="14">M71-R71</f>
        <v>5.999999999994543E-2</v>
      </c>
    </row>
    <row r="72" spans="1:19" s="74" customFormat="1" ht="12.6" customHeight="1" x14ac:dyDescent="0.2">
      <c r="A72" s="74" t="s">
        <v>302</v>
      </c>
      <c r="B72" s="229" t="s">
        <v>128</v>
      </c>
      <c r="C72" s="271" t="s">
        <v>161</v>
      </c>
      <c r="D72" s="234" t="s">
        <v>151</v>
      </c>
      <c r="E72" s="229"/>
      <c r="F72" s="229" t="s">
        <v>754</v>
      </c>
      <c r="G72" s="49" t="s">
        <v>150</v>
      </c>
      <c r="H72" s="48" t="s">
        <v>14</v>
      </c>
      <c r="I72" s="375">
        <v>47825</v>
      </c>
      <c r="J72" s="783">
        <f>VLOOKUP(H72,'Datetel Feb 28, 2013'!A:F,6,0)</f>
        <v>47825</v>
      </c>
      <c r="K72" s="375">
        <f>VLOOKUP(H72,'Datetel Feb 28, 2013'!A:G,7,0)</f>
        <v>47825</v>
      </c>
      <c r="L72" s="375">
        <f>VLOOKUP(H72,'Datetel Feb 28, 2013'!A:I,8,0)</f>
        <v>0</v>
      </c>
      <c r="M72" s="615">
        <f t="shared" si="13"/>
        <v>0</v>
      </c>
      <c r="N72" s="674">
        <v>-47825</v>
      </c>
      <c r="O72" s="674">
        <f t="shared" si="11"/>
        <v>0</v>
      </c>
      <c r="P72" s="213">
        <f t="shared" si="12"/>
        <v>0</v>
      </c>
      <c r="R72" s="74">
        <f>SUMIF('Datetel Feb 28, 2013'!A:A,'1314T 032913'!H72,'Datetel Feb 28, 2013'!I:I)</f>
        <v>0</v>
      </c>
      <c r="S72" s="213">
        <f t="shared" si="14"/>
        <v>0</v>
      </c>
    </row>
    <row r="73" spans="1:19" s="153" customFormat="1" ht="12.6" customHeight="1" x14ac:dyDescent="0.2">
      <c r="A73" s="74" t="s">
        <v>302</v>
      </c>
      <c r="B73" s="221" t="s">
        <v>128</v>
      </c>
      <c r="C73" s="263" t="s">
        <v>161</v>
      </c>
      <c r="D73" s="264" t="s">
        <v>962</v>
      </c>
      <c r="E73" s="221"/>
      <c r="F73" s="221" t="s">
        <v>1014</v>
      </c>
      <c r="G73" s="17" t="s">
        <v>150</v>
      </c>
      <c r="H73" s="29" t="s">
        <v>15</v>
      </c>
      <c r="I73" s="375">
        <v>196910</v>
      </c>
      <c r="J73" s="783">
        <f>VLOOKUP(H73,'Datetel Feb 28, 2013'!A:F,6,0)</f>
        <v>196910</v>
      </c>
      <c r="K73" s="375">
        <f>VLOOKUP(H73,'Datetel Feb 28, 2013'!A:G,7,0)</f>
        <v>193708.68</v>
      </c>
      <c r="L73" s="375">
        <f>VLOOKUP(H73,'Datetel Feb 28, 2013'!A:I,8,0)</f>
        <v>0</v>
      </c>
      <c r="M73" s="615">
        <f t="shared" si="13"/>
        <v>3201.320000000007</v>
      </c>
      <c r="N73" s="674">
        <v>-3201</v>
      </c>
      <c r="O73" s="674">
        <f t="shared" si="11"/>
        <v>193709</v>
      </c>
      <c r="P73" s="213">
        <f t="shared" si="12"/>
        <v>0</v>
      </c>
      <c r="R73" s="74">
        <f>SUMIF('Datetel Feb 28, 2013'!A:A,'1314T 032913'!H73,'Datetel Feb 28, 2013'!I:I)</f>
        <v>3201.320000000007</v>
      </c>
      <c r="S73" s="213">
        <f t="shared" si="14"/>
        <v>0</v>
      </c>
    </row>
    <row r="74" spans="1:19" s="74" customFormat="1" ht="12.6" hidden="1" customHeight="1" outlineLevel="1" x14ac:dyDescent="0.2">
      <c r="A74" s="74" t="s">
        <v>302</v>
      </c>
      <c r="B74" s="689"/>
      <c r="C74" s="696"/>
      <c r="D74" s="697" t="s">
        <v>256</v>
      </c>
      <c r="E74" s="698"/>
      <c r="F74" s="689"/>
      <c r="G74" s="677"/>
      <c r="H74" s="699" t="s">
        <v>9</v>
      </c>
      <c r="I74" s="375">
        <v>627482</v>
      </c>
      <c r="J74" s="783">
        <f>VLOOKUP(H74,'Datetel Feb 28, 2013'!A:F,6,0)</f>
        <v>627482</v>
      </c>
      <c r="K74" s="375">
        <f>VLOOKUP(H74,'Datetel Feb 28, 2013'!A:G,7,0)</f>
        <v>401750.09</v>
      </c>
      <c r="L74" s="375">
        <f>VLOOKUP(H74,'Datetel Feb 28, 2013'!A:I,8,0)</f>
        <v>0</v>
      </c>
      <c r="M74" s="615">
        <f t="shared" si="13"/>
        <v>225731.90999999997</v>
      </c>
      <c r="N74" s="674"/>
      <c r="O74" s="674">
        <f t="shared" si="11"/>
        <v>627482</v>
      </c>
      <c r="P74" s="213">
        <f t="shared" si="12"/>
        <v>0</v>
      </c>
      <c r="R74" s="74">
        <f>SUMIF('Datetel Feb 28, 2013'!A:A,'1314T 032913'!H74,'Datetel Feb 28, 2013'!I:I)</f>
        <v>225731.90999999997</v>
      </c>
      <c r="S74" s="213">
        <f t="shared" si="14"/>
        <v>0</v>
      </c>
    </row>
    <row r="75" spans="1:19" s="74" customFormat="1" ht="12.6" hidden="1" customHeight="1" outlineLevel="1" x14ac:dyDescent="0.2">
      <c r="A75" s="74" t="s">
        <v>302</v>
      </c>
      <c r="B75" s="689"/>
      <c r="C75" s="696"/>
      <c r="D75" s="697" t="s">
        <v>257</v>
      </c>
      <c r="E75" s="698"/>
      <c r="F75" s="700"/>
      <c r="G75" s="701"/>
      <c r="H75" s="702" t="s">
        <v>10</v>
      </c>
      <c r="I75" s="375">
        <v>121560</v>
      </c>
      <c r="J75" s="783">
        <f>VLOOKUP(H75,'Datetel Feb 28, 2013'!A:F,6,0)</f>
        <v>121560</v>
      </c>
      <c r="K75" s="375">
        <f>VLOOKUP(H75,'Datetel Feb 28, 2013'!A:G,7,0)</f>
        <v>79487.16</v>
      </c>
      <c r="L75" s="375">
        <f>VLOOKUP(H75,'Datetel Feb 28, 2013'!A:I,8,0)</f>
        <v>0</v>
      </c>
      <c r="M75" s="615">
        <f t="shared" si="13"/>
        <v>42072.84</v>
      </c>
      <c r="N75" s="674"/>
      <c r="O75" s="674">
        <f t="shared" si="11"/>
        <v>121560</v>
      </c>
      <c r="P75" s="213">
        <f t="shared" si="12"/>
        <v>0</v>
      </c>
      <c r="R75" s="74">
        <f>SUMIF('Datetel Feb 28, 2013'!A:A,'1314T 032913'!H75,'Datetel Feb 28, 2013'!I:I)</f>
        <v>42072.84</v>
      </c>
      <c r="S75" s="213">
        <f t="shared" si="14"/>
        <v>0</v>
      </c>
    </row>
    <row r="76" spans="1:19" s="74" customFormat="1" ht="12.6" hidden="1" customHeight="1" outlineLevel="1" x14ac:dyDescent="0.2">
      <c r="A76" s="74" t="s">
        <v>302</v>
      </c>
      <c r="B76" s="689"/>
      <c r="C76" s="696"/>
      <c r="D76" s="697" t="s">
        <v>258</v>
      </c>
      <c r="E76" s="698"/>
      <c r="F76" s="700"/>
      <c r="G76" s="701"/>
      <c r="H76" s="702" t="s">
        <v>11</v>
      </c>
      <c r="I76" s="375">
        <v>30757.5</v>
      </c>
      <c r="J76" s="783">
        <f>VLOOKUP(H76,'Datetel Feb 28, 2013'!A:F,6,0)</f>
        <v>30758</v>
      </c>
      <c r="K76" s="375">
        <f>VLOOKUP(H76,'Datetel Feb 28, 2013'!A:G,7,0)</f>
        <v>12690.2</v>
      </c>
      <c r="L76" s="375">
        <f>VLOOKUP(H76,'Datetel Feb 28, 2013'!A:I,8,0)</f>
        <v>18067.8</v>
      </c>
      <c r="M76" s="615">
        <f t="shared" si="13"/>
        <v>0</v>
      </c>
      <c r="N76" s="674"/>
      <c r="O76" s="674">
        <f t="shared" si="11"/>
        <v>30757.5</v>
      </c>
      <c r="P76" s="213">
        <f t="shared" si="12"/>
        <v>-0.5</v>
      </c>
      <c r="R76" s="74">
        <f>SUMIF('Datetel Feb 28, 2013'!A:A,'1314T 032913'!H76,'Datetel Feb 28, 2013'!I:I)</f>
        <v>0</v>
      </c>
      <c r="S76" s="213">
        <f t="shared" si="14"/>
        <v>0</v>
      </c>
    </row>
    <row r="77" spans="1:19" s="74" customFormat="1" ht="12.6" hidden="1" customHeight="1" outlineLevel="1" x14ac:dyDescent="0.2">
      <c r="A77" s="74" t="s">
        <v>302</v>
      </c>
      <c r="B77" s="689"/>
      <c r="C77" s="696"/>
      <c r="D77" s="697" t="s">
        <v>259</v>
      </c>
      <c r="E77" s="698"/>
      <c r="F77" s="700"/>
      <c r="G77" s="701"/>
      <c r="H77" s="702" t="s">
        <v>12</v>
      </c>
      <c r="I77" s="375">
        <v>55236</v>
      </c>
      <c r="J77" s="783">
        <f>VLOOKUP(H77,'Datetel Feb 28, 2013'!A:F,6,0)</f>
        <v>55236</v>
      </c>
      <c r="K77" s="375">
        <f>VLOOKUP(H77,'Datetel Feb 28, 2013'!A:G,7,0)</f>
        <v>51826.17</v>
      </c>
      <c r="L77" s="375">
        <f>VLOOKUP(H77,'Datetel Feb 28, 2013'!A:I,8,0)</f>
        <v>0</v>
      </c>
      <c r="M77" s="615">
        <f t="shared" si="13"/>
        <v>3409.8300000000017</v>
      </c>
      <c r="N77" s="674"/>
      <c r="O77" s="674">
        <f t="shared" si="11"/>
        <v>55236</v>
      </c>
      <c r="P77" s="213">
        <f t="shared" si="12"/>
        <v>0</v>
      </c>
      <c r="R77" s="74">
        <f>SUMIF('Datetel Feb 28, 2013'!A:A,'1314T 032913'!H77,'Datetel Feb 28, 2013'!I:I)</f>
        <v>3409.8300000000017</v>
      </c>
      <c r="S77" s="213">
        <f t="shared" si="14"/>
        <v>0</v>
      </c>
    </row>
    <row r="78" spans="1:19" s="74" customFormat="1" ht="12.6" hidden="1" customHeight="1" outlineLevel="1" x14ac:dyDescent="0.2">
      <c r="A78" s="74" t="s">
        <v>302</v>
      </c>
      <c r="B78" s="703"/>
      <c r="C78" s="704"/>
      <c r="D78" s="697" t="s">
        <v>260</v>
      </c>
      <c r="E78" s="698"/>
      <c r="F78" s="700"/>
      <c r="G78" s="701"/>
      <c r="H78" s="702" t="s">
        <v>13</v>
      </c>
      <c r="I78" s="375">
        <v>14964</v>
      </c>
      <c r="J78" s="783">
        <f>VLOOKUP(H78,'Datetel Feb 28, 2013'!A:F,6,0)</f>
        <v>14964</v>
      </c>
      <c r="K78" s="375">
        <f>VLOOKUP(H78,'Datetel Feb 28, 2013'!A:G,7,0)</f>
        <v>16443.25</v>
      </c>
      <c r="L78" s="375">
        <f>VLOOKUP(H78,'Datetel Feb 28, 2013'!A:I,8,0)</f>
        <v>0</v>
      </c>
      <c r="M78" s="615">
        <f t="shared" si="13"/>
        <v>-1479.25</v>
      </c>
      <c r="N78" s="674"/>
      <c r="O78" s="674">
        <f t="shared" si="11"/>
        <v>14964</v>
      </c>
      <c r="P78" s="213">
        <f t="shared" si="12"/>
        <v>0</v>
      </c>
      <c r="R78" s="74">
        <f>SUMIF('Datetel Feb 28, 2013'!A:A,'1314T 032913'!H78,'Datetel Feb 28, 2013'!I:I)</f>
        <v>-1479.25</v>
      </c>
      <c r="S78" s="213">
        <f t="shared" si="14"/>
        <v>0</v>
      </c>
    </row>
    <row r="79" spans="1:19" s="446" customFormat="1" ht="12.6" customHeight="1" collapsed="1" x14ac:dyDescent="0.2">
      <c r="A79" s="74" t="s">
        <v>302</v>
      </c>
      <c r="B79" s="622" t="s">
        <v>128</v>
      </c>
      <c r="C79" s="670" t="s">
        <v>161</v>
      </c>
      <c r="D79" s="635" t="s">
        <v>65</v>
      </c>
      <c r="E79" s="622"/>
      <c r="F79" s="622"/>
      <c r="G79" s="671" t="s">
        <v>167</v>
      </c>
      <c r="H79" s="669" t="s">
        <v>428</v>
      </c>
      <c r="I79" s="828">
        <f>SUM(I74:I78)</f>
        <v>849999.5</v>
      </c>
      <c r="J79" s="828">
        <f t="shared" ref="J79:M79" si="15">SUM(J74:J78)</f>
        <v>850000</v>
      </c>
      <c r="K79" s="828">
        <f t="shared" si="15"/>
        <v>562196.87</v>
      </c>
      <c r="L79" s="828">
        <f t="shared" si="15"/>
        <v>18067.8</v>
      </c>
      <c r="M79" s="828">
        <f t="shared" si="15"/>
        <v>269735.33</v>
      </c>
      <c r="N79" s="674"/>
      <c r="O79" s="674">
        <f t="shared" si="11"/>
        <v>849999.5</v>
      </c>
      <c r="P79" s="213">
        <f t="shared" si="12"/>
        <v>-0.5</v>
      </c>
      <c r="R79" s="74">
        <f>SUMIF('Datetel Feb 28, 2013'!A:A,'1314T 032913'!H79,'Datetel Feb 28, 2013'!I:I)</f>
        <v>0</v>
      </c>
      <c r="S79" s="213">
        <f t="shared" si="14"/>
        <v>269735.33</v>
      </c>
    </row>
    <row r="80" spans="1:19" s="74" customFormat="1" ht="12.6" hidden="1" customHeight="1" outlineLevel="1" x14ac:dyDescent="0.2">
      <c r="A80" s="74" t="s">
        <v>302</v>
      </c>
      <c r="B80" s="705"/>
      <c r="C80" s="696"/>
      <c r="D80" s="697" t="s">
        <v>251</v>
      </c>
      <c r="E80" s="698"/>
      <c r="F80" s="689"/>
      <c r="G80" s="677"/>
      <c r="H80" s="699" t="s">
        <v>4</v>
      </c>
      <c r="I80" s="375">
        <v>606962.73</v>
      </c>
      <c r="J80" s="783">
        <f>VLOOKUP(H80,'Datetel Feb 28, 2013'!A:F,6,0)</f>
        <v>605563</v>
      </c>
      <c r="K80" s="375">
        <f>VLOOKUP(H80,'Datetel Feb 28, 2013'!A:G,7,0)</f>
        <v>544146.42000000004</v>
      </c>
      <c r="L80" s="375">
        <f>VLOOKUP(H80,'Datetel Feb 28, 2013'!A:I,8,0)</f>
        <v>0</v>
      </c>
      <c r="M80" s="615">
        <f t="shared" ref="M80:M94" si="16">J80-K80-L80</f>
        <v>61416.579999999958</v>
      </c>
      <c r="N80" s="674"/>
      <c r="O80" s="674">
        <f t="shared" si="11"/>
        <v>606962.73</v>
      </c>
      <c r="P80" s="213">
        <f t="shared" si="12"/>
        <v>1399.7299999999814</v>
      </c>
      <c r="R80" s="74">
        <f>SUMIF('Datetel Feb 28, 2013'!A:A,'1314T 032913'!H80,'Datetel Feb 28, 2013'!I:I)</f>
        <v>61416.579999999958</v>
      </c>
      <c r="S80" s="213">
        <f t="shared" si="14"/>
        <v>0</v>
      </c>
    </row>
    <row r="81" spans="1:19" s="74" customFormat="1" ht="12.6" hidden="1" customHeight="1" outlineLevel="1" x14ac:dyDescent="0.2">
      <c r="A81" s="74" t="s">
        <v>302</v>
      </c>
      <c r="B81" s="706"/>
      <c r="C81" s="696"/>
      <c r="D81" s="697" t="s">
        <v>252</v>
      </c>
      <c r="E81" s="698"/>
      <c r="F81" s="700"/>
      <c r="G81" s="701"/>
      <c r="H81" s="702" t="s">
        <v>5</v>
      </c>
      <c r="I81" s="375">
        <v>159484.5</v>
      </c>
      <c r="J81" s="783">
        <f>VLOOKUP(H81,'Datetel Feb 28, 2013'!A:F,6,0)</f>
        <v>159485</v>
      </c>
      <c r="K81" s="375">
        <f>VLOOKUP(H81,'Datetel Feb 28, 2013'!A:G,7,0)</f>
        <v>88794.9</v>
      </c>
      <c r="L81" s="375">
        <f>VLOOKUP(H81,'Datetel Feb 28, 2013'!A:I,8,0)</f>
        <v>0</v>
      </c>
      <c r="M81" s="615">
        <f t="shared" si="16"/>
        <v>70690.100000000006</v>
      </c>
      <c r="N81" s="674"/>
      <c r="O81" s="674">
        <f t="shared" si="11"/>
        <v>159484.5</v>
      </c>
      <c r="P81" s="213">
        <f t="shared" si="12"/>
        <v>-0.5</v>
      </c>
      <c r="R81" s="74">
        <f>SUMIF('Datetel Feb 28, 2013'!A:A,'1314T 032913'!H81,'Datetel Feb 28, 2013'!I:I)</f>
        <v>70690.100000000006</v>
      </c>
      <c r="S81" s="213">
        <f t="shared" si="14"/>
        <v>0</v>
      </c>
    </row>
    <row r="82" spans="1:19" s="74" customFormat="1" ht="12.6" hidden="1" customHeight="1" outlineLevel="1" x14ac:dyDescent="0.2">
      <c r="A82" s="74" t="s">
        <v>302</v>
      </c>
      <c r="B82" s="706"/>
      <c r="C82" s="696"/>
      <c r="D82" s="697" t="s">
        <v>253</v>
      </c>
      <c r="E82" s="698"/>
      <c r="F82" s="700"/>
      <c r="G82" s="701"/>
      <c r="H82" s="702" t="s">
        <v>6</v>
      </c>
      <c r="I82" s="375">
        <v>21421.32</v>
      </c>
      <c r="J82" s="783">
        <f>VLOOKUP(H82,'Datetel Feb 28, 2013'!A:F,6,0)</f>
        <v>21421</v>
      </c>
      <c r="K82" s="375">
        <f>VLOOKUP(H82,'Datetel Feb 28, 2013'!A:G,7,0)</f>
        <v>8617.66</v>
      </c>
      <c r="L82" s="375">
        <f>VLOOKUP(H82,'Datetel Feb 28, 2013'!A:I,8,0)</f>
        <v>12803.34</v>
      </c>
      <c r="M82" s="615">
        <f t="shared" si="16"/>
        <v>0</v>
      </c>
      <c r="N82" s="674"/>
      <c r="O82" s="674">
        <f t="shared" si="11"/>
        <v>21421.32</v>
      </c>
      <c r="P82" s="213">
        <f t="shared" si="12"/>
        <v>0.31999999999970896</v>
      </c>
      <c r="R82" s="74">
        <f>SUMIF('Datetel Feb 28, 2013'!A:A,'1314T 032913'!H82,'Datetel Feb 28, 2013'!I:I)</f>
        <v>0</v>
      </c>
      <c r="S82" s="213">
        <f t="shared" si="14"/>
        <v>0</v>
      </c>
    </row>
    <row r="83" spans="1:19" s="74" customFormat="1" ht="12.6" hidden="1" customHeight="1" outlineLevel="1" x14ac:dyDescent="0.2">
      <c r="A83" s="74" t="s">
        <v>302</v>
      </c>
      <c r="B83" s="706"/>
      <c r="C83" s="696"/>
      <c r="D83" s="697" t="s">
        <v>254</v>
      </c>
      <c r="E83" s="698"/>
      <c r="F83" s="700"/>
      <c r="G83" s="701"/>
      <c r="H83" s="702" t="s">
        <v>7</v>
      </c>
      <c r="I83" s="375">
        <v>137895.45000000001</v>
      </c>
      <c r="J83" s="783">
        <f>VLOOKUP(H83,'Datetel Feb 28, 2013'!A:F,6,0)</f>
        <v>137895</v>
      </c>
      <c r="K83" s="375">
        <f>VLOOKUP(H83,'Datetel Feb 28, 2013'!A:G,7,0)</f>
        <v>99395.09</v>
      </c>
      <c r="L83" s="375">
        <f>VLOOKUP(H83,'Datetel Feb 28, 2013'!A:I,8,0)</f>
        <v>0</v>
      </c>
      <c r="M83" s="615">
        <f t="shared" si="16"/>
        <v>38499.910000000003</v>
      </c>
      <c r="N83" s="674"/>
      <c r="O83" s="674">
        <f t="shared" si="11"/>
        <v>137895.45000000001</v>
      </c>
      <c r="P83" s="213">
        <f t="shared" si="12"/>
        <v>0.45000000001164153</v>
      </c>
      <c r="R83" s="74">
        <f>SUMIF('Datetel Feb 28, 2013'!A:A,'1314T 032913'!H83,'Datetel Feb 28, 2013'!I:I)</f>
        <v>38499.910000000003</v>
      </c>
      <c r="S83" s="213">
        <f t="shared" si="14"/>
        <v>0</v>
      </c>
    </row>
    <row r="84" spans="1:19" s="74" customFormat="1" ht="12.6" hidden="1" customHeight="1" outlineLevel="1" x14ac:dyDescent="0.2">
      <c r="A84" s="74" t="s">
        <v>302</v>
      </c>
      <c r="B84" s="707"/>
      <c r="C84" s="696"/>
      <c r="D84" s="697" t="s">
        <v>255</v>
      </c>
      <c r="E84" s="698" t="s">
        <v>162</v>
      </c>
      <c r="F84" s="700"/>
      <c r="G84" s="701"/>
      <c r="H84" s="702" t="s">
        <v>8</v>
      </c>
      <c r="I84" s="375">
        <v>74236</v>
      </c>
      <c r="J84" s="783">
        <f>VLOOKUP(H84,'Datetel Feb 28, 2013'!A:F,6,0)</f>
        <v>74236</v>
      </c>
      <c r="K84" s="375">
        <f>VLOOKUP(H84,'Datetel Feb 28, 2013'!A:G,7,0)</f>
        <v>37559.97</v>
      </c>
      <c r="L84" s="375">
        <f>VLOOKUP(H84,'Datetel Feb 28, 2013'!A:I,8,0)</f>
        <v>0</v>
      </c>
      <c r="M84" s="615">
        <f t="shared" si="16"/>
        <v>36676.03</v>
      </c>
      <c r="N84" s="674"/>
      <c r="O84" s="674">
        <f t="shared" si="11"/>
        <v>74236</v>
      </c>
      <c r="P84" s="213">
        <f t="shared" si="12"/>
        <v>0</v>
      </c>
      <c r="R84" s="74">
        <f>SUMIF('Datetel Feb 28, 2013'!A:A,'1314T 032913'!H84,'Datetel Feb 28, 2013'!I:I)</f>
        <v>36676.03</v>
      </c>
      <c r="S84" s="213">
        <f t="shared" si="14"/>
        <v>0</v>
      </c>
    </row>
    <row r="85" spans="1:19" s="446" customFormat="1" ht="12.6" customHeight="1" collapsed="1" x14ac:dyDescent="0.2">
      <c r="A85" s="74" t="s">
        <v>302</v>
      </c>
      <c r="B85" s="622" t="s">
        <v>128</v>
      </c>
      <c r="C85" s="667" t="s">
        <v>161</v>
      </c>
      <c r="D85" s="668" t="s">
        <v>225</v>
      </c>
      <c r="E85" s="622"/>
      <c r="F85" s="639"/>
      <c r="G85" s="647" t="s">
        <v>167</v>
      </c>
      <c r="H85" s="669" t="s">
        <v>428</v>
      </c>
      <c r="I85" s="674">
        <f>SUM(I80:I84)</f>
        <v>1000000</v>
      </c>
      <c r="J85" s="674">
        <f t="shared" ref="J85:M85" si="17">SUM(J80:J84)</f>
        <v>998600</v>
      </c>
      <c r="K85" s="674">
        <f t="shared" si="17"/>
        <v>778514.04</v>
      </c>
      <c r="L85" s="674">
        <f t="shared" si="17"/>
        <v>12803.34</v>
      </c>
      <c r="M85" s="674">
        <f t="shared" si="17"/>
        <v>207282.61999999997</v>
      </c>
      <c r="N85" s="674"/>
      <c r="O85" s="674">
        <f t="shared" si="11"/>
        <v>1000000</v>
      </c>
      <c r="P85" s="213"/>
      <c r="R85" s="74">
        <f>SUMIF('Datetel Feb 28, 2013'!A:A,'1314T 032913'!H85,'Datetel Feb 28, 2013'!I:I)</f>
        <v>0</v>
      </c>
      <c r="S85" s="213">
        <f t="shared" si="14"/>
        <v>207282.61999999997</v>
      </c>
    </row>
    <row r="86" spans="1:19" s="74" customFormat="1" ht="12.6" customHeight="1" x14ac:dyDescent="0.2">
      <c r="A86" s="74" t="s">
        <v>302</v>
      </c>
      <c r="B86" s="227" t="s">
        <v>128</v>
      </c>
      <c r="C86" s="798"/>
      <c r="D86" s="836" t="s">
        <v>768</v>
      </c>
      <c r="E86" s="227"/>
      <c r="F86" s="227"/>
      <c r="G86" s="34" t="s">
        <v>770</v>
      </c>
      <c r="H86" s="41" t="s">
        <v>693</v>
      </c>
      <c r="I86" s="375">
        <v>150000</v>
      </c>
      <c r="J86" s="783">
        <f>VLOOKUP(H86,'Datetel Feb 28, 2013'!A:F,6,0)</f>
        <v>150000</v>
      </c>
      <c r="K86" s="375">
        <f>VLOOKUP(H86,'Datetel Feb 28, 2013'!A:G,7,0)</f>
        <v>0</v>
      </c>
      <c r="L86" s="375">
        <f>VLOOKUP(H86,'Datetel Feb 28, 2013'!A:I,8,0)</f>
        <v>0</v>
      </c>
      <c r="M86" s="615">
        <f t="shared" si="16"/>
        <v>150000</v>
      </c>
      <c r="N86" s="674"/>
      <c r="O86" s="674">
        <f t="shared" si="11"/>
        <v>150000</v>
      </c>
      <c r="P86" s="213">
        <f t="shared" si="12"/>
        <v>0</v>
      </c>
      <c r="R86" s="74">
        <f>SUMIF('Datetel Feb 28, 2013'!A:A,'1314T 032913'!H86,'Datetel Feb 28, 2013'!I:I)</f>
        <v>150000</v>
      </c>
      <c r="S86" s="213">
        <f t="shared" si="14"/>
        <v>0</v>
      </c>
    </row>
    <row r="87" spans="1:19" s="74" customFormat="1" ht="12.6" customHeight="1" x14ac:dyDescent="0.2">
      <c r="A87" s="74" t="s">
        <v>302</v>
      </c>
      <c r="B87" s="221" t="s">
        <v>128</v>
      </c>
      <c r="C87" s="277" t="s">
        <v>161</v>
      </c>
      <c r="D87" s="370" t="s">
        <v>350</v>
      </c>
      <c r="E87" s="221"/>
      <c r="F87" s="221"/>
      <c r="G87" s="17" t="s">
        <v>150</v>
      </c>
      <c r="H87" s="29" t="s">
        <v>16</v>
      </c>
      <c r="I87" s="375">
        <v>398419</v>
      </c>
      <c r="J87" s="783">
        <f>VLOOKUP(H87,'Datetel Feb 28, 2013'!A:F,6,0)</f>
        <v>398419</v>
      </c>
      <c r="K87" s="375">
        <f>VLOOKUP(H87,'Datetel Feb 28, 2013'!A:G,7,0)</f>
        <v>398419</v>
      </c>
      <c r="L87" s="375">
        <f>VLOOKUP(H87,'Datetel Feb 28, 2013'!A:I,8,0)</f>
        <v>0</v>
      </c>
      <c r="M87" s="615">
        <f t="shared" si="16"/>
        <v>0</v>
      </c>
      <c r="N87" s="674"/>
      <c r="O87" s="674">
        <f t="shared" si="11"/>
        <v>398419</v>
      </c>
      <c r="P87" s="213">
        <f t="shared" si="12"/>
        <v>0</v>
      </c>
      <c r="R87" s="74">
        <f>SUMIF('Datetel Feb 28, 2013'!A:A,'1314T 032913'!H87,'Datetel Feb 28, 2013'!I:I)</f>
        <v>0</v>
      </c>
      <c r="S87" s="213">
        <f t="shared" si="14"/>
        <v>0</v>
      </c>
    </row>
    <row r="88" spans="1:19" s="74" customFormat="1" ht="12.6" customHeight="1" x14ac:dyDescent="0.2">
      <c r="A88" s="74" t="s">
        <v>302</v>
      </c>
      <c r="B88" s="227" t="s">
        <v>128</v>
      </c>
      <c r="C88" s="292"/>
      <c r="D88" s="370" t="s">
        <v>394</v>
      </c>
      <c r="E88" s="227"/>
      <c r="F88" s="227"/>
      <c r="G88" s="34" t="s">
        <v>167</v>
      </c>
      <c r="H88" s="41" t="s">
        <v>424</v>
      </c>
      <c r="I88" s="375">
        <v>15480</v>
      </c>
      <c r="J88" s="783">
        <f>VLOOKUP(H88,'Datetel Feb 28, 2013'!A:F,6,0)</f>
        <v>15480</v>
      </c>
      <c r="K88" s="375">
        <f>VLOOKUP(H88,'Datetel Feb 28, 2013'!A:G,7,0)</f>
        <v>15480</v>
      </c>
      <c r="L88" s="375">
        <f>VLOOKUP(H88,'Datetel Feb 28, 2013'!A:I,8,0)</f>
        <v>0</v>
      </c>
      <c r="M88" s="615">
        <f t="shared" si="16"/>
        <v>0</v>
      </c>
      <c r="N88" s="674"/>
      <c r="O88" s="674">
        <f t="shared" si="11"/>
        <v>15480</v>
      </c>
      <c r="P88" s="213">
        <f t="shared" si="12"/>
        <v>0</v>
      </c>
      <c r="R88" s="74">
        <f>SUMIF('Datetel Feb 28, 2013'!A:A,'1314T 032913'!H88,'Datetel Feb 28, 2013'!I:I)</f>
        <v>0</v>
      </c>
      <c r="S88" s="213">
        <f t="shared" si="14"/>
        <v>0</v>
      </c>
    </row>
    <row r="89" spans="1:19" s="74" customFormat="1" ht="12.6" customHeight="1" x14ac:dyDescent="0.2">
      <c r="A89" s="74" t="s">
        <v>302</v>
      </c>
      <c r="B89" s="283" t="s">
        <v>1</v>
      </c>
      <c r="C89" s="284" t="s">
        <v>161</v>
      </c>
      <c r="D89" s="283" t="s">
        <v>758</v>
      </c>
      <c r="E89" s="229"/>
      <c r="F89" s="6" t="s">
        <v>980</v>
      </c>
      <c r="G89" s="5" t="s">
        <v>153</v>
      </c>
      <c r="H89" s="32" t="s">
        <v>0</v>
      </c>
      <c r="I89" s="375">
        <v>190925</v>
      </c>
      <c r="J89" s="783">
        <f>VLOOKUP(H89,'Datetel Feb 28, 2013'!A:F,6,0)</f>
        <v>190925</v>
      </c>
      <c r="K89" s="375">
        <f>VLOOKUP(H89,'Datetel Feb 28, 2013'!A:G,7,0)</f>
        <v>77888.95</v>
      </c>
      <c r="L89" s="375">
        <f>VLOOKUP(H89,'Datetel Feb 28, 2013'!A:I,8,0)</f>
        <v>0</v>
      </c>
      <c r="M89" s="615">
        <f t="shared" si="16"/>
        <v>113036.05</v>
      </c>
      <c r="N89" s="674">
        <f>190925/-2</f>
        <v>-95462.5</v>
      </c>
      <c r="O89" s="674">
        <f t="shared" si="11"/>
        <v>95462.5</v>
      </c>
      <c r="P89" s="213">
        <f t="shared" si="12"/>
        <v>0</v>
      </c>
      <c r="R89" s="74">
        <f>SUMIF('Datetel Feb 28, 2013'!A:A,'1314T 032913'!H89,'Datetel Feb 28, 2013'!I:I)</f>
        <v>113036.05</v>
      </c>
      <c r="S89" s="213">
        <f t="shared" si="14"/>
        <v>0</v>
      </c>
    </row>
    <row r="90" spans="1:19" s="74" customFormat="1" ht="12.6" customHeight="1" x14ac:dyDescent="0.2">
      <c r="A90" s="74" t="s">
        <v>302</v>
      </c>
      <c r="B90" s="259" t="s">
        <v>128</v>
      </c>
      <c r="C90" s="285" t="s">
        <v>160</v>
      </c>
      <c r="D90" s="259" t="s">
        <v>388</v>
      </c>
      <c r="E90" s="259"/>
      <c r="F90" s="259"/>
      <c r="G90" s="33" t="s">
        <v>165</v>
      </c>
      <c r="H90" s="49" t="s">
        <v>385</v>
      </c>
      <c r="I90" s="375">
        <v>40000</v>
      </c>
      <c r="J90" s="783">
        <f>VLOOKUP(H90,'Datetel Feb 28, 2013'!A:F,6,0)+2000</f>
        <v>40000</v>
      </c>
      <c r="K90" s="375">
        <f>VLOOKUP(H90,'Datetel Feb 28, 2013'!A:G,7,0)+'Datetel Feb 28, 2013'!G201+'Datetel Feb 28, 2013'!G203+'Datetel Feb 28, 2013'!G204+'Datetel Feb 28, 2013'!G205</f>
        <v>14212.7</v>
      </c>
      <c r="L90" s="375">
        <f>VLOOKUP(H90,'Datetel Feb 28, 2013'!A:I,8,0)</f>
        <v>0</v>
      </c>
      <c r="M90" s="615">
        <f t="shared" si="16"/>
        <v>25787.3</v>
      </c>
      <c r="N90" s="674"/>
      <c r="O90" s="674">
        <f t="shared" si="11"/>
        <v>40000</v>
      </c>
      <c r="P90" s="213">
        <f t="shared" si="12"/>
        <v>0</v>
      </c>
      <c r="R90" s="74">
        <v>26567.61</v>
      </c>
      <c r="S90" s="213">
        <f t="shared" si="14"/>
        <v>-780.31000000000131</v>
      </c>
    </row>
    <row r="91" spans="1:19" s="74" customFormat="1" ht="12.6" hidden="1" customHeight="1" outlineLevel="1" x14ac:dyDescent="0.2">
      <c r="A91" s="74" t="s">
        <v>302</v>
      </c>
      <c r="B91" s="708"/>
      <c r="C91" s="709"/>
      <c r="D91" s="708" t="s">
        <v>74</v>
      </c>
      <c r="E91" s="708"/>
      <c r="F91" s="708" t="s">
        <v>956</v>
      </c>
      <c r="G91" s="710"/>
      <c r="H91" s="710" t="s">
        <v>807</v>
      </c>
      <c r="I91" s="375">
        <v>0</v>
      </c>
      <c r="J91" s="783">
        <v>0</v>
      </c>
      <c r="K91" s="375">
        <f>VLOOKUP(H91,'Datetel Feb 28, 2013'!A:G,7,0)</f>
        <v>10.46</v>
      </c>
      <c r="L91" s="375">
        <f>VLOOKUP(H91,'Datetel Feb 28, 2013'!A:I,8,0)</f>
        <v>0</v>
      </c>
      <c r="M91" s="615">
        <f t="shared" si="16"/>
        <v>-10.46</v>
      </c>
      <c r="N91" s="674"/>
      <c r="O91" s="674">
        <f t="shared" si="11"/>
        <v>0</v>
      </c>
      <c r="P91" s="213">
        <f t="shared" si="12"/>
        <v>0</v>
      </c>
      <c r="R91" s="74">
        <f>SUMIF('Datetel Feb 28, 2013'!A:A,'1314T 032913'!H91,'Datetel Feb 28, 2013'!I:I)</f>
        <v>-10.46</v>
      </c>
      <c r="S91" s="213">
        <f t="shared" si="14"/>
        <v>0</v>
      </c>
    </row>
    <row r="92" spans="1:19" s="74" customFormat="1" ht="12.6" hidden="1" customHeight="1" outlineLevel="1" x14ac:dyDescent="0.2">
      <c r="B92" s="706"/>
      <c r="C92" s="718"/>
      <c r="D92" s="706" t="s">
        <v>74</v>
      </c>
      <c r="E92" s="706"/>
      <c r="F92" s="706" t="s">
        <v>22</v>
      </c>
      <c r="G92" s="717"/>
      <c r="H92" s="717" t="s">
        <v>21</v>
      </c>
      <c r="I92" s="375">
        <v>0</v>
      </c>
      <c r="J92" s="783">
        <v>0</v>
      </c>
      <c r="K92" s="375">
        <f>VLOOKUP(H92,'Datetel Feb 28, 2013'!A:G,7,0)</f>
        <v>-81</v>
      </c>
      <c r="L92" s="489"/>
      <c r="M92" s="615">
        <f t="shared" si="16"/>
        <v>81</v>
      </c>
      <c r="N92" s="674"/>
      <c r="O92" s="674">
        <f t="shared" si="11"/>
        <v>0</v>
      </c>
      <c r="P92" s="213"/>
      <c r="S92" s="213"/>
    </row>
    <row r="93" spans="1:19" s="74" customFormat="1" ht="12.6" hidden="1" customHeight="1" outlineLevel="1" x14ac:dyDescent="0.2">
      <c r="A93" s="74" t="s">
        <v>302</v>
      </c>
      <c r="B93" s="689"/>
      <c r="C93" s="711"/>
      <c r="D93" s="706" t="s">
        <v>74</v>
      </c>
      <c r="E93" s="706"/>
      <c r="F93" s="706" t="s">
        <v>140</v>
      </c>
      <c r="G93" s="717"/>
      <c r="H93" s="717" t="s">
        <v>137</v>
      </c>
      <c r="I93" s="375">
        <v>15000</v>
      </c>
      <c r="J93" s="783">
        <f>VLOOKUP(H93,'Datetel Feb 28, 2013'!A:F,6,0)</f>
        <v>15000</v>
      </c>
      <c r="K93" s="375">
        <f>VLOOKUP(H93,'Datetel Feb 28, 2013'!A:G,7,0)</f>
        <v>16710.48</v>
      </c>
      <c r="L93" s="375">
        <f>VLOOKUP(H93,'Datetel Feb 28, 2013'!A:I,8,0)</f>
        <v>0</v>
      </c>
      <c r="M93" s="615">
        <f t="shared" si="16"/>
        <v>-1710.4799999999996</v>
      </c>
      <c r="N93" s="674"/>
      <c r="O93" s="674">
        <f t="shared" si="11"/>
        <v>15000</v>
      </c>
      <c r="P93" s="213">
        <f t="shared" si="12"/>
        <v>0</v>
      </c>
      <c r="R93" s="74">
        <f>SUMIF('Datetel Feb 28, 2013'!A:A,'1314T 032913'!H93,'Datetel Feb 28, 2013'!I:I)</f>
        <v>-1710.4799999999996</v>
      </c>
      <c r="S93" s="213">
        <f t="shared" si="14"/>
        <v>0</v>
      </c>
    </row>
    <row r="94" spans="1:19" s="74" customFormat="1" ht="12.6" hidden="1" customHeight="1" outlineLevel="1" x14ac:dyDescent="0.2">
      <c r="A94" s="74" t="s">
        <v>302</v>
      </c>
      <c r="B94" s="703"/>
      <c r="C94" s="712"/>
      <c r="D94" s="703" t="s">
        <v>74</v>
      </c>
      <c r="E94" s="703"/>
      <c r="F94" s="703" t="s">
        <v>141</v>
      </c>
      <c r="G94" s="713"/>
      <c r="H94" s="713" t="s">
        <v>138</v>
      </c>
      <c r="I94" s="375">
        <v>165000</v>
      </c>
      <c r="J94" s="783">
        <f>VLOOKUP(H94,'Datetel Feb 28, 2013'!A:F,6,0)</f>
        <v>165000</v>
      </c>
      <c r="K94" s="375">
        <f>VLOOKUP(H94,'Datetel Feb 28, 2013'!A:G,7,0)</f>
        <v>119128.01</v>
      </c>
      <c r="L94" s="375">
        <f>VLOOKUP(H94,'Datetel Feb 28, 2013'!A:I,8,0)</f>
        <v>0</v>
      </c>
      <c r="M94" s="615">
        <f t="shared" si="16"/>
        <v>45871.990000000005</v>
      </c>
      <c r="N94" s="674"/>
      <c r="O94" s="674">
        <f t="shared" si="11"/>
        <v>165000</v>
      </c>
      <c r="P94" s="213">
        <f t="shared" si="12"/>
        <v>0</v>
      </c>
      <c r="R94" s="74">
        <f>SUMIF('Datetel Feb 28, 2013'!A:A,'1314T 032913'!H94,'Datetel Feb 28, 2013'!I:I)</f>
        <v>45871.990000000005</v>
      </c>
      <c r="S94" s="213">
        <f t="shared" si="14"/>
        <v>0</v>
      </c>
    </row>
    <row r="95" spans="1:19" s="446" customFormat="1" ht="12.6" customHeight="1" collapsed="1" x14ac:dyDescent="0.2">
      <c r="A95" s="74" t="s">
        <v>302</v>
      </c>
      <c r="B95" s="639" t="s">
        <v>128</v>
      </c>
      <c r="C95" s="658" t="s">
        <v>172</v>
      </c>
      <c r="D95" s="639" t="s">
        <v>74</v>
      </c>
      <c r="E95" s="622"/>
      <c r="F95" s="639"/>
      <c r="G95" s="647" t="s">
        <v>176</v>
      </c>
      <c r="H95" s="669" t="s">
        <v>428</v>
      </c>
      <c r="I95" s="828">
        <f t="shared" ref="I95:M95" si="18">SUM(I91:I94)</f>
        <v>180000</v>
      </c>
      <c r="J95" s="828">
        <f t="shared" si="18"/>
        <v>180000</v>
      </c>
      <c r="K95" s="674">
        <f t="shared" si="18"/>
        <v>135767.94999999998</v>
      </c>
      <c r="L95" s="674">
        <f t="shared" si="18"/>
        <v>0</v>
      </c>
      <c r="M95" s="674">
        <f t="shared" si="18"/>
        <v>44232.05</v>
      </c>
      <c r="N95" s="674"/>
      <c r="O95" s="674">
        <f t="shared" si="11"/>
        <v>180000</v>
      </c>
      <c r="P95" s="213">
        <f t="shared" si="12"/>
        <v>0</v>
      </c>
      <c r="R95" s="74">
        <f>SUMIF('Datetel Feb 28, 2013'!A:A,'1314T 032913'!H95,'Datetel Feb 28, 2013'!I:I)</f>
        <v>0</v>
      </c>
      <c r="S95" s="213"/>
    </row>
    <row r="96" spans="1:19" s="446" customFormat="1" ht="12.6" customHeight="1" x14ac:dyDescent="0.2">
      <c r="A96" s="74" t="s">
        <v>302</v>
      </c>
      <c r="B96" s="664" t="s">
        <v>128</v>
      </c>
      <c r="C96" s="665" t="s">
        <v>161</v>
      </c>
      <c r="D96" s="664" t="s">
        <v>226</v>
      </c>
      <c r="E96" s="622"/>
      <c r="F96" s="229"/>
      <c r="G96" s="647" t="s">
        <v>150</v>
      </c>
      <c r="H96" s="49" t="s">
        <v>803</v>
      </c>
      <c r="I96" s="783">
        <v>7822000</v>
      </c>
      <c r="J96" s="783">
        <f>VLOOKUP(H96,'Datetel Feb 28, 2013'!A:F,6,0)</f>
        <v>7822000</v>
      </c>
      <c r="K96" s="375">
        <f>VLOOKUP(H96,'Datetel Feb 28, 2013'!A:G,7,0)</f>
        <v>3911000</v>
      </c>
      <c r="L96" s="375">
        <f>VLOOKUP(H96,'Datetel Feb 28, 2013'!A:I,8,0)</f>
        <v>0</v>
      </c>
      <c r="M96" s="615">
        <f t="shared" ref="M96:M129" si="19">J96-K96-L96</f>
        <v>3911000</v>
      </c>
      <c r="N96" s="674"/>
      <c r="O96" s="674">
        <f t="shared" si="11"/>
        <v>7822000</v>
      </c>
      <c r="P96" s="213">
        <f t="shared" si="12"/>
        <v>0</v>
      </c>
      <c r="R96" s="74">
        <f>SUMIF('Datetel Feb 28, 2013'!A:A,'1314T 032913'!H96,'Datetel Feb 28, 2013'!I:I)</f>
        <v>3911000</v>
      </c>
      <c r="S96" s="213">
        <f t="shared" si="14"/>
        <v>0</v>
      </c>
    </row>
    <row r="97" spans="1:19" s="74" customFormat="1" ht="12.6" customHeight="1" x14ac:dyDescent="0.2">
      <c r="A97" s="74" t="s">
        <v>302</v>
      </c>
      <c r="B97" s="229" t="s">
        <v>131</v>
      </c>
      <c r="C97" s="251" t="s">
        <v>173</v>
      </c>
      <c r="D97" s="229" t="s">
        <v>90</v>
      </c>
      <c r="E97" s="229"/>
      <c r="F97" s="229" t="s">
        <v>1015</v>
      </c>
      <c r="G97" s="49" t="s">
        <v>153</v>
      </c>
      <c r="H97" s="49" t="s">
        <v>41</v>
      </c>
      <c r="I97" s="375">
        <v>639644</v>
      </c>
      <c r="J97" s="783">
        <v>639644</v>
      </c>
      <c r="K97" s="375">
        <v>639644</v>
      </c>
      <c r="L97" s="375">
        <v>0</v>
      </c>
      <c r="M97" s="615">
        <f t="shared" si="19"/>
        <v>0</v>
      </c>
      <c r="N97" s="674">
        <f>I97*0.1</f>
        <v>63964.4</v>
      </c>
      <c r="O97" s="674">
        <f t="shared" si="11"/>
        <v>703608.4</v>
      </c>
      <c r="P97" s="213">
        <f t="shared" si="12"/>
        <v>0</v>
      </c>
      <c r="S97" s="213"/>
    </row>
    <row r="98" spans="1:19" s="74" customFormat="1" ht="12.6" customHeight="1" x14ac:dyDescent="0.2">
      <c r="A98" s="74" t="s">
        <v>302</v>
      </c>
      <c r="B98" s="227" t="s">
        <v>131</v>
      </c>
      <c r="C98" s="292" t="s">
        <v>173</v>
      </c>
      <c r="D98" s="227" t="s">
        <v>91</v>
      </c>
      <c r="E98" s="227"/>
      <c r="F98" s="227"/>
      <c r="G98" s="34" t="s">
        <v>153</v>
      </c>
      <c r="H98" s="34" t="s">
        <v>41</v>
      </c>
      <c r="I98" s="375">
        <v>40000</v>
      </c>
      <c r="J98" s="783">
        <v>40000</v>
      </c>
      <c r="K98" s="375">
        <f>VLOOKUP(H98,'Datetel Feb 28, 2013'!A:G,7,0)-K97</f>
        <v>26512.869999999995</v>
      </c>
      <c r="L98" s="375">
        <v>0</v>
      </c>
      <c r="M98" s="615">
        <f t="shared" si="19"/>
        <v>13487.130000000005</v>
      </c>
      <c r="N98" s="674"/>
      <c r="O98" s="674">
        <f t="shared" si="11"/>
        <v>40000</v>
      </c>
      <c r="P98" s="213">
        <f t="shared" si="12"/>
        <v>0</v>
      </c>
      <c r="R98" s="74">
        <f>SUMIF('Datetel Feb 28, 2013'!A:A,'1314T 032913'!H98,'Datetel Feb 28, 2013'!I:I)</f>
        <v>13487.130000000005</v>
      </c>
      <c r="S98" s="213">
        <f t="shared" si="14"/>
        <v>0</v>
      </c>
    </row>
    <row r="99" spans="1:19" s="74" customFormat="1" ht="12.6" customHeight="1" x14ac:dyDescent="0.2">
      <c r="A99" s="74" t="s">
        <v>302</v>
      </c>
      <c r="B99" s="283" t="s">
        <v>298</v>
      </c>
      <c r="C99" s="282" t="s">
        <v>161</v>
      </c>
      <c r="D99" s="259" t="s">
        <v>78</v>
      </c>
      <c r="E99" s="259"/>
      <c r="F99" s="259"/>
      <c r="G99" s="33" t="s">
        <v>150</v>
      </c>
      <c r="H99" s="33" t="s">
        <v>28</v>
      </c>
      <c r="I99" s="375">
        <v>164946</v>
      </c>
      <c r="J99" s="783">
        <f>VLOOKUP(H99,'Datetel Feb 28, 2013'!A:F,6,0)</f>
        <v>-12266</v>
      </c>
      <c r="K99" s="375">
        <f>VLOOKUP(H99,'Datetel Feb 28, 2013'!A:G,7,0)</f>
        <v>0</v>
      </c>
      <c r="L99" s="375">
        <v>0</v>
      </c>
      <c r="M99" s="615">
        <f t="shared" si="19"/>
        <v>-12266</v>
      </c>
      <c r="N99" s="674"/>
      <c r="O99" s="674">
        <f t="shared" si="11"/>
        <v>164946</v>
      </c>
      <c r="P99" s="213">
        <f t="shared" si="12"/>
        <v>177212</v>
      </c>
      <c r="R99" s="74">
        <f>SUMIF('Datetel Feb 28, 2013'!A:A,'1314T 032913'!H99,'Datetel Feb 28, 2013'!I:I)</f>
        <v>-12266</v>
      </c>
      <c r="S99" s="213">
        <f t="shared" si="14"/>
        <v>0</v>
      </c>
    </row>
    <row r="100" spans="1:19" s="74" customFormat="1" ht="12.6" customHeight="1" x14ac:dyDescent="0.2">
      <c r="A100" s="74" t="s">
        <v>302</v>
      </c>
      <c r="B100" s="283" t="s">
        <v>298</v>
      </c>
      <c r="C100" s="286" t="s">
        <v>161</v>
      </c>
      <c r="D100" s="283" t="s">
        <v>297</v>
      </c>
      <c r="E100" s="229"/>
      <c r="F100" s="6"/>
      <c r="G100" s="5" t="s">
        <v>150</v>
      </c>
      <c r="H100" s="32" t="s">
        <v>29</v>
      </c>
      <c r="I100" s="375">
        <v>7500</v>
      </c>
      <c r="J100" s="783">
        <f>VLOOKUP(H100,'Datetel Feb 28, 2013'!A:F,6,0)</f>
        <v>7500</v>
      </c>
      <c r="K100" s="375">
        <f>VLOOKUP(H100,'Datetel Feb 28, 2013'!A:G,7,0)</f>
        <v>1224.57</v>
      </c>
      <c r="L100" s="375">
        <f>VLOOKUP(H100,'Datetel Feb 28, 2013'!A:I,8,0)</f>
        <v>0</v>
      </c>
      <c r="M100" s="615">
        <f t="shared" si="19"/>
        <v>6275.43</v>
      </c>
      <c r="N100" s="674"/>
      <c r="O100" s="674">
        <f t="shared" si="11"/>
        <v>7500</v>
      </c>
      <c r="P100" s="213">
        <f t="shared" si="12"/>
        <v>0</v>
      </c>
      <c r="R100" s="74">
        <f>SUMIF('Datetel Feb 28, 2013'!A:A,'1314T 032913'!H100,'Datetel Feb 28, 2013'!I:I)</f>
        <v>6275.43</v>
      </c>
      <c r="S100" s="213">
        <f t="shared" si="14"/>
        <v>0</v>
      </c>
    </row>
    <row r="101" spans="1:19" s="74" customFormat="1" ht="12.6" customHeight="1" x14ac:dyDescent="0.2">
      <c r="A101" s="74" t="s">
        <v>302</v>
      </c>
      <c r="B101" s="283" t="s">
        <v>298</v>
      </c>
      <c r="C101" s="286" t="s">
        <v>161</v>
      </c>
      <c r="D101" s="283" t="s">
        <v>427</v>
      </c>
      <c r="E101" s="229"/>
      <c r="F101" s="6"/>
      <c r="G101" s="5" t="s">
        <v>150</v>
      </c>
      <c r="H101" s="32" t="s">
        <v>30</v>
      </c>
      <c r="I101" s="375">
        <v>60000</v>
      </c>
      <c r="J101" s="783">
        <f>VLOOKUP(H101,'Datetel Feb 28, 2013'!A:F,6,0)</f>
        <v>60000</v>
      </c>
      <c r="K101" s="375">
        <f>VLOOKUP(H101,'Datetel Feb 28, 2013'!A:G,7,0)</f>
        <v>30000.04</v>
      </c>
      <c r="L101" s="375">
        <f>VLOOKUP(H101,'Datetel Feb 28, 2013'!A:I,8,0)</f>
        <v>0</v>
      </c>
      <c r="M101" s="615">
        <f t="shared" si="19"/>
        <v>29999.96</v>
      </c>
      <c r="N101" s="674"/>
      <c r="O101" s="674">
        <f t="shared" si="11"/>
        <v>60000</v>
      </c>
      <c r="P101" s="213">
        <f t="shared" si="12"/>
        <v>0</v>
      </c>
      <c r="R101" s="74">
        <f>SUMIF('Datetel Feb 28, 2013'!A:A,'1314T 032913'!H101,'Datetel Feb 28, 2013'!I:I)</f>
        <v>29999.96</v>
      </c>
      <c r="S101" s="213">
        <f t="shared" si="14"/>
        <v>0</v>
      </c>
    </row>
    <row r="102" spans="1:19" s="74" customFormat="1" ht="12.6" customHeight="1" x14ac:dyDescent="0.2">
      <c r="A102" s="74" t="s">
        <v>302</v>
      </c>
      <c r="B102" s="283" t="s">
        <v>298</v>
      </c>
      <c r="C102" s="286" t="s">
        <v>161</v>
      </c>
      <c r="D102" s="259" t="s">
        <v>81</v>
      </c>
      <c r="E102" s="259"/>
      <c r="F102" s="259"/>
      <c r="G102" s="33" t="s">
        <v>150</v>
      </c>
      <c r="H102" s="33" t="s">
        <v>31</v>
      </c>
      <c r="I102" s="375">
        <v>200000</v>
      </c>
      <c r="J102" s="783">
        <f>VLOOKUP(H102,'Datetel Feb 28, 2013'!A:F,6,0)</f>
        <v>200000</v>
      </c>
      <c r="K102" s="375">
        <f>VLOOKUP(H102,'Datetel Feb 28, 2013'!A:G,7,0)</f>
        <v>104705.96</v>
      </c>
      <c r="L102" s="375">
        <f>SUM('Datetel Feb 28, 2013'!H186)</f>
        <v>0</v>
      </c>
      <c r="M102" s="615">
        <f t="shared" si="19"/>
        <v>95294.04</v>
      </c>
      <c r="N102" s="674"/>
      <c r="O102" s="674">
        <f t="shared" si="11"/>
        <v>200000</v>
      </c>
      <c r="P102" s="213">
        <f t="shared" si="12"/>
        <v>0</v>
      </c>
      <c r="R102" s="74">
        <f>SUMIF('Datetel Feb 28, 2013'!A:A,'1314T 032913'!H102,'Datetel Feb 28, 2013'!I:I)</f>
        <v>95294.04</v>
      </c>
      <c r="S102" s="213">
        <f t="shared" si="14"/>
        <v>0</v>
      </c>
    </row>
    <row r="103" spans="1:19" s="74" customFormat="1" ht="12.6" customHeight="1" x14ac:dyDescent="0.2">
      <c r="A103" s="74" t="s">
        <v>302</v>
      </c>
      <c r="B103" s="278" t="s">
        <v>132</v>
      </c>
      <c r="C103" s="284" t="s">
        <v>127</v>
      </c>
      <c r="D103" s="284" t="s">
        <v>419</v>
      </c>
      <c r="E103" s="251"/>
      <c r="F103" s="293"/>
      <c r="G103" s="114" t="s">
        <v>154</v>
      </c>
      <c r="H103" s="32" t="s">
        <v>420</v>
      </c>
      <c r="I103" s="375">
        <v>219443</v>
      </c>
      <c r="J103" s="783">
        <f>VLOOKUP(H103,'Datetel Feb 28, 2013'!A:F,6,0)</f>
        <v>219443</v>
      </c>
      <c r="K103" s="375">
        <f>VLOOKUP(H103,'Datetel Feb 28, 2013'!A:G,7,0)</f>
        <v>187245.28</v>
      </c>
      <c r="L103" s="375">
        <f>VLOOKUP(H103,'Datetel Feb 28, 2013'!A:I,8,0)</f>
        <v>6260.25</v>
      </c>
      <c r="M103" s="615">
        <f t="shared" si="19"/>
        <v>25937.47</v>
      </c>
      <c r="N103" s="674"/>
      <c r="O103" s="674">
        <f t="shared" si="11"/>
        <v>219443</v>
      </c>
      <c r="P103" s="213">
        <f t="shared" si="12"/>
        <v>0</v>
      </c>
      <c r="R103" s="74">
        <f>SUMIF('Datetel Feb 28, 2013'!A:A,'1314T 032913'!H103,'Datetel Feb 28, 2013'!I:I)</f>
        <v>25937.47</v>
      </c>
      <c r="S103" s="213">
        <f t="shared" si="14"/>
        <v>0</v>
      </c>
    </row>
    <row r="104" spans="1:19" s="74" customFormat="1" ht="12.6" customHeight="1" x14ac:dyDescent="0.2">
      <c r="A104" s="74" t="s">
        <v>302</v>
      </c>
      <c r="B104" s="278" t="s">
        <v>132</v>
      </c>
      <c r="C104" s="284" t="s">
        <v>127</v>
      </c>
      <c r="D104" s="283" t="s">
        <v>299</v>
      </c>
      <c r="E104" s="229"/>
      <c r="F104" s="293"/>
      <c r="G104" s="114" t="s">
        <v>154</v>
      </c>
      <c r="H104" s="32" t="s">
        <v>44</v>
      </c>
      <c r="I104" s="375">
        <v>48817</v>
      </c>
      <c r="J104" s="783">
        <f>VLOOKUP(H104,'Datetel Feb 28, 2013'!A:F,6,0)</f>
        <v>51538</v>
      </c>
      <c r="K104" s="375">
        <f>VLOOKUP(H104,'Datetel Feb 28, 2013'!A:G,7,0)</f>
        <v>18137.63</v>
      </c>
      <c r="L104" s="375">
        <f>VLOOKUP(H104,'Datetel Feb 28, 2013'!A:I,8,0)</f>
        <v>2751.94</v>
      </c>
      <c r="M104" s="615">
        <f t="shared" si="19"/>
        <v>30648.429999999997</v>
      </c>
      <c r="N104" s="674"/>
      <c r="O104" s="674">
        <f t="shared" si="11"/>
        <v>48817</v>
      </c>
      <c r="P104" s="213">
        <f t="shared" si="12"/>
        <v>-2721</v>
      </c>
      <c r="R104" s="74">
        <f>SUMIF('Datetel Feb 28, 2013'!A:A,'1314T 032913'!H104,'Datetel Feb 28, 2013'!I:I)</f>
        <v>30648.429999999997</v>
      </c>
      <c r="S104" s="213">
        <f t="shared" si="14"/>
        <v>0</v>
      </c>
    </row>
    <row r="105" spans="1:19" s="446" customFormat="1" ht="12.6" customHeight="1" x14ac:dyDescent="0.2">
      <c r="A105" s="74" t="s">
        <v>302</v>
      </c>
      <c r="B105" s="231" t="s">
        <v>132</v>
      </c>
      <c r="C105" s="367"/>
      <c r="D105" s="256" t="s">
        <v>417</v>
      </c>
      <c r="E105" s="256"/>
      <c r="F105" s="904"/>
      <c r="G105" s="905" t="s">
        <v>423</v>
      </c>
      <c r="H105" s="32" t="s">
        <v>47</v>
      </c>
      <c r="I105" s="783">
        <v>855979</v>
      </c>
      <c r="J105" s="783">
        <f>VLOOKUP(H105,'Datetel Feb 28, 2013'!A:F,6,0)</f>
        <v>862996</v>
      </c>
      <c r="K105" s="375">
        <f>VLOOKUP(H105,'Datetel Feb 28, 2013'!A:G,7,0)</f>
        <v>799558.73</v>
      </c>
      <c r="L105" s="375">
        <f>VLOOKUP(H105,'Datetel Feb 28, 2013'!A:I,8,0)</f>
        <v>52.14</v>
      </c>
      <c r="M105" s="615">
        <f t="shared" si="19"/>
        <v>63385.130000000019</v>
      </c>
      <c r="N105" s="674"/>
      <c r="O105" s="674">
        <f t="shared" si="11"/>
        <v>855979</v>
      </c>
      <c r="P105" s="213">
        <f t="shared" si="12"/>
        <v>-7017</v>
      </c>
      <c r="R105" s="74">
        <f>SUMIF('Datetel Feb 28, 2013'!A:A,'1314T 032913'!H105,'Datetel Feb 28, 2013'!I:I)</f>
        <v>63385.130000000019</v>
      </c>
      <c r="S105" s="213">
        <f t="shared" si="14"/>
        <v>0</v>
      </c>
    </row>
    <row r="106" spans="1:19" s="531" customFormat="1" ht="12.6" customHeight="1" x14ac:dyDescent="0.2">
      <c r="A106" s="74" t="s">
        <v>302</v>
      </c>
      <c r="B106" s="278" t="s">
        <v>132</v>
      </c>
      <c r="C106" s="284" t="s">
        <v>127</v>
      </c>
      <c r="D106" s="283" t="s">
        <v>96</v>
      </c>
      <c r="E106" s="229"/>
      <c r="F106" s="228"/>
      <c r="G106" s="114" t="s">
        <v>167</v>
      </c>
      <c r="H106" s="32" t="s">
        <v>50</v>
      </c>
      <c r="I106" s="375">
        <v>157118</v>
      </c>
      <c r="J106" s="783">
        <f>VLOOKUP(H106,'Datetel Feb 28, 2013'!A:F,6,0)</f>
        <v>157118</v>
      </c>
      <c r="K106" s="375">
        <f>VLOOKUP(H106,'Datetel Feb 28, 2013'!A:G,7,0)</f>
        <v>94557.34</v>
      </c>
      <c r="L106" s="375">
        <f>VLOOKUP(H106,'Datetel Feb 28, 2013'!A:I,8,0)</f>
        <v>60442.66</v>
      </c>
      <c r="M106" s="615">
        <f t="shared" si="19"/>
        <v>2118</v>
      </c>
      <c r="N106" s="674"/>
      <c r="O106" s="674">
        <f t="shared" si="11"/>
        <v>157118</v>
      </c>
      <c r="P106" s="213">
        <f t="shared" si="12"/>
        <v>0</v>
      </c>
      <c r="R106" s="74">
        <f>SUMIF('Datetel Feb 28, 2013'!A:A,'1314T 032913'!H106,'Datetel Feb 28, 2013'!I:I)</f>
        <v>2118</v>
      </c>
      <c r="S106" s="213">
        <f t="shared" si="14"/>
        <v>0</v>
      </c>
    </row>
    <row r="107" spans="1:19" s="74" customFormat="1" ht="12.6" customHeight="1" x14ac:dyDescent="0.2">
      <c r="A107" s="74" t="s">
        <v>302</v>
      </c>
      <c r="B107" s="278" t="s">
        <v>132</v>
      </c>
      <c r="C107" s="284" t="s">
        <v>127</v>
      </c>
      <c r="D107" s="283" t="s">
        <v>284</v>
      </c>
      <c r="E107" s="229"/>
      <c r="F107" s="293"/>
      <c r="G107" s="114" t="s">
        <v>154</v>
      </c>
      <c r="H107" s="32" t="s">
        <v>48</v>
      </c>
      <c r="I107" s="375">
        <v>50000</v>
      </c>
      <c r="J107" s="783">
        <f>VLOOKUP(H107,'Datetel Feb 28, 2013'!A:F,6,0)</f>
        <v>50000</v>
      </c>
      <c r="K107" s="375">
        <f>VLOOKUP(H107,'Datetel Feb 28, 2013'!A:G,7,0)</f>
        <v>18687.14</v>
      </c>
      <c r="L107" s="375">
        <f>VLOOKUP(H107,'Datetel Feb 28, 2013'!A:I,8,0)</f>
        <v>16585.759999999998</v>
      </c>
      <c r="M107" s="615">
        <f t="shared" si="19"/>
        <v>14727.100000000002</v>
      </c>
      <c r="N107" s="674"/>
      <c r="O107" s="674">
        <f t="shared" si="11"/>
        <v>50000</v>
      </c>
      <c r="P107" s="213">
        <f t="shared" si="12"/>
        <v>0</v>
      </c>
      <c r="R107" s="74">
        <f>SUMIF('Datetel Feb 28, 2013'!A:A,'1314T 032913'!H107,'Datetel Feb 28, 2013'!I:I)</f>
        <v>14727.100000000002</v>
      </c>
      <c r="S107" s="213">
        <f t="shared" si="14"/>
        <v>0</v>
      </c>
    </row>
    <row r="108" spans="1:19" s="74" customFormat="1" ht="12.6" customHeight="1" x14ac:dyDescent="0.2">
      <c r="A108" s="74" t="s">
        <v>302</v>
      </c>
      <c r="B108" s="278" t="s">
        <v>132</v>
      </c>
      <c r="C108" s="284" t="s">
        <v>127</v>
      </c>
      <c r="D108" s="283" t="s">
        <v>97</v>
      </c>
      <c r="E108" s="229"/>
      <c r="F108" s="293"/>
      <c r="G108" s="115" t="s">
        <v>170</v>
      </c>
      <c r="H108" s="32" t="s">
        <v>51</v>
      </c>
      <c r="I108" s="375">
        <v>52000</v>
      </c>
      <c r="J108" s="783">
        <f>VLOOKUP(H108,'Datetel Feb 28, 2013'!A:F,6,0)</f>
        <v>54361</v>
      </c>
      <c r="K108" s="375">
        <f>VLOOKUP(H108,'Datetel Feb 28, 2013'!A:G,7,0)</f>
        <v>23644.57</v>
      </c>
      <c r="L108" s="375">
        <f>VLOOKUP(H108,'Datetel Feb 28, 2013'!A:I,8,0)</f>
        <v>29948.43</v>
      </c>
      <c r="M108" s="615">
        <f t="shared" si="19"/>
        <v>768</v>
      </c>
      <c r="N108" s="674"/>
      <c r="O108" s="674">
        <f t="shared" si="11"/>
        <v>52000</v>
      </c>
      <c r="P108" s="213">
        <f t="shared" si="12"/>
        <v>-2361</v>
      </c>
      <c r="R108" s="74">
        <f>SUMIF('Datetel Feb 28, 2013'!A:A,'1314T 032913'!H108,'Datetel Feb 28, 2013'!I:I)</f>
        <v>768</v>
      </c>
      <c r="S108" s="213">
        <f t="shared" si="14"/>
        <v>0</v>
      </c>
    </row>
    <row r="109" spans="1:19" s="74" customFormat="1" ht="12.6" customHeight="1" thickBot="1" x14ac:dyDescent="0.25">
      <c r="A109" s="74" t="s">
        <v>302</v>
      </c>
      <c r="B109" s="227" t="s">
        <v>131</v>
      </c>
      <c r="C109" s="790" t="s">
        <v>145</v>
      </c>
      <c r="D109" s="789" t="s">
        <v>111</v>
      </c>
      <c r="E109" s="789"/>
      <c r="F109" s="789"/>
      <c r="G109" s="792" t="s">
        <v>166</v>
      </c>
      <c r="H109" s="792" t="s">
        <v>813</v>
      </c>
      <c r="I109" s="846">
        <v>57000</v>
      </c>
      <c r="J109" s="847">
        <f>VLOOKUP(H109,'Datetel Feb 28, 2013'!A:F,6,0)</f>
        <v>57000</v>
      </c>
      <c r="K109" s="846">
        <f>VLOOKUP(H109,'Datetel Feb 28, 2013'!A:G,7,0)</f>
        <v>30692.23</v>
      </c>
      <c r="L109" s="846">
        <f>VLOOKUP(H109,'Datetel Feb 28, 2013'!A:I,8,0)</f>
        <v>20004.77</v>
      </c>
      <c r="M109" s="615">
        <f t="shared" si="19"/>
        <v>6303</v>
      </c>
      <c r="N109" s="674"/>
      <c r="O109" s="674">
        <f t="shared" si="11"/>
        <v>57000</v>
      </c>
      <c r="P109" s="213">
        <f t="shared" si="12"/>
        <v>0</v>
      </c>
      <c r="R109" s="74">
        <f>SUMIF('Datetel Feb 28, 2013'!A:A,'1314T 032913'!H109,'Datetel Feb 28, 2013'!I:I)</f>
        <v>6303</v>
      </c>
      <c r="S109" s="213">
        <f t="shared" si="14"/>
        <v>0</v>
      </c>
    </row>
    <row r="110" spans="1:19" s="74" customFormat="1" ht="12.6" customHeight="1" x14ac:dyDescent="0.2">
      <c r="A110" s="74" t="s">
        <v>302</v>
      </c>
      <c r="B110" s="851" t="s">
        <v>129</v>
      </c>
      <c r="C110" s="852" t="s">
        <v>145</v>
      </c>
      <c r="D110" s="800" t="s">
        <v>101</v>
      </c>
      <c r="E110" s="800"/>
      <c r="F110" s="800" t="s">
        <v>1005</v>
      </c>
      <c r="G110" s="803" t="s">
        <v>290</v>
      </c>
      <c r="H110" s="803" t="s">
        <v>53</v>
      </c>
      <c r="I110" s="392">
        <v>22680</v>
      </c>
      <c r="J110" s="853"/>
      <c r="K110" s="392"/>
      <c r="L110" s="392"/>
      <c r="M110" s="392">
        <f t="shared" si="19"/>
        <v>0</v>
      </c>
      <c r="N110" s="392">
        <v>2820</v>
      </c>
      <c r="O110" s="898">
        <f>I110+N110</f>
        <v>25500</v>
      </c>
      <c r="P110" s="213">
        <f t="shared" si="12"/>
        <v>22680</v>
      </c>
      <c r="R110" s="74">
        <f>SUMIF('Datetel Feb 28, 2013'!A:A,'1314T 032913'!H110,'Datetel Feb 28, 2013'!I:I)</f>
        <v>12960.020000000019</v>
      </c>
      <c r="S110" s="213">
        <f t="shared" si="14"/>
        <v>-12960.020000000019</v>
      </c>
    </row>
    <row r="111" spans="1:19" s="74" customFormat="1" ht="12.6" customHeight="1" x14ac:dyDescent="0.2">
      <c r="A111" s="74" t="s">
        <v>302</v>
      </c>
      <c r="B111" s="855" t="s">
        <v>129</v>
      </c>
      <c r="C111" s="354" t="s">
        <v>145</v>
      </c>
      <c r="D111" s="229" t="s">
        <v>102</v>
      </c>
      <c r="E111" s="229"/>
      <c r="F111" s="229"/>
      <c r="G111" s="49" t="s">
        <v>163</v>
      </c>
      <c r="H111" s="49" t="s">
        <v>53</v>
      </c>
      <c r="I111" s="375">
        <v>18636</v>
      </c>
      <c r="J111" s="850"/>
      <c r="K111" s="375"/>
      <c r="L111" s="375"/>
      <c r="M111" s="615">
        <f t="shared" si="19"/>
        <v>0</v>
      </c>
      <c r="N111" s="375">
        <v>0</v>
      </c>
      <c r="O111" s="899">
        <f t="shared" si="11"/>
        <v>18636</v>
      </c>
      <c r="P111" s="213">
        <f t="shared" si="12"/>
        <v>18636</v>
      </c>
      <c r="S111" s="213"/>
    </row>
    <row r="112" spans="1:19" s="74" customFormat="1" ht="12.6" customHeight="1" x14ac:dyDescent="0.2">
      <c r="A112" s="74" t="s">
        <v>302</v>
      </c>
      <c r="B112" s="855" t="s">
        <v>129</v>
      </c>
      <c r="C112" s="354" t="s">
        <v>145</v>
      </c>
      <c r="D112" s="229" t="s">
        <v>963</v>
      </c>
      <c r="E112" s="229"/>
      <c r="F112" s="229" t="s">
        <v>965</v>
      </c>
      <c r="G112" s="49" t="s">
        <v>165</v>
      </c>
      <c r="H112" s="49" t="s">
        <v>53</v>
      </c>
      <c r="I112" s="375">
        <v>14732</v>
      </c>
      <c r="J112" s="850"/>
      <c r="K112" s="375"/>
      <c r="L112" s="375"/>
      <c r="M112" s="615">
        <f t="shared" si="19"/>
        <v>0</v>
      </c>
      <c r="N112" s="375">
        <v>4653</v>
      </c>
      <c r="O112" s="899">
        <f t="shared" si="11"/>
        <v>19385</v>
      </c>
      <c r="P112" s="213">
        <f t="shared" si="12"/>
        <v>14732</v>
      </c>
      <c r="S112" s="213"/>
    </row>
    <row r="113" spans="1:19" s="74" customFormat="1" ht="12.6" customHeight="1" x14ac:dyDescent="0.2">
      <c r="A113" s="74" t="s">
        <v>302</v>
      </c>
      <c r="B113" s="855" t="s">
        <v>129</v>
      </c>
      <c r="C113" s="354" t="s">
        <v>145</v>
      </c>
      <c r="D113" s="229" t="s">
        <v>964</v>
      </c>
      <c r="E113" s="229"/>
      <c r="F113" s="229" t="s">
        <v>966</v>
      </c>
      <c r="G113" s="49" t="s">
        <v>155</v>
      </c>
      <c r="H113" s="49" t="s">
        <v>53</v>
      </c>
      <c r="I113" s="375">
        <v>4090</v>
      </c>
      <c r="J113" s="850"/>
      <c r="K113" s="375"/>
      <c r="L113" s="375"/>
      <c r="M113" s="615">
        <f t="shared" si="19"/>
        <v>0</v>
      </c>
      <c r="N113" s="375">
        <v>4715</v>
      </c>
      <c r="O113" s="899">
        <f t="shared" si="11"/>
        <v>8805</v>
      </c>
      <c r="P113" s="213">
        <f t="shared" si="12"/>
        <v>4090</v>
      </c>
      <c r="S113" s="213"/>
    </row>
    <row r="114" spans="1:19" s="74" customFormat="1" ht="12.6" customHeight="1" x14ac:dyDescent="0.2">
      <c r="A114" s="74" t="s">
        <v>302</v>
      </c>
      <c r="B114" s="855" t="s">
        <v>129</v>
      </c>
      <c r="C114" s="354" t="s">
        <v>145</v>
      </c>
      <c r="D114" s="229" t="s">
        <v>105</v>
      </c>
      <c r="E114" s="229"/>
      <c r="F114" s="229"/>
      <c r="G114" s="49" t="s">
        <v>155</v>
      </c>
      <c r="H114" s="49" t="s">
        <v>53</v>
      </c>
      <c r="I114" s="375">
        <v>2000</v>
      </c>
      <c r="J114" s="850"/>
      <c r="K114" s="375"/>
      <c r="L114" s="375"/>
      <c r="M114" s="615">
        <f t="shared" si="19"/>
        <v>0</v>
      </c>
      <c r="N114" s="375">
        <v>-2000</v>
      </c>
      <c r="O114" s="899">
        <f t="shared" si="11"/>
        <v>0</v>
      </c>
      <c r="P114" s="213">
        <f t="shared" si="12"/>
        <v>2000</v>
      </c>
      <c r="S114" s="213"/>
    </row>
    <row r="115" spans="1:19" s="74" customFormat="1" ht="12.6" customHeight="1" x14ac:dyDescent="0.2">
      <c r="A115" s="74" t="s">
        <v>302</v>
      </c>
      <c r="B115" s="855" t="s">
        <v>129</v>
      </c>
      <c r="C115" s="354" t="s">
        <v>145</v>
      </c>
      <c r="D115" s="229" t="s">
        <v>106</v>
      </c>
      <c r="E115" s="229"/>
      <c r="F115" s="229" t="s">
        <v>967</v>
      </c>
      <c r="G115" s="49" t="s">
        <v>155</v>
      </c>
      <c r="H115" s="49" t="s">
        <v>53</v>
      </c>
      <c r="I115" s="375">
        <v>300</v>
      </c>
      <c r="J115" s="850"/>
      <c r="K115" s="375"/>
      <c r="L115" s="375"/>
      <c r="M115" s="615">
        <f t="shared" si="19"/>
        <v>0</v>
      </c>
      <c r="N115" s="375">
        <v>-300</v>
      </c>
      <c r="O115" s="899">
        <f t="shared" si="11"/>
        <v>0</v>
      </c>
      <c r="P115" s="213">
        <f t="shared" si="12"/>
        <v>300</v>
      </c>
      <c r="S115" s="213"/>
    </row>
    <row r="116" spans="1:19" s="74" customFormat="1" ht="12.6" customHeight="1" x14ac:dyDescent="0.2">
      <c r="A116" s="74" t="s">
        <v>302</v>
      </c>
      <c r="B116" s="855" t="s">
        <v>129</v>
      </c>
      <c r="C116" s="354" t="s">
        <v>145</v>
      </c>
      <c r="D116" s="229" t="s">
        <v>285</v>
      </c>
      <c r="E116" s="229"/>
      <c r="F116" s="229"/>
      <c r="G116" s="49" t="s">
        <v>155</v>
      </c>
      <c r="H116" s="49" t="s">
        <v>53</v>
      </c>
      <c r="I116" s="375">
        <v>250000</v>
      </c>
      <c r="J116" s="850"/>
      <c r="K116" s="375"/>
      <c r="L116" s="375"/>
      <c r="M116" s="615">
        <f t="shared" si="19"/>
        <v>0</v>
      </c>
      <c r="N116" s="375"/>
      <c r="O116" s="899">
        <f t="shared" si="11"/>
        <v>250000</v>
      </c>
      <c r="P116" s="213">
        <f t="shared" si="12"/>
        <v>250000</v>
      </c>
      <c r="S116" s="213"/>
    </row>
    <row r="117" spans="1:19" s="74" customFormat="1" ht="12.6" customHeight="1" x14ac:dyDescent="0.2">
      <c r="A117" s="74" t="s">
        <v>302</v>
      </c>
      <c r="B117" s="855" t="s">
        <v>129</v>
      </c>
      <c r="C117" s="354" t="s">
        <v>145</v>
      </c>
      <c r="D117" s="229" t="s">
        <v>107</v>
      </c>
      <c r="E117" s="229"/>
      <c r="F117" s="229"/>
      <c r="G117" s="49" t="s">
        <v>155</v>
      </c>
      <c r="H117" s="49" t="s">
        <v>53</v>
      </c>
      <c r="I117" s="375">
        <v>2640</v>
      </c>
      <c r="J117" s="850"/>
      <c r="K117" s="375"/>
      <c r="L117" s="375"/>
      <c r="M117" s="615">
        <f t="shared" si="19"/>
        <v>0</v>
      </c>
      <c r="N117" s="375">
        <v>370</v>
      </c>
      <c r="O117" s="899">
        <f t="shared" si="11"/>
        <v>3010</v>
      </c>
      <c r="P117" s="213">
        <f t="shared" si="12"/>
        <v>2640</v>
      </c>
      <c r="S117" s="213"/>
    </row>
    <row r="118" spans="1:19" s="74" customFormat="1" ht="12.6" customHeight="1" x14ac:dyDescent="0.2">
      <c r="A118" s="74" t="s">
        <v>302</v>
      </c>
      <c r="B118" s="855" t="s">
        <v>129</v>
      </c>
      <c r="C118" s="354" t="s">
        <v>145</v>
      </c>
      <c r="D118" s="229" t="s">
        <v>108</v>
      </c>
      <c r="E118" s="229"/>
      <c r="F118" s="229"/>
      <c r="G118" s="49" t="s">
        <v>163</v>
      </c>
      <c r="H118" s="49" t="s">
        <v>53</v>
      </c>
      <c r="I118" s="375">
        <v>4152</v>
      </c>
      <c r="J118" s="850"/>
      <c r="K118" s="375"/>
      <c r="L118" s="375"/>
      <c r="M118" s="615">
        <f t="shared" si="19"/>
        <v>0</v>
      </c>
      <c r="N118" s="375"/>
      <c r="O118" s="899">
        <f t="shared" si="11"/>
        <v>4152</v>
      </c>
      <c r="P118" s="213">
        <f t="shared" si="12"/>
        <v>4152</v>
      </c>
      <c r="S118" s="213"/>
    </row>
    <row r="119" spans="1:19" s="74" customFormat="1" ht="12.6" customHeight="1" x14ac:dyDescent="0.2">
      <c r="A119" s="74" t="s">
        <v>302</v>
      </c>
      <c r="B119" s="855" t="s">
        <v>129</v>
      </c>
      <c r="C119" s="354" t="s">
        <v>145</v>
      </c>
      <c r="D119" s="229" t="s">
        <v>968</v>
      </c>
      <c r="E119" s="229"/>
      <c r="F119" s="229" t="s">
        <v>969</v>
      </c>
      <c r="G119" s="49" t="s">
        <v>165</v>
      </c>
      <c r="H119" s="49" t="s">
        <v>53</v>
      </c>
      <c r="I119" s="375">
        <v>2640</v>
      </c>
      <c r="J119" s="850"/>
      <c r="K119" s="375"/>
      <c r="L119" s="375"/>
      <c r="M119" s="615">
        <f t="shared" si="19"/>
        <v>0</v>
      </c>
      <c r="N119" s="375">
        <v>2878</v>
      </c>
      <c r="O119" s="899">
        <f t="shared" si="11"/>
        <v>5518</v>
      </c>
      <c r="P119" s="213">
        <f t="shared" si="12"/>
        <v>2640</v>
      </c>
      <c r="S119" s="213"/>
    </row>
    <row r="120" spans="1:19" s="74" customFormat="1" ht="12.6" customHeight="1" x14ac:dyDescent="0.2">
      <c r="A120" s="74" t="s">
        <v>302</v>
      </c>
      <c r="B120" s="855" t="s">
        <v>129</v>
      </c>
      <c r="C120" s="354" t="s">
        <v>145</v>
      </c>
      <c r="D120" s="229" t="s">
        <v>970</v>
      </c>
      <c r="E120" s="229"/>
      <c r="F120" s="229"/>
      <c r="G120" s="49" t="s">
        <v>165</v>
      </c>
      <c r="H120" s="49" t="s">
        <v>53</v>
      </c>
      <c r="I120" s="375">
        <v>3120</v>
      </c>
      <c r="J120" s="850"/>
      <c r="K120" s="375"/>
      <c r="L120" s="375"/>
      <c r="M120" s="615">
        <f t="shared" si="19"/>
        <v>0</v>
      </c>
      <c r="N120" s="375">
        <v>255</v>
      </c>
      <c r="O120" s="899">
        <f t="shared" si="11"/>
        <v>3375</v>
      </c>
      <c r="P120" s="213">
        <f t="shared" si="12"/>
        <v>3120</v>
      </c>
      <c r="S120" s="213"/>
    </row>
    <row r="121" spans="1:19" s="74" customFormat="1" ht="12.6" customHeight="1" x14ac:dyDescent="0.2">
      <c r="A121" s="74" t="s">
        <v>302</v>
      </c>
      <c r="B121" s="855" t="s">
        <v>129</v>
      </c>
      <c r="C121" s="354" t="s">
        <v>145</v>
      </c>
      <c r="D121" s="229" t="s">
        <v>971</v>
      </c>
      <c r="E121" s="229"/>
      <c r="F121" s="229" t="s">
        <v>972</v>
      </c>
      <c r="G121" s="49" t="s">
        <v>164</v>
      </c>
      <c r="H121" s="49" t="s">
        <v>53</v>
      </c>
      <c r="I121" s="375">
        <v>35893</v>
      </c>
      <c r="J121" s="850"/>
      <c r="K121" s="375"/>
      <c r="L121" s="375"/>
      <c r="M121" s="615">
        <f t="shared" si="19"/>
        <v>0</v>
      </c>
      <c r="N121" s="375">
        <v>15875</v>
      </c>
      <c r="O121" s="899">
        <f t="shared" si="11"/>
        <v>51768</v>
      </c>
      <c r="P121" s="213">
        <f t="shared" si="12"/>
        <v>35893</v>
      </c>
      <c r="S121" s="213"/>
    </row>
    <row r="122" spans="1:19" s="74" customFormat="1" ht="12.6" customHeight="1" x14ac:dyDescent="0.2">
      <c r="A122" s="74" t="s">
        <v>302</v>
      </c>
      <c r="B122" s="855" t="s">
        <v>129</v>
      </c>
      <c r="C122" s="354" t="s">
        <v>145</v>
      </c>
      <c r="D122" s="229" t="s">
        <v>973</v>
      </c>
      <c r="E122" s="229"/>
      <c r="F122" s="229" t="s">
        <v>974</v>
      </c>
      <c r="G122" s="49" t="s">
        <v>164</v>
      </c>
      <c r="H122" s="49" t="s">
        <v>53</v>
      </c>
      <c r="I122" s="375">
        <v>12890</v>
      </c>
      <c r="J122" s="850"/>
      <c r="K122" s="375"/>
      <c r="L122" s="375"/>
      <c r="M122" s="615">
        <f t="shared" si="19"/>
        <v>0</v>
      </c>
      <c r="N122" s="375">
        <v>31840</v>
      </c>
      <c r="O122" s="899">
        <f t="shared" si="11"/>
        <v>44730</v>
      </c>
      <c r="P122" s="213">
        <f t="shared" si="12"/>
        <v>12890</v>
      </c>
      <c r="S122" s="213"/>
    </row>
    <row r="123" spans="1:19" s="74" customFormat="1" ht="12.6" customHeight="1" x14ac:dyDescent="0.2">
      <c r="A123" s="74" t="s">
        <v>302</v>
      </c>
      <c r="B123" s="890" t="s">
        <v>129</v>
      </c>
      <c r="C123" s="790" t="s">
        <v>145</v>
      </c>
      <c r="D123" s="789" t="s">
        <v>975</v>
      </c>
      <c r="E123" s="789"/>
      <c r="F123" s="789" t="s">
        <v>1011</v>
      </c>
      <c r="G123" s="792" t="s">
        <v>165</v>
      </c>
      <c r="H123" s="792" t="s">
        <v>53</v>
      </c>
      <c r="I123" s="846">
        <v>6300</v>
      </c>
      <c r="J123" s="850"/>
      <c r="K123" s="846"/>
      <c r="L123" s="846"/>
      <c r="M123" s="848">
        <v>0</v>
      </c>
      <c r="N123" s="846">
        <v>4574</v>
      </c>
      <c r="O123" s="899">
        <f t="shared" si="11"/>
        <v>10874</v>
      </c>
      <c r="P123" s="213">
        <v>6300</v>
      </c>
      <c r="R123" s="74">
        <v>16865.51999999999</v>
      </c>
      <c r="S123" s="213">
        <v>-16865.51999999999</v>
      </c>
    </row>
    <row r="124" spans="1:19" s="74" customFormat="1" ht="12.6" customHeight="1" x14ac:dyDescent="0.2">
      <c r="A124" s="74" t="s">
        <v>302</v>
      </c>
      <c r="B124" s="890" t="s">
        <v>129</v>
      </c>
      <c r="C124" s="790"/>
      <c r="D124" s="789" t="s">
        <v>976</v>
      </c>
      <c r="E124" s="789"/>
      <c r="F124" s="789" t="s">
        <v>978</v>
      </c>
      <c r="G124" s="792" t="s">
        <v>165</v>
      </c>
      <c r="H124" s="792" t="s">
        <v>53</v>
      </c>
      <c r="I124" s="846">
        <v>0</v>
      </c>
      <c r="J124" s="850"/>
      <c r="K124" s="846"/>
      <c r="L124" s="846"/>
      <c r="M124" s="848">
        <v>0</v>
      </c>
      <c r="N124" s="846">
        <v>24215</v>
      </c>
      <c r="O124" s="899">
        <f t="shared" si="11"/>
        <v>24215</v>
      </c>
      <c r="P124" s="213"/>
      <c r="S124" s="213"/>
    </row>
    <row r="125" spans="1:19" s="74" customFormat="1" ht="12.6" customHeight="1" x14ac:dyDescent="0.2">
      <c r="B125" s="890" t="s">
        <v>129</v>
      </c>
      <c r="C125" s="790" t="s">
        <v>145</v>
      </c>
      <c r="D125" s="789" t="s">
        <v>977</v>
      </c>
      <c r="E125" s="789"/>
      <c r="F125" s="789" t="s">
        <v>1016</v>
      </c>
      <c r="G125" s="792" t="s">
        <v>155</v>
      </c>
      <c r="H125" s="792" t="s">
        <v>53</v>
      </c>
      <c r="I125" s="846">
        <v>0</v>
      </c>
      <c r="J125" s="850"/>
      <c r="K125" s="846"/>
      <c r="L125" s="846"/>
      <c r="M125" s="848">
        <v>0</v>
      </c>
      <c r="N125" s="846">
        <v>16716</v>
      </c>
      <c r="O125" s="902">
        <v>16716</v>
      </c>
      <c r="P125" s="213"/>
      <c r="S125" s="213"/>
    </row>
    <row r="126" spans="1:19" s="74" customFormat="1" ht="12.6" customHeight="1" thickBot="1" x14ac:dyDescent="0.25">
      <c r="A126" s="74" t="s">
        <v>302</v>
      </c>
      <c r="B126" s="857" t="s">
        <v>129</v>
      </c>
      <c r="C126" s="858" t="s">
        <v>145</v>
      </c>
      <c r="D126" s="859"/>
      <c r="E126" s="859"/>
      <c r="F126" s="911" t="s">
        <v>993</v>
      </c>
      <c r="G126" s="912" t="s">
        <v>155</v>
      </c>
      <c r="H126" s="912" t="s">
        <v>53</v>
      </c>
      <c r="I126" s="913">
        <f>SUM(I110:I125)</f>
        <v>380073</v>
      </c>
      <c r="J126" s="914">
        <f>VLOOKUP(H126,'Datetel Feb 28, 2013'!A:F,6,0)</f>
        <v>380073</v>
      </c>
      <c r="K126" s="913">
        <f>VLOOKUP(H126,'Datetel Feb 28, 2013'!A:G,7,0)</f>
        <v>224365.05</v>
      </c>
      <c r="L126" s="913">
        <f>VLOOKUP(H126,'Datetel Feb 28, 2013'!A:I,8,0)</f>
        <v>142747.93</v>
      </c>
      <c r="M126" s="915">
        <f t="shared" ref="M126" si="20">J126-K126-L126</f>
        <v>12960.020000000019</v>
      </c>
      <c r="N126" s="900">
        <f>SUM(N110:N125)</f>
        <v>106611</v>
      </c>
      <c r="O126" s="900">
        <f>SUM(O110:O125)</f>
        <v>486684</v>
      </c>
      <c r="P126" s="213">
        <f t="shared" si="12"/>
        <v>0</v>
      </c>
      <c r="R126" s="74">
        <f>SUMIF('Datetel Feb 28, 2013'!A:A,'1314T 032913'!H126,'Datetel Feb 28, 2013'!I:I)</f>
        <v>12960.020000000019</v>
      </c>
      <c r="S126" s="213">
        <f>M126-R126</f>
        <v>0</v>
      </c>
    </row>
    <row r="127" spans="1:19" s="74" customFormat="1" ht="12.6" customHeight="1" x14ac:dyDescent="0.2">
      <c r="A127" s="74" t="s">
        <v>302</v>
      </c>
      <c r="B127" s="384" t="s">
        <v>128</v>
      </c>
      <c r="C127" s="627"/>
      <c r="D127" s="849" t="s">
        <v>339</v>
      </c>
      <c r="E127" s="384"/>
      <c r="F127" s="384"/>
      <c r="G127" s="388" t="s">
        <v>163</v>
      </c>
      <c r="H127" s="23" t="s">
        <v>986</v>
      </c>
      <c r="I127" s="382">
        <v>32983</v>
      </c>
      <c r="J127" s="868">
        <f>VLOOKUP(H127,'Datetel Feb 28, 2013'!A:F,6,0)</f>
        <v>32983</v>
      </c>
      <c r="K127" s="780">
        <f>VLOOKUP(H127,'Datetel Feb 28, 2013'!A:G,7,0)</f>
        <v>16392.509999999998</v>
      </c>
      <c r="L127" s="780">
        <f>VLOOKUP(H127,'Datetel Feb 28, 2013'!A:I,8,0)</f>
        <v>0</v>
      </c>
      <c r="M127" s="903">
        <f t="shared" si="19"/>
        <v>16590.490000000002</v>
      </c>
      <c r="N127" s="674"/>
      <c r="O127" s="485">
        <f t="shared" ref="O127:O129" si="21">I127+N127</f>
        <v>32983</v>
      </c>
      <c r="P127" s="213">
        <f>I127-J127</f>
        <v>0</v>
      </c>
      <c r="R127" s="74">
        <f>SUMIF('Datetel Feb 28, 2013'!A:A,'1314T 032913'!H127,'Datetel Feb 28, 2013'!I:I)</f>
        <v>16590.490000000002</v>
      </c>
      <c r="S127" s="213">
        <f t="shared" si="14"/>
        <v>0</v>
      </c>
    </row>
    <row r="128" spans="1:19" s="74" customFormat="1" ht="12.6" customHeight="1" x14ac:dyDescent="0.2">
      <c r="A128" s="74" t="s">
        <v>302</v>
      </c>
      <c r="B128" s="278" t="s">
        <v>128</v>
      </c>
      <c r="C128" s="354"/>
      <c r="D128" s="357" t="s">
        <v>338</v>
      </c>
      <c r="E128" s="229"/>
      <c r="F128" s="229"/>
      <c r="G128" s="49" t="s">
        <v>163</v>
      </c>
      <c r="H128" s="23" t="s">
        <v>336</v>
      </c>
      <c r="I128" s="375">
        <v>32983</v>
      </c>
      <c r="J128" s="783">
        <f>VLOOKUP(H128,'Datetel Feb 28, 2013'!A:F,6,0)</f>
        <v>32983</v>
      </c>
      <c r="K128" s="375">
        <f>VLOOKUP(H128,'Datetel Feb 28, 2013'!A:G,7,0)</f>
        <v>16392.490000000002</v>
      </c>
      <c r="L128" s="375">
        <f>VLOOKUP(H128,'Datetel Feb 28, 2013'!A:I,8,0)</f>
        <v>0</v>
      </c>
      <c r="M128" s="615">
        <f t="shared" si="19"/>
        <v>16590.509999999998</v>
      </c>
      <c r="N128" s="674"/>
      <c r="O128" s="674">
        <f t="shared" si="21"/>
        <v>32983</v>
      </c>
      <c r="P128" s="213">
        <f t="shared" ref="P128:P129" si="22">I128-J128</f>
        <v>0</v>
      </c>
      <c r="R128" s="74">
        <f>SUMIF('Datetel Feb 28, 2013'!A:A,'1314T 032913'!H128,'Datetel Feb 28, 2013'!I:I)</f>
        <v>16590.509999999998</v>
      </c>
      <c r="S128" s="213">
        <f t="shared" si="14"/>
        <v>0</v>
      </c>
    </row>
    <row r="129" spans="1:19" s="74" customFormat="1" ht="12.6" customHeight="1" thickBot="1" x14ac:dyDescent="0.25">
      <c r="A129" s="74" t="s">
        <v>302</v>
      </c>
      <c r="B129" s="229" t="s">
        <v>130</v>
      </c>
      <c r="C129" s="354"/>
      <c r="D129" s="357" t="s">
        <v>325</v>
      </c>
      <c r="E129" s="229"/>
      <c r="F129" s="229"/>
      <c r="G129" s="49" t="s">
        <v>165</v>
      </c>
      <c r="H129" s="16" t="s">
        <v>326</v>
      </c>
      <c r="I129" s="375">
        <v>20000</v>
      </c>
      <c r="J129" s="783">
        <f>VLOOKUP(H129,'Datetel Feb 28, 2013'!A:F,6,0)</f>
        <v>17941</v>
      </c>
      <c r="K129" s="375">
        <f>VLOOKUP(H129,'Datetel Feb 28, 2013'!A:G,7,0)</f>
        <v>17940.150000000001</v>
      </c>
      <c r="L129" s="375">
        <f>VLOOKUP(H129,'Datetel Feb 28, 2013'!A:I,8,0)</f>
        <v>0</v>
      </c>
      <c r="M129" s="615">
        <f t="shared" si="19"/>
        <v>0.84999999999854481</v>
      </c>
      <c r="N129" s="674"/>
      <c r="O129" s="897">
        <f t="shared" si="21"/>
        <v>20000</v>
      </c>
      <c r="P129" s="213">
        <f t="shared" si="22"/>
        <v>2059</v>
      </c>
      <c r="R129" s="74">
        <f>SUMIF('Datetel Feb 28, 2013'!A:A,'1314T 032913'!H129,'Datetel Feb 28, 2013'!I:I)</f>
        <v>0.84999999999854481</v>
      </c>
      <c r="S129" s="213">
        <f t="shared" si="14"/>
        <v>0</v>
      </c>
    </row>
    <row r="130" spans="1:19" s="673" customFormat="1" ht="12.6" customHeight="1" thickBot="1" x14ac:dyDescent="0.25">
      <c r="B130" s="120"/>
      <c r="C130" s="121"/>
      <c r="D130" s="122"/>
      <c r="E130" s="122"/>
      <c r="F130" s="122"/>
      <c r="G130" s="122"/>
      <c r="H130" s="169" t="s">
        <v>133</v>
      </c>
      <c r="I130" s="621">
        <f t="shared" ref="I130:O130" si="23">SUM(I70:I73,I79,I85,I86:I90,I95,I96:I109,I126:I129)</f>
        <v>13919544.5</v>
      </c>
      <c r="J130" s="621">
        <f t="shared" si="23"/>
        <v>13750973</v>
      </c>
      <c r="K130" s="621">
        <f t="shared" si="23"/>
        <v>8388359.3800000008</v>
      </c>
      <c r="L130" s="621">
        <f t="shared" si="23"/>
        <v>311860.44999999995</v>
      </c>
      <c r="M130" s="621">
        <f t="shared" si="23"/>
        <v>5050753.1699999981</v>
      </c>
      <c r="N130" s="621">
        <f t="shared" si="23"/>
        <v>21586.899999999994</v>
      </c>
      <c r="O130" s="621">
        <f t="shared" si="23"/>
        <v>13941131.4</v>
      </c>
      <c r="R130" s="74"/>
      <c r="S130" s="213"/>
    </row>
    <row r="131" spans="1:19" s="673" customFormat="1" ht="12.6" customHeight="1" x14ac:dyDescent="0.2">
      <c r="B131" s="127"/>
      <c r="C131" s="731"/>
      <c r="D131" s="127"/>
      <c r="E131" s="127"/>
      <c r="F131" s="127"/>
      <c r="G131" s="127"/>
      <c r="H131" s="127"/>
      <c r="I131" s="131"/>
      <c r="J131" s="732"/>
      <c r="K131" s="732"/>
      <c r="L131" s="732"/>
      <c r="M131" s="826">
        <f>SUM(I130,L130)</f>
        <v>14231404.949999999</v>
      </c>
      <c r="N131"/>
      <c r="O131"/>
      <c r="R131" s="74"/>
      <c r="S131" s="213"/>
    </row>
    <row r="132" spans="1:19" s="153" customFormat="1" ht="12.6" customHeight="1" thickBot="1" x14ac:dyDescent="0.25">
      <c r="B132" s="906" t="s">
        <v>67</v>
      </c>
      <c r="D132" s="129"/>
      <c r="E132" s="129"/>
      <c r="F132" s="129"/>
      <c r="G132" s="129"/>
      <c r="H132" s="129"/>
      <c r="I132" s="361"/>
      <c r="J132" s="579"/>
      <c r="K132" s="50"/>
      <c r="L132" s="50"/>
      <c r="M132" s="600"/>
      <c r="N132" s="579"/>
      <c r="O132" s="579"/>
      <c r="R132" s="74"/>
      <c r="S132" s="213"/>
    </row>
    <row r="133" spans="1:19" ht="12.6" customHeight="1" x14ac:dyDescent="0.2">
      <c r="B133" s="79" t="s">
        <v>118</v>
      </c>
      <c r="C133" s="80"/>
      <c r="D133" s="81"/>
      <c r="E133" s="81"/>
      <c r="F133" s="80"/>
      <c r="G133" s="80"/>
      <c r="H133" s="80"/>
      <c r="I133" s="864">
        <v>0.92307692307692313</v>
      </c>
      <c r="J133" s="864">
        <v>0.92307692307692313</v>
      </c>
      <c r="K133" s="84" t="s">
        <v>123</v>
      </c>
      <c r="L133" s="85"/>
      <c r="M133" s="729" t="s">
        <v>124</v>
      </c>
      <c r="N133" s="796" t="s">
        <v>121</v>
      </c>
      <c r="O133" s="864" t="s">
        <v>958</v>
      </c>
      <c r="R133" s="74"/>
      <c r="S133" s="213"/>
    </row>
    <row r="134" spans="1:19" s="74" customFormat="1" ht="12.6" customHeight="1" thickBot="1" x14ac:dyDescent="0.25">
      <c r="B134" s="87" t="s">
        <v>148</v>
      </c>
      <c r="C134" s="88" t="s">
        <v>125</v>
      </c>
      <c r="D134" s="88" t="s">
        <v>61</v>
      </c>
      <c r="E134" s="88"/>
      <c r="F134" s="88" t="s">
        <v>147</v>
      </c>
      <c r="G134" s="88" t="s">
        <v>149</v>
      </c>
      <c r="H134" s="88" t="s">
        <v>62</v>
      </c>
      <c r="I134" s="740" t="s">
        <v>120</v>
      </c>
      <c r="J134" s="610" t="s">
        <v>272</v>
      </c>
      <c r="K134" s="865" t="s">
        <v>979</v>
      </c>
      <c r="L134" s="92" t="s">
        <v>119</v>
      </c>
      <c r="M134" s="88" t="s">
        <v>118</v>
      </c>
      <c r="N134" s="88" t="s">
        <v>122</v>
      </c>
      <c r="O134" s="740" t="s">
        <v>959</v>
      </c>
      <c r="S134" s="213"/>
    </row>
    <row r="135" spans="1:19" s="74" customFormat="1" ht="12.6" customHeight="1" x14ac:dyDescent="0.2">
      <c r="A135" s="74" t="s">
        <v>303</v>
      </c>
      <c r="B135" s="283" t="s">
        <v>3</v>
      </c>
      <c r="C135" s="284" t="s">
        <v>161</v>
      </c>
      <c r="D135" s="283" t="s">
        <v>69</v>
      </c>
      <c r="E135" s="229"/>
      <c r="F135" s="6"/>
      <c r="G135" s="5" t="s">
        <v>268</v>
      </c>
      <c r="H135" s="32" t="s">
        <v>2</v>
      </c>
      <c r="I135" s="375">
        <v>16000</v>
      </c>
      <c r="J135" s="783">
        <f>VLOOKUP(H135,'Datetel Feb 28, 2013'!A:F,6,0)</f>
        <v>16000</v>
      </c>
      <c r="K135" s="375">
        <f>VLOOKUP(H135,'Datetel Feb 28, 2013'!A:G,7,0)</f>
        <v>9800</v>
      </c>
      <c r="L135" s="375">
        <f>VLOOKUP(H135,'Datetel Feb 28, 2013'!A:I,8,0)</f>
        <v>6200</v>
      </c>
      <c r="M135" s="615">
        <f t="shared" ref="M135:M165" si="24">J135-K135-L135</f>
        <v>0</v>
      </c>
      <c r="N135" s="375"/>
      <c r="O135" s="674">
        <f t="shared" ref="O135:O165" si="25">I135+N135</f>
        <v>16000</v>
      </c>
      <c r="P135" s="213">
        <f t="shared" ref="P135:P165" si="26">I135-J135</f>
        <v>0</v>
      </c>
      <c r="R135" s="74">
        <f>SUMIF('Datetel Feb 28, 2013'!A:A,'1314T 032913'!H135,'Datetel Feb 28, 2013'!I:I)</f>
        <v>0</v>
      </c>
      <c r="S135" s="213">
        <f t="shared" si="14"/>
        <v>0</v>
      </c>
    </row>
    <row r="136" spans="1:19" s="74" customFormat="1" ht="12.6" customHeight="1" x14ac:dyDescent="0.2">
      <c r="A136" s="74" t="s">
        <v>303</v>
      </c>
      <c r="B136" s="283" t="s">
        <v>3</v>
      </c>
      <c r="C136" s="367"/>
      <c r="D136" s="256" t="s">
        <v>353</v>
      </c>
      <c r="E136" s="256"/>
      <c r="F136" s="256"/>
      <c r="G136" s="45" t="s">
        <v>176</v>
      </c>
      <c r="H136" s="45" t="s">
        <v>328</v>
      </c>
      <c r="I136" s="375">
        <v>864</v>
      </c>
      <c r="J136" s="783">
        <f>VLOOKUP(H136,'Datetel Feb 28, 2013'!A:F,6,0)</f>
        <v>864</v>
      </c>
      <c r="K136" s="375">
        <f>VLOOKUP(H136,'Datetel Feb 28, 2013'!A:G,7,0)</f>
        <v>0</v>
      </c>
      <c r="L136" s="375">
        <f>VLOOKUP(H136,'Datetel Feb 28, 2013'!A:I,8,0)</f>
        <v>0</v>
      </c>
      <c r="M136" s="615">
        <f t="shared" si="24"/>
        <v>864</v>
      </c>
      <c r="N136" s="375"/>
      <c r="O136" s="674">
        <f t="shared" si="25"/>
        <v>864</v>
      </c>
      <c r="P136" s="213">
        <f t="shared" si="26"/>
        <v>0</v>
      </c>
      <c r="R136" s="74">
        <f>SUMIF('Datetel Feb 28, 2013'!A:A,'1314T 032913'!H136,'Datetel Feb 28, 2013'!I:I)</f>
        <v>864</v>
      </c>
      <c r="S136" s="213">
        <f t="shared" si="14"/>
        <v>0</v>
      </c>
    </row>
    <row r="137" spans="1:19" s="74" customFormat="1" ht="12.6" customHeight="1" x14ac:dyDescent="0.2">
      <c r="A137" s="74" t="s">
        <v>303</v>
      </c>
      <c r="B137" s="229" t="s">
        <v>128</v>
      </c>
      <c r="C137" s="251" t="s">
        <v>160</v>
      </c>
      <c r="D137" s="229" t="s">
        <v>70</v>
      </c>
      <c r="E137" s="229"/>
      <c r="F137" s="229"/>
      <c r="G137" s="49" t="s">
        <v>153</v>
      </c>
      <c r="H137" s="49" t="s">
        <v>17</v>
      </c>
      <c r="I137" s="375">
        <v>5106</v>
      </c>
      <c r="J137" s="783">
        <v>5106</v>
      </c>
      <c r="K137" s="375">
        <f>122481.76-K138</f>
        <v>3282.7599999999948</v>
      </c>
      <c r="L137" s="375">
        <f>VLOOKUP(H137,'Datetel Feb 28, 2013'!A:I,8,0)</f>
        <v>1681.16</v>
      </c>
      <c r="M137" s="615">
        <f t="shared" si="24"/>
        <v>142.08000000000516</v>
      </c>
      <c r="N137" s="375"/>
      <c r="O137" s="674">
        <f t="shared" si="25"/>
        <v>5106</v>
      </c>
      <c r="P137" s="213">
        <f t="shared" si="26"/>
        <v>0</v>
      </c>
      <c r="R137" s="74">
        <f>SUMIF('Datetel Feb 28, 2013'!A:A,'1314T 032913'!H137,'Datetel Feb 28, 2013'!I:I)</f>
        <v>142.08000000000516</v>
      </c>
      <c r="S137" s="213">
        <f t="shared" si="14"/>
        <v>0</v>
      </c>
    </row>
    <row r="138" spans="1:19" s="74" customFormat="1" ht="12.6" customHeight="1" x14ac:dyDescent="0.2">
      <c r="A138" s="74" t="s">
        <v>303</v>
      </c>
      <c r="B138" s="229" t="s">
        <v>128</v>
      </c>
      <c r="C138" s="251" t="s">
        <v>160</v>
      </c>
      <c r="D138" s="229" t="s">
        <v>71</v>
      </c>
      <c r="E138" s="229"/>
      <c r="F138" s="229" t="s">
        <v>1009</v>
      </c>
      <c r="G138" s="49" t="s">
        <v>153</v>
      </c>
      <c r="H138" s="49" t="s">
        <v>17</v>
      </c>
      <c r="I138" s="375">
        <v>119199</v>
      </c>
      <c r="J138" s="783">
        <v>119199</v>
      </c>
      <c r="K138" s="375">
        <v>119199</v>
      </c>
      <c r="L138" s="375"/>
      <c r="M138" s="615">
        <f t="shared" si="24"/>
        <v>0</v>
      </c>
      <c r="N138" s="375">
        <f>170000/2</f>
        <v>85000</v>
      </c>
      <c r="O138" s="674">
        <f t="shared" si="25"/>
        <v>204199</v>
      </c>
      <c r="P138" s="213">
        <f t="shared" si="26"/>
        <v>0</v>
      </c>
      <c r="S138" s="213"/>
    </row>
    <row r="139" spans="1:19" s="74" customFormat="1" ht="12.6" customHeight="1" x14ac:dyDescent="0.2">
      <c r="A139" s="74" t="s">
        <v>303</v>
      </c>
      <c r="B139" s="229" t="s">
        <v>128</v>
      </c>
      <c r="C139" s="251" t="s">
        <v>160</v>
      </c>
      <c r="D139" s="229" t="s">
        <v>72</v>
      </c>
      <c r="E139" s="229"/>
      <c r="F139" s="229"/>
      <c r="G139" s="49" t="s">
        <v>153</v>
      </c>
      <c r="H139" s="49" t="s">
        <v>18</v>
      </c>
      <c r="I139" s="375">
        <v>78700</v>
      </c>
      <c r="J139" s="783">
        <v>78700</v>
      </c>
      <c r="K139" s="375">
        <f>VLOOKUP(H139,'Datetel Feb 28, 2013'!A:G,7,0)</f>
        <v>78700</v>
      </c>
      <c r="L139" s="375">
        <f>VLOOKUP(H139,'Datetel Feb 28, 2013'!A:I,8,0)</f>
        <v>0</v>
      </c>
      <c r="M139" s="615">
        <f t="shared" si="24"/>
        <v>0</v>
      </c>
      <c r="N139" s="375"/>
      <c r="O139" s="674">
        <f t="shared" si="25"/>
        <v>78700</v>
      </c>
      <c r="P139" s="213">
        <f t="shared" si="26"/>
        <v>0</v>
      </c>
      <c r="S139" s="213"/>
    </row>
    <row r="140" spans="1:19" s="74" customFormat="1" ht="12.6" customHeight="1" x14ac:dyDescent="0.2">
      <c r="A140" s="74" t="s">
        <v>303</v>
      </c>
      <c r="B140" s="221" t="s">
        <v>128</v>
      </c>
      <c r="C140" s="281" t="s">
        <v>161</v>
      </c>
      <c r="D140" s="221" t="s">
        <v>960</v>
      </c>
      <c r="E140" s="221"/>
      <c r="F140" s="221" t="s">
        <v>961</v>
      </c>
      <c r="G140" s="17" t="s">
        <v>153</v>
      </c>
      <c r="H140" s="17" t="s">
        <v>18</v>
      </c>
      <c r="I140" s="375">
        <v>4000</v>
      </c>
      <c r="J140" s="783">
        <v>4000</v>
      </c>
      <c r="K140" s="375"/>
      <c r="L140" s="375"/>
      <c r="M140" s="615">
        <f t="shared" si="24"/>
        <v>4000</v>
      </c>
      <c r="N140" s="375">
        <v>5000</v>
      </c>
      <c r="O140" s="674">
        <f t="shared" si="25"/>
        <v>9000</v>
      </c>
      <c r="P140" s="213">
        <f t="shared" si="26"/>
        <v>0</v>
      </c>
      <c r="R140" s="74">
        <f>SUMIF('Datetel Feb 28, 2013'!A:A,'1314T 032913'!H140,'Datetel Feb 28, 2013'!I:I)</f>
        <v>4000</v>
      </c>
      <c r="S140" s="213">
        <f t="shared" ref="S140:S203" si="27">M140-R140</f>
        <v>0</v>
      </c>
    </row>
    <row r="141" spans="1:19" s="74" customFormat="1" ht="12.6" customHeight="1" x14ac:dyDescent="0.2">
      <c r="A141" s="74" t="s">
        <v>303</v>
      </c>
      <c r="B141" s="283" t="s">
        <v>128</v>
      </c>
      <c r="C141" s="286" t="s">
        <v>160</v>
      </c>
      <c r="D141" s="283" t="s">
        <v>1012</v>
      </c>
      <c r="E141" s="229"/>
      <c r="F141" s="6"/>
      <c r="G141" s="5" t="s">
        <v>176</v>
      </c>
      <c r="H141" s="32" t="s">
        <v>20</v>
      </c>
      <c r="I141" s="375">
        <v>15000</v>
      </c>
      <c r="J141" s="783">
        <f>VLOOKUP(H141,'Datetel Feb 28, 2013'!A:F,6,0)</f>
        <v>15000</v>
      </c>
      <c r="K141" s="375">
        <f>VLOOKUP(H141,'Datetel Feb 28, 2013'!A:G,7,0)</f>
        <v>2601.92</v>
      </c>
      <c r="L141" s="375">
        <f>VLOOKUP(H141,'Datetel Feb 28, 2013'!A:I,8,0)</f>
        <v>0</v>
      </c>
      <c r="M141" s="615">
        <f t="shared" si="24"/>
        <v>12398.08</v>
      </c>
      <c r="N141" s="375"/>
      <c r="O141" s="674">
        <f t="shared" si="25"/>
        <v>15000</v>
      </c>
      <c r="P141" s="213">
        <f t="shared" si="26"/>
        <v>0</v>
      </c>
      <c r="R141" s="74">
        <f>SUMIF('Datetel Feb 28, 2013'!A:A,'1314T 032913'!H141,'Datetel Feb 28, 2013'!I:I)</f>
        <v>12398.08</v>
      </c>
      <c r="S141" s="213">
        <f t="shared" si="27"/>
        <v>0</v>
      </c>
    </row>
    <row r="142" spans="1:19" s="74" customFormat="1" ht="12.6" customHeight="1" x14ac:dyDescent="0.2">
      <c r="A142" s="74" t="s">
        <v>303</v>
      </c>
      <c r="B142" s="259" t="s">
        <v>128</v>
      </c>
      <c r="C142" s="281" t="s">
        <v>160</v>
      </c>
      <c r="D142" s="259" t="s">
        <v>75</v>
      </c>
      <c r="E142" s="259"/>
      <c r="F142" s="259"/>
      <c r="G142" s="33" t="s">
        <v>176</v>
      </c>
      <c r="H142" s="33" t="s">
        <v>23</v>
      </c>
      <c r="I142" s="375">
        <v>50000</v>
      </c>
      <c r="J142" s="783">
        <f>VLOOKUP(H142,'Datetel Feb 28, 2013'!A:F,6,0)</f>
        <v>50000</v>
      </c>
      <c r="K142" s="375">
        <f>VLOOKUP(H142,'Datetel Feb 28, 2013'!A:G,7,0)</f>
        <v>39289.42</v>
      </c>
      <c r="L142" s="375">
        <f>VLOOKUP(H142,'Datetel Feb 28, 2013'!A:I,8,0)</f>
        <v>0</v>
      </c>
      <c r="M142" s="615">
        <f t="shared" si="24"/>
        <v>10710.580000000002</v>
      </c>
      <c r="N142" s="375"/>
      <c r="O142" s="674">
        <f t="shared" si="25"/>
        <v>50000</v>
      </c>
      <c r="P142" s="213">
        <f t="shared" si="26"/>
        <v>0</v>
      </c>
      <c r="R142" s="74">
        <f>SUMIF('Datetel Feb 28, 2013'!A:A,'1314T 032913'!H142,'Datetel Feb 28, 2013'!I:I)</f>
        <v>10710.580000000002</v>
      </c>
      <c r="S142" s="213">
        <f t="shared" si="27"/>
        <v>0</v>
      </c>
    </row>
    <row r="143" spans="1:19" s="74" customFormat="1" ht="12.6" customHeight="1" x14ac:dyDescent="0.2">
      <c r="A143" s="74" t="s">
        <v>303</v>
      </c>
      <c r="B143" s="283" t="s">
        <v>128</v>
      </c>
      <c r="C143" s="285" t="s">
        <v>160</v>
      </c>
      <c r="D143" s="283" t="s">
        <v>77</v>
      </c>
      <c r="E143" s="229"/>
      <c r="F143" s="6"/>
      <c r="G143" s="5" t="s">
        <v>153</v>
      </c>
      <c r="H143" s="32" t="s">
        <v>271</v>
      </c>
      <c r="I143" s="375">
        <v>140000</v>
      </c>
      <c r="J143" s="783">
        <f>VLOOKUP(H143,'Datetel Feb 28, 2013'!A:F,6,0)</f>
        <v>270500</v>
      </c>
      <c r="K143" s="375">
        <f>VLOOKUP(H143,'Datetel Feb 28, 2013'!A:G,7,0)</f>
        <v>145733.23000000001</v>
      </c>
      <c r="L143" s="375">
        <f>VLOOKUP(H143,'Datetel Feb 28, 2013'!A:I,8,0)</f>
        <v>24766.77</v>
      </c>
      <c r="M143" s="615">
        <f t="shared" si="24"/>
        <v>99999.999999999985</v>
      </c>
      <c r="N143" s="375"/>
      <c r="O143" s="674">
        <f t="shared" si="25"/>
        <v>140000</v>
      </c>
      <c r="P143" s="213">
        <f t="shared" si="26"/>
        <v>-130500</v>
      </c>
      <c r="R143" s="74">
        <f>SUMIF('Datetel Feb 28, 2013'!A:A,'1314T 032913'!H143,'Datetel Feb 28, 2013'!I:I)</f>
        <v>99999.999999999985</v>
      </c>
      <c r="S143" s="213">
        <f t="shared" si="27"/>
        <v>0</v>
      </c>
    </row>
    <row r="144" spans="1:19" s="74" customFormat="1" ht="12.6" hidden="1" customHeight="1" outlineLevel="1" x14ac:dyDescent="0.2">
      <c r="B144" s="283" t="s">
        <v>128</v>
      </c>
      <c r="C144" s="875"/>
      <c r="D144" s="229" t="s">
        <v>809</v>
      </c>
      <c r="E144" s="229"/>
      <c r="F144" s="229"/>
      <c r="G144" s="49" t="s">
        <v>153</v>
      </c>
      <c r="H144" s="32" t="s">
        <v>808</v>
      </c>
      <c r="I144" s="375"/>
      <c r="J144" s="868">
        <v>1400</v>
      </c>
      <c r="K144" s="375">
        <f>VLOOKUP(H144,'Datetel Feb 28, 2013'!A:G,7,0)</f>
        <v>1400</v>
      </c>
      <c r="L144" s="375">
        <f>VLOOKUP(H144,'Datetel Feb 28, 2013'!A:I,8,0)</f>
        <v>0</v>
      </c>
      <c r="M144" s="615">
        <f t="shared" si="24"/>
        <v>0</v>
      </c>
      <c r="N144" s="375"/>
      <c r="O144" s="674">
        <f t="shared" si="25"/>
        <v>0</v>
      </c>
      <c r="P144" s="213"/>
      <c r="R144" s="74">
        <f>SUMIF('Datetel Feb 28, 2013'!A:A,'1314T 032913'!H144,'Datetel Feb 28, 2013'!I:I)</f>
        <v>0</v>
      </c>
      <c r="S144" s="213">
        <f t="shared" si="27"/>
        <v>0</v>
      </c>
    </row>
    <row r="145" spans="1:19" s="74" customFormat="1" ht="12.6" customHeight="1" collapsed="1" x14ac:dyDescent="0.2">
      <c r="A145" s="74" t="s">
        <v>303</v>
      </c>
      <c r="B145" s="283" t="s">
        <v>298</v>
      </c>
      <c r="C145" s="286" t="s">
        <v>161</v>
      </c>
      <c r="D145" s="283" t="s">
        <v>87</v>
      </c>
      <c r="E145" s="229"/>
      <c r="F145" s="6"/>
      <c r="G145" s="5" t="s">
        <v>163</v>
      </c>
      <c r="H145" s="32" t="s">
        <v>40</v>
      </c>
      <c r="I145" s="375">
        <v>4000</v>
      </c>
      <c r="J145" s="783">
        <f>VLOOKUP(H145,'Datetel Feb 28, 2013'!A:F,6,0)</f>
        <v>4000</v>
      </c>
      <c r="K145" s="375">
        <f>VLOOKUP(H145,'Datetel Feb 28, 2013'!A:G,7,0)</f>
        <v>935.86</v>
      </c>
      <c r="L145" s="375">
        <f>VLOOKUP(H145,'Datetel Feb 28, 2013'!A:I,8,0)</f>
        <v>265</v>
      </c>
      <c r="M145" s="615">
        <f t="shared" si="24"/>
        <v>2799.14</v>
      </c>
      <c r="N145" s="375"/>
      <c r="O145" s="674">
        <f t="shared" si="25"/>
        <v>4000</v>
      </c>
      <c r="P145" s="213">
        <f t="shared" si="26"/>
        <v>0</v>
      </c>
      <c r="R145" s="74">
        <f>SUMIF('Datetel Feb 28, 2013'!A:A,'1314T 032913'!H145,'Datetel Feb 28, 2013'!I:I)</f>
        <v>2799.14</v>
      </c>
      <c r="S145" s="213">
        <f t="shared" si="27"/>
        <v>0</v>
      </c>
    </row>
    <row r="146" spans="1:19" s="74" customFormat="1" ht="12.6" customHeight="1" x14ac:dyDescent="0.2">
      <c r="A146" s="74" t="s">
        <v>303</v>
      </c>
      <c r="B146" s="229" t="s">
        <v>298</v>
      </c>
      <c r="C146" s="354" t="s">
        <v>126</v>
      </c>
      <c r="D146" s="799" t="s">
        <v>995</v>
      </c>
      <c r="E146" s="229"/>
      <c r="F146" s="229"/>
      <c r="G146" s="49" t="s">
        <v>153</v>
      </c>
      <c r="H146" s="49" t="s">
        <v>33</v>
      </c>
      <c r="I146" s="375">
        <v>65000</v>
      </c>
      <c r="J146" s="783">
        <v>65000</v>
      </c>
      <c r="K146" s="375">
        <v>48750.03</v>
      </c>
      <c r="L146" s="375">
        <f>J146-K146</f>
        <v>16249.970000000001</v>
      </c>
      <c r="M146" s="615">
        <f t="shared" si="24"/>
        <v>0</v>
      </c>
      <c r="N146" s="375"/>
      <c r="O146" s="674">
        <f t="shared" si="25"/>
        <v>65000</v>
      </c>
      <c r="P146" s="213">
        <f t="shared" si="26"/>
        <v>0</v>
      </c>
      <c r="S146" s="213"/>
    </row>
    <row r="147" spans="1:19" s="74" customFormat="1" ht="12.6" customHeight="1" x14ac:dyDescent="0.2">
      <c r="A147" s="74" t="s">
        <v>303</v>
      </c>
      <c r="B147" s="227" t="s">
        <v>298</v>
      </c>
      <c r="C147" s="292" t="s">
        <v>126</v>
      </c>
      <c r="D147" s="799" t="s">
        <v>994</v>
      </c>
      <c r="E147" s="490"/>
      <c r="F147" s="490" t="s">
        <v>1006</v>
      </c>
      <c r="G147" s="34" t="s">
        <v>153</v>
      </c>
      <c r="H147" s="34" t="s">
        <v>33</v>
      </c>
      <c r="I147" s="375">
        <v>73852</v>
      </c>
      <c r="J147" s="783">
        <f>34580+36926+2346</f>
        <v>73852</v>
      </c>
      <c r="K147" s="375">
        <f>34162.5+6812.4</f>
        <v>40974.9</v>
      </c>
      <c r="L147" s="375">
        <f>417.5+30114</f>
        <v>30531.5</v>
      </c>
      <c r="M147" s="615">
        <f t="shared" si="24"/>
        <v>2345.5999999999985</v>
      </c>
      <c r="N147" s="375">
        <v>144</v>
      </c>
      <c r="O147" s="674">
        <f t="shared" si="25"/>
        <v>73996</v>
      </c>
      <c r="P147" s="213">
        <f t="shared" si="26"/>
        <v>0</v>
      </c>
      <c r="R147" s="74">
        <f>SUMIF('Datetel Feb 28, 2013'!A:A,'1314T 032913'!H147,'Datetel Feb 28, 2013'!I:I)</f>
        <v>2346</v>
      </c>
      <c r="S147" s="213">
        <f t="shared" si="27"/>
        <v>-0.40000000000145519</v>
      </c>
    </row>
    <row r="148" spans="1:19" s="74" customFormat="1" ht="12.6" customHeight="1" x14ac:dyDescent="0.2">
      <c r="A148" s="74" t="s">
        <v>303</v>
      </c>
      <c r="B148" s="227" t="s">
        <v>298</v>
      </c>
      <c r="C148" s="825"/>
      <c r="D148" s="799" t="s">
        <v>762</v>
      </c>
      <c r="E148" s="490"/>
      <c r="F148" s="231"/>
      <c r="G148" s="34" t="s">
        <v>153</v>
      </c>
      <c r="H148" s="34" t="s">
        <v>33</v>
      </c>
      <c r="I148" s="375">
        <v>20205</v>
      </c>
      <c r="J148" s="783">
        <v>20205</v>
      </c>
      <c r="K148" s="375">
        <v>20205</v>
      </c>
      <c r="L148" s="375">
        <v>0</v>
      </c>
      <c r="M148" s="615">
        <f t="shared" si="24"/>
        <v>0</v>
      </c>
      <c r="N148" s="375"/>
      <c r="O148" s="674">
        <f t="shared" si="25"/>
        <v>20205</v>
      </c>
      <c r="P148" s="213">
        <f t="shared" si="26"/>
        <v>0</v>
      </c>
      <c r="S148" s="213"/>
    </row>
    <row r="149" spans="1:19" s="74" customFormat="1" ht="12.6" hidden="1" customHeight="1" outlineLevel="1" x14ac:dyDescent="0.2">
      <c r="A149" s="74" t="s">
        <v>303</v>
      </c>
      <c r="B149" s="227" t="s">
        <v>298</v>
      </c>
      <c r="C149" s="825"/>
      <c r="D149" s="799" t="s">
        <v>814</v>
      </c>
      <c r="E149" s="490"/>
      <c r="F149" s="231"/>
      <c r="G149" s="34" t="s">
        <v>153</v>
      </c>
      <c r="H149" s="34" t="s">
        <v>33</v>
      </c>
      <c r="I149" s="375">
        <v>0</v>
      </c>
      <c r="J149" s="783">
        <v>20000</v>
      </c>
      <c r="K149" s="375">
        <v>0</v>
      </c>
      <c r="L149" s="375">
        <v>20000</v>
      </c>
      <c r="M149" s="615"/>
      <c r="N149" s="375"/>
      <c r="O149" s="674">
        <f t="shared" si="25"/>
        <v>0</v>
      </c>
      <c r="P149" s="213">
        <f t="shared" si="26"/>
        <v>-20000</v>
      </c>
      <c r="S149" s="213"/>
    </row>
    <row r="150" spans="1:19" s="74" customFormat="1" ht="12.6" customHeight="1" collapsed="1" x14ac:dyDescent="0.2">
      <c r="A150" s="74" t="s">
        <v>303</v>
      </c>
      <c r="B150" s="283" t="s">
        <v>298</v>
      </c>
      <c r="C150" s="277" t="s">
        <v>126</v>
      </c>
      <c r="D150" s="221" t="s">
        <v>86</v>
      </c>
      <c r="E150" s="259"/>
      <c r="F150" s="231"/>
      <c r="G150" s="33" t="s">
        <v>150</v>
      </c>
      <c r="H150" s="17" t="s">
        <v>32</v>
      </c>
      <c r="I150" s="375">
        <v>43900</v>
      </c>
      <c r="J150" s="783">
        <f>VLOOKUP(H150,'Datetel Feb 28, 2013'!A:F,6,0)</f>
        <v>43900</v>
      </c>
      <c r="K150" s="375">
        <f>VLOOKUP(H150,'Datetel Feb 28, 2013'!A:G,7,0)</f>
        <v>29711.25</v>
      </c>
      <c r="L150" s="375">
        <f>VLOOKUP(H150,'Datetel Feb 28, 2013'!A:I,8,0)</f>
        <v>14188.75</v>
      </c>
      <c r="M150" s="615">
        <f t="shared" si="24"/>
        <v>0</v>
      </c>
      <c r="N150" s="375"/>
      <c r="O150" s="674">
        <f t="shared" si="25"/>
        <v>43900</v>
      </c>
      <c r="P150" s="213">
        <f t="shared" si="26"/>
        <v>0</v>
      </c>
      <c r="R150" s="74">
        <f>SUMIF('Datetel Feb 28, 2013'!A:A,'1314T 032913'!H150,'Datetel Feb 28, 2013'!I:I)</f>
        <v>0</v>
      </c>
      <c r="S150" s="213">
        <f t="shared" si="27"/>
        <v>0</v>
      </c>
    </row>
    <row r="151" spans="1:19" s="74" customFormat="1" ht="12.6" customHeight="1" x14ac:dyDescent="0.2">
      <c r="A151" s="74" t="s">
        <v>303</v>
      </c>
      <c r="B151" s="283" t="s">
        <v>298</v>
      </c>
      <c r="C151" s="284" t="s">
        <v>126</v>
      </c>
      <c r="D151" s="283" t="s">
        <v>82</v>
      </c>
      <c r="E151" s="231"/>
      <c r="F151" s="231"/>
      <c r="G151" s="21" t="s">
        <v>176</v>
      </c>
      <c r="H151" s="32" t="s">
        <v>34</v>
      </c>
      <c r="I151" s="375">
        <v>90000</v>
      </c>
      <c r="J151" s="783">
        <f>VLOOKUP(H151,'Datetel Feb 28, 2013'!A:F,6,0)</f>
        <v>70000</v>
      </c>
      <c r="K151" s="375">
        <f>VLOOKUP(H151,'Datetel Feb 28, 2013'!A:G,7,0)</f>
        <v>13186.18</v>
      </c>
      <c r="L151" s="375">
        <f>VLOOKUP(H151,'Datetel Feb 28, 2013'!A:I,8,0)</f>
        <v>46813.82</v>
      </c>
      <c r="M151" s="615">
        <f t="shared" si="24"/>
        <v>10000</v>
      </c>
      <c r="N151" s="375"/>
      <c r="O151" s="674">
        <f t="shared" si="25"/>
        <v>90000</v>
      </c>
      <c r="P151" s="213">
        <f t="shared" si="26"/>
        <v>20000</v>
      </c>
      <c r="R151" s="74">
        <f>SUMIF('Datetel Feb 28, 2013'!A:A,'1314T 032913'!H151,'Datetel Feb 28, 2013'!I:I)</f>
        <v>10000</v>
      </c>
      <c r="S151" s="213">
        <f t="shared" si="27"/>
        <v>0</v>
      </c>
    </row>
    <row r="152" spans="1:19" s="74" customFormat="1" ht="12.6" customHeight="1" x14ac:dyDescent="0.2">
      <c r="A152" s="74" t="s">
        <v>303</v>
      </c>
      <c r="B152" s="283" t="s">
        <v>298</v>
      </c>
      <c r="C152" s="284" t="s">
        <v>126</v>
      </c>
      <c r="D152" s="283" t="s">
        <v>330</v>
      </c>
      <c r="E152" s="231"/>
      <c r="F152" s="231"/>
      <c r="G152" s="21" t="s">
        <v>168</v>
      </c>
      <c r="H152" s="32" t="s">
        <v>35</v>
      </c>
      <c r="I152" s="375">
        <v>3000</v>
      </c>
      <c r="J152" s="783">
        <f>VLOOKUP(H152,'Datetel Feb 28, 2013'!A:F,6,0)</f>
        <v>3000</v>
      </c>
      <c r="K152" s="375">
        <f>VLOOKUP(H152,'Datetel Feb 28, 2013'!A:G,7,0)</f>
        <v>0</v>
      </c>
      <c r="L152" s="375">
        <f>VLOOKUP(H152,'Datetel Feb 28, 2013'!A:I,8,0)</f>
        <v>0</v>
      </c>
      <c r="M152" s="615">
        <f t="shared" si="24"/>
        <v>3000</v>
      </c>
      <c r="N152" s="375"/>
      <c r="O152" s="674">
        <f t="shared" si="25"/>
        <v>3000</v>
      </c>
      <c r="P152" s="213">
        <f t="shared" si="26"/>
        <v>0</v>
      </c>
      <c r="R152" s="74">
        <f>SUMIF('Datetel Feb 28, 2013'!A:A,'1314T 032913'!H152,'Datetel Feb 28, 2013'!I:I)</f>
        <v>3000</v>
      </c>
      <c r="S152" s="213">
        <f t="shared" si="27"/>
        <v>0</v>
      </c>
    </row>
    <row r="153" spans="1:19" s="74" customFormat="1" ht="12.6" customHeight="1" x14ac:dyDescent="0.2">
      <c r="A153" s="74" t="s">
        <v>303</v>
      </c>
      <c r="B153" s="283" t="s">
        <v>298</v>
      </c>
      <c r="C153" s="284" t="s">
        <v>126</v>
      </c>
      <c r="D153" s="283" t="s">
        <v>83</v>
      </c>
      <c r="E153" s="231"/>
      <c r="F153" s="231"/>
      <c r="G153" s="21" t="s">
        <v>150</v>
      </c>
      <c r="H153" s="32" t="s">
        <v>36</v>
      </c>
      <c r="I153" s="375">
        <v>5200</v>
      </c>
      <c r="J153" s="783">
        <f>VLOOKUP(H153,'Datetel Feb 28, 2013'!A:F,6,0)</f>
        <v>5200</v>
      </c>
      <c r="K153" s="375">
        <f>VLOOKUP(H153,'Datetel Feb 28, 2013'!A:G,7,0)</f>
        <v>0</v>
      </c>
      <c r="L153" s="375">
        <f>VLOOKUP(H153,'Datetel Feb 28, 2013'!A:I,8,0)</f>
        <v>0</v>
      </c>
      <c r="M153" s="615">
        <f t="shared" si="24"/>
        <v>5200</v>
      </c>
      <c r="N153" s="375"/>
      <c r="O153" s="674">
        <f t="shared" si="25"/>
        <v>5200</v>
      </c>
      <c r="P153" s="213">
        <f t="shared" si="26"/>
        <v>0</v>
      </c>
      <c r="R153" s="74">
        <f>SUMIF('Datetel Feb 28, 2013'!A:A,'1314T 032913'!H153,'Datetel Feb 28, 2013'!I:I)</f>
        <v>5200</v>
      </c>
      <c r="S153" s="213">
        <f t="shared" si="27"/>
        <v>0</v>
      </c>
    </row>
    <row r="154" spans="1:19" s="74" customFormat="1" ht="12.6" customHeight="1" x14ac:dyDescent="0.2">
      <c r="A154" s="74" t="s">
        <v>303</v>
      </c>
      <c r="B154" s="283" t="s">
        <v>298</v>
      </c>
      <c r="C154" s="228" t="s">
        <v>126</v>
      </c>
      <c r="D154" s="6" t="s">
        <v>84</v>
      </c>
      <c r="E154" s="229"/>
      <c r="F154" s="6"/>
      <c r="G154" s="5" t="s">
        <v>150</v>
      </c>
      <c r="H154" s="5" t="s">
        <v>37</v>
      </c>
      <c r="I154" s="375">
        <v>1000</v>
      </c>
      <c r="J154" s="783">
        <f>VLOOKUP(H154,'Datetel Feb 28, 2013'!A:F,6,0)</f>
        <v>1000</v>
      </c>
      <c r="K154" s="375">
        <f>VLOOKUP(H154,'Datetel Feb 28, 2013'!A:G,7,0)</f>
        <v>0</v>
      </c>
      <c r="L154" s="375">
        <f>VLOOKUP(H154,'Datetel Feb 28, 2013'!A:I,8,0)</f>
        <v>0</v>
      </c>
      <c r="M154" s="615">
        <f t="shared" si="24"/>
        <v>1000</v>
      </c>
      <c r="N154" s="375"/>
      <c r="O154" s="674">
        <f t="shared" si="25"/>
        <v>1000</v>
      </c>
      <c r="P154" s="213">
        <f t="shared" si="26"/>
        <v>0</v>
      </c>
      <c r="R154" s="74">
        <f>SUMIF('Datetel Feb 28, 2013'!A:A,'1314T 032913'!H154,'Datetel Feb 28, 2013'!I:I)</f>
        <v>1000</v>
      </c>
      <c r="S154" s="213">
        <f t="shared" si="27"/>
        <v>0</v>
      </c>
    </row>
    <row r="155" spans="1:19" s="74" customFormat="1" ht="12.6" customHeight="1" outlineLevel="1" x14ac:dyDescent="0.2">
      <c r="A155" s="74" t="s">
        <v>303</v>
      </c>
      <c r="B155" s="689"/>
      <c r="C155" s="711"/>
      <c r="D155" s="689" t="s">
        <v>156</v>
      </c>
      <c r="E155" s="689"/>
      <c r="F155" s="689"/>
      <c r="G155" s="717" t="s">
        <v>320</v>
      </c>
      <c r="H155" s="717" t="s">
        <v>314</v>
      </c>
      <c r="I155" s="662">
        <v>38000</v>
      </c>
      <c r="J155" s="727">
        <f>VLOOKUP(H155,'Datetel Feb 28, 2013'!A:F,6,0)</f>
        <v>38000</v>
      </c>
      <c r="K155" s="662">
        <f>VLOOKUP(H155,'Datetel Feb 28, 2013'!A:G,7,0)</f>
        <v>19961.53</v>
      </c>
      <c r="L155" s="662">
        <f>VLOOKUP(H155,'Datetel Feb 28, 2013'!A:I,8,0)</f>
        <v>18038.47</v>
      </c>
      <c r="M155" s="662">
        <f t="shared" si="24"/>
        <v>0</v>
      </c>
      <c r="N155" s="662"/>
      <c r="O155" s="674">
        <f t="shared" si="25"/>
        <v>38000</v>
      </c>
      <c r="P155" s="213">
        <f t="shared" si="26"/>
        <v>0</v>
      </c>
      <c r="R155" s="74">
        <f>SUMIF('Datetel Feb 28, 2013'!A:A,'1314T 032913'!H155,'Datetel Feb 28, 2013'!I:I)</f>
        <v>0</v>
      </c>
      <c r="S155" s="213">
        <f t="shared" si="27"/>
        <v>0</v>
      </c>
    </row>
    <row r="156" spans="1:19" s="74" customFormat="1" ht="12.6" customHeight="1" outlineLevel="1" x14ac:dyDescent="0.2">
      <c r="A156" s="74" t="s">
        <v>303</v>
      </c>
      <c r="B156" s="689"/>
      <c r="C156" s="711"/>
      <c r="D156" s="689" t="s">
        <v>157</v>
      </c>
      <c r="E156" s="689"/>
      <c r="F156" s="689"/>
      <c r="G156" s="717" t="s">
        <v>321</v>
      </c>
      <c r="H156" s="717" t="s">
        <v>315</v>
      </c>
      <c r="I156" s="662">
        <v>5124</v>
      </c>
      <c r="J156" s="727">
        <f>VLOOKUP(H156,'Datetel Feb 28, 2013'!A:F,6,0)</f>
        <v>7124</v>
      </c>
      <c r="K156" s="662">
        <f>VLOOKUP(H156,'Datetel Feb 28, 2013'!A:G,7,0)</f>
        <v>4346</v>
      </c>
      <c r="L156" s="662">
        <f>VLOOKUP(H156,'Datetel Feb 28, 2013'!A:I,8,0)</f>
        <v>380</v>
      </c>
      <c r="M156" s="662">
        <f t="shared" si="24"/>
        <v>2398</v>
      </c>
      <c r="N156" s="662"/>
      <c r="O156" s="674">
        <f t="shared" si="25"/>
        <v>5124</v>
      </c>
      <c r="P156" s="213">
        <f t="shared" si="26"/>
        <v>-2000</v>
      </c>
      <c r="R156" s="74">
        <f>SUMIF('Datetel Feb 28, 2013'!A:A,'1314T 032913'!H156,'Datetel Feb 28, 2013'!I:I)</f>
        <v>2398</v>
      </c>
      <c r="S156" s="213">
        <f t="shared" si="27"/>
        <v>0</v>
      </c>
    </row>
    <row r="157" spans="1:19" s="74" customFormat="1" ht="12.6" customHeight="1" outlineLevel="1" x14ac:dyDescent="0.2">
      <c r="A157" s="74" t="s">
        <v>303</v>
      </c>
      <c r="B157" s="706"/>
      <c r="C157" s="718"/>
      <c r="D157" s="706" t="s">
        <v>354</v>
      </c>
      <c r="E157" s="706"/>
      <c r="F157" s="706"/>
      <c r="G157" s="717"/>
      <c r="H157" s="717" t="s">
        <v>355</v>
      </c>
      <c r="I157" s="662">
        <v>4590</v>
      </c>
      <c r="J157" s="727">
        <f>VLOOKUP(H157,'Datetel Feb 28, 2013'!A:F,6,0)</f>
        <v>4590</v>
      </c>
      <c r="K157" s="662">
        <f>VLOOKUP(H157,'Datetel Feb 28, 2013'!A:G,7,0)</f>
        <v>0</v>
      </c>
      <c r="L157" s="662">
        <f>VLOOKUP(H157,'Datetel Feb 28, 2013'!A:I,8,0)</f>
        <v>0</v>
      </c>
      <c r="M157" s="662">
        <f t="shared" si="24"/>
        <v>4590</v>
      </c>
      <c r="N157" s="662"/>
      <c r="O157" s="674">
        <f t="shared" si="25"/>
        <v>4590</v>
      </c>
      <c r="P157" s="213">
        <f t="shared" si="26"/>
        <v>0</v>
      </c>
      <c r="R157" s="74">
        <f>SUMIF('Datetel Feb 28, 2013'!A:A,'1314T 032913'!H157,'Datetel Feb 28, 2013'!I:I)</f>
        <v>4590</v>
      </c>
      <c r="S157" s="213">
        <f t="shared" si="27"/>
        <v>0</v>
      </c>
    </row>
    <row r="158" spans="1:19" s="74" customFormat="1" ht="12.6" customHeight="1" outlineLevel="1" x14ac:dyDescent="0.2">
      <c r="A158" s="74" t="s">
        <v>303</v>
      </c>
      <c r="B158" s="689"/>
      <c r="C158" s="711"/>
      <c r="D158" s="689" t="s">
        <v>158</v>
      </c>
      <c r="E158" s="689"/>
      <c r="F158" s="689"/>
      <c r="G158" s="717" t="s">
        <v>150</v>
      </c>
      <c r="H158" s="717" t="s">
        <v>316</v>
      </c>
      <c r="I158" s="662">
        <v>13700</v>
      </c>
      <c r="J158" s="727">
        <f>VLOOKUP(H158,'Datetel Feb 28, 2013'!A:F,6,0)</f>
        <v>14759</v>
      </c>
      <c r="K158" s="662">
        <f>VLOOKUP(H158,'Datetel Feb 28, 2013'!A:G,7,0)</f>
        <v>6870.54</v>
      </c>
      <c r="L158" s="662">
        <f>VLOOKUP(H158,'Datetel Feb 28, 2013'!A:I,8,0)</f>
        <v>4646.7</v>
      </c>
      <c r="M158" s="662">
        <f t="shared" si="24"/>
        <v>3241.76</v>
      </c>
      <c r="N158" s="662"/>
      <c r="O158" s="674">
        <f t="shared" si="25"/>
        <v>13700</v>
      </c>
      <c r="P158" s="213">
        <f t="shared" si="26"/>
        <v>-1059</v>
      </c>
      <c r="R158" s="74">
        <f>SUMIF('Datetel Feb 28, 2013'!A:A,'1314T 032913'!H158,'Datetel Feb 28, 2013'!I:I)</f>
        <v>3241.76</v>
      </c>
      <c r="S158" s="213">
        <f t="shared" si="27"/>
        <v>0</v>
      </c>
    </row>
    <row r="159" spans="1:19" s="74" customFormat="1" ht="12.6" customHeight="1" outlineLevel="1" x14ac:dyDescent="0.2">
      <c r="A159" s="74" t="s">
        <v>303</v>
      </c>
      <c r="B159" s="689"/>
      <c r="C159" s="711"/>
      <c r="D159" s="689" t="s">
        <v>159</v>
      </c>
      <c r="E159" s="689"/>
      <c r="F159" s="689"/>
      <c r="G159" s="717" t="s">
        <v>322</v>
      </c>
      <c r="H159" s="717" t="s">
        <v>1017</v>
      </c>
      <c r="I159" s="662">
        <v>7000</v>
      </c>
      <c r="J159" s="727" t="e">
        <f>VLOOKUP(H159,'Datetel Feb 28, 2013'!A:F,6,0)</f>
        <v>#N/A</v>
      </c>
      <c r="K159" s="662" t="e">
        <f>VLOOKUP(H159,'Datetel Feb 28, 2013'!A:G,7,0)</f>
        <v>#N/A</v>
      </c>
      <c r="L159" s="662" t="e">
        <f>VLOOKUP(H159,'Datetel Feb 28, 2013'!A:I,8,0)</f>
        <v>#N/A</v>
      </c>
      <c r="M159" s="662" t="e">
        <f t="shared" si="24"/>
        <v>#N/A</v>
      </c>
      <c r="N159" s="662"/>
      <c r="O159" s="674">
        <f t="shared" si="25"/>
        <v>7000</v>
      </c>
      <c r="P159" s="213" t="e">
        <f t="shared" si="26"/>
        <v>#N/A</v>
      </c>
      <c r="R159" s="74">
        <f>SUMIF('Datetel Feb 28, 2013'!A:A,'1314T 032913'!H159,'Datetel Feb 28, 2013'!I:I)</f>
        <v>0</v>
      </c>
      <c r="S159" s="213" t="e">
        <f t="shared" si="27"/>
        <v>#N/A</v>
      </c>
    </row>
    <row r="160" spans="1:19" s="446" customFormat="1" ht="12.6" customHeight="1" x14ac:dyDescent="0.2">
      <c r="A160" s="74" t="s">
        <v>303</v>
      </c>
      <c r="B160" s="639" t="s">
        <v>130</v>
      </c>
      <c r="C160" s="640" t="s">
        <v>295</v>
      </c>
      <c r="D160" s="639" t="s">
        <v>227</v>
      </c>
      <c r="E160" s="622"/>
      <c r="F160" s="639"/>
      <c r="G160" s="663" t="s">
        <v>323</v>
      </c>
      <c r="H160" s="669" t="s">
        <v>428</v>
      </c>
      <c r="I160" s="674">
        <v>68414</v>
      </c>
      <c r="J160" s="828" t="e">
        <f>SUM(J155:J159)</f>
        <v>#N/A</v>
      </c>
      <c r="K160" s="674" t="e">
        <f t="shared" ref="K160:M160" si="28">SUM(K155:K159)</f>
        <v>#N/A</v>
      </c>
      <c r="L160" s="674" t="e">
        <f t="shared" si="28"/>
        <v>#N/A</v>
      </c>
      <c r="M160" s="674" t="e">
        <f t="shared" si="28"/>
        <v>#N/A</v>
      </c>
      <c r="N160" s="674"/>
      <c r="O160" s="674">
        <f t="shared" si="25"/>
        <v>68414</v>
      </c>
      <c r="P160" s="213" t="e">
        <f t="shared" si="26"/>
        <v>#N/A</v>
      </c>
      <c r="R160" s="74">
        <f>SUMIF('Datetel Feb 28, 2013'!A:A,'1314T 032913'!H160,'Datetel Feb 28, 2013'!I:I)</f>
        <v>0</v>
      </c>
      <c r="S160" s="213" t="e">
        <f t="shared" si="27"/>
        <v>#N/A</v>
      </c>
    </row>
    <row r="161" spans="1:19" s="74" customFormat="1" ht="12.6" customHeight="1" x14ac:dyDescent="0.2">
      <c r="A161" s="74" t="s">
        <v>303</v>
      </c>
      <c r="B161" s="229" t="s">
        <v>130</v>
      </c>
      <c r="C161" s="354" t="s">
        <v>295</v>
      </c>
      <c r="D161" s="229" t="s">
        <v>412</v>
      </c>
      <c r="E161" s="229"/>
      <c r="F161" s="229"/>
      <c r="G161" s="49" t="s">
        <v>324</v>
      </c>
      <c r="H161" s="49" t="s">
        <v>318</v>
      </c>
      <c r="I161" s="375">
        <v>12124</v>
      </c>
      <c r="J161" s="783">
        <f>VLOOKUP(H161,'Datetel Feb 28, 2013'!A:F,6,0)</f>
        <v>11124</v>
      </c>
      <c r="K161" s="375">
        <f>VLOOKUP(H161,'Datetel Feb 28, 2013'!A:G,7,0)</f>
        <v>6651.55</v>
      </c>
      <c r="L161" s="375">
        <f>VLOOKUP(H161,'Datetel Feb 28, 2013'!A:I,8,0)</f>
        <v>4472.32</v>
      </c>
      <c r="M161" s="615">
        <f t="shared" si="24"/>
        <v>0.13000000000010914</v>
      </c>
      <c r="N161" s="375"/>
      <c r="O161" s="674">
        <f t="shared" si="25"/>
        <v>12124</v>
      </c>
      <c r="P161" s="213">
        <f t="shared" si="26"/>
        <v>1000</v>
      </c>
      <c r="R161" s="74">
        <f>SUMIF('Datetel Feb 28, 2013'!A:A,'1314T 032913'!H161,'Datetel Feb 28, 2013'!I:I)</f>
        <v>0.13000000000010914</v>
      </c>
      <c r="S161" s="213">
        <f t="shared" si="27"/>
        <v>0</v>
      </c>
    </row>
    <row r="162" spans="1:19" s="74" customFormat="1" ht="12.6" customHeight="1" x14ac:dyDescent="0.2">
      <c r="A162" s="74" t="s">
        <v>303</v>
      </c>
      <c r="B162" s="221" t="s">
        <v>130</v>
      </c>
      <c r="C162" s="277" t="s">
        <v>295</v>
      </c>
      <c r="D162" s="221" t="s">
        <v>89</v>
      </c>
      <c r="E162" s="221"/>
      <c r="F162" s="221" t="s">
        <v>1006</v>
      </c>
      <c r="G162" s="34" t="s">
        <v>324</v>
      </c>
      <c r="H162" s="34" t="s">
        <v>319</v>
      </c>
      <c r="I162" s="375">
        <v>6578</v>
      </c>
      <c r="J162" s="783">
        <f>VLOOKUP(H162,'Datetel Feb 28, 2013'!A:F,6,0)</f>
        <v>6578</v>
      </c>
      <c r="K162" s="375">
        <f>VLOOKUP(H162,'Datetel Feb 28, 2013'!A:G,7,0)</f>
        <v>0</v>
      </c>
      <c r="L162" s="375">
        <f>VLOOKUP(H162,'Datetel Feb 28, 2013'!A:I,8,0)</f>
        <v>6578</v>
      </c>
      <c r="M162" s="615">
        <f t="shared" si="24"/>
        <v>0</v>
      </c>
      <c r="N162" s="375">
        <f>I162*0.03</f>
        <v>197.34</v>
      </c>
      <c r="O162" s="674">
        <f t="shared" si="25"/>
        <v>6775.34</v>
      </c>
      <c r="P162" s="213">
        <f t="shared" si="26"/>
        <v>0</v>
      </c>
      <c r="R162" s="74">
        <f>SUMIF('Datetel Feb 28, 2013'!A:A,'1314T 032913'!H162,'Datetel Feb 28, 2013'!I:I)</f>
        <v>0</v>
      </c>
      <c r="S162" s="213">
        <f t="shared" si="27"/>
        <v>0</v>
      </c>
    </row>
    <row r="163" spans="1:19" s="74" customFormat="1" ht="12.6" customHeight="1" x14ac:dyDescent="0.2">
      <c r="A163" s="74" t="s">
        <v>303</v>
      </c>
      <c r="B163" s="259" t="s">
        <v>131</v>
      </c>
      <c r="C163" s="285" t="s">
        <v>173</v>
      </c>
      <c r="D163" s="259" t="s">
        <v>136</v>
      </c>
      <c r="E163" s="259"/>
      <c r="F163" s="259"/>
      <c r="G163" s="33" t="s">
        <v>169</v>
      </c>
      <c r="H163" s="35" t="s">
        <v>146</v>
      </c>
      <c r="I163" s="375">
        <v>7000</v>
      </c>
      <c r="J163" s="783">
        <f>VLOOKUP(H163,'Datetel Feb 28, 2013'!A:F,6,0)</f>
        <v>7000</v>
      </c>
      <c r="K163" s="375">
        <f>VLOOKUP(H163,'Datetel Feb 28, 2013'!A:G,7,0)</f>
        <v>3436.88</v>
      </c>
      <c r="L163" s="375">
        <f>VLOOKUP(H163,'Datetel Feb 28, 2013'!A:I,8,0)</f>
        <v>1563.12</v>
      </c>
      <c r="M163" s="615">
        <f t="shared" si="24"/>
        <v>2000</v>
      </c>
      <c r="N163" s="375"/>
      <c r="O163" s="674">
        <f t="shared" si="25"/>
        <v>7000</v>
      </c>
      <c r="P163" s="213">
        <f t="shared" si="26"/>
        <v>0</v>
      </c>
      <c r="R163" s="74">
        <f>SUMIF('Datetel Feb 28, 2013'!A:A,'1314T 032913'!H163,'Datetel Feb 28, 2013'!I:I)</f>
        <v>2000</v>
      </c>
      <c r="S163" s="213">
        <f t="shared" si="27"/>
        <v>0</v>
      </c>
    </row>
    <row r="164" spans="1:19" s="74" customFormat="1" ht="12.6" customHeight="1" x14ac:dyDescent="0.2">
      <c r="A164" s="74" t="s">
        <v>303</v>
      </c>
      <c r="B164" s="283" t="s">
        <v>129</v>
      </c>
      <c r="C164" s="232" t="s">
        <v>145</v>
      </c>
      <c r="D164" s="283" t="s">
        <v>55</v>
      </c>
      <c r="E164" s="229"/>
      <c r="F164" s="6"/>
      <c r="G164" s="5" t="s">
        <v>288</v>
      </c>
      <c r="H164" s="32" t="s">
        <v>54</v>
      </c>
      <c r="I164" s="375">
        <v>60000</v>
      </c>
      <c r="J164" s="783">
        <f>VLOOKUP(H164,'Datetel Feb 28, 2013'!A:F,6,0)</f>
        <v>60000</v>
      </c>
      <c r="K164" s="375">
        <f>VLOOKUP(H164,'Datetel Feb 28, 2013'!A:G,7,0)</f>
        <v>41525.839999999997</v>
      </c>
      <c r="L164" s="375">
        <f>VLOOKUP(H164,'Datetel Feb 28, 2013'!A:I,8,0)</f>
        <v>18474.16</v>
      </c>
      <c r="M164" s="615">
        <f t="shared" si="24"/>
        <v>0</v>
      </c>
      <c r="N164" s="375"/>
      <c r="O164" s="674">
        <f t="shared" si="25"/>
        <v>60000</v>
      </c>
      <c r="P164" s="213">
        <f t="shared" si="26"/>
        <v>0</v>
      </c>
      <c r="R164" s="74">
        <f>SUMIF('Datetel Feb 28, 2013'!A:A,'1314T 032913'!H164,'Datetel Feb 28, 2013'!I:I)</f>
        <v>0</v>
      </c>
      <c r="S164" s="213">
        <f t="shared" si="27"/>
        <v>0</v>
      </c>
    </row>
    <row r="165" spans="1:19" s="74" customFormat="1" ht="12.6" customHeight="1" thickBot="1" x14ac:dyDescent="0.25">
      <c r="A165" s="74" t="s">
        <v>303</v>
      </c>
      <c r="B165" s="259" t="s">
        <v>131</v>
      </c>
      <c r="C165" s="232" t="s">
        <v>145</v>
      </c>
      <c r="D165" s="283" t="s">
        <v>110</v>
      </c>
      <c r="E165" s="229"/>
      <c r="F165" s="6"/>
      <c r="G165" s="5" t="s">
        <v>166</v>
      </c>
      <c r="H165" s="32" t="s">
        <v>811</v>
      </c>
      <c r="I165" s="375">
        <v>21100</v>
      </c>
      <c r="J165" s="783">
        <f>VLOOKUP(H165,'Datetel Feb 28, 2013'!A:F,6,0)</f>
        <v>21100</v>
      </c>
      <c r="K165" s="375">
        <f>VLOOKUP(H165,'Datetel Feb 28, 2013'!A:G,7,0)</f>
        <v>6363.97</v>
      </c>
      <c r="L165" s="375">
        <f>VLOOKUP(H165,'Datetel Feb 28, 2013'!A:I,8,0)</f>
        <v>13536.03</v>
      </c>
      <c r="M165" s="615">
        <f t="shared" si="24"/>
        <v>1199.9999999999982</v>
      </c>
      <c r="N165" s="375"/>
      <c r="O165" s="674">
        <f t="shared" si="25"/>
        <v>21100</v>
      </c>
      <c r="P165" s="213">
        <f t="shared" si="26"/>
        <v>0</v>
      </c>
      <c r="R165" s="74">
        <f>SUMIF('Datetel Feb 28, 2013'!A:A,'1314T 032913'!H165,'Datetel Feb 28, 2013'!I:I)</f>
        <v>1199.9999999999982</v>
      </c>
      <c r="S165" s="213">
        <f t="shared" si="27"/>
        <v>0</v>
      </c>
    </row>
    <row r="166" spans="1:19" s="204" customFormat="1" ht="13.5" thickBot="1" x14ac:dyDescent="0.25">
      <c r="A166" s="74" t="s">
        <v>303</v>
      </c>
      <c r="B166" s="193"/>
      <c r="C166" s="194"/>
      <c r="D166" s="195"/>
      <c r="E166" s="195"/>
      <c r="F166" s="195"/>
      <c r="G166" s="195"/>
      <c r="H166" s="196" t="s">
        <v>115</v>
      </c>
      <c r="I166" s="621">
        <f t="shared" ref="I166:O166" si="29">SUM(I135:I154,I160:I165)</f>
        <v>910242</v>
      </c>
      <c r="J166" s="621" t="e">
        <f t="shared" si="29"/>
        <v>#N/A</v>
      </c>
      <c r="K166" s="621" t="e">
        <f t="shared" si="29"/>
        <v>#N/A</v>
      </c>
      <c r="L166" s="621" t="e">
        <f t="shared" si="29"/>
        <v>#N/A</v>
      </c>
      <c r="M166" s="829" t="e">
        <f t="shared" si="29"/>
        <v>#N/A</v>
      </c>
      <c r="N166" s="672">
        <f t="shared" si="29"/>
        <v>90341.34</v>
      </c>
      <c r="O166" s="672">
        <f t="shared" si="29"/>
        <v>1000583.34</v>
      </c>
      <c r="R166" s="74"/>
      <c r="S166" s="213"/>
    </row>
    <row r="167" spans="1:19" s="199" customFormat="1" ht="11.25" customHeight="1" x14ac:dyDescent="0.2">
      <c r="B167" s="198"/>
      <c r="D167" s="200"/>
      <c r="E167" s="200"/>
      <c r="F167" s="200"/>
      <c r="G167" s="200"/>
      <c r="H167" s="198"/>
      <c r="I167" s="822"/>
      <c r="J167" s="822"/>
      <c r="K167" s="822"/>
      <c r="L167" s="907"/>
      <c r="M167" s="826" t="e">
        <f>SUM(I166,L166)</f>
        <v>#N/A</v>
      </c>
      <c r="N167" s="579"/>
      <c r="O167" s="579"/>
      <c r="R167" s="74"/>
      <c r="S167" s="213"/>
    </row>
    <row r="168" spans="1:19" s="126" customFormat="1" ht="10.5" customHeight="1" x14ac:dyDescent="0.2">
      <c r="B168" s="198"/>
      <c r="D168" s="200"/>
      <c r="E168" s="200"/>
      <c r="F168" s="200"/>
      <c r="G168" s="200"/>
      <c r="H168" s="198"/>
      <c r="I168" s="823"/>
      <c r="J168" s="908" t="e">
        <f>J166+J130</f>
        <v>#N/A</v>
      </c>
      <c r="K168" s="908" t="e">
        <f t="shared" ref="K168:M168" si="30">K166+K130</f>
        <v>#N/A</v>
      </c>
      <c r="L168" s="908" t="e">
        <f t="shared" si="30"/>
        <v>#N/A</v>
      </c>
      <c r="M168" s="908" t="e">
        <f t="shared" si="30"/>
        <v>#N/A</v>
      </c>
      <c r="N168" s="569"/>
      <c r="O168" s="569"/>
      <c r="R168" s="74"/>
      <c r="S168" s="213"/>
    </row>
    <row r="169" spans="1:19" s="214" customFormat="1" ht="16.5" thickBot="1" x14ac:dyDescent="0.25">
      <c r="B169" s="198"/>
      <c r="D169" s="215"/>
      <c r="E169" s="215"/>
      <c r="F169" s="215"/>
      <c r="G169" s="215"/>
      <c r="H169" s="845" t="s">
        <v>773</v>
      </c>
      <c r="I169" s="909">
        <f t="shared" ref="I169:O169" si="31">I130+I166+I30+I65</f>
        <v>16609836.5</v>
      </c>
      <c r="J169" s="909" t="e">
        <f t="shared" si="31"/>
        <v>#N/A</v>
      </c>
      <c r="K169" s="909" t="e">
        <f t="shared" si="31"/>
        <v>#N/A</v>
      </c>
      <c r="L169" s="909" t="e">
        <f t="shared" si="31"/>
        <v>#N/A</v>
      </c>
      <c r="M169" s="909" t="e">
        <f t="shared" si="31"/>
        <v>#N/A</v>
      </c>
      <c r="N169" s="909">
        <f t="shared" si="31"/>
        <v>78002.239999999991</v>
      </c>
      <c r="O169" s="909">
        <f t="shared" si="31"/>
        <v>16687838.74</v>
      </c>
      <c r="R169" s="74"/>
      <c r="S169" s="213"/>
    </row>
    <row r="170" spans="1:19" ht="9" customHeight="1" thickTop="1" x14ac:dyDescent="0.2">
      <c r="R170" s="74"/>
      <c r="S170" s="213"/>
    </row>
    <row r="171" spans="1:19" ht="29.25" customHeight="1" thickBot="1" x14ac:dyDescent="0.3">
      <c r="B171" s="926" t="s">
        <v>771</v>
      </c>
      <c r="F171" s="74" t="s">
        <v>1007</v>
      </c>
      <c r="R171" s="74"/>
      <c r="S171" s="213"/>
    </row>
    <row r="172" spans="1:19" ht="12.75" x14ac:dyDescent="0.2">
      <c r="B172" s="79" t="s">
        <v>118</v>
      </c>
      <c r="C172" s="80"/>
      <c r="D172" s="81"/>
      <c r="E172" s="81"/>
      <c r="F172" s="80"/>
      <c r="G172" s="80"/>
      <c r="H172" s="80"/>
      <c r="I172" s="864">
        <v>0.92307692307692313</v>
      </c>
      <c r="J172" s="864">
        <v>0.92307692307692313</v>
      </c>
      <c r="K172" s="84" t="s">
        <v>123</v>
      </c>
      <c r="L172" s="85"/>
      <c r="M172" s="729" t="s">
        <v>124</v>
      </c>
      <c r="N172" s="796" t="s">
        <v>121</v>
      </c>
      <c r="O172" s="864" t="s">
        <v>958</v>
      </c>
      <c r="R172" s="74"/>
      <c r="S172" s="213"/>
    </row>
    <row r="173" spans="1:19" s="74" customFormat="1" ht="13.5" thickBot="1" x14ac:dyDescent="0.25">
      <c r="B173" s="87" t="s">
        <v>148</v>
      </c>
      <c r="C173" s="88" t="s">
        <v>125</v>
      </c>
      <c r="D173" s="88" t="s">
        <v>61</v>
      </c>
      <c r="E173" s="88"/>
      <c r="F173" s="88" t="s">
        <v>147</v>
      </c>
      <c r="G173" s="88" t="s">
        <v>149</v>
      </c>
      <c r="H173" s="88" t="s">
        <v>62</v>
      </c>
      <c r="I173" s="740" t="s">
        <v>120</v>
      </c>
      <c r="J173" s="610" t="s">
        <v>272</v>
      </c>
      <c r="K173" s="865" t="s">
        <v>979</v>
      </c>
      <c r="L173" s="92" t="s">
        <v>119</v>
      </c>
      <c r="M173" s="88" t="s">
        <v>118</v>
      </c>
      <c r="N173" s="88" t="s">
        <v>122</v>
      </c>
      <c r="O173" s="740" t="s">
        <v>959</v>
      </c>
      <c r="S173" s="213"/>
    </row>
    <row r="174" spans="1:19" s="7" customFormat="1" ht="12.75" x14ac:dyDescent="0.2">
      <c r="B174" s="229" t="s">
        <v>627</v>
      </c>
      <c r="C174" s="354"/>
      <c r="D174" s="229" t="s">
        <v>764</v>
      </c>
      <c r="E174" s="832"/>
      <c r="F174" s="229" t="s">
        <v>775</v>
      </c>
      <c r="G174" s="49" t="s">
        <v>150</v>
      </c>
      <c r="H174" s="16" t="s">
        <v>765</v>
      </c>
      <c r="I174" s="375">
        <v>26000</v>
      </c>
      <c r="J174" s="783">
        <f>VLOOKUP(H174,'Datetel Feb 28, 2013'!A:F,6,0)</f>
        <v>26000</v>
      </c>
      <c r="K174" s="833">
        <f>VLOOKUP(H174,'Datetel Feb 28, 2013'!A:G,7,0)</f>
        <v>0</v>
      </c>
      <c r="L174" s="375">
        <v>0</v>
      </c>
      <c r="M174" s="844">
        <v>0</v>
      </c>
      <c r="N174" s="833"/>
      <c r="O174" s="834">
        <f>I174</f>
        <v>26000</v>
      </c>
      <c r="R174" s="74">
        <f>SUMIF('Datetel Feb 28, 2013'!A:A,'1314T 032913'!H174,'Datetel Feb 28, 2013'!I:I)</f>
        <v>26000</v>
      </c>
      <c r="S174" s="213">
        <f t="shared" si="27"/>
        <v>-26000</v>
      </c>
    </row>
    <row r="175" spans="1:19" s="7" customFormat="1" ht="12.75" x14ac:dyDescent="0.2">
      <c r="B175" s="229" t="s">
        <v>627</v>
      </c>
      <c r="C175" s="354"/>
      <c r="D175" s="229" t="s">
        <v>764</v>
      </c>
      <c r="E175" s="229"/>
      <c r="F175" s="229" t="s">
        <v>775</v>
      </c>
      <c r="G175" s="49" t="s">
        <v>150</v>
      </c>
      <c r="H175" s="49" t="s">
        <v>766</v>
      </c>
      <c r="I175" s="375">
        <v>26000</v>
      </c>
      <c r="J175" s="783">
        <f>VLOOKUP(H175,'Datetel Feb 28, 2013'!A:F,6,0)</f>
        <v>26000</v>
      </c>
      <c r="K175" s="833">
        <f>VLOOKUP(H175,'Datetel Feb 28, 2013'!A:G,7,0)</f>
        <v>0</v>
      </c>
      <c r="L175" s="375">
        <v>0</v>
      </c>
      <c r="M175" s="615">
        <v>0</v>
      </c>
      <c r="N175" s="834"/>
      <c r="O175" s="834">
        <f>I175</f>
        <v>26000</v>
      </c>
      <c r="R175" s="74">
        <f>SUMIF('Datetel Feb 28, 2013'!A:A,'1314T 032913'!H175,'Datetel Feb 28, 2013'!I:I)</f>
        <v>26000</v>
      </c>
      <c r="S175" s="213">
        <f t="shared" si="27"/>
        <v>-26000</v>
      </c>
    </row>
    <row r="176" spans="1:19" s="7" customFormat="1" ht="12.75" x14ac:dyDescent="0.2">
      <c r="B176" s="229" t="s">
        <v>128</v>
      </c>
      <c r="C176" s="835"/>
      <c r="D176" s="836" t="s">
        <v>776</v>
      </c>
      <c r="E176" s="799"/>
      <c r="F176" s="799"/>
      <c r="G176" s="837" t="s">
        <v>176</v>
      </c>
      <c r="H176" s="838" t="s">
        <v>767</v>
      </c>
      <c r="I176" s="375">
        <v>683000</v>
      </c>
      <c r="J176" s="783">
        <f>VLOOKUP(H176,'Datetel Feb 28, 2013'!A:F,6,0)</f>
        <v>683000</v>
      </c>
      <c r="K176" s="833">
        <f>VLOOKUP(H176,'Datetel Feb 28, 2013'!A:G,7,0)</f>
        <v>139713.70000000001</v>
      </c>
      <c r="L176" s="375">
        <v>0</v>
      </c>
      <c r="M176" s="615">
        <v>0</v>
      </c>
      <c r="N176" s="834"/>
      <c r="O176" s="834">
        <f>I176</f>
        <v>683000</v>
      </c>
      <c r="R176" s="74">
        <f>SUMIF('Datetel Feb 28, 2013'!A:A,'1314T 032913'!H176,'Datetel Feb 28, 2013'!I:I)</f>
        <v>543286.30000000005</v>
      </c>
      <c r="S176" s="213">
        <f t="shared" si="27"/>
        <v>-543286.30000000005</v>
      </c>
    </row>
    <row r="177" spans="1:19" s="631" customFormat="1" ht="12.75" x14ac:dyDescent="0.2">
      <c r="B177" s="229"/>
      <c r="C177" s="354"/>
      <c r="D177" s="229"/>
      <c r="E177" s="229"/>
      <c r="F177" s="229"/>
      <c r="G177" s="49"/>
      <c r="H177" s="49"/>
      <c r="I177" s="375"/>
      <c r="J177" s="615"/>
      <c r="K177" s="834"/>
      <c r="L177" s="375"/>
      <c r="M177" s="615"/>
      <c r="N177" s="834"/>
      <c r="O177" s="834"/>
      <c r="R177" s="74">
        <f>SUMIF('Datetel Feb 28, 2013'!A:A,'1314T 032913'!H177,'Datetel Feb 28, 2013'!I:I)</f>
        <v>0</v>
      </c>
      <c r="S177" s="213">
        <f t="shared" si="27"/>
        <v>0</v>
      </c>
    </row>
    <row r="178" spans="1:19" s="74" customFormat="1" ht="12.75" x14ac:dyDescent="0.2">
      <c r="B178" s="127"/>
      <c r="C178" s="731"/>
      <c r="D178" s="127"/>
      <c r="E178" s="127"/>
      <c r="F178" s="127"/>
      <c r="G178" s="127"/>
      <c r="H178" s="130"/>
      <c r="I178" s="840"/>
      <c r="J178" s="840"/>
      <c r="K178" s="840"/>
      <c r="L178" s="840"/>
      <c r="M178" s="840"/>
      <c r="N178" s="840"/>
      <c r="O178" s="840"/>
      <c r="R178" s="74">
        <f>SUMIF('Datetel Feb 28, 2013'!A:A,'1314T 032913'!H178,'Datetel Feb 28, 2013'!I:I)</f>
        <v>0</v>
      </c>
      <c r="S178" s="213">
        <f t="shared" si="27"/>
        <v>0</v>
      </c>
    </row>
    <row r="179" spans="1:19" x14ac:dyDescent="0.25">
      <c r="B179" s="492" t="s">
        <v>306</v>
      </c>
      <c r="K179" s="568"/>
      <c r="R179" s="74">
        <f>SUMIF('Datetel Feb 28, 2013'!A:A,'1314T 032913'!H179,'Datetel Feb 28, 2013'!I:I)</f>
        <v>0</v>
      </c>
      <c r="S179" s="213">
        <f t="shared" si="27"/>
        <v>0</v>
      </c>
    </row>
    <row r="180" spans="1:19" ht="17.25" customHeight="1" x14ac:dyDescent="0.2">
      <c r="A180" s="75" t="s">
        <v>304</v>
      </c>
      <c r="B180" s="346" t="s">
        <v>234</v>
      </c>
      <c r="D180" s="345" t="s">
        <v>352</v>
      </c>
      <c r="F180" s="2"/>
      <c r="G180" s="3" t="s">
        <v>150</v>
      </c>
      <c r="H180" s="16" t="s">
        <v>307</v>
      </c>
      <c r="I180" s="615">
        <v>134929.5</v>
      </c>
      <c r="J180" s="615">
        <v>111310</v>
      </c>
      <c r="K180" s="615">
        <f>'Datetel Feb 28, 2013'!G126</f>
        <v>8318.49</v>
      </c>
      <c r="L180" s="615"/>
      <c r="M180" s="615">
        <f>J180-K180-L180</f>
        <v>102991.51</v>
      </c>
      <c r="N180" s="615">
        <f>O180-I180</f>
        <v>-8317.5</v>
      </c>
      <c r="O180" s="615">
        <v>126612</v>
      </c>
      <c r="R180" s="74">
        <f>SUMIF('Datetel Feb 28, 2013'!A:A,'1314T 032913'!H180,'Datetel Feb 28, 2013'!I:I)</f>
        <v>13746</v>
      </c>
      <c r="S180" s="213">
        <f t="shared" si="27"/>
        <v>89245.51</v>
      </c>
    </row>
    <row r="181" spans="1:19" ht="17.25" customHeight="1" x14ac:dyDescent="0.2">
      <c r="A181" s="75" t="s">
        <v>304</v>
      </c>
      <c r="B181" s="346" t="s">
        <v>234</v>
      </c>
      <c r="D181" s="345" t="s">
        <v>996</v>
      </c>
      <c r="F181" s="2"/>
      <c r="G181" s="3" t="s">
        <v>150</v>
      </c>
      <c r="H181" s="16" t="s">
        <v>307</v>
      </c>
      <c r="I181" s="615">
        <v>0</v>
      </c>
      <c r="J181" s="615">
        <v>23620</v>
      </c>
      <c r="K181" s="615">
        <v>0</v>
      </c>
      <c r="L181" s="615"/>
      <c r="M181" s="615">
        <f>J181-K181-L181</f>
        <v>23620</v>
      </c>
      <c r="N181" s="615">
        <v>29957</v>
      </c>
      <c r="O181" s="615">
        <v>29957</v>
      </c>
      <c r="R181" s="74">
        <f>SUMIF('Datetel Feb 28, 2013'!A:A,'1314T 032913'!H181,'Datetel Feb 28, 2013'!I:I)</f>
        <v>13746</v>
      </c>
      <c r="S181" s="213">
        <f t="shared" si="27"/>
        <v>9874</v>
      </c>
    </row>
    <row r="182" spans="1:19" ht="17.25" customHeight="1" x14ac:dyDescent="0.2">
      <c r="B182" s="524"/>
      <c r="D182" s="345"/>
      <c r="F182" s="10"/>
      <c r="G182" s="47"/>
      <c r="H182" s="16"/>
      <c r="I182" s="615"/>
      <c r="J182" s="615"/>
      <c r="K182" s="615"/>
      <c r="L182" s="615"/>
      <c r="M182" s="615"/>
      <c r="N182" s="615"/>
      <c r="O182" s="615"/>
      <c r="R182" s="74">
        <f>SUMIF('Datetel Feb 28, 2013'!A:A,'1314T 032913'!H182,'Datetel Feb 28, 2013'!I:I)</f>
        <v>0</v>
      </c>
      <c r="S182" s="213">
        <f t="shared" si="27"/>
        <v>0</v>
      </c>
    </row>
    <row r="183" spans="1:19" ht="17.25" customHeight="1" x14ac:dyDescent="0.2">
      <c r="A183" s="75" t="s">
        <v>301</v>
      </c>
      <c r="B183" s="346" t="s">
        <v>234</v>
      </c>
      <c r="D183" s="345" t="s">
        <v>352</v>
      </c>
      <c r="F183" s="2"/>
      <c r="G183" s="3" t="s">
        <v>150</v>
      </c>
      <c r="H183" s="16" t="s">
        <v>344</v>
      </c>
      <c r="I183" s="615">
        <v>150650</v>
      </c>
      <c r="J183" s="615">
        <f>118118+18791</f>
        <v>136909</v>
      </c>
      <c r="K183" s="615">
        <v>0</v>
      </c>
      <c r="L183" s="615"/>
      <c r="M183" s="615">
        <f>SUM(I183,L183)</f>
        <v>150650</v>
      </c>
      <c r="N183" s="615">
        <v>0</v>
      </c>
      <c r="O183" s="615">
        <f>M183+N183</f>
        <v>150650</v>
      </c>
      <c r="R183" s="74">
        <f>SUMIF('Datetel Feb 28, 2013'!A:A,'1314T 032913'!H183,'Datetel Feb 28, 2013'!I:I)</f>
        <v>150650</v>
      </c>
      <c r="S183" s="213">
        <f t="shared" si="27"/>
        <v>0</v>
      </c>
    </row>
    <row r="184" spans="1:19" ht="17.25" customHeight="1" x14ac:dyDescent="0.2">
      <c r="A184" s="75" t="s">
        <v>301</v>
      </c>
      <c r="B184" s="346" t="s">
        <v>234</v>
      </c>
      <c r="D184" s="345" t="s">
        <v>996</v>
      </c>
      <c r="F184" s="2"/>
      <c r="G184" s="3" t="s">
        <v>150</v>
      </c>
      <c r="H184" s="16" t="s">
        <v>344</v>
      </c>
      <c r="I184" s="615">
        <v>0</v>
      </c>
      <c r="J184" s="615">
        <v>13741</v>
      </c>
      <c r="K184" s="615">
        <v>0</v>
      </c>
      <c r="L184" s="615"/>
      <c r="M184" s="615">
        <f>SUM(I184,L184)</f>
        <v>0</v>
      </c>
      <c r="N184" s="615">
        <f>M13-M184</f>
        <v>20997.56</v>
      </c>
      <c r="O184" s="615">
        <f>M184+N184</f>
        <v>20997.56</v>
      </c>
      <c r="R184" s="74">
        <f>SUMIF('Datetel Feb 28, 2013'!A:A,'1314T 032913'!H184,'Datetel Feb 28, 2013'!I:I)</f>
        <v>150650</v>
      </c>
      <c r="S184" s="213">
        <f t="shared" si="27"/>
        <v>-150650</v>
      </c>
    </row>
    <row r="185" spans="1:19" s="530" customFormat="1" ht="17.25" customHeight="1" x14ac:dyDescent="0.2">
      <c r="B185" s="525"/>
      <c r="C185" s="531"/>
      <c r="D185" s="526"/>
      <c r="F185" s="1"/>
      <c r="G185" s="4"/>
      <c r="H185" s="527"/>
      <c r="I185" s="360"/>
      <c r="J185" s="583"/>
      <c r="K185" s="535"/>
      <c r="N185" s="583"/>
      <c r="O185" s="583"/>
      <c r="R185" s="74">
        <f>SUMIF('Datetel Feb 28, 2013'!A:A,'1314T 032913'!H185,'Datetel Feb 28, 2013'!I:I)</f>
        <v>0</v>
      </c>
      <c r="S185" s="213">
        <f t="shared" si="27"/>
        <v>0</v>
      </c>
    </row>
    <row r="186" spans="1:19" s="495" customFormat="1" ht="16.5" thickBot="1" x14ac:dyDescent="0.25">
      <c r="A186" s="493"/>
      <c r="B186" s="493"/>
      <c r="C186" s="494"/>
      <c r="D186" s="493"/>
      <c r="E186" s="493"/>
      <c r="F186" s="494"/>
      <c r="G186" s="494"/>
      <c r="H186" s="494" t="s">
        <v>772</v>
      </c>
      <c r="I186" s="910">
        <f>I169+I174+I175+I176+I180+I181+I183+I184</f>
        <v>17630416</v>
      </c>
      <c r="J186" s="910" t="e">
        <f t="shared" ref="J186:O186" si="32">J169+J174+J175+J176+J180+J181+J183+J184</f>
        <v>#N/A</v>
      </c>
      <c r="K186" s="910" t="e">
        <f t="shared" si="32"/>
        <v>#N/A</v>
      </c>
      <c r="L186" s="910" t="e">
        <f t="shared" si="32"/>
        <v>#N/A</v>
      </c>
      <c r="M186" s="910" t="e">
        <f t="shared" si="32"/>
        <v>#N/A</v>
      </c>
      <c r="N186" s="910">
        <f t="shared" si="32"/>
        <v>120639.29999999999</v>
      </c>
      <c r="O186" s="910">
        <f t="shared" si="32"/>
        <v>17751055.300000001</v>
      </c>
      <c r="R186" s="74">
        <f>SUMIF('Datetel Feb 28, 2013'!A:A,'1314T 032913'!H186,'Datetel Feb 28, 2013'!I:I)</f>
        <v>0</v>
      </c>
      <c r="S186" s="213" t="e">
        <f t="shared" si="27"/>
        <v>#N/A</v>
      </c>
    </row>
    <row r="187" spans="1:19" ht="15.75" thickTop="1" x14ac:dyDescent="0.2">
      <c r="L187" s="76"/>
      <c r="R187" s="74">
        <f>SUMIF('Datetel Feb 28, 2013'!A:A,'1314T 032913'!H187,'Datetel Feb 28, 2013'!I:I)</f>
        <v>0</v>
      </c>
      <c r="S187" s="213">
        <f t="shared" si="27"/>
        <v>0</v>
      </c>
    </row>
    <row r="188" spans="1:19" s="77" customFormat="1" x14ac:dyDescent="0.2">
      <c r="A188" s="75"/>
      <c r="B188" s="75"/>
      <c r="C188" s="74"/>
      <c r="D188" s="75"/>
      <c r="E188" s="75"/>
      <c r="F188" s="74"/>
      <c r="G188" s="74"/>
      <c r="H188" s="74"/>
      <c r="I188" s="364"/>
      <c r="J188" s="568"/>
      <c r="K188" s="78"/>
      <c r="L188" s="76"/>
      <c r="N188" s="568"/>
      <c r="O188" s="568"/>
      <c r="R188" s="74">
        <f>SUMIF('Datetel Feb 28, 2013'!A:A,'1314T 032913'!H188,'Datetel Feb 28, 2013'!I:I)</f>
        <v>0</v>
      </c>
      <c r="S188" s="213">
        <f t="shared" si="27"/>
        <v>0</v>
      </c>
    </row>
    <row r="189" spans="1:19" x14ac:dyDescent="0.2">
      <c r="I189" s="568"/>
      <c r="S189" s="213">
        <f t="shared" si="27"/>
        <v>0</v>
      </c>
    </row>
    <row r="190" spans="1:19" x14ac:dyDescent="0.2">
      <c r="I190" s="901"/>
      <c r="S190" s="213">
        <f t="shared" si="27"/>
        <v>0</v>
      </c>
    </row>
    <row r="191" spans="1:19" x14ac:dyDescent="0.2">
      <c r="I191" s="901"/>
      <c r="S191" s="213">
        <f t="shared" si="27"/>
        <v>0</v>
      </c>
    </row>
    <row r="192" spans="1:19" x14ac:dyDescent="0.2">
      <c r="I192" s="901"/>
      <c r="S192" s="213">
        <f t="shared" si="27"/>
        <v>0</v>
      </c>
    </row>
    <row r="193" spans="9:19" x14ac:dyDescent="0.2">
      <c r="I193" s="901"/>
      <c r="S193" s="213">
        <f t="shared" si="27"/>
        <v>0</v>
      </c>
    </row>
    <row r="194" spans="9:19" x14ac:dyDescent="0.2">
      <c r="I194" s="568"/>
      <c r="S194" s="213">
        <f t="shared" si="27"/>
        <v>0</v>
      </c>
    </row>
    <row r="195" spans="9:19" x14ac:dyDescent="0.2">
      <c r="I195" s="568"/>
      <c r="S195" s="213">
        <f t="shared" si="27"/>
        <v>0</v>
      </c>
    </row>
    <row r="196" spans="9:19" x14ac:dyDescent="0.2">
      <c r="S196" s="213">
        <f t="shared" si="27"/>
        <v>0</v>
      </c>
    </row>
    <row r="197" spans="9:19" x14ac:dyDescent="0.2">
      <c r="S197" s="213">
        <f t="shared" si="27"/>
        <v>0</v>
      </c>
    </row>
    <row r="198" spans="9:19" x14ac:dyDescent="0.2">
      <c r="S198" s="213">
        <f t="shared" si="27"/>
        <v>0</v>
      </c>
    </row>
    <row r="199" spans="9:19" x14ac:dyDescent="0.2">
      <c r="S199" s="213">
        <f t="shared" si="27"/>
        <v>0</v>
      </c>
    </row>
    <row r="200" spans="9:19" x14ac:dyDescent="0.2">
      <c r="S200" s="213">
        <f t="shared" si="27"/>
        <v>0</v>
      </c>
    </row>
    <row r="201" spans="9:19" x14ac:dyDescent="0.2">
      <c r="S201" s="213">
        <f t="shared" si="27"/>
        <v>0</v>
      </c>
    </row>
    <row r="202" spans="9:19" x14ac:dyDescent="0.2">
      <c r="S202" s="213">
        <f t="shared" si="27"/>
        <v>0</v>
      </c>
    </row>
    <row r="203" spans="9:19" x14ac:dyDescent="0.2">
      <c r="S203" s="213">
        <f t="shared" si="27"/>
        <v>0</v>
      </c>
    </row>
    <row r="204" spans="9:19" x14ac:dyDescent="0.2">
      <c r="S204" s="213">
        <f t="shared" ref="S204:S219" si="33">M204-R204</f>
        <v>0</v>
      </c>
    </row>
    <row r="205" spans="9:19" x14ac:dyDescent="0.2">
      <c r="S205" s="213">
        <f t="shared" si="33"/>
        <v>0</v>
      </c>
    </row>
    <row r="206" spans="9:19" x14ac:dyDescent="0.2">
      <c r="S206" s="213">
        <f t="shared" si="33"/>
        <v>0</v>
      </c>
    </row>
    <row r="207" spans="9:19" x14ac:dyDescent="0.2">
      <c r="S207" s="213">
        <f t="shared" si="33"/>
        <v>0</v>
      </c>
    </row>
    <row r="208" spans="9:19" x14ac:dyDescent="0.2">
      <c r="S208" s="213">
        <f t="shared" si="33"/>
        <v>0</v>
      </c>
    </row>
    <row r="209" spans="19:19" x14ac:dyDescent="0.2">
      <c r="S209" s="213">
        <f t="shared" si="33"/>
        <v>0</v>
      </c>
    </row>
    <row r="210" spans="19:19" x14ac:dyDescent="0.2">
      <c r="S210" s="213">
        <f t="shared" si="33"/>
        <v>0</v>
      </c>
    </row>
    <row r="211" spans="19:19" x14ac:dyDescent="0.2">
      <c r="S211" s="213">
        <f t="shared" si="33"/>
        <v>0</v>
      </c>
    </row>
    <row r="212" spans="19:19" x14ac:dyDescent="0.2">
      <c r="S212" s="213">
        <f t="shared" si="33"/>
        <v>0</v>
      </c>
    </row>
    <row r="213" spans="19:19" x14ac:dyDescent="0.2">
      <c r="S213" s="213">
        <f t="shared" si="33"/>
        <v>0</v>
      </c>
    </row>
    <row r="214" spans="19:19" x14ac:dyDescent="0.2">
      <c r="S214" s="213">
        <f t="shared" si="33"/>
        <v>0</v>
      </c>
    </row>
    <row r="215" spans="19:19" x14ac:dyDescent="0.2">
      <c r="S215" s="213">
        <f t="shared" si="33"/>
        <v>0</v>
      </c>
    </row>
    <row r="216" spans="19:19" x14ac:dyDescent="0.2">
      <c r="S216" s="213">
        <f t="shared" si="33"/>
        <v>0</v>
      </c>
    </row>
    <row r="217" spans="19:19" x14ac:dyDescent="0.2">
      <c r="S217" s="213">
        <f t="shared" si="33"/>
        <v>0</v>
      </c>
    </row>
    <row r="218" spans="19:19" x14ac:dyDescent="0.2">
      <c r="S218" s="213">
        <f t="shared" si="33"/>
        <v>0</v>
      </c>
    </row>
    <row r="219" spans="19:19" x14ac:dyDescent="0.2">
      <c r="S219" s="213">
        <f t="shared" si="33"/>
        <v>0</v>
      </c>
    </row>
  </sheetData>
  <pageMargins left="0.32" right="0.21" top="0.47" bottom="0.25" header="0.35" footer="0.25"/>
  <pageSetup scale="84" fitToHeight="0" orientation="landscape" r:id="rId1"/>
  <headerFooter>
    <oddHeader xml:space="preserve">&amp;C&amp;12Fixed Costs Budget
Tentative for FY13/14&amp;14 
</oddHeader>
    <oddFooter>&amp;L&amp;8&amp;F&amp;C&amp;P of &amp;N&amp;R&amp;8Date Printed: &amp;D</oddFooter>
  </headerFooter>
  <rowBreaks count="4" manualBreakCount="4">
    <brk id="31" max="16383" man="1"/>
    <brk id="66" max="16383" man="1"/>
    <brk id="130" min="1" max="14" man="1"/>
    <brk id="170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197"/>
  <sheetViews>
    <sheetView topLeftCell="A149" zoomScaleNormal="100" workbookViewId="0">
      <pane xSplit="6" topLeftCell="G1" activePane="topRight" state="frozen"/>
      <selection pane="topRight" activeCell="M51" sqref="M51"/>
    </sheetView>
  </sheetViews>
  <sheetFormatPr defaultColWidth="9.140625" defaultRowHeight="15" outlineLevelRow="1" outlineLevelCol="1" x14ac:dyDescent="0.2"/>
  <cols>
    <col min="1" max="1" width="5.42578125" style="75" bestFit="1" customWidth="1"/>
    <col min="2" max="2" width="21.7109375" style="75" customWidth="1"/>
    <col min="3" max="3" width="12.7109375" style="74" hidden="1" customWidth="1"/>
    <col min="4" max="4" width="38.42578125" style="75" customWidth="1"/>
    <col min="5" max="5" width="8.28515625" style="75" hidden="1" customWidth="1"/>
    <col min="6" max="6" width="28.140625" style="74" customWidth="1"/>
    <col min="7" max="7" width="7.7109375" style="74" bestFit="1" customWidth="1"/>
    <col min="8" max="8" width="26.140625" style="74" customWidth="1"/>
    <col min="9" max="9" width="14.28515625" style="364" bestFit="1" customWidth="1"/>
    <col min="10" max="10" width="14.28515625" style="568" hidden="1" customWidth="1" outlineLevel="1"/>
    <col min="11" max="11" width="14.28515625" style="78" hidden="1" customWidth="1" outlineLevel="1"/>
    <col min="12" max="12" width="15.42578125" style="75" hidden="1" customWidth="1" outlineLevel="1"/>
    <col min="13" max="13" width="14.28515625" style="75" customWidth="1" collapsed="1"/>
    <col min="14" max="14" width="13.140625" style="568" customWidth="1"/>
    <col min="15" max="15" width="14.28515625" style="74" bestFit="1" customWidth="1"/>
    <col min="16" max="16384" width="9.140625" style="75"/>
  </cols>
  <sheetData>
    <row r="1" spans="2:16" ht="15.75" thickBot="1" x14ac:dyDescent="0.25">
      <c r="B1" s="73" t="s">
        <v>206</v>
      </c>
      <c r="I1" s="359"/>
    </row>
    <row r="2" spans="2:16" ht="12.75" x14ac:dyDescent="0.2">
      <c r="B2" s="79" t="s">
        <v>118</v>
      </c>
      <c r="C2" s="80"/>
      <c r="D2" s="81"/>
      <c r="E2" s="81"/>
      <c r="F2" s="80"/>
      <c r="G2" s="80"/>
      <c r="H2" s="80"/>
      <c r="I2" s="739" t="s">
        <v>58</v>
      </c>
      <c r="J2" s="609">
        <v>0.91666666666666663</v>
      </c>
      <c r="K2" s="84" t="s">
        <v>123</v>
      </c>
      <c r="L2" s="85" t="s">
        <v>121</v>
      </c>
      <c r="M2" s="729" t="s">
        <v>406</v>
      </c>
      <c r="N2" s="796" t="s">
        <v>121</v>
      </c>
      <c r="O2" s="729" t="s">
        <v>406</v>
      </c>
    </row>
    <row r="3" spans="2:16" s="74" customFormat="1" ht="13.5" thickBot="1" x14ac:dyDescent="0.25">
      <c r="B3" s="87" t="s">
        <v>148</v>
      </c>
      <c r="C3" s="88" t="s">
        <v>125</v>
      </c>
      <c r="D3" s="88" t="s">
        <v>61</v>
      </c>
      <c r="E3" s="88"/>
      <c r="F3" s="88" t="s">
        <v>147</v>
      </c>
      <c r="G3" s="88" t="s">
        <v>149</v>
      </c>
      <c r="H3" s="88" t="s">
        <v>62</v>
      </c>
      <c r="I3" s="740" t="s">
        <v>120</v>
      </c>
      <c r="J3" s="610" t="s">
        <v>272</v>
      </c>
      <c r="K3" s="91" t="s">
        <v>755</v>
      </c>
      <c r="L3" s="92" t="s">
        <v>122</v>
      </c>
      <c r="M3" s="88" t="s">
        <v>59</v>
      </c>
      <c r="N3" s="88" t="s">
        <v>122</v>
      </c>
      <c r="O3" s="88" t="s">
        <v>120</v>
      </c>
    </row>
    <row r="4" spans="2:16" s="7" customFormat="1" ht="12" hidden="1" outlineLevel="1" x14ac:dyDescent="0.2">
      <c r="B4" s="676"/>
      <c r="C4" s="686"/>
      <c r="D4" s="687" t="s">
        <v>242</v>
      </c>
      <c r="E4" s="95"/>
      <c r="F4" s="676"/>
      <c r="G4" s="676"/>
      <c r="H4" s="676" t="s">
        <v>210</v>
      </c>
      <c r="I4" s="392">
        <v>1000</v>
      </c>
      <c r="J4" s="727">
        <f>VLOOKUP(H4,'cognos as of Aug 2'!A:F,6,0)</f>
        <v>414</v>
      </c>
      <c r="K4" s="782">
        <f>VLOOKUP(H4,'cognos as of Aug 2'!A:G,7,0)</f>
        <v>250</v>
      </c>
      <c r="L4" s="782"/>
      <c r="M4" s="662">
        <f t="shared" ref="M4:M16" si="0">SUM(I4+L4)</f>
        <v>1000</v>
      </c>
      <c r="N4" s="570"/>
      <c r="P4" s="7">
        <f>VLOOKUP(H4,Sheet4!A:C,3,0)</f>
        <v>0</v>
      </c>
    </row>
    <row r="5" spans="2:16" s="7" customFormat="1" ht="12" hidden="1" outlineLevel="1" x14ac:dyDescent="0.2">
      <c r="B5" s="717"/>
      <c r="C5" s="779"/>
      <c r="D5" s="689" t="s">
        <v>744</v>
      </c>
      <c r="E5" s="353"/>
      <c r="F5" s="717"/>
      <c r="G5" s="717"/>
      <c r="H5" s="677" t="s">
        <v>622</v>
      </c>
      <c r="I5" s="780"/>
      <c r="J5" s="727">
        <f>VLOOKUP(H5,'cognos as of Aug 2'!A:F,6,0)</f>
        <v>748</v>
      </c>
      <c r="K5" s="662">
        <f>VLOOKUP(H5,'cognos as of Aug 2'!A:G,7,0)</f>
        <v>700</v>
      </c>
      <c r="L5" s="662"/>
      <c r="M5" s="662">
        <f t="shared" si="0"/>
        <v>0</v>
      </c>
      <c r="N5" s="570"/>
    </row>
    <row r="6" spans="2:16" s="7" customFormat="1" ht="12" hidden="1" outlineLevel="1" x14ac:dyDescent="0.2">
      <c r="B6" s="677"/>
      <c r="C6" s="688"/>
      <c r="D6" s="689" t="s">
        <v>241</v>
      </c>
      <c r="E6" s="19"/>
      <c r="F6" s="677"/>
      <c r="G6" s="677"/>
      <c r="H6" s="677" t="s">
        <v>211</v>
      </c>
      <c r="I6" s="375">
        <v>3000</v>
      </c>
      <c r="J6" s="727">
        <f>VLOOKUP(H6,'cognos as of Aug 2'!A:F,6,0)</f>
        <v>2838</v>
      </c>
      <c r="K6" s="781">
        <f>VLOOKUP(H6,'cognos as of Aug 2'!A:G,7,0)</f>
        <v>2838</v>
      </c>
      <c r="L6" s="662"/>
      <c r="M6" s="662">
        <f t="shared" si="0"/>
        <v>3000</v>
      </c>
      <c r="N6" s="570"/>
      <c r="P6" s="7">
        <f>VLOOKUP(H6,Sheet4!A:C,3,0)</f>
        <v>0</v>
      </c>
    </row>
    <row r="7" spans="2:16" s="631" customFormat="1" ht="12" collapsed="1" x14ac:dyDescent="0.2">
      <c r="B7" s="655" t="s">
        <v>416</v>
      </c>
      <c r="C7" s="656" t="s">
        <v>228</v>
      </c>
      <c r="D7" s="655" t="s">
        <v>207</v>
      </c>
      <c r="E7" s="655"/>
      <c r="F7" s="655"/>
      <c r="G7" s="657" t="s">
        <v>163</v>
      </c>
      <c r="H7" s="669" t="s">
        <v>428</v>
      </c>
      <c r="I7" s="674">
        <v>4000</v>
      </c>
      <c r="J7" s="828">
        <f>SUM(J4:J6)</f>
        <v>4000</v>
      </c>
      <c r="K7" s="674">
        <f t="shared" ref="K7:L7" si="1">SUM(K4:K6)</f>
        <v>3788</v>
      </c>
      <c r="L7" s="726">
        <f t="shared" si="1"/>
        <v>0</v>
      </c>
      <c r="M7" s="726">
        <f t="shared" si="0"/>
        <v>4000</v>
      </c>
      <c r="N7" s="674"/>
      <c r="O7" s="828">
        <f>M7+N7</f>
        <v>4000</v>
      </c>
      <c r="P7" s="7" t="e">
        <f>VLOOKUP(H7,Sheet4!A:C,3,0)</f>
        <v>#N/A</v>
      </c>
    </row>
    <row r="8" spans="2:16" s="7" customFormat="1" ht="12" hidden="1" outlineLevel="1" x14ac:dyDescent="0.2">
      <c r="B8" s="678"/>
      <c r="C8" s="690"/>
      <c r="D8" s="678" t="s">
        <v>238</v>
      </c>
      <c r="E8" s="298"/>
      <c r="F8" s="678"/>
      <c r="G8" s="679"/>
      <c r="H8" s="679" t="s">
        <v>212</v>
      </c>
      <c r="I8" s="674">
        <v>1000</v>
      </c>
      <c r="J8" s="828">
        <f>VLOOKUP(H8,'cognos as of Aug 2'!A:F,6,0)</f>
        <v>0</v>
      </c>
      <c r="K8" s="674">
        <f>VLOOKUP(H8,'cognos as of Aug 2'!A:G,7,0)</f>
        <v>0</v>
      </c>
      <c r="L8" s="726"/>
      <c r="M8" s="726">
        <f t="shared" si="0"/>
        <v>1000</v>
      </c>
      <c r="N8" s="674"/>
      <c r="O8" s="828">
        <f t="shared" ref="O8:O31" si="2">M8+N8</f>
        <v>1000</v>
      </c>
      <c r="P8" s="7">
        <f>VLOOKUP(H8,Sheet4!A:C,3,0)</f>
        <v>0</v>
      </c>
    </row>
    <row r="9" spans="2:16" s="7" customFormat="1" ht="12" hidden="1" outlineLevel="1" x14ac:dyDescent="0.2">
      <c r="B9" s="678"/>
      <c r="C9" s="690"/>
      <c r="D9" s="678" t="s">
        <v>243</v>
      </c>
      <c r="E9" s="298"/>
      <c r="F9" s="678"/>
      <c r="G9" s="679"/>
      <c r="H9" s="679" t="s">
        <v>213</v>
      </c>
      <c r="I9" s="674">
        <v>500</v>
      </c>
      <c r="J9" s="828">
        <f>VLOOKUP(H9,'cognos as of Aug 2'!A:F,6,0)</f>
        <v>375</v>
      </c>
      <c r="K9" s="674">
        <f>VLOOKUP(H9,'cognos as of Aug 2'!A:G,7,0)</f>
        <v>374.5</v>
      </c>
      <c r="L9" s="726"/>
      <c r="M9" s="726">
        <f t="shared" si="0"/>
        <v>500</v>
      </c>
      <c r="N9" s="674"/>
      <c r="O9" s="828">
        <f t="shared" si="2"/>
        <v>500</v>
      </c>
      <c r="P9" s="7">
        <f>VLOOKUP(H9,Sheet4!A:C,3,0)</f>
        <v>0</v>
      </c>
    </row>
    <row r="10" spans="2:16" s="7" customFormat="1" ht="12" hidden="1" outlineLevel="1" x14ac:dyDescent="0.2">
      <c r="B10" s="678"/>
      <c r="C10" s="690"/>
      <c r="D10" s="678" t="s">
        <v>239</v>
      </c>
      <c r="E10" s="298"/>
      <c r="F10" s="678"/>
      <c r="G10" s="679"/>
      <c r="H10" s="679" t="s">
        <v>214</v>
      </c>
      <c r="I10" s="674">
        <v>1500</v>
      </c>
      <c r="J10" s="828">
        <f>VLOOKUP(H10,'cognos as of Aug 2'!A:F,6,0)</f>
        <v>483</v>
      </c>
      <c r="K10" s="674">
        <f>VLOOKUP(H10,'cognos as of Aug 2'!A:G,7,0)</f>
        <v>482.44</v>
      </c>
      <c r="L10" s="726"/>
      <c r="M10" s="726">
        <f t="shared" si="0"/>
        <v>1500</v>
      </c>
      <c r="N10" s="674"/>
      <c r="O10" s="828">
        <f t="shared" si="2"/>
        <v>1500</v>
      </c>
      <c r="P10" s="7">
        <f>VLOOKUP(H10,Sheet4!A:C,3,0)</f>
        <v>0</v>
      </c>
    </row>
    <row r="11" spans="2:16" s="7" customFormat="1" ht="12" hidden="1" outlineLevel="1" x14ac:dyDescent="0.2">
      <c r="B11" s="678"/>
      <c r="C11" s="690"/>
      <c r="D11" s="678" t="s">
        <v>240</v>
      </c>
      <c r="E11" s="298"/>
      <c r="F11" s="678"/>
      <c r="G11" s="679"/>
      <c r="H11" s="679" t="s">
        <v>215</v>
      </c>
      <c r="I11" s="674">
        <v>1500</v>
      </c>
      <c r="J11" s="828">
        <f>VLOOKUP(H11,'cognos as of Aug 2'!A:F,6,0)</f>
        <v>3642</v>
      </c>
      <c r="K11" s="674">
        <f>VLOOKUP(H11,'cognos as of Aug 2'!A:G,7,0)</f>
        <v>3642</v>
      </c>
      <c r="L11" s="726"/>
      <c r="M11" s="726">
        <f t="shared" si="0"/>
        <v>1500</v>
      </c>
      <c r="N11" s="674"/>
      <c r="O11" s="828">
        <f t="shared" si="2"/>
        <v>1500</v>
      </c>
      <c r="P11" s="7">
        <f>VLOOKUP(H11,Sheet4!A:C,3,0)</f>
        <v>0</v>
      </c>
    </row>
    <row r="12" spans="2:16" s="631" customFormat="1" ht="12" collapsed="1" x14ac:dyDescent="0.2">
      <c r="B12" s="655" t="s">
        <v>416</v>
      </c>
      <c r="C12" s="656" t="s">
        <v>228</v>
      </c>
      <c r="D12" s="655" t="s">
        <v>182</v>
      </c>
      <c r="E12" s="655"/>
      <c r="F12" s="655"/>
      <c r="G12" s="657" t="s">
        <v>163</v>
      </c>
      <c r="H12" s="669" t="s">
        <v>428</v>
      </c>
      <c r="I12" s="674">
        <v>4500</v>
      </c>
      <c r="J12" s="828">
        <f>SUM(J8:J11)</f>
        <v>4500</v>
      </c>
      <c r="K12" s="674">
        <f t="shared" ref="K12:L12" si="3">SUM(K8:K11)</f>
        <v>4498.9400000000005</v>
      </c>
      <c r="L12" s="726">
        <f t="shared" si="3"/>
        <v>0</v>
      </c>
      <c r="M12" s="726">
        <f t="shared" si="0"/>
        <v>4500</v>
      </c>
      <c r="N12" s="674"/>
      <c r="O12" s="828">
        <f t="shared" si="2"/>
        <v>4500</v>
      </c>
      <c r="P12" s="7" t="e">
        <f>VLOOKUP(H12,Sheet4!A:C,3,0)</f>
        <v>#N/A</v>
      </c>
    </row>
    <row r="13" spans="2:16" s="7" customFormat="1" ht="12" x14ac:dyDescent="0.2">
      <c r="B13" s="6" t="s">
        <v>236</v>
      </c>
      <c r="C13" s="228" t="s">
        <v>228</v>
      </c>
      <c r="D13" s="14" t="s">
        <v>237</v>
      </c>
      <c r="E13" s="229"/>
      <c r="F13" s="230"/>
      <c r="G13" s="114" t="s">
        <v>150</v>
      </c>
      <c r="H13" s="20" t="s">
        <v>223</v>
      </c>
      <c r="I13" s="375">
        <v>28800</v>
      </c>
      <c r="J13" s="783">
        <f>VLOOKUP(H13,'cognos as of Aug 2'!A:F,6,0)</f>
        <v>28800</v>
      </c>
      <c r="K13" s="375">
        <f>VLOOKUP(H13,'cognos as of Aug 2'!A:G,7,0)</f>
        <v>15059.32</v>
      </c>
      <c r="L13" s="615"/>
      <c r="M13" s="615">
        <f t="shared" si="0"/>
        <v>28800</v>
      </c>
      <c r="N13" s="375"/>
      <c r="O13" s="783">
        <f t="shared" si="2"/>
        <v>28800</v>
      </c>
      <c r="P13" s="7">
        <f>VLOOKUP(H13,Sheet4!A:C,3,0)</f>
        <v>0</v>
      </c>
    </row>
    <row r="14" spans="2:16" s="7" customFormat="1" ht="12" x14ac:dyDescent="0.2">
      <c r="B14" s="6" t="s">
        <v>234</v>
      </c>
      <c r="C14" s="228" t="s">
        <v>228</v>
      </c>
      <c r="D14" s="14" t="s">
        <v>178</v>
      </c>
      <c r="E14" s="229"/>
      <c r="F14" s="6"/>
      <c r="G14" s="114" t="s">
        <v>150</v>
      </c>
      <c r="H14" s="20" t="s">
        <v>387</v>
      </c>
      <c r="I14" s="375">
        <v>11000</v>
      </c>
      <c r="J14" s="783">
        <f>VLOOKUP(H14,'cognos as of Aug 2'!A:F,6,0)</f>
        <v>11000</v>
      </c>
      <c r="K14" s="375">
        <f>VLOOKUP(H14,'cognos as of Aug 2'!A:G,7,0)</f>
        <v>11000</v>
      </c>
      <c r="L14" s="615">
        <v>5500</v>
      </c>
      <c r="M14" s="615">
        <f t="shared" si="0"/>
        <v>16500</v>
      </c>
      <c r="N14" s="375"/>
      <c r="O14" s="783">
        <f t="shared" si="2"/>
        <v>16500</v>
      </c>
      <c r="P14" s="7">
        <f>VLOOKUP(H14,Sheet4!A:C,3,0)</f>
        <v>0</v>
      </c>
    </row>
    <row r="15" spans="2:16" s="7" customFormat="1" ht="12" x14ac:dyDescent="0.2">
      <c r="B15" s="231" t="s">
        <v>389</v>
      </c>
      <c r="C15" s="232" t="s">
        <v>228</v>
      </c>
      <c r="D15" s="231" t="s">
        <v>293</v>
      </c>
      <c r="E15" s="233"/>
      <c r="F15" s="233"/>
      <c r="G15" s="21" t="s">
        <v>154</v>
      </c>
      <c r="H15" s="21" t="s">
        <v>390</v>
      </c>
      <c r="I15" s="375">
        <v>33700</v>
      </c>
      <c r="J15" s="783">
        <v>33700</v>
      </c>
      <c r="K15" s="375">
        <f>'cognos as of Aug 2'!G86</f>
        <v>32592.83</v>
      </c>
      <c r="L15" s="615">
        <v>3894</v>
      </c>
      <c r="M15" s="615">
        <f t="shared" si="0"/>
        <v>37594</v>
      </c>
      <c r="N15" s="375"/>
      <c r="O15" s="783">
        <f t="shared" si="2"/>
        <v>37594</v>
      </c>
      <c r="P15" s="7" t="str">
        <f>VLOOKUP(H15,Sheet4!A:C,3,0)</f>
        <v xml:space="preserve">multiple </v>
      </c>
    </row>
    <row r="16" spans="2:16" s="7" customFormat="1" ht="12" x14ac:dyDescent="0.2">
      <c r="B16" s="231" t="s">
        <v>389</v>
      </c>
      <c r="C16" s="367"/>
      <c r="D16" s="256" t="s">
        <v>415</v>
      </c>
      <c r="E16" s="258"/>
      <c r="F16" s="231" t="s">
        <v>757</v>
      </c>
      <c r="G16" s="45" t="s">
        <v>154</v>
      </c>
      <c r="H16" s="21" t="s">
        <v>390</v>
      </c>
      <c r="I16" s="375"/>
      <c r="J16" s="783"/>
      <c r="K16" s="375"/>
      <c r="L16" s="615">
        <v>2250</v>
      </c>
      <c r="M16" s="615">
        <f t="shared" si="0"/>
        <v>2250</v>
      </c>
      <c r="N16" s="375">
        <v>2627</v>
      </c>
      <c r="O16" s="783">
        <f t="shared" si="2"/>
        <v>4877</v>
      </c>
      <c r="P16" s="7" t="str">
        <f>VLOOKUP(H16,Sheet4!A:C,3,0)</f>
        <v xml:space="preserve">multiple </v>
      </c>
    </row>
    <row r="17" spans="1:16" s="7" customFormat="1" ht="12" hidden="1" outlineLevel="1" x14ac:dyDescent="0.2">
      <c r="B17" s="789"/>
      <c r="C17" s="790"/>
      <c r="D17" s="789"/>
      <c r="E17" s="791"/>
      <c r="F17" s="791"/>
      <c r="G17" s="792"/>
      <c r="H17" s="20" t="s">
        <v>642</v>
      </c>
      <c r="I17" s="375"/>
      <c r="J17" s="783"/>
      <c r="K17" s="375">
        <f>'cognos as of Aug 2'!G103</f>
        <v>378.87</v>
      </c>
      <c r="L17" s="615"/>
      <c r="M17" s="615"/>
      <c r="N17" s="375"/>
      <c r="O17" s="783">
        <f t="shared" si="2"/>
        <v>0</v>
      </c>
    </row>
    <row r="18" spans="1:16" s="7" customFormat="1" ht="12" collapsed="1" x14ac:dyDescent="0.2">
      <c r="B18" s="6" t="s">
        <v>234</v>
      </c>
      <c r="C18" s="12" t="s">
        <v>228</v>
      </c>
      <c r="D18" s="14" t="s">
        <v>235</v>
      </c>
      <c r="E18" s="226"/>
      <c r="F18" s="234"/>
      <c r="G18" s="5" t="s">
        <v>268</v>
      </c>
      <c r="H18" s="20" t="s">
        <v>217</v>
      </c>
      <c r="I18" s="375">
        <v>73711</v>
      </c>
      <c r="J18" s="783">
        <f>VLOOKUP(H18,'cognos as of Aug 2'!A:F,6,0)</f>
        <v>72074</v>
      </c>
      <c r="K18" s="375">
        <f>VLOOKUP(H18,'cognos as of Aug 2'!A:G,7,0)</f>
        <v>73712</v>
      </c>
      <c r="L18" s="615"/>
      <c r="M18" s="615">
        <f t="shared" ref="M18:M24" si="4">SUM(I18+L18)</f>
        <v>73711</v>
      </c>
      <c r="N18" s="375"/>
      <c r="O18" s="783">
        <f t="shared" si="2"/>
        <v>73711</v>
      </c>
      <c r="P18" s="7">
        <f>VLOOKUP(H18,Sheet4!A:C,3,0)</f>
        <v>0</v>
      </c>
    </row>
    <row r="19" spans="1:16" s="7" customFormat="1" ht="12" x14ac:dyDescent="0.2">
      <c r="B19" s="6" t="s">
        <v>234</v>
      </c>
      <c r="C19" s="12" t="s">
        <v>228</v>
      </c>
      <c r="D19" s="14" t="s">
        <v>204</v>
      </c>
      <c r="E19" s="226"/>
      <c r="F19" s="234"/>
      <c r="G19" s="5" t="s">
        <v>150</v>
      </c>
      <c r="H19" s="20" t="s">
        <v>218</v>
      </c>
      <c r="I19" s="375">
        <v>15000</v>
      </c>
      <c r="J19" s="783">
        <f>VLOOKUP(H19,'cognos as of Aug 2'!A:F,6,0)</f>
        <v>15000</v>
      </c>
      <c r="K19" s="375">
        <v>16464.689999999999</v>
      </c>
      <c r="L19" s="615"/>
      <c r="M19" s="615">
        <f t="shared" si="4"/>
        <v>15000</v>
      </c>
      <c r="N19" s="375"/>
      <c r="O19" s="783">
        <f t="shared" si="2"/>
        <v>15000</v>
      </c>
      <c r="P19" s="7">
        <f>VLOOKUP(H19,Sheet4!A:C,3,0)</f>
        <v>0</v>
      </c>
    </row>
    <row r="20" spans="1:16" s="7" customFormat="1" ht="12" customHeight="1" x14ac:dyDescent="0.2">
      <c r="B20" s="14" t="s">
        <v>244</v>
      </c>
      <c r="C20" s="228"/>
      <c r="D20" s="14" t="s">
        <v>229</v>
      </c>
      <c r="E20" s="229"/>
      <c r="F20" s="6" t="s">
        <v>750</v>
      </c>
      <c r="G20" s="5" t="s">
        <v>163</v>
      </c>
      <c r="H20" s="20" t="s">
        <v>219</v>
      </c>
      <c r="I20" s="375">
        <v>0</v>
      </c>
      <c r="J20" s="783"/>
      <c r="K20" s="375"/>
      <c r="L20" s="615"/>
      <c r="M20" s="615">
        <f t="shared" si="4"/>
        <v>0</v>
      </c>
      <c r="N20" s="375">
        <v>10000</v>
      </c>
      <c r="O20" s="783">
        <f t="shared" si="2"/>
        <v>10000</v>
      </c>
      <c r="P20" s="7">
        <f>VLOOKUP(H20,Sheet4!A:C,3,0)</f>
        <v>0</v>
      </c>
    </row>
    <row r="21" spans="1:16" s="7" customFormat="1" ht="12" x14ac:dyDescent="0.2">
      <c r="B21" s="14" t="s">
        <v>244</v>
      </c>
      <c r="C21" s="228"/>
      <c r="D21" s="14" t="s">
        <v>230</v>
      </c>
      <c r="E21" s="229"/>
      <c r="F21" s="228"/>
      <c r="G21" s="114" t="s">
        <v>163</v>
      </c>
      <c r="H21" s="20" t="s">
        <v>220</v>
      </c>
      <c r="I21" s="375">
        <v>0</v>
      </c>
      <c r="J21" s="783"/>
      <c r="K21" s="375"/>
      <c r="L21" s="615"/>
      <c r="M21" s="615">
        <f t="shared" si="4"/>
        <v>0</v>
      </c>
      <c r="N21" s="375"/>
      <c r="O21" s="783">
        <f t="shared" si="2"/>
        <v>0</v>
      </c>
      <c r="P21" s="7">
        <f>VLOOKUP(H21,Sheet4!A:C,3,0)</f>
        <v>0</v>
      </c>
    </row>
    <row r="22" spans="1:16" s="7" customFormat="1" ht="12" x14ac:dyDescent="0.2">
      <c r="B22" s="14" t="s">
        <v>244</v>
      </c>
      <c r="C22" s="228" t="s">
        <v>228</v>
      </c>
      <c r="D22" s="14" t="s">
        <v>232</v>
      </c>
      <c r="E22" s="229"/>
      <c r="F22" s="239"/>
      <c r="G22" s="119" t="s">
        <v>163</v>
      </c>
      <c r="H22" s="20" t="s">
        <v>222</v>
      </c>
      <c r="I22" s="375">
        <v>17453</v>
      </c>
      <c r="J22" s="783">
        <f>VLOOKUP(H22,'cognos as of Aug 2'!A:F,6,0)</f>
        <v>17453</v>
      </c>
      <c r="K22" s="375">
        <f>VLOOKUP(H22,'cognos as of Aug 2'!A:G,7,0)</f>
        <v>17453</v>
      </c>
      <c r="L22" s="615"/>
      <c r="M22" s="615">
        <f t="shared" si="4"/>
        <v>17453</v>
      </c>
      <c r="N22" s="375"/>
      <c r="O22" s="783">
        <f t="shared" si="2"/>
        <v>17453</v>
      </c>
      <c r="P22" s="7">
        <f>VLOOKUP(H22,Sheet4!A:C,3,0)</f>
        <v>0</v>
      </c>
    </row>
    <row r="23" spans="1:16" s="416" customFormat="1" ht="12.75" x14ac:dyDescent="0.2">
      <c r="A23" s="74"/>
      <c r="B23" s="229" t="s">
        <v>234</v>
      </c>
      <c r="C23" s="271" t="s">
        <v>171</v>
      </c>
      <c r="D23" s="234" t="s">
        <v>60</v>
      </c>
      <c r="E23" s="229"/>
      <c r="F23" s="229"/>
      <c r="G23" s="49" t="s">
        <v>163</v>
      </c>
      <c r="H23" s="48" t="s">
        <v>383</v>
      </c>
      <c r="I23" s="375">
        <v>370397</v>
      </c>
      <c r="J23" s="783">
        <f>VLOOKUP(H23,'cognos as of Aug 2'!A:F,6,0)</f>
        <v>370397</v>
      </c>
      <c r="K23" s="375">
        <f>VLOOKUP(H23,'cognos as of Aug 2'!A:G,7,0)</f>
        <v>332322.45</v>
      </c>
      <c r="L23" s="615">
        <v>-30000</v>
      </c>
      <c r="M23" s="615">
        <f t="shared" si="4"/>
        <v>340397</v>
      </c>
      <c r="N23" s="375"/>
      <c r="O23" s="783">
        <f t="shared" si="2"/>
        <v>340397</v>
      </c>
      <c r="P23" s="7">
        <f>VLOOKUP(H23,Sheet4!A:C,3,0)</f>
        <v>0</v>
      </c>
    </row>
    <row r="24" spans="1:16" s="416" customFormat="1" ht="12.75" x14ac:dyDescent="0.2">
      <c r="A24" s="74"/>
      <c r="B24" s="221" t="s">
        <v>234</v>
      </c>
      <c r="C24" s="263" t="s">
        <v>171</v>
      </c>
      <c r="D24" s="264" t="s">
        <v>329</v>
      </c>
      <c r="E24" s="221"/>
      <c r="F24" s="227" t="s">
        <v>746</v>
      </c>
      <c r="G24" s="17" t="s">
        <v>163</v>
      </c>
      <c r="H24" s="29" t="s">
        <v>384</v>
      </c>
      <c r="I24" s="375">
        <v>82111</v>
      </c>
      <c r="J24" s="783">
        <v>82111</v>
      </c>
      <c r="K24" s="375">
        <f>'cognos as of Aug 2'!G77</f>
        <v>79869</v>
      </c>
      <c r="L24" s="615"/>
      <c r="M24" s="615">
        <f t="shared" si="4"/>
        <v>82111</v>
      </c>
      <c r="N24" s="375">
        <v>5902</v>
      </c>
      <c r="O24" s="783">
        <f t="shared" si="2"/>
        <v>88013</v>
      </c>
      <c r="P24" s="7">
        <f>VLOOKUP(H24,Sheet4!A:C,3,0)</f>
        <v>0</v>
      </c>
    </row>
    <row r="25" spans="1:16" s="416" customFormat="1" ht="12.75" x14ac:dyDescent="0.2">
      <c r="A25" s="74"/>
      <c r="B25" s="221" t="s">
        <v>234</v>
      </c>
      <c r="C25" s="798"/>
      <c r="D25" s="370" t="s">
        <v>745</v>
      </c>
      <c r="E25" s="370"/>
      <c r="F25" s="227" t="s">
        <v>402</v>
      </c>
      <c r="G25" s="34" t="s">
        <v>153</v>
      </c>
      <c r="H25" s="41" t="s">
        <v>759</v>
      </c>
      <c r="I25" s="375"/>
      <c r="J25" s="783"/>
      <c r="K25" s="375"/>
      <c r="L25" s="615"/>
      <c r="M25" s="615"/>
      <c r="N25" s="375">
        <v>2500</v>
      </c>
      <c r="O25" s="783">
        <f t="shared" si="2"/>
        <v>2500</v>
      </c>
      <c r="P25" s="7"/>
    </row>
    <row r="26" spans="1:16" s="7" customFormat="1" ht="12" x14ac:dyDescent="0.2">
      <c r="B26" s="229" t="s">
        <v>132</v>
      </c>
      <c r="C26" s="12" t="s">
        <v>228</v>
      </c>
      <c r="D26" s="14" t="s">
        <v>405</v>
      </c>
      <c r="E26" s="226"/>
      <c r="F26" s="227"/>
      <c r="G26" s="5" t="s">
        <v>154</v>
      </c>
      <c r="H26" s="20" t="s">
        <v>403</v>
      </c>
      <c r="I26" s="375">
        <v>0</v>
      </c>
      <c r="J26" s="783"/>
      <c r="K26" s="375"/>
      <c r="L26" s="615">
        <v>19057</v>
      </c>
      <c r="M26" s="615">
        <f t="shared" ref="M26:M31" si="5">SUM(I26+L26)</f>
        <v>19057</v>
      </c>
      <c r="N26" s="375"/>
      <c r="O26" s="783">
        <f t="shared" si="2"/>
        <v>19057</v>
      </c>
      <c r="P26" s="7">
        <f>VLOOKUP(H26,Sheet4!A:C,3,0)</f>
        <v>0</v>
      </c>
    </row>
    <row r="27" spans="1:16" s="7" customFormat="1" ht="12" x14ac:dyDescent="0.2">
      <c r="B27" s="229" t="s">
        <v>132</v>
      </c>
      <c r="C27" s="12" t="s">
        <v>228</v>
      </c>
      <c r="D27" s="14" t="s">
        <v>280</v>
      </c>
      <c r="E27" s="226"/>
      <c r="F27" s="227" t="s">
        <v>748</v>
      </c>
      <c r="G27" s="5" t="s">
        <v>154</v>
      </c>
      <c r="H27" s="20" t="s">
        <v>216</v>
      </c>
      <c r="I27" s="375">
        <v>7500</v>
      </c>
      <c r="J27" s="783">
        <f>VLOOKUP(H27,'cognos as of Aug 2'!A:F,6,0)</f>
        <v>7800</v>
      </c>
      <c r="K27" s="375">
        <f>VLOOKUP(H27,'cognos as of Aug 2'!A:G,7,0)</f>
        <v>7800</v>
      </c>
      <c r="L27" s="615">
        <v>300</v>
      </c>
      <c r="M27" s="615">
        <f t="shared" si="5"/>
        <v>7800</v>
      </c>
      <c r="N27" s="375">
        <f>-642/2</f>
        <v>-321</v>
      </c>
      <c r="O27" s="783">
        <f t="shared" si="2"/>
        <v>7479</v>
      </c>
      <c r="P27" s="7">
        <f>VLOOKUP(H27,Sheet4!A:C,3,0)</f>
        <v>0</v>
      </c>
    </row>
    <row r="28" spans="1:16" s="322" customFormat="1" ht="12.75" x14ac:dyDescent="0.2">
      <c r="A28" s="74"/>
      <c r="B28" s="229" t="s">
        <v>132</v>
      </c>
      <c r="C28" s="354" t="s">
        <v>127</v>
      </c>
      <c r="D28" s="234" t="s">
        <v>333</v>
      </c>
      <c r="E28" s="229"/>
      <c r="F28" s="251"/>
      <c r="G28" s="611" t="s">
        <v>154</v>
      </c>
      <c r="H28" s="48" t="s">
        <v>371</v>
      </c>
      <c r="I28" s="375">
        <v>2343</v>
      </c>
      <c r="J28" s="783">
        <f>VLOOKUP(H28,'cognos as of Aug 2'!A:F,6,0)</f>
        <v>2343</v>
      </c>
      <c r="K28" s="375">
        <f>VLOOKUP(H28,'cognos as of Aug 2'!A:G,7,0)</f>
        <v>0</v>
      </c>
      <c r="L28" s="615">
        <v>-2343</v>
      </c>
      <c r="M28" s="615">
        <f t="shared" si="5"/>
        <v>0</v>
      </c>
      <c r="N28" s="375"/>
      <c r="O28" s="783">
        <f t="shared" si="2"/>
        <v>0</v>
      </c>
      <c r="P28" s="7">
        <f>VLOOKUP(H28,Sheet4!A:C,3,0)</f>
        <v>0</v>
      </c>
    </row>
    <row r="29" spans="1:16" s="322" customFormat="1" ht="12.75" x14ac:dyDescent="0.2">
      <c r="A29" s="74"/>
      <c r="B29" s="221" t="s">
        <v>132</v>
      </c>
      <c r="C29" s="277" t="s">
        <v>127</v>
      </c>
      <c r="D29" s="264" t="s">
        <v>334</v>
      </c>
      <c r="E29" s="221"/>
      <c r="F29" s="251"/>
      <c r="G29" s="626" t="s">
        <v>154</v>
      </c>
      <c r="H29" s="29" t="s">
        <v>421</v>
      </c>
      <c r="I29" s="375">
        <v>5670</v>
      </c>
      <c r="J29" s="783">
        <v>5670</v>
      </c>
      <c r="K29" s="375">
        <f>'cognos as of Aug 2'!G98</f>
        <v>6204.45</v>
      </c>
      <c r="L29" s="615">
        <v>830</v>
      </c>
      <c r="M29" s="615">
        <f t="shared" si="5"/>
        <v>6500</v>
      </c>
      <c r="N29" s="375"/>
      <c r="O29" s="783">
        <f t="shared" si="2"/>
        <v>6500</v>
      </c>
      <c r="P29" s="7">
        <f>VLOOKUP(H29,Sheet4!A:C,3,0)</f>
        <v>0</v>
      </c>
    </row>
    <row r="30" spans="1:16" s="446" customFormat="1" ht="12.75" x14ac:dyDescent="0.2">
      <c r="A30" s="74"/>
      <c r="B30" s="229" t="s">
        <v>132</v>
      </c>
      <c r="C30" s="354" t="s">
        <v>127</v>
      </c>
      <c r="D30" s="234" t="s">
        <v>66</v>
      </c>
      <c r="E30" s="229"/>
      <c r="F30" s="251"/>
      <c r="G30" s="611" t="s">
        <v>154</v>
      </c>
      <c r="H30" s="48" t="s">
        <v>373</v>
      </c>
      <c r="I30" s="375">
        <v>75190</v>
      </c>
      <c r="J30" s="783">
        <f>VLOOKUP(H30,'cognos as of Aug 2'!A:F,6,0)</f>
        <v>76527</v>
      </c>
      <c r="K30" s="375">
        <f>VLOOKUP(H30,'cognos as of Aug 2'!A:G,7,0)</f>
        <v>57394.87</v>
      </c>
      <c r="L30" s="615">
        <v>3501</v>
      </c>
      <c r="M30" s="615">
        <f t="shared" si="5"/>
        <v>78691</v>
      </c>
      <c r="N30" s="375"/>
      <c r="O30" s="783">
        <f t="shared" si="2"/>
        <v>78691</v>
      </c>
      <c r="P30" s="7">
        <f>VLOOKUP(H30,Sheet4!A:C,3,0)</f>
        <v>0</v>
      </c>
    </row>
    <row r="31" spans="1:16" s="446" customFormat="1" ht="13.5" thickBot="1" x14ac:dyDescent="0.25">
      <c r="A31" s="74"/>
      <c r="B31" s="650" t="s">
        <v>132</v>
      </c>
      <c r="C31" s="651" t="s">
        <v>127</v>
      </c>
      <c r="D31" s="652" t="s">
        <v>401</v>
      </c>
      <c r="E31" s="650"/>
      <c r="F31" s="251"/>
      <c r="G31" s="653" t="s">
        <v>154</v>
      </c>
      <c r="H31" s="654" t="s">
        <v>374</v>
      </c>
      <c r="I31" s="375">
        <v>11259</v>
      </c>
      <c r="J31" s="783">
        <f>VLOOKUP(H31,'cognos as of Aug 2'!A:F,6,0)</f>
        <v>11259</v>
      </c>
      <c r="K31" s="375">
        <f>VLOOKUP(H31,'cognos as of Aug 2'!A:G,7,0)</f>
        <v>15384</v>
      </c>
      <c r="L31" s="615">
        <v>4350</v>
      </c>
      <c r="M31" s="615">
        <f t="shared" si="5"/>
        <v>15609</v>
      </c>
      <c r="N31" s="375"/>
      <c r="O31" s="783">
        <f t="shared" si="2"/>
        <v>15609</v>
      </c>
      <c r="P31" s="7">
        <f>VLOOKUP(H31,Sheet4!A:C,3,0)</f>
        <v>0</v>
      </c>
    </row>
    <row r="32" spans="1:16" s="74" customFormat="1" ht="13.5" thickBot="1" x14ac:dyDescent="0.25">
      <c r="B32" s="120"/>
      <c r="C32" s="121"/>
      <c r="D32" s="122"/>
      <c r="E32" s="122"/>
      <c r="F32" s="122"/>
      <c r="G32" s="122"/>
      <c r="H32" s="123" t="s">
        <v>209</v>
      </c>
      <c r="I32" s="829">
        <v>742634</v>
      </c>
      <c r="J32" s="672">
        <f>SUM(J7,J12,J13:J19,J22,J23:J31)</f>
        <v>742634</v>
      </c>
      <c r="K32" s="672">
        <f>SUM(K7,K12,K13:K19,K22,K23:K31)</f>
        <v>673922.41999999993</v>
      </c>
      <c r="L32" s="672">
        <f>SUM(L7,L12,L13:L19,L22,L23:L31)</f>
        <v>7339</v>
      </c>
      <c r="M32" s="829">
        <f>SUM(M7,M12:M31)</f>
        <v>749973</v>
      </c>
      <c r="N32" s="829">
        <f>SUM(N7,N12:N31)</f>
        <v>20708</v>
      </c>
      <c r="O32" s="829">
        <f>SUM(O7,O12:O31)</f>
        <v>770681</v>
      </c>
      <c r="P32" s="7"/>
    </row>
    <row r="33" spans="2:16" s="134" customFormat="1" ht="17.25" customHeight="1" x14ac:dyDescent="0.2">
      <c r="B33" s="127"/>
      <c r="C33" s="128"/>
      <c r="D33" s="129"/>
      <c r="E33" s="129"/>
      <c r="F33" s="127"/>
      <c r="G33" s="127"/>
      <c r="H33" s="130"/>
      <c r="I33" s="131"/>
      <c r="J33" s="574"/>
      <c r="K33" s="133"/>
      <c r="L33" s="7"/>
      <c r="M33" s="826">
        <f>SUM(I32+L32)</f>
        <v>749973</v>
      </c>
      <c r="N33" s="574"/>
      <c r="P33" s="7"/>
    </row>
    <row r="34" spans="2:16" s="135" customFormat="1" ht="15.75" thickBot="1" x14ac:dyDescent="0.25">
      <c r="B34" s="356" t="s">
        <v>177</v>
      </c>
      <c r="C34" s="134"/>
      <c r="F34" s="134"/>
      <c r="G34" s="134"/>
      <c r="H34" s="134"/>
      <c r="I34" s="136"/>
      <c r="J34" s="575"/>
      <c r="K34" s="133"/>
      <c r="L34" s="7"/>
      <c r="M34" s="600"/>
      <c r="N34" s="575"/>
      <c r="O34" s="134"/>
      <c r="P34" s="7"/>
    </row>
    <row r="35" spans="2:16" ht="12.75" x14ac:dyDescent="0.2">
      <c r="B35" s="79" t="s">
        <v>118</v>
      </c>
      <c r="C35" s="80"/>
      <c r="D35" s="138"/>
      <c r="E35" s="81"/>
      <c r="F35" s="80"/>
      <c r="G35" s="80"/>
      <c r="H35" s="80"/>
      <c r="I35" s="739" t="s">
        <v>58</v>
      </c>
      <c r="J35" s="609">
        <v>0.91666666666666663</v>
      </c>
      <c r="K35" s="84" t="s">
        <v>123</v>
      </c>
      <c r="L35" s="85" t="s">
        <v>121</v>
      </c>
      <c r="M35" s="729" t="s">
        <v>406</v>
      </c>
      <c r="N35" s="796" t="s">
        <v>121</v>
      </c>
      <c r="O35" s="729" t="s">
        <v>406</v>
      </c>
      <c r="P35" s="7"/>
    </row>
    <row r="36" spans="2:16" s="74" customFormat="1" ht="13.5" thickBot="1" x14ac:dyDescent="0.25">
      <c r="B36" s="87" t="s">
        <v>148</v>
      </c>
      <c r="C36" s="88" t="s">
        <v>125</v>
      </c>
      <c r="D36" s="139" t="s">
        <v>61</v>
      </c>
      <c r="E36" s="88" t="s">
        <v>250</v>
      </c>
      <c r="F36" s="88" t="s">
        <v>147</v>
      </c>
      <c r="G36" s="88" t="s">
        <v>149</v>
      </c>
      <c r="H36" s="88" t="s">
        <v>62</v>
      </c>
      <c r="I36" s="740" t="s">
        <v>120</v>
      </c>
      <c r="J36" s="610" t="s">
        <v>272</v>
      </c>
      <c r="K36" s="91" t="s">
        <v>755</v>
      </c>
      <c r="L36" s="92" t="s">
        <v>122</v>
      </c>
      <c r="M36" s="88" t="s">
        <v>59</v>
      </c>
      <c r="N36" s="88" t="s">
        <v>122</v>
      </c>
      <c r="O36" s="88" t="s">
        <v>120</v>
      </c>
      <c r="P36" s="7"/>
    </row>
    <row r="37" spans="2:16" s="7" customFormat="1" ht="12.75" hidden="1" outlineLevel="1" thickBot="1" x14ac:dyDescent="0.25">
      <c r="B37" s="680"/>
      <c r="C37" s="691"/>
      <c r="D37" s="692" t="s">
        <v>180</v>
      </c>
      <c r="E37" s="237"/>
      <c r="F37" s="684"/>
      <c r="G37" s="681"/>
      <c r="H37" s="685" t="s">
        <v>193</v>
      </c>
      <c r="I37" s="375">
        <v>1100</v>
      </c>
      <c r="J37" s="727">
        <f>VLOOKUP(H37,'cognos as of Aug 2'!A:F,6,0)</f>
        <v>1100</v>
      </c>
      <c r="K37" s="782">
        <f>VLOOKUP(H37,'cognos as of Aug 2'!A:G,7,0)</f>
        <v>614.73</v>
      </c>
      <c r="L37" s="719"/>
      <c r="M37" s="662">
        <f t="shared" ref="M37:M53" si="6">SUM(I37+L37)</f>
        <v>1100</v>
      </c>
      <c r="N37" s="570"/>
      <c r="P37" s="7">
        <f>VLOOKUP(H37,Sheet4!A:C,3,0)</f>
        <v>0</v>
      </c>
    </row>
    <row r="38" spans="2:16" s="7" customFormat="1" ht="12" hidden="1" outlineLevel="1" x14ac:dyDescent="0.2">
      <c r="B38" s="680"/>
      <c r="C38" s="691"/>
      <c r="D38" s="692" t="s">
        <v>180</v>
      </c>
      <c r="E38" s="237"/>
      <c r="F38" s="684"/>
      <c r="G38" s="681"/>
      <c r="H38" s="685" t="s">
        <v>194</v>
      </c>
      <c r="I38" s="375">
        <v>3300</v>
      </c>
      <c r="J38" s="727">
        <f>VLOOKUP(H38,'cognos as of Aug 2'!A:F,6,0)</f>
        <v>3300</v>
      </c>
      <c r="K38" s="782">
        <f>VLOOKUP(H38,'cognos as of Aug 2'!A:G,7,0)</f>
        <v>3308.65</v>
      </c>
      <c r="L38" s="662"/>
      <c r="M38" s="662">
        <f t="shared" si="6"/>
        <v>3300</v>
      </c>
      <c r="N38" s="570"/>
      <c r="P38" s="7">
        <f>VLOOKUP(H38,Sheet4!A:C,3,0)</f>
        <v>0</v>
      </c>
    </row>
    <row r="39" spans="2:16" s="631" customFormat="1" ht="12" collapsed="1" x14ac:dyDescent="0.2">
      <c r="B39" s="632" t="s">
        <v>416</v>
      </c>
      <c r="C39" s="633" t="s">
        <v>245</v>
      </c>
      <c r="D39" s="634" t="s">
        <v>276</v>
      </c>
      <c r="E39" s="632"/>
      <c r="F39" s="635"/>
      <c r="G39" s="636" t="s">
        <v>163</v>
      </c>
      <c r="H39" s="669" t="s">
        <v>428</v>
      </c>
      <c r="I39" s="674">
        <f>SUM(I37:I38)</f>
        <v>4400</v>
      </c>
      <c r="J39" s="828">
        <f>SUM(J37:J38)</f>
        <v>4400</v>
      </c>
      <c r="K39" s="674">
        <f t="shared" ref="K39:L39" si="7">SUM(K37:K38)</f>
        <v>3923.38</v>
      </c>
      <c r="L39" s="726">
        <f t="shared" si="7"/>
        <v>0</v>
      </c>
      <c r="M39" s="726">
        <f t="shared" si="6"/>
        <v>4400</v>
      </c>
      <c r="N39" s="674"/>
      <c r="O39" s="828">
        <f>M39+N39</f>
        <v>4400</v>
      </c>
      <c r="P39" s="7" t="e">
        <f>VLOOKUP(H39,Sheet4!A:C,3,0)</f>
        <v>#N/A</v>
      </c>
    </row>
    <row r="40" spans="2:16" s="7" customFormat="1" ht="12" hidden="1" customHeight="1" outlineLevel="1" thickBot="1" x14ac:dyDescent="0.25">
      <c r="B40" s="680"/>
      <c r="C40" s="682"/>
      <c r="D40" s="693" t="s">
        <v>182</v>
      </c>
      <c r="E40" s="694"/>
      <c r="F40" s="680"/>
      <c r="G40" s="681"/>
      <c r="H40" s="685" t="s">
        <v>196</v>
      </c>
      <c r="I40" s="674">
        <v>660</v>
      </c>
      <c r="J40" s="828">
        <f>VLOOKUP(H40,'cognos as of Aug 2'!A:F,6,0)</f>
        <v>2000</v>
      </c>
      <c r="K40" s="674">
        <f>VLOOKUP(H40,'cognos as of Aug 2'!A:G,7,0)</f>
        <v>1685.51</v>
      </c>
      <c r="L40" s="726"/>
      <c r="M40" s="726">
        <f t="shared" si="6"/>
        <v>660</v>
      </c>
      <c r="N40" s="674"/>
      <c r="O40" s="828">
        <f t="shared" ref="O40:O66" si="8">M40+N40</f>
        <v>660</v>
      </c>
      <c r="P40" s="7">
        <f>VLOOKUP(H40,Sheet4!A:C,3,0)</f>
        <v>0</v>
      </c>
    </row>
    <row r="41" spans="2:16" s="7" customFormat="1" ht="12" hidden="1" outlineLevel="1" x14ac:dyDescent="0.2">
      <c r="B41" s="680"/>
      <c r="C41" s="682"/>
      <c r="D41" s="693" t="s">
        <v>182</v>
      </c>
      <c r="E41" s="694"/>
      <c r="F41" s="682"/>
      <c r="G41" s="683"/>
      <c r="H41" s="685" t="s">
        <v>197</v>
      </c>
      <c r="I41" s="674">
        <v>440</v>
      </c>
      <c r="J41" s="828">
        <f>VLOOKUP(H41,'cognos as of Aug 2'!A:F,6,0)</f>
        <v>100</v>
      </c>
      <c r="K41" s="674">
        <f>VLOOKUP(H41,'cognos as of Aug 2'!A:G,7,0)</f>
        <v>100</v>
      </c>
      <c r="L41" s="726"/>
      <c r="M41" s="726">
        <f t="shared" si="6"/>
        <v>440</v>
      </c>
      <c r="N41" s="674"/>
      <c r="O41" s="828">
        <f t="shared" si="8"/>
        <v>440</v>
      </c>
      <c r="P41" s="7">
        <f>VLOOKUP(H41,Sheet4!A:C,3,0)</f>
        <v>0</v>
      </c>
    </row>
    <row r="42" spans="2:16" s="7" customFormat="1" ht="12" hidden="1" outlineLevel="1" x14ac:dyDescent="0.2">
      <c r="B42" s="680"/>
      <c r="C42" s="682"/>
      <c r="D42" s="693" t="s">
        <v>182</v>
      </c>
      <c r="E42" s="694"/>
      <c r="F42" s="682"/>
      <c r="G42" s="683"/>
      <c r="H42" s="685" t="s">
        <v>198</v>
      </c>
      <c r="I42" s="674">
        <v>3300</v>
      </c>
      <c r="J42" s="828">
        <f>VLOOKUP(H42,'cognos as of Aug 2'!A:F,6,0)</f>
        <v>2300</v>
      </c>
      <c r="K42" s="674">
        <f>VLOOKUP(H42,'cognos as of Aug 2'!A:G,7,0)</f>
        <v>2082.52</v>
      </c>
      <c r="L42" s="726"/>
      <c r="M42" s="726">
        <f t="shared" si="6"/>
        <v>3300</v>
      </c>
      <c r="N42" s="674"/>
      <c r="O42" s="828">
        <f t="shared" si="8"/>
        <v>3300</v>
      </c>
      <c r="P42" s="7">
        <f>VLOOKUP(H42,Sheet4!A:C,3,0)</f>
        <v>0</v>
      </c>
    </row>
    <row r="43" spans="2:16" s="631" customFormat="1" ht="12" collapsed="1" x14ac:dyDescent="0.2">
      <c r="B43" s="639" t="s">
        <v>416</v>
      </c>
      <c r="C43" s="640" t="s">
        <v>245</v>
      </c>
      <c r="D43" s="641" t="s">
        <v>182</v>
      </c>
      <c r="E43" s="642"/>
      <c r="F43" s="624"/>
      <c r="G43" s="643" t="s">
        <v>163</v>
      </c>
      <c r="H43" s="669" t="s">
        <v>428</v>
      </c>
      <c r="I43" s="674">
        <f>SUM(I40:I42)</f>
        <v>4400</v>
      </c>
      <c r="J43" s="828">
        <f>SUM(J40:J42)</f>
        <v>4400</v>
      </c>
      <c r="K43" s="674">
        <f t="shared" ref="K43:L43" si="9">SUM(K40:K42)</f>
        <v>3868.0299999999997</v>
      </c>
      <c r="L43" s="726">
        <f t="shared" si="9"/>
        <v>0</v>
      </c>
      <c r="M43" s="726">
        <f t="shared" si="6"/>
        <v>4400</v>
      </c>
      <c r="N43" s="674"/>
      <c r="O43" s="828">
        <f t="shared" si="8"/>
        <v>4400</v>
      </c>
      <c r="P43" s="7" t="e">
        <f>VLOOKUP(H43,Sheet4!A:C,3,0)</f>
        <v>#N/A</v>
      </c>
    </row>
    <row r="44" spans="2:16" s="7" customFormat="1" ht="12" x14ac:dyDescent="0.2">
      <c r="B44" s="6" t="s">
        <v>234</v>
      </c>
      <c r="C44" s="12" t="s">
        <v>245</v>
      </c>
      <c r="D44" s="13" t="s">
        <v>278</v>
      </c>
      <c r="E44" s="250"/>
      <c r="F44" s="6"/>
      <c r="G44" s="5" t="s">
        <v>150</v>
      </c>
      <c r="H44" s="16" t="s">
        <v>185</v>
      </c>
      <c r="I44" s="375">
        <v>33200</v>
      </c>
      <c r="J44" s="783">
        <v>33200</v>
      </c>
      <c r="K44" s="375">
        <f>SUM('cognos as of Aug 2'!G32:G72)</f>
        <v>9579.56</v>
      </c>
      <c r="L44" s="615">
        <v>0</v>
      </c>
      <c r="M44" s="615">
        <f t="shared" si="6"/>
        <v>33200</v>
      </c>
      <c r="N44" s="375"/>
      <c r="O44" s="783">
        <f t="shared" si="8"/>
        <v>33200</v>
      </c>
      <c r="P44" s="7">
        <f>VLOOKUP(H44,Sheet4!A:C,3,0)</f>
        <v>0</v>
      </c>
    </row>
    <row r="45" spans="2:16" s="7" customFormat="1" ht="12" x14ac:dyDescent="0.2">
      <c r="B45" s="6" t="s">
        <v>234</v>
      </c>
      <c r="C45" s="12" t="s">
        <v>245</v>
      </c>
      <c r="D45" s="13" t="s">
        <v>178</v>
      </c>
      <c r="E45" s="14"/>
      <c r="F45" s="6"/>
      <c r="G45" s="5" t="s">
        <v>150</v>
      </c>
      <c r="H45" s="16" t="s">
        <v>186</v>
      </c>
      <c r="I45" s="375">
        <v>11000</v>
      </c>
      <c r="J45" s="783">
        <f>VLOOKUP(H45,'cognos as of Aug 2'!A:F,6,0)</f>
        <v>11000</v>
      </c>
      <c r="K45" s="375">
        <f>VLOOKUP(H45,'cognos as of Aug 2'!A:G,7,0)</f>
        <v>11000</v>
      </c>
      <c r="L45" s="615">
        <v>16500</v>
      </c>
      <c r="M45" s="615">
        <f t="shared" si="6"/>
        <v>27500</v>
      </c>
      <c r="N45" s="375"/>
      <c r="O45" s="783">
        <f t="shared" si="8"/>
        <v>27500</v>
      </c>
      <c r="P45" s="7">
        <f>VLOOKUP(H45,Sheet4!A:C,3,0)</f>
        <v>0</v>
      </c>
    </row>
    <row r="46" spans="2:16" s="7" customFormat="1" ht="12" x14ac:dyDescent="0.2">
      <c r="B46" s="231" t="s">
        <v>263</v>
      </c>
      <c r="C46" s="255" t="s">
        <v>245</v>
      </c>
      <c r="D46" s="231" t="s">
        <v>293</v>
      </c>
      <c r="E46" s="256" t="s">
        <v>199</v>
      </c>
      <c r="F46" s="231"/>
      <c r="G46" s="49" t="s">
        <v>154</v>
      </c>
      <c r="H46" s="24" t="s">
        <v>274</v>
      </c>
      <c r="I46" s="375">
        <v>36261</v>
      </c>
      <c r="J46" s="783">
        <f>VLOOKUP(H46,'cognos as of Aug 2'!A:F,6,0)</f>
        <v>36261</v>
      </c>
      <c r="K46" s="375">
        <f>VLOOKUP(H46,'cognos as of Aug 2'!A:G,7,0)</f>
        <v>36027.14</v>
      </c>
      <c r="L46" s="615">
        <v>3894</v>
      </c>
      <c r="M46" s="615">
        <f t="shared" si="6"/>
        <v>40155</v>
      </c>
      <c r="N46" s="375"/>
      <c r="O46" s="783">
        <f t="shared" si="8"/>
        <v>40155</v>
      </c>
      <c r="P46" s="7" t="str">
        <f>VLOOKUP(H46,Sheet4!A:C,3,0)</f>
        <v xml:space="preserve">multiple </v>
      </c>
    </row>
    <row r="47" spans="2:16" s="7" customFormat="1" ht="12" x14ac:dyDescent="0.2">
      <c r="B47" s="231" t="s">
        <v>263</v>
      </c>
      <c r="C47" s="255" t="s">
        <v>245</v>
      </c>
      <c r="D47" s="256" t="s">
        <v>415</v>
      </c>
      <c r="E47" s="256" t="s">
        <v>199</v>
      </c>
      <c r="F47" s="231" t="s">
        <v>757</v>
      </c>
      <c r="G47" s="33" t="s">
        <v>154</v>
      </c>
      <c r="H47" s="24" t="s">
        <v>274</v>
      </c>
      <c r="I47" s="375"/>
      <c r="J47" s="783"/>
      <c r="K47" s="375"/>
      <c r="L47" s="615">
        <v>2250</v>
      </c>
      <c r="M47" s="615">
        <f t="shared" si="6"/>
        <v>2250</v>
      </c>
      <c r="N47" s="375">
        <v>2627</v>
      </c>
      <c r="O47" s="783">
        <f t="shared" si="8"/>
        <v>4877</v>
      </c>
      <c r="P47" s="7" t="str">
        <f>VLOOKUP(H47,Sheet4!A:C,3,0)</f>
        <v xml:space="preserve">multiple </v>
      </c>
    </row>
    <row r="48" spans="2:16" s="7" customFormat="1" ht="13.5" customHeight="1" x14ac:dyDescent="0.2">
      <c r="B48" s="6" t="s">
        <v>262</v>
      </c>
      <c r="C48" s="12" t="s">
        <v>245</v>
      </c>
      <c r="D48" s="13" t="s">
        <v>235</v>
      </c>
      <c r="E48" s="14" t="s">
        <v>201</v>
      </c>
      <c r="F48" s="6"/>
      <c r="G48" s="5" t="s">
        <v>268</v>
      </c>
      <c r="H48" s="16" t="s">
        <v>188</v>
      </c>
      <c r="I48" s="375">
        <v>110568</v>
      </c>
      <c r="J48" s="783">
        <f>VLOOKUP(H48,'cognos as of Aug 2'!A:F,6,0)</f>
        <v>110568</v>
      </c>
      <c r="K48" s="375">
        <f>VLOOKUP(H48,'cognos as of Aug 2'!A:G,7,0)</f>
        <v>110567</v>
      </c>
      <c r="L48" s="615"/>
      <c r="M48" s="615">
        <f t="shared" si="6"/>
        <v>110568</v>
      </c>
      <c r="N48" s="375"/>
      <c r="O48" s="783">
        <f t="shared" si="8"/>
        <v>110568</v>
      </c>
      <c r="P48" s="7">
        <f>VLOOKUP(H48,Sheet4!A:C,3,0)</f>
        <v>0</v>
      </c>
    </row>
    <row r="49" spans="2:16" s="7" customFormat="1" ht="12" x14ac:dyDescent="0.2">
      <c r="B49" s="6" t="s">
        <v>262</v>
      </c>
      <c r="C49" s="12" t="s">
        <v>245</v>
      </c>
      <c r="D49" s="13" t="s">
        <v>204</v>
      </c>
      <c r="E49" s="14"/>
      <c r="F49" s="14"/>
      <c r="G49" s="5" t="s">
        <v>150</v>
      </c>
      <c r="H49" s="16" t="s">
        <v>187</v>
      </c>
      <c r="I49" s="375">
        <v>24625</v>
      </c>
      <c r="J49" s="783">
        <v>24625</v>
      </c>
      <c r="K49" s="375">
        <v>25928.34</v>
      </c>
      <c r="L49" s="615"/>
      <c r="M49" s="615">
        <f t="shared" si="6"/>
        <v>24625</v>
      </c>
      <c r="N49" s="375"/>
      <c r="O49" s="783">
        <f t="shared" si="8"/>
        <v>24625</v>
      </c>
      <c r="P49" s="7">
        <f>VLOOKUP(H49,Sheet4!A:C,3,0)</f>
        <v>0</v>
      </c>
    </row>
    <row r="50" spans="2:16" s="7" customFormat="1" ht="12" x14ac:dyDescent="0.2">
      <c r="B50" s="6" t="s">
        <v>244</v>
      </c>
      <c r="C50" s="12" t="s">
        <v>245</v>
      </c>
      <c r="D50" s="13" t="s">
        <v>232</v>
      </c>
      <c r="E50" s="250"/>
      <c r="F50" s="234"/>
      <c r="G50" s="5" t="s">
        <v>163</v>
      </c>
      <c r="H50" s="16" t="s">
        <v>391</v>
      </c>
      <c r="I50" s="375">
        <v>17453</v>
      </c>
      <c r="J50" s="783">
        <v>17453</v>
      </c>
      <c r="K50" s="375">
        <v>17453</v>
      </c>
      <c r="L50" s="615">
        <v>1500</v>
      </c>
      <c r="M50" s="615">
        <f t="shared" si="6"/>
        <v>18953</v>
      </c>
      <c r="N50" s="375"/>
      <c r="O50" s="783">
        <f t="shared" si="8"/>
        <v>18953</v>
      </c>
      <c r="P50" s="7">
        <f>VLOOKUP(H50,Sheet4!A:C,3,0)</f>
        <v>0</v>
      </c>
    </row>
    <row r="51" spans="2:16" s="7" customFormat="1" ht="12" x14ac:dyDescent="0.2">
      <c r="B51" s="6" t="s">
        <v>244</v>
      </c>
      <c r="C51" s="12" t="s">
        <v>245</v>
      </c>
      <c r="D51" s="13" t="s">
        <v>229</v>
      </c>
      <c r="E51" s="250"/>
      <c r="F51" s="6" t="s">
        <v>750</v>
      </c>
      <c r="G51" s="5" t="s">
        <v>163</v>
      </c>
      <c r="H51" s="16" t="s">
        <v>751</v>
      </c>
      <c r="I51" s="375">
        <v>0</v>
      </c>
      <c r="J51" s="783">
        <v>0</v>
      </c>
      <c r="K51" s="375">
        <v>0</v>
      </c>
      <c r="L51" s="615">
        <v>0</v>
      </c>
      <c r="M51" s="615">
        <f t="shared" si="6"/>
        <v>0</v>
      </c>
      <c r="N51" s="375">
        <v>10000</v>
      </c>
      <c r="O51" s="783">
        <f t="shared" ref="O51" si="10">M51+N51</f>
        <v>10000</v>
      </c>
      <c r="P51" s="7" t="e">
        <f>VLOOKUP(H51,Sheet4!A:C,3,0)</f>
        <v>#N/A</v>
      </c>
    </row>
    <row r="52" spans="2:16" s="74" customFormat="1" ht="12.75" x14ac:dyDescent="0.2">
      <c r="B52" s="229" t="s">
        <v>234</v>
      </c>
      <c r="C52" s="625" t="s">
        <v>171</v>
      </c>
      <c r="D52" s="234" t="s">
        <v>60</v>
      </c>
      <c r="E52" s="229"/>
      <c r="F52" s="229"/>
      <c r="G52" s="49" t="s">
        <v>163</v>
      </c>
      <c r="H52" s="48" t="s">
        <v>381</v>
      </c>
      <c r="I52" s="375">
        <v>468710</v>
      </c>
      <c r="J52" s="783">
        <v>468710</v>
      </c>
      <c r="K52" s="375">
        <v>468710</v>
      </c>
      <c r="L52" s="615">
        <v>0</v>
      </c>
      <c r="M52" s="615">
        <f t="shared" si="6"/>
        <v>468710</v>
      </c>
      <c r="N52" s="375"/>
      <c r="O52" s="783">
        <f t="shared" si="8"/>
        <v>468710</v>
      </c>
      <c r="P52" s="7">
        <f>VLOOKUP(H52,Sheet4!A:C,3,0)</f>
        <v>0</v>
      </c>
    </row>
    <row r="53" spans="2:16" s="74" customFormat="1" ht="12.75" x14ac:dyDescent="0.2">
      <c r="B53" s="221" t="s">
        <v>234</v>
      </c>
      <c r="C53" s="263" t="s">
        <v>171</v>
      </c>
      <c r="D53" s="264" t="s">
        <v>331</v>
      </c>
      <c r="E53" s="221"/>
      <c r="F53" s="221"/>
      <c r="G53" s="17" t="s">
        <v>163</v>
      </c>
      <c r="H53" s="29" t="s">
        <v>382</v>
      </c>
      <c r="I53" s="375">
        <v>80125</v>
      </c>
      <c r="J53" s="783">
        <v>80125</v>
      </c>
      <c r="K53" s="375">
        <f>'cognos as of Aug 2'!G7</f>
        <v>91021.19</v>
      </c>
      <c r="L53" s="615">
        <v>0</v>
      </c>
      <c r="M53" s="615">
        <f t="shared" si="6"/>
        <v>80125</v>
      </c>
      <c r="N53" s="375">
        <f>89345-80125</f>
        <v>9220</v>
      </c>
      <c r="O53" s="783">
        <f t="shared" si="8"/>
        <v>89345</v>
      </c>
      <c r="P53" s="7">
        <f>VLOOKUP(H53,Sheet4!A:C,3,0)</f>
        <v>0</v>
      </c>
    </row>
    <row r="54" spans="2:16" s="74" customFormat="1" ht="12.75" x14ac:dyDescent="0.2">
      <c r="B54" s="221" t="s">
        <v>234</v>
      </c>
      <c r="C54" s="798"/>
      <c r="D54" s="370" t="s">
        <v>745</v>
      </c>
      <c r="E54" s="370"/>
      <c r="F54" s="227" t="s">
        <v>402</v>
      </c>
      <c r="G54" s="34" t="s">
        <v>153</v>
      </c>
      <c r="H54" s="23" t="s">
        <v>760</v>
      </c>
      <c r="I54" s="375"/>
      <c r="J54" s="783"/>
      <c r="K54" s="375"/>
      <c r="L54" s="615"/>
      <c r="M54" s="615"/>
      <c r="N54" s="375">
        <v>2500</v>
      </c>
      <c r="O54" s="783">
        <f t="shared" si="8"/>
        <v>2500</v>
      </c>
      <c r="P54" s="7"/>
    </row>
    <row r="55" spans="2:16" s="7" customFormat="1" ht="12" x14ac:dyDescent="0.2">
      <c r="B55" s="259" t="s">
        <v>132</v>
      </c>
      <c r="C55" s="252" t="s">
        <v>245</v>
      </c>
      <c r="D55" s="14" t="s">
        <v>405</v>
      </c>
      <c r="E55" s="226"/>
      <c r="F55" s="227"/>
      <c r="G55" s="5" t="s">
        <v>154</v>
      </c>
      <c r="H55" s="23" t="s">
        <v>404</v>
      </c>
      <c r="I55" s="375">
        <v>0</v>
      </c>
      <c r="J55" s="783">
        <v>0</v>
      </c>
      <c r="K55" s="375">
        <v>0</v>
      </c>
      <c r="L55" s="615">
        <v>19057</v>
      </c>
      <c r="M55" s="615">
        <f t="shared" ref="M55:M66" si="11">SUM(I55+L55)</f>
        <v>19057</v>
      </c>
      <c r="N55" s="375"/>
      <c r="O55" s="783">
        <f t="shared" si="8"/>
        <v>19057</v>
      </c>
      <c r="P55" s="7">
        <f>VLOOKUP(H55,Sheet4!A:C,3,0)</f>
        <v>0</v>
      </c>
    </row>
    <row r="56" spans="2:16" s="7" customFormat="1" ht="12" x14ac:dyDescent="0.2">
      <c r="B56" s="259" t="s">
        <v>132</v>
      </c>
      <c r="C56" s="252" t="s">
        <v>245</v>
      </c>
      <c r="D56" s="253" t="s">
        <v>279</v>
      </c>
      <c r="E56" s="254"/>
      <c r="F56" s="227" t="s">
        <v>748</v>
      </c>
      <c r="G56" s="5" t="s">
        <v>154</v>
      </c>
      <c r="H56" s="23" t="s">
        <v>184</v>
      </c>
      <c r="I56" s="375">
        <v>7500</v>
      </c>
      <c r="J56" s="783">
        <f>VLOOKUP(H56,'cognos as of Aug 2'!A:F,6,0)</f>
        <v>7800</v>
      </c>
      <c r="K56" s="375">
        <f>VLOOKUP(H56,'cognos as of Aug 2'!A:G,7,0)</f>
        <v>7800</v>
      </c>
      <c r="L56" s="615">
        <v>300</v>
      </c>
      <c r="M56" s="615">
        <f t="shared" si="11"/>
        <v>7800</v>
      </c>
      <c r="N56" s="375">
        <f>-642/2</f>
        <v>-321</v>
      </c>
      <c r="O56" s="783">
        <f t="shared" si="8"/>
        <v>7479</v>
      </c>
      <c r="P56" s="7">
        <f>VLOOKUP(H56,Sheet4!A:C,3,0)</f>
        <v>0</v>
      </c>
    </row>
    <row r="57" spans="2:16" s="74" customFormat="1" ht="12.75" x14ac:dyDescent="0.2">
      <c r="B57" s="229" t="s">
        <v>132</v>
      </c>
      <c r="C57" s="354" t="s">
        <v>127</v>
      </c>
      <c r="D57" s="234" t="s">
        <v>333</v>
      </c>
      <c r="E57" s="229"/>
      <c r="F57" s="251"/>
      <c r="G57" s="611" t="s">
        <v>154</v>
      </c>
      <c r="H57" s="48" t="s">
        <v>377</v>
      </c>
      <c r="I57" s="375">
        <v>2343</v>
      </c>
      <c r="J57" s="783">
        <f>VLOOKUP(H57,'cognos as of Aug 2'!A:F,6,0)</f>
        <v>2343</v>
      </c>
      <c r="K57" s="375">
        <f>VLOOKUP(H57,'cognos as of Aug 2'!A:G,7,0)</f>
        <v>0</v>
      </c>
      <c r="L57" s="615">
        <v>-2343</v>
      </c>
      <c r="M57" s="615">
        <f t="shared" si="11"/>
        <v>0</v>
      </c>
      <c r="N57" s="375"/>
      <c r="O57" s="783">
        <f t="shared" si="8"/>
        <v>0</v>
      </c>
      <c r="P57" s="7">
        <f>VLOOKUP(H57,Sheet4!A:C,3,0)</f>
        <v>0</v>
      </c>
    </row>
    <row r="58" spans="2:16" s="74" customFormat="1" ht="12.75" x14ac:dyDescent="0.2">
      <c r="B58" s="221" t="s">
        <v>132</v>
      </c>
      <c r="C58" s="277" t="s">
        <v>127</v>
      </c>
      <c r="D58" s="264" t="s">
        <v>334</v>
      </c>
      <c r="E58" s="221"/>
      <c r="F58" s="281"/>
      <c r="G58" s="626" t="s">
        <v>154</v>
      </c>
      <c r="H58" s="29" t="s">
        <v>422</v>
      </c>
      <c r="I58" s="375">
        <v>5670</v>
      </c>
      <c r="J58" s="783">
        <v>5670</v>
      </c>
      <c r="K58" s="375">
        <v>6204.45</v>
      </c>
      <c r="L58" s="615">
        <v>830</v>
      </c>
      <c r="M58" s="615">
        <f t="shared" si="11"/>
        <v>6500</v>
      </c>
      <c r="N58" s="375"/>
      <c r="O58" s="783">
        <f t="shared" si="8"/>
        <v>6500</v>
      </c>
      <c r="P58" s="7">
        <f>VLOOKUP(H58,Sheet4!A:C,3,0)</f>
        <v>0</v>
      </c>
    </row>
    <row r="59" spans="2:16" s="74" customFormat="1" ht="12.75" x14ac:dyDescent="0.2">
      <c r="B59" s="229" t="s">
        <v>132</v>
      </c>
      <c r="C59" s="354" t="s">
        <v>127</v>
      </c>
      <c r="D59" s="234" t="s">
        <v>66</v>
      </c>
      <c r="E59" s="229"/>
      <c r="F59" s="251"/>
      <c r="G59" s="611" t="s">
        <v>154</v>
      </c>
      <c r="H59" s="48" t="s">
        <v>379</v>
      </c>
      <c r="I59" s="375">
        <v>75190</v>
      </c>
      <c r="J59" s="783">
        <f>VLOOKUP(H59,'cognos as of Aug 2'!A:F,6,0)</f>
        <v>76527</v>
      </c>
      <c r="K59" s="375">
        <f>VLOOKUP(H59,'cognos as of Aug 2'!A:G,7,0)</f>
        <v>57394.87</v>
      </c>
      <c r="L59" s="615">
        <v>3501</v>
      </c>
      <c r="M59" s="615">
        <f t="shared" si="11"/>
        <v>78691</v>
      </c>
      <c r="N59" s="375"/>
      <c r="O59" s="783">
        <f t="shared" si="8"/>
        <v>78691</v>
      </c>
      <c r="P59" s="7">
        <f>VLOOKUP(H59,Sheet4!A:C,3,0)</f>
        <v>0</v>
      </c>
    </row>
    <row r="60" spans="2:16" s="74" customFormat="1" ht="12.75" x14ac:dyDescent="0.2">
      <c r="B60" s="384" t="s">
        <v>132</v>
      </c>
      <c r="C60" s="627" t="s">
        <v>127</v>
      </c>
      <c r="D60" s="370" t="s">
        <v>400</v>
      </c>
      <c r="E60" s="384"/>
      <c r="F60" s="628"/>
      <c r="G60" s="629" t="s">
        <v>154</v>
      </c>
      <c r="H60" s="630" t="s">
        <v>380</v>
      </c>
      <c r="I60" s="375">
        <v>11259</v>
      </c>
      <c r="J60" s="783">
        <f>VLOOKUP(H60,'cognos as of Aug 2'!A:F,6,0)</f>
        <v>11259</v>
      </c>
      <c r="K60" s="375">
        <f>VLOOKUP(H60,'cognos as of Aug 2'!A:G,7,0)</f>
        <v>15384</v>
      </c>
      <c r="L60" s="615">
        <v>4350</v>
      </c>
      <c r="M60" s="615">
        <f t="shared" si="11"/>
        <v>15609</v>
      </c>
      <c r="N60" s="375"/>
      <c r="O60" s="783">
        <f t="shared" si="8"/>
        <v>15609</v>
      </c>
      <c r="P60" s="7">
        <f>VLOOKUP(H60,Sheet4!A:C,3,0)</f>
        <v>0</v>
      </c>
    </row>
    <row r="61" spans="2:16" s="7" customFormat="1" ht="12" x14ac:dyDescent="0.2">
      <c r="B61" s="384" t="s">
        <v>264</v>
      </c>
      <c r="C61" s="385" t="s">
        <v>245</v>
      </c>
      <c r="D61" s="386" t="s">
        <v>179</v>
      </c>
      <c r="E61" s="387"/>
      <c r="F61" s="370"/>
      <c r="G61" s="388" t="s">
        <v>153</v>
      </c>
      <c r="H61" s="23" t="s">
        <v>189</v>
      </c>
      <c r="I61" s="375">
        <v>34000</v>
      </c>
      <c r="J61" s="783">
        <f>VLOOKUP(H61,'cognos as of Aug 2'!A:F,6,0)</f>
        <v>34000</v>
      </c>
      <c r="K61" s="375">
        <f>VLOOKUP(H61,'cognos as of Aug 2'!A:G,7,0)</f>
        <v>68000</v>
      </c>
      <c r="L61" s="615"/>
      <c r="M61" s="615">
        <f t="shared" si="11"/>
        <v>34000</v>
      </c>
      <c r="N61" s="375"/>
      <c r="O61" s="783">
        <f t="shared" si="8"/>
        <v>34000</v>
      </c>
      <c r="P61" s="7">
        <f>VLOOKUP(H61,Sheet4!A:C,3,0)</f>
        <v>0</v>
      </c>
    </row>
    <row r="62" spans="2:16" s="7" customFormat="1" ht="12" hidden="1" outlineLevel="1" x14ac:dyDescent="0.2">
      <c r="B62" s="680"/>
      <c r="C62" s="691"/>
      <c r="D62" s="693" t="s">
        <v>313</v>
      </c>
      <c r="E62" s="694"/>
      <c r="F62" s="684"/>
      <c r="G62" s="681"/>
      <c r="H62" s="695" t="s">
        <v>190</v>
      </c>
      <c r="I62" s="375">
        <v>4400</v>
      </c>
      <c r="J62" s="783">
        <f>VLOOKUP(H62,'cognos as of Aug 2'!A:F,6,0)</f>
        <v>4400</v>
      </c>
      <c r="K62" s="375">
        <f>VLOOKUP(H62,'cognos as of Aug 2'!A:G,7,0)</f>
        <v>0</v>
      </c>
      <c r="L62" s="615"/>
      <c r="M62" s="615">
        <f t="shared" si="11"/>
        <v>4400</v>
      </c>
      <c r="N62" s="375"/>
      <c r="O62" s="783">
        <f t="shared" si="8"/>
        <v>4400</v>
      </c>
      <c r="P62" s="7">
        <f>VLOOKUP(H62,Sheet4!A:C,3,0)</f>
        <v>0</v>
      </c>
    </row>
    <row r="63" spans="2:16" s="7" customFormat="1" ht="12" hidden="1" outlineLevel="1" x14ac:dyDescent="0.2">
      <c r="B63" s="680"/>
      <c r="C63" s="691"/>
      <c r="D63" s="693" t="s">
        <v>312</v>
      </c>
      <c r="E63" s="694"/>
      <c r="F63" s="684"/>
      <c r="G63" s="681"/>
      <c r="H63" s="695" t="s">
        <v>310</v>
      </c>
      <c r="I63" s="375">
        <v>0</v>
      </c>
      <c r="J63" s="783">
        <v>0</v>
      </c>
      <c r="K63" s="375">
        <v>0</v>
      </c>
      <c r="L63" s="615"/>
      <c r="M63" s="615">
        <f t="shared" si="11"/>
        <v>0</v>
      </c>
      <c r="N63" s="375"/>
      <c r="O63" s="783">
        <f t="shared" si="8"/>
        <v>0</v>
      </c>
      <c r="P63" s="7">
        <f>VLOOKUP(H63,Sheet4!A:C,3,0)</f>
        <v>0</v>
      </c>
    </row>
    <row r="64" spans="2:16" s="7" customFormat="1" ht="12" hidden="1" outlineLevel="1" x14ac:dyDescent="0.2">
      <c r="B64" s="680"/>
      <c r="C64" s="691"/>
      <c r="D64" s="693" t="s">
        <v>311</v>
      </c>
      <c r="E64" s="694"/>
      <c r="F64" s="684"/>
      <c r="G64" s="681"/>
      <c r="H64" s="695" t="s">
        <v>191</v>
      </c>
      <c r="I64" s="375">
        <v>1100</v>
      </c>
      <c r="J64" s="783">
        <f>VLOOKUP(H64,'cognos as of Aug 2'!A:F,6,0)</f>
        <v>2095</v>
      </c>
      <c r="K64" s="375">
        <f>VLOOKUP(H64,'cognos as of Aug 2'!A:G,7,0)</f>
        <v>2094.69</v>
      </c>
      <c r="L64" s="615"/>
      <c r="M64" s="615">
        <f t="shared" si="11"/>
        <v>1100</v>
      </c>
      <c r="N64" s="375"/>
      <c r="O64" s="783">
        <f t="shared" si="8"/>
        <v>1100</v>
      </c>
      <c r="P64" s="7">
        <f>VLOOKUP(H64,Sheet4!A:C,3,0)</f>
        <v>0</v>
      </c>
    </row>
    <row r="65" spans="2:16" s="7" customFormat="1" ht="12" hidden="1" outlineLevel="1" x14ac:dyDescent="0.2">
      <c r="B65" s="680"/>
      <c r="C65" s="691"/>
      <c r="D65" s="693" t="s">
        <v>296</v>
      </c>
      <c r="E65" s="694"/>
      <c r="F65" s="680"/>
      <c r="G65" s="681"/>
      <c r="H65" s="695" t="s">
        <v>192</v>
      </c>
      <c r="I65" s="375">
        <v>3300</v>
      </c>
      <c r="J65" s="783">
        <f>VLOOKUP(H65,'cognos as of Aug 2'!A:F,6,0)</f>
        <v>2305</v>
      </c>
      <c r="K65" s="375">
        <f>VLOOKUP(H65,'cognos as of Aug 2'!A:G,7,0)</f>
        <v>1200</v>
      </c>
      <c r="L65" s="615"/>
      <c r="M65" s="615">
        <f t="shared" si="11"/>
        <v>3300</v>
      </c>
      <c r="N65" s="375"/>
      <c r="O65" s="783"/>
      <c r="P65" s="7">
        <f>VLOOKUP(H65,Sheet4!A:C,3,0)</f>
        <v>0</v>
      </c>
    </row>
    <row r="66" spans="2:16" s="631" customFormat="1" ht="12.75" collapsed="1" thickBot="1" x14ac:dyDescent="0.25">
      <c r="B66" s="645" t="s">
        <v>429</v>
      </c>
      <c r="C66" s="646" t="s">
        <v>245</v>
      </c>
      <c r="D66" s="641" t="s">
        <v>409</v>
      </c>
      <c r="E66" s="642"/>
      <c r="F66" s="623"/>
      <c r="G66" s="647" t="s">
        <v>163</v>
      </c>
      <c r="H66" s="669" t="s">
        <v>428</v>
      </c>
      <c r="I66" s="674">
        <v>8800</v>
      </c>
      <c r="J66" s="828">
        <f>SUM(J62:J65)</f>
        <v>8800</v>
      </c>
      <c r="K66" s="674">
        <f t="shared" ref="K66:L66" si="12">SUM(K62:K65)</f>
        <v>3294.69</v>
      </c>
      <c r="L66" s="726">
        <f t="shared" si="12"/>
        <v>0</v>
      </c>
      <c r="M66" s="726">
        <f t="shared" si="11"/>
        <v>8800</v>
      </c>
      <c r="N66" s="674"/>
      <c r="O66" s="828">
        <f t="shared" si="8"/>
        <v>8800</v>
      </c>
      <c r="P66" s="7"/>
    </row>
    <row r="67" spans="2:16" s="74" customFormat="1" ht="13.5" thickBot="1" x14ac:dyDescent="0.25">
      <c r="B67" s="120"/>
      <c r="C67" s="121"/>
      <c r="D67" s="122"/>
      <c r="E67" s="122"/>
      <c r="F67" s="122"/>
      <c r="G67" s="122"/>
      <c r="H67" s="123" t="s">
        <v>208</v>
      </c>
      <c r="I67" s="125">
        <v>935504</v>
      </c>
      <c r="J67" s="621">
        <f>SUM(J39,J43,J44:J61,J66)</f>
        <v>937141</v>
      </c>
      <c r="K67" s="621">
        <f>SUM(K39,K43,K44:K61,K66)</f>
        <v>936155.64999999979</v>
      </c>
      <c r="L67" s="621">
        <f>SUM(L39,L43,L44:L61,L66)</f>
        <v>49839</v>
      </c>
      <c r="M67" s="829">
        <f>SUM(M39,M43:M61,M66)</f>
        <v>985343</v>
      </c>
      <c r="N67" s="829">
        <f>SUM(N39,N43:N61,N66)</f>
        <v>24026</v>
      </c>
      <c r="O67" s="829">
        <f>SUM(O39,O43:O61,O66)</f>
        <v>1009369</v>
      </c>
      <c r="P67" s="7"/>
    </row>
    <row r="68" spans="2:16" ht="15.75" customHeight="1" x14ac:dyDescent="0.2">
      <c r="I68" s="359"/>
      <c r="L68" s="7"/>
      <c r="M68" s="826">
        <f>SUM(I67,L67)</f>
        <v>985343</v>
      </c>
      <c r="N68"/>
      <c r="P68" s="7"/>
    </row>
    <row r="69" spans="2:16" ht="15.75" thickBot="1" x14ac:dyDescent="0.25">
      <c r="B69" s="141" t="s">
        <v>134</v>
      </c>
      <c r="I69" s="359"/>
      <c r="L69" s="7"/>
      <c r="M69" s="600"/>
      <c r="N69" s="824"/>
      <c r="P69" s="7"/>
    </row>
    <row r="70" spans="2:16" ht="12.75" x14ac:dyDescent="0.2">
      <c r="B70" s="79" t="s">
        <v>118</v>
      </c>
      <c r="C70" s="80"/>
      <c r="D70" s="138"/>
      <c r="E70" s="81"/>
      <c r="F70" s="80"/>
      <c r="G70" s="80"/>
      <c r="H70" s="80"/>
      <c r="I70" s="739" t="s">
        <v>58</v>
      </c>
      <c r="J70" s="609">
        <v>0.91666666666666663</v>
      </c>
      <c r="K70" s="84" t="s">
        <v>123</v>
      </c>
      <c r="L70" s="85" t="s">
        <v>121</v>
      </c>
      <c r="M70" s="729" t="s">
        <v>406</v>
      </c>
      <c r="N70" s="796" t="s">
        <v>121</v>
      </c>
      <c r="O70" s="729" t="s">
        <v>406</v>
      </c>
      <c r="P70" s="7"/>
    </row>
    <row r="71" spans="2:16" s="74" customFormat="1" ht="13.5" thickBot="1" x14ac:dyDescent="0.25">
      <c r="B71" s="87" t="s">
        <v>148</v>
      </c>
      <c r="C71" s="88" t="s">
        <v>125</v>
      </c>
      <c r="D71" s="139" t="s">
        <v>61</v>
      </c>
      <c r="E71" s="88"/>
      <c r="F71" s="88" t="s">
        <v>147</v>
      </c>
      <c r="G71" s="88" t="s">
        <v>149</v>
      </c>
      <c r="H71" s="88" t="s">
        <v>62</v>
      </c>
      <c r="I71" s="740" t="s">
        <v>120</v>
      </c>
      <c r="J71" s="610" t="s">
        <v>272</v>
      </c>
      <c r="K71" s="91" t="s">
        <v>755</v>
      </c>
      <c r="L71" s="92" t="s">
        <v>122</v>
      </c>
      <c r="M71" s="88" t="s">
        <v>59</v>
      </c>
      <c r="N71" s="88" t="s">
        <v>122</v>
      </c>
      <c r="O71" s="88" t="s">
        <v>120</v>
      </c>
      <c r="P71" s="7"/>
    </row>
    <row r="72" spans="2:16" s="74" customFormat="1" ht="12.75" x14ac:dyDescent="0.2">
      <c r="B72" s="800" t="s">
        <v>128</v>
      </c>
      <c r="C72" s="801" t="s">
        <v>161</v>
      </c>
      <c r="D72" s="802" t="s">
        <v>64</v>
      </c>
      <c r="E72" s="800"/>
      <c r="F72" s="800"/>
      <c r="G72" s="803" t="s">
        <v>163</v>
      </c>
      <c r="H72" s="804" t="s">
        <v>19</v>
      </c>
      <c r="I72" s="375">
        <v>4500</v>
      </c>
      <c r="J72" s="783">
        <v>4500</v>
      </c>
      <c r="K72" s="375">
        <f>VLOOKUP(H72,'cognos as of Aug 2'!A:G,7,0)-K73</f>
        <v>3723.2199999999993</v>
      </c>
      <c r="L72" s="615"/>
      <c r="M72" s="615">
        <f t="shared" ref="M72:M111" si="13">SUM(I72+L72)</f>
        <v>4500</v>
      </c>
      <c r="N72" s="375"/>
      <c r="O72" s="783">
        <f t="shared" ref="O72:O134" si="14">M72+N72</f>
        <v>4500</v>
      </c>
      <c r="P72" s="7" t="str">
        <f>VLOOKUP(H72,Sheet4!A:C,3,0)</f>
        <v xml:space="preserve">multiple </v>
      </c>
    </row>
    <row r="73" spans="2:16" s="74" customFormat="1" ht="12.75" x14ac:dyDescent="0.2">
      <c r="B73" s="490" t="s">
        <v>128</v>
      </c>
      <c r="C73" s="805" t="s">
        <v>161</v>
      </c>
      <c r="D73" s="261" t="s">
        <v>63</v>
      </c>
      <c r="E73" s="490"/>
      <c r="F73" s="490"/>
      <c r="G73" s="46" t="s">
        <v>176</v>
      </c>
      <c r="H73" s="40" t="s">
        <v>19</v>
      </c>
      <c r="I73" s="375">
        <v>5000</v>
      </c>
      <c r="J73" s="783">
        <v>5000</v>
      </c>
      <c r="K73" s="375">
        <v>4254.47</v>
      </c>
      <c r="L73" s="615"/>
      <c r="M73" s="615">
        <f t="shared" si="13"/>
        <v>5000</v>
      </c>
      <c r="N73" s="375"/>
      <c r="O73" s="783">
        <f t="shared" si="14"/>
        <v>5000</v>
      </c>
      <c r="P73" s="7" t="str">
        <f>VLOOKUP(H73,Sheet4!A:C,3,0)</f>
        <v xml:space="preserve">multiple </v>
      </c>
    </row>
    <row r="74" spans="2:16" s="74" customFormat="1" ht="12.75" x14ac:dyDescent="0.2">
      <c r="B74" s="229" t="s">
        <v>128</v>
      </c>
      <c r="C74" s="271" t="s">
        <v>161</v>
      </c>
      <c r="D74" s="234" t="s">
        <v>151</v>
      </c>
      <c r="E74" s="229"/>
      <c r="F74" s="229" t="s">
        <v>754</v>
      </c>
      <c r="G74" s="49" t="s">
        <v>150</v>
      </c>
      <c r="H74" s="48" t="s">
        <v>14</v>
      </c>
      <c r="I74" s="375">
        <v>50694</v>
      </c>
      <c r="J74" s="783">
        <f>VLOOKUP(H74,'cognos as of Aug 2'!A:F,6,0)</f>
        <v>47825</v>
      </c>
      <c r="K74" s="375">
        <f>VLOOKUP(H74,'cognos as of Aug 2'!A:G,7,0)</f>
        <v>47825</v>
      </c>
      <c r="L74" s="615">
        <v>-50694</v>
      </c>
      <c r="M74" s="615">
        <f t="shared" si="13"/>
        <v>0</v>
      </c>
      <c r="N74" s="375">
        <v>47825</v>
      </c>
      <c r="O74" s="783">
        <f t="shared" si="14"/>
        <v>47825</v>
      </c>
      <c r="P74" s="7">
        <f>VLOOKUP(H74,Sheet4!A:C,3,0)</f>
        <v>0</v>
      </c>
    </row>
    <row r="75" spans="2:16" s="153" customFormat="1" ht="12.75" x14ac:dyDescent="0.2">
      <c r="B75" s="221" t="s">
        <v>128</v>
      </c>
      <c r="C75" s="263" t="s">
        <v>161</v>
      </c>
      <c r="D75" s="264" t="s">
        <v>430</v>
      </c>
      <c r="E75" s="221"/>
      <c r="F75" s="221"/>
      <c r="G75" s="17" t="s">
        <v>150</v>
      </c>
      <c r="H75" s="29" t="s">
        <v>15</v>
      </c>
      <c r="I75" s="375">
        <v>196910</v>
      </c>
      <c r="J75" s="783">
        <f>VLOOKUP(H75,'cognos as of Aug 2'!A:F,6,0)</f>
        <v>193709</v>
      </c>
      <c r="K75" s="375">
        <f>VLOOKUP(H75,'cognos as of Aug 2'!A:G,7,0)</f>
        <v>193708.68</v>
      </c>
      <c r="L75" s="615"/>
      <c r="M75" s="615">
        <f t="shared" si="13"/>
        <v>196910</v>
      </c>
      <c r="N75" s="375"/>
      <c r="O75" s="783">
        <f t="shared" si="14"/>
        <v>196910</v>
      </c>
      <c r="P75" s="7">
        <f>VLOOKUP(H75,Sheet4!A:C,3,0)</f>
        <v>0</v>
      </c>
    </row>
    <row r="76" spans="2:16" s="74" customFormat="1" ht="12.75" hidden="1" outlineLevel="1" x14ac:dyDescent="0.2">
      <c r="B76" s="689"/>
      <c r="C76" s="696"/>
      <c r="D76" s="697" t="s">
        <v>256</v>
      </c>
      <c r="E76" s="698"/>
      <c r="F76" s="689"/>
      <c r="G76" s="677"/>
      <c r="H76" s="699" t="s">
        <v>9</v>
      </c>
      <c r="I76" s="375">
        <v>677482</v>
      </c>
      <c r="J76" s="783">
        <f>VLOOKUP(H76,'cognos as of Aug 2'!A:F,6,0)</f>
        <v>566528</v>
      </c>
      <c r="K76" s="375">
        <f>VLOOKUP(H76,'cognos as of Aug 2'!A:G,7,0)</f>
        <v>628312.12</v>
      </c>
      <c r="L76" s="615"/>
      <c r="M76" s="615">
        <f t="shared" si="13"/>
        <v>677482</v>
      </c>
      <c r="N76" s="375">
        <v>-50000</v>
      </c>
      <c r="O76" s="783">
        <f t="shared" si="14"/>
        <v>627482</v>
      </c>
      <c r="P76" s="7">
        <f>VLOOKUP(H76,Sheet4!A:C,3,0)</f>
        <v>0</v>
      </c>
    </row>
    <row r="77" spans="2:16" s="74" customFormat="1" ht="12.75" hidden="1" outlineLevel="1" x14ac:dyDescent="0.2">
      <c r="B77" s="689"/>
      <c r="C77" s="696"/>
      <c r="D77" s="697" t="s">
        <v>257</v>
      </c>
      <c r="E77" s="698"/>
      <c r="F77" s="700"/>
      <c r="G77" s="701"/>
      <c r="H77" s="702" t="s">
        <v>10</v>
      </c>
      <c r="I77" s="375">
        <v>121560</v>
      </c>
      <c r="J77" s="783">
        <f>VLOOKUP(H77,'cognos as of Aug 2'!A:F,6,0)</f>
        <v>176301</v>
      </c>
      <c r="K77" s="375">
        <f>VLOOKUP(H77,'cognos as of Aug 2'!A:G,7,0)</f>
        <v>175141.63</v>
      </c>
      <c r="L77" s="615"/>
      <c r="M77" s="615">
        <f t="shared" si="13"/>
        <v>121560</v>
      </c>
      <c r="N77" s="375"/>
      <c r="O77" s="783">
        <f t="shared" si="14"/>
        <v>121560</v>
      </c>
      <c r="P77" s="7">
        <f>VLOOKUP(H77,Sheet4!A:C,3,0)</f>
        <v>0</v>
      </c>
    </row>
    <row r="78" spans="2:16" s="74" customFormat="1" ht="12.75" hidden="1" outlineLevel="1" x14ac:dyDescent="0.2">
      <c r="B78" s="689"/>
      <c r="C78" s="696"/>
      <c r="D78" s="697" t="s">
        <v>258</v>
      </c>
      <c r="E78" s="698"/>
      <c r="F78" s="700"/>
      <c r="G78" s="701"/>
      <c r="H78" s="702" t="s">
        <v>11</v>
      </c>
      <c r="I78" s="375">
        <v>30757.5</v>
      </c>
      <c r="J78" s="783">
        <f>VLOOKUP(H78,'cognos as of Aug 2'!A:F,6,0)</f>
        <v>30758</v>
      </c>
      <c r="K78" s="375">
        <f>VLOOKUP(H78,'cognos as of Aug 2'!A:G,7,0)</f>
        <v>24849.29</v>
      </c>
      <c r="L78" s="615"/>
      <c r="M78" s="615">
        <f t="shared" si="13"/>
        <v>30757.5</v>
      </c>
      <c r="N78" s="375"/>
      <c r="O78" s="783">
        <f t="shared" si="14"/>
        <v>30757.5</v>
      </c>
      <c r="P78" s="7">
        <f>VLOOKUP(H78,Sheet4!A:C,3,0)</f>
        <v>0</v>
      </c>
    </row>
    <row r="79" spans="2:16" s="74" customFormat="1" ht="12.75" hidden="1" outlineLevel="1" x14ac:dyDescent="0.2">
      <c r="B79" s="689"/>
      <c r="C79" s="696"/>
      <c r="D79" s="697" t="s">
        <v>259</v>
      </c>
      <c r="E79" s="698"/>
      <c r="F79" s="700"/>
      <c r="G79" s="701"/>
      <c r="H79" s="702" t="s">
        <v>12</v>
      </c>
      <c r="I79" s="375">
        <v>55236</v>
      </c>
      <c r="J79" s="783">
        <f>VLOOKUP(H79,'cognos as of Aug 2'!A:F,6,0)</f>
        <v>63357</v>
      </c>
      <c r="K79" s="375">
        <f>VLOOKUP(H79,'cognos as of Aug 2'!A:G,7,0)</f>
        <v>79920.509999999995</v>
      </c>
      <c r="L79" s="615"/>
      <c r="M79" s="615">
        <f t="shared" si="13"/>
        <v>55236</v>
      </c>
      <c r="N79" s="375"/>
      <c r="O79" s="783">
        <f t="shared" si="14"/>
        <v>55236</v>
      </c>
      <c r="P79" s="7">
        <f>VLOOKUP(H79,Sheet4!A:C,3,0)</f>
        <v>0</v>
      </c>
    </row>
    <row r="80" spans="2:16" s="74" customFormat="1" ht="12.75" hidden="1" outlineLevel="1" x14ac:dyDescent="0.2">
      <c r="B80" s="703"/>
      <c r="C80" s="704"/>
      <c r="D80" s="697" t="s">
        <v>260</v>
      </c>
      <c r="E80" s="698"/>
      <c r="F80" s="700"/>
      <c r="G80" s="701"/>
      <c r="H80" s="702" t="s">
        <v>13</v>
      </c>
      <c r="I80" s="375">
        <v>14964</v>
      </c>
      <c r="J80" s="783">
        <f>VLOOKUP(H80,'cognos as of Aug 2'!A:F,6,0)</f>
        <v>23079</v>
      </c>
      <c r="K80" s="375">
        <f>VLOOKUP(H80,'cognos as of Aug 2'!A:G,7,0)</f>
        <v>25640.17</v>
      </c>
      <c r="L80" s="615"/>
      <c r="M80" s="615">
        <f t="shared" si="13"/>
        <v>14964</v>
      </c>
      <c r="N80" s="375"/>
      <c r="O80" s="783">
        <f t="shared" si="14"/>
        <v>14964</v>
      </c>
      <c r="P80" s="7">
        <f>VLOOKUP(H80,Sheet4!A:C,3,0)</f>
        <v>0</v>
      </c>
    </row>
    <row r="81" spans="1:16" s="446" customFormat="1" ht="12.75" collapsed="1" x14ac:dyDescent="0.2">
      <c r="B81" s="622" t="s">
        <v>128</v>
      </c>
      <c r="C81" s="670" t="s">
        <v>161</v>
      </c>
      <c r="D81" s="635" t="s">
        <v>65</v>
      </c>
      <c r="E81" s="622"/>
      <c r="F81" s="622"/>
      <c r="G81" s="671" t="s">
        <v>167</v>
      </c>
      <c r="H81" s="669" t="s">
        <v>428</v>
      </c>
      <c r="I81" s="674">
        <v>899999.5</v>
      </c>
      <c r="J81" s="828">
        <f>SUM(J76:J80)</f>
        <v>860023</v>
      </c>
      <c r="K81" s="674">
        <f t="shared" ref="K81:L81" si="15">SUM(K76:K80)</f>
        <v>933863.72000000009</v>
      </c>
      <c r="L81" s="726">
        <f t="shared" si="15"/>
        <v>0</v>
      </c>
      <c r="M81" s="726">
        <f t="shared" si="13"/>
        <v>899999.5</v>
      </c>
      <c r="N81" s="674">
        <f>SUM(N76:N80)</f>
        <v>-50000</v>
      </c>
      <c r="O81" s="828">
        <f t="shared" si="14"/>
        <v>849999.5</v>
      </c>
      <c r="P81" s="7" t="e">
        <f>VLOOKUP(H81,Sheet4!A:C,3,0)</f>
        <v>#N/A</v>
      </c>
    </row>
    <row r="82" spans="1:16" s="74" customFormat="1" ht="12.75" hidden="1" outlineLevel="1" x14ac:dyDescent="0.2">
      <c r="B82" s="705"/>
      <c r="C82" s="696"/>
      <c r="D82" s="697" t="s">
        <v>251</v>
      </c>
      <c r="E82" s="698"/>
      <c r="F82" s="689"/>
      <c r="G82" s="677"/>
      <c r="H82" s="699" t="s">
        <v>4</v>
      </c>
      <c r="I82" s="674">
        <v>706962.73</v>
      </c>
      <c r="J82" s="828">
        <f>VLOOKUP(H82,'cognos as of Aug 2'!A:F,6,0)</f>
        <v>579822</v>
      </c>
      <c r="K82" s="674">
        <f>VLOOKUP(H82,'cognos as of Aug 2'!A:G,7,0)</f>
        <v>617431.16</v>
      </c>
      <c r="L82" s="726"/>
      <c r="M82" s="726">
        <f t="shared" si="13"/>
        <v>706962.73</v>
      </c>
      <c r="N82" s="674">
        <v>-100000</v>
      </c>
      <c r="O82" s="828">
        <f t="shared" si="14"/>
        <v>606962.73</v>
      </c>
      <c r="P82" s="7">
        <f>VLOOKUP(H82,Sheet4!A:C,3,0)</f>
        <v>0</v>
      </c>
    </row>
    <row r="83" spans="1:16" s="74" customFormat="1" ht="12.75" hidden="1" outlineLevel="1" x14ac:dyDescent="0.2">
      <c r="B83" s="706"/>
      <c r="C83" s="696"/>
      <c r="D83" s="697" t="s">
        <v>252</v>
      </c>
      <c r="E83" s="698"/>
      <c r="F83" s="700"/>
      <c r="G83" s="701"/>
      <c r="H83" s="702" t="s">
        <v>5</v>
      </c>
      <c r="I83" s="674">
        <v>159484.5</v>
      </c>
      <c r="J83" s="828">
        <f>VLOOKUP(H83,'cognos as of Aug 2'!A:F,6,0)</f>
        <v>137314</v>
      </c>
      <c r="K83" s="674">
        <f>VLOOKUP(H83,'cognos as of Aug 2'!A:G,7,0)</f>
        <v>131942.06</v>
      </c>
      <c r="L83" s="726"/>
      <c r="M83" s="726">
        <f t="shared" si="13"/>
        <v>159484.5</v>
      </c>
      <c r="N83" s="674"/>
      <c r="O83" s="828">
        <f t="shared" si="14"/>
        <v>159484.5</v>
      </c>
      <c r="P83" s="7">
        <f>VLOOKUP(H83,Sheet4!A:C,3,0)</f>
        <v>0</v>
      </c>
    </row>
    <row r="84" spans="1:16" s="74" customFormat="1" ht="12.75" hidden="1" outlineLevel="1" x14ac:dyDescent="0.2">
      <c r="B84" s="706"/>
      <c r="C84" s="696"/>
      <c r="D84" s="697" t="s">
        <v>253</v>
      </c>
      <c r="E84" s="698"/>
      <c r="F84" s="700"/>
      <c r="G84" s="701"/>
      <c r="H84" s="702" t="s">
        <v>6</v>
      </c>
      <c r="I84" s="674">
        <v>21421.32</v>
      </c>
      <c r="J84" s="828">
        <f>VLOOKUP(H84,'cognos as of Aug 2'!A:F,6,0)</f>
        <v>21421</v>
      </c>
      <c r="K84" s="674">
        <f>VLOOKUP(H84,'cognos as of Aug 2'!A:G,7,0)</f>
        <v>21590.93</v>
      </c>
      <c r="L84" s="726"/>
      <c r="M84" s="726">
        <f t="shared" si="13"/>
        <v>21421.32</v>
      </c>
      <c r="N84" s="674"/>
      <c r="O84" s="828">
        <f t="shared" si="14"/>
        <v>21421.32</v>
      </c>
      <c r="P84" s="7">
        <f>VLOOKUP(H84,Sheet4!A:C,3,0)</f>
        <v>0</v>
      </c>
    </row>
    <row r="85" spans="1:16" s="74" customFormat="1" ht="12.75" hidden="1" outlineLevel="1" x14ac:dyDescent="0.2">
      <c r="B85" s="706"/>
      <c r="C85" s="696"/>
      <c r="D85" s="697" t="s">
        <v>254</v>
      </c>
      <c r="E85" s="698"/>
      <c r="F85" s="700"/>
      <c r="G85" s="701"/>
      <c r="H85" s="702" t="s">
        <v>7</v>
      </c>
      <c r="I85" s="674">
        <v>137895.45000000001</v>
      </c>
      <c r="J85" s="828">
        <f>VLOOKUP(H85,'cognos as of Aug 2'!A:F,6,0)</f>
        <v>143895</v>
      </c>
      <c r="K85" s="674">
        <f>VLOOKUP(H85,'cognos as of Aug 2'!A:G,7,0)</f>
        <v>166197.51999999999</v>
      </c>
      <c r="L85" s="726"/>
      <c r="M85" s="726">
        <f t="shared" si="13"/>
        <v>137895.45000000001</v>
      </c>
      <c r="N85" s="674"/>
      <c r="O85" s="828">
        <f t="shared" si="14"/>
        <v>137895.45000000001</v>
      </c>
      <c r="P85" s="7">
        <f>VLOOKUP(H85,Sheet4!A:C,3,0)</f>
        <v>0</v>
      </c>
    </row>
    <row r="86" spans="1:16" s="74" customFormat="1" ht="12.75" hidden="1" outlineLevel="1" x14ac:dyDescent="0.2">
      <c r="B86" s="707"/>
      <c r="C86" s="696"/>
      <c r="D86" s="697" t="s">
        <v>255</v>
      </c>
      <c r="E86" s="698" t="s">
        <v>162</v>
      </c>
      <c r="F86" s="700"/>
      <c r="G86" s="701"/>
      <c r="H86" s="702" t="s">
        <v>8</v>
      </c>
      <c r="I86" s="674">
        <v>74236</v>
      </c>
      <c r="J86" s="828">
        <f>VLOOKUP(H86,'cognos as of Aug 2'!A:F,6,0)</f>
        <v>47707</v>
      </c>
      <c r="K86" s="674">
        <f>VLOOKUP(H86,'cognos as of Aug 2'!A:G,7,0)</f>
        <v>47706.54</v>
      </c>
      <c r="L86" s="726"/>
      <c r="M86" s="726">
        <f t="shared" si="13"/>
        <v>74236</v>
      </c>
      <c r="N86" s="674"/>
      <c r="O86" s="828">
        <f t="shared" si="14"/>
        <v>74236</v>
      </c>
      <c r="P86" s="7">
        <f>VLOOKUP(H86,Sheet4!A:C,3,0)</f>
        <v>0</v>
      </c>
    </row>
    <row r="87" spans="1:16" s="446" customFormat="1" ht="12.75" collapsed="1" x14ac:dyDescent="0.2">
      <c r="B87" s="622" t="s">
        <v>128</v>
      </c>
      <c r="C87" s="667" t="s">
        <v>161</v>
      </c>
      <c r="D87" s="668" t="s">
        <v>225</v>
      </c>
      <c r="E87" s="622"/>
      <c r="F87" s="639"/>
      <c r="G87" s="647" t="s">
        <v>167</v>
      </c>
      <c r="H87" s="669" t="s">
        <v>428</v>
      </c>
      <c r="I87" s="674">
        <v>1100000</v>
      </c>
      <c r="J87" s="828">
        <f>SUM(J82:J86)</f>
        <v>930159</v>
      </c>
      <c r="K87" s="674">
        <f t="shared" ref="K87:L87" si="16">SUM(K82:K86)</f>
        <v>984868.21000000008</v>
      </c>
      <c r="L87" s="726">
        <f t="shared" si="16"/>
        <v>0</v>
      </c>
      <c r="M87" s="726">
        <f t="shared" si="13"/>
        <v>1100000</v>
      </c>
      <c r="N87" s="674">
        <f>SUM(N82:N86)</f>
        <v>-100000</v>
      </c>
      <c r="O87" s="828">
        <f t="shared" si="14"/>
        <v>1000000</v>
      </c>
      <c r="P87" s="7" t="e">
        <f>VLOOKUP(H87,Sheet4!A:C,3,0)</f>
        <v>#N/A</v>
      </c>
    </row>
    <row r="88" spans="1:16" s="74" customFormat="1" ht="12.75" x14ac:dyDescent="0.2">
      <c r="B88" s="227" t="s">
        <v>128</v>
      </c>
      <c r="C88" s="798"/>
      <c r="D88" s="836" t="s">
        <v>768</v>
      </c>
      <c r="E88" s="227"/>
      <c r="F88" s="227"/>
      <c r="G88" s="34" t="s">
        <v>770</v>
      </c>
      <c r="H88" s="41" t="s">
        <v>769</v>
      </c>
      <c r="I88" s="375"/>
      <c r="J88" s="783"/>
      <c r="K88" s="375"/>
      <c r="L88" s="615"/>
      <c r="M88" s="615">
        <v>0</v>
      </c>
      <c r="N88" s="375">
        <v>150000</v>
      </c>
      <c r="O88" s="783">
        <f t="shared" si="14"/>
        <v>150000</v>
      </c>
      <c r="P88" s="7"/>
    </row>
    <row r="89" spans="1:16" s="74" customFormat="1" ht="12.75" x14ac:dyDescent="0.2">
      <c r="B89" s="221" t="s">
        <v>128</v>
      </c>
      <c r="C89" s="277" t="s">
        <v>161</v>
      </c>
      <c r="D89" s="370" t="s">
        <v>350</v>
      </c>
      <c r="E89" s="221"/>
      <c r="F89" s="221"/>
      <c r="G89" s="17" t="s">
        <v>150</v>
      </c>
      <c r="H89" s="29" t="s">
        <v>16</v>
      </c>
      <c r="I89" s="375">
        <v>341575</v>
      </c>
      <c r="J89" s="783">
        <f>VLOOKUP(H89,'cognos as of Aug 2'!A:F,6,0)</f>
        <v>398419</v>
      </c>
      <c r="K89" s="375">
        <f>VLOOKUP(H89,'cognos as of Aug 2'!A:G,7,0)</f>
        <v>398419</v>
      </c>
      <c r="L89" s="615">
        <v>56844</v>
      </c>
      <c r="M89" s="615">
        <f t="shared" si="13"/>
        <v>398419</v>
      </c>
      <c r="N89" s="375"/>
      <c r="O89" s="783">
        <f t="shared" si="14"/>
        <v>398419</v>
      </c>
      <c r="P89" s="7">
        <f>VLOOKUP(H89,Sheet4!A:C,3,0)</f>
        <v>0</v>
      </c>
    </row>
    <row r="90" spans="1:16" s="74" customFormat="1" ht="12.75" x14ac:dyDescent="0.2">
      <c r="B90" s="227" t="s">
        <v>128</v>
      </c>
      <c r="C90" s="292"/>
      <c r="D90" s="370" t="s">
        <v>394</v>
      </c>
      <c r="E90" s="227"/>
      <c r="F90" s="227"/>
      <c r="G90" s="34" t="s">
        <v>167</v>
      </c>
      <c r="H90" s="41" t="s">
        <v>424</v>
      </c>
      <c r="I90" s="375"/>
      <c r="J90" s="783"/>
      <c r="K90" s="375"/>
      <c r="L90" s="615">
        <v>15480</v>
      </c>
      <c r="M90" s="615">
        <f t="shared" si="13"/>
        <v>15480</v>
      </c>
      <c r="N90" s="375"/>
      <c r="O90" s="783">
        <f t="shared" si="14"/>
        <v>15480</v>
      </c>
      <c r="P90" s="7">
        <f>VLOOKUP(H90,Sheet4!A:C,3,0)</f>
        <v>0</v>
      </c>
    </row>
    <row r="91" spans="1:16" s="74" customFormat="1" ht="12.75" x14ac:dyDescent="0.2">
      <c r="A91" s="74" t="s">
        <v>303</v>
      </c>
      <c r="B91" s="283" t="s">
        <v>1</v>
      </c>
      <c r="C91" s="284" t="s">
        <v>161</v>
      </c>
      <c r="D91" s="283" t="s">
        <v>758</v>
      </c>
      <c r="E91" s="229"/>
      <c r="F91" s="6" t="s">
        <v>749</v>
      </c>
      <c r="G91" s="5" t="s">
        <v>153</v>
      </c>
      <c r="H91" s="32" t="s">
        <v>0</v>
      </c>
      <c r="I91" s="375">
        <v>180475</v>
      </c>
      <c r="J91" s="783">
        <f>VLOOKUP(H91,'cognos as of Aug 2'!A:F,6,0)</f>
        <v>180475</v>
      </c>
      <c r="K91" s="375">
        <f>VLOOKUP(H91,'cognos as of Aug 2'!A:G,7,0)</f>
        <v>718054</v>
      </c>
      <c r="L91" s="615">
        <v>180475</v>
      </c>
      <c r="M91" s="615">
        <f t="shared" si="13"/>
        <v>360950</v>
      </c>
      <c r="N91" s="375">
        <f>190925-360950</f>
        <v>-170025</v>
      </c>
      <c r="O91" s="783">
        <f t="shared" si="14"/>
        <v>190925</v>
      </c>
      <c r="P91" s="7">
        <f>VLOOKUP(H91,Sheet4!A:C,3,0)</f>
        <v>0</v>
      </c>
    </row>
    <row r="92" spans="1:16" s="74" customFormat="1" ht="12.75" x14ac:dyDescent="0.2">
      <c r="A92" s="74" t="s">
        <v>303</v>
      </c>
      <c r="B92" s="259" t="s">
        <v>128</v>
      </c>
      <c r="C92" s="285" t="s">
        <v>160</v>
      </c>
      <c r="D92" s="259" t="s">
        <v>388</v>
      </c>
      <c r="E92" s="259"/>
      <c r="F92" s="259"/>
      <c r="G92" s="33" t="s">
        <v>165</v>
      </c>
      <c r="H92" s="49" t="s">
        <v>385</v>
      </c>
      <c r="I92" s="375">
        <v>40000</v>
      </c>
      <c r="J92" s="783">
        <f>VLOOKUP(H92,'cognos as of Aug 2'!A:F,6,0)+3000</f>
        <v>40000</v>
      </c>
      <c r="K92" s="375">
        <f>SUM('cognos as of Aug 2'!G142:G145)</f>
        <v>29176.71</v>
      </c>
      <c r="L92" s="615"/>
      <c r="M92" s="615">
        <f t="shared" si="13"/>
        <v>40000</v>
      </c>
      <c r="N92" s="375"/>
      <c r="O92" s="783">
        <f t="shared" si="14"/>
        <v>40000</v>
      </c>
      <c r="P92" s="7">
        <f>VLOOKUP(H92,Sheet4!A:C,3,0)</f>
        <v>0</v>
      </c>
    </row>
    <row r="93" spans="1:16" s="74" customFormat="1" ht="12.75" hidden="1" outlineLevel="1" x14ac:dyDescent="0.2">
      <c r="A93" s="74" t="s">
        <v>303</v>
      </c>
      <c r="B93" s="708"/>
      <c r="C93" s="709"/>
      <c r="D93" s="708" t="s">
        <v>74</v>
      </c>
      <c r="E93" s="708"/>
      <c r="F93" s="708" t="s">
        <v>22</v>
      </c>
      <c r="G93" s="710"/>
      <c r="H93" s="710" t="s">
        <v>21</v>
      </c>
      <c r="I93" s="375">
        <v>0</v>
      </c>
      <c r="J93" s="783">
        <v>0</v>
      </c>
      <c r="K93" s="375">
        <f>VLOOKUP(H93,'cognos as of Aug 2'!A:G,7,0)</f>
        <v>-231</v>
      </c>
      <c r="L93" s="615"/>
      <c r="M93" s="615">
        <f t="shared" si="13"/>
        <v>0</v>
      </c>
      <c r="N93" s="375"/>
      <c r="O93" s="783">
        <f t="shared" si="14"/>
        <v>0</v>
      </c>
      <c r="P93" s="7">
        <f>VLOOKUP(H93,Sheet4!A:C,3,0)</f>
        <v>0</v>
      </c>
    </row>
    <row r="94" spans="1:16" s="74" customFormat="1" ht="12.75" hidden="1" outlineLevel="1" x14ac:dyDescent="0.2">
      <c r="A94" s="74" t="s">
        <v>303</v>
      </c>
      <c r="B94" s="689"/>
      <c r="C94" s="711"/>
      <c r="D94" s="689" t="s">
        <v>74</v>
      </c>
      <c r="E94" s="689"/>
      <c r="F94" s="689" t="s">
        <v>140</v>
      </c>
      <c r="G94" s="677"/>
      <c r="H94" s="677" t="s">
        <v>137</v>
      </c>
      <c r="I94" s="375">
        <v>15000</v>
      </c>
      <c r="J94" s="783">
        <f>VLOOKUP(H94,'cognos as of Aug 2'!A:F,6,0)</f>
        <v>19496</v>
      </c>
      <c r="K94" s="375">
        <f>VLOOKUP(H94,'cognos as of Aug 2'!A:G,7,0)</f>
        <v>24334.26</v>
      </c>
      <c r="L94" s="615"/>
      <c r="M94" s="615">
        <f t="shared" si="13"/>
        <v>15000</v>
      </c>
      <c r="N94" s="375"/>
      <c r="O94" s="783">
        <f t="shared" si="14"/>
        <v>15000</v>
      </c>
      <c r="P94" s="7">
        <f>VLOOKUP(H94,Sheet4!A:C,3,0)</f>
        <v>0</v>
      </c>
    </row>
    <row r="95" spans="1:16" s="74" customFormat="1" ht="12.75" hidden="1" outlineLevel="1" x14ac:dyDescent="0.2">
      <c r="A95" s="74" t="s">
        <v>303</v>
      </c>
      <c r="B95" s="703"/>
      <c r="C95" s="712"/>
      <c r="D95" s="703" t="s">
        <v>74</v>
      </c>
      <c r="E95" s="703"/>
      <c r="F95" s="703" t="s">
        <v>141</v>
      </c>
      <c r="G95" s="713"/>
      <c r="H95" s="713" t="s">
        <v>138</v>
      </c>
      <c r="I95" s="375">
        <v>165000</v>
      </c>
      <c r="J95" s="783">
        <f>VLOOKUP(H95,'cognos as of Aug 2'!A:F,6,0)</f>
        <v>165000</v>
      </c>
      <c r="K95" s="375">
        <f>VLOOKUP(H95,'cognos as of Aug 2'!A:G,7,0)</f>
        <v>216651.24</v>
      </c>
      <c r="L95" s="615"/>
      <c r="M95" s="615">
        <f t="shared" si="13"/>
        <v>165000</v>
      </c>
      <c r="N95" s="375"/>
      <c r="O95" s="783">
        <f t="shared" si="14"/>
        <v>165000</v>
      </c>
      <c r="P95" s="7">
        <f>VLOOKUP(H95,Sheet4!A:C,3,0)</f>
        <v>0</v>
      </c>
    </row>
    <row r="96" spans="1:16" s="446" customFormat="1" ht="12.75" collapsed="1" x14ac:dyDescent="0.2">
      <c r="A96" s="446" t="s">
        <v>303</v>
      </c>
      <c r="B96" s="639" t="s">
        <v>128</v>
      </c>
      <c r="C96" s="658" t="s">
        <v>172</v>
      </c>
      <c r="D96" s="639" t="s">
        <v>74</v>
      </c>
      <c r="E96" s="622"/>
      <c r="F96" s="639"/>
      <c r="G96" s="647" t="s">
        <v>176</v>
      </c>
      <c r="H96" s="669" t="s">
        <v>428</v>
      </c>
      <c r="I96" s="674">
        <f>SUM(I93:I95)</f>
        <v>180000</v>
      </c>
      <c r="J96" s="828">
        <f t="shared" ref="J96:L96" si="17">SUM(J93:J95)</f>
        <v>184496</v>
      </c>
      <c r="K96" s="674">
        <f t="shared" si="17"/>
        <v>240754.5</v>
      </c>
      <c r="L96" s="726">
        <f t="shared" si="17"/>
        <v>0</v>
      </c>
      <c r="M96" s="726">
        <f t="shared" si="13"/>
        <v>180000</v>
      </c>
      <c r="N96" s="674"/>
      <c r="O96" s="828">
        <f t="shared" si="14"/>
        <v>180000</v>
      </c>
      <c r="P96" s="7" t="e">
        <f>VLOOKUP(H96,Sheet4!A:C,3,0)</f>
        <v>#N/A</v>
      </c>
    </row>
    <row r="97" spans="1:16" s="74" customFormat="1" ht="12.75" hidden="1" outlineLevel="1" x14ac:dyDescent="0.2">
      <c r="A97" s="74" t="s">
        <v>303</v>
      </c>
      <c r="B97" s="714"/>
      <c r="C97" s="715"/>
      <c r="D97" s="714" t="s">
        <v>79</v>
      </c>
      <c r="E97" s="716"/>
      <c r="F97" s="680" t="s">
        <v>397</v>
      </c>
      <c r="G97" s="681"/>
      <c r="H97" s="669" t="s">
        <v>428</v>
      </c>
      <c r="I97" s="674">
        <v>4588774</v>
      </c>
      <c r="J97" s="828">
        <v>4363909</v>
      </c>
      <c r="K97" s="674">
        <f>'cognos as of Aug 2'!G146</f>
        <v>4350648.25</v>
      </c>
      <c r="L97" s="726">
        <v>-343774</v>
      </c>
      <c r="M97" s="726">
        <f t="shared" si="13"/>
        <v>4245000</v>
      </c>
      <c r="N97" s="674"/>
      <c r="O97" s="828">
        <f t="shared" si="14"/>
        <v>4245000</v>
      </c>
      <c r="P97" s="7" t="e">
        <f>VLOOKUP(H97,Sheet4!A:C,3,0)</f>
        <v>#N/A</v>
      </c>
    </row>
    <row r="98" spans="1:16" s="74" customFormat="1" ht="12.75" hidden="1" outlineLevel="1" x14ac:dyDescent="0.2">
      <c r="A98" s="74" t="s">
        <v>303</v>
      </c>
      <c r="B98" s="714"/>
      <c r="C98" s="715"/>
      <c r="D98" s="714" t="s">
        <v>80</v>
      </c>
      <c r="E98" s="716"/>
      <c r="F98" s="680" t="s">
        <v>398</v>
      </c>
      <c r="G98" s="681"/>
      <c r="H98" s="669" t="s">
        <v>428</v>
      </c>
      <c r="I98" s="674">
        <v>3920774</v>
      </c>
      <c r="J98" s="828">
        <v>3797227</v>
      </c>
      <c r="K98" s="674">
        <f>'cognos as of Aug 2'!G148</f>
        <v>3558377.78</v>
      </c>
      <c r="L98" s="726">
        <v>-343774</v>
      </c>
      <c r="M98" s="726">
        <f t="shared" si="13"/>
        <v>3577000</v>
      </c>
      <c r="N98" s="674"/>
      <c r="O98" s="828">
        <f t="shared" si="14"/>
        <v>3577000</v>
      </c>
      <c r="P98" s="7" t="e">
        <f>VLOOKUP(H98,Sheet4!A:C,3,0)</f>
        <v>#N/A</v>
      </c>
    </row>
    <row r="99" spans="1:16" s="446" customFormat="1" ht="12.75" collapsed="1" x14ac:dyDescent="0.2">
      <c r="A99" s="446" t="s">
        <v>303</v>
      </c>
      <c r="B99" s="664" t="s">
        <v>128</v>
      </c>
      <c r="C99" s="665" t="s">
        <v>161</v>
      </c>
      <c r="D99" s="664" t="s">
        <v>226</v>
      </c>
      <c r="E99" s="622"/>
      <c r="F99" s="645"/>
      <c r="G99" s="647" t="s">
        <v>150</v>
      </c>
      <c r="H99" s="669" t="s">
        <v>428</v>
      </c>
      <c r="I99" s="674">
        <f>SUM(I97:I98)</f>
        <v>8509548</v>
      </c>
      <c r="J99" s="828">
        <f t="shared" ref="J99:L99" si="18">SUM(J97:J98)</f>
        <v>8161136</v>
      </c>
      <c r="K99" s="674">
        <f t="shared" si="18"/>
        <v>7909026.0299999993</v>
      </c>
      <c r="L99" s="726">
        <f t="shared" si="18"/>
        <v>-687548</v>
      </c>
      <c r="M99" s="726">
        <f t="shared" si="13"/>
        <v>7822000</v>
      </c>
      <c r="N99" s="674"/>
      <c r="O99" s="828">
        <f t="shared" si="14"/>
        <v>7822000</v>
      </c>
      <c r="P99" s="7" t="e">
        <f>VLOOKUP(H99,Sheet4!A:C,3,0)</f>
        <v>#N/A</v>
      </c>
    </row>
    <row r="100" spans="1:16" s="74" customFormat="1" ht="12.75" x14ac:dyDescent="0.2">
      <c r="A100" s="74" t="s">
        <v>303</v>
      </c>
      <c r="B100" s="229" t="s">
        <v>131</v>
      </c>
      <c r="C100" s="251" t="s">
        <v>173</v>
      </c>
      <c r="D100" s="664" t="s">
        <v>226</v>
      </c>
      <c r="E100" s="229"/>
      <c r="F100" s="229" t="s">
        <v>143</v>
      </c>
      <c r="G100" s="49" t="s">
        <v>153</v>
      </c>
      <c r="H100" s="49" t="s">
        <v>41</v>
      </c>
      <c r="I100" s="375">
        <v>564984</v>
      </c>
      <c r="J100" s="783">
        <v>564984</v>
      </c>
      <c r="K100" s="375">
        <v>564984</v>
      </c>
      <c r="L100" s="615"/>
      <c r="M100" s="615">
        <f t="shared" si="13"/>
        <v>564984</v>
      </c>
      <c r="N100" s="375">
        <f>639644-564984</f>
        <v>74660</v>
      </c>
      <c r="O100" s="783">
        <f t="shared" si="14"/>
        <v>639644</v>
      </c>
      <c r="P100" s="7" t="str">
        <f>VLOOKUP(H100,Sheet4!A:C,3,0)</f>
        <v xml:space="preserve">multiple </v>
      </c>
    </row>
    <row r="101" spans="1:16" s="74" customFormat="1" ht="12.75" x14ac:dyDescent="0.2">
      <c r="A101" s="74" t="s">
        <v>303</v>
      </c>
      <c r="B101" s="227" t="s">
        <v>131</v>
      </c>
      <c r="C101" s="292" t="s">
        <v>173</v>
      </c>
      <c r="D101" s="227" t="s">
        <v>91</v>
      </c>
      <c r="E101" s="227"/>
      <c r="F101" s="227"/>
      <c r="G101" s="34" t="s">
        <v>153</v>
      </c>
      <c r="H101" s="34" t="s">
        <v>41</v>
      </c>
      <c r="I101" s="375">
        <v>40000</v>
      </c>
      <c r="J101" s="783">
        <v>40000</v>
      </c>
      <c r="K101" s="375">
        <f>VLOOKUP(H101,'cognos as of Aug 2'!A:G,7,0)-K100</f>
        <v>33763.5</v>
      </c>
      <c r="L101" s="615"/>
      <c r="M101" s="615">
        <f t="shared" si="13"/>
        <v>40000</v>
      </c>
      <c r="N101" s="375"/>
      <c r="O101" s="783">
        <f t="shared" si="14"/>
        <v>40000</v>
      </c>
      <c r="P101" s="7" t="str">
        <f>VLOOKUP(H101,Sheet4!A:C,3,0)</f>
        <v xml:space="preserve">multiple </v>
      </c>
    </row>
    <row r="102" spans="1:16" s="74" customFormat="1" ht="12.75" x14ac:dyDescent="0.2">
      <c r="A102" s="74" t="s">
        <v>303</v>
      </c>
      <c r="B102" s="283" t="s">
        <v>298</v>
      </c>
      <c r="C102" s="282" t="s">
        <v>161</v>
      </c>
      <c r="D102" s="259" t="s">
        <v>78</v>
      </c>
      <c r="E102" s="259"/>
      <c r="F102" s="259" t="s">
        <v>774</v>
      </c>
      <c r="G102" s="33" t="s">
        <v>150</v>
      </c>
      <c r="H102" s="33" t="s">
        <v>28</v>
      </c>
      <c r="I102" s="375">
        <v>207307</v>
      </c>
      <c r="J102" s="783">
        <f>VLOOKUP(H102,'cognos as of Aug 2'!A:F,6,0)</f>
        <v>48656</v>
      </c>
      <c r="K102" s="375">
        <f>VLOOKUP(H102,'cognos as of Aug 2'!A:G,7,0)+SUM('cognos as of Aug 2'!G158:G161)+SUM('cognos as of Aug 2'!G163:G164)</f>
        <v>8558.9399999999987</v>
      </c>
      <c r="L102" s="615"/>
      <c r="M102" s="615">
        <f t="shared" si="13"/>
        <v>207307</v>
      </c>
      <c r="N102" s="375">
        <v>-42361</v>
      </c>
      <c r="O102" s="783">
        <f t="shared" si="14"/>
        <v>164946</v>
      </c>
      <c r="P102" s="7">
        <f>VLOOKUP(H102,Sheet4!A:C,3,0)</f>
        <v>0</v>
      </c>
    </row>
    <row r="103" spans="1:16" s="74" customFormat="1" ht="12.75" x14ac:dyDescent="0.2">
      <c r="A103" s="74" t="s">
        <v>303</v>
      </c>
      <c r="B103" s="283" t="s">
        <v>298</v>
      </c>
      <c r="C103" s="286" t="s">
        <v>161</v>
      </c>
      <c r="D103" s="283" t="s">
        <v>297</v>
      </c>
      <c r="E103" s="229"/>
      <c r="F103" s="6"/>
      <c r="G103" s="5" t="s">
        <v>150</v>
      </c>
      <c r="H103" s="32" t="s">
        <v>29</v>
      </c>
      <c r="I103" s="375">
        <v>7500</v>
      </c>
      <c r="J103" s="783">
        <f>VLOOKUP(H103,'cognos as of Aug 2'!A:F,6,0)</f>
        <v>7500</v>
      </c>
      <c r="K103" s="375">
        <f>VLOOKUP(H103,'cognos as of Aug 2'!A:G,7,0)</f>
        <v>5411.21</v>
      </c>
      <c r="L103" s="615"/>
      <c r="M103" s="615">
        <f t="shared" si="13"/>
        <v>7500</v>
      </c>
      <c r="N103" s="375"/>
      <c r="O103" s="783">
        <f t="shared" si="14"/>
        <v>7500</v>
      </c>
      <c r="P103" s="7">
        <f>VLOOKUP(H103,Sheet4!A:C,3,0)</f>
        <v>0</v>
      </c>
    </row>
    <row r="104" spans="1:16" s="74" customFormat="1" ht="12.75" x14ac:dyDescent="0.2">
      <c r="A104" s="74" t="s">
        <v>303</v>
      </c>
      <c r="B104" s="283" t="s">
        <v>298</v>
      </c>
      <c r="C104" s="286" t="s">
        <v>161</v>
      </c>
      <c r="D104" s="283" t="s">
        <v>427</v>
      </c>
      <c r="E104" s="229"/>
      <c r="F104" s="6"/>
      <c r="G104" s="5" t="s">
        <v>150</v>
      </c>
      <c r="H104" s="32" t="s">
        <v>30</v>
      </c>
      <c r="I104" s="375">
        <v>60000</v>
      </c>
      <c r="J104" s="783">
        <f>VLOOKUP(H104,'cognos as of Aug 2'!A:F,6,0)</f>
        <v>60000</v>
      </c>
      <c r="K104" s="375">
        <f>VLOOKUP(H104,'cognos as of Aug 2'!A:G,7,0)</f>
        <v>59999.99</v>
      </c>
      <c r="L104" s="615"/>
      <c r="M104" s="615">
        <f t="shared" si="13"/>
        <v>60000</v>
      </c>
      <c r="N104" s="375"/>
      <c r="O104" s="783">
        <f t="shared" si="14"/>
        <v>60000</v>
      </c>
      <c r="P104" s="7">
        <f>VLOOKUP(H104,Sheet4!A:C,3,0)</f>
        <v>0</v>
      </c>
    </row>
    <row r="105" spans="1:16" s="74" customFormat="1" ht="12.75" x14ac:dyDescent="0.2">
      <c r="A105" s="74" t="s">
        <v>303</v>
      </c>
      <c r="B105" s="283" t="s">
        <v>298</v>
      </c>
      <c r="C105" s="286" t="s">
        <v>161</v>
      </c>
      <c r="D105" s="259" t="s">
        <v>81</v>
      </c>
      <c r="E105" s="259"/>
      <c r="F105" s="259"/>
      <c r="G105" s="33" t="s">
        <v>150</v>
      </c>
      <c r="H105" s="33" t="s">
        <v>31</v>
      </c>
      <c r="I105" s="375">
        <v>200000</v>
      </c>
      <c r="J105" s="783">
        <v>200000</v>
      </c>
      <c r="K105" s="375">
        <f>SUM('cognos as of Aug 2'!G166)</f>
        <v>202070.07</v>
      </c>
      <c r="L105" s="615"/>
      <c r="M105" s="615">
        <f t="shared" si="13"/>
        <v>200000</v>
      </c>
      <c r="N105" s="375"/>
      <c r="O105" s="783">
        <f t="shared" si="14"/>
        <v>200000</v>
      </c>
      <c r="P105" s="7">
        <f>VLOOKUP(H105,Sheet4!A:C,3,0)</f>
        <v>0</v>
      </c>
    </row>
    <row r="106" spans="1:16" s="74" customFormat="1" ht="12.75" x14ac:dyDescent="0.2">
      <c r="A106" s="74" t="s">
        <v>303</v>
      </c>
      <c r="B106" s="278" t="s">
        <v>132</v>
      </c>
      <c r="C106" s="284" t="s">
        <v>127</v>
      </c>
      <c r="D106" s="284" t="s">
        <v>419</v>
      </c>
      <c r="E106" s="251"/>
      <c r="F106" s="293"/>
      <c r="G106" s="114" t="s">
        <v>154</v>
      </c>
      <c r="H106" s="32" t="s">
        <v>420</v>
      </c>
      <c r="I106" s="375">
        <v>211734</v>
      </c>
      <c r="J106" s="783">
        <v>211734</v>
      </c>
      <c r="K106" s="375">
        <f>'cognos as of Aug 2'!G186</f>
        <v>156470.45000000001</v>
      </c>
      <c r="L106" s="615">
        <v>7709</v>
      </c>
      <c r="M106" s="615">
        <f t="shared" si="13"/>
        <v>219443</v>
      </c>
      <c r="N106" s="375"/>
      <c r="O106" s="783">
        <f t="shared" si="14"/>
        <v>219443</v>
      </c>
      <c r="P106" s="7">
        <f>VLOOKUP(H106,Sheet4!A:C,3,0)</f>
        <v>0</v>
      </c>
    </row>
    <row r="107" spans="1:16" s="74" customFormat="1" ht="12.75" x14ac:dyDescent="0.2">
      <c r="A107" s="74" t="s">
        <v>303</v>
      </c>
      <c r="B107" s="278" t="s">
        <v>132</v>
      </c>
      <c r="C107" s="284" t="s">
        <v>127</v>
      </c>
      <c r="D107" s="283" t="s">
        <v>299</v>
      </c>
      <c r="E107" s="229"/>
      <c r="F107" s="293"/>
      <c r="G107" s="114" t="s">
        <v>154</v>
      </c>
      <c r="H107" s="32" t="s">
        <v>44</v>
      </c>
      <c r="I107" s="375">
        <v>35000</v>
      </c>
      <c r="J107" s="783">
        <f>VLOOKUP(H107,'cognos as of Aug 2'!A:F,6,0)</f>
        <v>35000</v>
      </c>
      <c r="K107" s="375">
        <f>VLOOKUP(H107,'cognos as of Aug 2'!A:G,7,0)</f>
        <v>30758.63</v>
      </c>
      <c r="L107" s="615">
        <v>13817</v>
      </c>
      <c r="M107" s="615">
        <f t="shared" si="13"/>
        <v>48817</v>
      </c>
      <c r="N107" s="375"/>
      <c r="O107" s="783">
        <f t="shared" si="14"/>
        <v>48817</v>
      </c>
      <c r="P107" s="7">
        <f>VLOOKUP(H107,Sheet4!A:C,3,0)</f>
        <v>0</v>
      </c>
    </row>
    <row r="108" spans="1:16" s="446" customFormat="1" ht="12.75" hidden="1" outlineLevel="1" x14ac:dyDescent="0.2">
      <c r="A108" s="446" t="s">
        <v>303</v>
      </c>
      <c r="B108" s="764" t="s">
        <v>132</v>
      </c>
      <c r="C108" s="751" t="s">
        <v>127</v>
      </c>
      <c r="D108" s="757" t="s">
        <v>93</v>
      </c>
      <c r="E108" s="758"/>
      <c r="F108" s="759"/>
      <c r="G108" s="760" t="s">
        <v>154</v>
      </c>
      <c r="H108" s="753" t="s">
        <v>45</v>
      </c>
      <c r="I108" s="375">
        <v>115300</v>
      </c>
      <c r="J108" s="783">
        <f>VLOOKUP(H108,'cognos as of Aug 2'!A:F,6,0)</f>
        <v>115300</v>
      </c>
      <c r="K108" s="375">
        <f>VLOOKUP(H108,'cognos as of Aug 2'!A:G,7,0)</f>
        <v>94076.37</v>
      </c>
      <c r="L108" s="615">
        <f>124560+15255</f>
        <v>139815</v>
      </c>
      <c r="M108" s="615">
        <f t="shared" si="13"/>
        <v>255115</v>
      </c>
      <c r="N108" s="375"/>
      <c r="O108" s="783">
        <f t="shared" si="14"/>
        <v>255115</v>
      </c>
      <c r="P108" s="7">
        <f>VLOOKUP(H108,Sheet4!A:C,3,0)</f>
        <v>0</v>
      </c>
    </row>
    <row r="109" spans="1:16" s="446" customFormat="1" ht="12.75" hidden="1" outlineLevel="1" x14ac:dyDescent="0.2">
      <c r="A109" s="446" t="s">
        <v>303</v>
      </c>
      <c r="B109" s="764" t="s">
        <v>132</v>
      </c>
      <c r="C109" s="751" t="s">
        <v>127</v>
      </c>
      <c r="D109" s="757" t="s">
        <v>95</v>
      </c>
      <c r="E109" s="758"/>
      <c r="F109" s="759"/>
      <c r="G109" s="760" t="s">
        <v>154</v>
      </c>
      <c r="H109" s="753" t="s">
        <v>47</v>
      </c>
      <c r="I109" s="375">
        <v>30000</v>
      </c>
      <c r="J109" s="783">
        <f>VLOOKUP(H109,'cognos as of Aug 2'!A:F,6,0)</f>
        <v>30000</v>
      </c>
      <c r="K109" s="375">
        <f>VLOOKUP(H109,'cognos as of Aug 2'!A:G,7,0)</f>
        <v>22940.63</v>
      </c>
      <c r="L109" s="615">
        <v>2460</v>
      </c>
      <c r="M109" s="615">
        <f t="shared" si="13"/>
        <v>32460</v>
      </c>
      <c r="N109" s="375"/>
      <c r="O109" s="783">
        <f t="shared" si="14"/>
        <v>32460</v>
      </c>
      <c r="P109" s="7">
        <f>VLOOKUP(H109,Sheet4!A:C,3,0)</f>
        <v>0</v>
      </c>
    </row>
    <row r="110" spans="1:16" s="446" customFormat="1" ht="12.75" hidden="1" outlineLevel="1" x14ac:dyDescent="0.2">
      <c r="A110" s="446" t="s">
        <v>303</v>
      </c>
      <c r="B110" s="764" t="s">
        <v>132</v>
      </c>
      <c r="C110" s="751" t="s">
        <v>127</v>
      </c>
      <c r="D110" s="757" t="s">
        <v>203</v>
      </c>
      <c r="E110" s="758"/>
      <c r="F110" s="759"/>
      <c r="G110" s="760" t="s">
        <v>154</v>
      </c>
      <c r="H110" s="753" t="s">
        <v>49</v>
      </c>
      <c r="I110" s="375">
        <v>490753</v>
      </c>
      <c r="J110" s="783">
        <f>VLOOKUP(H110,'cognos as of Aug 2'!A:F,6,0)</f>
        <v>490753</v>
      </c>
      <c r="K110" s="375">
        <f>VLOOKUP(H110,'cognos as of Aug 2'!A:G,7,0)</f>
        <v>476233.11</v>
      </c>
      <c r="L110" s="615">
        <v>-7038</v>
      </c>
      <c r="M110" s="615">
        <f t="shared" si="13"/>
        <v>483715</v>
      </c>
      <c r="N110" s="375"/>
      <c r="O110" s="783">
        <f t="shared" si="14"/>
        <v>483715</v>
      </c>
      <c r="P110" s="7" t="str">
        <f>VLOOKUP(H110,Sheet4!A:C,3,0)</f>
        <v xml:space="preserve">multiple </v>
      </c>
    </row>
    <row r="111" spans="1:16" s="446" customFormat="1" ht="12.75" hidden="1" outlineLevel="1" x14ac:dyDescent="0.2">
      <c r="A111" s="446" t="s">
        <v>303</v>
      </c>
      <c r="B111" s="761" t="s">
        <v>132</v>
      </c>
      <c r="C111" s="752" t="s">
        <v>127</v>
      </c>
      <c r="D111" s="761" t="s">
        <v>98</v>
      </c>
      <c r="E111" s="761"/>
      <c r="F111" s="762"/>
      <c r="G111" s="763" t="s">
        <v>167</v>
      </c>
      <c r="H111" s="754" t="s">
        <v>52</v>
      </c>
      <c r="I111" s="375">
        <v>70000</v>
      </c>
      <c r="J111" s="783">
        <f>VLOOKUP(H111,'cognos as of Aug 2'!A:F,6,0)</f>
        <v>62274</v>
      </c>
      <c r="K111" s="375">
        <f>VLOOKUP(H111,'cognos as of Aug 2'!A:G,7,0)</f>
        <v>58344.94</v>
      </c>
      <c r="L111" s="615">
        <v>14689</v>
      </c>
      <c r="M111" s="615">
        <f t="shared" si="13"/>
        <v>84689</v>
      </c>
      <c r="N111" s="375"/>
      <c r="O111" s="783">
        <f t="shared" si="14"/>
        <v>84689</v>
      </c>
      <c r="P111" s="7">
        <f>VLOOKUP(H111,Sheet4!A:C,3,0)</f>
        <v>0</v>
      </c>
    </row>
    <row r="112" spans="1:16" s="446" customFormat="1" ht="12.75" collapsed="1" x14ac:dyDescent="0.2">
      <c r="B112" s="746" t="s">
        <v>132</v>
      </c>
      <c r="C112" s="748"/>
      <c r="D112" s="747" t="s">
        <v>417</v>
      </c>
      <c r="E112" s="747"/>
      <c r="F112" s="749"/>
      <c r="G112" s="750" t="s">
        <v>423</v>
      </c>
      <c r="H112" s="666" t="s">
        <v>49</v>
      </c>
      <c r="I112" s="674">
        <f>SUM(I108:I111)</f>
        <v>706053</v>
      </c>
      <c r="J112" s="828">
        <f t="shared" ref="J112:M112" si="19">SUM(J108:J111)</f>
        <v>698327</v>
      </c>
      <c r="K112" s="674">
        <f t="shared" si="19"/>
        <v>651595.05000000005</v>
      </c>
      <c r="L112" s="726">
        <f t="shared" si="19"/>
        <v>149926</v>
      </c>
      <c r="M112" s="726">
        <f t="shared" si="19"/>
        <v>855979</v>
      </c>
      <c r="N112" s="674"/>
      <c r="O112" s="828">
        <f t="shared" si="14"/>
        <v>855979</v>
      </c>
      <c r="P112" s="7" t="str">
        <f>VLOOKUP(H112,Sheet4!A:C,3,0)</f>
        <v xml:space="preserve">multiple </v>
      </c>
    </row>
    <row r="113" spans="1:16" s="531" customFormat="1" ht="12.75" x14ac:dyDescent="0.2">
      <c r="A113" s="531" t="s">
        <v>303</v>
      </c>
      <c r="B113" s="278" t="s">
        <v>132</v>
      </c>
      <c r="C113" s="284" t="s">
        <v>127</v>
      </c>
      <c r="D113" s="283" t="s">
        <v>96</v>
      </c>
      <c r="E113" s="229"/>
      <c r="F113" s="228"/>
      <c r="G113" s="114" t="s">
        <v>167</v>
      </c>
      <c r="H113" s="32" t="s">
        <v>50</v>
      </c>
      <c r="I113" s="375">
        <v>160000</v>
      </c>
      <c r="J113" s="783">
        <f>VLOOKUP(H113,'cognos as of Aug 2'!A:F,6,0)</f>
        <v>160000</v>
      </c>
      <c r="K113" s="375">
        <f>VLOOKUP(H113,'cognos as of Aug 2'!A:G,7,0)</f>
        <v>165321.18</v>
      </c>
      <c r="L113" s="615">
        <v>-2882</v>
      </c>
      <c r="M113" s="615">
        <f t="shared" ref="M113:M134" si="20">SUM(I113+L113)</f>
        <v>157118</v>
      </c>
      <c r="N113" s="375"/>
      <c r="O113" s="783">
        <f t="shared" si="14"/>
        <v>157118</v>
      </c>
      <c r="P113" s="7">
        <f>VLOOKUP(H113,Sheet4!A:C,3,0)</f>
        <v>0</v>
      </c>
    </row>
    <row r="114" spans="1:16" s="74" customFormat="1" ht="12.75" x14ac:dyDescent="0.2">
      <c r="A114" s="74" t="s">
        <v>303</v>
      </c>
      <c r="B114" s="278" t="s">
        <v>132</v>
      </c>
      <c r="C114" s="284" t="s">
        <v>127</v>
      </c>
      <c r="D114" s="283" t="s">
        <v>284</v>
      </c>
      <c r="E114" s="229"/>
      <c r="F114" s="293"/>
      <c r="G114" s="114" t="s">
        <v>154</v>
      </c>
      <c r="H114" s="32" t="s">
        <v>48</v>
      </c>
      <c r="I114" s="375">
        <v>50000</v>
      </c>
      <c r="J114" s="783">
        <f>VLOOKUP(H114,'cognos as of Aug 2'!A:F,6,0)</f>
        <v>50000</v>
      </c>
      <c r="K114" s="375">
        <f>VLOOKUP(H114,'cognos as of Aug 2'!A:G,7,0)</f>
        <v>50000</v>
      </c>
      <c r="L114" s="615">
        <v>0</v>
      </c>
      <c r="M114" s="615">
        <f t="shared" si="20"/>
        <v>50000</v>
      </c>
      <c r="N114" s="375"/>
      <c r="O114" s="783">
        <f t="shared" si="14"/>
        <v>50000</v>
      </c>
      <c r="P114" s="7">
        <f>VLOOKUP(H114,Sheet4!A:C,3,0)</f>
        <v>0</v>
      </c>
    </row>
    <row r="115" spans="1:16" s="74" customFormat="1" ht="12.75" x14ac:dyDescent="0.2">
      <c r="A115" s="74" t="s">
        <v>303</v>
      </c>
      <c r="B115" s="278" t="s">
        <v>132</v>
      </c>
      <c r="C115" s="284" t="s">
        <v>127</v>
      </c>
      <c r="D115" s="283" t="s">
        <v>97</v>
      </c>
      <c r="E115" s="229"/>
      <c r="F115" s="293"/>
      <c r="G115" s="115" t="s">
        <v>170</v>
      </c>
      <c r="H115" s="32" t="s">
        <v>51</v>
      </c>
      <c r="I115" s="375">
        <v>52000</v>
      </c>
      <c r="J115" s="783">
        <f>VLOOKUP(H115,'cognos as of Aug 2'!A:F,6,0)</f>
        <v>52000</v>
      </c>
      <c r="K115" s="375">
        <f>VLOOKUP(H115,'cognos as of Aug 2'!A:G,7,0)</f>
        <v>46850.79</v>
      </c>
      <c r="L115" s="615">
        <v>0</v>
      </c>
      <c r="M115" s="615">
        <f t="shared" si="20"/>
        <v>52000</v>
      </c>
      <c r="N115" s="375"/>
      <c r="O115" s="783">
        <f t="shared" si="14"/>
        <v>52000</v>
      </c>
      <c r="P115" s="7">
        <f>VLOOKUP(H115,Sheet4!A:C,3,0)</f>
        <v>0</v>
      </c>
    </row>
    <row r="116" spans="1:16" s="74" customFormat="1" ht="13.5" thickBot="1" x14ac:dyDescent="0.25">
      <c r="A116" s="74" t="s">
        <v>303</v>
      </c>
      <c r="B116" s="227" t="s">
        <v>131</v>
      </c>
      <c r="C116" s="790" t="s">
        <v>145</v>
      </c>
      <c r="D116" s="789" t="s">
        <v>111</v>
      </c>
      <c r="E116" s="789"/>
      <c r="F116" s="789"/>
      <c r="G116" s="792" t="s">
        <v>166</v>
      </c>
      <c r="H116" s="792" t="s">
        <v>777</v>
      </c>
      <c r="I116" s="846">
        <v>57000</v>
      </c>
      <c r="J116" s="847" t="e">
        <f>VLOOKUP(H116,'cognos as of Aug 2'!A:F,6,0)</f>
        <v>#N/A</v>
      </c>
      <c r="K116" s="846" t="e">
        <f>VLOOKUP(H116,'cognos as of Aug 2'!A:G,7,0)</f>
        <v>#N/A</v>
      </c>
      <c r="L116" s="848"/>
      <c r="M116" s="848">
        <f t="shared" si="20"/>
        <v>57000</v>
      </c>
      <c r="N116" s="846"/>
      <c r="O116" s="847">
        <f t="shared" si="14"/>
        <v>57000</v>
      </c>
      <c r="P116" s="7" t="e">
        <f>VLOOKUP(H116,Sheet4!A:C,3,0)</f>
        <v>#N/A</v>
      </c>
    </row>
    <row r="117" spans="1:16" s="74" customFormat="1" ht="12.75" x14ac:dyDescent="0.2">
      <c r="A117" s="74" t="s">
        <v>303</v>
      </c>
      <c r="B117" s="851" t="s">
        <v>129</v>
      </c>
      <c r="C117" s="852" t="s">
        <v>145</v>
      </c>
      <c r="D117" s="800" t="s">
        <v>101</v>
      </c>
      <c r="E117" s="800"/>
      <c r="F117" s="800"/>
      <c r="G117" s="803" t="s">
        <v>290</v>
      </c>
      <c r="H117" s="803" t="s">
        <v>53</v>
      </c>
      <c r="I117" s="392">
        <v>22680</v>
      </c>
      <c r="J117" s="853"/>
      <c r="K117" s="392"/>
      <c r="L117" s="613"/>
      <c r="M117" s="613">
        <f t="shared" si="20"/>
        <v>22680</v>
      </c>
      <c r="N117" s="392"/>
      <c r="O117" s="854">
        <f t="shared" si="14"/>
        <v>22680</v>
      </c>
      <c r="P117" s="7" t="str">
        <f>VLOOKUP(H117,Sheet4!A:C,3,0)</f>
        <v xml:space="preserve">multiple </v>
      </c>
    </row>
    <row r="118" spans="1:16" s="74" customFormat="1" ht="12.75" x14ac:dyDescent="0.2">
      <c r="A118" s="74" t="s">
        <v>303</v>
      </c>
      <c r="B118" s="855" t="s">
        <v>129</v>
      </c>
      <c r="C118" s="354" t="s">
        <v>145</v>
      </c>
      <c r="D118" s="229" t="s">
        <v>102</v>
      </c>
      <c r="E118" s="229"/>
      <c r="F118" s="229"/>
      <c r="G118" s="49" t="s">
        <v>163</v>
      </c>
      <c r="H118" s="49" t="s">
        <v>53</v>
      </c>
      <c r="I118" s="375">
        <v>18636</v>
      </c>
      <c r="J118" s="850"/>
      <c r="K118" s="375"/>
      <c r="L118" s="615"/>
      <c r="M118" s="615">
        <f t="shared" si="20"/>
        <v>18636</v>
      </c>
      <c r="N118" s="375"/>
      <c r="O118" s="856">
        <f t="shared" si="14"/>
        <v>18636</v>
      </c>
      <c r="P118" s="7" t="str">
        <f>VLOOKUP(H118,Sheet4!A:C,3,0)</f>
        <v xml:space="preserve">multiple </v>
      </c>
    </row>
    <row r="119" spans="1:16" s="74" customFormat="1" ht="12.75" x14ac:dyDescent="0.2">
      <c r="A119" s="74" t="s">
        <v>303</v>
      </c>
      <c r="B119" s="855" t="s">
        <v>129</v>
      </c>
      <c r="C119" s="354" t="s">
        <v>145</v>
      </c>
      <c r="D119" s="229" t="s">
        <v>103</v>
      </c>
      <c r="E119" s="229"/>
      <c r="F119" s="229"/>
      <c r="G119" s="49" t="s">
        <v>165</v>
      </c>
      <c r="H119" s="49" t="s">
        <v>53</v>
      </c>
      <c r="I119" s="375">
        <v>14732</v>
      </c>
      <c r="J119" s="850"/>
      <c r="K119" s="375"/>
      <c r="L119" s="615"/>
      <c r="M119" s="615">
        <f t="shared" si="20"/>
        <v>14732</v>
      </c>
      <c r="N119" s="375"/>
      <c r="O119" s="856">
        <f t="shared" si="14"/>
        <v>14732</v>
      </c>
      <c r="P119" s="7" t="str">
        <f>VLOOKUP(H119,Sheet4!A:C,3,0)</f>
        <v xml:space="preserve">multiple </v>
      </c>
    </row>
    <row r="120" spans="1:16" s="74" customFormat="1" ht="12.75" x14ac:dyDescent="0.2">
      <c r="A120" s="74" t="s">
        <v>303</v>
      </c>
      <c r="B120" s="855" t="s">
        <v>129</v>
      </c>
      <c r="C120" s="354" t="s">
        <v>145</v>
      </c>
      <c r="D120" s="229" t="s">
        <v>104</v>
      </c>
      <c r="E120" s="229"/>
      <c r="F120" s="229"/>
      <c r="G120" s="49" t="s">
        <v>155</v>
      </c>
      <c r="H120" s="49" t="s">
        <v>53</v>
      </c>
      <c r="I120" s="375">
        <v>4090</v>
      </c>
      <c r="J120" s="850"/>
      <c r="K120" s="375"/>
      <c r="L120" s="615"/>
      <c r="M120" s="615">
        <f t="shared" si="20"/>
        <v>4090</v>
      </c>
      <c r="N120" s="375"/>
      <c r="O120" s="856">
        <f t="shared" si="14"/>
        <v>4090</v>
      </c>
      <c r="P120" s="7" t="str">
        <f>VLOOKUP(H120,Sheet4!A:C,3,0)</f>
        <v xml:space="preserve">multiple </v>
      </c>
    </row>
    <row r="121" spans="1:16" s="74" customFormat="1" ht="12.75" x14ac:dyDescent="0.2">
      <c r="A121" s="74" t="s">
        <v>303</v>
      </c>
      <c r="B121" s="855" t="s">
        <v>129</v>
      </c>
      <c r="C121" s="354" t="s">
        <v>145</v>
      </c>
      <c r="D121" s="229" t="s">
        <v>105</v>
      </c>
      <c r="E121" s="229"/>
      <c r="F121" s="229"/>
      <c r="G121" s="49" t="s">
        <v>155</v>
      </c>
      <c r="H121" s="49" t="s">
        <v>53</v>
      </c>
      <c r="I121" s="375">
        <v>2000</v>
      </c>
      <c r="J121" s="850"/>
      <c r="K121" s="375"/>
      <c r="L121" s="615"/>
      <c r="M121" s="615">
        <f t="shared" si="20"/>
        <v>2000</v>
      </c>
      <c r="N121" s="375"/>
      <c r="O121" s="856">
        <f t="shared" si="14"/>
        <v>2000</v>
      </c>
      <c r="P121" s="7" t="str">
        <f>VLOOKUP(H121,Sheet4!A:C,3,0)</f>
        <v xml:space="preserve">multiple </v>
      </c>
    </row>
    <row r="122" spans="1:16" s="74" customFormat="1" ht="12.75" x14ac:dyDescent="0.2">
      <c r="A122" s="74" t="s">
        <v>303</v>
      </c>
      <c r="B122" s="855" t="s">
        <v>129</v>
      </c>
      <c r="C122" s="354" t="s">
        <v>145</v>
      </c>
      <c r="D122" s="229" t="s">
        <v>106</v>
      </c>
      <c r="E122" s="229"/>
      <c r="F122" s="229"/>
      <c r="G122" s="49" t="s">
        <v>155</v>
      </c>
      <c r="H122" s="49" t="s">
        <v>53</v>
      </c>
      <c r="I122" s="375">
        <v>300</v>
      </c>
      <c r="J122" s="850"/>
      <c r="K122" s="375"/>
      <c r="L122" s="615"/>
      <c r="M122" s="615">
        <f t="shared" si="20"/>
        <v>300</v>
      </c>
      <c r="N122" s="375"/>
      <c r="O122" s="856">
        <f t="shared" si="14"/>
        <v>300</v>
      </c>
      <c r="P122" s="7" t="str">
        <f>VLOOKUP(H122,Sheet4!A:C,3,0)</f>
        <v xml:space="preserve">multiple </v>
      </c>
    </row>
    <row r="123" spans="1:16" s="74" customFormat="1" ht="12.75" x14ac:dyDescent="0.2">
      <c r="A123" s="74" t="s">
        <v>303</v>
      </c>
      <c r="B123" s="855" t="s">
        <v>129</v>
      </c>
      <c r="C123" s="354" t="s">
        <v>145</v>
      </c>
      <c r="D123" s="229" t="s">
        <v>285</v>
      </c>
      <c r="E123" s="229"/>
      <c r="F123" s="229"/>
      <c r="G123" s="49" t="s">
        <v>155</v>
      </c>
      <c r="H123" s="49" t="s">
        <v>53</v>
      </c>
      <c r="I123" s="375">
        <v>250000</v>
      </c>
      <c r="J123" s="850"/>
      <c r="K123" s="375"/>
      <c r="L123" s="615"/>
      <c r="M123" s="615">
        <f t="shared" si="20"/>
        <v>250000</v>
      </c>
      <c r="N123" s="375"/>
      <c r="O123" s="856">
        <f t="shared" si="14"/>
        <v>250000</v>
      </c>
      <c r="P123" s="7" t="str">
        <f>VLOOKUP(H123,Sheet4!A:C,3,0)</f>
        <v xml:space="preserve">multiple </v>
      </c>
    </row>
    <row r="124" spans="1:16" s="74" customFormat="1" ht="12.75" x14ac:dyDescent="0.2">
      <c r="A124" s="74" t="s">
        <v>303</v>
      </c>
      <c r="B124" s="855" t="s">
        <v>129</v>
      </c>
      <c r="C124" s="354" t="s">
        <v>145</v>
      </c>
      <c r="D124" s="229" t="s">
        <v>107</v>
      </c>
      <c r="E124" s="229"/>
      <c r="F124" s="229"/>
      <c r="G124" s="49" t="s">
        <v>155</v>
      </c>
      <c r="H124" s="49" t="s">
        <v>53</v>
      </c>
      <c r="I124" s="375">
        <v>2640</v>
      </c>
      <c r="J124" s="850"/>
      <c r="K124" s="375"/>
      <c r="L124" s="615"/>
      <c r="M124" s="615">
        <f t="shared" si="20"/>
        <v>2640</v>
      </c>
      <c r="N124" s="375"/>
      <c r="O124" s="856">
        <f t="shared" si="14"/>
        <v>2640</v>
      </c>
      <c r="P124" s="7" t="str">
        <f>VLOOKUP(H124,Sheet4!A:C,3,0)</f>
        <v xml:space="preserve">multiple </v>
      </c>
    </row>
    <row r="125" spans="1:16" s="74" customFormat="1" ht="12.75" x14ac:dyDescent="0.2">
      <c r="A125" s="74" t="s">
        <v>303</v>
      </c>
      <c r="B125" s="855" t="s">
        <v>129</v>
      </c>
      <c r="C125" s="354" t="s">
        <v>145</v>
      </c>
      <c r="D125" s="229" t="s">
        <v>108</v>
      </c>
      <c r="E125" s="229"/>
      <c r="F125" s="229"/>
      <c r="G125" s="49" t="s">
        <v>163</v>
      </c>
      <c r="H125" s="49" t="s">
        <v>53</v>
      </c>
      <c r="I125" s="375">
        <v>4152</v>
      </c>
      <c r="J125" s="850"/>
      <c r="K125" s="375"/>
      <c r="L125" s="615"/>
      <c r="M125" s="615">
        <f t="shared" si="20"/>
        <v>4152</v>
      </c>
      <c r="N125" s="375"/>
      <c r="O125" s="856">
        <f t="shared" si="14"/>
        <v>4152</v>
      </c>
      <c r="P125" s="7" t="str">
        <f>VLOOKUP(H125,Sheet4!A:C,3,0)</f>
        <v xml:space="preserve">multiple </v>
      </c>
    </row>
    <row r="126" spans="1:16" s="74" customFormat="1" ht="12.75" x14ac:dyDescent="0.2">
      <c r="A126" s="74" t="s">
        <v>303</v>
      </c>
      <c r="B126" s="855" t="s">
        <v>129</v>
      </c>
      <c r="C126" s="354" t="s">
        <v>145</v>
      </c>
      <c r="D126" s="229" t="s">
        <v>109</v>
      </c>
      <c r="E126" s="229"/>
      <c r="F126" s="229"/>
      <c r="G126" s="49" t="s">
        <v>165</v>
      </c>
      <c r="H126" s="49" t="s">
        <v>53</v>
      </c>
      <c r="I126" s="375">
        <v>2640</v>
      </c>
      <c r="J126" s="850"/>
      <c r="K126" s="375"/>
      <c r="L126" s="615"/>
      <c r="M126" s="615">
        <f t="shared" si="20"/>
        <v>2640</v>
      </c>
      <c r="N126" s="375"/>
      <c r="O126" s="856">
        <f t="shared" si="14"/>
        <v>2640</v>
      </c>
      <c r="P126" s="7" t="str">
        <f>VLOOKUP(H126,Sheet4!A:C,3,0)</f>
        <v xml:space="preserve">multiple </v>
      </c>
    </row>
    <row r="127" spans="1:16" s="74" customFormat="1" ht="12.75" x14ac:dyDescent="0.2">
      <c r="A127" s="74" t="s">
        <v>303</v>
      </c>
      <c r="B127" s="855" t="s">
        <v>129</v>
      </c>
      <c r="C127" s="354" t="s">
        <v>145</v>
      </c>
      <c r="D127" s="229" t="s">
        <v>112</v>
      </c>
      <c r="E127" s="229"/>
      <c r="F127" s="229"/>
      <c r="G127" s="49" t="s">
        <v>165</v>
      </c>
      <c r="H127" s="49" t="s">
        <v>53</v>
      </c>
      <c r="I127" s="375">
        <v>3120</v>
      </c>
      <c r="J127" s="850"/>
      <c r="K127" s="375"/>
      <c r="L127" s="615"/>
      <c r="M127" s="615">
        <f t="shared" si="20"/>
        <v>3120</v>
      </c>
      <c r="N127" s="375"/>
      <c r="O127" s="856">
        <f t="shared" si="14"/>
        <v>3120</v>
      </c>
      <c r="P127" s="7" t="str">
        <f>VLOOKUP(H127,Sheet4!A:C,3,0)</f>
        <v xml:space="preserve">multiple </v>
      </c>
    </row>
    <row r="128" spans="1:16" s="74" customFormat="1" ht="12.75" x14ac:dyDescent="0.2">
      <c r="A128" s="74" t="s">
        <v>303</v>
      </c>
      <c r="B128" s="855" t="s">
        <v>129</v>
      </c>
      <c r="C128" s="354" t="s">
        <v>145</v>
      </c>
      <c r="D128" s="229" t="s">
        <v>99</v>
      </c>
      <c r="E128" s="229"/>
      <c r="F128" s="229"/>
      <c r="G128" s="49" t="s">
        <v>164</v>
      </c>
      <c r="H128" s="49" t="s">
        <v>53</v>
      </c>
      <c r="I128" s="375">
        <v>35893</v>
      </c>
      <c r="J128" s="850"/>
      <c r="K128" s="375"/>
      <c r="L128" s="615"/>
      <c r="M128" s="615">
        <f t="shared" si="20"/>
        <v>35893</v>
      </c>
      <c r="N128" s="375"/>
      <c r="O128" s="856">
        <f t="shared" si="14"/>
        <v>35893</v>
      </c>
      <c r="P128" s="7" t="str">
        <f>VLOOKUP(H128,Sheet4!A:C,3,0)</f>
        <v xml:space="preserve">multiple </v>
      </c>
    </row>
    <row r="129" spans="1:16" s="74" customFormat="1" ht="12.75" x14ac:dyDescent="0.2">
      <c r="A129" s="74" t="s">
        <v>303</v>
      </c>
      <c r="B129" s="855" t="s">
        <v>129</v>
      </c>
      <c r="C129" s="354" t="s">
        <v>145</v>
      </c>
      <c r="D129" s="229" t="s">
        <v>100</v>
      </c>
      <c r="E129" s="229"/>
      <c r="F129" s="229"/>
      <c r="G129" s="49" t="s">
        <v>164</v>
      </c>
      <c r="H129" s="49" t="s">
        <v>53</v>
      </c>
      <c r="I129" s="375">
        <v>12890</v>
      </c>
      <c r="J129" s="850"/>
      <c r="K129" s="375"/>
      <c r="L129" s="615"/>
      <c r="M129" s="615">
        <f t="shared" si="20"/>
        <v>12890</v>
      </c>
      <c r="N129" s="375"/>
      <c r="O129" s="856">
        <f t="shared" si="14"/>
        <v>12890</v>
      </c>
      <c r="P129" s="7" t="str">
        <f>VLOOKUP(H129,Sheet4!A:C,3,0)</f>
        <v xml:space="preserve">multiple </v>
      </c>
    </row>
    <row r="130" spans="1:16" s="74" customFormat="1" ht="13.5" thickBot="1" x14ac:dyDescent="0.25">
      <c r="A130" s="74" t="s">
        <v>303</v>
      </c>
      <c r="B130" s="857" t="s">
        <v>129</v>
      </c>
      <c r="C130" s="858" t="s">
        <v>145</v>
      </c>
      <c r="D130" s="859" t="s">
        <v>114</v>
      </c>
      <c r="E130" s="859"/>
      <c r="F130" s="859"/>
      <c r="G130" s="860" t="s">
        <v>165</v>
      </c>
      <c r="H130" s="860" t="s">
        <v>53</v>
      </c>
      <c r="I130" s="377">
        <v>6300</v>
      </c>
      <c r="J130" s="861">
        <f>SUMIF('cognos as of Aug 2'!A:A,'1213A 080212'!H130,'cognos as of Aug 2'!F:F)</f>
        <v>380073</v>
      </c>
      <c r="K130" s="377">
        <f>SUMIF('cognos as of Aug 2'!A:A,'1213A 080212'!H130,'cognos as of Aug 2'!G:G)</f>
        <v>332805.03000000003</v>
      </c>
      <c r="L130" s="616"/>
      <c r="M130" s="616">
        <f t="shared" si="20"/>
        <v>6300</v>
      </c>
      <c r="N130" s="377"/>
      <c r="O130" s="862">
        <f t="shared" si="14"/>
        <v>6300</v>
      </c>
      <c r="P130" s="7" t="str">
        <f>VLOOKUP(H130,Sheet4!A:C,3,0)</f>
        <v xml:space="preserve">multiple </v>
      </c>
    </row>
    <row r="131" spans="1:16" s="74" customFormat="1" ht="12" customHeight="1" x14ac:dyDescent="0.2">
      <c r="B131" s="384" t="s">
        <v>128</v>
      </c>
      <c r="C131" s="627"/>
      <c r="D131" s="849" t="s">
        <v>339</v>
      </c>
      <c r="E131" s="384"/>
      <c r="F131" s="384" t="s">
        <v>753</v>
      </c>
      <c r="G131" s="388" t="s">
        <v>163</v>
      </c>
      <c r="H131" s="23" t="s">
        <v>336</v>
      </c>
      <c r="I131" s="382">
        <v>44260</v>
      </c>
      <c r="J131" s="850">
        <f>VLOOKUP(H131,'cognos as of Aug 2'!A:F,6,0)</f>
        <v>44260</v>
      </c>
      <c r="K131" s="382">
        <f>VLOOKUP(H131,'cognos as of Aug 2'!A:G,7,0)</f>
        <v>30681.71</v>
      </c>
      <c r="L131" s="844"/>
      <c r="M131" s="844">
        <f t="shared" si="20"/>
        <v>44260</v>
      </c>
      <c r="N131" s="382">
        <f>32983-44260</f>
        <v>-11277</v>
      </c>
      <c r="O131" s="850">
        <f t="shared" si="14"/>
        <v>32983</v>
      </c>
      <c r="P131" s="7">
        <f>VLOOKUP(H131,Sheet4!A:C,3,0)</f>
        <v>0</v>
      </c>
    </row>
    <row r="132" spans="1:16" s="74" customFormat="1" ht="12" customHeight="1" x14ac:dyDescent="0.2">
      <c r="B132" s="278" t="s">
        <v>128</v>
      </c>
      <c r="C132" s="354"/>
      <c r="D132" s="357" t="s">
        <v>338</v>
      </c>
      <c r="E132" s="229"/>
      <c r="F132" s="229" t="s">
        <v>753</v>
      </c>
      <c r="G132" s="49" t="s">
        <v>163</v>
      </c>
      <c r="H132" s="16" t="s">
        <v>337</v>
      </c>
      <c r="I132" s="375">
        <v>44260</v>
      </c>
      <c r="J132" s="783">
        <f>VLOOKUP(H132,'cognos as of Aug 2'!A:F,6,0)</f>
        <v>44260</v>
      </c>
      <c r="K132" s="375">
        <f>VLOOKUP(H132,'cognos as of Aug 2'!A:G,7,0)</f>
        <v>30681.7</v>
      </c>
      <c r="L132" s="615"/>
      <c r="M132" s="615">
        <f t="shared" si="20"/>
        <v>44260</v>
      </c>
      <c r="N132" s="375">
        <f>32983-44260</f>
        <v>-11277</v>
      </c>
      <c r="O132" s="783">
        <f t="shared" si="14"/>
        <v>32983</v>
      </c>
      <c r="P132" s="7">
        <f>VLOOKUP(H132,Sheet4!A:C,3,0)</f>
        <v>0</v>
      </c>
    </row>
    <row r="133" spans="1:16" s="74" customFormat="1" ht="12" customHeight="1" x14ac:dyDescent="0.2">
      <c r="B133" s="229" t="s">
        <v>130</v>
      </c>
      <c r="C133" s="354"/>
      <c r="D133" s="357" t="s">
        <v>325</v>
      </c>
      <c r="E133" s="229"/>
      <c r="F133" s="229"/>
      <c r="G133" s="49" t="s">
        <v>165</v>
      </c>
      <c r="H133" s="16" t="s">
        <v>326</v>
      </c>
      <c r="I133" s="375">
        <v>20000</v>
      </c>
      <c r="J133" s="783">
        <f>VLOOKUP(H133,'cognos as of Aug 2'!A:F,6,0)</f>
        <v>17941</v>
      </c>
      <c r="K133" s="375">
        <f>VLOOKUP(H133,'cognos as of Aug 2'!A:G,7,0)</f>
        <v>17940.150000000001</v>
      </c>
      <c r="L133" s="615"/>
      <c r="M133" s="615">
        <f t="shared" si="20"/>
        <v>20000</v>
      </c>
      <c r="N133" s="375"/>
      <c r="O133" s="783">
        <f t="shared" si="14"/>
        <v>20000</v>
      </c>
      <c r="P133" s="7">
        <f>VLOOKUP(H133,Sheet4!A:C,3,0)</f>
        <v>0</v>
      </c>
    </row>
    <row r="134" spans="1:16" s="74" customFormat="1" ht="12" customHeight="1" thickBot="1" x14ac:dyDescent="0.25">
      <c r="B134" s="229" t="s">
        <v>128</v>
      </c>
      <c r="C134" s="354"/>
      <c r="D134" s="357" t="s">
        <v>367</v>
      </c>
      <c r="E134" s="229"/>
      <c r="F134" s="229"/>
      <c r="G134" s="49" t="s">
        <v>165</v>
      </c>
      <c r="H134" s="16" t="s">
        <v>368</v>
      </c>
      <c r="I134" s="375">
        <v>238000</v>
      </c>
      <c r="J134" s="783">
        <f>SUM('cognos as of Aug 2'!F149:F155)</f>
        <v>225458</v>
      </c>
      <c r="K134" s="375">
        <f>SUM('cognos as of Aug 2'!G149:G155)</f>
        <v>225457.98</v>
      </c>
      <c r="L134" s="615">
        <v>-238000</v>
      </c>
      <c r="M134" s="615">
        <f t="shared" si="20"/>
        <v>0</v>
      </c>
      <c r="N134" s="375"/>
      <c r="O134" s="783">
        <f t="shared" si="14"/>
        <v>0</v>
      </c>
      <c r="P134" s="7">
        <f>VLOOKUP(H134,Sheet4!A:C,3,0)</f>
        <v>0</v>
      </c>
    </row>
    <row r="135" spans="1:16" s="673" customFormat="1" ht="13.5" thickBot="1" x14ac:dyDescent="0.25">
      <c r="B135" s="120"/>
      <c r="C135" s="121"/>
      <c r="D135" s="122"/>
      <c r="E135" s="122"/>
      <c r="F135" s="122"/>
      <c r="G135" s="122"/>
      <c r="H135" s="169" t="s">
        <v>133</v>
      </c>
      <c r="I135" s="125">
        <v>14586872.5</v>
      </c>
      <c r="J135" s="621" t="e">
        <f t="shared" ref="J135:M135" si="21">SUM(J72:J75,J81,J87,J89:J92,J96,J99,J100:J107,J112:J134)</f>
        <v>#N/A</v>
      </c>
      <c r="K135" s="621" t="e">
        <f t="shared" si="21"/>
        <v>#N/A</v>
      </c>
      <c r="L135" s="621">
        <f t="shared" si="21"/>
        <v>-554873</v>
      </c>
      <c r="M135" s="621">
        <f t="shared" si="21"/>
        <v>14031999.5</v>
      </c>
      <c r="N135" s="621">
        <f>SUM(N72:N75,N81,N87,N88:N92,N96,N99,N100:N107,N112:N134)</f>
        <v>-112455</v>
      </c>
      <c r="O135" s="621">
        <f>SUM(O72:O75,O81,O87,O88:O92,O96,O99,O100:O107,O112:O134)</f>
        <v>13919544.5</v>
      </c>
      <c r="P135" s="7" t="e">
        <f>VLOOKUP(H135,Sheet4!A:C,3,0)</f>
        <v>#N/A</v>
      </c>
    </row>
    <row r="136" spans="1:16" s="673" customFormat="1" ht="12.75" x14ac:dyDescent="0.2">
      <c r="B136" s="127"/>
      <c r="C136" s="731"/>
      <c r="D136" s="127"/>
      <c r="E136" s="127"/>
      <c r="F136" s="127"/>
      <c r="G136" s="127"/>
      <c r="H136" s="127"/>
      <c r="I136" s="131"/>
      <c r="J136" s="732"/>
      <c r="K136" s="732"/>
      <c r="L136" s="732"/>
      <c r="M136" s="826">
        <f>SUM(I135,L135)</f>
        <v>14031999.5</v>
      </c>
      <c r="N136"/>
      <c r="P136" s="7" t="e">
        <f>VLOOKUP(H136,Sheet4!A:C,3,0)</f>
        <v>#N/A</v>
      </c>
    </row>
    <row r="137" spans="1:16" s="153" customFormat="1" ht="15.75" thickBot="1" x14ac:dyDescent="0.25">
      <c r="B137" s="172" t="s">
        <v>67</v>
      </c>
      <c r="D137" s="129"/>
      <c r="E137" s="129"/>
      <c r="F137" s="129"/>
      <c r="G137" s="129"/>
      <c r="H137" s="129"/>
      <c r="I137" s="361"/>
      <c r="J137" s="579"/>
      <c r="K137" s="50"/>
      <c r="L137" s="7"/>
      <c r="M137" s="600"/>
      <c r="N137" s="579"/>
      <c r="P137" s="7" t="e">
        <f>VLOOKUP(H137,Sheet4!A:C,3,0)</f>
        <v>#N/A</v>
      </c>
    </row>
    <row r="138" spans="1:16" ht="12.75" x14ac:dyDescent="0.2">
      <c r="B138" s="79" t="s">
        <v>118</v>
      </c>
      <c r="C138" s="80"/>
      <c r="D138" s="81"/>
      <c r="E138" s="81"/>
      <c r="F138" s="80"/>
      <c r="G138" s="80"/>
      <c r="H138" s="80"/>
      <c r="I138" s="739" t="s">
        <v>58</v>
      </c>
      <c r="J138" s="609">
        <v>0.91666666666666663</v>
      </c>
      <c r="K138" s="84" t="s">
        <v>123</v>
      </c>
      <c r="L138" s="85" t="s">
        <v>121</v>
      </c>
      <c r="M138" s="729" t="s">
        <v>406</v>
      </c>
      <c r="N138" s="796" t="s">
        <v>121</v>
      </c>
      <c r="O138" s="729" t="s">
        <v>406</v>
      </c>
      <c r="P138" s="7" t="e">
        <f>VLOOKUP(H138,Sheet4!A:C,3,0)</f>
        <v>#N/A</v>
      </c>
    </row>
    <row r="139" spans="1:16" s="74" customFormat="1" ht="13.5" thickBot="1" x14ac:dyDescent="0.25">
      <c r="B139" s="87" t="s">
        <v>148</v>
      </c>
      <c r="C139" s="88" t="s">
        <v>125</v>
      </c>
      <c r="D139" s="88" t="s">
        <v>61</v>
      </c>
      <c r="E139" s="88"/>
      <c r="F139" s="88" t="s">
        <v>147</v>
      </c>
      <c r="G139" s="88" t="s">
        <v>149</v>
      </c>
      <c r="H139" s="88" t="s">
        <v>62</v>
      </c>
      <c r="I139" s="740" t="s">
        <v>120</v>
      </c>
      <c r="J139" s="610" t="s">
        <v>272</v>
      </c>
      <c r="K139" s="91" t="s">
        <v>755</v>
      </c>
      <c r="L139" s="92" t="s">
        <v>122</v>
      </c>
      <c r="M139" s="766" t="s">
        <v>59</v>
      </c>
      <c r="N139" s="827" t="s">
        <v>122</v>
      </c>
      <c r="O139" s="827" t="s">
        <v>120</v>
      </c>
      <c r="P139" s="7" t="e">
        <f>VLOOKUP(H139,Sheet4!A:C,3,0)</f>
        <v>#N/A</v>
      </c>
    </row>
    <row r="140" spans="1:16" s="74" customFormat="1" ht="12.75" x14ac:dyDescent="0.2">
      <c r="B140" s="283" t="s">
        <v>3</v>
      </c>
      <c r="C140" s="284" t="s">
        <v>161</v>
      </c>
      <c r="D140" s="283" t="s">
        <v>69</v>
      </c>
      <c r="E140" s="229"/>
      <c r="F140" s="6"/>
      <c r="G140" s="5" t="s">
        <v>268</v>
      </c>
      <c r="H140" s="32" t="s">
        <v>2</v>
      </c>
      <c r="I140" s="375">
        <v>16000</v>
      </c>
      <c r="J140" s="783">
        <f>VLOOKUP(H140,'cognos as of Aug 2'!A:F,6,0)</f>
        <v>15895</v>
      </c>
      <c r="K140" s="375">
        <f>VLOOKUP(H140,'cognos as of Aug 2'!A:G,7,0)</f>
        <v>9630</v>
      </c>
      <c r="L140" s="615"/>
      <c r="M140" s="615">
        <f t="shared" ref="M140:M170" si="22">SUM(I140+L140)</f>
        <v>16000</v>
      </c>
      <c r="N140" s="375"/>
      <c r="O140" s="783">
        <f t="shared" ref="O140:O170" si="23">M140+N140</f>
        <v>16000</v>
      </c>
      <c r="P140" s="7">
        <f>VLOOKUP(H140,Sheet4!A:C,3,0)</f>
        <v>0</v>
      </c>
    </row>
    <row r="141" spans="1:16" s="74" customFormat="1" ht="12.75" x14ac:dyDescent="0.2">
      <c r="B141" s="283" t="s">
        <v>3</v>
      </c>
      <c r="C141" s="367"/>
      <c r="D141" s="256" t="s">
        <v>353</v>
      </c>
      <c r="E141" s="256"/>
      <c r="F141" s="256"/>
      <c r="G141" s="45" t="s">
        <v>176</v>
      </c>
      <c r="H141" s="45" t="s">
        <v>328</v>
      </c>
      <c r="I141" s="375">
        <v>864</v>
      </c>
      <c r="J141" s="783">
        <f>VLOOKUP(H141,'cognos as of Aug 2'!A:F,6,0)</f>
        <v>969</v>
      </c>
      <c r="K141" s="375">
        <f>VLOOKUP(H141,'cognos as of Aug 2'!A:G,7,0)</f>
        <v>965.7</v>
      </c>
      <c r="L141" s="615"/>
      <c r="M141" s="615">
        <f t="shared" si="22"/>
        <v>864</v>
      </c>
      <c r="N141" s="375"/>
      <c r="O141" s="783">
        <f t="shared" si="23"/>
        <v>864</v>
      </c>
      <c r="P141" s="7">
        <f>VLOOKUP(H141,Sheet4!A:C,3,0)</f>
        <v>0</v>
      </c>
    </row>
    <row r="142" spans="1:16" s="74" customFormat="1" ht="12.75" x14ac:dyDescent="0.2">
      <c r="B142" s="229" t="s">
        <v>128</v>
      </c>
      <c r="C142" s="251" t="s">
        <v>160</v>
      </c>
      <c r="D142" s="229" t="s">
        <v>70</v>
      </c>
      <c r="E142" s="229"/>
      <c r="F142" s="229" t="s">
        <v>752</v>
      </c>
      <c r="G142" s="49" t="s">
        <v>153</v>
      </c>
      <c r="H142" s="49" t="s">
        <v>17</v>
      </c>
      <c r="I142" s="375">
        <v>4956.6000000000004</v>
      </c>
      <c r="J142" s="783">
        <v>4957</v>
      </c>
      <c r="K142" s="375">
        <f>4431.44+401.68</f>
        <v>4833.12</v>
      </c>
      <c r="L142" s="615"/>
      <c r="M142" s="615">
        <f t="shared" si="22"/>
        <v>4956.6000000000004</v>
      </c>
      <c r="N142" s="375">
        <v>149</v>
      </c>
      <c r="O142" s="783">
        <f t="shared" si="23"/>
        <v>5105.6000000000004</v>
      </c>
      <c r="P142" s="7" t="str">
        <f>VLOOKUP(H142,Sheet4!A:C,3,0)</f>
        <v xml:space="preserve">multiple </v>
      </c>
    </row>
    <row r="143" spans="1:16" s="74" customFormat="1" ht="12.75" x14ac:dyDescent="0.2">
      <c r="B143" s="229" t="s">
        <v>128</v>
      </c>
      <c r="C143" s="251" t="s">
        <v>160</v>
      </c>
      <c r="D143" s="229" t="s">
        <v>71</v>
      </c>
      <c r="E143" s="229"/>
      <c r="F143" s="229"/>
      <c r="G143" s="49" t="s">
        <v>153</v>
      </c>
      <c r="H143" s="49" t="s">
        <v>17</v>
      </c>
      <c r="I143" s="375">
        <v>133870</v>
      </c>
      <c r="J143" s="783">
        <v>133870</v>
      </c>
      <c r="K143" s="375">
        <v>119199</v>
      </c>
      <c r="L143" s="615"/>
      <c r="M143" s="615">
        <f t="shared" si="22"/>
        <v>133870</v>
      </c>
      <c r="N143" s="375">
        <v>-14671</v>
      </c>
      <c r="O143" s="783">
        <f t="shared" si="23"/>
        <v>119199</v>
      </c>
      <c r="P143" s="7" t="str">
        <f>VLOOKUP(H143,Sheet4!A:C,3,0)</f>
        <v xml:space="preserve">multiple </v>
      </c>
    </row>
    <row r="144" spans="1:16" s="74" customFormat="1" ht="12.75" x14ac:dyDescent="0.2">
      <c r="B144" s="229" t="s">
        <v>128</v>
      </c>
      <c r="C144" s="251" t="s">
        <v>160</v>
      </c>
      <c r="D144" s="229" t="s">
        <v>351</v>
      </c>
      <c r="E144" s="229"/>
      <c r="F144" s="229" t="s">
        <v>408</v>
      </c>
      <c r="G144" s="49" t="s">
        <v>153</v>
      </c>
      <c r="H144" s="49" t="s">
        <v>17</v>
      </c>
      <c r="I144" s="375">
        <v>10000</v>
      </c>
      <c r="J144" s="783">
        <v>10000</v>
      </c>
      <c r="K144" s="375">
        <f>9772.06+1196.97</f>
        <v>10969.029999999999</v>
      </c>
      <c r="L144" s="615"/>
      <c r="M144" s="615">
        <f t="shared" si="22"/>
        <v>10000</v>
      </c>
      <c r="N144" s="375">
        <v>-10000</v>
      </c>
      <c r="O144" s="783">
        <f t="shared" si="23"/>
        <v>0</v>
      </c>
      <c r="P144" s="7" t="str">
        <f>VLOOKUP(H144,Sheet4!A:C,3,0)</f>
        <v xml:space="preserve">multiple </v>
      </c>
    </row>
    <row r="145" spans="2:16" s="74" customFormat="1" ht="12.75" x14ac:dyDescent="0.2">
      <c r="B145" s="229" t="s">
        <v>128</v>
      </c>
      <c r="C145" s="251" t="s">
        <v>160</v>
      </c>
      <c r="D145" s="229" t="s">
        <v>72</v>
      </c>
      <c r="E145" s="229"/>
      <c r="F145" s="229"/>
      <c r="G145" s="49" t="s">
        <v>153</v>
      </c>
      <c r="H145" s="49" t="s">
        <v>18</v>
      </c>
      <c r="I145" s="375">
        <v>78700</v>
      </c>
      <c r="J145" s="783">
        <v>78700</v>
      </c>
      <c r="K145" s="375">
        <v>77700</v>
      </c>
      <c r="L145" s="615"/>
      <c r="M145" s="615">
        <f t="shared" si="22"/>
        <v>78700</v>
      </c>
      <c r="N145" s="375"/>
      <c r="O145" s="783">
        <f t="shared" si="23"/>
        <v>78700</v>
      </c>
      <c r="P145" s="7" t="str">
        <f>VLOOKUP(H145,Sheet4!A:C,3,0)</f>
        <v xml:space="preserve">multiple </v>
      </c>
    </row>
    <row r="146" spans="2:16" s="74" customFormat="1" ht="12.75" x14ac:dyDescent="0.2">
      <c r="B146" s="221" t="s">
        <v>128</v>
      </c>
      <c r="C146" s="281" t="s">
        <v>161</v>
      </c>
      <c r="D146" s="221" t="s">
        <v>76</v>
      </c>
      <c r="E146" s="221"/>
      <c r="F146" s="221"/>
      <c r="G146" s="17" t="s">
        <v>153</v>
      </c>
      <c r="H146" s="17" t="s">
        <v>18</v>
      </c>
      <c r="I146" s="375">
        <v>4000</v>
      </c>
      <c r="J146" s="783">
        <v>4000</v>
      </c>
      <c r="K146" s="375">
        <v>0</v>
      </c>
      <c r="L146" s="615"/>
      <c r="M146" s="615">
        <f t="shared" si="22"/>
        <v>4000</v>
      </c>
      <c r="N146" s="375"/>
      <c r="O146" s="783">
        <f t="shared" si="23"/>
        <v>4000</v>
      </c>
      <c r="P146" s="7" t="str">
        <f>VLOOKUP(H146,Sheet4!A:C,3,0)</f>
        <v xml:space="preserve">multiple </v>
      </c>
    </row>
    <row r="147" spans="2:16" s="74" customFormat="1" ht="12.75" x14ac:dyDescent="0.2">
      <c r="B147" s="283" t="s">
        <v>128</v>
      </c>
      <c r="C147" s="286" t="s">
        <v>160</v>
      </c>
      <c r="D147" s="283" t="s">
        <v>73</v>
      </c>
      <c r="E147" s="229"/>
      <c r="F147" s="6"/>
      <c r="G147" s="5" t="s">
        <v>176</v>
      </c>
      <c r="H147" s="32" t="s">
        <v>20</v>
      </c>
      <c r="I147" s="375">
        <v>15000</v>
      </c>
      <c r="J147" s="783">
        <f>VLOOKUP(H147,'cognos as of Aug 2'!A:F,6,0)</f>
        <v>15000</v>
      </c>
      <c r="K147" s="375">
        <f>VLOOKUP(H147,'cognos as of Aug 2'!A:G,7,0)</f>
        <v>12169.14</v>
      </c>
      <c r="L147" s="615"/>
      <c r="M147" s="615">
        <f t="shared" si="22"/>
        <v>15000</v>
      </c>
      <c r="N147" s="375"/>
      <c r="O147" s="783">
        <f t="shared" si="23"/>
        <v>15000</v>
      </c>
      <c r="P147" s="7">
        <f>VLOOKUP(H147,Sheet4!A:C,3,0)</f>
        <v>0</v>
      </c>
    </row>
    <row r="148" spans="2:16" s="74" customFormat="1" ht="12.75" x14ac:dyDescent="0.2">
      <c r="B148" s="259" t="s">
        <v>128</v>
      </c>
      <c r="C148" s="281" t="s">
        <v>160</v>
      </c>
      <c r="D148" s="259" t="s">
        <v>75</v>
      </c>
      <c r="E148" s="259"/>
      <c r="F148" s="259"/>
      <c r="G148" s="33" t="s">
        <v>176</v>
      </c>
      <c r="H148" s="33" t="s">
        <v>23</v>
      </c>
      <c r="I148" s="375">
        <v>50000</v>
      </c>
      <c r="J148" s="783">
        <f>VLOOKUP(H148,'cognos as of Aug 2'!A:F,6,0)</f>
        <v>50000</v>
      </c>
      <c r="K148" s="375">
        <f>VLOOKUP(H148,'cognos as of Aug 2'!A:G,7,0)</f>
        <v>42757.18</v>
      </c>
      <c r="L148" s="615"/>
      <c r="M148" s="615">
        <f t="shared" si="22"/>
        <v>50000</v>
      </c>
      <c r="N148" s="375"/>
      <c r="O148" s="783">
        <f t="shared" si="23"/>
        <v>50000</v>
      </c>
      <c r="P148" s="7">
        <f>VLOOKUP(H148,Sheet4!A:C,3,0)</f>
        <v>0</v>
      </c>
    </row>
    <row r="149" spans="2:16" s="74" customFormat="1" ht="12.75" x14ac:dyDescent="0.2">
      <c r="B149" s="283" t="s">
        <v>128</v>
      </c>
      <c r="C149" s="285" t="s">
        <v>160</v>
      </c>
      <c r="D149" s="283" t="s">
        <v>77</v>
      </c>
      <c r="E149" s="229"/>
      <c r="F149" s="6"/>
      <c r="G149" s="5" t="s">
        <v>153</v>
      </c>
      <c r="H149" s="32" t="s">
        <v>271</v>
      </c>
      <c r="I149" s="375">
        <v>140000</v>
      </c>
      <c r="J149" s="783">
        <f>VLOOKUP(H149,'cognos as of Aug 2'!A:F,6,0)</f>
        <v>140000</v>
      </c>
      <c r="K149" s="375">
        <f>VLOOKUP(H149,'cognos as of Aug 2'!A:G,7,0)</f>
        <v>135925.82</v>
      </c>
      <c r="L149" s="615"/>
      <c r="M149" s="615">
        <f t="shared" si="22"/>
        <v>140000</v>
      </c>
      <c r="N149" s="375"/>
      <c r="O149" s="783">
        <f t="shared" si="23"/>
        <v>140000</v>
      </c>
      <c r="P149" s="7">
        <f>VLOOKUP(H149,Sheet4!A:C,3,0)</f>
        <v>0</v>
      </c>
    </row>
    <row r="150" spans="2:16" s="74" customFormat="1" ht="12.75" x14ac:dyDescent="0.2">
      <c r="B150" s="283" t="s">
        <v>298</v>
      </c>
      <c r="C150" s="286" t="s">
        <v>161</v>
      </c>
      <c r="D150" s="283" t="s">
        <v>87</v>
      </c>
      <c r="E150" s="229"/>
      <c r="F150" s="6"/>
      <c r="G150" s="5" t="s">
        <v>163</v>
      </c>
      <c r="H150" s="32" t="s">
        <v>40</v>
      </c>
      <c r="I150" s="375">
        <v>4000</v>
      </c>
      <c r="J150" s="783">
        <f>VLOOKUP(H150,'cognos as of Aug 2'!A:F,6,0)</f>
        <v>4000</v>
      </c>
      <c r="K150" s="375">
        <f>VLOOKUP(H150,'cognos as of Aug 2'!A:G,7,0)</f>
        <v>228.28</v>
      </c>
      <c r="L150" s="615"/>
      <c r="M150" s="615">
        <f t="shared" si="22"/>
        <v>4000</v>
      </c>
      <c r="N150" s="375"/>
      <c r="O150" s="783">
        <f t="shared" si="23"/>
        <v>4000</v>
      </c>
      <c r="P150" s="7">
        <f>VLOOKUP(H150,Sheet4!A:C,3,0)</f>
        <v>0</v>
      </c>
    </row>
    <row r="151" spans="2:16" s="74" customFormat="1" ht="12.75" x14ac:dyDescent="0.2">
      <c r="B151" s="229" t="s">
        <v>298</v>
      </c>
      <c r="C151" s="354" t="s">
        <v>126</v>
      </c>
      <c r="D151" s="229" t="s">
        <v>175</v>
      </c>
      <c r="E151" s="229"/>
      <c r="F151" s="229"/>
      <c r="G151" s="49" t="s">
        <v>153</v>
      </c>
      <c r="H151" s="49" t="s">
        <v>33</v>
      </c>
      <c r="I151" s="375">
        <v>65000</v>
      </c>
      <c r="J151" s="783">
        <v>65000</v>
      </c>
      <c r="K151" s="375">
        <v>65000</v>
      </c>
      <c r="L151" s="615"/>
      <c r="M151" s="615">
        <f t="shared" si="22"/>
        <v>65000</v>
      </c>
      <c r="N151" s="375"/>
      <c r="O151" s="783">
        <f t="shared" si="23"/>
        <v>65000</v>
      </c>
      <c r="P151" s="7" t="str">
        <f>VLOOKUP(H151,Sheet4!A:C,3,0)</f>
        <v xml:space="preserve">multiple </v>
      </c>
    </row>
    <row r="152" spans="2:16" s="74" customFormat="1" ht="12.75" x14ac:dyDescent="0.2">
      <c r="B152" s="227" t="s">
        <v>298</v>
      </c>
      <c r="C152" s="292" t="s">
        <v>126</v>
      </c>
      <c r="D152" s="227" t="s">
        <v>761</v>
      </c>
      <c r="E152" s="490"/>
      <c r="F152" s="490" t="s">
        <v>747</v>
      </c>
      <c r="G152" s="34" t="s">
        <v>153</v>
      </c>
      <c r="H152" s="34" t="s">
        <v>33</v>
      </c>
      <c r="I152" s="375">
        <v>70000</v>
      </c>
      <c r="J152" s="783">
        <v>70000</v>
      </c>
      <c r="K152" s="375">
        <f>VLOOKUP(H152,'cognos as of Aug 2'!A:G,7,0)-K151</f>
        <v>69610.040000000008</v>
      </c>
      <c r="L152" s="615"/>
      <c r="M152" s="615">
        <f t="shared" si="22"/>
        <v>70000</v>
      </c>
      <c r="N152" s="375">
        <f>(6154-5833)*12</f>
        <v>3852</v>
      </c>
      <c r="O152" s="783">
        <f t="shared" si="23"/>
        <v>73852</v>
      </c>
      <c r="P152" s="7" t="str">
        <f>VLOOKUP(H152,Sheet4!A:C,3,0)</f>
        <v xml:space="preserve">multiple </v>
      </c>
    </row>
    <row r="153" spans="2:16" s="74" customFormat="1" ht="12.75" x14ac:dyDescent="0.2">
      <c r="B153" s="227" t="s">
        <v>298</v>
      </c>
      <c r="C153" s="825"/>
      <c r="D153" s="799" t="s">
        <v>762</v>
      </c>
      <c r="E153" s="490"/>
      <c r="F153" s="231" t="s">
        <v>763</v>
      </c>
      <c r="G153" s="34" t="s">
        <v>153</v>
      </c>
      <c r="H153" s="34" t="s">
        <v>33</v>
      </c>
      <c r="I153" s="375">
        <v>0</v>
      </c>
      <c r="J153" s="783">
        <v>0</v>
      </c>
      <c r="K153" s="375">
        <v>0</v>
      </c>
      <c r="L153" s="615"/>
      <c r="M153" s="615">
        <f t="shared" si="22"/>
        <v>0</v>
      </c>
      <c r="N153" s="375">
        <v>20205</v>
      </c>
      <c r="O153" s="783">
        <f t="shared" si="23"/>
        <v>20205</v>
      </c>
      <c r="P153" s="7"/>
    </row>
    <row r="154" spans="2:16" s="74" customFormat="1" ht="12.75" x14ac:dyDescent="0.2">
      <c r="B154" s="283" t="s">
        <v>298</v>
      </c>
      <c r="C154" s="277" t="s">
        <v>126</v>
      </c>
      <c r="D154" s="221" t="s">
        <v>86</v>
      </c>
      <c r="E154" s="259"/>
      <c r="F154" s="231"/>
      <c r="G154" s="33" t="s">
        <v>150</v>
      </c>
      <c r="H154" s="17" t="s">
        <v>32</v>
      </c>
      <c r="I154" s="375">
        <v>43900</v>
      </c>
      <c r="J154" s="783">
        <f>VLOOKUP(H154,'cognos as of Aug 2'!A:F,6,0)</f>
        <v>43900</v>
      </c>
      <c r="K154" s="375">
        <f>VLOOKUP(H154,'cognos as of Aug 2'!A:G,7,0)</f>
        <v>41591.07</v>
      </c>
      <c r="L154" s="615"/>
      <c r="M154" s="615">
        <f t="shared" si="22"/>
        <v>43900</v>
      </c>
      <c r="N154" s="375"/>
      <c r="O154" s="783">
        <f t="shared" si="23"/>
        <v>43900</v>
      </c>
      <c r="P154" s="7">
        <f>VLOOKUP(H154,Sheet4!A:C,3,0)</f>
        <v>0</v>
      </c>
    </row>
    <row r="155" spans="2:16" s="74" customFormat="1" ht="12.75" x14ac:dyDescent="0.2">
      <c r="B155" s="283" t="s">
        <v>298</v>
      </c>
      <c r="C155" s="284" t="s">
        <v>126</v>
      </c>
      <c r="D155" s="283" t="s">
        <v>82</v>
      </c>
      <c r="E155" s="231"/>
      <c r="F155" s="231"/>
      <c r="G155" s="21" t="s">
        <v>176</v>
      </c>
      <c r="H155" s="32" t="s">
        <v>34</v>
      </c>
      <c r="I155" s="375">
        <v>90000</v>
      </c>
      <c r="J155" s="783">
        <f>VLOOKUP(H155,'cognos as of Aug 2'!A:F,6,0)</f>
        <v>90000</v>
      </c>
      <c r="K155" s="375">
        <f>VLOOKUP(H155,'cognos as of Aug 2'!A:G,7,0)</f>
        <v>85853.96</v>
      </c>
      <c r="L155" s="615"/>
      <c r="M155" s="615">
        <f t="shared" si="22"/>
        <v>90000</v>
      </c>
      <c r="N155" s="375"/>
      <c r="O155" s="783">
        <f t="shared" si="23"/>
        <v>90000</v>
      </c>
      <c r="P155" s="7">
        <f>VLOOKUP(H155,Sheet4!A:C,3,0)</f>
        <v>0</v>
      </c>
    </row>
    <row r="156" spans="2:16" s="74" customFormat="1" ht="12.75" x14ac:dyDescent="0.2">
      <c r="B156" s="283" t="s">
        <v>298</v>
      </c>
      <c r="C156" s="284" t="s">
        <v>126</v>
      </c>
      <c r="D156" s="283" t="s">
        <v>330</v>
      </c>
      <c r="E156" s="231"/>
      <c r="F156" s="231"/>
      <c r="G156" s="21" t="s">
        <v>168</v>
      </c>
      <c r="H156" s="32" t="s">
        <v>35</v>
      </c>
      <c r="I156" s="375">
        <v>3000</v>
      </c>
      <c r="J156" s="783">
        <f>VLOOKUP(H156,'cognos as of Aug 2'!A:F,6,0)</f>
        <v>3000</v>
      </c>
      <c r="K156" s="375">
        <f>VLOOKUP(H156,'cognos as of Aug 2'!A:G,7,0)</f>
        <v>1950.67</v>
      </c>
      <c r="L156" s="615"/>
      <c r="M156" s="615">
        <f t="shared" si="22"/>
        <v>3000</v>
      </c>
      <c r="N156" s="375"/>
      <c r="O156" s="783">
        <f t="shared" si="23"/>
        <v>3000</v>
      </c>
      <c r="P156" s="7">
        <f>VLOOKUP(H156,Sheet4!A:C,3,0)</f>
        <v>0</v>
      </c>
    </row>
    <row r="157" spans="2:16" s="74" customFormat="1" ht="12.75" x14ac:dyDescent="0.2">
      <c r="B157" s="283" t="s">
        <v>298</v>
      </c>
      <c r="C157" s="284" t="s">
        <v>126</v>
      </c>
      <c r="D157" s="283" t="s">
        <v>83</v>
      </c>
      <c r="E157" s="231"/>
      <c r="F157" s="231"/>
      <c r="G157" s="21" t="s">
        <v>150</v>
      </c>
      <c r="H157" s="32" t="s">
        <v>36</v>
      </c>
      <c r="I157" s="375">
        <v>5200</v>
      </c>
      <c r="J157" s="783">
        <f>VLOOKUP(H157,'cognos as of Aug 2'!A:F,6,0)</f>
        <v>5200</v>
      </c>
      <c r="K157" s="375">
        <f>VLOOKUP(H157,'cognos as of Aug 2'!A:G,7,0)</f>
        <v>0</v>
      </c>
      <c r="L157" s="615"/>
      <c r="M157" s="615">
        <f t="shared" si="22"/>
        <v>5200</v>
      </c>
      <c r="N157" s="375"/>
      <c r="O157" s="783">
        <f t="shared" si="23"/>
        <v>5200</v>
      </c>
      <c r="P157" s="7">
        <f>VLOOKUP(H157,Sheet4!A:C,3,0)</f>
        <v>0</v>
      </c>
    </row>
    <row r="158" spans="2:16" s="74" customFormat="1" ht="12.75" x14ac:dyDescent="0.2">
      <c r="B158" s="283" t="s">
        <v>298</v>
      </c>
      <c r="C158" s="228" t="s">
        <v>126</v>
      </c>
      <c r="D158" s="6" t="s">
        <v>84</v>
      </c>
      <c r="E158" s="229"/>
      <c r="F158" s="6"/>
      <c r="G158" s="5" t="s">
        <v>150</v>
      </c>
      <c r="H158" s="5" t="s">
        <v>37</v>
      </c>
      <c r="I158" s="375">
        <v>1000</v>
      </c>
      <c r="J158" s="783">
        <f>VLOOKUP(H158,'cognos as of Aug 2'!A:F,6,0)</f>
        <v>1000</v>
      </c>
      <c r="K158" s="375">
        <f>VLOOKUP(H158,'cognos as of Aug 2'!A:G,7,0)</f>
        <v>0</v>
      </c>
      <c r="L158" s="615"/>
      <c r="M158" s="615">
        <f t="shared" si="22"/>
        <v>1000</v>
      </c>
      <c r="N158" s="375"/>
      <c r="O158" s="783">
        <f t="shared" si="23"/>
        <v>1000</v>
      </c>
      <c r="P158" s="7">
        <f>VLOOKUP(H158,Sheet4!A:C,3,0)</f>
        <v>0</v>
      </c>
    </row>
    <row r="159" spans="2:16" s="74" customFormat="1" ht="12.75" hidden="1" outlineLevel="1" x14ac:dyDescent="0.2">
      <c r="B159" s="689"/>
      <c r="C159" s="711"/>
      <c r="D159" s="689" t="s">
        <v>156</v>
      </c>
      <c r="E159" s="689"/>
      <c r="F159" s="689"/>
      <c r="G159" s="717" t="s">
        <v>320</v>
      </c>
      <c r="H159" s="717" t="s">
        <v>314</v>
      </c>
      <c r="I159" s="375">
        <v>35000</v>
      </c>
      <c r="J159" s="783">
        <f>VLOOKUP(H159,'cognos as of Aug 2'!A:F,6,0)</f>
        <v>35000</v>
      </c>
      <c r="K159" s="375">
        <f>VLOOKUP(H159,'cognos as of Aug 2'!A:G,7,0)</f>
        <v>34547.660000000003</v>
      </c>
      <c r="L159" s="615">
        <v>3000</v>
      </c>
      <c r="M159" s="615">
        <f t="shared" si="22"/>
        <v>38000</v>
      </c>
      <c r="N159" s="375"/>
      <c r="O159" s="783">
        <f t="shared" si="23"/>
        <v>38000</v>
      </c>
      <c r="P159" s="7">
        <f>VLOOKUP(H159,Sheet4!A:C,3,0)</f>
        <v>0</v>
      </c>
    </row>
    <row r="160" spans="2:16" s="74" customFormat="1" ht="12.75" hidden="1" outlineLevel="1" x14ac:dyDescent="0.2">
      <c r="B160" s="689"/>
      <c r="C160" s="711"/>
      <c r="D160" s="689" t="s">
        <v>157</v>
      </c>
      <c r="E160" s="689"/>
      <c r="F160" s="689"/>
      <c r="G160" s="717" t="s">
        <v>321</v>
      </c>
      <c r="H160" s="717" t="s">
        <v>315</v>
      </c>
      <c r="I160" s="375">
        <v>9210</v>
      </c>
      <c r="J160" s="783">
        <f>VLOOKUP(H160,'cognos as of Aug 2'!A:F,6,0)</f>
        <v>9660</v>
      </c>
      <c r="K160" s="375">
        <f>VLOOKUP(H160,'cognos as of Aug 2'!A:G,7,0)</f>
        <v>9525</v>
      </c>
      <c r="L160" s="615">
        <v>-4086</v>
      </c>
      <c r="M160" s="615">
        <f t="shared" si="22"/>
        <v>5124</v>
      </c>
      <c r="N160" s="375"/>
      <c r="O160" s="783">
        <f t="shared" si="23"/>
        <v>5124</v>
      </c>
      <c r="P160" s="7">
        <f>VLOOKUP(H160,Sheet4!A:C,3,0)</f>
        <v>0</v>
      </c>
    </row>
    <row r="161" spans="2:16" s="74" customFormat="1" ht="12.75" hidden="1" outlineLevel="1" x14ac:dyDescent="0.2">
      <c r="B161" s="706"/>
      <c r="C161" s="718"/>
      <c r="D161" s="706" t="s">
        <v>354</v>
      </c>
      <c r="E161" s="706"/>
      <c r="F161" s="706"/>
      <c r="G161" s="717"/>
      <c r="H161" s="717" t="s">
        <v>355</v>
      </c>
      <c r="I161" s="375">
        <v>4590</v>
      </c>
      <c r="J161" s="783">
        <f>VLOOKUP(H161,'cognos as of Aug 2'!A:F,6,0)</f>
        <v>4590</v>
      </c>
      <c r="K161" s="375">
        <f>VLOOKUP(H161,'cognos as of Aug 2'!A:G,7,0)</f>
        <v>4590</v>
      </c>
      <c r="L161" s="615"/>
      <c r="M161" s="615">
        <f t="shared" si="22"/>
        <v>4590</v>
      </c>
      <c r="N161" s="375"/>
      <c r="O161" s="783">
        <f t="shared" si="23"/>
        <v>4590</v>
      </c>
      <c r="P161" s="7">
        <f>VLOOKUP(H161,Sheet4!A:C,3,0)</f>
        <v>0</v>
      </c>
    </row>
    <row r="162" spans="2:16" s="74" customFormat="1" ht="12.75" hidden="1" outlineLevel="1" x14ac:dyDescent="0.2">
      <c r="B162" s="689"/>
      <c r="C162" s="711"/>
      <c r="D162" s="689" t="s">
        <v>158</v>
      </c>
      <c r="E162" s="689"/>
      <c r="F162" s="689"/>
      <c r="G162" s="717" t="s">
        <v>150</v>
      </c>
      <c r="H162" s="717" t="s">
        <v>316</v>
      </c>
      <c r="I162" s="375">
        <v>11000</v>
      </c>
      <c r="J162" s="783">
        <f>VLOOKUP(H162,'cognos as of Aug 2'!A:F,6,0)</f>
        <v>13059</v>
      </c>
      <c r="K162" s="375">
        <f>VLOOKUP(H162,'cognos as of Aug 2'!A:G,7,0)</f>
        <v>12661.84</v>
      </c>
      <c r="L162" s="615">
        <v>2700</v>
      </c>
      <c r="M162" s="615">
        <f t="shared" si="22"/>
        <v>13700</v>
      </c>
      <c r="N162" s="375"/>
      <c r="O162" s="783">
        <f t="shared" si="23"/>
        <v>13700</v>
      </c>
      <c r="P162" s="7">
        <f>VLOOKUP(H162,Sheet4!A:C,3,0)</f>
        <v>0</v>
      </c>
    </row>
    <row r="163" spans="2:16" s="74" customFormat="1" ht="12.75" hidden="1" outlineLevel="1" x14ac:dyDescent="0.2">
      <c r="B163" s="689"/>
      <c r="C163" s="711"/>
      <c r="D163" s="689" t="s">
        <v>159</v>
      </c>
      <c r="E163" s="689"/>
      <c r="F163" s="689"/>
      <c r="G163" s="717" t="s">
        <v>322</v>
      </c>
      <c r="H163" s="717" t="s">
        <v>317</v>
      </c>
      <c r="I163" s="375">
        <v>7000</v>
      </c>
      <c r="J163" s="783">
        <f>VLOOKUP(H163,'cognos as of Aug 2'!A:F,6,0)</f>
        <v>6550</v>
      </c>
      <c r="K163" s="375">
        <f>VLOOKUP(H163,'cognos as of Aug 2'!A:G,7,0)</f>
        <v>6286.92</v>
      </c>
      <c r="L163" s="615"/>
      <c r="M163" s="615">
        <f t="shared" si="22"/>
        <v>7000</v>
      </c>
      <c r="N163" s="375"/>
      <c r="O163" s="783">
        <f t="shared" si="23"/>
        <v>7000</v>
      </c>
      <c r="P163" s="7">
        <f>VLOOKUP(H163,Sheet4!A:C,3,0)</f>
        <v>0</v>
      </c>
    </row>
    <row r="164" spans="2:16" s="446" customFormat="1" ht="12.75" collapsed="1" x14ac:dyDescent="0.2">
      <c r="B164" s="639" t="s">
        <v>130</v>
      </c>
      <c r="C164" s="640" t="s">
        <v>295</v>
      </c>
      <c r="D164" s="639" t="s">
        <v>227</v>
      </c>
      <c r="E164" s="622"/>
      <c r="F164" s="639"/>
      <c r="G164" s="663" t="s">
        <v>323</v>
      </c>
      <c r="H164" s="669" t="s">
        <v>428</v>
      </c>
      <c r="I164" s="674">
        <v>66800</v>
      </c>
      <c r="J164" s="828">
        <f>SUM(J159:J163)</f>
        <v>68859</v>
      </c>
      <c r="K164" s="674">
        <f t="shared" ref="K164:L164" si="24">SUM(K159:K163)</f>
        <v>67611.42</v>
      </c>
      <c r="L164" s="726">
        <f t="shared" si="24"/>
        <v>1614</v>
      </c>
      <c r="M164" s="726">
        <f t="shared" si="22"/>
        <v>68414</v>
      </c>
      <c r="N164" s="674"/>
      <c r="O164" s="828">
        <f t="shared" si="23"/>
        <v>68414</v>
      </c>
      <c r="P164" s="7" t="e">
        <f>VLOOKUP(H164,Sheet4!A:C,3,0)</f>
        <v>#N/A</v>
      </c>
    </row>
    <row r="165" spans="2:16" s="74" customFormat="1" ht="12.75" x14ac:dyDescent="0.2">
      <c r="B165" s="229" t="s">
        <v>130</v>
      </c>
      <c r="C165" s="354" t="s">
        <v>295</v>
      </c>
      <c r="D165" s="229" t="s">
        <v>412</v>
      </c>
      <c r="E165" s="229"/>
      <c r="F165" s="229"/>
      <c r="G165" s="49" t="s">
        <v>324</v>
      </c>
      <c r="H165" s="49" t="s">
        <v>318</v>
      </c>
      <c r="I165" s="375">
        <v>7600</v>
      </c>
      <c r="J165" s="783">
        <f>VLOOKUP(H165,'cognos as of Aug 2'!A:F,6,0)</f>
        <v>7600</v>
      </c>
      <c r="K165" s="375">
        <f>VLOOKUP(H165,'cognos as of Aug 2'!A:G,7,0)</f>
        <v>8293.4500000000007</v>
      </c>
      <c r="L165" s="615">
        <v>4524</v>
      </c>
      <c r="M165" s="615">
        <f t="shared" si="22"/>
        <v>12124</v>
      </c>
      <c r="N165" s="375"/>
      <c r="O165" s="783">
        <f t="shared" si="23"/>
        <v>12124</v>
      </c>
      <c r="P165" s="7">
        <f>VLOOKUP(H165,Sheet4!A:C,3,0)</f>
        <v>0</v>
      </c>
    </row>
    <row r="166" spans="2:16" s="74" customFormat="1" ht="12.75" x14ac:dyDescent="0.2">
      <c r="B166" s="221" t="s">
        <v>130</v>
      </c>
      <c r="C166" s="277" t="s">
        <v>295</v>
      </c>
      <c r="D166" s="221" t="s">
        <v>89</v>
      </c>
      <c r="E166" s="221"/>
      <c r="F166" s="221"/>
      <c r="G166" s="34" t="s">
        <v>324</v>
      </c>
      <c r="H166" s="34" t="s">
        <v>319</v>
      </c>
      <c r="I166" s="375">
        <v>6200</v>
      </c>
      <c r="J166" s="783">
        <f>VLOOKUP(H166,'cognos as of Aug 2'!A:F,6,0)</f>
        <v>6200</v>
      </c>
      <c r="K166" s="375">
        <f>VLOOKUP(H166,'cognos as of Aug 2'!A:G,7,0)</f>
        <v>6200</v>
      </c>
      <c r="L166" s="615">
        <v>378</v>
      </c>
      <c r="M166" s="615">
        <f t="shared" si="22"/>
        <v>6578</v>
      </c>
      <c r="N166" s="375"/>
      <c r="O166" s="783">
        <f t="shared" si="23"/>
        <v>6578</v>
      </c>
      <c r="P166" s="7">
        <f>VLOOKUP(H166,Sheet4!A:C,3,0)</f>
        <v>0</v>
      </c>
    </row>
    <row r="167" spans="2:16" s="74" customFormat="1" ht="12.75" x14ac:dyDescent="0.2">
      <c r="B167" s="259" t="s">
        <v>131</v>
      </c>
      <c r="C167" s="285" t="s">
        <v>173</v>
      </c>
      <c r="D167" s="259" t="s">
        <v>136</v>
      </c>
      <c r="E167" s="259"/>
      <c r="F167" s="259"/>
      <c r="G167" s="33" t="s">
        <v>169</v>
      </c>
      <c r="H167" s="35" t="s">
        <v>146</v>
      </c>
      <c r="I167" s="375">
        <v>7000</v>
      </c>
      <c r="J167" s="783">
        <f>VLOOKUP(H167,'cognos as of Aug 2'!A:F,6,0)</f>
        <v>7000</v>
      </c>
      <c r="K167" s="375">
        <f>VLOOKUP(H167,'cognos as of Aug 2'!A:G,7,0)</f>
        <v>7438.91</v>
      </c>
      <c r="L167" s="615"/>
      <c r="M167" s="615">
        <f t="shared" si="22"/>
        <v>7000</v>
      </c>
      <c r="N167" s="375"/>
      <c r="O167" s="783">
        <f t="shared" si="23"/>
        <v>7000</v>
      </c>
      <c r="P167" s="7">
        <f>VLOOKUP(H167,Sheet4!A:C,3,0)</f>
        <v>0</v>
      </c>
    </row>
    <row r="168" spans="2:16" s="74" customFormat="1" ht="12.75" x14ac:dyDescent="0.2">
      <c r="B168" s="278" t="s">
        <v>132</v>
      </c>
      <c r="C168" s="284" t="s">
        <v>127</v>
      </c>
      <c r="D168" s="283" t="s">
        <v>94</v>
      </c>
      <c r="E168" s="229"/>
      <c r="F168" s="228"/>
      <c r="G168" s="114" t="s">
        <v>154</v>
      </c>
      <c r="H168" s="32" t="s">
        <v>46</v>
      </c>
      <c r="I168" s="375">
        <v>25000</v>
      </c>
      <c r="J168" s="783">
        <f>VLOOKUP(H168,'cognos as of Aug 2'!A:F,6,0)</f>
        <v>25000</v>
      </c>
      <c r="K168" s="375">
        <f>VLOOKUP(H168,'cognos as of Aug 2'!A:G,7,0)</f>
        <v>25000</v>
      </c>
      <c r="L168" s="615">
        <v>-25000</v>
      </c>
      <c r="M168" s="615">
        <f t="shared" si="22"/>
        <v>0</v>
      </c>
      <c r="N168" s="375"/>
      <c r="O168" s="783">
        <f t="shared" si="23"/>
        <v>0</v>
      </c>
      <c r="P168" s="7">
        <f>VLOOKUP(H168,Sheet4!A:C,3,0)</f>
        <v>0</v>
      </c>
    </row>
    <row r="169" spans="2:16" s="74" customFormat="1" ht="12.75" x14ac:dyDescent="0.2">
      <c r="B169" s="283" t="s">
        <v>129</v>
      </c>
      <c r="C169" s="232" t="s">
        <v>145</v>
      </c>
      <c r="D169" s="283" t="s">
        <v>55</v>
      </c>
      <c r="E169" s="229"/>
      <c r="F169" s="6"/>
      <c r="G169" s="5" t="s">
        <v>288</v>
      </c>
      <c r="H169" s="32" t="s">
        <v>54</v>
      </c>
      <c r="I169" s="375">
        <v>60000</v>
      </c>
      <c r="J169" s="783">
        <f>VLOOKUP(H169,'cognos as of Aug 2'!A:F,6,0)</f>
        <v>60000</v>
      </c>
      <c r="K169" s="375">
        <f>VLOOKUP(H169,'cognos as of Aug 2'!A:G,7,0)</f>
        <v>57233.01</v>
      </c>
      <c r="L169" s="615"/>
      <c r="M169" s="615">
        <f t="shared" si="22"/>
        <v>60000</v>
      </c>
      <c r="N169" s="375"/>
      <c r="O169" s="783">
        <f t="shared" si="23"/>
        <v>60000</v>
      </c>
      <c r="P169" s="7">
        <f>VLOOKUP(H169,Sheet4!A:C,3,0)</f>
        <v>0</v>
      </c>
    </row>
    <row r="170" spans="2:16" s="74" customFormat="1" ht="13.5" thickBot="1" x14ac:dyDescent="0.25">
      <c r="B170" s="259" t="s">
        <v>131</v>
      </c>
      <c r="C170" s="232" t="s">
        <v>145</v>
      </c>
      <c r="D170" s="283" t="s">
        <v>110</v>
      </c>
      <c r="E170" s="229"/>
      <c r="F170" s="6"/>
      <c r="G170" s="5" t="s">
        <v>166</v>
      </c>
      <c r="H170" s="32" t="s">
        <v>778</v>
      </c>
      <c r="I170" s="375">
        <v>21100</v>
      </c>
      <c r="J170" s="783" t="e">
        <f>VLOOKUP(H170,'cognos as of Aug 2'!A:F,6,0)</f>
        <v>#N/A</v>
      </c>
      <c r="K170" s="375" t="e">
        <f>VLOOKUP(H170,'cognos as of Aug 2'!A:G,7,0)</f>
        <v>#N/A</v>
      </c>
      <c r="L170" s="615"/>
      <c r="M170" s="615">
        <f t="shared" si="22"/>
        <v>21100</v>
      </c>
      <c r="N170" s="375"/>
      <c r="O170" s="783">
        <f t="shared" si="23"/>
        <v>21100</v>
      </c>
      <c r="P170" s="7" t="e">
        <f>VLOOKUP(H170,Sheet4!A:C,3,0)</f>
        <v>#N/A</v>
      </c>
    </row>
    <row r="171" spans="2:16" s="204" customFormat="1" ht="13.5" thickBot="1" x14ac:dyDescent="0.25">
      <c r="B171" s="193"/>
      <c r="C171" s="194"/>
      <c r="D171" s="195"/>
      <c r="E171" s="195"/>
      <c r="F171" s="195"/>
      <c r="G171" s="195"/>
      <c r="H171" s="196" t="s">
        <v>115</v>
      </c>
      <c r="I171" s="125">
        <v>929190.6</v>
      </c>
      <c r="J171" s="621" t="e">
        <f t="shared" ref="J171:O171" si="25">SUM(J140:J158,J164:J170)</f>
        <v>#N/A</v>
      </c>
      <c r="K171" s="621" t="e">
        <f t="shared" si="25"/>
        <v>#N/A</v>
      </c>
      <c r="L171" s="621">
        <f t="shared" si="25"/>
        <v>-18484</v>
      </c>
      <c r="M171" s="829">
        <f t="shared" si="25"/>
        <v>910706.6</v>
      </c>
      <c r="N171" s="672">
        <f t="shared" si="25"/>
        <v>-465</v>
      </c>
      <c r="O171" s="829">
        <f t="shared" si="25"/>
        <v>910241.6</v>
      </c>
      <c r="P171" s="7"/>
    </row>
    <row r="172" spans="2:16" s="199" customFormat="1" ht="11.25" customHeight="1" x14ac:dyDescent="0.2">
      <c r="B172" s="198"/>
      <c r="D172" s="200"/>
      <c r="E172" s="200"/>
      <c r="F172" s="200"/>
      <c r="G172" s="200"/>
      <c r="H172" s="198"/>
      <c r="I172" s="822">
        <f>I171+I135</f>
        <v>15516063.1</v>
      </c>
      <c r="J172" s="863"/>
      <c r="K172" s="863"/>
      <c r="L172" s="7"/>
      <c r="M172" s="826">
        <f>SUM(I171,L171)</f>
        <v>910706.6</v>
      </c>
      <c r="N172" s="579"/>
      <c r="P172" s="7"/>
    </row>
    <row r="173" spans="2:16" s="126" customFormat="1" ht="10.5" customHeight="1" x14ac:dyDescent="0.2">
      <c r="B173" s="198"/>
      <c r="D173" s="200"/>
      <c r="E173" s="200"/>
      <c r="F173" s="200"/>
      <c r="G173" s="200"/>
      <c r="H173" s="198"/>
      <c r="I173" s="823"/>
      <c r="J173" s="572"/>
      <c r="K173" s="572"/>
      <c r="L173" s="7"/>
      <c r="M173" s="600"/>
      <c r="N173" s="569"/>
      <c r="P173" s="7"/>
    </row>
    <row r="174" spans="2:16" s="214" customFormat="1" ht="16.5" thickBot="1" x14ac:dyDescent="0.25">
      <c r="B174" s="198"/>
      <c r="D174" s="215"/>
      <c r="E174" s="215"/>
      <c r="F174" s="215"/>
      <c r="G174" s="215"/>
      <c r="H174" s="845" t="s">
        <v>773</v>
      </c>
      <c r="I174" s="744">
        <v>17194201.100000001</v>
      </c>
      <c r="J174" s="216" t="e">
        <f t="shared" ref="J174:O174" si="26">SUM(J32,J67,J135,J171)</f>
        <v>#N/A</v>
      </c>
      <c r="K174" s="216" t="e">
        <f t="shared" si="26"/>
        <v>#N/A</v>
      </c>
      <c r="L174" s="216">
        <f t="shared" si="26"/>
        <v>-516179</v>
      </c>
      <c r="M174" s="216">
        <f t="shared" si="26"/>
        <v>16678022.1</v>
      </c>
      <c r="N174" s="797">
        <f t="shared" si="26"/>
        <v>-68186</v>
      </c>
      <c r="O174" s="216">
        <f t="shared" si="26"/>
        <v>16609836.1</v>
      </c>
      <c r="P174" s="7"/>
    </row>
    <row r="175" spans="2:16" ht="9" customHeight="1" thickTop="1" x14ac:dyDescent="0.2">
      <c r="P175" s="7"/>
    </row>
    <row r="176" spans="2:16" ht="18" customHeight="1" thickBot="1" x14ac:dyDescent="0.25">
      <c r="B176" s="841" t="s">
        <v>771</v>
      </c>
      <c r="P176" s="7"/>
    </row>
    <row r="177" spans="1:16" ht="12.75" x14ac:dyDescent="0.2">
      <c r="B177" s="79" t="s">
        <v>118</v>
      </c>
      <c r="C177" s="80"/>
      <c r="D177" s="81"/>
      <c r="E177" s="81"/>
      <c r="F177" s="80"/>
      <c r="G177" s="80"/>
      <c r="H177" s="80"/>
      <c r="I177" s="739" t="s">
        <v>58</v>
      </c>
      <c r="J177" s="609">
        <v>0.91666666666666663</v>
      </c>
      <c r="K177" s="84" t="s">
        <v>123</v>
      </c>
      <c r="L177" s="721" t="s">
        <v>121</v>
      </c>
      <c r="M177" s="729" t="s">
        <v>406</v>
      </c>
      <c r="N177" s="842" t="s">
        <v>121</v>
      </c>
      <c r="O177" s="729" t="s">
        <v>406</v>
      </c>
      <c r="P177" s="7" t="e">
        <f>VLOOKUP(H177,Sheet4!A:C,3,0)</f>
        <v>#N/A</v>
      </c>
    </row>
    <row r="178" spans="1:16" s="74" customFormat="1" ht="13.5" thickBot="1" x14ac:dyDescent="0.25">
      <c r="B178" s="87" t="s">
        <v>148</v>
      </c>
      <c r="C178" s="88" t="s">
        <v>125</v>
      </c>
      <c r="D178" s="88" t="s">
        <v>61</v>
      </c>
      <c r="E178" s="88"/>
      <c r="F178" s="88" t="s">
        <v>147</v>
      </c>
      <c r="G178" s="88" t="s">
        <v>149</v>
      </c>
      <c r="H178" s="88" t="s">
        <v>62</v>
      </c>
      <c r="I178" s="740" t="s">
        <v>120</v>
      </c>
      <c r="J178" s="610" t="s">
        <v>272</v>
      </c>
      <c r="K178" s="91" t="s">
        <v>755</v>
      </c>
      <c r="L178" s="722" t="s">
        <v>122</v>
      </c>
      <c r="M178" s="827" t="s">
        <v>59</v>
      </c>
      <c r="N178" s="843" t="s">
        <v>122</v>
      </c>
      <c r="O178" s="827" t="s">
        <v>120</v>
      </c>
      <c r="P178" s="7" t="e">
        <f>VLOOKUP(H178,Sheet4!A:C,3,0)</f>
        <v>#N/A</v>
      </c>
    </row>
    <row r="179" spans="1:16" s="7" customFormat="1" ht="12" x14ac:dyDescent="0.2">
      <c r="B179" s="229" t="s">
        <v>627</v>
      </c>
      <c r="C179" s="354"/>
      <c r="D179" s="229" t="s">
        <v>764</v>
      </c>
      <c r="E179" s="832"/>
      <c r="F179" s="229" t="s">
        <v>775</v>
      </c>
      <c r="G179" s="49" t="s">
        <v>150</v>
      </c>
      <c r="H179" s="16" t="s">
        <v>765</v>
      </c>
      <c r="I179" s="375"/>
      <c r="J179" s="615"/>
      <c r="K179" s="833"/>
      <c r="L179" s="375">
        <v>0</v>
      </c>
      <c r="M179" s="844">
        <v>0</v>
      </c>
      <c r="N179" s="833">
        <v>26000</v>
      </c>
      <c r="O179" s="615">
        <f t="shared" ref="O179:O181" si="27">M179+N179</f>
        <v>26000</v>
      </c>
    </row>
    <row r="180" spans="1:16" s="7" customFormat="1" ht="12" x14ac:dyDescent="0.2">
      <c r="B180" s="229" t="s">
        <v>627</v>
      </c>
      <c r="C180" s="354"/>
      <c r="D180" s="229" t="s">
        <v>764</v>
      </c>
      <c r="E180" s="229"/>
      <c r="F180" s="229" t="s">
        <v>775</v>
      </c>
      <c r="G180" s="49" t="s">
        <v>150</v>
      </c>
      <c r="H180" s="49" t="s">
        <v>766</v>
      </c>
      <c r="I180" s="375"/>
      <c r="J180" s="615"/>
      <c r="K180" s="834"/>
      <c r="L180" s="375">
        <v>0</v>
      </c>
      <c r="M180" s="615">
        <v>0</v>
      </c>
      <c r="N180" s="834">
        <v>26000</v>
      </c>
      <c r="O180" s="615">
        <f t="shared" si="27"/>
        <v>26000</v>
      </c>
    </row>
    <row r="181" spans="1:16" s="7" customFormat="1" ht="12.75" x14ac:dyDescent="0.2">
      <c r="B181" s="229" t="s">
        <v>128</v>
      </c>
      <c r="C181" s="835"/>
      <c r="D181" s="836" t="s">
        <v>776</v>
      </c>
      <c r="E181" s="799"/>
      <c r="F181" s="799" t="s">
        <v>402</v>
      </c>
      <c r="G181" s="837" t="s">
        <v>176</v>
      </c>
      <c r="H181" s="838" t="s">
        <v>767</v>
      </c>
      <c r="I181" s="375"/>
      <c r="J181" s="615"/>
      <c r="K181" s="839"/>
      <c r="L181" s="375">
        <v>0</v>
      </c>
      <c r="M181" s="615">
        <v>0</v>
      </c>
      <c r="N181" s="834">
        <v>683000</v>
      </c>
      <c r="O181" s="615">
        <f t="shared" si="27"/>
        <v>683000</v>
      </c>
    </row>
    <row r="182" spans="1:16" s="631" customFormat="1" ht="12" x14ac:dyDescent="0.2">
      <c r="B182" s="229"/>
      <c r="C182" s="354"/>
      <c r="D182" s="229"/>
      <c r="E182" s="229"/>
      <c r="F182" s="229"/>
      <c r="G182" s="49"/>
      <c r="H182" s="49"/>
      <c r="I182" s="375"/>
      <c r="J182" s="615"/>
      <c r="K182" s="834"/>
      <c r="L182" s="375"/>
      <c r="M182" s="615"/>
      <c r="N182" s="834"/>
      <c r="O182" s="615"/>
    </row>
    <row r="183" spans="1:16" s="74" customFormat="1" ht="12.75" x14ac:dyDescent="0.2">
      <c r="B183" s="127"/>
      <c r="C183" s="731"/>
      <c r="D183" s="127"/>
      <c r="E183" s="127"/>
      <c r="F183" s="127"/>
      <c r="G183" s="127"/>
      <c r="H183" s="130"/>
      <c r="I183" s="840"/>
      <c r="J183" s="840"/>
      <c r="K183" s="840"/>
      <c r="L183" s="840"/>
      <c r="M183" s="840"/>
      <c r="N183" s="840"/>
      <c r="O183" s="840"/>
    </row>
    <row r="184" spans="1:16" x14ac:dyDescent="0.25">
      <c r="B184" s="492" t="s">
        <v>306</v>
      </c>
      <c r="K184" s="568"/>
      <c r="P184" s="7"/>
    </row>
    <row r="185" spans="1:16" ht="17.25" customHeight="1" x14ac:dyDescent="0.2">
      <c r="A185" s="75" t="s">
        <v>304</v>
      </c>
      <c r="B185" s="346" t="s">
        <v>234</v>
      </c>
      <c r="D185" s="345" t="s">
        <v>352</v>
      </c>
      <c r="F185" s="2"/>
      <c r="G185" s="3" t="s">
        <v>150</v>
      </c>
      <c r="H185" s="16" t="s">
        <v>307</v>
      </c>
      <c r="I185" s="615">
        <f>100253.51+20737</f>
        <v>120990.51</v>
      </c>
      <c r="J185" s="615">
        <f>100253.51+20737</f>
        <v>120990.51</v>
      </c>
      <c r="K185" s="615">
        <v>3586</v>
      </c>
      <c r="L185" s="615"/>
      <c r="M185" s="615">
        <f>SUM(I185,L185)</f>
        <v>120990.51</v>
      </c>
      <c r="N185" s="615">
        <v>-9681</v>
      </c>
      <c r="O185" s="615">
        <f t="shared" ref="O185:O189" si="28">M185+N185</f>
        <v>111309.51</v>
      </c>
      <c r="P185" s="7" t="str">
        <f>VLOOKUP(H185,Sheet4!A:C,3,0)</f>
        <v xml:space="preserve">multiple </v>
      </c>
    </row>
    <row r="186" spans="1:16" ht="17.25" customHeight="1" x14ac:dyDescent="0.2">
      <c r="A186" s="75" t="s">
        <v>304</v>
      </c>
      <c r="B186" s="346" t="s">
        <v>234</v>
      </c>
      <c r="D186" s="345" t="s">
        <v>396</v>
      </c>
      <c r="F186" s="2"/>
      <c r="G186" s="3" t="s">
        <v>150</v>
      </c>
      <c r="H186" s="16" t="s">
        <v>307</v>
      </c>
      <c r="I186" s="615"/>
      <c r="J186" s="615"/>
      <c r="K186" s="615">
        <v>0</v>
      </c>
      <c r="L186" s="615"/>
      <c r="M186" s="615"/>
      <c r="N186" s="615">
        <v>23620</v>
      </c>
      <c r="O186" s="615">
        <f t="shared" si="28"/>
        <v>23620</v>
      </c>
      <c r="P186" s="7" t="str">
        <f>VLOOKUP(H186,Sheet4!A:C,3,0)</f>
        <v xml:space="preserve">multiple </v>
      </c>
    </row>
    <row r="187" spans="1:16" ht="17.25" customHeight="1" x14ac:dyDescent="0.2">
      <c r="B187" s="524"/>
      <c r="D187" s="345"/>
      <c r="F187" s="10"/>
      <c r="G187" s="47"/>
      <c r="H187" s="16"/>
      <c r="I187" s="615"/>
      <c r="J187" s="615"/>
      <c r="K187" s="615"/>
      <c r="L187" s="615"/>
      <c r="M187" s="615"/>
      <c r="N187" s="615"/>
      <c r="O187" s="615"/>
      <c r="P187" s="7"/>
    </row>
    <row r="188" spans="1:16" ht="17.25" customHeight="1" x14ac:dyDescent="0.2">
      <c r="A188" s="75" t="s">
        <v>301</v>
      </c>
      <c r="B188" s="346" t="s">
        <v>234</v>
      </c>
      <c r="D188" s="345" t="s">
        <v>352</v>
      </c>
      <c r="F188" s="2"/>
      <c r="G188" s="3" t="s">
        <v>150</v>
      </c>
      <c r="H188" s="16" t="s">
        <v>344</v>
      </c>
      <c r="I188" s="615">
        <f>118118+18791</f>
        <v>136909</v>
      </c>
      <c r="J188" s="615">
        <f>118118+18791</f>
        <v>136909</v>
      </c>
      <c r="K188" s="615">
        <v>0</v>
      </c>
      <c r="L188" s="615"/>
      <c r="M188" s="615">
        <f>SUM(I188,L188)</f>
        <v>136909</v>
      </c>
      <c r="N188" s="615">
        <v>0</v>
      </c>
      <c r="O188" s="615">
        <f t="shared" si="28"/>
        <v>136909</v>
      </c>
      <c r="P188" s="7" t="str">
        <f>VLOOKUP(H188,Sheet4!A:C,3,0)</f>
        <v xml:space="preserve">multiple </v>
      </c>
    </row>
    <row r="189" spans="1:16" ht="17.25" customHeight="1" x14ac:dyDescent="0.2">
      <c r="A189" s="75" t="s">
        <v>301</v>
      </c>
      <c r="B189" s="346" t="s">
        <v>234</v>
      </c>
      <c r="D189" s="345" t="s">
        <v>396</v>
      </c>
      <c r="F189" s="2"/>
      <c r="G189" s="3" t="s">
        <v>150</v>
      </c>
      <c r="H189" s="16" t="s">
        <v>344</v>
      </c>
      <c r="I189" s="615"/>
      <c r="J189" s="615"/>
      <c r="K189" s="615">
        <v>0</v>
      </c>
      <c r="L189" s="615"/>
      <c r="M189" s="615"/>
      <c r="N189" s="615">
        <v>13741</v>
      </c>
      <c r="O189" s="615">
        <f t="shared" si="28"/>
        <v>13741</v>
      </c>
      <c r="P189" s="7" t="str">
        <f>VLOOKUP(H189,Sheet4!A:C,3,0)</f>
        <v xml:space="preserve">multiple </v>
      </c>
    </row>
    <row r="190" spans="1:16" s="530" customFormat="1" ht="17.25" customHeight="1" x14ac:dyDescent="0.2">
      <c r="B190" s="525"/>
      <c r="C190" s="531"/>
      <c r="D190" s="526"/>
      <c r="F190" s="1"/>
      <c r="G190" s="4"/>
      <c r="H190" s="527"/>
      <c r="I190" s="360"/>
      <c r="J190" s="583"/>
      <c r="K190" s="535"/>
      <c r="N190" s="583"/>
      <c r="O190" s="531"/>
    </row>
    <row r="191" spans="1:16" s="495" customFormat="1" ht="16.5" thickBot="1" x14ac:dyDescent="0.25">
      <c r="A191" s="493"/>
      <c r="B191" s="493"/>
      <c r="C191" s="494"/>
      <c r="D191" s="493"/>
      <c r="E191" s="493"/>
      <c r="F191" s="494"/>
      <c r="G191" s="494"/>
      <c r="H191" s="494" t="s">
        <v>772</v>
      </c>
      <c r="I191" s="559">
        <f>SUM(I174,I179:I189)</f>
        <v>17452100.610000003</v>
      </c>
      <c r="J191" s="559" t="e">
        <f>SUM(J174,#REF!,J185:J189)</f>
        <v>#REF!</v>
      </c>
      <c r="K191" s="559" t="e">
        <f>SUM(K174,#REF!,K185:K189)</f>
        <v>#REF!</v>
      </c>
      <c r="L191" s="559" t="e">
        <f>SUM(L174,#REF!,L185:L189)</f>
        <v>#REF!</v>
      </c>
      <c r="M191" s="559">
        <f>SUM(M174,M179:M189)</f>
        <v>16935921.609999999</v>
      </c>
      <c r="N191" s="559">
        <f>SUM(N174,N179:N189)</f>
        <v>694494</v>
      </c>
      <c r="O191" s="559">
        <f t="shared" ref="O191" si="29">SUM(O174,O179:O189)</f>
        <v>17630415.610000003</v>
      </c>
    </row>
    <row r="192" spans="1:16" ht="15.75" thickTop="1" x14ac:dyDescent="0.2">
      <c r="L192" s="76"/>
    </row>
    <row r="193" spans="1:15" s="77" customFormat="1" x14ac:dyDescent="0.2">
      <c r="A193" s="75"/>
      <c r="B193" s="75"/>
      <c r="C193" s="74"/>
      <c r="D193" s="75"/>
      <c r="E193" s="75"/>
      <c r="F193" s="74"/>
      <c r="G193" s="74"/>
      <c r="H193" s="74"/>
      <c r="I193" s="364"/>
      <c r="J193" s="568"/>
      <c r="K193" s="78"/>
      <c r="L193" s="76" t="e">
        <f>L191-L99-L134</f>
        <v>#REF!</v>
      </c>
      <c r="N193" s="568"/>
      <c r="O193" s="94"/>
    </row>
    <row r="196" spans="1:15" s="219" customFormat="1" x14ac:dyDescent="0.2">
      <c r="A196" s="75"/>
      <c r="B196" s="75"/>
      <c r="C196" s="74"/>
      <c r="D196" s="75"/>
      <c r="E196" s="75"/>
      <c r="F196" s="74"/>
      <c r="G196" s="74"/>
      <c r="H196" s="74"/>
      <c r="I196" s="364"/>
      <c r="J196" s="568"/>
      <c r="K196" s="78"/>
      <c r="L196" s="76">
        <f>SUM(L32,L67,L74,L89,L90,L91,L106,L107,L112,L113,L164,L165,L166,L168)</f>
        <v>409369</v>
      </c>
      <c r="M196" s="75"/>
      <c r="N196" s="568"/>
      <c r="O196" s="126"/>
    </row>
    <row r="197" spans="1:15" s="219" customFormat="1" x14ac:dyDescent="0.2">
      <c r="A197" s="75"/>
      <c r="B197" s="75"/>
      <c r="C197" s="74"/>
      <c r="D197" s="75"/>
      <c r="E197" s="75"/>
      <c r="F197" s="74"/>
      <c r="G197" s="74"/>
      <c r="H197" s="74"/>
      <c r="I197" s="364"/>
      <c r="J197" s="568"/>
      <c r="K197" s="78"/>
      <c r="L197" s="75"/>
      <c r="M197" s="75"/>
      <c r="N197" s="568"/>
      <c r="O197" s="126"/>
    </row>
  </sheetData>
  <pageMargins left="0.32" right="0.21" top="0.72" bottom="0.5" header="0.35" footer="0.25"/>
  <pageSetup scale="78" fitToHeight="0" orientation="landscape" r:id="rId1"/>
  <headerFooter>
    <oddHeader xml:space="preserve">&amp;C&amp;14Fixed Costs Projections for 
12/13 Adopted Budget
</oddHeader>
    <oddFooter>&amp;L&amp;8&amp;F&amp;C&amp;P of &amp;N&amp;R&amp;8Date Printed: &amp;D</oddFooter>
  </headerFooter>
  <rowBreaks count="4" manualBreakCount="4">
    <brk id="33" max="16383" man="1"/>
    <brk id="68" max="16383" man="1"/>
    <brk id="136" max="16383" man="1"/>
    <brk id="175" max="1638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186"/>
  <sheetViews>
    <sheetView zoomScaleNormal="100" workbookViewId="0">
      <selection activeCell="B104" sqref="A104:XFD107"/>
    </sheetView>
  </sheetViews>
  <sheetFormatPr defaultColWidth="9.140625" defaultRowHeight="15" outlineLevelRow="1" x14ac:dyDescent="0.2"/>
  <cols>
    <col min="1" max="1" width="5.42578125" style="75" bestFit="1" customWidth="1"/>
    <col min="2" max="2" width="21.7109375" style="75" customWidth="1"/>
    <col min="3" max="3" width="12.7109375" style="74" hidden="1" customWidth="1"/>
    <col min="4" max="4" width="38.42578125" style="75" customWidth="1"/>
    <col min="5" max="5" width="8.28515625" style="75" hidden="1" customWidth="1"/>
    <col min="6" max="6" width="28.140625" style="74" customWidth="1"/>
    <col min="7" max="7" width="7.7109375" style="74" bestFit="1" customWidth="1"/>
    <col min="8" max="8" width="26.140625" style="74" customWidth="1"/>
    <col min="9" max="9" width="14.28515625" style="364" bestFit="1" customWidth="1"/>
    <col min="10" max="10" width="14.7109375" style="568" hidden="1" customWidth="1"/>
    <col min="11" max="11" width="14.28515625" style="78" hidden="1" customWidth="1"/>
    <col min="12" max="13" width="14.28515625" style="75" hidden="1" customWidth="1"/>
    <col min="14" max="14" width="15.42578125" style="75" bestFit="1" customWidth="1"/>
    <col min="15" max="15" width="15.85546875" style="75" customWidth="1"/>
    <col min="16" max="16384" width="9.140625" style="75"/>
  </cols>
  <sheetData>
    <row r="1" spans="2:15" ht="15.75" thickBot="1" x14ac:dyDescent="0.25">
      <c r="B1" s="73" t="s">
        <v>206</v>
      </c>
      <c r="I1" s="359"/>
    </row>
    <row r="2" spans="2:15" ht="12.75" x14ac:dyDescent="0.2">
      <c r="B2" s="79" t="s">
        <v>118</v>
      </c>
      <c r="C2" s="80"/>
      <c r="D2" s="81"/>
      <c r="E2" s="81"/>
      <c r="F2" s="80"/>
      <c r="G2" s="80"/>
      <c r="H2" s="80"/>
      <c r="I2" s="739" t="s">
        <v>58</v>
      </c>
      <c r="J2" s="609">
        <v>0.91666666666666663</v>
      </c>
      <c r="K2" s="84" t="s">
        <v>123</v>
      </c>
      <c r="L2" s="84"/>
      <c r="M2" s="84" t="s">
        <v>124</v>
      </c>
      <c r="N2" s="85" t="s">
        <v>121</v>
      </c>
      <c r="O2" s="729" t="s">
        <v>406</v>
      </c>
    </row>
    <row r="3" spans="2:15" s="74" customFormat="1" ht="13.5" thickBot="1" x14ac:dyDescent="0.25">
      <c r="B3" s="87" t="s">
        <v>148</v>
      </c>
      <c r="C3" s="88" t="s">
        <v>125</v>
      </c>
      <c r="D3" s="88" t="s">
        <v>61</v>
      </c>
      <c r="E3" s="88"/>
      <c r="F3" s="88" t="s">
        <v>147</v>
      </c>
      <c r="G3" s="88" t="s">
        <v>149</v>
      </c>
      <c r="H3" s="88" t="s">
        <v>62</v>
      </c>
      <c r="I3" s="740" t="s">
        <v>120</v>
      </c>
      <c r="J3" s="610" t="s">
        <v>272</v>
      </c>
      <c r="K3" s="91" t="s">
        <v>386</v>
      </c>
      <c r="L3" s="91" t="s">
        <v>119</v>
      </c>
      <c r="M3" s="91" t="s">
        <v>118</v>
      </c>
      <c r="N3" s="92" t="s">
        <v>122</v>
      </c>
      <c r="O3" s="730" t="s">
        <v>59</v>
      </c>
    </row>
    <row r="4" spans="2:15" s="7" customFormat="1" ht="12" hidden="1" outlineLevel="1" x14ac:dyDescent="0.2">
      <c r="B4" s="676"/>
      <c r="C4" s="686"/>
      <c r="D4" s="687" t="s">
        <v>242</v>
      </c>
      <c r="E4" s="95"/>
      <c r="F4" s="676"/>
      <c r="G4" s="676"/>
      <c r="H4" s="676" t="s">
        <v>210</v>
      </c>
      <c r="I4" s="392">
        <v>1000</v>
      </c>
      <c r="J4" s="727">
        <v>1000</v>
      </c>
      <c r="K4" s="719">
        <v>0</v>
      </c>
      <c r="L4" s="719">
        <v>250</v>
      </c>
      <c r="M4" s="719">
        <f>J4-K4-L4</f>
        <v>750</v>
      </c>
      <c r="N4" s="719"/>
      <c r="O4" s="662">
        <f>SUM(I4+N4)</f>
        <v>1000</v>
      </c>
    </row>
    <row r="5" spans="2:15" s="7" customFormat="1" ht="12" hidden="1" outlineLevel="1" x14ac:dyDescent="0.2">
      <c r="B5" s="677"/>
      <c r="C5" s="688"/>
      <c r="D5" s="689" t="s">
        <v>241</v>
      </c>
      <c r="E5" s="19"/>
      <c r="F5" s="677"/>
      <c r="G5" s="677"/>
      <c r="H5" s="677" t="s">
        <v>211</v>
      </c>
      <c r="I5" s="375">
        <v>3000</v>
      </c>
      <c r="J5" s="661">
        <v>3000</v>
      </c>
      <c r="K5" s="662">
        <v>1637</v>
      </c>
      <c r="L5" s="662">
        <v>0</v>
      </c>
      <c r="M5" s="662">
        <f t="shared" ref="M5:M10" si="0">J5-K5-L5</f>
        <v>1363</v>
      </c>
      <c r="N5" s="662"/>
      <c r="O5" s="662">
        <f>SUM(I5+N5)</f>
        <v>3000</v>
      </c>
    </row>
    <row r="6" spans="2:15" s="631" customFormat="1" ht="12" collapsed="1" x14ac:dyDescent="0.2">
      <c r="B6" s="655" t="s">
        <v>416</v>
      </c>
      <c r="C6" s="656" t="s">
        <v>228</v>
      </c>
      <c r="D6" s="655" t="s">
        <v>207</v>
      </c>
      <c r="E6" s="655"/>
      <c r="F6" s="655"/>
      <c r="G6" s="657" t="s">
        <v>163</v>
      </c>
      <c r="H6" s="657"/>
      <c r="I6" s="674">
        <v>4000</v>
      </c>
      <c r="J6" s="638">
        <f>SUM(J4:J5)</f>
        <v>4000</v>
      </c>
      <c r="K6" s="638">
        <f t="shared" ref="K6:N6" si="1">SUM(K4:K5)</f>
        <v>1637</v>
      </c>
      <c r="L6" s="638">
        <f t="shared" si="1"/>
        <v>250</v>
      </c>
      <c r="M6" s="638">
        <f t="shared" si="1"/>
        <v>2113</v>
      </c>
      <c r="N6" s="638">
        <f t="shared" si="1"/>
        <v>0</v>
      </c>
      <c r="O6" s="726">
        <f t="shared" ref="O6:O29" si="2">SUM(I6+N6)</f>
        <v>4000</v>
      </c>
    </row>
    <row r="7" spans="2:15" s="7" customFormat="1" ht="12" hidden="1" outlineLevel="1" x14ac:dyDescent="0.2">
      <c r="B7" s="678"/>
      <c r="C7" s="690"/>
      <c r="D7" s="678" t="s">
        <v>238</v>
      </c>
      <c r="E7" s="298"/>
      <c r="F7" s="678"/>
      <c r="G7" s="679"/>
      <c r="H7" s="679" t="s">
        <v>212</v>
      </c>
      <c r="I7" s="375">
        <v>1000</v>
      </c>
      <c r="J7" s="661">
        <v>1000</v>
      </c>
      <c r="K7" s="662">
        <v>0</v>
      </c>
      <c r="L7" s="662">
        <v>0</v>
      </c>
      <c r="M7" s="662">
        <f t="shared" si="0"/>
        <v>1000</v>
      </c>
      <c r="N7" s="662"/>
      <c r="O7" s="662">
        <f t="shared" si="2"/>
        <v>1000</v>
      </c>
    </row>
    <row r="8" spans="2:15" s="7" customFormat="1" ht="12" hidden="1" outlineLevel="1" x14ac:dyDescent="0.2">
      <c r="B8" s="678"/>
      <c r="C8" s="690"/>
      <c r="D8" s="678" t="s">
        <v>243</v>
      </c>
      <c r="E8" s="298"/>
      <c r="F8" s="678"/>
      <c r="G8" s="679"/>
      <c r="H8" s="679" t="s">
        <v>213</v>
      </c>
      <c r="I8" s="375">
        <v>500</v>
      </c>
      <c r="J8" s="661">
        <v>500</v>
      </c>
      <c r="K8" s="662">
        <v>0</v>
      </c>
      <c r="L8" s="662">
        <v>0</v>
      </c>
      <c r="M8" s="662">
        <f t="shared" si="0"/>
        <v>500</v>
      </c>
      <c r="N8" s="662"/>
      <c r="O8" s="662">
        <f t="shared" si="2"/>
        <v>500</v>
      </c>
    </row>
    <row r="9" spans="2:15" s="7" customFormat="1" ht="12" hidden="1" outlineLevel="1" x14ac:dyDescent="0.2">
      <c r="B9" s="678"/>
      <c r="C9" s="690"/>
      <c r="D9" s="678" t="s">
        <v>239</v>
      </c>
      <c r="E9" s="298"/>
      <c r="F9" s="678"/>
      <c r="G9" s="679"/>
      <c r="H9" s="679" t="s">
        <v>214</v>
      </c>
      <c r="I9" s="375">
        <v>1500</v>
      </c>
      <c r="J9" s="661">
        <v>1500</v>
      </c>
      <c r="K9" s="662">
        <v>182</v>
      </c>
      <c r="L9" s="662">
        <v>0</v>
      </c>
      <c r="M9" s="662">
        <f t="shared" si="0"/>
        <v>1318</v>
      </c>
      <c r="N9" s="662"/>
      <c r="O9" s="662">
        <f t="shared" si="2"/>
        <v>1500</v>
      </c>
    </row>
    <row r="10" spans="2:15" s="7" customFormat="1" ht="12" hidden="1" outlineLevel="1" x14ac:dyDescent="0.2">
      <c r="B10" s="678"/>
      <c r="C10" s="690"/>
      <c r="D10" s="678" t="s">
        <v>240</v>
      </c>
      <c r="E10" s="298"/>
      <c r="F10" s="678"/>
      <c r="G10" s="679"/>
      <c r="H10" s="679" t="s">
        <v>215</v>
      </c>
      <c r="I10" s="375">
        <v>1500</v>
      </c>
      <c r="J10" s="661">
        <v>1500</v>
      </c>
      <c r="K10" s="662">
        <v>0</v>
      </c>
      <c r="L10" s="662">
        <v>0</v>
      </c>
      <c r="M10" s="662">
        <f t="shared" si="0"/>
        <v>1500</v>
      </c>
      <c r="N10" s="662"/>
      <c r="O10" s="662">
        <f t="shared" si="2"/>
        <v>1500</v>
      </c>
    </row>
    <row r="11" spans="2:15" s="631" customFormat="1" ht="12" collapsed="1" x14ac:dyDescent="0.2">
      <c r="B11" s="655" t="s">
        <v>416</v>
      </c>
      <c r="C11" s="656" t="s">
        <v>228</v>
      </c>
      <c r="D11" s="655" t="s">
        <v>182</v>
      </c>
      <c r="E11" s="655"/>
      <c r="F11" s="655"/>
      <c r="G11" s="657" t="s">
        <v>163</v>
      </c>
      <c r="H11" s="657"/>
      <c r="I11" s="674">
        <v>4500</v>
      </c>
      <c r="J11" s="638">
        <f>SUM(J7:J10)</f>
        <v>4500</v>
      </c>
      <c r="K11" s="638">
        <f t="shared" ref="K11:N11" si="3">SUM(K7:K10)</f>
        <v>182</v>
      </c>
      <c r="L11" s="638">
        <f t="shared" si="3"/>
        <v>0</v>
      </c>
      <c r="M11" s="638">
        <f t="shared" si="3"/>
        <v>4318</v>
      </c>
      <c r="N11" s="638">
        <f t="shared" si="3"/>
        <v>0</v>
      </c>
      <c r="O11" s="726">
        <f t="shared" si="2"/>
        <v>4500</v>
      </c>
    </row>
    <row r="12" spans="2:15" s="7" customFormat="1" ht="12" x14ac:dyDescent="0.2">
      <c r="B12" s="6" t="s">
        <v>236</v>
      </c>
      <c r="C12" s="228" t="s">
        <v>228</v>
      </c>
      <c r="D12" s="14" t="s">
        <v>237</v>
      </c>
      <c r="E12" s="229"/>
      <c r="F12" s="230" t="s">
        <v>348</v>
      </c>
      <c r="G12" s="114" t="s">
        <v>150</v>
      </c>
      <c r="H12" s="20" t="s">
        <v>223</v>
      </c>
      <c r="I12" s="375">
        <v>28800</v>
      </c>
      <c r="J12" s="614">
        <v>28800</v>
      </c>
      <c r="K12" s="615">
        <v>3064</v>
      </c>
      <c r="L12" s="615">
        <v>0</v>
      </c>
      <c r="M12" s="615">
        <f>J12-K12-L12</f>
        <v>25736</v>
      </c>
      <c r="N12" s="615"/>
      <c r="O12" s="615">
        <f t="shared" si="2"/>
        <v>28800</v>
      </c>
    </row>
    <row r="13" spans="2:15" s="7" customFormat="1" ht="12" x14ac:dyDescent="0.2">
      <c r="B13" s="6" t="s">
        <v>234</v>
      </c>
      <c r="C13" s="228" t="s">
        <v>228</v>
      </c>
      <c r="D13" s="14" t="s">
        <v>178</v>
      </c>
      <c r="E13" s="229"/>
      <c r="F13" s="6" t="s">
        <v>425</v>
      </c>
      <c r="G13" s="114" t="s">
        <v>150</v>
      </c>
      <c r="H13" s="20" t="s">
        <v>387</v>
      </c>
      <c r="I13" s="375">
        <v>11000</v>
      </c>
      <c r="J13" s="614">
        <v>11000</v>
      </c>
      <c r="K13" s="615">
        <v>0</v>
      </c>
      <c r="L13" s="615">
        <v>0</v>
      </c>
      <c r="M13" s="615">
        <f t="shared" ref="M13:M23" si="4">J13-K13-L13</f>
        <v>11000</v>
      </c>
      <c r="N13" s="615">
        <v>5500</v>
      </c>
      <c r="O13" s="615">
        <f t="shared" si="2"/>
        <v>16500</v>
      </c>
    </row>
    <row r="14" spans="2:15" s="7" customFormat="1" ht="12" x14ac:dyDescent="0.2">
      <c r="B14" s="231" t="s">
        <v>389</v>
      </c>
      <c r="C14" s="232" t="s">
        <v>228</v>
      </c>
      <c r="D14" s="231" t="s">
        <v>293</v>
      </c>
      <c r="E14" s="233"/>
      <c r="F14" s="233" t="s">
        <v>143</v>
      </c>
      <c r="G14" s="21" t="s">
        <v>154</v>
      </c>
      <c r="H14" s="21" t="s">
        <v>390</v>
      </c>
      <c r="I14" s="375">
        <v>33700</v>
      </c>
      <c r="J14" s="614">
        <v>33700</v>
      </c>
      <c r="K14" s="615">
        <v>30824</v>
      </c>
      <c r="L14" s="615">
        <v>2993</v>
      </c>
      <c r="M14" s="615">
        <f t="shared" si="4"/>
        <v>-117</v>
      </c>
      <c r="N14" s="375">
        <v>3894</v>
      </c>
      <c r="O14" s="615">
        <f t="shared" si="2"/>
        <v>37594</v>
      </c>
    </row>
    <row r="15" spans="2:15" s="7" customFormat="1" ht="12" x14ac:dyDescent="0.2">
      <c r="B15" s="231" t="s">
        <v>389</v>
      </c>
      <c r="C15" s="367"/>
      <c r="D15" s="256" t="s">
        <v>415</v>
      </c>
      <c r="E15" s="258"/>
      <c r="F15" s="258"/>
      <c r="G15" s="45" t="s">
        <v>154</v>
      </c>
      <c r="H15" s="21" t="s">
        <v>390</v>
      </c>
      <c r="I15" s="375"/>
      <c r="J15" s="614"/>
      <c r="K15" s="615"/>
      <c r="L15" s="615"/>
      <c r="M15" s="615"/>
      <c r="N15" s="375">
        <v>2250</v>
      </c>
      <c r="O15" s="615">
        <f t="shared" si="2"/>
        <v>2250</v>
      </c>
    </row>
    <row r="16" spans="2:15" s="7" customFormat="1" ht="12" x14ac:dyDescent="0.2">
      <c r="B16" s="6" t="s">
        <v>234</v>
      </c>
      <c r="C16" s="12" t="s">
        <v>228</v>
      </c>
      <c r="D16" s="14" t="s">
        <v>235</v>
      </c>
      <c r="E16" s="226"/>
      <c r="F16" s="234"/>
      <c r="G16" s="5" t="s">
        <v>268</v>
      </c>
      <c r="H16" s="20" t="s">
        <v>217</v>
      </c>
      <c r="I16" s="375">
        <v>73711</v>
      </c>
      <c r="J16" s="614">
        <v>72074</v>
      </c>
      <c r="K16" s="615">
        <v>73712</v>
      </c>
      <c r="L16" s="615">
        <v>0</v>
      </c>
      <c r="M16" s="615">
        <f t="shared" si="4"/>
        <v>-1638</v>
      </c>
      <c r="N16" s="615"/>
      <c r="O16" s="615">
        <f t="shared" si="2"/>
        <v>73711</v>
      </c>
    </row>
    <row r="17" spans="1:15" s="7" customFormat="1" ht="12" x14ac:dyDescent="0.2">
      <c r="B17" s="6" t="s">
        <v>234</v>
      </c>
      <c r="C17" s="12" t="s">
        <v>228</v>
      </c>
      <c r="D17" s="14" t="s">
        <v>204</v>
      </c>
      <c r="E17" s="226"/>
      <c r="F17" s="234"/>
      <c r="G17" s="5" t="s">
        <v>150</v>
      </c>
      <c r="H17" s="20" t="s">
        <v>218</v>
      </c>
      <c r="I17" s="375">
        <v>15000</v>
      </c>
      <c r="J17" s="614">
        <v>15000</v>
      </c>
      <c r="K17" s="615">
        <f>3750+155+54+75+59+42</f>
        <v>4135</v>
      </c>
      <c r="L17" s="615">
        <v>0</v>
      </c>
      <c r="M17" s="615">
        <f t="shared" si="4"/>
        <v>10865</v>
      </c>
      <c r="N17" s="615"/>
      <c r="O17" s="615">
        <f t="shared" si="2"/>
        <v>15000</v>
      </c>
    </row>
    <row r="18" spans="1:15" s="7" customFormat="1" ht="12" hidden="1" customHeight="1" x14ac:dyDescent="0.2">
      <c r="B18" s="14" t="s">
        <v>244</v>
      </c>
      <c r="C18" s="228"/>
      <c r="D18" s="14" t="s">
        <v>229</v>
      </c>
      <c r="E18" s="229"/>
      <c r="F18" s="6"/>
      <c r="G18" s="5"/>
      <c r="H18" s="20" t="s">
        <v>219</v>
      </c>
      <c r="I18" s="375">
        <v>0</v>
      </c>
      <c r="J18" s="614"/>
      <c r="K18" s="615"/>
      <c r="L18" s="615"/>
      <c r="M18" s="615">
        <f t="shared" si="4"/>
        <v>0</v>
      </c>
      <c r="N18" s="615"/>
      <c r="O18" s="615">
        <f t="shared" si="2"/>
        <v>0</v>
      </c>
    </row>
    <row r="19" spans="1:15" s="7" customFormat="1" ht="12" hidden="1" x14ac:dyDescent="0.2">
      <c r="B19" s="14" t="s">
        <v>244</v>
      </c>
      <c r="C19" s="228"/>
      <c r="D19" s="14" t="s">
        <v>230</v>
      </c>
      <c r="E19" s="229"/>
      <c r="F19" s="228"/>
      <c r="G19" s="114"/>
      <c r="H19" s="20" t="s">
        <v>220</v>
      </c>
      <c r="I19" s="375">
        <v>0</v>
      </c>
      <c r="J19" s="614"/>
      <c r="K19" s="615"/>
      <c r="L19" s="615"/>
      <c r="M19" s="615">
        <f t="shared" si="4"/>
        <v>0</v>
      </c>
      <c r="N19" s="615"/>
      <c r="O19" s="615">
        <f t="shared" si="2"/>
        <v>0</v>
      </c>
    </row>
    <row r="20" spans="1:15" s="7" customFormat="1" ht="12" hidden="1" x14ac:dyDescent="0.2">
      <c r="B20" s="14" t="s">
        <v>244</v>
      </c>
      <c r="C20" s="228"/>
      <c r="D20" s="14" t="s">
        <v>231</v>
      </c>
      <c r="E20" s="229"/>
      <c r="F20" s="228"/>
      <c r="G20" s="114"/>
      <c r="H20" s="20" t="s">
        <v>221</v>
      </c>
      <c r="I20" s="375">
        <v>0</v>
      </c>
      <c r="J20" s="614"/>
      <c r="K20" s="615"/>
      <c r="L20" s="615"/>
      <c r="M20" s="615">
        <f t="shared" si="4"/>
        <v>0</v>
      </c>
      <c r="N20" s="615"/>
      <c r="O20" s="615">
        <f t="shared" si="2"/>
        <v>0</v>
      </c>
    </row>
    <row r="21" spans="1:15" s="7" customFormat="1" ht="12" x14ac:dyDescent="0.2">
      <c r="B21" s="14" t="s">
        <v>244</v>
      </c>
      <c r="C21" s="228" t="s">
        <v>228</v>
      </c>
      <c r="D21" s="14" t="s">
        <v>232</v>
      </c>
      <c r="E21" s="229"/>
      <c r="F21" s="239"/>
      <c r="G21" s="119" t="s">
        <v>163</v>
      </c>
      <c r="H21" s="20" t="s">
        <v>222</v>
      </c>
      <c r="I21" s="375">
        <v>17453</v>
      </c>
      <c r="J21" s="614">
        <v>17453</v>
      </c>
      <c r="K21" s="614">
        <v>17453</v>
      </c>
      <c r="L21" s="614">
        <f>SUM(L18:L20)</f>
        <v>0</v>
      </c>
      <c r="M21" s="614">
        <f>SUM(M18:M20)</f>
        <v>0</v>
      </c>
      <c r="N21" s="614"/>
      <c r="O21" s="615">
        <f t="shared" si="2"/>
        <v>17453</v>
      </c>
    </row>
    <row r="22" spans="1:15" s="416" customFormat="1" ht="12.75" x14ac:dyDescent="0.2">
      <c r="A22" s="74"/>
      <c r="B22" s="229" t="s">
        <v>234</v>
      </c>
      <c r="C22" s="271" t="s">
        <v>171</v>
      </c>
      <c r="D22" s="234" t="s">
        <v>60</v>
      </c>
      <c r="E22" s="229"/>
      <c r="F22" s="229" t="s">
        <v>395</v>
      </c>
      <c r="G22" s="49" t="s">
        <v>163</v>
      </c>
      <c r="H22" s="48" t="s">
        <v>383</v>
      </c>
      <c r="I22" s="375">
        <v>370397</v>
      </c>
      <c r="J22" s="614">
        <v>370397</v>
      </c>
      <c r="K22" s="615">
        <v>93566</v>
      </c>
      <c r="L22" s="615">
        <v>0</v>
      </c>
      <c r="M22" s="615">
        <f t="shared" si="4"/>
        <v>276831</v>
      </c>
      <c r="N22" s="615">
        <v>-30000</v>
      </c>
      <c r="O22" s="615">
        <f t="shared" si="2"/>
        <v>340397</v>
      </c>
    </row>
    <row r="23" spans="1:15" s="416" customFormat="1" ht="12.75" x14ac:dyDescent="0.2">
      <c r="A23" s="74"/>
      <c r="B23" s="221" t="s">
        <v>234</v>
      </c>
      <c r="C23" s="263" t="s">
        <v>171</v>
      </c>
      <c r="D23" s="264" t="s">
        <v>329</v>
      </c>
      <c r="E23" s="221"/>
      <c r="F23" s="221"/>
      <c r="G23" s="17" t="s">
        <v>163</v>
      </c>
      <c r="H23" s="29" t="s">
        <v>384</v>
      </c>
      <c r="I23" s="371">
        <v>82111</v>
      </c>
      <c r="J23" s="614">
        <v>82111</v>
      </c>
      <c r="K23" s="615">
        <v>0</v>
      </c>
      <c r="L23" s="615">
        <v>0</v>
      </c>
      <c r="M23" s="615">
        <f t="shared" si="4"/>
        <v>82111</v>
      </c>
      <c r="N23" s="615"/>
      <c r="O23" s="615">
        <f t="shared" si="2"/>
        <v>82111</v>
      </c>
    </row>
    <row r="24" spans="1:15" s="7" customFormat="1" ht="12" x14ac:dyDescent="0.2">
      <c r="B24" s="229" t="s">
        <v>132</v>
      </c>
      <c r="C24" s="12" t="s">
        <v>228</v>
      </c>
      <c r="D24" s="14" t="s">
        <v>405</v>
      </c>
      <c r="E24" s="226"/>
      <c r="F24" s="227" t="s">
        <v>402</v>
      </c>
      <c r="G24" s="5" t="s">
        <v>154</v>
      </c>
      <c r="H24" s="20" t="s">
        <v>403</v>
      </c>
      <c r="I24" s="375">
        <v>0</v>
      </c>
      <c r="J24" s="614">
        <v>0</v>
      </c>
      <c r="K24" s="615">
        <v>0</v>
      </c>
      <c r="L24" s="615"/>
      <c r="M24" s="615">
        <f t="shared" ref="M24:M29" si="5">J24-K24-L24</f>
        <v>0</v>
      </c>
      <c r="N24" s="615">
        <v>19057</v>
      </c>
      <c r="O24" s="615">
        <f t="shared" si="2"/>
        <v>19057</v>
      </c>
    </row>
    <row r="25" spans="1:15" s="7" customFormat="1" ht="12" x14ac:dyDescent="0.2">
      <c r="B25" s="229" t="s">
        <v>132</v>
      </c>
      <c r="C25" s="12" t="s">
        <v>228</v>
      </c>
      <c r="D25" s="14" t="s">
        <v>280</v>
      </c>
      <c r="E25" s="226"/>
      <c r="F25" s="227" t="s">
        <v>143</v>
      </c>
      <c r="G25" s="5" t="s">
        <v>154</v>
      </c>
      <c r="H25" s="20" t="s">
        <v>216</v>
      </c>
      <c r="I25" s="375">
        <v>7500</v>
      </c>
      <c r="J25" s="614">
        <v>7800</v>
      </c>
      <c r="K25" s="615">
        <v>7800</v>
      </c>
      <c r="L25" s="615"/>
      <c r="M25" s="615">
        <f t="shared" si="5"/>
        <v>0</v>
      </c>
      <c r="N25" s="615">
        <v>300</v>
      </c>
      <c r="O25" s="615">
        <f t="shared" si="2"/>
        <v>7800</v>
      </c>
    </row>
    <row r="26" spans="1:15" s="322" customFormat="1" ht="12.75" x14ac:dyDescent="0.2">
      <c r="A26" s="74"/>
      <c r="B26" s="229" t="s">
        <v>132</v>
      </c>
      <c r="C26" s="354" t="s">
        <v>127</v>
      </c>
      <c r="D26" s="234" t="s">
        <v>333</v>
      </c>
      <c r="E26" s="229"/>
      <c r="F26" s="251" t="s">
        <v>399</v>
      </c>
      <c r="G26" s="611" t="s">
        <v>154</v>
      </c>
      <c r="H26" s="48" t="s">
        <v>371</v>
      </c>
      <c r="I26" s="375">
        <v>2343</v>
      </c>
      <c r="J26" s="614">
        <v>2343</v>
      </c>
      <c r="K26" s="615">
        <v>0</v>
      </c>
      <c r="L26" s="615">
        <v>0</v>
      </c>
      <c r="M26" s="615">
        <f t="shared" si="5"/>
        <v>2343</v>
      </c>
      <c r="N26" s="615">
        <v>-2343</v>
      </c>
      <c r="O26" s="615">
        <f t="shared" si="2"/>
        <v>0</v>
      </c>
    </row>
    <row r="27" spans="1:15" s="322" customFormat="1" ht="12.75" x14ac:dyDescent="0.2">
      <c r="A27" s="74"/>
      <c r="B27" s="221" t="s">
        <v>132</v>
      </c>
      <c r="C27" s="277" t="s">
        <v>127</v>
      </c>
      <c r="D27" s="264" t="s">
        <v>334</v>
      </c>
      <c r="E27" s="221"/>
      <c r="F27" s="251" t="s">
        <v>143</v>
      </c>
      <c r="G27" s="626" t="s">
        <v>154</v>
      </c>
      <c r="H27" s="29" t="s">
        <v>421</v>
      </c>
      <c r="I27" s="382">
        <v>5670</v>
      </c>
      <c r="J27" s="614">
        <v>5670</v>
      </c>
      <c r="K27" s="615">
        <v>6204</v>
      </c>
      <c r="L27" s="615">
        <v>0</v>
      </c>
      <c r="M27" s="615">
        <f t="shared" si="5"/>
        <v>-534</v>
      </c>
      <c r="N27" s="615">
        <v>830</v>
      </c>
      <c r="O27" s="615">
        <f t="shared" si="2"/>
        <v>6500</v>
      </c>
    </row>
    <row r="28" spans="1:15" s="446" customFormat="1" ht="12.75" x14ac:dyDescent="0.2">
      <c r="A28" s="74"/>
      <c r="B28" s="229" t="s">
        <v>132</v>
      </c>
      <c r="C28" s="354" t="s">
        <v>127</v>
      </c>
      <c r="D28" s="234" t="s">
        <v>66</v>
      </c>
      <c r="E28" s="229"/>
      <c r="F28" s="251" t="s">
        <v>143</v>
      </c>
      <c r="G28" s="611" t="s">
        <v>154</v>
      </c>
      <c r="H28" s="48" t="s">
        <v>373</v>
      </c>
      <c r="I28" s="375">
        <v>75190</v>
      </c>
      <c r="J28" s="614">
        <v>76527</v>
      </c>
      <c r="K28" s="615">
        <v>76527</v>
      </c>
      <c r="L28" s="615">
        <v>0</v>
      </c>
      <c r="M28" s="615">
        <f t="shared" si="5"/>
        <v>0</v>
      </c>
      <c r="N28" s="615">
        <v>3501</v>
      </c>
      <c r="O28" s="615">
        <f t="shared" si="2"/>
        <v>78691</v>
      </c>
    </row>
    <row r="29" spans="1:15" s="446" customFormat="1" ht="13.5" thickBot="1" x14ac:dyDescent="0.25">
      <c r="A29" s="74"/>
      <c r="B29" s="650" t="s">
        <v>132</v>
      </c>
      <c r="C29" s="651" t="s">
        <v>127</v>
      </c>
      <c r="D29" s="652" t="s">
        <v>401</v>
      </c>
      <c r="E29" s="650"/>
      <c r="F29" s="251" t="s">
        <v>143</v>
      </c>
      <c r="G29" s="653" t="s">
        <v>154</v>
      </c>
      <c r="H29" s="654" t="s">
        <v>374</v>
      </c>
      <c r="I29" s="606">
        <v>11259</v>
      </c>
      <c r="J29" s="659">
        <v>11259</v>
      </c>
      <c r="K29" s="616">
        <v>15384</v>
      </c>
      <c r="L29" s="616"/>
      <c r="M29" s="616">
        <f t="shared" si="5"/>
        <v>-4125</v>
      </c>
      <c r="N29" s="616">
        <v>4350</v>
      </c>
      <c r="O29" s="615">
        <f t="shared" si="2"/>
        <v>15609</v>
      </c>
    </row>
    <row r="30" spans="1:15" s="74" customFormat="1" ht="13.5" thickBot="1" x14ac:dyDescent="0.25">
      <c r="B30" s="120"/>
      <c r="C30" s="121"/>
      <c r="D30" s="122"/>
      <c r="E30" s="122"/>
      <c r="F30" s="122"/>
      <c r="G30" s="122"/>
      <c r="H30" s="123" t="s">
        <v>209</v>
      </c>
      <c r="I30" s="125">
        <v>742634</v>
      </c>
      <c r="J30" s="672">
        <f>SUM(J6,J11,J12:J17,J21,J22:J29)</f>
        <v>742634</v>
      </c>
      <c r="K30" s="672">
        <f>SUM(K6,K11,K12:K17,K21,K22:K29)</f>
        <v>330488</v>
      </c>
      <c r="L30" s="672">
        <f>SUM(L6,L11,L12:L17,L21,L22:L29)</f>
        <v>3243</v>
      </c>
      <c r="M30" s="672">
        <f>SUM(M6,M11,M12:M17,M21,M22:M29)</f>
        <v>408903</v>
      </c>
      <c r="N30" s="672">
        <f>SUM(N6,N11,N12:N17,N21,N22:N29)</f>
        <v>7339</v>
      </c>
      <c r="O30" s="725">
        <f>SUM(O6,O11:O29)</f>
        <v>749973</v>
      </c>
    </row>
    <row r="31" spans="1:15" s="134" customFormat="1" ht="17.25" customHeight="1" x14ac:dyDescent="0.2">
      <c r="B31" s="127"/>
      <c r="C31" s="128"/>
      <c r="D31" s="129"/>
      <c r="E31" s="129"/>
      <c r="F31" s="127"/>
      <c r="G31" s="127"/>
      <c r="H31" s="130"/>
      <c r="I31" s="131"/>
      <c r="J31" s="574"/>
      <c r="K31" s="133"/>
      <c r="N31" s="7"/>
      <c r="O31" s="733">
        <f>SUM(I30+N30)</f>
        <v>749973</v>
      </c>
    </row>
    <row r="32" spans="1:15" s="135" customFormat="1" ht="15.75" thickBot="1" x14ac:dyDescent="0.25">
      <c r="B32" s="356" t="s">
        <v>177</v>
      </c>
      <c r="C32" s="134"/>
      <c r="F32" s="134"/>
      <c r="G32" s="134"/>
      <c r="H32" s="134"/>
      <c r="I32" s="136"/>
      <c r="J32" s="575"/>
      <c r="K32" s="133"/>
      <c r="N32" s="7"/>
      <c r="O32" s="600"/>
    </row>
    <row r="33" spans="2:15" ht="12.75" x14ac:dyDescent="0.2">
      <c r="B33" s="79" t="s">
        <v>118</v>
      </c>
      <c r="C33" s="80"/>
      <c r="D33" s="138"/>
      <c r="E33" s="81"/>
      <c r="F33" s="80"/>
      <c r="G33" s="80"/>
      <c r="H33" s="80"/>
      <c r="I33" s="739" t="s">
        <v>58</v>
      </c>
      <c r="J33" s="609">
        <v>0.91666666666666663</v>
      </c>
      <c r="K33" s="84" t="s">
        <v>123</v>
      </c>
      <c r="L33" s="84"/>
      <c r="M33" s="84" t="s">
        <v>124</v>
      </c>
      <c r="N33" s="85" t="s">
        <v>121</v>
      </c>
      <c r="O33" s="723" t="s">
        <v>406</v>
      </c>
    </row>
    <row r="34" spans="2:15" s="74" customFormat="1" ht="13.5" thickBot="1" x14ac:dyDescent="0.25">
      <c r="B34" s="87" t="s">
        <v>148</v>
      </c>
      <c r="C34" s="88" t="s">
        <v>125</v>
      </c>
      <c r="D34" s="139" t="s">
        <v>61</v>
      </c>
      <c r="E34" s="88" t="s">
        <v>250</v>
      </c>
      <c r="F34" s="88" t="s">
        <v>147</v>
      </c>
      <c r="G34" s="88" t="s">
        <v>149</v>
      </c>
      <c r="H34" s="88" t="s">
        <v>62</v>
      </c>
      <c r="I34" s="740" t="s">
        <v>120</v>
      </c>
      <c r="J34" s="610" t="s">
        <v>272</v>
      </c>
      <c r="K34" s="91" t="s">
        <v>386</v>
      </c>
      <c r="L34" s="91" t="s">
        <v>119</v>
      </c>
      <c r="M34" s="91" t="s">
        <v>118</v>
      </c>
      <c r="N34" s="92" t="s">
        <v>122</v>
      </c>
      <c r="O34" s="724" t="s">
        <v>59</v>
      </c>
    </row>
    <row r="35" spans="2:15" s="7" customFormat="1" ht="12" hidden="1" x14ac:dyDescent="0.2">
      <c r="B35" s="680"/>
      <c r="C35" s="691"/>
      <c r="D35" s="692" t="s">
        <v>180</v>
      </c>
      <c r="E35" s="237"/>
      <c r="F35" s="684"/>
      <c r="G35" s="681"/>
      <c r="H35" s="685" t="s">
        <v>193</v>
      </c>
      <c r="I35" s="375">
        <v>1100</v>
      </c>
      <c r="J35" s="728">
        <v>1100</v>
      </c>
      <c r="K35" s="719">
        <v>615</v>
      </c>
      <c r="L35" s="719">
        <v>0</v>
      </c>
      <c r="M35" s="719">
        <f>J35-K35</f>
        <v>485</v>
      </c>
      <c r="N35" s="719"/>
      <c r="O35" s="662">
        <f t="shared" ref="O35:O63" si="6">SUM(I35+N35)</f>
        <v>1100</v>
      </c>
    </row>
    <row r="36" spans="2:15" s="7" customFormat="1" ht="12" hidden="1" x14ac:dyDescent="0.2">
      <c r="B36" s="680"/>
      <c r="C36" s="691"/>
      <c r="D36" s="692" t="s">
        <v>180</v>
      </c>
      <c r="E36" s="237"/>
      <c r="F36" s="684"/>
      <c r="G36" s="681"/>
      <c r="H36" s="685" t="s">
        <v>194</v>
      </c>
      <c r="I36" s="375">
        <v>3300</v>
      </c>
      <c r="J36" s="661">
        <v>3300</v>
      </c>
      <c r="K36" s="662">
        <v>378</v>
      </c>
      <c r="L36" s="662">
        <v>0</v>
      </c>
      <c r="M36" s="662">
        <f t="shared" ref="M36:M47" si="7">J36-K36</f>
        <v>2922</v>
      </c>
      <c r="N36" s="662"/>
      <c r="O36" s="662">
        <f t="shared" si="6"/>
        <v>3300</v>
      </c>
    </row>
    <row r="37" spans="2:15" s="631" customFormat="1" ht="12" x14ac:dyDescent="0.2">
      <c r="B37" s="632" t="s">
        <v>416</v>
      </c>
      <c r="C37" s="633" t="s">
        <v>245</v>
      </c>
      <c r="D37" s="634" t="s">
        <v>276</v>
      </c>
      <c r="E37" s="632"/>
      <c r="F37" s="635"/>
      <c r="G37" s="636" t="s">
        <v>163</v>
      </c>
      <c r="H37" s="637"/>
      <c r="I37" s="674">
        <f>SUM(I35:I36)</f>
        <v>4400</v>
      </c>
      <c r="J37" s="638">
        <f>SUM(J35:J36)</f>
        <v>4400</v>
      </c>
      <c r="K37" s="638">
        <f t="shared" ref="K37:N37" si="8">SUM(K35:K36)</f>
        <v>993</v>
      </c>
      <c r="L37" s="638">
        <f t="shared" si="8"/>
        <v>0</v>
      </c>
      <c r="M37" s="638">
        <f t="shared" si="8"/>
        <v>3407</v>
      </c>
      <c r="N37" s="638">
        <f t="shared" si="8"/>
        <v>0</v>
      </c>
      <c r="O37" s="726">
        <f t="shared" si="6"/>
        <v>4400</v>
      </c>
    </row>
    <row r="38" spans="2:15" s="7" customFormat="1" ht="12" hidden="1" customHeight="1" x14ac:dyDescent="0.2">
      <c r="B38" s="680"/>
      <c r="C38" s="682"/>
      <c r="D38" s="693" t="s">
        <v>182</v>
      </c>
      <c r="E38" s="694"/>
      <c r="F38" s="680"/>
      <c r="G38" s="681"/>
      <c r="H38" s="685" t="s">
        <v>196</v>
      </c>
      <c r="I38" s="375">
        <v>660</v>
      </c>
      <c r="J38" s="661">
        <v>660</v>
      </c>
      <c r="K38" s="662">
        <v>0</v>
      </c>
      <c r="L38" s="662">
        <v>0</v>
      </c>
      <c r="M38" s="662">
        <f t="shared" si="7"/>
        <v>660</v>
      </c>
      <c r="N38" s="662"/>
      <c r="O38" s="662">
        <f t="shared" si="6"/>
        <v>660</v>
      </c>
    </row>
    <row r="39" spans="2:15" s="7" customFormat="1" ht="12" hidden="1" x14ac:dyDescent="0.2">
      <c r="B39" s="680"/>
      <c r="C39" s="682"/>
      <c r="D39" s="693" t="s">
        <v>182</v>
      </c>
      <c r="E39" s="694"/>
      <c r="F39" s="682"/>
      <c r="G39" s="683"/>
      <c r="H39" s="685" t="s">
        <v>197</v>
      </c>
      <c r="I39" s="375">
        <v>440</v>
      </c>
      <c r="J39" s="661">
        <v>440</v>
      </c>
      <c r="K39" s="662">
        <v>100</v>
      </c>
      <c r="L39" s="662">
        <v>0</v>
      </c>
      <c r="M39" s="662">
        <f t="shared" si="7"/>
        <v>340</v>
      </c>
      <c r="N39" s="662"/>
      <c r="O39" s="662">
        <f t="shared" si="6"/>
        <v>440</v>
      </c>
    </row>
    <row r="40" spans="2:15" s="7" customFormat="1" ht="12" hidden="1" x14ac:dyDescent="0.2">
      <c r="B40" s="680"/>
      <c r="C40" s="682"/>
      <c r="D40" s="693" t="s">
        <v>182</v>
      </c>
      <c r="E40" s="694"/>
      <c r="F40" s="682"/>
      <c r="G40" s="683"/>
      <c r="H40" s="685" t="s">
        <v>198</v>
      </c>
      <c r="I40" s="375">
        <v>3300</v>
      </c>
      <c r="J40" s="661">
        <v>3300</v>
      </c>
      <c r="K40" s="662">
        <v>0</v>
      </c>
      <c r="L40" s="662">
        <v>0</v>
      </c>
      <c r="M40" s="662">
        <f t="shared" si="7"/>
        <v>3300</v>
      </c>
      <c r="N40" s="662"/>
      <c r="O40" s="662">
        <f t="shared" si="6"/>
        <v>3300</v>
      </c>
    </row>
    <row r="41" spans="2:15" s="631" customFormat="1" ht="12" x14ac:dyDescent="0.2">
      <c r="B41" s="639" t="s">
        <v>416</v>
      </c>
      <c r="C41" s="640" t="s">
        <v>245</v>
      </c>
      <c r="D41" s="641" t="s">
        <v>182</v>
      </c>
      <c r="E41" s="642"/>
      <c r="F41" s="624"/>
      <c r="G41" s="643" t="s">
        <v>163</v>
      </c>
      <c r="H41" s="637"/>
      <c r="I41" s="674">
        <f>SUM(I38:I40)</f>
        <v>4400</v>
      </c>
      <c r="J41" s="638">
        <f>SUM(J38:J40)</f>
        <v>4400</v>
      </c>
      <c r="K41" s="638">
        <f t="shared" ref="K41:N41" si="9">SUM(K38:K40)</f>
        <v>100</v>
      </c>
      <c r="L41" s="638">
        <f t="shared" si="9"/>
        <v>0</v>
      </c>
      <c r="M41" s="638">
        <f t="shared" si="9"/>
        <v>4300</v>
      </c>
      <c r="N41" s="638">
        <f t="shared" si="9"/>
        <v>0</v>
      </c>
      <c r="O41" s="726">
        <f t="shared" si="6"/>
        <v>4400</v>
      </c>
    </row>
    <row r="42" spans="2:15" s="7" customFormat="1" ht="12" x14ac:dyDescent="0.2">
      <c r="B42" s="6" t="s">
        <v>234</v>
      </c>
      <c r="C42" s="12" t="s">
        <v>245</v>
      </c>
      <c r="D42" s="13" t="s">
        <v>278</v>
      </c>
      <c r="E42" s="250"/>
      <c r="F42" s="6" t="s">
        <v>349</v>
      </c>
      <c r="G42" s="5" t="s">
        <v>150</v>
      </c>
      <c r="H42" s="16" t="s">
        <v>185</v>
      </c>
      <c r="I42" s="375">
        <v>33200</v>
      </c>
      <c r="J42" s="614">
        <v>33200</v>
      </c>
      <c r="K42" s="615">
        <v>3172</v>
      </c>
      <c r="L42" s="615">
        <v>0</v>
      </c>
      <c r="M42" s="615">
        <f t="shared" si="7"/>
        <v>30028</v>
      </c>
      <c r="N42" s="615">
        <v>0</v>
      </c>
      <c r="O42" s="615">
        <f t="shared" si="6"/>
        <v>33200</v>
      </c>
    </row>
    <row r="43" spans="2:15" s="7" customFormat="1" ht="12" x14ac:dyDescent="0.2">
      <c r="B43" s="6" t="s">
        <v>234</v>
      </c>
      <c r="C43" s="12" t="s">
        <v>245</v>
      </c>
      <c r="D43" s="13" t="s">
        <v>178</v>
      </c>
      <c r="E43" s="14"/>
      <c r="F43" s="6" t="s">
        <v>426</v>
      </c>
      <c r="G43" s="5" t="s">
        <v>150</v>
      </c>
      <c r="H43" s="16" t="s">
        <v>186</v>
      </c>
      <c r="I43" s="375">
        <v>11000</v>
      </c>
      <c r="J43" s="614">
        <v>11000</v>
      </c>
      <c r="K43" s="615">
        <v>0</v>
      </c>
      <c r="L43" s="615"/>
      <c r="M43" s="615">
        <f t="shared" si="7"/>
        <v>11000</v>
      </c>
      <c r="N43" s="615">
        <v>16500</v>
      </c>
      <c r="O43" s="615">
        <f t="shared" si="6"/>
        <v>27500</v>
      </c>
    </row>
    <row r="44" spans="2:15" s="7" customFormat="1" ht="12" x14ac:dyDescent="0.2">
      <c r="B44" s="231" t="s">
        <v>263</v>
      </c>
      <c r="C44" s="255" t="s">
        <v>245</v>
      </c>
      <c r="D44" s="231" t="s">
        <v>293</v>
      </c>
      <c r="E44" s="256" t="s">
        <v>199</v>
      </c>
      <c r="F44" s="231" t="s">
        <v>143</v>
      </c>
      <c r="G44" s="49" t="s">
        <v>154</v>
      </c>
      <c r="H44" s="24" t="s">
        <v>274</v>
      </c>
      <c r="I44" s="375">
        <v>36261</v>
      </c>
      <c r="J44" s="614">
        <v>36261</v>
      </c>
      <c r="K44" s="615">
        <v>34063</v>
      </c>
      <c r="L44" s="615">
        <v>2198</v>
      </c>
      <c r="M44" s="615">
        <f>J44-K44-L44</f>
        <v>0</v>
      </c>
      <c r="N44" s="375">
        <v>3894</v>
      </c>
      <c r="O44" s="615">
        <f t="shared" si="6"/>
        <v>40155</v>
      </c>
    </row>
    <row r="45" spans="2:15" s="7" customFormat="1" ht="12" x14ac:dyDescent="0.2">
      <c r="B45" s="231" t="s">
        <v>263</v>
      </c>
      <c r="C45" s="255" t="s">
        <v>245</v>
      </c>
      <c r="D45" s="256" t="s">
        <v>415</v>
      </c>
      <c r="E45" s="256" t="s">
        <v>199</v>
      </c>
      <c r="F45" s="231"/>
      <c r="G45" s="33" t="s">
        <v>154</v>
      </c>
      <c r="H45" s="24" t="s">
        <v>274</v>
      </c>
      <c r="I45" s="375"/>
      <c r="J45" s="614"/>
      <c r="K45" s="615"/>
      <c r="L45" s="615"/>
      <c r="M45" s="615"/>
      <c r="N45" s="375">
        <v>2250</v>
      </c>
      <c r="O45" s="615">
        <f t="shared" ref="O45" si="10">SUM(I45+N45)</f>
        <v>2250</v>
      </c>
    </row>
    <row r="46" spans="2:15" s="7" customFormat="1" ht="13.5" customHeight="1" x14ac:dyDescent="0.2">
      <c r="B46" s="6" t="s">
        <v>262</v>
      </c>
      <c r="C46" s="12" t="s">
        <v>245</v>
      </c>
      <c r="D46" s="13" t="s">
        <v>235</v>
      </c>
      <c r="E46" s="14" t="s">
        <v>201</v>
      </c>
      <c r="F46" s="6"/>
      <c r="G46" s="5" t="s">
        <v>268</v>
      </c>
      <c r="H46" s="16" t="s">
        <v>188</v>
      </c>
      <c r="I46" s="375">
        <v>110568</v>
      </c>
      <c r="J46" s="614">
        <v>110568</v>
      </c>
      <c r="K46" s="615">
        <v>110567</v>
      </c>
      <c r="L46" s="615">
        <v>0</v>
      </c>
      <c r="M46" s="615">
        <f t="shared" si="7"/>
        <v>1</v>
      </c>
      <c r="N46" s="615"/>
      <c r="O46" s="615">
        <f t="shared" si="6"/>
        <v>110568</v>
      </c>
    </row>
    <row r="47" spans="2:15" s="7" customFormat="1" ht="12" x14ac:dyDescent="0.2">
      <c r="B47" s="6" t="s">
        <v>262</v>
      </c>
      <c r="C47" s="12" t="s">
        <v>245</v>
      </c>
      <c r="D47" s="13" t="s">
        <v>204</v>
      </c>
      <c r="E47" s="14"/>
      <c r="F47" s="14" t="s">
        <v>200</v>
      </c>
      <c r="G47" s="5" t="s">
        <v>150</v>
      </c>
      <c r="H47" s="16" t="s">
        <v>187</v>
      </c>
      <c r="I47" s="375">
        <v>24625</v>
      </c>
      <c r="J47" s="614">
        <v>24625</v>
      </c>
      <c r="K47" s="615">
        <f>712+125+50+158+113</f>
        <v>1158</v>
      </c>
      <c r="L47" s="615">
        <v>0</v>
      </c>
      <c r="M47" s="615">
        <f t="shared" si="7"/>
        <v>23467</v>
      </c>
      <c r="N47" s="615"/>
      <c r="O47" s="615">
        <f t="shared" si="6"/>
        <v>24625</v>
      </c>
    </row>
    <row r="48" spans="2:15" s="7" customFormat="1" ht="12" x14ac:dyDescent="0.2">
      <c r="B48" s="6" t="s">
        <v>244</v>
      </c>
      <c r="C48" s="12" t="s">
        <v>245</v>
      </c>
      <c r="D48" s="13" t="s">
        <v>232</v>
      </c>
      <c r="E48" s="250"/>
      <c r="F48" s="234" t="s">
        <v>143</v>
      </c>
      <c r="G48" s="5" t="s">
        <v>163</v>
      </c>
      <c r="H48" s="16" t="s">
        <v>391</v>
      </c>
      <c r="I48" s="375">
        <v>17453</v>
      </c>
      <c r="J48" s="614">
        <v>17453</v>
      </c>
      <c r="K48" s="615">
        <v>17453</v>
      </c>
      <c r="L48" s="615">
        <v>0</v>
      </c>
      <c r="M48" s="615">
        <f>J48-K48</f>
        <v>0</v>
      </c>
      <c r="N48" s="615">
        <v>1500</v>
      </c>
      <c r="O48" s="615">
        <f t="shared" si="6"/>
        <v>18953</v>
      </c>
    </row>
    <row r="49" spans="2:15" s="7" customFormat="1" ht="12" x14ac:dyDescent="0.2">
      <c r="B49" s="6" t="s">
        <v>244</v>
      </c>
      <c r="C49" s="12" t="s">
        <v>245</v>
      </c>
      <c r="D49" s="13" t="s">
        <v>309</v>
      </c>
      <c r="E49" s="250"/>
      <c r="F49" s="234"/>
      <c r="G49" s="5" t="s">
        <v>163</v>
      </c>
      <c r="H49" s="16" t="s">
        <v>195</v>
      </c>
      <c r="I49" s="375">
        <v>0</v>
      </c>
      <c r="J49" s="614">
        <v>0</v>
      </c>
      <c r="K49" s="615">
        <v>0</v>
      </c>
      <c r="L49" s="615">
        <v>0</v>
      </c>
      <c r="M49" s="615">
        <f t="shared" ref="M49:M62" si="11">J49-K49</f>
        <v>0</v>
      </c>
      <c r="N49" s="615">
        <v>0</v>
      </c>
      <c r="O49" s="615">
        <f t="shared" si="6"/>
        <v>0</v>
      </c>
    </row>
    <row r="50" spans="2:15" s="74" customFormat="1" ht="12.75" x14ac:dyDescent="0.2">
      <c r="B50" s="229" t="s">
        <v>234</v>
      </c>
      <c r="C50" s="625" t="s">
        <v>171</v>
      </c>
      <c r="D50" s="234" t="s">
        <v>60</v>
      </c>
      <c r="E50" s="229"/>
      <c r="F50" s="229"/>
      <c r="G50" s="49" t="s">
        <v>163</v>
      </c>
      <c r="H50" s="48" t="s">
        <v>381</v>
      </c>
      <c r="I50" s="375">
        <v>468710</v>
      </c>
      <c r="J50" s="617">
        <v>468710</v>
      </c>
      <c r="K50" s="615">
        <v>468710</v>
      </c>
      <c r="L50" s="618">
        <v>0</v>
      </c>
      <c r="M50" s="615">
        <f t="shared" si="11"/>
        <v>0</v>
      </c>
      <c r="N50" s="615">
        <v>0</v>
      </c>
      <c r="O50" s="615">
        <f t="shared" si="6"/>
        <v>468710</v>
      </c>
    </row>
    <row r="51" spans="2:15" s="74" customFormat="1" ht="12.75" x14ac:dyDescent="0.2">
      <c r="B51" s="221" t="s">
        <v>234</v>
      </c>
      <c r="C51" s="263" t="s">
        <v>171</v>
      </c>
      <c r="D51" s="264" t="s">
        <v>331</v>
      </c>
      <c r="E51" s="221"/>
      <c r="F51" s="221"/>
      <c r="G51" s="17" t="s">
        <v>163</v>
      </c>
      <c r="H51" s="29" t="s">
        <v>382</v>
      </c>
      <c r="I51" s="382">
        <v>80125</v>
      </c>
      <c r="J51" s="617">
        <v>80125</v>
      </c>
      <c r="K51" s="615">
        <v>0</v>
      </c>
      <c r="L51" s="618">
        <v>0</v>
      </c>
      <c r="M51" s="615">
        <f t="shared" si="11"/>
        <v>80125</v>
      </c>
      <c r="N51" s="615">
        <v>0</v>
      </c>
      <c r="O51" s="615">
        <f t="shared" si="6"/>
        <v>80125</v>
      </c>
    </row>
    <row r="52" spans="2:15" s="7" customFormat="1" ht="12" x14ac:dyDescent="0.2">
      <c r="B52" s="259" t="s">
        <v>132</v>
      </c>
      <c r="C52" s="252" t="s">
        <v>245</v>
      </c>
      <c r="D52" s="14" t="s">
        <v>405</v>
      </c>
      <c r="E52" s="226"/>
      <c r="F52" s="227" t="s">
        <v>402</v>
      </c>
      <c r="G52" s="5" t="s">
        <v>154</v>
      </c>
      <c r="H52" s="23" t="s">
        <v>404</v>
      </c>
      <c r="I52" s="375">
        <v>0</v>
      </c>
      <c r="J52" s="614">
        <v>0</v>
      </c>
      <c r="K52" s="615">
        <v>0</v>
      </c>
      <c r="L52" s="615">
        <v>0</v>
      </c>
      <c r="M52" s="615">
        <f>J52-K52</f>
        <v>0</v>
      </c>
      <c r="N52" s="615">
        <v>19057</v>
      </c>
      <c r="O52" s="615">
        <f t="shared" si="6"/>
        <v>19057</v>
      </c>
    </row>
    <row r="53" spans="2:15" s="7" customFormat="1" ht="12" x14ac:dyDescent="0.2">
      <c r="B53" s="259" t="s">
        <v>132</v>
      </c>
      <c r="C53" s="252" t="s">
        <v>245</v>
      </c>
      <c r="D53" s="253" t="s">
        <v>279</v>
      </c>
      <c r="E53" s="254"/>
      <c r="F53" s="227" t="s">
        <v>143</v>
      </c>
      <c r="G53" s="5" t="s">
        <v>154</v>
      </c>
      <c r="H53" s="23" t="s">
        <v>184</v>
      </c>
      <c r="I53" s="375">
        <v>7500</v>
      </c>
      <c r="J53" s="614">
        <v>7800</v>
      </c>
      <c r="K53" s="615">
        <v>7800</v>
      </c>
      <c r="L53" s="615">
        <v>0</v>
      </c>
      <c r="M53" s="615">
        <f>J53-K53</f>
        <v>0</v>
      </c>
      <c r="N53" s="615">
        <v>300</v>
      </c>
      <c r="O53" s="615">
        <f t="shared" si="6"/>
        <v>7800</v>
      </c>
    </row>
    <row r="54" spans="2:15" s="74" customFormat="1" ht="12.75" x14ac:dyDescent="0.2">
      <c r="B54" s="229" t="s">
        <v>132</v>
      </c>
      <c r="C54" s="354" t="s">
        <v>127</v>
      </c>
      <c r="D54" s="234" t="s">
        <v>333</v>
      </c>
      <c r="E54" s="229"/>
      <c r="F54" s="251" t="s">
        <v>408</v>
      </c>
      <c r="G54" s="611" t="s">
        <v>154</v>
      </c>
      <c r="H54" s="48" t="s">
        <v>377</v>
      </c>
      <c r="I54" s="375">
        <v>2343</v>
      </c>
      <c r="J54" s="617">
        <v>2343</v>
      </c>
      <c r="K54" s="615">
        <v>0</v>
      </c>
      <c r="L54" s="618">
        <v>0</v>
      </c>
      <c r="M54" s="615">
        <f t="shared" si="11"/>
        <v>2343</v>
      </c>
      <c r="N54" s="615">
        <v>-2343</v>
      </c>
      <c r="O54" s="615">
        <f t="shared" si="6"/>
        <v>0</v>
      </c>
    </row>
    <row r="55" spans="2:15" s="74" customFormat="1" ht="12.75" x14ac:dyDescent="0.2">
      <c r="B55" s="221" t="s">
        <v>132</v>
      </c>
      <c r="C55" s="277" t="s">
        <v>127</v>
      </c>
      <c r="D55" s="264" t="s">
        <v>334</v>
      </c>
      <c r="E55" s="221"/>
      <c r="F55" s="281" t="s">
        <v>143</v>
      </c>
      <c r="G55" s="626" t="s">
        <v>154</v>
      </c>
      <c r="H55" s="29" t="s">
        <v>422</v>
      </c>
      <c r="I55" s="382">
        <v>5670</v>
      </c>
      <c r="J55" s="617">
        <v>5670</v>
      </c>
      <c r="K55" s="615">
        <v>6204</v>
      </c>
      <c r="L55" s="618">
        <v>0</v>
      </c>
      <c r="M55" s="615">
        <f t="shared" si="11"/>
        <v>-534</v>
      </c>
      <c r="N55" s="615">
        <v>830</v>
      </c>
      <c r="O55" s="615">
        <f t="shared" si="6"/>
        <v>6500</v>
      </c>
    </row>
    <row r="56" spans="2:15" s="74" customFormat="1" ht="12.75" x14ac:dyDescent="0.2">
      <c r="B56" s="229" t="s">
        <v>132</v>
      </c>
      <c r="C56" s="354" t="s">
        <v>127</v>
      </c>
      <c r="D56" s="234" t="s">
        <v>66</v>
      </c>
      <c r="E56" s="229"/>
      <c r="F56" s="251" t="s">
        <v>143</v>
      </c>
      <c r="G56" s="611" t="s">
        <v>154</v>
      </c>
      <c r="H56" s="48" t="s">
        <v>379</v>
      </c>
      <c r="I56" s="375">
        <v>75190</v>
      </c>
      <c r="J56" s="617">
        <v>76527</v>
      </c>
      <c r="K56" s="615">
        <v>76527</v>
      </c>
      <c r="L56" s="618">
        <v>0</v>
      </c>
      <c r="M56" s="615">
        <f t="shared" si="11"/>
        <v>0</v>
      </c>
      <c r="N56" s="615">
        <v>3501</v>
      </c>
      <c r="O56" s="615">
        <f t="shared" si="6"/>
        <v>78691</v>
      </c>
    </row>
    <row r="57" spans="2:15" s="74" customFormat="1" ht="12.75" x14ac:dyDescent="0.2">
      <c r="B57" s="384" t="s">
        <v>132</v>
      </c>
      <c r="C57" s="627" t="s">
        <v>127</v>
      </c>
      <c r="D57" s="370" t="s">
        <v>400</v>
      </c>
      <c r="E57" s="384"/>
      <c r="F57" s="628" t="s">
        <v>143</v>
      </c>
      <c r="G57" s="629" t="s">
        <v>154</v>
      </c>
      <c r="H57" s="630" t="s">
        <v>380</v>
      </c>
      <c r="I57" s="382">
        <v>11259</v>
      </c>
      <c r="J57" s="617">
        <v>11259</v>
      </c>
      <c r="K57" s="615">
        <v>15384</v>
      </c>
      <c r="L57" s="618">
        <v>0</v>
      </c>
      <c r="M57" s="615">
        <f t="shared" si="11"/>
        <v>-4125</v>
      </c>
      <c r="N57" s="615">
        <v>4350</v>
      </c>
      <c r="O57" s="615">
        <f t="shared" si="6"/>
        <v>15609</v>
      </c>
    </row>
    <row r="58" spans="2:15" s="7" customFormat="1" ht="12" x14ac:dyDescent="0.2">
      <c r="B58" s="384" t="s">
        <v>264</v>
      </c>
      <c r="C58" s="385" t="s">
        <v>245</v>
      </c>
      <c r="D58" s="386" t="s">
        <v>179</v>
      </c>
      <c r="E58" s="387"/>
      <c r="F58" s="370"/>
      <c r="G58" s="388" t="s">
        <v>153</v>
      </c>
      <c r="H58" s="23" t="s">
        <v>189</v>
      </c>
      <c r="I58" s="375">
        <v>34000</v>
      </c>
      <c r="J58" s="614">
        <v>34000</v>
      </c>
      <c r="K58" s="615">
        <v>34000</v>
      </c>
      <c r="L58" s="615">
        <v>0</v>
      </c>
      <c r="M58" s="615">
        <f t="shared" si="11"/>
        <v>0</v>
      </c>
      <c r="N58" s="615"/>
      <c r="O58" s="615">
        <f t="shared" si="6"/>
        <v>34000</v>
      </c>
    </row>
    <row r="59" spans="2:15" s="7" customFormat="1" ht="12" hidden="1" x14ac:dyDescent="0.2">
      <c r="B59" s="680"/>
      <c r="C59" s="691"/>
      <c r="D59" s="693" t="s">
        <v>313</v>
      </c>
      <c r="E59" s="694"/>
      <c r="F59" s="684"/>
      <c r="G59" s="681"/>
      <c r="H59" s="695" t="s">
        <v>190</v>
      </c>
      <c r="I59" s="375">
        <v>4400</v>
      </c>
      <c r="J59" s="661">
        <v>4400</v>
      </c>
      <c r="K59" s="662">
        <v>0</v>
      </c>
      <c r="L59" s="662">
        <v>0</v>
      </c>
      <c r="M59" s="662">
        <f t="shared" si="11"/>
        <v>4400</v>
      </c>
      <c r="N59" s="662"/>
      <c r="O59" s="662">
        <f t="shared" si="6"/>
        <v>4400</v>
      </c>
    </row>
    <row r="60" spans="2:15" s="7" customFormat="1" ht="12" hidden="1" x14ac:dyDescent="0.2">
      <c r="B60" s="680"/>
      <c r="C60" s="691"/>
      <c r="D60" s="693" t="s">
        <v>312</v>
      </c>
      <c r="E60" s="694"/>
      <c r="F60" s="684"/>
      <c r="G60" s="681"/>
      <c r="H60" s="695" t="s">
        <v>310</v>
      </c>
      <c r="I60" s="375">
        <v>0</v>
      </c>
      <c r="J60" s="661"/>
      <c r="K60" s="662"/>
      <c r="L60" s="662"/>
      <c r="M60" s="662">
        <f t="shared" si="11"/>
        <v>0</v>
      </c>
      <c r="N60" s="662"/>
      <c r="O60" s="662">
        <f t="shared" si="6"/>
        <v>0</v>
      </c>
    </row>
    <row r="61" spans="2:15" s="7" customFormat="1" ht="12" hidden="1" x14ac:dyDescent="0.2">
      <c r="B61" s="680"/>
      <c r="C61" s="691"/>
      <c r="D61" s="693" t="s">
        <v>311</v>
      </c>
      <c r="E61" s="694"/>
      <c r="F61" s="684"/>
      <c r="G61" s="681"/>
      <c r="H61" s="695" t="s">
        <v>191</v>
      </c>
      <c r="I61" s="375">
        <v>1100</v>
      </c>
      <c r="J61" s="661">
        <v>1100</v>
      </c>
      <c r="K61" s="662">
        <v>606.25</v>
      </c>
      <c r="L61" s="662">
        <v>0</v>
      </c>
      <c r="M61" s="662">
        <f t="shared" si="11"/>
        <v>493.75</v>
      </c>
      <c r="N61" s="662"/>
      <c r="O61" s="662">
        <f t="shared" si="6"/>
        <v>1100</v>
      </c>
    </row>
    <row r="62" spans="2:15" s="7" customFormat="1" ht="12" hidden="1" x14ac:dyDescent="0.2">
      <c r="B62" s="680"/>
      <c r="C62" s="691"/>
      <c r="D62" s="693" t="s">
        <v>296</v>
      </c>
      <c r="E62" s="694"/>
      <c r="F62" s="680"/>
      <c r="G62" s="681"/>
      <c r="H62" s="695" t="s">
        <v>192</v>
      </c>
      <c r="I62" s="65">
        <v>3300</v>
      </c>
      <c r="J62" s="661">
        <v>3300</v>
      </c>
      <c r="K62" s="662">
        <v>0</v>
      </c>
      <c r="L62" s="662">
        <v>0</v>
      </c>
      <c r="M62" s="662">
        <f t="shared" si="11"/>
        <v>3300</v>
      </c>
      <c r="N62" s="662"/>
      <c r="O62" s="662">
        <f t="shared" si="6"/>
        <v>3300</v>
      </c>
    </row>
    <row r="63" spans="2:15" s="631" customFormat="1" ht="12.75" thickBot="1" x14ac:dyDescent="0.25">
      <c r="B63" s="645" t="s">
        <v>429</v>
      </c>
      <c r="C63" s="646" t="s">
        <v>245</v>
      </c>
      <c r="D63" s="641" t="s">
        <v>409</v>
      </c>
      <c r="E63" s="642"/>
      <c r="F63" s="623"/>
      <c r="G63" s="647" t="s">
        <v>163</v>
      </c>
      <c r="H63" s="648"/>
      <c r="I63" s="741">
        <v>8800</v>
      </c>
      <c r="J63" s="649">
        <f>SUM(J59:J62)</f>
        <v>8800</v>
      </c>
      <c r="K63" s="649">
        <f t="shared" ref="K63:N63" si="12">SUM(K59:K62)</f>
        <v>606.25</v>
      </c>
      <c r="L63" s="649">
        <f t="shared" si="12"/>
        <v>0</v>
      </c>
      <c r="M63" s="649">
        <f t="shared" si="12"/>
        <v>8193.75</v>
      </c>
      <c r="N63" s="649">
        <f t="shared" si="12"/>
        <v>0</v>
      </c>
      <c r="O63" s="726">
        <f t="shared" si="6"/>
        <v>8800</v>
      </c>
    </row>
    <row r="64" spans="2:15" s="74" customFormat="1" ht="13.5" thickBot="1" x14ac:dyDescent="0.25">
      <c r="B64" s="120"/>
      <c r="C64" s="121"/>
      <c r="D64" s="122"/>
      <c r="E64" s="122"/>
      <c r="F64" s="122"/>
      <c r="G64" s="122"/>
      <c r="H64" s="123" t="s">
        <v>208</v>
      </c>
      <c r="I64" s="125">
        <v>935504</v>
      </c>
      <c r="J64" s="621">
        <f>SUM(J37,J41,J42:J58,J63)</f>
        <v>937141</v>
      </c>
      <c r="K64" s="621">
        <f t="shared" ref="K64:N64" si="13">SUM(K37,K41,K42:K58,K63)</f>
        <v>776737.25</v>
      </c>
      <c r="L64" s="621">
        <f t="shared" si="13"/>
        <v>2198</v>
      </c>
      <c r="M64" s="621">
        <f t="shared" si="13"/>
        <v>158205.75</v>
      </c>
      <c r="N64" s="621">
        <f t="shared" si="13"/>
        <v>49839</v>
      </c>
      <c r="O64" s="725">
        <f>SUM(O37,O41:O58,O63)</f>
        <v>985343</v>
      </c>
    </row>
    <row r="65" spans="2:15" ht="15.75" customHeight="1" x14ac:dyDescent="0.2">
      <c r="I65" s="359"/>
      <c r="N65" s="7"/>
      <c r="O65" s="733">
        <f>SUM(I64,N64)</f>
        <v>985343</v>
      </c>
    </row>
    <row r="66" spans="2:15" ht="15.75" thickBot="1" x14ac:dyDescent="0.25">
      <c r="B66" s="141" t="s">
        <v>134</v>
      </c>
      <c r="I66" s="359"/>
      <c r="N66" s="7"/>
      <c r="O66" s="600"/>
    </row>
    <row r="67" spans="2:15" ht="12.75" x14ac:dyDescent="0.2">
      <c r="B67" s="79" t="s">
        <v>118</v>
      </c>
      <c r="C67" s="80"/>
      <c r="D67" s="138"/>
      <c r="E67" s="81"/>
      <c r="F67" s="80"/>
      <c r="G67" s="80"/>
      <c r="H67" s="80"/>
      <c r="I67" s="739" t="s">
        <v>58</v>
      </c>
      <c r="J67" s="609">
        <v>0.91666666666666663</v>
      </c>
      <c r="K67" s="84" t="s">
        <v>123</v>
      </c>
      <c r="L67" s="84"/>
      <c r="M67" s="84" t="s">
        <v>124</v>
      </c>
      <c r="N67" s="85" t="s">
        <v>121</v>
      </c>
      <c r="O67" s="723" t="s">
        <v>406</v>
      </c>
    </row>
    <row r="68" spans="2:15" s="74" customFormat="1" ht="13.5" thickBot="1" x14ac:dyDescent="0.25">
      <c r="B68" s="87" t="s">
        <v>148</v>
      </c>
      <c r="C68" s="88" t="s">
        <v>125</v>
      </c>
      <c r="D68" s="139" t="s">
        <v>61</v>
      </c>
      <c r="E68" s="88"/>
      <c r="F68" s="88" t="s">
        <v>147</v>
      </c>
      <c r="G68" s="88" t="s">
        <v>149</v>
      </c>
      <c r="H68" s="88" t="s">
        <v>62</v>
      </c>
      <c r="I68" s="740" t="s">
        <v>120</v>
      </c>
      <c r="J68" s="610" t="s">
        <v>272</v>
      </c>
      <c r="K68" s="91" t="s">
        <v>386</v>
      </c>
      <c r="L68" s="91" t="s">
        <v>119</v>
      </c>
      <c r="M68" s="91" t="s">
        <v>118</v>
      </c>
      <c r="N68" s="92" t="s">
        <v>122</v>
      </c>
      <c r="O68" s="724" t="s">
        <v>59</v>
      </c>
    </row>
    <row r="69" spans="2:15" s="496" customFormat="1" ht="12.75" x14ac:dyDescent="0.2">
      <c r="B69" s="734" t="s">
        <v>128</v>
      </c>
      <c r="C69" s="735" t="s">
        <v>161</v>
      </c>
      <c r="D69" s="736" t="s">
        <v>64</v>
      </c>
      <c r="E69" s="734"/>
      <c r="F69" s="734"/>
      <c r="G69" s="737" t="s">
        <v>163</v>
      </c>
      <c r="H69" s="738" t="s">
        <v>19</v>
      </c>
      <c r="I69" s="742">
        <v>4500</v>
      </c>
      <c r="J69" s="612">
        <v>4500</v>
      </c>
      <c r="K69" s="613">
        <v>2250</v>
      </c>
      <c r="L69" s="613">
        <v>0</v>
      </c>
      <c r="M69" s="613">
        <f>J69-K69-L69</f>
        <v>2250</v>
      </c>
      <c r="N69" s="613"/>
      <c r="O69" s="615">
        <f t="shared" ref="O69:O101" si="14">SUM(I69+N69)</f>
        <v>4500</v>
      </c>
    </row>
    <row r="70" spans="2:15" s="496" customFormat="1" ht="12.75" x14ac:dyDescent="0.2">
      <c r="B70" s="500" t="s">
        <v>128</v>
      </c>
      <c r="C70" s="501" t="s">
        <v>161</v>
      </c>
      <c r="D70" s="502" t="s">
        <v>63</v>
      </c>
      <c r="E70" s="500"/>
      <c r="F70" s="500"/>
      <c r="G70" s="503" t="s">
        <v>176</v>
      </c>
      <c r="H70" s="504" t="s">
        <v>19</v>
      </c>
      <c r="I70" s="509">
        <v>5000</v>
      </c>
      <c r="J70" s="614">
        <v>5000</v>
      </c>
      <c r="K70" s="615">
        <v>3602</v>
      </c>
      <c r="L70" s="615">
        <v>0</v>
      </c>
      <c r="M70" s="615">
        <f t="shared" ref="M70" si="15">J70-K70-L70</f>
        <v>1398</v>
      </c>
      <c r="N70" s="615"/>
      <c r="O70" s="615">
        <f t="shared" si="14"/>
        <v>5000</v>
      </c>
    </row>
    <row r="71" spans="2:15" s="74" customFormat="1" ht="12.75" x14ac:dyDescent="0.2">
      <c r="B71" s="229" t="s">
        <v>128</v>
      </c>
      <c r="C71" s="271" t="s">
        <v>161</v>
      </c>
      <c r="D71" s="234" t="s">
        <v>151</v>
      </c>
      <c r="E71" s="229"/>
      <c r="F71" s="229" t="s">
        <v>392</v>
      </c>
      <c r="G71" s="49" t="s">
        <v>150</v>
      </c>
      <c r="H71" s="48" t="s">
        <v>14</v>
      </c>
      <c r="I71" s="375">
        <v>50694</v>
      </c>
      <c r="J71" s="614">
        <v>50694</v>
      </c>
      <c r="K71" s="615">
        <v>47825</v>
      </c>
      <c r="L71" s="615">
        <v>0</v>
      </c>
      <c r="M71" s="660">
        <f>J71-K71-L71</f>
        <v>2869</v>
      </c>
      <c r="N71" s="615">
        <v>-50694</v>
      </c>
      <c r="O71" s="615">
        <f t="shared" si="14"/>
        <v>0</v>
      </c>
    </row>
    <row r="72" spans="2:15" s="153" customFormat="1" ht="12.75" x14ac:dyDescent="0.2">
      <c r="B72" s="221" t="s">
        <v>128</v>
      </c>
      <c r="C72" s="263" t="s">
        <v>161</v>
      </c>
      <c r="D72" s="264" t="s">
        <v>430</v>
      </c>
      <c r="E72" s="221"/>
      <c r="F72" s="221"/>
      <c r="G72" s="17" t="s">
        <v>150</v>
      </c>
      <c r="H72" s="29" t="s">
        <v>15</v>
      </c>
      <c r="I72" s="382">
        <v>196910</v>
      </c>
      <c r="J72" s="614">
        <v>196910</v>
      </c>
      <c r="K72" s="615">
        <v>193709</v>
      </c>
      <c r="L72" s="615">
        <v>0</v>
      </c>
      <c r="M72" s="660">
        <f>J72-K72-L72</f>
        <v>3201</v>
      </c>
      <c r="N72" s="615"/>
      <c r="O72" s="615">
        <f t="shared" si="14"/>
        <v>196910</v>
      </c>
    </row>
    <row r="73" spans="2:15" s="74" customFormat="1" ht="12.75" hidden="1" x14ac:dyDescent="0.2">
      <c r="B73" s="689"/>
      <c r="C73" s="696"/>
      <c r="D73" s="697" t="s">
        <v>256</v>
      </c>
      <c r="E73" s="698"/>
      <c r="F73" s="689"/>
      <c r="G73" s="677"/>
      <c r="H73" s="699" t="s">
        <v>9</v>
      </c>
      <c r="I73" s="375">
        <v>677482</v>
      </c>
      <c r="J73" s="614">
        <v>677482</v>
      </c>
      <c r="K73" s="615">
        <v>398602</v>
      </c>
      <c r="L73" s="615">
        <v>0</v>
      </c>
      <c r="M73" s="615">
        <f t="shared" ref="M73:M77" si="16">J73-K73-L73</f>
        <v>278880</v>
      </c>
      <c r="N73" s="615"/>
      <c r="O73" s="615">
        <f t="shared" si="14"/>
        <v>677482</v>
      </c>
    </row>
    <row r="74" spans="2:15" s="74" customFormat="1" ht="12.75" hidden="1" x14ac:dyDescent="0.2">
      <c r="B74" s="689"/>
      <c r="C74" s="696"/>
      <c r="D74" s="697" t="s">
        <v>257</v>
      </c>
      <c r="E74" s="698"/>
      <c r="F74" s="700"/>
      <c r="G74" s="701"/>
      <c r="H74" s="702" t="s">
        <v>10</v>
      </c>
      <c r="I74" s="375">
        <v>121560</v>
      </c>
      <c r="J74" s="614">
        <v>121560</v>
      </c>
      <c r="K74" s="615">
        <v>88963</v>
      </c>
      <c r="L74" s="615">
        <v>0</v>
      </c>
      <c r="M74" s="615">
        <f t="shared" si="16"/>
        <v>32597</v>
      </c>
      <c r="N74" s="615"/>
      <c r="O74" s="615">
        <f t="shared" si="14"/>
        <v>121560</v>
      </c>
    </row>
    <row r="75" spans="2:15" s="74" customFormat="1" ht="12.75" hidden="1" x14ac:dyDescent="0.2">
      <c r="B75" s="689"/>
      <c r="C75" s="696"/>
      <c r="D75" s="697" t="s">
        <v>258</v>
      </c>
      <c r="E75" s="698"/>
      <c r="F75" s="700"/>
      <c r="G75" s="701"/>
      <c r="H75" s="702" t="s">
        <v>11</v>
      </c>
      <c r="I75" s="375">
        <v>30757.5</v>
      </c>
      <c r="J75" s="614">
        <v>30758</v>
      </c>
      <c r="K75" s="615">
        <v>12082</v>
      </c>
      <c r="L75" s="615">
        <v>18676</v>
      </c>
      <c r="M75" s="615">
        <f t="shared" si="16"/>
        <v>0</v>
      </c>
      <c r="N75" s="615"/>
      <c r="O75" s="615">
        <f t="shared" si="14"/>
        <v>30757.5</v>
      </c>
    </row>
    <row r="76" spans="2:15" s="74" customFormat="1" ht="12.75" hidden="1" x14ac:dyDescent="0.2">
      <c r="B76" s="689"/>
      <c r="C76" s="696"/>
      <c r="D76" s="697" t="s">
        <v>259</v>
      </c>
      <c r="E76" s="698"/>
      <c r="F76" s="700"/>
      <c r="G76" s="701"/>
      <c r="H76" s="702" t="s">
        <v>12</v>
      </c>
      <c r="I76" s="375">
        <v>55236</v>
      </c>
      <c r="J76" s="614">
        <v>55236</v>
      </c>
      <c r="K76" s="615">
        <v>40691</v>
      </c>
      <c r="L76" s="615">
        <v>0</v>
      </c>
      <c r="M76" s="615">
        <f t="shared" si="16"/>
        <v>14545</v>
      </c>
      <c r="N76" s="615"/>
      <c r="O76" s="615">
        <f t="shared" si="14"/>
        <v>55236</v>
      </c>
    </row>
    <row r="77" spans="2:15" s="74" customFormat="1" ht="12.75" hidden="1" x14ac:dyDescent="0.2">
      <c r="B77" s="703"/>
      <c r="C77" s="704"/>
      <c r="D77" s="697" t="s">
        <v>260</v>
      </c>
      <c r="E77" s="698"/>
      <c r="F77" s="700"/>
      <c r="G77" s="701"/>
      <c r="H77" s="702" t="s">
        <v>13</v>
      </c>
      <c r="I77" s="375">
        <v>14964</v>
      </c>
      <c r="J77" s="614">
        <v>14964</v>
      </c>
      <c r="K77" s="615">
        <v>12567</v>
      </c>
      <c r="L77" s="615">
        <v>0</v>
      </c>
      <c r="M77" s="615">
        <f t="shared" si="16"/>
        <v>2397</v>
      </c>
      <c r="N77" s="615"/>
      <c r="O77" s="615">
        <f t="shared" si="14"/>
        <v>14964</v>
      </c>
    </row>
    <row r="78" spans="2:15" s="446" customFormat="1" ht="12.75" x14ac:dyDescent="0.2">
      <c r="B78" s="622" t="s">
        <v>128</v>
      </c>
      <c r="C78" s="670" t="s">
        <v>161</v>
      </c>
      <c r="D78" s="635" t="s">
        <v>65</v>
      </c>
      <c r="E78" s="622"/>
      <c r="F78" s="622"/>
      <c r="G78" s="671" t="s">
        <v>167</v>
      </c>
      <c r="H78" s="669" t="s">
        <v>428</v>
      </c>
      <c r="I78" s="674">
        <v>899999.5</v>
      </c>
      <c r="J78" s="638">
        <f>SUM(J73:J77)</f>
        <v>900000</v>
      </c>
      <c r="K78" s="638">
        <f t="shared" ref="K78:N78" si="17">SUM(K73:K77)</f>
        <v>552905</v>
      </c>
      <c r="L78" s="638">
        <f t="shared" si="17"/>
        <v>18676</v>
      </c>
      <c r="M78" s="638">
        <f t="shared" si="17"/>
        <v>328419</v>
      </c>
      <c r="N78" s="638">
        <f t="shared" si="17"/>
        <v>0</v>
      </c>
      <c r="O78" s="726">
        <f t="shared" si="14"/>
        <v>899999.5</v>
      </c>
    </row>
    <row r="79" spans="2:15" s="74" customFormat="1" ht="12.75" hidden="1" x14ac:dyDescent="0.2">
      <c r="B79" s="705"/>
      <c r="C79" s="696"/>
      <c r="D79" s="697" t="s">
        <v>251</v>
      </c>
      <c r="E79" s="698"/>
      <c r="F79" s="689"/>
      <c r="G79" s="677"/>
      <c r="H79" s="699" t="s">
        <v>4</v>
      </c>
      <c r="I79" s="375">
        <v>706962.73</v>
      </c>
      <c r="J79" s="614">
        <v>706963</v>
      </c>
      <c r="K79" s="615">
        <v>414566</v>
      </c>
      <c r="L79" s="615">
        <v>0</v>
      </c>
      <c r="M79" s="615">
        <f t="shared" ref="M79:M83" si="18">J79-K79-L79</f>
        <v>292397</v>
      </c>
      <c r="N79" s="615"/>
      <c r="O79" s="615">
        <f t="shared" si="14"/>
        <v>706962.73</v>
      </c>
    </row>
    <row r="80" spans="2:15" s="74" customFormat="1" ht="12.75" hidden="1" x14ac:dyDescent="0.2">
      <c r="B80" s="706"/>
      <c r="C80" s="696"/>
      <c r="D80" s="697" t="s">
        <v>252</v>
      </c>
      <c r="E80" s="698"/>
      <c r="F80" s="700"/>
      <c r="G80" s="701"/>
      <c r="H80" s="702" t="s">
        <v>5</v>
      </c>
      <c r="I80" s="375">
        <v>159484.5</v>
      </c>
      <c r="J80" s="614">
        <v>159485</v>
      </c>
      <c r="K80" s="615">
        <v>58697</v>
      </c>
      <c r="L80" s="615">
        <v>0</v>
      </c>
      <c r="M80" s="615">
        <f t="shared" si="18"/>
        <v>100788</v>
      </c>
      <c r="N80" s="615"/>
      <c r="O80" s="615">
        <f t="shared" si="14"/>
        <v>159484.5</v>
      </c>
    </row>
    <row r="81" spans="1:15" s="74" customFormat="1" ht="12.75" hidden="1" x14ac:dyDescent="0.2">
      <c r="B81" s="706"/>
      <c r="C81" s="696"/>
      <c r="D81" s="697" t="s">
        <v>253</v>
      </c>
      <c r="E81" s="698"/>
      <c r="F81" s="700"/>
      <c r="G81" s="701"/>
      <c r="H81" s="702" t="s">
        <v>6</v>
      </c>
      <c r="I81" s="375">
        <v>21421.32</v>
      </c>
      <c r="J81" s="614">
        <v>21421</v>
      </c>
      <c r="K81" s="615">
        <v>4136</v>
      </c>
      <c r="L81" s="615">
        <v>17285</v>
      </c>
      <c r="M81" s="615">
        <f t="shared" si="18"/>
        <v>0</v>
      </c>
      <c r="N81" s="615"/>
      <c r="O81" s="615">
        <f t="shared" si="14"/>
        <v>21421.32</v>
      </c>
    </row>
    <row r="82" spans="1:15" s="74" customFormat="1" ht="12.75" hidden="1" x14ac:dyDescent="0.2">
      <c r="B82" s="706"/>
      <c r="C82" s="696"/>
      <c r="D82" s="697" t="s">
        <v>254</v>
      </c>
      <c r="E82" s="698"/>
      <c r="F82" s="700"/>
      <c r="G82" s="701"/>
      <c r="H82" s="702" t="s">
        <v>7</v>
      </c>
      <c r="I82" s="375">
        <v>137895.45000000001</v>
      </c>
      <c r="J82" s="614">
        <v>137895</v>
      </c>
      <c r="K82" s="615">
        <v>111963</v>
      </c>
      <c r="L82" s="615">
        <v>0</v>
      </c>
      <c r="M82" s="615">
        <f t="shared" si="18"/>
        <v>25932</v>
      </c>
      <c r="N82" s="615"/>
      <c r="O82" s="615">
        <f t="shared" si="14"/>
        <v>137895.45000000001</v>
      </c>
    </row>
    <row r="83" spans="1:15" s="74" customFormat="1" ht="12.75" hidden="1" x14ac:dyDescent="0.2">
      <c r="B83" s="707"/>
      <c r="C83" s="696"/>
      <c r="D83" s="697" t="s">
        <v>255</v>
      </c>
      <c r="E83" s="698" t="s">
        <v>162</v>
      </c>
      <c r="F83" s="700"/>
      <c r="G83" s="701"/>
      <c r="H83" s="702" t="s">
        <v>8</v>
      </c>
      <c r="I83" s="375">
        <v>74236</v>
      </c>
      <c r="J83" s="614">
        <v>74236</v>
      </c>
      <c r="K83" s="615">
        <v>47707</v>
      </c>
      <c r="L83" s="615">
        <v>0</v>
      </c>
      <c r="M83" s="615">
        <f t="shared" si="18"/>
        <v>26529</v>
      </c>
      <c r="N83" s="615"/>
      <c r="O83" s="615">
        <f t="shared" si="14"/>
        <v>74236</v>
      </c>
    </row>
    <row r="84" spans="1:15" s="446" customFormat="1" ht="12.75" x14ac:dyDescent="0.2">
      <c r="B84" s="622" t="s">
        <v>128</v>
      </c>
      <c r="C84" s="667" t="s">
        <v>161</v>
      </c>
      <c r="D84" s="668" t="s">
        <v>225</v>
      </c>
      <c r="E84" s="622"/>
      <c r="F84" s="639"/>
      <c r="G84" s="647" t="s">
        <v>167</v>
      </c>
      <c r="H84" s="669" t="s">
        <v>428</v>
      </c>
      <c r="I84" s="674">
        <v>1100000</v>
      </c>
      <c r="J84" s="638">
        <f>SUM(J79:J83)</f>
        <v>1100000</v>
      </c>
      <c r="K84" s="638">
        <f t="shared" ref="K84:N84" si="19">SUM(K79:K83)</f>
        <v>637069</v>
      </c>
      <c r="L84" s="638">
        <f t="shared" si="19"/>
        <v>17285</v>
      </c>
      <c r="M84" s="638">
        <f t="shared" si="19"/>
        <v>445646</v>
      </c>
      <c r="N84" s="638">
        <f t="shared" si="19"/>
        <v>0</v>
      </c>
      <c r="O84" s="726">
        <f t="shared" si="14"/>
        <v>1100000</v>
      </c>
    </row>
    <row r="85" spans="1:15" s="74" customFormat="1" ht="12.75" x14ac:dyDescent="0.2">
      <c r="B85" s="221" t="s">
        <v>128</v>
      </c>
      <c r="C85" s="277" t="s">
        <v>161</v>
      </c>
      <c r="D85" s="370" t="s">
        <v>350</v>
      </c>
      <c r="E85" s="221"/>
      <c r="F85" s="221"/>
      <c r="G85" s="17" t="s">
        <v>150</v>
      </c>
      <c r="H85" s="29" t="s">
        <v>16</v>
      </c>
      <c r="I85" s="382">
        <v>341575</v>
      </c>
      <c r="J85" s="614">
        <v>341575</v>
      </c>
      <c r="K85" s="615">
        <v>341575</v>
      </c>
      <c r="L85" s="615">
        <v>0</v>
      </c>
      <c r="M85" s="615">
        <f>J85-K85-L85</f>
        <v>0</v>
      </c>
      <c r="N85" s="375">
        <v>56844</v>
      </c>
      <c r="O85" s="615">
        <f t="shared" si="14"/>
        <v>398419</v>
      </c>
    </row>
    <row r="86" spans="1:15" s="74" customFormat="1" ht="12.75" x14ac:dyDescent="0.2">
      <c r="B86" s="227" t="s">
        <v>128</v>
      </c>
      <c r="C86" s="292"/>
      <c r="D86" s="370" t="s">
        <v>394</v>
      </c>
      <c r="E86" s="227"/>
      <c r="F86" s="227" t="s">
        <v>402</v>
      </c>
      <c r="G86" s="34" t="s">
        <v>167</v>
      </c>
      <c r="H86" s="41" t="s">
        <v>424</v>
      </c>
      <c r="I86" s="743"/>
      <c r="J86" s="614"/>
      <c r="K86" s="615"/>
      <c r="L86" s="615"/>
      <c r="M86" s="615"/>
      <c r="N86" s="615">
        <v>15480</v>
      </c>
      <c r="O86" s="615">
        <f t="shared" si="14"/>
        <v>15480</v>
      </c>
    </row>
    <row r="87" spans="1:15" s="74" customFormat="1" ht="12.75" x14ac:dyDescent="0.2">
      <c r="A87" s="74" t="s">
        <v>303</v>
      </c>
      <c r="B87" s="283" t="s">
        <v>1</v>
      </c>
      <c r="C87" s="284" t="s">
        <v>161</v>
      </c>
      <c r="D87" s="283" t="s">
        <v>68</v>
      </c>
      <c r="E87" s="229"/>
      <c r="F87" s="6" t="s">
        <v>282</v>
      </c>
      <c r="G87" s="5" t="s">
        <v>153</v>
      </c>
      <c r="H87" s="32" t="s">
        <v>0</v>
      </c>
      <c r="I87" s="375">
        <v>180475</v>
      </c>
      <c r="J87" s="614">
        <v>180475</v>
      </c>
      <c r="K87" s="615">
        <v>33500</v>
      </c>
      <c r="L87" s="615">
        <v>500</v>
      </c>
      <c r="M87" s="615">
        <f>J87-K87-L87</f>
        <v>146475</v>
      </c>
      <c r="N87" s="615">
        <v>180475</v>
      </c>
      <c r="O87" s="615">
        <f t="shared" si="14"/>
        <v>360950</v>
      </c>
    </row>
    <row r="88" spans="1:15" s="74" customFormat="1" ht="12.75" x14ac:dyDescent="0.2">
      <c r="A88" s="74" t="s">
        <v>303</v>
      </c>
      <c r="B88" s="259" t="s">
        <v>128</v>
      </c>
      <c r="C88" s="285" t="s">
        <v>160</v>
      </c>
      <c r="D88" s="259" t="s">
        <v>388</v>
      </c>
      <c r="E88" s="259"/>
      <c r="F88" s="259"/>
      <c r="G88" s="33" t="s">
        <v>165</v>
      </c>
      <c r="H88" s="49" t="s">
        <v>385</v>
      </c>
      <c r="I88" s="375">
        <v>40000</v>
      </c>
      <c r="J88" s="614">
        <v>40000</v>
      </c>
      <c r="K88" s="614">
        <f>4775+69+77+55+4275+72+80+57</f>
        <v>9460</v>
      </c>
      <c r="L88" s="615">
        <v>0</v>
      </c>
      <c r="M88" s="615">
        <f t="shared" ref="M88:M101" si="20">J88-K88-L88</f>
        <v>30540</v>
      </c>
      <c r="N88" s="615"/>
      <c r="O88" s="615">
        <f t="shared" si="14"/>
        <v>40000</v>
      </c>
    </row>
    <row r="89" spans="1:15" s="74" customFormat="1" ht="12.75" hidden="1" x14ac:dyDescent="0.2">
      <c r="A89" s="74" t="s">
        <v>303</v>
      </c>
      <c r="B89" s="708"/>
      <c r="C89" s="709"/>
      <c r="D89" s="708" t="s">
        <v>74</v>
      </c>
      <c r="E89" s="708"/>
      <c r="F89" s="708" t="s">
        <v>22</v>
      </c>
      <c r="G89" s="710"/>
      <c r="H89" s="710" t="s">
        <v>21</v>
      </c>
      <c r="I89" s="375">
        <v>0</v>
      </c>
      <c r="J89" s="614">
        <v>0</v>
      </c>
      <c r="K89" s="615">
        <v>-195</v>
      </c>
      <c r="L89" s="615"/>
      <c r="M89" s="615">
        <f t="shared" si="20"/>
        <v>195</v>
      </c>
      <c r="N89" s="615"/>
      <c r="O89" s="615">
        <f t="shared" si="14"/>
        <v>0</v>
      </c>
    </row>
    <row r="90" spans="1:15" s="74" customFormat="1" ht="12.75" hidden="1" x14ac:dyDescent="0.2">
      <c r="A90" s="74" t="s">
        <v>303</v>
      </c>
      <c r="B90" s="689"/>
      <c r="C90" s="711"/>
      <c r="D90" s="689" t="s">
        <v>74</v>
      </c>
      <c r="E90" s="689"/>
      <c r="F90" s="689" t="s">
        <v>140</v>
      </c>
      <c r="G90" s="677"/>
      <c r="H90" s="677" t="s">
        <v>137</v>
      </c>
      <c r="I90" s="375">
        <v>15000</v>
      </c>
      <c r="J90" s="614">
        <v>15000</v>
      </c>
      <c r="K90" s="615">
        <v>11262</v>
      </c>
      <c r="L90" s="615"/>
      <c r="M90" s="615">
        <f t="shared" si="20"/>
        <v>3738</v>
      </c>
      <c r="N90" s="615"/>
      <c r="O90" s="615">
        <f t="shared" si="14"/>
        <v>15000</v>
      </c>
    </row>
    <row r="91" spans="1:15" s="74" customFormat="1" ht="12.75" hidden="1" x14ac:dyDescent="0.2">
      <c r="A91" s="74" t="s">
        <v>303</v>
      </c>
      <c r="B91" s="703"/>
      <c r="C91" s="712"/>
      <c r="D91" s="703" t="s">
        <v>74</v>
      </c>
      <c r="E91" s="703"/>
      <c r="F91" s="703" t="s">
        <v>141</v>
      </c>
      <c r="G91" s="713"/>
      <c r="H91" s="713" t="s">
        <v>138</v>
      </c>
      <c r="I91" s="375">
        <v>165000</v>
      </c>
      <c r="J91" s="614">
        <v>165000</v>
      </c>
      <c r="K91" s="615">
        <v>84240</v>
      </c>
      <c r="L91" s="615"/>
      <c r="M91" s="615">
        <f t="shared" si="20"/>
        <v>80760</v>
      </c>
      <c r="N91" s="615"/>
      <c r="O91" s="615">
        <f t="shared" si="14"/>
        <v>165000</v>
      </c>
    </row>
    <row r="92" spans="1:15" s="446" customFormat="1" ht="12.75" x14ac:dyDescent="0.2">
      <c r="A92" s="446" t="s">
        <v>303</v>
      </c>
      <c r="B92" s="639" t="s">
        <v>128</v>
      </c>
      <c r="C92" s="658" t="s">
        <v>172</v>
      </c>
      <c r="D92" s="639" t="s">
        <v>74</v>
      </c>
      <c r="E92" s="622"/>
      <c r="F92" s="639"/>
      <c r="G92" s="647" t="s">
        <v>176</v>
      </c>
      <c r="H92" s="669" t="s">
        <v>428</v>
      </c>
      <c r="I92" s="674">
        <f>SUM(I89:I91)</f>
        <v>180000</v>
      </c>
      <c r="J92" s="674">
        <f t="shared" ref="J92:N92" si="21">SUM(J89:J91)</f>
        <v>180000</v>
      </c>
      <c r="K92" s="674">
        <f t="shared" si="21"/>
        <v>95307</v>
      </c>
      <c r="L92" s="674">
        <f t="shared" si="21"/>
        <v>0</v>
      </c>
      <c r="M92" s="674">
        <f t="shared" si="21"/>
        <v>84693</v>
      </c>
      <c r="N92" s="674">
        <f t="shared" si="21"/>
        <v>0</v>
      </c>
      <c r="O92" s="726">
        <f t="shared" si="14"/>
        <v>180000</v>
      </c>
    </row>
    <row r="93" spans="1:15" s="74" customFormat="1" ht="12.75" hidden="1" x14ac:dyDescent="0.2">
      <c r="A93" s="74" t="s">
        <v>303</v>
      </c>
      <c r="B93" s="714"/>
      <c r="C93" s="715"/>
      <c r="D93" s="714" t="s">
        <v>79</v>
      </c>
      <c r="E93" s="716"/>
      <c r="F93" s="680" t="s">
        <v>397</v>
      </c>
      <c r="G93" s="681"/>
      <c r="H93" s="669" t="s">
        <v>428</v>
      </c>
      <c r="I93" s="375">
        <v>4588774</v>
      </c>
      <c r="J93" s="562">
        <v>4588774</v>
      </c>
      <c r="K93" s="375">
        <v>2380852</v>
      </c>
      <c r="L93" s="375">
        <v>0</v>
      </c>
      <c r="M93" s="375">
        <f t="shared" si="20"/>
        <v>2207922</v>
      </c>
      <c r="N93" s="375">
        <v>-343774</v>
      </c>
      <c r="O93" s="615">
        <f t="shared" si="14"/>
        <v>4245000</v>
      </c>
    </row>
    <row r="94" spans="1:15" s="74" customFormat="1" ht="12.75" hidden="1" x14ac:dyDescent="0.2">
      <c r="A94" s="74" t="s">
        <v>303</v>
      </c>
      <c r="B94" s="714"/>
      <c r="C94" s="715"/>
      <c r="D94" s="714" t="s">
        <v>80</v>
      </c>
      <c r="E94" s="716"/>
      <c r="F94" s="680" t="s">
        <v>398</v>
      </c>
      <c r="G94" s="681"/>
      <c r="H94" s="669" t="s">
        <v>428</v>
      </c>
      <c r="I94" s="375">
        <v>3920774</v>
      </c>
      <c r="J94" s="562">
        <v>3920774</v>
      </c>
      <c r="K94" s="375">
        <v>2038322</v>
      </c>
      <c r="L94" s="375">
        <v>0</v>
      </c>
      <c r="M94" s="375">
        <f t="shared" si="20"/>
        <v>1882452</v>
      </c>
      <c r="N94" s="375">
        <v>-343774</v>
      </c>
      <c r="O94" s="615">
        <f t="shared" si="14"/>
        <v>3577000</v>
      </c>
    </row>
    <row r="95" spans="1:15" s="446" customFormat="1" ht="12.75" x14ac:dyDescent="0.2">
      <c r="A95" s="446" t="s">
        <v>303</v>
      </c>
      <c r="B95" s="664" t="s">
        <v>128</v>
      </c>
      <c r="C95" s="665" t="s">
        <v>161</v>
      </c>
      <c r="D95" s="664" t="s">
        <v>226</v>
      </c>
      <c r="E95" s="622"/>
      <c r="F95" s="645" t="s">
        <v>393</v>
      </c>
      <c r="G95" s="647" t="s">
        <v>150</v>
      </c>
      <c r="H95" s="669" t="s">
        <v>428</v>
      </c>
      <c r="I95" s="674">
        <f>SUM(I93:I94)</f>
        <v>8509548</v>
      </c>
      <c r="J95" s="674">
        <f t="shared" ref="J95:N95" si="22">SUM(J93:J94)</f>
        <v>8509548</v>
      </c>
      <c r="K95" s="674">
        <f t="shared" si="22"/>
        <v>4419174</v>
      </c>
      <c r="L95" s="674">
        <f t="shared" si="22"/>
        <v>0</v>
      </c>
      <c r="M95" s="674">
        <f t="shared" si="22"/>
        <v>4090374</v>
      </c>
      <c r="N95" s="674">
        <f t="shared" si="22"/>
        <v>-687548</v>
      </c>
      <c r="O95" s="726">
        <f t="shared" si="14"/>
        <v>7822000</v>
      </c>
    </row>
    <row r="96" spans="1:15" s="74" customFormat="1" ht="12.75" x14ac:dyDescent="0.2">
      <c r="A96" s="74" t="s">
        <v>303</v>
      </c>
      <c r="B96" s="229" t="s">
        <v>131</v>
      </c>
      <c r="C96" s="251" t="s">
        <v>173</v>
      </c>
      <c r="D96" s="229" t="s">
        <v>90</v>
      </c>
      <c r="E96" s="229"/>
      <c r="F96" s="229"/>
      <c r="G96" s="49" t="s">
        <v>153</v>
      </c>
      <c r="H96" s="49" t="s">
        <v>41</v>
      </c>
      <c r="I96" s="375">
        <v>564984</v>
      </c>
      <c r="J96" s="614">
        <v>564984</v>
      </c>
      <c r="K96" s="615">
        <v>564984</v>
      </c>
      <c r="L96" s="615">
        <v>0</v>
      </c>
      <c r="M96" s="615">
        <f t="shared" si="20"/>
        <v>0</v>
      </c>
      <c r="N96" s="615"/>
      <c r="O96" s="615">
        <f t="shared" si="14"/>
        <v>564984</v>
      </c>
    </row>
    <row r="97" spans="1:15" s="74" customFormat="1" ht="12.75" x14ac:dyDescent="0.2">
      <c r="A97" s="74" t="s">
        <v>303</v>
      </c>
      <c r="B97" s="227" t="s">
        <v>131</v>
      </c>
      <c r="C97" s="292" t="s">
        <v>173</v>
      </c>
      <c r="D97" s="227" t="s">
        <v>91</v>
      </c>
      <c r="E97" s="227"/>
      <c r="F97" s="227"/>
      <c r="G97" s="34" t="s">
        <v>153</v>
      </c>
      <c r="H97" s="34" t="s">
        <v>41</v>
      </c>
      <c r="I97" s="382">
        <v>40000</v>
      </c>
      <c r="J97" s="614">
        <v>40000</v>
      </c>
      <c r="K97" s="615">
        <v>5239</v>
      </c>
      <c r="L97" s="615">
        <v>0</v>
      </c>
      <c r="M97" s="615">
        <f t="shared" si="20"/>
        <v>34761</v>
      </c>
      <c r="N97" s="615"/>
      <c r="O97" s="615">
        <f t="shared" si="14"/>
        <v>40000</v>
      </c>
    </row>
    <row r="98" spans="1:15" s="74" customFormat="1" ht="12.75" x14ac:dyDescent="0.2">
      <c r="A98" s="74" t="s">
        <v>303</v>
      </c>
      <c r="B98" s="283" t="s">
        <v>298</v>
      </c>
      <c r="C98" s="282" t="s">
        <v>161</v>
      </c>
      <c r="D98" s="259" t="s">
        <v>78</v>
      </c>
      <c r="E98" s="259"/>
      <c r="F98" s="259"/>
      <c r="G98" s="33" t="s">
        <v>150</v>
      </c>
      <c r="H98" s="33" t="s">
        <v>28</v>
      </c>
      <c r="I98" s="375">
        <v>207307</v>
      </c>
      <c r="J98" s="614">
        <v>288884</v>
      </c>
      <c r="K98" s="615">
        <v>0</v>
      </c>
      <c r="L98" s="615">
        <v>0</v>
      </c>
      <c r="M98" s="615">
        <f t="shared" si="20"/>
        <v>288884</v>
      </c>
      <c r="N98" s="615"/>
      <c r="O98" s="615">
        <f t="shared" si="14"/>
        <v>207307</v>
      </c>
    </row>
    <row r="99" spans="1:15" s="74" customFormat="1" ht="12.75" x14ac:dyDescent="0.2">
      <c r="A99" s="74" t="s">
        <v>303</v>
      </c>
      <c r="B99" s="283" t="s">
        <v>298</v>
      </c>
      <c r="C99" s="286" t="s">
        <v>161</v>
      </c>
      <c r="D99" s="283" t="s">
        <v>297</v>
      </c>
      <c r="E99" s="229"/>
      <c r="F99" s="6"/>
      <c r="G99" s="5" t="s">
        <v>150</v>
      </c>
      <c r="H99" s="32" t="s">
        <v>29</v>
      </c>
      <c r="I99" s="375">
        <v>7500</v>
      </c>
      <c r="J99" s="614">
        <v>7500</v>
      </c>
      <c r="K99" s="615">
        <v>1066</v>
      </c>
      <c r="L99" s="615">
        <v>0</v>
      </c>
      <c r="M99" s="615">
        <f t="shared" si="20"/>
        <v>6434</v>
      </c>
      <c r="N99" s="615"/>
      <c r="O99" s="615">
        <f t="shared" si="14"/>
        <v>7500</v>
      </c>
    </row>
    <row r="100" spans="1:15" s="74" customFormat="1" ht="12.75" x14ac:dyDescent="0.2">
      <c r="A100" s="74" t="s">
        <v>303</v>
      </c>
      <c r="B100" s="283" t="s">
        <v>298</v>
      </c>
      <c r="C100" s="286" t="s">
        <v>161</v>
      </c>
      <c r="D100" s="283" t="s">
        <v>427</v>
      </c>
      <c r="E100" s="229"/>
      <c r="F100" s="6"/>
      <c r="G100" s="5" t="s">
        <v>150</v>
      </c>
      <c r="H100" s="32" t="s">
        <v>30</v>
      </c>
      <c r="I100" s="375">
        <v>60000</v>
      </c>
      <c r="J100" s="614">
        <v>60000</v>
      </c>
      <c r="K100" s="615">
        <v>30000</v>
      </c>
      <c r="L100" s="615">
        <v>0</v>
      </c>
      <c r="M100" s="615">
        <f t="shared" si="20"/>
        <v>30000</v>
      </c>
      <c r="N100" s="615"/>
      <c r="O100" s="615">
        <f t="shared" si="14"/>
        <v>60000</v>
      </c>
    </row>
    <row r="101" spans="1:15" s="74" customFormat="1" ht="12.75" x14ac:dyDescent="0.2">
      <c r="A101" s="74" t="s">
        <v>303</v>
      </c>
      <c r="B101" s="283" t="s">
        <v>298</v>
      </c>
      <c r="C101" s="286" t="s">
        <v>161</v>
      </c>
      <c r="D101" s="259" t="s">
        <v>81</v>
      </c>
      <c r="E101" s="259"/>
      <c r="F101" s="259"/>
      <c r="G101" s="33" t="s">
        <v>150</v>
      </c>
      <c r="H101" s="33" t="s">
        <v>31</v>
      </c>
      <c r="I101" s="375">
        <v>200000</v>
      </c>
      <c r="J101" s="614">
        <v>200000</v>
      </c>
      <c r="K101" s="615">
        <v>0</v>
      </c>
      <c r="L101" s="615">
        <v>0</v>
      </c>
      <c r="M101" s="615">
        <f t="shared" si="20"/>
        <v>200000</v>
      </c>
      <c r="N101" s="615"/>
      <c r="O101" s="615">
        <f t="shared" si="14"/>
        <v>200000</v>
      </c>
    </row>
    <row r="102" spans="1:15" s="322" customFormat="1" ht="12.75" x14ac:dyDescent="0.2">
      <c r="A102" s="74" t="s">
        <v>303</v>
      </c>
      <c r="B102" s="333" t="s">
        <v>132</v>
      </c>
      <c r="C102" s="334" t="s">
        <v>127</v>
      </c>
      <c r="D102" s="334" t="s">
        <v>419</v>
      </c>
      <c r="E102" s="335"/>
      <c r="F102" s="336" t="s">
        <v>143</v>
      </c>
      <c r="G102" s="337" t="s">
        <v>154</v>
      </c>
      <c r="H102" s="338" t="s">
        <v>420</v>
      </c>
      <c r="I102" s="375">
        <v>211734</v>
      </c>
      <c r="J102" s="614">
        <v>211734</v>
      </c>
      <c r="K102" s="615">
        <v>185968</v>
      </c>
      <c r="L102" s="615">
        <v>19900</v>
      </c>
      <c r="M102" s="615">
        <f>J102-K102-L102</f>
        <v>5866</v>
      </c>
      <c r="N102" s="615">
        <v>7709</v>
      </c>
      <c r="O102" s="615">
        <f t="shared" ref="O102:O111" si="23">SUM(I102+N102)</f>
        <v>219443</v>
      </c>
    </row>
    <row r="103" spans="1:15" s="74" customFormat="1" ht="12.75" x14ac:dyDescent="0.2">
      <c r="A103" s="74" t="s">
        <v>303</v>
      </c>
      <c r="B103" s="278" t="s">
        <v>132</v>
      </c>
      <c r="C103" s="284" t="s">
        <v>127</v>
      </c>
      <c r="D103" s="283" t="s">
        <v>299</v>
      </c>
      <c r="E103" s="229"/>
      <c r="F103" s="293" t="s">
        <v>143</v>
      </c>
      <c r="G103" s="114" t="s">
        <v>154</v>
      </c>
      <c r="H103" s="32" t="s">
        <v>44</v>
      </c>
      <c r="I103" s="375">
        <v>35000</v>
      </c>
      <c r="J103" s="614">
        <v>35000</v>
      </c>
      <c r="K103" s="615">
        <v>11235</v>
      </c>
      <c r="L103" s="615">
        <v>2750</v>
      </c>
      <c r="M103" s="615">
        <f>J103-K103-L103</f>
        <v>21015</v>
      </c>
      <c r="N103" s="615">
        <v>13817</v>
      </c>
      <c r="O103" s="615">
        <f t="shared" si="23"/>
        <v>48817</v>
      </c>
    </row>
    <row r="104" spans="1:15" s="446" customFormat="1" ht="12.75" x14ac:dyDescent="0.2">
      <c r="A104" s="446" t="s">
        <v>303</v>
      </c>
      <c r="B104" s="764" t="s">
        <v>132</v>
      </c>
      <c r="C104" s="751" t="s">
        <v>127</v>
      </c>
      <c r="D104" s="757" t="s">
        <v>93</v>
      </c>
      <c r="E104" s="758"/>
      <c r="F104" s="759" t="s">
        <v>410</v>
      </c>
      <c r="G104" s="760" t="s">
        <v>154</v>
      </c>
      <c r="H104" s="753" t="s">
        <v>45</v>
      </c>
      <c r="I104" s="765">
        <v>115300</v>
      </c>
      <c r="J104" s="756">
        <v>115300</v>
      </c>
      <c r="K104" s="755">
        <v>94238</v>
      </c>
      <c r="L104" s="755">
        <v>0</v>
      </c>
      <c r="M104" s="755">
        <f t="shared" ref="M104:M129" si="24">J104-K104-L104</f>
        <v>21062</v>
      </c>
      <c r="N104" s="765">
        <f>124560+15255</f>
        <v>139815</v>
      </c>
      <c r="O104" s="765">
        <f t="shared" si="23"/>
        <v>255115</v>
      </c>
    </row>
    <row r="105" spans="1:15" s="446" customFormat="1" ht="12.75" x14ac:dyDescent="0.2">
      <c r="A105" s="446" t="s">
        <v>303</v>
      </c>
      <c r="B105" s="764" t="s">
        <v>132</v>
      </c>
      <c r="C105" s="751" t="s">
        <v>127</v>
      </c>
      <c r="D105" s="757" t="s">
        <v>95</v>
      </c>
      <c r="E105" s="758"/>
      <c r="F105" s="759"/>
      <c r="G105" s="760" t="s">
        <v>154</v>
      </c>
      <c r="H105" s="753" t="s">
        <v>47</v>
      </c>
      <c r="I105" s="765">
        <v>30000</v>
      </c>
      <c r="J105" s="756">
        <v>30000</v>
      </c>
      <c r="K105" s="755">
        <v>17932</v>
      </c>
      <c r="L105" s="755">
        <v>0</v>
      </c>
      <c r="M105" s="755">
        <f t="shared" si="24"/>
        <v>12068</v>
      </c>
      <c r="N105" s="765">
        <v>2460</v>
      </c>
      <c r="O105" s="765">
        <f t="shared" si="23"/>
        <v>32460</v>
      </c>
    </row>
    <row r="106" spans="1:15" s="446" customFormat="1" ht="12.75" x14ac:dyDescent="0.2">
      <c r="A106" s="446" t="s">
        <v>303</v>
      </c>
      <c r="B106" s="764" t="s">
        <v>132</v>
      </c>
      <c r="C106" s="751" t="s">
        <v>127</v>
      </c>
      <c r="D106" s="757" t="s">
        <v>203</v>
      </c>
      <c r="E106" s="758"/>
      <c r="F106" s="759"/>
      <c r="G106" s="760" t="s">
        <v>154</v>
      </c>
      <c r="H106" s="753" t="s">
        <v>49</v>
      </c>
      <c r="I106" s="765">
        <v>490753</v>
      </c>
      <c r="J106" s="756">
        <v>490753</v>
      </c>
      <c r="K106" s="755">
        <v>482894</v>
      </c>
      <c r="L106" s="755">
        <v>0</v>
      </c>
      <c r="M106" s="755">
        <f>J106-K106-L106</f>
        <v>7859</v>
      </c>
      <c r="N106" s="765">
        <v>-7038</v>
      </c>
      <c r="O106" s="765">
        <f>SUM(I106+N106)</f>
        <v>483715</v>
      </c>
    </row>
    <row r="107" spans="1:15" s="446" customFormat="1" ht="12.75" x14ac:dyDescent="0.2">
      <c r="A107" s="446" t="s">
        <v>303</v>
      </c>
      <c r="B107" s="761" t="s">
        <v>132</v>
      </c>
      <c r="C107" s="752" t="s">
        <v>127</v>
      </c>
      <c r="D107" s="761" t="s">
        <v>98</v>
      </c>
      <c r="E107" s="761"/>
      <c r="F107" s="762" t="s">
        <v>143</v>
      </c>
      <c r="G107" s="763" t="s">
        <v>167</v>
      </c>
      <c r="H107" s="754" t="s">
        <v>52</v>
      </c>
      <c r="I107" s="765">
        <v>70000</v>
      </c>
      <c r="J107" s="756">
        <v>70000</v>
      </c>
      <c r="K107" s="755">
        <v>61156</v>
      </c>
      <c r="L107" s="755">
        <v>11786</v>
      </c>
      <c r="M107" s="755">
        <f>J107-K107-L107</f>
        <v>-2942</v>
      </c>
      <c r="N107" s="765">
        <v>14689</v>
      </c>
      <c r="O107" s="765">
        <f>SUM(I107+N107)</f>
        <v>84689</v>
      </c>
    </row>
    <row r="108" spans="1:15" s="446" customFormat="1" ht="12.75" x14ac:dyDescent="0.2">
      <c r="B108" s="746" t="s">
        <v>132</v>
      </c>
      <c r="C108" s="748"/>
      <c r="D108" s="747" t="s">
        <v>417</v>
      </c>
      <c r="E108" s="747"/>
      <c r="F108" s="749" t="s">
        <v>410</v>
      </c>
      <c r="G108" s="750" t="s">
        <v>423</v>
      </c>
      <c r="H108" s="666" t="s">
        <v>49</v>
      </c>
      <c r="I108" s="674">
        <f>SUM(I104:I107)</f>
        <v>706053</v>
      </c>
      <c r="J108" s="674">
        <f t="shared" ref="J108:O108" si="25">SUM(J104:J107)</f>
        <v>706053</v>
      </c>
      <c r="K108" s="674">
        <f t="shared" si="25"/>
        <v>656220</v>
      </c>
      <c r="L108" s="674">
        <f t="shared" si="25"/>
        <v>11786</v>
      </c>
      <c r="M108" s="674">
        <f t="shared" si="25"/>
        <v>38047</v>
      </c>
      <c r="N108" s="674">
        <f t="shared" si="25"/>
        <v>149926</v>
      </c>
      <c r="O108" s="674">
        <f t="shared" si="25"/>
        <v>855979</v>
      </c>
    </row>
    <row r="109" spans="1:15" s="531" customFormat="1" ht="12.75" x14ac:dyDescent="0.2">
      <c r="A109" s="531" t="s">
        <v>303</v>
      </c>
      <c r="B109" s="278" t="s">
        <v>132</v>
      </c>
      <c r="C109" s="284" t="s">
        <v>127</v>
      </c>
      <c r="D109" s="283" t="s">
        <v>96</v>
      </c>
      <c r="E109" s="229"/>
      <c r="F109" s="228"/>
      <c r="G109" s="114" t="s">
        <v>167</v>
      </c>
      <c r="H109" s="32" t="s">
        <v>50</v>
      </c>
      <c r="I109" s="375">
        <v>160000</v>
      </c>
      <c r="J109" s="562">
        <v>160000</v>
      </c>
      <c r="K109" s="375">
        <v>92708</v>
      </c>
      <c r="L109" s="375">
        <v>66285</v>
      </c>
      <c r="M109" s="375">
        <f>J109-K109-L109</f>
        <v>1007</v>
      </c>
      <c r="N109" s="375">
        <v>-2882</v>
      </c>
      <c r="O109" s="375">
        <f>SUM(I109+N109)</f>
        <v>157118</v>
      </c>
    </row>
    <row r="110" spans="1:15" s="74" customFormat="1" ht="12.75" x14ac:dyDescent="0.2">
      <c r="A110" s="74" t="s">
        <v>303</v>
      </c>
      <c r="B110" s="278" t="s">
        <v>132</v>
      </c>
      <c r="C110" s="284" t="s">
        <v>127</v>
      </c>
      <c r="D110" s="283" t="s">
        <v>284</v>
      </c>
      <c r="E110" s="229"/>
      <c r="F110" s="293"/>
      <c r="G110" s="114" t="s">
        <v>154</v>
      </c>
      <c r="H110" s="32" t="s">
        <v>48</v>
      </c>
      <c r="I110" s="375">
        <v>50000</v>
      </c>
      <c r="J110" s="614">
        <v>50000</v>
      </c>
      <c r="K110" s="615">
        <v>39746</v>
      </c>
      <c r="L110" s="615">
        <v>0</v>
      </c>
      <c r="M110" s="615">
        <f t="shared" si="24"/>
        <v>10254</v>
      </c>
      <c r="N110" s="615">
        <v>0</v>
      </c>
      <c r="O110" s="615">
        <f t="shared" si="23"/>
        <v>50000</v>
      </c>
    </row>
    <row r="111" spans="1:15" s="74" customFormat="1" ht="12.75" x14ac:dyDescent="0.2">
      <c r="A111" s="74" t="s">
        <v>303</v>
      </c>
      <c r="B111" s="278" t="s">
        <v>132</v>
      </c>
      <c r="C111" s="284" t="s">
        <v>127</v>
      </c>
      <c r="D111" s="283" t="s">
        <v>97</v>
      </c>
      <c r="E111" s="229"/>
      <c r="F111" s="293"/>
      <c r="G111" s="115" t="s">
        <v>170</v>
      </c>
      <c r="H111" s="32" t="s">
        <v>51</v>
      </c>
      <c r="I111" s="375">
        <v>52000</v>
      </c>
      <c r="J111" s="614">
        <v>52000</v>
      </c>
      <c r="K111" s="615">
        <v>27604</v>
      </c>
      <c r="L111" s="615">
        <v>24396</v>
      </c>
      <c r="M111" s="615">
        <f t="shared" si="24"/>
        <v>0</v>
      </c>
      <c r="N111" s="615">
        <v>0</v>
      </c>
      <c r="O111" s="615">
        <f t="shared" si="23"/>
        <v>52000</v>
      </c>
    </row>
    <row r="112" spans="1:15" s="74" customFormat="1" ht="12.75" x14ac:dyDescent="0.2">
      <c r="A112" s="74" t="s">
        <v>303</v>
      </c>
      <c r="B112" s="244" t="s">
        <v>129</v>
      </c>
      <c r="C112" s="486" t="s">
        <v>145</v>
      </c>
      <c r="D112" s="244" t="s">
        <v>111</v>
      </c>
      <c r="E112" s="244"/>
      <c r="F112" s="244"/>
      <c r="G112" s="140" t="s">
        <v>166</v>
      </c>
      <c r="H112" s="140" t="s">
        <v>57</v>
      </c>
      <c r="I112" s="489">
        <v>57000</v>
      </c>
      <c r="J112" s="614">
        <v>57000</v>
      </c>
      <c r="K112" s="615">
        <v>11559</v>
      </c>
      <c r="L112" s="615">
        <v>36731</v>
      </c>
      <c r="M112" s="615">
        <f t="shared" si="24"/>
        <v>8710</v>
      </c>
      <c r="N112" s="615"/>
      <c r="O112" s="615">
        <f t="shared" ref="O112:O130" si="26">SUM(I112+N112)</f>
        <v>57000</v>
      </c>
    </row>
    <row r="113" spans="1:15" s="74" customFormat="1" ht="12.75" x14ac:dyDescent="0.2">
      <c r="A113" s="74" t="s">
        <v>303</v>
      </c>
      <c r="B113" s="229" t="s">
        <v>129</v>
      </c>
      <c r="C113" s="354" t="s">
        <v>145</v>
      </c>
      <c r="D113" s="229" t="s">
        <v>101</v>
      </c>
      <c r="E113" s="229"/>
      <c r="F113" s="229"/>
      <c r="G113" s="49" t="s">
        <v>290</v>
      </c>
      <c r="H113" s="33" t="s">
        <v>53</v>
      </c>
      <c r="I113" s="375">
        <v>22680</v>
      </c>
      <c r="J113" s="661"/>
      <c r="K113" s="662"/>
      <c r="L113" s="662"/>
      <c r="M113" s="662"/>
      <c r="N113" s="615"/>
      <c r="O113" s="615">
        <f t="shared" si="26"/>
        <v>22680</v>
      </c>
    </row>
    <row r="114" spans="1:15" s="74" customFormat="1" ht="12.75" x14ac:dyDescent="0.2">
      <c r="A114" s="74" t="s">
        <v>303</v>
      </c>
      <c r="B114" s="229" t="s">
        <v>129</v>
      </c>
      <c r="C114" s="354" t="s">
        <v>145</v>
      </c>
      <c r="D114" s="229" t="s">
        <v>102</v>
      </c>
      <c r="E114" s="229"/>
      <c r="F114" s="229"/>
      <c r="G114" s="49" t="s">
        <v>163</v>
      </c>
      <c r="H114" s="33" t="s">
        <v>53</v>
      </c>
      <c r="I114" s="375">
        <v>18636</v>
      </c>
      <c r="J114" s="661"/>
      <c r="K114" s="662"/>
      <c r="L114" s="662"/>
      <c r="M114" s="662"/>
      <c r="N114" s="615"/>
      <c r="O114" s="615">
        <f t="shared" si="26"/>
        <v>18636</v>
      </c>
    </row>
    <row r="115" spans="1:15" s="74" customFormat="1" ht="12.75" x14ac:dyDescent="0.2">
      <c r="A115" s="74" t="s">
        <v>303</v>
      </c>
      <c r="B115" s="229" t="s">
        <v>129</v>
      </c>
      <c r="C115" s="354" t="s">
        <v>145</v>
      </c>
      <c r="D115" s="229" t="s">
        <v>103</v>
      </c>
      <c r="E115" s="229"/>
      <c r="F115" s="229"/>
      <c r="G115" s="49" t="s">
        <v>165</v>
      </c>
      <c r="H115" s="33" t="s">
        <v>53</v>
      </c>
      <c r="I115" s="375">
        <v>14732</v>
      </c>
      <c r="J115" s="661"/>
      <c r="K115" s="662"/>
      <c r="L115" s="662"/>
      <c r="M115" s="662"/>
      <c r="N115" s="615"/>
      <c r="O115" s="615">
        <f t="shared" si="26"/>
        <v>14732</v>
      </c>
    </row>
    <row r="116" spans="1:15" s="74" customFormat="1" ht="12.75" x14ac:dyDescent="0.2">
      <c r="A116" s="74" t="s">
        <v>303</v>
      </c>
      <c r="B116" s="229" t="s">
        <v>129</v>
      </c>
      <c r="C116" s="354" t="s">
        <v>145</v>
      </c>
      <c r="D116" s="229" t="s">
        <v>104</v>
      </c>
      <c r="E116" s="229"/>
      <c r="F116" s="229"/>
      <c r="G116" s="49" t="s">
        <v>155</v>
      </c>
      <c r="H116" s="33" t="s">
        <v>53</v>
      </c>
      <c r="I116" s="375">
        <v>4090</v>
      </c>
      <c r="J116" s="661"/>
      <c r="K116" s="662"/>
      <c r="L116" s="662"/>
      <c r="M116" s="662"/>
      <c r="N116" s="615"/>
      <c r="O116" s="615">
        <f t="shared" si="26"/>
        <v>4090</v>
      </c>
    </row>
    <row r="117" spans="1:15" s="74" customFormat="1" ht="12.75" x14ac:dyDescent="0.2">
      <c r="A117" s="74" t="s">
        <v>303</v>
      </c>
      <c r="B117" s="229" t="s">
        <v>129</v>
      </c>
      <c r="C117" s="354" t="s">
        <v>145</v>
      </c>
      <c r="D117" s="229" t="s">
        <v>105</v>
      </c>
      <c r="E117" s="229"/>
      <c r="F117" s="229"/>
      <c r="G117" s="49" t="s">
        <v>155</v>
      </c>
      <c r="H117" s="33" t="s">
        <v>53</v>
      </c>
      <c r="I117" s="375">
        <v>2000</v>
      </c>
      <c r="J117" s="661"/>
      <c r="K117" s="662"/>
      <c r="L117" s="662"/>
      <c r="M117" s="662"/>
      <c r="N117" s="615"/>
      <c r="O117" s="615">
        <f t="shared" si="26"/>
        <v>2000</v>
      </c>
    </row>
    <row r="118" spans="1:15" s="74" customFormat="1" ht="12.75" x14ac:dyDescent="0.2">
      <c r="A118" s="74" t="s">
        <v>303</v>
      </c>
      <c r="B118" s="229" t="s">
        <v>129</v>
      </c>
      <c r="C118" s="354" t="s">
        <v>145</v>
      </c>
      <c r="D118" s="229" t="s">
        <v>106</v>
      </c>
      <c r="E118" s="229"/>
      <c r="F118" s="229"/>
      <c r="G118" s="49" t="s">
        <v>155</v>
      </c>
      <c r="H118" s="33" t="s">
        <v>53</v>
      </c>
      <c r="I118" s="375">
        <v>300</v>
      </c>
      <c r="J118" s="661"/>
      <c r="K118" s="662"/>
      <c r="L118" s="662"/>
      <c r="M118" s="662"/>
      <c r="N118" s="615"/>
      <c r="O118" s="615">
        <f t="shared" si="26"/>
        <v>300</v>
      </c>
    </row>
    <row r="119" spans="1:15" s="74" customFormat="1" ht="12.75" x14ac:dyDescent="0.2">
      <c r="A119" s="74" t="s">
        <v>303</v>
      </c>
      <c r="B119" s="229" t="s">
        <v>129</v>
      </c>
      <c r="C119" s="354" t="s">
        <v>145</v>
      </c>
      <c r="D119" s="229" t="s">
        <v>285</v>
      </c>
      <c r="E119" s="229"/>
      <c r="F119" s="229"/>
      <c r="G119" s="49" t="s">
        <v>155</v>
      </c>
      <c r="H119" s="33" t="s">
        <v>53</v>
      </c>
      <c r="I119" s="375">
        <v>250000</v>
      </c>
      <c r="J119" s="661"/>
      <c r="K119" s="662"/>
      <c r="L119" s="662"/>
      <c r="M119" s="662"/>
      <c r="N119" s="615"/>
      <c r="O119" s="615">
        <f t="shared" si="26"/>
        <v>250000</v>
      </c>
    </row>
    <row r="120" spans="1:15" s="74" customFormat="1" ht="12.75" x14ac:dyDescent="0.2">
      <c r="A120" s="74" t="s">
        <v>303</v>
      </c>
      <c r="B120" s="229" t="s">
        <v>129</v>
      </c>
      <c r="C120" s="354" t="s">
        <v>145</v>
      </c>
      <c r="D120" s="229" t="s">
        <v>107</v>
      </c>
      <c r="E120" s="229"/>
      <c r="F120" s="229"/>
      <c r="G120" s="49" t="s">
        <v>155</v>
      </c>
      <c r="H120" s="33" t="s">
        <v>53</v>
      </c>
      <c r="I120" s="375">
        <v>2640</v>
      </c>
      <c r="J120" s="661"/>
      <c r="K120" s="662"/>
      <c r="L120" s="662"/>
      <c r="M120" s="662"/>
      <c r="N120" s="615"/>
      <c r="O120" s="615">
        <f t="shared" si="26"/>
        <v>2640</v>
      </c>
    </row>
    <row r="121" spans="1:15" s="74" customFormat="1" ht="12.75" x14ac:dyDescent="0.2">
      <c r="A121" s="74" t="s">
        <v>303</v>
      </c>
      <c r="B121" s="229" t="s">
        <v>129</v>
      </c>
      <c r="C121" s="354" t="s">
        <v>145</v>
      </c>
      <c r="D121" s="229" t="s">
        <v>108</v>
      </c>
      <c r="E121" s="229"/>
      <c r="F121" s="229"/>
      <c r="G121" s="49" t="s">
        <v>163</v>
      </c>
      <c r="H121" s="33" t="s">
        <v>53</v>
      </c>
      <c r="I121" s="375">
        <v>4152</v>
      </c>
      <c r="J121" s="661"/>
      <c r="K121" s="662"/>
      <c r="L121" s="662"/>
      <c r="M121" s="662"/>
      <c r="N121" s="615"/>
      <c r="O121" s="615">
        <f t="shared" si="26"/>
        <v>4152</v>
      </c>
    </row>
    <row r="122" spans="1:15" s="74" customFormat="1" ht="12.75" x14ac:dyDescent="0.2">
      <c r="A122" s="74" t="s">
        <v>303</v>
      </c>
      <c r="B122" s="229" t="s">
        <v>129</v>
      </c>
      <c r="C122" s="354" t="s">
        <v>145</v>
      </c>
      <c r="D122" s="229" t="s">
        <v>109</v>
      </c>
      <c r="E122" s="229"/>
      <c r="F122" s="229"/>
      <c r="G122" s="49" t="s">
        <v>165</v>
      </c>
      <c r="H122" s="33" t="s">
        <v>53</v>
      </c>
      <c r="I122" s="375">
        <v>2640</v>
      </c>
      <c r="J122" s="661"/>
      <c r="K122" s="662"/>
      <c r="L122" s="662"/>
      <c r="M122" s="662"/>
      <c r="N122" s="615"/>
      <c r="O122" s="615">
        <f t="shared" si="26"/>
        <v>2640</v>
      </c>
    </row>
    <row r="123" spans="1:15" s="74" customFormat="1" ht="12.75" x14ac:dyDescent="0.2">
      <c r="A123" s="74" t="s">
        <v>303</v>
      </c>
      <c r="B123" s="229" t="s">
        <v>129</v>
      </c>
      <c r="C123" s="354" t="s">
        <v>145</v>
      </c>
      <c r="D123" s="229" t="s">
        <v>112</v>
      </c>
      <c r="E123" s="229"/>
      <c r="F123" s="229"/>
      <c r="G123" s="49" t="s">
        <v>165</v>
      </c>
      <c r="H123" s="46" t="s">
        <v>53</v>
      </c>
      <c r="I123" s="375">
        <v>3120</v>
      </c>
      <c r="J123" s="661"/>
      <c r="K123" s="662"/>
      <c r="L123" s="662"/>
      <c r="M123" s="662"/>
      <c r="N123" s="615"/>
      <c r="O123" s="615">
        <f t="shared" si="26"/>
        <v>3120</v>
      </c>
    </row>
    <row r="124" spans="1:15" s="74" customFormat="1" ht="12.75" x14ac:dyDescent="0.2">
      <c r="A124" s="74" t="s">
        <v>303</v>
      </c>
      <c r="B124" s="229" t="s">
        <v>129</v>
      </c>
      <c r="C124" s="354" t="s">
        <v>145</v>
      </c>
      <c r="D124" s="229" t="s">
        <v>99</v>
      </c>
      <c r="E124" s="229"/>
      <c r="F124" s="229"/>
      <c r="G124" s="49" t="s">
        <v>164</v>
      </c>
      <c r="H124" s="46" t="s">
        <v>53</v>
      </c>
      <c r="I124" s="375">
        <v>35893</v>
      </c>
      <c r="J124" s="661"/>
      <c r="K124" s="662"/>
      <c r="L124" s="662"/>
      <c r="M124" s="662"/>
      <c r="N124" s="615"/>
      <c r="O124" s="615">
        <f t="shared" si="26"/>
        <v>35893</v>
      </c>
    </row>
    <row r="125" spans="1:15" s="74" customFormat="1" ht="12.75" x14ac:dyDescent="0.2">
      <c r="A125" s="74" t="s">
        <v>303</v>
      </c>
      <c r="B125" s="229" t="s">
        <v>129</v>
      </c>
      <c r="C125" s="354" t="s">
        <v>145</v>
      </c>
      <c r="D125" s="229" t="s">
        <v>100</v>
      </c>
      <c r="E125" s="229"/>
      <c r="F125" s="229"/>
      <c r="G125" s="49" t="s">
        <v>164</v>
      </c>
      <c r="H125" s="33" t="s">
        <v>53</v>
      </c>
      <c r="I125" s="375">
        <v>12890</v>
      </c>
      <c r="J125" s="661"/>
      <c r="K125" s="662"/>
      <c r="L125" s="662"/>
      <c r="M125" s="662"/>
      <c r="N125" s="615"/>
      <c r="O125" s="615">
        <f t="shared" si="26"/>
        <v>12890</v>
      </c>
    </row>
    <row r="126" spans="1:15" s="74" customFormat="1" ht="12.75" x14ac:dyDescent="0.2">
      <c r="A126" s="74" t="s">
        <v>303</v>
      </c>
      <c r="B126" s="229" t="s">
        <v>129</v>
      </c>
      <c r="C126" s="354" t="s">
        <v>145</v>
      </c>
      <c r="D126" s="229" t="s">
        <v>114</v>
      </c>
      <c r="E126" s="229"/>
      <c r="F126" s="229"/>
      <c r="G126" s="49" t="s">
        <v>165</v>
      </c>
      <c r="H126" s="17" t="s">
        <v>53</v>
      </c>
      <c r="I126" s="375">
        <v>6300</v>
      </c>
      <c r="J126" s="614">
        <v>380073</v>
      </c>
      <c r="K126" s="615">
        <v>198367</v>
      </c>
      <c r="L126" s="615">
        <v>165051</v>
      </c>
      <c r="M126" s="615">
        <f t="shared" si="24"/>
        <v>16655</v>
      </c>
      <c r="N126" s="615"/>
      <c r="O126" s="615">
        <f t="shared" si="26"/>
        <v>6300</v>
      </c>
    </row>
    <row r="127" spans="1:15" s="74" customFormat="1" ht="12" customHeight="1" x14ac:dyDescent="0.2">
      <c r="B127" s="278" t="s">
        <v>128</v>
      </c>
      <c r="C127" s="354"/>
      <c r="D127" s="357" t="s">
        <v>339</v>
      </c>
      <c r="E127" s="229"/>
      <c r="F127" s="229"/>
      <c r="G127" s="49" t="s">
        <v>163</v>
      </c>
      <c r="H127" s="16" t="s">
        <v>336</v>
      </c>
      <c r="I127" s="375">
        <v>44260</v>
      </c>
      <c r="J127" s="614">
        <v>44260</v>
      </c>
      <c r="K127" s="615">
        <v>19198</v>
      </c>
      <c r="L127" s="615">
        <v>0</v>
      </c>
      <c r="M127" s="615">
        <f t="shared" si="24"/>
        <v>25062</v>
      </c>
      <c r="N127" s="615"/>
      <c r="O127" s="615">
        <f t="shared" si="26"/>
        <v>44260</v>
      </c>
    </row>
    <row r="128" spans="1:15" s="74" customFormat="1" ht="12" customHeight="1" x14ac:dyDescent="0.2">
      <c r="B128" s="278" t="s">
        <v>128</v>
      </c>
      <c r="C128" s="354"/>
      <c r="D128" s="357" t="s">
        <v>338</v>
      </c>
      <c r="E128" s="229"/>
      <c r="F128" s="229"/>
      <c r="G128" s="49" t="s">
        <v>163</v>
      </c>
      <c r="H128" s="16" t="s">
        <v>337</v>
      </c>
      <c r="I128" s="375">
        <v>44260</v>
      </c>
      <c r="J128" s="614">
        <v>44260</v>
      </c>
      <c r="K128" s="615">
        <v>19197</v>
      </c>
      <c r="L128" s="615">
        <v>0</v>
      </c>
      <c r="M128" s="615">
        <f t="shared" si="24"/>
        <v>25063</v>
      </c>
      <c r="N128" s="615"/>
      <c r="O128" s="615">
        <f t="shared" si="26"/>
        <v>44260</v>
      </c>
    </row>
    <row r="129" spans="2:15" s="74" customFormat="1" ht="12" customHeight="1" x14ac:dyDescent="0.2">
      <c r="B129" s="229" t="s">
        <v>130</v>
      </c>
      <c r="C129" s="354"/>
      <c r="D129" s="357" t="s">
        <v>325</v>
      </c>
      <c r="E129" s="229"/>
      <c r="F129" s="229"/>
      <c r="G129" s="49" t="s">
        <v>165</v>
      </c>
      <c r="H129" s="16" t="s">
        <v>326</v>
      </c>
      <c r="I129" s="375">
        <v>20000</v>
      </c>
      <c r="J129" s="614">
        <v>20000</v>
      </c>
      <c r="K129" s="615">
        <v>17940</v>
      </c>
      <c r="L129" s="615">
        <v>0</v>
      </c>
      <c r="M129" s="615">
        <f t="shared" si="24"/>
        <v>2060</v>
      </c>
      <c r="N129" s="615"/>
      <c r="O129" s="615">
        <f t="shared" si="26"/>
        <v>20000</v>
      </c>
    </row>
    <row r="130" spans="2:15" s="74" customFormat="1" ht="12" customHeight="1" thickBot="1" x14ac:dyDescent="0.25">
      <c r="B130" s="229" t="s">
        <v>128</v>
      </c>
      <c r="C130" s="354"/>
      <c r="D130" s="357" t="s">
        <v>367</v>
      </c>
      <c r="E130" s="229"/>
      <c r="F130" s="229" t="s">
        <v>411</v>
      </c>
      <c r="G130" s="49" t="s">
        <v>165</v>
      </c>
      <c r="H130" s="16" t="s">
        <v>368</v>
      </c>
      <c r="I130" s="606">
        <v>238000</v>
      </c>
      <c r="J130" s="644">
        <v>238000</v>
      </c>
      <c r="K130" s="616">
        <f>188258+18913+10491+2682+11+2977+2127</f>
        <v>225459</v>
      </c>
      <c r="L130" s="616">
        <v>0</v>
      </c>
      <c r="M130" s="616">
        <f>J130-K130-L130</f>
        <v>12541</v>
      </c>
      <c r="N130" s="616">
        <v>-238000</v>
      </c>
      <c r="O130" s="615">
        <f t="shared" si="26"/>
        <v>0</v>
      </c>
    </row>
    <row r="131" spans="2:15" s="673" customFormat="1" ht="13.5" thickBot="1" x14ac:dyDescent="0.25">
      <c r="B131" s="120"/>
      <c r="C131" s="121"/>
      <c r="D131" s="122"/>
      <c r="E131" s="122"/>
      <c r="F131" s="122"/>
      <c r="G131" s="122"/>
      <c r="H131" s="169" t="s">
        <v>133</v>
      </c>
      <c r="I131" s="125">
        <v>14586872.5</v>
      </c>
      <c r="J131" s="621">
        <f>SUM(J69:J72,J78,J84,J85:J88,J92,J95,J96:J103,J108:J130)</f>
        <v>14668450</v>
      </c>
      <c r="K131" s="621">
        <f t="shared" ref="K131:O131" si="27">SUM(K69:K72,K78,K84,K85:K88,K92,K95,K96:K103,K108:K130)</f>
        <v>8442866</v>
      </c>
      <c r="L131" s="621">
        <f t="shared" si="27"/>
        <v>363360</v>
      </c>
      <c r="M131" s="621">
        <f t="shared" si="27"/>
        <v>5862224</v>
      </c>
      <c r="N131" s="621">
        <f t="shared" si="27"/>
        <v>-554873</v>
      </c>
      <c r="O131" s="621">
        <f t="shared" si="27"/>
        <v>14031999.5</v>
      </c>
    </row>
    <row r="132" spans="2:15" s="673" customFormat="1" ht="12.75" x14ac:dyDescent="0.2">
      <c r="B132" s="127"/>
      <c r="C132" s="731"/>
      <c r="D132" s="127"/>
      <c r="E132" s="127"/>
      <c r="F132" s="127"/>
      <c r="G132" s="127"/>
      <c r="H132" s="127"/>
      <c r="I132" s="131"/>
      <c r="J132" s="732"/>
      <c r="K132" s="732"/>
      <c r="L132" s="732"/>
      <c r="M132" s="732"/>
      <c r="N132" s="732"/>
      <c r="O132" s="733">
        <f>SUM(I131,N131)</f>
        <v>14031999.5</v>
      </c>
    </row>
    <row r="133" spans="2:15" s="153" customFormat="1" ht="15.75" thickBot="1" x14ac:dyDescent="0.25">
      <c r="B133" s="172" t="s">
        <v>67</v>
      </c>
      <c r="D133" s="129"/>
      <c r="E133" s="129"/>
      <c r="F133" s="129"/>
      <c r="G133" s="129"/>
      <c r="H133" s="129"/>
      <c r="I133" s="361"/>
      <c r="J133" s="579"/>
      <c r="K133" s="50"/>
      <c r="N133" s="7"/>
      <c r="O133" s="600"/>
    </row>
    <row r="134" spans="2:15" ht="12.75" x14ac:dyDescent="0.2">
      <c r="B134" s="79" t="s">
        <v>118</v>
      </c>
      <c r="C134" s="80"/>
      <c r="D134" s="81"/>
      <c r="E134" s="81"/>
      <c r="F134" s="80"/>
      <c r="G134" s="80"/>
      <c r="H134" s="80"/>
      <c r="I134" s="739" t="s">
        <v>58</v>
      </c>
      <c r="J134" s="609">
        <v>0.91666666666666663</v>
      </c>
      <c r="K134" s="84" t="s">
        <v>123</v>
      </c>
      <c r="L134" s="84"/>
      <c r="M134" s="84" t="s">
        <v>124</v>
      </c>
      <c r="N134" s="721" t="s">
        <v>121</v>
      </c>
      <c r="O134" s="723" t="s">
        <v>406</v>
      </c>
    </row>
    <row r="135" spans="2:15" s="74" customFormat="1" ht="13.5" thickBot="1" x14ac:dyDescent="0.25">
      <c r="B135" s="87" t="s">
        <v>148</v>
      </c>
      <c r="C135" s="88" t="s">
        <v>125</v>
      </c>
      <c r="D135" s="88" t="s">
        <v>61</v>
      </c>
      <c r="E135" s="88"/>
      <c r="F135" s="88" t="s">
        <v>147</v>
      </c>
      <c r="G135" s="88" t="s">
        <v>149</v>
      </c>
      <c r="H135" s="88" t="s">
        <v>62</v>
      </c>
      <c r="I135" s="740" t="s">
        <v>120</v>
      </c>
      <c r="J135" s="610" t="s">
        <v>272</v>
      </c>
      <c r="K135" s="91" t="s">
        <v>386</v>
      </c>
      <c r="L135" s="91" t="s">
        <v>119</v>
      </c>
      <c r="M135" s="91" t="s">
        <v>118</v>
      </c>
      <c r="N135" s="722" t="s">
        <v>122</v>
      </c>
      <c r="O135" s="724" t="s">
        <v>59</v>
      </c>
    </row>
    <row r="136" spans="2:15" s="74" customFormat="1" ht="12.75" x14ac:dyDescent="0.2">
      <c r="B136" s="283" t="s">
        <v>3</v>
      </c>
      <c r="C136" s="284" t="s">
        <v>161</v>
      </c>
      <c r="D136" s="283" t="s">
        <v>69</v>
      </c>
      <c r="E136" s="229"/>
      <c r="F136" s="6"/>
      <c r="G136" s="5" t="s">
        <v>268</v>
      </c>
      <c r="H136" s="32" t="s">
        <v>2</v>
      </c>
      <c r="I136" s="392">
        <v>16000</v>
      </c>
      <c r="J136" s="612">
        <v>16000</v>
      </c>
      <c r="K136" s="613">
        <v>9000</v>
      </c>
      <c r="L136" s="613">
        <v>7000</v>
      </c>
      <c r="M136" s="613">
        <f>J136-K136-L136</f>
        <v>0</v>
      </c>
      <c r="N136" s="613"/>
      <c r="O136" s="613">
        <f t="shared" ref="O136:O162" si="28">SUM(I136+N136)</f>
        <v>16000</v>
      </c>
    </row>
    <row r="137" spans="2:15" s="74" customFormat="1" ht="12.75" x14ac:dyDescent="0.2">
      <c r="B137" s="283" t="s">
        <v>3</v>
      </c>
      <c r="C137" s="367"/>
      <c r="D137" s="256" t="s">
        <v>353</v>
      </c>
      <c r="E137" s="256"/>
      <c r="F137" s="256"/>
      <c r="G137" s="45" t="s">
        <v>176</v>
      </c>
      <c r="H137" s="45" t="s">
        <v>328</v>
      </c>
      <c r="I137" s="375">
        <v>864</v>
      </c>
      <c r="J137" s="614">
        <v>864</v>
      </c>
      <c r="K137" s="615">
        <v>0</v>
      </c>
      <c r="L137" s="615">
        <v>0</v>
      </c>
      <c r="M137" s="615">
        <f>J137-K137-L137</f>
        <v>864</v>
      </c>
      <c r="N137" s="615"/>
      <c r="O137" s="615">
        <f t="shared" si="28"/>
        <v>864</v>
      </c>
    </row>
    <row r="138" spans="2:15" s="74" customFormat="1" ht="12.75" x14ac:dyDescent="0.2">
      <c r="B138" s="229" t="s">
        <v>128</v>
      </c>
      <c r="C138" s="251" t="s">
        <v>160</v>
      </c>
      <c r="D138" s="229" t="s">
        <v>70</v>
      </c>
      <c r="E138" s="229"/>
      <c r="F138" s="229"/>
      <c r="G138" s="49" t="s">
        <v>153</v>
      </c>
      <c r="H138" s="49" t="s">
        <v>17</v>
      </c>
      <c r="I138" s="375">
        <v>4956.6000000000004</v>
      </c>
      <c r="J138" s="614">
        <v>4957</v>
      </c>
      <c r="K138" s="615">
        <v>3682</v>
      </c>
      <c r="L138" s="615">
        <v>1275</v>
      </c>
      <c r="M138" s="615">
        <f>J138-K138-L138</f>
        <v>0</v>
      </c>
      <c r="N138" s="615"/>
      <c r="O138" s="615">
        <f t="shared" si="28"/>
        <v>4956.6000000000004</v>
      </c>
    </row>
    <row r="139" spans="2:15" s="74" customFormat="1" ht="12.75" x14ac:dyDescent="0.2">
      <c r="B139" s="229" t="s">
        <v>128</v>
      </c>
      <c r="C139" s="251" t="s">
        <v>160</v>
      </c>
      <c r="D139" s="229" t="s">
        <v>71</v>
      </c>
      <c r="E139" s="229"/>
      <c r="F139" s="229"/>
      <c r="G139" s="49" t="s">
        <v>153</v>
      </c>
      <c r="H139" s="49" t="s">
        <v>17</v>
      </c>
      <c r="I139" s="375">
        <v>133870</v>
      </c>
      <c r="J139" s="614">
        <v>133870</v>
      </c>
      <c r="K139" s="615">
        <v>119199</v>
      </c>
      <c r="L139" s="615">
        <v>0</v>
      </c>
      <c r="M139" s="615">
        <f t="shared" ref="M139:M165" si="29">J139-K139-L139</f>
        <v>14671</v>
      </c>
      <c r="N139" s="615"/>
      <c r="O139" s="615">
        <f t="shared" si="28"/>
        <v>133870</v>
      </c>
    </row>
    <row r="140" spans="2:15" s="74" customFormat="1" ht="12.75" x14ac:dyDescent="0.2">
      <c r="B140" s="229" t="s">
        <v>128</v>
      </c>
      <c r="C140" s="251" t="s">
        <v>160</v>
      </c>
      <c r="D140" s="229" t="s">
        <v>351</v>
      </c>
      <c r="E140" s="229"/>
      <c r="F140" s="229"/>
      <c r="G140" s="49" t="s">
        <v>153</v>
      </c>
      <c r="H140" s="49" t="s">
        <v>17</v>
      </c>
      <c r="I140" s="375">
        <v>10000</v>
      </c>
      <c r="J140" s="614">
        <v>10000</v>
      </c>
      <c r="K140" s="615">
        <v>5128</v>
      </c>
      <c r="L140" s="615">
        <v>4872</v>
      </c>
      <c r="M140" s="615">
        <f t="shared" si="29"/>
        <v>0</v>
      </c>
      <c r="N140" s="615"/>
      <c r="O140" s="615">
        <f t="shared" si="28"/>
        <v>10000</v>
      </c>
    </row>
    <row r="141" spans="2:15" s="74" customFormat="1" ht="12.75" x14ac:dyDescent="0.2">
      <c r="B141" s="229" t="s">
        <v>128</v>
      </c>
      <c r="C141" s="251" t="s">
        <v>160</v>
      </c>
      <c r="D141" s="229" t="s">
        <v>72</v>
      </c>
      <c r="E141" s="229"/>
      <c r="F141" s="229"/>
      <c r="G141" s="49" t="s">
        <v>153</v>
      </c>
      <c r="H141" s="49" t="s">
        <v>18</v>
      </c>
      <c r="I141" s="375">
        <v>78700</v>
      </c>
      <c r="J141" s="614">
        <v>78700</v>
      </c>
      <c r="K141" s="615">
        <v>77700</v>
      </c>
      <c r="L141" s="615">
        <v>0</v>
      </c>
      <c r="M141" s="615">
        <f t="shared" si="29"/>
        <v>1000</v>
      </c>
      <c r="N141" s="615"/>
      <c r="O141" s="615">
        <f t="shared" si="28"/>
        <v>78700</v>
      </c>
    </row>
    <row r="142" spans="2:15" s="74" customFormat="1" ht="12.75" x14ac:dyDescent="0.2">
      <c r="B142" s="221" t="s">
        <v>128</v>
      </c>
      <c r="C142" s="281" t="s">
        <v>161</v>
      </c>
      <c r="D142" s="221" t="s">
        <v>76</v>
      </c>
      <c r="E142" s="221"/>
      <c r="F142" s="221"/>
      <c r="G142" s="17" t="s">
        <v>153</v>
      </c>
      <c r="H142" s="17" t="s">
        <v>18</v>
      </c>
      <c r="I142" s="382">
        <v>4000</v>
      </c>
      <c r="J142" s="614">
        <v>4000</v>
      </c>
      <c r="K142" s="615">
        <v>0</v>
      </c>
      <c r="L142" s="615">
        <v>0</v>
      </c>
      <c r="M142" s="615">
        <f t="shared" si="29"/>
        <v>4000</v>
      </c>
      <c r="N142" s="615"/>
      <c r="O142" s="615">
        <f t="shared" si="28"/>
        <v>4000</v>
      </c>
    </row>
    <row r="143" spans="2:15" s="74" customFormat="1" ht="12.75" x14ac:dyDescent="0.2">
      <c r="B143" s="283" t="s">
        <v>128</v>
      </c>
      <c r="C143" s="286" t="s">
        <v>160</v>
      </c>
      <c r="D143" s="283" t="s">
        <v>73</v>
      </c>
      <c r="E143" s="229"/>
      <c r="F143" s="6"/>
      <c r="G143" s="5" t="s">
        <v>176</v>
      </c>
      <c r="H143" s="32" t="s">
        <v>20</v>
      </c>
      <c r="I143" s="375">
        <v>15000</v>
      </c>
      <c r="J143" s="614">
        <v>15000</v>
      </c>
      <c r="K143" s="615">
        <v>2241</v>
      </c>
      <c r="L143" s="615">
        <v>0</v>
      </c>
      <c r="M143" s="615">
        <f t="shared" si="29"/>
        <v>12759</v>
      </c>
      <c r="N143" s="615"/>
      <c r="O143" s="615">
        <f t="shared" si="28"/>
        <v>15000</v>
      </c>
    </row>
    <row r="144" spans="2:15" s="74" customFormat="1" ht="12.75" x14ac:dyDescent="0.2">
      <c r="B144" s="259" t="s">
        <v>128</v>
      </c>
      <c r="C144" s="281" t="s">
        <v>160</v>
      </c>
      <c r="D144" s="259" t="s">
        <v>75</v>
      </c>
      <c r="E144" s="259"/>
      <c r="F144" s="259"/>
      <c r="G144" s="33" t="s">
        <v>176</v>
      </c>
      <c r="H144" s="33" t="s">
        <v>23</v>
      </c>
      <c r="I144" s="375">
        <v>50000</v>
      </c>
      <c r="J144" s="614">
        <v>50000</v>
      </c>
      <c r="K144" s="615">
        <v>42061</v>
      </c>
      <c r="L144" s="615">
        <v>0</v>
      </c>
      <c r="M144" s="615">
        <f t="shared" si="29"/>
        <v>7939</v>
      </c>
      <c r="N144" s="615"/>
      <c r="O144" s="615">
        <f t="shared" si="28"/>
        <v>50000</v>
      </c>
    </row>
    <row r="145" spans="2:15" s="74" customFormat="1" ht="12.75" x14ac:dyDescent="0.2">
      <c r="B145" s="283" t="s">
        <v>128</v>
      </c>
      <c r="C145" s="285" t="s">
        <v>160</v>
      </c>
      <c r="D145" s="283" t="s">
        <v>77</v>
      </c>
      <c r="E145" s="229"/>
      <c r="F145" s="6"/>
      <c r="G145" s="5" t="s">
        <v>153</v>
      </c>
      <c r="H145" s="32" t="s">
        <v>271</v>
      </c>
      <c r="I145" s="375">
        <v>140000</v>
      </c>
      <c r="J145" s="614">
        <v>140000</v>
      </c>
      <c r="K145" s="615">
        <v>68148</v>
      </c>
      <c r="L145" s="615">
        <v>72888</v>
      </c>
      <c r="M145" s="615">
        <f t="shared" si="29"/>
        <v>-1036</v>
      </c>
      <c r="N145" s="615"/>
      <c r="O145" s="615">
        <f t="shared" si="28"/>
        <v>140000</v>
      </c>
    </row>
    <row r="146" spans="2:15" s="74" customFormat="1" ht="12.75" x14ac:dyDescent="0.2">
      <c r="B146" s="283" t="s">
        <v>298</v>
      </c>
      <c r="C146" s="286" t="s">
        <v>161</v>
      </c>
      <c r="D146" s="283" t="s">
        <v>87</v>
      </c>
      <c r="E146" s="229"/>
      <c r="F146" s="6"/>
      <c r="G146" s="5" t="s">
        <v>163</v>
      </c>
      <c r="H146" s="32" t="s">
        <v>40</v>
      </c>
      <c r="I146" s="375">
        <v>4000</v>
      </c>
      <c r="J146" s="614">
        <v>4000</v>
      </c>
      <c r="K146" s="615">
        <v>228</v>
      </c>
      <c r="L146" s="615">
        <v>0</v>
      </c>
      <c r="M146" s="615">
        <f t="shared" si="29"/>
        <v>3772</v>
      </c>
      <c r="N146" s="615"/>
      <c r="O146" s="615">
        <f t="shared" si="28"/>
        <v>4000</v>
      </c>
    </row>
    <row r="147" spans="2:15" s="74" customFormat="1" ht="12.75" x14ac:dyDescent="0.2">
      <c r="B147" s="229" t="s">
        <v>298</v>
      </c>
      <c r="C147" s="354" t="s">
        <v>126</v>
      </c>
      <c r="D147" s="229" t="s">
        <v>175</v>
      </c>
      <c r="E147" s="229"/>
      <c r="F147" s="229"/>
      <c r="G147" s="49" t="s">
        <v>153</v>
      </c>
      <c r="H147" s="49" t="s">
        <v>33</v>
      </c>
      <c r="I147" s="375">
        <v>65000</v>
      </c>
      <c r="J147" s="614">
        <v>65000</v>
      </c>
      <c r="K147" s="614">
        <f>44971-1638</f>
        <v>43333</v>
      </c>
      <c r="L147" s="615">
        <v>21667</v>
      </c>
      <c r="M147" s="615">
        <f t="shared" si="29"/>
        <v>0</v>
      </c>
      <c r="N147" s="615"/>
      <c r="O147" s="615">
        <f t="shared" si="28"/>
        <v>65000</v>
      </c>
    </row>
    <row r="148" spans="2:15" s="74" customFormat="1" ht="12.75" x14ac:dyDescent="0.2">
      <c r="B148" s="227" t="s">
        <v>298</v>
      </c>
      <c r="C148" s="292" t="s">
        <v>126</v>
      </c>
      <c r="D148" s="227" t="s">
        <v>85</v>
      </c>
      <c r="E148" s="490"/>
      <c r="F148" s="490"/>
      <c r="G148" s="34" t="s">
        <v>153</v>
      </c>
      <c r="H148" s="34" t="s">
        <v>33</v>
      </c>
      <c r="I148" s="743">
        <v>70000</v>
      </c>
      <c r="J148" s="614">
        <v>70000</v>
      </c>
      <c r="K148" s="614">
        <f>44972+1638</f>
        <v>46610</v>
      </c>
      <c r="L148" s="615">
        <v>23390</v>
      </c>
      <c r="M148" s="615">
        <f t="shared" si="29"/>
        <v>0</v>
      </c>
      <c r="N148" s="615"/>
      <c r="O148" s="615">
        <f t="shared" si="28"/>
        <v>70000</v>
      </c>
    </row>
    <row r="149" spans="2:15" s="74" customFormat="1" ht="12.75" x14ac:dyDescent="0.2">
      <c r="B149" s="283" t="s">
        <v>298</v>
      </c>
      <c r="C149" s="277" t="s">
        <v>126</v>
      </c>
      <c r="D149" s="221" t="s">
        <v>86</v>
      </c>
      <c r="E149" s="259"/>
      <c r="F149" s="231"/>
      <c r="G149" s="33" t="s">
        <v>150</v>
      </c>
      <c r="H149" s="17" t="s">
        <v>32</v>
      </c>
      <c r="I149" s="375">
        <v>43900</v>
      </c>
      <c r="J149" s="614">
        <v>43900</v>
      </c>
      <c r="K149" s="615">
        <v>16920</v>
      </c>
      <c r="L149" s="615">
        <v>26851</v>
      </c>
      <c r="M149" s="615">
        <f t="shared" si="29"/>
        <v>129</v>
      </c>
      <c r="N149" s="615"/>
      <c r="O149" s="615">
        <f t="shared" si="28"/>
        <v>43900</v>
      </c>
    </row>
    <row r="150" spans="2:15" s="74" customFormat="1" ht="12.75" x14ac:dyDescent="0.2">
      <c r="B150" s="283" t="s">
        <v>298</v>
      </c>
      <c r="C150" s="284" t="s">
        <v>126</v>
      </c>
      <c r="D150" s="283" t="s">
        <v>82</v>
      </c>
      <c r="E150" s="231"/>
      <c r="F150" s="231"/>
      <c r="G150" s="21" t="s">
        <v>176</v>
      </c>
      <c r="H150" s="32" t="s">
        <v>34</v>
      </c>
      <c r="I150" s="375">
        <v>90000</v>
      </c>
      <c r="J150" s="614">
        <v>90000</v>
      </c>
      <c r="K150" s="615">
        <v>60105</v>
      </c>
      <c r="L150" s="615">
        <v>200</v>
      </c>
      <c r="M150" s="615">
        <f t="shared" si="29"/>
        <v>29695</v>
      </c>
      <c r="N150" s="615"/>
      <c r="O150" s="615">
        <f t="shared" si="28"/>
        <v>90000</v>
      </c>
    </row>
    <row r="151" spans="2:15" s="74" customFormat="1" ht="12.75" x14ac:dyDescent="0.2">
      <c r="B151" s="283" t="s">
        <v>298</v>
      </c>
      <c r="C151" s="284" t="s">
        <v>126</v>
      </c>
      <c r="D151" s="283" t="s">
        <v>330</v>
      </c>
      <c r="E151" s="231"/>
      <c r="F151" s="231"/>
      <c r="G151" s="21" t="s">
        <v>168</v>
      </c>
      <c r="H151" s="32" t="s">
        <v>35</v>
      </c>
      <c r="I151" s="375">
        <v>3000</v>
      </c>
      <c r="J151" s="614">
        <v>3000</v>
      </c>
      <c r="K151" s="615">
        <v>0</v>
      </c>
      <c r="L151" s="615">
        <v>0</v>
      </c>
      <c r="M151" s="615">
        <f t="shared" si="29"/>
        <v>3000</v>
      </c>
      <c r="N151" s="615"/>
      <c r="O151" s="615">
        <f t="shared" si="28"/>
        <v>3000</v>
      </c>
    </row>
    <row r="152" spans="2:15" s="74" customFormat="1" ht="12.75" x14ac:dyDescent="0.2">
      <c r="B152" s="283" t="s">
        <v>298</v>
      </c>
      <c r="C152" s="284" t="s">
        <v>126</v>
      </c>
      <c r="D152" s="283" t="s">
        <v>83</v>
      </c>
      <c r="E152" s="231"/>
      <c r="F152" s="231" t="s">
        <v>202</v>
      </c>
      <c r="G152" s="21" t="s">
        <v>150</v>
      </c>
      <c r="H152" s="32" t="s">
        <v>36</v>
      </c>
      <c r="I152" s="375">
        <v>5200</v>
      </c>
      <c r="J152" s="614">
        <v>5200</v>
      </c>
      <c r="K152" s="615">
        <v>0</v>
      </c>
      <c r="L152" s="615">
        <v>0</v>
      </c>
      <c r="M152" s="615">
        <f t="shared" si="29"/>
        <v>5200</v>
      </c>
      <c r="N152" s="615"/>
      <c r="O152" s="615">
        <f t="shared" si="28"/>
        <v>5200</v>
      </c>
    </row>
    <row r="153" spans="2:15" s="74" customFormat="1" ht="12.75" x14ac:dyDescent="0.2">
      <c r="B153" s="283" t="s">
        <v>298</v>
      </c>
      <c r="C153" s="228" t="s">
        <v>126</v>
      </c>
      <c r="D153" s="6" t="s">
        <v>84</v>
      </c>
      <c r="E153" s="229"/>
      <c r="F153" s="6"/>
      <c r="G153" s="5" t="s">
        <v>150</v>
      </c>
      <c r="H153" s="5" t="s">
        <v>37</v>
      </c>
      <c r="I153" s="375">
        <v>1000</v>
      </c>
      <c r="J153" s="614">
        <v>1000</v>
      </c>
      <c r="K153" s="615">
        <v>0</v>
      </c>
      <c r="L153" s="615">
        <v>0</v>
      </c>
      <c r="M153" s="615">
        <f t="shared" si="29"/>
        <v>1000</v>
      </c>
      <c r="N153" s="615"/>
      <c r="O153" s="615">
        <f t="shared" si="28"/>
        <v>1000</v>
      </c>
    </row>
    <row r="154" spans="2:15" s="74" customFormat="1" ht="12.75" hidden="1" x14ac:dyDescent="0.2">
      <c r="B154" s="689"/>
      <c r="C154" s="711"/>
      <c r="D154" s="689" t="s">
        <v>156</v>
      </c>
      <c r="E154" s="689"/>
      <c r="F154" s="689"/>
      <c r="G154" s="717" t="s">
        <v>320</v>
      </c>
      <c r="H154" s="717" t="s">
        <v>314</v>
      </c>
      <c r="I154" s="375">
        <v>35000</v>
      </c>
      <c r="J154" s="614">
        <v>35000</v>
      </c>
      <c r="K154" s="615">
        <v>21438</v>
      </c>
      <c r="L154" s="615">
        <v>16563</v>
      </c>
      <c r="M154" s="615">
        <f t="shared" si="29"/>
        <v>-3001</v>
      </c>
      <c r="N154" s="615">
        <v>3000</v>
      </c>
      <c r="O154" s="615">
        <f t="shared" si="28"/>
        <v>38000</v>
      </c>
    </row>
    <row r="155" spans="2:15" s="74" customFormat="1" ht="12.75" hidden="1" x14ac:dyDescent="0.2">
      <c r="B155" s="689"/>
      <c r="C155" s="711"/>
      <c r="D155" s="689" t="s">
        <v>157</v>
      </c>
      <c r="E155" s="689"/>
      <c r="F155" s="689"/>
      <c r="G155" s="717" t="s">
        <v>321</v>
      </c>
      <c r="H155" s="717" t="s">
        <v>315</v>
      </c>
      <c r="I155" s="375">
        <v>9210</v>
      </c>
      <c r="J155" s="614">
        <v>9210</v>
      </c>
      <c r="K155" s="615">
        <v>3870</v>
      </c>
      <c r="L155" s="615">
        <v>2975</v>
      </c>
      <c r="M155" s="615">
        <f t="shared" si="29"/>
        <v>2365</v>
      </c>
      <c r="N155" s="615">
        <v>-4086</v>
      </c>
      <c r="O155" s="615">
        <f t="shared" si="28"/>
        <v>5124</v>
      </c>
    </row>
    <row r="156" spans="2:15" s="74" customFormat="1" ht="12.75" hidden="1" x14ac:dyDescent="0.2">
      <c r="B156" s="706"/>
      <c r="C156" s="718"/>
      <c r="D156" s="706" t="s">
        <v>354</v>
      </c>
      <c r="E156" s="706"/>
      <c r="F156" s="706"/>
      <c r="G156" s="717"/>
      <c r="H156" s="717" t="s">
        <v>355</v>
      </c>
      <c r="I156" s="375">
        <v>4590</v>
      </c>
      <c r="J156" s="614">
        <v>4590</v>
      </c>
      <c r="K156" s="615">
        <v>511</v>
      </c>
      <c r="L156" s="615">
        <v>4590</v>
      </c>
      <c r="M156" s="615">
        <f t="shared" si="29"/>
        <v>-511</v>
      </c>
      <c r="N156" s="615"/>
      <c r="O156" s="615">
        <f t="shared" si="28"/>
        <v>4590</v>
      </c>
    </row>
    <row r="157" spans="2:15" s="74" customFormat="1" ht="12.75" hidden="1" x14ac:dyDescent="0.2">
      <c r="B157" s="689"/>
      <c r="C157" s="711"/>
      <c r="D157" s="689" t="s">
        <v>158</v>
      </c>
      <c r="E157" s="689"/>
      <c r="F157" s="689"/>
      <c r="G157" s="717" t="s">
        <v>150</v>
      </c>
      <c r="H157" s="717" t="s">
        <v>316</v>
      </c>
      <c r="I157" s="375">
        <v>11000</v>
      </c>
      <c r="J157" s="614">
        <v>11000</v>
      </c>
      <c r="K157" s="615">
        <v>2263</v>
      </c>
      <c r="L157" s="615">
        <v>7237</v>
      </c>
      <c r="M157" s="615">
        <f t="shared" si="29"/>
        <v>1500</v>
      </c>
      <c r="N157" s="615">
        <v>2700</v>
      </c>
      <c r="O157" s="615">
        <f t="shared" si="28"/>
        <v>13700</v>
      </c>
    </row>
    <row r="158" spans="2:15" s="74" customFormat="1" ht="12.75" hidden="1" x14ac:dyDescent="0.2">
      <c r="B158" s="689"/>
      <c r="C158" s="711"/>
      <c r="D158" s="689" t="s">
        <v>159</v>
      </c>
      <c r="E158" s="689"/>
      <c r="F158" s="689"/>
      <c r="G158" s="717" t="s">
        <v>322</v>
      </c>
      <c r="H158" s="717" t="s">
        <v>317</v>
      </c>
      <c r="I158" s="375">
        <v>7000</v>
      </c>
      <c r="J158" s="614">
        <v>7000</v>
      </c>
      <c r="K158" s="615">
        <v>983</v>
      </c>
      <c r="L158" s="615">
        <v>1000</v>
      </c>
      <c r="M158" s="615">
        <f t="shared" si="29"/>
        <v>5017</v>
      </c>
      <c r="N158" s="615"/>
      <c r="O158" s="615">
        <f t="shared" si="28"/>
        <v>7000</v>
      </c>
    </row>
    <row r="159" spans="2:15" s="446" customFormat="1" ht="12.75" x14ac:dyDescent="0.2">
      <c r="B159" s="639" t="s">
        <v>130</v>
      </c>
      <c r="C159" s="640" t="s">
        <v>295</v>
      </c>
      <c r="D159" s="639" t="s">
        <v>227</v>
      </c>
      <c r="E159" s="622"/>
      <c r="F159" s="639" t="s">
        <v>414</v>
      </c>
      <c r="G159" s="663" t="s">
        <v>323</v>
      </c>
      <c r="H159" s="669" t="s">
        <v>428</v>
      </c>
      <c r="I159" s="674">
        <v>66800</v>
      </c>
      <c r="J159" s="638">
        <f>SUM(J154:J158)</f>
        <v>66800</v>
      </c>
      <c r="K159" s="638">
        <f t="shared" ref="K159:N159" si="30">SUM(K154:K158)</f>
        <v>29065</v>
      </c>
      <c r="L159" s="638">
        <f t="shared" si="30"/>
        <v>32365</v>
      </c>
      <c r="M159" s="638">
        <f t="shared" si="30"/>
        <v>5370</v>
      </c>
      <c r="N159" s="638">
        <f t="shared" si="30"/>
        <v>1614</v>
      </c>
      <c r="O159" s="726">
        <f t="shared" si="28"/>
        <v>68414</v>
      </c>
    </row>
    <row r="160" spans="2:15" s="74" customFormat="1" ht="12.75" x14ac:dyDescent="0.2">
      <c r="B160" s="229" t="s">
        <v>130</v>
      </c>
      <c r="C160" s="354" t="s">
        <v>295</v>
      </c>
      <c r="D160" s="229" t="s">
        <v>412</v>
      </c>
      <c r="E160" s="229"/>
      <c r="F160" s="229" t="s">
        <v>413</v>
      </c>
      <c r="G160" s="49" t="s">
        <v>324</v>
      </c>
      <c r="H160" s="49" t="s">
        <v>318</v>
      </c>
      <c r="I160" s="375">
        <v>7600</v>
      </c>
      <c r="J160" s="614">
        <v>7600</v>
      </c>
      <c r="K160" s="615">
        <v>3583</v>
      </c>
      <c r="L160" s="615">
        <v>4917</v>
      </c>
      <c r="M160" s="615">
        <f t="shared" si="29"/>
        <v>-900</v>
      </c>
      <c r="N160" s="615">
        <v>4524</v>
      </c>
      <c r="O160" s="615">
        <f t="shared" si="28"/>
        <v>12124</v>
      </c>
    </row>
    <row r="161" spans="1:15" s="74" customFormat="1" ht="12.75" x14ac:dyDescent="0.2">
      <c r="B161" s="221" t="s">
        <v>130</v>
      </c>
      <c r="C161" s="277" t="s">
        <v>295</v>
      </c>
      <c r="D161" s="221" t="s">
        <v>89</v>
      </c>
      <c r="E161" s="221"/>
      <c r="F161" s="221" t="s">
        <v>143</v>
      </c>
      <c r="G161" s="34" t="s">
        <v>324</v>
      </c>
      <c r="H161" s="34" t="s">
        <v>319</v>
      </c>
      <c r="I161" s="375">
        <v>6200</v>
      </c>
      <c r="J161" s="614">
        <v>6200</v>
      </c>
      <c r="K161" s="615">
        <v>0</v>
      </c>
      <c r="L161" s="615">
        <v>6386</v>
      </c>
      <c r="M161" s="615">
        <f t="shared" si="29"/>
        <v>-186</v>
      </c>
      <c r="N161" s="615">
        <v>378</v>
      </c>
      <c r="O161" s="615">
        <f t="shared" si="28"/>
        <v>6578</v>
      </c>
    </row>
    <row r="162" spans="1:15" s="74" customFormat="1" ht="12.75" x14ac:dyDescent="0.2">
      <c r="B162" s="259" t="s">
        <v>131</v>
      </c>
      <c r="C162" s="285" t="s">
        <v>173</v>
      </c>
      <c r="D162" s="259" t="s">
        <v>136</v>
      </c>
      <c r="E162" s="259"/>
      <c r="F162" s="259"/>
      <c r="G162" s="33" t="s">
        <v>169</v>
      </c>
      <c r="H162" s="35" t="s">
        <v>146</v>
      </c>
      <c r="I162" s="375">
        <v>7000</v>
      </c>
      <c r="J162" s="614">
        <v>7000</v>
      </c>
      <c r="K162" s="615">
        <v>3533</v>
      </c>
      <c r="L162" s="615">
        <v>2467</v>
      </c>
      <c r="M162" s="615">
        <f t="shared" si="29"/>
        <v>1000</v>
      </c>
      <c r="N162" s="615"/>
      <c r="O162" s="615">
        <f t="shared" si="28"/>
        <v>7000</v>
      </c>
    </row>
    <row r="163" spans="1:15" s="74" customFormat="1" ht="12.75" x14ac:dyDescent="0.2">
      <c r="B163" s="278" t="s">
        <v>132</v>
      </c>
      <c r="C163" s="284" t="s">
        <v>127</v>
      </c>
      <c r="D163" s="283" t="s">
        <v>94</v>
      </c>
      <c r="E163" s="229"/>
      <c r="F163" s="228"/>
      <c r="G163" s="114" t="s">
        <v>154</v>
      </c>
      <c r="H163" s="32" t="s">
        <v>46</v>
      </c>
      <c r="I163" s="375">
        <v>25000</v>
      </c>
      <c r="J163" s="614">
        <v>25000</v>
      </c>
      <c r="K163" s="615">
        <v>11980</v>
      </c>
      <c r="L163" s="615">
        <v>4990</v>
      </c>
      <c r="M163" s="615">
        <f t="shared" si="29"/>
        <v>8030</v>
      </c>
      <c r="N163" s="615">
        <v>-25000</v>
      </c>
      <c r="O163" s="615">
        <f>SUM(I163+N163)</f>
        <v>0</v>
      </c>
    </row>
    <row r="164" spans="1:15" s="74" customFormat="1" ht="12.75" x14ac:dyDescent="0.2">
      <c r="B164" s="283" t="s">
        <v>129</v>
      </c>
      <c r="C164" s="232" t="s">
        <v>145</v>
      </c>
      <c r="D164" s="283" t="s">
        <v>55</v>
      </c>
      <c r="E164" s="229"/>
      <c r="F164" s="6"/>
      <c r="G164" s="5" t="s">
        <v>288</v>
      </c>
      <c r="H164" s="32" t="s">
        <v>54</v>
      </c>
      <c r="I164" s="375">
        <v>60000</v>
      </c>
      <c r="J164" s="614">
        <v>60000</v>
      </c>
      <c r="K164" s="615">
        <v>36341</v>
      </c>
      <c r="L164" s="615">
        <v>13659</v>
      </c>
      <c r="M164" s="615">
        <f t="shared" si="29"/>
        <v>10000</v>
      </c>
      <c r="N164" s="615"/>
      <c r="O164" s="615">
        <f t="shared" ref="O164:O165" si="31">SUM(I164+N164)</f>
        <v>60000</v>
      </c>
    </row>
    <row r="165" spans="1:15" s="74" customFormat="1" ht="13.5" thickBot="1" x14ac:dyDescent="0.25">
      <c r="B165" s="283" t="s">
        <v>129</v>
      </c>
      <c r="C165" s="232" t="s">
        <v>145</v>
      </c>
      <c r="D165" s="283" t="s">
        <v>110</v>
      </c>
      <c r="E165" s="229"/>
      <c r="F165" s="6"/>
      <c r="G165" s="5" t="s">
        <v>166</v>
      </c>
      <c r="H165" s="32" t="s">
        <v>56</v>
      </c>
      <c r="I165" s="377">
        <v>21100</v>
      </c>
      <c r="J165" s="644">
        <v>21100</v>
      </c>
      <c r="K165" s="616">
        <v>3748</v>
      </c>
      <c r="L165" s="616">
        <v>16970</v>
      </c>
      <c r="M165" s="616">
        <f t="shared" si="29"/>
        <v>382</v>
      </c>
      <c r="N165" s="616"/>
      <c r="O165" s="720">
        <f t="shared" si="31"/>
        <v>21100</v>
      </c>
    </row>
    <row r="166" spans="1:15" s="204" customFormat="1" ht="13.5" thickBot="1" x14ac:dyDescent="0.25">
      <c r="B166" s="193"/>
      <c r="C166" s="194"/>
      <c r="D166" s="195"/>
      <c r="E166" s="195"/>
      <c r="F166" s="195"/>
      <c r="G166" s="195"/>
      <c r="H166" s="196" t="s">
        <v>115</v>
      </c>
      <c r="I166" s="125">
        <v>929190.6</v>
      </c>
      <c r="J166" s="621">
        <f t="shared" ref="J166:O166" si="32">SUM(J136:J153,J159:J165)</f>
        <v>929191</v>
      </c>
      <c r="K166" s="621">
        <f t="shared" si="32"/>
        <v>582605</v>
      </c>
      <c r="L166" s="621">
        <f t="shared" si="32"/>
        <v>239897</v>
      </c>
      <c r="M166" s="621">
        <f t="shared" si="32"/>
        <v>106689</v>
      </c>
      <c r="N166" s="621">
        <f t="shared" si="32"/>
        <v>-18484</v>
      </c>
      <c r="O166" s="725">
        <f t="shared" si="32"/>
        <v>910706.6</v>
      </c>
    </row>
    <row r="167" spans="1:15" s="199" customFormat="1" ht="11.25" customHeight="1" x14ac:dyDescent="0.2">
      <c r="B167" s="198"/>
      <c r="D167" s="200"/>
      <c r="E167" s="200"/>
      <c r="F167" s="200"/>
      <c r="G167" s="200"/>
      <c r="H167" s="198"/>
      <c r="I167" s="361"/>
      <c r="J167" s="579"/>
      <c r="K167" s="202"/>
      <c r="N167" s="7"/>
      <c r="O167" s="733">
        <f>SUM(I166,N166)</f>
        <v>910706.6</v>
      </c>
    </row>
    <row r="168" spans="1:15" s="204" customFormat="1" ht="15.75" hidden="1" x14ac:dyDescent="0.2">
      <c r="B168" s="203"/>
      <c r="D168" s="200"/>
      <c r="E168" s="200"/>
      <c r="F168" s="200"/>
      <c r="G168" s="200"/>
      <c r="H168" s="205" t="s">
        <v>286</v>
      </c>
      <c r="I168" s="362"/>
      <c r="J168" s="582"/>
      <c r="K168" s="210"/>
      <c r="N168" s="7"/>
      <c r="O168" s="600"/>
    </row>
    <row r="169" spans="1:15" s="204" customFormat="1" ht="15.75" hidden="1" x14ac:dyDescent="0.2">
      <c r="B169" s="203"/>
      <c r="D169" s="200"/>
      <c r="E169" s="200"/>
      <c r="F169" s="200"/>
      <c r="G169" s="200"/>
      <c r="H169" s="205" t="s">
        <v>287</v>
      </c>
      <c r="I169" s="362"/>
      <c r="J169" s="582"/>
      <c r="K169" s="210"/>
      <c r="N169" s="7"/>
      <c r="O169" s="600"/>
    </row>
    <row r="170" spans="1:15" s="126" customFormat="1" ht="9" customHeight="1" x14ac:dyDescent="0.2">
      <c r="B170" s="198"/>
      <c r="D170" s="200"/>
      <c r="E170" s="200"/>
      <c r="F170" s="200"/>
      <c r="G170" s="200"/>
      <c r="H170" s="198"/>
      <c r="I170" s="363"/>
      <c r="J170" s="569"/>
      <c r="K170" s="197"/>
      <c r="N170" s="7"/>
      <c r="O170" s="600"/>
    </row>
    <row r="171" spans="1:15" s="214" customFormat="1" ht="16.5" thickBot="1" x14ac:dyDescent="0.25">
      <c r="B171" s="198"/>
      <c r="D171" s="215"/>
      <c r="E171" s="215"/>
      <c r="F171" s="215"/>
      <c r="G171" s="215"/>
      <c r="H171" s="215" t="s">
        <v>116</v>
      </c>
      <c r="I171" s="744">
        <v>17194201.100000001</v>
      </c>
      <c r="J171" s="216">
        <f t="shared" ref="J171:O171" si="33">SUM(J30,J64,J131,J166)</f>
        <v>17277416</v>
      </c>
      <c r="K171" s="216">
        <f t="shared" si="33"/>
        <v>10132696.25</v>
      </c>
      <c r="L171" s="216">
        <f t="shared" si="33"/>
        <v>608698</v>
      </c>
      <c r="M171" s="216">
        <f t="shared" si="33"/>
        <v>6536021.75</v>
      </c>
      <c r="N171" s="216">
        <f t="shared" si="33"/>
        <v>-516179</v>
      </c>
      <c r="O171" s="216">
        <f t="shared" si="33"/>
        <v>16678022.1</v>
      </c>
    </row>
    <row r="172" spans="1:15" ht="9" customHeight="1" thickTop="1" x14ac:dyDescent="0.2"/>
    <row r="173" spans="1:15" x14ac:dyDescent="0.25">
      <c r="B173" s="492" t="s">
        <v>306</v>
      </c>
    </row>
    <row r="174" spans="1:15" ht="17.25" customHeight="1" x14ac:dyDescent="0.2">
      <c r="A174" s="75" t="s">
        <v>304</v>
      </c>
      <c r="B174" s="346" t="s">
        <v>234</v>
      </c>
      <c r="D174" s="345" t="s">
        <v>352</v>
      </c>
      <c r="F174" s="2"/>
      <c r="G174" s="3" t="s">
        <v>150</v>
      </c>
      <c r="H174" s="16" t="s">
        <v>307</v>
      </c>
      <c r="I174" s="375">
        <f>100253.51+20737</f>
        <v>120990.51</v>
      </c>
      <c r="J174" s="375">
        <f>100253.51+20737</f>
        <v>120990.51</v>
      </c>
      <c r="K174" s="615">
        <v>3586</v>
      </c>
      <c r="L174" s="620">
        <v>0</v>
      </c>
      <c r="M174" s="620">
        <f>J174-K174-L174</f>
        <v>117404.51</v>
      </c>
      <c r="N174" s="620"/>
      <c r="O174" s="620">
        <f>SUM(I174,N174)</f>
        <v>120990.51</v>
      </c>
    </row>
    <row r="175" spans="1:15" ht="17.25" customHeight="1" x14ac:dyDescent="0.2">
      <c r="A175" s="75" t="s">
        <v>304</v>
      </c>
      <c r="B175" s="346" t="s">
        <v>234</v>
      </c>
      <c r="D175" s="345" t="s">
        <v>396</v>
      </c>
      <c r="F175" s="2"/>
      <c r="G175" s="3" t="s">
        <v>150</v>
      </c>
      <c r="H175" s="16" t="s">
        <v>307</v>
      </c>
      <c r="I175" s="375"/>
      <c r="J175" s="619"/>
      <c r="K175" s="615">
        <v>0</v>
      </c>
      <c r="L175" s="620">
        <v>0</v>
      </c>
      <c r="M175" s="620">
        <f>J175-K175-L175</f>
        <v>0</v>
      </c>
      <c r="N175" s="620"/>
      <c r="O175" s="620"/>
    </row>
    <row r="176" spans="1:15" ht="17.25" customHeight="1" x14ac:dyDescent="0.2">
      <c r="B176" s="524"/>
      <c r="D176" s="345"/>
      <c r="F176" s="10"/>
      <c r="G176" s="47"/>
      <c r="H176" s="16"/>
      <c r="I176" s="375"/>
      <c r="J176" s="619"/>
      <c r="K176" s="615"/>
      <c r="L176" s="620"/>
      <c r="M176" s="620"/>
      <c r="N176" s="620"/>
      <c r="O176" s="620"/>
    </row>
    <row r="177" spans="1:15" ht="17.25" customHeight="1" x14ac:dyDescent="0.2">
      <c r="A177" s="75" t="s">
        <v>301</v>
      </c>
      <c r="B177" s="346" t="s">
        <v>234</v>
      </c>
      <c r="D177" s="345" t="s">
        <v>352</v>
      </c>
      <c r="F177" s="2"/>
      <c r="G177" s="3" t="s">
        <v>150</v>
      </c>
      <c r="H177" s="16" t="s">
        <v>344</v>
      </c>
      <c r="I177" s="375">
        <f>118118+18791</f>
        <v>136909</v>
      </c>
      <c r="J177" s="375">
        <f>118118+18791</f>
        <v>136909</v>
      </c>
      <c r="K177" s="615">
        <v>0</v>
      </c>
      <c r="L177" s="620">
        <v>0</v>
      </c>
      <c r="M177" s="620">
        <f t="shared" ref="M177:M178" si="34">J177-K177-L177</f>
        <v>136909</v>
      </c>
      <c r="N177" s="620"/>
      <c r="O177" s="620">
        <f>SUM(I177,N177)</f>
        <v>136909</v>
      </c>
    </row>
    <row r="178" spans="1:15" ht="17.25" customHeight="1" x14ac:dyDescent="0.2">
      <c r="A178" s="75" t="s">
        <v>301</v>
      </c>
      <c r="B178" s="346" t="s">
        <v>234</v>
      </c>
      <c r="D178" s="345" t="s">
        <v>396</v>
      </c>
      <c r="F178" s="2"/>
      <c r="G178" s="3" t="s">
        <v>150</v>
      </c>
      <c r="H178" s="16" t="s">
        <v>344</v>
      </c>
      <c r="I178" s="375"/>
      <c r="J178" s="619"/>
      <c r="K178" s="615">
        <v>0</v>
      </c>
      <c r="L178" s="620">
        <v>0</v>
      </c>
      <c r="M178" s="620">
        <f t="shared" si="34"/>
        <v>0</v>
      </c>
      <c r="N178" s="620"/>
      <c r="O178" s="620"/>
    </row>
    <row r="179" spans="1:15" s="530" customFormat="1" ht="17.25" customHeight="1" x14ac:dyDescent="0.2">
      <c r="B179" s="525"/>
      <c r="C179" s="531"/>
      <c r="D179" s="526"/>
      <c r="F179" s="1"/>
      <c r="G179" s="4"/>
      <c r="H179" s="527"/>
      <c r="I179" s="360"/>
      <c r="J179" s="583"/>
      <c r="K179" s="535"/>
    </row>
    <row r="180" spans="1:15" s="495" customFormat="1" ht="16.5" thickBot="1" x14ac:dyDescent="0.25">
      <c r="A180" s="493"/>
      <c r="B180" s="493"/>
      <c r="C180" s="494"/>
      <c r="D180" s="493"/>
      <c r="E180" s="493"/>
      <c r="F180" s="494"/>
      <c r="G180" s="494"/>
      <c r="H180" s="494" t="s">
        <v>341</v>
      </c>
      <c r="I180" s="745">
        <v>17452100.610000003</v>
      </c>
      <c r="J180" s="559">
        <f>SUM(J171,J174:J178)</f>
        <v>17535315.510000002</v>
      </c>
      <c r="K180" s="559">
        <f t="shared" ref="K180:O180" si="35">SUM(K171,K174:K178)</f>
        <v>10136282.25</v>
      </c>
      <c r="L180" s="559">
        <f t="shared" si="35"/>
        <v>608698</v>
      </c>
      <c r="M180" s="559">
        <f t="shared" si="35"/>
        <v>6790335.2599999998</v>
      </c>
      <c r="N180" s="559">
        <f t="shared" si="35"/>
        <v>-516179</v>
      </c>
      <c r="O180" s="559">
        <f t="shared" si="35"/>
        <v>16935921.609999999</v>
      </c>
    </row>
    <row r="181" spans="1:15" ht="15.75" thickTop="1" x14ac:dyDescent="0.2">
      <c r="M181" s="675"/>
      <c r="N181" s="76"/>
    </row>
    <row r="182" spans="1:15" s="77" customFormat="1" x14ac:dyDescent="0.2">
      <c r="A182" s="75"/>
      <c r="B182" s="75"/>
      <c r="C182" s="74"/>
      <c r="D182" s="75"/>
      <c r="E182" s="75"/>
      <c r="F182" s="74"/>
      <c r="G182" s="74"/>
      <c r="H182" s="74" t="s">
        <v>407</v>
      </c>
      <c r="I182" s="364"/>
      <c r="J182" s="568"/>
      <c r="K182" s="78"/>
      <c r="L182" s="75"/>
      <c r="M182" s="675" t="s">
        <v>418</v>
      </c>
      <c r="N182" s="76">
        <f>N180-N95-N130</f>
        <v>409369</v>
      </c>
    </row>
    <row r="185" spans="1:15" s="219" customFormat="1" x14ac:dyDescent="0.2">
      <c r="A185" s="75"/>
      <c r="B185" s="75"/>
      <c r="C185" s="74"/>
      <c r="D185" s="75"/>
      <c r="E185" s="75"/>
      <c r="F185" s="74"/>
      <c r="G185" s="74"/>
      <c r="H185" s="74"/>
      <c r="I185" s="364"/>
      <c r="J185" s="568"/>
      <c r="K185" s="78"/>
      <c r="L185" s="75"/>
      <c r="M185" s="75"/>
      <c r="N185" s="76">
        <f>SUM(N30,N64,N71,N85,N86,N87,N102,N103,N108,N109,N159,N160,N161,N163)</f>
        <v>409369</v>
      </c>
      <c r="O185" s="75"/>
    </row>
    <row r="186" spans="1:15" s="219" customFormat="1" x14ac:dyDescent="0.2">
      <c r="A186" s="75"/>
      <c r="B186" s="75"/>
      <c r="C186" s="74"/>
      <c r="D186" s="75"/>
      <c r="E186" s="75"/>
      <c r="F186" s="74"/>
      <c r="G186" s="74"/>
      <c r="H186" s="74"/>
      <c r="I186" s="364"/>
      <c r="J186" s="568"/>
      <c r="K186" s="78"/>
      <c r="L186" s="75"/>
      <c r="M186" s="75"/>
      <c r="N186" s="75"/>
      <c r="O186" s="75"/>
    </row>
  </sheetData>
  <pageMargins left="0.32" right="0.71" top="0.95" bottom="0.5" header="0.5" footer="0.25"/>
  <pageSetup scale="79" fitToHeight="0" orientation="landscape" r:id="rId1"/>
  <headerFooter>
    <oddHeader xml:space="preserve">&amp;C&amp;14Fixed Costs Projections for 
12/13 Tentative Budget
</oddHeader>
    <oddFooter>&amp;L&amp;8&amp;F&amp;C&amp;P of &amp;N&amp;R&amp;8Date Printed: &amp;D</oddFooter>
  </headerFooter>
  <rowBreaks count="3" manualBreakCount="3">
    <brk id="31" max="16383" man="1"/>
    <brk id="65" max="16383" man="1"/>
    <brk id="132" max="16383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242"/>
  <sheetViews>
    <sheetView topLeftCell="K1" zoomScaleNormal="100" workbookViewId="0">
      <selection activeCell="W10" sqref="W10"/>
    </sheetView>
  </sheetViews>
  <sheetFormatPr defaultColWidth="9.140625" defaultRowHeight="15" outlineLevelRow="1" x14ac:dyDescent="0.2"/>
  <cols>
    <col min="1" max="1" width="5.42578125" style="75" bestFit="1" customWidth="1"/>
    <col min="2" max="2" width="21.7109375" style="75" customWidth="1"/>
    <col min="3" max="3" width="12.7109375" style="74" hidden="1" customWidth="1"/>
    <col min="4" max="4" width="38.42578125" style="75" customWidth="1"/>
    <col min="5" max="5" width="8.28515625" style="75" hidden="1" customWidth="1"/>
    <col min="6" max="6" width="28.140625" style="74" customWidth="1"/>
    <col min="7" max="7" width="7.7109375" style="74" bestFit="1" customWidth="1"/>
    <col min="8" max="8" width="26.140625" style="74" customWidth="1"/>
    <col min="9" max="9" width="3.140625" style="74" customWidth="1"/>
    <col min="10" max="10" width="14.28515625" style="75" bestFit="1" customWidth="1"/>
    <col min="11" max="11" width="14.28515625" style="75" customWidth="1"/>
    <col min="12" max="12" width="14.28515625" style="219" customWidth="1"/>
    <col min="13" max="13" width="11" style="219" customWidth="1"/>
    <col min="14" max="14" width="12.85546875" style="219" customWidth="1"/>
    <col min="15" max="15" width="14.42578125" style="219" customWidth="1"/>
    <col min="16" max="16" width="14.28515625" style="219" bestFit="1" customWidth="1"/>
    <col min="17" max="17" width="14.28515625" style="364" customWidth="1"/>
    <col min="18" max="18" width="14.28515625" style="364" bestFit="1" customWidth="1"/>
    <col min="19" max="19" width="3" style="77" customWidth="1"/>
    <col min="20" max="20" width="14.7109375" style="568" bestFit="1" customWidth="1"/>
    <col min="21" max="21" width="1.7109375" style="78" bestFit="1" customWidth="1"/>
    <col min="22" max="22" width="13.42578125" style="75" customWidth="1"/>
    <col min="23" max="16384" width="9.140625" style="75"/>
  </cols>
  <sheetData>
    <row r="1" spans="1:25" ht="15.75" thickBot="1" x14ac:dyDescent="0.25">
      <c r="B1" s="73" t="s">
        <v>206</v>
      </c>
      <c r="J1" s="76"/>
      <c r="K1" s="76"/>
      <c r="L1" s="76" t="s">
        <v>358</v>
      </c>
      <c r="M1" s="76"/>
      <c r="N1" s="76"/>
      <c r="O1" s="76"/>
      <c r="P1" s="76"/>
      <c r="Q1" s="359"/>
      <c r="R1" s="359"/>
    </row>
    <row r="2" spans="1:25" x14ac:dyDescent="0.2">
      <c r="B2" s="79" t="s">
        <v>118</v>
      </c>
      <c r="C2" s="80"/>
      <c r="D2" s="81"/>
      <c r="E2" s="81"/>
      <c r="F2" s="80"/>
      <c r="G2" s="80"/>
      <c r="H2" s="80"/>
      <c r="I2" s="80"/>
      <c r="J2" s="82" t="s">
        <v>117</v>
      </c>
      <c r="K2" s="83">
        <v>0.90909090909090906</v>
      </c>
      <c r="L2" s="598" t="s">
        <v>123</v>
      </c>
      <c r="M2" s="84"/>
      <c r="N2" s="84" t="s">
        <v>124</v>
      </c>
      <c r="O2" s="85" t="s">
        <v>121</v>
      </c>
      <c r="P2" s="86" t="s">
        <v>58</v>
      </c>
      <c r="Q2" s="85" t="s">
        <v>121</v>
      </c>
      <c r="R2" s="86" t="s">
        <v>58</v>
      </c>
    </row>
    <row r="3" spans="1:25" s="74" customFormat="1" ht="15.75" thickBot="1" x14ac:dyDescent="0.25">
      <c r="B3" s="87" t="s">
        <v>148</v>
      </c>
      <c r="C3" s="88" t="s">
        <v>125</v>
      </c>
      <c r="D3" s="88" t="s">
        <v>61</v>
      </c>
      <c r="E3" s="88"/>
      <c r="F3" s="88" t="s">
        <v>147</v>
      </c>
      <c r="G3" s="88" t="s">
        <v>149</v>
      </c>
      <c r="H3" s="88" t="s">
        <v>62</v>
      </c>
      <c r="I3" s="88"/>
      <c r="J3" s="89" t="s">
        <v>120</v>
      </c>
      <c r="K3" s="90" t="s">
        <v>272</v>
      </c>
      <c r="L3" s="599" t="s">
        <v>342</v>
      </c>
      <c r="M3" s="91" t="s">
        <v>119</v>
      </c>
      <c r="N3" s="91" t="s">
        <v>118</v>
      </c>
      <c r="O3" s="92" t="s">
        <v>122</v>
      </c>
      <c r="P3" s="93" t="s">
        <v>59</v>
      </c>
      <c r="Q3" s="92" t="s">
        <v>122</v>
      </c>
      <c r="R3" s="93" t="s">
        <v>120</v>
      </c>
      <c r="S3" s="94"/>
      <c r="T3" s="582" t="s">
        <v>356</v>
      </c>
      <c r="U3" s="78"/>
    </row>
    <row r="4" spans="1:25" s="7" customFormat="1" outlineLevel="1" x14ac:dyDescent="0.2">
      <c r="B4" s="95"/>
      <c r="C4" s="96"/>
      <c r="D4" s="305" t="s">
        <v>242</v>
      </c>
      <c r="E4" s="95"/>
      <c r="F4" s="95"/>
      <c r="G4" s="95"/>
      <c r="H4" s="95" t="s">
        <v>210</v>
      </c>
      <c r="I4" s="95"/>
      <c r="J4" s="97">
        <v>1000</v>
      </c>
      <c r="K4" s="97">
        <v>0</v>
      </c>
      <c r="L4" s="98">
        <v>0</v>
      </c>
      <c r="M4" s="98">
        <v>0</v>
      </c>
      <c r="N4" s="98">
        <f>K4-L4-M4</f>
        <v>0</v>
      </c>
      <c r="O4" s="99">
        <v>0</v>
      </c>
      <c r="P4" s="403">
        <v>1000</v>
      </c>
      <c r="Q4" s="373">
        <v>0</v>
      </c>
      <c r="R4" s="402">
        <f t="shared" ref="R4:R11" si="0">SUM(P4:Q4)</f>
        <v>1000</v>
      </c>
      <c r="S4" s="15"/>
      <c r="T4" s="570"/>
      <c r="U4" s="50"/>
      <c r="X4" s="7">
        <v>0</v>
      </c>
    </row>
    <row r="5" spans="1:25" s="7" customFormat="1" outlineLevel="1" x14ac:dyDescent="0.2">
      <c r="B5" s="19"/>
      <c r="C5" s="100"/>
      <c r="D5" s="224" t="s">
        <v>241</v>
      </c>
      <c r="E5" s="19"/>
      <c r="F5" s="19"/>
      <c r="G5" s="19"/>
      <c r="H5" s="19" t="s">
        <v>211</v>
      </c>
      <c r="I5" s="353"/>
      <c r="J5" s="101">
        <v>3000</v>
      </c>
      <c r="K5" s="102">
        <v>4042</v>
      </c>
      <c r="L5" s="103">
        <v>3915</v>
      </c>
      <c r="M5" s="103">
        <v>0</v>
      </c>
      <c r="N5" s="104">
        <f>K5-L5-M5</f>
        <v>127</v>
      </c>
      <c r="O5" s="105">
        <v>0</v>
      </c>
      <c r="P5" s="149">
        <v>3000</v>
      </c>
      <c r="Q5" s="374">
        <v>0</v>
      </c>
      <c r="R5" s="192">
        <f t="shared" si="0"/>
        <v>3000</v>
      </c>
      <c r="S5" s="15"/>
      <c r="T5" s="570"/>
      <c r="U5" s="50"/>
      <c r="X5" s="7">
        <v>3914.72</v>
      </c>
      <c r="Y5" s="600">
        <f>L5-X5</f>
        <v>0.28000000000020009</v>
      </c>
    </row>
    <row r="6" spans="1:25" s="7" customFormat="1" x14ac:dyDescent="0.2">
      <c r="B6" s="221" t="s">
        <v>39</v>
      </c>
      <c r="C6" s="222" t="s">
        <v>228</v>
      </c>
      <c r="D6" s="221" t="s">
        <v>207</v>
      </c>
      <c r="E6" s="221"/>
      <c r="F6" s="221"/>
      <c r="G6" s="17" t="s">
        <v>163</v>
      </c>
      <c r="H6" s="17"/>
      <c r="I6" s="34" t="s">
        <v>357</v>
      </c>
      <c r="J6" s="560">
        <f>SUM(J4:J5)</f>
        <v>4000</v>
      </c>
      <c r="K6" s="560">
        <f>SUM(K4:K5)</f>
        <v>4042</v>
      </c>
      <c r="L6" s="107">
        <f>SUM(L4:L5)</f>
        <v>3915</v>
      </c>
      <c r="M6" s="107">
        <f>SUM(M4:M5)</f>
        <v>0</v>
      </c>
      <c r="N6" s="107">
        <f>SUM(N4:N5)</f>
        <v>127</v>
      </c>
      <c r="O6" s="107">
        <v>0</v>
      </c>
      <c r="P6" s="108">
        <v>4000</v>
      </c>
      <c r="Q6" s="375">
        <v>0</v>
      </c>
      <c r="R6" s="192">
        <f t="shared" si="0"/>
        <v>4000</v>
      </c>
      <c r="S6" s="15"/>
      <c r="T6" s="570"/>
      <c r="U6" s="50"/>
      <c r="Y6" s="600">
        <f t="shared" ref="Y6:Y69" si="1">L6-X6</f>
        <v>3915</v>
      </c>
    </row>
    <row r="7" spans="1:25" s="7" customFormat="1" outlineLevel="1" x14ac:dyDescent="0.2">
      <c r="B7" s="298"/>
      <c r="C7" s="299"/>
      <c r="D7" s="298" t="s">
        <v>238</v>
      </c>
      <c r="E7" s="298"/>
      <c r="F7" s="298"/>
      <c r="G7" s="300"/>
      <c r="H7" s="300" t="s">
        <v>212</v>
      </c>
      <c r="I7" s="300" t="s">
        <v>357</v>
      </c>
      <c r="J7" s="58">
        <v>1000</v>
      </c>
      <c r="K7" s="58">
        <v>0</v>
      </c>
      <c r="L7" s="187">
        <v>0</v>
      </c>
      <c r="M7" s="187">
        <v>0</v>
      </c>
      <c r="N7" s="187">
        <f>K7-L7-M7</f>
        <v>0</v>
      </c>
      <c r="O7" s="301">
        <v>0</v>
      </c>
      <c r="P7" s="404">
        <v>1000</v>
      </c>
      <c r="Q7" s="374">
        <v>0</v>
      </c>
      <c r="R7" s="192">
        <f t="shared" si="0"/>
        <v>1000</v>
      </c>
      <c r="S7" s="15"/>
      <c r="T7" s="570"/>
      <c r="U7" s="50"/>
      <c r="X7" s="7">
        <v>0</v>
      </c>
      <c r="Y7" s="600">
        <f t="shared" si="1"/>
        <v>0</v>
      </c>
    </row>
    <row r="8" spans="1:25" s="7" customFormat="1" outlineLevel="1" x14ac:dyDescent="0.2">
      <c r="B8" s="298"/>
      <c r="C8" s="299"/>
      <c r="D8" s="298" t="s">
        <v>243</v>
      </c>
      <c r="E8" s="298"/>
      <c r="F8" s="298"/>
      <c r="G8" s="300"/>
      <c r="H8" s="300" t="s">
        <v>213</v>
      </c>
      <c r="I8" s="300" t="s">
        <v>357</v>
      </c>
      <c r="J8" s="58">
        <v>500</v>
      </c>
      <c r="K8" s="58">
        <v>500</v>
      </c>
      <c r="L8" s="187">
        <v>488</v>
      </c>
      <c r="M8" s="187">
        <v>0</v>
      </c>
      <c r="N8" s="187">
        <f t="shared" ref="N8:N10" si="2">K8-L8-M8</f>
        <v>12</v>
      </c>
      <c r="O8" s="301">
        <v>0</v>
      </c>
      <c r="P8" s="404">
        <v>500</v>
      </c>
      <c r="Q8" s="374">
        <v>0</v>
      </c>
      <c r="R8" s="192">
        <f t="shared" si="0"/>
        <v>500</v>
      </c>
      <c r="S8" s="15"/>
      <c r="T8" s="570"/>
      <c r="U8" s="50"/>
      <c r="X8" s="7">
        <v>488.48</v>
      </c>
      <c r="Y8" s="600">
        <f t="shared" si="1"/>
        <v>-0.48000000000001819</v>
      </c>
    </row>
    <row r="9" spans="1:25" s="7" customFormat="1" outlineLevel="1" x14ac:dyDescent="0.2">
      <c r="B9" s="298"/>
      <c r="C9" s="299"/>
      <c r="D9" s="298" t="s">
        <v>239</v>
      </c>
      <c r="E9" s="298"/>
      <c r="F9" s="298"/>
      <c r="G9" s="300"/>
      <c r="H9" s="300" t="s">
        <v>214</v>
      </c>
      <c r="I9" s="300" t="s">
        <v>357</v>
      </c>
      <c r="J9" s="58">
        <v>1500</v>
      </c>
      <c r="K9" s="58">
        <v>2500</v>
      </c>
      <c r="L9" s="187">
        <v>2500</v>
      </c>
      <c r="M9" s="187">
        <v>0</v>
      </c>
      <c r="N9" s="187">
        <f t="shared" si="2"/>
        <v>0</v>
      </c>
      <c r="O9" s="301">
        <v>0</v>
      </c>
      <c r="P9" s="404">
        <v>1500</v>
      </c>
      <c r="Q9" s="374">
        <v>0</v>
      </c>
      <c r="R9" s="192">
        <f t="shared" si="0"/>
        <v>1500</v>
      </c>
      <c r="S9" s="15"/>
      <c r="T9" s="570"/>
      <c r="U9" s="50"/>
      <c r="X9" s="7">
        <v>2499.7399999999998</v>
      </c>
      <c r="Y9" s="600">
        <f t="shared" si="1"/>
        <v>0.26000000000021828</v>
      </c>
    </row>
    <row r="10" spans="1:25" s="7" customFormat="1" outlineLevel="1" x14ac:dyDescent="0.2">
      <c r="B10" s="298"/>
      <c r="C10" s="299"/>
      <c r="D10" s="298" t="s">
        <v>240</v>
      </c>
      <c r="E10" s="298"/>
      <c r="F10" s="298"/>
      <c r="G10" s="300"/>
      <c r="H10" s="300" t="s">
        <v>215</v>
      </c>
      <c r="I10" s="300" t="s">
        <v>357</v>
      </c>
      <c r="J10" s="58">
        <v>1500</v>
      </c>
      <c r="K10" s="58">
        <v>1500</v>
      </c>
      <c r="L10" s="187">
        <v>1500</v>
      </c>
      <c r="M10" s="187">
        <v>0</v>
      </c>
      <c r="N10" s="187">
        <f t="shared" si="2"/>
        <v>0</v>
      </c>
      <c r="O10" s="301">
        <v>0</v>
      </c>
      <c r="P10" s="404">
        <v>1500</v>
      </c>
      <c r="Q10" s="374">
        <v>0</v>
      </c>
      <c r="R10" s="192">
        <f t="shared" si="0"/>
        <v>1500</v>
      </c>
      <c r="S10" s="15"/>
      <c r="T10" s="570"/>
      <c r="U10" s="50"/>
      <c r="X10" s="7">
        <v>1500</v>
      </c>
      <c r="Y10" s="600">
        <f t="shared" si="1"/>
        <v>0</v>
      </c>
    </row>
    <row r="11" spans="1:25" s="7" customFormat="1" x14ac:dyDescent="0.2">
      <c r="B11" s="221" t="s">
        <v>39</v>
      </c>
      <c r="C11" s="222" t="s">
        <v>228</v>
      </c>
      <c r="D11" s="221" t="s">
        <v>182</v>
      </c>
      <c r="E11" s="221"/>
      <c r="F11" s="221"/>
      <c r="G11" s="17" t="s">
        <v>163</v>
      </c>
      <c r="H11" s="17"/>
      <c r="I11" s="34"/>
      <c r="J11" s="560">
        <f>SUM(J7:J10)</f>
        <v>4500</v>
      </c>
      <c r="K11" s="560">
        <f>SUM(K7:K10)</f>
        <v>4500</v>
      </c>
      <c r="L11" s="107">
        <f>SUM(L7:L10)</f>
        <v>4488</v>
      </c>
      <c r="M11" s="107">
        <f t="shared" ref="M11:N11" si="3">SUM(M7:M10)</f>
        <v>0</v>
      </c>
      <c r="N11" s="107">
        <f t="shared" si="3"/>
        <v>12</v>
      </c>
      <c r="O11" s="107">
        <v>0</v>
      </c>
      <c r="P11" s="108">
        <v>4500</v>
      </c>
      <c r="Q11" s="375">
        <v>0</v>
      </c>
      <c r="R11" s="192">
        <f t="shared" si="0"/>
        <v>4500</v>
      </c>
      <c r="S11" s="15"/>
      <c r="T11" s="570"/>
      <c r="U11" s="50"/>
      <c r="Y11" s="600">
        <f t="shared" si="1"/>
        <v>4488</v>
      </c>
    </row>
    <row r="12" spans="1:25" s="7" customFormat="1" x14ac:dyDescent="0.2">
      <c r="A12" s="7" t="s">
        <v>302</v>
      </c>
      <c r="B12" s="229" t="s">
        <v>132</v>
      </c>
      <c r="C12" s="12" t="s">
        <v>228</v>
      </c>
      <c r="D12" s="14" t="s">
        <v>280</v>
      </c>
      <c r="E12" s="226"/>
      <c r="F12" s="227" t="s">
        <v>345</v>
      </c>
      <c r="G12" s="5" t="s">
        <v>154</v>
      </c>
      <c r="H12" s="20" t="s">
        <v>216</v>
      </c>
      <c r="I12" s="140" t="s">
        <v>357</v>
      </c>
      <c r="J12" s="63">
        <v>7500</v>
      </c>
      <c r="K12" s="53">
        <v>7500</v>
      </c>
      <c r="L12" s="54">
        <v>7500</v>
      </c>
      <c r="M12" s="54">
        <v>0</v>
      </c>
      <c r="N12" s="54">
        <f t="shared" ref="N12:N21" si="4">K12-L12-M12</f>
        <v>0</v>
      </c>
      <c r="O12" s="55">
        <v>-7500</v>
      </c>
      <c r="P12" s="108">
        <v>0</v>
      </c>
      <c r="Q12" s="375">
        <v>7500</v>
      </c>
      <c r="R12" s="192">
        <f>SUM(P12:Q12)</f>
        <v>7500</v>
      </c>
      <c r="S12" s="15"/>
      <c r="T12" s="570"/>
      <c r="U12" s="50"/>
      <c r="X12" s="7">
        <v>7500</v>
      </c>
      <c r="Y12" s="600">
        <f t="shared" si="1"/>
        <v>0</v>
      </c>
    </row>
    <row r="13" spans="1:25" s="7" customFormat="1" x14ac:dyDescent="0.2">
      <c r="B13" s="6" t="s">
        <v>236</v>
      </c>
      <c r="C13" s="228" t="s">
        <v>228</v>
      </c>
      <c r="D13" s="14" t="s">
        <v>237</v>
      </c>
      <c r="E13" s="229"/>
      <c r="F13" s="230" t="s">
        <v>348</v>
      </c>
      <c r="G13" s="114" t="s">
        <v>150</v>
      </c>
      <c r="H13" s="20" t="s">
        <v>223</v>
      </c>
      <c r="I13" s="140" t="s">
        <v>357</v>
      </c>
      <c r="J13" s="63">
        <v>30000</v>
      </c>
      <c r="K13" s="53">
        <v>30000</v>
      </c>
      <c r="L13" s="54">
        <v>11208.73</v>
      </c>
      <c r="M13" s="54">
        <v>0</v>
      </c>
      <c r="N13" s="54">
        <f t="shared" si="4"/>
        <v>18791.27</v>
      </c>
      <c r="O13" s="55">
        <v>0</v>
      </c>
      <c r="P13" s="108">
        <v>30000</v>
      </c>
      <c r="Q13" s="375">
        <v>-1200</v>
      </c>
      <c r="R13" s="192">
        <f t="shared" ref="R13:R23" si="5">SUM(P13:Q13)</f>
        <v>28800</v>
      </c>
      <c r="S13" s="15"/>
      <c r="T13" s="570">
        <v>-1200</v>
      </c>
      <c r="U13" s="50"/>
      <c r="X13" s="7">
        <v>11208.73</v>
      </c>
      <c r="Y13" s="600">
        <f t="shared" si="1"/>
        <v>0</v>
      </c>
    </row>
    <row r="14" spans="1:25" s="7" customFormat="1" x14ac:dyDescent="0.2">
      <c r="B14" s="6" t="s">
        <v>234</v>
      </c>
      <c r="C14" s="228" t="s">
        <v>228</v>
      </c>
      <c r="D14" s="14" t="s">
        <v>178</v>
      </c>
      <c r="E14" s="229"/>
      <c r="F14" s="6" t="s">
        <v>281</v>
      </c>
      <c r="G14" s="114" t="s">
        <v>150</v>
      </c>
      <c r="H14" s="20" t="s">
        <v>224</v>
      </c>
      <c r="I14" s="140" t="s">
        <v>357</v>
      </c>
      <c r="J14" s="63">
        <v>25000</v>
      </c>
      <c r="K14" s="53">
        <v>25000</v>
      </c>
      <c r="L14" s="54">
        <v>27500</v>
      </c>
      <c r="M14" s="54">
        <v>0</v>
      </c>
      <c r="N14" s="54">
        <f t="shared" si="4"/>
        <v>-2500</v>
      </c>
      <c r="O14" s="55">
        <v>-14000</v>
      </c>
      <c r="P14" s="108">
        <v>11000</v>
      </c>
      <c r="Q14" s="375">
        <v>0</v>
      </c>
      <c r="R14" s="192">
        <f t="shared" si="5"/>
        <v>11000</v>
      </c>
      <c r="S14" s="15">
        <v>11</v>
      </c>
      <c r="T14" s="570"/>
      <c r="U14" s="50"/>
      <c r="X14" s="7">
        <v>27500</v>
      </c>
      <c r="Y14" s="600">
        <f t="shared" si="1"/>
        <v>0</v>
      </c>
    </row>
    <row r="15" spans="1:25" s="7" customFormat="1" x14ac:dyDescent="0.2">
      <c r="B15" s="231" t="s">
        <v>234</v>
      </c>
      <c r="C15" s="232" t="s">
        <v>228</v>
      </c>
      <c r="D15" s="231" t="s">
        <v>293</v>
      </c>
      <c r="E15" s="233"/>
      <c r="F15" s="233"/>
      <c r="G15" s="21" t="s">
        <v>154</v>
      </c>
      <c r="H15" s="21" t="s">
        <v>291</v>
      </c>
      <c r="I15" s="45" t="s">
        <v>357</v>
      </c>
      <c r="J15" s="69">
        <v>33700</v>
      </c>
      <c r="K15" s="70">
        <v>34005</v>
      </c>
      <c r="L15" s="107">
        <v>34005</v>
      </c>
      <c r="M15" s="107"/>
      <c r="N15" s="107">
        <f t="shared" si="4"/>
        <v>0</v>
      </c>
      <c r="O15" s="72">
        <v>0</v>
      </c>
      <c r="P15" s="108">
        <v>33700</v>
      </c>
      <c r="Q15" s="375">
        <v>0</v>
      </c>
      <c r="R15" s="192">
        <f t="shared" si="5"/>
        <v>33700</v>
      </c>
      <c r="S15" s="15"/>
      <c r="T15" s="570"/>
      <c r="U15" s="50"/>
      <c r="Y15" s="600">
        <f t="shared" si="1"/>
        <v>34005</v>
      </c>
    </row>
    <row r="16" spans="1:25" s="7" customFormat="1" x14ac:dyDescent="0.2">
      <c r="B16" s="6" t="s">
        <v>234</v>
      </c>
      <c r="C16" s="12" t="s">
        <v>228</v>
      </c>
      <c r="D16" s="14" t="s">
        <v>235</v>
      </c>
      <c r="E16" s="226"/>
      <c r="F16" s="234"/>
      <c r="G16" s="5" t="s">
        <v>268</v>
      </c>
      <c r="H16" s="20" t="s">
        <v>217</v>
      </c>
      <c r="I16" s="140" t="s">
        <v>357</v>
      </c>
      <c r="J16" s="63">
        <v>28038</v>
      </c>
      <c r="K16" s="53">
        <v>28336</v>
      </c>
      <c r="L16" s="54">
        <v>28336</v>
      </c>
      <c r="M16" s="54">
        <v>0</v>
      </c>
      <c r="N16" s="54">
        <f t="shared" si="4"/>
        <v>0</v>
      </c>
      <c r="O16" s="55">
        <v>0</v>
      </c>
      <c r="P16" s="108">
        <v>28038</v>
      </c>
      <c r="Q16" s="375">
        <v>45673</v>
      </c>
      <c r="R16" s="192">
        <f t="shared" si="5"/>
        <v>73711</v>
      </c>
      <c r="S16" s="15"/>
      <c r="T16" s="570">
        <v>45673</v>
      </c>
      <c r="U16" s="50"/>
      <c r="X16" s="7">
        <v>28336</v>
      </c>
      <c r="Y16" s="600">
        <f t="shared" si="1"/>
        <v>0</v>
      </c>
    </row>
    <row r="17" spans="1:25" s="7" customFormat="1" x14ac:dyDescent="0.2">
      <c r="B17" s="6" t="s">
        <v>234</v>
      </c>
      <c r="C17" s="12" t="s">
        <v>228</v>
      </c>
      <c r="D17" s="14" t="s">
        <v>204</v>
      </c>
      <c r="E17" s="226"/>
      <c r="F17" s="234"/>
      <c r="G17" s="5" t="s">
        <v>150</v>
      </c>
      <c r="H17" s="20" t="s">
        <v>218</v>
      </c>
      <c r="I17" s="140" t="s">
        <v>357</v>
      </c>
      <c r="J17" s="63">
        <v>15000</v>
      </c>
      <c r="K17" s="53">
        <v>15000</v>
      </c>
      <c r="L17" s="54">
        <f>15000+928+218+75+107+172</f>
        <v>16500</v>
      </c>
      <c r="M17" s="54">
        <v>0</v>
      </c>
      <c r="N17" s="352">
        <f t="shared" si="4"/>
        <v>-1500</v>
      </c>
      <c r="O17" s="55">
        <v>0</v>
      </c>
      <c r="P17" s="108">
        <v>15000</v>
      </c>
      <c r="Q17" s="375">
        <v>0</v>
      </c>
      <c r="R17" s="192">
        <f t="shared" si="5"/>
        <v>15000</v>
      </c>
      <c r="S17" s="15"/>
      <c r="T17" s="570"/>
      <c r="U17" s="50"/>
      <c r="X17" s="7">
        <v>15000</v>
      </c>
      <c r="Y17" s="600">
        <f t="shared" si="1"/>
        <v>1500</v>
      </c>
    </row>
    <row r="18" spans="1:25" s="7" customFormat="1" ht="12" customHeight="1" x14ac:dyDescent="0.2">
      <c r="B18" s="235"/>
      <c r="C18" s="236"/>
      <c r="D18" s="237" t="s">
        <v>229</v>
      </c>
      <c r="E18" s="238"/>
      <c r="F18" s="235"/>
      <c r="G18" s="116"/>
      <c r="H18" s="22" t="s">
        <v>219</v>
      </c>
      <c r="I18" s="300" t="s">
        <v>357</v>
      </c>
      <c r="J18" s="118">
        <v>11900</v>
      </c>
      <c r="K18" s="58">
        <v>11900</v>
      </c>
      <c r="L18" s="59">
        <v>11900</v>
      </c>
      <c r="M18" s="59">
        <v>0</v>
      </c>
      <c r="N18" s="351">
        <f t="shared" si="4"/>
        <v>0</v>
      </c>
      <c r="O18" s="61">
        <v>-11900</v>
      </c>
      <c r="P18" s="51">
        <v>0</v>
      </c>
      <c r="Q18" s="374">
        <v>0</v>
      </c>
      <c r="R18" s="192">
        <f t="shared" si="5"/>
        <v>0</v>
      </c>
      <c r="S18" s="15"/>
      <c r="T18" s="570"/>
      <c r="U18" s="50"/>
      <c r="X18" s="7">
        <v>11899.4</v>
      </c>
      <c r="Y18" s="600">
        <f t="shared" si="1"/>
        <v>0.6000000000003638</v>
      </c>
    </row>
    <row r="19" spans="1:25" s="7" customFormat="1" x14ac:dyDescent="0.2">
      <c r="B19" s="235"/>
      <c r="C19" s="236"/>
      <c r="D19" s="237" t="s">
        <v>230</v>
      </c>
      <c r="E19" s="238"/>
      <c r="F19" s="236"/>
      <c r="G19" s="117"/>
      <c r="H19" s="22" t="s">
        <v>220</v>
      </c>
      <c r="I19" s="300" t="s">
        <v>357</v>
      </c>
      <c r="J19" s="118">
        <v>350</v>
      </c>
      <c r="K19" s="58">
        <v>700</v>
      </c>
      <c r="L19" s="59">
        <v>0</v>
      </c>
      <c r="M19" s="59">
        <v>0</v>
      </c>
      <c r="N19" s="351">
        <f t="shared" si="4"/>
        <v>700</v>
      </c>
      <c r="O19" s="61">
        <v>-350</v>
      </c>
      <c r="P19" s="51">
        <v>0</v>
      </c>
      <c r="Q19" s="374">
        <v>0</v>
      </c>
      <c r="R19" s="192">
        <f t="shared" si="5"/>
        <v>0</v>
      </c>
      <c r="S19" s="15"/>
      <c r="T19" s="570"/>
      <c r="U19" s="50"/>
      <c r="X19" s="7">
        <v>0</v>
      </c>
      <c r="Y19" s="600">
        <f t="shared" si="1"/>
        <v>0</v>
      </c>
    </row>
    <row r="20" spans="1:25" s="7" customFormat="1" x14ac:dyDescent="0.2">
      <c r="B20" s="235"/>
      <c r="C20" s="236"/>
      <c r="D20" s="237" t="s">
        <v>231</v>
      </c>
      <c r="E20" s="238"/>
      <c r="F20" s="236"/>
      <c r="G20" s="117"/>
      <c r="H20" s="22" t="s">
        <v>221</v>
      </c>
      <c r="I20" s="300" t="s">
        <v>357</v>
      </c>
      <c r="J20" s="118">
        <v>2750</v>
      </c>
      <c r="K20" s="58">
        <v>2750</v>
      </c>
      <c r="L20" s="59">
        <v>0</v>
      </c>
      <c r="M20" s="59">
        <v>0</v>
      </c>
      <c r="N20" s="351">
        <f t="shared" si="4"/>
        <v>2750</v>
      </c>
      <c r="O20" s="61">
        <v>-2750</v>
      </c>
      <c r="P20" s="51">
        <v>0</v>
      </c>
      <c r="Q20" s="374">
        <v>0</v>
      </c>
      <c r="R20" s="192">
        <f t="shared" si="5"/>
        <v>0</v>
      </c>
      <c r="S20" s="15"/>
      <c r="T20" s="570"/>
      <c r="U20" s="50"/>
      <c r="X20" s="7">
        <v>0</v>
      </c>
      <c r="Y20" s="600">
        <f t="shared" si="1"/>
        <v>0</v>
      </c>
    </row>
    <row r="21" spans="1:25" s="7" customFormat="1" x14ac:dyDescent="0.2">
      <c r="B21" s="235"/>
      <c r="C21" s="236"/>
      <c r="D21" s="237" t="s">
        <v>232</v>
      </c>
      <c r="E21" s="238"/>
      <c r="F21" s="236"/>
      <c r="G21" s="117"/>
      <c r="H21" s="22" t="s">
        <v>222</v>
      </c>
      <c r="I21" s="300" t="s">
        <v>357</v>
      </c>
      <c r="J21" s="118">
        <v>17453</v>
      </c>
      <c r="K21" s="58">
        <v>16850</v>
      </c>
      <c r="L21" s="59">
        <v>16850</v>
      </c>
      <c r="M21" s="59">
        <v>0</v>
      </c>
      <c r="N21" s="59">
        <f t="shared" si="4"/>
        <v>0</v>
      </c>
      <c r="O21" s="61">
        <v>0</v>
      </c>
      <c r="P21" s="51">
        <v>17453</v>
      </c>
      <c r="Q21" s="374">
        <v>0</v>
      </c>
      <c r="R21" s="192">
        <f t="shared" si="5"/>
        <v>17453</v>
      </c>
      <c r="S21" s="15"/>
      <c r="T21" s="570"/>
      <c r="U21" s="50"/>
      <c r="X21" s="7">
        <v>16850</v>
      </c>
      <c r="Y21" s="600">
        <f t="shared" si="1"/>
        <v>0</v>
      </c>
    </row>
    <row r="22" spans="1:25" s="7" customFormat="1" x14ac:dyDescent="0.2">
      <c r="B22" s="14" t="s">
        <v>244</v>
      </c>
      <c r="C22" s="228" t="s">
        <v>228</v>
      </c>
      <c r="D22" s="14" t="s">
        <v>181</v>
      </c>
      <c r="E22" s="229"/>
      <c r="F22" s="239"/>
      <c r="G22" s="119" t="s">
        <v>163</v>
      </c>
      <c r="H22" s="20"/>
      <c r="I22" s="140"/>
      <c r="J22" s="63">
        <f>SUM(J18:J21)</f>
        <v>32453</v>
      </c>
      <c r="K22" s="63">
        <f>SUM(K18:K21)</f>
        <v>32200</v>
      </c>
      <c r="L22" s="64">
        <f>SUM(L18:L21)</f>
        <v>28750</v>
      </c>
      <c r="M22" s="64">
        <f t="shared" ref="M22:N22" si="6">SUM(M18:M21)</f>
        <v>0</v>
      </c>
      <c r="N22" s="64">
        <f t="shared" si="6"/>
        <v>3450</v>
      </c>
      <c r="O22" s="64">
        <v>-15000</v>
      </c>
      <c r="P22" s="108">
        <v>17453</v>
      </c>
      <c r="Q22" s="375">
        <v>0</v>
      </c>
      <c r="R22" s="192">
        <f t="shared" si="5"/>
        <v>17453</v>
      </c>
      <c r="S22" s="15">
        <v>12</v>
      </c>
      <c r="T22" s="570"/>
      <c r="U22" s="50"/>
      <c r="Y22" s="600">
        <f t="shared" si="1"/>
        <v>28750</v>
      </c>
    </row>
    <row r="23" spans="1:25" s="7" customFormat="1" x14ac:dyDescent="0.2">
      <c r="B23" s="237" t="s">
        <v>233</v>
      </c>
      <c r="C23" s="585" t="s">
        <v>228</v>
      </c>
      <c r="D23" s="237" t="s">
        <v>183</v>
      </c>
      <c r="E23" s="238"/>
      <c r="F23" s="585" t="s">
        <v>247</v>
      </c>
      <c r="G23" s="586"/>
      <c r="H23" s="22" t="s">
        <v>359</v>
      </c>
      <c r="I23" s="300" t="s">
        <v>357</v>
      </c>
      <c r="J23" s="118">
        <v>0</v>
      </c>
      <c r="K23" s="58">
        <v>800</v>
      </c>
      <c r="L23" s="587">
        <f>364+5+15+3+4</f>
        <v>391</v>
      </c>
      <c r="M23" s="587">
        <v>0</v>
      </c>
      <c r="N23" s="588">
        <f>K23-L23-M23</f>
        <v>409</v>
      </c>
      <c r="O23" s="589">
        <v>0</v>
      </c>
      <c r="P23" s="185">
        <v>0</v>
      </c>
      <c r="Q23" s="374">
        <v>0</v>
      </c>
      <c r="R23" s="374">
        <f t="shared" si="5"/>
        <v>0</v>
      </c>
      <c r="S23" s="15"/>
      <c r="T23" s="570"/>
      <c r="U23" s="50"/>
      <c r="X23" s="7">
        <v>364.23</v>
      </c>
      <c r="Y23" s="600">
        <f t="shared" si="1"/>
        <v>26.769999999999982</v>
      </c>
    </row>
    <row r="24" spans="1:25" s="7" customFormat="1" x14ac:dyDescent="0.2">
      <c r="B24" s="237" t="s">
        <v>233</v>
      </c>
      <c r="C24" s="585" t="s">
        <v>228</v>
      </c>
      <c r="D24" s="237" t="s">
        <v>183</v>
      </c>
      <c r="E24" s="238"/>
      <c r="F24" s="585" t="s">
        <v>247</v>
      </c>
      <c r="G24" s="586"/>
      <c r="H24" s="22" t="s">
        <v>273</v>
      </c>
      <c r="I24" s="300" t="s">
        <v>357</v>
      </c>
      <c r="J24" s="118">
        <v>70000</v>
      </c>
      <c r="K24" s="58">
        <f>45919+12247+8392</f>
        <v>66558</v>
      </c>
      <c r="L24" s="587">
        <f>45919+12246.56+8391.94</f>
        <v>66557.5</v>
      </c>
      <c r="M24" s="587"/>
      <c r="N24" s="588">
        <f>K24-L24-M24</f>
        <v>0.5</v>
      </c>
      <c r="O24" s="589">
        <v>0</v>
      </c>
      <c r="P24" s="185">
        <v>0</v>
      </c>
      <c r="Q24" s="374">
        <v>0</v>
      </c>
      <c r="R24" s="374">
        <f t="shared" ref="R24" si="7">SUM(P24:Q24)</f>
        <v>0</v>
      </c>
      <c r="S24" s="15"/>
      <c r="T24" s="570"/>
      <c r="U24" s="50"/>
      <c r="X24" s="7">
        <v>45918.59</v>
      </c>
      <c r="Y24" s="600">
        <f t="shared" si="1"/>
        <v>20638.910000000003</v>
      </c>
    </row>
    <row r="25" spans="1:25" s="7" customFormat="1" x14ac:dyDescent="0.2">
      <c r="B25" s="237" t="s">
        <v>233</v>
      </c>
      <c r="C25" s="585" t="s">
        <v>228</v>
      </c>
      <c r="D25" s="237" t="s">
        <v>183</v>
      </c>
      <c r="E25" s="238"/>
      <c r="F25" s="585" t="s">
        <v>247</v>
      </c>
      <c r="G25" s="592"/>
      <c r="H25" s="22" t="s">
        <v>360</v>
      </c>
      <c r="I25" s="300" t="s">
        <v>357</v>
      </c>
      <c r="J25" s="58">
        <v>0</v>
      </c>
      <c r="K25" s="58">
        <v>2250</v>
      </c>
      <c r="L25" s="187">
        <v>2250</v>
      </c>
      <c r="M25" s="187">
        <v>0</v>
      </c>
      <c r="N25" s="593">
        <f>K25-L25-M25</f>
        <v>0</v>
      </c>
      <c r="O25" s="301">
        <v>0</v>
      </c>
      <c r="P25" s="594">
        <v>0</v>
      </c>
      <c r="Q25" s="302">
        <v>0</v>
      </c>
      <c r="R25" s="302">
        <v>0</v>
      </c>
      <c r="S25" s="15"/>
      <c r="T25" s="570"/>
      <c r="U25" s="50"/>
      <c r="X25" s="7">
        <v>2250</v>
      </c>
      <c r="Y25" s="600">
        <f t="shared" si="1"/>
        <v>0</v>
      </c>
    </row>
    <row r="26" spans="1:25" s="7" customFormat="1" x14ac:dyDescent="0.2">
      <c r="B26" s="14" t="s">
        <v>233</v>
      </c>
      <c r="C26" s="240" t="s">
        <v>228</v>
      </c>
      <c r="D26" s="14" t="s">
        <v>183</v>
      </c>
      <c r="E26" s="229"/>
      <c r="F26" s="240" t="s">
        <v>247</v>
      </c>
      <c r="G26" s="590"/>
      <c r="H26" s="20"/>
      <c r="I26" s="140"/>
      <c r="J26" s="63">
        <f>SUM(J23:J25)</f>
        <v>70000</v>
      </c>
      <c r="K26" s="63">
        <f>SUM(K23:K25)</f>
        <v>69608</v>
      </c>
      <c r="L26" s="591">
        <f>SUM(L23:L25)</f>
        <v>69198.5</v>
      </c>
      <c r="M26" s="591">
        <f>SUM(M23:M25)</f>
        <v>0</v>
      </c>
      <c r="N26" s="591">
        <f>SUM(N23:N24)</f>
        <v>409.5</v>
      </c>
      <c r="O26" s="591">
        <v>-70000</v>
      </c>
      <c r="P26" s="63">
        <f>SUM(P23:P24)</f>
        <v>0</v>
      </c>
      <c r="Q26" s="591">
        <f>SUM(Q23:Q24)</f>
        <v>0</v>
      </c>
      <c r="R26" s="63">
        <f>SUM(R23:R24)</f>
        <v>0</v>
      </c>
      <c r="S26" s="15"/>
      <c r="T26" s="570"/>
      <c r="U26" s="50"/>
      <c r="Y26" s="600">
        <f t="shared" si="1"/>
        <v>69198.5</v>
      </c>
    </row>
    <row r="27" spans="1:25" s="416" customFormat="1" x14ac:dyDescent="0.2">
      <c r="A27" s="416" t="s">
        <v>302</v>
      </c>
      <c r="B27" s="417" t="s">
        <v>128</v>
      </c>
      <c r="C27" s="418" t="s">
        <v>171</v>
      </c>
      <c r="D27" s="419" t="s">
        <v>60</v>
      </c>
      <c r="E27" s="417"/>
      <c r="F27" s="417" t="s">
        <v>345</v>
      </c>
      <c r="G27" s="420" t="s">
        <v>163</v>
      </c>
      <c r="H27" s="421" t="s">
        <v>369</v>
      </c>
      <c r="I27" s="422"/>
      <c r="J27" s="423">
        <v>0</v>
      </c>
      <c r="K27" s="424">
        <v>0</v>
      </c>
      <c r="L27" s="425">
        <v>0</v>
      </c>
      <c r="M27" s="425">
        <v>0</v>
      </c>
      <c r="N27" s="425">
        <v>0</v>
      </c>
      <c r="O27" s="426">
        <v>0</v>
      </c>
      <c r="P27" s="427">
        <v>0</v>
      </c>
      <c r="Q27" s="428">
        <f>397684-27287</f>
        <v>370397</v>
      </c>
      <c r="R27" s="429">
        <f>SUM(P27:Q27)</f>
        <v>370397</v>
      </c>
      <c r="S27" s="430"/>
      <c r="T27" s="571">
        <v>-27287</v>
      </c>
      <c r="U27" s="431"/>
      <c r="X27" s="7">
        <v>779399.15</v>
      </c>
      <c r="Y27" s="600">
        <f t="shared" si="1"/>
        <v>-779399.15</v>
      </c>
    </row>
    <row r="28" spans="1:25" s="416" customFormat="1" x14ac:dyDescent="0.2">
      <c r="A28" s="416" t="s">
        <v>302</v>
      </c>
      <c r="B28" s="432" t="s">
        <v>128</v>
      </c>
      <c r="C28" s="433" t="s">
        <v>171</v>
      </c>
      <c r="D28" s="434" t="s">
        <v>329</v>
      </c>
      <c r="E28" s="432"/>
      <c r="F28" s="432" t="s">
        <v>345</v>
      </c>
      <c r="G28" s="435" t="s">
        <v>163</v>
      </c>
      <c r="H28" s="436" t="s">
        <v>370</v>
      </c>
      <c r="I28" s="437"/>
      <c r="J28" s="438">
        <v>0</v>
      </c>
      <c r="K28" s="439">
        <v>0</v>
      </c>
      <c r="L28" s="440">
        <v>0</v>
      </c>
      <c r="M28" s="440">
        <v>0</v>
      </c>
      <c r="N28" s="440">
        <f>SUM(K27:K28)-L28-M28</f>
        <v>0</v>
      </c>
      <c r="O28" s="441">
        <v>0</v>
      </c>
      <c r="P28" s="442">
        <v>0</v>
      </c>
      <c r="Q28" s="443">
        <v>82111</v>
      </c>
      <c r="R28" s="536">
        <f>SUM(P28:Q28)</f>
        <v>82111</v>
      </c>
      <c r="S28" s="430"/>
      <c r="T28" s="571"/>
      <c r="U28" s="431"/>
      <c r="X28" s="7">
        <v>779399.15</v>
      </c>
      <c r="Y28" s="600">
        <f t="shared" si="1"/>
        <v>-779399.15</v>
      </c>
    </row>
    <row r="29" spans="1:25" s="322" customFormat="1" x14ac:dyDescent="0.2">
      <c r="A29" s="322" t="s">
        <v>302</v>
      </c>
      <c r="B29" s="312" t="s">
        <v>132</v>
      </c>
      <c r="C29" s="313" t="s">
        <v>127</v>
      </c>
      <c r="D29" s="310" t="s">
        <v>333</v>
      </c>
      <c r="E29" s="312"/>
      <c r="F29" s="314" t="s">
        <v>345</v>
      </c>
      <c r="G29" s="315" t="s">
        <v>154</v>
      </c>
      <c r="H29" s="316" t="s">
        <v>371</v>
      </c>
      <c r="I29" s="407"/>
      <c r="J29" s="317">
        <v>0</v>
      </c>
      <c r="K29" s="317">
        <v>0</v>
      </c>
      <c r="L29" s="318">
        <v>0</v>
      </c>
      <c r="M29" s="318">
        <v>0</v>
      </c>
      <c r="N29" s="318">
        <v>0</v>
      </c>
      <c r="O29" s="319">
        <v>0</v>
      </c>
      <c r="P29" s="320">
        <v>0</v>
      </c>
      <c r="Q29" s="380">
        <v>2343</v>
      </c>
      <c r="R29" s="167">
        <f t="shared" ref="R29:R32" si="8">SUM(P29:Q29)</f>
        <v>2343</v>
      </c>
      <c r="S29" s="321"/>
      <c r="T29" s="572"/>
      <c r="U29" s="323"/>
      <c r="X29" s="7">
        <v>177854.54</v>
      </c>
      <c r="Y29" s="600">
        <f t="shared" si="1"/>
        <v>-177854.54</v>
      </c>
    </row>
    <row r="30" spans="1:25" s="322" customFormat="1" x14ac:dyDescent="0.2">
      <c r="A30" s="322" t="s">
        <v>302</v>
      </c>
      <c r="B30" s="324" t="s">
        <v>132</v>
      </c>
      <c r="C30" s="325" t="s">
        <v>127</v>
      </c>
      <c r="D30" s="311" t="s">
        <v>334</v>
      </c>
      <c r="E30" s="324"/>
      <c r="F30" s="326" t="s">
        <v>345</v>
      </c>
      <c r="G30" s="327" t="s">
        <v>154</v>
      </c>
      <c r="H30" s="328" t="s">
        <v>372</v>
      </c>
      <c r="I30" s="408"/>
      <c r="J30" s="329">
        <v>0</v>
      </c>
      <c r="K30" s="329">
        <v>0</v>
      </c>
      <c r="L30" s="330">
        <v>0</v>
      </c>
      <c r="M30" s="330">
        <v>0</v>
      </c>
      <c r="N30" s="330">
        <f>SUM(J29:J30)-L30-M30</f>
        <v>0</v>
      </c>
      <c r="O30" s="331">
        <v>0</v>
      </c>
      <c r="P30" s="332">
        <v>0</v>
      </c>
      <c r="Q30" s="379">
        <v>5670</v>
      </c>
      <c r="R30" s="391">
        <f t="shared" si="8"/>
        <v>5670</v>
      </c>
      <c r="S30" s="321"/>
      <c r="T30" s="572"/>
      <c r="U30" s="323"/>
      <c r="X30" s="7">
        <v>177854.54</v>
      </c>
      <c r="Y30" s="600">
        <f t="shared" si="1"/>
        <v>-177854.54</v>
      </c>
    </row>
    <row r="31" spans="1:25" s="446" customFormat="1" x14ac:dyDescent="0.2">
      <c r="A31" s="446" t="s">
        <v>302</v>
      </c>
      <c r="B31" s="447" t="s">
        <v>132</v>
      </c>
      <c r="C31" s="448" t="s">
        <v>127</v>
      </c>
      <c r="D31" s="449" t="s">
        <v>66</v>
      </c>
      <c r="E31" s="450"/>
      <c r="F31" s="451" t="s">
        <v>345</v>
      </c>
      <c r="G31" s="452" t="s">
        <v>154</v>
      </c>
      <c r="H31" s="453" t="s">
        <v>373</v>
      </c>
      <c r="I31" s="454"/>
      <c r="J31" s="455">
        <v>0</v>
      </c>
      <c r="K31" s="456">
        <v>0</v>
      </c>
      <c r="L31" s="457">
        <v>0</v>
      </c>
      <c r="M31" s="457">
        <v>0</v>
      </c>
      <c r="N31" s="457">
        <v>0</v>
      </c>
      <c r="O31" s="458">
        <v>0</v>
      </c>
      <c r="P31" s="459">
        <v>0</v>
      </c>
      <c r="Q31" s="460">
        <v>75190</v>
      </c>
      <c r="R31" s="459">
        <f t="shared" si="8"/>
        <v>75190</v>
      </c>
      <c r="S31" s="461"/>
      <c r="T31" s="573"/>
      <c r="U31" s="462"/>
      <c r="X31" s="7">
        <v>113705.4</v>
      </c>
      <c r="Y31" s="600">
        <f t="shared" si="1"/>
        <v>-113705.4</v>
      </c>
    </row>
    <row r="32" spans="1:25" s="446" customFormat="1" ht="15.75" thickBot="1" x14ac:dyDescent="0.25">
      <c r="A32" s="446" t="s">
        <v>302</v>
      </c>
      <c r="B32" s="463" t="s">
        <v>132</v>
      </c>
      <c r="C32" s="464" t="s">
        <v>127</v>
      </c>
      <c r="D32" s="465" t="s">
        <v>335</v>
      </c>
      <c r="E32" s="463"/>
      <c r="F32" s="466" t="s">
        <v>345</v>
      </c>
      <c r="G32" s="467" t="s">
        <v>154</v>
      </c>
      <c r="H32" s="468" t="s">
        <v>374</v>
      </c>
      <c r="I32" s="468"/>
      <c r="J32" s="469">
        <v>0</v>
      </c>
      <c r="K32" s="469">
        <v>0</v>
      </c>
      <c r="L32" s="470">
        <v>0</v>
      </c>
      <c r="M32" s="470">
        <v>0</v>
      </c>
      <c r="N32" s="470">
        <f>SUM(K31:K32)-L32-M32</f>
        <v>0</v>
      </c>
      <c r="O32" s="471">
        <v>0</v>
      </c>
      <c r="P32" s="472">
        <v>0</v>
      </c>
      <c r="Q32" s="473">
        <v>11259</v>
      </c>
      <c r="R32" s="472">
        <f t="shared" si="8"/>
        <v>11259</v>
      </c>
      <c r="S32" s="461"/>
      <c r="T32" s="573"/>
      <c r="U32" s="462"/>
      <c r="X32" s="7">
        <v>113705.4</v>
      </c>
      <c r="Y32" s="600">
        <f t="shared" si="1"/>
        <v>-113705.4</v>
      </c>
    </row>
    <row r="33" spans="1:25" s="74" customFormat="1" ht="15.75" thickBot="1" x14ac:dyDescent="0.25">
      <c r="B33" s="120"/>
      <c r="C33" s="121"/>
      <c r="D33" s="122"/>
      <c r="E33" s="122"/>
      <c r="F33" s="122"/>
      <c r="G33" s="122"/>
      <c r="H33" s="123" t="s">
        <v>209</v>
      </c>
      <c r="I33" s="123"/>
      <c r="J33" s="124">
        <f>SUM(J6,J11:J17,J22,J26:J32)</f>
        <v>250191</v>
      </c>
      <c r="K33" s="124">
        <f>SUM(K6,K11:K17,K22,K26:K32)</f>
        <v>250191</v>
      </c>
      <c r="L33" s="125">
        <f t="shared" ref="L33:R33" si="9">SUM(L6,L11:L17,L22,L26:L32)</f>
        <v>231401.22999999998</v>
      </c>
      <c r="M33" s="125">
        <f t="shared" si="9"/>
        <v>0</v>
      </c>
      <c r="N33" s="601">
        <f t="shared" si="9"/>
        <v>18789.77</v>
      </c>
      <c r="O33" s="125">
        <f t="shared" si="9"/>
        <v>-106500</v>
      </c>
      <c r="P33" s="124">
        <f t="shared" si="9"/>
        <v>143691</v>
      </c>
      <c r="Q33" s="125">
        <f t="shared" si="9"/>
        <v>598943</v>
      </c>
      <c r="R33" s="124">
        <f t="shared" si="9"/>
        <v>742634</v>
      </c>
      <c r="S33" s="94"/>
      <c r="T33" s="569"/>
      <c r="U33" s="78"/>
      <c r="X33" s="7"/>
      <c r="Y33" s="600">
        <f t="shared" si="1"/>
        <v>231401.22999999998</v>
      </c>
    </row>
    <row r="34" spans="1:25" s="134" customFormat="1" ht="17.25" customHeight="1" x14ac:dyDescent="0.2">
      <c r="B34" s="127"/>
      <c r="C34" s="128"/>
      <c r="D34" s="129"/>
      <c r="E34" s="129"/>
      <c r="F34" s="127"/>
      <c r="G34" s="127"/>
      <c r="H34" s="130"/>
      <c r="I34" s="130"/>
      <c r="J34" s="521" t="s">
        <v>340</v>
      </c>
      <c r="K34" s="131"/>
      <c r="L34" s="131"/>
      <c r="M34" s="131"/>
      <c r="N34" s="131"/>
      <c r="O34" s="521" t="s">
        <v>340</v>
      </c>
      <c r="P34" s="521" t="s">
        <v>340</v>
      </c>
      <c r="Q34" s="131"/>
      <c r="R34" s="131"/>
      <c r="S34" s="132"/>
      <c r="T34" s="574"/>
      <c r="U34" s="133"/>
      <c r="X34" s="7"/>
      <c r="Y34" s="600">
        <f t="shared" si="1"/>
        <v>0</v>
      </c>
    </row>
    <row r="35" spans="1:25" s="135" customFormat="1" ht="15.75" thickBot="1" x14ac:dyDescent="0.25">
      <c r="B35" s="356" t="s">
        <v>177</v>
      </c>
      <c r="C35" s="134"/>
      <c r="F35" s="134"/>
      <c r="G35" s="134"/>
      <c r="H35" s="134"/>
      <c r="I35" s="134"/>
      <c r="J35" s="136"/>
      <c r="K35" s="136"/>
      <c r="L35" s="136"/>
      <c r="M35" s="136"/>
      <c r="N35" s="136"/>
      <c r="O35" s="136"/>
      <c r="P35" s="136"/>
      <c r="Q35" s="136"/>
      <c r="R35" s="136"/>
      <c r="S35" s="137"/>
      <c r="T35" s="575"/>
      <c r="U35" s="133"/>
      <c r="X35" s="7"/>
      <c r="Y35" s="600">
        <f t="shared" si="1"/>
        <v>0</v>
      </c>
    </row>
    <row r="36" spans="1:25" x14ac:dyDescent="0.2">
      <c r="B36" s="79" t="s">
        <v>118</v>
      </c>
      <c r="C36" s="80"/>
      <c r="D36" s="138"/>
      <c r="E36" s="81"/>
      <c r="F36" s="80"/>
      <c r="G36" s="80"/>
      <c r="H36" s="80"/>
      <c r="I36" s="80"/>
      <c r="J36" s="82" t="s">
        <v>117</v>
      </c>
      <c r="K36" s="83">
        <v>0.90909090909090906</v>
      </c>
      <c r="L36" s="84" t="s">
        <v>123</v>
      </c>
      <c r="M36" s="84"/>
      <c r="N36" s="84" t="s">
        <v>124</v>
      </c>
      <c r="O36" s="85" t="s">
        <v>121</v>
      </c>
      <c r="P36" s="86" t="s">
        <v>58</v>
      </c>
      <c r="Q36" s="85" t="s">
        <v>121</v>
      </c>
      <c r="R36" s="86" t="s">
        <v>58</v>
      </c>
      <c r="X36" s="7"/>
      <c r="Y36" s="600" t="e">
        <f t="shared" si="1"/>
        <v>#VALUE!</v>
      </c>
    </row>
    <row r="37" spans="1:25" s="74" customFormat="1" ht="15.75" thickBot="1" x14ac:dyDescent="0.25">
      <c r="B37" s="87" t="s">
        <v>148</v>
      </c>
      <c r="C37" s="88" t="s">
        <v>125</v>
      </c>
      <c r="D37" s="139" t="s">
        <v>61</v>
      </c>
      <c r="E37" s="88" t="s">
        <v>250</v>
      </c>
      <c r="F37" s="88" t="s">
        <v>147</v>
      </c>
      <c r="G37" s="88" t="s">
        <v>149</v>
      </c>
      <c r="H37" s="88" t="s">
        <v>62</v>
      </c>
      <c r="I37" s="88"/>
      <c r="J37" s="89" t="s">
        <v>120</v>
      </c>
      <c r="K37" s="90" t="s">
        <v>272</v>
      </c>
      <c r="L37" s="91" t="s">
        <v>342</v>
      </c>
      <c r="M37" s="91" t="s">
        <v>119</v>
      </c>
      <c r="N37" s="91" t="s">
        <v>118</v>
      </c>
      <c r="O37" s="92" t="s">
        <v>122</v>
      </c>
      <c r="P37" s="93" t="s">
        <v>59</v>
      </c>
      <c r="Q37" s="92" t="s">
        <v>122</v>
      </c>
      <c r="R37" s="93" t="s">
        <v>120</v>
      </c>
      <c r="S37" s="94"/>
      <c r="T37" s="569"/>
      <c r="U37" s="78"/>
      <c r="X37" s="7"/>
      <c r="Y37" s="600" t="e">
        <f t="shared" si="1"/>
        <v>#VALUE!</v>
      </c>
    </row>
    <row r="38" spans="1:25" s="7" customFormat="1" x14ac:dyDescent="0.2">
      <c r="B38" s="235"/>
      <c r="C38" s="241"/>
      <c r="D38" s="242" t="s">
        <v>180</v>
      </c>
      <c r="E38" s="237"/>
      <c r="F38" s="243"/>
      <c r="G38" s="116"/>
      <c r="H38" s="26" t="s">
        <v>193</v>
      </c>
      <c r="I38" s="26" t="s">
        <v>357</v>
      </c>
      <c r="J38" s="57">
        <v>1100</v>
      </c>
      <c r="K38" s="58">
        <v>1100</v>
      </c>
      <c r="L38" s="59">
        <v>1146</v>
      </c>
      <c r="M38" s="59">
        <v>0</v>
      </c>
      <c r="N38" s="60">
        <f t="shared" ref="N38:N39" si="10">K38-L38-M38</f>
        <v>-46</v>
      </c>
      <c r="O38" s="61">
        <v>0</v>
      </c>
      <c r="P38" s="59">
        <v>1100</v>
      </c>
      <c r="Q38" s="383">
        <v>0</v>
      </c>
      <c r="R38" s="192">
        <f t="shared" ref="R38:R44" si="11">SUM(P38:Q38)</f>
        <v>1100</v>
      </c>
      <c r="S38" s="15"/>
      <c r="T38" s="570"/>
      <c r="U38" s="50"/>
      <c r="X38" s="7">
        <v>1146.42</v>
      </c>
      <c r="Y38" s="600">
        <f t="shared" si="1"/>
        <v>-0.42000000000007276</v>
      </c>
    </row>
    <row r="39" spans="1:25" s="7" customFormat="1" x14ac:dyDescent="0.2">
      <c r="B39" s="235"/>
      <c r="C39" s="241"/>
      <c r="D39" s="242" t="s">
        <v>180</v>
      </c>
      <c r="E39" s="237"/>
      <c r="F39" s="243"/>
      <c r="G39" s="116"/>
      <c r="H39" s="26" t="s">
        <v>194</v>
      </c>
      <c r="I39" s="26" t="s">
        <v>357</v>
      </c>
      <c r="J39" s="57">
        <v>3300</v>
      </c>
      <c r="K39" s="58">
        <v>3300</v>
      </c>
      <c r="L39" s="59">
        <v>3300</v>
      </c>
      <c r="M39" s="59">
        <v>0</v>
      </c>
      <c r="N39" s="60">
        <f t="shared" si="10"/>
        <v>0</v>
      </c>
      <c r="O39" s="61">
        <v>0</v>
      </c>
      <c r="P39" s="59">
        <v>3300</v>
      </c>
      <c r="Q39" s="60">
        <v>0</v>
      </c>
      <c r="R39" s="192">
        <f t="shared" si="11"/>
        <v>3300</v>
      </c>
      <c r="S39" s="15"/>
      <c r="T39" s="570"/>
      <c r="U39" s="50"/>
      <c r="X39" s="7">
        <v>3300</v>
      </c>
      <c r="Y39" s="600">
        <f t="shared" si="1"/>
        <v>0</v>
      </c>
    </row>
    <row r="40" spans="1:25" s="7" customFormat="1" x14ac:dyDescent="0.2">
      <c r="B40" s="244" t="s">
        <v>294</v>
      </c>
      <c r="C40" s="245" t="s">
        <v>245</v>
      </c>
      <c r="D40" s="246" t="s">
        <v>276</v>
      </c>
      <c r="E40" s="244"/>
      <c r="F40" s="247"/>
      <c r="G40" s="140" t="s">
        <v>163</v>
      </c>
      <c r="H40" s="8"/>
      <c r="I40" s="8"/>
      <c r="J40" s="53">
        <f>SUM(J38:J39)</f>
        <v>4400</v>
      </c>
      <c r="K40" s="53">
        <f>SUM(K38:K39)</f>
        <v>4400</v>
      </c>
      <c r="L40" s="487">
        <f>SUM(L38:L39)</f>
        <v>4446</v>
      </c>
      <c r="M40" s="487">
        <f t="shared" ref="M40:N40" si="12">SUM(M38:M39)</f>
        <v>0</v>
      </c>
      <c r="N40" s="487">
        <f t="shared" si="12"/>
        <v>-46</v>
      </c>
      <c r="O40" s="487">
        <v>0</v>
      </c>
      <c r="P40" s="62">
        <v>4400</v>
      </c>
      <c r="Q40" s="65">
        <v>0</v>
      </c>
      <c r="R40" s="192">
        <f t="shared" si="11"/>
        <v>4400</v>
      </c>
      <c r="S40" s="15"/>
      <c r="T40" s="570"/>
      <c r="U40" s="50"/>
      <c r="Y40" s="600">
        <f t="shared" si="1"/>
        <v>4446</v>
      </c>
    </row>
    <row r="41" spans="1:25" s="7" customFormat="1" ht="12" customHeight="1" x14ac:dyDescent="0.2">
      <c r="B41" s="235"/>
      <c r="C41" s="236"/>
      <c r="D41" s="248" t="s">
        <v>182</v>
      </c>
      <c r="E41" s="249"/>
      <c r="F41" s="235"/>
      <c r="G41" s="116"/>
      <c r="H41" s="26" t="s">
        <v>196</v>
      </c>
      <c r="I41" s="26" t="s">
        <v>357</v>
      </c>
      <c r="J41" s="57">
        <v>660</v>
      </c>
      <c r="K41" s="58">
        <v>2960</v>
      </c>
      <c r="L41" s="59">
        <v>2914</v>
      </c>
      <c r="M41" s="59">
        <v>0</v>
      </c>
      <c r="N41" s="60">
        <f>K41-L41-M41</f>
        <v>46</v>
      </c>
      <c r="O41" s="61">
        <v>0</v>
      </c>
      <c r="P41" s="56">
        <v>660</v>
      </c>
      <c r="Q41" s="374">
        <v>0</v>
      </c>
      <c r="R41" s="192">
        <f t="shared" si="11"/>
        <v>660</v>
      </c>
      <c r="S41" s="15"/>
      <c r="T41" s="570"/>
      <c r="U41" s="50"/>
      <c r="X41" s="7">
        <v>2913.58</v>
      </c>
      <c r="Y41" s="600">
        <f t="shared" si="1"/>
        <v>0.42000000000007276</v>
      </c>
    </row>
    <row r="42" spans="1:25" s="7" customFormat="1" x14ac:dyDescent="0.2">
      <c r="B42" s="235"/>
      <c r="C42" s="236"/>
      <c r="D42" s="248" t="s">
        <v>182</v>
      </c>
      <c r="E42" s="249"/>
      <c r="F42" s="236"/>
      <c r="G42" s="117"/>
      <c r="H42" s="26" t="s">
        <v>197</v>
      </c>
      <c r="I42" s="26" t="s">
        <v>357</v>
      </c>
      <c r="J42" s="57">
        <v>440</v>
      </c>
      <c r="K42" s="58">
        <v>440</v>
      </c>
      <c r="L42" s="59">
        <v>440</v>
      </c>
      <c r="M42" s="59">
        <v>0</v>
      </c>
      <c r="N42" s="60">
        <f t="shared" ref="N42:N43" si="13">K42-L42-M42</f>
        <v>0</v>
      </c>
      <c r="O42" s="61">
        <v>0</v>
      </c>
      <c r="P42" s="56">
        <v>440</v>
      </c>
      <c r="Q42" s="374">
        <v>0</v>
      </c>
      <c r="R42" s="192">
        <f t="shared" si="11"/>
        <v>440</v>
      </c>
      <c r="S42" s="15"/>
      <c r="T42" s="570"/>
      <c r="U42" s="50"/>
      <c r="X42" s="7">
        <v>440</v>
      </c>
      <c r="Y42" s="600">
        <f t="shared" si="1"/>
        <v>0</v>
      </c>
    </row>
    <row r="43" spans="1:25" s="7" customFormat="1" x14ac:dyDescent="0.2">
      <c r="B43" s="235"/>
      <c r="C43" s="236"/>
      <c r="D43" s="248" t="s">
        <v>182</v>
      </c>
      <c r="E43" s="249"/>
      <c r="F43" s="236"/>
      <c r="G43" s="117"/>
      <c r="H43" s="26" t="s">
        <v>198</v>
      </c>
      <c r="I43" s="26" t="s">
        <v>357</v>
      </c>
      <c r="J43" s="57">
        <v>3300</v>
      </c>
      <c r="K43" s="58">
        <v>1000</v>
      </c>
      <c r="L43" s="59">
        <v>1000</v>
      </c>
      <c r="M43" s="59">
        <v>0</v>
      </c>
      <c r="N43" s="60">
        <f t="shared" si="13"/>
        <v>0</v>
      </c>
      <c r="O43" s="61">
        <v>0</v>
      </c>
      <c r="P43" s="56">
        <v>3300</v>
      </c>
      <c r="Q43" s="374">
        <v>0</v>
      </c>
      <c r="R43" s="192">
        <f t="shared" si="11"/>
        <v>3300</v>
      </c>
      <c r="S43" s="15"/>
      <c r="T43" s="570"/>
      <c r="U43" s="50"/>
      <c r="X43" s="7">
        <v>1000</v>
      </c>
      <c r="Y43" s="600">
        <f t="shared" si="1"/>
        <v>0</v>
      </c>
    </row>
    <row r="44" spans="1:25" s="7" customFormat="1" x14ac:dyDescent="0.2">
      <c r="B44" s="14" t="s">
        <v>294</v>
      </c>
      <c r="C44" s="240" t="s">
        <v>245</v>
      </c>
      <c r="D44" s="13" t="s">
        <v>182</v>
      </c>
      <c r="E44" s="250"/>
      <c r="F44" s="251"/>
      <c r="G44" s="304" t="s">
        <v>163</v>
      </c>
      <c r="H44" s="8"/>
      <c r="I44" s="8"/>
      <c r="J44" s="63">
        <f>SUM(J41:J43)</f>
        <v>4400</v>
      </c>
      <c r="K44" s="63">
        <f>SUM(K41:K43)</f>
        <v>4400</v>
      </c>
      <c r="L44" s="64">
        <f>SUM(L41:L43)</f>
        <v>4354</v>
      </c>
      <c r="M44" s="64">
        <f>SUM(M41:M43)</f>
        <v>0</v>
      </c>
      <c r="N44" s="65">
        <f>SUM(N41:N43)</f>
        <v>46</v>
      </c>
      <c r="O44" s="64">
        <v>0</v>
      </c>
      <c r="P44" s="561">
        <v>4400</v>
      </c>
      <c r="Q44" s="375">
        <v>0</v>
      </c>
      <c r="R44" s="192">
        <f t="shared" si="11"/>
        <v>4400</v>
      </c>
      <c r="S44" s="15"/>
      <c r="T44" s="570"/>
      <c r="U44" s="50"/>
      <c r="Y44" s="600">
        <f t="shared" si="1"/>
        <v>4354</v>
      </c>
    </row>
    <row r="45" spans="1:25" s="7" customFormat="1" x14ac:dyDescent="0.2">
      <c r="A45" s="7" t="s">
        <v>302</v>
      </c>
      <c r="B45" s="259" t="s">
        <v>132</v>
      </c>
      <c r="C45" s="252" t="s">
        <v>245</v>
      </c>
      <c r="D45" s="253" t="s">
        <v>279</v>
      </c>
      <c r="E45" s="254"/>
      <c r="F45" s="227"/>
      <c r="G45" s="5" t="s">
        <v>154</v>
      </c>
      <c r="H45" s="23" t="s">
        <v>184</v>
      </c>
      <c r="I45" s="23" t="s">
        <v>357</v>
      </c>
      <c r="J45" s="66">
        <v>7500</v>
      </c>
      <c r="K45" s="66">
        <v>7500</v>
      </c>
      <c r="L45" s="67">
        <v>7500</v>
      </c>
      <c r="M45" s="67">
        <v>0</v>
      </c>
      <c r="N45" s="65">
        <f>K45-L45-M45</f>
        <v>0</v>
      </c>
      <c r="O45" s="68">
        <v>-7500</v>
      </c>
      <c r="P45" s="51">
        <v>0</v>
      </c>
      <c r="Q45" s="375">
        <v>7500</v>
      </c>
      <c r="R45" s="192">
        <f t="shared" ref="R45:R54" si="14">SUM(P45:Q45)</f>
        <v>7500</v>
      </c>
      <c r="S45" s="15"/>
      <c r="T45" s="570"/>
      <c r="U45" s="50"/>
      <c r="X45" s="7">
        <v>7500</v>
      </c>
      <c r="Y45" s="600">
        <f t="shared" si="1"/>
        <v>0</v>
      </c>
    </row>
    <row r="46" spans="1:25" s="7" customFormat="1" x14ac:dyDescent="0.2">
      <c r="B46" s="6" t="s">
        <v>234</v>
      </c>
      <c r="C46" s="12" t="s">
        <v>245</v>
      </c>
      <c r="D46" s="13" t="s">
        <v>278</v>
      </c>
      <c r="E46" s="250"/>
      <c r="F46" s="6" t="s">
        <v>349</v>
      </c>
      <c r="G46" s="5" t="s">
        <v>150</v>
      </c>
      <c r="H46" s="16" t="s">
        <v>185</v>
      </c>
      <c r="I46" s="16" t="s">
        <v>357</v>
      </c>
      <c r="J46" s="52">
        <v>34000</v>
      </c>
      <c r="K46" s="306">
        <v>33600</v>
      </c>
      <c r="L46" s="294">
        <v>12863</v>
      </c>
      <c r="M46" s="54">
        <v>0</v>
      </c>
      <c r="N46" s="65">
        <f>K46-L46-M46</f>
        <v>20737</v>
      </c>
      <c r="O46" s="55">
        <v>0</v>
      </c>
      <c r="P46" s="51">
        <v>34000</v>
      </c>
      <c r="Q46" s="375">
        <v>-800</v>
      </c>
      <c r="R46" s="192">
        <f t="shared" si="14"/>
        <v>33200</v>
      </c>
      <c r="S46" s="15"/>
      <c r="T46" s="570">
        <v>-800</v>
      </c>
      <c r="U46" s="50"/>
      <c r="X46" s="7">
        <v>0</v>
      </c>
      <c r="Y46" s="600">
        <f t="shared" si="1"/>
        <v>12863</v>
      </c>
    </row>
    <row r="47" spans="1:25" s="7" customFormat="1" x14ac:dyDescent="0.2">
      <c r="B47" s="6" t="s">
        <v>234</v>
      </c>
      <c r="C47" s="12" t="s">
        <v>245</v>
      </c>
      <c r="D47" s="13" t="s">
        <v>178</v>
      </c>
      <c r="E47" s="14"/>
      <c r="F47" s="6" t="s">
        <v>281</v>
      </c>
      <c r="G47" s="5" t="s">
        <v>150</v>
      </c>
      <c r="H47" s="16" t="s">
        <v>186</v>
      </c>
      <c r="I47" s="16" t="s">
        <v>357</v>
      </c>
      <c r="J47" s="52">
        <v>10000</v>
      </c>
      <c r="K47" s="53">
        <v>10000</v>
      </c>
      <c r="L47" s="54">
        <v>44000</v>
      </c>
      <c r="M47" s="54">
        <v>0</v>
      </c>
      <c r="N47" s="349">
        <f t="shared" ref="N47:N50" si="15">K47-L47-M47</f>
        <v>-34000</v>
      </c>
      <c r="O47" s="55">
        <v>1000</v>
      </c>
      <c r="P47" s="51">
        <v>11000</v>
      </c>
      <c r="Q47" s="375">
        <v>0</v>
      </c>
      <c r="R47" s="192">
        <f t="shared" si="14"/>
        <v>11000</v>
      </c>
      <c r="S47" s="15">
        <v>11</v>
      </c>
      <c r="T47" s="570"/>
      <c r="U47" s="50"/>
      <c r="X47" s="7">
        <v>44000</v>
      </c>
      <c r="Y47" s="600">
        <f t="shared" si="1"/>
        <v>0</v>
      </c>
    </row>
    <row r="48" spans="1:25" s="7" customFormat="1" x14ac:dyDescent="0.2">
      <c r="B48" s="231" t="s">
        <v>263</v>
      </c>
      <c r="C48" s="255" t="s">
        <v>245</v>
      </c>
      <c r="D48" s="231" t="s">
        <v>293</v>
      </c>
      <c r="E48" s="256" t="s">
        <v>199</v>
      </c>
      <c r="F48" s="231"/>
      <c r="G48" s="33" t="s">
        <v>154</v>
      </c>
      <c r="H48" s="24" t="s">
        <v>274</v>
      </c>
      <c r="I48" s="24" t="s">
        <v>357</v>
      </c>
      <c r="J48" s="69">
        <v>34052</v>
      </c>
      <c r="K48" s="70">
        <v>34052</v>
      </c>
      <c r="L48" s="71">
        <f>34052+9.68</f>
        <v>34061.68</v>
      </c>
      <c r="M48" s="71">
        <v>0</v>
      </c>
      <c r="N48" s="349">
        <f t="shared" si="15"/>
        <v>-9.680000000000291</v>
      </c>
      <c r="O48" s="72">
        <v>0</v>
      </c>
      <c r="P48" s="51">
        <v>34052</v>
      </c>
      <c r="Q48" s="375">
        <v>2209</v>
      </c>
      <c r="R48" s="192">
        <f t="shared" si="14"/>
        <v>36261</v>
      </c>
      <c r="S48" s="15"/>
      <c r="T48" s="570">
        <v>2209</v>
      </c>
      <c r="U48" s="50"/>
      <c r="X48" s="7">
        <v>34052</v>
      </c>
      <c r="Y48" s="600">
        <f t="shared" si="1"/>
        <v>9.680000000000291</v>
      </c>
    </row>
    <row r="49" spans="1:25" s="7" customFormat="1" ht="13.5" customHeight="1" x14ac:dyDescent="0.2">
      <c r="B49" s="6" t="s">
        <v>262</v>
      </c>
      <c r="C49" s="12" t="s">
        <v>245</v>
      </c>
      <c r="D49" s="13" t="s">
        <v>235</v>
      </c>
      <c r="E49" s="14" t="s">
        <v>201</v>
      </c>
      <c r="F49" s="6"/>
      <c r="G49" s="5" t="s">
        <v>268</v>
      </c>
      <c r="H49" s="16" t="s">
        <v>188</v>
      </c>
      <c r="I49" s="16" t="s">
        <v>357</v>
      </c>
      <c r="J49" s="52">
        <v>73090</v>
      </c>
      <c r="K49" s="53">
        <v>73090</v>
      </c>
      <c r="L49" s="54">
        <v>73090</v>
      </c>
      <c r="M49" s="54">
        <v>0</v>
      </c>
      <c r="N49" s="65">
        <f t="shared" si="15"/>
        <v>0</v>
      </c>
      <c r="O49" s="55">
        <v>0</v>
      </c>
      <c r="P49" s="51">
        <v>73090</v>
      </c>
      <c r="Q49" s="375">
        <v>37478</v>
      </c>
      <c r="R49" s="192">
        <f t="shared" si="14"/>
        <v>110568</v>
      </c>
      <c r="S49" s="15"/>
      <c r="T49" s="570">
        <v>37478</v>
      </c>
      <c r="U49" s="50"/>
      <c r="X49" s="7">
        <v>73090</v>
      </c>
      <c r="Y49" s="600">
        <f t="shared" si="1"/>
        <v>0</v>
      </c>
    </row>
    <row r="50" spans="1:25" s="7" customFormat="1" x14ac:dyDescent="0.2">
      <c r="B50" s="6" t="s">
        <v>262</v>
      </c>
      <c r="C50" s="12" t="s">
        <v>245</v>
      </c>
      <c r="D50" s="13" t="s">
        <v>204</v>
      </c>
      <c r="E50" s="14"/>
      <c r="F50" s="14" t="s">
        <v>200</v>
      </c>
      <c r="G50" s="5" t="s">
        <v>150</v>
      </c>
      <c r="H50" s="16" t="s">
        <v>187</v>
      </c>
      <c r="I50" s="16" t="s">
        <v>357</v>
      </c>
      <c r="J50" s="52">
        <v>24375</v>
      </c>
      <c r="K50" s="53">
        <v>24375</v>
      </c>
      <c r="L50" s="54">
        <f>24375+1629+286.37+50+160+256</f>
        <v>26756.37</v>
      </c>
      <c r="M50" s="54">
        <v>0</v>
      </c>
      <c r="N50" s="65">
        <f t="shared" si="15"/>
        <v>-2381.369999999999</v>
      </c>
      <c r="O50" s="55">
        <v>250</v>
      </c>
      <c r="P50" s="51">
        <v>24625</v>
      </c>
      <c r="Q50" s="375">
        <v>0</v>
      </c>
      <c r="R50" s="192">
        <f t="shared" si="14"/>
        <v>24625</v>
      </c>
      <c r="S50" s="15"/>
      <c r="T50" s="570"/>
      <c r="U50" s="50"/>
      <c r="X50" s="7">
        <v>24375</v>
      </c>
      <c r="Y50" s="600">
        <f t="shared" si="1"/>
        <v>2381.369999999999</v>
      </c>
    </row>
    <row r="51" spans="1:25" s="7" customFormat="1" x14ac:dyDescent="0.2">
      <c r="B51" s="6" t="s">
        <v>244</v>
      </c>
      <c r="C51" s="12" t="s">
        <v>245</v>
      </c>
      <c r="D51" s="13" t="s">
        <v>308</v>
      </c>
      <c r="E51" s="250"/>
      <c r="F51" s="234"/>
      <c r="G51" s="5" t="s">
        <v>163</v>
      </c>
      <c r="H51" s="16" t="s">
        <v>305</v>
      </c>
      <c r="I51" s="16" t="s">
        <v>357</v>
      </c>
      <c r="J51" s="52">
        <v>0</v>
      </c>
      <c r="K51" s="53">
        <v>17453</v>
      </c>
      <c r="L51" s="54">
        <v>17453</v>
      </c>
      <c r="M51" s="54">
        <v>0</v>
      </c>
      <c r="N51" s="65">
        <f>K51-L51-M51</f>
        <v>0</v>
      </c>
      <c r="O51" s="55">
        <v>0</v>
      </c>
      <c r="P51" s="51">
        <v>17453</v>
      </c>
      <c r="Q51" s="375">
        <v>0</v>
      </c>
      <c r="R51" s="192">
        <f t="shared" si="14"/>
        <v>17453</v>
      </c>
      <c r="S51" s="15">
        <v>12</v>
      </c>
      <c r="T51" s="570"/>
      <c r="U51" s="50"/>
      <c r="X51" s="7">
        <v>17453</v>
      </c>
      <c r="Y51" s="600">
        <f t="shared" si="1"/>
        <v>0</v>
      </c>
    </row>
    <row r="52" spans="1:25" s="7" customFormat="1" x14ac:dyDescent="0.2">
      <c r="B52" s="6" t="s">
        <v>244</v>
      </c>
      <c r="C52" s="12" t="s">
        <v>245</v>
      </c>
      <c r="D52" s="13" t="s">
        <v>309</v>
      </c>
      <c r="E52" s="250"/>
      <c r="F52" s="234"/>
      <c r="G52" s="5" t="s">
        <v>163</v>
      </c>
      <c r="H52" s="16" t="s">
        <v>195</v>
      </c>
      <c r="I52" s="16"/>
      <c r="J52" s="52">
        <v>17453</v>
      </c>
      <c r="K52" s="53">
        <v>0</v>
      </c>
      <c r="L52" s="54">
        <v>0</v>
      </c>
      <c r="M52" s="54">
        <v>0</v>
      </c>
      <c r="N52" s="65">
        <f>K52-L52-M52</f>
        <v>0</v>
      </c>
      <c r="O52" s="55">
        <v>0</v>
      </c>
      <c r="P52" s="51">
        <v>0</v>
      </c>
      <c r="Q52" s="375">
        <v>0</v>
      </c>
      <c r="R52" s="192">
        <f t="shared" si="14"/>
        <v>0</v>
      </c>
      <c r="S52" s="15">
        <v>12</v>
      </c>
      <c r="T52" s="570"/>
      <c r="U52" s="50"/>
      <c r="X52" s="7">
        <v>0</v>
      </c>
      <c r="Y52" s="600">
        <f t="shared" si="1"/>
        <v>0</v>
      </c>
    </row>
    <row r="53" spans="1:25" s="7" customFormat="1" x14ac:dyDescent="0.2">
      <c r="B53" s="235"/>
      <c r="C53" s="236"/>
      <c r="D53" s="248" t="s">
        <v>183</v>
      </c>
      <c r="E53" s="249"/>
      <c r="F53" s="257"/>
      <c r="G53" s="117"/>
      <c r="H53" s="25" t="s">
        <v>248</v>
      </c>
      <c r="I53" s="25" t="s">
        <v>357</v>
      </c>
      <c r="J53" s="57">
        <v>3860</v>
      </c>
      <c r="K53" s="58">
        <v>4360</v>
      </c>
      <c r="L53" s="59">
        <v>4335</v>
      </c>
      <c r="M53" s="59"/>
      <c r="N53" s="60">
        <f>SUM(K53-L53-M53)</f>
        <v>25</v>
      </c>
      <c r="O53" s="61">
        <v>-3860</v>
      </c>
      <c r="P53" s="56">
        <v>0</v>
      </c>
      <c r="Q53" s="374">
        <v>0</v>
      </c>
      <c r="R53" s="192">
        <f t="shared" si="14"/>
        <v>0</v>
      </c>
      <c r="S53" s="15"/>
      <c r="T53" s="570"/>
      <c r="U53" s="50"/>
      <c r="X53" s="7">
        <v>4335</v>
      </c>
      <c r="Y53" s="600">
        <f t="shared" si="1"/>
        <v>0</v>
      </c>
    </row>
    <row r="54" spans="1:25" s="7" customFormat="1" x14ac:dyDescent="0.2">
      <c r="B54" s="235"/>
      <c r="C54" s="236"/>
      <c r="D54" s="248" t="s">
        <v>183</v>
      </c>
      <c r="E54" s="249"/>
      <c r="F54" s="257"/>
      <c r="G54" s="117"/>
      <c r="H54" s="25" t="s">
        <v>249</v>
      </c>
      <c r="I54" s="25" t="s">
        <v>357</v>
      </c>
      <c r="J54" s="57">
        <v>78410</v>
      </c>
      <c r="K54" s="58">
        <v>77910</v>
      </c>
      <c r="L54" s="59">
        <v>66915</v>
      </c>
      <c r="M54" s="59"/>
      <c r="N54" s="60">
        <f>SUM(K54-L54-M54)</f>
        <v>10995</v>
      </c>
      <c r="O54" s="61">
        <v>-78410</v>
      </c>
      <c r="P54" s="56">
        <v>0</v>
      </c>
      <c r="Q54" s="374">
        <v>0</v>
      </c>
      <c r="R54" s="192">
        <f t="shared" si="14"/>
        <v>0</v>
      </c>
      <c r="S54" s="15"/>
      <c r="T54" s="570"/>
      <c r="U54" s="50"/>
      <c r="X54" s="7">
        <v>66915.199999999997</v>
      </c>
      <c r="Y54" s="600">
        <f t="shared" si="1"/>
        <v>-0.19999999999708962</v>
      </c>
    </row>
    <row r="55" spans="1:25" s="7" customFormat="1" x14ac:dyDescent="0.2">
      <c r="B55" s="14" t="s">
        <v>261</v>
      </c>
      <c r="C55" s="240" t="s">
        <v>245</v>
      </c>
      <c r="D55" s="13" t="s">
        <v>183</v>
      </c>
      <c r="E55" s="250"/>
      <c r="F55" s="239" t="s">
        <v>247</v>
      </c>
      <c r="G55" s="119"/>
      <c r="H55" s="16"/>
      <c r="I55" s="16"/>
      <c r="J55" s="63">
        <f>SUM(J53:J54)</f>
        <v>82270</v>
      </c>
      <c r="K55" s="53">
        <f>SUM(K53:K54)</f>
        <v>82270</v>
      </c>
      <c r="L55" s="64">
        <f>SUM(L53:L54)</f>
        <v>71250</v>
      </c>
      <c r="M55" s="64">
        <f t="shared" ref="M55:O55" si="16">SUM(M53:M54)</f>
        <v>0</v>
      </c>
      <c r="N55" s="64">
        <f t="shared" si="16"/>
        <v>11020</v>
      </c>
      <c r="O55" s="64">
        <f t="shared" si="16"/>
        <v>-82270</v>
      </c>
      <c r="P55" s="53">
        <f>SUM(P53:P54)</f>
        <v>0</v>
      </c>
      <c r="Q55" s="562">
        <v>0</v>
      </c>
      <c r="R55" s="163"/>
      <c r="S55" s="15"/>
      <c r="T55" s="570"/>
      <c r="U55" s="50"/>
      <c r="Y55" s="600">
        <f t="shared" si="1"/>
        <v>71250</v>
      </c>
    </row>
    <row r="56" spans="1:25" s="416" customFormat="1" x14ac:dyDescent="0.2">
      <c r="A56" s="416" t="s">
        <v>302</v>
      </c>
      <c r="B56" s="417" t="s">
        <v>128</v>
      </c>
      <c r="C56" s="418" t="s">
        <v>171</v>
      </c>
      <c r="D56" s="419" t="s">
        <v>60</v>
      </c>
      <c r="E56" s="417"/>
      <c r="F56" s="417"/>
      <c r="G56" s="420" t="s">
        <v>163</v>
      </c>
      <c r="H56" s="421" t="s">
        <v>375</v>
      </c>
      <c r="I56" s="422"/>
      <c r="J56" s="423">
        <v>0</v>
      </c>
      <c r="K56" s="424">
        <v>0</v>
      </c>
      <c r="L56" s="425"/>
      <c r="M56" s="425"/>
      <c r="N56" s="425"/>
      <c r="O56" s="426">
        <v>0</v>
      </c>
      <c r="P56" s="427">
        <v>0</v>
      </c>
      <c r="Q56" s="428">
        <f>429577+39133</f>
        <v>468710</v>
      </c>
      <c r="R56" s="429">
        <f>SUM(P56:Q56)</f>
        <v>468710</v>
      </c>
      <c r="S56" s="430"/>
      <c r="T56" s="571">
        <v>39133</v>
      </c>
      <c r="U56" s="431"/>
      <c r="X56" s="7">
        <v>779399.15</v>
      </c>
      <c r="Y56" s="600">
        <f t="shared" si="1"/>
        <v>-779399.15</v>
      </c>
    </row>
    <row r="57" spans="1:25" s="416" customFormat="1" x14ac:dyDescent="0.2">
      <c r="A57" s="416" t="s">
        <v>302</v>
      </c>
      <c r="B57" s="432" t="s">
        <v>128</v>
      </c>
      <c r="C57" s="433" t="s">
        <v>171</v>
      </c>
      <c r="D57" s="434" t="s">
        <v>331</v>
      </c>
      <c r="E57" s="432"/>
      <c r="F57" s="432"/>
      <c r="G57" s="435" t="s">
        <v>163</v>
      </c>
      <c r="H57" s="436" t="s">
        <v>376</v>
      </c>
      <c r="I57" s="437"/>
      <c r="J57" s="438">
        <v>0</v>
      </c>
      <c r="K57" s="439">
        <v>0</v>
      </c>
      <c r="L57" s="440">
        <v>0</v>
      </c>
      <c r="M57" s="440">
        <v>0</v>
      </c>
      <c r="N57" s="440">
        <f>SUM(K56:K57)-L57-M57</f>
        <v>0</v>
      </c>
      <c r="O57" s="441">
        <v>0</v>
      </c>
      <c r="P57" s="442">
        <v>0</v>
      </c>
      <c r="Q57" s="445">
        <v>80125</v>
      </c>
      <c r="R57" s="444">
        <f>SUM(P57:Q57)</f>
        <v>80125</v>
      </c>
      <c r="S57" s="430"/>
      <c r="T57" s="571"/>
      <c r="U57" s="431"/>
      <c r="X57" s="7">
        <v>779399.15</v>
      </c>
      <c r="Y57" s="600">
        <f t="shared" si="1"/>
        <v>-779399.15</v>
      </c>
    </row>
    <row r="58" spans="1:25" s="322" customFormat="1" x14ac:dyDescent="0.2">
      <c r="A58" s="322" t="s">
        <v>302</v>
      </c>
      <c r="B58" s="312" t="s">
        <v>132</v>
      </c>
      <c r="C58" s="313" t="s">
        <v>127</v>
      </c>
      <c r="D58" s="310" t="s">
        <v>333</v>
      </c>
      <c r="E58" s="312"/>
      <c r="F58" s="314"/>
      <c r="G58" s="315" t="s">
        <v>154</v>
      </c>
      <c r="H58" s="316" t="s">
        <v>377</v>
      </c>
      <c r="I58" s="407"/>
      <c r="J58" s="317">
        <v>0</v>
      </c>
      <c r="K58" s="317">
        <v>0</v>
      </c>
      <c r="L58" s="318"/>
      <c r="M58" s="318"/>
      <c r="N58" s="318"/>
      <c r="O58" s="319">
        <v>0</v>
      </c>
      <c r="P58" s="320">
        <v>0</v>
      </c>
      <c r="Q58" s="380">
        <v>2343</v>
      </c>
      <c r="R58" s="167">
        <f t="shared" ref="R58:R67" si="17">SUM(P58:Q58)</f>
        <v>2343</v>
      </c>
      <c r="S58" s="321"/>
      <c r="T58" s="572"/>
      <c r="U58" s="323"/>
      <c r="X58" s="7">
        <v>177854.54</v>
      </c>
      <c r="Y58" s="600">
        <f t="shared" si="1"/>
        <v>-177854.54</v>
      </c>
    </row>
    <row r="59" spans="1:25" s="322" customFormat="1" x14ac:dyDescent="0.2">
      <c r="A59" s="322" t="s">
        <v>302</v>
      </c>
      <c r="B59" s="324" t="s">
        <v>132</v>
      </c>
      <c r="C59" s="325" t="s">
        <v>127</v>
      </c>
      <c r="D59" s="311" t="s">
        <v>334</v>
      </c>
      <c r="E59" s="324"/>
      <c r="F59" s="326"/>
      <c r="G59" s="327" t="s">
        <v>154</v>
      </c>
      <c r="H59" s="328" t="s">
        <v>378</v>
      </c>
      <c r="I59" s="408"/>
      <c r="J59" s="329">
        <v>0</v>
      </c>
      <c r="K59" s="329">
        <v>0</v>
      </c>
      <c r="L59" s="330">
        <v>0</v>
      </c>
      <c r="M59" s="330">
        <v>0</v>
      </c>
      <c r="N59" s="330">
        <f>SUM(J58:J59)-L59-M59</f>
        <v>0</v>
      </c>
      <c r="O59" s="331">
        <v>0</v>
      </c>
      <c r="P59" s="332">
        <v>0</v>
      </c>
      <c r="Q59" s="379">
        <v>5670</v>
      </c>
      <c r="R59" s="391">
        <f t="shared" si="17"/>
        <v>5670</v>
      </c>
      <c r="S59" s="321"/>
      <c r="T59" s="572"/>
      <c r="U59" s="323"/>
      <c r="X59" s="7">
        <v>177854.54</v>
      </c>
      <c r="Y59" s="600">
        <f t="shared" si="1"/>
        <v>-177854.54</v>
      </c>
    </row>
    <row r="60" spans="1:25" s="446" customFormat="1" x14ac:dyDescent="0.2">
      <c r="A60" s="446" t="s">
        <v>302</v>
      </c>
      <c r="B60" s="447" t="s">
        <v>132</v>
      </c>
      <c r="C60" s="448" t="s">
        <v>127</v>
      </c>
      <c r="D60" s="449" t="s">
        <v>66</v>
      </c>
      <c r="E60" s="450"/>
      <c r="F60" s="451"/>
      <c r="G60" s="452" t="s">
        <v>154</v>
      </c>
      <c r="H60" s="453" t="s">
        <v>379</v>
      </c>
      <c r="I60" s="454"/>
      <c r="J60" s="455">
        <v>0</v>
      </c>
      <c r="K60" s="456">
        <v>0</v>
      </c>
      <c r="L60" s="457"/>
      <c r="M60" s="457"/>
      <c r="N60" s="457"/>
      <c r="O60" s="458">
        <v>0</v>
      </c>
      <c r="P60" s="459">
        <v>0</v>
      </c>
      <c r="Q60" s="460">
        <v>75190</v>
      </c>
      <c r="R60" s="459">
        <f t="shared" si="17"/>
        <v>75190</v>
      </c>
      <c r="S60" s="461"/>
      <c r="T60" s="573"/>
      <c r="U60" s="462"/>
      <c r="X60" s="7">
        <v>113705.4</v>
      </c>
      <c r="Y60" s="600">
        <f t="shared" si="1"/>
        <v>-113705.4</v>
      </c>
    </row>
    <row r="61" spans="1:25" s="446" customFormat="1" x14ac:dyDescent="0.2">
      <c r="A61" s="446" t="s">
        <v>302</v>
      </c>
      <c r="B61" s="474" t="s">
        <v>132</v>
      </c>
      <c r="C61" s="475" t="s">
        <v>127</v>
      </c>
      <c r="D61" s="476" t="s">
        <v>335</v>
      </c>
      <c r="E61" s="474"/>
      <c r="F61" s="477"/>
      <c r="G61" s="478" t="s">
        <v>154</v>
      </c>
      <c r="H61" s="479" t="s">
        <v>380</v>
      </c>
      <c r="I61" s="480"/>
      <c r="J61" s="481">
        <v>0</v>
      </c>
      <c r="K61" s="481">
        <v>0</v>
      </c>
      <c r="L61" s="482">
        <v>0</v>
      </c>
      <c r="M61" s="482">
        <v>0</v>
      </c>
      <c r="N61" s="482">
        <f>SUM(K60:K61)-L61-M61</f>
        <v>0</v>
      </c>
      <c r="O61" s="483">
        <v>0</v>
      </c>
      <c r="P61" s="484">
        <v>0</v>
      </c>
      <c r="Q61" s="485">
        <v>11259</v>
      </c>
      <c r="R61" s="484">
        <f t="shared" si="17"/>
        <v>11259</v>
      </c>
      <c r="S61" s="461"/>
      <c r="T61" s="573"/>
      <c r="U61" s="462"/>
      <c r="X61" s="7">
        <v>113705.4</v>
      </c>
      <c r="Y61" s="600">
        <f t="shared" si="1"/>
        <v>-113705.4</v>
      </c>
    </row>
    <row r="62" spans="1:25" s="7" customFormat="1" x14ac:dyDescent="0.2">
      <c r="B62" s="384" t="s">
        <v>264</v>
      </c>
      <c r="C62" s="385" t="s">
        <v>245</v>
      </c>
      <c r="D62" s="386" t="s">
        <v>179</v>
      </c>
      <c r="E62" s="387"/>
      <c r="F62" s="370"/>
      <c r="G62" s="388" t="s">
        <v>153</v>
      </c>
      <c r="H62" s="23" t="s">
        <v>189</v>
      </c>
      <c r="I62" s="23" t="s">
        <v>357</v>
      </c>
      <c r="J62" s="389">
        <v>34000</v>
      </c>
      <c r="K62" s="389">
        <v>34000</v>
      </c>
      <c r="L62" s="71">
        <v>34000</v>
      </c>
      <c r="M62" s="71">
        <v>0</v>
      </c>
      <c r="N62" s="71">
        <f>K62-L62-M62</f>
        <v>0</v>
      </c>
      <c r="O62" s="390">
        <v>0</v>
      </c>
      <c r="P62" s="391">
        <v>34000</v>
      </c>
      <c r="Q62" s="375">
        <v>0</v>
      </c>
      <c r="R62" s="192">
        <f t="shared" si="17"/>
        <v>34000</v>
      </c>
      <c r="S62" s="15"/>
      <c r="T62" s="570"/>
      <c r="U62" s="50"/>
      <c r="X62" s="7">
        <v>34000</v>
      </c>
      <c r="Y62" s="600">
        <f t="shared" si="1"/>
        <v>0</v>
      </c>
    </row>
    <row r="63" spans="1:25" s="7" customFormat="1" x14ac:dyDescent="0.2">
      <c r="B63" s="235"/>
      <c r="C63" s="241"/>
      <c r="D63" s="248" t="s">
        <v>313</v>
      </c>
      <c r="E63" s="249"/>
      <c r="F63" s="243"/>
      <c r="G63" s="116"/>
      <c r="H63" s="25" t="s">
        <v>190</v>
      </c>
      <c r="I63" s="25" t="s">
        <v>357</v>
      </c>
      <c r="J63" s="57">
        <v>4400</v>
      </c>
      <c r="K63" s="58">
        <v>1738</v>
      </c>
      <c r="L63" s="59">
        <f>1738+58+10+5+8</f>
        <v>1819</v>
      </c>
      <c r="M63" s="59">
        <v>0</v>
      </c>
      <c r="N63" s="60">
        <f>K63-L63-M63</f>
        <v>-81</v>
      </c>
      <c r="O63" s="61">
        <v>0</v>
      </c>
      <c r="P63" s="56">
        <v>4400</v>
      </c>
      <c r="Q63" s="374">
        <v>0</v>
      </c>
      <c r="R63" s="192">
        <f t="shared" si="17"/>
        <v>4400</v>
      </c>
      <c r="S63" s="15"/>
      <c r="T63" s="570"/>
      <c r="U63" s="50"/>
      <c r="X63" s="7">
        <v>1737.88</v>
      </c>
      <c r="Y63" s="600">
        <f t="shared" si="1"/>
        <v>81.119999999999891</v>
      </c>
    </row>
    <row r="64" spans="1:25" s="7" customFormat="1" x14ac:dyDescent="0.2">
      <c r="B64" s="235"/>
      <c r="C64" s="241"/>
      <c r="D64" s="248" t="s">
        <v>312</v>
      </c>
      <c r="E64" s="249"/>
      <c r="F64" s="243"/>
      <c r="G64" s="116"/>
      <c r="H64" s="25" t="s">
        <v>310</v>
      </c>
      <c r="I64" s="25" t="s">
        <v>357</v>
      </c>
      <c r="J64" s="57">
        <v>0</v>
      </c>
      <c r="K64" s="58">
        <v>541</v>
      </c>
      <c r="L64" s="59">
        <v>541</v>
      </c>
      <c r="M64" s="59">
        <v>0</v>
      </c>
      <c r="N64" s="350">
        <f>K64-L64-M64</f>
        <v>0</v>
      </c>
      <c r="O64" s="61">
        <v>0</v>
      </c>
      <c r="P64" s="56">
        <v>0</v>
      </c>
      <c r="Q64" s="374">
        <v>0</v>
      </c>
      <c r="R64" s="192">
        <f t="shared" si="17"/>
        <v>0</v>
      </c>
      <c r="S64" s="15"/>
      <c r="T64" s="570"/>
      <c r="U64" s="50"/>
      <c r="X64" s="7">
        <v>540.54</v>
      </c>
      <c r="Y64" s="600">
        <f t="shared" si="1"/>
        <v>0.46000000000003638</v>
      </c>
    </row>
    <row r="65" spans="2:25" s="7" customFormat="1" x14ac:dyDescent="0.2">
      <c r="B65" s="235"/>
      <c r="C65" s="241"/>
      <c r="D65" s="248" t="s">
        <v>311</v>
      </c>
      <c r="E65" s="249"/>
      <c r="F65" s="243"/>
      <c r="G65" s="116"/>
      <c r="H65" s="25" t="s">
        <v>191</v>
      </c>
      <c r="I65" s="25" t="s">
        <v>357</v>
      </c>
      <c r="J65" s="57">
        <v>1100</v>
      </c>
      <c r="K65" s="58">
        <v>1859</v>
      </c>
      <c r="L65" s="59">
        <v>1859</v>
      </c>
      <c r="M65" s="59">
        <v>0</v>
      </c>
      <c r="N65" s="60">
        <f t="shared" ref="N65:N66" si="18">K65-L65-M65</f>
        <v>0</v>
      </c>
      <c r="O65" s="61">
        <v>0</v>
      </c>
      <c r="P65" s="56">
        <v>1100</v>
      </c>
      <c r="Q65" s="374">
        <v>0</v>
      </c>
      <c r="R65" s="192">
        <f t="shared" si="17"/>
        <v>1100</v>
      </c>
      <c r="S65" s="15"/>
      <c r="T65" s="570"/>
      <c r="U65" s="50"/>
      <c r="X65" s="7">
        <v>1859</v>
      </c>
      <c r="Y65" s="600">
        <f t="shared" si="1"/>
        <v>0</v>
      </c>
    </row>
    <row r="66" spans="2:25" s="7" customFormat="1" x14ac:dyDescent="0.2">
      <c r="B66" s="235"/>
      <c r="C66" s="241"/>
      <c r="D66" s="248" t="s">
        <v>296</v>
      </c>
      <c r="E66" s="249"/>
      <c r="F66" s="235"/>
      <c r="G66" s="116"/>
      <c r="H66" s="25" t="s">
        <v>192</v>
      </c>
      <c r="I66" s="25" t="s">
        <v>357</v>
      </c>
      <c r="J66" s="57">
        <v>3300</v>
      </c>
      <c r="K66" s="58">
        <v>4662</v>
      </c>
      <c r="L66" s="59">
        <v>4662</v>
      </c>
      <c r="M66" s="59">
        <v>0</v>
      </c>
      <c r="N66" s="60">
        <f t="shared" si="18"/>
        <v>0</v>
      </c>
      <c r="O66" s="61">
        <v>0</v>
      </c>
      <c r="P66" s="59">
        <v>3300</v>
      </c>
      <c r="Q66" s="60">
        <v>0</v>
      </c>
      <c r="R66" s="355">
        <f t="shared" si="17"/>
        <v>3300</v>
      </c>
      <c r="S66" s="15"/>
      <c r="T66" s="570"/>
      <c r="U66" s="50"/>
      <c r="X66" s="7">
        <v>4662</v>
      </c>
      <c r="Y66" s="600">
        <f t="shared" si="1"/>
        <v>0</v>
      </c>
    </row>
    <row r="67" spans="2:25" s="394" customFormat="1" ht="16.5" thickBot="1" x14ac:dyDescent="0.25">
      <c r="B67" s="399" t="s">
        <v>294</v>
      </c>
      <c r="C67" s="400" t="s">
        <v>245</v>
      </c>
      <c r="D67" s="397" t="s">
        <v>275</v>
      </c>
      <c r="E67" s="398"/>
      <c r="F67" s="401"/>
      <c r="G67" s="43" t="s">
        <v>163</v>
      </c>
      <c r="H67" s="44"/>
      <c r="I67" s="44"/>
      <c r="J67" s="295">
        <v>8800</v>
      </c>
      <c r="K67" s="296">
        <f>SUM(K63:K66)</f>
        <v>8800</v>
      </c>
      <c r="L67" s="297">
        <f>SUM(L63:L66)</f>
        <v>8881</v>
      </c>
      <c r="M67" s="297">
        <f t="shared" ref="M67:O67" si="19">SUM(M63:M66)</f>
        <v>0</v>
      </c>
      <c r="N67" s="297">
        <f t="shared" si="19"/>
        <v>-81</v>
      </c>
      <c r="O67" s="297">
        <f t="shared" si="19"/>
        <v>0</v>
      </c>
      <c r="P67" s="303">
        <v>8800</v>
      </c>
      <c r="Q67" s="381">
        <v>0</v>
      </c>
      <c r="R67" s="405">
        <f t="shared" si="17"/>
        <v>8800</v>
      </c>
      <c r="S67" s="395"/>
      <c r="T67" s="576"/>
      <c r="U67" s="396"/>
      <c r="X67" s="7"/>
      <c r="Y67" s="600">
        <f t="shared" si="1"/>
        <v>8881</v>
      </c>
    </row>
    <row r="68" spans="2:25" s="74" customFormat="1" ht="15.75" thickBot="1" x14ac:dyDescent="0.25">
      <c r="B68" s="120"/>
      <c r="C68" s="121"/>
      <c r="D68" s="122"/>
      <c r="E68" s="122"/>
      <c r="F68" s="122"/>
      <c r="G68" s="122"/>
      <c r="H68" s="123" t="s">
        <v>208</v>
      </c>
      <c r="I68" s="123"/>
      <c r="J68" s="124">
        <f t="shared" ref="J68:R68" si="20">SUM(J40,J44:J52,J55:J62,J67)</f>
        <v>334340</v>
      </c>
      <c r="K68" s="124">
        <f>SUM(K40,K44:K52,K55:K62,K67)+112152</f>
        <v>446092</v>
      </c>
      <c r="L68" s="125">
        <f t="shared" si="20"/>
        <v>338655.05</v>
      </c>
      <c r="M68" s="125">
        <f t="shared" si="20"/>
        <v>0</v>
      </c>
      <c r="N68" s="601">
        <f t="shared" si="20"/>
        <v>-4715.0499999999993</v>
      </c>
      <c r="O68" s="125">
        <f t="shared" si="20"/>
        <v>-88520</v>
      </c>
      <c r="P68" s="124">
        <f t="shared" si="20"/>
        <v>245820</v>
      </c>
      <c r="Q68" s="125">
        <f t="shared" si="20"/>
        <v>689684</v>
      </c>
      <c r="R68" s="124">
        <f t="shared" si="20"/>
        <v>935504</v>
      </c>
      <c r="S68" s="94"/>
      <c r="T68" s="569"/>
      <c r="U68" s="78"/>
      <c r="X68" s="7"/>
      <c r="Y68" s="600">
        <f t="shared" si="1"/>
        <v>338655.05</v>
      </c>
    </row>
    <row r="69" spans="2:25" ht="15.75" customHeight="1" x14ac:dyDescent="0.2">
      <c r="J69" s="521" t="s">
        <v>340</v>
      </c>
      <c r="K69" s="76"/>
      <c r="L69" s="76"/>
      <c r="M69" s="76"/>
      <c r="N69" s="76"/>
      <c r="O69" s="521" t="s">
        <v>340</v>
      </c>
      <c r="P69" s="521" t="s">
        <v>340</v>
      </c>
      <c r="Q69" s="359"/>
      <c r="R69" s="359"/>
      <c r="X69" s="7"/>
      <c r="Y69" s="600">
        <f t="shared" si="1"/>
        <v>0</v>
      </c>
    </row>
    <row r="70" spans="2:25" ht="15.75" thickBot="1" x14ac:dyDescent="0.25">
      <c r="B70" s="141" t="s">
        <v>134</v>
      </c>
      <c r="J70" s="76"/>
      <c r="K70" s="76"/>
      <c r="L70" s="76"/>
      <c r="M70" s="76"/>
      <c r="N70" s="76"/>
      <c r="O70" s="76"/>
      <c r="P70" s="76"/>
      <c r="Q70" s="359"/>
      <c r="R70" s="359"/>
      <c r="X70" s="7"/>
      <c r="Y70" s="600">
        <f t="shared" ref="Y70:Y133" si="21">L70-X70</f>
        <v>0</v>
      </c>
    </row>
    <row r="71" spans="2:25" x14ac:dyDescent="0.2">
      <c r="B71" s="79" t="s">
        <v>118</v>
      </c>
      <c r="C71" s="80"/>
      <c r="D71" s="138"/>
      <c r="E71" s="81"/>
      <c r="F71" s="80"/>
      <c r="G71" s="80"/>
      <c r="H71" s="80"/>
      <c r="I71" s="80"/>
      <c r="J71" s="82" t="s">
        <v>117</v>
      </c>
      <c r="K71" s="83">
        <v>0.90909090909090906</v>
      </c>
      <c r="L71" s="84" t="s">
        <v>123</v>
      </c>
      <c r="M71" s="84"/>
      <c r="N71" s="84" t="s">
        <v>124</v>
      </c>
      <c r="O71" s="85" t="s">
        <v>121</v>
      </c>
      <c r="P71" s="365" t="s">
        <v>58</v>
      </c>
      <c r="Q71" s="85" t="s">
        <v>121</v>
      </c>
      <c r="R71" s="86" t="s">
        <v>58</v>
      </c>
      <c r="X71" s="7"/>
      <c r="Y71" s="600" t="e">
        <f t="shared" si="21"/>
        <v>#VALUE!</v>
      </c>
    </row>
    <row r="72" spans="2:25" s="74" customFormat="1" ht="15.75" thickBot="1" x14ac:dyDescent="0.25">
      <c r="B72" s="87" t="s">
        <v>148</v>
      </c>
      <c r="C72" s="88" t="s">
        <v>125</v>
      </c>
      <c r="D72" s="139" t="s">
        <v>61</v>
      </c>
      <c r="E72" s="88"/>
      <c r="F72" s="88" t="s">
        <v>147</v>
      </c>
      <c r="G72" s="88" t="s">
        <v>149</v>
      </c>
      <c r="H72" s="88" t="s">
        <v>62</v>
      </c>
      <c r="I72" s="88"/>
      <c r="J72" s="89" t="s">
        <v>120</v>
      </c>
      <c r="K72" s="90" t="s">
        <v>272</v>
      </c>
      <c r="L72" s="91" t="s">
        <v>342</v>
      </c>
      <c r="M72" s="91" t="s">
        <v>119</v>
      </c>
      <c r="N72" s="91" t="s">
        <v>118</v>
      </c>
      <c r="O72" s="92" t="s">
        <v>122</v>
      </c>
      <c r="P72" s="366" t="s">
        <v>59</v>
      </c>
      <c r="Q72" s="92" t="s">
        <v>122</v>
      </c>
      <c r="R72" s="93" t="s">
        <v>120</v>
      </c>
      <c r="S72" s="94"/>
      <c r="T72" s="569"/>
      <c r="U72" s="78"/>
      <c r="X72" s="7"/>
      <c r="Y72" s="600" t="e">
        <f t="shared" si="21"/>
        <v>#VALUE!</v>
      </c>
    </row>
    <row r="73" spans="2:25" s="496" customFormat="1" x14ac:dyDescent="0.2">
      <c r="B73" s="511" t="s">
        <v>128</v>
      </c>
      <c r="C73" s="512" t="s">
        <v>161</v>
      </c>
      <c r="D73" s="513" t="s">
        <v>64</v>
      </c>
      <c r="E73" s="511"/>
      <c r="F73" s="511" t="s">
        <v>270</v>
      </c>
      <c r="G73" s="514" t="s">
        <v>163</v>
      </c>
      <c r="H73" s="515" t="s">
        <v>19</v>
      </c>
      <c r="I73" s="515" t="s">
        <v>357</v>
      </c>
      <c r="J73" s="516">
        <v>3000</v>
      </c>
      <c r="K73" s="516">
        <v>3000</v>
      </c>
      <c r="L73" s="517">
        <v>0</v>
      </c>
      <c r="M73" s="517">
        <v>0</v>
      </c>
      <c r="N73" s="517"/>
      <c r="O73" s="518">
        <v>1500</v>
      </c>
      <c r="P73" s="519">
        <v>4500</v>
      </c>
      <c r="Q73" s="520">
        <v>0</v>
      </c>
      <c r="R73" s="519">
        <f>SUM(P73:Q73)</f>
        <v>4500</v>
      </c>
      <c r="S73" s="498">
        <v>4</v>
      </c>
      <c r="T73" s="577"/>
      <c r="U73" s="499"/>
      <c r="X73" s="7">
        <v>10491.2</v>
      </c>
      <c r="Y73" s="600">
        <f t="shared" si="21"/>
        <v>-10491.2</v>
      </c>
    </row>
    <row r="74" spans="2:25" s="496" customFormat="1" x14ac:dyDescent="0.2">
      <c r="B74" s="500" t="s">
        <v>128</v>
      </c>
      <c r="C74" s="501" t="s">
        <v>161</v>
      </c>
      <c r="D74" s="502" t="s">
        <v>63</v>
      </c>
      <c r="E74" s="500"/>
      <c r="F74" s="500"/>
      <c r="G74" s="503" t="s">
        <v>176</v>
      </c>
      <c r="H74" s="504" t="s">
        <v>19</v>
      </c>
      <c r="I74" s="504" t="s">
        <v>357</v>
      </c>
      <c r="J74" s="505">
        <v>5000</v>
      </c>
      <c r="K74" s="497">
        <v>8082</v>
      </c>
      <c r="L74" s="506">
        <v>10491</v>
      </c>
      <c r="M74" s="506">
        <v>0</v>
      </c>
      <c r="N74" s="506">
        <f>SUM(K73:K74)-L74-M74</f>
        <v>591</v>
      </c>
      <c r="O74" s="507">
        <v>0</v>
      </c>
      <c r="P74" s="508">
        <v>5000</v>
      </c>
      <c r="Q74" s="509">
        <v>0</v>
      </c>
      <c r="R74" s="510">
        <f t="shared" ref="R74:R90" si="22">SUM(P74:Q74)</f>
        <v>5000</v>
      </c>
      <c r="S74" s="498"/>
      <c r="T74" s="577"/>
      <c r="U74" s="499"/>
      <c r="X74" s="7">
        <v>10491.2</v>
      </c>
      <c r="Y74" s="600">
        <f t="shared" si="21"/>
        <v>-0.2000000000007276</v>
      </c>
    </row>
    <row r="75" spans="2:25" s="542" customFormat="1" x14ac:dyDescent="0.2">
      <c r="B75" s="417" t="s">
        <v>128</v>
      </c>
      <c r="C75" s="537" t="s">
        <v>171</v>
      </c>
      <c r="D75" s="419" t="s">
        <v>60</v>
      </c>
      <c r="E75" s="417"/>
      <c r="F75" s="417" t="s">
        <v>346</v>
      </c>
      <c r="G75" s="420" t="s">
        <v>163</v>
      </c>
      <c r="H75" s="421" t="s">
        <v>26</v>
      </c>
      <c r="I75" s="422" t="s">
        <v>357</v>
      </c>
      <c r="J75" s="425">
        <v>827261</v>
      </c>
      <c r="K75" s="538">
        <v>827261</v>
      </c>
      <c r="L75" s="425"/>
      <c r="M75" s="425"/>
      <c r="N75" s="425"/>
      <c r="O75" s="539">
        <v>0</v>
      </c>
      <c r="P75" s="540">
        <v>827261</v>
      </c>
      <c r="Q75" s="428">
        <v>-827261</v>
      </c>
      <c r="R75" s="428">
        <f>SUM(P75:Q75)</f>
        <v>0</v>
      </c>
      <c r="S75" s="541"/>
      <c r="T75" s="578"/>
      <c r="U75" s="543"/>
      <c r="X75" s="7">
        <v>779399.15</v>
      </c>
      <c r="Y75" s="600">
        <f t="shared" si="21"/>
        <v>-779399.15</v>
      </c>
    </row>
    <row r="76" spans="2:25" s="542" customFormat="1" x14ac:dyDescent="0.2">
      <c r="B76" s="432" t="s">
        <v>128</v>
      </c>
      <c r="C76" s="544" t="s">
        <v>171</v>
      </c>
      <c r="D76" s="434" t="s">
        <v>329</v>
      </c>
      <c r="E76" s="432"/>
      <c r="F76" s="432" t="s">
        <v>346</v>
      </c>
      <c r="G76" s="435" t="s">
        <v>163</v>
      </c>
      <c r="H76" s="436" t="s">
        <v>26</v>
      </c>
      <c r="I76" s="437" t="s">
        <v>357</v>
      </c>
      <c r="J76" s="440">
        <v>162236</v>
      </c>
      <c r="K76" s="545">
        <v>162236</v>
      </c>
      <c r="L76" s="440">
        <v>779399</v>
      </c>
      <c r="M76" s="440">
        <v>0</v>
      </c>
      <c r="N76" s="440">
        <f>SUM(K75:K76)-L76-M76</f>
        <v>210098</v>
      </c>
      <c r="O76" s="546">
        <v>0</v>
      </c>
      <c r="P76" s="547">
        <v>162236</v>
      </c>
      <c r="Q76" s="443">
        <v>-162236</v>
      </c>
      <c r="R76" s="445">
        <f>SUM(P76:Q76)</f>
        <v>0</v>
      </c>
      <c r="S76" s="541"/>
      <c r="T76" s="578"/>
      <c r="U76" s="543"/>
      <c r="X76" s="7">
        <v>779399.15</v>
      </c>
      <c r="Y76" s="600">
        <f t="shared" si="21"/>
        <v>-0.15000000002328306</v>
      </c>
    </row>
    <row r="77" spans="2:25" s="74" customFormat="1" x14ac:dyDescent="0.2">
      <c r="B77" s="231" t="s">
        <v>128</v>
      </c>
      <c r="C77" s="265" t="s">
        <v>161</v>
      </c>
      <c r="D77" s="258" t="s">
        <v>151</v>
      </c>
      <c r="E77" s="231"/>
      <c r="F77" s="231"/>
      <c r="G77" s="21" t="s">
        <v>150</v>
      </c>
      <c r="H77" s="27" t="s">
        <v>14</v>
      </c>
      <c r="I77" s="42" t="s">
        <v>357</v>
      </c>
      <c r="J77" s="142">
        <v>50694</v>
      </c>
      <c r="K77" s="155">
        <v>47825</v>
      </c>
      <c r="L77" s="147">
        <v>47825</v>
      </c>
      <c r="M77" s="147">
        <v>0</v>
      </c>
      <c r="N77" s="147">
        <f>K77-L77-M77</f>
        <v>0</v>
      </c>
      <c r="O77" s="144">
        <v>0</v>
      </c>
      <c r="P77" s="145">
        <v>50694</v>
      </c>
      <c r="Q77" s="375">
        <v>0</v>
      </c>
      <c r="R77" s="192">
        <f t="shared" si="22"/>
        <v>50694</v>
      </c>
      <c r="S77" s="94">
        <v>2</v>
      </c>
      <c r="T77" s="569"/>
      <c r="U77" s="78"/>
      <c r="X77" s="7">
        <v>47825</v>
      </c>
      <c r="Y77" s="600">
        <f t="shared" si="21"/>
        <v>0</v>
      </c>
    </row>
    <row r="78" spans="2:25" s="153" customFormat="1" x14ac:dyDescent="0.2">
      <c r="B78" s="231" t="s">
        <v>128</v>
      </c>
      <c r="C78" s="260" t="s">
        <v>161</v>
      </c>
      <c r="D78" s="258" t="s">
        <v>205</v>
      </c>
      <c r="E78" s="231"/>
      <c r="F78" s="231"/>
      <c r="G78" s="21" t="s">
        <v>150</v>
      </c>
      <c r="H78" s="27" t="s">
        <v>15</v>
      </c>
      <c r="I78" s="42"/>
      <c r="J78" s="142">
        <v>74278</v>
      </c>
      <c r="K78" s="166">
        <v>74278</v>
      </c>
      <c r="L78" s="143"/>
      <c r="M78" s="143"/>
      <c r="N78" s="143"/>
      <c r="O78" s="144">
        <v>0</v>
      </c>
      <c r="P78" s="145">
        <v>74278</v>
      </c>
      <c r="Q78" s="378">
        <v>0</v>
      </c>
      <c r="R78" s="167">
        <f t="shared" si="22"/>
        <v>74278</v>
      </c>
      <c r="S78" s="152">
        <v>2</v>
      </c>
      <c r="T78" s="579"/>
      <c r="U78" s="50"/>
      <c r="X78" s="7">
        <v>193708.68</v>
      </c>
      <c r="Y78" s="600">
        <f t="shared" si="21"/>
        <v>-193708.68</v>
      </c>
    </row>
    <row r="79" spans="2:25" s="153" customFormat="1" x14ac:dyDescent="0.2">
      <c r="B79" s="221" t="s">
        <v>128</v>
      </c>
      <c r="C79" s="263" t="s">
        <v>161</v>
      </c>
      <c r="D79" s="264" t="s">
        <v>152</v>
      </c>
      <c r="E79" s="221"/>
      <c r="F79" s="221"/>
      <c r="G79" s="17" t="s">
        <v>150</v>
      </c>
      <c r="H79" s="29" t="s">
        <v>15</v>
      </c>
      <c r="I79" s="41"/>
      <c r="J79" s="150">
        <v>122632</v>
      </c>
      <c r="K79" s="157">
        <f>122632-3201</f>
        <v>119431</v>
      </c>
      <c r="L79" s="107">
        <v>193708.68</v>
      </c>
      <c r="M79" s="107">
        <v>0</v>
      </c>
      <c r="N79" s="107">
        <f>SUM(K78:K79)-L79-M79</f>
        <v>0.32000000000698492</v>
      </c>
      <c r="O79" s="151">
        <v>0</v>
      </c>
      <c r="P79" s="108">
        <v>122632</v>
      </c>
      <c r="Q79" s="382">
        <v>0</v>
      </c>
      <c r="R79" s="391">
        <f t="shared" si="22"/>
        <v>122632</v>
      </c>
      <c r="S79" s="152">
        <v>2</v>
      </c>
      <c r="T79" s="579"/>
      <c r="U79" s="50"/>
      <c r="X79" s="7">
        <v>193708.68</v>
      </c>
      <c r="Y79" s="600">
        <f t="shared" si="21"/>
        <v>0</v>
      </c>
    </row>
    <row r="80" spans="2:25" s="74" customFormat="1" x14ac:dyDescent="0.2">
      <c r="B80" s="224"/>
      <c r="C80" s="225"/>
      <c r="D80" s="266" t="s">
        <v>256</v>
      </c>
      <c r="E80" s="267"/>
      <c r="F80" s="224"/>
      <c r="G80" s="19"/>
      <c r="H80" s="36" t="s">
        <v>9</v>
      </c>
      <c r="I80" s="409" t="s">
        <v>357</v>
      </c>
      <c r="J80" s="103">
        <v>900000</v>
      </c>
      <c r="K80" s="104">
        <v>636777</v>
      </c>
      <c r="L80" s="103">
        <v>708475</v>
      </c>
      <c r="M80" s="103">
        <v>0</v>
      </c>
      <c r="N80" s="103">
        <f>K80-L80-M80</f>
        <v>-71698</v>
      </c>
      <c r="O80" s="105">
        <v>0</v>
      </c>
      <c r="P80" s="106">
        <v>677482</v>
      </c>
      <c r="Q80" s="374">
        <v>0</v>
      </c>
      <c r="R80" s="192">
        <f t="shared" si="22"/>
        <v>677482</v>
      </c>
      <c r="S80" s="94"/>
      <c r="T80" s="569"/>
      <c r="U80" s="78"/>
      <c r="X80" s="7">
        <v>708474.66</v>
      </c>
      <c r="Y80" s="600">
        <f t="shared" si="21"/>
        <v>0.33999999996740371</v>
      </c>
    </row>
    <row r="81" spans="1:25" s="74" customFormat="1" x14ac:dyDescent="0.2">
      <c r="B81" s="224"/>
      <c r="C81" s="225"/>
      <c r="D81" s="266" t="s">
        <v>257</v>
      </c>
      <c r="E81" s="267"/>
      <c r="F81" s="268"/>
      <c r="G81" s="154"/>
      <c r="H81" s="37" t="s">
        <v>10</v>
      </c>
      <c r="I81" s="410" t="s">
        <v>357</v>
      </c>
      <c r="J81" s="103">
        <v>0</v>
      </c>
      <c r="K81" s="104">
        <v>161294</v>
      </c>
      <c r="L81" s="103">
        <v>161293</v>
      </c>
      <c r="M81" s="103">
        <v>0</v>
      </c>
      <c r="N81" s="103">
        <f t="shared" ref="N81:N84" si="23">K81-L81-M81</f>
        <v>1</v>
      </c>
      <c r="O81" s="105">
        <v>0</v>
      </c>
      <c r="P81" s="106">
        <v>121560</v>
      </c>
      <c r="Q81" s="374">
        <v>0</v>
      </c>
      <c r="R81" s="192">
        <f t="shared" si="22"/>
        <v>121560</v>
      </c>
      <c r="S81" s="94"/>
      <c r="T81" s="569"/>
      <c r="U81" s="78"/>
      <c r="X81" s="7">
        <v>161293.41</v>
      </c>
      <c r="Y81" s="600">
        <f t="shared" si="21"/>
        <v>-0.41000000000349246</v>
      </c>
    </row>
    <row r="82" spans="1:25" s="74" customFormat="1" x14ac:dyDescent="0.2">
      <c r="B82" s="224"/>
      <c r="C82" s="225"/>
      <c r="D82" s="266" t="s">
        <v>258</v>
      </c>
      <c r="E82" s="267"/>
      <c r="F82" s="268"/>
      <c r="G82" s="154"/>
      <c r="H82" s="37" t="s">
        <v>11</v>
      </c>
      <c r="I82" s="410" t="s">
        <v>357</v>
      </c>
      <c r="J82" s="103">
        <v>0</v>
      </c>
      <c r="K82" s="104">
        <v>31987</v>
      </c>
      <c r="L82" s="103">
        <v>31986</v>
      </c>
      <c r="M82" s="103">
        <v>0</v>
      </c>
      <c r="N82" s="103">
        <f t="shared" si="23"/>
        <v>1</v>
      </c>
      <c r="O82" s="105">
        <v>0</v>
      </c>
      <c r="P82" s="106">
        <v>30757.5</v>
      </c>
      <c r="Q82" s="374">
        <v>0</v>
      </c>
      <c r="R82" s="192">
        <f t="shared" si="22"/>
        <v>30757.5</v>
      </c>
      <c r="S82" s="94"/>
      <c r="T82" s="569"/>
      <c r="U82" s="78"/>
      <c r="X82" s="7">
        <v>31986.49</v>
      </c>
      <c r="Y82" s="600">
        <f t="shared" si="21"/>
        <v>-0.49000000000160071</v>
      </c>
    </row>
    <row r="83" spans="1:25" s="74" customFormat="1" x14ac:dyDescent="0.2">
      <c r="B83" s="224"/>
      <c r="C83" s="225"/>
      <c r="D83" s="266" t="s">
        <v>259</v>
      </c>
      <c r="E83" s="267"/>
      <c r="F83" s="268"/>
      <c r="G83" s="154"/>
      <c r="H83" s="37" t="s">
        <v>12</v>
      </c>
      <c r="I83" s="410" t="s">
        <v>357</v>
      </c>
      <c r="J83" s="103">
        <v>0</v>
      </c>
      <c r="K83" s="104">
        <v>57498</v>
      </c>
      <c r="L83" s="103">
        <v>70317</v>
      </c>
      <c r="M83" s="103">
        <v>0</v>
      </c>
      <c r="N83" s="103">
        <f t="shared" si="23"/>
        <v>-12819</v>
      </c>
      <c r="O83" s="105">
        <v>0</v>
      </c>
      <c r="P83" s="106">
        <v>55236</v>
      </c>
      <c r="Q83" s="374">
        <v>0</v>
      </c>
      <c r="R83" s="192">
        <f t="shared" si="22"/>
        <v>55236</v>
      </c>
      <c r="S83" s="94"/>
      <c r="T83" s="569"/>
      <c r="U83" s="78"/>
      <c r="X83" s="7">
        <v>70316.62</v>
      </c>
      <c r="Y83" s="600">
        <f t="shared" si="21"/>
        <v>0.38000000000465661</v>
      </c>
    </row>
    <row r="84" spans="1:25" s="74" customFormat="1" x14ac:dyDescent="0.2">
      <c r="B84" s="269"/>
      <c r="C84" s="270"/>
      <c r="D84" s="266" t="s">
        <v>260</v>
      </c>
      <c r="E84" s="267"/>
      <c r="F84" s="268"/>
      <c r="G84" s="154"/>
      <c r="H84" s="37" t="s">
        <v>13</v>
      </c>
      <c r="I84" s="410" t="s">
        <v>357</v>
      </c>
      <c r="J84" s="103">
        <v>0</v>
      </c>
      <c r="K84" s="104">
        <v>17427</v>
      </c>
      <c r="L84" s="103">
        <v>19219</v>
      </c>
      <c r="M84" s="103">
        <v>0</v>
      </c>
      <c r="N84" s="103">
        <f t="shared" si="23"/>
        <v>-1792</v>
      </c>
      <c r="O84" s="105">
        <v>0</v>
      </c>
      <c r="P84" s="106">
        <v>14964</v>
      </c>
      <c r="Q84" s="374">
        <v>0</v>
      </c>
      <c r="R84" s="192">
        <f t="shared" si="22"/>
        <v>14964</v>
      </c>
      <c r="S84" s="94"/>
      <c r="T84" s="569"/>
      <c r="U84" s="78"/>
      <c r="X84" s="7">
        <v>19219.14</v>
      </c>
      <c r="Y84" s="600">
        <f t="shared" si="21"/>
        <v>-0.13999999999941792</v>
      </c>
    </row>
    <row r="85" spans="1:25" s="74" customFormat="1" x14ac:dyDescent="0.2">
      <c r="B85" s="229" t="s">
        <v>128</v>
      </c>
      <c r="C85" s="271" t="s">
        <v>161</v>
      </c>
      <c r="D85" s="247" t="s">
        <v>65</v>
      </c>
      <c r="E85" s="229"/>
      <c r="F85" s="229" t="s">
        <v>143</v>
      </c>
      <c r="G85" s="113" t="s">
        <v>167</v>
      </c>
      <c r="H85" s="30"/>
      <c r="I85" s="411"/>
      <c r="J85" s="563">
        <f>SUM(J80:J84)</f>
        <v>900000</v>
      </c>
      <c r="K85" s="563">
        <f>SUM(K80:K84)</f>
        <v>904983</v>
      </c>
      <c r="L85" s="64">
        <f>SUM(L80:L84)</f>
        <v>991290</v>
      </c>
      <c r="M85" s="64">
        <f t="shared" ref="M85:N85" si="24">SUM(M80:M84)</f>
        <v>0</v>
      </c>
      <c r="N85" s="64">
        <f t="shared" si="24"/>
        <v>-86307</v>
      </c>
      <c r="O85" s="564">
        <v>0</v>
      </c>
      <c r="P85" s="561">
        <v>899999.5</v>
      </c>
      <c r="Q85" s="375">
        <f>SUM(Q80:Q84)</f>
        <v>0</v>
      </c>
      <c r="R85" s="192">
        <f t="shared" si="22"/>
        <v>899999.5</v>
      </c>
      <c r="S85" s="94"/>
      <c r="T85" s="569"/>
      <c r="U85" s="78"/>
      <c r="X85" s="7"/>
      <c r="Y85" s="600">
        <f t="shared" si="21"/>
        <v>991290</v>
      </c>
    </row>
    <row r="86" spans="1:25" s="74" customFormat="1" x14ac:dyDescent="0.2">
      <c r="B86" s="272"/>
      <c r="C86" s="225"/>
      <c r="D86" s="266" t="s">
        <v>251</v>
      </c>
      <c r="E86" s="267"/>
      <c r="F86" s="224"/>
      <c r="G86" s="19"/>
      <c r="H86" s="36" t="s">
        <v>4</v>
      </c>
      <c r="I86" s="409" t="s">
        <v>357</v>
      </c>
      <c r="J86" s="103">
        <v>1100000</v>
      </c>
      <c r="K86" s="104">
        <v>795790</v>
      </c>
      <c r="L86" s="103">
        <v>835877</v>
      </c>
      <c r="M86" s="103">
        <v>0</v>
      </c>
      <c r="N86" s="103">
        <f>K86-L86-M86</f>
        <v>-40087</v>
      </c>
      <c r="O86" s="105">
        <v>0</v>
      </c>
      <c r="P86" s="103">
        <v>706962.73</v>
      </c>
      <c r="Q86" s="374">
        <v>0</v>
      </c>
      <c r="R86" s="192">
        <f t="shared" si="22"/>
        <v>706962.73</v>
      </c>
      <c r="S86" s="94"/>
      <c r="T86" s="569"/>
      <c r="U86" s="78"/>
      <c r="X86" s="7">
        <v>835876.88</v>
      </c>
      <c r="Y86" s="600">
        <f t="shared" si="21"/>
        <v>0.11999999999534339</v>
      </c>
    </row>
    <row r="87" spans="1:25" s="74" customFormat="1" x14ac:dyDescent="0.2">
      <c r="B87" s="273"/>
      <c r="C87" s="225"/>
      <c r="D87" s="266" t="s">
        <v>252</v>
      </c>
      <c r="E87" s="267"/>
      <c r="F87" s="268"/>
      <c r="G87" s="154"/>
      <c r="H87" s="37" t="s">
        <v>5</v>
      </c>
      <c r="I87" s="410" t="s">
        <v>357</v>
      </c>
      <c r="J87" s="103">
        <v>0</v>
      </c>
      <c r="K87" s="104">
        <v>177987</v>
      </c>
      <c r="L87" s="103">
        <v>177987</v>
      </c>
      <c r="M87" s="103">
        <v>0</v>
      </c>
      <c r="N87" s="103">
        <f t="shared" ref="N87:N90" si="25">K87-L87-M87</f>
        <v>0</v>
      </c>
      <c r="O87" s="105">
        <v>0</v>
      </c>
      <c r="P87" s="103">
        <v>159484.5</v>
      </c>
      <c r="Q87" s="374">
        <v>0</v>
      </c>
      <c r="R87" s="192">
        <f t="shared" si="22"/>
        <v>159484.5</v>
      </c>
      <c r="S87" s="94"/>
      <c r="T87" s="569"/>
      <c r="U87" s="78"/>
      <c r="X87" s="7">
        <v>177986.96</v>
      </c>
      <c r="Y87" s="600">
        <f t="shared" si="21"/>
        <v>4.0000000008149073E-2</v>
      </c>
    </row>
    <row r="88" spans="1:25" s="74" customFormat="1" x14ac:dyDescent="0.2">
      <c r="B88" s="273"/>
      <c r="C88" s="225"/>
      <c r="D88" s="266" t="s">
        <v>253</v>
      </c>
      <c r="E88" s="267"/>
      <c r="F88" s="268"/>
      <c r="G88" s="154"/>
      <c r="H88" s="37" t="s">
        <v>6</v>
      </c>
      <c r="I88" s="410" t="s">
        <v>357</v>
      </c>
      <c r="J88" s="103">
        <v>0</v>
      </c>
      <c r="K88" s="104">
        <v>23206</v>
      </c>
      <c r="L88" s="103">
        <v>23168</v>
      </c>
      <c r="M88" s="103">
        <v>0</v>
      </c>
      <c r="N88" s="103">
        <f t="shared" si="25"/>
        <v>38</v>
      </c>
      <c r="O88" s="105">
        <v>0</v>
      </c>
      <c r="P88" s="103">
        <v>21421.32</v>
      </c>
      <c r="Q88" s="374">
        <v>0</v>
      </c>
      <c r="R88" s="192">
        <f t="shared" si="22"/>
        <v>21421.32</v>
      </c>
      <c r="S88" s="94"/>
      <c r="T88" s="569"/>
      <c r="U88" s="78"/>
      <c r="X88" s="7">
        <v>23168.17</v>
      </c>
      <c r="Y88" s="600">
        <f t="shared" si="21"/>
        <v>-0.16999999999825377</v>
      </c>
    </row>
    <row r="89" spans="1:25" s="74" customFormat="1" x14ac:dyDescent="0.2">
      <c r="B89" s="273"/>
      <c r="C89" s="225"/>
      <c r="D89" s="266" t="s">
        <v>254</v>
      </c>
      <c r="E89" s="267"/>
      <c r="F89" s="268"/>
      <c r="G89" s="154"/>
      <c r="H89" s="37" t="s">
        <v>7</v>
      </c>
      <c r="I89" s="410" t="s">
        <v>357</v>
      </c>
      <c r="J89" s="103">
        <v>0</v>
      </c>
      <c r="K89" s="104">
        <v>129965</v>
      </c>
      <c r="L89" s="103">
        <v>129964</v>
      </c>
      <c r="M89" s="103">
        <v>0</v>
      </c>
      <c r="N89" s="103">
        <f t="shared" si="25"/>
        <v>1</v>
      </c>
      <c r="O89" s="105">
        <v>0</v>
      </c>
      <c r="P89" s="103">
        <v>137895.45000000001</v>
      </c>
      <c r="Q89" s="374">
        <v>0</v>
      </c>
      <c r="R89" s="192">
        <f t="shared" si="22"/>
        <v>137895.45000000001</v>
      </c>
      <c r="S89" s="94"/>
      <c r="T89" s="569"/>
      <c r="U89" s="78"/>
      <c r="X89" s="7">
        <v>129964.31</v>
      </c>
      <c r="Y89" s="600">
        <f t="shared" si="21"/>
        <v>-0.30999999999767169</v>
      </c>
    </row>
    <row r="90" spans="1:25" s="74" customFormat="1" x14ac:dyDescent="0.2">
      <c r="B90" s="274"/>
      <c r="C90" s="225"/>
      <c r="D90" s="266" t="s">
        <v>255</v>
      </c>
      <c r="E90" s="267" t="s">
        <v>162</v>
      </c>
      <c r="F90" s="268"/>
      <c r="G90" s="154"/>
      <c r="H90" s="37" t="s">
        <v>8</v>
      </c>
      <c r="I90" s="410" t="s">
        <v>357</v>
      </c>
      <c r="J90" s="103">
        <v>0</v>
      </c>
      <c r="K90" s="104">
        <v>74236</v>
      </c>
      <c r="L90" s="103">
        <v>74236</v>
      </c>
      <c r="M90" s="103">
        <v>0</v>
      </c>
      <c r="N90" s="103">
        <f t="shared" si="25"/>
        <v>0</v>
      </c>
      <c r="O90" s="105">
        <v>0</v>
      </c>
      <c r="P90" s="103">
        <v>74236</v>
      </c>
      <c r="Q90" s="374">
        <f t="shared" ref="Q90" si="26">L90-P90</f>
        <v>0</v>
      </c>
      <c r="R90" s="192">
        <f t="shared" si="22"/>
        <v>74236</v>
      </c>
      <c r="S90" s="94"/>
      <c r="T90" s="569"/>
      <c r="U90" s="78"/>
      <c r="X90" s="7">
        <v>74236.259999999995</v>
      </c>
      <c r="Y90" s="600">
        <f t="shared" si="21"/>
        <v>-0.25999999999476131</v>
      </c>
    </row>
    <row r="91" spans="1:25" s="74" customFormat="1" x14ac:dyDescent="0.2">
      <c r="B91" s="229" t="s">
        <v>128</v>
      </c>
      <c r="C91" s="275" t="s">
        <v>161</v>
      </c>
      <c r="D91" s="226" t="s">
        <v>225</v>
      </c>
      <c r="E91" s="229"/>
      <c r="F91" s="14" t="s">
        <v>143</v>
      </c>
      <c r="G91" s="20" t="s">
        <v>167</v>
      </c>
      <c r="H91" s="30"/>
      <c r="I91" s="411"/>
      <c r="J91" s="563">
        <f>SUM(J86:J90)</f>
        <v>1100000</v>
      </c>
      <c r="K91" s="563">
        <f>SUM(K86:K90)</f>
        <v>1201184</v>
      </c>
      <c r="L91" s="64">
        <f>SUM(L86:L90)</f>
        <v>1241232</v>
      </c>
      <c r="M91" s="64">
        <f t="shared" ref="M91:N91" si="27">SUM(M86:M90)</f>
        <v>0</v>
      </c>
      <c r="N91" s="64">
        <f t="shared" si="27"/>
        <v>-40048</v>
      </c>
      <c r="O91" s="64">
        <v>0</v>
      </c>
      <c r="P91" s="563">
        <v>1100000</v>
      </c>
      <c r="Q91" s="65">
        <f>SUM(Q86:Q90)</f>
        <v>0</v>
      </c>
      <c r="R91" s="192">
        <f>SUM(R86:R90)</f>
        <v>1100000</v>
      </c>
      <c r="S91" s="94"/>
      <c r="T91" s="569"/>
      <c r="U91" s="78"/>
      <c r="X91" s="7"/>
      <c r="Y91" s="600">
        <f t="shared" si="21"/>
        <v>1241232</v>
      </c>
    </row>
    <row r="92" spans="1:25" s="74" customFormat="1" x14ac:dyDescent="0.2">
      <c r="B92" s="259" t="s">
        <v>128</v>
      </c>
      <c r="C92" s="276" t="s">
        <v>161</v>
      </c>
      <c r="D92" s="261" t="s">
        <v>277</v>
      </c>
      <c r="E92" s="262"/>
      <c r="F92" s="259"/>
      <c r="G92" s="33" t="s">
        <v>150</v>
      </c>
      <c r="H92" s="28" t="s">
        <v>16</v>
      </c>
      <c r="I92" s="40" t="s">
        <v>357</v>
      </c>
      <c r="J92" s="146">
        <v>648948</v>
      </c>
      <c r="K92" s="155">
        <v>916411</v>
      </c>
      <c r="L92" s="147">
        <f>1314830-398419</f>
        <v>916411</v>
      </c>
      <c r="M92" s="147">
        <v>0</v>
      </c>
      <c r="N92" s="147">
        <f>K92-L92-M92</f>
        <v>0</v>
      </c>
      <c r="O92" s="156">
        <v>0</v>
      </c>
      <c r="P92" s="149">
        <v>648948</v>
      </c>
      <c r="Q92" s="378">
        <v>-648948</v>
      </c>
      <c r="R92" s="167">
        <f>SUM(P92:Q92)</f>
        <v>0</v>
      </c>
      <c r="S92" s="94"/>
      <c r="T92" s="569">
        <v>-648948</v>
      </c>
      <c r="U92" s="78"/>
      <c r="V92" s="369"/>
      <c r="X92" s="7">
        <v>1314830.2</v>
      </c>
      <c r="Y92" s="600">
        <f t="shared" si="21"/>
        <v>-398419.19999999995</v>
      </c>
    </row>
    <row r="93" spans="1:25" s="74" customFormat="1" x14ac:dyDescent="0.2">
      <c r="B93" s="221" t="s">
        <v>128</v>
      </c>
      <c r="C93" s="277" t="s">
        <v>161</v>
      </c>
      <c r="D93" s="370" t="s">
        <v>350</v>
      </c>
      <c r="E93" s="221"/>
      <c r="F93" s="221"/>
      <c r="G93" s="17" t="s">
        <v>150</v>
      </c>
      <c r="H93" s="29" t="s">
        <v>16</v>
      </c>
      <c r="I93" s="41" t="s">
        <v>357</v>
      </c>
      <c r="J93" s="150">
        <v>398419</v>
      </c>
      <c r="K93" s="157">
        <v>398419</v>
      </c>
      <c r="L93" s="107">
        <v>398419</v>
      </c>
      <c r="M93" s="107">
        <v>0</v>
      </c>
      <c r="N93" s="147">
        <f>K93-L93-M93</f>
        <v>0</v>
      </c>
      <c r="O93" s="158">
        <v>0</v>
      </c>
      <c r="P93" s="108">
        <v>398419</v>
      </c>
      <c r="Q93" s="382">
        <v>-56844</v>
      </c>
      <c r="R93" s="391">
        <f>SUM(P93:Q93)</f>
        <v>341575</v>
      </c>
      <c r="S93" s="94"/>
      <c r="T93" s="569">
        <f>Q93</f>
        <v>-56844</v>
      </c>
      <c r="U93" s="78"/>
      <c r="X93" s="7">
        <v>1314830.2</v>
      </c>
      <c r="Y93" s="600">
        <f t="shared" si="21"/>
        <v>-916411.2</v>
      </c>
    </row>
    <row r="94" spans="1:25" s="74" customFormat="1" ht="12" customHeight="1" x14ac:dyDescent="0.2">
      <c r="B94" s="278" t="s">
        <v>128</v>
      </c>
      <c r="C94" s="279" t="s">
        <v>161</v>
      </c>
      <c r="D94" s="226" t="s">
        <v>269</v>
      </c>
      <c r="E94" s="229"/>
      <c r="F94" s="6" t="s">
        <v>139</v>
      </c>
      <c r="G94" s="5" t="s">
        <v>153</v>
      </c>
      <c r="H94" s="31" t="s">
        <v>24</v>
      </c>
      <c r="I94" s="411" t="s">
        <v>357</v>
      </c>
      <c r="J94" s="159">
        <v>242000</v>
      </c>
      <c r="K94" s="62">
        <v>32380</v>
      </c>
      <c r="L94" s="160">
        <v>0</v>
      </c>
      <c r="M94" s="160">
        <v>0</v>
      </c>
      <c r="N94" s="160">
        <f>K94-L94-M94</f>
        <v>32380</v>
      </c>
      <c r="O94" s="161">
        <v>-242000</v>
      </c>
      <c r="P94" s="162">
        <v>0</v>
      </c>
      <c r="Q94" s="375">
        <v>0</v>
      </c>
      <c r="R94" s="192">
        <f t="shared" ref="R94:R139" si="28">SUM(P94:Q94)</f>
        <v>0</v>
      </c>
      <c r="S94" s="94"/>
      <c r="T94" s="569"/>
      <c r="U94" s="78"/>
      <c r="X94" s="7">
        <v>0</v>
      </c>
      <c r="Y94" s="600">
        <f t="shared" si="21"/>
        <v>0</v>
      </c>
    </row>
    <row r="95" spans="1:25" s="7" customFormat="1" x14ac:dyDescent="0.2">
      <c r="B95" s="259" t="s">
        <v>132</v>
      </c>
      <c r="C95" s="12" t="s">
        <v>228</v>
      </c>
      <c r="D95" s="14" t="s">
        <v>280</v>
      </c>
      <c r="E95" s="226"/>
      <c r="F95" s="227"/>
      <c r="G95" s="5" t="s">
        <v>154</v>
      </c>
      <c r="H95" s="20" t="s">
        <v>246</v>
      </c>
      <c r="I95" s="140"/>
      <c r="J95" s="63">
        <v>0</v>
      </c>
      <c r="K95" s="53">
        <v>0</v>
      </c>
      <c r="L95" s="54">
        <v>0</v>
      </c>
      <c r="M95" s="54">
        <v>0</v>
      </c>
      <c r="N95" s="54">
        <f t="shared" ref="N95" si="29">K95-L95-M95</f>
        <v>0</v>
      </c>
      <c r="O95" s="55">
        <v>15000</v>
      </c>
      <c r="P95" s="108">
        <v>15000</v>
      </c>
      <c r="Q95" s="375">
        <v>-15000</v>
      </c>
      <c r="R95" s="192">
        <f>SUM(P95:Q95)</f>
        <v>0</v>
      </c>
      <c r="S95" s="15"/>
      <c r="T95" s="570"/>
      <c r="U95" s="50"/>
      <c r="Y95" s="600">
        <f t="shared" si="21"/>
        <v>0</v>
      </c>
    </row>
    <row r="96" spans="1:25" s="74" customFormat="1" x14ac:dyDescent="0.2">
      <c r="A96" s="74" t="s">
        <v>303</v>
      </c>
      <c r="B96" s="283" t="s">
        <v>1</v>
      </c>
      <c r="C96" s="284" t="s">
        <v>161</v>
      </c>
      <c r="D96" s="283" t="s">
        <v>68</v>
      </c>
      <c r="E96" s="229"/>
      <c r="F96" s="6" t="s">
        <v>282</v>
      </c>
      <c r="G96" s="5" t="s">
        <v>153</v>
      </c>
      <c r="H96" s="32" t="s">
        <v>0</v>
      </c>
      <c r="I96" s="140"/>
      <c r="J96" s="176">
        <v>0</v>
      </c>
      <c r="K96" s="62">
        <v>0</v>
      </c>
      <c r="L96" s="177">
        <v>0</v>
      </c>
      <c r="M96" s="177">
        <v>0</v>
      </c>
      <c r="N96" s="177">
        <f>K96-L96-M96</f>
        <v>0</v>
      </c>
      <c r="O96" s="178">
        <v>0</v>
      </c>
      <c r="P96" s="179">
        <v>0</v>
      </c>
      <c r="Q96" s="375">
        <v>180475</v>
      </c>
      <c r="R96" s="192">
        <f t="shared" si="28"/>
        <v>180475</v>
      </c>
      <c r="S96" s="94"/>
      <c r="T96" s="569"/>
      <c r="U96" s="78"/>
      <c r="X96" s="7">
        <v>371130.76</v>
      </c>
      <c r="Y96" s="600">
        <f t="shared" si="21"/>
        <v>-371130.76</v>
      </c>
    </row>
    <row r="97" spans="1:25" s="74" customFormat="1" x14ac:dyDescent="0.2">
      <c r="A97" s="74" t="s">
        <v>303</v>
      </c>
      <c r="B97" s="259" t="s">
        <v>128</v>
      </c>
      <c r="C97" s="285" t="s">
        <v>160</v>
      </c>
      <c r="D97" s="259" t="s">
        <v>361</v>
      </c>
      <c r="E97" s="259"/>
      <c r="F97" s="259" t="s">
        <v>267</v>
      </c>
      <c r="G97" s="33" t="s">
        <v>165</v>
      </c>
      <c r="H97" s="595" t="s">
        <v>362</v>
      </c>
      <c r="I97" s="46" t="s">
        <v>357</v>
      </c>
      <c r="J97" s="146">
        <v>0</v>
      </c>
      <c r="K97" s="155">
        <v>0</v>
      </c>
      <c r="L97" s="147"/>
      <c r="M97" s="147">
        <v>0</v>
      </c>
      <c r="N97" s="147">
        <f>K97-L97-M97</f>
        <v>0</v>
      </c>
      <c r="O97" s="156">
        <v>0</v>
      </c>
      <c r="P97" s="179">
        <v>0</v>
      </c>
      <c r="Q97" s="375">
        <v>40000</v>
      </c>
      <c r="R97" s="192">
        <f t="shared" si="28"/>
        <v>40000</v>
      </c>
      <c r="S97" s="94"/>
      <c r="T97" s="569"/>
      <c r="U97" s="78"/>
      <c r="X97" s="7"/>
      <c r="Y97" s="600">
        <f t="shared" si="21"/>
        <v>0</v>
      </c>
    </row>
    <row r="98" spans="1:25" s="74" customFormat="1" x14ac:dyDescent="0.2">
      <c r="A98" s="74" t="s">
        <v>303</v>
      </c>
      <c r="B98" s="223"/>
      <c r="C98" s="287"/>
      <c r="D98" s="223" t="s">
        <v>74</v>
      </c>
      <c r="E98" s="223"/>
      <c r="F98" s="223" t="s">
        <v>22</v>
      </c>
      <c r="G98" s="18"/>
      <c r="H98" s="18" t="s">
        <v>21</v>
      </c>
      <c r="I98" s="412"/>
      <c r="J98" s="109">
        <v>0</v>
      </c>
      <c r="K98" s="110">
        <v>0</v>
      </c>
      <c r="L98" s="109">
        <v>0</v>
      </c>
      <c r="M98" s="109">
        <v>0</v>
      </c>
      <c r="N98" s="109">
        <v>0</v>
      </c>
      <c r="O98" s="111">
        <v>0</v>
      </c>
      <c r="P98" s="112">
        <v>0</v>
      </c>
      <c r="Q98" s="374">
        <v>0</v>
      </c>
      <c r="R98" s="192">
        <f t="shared" si="28"/>
        <v>0</v>
      </c>
      <c r="S98" s="94"/>
      <c r="T98" s="569"/>
      <c r="U98" s="78"/>
      <c r="X98" s="7">
        <v>-1420.28</v>
      </c>
      <c r="Y98" s="600">
        <f t="shared" si="21"/>
        <v>1420.28</v>
      </c>
    </row>
    <row r="99" spans="1:25" s="74" customFormat="1" x14ac:dyDescent="0.2">
      <c r="A99" s="74" t="s">
        <v>303</v>
      </c>
      <c r="B99" s="224"/>
      <c r="C99" s="288"/>
      <c r="D99" s="224" t="s">
        <v>74</v>
      </c>
      <c r="E99" s="224"/>
      <c r="F99" s="224" t="s">
        <v>140</v>
      </c>
      <c r="G99" s="19"/>
      <c r="H99" s="19" t="s">
        <v>137</v>
      </c>
      <c r="I99" s="353"/>
      <c r="J99" s="103">
        <v>0</v>
      </c>
      <c r="K99" s="104">
        <v>0</v>
      </c>
      <c r="L99" s="103">
        <v>0</v>
      </c>
      <c r="M99" s="103">
        <v>0</v>
      </c>
      <c r="N99" s="103">
        <v>0</v>
      </c>
      <c r="O99" s="105">
        <v>0</v>
      </c>
      <c r="P99" s="106">
        <v>0</v>
      </c>
      <c r="Q99" s="374">
        <v>15000</v>
      </c>
      <c r="R99" s="192">
        <f t="shared" si="28"/>
        <v>15000</v>
      </c>
      <c r="S99" s="94"/>
      <c r="T99" s="569"/>
      <c r="U99" s="78"/>
      <c r="X99" s="7">
        <v>25425.75</v>
      </c>
      <c r="Y99" s="600">
        <f t="shared" si="21"/>
        <v>-25425.75</v>
      </c>
    </row>
    <row r="100" spans="1:25" s="74" customFormat="1" x14ac:dyDescent="0.2">
      <c r="A100" s="74" t="s">
        <v>303</v>
      </c>
      <c r="B100" s="269"/>
      <c r="C100" s="289"/>
      <c r="D100" s="269" t="s">
        <v>74</v>
      </c>
      <c r="E100" s="269"/>
      <c r="F100" s="269" t="s">
        <v>141</v>
      </c>
      <c r="G100" s="38"/>
      <c r="H100" s="38" t="s">
        <v>138</v>
      </c>
      <c r="I100" s="413"/>
      <c r="J100" s="182">
        <v>0</v>
      </c>
      <c r="K100" s="183">
        <v>0</v>
      </c>
      <c r="L100" s="182">
        <v>0</v>
      </c>
      <c r="M100" s="182">
        <v>0</v>
      </c>
      <c r="N100" s="182">
        <f>K100-L100-M100</f>
        <v>0</v>
      </c>
      <c r="O100" s="184">
        <v>0</v>
      </c>
      <c r="P100" s="185">
        <v>0</v>
      </c>
      <c r="Q100" s="374">
        <v>165000</v>
      </c>
      <c r="R100" s="192">
        <f t="shared" si="28"/>
        <v>165000</v>
      </c>
      <c r="S100" s="94"/>
      <c r="T100" s="569"/>
      <c r="U100" s="78"/>
      <c r="X100" s="7">
        <v>240167.3</v>
      </c>
      <c r="Y100" s="600">
        <f t="shared" si="21"/>
        <v>-240167.3</v>
      </c>
    </row>
    <row r="101" spans="1:25" s="74" customFormat="1" x14ac:dyDescent="0.2">
      <c r="A101" s="74" t="s">
        <v>303</v>
      </c>
      <c r="B101" s="14" t="s">
        <v>128</v>
      </c>
      <c r="C101" s="239" t="s">
        <v>172</v>
      </c>
      <c r="D101" s="14" t="s">
        <v>74</v>
      </c>
      <c r="E101" s="229"/>
      <c r="F101" s="14" t="s">
        <v>347</v>
      </c>
      <c r="G101" s="20" t="s">
        <v>176</v>
      </c>
      <c r="H101" s="17"/>
      <c r="I101" s="34"/>
      <c r="J101" s="563">
        <f>SUM(J98:J100)</f>
        <v>0</v>
      </c>
      <c r="K101" s="563">
        <f>SUM(K98:K100)</f>
        <v>0</v>
      </c>
      <c r="L101" s="64">
        <f>SUM(L98:L100)</f>
        <v>0</v>
      </c>
      <c r="M101" s="64">
        <f t="shared" ref="M101:N101" si="30">SUM(M98:M100)</f>
        <v>0</v>
      </c>
      <c r="N101" s="64">
        <f t="shared" si="30"/>
        <v>0</v>
      </c>
      <c r="O101" s="64">
        <v>0</v>
      </c>
      <c r="P101" s="179">
        <v>0</v>
      </c>
      <c r="Q101" s="375">
        <f>SUM(Q98:Q100)</f>
        <v>180000</v>
      </c>
      <c r="R101" s="192">
        <f t="shared" si="28"/>
        <v>180000</v>
      </c>
      <c r="S101" s="94"/>
      <c r="T101" s="569"/>
      <c r="U101" s="78"/>
      <c r="X101" s="7"/>
      <c r="Y101" s="600">
        <f t="shared" si="21"/>
        <v>0</v>
      </c>
    </row>
    <row r="102" spans="1:25" s="74" customFormat="1" x14ac:dyDescent="0.2">
      <c r="A102" s="74" t="s">
        <v>303</v>
      </c>
      <c r="B102" s="290"/>
      <c r="C102" s="291"/>
      <c r="D102" s="290" t="s">
        <v>79</v>
      </c>
      <c r="E102" s="238"/>
      <c r="F102" s="235" t="s">
        <v>143</v>
      </c>
      <c r="G102" s="116"/>
      <c r="H102" s="39" t="s">
        <v>25</v>
      </c>
      <c r="I102" s="300"/>
      <c r="J102" s="186">
        <v>0</v>
      </c>
      <c r="K102" s="187">
        <v>0</v>
      </c>
      <c r="L102" s="186">
        <v>0</v>
      </c>
      <c r="M102" s="186">
        <v>0</v>
      </c>
      <c r="N102" s="186">
        <v>0</v>
      </c>
      <c r="O102" s="188">
        <v>0</v>
      </c>
      <c r="P102" s="189">
        <v>0</v>
      </c>
      <c r="Q102" s="374">
        <v>4588774</v>
      </c>
      <c r="R102" s="192">
        <f t="shared" si="28"/>
        <v>4588774</v>
      </c>
      <c r="S102" s="94"/>
      <c r="T102" s="569"/>
      <c r="U102" s="78"/>
      <c r="X102" s="7">
        <v>4264814.9800000004</v>
      </c>
      <c r="Y102" s="600">
        <f t="shared" si="21"/>
        <v>-4264814.9800000004</v>
      </c>
    </row>
    <row r="103" spans="1:25" s="74" customFormat="1" x14ac:dyDescent="0.2">
      <c r="A103" s="74" t="s">
        <v>303</v>
      </c>
      <c r="B103" s="290"/>
      <c r="C103" s="291"/>
      <c r="D103" s="290" t="s">
        <v>80</v>
      </c>
      <c r="E103" s="238"/>
      <c r="F103" s="235" t="s">
        <v>143</v>
      </c>
      <c r="G103" s="116"/>
      <c r="H103" s="39" t="s">
        <v>27</v>
      </c>
      <c r="I103" s="300"/>
      <c r="J103" s="186">
        <v>0</v>
      </c>
      <c r="K103" s="187">
        <v>0</v>
      </c>
      <c r="L103" s="186">
        <v>0</v>
      </c>
      <c r="M103" s="186">
        <v>0</v>
      </c>
      <c r="N103" s="186">
        <v>0</v>
      </c>
      <c r="O103" s="188">
        <v>0</v>
      </c>
      <c r="P103" s="189">
        <v>0</v>
      </c>
      <c r="Q103" s="374">
        <v>3920774</v>
      </c>
      <c r="R103" s="192">
        <f t="shared" si="28"/>
        <v>3920774</v>
      </c>
      <c r="S103" s="94"/>
      <c r="T103" s="569"/>
      <c r="U103" s="78"/>
      <c r="X103" s="7">
        <v>3562341.84</v>
      </c>
      <c r="Y103" s="600">
        <f t="shared" si="21"/>
        <v>-3562341.84</v>
      </c>
    </row>
    <row r="104" spans="1:25" s="74" customFormat="1" x14ac:dyDescent="0.2">
      <c r="A104" s="74" t="s">
        <v>303</v>
      </c>
      <c r="B104" s="283" t="s">
        <v>128</v>
      </c>
      <c r="C104" s="284" t="s">
        <v>161</v>
      </c>
      <c r="D104" s="283" t="s">
        <v>226</v>
      </c>
      <c r="E104" s="229"/>
      <c r="F104" s="6" t="s">
        <v>143</v>
      </c>
      <c r="G104" s="20" t="s">
        <v>150</v>
      </c>
      <c r="H104" s="32"/>
      <c r="I104" s="140"/>
      <c r="J104" s="563">
        <f>SUM(J102:J103)</f>
        <v>0</v>
      </c>
      <c r="K104" s="563">
        <f>SUM(K102:K103)</f>
        <v>0</v>
      </c>
      <c r="L104" s="64">
        <f>SUM(L102:L103)</f>
        <v>0</v>
      </c>
      <c r="M104" s="64">
        <f t="shared" ref="M104:N104" si="31">SUM(M102:M103)</f>
        <v>0</v>
      </c>
      <c r="N104" s="64">
        <f t="shared" si="31"/>
        <v>0</v>
      </c>
      <c r="O104" s="64">
        <v>0</v>
      </c>
      <c r="P104" s="179">
        <f>SUM(P102:P103)</f>
        <v>0</v>
      </c>
      <c r="Q104" s="375">
        <f>SUM(Q102:Q103)</f>
        <v>8509548</v>
      </c>
      <c r="R104" s="192">
        <f t="shared" si="28"/>
        <v>8509548</v>
      </c>
      <c r="S104" s="94">
        <v>8</v>
      </c>
      <c r="T104" s="569"/>
      <c r="U104" s="78"/>
      <c r="X104" s="7"/>
      <c r="Y104" s="600">
        <f t="shared" si="21"/>
        <v>0</v>
      </c>
    </row>
    <row r="105" spans="1:25" s="74" customFormat="1" x14ac:dyDescent="0.2">
      <c r="A105" s="74" t="s">
        <v>303</v>
      </c>
      <c r="B105" s="231" t="s">
        <v>131</v>
      </c>
      <c r="C105" s="280" t="s">
        <v>173</v>
      </c>
      <c r="D105" s="231" t="s">
        <v>90</v>
      </c>
      <c r="E105" s="231"/>
      <c r="F105" s="231" t="s">
        <v>143</v>
      </c>
      <c r="G105" s="21" t="s">
        <v>153</v>
      </c>
      <c r="H105" s="21" t="s">
        <v>41</v>
      </c>
      <c r="I105" s="45"/>
      <c r="J105" s="142">
        <v>0</v>
      </c>
      <c r="K105" s="166">
        <v>0</v>
      </c>
      <c r="L105" s="143">
        <v>0</v>
      </c>
      <c r="M105" s="143">
        <v>0</v>
      </c>
      <c r="N105" s="143">
        <v>0</v>
      </c>
      <c r="O105" s="144">
        <v>0</v>
      </c>
      <c r="P105" s="145">
        <v>0</v>
      </c>
      <c r="Q105" s="378">
        <f>515015+49969</f>
        <v>564984</v>
      </c>
      <c r="R105" s="167">
        <f t="shared" si="28"/>
        <v>564984</v>
      </c>
      <c r="S105" s="94">
        <v>3</v>
      </c>
      <c r="T105" s="569">
        <v>49969</v>
      </c>
      <c r="U105" s="78"/>
      <c r="X105" s="7">
        <v>504314.66</v>
      </c>
      <c r="Y105" s="600">
        <f t="shared" si="21"/>
        <v>-504314.66</v>
      </c>
    </row>
    <row r="106" spans="1:25" s="74" customFormat="1" x14ac:dyDescent="0.2">
      <c r="A106" s="74" t="s">
        <v>303</v>
      </c>
      <c r="B106" s="227" t="s">
        <v>131</v>
      </c>
      <c r="C106" s="292" t="s">
        <v>173</v>
      </c>
      <c r="D106" s="227" t="s">
        <v>91</v>
      </c>
      <c r="E106" s="227"/>
      <c r="F106" s="227"/>
      <c r="G106" s="34" t="s">
        <v>153</v>
      </c>
      <c r="H106" s="34" t="s">
        <v>41</v>
      </c>
      <c r="I106" s="34"/>
      <c r="J106" s="157">
        <v>0</v>
      </c>
      <c r="K106" s="157">
        <v>0</v>
      </c>
      <c r="L106" s="67">
        <v>0</v>
      </c>
      <c r="M106" s="67">
        <v>0</v>
      </c>
      <c r="N106" s="67">
        <v>0</v>
      </c>
      <c r="O106" s="191">
        <v>0</v>
      </c>
      <c r="P106" s="168">
        <v>0</v>
      </c>
      <c r="Q106" s="382">
        <v>40000</v>
      </c>
      <c r="R106" s="391">
        <f t="shared" si="28"/>
        <v>40000</v>
      </c>
      <c r="S106" s="94">
        <v>3</v>
      </c>
      <c r="T106" s="569"/>
      <c r="U106" s="78"/>
      <c r="X106" s="7">
        <v>504314.66</v>
      </c>
      <c r="Y106" s="600">
        <f t="shared" si="21"/>
        <v>-504314.66</v>
      </c>
    </row>
    <row r="107" spans="1:25" s="74" customFormat="1" x14ac:dyDescent="0.2">
      <c r="A107" s="74" t="s">
        <v>303</v>
      </c>
      <c r="B107" s="283" t="s">
        <v>298</v>
      </c>
      <c r="C107" s="282" t="s">
        <v>161</v>
      </c>
      <c r="D107" s="259" t="s">
        <v>78</v>
      </c>
      <c r="E107" s="259"/>
      <c r="F107" s="259" t="s">
        <v>292</v>
      </c>
      <c r="G107" s="33" t="s">
        <v>150</v>
      </c>
      <c r="H107" s="33" t="s">
        <v>28</v>
      </c>
      <c r="I107" s="46"/>
      <c r="J107" s="146">
        <v>0</v>
      </c>
      <c r="K107" s="155">
        <v>0</v>
      </c>
      <c r="L107" s="147">
        <v>0</v>
      </c>
      <c r="M107" s="147">
        <v>0</v>
      </c>
      <c r="N107" s="147">
        <v>0</v>
      </c>
      <c r="O107" s="156">
        <v>0</v>
      </c>
      <c r="P107" s="179">
        <v>0</v>
      </c>
      <c r="Q107" s="375">
        <v>207307</v>
      </c>
      <c r="R107" s="192">
        <f t="shared" si="28"/>
        <v>207307</v>
      </c>
      <c r="S107" s="94">
        <v>5</v>
      </c>
      <c r="T107" s="569">
        <v>-269666</v>
      </c>
      <c r="U107" s="78"/>
      <c r="X107" s="7">
        <v>0</v>
      </c>
      <c r="Y107" s="600">
        <f t="shared" si="21"/>
        <v>0</v>
      </c>
    </row>
    <row r="108" spans="1:25" s="74" customFormat="1" x14ac:dyDescent="0.2">
      <c r="A108" s="74" t="s">
        <v>303</v>
      </c>
      <c r="B108" s="283" t="s">
        <v>298</v>
      </c>
      <c r="C108" s="286" t="s">
        <v>161</v>
      </c>
      <c r="D108" s="283" t="s">
        <v>297</v>
      </c>
      <c r="E108" s="229"/>
      <c r="F108" s="6"/>
      <c r="G108" s="5" t="s">
        <v>150</v>
      </c>
      <c r="H108" s="32" t="s">
        <v>29</v>
      </c>
      <c r="I108" s="140"/>
      <c r="J108" s="176">
        <v>0</v>
      </c>
      <c r="K108" s="62">
        <v>0</v>
      </c>
      <c r="L108" s="177">
        <v>0</v>
      </c>
      <c r="M108" s="177">
        <v>0</v>
      </c>
      <c r="N108" s="177">
        <v>0</v>
      </c>
      <c r="O108" s="178">
        <v>0</v>
      </c>
      <c r="P108" s="179">
        <v>0</v>
      </c>
      <c r="Q108" s="375">
        <v>7500</v>
      </c>
      <c r="R108" s="192">
        <f t="shared" si="28"/>
        <v>7500</v>
      </c>
      <c r="S108" s="94"/>
      <c r="T108" s="569"/>
      <c r="U108" s="78"/>
      <c r="X108" s="7">
        <v>1305.73</v>
      </c>
      <c r="Y108" s="600">
        <f t="shared" si="21"/>
        <v>-1305.73</v>
      </c>
    </row>
    <row r="109" spans="1:25" s="74" customFormat="1" x14ac:dyDescent="0.2">
      <c r="A109" s="74" t="s">
        <v>303</v>
      </c>
      <c r="B109" s="283" t="s">
        <v>298</v>
      </c>
      <c r="C109" s="286" t="s">
        <v>161</v>
      </c>
      <c r="D109" s="283" t="s">
        <v>135</v>
      </c>
      <c r="E109" s="229"/>
      <c r="F109" s="6"/>
      <c r="G109" s="5" t="s">
        <v>150</v>
      </c>
      <c r="H109" s="32" t="s">
        <v>30</v>
      </c>
      <c r="I109" s="140"/>
      <c r="J109" s="176">
        <v>0</v>
      </c>
      <c r="K109" s="62">
        <v>0</v>
      </c>
      <c r="L109" s="177">
        <v>0</v>
      </c>
      <c r="M109" s="177">
        <v>0</v>
      </c>
      <c r="N109" s="177">
        <v>0</v>
      </c>
      <c r="O109" s="178">
        <v>0</v>
      </c>
      <c r="P109" s="179">
        <v>0</v>
      </c>
      <c r="Q109" s="375">
        <v>60000</v>
      </c>
      <c r="R109" s="192">
        <f t="shared" si="28"/>
        <v>60000</v>
      </c>
      <c r="S109" s="94"/>
      <c r="T109" s="569"/>
      <c r="U109" s="78"/>
      <c r="X109" s="7">
        <v>56878.62</v>
      </c>
      <c r="Y109" s="600">
        <f t="shared" si="21"/>
        <v>-56878.62</v>
      </c>
    </row>
    <row r="110" spans="1:25" s="74" customFormat="1" x14ac:dyDescent="0.2">
      <c r="A110" s="74" t="s">
        <v>303</v>
      </c>
      <c r="B110" s="283" t="s">
        <v>298</v>
      </c>
      <c r="C110" s="286" t="s">
        <v>161</v>
      </c>
      <c r="D110" s="259" t="s">
        <v>81</v>
      </c>
      <c r="E110" s="259"/>
      <c r="F110" s="259"/>
      <c r="G110" s="33" t="s">
        <v>150</v>
      </c>
      <c r="H110" s="33" t="s">
        <v>31</v>
      </c>
      <c r="I110" s="46"/>
      <c r="J110" s="146">
        <v>0</v>
      </c>
      <c r="K110" s="155">
        <v>0</v>
      </c>
      <c r="L110" s="147"/>
      <c r="M110" s="147">
        <v>0</v>
      </c>
      <c r="N110" s="177">
        <v>0</v>
      </c>
      <c r="O110" s="148">
        <v>0</v>
      </c>
      <c r="P110" s="179">
        <v>0</v>
      </c>
      <c r="Q110" s="375">
        <v>200000</v>
      </c>
      <c r="R110" s="192">
        <f t="shared" si="28"/>
        <v>200000</v>
      </c>
      <c r="S110" s="94"/>
      <c r="T110" s="569"/>
      <c r="U110" s="78"/>
      <c r="X110" s="7">
        <v>192223.15</v>
      </c>
      <c r="Y110" s="600">
        <f t="shared" si="21"/>
        <v>-192223.15</v>
      </c>
    </row>
    <row r="111" spans="1:25" s="548" customFormat="1" x14ac:dyDescent="0.2">
      <c r="B111" s="312" t="s">
        <v>132</v>
      </c>
      <c r="C111" s="313" t="s">
        <v>127</v>
      </c>
      <c r="D111" s="310" t="s">
        <v>333</v>
      </c>
      <c r="E111" s="312"/>
      <c r="F111" s="313" t="s">
        <v>346</v>
      </c>
      <c r="G111" s="549" t="s">
        <v>154</v>
      </c>
      <c r="H111" s="316" t="s">
        <v>43</v>
      </c>
      <c r="I111" s="407"/>
      <c r="J111" s="317">
        <v>4687</v>
      </c>
      <c r="K111" s="317">
        <v>4687</v>
      </c>
      <c r="L111" s="318"/>
      <c r="M111" s="318"/>
      <c r="N111" s="318"/>
      <c r="O111" s="319">
        <v>0</v>
      </c>
      <c r="P111" s="320">
        <v>4687</v>
      </c>
      <c r="Q111" s="380">
        <v>-4687</v>
      </c>
      <c r="R111" s="167">
        <f t="shared" ref="R111:R115" si="32">SUM(P111:Q111)</f>
        <v>0</v>
      </c>
      <c r="S111" s="550"/>
      <c r="T111" s="580"/>
      <c r="U111" s="551"/>
      <c r="X111" s="7">
        <v>177854.54</v>
      </c>
      <c r="Y111" s="600">
        <f t="shared" si="21"/>
        <v>-177854.54</v>
      </c>
    </row>
    <row r="112" spans="1:25" s="548" customFormat="1" x14ac:dyDescent="0.2">
      <c r="B112" s="324" t="s">
        <v>132</v>
      </c>
      <c r="C112" s="325" t="s">
        <v>127</v>
      </c>
      <c r="D112" s="311" t="s">
        <v>334</v>
      </c>
      <c r="E112" s="324"/>
      <c r="F112" s="325" t="s">
        <v>346</v>
      </c>
      <c r="G112" s="552" t="s">
        <v>154</v>
      </c>
      <c r="H112" s="328" t="s">
        <v>43</v>
      </c>
      <c r="I112" s="408"/>
      <c r="J112" s="329">
        <v>11340</v>
      </c>
      <c r="K112" s="329">
        <v>11340</v>
      </c>
      <c r="L112" s="330">
        <f>14197+1658</f>
        <v>15855</v>
      </c>
      <c r="M112" s="330">
        <v>0</v>
      </c>
      <c r="N112" s="330">
        <f>SUM(J111:J112)-L112-M112</f>
        <v>172</v>
      </c>
      <c r="O112" s="331">
        <v>0</v>
      </c>
      <c r="P112" s="332">
        <v>11340</v>
      </c>
      <c r="Q112" s="379">
        <v>-11340</v>
      </c>
      <c r="R112" s="391">
        <f t="shared" si="32"/>
        <v>0</v>
      </c>
      <c r="S112" s="550"/>
      <c r="T112" s="580"/>
      <c r="U112" s="551"/>
      <c r="X112" s="7">
        <v>177854.54</v>
      </c>
      <c r="Y112" s="600">
        <f t="shared" si="21"/>
        <v>-161999.54</v>
      </c>
    </row>
    <row r="113" spans="1:25" s="322" customFormat="1" x14ac:dyDescent="0.2">
      <c r="A113" s="74" t="s">
        <v>303</v>
      </c>
      <c r="B113" s="333" t="s">
        <v>132</v>
      </c>
      <c r="C113" s="334" t="s">
        <v>127</v>
      </c>
      <c r="D113" s="334" t="s">
        <v>92</v>
      </c>
      <c r="E113" s="335"/>
      <c r="F113" s="336" t="s">
        <v>174</v>
      </c>
      <c r="G113" s="337" t="s">
        <v>154</v>
      </c>
      <c r="H113" s="338" t="s">
        <v>43</v>
      </c>
      <c r="I113" s="414"/>
      <c r="J113" s="339">
        <v>0</v>
      </c>
      <c r="K113" s="340">
        <v>0</v>
      </c>
      <c r="L113" s="341">
        <v>0</v>
      </c>
      <c r="M113" s="341">
        <v>0</v>
      </c>
      <c r="N113" s="342">
        <f>K113-L113-M113</f>
        <v>0</v>
      </c>
      <c r="O113" s="342">
        <v>0</v>
      </c>
      <c r="P113" s="343"/>
      <c r="Q113" s="376">
        <v>211734</v>
      </c>
      <c r="R113" s="192">
        <f>SUM(P113:Q113)</f>
        <v>211734</v>
      </c>
      <c r="S113" s="321">
        <v>10</v>
      </c>
      <c r="T113" s="572"/>
      <c r="U113" s="323"/>
      <c r="V113" s="344"/>
      <c r="X113" s="7">
        <v>177854.54</v>
      </c>
      <c r="Y113" s="600">
        <f t="shared" si="21"/>
        <v>-177854.54</v>
      </c>
    </row>
    <row r="114" spans="1:25" s="553" customFormat="1" x14ac:dyDescent="0.2">
      <c r="B114" s="447" t="s">
        <v>132</v>
      </c>
      <c r="C114" s="448" t="s">
        <v>127</v>
      </c>
      <c r="D114" s="449" t="s">
        <v>66</v>
      </c>
      <c r="E114" s="450"/>
      <c r="F114" s="554" t="s">
        <v>346</v>
      </c>
      <c r="G114" s="555" t="s">
        <v>154</v>
      </c>
      <c r="H114" s="453" t="s">
        <v>42</v>
      </c>
      <c r="I114" s="454"/>
      <c r="J114" s="455">
        <v>150380</v>
      </c>
      <c r="K114" s="456">
        <f>139125-22518</f>
        <v>116607</v>
      </c>
      <c r="L114" s="457"/>
      <c r="M114" s="457"/>
      <c r="N114" s="457"/>
      <c r="O114" s="458">
        <v>0</v>
      </c>
      <c r="P114" s="459">
        <v>150380</v>
      </c>
      <c r="Q114" s="460">
        <v>-150380</v>
      </c>
      <c r="R114" s="459">
        <f t="shared" si="32"/>
        <v>0</v>
      </c>
      <c r="S114" s="556"/>
      <c r="T114" s="581"/>
      <c r="U114" s="557"/>
      <c r="X114" s="7">
        <v>113705.4</v>
      </c>
      <c r="Y114" s="600">
        <f t="shared" si="21"/>
        <v>-113705.4</v>
      </c>
    </row>
    <row r="115" spans="1:25" s="553" customFormat="1" x14ac:dyDescent="0.2">
      <c r="B115" s="474" t="s">
        <v>132</v>
      </c>
      <c r="C115" s="475" t="s">
        <v>127</v>
      </c>
      <c r="D115" s="476" t="s">
        <v>335</v>
      </c>
      <c r="E115" s="474"/>
      <c r="F115" s="475" t="s">
        <v>346</v>
      </c>
      <c r="G115" s="558" t="s">
        <v>154</v>
      </c>
      <c r="H115" s="479" t="s">
        <v>42</v>
      </c>
      <c r="I115" s="480"/>
      <c r="J115" s="481">
        <v>22518</v>
      </c>
      <c r="K115" s="481">
        <v>22518</v>
      </c>
      <c r="L115" s="482">
        <v>113705</v>
      </c>
      <c r="M115" s="482">
        <v>0</v>
      </c>
      <c r="N115" s="482">
        <f>SUM(K114:K115)-L115-M115</f>
        <v>25420</v>
      </c>
      <c r="O115" s="483">
        <v>0</v>
      </c>
      <c r="P115" s="484">
        <v>22518</v>
      </c>
      <c r="Q115" s="485">
        <v>-22518</v>
      </c>
      <c r="R115" s="484">
        <f t="shared" si="32"/>
        <v>0</v>
      </c>
      <c r="S115" s="556"/>
      <c r="T115" s="581"/>
      <c r="U115" s="557"/>
      <c r="X115" s="7">
        <v>113705.4</v>
      </c>
      <c r="Y115" s="600">
        <f t="shared" si="21"/>
        <v>-0.39999999999417923</v>
      </c>
    </row>
    <row r="116" spans="1:25" s="74" customFormat="1" x14ac:dyDescent="0.2">
      <c r="A116" s="74" t="s">
        <v>303</v>
      </c>
      <c r="B116" s="278" t="s">
        <v>132</v>
      </c>
      <c r="C116" s="284" t="s">
        <v>127</v>
      </c>
      <c r="D116" s="283" t="s">
        <v>299</v>
      </c>
      <c r="E116" s="229"/>
      <c r="F116" s="293"/>
      <c r="G116" s="114" t="s">
        <v>154</v>
      </c>
      <c r="H116" s="32" t="s">
        <v>44</v>
      </c>
      <c r="I116" s="140"/>
      <c r="J116" s="176">
        <v>0</v>
      </c>
      <c r="K116" s="62">
        <v>0</v>
      </c>
      <c r="L116" s="177">
        <v>0</v>
      </c>
      <c r="M116" s="177">
        <v>0</v>
      </c>
      <c r="N116" s="177">
        <f t="shared" ref="N116:N124" si="33">K116-L116-M116</f>
        <v>0</v>
      </c>
      <c r="O116" s="180">
        <v>0</v>
      </c>
      <c r="P116" s="192">
        <v>0</v>
      </c>
      <c r="Q116" s="375">
        <v>35000</v>
      </c>
      <c r="R116" s="192">
        <f t="shared" si="28"/>
        <v>35000</v>
      </c>
      <c r="S116" s="94"/>
      <c r="T116" s="569"/>
      <c r="U116" s="78"/>
      <c r="X116" s="7">
        <v>21994.53</v>
      </c>
      <c r="Y116" s="600">
        <f t="shared" si="21"/>
        <v>-21994.53</v>
      </c>
    </row>
    <row r="117" spans="1:25" s="74" customFormat="1" x14ac:dyDescent="0.2">
      <c r="A117" s="74" t="s">
        <v>303</v>
      </c>
      <c r="B117" s="278" t="s">
        <v>132</v>
      </c>
      <c r="C117" s="284" t="s">
        <v>127</v>
      </c>
      <c r="D117" s="283" t="s">
        <v>93</v>
      </c>
      <c r="E117" s="229"/>
      <c r="F117" s="393" t="s">
        <v>332</v>
      </c>
      <c r="G117" s="114" t="s">
        <v>154</v>
      </c>
      <c r="H117" s="32" t="s">
        <v>45</v>
      </c>
      <c r="I117" s="140"/>
      <c r="J117" s="176">
        <v>0</v>
      </c>
      <c r="K117" s="62">
        <v>0</v>
      </c>
      <c r="L117" s="177">
        <v>0</v>
      </c>
      <c r="M117" s="177">
        <v>0</v>
      </c>
      <c r="N117" s="177">
        <v>0</v>
      </c>
      <c r="O117" s="180">
        <v>0</v>
      </c>
      <c r="P117" s="192">
        <v>0</v>
      </c>
      <c r="Q117" s="375">
        <f>100000+15300</f>
        <v>115300</v>
      </c>
      <c r="R117" s="192">
        <f t="shared" si="28"/>
        <v>115300</v>
      </c>
      <c r="S117" s="94"/>
      <c r="T117" s="569">
        <v>15300</v>
      </c>
      <c r="U117" s="78"/>
      <c r="X117" s="7">
        <v>95382.06</v>
      </c>
      <c r="Y117" s="600">
        <f t="shared" si="21"/>
        <v>-95382.06</v>
      </c>
    </row>
    <row r="118" spans="1:25" s="74" customFormat="1" x14ac:dyDescent="0.2">
      <c r="A118" s="74" t="s">
        <v>303</v>
      </c>
      <c r="B118" s="278" t="s">
        <v>132</v>
      </c>
      <c r="C118" s="284" t="s">
        <v>127</v>
      </c>
      <c r="D118" s="283" t="s">
        <v>95</v>
      </c>
      <c r="E118" s="229"/>
      <c r="F118" s="293"/>
      <c r="G118" s="114" t="s">
        <v>154</v>
      </c>
      <c r="H118" s="32" t="s">
        <v>47</v>
      </c>
      <c r="I118" s="140"/>
      <c r="J118" s="176">
        <v>0</v>
      </c>
      <c r="K118" s="62">
        <v>0</v>
      </c>
      <c r="L118" s="177">
        <v>0</v>
      </c>
      <c r="M118" s="177">
        <v>0</v>
      </c>
      <c r="N118" s="177">
        <f t="shared" si="33"/>
        <v>0</v>
      </c>
      <c r="O118" s="180">
        <v>0</v>
      </c>
      <c r="P118" s="192">
        <v>0</v>
      </c>
      <c r="Q118" s="375">
        <v>30000</v>
      </c>
      <c r="R118" s="192">
        <f t="shared" si="28"/>
        <v>30000</v>
      </c>
      <c r="S118" s="94"/>
      <c r="T118" s="569"/>
      <c r="U118" s="78"/>
      <c r="X118" s="7">
        <v>43481.73</v>
      </c>
      <c r="Y118" s="600">
        <f t="shared" si="21"/>
        <v>-43481.73</v>
      </c>
    </row>
    <row r="119" spans="1:25" s="74" customFormat="1" x14ac:dyDescent="0.2">
      <c r="A119" s="74" t="s">
        <v>303</v>
      </c>
      <c r="B119" s="278" t="s">
        <v>132</v>
      </c>
      <c r="C119" s="284" t="s">
        <v>127</v>
      </c>
      <c r="D119" s="283" t="s">
        <v>284</v>
      </c>
      <c r="E119" s="229"/>
      <c r="F119" s="293"/>
      <c r="G119" s="114" t="s">
        <v>154</v>
      </c>
      <c r="H119" s="32" t="s">
        <v>48</v>
      </c>
      <c r="I119" s="140"/>
      <c r="J119" s="176">
        <v>0</v>
      </c>
      <c r="K119" s="62">
        <v>0</v>
      </c>
      <c r="L119" s="177">
        <v>0</v>
      </c>
      <c r="M119" s="177">
        <v>0</v>
      </c>
      <c r="N119" s="177">
        <v>0</v>
      </c>
      <c r="O119" s="180">
        <v>0</v>
      </c>
      <c r="P119" s="192">
        <v>0</v>
      </c>
      <c r="Q119" s="375">
        <v>50000</v>
      </c>
      <c r="R119" s="192">
        <f t="shared" si="28"/>
        <v>50000</v>
      </c>
      <c r="S119" s="94"/>
      <c r="T119" s="569"/>
      <c r="U119" s="78"/>
      <c r="X119" s="7">
        <v>48380.44</v>
      </c>
      <c r="Y119" s="600">
        <f t="shared" si="21"/>
        <v>-48380.44</v>
      </c>
    </row>
    <row r="120" spans="1:25" s="74" customFormat="1" x14ac:dyDescent="0.2">
      <c r="A120" s="74" t="s">
        <v>303</v>
      </c>
      <c r="B120" s="278" t="s">
        <v>132</v>
      </c>
      <c r="C120" s="284" t="s">
        <v>127</v>
      </c>
      <c r="D120" s="283" t="s">
        <v>203</v>
      </c>
      <c r="E120" s="229"/>
      <c r="F120" s="293" t="s">
        <v>143</v>
      </c>
      <c r="G120" s="114" t="s">
        <v>154</v>
      </c>
      <c r="H120" s="32" t="s">
        <v>49</v>
      </c>
      <c r="I120" s="140"/>
      <c r="J120" s="176">
        <v>0</v>
      </c>
      <c r="K120" s="62">
        <v>0</v>
      </c>
      <c r="L120" s="177">
        <v>0</v>
      </c>
      <c r="M120" s="177">
        <v>0</v>
      </c>
      <c r="N120" s="177">
        <f t="shared" si="33"/>
        <v>0</v>
      </c>
      <c r="O120" s="180">
        <v>0</v>
      </c>
      <c r="P120" s="192">
        <v>0</v>
      </c>
      <c r="Q120" s="375">
        <f>450000+40753</f>
        <v>490753</v>
      </c>
      <c r="R120" s="192">
        <f t="shared" si="28"/>
        <v>490753</v>
      </c>
      <c r="S120" s="94"/>
      <c r="T120" s="569">
        <v>40753</v>
      </c>
      <c r="U120" s="78"/>
      <c r="X120" s="7">
        <v>427208.51</v>
      </c>
      <c r="Y120" s="600">
        <f t="shared" si="21"/>
        <v>-427208.51</v>
      </c>
    </row>
    <row r="121" spans="1:25" s="74" customFormat="1" x14ac:dyDescent="0.2">
      <c r="A121" s="74" t="s">
        <v>303</v>
      </c>
      <c r="B121" s="278" t="s">
        <v>132</v>
      </c>
      <c r="C121" s="284" t="s">
        <v>127</v>
      </c>
      <c r="D121" s="283" t="s">
        <v>96</v>
      </c>
      <c r="E121" s="229"/>
      <c r="F121" s="293"/>
      <c r="G121" s="115" t="s">
        <v>167</v>
      </c>
      <c r="H121" s="32" t="s">
        <v>50</v>
      </c>
      <c r="I121" s="140"/>
      <c r="J121" s="176">
        <v>0</v>
      </c>
      <c r="K121" s="62">
        <v>0</v>
      </c>
      <c r="L121" s="177">
        <v>0</v>
      </c>
      <c r="M121" s="177">
        <v>0</v>
      </c>
      <c r="N121" s="177">
        <v>0</v>
      </c>
      <c r="O121" s="180">
        <v>0</v>
      </c>
      <c r="P121" s="192">
        <v>0</v>
      </c>
      <c r="Q121" s="375">
        <v>160000</v>
      </c>
      <c r="R121" s="192">
        <f t="shared" si="28"/>
        <v>160000</v>
      </c>
      <c r="S121" s="94"/>
      <c r="T121" s="569"/>
      <c r="U121" s="78"/>
      <c r="X121" s="7">
        <v>156228.04</v>
      </c>
      <c r="Y121" s="600">
        <f t="shared" si="21"/>
        <v>-156228.04</v>
      </c>
    </row>
    <row r="122" spans="1:25" s="74" customFormat="1" x14ac:dyDescent="0.2">
      <c r="A122" s="74" t="s">
        <v>303</v>
      </c>
      <c r="B122" s="278" t="s">
        <v>132</v>
      </c>
      <c r="C122" s="284" t="s">
        <v>127</v>
      </c>
      <c r="D122" s="283" t="s">
        <v>97</v>
      </c>
      <c r="E122" s="229"/>
      <c r="F122" s="293" t="s">
        <v>327</v>
      </c>
      <c r="G122" s="115" t="s">
        <v>170</v>
      </c>
      <c r="H122" s="32" t="s">
        <v>51</v>
      </c>
      <c r="I122" s="140"/>
      <c r="J122" s="176">
        <v>0</v>
      </c>
      <c r="K122" s="62">
        <v>0</v>
      </c>
      <c r="L122" s="177">
        <v>0</v>
      </c>
      <c r="M122" s="177">
        <v>0</v>
      </c>
      <c r="N122" s="177">
        <f t="shared" si="33"/>
        <v>0</v>
      </c>
      <c r="O122" s="180">
        <v>0</v>
      </c>
      <c r="P122" s="192">
        <v>0</v>
      </c>
      <c r="Q122" s="375">
        <f>40000+12000</f>
        <v>52000</v>
      </c>
      <c r="R122" s="192">
        <f t="shared" si="28"/>
        <v>52000</v>
      </c>
      <c r="S122" s="94"/>
      <c r="T122" s="569">
        <v>12000</v>
      </c>
      <c r="U122" s="78"/>
      <c r="X122" s="7">
        <v>40000</v>
      </c>
      <c r="Y122" s="600">
        <f t="shared" si="21"/>
        <v>-40000</v>
      </c>
    </row>
    <row r="123" spans="1:25" s="74" customFormat="1" x14ac:dyDescent="0.2">
      <c r="A123" s="74" t="s">
        <v>303</v>
      </c>
      <c r="B123" s="231" t="s">
        <v>132</v>
      </c>
      <c r="C123" s="232" t="s">
        <v>127</v>
      </c>
      <c r="D123" s="231" t="s">
        <v>98</v>
      </c>
      <c r="E123" s="231"/>
      <c r="F123" s="280"/>
      <c r="G123" s="165" t="s">
        <v>167</v>
      </c>
      <c r="H123" s="21" t="s">
        <v>52</v>
      </c>
      <c r="I123" s="45"/>
      <c r="J123" s="142">
        <v>0</v>
      </c>
      <c r="K123" s="166">
        <v>0</v>
      </c>
      <c r="L123" s="143">
        <v>0</v>
      </c>
      <c r="M123" s="143">
        <v>0</v>
      </c>
      <c r="N123" s="177">
        <v>0</v>
      </c>
      <c r="O123" s="72">
        <v>0</v>
      </c>
      <c r="P123" s="192">
        <v>0</v>
      </c>
      <c r="Q123" s="375">
        <v>70000</v>
      </c>
      <c r="R123" s="192">
        <f t="shared" si="28"/>
        <v>70000</v>
      </c>
      <c r="S123" s="94"/>
      <c r="T123" s="569"/>
      <c r="U123" s="78"/>
      <c r="X123" s="7">
        <v>69265.78</v>
      </c>
      <c r="Y123" s="600">
        <f t="shared" si="21"/>
        <v>-69265.78</v>
      </c>
    </row>
    <row r="124" spans="1:25" s="74" customFormat="1" x14ac:dyDescent="0.2">
      <c r="A124" s="74" t="s">
        <v>303</v>
      </c>
      <c r="B124" s="244" t="s">
        <v>129</v>
      </c>
      <c r="C124" s="486" t="s">
        <v>145</v>
      </c>
      <c r="D124" s="244" t="s">
        <v>111</v>
      </c>
      <c r="E124" s="244"/>
      <c r="F124" s="244"/>
      <c r="G124" s="140" t="s">
        <v>166</v>
      </c>
      <c r="H124" s="140" t="s">
        <v>57</v>
      </c>
      <c r="I124" s="140"/>
      <c r="J124" s="62">
        <v>0</v>
      </c>
      <c r="K124" s="62">
        <v>0</v>
      </c>
      <c r="L124" s="487">
        <v>0</v>
      </c>
      <c r="M124" s="487">
        <v>0</v>
      </c>
      <c r="N124" s="487">
        <f t="shared" si="33"/>
        <v>0</v>
      </c>
      <c r="O124" s="488">
        <v>0</v>
      </c>
      <c r="P124" s="404">
        <v>0</v>
      </c>
      <c r="Q124" s="489">
        <v>57000</v>
      </c>
      <c r="R124" s="404">
        <f t="shared" si="28"/>
        <v>57000</v>
      </c>
      <c r="S124" s="94"/>
      <c r="T124" s="569"/>
      <c r="U124" s="78"/>
      <c r="X124" s="7">
        <v>56707.51</v>
      </c>
      <c r="Y124" s="600">
        <f t="shared" si="21"/>
        <v>-56707.51</v>
      </c>
    </row>
    <row r="125" spans="1:25" s="74" customFormat="1" x14ac:dyDescent="0.2">
      <c r="A125" s="74" t="s">
        <v>303</v>
      </c>
      <c r="B125" s="259" t="s">
        <v>129</v>
      </c>
      <c r="C125" s="282" t="s">
        <v>145</v>
      </c>
      <c r="D125" s="259" t="s">
        <v>101</v>
      </c>
      <c r="E125" s="259"/>
      <c r="F125" s="259"/>
      <c r="G125" s="33" t="s">
        <v>290</v>
      </c>
      <c r="H125" s="33" t="s">
        <v>53</v>
      </c>
      <c r="I125" s="46"/>
      <c r="J125" s="146">
        <v>0</v>
      </c>
      <c r="K125" s="146">
        <v>0</v>
      </c>
      <c r="L125" s="147"/>
      <c r="M125" s="147"/>
      <c r="N125" s="307"/>
      <c r="O125" s="372"/>
      <c r="P125" s="181">
        <v>0</v>
      </c>
      <c r="Q125" s="371">
        <v>22680</v>
      </c>
      <c r="R125" s="181">
        <f t="shared" si="28"/>
        <v>22680</v>
      </c>
      <c r="S125" s="94"/>
      <c r="T125" s="569"/>
      <c r="U125" s="78"/>
      <c r="X125" s="7">
        <v>365799.79</v>
      </c>
      <c r="Y125" s="600">
        <f t="shared" si="21"/>
        <v>-365799.79</v>
      </c>
    </row>
    <row r="126" spans="1:25" s="74" customFormat="1" x14ac:dyDescent="0.2">
      <c r="A126" s="74" t="s">
        <v>303</v>
      </c>
      <c r="B126" s="259" t="s">
        <v>129</v>
      </c>
      <c r="C126" s="282" t="s">
        <v>145</v>
      </c>
      <c r="D126" s="259" t="s">
        <v>102</v>
      </c>
      <c r="E126" s="259"/>
      <c r="F126" s="259"/>
      <c r="G126" s="33" t="s">
        <v>163</v>
      </c>
      <c r="H126" s="33" t="s">
        <v>53</v>
      </c>
      <c r="I126" s="46"/>
      <c r="J126" s="146">
        <v>0</v>
      </c>
      <c r="K126" s="146">
        <v>0</v>
      </c>
      <c r="L126" s="147"/>
      <c r="M126" s="147"/>
      <c r="N126" s="307"/>
      <c r="O126" s="372"/>
      <c r="P126" s="181">
        <v>0</v>
      </c>
      <c r="Q126" s="371">
        <v>18636</v>
      </c>
      <c r="R126" s="181">
        <f t="shared" si="28"/>
        <v>18636</v>
      </c>
      <c r="S126" s="94"/>
      <c r="T126" s="569"/>
      <c r="U126" s="78"/>
      <c r="X126" s="7">
        <v>365799.79</v>
      </c>
      <c r="Y126" s="600">
        <f t="shared" si="21"/>
        <v>-365799.79</v>
      </c>
    </row>
    <row r="127" spans="1:25" s="74" customFormat="1" x14ac:dyDescent="0.2">
      <c r="A127" s="74" t="s">
        <v>303</v>
      </c>
      <c r="B127" s="259" t="s">
        <v>129</v>
      </c>
      <c r="C127" s="282" t="s">
        <v>145</v>
      </c>
      <c r="D127" s="259" t="s">
        <v>103</v>
      </c>
      <c r="E127" s="259"/>
      <c r="F127" s="259"/>
      <c r="G127" s="33" t="s">
        <v>165</v>
      </c>
      <c r="H127" s="33" t="s">
        <v>53</v>
      </c>
      <c r="I127" s="46"/>
      <c r="J127" s="146">
        <v>0</v>
      </c>
      <c r="K127" s="146">
        <v>0</v>
      </c>
      <c r="L127" s="147"/>
      <c r="M127" s="147"/>
      <c r="N127" s="307"/>
      <c r="O127" s="372"/>
      <c r="P127" s="181">
        <v>0</v>
      </c>
      <c r="Q127" s="371">
        <v>14732</v>
      </c>
      <c r="R127" s="181">
        <f t="shared" si="28"/>
        <v>14732</v>
      </c>
      <c r="S127" s="94"/>
      <c r="T127" s="569"/>
      <c r="U127" s="78"/>
      <c r="X127" s="7">
        <v>365799.79</v>
      </c>
      <c r="Y127" s="600">
        <f t="shared" si="21"/>
        <v>-365799.79</v>
      </c>
    </row>
    <row r="128" spans="1:25" s="74" customFormat="1" x14ac:dyDescent="0.2">
      <c r="A128" s="74" t="s">
        <v>303</v>
      </c>
      <c r="B128" s="259" t="s">
        <v>129</v>
      </c>
      <c r="C128" s="282" t="s">
        <v>145</v>
      </c>
      <c r="D128" s="259" t="s">
        <v>104</v>
      </c>
      <c r="E128" s="259"/>
      <c r="F128" s="259"/>
      <c r="G128" s="33" t="s">
        <v>155</v>
      </c>
      <c r="H128" s="33" t="s">
        <v>53</v>
      </c>
      <c r="I128" s="46"/>
      <c r="J128" s="146">
        <v>0</v>
      </c>
      <c r="K128" s="146">
        <v>0</v>
      </c>
      <c r="L128" s="147"/>
      <c r="M128" s="147"/>
      <c r="N128" s="307"/>
      <c r="O128" s="372"/>
      <c r="P128" s="181">
        <v>0</v>
      </c>
      <c r="Q128" s="371">
        <v>4090</v>
      </c>
      <c r="R128" s="181">
        <f t="shared" si="28"/>
        <v>4090</v>
      </c>
      <c r="S128" s="94"/>
      <c r="T128" s="569"/>
      <c r="U128" s="78"/>
      <c r="X128" s="7">
        <v>365799.79</v>
      </c>
      <c r="Y128" s="600">
        <f t="shared" si="21"/>
        <v>-365799.79</v>
      </c>
    </row>
    <row r="129" spans="1:25" s="74" customFormat="1" x14ac:dyDescent="0.2">
      <c r="A129" s="74" t="s">
        <v>303</v>
      </c>
      <c r="B129" s="259" t="s">
        <v>129</v>
      </c>
      <c r="C129" s="282" t="s">
        <v>145</v>
      </c>
      <c r="D129" s="259" t="s">
        <v>105</v>
      </c>
      <c r="E129" s="259"/>
      <c r="F129" s="259"/>
      <c r="G129" s="33" t="s">
        <v>155</v>
      </c>
      <c r="H129" s="33" t="s">
        <v>53</v>
      </c>
      <c r="I129" s="46"/>
      <c r="J129" s="146">
        <v>0</v>
      </c>
      <c r="K129" s="146">
        <v>0</v>
      </c>
      <c r="L129" s="147"/>
      <c r="M129" s="147"/>
      <c r="N129" s="307"/>
      <c r="O129" s="372"/>
      <c r="P129" s="181">
        <v>0</v>
      </c>
      <c r="Q129" s="371">
        <v>2000</v>
      </c>
      <c r="R129" s="181">
        <f t="shared" si="28"/>
        <v>2000</v>
      </c>
      <c r="S129" s="94"/>
      <c r="T129" s="569"/>
      <c r="U129" s="78"/>
      <c r="X129" s="7">
        <v>365799.79</v>
      </c>
      <c r="Y129" s="600">
        <f t="shared" si="21"/>
        <v>-365799.79</v>
      </c>
    </row>
    <row r="130" spans="1:25" s="74" customFormat="1" x14ac:dyDescent="0.2">
      <c r="A130" s="74" t="s">
        <v>303</v>
      </c>
      <c r="B130" s="259" t="s">
        <v>129</v>
      </c>
      <c r="C130" s="282" t="s">
        <v>145</v>
      </c>
      <c r="D130" s="259" t="s">
        <v>106</v>
      </c>
      <c r="E130" s="259"/>
      <c r="F130" s="259"/>
      <c r="G130" s="33" t="s">
        <v>155</v>
      </c>
      <c r="H130" s="33" t="s">
        <v>53</v>
      </c>
      <c r="I130" s="46"/>
      <c r="J130" s="146">
        <v>0</v>
      </c>
      <c r="K130" s="146">
        <v>0</v>
      </c>
      <c r="L130" s="147"/>
      <c r="M130" s="147"/>
      <c r="N130" s="307"/>
      <c r="O130" s="372"/>
      <c r="P130" s="181">
        <v>0</v>
      </c>
      <c r="Q130" s="371">
        <v>300</v>
      </c>
      <c r="R130" s="181">
        <f t="shared" si="28"/>
        <v>300</v>
      </c>
      <c r="S130" s="94"/>
      <c r="T130" s="569"/>
      <c r="U130" s="78"/>
      <c r="X130" s="7">
        <v>365799.79</v>
      </c>
      <c r="Y130" s="600">
        <f t="shared" si="21"/>
        <v>-365799.79</v>
      </c>
    </row>
    <row r="131" spans="1:25" s="74" customFormat="1" x14ac:dyDescent="0.2">
      <c r="A131" s="74" t="s">
        <v>303</v>
      </c>
      <c r="B131" s="259" t="s">
        <v>129</v>
      </c>
      <c r="C131" s="282" t="s">
        <v>145</v>
      </c>
      <c r="D131" s="259" t="s">
        <v>285</v>
      </c>
      <c r="E131" s="259"/>
      <c r="F131" s="259"/>
      <c r="G131" s="33" t="s">
        <v>155</v>
      </c>
      <c r="H131" s="33" t="s">
        <v>53</v>
      </c>
      <c r="I131" s="46"/>
      <c r="J131" s="146">
        <v>0</v>
      </c>
      <c r="K131" s="146">
        <v>0</v>
      </c>
      <c r="L131" s="147"/>
      <c r="M131" s="147"/>
      <c r="N131" s="307"/>
      <c r="O131" s="372"/>
      <c r="P131" s="181">
        <v>0</v>
      </c>
      <c r="Q131" s="371">
        <v>250000</v>
      </c>
      <c r="R131" s="181">
        <f t="shared" si="28"/>
        <v>250000</v>
      </c>
      <c r="S131" s="94"/>
      <c r="T131" s="569"/>
      <c r="U131" s="78"/>
      <c r="X131" s="7">
        <v>365799.79</v>
      </c>
      <c r="Y131" s="600">
        <f t="shared" si="21"/>
        <v>-365799.79</v>
      </c>
    </row>
    <row r="132" spans="1:25" s="74" customFormat="1" x14ac:dyDescent="0.2">
      <c r="A132" s="74" t="s">
        <v>303</v>
      </c>
      <c r="B132" s="259" t="s">
        <v>129</v>
      </c>
      <c r="C132" s="282" t="s">
        <v>145</v>
      </c>
      <c r="D132" s="259" t="s">
        <v>107</v>
      </c>
      <c r="E132" s="259"/>
      <c r="F132" s="259"/>
      <c r="G132" s="33" t="s">
        <v>155</v>
      </c>
      <c r="H132" s="33" t="s">
        <v>53</v>
      </c>
      <c r="I132" s="46"/>
      <c r="J132" s="146">
        <v>0</v>
      </c>
      <c r="K132" s="146">
        <v>0</v>
      </c>
      <c r="L132" s="147"/>
      <c r="M132" s="147"/>
      <c r="N132" s="307"/>
      <c r="O132" s="372"/>
      <c r="P132" s="181">
        <v>0</v>
      </c>
      <c r="Q132" s="371">
        <v>2640</v>
      </c>
      <c r="R132" s="181">
        <f t="shared" si="28"/>
        <v>2640</v>
      </c>
      <c r="S132" s="94"/>
      <c r="T132" s="569"/>
      <c r="U132" s="78"/>
      <c r="X132" s="7">
        <v>365799.79</v>
      </c>
      <c r="Y132" s="600">
        <f t="shared" si="21"/>
        <v>-365799.79</v>
      </c>
    </row>
    <row r="133" spans="1:25" s="74" customFormat="1" x14ac:dyDescent="0.2">
      <c r="A133" s="74" t="s">
        <v>303</v>
      </c>
      <c r="B133" s="259" t="s">
        <v>129</v>
      </c>
      <c r="C133" s="282" t="s">
        <v>145</v>
      </c>
      <c r="D133" s="259" t="s">
        <v>108</v>
      </c>
      <c r="E133" s="259"/>
      <c r="F133" s="259"/>
      <c r="G133" s="33" t="s">
        <v>163</v>
      </c>
      <c r="H133" s="33" t="s">
        <v>53</v>
      </c>
      <c r="I133" s="46"/>
      <c r="J133" s="146">
        <v>0</v>
      </c>
      <c r="K133" s="146">
        <v>0</v>
      </c>
      <c r="L133" s="147"/>
      <c r="M133" s="147"/>
      <c r="N133" s="307"/>
      <c r="O133" s="372"/>
      <c r="P133" s="181">
        <v>0</v>
      </c>
      <c r="Q133" s="371">
        <v>4152</v>
      </c>
      <c r="R133" s="181">
        <f t="shared" si="28"/>
        <v>4152</v>
      </c>
      <c r="S133" s="94"/>
      <c r="T133" s="569"/>
      <c r="U133" s="78"/>
      <c r="X133" s="7">
        <v>365799.79</v>
      </c>
      <c r="Y133" s="600">
        <f t="shared" si="21"/>
        <v>-365799.79</v>
      </c>
    </row>
    <row r="134" spans="1:25" s="74" customFormat="1" x14ac:dyDescent="0.2">
      <c r="A134" s="74" t="s">
        <v>303</v>
      </c>
      <c r="B134" s="259" t="s">
        <v>129</v>
      </c>
      <c r="C134" s="282" t="s">
        <v>145</v>
      </c>
      <c r="D134" s="259" t="s">
        <v>109</v>
      </c>
      <c r="E134" s="259"/>
      <c r="F134" s="259"/>
      <c r="G134" s="33" t="s">
        <v>165</v>
      </c>
      <c r="H134" s="33" t="s">
        <v>53</v>
      </c>
      <c r="I134" s="46"/>
      <c r="J134" s="146">
        <v>0</v>
      </c>
      <c r="K134" s="146">
        <v>0</v>
      </c>
      <c r="L134" s="147"/>
      <c r="M134" s="147"/>
      <c r="N134" s="307"/>
      <c r="O134" s="372"/>
      <c r="P134" s="181">
        <v>0</v>
      </c>
      <c r="Q134" s="371">
        <v>2640</v>
      </c>
      <c r="R134" s="181">
        <f t="shared" si="28"/>
        <v>2640</v>
      </c>
      <c r="S134" s="94"/>
      <c r="T134" s="569"/>
      <c r="U134" s="78"/>
      <c r="X134" s="7">
        <v>365799.79</v>
      </c>
      <c r="Y134" s="600">
        <f t="shared" ref="Y134:Y199" si="34">L134-X134</f>
        <v>-365799.79</v>
      </c>
    </row>
    <row r="135" spans="1:25" s="74" customFormat="1" x14ac:dyDescent="0.2">
      <c r="A135" s="74" t="s">
        <v>303</v>
      </c>
      <c r="B135" s="490" t="s">
        <v>129</v>
      </c>
      <c r="C135" s="491" t="s">
        <v>145</v>
      </c>
      <c r="D135" s="490" t="s">
        <v>112</v>
      </c>
      <c r="E135" s="490"/>
      <c r="F135" s="490"/>
      <c r="G135" s="46" t="s">
        <v>165</v>
      </c>
      <c r="H135" s="46" t="s">
        <v>53</v>
      </c>
      <c r="I135" s="46"/>
      <c r="J135" s="155">
        <v>0</v>
      </c>
      <c r="K135" s="155">
        <v>0</v>
      </c>
      <c r="L135" s="307"/>
      <c r="M135" s="307"/>
      <c r="N135" s="307"/>
      <c r="O135" s="372"/>
      <c r="P135" s="181">
        <v>0</v>
      </c>
      <c r="Q135" s="371">
        <v>3120</v>
      </c>
      <c r="R135" s="181">
        <f t="shared" si="28"/>
        <v>3120</v>
      </c>
      <c r="S135" s="94"/>
      <c r="T135" s="569"/>
      <c r="U135" s="78"/>
      <c r="X135" s="7">
        <v>365799.79</v>
      </c>
      <c r="Y135" s="600">
        <f t="shared" si="34"/>
        <v>-365799.79</v>
      </c>
    </row>
    <row r="136" spans="1:25" s="74" customFormat="1" x14ac:dyDescent="0.2">
      <c r="A136" s="74" t="s">
        <v>303</v>
      </c>
      <c r="B136" s="490" t="s">
        <v>129</v>
      </c>
      <c r="C136" s="491" t="s">
        <v>145</v>
      </c>
      <c r="D136" s="490" t="s">
        <v>99</v>
      </c>
      <c r="E136" s="490"/>
      <c r="F136" s="490"/>
      <c r="G136" s="46" t="s">
        <v>164</v>
      </c>
      <c r="H136" s="46" t="s">
        <v>53</v>
      </c>
      <c r="I136" s="46"/>
      <c r="J136" s="155">
        <v>0</v>
      </c>
      <c r="K136" s="155">
        <v>0</v>
      </c>
      <c r="L136" s="307"/>
      <c r="M136" s="307"/>
      <c r="N136" s="307"/>
      <c r="O136" s="372"/>
      <c r="P136" s="181">
        <v>0</v>
      </c>
      <c r="Q136" s="371">
        <v>35893</v>
      </c>
      <c r="R136" s="181">
        <f>SUM(P136:Q136)</f>
        <v>35893</v>
      </c>
      <c r="S136" s="94"/>
      <c r="T136" s="569"/>
      <c r="U136" s="78"/>
      <c r="X136" s="7">
        <v>365799.79</v>
      </c>
      <c r="Y136" s="600">
        <f t="shared" si="34"/>
        <v>-365799.79</v>
      </c>
    </row>
    <row r="137" spans="1:25" s="74" customFormat="1" x14ac:dyDescent="0.2">
      <c r="A137" s="74" t="s">
        <v>303</v>
      </c>
      <c r="B137" s="259" t="s">
        <v>129</v>
      </c>
      <c r="C137" s="282" t="s">
        <v>145</v>
      </c>
      <c r="D137" s="259" t="s">
        <v>100</v>
      </c>
      <c r="E137" s="259"/>
      <c r="F137" s="259"/>
      <c r="G137" s="33" t="s">
        <v>164</v>
      </c>
      <c r="H137" s="33" t="s">
        <v>53</v>
      </c>
      <c r="I137" s="46"/>
      <c r="J137" s="146">
        <v>0</v>
      </c>
      <c r="K137" s="146">
        <v>0</v>
      </c>
      <c r="L137" s="147"/>
      <c r="M137" s="147"/>
      <c r="N137" s="147"/>
      <c r="O137" s="156"/>
      <c r="P137" s="181">
        <v>0</v>
      </c>
      <c r="Q137" s="371">
        <v>12890</v>
      </c>
      <c r="R137" s="181">
        <f>SUM(P137:Q137)</f>
        <v>12890</v>
      </c>
      <c r="S137" s="94"/>
      <c r="T137" s="569"/>
      <c r="U137" s="78"/>
      <c r="X137" s="7">
        <v>365799.79</v>
      </c>
      <c r="Y137" s="600">
        <f t="shared" si="34"/>
        <v>-365799.79</v>
      </c>
    </row>
    <row r="138" spans="1:25" s="74" customFormat="1" x14ac:dyDescent="0.2">
      <c r="A138" s="74" t="s">
        <v>303</v>
      </c>
      <c r="B138" s="259" t="s">
        <v>129</v>
      </c>
      <c r="C138" s="282" t="s">
        <v>145</v>
      </c>
      <c r="D138" s="259" t="s">
        <v>113</v>
      </c>
      <c r="E138" s="259"/>
      <c r="F138" s="259" t="s">
        <v>247</v>
      </c>
      <c r="G138" s="33"/>
      <c r="H138" s="33" t="s">
        <v>53</v>
      </c>
      <c r="I138" s="46"/>
      <c r="J138" s="146">
        <v>0</v>
      </c>
      <c r="K138" s="146">
        <v>0</v>
      </c>
      <c r="L138" s="147"/>
      <c r="M138" s="147"/>
      <c r="N138" s="307"/>
      <c r="O138" s="372"/>
      <c r="P138" s="181">
        <v>0</v>
      </c>
      <c r="Q138" s="371">
        <v>0</v>
      </c>
      <c r="R138" s="181">
        <f t="shared" si="28"/>
        <v>0</v>
      </c>
      <c r="S138" s="94"/>
      <c r="T138" s="569"/>
      <c r="U138" s="78"/>
      <c r="X138" s="7">
        <v>365799.79</v>
      </c>
      <c r="Y138" s="600">
        <f t="shared" si="34"/>
        <v>-365799.79</v>
      </c>
    </row>
    <row r="139" spans="1:25" s="74" customFormat="1" x14ac:dyDescent="0.2">
      <c r="A139" s="74" t="s">
        <v>303</v>
      </c>
      <c r="B139" s="221" t="s">
        <v>129</v>
      </c>
      <c r="C139" s="277" t="s">
        <v>145</v>
      </c>
      <c r="D139" s="221" t="s">
        <v>114</v>
      </c>
      <c r="E139" s="221"/>
      <c r="F139" s="221"/>
      <c r="G139" s="17" t="s">
        <v>165</v>
      </c>
      <c r="H139" s="17" t="s">
        <v>53</v>
      </c>
      <c r="I139" s="34"/>
      <c r="J139" s="150">
        <v>0</v>
      </c>
      <c r="K139" s="150">
        <v>0</v>
      </c>
      <c r="L139" s="107"/>
      <c r="M139" s="107"/>
      <c r="N139" s="71"/>
      <c r="O139" s="390"/>
      <c r="P139" s="391">
        <v>0</v>
      </c>
      <c r="Q139" s="382">
        <v>6300</v>
      </c>
      <c r="R139" s="391">
        <f t="shared" si="28"/>
        <v>6300</v>
      </c>
      <c r="S139" s="94"/>
      <c r="T139" s="569"/>
      <c r="U139" s="78"/>
      <c r="X139" s="7">
        <v>365799.79</v>
      </c>
      <c r="Y139" s="600">
        <f t="shared" si="34"/>
        <v>-365799.79</v>
      </c>
    </row>
    <row r="140" spans="1:25" s="74" customFormat="1" ht="12" customHeight="1" x14ac:dyDescent="0.2">
      <c r="B140" s="278" t="s">
        <v>128</v>
      </c>
      <c r="C140" s="354"/>
      <c r="D140" s="357" t="s">
        <v>339</v>
      </c>
      <c r="E140" s="229"/>
      <c r="F140" s="229"/>
      <c r="G140" s="49" t="s">
        <v>163</v>
      </c>
      <c r="H140" s="16" t="s">
        <v>336</v>
      </c>
      <c r="I140" s="48"/>
      <c r="J140" s="355">
        <v>0</v>
      </c>
      <c r="K140" s="355">
        <v>0</v>
      </c>
      <c r="L140" s="65"/>
      <c r="M140" s="65"/>
      <c r="N140" s="65"/>
      <c r="O140" s="358"/>
      <c r="P140" s="192"/>
      <c r="Q140" s="375">
        <v>44260</v>
      </c>
      <c r="R140" s="192">
        <f>SUM(P140:Q140)</f>
        <v>44260</v>
      </c>
      <c r="S140" s="94"/>
      <c r="T140" s="569">
        <v>44260</v>
      </c>
      <c r="U140" s="78"/>
      <c r="X140" s="7"/>
      <c r="Y140" s="600">
        <f t="shared" si="34"/>
        <v>0</v>
      </c>
    </row>
    <row r="141" spans="1:25" s="74" customFormat="1" ht="12" customHeight="1" x14ac:dyDescent="0.2">
      <c r="B141" s="278" t="s">
        <v>128</v>
      </c>
      <c r="C141" s="354"/>
      <c r="D141" s="357" t="s">
        <v>338</v>
      </c>
      <c r="E141" s="229"/>
      <c r="F141" s="229"/>
      <c r="G141" s="49" t="s">
        <v>163</v>
      </c>
      <c r="H141" s="16" t="s">
        <v>337</v>
      </c>
      <c r="I141" s="48"/>
      <c r="J141" s="355">
        <v>0</v>
      </c>
      <c r="K141" s="355">
        <v>0</v>
      </c>
      <c r="L141" s="65"/>
      <c r="M141" s="65"/>
      <c r="N141" s="65"/>
      <c r="O141" s="358"/>
      <c r="P141" s="192"/>
      <c r="Q141" s="375">
        <v>44260</v>
      </c>
      <c r="R141" s="192">
        <f>SUM(P141:Q141)</f>
        <v>44260</v>
      </c>
      <c r="S141" s="94"/>
      <c r="T141" s="569">
        <v>44260</v>
      </c>
      <c r="U141" s="78"/>
      <c r="X141" s="7"/>
      <c r="Y141" s="600">
        <f t="shared" si="34"/>
        <v>0</v>
      </c>
    </row>
    <row r="142" spans="1:25" s="74" customFormat="1" ht="12" customHeight="1" x14ac:dyDescent="0.2">
      <c r="B142" s="229" t="s">
        <v>130</v>
      </c>
      <c r="C142" s="354"/>
      <c r="D142" s="357" t="s">
        <v>325</v>
      </c>
      <c r="E142" s="229"/>
      <c r="F142" s="229"/>
      <c r="G142" s="49" t="s">
        <v>165</v>
      </c>
      <c r="H142" s="16" t="s">
        <v>326</v>
      </c>
      <c r="I142" s="48"/>
      <c r="J142" s="355">
        <v>0</v>
      </c>
      <c r="K142" s="355">
        <v>0</v>
      </c>
      <c r="L142" s="65"/>
      <c r="M142" s="65"/>
      <c r="N142" s="65"/>
      <c r="O142" s="358"/>
      <c r="P142" s="192"/>
      <c r="Q142" s="375">
        <v>20000</v>
      </c>
      <c r="R142" s="192">
        <f>SUM(P142:Q142)</f>
        <v>20000</v>
      </c>
      <c r="S142" s="94"/>
      <c r="T142" s="569">
        <v>20000</v>
      </c>
      <c r="U142" s="78"/>
      <c r="X142" s="7"/>
      <c r="Y142" s="600">
        <f t="shared" ref="Y142" si="35">L142-X142</f>
        <v>0</v>
      </c>
    </row>
    <row r="143" spans="1:25" s="74" customFormat="1" ht="12" customHeight="1" thickBot="1" x14ac:dyDescent="0.25">
      <c r="B143" s="229" t="s">
        <v>128</v>
      </c>
      <c r="C143" s="354"/>
      <c r="D143" s="357" t="s">
        <v>367</v>
      </c>
      <c r="E143" s="229"/>
      <c r="F143" s="229"/>
      <c r="G143" s="49" t="s">
        <v>165</v>
      </c>
      <c r="H143" s="16" t="s">
        <v>368</v>
      </c>
      <c r="I143" s="608"/>
      <c r="J143" s="355">
        <v>0</v>
      </c>
      <c r="K143" s="355">
        <v>0</v>
      </c>
      <c r="L143" s="65"/>
      <c r="M143" s="65"/>
      <c r="N143" s="65"/>
      <c r="O143" s="358"/>
      <c r="P143" s="192"/>
      <c r="Q143" s="606">
        <v>238000</v>
      </c>
      <c r="R143" s="607">
        <f>SUM(P143:Q143)</f>
        <v>238000</v>
      </c>
      <c r="S143" s="94"/>
      <c r="T143" s="569">
        <v>238000</v>
      </c>
      <c r="U143" s="78"/>
      <c r="X143" s="7"/>
      <c r="Y143" s="600">
        <f t="shared" si="34"/>
        <v>0</v>
      </c>
    </row>
    <row r="144" spans="1:25" s="74" customFormat="1" ht="15.75" thickBot="1" x14ac:dyDescent="0.25">
      <c r="B144" s="120"/>
      <c r="C144" s="121"/>
      <c r="D144" s="122"/>
      <c r="E144" s="122"/>
      <c r="F144" s="122"/>
      <c r="G144" s="122"/>
      <c r="H144" s="169" t="s">
        <v>133</v>
      </c>
      <c r="I144" s="169"/>
      <c r="J144" s="124">
        <f t="shared" ref="J144:R144" si="36">SUM(J73:J79,J85,J91:J97,J101,J104:J143)</f>
        <v>4723393</v>
      </c>
      <c r="K144" s="124">
        <f t="shared" si="36"/>
        <v>4850642</v>
      </c>
      <c r="L144" s="125">
        <f t="shared" si="36"/>
        <v>4708335.68</v>
      </c>
      <c r="M144" s="125">
        <f t="shared" si="36"/>
        <v>0</v>
      </c>
      <c r="N144" s="125">
        <f t="shared" si="36"/>
        <v>142306.32</v>
      </c>
      <c r="O144" s="125">
        <f t="shared" si="36"/>
        <v>-225500</v>
      </c>
      <c r="P144" s="124">
        <f t="shared" si="36"/>
        <v>4497892.5</v>
      </c>
      <c r="Q144" s="125">
        <f t="shared" si="36"/>
        <v>10088980</v>
      </c>
      <c r="R144" s="124">
        <f t="shared" si="36"/>
        <v>14586872.5</v>
      </c>
      <c r="S144" s="94"/>
      <c r="T144" s="569"/>
      <c r="U144" s="78"/>
      <c r="X144" s="7"/>
      <c r="Y144" s="600">
        <f t="shared" si="34"/>
        <v>4708335.68</v>
      </c>
    </row>
    <row r="145" spans="1:25" s="134" customFormat="1" ht="17.25" customHeight="1" x14ac:dyDescent="0.2">
      <c r="B145" s="127"/>
      <c r="C145" s="128"/>
      <c r="D145" s="127"/>
      <c r="E145" s="127"/>
      <c r="F145" s="127"/>
      <c r="G145" s="127"/>
      <c r="H145" s="170"/>
      <c r="I145" s="170"/>
      <c r="J145" s="521" t="s">
        <v>340</v>
      </c>
      <c r="K145" s="131"/>
      <c r="L145" s="171"/>
      <c r="M145" s="171"/>
      <c r="N145" s="131"/>
      <c r="O145" s="521" t="s">
        <v>340</v>
      </c>
      <c r="P145" s="521" t="s">
        <v>340</v>
      </c>
      <c r="Q145" s="131"/>
      <c r="R145" s="131"/>
      <c r="S145" s="132"/>
      <c r="T145" s="574"/>
      <c r="U145" s="133"/>
      <c r="X145" s="7"/>
      <c r="Y145" s="600">
        <f t="shared" si="34"/>
        <v>0</v>
      </c>
    </row>
    <row r="146" spans="1:25" s="153" customFormat="1" ht="15.75" thickBot="1" x14ac:dyDescent="0.25">
      <c r="B146" s="172" t="s">
        <v>67</v>
      </c>
      <c r="D146" s="129"/>
      <c r="E146" s="129"/>
      <c r="F146" s="129"/>
      <c r="G146" s="129"/>
      <c r="H146" s="129"/>
      <c r="I146" s="129"/>
      <c r="J146" s="173"/>
      <c r="K146" s="173"/>
      <c r="L146" s="173"/>
      <c r="M146" s="173"/>
      <c r="N146" s="173"/>
      <c r="O146" s="174"/>
      <c r="P146" s="175"/>
      <c r="Q146" s="361"/>
      <c r="R146" s="361"/>
      <c r="S146" s="152"/>
      <c r="T146" s="579"/>
      <c r="U146" s="50"/>
      <c r="X146" s="7"/>
      <c r="Y146" s="600">
        <f t="shared" si="34"/>
        <v>0</v>
      </c>
    </row>
    <row r="147" spans="1:25" x14ac:dyDescent="0.2">
      <c r="B147" s="79" t="s">
        <v>118</v>
      </c>
      <c r="C147" s="80"/>
      <c r="D147" s="81"/>
      <c r="E147" s="81"/>
      <c r="F147" s="80"/>
      <c r="G147" s="80"/>
      <c r="H147" s="80"/>
      <c r="I147" s="80"/>
      <c r="J147" s="82" t="s">
        <v>117</v>
      </c>
      <c r="K147" s="83">
        <v>0.90909090909090906</v>
      </c>
      <c r="L147" s="84" t="s">
        <v>123</v>
      </c>
      <c r="M147" s="84"/>
      <c r="N147" s="84" t="s">
        <v>124</v>
      </c>
      <c r="O147" s="85" t="s">
        <v>121</v>
      </c>
      <c r="P147" s="86" t="s">
        <v>58</v>
      </c>
      <c r="Q147" s="85" t="s">
        <v>121</v>
      </c>
      <c r="R147" s="86" t="s">
        <v>58</v>
      </c>
      <c r="X147" s="7"/>
      <c r="Y147" s="600" t="e">
        <f t="shared" si="34"/>
        <v>#VALUE!</v>
      </c>
    </row>
    <row r="148" spans="1:25" s="74" customFormat="1" ht="15.75" thickBot="1" x14ac:dyDescent="0.25">
      <c r="B148" s="87" t="s">
        <v>148</v>
      </c>
      <c r="C148" s="88" t="s">
        <v>125</v>
      </c>
      <c r="D148" s="88" t="s">
        <v>61</v>
      </c>
      <c r="E148" s="88"/>
      <c r="F148" s="88" t="s">
        <v>147</v>
      </c>
      <c r="G148" s="88" t="s">
        <v>149</v>
      </c>
      <c r="H148" s="88" t="s">
        <v>62</v>
      </c>
      <c r="I148" s="88"/>
      <c r="J148" s="89" t="s">
        <v>120</v>
      </c>
      <c r="K148" s="90" t="s">
        <v>272</v>
      </c>
      <c r="L148" s="91" t="s">
        <v>342</v>
      </c>
      <c r="M148" s="91" t="s">
        <v>119</v>
      </c>
      <c r="N148" s="91" t="s">
        <v>118</v>
      </c>
      <c r="O148" s="92" t="s">
        <v>122</v>
      </c>
      <c r="P148" s="93" t="s">
        <v>59</v>
      </c>
      <c r="Q148" s="92" t="s">
        <v>122</v>
      </c>
      <c r="R148" s="93" t="s">
        <v>120</v>
      </c>
      <c r="S148" s="94"/>
      <c r="T148" s="569"/>
      <c r="U148" s="78"/>
      <c r="X148" s="7"/>
      <c r="Y148" s="600" t="e">
        <f t="shared" si="34"/>
        <v>#VALUE!</v>
      </c>
    </row>
    <row r="149" spans="1:25" s="74" customFormat="1" x14ac:dyDescent="0.2">
      <c r="B149" s="283" t="s">
        <v>3</v>
      </c>
      <c r="C149" s="284" t="s">
        <v>161</v>
      </c>
      <c r="D149" s="283" t="s">
        <v>69</v>
      </c>
      <c r="E149" s="229"/>
      <c r="F149" s="6"/>
      <c r="G149" s="5" t="s">
        <v>268</v>
      </c>
      <c r="H149" s="32" t="s">
        <v>2</v>
      </c>
      <c r="I149" s="140" t="s">
        <v>357</v>
      </c>
      <c r="J149" s="176">
        <v>16000</v>
      </c>
      <c r="K149" s="62">
        <v>16000</v>
      </c>
      <c r="L149" s="177">
        <v>10150</v>
      </c>
      <c r="M149" s="177">
        <v>0</v>
      </c>
      <c r="N149" s="177">
        <f>K149-L149-M149</f>
        <v>5850</v>
      </c>
      <c r="O149" s="180">
        <v>0</v>
      </c>
      <c r="P149" s="179">
        <v>16000</v>
      </c>
      <c r="Q149" s="392">
        <v>0</v>
      </c>
      <c r="R149" s="402">
        <f>SUM(P149:Q149)</f>
        <v>16000</v>
      </c>
      <c r="S149" s="94"/>
      <c r="T149" s="569"/>
      <c r="U149" s="78"/>
      <c r="X149" s="7">
        <v>10150</v>
      </c>
      <c r="Y149" s="600">
        <f t="shared" si="34"/>
        <v>0</v>
      </c>
    </row>
    <row r="150" spans="1:25" s="74" customFormat="1" x14ac:dyDescent="0.2">
      <c r="B150" s="283" t="s">
        <v>3</v>
      </c>
      <c r="C150" s="367"/>
      <c r="D150" s="256" t="s">
        <v>353</v>
      </c>
      <c r="E150" s="256"/>
      <c r="F150" s="256"/>
      <c r="G150" s="45" t="s">
        <v>176</v>
      </c>
      <c r="H150" s="45" t="s">
        <v>328</v>
      </c>
      <c r="I150" s="45"/>
      <c r="J150" s="166"/>
      <c r="K150" s="166"/>
      <c r="L150" s="308"/>
      <c r="M150" s="308"/>
      <c r="N150" s="308"/>
      <c r="O150" s="368"/>
      <c r="P150" s="167"/>
      <c r="Q150" s="375">
        <v>864</v>
      </c>
      <c r="R150" s="192">
        <f>SUM(P150:Q150)</f>
        <v>864</v>
      </c>
      <c r="S150" s="94"/>
      <c r="T150" s="569">
        <v>864</v>
      </c>
      <c r="U150" s="78"/>
      <c r="X150" s="7"/>
      <c r="Y150" s="600">
        <f t="shared" si="34"/>
        <v>0</v>
      </c>
    </row>
    <row r="151" spans="1:25" s="74" customFormat="1" x14ac:dyDescent="0.2">
      <c r="B151" s="231" t="s">
        <v>128</v>
      </c>
      <c r="C151" s="280" t="s">
        <v>160</v>
      </c>
      <c r="D151" s="231" t="s">
        <v>70</v>
      </c>
      <c r="E151" s="231"/>
      <c r="F151" s="231" t="s">
        <v>142</v>
      </c>
      <c r="G151" s="21" t="s">
        <v>153</v>
      </c>
      <c r="H151" s="21" t="s">
        <v>17</v>
      </c>
      <c r="I151" s="45" t="s">
        <v>357</v>
      </c>
      <c r="J151" s="142">
        <v>4506</v>
      </c>
      <c r="K151" s="166">
        <v>4506</v>
      </c>
      <c r="L151" s="143">
        <v>4506</v>
      </c>
      <c r="M151" s="143"/>
      <c r="N151" s="143">
        <f>K151-L151-M151</f>
        <v>0</v>
      </c>
      <c r="O151" s="72">
        <v>450.6</v>
      </c>
      <c r="P151" s="167">
        <v>4956.6000000000004</v>
      </c>
      <c r="Q151" s="378">
        <v>0</v>
      </c>
      <c r="R151" s="167">
        <f t="shared" ref="R151:R220" si="37">SUM(P151:Q151)</f>
        <v>4956.6000000000004</v>
      </c>
      <c r="S151" s="94"/>
      <c r="T151" s="569"/>
      <c r="U151" s="78"/>
      <c r="X151" s="7">
        <v>133860.74</v>
      </c>
      <c r="Y151" s="600">
        <f t="shared" si="34"/>
        <v>-129354.73999999999</v>
      </c>
    </row>
    <row r="152" spans="1:25" s="74" customFormat="1" x14ac:dyDescent="0.2">
      <c r="B152" s="259" t="s">
        <v>128</v>
      </c>
      <c r="C152" s="285" t="s">
        <v>160</v>
      </c>
      <c r="D152" s="259" t="s">
        <v>71</v>
      </c>
      <c r="E152" s="259"/>
      <c r="F152" s="259" t="s">
        <v>142</v>
      </c>
      <c r="G152" s="33" t="s">
        <v>153</v>
      </c>
      <c r="H152" s="33" t="s">
        <v>17</v>
      </c>
      <c r="I152" s="46" t="s">
        <v>357</v>
      </c>
      <c r="J152" s="146">
        <v>121700</v>
      </c>
      <c r="K152" s="155">
        <v>119355</v>
      </c>
      <c r="L152" s="147">
        <f>133861-L151-L153</f>
        <v>119355</v>
      </c>
      <c r="M152" s="147"/>
      <c r="N152" s="147">
        <f>K152-L152-M152</f>
        <v>0</v>
      </c>
      <c r="O152" s="156">
        <v>12170</v>
      </c>
      <c r="P152" s="181">
        <v>133870</v>
      </c>
      <c r="Q152" s="371">
        <v>0</v>
      </c>
      <c r="R152" s="181">
        <f t="shared" si="37"/>
        <v>133870</v>
      </c>
      <c r="S152" s="94"/>
      <c r="T152" s="569"/>
      <c r="U152" s="78"/>
      <c r="X152" s="7">
        <v>133860.74</v>
      </c>
      <c r="Y152" s="600">
        <f t="shared" si="34"/>
        <v>-14505.739999999991</v>
      </c>
    </row>
    <row r="153" spans="1:25" s="74" customFormat="1" x14ac:dyDescent="0.2">
      <c r="B153" s="221" t="s">
        <v>128</v>
      </c>
      <c r="C153" s="281" t="s">
        <v>160</v>
      </c>
      <c r="D153" s="221" t="s">
        <v>351</v>
      </c>
      <c r="E153" s="221"/>
      <c r="F153" s="221"/>
      <c r="G153" s="17" t="s">
        <v>153</v>
      </c>
      <c r="H153" s="17" t="s">
        <v>17</v>
      </c>
      <c r="I153" s="34" t="s">
        <v>357</v>
      </c>
      <c r="J153" s="150">
        <v>10000</v>
      </c>
      <c r="K153" s="157">
        <v>10000</v>
      </c>
      <c r="L153" s="107">
        <v>10000</v>
      </c>
      <c r="M153" s="107"/>
      <c r="N153" s="107">
        <f>K153-L153-M153</f>
        <v>0</v>
      </c>
      <c r="O153" s="158">
        <v>0</v>
      </c>
      <c r="P153" s="168">
        <v>10000</v>
      </c>
      <c r="Q153" s="382">
        <v>0</v>
      </c>
      <c r="R153" s="391">
        <f t="shared" si="37"/>
        <v>10000</v>
      </c>
      <c r="S153" s="94"/>
      <c r="T153" s="569"/>
      <c r="U153" s="78"/>
      <c r="X153" s="7">
        <v>133860.74</v>
      </c>
      <c r="Y153" s="600">
        <f t="shared" si="34"/>
        <v>-123860.73999999999</v>
      </c>
    </row>
    <row r="154" spans="1:25" s="74" customFormat="1" x14ac:dyDescent="0.2">
      <c r="B154" s="231" t="s">
        <v>128</v>
      </c>
      <c r="C154" s="280" t="s">
        <v>160</v>
      </c>
      <c r="D154" s="231" t="s">
        <v>72</v>
      </c>
      <c r="E154" s="231"/>
      <c r="F154" s="231" t="s">
        <v>143</v>
      </c>
      <c r="G154" s="21" t="s">
        <v>153</v>
      </c>
      <c r="H154" s="21" t="s">
        <v>18</v>
      </c>
      <c r="I154" s="45" t="s">
        <v>357</v>
      </c>
      <c r="J154" s="142">
        <v>77000</v>
      </c>
      <c r="K154" s="166">
        <v>77000</v>
      </c>
      <c r="L154" s="143">
        <v>76700</v>
      </c>
      <c r="M154" s="143">
        <v>0</v>
      </c>
      <c r="N154" s="308">
        <f t="shared" ref="N154:N176" si="38">K154-L154-M154</f>
        <v>300</v>
      </c>
      <c r="O154" s="72">
        <v>1700</v>
      </c>
      <c r="P154" s="167">
        <v>78700</v>
      </c>
      <c r="Q154" s="378">
        <v>0</v>
      </c>
      <c r="R154" s="167">
        <f t="shared" si="37"/>
        <v>78700</v>
      </c>
      <c r="S154" s="94">
        <v>1</v>
      </c>
      <c r="T154" s="569"/>
      <c r="U154" s="78"/>
      <c r="X154" s="7">
        <v>76700</v>
      </c>
      <c r="Y154" s="600">
        <f t="shared" si="34"/>
        <v>0</v>
      </c>
    </row>
    <row r="155" spans="1:25" s="74" customFormat="1" x14ac:dyDescent="0.2">
      <c r="B155" s="221" t="s">
        <v>128</v>
      </c>
      <c r="C155" s="281" t="s">
        <v>161</v>
      </c>
      <c r="D155" s="221" t="s">
        <v>76</v>
      </c>
      <c r="E155" s="221"/>
      <c r="F155" s="221" t="s">
        <v>144</v>
      </c>
      <c r="G155" s="17" t="s">
        <v>153</v>
      </c>
      <c r="H155" s="17" t="s">
        <v>18</v>
      </c>
      <c r="I155" s="34" t="s">
        <v>357</v>
      </c>
      <c r="J155" s="150">
        <v>2000</v>
      </c>
      <c r="K155" s="157">
        <v>2000</v>
      </c>
      <c r="L155" s="107">
        <v>0</v>
      </c>
      <c r="M155" s="107">
        <v>0</v>
      </c>
      <c r="N155" s="307">
        <f t="shared" si="38"/>
        <v>2000</v>
      </c>
      <c r="O155" s="158">
        <v>2000</v>
      </c>
      <c r="P155" s="168">
        <v>4000</v>
      </c>
      <c r="Q155" s="382">
        <v>0</v>
      </c>
      <c r="R155" s="391">
        <f t="shared" si="37"/>
        <v>4000</v>
      </c>
      <c r="S155" s="94"/>
      <c r="T155" s="569"/>
      <c r="U155" s="78"/>
      <c r="X155" s="7">
        <v>76700</v>
      </c>
      <c r="Y155" s="600">
        <f t="shared" si="34"/>
        <v>-76700</v>
      </c>
    </row>
    <row r="156" spans="1:25" s="74" customFormat="1" x14ac:dyDescent="0.2">
      <c r="B156" s="283" t="s">
        <v>128</v>
      </c>
      <c r="C156" s="286" t="s">
        <v>160</v>
      </c>
      <c r="D156" s="283" t="s">
        <v>73</v>
      </c>
      <c r="E156" s="229"/>
      <c r="F156" s="6"/>
      <c r="G156" s="5" t="s">
        <v>176</v>
      </c>
      <c r="H156" s="32" t="s">
        <v>20</v>
      </c>
      <c r="I156" s="140" t="s">
        <v>357</v>
      </c>
      <c r="J156" s="176">
        <v>15000</v>
      </c>
      <c r="K156" s="62">
        <v>731</v>
      </c>
      <c r="L156" s="177">
        <v>4770.7299999999996</v>
      </c>
      <c r="M156" s="177">
        <v>0</v>
      </c>
      <c r="N156" s="177">
        <f t="shared" si="38"/>
        <v>-4039.7299999999996</v>
      </c>
      <c r="O156" s="180">
        <v>0</v>
      </c>
      <c r="P156" s="179">
        <v>15000</v>
      </c>
      <c r="Q156" s="375">
        <v>0</v>
      </c>
      <c r="R156" s="192">
        <f t="shared" si="37"/>
        <v>15000</v>
      </c>
      <c r="S156" s="94"/>
      <c r="T156" s="569"/>
      <c r="U156" s="78"/>
      <c r="X156" s="7">
        <v>4770.7299999999996</v>
      </c>
      <c r="Y156" s="600">
        <f t="shared" si="34"/>
        <v>0</v>
      </c>
    </row>
    <row r="157" spans="1:25" s="74" customFormat="1" x14ac:dyDescent="0.2">
      <c r="B157" s="259" t="s">
        <v>128</v>
      </c>
      <c r="C157" s="281" t="s">
        <v>160</v>
      </c>
      <c r="D157" s="259" t="s">
        <v>75</v>
      </c>
      <c r="E157" s="259"/>
      <c r="F157" s="259"/>
      <c r="G157" s="33" t="s">
        <v>176</v>
      </c>
      <c r="H157" s="33" t="s">
        <v>23</v>
      </c>
      <c r="I157" s="46" t="s">
        <v>357</v>
      </c>
      <c r="J157" s="146">
        <v>50000</v>
      </c>
      <c r="K157" s="155">
        <v>50000</v>
      </c>
      <c r="L157" s="147">
        <v>46488</v>
      </c>
      <c r="M157" s="147">
        <v>0</v>
      </c>
      <c r="N157" s="147">
        <f t="shared" si="38"/>
        <v>3512</v>
      </c>
      <c r="O157" s="156">
        <v>0</v>
      </c>
      <c r="P157" s="179">
        <v>50000</v>
      </c>
      <c r="Q157" s="375">
        <v>0</v>
      </c>
      <c r="R157" s="192">
        <f t="shared" si="37"/>
        <v>50000</v>
      </c>
      <c r="S157" s="94"/>
      <c r="T157" s="569"/>
      <c r="U157" s="78"/>
      <c r="X157" s="7">
        <v>46488.27</v>
      </c>
      <c r="Y157" s="600">
        <f t="shared" si="34"/>
        <v>-0.26999999999679858</v>
      </c>
    </row>
    <row r="158" spans="1:25" s="74" customFormat="1" x14ac:dyDescent="0.2">
      <c r="B158" s="283" t="s">
        <v>128</v>
      </c>
      <c r="C158" s="285" t="s">
        <v>160</v>
      </c>
      <c r="D158" s="283" t="s">
        <v>77</v>
      </c>
      <c r="E158" s="229"/>
      <c r="F158" s="6"/>
      <c r="G158" s="5" t="s">
        <v>153</v>
      </c>
      <c r="H158" s="32" t="s">
        <v>271</v>
      </c>
      <c r="I158" s="140" t="s">
        <v>357</v>
      </c>
      <c r="J158" s="176">
        <v>140000</v>
      </c>
      <c r="K158" s="62">
        <v>193970</v>
      </c>
      <c r="L158" s="177">
        <v>193970</v>
      </c>
      <c r="M158" s="177">
        <v>1048</v>
      </c>
      <c r="N158" s="177">
        <f t="shared" si="38"/>
        <v>-1048</v>
      </c>
      <c r="O158" s="180">
        <v>0</v>
      </c>
      <c r="P158" s="179">
        <v>140000</v>
      </c>
      <c r="Q158" s="375">
        <v>0</v>
      </c>
      <c r="R158" s="192">
        <f t="shared" si="37"/>
        <v>140000</v>
      </c>
      <c r="S158" s="94"/>
      <c r="T158" s="569"/>
      <c r="U158" s="78"/>
      <c r="X158" s="7">
        <v>0</v>
      </c>
      <c r="Y158" s="600">
        <f t="shared" si="34"/>
        <v>193970</v>
      </c>
    </row>
    <row r="159" spans="1:25" s="74" customFormat="1" x14ac:dyDescent="0.2">
      <c r="A159" s="74" t="s">
        <v>303</v>
      </c>
      <c r="B159" s="283" t="s">
        <v>1</v>
      </c>
      <c r="C159" s="284" t="s">
        <v>161</v>
      </c>
      <c r="D159" s="283" t="s">
        <v>68</v>
      </c>
      <c r="E159" s="229"/>
      <c r="F159" s="6" t="s">
        <v>282</v>
      </c>
      <c r="G159" s="5" t="s">
        <v>153</v>
      </c>
      <c r="H159" s="32" t="s">
        <v>0</v>
      </c>
      <c r="I159" s="140" t="s">
        <v>357</v>
      </c>
      <c r="J159" s="176">
        <v>360950</v>
      </c>
      <c r="K159" s="62">
        <v>371150</v>
      </c>
      <c r="L159" s="177">
        <v>371131</v>
      </c>
      <c r="M159" s="177">
        <v>0</v>
      </c>
      <c r="N159" s="177">
        <f t="shared" ref="N159:N164" si="39">K159-L159-M159</f>
        <v>19</v>
      </c>
      <c r="O159" s="178">
        <v>-180475</v>
      </c>
      <c r="P159" s="179">
        <v>180475</v>
      </c>
      <c r="Q159" s="375">
        <v>-180475</v>
      </c>
      <c r="R159" s="192">
        <f t="shared" ref="R159:R174" si="40">SUM(P159:Q159)</f>
        <v>0</v>
      </c>
      <c r="S159" s="94"/>
      <c r="T159" s="569"/>
      <c r="U159" s="78"/>
      <c r="X159" s="7">
        <v>371130.76</v>
      </c>
      <c r="Y159" s="600">
        <f t="shared" si="34"/>
        <v>0.23999999999068677</v>
      </c>
    </row>
    <row r="160" spans="1:25" s="74" customFormat="1" x14ac:dyDescent="0.2">
      <c r="A160" s="74" t="s">
        <v>303</v>
      </c>
      <c r="B160" s="259" t="s">
        <v>128</v>
      </c>
      <c r="C160" s="285" t="s">
        <v>160</v>
      </c>
      <c r="D160" s="259" t="s">
        <v>266</v>
      </c>
      <c r="E160" s="259"/>
      <c r="F160" s="259" t="s">
        <v>267</v>
      </c>
      <c r="G160" s="33" t="s">
        <v>165</v>
      </c>
      <c r="H160" s="49" t="s">
        <v>283</v>
      </c>
      <c r="I160" s="46"/>
      <c r="J160" s="146">
        <v>0</v>
      </c>
      <c r="K160" s="155">
        <f>15300+222+110+176</f>
        <v>15808</v>
      </c>
      <c r="L160" s="147">
        <f>20225+105+247+123+196</f>
        <v>20896</v>
      </c>
      <c r="M160" s="147">
        <v>0</v>
      </c>
      <c r="N160" s="147">
        <f t="shared" si="39"/>
        <v>-5088</v>
      </c>
      <c r="O160" s="156">
        <v>40000</v>
      </c>
      <c r="P160" s="179">
        <v>40000</v>
      </c>
      <c r="Q160" s="375">
        <v>-40000</v>
      </c>
      <c r="R160" s="192">
        <f t="shared" si="40"/>
        <v>0</v>
      </c>
      <c r="S160" s="94"/>
      <c r="T160" s="569"/>
      <c r="U160" s="78"/>
      <c r="X160" s="7"/>
      <c r="Y160" s="600">
        <f t="shared" si="34"/>
        <v>20896</v>
      </c>
    </row>
    <row r="161" spans="1:25" s="74" customFormat="1" x14ac:dyDescent="0.2">
      <c r="A161" s="74" t="s">
        <v>303</v>
      </c>
      <c r="B161" s="223"/>
      <c r="C161" s="287"/>
      <c r="D161" s="223" t="s">
        <v>74</v>
      </c>
      <c r="E161" s="223"/>
      <c r="F161" s="223" t="s">
        <v>22</v>
      </c>
      <c r="G161" s="18"/>
      <c r="H161" s="18" t="s">
        <v>21</v>
      </c>
      <c r="I161" s="412" t="s">
        <v>357</v>
      </c>
      <c r="J161" s="109">
        <v>0</v>
      </c>
      <c r="K161" s="110">
        <v>0</v>
      </c>
      <c r="L161" s="109">
        <v>-1420</v>
      </c>
      <c r="M161" s="109">
        <v>0</v>
      </c>
      <c r="N161" s="109">
        <f t="shared" si="39"/>
        <v>1420</v>
      </c>
      <c r="O161" s="111">
        <v>0</v>
      </c>
      <c r="P161" s="112">
        <v>0</v>
      </c>
      <c r="Q161" s="374">
        <v>0</v>
      </c>
      <c r="R161" s="192">
        <f t="shared" si="40"/>
        <v>0</v>
      </c>
      <c r="S161" s="94"/>
      <c r="T161" s="569"/>
      <c r="U161" s="78"/>
      <c r="X161" s="7">
        <v>-1420.28</v>
      </c>
      <c r="Y161" s="600">
        <f t="shared" si="34"/>
        <v>0.27999999999997272</v>
      </c>
    </row>
    <row r="162" spans="1:25" s="74" customFormat="1" x14ac:dyDescent="0.2">
      <c r="A162" s="74" t="s">
        <v>303</v>
      </c>
      <c r="B162" s="224"/>
      <c r="C162" s="288"/>
      <c r="D162" s="224" t="s">
        <v>74</v>
      </c>
      <c r="E162" s="224"/>
      <c r="F162" s="224" t="s">
        <v>140</v>
      </c>
      <c r="G162" s="19"/>
      <c r="H162" s="19" t="s">
        <v>137</v>
      </c>
      <c r="I162" s="353" t="s">
        <v>357</v>
      </c>
      <c r="J162" s="103">
        <v>15000</v>
      </c>
      <c r="K162" s="104">
        <v>25426</v>
      </c>
      <c r="L162" s="103">
        <v>25426</v>
      </c>
      <c r="M162" s="103">
        <v>0</v>
      </c>
      <c r="N162" s="103">
        <f t="shared" si="39"/>
        <v>0</v>
      </c>
      <c r="O162" s="105">
        <v>0</v>
      </c>
      <c r="P162" s="106">
        <v>15000</v>
      </c>
      <c r="Q162" s="374">
        <v>-15000</v>
      </c>
      <c r="R162" s="192">
        <f t="shared" si="40"/>
        <v>0</v>
      </c>
      <c r="S162" s="94"/>
      <c r="T162" s="569"/>
      <c r="U162" s="78"/>
      <c r="X162" s="7">
        <v>25425.75</v>
      </c>
      <c r="Y162" s="600">
        <f t="shared" si="34"/>
        <v>0.25</v>
      </c>
    </row>
    <row r="163" spans="1:25" s="74" customFormat="1" x14ac:dyDescent="0.2">
      <c r="B163" s="273"/>
      <c r="C163" s="565"/>
      <c r="D163" s="224" t="s">
        <v>74</v>
      </c>
      <c r="E163" s="273"/>
      <c r="F163" s="273" t="s">
        <v>365</v>
      </c>
      <c r="G163" s="353"/>
      <c r="H163" s="353" t="s">
        <v>366</v>
      </c>
      <c r="I163" s="353"/>
      <c r="J163" s="104"/>
      <c r="K163" s="104">
        <v>161794</v>
      </c>
      <c r="L163" s="104">
        <v>161794.38</v>
      </c>
      <c r="M163" s="103">
        <v>0</v>
      </c>
      <c r="N163" s="103">
        <f t="shared" si="39"/>
        <v>-0.38000000000465661</v>
      </c>
      <c r="O163" s="105">
        <v>0</v>
      </c>
      <c r="P163" s="106">
        <v>0</v>
      </c>
      <c r="Q163" s="374"/>
      <c r="R163" s="192">
        <f t="shared" ref="R163" si="41">SUM(P163:Q163)</f>
        <v>0</v>
      </c>
      <c r="S163" s="94"/>
      <c r="T163" s="569"/>
      <c r="U163" s="78"/>
      <c r="X163" s="7"/>
      <c r="Y163" s="600"/>
    </row>
    <row r="164" spans="1:25" s="74" customFormat="1" x14ac:dyDescent="0.2">
      <c r="A164" s="74" t="s">
        <v>303</v>
      </c>
      <c r="B164" s="269"/>
      <c r="C164" s="289"/>
      <c r="D164" s="269" t="s">
        <v>74</v>
      </c>
      <c r="E164" s="269"/>
      <c r="F164" s="269" t="s">
        <v>141</v>
      </c>
      <c r="G164" s="38"/>
      <c r="H164" s="38" t="s">
        <v>138</v>
      </c>
      <c r="I164" s="413" t="s">
        <v>357</v>
      </c>
      <c r="J164" s="182">
        <v>165000</v>
      </c>
      <c r="K164" s="183">
        <v>240167</v>
      </c>
      <c r="L164" s="182">
        <v>240167</v>
      </c>
      <c r="M164" s="182">
        <v>0</v>
      </c>
      <c r="N164" s="182">
        <f t="shared" si="39"/>
        <v>0</v>
      </c>
      <c r="O164" s="184">
        <v>0</v>
      </c>
      <c r="P164" s="185">
        <v>165000</v>
      </c>
      <c r="Q164" s="374">
        <v>-165000</v>
      </c>
      <c r="R164" s="192">
        <f t="shared" si="40"/>
        <v>0</v>
      </c>
      <c r="S164" s="94"/>
      <c r="T164" s="569"/>
      <c r="U164" s="78"/>
      <c r="X164" s="7">
        <v>240167.3</v>
      </c>
      <c r="Y164" s="600">
        <f t="shared" si="34"/>
        <v>-0.29999999998835847</v>
      </c>
    </row>
    <row r="165" spans="1:25" s="74" customFormat="1" x14ac:dyDescent="0.2">
      <c r="A165" s="74" t="s">
        <v>303</v>
      </c>
      <c r="B165" s="14" t="s">
        <v>128</v>
      </c>
      <c r="C165" s="239" t="s">
        <v>172</v>
      </c>
      <c r="D165" s="14" t="s">
        <v>74</v>
      </c>
      <c r="E165" s="229"/>
      <c r="F165" s="14"/>
      <c r="G165" s="20" t="s">
        <v>176</v>
      </c>
      <c r="H165" s="17"/>
      <c r="I165" s="34"/>
      <c r="J165" s="563">
        <f>SUM(J161:J164)</f>
        <v>180000</v>
      </c>
      <c r="K165" s="563">
        <f>SUM(K161:K164)</f>
        <v>427387</v>
      </c>
      <c r="L165" s="64">
        <f>SUM(L161:L164)</f>
        <v>425967.38</v>
      </c>
      <c r="M165" s="64">
        <f t="shared" ref="M165:N165" si="42">SUM(M161:M164)</f>
        <v>0</v>
      </c>
      <c r="N165" s="64">
        <f t="shared" si="42"/>
        <v>1419.6199999999953</v>
      </c>
      <c r="O165" s="64">
        <v>0</v>
      </c>
      <c r="P165" s="179">
        <v>180000</v>
      </c>
      <c r="Q165" s="375">
        <f>SUM(Q161:Q164)</f>
        <v>-180000</v>
      </c>
      <c r="R165" s="192">
        <f t="shared" si="40"/>
        <v>0</v>
      </c>
      <c r="S165" s="94"/>
      <c r="T165" s="569"/>
      <c r="U165" s="78"/>
      <c r="X165" s="7"/>
      <c r="Y165" s="600">
        <f t="shared" si="34"/>
        <v>425967.38</v>
      </c>
    </row>
    <row r="166" spans="1:25" s="74" customFormat="1" x14ac:dyDescent="0.2">
      <c r="A166" s="74" t="s">
        <v>303</v>
      </c>
      <c r="B166" s="290"/>
      <c r="C166" s="291"/>
      <c r="D166" s="290" t="s">
        <v>79</v>
      </c>
      <c r="E166" s="238"/>
      <c r="F166" s="235" t="s">
        <v>143</v>
      </c>
      <c r="G166" s="116"/>
      <c r="H166" s="39" t="s">
        <v>25</v>
      </c>
      <c r="I166" s="300" t="s">
        <v>357</v>
      </c>
      <c r="J166" s="186">
        <v>4245000</v>
      </c>
      <c r="K166" s="187">
        <v>4192618</v>
      </c>
      <c r="L166" s="186">
        <v>4264815</v>
      </c>
      <c r="M166" s="186">
        <v>0</v>
      </c>
      <c r="N166" s="186">
        <f>K166-L166-M166</f>
        <v>-72197</v>
      </c>
      <c r="O166" s="188">
        <v>343774</v>
      </c>
      <c r="P166" s="189">
        <v>4588774</v>
      </c>
      <c r="Q166" s="374">
        <v>-4588774</v>
      </c>
      <c r="R166" s="192">
        <f t="shared" si="40"/>
        <v>0</v>
      </c>
      <c r="S166" s="94"/>
      <c r="T166" s="569"/>
      <c r="U166" s="78"/>
      <c r="X166" s="7">
        <v>4264814.9800000004</v>
      </c>
      <c r="Y166" s="600">
        <f t="shared" si="34"/>
        <v>1.9999999552965164E-2</v>
      </c>
    </row>
    <row r="167" spans="1:25" s="74" customFormat="1" x14ac:dyDescent="0.2">
      <c r="A167" s="74" t="s">
        <v>303</v>
      </c>
      <c r="B167" s="290"/>
      <c r="C167" s="291"/>
      <c r="D167" s="290" t="s">
        <v>80</v>
      </c>
      <c r="E167" s="238"/>
      <c r="F167" s="235" t="s">
        <v>143</v>
      </c>
      <c r="G167" s="116"/>
      <c r="H167" s="39" t="s">
        <v>27</v>
      </c>
      <c r="I167" s="300" t="s">
        <v>357</v>
      </c>
      <c r="J167" s="186">
        <v>3577000</v>
      </c>
      <c r="K167" s="187">
        <v>3550738</v>
      </c>
      <c r="L167" s="186">
        <v>3562342</v>
      </c>
      <c r="M167" s="186">
        <v>0</v>
      </c>
      <c r="N167" s="186">
        <f>K167-L167-M167</f>
        <v>-11604</v>
      </c>
      <c r="O167" s="188">
        <v>343774</v>
      </c>
      <c r="P167" s="189">
        <v>3920774</v>
      </c>
      <c r="Q167" s="374">
        <v>-3920774</v>
      </c>
      <c r="R167" s="192">
        <f t="shared" si="40"/>
        <v>0</v>
      </c>
      <c r="S167" s="94"/>
      <c r="T167" s="569"/>
      <c r="U167" s="78"/>
      <c r="X167" s="7">
        <v>3562341.84</v>
      </c>
      <c r="Y167" s="600">
        <f t="shared" si="34"/>
        <v>0.16000000014901161</v>
      </c>
    </row>
    <row r="168" spans="1:25" s="74" customFormat="1" x14ac:dyDescent="0.2">
      <c r="A168" s="74" t="s">
        <v>303</v>
      </c>
      <c r="B168" s="283" t="s">
        <v>128</v>
      </c>
      <c r="C168" s="284" t="s">
        <v>161</v>
      </c>
      <c r="D168" s="283" t="s">
        <v>226</v>
      </c>
      <c r="E168" s="229"/>
      <c r="F168" s="6" t="s">
        <v>143</v>
      </c>
      <c r="G168" s="20" t="s">
        <v>150</v>
      </c>
      <c r="H168" s="32"/>
      <c r="I168" s="140"/>
      <c r="J168" s="563">
        <f>SUM(J166:J167)</f>
        <v>7822000</v>
      </c>
      <c r="K168" s="563">
        <f>SUM(K166:K167)</f>
        <v>7743356</v>
      </c>
      <c r="L168" s="64">
        <f>SUM(L166:L167)</f>
        <v>7827157</v>
      </c>
      <c r="M168" s="64">
        <f t="shared" ref="M168:N168" si="43">SUM(M166:M167)</f>
        <v>0</v>
      </c>
      <c r="N168" s="602">
        <f t="shared" si="43"/>
        <v>-83801</v>
      </c>
      <c r="O168" s="64">
        <v>687548</v>
      </c>
      <c r="P168" s="179">
        <f>SUM(P166:P167)</f>
        <v>8509548</v>
      </c>
      <c r="Q168" s="375">
        <f>SUM(Q166:Q167)</f>
        <v>-8509548</v>
      </c>
      <c r="R168" s="192">
        <f t="shared" si="40"/>
        <v>0</v>
      </c>
      <c r="S168" s="94">
        <v>8</v>
      </c>
      <c r="T168" s="569"/>
      <c r="U168" s="78"/>
      <c r="X168" s="7"/>
      <c r="Y168" s="600">
        <f t="shared" si="34"/>
        <v>7827157</v>
      </c>
    </row>
    <row r="169" spans="1:25" s="74" customFormat="1" x14ac:dyDescent="0.2">
      <c r="A169" s="74" t="s">
        <v>303</v>
      </c>
      <c r="B169" s="231" t="s">
        <v>131</v>
      </c>
      <c r="C169" s="280" t="s">
        <v>173</v>
      </c>
      <c r="D169" s="231" t="s">
        <v>90</v>
      </c>
      <c r="E169" s="231"/>
      <c r="F169" s="231" t="s">
        <v>143</v>
      </c>
      <c r="G169" s="21" t="s">
        <v>153</v>
      </c>
      <c r="H169" s="21" t="s">
        <v>41</v>
      </c>
      <c r="I169" s="45" t="s">
        <v>357</v>
      </c>
      <c r="J169" s="142">
        <v>490490</v>
      </c>
      <c r="K169" s="166">
        <f>490490-26175</f>
        <v>464315</v>
      </c>
      <c r="L169" s="143"/>
      <c r="M169" s="143"/>
      <c r="N169" s="143"/>
      <c r="O169" s="144">
        <v>24524.5</v>
      </c>
      <c r="P169" s="145">
        <v>515015</v>
      </c>
      <c r="Q169" s="378">
        <v>-515015</v>
      </c>
      <c r="R169" s="167">
        <f t="shared" si="40"/>
        <v>0</v>
      </c>
      <c r="S169" s="94">
        <v>3</v>
      </c>
      <c r="T169" s="569"/>
      <c r="U169" s="78"/>
      <c r="X169" s="7">
        <v>504314.66</v>
      </c>
      <c r="Y169" s="600">
        <f t="shared" si="34"/>
        <v>-504314.66</v>
      </c>
    </row>
    <row r="170" spans="1:25" s="74" customFormat="1" x14ac:dyDescent="0.2">
      <c r="A170" s="74" t="s">
        <v>303</v>
      </c>
      <c r="B170" s="227" t="s">
        <v>131</v>
      </c>
      <c r="C170" s="292" t="s">
        <v>173</v>
      </c>
      <c r="D170" s="227" t="s">
        <v>91</v>
      </c>
      <c r="E170" s="227"/>
      <c r="F170" s="227"/>
      <c r="G170" s="34" t="s">
        <v>153</v>
      </c>
      <c r="H170" s="34" t="s">
        <v>41</v>
      </c>
      <c r="I170" s="34" t="s">
        <v>357</v>
      </c>
      <c r="J170" s="157">
        <v>40000</v>
      </c>
      <c r="K170" s="157">
        <v>40000</v>
      </c>
      <c r="L170" s="67">
        <v>504315</v>
      </c>
      <c r="M170" s="67">
        <v>0</v>
      </c>
      <c r="N170" s="67">
        <f>SUM(K169:K170)-L170-M170</f>
        <v>0</v>
      </c>
      <c r="O170" s="191">
        <v>0</v>
      </c>
      <c r="P170" s="168">
        <v>40000</v>
      </c>
      <c r="Q170" s="382">
        <v>-40000</v>
      </c>
      <c r="R170" s="391">
        <f t="shared" si="40"/>
        <v>0</v>
      </c>
      <c r="S170" s="94">
        <v>3</v>
      </c>
      <c r="T170" s="569"/>
      <c r="U170" s="78"/>
      <c r="X170" s="7">
        <v>504314.66</v>
      </c>
      <c r="Y170" s="600">
        <f t="shared" si="34"/>
        <v>0.34000000002561137</v>
      </c>
    </row>
    <row r="171" spans="1:25" s="74" customFormat="1" x14ac:dyDescent="0.2">
      <c r="A171" s="74" t="s">
        <v>303</v>
      </c>
      <c r="B171" s="283" t="s">
        <v>298</v>
      </c>
      <c r="C171" s="282" t="s">
        <v>161</v>
      </c>
      <c r="D171" s="259" t="s">
        <v>78</v>
      </c>
      <c r="E171" s="259"/>
      <c r="F171" s="259" t="s">
        <v>292</v>
      </c>
      <c r="G171" s="33" t="s">
        <v>150</v>
      </c>
      <c r="H171" s="33" t="s">
        <v>28</v>
      </c>
      <c r="I171" s="46" t="s">
        <v>357</v>
      </c>
      <c r="J171" s="146">
        <v>278796</v>
      </c>
      <c r="K171" s="155">
        <v>278796</v>
      </c>
      <c r="L171" s="309">
        <v>0</v>
      </c>
      <c r="M171" s="147">
        <v>0</v>
      </c>
      <c r="N171" s="147">
        <f t="shared" ref="N171:N174" si="44">K171-L171-M171</f>
        <v>278796</v>
      </c>
      <c r="O171" s="156">
        <v>198177</v>
      </c>
      <c r="P171" s="179">
        <v>476973</v>
      </c>
      <c r="Q171" s="375">
        <v>-476973</v>
      </c>
      <c r="R171" s="192">
        <f t="shared" si="40"/>
        <v>0</v>
      </c>
      <c r="S171" s="94">
        <v>5</v>
      </c>
      <c r="T171" s="569"/>
      <c r="U171" s="78"/>
      <c r="X171" s="7">
        <v>0</v>
      </c>
      <c r="Y171" s="600">
        <f t="shared" si="34"/>
        <v>0</v>
      </c>
    </row>
    <row r="172" spans="1:25" s="74" customFormat="1" x14ac:dyDescent="0.2">
      <c r="A172" s="74" t="s">
        <v>303</v>
      </c>
      <c r="B172" s="283" t="s">
        <v>298</v>
      </c>
      <c r="C172" s="286" t="s">
        <v>161</v>
      </c>
      <c r="D172" s="283" t="s">
        <v>297</v>
      </c>
      <c r="E172" s="229"/>
      <c r="F172" s="6"/>
      <c r="G172" s="5" t="s">
        <v>150</v>
      </c>
      <c r="H172" s="32" t="s">
        <v>29</v>
      </c>
      <c r="I172" s="140" t="s">
        <v>357</v>
      </c>
      <c r="J172" s="176">
        <v>15000</v>
      </c>
      <c r="K172" s="62">
        <v>15000</v>
      </c>
      <c r="L172" s="177">
        <v>1306</v>
      </c>
      <c r="M172" s="177">
        <v>0</v>
      </c>
      <c r="N172" s="177">
        <f t="shared" si="44"/>
        <v>13694</v>
      </c>
      <c r="O172" s="178">
        <v>-7500</v>
      </c>
      <c r="P172" s="179">
        <v>7500</v>
      </c>
      <c r="Q172" s="375">
        <v>-7500</v>
      </c>
      <c r="R172" s="192">
        <f t="shared" si="40"/>
        <v>0</v>
      </c>
      <c r="S172" s="94"/>
      <c r="T172" s="569"/>
      <c r="U172" s="78"/>
      <c r="X172" s="7">
        <v>1305.73</v>
      </c>
      <c r="Y172" s="600">
        <f t="shared" si="34"/>
        <v>0.26999999999998181</v>
      </c>
    </row>
    <row r="173" spans="1:25" s="74" customFormat="1" x14ac:dyDescent="0.2">
      <c r="A173" s="74" t="s">
        <v>303</v>
      </c>
      <c r="B173" s="283" t="s">
        <v>298</v>
      </c>
      <c r="C173" s="286" t="s">
        <v>161</v>
      </c>
      <c r="D173" s="283" t="s">
        <v>135</v>
      </c>
      <c r="E173" s="229"/>
      <c r="F173" s="6"/>
      <c r="G173" s="5" t="s">
        <v>150</v>
      </c>
      <c r="H173" s="32" t="s">
        <v>30</v>
      </c>
      <c r="I173" s="140" t="s">
        <v>357</v>
      </c>
      <c r="J173" s="176">
        <v>60000</v>
      </c>
      <c r="K173" s="62">
        <v>56879</v>
      </c>
      <c r="L173" s="177">
        <v>56879</v>
      </c>
      <c r="M173" s="177">
        <v>0</v>
      </c>
      <c r="N173" s="177">
        <f t="shared" si="44"/>
        <v>0</v>
      </c>
      <c r="O173" s="178">
        <v>0</v>
      </c>
      <c r="P173" s="179">
        <v>60000</v>
      </c>
      <c r="Q173" s="375">
        <v>-60000</v>
      </c>
      <c r="R173" s="192">
        <f t="shared" si="40"/>
        <v>0</v>
      </c>
      <c r="S173" s="94"/>
      <c r="T173" s="569"/>
      <c r="U173" s="78"/>
      <c r="X173" s="7">
        <v>56878.62</v>
      </c>
      <c r="Y173" s="600">
        <f t="shared" si="34"/>
        <v>0.37999999999738066</v>
      </c>
    </row>
    <row r="174" spans="1:25" s="74" customFormat="1" x14ac:dyDescent="0.2">
      <c r="A174" s="74" t="s">
        <v>303</v>
      </c>
      <c r="B174" s="283" t="s">
        <v>298</v>
      </c>
      <c r="C174" s="286" t="s">
        <v>161</v>
      </c>
      <c r="D174" s="259" t="s">
        <v>81</v>
      </c>
      <c r="E174" s="259"/>
      <c r="F174" s="259"/>
      <c r="G174" s="33" t="s">
        <v>150</v>
      </c>
      <c r="H174" s="33" t="s">
        <v>31</v>
      </c>
      <c r="I174" s="46" t="s">
        <v>357</v>
      </c>
      <c r="J174" s="146">
        <v>200000</v>
      </c>
      <c r="K174" s="155">
        <v>200000</v>
      </c>
      <c r="L174" s="147">
        <v>192223</v>
      </c>
      <c r="M174" s="147">
        <v>0</v>
      </c>
      <c r="N174" s="177">
        <f t="shared" si="44"/>
        <v>7777</v>
      </c>
      <c r="O174" s="148">
        <v>0</v>
      </c>
      <c r="P174" s="179">
        <v>200000</v>
      </c>
      <c r="Q174" s="375">
        <v>-200000</v>
      </c>
      <c r="R174" s="192">
        <f t="shared" si="40"/>
        <v>0</v>
      </c>
      <c r="S174" s="94"/>
      <c r="T174" s="569"/>
      <c r="U174" s="78"/>
      <c r="X174" s="7">
        <v>192223.15</v>
      </c>
      <c r="Y174" s="600">
        <f t="shared" si="34"/>
        <v>-0.14999999999417923</v>
      </c>
    </row>
    <row r="175" spans="1:25" s="74" customFormat="1" x14ac:dyDescent="0.2">
      <c r="B175" s="283" t="s">
        <v>298</v>
      </c>
      <c r="C175" s="286" t="s">
        <v>161</v>
      </c>
      <c r="D175" s="283" t="s">
        <v>87</v>
      </c>
      <c r="E175" s="229"/>
      <c r="F175" s="6"/>
      <c r="G175" s="5" t="s">
        <v>163</v>
      </c>
      <c r="H175" s="32" t="s">
        <v>40</v>
      </c>
      <c r="I175" s="140" t="s">
        <v>357</v>
      </c>
      <c r="J175" s="176">
        <v>4000</v>
      </c>
      <c r="K175" s="62">
        <v>4000</v>
      </c>
      <c r="L175" s="177">
        <v>3906</v>
      </c>
      <c r="M175" s="177">
        <v>0</v>
      </c>
      <c r="N175" s="177">
        <f t="shared" si="38"/>
        <v>94</v>
      </c>
      <c r="O175" s="178">
        <v>0</v>
      </c>
      <c r="P175" s="179">
        <v>4000</v>
      </c>
      <c r="Q175" s="375">
        <v>0</v>
      </c>
      <c r="R175" s="192">
        <f t="shared" si="37"/>
        <v>4000</v>
      </c>
      <c r="S175" s="94"/>
      <c r="T175" s="569"/>
      <c r="U175" s="78"/>
      <c r="X175" s="7">
        <v>3905.87</v>
      </c>
      <c r="Y175" s="600">
        <f t="shared" si="34"/>
        <v>0.13000000000010914</v>
      </c>
    </row>
    <row r="176" spans="1:25" s="74" customFormat="1" x14ac:dyDescent="0.2">
      <c r="B176" s="283" t="s">
        <v>298</v>
      </c>
      <c r="C176" s="286" t="s">
        <v>161</v>
      </c>
      <c r="D176" s="283" t="s">
        <v>289</v>
      </c>
      <c r="E176" s="229"/>
      <c r="F176" s="6" t="s">
        <v>265</v>
      </c>
      <c r="G176" s="5"/>
      <c r="H176" s="32" t="s">
        <v>38</v>
      </c>
      <c r="I176" s="140" t="s">
        <v>357</v>
      </c>
      <c r="J176" s="176">
        <v>15000</v>
      </c>
      <c r="K176" s="62">
        <v>9014</v>
      </c>
      <c r="L176" s="177">
        <v>9014</v>
      </c>
      <c r="M176" s="177">
        <v>0</v>
      </c>
      <c r="N176" s="177">
        <f t="shared" si="38"/>
        <v>0</v>
      </c>
      <c r="O176" s="178">
        <v>-15000</v>
      </c>
      <c r="P176" s="179">
        <v>0</v>
      </c>
      <c r="Q176" s="375">
        <v>0</v>
      </c>
      <c r="R176" s="192">
        <f t="shared" si="37"/>
        <v>0</v>
      </c>
      <c r="S176" s="94"/>
      <c r="T176" s="569"/>
      <c r="U176" s="78"/>
      <c r="X176" s="7">
        <v>9013.94</v>
      </c>
      <c r="Y176" s="600">
        <f t="shared" si="34"/>
        <v>5.9999999999490683E-2</v>
      </c>
    </row>
    <row r="177" spans="2:25" s="74" customFormat="1" x14ac:dyDescent="0.2">
      <c r="B177" s="283" t="s">
        <v>298</v>
      </c>
      <c r="C177" s="232" t="s">
        <v>126</v>
      </c>
      <c r="D177" s="231" t="s">
        <v>175</v>
      </c>
      <c r="E177" s="231"/>
      <c r="F177" s="231"/>
      <c r="G177" s="21" t="s">
        <v>153</v>
      </c>
      <c r="H177" s="21" t="s">
        <v>33</v>
      </c>
      <c r="I177" s="45" t="s">
        <v>357</v>
      </c>
      <c r="J177" s="142">
        <v>65000</v>
      </c>
      <c r="K177" s="166">
        <f>132295-70000</f>
        <v>62295</v>
      </c>
      <c r="L177" s="143"/>
      <c r="M177" s="143"/>
      <c r="N177" s="143"/>
      <c r="O177" s="72"/>
      <c r="P177" s="167">
        <v>65000</v>
      </c>
      <c r="Q177" s="378">
        <v>0</v>
      </c>
      <c r="R177" s="167">
        <f t="shared" si="37"/>
        <v>65000</v>
      </c>
      <c r="S177" s="94">
        <v>6</v>
      </c>
      <c r="T177" s="569"/>
      <c r="U177" s="78"/>
      <c r="X177" s="7">
        <v>132866.34</v>
      </c>
      <c r="Y177" s="600">
        <f t="shared" si="34"/>
        <v>-132866.34</v>
      </c>
    </row>
    <row r="178" spans="2:25" s="74" customFormat="1" x14ac:dyDescent="0.2">
      <c r="B178" s="283" t="s">
        <v>298</v>
      </c>
      <c r="C178" s="277" t="s">
        <v>126</v>
      </c>
      <c r="D178" s="221" t="s">
        <v>85</v>
      </c>
      <c r="E178" s="259"/>
      <c r="F178" s="259"/>
      <c r="G178" s="17" t="s">
        <v>153</v>
      </c>
      <c r="H178" s="17" t="s">
        <v>33</v>
      </c>
      <c r="I178" s="34" t="s">
        <v>357</v>
      </c>
      <c r="J178" s="150">
        <v>70000</v>
      </c>
      <c r="K178" s="157">
        <v>70000</v>
      </c>
      <c r="L178" s="107">
        <v>132866</v>
      </c>
      <c r="M178" s="107">
        <v>0</v>
      </c>
      <c r="N178" s="107">
        <f>SUM(K177:K178)-L178-M178</f>
        <v>-571</v>
      </c>
      <c r="O178" s="158">
        <v>0</v>
      </c>
      <c r="P178" s="168">
        <v>70000</v>
      </c>
      <c r="Q178" s="382">
        <v>0</v>
      </c>
      <c r="R178" s="391">
        <f t="shared" si="37"/>
        <v>70000</v>
      </c>
      <c r="S178" s="94">
        <v>7</v>
      </c>
      <c r="T178" s="569"/>
      <c r="U178" s="78"/>
      <c r="X178" s="7">
        <v>132866.34</v>
      </c>
      <c r="Y178" s="600">
        <f t="shared" si="34"/>
        <v>-0.33999999999650754</v>
      </c>
    </row>
    <row r="179" spans="2:25" s="74" customFormat="1" x14ac:dyDescent="0.2">
      <c r="B179" s="283" t="s">
        <v>298</v>
      </c>
      <c r="C179" s="277" t="s">
        <v>126</v>
      </c>
      <c r="D179" s="221" t="s">
        <v>86</v>
      </c>
      <c r="E179" s="259"/>
      <c r="F179" s="231"/>
      <c r="G179" s="33" t="s">
        <v>150</v>
      </c>
      <c r="H179" s="17" t="s">
        <v>32</v>
      </c>
      <c r="I179" s="34" t="s">
        <v>357</v>
      </c>
      <c r="J179" s="150">
        <v>43900</v>
      </c>
      <c r="K179" s="157">
        <v>43900</v>
      </c>
      <c r="L179" s="107">
        <v>37445</v>
      </c>
      <c r="M179" s="107">
        <v>0</v>
      </c>
      <c r="N179" s="605">
        <f>K179-L179-M179</f>
        <v>6455</v>
      </c>
      <c r="O179" s="158">
        <v>0</v>
      </c>
      <c r="P179" s="179">
        <v>43900</v>
      </c>
      <c r="Q179" s="375">
        <v>0</v>
      </c>
      <c r="R179" s="192">
        <f t="shared" si="37"/>
        <v>43900</v>
      </c>
      <c r="S179" s="94"/>
      <c r="T179" s="569"/>
      <c r="U179" s="78"/>
      <c r="X179" s="7">
        <v>37445.360000000001</v>
      </c>
      <c r="Y179" s="600">
        <f t="shared" si="34"/>
        <v>-0.36000000000058208</v>
      </c>
    </row>
    <row r="180" spans="2:25" s="74" customFormat="1" x14ac:dyDescent="0.2">
      <c r="B180" s="283" t="s">
        <v>298</v>
      </c>
      <c r="C180" s="284" t="s">
        <v>126</v>
      </c>
      <c r="D180" s="283" t="s">
        <v>82</v>
      </c>
      <c r="E180" s="231"/>
      <c r="F180" s="231"/>
      <c r="G180" s="21" t="s">
        <v>176</v>
      </c>
      <c r="H180" s="32" t="s">
        <v>34</v>
      </c>
      <c r="I180" s="140" t="s">
        <v>357</v>
      </c>
      <c r="J180" s="176">
        <v>90000</v>
      </c>
      <c r="K180" s="62">
        <v>92705</v>
      </c>
      <c r="L180" s="177">
        <v>90948</v>
      </c>
      <c r="M180" s="177">
        <v>0</v>
      </c>
      <c r="N180" s="177">
        <f>K180-L180-M180</f>
        <v>1757</v>
      </c>
      <c r="O180" s="180">
        <v>0</v>
      </c>
      <c r="P180" s="179">
        <v>90000</v>
      </c>
      <c r="Q180" s="375">
        <v>0</v>
      </c>
      <c r="R180" s="192">
        <f t="shared" si="37"/>
        <v>90000</v>
      </c>
      <c r="S180" s="94"/>
      <c r="T180" s="569"/>
      <c r="U180" s="78"/>
      <c r="X180" s="7">
        <v>90948.13</v>
      </c>
      <c r="Y180" s="600">
        <f t="shared" si="34"/>
        <v>-0.13000000000465661</v>
      </c>
    </row>
    <row r="181" spans="2:25" s="74" customFormat="1" x14ac:dyDescent="0.2">
      <c r="B181" s="283" t="s">
        <v>298</v>
      </c>
      <c r="C181" s="284" t="s">
        <v>126</v>
      </c>
      <c r="D181" s="283" t="s">
        <v>330</v>
      </c>
      <c r="E181" s="231"/>
      <c r="F181" s="231"/>
      <c r="G181" s="21" t="s">
        <v>168</v>
      </c>
      <c r="H181" s="32" t="s">
        <v>35</v>
      </c>
      <c r="I181" s="140" t="s">
        <v>357</v>
      </c>
      <c r="J181" s="176">
        <v>7500</v>
      </c>
      <c r="K181" s="62">
        <v>3000</v>
      </c>
      <c r="L181" s="177">
        <v>0</v>
      </c>
      <c r="M181" s="177">
        <v>3000</v>
      </c>
      <c r="N181" s="177">
        <f>K181-L181-M181</f>
        <v>0</v>
      </c>
      <c r="O181" s="180"/>
      <c r="P181" s="179">
        <v>7500</v>
      </c>
      <c r="Q181" s="375">
        <v>-4500</v>
      </c>
      <c r="R181" s="192">
        <f t="shared" si="37"/>
        <v>3000</v>
      </c>
      <c r="S181" s="94"/>
      <c r="T181" s="569">
        <v>-4500</v>
      </c>
      <c r="U181" s="78"/>
      <c r="X181" s="7">
        <v>0</v>
      </c>
      <c r="Y181" s="600">
        <f t="shared" si="34"/>
        <v>0</v>
      </c>
    </row>
    <row r="182" spans="2:25" s="74" customFormat="1" x14ac:dyDescent="0.2">
      <c r="B182" s="283" t="s">
        <v>298</v>
      </c>
      <c r="C182" s="284" t="s">
        <v>126</v>
      </c>
      <c r="D182" s="283" t="s">
        <v>83</v>
      </c>
      <c r="E182" s="231"/>
      <c r="F182" s="231" t="s">
        <v>202</v>
      </c>
      <c r="G182" s="21" t="s">
        <v>150</v>
      </c>
      <c r="H182" s="32" t="s">
        <v>36</v>
      </c>
      <c r="I182" s="140" t="s">
        <v>357</v>
      </c>
      <c r="J182" s="176">
        <v>5600</v>
      </c>
      <c r="K182" s="62">
        <v>0</v>
      </c>
      <c r="L182" s="177">
        <v>0</v>
      </c>
      <c r="M182" s="177">
        <v>0</v>
      </c>
      <c r="N182" s="177">
        <f>K182-L182-M182</f>
        <v>0</v>
      </c>
      <c r="O182" s="180">
        <v>-400</v>
      </c>
      <c r="P182" s="108">
        <v>5200</v>
      </c>
      <c r="Q182" s="375">
        <v>0</v>
      </c>
      <c r="R182" s="192">
        <f t="shared" si="37"/>
        <v>5200</v>
      </c>
      <c r="S182" s="94">
        <v>9</v>
      </c>
      <c r="T182" s="569"/>
      <c r="U182" s="78"/>
      <c r="X182" s="7">
        <v>0</v>
      </c>
      <c r="Y182" s="600">
        <f t="shared" si="34"/>
        <v>0</v>
      </c>
    </row>
    <row r="183" spans="2:25" s="74" customFormat="1" x14ac:dyDescent="0.2">
      <c r="B183" s="283" t="s">
        <v>298</v>
      </c>
      <c r="C183" s="228" t="s">
        <v>126</v>
      </c>
      <c r="D183" s="6" t="s">
        <v>84</v>
      </c>
      <c r="E183" s="229"/>
      <c r="F183" s="6"/>
      <c r="G183" s="5" t="s">
        <v>150</v>
      </c>
      <c r="H183" s="5" t="s">
        <v>37</v>
      </c>
      <c r="I183" s="140" t="s">
        <v>357</v>
      </c>
      <c r="J183" s="190">
        <v>1000</v>
      </c>
      <c r="K183" s="62">
        <v>1000</v>
      </c>
      <c r="L183" s="54">
        <v>0</v>
      </c>
      <c r="M183" s="54">
        <v>0</v>
      </c>
      <c r="N183" s="177">
        <f>K183-L183-M183</f>
        <v>1000</v>
      </c>
      <c r="O183" s="55">
        <v>0</v>
      </c>
      <c r="P183" s="108">
        <v>1000</v>
      </c>
      <c r="Q183" s="375">
        <v>0</v>
      </c>
      <c r="R183" s="192">
        <f t="shared" si="37"/>
        <v>1000</v>
      </c>
      <c r="S183" s="94"/>
      <c r="T183" s="569"/>
      <c r="U183" s="78"/>
      <c r="X183" s="7">
        <v>0</v>
      </c>
      <c r="Y183" s="600">
        <f t="shared" si="34"/>
        <v>0</v>
      </c>
    </row>
    <row r="184" spans="2:25" s="74" customFormat="1" x14ac:dyDescent="0.2">
      <c r="B184" s="224"/>
      <c r="C184" s="288"/>
      <c r="D184" s="224" t="s">
        <v>156</v>
      </c>
      <c r="E184" s="224"/>
      <c r="F184" s="224"/>
      <c r="G184" s="353" t="s">
        <v>320</v>
      </c>
      <c r="H184" s="353" t="s">
        <v>314</v>
      </c>
      <c r="I184" s="353" t="s">
        <v>357</v>
      </c>
      <c r="J184" s="103">
        <v>35000</v>
      </c>
      <c r="K184" s="103">
        <v>35000</v>
      </c>
      <c r="L184" s="103"/>
      <c r="M184" s="103"/>
      <c r="N184" s="103"/>
      <c r="O184" s="111"/>
      <c r="P184" s="106">
        <v>35000</v>
      </c>
      <c r="Q184" s="374">
        <v>0</v>
      </c>
      <c r="R184" s="192">
        <f t="shared" si="37"/>
        <v>35000</v>
      </c>
      <c r="S184" s="94"/>
      <c r="T184" s="569"/>
      <c r="U184" s="78"/>
      <c r="X184" s="7"/>
      <c r="Y184" s="600">
        <f t="shared" si="34"/>
        <v>0</v>
      </c>
    </row>
    <row r="185" spans="2:25" s="74" customFormat="1" x14ac:dyDescent="0.2">
      <c r="B185" s="224"/>
      <c r="C185" s="288"/>
      <c r="D185" s="224" t="s">
        <v>157</v>
      </c>
      <c r="E185" s="224"/>
      <c r="F185" s="224"/>
      <c r="G185" s="353" t="s">
        <v>321</v>
      </c>
      <c r="H185" s="353" t="s">
        <v>315</v>
      </c>
      <c r="I185" s="353" t="s">
        <v>357</v>
      </c>
      <c r="J185" s="103">
        <v>13800</v>
      </c>
      <c r="K185" s="103">
        <v>13800</v>
      </c>
      <c r="L185" s="103"/>
      <c r="M185" s="103"/>
      <c r="N185" s="103"/>
      <c r="O185" s="105"/>
      <c r="P185" s="106">
        <v>13800</v>
      </c>
      <c r="Q185" s="374">
        <v>-4590</v>
      </c>
      <c r="R185" s="192">
        <f t="shared" si="37"/>
        <v>9210</v>
      </c>
      <c r="S185" s="94"/>
      <c r="T185" s="569"/>
      <c r="U185" s="78"/>
      <c r="X185" s="7"/>
      <c r="Y185" s="600">
        <f t="shared" si="34"/>
        <v>0</v>
      </c>
    </row>
    <row r="186" spans="2:25" s="74" customFormat="1" x14ac:dyDescent="0.2">
      <c r="B186" s="273"/>
      <c r="C186" s="565"/>
      <c r="D186" s="273" t="s">
        <v>354</v>
      </c>
      <c r="E186" s="273"/>
      <c r="F186" s="273"/>
      <c r="G186" s="353"/>
      <c r="H186" s="353" t="s">
        <v>355</v>
      </c>
      <c r="I186" s="353" t="s">
        <v>357</v>
      </c>
      <c r="J186" s="104">
        <v>0</v>
      </c>
      <c r="K186" s="104"/>
      <c r="L186" s="104"/>
      <c r="M186" s="104"/>
      <c r="N186" s="104"/>
      <c r="O186" s="566"/>
      <c r="P186" s="567">
        <v>0</v>
      </c>
      <c r="Q186" s="374">
        <v>4590</v>
      </c>
      <c r="R186" s="192">
        <f t="shared" si="37"/>
        <v>4590</v>
      </c>
      <c r="S186" s="94"/>
      <c r="T186" s="569"/>
      <c r="U186" s="78"/>
      <c r="X186" s="7"/>
      <c r="Y186" s="600">
        <f t="shared" si="34"/>
        <v>0</v>
      </c>
    </row>
    <row r="187" spans="2:25" s="74" customFormat="1" x14ac:dyDescent="0.2">
      <c r="B187" s="224"/>
      <c r="C187" s="288"/>
      <c r="D187" s="224" t="s">
        <v>158</v>
      </c>
      <c r="E187" s="224"/>
      <c r="F187" s="224"/>
      <c r="G187" s="353" t="s">
        <v>150</v>
      </c>
      <c r="H187" s="353" t="s">
        <v>316</v>
      </c>
      <c r="I187" s="353" t="s">
        <v>357</v>
      </c>
      <c r="J187" s="103">
        <v>11000</v>
      </c>
      <c r="K187" s="103">
        <v>11000</v>
      </c>
      <c r="L187" s="103"/>
      <c r="M187" s="103"/>
      <c r="N187" s="103"/>
      <c r="O187" s="105"/>
      <c r="P187" s="106">
        <v>11000</v>
      </c>
      <c r="Q187" s="374">
        <v>0</v>
      </c>
      <c r="R187" s="192">
        <f t="shared" si="37"/>
        <v>11000</v>
      </c>
      <c r="S187" s="94"/>
      <c r="T187" s="569"/>
      <c r="U187" s="78"/>
      <c r="X187" s="7"/>
      <c r="Y187" s="600">
        <f t="shared" si="34"/>
        <v>0</v>
      </c>
    </row>
    <row r="188" spans="2:25" s="74" customFormat="1" x14ac:dyDescent="0.2">
      <c r="B188" s="224"/>
      <c r="C188" s="288"/>
      <c r="D188" s="224" t="s">
        <v>159</v>
      </c>
      <c r="E188" s="224"/>
      <c r="F188" s="224"/>
      <c r="G188" s="353" t="s">
        <v>322</v>
      </c>
      <c r="H188" s="353" t="s">
        <v>317</v>
      </c>
      <c r="I188" s="353" t="s">
        <v>357</v>
      </c>
      <c r="J188" s="103">
        <v>7000</v>
      </c>
      <c r="K188" s="103">
        <v>7000</v>
      </c>
      <c r="L188" s="103">
        <v>56943</v>
      </c>
      <c r="M188" s="103"/>
      <c r="N188" s="103">
        <f>SUM(K184:K188)-L188-M188</f>
        <v>9857</v>
      </c>
      <c r="O188" s="105"/>
      <c r="P188" s="106">
        <v>7000</v>
      </c>
      <c r="Q188" s="374">
        <v>0</v>
      </c>
      <c r="R188" s="192">
        <f t="shared" si="37"/>
        <v>7000</v>
      </c>
      <c r="S188" s="94"/>
      <c r="T188" s="569"/>
      <c r="U188" s="78"/>
      <c r="X188" s="7"/>
      <c r="Y188" s="600">
        <f t="shared" si="34"/>
        <v>56943</v>
      </c>
    </row>
    <row r="189" spans="2:25" s="74" customFormat="1" x14ac:dyDescent="0.2">
      <c r="B189" s="14" t="s">
        <v>130</v>
      </c>
      <c r="C189" s="240" t="s">
        <v>295</v>
      </c>
      <c r="D189" s="14" t="s">
        <v>227</v>
      </c>
      <c r="E189" s="229"/>
      <c r="F189" s="14"/>
      <c r="G189" s="49" t="s">
        <v>323</v>
      </c>
      <c r="H189" s="49"/>
      <c r="I189" s="140"/>
      <c r="J189" s="563">
        <f>SUM(J184:J188)</f>
        <v>66800</v>
      </c>
      <c r="K189" s="563">
        <f>SUM(K184:K188)</f>
        <v>66800</v>
      </c>
      <c r="L189" s="64">
        <f>SUM(L184:L188)</f>
        <v>56943</v>
      </c>
      <c r="M189" s="64">
        <f t="shared" ref="M189:N189" si="45">SUM(M184:M188)</f>
        <v>0</v>
      </c>
      <c r="N189" s="64">
        <f t="shared" si="45"/>
        <v>9857</v>
      </c>
      <c r="O189" s="64">
        <v>0</v>
      </c>
      <c r="P189" s="561">
        <v>66800</v>
      </c>
      <c r="Q189" s="375">
        <f>SUM(Q184:Q188)</f>
        <v>0</v>
      </c>
      <c r="R189" s="192">
        <f t="shared" si="37"/>
        <v>66800</v>
      </c>
      <c r="S189" s="94"/>
      <c r="T189" s="569"/>
      <c r="U189" s="78"/>
      <c r="X189" s="7"/>
      <c r="Y189" s="600">
        <f t="shared" si="34"/>
        <v>56943</v>
      </c>
    </row>
    <row r="190" spans="2:25" s="74" customFormat="1" x14ac:dyDescent="0.2">
      <c r="B190" s="229" t="s">
        <v>130</v>
      </c>
      <c r="C190" s="354" t="s">
        <v>295</v>
      </c>
      <c r="D190" s="229" t="s">
        <v>88</v>
      </c>
      <c r="E190" s="229"/>
      <c r="F190" s="229"/>
      <c r="G190" s="49" t="s">
        <v>324</v>
      </c>
      <c r="H190" s="49" t="s">
        <v>318</v>
      </c>
      <c r="I190" s="140" t="s">
        <v>357</v>
      </c>
      <c r="J190" s="355">
        <v>7600</v>
      </c>
      <c r="K190" s="355">
        <v>0</v>
      </c>
      <c r="L190" s="65"/>
      <c r="M190" s="65"/>
      <c r="N190" s="107">
        <f>K190-L190-M190</f>
        <v>0</v>
      </c>
      <c r="O190" s="164"/>
      <c r="P190" s="192">
        <v>7600</v>
      </c>
      <c r="Q190" s="375">
        <v>0</v>
      </c>
      <c r="R190" s="192">
        <f t="shared" si="37"/>
        <v>7600</v>
      </c>
      <c r="S190" s="94"/>
      <c r="T190" s="569"/>
      <c r="U190" s="78"/>
      <c r="X190" s="7"/>
      <c r="Y190" s="600">
        <f t="shared" si="34"/>
        <v>0</v>
      </c>
    </row>
    <row r="191" spans="2:25" s="74" customFormat="1" x14ac:dyDescent="0.2">
      <c r="B191" s="221" t="s">
        <v>130</v>
      </c>
      <c r="C191" s="277" t="s">
        <v>295</v>
      </c>
      <c r="D191" s="221" t="s">
        <v>89</v>
      </c>
      <c r="E191" s="221"/>
      <c r="F191" s="221"/>
      <c r="G191" s="34" t="s">
        <v>324</v>
      </c>
      <c r="H191" s="34" t="s">
        <v>319</v>
      </c>
      <c r="I191" s="34" t="s">
        <v>357</v>
      </c>
      <c r="J191" s="150">
        <v>6200</v>
      </c>
      <c r="K191" s="150">
        <v>13800</v>
      </c>
      <c r="L191" s="107">
        <v>13465</v>
      </c>
      <c r="M191" s="107"/>
      <c r="N191" s="107">
        <f>K191-L191-M191</f>
        <v>335</v>
      </c>
      <c r="O191" s="158">
        <v>0</v>
      </c>
      <c r="P191" s="108">
        <v>6200</v>
      </c>
      <c r="Q191" s="375">
        <v>0</v>
      </c>
      <c r="R191" s="192">
        <f t="shared" si="37"/>
        <v>6200</v>
      </c>
      <c r="S191" s="94"/>
      <c r="T191" s="569"/>
      <c r="U191" s="78"/>
      <c r="X191" s="7"/>
      <c r="Y191" s="600">
        <f t="shared" si="34"/>
        <v>13465</v>
      </c>
    </row>
    <row r="192" spans="2:25" s="74" customFormat="1" x14ac:dyDescent="0.2">
      <c r="B192" s="259" t="s">
        <v>131</v>
      </c>
      <c r="C192" s="285" t="s">
        <v>173</v>
      </c>
      <c r="D192" s="259" t="s">
        <v>136</v>
      </c>
      <c r="E192" s="259"/>
      <c r="F192" s="259" t="s">
        <v>300</v>
      </c>
      <c r="G192" s="33" t="s">
        <v>169</v>
      </c>
      <c r="H192" s="35" t="s">
        <v>146</v>
      </c>
      <c r="I192" s="415" t="s">
        <v>357</v>
      </c>
      <c r="J192" s="146">
        <v>6000</v>
      </c>
      <c r="K192" s="155">
        <f>6000+1049</f>
        <v>7049</v>
      </c>
      <c r="L192" s="147">
        <v>7087</v>
      </c>
      <c r="M192" s="147"/>
      <c r="N192" s="107">
        <f t="shared" ref="N192:N220" si="46">K192-L192-M192</f>
        <v>-38</v>
      </c>
      <c r="O192" s="156">
        <v>1000</v>
      </c>
      <c r="P192" s="149">
        <v>7000</v>
      </c>
      <c r="Q192" s="375">
        <v>0</v>
      </c>
      <c r="R192" s="192">
        <f t="shared" si="37"/>
        <v>7000</v>
      </c>
      <c r="S192" s="94"/>
      <c r="T192" s="569"/>
      <c r="U192" s="78"/>
      <c r="X192" s="7">
        <v>0</v>
      </c>
      <c r="Y192" s="600">
        <f t="shared" si="34"/>
        <v>7087</v>
      </c>
    </row>
    <row r="193" spans="1:25" s="322" customFormat="1" x14ac:dyDescent="0.2">
      <c r="A193" s="74" t="s">
        <v>303</v>
      </c>
      <c r="B193" s="333" t="s">
        <v>132</v>
      </c>
      <c r="C193" s="334" t="s">
        <v>127</v>
      </c>
      <c r="D193" s="334" t="s">
        <v>92</v>
      </c>
      <c r="E193" s="335"/>
      <c r="F193" s="336" t="s">
        <v>174</v>
      </c>
      <c r="G193" s="337" t="s">
        <v>154</v>
      </c>
      <c r="H193" s="338" t="s">
        <v>43</v>
      </c>
      <c r="I193" s="414"/>
      <c r="J193" s="339">
        <v>162000</v>
      </c>
      <c r="K193" s="340">
        <f>178027-16027</f>
        <v>162000</v>
      </c>
      <c r="L193" s="342">
        <v>162000</v>
      </c>
      <c r="M193" s="341">
        <v>0</v>
      </c>
      <c r="N193" s="342">
        <f>K193-L193-M193</f>
        <v>0</v>
      </c>
      <c r="O193" s="342">
        <v>49734</v>
      </c>
      <c r="P193" s="343">
        <v>211734</v>
      </c>
      <c r="Q193" s="376">
        <v>-211734</v>
      </c>
      <c r="R193" s="192">
        <f>SUM(P193:Q193)</f>
        <v>0</v>
      </c>
      <c r="S193" s="321">
        <v>10</v>
      </c>
      <c r="T193" s="572"/>
      <c r="U193" s="323"/>
      <c r="V193" s="344"/>
      <c r="X193" s="7">
        <v>177854.54</v>
      </c>
      <c r="Y193" s="600">
        <f t="shared" si="34"/>
        <v>-15854.540000000008</v>
      </c>
    </row>
    <row r="194" spans="1:25" s="74" customFormat="1" x14ac:dyDescent="0.2">
      <c r="B194" s="278" t="s">
        <v>132</v>
      </c>
      <c r="C194" s="284" t="s">
        <v>127</v>
      </c>
      <c r="D194" s="283" t="s">
        <v>94</v>
      </c>
      <c r="E194" s="229"/>
      <c r="F194" s="293"/>
      <c r="G194" s="114" t="s">
        <v>154</v>
      </c>
      <c r="H194" s="32" t="s">
        <v>46</v>
      </c>
      <c r="I194" s="140"/>
      <c r="J194" s="176">
        <v>25000</v>
      </c>
      <c r="K194" s="62">
        <v>25000</v>
      </c>
      <c r="L194" s="177">
        <v>24067</v>
      </c>
      <c r="M194" s="177">
        <v>0</v>
      </c>
      <c r="N194" s="107">
        <f t="shared" si="46"/>
        <v>933</v>
      </c>
      <c r="O194" s="180">
        <v>0</v>
      </c>
      <c r="P194" s="192">
        <v>25000</v>
      </c>
      <c r="Q194" s="375">
        <v>0</v>
      </c>
      <c r="R194" s="192">
        <f t="shared" si="37"/>
        <v>25000</v>
      </c>
      <c r="S194" s="94"/>
      <c r="T194" s="569"/>
      <c r="U194" s="78"/>
      <c r="X194" s="7">
        <v>24066.959999999999</v>
      </c>
      <c r="Y194" s="600">
        <f t="shared" si="34"/>
        <v>4.0000000000873115E-2</v>
      </c>
    </row>
    <row r="195" spans="1:25" s="74" customFormat="1" x14ac:dyDescent="0.2">
      <c r="A195" s="74" t="s">
        <v>303</v>
      </c>
      <c r="B195" s="278" t="s">
        <v>132</v>
      </c>
      <c r="C195" s="284" t="s">
        <v>127</v>
      </c>
      <c r="D195" s="283" t="s">
        <v>299</v>
      </c>
      <c r="E195" s="229"/>
      <c r="F195" s="293"/>
      <c r="G195" s="114" t="s">
        <v>154</v>
      </c>
      <c r="H195" s="32" t="s">
        <v>44</v>
      </c>
      <c r="I195" s="140"/>
      <c r="J195" s="176">
        <v>35000</v>
      </c>
      <c r="K195" s="62">
        <v>35000</v>
      </c>
      <c r="L195" s="177">
        <v>21995</v>
      </c>
      <c r="M195" s="177"/>
      <c r="N195" s="605">
        <f t="shared" si="46"/>
        <v>13005</v>
      </c>
      <c r="O195" s="180">
        <v>0</v>
      </c>
      <c r="P195" s="192">
        <v>35000</v>
      </c>
      <c r="Q195" s="375">
        <v>-35000</v>
      </c>
      <c r="R195" s="192">
        <f t="shared" ref="R195:R214" si="47">SUM(P195:Q195)</f>
        <v>0</v>
      </c>
      <c r="S195" s="94"/>
      <c r="T195" s="569"/>
      <c r="U195" s="78"/>
      <c r="X195" s="7">
        <v>21994.53</v>
      </c>
      <c r="Y195" s="600">
        <f t="shared" si="34"/>
        <v>0.47000000000116415</v>
      </c>
    </row>
    <row r="196" spans="1:25" s="74" customFormat="1" x14ac:dyDescent="0.2">
      <c r="A196" s="74" t="s">
        <v>303</v>
      </c>
      <c r="B196" s="278" t="s">
        <v>132</v>
      </c>
      <c r="C196" s="284" t="s">
        <v>127</v>
      </c>
      <c r="D196" s="283" t="s">
        <v>93</v>
      </c>
      <c r="E196" s="229"/>
      <c r="F196" s="393" t="s">
        <v>332</v>
      </c>
      <c r="G196" s="114" t="s">
        <v>154</v>
      </c>
      <c r="H196" s="32" t="s">
        <v>45</v>
      </c>
      <c r="I196" s="140"/>
      <c r="J196" s="176">
        <v>100000</v>
      </c>
      <c r="K196" s="62">
        <v>100000</v>
      </c>
      <c r="L196" s="177">
        <v>95382</v>
      </c>
      <c r="M196" s="177"/>
      <c r="N196" s="605">
        <f t="shared" si="46"/>
        <v>4618</v>
      </c>
      <c r="O196" s="180">
        <v>0</v>
      </c>
      <c r="P196" s="192">
        <v>100000</v>
      </c>
      <c r="Q196" s="375">
        <v>-100000</v>
      </c>
      <c r="R196" s="192">
        <f t="shared" si="47"/>
        <v>0</v>
      </c>
      <c r="S196" s="94"/>
      <c r="T196" s="569"/>
      <c r="U196" s="78"/>
      <c r="X196" s="7">
        <v>95382.06</v>
      </c>
      <c r="Y196" s="600">
        <f t="shared" si="34"/>
        <v>-5.9999999997671694E-2</v>
      </c>
    </row>
    <row r="197" spans="1:25" s="74" customFormat="1" x14ac:dyDescent="0.2">
      <c r="A197" s="74" t="s">
        <v>303</v>
      </c>
      <c r="B197" s="278" t="s">
        <v>132</v>
      </c>
      <c r="C197" s="284" t="s">
        <v>127</v>
      </c>
      <c r="D197" s="283" t="s">
        <v>95</v>
      </c>
      <c r="E197" s="229"/>
      <c r="F197" s="293"/>
      <c r="G197" s="114" t="s">
        <v>154</v>
      </c>
      <c r="H197" s="32" t="s">
        <v>47</v>
      </c>
      <c r="I197" s="140"/>
      <c r="J197" s="176">
        <v>30000</v>
      </c>
      <c r="K197" s="62">
        <v>45000</v>
      </c>
      <c r="L197" s="177">
        <v>43482</v>
      </c>
      <c r="M197" s="177">
        <v>0</v>
      </c>
      <c r="N197" s="605">
        <f t="shared" si="46"/>
        <v>1518</v>
      </c>
      <c r="O197" s="180">
        <v>0</v>
      </c>
      <c r="P197" s="192">
        <v>30000</v>
      </c>
      <c r="Q197" s="375">
        <v>-30000</v>
      </c>
      <c r="R197" s="192">
        <f t="shared" si="47"/>
        <v>0</v>
      </c>
      <c r="S197" s="94"/>
      <c r="T197" s="569"/>
      <c r="U197" s="78"/>
      <c r="X197" s="7">
        <v>43481.73</v>
      </c>
      <c r="Y197" s="600">
        <f t="shared" si="34"/>
        <v>0.26999999999679858</v>
      </c>
    </row>
    <row r="198" spans="1:25" s="74" customFormat="1" x14ac:dyDescent="0.2">
      <c r="A198" s="74" t="s">
        <v>303</v>
      </c>
      <c r="B198" s="278" t="s">
        <v>132</v>
      </c>
      <c r="C198" s="284" t="s">
        <v>127</v>
      </c>
      <c r="D198" s="283" t="s">
        <v>284</v>
      </c>
      <c r="E198" s="229"/>
      <c r="F198" s="293"/>
      <c r="G198" s="114" t="s">
        <v>154</v>
      </c>
      <c r="H198" s="32" t="s">
        <v>48</v>
      </c>
      <c r="I198" s="140"/>
      <c r="J198" s="176">
        <v>50000</v>
      </c>
      <c r="K198" s="62">
        <v>50000</v>
      </c>
      <c r="L198" s="177">
        <v>48380</v>
      </c>
      <c r="M198" s="177">
        <v>0</v>
      </c>
      <c r="N198" s="605">
        <f t="shared" si="46"/>
        <v>1620</v>
      </c>
      <c r="O198" s="180">
        <v>0</v>
      </c>
      <c r="P198" s="192">
        <v>50000</v>
      </c>
      <c r="Q198" s="375">
        <v>-50000</v>
      </c>
      <c r="R198" s="192">
        <f t="shared" si="47"/>
        <v>0</v>
      </c>
      <c r="S198" s="94"/>
      <c r="T198" s="569"/>
      <c r="U198" s="78"/>
      <c r="X198" s="7">
        <v>48380.44</v>
      </c>
      <c r="Y198" s="600">
        <f t="shared" si="34"/>
        <v>-0.44000000000232831</v>
      </c>
    </row>
    <row r="199" spans="1:25" s="74" customFormat="1" x14ac:dyDescent="0.2">
      <c r="A199" s="74" t="s">
        <v>303</v>
      </c>
      <c r="B199" s="278" t="s">
        <v>132</v>
      </c>
      <c r="C199" s="284" t="s">
        <v>127</v>
      </c>
      <c r="D199" s="283" t="s">
        <v>203</v>
      </c>
      <c r="E199" s="229"/>
      <c r="F199" s="293" t="s">
        <v>143</v>
      </c>
      <c r="G199" s="114" t="s">
        <v>154</v>
      </c>
      <c r="H199" s="32" t="s">
        <v>49</v>
      </c>
      <c r="I199" s="140" t="s">
        <v>357</v>
      </c>
      <c r="J199" s="176">
        <v>450000</v>
      </c>
      <c r="K199" s="62">
        <v>435000</v>
      </c>
      <c r="L199" s="177">
        <v>427209</v>
      </c>
      <c r="M199" s="177">
        <v>0</v>
      </c>
      <c r="N199" s="605">
        <f t="shared" si="46"/>
        <v>7791</v>
      </c>
      <c r="O199" s="180">
        <v>0</v>
      </c>
      <c r="P199" s="192">
        <v>450000</v>
      </c>
      <c r="Q199" s="375">
        <v>-450000</v>
      </c>
      <c r="R199" s="192">
        <f t="shared" si="47"/>
        <v>0</v>
      </c>
      <c r="S199" s="94"/>
      <c r="T199" s="569"/>
      <c r="U199" s="78"/>
      <c r="X199" s="7">
        <v>427208.51</v>
      </c>
      <c r="Y199" s="600">
        <f t="shared" si="34"/>
        <v>0.48999999999068677</v>
      </c>
    </row>
    <row r="200" spans="1:25" s="74" customFormat="1" x14ac:dyDescent="0.2">
      <c r="A200" s="74" t="s">
        <v>303</v>
      </c>
      <c r="B200" s="278" t="s">
        <v>132</v>
      </c>
      <c r="C200" s="284" t="s">
        <v>127</v>
      </c>
      <c r="D200" s="283" t="s">
        <v>96</v>
      </c>
      <c r="E200" s="229"/>
      <c r="F200" s="293"/>
      <c r="G200" s="115" t="s">
        <v>167</v>
      </c>
      <c r="H200" s="32" t="s">
        <v>50</v>
      </c>
      <c r="I200" s="140" t="s">
        <v>357</v>
      </c>
      <c r="J200" s="176">
        <v>160000</v>
      </c>
      <c r="K200" s="62">
        <v>160000</v>
      </c>
      <c r="L200" s="177">
        <v>156228</v>
      </c>
      <c r="M200" s="177"/>
      <c r="N200" s="605">
        <f t="shared" si="46"/>
        <v>3772</v>
      </c>
      <c r="O200" s="180">
        <v>0</v>
      </c>
      <c r="P200" s="192">
        <v>160000</v>
      </c>
      <c r="Q200" s="375">
        <v>-160000</v>
      </c>
      <c r="R200" s="192">
        <f t="shared" si="47"/>
        <v>0</v>
      </c>
      <c r="S200" s="94"/>
      <c r="T200" s="569"/>
      <c r="U200" s="78"/>
      <c r="X200" s="7">
        <v>156228.04</v>
      </c>
      <c r="Y200" s="600">
        <f t="shared" ref="Y200:Y227" si="48">L200-X200</f>
        <v>-4.0000000008149073E-2</v>
      </c>
    </row>
    <row r="201" spans="1:25" s="74" customFormat="1" x14ac:dyDescent="0.2">
      <c r="A201" s="74" t="s">
        <v>303</v>
      </c>
      <c r="B201" s="278" t="s">
        <v>132</v>
      </c>
      <c r="C201" s="284" t="s">
        <v>127</v>
      </c>
      <c r="D201" s="283" t="s">
        <v>97</v>
      </c>
      <c r="E201" s="229"/>
      <c r="F201" s="293" t="s">
        <v>327</v>
      </c>
      <c r="G201" s="115" t="s">
        <v>170</v>
      </c>
      <c r="H201" s="32" t="s">
        <v>51</v>
      </c>
      <c r="I201" s="140" t="s">
        <v>357</v>
      </c>
      <c r="J201" s="176">
        <v>40000</v>
      </c>
      <c r="K201" s="62">
        <v>40000</v>
      </c>
      <c r="L201" s="177">
        <v>40000</v>
      </c>
      <c r="M201" s="177">
        <v>0</v>
      </c>
      <c r="N201" s="177">
        <f t="shared" si="46"/>
        <v>0</v>
      </c>
      <c r="O201" s="180">
        <v>0</v>
      </c>
      <c r="P201" s="192">
        <v>40000</v>
      </c>
      <c r="Q201" s="375">
        <v>-40000</v>
      </c>
      <c r="R201" s="192">
        <f t="shared" si="47"/>
        <v>0</v>
      </c>
      <c r="S201" s="94"/>
      <c r="T201" s="569"/>
      <c r="U201" s="78"/>
      <c r="X201" s="7">
        <v>40000</v>
      </c>
      <c r="Y201" s="600">
        <f t="shared" si="48"/>
        <v>0</v>
      </c>
    </row>
    <row r="202" spans="1:25" s="74" customFormat="1" x14ac:dyDescent="0.2">
      <c r="A202" s="74" t="s">
        <v>303</v>
      </c>
      <c r="B202" s="231" t="s">
        <v>132</v>
      </c>
      <c r="C202" s="232" t="s">
        <v>127</v>
      </c>
      <c r="D202" s="231" t="s">
        <v>98</v>
      </c>
      <c r="E202" s="231"/>
      <c r="F202" s="280"/>
      <c r="G202" s="165" t="s">
        <v>167</v>
      </c>
      <c r="H202" s="21" t="s">
        <v>52</v>
      </c>
      <c r="I202" s="45" t="s">
        <v>357</v>
      </c>
      <c r="J202" s="142">
        <v>70000</v>
      </c>
      <c r="K202" s="166">
        <v>70000</v>
      </c>
      <c r="L202" s="143">
        <v>69266</v>
      </c>
      <c r="M202" s="143">
        <v>0</v>
      </c>
      <c r="N202" s="177">
        <f t="shared" si="46"/>
        <v>734</v>
      </c>
      <c r="O202" s="72">
        <v>0</v>
      </c>
      <c r="P202" s="192">
        <v>70000</v>
      </c>
      <c r="Q202" s="375">
        <v>-70000</v>
      </c>
      <c r="R202" s="192">
        <f t="shared" si="47"/>
        <v>0</v>
      </c>
      <c r="S202" s="94"/>
      <c r="T202" s="569"/>
      <c r="U202" s="78"/>
      <c r="X202" s="7">
        <v>69265.78</v>
      </c>
      <c r="Y202" s="600">
        <f t="shared" si="48"/>
        <v>0.22000000000116415</v>
      </c>
    </row>
    <row r="203" spans="1:25" s="74" customFormat="1" x14ac:dyDescent="0.2">
      <c r="A203" s="74" t="s">
        <v>303</v>
      </c>
      <c r="B203" s="244" t="s">
        <v>129</v>
      </c>
      <c r="C203" s="486" t="s">
        <v>145</v>
      </c>
      <c r="D203" s="244" t="s">
        <v>111</v>
      </c>
      <c r="E203" s="244"/>
      <c r="F203" s="244"/>
      <c r="G203" s="140" t="s">
        <v>166</v>
      </c>
      <c r="H203" s="140" t="s">
        <v>57</v>
      </c>
      <c r="I203" s="140" t="s">
        <v>357</v>
      </c>
      <c r="J203" s="62">
        <v>57000</v>
      </c>
      <c r="K203" s="62">
        <v>57000</v>
      </c>
      <c r="L203" s="487">
        <v>56708</v>
      </c>
      <c r="M203" s="487"/>
      <c r="N203" s="487">
        <f t="shared" si="46"/>
        <v>292</v>
      </c>
      <c r="O203" s="488">
        <v>0</v>
      </c>
      <c r="P203" s="404">
        <v>57000</v>
      </c>
      <c r="Q203" s="489">
        <v>-57000</v>
      </c>
      <c r="R203" s="404">
        <f t="shared" si="47"/>
        <v>0</v>
      </c>
      <c r="S203" s="94"/>
      <c r="T203" s="569"/>
      <c r="U203" s="78"/>
      <c r="X203" s="7">
        <v>56707.51</v>
      </c>
      <c r="Y203" s="600">
        <f t="shared" si="48"/>
        <v>0.48999999999796273</v>
      </c>
    </row>
    <row r="204" spans="1:25" s="74" customFormat="1" x14ac:dyDescent="0.2">
      <c r="A204" s="74" t="s">
        <v>303</v>
      </c>
      <c r="B204" s="259" t="s">
        <v>129</v>
      </c>
      <c r="C204" s="282" t="s">
        <v>145</v>
      </c>
      <c r="D204" s="259" t="s">
        <v>101</v>
      </c>
      <c r="E204" s="259"/>
      <c r="F204" s="259"/>
      <c r="G204" s="33" t="s">
        <v>290</v>
      </c>
      <c r="H204" s="33" t="s">
        <v>53</v>
      </c>
      <c r="I204" s="46" t="s">
        <v>357</v>
      </c>
      <c r="J204" s="146">
        <v>22680</v>
      </c>
      <c r="K204" s="146">
        <f>22680</f>
        <v>22680</v>
      </c>
      <c r="L204" s="147"/>
      <c r="M204" s="147"/>
      <c r="N204" s="307"/>
      <c r="O204" s="372"/>
      <c r="P204" s="181">
        <v>22680</v>
      </c>
      <c r="Q204" s="371">
        <v>-22680</v>
      </c>
      <c r="R204" s="181">
        <f t="shared" si="47"/>
        <v>0</v>
      </c>
      <c r="S204" s="94"/>
      <c r="T204" s="569"/>
      <c r="U204" s="78"/>
      <c r="X204" s="7">
        <v>365799.79</v>
      </c>
      <c r="Y204" s="600">
        <f t="shared" si="48"/>
        <v>-365799.79</v>
      </c>
    </row>
    <row r="205" spans="1:25" s="74" customFormat="1" x14ac:dyDescent="0.2">
      <c r="A205" s="74" t="s">
        <v>303</v>
      </c>
      <c r="B205" s="259" t="s">
        <v>129</v>
      </c>
      <c r="C205" s="282" t="s">
        <v>145</v>
      </c>
      <c r="D205" s="259" t="s">
        <v>102</v>
      </c>
      <c r="E205" s="259"/>
      <c r="F205" s="259"/>
      <c r="G205" s="33" t="s">
        <v>163</v>
      </c>
      <c r="H205" s="33" t="s">
        <v>53</v>
      </c>
      <c r="I205" s="46" t="s">
        <v>357</v>
      </c>
      <c r="J205" s="146">
        <v>18636</v>
      </c>
      <c r="K205" s="146">
        <v>18636</v>
      </c>
      <c r="L205" s="147"/>
      <c r="M205" s="147"/>
      <c r="N205" s="307"/>
      <c r="O205" s="372"/>
      <c r="P205" s="181">
        <v>18636</v>
      </c>
      <c r="Q205" s="371">
        <v>-18636</v>
      </c>
      <c r="R205" s="181">
        <f t="shared" si="47"/>
        <v>0</v>
      </c>
      <c r="S205" s="94"/>
      <c r="T205" s="569"/>
      <c r="U205" s="78"/>
      <c r="X205" s="7">
        <v>365799.79</v>
      </c>
      <c r="Y205" s="600">
        <f t="shared" si="48"/>
        <v>-365799.79</v>
      </c>
    </row>
    <row r="206" spans="1:25" s="74" customFormat="1" x14ac:dyDescent="0.2">
      <c r="A206" s="74" t="s">
        <v>303</v>
      </c>
      <c r="B206" s="259" t="s">
        <v>129</v>
      </c>
      <c r="C206" s="282" t="s">
        <v>145</v>
      </c>
      <c r="D206" s="259" t="s">
        <v>103</v>
      </c>
      <c r="E206" s="259"/>
      <c r="F206" s="259"/>
      <c r="G206" s="33" t="s">
        <v>165</v>
      </c>
      <c r="H206" s="33" t="s">
        <v>53</v>
      </c>
      <c r="I206" s="46" t="s">
        <v>357</v>
      </c>
      <c r="J206" s="146">
        <v>14732</v>
      </c>
      <c r="K206" s="146">
        <v>14732</v>
      </c>
      <c r="L206" s="147"/>
      <c r="M206" s="147"/>
      <c r="N206" s="307"/>
      <c r="O206" s="372"/>
      <c r="P206" s="181">
        <v>14732</v>
      </c>
      <c r="Q206" s="371">
        <v>-14732</v>
      </c>
      <c r="R206" s="181">
        <f t="shared" si="47"/>
        <v>0</v>
      </c>
      <c r="S206" s="94"/>
      <c r="T206" s="569"/>
      <c r="U206" s="78"/>
      <c r="X206" s="7">
        <v>365799.79</v>
      </c>
      <c r="Y206" s="600">
        <f t="shared" si="48"/>
        <v>-365799.79</v>
      </c>
    </row>
    <row r="207" spans="1:25" s="74" customFormat="1" x14ac:dyDescent="0.2">
      <c r="A207" s="74" t="s">
        <v>303</v>
      </c>
      <c r="B207" s="259" t="s">
        <v>129</v>
      </c>
      <c r="C207" s="282" t="s">
        <v>145</v>
      </c>
      <c r="D207" s="259" t="s">
        <v>104</v>
      </c>
      <c r="E207" s="259"/>
      <c r="F207" s="259"/>
      <c r="G207" s="33" t="s">
        <v>155</v>
      </c>
      <c r="H207" s="33" t="s">
        <v>53</v>
      </c>
      <c r="I207" s="46" t="s">
        <v>357</v>
      </c>
      <c r="J207" s="146">
        <v>4090</v>
      </c>
      <c r="K207" s="146">
        <v>4090</v>
      </c>
      <c r="L207" s="147"/>
      <c r="M207" s="147"/>
      <c r="N207" s="307"/>
      <c r="O207" s="372"/>
      <c r="P207" s="181">
        <v>4090</v>
      </c>
      <c r="Q207" s="371">
        <v>-4090</v>
      </c>
      <c r="R207" s="181">
        <f t="shared" si="47"/>
        <v>0</v>
      </c>
      <c r="S207" s="94"/>
      <c r="T207" s="569"/>
      <c r="U207" s="78"/>
      <c r="X207" s="7">
        <v>365799.79</v>
      </c>
      <c r="Y207" s="600">
        <f t="shared" si="48"/>
        <v>-365799.79</v>
      </c>
    </row>
    <row r="208" spans="1:25" s="74" customFormat="1" x14ac:dyDescent="0.2">
      <c r="A208" s="74" t="s">
        <v>303</v>
      </c>
      <c r="B208" s="259" t="s">
        <v>129</v>
      </c>
      <c r="C208" s="282" t="s">
        <v>145</v>
      </c>
      <c r="D208" s="259" t="s">
        <v>105</v>
      </c>
      <c r="E208" s="259"/>
      <c r="F208" s="259"/>
      <c r="G208" s="33" t="s">
        <v>155</v>
      </c>
      <c r="H208" s="33" t="s">
        <v>53</v>
      </c>
      <c r="I208" s="46" t="s">
        <v>357</v>
      </c>
      <c r="J208" s="146">
        <v>2000</v>
      </c>
      <c r="K208" s="146">
        <v>2000</v>
      </c>
      <c r="L208" s="147"/>
      <c r="M208" s="147"/>
      <c r="N208" s="307"/>
      <c r="O208" s="372"/>
      <c r="P208" s="181">
        <v>2000</v>
      </c>
      <c r="Q208" s="371">
        <v>-2000</v>
      </c>
      <c r="R208" s="181">
        <f t="shared" si="47"/>
        <v>0</v>
      </c>
      <c r="S208" s="94"/>
      <c r="T208" s="569"/>
      <c r="U208" s="78"/>
      <c r="X208" s="7">
        <v>365799.79</v>
      </c>
      <c r="Y208" s="600">
        <f t="shared" si="48"/>
        <v>-365799.79</v>
      </c>
    </row>
    <row r="209" spans="1:25" s="74" customFormat="1" x14ac:dyDescent="0.2">
      <c r="A209" s="74" t="s">
        <v>303</v>
      </c>
      <c r="B209" s="259" t="s">
        <v>129</v>
      </c>
      <c r="C209" s="282" t="s">
        <v>145</v>
      </c>
      <c r="D209" s="259" t="s">
        <v>106</v>
      </c>
      <c r="E209" s="259"/>
      <c r="F209" s="259"/>
      <c r="G209" s="33" t="s">
        <v>155</v>
      </c>
      <c r="H209" s="33" t="s">
        <v>53</v>
      </c>
      <c r="I209" s="46" t="s">
        <v>357</v>
      </c>
      <c r="J209" s="146">
        <v>300</v>
      </c>
      <c r="K209" s="146">
        <v>300</v>
      </c>
      <c r="L209" s="147"/>
      <c r="M209" s="147"/>
      <c r="N209" s="307"/>
      <c r="O209" s="372"/>
      <c r="P209" s="181">
        <v>300</v>
      </c>
      <c r="Q209" s="371">
        <v>-300</v>
      </c>
      <c r="R209" s="181">
        <f t="shared" si="47"/>
        <v>0</v>
      </c>
      <c r="S209" s="94"/>
      <c r="T209" s="569"/>
      <c r="U209" s="78"/>
      <c r="X209" s="7">
        <v>365799.79</v>
      </c>
      <c r="Y209" s="600">
        <f t="shared" si="48"/>
        <v>-365799.79</v>
      </c>
    </row>
    <row r="210" spans="1:25" s="74" customFormat="1" x14ac:dyDescent="0.2">
      <c r="A210" s="74" t="s">
        <v>303</v>
      </c>
      <c r="B210" s="259" t="s">
        <v>129</v>
      </c>
      <c r="C210" s="282" t="s">
        <v>145</v>
      </c>
      <c r="D210" s="259" t="s">
        <v>285</v>
      </c>
      <c r="E210" s="259"/>
      <c r="F210" s="259"/>
      <c r="G210" s="33" t="s">
        <v>155</v>
      </c>
      <c r="H210" s="33" t="s">
        <v>53</v>
      </c>
      <c r="I210" s="46" t="s">
        <v>357</v>
      </c>
      <c r="J210" s="146">
        <v>250000</v>
      </c>
      <c r="K210" s="146">
        <v>250000</v>
      </c>
      <c r="L210" s="147"/>
      <c r="M210" s="147"/>
      <c r="N210" s="307"/>
      <c r="O210" s="372"/>
      <c r="P210" s="181">
        <v>250000</v>
      </c>
      <c r="Q210" s="371">
        <v>-250000</v>
      </c>
      <c r="R210" s="181">
        <f t="shared" si="47"/>
        <v>0</v>
      </c>
      <c r="S210" s="94"/>
      <c r="T210" s="569"/>
      <c r="U210" s="78"/>
      <c r="X210" s="7">
        <v>365799.79</v>
      </c>
      <c r="Y210" s="600">
        <f t="shared" si="48"/>
        <v>-365799.79</v>
      </c>
    </row>
    <row r="211" spans="1:25" s="74" customFormat="1" x14ac:dyDescent="0.2">
      <c r="A211" s="74" t="s">
        <v>303</v>
      </c>
      <c r="B211" s="259" t="s">
        <v>129</v>
      </c>
      <c r="C211" s="282" t="s">
        <v>145</v>
      </c>
      <c r="D211" s="259" t="s">
        <v>107</v>
      </c>
      <c r="E211" s="259"/>
      <c r="F211" s="259"/>
      <c r="G211" s="33" t="s">
        <v>155</v>
      </c>
      <c r="H211" s="33" t="s">
        <v>53</v>
      </c>
      <c r="I211" s="46" t="s">
        <v>357</v>
      </c>
      <c r="J211" s="146">
        <v>2640</v>
      </c>
      <c r="K211" s="146">
        <v>2640</v>
      </c>
      <c r="L211" s="147"/>
      <c r="M211" s="147"/>
      <c r="N211" s="307"/>
      <c r="O211" s="372"/>
      <c r="P211" s="181">
        <v>2640</v>
      </c>
      <c r="Q211" s="371">
        <v>-2640</v>
      </c>
      <c r="R211" s="181">
        <f t="shared" si="47"/>
        <v>0</v>
      </c>
      <c r="S211" s="94"/>
      <c r="T211" s="569"/>
      <c r="U211" s="78"/>
      <c r="X211" s="7">
        <v>365799.79</v>
      </c>
      <c r="Y211" s="600">
        <f t="shared" si="48"/>
        <v>-365799.79</v>
      </c>
    </row>
    <row r="212" spans="1:25" s="74" customFormat="1" x14ac:dyDescent="0.2">
      <c r="A212" s="74" t="s">
        <v>303</v>
      </c>
      <c r="B212" s="259" t="s">
        <v>129</v>
      </c>
      <c r="C212" s="282" t="s">
        <v>145</v>
      </c>
      <c r="D212" s="259" t="s">
        <v>108</v>
      </c>
      <c r="E212" s="259"/>
      <c r="F212" s="259"/>
      <c r="G212" s="33" t="s">
        <v>163</v>
      </c>
      <c r="H212" s="33" t="s">
        <v>53</v>
      </c>
      <c r="I212" s="46" t="s">
        <v>357</v>
      </c>
      <c r="J212" s="146">
        <v>4152</v>
      </c>
      <c r="K212" s="146">
        <v>4152</v>
      </c>
      <c r="L212" s="147"/>
      <c r="M212" s="147"/>
      <c r="N212" s="307"/>
      <c r="O212" s="372"/>
      <c r="P212" s="181">
        <v>4152</v>
      </c>
      <c r="Q212" s="371">
        <v>-4152</v>
      </c>
      <c r="R212" s="181">
        <f t="shared" si="47"/>
        <v>0</v>
      </c>
      <c r="S212" s="94"/>
      <c r="T212" s="569"/>
      <c r="U212" s="78"/>
      <c r="X212" s="7">
        <v>365799.79</v>
      </c>
      <c r="Y212" s="600">
        <f t="shared" si="48"/>
        <v>-365799.79</v>
      </c>
    </row>
    <row r="213" spans="1:25" s="74" customFormat="1" x14ac:dyDescent="0.2">
      <c r="A213" s="74" t="s">
        <v>303</v>
      </c>
      <c r="B213" s="259" t="s">
        <v>129</v>
      </c>
      <c r="C213" s="282" t="s">
        <v>145</v>
      </c>
      <c r="D213" s="259" t="s">
        <v>109</v>
      </c>
      <c r="E213" s="259"/>
      <c r="F213" s="259"/>
      <c r="G213" s="33" t="s">
        <v>165</v>
      </c>
      <c r="H213" s="33" t="s">
        <v>53</v>
      </c>
      <c r="I213" s="46" t="s">
        <v>357</v>
      </c>
      <c r="J213" s="146">
        <v>2640</v>
      </c>
      <c r="K213" s="146">
        <v>2640</v>
      </c>
      <c r="L213" s="147"/>
      <c r="M213" s="147"/>
      <c r="N213" s="307"/>
      <c r="O213" s="372"/>
      <c r="P213" s="181">
        <v>2640</v>
      </c>
      <c r="Q213" s="371">
        <v>-2640</v>
      </c>
      <c r="R213" s="181">
        <f t="shared" si="47"/>
        <v>0</v>
      </c>
      <c r="S213" s="94"/>
      <c r="T213" s="569"/>
      <c r="U213" s="78"/>
      <c r="X213" s="7">
        <v>365799.79</v>
      </c>
      <c r="Y213" s="600">
        <f t="shared" si="48"/>
        <v>-365799.79</v>
      </c>
    </row>
    <row r="214" spans="1:25" s="74" customFormat="1" x14ac:dyDescent="0.2">
      <c r="A214" s="74" t="s">
        <v>303</v>
      </c>
      <c r="B214" s="490" t="s">
        <v>129</v>
      </c>
      <c r="C214" s="491" t="s">
        <v>145</v>
      </c>
      <c r="D214" s="490" t="s">
        <v>112</v>
      </c>
      <c r="E214" s="490"/>
      <c r="F214" s="490"/>
      <c r="G214" s="46" t="s">
        <v>165</v>
      </c>
      <c r="H214" s="46" t="s">
        <v>53</v>
      </c>
      <c r="I214" s="46" t="s">
        <v>357</v>
      </c>
      <c r="J214" s="155">
        <v>3120</v>
      </c>
      <c r="K214" s="155">
        <v>3120</v>
      </c>
      <c r="L214" s="307"/>
      <c r="M214" s="307"/>
      <c r="N214" s="307"/>
      <c r="O214" s="372"/>
      <c r="P214" s="181">
        <v>3120</v>
      </c>
      <c r="Q214" s="371">
        <v>-3120</v>
      </c>
      <c r="R214" s="181">
        <f t="shared" si="47"/>
        <v>0</v>
      </c>
      <c r="S214" s="94"/>
      <c r="T214" s="569"/>
      <c r="U214" s="78"/>
      <c r="X214" s="7">
        <v>365799.79</v>
      </c>
      <c r="Y214" s="600">
        <f t="shared" si="48"/>
        <v>-365799.79</v>
      </c>
    </row>
    <row r="215" spans="1:25" s="74" customFormat="1" x14ac:dyDescent="0.2">
      <c r="A215" s="74" t="s">
        <v>303</v>
      </c>
      <c r="B215" s="490" t="s">
        <v>129</v>
      </c>
      <c r="C215" s="491" t="s">
        <v>145</v>
      </c>
      <c r="D215" s="490" t="s">
        <v>99</v>
      </c>
      <c r="E215" s="490"/>
      <c r="F215" s="490"/>
      <c r="G215" s="46" t="s">
        <v>164</v>
      </c>
      <c r="H215" s="46" t="s">
        <v>53</v>
      </c>
      <c r="I215" s="46" t="s">
        <v>357</v>
      </c>
      <c r="J215" s="155">
        <v>35893</v>
      </c>
      <c r="K215" s="155">
        <v>35893</v>
      </c>
      <c r="L215" s="307"/>
      <c r="M215" s="307"/>
      <c r="N215" s="307"/>
      <c r="O215" s="372"/>
      <c r="P215" s="181">
        <v>35893</v>
      </c>
      <c r="Q215" s="371">
        <v>-35893</v>
      </c>
      <c r="R215" s="181">
        <f>SUM(P215:Q215)</f>
        <v>0</v>
      </c>
      <c r="S215" s="94"/>
      <c r="T215" s="569"/>
      <c r="U215" s="78"/>
      <c r="X215" s="7">
        <v>365799.79</v>
      </c>
      <c r="Y215" s="600">
        <f t="shared" si="48"/>
        <v>-365799.79</v>
      </c>
    </row>
    <row r="216" spans="1:25" s="74" customFormat="1" x14ac:dyDescent="0.2">
      <c r="A216" s="74" t="s">
        <v>303</v>
      </c>
      <c r="B216" s="259" t="s">
        <v>129</v>
      </c>
      <c r="C216" s="282" t="s">
        <v>145</v>
      </c>
      <c r="D216" s="259" t="s">
        <v>100</v>
      </c>
      <c r="E216" s="259"/>
      <c r="F216" s="259"/>
      <c r="G216" s="33" t="s">
        <v>164</v>
      </c>
      <c r="H216" s="33" t="s">
        <v>53</v>
      </c>
      <c r="I216" s="46" t="s">
        <v>357</v>
      </c>
      <c r="J216" s="146">
        <v>12890</v>
      </c>
      <c r="K216" s="146">
        <v>12890</v>
      </c>
      <c r="L216" s="147"/>
      <c r="M216" s="147"/>
      <c r="N216" s="147"/>
      <c r="O216" s="156"/>
      <c r="P216" s="181">
        <v>12890</v>
      </c>
      <c r="Q216" s="371">
        <v>-12890</v>
      </c>
      <c r="R216" s="181">
        <f>SUM(P216:Q216)</f>
        <v>0</v>
      </c>
      <c r="S216" s="94"/>
      <c r="T216" s="569"/>
      <c r="U216" s="78"/>
      <c r="X216" s="7">
        <v>365799.79</v>
      </c>
      <c r="Y216" s="600">
        <f t="shared" si="48"/>
        <v>-365799.79</v>
      </c>
    </row>
    <row r="217" spans="1:25" s="74" customFormat="1" x14ac:dyDescent="0.2">
      <c r="A217" s="74" t="s">
        <v>303</v>
      </c>
      <c r="B217" s="259" t="s">
        <v>129</v>
      </c>
      <c r="C217" s="282" t="s">
        <v>145</v>
      </c>
      <c r="D217" s="259" t="s">
        <v>113</v>
      </c>
      <c r="E217" s="259"/>
      <c r="F217" s="259" t="s">
        <v>247</v>
      </c>
      <c r="G217" s="33"/>
      <c r="H217" s="33" t="s">
        <v>53</v>
      </c>
      <c r="I217" s="46" t="s">
        <v>357</v>
      </c>
      <c r="J217" s="146">
        <v>25000</v>
      </c>
      <c r="K217" s="146">
        <v>25000</v>
      </c>
      <c r="L217" s="147"/>
      <c r="M217" s="147"/>
      <c r="N217" s="307"/>
      <c r="O217" s="372">
        <v>-25000</v>
      </c>
      <c r="P217" s="181">
        <v>0</v>
      </c>
      <c r="Q217" s="371">
        <v>0</v>
      </c>
      <c r="R217" s="181">
        <f t="shared" ref="R217:R218" si="49">SUM(P217:Q217)</f>
        <v>0</v>
      </c>
      <c r="S217" s="94"/>
      <c r="T217" s="569"/>
      <c r="U217" s="78"/>
      <c r="X217" s="7">
        <v>365799.79</v>
      </c>
      <c r="Y217" s="600">
        <f t="shared" si="48"/>
        <v>-365799.79</v>
      </c>
    </row>
    <row r="218" spans="1:25" s="74" customFormat="1" x14ac:dyDescent="0.2">
      <c r="A218" s="74" t="s">
        <v>303</v>
      </c>
      <c r="B218" s="221" t="s">
        <v>129</v>
      </c>
      <c r="C218" s="277" t="s">
        <v>145</v>
      </c>
      <c r="D218" s="221" t="s">
        <v>114</v>
      </c>
      <c r="E218" s="221"/>
      <c r="F218" s="221"/>
      <c r="G218" s="17" t="s">
        <v>165</v>
      </c>
      <c r="H218" s="17" t="s">
        <v>53</v>
      </c>
      <c r="I218" s="34" t="s">
        <v>357</v>
      </c>
      <c r="J218" s="150">
        <v>6300</v>
      </c>
      <c r="K218" s="150">
        <v>6300</v>
      </c>
      <c r="L218" s="107">
        <v>365800</v>
      </c>
      <c r="M218" s="107"/>
      <c r="N218" s="603">
        <f>SUM(K204:K218)-L218-M218</f>
        <v>39273</v>
      </c>
      <c r="O218" s="390"/>
      <c r="P218" s="391">
        <v>6300</v>
      </c>
      <c r="Q218" s="382">
        <v>-6300</v>
      </c>
      <c r="R218" s="391">
        <f t="shared" si="49"/>
        <v>0</v>
      </c>
      <c r="S218" s="94"/>
      <c r="T218" s="569"/>
      <c r="U218" s="78"/>
      <c r="X218" s="7">
        <v>365799.79</v>
      </c>
      <c r="Y218" s="600">
        <f t="shared" si="48"/>
        <v>0.21000000002095476</v>
      </c>
    </row>
    <row r="219" spans="1:25" s="74" customFormat="1" x14ac:dyDescent="0.2">
      <c r="B219" s="283" t="s">
        <v>129</v>
      </c>
      <c r="C219" s="232" t="s">
        <v>145</v>
      </c>
      <c r="D219" s="283" t="s">
        <v>55</v>
      </c>
      <c r="E219" s="229"/>
      <c r="F219" s="6"/>
      <c r="G219" s="5" t="s">
        <v>288</v>
      </c>
      <c r="H219" s="32" t="s">
        <v>54</v>
      </c>
      <c r="I219" s="140" t="s">
        <v>357</v>
      </c>
      <c r="J219" s="176">
        <v>60000</v>
      </c>
      <c r="K219" s="62">
        <v>60000</v>
      </c>
      <c r="L219" s="177">
        <v>55899</v>
      </c>
      <c r="M219" s="177"/>
      <c r="N219" s="604">
        <f t="shared" si="46"/>
        <v>4101</v>
      </c>
      <c r="O219" s="180">
        <v>0</v>
      </c>
      <c r="P219" s="192">
        <v>60000</v>
      </c>
      <c r="Q219" s="375">
        <v>0</v>
      </c>
      <c r="R219" s="192">
        <f t="shared" si="37"/>
        <v>60000</v>
      </c>
      <c r="S219" s="94"/>
      <c r="T219" s="569"/>
      <c r="U219" s="78"/>
      <c r="X219" s="7">
        <v>55898.96</v>
      </c>
      <c r="Y219" s="600">
        <f t="shared" si="48"/>
        <v>4.0000000000873115E-2</v>
      </c>
    </row>
    <row r="220" spans="1:25" s="74" customFormat="1" ht="15.75" thickBot="1" x14ac:dyDescent="0.25">
      <c r="B220" s="283" t="s">
        <v>129</v>
      </c>
      <c r="C220" s="232" t="s">
        <v>145</v>
      </c>
      <c r="D220" s="283" t="s">
        <v>110</v>
      </c>
      <c r="E220" s="229"/>
      <c r="F220" s="6"/>
      <c r="G220" s="5" t="s">
        <v>166</v>
      </c>
      <c r="H220" s="32" t="s">
        <v>56</v>
      </c>
      <c r="I220" s="140" t="s">
        <v>357</v>
      </c>
      <c r="J220" s="176">
        <v>21100</v>
      </c>
      <c r="K220" s="62">
        <v>21100</v>
      </c>
      <c r="L220" s="177">
        <v>19027</v>
      </c>
      <c r="M220" s="177"/>
      <c r="N220" s="604">
        <f t="shared" si="46"/>
        <v>2073</v>
      </c>
      <c r="O220" s="180">
        <v>0</v>
      </c>
      <c r="P220" s="192">
        <v>21100</v>
      </c>
      <c r="Q220" s="377">
        <v>0</v>
      </c>
      <c r="R220" s="406">
        <f t="shared" si="37"/>
        <v>21100</v>
      </c>
      <c r="S220" s="94"/>
      <c r="T220" s="569"/>
      <c r="U220" s="78"/>
      <c r="X220" s="7">
        <v>19026.87</v>
      </c>
      <c r="Y220" s="600">
        <f t="shared" si="48"/>
        <v>0.13000000000101863</v>
      </c>
    </row>
    <row r="221" spans="1:25" s="126" customFormat="1" ht="15.75" thickBot="1" x14ac:dyDescent="0.25">
      <c r="B221" s="193"/>
      <c r="C221" s="194"/>
      <c r="D221" s="195"/>
      <c r="E221" s="195"/>
      <c r="F221" s="195"/>
      <c r="G221" s="195"/>
      <c r="H221" s="196" t="s">
        <v>115</v>
      </c>
      <c r="I221" s="196"/>
      <c r="J221" s="124">
        <f>SUM(J149:J160,J165,J168:J183,J189:J220)</f>
        <v>11937215</v>
      </c>
      <c r="K221" s="124">
        <f>SUM(K149:K160,K165,K168:K183,K189:K220)</f>
        <v>12124989</v>
      </c>
      <c r="L221" s="125">
        <f t="shared" ref="L221:R221" si="50">SUM(L149:L160,L165,L168:L183,L189:L220)</f>
        <v>11802931.109999999</v>
      </c>
      <c r="M221" s="125">
        <f t="shared" si="50"/>
        <v>4048</v>
      </c>
      <c r="N221" s="125">
        <f t="shared" si="50"/>
        <v>318009.89</v>
      </c>
      <c r="O221" s="125">
        <f t="shared" si="50"/>
        <v>788929.1</v>
      </c>
      <c r="P221" s="124">
        <f t="shared" si="50"/>
        <v>12726144.6</v>
      </c>
      <c r="Q221" s="125">
        <f t="shared" si="50"/>
        <v>-11796954</v>
      </c>
      <c r="R221" s="124">
        <f t="shared" si="50"/>
        <v>929190.6</v>
      </c>
      <c r="S221" s="94"/>
      <c r="T221" s="569">
        <f>SUM(T6:T220)</f>
        <v>-419346</v>
      </c>
      <c r="U221" s="197"/>
      <c r="V221" s="126">
        <f>SUM(T13,T16,T27,T46,T49,T56,T105,T117,T120,T122,T140,T141,T143,T150,T181)</f>
        <v>533903</v>
      </c>
      <c r="W221" s="596" t="s">
        <v>363</v>
      </c>
      <c r="X221" s="7"/>
      <c r="Y221" s="600">
        <f t="shared" si="48"/>
        <v>11802931.109999999</v>
      </c>
    </row>
    <row r="222" spans="1:25" s="199" customFormat="1" ht="20.25" customHeight="1" x14ac:dyDescent="0.2">
      <c r="B222" s="198"/>
      <c r="D222" s="200"/>
      <c r="E222" s="200"/>
      <c r="F222" s="200"/>
      <c r="G222" s="200"/>
      <c r="H222" s="198"/>
      <c r="I222" s="198"/>
      <c r="J222" s="521" t="s">
        <v>340</v>
      </c>
      <c r="K222" s="201">
        <f>SUM(K144,K221)</f>
        <v>16975631</v>
      </c>
      <c r="L222" s="201">
        <f t="shared" ref="L222:N222" si="51">SUM(L144,L221)</f>
        <v>16511266.789999999</v>
      </c>
      <c r="M222" s="201"/>
      <c r="N222" s="201">
        <f t="shared" si="51"/>
        <v>460316.21</v>
      </c>
      <c r="O222" s="521" t="s">
        <v>340</v>
      </c>
      <c r="P222" s="521" t="s">
        <v>340</v>
      </c>
      <c r="Q222" s="361"/>
      <c r="R222" s="361"/>
      <c r="S222" s="152"/>
      <c r="T222" s="579"/>
      <c r="U222" s="202"/>
      <c r="X222" s="7"/>
      <c r="Y222" s="600">
        <f t="shared" si="48"/>
        <v>16511266.789999999</v>
      </c>
    </row>
    <row r="223" spans="1:25" s="204" customFormat="1" ht="15.75" x14ac:dyDescent="0.2">
      <c r="B223" s="203"/>
      <c r="D223" s="200"/>
      <c r="E223" s="200"/>
      <c r="F223" s="200"/>
      <c r="G223" s="200"/>
      <c r="H223" s="205" t="s">
        <v>286</v>
      </c>
      <c r="I223" s="205"/>
      <c r="J223" s="206"/>
      <c r="K223" s="206"/>
      <c r="L223" s="207"/>
      <c r="M223" s="207"/>
      <c r="N223" s="207"/>
      <c r="O223" s="207">
        <v>-666645</v>
      </c>
      <c r="P223" s="208"/>
      <c r="Q223" s="362">
        <f>SUM(Q13,Q46,Q75:Q76,Q92,Q95,Q159:Q160,Q165,Q168:Q174,Q181,Q193,Q195:Q218,Q111:Q112,Q114:Q115,Q189)</f>
        <v>-13642188</v>
      </c>
      <c r="R223" s="362"/>
      <c r="S223" s="209"/>
      <c r="T223" s="582"/>
      <c r="U223" s="210"/>
      <c r="X223" s="7"/>
      <c r="Y223" s="600">
        <f t="shared" si="48"/>
        <v>0</v>
      </c>
    </row>
    <row r="224" spans="1:25" s="204" customFormat="1" ht="15.75" x14ac:dyDescent="0.2">
      <c r="B224" s="203"/>
      <c r="D224" s="200"/>
      <c r="E224" s="200"/>
      <c r="F224" s="200"/>
      <c r="G224" s="200"/>
      <c r="H224" s="205" t="s">
        <v>287</v>
      </c>
      <c r="I224" s="205"/>
      <c r="J224" s="206"/>
      <c r="K224" s="206"/>
      <c r="L224" s="207"/>
      <c r="M224" s="207"/>
      <c r="N224" s="207"/>
      <c r="O224" s="207">
        <v>1035054.1</v>
      </c>
      <c r="P224" s="208"/>
      <c r="Q224" s="362">
        <f>SUM(Q12,Q27:Q32,Q45,Q56:Q61,Q85,Q91,Q96:Q97,Q101,Q104:Q110,Q113,Q116:Q137,Q139:Q143,Q150,Q16,Q49)</f>
        <v>13277476</v>
      </c>
      <c r="R224" s="362"/>
      <c r="S224" s="209"/>
      <c r="T224" s="582"/>
      <c r="U224" s="210"/>
      <c r="X224" s="7"/>
      <c r="Y224" s="600">
        <f t="shared" si="48"/>
        <v>0</v>
      </c>
    </row>
    <row r="225" spans="1:25" s="126" customFormat="1" ht="17.25" customHeight="1" x14ac:dyDescent="0.2">
      <c r="B225" s="198"/>
      <c r="D225" s="200"/>
      <c r="E225" s="200"/>
      <c r="F225" s="200"/>
      <c r="G225" s="200"/>
      <c r="H225" s="198"/>
      <c r="I225" s="198"/>
      <c r="J225" s="211"/>
      <c r="K225" s="211"/>
      <c r="L225" s="211"/>
      <c r="M225" s="211"/>
      <c r="N225" s="212"/>
      <c r="O225" s="212"/>
      <c r="P225" s="213"/>
      <c r="Q225" s="363"/>
      <c r="R225" s="363"/>
      <c r="S225" s="94"/>
      <c r="T225" s="569"/>
      <c r="U225" s="197"/>
      <c r="X225" s="7"/>
      <c r="Y225" s="600">
        <f t="shared" si="48"/>
        <v>0</v>
      </c>
    </row>
    <row r="226" spans="1:25" s="214" customFormat="1" ht="16.5" thickBot="1" x14ac:dyDescent="0.25">
      <c r="B226" s="198"/>
      <c r="D226" s="215"/>
      <c r="E226" s="215"/>
      <c r="F226" s="215"/>
      <c r="G226" s="215"/>
      <c r="H226" s="215" t="s">
        <v>116</v>
      </c>
      <c r="I226" s="215"/>
      <c r="J226" s="216">
        <f>SUM(J33,J68,J144,J221)</f>
        <v>17245139</v>
      </c>
      <c r="K226" s="216">
        <f>SUM(K33,K68,K144,K221)</f>
        <v>17671914</v>
      </c>
      <c r="L226" s="216">
        <f>SUM(L33,L68,L144,L221)</f>
        <v>17081323.07</v>
      </c>
      <c r="M226" s="216">
        <f>SUM(M33,M68,M144,M221)</f>
        <v>4048</v>
      </c>
      <c r="N226" s="216">
        <f>SUM(N33,N68,N144,N221)</f>
        <v>474390.93000000005</v>
      </c>
      <c r="O226" s="216">
        <v>368409.1</v>
      </c>
      <c r="P226" s="216">
        <v>17613547.600000001</v>
      </c>
      <c r="Q226" s="216">
        <f>SUM(Q33,Q68,Q144,Q221)</f>
        <v>-419347</v>
      </c>
      <c r="R226" s="216">
        <f>SUM(R33,R68,R144,R221)</f>
        <v>17194201.100000001</v>
      </c>
      <c r="S226" s="217"/>
      <c r="T226" s="579"/>
      <c r="U226" s="218"/>
      <c r="Y226" s="600">
        <f t="shared" si="48"/>
        <v>17081323.07</v>
      </c>
    </row>
    <row r="227" spans="1:25" s="219" customFormat="1" ht="16.5" thickTop="1" x14ac:dyDescent="0.2">
      <c r="B227" s="198"/>
      <c r="C227" s="126"/>
      <c r="F227" s="126"/>
      <c r="G227" s="126"/>
      <c r="H227" s="126"/>
      <c r="I227" s="126"/>
      <c r="J227" s="521"/>
      <c r="K227" s="521"/>
      <c r="O227" s="521"/>
      <c r="P227" s="521"/>
      <c r="Q227" s="364"/>
      <c r="R227" s="364"/>
      <c r="S227" s="77"/>
      <c r="T227" s="568"/>
      <c r="U227" s="197"/>
      <c r="Y227" s="600">
        <f t="shared" si="48"/>
        <v>0</v>
      </c>
    </row>
    <row r="228" spans="1:25" x14ac:dyDescent="0.2">
      <c r="K228" s="76"/>
    </row>
    <row r="229" spans="1:25" x14ac:dyDescent="0.25">
      <c r="B229" s="492" t="s">
        <v>306</v>
      </c>
    </row>
    <row r="230" spans="1:25" ht="17.25" customHeight="1" x14ac:dyDescent="0.2">
      <c r="A230" s="75" t="s">
        <v>304</v>
      </c>
      <c r="B230" s="346" t="s">
        <v>234</v>
      </c>
      <c r="D230" s="345" t="s">
        <v>352</v>
      </c>
      <c r="F230" s="2"/>
      <c r="G230" s="3" t="s">
        <v>150</v>
      </c>
      <c r="H230" s="16" t="s">
        <v>307</v>
      </c>
      <c r="I230" s="16" t="s">
        <v>357</v>
      </c>
      <c r="J230" s="9">
        <v>0</v>
      </c>
      <c r="K230" s="347">
        <v>112582</v>
      </c>
      <c r="L230" s="348">
        <v>12328.49</v>
      </c>
      <c r="M230" s="177">
        <v>0</v>
      </c>
      <c r="N230" s="177">
        <f>K230-L230-M230</f>
        <v>100253.51</v>
      </c>
      <c r="O230" s="180">
        <v>0</v>
      </c>
      <c r="P230" s="375">
        <v>0</v>
      </c>
      <c r="Q230" s="375">
        <f>N230</f>
        <v>100253.51</v>
      </c>
      <c r="R230" s="375">
        <f>SUM(P230:Q230)</f>
        <v>100253.51</v>
      </c>
      <c r="T230" s="568">
        <f>Q230</f>
        <v>100253.51</v>
      </c>
    </row>
    <row r="231" spans="1:25" ht="17.25" customHeight="1" x14ac:dyDescent="0.2">
      <c r="A231" s="75" t="s">
        <v>304</v>
      </c>
      <c r="B231" s="346" t="s">
        <v>234</v>
      </c>
      <c r="D231" s="345" t="s">
        <v>343</v>
      </c>
      <c r="F231" s="2"/>
      <c r="G231" s="3" t="s">
        <v>150</v>
      </c>
      <c r="H231" s="16" t="s">
        <v>307</v>
      </c>
      <c r="I231" s="16"/>
      <c r="J231" s="9">
        <v>0</v>
      </c>
      <c r="K231" s="347">
        <v>0</v>
      </c>
      <c r="L231" s="348">
        <v>0</v>
      </c>
      <c r="M231" s="177">
        <v>0</v>
      </c>
      <c r="N231" s="177">
        <f>K231-L231-M231</f>
        <v>0</v>
      </c>
      <c r="O231" s="180">
        <v>0</v>
      </c>
      <c r="P231" s="375">
        <v>0</v>
      </c>
      <c r="Q231" s="375">
        <v>20737</v>
      </c>
      <c r="R231" s="375">
        <f>SUM(P231:Q231)</f>
        <v>20737</v>
      </c>
      <c r="T231" s="568">
        <f t="shared" ref="T231:T234" si="52">Q231</f>
        <v>20737</v>
      </c>
    </row>
    <row r="232" spans="1:25" ht="17.25" customHeight="1" x14ac:dyDescent="0.2">
      <c r="B232" s="524"/>
      <c r="D232" s="345"/>
      <c r="F232" s="10"/>
      <c r="G232" s="47"/>
      <c r="H232" s="16"/>
      <c r="I232" s="16"/>
      <c r="J232" s="11"/>
      <c r="K232" s="522"/>
      <c r="L232" s="523"/>
      <c r="M232" s="65"/>
      <c r="N232" s="65"/>
      <c r="O232" s="164"/>
      <c r="P232" s="375"/>
      <c r="Q232" s="375"/>
      <c r="R232" s="375"/>
    </row>
    <row r="233" spans="1:25" ht="17.25" customHeight="1" x14ac:dyDescent="0.2">
      <c r="A233" s="75" t="s">
        <v>301</v>
      </c>
      <c r="B233" s="346" t="s">
        <v>234</v>
      </c>
      <c r="D233" s="345" t="s">
        <v>352</v>
      </c>
      <c r="F233" s="2"/>
      <c r="G233" s="3" t="s">
        <v>150</v>
      </c>
      <c r="H233" s="16" t="s">
        <v>344</v>
      </c>
      <c r="I233" s="16"/>
      <c r="J233" s="9">
        <v>0</v>
      </c>
      <c r="K233" s="347">
        <v>118118</v>
      </c>
      <c r="L233" s="348">
        <v>0</v>
      </c>
      <c r="M233" s="177">
        <v>0</v>
      </c>
      <c r="N233" s="177">
        <f>K233-L233-M233</f>
        <v>118118</v>
      </c>
      <c r="O233" s="180">
        <v>0</v>
      </c>
      <c r="P233" s="375">
        <v>0</v>
      </c>
      <c r="Q233" s="375">
        <v>118118</v>
      </c>
      <c r="R233" s="375">
        <f>SUM(P233:Q233)</f>
        <v>118118</v>
      </c>
      <c r="T233" s="568">
        <f t="shared" si="52"/>
        <v>118118</v>
      </c>
    </row>
    <row r="234" spans="1:25" ht="17.25" customHeight="1" x14ac:dyDescent="0.2">
      <c r="A234" s="75" t="s">
        <v>301</v>
      </c>
      <c r="B234" s="346" t="s">
        <v>234</v>
      </c>
      <c r="D234" s="345" t="s">
        <v>343</v>
      </c>
      <c r="F234" s="2"/>
      <c r="G234" s="3" t="s">
        <v>150</v>
      </c>
      <c r="H234" s="16" t="s">
        <v>344</v>
      </c>
      <c r="I234" s="16"/>
      <c r="J234" s="9">
        <v>0</v>
      </c>
      <c r="K234" s="347">
        <v>0</v>
      </c>
      <c r="L234" s="348">
        <v>0</v>
      </c>
      <c r="M234" s="177">
        <v>0</v>
      </c>
      <c r="N234" s="177">
        <f>K234-L234-M234</f>
        <v>0</v>
      </c>
      <c r="O234" s="180">
        <v>0</v>
      </c>
      <c r="P234" s="375">
        <v>0</v>
      </c>
      <c r="Q234" s="375">
        <v>18791</v>
      </c>
      <c r="R234" s="375">
        <f>SUM(P234:Q234)</f>
        <v>18791</v>
      </c>
      <c r="T234" s="568">
        <f t="shared" si="52"/>
        <v>18791</v>
      </c>
      <c r="V234" s="597">
        <f>SUM(T230:T234)</f>
        <v>257899.51</v>
      </c>
      <c r="W234" s="75" t="s">
        <v>364</v>
      </c>
    </row>
    <row r="235" spans="1:25" s="530" customFormat="1" ht="17.25" customHeight="1" x14ac:dyDescent="0.2">
      <c r="B235" s="525"/>
      <c r="C235" s="531"/>
      <c r="D235" s="526"/>
      <c r="F235" s="1"/>
      <c r="G235" s="4"/>
      <c r="H235" s="527"/>
      <c r="I235" s="527"/>
      <c r="J235" s="532"/>
      <c r="K235" s="533"/>
      <c r="L235" s="528"/>
      <c r="M235" s="173"/>
      <c r="N235" s="173"/>
      <c r="O235" s="529"/>
      <c r="P235" s="360"/>
      <c r="Q235" s="360"/>
      <c r="R235" s="360"/>
      <c r="S235" s="534"/>
      <c r="T235" s="583"/>
      <c r="U235" s="535"/>
    </row>
    <row r="236" spans="1:25" s="495" customFormat="1" ht="16.5" thickBot="1" x14ac:dyDescent="0.25">
      <c r="A236" s="493"/>
      <c r="B236" s="493"/>
      <c r="C236" s="494"/>
      <c r="D236" s="493"/>
      <c r="E236" s="493"/>
      <c r="F236" s="494"/>
      <c r="G236" s="494"/>
      <c r="H236" s="494" t="s">
        <v>341</v>
      </c>
      <c r="I236" s="494"/>
      <c r="J236" s="559">
        <f t="shared" ref="J236:R236" si="53">SUM(J226,J230:J234)</f>
        <v>17245139</v>
      </c>
      <c r="K236" s="559">
        <f t="shared" si="53"/>
        <v>17902614</v>
      </c>
      <c r="L236" s="559">
        <f t="shared" si="53"/>
        <v>17093651.559999999</v>
      </c>
      <c r="M236" s="559">
        <f t="shared" si="53"/>
        <v>4048</v>
      </c>
      <c r="N236" s="559">
        <f t="shared" si="53"/>
        <v>692762.44000000006</v>
      </c>
      <c r="O236" s="559">
        <f t="shared" si="53"/>
        <v>368409.1</v>
      </c>
      <c r="P236" s="559">
        <f t="shared" si="53"/>
        <v>17613547.600000001</v>
      </c>
      <c r="Q236" s="559">
        <f t="shared" si="53"/>
        <v>-161447.49</v>
      </c>
      <c r="R236" s="559">
        <f t="shared" si="53"/>
        <v>17452100.610000003</v>
      </c>
      <c r="T236" s="584">
        <f>SUM(T221,T230:T234)</f>
        <v>-161446.49</v>
      </c>
      <c r="U236" s="220"/>
      <c r="V236" s="493"/>
    </row>
    <row r="237" spans="1:25" ht="16.5" thickTop="1" x14ac:dyDescent="0.2">
      <c r="J237" s="521" t="s">
        <v>340</v>
      </c>
      <c r="K237" s="521" t="s">
        <v>340</v>
      </c>
      <c r="L237" s="521" t="s">
        <v>340</v>
      </c>
      <c r="O237" s="521" t="s">
        <v>340</v>
      </c>
      <c r="P237" s="521" t="s">
        <v>340</v>
      </c>
    </row>
    <row r="238" spans="1:25" s="77" customFormat="1" x14ac:dyDescent="0.2">
      <c r="A238" s="75"/>
      <c r="B238" s="75"/>
      <c r="C238" s="74"/>
      <c r="D238" s="75"/>
      <c r="E238" s="75"/>
      <c r="F238" s="74"/>
      <c r="G238" s="74"/>
      <c r="H238" s="74"/>
      <c r="I238" s="74"/>
      <c r="J238" s="75"/>
      <c r="K238" s="76"/>
      <c r="L238" s="219"/>
      <c r="M238" s="219"/>
      <c r="N238" s="219"/>
      <c r="O238" s="219"/>
      <c r="P238" s="219"/>
      <c r="Q238" s="364"/>
      <c r="R238" s="364"/>
      <c r="T238" s="568"/>
      <c r="U238" s="78"/>
      <c r="V238" s="75"/>
    </row>
    <row r="240" spans="1:25" x14ac:dyDescent="0.2">
      <c r="K240" s="76"/>
    </row>
    <row r="241" spans="11:11" x14ac:dyDescent="0.2">
      <c r="K241" s="568"/>
    </row>
    <row r="242" spans="11:11" x14ac:dyDescent="0.2">
      <c r="K242" s="76"/>
    </row>
  </sheetData>
  <pageMargins left="0.32" right="0.21" top="1" bottom="0.5" header="0.5" footer="0.25"/>
  <pageSetup scale="51" fitToHeight="0" orientation="landscape" r:id="rId1"/>
  <headerFooter>
    <oddHeader xml:space="preserve">&amp;C&amp;14Fixed Costs Projections for 
11/12 Adoption Budget
</oddHeader>
    <oddFooter>&amp;L&amp;8&amp;F&amp;C&amp;P of &amp;N&amp;R&amp;8Date Printed: &amp;D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7"/>
  <sheetViews>
    <sheetView topLeftCell="C1" zoomScaleNormal="100" workbookViewId="0">
      <pane ySplit="1" topLeftCell="A106" activePane="bottomLeft" state="frozen"/>
      <selection pane="bottomLeft" activeCell="H266" sqref="H266"/>
    </sheetView>
  </sheetViews>
  <sheetFormatPr defaultRowHeight="12.75" customHeight="1" x14ac:dyDescent="0.2"/>
  <cols>
    <col min="1" max="1" width="22.7109375" bestFit="1" customWidth="1"/>
    <col min="2" max="3" width="21.5703125" bestFit="1" customWidth="1"/>
    <col min="4" max="4" width="30.7109375" bestFit="1" customWidth="1"/>
    <col min="5" max="5" width="15.28515625" customWidth="1"/>
    <col min="6" max="6" width="14.28515625" bestFit="1" customWidth="1"/>
    <col min="7" max="8" width="14.42578125" bestFit="1" customWidth="1"/>
    <col min="9" max="9" width="13.42578125" bestFit="1" customWidth="1"/>
  </cols>
  <sheetData>
    <row r="1" spans="1:9" ht="13.5" thickBot="1" x14ac:dyDescent="0.25">
      <c r="A1" s="767" t="s">
        <v>62</v>
      </c>
      <c r="B1" s="767" t="s">
        <v>431</v>
      </c>
      <c r="C1" s="767" t="s">
        <v>432</v>
      </c>
      <c r="D1" s="767" t="s">
        <v>433</v>
      </c>
      <c r="E1" s="767" t="s">
        <v>434</v>
      </c>
      <c r="F1" s="767" t="s">
        <v>435</v>
      </c>
      <c r="G1" s="767" t="s">
        <v>436</v>
      </c>
      <c r="H1" s="767" t="s">
        <v>437</v>
      </c>
      <c r="I1" s="767" t="s">
        <v>438</v>
      </c>
    </row>
    <row r="2" spans="1:9" ht="12.75" customHeight="1" thickBot="1" x14ac:dyDescent="0.25">
      <c r="A2" s="866"/>
      <c r="B2" s="867"/>
      <c r="C2" s="867"/>
      <c r="D2" s="867"/>
      <c r="E2" s="867"/>
      <c r="F2" s="867"/>
      <c r="G2" s="867"/>
      <c r="H2" s="867"/>
      <c r="I2" s="867"/>
    </row>
    <row r="3" spans="1:9" ht="13.5" thickBot="1" x14ac:dyDescent="0.25">
      <c r="A3" s="768" t="s">
        <v>779</v>
      </c>
      <c r="B3" s="768" t="s">
        <v>181</v>
      </c>
      <c r="C3" s="768" t="s">
        <v>662</v>
      </c>
      <c r="D3" s="768" t="s">
        <v>244</v>
      </c>
      <c r="E3" s="769">
        <v>0</v>
      </c>
      <c r="F3" s="770">
        <f>VLOOKUP(A3,Sheet3!A:F,6,0)</f>
        <v>6000</v>
      </c>
      <c r="G3" s="770">
        <f>VLOOKUP(A3,Sheet3!A:E,5,0)</f>
        <v>9000</v>
      </c>
      <c r="H3" s="770">
        <f>VLOOKUP(A3,Sheet3!A:C,3,0)</f>
        <v>0</v>
      </c>
      <c r="I3" s="769">
        <f>F3-G3-H3</f>
        <v>-3000</v>
      </c>
    </row>
    <row r="4" spans="1:9" ht="13.5" thickBot="1" x14ac:dyDescent="0.25">
      <c r="A4" s="768" t="s">
        <v>780</v>
      </c>
      <c r="B4" s="768" t="s">
        <v>181</v>
      </c>
      <c r="C4" s="768" t="s">
        <v>556</v>
      </c>
      <c r="D4" s="768" t="s">
        <v>244</v>
      </c>
      <c r="E4" s="769">
        <v>0</v>
      </c>
      <c r="F4" s="770">
        <f>VLOOKUP(A4,Sheet3!A:F,6,0)</f>
        <v>87</v>
      </c>
      <c r="G4" s="770">
        <f>VLOOKUP(A4,Sheet3!A:E,5,0)</f>
        <v>130.5</v>
      </c>
      <c r="H4" s="770">
        <f>VLOOKUP(A4,Sheet3!A:C,3,0)</f>
        <v>0</v>
      </c>
      <c r="I4" s="769">
        <f t="shared" ref="I4:I68" si="0">F4-G4-H4</f>
        <v>-43.5</v>
      </c>
    </row>
    <row r="5" spans="1:9" ht="13.5" thickBot="1" x14ac:dyDescent="0.25">
      <c r="A5" s="768" t="s">
        <v>781</v>
      </c>
      <c r="B5" s="768" t="s">
        <v>181</v>
      </c>
      <c r="C5" s="768" t="s">
        <v>782</v>
      </c>
      <c r="D5" s="768" t="s">
        <v>244</v>
      </c>
      <c r="E5" s="769">
        <v>0</v>
      </c>
      <c r="F5" s="770">
        <f>VLOOKUP(A5,Sheet3!A:F,6,0)</f>
        <v>0</v>
      </c>
      <c r="G5" s="770">
        <f>VLOOKUP(A5,Sheet3!A:E,5,0)</f>
        <v>0</v>
      </c>
      <c r="H5" s="770">
        <f>VLOOKUP(A5,Sheet3!A:C,3,0)</f>
        <v>0</v>
      </c>
      <c r="I5" s="769">
        <f t="shared" si="0"/>
        <v>0</v>
      </c>
    </row>
    <row r="6" spans="1:9" ht="13.5" thickBot="1" x14ac:dyDescent="0.25">
      <c r="A6" s="768" t="s">
        <v>783</v>
      </c>
      <c r="B6" s="768" t="s">
        <v>181</v>
      </c>
      <c r="C6" s="768" t="s">
        <v>665</v>
      </c>
      <c r="D6" s="768" t="s">
        <v>244</v>
      </c>
      <c r="E6" s="769">
        <v>0</v>
      </c>
      <c r="F6" s="770">
        <f>VLOOKUP(A6,Sheet3!A:F,6,0)</f>
        <v>66</v>
      </c>
      <c r="G6" s="770">
        <f>VLOOKUP(A6,Sheet3!A:E,5,0)</f>
        <v>99</v>
      </c>
      <c r="H6" s="770">
        <f>VLOOKUP(A6,Sheet3!A:C,3,0)</f>
        <v>0</v>
      </c>
      <c r="I6" s="769">
        <f t="shared" si="0"/>
        <v>-33</v>
      </c>
    </row>
    <row r="7" spans="1:9" ht="13.5" thickBot="1" x14ac:dyDescent="0.25">
      <c r="A7" s="768" t="s">
        <v>784</v>
      </c>
      <c r="B7" s="768" t="s">
        <v>181</v>
      </c>
      <c r="C7" s="768" t="s">
        <v>562</v>
      </c>
      <c r="D7" s="768" t="s">
        <v>244</v>
      </c>
      <c r="E7" s="769">
        <v>0</v>
      </c>
      <c r="F7" s="770">
        <f>VLOOKUP(A7,Sheet3!A:F,6,0)</f>
        <v>89</v>
      </c>
      <c r="G7" s="770">
        <f>VLOOKUP(A7,Sheet3!A:E,5,0)</f>
        <v>133.31</v>
      </c>
      <c r="H7" s="770">
        <f>VLOOKUP(A7,Sheet3!A:C,3,0)</f>
        <v>0</v>
      </c>
      <c r="I7" s="769">
        <f t="shared" si="0"/>
        <v>-44.31</v>
      </c>
    </row>
    <row r="8" spans="1:9" ht="13.5" thickBot="1" x14ac:dyDescent="0.25">
      <c r="A8" s="771" t="s">
        <v>942</v>
      </c>
      <c r="B8" s="771" t="s">
        <v>181</v>
      </c>
      <c r="C8" s="771"/>
      <c r="D8" s="771" t="s">
        <v>244</v>
      </c>
      <c r="E8" s="772"/>
      <c r="F8" s="770">
        <f>VLOOKUP(A8,Sheet3!A:F,6,0)</f>
        <v>685</v>
      </c>
      <c r="G8" s="770">
        <f>VLOOKUP(A8,Sheet3!A:E,5,0)</f>
        <v>1027.51</v>
      </c>
      <c r="H8" s="770">
        <f>VLOOKUP(A8,Sheet3!A:C,3,0)</f>
        <v>0</v>
      </c>
      <c r="I8" s="769">
        <f>F8-G8-H8</f>
        <v>-342.51</v>
      </c>
    </row>
    <row r="9" spans="1:9" ht="13.5" thickBot="1" x14ac:dyDescent="0.25">
      <c r="A9" s="771" t="s">
        <v>943</v>
      </c>
      <c r="B9" s="771" t="s">
        <v>181</v>
      </c>
      <c r="C9" s="771"/>
      <c r="D9" s="771" t="s">
        <v>244</v>
      </c>
      <c r="E9" s="772"/>
      <c r="F9" s="770">
        <f>VLOOKUP(A9,Sheet3!A:F,6,0)</f>
        <v>372</v>
      </c>
      <c r="G9" s="770">
        <f>VLOOKUP(A9,Sheet3!A:E,5,0)</f>
        <v>558</v>
      </c>
      <c r="H9" s="770">
        <f>VLOOKUP(A9,Sheet3!A:C,3,0)</f>
        <v>0</v>
      </c>
      <c r="I9" s="769">
        <f>F9-G9-H9</f>
        <v>-186</v>
      </c>
    </row>
    <row r="10" spans="1:9" ht="13.5" thickBot="1" x14ac:dyDescent="0.25">
      <c r="A10" s="768" t="s">
        <v>751</v>
      </c>
      <c r="B10" s="768" t="s">
        <v>181</v>
      </c>
      <c r="C10" s="768" t="s">
        <v>621</v>
      </c>
      <c r="D10" s="768" t="s">
        <v>244</v>
      </c>
      <c r="E10" s="769">
        <v>10000</v>
      </c>
      <c r="F10" s="770">
        <f>VLOOKUP(A10,Sheet3!A:F,6,0)</f>
        <v>1374</v>
      </c>
      <c r="G10" s="770">
        <f>VLOOKUP(A10,Sheet3!A:E,5,0)</f>
        <v>955.06</v>
      </c>
      <c r="H10" s="770">
        <f>VLOOKUP(A10,Sheet3!A:C,3,0)</f>
        <v>0.13</v>
      </c>
      <c r="I10" s="769">
        <f>F10-G10-H10</f>
        <v>418.81000000000006</v>
      </c>
    </row>
    <row r="11" spans="1:9" ht="13.5" thickBot="1" x14ac:dyDescent="0.25">
      <c r="A11" s="771" t="s">
        <v>738</v>
      </c>
      <c r="B11" s="771" t="s">
        <v>181</v>
      </c>
      <c r="C11" s="771" t="s">
        <v>619</v>
      </c>
      <c r="D11" s="771" t="s">
        <v>244</v>
      </c>
      <c r="E11" s="772">
        <v>18953</v>
      </c>
      <c r="F11" s="770">
        <f>VLOOKUP(A11,Sheet3!A:F,6,0)</f>
        <v>18940</v>
      </c>
      <c r="G11" s="770">
        <f>VLOOKUP(A11,Sheet3!A:E,5,0)</f>
        <v>18326</v>
      </c>
      <c r="H11" s="770">
        <f>VLOOKUP(A11,Sheet3!A:C,3,0)</f>
        <v>0</v>
      </c>
      <c r="I11" s="769">
        <f t="shared" si="0"/>
        <v>614</v>
      </c>
    </row>
    <row r="12" spans="1:9" ht="13.5" thickBot="1" x14ac:dyDescent="0.25">
      <c r="A12" s="771" t="s">
        <v>1037</v>
      </c>
      <c r="B12" s="771" t="s">
        <v>181</v>
      </c>
      <c r="C12" s="771" t="s">
        <v>619</v>
      </c>
      <c r="D12" s="771" t="s">
        <v>244</v>
      </c>
      <c r="E12" s="772">
        <v>0</v>
      </c>
      <c r="F12" s="770">
        <f>VLOOKUP(A12,Sheet3!A:F,6,0)</f>
        <v>1340</v>
      </c>
      <c r="G12" s="770">
        <f>VLOOKUP(A12,Sheet3!A:E,5,0)</f>
        <v>1330.92</v>
      </c>
      <c r="H12" s="770">
        <v>0</v>
      </c>
      <c r="I12" s="769">
        <v>0</v>
      </c>
    </row>
    <row r="13" spans="1:9" ht="13.5" thickBot="1" x14ac:dyDescent="0.25">
      <c r="A13" s="771" t="s">
        <v>184</v>
      </c>
      <c r="B13" s="771" t="s">
        <v>441</v>
      </c>
      <c r="C13" s="771" t="s">
        <v>442</v>
      </c>
      <c r="D13" s="771" t="s">
        <v>441</v>
      </c>
      <c r="E13" s="772">
        <v>7479</v>
      </c>
      <c r="F13" s="770">
        <f>VLOOKUP(A13,Sheet3!A:F,6,0)</f>
        <v>7479</v>
      </c>
      <c r="G13" s="770">
        <f>VLOOKUP(A13,Sheet3!A:E,5,0)</f>
        <v>7479</v>
      </c>
      <c r="H13" s="770">
        <f>VLOOKUP(A13,Sheet3!A:C,3,0)</f>
        <v>0</v>
      </c>
      <c r="I13" s="769">
        <f t="shared" si="0"/>
        <v>0</v>
      </c>
    </row>
    <row r="14" spans="1:9" ht="13.5" thickBot="1" x14ac:dyDescent="0.25">
      <c r="A14" s="771" t="s">
        <v>760</v>
      </c>
      <c r="B14" s="771" t="s">
        <v>785</v>
      </c>
      <c r="C14" s="771" t="s">
        <v>442</v>
      </c>
      <c r="D14" s="771" t="s">
        <v>785</v>
      </c>
      <c r="E14" s="772">
        <v>2500</v>
      </c>
      <c r="F14" s="770">
        <f>VLOOKUP(A14,Sheet3!A:F,6,0)</f>
        <v>2500</v>
      </c>
      <c r="G14" s="770">
        <f>VLOOKUP(A14,Sheet3!A:E,5,0)</f>
        <v>2500</v>
      </c>
      <c r="H14" s="770">
        <f>VLOOKUP(A14,Sheet3!A:C,3,0)</f>
        <v>0</v>
      </c>
      <c r="I14" s="769">
        <f t="shared" si="0"/>
        <v>0</v>
      </c>
    </row>
    <row r="15" spans="1:9" ht="13.5" thickBot="1" x14ac:dyDescent="0.25">
      <c r="A15" s="771" t="s">
        <v>185</v>
      </c>
      <c r="B15" s="771" t="s">
        <v>443</v>
      </c>
      <c r="C15" s="771" t="s">
        <v>444</v>
      </c>
      <c r="D15" s="771" t="s">
        <v>445</v>
      </c>
      <c r="E15" s="772">
        <v>33200</v>
      </c>
      <c r="F15" s="770">
        <f>VLOOKUP(A15,Sheet3!A:F,6,0)</f>
        <v>0</v>
      </c>
      <c r="G15" s="770">
        <f>VLOOKUP(A15,Sheet3!A:E,5,0)</f>
        <v>0</v>
      </c>
      <c r="H15" s="770">
        <f>VLOOKUP(A15,Sheet3!A:C,3,0)</f>
        <v>0</v>
      </c>
      <c r="I15" s="769">
        <f t="shared" si="0"/>
        <v>0</v>
      </c>
    </row>
    <row r="16" spans="1:9" ht="13.5" thickBot="1" x14ac:dyDescent="0.25">
      <c r="A16" s="768" t="s">
        <v>470</v>
      </c>
      <c r="B16" s="768" t="s">
        <v>471</v>
      </c>
      <c r="C16" s="768" t="s">
        <v>444</v>
      </c>
      <c r="D16" s="768" t="s">
        <v>472</v>
      </c>
      <c r="E16" s="769">
        <v>0</v>
      </c>
      <c r="F16" s="770">
        <f>VLOOKUP(A16,Sheet3!A:F,6,0)</f>
        <v>360</v>
      </c>
      <c r="G16" s="770">
        <f>VLOOKUP(A16,Sheet3!A:E,5,0)</f>
        <v>0</v>
      </c>
      <c r="H16" s="770">
        <f>VLOOKUP(A16,Sheet3!A:C,3,0)</f>
        <v>0</v>
      </c>
      <c r="I16" s="769">
        <f t="shared" si="0"/>
        <v>360</v>
      </c>
    </row>
    <row r="17" spans="1:9" ht="13.5" thickBot="1" x14ac:dyDescent="0.25">
      <c r="A17" s="771" t="s">
        <v>789</v>
      </c>
      <c r="B17" s="771" t="s">
        <v>790</v>
      </c>
      <c r="C17" s="771" t="s">
        <v>444</v>
      </c>
      <c r="D17" s="771" t="s">
        <v>476</v>
      </c>
      <c r="E17" s="772">
        <v>0</v>
      </c>
      <c r="F17" s="770">
        <f>VLOOKUP(A17,Sheet3!A:F,6,0)</f>
        <v>400</v>
      </c>
      <c r="G17" s="770">
        <f>VLOOKUP(A17,Sheet3!A:E,5,0)</f>
        <v>0</v>
      </c>
      <c r="H17" s="770">
        <f>VLOOKUP(A17,Sheet3!A:C,3,0)</f>
        <v>0</v>
      </c>
      <c r="I17" s="769">
        <f t="shared" si="0"/>
        <v>400</v>
      </c>
    </row>
    <row r="18" spans="1:9" ht="13.5" thickBot="1" x14ac:dyDescent="0.25">
      <c r="A18" s="771" t="s">
        <v>474</v>
      </c>
      <c r="B18" s="771" t="s">
        <v>475</v>
      </c>
      <c r="C18" s="771" t="s">
        <v>444</v>
      </c>
      <c r="D18" s="771" t="s">
        <v>476</v>
      </c>
      <c r="E18" s="772">
        <v>0</v>
      </c>
      <c r="F18" s="770">
        <f>VLOOKUP(A18,Sheet3!A:F,6,0)</f>
        <v>200</v>
      </c>
      <c r="G18" s="770">
        <f>VLOOKUP(A18,Sheet3!A:E,5,0)</f>
        <v>0</v>
      </c>
      <c r="H18" s="770">
        <f>VLOOKUP(A18,Sheet3!A:C,3,0)</f>
        <v>0</v>
      </c>
      <c r="I18" s="769">
        <f t="shared" si="0"/>
        <v>200</v>
      </c>
    </row>
    <row r="19" spans="1:9" ht="13.5" thickBot="1" x14ac:dyDescent="0.25">
      <c r="A19" s="771" t="s">
        <v>478</v>
      </c>
      <c r="B19" s="771" t="s">
        <v>479</v>
      </c>
      <c r="C19" s="771" t="s">
        <v>444</v>
      </c>
      <c r="D19" s="771" t="s">
        <v>476</v>
      </c>
      <c r="E19" s="772">
        <v>0</v>
      </c>
      <c r="F19" s="770">
        <f>VLOOKUP(A19,Sheet3!A:F,6,0)</f>
        <v>600</v>
      </c>
      <c r="G19" s="770">
        <f>VLOOKUP(A19,Sheet3!A:E,5,0)</f>
        <v>160</v>
      </c>
      <c r="H19" s="770">
        <f>VLOOKUP(A19,Sheet3!A:C,3,0)</f>
        <v>0</v>
      </c>
      <c r="I19" s="769">
        <f t="shared" si="0"/>
        <v>440</v>
      </c>
    </row>
    <row r="20" spans="1:9" ht="13.5" thickBot="1" x14ac:dyDescent="0.25">
      <c r="A20" s="768" t="s">
        <v>481</v>
      </c>
      <c r="B20" s="768" t="s">
        <v>482</v>
      </c>
      <c r="C20" s="768" t="s">
        <v>444</v>
      </c>
      <c r="D20" s="768" t="s">
        <v>476</v>
      </c>
      <c r="E20" s="769">
        <v>0</v>
      </c>
      <c r="F20" s="770">
        <f>VLOOKUP(A20,Sheet3!A:F,6,0)</f>
        <v>200</v>
      </c>
      <c r="G20" s="770">
        <f>VLOOKUP(A20,Sheet3!A:E,5,0)</f>
        <v>0</v>
      </c>
      <c r="H20" s="770">
        <f>VLOOKUP(A20,Sheet3!A:C,3,0)</f>
        <v>0</v>
      </c>
      <c r="I20" s="769">
        <f t="shared" si="0"/>
        <v>200</v>
      </c>
    </row>
    <row r="21" spans="1:9" ht="13.5" thickBot="1" x14ac:dyDescent="0.25">
      <c r="A21" s="771" t="s">
        <v>484</v>
      </c>
      <c r="B21" s="771" t="s">
        <v>485</v>
      </c>
      <c r="C21" s="771" t="s">
        <v>444</v>
      </c>
      <c r="D21" s="771" t="s">
        <v>476</v>
      </c>
      <c r="E21" s="772">
        <v>0</v>
      </c>
      <c r="F21" s="770">
        <f>VLOOKUP(A21,Sheet3!A:F,6,0)</f>
        <v>600</v>
      </c>
      <c r="G21" s="770">
        <f>VLOOKUP(A21,Sheet3!A:E,5,0)</f>
        <v>599.79999999999995</v>
      </c>
      <c r="H21" s="770">
        <f>VLOOKUP(A21,Sheet3!A:C,3,0)</f>
        <v>0</v>
      </c>
      <c r="I21" s="769">
        <f t="shared" si="0"/>
        <v>0.20000000000004547</v>
      </c>
    </row>
    <row r="22" spans="1:9" ht="13.5" thickBot="1" x14ac:dyDescent="0.25">
      <c r="A22" s="771" t="s">
        <v>487</v>
      </c>
      <c r="B22" s="771" t="s">
        <v>488</v>
      </c>
      <c r="C22" s="771" t="s">
        <v>444</v>
      </c>
      <c r="D22" s="771" t="s">
        <v>476</v>
      </c>
      <c r="E22" s="772">
        <v>0</v>
      </c>
      <c r="F22" s="770">
        <f>VLOOKUP(A22,Sheet3!A:F,6,0)</f>
        <v>400</v>
      </c>
      <c r="G22" s="770">
        <f>VLOOKUP(A22,Sheet3!A:E,5,0)</f>
        <v>0</v>
      </c>
      <c r="H22" s="770">
        <f>VLOOKUP(A22,Sheet3!A:C,3,0)</f>
        <v>0</v>
      </c>
      <c r="I22" s="769">
        <f t="shared" si="0"/>
        <v>400</v>
      </c>
    </row>
    <row r="23" spans="1:9" ht="13.5" thickBot="1" x14ac:dyDescent="0.25">
      <c r="A23" s="771" t="s">
        <v>490</v>
      </c>
      <c r="B23" s="771" t="s">
        <v>491</v>
      </c>
      <c r="C23" s="771" t="s">
        <v>444</v>
      </c>
      <c r="D23" s="771" t="s">
        <v>476</v>
      </c>
      <c r="E23" s="772">
        <v>0</v>
      </c>
      <c r="F23" s="770">
        <f>VLOOKUP(A23,Sheet3!A:F,6,0)</f>
        <v>800</v>
      </c>
      <c r="G23" s="770">
        <f>VLOOKUP(A23,Sheet3!A:E,5,0)</f>
        <v>0</v>
      </c>
      <c r="H23" s="770">
        <f>VLOOKUP(A23,Sheet3!A:C,3,0)</f>
        <v>0</v>
      </c>
      <c r="I23" s="769">
        <f t="shared" si="0"/>
        <v>800</v>
      </c>
    </row>
    <row r="24" spans="1:9" ht="13.5" thickBot="1" x14ac:dyDescent="0.25">
      <c r="A24" s="768" t="s">
        <v>493</v>
      </c>
      <c r="B24" s="768" t="s">
        <v>494</v>
      </c>
      <c r="C24" s="768" t="s">
        <v>444</v>
      </c>
      <c r="D24" s="768" t="s">
        <v>476</v>
      </c>
      <c r="E24" s="769">
        <v>0</v>
      </c>
      <c r="F24" s="770">
        <f>VLOOKUP(A24,Sheet3!A:F,6,0)</f>
        <v>400</v>
      </c>
      <c r="G24" s="770">
        <f>VLOOKUP(A24,Sheet3!A:E,5,0)</f>
        <v>0</v>
      </c>
      <c r="H24" s="770">
        <f>VLOOKUP(A24,Sheet3!A:C,3,0)</f>
        <v>0</v>
      </c>
      <c r="I24" s="769">
        <f t="shared" si="0"/>
        <v>400</v>
      </c>
    </row>
    <row r="25" spans="1:9" ht="13.5" thickBot="1" x14ac:dyDescent="0.25">
      <c r="A25" s="771" t="s">
        <v>496</v>
      </c>
      <c r="B25" s="771" t="s">
        <v>497</v>
      </c>
      <c r="C25" s="771" t="s">
        <v>444</v>
      </c>
      <c r="D25" s="771" t="s">
        <v>476</v>
      </c>
      <c r="E25" s="772">
        <v>0</v>
      </c>
      <c r="F25" s="770">
        <f>VLOOKUP(A25,Sheet3!A:F,6,0)</f>
        <v>400</v>
      </c>
      <c r="G25" s="770">
        <f>VLOOKUP(A25,Sheet3!A:E,5,0)</f>
        <v>0</v>
      </c>
      <c r="H25" s="770">
        <f>VLOOKUP(A25,Sheet3!A:C,3,0)</f>
        <v>0</v>
      </c>
      <c r="I25" s="769">
        <f t="shared" si="0"/>
        <v>400</v>
      </c>
    </row>
    <row r="26" spans="1:9" ht="13.5" thickBot="1" x14ac:dyDescent="0.25">
      <c r="A26" s="771" t="s">
        <v>502</v>
      </c>
      <c r="B26" s="771" t="s">
        <v>503</v>
      </c>
      <c r="C26" s="771" t="s">
        <v>444</v>
      </c>
      <c r="D26" s="771" t="s">
        <v>501</v>
      </c>
      <c r="E26" s="772">
        <v>0</v>
      </c>
      <c r="F26" s="770">
        <f>VLOOKUP(A26,Sheet3!A:F,6,0)</f>
        <v>400</v>
      </c>
      <c r="G26" s="770">
        <f>VLOOKUP(A26,Sheet3!A:E,5,0)</f>
        <v>0</v>
      </c>
      <c r="H26" s="770">
        <f>VLOOKUP(A26,Sheet3!A:C,3,0)</f>
        <v>0</v>
      </c>
      <c r="I26" s="769">
        <f t="shared" si="0"/>
        <v>400</v>
      </c>
    </row>
    <row r="27" spans="1:9" ht="13.5" thickBot="1" x14ac:dyDescent="0.25">
      <c r="A27" s="771" t="s">
        <v>505</v>
      </c>
      <c r="B27" s="771" t="s">
        <v>506</v>
      </c>
      <c r="C27" s="771" t="s">
        <v>444</v>
      </c>
      <c r="D27" s="771" t="s">
        <v>501</v>
      </c>
      <c r="E27" s="772">
        <v>0</v>
      </c>
      <c r="F27" s="770">
        <f>VLOOKUP(A27,Sheet3!A:F,6,0)</f>
        <v>600</v>
      </c>
      <c r="G27" s="770">
        <f>VLOOKUP(A27,Sheet3!A:E,5,0)</f>
        <v>0</v>
      </c>
      <c r="H27" s="770">
        <f>VLOOKUP(A27,Sheet3!A:C,3,0)</f>
        <v>0</v>
      </c>
      <c r="I27" s="769">
        <f t="shared" si="0"/>
        <v>600</v>
      </c>
    </row>
    <row r="28" spans="1:9" ht="13.5" thickBot="1" x14ac:dyDescent="0.25">
      <c r="A28" s="768" t="s">
        <v>508</v>
      </c>
      <c r="B28" s="768" t="s">
        <v>509</v>
      </c>
      <c r="C28" s="768" t="s">
        <v>444</v>
      </c>
      <c r="D28" s="768" t="s">
        <v>501</v>
      </c>
      <c r="E28" s="769">
        <v>0</v>
      </c>
      <c r="F28" s="770">
        <f>VLOOKUP(A28,Sheet3!A:F,6,0)</f>
        <v>200</v>
      </c>
      <c r="G28" s="770">
        <f>VLOOKUP(A28,Sheet3!A:E,5,0)</f>
        <v>0</v>
      </c>
      <c r="H28" s="770">
        <f>VLOOKUP(A28,Sheet3!A:C,3,0)</f>
        <v>0</v>
      </c>
      <c r="I28" s="769">
        <f t="shared" si="0"/>
        <v>200</v>
      </c>
    </row>
    <row r="29" spans="1:9" ht="13.5" thickBot="1" x14ac:dyDescent="0.25">
      <c r="A29" s="771" t="s">
        <v>511</v>
      </c>
      <c r="B29" s="771" t="s">
        <v>512</v>
      </c>
      <c r="C29" s="771" t="s">
        <v>444</v>
      </c>
      <c r="D29" s="771" t="s">
        <v>501</v>
      </c>
      <c r="E29" s="772">
        <v>0</v>
      </c>
      <c r="F29" s="770">
        <f>VLOOKUP(A29,Sheet3!A:F,6,0)</f>
        <v>400</v>
      </c>
      <c r="G29" s="770">
        <f>VLOOKUP(A29,Sheet3!A:E,5,0)</f>
        <v>0</v>
      </c>
      <c r="H29" s="770">
        <f>VLOOKUP(A29,Sheet3!A:C,3,0)</f>
        <v>0</v>
      </c>
      <c r="I29" s="769">
        <f t="shared" si="0"/>
        <v>400</v>
      </c>
    </row>
    <row r="30" spans="1:9" ht="13.5" thickBot="1" x14ac:dyDescent="0.25">
      <c r="A30" s="771" t="s">
        <v>514</v>
      </c>
      <c r="B30" s="771" t="s">
        <v>515</v>
      </c>
      <c r="C30" s="771" t="s">
        <v>444</v>
      </c>
      <c r="D30" s="771" t="s">
        <v>501</v>
      </c>
      <c r="E30" s="772">
        <v>0</v>
      </c>
      <c r="F30" s="770">
        <f>VLOOKUP(A30,Sheet3!A:F,6,0)</f>
        <v>200</v>
      </c>
      <c r="G30" s="770">
        <f>VLOOKUP(A30,Sheet3!A:E,5,0)</f>
        <v>200</v>
      </c>
      <c r="H30" s="770">
        <f>VLOOKUP(A30,Sheet3!A:C,3,0)</f>
        <v>0</v>
      </c>
      <c r="I30" s="769">
        <f t="shared" si="0"/>
        <v>0</v>
      </c>
    </row>
    <row r="31" spans="1:9" ht="13.5" thickBot="1" x14ac:dyDescent="0.25">
      <c r="A31" s="771" t="s">
        <v>517</v>
      </c>
      <c r="B31" s="771" t="s">
        <v>518</v>
      </c>
      <c r="C31" s="771" t="s">
        <v>444</v>
      </c>
      <c r="D31" s="771" t="s">
        <v>501</v>
      </c>
      <c r="E31" s="772">
        <v>0</v>
      </c>
      <c r="F31" s="770">
        <f>VLOOKUP(A31,Sheet3!A:F,6,0)</f>
        <v>680</v>
      </c>
      <c r="G31" s="770">
        <f>VLOOKUP(A31,Sheet3!A:E,5,0)</f>
        <v>0</v>
      </c>
      <c r="H31" s="770">
        <f>VLOOKUP(A31,Sheet3!A:C,3,0)</f>
        <v>0</v>
      </c>
      <c r="I31" s="769">
        <f t="shared" si="0"/>
        <v>680</v>
      </c>
    </row>
    <row r="32" spans="1:9" ht="13.5" thickBot="1" x14ac:dyDescent="0.25">
      <c r="A32" s="768" t="s">
        <v>520</v>
      </c>
      <c r="B32" s="768" t="s">
        <v>521</v>
      </c>
      <c r="C32" s="768" t="s">
        <v>444</v>
      </c>
      <c r="D32" s="768" t="s">
        <v>522</v>
      </c>
      <c r="E32" s="769">
        <v>0</v>
      </c>
      <c r="F32" s="770">
        <f>VLOOKUP(A32,Sheet3!A:F,6,0)</f>
        <v>1200</v>
      </c>
      <c r="G32" s="770">
        <f>VLOOKUP(A32,Sheet3!A:E,5,0)</f>
        <v>400</v>
      </c>
      <c r="H32" s="770">
        <f>VLOOKUP(A32,Sheet3!A:C,3,0)</f>
        <v>0</v>
      </c>
      <c r="I32" s="769">
        <f t="shared" si="0"/>
        <v>800</v>
      </c>
    </row>
    <row r="33" spans="1:9" ht="13.5" thickBot="1" x14ac:dyDescent="0.25">
      <c r="A33" s="771" t="s">
        <v>524</v>
      </c>
      <c r="B33" s="771" t="s">
        <v>525</v>
      </c>
      <c r="C33" s="771" t="s">
        <v>444</v>
      </c>
      <c r="D33" s="771" t="s">
        <v>522</v>
      </c>
      <c r="E33" s="772">
        <v>0</v>
      </c>
      <c r="F33" s="770">
        <f>VLOOKUP(A33,Sheet3!A:F,6,0)</f>
        <v>800</v>
      </c>
      <c r="G33" s="770">
        <f>VLOOKUP(A33,Sheet3!A:E,5,0)</f>
        <v>320.16000000000003</v>
      </c>
      <c r="H33" s="770">
        <f>VLOOKUP(A33,Sheet3!A:C,3,0)</f>
        <v>0</v>
      </c>
      <c r="I33" s="769">
        <f t="shared" si="0"/>
        <v>479.84</v>
      </c>
    </row>
    <row r="34" spans="1:9" ht="13.5" thickBot="1" x14ac:dyDescent="0.25">
      <c r="A34" s="771" t="s">
        <v>527</v>
      </c>
      <c r="B34" s="771" t="s">
        <v>528</v>
      </c>
      <c r="C34" s="771" t="s">
        <v>444</v>
      </c>
      <c r="D34" s="771" t="s">
        <v>522</v>
      </c>
      <c r="E34" s="772">
        <v>0</v>
      </c>
      <c r="F34" s="770">
        <f>VLOOKUP(A34,Sheet3!A:F,6,0)</f>
        <v>600</v>
      </c>
      <c r="G34" s="770">
        <f>VLOOKUP(A34,Sheet3!A:E,5,0)</f>
        <v>127.8</v>
      </c>
      <c r="H34" s="770">
        <f>VLOOKUP(A34,Sheet3!A:C,3,0)</f>
        <v>0</v>
      </c>
      <c r="I34" s="769">
        <f t="shared" si="0"/>
        <v>472.2</v>
      </c>
    </row>
    <row r="35" spans="1:9" ht="13.5" thickBot="1" x14ac:dyDescent="0.25">
      <c r="A35" s="771" t="s">
        <v>530</v>
      </c>
      <c r="B35" s="771" t="s">
        <v>531</v>
      </c>
      <c r="C35" s="771" t="s">
        <v>444</v>
      </c>
      <c r="D35" s="771" t="s">
        <v>532</v>
      </c>
      <c r="E35" s="772">
        <v>0</v>
      </c>
      <c r="F35" s="770">
        <f>VLOOKUP(A35,Sheet3!A:F,6,0)</f>
        <v>3200</v>
      </c>
      <c r="G35" s="770">
        <f>VLOOKUP(A35,Sheet3!A:E,5,0)</f>
        <v>3200</v>
      </c>
      <c r="H35" s="770">
        <f>VLOOKUP(A35,Sheet3!A:C,3,0)</f>
        <v>0</v>
      </c>
      <c r="I35" s="769">
        <f t="shared" si="0"/>
        <v>0</v>
      </c>
    </row>
    <row r="36" spans="1:9" ht="13.5" thickBot="1" x14ac:dyDescent="0.25">
      <c r="A36" s="768" t="s">
        <v>534</v>
      </c>
      <c r="B36" s="768" t="s">
        <v>535</v>
      </c>
      <c r="C36" s="768" t="s">
        <v>444</v>
      </c>
      <c r="D36" s="768" t="s">
        <v>532</v>
      </c>
      <c r="E36" s="769">
        <v>0</v>
      </c>
      <c r="F36" s="770">
        <f>VLOOKUP(A36,Sheet3!A:F,6,0)</f>
        <v>800</v>
      </c>
      <c r="G36" s="770">
        <f>VLOOKUP(A36,Sheet3!A:E,5,0)</f>
        <v>800</v>
      </c>
      <c r="H36" s="770">
        <f>VLOOKUP(A36,Sheet3!A:C,3,0)</f>
        <v>0</v>
      </c>
      <c r="I36" s="769">
        <f t="shared" si="0"/>
        <v>0</v>
      </c>
    </row>
    <row r="37" spans="1:9" ht="13.5" thickBot="1" x14ac:dyDescent="0.25">
      <c r="A37" s="771" t="s">
        <v>537</v>
      </c>
      <c r="B37" s="771" t="s">
        <v>538</v>
      </c>
      <c r="C37" s="771" t="s">
        <v>444</v>
      </c>
      <c r="D37" s="771" t="s">
        <v>532</v>
      </c>
      <c r="E37" s="772">
        <v>0</v>
      </c>
      <c r="F37" s="770">
        <f>VLOOKUP(A37,Sheet3!A:F,6,0)</f>
        <v>400</v>
      </c>
      <c r="G37" s="770">
        <f>VLOOKUP(A37,Sheet3!A:E,5,0)</f>
        <v>0</v>
      </c>
      <c r="H37" s="770">
        <f>VLOOKUP(A37,Sheet3!A:C,3,0)</f>
        <v>0</v>
      </c>
      <c r="I37" s="769">
        <f t="shared" si="0"/>
        <v>400</v>
      </c>
    </row>
    <row r="38" spans="1:9" ht="13.5" thickBot="1" x14ac:dyDescent="0.25">
      <c r="A38" s="771" t="s">
        <v>542</v>
      </c>
      <c r="B38" s="771" t="s">
        <v>543</v>
      </c>
      <c r="C38" s="771" t="s">
        <v>444</v>
      </c>
      <c r="D38" s="771" t="s">
        <v>532</v>
      </c>
      <c r="E38" s="772">
        <v>0</v>
      </c>
      <c r="F38" s="770">
        <f>VLOOKUP(A38,Sheet3!A:F,6,0)</f>
        <v>400</v>
      </c>
      <c r="G38" s="770">
        <f>VLOOKUP(A38,Sheet3!A:E,5,0)</f>
        <v>200.8</v>
      </c>
      <c r="H38" s="770">
        <f>VLOOKUP(A38,Sheet3!A:C,3,0)</f>
        <v>0</v>
      </c>
      <c r="I38" s="769">
        <f t="shared" si="0"/>
        <v>199.2</v>
      </c>
    </row>
    <row r="39" spans="1:9" ht="13.5" thickBot="1" x14ac:dyDescent="0.25">
      <c r="A39" s="771" t="s">
        <v>545</v>
      </c>
      <c r="B39" s="771" t="s">
        <v>546</v>
      </c>
      <c r="C39" s="771" t="s">
        <v>444</v>
      </c>
      <c r="D39" s="771" t="s">
        <v>532</v>
      </c>
      <c r="E39" s="772">
        <v>0</v>
      </c>
      <c r="F39" s="770">
        <f>VLOOKUP(A39,Sheet3!A:F,6,0)</f>
        <v>800</v>
      </c>
      <c r="G39" s="770">
        <f>VLOOKUP(A39,Sheet3!A:E,5,0)</f>
        <v>0</v>
      </c>
      <c r="H39" s="770">
        <f>VLOOKUP(A39,Sheet3!A:C,3,0)</f>
        <v>0</v>
      </c>
      <c r="I39" s="769">
        <f t="shared" si="0"/>
        <v>800</v>
      </c>
    </row>
    <row r="40" spans="1:9" ht="13.5" thickBot="1" x14ac:dyDescent="0.25">
      <c r="A40" s="768" t="s">
        <v>548</v>
      </c>
      <c r="B40" s="768" t="s">
        <v>549</v>
      </c>
      <c r="C40" s="768" t="s">
        <v>444</v>
      </c>
      <c r="D40" s="768" t="s">
        <v>262</v>
      </c>
      <c r="E40" s="769">
        <v>0</v>
      </c>
      <c r="F40" s="770">
        <f>VLOOKUP(A40,Sheet3!A:F,6,0)</f>
        <v>3200</v>
      </c>
      <c r="G40" s="770">
        <f>VLOOKUP(A40,Sheet3!A:E,5,0)</f>
        <v>0</v>
      </c>
      <c r="H40" s="770">
        <f>VLOOKUP(A40,Sheet3!A:C,3,0)</f>
        <v>0</v>
      </c>
      <c r="I40" s="769">
        <f t="shared" si="0"/>
        <v>3200</v>
      </c>
    </row>
    <row r="41" spans="1:9" ht="13.5" thickBot="1" x14ac:dyDescent="0.25">
      <c r="A41" s="771" t="s">
        <v>564</v>
      </c>
      <c r="B41" s="771" t="s">
        <v>565</v>
      </c>
      <c r="C41" s="771" t="s">
        <v>444</v>
      </c>
      <c r="D41" s="771" t="s">
        <v>566</v>
      </c>
      <c r="E41" s="772">
        <v>0</v>
      </c>
      <c r="F41" s="770">
        <f>VLOOKUP(A41,Sheet3!A:F,6,0)</f>
        <v>1600</v>
      </c>
      <c r="G41" s="770">
        <f>VLOOKUP(A41,Sheet3!A:E,5,0)</f>
        <v>0</v>
      </c>
      <c r="H41" s="770">
        <f>VLOOKUP(A41,Sheet3!A:C,3,0)</f>
        <v>0</v>
      </c>
      <c r="I41" s="769">
        <f t="shared" si="0"/>
        <v>1600</v>
      </c>
    </row>
    <row r="42" spans="1:9" ht="13.5" thickBot="1" x14ac:dyDescent="0.25">
      <c r="A42" s="771" t="s">
        <v>568</v>
      </c>
      <c r="B42" s="771" t="s">
        <v>569</v>
      </c>
      <c r="C42" s="771" t="s">
        <v>444</v>
      </c>
      <c r="D42" s="771" t="s">
        <v>566</v>
      </c>
      <c r="E42" s="772">
        <v>0</v>
      </c>
      <c r="F42" s="770">
        <f>VLOOKUP(A42,Sheet3!A:F,6,0)</f>
        <v>600</v>
      </c>
      <c r="G42" s="770">
        <f>VLOOKUP(A42,Sheet3!A:E,5,0)</f>
        <v>0</v>
      </c>
      <c r="H42" s="770">
        <f>VLOOKUP(A42,Sheet3!A:C,3,0)</f>
        <v>0</v>
      </c>
      <c r="I42" s="769">
        <f t="shared" si="0"/>
        <v>600</v>
      </c>
    </row>
    <row r="43" spans="1:9" ht="13.5" thickBot="1" x14ac:dyDescent="0.25">
      <c r="A43" s="771" t="s">
        <v>571</v>
      </c>
      <c r="B43" s="771" t="s">
        <v>572</v>
      </c>
      <c r="C43" s="771" t="s">
        <v>444</v>
      </c>
      <c r="D43" s="771" t="s">
        <v>566</v>
      </c>
      <c r="E43" s="772">
        <v>0</v>
      </c>
      <c r="F43" s="770">
        <f>VLOOKUP(A43,Sheet3!A:F,6,0)</f>
        <v>2640</v>
      </c>
      <c r="G43" s="770">
        <f>VLOOKUP(A43,Sheet3!A:E,5,0)</f>
        <v>590.23</v>
      </c>
      <c r="H43" s="770">
        <f>VLOOKUP(A43,Sheet3!A:C,3,0)</f>
        <v>0</v>
      </c>
      <c r="I43" s="769">
        <f t="shared" si="0"/>
        <v>2049.77</v>
      </c>
    </row>
    <row r="44" spans="1:9" ht="13.5" thickBot="1" x14ac:dyDescent="0.25">
      <c r="A44" s="768" t="s">
        <v>574</v>
      </c>
      <c r="B44" s="768" t="s">
        <v>575</v>
      </c>
      <c r="C44" s="768" t="s">
        <v>444</v>
      </c>
      <c r="D44" s="768" t="s">
        <v>566</v>
      </c>
      <c r="E44" s="769">
        <v>0</v>
      </c>
      <c r="F44" s="770">
        <f>VLOOKUP(A44,Sheet3!A:F,6,0)</f>
        <v>960</v>
      </c>
      <c r="G44" s="770">
        <f>VLOOKUP(A44,Sheet3!A:E,5,0)</f>
        <v>200</v>
      </c>
      <c r="H44" s="770">
        <f>VLOOKUP(A44,Sheet3!A:C,3,0)</f>
        <v>0</v>
      </c>
      <c r="I44" s="769">
        <f t="shared" si="0"/>
        <v>760</v>
      </c>
    </row>
    <row r="45" spans="1:9" ht="13.5" thickBot="1" x14ac:dyDescent="0.25">
      <c r="A45" s="771" t="s">
        <v>581</v>
      </c>
      <c r="B45" s="771" t="s">
        <v>582</v>
      </c>
      <c r="C45" s="771" t="s">
        <v>444</v>
      </c>
      <c r="D45" s="771" t="s">
        <v>579</v>
      </c>
      <c r="E45" s="772">
        <v>0</v>
      </c>
      <c r="F45" s="770">
        <f>VLOOKUP(A45,Sheet3!A:F,6,0)</f>
        <v>200</v>
      </c>
      <c r="G45" s="770">
        <f>VLOOKUP(A45,Sheet3!A:E,5,0)</f>
        <v>192.3</v>
      </c>
      <c r="H45" s="770">
        <f>VLOOKUP(A45,Sheet3!A:C,3,0)</f>
        <v>0</v>
      </c>
      <c r="I45" s="769">
        <f t="shared" si="0"/>
        <v>7.6999999999999886</v>
      </c>
    </row>
    <row r="46" spans="1:9" ht="13.5" thickBot="1" x14ac:dyDescent="0.25">
      <c r="A46" s="771" t="s">
        <v>584</v>
      </c>
      <c r="B46" s="771" t="s">
        <v>585</v>
      </c>
      <c r="C46" s="771" t="s">
        <v>444</v>
      </c>
      <c r="D46" s="771" t="s">
        <v>579</v>
      </c>
      <c r="E46" s="772">
        <v>0</v>
      </c>
      <c r="F46" s="770">
        <f>VLOOKUP(A46,Sheet3!A:F,6,0)</f>
        <v>200</v>
      </c>
      <c r="G46" s="770">
        <f>VLOOKUP(A46,Sheet3!A:E,5,0)</f>
        <v>0</v>
      </c>
      <c r="H46" s="770">
        <f>VLOOKUP(A46,Sheet3!A:C,3,0)</f>
        <v>0</v>
      </c>
      <c r="I46" s="769">
        <f t="shared" si="0"/>
        <v>200</v>
      </c>
    </row>
    <row r="47" spans="1:9" ht="13.5" thickBot="1" x14ac:dyDescent="0.25">
      <c r="A47" s="771" t="s">
        <v>587</v>
      </c>
      <c r="B47" s="771" t="s">
        <v>588</v>
      </c>
      <c r="C47" s="771" t="s">
        <v>444</v>
      </c>
      <c r="D47" s="771" t="s">
        <v>579</v>
      </c>
      <c r="E47" s="772">
        <v>0</v>
      </c>
      <c r="F47" s="770">
        <f>VLOOKUP(A47,Sheet3!A:F,6,0)</f>
        <v>400</v>
      </c>
      <c r="G47" s="770">
        <f>VLOOKUP(A47,Sheet3!A:E,5,0)</f>
        <v>0</v>
      </c>
      <c r="H47" s="770">
        <f>VLOOKUP(A47,Sheet3!A:C,3,0)</f>
        <v>0</v>
      </c>
      <c r="I47" s="769">
        <f t="shared" si="0"/>
        <v>400</v>
      </c>
    </row>
    <row r="48" spans="1:9" ht="13.5" thickBot="1" x14ac:dyDescent="0.25">
      <c r="A48" s="768" t="s">
        <v>592</v>
      </c>
      <c r="B48" s="768" t="s">
        <v>593</v>
      </c>
      <c r="C48" s="768" t="s">
        <v>444</v>
      </c>
      <c r="D48" s="768" t="s">
        <v>579</v>
      </c>
      <c r="E48" s="769">
        <v>0</v>
      </c>
      <c r="F48" s="770">
        <f>VLOOKUP(A48,Sheet3!A:F,6,0)</f>
        <v>400</v>
      </c>
      <c r="G48" s="770">
        <f>VLOOKUP(A48,Sheet3!A:E,5,0)</f>
        <v>0</v>
      </c>
      <c r="H48" s="770">
        <f>VLOOKUP(A48,Sheet3!A:C,3,0)</f>
        <v>0</v>
      </c>
      <c r="I48" s="769">
        <f t="shared" si="0"/>
        <v>400</v>
      </c>
    </row>
    <row r="49" spans="1:9" ht="13.5" thickBot="1" x14ac:dyDescent="0.25">
      <c r="A49" s="768" t="s">
        <v>595</v>
      </c>
      <c r="B49" s="768" t="s">
        <v>596</v>
      </c>
      <c r="C49" s="768" t="s">
        <v>444</v>
      </c>
      <c r="D49" s="768" t="s">
        <v>579</v>
      </c>
      <c r="E49" s="769">
        <v>0</v>
      </c>
      <c r="F49" s="770">
        <f>VLOOKUP(A49,Sheet3!A:F,6,0)</f>
        <v>600</v>
      </c>
      <c r="G49" s="770">
        <f>VLOOKUP(A49,Sheet3!A:E,5,0)</f>
        <v>0</v>
      </c>
      <c r="H49" s="770">
        <f>VLOOKUP(A49,Sheet3!A:C,3,0)</f>
        <v>0</v>
      </c>
      <c r="I49" s="769">
        <f t="shared" si="0"/>
        <v>600</v>
      </c>
    </row>
    <row r="50" spans="1:9" ht="13.5" thickBot="1" x14ac:dyDescent="0.25">
      <c r="A50" s="768" t="s">
        <v>598</v>
      </c>
      <c r="B50" s="768" t="s">
        <v>599</v>
      </c>
      <c r="C50" s="768" t="s">
        <v>444</v>
      </c>
      <c r="D50" s="768" t="s">
        <v>579</v>
      </c>
      <c r="E50" s="769">
        <v>0</v>
      </c>
      <c r="F50" s="770">
        <f>VLOOKUP(A50,Sheet3!A:F,6,0)</f>
        <v>400</v>
      </c>
      <c r="G50" s="770">
        <f>VLOOKUP(A50,Sheet3!A:E,5,0)</f>
        <v>0</v>
      </c>
      <c r="H50" s="770">
        <f>VLOOKUP(A50,Sheet3!A:C,3,0)</f>
        <v>0</v>
      </c>
      <c r="I50" s="769">
        <f t="shared" si="0"/>
        <v>400</v>
      </c>
    </row>
    <row r="51" spans="1:9" ht="13.5" thickBot="1" x14ac:dyDescent="0.25">
      <c r="A51" s="771" t="s">
        <v>601</v>
      </c>
      <c r="B51" s="771" t="s">
        <v>602</v>
      </c>
      <c r="C51" s="771" t="s">
        <v>444</v>
      </c>
      <c r="D51" s="771" t="s">
        <v>579</v>
      </c>
      <c r="E51" s="772">
        <v>0</v>
      </c>
      <c r="F51" s="770">
        <f>VLOOKUP(A51,Sheet3!A:F,6,0)</f>
        <v>360</v>
      </c>
      <c r="G51" s="770">
        <f>VLOOKUP(A51,Sheet3!A:E,5,0)</f>
        <v>0</v>
      </c>
      <c r="H51" s="770">
        <f>VLOOKUP(A51,Sheet3!A:C,3,0)</f>
        <v>0</v>
      </c>
      <c r="I51" s="769">
        <f t="shared" si="0"/>
        <v>360</v>
      </c>
    </row>
    <row r="52" spans="1:9" ht="13.5" thickBot="1" x14ac:dyDescent="0.25">
      <c r="A52" s="771" t="s">
        <v>604</v>
      </c>
      <c r="B52" s="771" t="s">
        <v>605</v>
      </c>
      <c r="C52" s="771" t="s">
        <v>444</v>
      </c>
      <c r="D52" s="771" t="s">
        <v>579</v>
      </c>
      <c r="E52" s="772">
        <v>0</v>
      </c>
      <c r="F52" s="770">
        <f>VLOOKUP(A52,Sheet3!A:F,6,0)</f>
        <v>400</v>
      </c>
      <c r="G52" s="770">
        <f>VLOOKUP(A52,Sheet3!A:E,5,0)</f>
        <v>0</v>
      </c>
      <c r="H52" s="770">
        <f>VLOOKUP(A52,Sheet3!A:C,3,0)</f>
        <v>0</v>
      </c>
      <c r="I52" s="769">
        <f t="shared" si="0"/>
        <v>400</v>
      </c>
    </row>
    <row r="53" spans="1:9" ht="13.5" thickBot="1" x14ac:dyDescent="0.25">
      <c r="A53" s="771" t="s">
        <v>607</v>
      </c>
      <c r="B53" s="771" t="s">
        <v>608</v>
      </c>
      <c r="C53" s="771" t="s">
        <v>444</v>
      </c>
      <c r="D53" s="771" t="s">
        <v>579</v>
      </c>
      <c r="E53" s="772">
        <v>0</v>
      </c>
      <c r="F53" s="770">
        <f>VLOOKUP(A53,Sheet3!A:F,6,0)</f>
        <v>200</v>
      </c>
      <c r="G53" s="770">
        <f>VLOOKUP(A53,Sheet3!A:E,5,0)</f>
        <v>0</v>
      </c>
      <c r="H53" s="770">
        <f>VLOOKUP(A53,Sheet3!A:C,3,0)</f>
        <v>0</v>
      </c>
      <c r="I53" s="769">
        <f t="shared" si="0"/>
        <v>200</v>
      </c>
    </row>
    <row r="54" spans="1:9" ht="13.5" thickBot="1" x14ac:dyDescent="0.25">
      <c r="A54" s="768" t="s">
        <v>610</v>
      </c>
      <c r="B54" s="768" t="s">
        <v>611</v>
      </c>
      <c r="C54" s="768" t="s">
        <v>444</v>
      </c>
      <c r="D54" s="768" t="s">
        <v>611</v>
      </c>
      <c r="E54" s="769">
        <v>0</v>
      </c>
      <c r="F54" s="770">
        <f>VLOOKUP(A54,Sheet3!A:F,6,0)</f>
        <v>5200</v>
      </c>
      <c r="G54" s="770">
        <f>VLOOKUP(A54,Sheet3!A:E,5,0)</f>
        <v>5200</v>
      </c>
      <c r="H54" s="770">
        <f>VLOOKUP(A54,Sheet3!A:C,3,0)</f>
        <v>0</v>
      </c>
      <c r="I54" s="769">
        <f t="shared" si="0"/>
        <v>0</v>
      </c>
    </row>
    <row r="55" spans="1:9" ht="13.5" thickBot="1" x14ac:dyDescent="0.25">
      <c r="A55" s="771" t="s">
        <v>467</v>
      </c>
      <c r="B55" s="771" t="s">
        <v>465</v>
      </c>
      <c r="C55" s="771" t="s">
        <v>444</v>
      </c>
      <c r="D55" s="771" t="s">
        <v>466</v>
      </c>
      <c r="E55" s="772">
        <v>0</v>
      </c>
      <c r="F55" s="770">
        <f>VLOOKUP(A55,Sheet3!A:F,6,0)</f>
        <v>800</v>
      </c>
      <c r="G55" s="770">
        <f>VLOOKUP(A55,Sheet3!A:E,5,0)</f>
        <v>235</v>
      </c>
      <c r="H55" s="770">
        <f>VLOOKUP(A55,Sheet3!A:C,3,0)</f>
        <v>0</v>
      </c>
      <c r="I55" s="769">
        <f t="shared" si="0"/>
        <v>565</v>
      </c>
    </row>
    <row r="56" spans="1:9" ht="13.5" thickBot="1" x14ac:dyDescent="0.25">
      <c r="A56" s="771" t="s">
        <v>381</v>
      </c>
      <c r="B56" s="771" t="s">
        <v>447</v>
      </c>
      <c r="C56" s="771" t="s">
        <v>448</v>
      </c>
      <c r="D56" s="771" t="s">
        <v>445</v>
      </c>
      <c r="E56" s="772">
        <v>468710</v>
      </c>
      <c r="F56" s="770">
        <f>VLOOKUP(A56,Sheet3!A:F,6,0)</f>
        <v>468710</v>
      </c>
      <c r="G56" s="770">
        <f>VLOOKUP(A56,Sheet3!A:E,5,0)</f>
        <v>468710</v>
      </c>
      <c r="H56" s="770">
        <f>VLOOKUP(A56,Sheet3!A:C,3,0)</f>
        <v>0</v>
      </c>
      <c r="I56" s="769">
        <f t="shared" si="0"/>
        <v>0</v>
      </c>
    </row>
    <row r="57" spans="1:9" ht="13.5" thickBot="1" x14ac:dyDescent="0.25">
      <c r="A57" s="768" t="s">
        <v>382</v>
      </c>
      <c r="B57" s="768" t="s">
        <v>449</v>
      </c>
      <c r="C57" s="768" t="s">
        <v>448</v>
      </c>
      <c r="D57" s="768" t="s">
        <v>445</v>
      </c>
      <c r="E57" s="769">
        <v>89345</v>
      </c>
      <c r="F57" s="770">
        <f>VLOOKUP(A57,Sheet3!A:F,6,0)</f>
        <v>89345</v>
      </c>
      <c r="G57" s="770">
        <f>VLOOKUP(A57,Sheet3!A:E,5,0)</f>
        <v>0</v>
      </c>
      <c r="H57" s="770">
        <f>VLOOKUP(A57,Sheet3!A:C,3,0)</f>
        <v>0</v>
      </c>
      <c r="I57" s="769">
        <f t="shared" si="0"/>
        <v>89345</v>
      </c>
    </row>
    <row r="58" spans="1:9" ht="13.5" thickBot="1" x14ac:dyDescent="0.25">
      <c r="A58" s="771" t="s">
        <v>739</v>
      </c>
      <c r="B58" s="771" t="s">
        <v>452</v>
      </c>
      <c r="C58" s="771" t="s">
        <v>451</v>
      </c>
      <c r="D58" s="771" t="s">
        <v>445</v>
      </c>
      <c r="E58" s="772">
        <v>6500</v>
      </c>
      <c r="F58" s="770">
        <f>VLOOKUP(A58,Sheet3!A:F,6,0)</f>
        <v>6500</v>
      </c>
      <c r="G58" s="770">
        <f>VLOOKUP(A58,Sheet3!A:E,5,0)</f>
        <v>6255</v>
      </c>
      <c r="H58" s="770">
        <f>VLOOKUP(A58,Sheet3!A:C,3,0)</f>
        <v>0</v>
      </c>
      <c r="I58" s="769">
        <f t="shared" si="0"/>
        <v>245</v>
      </c>
    </row>
    <row r="59" spans="1:9" ht="13.5" thickBot="1" x14ac:dyDescent="0.25">
      <c r="A59" s="771" t="s">
        <v>379</v>
      </c>
      <c r="B59" s="771" t="s">
        <v>453</v>
      </c>
      <c r="C59" s="771" t="s">
        <v>451</v>
      </c>
      <c r="D59" s="771" t="s">
        <v>445</v>
      </c>
      <c r="E59" s="772">
        <v>78691</v>
      </c>
      <c r="F59" s="770">
        <f>VLOOKUP(A59,Sheet3!A:F,6,0)-F82</f>
        <v>78691</v>
      </c>
      <c r="G59" s="770">
        <f>VLOOKUP(A59,Sheet3!A:E,5,0)-G82</f>
        <v>78690.63</v>
      </c>
      <c r="H59" s="770">
        <f>VLOOKUP(A59,Sheet3!A:C,3,0)</f>
        <v>0</v>
      </c>
      <c r="I59" s="769">
        <f t="shared" si="0"/>
        <v>0.36999999999534339</v>
      </c>
    </row>
    <row r="60" spans="1:9" ht="13.5" thickBot="1" x14ac:dyDescent="0.25">
      <c r="A60" s="771" t="s">
        <v>380</v>
      </c>
      <c r="B60" s="771" t="s">
        <v>454</v>
      </c>
      <c r="C60" s="771" t="s">
        <v>451</v>
      </c>
      <c r="D60" s="771" t="s">
        <v>445</v>
      </c>
      <c r="E60" s="772">
        <v>15609</v>
      </c>
      <c r="F60" s="770">
        <f>VLOOKUP(A60,Sheet3!A:F,6,0)</f>
        <v>15609</v>
      </c>
      <c r="G60" s="770">
        <f>VLOOKUP(A60,Sheet3!A:E,5,0)</f>
        <v>15614</v>
      </c>
      <c r="H60" s="770">
        <f>VLOOKUP(A60,Sheet3!A:C,3,0)</f>
        <v>0</v>
      </c>
      <c r="I60" s="769">
        <f t="shared" si="0"/>
        <v>-5</v>
      </c>
    </row>
    <row r="61" spans="1:9" ht="13.5" thickBot="1" x14ac:dyDescent="0.25">
      <c r="A61" s="768" t="s">
        <v>404</v>
      </c>
      <c r="B61" s="768" t="s">
        <v>788</v>
      </c>
      <c r="C61" s="768" t="s">
        <v>451</v>
      </c>
      <c r="D61" s="768" t="s">
        <v>445</v>
      </c>
      <c r="E61" s="769">
        <v>19057</v>
      </c>
      <c r="F61" s="770">
        <f>VLOOKUP(A61,Sheet3!A:F,6,0)</f>
        <v>19057</v>
      </c>
      <c r="G61" s="770">
        <f>VLOOKUP(A61,Sheet3!A:E,5,0)</f>
        <v>18110</v>
      </c>
      <c r="H61" s="770">
        <f>VLOOKUP(A61,Sheet3!A:C,3,0)</f>
        <v>0</v>
      </c>
      <c r="I61" s="769">
        <f t="shared" si="0"/>
        <v>947</v>
      </c>
    </row>
    <row r="62" spans="1:9" ht="13.5" thickBot="1" x14ac:dyDescent="0.25">
      <c r="A62" s="771" t="s">
        <v>186</v>
      </c>
      <c r="B62" s="771" t="s">
        <v>455</v>
      </c>
      <c r="C62" s="771" t="s">
        <v>456</v>
      </c>
      <c r="D62" s="771" t="s">
        <v>445</v>
      </c>
      <c r="E62" s="772">
        <v>27500</v>
      </c>
      <c r="F62" s="770">
        <f>VLOOKUP(A62,Sheet3!A:F,6,0)</f>
        <v>27500</v>
      </c>
      <c r="G62" s="770">
        <f>VLOOKUP(A62,Sheet3!A:E,5,0)</f>
        <v>27500</v>
      </c>
      <c r="H62" s="770">
        <f>VLOOKUP(A62,Sheet3!A:C,3,0)</f>
        <v>0</v>
      </c>
      <c r="I62" s="769">
        <f t="shared" si="0"/>
        <v>0</v>
      </c>
    </row>
    <row r="63" spans="1:9" ht="13.5" thickBot="1" x14ac:dyDescent="0.25">
      <c r="A63" s="768" t="s">
        <v>274</v>
      </c>
      <c r="B63" s="768" t="s">
        <v>465</v>
      </c>
      <c r="C63" s="768" t="s">
        <v>469</v>
      </c>
      <c r="D63" s="768" t="s">
        <v>466</v>
      </c>
      <c r="E63" s="769">
        <v>45032</v>
      </c>
      <c r="F63" s="770">
        <f>VLOOKUP(A63,Sheet3!A:F,6,0)</f>
        <v>45032</v>
      </c>
      <c r="G63" s="770">
        <f>VLOOKUP(A63,Sheet3!A:E,5,0)</f>
        <v>44179.56</v>
      </c>
      <c r="H63" s="770">
        <f>VLOOKUP(A63,Sheet3!A:C,3,0)</f>
        <v>830.44</v>
      </c>
      <c r="I63" s="769">
        <f t="shared" si="0"/>
        <v>22.000000000002274</v>
      </c>
    </row>
    <row r="64" spans="1:9" ht="13.5" thickBot="1" x14ac:dyDescent="0.25">
      <c r="A64" s="768" t="s">
        <v>187</v>
      </c>
      <c r="B64" s="768" t="s">
        <v>551</v>
      </c>
      <c r="C64" s="768" t="s">
        <v>552</v>
      </c>
      <c r="D64" s="768" t="s">
        <v>262</v>
      </c>
      <c r="E64" s="769">
        <v>24625</v>
      </c>
      <c r="F64" s="770">
        <f>VLOOKUP(A64,Sheet3!A:F,6,0)</f>
        <v>23018</v>
      </c>
      <c r="G64" s="770">
        <f>VLOOKUP(A64,Sheet3!A:E,5,0)</f>
        <v>22000</v>
      </c>
      <c r="H64" s="770">
        <f>VLOOKUP(A64,Sheet3!A:C,3,0)</f>
        <v>0</v>
      </c>
      <c r="I64" s="769">
        <f t="shared" si="0"/>
        <v>1018</v>
      </c>
    </row>
    <row r="65" spans="1:9" ht="13.5" thickBot="1" x14ac:dyDescent="0.25">
      <c r="A65" s="771" t="s">
        <v>553</v>
      </c>
      <c r="B65" s="771" t="s">
        <v>861</v>
      </c>
      <c r="C65" s="771"/>
      <c r="D65" s="771"/>
      <c r="E65" s="772"/>
      <c r="F65" s="770">
        <f>VLOOKUP(A65,Sheet3!A:F,6,0)</f>
        <v>1532</v>
      </c>
      <c r="G65" s="770">
        <f>VLOOKUP(A65,Sheet3!A:E,5,0)</f>
        <v>1361.29</v>
      </c>
      <c r="H65" s="770">
        <f>VLOOKUP(A65,Sheet3!A:C,3,0)</f>
        <v>0</v>
      </c>
      <c r="I65" s="769">
        <f t="shared" si="0"/>
        <v>170.71000000000004</v>
      </c>
    </row>
    <row r="66" spans="1:9" ht="13.5" thickBot="1" x14ac:dyDescent="0.25">
      <c r="A66" s="771" t="s">
        <v>944</v>
      </c>
      <c r="B66" s="771" t="s">
        <v>861</v>
      </c>
      <c r="C66" s="771"/>
      <c r="D66" s="771"/>
      <c r="E66" s="772"/>
      <c r="F66" s="770">
        <f>VLOOKUP(A66,Sheet3!A:F,6,0)</f>
        <v>0</v>
      </c>
      <c r="G66" s="770">
        <f>VLOOKUP(A66,Sheet3!A:E,5,0)</f>
        <v>170</v>
      </c>
      <c r="H66" s="770">
        <f>VLOOKUP(A66,Sheet3!A:C,3,0)</f>
        <v>0</v>
      </c>
      <c r="I66" s="769">
        <f t="shared" si="0"/>
        <v>-170</v>
      </c>
    </row>
    <row r="67" spans="1:9" ht="13.5" thickBot="1" x14ac:dyDescent="0.25">
      <c r="A67" s="771" t="s">
        <v>945</v>
      </c>
      <c r="B67" s="771" t="s">
        <v>861</v>
      </c>
      <c r="C67" s="771"/>
      <c r="D67" s="771"/>
      <c r="E67" s="772"/>
      <c r="F67" s="770">
        <f>VLOOKUP(A67,Sheet3!A:F,6,0)</f>
        <v>330</v>
      </c>
      <c r="G67" s="770">
        <f>VLOOKUP(A67,Sheet3!A:E,5,0)</f>
        <v>282.74</v>
      </c>
      <c r="H67" s="770">
        <f>VLOOKUP(A67,Sheet3!A:C,3,0)</f>
        <v>0</v>
      </c>
      <c r="I67" s="769">
        <f t="shared" si="0"/>
        <v>47.259999999999991</v>
      </c>
    </row>
    <row r="68" spans="1:9" ht="13.5" thickBot="1" x14ac:dyDescent="0.25">
      <c r="A68" s="771" t="s">
        <v>946</v>
      </c>
      <c r="B68" s="771" t="s">
        <v>861</v>
      </c>
      <c r="C68" s="771"/>
      <c r="D68" s="771"/>
      <c r="E68" s="772"/>
      <c r="F68" s="770">
        <f>VLOOKUP(A68,Sheet3!A:F,6,0)</f>
        <v>250</v>
      </c>
      <c r="G68" s="770">
        <f>VLOOKUP(A68,Sheet3!A:E,5,0)</f>
        <v>240.37</v>
      </c>
      <c r="H68" s="770">
        <f>VLOOKUP(A68,Sheet3!A:C,3,0)</f>
        <v>0</v>
      </c>
      <c r="I68" s="769">
        <f t="shared" si="0"/>
        <v>9.6299999999999955</v>
      </c>
    </row>
    <row r="69" spans="1:9" ht="13.5" thickBot="1" x14ac:dyDescent="0.25">
      <c r="A69" s="771" t="s">
        <v>561</v>
      </c>
      <c r="B69" s="771" t="s">
        <v>861</v>
      </c>
      <c r="C69" s="771"/>
      <c r="D69" s="771"/>
      <c r="E69" s="772"/>
      <c r="F69" s="770">
        <f>VLOOKUP(A69,Sheet3!A:F,6,0)</f>
        <v>336</v>
      </c>
      <c r="G69" s="770">
        <f>VLOOKUP(A69,Sheet3!A:E,5,0)</f>
        <v>322.74</v>
      </c>
      <c r="H69" s="770">
        <f>VLOOKUP(A69,Sheet3!A:C,3,0)</f>
        <v>0</v>
      </c>
      <c r="I69" s="769">
        <f t="shared" ref="I69:I132" si="1">F69-G69-H69</f>
        <v>13.259999999999991</v>
      </c>
    </row>
    <row r="70" spans="1:9" ht="13.5" thickBot="1" x14ac:dyDescent="0.25">
      <c r="A70" s="771" t="s">
        <v>981</v>
      </c>
      <c r="B70" s="771"/>
      <c r="C70" s="771"/>
      <c r="D70" s="771"/>
      <c r="E70" s="772"/>
      <c r="F70" s="770">
        <f>VLOOKUP(A70,Sheet3!A:F,6,0)</f>
        <v>345</v>
      </c>
      <c r="G70" s="770">
        <f>VLOOKUP(A70,Sheet3!A:E,5,0)</f>
        <v>0</v>
      </c>
      <c r="H70" s="770">
        <f>VLOOKUP(A70,Sheet3!A:C,3,0)</f>
        <v>0</v>
      </c>
      <c r="I70" s="769">
        <f t="shared" si="1"/>
        <v>345</v>
      </c>
    </row>
    <row r="71" spans="1:9" ht="13.5" thickBot="1" x14ac:dyDescent="0.25">
      <c r="A71" s="771" t="s">
        <v>188</v>
      </c>
      <c r="B71" s="771" t="s">
        <v>551</v>
      </c>
      <c r="C71" s="771" t="s">
        <v>563</v>
      </c>
      <c r="D71" s="771" t="s">
        <v>262</v>
      </c>
      <c r="E71" s="772">
        <v>110568</v>
      </c>
      <c r="F71" s="770">
        <f>VLOOKUP(A71,Sheet3!A:F,6,0)</f>
        <v>109382</v>
      </c>
      <c r="G71" s="770">
        <f>VLOOKUP(A71,Sheet3!A:E,5,0)</f>
        <v>109381.68</v>
      </c>
      <c r="H71" s="770">
        <f>VLOOKUP(A71,Sheet3!A:C,3,0)</f>
        <v>0</v>
      </c>
      <c r="I71" s="769">
        <f t="shared" si="1"/>
        <v>0.32000000000698492</v>
      </c>
    </row>
    <row r="72" spans="1:9" ht="13.5" thickBot="1" x14ac:dyDescent="0.25">
      <c r="A72" s="771" t="s">
        <v>1038</v>
      </c>
      <c r="B72" s="771" t="s">
        <v>613</v>
      </c>
      <c r="C72" s="771" t="s">
        <v>552</v>
      </c>
      <c r="D72" s="771" t="s">
        <v>294</v>
      </c>
      <c r="E72" s="772">
        <v>4400</v>
      </c>
      <c r="F72" s="770">
        <f>VLOOKUP(A72,Sheet3!A:F,6,0)</f>
        <v>699</v>
      </c>
      <c r="G72" s="770">
        <f>VLOOKUP(A72,Sheet3!A:E,5,0)</f>
        <v>0</v>
      </c>
      <c r="H72" s="770">
        <f>VLOOKUP(A72,Sheet3!A:C,3,0)</f>
        <v>0</v>
      </c>
      <c r="I72" s="769">
        <f t="shared" si="1"/>
        <v>699</v>
      </c>
    </row>
    <row r="73" spans="1:9" ht="13.5" thickBot="1" x14ac:dyDescent="0.25">
      <c r="A73" s="768" t="s">
        <v>191</v>
      </c>
      <c r="B73" s="768" t="s">
        <v>613</v>
      </c>
      <c r="C73" s="768" t="s">
        <v>614</v>
      </c>
      <c r="D73" s="768" t="s">
        <v>294</v>
      </c>
      <c r="E73" s="769">
        <v>1100</v>
      </c>
      <c r="F73" s="770">
        <f>VLOOKUP(A73,Sheet3!A:F,6,0)</f>
        <v>5718</v>
      </c>
      <c r="G73" s="770">
        <f>VLOOKUP(A73,Sheet3!A:E,5,0)</f>
        <v>5564.7</v>
      </c>
      <c r="H73" s="770">
        <f>VLOOKUP(A73,Sheet3!A:C,3,0)</f>
        <v>0</v>
      </c>
      <c r="I73" s="769">
        <f t="shared" si="1"/>
        <v>153.30000000000018</v>
      </c>
    </row>
    <row r="74" spans="1:9" ht="13.5" thickBot="1" x14ac:dyDescent="0.25">
      <c r="A74" s="768" t="s">
        <v>192</v>
      </c>
      <c r="B74" s="768" t="s">
        <v>613</v>
      </c>
      <c r="C74" s="768" t="s">
        <v>440</v>
      </c>
      <c r="D74" s="768" t="s">
        <v>294</v>
      </c>
      <c r="E74" s="769">
        <v>3300</v>
      </c>
      <c r="F74" s="770">
        <f>VLOOKUP(A74,Sheet3!A:F,6,0)</f>
        <v>2383</v>
      </c>
      <c r="G74" s="770">
        <f>VLOOKUP(A74,Sheet3!A:E,5,0)</f>
        <v>924.08</v>
      </c>
      <c r="H74" s="770">
        <f>VLOOKUP(A74,Sheet3!A:C,3,0)</f>
        <v>0</v>
      </c>
      <c r="I74" s="769">
        <f t="shared" si="1"/>
        <v>1458.92</v>
      </c>
    </row>
    <row r="75" spans="1:9" ht="13.5" thickBot="1" x14ac:dyDescent="0.25">
      <c r="A75" s="771" t="s">
        <v>193</v>
      </c>
      <c r="B75" s="771" t="s">
        <v>615</v>
      </c>
      <c r="C75" s="771" t="s">
        <v>614</v>
      </c>
      <c r="D75" s="771" t="s">
        <v>294</v>
      </c>
      <c r="E75" s="772">
        <v>1100</v>
      </c>
      <c r="F75" s="770">
        <f>VLOOKUP(A75,Sheet3!A:F,6,0)</f>
        <v>1100</v>
      </c>
      <c r="G75" s="770">
        <f>VLOOKUP(A75,Sheet3!A:E,5,0)</f>
        <v>0</v>
      </c>
      <c r="H75" s="770">
        <f>VLOOKUP(A75,Sheet3!A:C,3,0)</f>
        <v>0</v>
      </c>
      <c r="I75" s="769">
        <f t="shared" si="1"/>
        <v>1100</v>
      </c>
    </row>
    <row r="76" spans="1:9" ht="13.5" thickBot="1" x14ac:dyDescent="0.25">
      <c r="A76" s="771" t="s">
        <v>194</v>
      </c>
      <c r="B76" s="771" t="s">
        <v>615</v>
      </c>
      <c r="C76" s="771" t="s">
        <v>440</v>
      </c>
      <c r="D76" s="771" t="s">
        <v>294</v>
      </c>
      <c r="E76" s="772">
        <v>3300</v>
      </c>
      <c r="F76" s="770">
        <f>VLOOKUP(A76,Sheet3!A:F,6,0)</f>
        <v>3300</v>
      </c>
      <c r="G76" s="770">
        <f>VLOOKUP(A76,Sheet3!A:E,5,0)</f>
        <v>0</v>
      </c>
      <c r="H76" s="770">
        <f>VLOOKUP(A76,Sheet3!A:C,3,0)</f>
        <v>0</v>
      </c>
      <c r="I76" s="769">
        <f t="shared" si="1"/>
        <v>3300</v>
      </c>
    </row>
    <row r="77" spans="1:9" ht="13.5" thickBot="1" x14ac:dyDescent="0.25">
      <c r="A77" s="771" t="s">
        <v>196</v>
      </c>
      <c r="B77" s="771" t="s">
        <v>616</v>
      </c>
      <c r="C77" s="771" t="s">
        <v>614</v>
      </c>
      <c r="D77" s="771" t="s">
        <v>294</v>
      </c>
      <c r="E77" s="772">
        <v>3660</v>
      </c>
      <c r="F77" s="770">
        <f>VLOOKUP(A77,Sheet3!A:F,6,0)</f>
        <v>3660</v>
      </c>
      <c r="G77" s="770">
        <f>VLOOKUP(A77,Sheet3!A:E,5,0)</f>
        <v>3033.84</v>
      </c>
      <c r="H77" s="770">
        <f>VLOOKUP(A77,Sheet3!A:C,3,0)</f>
        <v>0</v>
      </c>
      <c r="I77" s="769">
        <f t="shared" si="1"/>
        <v>626.15999999999985</v>
      </c>
    </row>
    <row r="78" spans="1:9" ht="13.5" thickBot="1" x14ac:dyDescent="0.25">
      <c r="A78" s="768" t="s">
        <v>197</v>
      </c>
      <c r="B78" s="768" t="s">
        <v>616</v>
      </c>
      <c r="C78" s="768" t="s">
        <v>442</v>
      </c>
      <c r="D78" s="768" t="s">
        <v>294</v>
      </c>
      <c r="E78" s="769">
        <v>440</v>
      </c>
      <c r="F78" s="770">
        <f>VLOOKUP(A78,Sheet3!A:F,6,0)</f>
        <v>440</v>
      </c>
      <c r="G78" s="770">
        <f>VLOOKUP(A78,Sheet3!A:E,5,0)</f>
        <v>440.02</v>
      </c>
      <c r="H78" s="770">
        <f>VLOOKUP(A78,Sheet3!A:C,3,0)</f>
        <v>0</v>
      </c>
      <c r="I78" s="769">
        <f t="shared" si="1"/>
        <v>-1.999999999998181E-2</v>
      </c>
    </row>
    <row r="79" spans="1:9" ht="13.5" thickBot="1" x14ac:dyDescent="0.25">
      <c r="A79" s="771" t="s">
        <v>198</v>
      </c>
      <c r="B79" s="771" t="s">
        <v>616</v>
      </c>
      <c r="C79" s="771" t="s">
        <v>440</v>
      </c>
      <c r="D79" s="771" t="s">
        <v>294</v>
      </c>
      <c r="E79" s="772">
        <v>300</v>
      </c>
      <c r="F79" s="770">
        <f>VLOOKUP(A79,Sheet3!A:F,6,0)</f>
        <v>300</v>
      </c>
      <c r="G79" s="770">
        <f>VLOOKUP(A79,Sheet3!A:E,5,0)</f>
        <v>274.48</v>
      </c>
      <c r="H79" s="770">
        <f>VLOOKUP(A79,Sheet3!A:C,3,0)</f>
        <v>0</v>
      </c>
      <c r="I79" s="769">
        <f t="shared" si="1"/>
        <v>25.519999999999982</v>
      </c>
    </row>
    <row r="80" spans="1:9" ht="13.5" thickBot="1" x14ac:dyDescent="0.25">
      <c r="A80" s="771" t="s">
        <v>189</v>
      </c>
      <c r="B80" s="771" t="s">
        <v>264</v>
      </c>
      <c r="C80" s="771" t="s">
        <v>617</v>
      </c>
      <c r="D80" s="771" t="s">
        <v>264</v>
      </c>
      <c r="E80" s="772">
        <v>34000</v>
      </c>
      <c r="F80" s="770">
        <f>VLOOKUP(A80,Sheet3!A:F,6,0)</f>
        <v>34000</v>
      </c>
      <c r="G80" s="770">
        <f>VLOOKUP(A80,Sheet3!A:E,5,0)</f>
        <v>34000</v>
      </c>
      <c r="H80" s="770">
        <f>VLOOKUP(A80,Sheet3!A:C,3,0)</f>
        <v>0</v>
      </c>
      <c r="I80" s="769">
        <f t="shared" si="1"/>
        <v>0</v>
      </c>
    </row>
    <row r="81" spans="1:9" ht="13.5" thickBot="1" x14ac:dyDescent="0.25">
      <c r="A81" s="771"/>
      <c r="B81" s="771"/>
      <c r="C81" s="771"/>
      <c r="D81" s="771" t="s">
        <v>948</v>
      </c>
      <c r="E81" s="806">
        <f>SUM(E3:E80)</f>
        <v>1009369</v>
      </c>
      <c r="F81" s="806">
        <f>SUM(F3:F80)</f>
        <v>1009369</v>
      </c>
      <c r="G81" s="806">
        <f>SUM(G3:G80)</f>
        <v>891020.52</v>
      </c>
      <c r="H81" s="806">
        <f>SUM(H3:H80)</f>
        <v>830.57</v>
      </c>
      <c r="I81" s="806">
        <f>SUM(I3:I80)</f>
        <v>117508.83</v>
      </c>
    </row>
    <row r="82" spans="1:9" s="813" customFormat="1" ht="13.5" thickBot="1" x14ac:dyDescent="0.25">
      <c r="A82" s="814" t="s">
        <v>379</v>
      </c>
      <c r="B82" s="814" t="s">
        <v>453</v>
      </c>
      <c r="C82" s="814" t="s">
        <v>451</v>
      </c>
      <c r="D82" s="814" t="s">
        <v>955</v>
      </c>
      <c r="E82" s="815">
        <v>0</v>
      </c>
      <c r="F82" s="811">
        <v>19132</v>
      </c>
      <c r="G82" s="811">
        <v>19132</v>
      </c>
      <c r="H82" s="811">
        <v>0</v>
      </c>
      <c r="I82" s="810">
        <f t="shared" ref="I82" si="2">F82-G82-H82</f>
        <v>0</v>
      </c>
    </row>
    <row r="83" spans="1:9" ht="13.5" thickBot="1" x14ac:dyDescent="0.25">
      <c r="A83" s="768" t="s">
        <v>765</v>
      </c>
      <c r="B83" s="768" t="s">
        <v>786</v>
      </c>
      <c r="C83" s="768" t="s">
        <v>787</v>
      </c>
      <c r="D83" s="768" t="s">
        <v>445</v>
      </c>
      <c r="E83" s="769">
        <v>26000</v>
      </c>
      <c r="F83" s="770">
        <v>26000</v>
      </c>
      <c r="G83" s="770">
        <f>VLOOKUP(A83,Sheet3!A:E,5,0)</f>
        <v>0</v>
      </c>
      <c r="H83" s="770">
        <v>0</v>
      </c>
      <c r="I83" s="769">
        <f>F83-G83-H83</f>
        <v>26000</v>
      </c>
    </row>
    <row r="84" spans="1:9" ht="13.5" thickBot="1" x14ac:dyDescent="0.25">
      <c r="A84" s="768"/>
      <c r="B84" s="768"/>
      <c r="C84" s="768"/>
      <c r="D84" s="768" t="s">
        <v>953</v>
      </c>
      <c r="E84" s="881">
        <f>E81+E82+E83</f>
        <v>1035369</v>
      </c>
      <c r="F84" s="881">
        <f t="shared" ref="F84:I84" si="3">F81+F82+F83</f>
        <v>1054501</v>
      </c>
      <c r="G84" s="881">
        <f t="shared" si="3"/>
        <v>910152.52</v>
      </c>
      <c r="H84" s="881">
        <f t="shared" si="3"/>
        <v>830.57</v>
      </c>
      <c r="I84" s="881">
        <f t="shared" si="3"/>
        <v>143508.83000000002</v>
      </c>
    </row>
    <row r="85" spans="1:9" ht="13.5" thickBot="1" x14ac:dyDescent="0.25">
      <c r="A85" s="771" t="s">
        <v>307</v>
      </c>
      <c r="B85" s="771" t="s">
        <v>443</v>
      </c>
      <c r="C85" s="771" t="s">
        <v>446</v>
      </c>
      <c r="D85" s="771" t="s">
        <v>445</v>
      </c>
      <c r="E85" s="772">
        <v>0</v>
      </c>
      <c r="F85" s="770">
        <f>VLOOKUP(A85,Sheet3!A:F,6,0)</f>
        <v>13746</v>
      </c>
      <c r="G85" s="770">
        <f>VLOOKUP(A85,Sheet3!A:E,5,0)</f>
        <v>0</v>
      </c>
      <c r="H85" s="770">
        <f>VLOOKUP(A85,Sheet3!A:C,3,0)</f>
        <v>0</v>
      </c>
      <c r="I85" s="769">
        <f t="shared" ref="I85:I126" si="4">F85-G85-H85</f>
        <v>13746</v>
      </c>
    </row>
    <row r="86" spans="1:9" ht="13.5" thickBot="1" x14ac:dyDescent="0.25">
      <c r="A86" s="771" t="s">
        <v>468</v>
      </c>
      <c r="B86" s="771" t="s">
        <v>465</v>
      </c>
      <c r="C86" s="771" t="s">
        <v>446</v>
      </c>
      <c r="D86" s="771" t="s">
        <v>466</v>
      </c>
      <c r="E86" s="772">
        <v>0</v>
      </c>
      <c r="F86" s="770">
        <f>VLOOKUP(A86,Sheet3!A:F,6,0)</f>
        <v>1040</v>
      </c>
      <c r="G86" s="770">
        <f>VLOOKUP(A86,Sheet3!A:E,5,0)</f>
        <v>90.18</v>
      </c>
      <c r="H86" s="770">
        <f>VLOOKUP(A86,Sheet3!A:C,3,0)</f>
        <v>0</v>
      </c>
      <c r="I86" s="769">
        <f t="shared" si="4"/>
        <v>949.81999999999994</v>
      </c>
    </row>
    <row r="87" spans="1:9" ht="13.5" thickBot="1" x14ac:dyDescent="0.25">
      <c r="A87" s="768" t="s">
        <v>473</v>
      </c>
      <c r="B87" s="768" t="s">
        <v>471</v>
      </c>
      <c r="C87" s="768" t="s">
        <v>446</v>
      </c>
      <c r="D87" s="768" t="s">
        <v>472</v>
      </c>
      <c r="E87" s="769">
        <v>0</v>
      </c>
      <c r="F87" s="770">
        <f>VLOOKUP(A87,Sheet3!A:F,6,0)</f>
        <v>2995</v>
      </c>
      <c r="G87" s="770">
        <f>VLOOKUP(A87,Sheet3!A:E,5,0)</f>
        <v>0</v>
      </c>
      <c r="H87" s="770">
        <f>VLOOKUP(A87,Sheet3!A:C,3,0)</f>
        <v>0</v>
      </c>
      <c r="I87" s="769">
        <f t="shared" si="4"/>
        <v>2995</v>
      </c>
    </row>
    <row r="88" spans="1:9" ht="13.5" thickBot="1" x14ac:dyDescent="0.25">
      <c r="A88" s="771" t="s">
        <v>791</v>
      </c>
      <c r="B88" s="771" t="s">
        <v>790</v>
      </c>
      <c r="C88" s="771" t="s">
        <v>446</v>
      </c>
      <c r="D88" s="771" t="s">
        <v>476</v>
      </c>
      <c r="E88" s="772">
        <v>0</v>
      </c>
      <c r="F88" s="770">
        <f>VLOOKUP(A88,Sheet3!A:F,6,0)</f>
        <v>709</v>
      </c>
      <c r="G88" s="770">
        <f>VLOOKUP(A88,Sheet3!A:E,5,0)</f>
        <v>460</v>
      </c>
      <c r="H88" s="770">
        <f>VLOOKUP(A88,Sheet3!A:C,3,0)</f>
        <v>0</v>
      </c>
      <c r="I88" s="769">
        <f t="shared" si="4"/>
        <v>249</v>
      </c>
    </row>
    <row r="89" spans="1:9" ht="13.5" thickBot="1" x14ac:dyDescent="0.25">
      <c r="A89" s="771" t="s">
        <v>477</v>
      </c>
      <c r="B89" s="771" t="s">
        <v>475</v>
      </c>
      <c r="C89" s="771" t="s">
        <v>446</v>
      </c>
      <c r="D89" s="771" t="s">
        <v>476</v>
      </c>
      <c r="E89" s="772">
        <v>0</v>
      </c>
      <c r="F89" s="770">
        <f>VLOOKUP(A89,Sheet3!A:F,6,0)</f>
        <v>400</v>
      </c>
      <c r="G89" s="770">
        <f>VLOOKUP(A89,Sheet3!A:E,5,0)</f>
        <v>0</v>
      </c>
      <c r="H89" s="770">
        <f>VLOOKUP(A89,Sheet3!A:C,3,0)</f>
        <v>0</v>
      </c>
      <c r="I89" s="769">
        <f t="shared" si="4"/>
        <v>400</v>
      </c>
    </row>
    <row r="90" spans="1:9" ht="13.5" thickBot="1" x14ac:dyDescent="0.25">
      <c r="A90" s="771" t="s">
        <v>480</v>
      </c>
      <c r="B90" s="771" t="s">
        <v>479</v>
      </c>
      <c r="C90" s="771" t="s">
        <v>446</v>
      </c>
      <c r="D90" s="771" t="s">
        <v>476</v>
      </c>
      <c r="E90" s="772">
        <v>0</v>
      </c>
      <c r="F90" s="770">
        <f>VLOOKUP(A90,Sheet3!A:F,6,0)</f>
        <v>2836</v>
      </c>
      <c r="G90" s="770">
        <f>VLOOKUP(A90,Sheet3!A:E,5,0)</f>
        <v>0</v>
      </c>
      <c r="H90" s="770">
        <f>VLOOKUP(A90,Sheet3!A:C,3,0)</f>
        <v>0</v>
      </c>
      <c r="I90" s="769">
        <f t="shared" si="4"/>
        <v>2836</v>
      </c>
    </row>
    <row r="91" spans="1:9" ht="13.5" thickBot="1" x14ac:dyDescent="0.25">
      <c r="A91" s="768" t="s">
        <v>483</v>
      </c>
      <c r="B91" s="768" t="s">
        <v>482</v>
      </c>
      <c r="C91" s="768" t="s">
        <v>446</v>
      </c>
      <c r="D91" s="768" t="s">
        <v>476</v>
      </c>
      <c r="E91" s="769">
        <v>0</v>
      </c>
      <c r="F91" s="770">
        <f>VLOOKUP(A91,Sheet3!A:F,6,0)</f>
        <v>1452</v>
      </c>
      <c r="G91" s="770">
        <f>VLOOKUP(A91,Sheet3!A:E,5,0)</f>
        <v>0</v>
      </c>
      <c r="H91" s="770">
        <f>VLOOKUP(A91,Sheet3!A:C,3,0)</f>
        <v>0</v>
      </c>
      <c r="I91" s="769">
        <f t="shared" si="4"/>
        <v>1452</v>
      </c>
    </row>
    <row r="92" spans="1:9" ht="13.5" thickBot="1" x14ac:dyDescent="0.25">
      <c r="A92" s="768" t="s">
        <v>489</v>
      </c>
      <c r="B92" s="768" t="s">
        <v>488</v>
      </c>
      <c r="C92" s="768" t="s">
        <v>446</v>
      </c>
      <c r="D92" s="768" t="s">
        <v>476</v>
      </c>
      <c r="E92" s="769">
        <v>0</v>
      </c>
      <c r="F92" s="770">
        <f>VLOOKUP(A92,Sheet3!A:F,6,0)</f>
        <v>3000</v>
      </c>
      <c r="G92" s="770">
        <f>VLOOKUP(A92,Sheet3!A:E,5,0)</f>
        <v>0</v>
      </c>
      <c r="H92" s="770">
        <f>VLOOKUP(A92,Sheet3!A:C,3,0)</f>
        <v>0</v>
      </c>
      <c r="I92" s="769">
        <f t="shared" si="4"/>
        <v>3000</v>
      </c>
    </row>
    <row r="93" spans="1:9" ht="13.5" thickBot="1" x14ac:dyDescent="0.25">
      <c r="A93" s="771" t="s">
        <v>492</v>
      </c>
      <c r="B93" s="771" t="s">
        <v>491</v>
      </c>
      <c r="C93" s="771" t="s">
        <v>446</v>
      </c>
      <c r="D93" s="771" t="s">
        <v>476</v>
      </c>
      <c r="E93" s="772">
        <v>0</v>
      </c>
      <c r="F93" s="770">
        <f>VLOOKUP(A93,Sheet3!A:F,6,0)</f>
        <v>1994</v>
      </c>
      <c r="G93" s="770">
        <f>VLOOKUP(A93,Sheet3!A:E,5,0)</f>
        <v>0</v>
      </c>
      <c r="H93" s="770">
        <f>VLOOKUP(A93,Sheet3!A:C,3,0)</f>
        <v>0</v>
      </c>
      <c r="I93" s="769">
        <f t="shared" si="4"/>
        <v>1994</v>
      </c>
    </row>
    <row r="94" spans="1:9" ht="13.5" thickBot="1" x14ac:dyDescent="0.25">
      <c r="A94" s="771" t="s">
        <v>495</v>
      </c>
      <c r="B94" s="771" t="s">
        <v>494</v>
      </c>
      <c r="C94" s="771" t="s">
        <v>446</v>
      </c>
      <c r="D94" s="771" t="s">
        <v>476</v>
      </c>
      <c r="E94" s="772">
        <v>0</v>
      </c>
      <c r="F94" s="770">
        <f>VLOOKUP(A94,Sheet3!A:F,6,0)</f>
        <v>1800</v>
      </c>
      <c r="G94" s="770">
        <f>VLOOKUP(A94,Sheet3!A:E,5,0)</f>
        <v>0</v>
      </c>
      <c r="H94" s="770">
        <f>VLOOKUP(A94,Sheet3!A:C,3,0)</f>
        <v>0</v>
      </c>
      <c r="I94" s="769">
        <f t="shared" si="4"/>
        <v>1800</v>
      </c>
    </row>
    <row r="95" spans="1:9" ht="13.5" thickBot="1" x14ac:dyDescent="0.25">
      <c r="A95" s="771" t="s">
        <v>498</v>
      </c>
      <c r="B95" s="771" t="s">
        <v>497</v>
      </c>
      <c r="C95" s="771" t="s">
        <v>446</v>
      </c>
      <c r="D95" s="771" t="s">
        <v>476</v>
      </c>
      <c r="E95" s="772">
        <v>0</v>
      </c>
      <c r="F95" s="770">
        <f>VLOOKUP(A95,Sheet3!A:F,6,0)</f>
        <v>1192</v>
      </c>
      <c r="G95" s="770">
        <f>VLOOKUP(A95,Sheet3!A:E,5,0)</f>
        <v>470.31</v>
      </c>
      <c r="H95" s="770">
        <f>VLOOKUP(A95,Sheet3!A:C,3,0)</f>
        <v>0</v>
      </c>
      <c r="I95" s="769">
        <f t="shared" si="4"/>
        <v>721.69</v>
      </c>
    </row>
    <row r="96" spans="1:9" ht="13.5" thickBot="1" x14ac:dyDescent="0.25">
      <c r="A96" s="768" t="s">
        <v>499</v>
      </c>
      <c r="B96" s="768" t="s">
        <v>500</v>
      </c>
      <c r="C96" s="768" t="s">
        <v>446</v>
      </c>
      <c r="D96" s="768" t="s">
        <v>501</v>
      </c>
      <c r="E96" s="769">
        <v>0</v>
      </c>
      <c r="F96" s="770">
        <f>VLOOKUP(A96,Sheet3!A:F,6,0)</f>
        <v>200</v>
      </c>
      <c r="G96" s="770">
        <f>VLOOKUP(A96,Sheet3!A:E,5,0)</f>
        <v>0</v>
      </c>
      <c r="H96" s="770">
        <f>VLOOKUP(A96,Sheet3!A:C,3,0)</f>
        <v>0</v>
      </c>
      <c r="I96" s="769">
        <f t="shared" si="4"/>
        <v>200</v>
      </c>
    </row>
    <row r="97" spans="1:9" ht="13.5" thickBot="1" x14ac:dyDescent="0.25">
      <c r="A97" s="771" t="s">
        <v>504</v>
      </c>
      <c r="B97" s="771" t="s">
        <v>503</v>
      </c>
      <c r="C97" s="771" t="s">
        <v>446</v>
      </c>
      <c r="D97" s="771" t="s">
        <v>501</v>
      </c>
      <c r="E97" s="772">
        <v>0</v>
      </c>
      <c r="F97" s="770">
        <f>VLOOKUP(A97,Sheet3!A:F,6,0)</f>
        <v>3000</v>
      </c>
      <c r="G97" s="770">
        <f>VLOOKUP(A97,Sheet3!A:E,5,0)</f>
        <v>0</v>
      </c>
      <c r="H97" s="770">
        <f>VLOOKUP(A97,Sheet3!A:C,3,0)</f>
        <v>0</v>
      </c>
      <c r="I97" s="769">
        <f t="shared" si="4"/>
        <v>3000</v>
      </c>
    </row>
    <row r="98" spans="1:9" ht="13.5" thickBot="1" x14ac:dyDescent="0.25">
      <c r="A98" s="771" t="s">
        <v>507</v>
      </c>
      <c r="B98" s="771" t="s">
        <v>506</v>
      </c>
      <c r="C98" s="771" t="s">
        <v>446</v>
      </c>
      <c r="D98" s="771" t="s">
        <v>501</v>
      </c>
      <c r="E98" s="772">
        <v>0</v>
      </c>
      <c r="F98" s="770">
        <f>VLOOKUP(A98,Sheet3!A:F,6,0)</f>
        <v>4008</v>
      </c>
      <c r="G98" s="770">
        <f>VLOOKUP(A98,Sheet3!A:E,5,0)</f>
        <v>0</v>
      </c>
      <c r="H98" s="770">
        <f>VLOOKUP(A98,Sheet3!A:C,3,0)</f>
        <v>0</v>
      </c>
      <c r="I98" s="769">
        <f t="shared" si="4"/>
        <v>4008</v>
      </c>
    </row>
    <row r="99" spans="1:9" ht="13.5" thickBot="1" x14ac:dyDescent="0.25">
      <c r="A99" s="768" t="s">
        <v>510</v>
      </c>
      <c r="B99" s="768" t="s">
        <v>509</v>
      </c>
      <c r="C99" s="768" t="s">
        <v>446</v>
      </c>
      <c r="D99" s="768" t="s">
        <v>501</v>
      </c>
      <c r="E99" s="769">
        <v>0</v>
      </c>
      <c r="F99" s="770">
        <f>VLOOKUP(A99,Sheet3!A:F,6,0)</f>
        <v>1800</v>
      </c>
      <c r="G99" s="770">
        <f>VLOOKUP(A99,Sheet3!A:E,5,0)</f>
        <v>0</v>
      </c>
      <c r="H99" s="770">
        <f>VLOOKUP(A99,Sheet3!A:C,3,0)</f>
        <v>0</v>
      </c>
      <c r="I99" s="769">
        <f t="shared" si="4"/>
        <v>1800</v>
      </c>
    </row>
    <row r="100" spans="1:9" ht="13.5" thickBot="1" x14ac:dyDescent="0.25">
      <c r="A100" s="768" t="s">
        <v>513</v>
      </c>
      <c r="B100" s="768" t="s">
        <v>512</v>
      </c>
      <c r="C100" s="768" t="s">
        <v>446</v>
      </c>
      <c r="D100" s="768" t="s">
        <v>501</v>
      </c>
      <c r="E100" s="769">
        <v>0</v>
      </c>
      <c r="F100" s="770">
        <f>VLOOKUP(A100,Sheet3!A:F,6,0)</f>
        <v>3200</v>
      </c>
      <c r="G100" s="770">
        <f>VLOOKUP(A100,Sheet3!A:E,5,0)</f>
        <v>0</v>
      </c>
      <c r="H100" s="770">
        <f>VLOOKUP(A100,Sheet3!A:C,3,0)</f>
        <v>0</v>
      </c>
      <c r="I100" s="769">
        <f t="shared" si="4"/>
        <v>3200</v>
      </c>
    </row>
    <row r="101" spans="1:9" ht="13.5" thickBot="1" x14ac:dyDescent="0.25">
      <c r="A101" s="771" t="s">
        <v>516</v>
      </c>
      <c r="B101" s="771" t="s">
        <v>515</v>
      </c>
      <c r="C101" s="771" t="s">
        <v>446</v>
      </c>
      <c r="D101" s="771" t="s">
        <v>501</v>
      </c>
      <c r="E101" s="772">
        <v>0</v>
      </c>
      <c r="F101" s="770">
        <f>VLOOKUP(A101,Sheet3!A:F,6,0)</f>
        <v>2</v>
      </c>
      <c r="G101" s="770">
        <f>VLOOKUP(A101,Sheet3!A:E,5,0)</f>
        <v>0</v>
      </c>
      <c r="H101" s="770">
        <f>VLOOKUP(A101,Sheet3!A:C,3,0)</f>
        <v>0</v>
      </c>
      <c r="I101" s="769">
        <f t="shared" si="4"/>
        <v>2</v>
      </c>
    </row>
    <row r="102" spans="1:9" ht="13.5" thickBot="1" x14ac:dyDescent="0.25">
      <c r="A102" s="771" t="s">
        <v>519</v>
      </c>
      <c r="B102" s="771" t="s">
        <v>518</v>
      </c>
      <c r="C102" s="771" t="s">
        <v>446</v>
      </c>
      <c r="D102" s="771" t="s">
        <v>501</v>
      </c>
      <c r="E102" s="772">
        <v>0</v>
      </c>
      <c r="F102" s="770">
        <f>VLOOKUP(A102,Sheet3!A:F,6,0)</f>
        <v>3535</v>
      </c>
      <c r="G102" s="770">
        <f>VLOOKUP(A102,Sheet3!A:E,5,0)</f>
        <v>0</v>
      </c>
      <c r="H102" s="770">
        <f>VLOOKUP(A102,Sheet3!A:C,3,0)</f>
        <v>0</v>
      </c>
      <c r="I102" s="769">
        <f t="shared" si="4"/>
        <v>3535</v>
      </c>
    </row>
    <row r="103" spans="1:9" ht="13.5" thickBot="1" x14ac:dyDescent="0.25">
      <c r="A103" s="771" t="s">
        <v>523</v>
      </c>
      <c r="B103" s="771" t="s">
        <v>521</v>
      </c>
      <c r="C103" s="771" t="s">
        <v>446</v>
      </c>
      <c r="D103" s="771" t="s">
        <v>522</v>
      </c>
      <c r="E103" s="772">
        <v>0</v>
      </c>
      <c r="F103" s="770">
        <f>VLOOKUP(A103,Sheet3!A:F,6,0)</f>
        <v>2687</v>
      </c>
      <c r="G103" s="770">
        <f>VLOOKUP(A103,Sheet3!A:E,5,0)</f>
        <v>700</v>
      </c>
      <c r="H103" s="770">
        <f>VLOOKUP(A103,Sheet3!A:C,3,0)</f>
        <v>0</v>
      </c>
      <c r="I103" s="769">
        <f t="shared" si="4"/>
        <v>1987</v>
      </c>
    </row>
    <row r="104" spans="1:9" ht="13.5" thickBot="1" x14ac:dyDescent="0.25">
      <c r="A104" s="768" t="s">
        <v>526</v>
      </c>
      <c r="B104" s="768" t="s">
        <v>525</v>
      </c>
      <c r="C104" s="768" t="s">
        <v>446</v>
      </c>
      <c r="D104" s="768" t="s">
        <v>522</v>
      </c>
      <c r="E104" s="769">
        <v>0</v>
      </c>
      <c r="F104" s="770">
        <f>VLOOKUP(A104,Sheet3!A:F,6,0)</f>
        <v>615</v>
      </c>
      <c r="G104" s="770">
        <f>VLOOKUP(A104,Sheet3!A:E,5,0)</f>
        <v>0</v>
      </c>
      <c r="H104" s="770">
        <f>VLOOKUP(A104,Sheet3!A:C,3,0)</f>
        <v>0</v>
      </c>
      <c r="I104" s="769">
        <f t="shared" si="4"/>
        <v>615</v>
      </c>
    </row>
    <row r="105" spans="1:9" ht="13.5" thickBot="1" x14ac:dyDescent="0.25">
      <c r="A105" s="768" t="s">
        <v>529</v>
      </c>
      <c r="B105" s="768" t="s">
        <v>528</v>
      </c>
      <c r="C105" s="768" t="s">
        <v>446</v>
      </c>
      <c r="D105" s="768" t="s">
        <v>522</v>
      </c>
      <c r="E105" s="769">
        <v>0</v>
      </c>
      <c r="F105" s="770">
        <f>VLOOKUP(A105,Sheet3!A:F,6,0)</f>
        <v>3323</v>
      </c>
      <c r="G105" s="770">
        <f>VLOOKUP(A105,Sheet3!A:E,5,0)</f>
        <v>0</v>
      </c>
      <c r="H105" s="770">
        <f>VLOOKUP(A105,Sheet3!A:C,3,0)</f>
        <v>0</v>
      </c>
      <c r="I105" s="769">
        <f t="shared" si="4"/>
        <v>3323</v>
      </c>
    </row>
    <row r="106" spans="1:9" ht="13.5" thickBot="1" x14ac:dyDescent="0.25">
      <c r="A106" s="771" t="s">
        <v>533</v>
      </c>
      <c r="B106" s="771" t="s">
        <v>531</v>
      </c>
      <c r="C106" s="771" t="s">
        <v>446</v>
      </c>
      <c r="D106" s="771" t="s">
        <v>532</v>
      </c>
      <c r="E106" s="772">
        <v>0</v>
      </c>
      <c r="F106" s="770">
        <f>VLOOKUP(A106,Sheet3!A:F,6,0)</f>
        <v>3533</v>
      </c>
      <c r="G106" s="770">
        <f>VLOOKUP(A106,Sheet3!A:E,5,0)</f>
        <v>3532.49</v>
      </c>
      <c r="H106" s="770">
        <f>VLOOKUP(A106,Sheet3!A:C,3,0)</f>
        <v>0</v>
      </c>
      <c r="I106" s="769">
        <f t="shared" si="4"/>
        <v>0.51000000000021828</v>
      </c>
    </row>
    <row r="107" spans="1:9" ht="13.5" thickBot="1" x14ac:dyDescent="0.25">
      <c r="A107" s="771" t="s">
        <v>536</v>
      </c>
      <c r="B107" s="771" t="s">
        <v>535</v>
      </c>
      <c r="C107" s="771" t="s">
        <v>446</v>
      </c>
      <c r="D107" s="771" t="s">
        <v>532</v>
      </c>
      <c r="E107" s="772">
        <v>0</v>
      </c>
      <c r="F107" s="770">
        <f>VLOOKUP(A107,Sheet3!A:F,6,0)</f>
        <v>326</v>
      </c>
      <c r="G107" s="770">
        <f>VLOOKUP(A107,Sheet3!A:E,5,0)</f>
        <v>42</v>
      </c>
      <c r="H107" s="770">
        <f>VLOOKUP(A107,Sheet3!A:C,3,0)</f>
        <v>0</v>
      </c>
      <c r="I107" s="769">
        <f t="shared" si="4"/>
        <v>284</v>
      </c>
    </row>
    <row r="108" spans="1:9" ht="13.5" thickBot="1" x14ac:dyDescent="0.25">
      <c r="A108" s="771" t="s">
        <v>544</v>
      </c>
      <c r="B108" s="771" t="s">
        <v>543</v>
      </c>
      <c r="C108" s="771" t="s">
        <v>446</v>
      </c>
      <c r="D108" s="771" t="s">
        <v>532</v>
      </c>
      <c r="E108" s="772">
        <v>0</v>
      </c>
      <c r="F108" s="770">
        <f>VLOOKUP(A108,Sheet3!A:F,6,0)</f>
        <v>241</v>
      </c>
      <c r="G108" s="770">
        <f>VLOOKUP(A108,Sheet3!A:E,5,0)</f>
        <v>232</v>
      </c>
      <c r="H108" s="770">
        <f>VLOOKUP(A108,Sheet3!A:C,3,0)</f>
        <v>0</v>
      </c>
      <c r="I108" s="769">
        <f t="shared" si="4"/>
        <v>9</v>
      </c>
    </row>
    <row r="109" spans="1:9" ht="13.5" thickBot="1" x14ac:dyDescent="0.25">
      <c r="A109" s="768" t="s">
        <v>547</v>
      </c>
      <c r="B109" s="768" t="s">
        <v>546</v>
      </c>
      <c r="C109" s="768" t="s">
        <v>446</v>
      </c>
      <c r="D109" s="768" t="s">
        <v>532</v>
      </c>
      <c r="E109" s="769">
        <v>0</v>
      </c>
      <c r="F109" s="770">
        <f>VLOOKUP(A109,Sheet3!A:F,6,0)</f>
        <v>2223</v>
      </c>
      <c r="G109" s="770">
        <f>VLOOKUP(A109,Sheet3!A:E,5,0)</f>
        <v>0</v>
      </c>
      <c r="H109" s="770">
        <f>VLOOKUP(A109,Sheet3!A:C,3,0)</f>
        <v>0</v>
      </c>
      <c r="I109" s="769">
        <f t="shared" si="4"/>
        <v>2223</v>
      </c>
    </row>
    <row r="110" spans="1:9" ht="13.5" thickBot="1" x14ac:dyDescent="0.25">
      <c r="A110" s="771" t="s">
        <v>550</v>
      </c>
      <c r="B110" s="771" t="s">
        <v>549</v>
      </c>
      <c r="C110" s="771" t="s">
        <v>446</v>
      </c>
      <c r="D110" s="771" t="s">
        <v>262</v>
      </c>
      <c r="E110" s="772">
        <v>0</v>
      </c>
      <c r="F110" s="770">
        <f>VLOOKUP(A110,Sheet3!A:F,6,0)</f>
        <v>6015</v>
      </c>
      <c r="G110" s="770">
        <f>VLOOKUP(A110,Sheet3!A:E,5,0)</f>
        <v>2031.99</v>
      </c>
      <c r="H110" s="770">
        <f>VLOOKUP(A110,Sheet3!A:C,3,0)</f>
        <v>0</v>
      </c>
      <c r="I110" s="769">
        <f t="shared" si="4"/>
        <v>3983.01</v>
      </c>
    </row>
    <row r="111" spans="1:9" ht="13.5" thickBot="1" x14ac:dyDescent="0.25">
      <c r="A111" s="771" t="s">
        <v>567</v>
      </c>
      <c r="B111" s="771" t="s">
        <v>565</v>
      </c>
      <c r="C111" s="771" t="s">
        <v>446</v>
      </c>
      <c r="D111" s="771" t="s">
        <v>566</v>
      </c>
      <c r="E111" s="772">
        <v>0</v>
      </c>
      <c r="F111" s="770">
        <f>VLOOKUP(A111,Sheet3!A:F,6,0)</f>
        <v>10375</v>
      </c>
      <c r="G111" s="770">
        <f>VLOOKUP(A111,Sheet3!A:E,5,0)</f>
        <v>3091.88</v>
      </c>
      <c r="H111" s="770">
        <f>VLOOKUP(A111,Sheet3!A:C,3,0)</f>
        <v>0</v>
      </c>
      <c r="I111" s="769">
        <f t="shared" si="4"/>
        <v>7283.12</v>
      </c>
    </row>
    <row r="112" spans="1:9" ht="13.5" thickBot="1" x14ac:dyDescent="0.25">
      <c r="A112" s="771" t="s">
        <v>570</v>
      </c>
      <c r="B112" s="771" t="s">
        <v>569</v>
      </c>
      <c r="C112" s="771" t="s">
        <v>446</v>
      </c>
      <c r="D112" s="771" t="s">
        <v>566</v>
      </c>
      <c r="E112" s="772">
        <v>0</v>
      </c>
      <c r="F112" s="770">
        <f>VLOOKUP(A112,Sheet3!A:F,6,0)</f>
        <v>4700</v>
      </c>
      <c r="G112" s="770">
        <f>VLOOKUP(A112,Sheet3!A:E,5,0)</f>
        <v>0</v>
      </c>
      <c r="H112" s="770">
        <f>VLOOKUP(A112,Sheet3!A:C,3,0)</f>
        <v>0</v>
      </c>
      <c r="I112" s="769">
        <f t="shared" si="4"/>
        <v>4700</v>
      </c>
    </row>
    <row r="113" spans="1:9" ht="13.5" thickBot="1" x14ac:dyDescent="0.25">
      <c r="A113" s="768" t="s">
        <v>573</v>
      </c>
      <c r="B113" s="768" t="s">
        <v>572</v>
      </c>
      <c r="C113" s="768" t="s">
        <v>446</v>
      </c>
      <c r="D113" s="768" t="s">
        <v>566</v>
      </c>
      <c r="E113" s="769">
        <v>0</v>
      </c>
      <c r="F113" s="770">
        <f>VLOOKUP(A113,Sheet3!A:F,6,0)</f>
        <v>7175</v>
      </c>
      <c r="G113" s="770">
        <f>VLOOKUP(A113,Sheet3!A:E,5,0)</f>
        <v>500</v>
      </c>
      <c r="H113" s="770">
        <f>VLOOKUP(A113,Sheet3!A:C,3,0)</f>
        <v>0</v>
      </c>
      <c r="I113" s="769">
        <f t="shared" si="4"/>
        <v>6675</v>
      </c>
    </row>
    <row r="114" spans="1:9" ht="13.5" thickBot="1" x14ac:dyDescent="0.25">
      <c r="A114" s="768" t="s">
        <v>576</v>
      </c>
      <c r="B114" s="768" t="s">
        <v>575</v>
      </c>
      <c r="C114" s="768" t="s">
        <v>446</v>
      </c>
      <c r="D114" s="768" t="s">
        <v>566</v>
      </c>
      <c r="E114" s="769">
        <v>0</v>
      </c>
      <c r="F114" s="770">
        <f>VLOOKUP(A114,Sheet3!A:F,6,0)</f>
        <v>2974</v>
      </c>
      <c r="G114" s="770">
        <f>VLOOKUP(A114,Sheet3!A:E,5,0)</f>
        <v>84.82</v>
      </c>
      <c r="H114" s="770">
        <f>VLOOKUP(A114,Sheet3!A:C,3,0)</f>
        <v>0</v>
      </c>
      <c r="I114" s="769">
        <f t="shared" si="4"/>
        <v>2889.18</v>
      </c>
    </row>
    <row r="115" spans="1:9" ht="13.5" thickBot="1" x14ac:dyDescent="0.25">
      <c r="A115" s="771" t="s">
        <v>580</v>
      </c>
      <c r="B115" s="771" t="s">
        <v>578</v>
      </c>
      <c r="C115" s="771" t="s">
        <v>446</v>
      </c>
      <c r="D115" s="771" t="s">
        <v>579</v>
      </c>
      <c r="E115" s="772">
        <v>0</v>
      </c>
      <c r="F115" s="770">
        <f>VLOOKUP(A115,Sheet3!A:F,6,0)</f>
        <v>0</v>
      </c>
      <c r="G115" s="770">
        <f>VLOOKUP(A115,Sheet3!A:E,5,0)</f>
        <v>0</v>
      </c>
      <c r="H115" s="770">
        <f>VLOOKUP(A115,Sheet3!A:C,3,0)</f>
        <v>0</v>
      </c>
      <c r="I115" s="769">
        <f t="shared" si="4"/>
        <v>0</v>
      </c>
    </row>
    <row r="116" spans="1:9" ht="13.5" thickBot="1" x14ac:dyDescent="0.25">
      <c r="A116" s="771" t="s">
        <v>583</v>
      </c>
      <c r="B116" s="771" t="s">
        <v>582</v>
      </c>
      <c r="C116" s="771" t="s">
        <v>446</v>
      </c>
      <c r="D116" s="771" t="s">
        <v>579</v>
      </c>
      <c r="E116" s="772">
        <v>0</v>
      </c>
      <c r="F116" s="770">
        <f>VLOOKUP(A116,Sheet3!A:F,6,0)</f>
        <v>800</v>
      </c>
      <c r="G116" s="770">
        <f>VLOOKUP(A116,Sheet3!A:E,5,0)</f>
        <v>757.3</v>
      </c>
      <c r="H116" s="770">
        <f>VLOOKUP(A116,Sheet3!A:C,3,0)</f>
        <v>0</v>
      </c>
      <c r="I116" s="769">
        <f t="shared" si="4"/>
        <v>42.700000000000045</v>
      </c>
    </row>
    <row r="117" spans="1:9" ht="13.5" thickBot="1" x14ac:dyDescent="0.25">
      <c r="A117" s="771" t="s">
        <v>586</v>
      </c>
      <c r="B117" s="771" t="s">
        <v>585</v>
      </c>
      <c r="C117" s="771" t="s">
        <v>446</v>
      </c>
      <c r="D117" s="771" t="s">
        <v>579</v>
      </c>
      <c r="E117" s="772">
        <v>0</v>
      </c>
      <c r="F117" s="770">
        <f>VLOOKUP(A117,Sheet3!A:F,6,0)</f>
        <v>1600</v>
      </c>
      <c r="G117" s="770">
        <f>VLOOKUP(A117,Sheet3!A:E,5,0)</f>
        <v>0</v>
      </c>
      <c r="H117" s="770">
        <f>VLOOKUP(A117,Sheet3!A:C,3,0)</f>
        <v>0</v>
      </c>
      <c r="I117" s="769">
        <f t="shared" si="4"/>
        <v>1600</v>
      </c>
    </row>
    <row r="118" spans="1:9" ht="13.5" thickBot="1" x14ac:dyDescent="0.25">
      <c r="A118" s="768" t="s">
        <v>589</v>
      </c>
      <c r="B118" s="768" t="s">
        <v>588</v>
      </c>
      <c r="C118" s="768" t="s">
        <v>446</v>
      </c>
      <c r="D118" s="768" t="s">
        <v>579</v>
      </c>
      <c r="E118" s="769">
        <v>0</v>
      </c>
      <c r="F118" s="770">
        <f>VLOOKUP(A118,Sheet3!A:F,6,0)</f>
        <v>1400</v>
      </c>
      <c r="G118" s="770">
        <f>VLOOKUP(A118,Sheet3!A:E,5,0)</f>
        <v>0</v>
      </c>
      <c r="H118" s="770">
        <f>VLOOKUP(A118,Sheet3!A:C,3,0)</f>
        <v>0</v>
      </c>
      <c r="I118" s="769">
        <f t="shared" si="4"/>
        <v>1400</v>
      </c>
    </row>
    <row r="119" spans="1:9" ht="13.5" thickBot="1" x14ac:dyDescent="0.25">
      <c r="A119" s="768" t="s">
        <v>590</v>
      </c>
      <c r="B119" s="768" t="s">
        <v>591</v>
      </c>
      <c r="C119" s="768" t="s">
        <v>446</v>
      </c>
      <c r="D119" s="768" t="s">
        <v>579</v>
      </c>
      <c r="E119" s="769">
        <v>0</v>
      </c>
      <c r="F119" s="770">
        <f>VLOOKUP(A119,Sheet3!A:F,6,0)</f>
        <v>280</v>
      </c>
      <c r="G119" s="770">
        <f>VLOOKUP(A119,Sheet3!A:E,5,0)</f>
        <v>0</v>
      </c>
      <c r="H119" s="770">
        <f>VLOOKUP(A119,Sheet3!A:C,3,0)</f>
        <v>0</v>
      </c>
      <c r="I119" s="769">
        <f t="shared" si="4"/>
        <v>280</v>
      </c>
    </row>
    <row r="120" spans="1:9" ht="13.5" thickBot="1" x14ac:dyDescent="0.25">
      <c r="A120" s="771" t="s">
        <v>594</v>
      </c>
      <c r="B120" s="771" t="s">
        <v>593</v>
      </c>
      <c r="C120" s="771" t="s">
        <v>446</v>
      </c>
      <c r="D120" s="771" t="s">
        <v>579</v>
      </c>
      <c r="E120" s="772">
        <v>0</v>
      </c>
      <c r="F120" s="770">
        <f>VLOOKUP(A120,Sheet3!A:F,6,0)</f>
        <v>4200</v>
      </c>
      <c r="G120" s="770">
        <f>VLOOKUP(A120,Sheet3!A:E,5,0)</f>
        <v>0</v>
      </c>
      <c r="H120" s="770">
        <f>VLOOKUP(A120,Sheet3!A:C,3,0)</f>
        <v>0</v>
      </c>
      <c r="I120" s="769">
        <f t="shared" si="4"/>
        <v>4200</v>
      </c>
    </row>
    <row r="121" spans="1:9" ht="13.5" thickBot="1" x14ac:dyDescent="0.25">
      <c r="A121" s="771" t="s">
        <v>597</v>
      </c>
      <c r="B121" s="771" t="s">
        <v>596</v>
      </c>
      <c r="C121" s="771" t="s">
        <v>446</v>
      </c>
      <c r="D121" s="771" t="s">
        <v>579</v>
      </c>
      <c r="E121" s="772">
        <v>0</v>
      </c>
      <c r="F121" s="770">
        <f>VLOOKUP(A121,Sheet3!A:F,6,0)</f>
        <v>6400</v>
      </c>
      <c r="G121" s="770">
        <f>VLOOKUP(A121,Sheet3!A:E,5,0)</f>
        <v>664.33</v>
      </c>
      <c r="H121" s="770">
        <f>VLOOKUP(A121,Sheet3!A:C,3,0)</f>
        <v>0</v>
      </c>
      <c r="I121" s="769">
        <f t="shared" si="4"/>
        <v>5735.67</v>
      </c>
    </row>
    <row r="122" spans="1:9" ht="13.5" thickBot="1" x14ac:dyDescent="0.25">
      <c r="A122" s="771" t="s">
        <v>600</v>
      </c>
      <c r="B122" s="771" t="s">
        <v>599</v>
      </c>
      <c r="C122" s="771" t="s">
        <v>446</v>
      </c>
      <c r="D122" s="771" t="s">
        <v>579</v>
      </c>
      <c r="E122" s="772">
        <v>0</v>
      </c>
      <c r="F122" s="770">
        <f>VLOOKUP(A122,Sheet3!A:F,6,0)</f>
        <v>3000</v>
      </c>
      <c r="G122" s="770">
        <f>VLOOKUP(A122,Sheet3!A:E,5,0)</f>
        <v>0</v>
      </c>
      <c r="H122" s="770">
        <f>VLOOKUP(A122,Sheet3!A:C,3,0)</f>
        <v>0</v>
      </c>
      <c r="I122" s="769">
        <f t="shared" si="4"/>
        <v>3000</v>
      </c>
    </row>
    <row r="123" spans="1:9" ht="13.5" thickBot="1" x14ac:dyDescent="0.25">
      <c r="A123" s="768" t="s">
        <v>603</v>
      </c>
      <c r="B123" s="768" t="s">
        <v>602</v>
      </c>
      <c r="C123" s="768" t="s">
        <v>446</v>
      </c>
      <c r="D123" s="768" t="s">
        <v>579</v>
      </c>
      <c r="E123" s="769">
        <v>0</v>
      </c>
      <c r="F123" s="770">
        <f>VLOOKUP(A123,Sheet3!A:F,6,0)</f>
        <v>1990</v>
      </c>
      <c r="G123" s="770">
        <f>VLOOKUP(A123,Sheet3!A:E,5,0)</f>
        <v>1345.37</v>
      </c>
      <c r="H123" s="770">
        <f>VLOOKUP(A123,Sheet3!A:C,3,0)</f>
        <v>0</v>
      </c>
      <c r="I123" s="769">
        <f t="shared" si="4"/>
        <v>644.63000000000011</v>
      </c>
    </row>
    <row r="124" spans="1:9" ht="13.5" thickBot="1" x14ac:dyDescent="0.25">
      <c r="A124" s="768" t="s">
        <v>606</v>
      </c>
      <c r="B124" s="768" t="s">
        <v>605</v>
      </c>
      <c r="C124" s="768" t="s">
        <v>446</v>
      </c>
      <c r="D124" s="768" t="s">
        <v>579</v>
      </c>
      <c r="E124" s="769">
        <v>0</v>
      </c>
      <c r="F124" s="770">
        <f>VLOOKUP(A124,Sheet3!A:F,6,0)</f>
        <v>4600</v>
      </c>
      <c r="G124" s="770">
        <f>VLOOKUP(A124,Sheet3!A:E,5,0)</f>
        <v>2745</v>
      </c>
      <c r="H124" s="770">
        <f>VLOOKUP(A124,Sheet3!A:C,3,0)</f>
        <v>0</v>
      </c>
      <c r="I124" s="769">
        <f t="shared" si="4"/>
        <v>1855</v>
      </c>
    </row>
    <row r="125" spans="1:9" ht="13.5" thickBot="1" x14ac:dyDescent="0.25">
      <c r="A125" s="771" t="s">
        <v>609</v>
      </c>
      <c r="B125" s="771" t="s">
        <v>608</v>
      </c>
      <c r="C125" s="771" t="s">
        <v>446</v>
      </c>
      <c r="D125" s="771" t="s">
        <v>579</v>
      </c>
      <c r="E125" s="772">
        <v>0</v>
      </c>
      <c r="F125" s="770">
        <f>VLOOKUP(A125,Sheet3!A:F,6,0)</f>
        <v>2600</v>
      </c>
      <c r="G125" s="770">
        <f>VLOOKUP(A125,Sheet3!A:E,5,0)</f>
        <v>0</v>
      </c>
      <c r="H125" s="770">
        <f>VLOOKUP(A125,Sheet3!A:C,3,0)</f>
        <v>0</v>
      </c>
      <c r="I125" s="769">
        <f t="shared" si="4"/>
        <v>2600</v>
      </c>
    </row>
    <row r="126" spans="1:9" ht="13.5" thickBot="1" x14ac:dyDescent="0.25">
      <c r="A126" s="771" t="s">
        <v>612</v>
      </c>
      <c r="B126" s="771" t="s">
        <v>611</v>
      </c>
      <c r="C126" s="771" t="s">
        <v>446</v>
      </c>
      <c r="D126" s="771" t="s">
        <v>611</v>
      </c>
      <c r="E126" s="772">
        <v>0</v>
      </c>
      <c r="F126" s="770">
        <f>VLOOKUP(A126,Sheet3!A:F,6,0)</f>
        <v>16964</v>
      </c>
      <c r="G126" s="770">
        <f>VLOOKUP(A126,Sheet3!A:E,5,0)</f>
        <v>1717.21</v>
      </c>
      <c r="H126" s="770">
        <f>VLOOKUP(A126,Sheet3!A:C,3,0)</f>
        <v>0</v>
      </c>
      <c r="I126" s="769">
        <f t="shared" si="4"/>
        <v>15246.79</v>
      </c>
    </row>
    <row r="127" spans="1:9" ht="13.5" thickBot="1" x14ac:dyDescent="0.25">
      <c r="A127" s="771"/>
      <c r="B127" s="771"/>
      <c r="C127" s="771"/>
      <c r="D127" s="771"/>
      <c r="E127" s="806">
        <f>SUM(E85:E126)</f>
        <v>0</v>
      </c>
      <c r="F127" s="806">
        <f t="shared" ref="F127:I127" si="5">SUM(F85:F126)</f>
        <v>134930</v>
      </c>
      <c r="G127" s="806">
        <f t="shared" si="5"/>
        <v>18464.879999999997</v>
      </c>
      <c r="H127" s="806">
        <f t="shared" si="5"/>
        <v>0</v>
      </c>
      <c r="I127" s="806">
        <f t="shared" si="5"/>
        <v>116465.12</v>
      </c>
    </row>
    <row r="128" spans="1:9" ht="13.5" thickBot="1" x14ac:dyDescent="0.25">
      <c r="A128" s="771"/>
      <c r="B128" s="771"/>
      <c r="C128" s="771"/>
      <c r="D128" s="883" t="s">
        <v>987</v>
      </c>
      <c r="E128" s="806">
        <f>E127+E84</f>
        <v>1035369</v>
      </c>
      <c r="F128" s="806">
        <f>F127+F84</f>
        <v>1189431</v>
      </c>
      <c r="G128" s="806">
        <f t="shared" ref="G128:I128" si="6">G127+G84</f>
        <v>928617.4</v>
      </c>
      <c r="H128" s="806">
        <f t="shared" si="6"/>
        <v>830.57</v>
      </c>
      <c r="I128" s="806">
        <f t="shared" si="6"/>
        <v>259973.95</v>
      </c>
    </row>
    <row r="129" spans="1:10" ht="13.5" thickBot="1" x14ac:dyDescent="0.25">
      <c r="A129" s="771"/>
      <c r="B129" s="771"/>
      <c r="C129" s="771"/>
      <c r="D129" s="771"/>
      <c r="E129" s="806"/>
      <c r="F129" s="806">
        <v>1189431</v>
      </c>
      <c r="G129" s="806"/>
      <c r="H129" s="806"/>
      <c r="I129" s="806"/>
    </row>
    <row r="130" spans="1:10" ht="13.5" thickBot="1" x14ac:dyDescent="0.25">
      <c r="A130" s="771" t="s">
        <v>947</v>
      </c>
      <c r="B130" s="771" t="s">
        <v>618</v>
      </c>
      <c r="C130" s="771" t="s">
        <v>951</v>
      </c>
      <c r="D130" s="771" t="s">
        <v>620</v>
      </c>
      <c r="E130" s="772">
        <v>0</v>
      </c>
      <c r="F130" s="770">
        <f>VLOOKUP(A130,Sheet3!A:F,6,0)</f>
        <v>11686</v>
      </c>
      <c r="G130" s="770">
        <f>VLOOKUP(A130,Sheet3!A:E,5,0)</f>
        <v>12291.36</v>
      </c>
      <c r="H130" s="770">
        <f>VLOOKUP(A130,Sheet3!A:C,3,0)</f>
        <v>0</v>
      </c>
      <c r="I130" s="769">
        <f t="shared" si="1"/>
        <v>-605.36000000000058</v>
      </c>
      <c r="J130" s="793"/>
    </row>
    <row r="131" spans="1:10" ht="13.5" thickBot="1" x14ac:dyDescent="0.25">
      <c r="A131" s="771" t="s">
        <v>219</v>
      </c>
      <c r="B131" s="771" t="s">
        <v>618</v>
      </c>
      <c r="C131" s="771" t="s">
        <v>621</v>
      </c>
      <c r="D131" s="771" t="s">
        <v>620</v>
      </c>
      <c r="E131" s="772">
        <v>10000</v>
      </c>
      <c r="F131" s="770">
        <f>VLOOKUP(A131,Sheet3!A:F,6,0)</f>
        <v>1500</v>
      </c>
      <c r="G131" s="770">
        <f>VLOOKUP(A131,Sheet3!A:E,5,0)</f>
        <v>183.64</v>
      </c>
      <c r="H131" s="770">
        <f>VLOOKUP(A131,Sheet3!A:C,3,0)</f>
        <v>0</v>
      </c>
      <c r="I131" s="769">
        <f t="shared" si="1"/>
        <v>1316.3600000000001</v>
      </c>
      <c r="J131" s="793"/>
    </row>
    <row r="132" spans="1:10" ht="13.5" thickBot="1" x14ac:dyDescent="0.25">
      <c r="A132" s="768" t="s">
        <v>222</v>
      </c>
      <c r="B132" s="768" t="s">
        <v>618</v>
      </c>
      <c r="C132" s="768" t="s">
        <v>619</v>
      </c>
      <c r="D132" s="768" t="s">
        <v>620</v>
      </c>
      <c r="E132" s="769">
        <v>17453</v>
      </c>
      <c r="F132" s="770">
        <f>VLOOKUP(A132,Sheet3!A:F,6,0)</f>
        <v>17453</v>
      </c>
      <c r="G132" s="770">
        <f>VLOOKUP(A132,Sheet3!A:E,5,0)</f>
        <v>15579</v>
      </c>
      <c r="H132" s="770">
        <f>VLOOKUP(A132,Sheet3!A:C,3,0)</f>
        <v>0</v>
      </c>
      <c r="I132" s="769">
        <f t="shared" si="1"/>
        <v>1874</v>
      </c>
      <c r="J132" s="793"/>
    </row>
    <row r="133" spans="1:10" ht="13.5" thickBot="1" x14ac:dyDescent="0.25">
      <c r="A133" s="768" t="s">
        <v>982</v>
      </c>
      <c r="B133" s="768" t="s">
        <v>892</v>
      </c>
      <c r="C133" s="768">
        <v>0</v>
      </c>
      <c r="D133" s="768" t="s">
        <v>620</v>
      </c>
      <c r="E133" s="772">
        <v>0</v>
      </c>
      <c r="F133" s="770">
        <f>VLOOKUP(A133,Sheet3!A:F,6,0)</f>
        <v>848</v>
      </c>
      <c r="G133" s="770">
        <f>VLOOKUP(A133,Sheet3!A:E,5,0)</f>
        <v>897.93</v>
      </c>
      <c r="H133" s="770">
        <f>VLOOKUP(A133,Sheet3!A:C,3,0)</f>
        <v>0</v>
      </c>
      <c r="I133" s="769">
        <f t="shared" ref="I133:I155" si="7">F133-G133-H133</f>
        <v>-49.92999999999995</v>
      </c>
      <c r="J133" s="793"/>
    </row>
    <row r="134" spans="1:10" ht="13.5" thickBot="1" x14ac:dyDescent="0.25">
      <c r="A134" s="768" t="s">
        <v>983</v>
      </c>
      <c r="B134" s="768" t="s">
        <v>892</v>
      </c>
      <c r="C134" s="768">
        <v>0</v>
      </c>
      <c r="D134" s="768" t="s">
        <v>620</v>
      </c>
      <c r="E134" s="772">
        <v>0</v>
      </c>
      <c r="F134" s="770">
        <f>VLOOKUP(A134,Sheet3!A:F,6,0)</f>
        <v>182</v>
      </c>
      <c r="G134" s="770">
        <f>VLOOKUP(A134,Sheet3!A:E,5,0)</f>
        <v>176.17</v>
      </c>
      <c r="H134" s="770">
        <f>VLOOKUP(A134,Sheet3!A:C,3,0)</f>
        <v>0</v>
      </c>
      <c r="I134" s="769">
        <f t="shared" si="7"/>
        <v>5.8300000000000125</v>
      </c>
      <c r="J134" s="793"/>
    </row>
    <row r="135" spans="1:10" ht="13.5" thickBot="1" x14ac:dyDescent="0.25">
      <c r="A135" s="768" t="s">
        <v>984</v>
      </c>
      <c r="B135" s="768" t="s">
        <v>892</v>
      </c>
      <c r="C135" s="768">
        <v>0</v>
      </c>
      <c r="D135" s="768" t="s">
        <v>620</v>
      </c>
      <c r="E135" s="772">
        <v>0</v>
      </c>
      <c r="F135" s="770">
        <f>VLOOKUP(A135,Sheet3!A:F,6,0)</f>
        <v>127</v>
      </c>
      <c r="G135" s="770">
        <f>VLOOKUP(A135,Sheet3!A:E,5,0)</f>
        <v>133.05000000000001</v>
      </c>
      <c r="H135" s="770">
        <f>VLOOKUP(A135,Sheet3!A:C,3,0)</f>
        <v>0</v>
      </c>
      <c r="I135" s="769">
        <f t="shared" si="7"/>
        <v>-6.0500000000000114</v>
      </c>
      <c r="J135" s="793"/>
    </row>
    <row r="136" spans="1:10" ht="13.5" thickBot="1" x14ac:dyDescent="0.25">
      <c r="A136" s="768" t="s">
        <v>985</v>
      </c>
      <c r="B136" s="768" t="s">
        <v>892</v>
      </c>
      <c r="C136" s="768">
        <v>0</v>
      </c>
      <c r="D136" s="768" t="s">
        <v>620</v>
      </c>
      <c r="E136" s="772">
        <v>0</v>
      </c>
      <c r="F136" s="770">
        <f>VLOOKUP(A136,Sheet3!A:F,6,0)</f>
        <v>170</v>
      </c>
      <c r="G136" s="770">
        <f>VLOOKUP(A136,Sheet3!A:E,5,0)</f>
        <v>178.71</v>
      </c>
      <c r="H136" s="770">
        <f>VLOOKUP(A136,Sheet3!A:C,3,0)</f>
        <v>0</v>
      </c>
      <c r="I136" s="769">
        <f t="shared" si="7"/>
        <v>-8.710000000000008</v>
      </c>
      <c r="J136" s="793"/>
    </row>
    <row r="137" spans="1:10" s="813" customFormat="1" ht="13.5" thickBot="1" x14ac:dyDescent="0.25">
      <c r="A137" s="809" t="s">
        <v>210</v>
      </c>
      <c r="B137" s="809" t="s">
        <v>207</v>
      </c>
      <c r="C137" s="809" t="s">
        <v>621</v>
      </c>
      <c r="D137" s="809" t="s">
        <v>39</v>
      </c>
      <c r="E137" s="810">
        <v>1000</v>
      </c>
      <c r="F137" s="811">
        <f>VLOOKUP(A137,Sheet3!A:F,6,0)</f>
        <v>372</v>
      </c>
      <c r="G137" s="811">
        <f>VLOOKUP(A137,Sheet3!A:E,5,0)</f>
        <v>371.39</v>
      </c>
      <c r="H137" s="811">
        <f>VLOOKUP(A137,Sheet3!A:C,3,0)</f>
        <v>0</v>
      </c>
      <c r="I137" s="810">
        <f t="shared" si="7"/>
        <v>0.61000000000001364</v>
      </c>
      <c r="J137" s="793"/>
    </row>
    <row r="138" spans="1:10" s="813" customFormat="1" ht="13.5" thickBot="1" x14ac:dyDescent="0.25">
      <c r="A138" s="814" t="s">
        <v>211</v>
      </c>
      <c r="B138" s="814" t="s">
        <v>207</v>
      </c>
      <c r="C138" s="814" t="s">
        <v>440</v>
      </c>
      <c r="D138" s="814" t="s">
        <v>39</v>
      </c>
      <c r="E138" s="815">
        <v>3000</v>
      </c>
      <c r="F138" s="811">
        <f>VLOOKUP(A138,Sheet3!A:F,6,0)</f>
        <v>2718</v>
      </c>
      <c r="G138" s="811">
        <f>VLOOKUP(A138,Sheet3!A:E,5,0)</f>
        <v>2717.25</v>
      </c>
      <c r="H138" s="811">
        <f>VLOOKUP(A138,Sheet3!A:C,3,0)</f>
        <v>0</v>
      </c>
      <c r="I138" s="810">
        <f t="shared" si="7"/>
        <v>0.75</v>
      </c>
      <c r="J138" s="793"/>
    </row>
    <row r="139" spans="1:10" s="813" customFormat="1" ht="13.5" thickBot="1" x14ac:dyDescent="0.25">
      <c r="A139" s="813" t="s">
        <v>1002</v>
      </c>
      <c r="B139" s="813" t="s">
        <v>893</v>
      </c>
      <c r="C139" s="813">
        <v>0</v>
      </c>
      <c r="D139" s="813">
        <v>0</v>
      </c>
      <c r="E139" s="813">
        <v>0</v>
      </c>
      <c r="F139" s="811">
        <f>VLOOKUP(A139,Sheet3!A:F,6,0)</f>
        <v>810</v>
      </c>
      <c r="G139" s="811">
        <f>VLOOKUP(A139,Sheet3!A:E,5,0)</f>
        <v>0</v>
      </c>
      <c r="J139" s="793"/>
    </row>
    <row r="140" spans="1:10" s="813" customFormat="1" ht="13.5" thickBot="1" x14ac:dyDescent="0.25">
      <c r="A140" s="813" t="s">
        <v>1039</v>
      </c>
      <c r="B140" s="813" t="s">
        <v>893</v>
      </c>
      <c r="C140" s="813">
        <v>0</v>
      </c>
      <c r="D140" s="813">
        <v>0</v>
      </c>
      <c r="E140" s="813">
        <v>0</v>
      </c>
      <c r="F140" s="811">
        <f>VLOOKUP(A140,Sheet3!A:F,6,0)</f>
        <v>67</v>
      </c>
      <c r="G140" s="811">
        <f>VLOOKUP(A140,Sheet3!A:E,5,0)</f>
        <v>0</v>
      </c>
      <c r="J140" s="793"/>
    </row>
    <row r="141" spans="1:10" s="813" customFormat="1" ht="13.5" thickBot="1" x14ac:dyDescent="0.25">
      <c r="A141" s="813" t="s">
        <v>1040</v>
      </c>
      <c r="B141" s="813" t="s">
        <v>893</v>
      </c>
      <c r="C141" s="813">
        <v>0</v>
      </c>
      <c r="D141" s="813">
        <v>0</v>
      </c>
      <c r="E141" s="813">
        <v>0</v>
      </c>
      <c r="F141" s="811">
        <f>VLOOKUP(A141,Sheet3!A:F,6,0)</f>
        <v>12</v>
      </c>
      <c r="G141" s="811">
        <f>VLOOKUP(A141,Sheet3!A:E,5,0)</f>
        <v>0</v>
      </c>
      <c r="J141" s="793"/>
    </row>
    <row r="142" spans="1:10" s="813" customFormat="1" ht="13.5" thickBot="1" x14ac:dyDescent="0.25">
      <c r="A142" s="813" t="s">
        <v>1041</v>
      </c>
      <c r="B142" s="813" t="s">
        <v>893</v>
      </c>
      <c r="C142" s="813">
        <v>0</v>
      </c>
      <c r="D142" s="813">
        <v>0</v>
      </c>
      <c r="E142" s="813">
        <v>0</v>
      </c>
      <c r="F142" s="811">
        <f>VLOOKUP(A142,Sheet3!A:F,6,0)</f>
        <v>9</v>
      </c>
      <c r="G142" s="811">
        <f>VLOOKUP(A142,Sheet3!A:E,5,0)</f>
        <v>0</v>
      </c>
      <c r="J142" s="793"/>
    </row>
    <row r="143" spans="1:10" s="813" customFormat="1" ht="13.5" thickBot="1" x14ac:dyDescent="0.25">
      <c r="A143" s="813" t="s">
        <v>1042</v>
      </c>
      <c r="B143" s="813" t="s">
        <v>893</v>
      </c>
      <c r="C143" s="813">
        <v>0</v>
      </c>
      <c r="D143" s="813">
        <v>0</v>
      </c>
      <c r="E143" s="813">
        <v>0</v>
      </c>
      <c r="F143" s="811">
        <f>VLOOKUP(A143,Sheet3!A:F,6,0)</f>
        <v>12</v>
      </c>
      <c r="G143" s="811">
        <f>VLOOKUP(A143,Sheet3!A:E,5,0)</f>
        <v>0</v>
      </c>
      <c r="J143" s="793"/>
    </row>
    <row r="144" spans="1:10" ht="13.5" thickBot="1" x14ac:dyDescent="0.25">
      <c r="A144" s="771" t="s">
        <v>212</v>
      </c>
      <c r="B144" s="771" t="s">
        <v>623</v>
      </c>
      <c r="C144" s="771" t="s">
        <v>624</v>
      </c>
      <c r="D144" s="771" t="s">
        <v>39</v>
      </c>
      <c r="E144" s="772">
        <v>1000</v>
      </c>
      <c r="F144" s="770">
        <f>VLOOKUP(A144,Sheet3!A:F,6,0)</f>
        <v>0</v>
      </c>
      <c r="G144" s="770">
        <f>VLOOKUP(A144,Sheet3!A:E,5,0)</f>
        <v>0</v>
      </c>
      <c r="H144" s="770">
        <f>VLOOKUP(A144,Sheet3!A:C,3,0)</f>
        <v>0</v>
      </c>
      <c r="I144" s="769">
        <f t="shared" si="7"/>
        <v>0</v>
      </c>
      <c r="J144" s="793"/>
    </row>
    <row r="145" spans="1:10" ht="13.5" thickBot="1" x14ac:dyDescent="0.25">
      <c r="A145" s="771" t="s">
        <v>213</v>
      </c>
      <c r="B145" s="771" t="s">
        <v>623</v>
      </c>
      <c r="C145" s="771" t="s">
        <v>621</v>
      </c>
      <c r="D145" s="771" t="s">
        <v>39</v>
      </c>
      <c r="E145" s="772">
        <v>500</v>
      </c>
      <c r="F145" s="770">
        <f>VLOOKUP(A145,Sheet3!A:F,6,0)</f>
        <v>300</v>
      </c>
      <c r="G145" s="770">
        <f>VLOOKUP(A145,Sheet3!A:E,5,0)</f>
        <v>204.23</v>
      </c>
      <c r="H145" s="770">
        <f>VLOOKUP(A145,Sheet3!A:C,3,0)</f>
        <v>0</v>
      </c>
      <c r="I145" s="769">
        <f t="shared" si="7"/>
        <v>95.77000000000001</v>
      </c>
      <c r="J145" s="793"/>
    </row>
    <row r="146" spans="1:10" ht="13.5" thickBot="1" x14ac:dyDescent="0.25">
      <c r="A146" s="768" t="s">
        <v>214</v>
      </c>
      <c r="B146" s="768" t="s">
        <v>623</v>
      </c>
      <c r="C146" s="768" t="s">
        <v>614</v>
      </c>
      <c r="D146" s="768" t="s">
        <v>39</v>
      </c>
      <c r="E146" s="769">
        <v>1500</v>
      </c>
      <c r="F146" s="770">
        <f>VLOOKUP(A146,Sheet3!A:F,6,0)</f>
        <v>1000</v>
      </c>
      <c r="G146" s="770">
        <f>VLOOKUP(A146,Sheet3!A:E,5,0)</f>
        <v>800</v>
      </c>
      <c r="H146" s="770">
        <f>VLOOKUP(A146,Sheet3!A:C,3,0)</f>
        <v>0</v>
      </c>
      <c r="I146" s="769">
        <f t="shared" si="7"/>
        <v>200</v>
      </c>
      <c r="J146" s="793"/>
    </row>
    <row r="147" spans="1:10" ht="13.5" thickBot="1" x14ac:dyDescent="0.25">
      <c r="A147" s="768" t="s">
        <v>215</v>
      </c>
      <c r="B147" s="768" t="s">
        <v>623</v>
      </c>
      <c r="C147" s="768" t="s">
        <v>625</v>
      </c>
      <c r="D147" s="768" t="s">
        <v>39</v>
      </c>
      <c r="E147" s="769">
        <v>1500</v>
      </c>
      <c r="F147" s="770">
        <f>VLOOKUP(A147,Sheet3!A:F,6,0)</f>
        <v>3247</v>
      </c>
      <c r="G147" s="770">
        <f>VLOOKUP(A147,Sheet3!A:E,5,0)</f>
        <v>3246.43</v>
      </c>
      <c r="H147" s="770">
        <f>VLOOKUP(A147,Sheet3!A:C,3,0)</f>
        <v>0</v>
      </c>
      <c r="I147" s="769">
        <f t="shared" si="7"/>
        <v>0.57000000000016371</v>
      </c>
      <c r="J147" s="793"/>
    </row>
    <row r="148" spans="1:10" ht="13.5" thickBot="1" x14ac:dyDescent="0.25">
      <c r="A148" s="771" t="s">
        <v>216</v>
      </c>
      <c r="B148" s="771" t="s">
        <v>626</v>
      </c>
      <c r="C148" s="771" t="s">
        <v>442</v>
      </c>
      <c r="D148" s="771" t="s">
        <v>627</v>
      </c>
      <c r="E148" s="772">
        <v>7479</v>
      </c>
      <c r="F148" s="770">
        <f>VLOOKUP(A148,Sheet3!A:F,6,0)</f>
        <v>7479</v>
      </c>
      <c r="G148" s="770">
        <f>VLOOKUP(A148,Sheet3!A:E,5,0)</f>
        <v>7479</v>
      </c>
      <c r="H148" s="770">
        <f>VLOOKUP(A148,Sheet3!A:C,3,0)</f>
        <v>0</v>
      </c>
      <c r="I148" s="769">
        <f t="shared" si="7"/>
        <v>0</v>
      </c>
      <c r="J148" s="793"/>
    </row>
    <row r="149" spans="1:10" ht="13.5" thickBot="1" x14ac:dyDescent="0.25">
      <c r="A149" s="771" t="s">
        <v>291</v>
      </c>
      <c r="B149" s="771" t="s">
        <v>626</v>
      </c>
      <c r="C149" s="771" t="s">
        <v>469</v>
      </c>
      <c r="D149" s="771" t="s">
        <v>627</v>
      </c>
      <c r="E149" s="772">
        <v>0</v>
      </c>
      <c r="F149" s="770">
        <f>VLOOKUP(A149,Sheet3!A:F,6,0)</f>
        <v>0</v>
      </c>
      <c r="G149" s="770">
        <f>VLOOKUP(A149,Sheet3!A:E,5,0)</f>
        <v>0</v>
      </c>
      <c r="H149" s="770">
        <f>VLOOKUP(A149,Sheet3!A:C,3,0)</f>
        <v>0</v>
      </c>
      <c r="I149" s="769">
        <f t="shared" si="7"/>
        <v>0</v>
      </c>
      <c r="J149" s="793"/>
    </row>
    <row r="150" spans="1:10" ht="13.5" thickBot="1" x14ac:dyDescent="0.25">
      <c r="A150" s="768" t="s">
        <v>217</v>
      </c>
      <c r="B150" s="768" t="s">
        <v>626</v>
      </c>
      <c r="C150" s="768" t="s">
        <v>563</v>
      </c>
      <c r="D150" s="768" t="s">
        <v>627</v>
      </c>
      <c r="E150" s="769">
        <v>73711</v>
      </c>
      <c r="F150" s="770">
        <f>VLOOKUP(A150,Sheet3!A:F,6,0)</f>
        <v>73711</v>
      </c>
      <c r="G150" s="770">
        <f>VLOOKUP(A150,Sheet3!A:E,5,0)</f>
        <v>72921.119999999995</v>
      </c>
      <c r="H150" s="770">
        <f>VLOOKUP(A150,Sheet3!A:C,3,0)</f>
        <v>0</v>
      </c>
      <c r="I150" s="769">
        <f t="shared" si="7"/>
        <v>789.88000000000466</v>
      </c>
      <c r="J150" s="793"/>
    </row>
    <row r="151" spans="1:10" ht="13.5" thickBot="1" x14ac:dyDescent="0.25">
      <c r="A151" s="768" t="s">
        <v>218</v>
      </c>
      <c r="B151" s="768" t="s">
        <v>626</v>
      </c>
      <c r="C151" s="768" t="s">
        <v>552</v>
      </c>
      <c r="D151" s="768" t="s">
        <v>627</v>
      </c>
      <c r="E151" s="769">
        <v>15000</v>
      </c>
      <c r="F151" s="770">
        <f>VLOOKUP(A151,Sheet3!A:F,6,0)</f>
        <v>13193</v>
      </c>
      <c r="G151" s="770">
        <f>VLOOKUP(A151,Sheet3!A:E,5,0)</f>
        <v>13125</v>
      </c>
      <c r="H151" s="770">
        <f>VLOOKUP(A151,Sheet3!A:C,3,0)</f>
        <v>0</v>
      </c>
      <c r="I151" s="769">
        <f t="shared" si="7"/>
        <v>68</v>
      </c>
      <c r="J151" s="793"/>
    </row>
    <row r="152" spans="1:10" ht="13.5" thickBot="1" x14ac:dyDescent="0.25">
      <c r="A152" s="771" t="s">
        <v>792</v>
      </c>
      <c r="B152" s="771" t="s">
        <v>626</v>
      </c>
      <c r="C152" s="771" t="s">
        <v>793</v>
      </c>
      <c r="D152" s="771" t="s">
        <v>627</v>
      </c>
      <c r="E152" s="772">
        <v>0</v>
      </c>
      <c r="F152" s="770">
        <f>VLOOKUP(A152,Sheet3!A:F,6,0)</f>
        <v>150</v>
      </c>
      <c r="G152" s="770">
        <f>VLOOKUP(A152,Sheet3!A:E,5,0)</f>
        <v>150</v>
      </c>
      <c r="H152" s="770">
        <f>VLOOKUP(A152,Sheet3!A:C,3,0)</f>
        <v>0</v>
      </c>
      <c r="I152" s="769">
        <f t="shared" si="7"/>
        <v>0</v>
      </c>
      <c r="J152" s="793"/>
    </row>
    <row r="153" spans="1:10" ht="13.5" thickBot="1" x14ac:dyDescent="0.25">
      <c r="A153" s="771" t="s">
        <v>794</v>
      </c>
      <c r="B153" s="771" t="s">
        <v>626</v>
      </c>
      <c r="C153" s="771" t="s">
        <v>556</v>
      </c>
      <c r="D153" s="771" t="s">
        <v>627</v>
      </c>
      <c r="E153" s="772">
        <v>0</v>
      </c>
      <c r="F153" s="770">
        <f>VLOOKUP(A153,Sheet3!A:F,6,0)</f>
        <v>190</v>
      </c>
      <c r="G153" s="770">
        <f>VLOOKUP(A153,Sheet3!A:E,5,0)</f>
        <v>189.59</v>
      </c>
      <c r="H153" s="770">
        <f>VLOOKUP(A153,Sheet3!A:C,3,0)</f>
        <v>0</v>
      </c>
      <c r="I153" s="769">
        <f t="shared" si="7"/>
        <v>0.40999999999999659</v>
      </c>
      <c r="J153" s="793"/>
    </row>
    <row r="154" spans="1:10" ht="13.5" thickBot="1" x14ac:dyDescent="0.25">
      <c r="A154" s="771" t="s">
        <v>795</v>
      </c>
      <c r="B154" s="771" t="s">
        <v>626</v>
      </c>
      <c r="C154" s="771" t="s">
        <v>665</v>
      </c>
      <c r="D154" s="771" t="s">
        <v>627</v>
      </c>
      <c r="E154" s="772">
        <v>0</v>
      </c>
      <c r="F154" s="770">
        <f>VLOOKUP(A154,Sheet3!A:F,6,0)</f>
        <v>143</v>
      </c>
      <c r="G154" s="770">
        <f>VLOOKUP(A154,Sheet3!A:E,5,0)</f>
        <v>142.37</v>
      </c>
      <c r="H154" s="770">
        <f>VLOOKUP(A154,Sheet3!A:C,3,0)</f>
        <v>0</v>
      </c>
      <c r="I154" s="769">
        <f t="shared" si="7"/>
        <v>0.62999999999999545</v>
      </c>
      <c r="J154" s="793"/>
    </row>
    <row r="155" spans="1:10" ht="13.5" thickBot="1" x14ac:dyDescent="0.25">
      <c r="A155" s="768" t="s">
        <v>632</v>
      </c>
      <c r="B155" s="768" t="s">
        <v>626</v>
      </c>
      <c r="C155" s="768" t="s">
        <v>562</v>
      </c>
      <c r="D155" s="768" t="s">
        <v>627</v>
      </c>
      <c r="E155" s="769">
        <v>0</v>
      </c>
      <c r="F155" s="770">
        <f>VLOOKUP(A155,Sheet3!A:F,6,0)</f>
        <v>192</v>
      </c>
      <c r="G155" s="770">
        <f>VLOOKUP(A155,Sheet3!A:E,5,0)</f>
        <v>191.18</v>
      </c>
      <c r="H155" s="770">
        <f>VLOOKUP(A155,Sheet3!A:C,3,0)</f>
        <v>0</v>
      </c>
      <c r="I155" s="769">
        <f t="shared" si="7"/>
        <v>0.81999999999999318</v>
      </c>
      <c r="J155" s="793"/>
    </row>
    <row r="156" spans="1:10" ht="13.5" thickBot="1" x14ac:dyDescent="0.25">
      <c r="A156" s="771" t="s">
        <v>628</v>
      </c>
      <c r="B156" s="771" t="s">
        <v>816</v>
      </c>
      <c r="C156" s="771" t="s">
        <v>957</v>
      </c>
      <c r="D156" s="768" t="s">
        <v>627</v>
      </c>
      <c r="E156" s="772"/>
      <c r="F156" s="770">
        <f>VLOOKUP(A156,Sheet3!A:F,6,0)</f>
        <v>619</v>
      </c>
      <c r="G156" s="770">
        <f>VLOOKUP(A156,Sheet3!A:E,5,0)</f>
        <v>618.76</v>
      </c>
      <c r="H156" s="770">
        <f>VLOOKUP(A156,Sheet3!A:C,3,0)</f>
        <v>0</v>
      </c>
      <c r="I156" s="769">
        <f>F156-G156-H156</f>
        <v>0.24000000000000909</v>
      </c>
      <c r="J156" s="793"/>
    </row>
    <row r="157" spans="1:10" ht="13.5" thickBot="1" x14ac:dyDescent="0.25">
      <c r="A157" s="768" t="s">
        <v>383</v>
      </c>
      <c r="B157" s="768" t="s">
        <v>633</v>
      </c>
      <c r="C157" s="768" t="s">
        <v>448</v>
      </c>
      <c r="D157" s="768" t="s">
        <v>627</v>
      </c>
      <c r="E157" s="769">
        <v>340397</v>
      </c>
      <c r="F157" s="770">
        <f>VLOOKUP(A157,Sheet3!A:F,6,0)</f>
        <v>340397</v>
      </c>
      <c r="G157" s="770">
        <f>VLOOKUP(A157,Sheet3!A:E,5,0)</f>
        <v>320394.84999999998</v>
      </c>
      <c r="H157" s="770">
        <f>VLOOKUP(A157,Sheet3!A:C,3,0)</f>
        <v>0</v>
      </c>
      <c r="I157" s="769">
        <f t="shared" ref="I157:I167" si="8">F157-G157-H157</f>
        <v>20002.150000000023</v>
      </c>
      <c r="J157" s="793"/>
    </row>
    <row r="158" spans="1:10" ht="13.5" thickBot="1" x14ac:dyDescent="0.25">
      <c r="A158" s="771" t="s">
        <v>384</v>
      </c>
      <c r="B158" s="771" t="s">
        <v>634</v>
      </c>
      <c r="C158" s="771" t="s">
        <v>448</v>
      </c>
      <c r="D158" s="771" t="s">
        <v>627</v>
      </c>
      <c r="E158" s="772">
        <v>88013</v>
      </c>
      <c r="F158" s="770">
        <f>VLOOKUP(A158,Sheet3!A:F,6,0)</f>
        <v>88013</v>
      </c>
      <c r="G158" s="770">
        <f>VLOOKUP(A158,Sheet3!A:E,5,0)</f>
        <v>0</v>
      </c>
      <c r="H158" s="770">
        <f>VLOOKUP(A158,Sheet3!A:C,3,0)</f>
        <v>0</v>
      </c>
      <c r="I158" s="769">
        <f t="shared" si="8"/>
        <v>88013</v>
      </c>
      <c r="J158" s="793"/>
    </row>
    <row r="159" spans="1:10" ht="13.5" thickBot="1" x14ac:dyDescent="0.25">
      <c r="A159" s="771" t="s">
        <v>740</v>
      </c>
      <c r="B159" s="771" t="s">
        <v>636</v>
      </c>
      <c r="C159" s="771" t="s">
        <v>451</v>
      </c>
      <c r="D159" s="771" t="s">
        <v>627</v>
      </c>
      <c r="E159" s="772">
        <v>6500</v>
      </c>
      <c r="F159" s="770">
        <f>VLOOKUP(A159,Sheet3!A:F,6,0)</f>
        <v>6453</v>
      </c>
      <c r="G159" s="770">
        <f>VLOOKUP(A159,Sheet3!A:E,5,0)</f>
        <v>6255</v>
      </c>
      <c r="H159" s="770">
        <f>VLOOKUP(A159,Sheet3!A:C,3,0)</f>
        <v>0</v>
      </c>
      <c r="I159" s="769">
        <f t="shared" si="8"/>
        <v>198</v>
      </c>
      <c r="J159" s="793"/>
    </row>
    <row r="160" spans="1:10" ht="13.5" thickBot="1" x14ac:dyDescent="0.25">
      <c r="A160" s="771" t="s">
        <v>373</v>
      </c>
      <c r="B160" s="771" t="s">
        <v>637</v>
      </c>
      <c r="C160" s="771" t="s">
        <v>451</v>
      </c>
      <c r="D160" s="771" t="s">
        <v>627</v>
      </c>
      <c r="E160" s="772">
        <v>78691</v>
      </c>
      <c r="F160" s="770">
        <f>VLOOKUP(A160,Sheet3!A:F,6,0)-F170</f>
        <v>78691</v>
      </c>
      <c r="G160" s="770">
        <f>VLOOKUP(A160,Sheet3!A:E,5,0)-G170</f>
        <v>78691.63</v>
      </c>
      <c r="H160" s="770">
        <f>VLOOKUP(A160,Sheet3!A:C,3,0)</f>
        <v>0</v>
      </c>
      <c r="I160" s="769">
        <f t="shared" si="8"/>
        <v>-0.63000000000465661</v>
      </c>
      <c r="J160" s="793"/>
    </row>
    <row r="161" spans="1:10" ht="13.5" thickBot="1" x14ac:dyDescent="0.25">
      <c r="A161" s="768" t="s">
        <v>374</v>
      </c>
      <c r="B161" s="768" t="s">
        <v>638</v>
      </c>
      <c r="C161" s="768" t="s">
        <v>451</v>
      </c>
      <c r="D161" s="768" t="s">
        <v>627</v>
      </c>
      <c r="E161" s="769">
        <v>15609</v>
      </c>
      <c r="F161" s="770">
        <f>VLOOKUP(A161,Sheet3!A:F,6,0)</f>
        <v>15609</v>
      </c>
      <c r="G161" s="770">
        <f>VLOOKUP(A161,Sheet3!A:E,5,0)</f>
        <v>11514.1</v>
      </c>
      <c r="H161" s="770">
        <f>VLOOKUP(A161,Sheet3!A:C,3,0)</f>
        <v>4099.8999999999996</v>
      </c>
      <c r="I161" s="769">
        <f t="shared" si="8"/>
        <v>-5</v>
      </c>
      <c r="J161" s="793"/>
    </row>
    <row r="162" spans="1:10" ht="13.5" thickBot="1" x14ac:dyDescent="0.25">
      <c r="A162" s="768" t="s">
        <v>403</v>
      </c>
      <c r="B162" s="768" t="s">
        <v>788</v>
      </c>
      <c r="C162" s="768" t="s">
        <v>451</v>
      </c>
      <c r="D162" s="768" t="s">
        <v>627</v>
      </c>
      <c r="E162" s="769">
        <v>19057</v>
      </c>
      <c r="F162" s="770">
        <f>VLOOKUP(A162,Sheet3!A:F,6,0)</f>
        <v>19057</v>
      </c>
      <c r="G162" s="770">
        <f>VLOOKUP(A162,Sheet3!A:E,5,0)</f>
        <v>18110</v>
      </c>
      <c r="H162" s="770">
        <f>VLOOKUP(A162,Sheet3!A:C,3,0)</f>
        <v>0</v>
      </c>
      <c r="I162" s="769">
        <f t="shared" si="8"/>
        <v>947</v>
      </c>
      <c r="J162" s="793"/>
    </row>
    <row r="163" spans="1:10" ht="13.5" thickBot="1" x14ac:dyDescent="0.25">
      <c r="A163" s="771" t="s">
        <v>759</v>
      </c>
      <c r="B163" s="771" t="s">
        <v>796</v>
      </c>
      <c r="C163" s="771" t="s">
        <v>442</v>
      </c>
      <c r="D163" s="771" t="s">
        <v>627</v>
      </c>
      <c r="E163" s="772">
        <v>2500</v>
      </c>
      <c r="F163" s="770">
        <f>VLOOKUP(A163,Sheet3!A:F,6,0)</f>
        <v>2500</v>
      </c>
      <c r="G163" s="770">
        <f>VLOOKUP(A163,Sheet3!A:E,5,0)</f>
        <v>2500</v>
      </c>
      <c r="H163" s="770">
        <f>VLOOKUP(A163,Sheet3!A:C,3,0)</f>
        <v>0</v>
      </c>
      <c r="I163" s="769">
        <f t="shared" si="8"/>
        <v>0</v>
      </c>
      <c r="J163" s="793"/>
    </row>
    <row r="164" spans="1:10" ht="13.5" thickBot="1" x14ac:dyDescent="0.25">
      <c r="A164" s="771" t="s">
        <v>224</v>
      </c>
      <c r="B164" s="771" t="s">
        <v>639</v>
      </c>
      <c r="C164" s="771" t="s">
        <v>456</v>
      </c>
      <c r="D164" s="771" t="s">
        <v>627</v>
      </c>
      <c r="E164" s="772">
        <v>16500</v>
      </c>
      <c r="F164" s="770">
        <f>VLOOKUP(A164,Sheet3!A:F,6,0)</f>
        <v>16500</v>
      </c>
      <c r="G164" s="770">
        <f>VLOOKUP(A164,Sheet3!A:E,5,0)</f>
        <v>16500</v>
      </c>
      <c r="H164" s="770">
        <f>VLOOKUP(A164,Sheet3!A:C,3,0)</f>
        <v>0</v>
      </c>
      <c r="I164" s="769">
        <f t="shared" si="8"/>
        <v>0</v>
      </c>
      <c r="J164" s="793"/>
    </row>
    <row r="165" spans="1:10" ht="13.5" thickBot="1" x14ac:dyDescent="0.25">
      <c r="A165" s="771" t="s">
        <v>741</v>
      </c>
      <c r="B165" s="771" t="s">
        <v>797</v>
      </c>
      <c r="C165" s="771" t="s">
        <v>469</v>
      </c>
      <c r="D165" s="771" t="s">
        <v>798</v>
      </c>
      <c r="E165" s="772">
        <v>42471</v>
      </c>
      <c r="F165" s="770">
        <f>VLOOKUP(A165,Sheet3!A:F,6,0)</f>
        <v>4500</v>
      </c>
      <c r="G165" s="770">
        <f>VLOOKUP(A165,Sheet3!A:E,5,0)</f>
        <v>4500</v>
      </c>
      <c r="H165" s="770">
        <f>VLOOKUP(A165,Sheet3!A:C,3,0)</f>
        <v>0</v>
      </c>
      <c r="I165" s="769">
        <f t="shared" si="8"/>
        <v>0</v>
      </c>
      <c r="J165" s="793"/>
    </row>
    <row r="166" spans="1:10" ht="13.5" thickBot="1" x14ac:dyDescent="0.25">
      <c r="A166" s="771" t="s">
        <v>642</v>
      </c>
      <c r="B166" s="771" t="s">
        <v>643</v>
      </c>
      <c r="C166" s="771" t="s">
        <v>469</v>
      </c>
      <c r="D166" s="771" t="s">
        <v>798</v>
      </c>
      <c r="E166" s="772">
        <v>0</v>
      </c>
      <c r="F166" s="770">
        <f>VLOOKUP(A166,Sheet3!A:F,6,0)</f>
        <v>37971</v>
      </c>
      <c r="G166" s="770">
        <f>VLOOKUP(A166,Sheet3!A:E,5,0)</f>
        <v>37812.03</v>
      </c>
      <c r="H166" s="770">
        <f>VLOOKUP(A166,Sheet3!A:C,3,0)</f>
        <v>53.97</v>
      </c>
      <c r="I166" s="769">
        <f>F166-G166-H166</f>
        <v>105.00000000000117</v>
      </c>
      <c r="J166" s="793"/>
    </row>
    <row r="167" spans="1:10" ht="13.5" thickBot="1" x14ac:dyDescent="0.25">
      <c r="A167" s="768" t="s">
        <v>223</v>
      </c>
      <c r="B167" s="768" t="s">
        <v>640</v>
      </c>
      <c r="C167" s="768" t="s">
        <v>444</v>
      </c>
      <c r="D167" s="768" t="s">
        <v>641</v>
      </c>
      <c r="E167" s="769">
        <v>28800</v>
      </c>
      <c r="F167" s="770">
        <f>VLOOKUP(A167,Sheet3!A:F,6,0)</f>
        <v>28800</v>
      </c>
      <c r="G167" s="770">
        <f>VLOOKUP(A167,Sheet3!A:E,5,0)</f>
        <v>22961.919999999998</v>
      </c>
      <c r="H167" s="770">
        <f>VLOOKUP(A167,Sheet3!A:C,3,0)</f>
        <v>0</v>
      </c>
      <c r="I167" s="769">
        <f t="shared" si="8"/>
        <v>5838.0800000000017</v>
      </c>
      <c r="J167" s="793">
        <f t="shared" ref="J167:J168" si="9">E167-F167</f>
        <v>0</v>
      </c>
    </row>
    <row r="168" spans="1:10" s="876" customFormat="1" ht="13.5" thickBot="1" x14ac:dyDescent="0.25">
      <c r="A168" s="880"/>
      <c r="B168" s="880"/>
      <c r="C168" s="880"/>
      <c r="D168" s="880" t="s">
        <v>949</v>
      </c>
      <c r="E168" s="806">
        <f>SUM(E130:E167)</f>
        <v>770681</v>
      </c>
      <c r="F168" s="806">
        <f>SUM(F130:F167)</f>
        <v>774681</v>
      </c>
      <c r="G168" s="806">
        <f>SUM(G130:G167)</f>
        <v>650835.71</v>
      </c>
      <c r="H168" s="806">
        <f>SUM(H130:H167)</f>
        <v>4153.87</v>
      </c>
      <c r="I168" s="806">
        <f>SUM(I130:I167)</f>
        <v>118781.42000000003</v>
      </c>
      <c r="J168" s="793">
        <f t="shared" si="9"/>
        <v>-4000</v>
      </c>
    </row>
    <row r="169" spans="1:10" ht="13.5" thickBot="1" x14ac:dyDescent="0.25">
      <c r="A169" s="768" t="s">
        <v>344</v>
      </c>
      <c r="B169" s="768" t="s">
        <v>640</v>
      </c>
      <c r="C169" s="768" t="s">
        <v>446</v>
      </c>
      <c r="D169" s="768" t="s">
        <v>641</v>
      </c>
      <c r="E169" s="769">
        <v>0</v>
      </c>
      <c r="F169" s="770">
        <f>VLOOKUP(A169,Sheet3!A:F,6,0)</f>
        <v>150650</v>
      </c>
      <c r="G169" s="770">
        <f>VLOOKUP(A169,Sheet3!A:E,5,0)</f>
        <v>0</v>
      </c>
      <c r="H169" s="770">
        <v>0</v>
      </c>
      <c r="I169" s="769">
        <f>F169-G169-H169</f>
        <v>150650</v>
      </c>
      <c r="J169" s="793"/>
    </row>
    <row r="170" spans="1:10" ht="13.5" thickBot="1" x14ac:dyDescent="0.25">
      <c r="A170" s="771" t="s">
        <v>373</v>
      </c>
      <c r="B170" s="771" t="s">
        <v>637</v>
      </c>
      <c r="C170" s="771" t="s">
        <v>451</v>
      </c>
      <c r="D170" s="771" t="s">
        <v>627</v>
      </c>
      <c r="E170" s="772">
        <v>0</v>
      </c>
      <c r="F170" s="770">
        <f>16944+2187</f>
        <v>19131</v>
      </c>
      <c r="G170" s="770">
        <v>19131</v>
      </c>
      <c r="H170" s="770">
        <v>0</v>
      </c>
      <c r="I170" s="769">
        <f t="shared" ref="I170" si="10">F170-G170-H170</f>
        <v>0</v>
      </c>
      <c r="J170" s="793"/>
    </row>
    <row r="171" spans="1:10" s="813" customFormat="1" ht="13.5" thickBot="1" x14ac:dyDescent="0.25">
      <c r="A171" s="814" t="s">
        <v>766</v>
      </c>
      <c r="B171" s="814" t="s">
        <v>626</v>
      </c>
      <c r="C171" s="814" t="s">
        <v>787</v>
      </c>
      <c r="D171" s="814" t="s">
        <v>627</v>
      </c>
      <c r="E171" s="815">
        <v>26000</v>
      </c>
      <c r="F171" s="770">
        <v>26000</v>
      </c>
      <c r="G171" s="770">
        <v>26000</v>
      </c>
      <c r="H171" s="811">
        <v>0</v>
      </c>
      <c r="I171" s="810">
        <f>F171-G171-H171</f>
        <v>0</v>
      </c>
      <c r="J171" s="793"/>
    </row>
    <row r="172" spans="1:10" ht="13.5" thickBot="1" x14ac:dyDescent="0.25">
      <c r="A172" s="771"/>
      <c r="B172" s="771"/>
      <c r="C172" s="771"/>
      <c r="D172" s="883" t="s">
        <v>950</v>
      </c>
      <c r="E172" s="882">
        <f>E168+E169+E170+E171</f>
        <v>796681</v>
      </c>
      <c r="F172" s="882">
        <f t="shared" ref="F172:I172" si="11">F168+F169+F170+F171</f>
        <v>970462</v>
      </c>
      <c r="G172" s="882">
        <f t="shared" si="11"/>
        <v>695966.71</v>
      </c>
      <c r="H172" s="882">
        <f t="shared" si="11"/>
        <v>4153.87</v>
      </c>
      <c r="I172" s="882">
        <f t="shared" si="11"/>
        <v>269431.42000000004</v>
      </c>
    </row>
    <row r="173" spans="1:10" ht="13.5" thickBot="1" x14ac:dyDescent="0.25">
      <c r="A173" s="771" t="s">
        <v>804</v>
      </c>
      <c r="B173" s="771" t="s">
        <v>681</v>
      </c>
      <c r="C173" s="771" t="s">
        <v>805</v>
      </c>
      <c r="D173" s="771" t="s">
        <v>652</v>
      </c>
      <c r="E173" s="772">
        <v>-52000</v>
      </c>
      <c r="F173" s="770">
        <f>VLOOKUP(A173,Sheet3!A:F,6,0)</f>
        <v>-52000</v>
      </c>
      <c r="G173" s="770">
        <f>VLOOKUP(A173,Sheet3!A:E,5,0)</f>
        <v>-47186.22</v>
      </c>
      <c r="H173" s="770">
        <f>VLOOKUP(A173,Sheet3!A:C,3,0)</f>
        <v>0</v>
      </c>
      <c r="I173" s="769">
        <f t="shared" ref="I173:I175" si="12">F173-G173-H173</f>
        <v>-4813.7799999999988</v>
      </c>
    </row>
    <row r="174" spans="1:10" ht="13.5" thickBot="1" x14ac:dyDescent="0.25">
      <c r="A174" s="771" t="s">
        <v>806</v>
      </c>
      <c r="B174" s="771" t="s">
        <v>681</v>
      </c>
      <c r="C174" s="771" t="s">
        <v>682</v>
      </c>
      <c r="D174" s="771" t="s">
        <v>652</v>
      </c>
      <c r="E174" s="772">
        <v>-683000</v>
      </c>
      <c r="F174" s="770">
        <f>VLOOKUP(A174,Sheet3!A:F,6,0)</f>
        <v>-683000</v>
      </c>
      <c r="G174" s="770">
        <f>VLOOKUP(A174,Sheet3!A:E,5,0)</f>
        <v>-815323.64</v>
      </c>
      <c r="H174" s="770">
        <f>VLOOKUP(A174,Sheet3!A:C,3,0)</f>
        <v>0</v>
      </c>
      <c r="I174" s="769">
        <f t="shared" si="12"/>
        <v>132323.64000000001</v>
      </c>
    </row>
    <row r="175" spans="1:10" ht="13.5" thickBot="1" x14ac:dyDescent="0.25">
      <c r="A175" s="768" t="s">
        <v>767</v>
      </c>
      <c r="B175" s="768" t="s">
        <v>681</v>
      </c>
      <c r="C175" s="768" t="s">
        <v>448</v>
      </c>
      <c r="D175" s="768" t="s">
        <v>652</v>
      </c>
      <c r="E175" s="769">
        <v>683000</v>
      </c>
      <c r="F175" s="770">
        <f>VLOOKUP(A175,Sheet3!A:F,6,0)</f>
        <v>683000</v>
      </c>
      <c r="G175" s="770">
        <f>VLOOKUP(A175,Sheet3!A:E,5,0)</f>
        <v>565605.06000000006</v>
      </c>
      <c r="H175" s="770">
        <f>VLOOKUP(A175,Sheet3!A:C,3,0)</f>
        <v>0</v>
      </c>
      <c r="I175" s="769">
        <f t="shared" si="12"/>
        <v>117394.93999999994</v>
      </c>
    </row>
    <row r="176" spans="1:10" ht="13.5" thickBot="1" x14ac:dyDescent="0.25">
      <c r="A176" s="768"/>
      <c r="B176" s="768"/>
      <c r="C176" s="768"/>
      <c r="D176" s="892" t="s">
        <v>988</v>
      </c>
      <c r="E176" s="881">
        <f>SUM(E173:E175)</f>
        <v>-52000</v>
      </c>
      <c r="F176" s="881">
        <f t="shared" ref="F176:I176" si="13">SUM(F173:F175)</f>
        <v>-52000</v>
      </c>
      <c r="G176" s="881">
        <f>SUM(G175)</f>
        <v>565605.06000000006</v>
      </c>
      <c r="H176" s="881">
        <f t="shared" si="13"/>
        <v>0</v>
      </c>
      <c r="I176" s="881">
        <f t="shared" si="13"/>
        <v>244904.79999999996</v>
      </c>
    </row>
    <row r="177" spans="1:9" ht="13.5" thickBot="1" x14ac:dyDescent="0.25">
      <c r="A177" s="768" t="s">
        <v>0</v>
      </c>
      <c r="B177" s="768" t="s">
        <v>644</v>
      </c>
      <c r="C177" s="768" t="s">
        <v>645</v>
      </c>
      <c r="D177" s="768" t="s">
        <v>1</v>
      </c>
      <c r="E177" s="769">
        <v>190925</v>
      </c>
      <c r="F177" s="770">
        <f>VLOOKUP(A177,Sheet3!A:F,6,0)</f>
        <v>190925</v>
      </c>
      <c r="G177" s="770">
        <f>VLOOKUP(A177,Sheet3!A:E,5,0)</f>
        <v>77888.95</v>
      </c>
      <c r="H177" s="770">
        <f>VLOOKUP(A177,Sheet3!A:C,3,0)</f>
        <v>0</v>
      </c>
      <c r="I177" s="769">
        <f t="shared" ref="I177:I242" si="14">F177-G177-H177</f>
        <v>113036.05</v>
      </c>
    </row>
    <row r="178" spans="1:9" ht="13.5" thickBot="1" x14ac:dyDescent="0.25">
      <c r="A178" s="771" t="s">
        <v>2</v>
      </c>
      <c r="B178" s="771" t="s">
        <v>646</v>
      </c>
      <c r="C178" s="771" t="s">
        <v>647</v>
      </c>
      <c r="D178" s="771" t="s">
        <v>3</v>
      </c>
      <c r="E178" s="772">
        <v>16000</v>
      </c>
      <c r="F178" s="770">
        <f>VLOOKUP(A178,Sheet3!A:F,6,0)</f>
        <v>16000</v>
      </c>
      <c r="G178" s="770">
        <f>VLOOKUP(A178,Sheet3!A:E,5,0)</f>
        <v>9800</v>
      </c>
      <c r="H178" s="770">
        <f>VLOOKUP(A178,Sheet3!A:C,3,0)</f>
        <v>6200</v>
      </c>
      <c r="I178" s="769">
        <f t="shared" si="14"/>
        <v>0</v>
      </c>
    </row>
    <row r="179" spans="1:9" ht="13.5" thickBot="1" x14ac:dyDescent="0.25">
      <c r="A179" s="771" t="s">
        <v>328</v>
      </c>
      <c r="B179" s="771" t="s">
        <v>646</v>
      </c>
      <c r="C179" s="771" t="s">
        <v>648</v>
      </c>
      <c r="D179" s="771" t="s">
        <v>3</v>
      </c>
      <c r="E179" s="772">
        <v>864</v>
      </c>
      <c r="F179" s="770">
        <f>VLOOKUP(A179,Sheet3!A:F,6,0)</f>
        <v>864</v>
      </c>
      <c r="G179" s="770">
        <f>VLOOKUP(A179,Sheet3!A:E,5,0)</f>
        <v>698.75</v>
      </c>
      <c r="H179" s="770">
        <f>VLOOKUP(A179,Sheet3!A:C,3,0)</f>
        <v>0</v>
      </c>
      <c r="I179" s="769">
        <f t="shared" si="14"/>
        <v>165.25</v>
      </c>
    </row>
    <row r="180" spans="1:9" ht="13.5" thickBot="1" x14ac:dyDescent="0.25">
      <c r="A180" s="771" t="s">
        <v>4</v>
      </c>
      <c r="B180" s="771" t="s">
        <v>653</v>
      </c>
      <c r="C180" s="771" t="s">
        <v>639</v>
      </c>
      <c r="D180" s="771" t="s">
        <v>652</v>
      </c>
      <c r="E180" s="772">
        <v>606963</v>
      </c>
      <c r="F180" s="770">
        <f>VLOOKUP(A180,Sheet3!A:F,6,0)</f>
        <v>605563</v>
      </c>
      <c r="G180" s="770">
        <f>VLOOKUP(A180,Sheet3!A:E,5,0)</f>
        <v>789154.26</v>
      </c>
      <c r="H180" s="770">
        <f>VLOOKUP(A180,Sheet3!A:C,3,0)</f>
        <v>0</v>
      </c>
      <c r="I180" s="769">
        <f t="shared" si="14"/>
        <v>-183591.26</v>
      </c>
    </row>
    <row r="181" spans="1:9" ht="13.5" thickBot="1" x14ac:dyDescent="0.25">
      <c r="A181" s="768" t="s">
        <v>5</v>
      </c>
      <c r="B181" s="768" t="s">
        <v>653</v>
      </c>
      <c r="C181" s="768" t="s">
        <v>654</v>
      </c>
      <c r="D181" s="768" t="s">
        <v>652</v>
      </c>
      <c r="E181" s="769">
        <v>159485</v>
      </c>
      <c r="F181" s="770">
        <f>VLOOKUP(A181,Sheet3!A:F,6,0)</f>
        <v>159485</v>
      </c>
      <c r="G181" s="770">
        <f>VLOOKUP(A181,Sheet3!A:E,5,0)</f>
        <v>151040.07</v>
      </c>
      <c r="H181" s="770">
        <f>VLOOKUP(A181,Sheet3!A:C,3,0)</f>
        <v>0</v>
      </c>
      <c r="I181" s="769">
        <f t="shared" si="14"/>
        <v>8444.929999999993</v>
      </c>
    </row>
    <row r="182" spans="1:9" ht="13.5" thickBot="1" x14ac:dyDescent="0.25">
      <c r="A182" s="768" t="s">
        <v>6</v>
      </c>
      <c r="B182" s="768" t="s">
        <v>653</v>
      </c>
      <c r="C182" s="768" t="s">
        <v>459</v>
      </c>
      <c r="D182" s="768" t="s">
        <v>652</v>
      </c>
      <c r="E182" s="769">
        <v>21421</v>
      </c>
      <c r="F182" s="770">
        <f>VLOOKUP(A182,Sheet3!A:F,6,0)</f>
        <v>21421</v>
      </c>
      <c r="G182" s="770">
        <f>VLOOKUP(A182,Sheet3!A:E,5,0)</f>
        <v>15176.79</v>
      </c>
      <c r="H182" s="770">
        <f>VLOOKUP(A182,Sheet3!A:C,3,0)</f>
        <v>6244.21</v>
      </c>
      <c r="I182" s="769">
        <f t="shared" si="14"/>
        <v>0</v>
      </c>
    </row>
    <row r="183" spans="1:9" ht="13.5" thickBot="1" x14ac:dyDescent="0.25">
      <c r="A183" s="771" t="s">
        <v>7</v>
      </c>
      <c r="B183" s="771" t="s">
        <v>653</v>
      </c>
      <c r="C183" s="771" t="s">
        <v>655</v>
      </c>
      <c r="D183" s="771" t="s">
        <v>652</v>
      </c>
      <c r="E183" s="772">
        <v>137895</v>
      </c>
      <c r="F183" s="770">
        <f>VLOOKUP(A183,Sheet3!A:F,6,0)</f>
        <v>137895</v>
      </c>
      <c r="G183" s="770">
        <f>VLOOKUP(A183,Sheet3!A:E,5,0)</f>
        <v>173566.99</v>
      </c>
      <c r="H183" s="770">
        <f>VLOOKUP(A183,Sheet3!A:C,3,0)</f>
        <v>0</v>
      </c>
      <c r="I183" s="769">
        <f t="shared" si="14"/>
        <v>-35671.989999999991</v>
      </c>
    </row>
    <row r="184" spans="1:9" ht="13.5" thickBot="1" x14ac:dyDescent="0.25">
      <c r="A184" s="771" t="s">
        <v>8</v>
      </c>
      <c r="B184" s="771" t="s">
        <v>653</v>
      </c>
      <c r="C184" s="771" t="s">
        <v>656</v>
      </c>
      <c r="D184" s="771" t="s">
        <v>652</v>
      </c>
      <c r="E184" s="772">
        <v>74236</v>
      </c>
      <c r="F184" s="770">
        <f>VLOOKUP(A184,Sheet3!A:F,6,0)</f>
        <v>74236</v>
      </c>
      <c r="G184" s="770">
        <f>VLOOKUP(A184,Sheet3!A:E,5,0)</f>
        <v>37559.97</v>
      </c>
      <c r="H184" s="770">
        <f>VLOOKUP(A184,Sheet3!A:C,3,0)</f>
        <v>0</v>
      </c>
      <c r="I184" s="769">
        <f t="shared" si="14"/>
        <v>36676.03</v>
      </c>
    </row>
    <row r="185" spans="1:9" ht="13.5" thickBot="1" x14ac:dyDescent="0.25">
      <c r="A185" s="771" t="s">
        <v>9</v>
      </c>
      <c r="B185" s="771" t="s">
        <v>657</v>
      </c>
      <c r="C185" s="771" t="s">
        <v>639</v>
      </c>
      <c r="D185" s="771" t="s">
        <v>652</v>
      </c>
      <c r="E185" s="772">
        <v>627482</v>
      </c>
      <c r="F185" s="770">
        <f>VLOOKUP(A185,Sheet3!A:F,6,0)</f>
        <v>627482</v>
      </c>
      <c r="G185" s="770">
        <f>VLOOKUP(A185,Sheet3!A:E,5,0)</f>
        <v>557686.18999999994</v>
      </c>
      <c r="H185" s="770">
        <f>VLOOKUP(A185,Sheet3!A:C,3,0)</f>
        <v>0</v>
      </c>
      <c r="I185" s="769">
        <f t="shared" si="14"/>
        <v>69795.810000000056</v>
      </c>
    </row>
    <row r="186" spans="1:9" ht="13.5" thickBot="1" x14ac:dyDescent="0.25">
      <c r="A186" s="768" t="s">
        <v>10</v>
      </c>
      <c r="B186" s="768" t="s">
        <v>657</v>
      </c>
      <c r="C186" s="768" t="s">
        <v>654</v>
      </c>
      <c r="D186" s="768" t="s">
        <v>652</v>
      </c>
      <c r="E186" s="769">
        <v>121560</v>
      </c>
      <c r="F186" s="770">
        <f>VLOOKUP(A186,Sheet3!A:F,6,0)</f>
        <v>121560</v>
      </c>
      <c r="G186" s="770">
        <f>VLOOKUP(A186,Sheet3!A:E,5,0)</f>
        <v>149524.62</v>
      </c>
      <c r="H186" s="770">
        <f>VLOOKUP(A186,Sheet3!A:C,3,0)</f>
        <v>0</v>
      </c>
      <c r="I186" s="769">
        <f t="shared" si="14"/>
        <v>-27964.619999999995</v>
      </c>
    </row>
    <row r="187" spans="1:9" ht="13.5" thickBot="1" x14ac:dyDescent="0.25">
      <c r="A187" s="768" t="s">
        <v>11</v>
      </c>
      <c r="B187" s="768" t="s">
        <v>657</v>
      </c>
      <c r="C187" s="768" t="s">
        <v>459</v>
      </c>
      <c r="D187" s="768" t="s">
        <v>652</v>
      </c>
      <c r="E187" s="769">
        <v>30758</v>
      </c>
      <c r="F187" s="770">
        <f>VLOOKUP(A187,Sheet3!A:F,6,0)</f>
        <v>30758</v>
      </c>
      <c r="G187" s="770">
        <f>VLOOKUP(A187,Sheet3!A:E,5,0)</f>
        <v>20792.02</v>
      </c>
      <c r="H187" s="770">
        <f>VLOOKUP(A187,Sheet3!A:C,3,0)</f>
        <v>9965.98</v>
      </c>
      <c r="I187" s="769">
        <f t="shared" si="14"/>
        <v>0</v>
      </c>
    </row>
    <row r="188" spans="1:9" ht="13.5" thickBot="1" x14ac:dyDescent="0.25">
      <c r="A188" s="771" t="s">
        <v>12</v>
      </c>
      <c r="B188" s="771" t="s">
        <v>657</v>
      </c>
      <c r="C188" s="771" t="s">
        <v>655</v>
      </c>
      <c r="D188" s="771" t="s">
        <v>652</v>
      </c>
      <c r="E188" s="772">
        <v>55236</v>
      </c>
      <c r="F188" s="770">
        <f>VLOOKUP(A188,Sheet3!A:F,6,0)</f>
        <v>55236</v>
      </c>
      <c r="G188" s="770">
        <f>VLOOKUP(A188,Sheet3!A:E,5,0)</f>
        <v>86688.04</v>
      </c>
      <c r="H188" s="770">
        <f>VLOOKUP(A188,Sheet3!A:C,3,0)</f>
        <v>0</v>
      </c>
      <c r="I188" s="769">
        <f t="shared" si="14"/>
        <v>-31452.039999999994</v>
      </c>
    </row>
    <row r="189" spans="1:9" ht="13.5" thickBot="1" x14ac:dyDescent="0.25">
      <c r="A189" s="771" t="s">
        <v>13</v>
      </c>
      <c r="B189" s="771" t="s">
        <v>657</v>
      </c>
      <c r="C189" s="771" t="s">
        <v>656</v>
      </c>
      <c r="D189" s="771" t="s">
        <v>652</v>
      </c>
      <c r="E189" s="772">
        <v>14964</v>
      </c>
      <c r="F189" s="770">
        <f>VLOOKUP(A189,Sheet3!A:F,6,0)</f>
        <v>14964</v>
      </c>
      <c r="G189" s="770">
        <f>VLOOKUP(A189,Sheet3!A:E,5,0)</f>
        <v>27676.86</v>
      </c>
      <c r="H189" s="770">
        <f>VLOOKUP(A189,Sheet3!A:C,3,0)</f>
        <v>0</v>
      </c>
      <c r="I189" s="769">
        <f t="shared" si="14"/>
        <v>-12712.86</v>
      </c>
    </row>
    <row r="190" spans="1:9" ht="13.5" thickBot="1" x14ac:dyDescent="0.25">
      <c r="A190" s="771" t="s">
        <v>14</v>
      </c>
      <c r="B190" s="771" t="s">
        <v>658</v>
      </c>
      <c r="C190" s="771" t="s">
        <v>659</v>
      </c>
      <c r="D190" s="771" t="s">
        <v>652</v>
      </c>
      <c r="E190" s="772">
        <v>47825</v>
      </c>
      <c r="F190" s="770">
        <f>VLOOKUP(A190,Sheet3!A:F,6,0)</f>
        <v>47825</v>
      </c>
      <c r="G190" s="770">
        <f>VLOOKUP(A190,Sheet3!A:E,5,0)</f>
        <v>47825</v>
      </c>
      <c r="H190" s="770">
        <f>VLOOKUP(A190,Sheet3!A:C,3,0)</f>
        <v>0</v>
      </c>
      <c r="I190" s="769">
        <f t="shared" si="14"/>
        <v>0</v>
      </c>
    </row>
    <row r="191" spans="1:9" ht="13.5" thickBot="1" x14ac:dyDescent="0.25">
      <c r="A191" s="768" t="s">
        <v>15</v>
      </c>
      <c r="B191" s="768" t="s">
        <v>658</v>
      </c>
      <c r="C191" s="768" t="s">
        <v>659</v>
      </c>
      <c r="D191" s="768" t="s">
        <v>652</v>
      </c>
      <c r="E191" s="769">
        <v>196910</v>
      </c>
      <c r="F191" s="770">
        <f>VLOOKUP(A191,Sheet3!A:F,6,0)</f>
        <v>196910</v>
      </c>
      <c r="G191" s="770">
        <f>VLOOKUP(A191,Sheet3!A:E,5,0)</f>
        <v>193708.68</v>
      </c>
      <c r="H191" s="770">
        <f>VLOOKUP(A191,Sheet3!A:C,3,0)</f>
        <v>0</v>
      </c>
      <c r="I191" s="769">
        <f t="shared" si="14"/>
        <v>3201.320000000007</v>
      </c>
    </row>
    <row r="192" spans="1:9" ht="13.5" thickBot="1" x14ac:dyDescent="0.25">
      <c r="A192" s="768" t="s">
        <v>16</v>
      </c>
      <c r="B192" s="768" t="s">
        <v>660</v>
      </c>
      <c r="C192" s="768" t="s">
        <v>448</v>
      </c>
      <c r="D192" s="768" t="s">
        <v>652</v>
      </c>
      <c r="E192" s="769">
        <v>398419</v>
      </c>
      <c r="F192" s="770">
        <f>VLOOKUP(A192,Sheet3!A:F,6,0)</f>
        <v>398419</v>
      </c>
      <c r="G192" s="770">
        <f>VLOOKUP(A192,Sheet3!A:E,5,0)</f>
        <v>398419</v>
      </c>
      <c r="H192" s="770">
        <f>VLOOKUP(A192,Sheet3!A:C,3,0)</f>
        <v>0</v>
      </c>
      <c r="I192" s="769">
        <f t="shared" si="14"/>
        <v>0</v>
      </c>
    </row>
    <row r="193" spans="1:9" ht="13.5" thickBot="1" x14ac:dyDescent="0.25">
      <c r="A193" s="771" t="s">
        <v>17</v>
      </c>
      <c r="B193" s="771" t="s">
        <v>661</v>
      </c>
      <c r="C193" s="771" t="s">
        <v>442</v>
      </c>
      <c r="D193" s="771" t="s">
        <v>652</v>
      </c>
      <c r="E193" s="772">
        <v>124305</v>
      </c>
      <c r="F193" s="770">
        <f>VLOOKUP(A193,Sheet3!A:F,6,0)</f>
        <v>124305</v>
      </c>
      <c r="G193" s="770">
        <f>VLOOKUP(A193,Sheet3!A:E,5,0)</f>
        <v>124162.92</v>
      </c>
      <c r="H193" s="770">
        <f>VLOOKUP(A193,Sheet3!A:C,3,0)</f>
        <v>0</v>
      </c>
      <c r="I193" s="769">
        <f t="shared" si="14"/>
        <v>142.08000000000175</v>
      </c>
    </row>
    <row r="194" spans="1:9" ht="13.5" thickBot="1" x14ac:dyDescent="0.25">
      <c r="A194" s="771" t="s">
        <v>18</v>
      </c>
      <c r="B194" s="771" t="s">
        <v>661</v>
      </c>
      <c r="C194" s="771" t="s">
        <v>647</v>
      </c>
      <c r="D194" s="771" t="s">
        <v>652</v>
      </c>
      <c r="E194" s="772">
        <v>82700</v>
      </c>
      <c r="F194" s="770">
        <f>VLOOKUP(A194,Sheet3!A:F,6,0)</f>
        <v>82700</v>
      </c>
      <c r="G194" s="770">
        <f>VLOOKUP(A194,Sheet3!A:E,5,0)</f>
        <v>78700</v>
      </c>
      <c r="H194" s="770">
        <f>VLOOKUP(A194,Sheet3!A:C,3,0)</f>
        <v>0</v>
      </c>
      <c r="I194" s="769">
        <f t="shared" si="14"/>
        <v>4000</v>
      </c>
    </row>
    <row r="195" spans="1:9" ht="13.5" thickBot="1" x14ac:dyDescent="0.25">
      <c r="A195" s="771" t="s">
        <v>19</v>
      </c>
      <c r="B195" s="771" t="s">
        <v>661</v>
      </c>
      <c r="C195" s="771" t="s">
        <v>663</v>
      </c>
      <c r="D195" s="771" t="s">
        <v>652</v>
      </c>
      <c r="E195" s="772">
        <v>9500</v>
      </c>
      <c r="F195" s="770">
        <f>VLOOKUP(A195,Sheet3!A:F,6,0)</f>
        <v>9500</v>
      </c>
      <c r="G195" s="770">
        <f>VLOOKUP(A195,Sheet3!A:E,5,0)</f>
        <v>5569.09</v>
      </c>
      <c r="H195" s="770">
        <f>VLOOKUP(A195,Sheet3!A:C,3,0)</f>
        <v>271.97000000000003</v>
      </c>
      <c r="I195" s="769">
        <f t="shared" si="14"/>
        <v>3658.9399999999996</v>
      </c>
    </row>
    <row r="196" spans="1:9" ht="13.5" thickBot="1" x14ac:dyDescent="0.25">
      <c r="A196" s="768" t="s">
        <v>20</v>
      </c>
      <c r="B196" s="768" t="s">
        <v>661</v>
      </c>
      <c r="C196" s="768" t="s">
        <v>462</v>
      </c>
      <c r="D196" s="768" t="s">
        <v>652</v>
      </c>
      <c r="E196" s="769">
        <v>15000</v>
      </c>
      <c r="F196" s="770">
        <f>VLOOKUP(A196,Sheet3!A:F,6,0)</f>
        <v>15000</v>
      </c>
      <c r="G196" s="770">
        <f>VLOOKUP(A196,Sheet3!A:E,5,0)</f>
        <v>6353.28</v>
      </c>
      <c r="H196" s="770">
        <f>VLOOKUP(A196,Sheet3!A:C,3,0)</f>
        <v>0</v>
      </c>
      <c r="I196" s="769">
        <f t="shared" si="14"/>
        <v>8646.7200000000012</v>
      </c>
    </row>
    <row r="197" spans="1:9" ht="13.5" thickBot="1" x14ac:dyDescent="0.25">
      <c r="A197" s="768" t="s">
        <v>21</v>
      </c>
      <c r="B197" s="768" t="s">
        <v>661</v>
      </c>
      <c r="C197" s="768" t="s">
        <v>22</v>
      </c>
      <c r="D197" s="768" t="s">
        <v>652</v>
      </c>
      <c r="E197" s="769">
        <v>0</v>
      </c>
      <c r="F197" s="770">
        <f>VLOOKUP(A197,Sheet3!A:F,6,0)</f>
        <v>0</v>
      </c>
      <c r="G197" s="770">
        <f>VLOOKUP(A197,Sheet3!A:E,5,0)</f>
        <v>-81</v>
      </c>
      <c r="H197" s="770">
        <f>VLOOKUP(A197,Sheet3!A:C,3,0)</f>
        <v>0</v>
      </c>
      <c r="I197" s="769">
        <f t="shared" si="14"/>
        <v>81</v>
      </c>
    </row>
    <row r="198" spans="1:9" ht="13.5" thickBot="1" x14ac:dyDescent="0.25">
      <c r="A198" s="771" t="s">
        <v>137</v>
      </c>
      <c r="B198" s="771" t="s">
        <v>661</v>
      </c>
      <c r="C198" s="771" t="s">
        <v>664</v>
      </c>
      <c r="D198" s="771" t="s">
        <v>652</v>
      </c>
      <c r="E198" s="772">
        <v>15000</v>
      </c>
      <c r="F198" s="770">
        <f>VLOOKUP(A198,Sheet3!A:F,6,0)</f>
        <v>15000</v>
      </c>
      <c r="G198" s="770">
        <f>VLOOKUP(A198,Sheet3!A:E,5,0)</f>
        <v>34814.36</v>
      </c>
      <c r="H198" s="770">
        <f>VLOOKUP(A198,Sheet3!A:C,3,0)</f>
        <v>0</v>
      </c>
      <c r="I198" s="769">
        <f t="shared" si="14"/>
        <v>-19814.36</v>
      </c>
    </row>
    <row r="199" spans="1:9" ht="13.5" thickBot="1" x14ac:dyDescent="0.25">
      <c r="A199" s="771" t="s">
        <v>138</v>
      </c>
      <c r="B199" s="771" t="s">
        <v>661</v>
      </c>
      <c r="C199" s="771" t="s">
        <v>648</v>
      </c>
      <c r="D199" s="771" t="s">
        <v>652</v>
      </c>
      <c r="E199" s="772">
        <v>165000</v>
      </c>
      <c r="F199" s="770">
        <f>VLOOKUP(A199,Sheet3!A:F,6,0)</f>
        <v>165000</v>
      </c>
      <c r="G199" s="770">
        <f>VLOOKUP(A199,Sheet3!A:E,5,0)</f>
        <v>163353.78</v>
      </c>
      <c r="H199" s="770">
        <f>VLOOKUP(A199,Sheet3!A:C,3,0)</f>
        <v>0</v>
      </c>
      <c r="I199" s="769">
        <f t="shared" si="14"/>
        <v>1646.2200000000012</v>
      </c>
    </row>
    <row r="200" spans="1:9" ht="13.5" thickBot="1" x14ac:dyDescent="0.25">
      <c r="A200" s="771" t="s">
        <v>336</v>
      </c>
      <c r="B200" s="771" t="s">
        <v>661</v>
      </c>
      <c r="C200" s="768" t="s">
        <v>560</v>
      </c>
      <c r="D200" s="771" t="s">
        <v>652</v>
      </c>
      <c r="E200" s="772">
        <v>32983</v>
      </c>
      <c r="F200" s="770">
        <f>VLOOKUP(A200,Sheet3!A:F,6,0)</f>
        <v>32983</v>
      </c>
      <c r="G200" s="770">
        <f>VLOOKUP(A200,Sheet3!A:E,5,0)</f>
        <v>25552.53</v>
      </c>
      <c r="H200" s="770">
        <f>VLOOKUP(A200,Sheet3!A:C,3,0)</f>
        <v>0</v>
      </c>
      <c r="I200" s="769">
        <f t="shared" si="14"/>
        <v>7430.4700000000012</v>
      </c>
    </row>
    <row r="201" spans="1:9" ht="13.5" thickBot="1" x14ac:dyDescent="0.25">
      <c r="A201" s="768" t="s">
        <v>337</v>
      </c>
      <c r="B201" s="768" t="s">
        <v>661</v>
      </c>
      <c r="C201" s="768" t="s">
        <v>560</v>
      </c>
      <c r="D201" s="768" t="s">
        <v>652</v>
      </c>
      <c r="E201" s="769">
        <v>32983</v>
      </c>
      <c r="F201" s="770">
        <f>VLOOKUP(A201,Sheet3!A:F,6,0)</f>
        <v>0</v>
      </c>
      <c r="G201" s="770">
        <f>VLOOKUP(A201,Sheet3!A:E,5,0)</f>
        <v>0</v>
      </c>
      <c r="H201" s="770">
        <f>VLOOKUP(A201,Sheet3!A:C,3,0)</f>
        <v>0</v>
      </c>
      <c r="I201" s="769">
        <f t="shared" si="14"/>
        <v>0</v>
      </c>
    </row>
    <row r="202" spans="1:9" ht="13.5" thickBot="1" x14ac:dyDescent="0.25">
      <c r="A202" t="s">
        <v>986</v>
      </c>
      <c r="B202" t="s">
        <v>911</v>
      </c>
      <c r="C202" s="771" t="s">
        <v>665</v>
      </c>
      <c r="E202">
        <v>0</v>
      </c>
      <c r="F202" s="793">
        <v>32983</v>
      </c>
      <c r="G202" s="770">
        <f>VLOOKUP(A202,Sheet3!A:E,5,0)</f>
        <v>25552.560000000001</v>
      </c>
      <c r="H202" s="770">
        <f>VLOOKUP(A202,Sheet3!A:C,3,0)</f>
        <v>0</v>
      </c>
      <c r="I202" s="769">
        <f t="shared" si="14"/>
        <v>7430.4399999999987</v>
      </c>
    </row>
    <row r="203" spans="1:9" ht="13.5" thickBot="1" x14ac:dyDescent="0.25">
      <c r="A203" s="771" t="s">
        <v>271</v>
      </c>
      <c r="B203" s="771" t="s">
        <v>667</v>
      </c>
      <c r="C203" s="771" t="s">
        <v>673</v>
      </c>
      <c r="D203" s="771" t="s">
        <v>652</v>
      </c>
      <c r="E203" s="772">
        <v>140000</v>
      </c>
      <c r="F203" s="770">
        <f>VLOOKUP(A203,Sheet3!A:F,6,0)</f>
        <v>270500</v>
      </c>
      <c r="G203" s="770">
        <f>VLOOKUP(A203,Sheet3!A:E,5,0)</f>
        <v>250240.56</v>
      </c>
      <c r="H203" s="770">
        <f>VLOOKUP(A203,Sheet3!A:C,3,0)</f>
        <v>20259.439999999999</v>
      </c>
      <c r="I203" s="769">
        <f t="shared" si="14"/>
        <v>0</v>
      </c>
    </row>
    <row r="204" spans="1:9" ht="13.5" thickBot="1" x14ac:dyDescent="0.25">
      <c r="A204" s="771" t="s">
        <v>23</v>
      </c>
      <c r="B204" s="771" t="s">
        <v>667</v>
      </c>
      <c r="C204" s="771" t="s">
        <v>619</v>
      </c>
      <c r="D204" s="771" t="s">
        <v>652</v>
      </c>
      <c r="E204" s="772">
        <v>50000</v>
      </c>
      <c r="F204" s="770">
        <f>VLOOKUP(A204,Sheet3!A:F,6,0)</f>
        <v>50000</v>
      </c>
      <c r="G204" s="770">
        <f>VLOOKUP(A204,Sheet3!A:E,5,0)</f>
        <v>44151.32</v>
      </c>
      <c r="H204" s="770">
        <f>VLOOKUP(A204,Sheet3!A:C,3,0)</f>
        <v>0</v>
      </c>
      <c r="I204" s="769">
        <f t="shared" si="14"/>
        <v>5848.68</v>
      </c>
    </row>
    <row r="205" spans="1:9" s="873" customFormat="1" ht="13.5" thickBot="1" x14ac:dyDescent="0.25">
      <c r="A205" s="870" t="s">
        <v>362</v>
      </c>
      <c r="B205" s="870" t="s">
        <v>667</v>
      </c>
      <c r="C205" s="870" t="s">
        <v>662</v>
      </c>
      <c r="D205" s="870" t="s">
        <v>652</v>
      </c>
      <c r="E205" s="871">
        <v>40000</v>
      </c>
      <c r="F205" s="770">
        <f>VLOOKUP(A205,Sheet3!A:F,6,0)</f>
        <v>0</v>
      </c>
      <c r="G205" s="770">
        <f>VLOOKUP(A205,Sheet3!A:E,5,0)</f>
        <v>0</v>
      </c>
      <c r="H205" s="770">
        <f>VLOOKUP(A205,Sheet3!A:C,3,0)</f>
        <v>0</v>
      </c>
      <c r="I205" s="769">
        <f t="shared" si="14"/>
        <v>0</v>
      </c>
    </row>
    <row r="206" spans="1:9" s="873" customFormat="1" ht="13.5" thickBot="1" x14ac:dyDescent="0.25">
      <c r="A206" s="874" t="s">
        <v>674</v>
      </c>
      <c r="B206" s="874" t="s">
        <v>667</v>
      </c>
      <c r="C206" s="874" t="s">
        <v>673</v>
      </c>
      <c r="D206" s="874" t="s">
        <v>652</v>
      </c>
      <c r="E206" s="872">
        <v>0</v>
      </c>
      <c r="F206" s="770">
        <f>VLOOKUP(A206,Sheet3!A:F,6,0)</f>
        <v>0</v>
      </c>
      <c r="G206" s="770">
        <f>VLOOKUP(A206,Sheet3!A:E,5,0)</f>
        <v>0</v>
      </c>
      <c r="H206" s="770">
        <f>VLOOKUP(A206,Sheet3!A:C,3,0)</f>
        <v>0</v>
      </c>
      <c r="I206" s="769">
        <f t="shared" si="14"/>
        <v>0</v>
      </c>
    </row>
    <row r="207" spans="1:9" s="873" customFormat="1" ht="13.5" thickBot="1" x14ac:dyDescent="0.25">
      <c r="A207" s="874" t="s">
        <v>799</v>
      </c>
      <c r="B207" s="874" t="s">
        <v>667</v>
      </c>
      <c r="C207" s="874" t="s">
        <v>800</v>
      </c>
      <c r="D207" s="874" t="s">
        <v>652</v>
      </c>
      <c r="E207" s="872">
        <v>0</v>
      </c>
      <c r="F207" s="770">
        <f>VLOOKUP(A207,Sheet3!A:F,6,0)</f>
        <v>413</v>
      </c>
      <c r="G207" s="770">
        <f>VLOOKUP(A207,Sheet3!A:E,5,0)</f>
        <v>412.5</v>
      </c>
      <c r="H207" s="770">
        <f>VLOOKUP(A207,Sheet3!A:C,3,0)</f>
        <v>0</v>
      </c>
      <c r="I207" s="769">
        <f t="shared" si="14"/>
        <v>0.5</v>
      </c>
    </row>
    <row r="208" spans="1:9" s="873" customFormat="1" ht="13.5" thickBot="1" x14ac:dyDescent="0.25">
      <c r="A208" s="870" t="s">
        <v>385</v>
      </c>
      <c r="B208" s="870" t="s">
        <v>667</v>
      </c>
      <c r="C208" s="870" t="s">
        <v>662</v>
      </c>
      <c r="D208" s="870" t="s">
        <v>652</v>
      </c>
      <c r="E208" s="871">
        <v>0</v>
      </c>
      <c r="F208" s="770">
        <f>VLOOKUP(A208,Sheet3!A:F,6,0)</f>
        <v>38000</v>
      </c>
      <c r="G208" s="770">
        <f>VLOOKUP(A208,Sheet3!A:E,5,0)</f>
        <v>26975</v>
      </c>
      <c r="H208" s="770">
        <f>VLOOKUP(A208,Sheet3!A:C,3,0)</f>
        <v>0</v>
      </c>
      <c r="I208" s="769">
        <f t="shared" si="14"/>
        <v>11025</v>
      </c>
    </row>
    <row r="209" spans="1:9" s="873" customFormat="1" ht="13.5" thickBot="1" x14ac:dyDescent="0.25">
      <c r="A209" s="870" t="s">
        <v>801</v>
      </c>
      <c r="B209" s="870" t="s">
        <v>667</v>
      </c>
      <c r="C209" s="870" t="s">
        <v>556</v>
      </c>
      <c r="D209" s="870" t="s">
        <v>652</v>
      </c>
      <c r="E209" s="871">
        <v>0</v>
      </c>
      <c r="F209" s="770">
        <f>VLOOKUP(A209,Sheet3!A:F,6,0)</f>
        <v>575</v>
      </c>
      <c r="G209" s="770">
        <f>VLOOKUP(A209,Sheet3!A:E,5,0)</f>
        <v>397.14</v>
      </c>
      <c r="H209" s="770">
        <f>VLOOKUP(A209,Sheet3!A:C,3,0)</f>
        <v>0</v>
      </c>
      <c r="I209" s="769">
        <f t="shared" si="14"/>
        <v>177.86</v>
      </c>
    </row>
    <row r="210" spans="1:9" s="873" customFormat="1" ht="13.5" thickBot="1" x14ac:dyDescent="0.25">
      <c r="A210" s="870" t="s">
        <v>802</v>
      </c>
      <c r="B210" s="870" t="s">
        <v>667</v>
      </c>
      <c r="C210" s="870" t="s">
        <v>665</v>
      </c>
      <c r="D210" s="870" t="s">
        <v>652</v>
      </c>
      <c r="E210" s="871">
        <v>0</v>
      </c>
      <c r="F210" s="770">
        <f>VLOOKUP(A210,Sheet3!A:F,6,0)</f>
        <v>440</v>
      </c>
      <c r="G210" s="770">
        <f>VLOOKUP(A210,Sheet3!A:E,5,0)</f>
        <v>301.27999999999997</v>
      </c>
      <c r="H210" s="770">
        <f>VLOOKUP(A210,Sheet3!A:C,3,0)</f>
        <v>0</v>
      </c>
      <c r="I210" s="769">
        <f t="shared" si="14"/>
        <v>138.72000000000003</v>
      </c>
    </row>
    <row r="211" spans="1:9" s="873" customFormat="1" ht="13.5" thickBot="1" x14ac:dyDescent="0.25">
      <c r="A211" s="874" t="s">
        <v>677</v>
      </c>
      <c r="B211" s="874" t="s">
        <v>667</v>
      </c>
      <c r="C211" s="874" t="s">
        <v>562</v>
      </c>
      <c r="D211" s="874" t="s">
        <v>652</v>
      </c>
      <c r="E211" s="872">
        <v>0</v>
      </c>
      <c r="F211" s="770">
        <f>VLOOKUP(A211,Sheet3!A:F,6,0)</f>
        <v>572</v>
      </c>
      <c r="G211" s="770">
        <f>VLOOKUP(A211,Sheet3!A:E,5,0)</f>
        <v>404.51</v>
      </c>
      <c r="H211" s="770">
        <f>VLOOKUP(A211,Sheet3!A:C,3,0)</f>
        <v>0</v>
      </c>
      <c r="I211" s="769">
        <f t="shared" si="14"/>
        <v>167.49</v>
      </c>
    </row>
    <row r="212" spans="1:9" ht="13.5" thickBot="1" x14ac:dyDescent="0.25">
      <c r="A212" s="768" t="s">
        <v>25</v>
      </c>
      <c r="B212" s="768" t="s">
        <v>678</v>
      </c>
      <c r="C212" s="768" t="s">
        <v>679</v>
      </c>
      <c r="D212" s="768" t="s">
        <v>652</v>
      </c>
      <c r="E212" s="769">
        <v>0</v>
      </c>
      <c r="F212" s="770">
        <f>VLOOKUP(A212,Sheet3!A:F,6,0)</f>
        <v>0</v>
      </c>
      <c r="G212" s="770">
        <f>VLOOKUP(A212,Sheet3!A:E,5,0)</f>
        <v>0</v>
      </c>
      <c r="H212" s="770">
        <f>VLOOKUP(A212,Sheet3!A:C,3,0)</f>
        <v>0</v>
      </c>
      <c r="I212" s="769">
        <f t="shared" si="14"/>
        <v>0</v>
      </c>
    </row>
    <row r="213" spans="1:9" ht="13.5" thickBot="1" x14ac:dyDescent="0.25">
      <c r="A213" s="771" t="s">
        <v>424</v>
      </c>
      <c r="B213" s="771" t="s">
        <v>678</v>
      </c>
      <c r="C213" s="771" t="s">
        <v>442</v>
      </c>
      <c r="D213" s="771" t="s">
        <v>652</v>
      </c>
      <c r="E213" s="772">
        <v>15480</v>
      </c>
      <c r="F213" s="770">
        <f>VLOOKUP(A213,Sheet3!A:F,6,0)</f>
        <v>15480</v>
      </c>
      <c r="G213" s="770">
        <f>VLOOKUP(A213,Sheet3!A:E,5,0)</f>
        <v>15480</v>
      </c>
      <c r="H213" s="770">
        <f>VLOOKUP(A213,Sheet3!A:C,3,0)</f>
        <v>0</v>
      </c>
      <c r="I213" s="769">
        <f t="shared" si="14"/>
        <v>0</v>
      </c>
    </row>
    <row r="214" spans="1:9" ht="13.5" thickBot="1" x14ac:dyDescent="0.25">
      <c r="A214" s="771" t="s">
        <v>27</v>
      </c>
      <c r="B214" s="771" t="s">
        <v>678</v>
      </c>
      <c r="C214" s="771" t="s">
        <v>679</v>
      </c>
      <c r="D214" s="771" t="s">
        <v>652</v>
      </c>
      <c r="E214" s="772">
        <v>0</v>
      </c>
      <c r="F214" s="770">
        <f>VLOOKUP(A214,Sheet3!A:F,6,0)</f>
        <v>0</v>
      </c>
      <c r="G214" s="770">
        <f>VLOOKUP(A214,Sheet3!A:E,5,0)</f>
        <v>0</v>
      </c>
      <c r="H214" s="770">
        <f>VLOOKUP(A214,Sheet3!A:C,3,0)</f>
        <v>0</v>
      </c>
      <c r="I214" s="769">
        <f t="shared" si="14"/>
        <v>0</v>
      </c>
    </row>
    <row r="215" spans="1:9" ht="13.5" thickBot="1" x14ac:dyDescent="0.25">
      <c r="A215" s="771" t="s">
        <v>1047</v>
      </c>
      <c r="B215" s="771" t="s">
        <v>678</v>
      </c>
      <c r="C215" s="771" t="s">
        <v>448</v>
      </c>
      <c r="D215" s="771" t="s">
        <v>652</v>
      </c>
      <c r="E215" s="772">
        <v>7822000</v>
      </c>
      <c r="F215" s="770">
        <f>VLOOKUP(A215,Sheet3!A:F,6,0)</f>
        <v>7972000</v>
      </c>
      <c r="G215" s="770">
        <f>VLOOKUP(A215,Sheet3!A:E,5,0)</f>
        <v>7822000</v>
      </c>
      <c r="H215" s="770">
        <f>VLOOKUP(A215,Sheet3!A:C,3,0)</f>
        <v>0</v>
      </c>
      <c r="I215" s="769">
        <f t="shared" si="14"/>
        <v>150000</v>
      </c>
    </row>
    <row r="216" spans="1:9" ht="13.5" thickBot="1" x14ac:dyDescent="0.25">
      <c r="A216" s="768" t="s">
        <v>680</v>
      </c>
      <c r="B216" s="768" t="s">
        <v>681</v>
      </c>
      <c r="C216" s="768" t="s">
        <v>682</v>
      </c>
      <c r="D216" s="768" t="s">
        <v>652</v>
      </c>
      <c r="E216" s="769">
        <v>0</v>
      </c>
      <c r="F216" s="770">
        <f>VLOOKUP(A216,Sheet3!A:F,6,0)</f>
        <v>0</v>
      </c>
      <c r="G216" s="770">
        <f>VLOOKUP(A216,Sheet3!A:E,5,0)</f>
        <v>0</v>
      </c>
      <c r="H216" s="770">
        <f>VLOOKUP(A216,Sheet3!A:C,3,0)</f>
        <v>0</v>
      </c>
      <c r="I216" s="769">
        <f t="shared" si="14"/>
        <v>0</v>
      </c>
    </row>
    <row r="217" spans="1:9" ht="13.5" thickBot="1" x14ac:dyDescent="0.25">
      <c r="A217" s="768" t="s">
        <v>807</v>
      </c>
      <c r="B217" s="768" t="s">
        <v>681</v>
      </c>
      <c r="C217" s="768" t="s">
        <v>663</v>
      </c>
      <c r="D217" s="768" t="s">
        <v>652</v>
      </c>
      <c r="E217" s="769">
        <v>0</v>
      </c>
      <c r="F217" s="770">
        <f>VLOOKUP(A217,Sheet3!A:F,6,0)</f>
        <v>0</v>
      </c>
      <c r="G217" s="770">
        <f>VLOOKUP(A217,Sheet3!A:E,5,0)</f>
        <v>10.46</v>
      </c>
      <c r="H217" s="770">
        <f>VLOOKUP(A217,Sheet3!A:C,3,0)</f>
        <v>0</v>
      </c>
      <c r="I217" s="769">
        <f t="shared" si="14"/>
        <v>-10.46</v>
      </c>
    </row>
    <row r="218" spans="1:9" ht="13.5" thickBot="1" x14ac:dyDescent="0.25">
      <c r="A218" s="771" t="s">
        <v>808</v>
      </c>
      <c r="B218" s="771" t="s">
        <v>681</v>
      </c>
      <c r="C218" s="771" t="s">
        <v>809</v>
      </c>
      <c r="D218" s="771" t="s">
        <v>652</v>
      </c>
      <c r="E218" s="772">
        <v>0</v>
      </c>
      <c r="F218" s="770">
        <f>VLOOKUP(A218,Sheet3!A:F,6,0)</f>
        <v>1400</v>
      </c>
      <c r="G218" s="770">
        <f>VLOOKUP(A218,Sheet3!A:E,5,0)</f>
        <v>1400</v>
      </c>
      <c r="H218" s="770">
        <f>VLOOKUP(A218,Sheet3!A:C,3,0)</f>
        <v>0</v>
      </c>
      <c r="I218" s="769">
        <f t="shared" si="14"/>
        <v>0</v>
      </c>
    </row>
    <row r="219" spans="1:9" ht="13.5" thickBot="1" x14ac:dyDescent="0.25">
      <c r="A219" s="771" t="s">
        <v>693</v>
      </c>
      <c r="B219" s="771" t="s">
        <v>681</v>
      </c>
      <c r="C219" s="771" t="s">
        <v>448</v>
      </c>
      <c r="D219" s="771" t="s">
        <v>652</v>
      </c>
      <c r="E219" s="772">
        <v>150000</v>
      </c>
      <c r="F219" s="770">
        <f>VLOOKUP(A219,Sheet3!A:F,6,0)</f>
        <v>0</v>
      </c>
      <c r="G219" s="770">
        <f>VLOOKUP(A219,Sheet3!A:E,5,0)</f>
        <v>0</v>
      </c>
      <c r="H219" s="770">
        <f>VLOOKUP(A219,Sheet3!A:C,3,0)</f>
        <v>0</v>
      </c>
      <c r="I219" s="769">
        <f t="shared" si="14"/>
        <v>0</v>
      </c>
    </row>
    <row r="220" spans="1:9" ht="13.5" thickBot="1" x14ac:dyDescent="0.25">
      <c r="A220" s="771" t="s">
        <v>28</v>
      </c>
      <c r="B220" s="771" t="s">
        <v>694</v>
      </c>
      <c r="C220" s="771" t="s">
        <v>695</v>
      </c>
      <c r="D220" s="771" t="s">
        <v>696</v>
      </c>
      <c r="E220" s="772">
        <v>164946</v>
      </c>
      <c r="F220" s="770">
        <f>VLOOKUP(A220,Sheet3!A:F,6,0)</f>
        <v>-11436</v>
      </c>
      <c r="G220" s="770">
        <f>VLOOKUP(A220,Sheet3!A:E,5,0)</f>
        <v>0</v>
      </c>
      <c r="H220" s="770">
        <f>VLOOKUP(A220,Sheet3!A:C,3,0)</f>
        <v>0</v>
      </c>
      <c r="I220" s="769">
        <f t="shared" si="14"/>
        <v>-11436</v>
      </c>
    </row>
    <row r="221" spans="1:9" ht="13.5" thickBot="1" x14ac:dyDescent="0.25">
      <c r="A221" s="768" t="s">
        <v>29</v>
      </c>
      <c r="B221" s="768" t="s">
        <v>694</v>
      </c>
      <c r="C221" s="768" t="s">
        <v>697</v>
      </c>
      <c r="D221" s="768" t="s">
        <v>696</v>
      </c>
      <c r="E221" s="769">
        <v>7500</v>
      </c>
      <c r="F221" s="770">
        <f>VLOOKUP(A221,Sheet3!A:F,6,0)</f>
        <v>7500</v>
      </c>
      <c r="G221" s="770">
        <f>VLOOKUP(A221,Sheet3!A:E,5,0)</f>
        <v>2828.37</v>
      </c>
      <c r="H221" s="770">
        <f>VLOOKUP(A221,Sheet3!A:C,3,0)</f>
        <v>0</v>
      </c>
      <c r="I221" s="769">
        <f t="shared" si="14"/>
        <v>4671.63</v>
      </c>
    </row>
    <row r="222" spans="1:9" ht="13.5" thickBot="1" x14ac:dyDescent="0.25">
      <c r="A222" s="768" t="s">
        <v>30</v>
      </c>
      <c r="B222" s="768" t="s">
        <v>694</v>
      </c>
      <c r="C222" s="768" t="s">
        <v>702</v>
      </c>
      <c r="D222" s="768" t="s">
        <v>696</v>
      </c>
      <c r="E222" s="769">
        <v>60000</v>
      </c>
      <c r="F222" s="770">
        <f>VLOOKUP(A222,Sheet3!A:F,6,0)</f>
        <v>60000</v>
      </c>
      <c r="G222" s="770">
        <f>VLOOKUP(A222,Sheet3!A:E,5,0)</f>
        <v>60000.02</v>
      </c>
      <c r="H222" s="770">
        <f>VLOOKUP(A222,Sheet3!A:C,3,0)</f>
        <v>0</v>
      </c>
      <c r="I222" s="769">
        <f t="shared" si="14"/>
        <v>-1.9999999996798579E-2</v>
      </c>
    </row>
    <row r="223" spans="1:9" ht="13.5" thickBot="1" x14ac:dyDescent="0.25">
      <c r="A223" s="771" t="s">
        <v>31</v>
      </c>
      <c r="B223" s="771" t="s">
        <v>694</v>
      </c>
      <c r="C223" s="771" t="s">
        <v>705</v>
      </c>
      <c r="D223" s="771" t="s">
        <v>696</v>
      </c>
      <c r="E223" s="772">
        <v>200000</v>
      </c>
      <c r="F223" s="770">
        <f>VLOOKUP(A223,Sheet3!A:F,6,0)</f>
        <v>200000</v>
      </c>
      <c r="G223" s="770">
        <f>VLOOKUP(A223,Sheet3!A:E,5,0)</f>
        <v>104705.96</v>
      </c>
      <c r="H223" s="770">
        <f>VLOOKUP(A223,Sheet3!A:C,3,0)</f>
        <v>0</v>
      </c>
      <c r="I223" s="769">
        <f t="shared" si="14"/>
        <v>95294.04</v>
      </c>
    </row>
    <row r="224" spans="1:9" ht="13.5" thickBot="1" x14ac:dyDescent="0.25">
      <c r="A224" s="771" t="s">
        <v>706</v>
      </c>
      <c r="B224" s="771"/>
      <c r="C224" s="771"/>
      <c r="D224" s="771"/>
      <c r="E224" s="772"/>
      <c r="F224" s="770"/>
      <c r="G224" s="770">
        <f>VLOOKUP(A224,Sheet3!A:E,5,0)</f>
        <v>74726.48</v>
      </c>
      <c r="H224" s="770"/>
      <c r="I224" s="769"/>
    </row>
    <row r="225" spans="1:9" ht="13.5" thickBot="1" x14ac:dyDescent="0.25">
      <c r="A225" s="771" t="s">
        <v>32</v>
      </c>
      <c r="B225" s="771" t="s">
        <v>694</v>
      </c>
      <c r="C225" s="771" t="s">
        <v>621</v>
      </c>
      <c r="D225" s="771" t="s">
        <v>696</v>
      </c>
      <c r="E225" s="772">
        <v>43900</v>
      </c>
      <c r="F225" s="770">
        <f>VLOOKUP(A225,Sheet3!A:F,6,0)</f>
        <v>43900</v>
      </c>
      <c r="G225" s="770">
        <f>VLOOKUP(A225,Sheet3!A:E,5,0)</f>
        <v>47080.26</v>
      </c>
      <c r="H225" s="770">
        <f>VLOOKUP(A225,Sheet3!A:C,3,0)</f>
        <v>-2856.21</v>
      </c>
      <c r="I225" s="769">
        <f t="shared" si="14"/>
        <v>-324.050000000002</v>
      </c>
    </row>
    <row r="226" spans="1:9" s="813" customFormat="1" ht="13.5" thickBot="1" x14ac:dyDescent="0.25">
      <c r="A226" s="814" t="s">
        <v>33</v>
      </c>
      <c r="B226" s="814" t="s">
        <v>694</v>
      </c>
      <c r="C226" s="814" t="s">
        <v>442</v>
      </c>
      <c r="D226" s="814" t="s">
        <v>696</v>
      </c>
      <c r="E226" s="815">
        <v>159057</v>
      </c>
      <c r="F226" s="811">
        <f>VLOOKUP(A226,Sheet3!A:F,6,0)</f>
        <v>179057</v>
      </c>
      <c r="G226" s="811">
        <f>VLOOKUP(A226,Sheet3!A:E,5,0)</f>
        <v>175259.76</v>
      </c>
      <c r="H226" s="770">
        <f>VLOOKUP(A226,Sheet3!A:C,3,0)</f>
        <v>6867.95</v>
      </c>
      <c r="I226" s="810">
        <f t="shared" si="14"/>
        <v>-3070.7100000000091</v>
      </c>
    </row>
    <row r="227" spans="1:9" ht="13.5" thickBot="1" x14ac:dyDescent="0.25">
      <c r="A227" s="768" t="s">
        <v>34</v>
      </c>
      <c r="B227" s="768" t="s">
        <v>694</v>
      </c>
      <c r="C227" s="768" t="s">
        <v>707</v>
      </c>
      <c r="D227" s="768" t="s">
        <v>696</v>
      </c>
      <c r="E227" s="769">
        <v>90000</v>
      </c>
      <c r="F227" s="770">
        <f>VLOOKUP(A227,Sheet3!A:F,6,0)</f>
        <v>70000</v>
      </c>
      <c r="G227" s="770">
        <f>VLOOKUP(A227,Sheet3!A:E,5,0)</f>
        <v>28140.18</v>
      </c>
      <c r="H227" s="770">
        <f>VLOOKUP(A227,Sheet3!A:C,3,0)</f>
        <v>33488.82</v>
      </c>
      <c r="I227" s="769">
        <f t="shared" si="14"/>
        <v>8371</v>
      </c>
    </row>
    <row r="228" spans="1:9" ht="13.5" thickBot="1" x14ac:dyDescent="0.25">
      <c r="A228" s="768" t="s">
        <v>35</v>
      </c>
      <c r="B228" s="768" t="s">
        <v>694</v>
      </c>
      <c r="C228" s="768" t="s">
        <v>810</v>
      </c>
      <c r="D228" s="768" t="s">
        <v>696</v>
      </c>
      <c r="E228" s="769">
        <v>3000</v>
      </c>
      <c r="F228" s="770">
        <f>VLOOKUP(A228,Sheet3!A:F,6,0)</f>
        <v>3000</v>
      </c>
      <c r="G228" s="770">
        <f>VLOOKUP(A228,Sheet3!A:E,5,0)</f>
        <v>0</v>
      </c>
      <c r="H228" s="770">
        <f>VLOOKUP(A228,Sheet3!A:C,3,0)</f>
        <v>0</v>
      </c>
      <c r="I228" s="769">
        <f t="shared" si="14"/>
        <v>3000</v>
      </c>
    </row>
    <row r="229" spans="1:9" ht="13.5" thickBot="1" x14ac:dyDescent="0.25">
      <c r="A229" s="771" t="s">
        <v>36</v>
      </c>
      <c r="B229" s="771" t="s">
        <v>709</v>
      </c>
      <c r="C229" s="771" t="s">
        <v>710</v>
      </c>
      <c r="D229" s="771" t="s">
        <v>696</v>
      </c>
      <c r="E229" s="772">
        <v>5200</v>
      </c>
      <c r="F229" s="770">
        <f>VLOOKUP(A229,Sheet3!A:F,6,0)</f>
        <v>5200</v>
      </c>
      <c r="G229" s="770">
        <f>VLOOKUP(A229,Sheet3!A:E,5,0)</f>
        <v>0</v>
      </c>
      <c r="H229" s="770">
        <f>VLOOKUP(A229,Sheet3!A:C,3,0)</f>
        <v>0</v>
      </c>
      <c r="I229" s="769">
        <f t="shared" si="14"/>
        <v>5200</v>
      </c>
    </row>
    <row r="230" spans="1:9" ht="13.5" thickBot="1" x14ac:dyDescent="0.25">
      <c r="A230" s="771" t="s">
        <v>37</v>
      </c>
      <c r="B230" s="771" t="s">
        <v>711</v>
      </c>
      <c r="C230" s="771" t="s">
        <v>712</v>
      </c>
      <c r="D230" s="771" t="s">
        <v>696</v>
      </c>
      <c r="E230" s="772">
        <v>1000</v>
      </c>
      <c r="F230" s="770">
        <f>VLOOKUP(A230,Sheet3!A:F,6,0)</f>
        <v>1000</v>
      </c>
      <c r="G230" s="770">
        <f>VLOOKUP(A230,Sheet3!A:E,5,0)</f>
        <v>0</v>
      </c>
      <c r="H230" s="770">
        <f>VLOOKUP(A230,Sheet3!A:C,3,0)</f>
        <v>0</v>
      </c>
      <c r="I230" s="769">
        <f t="shared" si="14"/>
        <v>1000</v>
      </c>
    </row>
    <row r="231" spans="1:9" ht="13.5" thickBot="1" x14ac:dyDescent="0.25">
      <c r="A231" s="771" t="s">
        <v>40</v>
      </c>
      <c r="B231" s="771" t="s">
        <v>713</v>
      </c>
      <c r="C231" s="771" t="s">
        <v>710</v>
      </c>
      <c r="D231" s="771" t="s">
        <v>39</v>
      </c>
      <c r="E231" s="772">
        <v>4000</v>
      </c>
      <c r="F231" s="770">
        <f>VLOOKUP(A231,Sheet3!A:F,6,0)</f>
        <v>4000</v>
      </c>
      <c r="G231" s="770">
        <f>VLOOKUP(A231,Sheet3!A:E,5,0)</f>
        <v>2639.86</v>
      </c>
      <c r="H231" s="770">
        <f>VLOOKUP(A231,Sheet3!A:C,3,0)</f>
        <v>211</v>
      </c>
      <c r="I231" s="769">
        <f t="shared" si="14"/>
        <v>1149.1399999999999</v>
      </c>
    </row>
    <row r="232" spans="1:9" ht="13.5" thickBot="1" x14ac:dyDescent="0.25">
      <c r="A232" s="768" t="s">
        <v>326</v>
      </c>
      <c r="B232" s="768" t="s">
        <v>715</v>
      </c>
      <c r="C232" s="768" t="s">
        <v>442</v>
      </c>
      <c r="D232" s="768" t="s">
        <v>717</v>
      </c>
      <c r="E232" s="769">
        <v>20000</v>
      </c>
      <c r="F232" s="770">
        <f>VLOOKUP(A232,Sheet3!A:F,6,0)</f>
        <v>17941</v>
      </c>
      <c r="G232" s="770">
        <f>VLOOKUP(A232,Sheet3!A:E,5,0)</f>
        <v>17940.150000000001</v>
      </c>
      <c r="H232" s="770">
        <f>VLOOKUP(A232,Sheet3!A:C,3,0)</f>
        <v>0</v>
      </c>
      <c r="I232" s="769">
        <f t="shared" si="14"/>
        <v>0.84999999999854481</v>
      </c>
    </row>
    <row r="233" spans="1:9" ht="13.5" thickBot="1" x14ac:dyDescent="0.25">
      <c r="A233" s="768" t="s">
        <v>318</v>
      </c>
      <c r="B233" s="768" t="s">
        <v>718</v>
      </c>
      <c r="C233" s="768" t="s">
        <v>442</v>
      </c>
      <c r="D233" s="768" t="s">
        <v>717</v>
      </c>
      <c r="E233" s="769">
        <v>12124</v>
      </c>
      <c r="F233" s="770">
        <f>VLOOKUP(A233,Sheet3!A:F,6,0)</f>
        <v>11124</v>
      </c>
      <c r="G233" s="770">
        <f>VLOOKUP(A233,Sheet3!A:E,5,0)</f>
        <v>9288.51</v>
      </c>
      <c r="H233" s="770">
        <f>VLOOKUP(A233,Sheet3!A:C,3,0)</f>
        <v>1835.36</v>
      </c>
      <c r="I233" s="769">
        <f t="shared" si="14"/>
        <v>0.12999999999988177</v>
      </c>
    </row>
    <row r="234" spans="1:9" ht="13.5" thickBot="1" x14ac:dyDescent="0.25">
      <c r="A234" s="771" t="s">
        <v>319</v>
      </c>
      <c r="B234" s="771" t="s">
        <v>718</v>
      </c>
      <c r="C234" s="771" t="s">
        <v>451</v>
      </c>
      <c r="D234" s="771" t="s">
        <v>717</v>
      </c>
      <c r="E234" s="772">
        <v>6578</v>
      </c>
      <c r="F234" s="770">
        <f>VLOOKUP(A234,Sheet3!A:F,6,0)</f>
        <v>6578</v>
      </c>
      <c r="G234" s="770">
        <f>VLOOKUP(A234,Sheet3!A:E,5,0)</f>
        <v>6200</v>
      </c>
      <c r="H234" s="770">
        <f>VLOOKUP(A234,Sheet3!A:C,3,0)</f>
        <v>0</v>
      </c>
      <c r="I234" s="769">
        <f t="shared" si="14"/>
        <v>378</v>
      </c>
    </row>
    <row r="235" spans="1:9" ht="13.5" thickBot="1" x14ac:dyDescent="0.25">
      <c r="A235" s="771" t="s">
        <v>315</v>
      </c>
      <c r="B235" s="771" t="s">
        <v>719</v>
      </c>
      <c r="C235" s="771" t="s">
        <v>716</v>
      </c>
      <c r="D235" s="771" t="s">
        <v>717</v>
      </c>
      <c r="E235" s="772">
        <v>5124</v>
      </c>
      <c r="F235" s="770">
        <f>VLOOKUP(A235,Sheet3!A:F,6,0)</f>
        <v>7124</v>
      </c>
      <c r="G235" s="770">
        <f>VLOOKUP(A235,Sheet3!A:E,5,0)</f>
        <v>5947</v>
      </c>
      <c r="H235" s="770">
        <f>VLOOKUP(A235,Sheet3!A:C,3,0)</f>
        <v>380</v>
      </c>
      <c r="I235" s="769">
        <f t="shared" si="14"/>
        <v>797</v>
      </c>
    </row>
    <row r="236" spans="1:9" ht="13.5" thickBot="1" x14ac:dyDescent="0.25">
      <c r="A236" s="771" t="s">
        <v>355</v>
      </c>
      <c r="B236" s="771" t="s">
        <v>719</v>
      </c>
      <c r="C236" s="771" t="s">
        <v>442</v>
      </c>
      <c r="D236" s="771" t="s">
        <v>717</v>
      </c>
      <c r="E236" s="772">
        <v>4590</v>
      </c>
      <c r="F236" s="770">
        <f>VLOOKUP(A236,Sheet3!A:F,6,0)</f>
        <v>4590</v>
      </c>
      <c r="G236" s="770">
        <f>VLOOKUP(A236,Sheet3!A:E,5,0)</f>
        <v>0</v>
      </c>
      <c r="H236" s="770">
        <f>VLOOKUP(A236,Sheet3!A:C,3,0)</f>
        <v>0</v>
      </c>
      <c r="I236" s="769">
        <f t="shared" si="14"/>
        <v>4590</v>
      </c>
    </row>
    <row r="237" spans="1:9" ht="13.5" thickBot="1" x14ac:dyDescent="0.25">
      <c r="A237" s="768" t="s">
        <v>317</v>
      </c>
      <c r="B237" s="768" t="s">
        <v>710</v>
      </c>
      <c r="C237" s="768" t="s">
        <v>716</v>
      </c>
      <c r="D237" s="768" t="s">
        <v>717</v>
      </c>
      <c r="E237" s="769">
        <v>7000</v>
      </c>
      <c r="F237" s="770">
        <f>VLOOKUP(A237,Sheet3!A:F,6,0)</f>
        <v>0</v>
      </c>
      <c r="G237" s="770">
        <f>VLOOKUP(A237,Sheet3!A:E,5,0)</f>
        <v>0</v>
      </c>
      <c r="H237" s="770">
        <f>VLOOKUP(A237,Sheet3!A:C,3,0)</f>
        <v>0</v>
      </c>
      <c r="I237" s="769">
        <f t="shared" si="14"/>
        <v>0</v>
      </c>
    </row>
    <row r="238" spans="1:9" ht="13.5" thickBot="1" x14ac:dyDescent="0.25">
      <c r="A238" s="768" t="s">
        <v>1017</v>
      </c>
      <c r="B238" s="768"/>
      <c r="C238" s="768"/>
      <c r="D238" s="768"/>
      <c r="E238" s="769"/>
      <c r="F238" s="770">
        <f>VLOOKUP(A238,Sheet3!A:F,6,0)</f>
        <v>7000</v>
      </c>
      <c r="G238" s="770">
        <f>VLOOKUP(A238,Sheet3!A:E,5,0)</f>
        <v>4194.6400000000003</v>
      </c>
      <c r="H238" s="770">
        <f>VLOOKUP(A238,Sheet3!A:C,3,0)</f>
        <v>0</v>
      </c>
      <c r="I238" s="769">
        <f t="shared" ref="I238" si="15">F238-G238-H238</f>
        <v>2805.3599999999997</v>
      </c>
    </row>
    <row r="239" spans="1:9" ht="13.5" thickBot="1" x14ac:dyDescent="0.25">
      <c r="A239" s="768" t="s">
        <v>316</v>
      </c>
      <c r="B239" s="768" t="s">
        <v>720</v>
      </c>
      <c r="C239" s="768" t="s">
        <v>716</v>
      </c>
      <c r="D239" s="768" t="s">
        <v>717</v>
      </c>
      <c r="E239" s="769">
        <v>13700</v>
      </c>
      <c r="F239" s="770">
        <f>VLOOKUP(A239,Sheet3!A:F,6,0)</f>
        <v>14759</v>
      </c>
      <c r="G239" s="770">
        <f>VLOOKUP(A239,Sheet3!A:E,5,0)</f>
        <v>13708.29</v>
      </c>
      <c r="H239" s="770">
        <f>VLOOKUP(A239,Sheet3!A:C,3,0)</f>
        <v>1089.3499999999999</v>
      </c>
      <c r="I239" s="769">
        <f t="shared" si="14"/>
        <v>-38.640000000000782</v>
      </c>
    </row>
    <row r="240" spans="1:9" ht="13.5" thickBot="1" x14ac:dyDescent="0.25">
      <c r="A240" s="771" t="s">
        <v>314</v>
      </c>
      <c r="B240" s="771" t="s">
        <v>156</v>
      </c>
      <c r="C240" s="771" t="s">
        <v>716</v>
      </c>
      <c r="D240" s="771" t="s">
        <v>717</v>
      </c>
      <c r="E240" s="772">
        <v>38000</v>
      </c>
      <c r="F240" s="770">
        <f>VLOOKUP(A240,Sheet3!A:F,6,0)</f>
        <v>38000</v>
      </c>
      <c r="G240" s="770">
        <f>VLOOKUP(A240,Sheet3!A:E,5,0)</f>
        <v>35615.879999999997</v>
      </c>
      <c r="H240" s="770">
        <f>VLOOKUP(A240,Sheet3!A:C,3,0)</f>
        <v>2384.12</v>
      </c>
      <c r="I240" s="769">
        <f t="shared" si="14"/>
        <v>0</v>
      </c>
    </row>
    <row r="241" spans="1:9" ht="13.5" thickBot="1" x14ac:dyDescent="0.25">
      <c r="A241" s="771" t="s">
        <v>146</v>
      </c>
      <c r="B241" s="771" t="s">
        <v>721</v>
      </c>
      <c r="C241" s="771" t="s">
        <v>722</v>
      </c>
      <c r="D241" s="771" t="s">
        <v>723</v>
      </c>
      <c r="E241" s="772">
        <v>7000</v>
      </c>
      <c r="F241" s="770">
        <f>VLOOKUP(A241,Sheet3!A:F,6,0)</f>
        <v>7000</v>
      </c>
      <c r="G241" s="770">
        <f>VLOOKUP(A241,Sheet3!A:E,5,0)</f>
        <v>5471.81</v>
      </c>
      <c r="H241" s="770">
        <f>VLOOKUP(A241,Sheet3!A:C,3,0)</f>
        <v>559.88</v>
      </c>
      <c r="I241" s="769">
        <f t="shared" si="14"/>
        <v>968.3099999999996</v>
      </c>
    </row>
    <row r="242" spans="1:9" ht="13.5" thickBot="1" x14ac:dyDescent="0.25">
      <c r="A242" s="771" t="s">
        <v>41</v>
      </c>
      <c r="B242" s="771" t="s">
        <v>721</v>
      </c>
      <c r="C242" s="771" t="s">
        <v>563</v>
      </c>
      <c r="D242" s="771" t="s">
        <v>723</v>
      </c>
      <c r="E242" s="772">
        <v>679644</v>
      </c>
      <c r="F242" s="770">
        <f>VLOOKUP(A242,Sheet3!A:F,6,0)</f>
        <v>679644</v>
      </c>
      <c r="G242" s="770">
        <f>VLOOKUP(A242,Sheet3!A:E,5,0)</f>
        <v>668275.36</v>
      </c>
      <c r="H242" s="770">
        <f>VLOOKUP(A242,Sheet3!A:C,3,0)</f>
        <v>0</v>
      </c>
      <c r="I242" s="769">
        <f t="shared" si="14"/>
        <v>11368.640000000014</v>
      </c>
    </row>
    <row r="243" spans="1:9" ht="13.5" thickBot="1" x14ac:dyDescent="0.25">
      <c r="A243" s="768" t="s">
        <v>811</v>
      </c>
      <c r="B243" s="768" t="s">
        <v>812</v>
      </c>
      <c r="C243" s="768" t="s">
        <v>621</v>
      </c>
      <c r="D243" s="768" t="s">
        <v>723</v>
      </c>
      <c r="E243" s="769">
        <v>21100</v>
      </c>
      <c r="F243" s="770">
        <f>VLOOKUP(A243,Sheet3!A:F,6,0)</f>
        <v>21100</v>
      </c>
      <c r="G243" s="770">
        <f>VLOOKUP(A243,Sheet3!A:E,5,0)</f>
        <v>19321.68</v>
      </c>
      <c r="H243" s="770">
        <f>VLOOKUP(A243,Sheet3!A:C,3,0)</f>
        <v>657.47</v>
      </c>
      <c r="I243" s="769">
        <f t="shared" ref="I243:I261" si="16">F243-G243-H243</f>
        <v>1120.8499999999997</v>
      </c>
    </row>
    <row r="244" spans="1:9" ht="13.5" thickBot="1" x14ac:dyDescent="0.25">
      <c r="A244" s="768" t="s">
        <v>813</v>
      </c>
      <c r="B244" s="768" t="s">
        <v>812</v>
      </c>
      <c r="C244" s="768" t="s">
        <v>442</v>
      </c>
      <c r="D244" s="768" t="s">
        <v>723</v>
      </c>
      <c r="E244" s="769">
        <v>57000</v>
      </c>
      <c r="F244" s="770">
        <f>VLOOKUP(A244,Sheet3!A:F,6,0)</f>
        <v>57000</v>
      </c>
      <c r="G244" s="770">
        <f>VLOOKUP(A244,Sheet3!A:E,5,0)</f>
        <v>48445.01</v>
      </c>
      <c r="H244" s="770">
        <f>VLOOKUP(A244,Sheet3!A:C,3,0)</f>
        <v>1380.89</v>
      </c>
      <c r="I244" s="769">
        <f t="shared" si="16"/>
        <v>7174.0999999999976</v>
      </c>
    </row>
    <row r="245" spans="1:9" ht="13.5" thickBot="1" x14ac:dyDescent="0.25">
      <c r="A245" s="771" t="s">
        <v>44</v>
      </c>
      <c r="B245" s="771" t="s">
        <v>724</v>
      </c>
      <c r="C245" s="771" t="s">
        <v>621</v>
      </c>
      <c r="D245" s="771" t="s">
        <v>725</v>
      </c>
      <c r="E245" s="772">
        <v>48817</v>
      </c>
      <c r="F245" s="770">
        <f>VLOOKUP(A245,Sheet3!A:F,6,0)</f>
        <v>51538</v>
      </c>
      <c r="G245" s="770">
        <f>VLOOKUP(A245,Sheet3!A:E,5,0)</f>
        <v>24002.84</v>
      </c>
      <c r="H245" s="770">
        <f>VLOOKUP(A245,Sheet3!A:C,3,0)</f>
        <v>2440.3000000000002</v>
      </c>
      <c r="I245" s="769">
        <f t="shared" si="16"/>
        <v>25094.86</v>
      </c>
    </row>
    <row r="246" spans="1:9" ht="13.5" thickBot="1" x14ac:dyDescent="0.25">
      <c r="A246" s="768" t="s">
        <v>420</v>
      </c>
      <c r="B246" s="768" t="s">
        <v>724</v>
      </c>
      <c r="C246" s="768" t="s">
        <v>451</v>
      </c>
      <c r="D246" s="768" t="s">
        <v>725</v>
      </c>
      <c r="E246" s="769">
        <v>219443</v>
      </c>
      <c r="F246" s="770">
        <f>VLOOKUP(A246,Sheet3!A:F,6,0)</f>
        <v>219443</v>
      </c>
      <c r="G246" s="770">
        <f>VLOOKUP(A246,Sheet3!A:E,5,0)</f>
        <v>215658.52</v>
      </c>
      <c r="H246" s="770">
        <f>VLOOKUP(A246,Sheet3!A:C,3,0)</f>
        <v>195</v>
      </c>
      <c r="I246" s="769">
        <f t="shared" si="16"/>
        <v>3589.4800000000105</v>
      </c>
    </row>
    <row r="247" spans="1:9" s="813" customFormat="1" ht="13.5" thickBot="1" x14ac:dyDescent="0.25">
      <c r="A247" s="933" t="s">
        <v>47</v>
      </c>
      <c r="B247" s="933" t="s">
        <v>724</v>
      </c>
      <c r="C247" s="933" t="s">
        <v>469</v>
      </c>
      <c r="D247" s="933" t="s">
        <v>725</v>
      </c>
      <c r="E247" s="934">
        <v>855979</v>
      </c>
      <c r="F247" s="770">
        <f>VLOOKUP(A247,Sheet3!A:F,6,0)-7017</f>
        <v>855979</v>
      </c>
      <c r="G247" s="770">
        <f>VLOOKUP(A247,Sheet3!A:E,5,0)-G256</f>
        <v>822994.90999999992</v>
      </c>
      <c r="H247" s="770">
        <f>VLOOKUP(A247,Sheet3!A:C,3,0)</f>
        <v>1038.25</v>
      </c>
      <c r="I247" s="769">
        <f t="shared" si="16"/>
        <v>31945.840000000084</v>
      </c>
    </row>
    <row r="248" spans="1:9" ht="13.5" thickBot="1" x14ac:dyDescent="0.25">
      <c r="A248" s="771" t="s">
        <v>48</v>
      </c>
      <c r="B248" s="771" t="s">
        <v>724</v>
      </c>
      <c r="C248" s="771" t="s">
        <v>727</v>
      </c>
      <c r="D248" s="771" t="s">
        <v>725</v>
      </c>
      <c r="E248" s="772">
        <v>50000</v>
      </c>
      <c r="F248" s="770">
        <f>VLOOKUP(A248,Sheet3!A:F,6,0)</f>
        <v>50000</v>
      </c>
      <c r="G248" s="770">
        <f>VLOOKUP(A248,Sheet3!A:E,5,0)</f>
        <v>44269.89</v>
      </c>
      <c r="H248" s="770">
        <f>VLOOKUP(A248,Sheet3!A:C,3,0)</f>
        <v>0</v>
      </c>
      <c r="I248" s="769">
        <f>F248-G248-H248</f>
        <v>5730.1100000000006</v>
      </c>
    </row>
    <row r="249" spans="1:9" ht="13.5" thickBot="1" x14ac:dyDescent="0.25">
      <c r="A249" s="768" t="s">
        <v>50</v>
      </c>
      <c r="B249" s="768" t="s">
        <v>729</v>
      </c>
      <c r="C249" s="768" t="s">
        <v>730</v>
      </c>
      <c r="D249" s="768" t="s">
        <v>725</v>
      </c>
      <c r="E249" s="769">
        <v>157118</v>
      </c>
      <c r="F249" s="770">
        <f>VLOOKUP(A249,Sheet3!A:F,6,0)</f>
        <v>157118</v>
      </c>
      <c r="G249" s="770">
        <f>VLOOKUP(A249,Sheet3!A:E,5,0)</f>
        <v>147064.25</v>
      </c>
      <c r="H249" s="770">
        <f>VLOOKUP(A249,Sheet3!A:C,3,0)</f>
        <v>7935.75</v>
      </c>
      <c r="I249" s="769">
        <f t="shared" si="16"/>
        <v>2118</v>
      </c>
    </row>
    <row r="250" spans="1:9" ht="13.5" thickBot="1" x14ac:dyDescent="0.25">
      <c r="A250" s="768" t="s">
        <v>51</v>
      </c>
      <c r="B250" s="768" t="s">
        <v>729</v>
      </c>
      <c r="C250" s="768" t="s">
        <v>731</v>
      </c>
      <c r="D250" s="768" t="s">
        <v>725</v>
      </c>
      <c r="E250" s="769">
        <v>52000</v>
      </c>
      <c r="F250" s="770">
        <f>VLOOKUP(A250,Sheet3!A:F,6,0)</f>
        <v>54361</v>
      </c>
      <c r="G250" s="770">
        <f>VLOOKUP(A250,Sheet3!A:E,5,0)</f>
        <v>31481.87</v>
      </c>
      <c r="H250" s="770">
        <f>VLOOKUP(A250,Sheet3!A:C,3,0)</f>
        <v>21798.2</v>
      </c>
      <c r="I250" s="769">
        <f t="shared" si="16"/>
        <v>1080.9300000000003</v>
      </c>
    </row>
    <row r="251" spans="1:9" ht="13.5" thickBot="1" x14ac:dyDescent="0.25">
      <c r="A251" s="771" t="s">
        <v>53</v>
      </c>
      <c r="B251" s="771" t="s">
        <v>732</v>
      </c>
      <c r="C251" s="771" t="s">
        <v>442</v>
      </c>
      <c r="D251" s="771" t="s">
        <v>733</v>
      </c>
      <c r="E251" s="772">
        <v>380073</v>
      </c>
      <c r="F251" s="770">
        <f>VLOOKUP(A251,Sheet3!A:F,6,0)-F260</f>
        <v>380073</v>
      </c>
      <c r="G251" s="770">
        <f>VLOOKUP(A251,Sheet3!A:E,5,0)-G260</f>
        <v>337296.03</v>
      </c>
      <c r="H251" s="770">
        <f>VLOOKUP(A251,Sheet3!A:C,3,0)</f>
        <v>42179.05</v>
      </c>
      <c r="I251" s="769">
        <f t="shared" si="16"/>
        <v>597.91999999996915</v>
      </c>
    </row>
    <row r="252" spans="1:9" ht="13.5" thickBot="1" x14ac:dyDescent="0.25">
      <c r="A252" s="771" t="s">
        <v>54</v>
      </c>
      <c r="B252" s="771" t="s">
        <v>732</v>
      </c>
      <c r="C252" s="771" t="s">
        <v>55</v>
      </c>
      <c r="D252" s="771" t="s">
        <v>733</v>
      </c>
      <c r="E252" s="772">
        <v>60000</v>
      </c>
      <c r="F252" s="770">
        <f>VLOOKUP(A252,Sheet3!A:F,6,0)</f>
        <v>60000</v>
      </c>
      <c r="G252" s="770">
        <f>VLOOKUP(A252,Sheet3!A:E,5,0)</f>
        <v>66407.87</v>
      </c>
      <c r="H252" s="770">
        <f>VLOOKUP(A252,Sheet3!A:C,3,0)</f>
        <v>0</v>
      </c>
      <c r="I252" s="769">
        <f t="shared" si="16"/>
        <v>-6407.8699999999953</v>
      </c>
    </row>
    <row r="253" spans="1:9" ht="13.5" thickBot="1" x14ac:dyDescent="0.25">
      <c r="A253" s="768" t="s">
        <v>56</v>
      </c>
      <c r="B253" s="768" t="s">
        <v>734</v>
      </c>
      <c r="C253" s="768" t="s">
        <v>621</v>
      </c>
      <c r="D253" s="768" t="s">
        <v>733</v>
      </c>
      <c r="E253" s="769">
        <v>0</v>
      </c>
      <c r="F253" s="770">
        <f>VLOOKUP(A253,Sheet3!A:F,6,0)</f>
        <v>0</v>
      </c>
      <c r="G253" s="770">
        <f>VLOOKUP(A253,Sheet3!A:E,5,0)</f>
        <v>0</v>
      </c>
      <c r="H253" s="770">
        <f>VLOOKUP(A253,Sheet3!A:C,3,0)</f>
        <v>0</v>
      </c>
      <c r="I253" s="769">
        <f t="shared" si="16"/>
        <v>0</v>
      </c>
    </row>
    <row r="254" spans="1:9" ht="13.5" thickBot="1" x14ac:dyDescent="0.25">
      <c r="A254" s="768" t="s">
        <v>57</v>
      </c>
      <c r="B254" s="768" t="s">
        <v>734</v>
      </c>
      <c r="C254" s="768" t="s">
        <v>442</v>
      </c>
      <c r="D254" s="768" t="s">
        <v>733</v>
      </c>
      <c r="E254" s="769">
        <v>0</v>
      </c>
      <c r="F254" s="770">
        <f>VLOOKUP(A254,Sheet3!A:F,6,0)</f>
        <v>0</v>
      </c>
      <c r="G254" s="770">
        <f>VLOOKUP(A254,Sheet3!A:E,5,0)</f>
        <v>452.61</v>
      </c>
      <c r="H254" s="770">
        <f>VLOOKUP(A254,Sheet3!A:C,3,0)</f>
        <v>0</v>
      </c>
      <c r="I254" s="769">
        <f t="shared" si="16"/>
        <v>-452.61</v>
      </c>
    </row>
    <row r="255" spans="1:9" ht="12.75" customHeight="1" thickBot="1" x14ac:dyDescent="0.25">
      <c r="D255" s="893" t="s">
        <v>989</v>
      </c>
      <c r="E255" s="891">
        <f>SUM(E177:E254)</f>
        <v>14829787</v>
      </c>
      <c r="F255" s="891">
        <f>SUM(F177:F254)</f>
        <v>14788987</v>
      </c>
      <c r="G255" s="891">
        <f>SUM(G177:G254)</f>
        <v>14382374.489999996</v>
      </c>
      <c r="H255" s="891">
        <f>SUM(H177:H254)</f>
        <v>164526.78000000003</v>
      </c>
      <c r="I255" s="891">
        <f>SUM(I177:I254)</f>
        <v>316812.2100000002</v>
      </c>
    </row>
    <row r="256" spans="1:9" ht="12.75" customHeight="1" thickBot="1" x14ac:dyDescent="0.25">
      <c r="A256" s="814" t="s">
        <v>47</v>
      </c>
      <c r="B256" s="814" t="s">
        <v>724</v>
      </c>
      <c r="C256" s="814" t="s">
        <v>469</v>
      </c>
      <c r="D256" s="814" t="s">
        <v>725</v>
      </c>
      <c r="E256" s="815"/>
      <c r="F256" s="811">
        <v>7017</v>
      </c>
      <c r="G256" s="811">
        <v>7016.67</v>
      </c>
      <c r="H256" s="811"/>
      <c r="I256" s="810">
        <f t="shared" ref="I256" si="17">F256-G256-H256</f>
        <v>0.32999999999992724</v>
      </c>
    </row>
    <row r="257" spans="1:9" ht="13.5" thickBot="1" x14ac:dyDescent="0.25">
      <c r="A257" s="814" t="s">
        <v>45</v>
      </c>
      <c r="B257" s="814" t="s">
        <v>724</v>
      </c>
      <c r="C257" s="814" t="s">
        <v>726</v>
      </c>
      <c r="D257" s="814" t="s">
        <v>725</v>
      </c>
      <c r="E257" s="815"/>
      <c r="F257" s="811">
        <v>21217</v>
      </c>
      <c r="G257" s="811">
        <v>21217.3</v>
      </c>
      <c r="H257" s="811"/>
      <c r="I257" s="810">
        <f t="shared" si="16"/>
        <v>-0.2999999999992724</v>
      </c>
    </row>
    <row r="258" spans="1:9" ht="13.5" thickBot="1" x14ac:dyDescent="0.25">
      <c r="A258" s="814" t="s">
        <v>49</v>
      </c>
      <c r="B258" s="814" t="s">
        <v>728</v>
      </c>
      <c r="C258" s="814" t="s">
        <v>469</v>
      </c>
      <c r="D258" s="814" t="s">
        <v>725</v>
      </c>
      <c r="E258" s="815"/>
      <c r="F258" s="811">
        <v>14521</v>
      </c>
      <c r="G258" s="811">
        <v>14519.89</v>
      </c>
      <c r="H258" s="811"/>
      <c r="I258" s="810">
        <f t="shared" si="16"/>
        <v>1.1100000000005821</v>
      </c>
    </row>
    <row r="259" spans="1:9" ht="13.5" thickBot="1" x14ac:dyDescent="0.25">
      <c r="A259" s="814" t="s">
        <v>52</v>
      </c>
      <c r="B259" s="814" t="s">
        <v>729</v>
      </c>
      <c r="C259" s="814" t="s">
        <v>469</v>
      </c>
      <c r="D259" s="814" t="s">
        <v>725</v>
      </c>
      <c r="E259" s="815"/>
      <c r="F259" s="811">
        <v>3928</v>
      </c>
      <c r="G259" s="811">
        <v>3928.5</v>
      </c>
      <c r="H259" s="811"/>
      <c r="I259" s="810">
        <f t="shared" si="16"/>
        <v>-0.5</v>
      </c>
    </row>
    <row r="260" spans="1:9" ht="13.5" thickBot="1" x14ac:dyDescent="0.25">
      <c r="A260" s="814" t="s">
        <v>53</v>
      </c>
      <c r="B260" s="814" t="s">
        <v>732</v>
      </c>
      <c r="C260" s="814" t="s">
        <v>442</v>
      </c>
      <c r="D260" s="814" t="s">
        <v>733</v>
      </c>
      <c r="E260" s="815"/>
      <c r="F260" s="811">
        <v>4151</v>
      </c>
      <c r="G260" s="811">
        <v>4150.5</v>
      </c>
      <c r="H260" s="811"/>
      <c r="I260" s="810">
        <f t="shared" si="16"/>
        <v>0.5</v>
      </c>
    </row>
    <row r="261" spans="1:9" ht="13.5" thickBot="1" x14ac:dyDescent="0.25">
      <c r="A261" s="814" t="s">
        <v>43</v>
      </c>
      <c r="B261" s="814" t="s">
        <v>724</v>
      </c>
      <c r="C261" s="814" t="s">
        <v>451</v>
      </c>
      <c r="D261" s="814" t="s">
        <v>725</v>
      </c>
      <c r="E261" s="815"/>
      <c r="F261" s="811">
        <v>55264</v>
      </c>
      <c r="G261" s="811">
        <v>55263.55</v>
      </c>
      <c r="H261" s="811"/>
      <c r="I261" s="810">
        <f t="shared" si="16"/>
        <v>0.44999999999708962</v>
      </c>
    </row>
    <row r="262" spans="1:9" x14ac:dyDescent="0.2">
      <c r="A262" s="794"/>
      <c r="B262" s="794"/>
      <c r="C262" s="794"/>
      <c r="D262" s="894" t="s">
        <v>990</v>
      </c>
      <c r="E262" s="895">
        <f t="shared" ref="E262:F262" si="18">SUM(E256:E261)</f>
        <v>0</v>
      </c>
      <c r="F262" s="895">
        <f t="shared" si="18"/>
        <v>106098</v>
      </c>
      <c r="G262" s="895">
        <f>SUM(G256:G261)</f>
        <v>106096.41</v>
      </c>
      <c r="H262" s="895">
        <f t="shared" ref="H262:I262" si="19">SUM(H256:H261)</f>
        <v>0</v>
      </c>
      <c r="I262" s="895">
        <f t="shared" si="19"/>
        <v>1.5899999999983265</v>
      </c>
    </row>
    <row r="263" spans="1:9" ht="12.75" customHeight="1" x14ac:dyDescent="0.2">
      <c r="E263" s="793">
        <f>E255+E176</f>
        <v>14777787</v>
      </c>
      <c r="F263" s="793">
        <f>F176+F255+F262</f>
        <v>14843085</v>
      </c>
      <c r="G263" s="793">
        <f>G176+G255+G262</f>
        <v>15054075.959999997</v>
      </c>
      <c r="H263" s="793">
        <f>H176+H255+H262</f>
        <v>164526.78000000003</v>
      </c>
      <c r="I263" s="793">
        <f>I176+I255+I262</f>
        <v>561718.60000000009</v>
      </c>
    </row>
    <row r="265" spans="1:9" ht="12.75" customHeight="1" x14ac:dyDescent="0.2">
      <c r="E265" s="891">
        <f>E81+E168+E255</f>
        <v>16609837</v>
      </c>
      <c r="F265" s="891">
        <f>F81+F168+F255</f>
        <v>16573037</v>
      </c>
      <c r="G265" s="891">
        <f>G81+G168+G255</f>
        <v>15924230.719999997</v>
      </c>
      <c r="H265" s="891">
        <f>H81+H168+H255</f>
        <v>169511.22000000003</v>
      </c>
      <c r="I265" s="891">
        <f>I81+I168+I255</f>
        <v>553102.4600000002</v>
      </c>
    </row>
    <row r="266" spans="1:9" ht="12.75" customHeight="1" x14ac:dyDescent="0.2">
      <c r="E266" s="888">
        <f>'1314A 071013'!I173</f>
        <v>16609836.5</v>
      </c>
      <c r="F266" s="888">
        <f>'1314A 071013'!J173</f>
        <v>16584723</v>
      </c>
      <c r="G266" s="888">
        <f>'1314A 071013'!K173</f>
        <v>15936522.079999996</v>
      </c>
      <c r="H266" s="888">
        <f>'1314A 071013'!L173</f>
        <v>169510.77000000002</v>
      </c>
      <c r="I266" s="888">
        <f>'1314A 071013'!M173</f>
        <v>478690.15000000014</v>
      </c>
    </row>
    <row r="267" spans="1:9" ht="12.75" customHeight="1" x14ac:dyDescent="0.2">
      <c r="E267" s="869">
        <f>E265-E266</f>
        <v>0.5</v>
      </c>
      <c r="F267" s="869">
        <f>F265-F266</f>
        <v>-11686</v>
      </c>
      <c r="G267" s="869">
        <f t="shared" ref="G267:I267" si="20">G265-G266</f>
        <v>-12291.359999999404</v>
      </c>
      <c r="H267" s="869">
        <f t="shared" si="20"/>
        <v>0.45000000001164153</v>
      </c>
      <c r="I267" s="869">
        <f t="shared" si="20"/>
        <v>74412.310000000056</v>
      </c>
    </row>
    <row r="268" spans="1:9" ht="12.75" customHeight="1" x14ac:dyDescent="0.2">
      <c r="E268" s="793"/>
      <c r="F268" s="793"/>
      <c r="G268" s="793"/>
      <c r="H268" s="793"/>
      <c r="I268" s="793"/>
    </row>
    <row r="270" spans="1:9" ht="12.75" customHeight="1" x14ac:dyDescent="0.2">
      <c r="F270" s="793">
        <f>F262+F255</f>
        <v>14895085</v>
      </c>
      <c r="G270" s="793">
        <f>G262+G255</f>
        <v>14488470.899999997</v>
      </c>
    </row>
    <row r="271" spans="1:9" ht="12.75" customHeight="1" x14ac:dyDescent="0.2">
      <c r="F271" s="888">
        <v>14895085</v>
      </c>
      <c r="G271" s="888">
        <v>14488770.9</v>
      </c>
      <c r="H271" s="888"/>
      <c r="I271" s="888"/>
    </row>
    <row r="272" spans="1:9" ht="12.75" customHeight="1" x14ac:dyDescent="0.25">
      <c r="F272" s="887">
        <f>F271-F270</f>
        <v>0</v>
      </c>
      <c r="G272" s="887">
        <f>G271-G270</f>
        <v>300.00000000372529</v>
      </c>
      <c r="H272" s="887"/>
      <c r="I272" s="887"/>
    </row>
    <row r="274" spans="6:9" ht="12.75" customHeight="1" x14ac:dyDescent="0.2">
      <c r="F274" s="869"/>
      <c r="G274" s="869"/>
      <c r="H274" s="869"/>
      <c r="I274" s="869"/>
    </row>
    <row r="277" spans="6:9" ht="12.75" customHeight="1" x14ac:dyDescent="0.2">
      <c r="F277" s="793"/>
      <c r="G277" s="793"/>
      <c r="H277" s="793"/>
      <c r="I277" s="793"/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1"/>
  <sheetViews>
    <sheetView workbookViewId="0">
      <pane ySplit="1" topLeftCell="A202" activePane="bottomLeft" state="frozen"/>
      <selection pane="bottomLeft" activeCell="M224" sqref="M224"/>
    </sheetView>
  </sheetViews>
  <sheetFormatPr defaultRowHeight="12.75" x14ac:dyDescent="0.2"/>
  <cols>
    <col min="1" max="1" width="26.85546875" customWidth="1"/>
    <col min="2" max="2" width="16.42578125" bestFit="1" customWidth="1"/>
    <col min="3" max="3" width="11.5703125" style="888" bestFit="1" customWidth="1"/>
    <col min="4" max="5" width="13.28515625" style="888" bestFit="1" customWidth="1"/>
    <col min="6" max="6" width="14.28515625" style="888" bestFit="1" customWidth="1"/>
    <col min="7" max="7" width="13.28515625" style="888" bestFit="1" customWidth="1"/>
    <col min="8" max="8" width="8.140625" bestFit="1" customWidth="1"/>
    <col min="10" max="11" width="4" bestFit="1" customWidth="1"/>
  </cols>
  <sheetData>
    <row r="1" spans="1:17" ht="15" x14ac:dyDescent="0.25">
      <c r="A1" s="886" t="s">
        <v>935</v>
      </c>
      <c r="B1" s="886" t="s">
        <v>936</v>
      </c>
      <c r="C1" s="887" t="s">
        <v>937</v>
      </c>
      <c r="D1" s="887" t="s">
        <v>938</v>
      </c>
      <c r="E1" s="887" t="s">
        <v>939</v>
      </c>
      <c r="F1" s="887" t="s">
        <v>940</v>
      </c>
      <c r="G1" s="887" t="s">
        <v>124</v>
      </c>
      <c r="H1" s="886" t="s">
        <v>941</v>
      </c>
      <c r="I1" s="896" t="s">
        <v>991</v>
      </c>
      <c r="J1" s="896" t="s">
        <v>992</v>
      </c>
      <c r="K1" s="886"/>
      <c r="L1" s="886"/>
      <c r="M1" s="886"/>
      <c r="N1" s="886"/>
    </row>
    <row r="2" spans="1:17" ht="15" x14ac:dyDescent="0.25">
      <c r="A2" t="s">
        <v>779</v>
      </c>
      <c r="B2" t="s">
        <v>181</v>
      </c>
      <c r="C2">
        <v>0</v>
      </c>
      <c r="D2">
        <v>0</v>
      </c>
      <c r="E2">
        <v>405</v>
      </c>
      <c r="F2" s="793">
        <v>6000</v>
      </c>
      <c r="G2" s="793">
        <v>5595</v>
      </c>
      <c r="H2">
        <v>93.25</v>
      </c>
      <c r="I2" s="885" t="str">
        <f>MID(A2,17,5)</f>
        <v>52350</v>
      </c>
      <c r="J2" s="885" t="str">
        <f>MID(A2,5,1)</f>
        <v>1</v>
      </c>
      <c r="K2" s="885"/>
      <c r="M2" t="str">
        <f>VLOOKUP(A2,'Datetel Feb 28, 2013'!A:A,1,0)</f>
        <v>100_100100_6090_52350_819</v>
      </c>
      <c r="P2">
        <f>SUMIF('Datetel Feb 28, 2013'!A:A,Sheet2!A2,'Datetel Feb 28, 2013'!F:F)</f>
        <v>6000</v>
      </c>
      <c r="Q2" s="793">
        <f>F2-P2</f>
        <v>0</v>
      </c>
    </row>
    <row r="3" spans="1:17" ht="15" x14ac:dyDescent="0.25">
      <c r="A3" t="s">
        <v>942</v>
      </c>
      <c r="B3" t="s">
        <v>181</v>
      </c>
      <c r="C3">
        <v>0</v>
      </c>
      <c r="D3">
        <v>0</v>
      </c>
      <c r="E3">
        <v>46.24</v>
      </c>
      <c r="F3">
        <v>685</v>
      </c>
      <c r="G3">
        <v>638.76</v>
      </c>
      <c r="H3">
        <v>93.25</v>
      </c>
      <c r="I3" s="886" t="str">
        <f t="shared" ref="I3:I66" si="0">MID(A3,17,5)</f>
        <v>53220</v>
      </c>
      <c r="J3" s="886" t="str">
        <f t="shared" ref="J3:J66" si="1">MID(A3,5,1)</f>
        <v>1</v>
      </c>
      <c r="K3" s="885"/>
      <c r="M3" t="str">
        <f>VLOOKUP(A3,'Datetel Feb 28, 2013'!A:A,1,0)</f>
        <v>100_100100_6090_53220_819</v>
      </c>
      <c r="P3">
        <f>SUMIF('Datetel Feb 28, 2013'!A:A,Sheet2!A3,'Datetel Feb 28, 2013'!F:F)</f>
        <v>685</v>
      </c>
      <c r="Q3" s="793">
        <f t="shared" ref="Q3:Q66" si="2">F3-P3</f>
        <v>0</v>
      </c>
    </row>
    <row r="4" spans="1:17" ht="15" x14ac:dyDescent="0.25">
      <c r="A4" t="s">
        <v>943</v>
      </c>
      <c r="B4" t="s">
        <v>181</v>
      </c>
      <c r="C4">
        <v>0</v>
      </c>
      <c r="D4">
        <v>0</v>
      </c>
      <c r="E4">
        <v>25.11</v>
      </c>
      <c r="F4">
        <v>372</v>
      </c>
      <c r="G4">
        <v>346.89</v>
      </c>
      <c r="H4">
        <v>93.25</v>
      </c>
      <c r="I4" s="886" t="str">
        <f t="shared" si="0"/>
        <v>53320</v>
      </c>
      <c r="J4" s="886" t="str">
        <f t="shared" si="1"/>
        <v>1</v>
      </c>
      <c r="K4" s="885"/>
      <c r="M4" t="str">
        <f>VLOOKUP(A4,'Datetel Feb 28, 2013'!A:A,1,0)</f>
        <v>100_100100_6090_53320_819</v>
      </c>
      <c r="P4">
        <f>SUMIF('Datetel Feb 28, 2013'!A:A,Sheet2!A4,'Datetel Feb 28, 2013'!F:F)</f>
        <v>372</v>
      </c>
      <c r="Q4" s="793">
        <f t="shared" si="2"/>
        <v>0</v>
      </c>
    </row>
    <row r="5" spans="1:17" ht="15" x14ac:dyDescent="0.25">
      <c r="A5" t="s">
        <v>780</v>
      </c>
      <c r="B5" t="s">
        <v>181</v>
      </c>
      <c r="C5">
        <v>0</v>
      </c>
      <c r="D5">
        <v>0</v>
      </c>
      <c r="E5">
        <v>5.87</v>
      </c>
      <c r="F5">
        <v>87</v>
      </c>
      <c r="G5">
        <v>81.13</v>
      </c>
      <c r="H5">
        <v>93.25</v>
      </c>
      <c r="I5" s="886" t="str">
        <f t="shared" si="0"/>
        <v>53323</v>
      </c>
      <c r="J5" s="886" t="str">
        <f t="shared" si="1"/>
        <v>1</v>
      </c>
      <c r="K5" s="885"/>
      <c r="M5" t="str">
        <f>VLOOKUP(A5,'Datetel Feb 28, 2013'!A:A,1,0)</f>
        <v>100_100100_6090_53323_819</v>
      </c>
      <c r="P5">
        <f>SUMIF('Datetel Feb 28, 2013'!A:A,Sheet2!A5,'Datetel Feb 28, 2013'!F:F)</f>
        <v>87</v>
      </c>
      <c r="Q5" s="793">
        <f t="shared" si="2"/>
        <v>0</v>
      </c>
    </row>
    <row r="6" spans="1:17" ht="15" x14ac:dyDescent="0.25">
      <c r="A6" t="s">
        <v>781</v>
      </c>
      <c r="B6" t="s">
        <v>181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s="886" t="str">
        <f t="shared" si="0"/>
        <v>53324</v>
      </c>
      <c r="J6" s="886" t="str">
        <f t="shared" si="1"/>
        <v>1</v>
      </c>
      <c r="K6" s="885"/>
      <c r="M6" t="str">
        <f>VLOOKUP(A6,'Datetel Feb 28, 2013'!A:A,1,0)</f>
        <v>100_100100_6090_53324_819</v>
      </c>
      <c r="P6">
        <f>SUMIF('Datetel Feb 28, 2013'!A:A,Sheet2!A6,'Datetel Feb 28, 2013'!F:F)</f>
        <v>0</v>
      </c>
      <c r="Q6" s="793">
        <f t="shared" si="2"/>
        <v>0</v>
      </c>
    </row>
    <row r="7" spans="1:17" ht="15" x14ac:dyDescent="0.25">
      <c r="A7" t="s">
        <v>783</v>
      </c>
      <c r="B7" t="s">
        <v>181</v>
      </c>
      <c r="C7">
        <v>0</v>
      </c>
      <c r="D7">
        <v>0</v>
      </c>
      <c r="E7">
        <v>4.46</v>
      </c>
      <c r="F7">
        <v>66</v>
      </c>
      <c r="G7">
        <v>61.54</v>
      </c>
      <c r="H7">
        <v>93.24</v>
      </c>
      <c r="I7" s="886" t="str">
        <f t="shared" si="0"/>
        <v>53520</v>
      </c>
      <c r="J7" s="886" t="str">
        <f t="shared" si="1"/>
        <v>1</v>
      </c>
      <c r="K7" s="885"/>
      <c r="M7" t="str">
        <f>VLOOKUP(A7,'Datetel Feb 28, 2013'!A:A,1,0)</f>
        <v>100_100100_6090_53520_819</v>
      </c>
      <c r="P7">
        <f>SUMIF('Datetel Feb 28, 2013'!A:A,Sheet2!A7,'Datetel Feb 28, 2013'!F:F)</f>
        <v>66</v>
      </c>
      <c r="Q7" s="793">
        <f t="shared" si="2"/>
        <v>0</v>
      </c>
    </row>
    <row r="8" spans="1:17" ht="15" x14ac:dyDescent="0.25">
      <c r="A8" t="s">
        <v>784</v>
      </c>
      <c r="B8" t="s">
        <v>181</v>
      </c>
      <c r="C8">
        <v>0</v>
      </c>
      <c r="D8">
        <v>0</v>
      </c>
      <c r="E8">
        <v>5.98</v>
      </c>
      <c r="F8">
        <v>89</v>
      </c>
      <c r="G8">
        <v>83.02</v>
      </c>
      <c r="H8">
        <v>93.28</v>
      </c>
      <c r="I8" s="886" t="str">
        <f t="shared" si="0"/>
        <v>53620</v>
      </c>
      <c r="J8" s="886" t="str">
        <f t="shared" si="1"/>
        <v>1</v>
      </c>
      <c r="K8" s="886"/>
      <c r="M8" t="str">
        <f>VLOOKUP(A8,'Datetel Feb 28, 2013'!A:A,1,0)</f>
        <v>100_100100_6090_53620_819</v>
      </c>
      <c r="P8">
        <f>SUMIF('Datetel Feb 28, 2013'!A:A,Sheet2!A8,'Datetel Feb 28, 2013'!F:F)</f>
        <v>89</v>
      </c>
      <c r="Q8" s="793">
        <f t="shared" si="2"/>
        <v>0</v>
      </c>
    </row>
    <row r="9" spans="1:17" ht="15" x14ac:dyDescent="0.25">
      <c r="A9" t="s">
        <v>751</v>
      </c>
      <c r="B9" t="s">
        <v>181</v>
      </c>
      <c r="C9">
        <v>0</v>
      </c>
      <c r="D9">
        <v>0</v>
      </c>
      <c r="E9">
        <v>99</v>
      </c>
      <c r="F9" s="793">
        <v>2701</v>
      </c>
      <c r="G9" s="793">
        <v>2602</v>
      </c>
      <c r="H9">
        <v>96.33</v>
      </c>
      <c r="I9" s="886" t="str">
        <f t="shared" si="0"/>
        <v>54210</v>
      </c>
      <c r="J9" s="886" t="str">
        <f t="shared" si="1"/>
        <v>1</v>
      </c>
      <c r="K9" s="886"/>
      <c r="M9" t="str">
        <f>VLOOKUP(A9,'Datetel Feb 28, 2013'!A:A,1,0)</f>
        <v>100_100100_6090_54210_819</v>
      </c>
      <c r="P9">
        <f>SUMIF('Datetel Feb 28, 2013'!A:A,Sheet2!A9,'Datetel Feb 28, 2013'!F:F)</f>
        <v>2701</v>
      </c>
      <c r="Q9" s="793">
        <f t="shared" si="2"/>
        <v>0</v>
      </c>
    </row>
    <row r="10" spans="1:17" ht="15" x14ac:dyDescent="0.25">
      <c r="A10" t="s">
        <v>738</v>
      </c>
      <c r="B10" t="s">
        <v>181</v>
      </c>
      <c r="C10">
        <v>0</v>
      </c>
      <c r="D10">
        <v>0</v>
      </c>
      <c r="E10" s="793">
        <v>18326</v>
      </c>
      <c r="F10" s="793">
        <v>18953</v>
      </c>
      <c r="G10">
        <v>627</v>
      </c>
      <c r="H10">
        <v>3.31</v>
      </c>
      <c r="I10" s="886" t="str">
        <f t="shared" si="0"/>
        <v>55910</v>
      </c>
      <c r="J10" s="886" t="str">
        <f t="shared" si="1"/>
        <v>1</v>
      </c>
      <c r="K10" s="885"/>
      <c r="M10" t="str">
        <f>VLOOKUP(A10,'Datetel Feb 28, 2013'!A:A,1,0)</f>
        <v>100_100100_6090_55910_819</v>
      </c>
      <c r="P10">
        <f>SUMIF('Datetel Feb 28, 2013'!A:A,Sheet2!A10,'Datetel Feb 28, 2013'!F:F)</f>
        <v>18953</v>
      </c>
      <c r="Q10" s="793">
        <f t="shared" si="2"/>
        <v>0</v>
      </c>
    </row>
    <row r="11" spans="1:17" ht="15" x14ac:dyDescent="0.25">
      <c r="A11" t="s">
        <v>184</v>
      </c>
      <c r="B11" t="s">
        <v>441</v>
      </c>
      <c r="C11">
        <v>0</v>
      </c>
      <c r="D11">
        <v>0</v>
      </c>
      <c r="E11" s="793">
        <v>7479</v>
      </c>
      <c r="F11" s="793">
        <v>7479</v>
      </c>
      <c r="G11">
        <v>0</v>
      </c>
      <c r="H11">
        <v>0</v>
      </c>
      <c r="I11" s="886" t="str">
        <f t="shared" si="0"/>
        <v>55160</v>
      </c>
      <c r="J11" s="886" t="str">
        <f t="shared" si="1"/>
        <v>1</v>
      </c>
      <c r="K11" s="885"/>
      <c r="M11" t="str">
        <f>VLOOKUP(A11,'Datetel Feb 28, 2013'!A:A,1,0)</f>
        <v>100_101000_6010_55160_819</v>
      </c>
      <c r="P11">
        <f>SUMIF('Datetel Feb 28, 2013'!A:A,Sheet2!A11,'Datetel Feb 28, 2013'!F:F)</f>
        <v>7479</v>
      </c>
      <c r="Q11" s="793">
        <f t="shared" si="2"/>
        <v>0</v>
      </c>
    </row>
    <row r="12" spans="1:17" ht="15" x14ac:dyDescent="0.25">
      <c r="A12" t="s">
        <v>760</v>
      </c>
      <c r="B12" t="s">
        <v>817</v>
      </c>
      <c r="C12">
        <v>0</v>
      </c>
      <c r="D12">
        <v>0</v>
      </c>
      <c r="E12" s="793">
        <v>2500</v>
      </c>
      <c r="F12" s="793">
        <v>2500</v>
      </c>
      <c r="G12">
        <v>0</v>
      </c>
      <c r="H12">
        <v>0</v>
      </c>
      <c r="I12" s="886" t="str">
        <f t="shared" si="0"/>
        <v>55160</v>
      </c>
      <c r="J12" s="886" t="str">
        <f t="shared" si="1"/>
        <v>1</v>
      </c>
      <c r="K12" s="885"/>
      <c r="M12" t="str">
        <f>VLOOKUP(A12,'Datetel Feb 28, 2013'!A:A,1,0)</f>
        <v>100_102000_6490_55160_819</v>
      </c>
      <c r="P12">
        <f>SUMIF('Datetel Feb 28, 2013'!A:A,Sheet2!A12,'Datetel Feb 28, 2013'!F:F)</f>
        <v>2500</v>
      </c>
      <c r="Q12" s="793">
        <f t="shared" si="2"/>
        <v>0</v>
      </c>
    </row>
    <row r="13" spans="1:17" ht="15" x14ac:dyDescent="0.25">
      <c r="A13" t="s">
        <v>765</v>
      </c>
      <c r="B13" t="s">
        <v>815</v>
      </c>
      <c r="C13">
        <v>0</v>
      </c>
      <c r="D13">
        <v>0</v>
      </c>
      <c r="E13">
        <v>0</v>
      </c>
      <c r="F13" s="793">
        <v>26000</v>
      </c>
      <c r="G13" s="793">
        <v>26000</v>
      </c>
      <c r="H13">
        <v>100</v>
      </c>
      <c r="I13" s="886" t="str">
        <f t="shared" si="0"/>
        <v>51221</v>
      </c>
      <c r="J13" s="886" t="str">
        <f t="shared" si="1"/>
        <v>1</v>
      </c>
      <c r="K13" s="885"/>
      <c r="M13" t="str">
        <f>VLOOKUP(A13,'Datetel Feb 28, 2013'!A:A,1,0)</f>
        <v>100_103200_6010_51221_818</v>
      </c>
      <c r="P13">
        <f>SUMIF('Datetel Feb 28, 2013'!A:A,Sheet2!A13,'Datetel Feb 28, 2013'!F:F)</f>
        <v>26000</v>
      </c>
      <c r="Q13" s="793">
        <f t="shared" si="2"/>
        <v>0</v>
      </c>
    </row>
    <row r="14" spans="1:17" ht="15" x14ac:dyDescent="0.25">
      <c r="A14" t="s">
        <v>185</v>
      </c>
      <c r="B14" t="s">
        <v>236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s="886" t="str">
        <f t="shared" si="0"/>
        <v>55210</v>
      </c>
      <c r="J14" s="886" t="str">
        <f t="shared" si="1"/>
        <v>1</v>
      </c>
      <c r="K14" s="885"/>
      <c r="M14" t="str">
        <f>VLOOKUP(A14,'Datetel Feb 28, 2013'!A:A,1,0)</f>
        <v>100_103201_6010_55210_819</v>
      </c>
      <c r="P14">
        <f>SUMIF('Datetel Feb 28, 2013'!A:A,Sheet2!A14,'Datetel Feb 28, 2013'!F:F)</f>
        <v>0</v>
      </c>
      <c r="Q14" s="793">
        <f t="shared" si="2"/>
        <v>0</v>
      </c>
    </row>
    <row r="15" spans="1:17" ht="15" x14ac:dyDescent="0.25">
      <c r="A15" t="s">
        <v>307</v>
      </c>
      <c r="B15" t="s">
        <v>236</v>
      </c>
      <c r="C15">
        <v>0</v>
      </c>
      <c r="D15">
        <v>0</v>
      </c>
      <c r="E15">
        <v>0</v>
      </c>
      <c r="F15" s="793">
        <v>13746</v>
      </c>
      <c r="G15" s="793">
        <v>13746</v>
      </c>
      <c r="H15">
        <v>100</v>
      </c>
      <c r="I15" s="886" t="str">
        <f t="shared" si="0"/>
        <v>55220</v>
      </c>
      <c r="J15" s="886" t="str">
        <f t="shared" si="1"/>
        <v>1</v>
      </c>
      <c r="K15" s="885"/>
      <c r="M15" t="str">
        <f>VLOOKUP(A15,'Datetel Feb 28, 2013'!A:A,1,0)</f>
        <v>100_103201_6010_55220_819</v>
      </c>
      <c r="P15">
        <f>SUMIF('Datetel Feb 28, 2013'!A:A,Sheet2!A15,'Datetel Feb 28, 2013'!F:F)</f>
        <v>13746</v>
      </c>
      <c r="Q15" s="793">
        <f t="shared" si="2"/>
        <v>0</v>
      </c>
    </row>
    <row r="16" spans="1:17" ht="15" x14ac:dyDescent="0.25">
      <c r="A16" t="s">
        <v>381</v>
      </c>
      <c r="B16" t="s">
        <v>818</v>
      </c>
      <c r="C16">
        <v>0</v>
      </c>
      <c r="D16">
        <v>0</v>
      </c>
      <c r="E16">
        <v>0</v>
      </c>
      <c r="F16" s="793">
        <v>468710</v>
      </c>
      <c r="G16" s="793">
        <v>468710</v>
      </c>
      <c r="H16">
        <v>100</v>
      </c>
      <c r="I16" s="886" t="str">
        <f t="shared" si="0"/>
        <v>57300</v>
      </c>
      <c r="J16" s="886" t="str">
        <f t="shared" si="1"/>
        <v>1</v>
      </c>
      <c r="K16" s="885"/>
      <c r="M16" t="str">
        <f>VLOOKUP(A16,'Datetel Feb 28, 2013'!A:A,1,0)</f>
        <v>100_103203_7310_57300_819</v>
      </c>
      <c r="P16">
        <f>SUMIF('Datetel Feb 28, 2013'!A:A,Sheet2!A16,'Datetel Feb 28, 2013'!F:F)</f>
        <v>468710</v>
      </c>
      <c r="Q16" s="793">
        <f t="shared" si="2"/>
        <v>0</v>
      </c>
    </row>
    <row r="17" spans="1:17" ht="15" x14ac:dyDescent="0.25">
      <c r="A17" t="s">
        <v>382</v>
      </c>
      <c r="B17" t="s">
        <v>819</v>
      </c>
      <c r="C17">
        <v>0</v>
      </c>
      <c r="D17">
        <v>0</v>
      </c>
      <c r="E17">
        <v>0</v>
      </c>
      <c r="F17" s="793">
        <v>89345</v>
      </c>
      <c r="G17" s="793">
        <v>89345</v>
      </c>
      <c r="H17">
        <v>100</v>
      </c>
      <c r="I17" s="886" t="str">
        <f t="shared" si="0"/>
        <v>57300</v>
      </c>
      <c r="J17" s="886" t="str">
        <f t="shared" si="1"/>
        <v>1</v>
      </c>
      <c r="K17" s="885"/>
      <c r="M17" t="str">
        <f>VLOOKUP(A17,'Datetel Feb 28, 2013'!A:A,1,0)</f>
        <v>100_103204_7310_57300_819</v>
      </c>
      <c r="P17">
        <f>SUMIF('Datetel Feb 28, 2013'!A:A,Sheet2!A17,'Datetel Feb 28, 2013'!F:F)</f>
        <v>89345</v>
      </c>
      <c r="Q17" s="793">
        <f t="shared" si="2"/>
        <v>0</v>
      </c>
    </row>
    <row r="18" spans="1:17" ht="15" x14ac:dyDescent="0.25">
      <c r="A18" t="s">
        <v>739</v>
      </c>
      <c r="B18" t="s">
        <v>820</v>
      </c>
      <c r="C18">
        <v>0</v>
      </c>
      <c r="D18">
        <v>0</v>
      </c>
      <c r="E18" s="793">
        <v>6255</v>
      </c>
      <c r="F18" s="793">
        <v>6500</v>
      </c>
      <c r="G18">
        <v>245</v>
      </c>
      <c r="H18">
        <v>3.77</v>
      </c>
      <c r="I18" s="886" t="str">
        <f t="shared" si="0"/>
        <v>55500</v>
      </c>
      <c r="J18" s="886" t="str">
        <f t="shared" si="1"/>
        <v>1</v>
      </c>
      <c r="K18" s="885"/>
      <c r="M18" t="str">
        <f>VLOOKUP(A18,'Datetel Feb 28, 2013'!A:A,1,0)</f>
        <v>100_103206_6150_55500_819</v>
      </c>
      <c r="P18">
        <f>SUMIF('Datetel Feb 28, 2013'!A:A,Sheet2!A18,'Datetel Feb 28, 2013'!F:F)</f>
        <v>6500</v>
      </c>
      <c r="Q18" s="793">
        <f t="shared" si="2"/>
        <v>0</v>
      </c>
    </row>
    <row r="19" spans="1:17" ht="15" x14ac:dyDescent="0.25">
      <c r="A19" t="s">
        <v>379</v>
      </c>
      <c r="B19" t="s">
        <v>821</v>
      </c>
      <c r="C19">
        <v>0</v>
      </c>
      <c r="D19">
        <v>0</v>
      </c>
      <c r="E19" s="793">
        <v>97822.63</v>
      </c>
      <c r="F19" s="793">
        <v>97823</v>
      </c>
      <c r="G19">
        <v>0.37</v>
      </c>
      <c r="H19">
        <v>0</v>
      </c>
      <c r="I19" s="886" t="str">
        <f t="shared" si="0"/>
        <v>55500</v>
      </c>
      <c r="J19" s="886" t="str">
        <f t="shared" si="1"/>
        <v>1</v>
      </c>
      <c r="K19" s="885"/>
      <c r="M19" t="str">
        <f>VLOOKUP(A19,'Datetel Feb 28, 2013'!A:A,1,0)</f>
        <v>100_103207_6150_55500_819</v>
      </c>
      <c r="P19">
        <f>SUMIF('Datetel Feb 28, 2013'!A:A,Sheet2!A19,'Datetel Feb 28, 2013'!F:F)</f>
        <v>97823</v>
      </c>
      <c r="Q19" s="793">
        <f t="shared" si="2"/>
        <v>0</v>
      </c>
    </row>
    <row r="20" spans="1:17" ht="15" x14ac:dyDescent="0.25">
      <c r="A20" t="s">
        <v>380</v>
      </c>
      <c r="B20" t="s">
        <v>822</v>
      </c>
      <c r="C20">
        <v>0</v>
      </c>
      <c r="D20">
        <v>0</v>
      </c>
      <c r="E20" s="793">
        <v>15614</v>
      </c>
      <c r="F20" s="793">
        <v>15609</v>
      </c>
      <c r="G20">
        <v>-5</v>
      </c>
      <c r="H20">
        <v>-0.02</v>
      </c>
      <c r="I20" s="886" t="str">
        <f t="shared" si="0"/>
        <v>55500</v>
      </c>
      <c r="J20" s="886" t="str">
        <f t="shared" si="1"/>
        <v>1</v>
      </c>
      <c r="K20" s="885"/>
      <c r="M20" t="str">
        <f>VLOOKUP(A20,'Datetel Feb 28, 2013'!A:A,1,0)</f>
        <v>100_103208_6150_55500_819</v>
      </c>
      <c r="P20">
        <f>SUMIF('Datetel Feb 28, 2013'!A:A,Sheet2!A20,'Datetel Feb 28, 2013'!F:F)</f>
        <v>15609</v>
      </c>
      <c r="Q20" s="793">
        <f t="shared" si="2"/>
        <v>0</v>
      </c>
    </row>
    <row r="21" spans="1:17" ht="15" x14ac:dyDescent="0.25">
      <c r="A21" t="s">
        <v>404</v>
      </c>
      <c r="B21" t="s">
        <v>823</v>
      </c>
      <c r="C21">
        <v>0</v>
      </c>
      <c r="D21">
        <v>0</v>
      </c>
      <c r="E21" s="793">
        <v>8160</v>
      </c>
      <c r="F21" s="793">
        <v>19057</v>
      </c>
      <c r="G21" s="793">
        <v>10897</v>
      </c>
      <c r="H21">
        <v>57.18</v>
      </c>
      <c r="I21" s="886" t="str">
        <f t="shared" si="0"/>
        <v>55500</v>
      </c>
      <c r="J21" s="886" t="str">
        <f t="shared" si="1"/>
        <v>1</v>
      </c>
      <c r="K21" s="885"/>
      <c r="M21" t="str">
        <f>VLOOKUP(A21,'Datetel Feb 28, 2013'!A:A,1,0)</f>
        <v>100_103209_6010_55500_819</v>
      </c>
      <c r="P21">
        <f>SUMIF('Datetel Feb 28, 2013'!A:A,Sheet2!A21,'Datetel Feb 28, 2013'!F:F)</f>
        <v>19057</v>
      </c>
      <c r="Q21" s="793">
        <f t="shared" si="2"/>
        <v>0</v>
      </c>
    </row>
    <row r="22" spans="1:17" ht="15" x14ac:dyDescent="0.25">
      <c r="A22" t="s">
        <v>186</v>
      </c>
      <c r="B22" t="s">
        <v>824</v>
      </c>
      <c r="C22">
        <v>0</v>
      </c>
      <c r="D22">
        <v>0</v>
      </c>
      <c r="E22">
        <v>0</v>
      </c>
      <c r="F22" s="793">
        <v>27500</v>
      </c>
      <c r="G22" s="793">
        <v>27500</v>
      </c>
      <c r="H22">
        <v>100</v>
      </c>
      <c r="I22" s="886" t="str">
        <f t="shared" si="0"/>
        <v>51310</v>
      </c>
      <c r="J22" s="886" t="str">
        <f t="shared" si="1"/>
        <v>1</v>
      </c>
      <c r="K22" s="885"/>
      <c r="M22" t="str">
        <f>VLOOKUP(A22,'Datetel Feb 28, 2013'!A:A,1,0)</f>
        <v>100_103251_4900_51310_819</v>
      </c>
      <c r="P22">
        <f>SUMIF('Datetel Feb 28, 2013'!A:A,Sheet2!A22,'Datetel Feb 28, 2013'!F:F)</f>
        <v>27500</v>
      </c>
      <c r="Q22" s="793">
        <f t="shared" si="2"/>
        <v>0</v>
      </c>
    </row>
    <row r="23" spans="1:17" ht="15" x14ac:dyDescent="0.25">
      <c r="A23" t="s">
        <v>467</v>
      </c>
      <c r="B23" t="s">
        <v>825</v>
      </c>
      <c r="C23">
        <v>0</v>
      </c>
      <c r="D23">
        <v>0</v>
      </c>
      <c r="E23">
        <v>200</v>
      </c>
      <c r="F23">
        <v>800</v>
      </c>
      <c r="G23">
        <v>600</v>
      </c>
      <c r="H23">
        <v>75</v>
      </c>
      <c r="I23" s="886" t="str">
        <f t="shared" si="0"/>
        <v>55210</v>
      </c>
      <c r="J23" s="886" t="str">
        <f t="shared" si="1"/>
        <v>1</v>
      </c>
      <c r="K23" s="885"/>
      <c r="M23" t="str">
        <f>VLOOKUP(A23,'Datetel Feb 28, 2013'!A:A,1,0)</f>
        <v>100_106100_6120_55210_819</v>
      </c>
      <c r="P23">
        <f>SUMIF('Datetel Feb 28, 2013'!A:A,Sheet2!A23,'Datetel Feb 28, 2013'!F:F)</f>
        <v>800</v>
      </c>
      <c r="Q23" s="793">
        <f t="shared" si="2"/>
        <v>0</v>
      </c>
    </row>
    <row r="24" spans="1:17" ht="15" x14ac:dyDescent="0.25">
      <c r="A24" t="s">
        <v>468</v>
      </c>
      <c r="B24" t="s">
        <v>826</v>
      </c>
      <c r="C24">
        <v>0</v>
      </c>
      <c r="D24">
        <v>0</v>
      </c>
      <c r="E24">
        <v>34.32</v>
      </c>
      <c r="F24" s="793">
        <v>1040</v>
      </c>
      <c r="G24" s="793">
        <v>1005.68</v>
      </c>
      <c r="H24">
        <v>96.7</v>
      </c>
      <c r="I24" s="886" t="str">
        <f t="shared" si="0"/>
        <v>55220</v>
      </c>
      <c r="J24" s="886" t="str">
        <f t="shared" si="1"/>
        <v>1</v>
      </c>
      <c r="K24" s="885"/>
      <c r="M24" t="str">
        <f>VLOOKUP(A24,'Datetel Feb 28, 2013'!A:A,1,0)</f>
        <v>100_106100_6120_55220_819</v>
      </c>
      <c r="P24">
        <f>SUMIF('Datetel Feb 28, 2013'!A:A,Sheet2!A24,'Datetel Feb 28, 2013'!F:F)</f>
        <v>1040</v>
      </c>
      <c r="Q24" s="793">
        <f t="shared" si="2"/>
        <v>0</v>
      </c>
    </row>
    <row r="25" spans="1:17" ht="15" x14ac:dyDescent="0.25">
      <c r="A25" t="s">
        <v>274</v>
      </c>
      <c r="B25" t="s">
        <v>827</v>
      </c>
      <c r="C25" s="793">
        <v>2364.09</v>
      </c>
      <c r="D25">
        <v>392.33</v>
      </c>
      <c r="E25" s="793">
        <v>42645.91</v>
      </c>
      <c r="F25" s="793">
        <v>45032</v>
      </c>
      <c r="G25">
        <v>22</v>
      </c>
      <c r="H25">
        <v>0.05</v>
      </c>
      <c r="I25" s="886" t="str">
        <f t="shared" si="0"/>
        <v>55510</v>
      </c>
      <c r="J25" s="886" t="str">
        <f t="shared" si="1"/>
        <v>1</v>
      </c>
      <c r="K25" s="885"/>
      <c r="M25" t="str">
        <f>VLOOKUP(A25,'Datetel Feb 28, 2013'!A:A,1,0)</f>
        <v>100_106100_6120_55510_819</v>
      </c>
      <c r="P25">
        <f>SUMIF('Datetel Feb 28, 2013'!A:A,Sheet2!A25,'Datetel Feb 28, 2013'!F:F)</f>
        <v>45032</v>
      </c>
      <c r="Q25" s="793">
        <f t="shared" si="2"/>
        <v>0</v>
      </c>
    </row>
    <row r="26" spans="1:17" ht="15" x14ac:dyDescent="0.25">
      <c r="A26" t="s">
        <v>470</v>
      </c>
      <c r="B26" t="s">
        <v>828</v>
      </c>
      <c r="C26">
        <v>0</v>
      </c>
      <c r="D26">
        <v>0</v>
      </c>
      <c r="E26">
        <v>0</v>
      </c>
      <c r="F26">
        <v>360</v>
      </c>
      <c r="G26">
        <v>360</v>
      </c>
      <c r="H26">
        <v>100</v>
      </c>
      <c r="I26" s="886" t="str">
        <f t="shared" si="0"/>
        <v>55210</v>
      </c>
      <c r="J26" s="886" t="str">
        <f t="shared" si="1"/>
        <v>1</v>
      </c>
      <c r="K26" s="885"/>
      <c r="M26" t="str">
        <f>VLOOKUP(A26,'Datetel Feb 28, 2013'!A:A,1,0)</f>
        <v>100_107100_0700_55210_819</v>
      </c>
      <c r="P26">
        <f>SUMIF('Datetel Feb 28, 2013'!A:A,Sheet2!A26,'Datetel Feb 28, 2013'!F:F)</f>
        <v>360</v>
      </c>
      <c r="Q26" s="793">
        <f t="shared" si="2"/>
        <v>0</v>
      </c>
    </row>
    <row r="27" spans="1:17" ht="15" x14ac:dyDescent="0.25">
      <c r="A27" t="s">
        <v>473</v>
      </c>
      <c r="B27" t="s">
        <v>828</v>
      </c>
      <c r="C27">
        <v>0</v>
      </c>
      <c r="D27">
        <v>0</v>
      </c>
      <c r="E27">
        <v>0</v>
      </c>
      <c r="F27" s="793">
        <v>2995</v>
      </c>
      <c r="G27" s="793">
        <v>2995</v>
      </c>
      <c r="H27">
        <v>100</v>
      </c>
      <c r="I27" s="886" t="str">
        <f t="shared" si="0"/>
        <v>55220</v>
      </c>
      <c r="J27" s="886" t="str">
        <f t="shared" si="1"/>
        <v>1</v>
      </c>
      <c r="K27" s="885"/>
      <c r="M27" t="str">
        <f>VLOOKUP(A27,'Datetel Feb 28, 2013'!A:A,1,0)</f>
        <v>100_107100_0700_55220_819</v>
      </c>
      <c r="P27">
        <f>SUMIF('Datetel Feb 28, 2013'!A:A,Sheet2!A27,'Datetel Feb 28, 2013'!F:F)</f>
        <v>2995</v>
      </c>
      <c r="Q27" s="793">
        <f t="shared" si="2"/>
        <v>0</v>
      </c>
    </row>
    <row r="28" spans="1:17" ht="15" x14ac:dyDescent="0.25">
      <c r="A28" t="s">
        <v>789</v>
      </c>
      <c r="B28" t="s">
        <v>829</v>
      </c>
      <c r="C28">
        <v>0</v>
      </c>
      <c r="D28">
        <v>0</v>
      </c>
      <c r="E28">
        <v>0</v>
      </c>
      <c r="F28">
        <v>400</v>
      </c>
      <c r="G28">
        <v>400</v>
      </c>
      <c r="H28">
        <v>100</v>
      </c>
      <c r="I28" s="886" t="str">
        <f t="shared" si="0"/>
        <v>55210</v>
      </c>
      <c r="J28" s="886" t="str">
        <f t="shared" si="1"/>
        <v>1</v>
      </c>
      <c r="K28" s="885"/>
      <c r="M28" t="str">
        <f>VLOOKUP(A28,'Datetel Feb 28, 2013'!A:A,1,0)</f>
        <v>100_111004_2100_55210_819</v>
      </c>
      <c r="P28">
        <f>SUMIF('Datetel Feb 28, 2013'!A:A,Sheet2!A28,'Datetel Feb 28, 2013'!F:F)</f>
        <v>400</v>
      </c>
      <c r="Q28" s="793">
        <f t="shared" si="2"/>
        <v>0</v>
      </c>
    </row>
    <row r="29" spans="1:17" ht="15" x14ac:dyDescent="0.25">
      <c r="A29" t="s">
        <v>791</v>
      </c>
      <c r="B29" t="s">
        <v>829</v>
      </c>
      <c r="C29">
        <v>0</v>
      </c>
      <c r="D29">
        <v>0</v>
      </c>
      <c r="E29">
        <v>460</v>
      </c>
      <c r="F29">
        <v>709</v>
      </c>
      <c r="G29">
        <v>249</v>
      </c>
      <c r="H29">
        <v>35.119999999999997</v>
      </c>
      <c r="I29" s="886" t="str">
        <f t="shared" si="0"/>
        <v>55220</v>
      </c>
      <c r="J29" s="886" t="str">
        <f t="shared" si="1"/>
        <v>1</v>
      </c>
      <c r="K29" s="885"/>
      <c r="M29" t="str">
        <f>VLOOKUP(A29,'Datetel Feb 28, 2013'!A:A,1,0)</f>
        <v>100_111004_2100_55220_819</v>
      </c>
      <c r="P29">
        <f>SUMIF('Datetel Feb 28, 2013'!A:A,Sheet2!A29,'Datetel Feb 28, 2013'!F:F)</f>
        <v>709</v>
      </c>
      <c r="Q29" s="793">
        <f t="shared" si="2"/>
        <v>0</v>
      </c>
    </row>
    <row r="30" spans="1:17" ht="15" x14ac:dyDescent="0.25">
      <c r="A30" t="s">
        <v>474</v>
      </c>
      <c r="B30" t="s">
        <v>830</v>
      </c>
      <c r="C30">
        <v>0</v>
      </c>
      <c r="D30">
        <v>0</v>
      </c>
      <c r="E30">
        <v>0</v>
      </c>
      <c r="F30">
        <v>200</v>
      </c>
      <c r="G30">
        <v>200</v>
      </c>
      <c r="H30">
        <v>100</v>
      </c>
      <c r="I30" s="886" t="str">
        <f t="shared" si="0"/>
        <v>55210</v>
      </c>
      <c r="J30" s="886" t="str">
        <f t="shared" si="1"/>
        <v>1</v>
      </c>
      <c r="K30" s="885"/>
      <c r="M30" t="str">
        <f>VLOOKUP(A30,'Datetel Feb 28, 2013'!A:A,1,0)</f>
        <v>100_111100_0200_55210_819</v>
      </c>
      <c r="P30">
        <f>SUMIF('Datetel Feb 28, 2013'!A:A,Sheet2!A30,'Datetel Feb 28, 2013'!F:F)</f>
        <v>200</v>
      </c>
      <c r="Q30" s="793">
        <f t="shared" si="2"/>
        <v>0</v>
      </c>
    </row>
    <row r="31" spans="1:17" ht="15" x14ac:dyDescent="0.25">
      <c r="A31" t="s">
        <v>477</v>
      </c>
      <c r="B31" t="s">
        <v>830</v>
      </c>
      <c r="C31">
        <v>0</v>
      </c>
      <c r="D31">
        <v>0</v>
      </c>
      <c r="E31">
        <v>0</v>
      </c>
      <c r="F31">
        <v>400</v>
      </c>
      <c r="G31">
        <v>400</v>
      </c>
      <c r="H31">
        <v>100</v>
      </c>
      <c r="I31" s="886" t="str">
        <f t="shared" si="0"/>
        <v>55220</v>
      </c>
      <c r="J31" s="886" t="str">
        <f t="shared" si="1"/>
        <v>1</v>
      </c>
      <c r="K31" s="885"/>
      <c r="M31" t="str">
        <f>VLOOKUP(A31,'Datetel Feb 28, 2013'!A:A,1,0)</f>
        <v>100_111100_0200_55220_819</v>
      </c>
      <c r="P31">
        <f>SUMIF('Datetel Feb 28, 2013'!A:A,Sheet2!A31,'Datetel Feb 28, 2013'!F:F)</f>
        <v>400</v>
      </c>
      <c r="Q31" s="793">
        <f t="shared" si="2"/>
        <v>0</v>
      </c>
    </row>
    <row r="32" spans="1:17" ht="15" x14ac:dyDescent="0.25">
      <c r="A32" t="s">
        <v>478</v>
      </c>
      <c r="B32" t="s">
        <v>831</v>
      </c>
      <c r="C32">
        <v>0</v>
      </c>
      <c r="D32">
        <v>0</v>
      </c>
      <c r="E32">
        <v>0</v>
      </c>
      <c r="F32">
        <v>600</v>
      </c>
      <c r="G32">
        <v>600</v>
      </c>
      <c r="H32">
        <v>100</v>
      </c>
      <c r="I32" s="886" t="str">
        <f t="shared" si="0"/>
        <v>55210</v>
      </c>
      <c r="J32" s="886" t="str">
        <f t="shared" si="1"/>
        <v>1</v>
      </c>
      <c r="K32" s="885"/>
      <c r="M32" t="str">
        <f>VLOOKUP(A32,'Datetel Feb 28, 2013'!A:A,1,0)</f>
        <v>100_111200_1300_55210_819</v>
      </c>
      <c r="P32">
        <f>SUMIF('Datetel Feb 28, 2013'!A:A,Sheet2!A32,'Datetel Feb 28, 2013'!F:F)</f>
        <v>600</v>
      </c>
      <c r="Q32" s="793">
        <f t="shared" si="2"/>
        <v>0</v>
      </c>
    </row>
    <row r="33" spans="1:17" ht="15" x14ac:dyDescent="0.25">
      <c r="A33" t="s">
        <v>480</v>
      </c>
      <c r="B33" t="s">
        <v>831</v>
      </c>
      <c r="C33">
        <v>0</v>
      </c>
      <c r="D33">
        <v>0</v>
      </c>
      <c r="E33">
        <v>0</v>
      </c>
      <c r="F33" s="793">
        <v>2836</v>
      </c>
      <c r="G33" s="793">
        <v>2836</v>
      </c>
      <c r="H33">
        <v>100</v>
      </c>
      <c r="I33" s="886" t="str">
        <f t="shared" si="0"/>
        <v>55220</v>
      </c>
      <c r="J33" s="886" t="str">
        <f t="shared" si="1"/>
        <v>1</v>
      </c>
      <c r="K33" s="885"/>
      <c r="M33" t="str">
        <f>VLOOKUP(A33,'Datetel Feb 28, 2013'!A:A,1,0)</f>
        <v>100_111200_1300_55220_819</v>
      </c>
      <c r="P33">
        <f>SUMIF('Datetel Feb 28, 2013'!A:A,Sheet2!A33,'Datetel Feb 28, 2013'!F:F)</f>
        <v>2836</v>
      </c>
      <c r="Q33" s="793">
        <f t="shared" si="2"/>
        <v>0</v>
      </c>
    </row>
    <row r="34" spans="1:17" ht="15" x14ac:dyDescent="0.25">
      <c r="A34" t="s">
        <v>481</v>
      </c>
      <c r="B34" t="s">
        <v>832</v>
      </c>
      <c r="C34">
        <v>0</v>
      </c>
      <c r="D34">
        <v>0</v>
      </c>
      <c r="E34">
        <v>0</v>
      </c>
      <c r="F34">
        <v>200</v>
      </c>
      <c r="G34">
        <v>200</v>
      </c>
      <c r="H34">
        <v>100</v>
      </c>
      <c r="I34" s="886" t="str">
        <f t="shared" si="0"/>
        <v>55210</v>
      </c>
      <c r="J34" s="886" t="str">
        <f t="shared" si="1"/>
        <v>1</v>
      </c>
      <c r="K34" s="885"/>
      <c r="M34" t="str">
        <f>VLOOKUP(A34,'Datetel Feb 28, 2013'!A:A,1,0)</f>
        <v>100_111400_0900_55210_819</v>
      </c>
      <c r="P34">
        <f>SUMIF('Datetel Feb 28, 2013'!A:A,Sheet2!A34,'Datetel Feb 28, 2013'!F:F)</f>
        <v>200</v>
      </c>
      <c r="Q34" s="793">
        <f t="shared" si="2"/>
        <v>0</v>
      </c>
    </row>
    <row r="35" spans="1:17" ht="15" x14ac:dyDescent="0.25">
      <c r="A35" t="s">
        <v>483</v>
      </c>
      <c r="B35" t="s">
        <v>832</v>
      </c>
      <c r="C35">
        <v>0</v>
      </c>
      <c r="D35">
        <v>0</v>
      </c>
      <c r="E35">
        <v>0</v>
      </c>
      <c r="F35" s="793">
        <v>1452</v>
      </c>
      <c r="G35" s="793">
        <v>1452</v>
      </c>
      <c r="H35">
        <v>100</v>
      </c>
      <c r="I35" s="886" t="str">
        <f t="shared" si="0"/>
        <v>55220</v>
      </c>
      <c r="J35" s="886" t="str">
        <f t="shared" si="1"/>
        <v>1</v>
      </c>
      <c r="K35" s="885"/>
      <c r="M35" t="str">
        <f>VLOOKUP(A35,'Datetel Feb 28, 2013'!A:A,1,0)</f>
        <v>100_111400_0900_55220_819</v>
      </c>
      <c r="P35">
        <f>SUMIF('Datetel Feb 28, 2013'!A:A,Sheet2!A35,'Datetel Feb 28, 2013'!F:F)</f>
        <v>1452</v>
      </c>
      <c r="Q35" s="793">
        <f t="shared" si="2"/>
        <v>0</v>
      </c>
    </row>
    <row r="36" spans="1:17" ht="15" x14ac:dyDescent="0.25">
      <c r="A36" t="s">
        <v>484</v>
      </c>
      <c r="B36" t="s">
        <v>485</v>
      </c>
      <c r="C36">
        <v>0</v>
      </c>
      <c r="D36">
        <v>0</v>
      </c>
      <c r="E36">
        <v>311.8</v>
      </c>
      <c r="F36">
        <v>600</v>
      </c>
      <c r="G36">
        <v>288.2</v>
      </c>
      <c r="H36">
        <v>48.03</v>
      </c>
      <c r="I36" s="886" t="str">
        <f t="shared" si="0"/>
        <v>55210</v>
      </c>
      <c r="J36" s="886" t="str">
        <f t="shared" si="1"/>
        <v>1</v>
      </c>
      <c r="K36" s="885"/>
      <c r="M36" t="str">
        <f>VLOOKUP(A36,'Datetel Feb 28, 2013'!A:A,1,0)</f>
        <v>100_111500_1300_55210_819</v>
      </c>
      <c r="P36">
        <f>SUMIF('Datetel Feb 28, 2013'!A:A,Sheet2!A36,'Datetel Feb 28, 2013'!F:F)</f>
        <v>600</v>
      </c>
      <c r="Q36" s="793">
        <f t="shared" si="2"/>
        <v>0</v>
      </c>
    </row>
    <row r="37" spans="1:17" ht="15" x14ac:dyDescent="0.25">
      <c r="A37" t="s">
        <v>487</v>
      </c>
      <c r="B37" t="s">
        <v>833</v>
      </c>
      <c r="C37">
        <v>0</v>
      </c>
      <c r="D37">
        <v>0</v>
      </c>
      <c r="E37">
        <v>0</v>
      </c>
      <c r="F37">
        <v>400</v>
      </c>
      <c r="G37">
        <v>400</v>
      </c>
      <c r="H37">
        <v>100</v>
      </c>
      <c r="I37" s="886" t="str">
        <f t="shared" si="0"/>
        <v>55210</v>
      </c>
      <c r="J37" s="886" t="str">
        <f t="shared" si="1"/>
        <v>1</v>
      </c>
      <c r="K37" s="885"/>
      <c r="M37" t="str">
        <f>VLOOKUP(A37,'Datetel Feb 28, 2013'!A:A,1,0)</f>
        <v>100_111600_1200_55210_819</v>
      </c>
      <c r="P37">
        <f>SUMIF('Datetel Feb 28, 2013'!A:A,Sheet2!A37,'Datetel Feb 28, 2013'!F:F)</f>
        <v>400</v>
      </c>
      <c r="Q37" s="793">
        <f t="shared" si="2"/>
        <v>0</v>
      </c>
    </row>
    <row r="38" spans="1:17" ht="15" x14ac:dyDescent="0.25">
      <c r="A38" t="s">
        <v>489</v>
      </c>
      <c r="B38" t="s">
        <v>833</v>
      </c>
      <c r="C38">
        <v>0</v>
      </c>
      <c r="D38">
        <v>0</v>
      </c>
      <c r="E38">
        <v>0</v>
      </c>
      <c r="F38" s="793">
        <v>3000</v>
      </c>
      <c r="G38" s="793">
        <v>3000</v>
      </c>
      <c r="H38">
        <v>100</v>
      </c>
      <c r="I38" s="886" t="str">
        <f t="shared" si="0"/>
        <v>55220</v>
      </c>
      <c r="J38" s="886" t="str">
        <f t="shared" si="1"/>
        <v>1</v>
      </c>
      <c r="K38" s="885"/>
      <c r="M38" t="str">
        <f>VLOOKUP(A38,'Datetel Feb 28, 2013'!A:A,1,0)</f>
        <v>100_111600_1200_55220_819</v>
      </c>
      <c r="P38">
        <f>SUMIF('Datetel Feb 28, 2013'!A:A,Sheet2!A38,'Datetel Feb 28, 2013'!F:F)</f>
        <v>3000</v>
      </c>
      <c r="Q38" s="793">
        <f t="shared" si="2"/>
        <v>0</v>
      </c>
    </row>
    <row r="39" spans="1:17" ht="15" x14ac:dyDescent="0.25">
      <c r="A39" t="s">
        <v>490</v>
      </c>
      <c r="B39" t="s">
        <v>834</v>
      </c>
      <c r="C39">
        <v>0</v>
      </c>
      <c r="D39">
        <v>0</v>
      </c>
      <c r="E39">
        <v>0</v>
      </c>
      <c r="F39">
        <v>800</v>
      </c>
      <c r="G39">
        <v>800</v>
      </c>
      <c r="H39">
        <v>100</v>
      </c>
      <c r="I39" s="886" t="str">
        <f t="shared" si="0"/>
        <v>55210</v>
      </c>
      <c r="J39" s="886" t="str">
        <f t="shared" si="1"/>
        <v>1</v>
      </c>
      <c r="K39" s="885"/>
      <c r="M39" t="str">
        <f>VLOOKUP(A39,'Datetel Feb 28, 2013'!A:A,1,0)</f>
        <v>100_111700_1300_55210_819</v>
      </c>
      <c r="P39">
        <f>SUMIF('Datetel Feb 28, 2013'!A:A,Sheet2!A39,'Datetel Feb 28, 2013'!F:F)</f>
        <v>800</v>
      </c>
      <c r="Q39" s="793">
        <f t="shared" si="2"/>
        <v>0</v>
      </c>
    </row>
    <row r="40" spans="1:17" ht="15" x14ac:dyDescent="0.25">
      <c r="A40" t="s">
        <v>492</v>
      </c>
      <c r="B40" t="s">
        <v>834</v>
      </c>
      <c r="C40">
        <v>0</v>
      </c>
      <c r="D40">
        <v>0</v>
      </c>
      <c r="E40">
        <v>0</v>
      </c>
      <c r="F40" s="793">
        <v>1994</v>
      </c>
      <c r="G40" s="793">
        <v>1994</v>
      </c>
      <c r="H40">
        <v>100</v>
      </c>
      <c r="I40" s="886" t="str">
        <f t="shared" si="0"/>
        <v>55220</v>
      </c>
      <c r="J40" s="886" t="str">
        <f t="shared" si="1"/>
        <v>1</v>
      </c>
      <c r="K40" s="885"/>
      <c r="M40" t="str">
        <f>VLOOKUP(A40,'Datetel Feb 28, 2013'!A:A,1,0)</f>
        <v>100_111700_1300_55220_819</v>
      </c>
      <c r="P40">
        <f>SUMIF('Datetel Feb 28, 2013'!A:A,Sheet2!A40,'Datetel Feb 28, 2013'!F:F)</f>
        <v>1994</v>
      </c>
      <c r="Q40" s="793">
        <f t="shared" si="2"/>
        <v>0</v>
      </c>
    </row>
    <row r="41" spans="1:17" ht="15" x14ac:dyDescent="0.25">
      <c r="A41" t="s">
        <v>493</v>
      </c>
      <c r="B41" t="s">
        <v>835</v>
      </c>
      <c r="C41">
        <v>0</v>
      </c>
      <c r="D41">
        <v>0</v>
      </c>
      <c r="E41">
        <v>0</v>
      </c>
      <c r="F41">
        <v>400</v>
      </c>
      <c r="G41">
        <v>400</v>
      </c>
      <c r="H41">
        <v>100</v>
      </c>
      <c r="I41" s="886" t="str">
        <f t="shared" si="0"/>
        <v>55210</v>
      </c>
      <c r="J41" s="886" t="str">
        <f t="shared" si="1"/>
        <v>1</v>
      </c>
      <c r="K41" s="885"/>
      <c r="M41" t="str">
        <f>VLOOKUP(A41,'Datetel Feb 28, 2013'!A:A,1,0)</f>
        <v>100_111800_1400_55210_819</v>
      </c>
      <c r="P41">
        <f>SUMIF('Datetel Feb 28, 2013'!A:A,Sheet2!A41,'Datetel Feb 28, 2013'!F:F)</f>
        <v>400</v>
      </c>
      <c r="Q41" s="793">
        <f t="shared" si="2"/>
        <v>0</v>
      </c>
    </row>
    <row r="42" spans="1:17" ht="15" x14ac:dyDescent="0.25">
      <c r="A42" t="s">
        <v>495</v>
      </c>
      <c r="B42" t="s">
        <v>836</v>
      </c>
      <c r="C42">
        <v>0</v>
      </c>
      <c r="D42">
        <v>0</v>
      </c>
      <c r="E42">
        <v>0</v>
      </c>
      <c r="F42" s="793">
        <v>1800</v>
      </c>
      <c r="G42" s="793">
        <v>1800</v>
      </c>
      <c r="H42">
        <v>100</v>
      </c>
      <c r="I42" s="886" t="str">
        <f t="shared" si="0"/>
        <v>55220</v>
      </c>
      <c r="J42" s="886" t="str">
        <f t="shared" si="1"/>
        <v>1</v>
      </c>
      <c r="K42" s="885"/>
      <c r="M42" t="str">
        <f>VLOOKUP(A42,'Datetel Feb 28, 2013'!A:A,1,0)</f>
        <v>100_111800_1400_55220_819</v>
      </c>
      <c r="P42">
        <f>SUMIF('Datetel Feb 28, 2013'!A:A,Sheet2!A42,'Datetel Feb 28, 2013'!F:F)</f>
        <v>1800</v>
      </c>
      <c r="Q42" s="793">
        <f t="shared" si="2"/>
        <v>0</v>
      </c>
    </row>
    <row r="43" spans="1:17" ht="15" x14ac:dyDescent="0.25">
      <c r="A43" t="s">
        <v>496</v>
      </c>
      <c r="B43" t="s">
        <v>837</v>
      </c>
      <c r="C43">
        <v>0</v>
      </c>
      <c r="D43">
        <v>0</v>
      </c>
      <c r="E43">
        <v>0</v>
      </c>
      <c r="F43">
        <v>400</v>
      </c>
      <c r="G43">
        <v>400</v>
      </c>
      <c r="H43">
        <v>100</v>
      </c>
      <c r="I43" s="886" t="str">
        <f t="shared" si="0"/>
        <v>55210</v>
      </c>
      <c r="J43" s="886" t="str">
        <f t="shared" si="1"/>
        <v>1</v>
      </c>
      <c r="K43" s="885"/>
      <c r="M43" t="str">
        <f>VLOOKUP(A43,'Datetel Feb 28, 2013'!A:A,1,0)</f>
        <v>100_111900_2100_55210_819</v>
      </c>
      <c r="P43">
        <f>SUMIF('Datetel Feb 28, 2013'!A:A,Sheet2!A43,'Datetel Feb 28, 2013'!F:F)</f>
        <v>400</v>
      </c>
      <c r="Q43" s="793">
        <f t="shared" si="2"/>
        <v>0</v>
      </c>
    </row>
    <row r="44" spans="1:17" ht="15" x14ac:dyDescent="0.25">
      <c r="A44" t="s">
        <v>498</v>
      </c>
      <c r="B44" t="s">
        <v>838</v>
      </c>
      <c r="C44">
        <v>0</v>
      </c>
      <c r="D44">
        <v>0</v>
      </c>
      <c r="E44">
        <v>0</v>
      </c>
      <c r="F44" s="793">
        <v>1192</v>
      </c>
      <c r="G44" s="793">
        <v>1192</v>
      </c>
      <c r="H44">
        <v>100</v>
      </c>
      <c r="I44" s="886" t="str">
        <f t="shared" si="0"/>
        <v>55220</v>
      </c>
      <c r="J44" s="886" t="str">
        <f t="shared" si="1"/>
        <v>1</v>
      </c>
      <c r="K44" s="885"/>
      <c r="M44" t="str">
        <f>VLOOKUP(A44,'Datetel Feb 28, 2013'!A:A,1,0)</f>
        <v>100_111900_2100_55220_819</v>
      </c>
      <c r="P44">
        <f>SUMIF('Datetel Feb 28, 2013'!A:A,Sheet2!A44,'Datetel Feb 28, 2013'!F:F)</f>
        <v>1192</v>
      </c>
      <c r="Q44" s="793">
        <f t="shared" si="2"/>
        <v>0</v>
      </c>
    </row>
    <row r="45" spans="1:17" ht="15" x14ac:dyDescent="0.25">
      <c r="A45" t="s">
        <v>499</v>
      </c>
      <c r="B45" t="s">
        <v>839</v>
      </c>
      <c r="C45">
        <v>0</v>
      </c>
      <c r="D45">
        <v>0</v>
      </c>
      <c r="E45">
        <v>0</v>
      </c>
      <c r="F45">
        <v>200</v>
      </c>
      <c r="G45">
        <v>200</v>
      </c>
      <c r="H45">
        <v>100</v>
      </c>
      <c r="I45" s="886" t="str">
        <f t="shared" si="0"/>
        <v>55220</v>
      </c>
      <c r="J45" s="886" t="str">
        <f t="shared" si="1"/>
        <v>1</v>
      </c>
      <c r="K45" s="885"/>
      <c r="M45" t="str">
        <f>VLOOKUP(A45,'Datetel Feb 28, 2013'!A:A,1,0)</f>
        <v>100_112002_6010_55220_819</v>
      </c>
      <c r="P45">
        <f>SUMIF('Datetel Feb 28, 2013'!A:A,Sheet2!A45,'Datetel Feb 28, 2013'!F:F)</f>
        <v>200</v>
      </c>
      <c r="Q45" s="793">
        <f t="shared" si="2"/>
        <v>0</v>
      </c>
    </row>
    <row r="46" spans="1:17" ht="15" x14ac:dyDescent="0.25">
      <c r="A46" t="s">
        <v>502</v>
      </c>
      <c r="B46" t="s">
        <v>840</v>
      </c>
      <c r="C46">
        <v>0</v>
      </c>
      <c r="D46">
        <v>0</v>
      </c>
      <c r="E46">
        <v>0</v>
      </c>
      <c r="F46">
        <v>400</v>
      </c>
      <c r="G46">
        <v>400</v>
      </c>
      <c r="H46">
        <v>100</v>
      </c>
      <c r="I46" s="886" t="str">
        <f t="shared" si="0"/>
        <v>55210</v>
      </c>
      <c r="J46" s="886" t="str">
        <f t="shared" si="1"/>
        <v>1</v>
      </c>
      <c r="K46" s="885"/>
      <c r="M46" t="str">
        <f>VLOOKUP(A46,'Datetel Feb 28, 2013'!A:A,1,0)</f>
        <v>100_112100_0500_55210_819</v>
      </c>
      <c r="P46">
        <f>SUMIF('Datetel Feb 28, 2013'!A:A,Sheet2!A46,'Datetel Feb 28, 2013'!F:F)</f>
        <v>400</v>
      </c>
      <c r="Q46" s="793">
        <f t="shared" si="2"/>
        <v>0</v>
      </c>
    </row>
    <row r="47" spans="1:17" ht="15" x14ac:dyDescent="0.25">
      <c r="A47" t="s">
        <v>504</v>
      </c>
      <c r="B47" t="s">
        <v>841</v>
      </c>
      <c r="C47">
        <v>0</v>
      </c>
      <c r="D47">
        <v>0</v>
      </c>
      <c r="E47">
        <v>0</v>
      </c>
      <c r="F47" s="793">
        <v>3000</v>
      </c>
      <c r="G47" s="793">
        <v>3000</v>
      </c>
      <c r="H47">
        <v>100</v>
      </c>
      <c r="I47" s="886" t="str">
        <f t="shared" si="0"/>
        <v>55220</v>
      </c>
      <c r="J47" s="886" t="str">
        <f t="shared" si="1"/>
        <v>1</v>
      </c>
      <c r="K47" s="885"/>
      <c r="M47" t="str">
        <f>VLOOKUP(A47,'Datetel Feb 28, 2013'!A:A,1,0)</f>
        <v>100_112100_0500_55220_819</v>
      </c>
      <c r="P47">
        <f>SUMIF('Datetel Feb 28, 2013'!A:A,Sheet2!A47,'Datetel Feb 28, 2013'!F:F)</f>
        <v>3000</v>
      </c>
      <c r="Q47" s="793">
        <f t="shared" si="2"/>
        <v>0</v>
      </c>
    </row>
    <row r="48" spans="1:17" ht="15" x14ac:dyDescent="0.25">
      <c r="A48" t="s">
        <v>505</v>
      </c>
      <c r="B48" t="s">
        <v>842</v>
      </c>
      <c r="C48">
        <v>0</v>
      </c>
      <c r="D48">
        <v>0</v>
      </c>
      <c r="E48">
        <v>0</v>
      </c>
      <c r="F48">
        <v>600</v>
      </c>
      <c r="G48">
        <v>600</v>
      </c>
      <c r="H48">
        <v>100</v>
      </c>
      <c r="I48" s="886" t="str">
        <f t="shared" si="0"/>
        <v>55210</v>
      </c>
      <c r="J48" s="886" t="str">
        <f t="shared" si="1"/>
        <v>1</v>
      </c>
      <c r="K48" s="885"/>
      <c r="M48" t="str">
        <f>VLOOKUP(A48,'Datetel Feb 28, 2013'!A:A,1,0)</f>
        <v>100_112200_0500_55210_819</v>
      </c>
      <c r="P48">
        <f>SUMIF('Datetel Feb 28, 2013'!A:A,Sheet2!A48,'Datetel Feb 28, 2013'!F:F)</f>
        <v>600</v>
      </c>
      <c r="Q48" s="793">
        <f t="shared" si="2"/>
        <v>0</v>
      </c>
    </row>
    <row r="49" spans="1:17" ht="15" x14ac:dyDescent="0.25">
      <c r="A49" t="s">
        <v>507</v>
      </c>
      <c r="B49" t="s">
        <v>842</v>
      </c>
      <c r="C49">
        <v>0</v>
      </c>
      <c r="D49">
        <v>0</v>
      </c>
      <c r="E49">
        <v>0</v>
      </c>
      <c r="F49" s="793">
        <v>4008</v>
      </c>
      <c r="G49" s="793">
        <v>4008</v>
      </c>
      <c r="H49">
        <v>100</v>
      </c>
      <c r="I49" s="886" t="str">
        <f t="shared" si="0"/>
        <v>55220</v>
      </c>
      <c r="J49" s="886" t="str">
        <f t="shared" si="1"/>
        <v>1</v>
      </c>
      <c r="K49" s="885"/>
      <c r="M49" t="str">
        <f>VLOOKUP(A49,'Datetel Feb 28, 2013'!A:A,1,0)</f>
        <v>100_112200_0500_55220_819</v>
      </c>
      <c r="P49">
        <f>SUMIF('Datetel Feb 28, 2013'!A:A,Sheet2!A49,'Datetel Feb 28, 2013'!F:F)</f>
        <v>4008</v>
      </c>
      <c r="Q49" s="793">
        <f t="shared" si="2"/>
        <v>0</v>
      </c>
    </row>
    <row r="50" spans="1:17" ht="15" x14ac:dyDescent="0.25">
      <c r="A50" t="s">
        <v>508</v>
      </c>
      <c r="B50" t="s">
        <v>843</v>
      </c>
      <c r="C50">
        <v>0</v>
      </c>
      <c r="D50">
        <v>0</v>
      </c>
      <c r="E50">
        <v>0</v>
      </c>
      <c r="F50">
        <v>200</v>
      </c>
      <c r="G50">
        <v>200</v>
      </c>
      <c r="H50">
        <v>100</v>
      </c>
      <c r="I50" s="886" t="str">
        <f t="shared" si="0"/>
        <v>55210</v>
      </c>
      <c r="J50" s="886" t="str">
        <f t="shared" si="1"/>
        <v>1</v>
      </c>
      <c r="K50" s="885"/>
      <c r="M50" t="str">
        <f>VLOOKUP(A50,'Datetel Feb 28, 2013'!A:A,1,0)</f>
        <v>100_112300_0700_55210_819</v>
      </c>
      <c r="P50">
        <f>SUMIF('Datetel Feb 28, 2013'!A:A,Sheet2!A50,'Datetel Feb 28, 2013'!F:F)</f>
        <v>200</v>
      </c>
      <c r="Q50" s="793">
        <f t="shared" si="2"/>
        <v>0</v>
      </c>
    </row>
    <row r="51" spans="1:17" ht="15" x14ac:dyDescent="0.25">
      <c r="A51" t="s">
        <v>510</v>
      </c>
      <c r="B51" t="s">
        <v>843</v>
      </c>
      <c r="C51">
        <v>0</v>
      </c>
      <c r="D51">
        <v>0</v>
      </c>
      <c r="E51">
        <v>0</v>
      </c>
      <c r="F51" s="793">
        <v>1800</v>
      </c>
      <c r="G51" s="793">
        <v>1800</v>
      </c>
      <c r="H51">
        <v>100</v>
      </c>
      <c r="I51" s="886" t="str">
        <f t="shared" si="0"/>
        <v>55220</v>
      </c>
      <c r="J51" s="886" t="str">
        <f t="shared" si="1"/>
        <v>1</v>
      </c>
      <c r="K51" s="885"/>
      <c r="M51" t="str">
        <f>VLOOKUP(A51,'Datetel Feb 28, 2013'!A:A,1,0)</f>
        <v>100_112300_0700_55220_819</v>
      </c>
      <c r="P51">
        <f>SUMIF('Datetel Feb 28, 2013'!A:A,Sheet2!A51,'Datetel Feb 28, 2013'!F:F)</f>
        <v>1800</v>
      </c>
      <c r="Q51" s="793">
        <f t="shared" si="2"/>
        <v>0</v>
      </c>
    </row>
    <row r="52" spans="1:17" ht="15" x14ac:dyDescent="0.25">
      <c r="A52" t="s">
        <v>511</v>
      </c>
      <c r="B52" t="s">
        <v>844</v>
      </c>
      <c r="C52">
        <v>0</v>
      </c>
      <c r="D52">
        <v>0</v>
      </c>
      <c r="E52">
        <v>0</v>
      </c>
      <c r="F52">
        <v>400</v>
      </c>
      <c r="G52">
        <v>400</v>
      </c>
      <c r="H52">
        <v>100</v>
      </c>
      <c r="I52" s="886" t="str">
        <f t="shared" si="0"/>
        <v>55210</v>
      </c>
      <c r="J52" s="886" t="str">
        <f t="shared" si="1"/>
        <v>1</v>
      </c>
      <c r="K52" s="885"/>
      <c r="M52" t="str">
        <f>VLOOKUP(A52,'Datetel Feb 28, 2013'!A:A,1,0)</f>
        <v>100_112400_0700_55210_819</v>
      </c>
      <c r="P52">
        <f>SUMIF('Datetel Feb 28, 2013'!A:A,Sheet2!A52,'Datetel Feb 28, 2013'!F:F)</f>
        <v>400</v>
      </c>
      <c r="Q52" s="793">
        <f t="shared" si="2"/>
        <v>0</v>
      </c>
    </row>
    <row r="53" spans="1:17" ht="15" x14ac:dyDescent="0.25">
      <c r="A53" t="s">
        <v>513</v>
      </c>
      <c r="B53" t="s">
        <v>845</v>
      </c>
      <c r="C53">
        <v>0</v>
      </c>
      <c r="D53">
        <v>0</v>
      </c>
      <c r="E53">
        <v>0</v>
      </c>
      <c r="F53" s="793">
        <v>3200</v>
      </c>
      <c r="G53" s="793">
        <v>3200</v>
      </c>
      <c r="H53">
        <v>100</v>
      </c>
      <c r="I53" s="886" t="str">
        <f t="shared" si="0"/>
        <v>55220</v>
      </c>
      <c r="J53" s="886" t="str">
        <f t="shared" si="1"/>
        <v>1</v>
      </c>
      <c r="K53" s="885"/>
      <c r="M53" t="str">
        <f>VLOOKUP(A53,'Datetel Feb 28, 2013'!A:A,1,0)</f>
        <v>100_112400_0700_55220_819</v>
      </c>
      <c r="P53">
        <f>SUMIF('Datetel Feb 28, 2013'!A:A,Sheet2!A53,'Datetel Feb 28, 2013'!F:F)</f>
        <v>3200</v>
      </c>
      <c r="Q53" s="793">
        <f t="shared" si="2"/>
        <v>0</v>
      </c>
    </row>
    <row r="54" spans="1:17" ht="15" x14ac:dyDescent="0.25">
      <c r="A54" t="s">
        <v>514</v>
      </c>
      <c r="B54" t="s">
        <v>846</v>
      </c>
      <c r="C54">
        <v>0</v>
      </c>
      <c r="D54">
        <v>0</v>
      </c>
      <c r="E54">
        <v>0</v>
      </c>
      <c r="F54">
        <v>200</v>
      </c>
      <c r="G54">
        <v>200</v>
      </c>
      <c r="H54">
        <v>100</v>
      </c>
      <c r="I54" s="886" t="str">
        <f t="shared" si="0"/>
        <v>55210</v>
      </c>
      <c r="J54" s="886" t="str">
        <f t="shared" si="1"/>
        <v>1</v>
      </c>
      <c r="K54" s="885"/>
      <c r="M54" t="str">
        <f>VLOOKUP(A54,'Datetel Feb 28, 2013'!A:A,1,0)</f>
        <v>100_112500_0500_55210_819</v>
      </c>
      <c r="P54">
        <f>SUMIF('Datetel Feb 28, 2013'!A:A,Sheet2!A54,'Datetel Feb 28, 2013'!F:F)</f>
        <v>200</v>
      </c>
      <c r="Q54" s="793">
        <f t="shared" si="2"/>
        <v>0</v>
      </c>
    </row>
    <row r="55" spans="1:17" ht="15" x14ac:dyDescent="0.25">
      <c r="A55" t="s">
        <v>516</v>
      </c>
      <c r="B55" t="s">
        <v>846</v>
      </c>
      <c r="C55">
        <v>0</v>
      </c>
      <c r="D55">
        <v>0</v>
      </c>
      <c r="E55">
        <v>0</v>
      </c>
      <c r="F55">
        <v>2</v>
      </c>
      <c r="G55">
        <v>2</v>
      </c>
      <c r="H55">
        <v>100</v>
      </c>
      <c r="I55" s="886" t="str">
        <f t="shared" si="0"/>
        <v>55220</v>
      </c>
      <c r="J55" s="886" t="str">
        <f t="shared" si="1"/>
        <v>1</v>
      </c>
      <c r="K55" s="885"/>
      <c r="M55" t="str">
        <f>VLOOKUP(A55,'Datetel Feb 28, 2013'!A:A,1,0)</f>
        <v>100_112500_0500_55220_819</v>
      </c>
      <c r="P55">
        <f>SUMIF('Datetel Feb 28, 2013'!A:A,Sheet2!A55,'Datetel Feb 28, 2013'!F:F)</f>
        <v>2</v>
      </c>
      <c r="Q55" s="793">
        <f t="shared" si="2"/>
        <v>0</v>
      </c>
    </row>
    <row r="56" spans="1:17" ht="15" x14ac:dyDescent="0.25">
      <c r="A56" t="s">
        <v>517</v>
      </c>
      <c r="B56" t="s">
        <v>518</v>
      </c>
      <c r="C56">
        <v>0</v>
      </c>
      <c r="D56">
        <v>0</v>
      </c>
      <c r="E56">
        <v>0</v>
      </c>
      <c r="F56">
        <v>680</v>
      </c>
      <c r="G56">
        <v>680</v>
      </c>
      <c r="H56">
        <v>100</v>
      </c>
      <c r="I56" s="886" t="str">
        <f t="shared" si="0"/>
        <v>55210</v>
      </c>
      <c r="J56" s="886" t="str">
        <f t="shared" si="1"/>
        <v>1</v>
      </c>
      <c r="K56" s="885"/>
      <c r="M56" t="str">
        <f>VLOOKUP(A56,'Datetel Feb 28, 2013'!A:A,1,0)</f>
        <v>100_112600_0700_55210_819</v>
      </c>
      <c r="P56">
        <f>SUMIF('Datetel Feb 28, 2013'!A:A,Sheet2!A56,'Datetel Feb 28, 2013'!F:F)</f>
        <v>680</v>
      </c>
      <c r="Q56" s="793">
        <f t="shared" si="2"/>
        <v>0</v>
      </c>
    </row>
    <row r="57" spans="1:17" ht="15" x14ac:dyDescent="0.25">
      <c r="A57" t="s">
        <v>519</v>
      </c>
      <c r="B57" t="s">
        <v>518</v>
      </c>
      <c r="C57">
        <v>0</v>
      </c>
      <c r="D57">
        <v>0</v>
      </c>
      <c r="E57">
        <v>0</v>
      </c>
      <c r="F57" s="793">
        <v>3535</v>
      </c>
      <c r="G57" s="793">
        <v>3535</v>
      </c>
      <c r="H57">
        <v>100</v>
      </c>
      <c r="I57" s="886" t="str">
        <f t="shared" si="0"/>
        <v>55220</v>
      </c>
      <c r="J57" s="886" t="str">
        <f t="shared" si="1"/>
        <v>1</v>
      </c>
      <c r="K57" s="885"/>
      <c r="M57" t="str">
        <f>VLOOKUP(A57,'Datetel Feb 28, 2013'!A:A,1,0)</f>
        <v>100_112600_0700_55220_819</v>
      </c>
      <c r="P57">
        <f>SUMIF('Datetel Feb 28, 2013'!A:A,Sheet2!A57,'Datetel Feb 28, 2013'!F:F)</f>
        <v>3535</v>
      </c>
      <c r="Q57" s="793">
        <f t="shared" si="2"/>
        <v>0</v>
      </c>
    </row>
    <row r="58" spans="1:17" ht="15" x14ac:dyDescent="0.25">
      <c r="A58" t="s">
        <v>520</v>
      </c>
      <c r="B58" t="s">
        <v>847</v>
      </c>
      <c r="C58">
        <v>0</v>
      </c>
      <c r="D58">
        <v>200</v>
      </c>
      <c r="E58">
        <v>400</v>
      </c>
      <c r="F58" s="793">
        <v>1200</v>
      </c>
      <c r="G58">
        <v>800</v>
      </c>
      <c r="H58">
        <v>66.67</v>
      </c>
      <c r="I58" s="886" t="str">
        <f t="shared" si="0"/>
        <v>55210</v>
      </c>
      <c r="J58" s="886" t="str">
        <f t="shared" si="1"/>
        <v>1</v>
      </c>
      <c r="K58" s="885"/>
      <c r="M58" t="str">
        <f>VLOOKUP(A58,'Datetel Feb 28, 2013'!A:A,1,0)</f>
        <v>100_113100_1000_55210_819</v>
      </c>
      <c r="P58">
        <f>SUMIF('Datetel Feb 28, 2013'!A:A,Sheet2!A58,'Datetel Feb 28, 2013'!F:F)</f>
        <v>1200</v>
      </c>
      <c r="Q58" s="793">
        <f t="shared" si="2"/>
        <v>0</v>
      </c>
    </row>
    <row r="59" spans="1:17" ht="15" x14ac:dyDescent="0.25">
      <c r="A59" t="s">
        <v>523</v>
      </c>
      <c r="B59" t="s">
        <v>848</v>
      </c>
      <c r="C59">
        <v>0</v>
      </c>
      <c r="D59">
        <v>500</v>
      </c>
      <c r="E59">
        <v>700</v>
      </c>
      <c r="F59" s="793">
        <v>2687</v>
      </c>
      <c r="G59" s="793">
        <v>1987</v>
      </c>
      <c r="H59">
        <v>73.95</v>
      </c>
      <c r="I59" s="886" t="str">
        <f t="shared" si="0"/>
        <v>55220</v>
      </c>
      <c r="J59" s="886" t="str">
        <f t="shared" si="1"/>
        <v>1</v>
      </c>
      <c r="K59" s="885"/>
      <c r="M59" t="str">
        <f>VLOOKUP(A59,'Datetel Feb 28, 2013'!A:A,1,0)</f>
        <v>100_113100_1000_55220_819</v>
      </c>
      <c r="P59">
        <f>SUMIF('Datetel Feb 28, 2013'!A:A,Sheet2!A59,'Datetel Feb 28, 2013'!F:F)</f>
        <v>2687</v>
      </c>
      <c r="Q59" s="793">
        <f t="shared" si="2"/>
        <v>0</v>
      </c>
    </row>
    <row r="60" spans="1:17" ht="15" x14ac:dyDescent="0.25">
      <c r="A60" t="s">
        <v>524</v>
      </c>
      <c r="B60" t="s">
        <v>849</v>
      </c>
      <c r="C60">
        <v>0</v>
      </c>
      <c r="D60">
        <v>0</v>
      </c>
      <c r="E60">
        <v>320.16000000000003</v>
      </c>
      <c r="F60">
        <v>800</v>
      </c>
      <c r="G60">
        <v>479.84</v>
      </c>
      <c r="H60">
        <v>59.98</v>
      </c>
      <c r="I60" s="886" t="str">
        <f t="shared" si="0"/>
        <v>55210</v>
      </c>
      <c r="J60" s="886" t="str">
        <f t="shared" si="1"/>
        <v>1</v>
      </c>
      <c r="K60" s="885"/>
      <c r="M60" t="str">
        <f>VLOOKUP(A60,'Datetel Feb 28, 2013'!A:A,1,0)</f>
        <v>100_113200_1000_55210_819</v>
      </c>
      <c r="P60">
        <f>SUMIF('Datetel Feb 28, 2013'!A:A,Sheet2!A60,'Datetel Feb 28, 2013'!F:F)</f>
        <v>800</v>
      </c>
      <c r="Q60" s="793">
        <f t="shared" si="2"/>
        <v>0</v>
      </c>
    </row>
    <row r="61" spans="1:17" ht="15" x14ac:dyDescent="0.25">
      <c r="A61" t="s">
        <v>526</v>
      </c>
      <c r="B61" t="s">
        <v>850</v>
      </c>
      <c r="C61">
        <v>0</v>
      </c>
      <c r="D61">
        <v>0</v>
      </c>
      <c r="E61">
        <v>0</v>
      </c>
      <c r="F61">
        <v>615</v>
      </c>
      <c r="G61">
        <v>615</v>
      </c>
      <c r="H61">
        <v>100</v>
      </c>
      <c r="I61" s="886" t="str">
        <f t="shared" si="0"/>
        <v>55220</v>
      </c>
      <c r="J61" s="886" t="str">
        <f t="shared" si="1"/>
        <v>1</v>
      </c>
      <c r="K61" s="885"/>
      <c r="M61" t="str">
        <f>VLOOKUP(A61,'Datetel Feb 28, 2013'!A:A,1,0)</f>
        <v>100_113200_1000_55220_819</v>
      </c>
      <c r="P61">
        <f>SUMIF('Datetel Feb 28, 2013'!A:A,Sheet2!A61,'Datetel Feb 28, 2013'!F:F)</f>
        <v>615</v>
      </c>
      <c r="Q61" s="793">
        <f t="shared" si="2"/>
        <v>0</v>
      </c>
    </row>
    <row r="62" spans="1:17" ht="15" x14ac:dyDescent="0.25">
      <c r="A62" t="s">
        <v>527</v>
      </c>
      <c r="B62" t="s">
        <v>851</v>
      </c>
      <c r="C62">
        <v>0</v>
      </c>
      <c r="D62">
        <v>0</v>
      </c>
      <c r="E62">
        <v>0</v>
      </c>
      <c r="F62">
        <v>600</v>
      </c>
      <c r="G62">
        <v>600</v>
      </c>
      <c r="H62">
        <v>100</v>
      </c>
      <c r="I62" s="886" t="str">
        <f t="shared" si="0"/>
        <v>55210</v>
      </c>
      <c r="J62" s="886" t="str">
        <f t="shared" si="1"/>
        <v>1</v>
      </c>
      <c r="K62" s="885"/>
      <c r="M62" t="str">
        <f>VLOOKUP(A62,'Datetel Feb 28, 2013'!A:A,1,0)</f>
        <v>100_113300_1000_55210_819</v>
      </c>
      <c r="P62">
        <f>SUMIF('Datetel Feb 28, 2013'!A:A,Sheet2!A62,'Datetel Feb 28, 2013'!F:F)</f>
        <v>600</v>
      </c>
      <c r="Q62" s="793">
        <f t="shared" si="2"/>
        <v>0</v>
      </c>
    </row>
    <row r="63" spans="1:17" ht="15" x14ac:dyDescent="0.25">
      <c r="A63" t="s">
        <v>529</v>
      </c>
      <c r="B63" t="s">
        <v>851</v>
      </c>
      <c r="C63">
        <v>0</v>
      </c>
      <c r="D63">
        <v>0</v>
      </c>
      <c r="E63">
        <v>0</v>
      </c>
      <c r="F63" s="793">
        <v>3323</v>
      </c>
      <c r="G63" s="793">
        <v>3323</v>
      </c>
      <c r="H63">
        <v>100</v>
      </c>
      <c r="I63" s="886" t="str">
        <f t="shared" si="0"/>
        <v>55220</v>
      </c>
      <c r="J63" s="886" t="str">
        <f t="shared" si="1"/>
        <v>1</v>
      </c>
      <c r="K63" s="885"/>
      <c r="M63" t="str">
        <f>VLOOKUP(A63,'Datetel Feb 28, 2013'!A:A,1,0)</f>
        <v>100_113300_1000_55220_819</v>
      </c>
      <c r="P63">
        <f>SUMIF('Datetel Feb 28, 2013'!A:A,Sheet2!A63,'Datetel Feb 28, 2013'!F:F)</f>
        <v>3323</v>
      </c>
      <c r="Q63" s="793">
        <f t="shared" si="2"/>
        <v>0</v>
      </c>
    </row>
    <row r="64" spans="1:17" ht="15" x14ac:dyDescent="0.25">
      <c r="A64" t="s">
        <v>530</v>
      </c>
      <c r="B64" t="s">
        <v>852</v>
      </c>
      <c r="C64">
        <v>0</v>
      </c>
      <c r="D64">
        <v>0</v>
      </c>
      <c r="E64">
        <v>0</v>
      </c>
      <c r="F64" s="793">
        <v>3200</v>
      </c>
      <c r="G64" s="793">
        <v>3200</v>
      </c>
      <c r="H64">
        <v>100</v>
      </c>
      <c r="I64" s="886" t="str">
        <f t="shared" si="0"/>
        <v>55210</v>
      </c>
      <c r="J64" s="886" t="str">
        <f t="shared" si="1"/>
        <v>1</v>
      </c>
      <c r="K64" s="885"/>
      <c r="M64" t="str">
        <f>VLOOKUP(A64,'Datetel Feb 28, 2013'!A:A,1,0)</f>
        <v>100_114100_1500_55210_819</v>
      </c>
      <c r="P64">
        <f>SUMIF('Datetel Feb 28, 2013'!A:A,Sheet2!A64,'Datetel Feb 28, 2013'!F:F)</f>
        <v>3200</v>
      </c>
      <c r="Q64" s="793">
        <f t="shared" si="2"/>
        <v>0</v>
      </c>
    </row>
    <row r="65" spans="1:17" ht="15" x14ac:dyDescent="0.25">
      <c r="A65" t="s">
        <v>533</v>
      </c>
      <c r="B65" t="s">
        <v>853</v>
      </c>
      <c r="C65">
        <v>0</v>
      </c>
      <c r="D65" s="793">
        <v>1654.69</v>
      </c>
      <c r="E65" s="793">
        <v>1654.69</v>
      </c>
      <c r="F65" s="793">
        <v>3533</v>
      </c>
      <c r="G65" s="793">
        <v>1878.31</v>
      </c>
      <c r="H65">
        <v>53.16</v>
      </c>
      <c r="I65" s="886" t="str">
        <f t="shared" si="0"/>
        <v>55220</v>
      </c>
      <c r="J65" s="886" t="str">
        <f t="shared" si="1"/>
        <v>1</v>
      </c>
      <c r="K65" s="885"/>
      <c r="M65" t="str">
        <f>VLOOKUP(A65,'Datetel Feb 28, 2013'!A:A,1,0)</f>
        <v>100_114100_1500_55220_819</v>
      </c>
      <c r="P65">
        <f>SUMIF('Datetel Feb 28, 2013'!A:A,Sheet2!A65,'Datetel Feb 28, 2013'!F:F)</f>
        <v>3533</v>
      </c>
      <c r="Q65" s="793">
        <f t="shared" si="2"/>
        <v>0</v>
      </c>
    </row>
    <row r="66" spans="1:17" ht="15" x14ac:dyDescent="0.25">
      <c r="A66" t="s">
        <v>534</v>
      </c>
      <c r="B66" t="s">
        <v>854</v>
      </c>
      <c r="C66">
        <v>0</v>
      </c>
      <c r="D66">
        <v>0</v>
      </c>
      <c r="E66">
        <v>0</v>
      </c>
      <c r="F66">
        <v>800</v>
      </c>
      <c r="G66">
        <v>800</v>
      </c>
      <c r="H66">
        <v>100</v>
      </c>
      <c r="I66" s="886" t="str">
        <f t="shared" si="0"/>
        <v>55210</v>
      </c>
      <c r="J66" s="886" t="str">
        <f t="shared" si="1"/>
        <v>1</v>
      </c>
      <c r="K66" s="885"/>
      <c r="M66" t="str">
        <f>VLOOKUP(A66,'Datetel Feb 28, 2013'!A:A,1,0)</f>
        <v>100_114200_1500_55210_819</v>
      </c>
      <c r="P66">
        <f>SUMIF('Datetel Feb 28, 2013'!A:A,Sheet2!A66,'Datetel Feb 28, 2013'!F:F)</f>
        <v>800</v>
      </c>
      <c r="Q66" s="793">
        <f t="shared" si="2"/>
        <v>0</v>
      </c>
    </row>
    <row r="67" spans="1:17" ht="15" x14ac:dyDescent="0.25">
      <c r="A67" t="s">
        <v>536</v>
      </c>
      <c r="B67" t="s">
        <v>855</v>
      </c>
      <c r="C67">
        <v>0</v>
      </c>
      <c r="D67">
        <v>0</v>
      </c>
      <c r="E67">
        <v>0</v>
      </c>
      <c r="F67">
        <v>326</v>
      </c>
      <c r="G67">
        <v>326</v>
      </c>
      <c r="H67">
        <v>100</v>
      </c>
      <c r="I67" s="886" t="str">
        <f t="shared" ref="I67:I130" si="3">MID(A67,17,5)</f>
        <v>55220</v>
      </c>
      <c r="J67" s="886" t="str">
        <f t="shared" ref="J67:J130" si="4">MID(A67,5,1)</f>
        <v>1</v>
      </c>
      <c r="K67" s="885"/>
      <c r="M67" t="str">
        <f>VLOOKUP(A67,'Datetel Feb 28, 2013'!A:A,1,0)</f>
        <v>100_114200_1500_55220_819</v>
      </c>
      <c r="P67">
        <f>SUMIF('Datetel Feb 28, 2013'!A:A,Sheet2!A67,'Datetel Feb 28, 2013'!F:F)</f>
        <v>326</v>
      </c>
      <c r="Q67" s="793">
        <f t="shared" ref="Q67:Q121" si="5">F67-P67</f>
        <v>0</v>
      </c>
    </row>
    <row r="68" spans="1:17" ht="15" x14ac:dyDescent="0.25">
      <c r="A68" t="s">
        <v>537</v>
      </c>
      <c r="B68" t="s">
        <v>856</v>
      </c>
      <c r="C68">
        <v>0</v>
      </c>
      <c r="D68">
        <v>0</v>
      </c>
      <c r="E68">
        <v>0</v>
      </c>
      <c r="F68">
        <v>400</v>
      </c>
      <c r="G68">
        <v>400</v>
      </c>
      <c r="H68">
        <v>100</v>
      </c>
      <c r="I68" s="886" t="str">
        <f t="shared" si="3"/>
        <v>55210</v>
      </c>
      <c r="J68" s="886" t="str">
        <f t="shared" si="4"/>
        <v>1</v>
      </c>
      <c r="K68" s="885"/>
      <c r="M68" t="str">
        <f>VLOOKUP(A68,'Datetel Feb 28, 2013'!A:A,1,0)</f>
        <v>100_114300_1100_55210_819</v>
      </c>
      <c r="P68">
        <f>SUMIF('Datetel Feb 28, 2013'!A:A,Sheet2!A68,'Datetel Feb 28, 2013'!F:F)</f>
        <v>400</v>
      </c>
      <c r="Q68" s="793">
        <f t="shared" si="5"/>
        <v>0</v>
      </c>
    </row>
    <row r="69" spans="1:17" ht="15" x14ac:dyDescent="0.25">
      <c r="A69" t="s">
        <v>542</v>
      </c>
      <c r="B69" t="s">
        <v>857</v>
      </c>
      <c r="C69">
        <v>0</v>
      </c>
      <c r="D69">
        <v>0</v>
      </c>
      <c r="E69">
        <v>45</v>
      </c>
      <c r="F69">
        <v>400</v>
      </c>
      <c r="G69">
        <v>355</v>
      </c>
      <c r="H69">
        <v>88.75</v>
      </c>
      <c r="I69" s="886" t="str">
        <f t="shared" si="3"/>
        <v>55210</v>
      </c>
      <c r="J69" s="886" t="str">
        <f t="shared" si="4"/>
        <v>1</v>
      </c>
      <c r="K69" s="885"/>
      <c r="M69" t="str">
        <f>VLOOKUP(A69,'Datetel Feb 28, 2013'!A:A,1,0)</f>
        <v>100_114600_4900_55210_819</v>
      </c>
      <c r="P69">
        <f>SUMIF('Datetel Feb 28, 2013'!A:A,Sheet2!A69,'Datetel Feb 28, 2013'!F:F)</f>
        <v>400</v>
      </c>
      <c r="Q69" s="793">
        <f t="shared" si="5"/>
        <v>0</v>
      </c>
    </row>
    <row r="70" spans="1:17" ht="15" x14ac:dyDescent="0.25">
      <c r="A70" t="s">
        <v>544</v>
      </c>
      <c r="B70" t="s">
        <v>858</v>
      </c>
      <c r="C70">
        <v>0</v>
      </c>
      <c r="D70">
        <v>0</v>
      </c>
      <c r="E70">
        <v>0</v>
      </c>
      <c r="F70">
        <v>241</v>
      </c>
      <c r="G70">
        <v>241</v>
      </c>
      <c r="H70">
        <v>100</v>
      </c>
      <c r="I70" s="886" t="str">
        <f t="shared" si="3"/>
        <v>55220</v>
      </c>
      <c r="J70" s="886" t="str">
        <f t="shared" si="4"/>
        <v>1</v>
      </c>
      <c r="K70" s="885"/>
      <c r="M70" t="str">
        <f>VLOOKUP(A70,'Datetel Feb 28, 2013'!A:A,1,0)</f>
        <v>100_114600_4900_55220_819</v>
      </c>
      <c r="P70">
        <f>SUMIF('Datetel Feb 28, 2013'!A:A,Sheet2!A70,'Datetel Feb 28, 2013'!F:F)</f>
        <v>241</v>
      </c>
      <c r="Q70" s="793">
        <f t="shared" si="5"/>
        <v>0</v>
      </c>
    </row>
    <row r="71" spans="1:17" ht="15" x14ac:dyDescent="0.25">
      <c r="A71" t="s">
        <v>545</v>
      </c>
      <c r="B71" t="s">
        <v>859</v>
      </c>
      <c r="C71">
        <v>0</v>
      </c>
      <c r="D71">
        <v>0</v>
      </c>
      <c r="E71">
        <v>0</v>
      </c>
      <c r="F71">
        <v>800</v>
      </c>
      <c r="G71">
        <v>800</v>
      </c>
      <c r="H71">
        <v>100</v>
      </c>
      <c r="I71" s="886" t="str">
        <f t="shared" si="3"/>
        <v>55210</v>
      </c>
      <c r="J71" s="886" t="str">
        <f t="shared" si="4"/>
        <v>1</v>
      </c>
      <c r="K71" s="885"/>
      <c r="M71" t="str">
        <f>VLOOKUP(A71,'Datetel Feb 28, 2013'!A:A,1,0)</f>
        <v>100_114700_1500_55210_819</v>
      </c>
      <c r="P71">
        <f>SUMIF('Datetel Feb 28, 2013'!A:A,Sheet2!A71,'Datetel Feb 28, 2013'!F:F)</f>
        <v>800</v>
      </c>
      <c r="Q71" s="793">
        <f t="shared" si="5"/>
        <v>0</v>
      </c>
    </row>
    <row r="72" spans="1:17" ht="15" x14ac:dyDescent="0.25">
      <c r="A72" t="s">
        <v>547</v>
      </c>
      <c r="B72" t="s">
        <v>859</v>
      </c>
      <c r="C72">
        <v>0</v>
      </c>
      <c r="D72">
        <v>0</v>
      </c>
      <c r="E72">
        <v>0</v>
      </c>
      <c r="F72" s="793">
        <v>2223</v>
      </c>
      <c r="G72" s="793">
        <v>2223</v>
      </c>
      <c r="H72">
        <v>100</v>
      </c>
      <c r="I72" s="886" t="str">
        <f t="shared" si="3"/>
        <v>55220</v>
      </c>
      <c r="J72" s="886" t="str">
        <f t="shared" si="4"/>
        <v>1</v>
      </c>
      <c r="K72" s="885"/>
      <c r="M72" t="str">
        <f>VLOOKUP(A72,'Datetel Feb 28, 2013'!A:A,1,0)</f>
        <v>100_114700_1500_55220_819</v>
      </c>
      <c r="P72">
        <f>SUMIF('Datetel Feb 28, 2013'!A:A,Sheet2!A72,'Datetel Feb 28, 2013'!F:F)</f>
        <v>2223</v>
      </c>
      <c r="Q72" s="793">
        <f t="shared" si="5"/>
        <v>0</v>
      </c>
    </row>
    <row r="73" spans="1:17" ht="15" x14ac:dyDescent="0.25">
      <c r="A73" t="s">
        <v>548</v>
      </c>
      <c r="B73" t="s">
        <v>860</v>
      </c>
      <c r="C73">
        <v>0</v>
      </c>
      <c r="D73">
        <v>0</v>
      </c>
      <c r="E73">
        <v>0</v>
      </c>
      <c r="F73" s="793">
        <v>3200</v>
      </c>
      <c r="G73" s="793">
        <v>3200</v>
      </c>
      <c r="H73">
        <v>100</v>
      </c>
      <c r="I73" s="886" t="str">
        <f t="shared" si="3"/>
        <v>55210</v>
      </c>
      <c r="J73" s="886" t="str">
        <f t="shared" si="4"/>
        <v>1</v>
      </c>
      <c r="K73" s="885"/>
      <c r="M73" t="str">
        <f>VLOOKUP(A73,'Datetel Feb 28, 2013'!A:A,1,0)</f>
        <v>100_115000_6010_55210_819</v>
      </c>
      <c r="P73">
        <f>SUMIF('Datetel Feb 28, 2013'!A:A,Sheet2!A73,'Datetel Feb 28, 2013'!F:F)</f>
        <v>3200</v>
      </c>
      <c r="Q73" s="793">
        <f t="shared" si="5"/>
        <v>0</v>
      </c>
    </row>
    <row r="74" spans="1:17" ht="15" x14ac:dyDescent="0.25">
      <c r="A74" t="s">
        <v>550</v>
      </c>
      <c r="B74" t="s">
        <v>860</v>
      </c>
      <c r="C74">
        <v>0</v>
      </c>
      <c r="D74">
        <v>0</v>
      </c>
      <c r="E74">
        <v>964.93</v>
      </c>
      <c r="F74" s="793">
        <v>6015</v>
      </c>
      <c r="G74" s="793">
        <v>5050.07</v>
      </c>
      <c r="H74">
        <v>83.96</v>
      </c>
      <c r="I74" s="886" t="str">
        <f t="shared" si="3"/>
        <v>55220</v>
      </c>
      <c r="J74" s="886" t="str">
        <f t="shared" si="4"/>
        <v>1</v>
      </c>
      <c r="K74" s="885"/>
      <c r="M74" t="str">
        <f>VLOOKUP(A74,'Datetel Feb 28, 2013'!A:A,1,0)</f>
        <v>100_115000_6010_55220_819</v>
      </c>
      <c r="P74">
        <f>SUMIF('Datetel Feb 28, 2013'!A:A,Sheet2!A74,'Datetel Feb 28, 2013'!F:F)</f>
        <v>6015</v>
      </c>
      <c r="Q74" s="793">
        <f t="shared" si="5"/>
        <v>0</v>
      </c>
    </row>
    <row r="75" spans="1:17" ht="15" x14ac:dyDescent="0.25">
      <c r="A75" t="s">
        <v>187</v>
      </c>
      <c r="B75" t="s">
        <v>861</v>
      </c>
      <c r="C75">
        <v>0</v>
      </c>
      <c r="D75">
        <v>0</v>
      </c>
      <c r="E75" s="793">
        <v>9750</v>
      </c>
      <c r="F75" s="793">
        <v>23018</v>
      </c>
      <c r="G75" s="793">
        <v>13268</v>
      </c>
      <c r="H75">
        <v>57.64</v>
      </c>
      <c r="I75" s="886" t="str">
        <f t="shared" si="3"/>
        <v>51450</v>
      </c>
      <c r="J75" s="886" t="str">
        <f t="shared" si="4"/>
        <v>1</v>
      </c>
      <c r="K75" s="885"/>
      <c r="M75" t="str">
        <f>VLOOKUP(A75,'Datetel Feb 28, 2013'!A:A,1,0)</f>
        <v>100_115200_6960_51450_819</v>
      </c>
      <c r="P75">
        <f>SUMIF('Datetel Feb 28, 2013'!A:A,Sheet2!A75,'Datetel Feb 28, 2013'!F:F)</f>
        <v>23018</v>
      </c>
      <c r="Q75" s="793">
        <f t="shared" si="5"/>
        <v>0</v>
      </c>
    </row>
    <row r="76" spans="1:17" ht="15" x14ac:dyDescent="0.25">
      <c r="A76" t="s">
        <v>553</v>
      </c>
      <c r="B76" t="s">
        <v>861</v>
      </c>
      <c r="C76">
        <v>0</v>
      </c>
      <c r="D76">
        <v>0</v>
      </c>
      <c r="E76">
        <v>701.27</v>
      </c>
      <c r="F76" s="793">
        <v>1532</v>
      </c>
      <c r="G76">
        <v>830.73</v>
      </c>
      <c r="H76">
        <v>54.23</v>
      </c>
      <c r="I76" s="886" t="str">
        <f t="shared" si="3"/>
        <v>53120</v>
      </c>
      <c r="J76" s="886" t="str">
        <f t="shared" si="4"/>
        <v>1</v>
      </c>
      <c r="K76" s="885"/>
      <c r="M76" t="str">
        <f>VLOOKUP(A76,'Datetel Feb 28, 2013'!A:A,1,0)</f>
        <v>100_115200_6960_53120_819</v>
      </c>
      <c r="P76">
        <f>SUMIF('Datetel Feb 28, 2013'!A:A,Sheet2!A76,'Datetel Feb 28, 2013'!F:F)</f>
        <v>1532</v>
      </c>
      <c r="Q76" s="793">
        <f t="shared" si="5"/>
        <v>0</v>
      </c>
    </row>
    <row r="77" spans="1:17" ht="15" x14ac:dyDescent="0.25">
      <c r="A77" t="s">
        <v>944</v>
      </c>
      <c r="B77" t="s">
        <v>861</v>
      </c>
      <c r="C77">
        <v>0</v>
      </c>
      <c r="D77">
        <v>0</v>
      </c>
      <c r="E77">
        <v>50</v>
      </c>
      <c r="F77">
        <v>0</v>
      </c>
      <c r="G77">
        <v>-50</v>
      </c>
      <c r="H77">
        <v>0</v>
      </c>
      <c r="I77" s="886" t="str">
        <f t="shared" si="3"/>
        <v>53314</v>
      </c>
      <c r="J77" s="886" t="str">
        <f t="shared" si="4"/>
        <v>1</v>
      </c>
      <c r="K77" s="885"/>
      <c r="M77" t="str">
        <f>VLOOKUP(A77,'Datetel Feb 28, 2013'!A:A,1,0)</f>
        <v>100_115200_6960_53314_819</v>
      </c>
      <c r="P77">
        <f>SUMIF('Datetel Feb 28, 2013'!A:A,Sheet2!A77,'Datetel Feb 28, 2013'!F:F)</f>
        <v>0</v>
      </c>
      <c r="Q77" s="793">
        <f t="shared" si="5"/>
        <v>0</v>
      </c>
    </row>
    <row r="78" spans="1:17" ht="15" x14ac:dyDescent="0.25">
      <c r="A78" t="s">
        <v>945</v>
      </c>
      <c r="B78" t="s">
        <v>861</v>
      </c>
      <c r="C78">
        <v>0</v>
      </c>
      <c r="D78">
        <v>0</v>
      </c>
      <c r="E78">
        <v>123.23</v>
      </c>
      <c r="F78">
        <v>330</v>
      </c>
      <c r="G78">
        <v>206.77</v>
      </c>
      <c r="H78">
        <v>62.66</v>
      </c>
      <c r="I78" s="886" t="str">
        <f t="shared" si="3"/>
        <v>53323</v>
      </c>
      <c r="J78" s="886" t="str">
        <f t="shared" si="4"/>
        <v>1</v>
      </c>
      <c r="K78" s="885"/>
      <c r="M78" t="str">
        <f>VLOOKUP(A78,'Datetel Feb 28, 2013'!A:A,1,0)</f>
        <v>100_115200_6960_53323_819</v>
      </c>
      <c r="P78">
        <f>SUMIF('Datetel Feb 28, 2013'!A:A,Sheet2!A78,'Datetel Feb 28, 2013'!F:F)</f>
        <v>330</v>
      </c>
      <c r="Q78" s="793">
        <f t="shared" si="5"/>
        <v>0</v>
      </c>
    </row>
    <row r="79" spans="1:17" ht="15" x14ac:dyDescent="0.25">
      <c r="A79" t="s">
        <v>981</v>
      </c>
      <c r="B79" t="s">
        <v>861</v>
      </c>
      <c r="C79">
        <v>0</v>
      </c>
      <c r="D79">
        <v>0</v>
      </c>
      <c r="E79">
        <v>0</v>
      </c>
      <c r="F79">
        <v>345</v>
      </c>
      <c r="G79">
        <v>345</v>
      </c>
      <c r="H79">
        <v>100</v>
      </c>
      <c r="I79" s="886" t="str">
        <f t="shared" si="3"/>
        <v>53324</v>
      </c>
      <c r="J79" s="886" t="str">
        <f t="shared" si="4"/>
        <v>1</v>
      </c>
      <c r="K79" s="885"/>
      <c r="M79" t="str">
        <f>VLOOKUP(A79,'Datetel Feb 28, 2013'!A:A,1,0)</f>
        <v>100_115200_6960_53324_819</v>
      </c>
      <c r="P79">
        <f>SUMIF('Datetel Feb 28, 2013'!A:A,Sheet2!A79,'Datetel Feb 28, 2013'!F:F)</f>
        <v>345</v>
      </c>
      <c r="Q79" s="793">
        <f t="shared" si="5"/>
        <v>0</v>
      </c>
    </row>
    <row r="80" spans="1:17" ht="15" x14ac:dyDescent="0.25">
      <c r="A80" t="s">
        <v>946</v>
      </c>
      <c r="B80" t="s">
        <v>861</v>
      </c>
      <c r="C80">
        <v>0</v>
      </c>
      <c r="D80">
        <v>0</v>
      </c>
      <c r="E80">
        <v>106.77</v>
      </c>
      <c r="F80">
        <v>250</v>
      </c>
      <c r="G80">
        <v>143.22999999999999</v>
      </c>
      <c r="H80">
        <v>57.29</v>
      </c>
      <c r="I80" s="886" t="str">
        <f t="shared" si="3"/>
        <v>53520</v>
      </c>
      <c r="J80" s="886" t="str">
        <f t="shared" si="4"/>
        <v>1</v>
      </c>
      <c r="K80" s="886"/>
      <c r="M80" t="str">
        <f>VLOOKUP(A80,'Datetel Feb 28, 2013'!A:A,1,0)</f>
        <v>100_115200_6960_53520_819</v>
      </c>
      <c r="P80">
        <f>SUMIF('Datetel Feb 28, 2013'!A:A,Sheet2!A80,'Datetel Feb 28, 2013'!F:F)</f>
        <v>250</v>
      </c>
      <c r="Q80" s="793">
        <f t="shared" si="5"/>
        <v>0</v>
      </c>
    </row>
    <row r="81" spans="1:17" ht="15" x14ac:dyDescent="0.25">
      <c r="A81" t="s">
        <v>561</v>
      </c>
      <c r="B81" t="s">
        <v>861</v>
      </c>
      <c r="C81">
        <v>0</v>
      </c>
      <c r="D81">
        <v>0</v>
      </c>
      <c r="E81">
        <v>143.37</v>
      </c>
      <c r="F81">
        <v>336</v>
      </c>
      <c r="G81">
        <v>192.63</v>
      </c>
      <c r="H81">
        <v>57.33</v>
      </c>
      <c r="I81" s="886" t="str">
        <f t="shared" si="3"/>
        <v>53620</v>
      </c>
      <c r="J81" s="886" t="str">
        <f t="shared" si="4"/>
        <v>1</v>
      </c>
      <c r="K81" s="886"/>
      <c r="M81" t="str">
        <f>VLOOKUP(A81,'Datetel Feb 28, 2013'!A:A,1,0)</f>
        <v>100_115200_6960_53620_819</v>
      </c>
      <c r="P81">
        <f>SUMIF('Datetel Feb 28, 2013'!A:A,Sheet2!A81,'Datetel Feb 28, 2013'!F:F)</f>
        <v>336</v>
      </c>
      <c r="Q81" s="793">
        <f t="shared" si="5"/>
        <v>0</v>
      </c>
    </row>
    <row r="82" spans="1:17" ht="15" x14ac:dyDescent="0.25">
      <c r="A82" t="s">
        <v>188</v>
      </c>
      <c r="B82" t="s">
        <v>861</v>
      </c>
      <c r="C82">
        <v>0</v>
      </c>
      <c r="D82">
        <v>0</v>
      </c>
      <c r="E82" s="793">
        <v>109381.68</v>
      </c>
      <c r="F82" s="793">
        <v>109382</v>
      </c>
      <c r="G82">
        <v>0.32</v>
      </c>
      <c r="H82">
        <v>0</v>
      </c>
      <c r="I82" s="886" t="str">
        <f t="shared" si="3"/>
        <v>55940</v>
      </c>
      <c r="J82" s="886" t="str">
        <f t="shared" si="4"/>
        <v>1</v>
      </c>
      <c r="K82" s="886"/>
      <c r="M82" t="str">
        <f>VLOOKUP(A82,'Datetel Feb 28, 2013'!A:A,1,0)</f>
        <v>100_115200_6960_55940_819</v>
      </c>
      <c r="P82">
        <f>SUMIF('Datetel Feb 28, 2013'!A:A,Sheet2!A82,'Datetel Feb 28, 2013'!F:F)</f>
        <v>109382</v>
      </c>
      <c r="Q82" s="793">
        <f t="shared" si="5"/>
        <v>0</v>
      </c>
    </row>
    <row r="83" spans="1:17" ht="15" x14ac:dyDescent="0.25">
      <c r="A83" t="s">
        <v>564</v>
      </c>
      <c r="B83" t="s">
        <v>862</v>
      </c>
      <c r="C83">
        <v>0</v>
      </c>
      <c r="D83">
        <v>0</v>
      </c>
      <c r="E83">
        <v>0</v>
      </c>
      <c r="F83" s="793">
        <v>1600</v>
      </c>
      <c r="G83" s="793">
        <v>1600</v>
      </c>
      <c r="H83">
        <v>100</v>
      </c>
      <c r="I83" s="886" t="str">
        <f t="shared" si="3"/>
        <v>55210</v>
      </c>
      <c r="J83" s="886" t="str">
        <f t="shared" si="4"/>
        <v>1</v>
      </c>
      <c r="K83" s="886"/>
      <c r="M83" t="str">
        <f>VLOOKUP(A83,'Datetel Feb 28, 2013'!A:A,1,0)</f>
        <v>100_116200_0400_55210_819</v>
      </c>
      <c r="P83">
        <f>SUMIF('Datetel Feb 28, 2013'!A:A,Sheet2!A83,'Datetel Feb 28, 2013'!F:F)</f>
        <v>1600</v>
      </c>
      <c r="Q83" s="793">
        <f t="shared" si="5"/>
        <v>0</v>
      </c>
    </row>
    <row r="84" spans="1:17" ht="15" x14ac:dyDescent="0.25">
      <c r="A84" t="s">
        <v>567</v>
      </c>
      <c r="B84" t="s">
        <v>863</v>
      </c>
      <c r="C84">
        <v>0</v>
      </c>
      <c r="D84" s="793">
        <v>2869.61</v>
      </c>
      <c r="E84" s="793">
        <v>2869.61</v>
      </c>
      <c r="F84" s="793">
        <v>10375</v>
      </c>
      <c r="G84" s="793">
        <v>7505.39</v>
      </c>
      <c r="H84">
        <v>72.34</v>
      </c>
      <c r="I84" s="886" t="str">
        <f t="shared" si="3"/>
        <v>55220</v>
      </c>
      <c r="J84" s="886" t="str">
        <f t="shared" si="4"/>
        <v>1</v>
      </c>
      <c r="K84" s="886"/>
      <c r="M84" t="str">
        <f>VLOOKUP(A84,'Datetel Feb 28, 2013'!A:A,1,0)</f>
        <v>100_116200_0400_55220_819</v>
      </c>
      <c r="P84">
        <f>SUMIF('Datetel Feb 28, 2013'!A:A,Sheet2!A84,'Datetel Feb 28, 2013'!F:F)</f>
        <v>10375</v>
      </c>
      <c r="Q84" s="793">
        <f t="shared" si="5"/>
        <v>0</v>
      </c>
    </row>
    <row r="85" spans="1:17" ht="15" x14ac:dyDescent="0.25">
      <c r="A85" t="s">
        <v>568</v>
      </c>
      <c r="B85" t="s">
        <v>864</v>
      </c>
      <c r="C85">
        <v>0</v>
      </c>
      <c r="D85">
        <v>0</v>
      </c>
      <c r="E85">
        <v>0</v>
      </c>
      <c r="F85">
        <v>600</v>
      </c>
      <c r="G85">
        <v>600</v>
      </c>
      <c r="H85">
        <v>100</v>
      </c>
      <c r="I85" s="886" t="str">
        <f t="shared" si="3"/>
        <v>55210</v>
      </c>
      <c r="J85" s="886" t="str">
        <f t="shared" si="4"/>
        <v>1</v>
      </c>
      <c r="K85" s="885"/>
      <c r="M85" t="str">
        <f>VLOOKUP(A85,'Datetel Feb 28, 2013'!A:A,1,0)</f>
        <v>100_116300_1900_55210_819</v>
      </c>
      <c r="P85">
        <f>SUMIF('Datetel Feb 28, 2013'!A:A,Sheet2!A85,'Datetel Feb 28, 2013'!F:F)</f>
        <v>600</v>
      </c>
      <c r="Q85" s="793">
        <f t="shared" si="5"/>
        <v>0</v>
      </c>
    </row>
    <row r="86" spans="1:17" ht="15" x14ac:dyDescent="0.25">
      <c r="A86" t="s">
        <v>570</v>
      </c>
      <c r="B86" t="s">
        <v>865</v>
      </c>
      <c r="C86">
        <v>0</v>
      </c>
      <c r="D86">
        <v>0</v>
      </c>
      <c r="E86">
        <v>0</v>
      </c>
      <c r="F86" s="793">
        <v>4700</v>
      </c>
      <c r="G86" s="793">
        <v>4700</v>
      </c>
      <c r="H86">
        <v>100</v>
      </c>
      <c r="I86" s="886" t="str">
        <f t="shared" si="3"/>
        <v>55220</v>
      </c>
      <c r="J86" s="886" t="str">
        <f t="shared" si="4"/>
        <v>1</v>
      </c>
      <c r="K86" s="885"/>
      <c r="M86" t="str">
        <f>VLOOKUP(A86,'Datetel Feb 28, 2013'!A:A,1,0)</f>
        <v>100_116300_1900_55220_819</v>
      </c>
      <c r="P86">
        <f>SUMIF('Datetel Feb 28, 2013'!A:A,Sheet2!A86,'Datetel Feb 28, 2013'!F:F)</f>
        <v>4700</v>
      </c>
      <c r="Q86" s="793">
        <f t="shared" si="5"/>
        <v>0</v>
      </c>
    </row>
    <row r="87" spans="1:17" ht="15" x14ac:dyDescent="0.25">
      <c r="A87" t="s">
        <v>571</v>
      </c>
      <c r="B87" t="s">
        <v>866</v>
      </c>
      <c r="C87">
        <v>0</v>
      </c>
      <c r="D87">
        <v>0</v>
      </c>
      <c r="E87">
        <v>170</v>
      </c>
      <c r="F87" s="793">
        <v>2640</v>
      </c>
      <c r="G87" s="793">
        <v>2470</v>
      </c>
      <c r="H87">
        <v>93.56</v>
      </c>
      <c r="I87" s="886" t="str">
        <f t="shared" si="3"/>
        <v>55210</v>
      </c>
      <c r="J87" s="886" t="str">
        <f t="shared" si="4"/>
        <v>1</v>
      </c>
      <c r="K87" s="885"/>
      <c r="M87" t="str">
        <f>VLOOKUP(A87,'Datetel Feb 28, 2013'!A:A,1,0)</f>
        <v>100_116500_1700_55210_819</v>
      </c>
      <c r="P87">
        <f>SUMIF('Datetel Feb 28, 2013'!A:A,Sheet2!A87,'Datetel Feb 28, 2013'!F:F)</f>
        <v>2640</v>
      </c>
      <c r="Q87" s="793">
        <f t="shared" si="5"/>
        <v>0</v>
      </c>
    </row>
    <row r="88" spans="1:17" ht="15" x14ac:dyDescent="0.25">
      <c r="A88" t="s">
        <v>573</v>
      </c>
      <c r="B88" t="s">
        <v>866</v>
      </c>
      <c r="C88">
        <v>0</v>
      </c>
      <c r="D88">
        <v>0</v>
      </c>
      <c r="E88">
        <v>0</v>
      </c>
      <c r="F88" s="793">
        <v>7175</v>
      </c>
      <c r="G88" s="793">
        <v>7175</v>
      </c>
      <c r="H88">
        <v>100</v>
      </c>
      <c r="I88" s="886" t="str">
        <f t="shared" si="3"/>
        <v>55220</v>
      </c>
      <c r="J88" s="886" t="str">
        <f t="shared" si="4"/>
        <v>1</v>
      </c>
      <c r="K88" s="885"/>
      <c r="M88" t="str">
        <f>VLOOKUP(A88,'Datetel Feb 28, 2013'!A:A,1,0)</f>
        <v>100_116500_1700_55220_819</v>
      </c>
      <c r="P88">
        <f>SUMIF('Datetel Feb 28, 2013'!A:A,Sheet2!A88,'Datetel Feb 28, 2013'!F:F)</f>
        <v>7175</v>
      </c>
      <c r="Q88" s="793">
        <f t="shared" si="5"/>
        <v>0</v>
      </c>
    </row>
    <row r="89" spans="1:17" ht="15" x14ac:dyDescent="0.25">
      <c r="A89" t="s">
        <v>574</v>
      </c>
      <c r="B89" t="s">
        <v>867</v>
      </c>
      <c r="C89">
        <v>0</v>
      </c>
      <c r="D89">
        <v>0</v>
      </c>
      <c r="E89">
        <v>200</v>
      </c>
      <c r="F89">
        <v>960</v>
      </c>
      <c r="G89">
        <v>760</v>
      </c>
      <c r="H89">
        <v>79.17</v>
      </c>
      <c r="I89" s="886" t="str">
        <f t="shared" si="3"/>
        <v>55210</v>
      </c>
      <c r="J89" s="886" t="str">
        <f t="shared" si="4"/>
        <v>1</v>
      </c>
      <c r="K89" s="885"/>
      <c r="M89" t="str">
        <f>VLOOKUP(A89,'Datetel Feb 28, 2013'!A:A,1,0)</f>
        <v>100_116600_1900_55210_819</v>
      </c>
      <c r="P89">
        <f>SUMIF('Datetel Feb 28, 2013'!A:A,Sheet2!A89,'Datetel Feb 28, 2013'!F:F)</f>
        <v>960</v>
      </c>
      <c r="Q89" s="793">
        <f t="shared" si="5"/>
        <v>0</v>
      </c>
    </row>
    <row r="90" spans="1:17" ht="15" x14ac:dyDescent="0.25">
      <c r="A90" t="s">
        <v>576</v>
      </c>
      <c r="B90" t="s">
        <v>867</v>
      </c>
      <c r="C90">
        <v>0</v>
      </c>
      <c r="D90">
        <v>0</v>
      </c>
      <c r="E90">
        <v>0</v>
      </c>
      <c r="F90" s="793">
        <v>2974</v>
      </c>
      <c r="G90" s="793">
        <v>2974</v>
      </c>
      <c r="H90">
        <v>100</v>
      </c>
      <c r="I90" s="886" t="str">
        <f t="shared" si="3"/>
        <v>55220</v>
      </c>
      <c r="J90" s="886" t="str">
        <f t="shared" si="4"/>
        <v>1</v>
      </c>
      <c r="K90" s="885"/>
      <c r="M90" t="str">
        <f>VLOOKUP(A90,'Datetel Feb 28, 2013'!A:A,1,0)</f>
        <v>100_116600_1900_55220_819</v>
      </c>
      <c r="P90">
        <f>SUMIF('Datetel Feb 28, 2013'!A:A,Sheet2!A90,'Datetel Feb 28, 2013'!F:F)</f>
        <v>2974</v>
      </c>
      <c r="Q90" s="793">
        <f t="shared" si="5"/>
        <v>0</v>
      </c>
    </row>
    <row r="91" spans="1:17" ht="15" x14ac:dyDescent="0.25">
      <c r="A91" t="s">
        <v>580</v>
      </c>
      <c r="B91" t="s">
        <v>868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 s="886" t="str">
        <f t="shared" si="3"/>
        <v>55220</v>
      </c>
      <c r="J91" s="886" t="str">
        <f t="shared" si="4"/>
        <v>1</v>
      </c>
      <c r="K91" s="885"/>
      <c r="M91" t="str">
        <f>VLOOKUP(A91,'Datetel Feb 28, 2013'!A:A,1,0)</f>
        <v>100_117100_2100_55220_819</v>
      </c>
      <c r="P91">
        <f>SUMIF('Datetel Feb 28, 2013'!A:A,Sheet2!A91,'Datetel Feb 28, 2013'!F:F)</f>
        <v>0</v>
      </c>
      <c r="Q91" s="793">
        <f t="shared" si="5"/>
        <v>0</v>
      </c>
    </row>
    <row r="92" spans="1:17" ht="15" x14ac:dyDescent="0.25">
      <c r="A92" t="s">
        <v>581</v>
      </c>
      <c r="B92" t="s">
        <v>869</v>
      </c>
      <c r="C92">
        <v>0</v>
      </c>
      <c r="D92">
        <v>0</v>
      </c>
      <c r="E92">
        <v>0</v>
      </c>
      <c r="F92">
        <v>200</v>
      </c>
      <c r="G92">
        <v>200</v>
      </c>
      <c r="H92">
        <v>100</v>
      </c>
      <c r="I92" s="886" t="str">
        <f t="shared" si="3"/>
        <v>55210</v>
      </c>
      <c r="J92" s="886" t="str">
        <f t="shared" si="4"/>
        <v>1</v>
      </c>
      <c r="K92" s="885"/>
      <c r="M92" t="str">
        <f>VLOOKUP(A92,'Datetel Feb 28, 2013'!A:A,1,0)</f>
        <v>100_117200_2200_55210_819</v>
      </c>
      <c r="P92">
        <f>SUMIF('Datetel Feb 28, 2013'!A:A,Sheet2!A92,'Datetel Feb 28, 2013'!F:F)</f>
        <v>200</v>
      </c>
      <c r="Q92" s="793">
        <f t="shared" si="5"/>
        <v>0</v>
      </c>
    </row>
    <row r="93" spans="1:17" ht="15" x14ac:dyDescent="0.25">
      <c r="A93" t="s">
        <v>583</v>
      </c>
      <c r="B93" t="s">
        <v>869</v>
      </c>
      <c r="C93">
        <v>0</v>
      </c>
      <c r="D93">
        <v>0</v>
      </c>
      <c r="E93">
        <v>757.3</v>
      </c>
      <c r="F93">
        <v>800</v>
      </c>
      <c r="G93">
        <v>42.7</v>
      </c>
      <c r="H93">
        <v>5.34</v>
      </c>
      <c r="I93" s="886" t="str">
        <f t="shared" si="3"/>
        <v>55220</v>
      </c>
      <c r="J93" s="886" t="str">
        <f t="shared" si="4"/>
        <v>1</v>
      </c>
      <c r="K93" s="885"/>
      <c r="M93" t="str">
        <f>VLOOKUP(A93,'Datetel Feb 28, 2013'!A:A,1,0)</f>
        <v>100_117200_2200_55220_819</v>
      </c>
      <c r="P93">
        <f>SUMIF('Datetel Feb 28, 2013'!A:A,Sheet2!A93,'Datetel Feb 28, 2013'!F:F)</f>
        <v>800</v>
      </c>
      <c r="Q93" s="793">
        <f t="shared" si="5"/>
        <v>0</v>
      </c>
    </row>
    <row r="94" spans="1:17" ht="15" x14ac:dyDescent="0.25">
      <c r="A94" t="s">
        <v>584</v>
      </c>
      <c r="B94" t="s">
        <v>870</v>
      </c>
      <c r="C94">
        <v>0</v>
      </c>
      <c r="D94">
        <v>0</v>
      </c>
      <c r="E94">
        <v>0</v>
      </c>
      <c r="F94">
        <v>200</v>
      </c>
      <c r="G94">
        <v>200</v>
      </c>
      <c r="H94">
        <v>100</v>
      </c>
      <c r="I94" s="886" t="str">
        <f t="shared" si="3"/>
        <v>55210</v>
      </c>
      <c r="J94" s="886" t="str">
        <f t="shared" si="4"/>
        <v>1</v>
      </c>
      <c r="K94" s="885"/>
      <c r="M94" t="str">
        <f>VLOOKUP(A94,'Datetel Feb 28, 2013'!A:A,1,0)</f>
        <v>100_117250_2200_55210_819</v>
      </c>
      <c r="P94">
        <f>SUMIF('Datetel Feb 28, 2013'!A:A,Sheet2!A94,'Datetel Feb 28, 2013'!F:F)</f>
        <v>200</v>
      </c>
      <c r="Q94" s="793">
        <f t="shared" si="5"/>
        <v>0</v>
      </c>
    </row>
    <row r="95" spans="1:17" ht="15" x14ac:dyDescent="0.25">
      <c r="A95" t="s">
        <v>586</v>
      </c>
      <c r="B95" t="s">
        <v>871</v>
      </c>
      <c r="C95">
        <v>0</v>
      </c>
      <c r="D95">
        <v>0</v>
      </c>
      <c r="E95">
        <v>0</v>
      </c>
      <c r="F95" s="793">
        <v>1600</v>
      </c>
      <c r="G95" s="793">
        <v>1600</v>
      </c>
      <c r="H95">
        <v>100</v>
      </c>
      <c r="I95" s="886" t="str">
        <f t="shared" si="3"/>
        <v>55220</v>
      </c>
      <c r="J95" s="886" t="str">
        <f t="shared" si="4"/>
        <v>1</v>
      </c>
      <c r="K95" s="885"/>
      <c r="M95" t="str">
        <f>VLOOKUP(A95,'Datetel Feb 28, 2013'!A:A,1,0)</f>
        <v>100_117250_2200_55220_819</v>
      </c>
      <c r="P95">
        <f>SUMIF('Datetel Feb 28, 2013'!A:A,Sheet2!A95,'Datetel Feb 28, 2013'!F:F)</f>
        <v>1600</v>
      </c>
      <c r="Q95" s="793">
        <f t="shared" si="5"/>
        <v>0</v>
      </c>
    </row>
    <row r="96" spans="1:17" ht="15" x14ac:dyDescent="0.25">
      <c r="A96" t="s">
        <v>587</v>
      </c>
      <c r="B96" t="s">
        <v>872</v>
      </c>
      <c r="C96">
        <v>0</v>
      </c>
      <c r="D96">
        <v>0</v>
      </c>
      <c r="E96">
        <v>0</v>
      </c>
      <c r="F96">
        <v>400</v>
      </c>
      <c r="G96">
        <v>400</v>
      </c>
      <c r="H96">
        <v>100</v>
      </c>
      <c r="I96" s="886" t="str">
        <f t="shared" si="3"/>
        <v>55210</v>
      </c>
      <c r="J96" s="886" t="str">
        <f t="shared" si="4"/>
        <v>1</v>
      </c>
      <c r="K96" s="885"/>
      <c r="M96" t="str">
        <f>VLOOKUP(A96,'Datetel Feb 28, 2013'!A:A,1,0)</f>
        <v>100_117300_2200_55210_819</v>
      </c>
      <c r="P96">
        <f>SUMIF('Datetel Feb 28, 2013'!A:A,Sheet2!A96,'Datetel Feb 28, 2013'!F:F)</f>
        <v>400</v>
      </c>
      <c r="Q96" s="793">
        <f t="shared" si="5"/>
        <v>0</v>
      </c>
    </row>
    <row r="97" spans="1:17" ht="15" x14ac:dyDescent="0.25">
      <c r="A97" t="s">
        <v>589</v>
      </c>
      <c r="B97" t="s">
        <v>873</v>
      </c>
      <c r="C97">
        <v>0</v>
      </c>
      <c r="D97">
        <v>0</v>
      </c>
      <c r="E97">
        <v>0</v>
      </c>
      <c r="F97" s="793">
        <v>1400</v>
      </c>
      <c r="G97" s="793">
        <v>1400</v>
      </c>
      <c r="H97">
        <v>100</v>
      </c>
      <c r="I97" s="886" t="str">
        <f t="shared" si="3"/>
        <v>55220</v>
      </c>
      <c r="J97" s="886" t="str">
        <f t="shared" si="4"/>
        <v>1</v>
      </c>
      <c r="K97" s="885"/>
      <c r="M97" t="str">
        <f>VLOOKUP(A97,'Datetel Feb 28, 2013'!A:A,1,0)</f>
        <v>100_117300_2200_55220_819</v>
      </c>
      <c r="P97">
        <f>SUMIF('Datetel Feb 28, 2013'!A:A,Sheet2!A97,'Datetel Feb 28, 2013'!F:F)</f>
        <v>1400</v>
      </c>
      <c r="Q97" s="793">
        <f t="shared" si="5"/>
        <v>0</v>
      </c>
    </row>
    <row r="98" spans="1:17" ht="15" x14ac:dyDescent="0.25">
      <c r="A98" t="s">
        <v>590</v>
      </c>
      <c r="B98" t="s">
        <v>874</v>
      </c>
      <c r="C98">
        <v>0</v>
      </c>
      <c r="D98">
        <v>0</v>
      </c>
      <c r="E98">
        <v>0</v>
      </c>
      <c r="F98">
        <v>280</v>
      </c>
      <c r="G98">
        <v>280</v>
      </c>
      <c r="H98">
        <v>100</v>
      </c>
      <c r="I98" s="886" t="str">
        <f t="shared" si="3"/>
        <v>55220</v>
      </c>
      <c r="J98" s="886" t="str">
        <f t="shared" si="4"/>
        <v>1</v>
      </c>
      <c r="K98" s="885"/>
      <c r="M98" t="str">
        <f>VLOOKUP(A98,'Datetel Feb 28, 2013'!A:A,1,0)</f>
        <v>100_117400_1500_55220_819</v>
      </c>
      <c r="P98">
        <f>SUMIF('Datetel Feb 28, 2013'!A:A,Sheet2!A98,'Datetel Feb 28, 2013'!F:F)</f>
        <v>280</v>
      </c>
      <c r="Q98" s="793">
        <f t="shared" si="5"/>
        <v>0</v>
      </c>
    </row>
    <row r="99" spans="1:17" ht="15" x14ac:dyDescent="0.25">
      <c r="A99" t="s">
        <v>592</v>
      </c>
      <c r="B99" t="s">
        <v>875</v>
      </c>
      <c r="C99">
        <v>0</v>
      </c>
      <c r="D99">
        <v>0</v>
      </c>
      <c r="E99">
        <v>0</v>
      </c>
      <c r="F99">
        <v>400</v>
      </c>
      <c r="G99">
        <v>400</v>
      </c>
      <c r="H99">
        <v>100</v>
      </c>
      <c r="I99" s="886" t="str">
        <f t="shared" si="3"/>
        <v>55210</v>
      </c>
      <c r="J99" s="886" t="str">
        <f t="shared" si="4"/>
        <v>1</v>
      </c>
      <c r="K99" s="885"/>
      <c r="M99" t="str">
        <f>VLOOKUP(A99,'Datetel Feb 28, 2013'!A:A,1,0)</f>
        <v>100_117450_1500_55210_819</v>
      </c>
      <c r="P99">
        <f>SUMIF('Datetel Feb 28, 2013'!A:A,Sheet2!A99,'Datetel Feb 28, 2013'!F:F)</f>
        <v>400</v>
      </c>
      <c r="Q99" s="793">
        <f t="shared" si="5"/>
        <v>0</v>
      </c>
    </row>
    <row r="100" spans="1:17" ht="15" x14ac:dyDescent="0.25">
      <c r="A100" t="s">
        <v>594</v>
      </c>
      <c r="B100" t="s">
        <v>876</v>
      </c>
      <c r="C100">
        <v>0</v>
      </c>
      <c r="D100">
        <v>0</v>
      </c>
      <c r="E100">
        <v>0</v>
      </c>
      <c r="F100" s="793">
        <v>4200</v>
      </c>
      <c r="G100" s="793">
        <v>4200</v>
      </c>
      <c r="H100">
        <v>100</v>
      </c>
      <c r="I100" s="886" t="str">
        <f t="shared" si="3"/>
        <v>55220</v>
      </c>
      <c r="J100" s="886" t="str">
        <f t="shared" si="4"/>
        <v>1</v>
      </c>
      <c r="K100" s="885"/>
      <c r="M100" t="str">
        <f>VLOOKUP(A100,'Datetel Feb 28, 2013'!A:A,1,0)</f>
        <v>100_117450_1500_55220_819</v>
      </c>
      <c r="P100">
        <f>SUMIF('Datetel Feb 28, 2013'!A:A,Sheet2!A100,'Datetel Feb 28, 2013'!F:F)</f>
        <v>4200</v>
      </c>
      <c r="Q100" s="793">
        <f t="shared" si="5"/>
        <v>0</v>
      </c>
    </row>
    <row r="101" spans="1:17" ht="15" x14ac:dyDescent="0.25">
      <c r="A101" t="s">
        <v>595</v>
      </c>
      <c r="B101" t="s">
        <v>877</v>
      </c>
      <c r="C101">
        <v>0</v>
      </c>
      <c r="D101">
        <v>0</v>
      </c>
      <c r="E101">
        <v>0</v>
      </c>
      <c r="F101">
        <v>600</v>
      </c>
      <c r="G101">
        <v>600</v>
      </c>
      <c r="H101">
        <v>100</v>
      </c>
      <c r="I101" s="886" t="str">
        <f t="shared" si="3"/>
        <v>55210</v>
      </c>
      <c r="J101" s="886" t="str">
        <f t="shared" si="4"/>
        <v>1</v>
      </c>
      <c r="K101" s="885"/>
      <c r="M101" t="str">
        <f>VLOOKUP(A101,'Datetel Feb 28, 2013'!A:A,1,0)</f>
        <v>100_117500_2200_55210_819</v>
      </c>
      <c r="P101">
        <f>SUMIF('Datetel Feb 28, 2013'!A:A,Sheet2!A101,'Datetel Feb 28, 2013'!F:F)</f>
        <v>600</v>
      </c>
      <c r="Q101" s="793">
        <f t="shared" si="5"/>
        <v>0</v>
      </c>
    </row>
    <row r="102" spans="1:17" ht="15" x14ac:dyDescent="0.25">
      <c r="A102" t="s">
        <v>597</v>
      </c>
      <c r="B102" t="s">
        <v>878</v>
      </c>
      <c r="C102">
        <v>0</v>
      </c>
      <c r="D102">
        <v>0</v>
      </c>
      <c r="E102">
        <v>0</v>
      </c>
      <c r="F102" s="793">
        <v>6400</v>
      </c>
      <c r="G102" s="793">
        <v>6400</v>
      </c>
      <c r="H102">
        <v>100</v>
      </c>
      <c r="I102" s="886" t="str">
        <f t="shared" si="3"/>
        <v>55220</v>
      </c>
      <c r="J102" s="886" t="str">
        <f t="shared" si="4"/>
        <v>1</v>
      </c>
      <c r="K102" s="885"/>
      <c r="M102" t="str">
        <f>VLOOKUP(A102,'Datetel Feb 28, 2013'!A:A,1,0)</f>
        <v>100_117500_2200_55220_819</v>
      </c>
      <c r="P102">
        <f>SUMIF('Datetel Feb 28, 2013'!A:A,Sheet2!A102,'Datetel Feb 28, 2013'!F:F)</f>
        <v>6400</v>
      </c>
      <c r="Q102" s="793">
        <f t="shared" si="5"/>
        <v>0</v>
      </c>
    </row>
    <row r="103" spans="1:17" ht="15" x14ac:dyDescent="0.25">
      <c r="A103" t="s">
        <v>598</v>
      </c>
      <c r="B103" t="s">
        <v>879</v>
      </c>
      <c r="C103">
        <v>0</v>
      </c>
      <c r="D103">
        <v>0</v>
      </c>
      <c r="E103">
        <v>0</v>
      </c>
      <c r="F103">
        <v>400</v>
      </c>
      <c r="G103">
        <v>400</v>
      </c>
      <c r="H103">
        <v>100</v>
      </c>
      <c r="I103" s="886" t="str">
        <f t="shared" si="3"/>
        <v>55210</v>
      </c>
      <c r="J103" s="886" t="str">
        <f t="shared" si="4"/>
        <v>1</v>
      </c>
      <c r="K103" s="885"/>
      <c r="M103" t="str">
        <f>VLOOKUP(A103,'Datetel Feb 28, 2013'!A:A,1,0)</f>
        <v>100_117600_2200_55210_819</v>
      </c>
      <c r="P103">
        <f>SUMIF('Datetel Feb 28, 2013'!A:A,Sheet2!A103,'Datetel Feb 28, 2013'!F:F)</f>
        <v>400</v>
      </c>
      <c r="Q103" s="793">
        <f t="shared" si="5"/>
        <v>0</v>
      </c>
    </row>
    <row r="104" spans="1:17" ht="15" x14ac:dyDescent="0.25">
      <c r="A104" t="s">
        <v>600</v>
      </c>
      <c r="B104" t="s">
        <v>879</v>
      </c>
      <c r="C104">
        <v>0</v>
      </c>
      <c r="D104">
        <v>0</v>
      </c>
      <c r="E104">
        <v>0</v>
      </c>
      <c r="F104" s="793">
        <v>3000</v>
      </c>
      <c r="G104" s="793">
        <v>3000</v>
      </c>
      <c r="H104">
        <v>100</v>
      </c>
      <c r="I104" s="886" t="str">
        <f t="shared" si="3"/>
        <v>55220</v>
      </c>
      <c r="J104" s="886" t="str">
        <f t="shared" si="4"/>
        <v>1</v>
      </c>
      <c r="K104" s="885"/>
      <c r="M104" t="str">
        <f>VLOOKUP(A104,'Datetel Feb 28, 2013'!A:A,1,0)</f>
        <v>100_117600_2200_55220_819</v>
      </c>
      <c r="P104">
        <f>SUMIF('Datetel Feb 28, 2013'!A:A,Sheet2!A104,'Datetel Feb 28, 2013'!F:F)</f>
        <v>3000</v>
      </c>
      <c r="Q104" s="793">
        <f t="shared" si="5"/>
        <v>0</v>
      </c>
    </row>
    <row r="105" spans="1:17" ht="15" x14ac:dyDescent="0.25">
      <c r="A105" t="s">
        <v>601</v>
      </c>
      <c r="B105" t="s">
        <v>880</v>
      </c>
      <c r="C105">
        <v>0</v>
      </c>
      <c r="D105">
        <v>0</v>
      </c>
      <c r="E105">
        <v>0</v>
      </c>
      <c r="F105">
        <v>360</v>
      </c>
      <c r="G105">
        <v>360</v>
      </c>
      <c r="H105">
        <v>100</v>
      </c>
      <c r="I105" s="886" t="str">
        <f t="shared" si="3"/>
        <v>55210</v>
      </c>
      <c r="J105" s="886" t="str">
        <f t="shared" si="4"/>
        <v>1</v>
      </c>
      <c r="K105" s="885"/>
      <c r="M105" t="str">
        <f>VLOOKUP(A105,'Datetel Feb 28, 2013'!A:A,1,0)</f>
        <v>100_117700_1000_55210_819</v>
      </c>
      <c r="P105">
        <f>SUMIF('Datetel Feb 28, 2013'!A:A,Sheet2!A105,'Datetel Feb 28, 2013'!F:F)</f>
        <v>360</v>
      </c>
      <c r="Q105" s="793">
        <f t="shared" si="5"/>
        <v>0</v>
      </c>
    </row>
    <row r="106" spans="1:17" ht="15" x14ac:dyDescent="0.25">
      <c r="A106" t="s">
        <v>603</v>
      </c>
      <c r="B106" t="s">
        <v>880</v>
      </c>
      <c r="C106">
        <v>0</v>
      </c>
      <c r="D106">
        <v>0</v>
      </c>
      <c r="E106">
        <v>0</v>
      </c>
      <c r="F106" s="793">
        <v>1990</v>
      </c>
      <c r="G106" s="793">
        <v>1990</v>
      </c>
      <c r="H106">
        <v>100</v>
      </c>
      <c r="I106" s="886" t="str">
        <f t="shared" si="3"/>
        <v>55220</v>
      </c>
      <c r="J106" s="886" t="str">
        <f t="shared" si="4"/>
        <v>1</v>
      </c>
      <c r="K106" s="885"/>
      <c r="M106" t="str">
        <f>VLOOKUP(A106,'Datetel Feb 28, 2013'!A:A,1,0)</f>
        <v>100_117700_1000_55220_819</v>
      </c>
      <c r="P106">
        <f>SUMIF('Datetel Feb 28, 2013'!A:A,Sheet2!A106,'Datetel Feb 28, 2013'!F:F)</f>
        <v>1990</v>
      </c>
      <c r="Q106" s="793">
        <f t="shared" si="5"/>
        <v>0</v>
      </c>
    </row>
    <row r="107" spans="1:17" ht="15" x14ac:dyDescent="0.25">
      <c r="A107" t="s">
        <v>604</v>
      </c>
      <c r="B107" t="s">
        <v>881</v>
      </c>
      <c r="C107">
        <v>0</v>
      </c>
      <c r="D107">
        <v>0</v>
      </c>
      <c r="E107">
        <v>0</v>
      </c>
      <c r="F107">
        <v>400</v>
      </c>
      <c r="G107">
        <v>400</v>
      </c>
      <c r="H107">
        <v>100</v>
      </c>
      <c r="I107" s="886" t="str">
        <f t="shared" si="3"/>
        <v>55210</v>
      </c>
      <c r="J107" s="886" t="str">
        <f t="shared" si="4"/>
        <v>1</v>
      </c>
      <c r="K107" s="885"/>
      <c r="M107" t="str">
        <f>VLOOKUP(A107,'Datetel Feb 28, 2013'!A:A,1,0)</f>
        <v>100_117800_2000_55210_819</v>
      </c>
      <c r="P107">
        <f>SUMIF('Datetel Feb 28, 2013'!A:A,Sheet2!A107,'Datetel Feb 28, 2013'!F:F)</f>
        <v>400</v>
      </c>
      <c r="Q107" s="793">
        <f t="shared" si="5"/>
        <v>0</v>
      </c>
    </row>
    <row r="108" spans="1:17" ht="15" x14ac:dyDescent="0.25">
      <c r="A108" t="s">
        <v>606</v>
      </c>
      <c r="B108" t="s">
        <v>882</v>
      </c>
      <c r="C108">
        <v>0</v>
      </c>
      <c r="D108">
        <v>0</v>
      </c>
      <c r="E108">
        <v>0</v>
      </c>
      <c r="F108" s="793">
        <v>4600</v>
      </c>
      <c r="G108" s="793">
        <v>4600</v>
      </c>
      <c r="H108">
        <v>100</v>
      </c>
      <c r="I108" s="886" t="str">
        <f t="shared" si="3"/>
        <v>55220</v>
      </c>
      <c r="J108" s="886" t="str">
        <f t="shared" si="4"/>
        <v>1</v>
      </c>
      <c r="K108" s="885"/>
      <c r="M108" t="str">
        <f>VLOOKUP(A108,'Datetel Feb 28, 2013'!A:A,1,0)</f>
        <v>100_117800_2000_55220_819</v>
      </c>
      <c r="P108">
        <f>SUMIF('Datetel Feb 28, 2013'!A:A,Sheet2!A108,'Datetel Feb 28, 2013'!F:F)</f>
        <v>4600</v>
      </c>
      <c r="Q108" s="793">
        <f t="shared" si="5"/>
        <v>0</v>
      </c>
    </row>
    <row r="109" spans="1:17" ht="15" x14ac:dyDescent="0.25">
      <c r="A109" t="s">
        <v>607</v>
      </c>
      <c r="B109" t="s">
        <v>883</v>
      </c>
      <c r="C109">
        <v>0</v>
      </c>
      <c r="D109">
        <v>0</v>
      </c>
      <c r="E109">
        <v>0</v>
      </c>
      <c r="F109">
        <v>200</v>
      </c>
      <c r="G109">
        <v>200</v>
      </c>
      <c r="H109">
        <v>100</v>
      </c>
      <c r="I109" s="886" t="str">
        <f t="shared" si="3"/>
        <v>55210</v>
      </c>
      <c r="J109" s="886" t="str">
        <f t="shared" si="4"/>
        <v>1</v>
      </c>
      <c r="K109" s="885"/>
      <c r="M109" t="str">
        <f>VLOOKUP(A109,'Datetel Feb 28, 2013'!A:A,1,0)</f>
        <v>100_117900_2200_55210_819</v>
      </c>
      <c r="P109">
        <f>SUMIF('Datetel Feb 28, 2013'!A:A,Sheet2!A109,'Datetel Feb 28, 2013'!F:F)</f>
        <v>200</v>
      </c>
      <c r="Q109" s="793">
        <f t="shared" si="5"/>
        <v>0</v>
      </c>
    </row>
    <row r="110" spans="1:17" ht="15" x14ac:dyDescent="0.25">
      <c r="A110" t="s">
        <v>609</v>
      </c>
      <c r="B110" t="s">
        <v>884</v>
      </c>
      <c r="C110">
        <v>0</v>
      </c>
      <c r="D110">
        <v>0</v>
      </c>
      <c r="E110">
        <v>0</v>
      </c>
      <c r="F110" s="793">
        <v>2600</v>
      </c>
      <c r="G110" s="793">
        <v>2600</v>
      </c>
      <c r="H110">
        <v>100</v>
      </c>
      <c r="I110" s="886" t="str">
        <f t="shared" si="3"/>
        <v>55220</v>
      </c>
      <c r="J110" s="886" t="str">
        <f t="shared" si="4"/>
        <v>1</v>
      </c>
      <c r="K110" s="885"/>
      <c r="M110" t="str">
        <f>VLOOKUP(A110,'Datetel Feb 28, 2013'!A:A,1,0)</f>
        <v>100_117900_2200_55220_819</v>
      </c>
      <c r="P110">
        <f>SUMIF('Datetel Feb 28, 2013'!A:A,Sheet2!A110,'Datetel Feb 28, 2013'!F:F)</f>
        <v>2600</v>
      </c>
      <c r="Q110" s="793">
        <f t="shared" si="5"/>
        <v>0</v>
      </c>
    </row>
    <row r="111" spans="1:17" ht="15" x14ac:dyDescent="0.25">
      <c r="A111" t="s">
        <v>610</v>
      </c>
      <c r="B111" t="s">
        <v>885</v>
      </c>
      <c r="C111">
        <v>0</v>
      </c>
      <c r="D111">
        <v>0</v>
      </c>
      <c r="E111" s="793">
        <v>1596.34</v>
      </c>
      <c r="F111" s="793">
        <v>5200</v>
      </c>
      <c r="G111" s="793">
        <v>3603.66</v>
      </c>
      <c r="H111">
        <v>69.3</v>
      </c>
      <c r="I111" s="886" t="str">
        <f t="shared" si="3"/>
        <v>55210</v>
      </c>
      <c r="J111" s="886" t="str">
        <f t="shared" si="4"/>
        <v>1</v>
      </c>
      <c r="K111" s="885"/>
      <c r="M111" t="str">
        <f>VLOOKUP(A111,'Datetel Feb 28, 2013'!A:A,1,0)</f>
        <v>100_118000_6010_55210_819</v>
      </c>
      <c r="P111">
        <f>SUMIF('Datetel Feb 28, 2013'!A:A,Sheet2!A111,'Datetel Feb 28, 2013'!F:F)</f>
        <v>5200</v>
      </c>
      <c r="Q111" s="793">
        <f t="shared" si="5"/>
        <v>0</v>
      </c>
    </row>
    <row r="112" spans="1:17" ht="15" x14ac:dyDescent="0.25">
      <c r="A112" t="s">
        <v>612</v>
      </c>
      <c r="B112" t="s">
        <v>885</v>
      </c>
      <c r="C112">
        <v>0</v>
      </c>
      <c r="D112">
        <v>0</v>
      </c>
      <c r="E112">
        <v>877.64</v>
      </c>
      <c r="F112" s="793">
        <v>16964</v>
      </c>
      <c r="G112" s="793">
        <v>16086.36</v>
      </c>
      <c r="H112">
        <v>94.83</v>
      </c>
      <c r="I112" s="886" t="str">
        <f t="shared" si="3"/>
        <v>55220</v>
      </c>
      <c r="J112" s="886" t="str">
        <f t="shared" si="4"/>
        <v>1</v>
      </c>
      <c r="K112" s="885"/>
      <c r="M112" t="str">
        <f>VLOOKUP(A112,'Datetel Feb 28, 2013'!A:A,1,0)</f>
        <v>100_118000_6010_55220_819</v>
      </c>
      <c r="P112">
        <f>SUMIF('Datetel Feb 28, 2013'!A:A,Sheet2!A112,'Datetel Feb 28, 2013'!F:F)</f>
        <v>16964</v>
      </c>
      <c r="Q112" s="793">
        <f t="shared" si="5"/>
        <v>0</v>
      </c>
    </row>
    <row r="113" spans="1:17" ht="15" x14ac:dyDescent="0.25">
      <c r="A113" t="s">
        <v>190</v>
      </c>
      <c r="B113" t="s">
        <v>886</v>
      </c>
      <c r="C113">
        <v>0</v>
      </c>
      <c r="D113">
        <v>0</v>
      </c>
      <c r="E113">
        <v>0</v>
      </c>
      <c r="F113" s="793">
        <v>4400</v>
      </c>
      <c r="G113" s="793">
        <v>4400</v>
      </c>
      <c r="H113">
        <v>100</v>
      </c>
      <c r="I113" s="886" t="str">
        <f t="shared" si="3"/>
        <v>51450</v>
      </c>
      <c r="J113" s="886" t="str">
        <f t="shared" si="4"/>
        <v>1</v>
      </c>
      <c r="K113" s="885"/>
      <c r="M113" t="str">
        <f>VLOOKUP(A113,'Datetel Feb 28, 2013'!A:A,1,0)</f>
        <v>100_119303_6720_51450_819</v>
      </c>
      <c r="P113">
        <f>SUMIF('Datetel Feb 28, 2013'!A:A,Sheet2!A113,'Datetel Feb 28, 2013'!F:F)</f>
        <v>4400</v>
      </c>
      <c r="Q113" s="793">
        <f t="shared" si="5"/>
        <v>0</v>
      </c>
    </row>
    <row r="114" spans="1:17" ht="15" x14ac:dyDescent="0.25">
      <c r="A114" t="s">
        <v>191</v>
      </c>
      <c r="B114" t="s">
        <v>887</v>
      </c>
      <c r="C114">
        <v>0</v>
      </c>
      <c r="D114">
        <v>0</v>
      </c>
      <c r="E114" s="793">
        <v>1025.6300000000001</v>
      </c>
      <c r="F114" s="793">
        <v>1100</v>
      </c>
      <c r="G114">
        <v>74.37</v>
      </c>
      <c r="H114">
        <v>6.76</v>
      </c>
      <c r="I114" s="886" t="str">
        <f t="shared" si="3"/>
        <v>55115</v>
      </c>
      <c r="J114" s="886" t="str">
        <f t="shared" si="4"/>
        <v>1</v>
      </c>
      <c r="K114" s="885"/>
      <c r="M114" t="str">
        <f>VLOOKUP(A114,'Datetel Feb 28, 2013'!A:A,1,0)</f>
        <v>100_119303_6750_55115_819</v>
      </c>
      <c r="P114">
        <f>SUMIF('Datetel Feb 28, 2013'!A:A,Sheet2!A114,'Datetel Feb 28, 2013'!F:F)</f>
        <v>1100</v>
      </c>
      <c r="Q114" s="793">
        <f t="shared" si="5"/>
        <v>0</v>
      </c>
    </row>
    <row r="115" spans="1:17" ht="15" x14ac:dyDescent="0.25">
      <c r="A115" t="s">
        <v>192</v>
      </c>
      <c r="B115" t="s">
        <v>888</v>
      </c>
      <c r="C115">
        <v>0</v>
      </c>
      <c r="D115">
        <v>0</v>
      </c>
      <c r="E115">
        <v>0</v>
      </c>
      <c r="F115" s="793">
        <v>3300</v>
      </c>
      <c r="G115" s="793">
        <v>3300</v>
      </c>
      <c r="H115">
        <v>100</v>
      </c>
      <c r="I115" s="886" t="str">
        <f t="shared" si="3"/>
        <v>55200</v>
      </c>
      <c r="J115" s="886" t="str">
        <f t="shared" si="4"/>
        <v>1</v>
      </c>
      <c r="K115" s="885"/>
      <c r="M115" t="str">
        <f>VLOOKUP(A115,'Datetel Feb 28, 2013'!A:A,1,0)</f>
        <v>100_119303_6750_55200_819</v>
      </c>
      <c r="P115">
        <f>SUMIF('Datetel Feb 28, 2013'!A:A,Sheet2!A115,'Datetel Feb 28, 2013'!F:F)</f>
        <v>3300</v>
      </c>
      <c r="Q115" s="793">
        <f t="shared" si="5"/>
        <v>0</v>
      </c>
    </row>
    <row r="116" spans="1:17" ht="15" x14ac:dyDescent="0.25">
      <c r="A116" t="s">
        <v>193</v>
      </c>
      <c r="B116" t="s">
        <v>889</v>
      </c>
      <c r="C116">
        <v>0</v>
      </c>
      <c r="D116">
        <v>0</v>
      </c>
      <c r="E116">
        <v>0</v>
      </c>
      <c r="F116" s="793">
        <v>1100</v>
      </c>
      <c r="G116" s="793">
        <v>1100</v>
      </c>
      <c r="H116">
        <v>100</v>
      </c>
      <c r="I116" s="886" t="str">
        <f t="shared" si="3"/>
        <v>55115</v>
      </c>
      <c r="J116" s="886" t="str">
        <f t="shared" si="4"/>
        <v>1</v>
      </c>
      <c r="K116" s="885"/>
      <c r="M116" t="str">
        <f>VLOOKUP(A116,'Datetel Feb 28, 2013'!A:A,1,0)</f>
        <v>100_119304_6750_55115_819</v>
      </c>
      <c r="P116">
        <f>SUMIF('Datetel Feb 28, 2013'!A:A,Sheet2!A116,'Datetel Feb 28, 2013'!F:F)</f>
        <v>1100</v>
      </c>
      <c r="Q116" s="793">
        <f t="shared" si="5"/>
        <v>0</v>
      </c>
    </row>
    <row r="117" spans="1:17" ht="15" x14ac:dyDescent="0.25">
      <c r="A117" t="s">
        <v>194</v>
      </c>
      <c r="B117" t="s">
        <v>889</v>
      </c>
      <c r="C117">
        <v>0</v>
      </c>
      <c r="D117">
        <v>0</v>
      </c>
      <c r="E117">
        <v>0</v>
      </c>
      <c r="F117" s="793">
        <v>3300</v>
      </c>
      <c r="G117" s="793">
        <v>3300</v>
      </c>
      <c r="H117">
        <v>100</v>
      </c>
      <c r="I117" s="886" t="str">
        <f t="shared" si="3"/>
        <v>55200</v>
      </c>
      <c r="J117" s="886" t="str">
        <f t="shared" si="4"/>
        <v>1</v>
      </c>
      <c r="K117" s="885"/>
      <c r="M117" t="str">
        <f>VLOOKUP(A117,'Datetel Feb 28, 2013'!A:A,1,0)</f>
        <v>100_119304_6750_55200_819</v>
      </c>
      <c r="P117">
        <f>SUMIF('Datetel Feb 28, 2013'!A:A,Sheet2!A117,'Datetel Feb 28, 2013'!F:F)</f>
        <v>3300</v>
      </c>
      <c r="Q117" s="793">
        <f t="shared" si="5"/>
        <v>0</v>
      </c>
    </row>
    <row r="118" spans="1:17" ht="15" x14ac:dyDescent="0.25">
      <c r="A118" t="s">
        <v>196</v>
      </c>
      <c r="B118" t="s">
        <v>890</v>
      </c>
      <c r="C118">
        <v>0</v>
      </c>
      <c r="D118">
        <v>0</v>
      </c>
      <c r="E118">
        <v>452.71</v>
      </c>
      <c r="F118" s="793">
        <v>3660</v>
      </c>
      <c r="G118" s="793">
        <v>3207.29</v>
      </c>
      <c r="H118">
        <v>87.63</v>
      </c>
      <c r="I118" s="886" t="str">
        <f t="shared" si="3"/>
        <v>55115</v>
      </c>
      <c r="J118" s="886" t="str">
        <f t="shared" si="4"/>
        <v>1</v>
      </c>
      <c r="K118" s="885"/>
      <c r="M118" t="str">
        <f>VLOOKUP(A118,'Datetel Feb 28, 2013'!A:A,1,0)</f>
        <v>100_119305_6750_55115_819</v>
      </c>
      <c r="P118">
        <f>SUMIF('Datetel Feb 28, 2013'!A:A,Sheet2!A118,'Datetel Feb 28, 2013'!F:F)</f>
        <v>3660</v>
      </c>
      <c r="Q118" s="793">
        <f t="shared" si="5"/>
        <v>0</v>
      </c>
    </row>
    <row r="119" spans="1:17" ht="15" x14ac:dyDescent="0.25">
      <c r="A119" t="s">
        <v>197</v>
      </c>
      <c r="B119" t="s">
        <v>890</v>
      </c>
      <c r="C119">
        <v>0</v>
      </c>
      <c r="D119">
        <v>0</v>
      </c>
      <c r="E119">
        <v>0</v>
      </c>
      <c r="F119">
        <v>440</v>
      </c>
      <c r="G119">
        <v>440</v>
      </c>
      <c r="H119">
        <v>100</v>
      </c>
      <c r="I119" s="886" t="str">
        <f t="shared" si="3"/>
        <v>55160</v>
      </c>
      <c r="J119" s="886" t="str">
        <f t="shared" si="4"/>
        <v>1</v>
      </c>
      <c r="K119" s="885"/>
      <c r="M119" t="str">
        <f>VLOOKUP(A119,'Datetel Feb 28, 2013'!A:A,1,0)</f>
        <v>100_119305_6750_55160_819</v>
      </c>
      <c r="P119">
        <f>SUMIF('Datetel Feb 28, 2013'!A:A,Sheet2!A119,'Datetel Feb 28, 2013'!F:F)</f>
        <v>440</v>
      </c>
      <c r="Q119" s="793">
        <f t="shared" si="5"/>
        <v>0</v>
      </c>
    </row>
    <row r="120" spans="1:17" ht="15" x14ac:dyDescent="0.25">
      <c r="A120" t="s">
        <v>198</v>
      </c>
      <c r="B120" t="s">
        <v>890</v>
      </c>
      <c r="C120">
        <v>0</v>
      </c>
      <c r="D120">
        <v>85</v>
      </c>
      <c r="E120">
        <v>85</v>
      </c>
      <c r="F120">
        <v>300</v>
      </c>
      <c r="G120">
        <v>215</v>
      </c>
      <c r="H120">
        <v>71.67</v>
      </c>
      <c r="I120" s="886" t="str">
        <f t="shared" si="3"/>
        <v>55200</v>
      </c>
      <c r="J120" s="886" t="str">
        <f t="shared" si="4"/>
        <v>1</v>
      </c>
      <c r="K120" s="885"/>
      <c r="M120" t="str">
        <f>VLOOKUP(A120,'Datetel Feb 28, 2013'!A:A,1,0)</f>
        <v>100_119305_6750_55200_819</v>
      </c>
      <c r="P120">
        <f>SUMIF('Datetel Feb 28, 2013'!A:A,Sheet2!A120,'Datetel Feb 28, 2013'!F:F)</f>
        <v>300</v>
      </c>
      <c r="Q120" s="793">
        <f t="shared" si="5"/>
        <v>0</v>
      </c>
    </row>
    <row r="121" spans="1:17" ht="15" x14ac:dyDescent="0.25">
      <c r="A121" t="s">
        <v>189</v>
      </c>
      <c r="B121" t="s">
        <v>891</v>
      </c>
      <c r="C121">
        <v>0</v>
      </c>
      <c r="D121">
        <v>0</v>
      </c>
      <c r="E121" s="793">
        <v>34000</v>
      </c>
      <c r="F121" s="793">
        <v>34000</v>
      </c>
      <c r="G121">
        <v>0</v>
      </c>
      <c r="H121">
        <v>0</v>
      </c>
      <c r="I121" s="886" t="str">
        <f t="shared" si="3"/>
        <v>55520</v>
      </c>
      <c r="J121" s="886" t="str">
        <f t="shared" si="4"/>
        <v>1</v>
      </c>
      <c r="K121" s="885"/>
      <c r="M121" t="str">
        <f>VLOOKUP(A121,'Datetel Feb 28, 2013'!A:A,1,0)</f>
        <v>100_131000_6470_55520_819</v>
      </c>
      <c r="P121">
        <f>SUMIF('Datetel Feb 28, 2013'!A:A,Sheet2!A121,'Datetel Feb 28, 2013'!F:F)</f>
        <v>34000</v>
      </c>
      <c r="Q121" s="793">
        <f t="shared" si="5"/>
        <v>0</v>
      </c>
    </row>
    <row r="122" spans="1:17" ht="15" x14ac:dyDescent="0.25">
      <c r="C122" s="793">
        <f t="shared" ref="C122:E122" si="6">SUM(C2:C121)</f>
        <v>2364.09</v>
      </c>
      <c r="D122" s="793">
        <f t="shared" si="6"/>
        <v>5701.63</v>
      </c>
      <c r="E122" s="793">
        <f t="shared" si="6"/>
        <v>366775.65</v>
      </c>
      <c r="F122" s="793">
        <f>SUM(F2:F121)</f>
        <v>1189431</v>
      </c>
      <c r="G122" s="793">
        <f t="shared" ref="G122:H122" si="7">SUM(G2:G121)</f>
        <v>820291.25999999989</v>
      </c>
      <c r="H122" s="793">
        <f t="shared" si="7"/>
        <v>9771.2099999999991</v>
      </c>
      <c r="I122" s="886" t="str">
        <f t="shared" si="3"/>
        <v/>
      </c>
      <c r="J122" s="886" t="str">
        <f t="shared" si="4"/>
        <v/>
      </c>
      <c r="K122" s="886"/>
    </row>
    <row r="123" spans="1:17" ht="15" x14ac:dyDescent="0.25">
      <c r="C123"/>
      <c r="D123"/>
      <c r="E123" s="793"/>
      <c r="F123" s="793"/>
      <c r="G123"/>
      <c r="I123" s="886" t="str">
        <f t="shared" si="3"/>
        <v/>
      </c>
      <c r="J123" s="886" t="str">
        <f t="shared" si="4"/>
        <v/>
      </c>
      <c r="K123" s="886"/>
    </row>
    <row r="124" spans="1:17" ht="15" x14ac:dyDescent="0.25">
      <c r="A124" t="s">
        <v>947</v>
      </c>
      <c r="B124" t="s">
        <v>892</v>
      </c>
      <c r="C124">
        <v>0</v>
      </c>
      <c r="D124" s="793">
        <v>1817.64</v>
      </c>
      <c r="E124" s="793">
        <v>1817.64</v>
      </c>
      <c r="F124" s="793">
        <v>8500</v>
      </c>
      <c r="G124" s="793">
        <v>6682.36</v>
      </c>
      <c r="H124">
        <v>78.62</v>
      </c>
      <c r="I124" s="886" t="str">
        <f t="shared" si="3"/>
        <v>51450</v>
      </c>
      <c r="J124" s="886" t="str">
        <f t="shared" si="4"/>
        <v>2</v>
      </c>
      <c r="K124" s="885"/>
      <c r="M124" t="str">
        <f>VLOOKUP(A124,'Datetel Feb 28, 2013'!A:A,1,0)</f>
        <v>100_200700_6090_51450_819</v>
      </c>
      <c r="P124">
        <f>SUMIF('Datetel Feb 28, 2013'!A:A,Sheet2!A124,'Datetel Feb 28, 2013'!F:F)</f>
        <v>8500</v>
      </c>
      <c r="Q124" s="793">
        <f t="shared" ref="Q124:Q187" si="8">F124-P124</f>
        <v>0</v>
      </c>
    </row>
    <row r="125" spans="1:17" ht="15" x14ac:dyDescent="0.25">
      <c r="A125" t="s">
        <v>982</v>
      </c>
      <c r="B125" t="s">
        <v>892</v>
      </c>
      <c r="C125">
        <v>0</v>
      </c>
      <c r="D125">
        <v>149.96</v>
      </c>
      <c r="E125">
        <v>149.96</v>
      </c>
      <c r="F125">
        <v>0</v>
      </c>
      <c r="G125">
        <v>-149.96</v>
      </c>
      <c r="H125">
        <v>0</v>
      </c>
      <c r="I125" s="886" t="str">
        <f t="shared" si="3"/>
        <v>53120</v>
      </c>
      <c r="J125" s="886" t="str">
        <f t="shared" si="4"/>
        <v>2</v>
      </c>
      <c r="K125" s="885"/>
      <c r="M125" t="str">
        <f>VLOOKUP(A125,'Datetel Feb 28, 2013'!A:A,1,0)</f>
        <v>100_200700_6090_53120_819</v>
      </c>
      <c r="P125">
        <f>SUMIF('Datetel Feb 28, 2013'!A:A,Sheet2!A125,'Datetel Feb 28, 2013'!F:F)</f>
        <v>0</v>
      </c>
      <c r="Q125" s="793">
        <f t="shared" si="8"/>
        <v>0</v>
      </c>
    </row>
    <row r="126" spans="1:17" ht="15" x14ac:dyDescent="0.25">
      <c r="A126" t="s">
        <v>983</v>
      </c>
      <c r="B126" t="s">
        <v>892</v>
      </c>
      <c r="C126">
        <v>0</v>
      </c>
      <c r="D126">
        <v>25.71</v>
      </c>
      <c r="E126">
        <v>25.71</v>
      </c>
      <c r="F126">
        <v>0</v>
      </c>
      <c r="G126">
        <v>-25.71</v>
      </c>
      <c r="H126">
        <v>0</v>
      </c>
      <c r="I126" s="886" t="str">
        <f t="shared" si="3"/>
        <v>53323</v>
      </c>
      <c r="J126" s="886" t="str">
        <f t="shared" si="4"/>
        <v>2</v>
      </c>
      <c r="K126" s="885"/>
      <c r="M126" t="str">
        <f>VLOOKUP(A126,'Datetel Feb 28, 2013'!A:A,1,0)</f>
        <v>100_200700_6090_53323_819</v>
      </c>
      <c r="P126">
        <f>SUMIF('Datetel Feb 28, 2013'!A:A,Sheet2!A126,'Datetel Feb 28, 2013'!F:F)</f>
        <v>0</v>
      </c>
      <c r="Q126" s="793">
        <f t="shared" si="8"/>
        <v>0</v>
      </c>
    </row>
    <row r="127" spans="1:17" ht="15" x14ac:dyDescent="0.25">
      <c r="A127" t="s">
        <v>984</v>
      </c>
      <c r="B127" t="s">
        <v>892</v>
      </c>
      <c r="C127">
        <v>0</v>
      </c>
      <c r="D127">
        <v>19.5</v>
      </c>
      <c r="E127">
        <v>19.5</v>
      </c>
      <c r="F127">
        <v>0</v>
      </c>
      <c r="G127">
        <v>-19.5</v>
      </c>
      <c r="H127">
        <v>0</v>
      </c>
      <c r="I127" s="886" t="str">
        <f t="shared" si="3"/>
        <v>53520</v>
      </c>
      <c r="J127" s="886" t="str">
        <f t="shared" si="4"/>
        <v>2</v>
      </c>
      <c r="K127" s="885"/>
      <c r="M127" t="str">
        <f>VLOOKUP(A127,'Datetel Feb 28, 2013'!A:A,1,0)</f>
        <v>100_200700_6090_53520_819</v>
      </c>
      <c r="P127">
        <f>SUMIF('Datetel Feb 28, 2013'!A:A,Sheet2!A127,'Datetel Feb 28, 2013'!F:F)</f>
        <v>0</v>
      </c>
      <c r="Q127" s="793">
        <f t="shared" si="8"/>
        <v>0</v>
      </c>
    </row>
    <row r="128" spans="1:17" ht="15" x14ac:dyDescent="0.25">
      <c r="A128" t="s">
        <v>985</v>
      </c>
      <c r="B128" t="s">
        <v>892</v>
      </c>
      <c r="C128">
        <v>0</v>
      </c>
      <c r="D128">
        <v>26.18</v>
      </c>
      <c r="E128">
        <v>26.18</v>
      </c>
      <c r="F128">
        <v>0</v>
      </c>
      <c r="G128">
        <v>-26.18</v>
      </c>
      <c r="H128">
        <v>0</v>
      </c>
      <c r="I128" s="886" t="str">
        <f t="shared" si="3"/>
        <v>53620</v>
      </c>
      <c r="J128" s="886" t="str">
        <f t="shared" si="4"/>
        <v>2</v>
      </c>
      <c r="K128" s="885"/>
      <c r="M128" t="str">
        <f>VLOOKUP(A128,'Datetel Feb 28, 2013'!A:A,1,0)</f>
        <v>100_200700_6090_53620_819</v>
      </c>
      <c r="P128">
        <f>SUMIF('Datetel Feb 28, 2013'!A:A,Sheet2!A128,'Datetel Feb 28, 2013'!F:F)</f>
        <v>0</v>
      </c>
      <c r="Q128" s="793">
        <f t="shared" si="8"/>
        <v>0</v>
      </c>
    </row>
    <row r="129" spans="1:17" ht="15" x14ac:dyDescent="0.25">
      <c r="A129" t="s">
        <v>219</v>
      </c>
      <c r="B129" t="s">
        <v>892</v>
      </c>
      <c r="C129">
        <v>0</v>
      </c>
      <c r="D129">
        <v>0</v>
      </c>
      <c r="E129">
        <v>176.12</v>
      </c>
      <c r="F129" s="793">
        <v>1500</v>
      </c>
      <c r="G129" s="793">
        <v>1323.88</v>
      </c>
      <c r="H129">
        <v>88.26</v>
      </c>
      <c r="I129" s="886" t="str">
        <f t="shared" si="3"/>
        <v>54210</v>
      </c>
      <c r="J129" s="886" t="str">
        <f t="shared" si="4"/>
        <v>2</v>
      </c>
      <c r="K129" s="885"/>
      <c r="M129" t="str">
        <f>VLOOKUP(A129,'Datetel Feb 28, 2013'!A:A,1,0)</f>
        <v>100_200700_6090_54210_819</v>
      </c>
      <c r="P129">
        <f>SUMIF('Datetel Feb 28, 2013'!A:A,Sheet2!A129,'Datetel Feb 28, 2013'!F:F)</f>
        <v>1500</v>
      </c>
      <c r="Q129" s="793">
        <f t="shared" si="8"/>
        <v>0</v>
      </c>
    </row>
    <row r="130" spans="1:17" ht="15" x14ac:dyDescent="0.25">
      <c r="A130" t="s">
        <v>222</v>
      </c>
      <c r="B130" t="s">
        <v>892</v>
      </c>
      <c r="C130">
        <v>0</v>
      </c>
      <c r="D130">
        <v>0</v>
      </c>
      <c r="E130" s="793">
        <v>15579</v>
      </c>
      <c r="F130" s="793">
        <v>17453</v>
      </c>
      <c r="G130" s="793">
        <v>1874</v>
      </c>
      <c r="H130">
        <v>10.74</v>
      </c>
      <c r="I130" s="886" t="str">
        <f t="shared" si="3"/>
        <v>55910</v>
      </c>
      <c r="J130" s="886" t="str">
        <f t="shared" si="4"/>
        <v>2</v>
      </c>
      <c r="K130" s="885"/>
      <c r="M130" t="str">
        <f>VLOOKUP(A130,'Datetel Feb 28, 2013'!A:A,1,0)</f>
        <v>100_200700_6090_55910_819</v>
      </c>
      <c r="P130">
        <f>SUMIF('Datetel Feb 28, 2013'!A:A,Sheet2!A130,'Datetel Feb 28, 2013'!F:F)</f>
        <v>17453</v>
      </c>
      <c r="Q130" s="793">
        <f t="shared" si="8"/>
        <v>0</v>
      </c>
    </row>
    <row r="131" spans="1:17" ht="15" x14ac:dyDescent="0.25">
      <c r="A131" t="s">
        <v>210</v>
      </c>
      <c r="B131" t="s">
        <v>893</v>
      </c>
      <c r="C131">
        <v>0</v>
      </c>
      <c r="D131">
        <v>0</v>
      </c>
      <c r="E131">
        <v>163.62</v>
      </c>
      <c r="F131" s="793">
        <v>1000</v>
      </c>
      <c r="G131">
        <v>836.38</v>
      </c>
      <c r="H131">
        <v>83.64</v>
      </c>
      <c r="I131" s="886" t="str">
        <f t="shared" ref="I131:I194" si="9">MID(A131,17,5)</f>
        <v>54210</v>
      </c>
      <c r="J131" s="886" t="str">
        <f t="shared" ref="J131:J194" si="10">MID(A131,5,1)</f>
        <v>2</v>
      </c>
      <c r="K131" s="885"/>
      <c r="M131" t="str">
        <f>VLOOKUP(A131,'Datetel Feb 28, 2013'!A:A,1,0)</f>
        <v>100_206200_6750_54210_819</v>
      </c>
      <c r="P131">
        <f>SUMIF('Datetel Feb 28, 2013'!A:A,Sheet2!A131,'Datetel Feb 28, 2013'!F:F)</f>
        <v>1000</v>
      </c>
      <c r="Q131" s="793">
        <f t="shared" si="8"/>
        <v>0</v>
      </c>
    </row>
    <row r="132" spans="1:17" ht="15" x14ac:dyDescent="0.25">
      <c r="A132" t="s">
        <v>211</v>
      </c>
      <c r="B132" t="s">
        <v>893</v>
      </c>
      <c r="C132">
        <v>0</v>
      </c>
      <c r="D132">
        <v>0</v>
      </c>
      <c r="E132" s="793">
        <v>1067.25</v>
      </c>
      <c r="F132" s="793">
        <v>3000</v>
      </c>
      <c r="G132" s="793">
        <v>1932.75</v>
      </c>
      <c r="H132">
        <v>64.430000000000007</v>
      </c>
      <c r="I132" s="886" t="str">
        <f t="shared" si="9"/>
        <v>55200</v>
      </c>
      <c r="J132" s="886" t="str">
        <f t="shared" si="10"/>
        <v>2</v>
      </c>
      <c r="K132" s="885"/>
      <c r="M132" t="str">
        <f>VLOOKUP(A132,'Datetel Feb 28, 2013'!A:A,1,0)</f>
        <v>100_206200_6750_55200_819</v>
      </c>
      <c r="P132">
        <f>SUMIF('Datetel Feb 28, 2013'!A:A,Sheet2!A132,'Datetel Feb 28, 2013'!F:F)</f>
        <v>3000</v>
      </c>
      <c r="Q132" s="793">
        <f t="shared" si="8"/>
        <v>0</v>
      </c>
    </row>
    <row r="133" spans="1:17" ht="15" x14ac:dyDescent="0.25">
      <c r="A133" t="s">
        <v>212</v>
      </c>
      <c r="B133" t="s">
        <v>894</v>
      </c>
      <c r="C133">
        <v>0</v>
      </c>
      <c r="D133">
        <v>0</v>
      </c>
      <c r="E133">
        <v>0</v>
      </c>
      <c r="F133" s="793">
        <v>1000</v>
      </c>
      <c r="G133" s="793">
        <v>1000</v>
      </c>
      <c r="H133">
        <v>100</v>
      </c>
      <c r="I133" s="886" t="str">
        <f t="shared" si="9"/>
        <v>52310</v>
      </c>
      <c r="J133" s="886" t="str">
        <f t="shared" si="10"/>
        <v>2</v>
      </c>
      <c r="K133" s="885"/>
      <c r="M133" t="str">
        <f>VLOOKUP(A133,'Datetel Feb 28, 2013'!A:A,1,0)</f>
        <v>100_206300_6750_52310_819</v>
      </c>
      <c r="P133">
        <f>SUMIF('Datetel Feb 28, 2013'!A:A,Sheet2!A133,'Datetel Feb 28, 2013'!F:F)</f>
        <v>1000</v>
      </c>
      <c r="Q133" s="793">
        <f t="shared" si="8"/>
        <v>0</v>
      </c>
    </row>
    <row r="134" spans="1:17" ht="15" x14ac:dyDescent="0.25">
      <c r="A134" t="s">
        <v>213</v>
      </c>
      <c r="B134" t="s">
        <v>894</v>
      </c>
      <c r="C134">
        <v>0</v>
      </c>
      <c r="D134">
        <v>0</v>
      </c>
      <c r="E134">
        <v>0</v>
      </c>
      <c r="F134">
        <v>500</v>
      </c>
      <c r="G134">
        <v>500</v>
      </c>
      <c r="H134">
        <v>100</v>
      </c>
      <c r="I134" s="886" t="str">
        <f t="shared" si="9"/>
        <v>54210</v>
      </c>
      <c r="J134" s="886" t="str">
        <f t="shared" si="10"/>
        <v>2</v>
      </c>
      <c r="K134" s="885"/>
      <c r="M134" t="str">
        <f>VLOOKUP(A134,'Datetel Feb 28, 2013'!A:A,1,0)</f>
        <v>100_206300_6750_54210_819</v>
      </c>
      <c r="P134">
        <f>SUMIF('Datetel Feb 28, 2013'!A:A,Sheet2!A134,'Datetel Feb 28, 2013'!F:F)</f>
        <v>500</v>
      </c>
      <c r="Q134" s="793">
        <f t="shared" si="8"/>
        <v>0</v>
      </c>
    </row>
    <row r="135" spans="1:17" ht="15" x14ac:dyDescent="0.25">
      <c r="A135" t="s">
        <v>214</v>
      </c>
      <c r="B135" t="s">
        <v>894</v>
      </c>
      <c r="C135">
        <v>0</v>
      </c>
      <c r="D135">
        <v>0</v>
      </c>
      <c r="E135">
        <v>0</v>
      </c>
      <c r="F135" s="793">
        <v>1500</v>
      </c>
      <c r="G135" s="793">
        <v>1500</v>
      </c>
      <c r="H135">
        <v>100</v>
      </c>
      <c r="I135" s="886" t="str">
        <f t="shared" si="9"/>
        <v>55115</v>
      </c>
      <c r="J135" s="886" t="str">
        <f t="shared" si="10"/>
        <v>2</v>
      </c>
      <c r="K135" s="885"/>
      <c r="M135" t="str">
        <f>VLOOKUP(A135,'Datetel Feb 28, 2013'!A:A,1,0)</f>
        <v>100_206300_6750_55115_819</v>
      </c>
      <c r="P135">
        <f>SUMIF('Datetel Feb 28, 2013'!A:A,Sheet2!A135,'Datetel Feb 28, 2013'!F:F)</f>
        <v>1500</v>
      </c>
      <c r="Q135" s="793">
        <f t="shared" si="8"/>
        <v>0</v>
      </c>
    </row>
    <row r="136" spans="1:17" ht="15" x14ac:dyDescent="0.25">
      <c r="A136" t="s">
        <v>215</v>
      </c>
      <c r="B136" t="s">
        <v>894</v>
      </c>
      <c r="C136">
        <v>0</v>
      </c>
      <c r="D136">
        <v>0</v>
      </c>
      <c r="E136">
        <v>197.05</v>
      </c>
      <c r="F136" s="793">
        <v>1500</v>
      </c>
      <c r="G136" s="793">
        <v>1302.95</v>
      </c>
      <c r="H136">
        <v>86.86</v>
      </c>
      <c r="I136" s="886" t="str">
        <f t="shared" si="9"/>
        <v>55205</v>
      </c>
      <c r="J136" s="886" t="str">
        <f t="shared" si="10"/>
        <v>2</v>
      </c>
      <c r="K136" s="885"/>
      <c r="M136" t="str">
        <f>VLOOKUP(A136,'Datetel Feb 28, 2013'!A:A,1,0)</f>
        <v>100_206300_6750_55205_819</v>
      </c>
      <c r="P136">
        <f>SUMIF('Datetel Feb 28, 2013'!A:A,Sheet2!A136,'Datetel Feb 28, 2013'!F:F)</f>
        <v>1500</v>
      </c>
      <c r="Q136" s="793">
        <f t="shared" si="8"/>
        <v>0</v>
      </c>
    </row>
    <row r="137" spans="1:17" ht="15" x14ac:dyDescent="0.25">
      <c r="A137" t="s">
        <v>766</v>
      </c>
      <c r="B137" t="s">
        <v>816</v>
      </c>
      <c r="C137">
        <v>0</v>
      </c>
      <c r="D137">
        <v>0</v>
      </c>
      <c r="E137">
        <v>0</v>
      </c>
      <c r="F137" s="793">
        <v>26000</v>
      </c>
      <c r="G137" s="793">
        <v>26000</v>
      </c>
      <c r="H137">
        <v>100</v>
      </c>
      <c r="I137" s="886" t="str">
        <f t="shared" si="9"/>
        <v>51221</v>
      </c>
      <c r="J137" s="886" t="str">
        <f t="shared" si="10"/>
        <v>2</v>
      </c>
      <c r="K137" s="885"/>
      <c r="M137" t="str">
        <f>VLOOKUP(A137,'Datetel Feb 28, 2013'!A:A,1,0)</f>
        <v>100_220000_6010_51221_818</v>
      </c>
      <c r="P137">
        <f>SUMIF('Datetel Feb 28, 2013'!A:A,Sheet2!A137,'Datetel Feb 28, 2013'!F:F)</f>
        <v>26000</v>
      </c>
      <c r="Q137" s="793">
        <f t="shared" si="8"/>
        <v>0</v>
      </c>
    </row>
    <row r="138" spans="1:17" ht="15" x14ac:dyDescent="0.25">
      <c r="A138" t="s">
        <v>216</v>
      </c>
      <c r="B138" t="s">
        <v>816</v>
      </c>
      <c r="C138">
        <v>0</v>
      </c>
      <c r="D138">
        <v>0</v>
      </c>
      <c r="E138" s="793">
        <v>7479</v>
      </c>
      <c r="F138" s="793">
        <v>7479</v>
      </c>
      <c r="G138">
        <v>0</v>
      </c>
      <c r="H138">
        <v>0</v>
      </c>
      <c r="I138" s="886" t="str">
        <f t="shared" si="9"/>
        <v>55160</v>
      </c>
      <c r="J138" s="886" t="str">
        <f t="shared" si="10"/>
        <v>2</v>
      </c>
      <c r="K138" s="885"/>
      <c r="M138" t="str">
        <f>VLOOKUP(A138,'Datetel Feb 28, 2013'!A:A,1,0)</f>
        <v>100_220000_6010_55160_819</v>
      </c>
      <c r="P138">
        <f>SUMIF('Datetel Feb 28, 2013'!A:A,Sheet2!A138,'Datetel Feb 28, 2013'!F:F)</f>
        <v>7479</v>
      </c>
      <c r="Q138" s="793">
        <f t="shared" si="8"/>
        <v>0</v>
      </c>
    </row>
    <row r="139" spans="1:17" ht="15" x14ac:dyDescent="0.25">
      <c r="A139" t="s">
        <v>291</v>
      </c>
      <c r="B139" t="s">
        <v>816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 s="886" t="str">
        <f t="shared" si="9"/>
        <v>55510</v>
      </c>
      <c r="J139" s="886" t="str">
        <f t="shared" si="10"/>
        <v>2</v>
      </c>
      <c r="K139" s="885"/>
      <c r="M139" t="str">
        <f>VLOOKUP(A139,'Datetel Feb 28, 2013'!A:A,1,0)</f>
        <v>100_220000_6120_55510_819</v>
      </c>
      <c r="P139">
        <f>SUMIF('Datetel Feb 28, 2013'!A:A,Sheet2!A139,'Datetel Feb 28, 2013'!F:F)</f>
        <v>0</v>
      </c>
      <c r="Q139" s="793">
        <f t="shared" si="8"/>
        <v>0</v>
      </c>
    </row>
    <row r="140" spans="1:17" ht="15" x14ac:dyDescent="0.25">
      <c r="A140" t="s">
        <v>217</v>
      </c>
      <c r="B140" t="s">
        <v>816</v>
      </c>
      <c r="C140">
        <v>0</v>
      </c>
      <c r="D140">
        <v>0</v>
      </c>
      <c r="E140" s="793">
        <v>72921.119999999995</v>
      </c>
      <c r="F140" s="793">
        <v>73711</v>
      </c>
      <c r="G140">
        <v>789.88</v>
      </c>
      <c r="H140">
        <v>1.07</v>
      </c>
      <c r="I140" s="886" t="str">
        <f t="shared" si="9"/>
        <v>55940</v>
      </c>
      <c r="J140" s="886" t="str">
        <f t="shared" si="10"/>
        <v>2</v>
      </c>
      <c r="K140" s="886"/>
      <c r="M140" t="str">
        <f>VLOOKUP(A140,'Datetel Feb 28, 2013'!A:A,1,0)</f>
        <v>100_220000_6440_55940_819</v>
      </c>
      <c r="P140">
        <f>SUMIF('Datetel Feb 28, 2013'!A:A,Sheet2!A140,'Datetel Feb 28, 2013'!F:F)</f>
        <v>73711</v>
      </c>
      <c r="Q140" s="793">
        <f t="shared" si="8"/>
        <v>0</v>
      </c>
    </row>
    <row r="141" spans="1:17" ht="15" x14ac:dyDescent="0.25">
      <c r="A141" t="s">
        <v>218</v>
      </c>
      <c r="B141" t="s">
        <v>816</v>
      </c>
      <c r="C141">
        <v>0</v>
      </c>
      <c r="D141" s="793">
        <v>1875</v>
      </c>
      <c r="E141" s="793">
        <v>4375</v>
      </c>
      <c r="F141" s="793">
        <v>15000</v>
      </c>
      <c r="G141" s="793">
        <v>10625</v>
      </c>
      <c r="H141">
        <v>70.83</v>
      </c>
      <c r="I141" s="886" t="str">
        <f t="shared" si="9"/>
        <v>51450</v>
      </c>
      <c r="J141" s="886" t="str">
        <f t="shared" si="10"/>
        <v>2</v>
      </c>
      <c r="K141" s="885"/>
      <c r="M141" t="str">
        <f>VLOOKUP(A141,'Datetel Feb 28, 2013'!A:A,1,0)</f>
        <v>100_220000_6770_51450_819</v>
      </c>
      <c r="P141">
        <f>SUMIF('Datetel Feb 28, 2013'!A:A,Sheet2!A141,'Datetel Feb 28, 2013'!F:F)</f>
        <v>15000</v>
      </c>
      <c r="Q141" s="793">
        <f t="shared" si="8"/>
        <v>0</v>
      </c>
    </row>
    <row r="142" spans="1:17" ht="15" x14ac:dyDescent="0.25">
      <c r="A142" t="s">
        <v>628</v>
      </c>
      <c r="B142" t="s">
        <v>816</v>
      </c>
      <c r="C142">
        <v>0</v>
      </c>
      <c r="D142">
        <v>0</v>
      </c>
      <c r="E142">
        <v>51.56</v>
      </c>
      <c r="F142">
        <v>0</v>
      </c>
      <c r="G142">
        <v>-51.56</v>
      </c>
      <c r="H142">
        <v>0</v>
      </c>
      <c r="I142" s="886" t="str">
        <f t="shared" si="9"/>
        <v>53120</v>
      </c>
      <c r="J142" s="886" t="str">
        <f t="shared" si="10"/>
        <v>2</v>
      </c>
      <c r="K142" s="885"/>
      <c r="M142" t="str">
        <f>VLOOKUP(A142,'Datetel Feb 28, 2013'!A:A,1,0)</f>
        <v>100_220000_6770_53120_819</v>
      </c>
      <c r="P142">
        <f>SUMIF('Datetel Feb 28, 2013'!A:A,Sheet2!A142,'Datetel Feb 28, 2013'!F:F)</f>
        <v>0</v>
      </c>
      <c r="Q142" s="793">
        <f t="shared" si="8"/>
        <v>0</v>
      </c>
    </row>
    <row r="143" spans="1:17" ht="15" x14ac:dyDescent="0.25">
      <c r="A143" t="s">
        <v>792</v>
      </c>
      <c r="B143" t="s">
        <v>816</v>
      </c>
      <c r="C143">
        <v>0</v>
      </c>
      <c r="D143">
        <v>75</v>
      </c>
      <c r="E143">
        <v>150</v>
      </c>
      <c r="F143">
        <v>0</v>
      </c>
      <c r="G143">
        <v>-150</v>
      </c>
      <c r="H143">
        <v>0</v>
      </c>
      <c r="I143" s="886" t="str">
        <f t="shared" si="9"/>
        <v>53314</v>
      </c>
      <c r="J143" s="886" t="str">
        <f t="shared" si="10"/>
        <v>2</v>
      </c>
      <c r="K143" s="885"/>
      <c r="M143" t="str">
        <f>VLOOKUP(A143,'Datetel Feb 28, 2013'!A:A,1,0)</f>
        <v>100_220000_6770_53314_819</v>
      </c>
      <c r="P143">
        <f>SUMIF('Datetel Feb 28, 2013'!A:A,Sheet2!A143,'Datetel Feb 28, 2013'!F:F)</f>
        <v>0</v>
      </c>
      <c r="Q143" s="793">
        <f t="shared" si="8"/>
        <v>0</v>
      </c>
    </row>
    <row r="144" spans="1:17" ht="15" x14ac:dyDescent="0.25">
      <c r="A144" t="s">
        <v>794</v>
      </c>
      <c r="B144" t="s">
        <v>816</v>
      </c>
      <c r="C144">
        <v>0</v>
      </c>
      <c r="D144">
        <v>27.19</v>
      </c>
      <c r="E144">
        <v>63.05</v>
      </c>
      <c r="F144">
        <v>0</v>
      </c>
      <c r="G144">
        <v>-63.05</v>
      </c>
      <c r="H144">
        <v>0</v>
      </c>
      <c r="I144" s="886" t="str">
        <f t="shared" si="9"/>
        <v>53323</v>
      </c>
      <c r="J144" s="886" t="str">
        <f t="shared" si="10"/>
        <v>2</v>
      </c>
      <c r="K144" s="885"/>
      <c r="M144" t="str">
        <f>VLOOKUP(A144,'Datetel Feb 28, 2013'!A:A,1,0)</f>
        <v>100_220000_6770_53323_819</v>
      </c>
      <c r="P144">
        <f>SUMIF('Datetel Feb 28, 2013'!A:A,Sheet2!A144,'Datetel Feb 28, 2013'!F:F)</f>
        <v>0</v>
      </c>
      <c r="Q144" s="793">
        <f t="shared" si="8"/>
        <v>0</v>
      </c>
    </row>
    <row r="145" spans="1:17" ht="15" x14ac:dyDescent="0.25">
      <c r="A145" t="s">
        <v>795</v>
      </c>
      <c r="B145" t="s">
        <v>816</v>
      </c>
      <c r="C145">
        <v>0</v>
      </c>
      <c r="D145">
        <v>19.899999999999999</v>
      </c>
      <c r="E145">
        <v>46.37</v>
      </c>
      <c r="F145">
        <v>0</v>
      </c>
      <c r="G145">
        <v>-46.37</v>
      </c>
      <c r="H145">
        <v>0</v>
      </c>
      <c r="I145" s="886" t="str">
        <f t="shared" si="9"/>
        <v>53520</v>
      </c>
      <c r="J145" s="886" t="str">
        <f t="shared" si="10"/>
        <v>2</v>
      </c>
      <c r="K145" s="885"/>
      <c r="M145" t="str">
        <f>VLOOKUP(A145,'Datetel Feb 28, 2013'!A:A,1,0)</f>
        <v>100_220000_6770_53520_819</v>
      </c>
      <c r="P145">
        <f>SUMIF('Datetel Feb 28, 2013'!A:A,Sheet2!A145,'Datetel Feb 28, 2013'!F:F)</f>
        <v>0</v>
      </c>
      <c r="Q145" s="793">
        <f t="shared" si="8"/>
        <v>0</v>
      </c>
    </row>
    <row r="146" spans="1:17" ht="15" x14ac:dyDescent="0.25">
      <c r="A146" t="s">
        <v>632</v>
      </c>
      <c r="B146" t="s">
        <v>816</v>
      </c>
      <c r="C146">
        <v>0</v>
      </c>
      <c r="D146">
        <v>26.72</v>
      </c>
      <c r="E146">
        <v>62.29</v>
      </c>
      <c r="F146">
        <v>0</v>
      </c>
      <c r="G146">
        <v>-62.29</v>
      </c>
      <c r="H146">
        <v>0</v>
      </c>
      <c r="I146" s="886" t="str">
        <f t="shared" si="9"/>
        <v>53620</v>
      </c>
      <c r="J146" s="886" t="str">
        <f t="shared" si="10"/>
        <v>2</v>
      </c>
      <c r="K146" s="885"/>
      <c r="M146" t="str">
        <f>VLOOKUP(A146,'Datetel Feb 28, 2013'!A:A,1,0)</f>
        <v>100_220000_6770_53620_819</v>
      </c>
      <c r="P146">
        <f>SUMIF('Datetel Feb 28, 2013'!A:A,Sheet2!A146,'Datetel Feb 28, 2013'!F:F)</f>
        <v>0</v>
      </c>
      <c r="Q146" s="793">
        <f t="shared" si="8"/>
        <v>0</v>
      </c>
    </row>
    <row r="147" spans="1:17" ht="15" x14ac:dyDescent="0.25">
      <c r="A147" t="s">
        <v>383</v>
      </c>
      <c r="B147" t="s">
        <v>895</v>
      </c>
      <c r="C147">
        <v>0</v>
      </c>
      <c r="D147">
        <v>0</v>
      </c>
      <c r="E147" s="793">
        <v>242743.92</v>
      </c>
      <c r="F147" s="793">
        <v>340397</v>
      </c>
      <c r="G147" s="793">
        <v>97653.08</v>
      </c>
      <c r="H147">
        <v>28.69</v>
      </c>
      <c r="I147" s="886" t="str">
        <f t="shared" si="9"/>
        <v>57300</v>
      </c>
      <c r="J147" s="886" t="str">
        <f t="shared" si="10"/>
        <v>2</v>
      </c>
      <c r="K147" s="885"/>
      <c r="M147" t="str">
        <f>VLOOKUP(A147,'Datetel Feb 28, 2013'!A:A,1,0)</f>
        <v>100_220001_7310_57300_819</v>
      </c>
      <c r="P147">
        <f>SUMIF('Datetel Feb 28, 2013'!A:A,Sheet2!A147,'Datetel Feb 28, 2013'!F:F)</f>
        <v>340397</v>
      </c>
      <c r="Q147" s="793">
        <f t="shared" si="8"/>
        <v>0</v>
      </c>
    </row>
    <row r="148" spans="1:17" ht="15" x14ac:dyDescent="0.25">
      <c r="A148" t="s">
        <v>384</v>
      </c>
      <c r="B148" t="s">
        <v>896</v>
      </c>
      <c r="C148">
        <v>0</v>
      </c>
      <c r="D148">
        <v>0</v>
      </c>
      <c r="E148">
        <v>0</v>
      </c>
      <c r="F148" s="793">
        <v>88013</v>
      </c>
      <c r="G148" s="793">
        <v>88013</v>
      </c>
      <c r="H148">
        <v>100</v>
      </c>
      <c r="I148" s="886" t="str">
        <f t="shared" si="9"/>
        <v>57300</v>
      </c>
      <c r="J148" s="886" t="str">
        <f t="shared" si="10"/>
        <v>2</v>
      </c>
      <c r="K148" s="885"/>
      <c r="M148" t="str">
        <f>VLOOKUP(A148,'Datetel Feb 28, 2013'!A:A,1,0)</f>
        <v>100_220002_7310_57300_819</v>
      </c>
      <c r="P148">
        <f>SUMIF('Datetel Feb 28, 2013'!A:A,Sheet2!A148,'Datetel Feb 28, 2013'!F:F)</f>
        <v>88013</v>
      </c>
      <c r="Q148" s="793">
        <f t="shared" si="8"/>
        <v>0</v>
      </c>
    </row>
    <row r="149" spans="1:17" ht="15" x14ac:dyDescent="0.25">
      <c r="A149" t="s">
        <v>740</v>
      </c>
      <c r="B149" t="s">
        <v>897</v>
      </c>
      <c r="C149">
        <v>0</v>
      </c>
      <c r="D149">
        <v>0</v>
      </c>
      <c r="E149" s="793">
        <v>6255</v>
      </c>
      <c r="F149" s="793">
        <v>6500</v>
      </c>
      <c r="G149">
        <v>245</v>
      </c>
      <c r="H149">
        <v>3.77</v>
      </c>
      <c r="I149" s="886" t="str">
        <f t="shared" si="9"/>
        <v>55500</v>
      </c>
      <c r="J149" s="886" t="str">
        <f t="shared" si="10"/>
        <v>2</v>
      </c>
      <c r="K149" s="885"/>
      <c r="M149" t="str">
        <f>VLOOKUP(A149,'Datetel Feb 28, 2013'!A:A,1,0)</f>
        <v>100_220004_6150_55500_819</v>
      </c>
      <c r="P149">
        <f>SUMIF('Datetel Feb 28, 2013'!A:A,Sheet2!A149,'Datetel Feb 28, 2013'!F:F)</f>
        <v>6500</v>
      </c>
      <c r="Q149" s="793">
        <f t="shared" si="8"/>
        <v>0</v>
      </c>
    </row>
    <row r="150" spans="1:17" ht="15" x14ac:dyDescent="0.25">
      <c r="A150" t="s">
        <v>373</v>
      </c>
      <c r="B150" t="s">
        <v>898</v>
      </c>
      <c r="C150">
        <v>0</v>
      </c>
      <c r="D150">
        <v>0</v>
      </c>
      <c r="E150" s="793">
        <v>97822.63</v>
      </c>
      <c r="F150" s="793">
        <v>97822</v>
      </c>
      <c r="G150">
        <v>-0.63</v>
      </c>
      <c r="H150">
        <v>0</v>
      </c>
      <c r="I150" s="886" t="str">
        <f t="shared" si="9"/>
        <v>55500</v>
      </c>
      <c r="J150" s="886" t="str">
        <f t="shared" si="10"/>
        <v>2</v>
      </c>
      <c r="K150" s="885"/>
      <c r="M150" t="str">
        <f>VLOOKUP(A150,'Datetel Feb 28, 2013'!A:A,1,0)</f>
        <v>100_220005_6150_55500_819</v>
      </c>
      <c r="P150">
        <f>SUMIF('Datetel Feb 28, 2013'!A:A,Sheet2!A150,'Datetel Feb 28, 2013'!F:F)</f>
        <v>97822</v>
      </c>
      <c r="Q150" s="793">
        <f t="shared" si="8"/>
        <v>0</v>
      </c>
    </row>
    <row r="151" spans="1:17" ht="15" x14ac:dyDescent="0.25">
      <c r="A151" t="s">
        <v>374</v>
      </c>
      <c r="B151" t="s">
        <v>899</v>
      </c>
      <c r="C151" s="793">
        <v>4099.8999999999996</v>
      </c>
      <c r="D151">
        <v>0</v>
      </c>
      <c r="E151" s="793">
        <v>11514.1</v>
      </c>
      <c r="F151" s="793">
        <v>15609</v>
      </c>
      <c r="G151">
        <v>-5</v>
      </c>
      <c r="H151">
        <v>-0.02</v>
      </c>
      <c r="I151" s="886" t="str">
        <f t="shared" si="9"/>
        <v>55500</v>
      </c>
      <c r="J151" s="886" t="str">
        <f t="shared" si="10"/>
        <v>2</v>
      </c>
      <c r="K151" s="885"/>
      <c r="M151" t="str">
        <f>VLOOKUP(A151,'Datetel Feb 28, 2013'!A:A,1,0)</f>
        <v>100_220006_6150_55500_819</v>
      </c>
      <c r="P151">
        <f>SUMIF('Datetel Feb 28, 2013'!A:A,Sheet2!A151,'Datetel Feb 28, 2013'!F:F)</f>
        <v>15609</v>
      </c>
      <c r="Q151" s="793">
        <f t="shared" si="8"/>
        <v>0</v>
      </c>
    </row>
    <row r="152" spans="1:17" ht="15" x14ac:dyDescent="0.25">
      <c r="A152" t="s">
        <v>403</v>
      </c>
      <c r="B152" t="s">
        <v>823</v>
      </c>
      <c r="C152">
        <v>0</v>
      </c>
      <c r="D152">
        <v>0</v>
      </c>
      <c r="E152" s="793">
        <v>8160</v>
      </c>
      <c r="F152" s="793">
        <v>19057</v>
      </c>
      <c r="G152" s="793">
        <v>10897</v>
      </c>
      <c r="H152">
        <v>57.18</v>
      </c>
      <c r="I152" s="886" t="str">
        <f t="shared" si="9"/>
        <v>55500</v>
      </c>
      <c r="J152" s="886" t="str">
        <f t="shared" si="10"/>
        <v>2</v>
      </c>
      <c r="K152" s="885"/>
      <c r="M152" t="str">
        <f>VLOOKUP(A152,'Datetel Feb 28, 2013'!A:A,1,0)</f>
        <v>100_220007_6010_55500_819</v>
      </c>
      <c r="P152">
        <f>SUMIF('Datetel Feb 28, 2013'!A:A,Sheet2!A152,'Datetel Feb 28, 2013'!F:F)</f>
        <v>19057</v>
      </c>
      <c r="Q152" s="793">
        <f t="shared" si="8"/>
        <v>0</v>
      </c>
    </row>
    <row r="153" spans="1:17" ht="15" x14ac:dyDescent="0.25">
      <c r="A153" t="s">
        <v>759</v>
      </c>
      <c r="B153" t="s">
        <v>900</v>
      </c>
      <c r="C153">
        <v>0</v>
      </c>
      <c r="D153">
        <v>0</v>
      </c>
      <c r="E153" s="793">
        <v>2500</v>
      </c>
      <c r="F153" s="793">
        <v>2500</v>
      </c>
      <c r="G153">
        <v>0</v>
      </c>
      <c r="H153">
        <v>0</v>
      </c>
      <c r="I153" s="886" t="str">
        <f t="shared" si="9"/>
        <v>55160</v>
      </c>
      <c r="J153" s="886" t="str">
        <f t="shared" si="10"/>
        <v>2</v>
      </c>
      <c r="K153" s="885"/>
      <c r="M153" t="str">
        <f>VLOOKUP(A153,'Datetel Feb 28, 2013'!A:A,1,0)</f>
        <v>100_220900_6490_55160_819</v>
      </c>
      <c r="P153">
        <f>SUMIF('Datetel Feb 28, 2013'!A:A,Sheet2!A153,'Datetel Feb 28, 2013'!F:F)</f>
        <v>2500</v>
      </c>
      <c r="Q153" s="793">
        <f t="shared" si="8"/>
        <v>0</v>
      </c>
    </row>
    <row r="154" spans="1:17" ht="15" x14ac:dyDescent="0.25">
      <c r="A154" t="s">
        <v>224</v>
      </c>
      <c r="B154" t="s">
        <v>901</v>
      </c>
      <c r="C154">
        <v>0</v>
      </c>
      <c r="D154">
        <v>0</v>
      </c>
      <c r="E154" s="793">
        <v>16500</v>
      </c>
      <c r="F154" s="793">
        <v>16500</v>
      </c>
      <c r="G154">
        <v>0</v>
      </c>
      <c r="H154">
        <v>0</v>
      </c>
      <c r="I154" s="886" t="str">
        <f t="shared" si="9"/>
        <v>51310</v>
      </c>
      <c r="J154" s="886" t="str">
        <f t="shared" si="10"/>
        <v>2</v>
      </c>
      <c r="K154" s="885"/>
      <c r="M154" t="str">
        <f>VLOOKUP(A154,'Datetel Feb 28, 2013'!A:A,1,0)</f>
        <v>100_220910_4900_51310_819</v>
      </c>
      <c r="P154">
        <f>SUMIF('Datetel Feb 28, 2013'!A:A,Sheet2!A154,'Datetel Feb 28, 2013'!F:F)</f>
        <v>16500</v>
      </c>
      <c r="Q154" s="793">
        <f t="shared" si="8"/>
        <v>0</v>
      </c>
    </row>
    <row r="155" spans="1:17" ht="15" x14ac:dyDescent="0.25">
      <c r="A155" t="s">
        <v>741</v>
      </c>
      <c r="B155" t="s">
        <v>902</v>
      </c>
      <c r="C155">
        <v>0</v>
      </c>
      <c r="D155">
        <v>0</v>
      </c>
      <c r="E155" s="793">
        <v>4500</v>
      </c>
      <c r="F155" s="793">
        <v>4500</v>
      </c>
      <c r="G155">
        <v>0</v>
      </c>
      <c r="H155">
        <v>0</v>
      </c>
      <c r="I155" s="886" t="str">
        <f t="shared" si="9"/>
        <v>55510</v>
      </c>
      <c r="J155" s="886" t="str">
        <f t="shared" si="10"/>
        <v>2</v>
      </c>
      <c r="K155" s="885"/>
      <c r="M155" t="str">
        <f>VLOOKUP(A155,'Datetel Feb 28, 2013'!A:A,1,0)</f>
        <v>100_230000_6120_55510_819</v>
      </c>
      <c r="P155">
        <f>SUMIF('Datetel Feb 28, 2013'!A:A,Sheet2!A155,'Datetel Feb 28, 2013'!F:F)</f>
        <v>4500</v>
      </c>
      <c r="Q155" s="793">
        <f t="shared" si="8"/>
        <v>0</v>
      </c>
    </row>
    <row r="156" spans="1:17" ht="15" x14ac:dyDescent="0.25">
      <c r="A156" t="s">
        <v>344</v>
      </c>
      <c r="B156" t="s">
        <v>903</v>
      </c>
      <c r="C156">
        <v>0</v>
      </c>
      <c r="D156">
        <v>0</v>
      </c>
      <c r="E156">
        <v>0</v>
      </c>
      <c r="F156" s="793">
        <v>150650</v>
      </c>
      <c r="G156" s="793">
        <v>150650</v>
      </c>
      <c r="H156">
        <v>100</v>
      </c>
      <c r="I156" s="886" t="str">
        <f t="shared" si="9"/>
        <v>55220</v>
      </c>
      <c r="J156" s="886" t="str">
        <f t="shared" si="10"/>
        <v>2</v>
      </c>
      <c r="K156" s="885"/>
      <c r="M156" t="str">
        <f>VLOOKUP(A156,'Datetel Feb 28, 2013'!A:A,1,0)</f>
        <v>100_290100_6010_55220_819</v>
      </c>
      <c r="P156">
        <f>SUMIF('Datetel Feb 28, 2013'!A:A,Sheet2!A156,'Datetel Feb 28, 2013'!F:F)</f>
        <v>150650</v>
      </c>
      <c r="Q156" s="793">
        <f t="shared" si="8"/>
        <v>0</v>
      </c>
    </row>
    <row r="157" spans="1:17" ht="15" x14ac:dyDescent="0.25">
      <c r="A157" t="s">
        <v>223</v>
      </c>
      <c r="B157" t="s">
        <v>903</v>
      </c>
      <c r="C157">
        <v>0</v>
      </c>
      <c r="D157">
        <v>127.75</v>
      </c>
      <c r="E157" s="793">
        <v>7802.44</v>
      </c>
      <c r="F157" s="793">
        <v>28800</v>
      </c>
      <c r="G157" s="793">
        <v>20997.56</v>
      </c>
      <c r="H157">
        <v>72.91</v>
      </c>
      <c r="I157" s="886" t="str">
        <f t="shared" si="9"/>
        <v>55210</v>
      </c>
      <c r="J157" s="886" t="str">
        <f t="shared" si="10"/>
        <v>2</v>
      </c>
      <c r="K157" s="885"/>
      <c r="M157" t="str">
        <f>VLOOKUP(A157,'Datetel Feb 28, 2013'!A:A,1,0)</f>
        <v>100_290100_6600_55210_819</v>
      </c>
      <c r="P157">
        <f>SUMIF('Datetel Feb 28, 2013'!A:A,Sheet2!A157,'Datetel Feb 28, 2013'!F:F)</f>
        <v>28800</v>
      </c>
      <c r="Q157" s="793">
        <f t="shared" si="8"/>
        <v>0</v>
      </c>
    </row>
    <row r="158" spans="1:17" ht="15" x14ac:dyDescent="0.25">
      <c r="A158" t="s">
        <v>642</v>
      </c>
      <c r="B158" t="s">
        <v>904</v>
      </c>
      <c r="C158" s="793">
        <v>1438.65</v>
      </c>
      <c r="D158">
        <v>399.62</v>
      </c>
      <c r="E158" s="793">
        <v>36427.35</v>
      </c>
      <c r="F158" s="793">
        <v>37971</v>
      </c>
      <c r="G158">
        <v>105</v>
      </c>
      <c r="H158">
        <v>0.28000000000000003</v>
      </c>
      <c r="I158" s="886" t="str">
        <f t="shared" si="9"/>
        <v>55510</v>
      </c>
      <c r="J158" s="886" t="str">
        <f t="shared" si="10"/>
        <v>2</v>
      </c>
      <c r="K158" s="885"/>
      <c r="M158" t="str">
        <f>VLOOKUP(A158,'Datetel Feb 28, 2013'!A:A,1,0)</f>
        <v>100_290200_6110_55510_819</v>
      </c>
      <c r="P158">
        <f>SUMIF('Datetel Feb 28, 2013'!A:A,Sheet2!A158,'Datetel Feb 28, 2013'!F:F)</f>
        <v>37971</v>
      </c>
      <c r="Q158" s="793">
        <f t="shared" si="8"/>
        <v>0</v>
      </c>
    </row>
    <row r="159" spans="1:17" ht="15" x14ac:dyDescent="0.25">
      <c r="A159" t="s">
        <v>0</v>
      </c>
      <c r="B159" t="s">
        <v>905</v>
      </c>
      <c r="C159">
        <v>0</v>
      </c>
      <c r="D159" s="793">
        <v>4130.95</v>
      </c>
      <c r="E159" s="793">
        <v>77888.95</v>
      </c>
      <c r="F159" s="793">
        <v>190925</v>
      </c>
      <c r="G159" s="793">
        <v>113036.05</v>
      </c>
      <c r="H159">
        <v>59.2</v>
      </c>
      <c r="I159" s="886" t="str">
        <f t="shared" si="9"/>
        <v>55180</v>
      </c>
      <c r="J159" s="886" t="str">
        <f t="shared" si="10"/>
        <v>3</v>
      </c>
      <c r="K159" s="885"/>
      <c r="M159" t="str">
        <f>VLOOKUP(A159,'Datetel Feb 28, 2013'!A:A,1,0)</f>
        <v>100_300130_6600_55180_819</v>
      </c>
      <c r="P159">
        <f>SUMIF('Datetel Feb 28, 2013'!A:A,Sheet2!A159,'Datetel Feb 28, 2013'!F:F)</f>
        <v>190925</v>
      </c>
      <c r="Q159" s="793">
        <f t="shared" si="8"/>
        <v>0</v>
      </c>
    </row>
    <row r="160" spans="1:17" ht="15" x14ac:dyDescent="0.25">
      <c r="A160" t="s">
        <v>2</v>
      </c>
      <c r="B160" t="s">
        <v>906</v>
      </c>
      <c r="C160" s="793">
        <v>6200</v>
      </c>
      <c r="D160" s="793">
        <v>2800</v>
      </c>
      <c r="E160" s="793">
        <v>9800</v>
      </c>
      <c r="F160" s="793">
        <v>16000</v>
      </c>
      <c r="G160">
        <v>0</v>
      </c>
      <c r="H160">
        <v>0</v>
      </c>
      <c r="I160" s="886" t="str">
        <f t="shared" si="9"/>
        <v>55170</v>
      </c>
      <c r="J160" s="886" t="str">
        <f t="shared" si="10"/>
        <v>3</v>
      </c>
      <c r="K160" s="885"/>
      <c r="M160" t="str">
        <f>VLOOKUP(A160,'Datetel Feb 28, 2013'!A:A,1,0)</f>
        <v>100_301120_6720_55170_819</v>
      </c>
      <c r="P160">
        <f>SUMIF('Datetel Feb 28, 2013'!A:A,Sheet2!A160,'Datetel Feb 28, 2013'!F:F)</f>
        <v>16000</v>
      </c>
      <c r="Q160" s="793">
        <f t="shared" si="8"/>
        <v>0</v>
      </c>
    </row>
    <row r="161" spans="1:17" ht="15" x14ac:dyDescent="0.25">
      <c r="A161" t="s">
        <v>328</v>
      </c>
      <c r="B161" t="s">
        <v>906</v>
      </c>
      <c r="C161">
        <v>0</v>
      </c>
      <c r="D161">
        <v>0</v>
      </c>
      <c r="E161">
        <v>0</v>
      </c>
      <c r="F161">
        <v>864</v>
      </c>
      <c r="G161">
        <v>864</v>
      </c>
      <c r="H161">
        <v>100</v>
      </c>
      <c r="I161" s="886" t="str">
        <f t="shared" si="9"/>
        <v>55595</v>
      </c>
      <c r="J161" s="886" t="str">
        <f t="shared" si="10"/>
        <v>3</v>
      </c>
      <c r="K161" s="885"/>
      <c r="M161" t="str">
        <f>VLOOKUP(A161,'Datetel Feb 28, 2013'!A:A,1,0)</f>
        <v>100_301120_6720_55595_819</v>
      </c>
      <c r="P161">
        <f>SUMIF('Datetel Feb 28, 2013'!A:A,Sheet2!A161,'Datetel Feb 28, 2013'!F:F)</f>
        <v>864</v>
      </c>
      <c r="Q161" s="793">
        <f t="shared" si="8"/>
        <v>0</v>
      </c>
    </row>
    <row r="162" spans="1:17" ht="15" x14ac:dyDescent="0.25">
      <c r="A162" t="s">
        <v>4</v>
      </c>
      <c r="B162" t="s">
        <v>907</v>
      </c>
      <c r="C162">
        <v>0</v>
      </c>
      <c r="D162" s="793">
        <v>83014.259999999995</v>
      </c>
      <c r="E162" s="793">
        <v>544146.42000000004</v>
      </c>
      <c r="F162" s="793">
        <v>605563</v>
      </c>
      <c r="G162" s="793">
        <v>61416.58</v>
      </c>
      <c r="H162">
        <v>10.14</v>
      </c>
      <c r="I162" s="886" t="str">
        <f t="shared" si="9"/>
        <v>55800</v>
      </c>
      <c r="J162" s="886" t="str">
        <f t="shared" si="10"/>
        <v>3</v>
      </c>
      <c r="K162" s="885"/>
      <c r="M162" t="str">
        <f>VLOOKUP(A162,'Datetel Feb 28, 2013'!A:A,1,0)</f>
        <v>100_304010_6570_55800_819</v>
      </c>
      <c r="P162">
        <f>SUMIF('Datetel Feb 28, 2013'!A:A,Sheet2!A162,'Datetel Feb 28, 2013'!F:F)</f>
        <v>605563</v>
      </c>
      <c r="Q162" s="793">
        <f t="shared" si="8"/>
        <v>0</v>
      </c>
    </row>
    <row r="163" spans="1:17" ht="15" x14ac:dyDescent="0.25">
      <c r="A163" t="s">
        <v>5</v>
      </c>
      <c r="B163" t="s">
        <v>907</v>
      </c>
      <c r="C163">
        <v>0</v>
      </c>
      <c r="D163" s="793">
        <v>48819.3</v>
      </c>
      <c r="E163" s="793">
        <v>88794.9</v>
      </c>
      <c r="F163" s="793">
        <v>159485</v>
      </c>
      <c r="G163" s="793">
        <v>70690.100000000006</v>
      </c>
      <c r="H163">
        <v>44.32</v>
      </c>
      <c r="I163" s="886" t="str">
        <f t="shared" si="9"/>
        <v>55811</v>
      </c>
      <c r="J163" s="886" t="str">
        <f t="shared" si="10"/>
        <v>3</v>
      </c>
      <c r="K163" s="885"/>
      <c r="M163" t="str">
        <f>VLOOKUP(A163,'Datetel Feb 28, 2013'!A:A,1,0)</f>
        <v>100_304010_6570_55811_819</v>
      </c>
      <c r="P163">
        <f>SUMIF('Datetel Feb 28, 2013'!A:A,Sheet2!A163,'Datetel Feb 28, 2013'!F:F)</f>
        <v>159485</v>
      </c>
      <c r="Q163" s="793">
        <f t="shared" si="8"/>
        <v>0</v>
      </c>
    </row>
    <row r="164" spans="1:17" ht="15" x14ac:dyDescent="0.25">
      <c r="A164" t="s">
        <v>6</v>
      </c>
      <c r="B164" t="s">
        <v>907</v>
      </c>
      <c r="C164" s="793">
        <v>12803.34</v>
      </c>
      <c r="D164">
        <v>320.12</v>
      </c>
      <c r="E164" s="793">
        <v>8617.66</v>
      </c>
      <c r="F164" s="793">
        <v>21421</v>
      </c>
      <c r="G164">
        <v>0</v>
      </c>
      <c r="H164">
        <v>0</v>
      </c>
      <c r="I164" s="886" t="str">
        <f t="shared" si="9"/>
        <v>55820</v>
      </c>
      <c r="J164" s="886" t="str">
        <f t="shared" si="10"/>
        <v>3</v>
      </c>
      <c r="K164" s="885"/>
      <c r="M164" t="str">
        <f>VLOOKUP(A164,'Datetel Feb 28, 2013'!A:A,1,0)</f>
        <v>100_304010_6570_55820_819</v>
      </c>
      <c r="P164">
        <f>SUMIF('Datetel Feb 28, 2013'!A:A,Sheet2!A164,'Datetel Feb 28, 2013'!F:F)</f>
        <v>21421</v>
      </c>
      <c r="Q164" s="793">
        <f t="shared" si="8"/>
        <v>0</v>
      </c>
    </row>
    <row r="165" spans="1:17" ht="15" x14ac:dyDescent="0.25">
      <c r="A165" t="s">
        <v>7</v>
      </c>
      <c r="B165" t="s">
        <v>907</v>
      </c>
      <c r="C165">
        <v>0</v>
      </c>
      <c r="D165" s="793">
        <v>2408.2199999999998</v>
      </c>
      <c r="E165" s="793">
        <v>99395.09</v>
      </c>
      <c r="F165" s="793">
        <v>137895</v>
      </c>
      <c r="G165" s="793">
        <v>38499.910000000003</v>
      </c>
      <c r="H165">
        <v>27.92</v>
      </c>
      <c r="I165" s="886" t="str">
        <f t="shared" si="9"/>
        <v>55840</v>
      </c>
      <c r="J165" s="886" t="str">
        <f t="shared" si="10"/>
        <v>3</v>
      </c>
      <c r="K165" s="885"/>
      <c r="M165" t="str">
        <f>VLOOKUP(A165,'Datetel Feb 28, 2013'!A:A,1,0)</f>
        <v>100_304010_6570_55840_819</v>
      </c>
      <c r="P165">
        <f>SUMIF('Datetel Feb 28, 2013'!A:A,Sheet2!A165,'Datetel Feb 28, 2013'!F:F)</f>
        <v>137895</v>
      </c>
      <c r="Q165" s="793">
        <f t="shared" si="8"/>
        <v>0</v>
      </c>
    </row>
    <row r="166" spans="1:17" ht="15" x14ac:dyDescent="0.25">
      <c r="A166" t="s">
        <v>8</v>
      </c>
      <c r="B166" t="s">
        <v>907</v>
      </c>
      <c r="C166">
        <v>0</v>
      </c>
      <c r="D166">
        <v>0</v>
      </c>
      <c r="E166" s="793">
        <v>37559.97</v>
      </c>
      <c r="F166" s="793">
        <v>74236</v>
      </c>
      <c r="G166" s="793">
        <v>36676.03</v>
      </c>
      <c r="H166">
        <v>49.4</v>
      </c>
      <c r="I166" s="886" t="str">
        <f t="shared" si="9"/>
        <v>55850</v>
      </c>
      <c r="J166" s="886" t="str">
        <f t="shared" si="10"/>
        <v>3</v>
      </c>
      <c r="K166" s="885"/>
      <c r="M166" t="str">
        <f>VLOOKUP(A166,'Datetel Feb 28, 2013'!A:A,1,0)</f>
        <v>100_304010_6570_55850_819</v>
      </c>
      <c r="P166">
        <f>SUMIF('Datetel Feb 28, 2013'!A:A,Sheet2!A166,'Datetel Feb 28, 2013'!F:F)</f>
        <v>74236</v>
      </c>
      <c r="Q166" s="793">
        <f t="shared" si="8"/>
        <v>0</v>
      </c>
    </row>
    <row r="167" spans="1:17" ht="15" x14ac:dyDescent="0.25">
      <c r="A167" t="s">
        <v>9</v>
      </c>
      <c r="B167" t="s">
        <v>908</v>
      </c>
      <c r="C167">
        <v>0</v>
      </c>
      <c r="D167" s="793">
        <v>52413.45</v>
      </c>
      <c r="E167" s="793">
        <v>401750.09</v>
      </c>
      <c r="F167" s="793">
        <v>627482</v>
      </c>
      <c r="G167" s="793">
        <v>225731.91</v>
      </c>
      <c r="H167">
        <v>35.97</v>
      </c>
      <c r="I167" s="886" t="str">
        <f t="shared" si="9"/>
        <v>55800</v>
      </c>
      <c r="J167" s="886" t="str">
        <f t="shared" si="10"/>
        <v>3</v>
      </c>
      <c r="K167" s="885"/>
      <c r="M167" t="str">
        <f>VLOOKUP(A167,'Datetel Feb 28, 2013'!A:A,1,0)</f>
        <v>100_304020_6570_55800_819</v>
      </c>
      <c r="P167">
        <f>SUMIF('Datetel Feb 28, 2013'!A:A,Sheet2!A167,'Datetel Feb 28, 2013'!F:F)</f>
        <v>627482</v>
      </c>
      <c r="Q167" s="793">
        <f t="shared" si="8"/>
        <v>0</v>
      </c>
    </row>
    <row r="168" spans="1:17" ht="15" x14ac:dyDescent="0.25">
      <c r="A168" t="s">
        <v>10</v>
      </c>
      <c r="B168" t="s">
        <v>908</v>
      </c>
      <c r="C168">
        <v>0</v>
      </c>
      <c r="D168" s="793">
        <v>2478.08</v>
      </c>
      <c r="E168" s="793">
        <v>79487.16</v>
      </c>
      <c r="F168" s="793">
        <v>121560</v>
      </c>
      <c r="G168" s="793">
        <v>42072.84</v>
      </c>
      <c r="H168">
        <v>34.61</v>
      </c>
      <c r="I168" s="886" t="str">
        <f t="shared" si="9"/>
        <v>55811</v>
      </c>
      <c r="J168" s="886" t="str">
        <f t="shared" si="10"/>
        <v>3</v>
      </c>
      <c r="K168" s="885"/>
      <c r="M168" t="str">
        <f>VLOOKUP(A168,'Datetel Feb 28, 2013'!A:A,1,0)</f>
        <v>100_304020_6570_55811_819</v>
      </c>
      <c r="P168">
        <f>SUMIF('Datetel Feb 28, 2013'!A:A,Sheet2!A168,'Datetel Feb 28, 2013'!F:F)</f>
        <v>121560</v>
      </c>
      <c r="Q168" s="793">
        <f t="shared" si="8"/>
        <v>0</v>
      </c>
    </row>
    <row r="169" spans="1:17" ht="15" x14ac:dyDescent="0.25">
      <c r="A169" t="s">
        <v>11</v>
      </c>
      <c r="B169" t="s">
        <v>908</v>
      </c>
      <c r="C169" s="793">
        <v>18067.8</v>
      </c>
      <c r="D169">
        <v>589.76</v>
      </c>
      <c r="E169" s="793">
        <v>12690.2</v>
      </c>
      <c r="F169" s="793">
        <v>30758</v>
      </c>
      <c r="G169">
        <v>0</v>
      </c>
      <c r="H169">
        <v>0</v>
      </c>
      <c r="I169" s="886" t="str">
        <f t="shared" si="9"/>
        <v>55820</v>
      </c>
      <c r="J169" s="886" t="str">
        <f t="shared" si="10"/>
        <v>3</v>
      </c>
      <c r="K169" s="885"/>
      <c r="M169" t="str">
        <f>VLOOKUP(A169,'Datetel Feb 28, 2013'!A:A,1,0)</f>
        <v>100_304020_6570_55820_819</v>
      </c>
      <c r="P169">
        <f>SUMIF('Datetel Feb 28, 2013'!A:A,Sheet2!A169,'Datetel Feb 28, 2013'!F:F)</f>
        <v>30758</v>
      </c>
      <c r="Q169" s="793">
        <f t="shared" si="8"/>
        <v>0</v>
      </c>
    </row>
    <row r="170" spans="1:17" ht="15" x14ac:dyDescent="0.25">
      <c r="A170" t="s">
        <v>12</v>
      </c>
      <c r="B170" t="s">
        <v>908</v>
      </c>
      <c r="C170">
        <v>0</v>
      </c>
      <c r="D170" s="793">
        <v>3341.72</v>
      </c>
      <c r="E170" s="793">
        <v>51826.17</v>
      </c>
      <c r="F170" s="793">
        <v>55236</v>
      </c>
      <c r="G170" s="793">
        <v>3409.83</v>
      </c>
      <c r="H170">
        <v>6.17</v>
      </c>
      <c r="I170" s="886" t="str">
        <f t="shared" si="9"/>
        <v>55840</v>
      </c>
      <c r="J170" s="886" t="str">
        <f t="shared" si="10"/>
        <v>3</v>
      </c>
      <c r="K170" s="885"/>
      <c r="M170" t="str">
        <f>VLOOKUP(A170,'Datetel Feb 28, 2013'!A:A,1,0)</f>
        <v>100_304020_6570_55840_819</v>
      </c>
      <c r="P170">
        <f>SUMIF('Datetel Feb 28, 2013'!A:A,Sheet2!A170,'Datetel Feb 28, 2013'!F:F)</f>
        <v>55236</v>
      </c>
      <c r="Q170" s="793">
        <f t="shared" si="8"/>
        <v>0</v>
      </c>
    </row>
    <row r="171" spans="1:17" ht="15" x14ac:dyDescent="0.25">
      <c r="A171" t="s">
        <v>13</v>
      </c>
      <c r="B171" t="s">
        <v>908</v>
      </c>
      <c r="C171">
        <v>0</v>
      </c>
      <c r="D171" s="793">
        <v>2009.25</v>
      </c>
      <c r="E171" s="793">
        <v>16443.25</v>
      </c>
      <c r="F171" s="793">
        <v>14964</v>
      </c>
      <c r="G171" s="793">
        <v>-1479.25</v>
      </c>
      <c r="H171">
        <v>-9.8800000000000008</v>
      </c>
      <c r="I171" s="886" t="str">
        <f t="shared" si="9"/>
        <v>55850</v>
      </c>
      <c r="J171" s="886" t="str">
        <f t="shared" si="10"/>
        <v>3</v>
      </c>
      <c r="K171" s="885"/>
      <c r="M171" t="str">
        <f>VLOOKUP(A171,'Datetel Feb 28, 2013'!A:A,1,0)</f>
        <v>100_304020_6570_55850_819</v>
      </c>
      <c r="P171">
        <f>SUMIF('Datetel Feb 28, 2013'!A:A,Sheet2!A171,'Datetel Feb 28, 2013'!F:F)</f>
        <v>14964</v>
      </c>
      <c r="Q171" s="793">
        <f t="shared" si="8"/>
        <v>0</v>
      </c>
    </row>
    <row r="172" spans="1:17" ht="15" x14ac:dyDescent="0.25">
      <c r="A172" t="s">
        <v>14</v>
      </c>
      <c r="B172" t="s">
        <v>909</v>
      </c>
      <c r="C172">
        <v>0</v>
      </c>
      <c r="D172">
        <v>0</v>
      </c>
      <c r="E172" s="793">
        <v>47825</v>
      </c>
      <c r="F172" s="793">
        <v>47825</v>
      </c>
      <c r="G172">
        <v>0</v>
      </c>
      <c r="H172">
        <v>0</v>
      </c>
      <c r="I172" s="886" t="str">
        <f t="shared" si="9"/>
        <v>53710</v>
      </c>
      <c r="J172" s="886" t="str">
        <f t="shared" si="10"/>
        <v>3</v>
      </c>
      <c r="K172" s="885"/>
      <c r="M172" t="str">
        <f>VLOOKUP(A172,'Datetel Feb 28, 2013'!A:A,1,0)</f>
        <v>100_304168_5900_53710_819</v>
      </c>
      <c r="P172">
        <f>SUMIF('Datetel Feb 28, 2013'!A:A,Sheet2!A172,'Datetel Feb 28, 2013'!F:F)</f>
        <v>47825</v>
      </c>
      <c r="Q172" s="793">
        <f t="shared" si="8"/>
        <v>0</v>
      </c>
    </row>
    <row r="173" spans="1:17" ht="15" x14ac:dyDescent="0.25">
      <c r="A173" t="s">
        <v>15</v>
      </c>
      <c r="B173" t="s">
        <v>909</v>
      </c>
      <c r="C173">
        <v>0</v>
      </c>
      <c r="D173">
        <v>0</v>
      </c>
      <c r="E173" s="793">
        <v>193708.68</v>
      </c>
      <c r="F173" s="793">
        <v>196910</v>
      </c>
      <c r="G173" s="793">
        <v>3201.32</v>
      </c>
      <c r="H173">
        <v>1.63</v>
      </c>
      <c r="I173" s="886" t="str">
        <f t="shared" si="9"/>
        <v>53710</v>
      </c>
      <c r="J173" s="886" t="str">
        <f t="shared" si="10"/>
        <v>3</v>
      </c>
      <c r="K173" s="885"/>
      <c r="M173" t="str">
        <f>VLOOKUP(A173,'Datetel Feb 28, 2013'!A:A,1,0)</f>
        <v>100_304168_6740_53710_819</v>
      </c>
      <c r="P173">
        <f>SUMIF('Datetel Feb 28, 2013'!A:A,Sheet2!A173,'Datetel Feb 28, 2013'!F:F)</f>
        <v>196910</v>
      </c>
      <c r="Q173" s="793">
        <f t="shared" si="8"/>
        <v>0</v>
      </c>
    </row>
    <row r="174" spans="1:17" ht="15" x14ac:dyDescent="0.25">
      <c r="A174" t="s">
        <v>16</v>
      </c>
      <c r="B174" t="s">
        <v>910</v>
      </c>
      <c r="C174">
        <v>0</v>
      </c>
      <c r="D174">
        <v>0</v>
      </c>
      <c r="E174" s="793">
        <v>398419</v>
      </c>
      <c r="F174" s="793">
        <v>398419</v>
      </c>
      <c r="G174">
        <v>0</v>
      </c>
      <c r="H174">
        <v>0</v>
      </c>
      <c r="I174" s="886" t="str">
        <f t="shared" si="9"/>
        <v>57300</v>
      </c>
      <c r="J174" s="886" t="str">
        <f t="shared" si="10"/>
        <v>3</v>
      </c>
      <c r="K174" s="885"/>
      <c r="M174" t="str">
        <f>VLOOKUP(A174,'Datetel Feb 28, 2013'!A:A,1,0)</f>
        <v>100_304169_7310_57300_819</v>
      </c>
      <c r="P174">
        <f>SUMIF('Datetel Feb 28, 2013'!A:A,Sheet2!A174,'Datetel Feb 28, 2013'!F:F)</f>
        <v>398419</v>
      </c>
      <c r="Q174" s="793">
        <f t="shared" si="8"/>
        <v>0</v>
      </c>
    </row>
    <row r="175" spans="1:17" ht="15" x14ac:dyDescent="0.25">
      <c r="A175" t="s">
        <v>986</v>
      </c>
      <c r="B175" t="s">
        <v>911</v>
      </c>
      <c r="C175">
        <v>0</v>
      </c>
      <c r="D175">
        <v>0</v>
      </c>
      <c r="E175" s="793">
        <v>16392.509999999998</v>
      </c>
      <c r="F175" s="793">
        <v>32983</v>
      </c>
      <c r="G175" s="793">
        <v>16590.490000000002</v>
      </c>
      <c r="H175">
        <v>50.3</v>
      </c>
      <c r="I175" s="886" t="str">
        <f t="shared" si="9"/>
        <v>53510</v>
      </c>
      <c r="J175" s="886" t="str">
        <f t="shared" si="10"/>
        <v>3</v>
      </c>
      <c r="K175" s="885"/>
      <c r="M175" t="str">
        <f>VLOOKUP(A175,'Datetel Feb 28, 2013'!A:A,1,0)</f>
        <v>100_304170_4900_53510_819</v>
      </c>
      <c r="P175">
        <f>SUMIF('Datetel Feb 28, 2013'!A:A,Sheet2!A175,'Datetel Feb 28, 2013'!F:F)</f>
        <v>32983</v>
      </c>
      <c r="Q175" s="793">
        <f t="shared" si="8"/>
        <v>0</v>
      </c>
    </row>
    <row r="176" spans="1:17" ht="15" x14ac:dyDescent="0.25">
      <c r="A176" t="s">
        <v>17</v>
      </c>
      <c r="B176" t="s">
        <v>911</v>
      </c>
      <c r="C176" s="793">
        <v>1681.16</v>
      </c>
      <c r="D176">
        <v>409.86</v>
      </c>
      <c r="E176" s="793">
        <v>122481.76</v>
      </c>
      <c r="F176" s="793">
        <v>124305</v>
      </c>
      <c r="G176">
        <v>142.08000000000001</v>
      </c>
      <c r="H176">
        <v>0.11</v>
      </c>
      <c r="I176" s="886" t="str">
        <f t="shared" si="9"/>
        <v>55160</v>
      </c>
      <c r="J176" s="886" t="str">
        <f t="shared" si="10"/>
        <v>3</v>
      </c>
      <c r="K176" s="885"/>
      <c r="M176" t="str">
        <f>VLOOKUP(A176,'Datetel Feb 28, 2013'!A:A,1,0)</f>
        <v>100_304170_6720_55160_819</v>
      </c>
      <c r="P176">
        <f>SUMIF('Datetel Feb 28, 2013'!A:A,Sheet2!A176,'Datetel Feb 28, 2013'!F:F)</f>
        <v>124305</v>
      </c>
      <c r="Q176" s="793">
        <f t="shared" si="8"/>
        <v>0</v>
      </c>
    </row>
    <row r="177" spans="1:17" ht="15" x14ac:dyDescent="0.25">
      <c r="A177" t="s">
        <v>18</v>
      </c>
      <c r="B177" t="s">
        <v>911</v>
      </c>
      <c r="C177">
        <v>0</v>
      </c>
      <c r="D177" s="793">
        <v>7000</v>
      </c>
      <c r="E177" s="793">
        <v>78700</v>
      </c>
      <c r="F177" s="793">
        <v>82700</v>
      </c>
      <c r="G177" s="793">
        <v>4000</v>
      </c>
      <c r="H177">
        <v>4.84</v>
      </c>
      <c r="I177" s="886" t="str">
        <f t="shared" si="9"/>
        <v>55170</v>
      </c>
      <c r="J177" s="886" t="str">
        <f t="shared" si="10"/>
        <v>3</v>
      </c>
      <c r="K177" s="885"/>
      <c r="M177" t="str">
        <f>VLOOKUP(A177,'Datetel Feb 28, 2013'!A:A,1,0)</f>
        <v>100_304170_6720_55170_819</v>
      </c>
      <c r="P177">
        <f>SUMIF('Datetel Feb 28, 2013'!A:A,Sheet2!A177,'Datetel Feb 28, 2013'!F:F)</f>
        <v>82700</v>
      </c>
      <c r="Q177" s="793">
        <f t="shared" si="8"/>
        <v>0</v>
      </c>
    </row>
    <row r="178" spans="1:17" ht="15" x14ac:dyDescent="0.25">
      <c r="A178" t="s">
        <v>19</v>
      </c>
      <c r="B178" t="s">
        <v>911</v>
      </c>
      <c r="C178" s="793">
        <v>2195.4299999999998</v>
      </c>
      <c r="D178">
        <v>710.83</v>
      </c>
      <c r="E178" s="793">
        <v>3645.63</v>
      </c>
      <c r="F178" s="793">
        <v>9500</v>
      </c>
      <c r="G178" s="793">
        <v>3658.94</v>
      </c>
      <c r="H178">
        <v>38.520000000000003</v>
      </c>
      <c r="I178" s="886" t="str">
        <f t="shared" si="9"/>
        <v>55185</v>
      </c>
      <c r="J178" s="886" t="str">
        <f t="shared" si="10"/>
        <v>3</v>
      </c>
      <c r="K178" s="885"/>
      <c r="M178" t="str">
        <f>VLOOKUP(A178,'Datetel Feb 28, 2013'!A:A,1,0)</f>
        <v>100_304170_6720_55185_819</v>
      </c>
      <c r="P178">
        <f>SUMIF('Datetel Feb 28, 2013'!A:A,Sheet2!A178,'Datetel Feb 28, 2013'!F:F)</f>
        <v>9500</v>
      </c>
      <c r="Q178" s="793">
        <f t="shared" si="8"/>
        <v>0</v>
      </c>
    </row>
    <row r="179" spans="1:17" ht="15" x14ac:dyDescent="0.25">
      <c r="A179" t="s">
        <v>20</v>
      </c>
      <c r="B179" t="s">
        <v>911</v>
      </c>
      <c r="C179">
        <v>0</v>
      </c>
      <c r="D179">
        <v>0</v>
      </c>
      <c r="E179" s="793">
        <v>2601.92</v>
      </c>
      <c r="F179" s="793">
        <v>15000</v>
      </c>
      <c r="G179" s="793">
        <v>12398.08</v>
      </c>
      <c r="H179">
        <v>82.65</v>
      </c>
      <c r="I179" s="886" t="str">
        <f t="shared" si="9"/>
        <v>55300</v>
      </c>
      <c r="J179" s="886" t="str">
        <f t="shared" si="10"/>
        <v>3</v>
      </c>
      <c r="K179" s="885"/>
      <c r="M179" t="str">
        <f>VLOOKUP(A179,'Datetel Feb 28, 2013'!A:A,1,0)</f>
        <v>100_304170_6720_55300_819</v>
      </c>
      <c r="P179">
        <f>SUMIF('Datetel Feb 28, 2013'!A:A,Sheet2!A179,'Datetel Feb 28, 2013'!F:F)</f>
        <v>15000</v>
      </c>
      <c r="Q179" s="793">
        <f t="shared" si="8"/>
        <v>0</v>
      </c>
    </row>
    <row r="180" spans="1:17" ht="15" x14ac:dyDescent="0.25">
      <c r="A180" t="s">
        <v>21</v>
      </c>
      <c r="B180" t="s">
        <v>911</v>
      </c>
      <c r="C180">
        <v>0</v>
      </c>
      <c r="D180">
        <v>0</v>
      </c>
      <c r="E180">
        <v>-81</v>
      </c>
      <c r="F180">
        <v>0</v>
      </c>
      <c r="G180">
        <v>81</v>
      </c>
      <c r="H180">
        <v>0</v>
      </c>
      <c r="I180" s="886" t="str">
        <f t="shared" si="9"/>
        <v>55592</v>
      </c>
      <c r="J180" s="886" t="str">
        <f t="shared" si="10"/>
        <v>3</v>
      </c>
      <c r="K180" s="885"/>
      <c r="M180" t="str">
        <f>VLOOKUP(A180,'Datetel Feb 28, 2013'!A:A,1,0)</f>
        <v>100_304170_6720_55592_819</v>
      </c>
      <c r="P180">
        <f>SUMIF('Datetel Feb 28, 2013'!A:A,Sheet2!A180,'Datetel Feb 28, 2013'!F:F)</f>
        <v>0</v>
      </c>
      <c r="Q180" s="793">
        <f t="shared" si="8"/>
        <v>0</v>
      </c>
    </row>
    <row r="181" spans="1:17" ht="15" x14ac:dyDescent="0.25">
      <c r="A181" t="s">
        <v>137</v>
      </c>
      <c r="B181" t="s">
        <v>911</v>
      </c>
      <c r="C181">
        <v>0</v>
      </c>
      <c r="D181">
        <v>0</v>
      </c>
      <c r="E181" s="793">
        <v>16710.48</v>
      </c>
      <c r="F181" s="793">
        <v>15000</v>
      </c>
      <c r="G181" s="793">
        <v>-1710.48</v>
      </c>
      <c r="H181">
        <v>-11.39</v>
      </c>
      <c r="I181" s="886" t="str">
        <f t="shared" si="9"/>
        <v>55593</v>
      </c>
      <c r="J181" s="886" t="str">
        <f t="shared" si="10"/>
        <v>3</v>
      </c>
      <c r="K181" s="885"/>
      <c r="M181" t="str">
        <f>VLOOKUP(A181,'Datetel Feb 28, 2013'!A:A,1,0)</f>
        <v>100_304170_6720_55593_819</v>
      </c>
      <c r="P181">
        <f>SUMIF('Datetel Feb 28, 2013'!A:A,Sheet2!A181,'Datetel Feb 28, 2013'!F:F)</f>
        <v>15000</v>
      </c>
      <c r="Q181" s="793">
        <f t="shared" si="8"/>
        <v>0</v>
      </c>
    </row>
    <row r="182" spans="1:17" ht="15" x14ac:dyDescent="0.25">
      <c r="A182" t="s">
        <v>138</v>
      </c>
      <c r="B182" t="s">
        <v>911</v>
      </c>
      <c r="C182">
        <v>0</v>
      </c>
      <c r="D182">
        <v>0</v>
      </c>
      <c r="E182" s="793">
        <v>119128.01</v>
      </c>
      <c r="F182" s="793">
        <v>165000</v>
      </c>
      <c r="G182" s="793">
        <v>45871.99</v>
      </c>
      <c r="H182">
        <v>27.8</v>
      </c>
      <c r="I182" s="886" t="str">
        <f t="shared" si="9"/>
        <v>55595</v>
      </c>
      <c r="J182" s="886" t="str">
        <f t="shared" si="10"/>
        <v>3</v>
      </c>
      <c r="K182" s="885"/>
      <c r="M182" t="str">
        <f>VLOOKUP(A182,'Datetel Feb 28, 2013'!A:A,1,0)</f>
        <v>100_304170_6720_55595_819</v>
      </c>
      <c r="P182">
        <f>SUMIF('Datetel Feb 28, 2013'!A:A,Sheet2!A182,'Datetel Feb 28, 2013'!F:F)</f>
        <v>165000</v>
      </c>
      <c r="Q182" s="793">
        <f t="shared" si="8"/>
        <v>0</v>
      </c>
    </row>
    <row r="183" spans="1:17" ht="15" x14ac:dyDescent="0.25">
      <c r="A183" t="s">
        <v>336</v>
      </c>
      <c r="B183" t="s">
        <v>911</v>
      </c>
      <c r="C183">
        <v>0</v>
      </c>
      <c r="D183">
        <v>0</v>
      </c>
      <c r="E183" s="793">
        <v>16392.490000000002</v>
      </c>
      <c r="F183" s="793">
        <v>32983</v>
      </c>
      <c r="G183" s="793">
        <v>16590.509999999998</v>
      </c>
      <c r="H183">
        <v>50.3</v>
      </c>
      <c r="I183" s="886" t="str">
        <f t="shared" si="9"/>
        <v>53520</v>
      </c>
      <c r="J183" s="886" t="str">
        <f t="shared" si="10"/>
        <v>3</v>
      </c>
      <c r="K183" s="885"/>
      <c r="M183" t="str">
        <f>VLOOKUP(A183,'Datetel Feb 28, 2013'!A:A,1,0)</f>
        <v>100_304170_6790_53520_819</v>
      </c>
      <c r="P183">
        <f>SUMIF('Datetel Feb 28, 2013'!A:A,Sheet2!A183,'Datetel Feb 28, 2013'!F:F)</f>
        <v>32983</v>
      </c>
      <c r="Q183" s="793">
        <f t="shared" si="8"/>
        <v>0</v>
      </c>
    </row>
    <row r="184" spans="1:17" ht="15" x14ac:dyDescent="0.25">
      <c r="A184" t="s">
        <v>337</v>
      </c>
      <c r="B184" t="s">
        <v>911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 s="886" t="str">
        <f t="shared" si="9"/>
        <v>53530</v>
      </c>
      <c r="J184" s="886" t="str">
        <f t="shared" si="10"/>
        <v>3</v>
      </c>
      <c r="K184" s="885"/>
      <c r="M184" t="str">
        <f>VLOOKUP(A184,'Datetel Feb 28, 2013'!A:A,1,0)</f>
        <v>100_304170_6790_53530_819</v>
      </c>
      <c r="P184">
        <f>SUMIF('Datetel Feb 28, 2013'!A:A,Sheet2!A184,'Datetel Feb 28, 2013'!F:F)</f>
        <v>0</v>
      </c>
      <c r="Q184" s="793">
        <f t="shared" si="8"/>
        <v>0</v>
      </c>
    </row>
    <row r="185" spans="1:17" ht="15" x14ac:dyDescent="0.25">
      <c r="A185" t="s">
        <v>271</v>
      </c>
      <c r="B185" t="s">
        <v>912</v>
      </c>
      <c r="C185" s="793">
        <v>24766.77</v>
      </c>
      <c r="D185" s="793">
        <v>25061.82</v>
      </c>
      <c r="E185" s="793">
        <v>145733.23000000001</v>
      </c>
      <c r="F185" s="793">
        <v>270500</v>
      </c>
      <c r="G185" s="793">
        <v>100000</v>
      </c>
      <c r="H185">
        <v>36.97</v>
      </c>
      <c r="I185" s="886" t="str">
        <f t="shared" si="9"/>
        <v>55150</v>
      </c>
      <c r="J185" s="886" t="str">
        <f t="shared" si="10"/>
        <v>3</v>
      </c>
      <c r="K185" s="885"/>
      <c r="M185" t="str">
        <f>VLOOKUP(A185,'Datetel Feb 28, 2013'!A:A,1,0)</f>
        <v>100_304180_6600_55150_819</v>
      </c>
      <c r="P185">
        <f>SUMIF('Datetel Feb 28, 2013'!A:A,Sheet2!A185,'Datetel Feb 28, 2013'!F:F)</f>
        <v>270500</v>
      </c>
      <c r="Q185" s="793">
        <f t="shared" si="8"/>
        <v>0</v>
      </c>
    </row>
    <row r="186" spans="1:17" ht="15" x14ac:dyDescent="0.25">
      <c r="A186" t="s">
        <v>23</v>
      </c>
      <c r="B186" t="s">
        <v>912</v>
      </c>
      <c r="C186">
        <v>0</v>
      </c>
      <c r="D186">
        <v>0</v>
      </c>
      <c r="E186" s="793">
        <v>39289.42</v>
      </c>
      <c r="F186" s="793">
        <v>50000</v>
      </c>
      <c r="G186" s="793">
        <v>10710.58</v>
      </c>
      <c r="H186">
        <v>21.42</v>
      </c>
      <c r="I186" s="886" t="str">
        <f t="shared" si="9"/>
        <v>55910</v>
      </c>
      <c r="J186" s="886" t="str">
        <f t="shared" si="10"/>
        <v>3</v>
      </c>
      <c r="K186" s="885"/>
      <c r="M186" t="str">
        <f>VLOOKUP(A186,'Datetel Feb 28, 2013'!A:A,1,0)</f>
        <v>100_304180_6600_55910_819</v>
      </c>
      <c r="P186">
        <f>SUMIF('Datetel Feb 28, 2013'!A:A,Sheet2!A186,'Datetel Feb 28, 2013'!F:F)</f>
        <v>50000</v>
      </c>
      <c r="Q186" s="793">
        <f t="shared" si="8"/>
        <v>0</v>
      </c>
    </row>
    <row r="187" spans="1:17" ht="15" x14ac:dyDescent="0.25">
      <c r="A187" t="s">
        <v>362</v>
      </c>
      <c r="B187" t="s">
        <v>912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 s="886" t="str">
        <f t="shared" si="9"/>
        <v>52350</v>
      </c>
      <c r="J187" s="886" t="str">
        <f t="shared" si="10"/>
        <v>3</v>
      </c>
      <c r="K187" s="885"/>
      <c r="M187" t="str">
        <f>VLOOKUP(A187,'Datetel Feb 28, 2013'!A:A,1,0)</f>
        <v>100_304180_6720_52350_819</v>
      </c>
      <c r="P187">
        <f>SUMIF('Datetel Feb 28, 2013'!A:A,Sheet2!A187,'Datetel Feb 28, 2013'!F:F)</f>
        <v>0</v>
      </c>
      <c r="Q187" s="793">
        <f t="shared" si="8"/>
        <v>0</v>
      </c>
    </row>
    <row r="188" spans="1:17" ht="15" x14ac:dyDescent="0.25">
      <c r="A188" t="s">
        <v>674</v>
      </c>
      <c r="B188" t="s">
        <v>912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 s="886" t="str">
        <f t="shared" si="9"/>
        <v>55150</v>
      </c>
      <c r="J188" s="886" t="str">
        <f t="shared" si="10"/>
        <v>3</v>
      </c>
      <c r="K188" s="885"/>
      <c r="M188" t="str">
        <f>VLOOKUP(A188,'Datetel Feb 28, 2013'!A:A,1,0)</f>
        <v>100_304180_6720_55150_819</v>
      </c>
      <c r="P188">
        <f>SUMIF('Datetel Feb 28, 2013'!A:A,Sheet2!A188,'Datetel Feb 28, 2013'!F:F)</f>
        <v>0</v>
      </c>
      <c r="Q188" s="793">
        <f t="shared" ref="Q188:Q241" si="11">F188-P188</f>
        <v>0</v>
      </c>
    </row>
    <row r="189" spans="1:17" ht="15" x14ac:dyDescent="0.25">
      <c r="A189" t="s">
        <v>799</v>
      </c>
      <c r="B189" t="s">
        <v>912</v>
      </c>
      <c r="C189">
        <v>0</v>
      </c>
      <c r="D189">
        <v>0</v>
      </c>
      <c r="E189">
        <v>412.5</v>
      </c>
      <c r="F189">
        <v>413</v>
      </c>
      <c r="G189">
        <v>0.5</v>
      </c>
      <c r="H189">
        <v>0.12</v>
      </c>
      <c r="I189" s="886" t="str">
        <f t="shared" si="9"/>
        <v>52320</v>
      </c>
      <c r="J189" s="886" t="str">
        <f t="shared" si="10"/>
        <v>3</v>
      </c>
      <c r="K189" s="885"/>
      <c r="M189" t="str">
        <f>VLOOKUP(A189,'Datetel Feb 28, 2013'!A:A,1,0)</f>
        <v>100_304180_6770_52320_819</v>
      </c>
      <c r="P189">
        <f>SUMIF('Datetel Feb 28, 2013'!A:A,Sheet2!A189,'Datetel Feb 28, 2013'!F:F)</f>
        <v>413</v>
      </c>
      <c r="Q189" s="793">
        <f t="shared" si="11"/>
        <v>0</v>
      </c>
    </row>
    <row r="190" spans="1:17" ht="15" x14ac:dyDescent="0.25">
      <c r="A190" t="s">
        <v>385</v>
      </c>
      <c r="B190" t="s">
        <v>912</v>
      </c>
      <c r="C190">
        <v>0</v>
      </c>
      <c r="D190">
        <v>750</v>
      </c>
      <c r="E190" s="793">
        <v>13250</v>
      </c>
      <c r="F190" s="793">
        <v>38000</v>
      </c>
      <c r="G190" s="793">
        <v>24750</v>
      </c>
      <c r="H190">
        <v>65.13</v>
      </c>
      <c r="I190" s="886" t="str">
        <f t="shared" si="9"/>
        <v>52350</v>
      </c>
      <c r="J190" s="886" t="str">
        <f t="shared" si="10"/>
        <v>3</v>
      </c>
      <c r="K190" s="885"/>
      <c r="M190" t="str">
        <f>VLOOKUP(A190,'Datetel Feb 28, 2013'!A:A,1,0)</f>
        <v>100_304180_6770_52350_819</v>
      </c>
      <c r="P190">
        <f>SUMIF('Datetel Feb 28, 2013'!A:A,Sheet2!A190,'Datetel Feb 28, 2013'!F:F)</f>
        <v>38000</v>
      </c>
      <c r="Q190" s="793">
        <f t="shared" si="11"/>
        <v>0</v>
      </c>
    </row>
    <row r="191" spans="1:17" ht="15" x14ac:dyDescent="0.25">
      <c r="A191" t="s">
        <v>801</v>
      </c>
      <c r="B191" t="s">
        <v>912</v>
      </c>
      <c r="C191">
        <v>0</v>
      </c>
      <c r="D191">
        <v>10.88</v>
      </c>
      <c r="E191">
        <v>198.11</v>
      </c>
      <c r="F191">
        <v>575</v>
      </c>
      <c r="G191">
        <v>376.89</v>
      </c>
      <c r="H191">
        <v>65.55</v>
      </c>
      <c r="I191" s="886" t="str">
        <f t="shared" si="9"/>
        <v>53323</v>
      </c>
      <c r="J191" s="886" t="str">
        <f t="shared" si="10"/>
        <v>3</v>
      </c>
      <c r="K191" s="885"/>
      <c r="M191" t="str">
        <f>VLOOKUP(A191,'Datetel Feb 28, 2013'!A:A,1,0)</f>
        <v>100_304180_6770_53323_819</v>
      </c>
      <c r="P191">
        <f>SUMIF('Datetel Feb 28, 2013'!A:A,Sheet2!A191,'Datetel Feb 28, 2013'!F:F)</f>
        <v>575</v>
      </c>
      <c r="Q191" s="793">
        <f t="shared" si="11"/>
        <v>0</v>
      </c>
    </row>
    <row r="192" spans="1:17" ht="15" x14ac:dyDescent="0.25">
      <c r="A192" t="s">
        <v>802</v>
      </c>
      <c r="B192" t="s">
        <v>912</v>
      </c>
      <c r="C192">
        <v>0</v>
      </c>
      <c r="D192">
        <v>8.25</v>
      </c>
      <c r="E192">
        <v>150.30000000000001</v>
      </c>
      <c r="F192">
        <v>440</v>
      </c>
      <c r="G192">
        <v>289.7</v>
      </c>
      <c r="H192">
        <v>65.84</v>
      </c>
      <c r="I192" s="886" t="str">
        <f t="shared" si="9"/>
        <v>53520</v>
      </c>
      <c r="J192" s="886" t="str">
        <f t="shared" si="10"/>
        <v>3</v>
      </c>
      <c r="K192" s="885"/>
      <c r="M192" t="str">
        <f>VLOOKUP(A192,'Datetel Feb 28, 2013'!A:A,1,0)</f>
        <v>100_304180_6770_53520_819</v>
      </c>
      <c r="P192">
        <f>SUMIF('Datetel Feb 28, 2013'!A:A,Sheet2!A192,'Datetel Feb 28, 2013'!F:F)</f>
        <v>440</v>
      </c>
      <c r="Q192" s="793">
        <f t="shared" si="11"/>
        <v>0</v>
      </c>
    </row>
    <row r="193" spans="1:17" ht="15" x14ac:dyDescent="0.25">
      <c r="A193" t="s">
        <v>677</v>
      </c>
      <c r="B193" t="s">
        <v>912</v>
      </c>
      <c r="C193">
        <v>0</v>
      </c>
      <c r="D193">
        <v>11.08</v>
      </c>
      <c r="E193">
        <v>201.79</v>
      </c>
      <c r="F193">
        <v>572</v>
      </c>
      <c r="G193">
        <v>370.21</v>
      </c>
      <c r="H193">
        <v>64.72</v>
      </c>
      <c r="I193" s="886" t="str">
        <f t="shared" si="9"/>
        <v>53620</v>
      </c>
      <c r="J193" s="886" t="str">
        <f t="shared" si="10"/>
        <v>3</v>
      </c>
      <c r="K193" s="885"/>
      <c r="M193" t="str">
        <f>VLOOKUP(A193,'Datetel Feb 28, 2013'!A:A,1,0)</f>
        <v>100_304180_6770_53620_819</v>
      </c>
      <c r="P193">
        <f>SUMIF('Datetel Feb 28, 2013'!A:A,Sheet2!A193,'Datetel Feb 28, 2013'!F:F)</f>
        <v>572</v>
      </c>
      <c r="Q193" s="793">
        <f t="shared" si="11"/>
        <v>0</v>
      </c>
    </row>
    <row r="194" spans="1:17" ht="15" x14ac:dyDescent="0.25">
      <c r="A194" t="s">
        <v>25</v>
      </c>
      <c r="B194" t="s">
        <v>913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 s="886" t="str">
        <f t="shared" si="9"/>
        <v>53450</v>
      </c>
      <c r="J194" s="886" t="str">
        <f t="shared" si="10"/>
        <v>3</v>
      </c>
      <c r="K194" s="885"/>
      <c r="M194" t="str">
        <f>VLOOKUP(A194,'Datetel Feb 28, 2013'!A:A,1,0)</f>
        <v>100_304190_5900_53450_819</v>
      </c>
      <c r="P194">
        <f>SUMIF('Datetel Feb 28, 2013'!A:A,Sheet2!A194,'Datetel Feb 28, 2013'!F:F)</f>
        <v>0</v>
      </c>
      <c r="Q194" s="793">
        <f t="shared" si="11"/>
        <v>0</v>
      </c>
    </row>
    <row r="195" spans="1:17" ht="15" x14ac:dyDescent="0.25">
      <c r="A195" t="s">
        <v>424</v>
      </c>
      <c r="B195" t="s">
        <v>913</v>
      </c>
      <c r="C195">
        <v>0</v>
      </c>
      <c r="D195">
        <v>0</v>
      </c>
      <c r="E195" s="793">
        <v>15480</v>
      </c>
      <c r="F195" s="793">
        <v>15480</v>
      </c>
      <c r="G195">
        <v>0</v>
      </c>
      <c r="H195">
        <v>0</v>
      </c>
      <c r="I195" s="886" t="str">
        <f t="shared" ref="I195:I241" si="12">MID(A195,17,5)</f>
        <v>55160</v>
      </c>
      <c r="J195" s="886" t="str">
        <f t="shared" ref="J195:J241" si="13">MID(A195,5,1)</f>
        <v>3</v>
      </c>
      <c r="K195" s="885"/>
      <c r="M195" t="str">
        <f>VLOOKUP(A195,'Datetel Feb 28, 2013'!A:A,1,0)</f>
        <v>100_304190_6720_55160_819</v>
      </c>
      <c r="P195">
        <f>SUMIF('Datetel Feb 28, 2013'!A:A,Sheet2!A195,'Datetel Feb 28, 2013'!F:F)</f>
        <v>15480</v>
      </c>
      <c r="Q195" s="793">
        <f t="shared" si="11"/>
        <v>0</v>
      </c>
    </row>
    <row r="196" spans="1:17" s="813" customFormat="1" ht="15" x14ac:dyDescent="0.25">
      <c r="A196" t="s">
        <v>27</v>
      </c>
      <c r="B196" t="s">
        <v>913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s="886" t="str">
        <f t="shared" si="12"/>
        <v>53450</v>
      </c>
      <c r="J196" s="886" t="str">
        <f t="shared" si="13"/>
        <v>3</v>
      </c>
      <c r="K196" s="889"/>
      <c r="M196" t="str">
        <f>VLOOKUP(A196,'Datetel Feb 28, 2013'!A:A,1,0)</f>
        <v>100_304190_6740_53450_819</v>
      </c>
      <c r="P196">
        <f>SUMIF('Datetel Feb 28, 2013'!A:A,Sheet2!A196,'Datetel Feb 28, 2013'!F:F)</f>
        <v>0</v>
      </c>
      <c r="Q196" s="793">
        <f t="shared" si="11"/>
        <v>0</v>
      </c>
    </row>
    <row r="197" spans="1:17" ht="15" x14ac:dyDescent="0.25">
      <c r="A197" t="s">
        <v>803</v>
      </c>
      <c r="B197" t="s">
        <v>913</v>
      </c>
      <c r="C197">
        <v>0</v>
      </c>
      <c r="D197">
        <v>0</v>
      </c>
      <c r="E197" s="793">
        <v>3911000</v>
      </c>
      <c r="F197" s="793">
        <v>7822000</v>
      </c>
      <c r="G197" s="793">
        <v>3911000</v>
      </c>
      <c r="H197">
        <v>50</v>
      </c>
      <c r="I197" s="886" t="str">
        <f t="shared" si="12"/>
        <v>57300</v>
      </c>
      <c r="J197" s="886" t="str">
        <f t="shared" si="13"/>
        <v>3</v>
      </c>
      <c r="K197" s="885"/>
      <c r="M197" t="str">
        <f>VLOOKUP(A197,'Datetel Feb 28, 2013'!A:A,1,0)</f>
        <v>100_304190_7300_57300_819</v>
      </c>
      <c r="P197">
        <f>SUMIF('Datetel Feb 28, 2013'!A:A,Sheet2!A197,'Datetel Feb 28, 2013'!F:F)</f>
        <v>7822000</v>
      </c>
      <c r="Q197" s="793">
        <f t="shared" si="11"/>
        <v>0</v>
      </c>
    </row>
    <row r="198" spans="1:17" ht="15" x14ac:dyDescent="0.25">
      <c r="A198" t="s">
        <v>804</v>
      </c>
      <c r="B198" t="s">
        <v>681</v>
      </c>
      <c r="C198">
        <v>0</v>
      </c>
      <c r="D198">
        <v>0</v>
      </c>
      <c r="E198">
        <v>0</v>
      </c>
      <c r="F198" s="793">
        <v>-52000</v>
      </c>
      <c r="G198" s="793">
        <v>-52000</v>
      </c>
      <c r="H198">
        <v>100</v>
      </c>
      <c r="I198" s="886" t="str">
        <f t="shared" si="12"/>
        <v>48896</v>
      </c>
      <c r="J198" s="886" t="str">
        <f t="shared" si="13"/>
        <v>3</v>
      </c>
      <c r="K198" s="885"/>
      <c r="M198" t="str">
        <f>VLOOKUP(A198,'Datetel Feb 28, 2013'!A:A,1,0)</f>
        <v>100_304197_0000_48896_818</v>
      </c>
      <c r="P198">
        <f>SUMIF('Datetel Feb 28, 2013'!A:A,Sheet2!A198,'Datetel Feb 28, 2013'!F:F)</f>
        <v>-52000</v>
      </c>
      <c r="Q198" s="793">
        <f t="shared" si="11"/>
        <v>0</v>
      </c>
    </row>
    <row r="199" spans="1:17" ht="15" x14ac:dyDescent="0.25">
      <c r="A199" t="s">
        <v>806</v>
      </c>
      <c r="B199" t="s">
        <v>681</v>
      </c>
      <c r="C199">
        <v>0</v>
      </c>
      <c r="D199" s="793">
        <v>-103516.82</v>
      </c>
      <c r="E199" s="793">
        <v>-509240.66</v>
      </c>
      <c r="F199" s="793">
        <v>-683000</v>
      </c>
      <c r="G199" s="793">
        <v>-173759.34</v>
      </c>
      <c r="H199">
        <v>25.44</v>
      </c>
      <c r="I199" s="886" t="str">
        <f t="shared" si="12"/>
        <v>48897</v>
      </c>
      <c r="J199" s="886" t="str">
        <f t="shared" si="13"/>
        <v>3</v>
      </c>
      <c r="K199" s="885"/>
      <c r="M199" t="str">
        <f>VLOOKUP(A199,'Datetel Feb 28, 2013'!A:A,1,0)</f>
        <v>100_304197_0000_48897_818</v>
      </c>
      <c r="P199">
        <f>SUMIF('Datetel Feb 28, 2013'!A:A,Sheet2!A199,'Datetel Feb 28, 2013'!F:F)</f>
        <v>-683000</v>
      </c>
      <c r="Q199" s="793">
        <f t="shared" si="11"/>
        <v>0</v>
      </c>
    </row>
    <row r="200" spans="1:17" ht="15" x14ac:dyDescent="0.25">
      <c r="A200" t="s">
        <v>680</v>
      </c>
      <c r="B200" t="s">
        <v>681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 s="886" t="str">
        <f t="shared" si="12"/>
        <v>48897</v>
      </c>
      <c r="J200" s="886" t="str">
        <f t="shared" si="13"/>
        <v>3</v>
      </c>
      <c r="K200" s="885"/>
      <c r="M200" t="str">
        <f>VLOOKUP(A200,'Datetel Feb 28, 2013'!A:A,1,0)</f>
        <v>100_304197_0000_48897_819</v>
      </c>
      <c r="P200">
        <f>SUMIF('Datetel Feb 28, 2013'!A:A,Sheet2!A200,'Datetel Feb 28, 2013'!F:F)</f>
        <v>0</v>
      </c>
      <c r="Q200" s="793">
        <f t="shared" si="11"/>
        <v>0</v>
      </c>
    </row>
    <row r="201" spans="1:17" ht="15" x14ac:dyDescent="0.25">
      <c r="A201" t="s">
        <v>807</v>
      </c>
      <c r="B201" t="s">
        <v>681</v>
      </c>
      <c r="C201">
        <v>0</v>
      </c>
      <c r="D201">
        <v>0</v>
      </c>
      <c r="E201">
        <v>10.46</v>
      </c>
      <c r="F201">
        <v>0</v>
      </c>
      <c r="G201">
        <v>-10.46</v>
      </c>
      <c r="H201">
        <v>0</v>
      </c>
      <c r="I201" s="886" t="str">
        <f t="shared" si="12"/>
        <v>55185</v>
      </c>
      <c r="J201" s="886" t="str">
        <f t="shared" si="13"/>
        <v>3</v>
      </c>
      <c r="K201" s="885"/>
      <c r="M201" t="str">
        <f>VLOOKUP(A201,'Datetel Feb 28, 2013'!A:A,1,0)</f>
        <v>100_304197_6720_55185_819</v>
      </c>
      <c r="P201">
        <f>SUMIF('Datetel Feb 28, 2013'!A:A,Sheet2!A201,'Datetel Feb 28, 2013'!F:F)</f>
        <v>0</v>
      </c>
      <c r="Q201" s="793">
        <f t="shared" si="11"/>
        <v>0</v>
      </c>
    </row>
    <row r="202" spans="1:17" ht="15" x14ac:dyDescent="0.25">
      <c r="A202" t="s">
        <v>808</v>
      </c>
      <c r="B202" t="s">
        <v>681</v>
      </c>
      <c r="C202">
        <v>0</v>
      </c>
      <c r="D202">
        <v>0</v>
      </c>
      <c r="E202" s="793">
        <v>1400</v>
      </c>
      <c r="F202" s="793">
        <v>1400</v>
      </c>
      <c r="G202">
        <v>0</v>
      </c>
      <c r="H202">
        <v>0</v>
      </c>
      <c r="I202" s="886" t="str">
        <f t="shared" si="12"/>
        <v>57131</v>
      </c>
      <c r="J202" s="886" t="str">
        <f t="shared" si="13"/>
        <v>3</v>
      </c>
      <c r="K202" s="885"/>
      <c r="M202" t="str">
        <f>VLOOKUP(A202,'Datetel Feb 28, 2013'!A:A,1,0)</f>
        <v>100_304197_7210_57131_819</v>
      </c>
      <c r="P202">
        <f>SUMIF('Datetel Feb 28, 2013'!A:A,Sheet2!A202,'Datetel Feb 28, 2013'!F:F)</f>
        <v>1400</v>
      </c>
      <c r="Q202" s="793">
        <f t="shared" si="11"/>
        <v>0</v>
      </c>
    </row>
    <row r="203" spans="1:17" ht="15" x14ac:dyDescent="0.25">
      <c r="A203" t="s">
        <v>767</v>
      </c>
      <c r="B203" t="s">
        <v>681</v>
      </c>
      <c r="C203">
        <v>0</v>
      </c>
      <c r="D203">
        <v>0</v>
      </c>
      <c r="E203" s="793">
        <v>139713.70000000001</v>
      </c>
      <c r="F203" s="793">
        <v>683000</v>
      </c>
      <c r="G203" s="793">
        <v>543286.30000000005</v>
      </c>
      <c r="H203">
        <v>79.540000000000006</v>
      </c>
      <c r="I203" s="886" t="str">
        <f t="shared" si="12"/>
        <v>57300</v>
      </c>
      <c r="J203" s="886" t="str">
        <f t="shared" si="13"/>
        <v>3</v>
      </c>
      <c r="K203" s="885"/>
      <c r="M203" t="str">
        <f>VLOOKUP(A203,'Datetel Feb 28, 2013'!A:A,1,0)</f>
        <v>100_304197_7310_57300_818</v>
      </c>
      <c r="P203">
        <f>SUMIF('Datetel Feb 28, 2013'!A:A,Sheet2!A203,'Datetel Feb 28, 2013'!F:F)</f>
        <v>683000</v>
      </c>
      <c r="Q203" s="793">
        <f t="shared" si="11"/>
        <v>0</v>
      </c>
    </row>
    <row r="204" spans="1:17" ht="15" x14ac:dyDescent="0.25">
      <c r="A204" t="s">
        <v>693</v>
      </c>
      <c r="B204" t="s">
        <v>681</v>
      </c>
      <c r="C204">
        <v>0</v>
      </c>
      <c r="D204">
        <v>0</v>
      </c>
      <c r="E204">
        <v>0</v>
      </c>
      <c r="F204" s="793">
        <v>150000</v>
      </c>
      <c r="G204" s="793">
        <v>150000</v>
      </c>
      <c r="H204">
        <v>100</v>
      </c>
      <c r="I204" s="886" t="str">
        <f t="shared" si="12"/>
        <v>57300</v>
      </c>
      <c r="J204" s="886" t="str">
        <f t="shared" si="13"/>
        <v>3</v>
      </c>
      <c r="K204" s="886"/>
      <c r="M204" t="str">
        <f>VLOOKUP(A204,'Datetel Feb 28, 2013'!A:A,1,0)</f>
        <v>100_304197_7310_57300_819</v>
      </c>
      <c r="P204">
        <f>SUMIF('Datetel Feb 28, 2013'!A:A,Sheet2!A204,'Datetel Feb 28, 2013'!F:F)</f>
        <v>150000</v>
      </c>
      <c r="Q204" s="793">
        <f t="shared" si="11"/>
        <v>0</v>
      </c>
    </row>
    <row r="205" spans="1:17" ht="15" x14ac:dyDescent="0.25">
      <c r="A205" t="s">
        <v>28</v>
      </c>
      <c r="B205" t="s">
        <v>914</v>
      </c>
      <c r="C205">
        <v>0</v>
      </c>
      <c r="D205">
        <v>0</v>
      </c>
      <c r="E205">
        <v>0</v>
      </c>
      <c r="F205" s="793">
        <v>-12266</v>
      </c>
      <c r="G205" s="793">
        <v>-12266</v>
      </c>
      <c r="H205">
        <v>100</v>
      </c>
      <c r="I205" s="886" t="str">
        <f t="shared" si="12"/>
        <v>51316</v>
      </c>
      <c r="J205" s="886" t="str">
        <f t="shared" si="13"/>
        <v>3</v>
      </c>
      <c r="K205" s="885"/>
      <c r="M205" t="str">
        <f>VLOOKUP(A205,'Datetel Feb 28, 2013'!A:A,1,0)</f>
        <v>100_305200_4900_51316_819</v>
      </c>
      <c r="P205">
        <f>SUMIF('Datetel Feb 28, 2013'!A:A,Sheet2!A205,'Datetel Feb 28, 2013'!F:F)</f>
        <v>-12266</v>
      </c>
      <c r="Q205" s="793">
        <f t="shared" si="11"/>
        <v>0</v>
      </c>
    </row>
    <row r="206" spans="1:17" ht="15" x14ac:dyDescent="0.25">
      <c r="A206" t="s">
        <v>29</v>
      </c>
      <c r="B206" t="s">
        <v>915</v>
      </c>
      <c r="C206">
        <v>0</v>
      </c>
      <c r="D206">
        <v>0</v>
      </c>
      <c r="E206" s="793">
        <v>1224.57</v>
      </c>
      <c r="F206" s="793">
        <v>7500</v>
      </c>
      <c r="G206" s="793">
        <v>6275.43</v>
      </c>
      <c r="H206">
        <v>83.67</v>
      </c>
      <c r="I206" s="886" t="str">
        <f t="shared" si="12"/>
        <v>53110</v>
      </c>
      <c r="J206" s="886" t="str">
        <f t="shared" si="13"/>
        <v>3</v>
      </c>
      <c r="K206" s="885"/>
      <c r="M206" t="str">
        <f>VLOOKUP(A206,'Datetel Feb 28, 2013'!A:A,1,0)</f>
        <v>100_305200_4900_53110_819</v>
      </c>
      <c r="P206">
        <f>SUMIF('Datetel Feb 28, 2013'!A:A,Sheet2!A206,'Datetel Feb 28, 2013'!F:F)</f>
        <v>7500</v>
      </c>
      <c r="Q206" s="793">
        <f t="shared" si="11"/>
        <v>0</v>
      </c>
    </row>
    <row r="207" spans="1:17" ht="15" x14ac:dyDescent="0.25">
      <c r="A207" t="s">
        <v>30</v>
      </c>
      <c r="B207" t="s">
        <v>916</v>
      </c>
      <c r="C207">
        <v>0</v>
      </c>
      <c r="D207">
        <v>0</v>
      </c>
      <c r="E207" s="793">
        <v>30000.04</v>
      </c>
      <c r="F207" s="793">
        <v>60000</v>
      </c>
      <c r="G207" s="793">
        <v>29999.96</v>
      </c>
      <c r="H207">
        <v>50</v>
      </c>
      <c r="I207" s="886" t="str">
        <f t="shared" si="12"/>
        <v>53410</v>
      </c>
      <c r="J207" s="886" t="str">
        <f t="shared" si="13"/>
        <v>3</v>
      </c>
      <c r="K207" s="885"/>
      <c r="M207" t="str">
        <f>VLOOKUP(A207,'Datetel Feb 28, 2013'!A:A,1,0)</f>
        <v>100_305200_4900_53410_819</v>
      </c>
      <c r="P207">
        <f>SUMIF('Datetel Feb 28, 2013'!A:A,Sheet2!A207,'Datetel Feb 28, 2013'!F:F)</f>
        <v>60000</v>
      </c>
      <c r="Q207" s="793">
        <f t="shared" si="11"/>
        <v>0</v>
      </c>
    </row>
    <row r="208" spans="1:17" ht="15" x14ac:dyDescent="0.25">
      <c r="A208" t="s">
        <v>31</v>
      </c>
      <c r="B208" t="s">
        <v>917</v>
      </c>
      <c r="C208">
        <v>0</v>
      </c>
      <c r="D208">
        <v>0</v>
      </c>
      <c r="E208" s="793">
        <v>104705.96</v>
      </c>
      <c r="F208" s="793">
        <v>200000</v>
      </c>
      <c r="G208" s="793">
        <v>95294.04</v>
      </c>
      <c r="H208">
        <v>47.65</v>
      </c>
      <c r="I208" s="886" t="str">
        <f t="shared" si="12"/>
        <v>53311</v>
      </c>
      <c r="J208" s="886" t="str">
        <f t="shared" si="13"/>
        <v>3</v>
      </c>
      <c r="K208" s="885"/>
      <c r="M208" t="str">
        <f>VLOOKUP(A208,'Datetel Feb 28, 2013'!A:A,1,0)</f>
        <v>100_305200_6700_53311_819</v>
      </c>
      <c r="P208">
        <f>SUMIF('Datetel Feb 28, 2013'!A:A,Sheet2!A208,'Datetel Feb 28, 2013'!F:F)</f>
        <v>200000</v>
      </c>
      <c r="Q208" s="793">
        <f t="shared" si="11"/>
        <v>0</v>
      </c>
    </row>
    <row r="209" spans="1:17" ht="15" x14ac:dyDescent="0.25">
      <c r="A209" t="s">
        <v>32</v>
      </c>
      <c r="B209" t="s">
        <v>918</v>
      </c>
      <c r="C209" s="793">
        <v>14188.75</v>
      </c>
      <c r="D209" s="793">
        <v>5284.61</v>
      </c>
      <c r="E209" s="793">
        <v>29711.25</v>
      </c>
      <c r="F209" s="793">
        <v>43900</v>
      </c>
      <c r="G209">
        <v>0</v>
      </c>
      <c r="H209">
        <v>0</v>
      </c>
      <c r="I209" s="886" t="str">
        <f t="shared" si="12"/>
        <v>54210</v>
      </c>
      <c r="J209" s="886" t="str">
        <f t="shared" si="13"/>
        <v>3</v>
      </c>
      <c r="K209" s="885"/>
      <c r="M209" t="str">
        <f>VLOOKUP(A209,'Datetel Feb 28, 2013'!A:A,1,0)</f>
        <v>100_305200_6730_54210_819</v>
      </c>
      <c r="P209">
        <f>SUMIF('Datetel Feb 28, 2013'!A:A,Sheet2!A209,'Datetel Feb 28, 2013'!F:F)</f>
        <v>43900</v>
      </c>
      <c r="Q209" s="793">
        <f t="shared" si="11"/>
        <v>0</v>
      </c>
    </row>
    <row r="210" spans="1:17" ht="15" x14ac:dyDescent="0.25">
      <c r="A210" t="s">
        <v>33</v>
      </c>
      <c r="B210" t="s">
        <v>919</v>
      </c>
      <c r="C210" s="793">
        <v>66781.070000000007</v>
      </c>
      <c r="D210" s="793">
        <v>13896.14</v>
      </c>
      <c r="E210" s="793">
        <v>109929.93</v>
      </c>
      <c r="F210" s="793">
        <v>179057</v>
      </c>
      <c r="G210" s="793">
        <v>2346</v>
      </c>
      <c r="H210">
        <v>1.31</v>
      </c>
      <c r="I210" s="886" t="str">
        <f t="shared" si="12"/>
        <v>55160</v>
      </c>
      <c r="J210" s="886" t="str">
        <f t="shared" si="13"/>
        <v>3</v>
      </c>
      <c r="K210" s="885"/>
      <c r="M210" t="str">
        <f>VLOOKUP(A210,'Datetel Feb 28, 2013'!A:A,1,0)</f>
        <v>100_305200_6730_55160_819</v>
      </c>
      <c r="P210">
        <f>SUMIF('Datetel Feb 28, 2013'!A:A,Sheet2!A210,'Datetel Feb 28, 2013'!F:F)</f>
        <v>179057</v>
      </c>
      <c r="Q210" s="793">
        <f t="shared" si="11"/>
        <v>0</v>
      </c>
    </row>
    <row r="211" spans="1:17" ht="15" x14ac:dyDescent="0.25">
      <c r="A211" t="s">
        <v>34</v>
      </c>
      <c r="B211" t="s">
        <v>920</v>
      </c>
      <c r="C211" s="793">
        <v>46813.82</v>
      </c>
      <c r="D211" s="793">
        <v>3031</v>
      </c>
      <c r="E211" s="793">
        <v>13186.18</v>
      </c>
      <c r="F211" s="793">
        <v>70000</v>
      </c>
      <c r="G211" s="793">
        <v>10000</v>
      </c>
      <c r="H211">
        <v>14.29</v>
      </c>
      <c r="I211" s="886" t="str">
        <f t="shared" si="12"/>
        <v>55400</v>
      </c>
      <c r="J211" s="886" t="str">
        <f t="shared" si="13"/>
        <v>3</v>
      </c>
      <c r="K211" s="885"/>
      <c r="M211" t="str">
        <f>VLOOKUP(A211,'Datetel Feb 28, 2013'!A:A,1,0)</f>
        <v>100_305200_6730_55400_819</v>
      </c>
      <c r="P211">
        <f>SUMIF('Datetel Feb 28, 2013'!A:A,Sheet2!A211,'Datetel Feb 28, 2013'!F:F)</f>
        <v>70000</v>
      </c>
      <c r="Q211" s="793">
        <f t="shared" si="11"/>
        <v>0</v>
      </c>
    </row>
    <row r="212" spans="1:17" ht="15" x14ac:dyDescent="0.25">
      <c r="A212" t="s">
        <v>35</v>
      </c>
      <c r="B212" t="s">
        <v>919</v>
      </c>
      <c r="C212">
        <v>0</v>
      </c>
      <c r="D212">
        <v>0</v>
      </c>
      <c r="E212">
        <v>0</v>
      </c>
      <c r="F212" s="793">
        <v>3000</v>
      </c>
      <c r="G212" s="793">
        <v>3000</v>
      </c>
      <c r="H212">
        <v>100</v>
      </c>
      <c r="I212" s="886" t="str">
        <f t="shared" si="12"/>
        <v>55900</v>
      </c>
      <c r="J212" s="886" t="str">
        <f t="shared" si="13"/>
        <v>3</v>
      </c>
      <c r="K212" s="885"/>
      <c r="M212" t="str">
        <f>VLOOKUP(A212,'Datetel Feb 28, 2013'!A:A,1,0)</f>
        <v>100_305200_6730_55900_819</v>
      </c>
      <c r="P212">
        <f>SUMIF('Datetel Feb 28, 2013'!A:A,Sheet2!A212,'Datetel Feb 28, 2013'!F:F)</f>
        <v>3000</v>
      </c>
      <c r="Q212" s="793">
        <f t="shared" si="11"/>
        <v>0</v>
      </c>
    </row>
    <row r="213" spans="1:17" ht="15" x14ac:dyDescent="0.25">
      <c r="A213" t="s">
        <v>36</v>
      </c>
      <c r="B213" t="s">
        <v>921</v>
      </c>
      <c r="C213">
        <v>0</v>
      </c>
      <c r="D213">
        <v>0</v>
      </c>
      <c r="E213">
        <v>0</v>
      </c>
      <c r="F213" s="793">
        <v>5200</v>
      </c>
      <c r="G213" s="793">
        <v>5200</v>
      </c>
      <c r="H213">
        <v>100</v>
      </c>
      <c r="I213" s="886" t="str">
        <f t="shared" si="12"/>
        <v>55125</v>
      </c>
      <c r="J213" s="886" t="str">
        <f t="shared" si="13"/>
        <v>3</v>
      </c>
      <c r="K213" s="885"/>
      <c r="M213" t="str">
        <f>VLOOKUP(A213,'Datetel Feb 28, 2013'!A:A,1,0)</f>
        <v>100_305225_6750_55125_819</v>
      </c>
      <c r="P213">
        <f>SUMIF('Datetel Feb 28, 2013'!A:A,Sheet2!A213,'Datetel Feb 28, 2013'!F:F)</f>
        <v>5200</v>
      </c>
      <c r="Q213" s="793">
        <f t="shared" si="11"/>
        <v>0</v>
      </c>
    </row>
    <row r="214" spans="1:17" ht="15" x14ac:dyDescent="0.25">
      <c r="A214" t="s">
        <v>37</v>
      </c>
      <c r="B214" t="s">
        <v>922</v>
      </c>
      <c r="C214">
        <v>0</v>
      </c>
      <c r="D214">
        <v>0</v>
      </c>
      <c r="E214">
        <v>0</v>
      </c>
      <c r="F214" s="793">
        <v>1000</v>
      </c>
      <c r="G214" s="793">
        <v>1000</v>
      </c>
      <c r="H214">
        <v>100</v>
      </c>
      <c r="I214" s="886" t="str">
        <f t="shared" si="12"/>
        <v>52325</v>
      </c>
      <c r="J214" s="886" t="str">
        <f t="shared" si="13"/>
        <v>3</v>
      </c>
      <c r="K214" s="885"/>
      <c r="M214" t="str">
        <f>VLOOKUP(A214,'Datetel Feb 28, 2013'!A:A,1,0)</f>
        <v>100_305226_6700_52325_819</v>
      </c>
      <c r="P214">
        <f>SUMIF('Datetel Feb 28, 2013'!A:A,Sheet2!A214,'Datetel Feb 28, 2013'!F:F)</f>
        <v>1000</v>
      </c>
      <c r="Q214" s="793">
        <f t="shared" si="11"/>
        <v>0</v>
      </c>
    </row>
    <row r="215" spans="1:17" ht="15" x14ac:dyDescent="0.25">
      <c r="A215" t="s">
        <v>40</v>
      </c>
      <c r="B215" t="s">
        <v>923</v>
      </c>
      <c r="C215">
        <v>265</v>
      </c>
      <c r="D215">
        <v>105</v>
      </c>
      <c r="E215">
        <v>935.86</v>
      </c>
      <c r="F215" s="793">
        <v>4000</v>
      </c>
      <c r="G215" s="793">
        <v>2799.14</v>
      </c>
      <c r="H215">
        <v>69.98</v>
      </c>
      <c r="I215" s="886" t="str">
        <f t="shared" si="12"/>
        <v>55125</v>
      </c>
      <c r="J215" s="886" t="str">
        <f t="shared" si="13"/>
        <v>3</v>
      </c>
      <c r="K215" s="885"/>
      <c r="M215" t="str">
        <f>VLOOKUP(A215,'Datetel Feb 28, 2013'!A:A,1,0)</f>
        <v>100_306000_6750_55125_819</v>
      </c>
      <c r="P215">
        <f>SUMIF('Datetel Feb 28, 2013'!A:A,Sheet2!A215,'Datetel Feb 28, 2013'!F:F)</f>
        <v>4000</v>
      </c>
      <c r="Q215" s="793">
        <f t="shared" si="11"/>
        <v>0</v>
      </c>
    </row>
    <row r="216" spans="1:17" ht="15" x14ac:dyDescent="0.25">
      <c r="A216" t="s">
        <v>326</v>
      </c>
      <c r="B216" t="s">
        <v>924</v>
      </c>
      <c r="C216">
        <v>0</v>
      </c>
      <c r="D216">
        <v>0</v>
      </c>
      <c r="E216" s="793">
        <v>17940.150000000001</v>
      </c>
      <c r="F216" s="793">
        <v>17941</v>
      </c>
      <c r="G216">
        <v>0.85</v>
      </c>
      <c r="H216">
        <v>0</v>
      </c>
      <c r="I216" s="886" t="str">
        <f t="shared" si="12"/>
        <v>55160</v>
      </c>
      <c r="J216" s="886" t="str">
        <f t="shared" si="13"/>
        <v>3</v>
      </c>
      <c r="K216" s="885"/>
      <c r="M216" t="str">
        <f>VLOOKUP(A216,'Datetel Feb 28, 2013'!A:A,1,0)</f>
        <v>100_308500_6770_55160_819</v>
      </c>
      <c r="P216">
        <f>SUMIF('Datetel Feb 28, 2013'!A:A,Sheet2!A216,'Datetel Feb 28, 2013'!F:F)</f>
        <v>17941</v>
      </c>
      <c r="Q216" s="793">
        <f t="shared" si="11"/>
        <v>0</v>
      </c>
    </row>
    <row r="217" spans="1:17" ht="15" x14ac:dyDescent="0.25">
      <c r="A217" t="s">
        <v>318</v>
      </c>
      <c r="B217" t="s">
        <v>925</v>
      </c>
      <c r="C217" s="793">
        <v>4472.32</v>
      </c>
      <c r="D217">
        <v>561.96</v>
      </c>
      <c r="E217" s="793">
        <v>6651.55</v>
      </c>
      <c r="F217" s="793">
        <v>11124</v>
      </c>
      <c r="G217">
        <v>0.13</v>
      </c>
      <c r="H217">
        <v>0</v>
      </c>
      <c r="I217" s="886" t="str">
        <f t="shared" si="12"/>
        <v>55160</v>
      </c>
      <c r="J217" s="886" t="str">
        <f t="shared" si="13"/>
        <v>3</v>
      </c>
      <c r="K217" s="885"/>
      <c r="M217" t="str">
        <f>VLOOKUP(A217,'Datetel Feb 28, 2013'!A:A,1,0)</f>
        <v>100_308600_6770_55160_819</v>
      </c>
      <c r="P217">
        <f>SUMIF('Datetel Feb 28, 2013'!A:A,Sheet2!A217,'Datetel Feb 28, 2013'!F:F)</f>
        <v>11124</v>
      </c>
      <c r="Q217" s="793">
        <f t="shared" si="11"/>
        <v>0</v>
      </c>
    </row>
    <row r="218" spans="1:17" ht="15" x14ac:dyDescent="0.25">
      <c r="A218" t="s">
        <v>319</v>
      </c>
      <c r="B218" t="s">
        <v>925</v>
      </c>
      <c r="C218" s="793">
        <v>6578</v>
      </c>
      <c r="D218">
        <v>0</v>
      </c>
      <c r="E218">
        <v>0</v>
      </c>
      <c r="F218" s="793">
        <v>6578</v>
      </c>
      <c r="G218">
        <v>0</v>
      </c>
      <c r="H218">
        <v>0</v>
      </c>
      <c r="I218" s="886" t="str">
        <f t="shared" si="12"/>
        <v>55500</v>
      </c>
      <c r="J218" s="886" t="str">
        <f t="shared" si="13"/>
        <v>3</v>
      </c>
      <c r="K218" s="885"/>
      <c r="M218" t="str">
        <f>VLOOKUP(A218,'Datetel Feb 28, 2013'!A:A,1,0)</f>
        <v>100_308600_6770_55500_819</v>
      </c>
      <c r="P218">
        <f>SUMIF('Datetel Feb 28, 2013'!A:A,Sheet2!A218,'Datetel Feb 28, 2013'!F:F)</f>
        <v>6578</v>
      </c>
      <c r="Q218" s="793">
        <f t="shared" si="11"/>
        <v>0</v>
      </c>
    </row>
    <row r="219" spans="1:17" ht="15" x14ac:dyDescent="0.25">
      <c r="A219" t="s">
        <v>315</v>
      </c>
      <c r="B219" t="s">
        <v>719</v>
      </c>
      <c r="C219">
        <v>380</v>
      </c>
      <c r="D219">
        <v>20</v>
      </c>
      <c r="E219" s="793">
        <v>4346</v>
      </c>
      <c r="F219" s="793">
        <v>7124</v>
      </c>
      <c r="G219" s="793">
        <v>2398</v>
      </c>
      <c r="H219">
        <v>33.659999999999997</v>
      </c>
      <c r="I219" s="886" t="str">
        <f t="shared" si="12"/>
        <v>55120</v>
      </c>
      <c r="J219" s="886" t="str">
        <f t="shared" si="13"/>
        <v>3</v>
      </c>
      <c r="K219" s="885"/>
      <c r="M219" t="str">
        <f>VLOOKUP(A219,'Datetel Feb 28, 2013'!A:A,1,0)</f>
        <v>100_308601_6770_55120_819</v>
      </c>
      <c r="P219">
        <f>SUMIF('Datetel Feb 28, 2013'!A:A,Sheet2!A219,'Datetel Feb 28, 2013'!F:F)</f>
        <v>7124</v>
      </c>
      <c r="Q219" s="793">
        <f t="shared" si="11"/>
        <v>0</v>
      </c>
    </row>
    <row r="220" spans="1:17" ht="15" x14ac:dyDescent="0.25">
      <c r="A220" t="s">
        <v>355</v>
      </c>
      <c r="B220" t="s">
        <v>719</v>
      </c>
      <c r="C220">
        <v>0</v>
      </c>
      <c r="D220">
        <v>0</v>
      </c>
      <c r="E220">
        <v>0</v>
      </c>
      <c r="F220" s="793">
        <v>4590</v>
      </c>
      <c r="G220" s="793">
        <v>4590</v>
      </c>
      <c r="H220">
        <v>100</v>
      </c>
      <c r="I220" s="886" t="str">
        <f t="shared" si="12"/>
        <v>55160</v>
      </c>
      <c r="J220" s="886" t="str">
        <f t="shared" si="13"/>
        <v>3</v>
      </c>
      <c r="K220" s="885"/>
      <c r="M220" t="str">
        <f>VLOOKUP(A220,'Datetel Feb 28, 2013'!A:A,1,0)</f>
        <v>100_308601_6770_55160_819</v>
      </c>
      <c r="P220">
        <f>SUMIF('Datetel Feb 28, 2013'!A:A,Sheet2!A220,'Datetel Feb 28, 2013'!F:F)</f>
        <v>4590</v>
      </c>
      <c r="Q220" s="793">
        <f t="shared" si="11"/>
        <v>0</v>
      </c>
    </row>
    <row r="221" spans="1:17" ht="15" x14ac:dyDescent="0.25">
      <c r="A221" t="s">
        <v>317</v>
      </c>
      <c r="B221" t="s">
        <v>926</v>
      </c>
      <c r="C221">
        <v>0</v>
      </c>
      <c r="D221">
        <v>980.28</v>
      </c>
      <c r="E221" s="793">
        <v>3207.51</v>
      </c>
      <c r="F221" s="793">
        <v>7000</v>
      </c>
      <c r="G221" s="793">
        <v>3792.49</v>
      </c>
      <c r="H221">
        <v>54.18</v>
      </c>
      <c r="I221" s="886" t="str">
        <f t="shared" si="12"/>
        <v>55120</v>
      </c>
      <c r="J221" s="886" t="str">
        <f t="shared" si="13"/>
        <v>3</v>
      </c>
      <c r="K221" s="885"/>
      <c r="M221" t="str">
        <f>VLOOKUP(A221,'Datetel Feb 28, 2013'!A:A,1,0)</f>
        <v>100_308602_6770_55120_819</v>
      </c>
      <c r="P221">
        <f>SUMIF('Datetel Feb 28, 2013'!A:A,Sheet2!A221,'Datetel Feb 28, 2013'!F:F)</f>
        <v>7000</v>
      </c>
      <c r="Q221" s="793">
        <f t="shared" si="11"/>
        <v>0</v>
      </c>
    </row>
    <row r="222" spans="1:17" ht="15" x14ac:dyDescent="0.25">
      <c r="A222" t="s">
        <v>316</v>
      </c>
      <c r="B222" t="s">
        <v>927</v>
      </c>
      <c r="C222" s="793">
        <v>4646.7</v>
      </c>
      <c r="D222">
        <v>307.75</v>
      </c>
      <c r="E222" s="793">
        <v>6870.54</v>
      </c>
      <c r="F222" s="793">
        <v>14759</v>
      </c>
      <c r="G222" s="793">
        <v>3241.76</v>
      </c>
      <c r="H222">
        <v>21.96</v>
      </c>
      <c r="I222" s="886" t="str">
        <f t="shared" si="12"/>
        <v>55120</v>
      </c>
      <c r="J222" s="886" t="str">
        <f t="shared" si="13"/>
        <v>3</v>
      </c>
      <c r="K222" s="885"/>
      <c r="M222" t="str">
        <f>VLOOKUP(A222,'Datetel Feb 28, 2013'!A:A,1,0)</f>
        <v>100_308603_6770_55120_819</v>
      </c>
      <c r="P222">
        <f>SUMIF('Datetel Feb 28, 2013'!A:A,Sheet2!A222,'Datetel Feb 28, 2013'!F:F)</f>
        <v>14759</v>
      </c>
      <c r="Q222" s="793">
        <f t="shared" si="11"/>
        <v>0</v>
      </c>
    </row>
    <row r="223" spans="1:17" ht="15" x14ac:dyDescent="0.25">
      <c r="A223" t="s">
        <v>314</v>
      </c>
      <c r="B223" t="s">
        <v>928</v>
      </c>
      <c r="C223" s="793">
        <v>18038.47</v>
      </c>
      <c r="D223">
        <v>760.5</v>
      </c>
      <c r="E223" s="793">
        <v>19961.53</v>
      </c>
      <c r="F223" s="793">
        <v>38000</v>
      </c>
      <c r="G223">
        <v>0</v>
      </c>
      <c r="H223">
        <v>0</v>
      </c>
      <c r="I223" s="886" t="str">
        <f t="shared" si="12"/>
        <v>55120</v>
      </c>
      <c r="J223" s="886" t="str">
        <f t="shared" si="13"/>
        <v>3</v>
      </c>
      <c r="K223" s="885"/>
      <c r="M223" t="str">
        <f>VLOOKUP(A223,'Datetel Feb 28, 2013'!A:A,1,0)</f>
        <v>100_308604_6770_55120_819</v>
      </c>
      <c r="P223">
        <f>SUMIF('Datetel Feb 28, 2013'!A:A,Sheet2!A223,'Datetel Feb 28, 2013'!F:F)</f>
        <v>38000</v>
      </c>
      <c r="Q223" s="793">
        <f t="shared" si="11"/>
        <v>0</v>
      </c>
    </row>
    <row r="224" spans="1:17" ht="15" x14ac:dyDescent="0.25">
      <c r="A224" t="s">
        <v>146</v>
      </c>
      <c r="B224" t="s">
        <v>929</v>
      </c>
      <c r="C224" s="793">
        <v>1563.12</v>
      </c>
      <c r="D224">
        <v>995.64</v>
      </c>
      <c r="E224" s="793">
        <v>3436.88</v>
      </c>
      <c r="F224" s="793">
        <v>7000</v>
      </c>
      <c r="G224" s="793">
        <v>2000</v>
      </c>
      <c r="H224">
        <v>28.57</v>
      </c>
      <c r="I224" s="886" t="str">
        <f t="shared" si="12"/>
        <v>54215</v>
      </c>
      <c r="J224" s="886" t="str">
        <f t="shared" si="13"/>
        <v>3</v>
      </c>
      <c r="K224" s="885"/>
      <c r="M224" t="str">
        <f>VLOOKUP(A224,'Datetel Feb 28, 2013'!A:A,1,0)</f>
        <v>100_309600_6770_54215_819</v>
      </c>
      <c r="P224">
        <f>SUMIF('Datetel Feb 28, 2013'!A:A,Sheet2!A224,'Datetel Feb 28, 2013'!F:F)</f>
        <v>7000</v>
      </c>
      <c r="Q224" s="793">
        <f t="shared" si="11"/>
        <v>0</v>
      </c>
    </row>
    <row r="225" spans="1:17" ht="15" x14ac:dyDescent="0.25">
      <c r="A225" t="s">
        <v>41</v>
      </c>
      <c r="B225" t="s">
        <v>929</v>
      </c>
      <c r="C225">
        <v>0</v>
      </c>
      <c r="D225" s="793">
        <v>3891.53</v>
      </c>
      <c r="E225" s="793">
        <v>666156.87</v>
      </c>
      <c r="F225" s="793">
        <v>679644</v>
      </c>
      <c r="G225" s="793">
        <v>13487.13</v>
      </c>
      <c r="H225">
        <v>1.98</v>
      </c>
      <c r="I225" s="886" t="str">
        <f t="shared" si="12"/>
        <v>55940</v>
      </c>
      <c r="J225" s="886" t="str">
        <f t="shared" si="13"/>
        <v>3</v>
      </c>
      <c r="K225" s="885"/>
      <c r="M225" t="str">
        <f>VLOOKUP(A225,'Datetel Feb 28, 2013'!A:A,1,0)</f>
        <v>100_309600_6770_55940_819</v>
      </c>
      <c r="P225">
        <f>SUMIF('Datetel Feb 28, 2013'!A:A,Sheet2!A225,'Datetel Feb 28, 2013'!F:F)</f>
        <v>679644</v>
      </c>
      <c r="Q225" s="793">
        <f t="shared" si="11"/>
        <v>0</v>
      </c>
    </row>
    <row r="226" spans="1:17" ht="15" x14ac:dyDescent="0.25">
      <c r="A226" t="s">
        <v>811</v>
      </c>
      <c r="B226" t="s">
        <v>930</v>
      </c>
      <c r="C226" s="793">
        <v>13536.03</v>
      </c>
      <c r="D226" s="793">
        <v>1057.77</v>
      </c>
      <c r="E226" s="793">
        <v>6363.97</v>
      </c>
      <c r="F226" s="793">
        <v>21100</v>
      </c>
      <c r="G226" s="793">
        <v>1200</v>
      </c>
      <c r="H226">
        <v>5.69</v>
      </c>
      <c r="I226" s="886" t="str">
        <f t="shared" si="12"/>
        <v>54210</v>
      </c>
      <c r="J226" s="886" t="str">
        <f t="shared" si="13"/>
        <v>3</v>
      </c>
      <c r="K226" s="885"/>
      <c r="M226" t="str">
        <f>VLOOKUP(A226,'Datetel Feb 28, 2013'!A:A,1,0)</f>
        <v>100_309660_6770_54210_819</v>
      </c>
      <c r="P226">
        <f>SUMIF('Datetel Feb 28, 2013'!A:A,Sheet2!A226,'Datetel Feb 28, 2013'!F:F)</f>
        <v>21100</v>
      </c>
      <c r="Q226" s="793">
        <f t="shared" si="11"/>
        <v>0</v>
      </c>
    </row>
    <row r="227" spans="1:17" s="813" customFormat="1" ht="15" x14ac:dyDescent="0.25">
      <c r="A227" t="s">
        <v>813</v>
      </c>
      <c r="B227" t="s">
        <v>930</v>
      </c>
      <c r="C227" s="793">
        <v>20004.77</v>
      </c>
      <c r="D227" s="793">
        <v>18986.400000000001</v>
      </c>
      <c r="E227" s="793">
        <v>30692.23</v>
      </c>
      <c r="F227" s="793">
        <v>57000</v>
      </c>
      <c r="G227" s="793">
        <v>6303</v>
      </c>
      <c r="H227">
        <v>11.06</v>
      </c>
      <c r="I227" s="886" t="str">
        <f t="shared" si="12"/>
        <v>55160</v>
      </c>
      <c r="J227" s="886" t="str">
        <f t="shared" si="13"/>
        <v>3</v>
      </c>
      <c r="K227" s="889"/>
      <c r="M227" s="813" t="str">
        <f>VLOOKUP(A227,'Datetel Feb 28, 2013'!A:A,1,0)</f>
        <v>100_309660_6770_55160_819</v>
      </c>
      <c r="P227">
        <f>SUMIF('Datetel Feb 28, 2013'!A:A,Sheet2!A227,'Datetel Feb 28, 2013'!F:F)</f>
        <v>57000</v>
      </c>
      <c r="Q227" s="793">
        <f t="shared" si="11"/>
        <v>0</v>
      </c>
    </row>
    <row r="228" spans="1:17" s="813" customFormat="1" ht="15" x14ac:dyDescent="0.25">
      <c r="A228" t="s">
        <v>43</v>
      </c>
      <c r="B228" t="s">
        <v>931</v>
      </c>
      <c r="C228">
        <v>0</v>
      </c>
      <c r="D228">
        <v>0</v>
      </c>
      <c r="E228" s="793">
        <v>55263.55</v>
      </c>
      <c r="F228" s="793">
        <v>55264</v>
      </c>
      <c r="G228">
        <v>0.45</v>
      </c>
      <c r="H228">
        <v>0</v>
      </c>
      <c r="I228" s="886" t="str">
        <f t="shared" si="12"/>
        <v>55500</v>
      </c>
      <c r="J228" s="886" t="str">
        <f t="shared" si="13"/>
        <v>3</v>
      </c>
      <c r="K228" s="889"/>
      <c r="M228" s="813" t="str">
        <f>VLOOKUP(A228,'Datetel Feb 28, 2013'!A:A,1,0)</f>
        <v>100_310700_6750_55500_819</v>
      </c>
      <c r="P228">
        <f>SUMIF('Datetel Feb 28, 2013'!A:A,Sheet2!A228,'Datetel Feb 28, 2013'!F:F)</f>
        <v>55264</v>
      </c>
      <c r="Q228" s="793">
        <f t="shared" si="11"/>
        <v>0</v>
      </c>
    </row>
    <row r="229" spans="1:17" s="813" customFormat="1" ht="15" x14ac:dyDescent="0.25">
      <c r="A229" t="s">
        <v>44</v>
      </c>
      <c r="B229" t="s">
        <v>931</v>
      </c>
      <c r="C229" s="793">
        <v>2751.94</v>
      </c>
      <c r="D229">
        <v>382.55</v>
      </c>
      <c r="E229" s="793">
        <v>18137.63</v>
      </c>
      <c r="F229" s="793">
        <v>51538</v>
      </c>
      <c r="G229" s="793">
        <v>30648.43</v>
      </c>
      <c r="H229">
        <v>59.47</v>
      </c>
      <c r="I229" s="886" t="str">
        <f t="shared" si="12"/>
        <v>54210</v>
      </c>
      <c r="J229" s="886" t="str">
        <f t="shared" si="13"/>
        <v>3</v>
      </c>
      <c r="K229" s="889"/>
      <c r="M229" s="813" t="str">
        <f>VLOOKUP(A229,'Datetel Feb 28, 2013'!A:A,1,0)</f>
        <v>100_310700_6780_54210_819</v>
      </c>
      <c r="P229">
        <f>SUMIF('Datetel Feb 28, 2013'!A:A,Sheet2!A229,'Datetel Feb 28, 2013'!F:F)</f>
        <v>51538</v>
      </c>
      <c r="Q229" s="793">
        <f t="shared" si="11"/>
        <v>0</v>
      </c>
    </row>
    <row r="230" spans="1:17" s="813" customFormat="1" ht="15" x14ac:dyDescent="0.25">
      <c r="A230" t="s">
        <v>45</v>
      </c>
      <c r="B230" t="s">
        <v>931</v>
      </c>
      <c r="C230">
        <v>0</v>
      </c>
      <c r="D230">
        <v>0</v>
      </c>
      <c r="E230" s="793">
        <v>21217.3</v>
      </c>
      <c r="F230" s="793">
        <v>21217</v>
      </c>
      <c r="G230">
        <v>-0.3</v>
      </c>
      <c r="H230">
        <v>0</v>
      </c>
      <c r="I230" s="886" t="str">
        <f t="shared" si="12"/>
        <v>54230</v>
      </c>
      <c r="J230" s="886" t="str">
        <f t="shared" si="13"/>
        <v>3</v>
      </c>
      <c r="K230" s="889"/>
      <c r="M230" s="813" t="str">
        <f>VLOOKUP(A230,'Datetel Feb 28, 2013'!A:A,1,0)</f>
        <v>100_310700_6780_54230_819</v>
      </c>
      <c r="P230">
        <f>SUMIF('Datetel Feb 28, 2013'!A:A,Sheet2!A230,'Datetel Feb 28, 2013'!F:F)</f>
        <v>21217</v>
      </c>
      <c r="Q230" s="793">
        <f t="shared" si="11"/>
        <v>0</v>
      </c>
    </row>
    <row r="231" spans="1:17" s="813" customFormat="1" ht="15" x14ac:dyDescent="0.25">
      <c r="A231" t="s">
        <v>420</v>
      </c>
      <c r="B231" t="s">
        <v>931</v>
      </c>
      <c r="C231" s="793">
        <v>6260.25</v>
      </c>
      <c r="D231" s="793">
        <v>6065.25</v>
      </c>
      <c r="E231" s="793">
        <v>187245.28</v>
      </c>
      <c r="F231" s="793">
        <v>219443</v>
      </c>
      <c r="G231" s="793">
        <v>25937.47</v>
      </c>
      <c r="H231">
        <v>11.82</v>
      </c>
      <c r="I231" s="886" t="str">
        <f t="shared" si="12"/>
        <v>55500</v>
      </c>
      <c r="J231" s="886" t="str">
        <f t="shared" si="13"/>
        <v>3</v>
      </c>
      <c r="K231" s="889"/>
      <c r="M231" s="813" t="str">
        <f>VLOOKUP(A231,'Datetel Feb 28, 2013'!A:A,1,0)</f>
        <v>100_310700_6780_55500_819</v>
      </c>
      <c r="P231">
        <f>SUMIF('Datetel Feb 28, 2013'!A:A,Sheet2!A231,'Datetel Feb 28, 2013'!F:F)</f>
        <v>219443</v>
      </c>
      <c r="Q231" s="793">
        <f t="shared" si="11"/>
        <v>0</v>
      </c>
    </row>
    <row r="232" spans="1:17" s="813" customFormat="1" ht="15" x14ac:dyDescent="0.25">
      <c r="A232" t="s">
        <v>47</v>
      </c>
      <c r="B232" t="s">
        <v>931</v>
      </c>
      <c r="C232">
        <v>52.14</v>
      </c>
      <c r="D232" s="793">
        <v>15775.64</v>
      </c>
      <c r="E232" s="793">
        <v>799558.73</v>
      </c>
      <c r="F232" s="793">
        <v>862996</v>
      </c>
      <c r="G232" s="793">
        <v>63385.13</v>
      </c>
      <c r="H232">
        <v>7.34</v>
      </c>
      <c r="I232" s="886" t="str">
        <f t="shared" si="12"/>
        <v>55510</v>
      </c>
      <c r="J232" s="886" t="str">
        <f t="shared" si="13"/>
        <v>3</v>
      </c>
      <c r="K232" s="889"/>
      <c r="M232" s="813" t="str">
        <f>VLOOKUP(A232,'Datetel Feb 28, 2013'!A:A,1,0)</f>
        <v>100_310700_6780_55510_819</v>
      </c>
      <c r="P232">
        <f>SUMIF('Datetel Feb 28, 2013'!A:A,Sheet2!A232,'Datetel Feb 28, 2013'!F:F)</f>
        <v>862996</v>
      </c>
      <c r="Q232" s="793">
        <f t="shared" si="11"/>
        <v>0</v>
      </c>
    </row>
    <row r="233" spans="1:17" s="813" customFormat="1" ht="15" x14ac:dyDescent="0.25">
      <c r="A233" t="s">
        <v>48</v>
      </c>
      <c r="B233" t="s">
        <v>931</v>
      </c>
      <c r="C233" s="793">
        <v>16585.759999999998</v>
      </c>
      <c r="D233">
        <v>0</v>
      </c>
      <c r="E233" s="793">
        <v>18687.14</v>
      </c>
      <c r="F233" s="793">
        <v>50000</v>
      </c>
      <c r="G233" s="793">
        <v>14727.1</v>
      </c>
      <c r="H233">
        <v>29.45</v>
      </c>
      <c r="I233" s="886" t="str">
        <f t="shared" si="12"/>
        <v>56410</v>
      </c>
      <c r="J233" s="886" t="str">
        <f t="shared" si="13"/>
        <v>3</v>
      </c>
      <c r="K233" s="889"/>
      <c r="M233" s="813" t="str">
        <f>VLOOKUP(A233,'Datetel Feb 28, 2013'!A:A,1,0)</f>
        <v>100_310700_6780_56410_819</v>
      </c>
      <c r="P233">
        <f>SUMIF('Datetel Feb 28, 2013'!A:A,Sheet2!A233,'Datetel Feb 28, 2013'!F:F)</f>
        <v>50000</v>
      </c>
      <c r="Q233" s="793">
        <f t="shared" si="11"/>
        <v>0</v>
      </c>
    </row>
    <row r="234" spans="1:17" s="813" customFormat="1" ht="15" x14ac:dyDescent="0.25">
      <c r="A234" t="s">
        <v>49</v>
      </c>
      <c r="B234" t="s">
        <v>932</v>
      </c>
      <c r="C234">
        <v>0</v>
      </c>
      <c r="D234">
        <v>0</v>
      </c>
      <c r="E234" s="793">
        <v>14519.89</v>
      </c>
      <c r="F234" s="793">
        <v>14521</v>
      </c>
      <c r="G234">
        <v>1.1100000000000001</v>
      </c>
      <c r="H234">
        <v>0.01</v>
      </c>
      <c r="I234" s="886" t="str">
        <f t="shared" si="12"/>
        <v>55510</v>
      </c>
      <c r="J234" s="886" t="str">
        <f t="shared" si="13"/>
        <v>3</v>
      </c>
      <c r="K234" s="889"/>
      <c r="M234" s="813" t="str">
        <f>VLOOKUP(A234,'Datetel Feb 28, 2013'!A:A,1,0)</f>
        <v>100_310710_6780_55510_819</v>
      </c>
      <c r="P234">
        <f>SUMIF('Datetel Feb 28, 2013'!A:A,Sheet2!A234,'Datetel Feb 28, 2013'!F:F)</f>
        <v>14521</v>
      </c>
      <c r="Q234" s="793">
        <f t="shared" si="11"/>
        <v>0</v>
      </c>
    </row>
    <row r="235" spans="1:17" ht="15" x14ac:dyDescent="0.25">
      <c r="A235" t="s">
        <v>50</v>
      </c>
      <c r="B235" t="s">
        <v>729</v>
      </c>
      <c r="C235" s="793">
        <v>60442.66</v>
      </c>
      <c r="D235" s="793">
        <v>10658.97</v>
      </c>
      <c r="E235" s="793">
        <v>94557.34</v>
      </c>
      <c r="F235" s="793">
        <v>157118</v>
      </c>
      <c r="G235" s="793">
        <v>2118</v>
      </c>
      <c r="H235">
        <v>1.35</v>
      </c>
      <c r="I235" s="886" t="str">
        <f t="shared" si="12"/>
        <v>55830</v>
      </c>
      <c r="J235" s="886" t="str">
        <f t="shared" si="13"/>
        <v>3</v>
      </c>
      <c r="M235" s="813" t="str">
        <f>VLOOKUP(A235,'Datetel Feb 28, 2013'!A:A,1,0)</f>
        <v>100_310720_6570_55830_819</v>
      </c>
      <c r="P235">
        <f>SUMIF('Datetel Feb 28, 2013'!A:A,Sheet2!A235,'Datetel Feb 28, 2013'!F:F)</f>
        <v>157118</v>
      </c>
      <c r="Q235" s="793">
        <f t="shared" si="11"/>
        <v>0</v>
      </c>
    </row>
    <row r="236" spans="1:17" ht="15" x14ac:dyDescent="0.25">
      <c r="A236" t="s">
        <v>51</v>
      </c>
      <c r="B236" t="s">
        <v>729</v>
      </c>
      <c r="C236" s="793">
        <v>29948.43</v>
      </c>
      <c r="D236" s="793">
        <v>6679.3</v>
      </c>
      <c r="E236" s="793">
        <v>23644.57</v>
      </c>
      <c r="F236" s="793">
        <v>54361</v>
      </c>
      <c r="G236">
        <v>768</v>
      </c>
      <c r="H236">
        <v>1.41</v>
      </c>
      <c r="I236" s="886" t="str">
        <f t="shared" si="12"/>
        <v>55832</v>
      </c>
      <c r="J236" s="886" t="str">
        <f t="shared" si="13"/>
        <v>3</v>
      </c>
      <c r="M236" s="813" t="str">
        <f>VLOOKUP(A236,'Datetel Feb 28, 2013'!A:A,1,0)</f>
        <v>100_310720_6570_55832_819</v>
      </c>
      <c r="P236">
        <f>SUMIF('Datetel Feb 28, 2013'!A:A,Sheet2!A236,'Datetel Feb 28, 2013'!F:F)</f>
        <v>54361</v>
      </c>
      <c r="Q236" s="793">
        <f t="shared" si="11"/>
        <v>0</v>
      </c>
    </row>
    <row r="237" spans="1:17" ht="15" x14ac:dyDescent="0.25">
      <c r="A237" t="s">
        <v>52</v>
      </c>
      <c r="B237" t="s">
        <v>729</v>
      </c>
      <c r="C237">
        <v>0</v>
      </c>
      <c r="D237">
        <v>0</v>
      </c>
      <c r="E237" s="793">
        <v>3928.5</v>
      </c>
      <c r="F237" s="793">
        <v>3928</v>
      </c>
      <c r="G237">
        <v>-0.5</v>
      </c>
      <c r="H237">
        <v>0</v>
      </c>
      <c r="I237" s="886" t="str">
        <f t="shared" si="12"/>
        <v>55510</v>
      </c>
      <c r="J237" s="886" t="str">
        <f t="shared" si="13"/>
        <v>3</v>
      </c>
      <c r="M237" s="813" t="str">
        <f>VLOOKUP(A237,'Datetel Feb 28, 2013'!A:A,1,0)</f>
        <v>100_310720_6590_55510_819</v>
      </c>
      <c r="P237">
        <f>SUMIF('Datetel Feb 28, 2013'!A:A,Sheet2!A237,'Datetel Feb 28, 2013'!F:F)</f>
        <v>3928</v>
      </c>
      <c r="Q237" s="793">
        <f t="shared" si="11"/>
        <v>0</v>
      </c>
    </row>
    <row r="238" spans="1:17" ht="15" x14ac:dyDescent="0.25">
      <c r="A238" t="s">
        <v>53</v>
      </c>
      <c r="B238" t="s">
        <v>933</v>
      </c>
      <c r="C238" s="793">
        <v>142747.93</v>
      </c>
      <c r="D238" s="793">
        <v>26174.92</v>
      </c>
      <c r="E238" s="793">
        <v>228515.55</v>
      </c>
      <c r="F238" s="793">
        <v>384224</v>
      </c>
      <c r="G238" s="793">
        <v>12960.52</v>
      </c>
      <c r="H238">
        <v>3.37</v>
      </c>
      <c r="I238" s="886" t="str">
        <f t="shared" si="12"/>
        <v>55160</v>
      </c>
      <c r="J238" s="886" t="str">
        <f t="shared" si="13"/>
        <v>3</v>
      </c>
      <c r="M238" s="813" t="str">
        <f>VLOOKUP(A238,'Datetel Feb 28, 2013'!A:A,1,0)</f>
        <v>100_311812_6510_55160_819</v>
      </c>
      <c r="P238">
        <f>SUMIF('Datetel Feb 28, 2013'!A:A,Sheet2!A238,'Datetel Feb 28, 2013'!F:F)</f>
        <v>384224</v>
      </c>
      <c r="Q238" s="793">
        <f t="shared" si="11"/>
        <v>0</v>
      </c>
    </row>
    <row r="239" spans="1:17" ht="15" x14ac:dyDescent="0.25">
      <c r="A239" t="s">
        <v>54</v>
      </c>
      <c r="B239" t="s">
        <v>933</v>
      </c>
      <c r="C239" s="793">
        <v>18474.16</v>
      </c>
      <c r="D239" s="793">
        <v>7099.7</v>
      </c>
      <c r="E239" s="793">
        <v>41525.839999999997</v>
      </c>
      <c r="F239" s="793">
        <v>60000</v>
      </c>
      <c r="G239">
        <v>0</v>
      </c>
      <c r="H239">
        <v>0</v>
      </c>
      <c r="I239" s="886" t="str">
        <f t="shared" si="12"/>
        <v>55810</v>
      </c>
      <c r="J239" s="886" t="str">
        <f t="shared" si="13"/>
        <v>3</v>
      </c>
      <c r="M239" s="813" t="str">
        <f>VLOOKUP(A239,'Datetel Feb 28, 2013'!A:A,1,0)</f>
        <v>100_311812_6510_55810_819</v>
      </c>
      <c r="P239">
        <f>SUMIF('Datetel Feb 28, 2013'!A:A,Sheet2!A239,'Datetel Feb 28, 2013'!F:F)</f>
        <v>60000</v>
      </c>
      <c r="Q239" s="793">
        <f t="shared" si="11"/>
        <v>0</v>
      </c>
    </row>
    <row r="240" spans="1:17" ht="15" x14ac:dyDescent="0.25">
      <c r="A240" t="s">
        <v>56</v>
      </c>
      <c r="B240" t="s">
        <v>934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 s="886" t="str">
        <f t="shared" si="12"/>
        <v>54210</v>
      </c>
      <c r="J240" s="886" t="str">
        <f t="shared" si="13"/>
        <v>3</v>
      </c>
      <c r="M240" s="813" t="str">
        <f>VLOOKUP(A240,'Datetel Feb 28, 2013'!A:A,1,0)</f>
        <v>100_311860_6590_54210_819</v>
      </c>
      <c r="P240">
        <f>SUMIF('Datetel Feb 28, 2013'!A:A,Sheet2!A240,'Datetel Feb 28, 2013'!F:F)</f>
        <v>0</v>
      </c>
      <c r="Q240" s="793">
        <f t="shared" si="11"/>
        <v>0</v>
      </c>
    </row>
    <row r="241" spans="1:17" ht="15" x14ac:dyDescent="0.25">
      <c r="A241" t="s">
        <v>57</v>
      </c>
      <c r="B241" t="s">
        <v>934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 s="886" t="str">
        <f t="shared" si="12"/>
        <v>55160</v>
      </c>
      <c r="J241" s="886" t="str">
        <f t="shared" si="13"/>
        <v>3</v>
      </c>
      <c r="M241" s="813" t="str">
        <f>VLOOKUP(A241,'Datetel Feb 28, 2013'!A:A,1,0)</f>
        <v>100_311860_6590_55160_819</v>
      </c>
      <c r="P241">
        <f>SUMIF('Datetel Feb 28, 2013'!A:A,Sheet2!A241,'Datetel Feb 28, 2013'!F:F)</f>
        <v>0</v>
      </c>
      <c r="Q241" s="793">
        <f t="shared" si="11"/>
        <v>0</v>
      </c>
    </row>
  </sheetData>
  <autoFilter ref="A1:Q241"/>
  <sortState ref="A2:XFD233">
    <sortCondition ref="M2:M233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1"/>
  <sheetViews>
    <sheetView workbookViewId="0">
      <selection activeCell="I36" sqref="I36"/>
    </sheetView>
  </sheetViews>
  <sheetFormatPr defaultRowHeight="12.75" x14ac:dyDescent="0.2"/>
  <cols>
    <col min="1" max="1" width="32.5703125" bestFit="1" customWidth="1"/>
    <col min="2" max="2" width="20.5703125" bestFit="1" customWidth="1"/>
    <col min="3" max="3" width="23.28515625" bestFit="1" customWidth="1"/>
    <col min="4" max="4" width="22" bestFit="1" customWidth="1"/>
    <col min="5" max="6" width="16.5703125" bestFit="1" customWidth="1"/>
    <col min="7" max="8" width="23.28515625" bestFit="1" customWidth="1"/>
    <col min="9" max="9" width="11.28515625" bestFit="1" customWidth="1"/>
  </cols>
  <sheetData>
    <row r="1" spans="1:9" x14ac:dyDescent="0.2">
      <c r="C1" t="s">
        <v>1019</v>
      </c>
      <c r="D1" t="s">
        <v>1020</v>
      </c>
      <c r="E1" t="s">
        <v>1021</v>
      </c>
      <c r="F1" t="s">
        <v>1022</v>
      </c>
    </row>
    <row r="2" spans="1:9" x14ac:dyDescent="0.2">
      <c r="A2" s="927">
        <v>41442</v>
      </c>
      <c r="C2" t="s">
        <v>1023</v>
      </c>
      <c r="D2" t="s">
        <v>1024</v>
      </c>
      <c r="E2" s="928">
        <v>41428</v>
      </c>
      <c r="F2" t="s">
        <v>1025</v>
      </c>
    </row>
    <row r="3" spans="1:9" x14ac:dyDescent="0.2">
      <c r="C3" t="s">
        <v>1026</v>
      </c>
      <c r="D3" t="s">
        <v>1027</v>
      </c>
      <c r="E3" t="s">
        <v>1028</v>
      </c>
    </row>
    <row r="4" spans="1:9" x14ac:dyDescent="0.2">
      <c r="A4" t="s">
        <v>1029</v>
      </c>
      <c r="G4" t="s">
        <v>167</v>
      </c>
      <c r="H4" t="s">
        <v>1030</v>
      </c>
    </row>
    <row r="6" spans="1:9" x14ac:dyDescent="0.2">
      <c r="A6" t="s">
        <v>935</v>
      </c>
      <c r="C6" t="s">
        <v>937</v>
      </c>
      <c r="D6" t="s">
        <v>938</v>
      </c>
      <c r="E6" t="s">
        <v>939</v>
      </c>
      <c r="F6" t="s">
        <v>940</v>
      </c>
      <c r="G6" t="s">
        <v>124</v>
      </c>
      <c r="H6" t="s">
        <v>941</v>
      </c>
    </row>
    <row r="7" spans="1:9" x14ac:dyDescent="0.2">
      <c r="A7" t="s">
        <v>1036</v>
      </c>
      <c r="B7" t="s">
        <v>1031</v>
      </c>
      <c r="C7" t="s">
        <v>1032</v>
      </c>
      <c r="D7" t="s">
        <v>1031</v>
      </c>
      <c r="E7" t="s">
        <v>1033</v>
      </c>
      <c r="F7" t="s">
        <v>1032</v>
      </c>
      <c r="G7" t="s">
        <v>1032</v>
      </c>
      <c r="H7" t="s">
        <v>1034</v>
      </c>
    </row>
    <row r="9" spans="1:9" x14ac:dyDescent="0.2">
      <c r="A9" t="s">
        <v>779</v>
      </c>
      <c r="B9" t="s">
        <v>181</v>
      </c>
      <c r="C9">
        <v>0</v>
      </c>
      <c r="D9" s="793">
        <v>3270</v>
      </c>
      <c r="E9" s="793">
        <v>9000</v>
      </c>
      <c r="F9" s="793">
        <v>6000</v>
      </c>
      <c r="G9" s="793">
        <v>-3000</v>
      </c>
      <c r="H9">
        <v>-49.99</v>
      </c>
      <c r="I9" t="str">
        <f>VLOOKUP(A9,'Datetel Jul 10, 2013'!A:A,1,0)</f>
        <v>100_100100_6090_52350_819</v>
      </c>
    </row>
    <row r="10" spans="1:9" x14ac:dyDescent="0.2">
      <c r="A10" t="s">
        <v>942</v>
      </c>
      <c r="B10" t="s">
        <v>181</v>
      </c>
      <c r="C10">
        <v>0</v>
      </c>
      <c r="D10">
        <v>373.32</v>
      </c>
      <c r="E10" s="793">
        <v>1027.51</v>
      </c>
      <c r="F10">
        <v>685</v>
      </c>
      <c r="G10">
        <v>-342.51</v>
      </c>
      <c r="H10">
        <v>-49.99</v>
      </c>
      <c r="I10" t="str">
        <f>VLOOKUP(A10,'Datetel Jul 10, 2013'!A:A,1,0)</f>
        <v>100_100100_6090_53220_819</v>
      </c>
    </row>
    <row r="11" spans="1:9" x14ac:dyDescent="0.2">
      <c r="A11" t="s">
        <v>943</v>
      </c>
      <c r="B11" t="s">
        <v>181</v>
      </c>
      <c r="C11">
        <v>0</v>
      </c>
      <c r="D11">
        <v>202.74</v>
      </c>
      <c r="E11">
        <v>558</v>
      </c>
      <c r="F11">
        <v>372</v>
      </c>
      <c r="G11">
        <v>-186</v>
      </c>
      <c r="H11">
        <v>-49.99</v>
      </c>
      <c r="I11" t="str">
        <f>VLOOKUP(A11,'Datetel Jul 10, 2013'!A:A,1,0)</f>
        <v>100_100100_6090_53320_819</v>
      </c>
    </row>
    <row r="12" spans="1:9" x14ac:dyDescent="0.2">
      <c r="A12" t="s">
        <v>780</v>
      </c>
      <c r="B12" t="s">
        <v>181</v>
      </c>
      <c r="C12">
        <v>0</v>
      </c>
      <c r="D12">
        <v>47.41</v>
      </c>
      <c r="E12">
        <v>130.5</v>
      </c>
      <c r="F12">
        <v>87</v>
      </c>
      <c r="G12">
        <v>-43.5</v>
      </c>
      <c r="H12">
        <v>-49.99</v>
      </c>
      <c r="I12" t="str">
        <f>VLOOKUP(A12,'Datetel Jul 10, 2013'!A:A,1,0)</f>
        <v>100_100100_6090_53323_819</v>
      </c>
    </row>
    <row r="13" spans="1:9" x14ac:dyDescent="0.2">
      <c r="A13" t="s">
        <v>781</v>
      </c>
      <c r="B13" t="s">
        <v>181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tr">
        <f>VLOOKUP(A13,'Datetel Jul 10, 2013'!A:A,1,0)</f>
        <v>100_100100_6090_53324_819</v>
      </c>
    </row>
    <row r="14" spans="1:9" x14ac:dyDescent="0.2">
      <c r="A14" t="s">
        <v>783</v>
      </c>
      <c r="B14" t="s">
        <v>181</v>
      </c>
      <c r="C14">
        <v>0</v>
      </c>
      <c r="D14">
        <v>35.96</v>
      </c>
      <c r="E14">
        <v>99</v>
      </c>
      <c r="F14">
        <v>66</v>
      </c>
      <c r="G14">
        <v>-33</v>
      </c>
      <c r="H14">
        <v>-49.99</v>
      </c>
      <c r="I14" t="str">
        <f>VLOOKUP(A14,'Datetel Jul 10, 2013'!A:A,1,0)</f>
        <v>100_100100_6090_53520_819</v>
      </c>
    </row>
    <row r="15" spans="1:9" x14ac:dyDescent="0.2">
      <c r="A15" t="s">
        <v>784</v>
      </c>
      <c r="B15" t="s">
        <v>181</v>
      </c>
      <c r="C15">
        <v>0</v>
      </c>
      <c r="D15">
        <v>48.68</v>
      </c>
      <c r="E15">
        <v>133.31</v>
      </c>
      <c r="F15">
        <v>89</v>
      </c>
      <c r="G15">
        <v>-44.31</v>
      </c>
      <c r="H15">
        <v>-49.78</v>
      </c>
      <c r="I15" t="str">
        <f>VLOOKUP(A15,'Datetel Jul 10, 2013'!A:A,1,0)</f>
        <v>100_100100_6090_53620_819</v>
      </c>
    </row>
    <row r="16" spans="1:9" x14ac:dyDescent="0.2">
      <c r="A16" t="s">
        <v>751</v>
      </c>
      <c r="B16" t="s">
        <v>181</v>
      </c>
      <c r="C16">
        <v>0.13</v>
      </c>
      <c r="D16">
        <v>388.7</v>
      </c>
      <c r="E16">
        <v>955.06</v>
      </c>
      <c r="F16" s="793">
        <v>1374</v>
      </c>
      <c r="G16">
        <v>418.81</v>
      </c>
      <c r="H16">
        <v>30.48</v>
      </c>
      <c r="I16" t="str">
        <f>VLOOKUP(A16,'Datetel Jul 10, 2013'!A:A,1,0)</f>
        <v>100_100100_6090_54210_819</v>
      </c>
    </row>
    <row r="17" spans="1:9" x14ac:dyDescent="0.2">
      <c r="A17" t="s">
        <v>738</v>
      </c>
      <c r="B17" t="s">
        <v>181</v>
      </c>
      <c r="C17">
        <v>0</v>
      </c>
      <c r="D17">
        <v>0</v>
      </c>
      <c r="E17" s="793">
        <v>18326</v>
      </c>
      <c r="F17" s="793">
        <v>18940</v>
      </c>
      <c r="G17">
        <v>614</v>
      </c>
      <c r="H17">
        <v>3.24</v>
      </c>
      <c r="I17" t="str">
        <f>VLOOKUP(A17,'Datetel Jul 10, 2013'!A:A,1,0)</f>
        <v>100_100100_6090_55910_819</v>
      </c>
    </row>
    <row r="18" spans="1:9" x14ac:dyDescent="0.2">
      <c r="A18" t="s">
        <v>1037</v>
      </c>
      <c r="B18" t="s">
        <v>181</v>
      </c>
      <c r="C18">
        <v>0</v>
      </c>
      <c r="D18">
        <v>0</v>
      </c>
      <c r="E18" s="793">
        <v>1330.92</v>
      </c>
      <c r="F18" s="793">
        <v>1340</v>
      </c>
      <c r="G18">
        <v>9.08</v>
      </c>
      <c r="H18">
        <v>0.68</v>
      </c>
      <c r="I18" t="str">
        <f>VLOOKUP(A18,'Datetel Jul 10, 2013'!A:A,1,0)</f>
        <v>100_100100_6090_56400_819</v>
      </c>
    </row>
    <row r="19" spans="1:9" x14ac:dyDescent="0.2">
      <c r="A19" t="s">
        <v>184</v>
      </c>
      <c r="B19" t="s">
        <v>441</v>
      </c>
      <c r="C19">
        <v>0</v>
      </c>
      <c r="D19">
        <v>0</v>
      </c>
      <c r="E19" s="793">
        <v>7479</v>
      </c>
      <c r="F19" s="793">
        <v>7479</v>
      </c>
      <c r="G19">
        <v>0</v>
      </c>
      <c r="H19">
        <v>0</v>
      </c>
      <c r="I19" t="str">
        <f>VLOOKUP(A19,'Datetel Jul 10, 2013'!A:A,1,0)</f>
        <v>100_101000_6010_55160_819</v>
      </c>
    </row>
    <row r="20" spans="1:9" x14ac:dyDescent="0.2">
      <c r="A20" t="s">
        <v>760</v>
      </c>
      <c r="B20" t="s">
        <v>817</v>
      </c>
      <c r="C20">
        <v>0</v>
      </c>
      <c r="D20">
        <v>0</v>
      </c>
      <c r="E20" s="793">
        <v>2500</v>
      </c>
      <c r="F20" s="793">
        <v>2500</v>
      </c>
      <c r="G20">
        <v>0</v>
      </c>
      <c r="H20">
        <v>0</v>
      </c>
      <c r="I20" t="str">
        <f>VLOOKUP(A20,'Datetel Jul 10, 2013'!A:A,1,0)</f>
        <v>100_102000_6490_55160_819</v>
      </c>
    </row>
    <row r="21" spans="1:9" x14ac:dyDescent="0.2">
      <c r="A21" t="s">
        <v>765</v>
      </c>
      <c r="B21" t="s">
        <v>815</v>
      </c>
      <c r="C21">
        <v>0</v>
      </c>
      <c r="D21">
        <v>0</v>
      </c>
      <c r="E21">
        <v>0</v>
      </c>
      <c r="F21" s="793">
        <v>26000</v>
      </c>
      <c r="G21" s="793">
        <v>26000</v>
      </c>
      <c r="H21">
        <v>100</v>
      </c>
      <c r="I21" t="str">
        <f>VLOOKUP(A21,'Datetel Jul 10, 2013'!A:A,1,0)</f>
        <v>100_103200_6010_51221_818</v>
      </c>
    </row>
    <row r="22" spans="1:9" x14ac:dyDescent="0.2">
      <c r="A22" t="s">
        <v>185</v>
      </c>
      <c r="B22" t="s">
        <v>236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str">
        <f>VLOOKUP(A22,'Datetel Jul 10, 2013'!A:A,1,0)</f>
        <v>100_103201_6010_55210_819</v>
      </c>
    </row>
    <row r="23" spans="1:9" x14ac:dyDescent="0.2">
      <c r="A23" t="s">
        <v>307</v>
      </c>
      <c r="B23" t="s">
        <v>236</v>
      </c>
      <c r="C23">
        <v>0</v>
      </c>
      <c r="D23">
        <v>0</v>
      </c>
      <c r="E23">
        <v>0</v>
      </c>
      <c r="F23" s="793">
        <v>13746</v>
      </c>
      <c r="G23" s="793">
        <v>13746</v>
      </c>
      <c r="H23">
        <v>100</v>
      </c>
      <c r="I23" t="str">
        <f>VLOOKUP(A23,'Datetel Jul 10, 2013'!A:A,1,0)</f>
        <v>100_103201_6010_55220_819</v>
      </c>
    </row>
    <row r="24" spans="1:9" x14ac:dyDescent="0.2">
      <c r="A24" t="s">
        <v>381</v>
      </c>
      <c r="B24" t="s">
        <v>818</v>
      </c>
      <c r="C24">
        <v>0</v>
      </c>
      <c r="D24" s="793">
        <v>468710</v>
      </c>
      <c r="E24" s="793">
        <v>468710</v>
      </c>
      <c r="F24" s="793">
        <v>468710</v>
      </c>
      <c r="G24">
        <v>0</v>
      </c>
      <c r="H24">
        <v>0</v>
      </c>
      <c r="I24" t="str">
        <f>VLOOKUP(A24,'Datetel Jul 10, 2013'!A:A,1,0)</f>
        <v>100_103203_7310_57300_819</v>
      </c>
    </row>
    <row r="25" spans="1:9" x14ac:dyDescent="0.2">
      <c r="A25" t="s">
        <v>382</v>
      </c>
      <c r="B25" t="s">
        <v>819</v>
      </c>
      <c r="C25">
        <v>0</v>
      </c>
      <c r="D25">
        <v>0</v>
      </c>
      <c r="E25">
        <v>0</v>
      </c>
      <c r="F25" s="793">
        <v>89345</v>
      </c>
      <c r="G25" s="793">
        <v>89345</v>
      </c>
      <c r="H25">
        <v>100</v>
      </c>
      <c r="I25" t="str">
        <f>VLOOKUP(A25,'Datetel Jul 10, 2013'!A:A,1,0)</f>
        <v>100_103204_7310_57300_819</v>
      </c>
    </row>
    <row r="26" spans="1:9" x14ac:dyDescent="0.2">
      <c r="A26" t="s">
        <v>739</v>
      </c>
      <c r="B26" t="s">
        <v>820</v>
      </c>
      <c r="C26">
        <v>0</v>
      </c>
      <c r="D26">
        <v>0</v>
      </c>
      <c r="E26" s="793">
        <v>6255</v>
      </c>
      <c r="F26" s="793">
        <v>6500</v>
      </c>
      <c r="G26">
        <v>245</v>
      </c>
      <c r="H26">
        <v>3.77</v>
      </c>
      <c r="I26" t="str">
        <f>VLOOKUP(A26,'Datetel Jul 10, 2013'!A:A,1,0)</f>
        <v>100_103206_6150_55500_819</v>
      </c>
    </row>
    <row r="27" spans="1:9" x14ac:dyDescent="0.2">
      <c r="A27" t="s">
        <v>379</v>
      </c>
      <c r="B27" t="s">
        <v>821</v>
      </c>
      <c r="C27">
        <v>0</v>
      </c>
      <c r="D27">
        <v>0</v>
      </c>
      <c r="E27" s="793">
        <v>97822.63</v>
      </c>
      <c r="F27" s="793">
        <v>97823</v>
      </c>
      <c r="G27">
        <v>0.37</v>
      </c>
      <c r="H27">
        <v>0</v>
      </c>
      <c r="I27" t="str">
        <f>VLOOKUP(A27,'Datetel Jul 10, 2013'!A:A,1,0)</f>
        <v>100_103207_6150_55500_819</v>
      </c>
    </row>
    <row r="28" spans="1:9" x14ac:dyDescent="0.2">
      <c r="A28" t="s">
        <v>380</v>
      </c>
      <c r="B28" t="s">
        <v>822</v>
      </c>
      <c r="C28">
        <v>0</v>
      </c>
      <c r="D28">
        <v>0</v>
      </c>
      <c r="E28" s="793">
        <v>15614</v>
      </c>
      <c r="F28" s="793">
        <v>15609</v>
      </c>
      <c r="G28">
        <v>-5</v>
      </c>
      <c r="H28">
        <v>-0.02</v>
      </c>
      <c r="I28" t="str">
        <f>VLOOKUP(A28,'Datetel Jul 10, 2013'!A:A,1,0)</f>
        <v>100_103208_6150_55500_819</v>
      </c>
    </row>
    <row r="29" spans="1:9" x14ac:dyDescent="0.2">
      <c r="A29" t="s">
        <v>404</v>
      </c>
      <c r="B29" t="s">
        <v>823</v>
      </c>
      <c r="C29">
        <v>0</v>
      </c>
      <c r="D29" s="793">
        <v>9950</v>
      </c>
      <c r="E29" s="793">
        <v>18110</v>
      </c>
      <c r="F29" s="793">
        <v>19057</v>
      </c>
      <c r="G29">
        <v>947</v>
      </c>
      <c r="H29">
        <v>4.97</v>
      </c>
      <c r="I29" t="str">
        <f>VLOOKUP(A29,'Datetel Jul 10, 2013'!A:A,1,0)</f>
        <v>100_103209_6010_55500_819</v>
      </c>
    </row>
    <row r="30" spans="1:9" x14ac:dyDescent="0.2">
      <c r="A30" t="s">
        <v>186</v>
      </c>
      <c r="B30" t="s">
        <v>824</v>
      </c>
      <c r="C30">
        <v>0</v>
      </c>
      <c r="D30">
        <v>0</v>
      </c>
      <c r="E30" s="793">
        <v>27500</v>
      </c>
      <c r="F30" s="793">
        <v>27500</v>
      </c>
      <c r="G30">
        <v>0</v>
      </c>
      <c r="H30">
        <v>0</v>
      </c>
      <c r="I30" t="str">
        <f>VLOOKUP(A30,'Datetel Jul 10, 2013'!A:A,1,0)</f>
        <v>100_103251_4900_51310_819</v>
      </c>
    </row>
    <row r="31" spans="1:9" x14ac:dyDescent="0.2">
      <c r="A31" t="s">
        <v>467</v>
      </c>
      <c r="B31" t="s">
        <v>825</v>
      </c>
      <c r="C31">
        <v>0</v>
      </c>
      <c r="D31">
        <v>0</v>
      </c>
      <c r="E31">
        <v>235</v>
      </c>
      <c r="F31">
        <v>800</v>
      </c>
      <c r="G31">
        <v>565</v>
      </c>
      <c r="H31">
        <v>70.63</v>
      </c>
      <c r="I31" t="str">
        <f>VLOOKUP(A31,'Datetel Jul 10, 2013'!A:A,1,0)</f>
        <v>100_106100_6120_55210_819</v>
      </c>
    </row>
    <row r="32" spans="1:9" x14ac:dyDescent="0.2">
      <c r="A32" t="s">
        <v>468</v>
      </c>
      <c r="B32" t="s">
        <v>826</v>
      </c>
      <c r="C32">
        <v>0</v>
      </c>
      <c r="D32">
        <v>0</v>
      </c>
      <c r="E32">
        <v>90.18</v>
      </c>
      <c r="F32" s="793">
        <v>1040</v>
      </c>
      <c r="G32">
        <v>949.82</v>
      </c>
      <c r="H32">
        <v>91.33</v>
      </c>
      <c r="I32" t="str">
        <f>VLOOKUP(A32,'Datetel Jul 10, 2013'!A:A,1,0)</f>
        <v>100_106100_6120_55220_819</v>
      </c>
    </row>
    <row r="33" spans="1:9" x14ac:dyDescent="0.2">
      <c r="A33" t="s">
        <v>274</v>
      </c>
      <c r="B33" t="s">
        <v>827</v>
      </c>
      <c r="C33">
        <v>830.44</v>
      </c>
      <c r="D33">
        <v>392.33</v>
      </c>
      <c r="E33" s="793">
        <v>44179.56</v>
      </c>
      <c r="F33" s="793">
        <v>45032</v>
      </c>
      <c r="G33">
        <v>22</v>
      </c>
      <c r="H33">
        <v>0.05</v>
      </c>
      <c r="I33" t="str">
        <f>VLOOKUP(A33,'Datetel Jul 10, 2013'!A:A,1,0)</f>
        <v>100_106100_6120_55510_819</v>
      </c>
    </row>
    <row r="34" spans="1:9" x14ac:dyDescent="0.2">
      <c r="A34" t="s">
        <v>470</v>
      </c>
      <c r="B34" t="s">
        <v>828</v>
      </c>
      <c r="C34">
        <v>0</v>
      </c>
      <c r="D34">
        <v>0</v>
      </c>
      <c r="E34">
        <v>0</v>
      </c>
      <c r="F34">
        <v>360</v>
      </c>
      <c r="G34">
        <v>360</v>
      </c>
      <c r="H34">
        <v>100</v>
      </c>
      <c r="I34" t="str">
        <f>VLOOKUP(A34,'Datetel Jul 10, 2013'!A:A,1,0)</f>
        <v>100_107100_0700_55210_819</v>
      </c>
    </row>
    <row r="35" spans="1:9" x14ac:dyDescent="0.2">
      <c r="A35" t="s">
        <v>473</v>
      </c>
      <c r="B35" t="s">
        <v>828</v>
      </c>
      <c r="C35">
        <v>0</v>
      </c>
      <c r="D35">
        <v>0</v>
      </c>
      <c r="E35">
        <v>0</v>
      </c>
      <c r="F35" s="793">
        <v>2995</v>
      </c>
      <c r="G35" s="793">
        <v>2995</v>
      </c>
      <c r="H35">
        <v>100</v>
      </c>
      <c r="I35" t="str">
        <f>VLOOKUP(A35,'Datetel Jul 10, 2013'!A:A,1,0)</f>
        <v>100_107100_0700_55220_819</v>
      </c>
    </row>
    <row r="36" spans="1:9" x14ac:dyDescent="0.2">
      <c r="A36" t="s">
        <v>789</v>
      </c>
      <c r="B36" t="s">
        <v>829</v>
      </c>
      <c r="C36">
        <v>0</v>
      </c>
      <c r="D36">
        <v>0</v>
      </c>
      <c r="E36">
        <v>0</v>
      </c>
      <c r="F36">
        <v>400</v>
      </c>
      <c r="G36">
        <v>400</v>
      </c>
      <c r="H36">
        <v>100</v>
      </c>
      <c r="I36" t="str">
        <f>VLOOKUP(A36,'Datetel Jul 10, 2013'!A:A,1,0)</f>
        <v>100_111004_2100_55210_819</v>
      </c>
    </row>
    <row r="37" spans="1:9" x14ac:dyDescent="0.2">
      <c r="A37" t="s">
        <v>791</v>
      </c>
      <c r="B37" t="s">
        <v>829</v>
      </c>
      <c r="C37">
        <v>0</v>
      </c>
      <c r="D37">
        <v>0</v>
      </c>
      <c r="E37">
        <v>460</v>
      </c>
      <c r="F37">
        <v>709</v>
      </c>
      <c r="G37">
        <v>249</v>
      </c>
      <c r="H37">
        <v>35.119999999999997</v>
      </c>
      <c r="I37" t="str">
        <f>VLOOKUP(A37,'Datetel Jul 10, 2013'!A:A,1,0)</f>
        <v>100_111004_2100_55220_819</v>
      </c>
    </row>
    <row r="38" spans="1:9" x14ac:dyDescent="0.2">
      <c r="A38" t="s">
        <v>474</v>
      </c>
      <c r="B38" t="s">
        <v>830</v>
      </c>
      <c r="C38">
        <v>0</v>
      </c>
      <c r="D38">
        <v>0</v>
      </c>
      <c r="E38">
        <v>0</v>
      </c>
      <c r="F38">
        <v>200</v>
      </c>
      <c r="G38">
        <v>200</v>
      </c>
      <c r="H38">
        <v>100</v>
      </c>
      <c r="I38" t="str">
        <f>VLOOKUP(A38,'Datetel Jul 10, 2013'!A:A,1,0)</f>
        <v>100_111100_0200_55210_819</v>
      </c>
    </row>
    <row r="39" spans="1:9" x14ac:dyDescent="0.2">
      <c r="A39" t="s">
        <v>477</v>
      </c>
      <c r="B39" t="s">
        <v>830</v>
      </c>
      <c r="C39">
        <v>0</v>
      </c>
      <c r="D39">
        <v>0</v>
      </c>
      <c r="E39">
        <v>0</v>
      </c>
      <c r="F39">
        <v>400</v>
      </c>
      <c r="G39">
        <v>400</v>
      </c>
      <c r="H39">
        <v>100</v>
      </c>
      <c r="I39" t="str">
        <f>VLOOKUP(A39,'Datetel Jul 10, 2013'!A:A,1,0)</f>
        <v>100_111100_0200_55220_819</v>
      </c>
    </row>
    <row r="40" spans="1:9" x14ac:dyDescent="0.2">
      <c r="A40" t="s">
        <v>478</v>
      </c>
      <c r="B40" t="s">
        <v>831</v>
      </c>
      <c r="C40">
        <v>0</v>
      </c>
      <c r="D40">
        <v>0</v>
      </c>
      <c r="E40">
        <v>160</v>
      </c>
      <c r="F40">
        <v>600</v>
      </c>
      <c r="G40">
        <v>440</v>
      </c>
      <c r="H40">
        <v>73.33</v>
      </c>
      <c r="I40" t="str">
        <f>VLOOKUP(A40,'Datetel Jul 10, 2013'!A:A,1,0)</f>
        <v>100_111200_1300_55210_819</v>
      </c>
    </row>
    <row r="41" spans="1:9" x14ac:dyDescent="0.2">
      <c r="A41" t="s">
        <v>480</v>
      </c>
      <c r="B41" t="s">
        <v>831</v>
      </c>
      <c r="C41">
        <v>0</v>
      </c>
      <c r="D41">
        <v>0</v>
      </c>
      <c r="E41">
        <v>0</v>
      </c>
      <c r="F41" s="793">
        <v>2836</v>
      </c>
      <c r="G41" s="793">
        <v>2836</v>
      </c>
      <c r="H41">
        <v>100</v>
      </c>
      <c r="I41" t="str">
        <f>VLOOKUP(A41,'Datetel Jul 10, 2013'!A:A,1,0)</f>
        <v>100_111200_1300_55220_819</v>
      </c>
    </row>
    <row r="42" spans="1:9" x14ac:dyDescent="0.2">
      <c r="A42" t="s">
        <v>481</v>
      </c>
      <c r="B42" t="s">
        <v>832</v>
      </c>
      <c r="C42">
        <v>0</v>
      </c>
      <c r="D42">
        <v>0</v>
      </c>
      <c r="E42">
        <v>0</v>
      </c>
      <c r="F42">
        <v>200</v>
      </c>
      <c r="G42">
        <v>200</v>
      </c>
      <c r="H42">
        <v>100</v>
      </c>
      <c r="I42" t="str">
        <f>VLOOKUP(A42,'Datetel Jul 10, 2013'!A:A,1,0)</f>
        <v>100_111400_0900_55210_819</v>
      </c>
    </row>
    <row r="43" spans="1:9" x14ac:dyDescent="0.2">
      <c r="A43" t="s">
        <v>483</v>
      </c>
      <c r="B43" t="s">
        <v>832</v>
      </c>
      <c r="C43">
        <v>0</v>
      </c>
      <c r="D43">
        <v>0</v>
      </c>
      <c r="E43">
        <v>0</v>
      </c>
      <c r="F43" s="793">
        <v>1452</v>
      </c>
      <c r="G43" s="793">
        <v>1452</v>
      </c>
      <c r="H43">
        <v>100</v>
      </c>
      <c r="I43" t="str">
        <f>VLOOKUP(A43,'Datetel Jul 10, 2013'!A:A,1,0)</f>
        <v>100_111400_0900_55220_819</v>
      </c>
    </row>
    <row r="44" spans="1:9" x14ac:dyDescent="0.2">
      <c r="A44" t="s">
        <v>484</v>
      </c>
      <c r="B44" t="s">
        <v>485</v>
      </c>
      <c r="C44">
        <v>0</v>
      </c>
      <c r="D44">
        <v>144</v>
      </c>
      <c r="E44">
        <v>599.79999999999995</v>
      </c>
      <c r="F44">
        <v>600</v>
      </c>
      <c r="G44">
        <v>0.2</v>
      </c>
      <c r="H44">
        <v>0.03</v>
      </c>
      <c r="I44" t="str">
        <f>VLOOKUP(A44,'Datetel Jul 10, 2013'!A:A,1,0)</f>
        <v>100_111500_1300_55210_819</v>
      </c>
    </row>
    <row r="45" spans="1:9" x14ac:dyDescent="0.2">
      <c r="A45" t="s">
        <v>487</v>
      </c>
      <c r="B45" t="s">
        <v>833</v>
      </c>
      <c r="C45">
        <v>0</v>
      </c>
      <c r="D45">
        <v>0</v>
      </c>
      <c r="E45">
        <v>0</v>
      </c>
      <c r="F45">
        <v>400</v>
      </c>
      <c r="G45">
        <v>400</v>
      </c>
      <c r="H45">
        <v>100</v>
      </c>
      <c r="I45" t="str">
        <f>VLOOKUP(A45,'Datetel Jul 10, 2013'!A:A,1,0)</f>
        <v>100_111600_1200_55210_819</v>
      </c>
    </row>
    <row r="46" spans="1:9" x14ac:dyDescent="0.2">
      <c r="A46" t="s">
        <v>489</v>
      </c>
      <c r="B46" t="s">
        <v>833</v>
      </c>
      <c r="C46">
        <v>0</v>
      </c>
      <c r="D46">
        <v>0</v>
      </c>
      <c r="E46">
        <v>0</v>
      </c>
      <c r="F46" s="793">
        <v>3000</v>
      </c>
      <c r="G46" s="793">
        <v>3000</v>
      </c>
      <c r="H46">
        <v>100</v>
      </c>
      <c r="I46" t="str">
        <f>VLOOKUP(A46,'Datetel Jul 10, 2013'!A:A,1,0)</f>
        <v>100_111600_1200_55220_819</v>
      </c>
    </row>
    <row r="47" spans="1:9" x14ac:dyDescent="0.2">
      <c r="A47" t="s">
        <v>490</v>
      </c>
      <c r="B47" t="s">
        <v>834</v>
      </c>
      <c r="C47">
        <v>0</v>
      </c>
      <c r="D47">
        <v>0</v>
      </c>
      <c r="E47">
        <v>0</v>
      </c>
      <c r="F47">
        <v>800</v>
      </c>
      <c r="G47">
        <v>800</v>
      </c>
      <c r="H47">
        <v>100</v>
      </c>
      <c r="I47" t="str">
        <f>VLOOKUP(A47,'Datetel Jul 10, 2013'!A:A,1,0)</f>
        <v>100_111700_1300_55210_819</v>
      </c>
    </row>
    <row r="48" spans="1:9" x14ac:dyDescent="0.2">
      <c r="A48" t="s">
        <v>492</v>
      </c>
      <c r="B48" t="s">
        <v>834</v>
      </c>
      <c r="C48">
        <v>0</v>
      </c>
      <c r="D48">
        <v>0</v>
      </c>
      <c r="E48">
        <v>0</v>
      </c>
      <c r="F48" s="793">
        <v>1994</v>
      </c>
      <c r="G48" s="793">
        <v>1994</v>
      </c>
      <c r="H48">
        <v>100</v>
      </c>
      <c r="I48" t="str">
        <f>VLOOKUP(A48,'Datetel Jul 10, 2013'!A:A,1,0)</f>
        <v>100_111700_1300_55220_819</v>
      </c>
    </row>
    <row r="49" spans="1:9" x14ac:dyDescent="0.2">
      <c r="A49" t="s">
        <v>493</v>
      </c>
      <c r="B49" t="s">
        <v>835</v>
      </c>
      <c r="C49">
        <v>0</v>
      </c>
      <c r="D49">
        <v>0</v>
      </c>
      <c r="E49">
        <v>0</v>
      </c>
      <c r="F49">
        <v>400</v>
      </c>
      <c r="G49">
        <v>400</v>
      </c>
      <c r="H49">
        <v>100</v>
      </c>
      <c r="I49" t="str">
        <f>VLOOKUP(A49,'Datetel Jul 10, 2013'!A:A,1,0)</f>
        <v>100_111800_1400_55210_819</v>
      </c>
    </row>
    <row r="50" spans="1:9" x14ac:dyDescent="0.2">
      <c r="A50" t="s">
        <v>495</v>
      </c>
      <c r="B50" t="s">
        <v>836</v>
      </c>
      <c r="C50">
        <v>0</v>
      </c>
      <c r="D50">
        <v>0</v>
      </c>
      <c r="E50">
        <v>0</v>
      </c>
      <c r="F50" s="793">
        <v>1800</v>
      </c>
      <c r="G50" s="793">
        <v>1800</v>
      </c>
      <c r="H50">
        <v>100</v>
      </c>
      <c r="I50" t="str">
        <f>VLOOKUP(A50,'Datetel Jul 10, 2013'!A:A,1,0)</f>
        <v>100_111800_1400_55220_819</v>
      </c>
    </row>
    <row r="51" spans="1:9" x14ac:dyDescent="0.2">
      <c r="A51" t="s">
        <v>496</v>
      </c>
      <c r="B51" t="s">
        <v>837</v>
      </c>
      <c r="C51">
        <v>0</v>
      </c>
      <c r="D51">
        <v>0</v>
      </c>
      <c r="E51">
        <v>0</v>
      </c>
      <c r="F51">
        <v>400</v>
      </c>
      <c r="G51">
        <v>400</v>
      </c>
      <c r="H51">
        <v>100</v>
      </c>
      <c r="I51" t="str">
        <f>VLOOKUP(A51,'Datetel Jul 10, 2013'!A:A,1,0)</f>
        <v>100_111900_2100_55210_819</v>
      </c>
    </row>
    <row r="52" spans="1:9" x14ac:dyDescent="0.2">
      <c r="A52" t="s">
        <v>498</v>
      </c>
      <c r="B52" t="s">
        <v>838</v>
      </c>
      <c r="C52">
        <v>0</v>
      </c>
      <c r="D52">
        <v>0</v>
      </c>
      <c r="E52">
        <v>470.31</v>
      </c>
      <c r="F52" s="793">
        <v>1192</v>
      </c>
      <c r="G52">
        <v>721.69</v>
      </c>
      <c r="H52">
        <v>60.54</v>
      </c>
      <c r="I52" t="str">
        <f>VLOOKUP(A52,'Datetel Jul 10, 2013'!A:A,1,0)</f>
        <v>100_111900_2100_55220_819</v>
      </c>
    </row>
    <row r="53" spans="1:9" x14ac:dyDescent="0.2">
      <c r="A53" t="s">
        <v>499</v>
      </c>
      <c r="B53" t="s">
        <v>839</v>
      </c>
      <c r="C53">
        <v>0</v>
      </c>
      <c r="D53">
        <v>0</v>
      </c>
      <c r="E53">
        <v>0</v>
      </c>
      <c r="F53">
        <v>200</v>
      </c>
      <c r="G53">
        <v>200</v>
      </c>
      <c r="H53">
        <v>100</v>
      </c>
      <c r="I53" t="str">
        <f>VLOOKUP(A53,'Datetel Jul 10, 2013'!A:A,1,0)</f>
        <v>100_112002_6010_55220_819</v>
      </c>
    </row>
    <row r="54" spans="1:9" x14ac:dyDescent="0.2">
      <c r="A54" t="s">
        <v>502</v>
      </c>
      <c r="B54" t="s">
        <v>840</v>
      </c>
      <c r="C54">
        <v>0</v>
      </c>
      <c r="D54">
        <v>0</v>
      </c>
      <c r="E54">
        <v>0</v>
      </c>
      <c r="F54">
        <v>400</v>
      </c>
      <c r="G54">
        <v>400</v>
      </c>
      <c r="H54">
        <v>100</v>
      </c>
      <c r="I54" t="str">
        <f>VLOOKUP(A54,'Datetel Jul 10, 2013'!A:A,1,0)</f>
        <v>100_112100_0500_55210_819</v>
      </c>
    </row>
    <row r="55" spans="1:9" x14ac:dyDescent="0.2">
      <c r="A55" t="s">
        <v>504</v>
      </c>
      <c r="B55" t="s">
        <v>841</v>
      </c>
      <c r="C55">
        <v>0</v>
      </c>
      <c r="D55">
        <v>0</v>
      </c>
      <c r="E55">
        <v>0</v>
      </c>
      <c r="F55" s="793">
        <v>3000</v>
      </c>
      <c r="G55" s="793">
        <v>3000</v>
      </c>
      <c r="H55">
        <v>100</v>
      </c>
      <c r="I55" t="str">
        <f>VLOOKUP(A55,'Datetel Jul 10, 2013'!A:A,1,0)</f>
        <v>100_112100_0500_55220_819</v>
      </c>
    </row>
    <row r="56" spans="1:9" x14ac:dyDescent="0.2">
      <c r="A56" t="s">
        <v>505</v>
      </c>
      <c r="B56" t="s">
        <v>842</v>
      </c>
      <c r="C56">
        <v>0</v>
      </c>
      <c r="D56">
        <v>0</v>
      </c>
      <c r="E56">
        <v>0</v>
      </c>
      <c r="F56">
        <v>600</v>
      </c>
      <c r="G56">
        <v>600</v>
      </c>
      <c r="H56">
        <v>100</v>
      </c>
      <c r="I56" t="str">
        <f>VLOOKUP(A56,'Datetel Jul 10, 2013'!A:A,1,0)</f>
        <v>100_112200_0500_55210_819</v>
      </c>
    </row>
    <row r="57" spans="1:9" x14ac:dyDescent="0.2">
      <c r="A57" t="s">
        <v>507</v>
      </c>
      <c r="B57" t="s">
        <v>842</v>
      </c>
      <c r="C57">
        <v>0</v>
      </c>
      <c r="D57">
        <v>0</v>
      </c>
      <c r="E57">
        <v>0</v>
      </c>
      <c r="F57" s="793">
        <v>4008</v>
      </c>
      <c r="G57" s="793">
        <v>4008</v>
      </c>
      <c r="H57">
        <v>100</v>
      </c>
      <c r="I57" t="str">
        <f>VLOOKUP(A57,'Datetel Jul 10, 2013'!A:A,1,0)</f>
        <v>100_112200_0500_55220_819</v>
      </c>
    </row>
    <row r="58" spans="1:9" x14ac:dyDescent="0.2">
      <c r="A58" t="s">
        <v>508</v>
      </c>
      <c r="B58" t="s">
        <v>843</v>
      </c>
      <c r="C58">
        <v>0</v>
      </c>
      <c r="D58">
        <v>0</v>
      </c>
      <c r="E58">
        <v>0</v>
      </c>
      <c r="F58">
        <v>200</v>
      </c>
      <c r="G58">
        <v>200</v>
      </c>
      <c r="H58">
        <v>100</v>
      </c>
      <c r="I58" t="str">
        <f>VLOOKUP(A58,'Datetel Jul 10, 2013'!A:A,1,0)</f>
        <v>100_112300_0700_55210_819</v>
      </c>
    </row>
    <row r="59" spans="1:9" x14ac:dyDescent="0.2">
      <c r="A59" t="s">
        <v>510</v>
      </c>
      <c r="B59" t="s">
        <v>843</v>
      </c>
      <c r="C59">
        <v>0</v>
      </c>
      <c r="D59">
        <v>0</v>
      </c>
      <c r="E59">
        <v>0</v>
      </c>
      <c r="F59" s="793">
        <v>1800</v>
      </c>
      <c r="G59" s="793">
        <v>1800</v>
      </c>
      <c r="H59">
        <v>100</v>
      </c>
      <c r="I59" t="str">
        <f>VLOOKUP(A59,'Datetel Jul 10, 2013'!A:A,1,0)</f>
        <v>100_112300_0700_55220_819</v>
      </c>
    </row>
    <row r="60" spans="1:9" x14ac:dyDescent="0.2">
      <c r="A60" t="s">
        <v>511</v>
      </c>
      <c r="B60" t="s">
        <v>844</v>
      </c>
      <c r="C60">
        <v>0</v>
      </c>
      <c r="D60">
        <v>0</v>
      </c>
      <c r="E60">
        <v>0</v>
      </c>
      <c r="F60">
        <v>400</v>
      </c>
      <c r="G60">
        <v>400</v>
      </c>
      <c r="H60">
        <v>100</v>
      </c>
      <c r="I60" t="str">
        <f>VLOOKUP(A60,'Datetel Jul 10, 2013'!A:A,1,0)</f>
        <v>100_112400_0700_55210_819</v>
      </c>
    </row>
    <row r="61" spans="1:9" x14ac:dyDescent="0.2">
      <c r="A61" t="s">
        <v>513</v>
      </c>
      <c r="B61" t="s">
        <v>845</v>
      </c>
      <c r="C61">
        <v>0</v>
      </c>
      <c r="D61">
        <v>0</v>
      </c>
      <c r="E61">
        <v>0</v>
      </c>
      <c r="F61" s="793">
        <v>3200</v>
      </c>
      <c r="G61" s="793">
        <v>3200</v>
      </c>
      <c r="H61">
        <v>100</v>
      </c>
      <c r="I61" t="str">
        <f>VLOOKUP(A61,'Datetel Jul 10, 2013'!A:A,1,0)</f>
        <v>100_112400_0700_55220_819</v>
      </c>
    </row>
    <row r="62" spans="1:9" x14ac:dyDescent="0.2">
      <c r="A62" t="s">
        <v>514</v>
      </c>
      <c r="B62" t="s">
        <v>846</v>
      </c>
      <c r="C62">
        <v>0</v>
      </c>
      <c r="D62">
        <v>0</v>
      </c>
      <c r="E62">
        <v>200</v>
      </c>
      <c r="F62">
        <v>200</v>
      </c>
      <c r="G62">
        <v>0</v>
      </c>
      <c r="H62">
        <v>0</v>
      </c>
      <c r="I62" t="str">
        <f>VLOOKUP(A62,'Datetel Jul 10, 2013'!A:A,1,0)</f>
        <v>100_112500_0500_55210_819</v>
      </c>
    </row>
    <row r="63" spans="1:9" x14ac:dyDescent="0.2">
      <c r="A63" t="s">
        <v>516</v>
      </c>
      <c r="B63" t="s">
        <v>846</v>
      </c>
      <c r="C63">
        <v>0</v>
      </c>
      <c r="D63">
        <v>0</v>
      </c>
      <c r="E63">
        <v>0</v>
      </c>
      <c r="F63">
        <v>2</v>
      </c>
      <c r="G63">
        <v>2</v>
      </c>
      <c r="H63">
        <v>100</v>
      </c>
      <c r="I63" t="str">
        <f>VLOOKUP(A63,'Datetel Jul 10, 2013'!A:A,1,0)</f>
        <v>100_112500_0500_55220_819</v>
      </c>
    </row>
    <row r="64" spans="1:9" x14ac:dyDescent="0.2">
      <c r="A64" t="s">
        <v>517</v>
      </c>
      <c r="B64" t="s">
        <v>518</v>
      </c>
      <c r="C64">
        <v>0</v>
      </c>
      <c r="D64">
        <v>0</v>
      </c>
      <c r="E64">
        <v>0</v>
      </c>
      <c r="F64">
        <v>680</v>
      </c>
      <c r="G64">
        <v>680</v>
      </c>
      <c r="H64">
        <v>100</v>
      </c>
      <c r="I64" t="str">
        <f>VLOOKUP(A64,'Datetel Jul 10, 2013'!A:A,1,0)</f>
        <v>100_112600_0700_55210_819</v>
      </c>
    </row>
    <row r="65" spans="1:9" x14ac:dyDescent="0.2">
      <c r="A65" t="s">
        <v>519</v>
      </c>
      <c r="B65" t="s">
        <v>518</v>
      </c>
      <c r="C65">
        <v>0</v>
      </c>
      <c r="D65">
        <v>0</v>
      </c>
      <c r="E65">
        <v>0</v>
      </c>
      <c r="F65" s="793">
        <v>3535</v>
      </c>
      <c r="G65" s="793">
        <v>3535</v>
      </c>
      <c r="H65">
        <v>100</v>
      </c>
      <c r="I65" t="str">
        <f>VLOOKUP(A65,'Datetel Jul 10, 2013'!A:A,1,0)</f>
        <v>100_112600_0700_55220_819</v>
      </c>
    </row>
    <row r="66" spans="1:9" x14ac:dyDescent="0.2">
      <c r="A66" t="s">
        <v>520</v>
      </c>
      <c r="B66" t="s">
        <v>847</v>
      </c>
      <c r="C66">
        <v>0</v>
      </c>
      <c r="D66">
        <v>0</v>
      </c>
      <c r="E66">
        <v>400</v>
      </c>
      <c r="F66" s="793">
        <v>1200</v>
      </c>
      <c r="G66">
        <v>800</v>
      </c>
      <c r="H66">
        <v>66.67</v>
      </c>
      <c r="I66" t="str">
        <f>VLOOKUP(A66,'Datetel Jul 10, 2013'!A:A,1,0)</f>
        <v>100_113100_1000_55210_819</v>
      </c>
    </row>
    <row r="67" spans="1:9" x14ac:dyDescent="0.2">
      <c r="A67" t="s">
        <v>523</v>
      </c>
      <c r="B67" t="s">
        <v>848</v>
      </c>
      <c r="C67">
        <v>0</v>
      </c>
      <c r="D67">
        <v>0</v>
      </c>
      <c r="E67">
        <v>700</v>
      </c>
      <c r="F67" s="793">
        <v>2687</v>
      </c>
      <c r="G67" s="793">
        <v>1987</v>
      </c>
      <c r="H67">
        <v>73.95</v>
      </c>
    </row>
    <row r="68" spans="1:9" x14ac:dyDescent="0.2">
      <c r="A68" t="s">
        <v>524</v>
      </c>
      <c r="B68" t="s">
        <v>849</v>
      </c>
      <c r="C68">
        <v>0</v>
      </c>
      <c r="D68">
        <v>0</v>
      </c>
      <c r="E68">
        <v>320.16000000000003</v>
      </c>
      <c r="F68">
        <v>800</v>
      </c>
      <c r="G68">
        <v>479.84</v>
      </c>
      <c r="H68">
        <v>59.98</v>
      </c>
    </row>
    <row r="69" spans="1:9" x14ac:dyDescent="0.2">
      <c r="A69" t="s">
        <v>526</v>
      </c>
      <c r="B69" t="s">
        <v>850</v>
      </c>
      <c r="C69">
        <v>0</v>
      </c>
      <c r="D69">
        <v>0</v>
      </c>
      <c r="E69">
        <v>0</v>
      </c>
      <c r="F69">
        <v>615</v>
      </c>
      <c r="G69">
        <v>615</v>
      </c>
      <c r="H69">
        <v>100</v>
      </c>
    </row>
    <row r="70" spans="1:9" x14ac:dyDescent="0.2">
      <c r="A70" t="s">
        <v>527</v>
      </c>
      <c r="B70" t="s">
        <v>851</v>
      </c>
      <c r="C70">
        <v>0</v>
      </c>
      <c r="D70">
        <v>127.8</v>
      </c>
      <c r="E70">
        <v>127.8</v>
      </c>
      <c r="F70">
        <v>600</v>
      </c>
      <c r="G70">
        <v>472.2</v>
      </c>
      <c r="H70">
        <v>78.7</v>
      </c>
    </row>
    <row r="71" spans="1:9" x14ac:dyDescent="0.2">
      <c r="A71" t="s">
        <v>529</v>
      </c>
      <c r="B71" t="s">
        <v>851</v>
      </c>
      <c r="C71">
        <v>0</v>
      </c>
      <c r="D71">
        <v>0</v>
      </c>
      <c r="E71">
        <v>0</v>
      </c>
      <c r="F71" s="793">
        <v>3323</v>
      </c>
      <c r="G71" s="793">
        <v>3323</v>
      </c>
      <c r="H71">
        <v>100</v>
      </c>
    </row>
    <row r="72" spans="1:9" x14ac:dyDescent="0.2">
      <c r="A72" t="s">
        <v>530</v>
      </c>
      <c r="B72" t="s">
        <v>852</v>
      </c>
      <c r="C72">
        <v>0</v>
      </c>
      <c r="D72" s="793">
        <v>2040</v>
      </c>
      <c r="E72" s="793">
        <v>3200</v>
      </c>
      <c r="F72" s="793">
        <v>3200</v>
      </c>
      <c r="G72">
        <v>0</v>
      </c>
      <c r="H72">
        <v>0</v>
      </c>
    </row>
    <row r="73" spans="1:9" x14ac:dyDescent="0.2">
      <c r="A73" t="s">
        <v>533</v>
      </c>
      <c r="B73" t="s">
        <v>853</v>
      </c>
      <c r="C73">
        <v>0</v>
      </c>
      <c r="D73" s="793">
        <v>1677.8</v>
      </c>
      <c r="E73" s="793">
        <v>3532.49</v>
      </c>
      <c r="F73" s="793">
        <v>3533</v>
      </c>
      <c r="G73">
        <v>0.51</v>
      </c>
      <c r="H73">
        <v>0.01</v>
      </c>
    </row>
    <row r="74" spans="1:9" x14ac:dyDescent="0.2">
      <c r="A74" t="s">
        <v>534</v>
      </c>
      <c r="B74" t="s">
        <v>854</v>
      </c>
      <c r="C74">
        <v>0</v>
      </c>
      <c r="D74">
        <v>800</v>
      </c>
      <c r="E74">
        <v>800</v>
      </c>
      <c r="F74">
        <v>800</v>
      </c>
      <c r="G74">
        <v>0</v>
      </c>
      <c r="H74">
        <v>0</v>
      </c>
    </row>
    <row r="75" spans="1:9" x14ac:dyDescent="0.2">
      <c r="A75" t="s">
        <v>536</v>
      </c>
      <c r="B75" t="s">
        <v>855</v>
      </c>
      <c r="C75">
        <v>0</v>
      </c>
      <c r="D75">
        <v>42</v>
      </c>
      <c r="E75">
        <v>42</v>
      </c>
      <c r="F75">
        <v>326</v>
      </c>
      <c r="G75">
        <v>284</v>
      </c>
      <c r="H75">
        <v>87.12</v>
      </c>
      <c r="I75" t="str">
        <f>VLOOKUP(A75,'Datetel Jul 10, 2013'!A:A,1,0)</f>
        <v>100_114200_1500_55220_819</v>
      </c>
    </row>
    <row r="76" spans="1:9" x14ac:dyDescent="0.2">
      <c r="A76" t="s">
        <v>537</v>
      </c>
      <c r="B76" t="s">
        <v>856</v>
      </c>
      <c r="C76">
        <v>0</v>
      </c>
      <c r="D76">
        <v>0</v>
      </c>
      <c r="E76">
        <v>0</v>
      </c>
      <c r="F76">
        <v>400</v>
      </c>
      <c r="G76">
        <v>400</v>
      </c>
      <c r="H76">
        <v>100</v>
      </c>
      <c r="I76" t="str">
        <f>VLOOKUP(A76,'Datetel Jul 10, 2013'!A:A,1,0)</f>
        <v>100_114300_1100_55210_819</v>
      </c>
    </row>
    <row r="77" spans="1:9" x14ac:dyDescent="0.2">
      <c r="A77" t="s">
        <v>542</v>
      </c>
      <c r="B77" t="s">
        <v>857</v>
      </c>
      <c r="C77">
        <v>0</v>
      </c>
      <c r="D77">
        <v>155.80000000000001</v>
      </c>
      <c r="E77">
        <v>200.8</v>
      </c>
      <c r="F77">
        <v>400</v>
      </c>
      <c r="G77">
        <v>199.2</v>
      </c>
      <c r="H77">
        <v>49.8</v>
      </c>
      <c r="I77" t="str">
        <f>VLOOKUP(A77,'Datetel Jul 10, 2013'!A:A,1,0)</f>
        <v>100_114600_4900_55210_819</v>
      </c>
    </row>
    <row r="78" spans="1:9" x14ac:dyDescent="0.2">
      <c r="A78" t="s">
        <v>544</v>
      </c>
      <c r="B78" t="s">
        <v>858</v>
      </c>
      <c r="C78">
        <v>0</v>
      </c>
      <c r="D78">
        <v>232</v>
      </c>
      <c r="E78">
        <v>232</v>
      </c>
      <c r="F78">
        <v>241</v>
      </c>
      <c r="G78">
        <v>9</v>
      </c>
      <c r="H78">
        <v>3.73</v>
      </c>
      <c r="I78" t="str">
        <f>VLOOKUP(A78,'Datetel Jul 10, 2013'!A:A,1,0)</f>
        <v>100_114600_4900_55220_819</v>
      </c>
    </row>
    <row r="79" spans="1:9" x14ac:dyDescent="0.2">
      <c r="A79" t="s">
        <v>545</v>
      </c>
      <c r="B79" t="s">
        <v>859</v>
      </c>
      <c r="C79">
        <v>0</v>
      </c>
      <c r="D79">
        <v>0</v>
      </c>
      <c r="E79">
        <v>0</v>
      </c>
      <c r="F79">
        <v>800</v>
      </c>
      <c r="G79">
        <v>800</v>
      </c>
      <c r="H79">
        <v>100</v>
      </c>
      <c r="I79" t="str">
        <f>VLOOKUP(A79,'Datetel Jul 10, 2013'!A:A,1,0)</f>
        <v>100_114700_1500_55210_819</v>
      </c>
    </row>
    <row r="80" spans="1:9" x14ac:dyDescent="0.2">
      <c r="A80" t="s">
        <v>547</v>
      </c>
      <c r="B80" t="s">
        <v>859</v>
      </c>
      <c r="C80">
        <v>0</v>
      </c>
      <c r="D80">
        <v>0</v>
      </c>
      <c r="E80">
        <v>0</v>
      </c>
      <c r="F80" s="793">
        <v>2223</v>
      </c>
      <c r="G80" s="793">
        <v>2223</v>
      </c>
      <c r="H80">
        <v>100</v>
      </c>
      <c r="I80" t="str">
        <f>VLOOKUP(A80,'Datetel Jul 10, 2013'!A:A,1,0)</f>
        <v>100_114700_1500_55220_819</v>
      </c>
    </row>
    <row r="81" spans="1:9" x14ac:dyDescent="0.2">
      <c r="A81" t="s">
        <v>548</v>
      </c>
      <c r="B81" t="s">
        <v>860</v>
      </c>
      <c r="C81">
        <v>0</v>
      </c>
      <c r="D81">
        <v>0</v>
      </c>
      <c r="E81">
        <v>0</v>
      </c>
      <c r="F81" s="793">
        <v>3200</v>
      </c>
      <c r="G81" s="793">
        <v>3200</v>
      </c>
      <c r="H81">
        <v>100</v>
      </c>
      <c r="I81" t="str">
        <f>VLOOKUP(A81,'Datetel Jul 10, 2013'!A:A,1,0)</f>
        <v>100_115000_6010_55210_819</v>
      </c>
    </row>
    <row r="82" spans="1:9" x14ac:dyDescent="0.2">
      <c r="A82" t="s">
        <v>550</v>
      </c>
      <c r="B82" t="s">
        <v>860</v>
      </c>
      <c r="C82">
        <v>0</v>
      </c>
      <c r="D82">
        <v>667.06</v>
      </c>
      <c r="E82" s="793">
        <v>2031.99</v>
      </c>
      <c r="F82" s="793">
        <v>6015</v>
      </c>
      <c r="G82" s="793">
        <v>3983.01</v>
      </c>
      <c r="H82">
        <v>66.22</v>
      </c>
      <c r="I82" t="str">
        <f>VLOOKUP(A82,'Datetel Jul 10, 2013'!A:A,1,0)</f>
        <v>100_115000_6010_55220_819</v>
      </c>
    </row>
    <row r="83" spans="1:9" x14ac:dyDescent="0.2">
      <c r="A83" t="s">
        <v>187</v>
      </c>
      <c r="B83" t="s">
        <v>861</v>
      </c>
      <c r="C83">
        <v>0</v>
      </c>
      <c r="D83" s="793">
        <v>8000</v>
      </c>
      <c r="E83" s="793">
        <v>22000</v>
      </c>
      <c r="F83" s="793">
        <v>23018</v>
      </c>
      <c r="G83" s="793">
        <v>1018</v>
      </c>
      <c r="H83">
        <v>4.42</v>
      </c>
      <c r="I83" t="str">
        <f>VLOOKUP(A83,'Datetel Jul 10, 2013'!A:A,1,0)</f>
        <v>100_115200_6960_51450_819</v>
      </c>
    </row>
    <row r="84" spans="1:9" x14ac:dyDescent="0.2">
      <c r="A84" t="s">
        <v>553</v>
      </c>
      <c r="B84" t="s">
        <v>861</v>
      </c>
      <c r="C84">
        <v>0</v>
      </c>
      <c r="D84">
        <v>309.39</v>
      </c>
      <c r="E84" s="793">
        <v>1361.29</v>
      </c>
      <c r="F84" s="793">
        <v>1532</v>
      </c>
      <c r="G84">
        <v>170.71</v>
      </c>
      <c r="H84">
        <v>11.14</v>
      </c>
      <c r="I84" t="str">
        <f>VLOOKUP(A84,'Datetel Jul 10, 2013'!A:A,1,0)</f>
        <v>100_115200_6960_53120_819</v>
      </c>
    </row>
    <row r="85" spans="1:9" x14ac:dyDescent="0.2">
      <c r="A85" t="s">
        <v>944</v>
      </c>
      <c r="B85" t="s">
        <v>861</v>
      </c>
      <c r="C85">
        <v>0</v>
      </c>
      <c r="D85">
        <v>120</v>
      </c>
      <c r="E85">
        <v>170</v>
      </c>
      <c r="F85">
        <v>0</v>
      </c>
      <c r="G85">
        <v>-170</v>
      </c>
      <c r="H85">
        <v>0</v>
      </c>
      <c r="I85" t="str">
        <f>VLOOKUP(A85,'Datetel Jul 10, 2013'!A:A,1,0)</f>
        <v>100_115200_6960_53314_819</v>
      </c>
    </row>
    <row r="86" spans="1:9" x14ac:dyDescent="0.2">
      <c r="A86" t="s">
        <v>945</v>
      </c>
      <c r="B86" t="s">
        <v>861</v>
      </c>
      <c r="C86">
        <v>0</v>
      </c>
      <c r="D86">
        <v>97.89</v>
      </c>
      <c r="E86">
        <v>282.74</v>
      </c>
      <c r="F86">
        <v>330</v>
      </c>
      <c r="G86">
        <v>47.26</v>
      </c>
      <c r="H86">
        <v>14.32</v>
      </c>
      <c r="I86" t="str">
        <f>VLOOKUP(A86,'Datetel Jul 10, 2013'!A:A,1,0)</f>
        <v>100_115200_6960_53323_819</v>
      </c>
    </row>
    <row r="87" spans="1:9" x14ac:dyDescent="0.2">
      <c r="A87" t="s">
        <v>981</v>
      </c>
      <c r="B87" t="s">
        <v>861</v>
      </c>
      <c r="C87">
        <v>0</v>
      </c>
      <c r="D87">
        <v>0</v>
      </c>
      <c r="E87">
        <v>0</v>
      </c>
      <c r="F87">
        <v>345</v>
      </c>
      <c r="G87">
        <v>345</v>
      </c>
      <c r="H87">
        <v>100</v>
      </c>
      <c r="I87" t="str">
        <f>VLOOKUP(A87,'Datetel Jul 10, 2013'!A:A,1,0)</f>
        <v>100_115200_6960_53324_819</v>
      </c>
    </row>
    <row r="88" spans="1:9" x14ac:dyDescent="0.2">
      <c r="A88" t="s">
        <v>946</v>
      </c>
      <c r="B88" t="s">
        <v>861</v>
      </c>
      <c r="C88">
        <v>0</v>
      </c>
      <c r="D88">
        <v>86.85</v>
      </c>
      <c r="E88">
        <v>240.37</v>
      </c>
      <c r="F88">
        <v>250</v>
      </c>
      <c r="G88">
        <v>9.6300000000000008</v>
      </c>
      <c r="H88">
        <v>3.85</v>
      </c>
      <c r="I88" t="str">
        <f>VLOOKUP(A88,'Datetel Jul 10, 2013'!A:A,1,0)</f>
        <v>100_115200_6960_53520_819</v>
      </c>
    </row>
    <row r="89" spans="1:9" x14ac:dyDescent="0.2">
      <c r="A89" t="s">
        <v>561</v>
      </c>
      <c r="B89" t="s">
        <v>861</v>
      </c>
      <c r="C89">
        <v>0</v>
      </c>
      <c r="D89">
        <v>116.6</v>
      </c>
      <c r="E89">
        <v>322.74</v>
      </c>
      <c r="F89">
        <v>336</v>
      </c>
      <c r="G89">
        <v>13.26</v>
      </c>
      <c r="H89">
        <v>3.95</v>
      </c>
      <c r="I89" t="str">
        <f>VLOOKUP(A89,'Datetel Jul 10, 2013'!A:A,1,0)</f>
        <v>100_115200_6960_53620_819</v>
      </c>
    </row>
    <row r="90" spans="1:9" x14ac:dyDescent="0.2">
      <c r="A90" t="s">
        <v>188</v>
      </c>
      <c r="B90" t="s">
        <v>861</v>
      </c>
      <c r="C90">
        <v>0</v>
      </c>
      <c r="D90">
        <v>0</v>
      </c>
      <c r="E90" s="793">
        <v>109381.68</v>
      </c>
      <c r="F90" s="793">
        <v>109382</v>
      </c>
      <c r="G90">
        <v>0.32</v>
      </c>
      <c r="H90">
        <v>0</v>
      </c>
      <c r="I90" t="str">
        <f>VLOOKUP(A90,'Datetel Jul 10, 2013'!A:A,1,0)</f>
        <v>100_115200_6960_55940_819</v>
      </c>
    </row>
    <row r="91" spans="1:9" x14ac:dyDescent="0.2">
      <c r="A91" t="s">
        <v>564</v>
      </c>
      <c r="B91" t="s">
        <v>862</v>
      </c>
      <c r="C91">
        <v>0</v>
      </c>
      <c r="D91">
        <v>0</v>
      </c>
      <c r="E91">
        <v>0</v>
      </c>
      <c r="F91" s="793">
        <v>1600</v>
      </c>
      <c r="G91" s="793">
        <v>1600</v>
      </c>
      <c r="H91">
        <v>100</v>
      </c>
      <c r="I91" t="str">
        <f>VLOOKUP(A91,'Datetel Jul 10, 2013'!A:A,1,0)</f>
        <v>100_116200_0400_55210_819</v>
      </c>
    </row>
    <row r="92" spans="1:9" x14ac:dyDescent="0.2">
      <c r="A92" t="s">
        <v>567</v>
      </c>
      <c r="B92" t="s">
        <v>863</v>
      </c>
      <c r="C92">
        <v>0</v>
      </c>
      <c r="D92">
        <v>94.5</v>
      </c>
      <c r="E92" s="793">
        <v>3091.88</v>
      </c>
      <c r="F92" s="793">
        <v>10375</v>
      </c>
      <c r="G92" s="793">
        <v>7283.12</v>
      </c>
      <c r="H92">
        <v>70.2</v>
      </c>
      <c r="I92" t="str">
        <f>VLOOKUP(A92,'Datetel Jul 10, 2013'!A:A,1,0)</f>
        <v>100_116200_0400_55220_819</v>
      </c>
    </row>
    <row r="93" spans="1:9" x14ac:dyDescent="0.2">
      <c r="A93" t="s">
        <v>568</v>
      </c>
      <c r="B93" t="s">
        <v>864</v>
      </c>
      <c r="C93">
        <v>0</v>
      </c>
      <c r="D93">
        <v>0</v>
      </c>
      <c r="E93">
        <v>0</v>
      </c>
      <c r="F93">
        <v>600</v>
      </c>
      <c r="G93">
        <v>600</v>
      </c>
      <c r="H93">
        <v>100</v>
      </c>
      <c r="I93" t="str">
        <f>VLOOKUP(A93,'Datetel Jul 10, 2013'!A:A,1,0)</f>
        <v>100_116300_1900_55210_819</v>
      </c>
    </row>
    <row r="94" spans="1:9" x14ac:dyDescent="0.2">
      <c r="A94" t="s">
        <v>570</v>
      </c>
      <c r="B94" t="s">
        <v>865</v>
      </c>
      <c r="C94">
        <v>0</v>
      </c>
      <c r="D94">
        <v>0</v>
      </c>
      <c r="E94">
        <v>0</v>
      </c>
      <c r="F94" s="793">
        <v>4700</v>
      </c>
      <c r="G94" s="793">
        <v>4700</v>
      </c>
      <c r="H94">
        <v>100</v>
      </c>
      <c r="I94" t="str">
        <f>VLOOKUP(A94,'Datetel Jul 10, 2013'!A:A,1,0)</f>
        <v>100_116300_1900_55220_819</v>
      </c>
    </row>
    <row r="95" spans="1:9" x14ac:dyDescent="0.2">
      <c r="A95" t="s">
        <v>571</v>
      </c>
      <c r="B95" t="s">
        <v>866</v>
      </c>
      <c r="C95">
        <v>0</v>
      </c>
      <c r="D95">
        <v>137.80000000000001</v>
      </c>
      <c r="E95">
        <v>590.23</v>
      </c>
      <c r="F95" s="793">
        <v>2640</v>
      </c>
      <c r="G95" s="793">
        <v>2049.77</v>
      </c>
      <c r="H95">
        <v>77.64</v>
      </c>
      <c r="I95" t="str">
        <f>VLOOKUP(A95,'Datetel Jul 10, 2013'!A:A,1,0)</f>
        <v>100_116500_1700_55210_819</v>
      </c>
    </row>
    <row r="96" spans="1:9" x14ac:dyDescent="0.2">
      <c r="A96" t="s">
        <v>573</v>
      </c>
      <c r="B96" t="s">
        <v>866</v>
      </c>
      <c r="C96">
        <v>0</v>
      </c>
      <c r="D96">
        <v>0</v>
      </c>
      <c r="E96">
        <v>500</v>
      </c>
      <c r="F96" s="793">
        <v>7175</v>
      </c>
      <c r="G96" s="793">
        <v>6675</v>
      </c>
      <c r="H96">
        <v>93.03</v>
      </c>
      <c r="I96" t="str">
        <f>VLOOKUP(A96,'Datetel Jul 10, 2013'!A:A,1,0)</f>
        <v>100_116500_1700_55220_819</v>
      </c>
    </row>
    <row r="97" spans="1:9" x14ac:dyDescent="0.2">
      <c r="A97" t="s">
        <v>574</v>
      </c>
      <c r="B97" t="s">
        <v>867</v>
      </c>
      <c r="C97">
        <v>0</v>
      </c>
      <c r="D97">
        <v>0</v>
      </c>
      <c r="E97">
        <v>200</v>
      </c>
      <c r="F97">
        <v>960</v>
      </c>
      <c r="G97">
        <v>760</v>
      </c>
      <c r="H97">
        <v>79.17</v>
      </c>
      <c r="I97" t="str">
        <f>VLOOKUP(A97,'Datetel Jul 10, 2013'!A:A,1,0)</f>
        <v>100_116600_1900_55210_819</v>
      </c>
    </row>
    <row r="98" spans="1:9" x14ac:dyDescent="0.2">
      <c r="A98" t="s">
        <v>576</v>
      </c>
      <c r="B98" t="s">
        <v>867</v>
      </c>
      <c r="C98">
        <v>0</v>
      </c>
      <c r="D98">
        <v>0</v>
      </c>
      <c r="E98">
        <v>84.82</v>
      </c>
      <c r="F98" s="793">
        <v>2974</v>
      </c>
      <c r="G98" s="793">
        <v>2889.18</v>
      </c>
      <c r="H98">
        <v>97.15</v>
      </c>
      <c r="I98" t="str">
        <f>VLOOKUP(A98,'Datetel Jul 10, 2013'!A:A,1,0)</f>
        <v>100_116600_1900_55220_819</v>
      </c>
    </row>
    <row r="99" spans="1:9" x14ac:dyDescent="0.2">
      <c r="A99" t="s">
        <v>580</v>
      </c>
      <c r="B99" t="s">
        <v>868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 t="str">
        <f>VLOOKUP(A99,'Datetel Jul 10, 2013'!A:A,1,0)</f>
        <v>100_117100_2100_55220_819</v>
      </c>
    </row>
    <row r="100" spans="1:9" x14ac:dyDescent="0.2">
      <c r="A100" t="s">
        <v>581</v>
      </c>
      <c r="B100" t="s">
        <v>869</v>
      </c>
      <c r="C100">
        <v>0</v>
      </c>
      <c r="D100">
        <v>0</v>
      </c>
      <c r="E100">
        <v>192.3</v>
      </c>
      <c r="F100">
        <v>200</v>
      </c>
      <c r="G100">
        <v>7.7</v>
      </c>
      <c r="H100">
        <v>3.85</v>
      </c>
      <c r="I100" t="str">
        <f>VLOOKUP(A100,'Datetel Jul 10, 2013'!A:A,1,0)</f>
        <v>100_117200_2200_55210_819</v>
      </c>
    </row>
    <row r="101" spans="1:9" x14ac:dyDescent="0.2">
      <c r="A101" t="s">
        <v>583</v>
      </c>
      <c r="B101" t="s">
        <v>869</v>
      </c>
      <c r="C101">
        <v>0</v>
      </c>
      <c r="D101">
        <v>0</v>
      </c>
      <c r="E101">
        <v>757.3</v>
      </c>
      <c r="F101">
        <v>800</v>
      </c>
      <c r="G101">
        <v>42.7</v>
      </c>
      <c r="H101">
        <v>5.34</v>
      </c>
      <c r="I101" t="str">
        <f>VLOOKUP(A101,'Datetel Jul 10, 2013'!A:A,1,0)</f>
        <v>100_117200_2200_55220_819</v>
      </c>
    </row>
    <row r="102" spans="1:9" x14ac:dyDescent="0.2">
      <c r="A102" t="s">
        <v>584</v>
      </c>
      <c r="B102" t="s">
        <v>870</v>
      </c>
      <c r="C102">
        <v>0</v>
      </c>
      <c r="D102">
        <v>0</v>
      </c>
      <c r="E102">
        <v>0</v>
      </c>
      <c r="F102">
        <v>200</v>
      </c>
      <c r="G102">
        <v>200</v>
      </c>
      <c r="H102">
        <v>100</v>
      </c>
      <c r="I102" t="str">
        <f>VLOOKUP(A102,'Datetel Jul 10, 2013'!A:A,1,0)</f>
        <v>100_117250_2200_55210_819</v>
      </c>
    </row>
    <row r="103" spans="1:9" x14ac:dyDescent="0.2">
      <c r="A103" t="s">
        <v>586</v>
      </c>
      <c r="B103" t="s">
        <v>871</v>
      </c>
      <c r="C103">
        <v>0</v>
      </c>
      <c r="D103">
        <v>0</v>
      </c>
      <c r="E103">
        <v>0</v>
      </c>
      <c r="F103" s="793">
        <v>1600</v>
      </c>
      <c r="G103" s="793">
        <v>1600</v>
      </c>
      <c r="H103">
        <v>100</v>
      </c>
      <c r="I103" t="str">
        <f>VLOOKUP(A103,'Datetel Jul 10, 2013'!A:A,1,0)</f>
        <v>100_117250_2200_55220_819</v>
      </c>
    </row>
    <row r="104" spans="1:9" x14ac:dyDescent="0.2">
      <c r="A104" t="s">
        <v>587</v>
      </c>
      <c r="B104" t="s">
        <v>872</v>
      </c>
      <c r="C104">
        <v>0</v>
      </c>
      <c r="D104">
        <v>0</v>
      </c>
      <c r="E104">
        <v>0</v>
      </c>
      <c r="F104">
        <v>400</v>
      </c>
      <c r="G104">
        <v>400</v>
      </c>
      <c r="H104">
        <v>100</v>
      </c>
      <c r="I104" t="str">
        <f>VLOOKUP(A104,'Datetel Jul 10, 2013'!A:A,1,0)</f>
        <v>100_117300_2200_55210_819</v>
      </c>
    </row>
    <row r="105" spans="1:9" x14ac:dyDescent="0.2">
      <c r="A105" t="s">
        <v>589</v>
      </c>
      <c r="B105" t="s">
        <v>873</v>
      </c>
      <c r="C105">
        <v>0</v>
      </c>
      <c r="D105">
        <v>0</v>
      </c>
      <c r="E105">
        <v>0</v>
      </c>
      <c r="F105" s="793">
        <v>1400</v>
      </c>
      <c r="G105" s="793">
        <v>1400</v>
      </c>
      <c r="H105">
        <v>100</v>
      </c>
      <c r="I105" t="str">
        <f>VLOOKUP(A105,'Datetel Jul 10, 2013'!A:A,1,0)</f>
        <v>100_117300_2200_55220_819</v>
      </c>
    </row>
    <row r="106" spans="1:9" x14ac:dyDescent="0.2">
      <c r="A106" t="s">
        <v>590</v>
      </c>
      <c r="B106" t="s">
        <v>874</v>
      </c>
      <c r="C106">
        <v>0</v>
      </c>
      <c r="D106">
        <v>0</v>
      </c>
      <c r="E106">
        <v>0</v>
      </c>
      <c r="F106">
        <v>280</v>
      </c>
      <c r="G106">
        <v>280</v>
      </c>
      <c r="H106">
        <v>100</v>
      </c>
      <c r="I106" t="str">
        <f>VLOOKUP(A106,'Datetel Jul 10, 2013'!A:A,1,0)</f>
        <v>100_117400_1500_55220_819</v>
      </c>
    </row>
    <row r="107" spans="1:9" x14ac:dyDescent="0.2">
      <c r="A107" t="s">
        <v>592</v>
      </c>
      <c r="B107" t="s">
        <v>875</v>
      </c>
      <c r="C107">
        <v>0</v>
      </c>
      <c r="D107">
        <v>0</v>
      </c>
      <c r="E107">
        <v>0</v>
      </c>
      <c r="F107">
        <v>400</v>
      </c>
      <c r="G107">
        <v>400</v>
      </c>
      <c r="H107">
        <v>100</v>
      </c>
      <c r="I107" t="str">
        <f>VLOOKUP(A107,'Datetel Jul 10, 2013'!A:A,1,0)</f>
        <v>100_117450_1500_55210_819</v>
      </c>
    </row>
    <row r="108" spans="1:9" x14ac:dyDescent="0.2">
      <c r="A108" t="s">
        <v>594</v>
      </c>
      <c r="B108" t="s">
        <v>876</v>
      </c>
      <c r="C108">
        <v>0</v>
      </c>
      <c r="D108">
        <v>0</v>
      </c>
      <c r="E108">
        <v>0</v>
      </c>
      <c r="F108" s="793">
        <v>4200</v>
      </c>
      <c r="G108" s="793">
        <v>4200</v>
      </c>
      <c r="H108">
        <v>100</v>
      </c>
      <c r="I108" t="str">
        <f>VLOOKUP(A108,'Datetel Jul 10, 2013'!A:A,1,0)</f>
        <v>100_117450_1500_55220_819</v>
      </c>
    </row>
    <row r="109" spans="1:9" x14ac:dyDescent="0.2">
      <c r="A109" t="s">
        <v>595</v>
      </c>
      <c r="B109" t="s">
        <v>877</v>
      </c>
      <c r="C109">
        <v>0</v>
      </c>
      <c r="D109">
        <v>0</v>
      </c>
      <c r="E109">
        <v>0</v>
      </c>
      <c r="F109">
        <v>600</v>
      </c>
      <c r="G109">
        <v>600</v>
      </c>
      <c r="H109">
        <v>100</v>
      </c>
      <c r="I109" t="str">
        <f>VLOOKUP(A109,'Datetel Jul 10, 2013'!A:A,1,0)</f>
        <v>100_117500_2200_55210_819</v>
      </c>
    </row>
    <row r="110" spans="1:9" x14ac:dyDescent="0.2">
      <c r="A110" t="s">
        <v>597</v>
      </c>
      <c r="B110" t="s">
        <v>878</v>
      </c>
      <c r="C110">
        <v>0</v>
      </c>
      <c r="D110">
        <v>664.33</v>
      </c>
      <c r="E110">
        <v>664.33</v>
      </c>
      <c r="F110" s="793">
        <v>6400</v>
      </c>
      <c r="G110" s="793">
        <v>5735.67</v>
      </c>
      <c r="H110">
        <v>89.62</v>
      </c>
      <c r="I110" t="str">
        <f>VLOOKUP(A110,'Datetel Jul 10, 2013'!A:A,1,0)</f>
        <v>100_117500_2200_55220_819</v>
      </c>
    </row>
    <row r="111" spans="1:9" x14ac:dyDescent="0.2">
      <c r="A111" t="s">
        <v>598</v>
      </c>
      <c r="B111" t="s">
        <v>879</v>
      </c>
      <c r="C111">
        <v>0</v>
      </c>
      <c r="D111">
        <v>0</v>
      </c>
      <c r="E111">
        <v>0</v>
      </c>
      <c r="F111">
        <v>400</v>
      </c>
      <c r="G111">
        <v>400</v>
      </c>
      <c r="H111">
        <v>100</v>
      </c>
      <c r="I111" t="str">
        <f>VLOOKUP(A111,'Datetel Jul 10, 2013'!A:A,1,0)</f>
        <v>100_117600_2200_55210_819</v>
      </c>
    </row>
    <row r="112" spans="1:9" x14ac:dyDescent="0.2">
      <c r="A112" t="s">
        <v>600</v>
      </c>
      <c r="B112" t="s">
        <v>879</v>
      </c>
      <c r="C112">
        <v>0</v>
      </c>
      <c r="D112">
        <v>0</v>
      </c>
      <c r="E112">
        <v>0</v>
      </c>
      <c r="F112" s="793">
        <v>3000</v>
      </c>
      <c r="G112" s="793">
        <v>3000</v>
      </c>
      <c r="H112">
        <v>100</v>
      </c>
      <c r="I112" t="str">
        <f>VLOOKUP(A112,'Datetel Jul 10, 2013'!A:A,1,0)</f>
        <v>100_117600_2200_55220_819</v>
      </c>
    </row>
    <row r="113" spans="1:9" x14ac:dyDescent="0.2">
      <c r="A113" t="s">
        <v>601</v>
      </c>
      <c r="B113" t="s">
        <v>880</v>
      </c>
      <c r="C113">
        <v>0</v>
      </c>
      <c r="D113">
        <v>0</v>
      </c>
      <c r="E113">
        <v>0</v>
      </c>
      <c r="F113">
        <v>360</v>
      </c>
      <c r="G113">
        <v>360</v>
      </c>
      <c r="H113">
        <v>100</v>
      </c>
      <c r="I113" t="str">
        <f>VLOOKUP(A113,'Datetel Jul 10, 2013'!A:A,1,0)</f>
        <v>100_117700_1000_55210_819</v>
      </c>
    </row>
    <row r="114" spans="1:9" x14ac:dyDescent="0.2">
      <c r="A114" t="s">
        <v>603</v>
      </c>
      <c r="B114" t="s">
        <v>880</v>
      </c>
      <c r="C114">
        <v>0</v>
      </c>
      <c r="D114" s="793">
        <v>1345.37</v>
      </c>
      <c r="E114" s="793">
        <v>1345.37</v>
      </c>
      <c r="F114" s="793">
        <v>1990</v>
      </c>
      <c r="G114">
        <v>644.63</v>
      </c>
      <c r="H114">
        <v>32.39</v>
      </c>
      <c r="I114" t="str">
        <f>VLOOKUP(A114,'Datetel Jul 10, 2013'!A:A,1,0)</f>
        <v>100_117700_1000_55220_819</v>
      </c>
    </row>
    <row r="115" spans="1:9" x14ac:dyDescent="0.2">
      <c r="A115" t="s">
        <v>604</v>
      </c>
      <c r="B115" t="s">
        <v>881</v>
      </c>
      <c r="C115">
        <v>0</v>
      </c>
      <c r="D115">
        <v>0</v>
      </c>
      <c r="E115">
        <v>0</v>
      </c>
      <c r="F115">
        <v>400</v>
      </c>
      <c r="G115">
        <v>400</v>
      </c>
      <c r="H115">
        <v>100</v>
      </c>
      <c r="I115" t="str">
        <f>VLOOKUP(A115,'Datetel Jul 10, 2013'!A:A,1,0)</f>
        <v>100_117800_2000_55210_819</v>
      </c>
    </row>
    <row r="116" spans="1:9" x14ac:dyDescent="0.2">
      <c r="A116" t="s">
        <v>606</v>
      </c>
      <c r="B116" t="s">
        <v>882</v>
      </c>
      <c r="C116">
        <v>0</v>
      </c>
      <c r="D116">
        <v>0</v>
      </c>
      <c r="E116" s="793">
        <v>2745</v>
      </c>
      <c r="F116" s="793">
        <v>4600</v>
      </c>
      <c r="G116" s="793">
        <v>1855</v>
      </c>
      <c r="H116">
        <v>40.33</v>
      </c>
      <c r="I116" t="str">
        <f>VLOOKUP(A116,'Datetel Jul 10, 2013'!A:A,1,0)</f>
        <v>100_117800_2000_55220_819</v>
      </c>
    </row>
    <row r="117" spans="1:9" x14ac:dyDescent="0.2">
      <c r="A117" t="s">
        <v>607</v>
      </c>
      <c r="B117" t="s">
        <v>883</v>
      </c>
      <c r="C117">
        <v>0</v>
      </c>
      <c r="D117">
        <v>0</v>
      </c>
      <c r="E117">
        <v>0</v>
      </c>
      <c r="F117">
        <v>200</v>
      </c>
      <c r="G117">
        <v>200</v>
      </c>
      <c r="H117">
        <v>100</v>
      </c>
      <c r="I117" t="str">
        <f>VLOOKUP(A117,'Datetel Jul 10, 2013'!A:A,1,0)</f>
        <v>100_117900_2200_55210_819</v>
      </c>
    </row>
    <row r="118" spans="1:9" x14ac:dyDescent="0.2">
      <c r="A118" t="s">
        <v>609</v>
      </c>
      <c r="B118" t="s">
        <v>884</v>
      </c>
      <c r="C118">
        <v>0</v>
      </c>
      <c r="D118">
        <v>0</v>
      </c>
      <c r="E118">
        <v>0</v>
      </c>
      <c r="F118" s="793">
        <v>2600</v>
      </c>
      <c r="G118" s="793">
        <v>2600</v>
      </c>
      <c r="H118">
        <v>100</v>
      </c>
      <c r="I118" t="str">
        <f>VLOOKUP(A118,'Datetel Jul 10, 2013'!A:A,1,0)</f>
        <v>100_117900_2200_55220_819</v>
      </c>
    </row>
    <row r="119" spans="1:9" x14ac:dyDescent="0.2">
      <c r="A119" t="s">
        <v>610</v>
      </c>
      <c r="B119" t="s">
        <v>885</v>
      </c>
      <c r="C119">
        <v>0</v>
      </c>
      <c r="D119" s="793">
        <v>1462.32</v>
      </c>
      <c r="E119" s="793">
        <v>5200</v>
      </c>
      <c r="F119" s="793">
        <v>5200</v>
      </c>
      <c r="G119">
        <v>0</v>
      </c>
      <c r="H119">
        <v>0</v>
      </c>
      <c r="I119" t="str">
        <f>VLOOKUP(A119,'Datetel Jul 10, 2013'!A:A,1,0)</f>
        <v>100_118000_6010_55210_819</v>
      </c>
    </row>
    <row r="120" spans="1:9" x14ac:dyDescent="0.2">
      <c r="A120" t="s">
        <v>612</v>
      </c>
      <c r="B120" t="s">
        <v>885</v>
      </c>
      <c r="C120">
        <v>0</v>
      </c>
      <c r="D120">
        <v>827.76</v>
      </c>
      <c r="E120" s="793">
        <v>1717.21</v>
      </c>
      <c r="F120" s="793">
        <v>16964</v>
      </c>
      <c r="G120" s="793">
        <v>15246.79</v>
      </c>
      <c r="H120">
        <v>89.88</v>
      </c>
      <c r="I120" t="str">
        <f>VLOOKUP(A120,'Datetel Jul 10, 2013'!A:A,1,0)</f>
        <v>100_118000_6010_55220_819</v>
      </c>
    </row>
    <row r="121" spans="1:9" x14ac:dyDescent="0.2">
      <c r="A121" t="s">
        <v>190</v>
      </c>
      <c r="B121" t="s">
        <v>886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 t="e">
        <f>VLOOKUP(A121,'Datetel Jul 10, 2013'!A:A,1,0)</f>
        <v>#N/A</v>
      </c>
    </row>
    <row r="122" spans="1:9" x14ac:dyDescent="0.2">
      <c r="A122" t="s">
        <v>1038</v>
      </c>
      <c r="B122" t="s">
        <v>886</v>
      </c>
      <c r="C122">
        <v>0</v>
      </c>
      <c r="D122">
        <v>0</v>
      </c>
      <c r="E122">
        <v>0</v>
      </c>
      <c r="F122">
        <v>699</v>
      </c>
      <c r="G122">
        <v>699</v>
      </c>
      <c r="H122">
        <v>100</v>
      </c>
      <c r="I122" t="str">
        <f>VLOOKUP(A122,'Datetel Jul 10, 2013'!A:A,1,0)</f>
        <v>100_119303_6750_51450_819</v>
      </c>
    </row>
    <row r="123" spans="1:9" x14ac:dyDescent="0.2">
      <c r="A123" t="s">
        <v>191</v>
      </c>
      <c r="B123" t="s">
        <v>887</v>
      </c>
      <c r="C123">
        <v>0</v>
      </c>
      <c r="D123">
        <v>0</v>
      </c>
      <c r="E123" s="793">
        <v>5564.7</v>
      </c>
      <c r="F123" s="793">
        <v>5718</v>
      </c>
      <c r="G123">
        <v>153.30000000000001</v>
      </c>
      <c r="H123">
        <v>2.68</v>
      </c>
      <c r="I123" t="str">
        <f>VLOOKUP(A123,'Datetel Jul 10, 2013'!A:A,1,0)</f>
        <v>100_119303_6750_55115_819</v>
      </c>
    </row>
    <row r="124" spans="1:9" x14ac:dyDescent="0.2">
      <c r="A124" t="s">
        <v>192</v>
      </c>
      <c r="B124" t="s">
        <v>888</v>
      </c>
      <c r="C124">
        <v>0</v>
      </c>
      <c r="D124">
        <v>663.91</v>
      </c>
      <c r="E124">
        <v>924.08</v>
      </c>
      <c r="F124" s="793">
        <v>2383</v>
      </c>
      <c r="G124" s="793">
        <v>1458.92</v>
      </c>
      <c r="H124">
        <v>61.22</v>
      </c>
      <c r="I124" t="str">
        <f>VLOOKUP(A124,'Datetel Jul 10, 2013'!A:A,1,0)</f>
        <v>100_119303_6750_55200_819</v>
      </c>
    </row>
    <row r="125" spans="1:9" x14ac:dyDescent="0.2">
      <c r="A125" t="s">
        <v>193</v>
      </c>
      <c r="B125" t="s">
        <v>889</v>
      </c>
      <c r="C125">
        <v>0</v>
      </c>
      <c r="D125">
        <v>0</v>
      </c>
      <c r="E125">
        <v>0</v>
      </c>
      <c r="F125" s="793">
        <v>1100</v>
      </c>
      <c r="G125" s="793">
        <v>1100</v>
      </c>
      <c r="H125">
        <v>100</v>
      </c>
      <c r="I125" t="str">
        <f>VLOOKUP(A125,'Datetel Jul 10, 2013'!A:A,1,0)</f>
        <v>100_119304_6750_55115_819</v>
      </c>
    </row>
    <row r="126" spans="1:9" x14ac:dyDescent="0.2">
      <c r="A126" t="s">
        <v>194</v>
      </c>
      <c r="B126" t="s">
        <v>889</v>
      </c>
      <c r="C126">
        <v>0</v>
      </c>
      <c r="D126">
        <v>0</v>
      </c>
      <c r="E126">
        <v>0</v>
      </c>
      <c r="F126" s="793">
        <v>3300</v>
      </c>
      <c r="G126" s="793">
        <v>3300</v>
      </c>
      <c r="H126">
        <v>100</v>
      </c>
      <c r="I126" t="str">
        <f>VLOOKUP(A126,'Datetel Jul 10, 2013'!A:A,1,0)</f>
        <v>100_119304_6750_55200_819</v>
      </c>
    </row>
    <row r="127" spans="1:9" x14ac:dyDescent="0.2">
      <c r="A127" t="s">
        <v>196</v>
      </c>
      <c r="B127" t="s">
        <v>890</v>
      </c>
      <c r="C127">
        <v>0</v>
      </c>
      <c r="D127">
        <v>583.22</v>
      </c>
      <c r="E127" s="793">
        <v>3033.84</v>
      </c>
      <c r="F127" s="793">
        <v>3660</v>
      </c>
      <c r="G127">
        <v>626.16</v>
      </c>
      <c r="H127">
        <v>17.11</v>
      </c>
      <c r="I127" t="str">
        <f>VLOOKUP(A127,'Datetel Jul 10, 2013'!A:A,1,0)</f>
        <v>100_119305_6750_55115_819</v>
      </c>
    </row>
    <row r="128" spans="1:9" x14ac:dyDescent="0.2">
      <c r="A128" t="s">
        <v>197</v>
      </c>
      <c r="B128" t="s">
        <v>890</v>
      </c>
      <c r="C128">
        <v>0</v>
      </c>
      <c r="D128">
        <v>228.99</v>
      </c>
      <c r="E128">
        <v>440.02</v>
      </c>
      <c r="F128">
        <v>440</v>
      </c>
      <c r="G128">
        <v>-0.02</v>
      </c>
      <c r="H128">
        <v>0</v>
      </c>
      <c r="I128" t="str">
        <f>VLOOKUP(A128,'Datetel Jul 10, 2013'!A:A,1,0)</f>
        <v>100_119305_6750_55160_819</v>
      </c>
    </row>
    <row r="129" spans="1:9" x14ac:dyDescent="0.2">
      <c r="A129" t="s">
        <v>198</v>
      </c>
      <c r="B129" t="s">
        <v>890</v>
      </c>
      <c r="C129">
        <v>0</v>
      </c>
      <c r="D129">
        <v>0</v>
      </c>
      <c r="E129">
        <v>274.48</v>
      </c>
      <c r="F129">
        <v>300</v>
      </c>
      <c r="G129">
        <v>25.52</v>
      </c>
      <c r="H129">
        <v>8.51</v>
      </c>
      <c r="I129" t="str">
        <f>VLOOKUP(A129,'Datetel Jul 10, 2013'!A:A,1,0)</f>
        <v>100_119305_6750_55200_819</v>
      </c>
    </row>
    <row r="130" spans="1:9" x14ac:dyDescent="0.2">
      <c r="A130" t="s">
        <v>189</v>
      </c>
      <c r="B130" t="s">
        <v>891</v>
      </c>
      <c r="C130">
        <v>0</v>
      </c>
      <c r="D130">
        <v>0</v>
      </c>
      <c r="E130" s="793">
        <v>34000</v>
      </c>
      <c r="F130" s="793">
        <v>34000</v>
      </c>
      <c r="G130">
        <v>0</v>
      </c>
      <c r="H130">
        <v>0</v>
      </c>
      <c r="I130" t="str">
        <f>VLOOKUP(A130,'Datetel Jul 10, 2013'!A:A,1,0)</f>
        <v>100_131000_6470_55520_819</v>
      </c>
    </row>
    <row r="131" spans="1:9" s="813" customFormat="1" x14ac:dyDescent="0.2">
      <c r="A131" t="s">
        <v>947</v>
      </c>
      <c r="B131" t="s">
        <v>892</v>
      </c>
      <c r="C131">
        <v>0</v>
      </c>
      <c r="D131" s="793">
        <v>3048.93</v>
      </c>
      <c r="E131" s="793">
        <v>12291.36</v>
      </c>
      <c r="F131" s="793">
        <v>11686</v>
      </c>
      <c r="G131">
        <v>-605.36</v>
      </c>
      <c r="H131">
        <v>-5.17</v>
      </c>
      <c r="I131" s="813" t="str">
        <f>VLOOKUP(A131,'Datetel Jul 10, 2013'!A:A,1,0)</f>
        <v>100_200700_6090_51450_819</v>
      </c>
    </row>
    <row r="132" spans="1:9" x14ac:dyDescent="0.2">
      <c r="A132" t="s">
        <v>982</v>
      </c>
      <c r="B132" t="s">
        <v>892</v>
      </c>
      <c r="C132">
        <v>0</v>
      </c>
      <c r="D132">
        <v>135.38</v>
      </c>
      <c r="E132">
        <v>897.93</v>
      </c>
      <c r="F132">
        <v>848</v>
      </c>
      <c r="G132">
        <v>-49.93</v>
      </c>
      <c r="H132">
        <v>-5.88</v>
      </c>
      <c r="I132" t="str">
        <f>VLOOKUP(A132,'Datetel Jul 10, 2013'!A:A,1,0)</f>
        <v>100_200700_6090_53120_819</v>
      </c>
    </row>
    <row r="133" spans="1:9" x14ac:dyDescent="0.2">
      <c r="A133" t="s">
        <v>983</v>
      </c>
      <c r="B133" t="s">
        <v>892</v>
      </c>
      <c r="C133">
        <v>0</v>
      </c>
      <c r="D133">
        <v>44.22</v>
      </c>
      <c r="E133">
        <v>176.17</v>
      </c>
      <c r="F133">
        <v>182</v>
      </c>
      <c r="G133">
        <v>5.83</v>
      </c>
      <c r="H133">
        <v>3.2</v>
      </c>
      <c r="I133" t="str">
        <f>VLOOKUP(A133,'Datetel Jul 10, 2013'!A:A,1,0)</f>
        <v>100_200700_6090_53323_819</v>
      </c>
    </row>
    <row r="134" spans="1:9" x14ac:dyDescent="0.2">
      <c r="A134" t="s">
        <v>984</v>
      </c>
      <c r="B134" t="s">
        <v>892</v>
      </c>
      <c r="C134">
        <v>0</v>
      </c>
      <c r="D134">
        <v>33.54</v>
      </c>
      <c r="E134">
        <v>133.05000000000001</v>
      </c>
      <c r="F134">
        <v>127</v>
      </c>
      <c r="G134">
        <v>-6.05</v>
      </c>
      <c r="H134">
        <v>-4.75</v>
      </c>
      <c r="I134" t="str">
        <f>VLOOKUP(A134,'Datetel Jul 10, 2013'!A:A,1,0)</f>
        <v>100_200700_6090_53520_819</v>
      </c>
    </row>
    <row r="135" spans="1:9" x14ac:dyDescent="0.2">
      <c r="A135" t="s">
        <v>985</v>
      </c>
      <c r="B135" t="s">
        <v>892</v>
      </c>
      <c r="C135">
        <v>0</v>
      </c>
      <c r="D135">
        <v>45.04</v>
      </c>
      <c r="E135">
        <v>178.71</v>
      </c>
      <c r="F135">
        <v>170</v>
      </c>
      <c r="G135">
        <v>-8.7100000000000009</v>
      </c>
      <c r="H135">
        <v>-5.1100000000000003</v>
      </c>
      <c r="I135" t="str">
        <f>VLOOKUP(A135,'Datetel Jul 10, 2013'!A:A,1,0)</f>
        <v>100_200700_6090_53620_819</v>
      </c>
    </row>
    <row r="136" spans="1:9" x14ac:dyDescent="0.2">
      <c r="A136" t="s">
        <v>219</v>
      </c>
      <c r="B136" t="s">
        <v>892</v>
      </c>
      <c r="C136">
        <v>0</v>
      </c>
      <c r="D136">
        <v>0</v>
      </c>
      <c r="E136">
        <v>183.64</v>
      </c>
      <c r="F136" s="793">
        <v>1500</v>
      </c>
      <c r="G136" s="793">
        <v>1316.36</v>
      </c>
      <c r="H136">
        <v>87.76</v>
      </c>
      <c r="I136" t="str">
        <f>VLOOKUP(A136,'Datetel Jul 10, 2013'!A:A,1,0)</f>
        <v>100_200700_6090_54210_819</v>
      </c>
    </row>
    <row r="137" spans="1:9" x14ac:dyDescent="0.2">
      <c r="A137" t="s">
        <v>222</v>
      </c>
      <c r="B137" t="s">
        <v>892</v>
      </c>
      <c r="C137">
        <v>0</v>
      </c>
      <c r="D137">
        <v>0</v>
      </c>
      <c r="E137" s="793">
        <v>15579</v>
      </c>
      <c r="F137" s="793">
        <v>17453</v>
      </c>
      <c r="G137" s="793">
        <v>1874</v>
      </c>
      <c r="H137">
        <v>10.74</v>
      </c>
      <c r="I137" t="str">
        <f>VLOOKUP(A137,'Datetel Jul 10, 2013'!A:A,1,0)</f>
        <v>100_200700_6090_55910_819</v>
      </c>
    </row>
    <row r="138" spans="1:9" x14ac:dyDescent="0.2">
      <c r="A138" t="s">
        <v>1002</v>
      </c>
      <c r="B138" t="s">
        <v>893</v>
      </c>
      <c r="C138">
        <v>0</v>
      </c>
      <c r="D138">
        <v>0</v>
      </c>
      <c r="E138">
        <v>0</v>
      </c>
      <c r="F138">
        <v>810</v>
      </c>
      <c r="G138">
        <v>810</v>
      </c>
      <c r="H138">
        <v>100</v>
      </c>
      <c r="I138" t="str">
        <f>VLOOKUP(A138,'Datetel Jul 10, 2013'!A:A,1,0)</f>
        <v>100_206200_6750_51450_819</v>
      </c>
    </row>
    <row r="139" spans="1:9" x14ac:dyDescent="0.2">
      <c r="A139" t="s">
        <v>1039</v>
      </c>
      <c r="B139" t="s">
        <v>893</v>
      </c>
      <c r="C139">
        <v>0</v>
      </c>
      <c r="D139">
        <v>0</v>
      </c>
      <c r="E139">
        <v>0</v>
      </c>
      <c r="F139">
        <v>67</v>
      </c>
      <c r="G139">
        <v>67</v>
      </c>
      <c r="H139">
        <v>100</v>
      </c>
      <c r="I139" t="str">
        <f>VLOOKUP(A139,'Datetel Jul 10, 2013'!A:A,1,0)</f>
        <v>100_206200_6750_53120_819</v>
      </c>
    </row>
    <row r="140" spans="1:9" x14ac:dyDescent="0.2">
      <c r="A140" t="s">
        <v>1040</v>
      </c>
      <c r="B140" t="s">
        <v>893</v>
      </c>
      <c r="C140">
        <v>0</v>
      </c>
      <c r="D140">
        <v>0</v>
      </c>
      <c r="E140">
        <v>0</v>
      </c>
      <c r="F140">
        <v>12</v>
      </c>
      <c r="G140">
        <v>12</v>
      </c>
      <c r="H140">
        <v>100</v>
      </c>
      <c r="I140" t="str">
        <f>VLOOKUP(A140,'Datetel Jul 10, 2013'!A:A,1,0)</f>
        <v>100_206200_6750_53323_819</v>
      </c>
    </row>
    <row r="141" spans="1:9" x14ac:dyDescent="0.2">
      <c r="A141" t="s">
        <v>1041</v>
      </c>
      <c r="B141" t="s">
        <v>893</v>
      </c>
      <c r="C141">
        <v>0</v>
      </c>
      <c r="D141">
        <v>0</v>
      </c>
      <c r="E141">
        <v>0</v>
      </c>
      <c r="F141">
        <v>9</v>
      </c>
      <c r="G141">
        <v>9</v>
      </c>
      <c r="H141">
        <v>100</v>
      </c>
      <c r="I141" t="str">
        <f>VLOOKUP(A141,'Datetel Jul 10, 2013'!A:A,1,0)</f>
        <v>100_206200_6750_53520_819</v>
      </c>
    </row>
    <row r="142" spans="1:9" x14ac:dyDescent="0.2">
      <c r="A142" t="s">
        <v>1042</v>
      </c>
      <c r="B142" t="s">
        <v>893</v>
      </c>
      <c r="C142">
        <v>0</v>
      </c>
      <c r="D142">
        <v>0</v>
      </c>
      <c r="E142">
        <v>0</v>
      </c>
      <c r="F142">
        <v>12</v>
      </c>
      <c r="G142">
        <v>12</v>
      </c>
      <c r="H142">
        <v>100</v>
      </c>
      <c r="I142" t="str">
        <f>VLOOKUP(A142,'Datetel Jul 10, 2013'!A:A,1,0)</f>
        <v>100_206200_6750_53620_819</v>
      </c>
    </row>
    <row r="143" spans="1:9" x14ac:dyDescent="0.2">
      <c r="A143" t="s">
        <v>210</v>
      </c>
      <c r="B143" t="s">
        <v>893</v>
      </c>
      <c r="C143">
        <v>0</v>
      </c>
      <c r="D143">
        <v>0</v>
      </c>
      <c r="E143">
        <v>371.39</v>
      </c>
      <c r="F143">
        <v>372</v>
      </c>
      <c r="G143">
        <v>0.61</v>
      </c>
      <c r="H143">
        <v>0.16</v>
      </c>
      <c r="I143" t="str">
        <f>VLOOKUP(A143,'Datetel Jul 10, 2013'!A:A,1,0)</f>
        <v>100_206200_6750_54210_819</v>
      </c>
    </row>
    <row r="144" spans="1:9" x14ac:dyDescent="0.2">
      <c r="A144" t="s">
        <v>211</v>
      </c>
      <c r="B144" t="s">
        <v>893</v>
      </c>
      <c r="C144">
        <v>0</v>
      </c>
      <c r="D144">
        <v>860</v>
      </c>
      <c r="E144" s="793">
        <v>2717.25</v>
      </c>
      <c r="F144" s="793">
        <v>2718</v>
      </c>
      <c r="G144">
        <v>0.75</v>
      </c>
      <c r="H144">
        <v>0.03</v>
      </c>
      <c r="I144" t="str">
        <f>VLOOKUP(A144,'Datetel Jul 10, 2013'!A:A,1,0)</f>
        <v>100_206200_6750_55200_819</v>
      </c>
    </row>
    <row r="145" spans="1:9" x14ac:dyDescent="0.2">
      <c r="A145" t="s">
        <v>212</v>
      </c>
      <c r="B145" t="s">
        <v>894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 t="str">
        <f>VLOOKUP(A145,'Datetel Jul 10, 2013'!A:A,1,0)</f>
        <v>100_206300_6750_52310_819</v>
      </c>
    </row>
    <row r="146" spans="1:9" x14ac:dyDescent="0.2">
      <c r="A146" t="s">
        <v>213</v>
      </c>
      <c r="B146" t="s">
        <v>894</v>
      </c>
      <c r="C146">
        <v>0</v>
      </c>
      <c r="D146">
        <v>0</v>
      </c>
      <c r="E146">
        <v>204.23</v>
      </c>
      <c r="F146">
        <v>300</v>
      </c>
      <c r="G146">
        <v>95.77</v>
      </c>
      <c r="H146">
        <v>31.92</v>
      </c>
      <c r="I146" t="str">
        <f>VLOOKUP(A146,'Datetel Jul 10, 2013'!A:A,1,0)</f>
        <v>100_206300_6750_54210_819</v>
      </c>
    </row>
    <row r="147" spans="1:9" x14ac:dyDescent="0.2">
      <c r="A147" t="s">
        <v>214</v>
      </c>
      <c r="B147" t="s">
        <v>894</v>
      </c>
      <c r="C147">
        <v>0</v>
      </c>
      <c r="D147">
        <v>800</v>
      </c>
      <c r="E147">
        <v>800</v>
      </c>
      <c r="F147" s="793">
        <v>1000</v>
      </c>
      <c r="G147">
        <v>200</v>
      </c>
      <c r="H147">
        <v>20</v>
      </c>
      <c r="I147" t="str">
        <f>VLOOKUP(A147,'Datetel Jul 10, 2013'!A:A,1,0)</f>
        <v>100_206300_6750_55115_819</v>
      </c>
    </row>
    <row r="148" spans="1:9" x14ac:dyDescent="0.2">
      <c r="A148" t="s">
        <v>215</v>
      </c>
      <c r="B148" t="s">
        <v>894</v>
      </c>
      <c r="C148">
        <v>0</v>
      </c>
      <c r="D148">
        <v>964.38</v>
      </c>
      <c r="E148" s="793">
        <v>3246.43</v>
      </c>
      <c r="F148" s="793">
        <v>3247</v>
      </c>
      <c r="G148">
        <v>0.56999999999999995</v>
      </c>
      <c r="H148">
        <v>0.02</v>
      </c>
      <c r="I148" t="str">
        <f>VLOOKUP(A148,'Datetel Jul 10, 2013'!A:A,1,0)</f>
        <v>100_206300_6750_55205_819</v>
      </c>
    </row>
    <row r="149" spans="1:9" x14ac:dyDescent="0.2">
      <c r="A149" t="s">
        <v>766</v>
      </c>
      <c r="B149" t="s">
        <v>816</v>
      </c>
      <c r="C149">
        <v>0</v>
      </c>
      <c r="D149">
        <v>0</v>
      </c>
      <c r="E149" s="793">
        <v>23157</v>
      </c>
      <c r="F149" s="793">
        <v>23157</v>
      </c>
      <c r="G149">
        <v>0</v>
      </c>
      <c r="H149">
        <v>0</v>
      </c>
      <c r="I149" t="str">
        <f>VLOOKUP(A149,'Datetel Jul 10, 2013'!A:A,1,0)</f>
        <v>100_220000_6010_51221_818</v>
      </c>
    </row>
    <row r="150" spans="1:9" x14ac:dyDescent="0.2">
      <c r="A150" t="s">
        <v>1043</v>
      </c>
      <c r="B150" t="s">
        <v>816</v>
      </c>
      <c r="C150">
        <v>0</v>
      </c>
      <c r="D150">
        <v>0</v>
      </c>
      <c r="E150" s="793">
        <v>1910</v>
      </c>
      <c r="F150" s="793">
        <v>1910</v>
      </c>
      <c r="G150">
        <v>0</v>
      </c>
      <c r="H150">
        <v>0</v>
      </c>
      <c r="I150" t="e">
        <f>VLOOKUP(A150,'Datetel Jul 10, 2013'!A:A,1,0)</f>
        <v>#N/A</v>
      </c>
    </row>
    <row r="151" spans="1:9" x14ac:dyDescent="0.2">
      <c r="A151" t="s">
        <v>1044</v>
      </c>
      <c r="B151" t="s">
        <v>816</v>
      </c>
      <c r="C151">
        <v>0</v>
      </c>
      <c r="D151">
        <v>0</v>
      </c>
      <c r="E151">
        <v>336</v>
      </c>
      <c r="F151">
        <v>336</v>
      </c>
      <c r="G151">
        <v>0</v>
      </c>
      <c r="H151">
        <v>0</v>
      </c>
      <c r="I151" t="e">
        <f>VLOOKUP(A151,'Datetel Jul 10, 2013'!A:A,1,0)</f>
        <v>#N/A</v>
      </c>
    </row>
    <row r="152" spans="1:9" x14ac:dyDescent="0.2">
      <c r="A152" t="s">
        <v>1045</v>
      </c>
      <c r="B152" t="s">
        <v>816</v>
      </c>
      <c r="C152">
        <v>0</v>
      </c>
      <c r="D152">
        <v>0</v>
      </c>
      <c r="E152">
        <v>255</v>
      </c>
      <c r="F152">
        <v>255</v>
      </c>
      <c r="G152">
        <v>0</v>
      </c>
      <c r="H152">
        <v>0</v>
      </c>
      <c r="I152" t="e">
        <f>VLOOKUP(A152,'Datetel Jul 10, 2013'!A:A,1,0)</f>
        <v>#N/A</v>
      </c>
    </row>
    <row r="153" spans="1:9" x14ac:dyDescent="0.2">
      <c r="A153" t="s">
        <v>1046</v>
      </c>
      <c r="B153" t="s">
        <v>816</v>
      </c>
      <c r="C153">
        <v>0</v>
      </c>
      <c r="D153">
        <v>0</v>
      </c>
      <c r="E153">
        <v>342</v>
      </c>
      <c r="F153">
        <v>342</v>
      </c>
      <c r="G153">
        <v>0</v>
      </c>
      <c r="H153">
        <v>0</v>
      </c>
      <c r="I153" t="e">
        <f>VLOOKUP(A153,'Datetel Jul 10, 2013'!A:A,1,0)</f>
        <v>#N/A</v>
      </c>
    </row>
    <row r="154" spans="1:9" s="813" customFormat="1" x14ac:dyDescent="0.2">
      <c r="A154" t="s">
        <v>216</v>
      </c>
      <c r="B154" t="s">
        <v>816</v>
      </c>
      <c r="C154">
        <v>0</v>
      </c>
      <c r="D154">
        <v>0</v>
      </c>
      <c r="E154" s="793">
        <v>7479</v>
      </c>
      <c r="F154" s="793">
        <v>7479</v>
      </c>
      <c r="G154">
        <v>0</v>
      </c>
      <c r="H154">
        <v>0</v>
      </c>
      <c r="I154" s="813" t="str">
        <f>VLOOKUP(A154,'Datetel Jul 10, 2013'!A:A,1,0)</f>
        <v>100_220000_6010_55160_819</v>
      </c>
    </row>
    <row r="155" spans="1:9" s="813" customFormat="1" x14ac:dyDescent="0.2">
      <c r="A155" t="s">
        <v>291</v>
      </c>
      <c r="B155" t="s">
        <v>816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 s="813" t="str">
        <f>VLOOKUP(A155,'Datetel Jul 10, 2013'!A:A,1,0)</f>
        <v>100_220000_6120_55510_819</v>
      </c>
    </row>
    <row r="156" spans="1:9" s="813" customFormat="1" x14ac:dyDescent="0.2">
      <c r="A156" t="s">
        <v>217</v>
      </c>
      <c r="B156" t="s">
        <v>816</v>
      </c>
      <c r="C156">
        <v>0</v>
      </c>
      <c r="D156">
        <v>0</v>
      </c>
      <c r="E156" s="793">
        <v>72921.119999999995</v>
      </c>
      <c r="F156" s="793">
        <v>73711</v>
      </c>
      <c r="G156">
        <v>789.88</v>
      </c>
      <c r="H156">
        <v>1.07</v>
      </c>
      <c r="I156" s="813" t="str">
        <f>VLOOKUP(A156,'Datetel Jul 10, 2013'!A:A,1,0)</f>
        <v>100_220000_6440_55940_819</v>
      </c>
    </row>
    <row r="157" spans="1:9" s="813" customFormat="1" x14ac:dyDescent="0.2">
      <c r="A157" t="s">
        <v>218</v>
      </c>
      <c r="B157" t="s">
        <v>816</v>
      </c>
      <c r="C157">
        <v>0</v>
      </c>
      <c r="D157" s="793">
        <v>3750</v>
      </c>
      <c r="E157" s="793">
        <v>13125</v>
      </c>
      <c r="F157" s="793">
        <v>13193</v>
      </c>
      <c r="G157">
        <v>68</v>
      </c>
      <c r="H157">
        <v>0.52</v>
      </c>
      <c r="I157" s="813" t="str">
        <f>VLOOKUP(A157,'Datetel Jul 10, 2013'!A:A,1,0)</f>
        <v>100_220000_6770_51450_819</v>
      </c>
    </row>
    <row r="158" spans="1:9" s="813" customFormat="1" x14ac:dyDescent="0.2">
      <c r="A158" t="s">
        <v>628</v>
      </c>
      <c r="B158" t="s">
        <v>816</v>
      </c>
      <c r="C158">
        <v>0</v>
      </c>
      <c r="D158">
        <v>309.38</v>
      </c>
      <c r="E158">
        <v>618.76</v>
      </c>
      <c r="F158">
        <v>619</v>
      </c>
      <c r="G158">
        <v>0.24</v>
      </c>
      <c r="H158">
        <v>0.04</v>
      </c>
      <c r="I158" s="813" t="str">
        <f>VLOOKUP(A158,'Datetel Jul 10, 2013'!A:A,1,0)</f>
        <v>100_220000_6770_53120_819</v>
      </c>
    </row>
    <row r="159" spans="1:9" x14ac:dyDescent="0.2">
      <c r="A159" t="s">
        <v>792</v>
      </c>
      <c r="B159" t="s">
        <v>816</v>
      </c>
      <c r="C159">
        <v>0</v>
      </c>
      <c r="D159">
        <v>0</v>
      </c>
      <c r="E159">
        <v>150</v>
      </c>
      <c r="F159">
        <v>150</v>
      </c>
      <c r="G159">
        <v>0</v>
      </c>
      <c r="H159">
        <v>0</v>
      </c>
      <c r="I159" t="str">
        <f>VLOOKUP(A159,'Datetel Jul 10, 2013'!A:A,1,0)</f>
        <v>100_220000_6770_53314_819</v>
      </c>
    </row>
    <row r="160" spans="1:9" x14ac:dyDescent="0.2">
      <c r="A160" t="s">
        <v>794</v>
      </c>
      <c r="B160" t="s">
        <v>816</v>
      </c>
      <c r="C160">
        <v>0</v>
      </c>
      <c r="D160">
        <v>54.37</v>
      </c>
      <c r="E160">
        <v>189.59</v>
      </c>
      <c r="F160">
        <v>190</v>
      </c>
      <c r="G160">
        <v>0.41</v>
      </c>
      <c r="H160">
        <v>0.22</v>
      </c>
      <c r="I160" t="str">
        <f>VLOOKUP(A160,'Datetel Jul 10, 2013'!A:A,1,0)</f>
        <v>100_220000_6770_53323_819</v>
      </c>
    </row>
    <row r="161" spans="1:9" x14ac:dyDescent="0.2">
      <c r="A161" t="s">
        <v>795</v>
      </c>
      <c r="B161" t="s">
        <v>816</v>
      </c>
      <c r="C161">
        <v>0</v>
      </c>
      <c r="D161">
        <v>41.25</v>
      </c>
      <c r="E161">
        <v>142.37</v>
      </c>
      <c r="F161">
        <v>143</v>
      </c>
      <c r="G161">
        <v>0.63</v>
      </c>
      <c r="H161">
        <v>0.44</v>
      </c>
      <c r="I161" t="str">
        <f>VLOOKUP(A161,'Datetel Jul 10, 2013'!A:A,1,0)</f>
        <v>100_220000_6770_53520_819</v>
      </c>
    </row>
    <row r="162" spans="1:9" x14ac:dyDescent="0.2">
      <c r="A162" t="s">
        <v>632</v>
      </c>
      <c r="B162" t="s">
        <v>816</v>
      </c>
      <c r="C162">
        <v>0</v>
      </c>
      <c r="D162">
        <v>55.39</v>
      </c>
      <c r="E162">
        <v>191.18</v>
      </c>
      <c r="F162">
        <v>192</v>
      </c>
      <c r="G162">
        <v>0.82</v>
      </c>
      <c r="H162">
        <v>0.43</v>
      </c>
      <c r="I162" t="str">
        <f>VLOOKUP(A162,'Datetel Jul 10, 2013'!A:A,1,0)</f>
        <v>100_220000_6770_53620_819</v>
      </c>
    </row>
    <row r="163" spans="1:9" x14ac:dyDescent="0.2">
      <c r="A163" t="s">
        <v>383</v>
      </c>
      <c r="B163" t="s">
        <v>895</v>
      </c>
      <c r="C163">
        <v>0</v>
      </c>
      <c r="D163" s="793">
        <v>52041.440000000002</v>
      </c>
      <c r="E163" s="793">
        <v>320394.84999999998</v>
      </c>
      <c r="F163" s="793">
        <v>340397</v>
      </c>
      <c r="G163" s="793">
        <v>20002.150000000001</v>
      </c>
      <c r="H163">
        <v>5.88</v>
      </c>
      <c r="I163" t="str">
        <f>VLOOKUP(A163,'Datetel Jul 10, 2013'!A:A,1,0)</f>
        <v>100_220001_7310_57300_819</v>
      </c>
    </row>
    <row r="164" spans="1:9" x14ac:dyDescent="0.2">
      <c r="A164" t="s">
        <v>384</v>
      </c>
      <c r="B164" t="s">
        <v>896</v>
      </c>
      <c r="C164">
        <v>0</v>
      </c>
      <c r="D164">
        <v>0</v>
      </c>
      <c r="E164">
        <v>0</v>
      </c>
      <c r="F164" s="793">
        <v>88013</v>
      </c>
      <c r="G164" s="793">
        <v>88013</v>
      </c>
      <c r="H164">
        <v>100</v>
      </c>
      <c r="I164" t="str">
        <f>VLOOKUP(A164,'Datetel Jul 10, 2013'!A:A,1,0)</f>
        <v>100_220002_7310_57300_819</v>
      </c>
    </row>
    <row r="165" spans="1:9" x14ac:dyDescent="0.2">
      <c r="A165" t="s">
        <v>740</v>
      </c>
      <c r="B165" t="s">
        <v>897</v>
      </c>
      <c r="C165">
        <v>0</v>
      </c>
      <c r="D165">
        <v>0</v>
      </c>
      <c r="E165" s="793">
        <v>6255</v>
      </c>
      <c r="F165" s="793">
        <v>6453</v>
      </c>
      <c r="G165">
        <v>198</v>
      </c>
      <c r="H165">
        <v>3.07</v>
      </c>
      <c r="I165" t="str">
        <f>VLOOKUP(A165,'Datetel Jul 10, 2013'!A:A,1,0)</f>
        <v>100_220004_6150_55500_819</v>
      </c>
    </row>
    <row r="166" spans="1:9" s="813" customFormat="1" ht="15" customHeight="1" x14ac:dyDescent="0.2">
      <c r="A166" t="s">
        <v>373</v>
      </c>
      <c r="B166" t="s">
        <v>898</v>
      </c>
      <c r="C166">
        <v>0</v>
      </c>
      <c r="D166">
        <v>0</v>
      </c>
      <c r="E166" s="793">
        <v>97822.63</v>
      </c>
      <c r="F166" s="793">
        <v>97822</v>
      </c>
      <c r="G166">
        <v>-0.63</v>
      </c>
      <c r="H166">
        <v>0</v>
      </c>
      <c r="I166" s="813" t="str">
        <f>VLOOKUP(A166,'Datetel Jul 10, 2013'!A:A,1,0)</f>
        <v>100_220005_6150_55500_819</v>
      </c>
    </row>
    <row r="167" spans="1:9" s="813" customFormat="1" x14ac:dyDescent="0.2">
      <c r="A167" t="s">
        <v>374</v>
      </c>
      <c r="B167" t="s">
        <v>899</v>
      </c>
      <c r="C167" s="793">
        <v>4099.8999999999996</v>
      </c>
      <c r="D167">
        <v>0</v>
      </c>
      <c r="E167" s="793">
        <v>11514.1</v>
      </c>
      <c r="F167" s="793">
        <v>15609</v>
      </c>
      <c r="G167">
        <v>-5</v>
      </c>
      <c r="H167">
        <v>-0.02</v>
      </c>
      <c r="I167" s="813" t="str">
        <f>VLOOKUP(A167,'Datetel Jul 10, 2013'!A:A,1,0)</f>
        <v>100_220006_6150_55500_819</v>
      </c>
    </row>
    <row r="168" spans="1:9" s="813" customFormat="1" x14ac:dyDescent="0.2">
      <c r="A168" t="s">
        <v>403</v>
      </c>
      <c r="B168" t="s">
        <v>823</v>
      </c>
      <c r="C168">
        <v>0</v>
      </c>
      <c r="D168" s="793">
        <v>9950</v>
      </c>
      <c r="E168" s="793">
        <v>18110</v>
      </c>
      <c r="F168" s="793">
        <v>19057</v>
      </c>
      <c r="G168">
        <v>947</v>
      </c>
      <c r="H168">
        <v>4.97</v>
      </c>
      <c r="I168" s="813" t="str">
        <f>VLOOKUP(A168,'Datetel Jul 10, 2013'!A:A,1,0)</f>
        <v>100_220007_6010_55500_819</v>
      </c>
    </row>
    <row r="169" spans="1:9" s="813" customFormat="1" x14ac:dyDescent="0.2">
      <c r="A169" t="s">
        <v>759</v>
      </c>
      <c r="B169" t="s">
        <v>900</v>
      </c>
      <c r="C169">
        <v>0</v>
      </c>
      <c r="D169">
        <v>0</v>
      </c>
      <c r="E169" s="793">
        <v>2500</v>
      </c>
      <c r="F169" s="793">
        <v>2500</v>
      </c>
      <c r="G169">
        <v>0</v>
      </c>
      <c r="H169">
        <v>0</v>
      </c>
      <c r="I169" s="813" t="str">
        <f>VLOOKUP(A169,'Datetel Jul 10, 2013'!A:A,1,0)</f>
        <v>100_220900_6490_55160_819</v>
      </c>
    </row>
    <row r="170" spans="1:9" x14ac:dyDescent="0.2">
      <c r="A170" t="s">
        <v>224</v>
      </c>
      <c r="B170" t="s">
        <v>901</v>
      </c>
      <c r="C170">
        <v>0</v>
      </c>
      <c r="D170">
        <v>0</v>
      </c>
      <c r="E170" s="793">
        <v>16500</v>
      </c>
      <c r="F170" s="793">
        <v>16500</v>
      </c>
      <c r="G170">
        <v>0</v>
      </c>
      <c r="H170">
        <v>0</v>
      </c>
      <c r="I170" t="str">
        <f>VLOOKUP(A170,'Datetel Jul 10, 2013'!A:A,1,0)</f>
        <v>100_220910_4900_51310_819</v>
      </c>
    </row>
    <row r="171" spans="1:9" x14ac:dyDescent="0.2">
      <c r="A171" t="s">
        <v>741</v>
      </c>
      <c r="B171" t="s">
        <v>902</v>
      </c>
      <c r="C171">
        <v>0</v>
      </c>
      <c r="D171">
        <v>0</v>
      </c>
      <c r="E171" s="793">
        <v>4500</v>
      </c>
      <c r="F171" s="793">
        <v>4500</v>
      </c>
      <c r="G171">
        <v>0</v>
      </c>
      <c r="H171">
        <v>0</v>
      </c>
      <c r="I171" t="str">
        <f>VLOOKUP(A171,'Datetel Jul 10, 2013'!A:A,1,0)</f>
        <v>100_230000_6120_55510_819</v>
      </c>
    </row>
    <row r="172" spans="1:9" x14ac:dyDescent="0.2">
      <c r="A172" t="s">
        <v>344</v>
      </c>
      <c r="B172" t="s">
        <v>903</v>
      </c>
      <c r="C172">
        <v>0</v>
      </c>
      <c r="D172">
        <v>0</v>
      </c>
      <c r="E172">
        <v>0</v>
      </c>
      <c r="F172" s="793">
        <v>150650</v>
      </c>
      <c r="G172" s="793">
        <v>150650</v>
      </c>
      <c r="H172">
        <v>100</v>
      </c>
      <c r="I172" t="str">
        <f>VLOOKUP(A172,'Datetel Jul 10, 2013'!A:A,1,0)</f>
        <v>100_290100_6010_55220_819</v>
      </c>
    </row>
    <row r="173" spans="1:9" x14ac:dyDescent="0.2">
      <c r="A173" t="s">
        <v>223</v>
      </c>
      <c r="B173" t="s">
        <v>903</v>
      </c>
      <c r="C173">
        <v>0</v>
      </c>
      <c r="D173" s="793">
        <v>8561.7000000000007</v>
      </c>
      <c r="E173" s="793">
        <v>22961.919999999998</v>
      </c>
      <c r="F173" s="793">
        <v>28800</v>
      </c>
      <c r="G173" s="793">
        <v>5838.08</v>
      </c>
      <c r="H173">
        <v>20.27</v>
      </c>
      <c r="I173" t="str">
        <f>VLOOKUP(A173,'Datetel Jul 10, 2013'!A:A,1,0)</f>
        <v>100_290100_6600_55210_819</v>
      </c>
    </row>
    <row r="174" spans="1:9" x14ac:dyDescent="0.2">
      <c r="A174" t="s">
        <v>642</v>
      </c>
      <c r="B174" t="s">
        <v>904</v>
      </c>
      <c r="C174">
        <v>53.97</v>
      </c>
      <c r="D174">
        <v>346.17</v>
      </c>
      <c r="E174" s="793">
        <v>37812.03</v>
      </c>
      <c r="F174" s="793">
        <v>37971</v>
      </c>
      <c r="G174">
        <v>105</v>
      </c>
      <c r="H174">
        <v>0.28000000000000003</v>
      </c>
      <c r="I174" t="str">
        <f>VLOOKUP(A174,'Datetel Jul 10, 2013'!A:A,1,0)</f>
        <v>100_290200_6110_55510_819</v>
      </c>
    </row>
    <row r="175" spans="1:9" x14ac:dyDescent="0.2">
      <c r="A175" t="s">
        <v>0</v>
      </c>
      <c r="B175" t="s">
        <v>905</v>
      </c>
      <c r="C175">
        <v>0</v>
      </c>
      <c r="D175">
        <v>0</v>
      </c>
      <c r="E175" s="793">
        <v>77888.95</v>
      </c>
      <c r="F175" s="793">
        <v>190925</v>
      </c>
      <c r="G175" s="793">
        <v>113036.05</v>
      </c>
      <c r="H175">
        <v>59.2</v>
      </c>
      <c r="I175" t="str">
        <f>VLOOKUP(A175,'Datetel Jul 10, 2013'!A:A,1,0)</f>
        <v>100_300130_6600_55180_819</v>
      </c>
    </row>
    <row r="176" spans="1:9" x14ac:dyDescent="0.2">
      <c r="A176" t="s">
        <v>2</v>
      </c>
      <c r="B176" t="s">
        <v>906</v>
      </c>
      <c r="C176" s="793">
        <v>6200</v>
      </c>
      <c r="D176">
        <v>0</v>
      </c>
      <c r="E176" s="793">
        <v>9800</v>
      </c>
      <c r="F176" s="793">
        <v>16000</v>
      </c>
      <c r="G176">
        <v>0</v>
      </c>
      <c r="H176">
        <v>0</v>
      </c>
      <c r="I176" t="str">
        <f>VLOOKUP(A176,'Datetel Jul 10, 2013'!A:A,1,0)</f>
        <v>100_301120_6720_55170_819</v>
      </c>
    </row>
    <row r="177" spans="1:9" x14ac:dyDescent="0.2">
      <c r="A177" t="s">
        <v>328</v>
      </c>
      <c r="B177" t="s">
        <v>906</v>
      </c>
      <c r="C177">
        <v>0</v>
      </c>
      <c r="D177">
        <v>698.75</v>
      </c>
      <c r="E177">
        <v>698.75</v>
      </c>
      <c r="F177">
        <v>864</v>
      </c>
      <c r="G177">
        <v>165.25</v>
      </c>
      <c r="H177">
        <v>19.13</v>
      </c>
      <c r="I177" t="str">
        <f>VLOOKUP(A177,'Datetel Jul 10, 2013'!A:A,1,0)</f>
        <v>100_301120_6720_55595_819</v>
      </c>
    </row>
    <row r="178" spans="1:9" x14ac:dyDescent="0.2">
      <c r="A178" t="s">
        <v>4</v>
      </c>
      <c r="B178" t="s">
        <v>907</v>
      </c>
      <c r="C178">
        <v>0</v>
      </c>
      <c r="D178" s="793">
        <v>155545.35</v>
      </c>
      <c r="E178" s="793">
        <v>789154.26</v>
      </c>
      <c r="F178" s="793">
        <v>605563</v>
      </c>
      <c r="G178" s="793">
        <v>-183591.26</v>
      </c>
      <c r="H178">
        <v>-30.31</v>
      </c>
      <c r="I178" t="str">
        <f>VLOOKUP(A178,'Datetel Jul 10, 2013'!A:A,1,0)</f>
        <v>100_304010_6570_55800_819</v>
      </c>
    </row>
    <row r="179" spans="1:9" x14ac:dyDescent="0.2">
      <c r="A179" t="s">
        <v>5</v>
      </c>
      <c r="B179" t="s">
        <v>907</v>
      </c>
      <c r="C179">
        <v>0</v>
      </c>
      <c r="D179" s="793">
        <v>10584.73</v>
      </c>
      <c r="E179" s="793">
        <v>151040.07</v>
      </c>
      <c r="F179" s="793">
        <v>159485</v>
      </c>
      <c r="G179" s="793">
        <v>8444.93</v>
      </c>
      <c r="H179">
        <v>5.3</v>
      </c>
      <c r="I179" t="str">
        <f>VLOOKUP(A179,'Datetel Jul 10, 2013'!A:A,1,0)</f>
        <v>100_304010_6570_55811_819</v>
      </c>
    </row>
    <row r="180" spans="1:9" x14ac:dyDescent="0.2">
      <c r="A180" t="s">
        <v>6</v>
      </c>
      <c r="B180" t="s">
        <v>907</v>
      </c>
      <c r="C180" s="793">
        <v>6244.21</v>
      </c>
      <c r="D180" s="793">
        <v>2315.46</v>
      </c>
      <c r="E180" s="793">
        <v>15176.79</v>
      </c>
      <c r="F180" s="793">
        <v>21421</v>
      </c>
      <c r="G180">
        <v>0</v>
      </c>
      <c r="H180">
        <v>0</v>
      </c>
      <c r="I180" t="str">
        <f>VLOOKUP(A180,'Datetel Jul 10, 2013'!A:A,1,0)</f>
        <v>100_304010_6570_55820_819</v>
      </c>
    </row>
    <row r="181" spans="1:9" x14ac:dyDescent="0.2">
      <c r="A181" t="s">
        <v>7</v>
      </c>
      <c r="B181" t="s">
        <v>907</v>
      </c>
      <c r="C181">
        <v>0</v>
      </c>
      <c r="D181" s="793">
        <v>47005.68</v>
      </c>
      <c r="E181" s="793">
        <v>173566.99</v>
      </c>
      <c r="F181" s="793">
        <v>137895</v>
      </c>
      <c r="G181" s="793">
        <v>-35671.99</v>
      </c>
      <c r="H181">
        <v>-25.86</v>
      </c>
      <c r="I181" t="str">
        <f>VLOOKUP(A181,'Datetel Jul 10, 2013'!A:A,1,0)</f>
        <v>100_304010_6570_55840_819</v>
      </c>
    </row>
    <row r="182" spans="1:9" x14ac:dyDescent="0.2">
      <c r="A182" t="s">
        <v>8</v>
      </c>
      <c r="B182" t="s">
        <v>907</v>
      </c>
      <c r="C182">
        <v>0</v>
      </c>
      <c r="D182">
        <v>0</v>
      </c>
      <c r="E182" s="793">
        <v>37559.97</v>
      </c>
      <c r="F182" s="793">
        <v>74236</v>
      </c>
      <c r="G182" s="793">
        <v>36676.03</v>
      </c>
      <c r="H182">
        <v>49.4</v>
      </c>
      <c r="I182" t="str">
        <f>VLOOKUP(A182,'Datetel Jul 10, 2013'!A:A,1,0)</f>
        <v>100_304010_6570_55850_819</v>
      </c>
    </row>
    <row r="183" spans="1:9" x14ac:dyDescent="0.2">
      <c r="A183" t="s">
        <v>9</v>
      </c>
      <c r="B183" t="s">
        <v>908</v>
      </c>
      <c r="C183">
        <v>0</v>
      </c>
      <c r="D183" s="793">
        <v>57150.97</v>
      </c>
      <c r="E183" s="793">
        <v>557686.18999999994</v>
      </c>
      <c r="F183" s="793">
        <v>627482</v>
      </c>
      <c r="G183" s="793">
        <v>69795.81</v>
      </c>
      <c r="H183">
        <v>11.12</v>
      </c>
      <c r="I183" t="str">
        <f>VLOOKUP(A183,'Datetel Jul 10, 2013'!A:A,1,0)</f>
        <v>100_304020_6570_55800_819</v>
      </c>
    </row>
    <row r="184" spans="1:9" x14ac:dyDescent="0.2">
      <c r="A184" t="s">
        <v>10</v>
      </c>
      <c r="B184" t="s">
        <v>908</v>
      </c>
      <c r="C184">
        <v>0</v>
      </c>
      <c r="D184" s="793">
        <v>22599.21</v>
      </c>
      <c r="E184" s="793">
        <v>149524.62</v>
      </c>
      <c r="F184" s="793">
        <v>121560</v>
      </c>
      <c r="G184" s="793">
        <v>-27964.62</v>
      </c>
      <c r="H184">
        <v>-22.99</v>
      </c>
      <c r="I184" t="str">
        <f>VLOOKUP(A184,'Datetel Jul 10, 2013'!A:A,1,0)</f>
        <v>100_304020_6570_55811_819</v>
      </c>
    </row>
    <row r="185" spans="1:9" x14ac:dyDescent="0.2">
      <c r="A185" t="s">
        <v>11</v>
      </c>
      <c r="B185" t="s">
        <v>908</v>
      </c>
      <c r="C185" s="793">
        <v>9965.98</v>
      </c>
      <c r="D185" s="793">
        <v>2267.16</v>
      </c>
      <c r="E185" s="793">
        <v>20792.02</v>
      </c>
      <c r="F185" s="793">
        <v>30758</v>
      </c>
      <c r="G185">
        <v>0</v>
      </c>
      <c r="H185">
        <v>0</v>
      </c>
      <c r="I185" t="str">
        <f>VLOOKUP(A185,'Datetel Jul 10, 2013'!A:A,1,0)</f>
        <v>100_304020_6570_55820_819</v>
      </c>
    </row>
    <row r="186" spans="1:9" x14ac:dyDescent="0.2">
      <c r="A186" t="s">
        <v>12</v>
      </c>
      <c r="B186" t="s">
        <v>908</v>
      </c>
      <c r="C186">
        <v>0</v>
      </c>
      <c r="D186" s="793">
        <v>14601.81</v>
      </c>
      <c r="E186" s="793">
        <v>86688.04</v>
      </c>
      <c r="F186" s="793">
        <v>55236</v>
      </c>
      <c r="G186" s="793">
        <v>-31452.04</v>
      </c>
      <c r="H186">
        <v>-56.93</v>
      </c>
      <c r="I186" t="str">
        <f>VLOOKUP(A186,'Datetel Jul 10, 2013'!A:A,1,0)</f>
        <v>100_304020_6570_55840_819</v>
      </c>
    </row>
    <row r="187" spans="1:9" x14ac:dyDescent="0.2">
      <c r="A187" t="s">
        <v>13</v>
      </c>
      <c r="B187" t="s">
        <v>908</v>
      </c>
      <c r="C187">
        <v>0</v>
      </c>
      <c r="D187" s="793">
        <v>3671.86</v>
      </c>
      <c r="E187" s="793">
        <v>27676.86</v>
      </c>
      <c r="F187" s="793">
        <v>14964</v>
      </c>
      <c r="G187" s="793">
        <v>-12712.86</v>
      </c>
      <c r="H187">
        <v>-84.95</v>
      </c>
      <c r="I187" t="str">
        <f>VLOOKUP(A187,'Datetel Jul 10, 2013'!A:A,1,0)</f>
        <v>100_304020_6570_55850_819</v>
      </c>
    </row>
    <row r="188" spans="1:9" x14ac:dyDescent="0.2">
      <c r="A188" t="s">
        <v>14</v>
      </c>
      <c r="B188" t="s">
        <v>909</v>
      </c>
      <c r="C188">
        <v>0</v>
      </c>
      <c r="D188">
        <v>0</v>
      </c>
      <c r="E188" s="793">
        <v>47825</v>
      </c>
      <c r="F188" s="793">
        <v>47825</v>
      </c>
      <c r="G188">
        <v>0</v>
      </c>
      <c r="H188">
        <v>0</v>
      </c>
      <c r="I188" t="str">
        <f>VLOOKUP(A188,'Datetel Jul 10, 2013'!A:A,1,0)</f>
        <v>100_304168_5900_53710_819</v>
      </c>
    </row>
    <row r="189" spans="1:9" x14ac:dyDescent="0.2">
      <c r="A189" t="s">
        <v>15</v>
      </c>
      <c r="B189" t="s">
        <v>909</v>
      </c>
      <c r="C189">
        <v>0</v>
      </c>
      <c r="D189">
        <v>0</v>
      </c>
      <c r="E189" s="793">
        <v>193708.68</v>
      </c>
      <c r="F189" s="793">
        <v>196910</v>
      </c>
      <c r="G189" s="793">
        <v>3201.32</v>
      </c>
      <c r="H189">
        <v>1.63</v>
      </c>
      <c r="I189" t="str">
        <f>VLOOKUP(A189,'Datetel Jul 10, 2013'!A:A,1,0)</f>
        <v>100_304168_6740_53710_819</v>
      </c>
    </row>
    <row r="190" spans="1:9" x14ac:dyDescent="0.2">
      <c r="A190" t="s">
        <v>16</v>
      </c>
      <c r="B190" t="s">
        <v>910</v>
      </c>
      <c r="C190">
        <v>0</v>
      </c>
      <c r="D190">
        <v>0</v>
      </c>
      <c r="E190" s="793">
        <v>398419</v>
      </c>
      <c r="F190" s="793">
        <v>398419</v>
      </c>
      <c r="G190">
        <v>0</v>
      </c>
      <c r="H190">
        <v>0</v>
      </c>
      <c r="I190" t="str">
        <f>VLOOKUP(A190,'Datetel Jul 10, 2013'!A:A,1,0)</f>
        <v>100_304169_7310_57300_819</v>
      </c>
    </row>
    <row r="191" spans="1:9" x14ac:dyDescent="0.2">
      <c r="A191" t="s">
        <v>986</v>
      </c>
      <c r="B191" t="s">
        <v>911</v>
      </c>
      <c r="C191">
        <v>0</v>
      </c>
      <c r="D191">
        <v>0</v>
      </c>
      <c r="E191" s="793">
        <v>25552.560000000001</v>
      </c>
      <c r="F191" s="793">
        <v>32983</v>
      </c>
      <c r="G191" s="793">
        <v>7430.44</v>
      </c>
      <c r="H191">
        <v>22.53</v>
      </c>
      <c r="I191" t="str">
        <f>VLOOKUP(A191,'Datetel Jul 10, 2013'!A:A,1,0)</f>
        <v>100_304170_4900_53510_819</v>
      </c>
    </row>
    <row r="192" spans="1:9" x14ac:dyDescent="0.2">
      <c r="A192" t="s">
        <v>17</v>
      </c>
      <c r="B192" t="s">
        <v>911</v>
      </c>
      <c r="C192">
        <v>0</v>
      </c>
      <c r="D192">
        <v>381.11</v>
      </c>
      <c r="E192" s="793">
        <v>124162.92</v>
      </c>
      <c r="F192" s="793">
        <v>124305</v>
      </c>
      <c r="G192">
        <v>142.08000000000001</v>
      </c>
      <c r="H192">
        <v>0.11</v>
      </c>
      <c r="I192" t="str">
        <f>VLOOKUP(A192,'Datetel Jul 10, 2013'!A:A,1,0)</f>
        <v>100_304170_6720_55160_819</v>
      </c>
    </row>
    <row r="193" spans="1:9" x14ac:dyDescent="0.2">
      <c r="A193" t="s">
        <v>18</v>
      </c>
      <c r="B193" t="s">
        <v>911</v>
      </c>
      <c r="C193">
        <v>0</v>
      </c>
      <c r="D193">
        <v>0</v>
      </c>
      <c r="E193" s="793">
        <v>78700</v>
      </c>
      <c r="F193" s="793">
        <v>82700</v>
      </c>
      <c r="G193" s="793">
        <v>4000</v>
      </c>
      <c r="H193">
        <v>4.84</v>
      </c>
      <c r="I193" t="str">
        <f>VLOOKUP(A193,'Datetel Jul 10, 2013'!A:A,1,0)</f>
        <v>100_304170_6720_55170_819</v>
      </c>
    </row>
    <row r="194" spans="1:9" x14ac:dyDescent="0.2">
      <c r="A194" t="s">
        <v>19</v>
      </c>
      <c r="B194" t="s">
        <v>911</v>
      </c>
      <c r="C194">
        <v>271.97000000000003</v>
      </c>
      <c r="D194">
        <v>350.73</v>
      </c>
      <c r="E194" s="793">
        <v>5569.09</v>
      </c>
      <c r="F194" s="793">
        <v>9500</v>
      </c>
      <c r="G194" s="793">
        <v>3658.94</v>
      </c>
      <c r="H194">
        <v>38.520000000000003</v>
      </c>
      <c r="I194" t="str">
        <f>VLOOKUP(A194,'Datetel Jul 10, 2013'!A:A,1,0)</f>
        <v>100_304170_6720_55185_819</v>
      </c>
    </row>
    <row r="195" spans="1:9" x14ac:dyDescent="0.2">
      <c r="A195" t="s">
        <v>20</v>
      </c>
      <c r="B195" t="s">
        <v>911</v>
      </c>
      <c r="C195">
        <v>0</v>
      </c>
      <c r="D195" s="793">
        <v>1104.08</v>
      </c>
      <c r="E195" s="793">
        <v>6353.28</v>
      </c>
      <c r="F195" s="793">
        <v>15000</v>
      </c>
      <c r="G195" s="793">
        <v>8646.7199999999993</v>
      </c>
      <c r="H195">
        <v>57.64</v>
      </c>
      <c r="I195" t="str">
        <f>VLOOKUP(A195,'Datetel Jul 10, 2013'!A:A,1,0)</f>
        <v>100_304170_6720_55300_819</v>
      </c>
    </row>
    <row r="196" spans="1:9" x14ac:dyDescent="0.2">
      <c r="A196" t="s">
        <v>21</v>
      </c>
      <c r="B196" t="s">
        <v>911</v>
      </c>
      <c r="C196">
        <v>0</v>
      </c>
      <c r="D196">
        <v>0</v>
      </c>
      <c r="E196">
        <v>-81</v>
      </c>
      <c r="F196">
        <v>0</v>
      </c>
      <c r="G196">
        <v>81</v>
      </c>
      <c r="H196">
        <v>0</v>
      </c>
      <c r="I196" t="str">
        <f>VLOOKUP(A196,'Datetel Jul 10, 2013'!A:A,1,0)</f>
        <v>100_304170_6720_55592_819</v>
      </c>
    </row>
    <row r="197" spans="1:9" x14ac:dyDescent="0.2">
      <c r="A197" t="s">
        <v>137</v>
      </c>
      <c r="B197" t="s">
        <v>911</v>
      </c>
      <c r="C197">
        <v>0</v>
      </c>
      <c r="D197">
        <v>6</v>
      </c>
      <c r="E197" s="793">
        <v>34814.36</v>
      </c>
      <c r="F197" s="793">
        <v>15000</v>
      </c>
      <c r="G197" s="793">
        <v>-19814.36</v>
      </c>
      <c r="H197">
        <v>-132.09</v>
      </c>
      <c r="I197" t="str">
        <f>VLOOKUP(A197,'Datetel Jul 10, 2013'!A:A,1,0)</f>
        <v>100_304170_6720_55593_819</v>
      </c>
    </row>
    <row r="198" spans="1:9" x14ac:dyDescent="0.2">
      <c r="A198" t="s">
        <v>138</v>
      </c>
      <c r="B198" t="s">
        <v>911</v>
      </c>
      <c r="C198">
        <v>0</v>
      </c>
      <c r="D198">
        <v>0</v>
      </c>
      <c r="E198" s="793">
        <v>163353.78</v>
      </c>
      <c r="F198" s="793">
        <v>165000</v>
      </c>
      <c r="G198" s="793">
        <v>1646.22</v>
      </c>
      <c r="H198">
        <v>1</v>
      </c>
      <c r="I198" t="str">
        <f>VLOOKUP(A198,'Datetel Jul 10, 2013'!A:A,1,0)</f>
        <v>100_304170_6720_55595_819</v>
      </c>
    </row>
    <row r="199" spans="1:9" x14ac:dyDescent="0.2">
      <c r="A199" t="s">
        <v>336</v>
      </c>
      <c r="B199" t="s">
        <v>911</v>
      </c>
      <c r="C199">
        <v>0</v>
      </c>
      <c r="D199">
        <v>0</v>
      </c>
      <c r="E199" s="793">
        <v>25552.53</v>
      </c>
      <c r="F199" s="793">
        <v>32983</v>
      </c>
      <c r="G199" s="793">
        <v>7430.47</v>
      </c>
      <c r="H199">
        <v>22.53</v>
      </c>
      <c r="I199" t="str">
        <f>VLOOKUP(A199,'Datetel Jul 10, 2013'!A:A,1,0)</f>
        <v>100_304170_6790_53520_819</v>
      </c>
    </row>
    <row r="200" spans="1:9" x14ac:dyDescent="0.2">
      <c r="A200" t="s">
        <v>337</v>
      </c>
      <c r="B200" t="s">
        <v>911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 t="str">
        <f>VLOOKUP(A200,'Datetel Jul 10, 2013'!A:A,1,0)</f>
        <v>100_304170_6790_53530_819</v>
      </c>
    </row>
    <row r="201" spans="1:9" x14ac:dyDescent="0.2">
      <c r="A201" t="s">
        <v>271</v>
      </c>
      <c r="B201" t="s">
        <v>912</v>
      </c>
      <c r="C201" s="793">
        <v>20259.439999999999</v>
      </c>
      <c r="D201" s="793">
        <v>31118.52</v>
      </c>
      <c r="E201" s="793">
        <v>250240.56</v>
      </c>
      <c r="F201" s="793">
        <v>270500</v>
      </c>
      <c r="G201">
        <v>0</v>
      </c>
      <c r="H201">
        <v>0</v>
      </c>
      <c r="I201" t="str">
        <f>VLOOKUP(A201,'Datetel Jul 10, 2013'!A:A,1,0)</f>
        <v>100_304180_6600_55150_819</v>
      </c>
    </row>
    <row r="202" spans="1:9" x14ac:dyDescent="0.2">
      <c r="A202" t="s">
        <v>23</v>
      </c>
      <c r="B202" t="s">
        <v>912</v>
      </c>
      <c r="C202">
        <v>0</v>
      </c>
      <c r="D202">
        <v>0</v>
      </c>
      <c r="E202" s="793">
        <v>44151.32</v>
      </c>
      <c r="F202" s="793">
        <v>50000</v>
      </c>
      <c r="G202" s="793">
        <v>5848.68</v>
      </c>
      <c r="H202">
        <v>11.7</v>
      </c>
      <c r="I202" t="str">
        <f>VLOOKUP(A202,'Datetel Jul 10, 2013'!A:A,1,0)</f>
        <v>100_304180_6600_55910_819</v>
      </c>
    </row>
    <row r="203" spans="1:9" x14ac:dyDescent="0.2">
      <c r="A203" t="s">
        <v>362</v>
      </c>
      <c r="B203" t="s">
        <v>912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 t="str">
        <f>VLOOKUP(A203,'Datetel Jul 10, 2013'!A:A,1,0)</f>
        <v>100_304180_6720_52350_819</v>
      </c>
    </row>
    <row r="204" spans="1:9" x14ac:dyDescent="0.2">
      <c r="A204" t="s">
        <v>674</v>
      </c>
      <c r="B204" t="s">
        <v>912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 t="str">
        <f>VLOOKUP(A204,'Datetel Jul 10, 2013'!A:A,1,0)</f>
        <v>100_304180_6720_55150_819</v>
      </c>
    </row>
    <row r="205" spans="1:9" x14ac:dyDescent="0.2">
      <c r="A205" t="s">
        <v>799</v>
      </c>
      <c r="B205" t="s">
        <v>912</v>
      </c>
      <c r="C205">
        <v>0</v>
      </c>
      <c r="D205">
        <v>0</v>
      </c>
      <c r="E205">
        <v>412.5</v>
      </c>
      <c r="F205">
        <v>413</v>
      </c>
      <c r="G205">
        <v>0.5</v>
      </c>
      <c r="H205">
        <v>0.12</v>
      </c>
      <c r="I205" t="str">
        <f>VLOOKUP(A205,'Datetel Jul 10, 2013'!A:A,1,0)</f>
        <v>100_304180_6770_52320_819</v>
      </c>
    </row>
    <row r="206" spans="1:9" x14ac:dyDescent="0.2">
      <c r="A206" t="s">
        <v>385</v>
      </c>
      <c r="B206" t="s">
        <v>912</v>
      </c>
      <c r="C206">
        <v>0</v>
      </c>
      <c r="D206" s="793">
        <v>3775</v>
      </c>
      <c r="E206" s="793">
        <v>26975</v>
      </c>
      <c r="F206" s="793">
        <v>38000</v>
      </c>
      <c r="G206" s="793">
        <v>11025</v>
      </c>
      <c r="H206">
        <v>29.01</v>
      </c>
      <c r="I206" t="str">
        <f>VLOOKUP(A206,'Datetel Jul 10, 2013'!A:A,1,0)</f>
        <v>100_304180_6770_52350_819</v>
      </c>
    </row>
    <row r="207" spans="1:9" x14ac:dyDescent="0.2">
      <c r="A207" t="s">
        <v>801</v>
      </c>
      <c r="B207" t="s">
        <v>912</v>
      </c>
      <c r="C207">
        <v>0</v>
      </c>
      <c r="D207">
        <v>54.74</v>
      </c>
      <c r="E207">
        <v>397.14</v>
      </c>
      <c r="F207">
        <v>575</v>
      </c>
      <c r="G207">
        <v>177.86</v>
      </c>
      <c r="H207">
        <v>30.93</v>
      </c>
      <c r="I207" t="str">
        <f>VLOOKUP(A207,'Datetel Jul 10, 2013'!A:A,1,0)</f>
        <v>100_304180_6770_53323_819</v>
      </c>
    </row>
    <row r="208" spans="1:9" x14ac:dyDescent="0.2">
      <c r="A208" t="s">
        <v>802</v>
      </c>
      <c r="B208" t="s">
        <v>912</v>
      </c>
      <c r="C208">
        <v>0</v>
      </c>
      <c r="D208">
        <v>41.53</v>
      </c>
      <c r="E208">
        <v>301.27999999999997</v>
      </c>
      <c r="F208">
        <v>440</v>
      </c>
      <c r="G208">
        <v>138.72</v>
      </c>
      <c r="H208">
        <v>31.53</v>
      </c>
      <c r="I208" t="str">
        <f>VLOOKUP(A208,'Datetel Jul 10, 2013'!A:A,1,0)</f>
        <v>100_304180_6770_53520_819</v>
      </c>
    </row>
    <row r="209" spans="1:9" x14ac:dyDescent="0.2">
      <c r="A209" t="s">
        <v>677</v>
      </c>
      <c r="B209" t="s">
        <v>912</v>
      </c>
      <c r="C209">
        <v>0</v>
      </c>
      <c r="D209">
        <v>55.76</v>
      </c>
      <c r="E209">
        <v>404.51</v>
      </c>
      <c r="F209">
        <v>572</v>
      </c>
      <c r="G209">
        <v>167.49</v>
      </c>
      <c r="H209">
        <v>29.28</v>
      </c>
      <c r="I209" t="str">
        <f>VLOOKUP(A209,'Datetel Jul 10, 2013'!A:A,1,0)</f>
        <v>100_304180_6770_53620_819</v>
      </c>
    </row>
    <row r="210" spans="1:9" x14ac:dyDescent="0.2">
      <c r="A210" t="s">
        <v>25</v>
      </c>
      <c r="B210" t="s">
        <v>913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 t="str">
        <f>VLOOKUP(A210,'Datetel Jul 10, 2013'!A:A,1,0)</f>
        <v>100_304190_5900_53450_819</v>
      </c>
    </row>
    <row r="211" spans="1:9" x14ac:dyDescent="0.2">
      <c r="A211" t="s">
        <v>424</v>
      </c>
      <c r="B211" t="s">
        <v>913</v>
      </c>
      <c r="C211">
        <v>0</v>
      </c>
      <c r="D211">
        <v>0</v>
      </c>
      <c r="E211" s="793">
        <v>15480</v>
      </c>
      <c r="F211" s="793">
        <v>15480</v>
      </c>
      <c r="G211">
        <v>0</v>
      </c>
      <c r="H211">
        <v>0</v>
      </c>
      <c r="I211" t="str">
        <f>VLOOKUP(A211,'Datetel Jul 10, 2013'!A:A,1,0)</f>
        <v>100_304190_6720_55160_819</v>
      </c>
    </row>
    <row r="212" spans="1:9" x14ac:dyDescent="0.2">
      <c r="A212" t="s">
        <v>27</v>
      </c>
      <c r="B212" t="s">
        <v>913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 t="str">
        <f>VLOOKUP(A212,'Datetel Jul 10, 2013'!A:A,1,0)</f>
        <v>100_304190_6740_53450_819</v>
      </c>
    </row>
    <row r="213" spans="1:9" x14ac:dyDescent="0.2">
      <c r="A213" t="s">
        <v>803</v>
      </c>
      <c r="B213" t="s">
        <v>913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 t="e">
        <f>VLOOKUP(A213,'Datetel Jul 10, 2013'!A:A,1,0)</f>
        <v>#N/A</v>
      </c>
    </row>
    <row r="214" spans="1:9" x14ac:dyDescent="0.2">
      <c r="A214" t="s">
        <v>1047</v>
      </c>
      <c r="B214" t="s">
        <v>913</v>
      </c>
      <c r="C214">
        <v>0</v>
      </c>
      <c r="D214">
        <v>0</v>
      </c>
      <c r="E214" s="793">
        <v>7822000</v>
      </c>
      <c r="F214" s="793">
        <v>7972000</v>
      </c>
      <c r="G214" s="793">
        <v>150000</v>
      </c>
      <c r="H214">
        <v>1.88</v>
      </c>
      <c r="I214" t="str">
        <f>VLOOKUP(A214,'Datetel Jul 10, 2013'!A:A,1,0)</f>
        <v>100_304190_7310_57300_819</v>
      </c>
    </row>
    <row r="215" spans="1:9" x14ac:dyDescent="0.2">
      <c r="A215" t="s">
        <v>804</v>
      </c>
      <c r="B215" t="s">
        <v>681</v>
      </c>
      <c r="C215">
        <v>0</v>
      </c>
      <c r="D215">
        <v>0</v>
      </c>
      <c r="E215" s="793">
        <v>-47186.22</v>
      </c>
      <c r="F215" s="793">
        <v>-52000</v>
      </c>
      <c r="G215" s="793">
        <v>-4813.78</v>
      </c>
      <c r="H215">
        <v>9.26</v>
      </c>
      <c r="I215" t="str">
        <f>VLOOKUP(A215,'Datetel Jul 10, 2013'!A:A,1,0)</f>
        <v>100_304197_0000_48896_818</v>
      </c>
    </row>
    <row r="216" spans="1:9" x14ac:dyDescent="0.2">
      <c r="A216" t="s">
        <v>806</v>
      </c>
      <c r="B216" t="s">
        <v>681</v>
      </c>
      <c r="C216">
        <v>0</v>
      </c>
      <c r="D216" s="793">
        <v>-89086.65</v>
      </c>
      <c r="E216" s="793">
        <v>-815323.64</v>
      </c>
      <c r="F216" s="793">
        <v>-683000</v>
      </c>
      <c r="G216" s="793">
        <v>132323.64000000001</v>
      </c>
      <c r="H216">
        <v>-19.36</v>
      </c>
      <c r="I216" t="str">
        <f>VLOOKUP(A216,'Datetel Jul 10, 2013'!A:A,1,0)</f>
        <v>100_304197_0000_48897_818</v>
      </c>
    </row>
    <row r="217" spans="1:9" x14ac:dyDescent="0.2">
      <c r="A217" t="s">
        <v>680</v>
      </c>
      <c r="B217" t="s">
        <v>681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 t="str">
        <f>VLOOKUP(A217,'Datetel Jul 10, 2013'!A:A,1,0)</f>
        <v>100_304197_0000_48897_819</v>
      </c>
    </row>
    <row r="218" spans="1:9" x14ac:dyDescent="0.2">
      <c r="A218" t="s">
        <v>807</v>
      </c>
      <c r="B218" t="s">
        <v>681</v>
      </c>
      <c r="C218">
        <v>0</v>
      </c>
      <c r="D218">
        <v>0</v>
      </c>
      <c r="E218">
        <v>10.46</v>
      </c>
      <c r="F218">
        <v>0</v>
      </c>
      <c r="G218">
        <v>-10.46</v>
      </c>
      <c r="H218">
        <v>0</v>
      </c>
      <c r="I218" t="str">
        <f>VLOOKUP(A218,'Datetel Jul 10, 2013'!A:A,1,0)</f>
        <v>100_304197_6720_55185_819</v>
      </c>
    </row>
    <row r="219" spans="1:9" x14ac:dyDescent="0.2">
      <c r="A219" t="s">
        <v>808</v>
      </c>
      <c r="B219" t="s">
        <v>681</v>
      </c>
      <c r="C219">
        <v>0</v>
      </c>
      <c r="D219">
        <v>0</v>
      </c>
      <c r="E219" s="793">
        <v>1400</v>
      </c>
      <c r="F219" s="793">
        <v>1400</v>
      </c>
      <c r="G219">
        <v>0</v>
      </c>
      <c r="H219">
        <v>0</v>
      </c>
      <c r="I219" t="str">
        <f>VLOOKUP(A219,'Datetel Jul 10, 2013'!A:A,1,0)</f>
        <v>100_304197_7210_57131_819</v>
      </c>
    </row>
    <row r="220" spans="1:9" x14ac:dyDescent="0.2">
      <c r="A220" t="s">
        <v>767</v>
      </c>
      <c r="B220" t="s">
        <v>681</v>
      </c>
      <c r="C220">
        <v>0</v>
      </c>
      <c r="D220">
        <v>0</v>
      </c>
      <c r="E220" s="793">
        <v>565605.06000000006</v>
      </c>
      <c r="F220" s="793">
        <v>683000</v>
      </c>
      <c r="G220" s="793">
        <v>117394.94</v>
      </c>
      <c r="H220">
        <v>17.190000000000001</v>
      </c>
      <c r="I220" t="str">
        <f>VLOOKUP(A220,'Datetel Jul 10, 2013'!A:A,1,0)</f>
        <v>100_304197_7310_57300_818</v>
      </c>
    </row>
    <row r="221" spans="1:9" x14ac:dyDescent="0.2">
      <c r="A221" t="s">
        <v>693</v>
      </c>
      <c r="B221" t="s">
        <v>681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 t="str">
        <f>VLOOKUP(A221,'Datetel Jul 10, 2013'!A:A,1,0)</f>
        <v>100_304197_7310_57300_819</v>
      </c>
    </row>
    <row r="222" spans="1:9" x14ac:dyDescent="0.2">
      <c r="A222" t="s">
        <v>28</v>
      </c>
      <c r="B222" t="s">
        <v>914</v>
      </c>
      <c r="C222">
        <v>0</v>
      </c>
      <c r="D222">
        <v>0</v>
      </c>
      <c r="E222">
        <v>0</v>
      </c>
      <c r="F222" s="793">
        <v>-11436</v>
      </c>
      <c r="G222" s="793">
        <v>-11436</v>
      </c>
      <c r="H222">
        <v>100</v>
      </c>
      <c r="I222" t="str">
        <f>VLOOKUP(A222,'Datetel Jul 10, 2013'!A:A,1,0)</f>
        <v>100_305200_4900_51316_819</v>
      </c>
    </row>
    <row r="223" spans="1:9" x14ac:dyDescent="0.2">
      <c r="A223" t="s">
        <v>29</v>
      </c>
      <c r="B223" t="s">
        <v>915</v>
      </c>
      <c r="C223">
        <v>0</v>
      </c>
      <c r="D223">
        <v>0</v>
      </c>
      <c r="E223" s="793">
        <v>2828.37</v>
      </c>
      <c r="F223" s="793">
        <v>7500</v>
      </c>
      <c r="G223" s="793">
        <v>4671.63</v>
      </c>
      <c r="H223">
        <v>62.29</v>
      </c>
      <c r="I223" t="str">
        <f>VLOOKUP(A223,'Datetel Jul 10, 2013'!A:A,1,0)</f>
        <v>100_305200_4900_53110_819</v>
      </c>
    </row>
    <row r="224" spans="1:9" x14ac:dyDescent="0.2">
      <c r="A224" t="s">
        <v>30</v>
      </c>
      <c r="B224" t="s">
        <v>916</v>
      </c>
      <c r="C224">
        <v>0</v>
      </c>
      <c r="D224">
        <v>0</v>
      </c>
      <c r="E224" s="793">
        <v>60000.02</v>
      </c>
      <c r="F224" s="793">
        <v>60000</v>
      </c>
      <c r="G224">
        <v>-0.02</v>
      </c>
      <c r="H224">
        <v>0</v>
      </c>
      <c r="I224" t="str">
        <f>VLOOKUP(A224,'Datetel Jul 10, 2013'!A:A,1,0)</f>
        <v>100_305200_4900_53410_819</v>
      </c>
    </row>
    <row r="225" spans="1:9" x14ac:dyDescent="0.2">
      <c r="A225" t="s">
        <v>31</v>
      </c>
      <c r="B225" t="s">
        <v>917</v>
      </c>
      <c r="C225">
        <v>0</v>
      </c>
      <c r="D225">
        <v>0</v>
      </c>
      <c r="E225" s="793">
        <v>104705.96</v>
      </c>
      <c r="F225" s="793">
        <v>200000</v>
      </c>
      <c r="G225" s="793">
        <v>95294.04</v>
      </c>
      <c r="H225">
        <v>47.65</v>
      </c>
      <c r="I225" t="str">
        <f>VLOOKUP(A225,'Datetel Jul 10, 2013'!A:A,1,0)</f>
        <v>100_305200_6700_53311_819</v>
      </c>
    </row>
    <row r="226" spans="1:9" x14ac:dyDescent="0.2">
      <c r="A226" t="s">
        <v>706</v>
      </c>
      <c r="B226" t="s">
        <v>917</v>
      </c>
      <c r="C226">
        <v>0</v>
      </c>
      <c r="D226" s="793">
        <v>74726.48</v>
      </c>
      <c r="E226" s="793">
        <v>74726.48</v>
      </c>
      <c r="F226">
        <v>0</v>
      </c>
      <c r="G226" s="793">
        <v>-74726.48</v>
      </c>
      <c r="H226">
        <v>0</v>
      </c>
      <c r="I226" t="str">
        <f>VLOOKUP(A226,'Datetel Jul 10, 2013'!A:A,1,0)</f>
        <v>100_305200_6730_53311_819</v>
      </c>
    </row>
    <row r="227" spans="1:9" x14ac:dyDescent="0.2">
      <c r="A227" t="s">
        <v>32</v>
      </c>
      <c r="B227" t="s">
        <v>918</v>
      </c>
      <c r="C227" s="793">
        <v>-2856.21</v>
      </c>
      <c r="D227" s="793">
        <v>6311.32</v>
      </c>
      <c r="E227" s="793">
        <v>47080.26</v>
      </c>
      <c r="F227" s="793">
        <v>43900</v>
      </c>
      <c r="G227">
        <v>-324.05</v>
      </c>
      <c r="H227">
        <v>-0.73</v>
      </c>
      <c r="I227" t="str">
        <f>VLOOKUP(A227,'Datetel Jul 10, 2013'!A:A,1,0)</f>
        <v>100_305200_6730_54210_819</v>
      </c>
    </row>
    <row r="228" spans="1:9" x14ac:dyDescent="0.2">
      <c r="A228" t="s">
        <v>33</v>
      </c>
      <c r="B228" t="s">
        <v>919</v>
      </c>
      <c r="C228" s="793">
        <v>6867.95</v>
      </c>
      <c r="D228" s="793">
        <v>24865.72</v>
      </c>
      <c r="E228" s="793">
        <v>175259.76</v>
      </c>
      <c r="F228" s="793">
        <v>179057</v>
      </c>
      <c r="G228" s="793">
        <v>-3070.71</v>
      </c>
      <c r="H228">
        <v>-1.7</v>
      </c>
      <c r="I228" t="str">
        <f>VLOOKUP(A228,'Datetel Jul 10, 2013'!A:A,1,0)</f>
        <v>100_305200_6730_55160_819</v>
      </c>
    </row>
    <row r="229" spans="1:9" x14ac:dyDescent="0.2">
      <c r="A229" t="s">
        <v>34</v>
      </c>
      <c r="B229" t="s">
        <v>920</v>
      </c>
      <c r="C229" s="793">
        <v>33488.82</v>
      </c>
      <c r="D229" s="793">
        <v>1480</v>
      </c>
      <c r="E229" s="793">
        <v>28140.18</v>
      </c>
      <c r="F229" s="793">
        <v>70000</v>
      </c>
      <c r="G229" s="793">
        <v>8371</v>
      </c>
      <c r="H229">
        <v>11.96</v>
      </c>
      <c r="I229" t="str">
        <f>VLOOKUP(A229,'Datetel Jul 10, 2013'!A:A,1,0)</f>
        <v>100_305200_6730_55400_819</v>
      </c>
    </row>
    <row r="230" spans="1:9" x14ac:dyDescent="0.2">
      <c r="A230" t="s">
        <v>35</v>
      </c>
      <c r="B230" t="s">
        <v>919</v>
      </c>
      <c r="C230">
        <v>0</v>
      </c>
      <c r="D230">
        <v>0</v>
      </c>
      <c r="E230">
        <v>0</v>
      </c>
      <c r="F230" s="793">
        <v>3000</v>
      </c>
      <c r="G230" s="793">
        <v>3000</v>
      </c>
      <c r="H230">
        <v>100</v>
      </c>
      <c r="I230" t="str">
        <f>VLOOKUP(A230,'Datetel Jul 10, 2013'!A:A,1,0)</f>
        <v>100_305200_6730_55900_819</v>
      </c>
    </row>
    <row r="231" spans="1:9" x14ac:dyDescent="0.2">
      <c r="A231" t="s">
        <v>36</v>
      </c>
      <c r="B231" t="s">
        <v>921</v>
      </c>
      <c r="C231">
        <v>0</v>
      </c>
      <c r="D231">
        <v>0</v>
      </c>
      <c r="E231">
        <v>0</v>
      </c>
      <c r="F231" s="793">
        <v>5200</v>
      </c>
      <c r="G231" s="793">
        <v>5200</v>
      </c>
      <c r="H231">
        <v>100</v>
      </c>
      <c r="I231" t="str">
        <f>VLOOKUP(A231,'Datetel Jul 10, 2013'!A:A,1,0)</f>
        <v>100_305225_6750_55125_819</v>
      </c>
    </row>
    <row r="232" spans="1:9" x14ac:dyDescent="0.2">
      <c r="A232" t="s">
        <v>37</v>
      </c>
      <c r="B232" t="s">
        <v>922</v>
      </c>
      <c r="C232">
        <v>0</v>
      </c>
      <c r="D232">
        <v>0</v>
      </c>
      <c r="E232">
        <v>0</v>
      </c>
      <c r="F232" s="793">
        <v>1000</v>
      </c>
      <c r="G232" s="793">
        <v>1000</v>
      </c>
      <c r="H232">
        <v>100</v>
      </c>
      <c r="I232" t="str">
        <f>VLOOKUP(A232,'Datetel Jul 10, 2013'!A:A,1,0)</f>
        <v>100_305226_6700_52325_819</v>
      </c>
    </row>
    <row r="233" spans="1:9" x14ac:dyDescent="0.2">
      <c r="A233" t="s">
        <v>40</v>
      </c>
      <c r="B233" t="s">
        <v>923</v>
      </c>
      <c r="C233">
        <v>211</v>
      </c>
      <c r="D233">
        <v>140</v>
      </c>
      <c r="E233" s="793">
        <v>2639.86</v>
      </c>
      <c r="F233" s="793">
        <v>4000</v>
      </c>
      <c r="G233" s="793">
        <v>1149.1400000000001</v>
      </c>
      <c r="H233">
        <v>28.73</v>
      </c>
      <c r="I233" t="str">
        <f>VLOOKUP(A233,'Datetel Jul 10, 2013'!A:A,1,0)</f>
        <v>100_306000_6750_55125_819</v>
      </c>
    </row>
    <row r="234" spans="1:9" x14ac:dyDescent="0.2">
      <c r="A234" t="s">
        <v>326</v>
      </c>
      <c r="B234" t="s">
        <v>924</v>
      </c>
      <c r="C234">
        <v>0</v>
      </c>
      <c r="D234">
        <v>0</v>
      </c>
      <c r="E234" s="793">
        <v>17940.150000000001</v>
      </c>
      <c r="F234" s="793">
        <v>17941</v>
      </c>
      <c r="G234">
        <v>0.85</v>
      </c>
      <c r="H234">
        <v>0</v>
      </c>
      <c r="I234" t="str">
        <f>VLOOKUP(A234,'Datetel Jul 10, 2013'!A:A,1,0)</f>
        <v>100_308500_6770_55160_819</v>
      </c>
    </row>
    <row r="235" spans="1:9" x14ac:dyDescent="0.2">
      <c r="A235" t="s">
        <v>318</v>
      </c>
      <c r="B235" t="s">
        <v>925</v>
      </c>
      <c r="C235" s="793">
        <v>1835.36</v>
      </c>
      <c r="D235" s="793">
        <v>1123.92</v>
      </c>
      <c r="E235" s="793">
        <v>9288.51</v>
      </c>
      <c r="F235" s="793">
        <v>11124</v>
      </c>
      <c r="G235">
        <v>0.13</v>
      </c>
      <c r="H235">
        <v>0</v>
      </c>
      <c r="I235" t="str">
        <f>VLOOKUP(A235,'Datetel Jul 10, 2013'!A:A,1,0)</f>
        <v>100_308600_6770_55160_819</v>
      </c>
    </row>
    <row r="236" spans="1:9" x14ac:dyDescent="0.2">
      <c r="A236" t="s">
        <v>319</v>
      </c>
      <c r="B236" t="s">
        <v>925</v>
      </c>
      <c r="C236">
        <v>0</v>
      </c>
      <c r="D236">
        <v>0</v>
      </c>
      <c r="E236" s="793">
        <v>6200</v>
      </c>
      <c r="F236" s="793">
        <v>6578</v>
      </c>
      <c r="G236">
        <v>378</v>
      </c>
      <c r="H236">
        <v>5.75</v>
      </c>
      <c r="I236" t="str">
        <f>VLOOKUP(A236,'Datetel Jul 10, 2013'!A:A,1,0)</f>
        <v>100_308600_6770_55500_819</v>
      </c>
    </row>
    <row r="237" spans="1:9" x14ac:dyDescent="0.2">
      <c r="A237" t="s">
        <v>315</v>
      </c>
      <c r="B237" t="s">
        <v>719</v>
      </c>
      <c r="C237">
        <v>380</v>
      </c>
      <c r="D237">
        <v>0</v>
      </c>
      <c r="E237" s="793">
        <v>5947</v>
      </c>
      <c r="F237" s="793">
        <v>7124</v>
      </c>
      <c r="G237">
        <v>797</v>
      </c>
      <c r="H237">
        <v>11.19</v>
      </c>
      <c r="I237" t="str">
        <f>VLOOKUP(A237,'Datetel Jul 10, 2013'!A:A,1,0)</f>
        <v>100_308601_6770_55120_819</v>
      </c>
    </row>
    <row r="238" spans="1:9" x14ac:dyDescent="0.2">
      <c r="A238" t="s">
        <v>355</v>
      </c>
      <c r="B238" t="s">
        <v>719</v>
      </c>
      <c r="C238">
        <v>0</v>
      </c>
      <c r="D238">
        <v>0</v>
      </c>
      <c r="E238">
        <v>0</v>
      </c>
      <c r="F238" s="793">
        <v>4590</v>
      </c>
      <c r="G238" s="793">
        <v>4590</v>
      </c>
      <c r="H238">
        <v>100</v>
      </c>
      <c r="I238" t="str">
        <f>VLOOKUP(A238,'Datetel Jul 10, 2013'!A:A,1,0)</f>
        <v>100_308601_6770_55160_819</v>
      </c>
    </row>
    <row r="239" spans="1:9" x14ac:dyDescent="0.2">
      <c r="A239" t="s">
        <v>317</v>
      </c>
      <c r="B239" t="s">
        <v>926</v>
      </c>
      <c r="C239">
        <v>0</v>
      </c>
      <c r="D239" s="793">
        <v>-3908.6</v>
      </c>
      <c r="E239">
        <v>0</v>
      </c>
      <c r="F239">
        <v>0</v>
      </c>
      <c r="G239">
        <v>0</v>
      </c>
      <c r="H239">
        <v>0</v>
      </c>
      <c r="I239" t="str">
        <f>VLOOKUP(A239,'Datetel Jul 10, 2013'!A:A,1,0)</f>
        <v>100_308602_6770_55120_819</v>
      </c>
    </row>
    <row r="240" spans="1:9" x14ac:dyDescent="0.2">
      <c r="A240" t="s">
        <v>1017</v>
      </c>
      <c r="B240" t="s">
        <v>1035</v>
      </c>
      <c r="C240">
        <v>0</v>
      </c>
      <c r="D240" s="793">
        <v>4405.6400000000003</v>
      </c>
      <c r="E240" s="793">
        <v>4194.6400000000003</v>
      </c>
      <c r="F240" s="793">
        <v>7000</v>
      </c>
      <c r="G240" s="793">
        <v>2805.36</v>
      </c>
      <c r="H240">
        <v>40.08</v>
      </c>
      <c r="I240" t="str">
        <f>VLOOKUP(A240,'Datetel Jul 10, 2013'!A:A,1,0)</f>
        <v>100_308602_6770_55200_819</v>
      </c>
    </row>
    <row r="241" spans="1:9" x14ac:dyDescent="0.2">
      <c r="A241" t="s">
        <v>316</v>
      </c>
      <c r="B241" t="s">
        <v>927</v>
      </c>
      <c r="C241" s="793">
        <v>1089.3499999999999</v>
      </c>
      <c r="D241" s="793">
        <v>5618.48</v>
      </c>
      <c r="E241" s="793">
        <v>13708.29</v>
      </c>
      <c r="F241" s="793">
        <v>14759</v>
      </c>
      <c r="G241">
        <v>-38.64</v>
      </c>
      <c r="H241">
        <v>-0.25</v>
      </c>
      <c r="I241" t="str">
        <f>VLOOKUP(A241,'Datetel Jul 10, 2013'!A:A,1,0)</f>
        <v>100_308603_6770_55120_819</v>
      </c>
    </row>
    <row r="242" spans="1:9" x14ac:dyDescent="0.2">
      <c r="A242" t="s">
        <v>314</v>
      </c>
      <c r="B242" t="s">
        <v>928</v>
      </c>
      <c r="C242" s="793">
        <v>2384.12</v>
      </c>
      <c r="D242">
        <v>234</v>
      </c>
      <c r="E242" s="793">
        <v>35615.879999999997</v>
      </c>
      <c r="F242" s="793">
        <v>38000</v>
      </c>
      <c r="G242">
        <v>0</v>
      </c>
      <c r="H242">
        <v>0</v>
      </c>
      <c r="I242" t="str">
        <f>VLOOKUP(A242,'Datetel Jul 10, 2013'!A:A,1,0)</f>
        <v>100_308604_6770_55120_819</v>
      </c>
    </row>
    <row r="243" spans="1:9" x14ac:dyDescent="0.2">
      <c r="A243" t="s">
        <v>146</v>
      </c>
      <c r="B243" t="s">
        <v>929</v>
      </c>
      <c r="C243">
        <v>559.88</v>
      </c>
      <c r="D243">
        <v>664.27</v>
      </c>
      <c r="E243" s="793">
        <v>5471.81</v>
      </c>
      <c r="F243" s="793">
        <v>7000</v>
      </c>
      <c r="G243">
        <v>968.31</v>
      </c>
      <c r="H243">
        <v>13.83</v>
      </c>
      <c r="I243" t="str">
        <f>VLOOKUP(A243,'Datetel Jul 10, 2013'!A:A,1,0)</f>
        <v>100_309600_6770_54215_819</v>
      </c>
    </row>
    <row r="244" spans="1:9" x14ac:dyDescent="0.2">
      <c r="A244" t="s">
        <v>1048</v>
      </c>
      <c r="B244" t="s">
        <v>929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 t="e">
        <f>VLOOKUP(A244,'Datetel Jul 10, 2013'!A:A,1,0)</f>
        <v>#N/A</v>
      </c>
    </row>
    <row r="245" spans="1:9" x14ac:dyDescent="0.2">
      <c r="A245" t="s">
        <v>41</v>
      </c>
      <c r="B245" t="s">
        <v>929</v>
      </c>
      <c r="C245">
        <v>0</v>
      </c>
      <c r="D245">
        <v>0</v>
      </c>
      <c r="E245" s="793">
        <v>668275.36</v>
      </c>
      <c r="F245" s="793">
        <v>679644</v>
      </c>
      <c r="G245" s="793">
        <v>11368.64</v>
      </c>
      <c r="H245">
        <v>1.67</v>
      </c>
      <c r="I245" t="str">
        <f>VLOOKUP(A245,'Datetel Jul 10, 2013'!A:A,1,0)</f>
        <v>100_309600_6770_55940_819</v>
      </c>
    </row>
    <row r="246" spans="1:9" x14ac:dyDescent="0.2">
      <c r="A246" t="s">
        <v>811</v>
      </c>
      <c r="B246" t="s">
        <v>930</v>
      </c>
      <c r="C246">
        <v>657.47</v>
      </c>
      <c r="D246" s="793">
        <v>9129.14</v>
      </c>
      <c r="E246" s="793">
        <v>19321.68</v>
      </c>
      <c r="F246" s="793">
        <v>21100</v>
      </c>
      <c r="G246" s="793">
        <v>1120.8499999999999</v>
      </c>
      <c r="H246">
        <v>5.31</v>
      </c>
      <c r="I246" t="str">
        <f>VLOOKUP(A246,'Datetel Jul 10, 2013'!A:A,1,0)</f>
        <v>100_309660_6770_54210_819</v>
      </c>
    </row>
    <row r="247" spans="1:9" x14ac:dyDescent="0.2">
      <c r="A247" t="s">
        <v>813</v>
      </c>
      <c r="B247" t="s">
        <v>930</v>
      </c>
      <c r="C247" s="793">
        <v>1380.89</v>
      </c>
      <c r="D247" s="793">
        <v>9671.9</v>
      </c>
      <c r="E247" s="793">
        <v>48445.01</v>
      </c>
      <c r="F247" s="793">
        <v>57000</v>
      </c>
      <c r="G247" s="793">
        <v>7174.1</v>
      </c>
      <c r="H247">
        <v>12.59</v>
      </c>
      <c r="I247" t="str">
        <f>VLOOKUP(A247,'Datetel Jul 10, 2013'!A:A,1,0)</f>
        <v>100_309660_6770_55160_819</v>
      </c>
    </row>
    <row r="248" spans="1:9" x14ac:dyDescent="0.2">
      <c r="A248" t="s">
        <v>43</v>
      </c>
      <c r="B248" t="s">
        <v>931</v>
      </c>
      <c r="C248">
        <v>0</v>
      </c>
      <c r="D248">
        <v>0</v>
      </c>
      <c r="E248" s="793">
        <v>55263.55</v>
      </c>
      <c r="F248" s="793">
        <v>55264</v>
      </c>
      <c r="G248">
        <v>0.45</v>
      </c>
      <c r="H248">
        <v>0</v>
      </c>
      <c r="I248" t="str">
        <f>VLOOKUP(A248,'Datetel Jul 10, 2013'!A:A,1,0)</f>
        <v>100_310700_6750_55500_819</v>
      </c>
    </row>
    <row r="249" spans="1:9" x14ac:dyDescent="0.2">
      <c r="A249" t="s">
        <v>44</v>
      </c>
      <c r="B249" t="s">
        <v>931</v>
      </c>
      <c r="C249" s="793">
        <v>2440.3000000000002</v>
      </c>
      <c r="D249">
        <v>128.41</v>
      </c>
      <c r="E249" s="793">
        <v>24002.84</v>
      </c>
      <c r="F249" s="793">
        <v>51538</v>
      </c>
      <c r="G249" s="793">
        <v>25094.86</v>
      </c>
      <c r="H249">
        <v>48.69</v>
      </c>
      <c r="I249" t="str">
        <f>VLOOKUP(A249,'Datetel Jul 10, 2013'!A:A,1,0)</f>
        <v>100_310700_6780_54210_819</v>
      </c>
    </row>
    <row r="250" spans="1:9" x14ac:dyDescent="0.2">
      <c r="A250" t="s">
        <v>45</v>
      </c>
      <c r="B250" t="s">
        <v>931</v>
      </c>
      <c r="C250">
        <v>0</v>
      </c>
      <c r="D250">
        <v>0</v>
      </c>
      <c r="E250" s="793">
        <v>21217.3</v>
      </c>
      <c r="F250" s="793">
        <v>21217</v>
      </c>
      <c r="G250">
        <v>-0.3</v>
      </c>
      <c r="H250">
        <v>0</v>
      </c>
      <c r="I250" t="str">
        <f>VLOOKUP(A250,'Datetel Jul 10, 2013'!A:A,1,0)</f>
        <v>100_310700_6780_54230_819</v>
      </c>
    </row>
    <row r="251" spans="1:9" x14ac:dyDescent="0.2">
      <c r="A251" t="s">
        <v>420</v>
      </c>
      <c r="B251" t="s">
        <v>931</v>
      </c>
      <c r="C251">
        <v>195</v>
      </c>
      <c r="D251">
        <v>0</v>
      </c>
      <c r="E251" s="793">
        <v>215658.52</v>
      </c>
      <c r="F251" s="793">
        <v>219443</v>
      </c>
      <c r="G251" s="793">
        <v>3589.48</v>
      </c>
      <c r="H251">
        <v>1.64</v>
      </c>
      <c r="I251" t="str">
        <f>VLOOKUP(A251,'Datetel Jul 10, 2013'!A:A,1,0)</f>
        <v>100_310700_6780_55500_819</v>
      </c>
    </row>
    <row r="252" spans="1:9" x14ac:dyDescent="0.2">
      <c r="A252" t="s">
        <v>47</v>
      </c>
      <c r="B252" t="s">
        <v>931</v>
      </c>
      <c r="C252" s="793">
        <v>1038.25</v>
      </c>
      <c r="D252" s="793">
        <v>19226.509999999998</v>
      </c>
      <c r="E252" s="793">
        <v>830011.58</v>
      </c>
      <c r="F252" s="793">
        <v>862996</v>
      </c>
      <c r="G252" s="793">
        <v>31946.17</v>
      </c>
      <c r="H252">
        <v>3.7</v>
      </c>
      <c r="I252" t="str">
        <f>VLOOKUP(A252,'Datetel Jul 10, 2013'!A:A,1,0)</f>
        <v>100_310700_6780_55510_819</v>
      </c>
    </row>
    <row r="253" spans="1:9" x14ac:dyDescent="0.2">
      <c r="A253" t="s">
        <v>48</v>
      </c>
      <c r="B253" t="s">
        <v>931</v>
      </c>
      <c r="C253">
        <v>0</v>
      </c>
      <c r="D253">
        <v>0</v>
      </c>
      <c r="E253" s="793">
        <v>44269.89</v>
      </c>
      <c r="F253" s="793">
        <v>50000</v>
      </c>
      <c r="G253" s="793">
        <v>5730.11</v>
      </c>
      <c r="H253">
        <v>11.46</v>
      </c>
      <c r="I253" t="str">
        <f>VLOOKUP(A253,'Datetel Jul 10, 2013'!A:A,1,0)</f>
        <v>100_310700_6780_56410_819</v>
      </c>
    </row>
    <row r="254" spans="1:9" x14ac:dyDescent="0.2">
      <c r="A254" t="s">
        <v>49</v>
      </c>
      <c r="B254" t="s">
        <v>932</v>
      </c>
      <c r="C254">
        <v>0</v>
      </c>
      <c r="D254">
        <v>0</v>
      </c>
      <c r="E254" s="793">
        <v>14519.89</v>
      </c>
      <c r="F254" s="793">
        <v>14521</v>
      </c>
      <c r="G254">
        <v>1.1100000000000001</v>
      </c>
      <c r="H254">
        <v>0.01</v>
      </c>
      <c r="I254" t="str">
        <f>VLOOKUP(A254,'Datetel Jul 10, 2013'!A:A,1,0)</f>
        <v>100_310710_6780_55510_819</v>
      </c>
    </row>
    <row r="255" spans="1:9" x14ac:dyDescent="0.2">
      <c r="A255" t="s">
        <v>50</v>
      </c>
      <c r="B255" t="s">
        <v>729</v>
      </c>
      <c r="C255" s="793">
        <v>7935.75</v>
      </c>
      <c r="D255" s="793">
        <v>20685.16</v>
      </c>
      <c r="E255" s="793">
        <v>147064.25</v>
      </c>
      <c r="F255" s="793">
        <v>157118</v>
      </c>
      <c r="G255" s="793">
        <v>2118</v>
      </c>
      <c r="H255">
        <v>1.35</v>
      </c>
      <c r="I255" t="str">
        <f>VLOOKUP(A255,'Datetel Jul 10, 2013'!A:A,1,0)</f>
        <v>100_310720_6570_55830_819</v>
      </c>
    </row>
    <row r="256" spans="1:9" x14ac:dyDescent="0.2">
      <c r="A256" t="s">
        <v>51</v>
      </c>
      <c r="B256" t="s">
        <v>729</v>
      </c>
      <c r="C256" s="793">
        <v>21798.2</v>
      </c>
      <c r="D256" s="793">
        <v>2007.12</v>
      </c>
      <c r="E256" s="793">
        <v>31481.87</v>
      </c>
      <c r="F256" s="793">
        <v>54361</v>
      </c>
      <c r="G256" s="793">
        <v>1080.93</v>
      </c>
      <c r="H256">
        <v>1.99</v>
      </c>
      <c r="I256" t="str">
        <f>VLOOKUP(A256,'Datetel Jul 10, 2013'!A:A,1,0)</f>
        <v>100_310720_6570_55832_819</v>
      </c>
    </row>
    <row r="257" spans="1:9" x14ac:dyDescent="0.2">
      <c r="A257" t="s">
        <v>52</v>
      </c>
      <c r="B257" t="s">
        <v>729</v>
      </c>
      <c r="C257">
        <v>0</v>
      </c>
      <c r="D257">
        <v>0</v>
      </c>
      <c r="E257" s="793">
        <v>3928.5</v>
      </c>
      <c r="F257" s="793">
        <v>3928</v>
      </c>
      <c r="G257">
        <v>-0.5</v>
      </c>
      <c r="H257">
        <v>0</v>
      </c>
      <c r="I257" t="str">
        <f>VLOOKUP(A257,'Datetel Jul 10, 2013'!A:A,1,0)</f>
        <v>100_310720_6590_55510_819</v>
      </c>
    </row>
    <row r="258" spans="1:9" x14ac:dyDescent="0.2">
      <c r="A258" t="s">
        <v>53</v>
      </c>
      <c r="B258" t="s">
        <v>933</v>
      </c>
      <c r="C258" s="793">
        <v>42179.05</v>
      </c>
      <c r="D258" s="793">
        <v>24251.360000000001</v>
      </c>
      <c r="E258" s="793">
        <v>341446.53</v>
      </c>
      <c r="F258" s="793">
        <v>384224</v>
      </c>
      <c r="G258">
        <v>598.41999999999996</v>
      </c>
      <c r="H258">
        <v>0.16</v>
      </c>
      <c r="I258" t="str">
        <f>VLOOKUP(A258,'Datetel Jul 10, 2013'!A:A,1,0)</f>
        <v>100_311812_6510_55160_819</v>
      </c>
    </row>
    <row r="259" spans="1:9" x14ac:dyDescent="0.2">
      <c r="A259" t="s">
        <v>54</v>
      </c>
      <c r="B259" t="s">
        <v>933</v>
      </c>
      <c r="C259">
        <v>0</v>
      </c>
      <c r="D259" s="793">
        <v>9533.93</v>
      </c>
      <c r="E259" s="793">
        <v>66407.87</v>
      </c>
      <c r="F259" s="793">
        <v>60000</v>
      </c>
      <c r="G259" s="793">
        <v>-6407.87</v>
      </c>
      <c r="H259">
        <v>-10.67</v>
      </c>
      <c r="I259" t="str">
        <f>VLOOKUP(A259,'Datetel Jul 10, 2013'!A:A,1,0)</f>
        <v>100_311812_6510_55810_819</v>
      </c>
    </row>
    <row r="260" spans="1:9" x14ac:dyDescent="0.2">
      <c r="A260" t="s">
        <v>56</v>
      </c>
      <c r="B260" t="s">
        <v>934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 t="str">
        <f>VLOOKUP(A260,'Datetel Jul 10, 2013'!A:A,1,0)</f>
        <v>100_311860_6590_54210_819</v>
      </c>
    </row>
    <row r="261" spans="1:9" x14ac:dyDescent="0.2">
      <c r="A261" t="s">
        <v>57</v>
      </c>
      <c r="B261" t="s">
        <v>934</v>
      </c>
      <c r="C261">
        <v>0</v>
      </c>
      <c r="D261">
        <v>452.61</v>
      </c>
      <c r="E261">
        <v>452.61</v>
      </c>
      <c r="F261">
        <v>0</v>
      </c>
      <c r="G261">
        <v>-452.61</v>
      </c>
      <c r="H261">
        <v>0</v>
      </c>
      <c r="I261" t="str">
        <f>VLOOKUP(A261,'Datetel Jul 10, 2013'!A:A,1,0)</f>
        <v>100_311860_6590_55160_819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7"/>
  <sheetViews>
    <sheetView topLeftCell="A166" workbookViewId="0">
      <selection activeCell="E104" sqref="E104"/>
    </sheetView>
  </sheetViews>
  <sheetFormatPr defaultRowHeight="12.75" customHeight="1" x14ac:dyDescent="0.2"/>
  <cols>
    <col min="1" max="1" width="22.7109375" bestFit="1" customWidth="1"/>
    <col min="2" max="2" width="20.42578125" bestFit="1" customWidth="1"/>
    <col min="3" max="3" width="21.5703125" bestFit="1" customWidth="1"/>
    <col min="4" max="4" width="30.7109375" bestFit="1" customWidth="1"/>
    <col min="5" max="5" width="12.7109375" bestFit="1" customWidth="1"/>
    <col min="6" max="7" width="13.5703125" bestFit="1" customWidth="1"/>
    <col min="8" max="8" width="11.28515625" bestFit="1" customWidth="1"/>
    <col min="9" max="9" width="12.42578125" bestFit="1" customWidth="1"/>
    <col min="10" max="10" width="10.85546875" bestFit="1" customWidth="1"/>
    <col min="11" max="11" width="10.140625" bestFit="1" customWidth="1"/>
  </cols>
  <sheetData>
    <row r="1" spans="1:10" ht="13.5" thickBot="1" x14ac:dyDescent="0.25">
      <c r="A1" s="767" t="s">
        <v>62</v>
      </c>
      <c r="B1" s="767" t="s">
        <v>431</v>
      </c>
      <c r="C1" s="767" t="s">
        <v>432</v>
      </c>
      <c r="D1" s="767" t="s">
        <v>433</v>
      </c>
      <c r="E1" s="767" t="s">
        <v>434</v>
      </c>
      <c r="F1" s="767" t="s">
        <v>435</v>
      </c>
      <c r="G1" s="767" t="s">
        <v>436</v>
      </c>
      <c r="H1" s="767" t="s">
        <v>437</v>
      </c>
      <c r="I1" s="767" t="s">
        <v>438</v>
      </c>
    </row>
    <row r="2" spans="1:10" ht="13.5" thickBot="1" x14ac:dyDescent="0.25">
      <c r="A2" s="768" t="s">
        <v>195</v>
      </c>
      <c r="B2" s="768" t="s">
        <v>181</v>
      </c>
      <c r="C2" s="768" t="s">
        <v>439</v>
      </c>
      <c r="D2" s="768" t="s">
        <v>244</v>
      </c>
      <c r="E2" s="769">
        <v>0</v>
      </c>
      <c r="F2" s="770">
        <v>0</v>
      </c>
      <c r="G2" s="770">
        <v>0</v>
      </c>
      <c r="H2" s="770">
        <v>0</v>
      </c>
      <c r="I2" s="769">
        <v>0</v>
      </c>
      <c r="J2" s="793">
        <f>E2-F2</f>
        <v>0</v>
      </c>
    </row>
    <row r="3" spans="1:10" ht="13.5" thickBot="1" x14ac:dyDescent="0.25">
      <c r="A3" s="771" t="s">
        <v>305</v>
      </c>
      <c r="B3" s="771" t="s">
        <v>181</v>
      </c>
      <c r="C3" s="771" t="s">
        <v>440</v>
      </c>
      <c r="D3" s="771" t="s">
        <v>244</v>
      </c>
      <c r="E3" s="772">
        <v>17453</v>
      </c>
      <c r="F3" s="770">
        <v>17453</v>
      </c>
      <c r="G3" s="770">
        <v>17453</v>
      </c>
      <c r="H3" s="770">
        <v>0</v>
      </c>
      <c r="I3" s="769">
        <v>0</v>
      </c>
      <c r="J3" s="793">
        <f t="shared" ref="J3:J73" si="0">E3-F3</f>
        <v>0</v>
      </c>
    </row>
    <row r="4" spans="1:10" ht="13.5" thickBot="1" x14ac:dyDescent="0.25">
      <c r="A4" s="771" t="s">
        <v>184</v>
      </c>
      <c r="B4" s="771" t="s">
        <v>441</v>
      </c>
      <c r="C4" s="771" t="s">
        <v>442</v>
      </c>
      <c r="D4" s="771" t="s">
        <v>441</v>
      </c>
      <c r="E4" s="772">
        <v>7500</v>
      </c>
      <c r="F4" s="770">
        <v>7800</v>
      </c>
      <c r="G4" s="770">
        <v>7800</v>
      </c>
      <c r="H4" s="770">
        <v>0</v>
      </c>
      <c r="I4" s="769">
        <v>0</v>
      </c>
      <c r="J4" s="793">
        <f t="shared" si="0"/>
        <v>-300</v>
      </c>
    </row>
    <row r="5" spans="1:10" ht="13.5" thickBot="1" x14ac:dyDescent="0.25">
      <c r="A5" s="771" t="s">
        <v>375</v>
      </c>
      <c r="B5" s="771" t="s">
        <v>447</v>
      </c>
      <c r="C5" s="771" t="s">
        <v>448</v>
      </c>
      <c r="D5" s="771" t="s">
        <v>445</v>
      </c>
      <c r="E5" s="772">
        <v>468710</v>
      </c>
      <c r="F5" s="770">
        <v>468710</v>
      </c>
      <c r="G5" s="770">
        <v>468710</v>
      </c>
      <c r="H5" s="770">
        <v>0</v>
      </c>
      <c r="I5" s="769">
        <v>0</v>
      </c>
      <c r="J5" s="793">
        <f t="shared" si="0"/>
        <v>0</v>
      </c>
    </row>
    <row r="6" spans="1:10" ht="13.5" thickBot="1" x14ac:dyDescent="0.25">
      <c r="A6" s="768" t="s">
        <v>376</v>
      </c>
      <c r="B6" s="768" t="s">
        <v>449</v>
      </c>
      <c r="C6" s="768" t="s">
        <v>448</v>
      </c>
      <c r="D6" s="768" t="s">
        <v>445</v>
      </c>
      <c r="E6" s="769">
        <v>80125</v>
      </c>
      <c r="F6" s="770">
        <v>80125</v>
      </c>
      <c r="G6" s="770">
        <v>0</v>
      </c>
      <c r="H6" s="770">
        <v>0</v>
      </c>
      <c r="I6" s="769">
        <v>80125</v>
      </c>
      <c r="J6" s="793">
        <f t="shared" si="0"/>
        <v>0</v>
      </c>
    </row>
    <row r="7" spans="1:10" ht="13.5" thickBot="1" x14ac:dyDescent="0.25">
      <c r="A7" s="771" t="s">
        <v>382</v>
      </c>
      <c r="B7" s="771" t="s">
        <v>449</v>
      </c>
      <c r="C7" s="771" t="s">
        <v>448</v>
      </c>
      <c r="D7" s="771" t="s">
        <v>445</v>
      </c>
      <c r="E7" s="772">
        <v>0</v>
      </c>
      <c r="F7" s="770">
        <v>0</v>
      </c>
      <c r="G7" s="770">
        <v>91021.19</v>
      </c>
      <c r="H7" s="770">
        <v>0</v>
      </c>
      <c r="I7" s="769">
        <v>-91021.19</v>
      </c>
      <c r="J7" s="793">
        <f t="shared" si="0"/>
        <v>0</v>
      </c>
    </row>
    <row r="8" spans="1:10" ht="13.5" thickBot="1" x14ac:dyDescent="0.25">
      <c r="A8" s="771" t="s">
        <v>377</v>
      </c>
      <c r="B8" s="771" t="s">
        <v>450</v>
      </c>
      <c r="C8" s="771" t="s">
        <v>451</v>
      </c>
      <c r="D8" s="771" t="s">
        <v>445</v>
      </c>
      <c r="E8" s="772">
        <v>2343</v>
      </c>
      <c r="F8" s="770">
        <v>2343</v>
      </c>
      <c r="G8" s="770">
        <v>0</v>
      </c>
      <c r="H8" s="770">
        <v>0</v>
      </c>
      <c r="I8" s="769">
        <v>2343</v>
      </c>
      <c r="J8" s="793">
        <f t="shared" si="0"/>
        <v>0</v>
      </c>
    </row>
    <row r="9" spans="1:10" ht="13.5" thickBot="1" x14ac:dyDescent="0.25">
      <c r="A9" s="771" t="s">
        <v>378</v>
      </c>
      <c r="B9" s="771" t="s">
        <v>452</v>
      </c>
      <c r="C9" s="771" t="s">
        <v>451</v>
      </c>
      <c r="D9" s="771" t="s">
        <v>445</v>
      </c>
      <c r="E9" s="772">
        <v>5670</v>
      </c>
      <c r="F9" s="770">
        <v>5670</v>
      </c>
      <c r="G9" s="770">
        <v>6204.45</v>
      </c>
      <c r="H9" s="770">
        <v>0</v>
      </c>
      <c r="I9" s="769">
        <v>-534.45000000000005</v>
      </c>
      <c r="J9" s="793">
        <f t="shared" si="0"/>
        <v>0</v>
      </c>
    </row>
    <row r="10" spans="1:10" ht="13.5" thickBot="1" x14ac:dyDescent="0.25">
      <c r="A10" s="771" t="s">
        <v>379</v>
      </c>
      <c r="B10" s="771" t="s">
        <v>453</v>
      </c>
      <c r="C10" s="771" t="s">
        <v>451</v>
      </c>
      <c r="D10" s="771" t="s">
        <v>445</v>
      </c>
      <c r="E10" s="772">
        <v>75190</v>
      </c>
      <c r="F10" s="770">
        <v>76527</v>
      </c>
      <c r="G10" s="770">
        <v>57394.87</v>
      </c>
      <c r="H10" s="770">
        <v>0</v>
      </c>
      <c r="I10" s="769">
        <v>0.5</v>
      </c>
      <c r="J10" s="793">
        <f t="shared" si="0"/>
        <v>-1337</v>
      </c>
    </row>
    <row r="11" spans="1:10" ht="13.5" thickBot="1" x14ac:dyDescent="0.25">
      <c r="A11" s="768" t="s">
        <v>380</v>
      </c>
      <c r="B11" s="768" t="s">
        <v>454</v>
      </c>
      <c r="C11" s="768" t="s">
        <v>451</v>
      </c>
      <c r="D11" s="768" t="s">
        <v>445</v>
      </c>
      <c r="E11" s="769">
        <v>11259</v>
      </c>
      <c r="F11" s="770">
        <v>11259</v>
      </c>
      <c r="G11" s="770">
        <v>15384</v>
      </c>
      <c r="H11" s="770">
        <v>0</v>
      </c>
      <c r="I11" s="769">
        <v>-4125</v>
      </c>
      <c r="J11" s="793">
        <f t="shared" si="0"/>
        <v>0</v>
      </c>
    </row>
    <row r="12" spans="1:10" ht="13.5" thickBot="1" x14ac:dyDescent="0.25">
      <c r="A12" s="768" t="s">
        <v>186</v>
      </c>
      <c r="B12" s="768" t="s">
        <v>455</v>
      </c>
      <c r="C12" s="768" t="s">
        <v>456</v>
      </c>
      <c r="D12" s="768" t="s">
        <v>445</v>
      </c>
      <c r="E12" s="769">
        <v>11000</v>
      </c>
      <c r="F12" s="770">
        <v>11000</v>
      </c>
      <c r="G12" s="770">
        <v>11000</v>
      </c>
      <c r="H12" s="770">
        <v>0</v>
      </c>
      <c r="I12" s="769">
        <v>11000</v>
      </c>
      <c r="J12" s="793">
        <f t="shared" si="0"/>
        <v>0</v>
      </c>
    </row>
    <row r="13" spans="1:10" ht="13.5" thickBot="1" x14ac:dyDescent="0.25">
      <c r="A13" s="768" t="s">
        <v>457</v>
      </c>
      <c r="B13" s="768" t="s">
        <v>458</v>
      </c>
      <c r="C13" s="768" t="s">
        <v>459</v>
      </c>
      <c r="D13" s="768" t="s">
        <v>445</v>
      </c>
      <c r="E13" s="769">
        <v>0</v>
      </c>
      <c r="F13" s="770">
        <v>0</v>
      </c>
      <c r="G13" s="770">
        <v>0</v>
      </c>
      <c r="H13" s="770">
        <v>0</v>
      </c>
      <c r="I13" s="769">
        <v>0</v>
      </c>
      <c r="J13" s="793">
        <f t="shared" si="0"/>
        <v>0</v>
      </c>
    </row>
    <row r="14" spans="1:10" ht="13.5" thickBot="1" x14ac:dyDescent="0.25">
      <c r="A14" s="768" t="s">
        <v>460</v>
      </c>
      <c r="B14" s="768" t="s">
        <v>461</v>
      </c>
      <c r="C14" s="768" t="s">
        <v>462</v>
      </c>
      <c r="D14" s="768" t="s">
        <v>463</v>
      </c>
      <c r="E14" s="769">
        <v>0</v>
      </c>
      <c r="F14" s="770">
        <v>0</v>
      </c>
      <c r="G14" s="770">
        <v>0</v>
      </c>
      <c r="H14" s="770">
        <v>0</v>
      </c>
      <c r="I14" s="769">
        <v>0</v>
      </c>
      <c r="J14" s="793">
        <f t="shared" si="0"/>
        <v>0</v>
      </c>
    </row>
    <row r="15" spans="1:10" ht="13.5" thickBot="1" x14ac:dyDescent="0.25">
      <c r="A15" s="771" t="s">
        <v>464</v>
      </c>
      <c r="B15" s="771" t="s">
        <v>465</v>
      </c>
      <c r="C15" s="771" t="s">
        <v>442</v>
      </c>
      <c r="D15" s="771" t="s">
        <v>466</v>
      </c>
      <c r="E15" s="772">
        <v>0</v>
      </c>
      <c r="F15" s="770">
        <v>0</v>
      </c>
      <c r="G15" s="770">
        <v>0</v>
      </c>
      <c r="H15" s="770">
        <v>0</v>
      </c>
      <c r="I15" s="769">
        <v>0</v>
      </c>
      <c r="J15" s="793">
        <f t="shared" si="0"/>
        <v>0</v>
      </c>
    </row>
    <row r="16" spans="1:10" ht="13.5" thickBot="1" x14ac:dyDescent="0.25">
      <c r="A16" s="771" t="s">
        <v>274</v>
      </c>
      <c r="B16" s="771" t="s">
        <v>465</v>
      </c>
      <c r="C16" s="771" t="s">
        <v>469</v>
      </c>
      <c r="D16" s="771" t="s">
        <v>466</v>
      </c>
      <c r="E16" s="772">
        <v>36261</v>
      </c>
      <c r="F16" s="770">
        <v>36261</v>
      </c>
      <c r="G16" s="770">
        <v>36027.14</v>
      </c>
      <c r="H16" s="770">
        <v>0</v>
      </c>
      <c r="I16" s="769">
        <v>1.62</v>
      </c>
      <c r="J16" s="793">
        <f t="shared" si="0"/>
        <v>0</v>
      </c>
    </row>
    <row r="17" spans="1:10" ht="13.5" thickBot="1" x14ac:dyDescent="0.25">
      <c r="A17" s="771" t="s">
        <v>187</v>
      </c>
      <c r="B17" s="771" t="s">
        <v>551</v>
      </c>
      <c r="C17" s="771" t="s">
        <v>552</v>
      </c>
      <c r="D17" s="771" t="s">
        <v>262</v>
      </c>
      <c r="E17" s="772">
        <v>24625</v>
      </c>
      <c r="F17" s="770">
        <v>24625</v>
      </c>
      <c r="G17" s="770">
        <v>23375</v>
      </c>
      <c r="H17" s="770">
        <v>0</v>
      </c>
      <c r="I17" s="769">
        <v>3750</v>
      </c>
      <c r="J17" s="793">
        <f t="shared" si="0"/>
        <v>0</v>
      </c>
    </row>
    <row r="18" spans="1:10" ht="13.5" thickBot="1" x14ac:dyDescent="0.25">
      <c r="A18" s="771" t="s">
        <v>553</v>
      </c>
      <c r="B18" s="771" t="s">
        <v>551</v>
      </c>
      <c r="C18" s="771" t="s">
        <v>554</v>
      </c>
      <c r="D18" s="771" t="s">
        <v>262</v>
      </c>
      <c r="E18" s="772">
        <v>0</v>
      </c>
      <c r="F18" s="770">
        <v>0</v>
      </c>
      <c r="G18" s="770">
        <v>1371.6</v>
      </c>
      <c r="H18" s="770">
        <v>0</v>
      </c>
      <c r="I18" s="769">
        <v>-1371.6</v>
      </c>
      <c r="J18" s="793">
        <f t="shared" si="0"/>
        <v>0</v>
      </c>
    </row>
    <row r="19" spans="1:10" ht="13.5" thickBot="1" x14ac:dyDescent="0.25">
      <c r="A19" s="768" t="s">
        <v>555</v>
      </c>
      <c r="B19" s="768" t="s">
        <v>551</v>
      </c>
      <c r="C19" s="768" t="s">
        <v>556</v>
      </c>
      <c r="D19" s="768" t="s">
        <v>262</v>
      </c>
      <c r="E19" s="769">
        <v>0</v>
      </c>
      <c r="F19" s="770">
        <v>0</v>
      </c>
      <c r="G19" s="770">
        <v>266.41000000000003</v>
      </c>
      <c r="H19" s="770">
        <v>0</v>
      </c>
      <c r="I19" s="769">
        <v>-266.41000000000003</v>
      </c>
      <c r="J19" s="793">
        <f t="shared" si="0"/>
        <v>0</v>
      </c>
    </row>
    <row r="20" spans="1:10" ht="13.5" thickBot="1" x14ac:dyDescent="0.25">
      <c r="A20" s="771" t="s">
        <v>557</v>
      </c>
      <c r="B20" s="771" t="s">
        <v>551</v>
      </c>
      <c r="C20" s="771" t="s">
        <v>558</v>
      </c>
      <c r="D20" s="771" t="s">
        <v>262</v>
      </c>
      <c r="E20" s="772">
        <v>0</v>
      </c>
      <c r="F20" s="770">
        <v>0</v>
      </c>
      <c r="G20" s="770">
        <v>170</v>
      </c>
      <c r="H20" s="770">
        <v>0</v>
      </c>
      <c r="I20" s="769">
        <v>-170</v>
      </c>
      <c r="J20" s="793">
        <f t="shared" si="0"/>
        <v>0</v>
      </c>
    </row>
    <row r="21" spans="1:10" ht="13.5" thickBot="1" x14ac:dyDescent="0.25">
      <c r="A21" s="771" t="s">
        <v>559</v>
      </c>
      <c r="B21" s="771" t="s">
        <v>551</v>
      </c>
      <c r="C21" s="771" t="s">
        <v>560</v>
      </c>
      <c r="D21" s="771" t="s">
        <v>262</v>
      </c>
      <c r="E21" s="772">
        <v>0</v>
      </c>
      <c r="F21" s="770">
        <v>0</v>
      </c>
      <c r="G21" s="770">
        <v>333.73</v>
      </c>
      <c r="H21" s="770">
        <v>0</v>
      </c>
      <c r="I21" s="769">
        <v>-333.73</v>
      </c>
      <c r="J21" s="793">
        <f t="shared" si="0"/>
        <v>0</v>
      </c>
    </row>
    <row r="22" spans="1:10" ht="13.5" thickBot="1" x14ac:dyDescent="0.25">
      <c r="A22" s="771" t="s">
        <v>561</v>
      </c>
      <c r="B22" s="771" t="s">
        <v>551</v>
      </c>
      <c r="C22" s="771" t="s">
        <v>562</v>
      </c>
      <c r="D22" s="771" t="s">
        <v>262</v>
      </c>
      <c r="E22" s="772">
        <v>0</v>
      </c>
      <c r="F22" s="770">
        <v>0</v>
      </c>
      <c r="G22" s="770">
        <v>411.6</v>
      </c>
      <c r="H22" s="770">
        <v>0</v>
      </c>
      <c r="I22" s="769">
        <v>-411.6</v>
      </c>
      <c r="J22" s="793">
        <f t="shared" si="0"/>
        <v>0</v>
      </c>
    </row>
    <row r="23" spans="1:10" ht="13.5" thickBot="1" x14ac:dyDescent="0.25">
      <c r="A23" s="768" t="s">
        <v>188</v>
      </c>
      <c r="B23" s="768" t="s">
        <v>551</v>
      </c>
      <c r="C23" s="768" t="s">
        <v>563</v>
      </c>
      <c r="D23" s="768" t="s">
        <v>262</v>
      </c>
      <c r="E23" s="769">
        <v>110568</v>
      </c>
      <c r="F23" s="770">
        <v>110568</v>
      </c>
      <c r="G23" s="770">
        <v>110567</v>
      </c>
      <c r="H23" s="770">
        <v>0</v>
      </c>
      <c r="I23" s="769">
        <v>1</v>
      </c>
      <c r="J23" s="793">
        <f t="shared" si="0"/>
        <v>0</v>
      </c>
    </row>
    <row r="24" spans="1:10" ht="13.5" thickBot="1" x14ac:dyDescent="0.25">
      <c r="A24" s="768" t="s">
        <v>190</v>
      </c>
      <c r="B24" s="768" t="s">
        <v>613</v>
      </c>
      <c r="C24" s="768" t="s">
        <v>552</v>
      </c>
      <c r="D24" s="768" t="s">
        <v>294</v>
      </c>
      <c r="E24" s="769">
        <v>4400</v>
      </c>
      <c r="F24" s="770">
        <v>4400</v>
      </c>
      <c r="G24" s="770">
        <v>0</v>
      </c>
      <c r="H24" s="770">
        <v>0</v>
      </c>
      <c r="I24" s="769">
        <v>4400</v>
      </c>
      <c r="J24" s="793">
        <f t="shared" si="0"/>
        <v>0</v>
      </c>
    </row>
    <row r="25" spans="1:10" ht="13.5" thickBot="1" x14ac:dyDescent="0.25">
      <c r="A25" s="771" t="s">
        <v>191</v>
      </c>
      <c r="B25" s="771" t="s">
        <v>613</v>
      </c>
      <c r="C25" s="771" t="s">
        <v>614</v>
      </c>
      <c r="D25" s="771" t="s">
        <v>294</v>
      </c>
      <c r="E25" s="772">
        <v>1100</v>
      </c>
      <c r="F25" s="770">
        <v>2095</v>
      </c>
      <c r="G25" s="770">
        <v>2094.69</v>
      </c>
      <c r="H25" s="770">
        <v>0</v>
      </c>
      <c r="I25" s="769">
        <v>0.31</v>
      </c>
      <c r="J25" s="793">
        <f t="shared" si="0"/>
        <v>-995</v>
      </c>
    </row>
    <row r="26" spans="1:10" ht="13.5" thickBot="1" x14ac:dyDescent="0.25">
      <c r="A26" s="771" t="s">
        <v>192</v>
      </c>
      <c r="B26" s="771" t="s">
        <v>613</v>
      </c>
      <c r="C26" s="771" t="s">
        <v>440</v>
      </c>
      <c r="D26" s="771" t="s">
        <v>294</v>
      </c>
      <c r="E26" s="772">
        <v>3300</v>
      </c>
      <c r="F26" s="770">
        <v>2305</v>
      </c>
      <c r="G26" s="770">
        <v>1200</v>
      </c>
      <c r="H26" s="770">
        <v>0</v>
      </c>
      <c r="I26" s="769">
        <v>1105</v>
      </c>
      <c r="J26" s="793">
        <f t="shared" si="0"/>
        <v>995</v>
      </c>
    </row>
    <row r="27" spans="1:10" ht="13.5" thickBot="1" x14ac:dyDescent="0.25">
      <c r="A27" s="771" t="s">
        <v>193</v>
      </c>
      <c r="B27" s="771" t="s">
        <v>615</v>
      </c>
      <c r="C27" s="771" t="s">
        <v>614</v>
      </c>
      <c r="D27" s="771" t="s">
        <v>294</v>
      </c>
      <c r="E27" s="772">
        <v>1100</v>
      </c>
      <c r="F27" s="770">
        <v>1100</v>
      </c>
      <c r="G27" s="770">
        <v>614.73</v>
      </c>
      <c r="H27" s="770">
        <v>0</v>
      </c>
      <c r="I27" s="769">
        <v>485.27</v>
      </c>
      <c r="J27" s="793">
        <f t="shared" si="0"/>
        <v>0</v>
      </c>
    </row>
    <row r="28" spans="1:10" ht="13.5" thickBot="1" x14ac:dyDescent="0.25">
      <c r="A28" s="768" t="s">
        <v>194</v>
      </c>
      <c r="B28" s="768" t="s">
        <v>615</v>
      </c>
      <c r="C28" s="768" t="s">
        <v>440</v>
      </c>
      <c r="D28" s="768" t="s">
        <v>294</v>
      </c>
      <c r="E28" s="769">
        <v>3300</v>
      </c>
      <c r="F28" s="770">
        <v>3300</v>
      </c>
      <c r="G28" s="770">
        <v>3308.65</v>
      </c>
      <c r="H28" s="770">
        <v>0</v>
      </c>
      <c r="I28" s="769">
        <v>-8.65</v>
      </c>
      <c r="J28" s="793">
        <f t="shared" si="0"/>
        <v>0</v>
      </c>
    </row>
    <row r="29" spans="1:10" ht="13.5" thickBot="1" x14ac:dyDescent="0.25">
      <c r="A29" s="768" t="s">
        <v>196</v>
      </c>
      <c r="B29" s="768" t="s">
        <v>616</v>
      </c>
      <c r="C29" s="768" t="s">
        <v>614</v>
      </c>
      <c r="D29" s="768" t="s">
        <v>294</v>
      </c>
      <c r="E29" s="769">
        <v>660</v>
      </c>
      <c r="F29" s="770">
        <v>2000</v>
      </c>
      <c r="G29" s="770">
        <v>1685.51</v>
      </c>
      <c r="H29" s="770">
        <v>0</v>
      </c>
      <c r="I29" s="769">
        <v>214.49</v>
      </c>
      <c r="J29" s="793">
        <f t="shared" si="0"/>
        <v>-1340</v>
      </c>
    </row>
    <row r="30" spans="1:10" ht="13.5" thickBot="1" x14ac:dyDescent="0.25">
      <c r="A30" s="771" t="s">
        <v>197</v>
      </c>
      <c r="B30" s="771" t="s">
        <v>616</v>
      </c>
      <c r="C30" s="771" t="s">
        <v>442</v>
      </c>
      <c r="D30" s="771" t="s">
        <v>294</v>
      </c>
      <c r="E30" s="772">
        <v>440</v>
      </c>
      <c r="F30" s="770">
        <v>100</v>
      </c>
      <c r="G30" s="770">
        <v>100</v>
      </c>
      <c r="H30" s="770">
        <v>0</v>
      </c>
      <c r="I30" s="769">
        <v>0</v>
      </c>
      <c r="J30" s="793">
        <f t="shared" si="0"/>
        <v>340</v>
      </c>
    </row>
    <row r="31" spans="1:10" ht="13.5" thickBot="1" x14ac:dyDescent="0.25">
      <c r="A31" s="771" t="s">
        <v>198</v>
      </c>
      <c r="B31" s="771" t="s">
        <v>616</v>
      </c>
      <c r="C31" s="771" t="s">
        <v>440</v>
      </c>
      <c r="D31" s="771" t="s">
        <v>294</v>
      </c>
      <c r="E31" s="772">
        <v>3300</v>
      </c>
      <c r="F31" s="770">
        <v>2300</v>
      </c>
      <c r="G31" s="770">
        <v>2082.52</v>
      </c>
      <c r="H31" s="770">
        <v>0</v>
      </c>
      <c r="I31" s="769">
        <v>217.48</v>
      </c>
      <c r="J31" s="793">
        <f t="shared" si="0"/>
        <v>1000</v>
      </c>
    </row>
    <row r="32" spans="1:10" ht="13.5" thickBot="1" x14ac:dyDescent="0.25">
      <c r="A32" s="768" t="s">
        <v>185</v>
      </c>
      <c r="B32" s="768" t="s">
        <v>443</v>
      </c>
      <c r="C32" s="768" t="s">
        <v>444</v>
      </c>
      <c r="D32" s="768" t="s">
        <v>445</v>
      </c>
      <c r="E32" s="769">
        <v>33200</v>
      </c>
      <c r="F32" s="770">
        <v>0</v>
      </c>
      <c r="G32" s="770">
        <v>0</v>
      </c>
      <c r="H32" s="770">
        <v>0</v>
      </c>
      <c r="I32" s="769">
        <v>0</v>
      </c>
      <c r="J32" t="str">
        <f t="shared" ref="J32:J72" si="1">MID(A32,17,5)</f>
        <v>55210</v>
      </c>
    </row>
    <row r="33" spans="1:10" ht="13.5" thickBot="1" x14ac:dyDescent="0.25">
      <c r="A33" s="768" t="s">
        <v>467</v>
      </c>
      <c r="B33" s="768" t="s">
        <v>465</v>
      </c>
      <c r="C33" s="768" t="s">
        <v>444</v>
      </c>
      <c r="D33" s="768" t="s">
        <v>466</v>
      </c>
      <c r="E33" s="769">
        <v>0</v>
      </c>
      <c r="F33" s="770">
        <v>800</v>
      </c>
      <c r="G33" s="770">
        <v>400</v>
      </c>
      <c r="H33" s="770">
        <v>0</v>
      </c>
      <c r="I33" s="769">
        <v>600</v>
      </c>
      <c r="J33" t="str">
        <f t="shared" si="1"/>
        <v>55210</v>
      </c>
    </row>
    <row r="34" spans="1:10" ht="13.5" thickBot="1" x14ac:dyDescent="0.25">
      <c r="A34" s="768" t="s">
        <v>470</v>
      </c>
      <c r="B34" s="768" t="s">
        <v>471</v>
      </c>
      <c r="C34" s="768" t="s">
        <v>444</v>
      </c>
      <c r="D34" s="768" t="s">
        <v>472</v>
      </c>
      <c r="E34" s="769">
        <v>0</v>
      </c>
      <c r="F34" s="770">
        <v>240</v>
      </c>
      <c r="G34" s="770">
        <v>0</v>
      </c>
      <c r="H34" s="770">
        <v>0</v>
      </c>
      <c r="I34" s="769">
        <v>240</v>
      </c>
      <c r="J34" t="str">
        <f t="shared" si="1"/>
        <v>55210</v>
      </c>
    </row>
    <row r="35" spans="1:10" ht="13.5" thickBot="1" x14ac:dyDescent="0.25">
      <c r="A35" s="771" t="s">
        <v>474</v>
      </c>
      <c r="B35" s="771" t="s">
        <v>475</v>
      </c>
      <c r="C35" s="771" t="s">
        <v>444</v>
      </c>
      <c r="D35" s="771" t="s">
        <v>476</v>
      </c>
      <c r="E35" s="772">
        <v>0</v>
      </c>
      <c r="F35" s="770">
        <v>200</v>
      </c>
      <c r="G35" s="770">
        <v>0</v>
      </c>
      <c r="H35" s="770">
        <v>0</v>
      </c>
      <c r="I35" s="769">
        <v>200</v>
      </c>
      <c r="J35" t="str">
        <f t="shared" si="1"/>
        <v>55210</v>
      </c>
    </row>
    <row r="36" spans="1:10" ht="13.5" thickBot="1" x14ac:dyDescent="0.25">
      <c r="A36" s="771" t="s">
        <v>478</v>
      </c>
      <c r="B36" s="771" t="s">
        <v>479</v>
      </c>
      <c r="C36" s="771" t="s">
        <v>444</v>
      </c>
      <c r="D36" s="771" t="s">
        <v>476</v>
      </c>
      <c r="E36" s="772">
        <v>0</v>
      </c>
      <c r="F36" s="770">
        <v>600</v>
      </c>
      <c r="G36" s="770">
        <v>0</v>
      </c>
      <c r="H36" s="770">
        <v>0</v>
      </c>
      <c r="I36" s="769">
        <v>600</v>
      </c>
      <c r="J36" t="str">
        <f t="shared" si="1"/>
        <v>55210</v>
      </c>
    </row>
    <row r="37" spans="1:10" ht="13.5" thickBot="1" x14ac:dyDescent="0.25">
      <c r="A37" s="771" t="s">
        <v>481</v>
      </c>
      <c r="B37" s="771" t="s">
        <v>482</v>
      </c>
      <c r="C37" s="771" t="s">
        <v>444</v>
      </c>
      <c r="D37" s="771" t="s">
        <v>476</v>
      </c>
      <c r="E37" s="772">
        <v>0</v>
      </c>
      <c r="F37" s="770">
        <v>200</v>
      </c>
      <c r="G37" s="770">
        <v>0</v>
      </c>
      <c r="H37" s="770">
        <v>0</v>
      </c>
      <c r="I37" s="769">
        <v>200</v>
      </c>
      <c r="J37" t="str">
        <f t="shared" si="1"/>
        <v>55210</v>
      </c>
    </row>
    <row r="38" spans="1:10" ht="13.5" thickBot="1" x14ac:dyDescent="0.25">
      <c r="A38" s="768" t="s">
        <v>484</v>
      </c>
      <c r="B38" s="768" t="s">
        <v>485</v>
      </c>
      <c r="C38" s="768" t="s">
        <v>444</v>
      </c>
      <c r="D38" s="768" t="s">
        <v>476</v>
      </c>
      <c r="E38" s="769">
        <v>0</v>
      </c>
      <c r="F38" s="770">
        <v>600</v>
      </c>
      <c r="G38" s="770">
        <v>600</v>
      </c>
      <c r="H38" s="770">
        <v>0</v>
      </c>
      <c r="I38" s="769">
        <v>0</v>
      </c>
      <c r="J38" t="str">
        <f t="shared" si="1"/>
        <v>55210</v>
      </c>
    </row>
    <row r="39" spans="1:10" ht="13.5" thickBot="1" x14ac:dyDescent="0.25">
      <c r="A39" s="768" t="s">
        <v>487</v>
      </c>
      <c r="B39" s="768" t="s">
        <v>488</v>
      </c>
      <c r="C39" s="768" t="s">
        <v>444</v>
      </c>
      <c r="D39" s="768" t="s">
        <v>476</v>
      </c>
      <c r="E39" s="769">
        <v>0</v>
      </c>
      <c r="F39" s="770">
        <v>400</v>
      </c>
      <c r="G39" s="770">
        <v>0</v>
      </c>
      <c r="H39" s="770">
        <v>0</v>
      </c>
      <c r="I39" s="769">
        <v>400</v>
      </c>
      <c r="J39" t="str">
        <f t="shared" si="1"/>
        <v>55210</v>
      </c>
    </row>
    <row r="40" spans="1:10" ht="13.5" thickBot="1" x14ac:dyDescent="0.25">
      <c r="A40" s="771" t="s">
        <v>490</v>
      </c>
      <c r="B40" s="771" t="s">
        <v>491</v>
      </c>
      <c r="C40" s="771" t="s">
        <v>444</v>
      </c>
      <c r="D40" s="771" t="s">
        <v>476</v>
      </c>
      <c r="E40" s="772">
        <v>0</v>
      </c>
      <c r="F40" s="770">
        <v>800</v>
      </c>
      <c r="G40" s="770">
        <v>200</v>
      </c>
      <c r="H40" s="770">
        <v>0</v>
      </c>
      <c r="I40" s="769">
        <v>600</v>
      </c>
      <c r="J40" t="str">
        <f t="shared" si="1"/>
        <v>55210</v>
      </c>
    </row>
    <row r="41" spans="1:10" ht="13.5" thickBot="1" x14ac:dyDescent="0.25">
      <c r="A41" s="771" t="s">
        <v>493</v>
      </c>
      <c r="B41" s="771" t="s">
        <v>494</v>
      </c>
      <c r="C41" s="771" t="s">
        <v>444</v>
      </c>
      <c r="D41" s="771" t="s">
        <v>476</v>
      </c>
      <c r="E41" s="772">
        <v>0</v>
      </c>
      <c r="F41" s="770">
        <v>400</v>
      </c>
      <c r="G41" s="770">
        <v>0</v>
      </c>
      <c r="H41" s="770">
        <v>0</v>
      </c>
      <c r="I41" s="769">
        <v>400</v>
      </c>
      <c r="J41" t="str">
        <f t="shared" si="1"/>
        <v>55210</v>
      </c>
    </row>
    <row r="42" spans="1:10" ht="13.5" thickBot="1" x14ac:dyDescent="0.25">
      <c r="A42" s="771" t="s">
        <v>496</v>
      </c>
      <c r="B42" s="771" t="s">
        <v>497</v>
      </c>
      <c r="C42" s="771" t="s">
        <v>444</v>
      </c>
      <c r="D42" s="771" t="s">
        <v>476</v>
      </c>
      <c r="E42" s="772">
        <v>0</v>
      </c>
      <c r="F42" s="770">
        <v>400</v>
      </c>
      <c r="G42" s="770">
        <v>0</v>
      </c>
      <c r="H42" s="770">
        <v>0</v>
      </c>
      <c r="I42" s="769">
        <v>400</v>
      </c>
      <c r="J42" t="str">
        <f t="shared" si="1"/>
        <v>55210</v>
      </c>
    </row>
    <row r="43" spans="1:10" ht="13.5" thickBot="1" x14ac:dyDescent="0.25">
      <c r="A43" s="768" t="s">
        <v>502</v>
      </c>
      <c r="B43" s="768" t="s">
        <v>503</v>
      </c>
      <c r="C43" s="768" t="s">
        <v>444</v>
      </c>
      <c r="D43" s="768" t="s">
        <v>501</v>
      </c>
      <c r="E43" s="769">
        <v>0</v>
      </c>
      <c r="F43" s="770">
        <v>500</v>
      </c>
      <c r="G43" s="770">
        <v>0</v>
      </c>
      <c r="H43" s="770">
        <v>0</v>
      </c>
      <c r="I43" s="769">
        <v>500</v>
      </c>
      <c r="J43" t="str">
        <f t="shared" si="1"/>
        <v>55210</v>
      </c>
    </row>
    <row r="44" spans="1:10" ht="13.5" thickBot="1" x14ac:dyDescent="0.25">
      <c r="A44" s="771" t="s">
        <v>505</v>
      </c>
      <c r="B44" s="771" t="s">
        <v>506</v>
      </c>
      <c r="C44" s="771" t="s">
        <v>444</v>
      </c>
      <c r="D44" s="771" t="s">
        <v>501</v>
      </c>
      <c r="E44" s="772">
        <v>0</v>
      </c>
      <c r="F44" s="770">
        <v>500</v>
      </c>
      <c r="G44" s="770">
        <v>100.04</v>
      </c>
      <c r="H44" s="770">
        <v>0</v>
      </c>
      <c r="I44" s="769">
        <v>399.96</v>
      </c>
      <c r="J44" t="str">
        <f t="shared" si="1"/>
        <v>55210</v>
      </c>
    </row>
    <row r="45" spans="1:10" ht="13.5" thickBot="1" x14ac:dyDescent="0.25">
      <c r="A45" s="771" t="s">
        <v>508</v>
      </c>
      <c r="B45" s="771" t="s">
        <v>509</v>
      </c>
      <c r="C45" s="771" t="s">
        <v>444</v>
      </c>
      <c r="D45" s="771" t="s">
        <v>501</v>
      </c>
      <c r="E45" s="772">
        <v>0</v>
      </c>
      <c r="F45" s="770">
        <v>200</v>
      </c>
      <c r="G45" s="770">
        <v>0</v>
      </c>
      <c r="H45" s="770">
        <v>0</v>
      </c>
      <c r="I45" s="769">
        <v>200</v>
      </c>
      <c r="J45" t="str">
        <f t="shared" si="1"/>
        <v>55210</v>
      </c>
    </row>
    <row r="46" spans="1:10" ht="13.5" thickBot="1" x14ac:dyDescent="0.25">
      <c r="A46" s="771" t="s">
        <v>511</v>
      </c>
      <c r="B46" s="771" t="s">
        <v>512</v>
      </c>
      <c r="C46" s="771" t="s">
        <v>444</v>
      </c>
      <c r="D46" s="771" t="s">
        <v>501</v>
      </c>
      <c r="E46" s="772">
        <v>0</v>
      </c>
      <c r="F46" s="770">
        <v>400</v>
      </c>
      <c r="G46" s="770">
        <v>0</v>
      </c>
      <c r="H46" s="770">
        <v>0</v>
      </c>
      <c r="I46" s="769">
        <v>400</v>
      </c>
      <c r="J46" t="str">
        <f t="shared" si="1"/>
        <v>55210</v>
      </c>
    </row>
    <row r="47" spans="1:10" ht="13.5" thickBot="1" x14ac:dyDescent="0.25">
      <c r="A47" s="768" t="s">
        <v>514</v>
      </c>
      <c r="B47" s="768" t="s">
        <v>515</v>
      </c>
      <c r="C47" s="768" t="s">
        <v>444</v>
      </c>
      <c r="D47" s="768" t="s">
        <v>501</v>
      </c>
      <c r="E47" s="769">
        <v>0</v>
      </c>
      <c r="F47" s="770">
        <v>200</v>
      </c>
      <c r="G47" s="770">
        <v>198.9</v>
      </c>
      <c r="H47" s="770">
        <v>0</v>
      </c>
      <c r="I47" s="769">
        <v>1.1000000000000001</v>
      </c>
      <c r="J47" t="str">
        <f t="shared" si="1"/>
        <v>55210</v>
      </c>
    </row>
    <row r="48" spans="1:10" ht="13.5" thickBot="1" x14ac:dyDescent="0.25">
      <c r="A48" s="771" t="s">
        <v>517</v>
      </c>
      <c r="B48" s="771" t="s">
        <v>518</v>
      </c>
      <c r="C48" s="771" t="s">
        <v>444</v>
      </c>
      <c r="D48" s="771" t="s">
        <v>501</v>
      </c>
      <c r="E48" s="772">
        <v>0</v>
      </c>
      <c r="F48" s="770">
        <v>800</v>
      </c>
      <c r="G48" s="770">
        <v>0</v>
      </c>
      <c r="H48" s="770">
        <v>0</v>
      </c>
      <c r="I48" s="769">
        <v>800</v>
      </c>
      <c r="J48" t="str">
        <f t="shared" si="1"/>
        <v>55210</v>
      </c>
    </row>
    <row r="49" spans="1:10" ht="13.5" thickBot="1" x14ac:dyDescent="0.25">
      <c r="A49" s="771" t="s">
        <v>520</v>
      </c>
      <c r="B49" s="771" t="s">
        <v>521</v>
      </c>
      <c r="C49" s="771" t="s">
        <v>444</v>
      </c>
      <c r="D49" s="771" t="s">
        <v>522</v>
      </c>
      <c r="E49" s="772">
        <v>0</v>
      </c>
      <c r="F49" s="770">
        <v>1200</v>
      </c>
      <c r="G49" s="770">
        <v>640</v>
      </c>
      <c r="H49" s="770">
        <v>0</v>
      </c>
      <c r="I49" s="769">
        <v>560</v>
      </c>
      <c r="J49" t="str">
        <f t="shared" si="1"/>
        <v>55210</v>
      </c>
    </row>
    <row r="50" spans="1:10" ht="13.5" thickBot="1" x14ac:dyDescent="0.25">
      <c r="A50" s="771" t="s">
        <v>524</v>
      </c>
      <c r="B50" s="771" t="s">
        <v>525</v>
      </c>
      <c r="C50" s="771" t="s">
        <v>444</v>
      </c>
      <c r="D50" s="771" t="s">
        <v>522</v>
      </c>
      <c r="E50" s="772">
        <v>0</v>
      </c>
      <c r="F50" s="770">
        <v>800</v>
      </c>
      <c r="G50" s="770">
        <v>458.66</v>
      </c>
      <c r="H50" s="770">
        <v>0</v>
      </c>
      <c r="I50" s="769">
        <v>341.34</v>
      </c>
      <c r="J50" t="str">
        <f t="shared" si="1"/>
        <v>55210</v>
      </c>
    </row>
    <row r="51" spans="1:10" ht="13.5" thickBot="1" x14ac:dyDescent="0.25">
      <c r="A51" s="768" t="s">
        <v>527</v>
      </c>
      <c r="B51" s="768" t="s">
        <v>528</v>
      </c>
      <c r="C51" s="768" t="s">
        <v>444</v>
      </c>
      <c r="D51" s="768" t="s">
        <v>522</v>
      </c>
      <c r="E51" s="769">
        <v>0</v>
      </c>
      <c r="F51" s="770">
        <v>600</v>
      </c>
      <c r="G51" s="770">
        <v>0</v>
      </c>
      <c r="H51" s="770">
        <v>0</v>
      </c>
      <c r="I51" s="769">
        <v>600</v>
      </c>
      <c r="J51" t="str">
        <f t="shared" si="1"/>
        <v>55210</v>
      </c>
    </row>
    <row r="52" spans="1:10" ht="13.5" thickBot="1" x14ac:dyDescent="0.25">
      <c r="A52" s="771" t="s">
        <v>530</v>
      </c>
      <c r="B52" s="771" t="s">
        <v>531</v>
      </c>
      <c r="C52" s="771" t="s">
        <v>444</v>
      </c>
      <c r="D52" s="771" t="s">
        <v>532</v>
      </c>
      <c r="E52" s="772">
        <v>0</v>
      </c>
      <c r="F52" s="770">
        <v>3200</v>
      </c>
      <c r="G52" s="770">
        <v>469.61</v>
      </c>
      <c r="H52" s="770">
        <v>0</v>
      </c>
      <c r="I52" s="769">
        <v>2730.39</v>
      </c>
      <c r="J52" t="str">
        <f t="shared" si="1"/>
        <v>55210</v>
      </c>
    </row>
    <row r="53" spans="1:10" ht="13.5" thickBot="1" x14ac:dyDescent="0.25">
      <c r="A53" s="771" t="s">
        <v>534</v>
      </c>
      <c r="B53" s="771" t="s">
        <v>535</v>
      </c>
      <c r="C53" s="771" t="s">
        <v>444</v>
      </c>
      <c r="D53" s="771" t="s">
        <v>532</v>
      </c>
      <c r="E53" s="772">
        <v>0</v>
      </c>
      <c r="F53" s="770">
        <v>1000</v>
      </c>
      <c r="G53" s="770">
        <v>675</v>
      </c>
      <c r="H53" s="770">
        <v>0</v>
      </c>
      <c r="I53" s="769">
        <v>325</v>
      </c>
      <c r="J53" t="str">
        <f t="shared" si="1"/>
        <v>55210</v>
      </c>
    </row>
    <row r="54" spans="1:10" ht="13.5" thickBot="1" x14ac:dyDescent="0.25">
      <c r="A54" s="771" t="s">
        <v>537</v>
      </c>
      <c r="B54" s="771" t="s">
        <v>538</v>
      </c>
      <c r="C54" s="771" t="s">
        <v>444</v>
      </c>
      <c r="D54" s="771" t="s">
        <v>532</v>
      </c>
      <c r="E54" s="772">
        <v>0</v>
      </c>
      <c r="F54" s="770">
        <v>400</v>
      </c>
      <c r="G54" s="770">
        <v>400</v>
      </c>
      <c r="H54" s="770">
        <v>0</v>
      </c>
      <c r="I54" s="769">
        <v>0</v>
      </c>
      <c r="J54" t="str">
        <f t="shared" si="1"/>
        <v>55210</v>
      </c>
    </row>
    <row r="55" spans="1:10" ht="13.5" thickBot="1" x14ac:dyDescent="0.25">
      <c r="A55" s="768" t="s">
        <v>542</v>
      </c>
      <c r="B55" s="768" t="s">
        <v>543</v>
      </c>
      <c r="C55" s="768" t="s">
        <v>444</v>
      </c>
      <c r="D55" s="768" t="s">
        <v>532</v>
      </c>
      <c r="E55" s="769">
        <v>0</v>
      </c>
      <c r="F55" s="770">
        <v>400</v>
      </c>
      <c r="G55" s="770">
        <v>114.16</v>
      </c>
      <c r="H55" s="770">
        <v>0</v>
      </c>
      <c r="I55" s="769">
        <v>285.83999999999997</v>
      </c>
      <c r="J55" t="str">
        <f t="shared" si="1"/>
        <v>55210</v>
      </c>
    </row>
    <row r="56" spans="1:10" ht="13.5" thickBot="1" x14ac:dyDescent="0.25">
      <c r="A56" s="771" t="s">
        <v>545</v>
      </c>
      <c r="B56" s="771" t="s">
        <v>546</v>
      </c>
      <c r="C56" s="771" t="s">
        <v>444</v>
      </c>
      <c r="D56" s="771" t="s">
        <v>532</v>
      </c>
      <c r="E56" s="772">
        <v>0</v>
      </c>
      <c r="F56" s="770">
        <v>800</v>
      </c>
      <c r="G56" s="770">
        <v>0</v>
      </c>
      <c r="H56" s="770">
        <v>0</v>
      </c>
      <c r="I56" s="769">
        <v>800</v>
      </c>
      <c r="J56" t="str">
        <f t="shared" si="1"/>
        <v>55210</v>
      </c>
    </row>
    <row r="57" spans="1:10" ht="13.5" thickBot="1" x14ac:dyDescent="0.25">
      <c r="A57" s="771" t="s">
        <v>548</v>
      </c>
      <c r="B57" s="771" t="s">
        <v>549</v>
      </c>
      <c r="C57" s="771" t="s">
        <v>444</v>
      </c>
      <c r="D57" s="771" t="s">
        <v>262</v>
      </c>
      <c r="E57" s="772">
        <v>0</v>
      </c>
      <c r="F57" s="770">
        <v>3200</v>
      </c>
      <c r="G57" s="770">
        <v>1099.5999999999999</v>
      </c>
      <c r="H57" s="770">
        <v>0</v>
      </c>
      <c r="I57" s="769">
        <v>2100.4</v>
      </c>
      <c r="J57" t="str">
        <f t="shared" si="1"/>
        <v>55210</v>
      </c>
    </row>
    <row r="58" spans="1:10" ht="13.5" thickBot="1" x14ac:dyDescent="0.25">
      <c r="A58" s="771" t="s">
        <v>564</v>
      </c>
      <c r="B58" s="771" t="s">
        <v>565</v>
      </c>
      <c r="C58" s="771" t="s">
        <v>444</v>
      </c>
      <c r="D58" s="771" t="s">
        <v>566</v>
      </c>
      <c r="E58" s="772">
        <v>0</v>
      </c>
      <c r="F58" s="770">
        <v>1600</v>
      </c>
      <c r="G58" s="770">
        <v>200</v>
      </c>
      <c r="H58" s="770">
        <v>0</v>
      </c>
      <c r="I58" s="769">
        <v>1400</v>
      </c>
      <c r="J58" t="str">
        <f t="shared" si="1"/>
        <v>55210</v>
      </c>
    </row>
    <row r="59" spans="1:10" ht="13.5" thickBot="1" x14ac:dyDescent="0.25">
      <c r="A59" s="768" t="s">
        <v>568</v>
      </c>
      <c r="B59" s="768" t="s">
        <v>569</v>
      </c>
      <c r="C59" s="768" t="s">
        <v>444</v>
      </c>
      <c r="D59" s="768" t="s">
        <v>566</v>
      </c>
      <c r="E59" s="769">
        <v>0</v>
      </c>
      <c r="F59" s="770">
        <v>600</v>
      </c>
      <c r="G59" s="770">
        <v>0</v>
      </c>
      <c r="H59" s="770">
        <v>0</v>
      </c>
      <c r="I59" s="769">
        <v>600</v>
      </c>
      <c r="J59" t="str">
        <f t="shared" si="1"/>
        <v>55210</v>
      </c>
    </row>
    <row r="60" spans="1:10" ht="13.5" thickBot="1" x14ac:dyDescent="0.25">
      <c r="A60" s="771" t="s">
        <v>571</v>
      </c>
      <c r="B60" s="771" t="s">
        <v>572</v>
      </c>
      <c r="C60" s="771" t="s">
        <v>444</v>
      </c>
      <c r="D60" s="771" t="s">
        <v>566</v>
      </c>
      <c r="E60" s="772">
        <v>0</v>
      </c>
      <c r="F60" s="770">
        <v>2600</v>
      </c>
      <c r="G60" s="770">
        <v>1264.25</v>
      </c>
      <c r="H60" s="770">
        <v>0</v>
      </c>
      <c r="I60" s="769">
        <v>1335.75</v>
      </c>
      <c r="J60" t="str">
        <f t="shared" si="1"/>
        <v>55210</v>
      </c>
    </row>
    <row r="61" spans="1:10" ht="13.5" thickBot="1" x14ac:dyDescent="0.25">
      <c r="A61" s="771" t="s">
        <v>574</v>
      </c>
      <c r="B61" s="771" t="s">
        <v>575</v>
      </c>
      <c r="C61" s="771" t="s">
        <v>444</v>
      </c>
      <c r="D61" s="771" t="s">
        <v>566</v>
      </c>
      <c r="E61" s="772">
        <v>0</v>
      </c>
      <c r="F61" s="770">
        <v>1000</v>
      </c>
      <c r="G61" s="770">
        <v>325.32</v>
      </c>
      <c r="H61" s="770">
        <v>0</v>
      </c>
      <c r="I61" s="769">
        <v>674.68</v>
      </c>
      <c r="J61" t="str">
        <f t="shared" si="1"/>
        <v>55210</v>
      </c>
    </row>
    <row r="62" spans="1:10" ht="13.5" thickBot="1" x14ac:dyDescent="0.25">
      <c r="A62" s="771" t="s">
        <v>577</v>
      </c>
      <c r="B62" s="771" t="s">
        <v>578</v>
      </c>
      <c r="C62" s="771" t="s">
        <v>444</v>
      </c>
      <c r="D62" s="771" t="s">
        <v>579</v>
      </c>
      <c r="E62" s="772">
        <v>0</v>
      </c>
      <c r="F62" s="770">
        <v>400</v>
      </c>
      <c r="G62" s="770">
        <v>0</v>
      </c>
      <c r="H62" s="770">
        <v>0</v>
      </c>
      <c r="I62" s="769">
        <v>400</v>
      </c>
      <c r="J62" t="str">
        <f t="shared" si="1"/>
        <v>55210</v>
      </c>
    </row>
    <row r="63" spans="1:10" ht="13.5" thickBot="1" x14ac:dyDescent="0.25">
      <c r="A63" s="768" t="s">
        <v>581</v>
      </c>
      <c r="B63" s="768" t="s">
        <v>582</v>
      </c>
      <c r="C63" s="768" t="s">
        <v>444</v>
      </c>
      <c r="D63" s="768" t="s">
        <v>579</v>
      </c>
      <c r="E63" s="769">
        <v>0</v>
      </c>
      <c r="F63" s="770">
        <v>200</v>
      </c>
      <c r="G63" s="770">
        <v>0</v>
      </c>
      <c r="H63" s="770">
        <v>0</v>
      </c>
      <c r="I63" s="769">
        <v>200</v>
      </c>
      <c r="J63" t="str">
        <f t="shared" si="1"/>
        <v>55210</v>
      </c>
    </row>
    <row r="64" spans="1:10" ht="13.5" thickBot="1" x14ac:dyDescent="0.25">
      <c r="A64" s="771" t="s">
        <v>584</v>
      </c>
      <c r="B64" s="771" t="s">
        <v>585</v>
      </c>
      <c r="C64" s="771" t="s">
        <v>444</v>
      </c>
      <c r="D64" s="771" t="s">
        <v>579</v>
      </c>
      <c r="E64" s="772">
        <v>0</v>
      </c>
      <c r="F64" s="770">
        <v>200</v>
      </c>
      <c r="G64" s="770">
        <v>0</v>
      </c>
      <c r="H64" s="770">
        <v>0</v>
      </c>
      <c r="I64" s="769">
        <v>200</v>
      </c>
      <c r="J64" t="str">
        <f t="shared" si="1"/>
        <v>55210</v>
      </c>
    </row>
    <row r="65" spans="1:10" ht="13.5" thickBot="1" x14ac:dyDescent="0.25">
      <c r="A65" s="771" t="s">
        <v>587</v>
      </c>
      <c r="B65" s="771" t="s">
        <v>588</v>
      </c>
      <c r="C65" s="771" t="s">
        <v>444</v>
      </c>
      <c r="D65" s="771" t="s">
        <v>579</v>
      </c>
      <c r="E65" s="772">
        <v>0</v>
      </c>
      <c r="F65" s="770">
        <v>400</v>
      </c>
      <c r="G65" s="770">
        <v>0</v>
      </c>
      <c r="H65" s="770">
        <v>0</v>
      </c>
      <c r="I65" s="769">
        <v>400</v>
      </c>
      <c r="J65" t="str">
        <f t="shared" si="1"/>
        <v>55210</v>
      </c>
    </row>
    <row r="66" spans="1:10" ht="13.5" thickBot="1" x14ac:dyDescent="0.25">
      <c r="A66" s="771" t="s">
        <v>592</v>
      </c>
      <c r="B66" s="771" t="s">
        <v>593</v>
      </c>
      <c r="C66" s="771" t="s">
        <v>444</v>
      </c>
      <c r="D66" s="771" t="s">
        <v>579</v>
      </c>
      <c r="E66" s="772">
        <v>0</v>
      </c>
      <c r="F66" s="770">
        <v>400</v>
      </c>
      <c r="G66" s="770">
        <v>0</v>
      </c>
      <c r="H66" s="770">
        <v>0</v>
      </c>
      <c r="I66" s="769">
        <v>400</v>
      </c>
      <c r="J66" t="str">
        <f t="shared" si="1"/>
        <v>55210</v>
      </c>
    </row>
    <row r="67" spans="1:10" ht="13.5" thickBot="1" x14ac:dyDescent="0.25">
      <c r="A67" s="768" t="s">
        <v>595</v>
      </c>
      <c r="B67" s="768" t="s">
        <v>596</v>
      </c>
      <c r="C67" s="768" t="s">
        <v>444</v>
      </c>
      <c r="D67" s="768" t="s">
        <v>579</v>
      </c>
      <c r="E67" s="769">
        <v>0</v>
      </c>
      <c r="F67" s="770">
        <v>600</v>
      </c>
      <c r="G67" s="770">
        <v>0</v>
      </c>
      <c r="H67" s="770">
        <v>0</v>
      </c>
      <c r="I67" s="769">
        <v>600</v>
      </c>
      <c r="J67" t="str">
        <f t="shared" si="1"/>
        <v>55210</v>
      </c>
    </row>
    <row r="68" spans="1:10" ht="13.5" thickBot="1" x14ac:dyDescent="0.25">
      <c r="A68" s="771" t="s">
        <v>598</v>
      </c>
      <c r="B68" s="771" t="s">
        <v>599</v>
      </c>
      <c r="C68" s="771" t="s">
        <v>444</v>
      </c>
      <c r="D68" s="771" t="s">
        <v>579</v>
      </c>
      <c r="E68" s="772">
        <v>0</v>
      </c>
      <c r="F68" s="770">
        <v>400</v>
      </c>
      <c r="G68" s="770">
        <v>0</v>
      </c>
      <c r="H68" s="770">
        <v>0</v>
      </c>
      <c r="I68" s="769">
        <v>400</v>
      </c>
      <c r="J68" t="str">
        <f t="shared" si="1"/>
        <v>55210</v>
      </c>
    </row>
    <row r="69" spans="1:10" ht="13.5" thickBot="1" x14ac:dyDescent="0.25">
      <c r="A69" s="771" t="s">
        <v>601</v>
      </c>
      <c r="B69" s="771" t="s">
        <v>602</v>
      </c>
      <c r="C69" s="771" t="s">
        <v>444</v>
      </c>
      <c r="D69" s="771" t="s">
        <v>579</v>
      </c>
      <c r="E69" s="772">
        <v>0</v>
      </c>
      <c r="F69" s="770">
        <v>360</v>
      </c>
      <c r="G69" s="770">
        <v>0</v>
      </c>
      <c r="H69" s="770">
        <v>0</v>
      </c>
      <c r="I69" s="769">
        <v>360</v>
      </c>
      <c r="J69" t="str">
        <f t="shared" si="1"/>
        <v>55210</v>
      </c>
    </row>
    <row r="70" spans="1:10" ht="13.5" thickBot="1" x14ac:dyDescent="0.25">
      <c r="A70" s="771" t="s">
        <v>604</v>
      </c>
      <c r="B70" s="771" t="s">
        <v>605</v>
      </c>
      <c r="C70" s="771" t="s">
        <v>444</v>
      </c>
      <c r="D70" s="771" t="s">
        <v>579</v>
      </c>
      <c r="E70" s="772">
        <v>0</v>
      </c>
      <c r="F70" s="770">
        <v>400</v>
      </c>
      <c r="G70" s="770">
        <v>0</v>
      </c>
      <c r="H70" s="770">
        <v>0</v>
      </c>
      <c r="I70" s="769">
        <v>400</v>
      </c>
      <c r="J70" t="str">
        <f t="shared" si="1"/>
        <v>55210</v>
      </c>
    </row>
    <row r="71" spans="1:10" ht="13.5" thickBot="1" x14ac:dyDescent="0.25">
      <c r="A71" s="768" t="s">
        <v>607</v>
      </c>
      <c r="B71" s="768" t="s">
        <v>608</v>
      </c>
      <c r="C71" s="768" t="s">
        <v>444</v>
      </c>
      <c r="D71" s="768" t="s">
        <v>579</v>
      </c>
      <c r="E71" s="769">
        <v>0</v>
      </c>
      <c r="F71" s="770">
        <v>200</v>
      </c>
      <c r="G71" s="770">
        <v>0</v>
      </c>
      <c r="H71" s="770">
        <v>0</v>
      </c>
      <c r="I71" s="769">
        <v>200</v>
      </c>
      <c r="J71" t="str">
        <f t="shared" si="1"/>
        <v>55210</v>
      </c>
    </row>
    <row r="72" spans="1:10" ht="13.5" thickBot="1" x14ac:dyDescent="0.25">
      <c r="A72" s="771" t="s">
        <v>610</v>
      </c>
      <c r="B72" s="771" t="s">
        <v>611</v>
      </c>
      <c r="C72" s="771" t="s">
        <v>444</v>
      </c>
      <c r="D72" s="771" t="s">
        <v>611</v>
      </c>
      <c r="E72" s="772">
        <v>0</v>
      </c>
      <c r="F72" s="770">
        <v>5000</v>
      </c>
      <c r="G72" s="770">
        <v>2434.02</v>
      </c>
      <c r="H72" s="770">
        <v>0</v>
      </c>
      <c r="I72" s="769">
        <v>2565.98</v>
      </c>
      <c r="J72" t="str">
        <f t="shared" si="1"/>
        <v>55210</v>
      </c>
    </row>
    <row r="73" spans="1:10" ht="13.5" thickBot="1" x14ac:dyDescent="0.25">
      <c r="A73" s="771" t="s">
        <v>189</v>
      </c>
      <c r="B73" s="771" t="s">
        <v>264</v>
      </c>
      <c r="C73" s="771" t="s">
        <v>617</v>
      </c>
      <c r="D73" s="771" t="s">
        <v>264</v>
      </c>
      <c r="E73" s="772">
        <v>34000</v>
      </c>
      <c r="F73" s="770">
        <v>34000</v>
      </c>
      <c r="G73" s="770">
        <v>68000</v>
      </c>
      <c r="H73" s="770">
        <v>0</v>
      </c>
      <c r="I73" s="769">
        <v>0</v>
      </c>
      <c r="J73" s="793">
        <f t="shared" si="0"/>
        <v>0</v>
      </c>
    </row>
    <row r="74" spans="1:10" ht="13.5" thickBot="1" x14ac:dyDescent="0.25">
      <c r="A74" s="771"/>
      <c r="B74" s="771"/>
      <c r="C74" s="771"/>
      <c r="D74" s="771"/>
      <c r="E74" s="806">
        <f>SUM(E2:E73)</f>
        <v>935504</v>
      </c>
      <c r="F74" s="806">
        <f>SUM(F2:F73)</f>
        <v>937141</v>
      </c>
      <c r="G74" s="806">
        <f t="shared" ref="G74:I74" si="2">SUM(G2:G73)</f>
        <v>936155.64999999991</v>
      </c>
      <c r="H74" s="806">
        <f t="shared" si="2"/>
        <v>0</v>
      </c>
      <c r="I74" s="806">
        <f t="shared" si="2"/>
        <v>29221.48</v>
      </c>
    </row>
    <row r="75" spans="1:10" ht="13.5" thickBot="1" x14ac:dyDescent="0.25">
      <c r="A75" s="771"/>
      <c r="B75" s="771"/>
      <c r="C75" s="771"/>
      <c r="D75" s="771"/>
      <c r="E75" s="772"/>
      <c r="F75" s="770"/>
      <c r="G75" s="770"/>
      <c r="H75" s="770"/>
      <c r="I75" s="769"/>
    </row>
    <row r="76" spans="1:10" ht="13.5" thickBot="1" x14ac:dyDescent="0.25">
      <c r="A76" s="768" t="s">
        <v>222</v>
      </c>
      <c r="B76" s="768" t="s">
        <v>618</v>
      </c>
      <c r="C76" s="768" t="s">
        <v>619</v>
      </c>
      <c r="D76" s="768" t="s">
        <v>620</v>
      </c>
      <c r="E76" s="769">
        <v>17453</v>
      </c>
      <c r="F76" s="770">
        <v>17453</v>
      </c>
      <c r="G76" s="770">
        <v>17453</v>
      </c>
      <c r="H76" s="770">
        <v>0</v>
      </c>
      <c r="I76" s="769">
        <v>0</v>
      </c>
      <c r="J76" s="793"/>
    </row>
    <row r="77" spans="1:10" ht="13.5" thickBot="1" x14ac:dyDescent="0.25">
      <c r="A77" s="771" t="s">
        <v>384</v>
      </c>
      <c r="B77" s="771" t="s">
        <v>634</v>
      </c>
      <c r="C77" s="771" t="s">
        <v>448</v>
      </c>
      <c r="D77" s="771" t="s">
        <v>627</v>
      </c>
      <c r="E77" s="772">
        <v>0</v>
      </c>
      <c r="F77" s="770">
        <v>0</v>
      </c>
      <c r="G77" s="770">
        <v>79869</v>
      </c>
      <c r="H77" s="770">
        <v>0</v>
      </c>
      <c r="I77" s="769">
        <v>-79869</v>
      </c>
    </row>
    <row r="78" spans="1:10" ht="13.5" thickBot="1" x14ac:dyDescent="0.25">
      <c r="A78" s="768" t="s">
        <v>210</v>
      </c>
      <c r="B78" s="768" t="s">
        <v>207</v>
      </c>
      <c r="C78" s="768" t="s">
        <v>621</v>
      </c>
      <c r="D78" s="768" t="s">
        <v>39</v>
      </c>
      <c r="E78" s="769">
        <v>1000</v>
      </c>
      <c r="F78" s="770">
        <v>414</v>
      </c>
      <c r="G78" s="770">
        <v>250</v>
      </c>
      <c r="H78" s="770">
        <v>0</v>
      </c>
      <c r="I78" s="769">
        <v>2</v>
      </c>
      <c r="J78" s="793"/>
    </row>
    <row r="79" spans="1:10" ht="13.5" thickBot="1" x14ac:dyDescent="0.25">
      <c r="A79" s="771" t="s">
        <v>622</v>
      </c>
      <c r="B79" s="771" t="s">
        <v>207</v>
      </c>
      <c r="C79" s="771" t="s">
        <v>614</v>
      </c>
      <c r="D79" s="771" t="s">
        <v>39</v>
      </c>
      <c r="E79" s="772">
        <v>0</v>
      </c>
      <c r="F79" s="770">
        <v>748</v>
      </c>
      <c r="G79" s="770">
        <v>700</v>
      </c>
      <c r="H79" s="770">
        <v>0</v>
      </c>
      <c r="I79" s="769">
        <v>48</v>
      </c>
      <c r="J79" s="793"/>
    </row>
    <row r="80" spans="1:10" ht="13.5" thickBot="1" x14ac:dyDescent="0.25">
      <c r="A80" s="771" t="s">
        <v>211</v>
      </c>
      <c r="B80" s="771" t="s">
        <v>207</v>
      </c>
      <c r="C80" s="771" t="s">
        <v>440</v>
      </c>
      <c r="D80" s="771" t="s">
        <v>39</v>
      </c>
      <c r="E80" s="772">
        <v>3000</v>
      </c>
      <c r="F80" s="770">
        <v>2838</v>
      </c>
      <c r="G80" s="770">
        <v>2838</v>
      </c>
      <c r="H80" s="770">
        <v>0</v>
      </c>
      <c r="I80" s="769">
        <v>0</v>
      </c>
      <c r="J80" s="793"/>
    </row>
    <row r="81" spans="1:10" ht="13.5" thickBot="1" x14ac:dyDescent="0.25">
      <c r="A81" s="771" t="s">
        <v>212</v>
      </c>
      <c r="B81" s="771" t="s">
        <v>623</v>
      </c>
      <c r="C81" s="771" t="s">
        <v>624</v>
      </c>
      <c r="D81" s="771" t="s">
        <v>39</v>
      </c>
      <c r="E81" s="772">
        <v>1000</v>
      </c>
      <c r="F81" s="770">
        <v>0</v>
      </c>
      <c r="G81" s="770">
        <v>0</v>
      </c>
      <c r="H81" s="770">
        <v>0</v>
      </c>
      <c r="I81" s="769">
        <v>0</v>
      </c>
      <c r="J81" s="793"/>
    </row>
    <row r="82" spans="1:10" ht="13.5" thickBot="1" x14ac:dyDescent="0.25">
      <c r="A82" s="768" t="s">
        <v>213</v>
      </c>
      <c r="B82" s="768" t="s">
        <v>623</v>
      </c>
      <c r="C82" s="768" t="s">
        <v>621</v>
      </c>
      <c r="D82" s="768" t="s">
        <v>39</v>
      </c>
      <c r="E82" s="769">
        <v>500</v>
      </c>
      <c r="F82" s="770">
        <v>375</v>
      </c>
      <c r="G82" s="770">
        <v>374.5</v>
      </c>
      <c r="H82" s="770">
        <v>0</v>
      </c>
      <c r="I82" s="769">
        <v>0.5</v>
      </c>
      <c r="J82" s="793"/>
    </row>
    <row r="83" spans="1:10" ht="13.5" thickBot="1" x14ac:dyDescent="0.25">
      <c r="A83" s="768" t="s">
        <v>214</v>
      </c>
      <c r="B83" s="768" t="s">
        <v>623</v>
      </c>
      <c r="C83" s="768" t="s">
        <v>614</v>
      </c>
      <c r="D83" s="768" t="s">
        <v>39</v>
      </c>
      <c r="E83" s="769">
        <v>1500</v>
      </c>
      <c r="F83" s="770">
        <v>483</v>
      </c>
      <c r="G83" s="770">
        <v>482.44</v>
      </c>
      <c r="H83" s="770">
        <v>0</v>
      </c>
      <c r="I83" s="769">
        <v>0.56000000000000005</v>
      </c>
      <c r="J83" s="793"/>
    </row>
    <row r="84" spans="1:10" ht="13.5" thickBot="1" x14ac:dyDescent="0.25">
      <c r="A84" s="771" t="s">
        <v>215</v>
      </c>
      <c r="B84" s="771" t="s">
        <v>623</v>
      </c>
      <c r="C84" s="771" t="s">
        <v>625</v>
      </c>
      <c r="D84" s="771" t="s">
        <v>39</v>
      </c>
      <c r="E84" s="772">
        <v>1500</v>
      </c>
      <c r="F84" s="770">
        <v>3642</v>
      </c>
      <c r="G84" s="770">
        <v>3642</v>
      </c>
      <c r="H84" s="770">
        <v>0</v>
      </c>
      <c r="I84" s="769">
        <v>0</v>
      </c>
      <c r="J84" s="793"/>
    </row>
    <row r="85" spans="1:10" ht="13.5" thickBot="1" x14ac:dyDescent="0.25">
      <c r="A85" s="771" t="s">
        <v>216</v>
      </c>
      <c r="B85" s="771" t="s">
        <v>626</v>
      </c>
      <c r="C85" s="771" t="s">
        <v>442</v>
      </c>
      <c r="D85" s="771" t="s">
        <v>627</v>
      </c>
      <c r="E85" s="772">
        <v>7500</v>
      </c>
      <c r="F85" s="770">
        <v>7800</v>
      </c>
      <c r="G85" s="770">
        <v>7800</v>
      </c>
      <c r="H85" s="770">
        <v>0</v>
      </c>
      <c r="I85" s="769">
        <v>0</v>
      </c>
      <c r="J85" s="793"/>
    </row>
    <row r="86" spans="1:10" ht="13.5" thickBot="1" x14ac:dyDescent="0.25">
      <c r="A86" s="771" t="s">
        <v>291</v>
      </c>
      <c r="B86" s="771" t="s">
        <v>626</v>
      </c>
      <c r="C86" s="771" t="s">
        <v>469</v>
      </c>
      <c r="D86" s="771" t="s">
        <v>627</v>
      </c>
      <c r="E86" s="772">
        <v>33700</v>
      </c>
      <c r="F86" s="770">
        <v>33700</v>
      </c>
      <c r="G86" s="770">
        <v>32592.83</v>
      </c>
      <c r="H86" s="770">
        <v>0</v>
      </c>
      <c r="I86" s="769">
        <v>-117.5</v>
      </c>
      <c r="J86" s="793"/>
    </row>
    <row r="87" spans="1:10" ht="13.5" thickBot="1" x14ac:dyDescent="0.25">
      <c r="A87" s="768" t="s">
        <v>217</v>
      </c>
      <c r="B87" s="768" t="s">
        <v>626</v>
      </c>
      <c r="C87" s="768" t="s">
        <v>563</v>
      </c>
      <c r="D87" s="768" t="s">
        <v>627</v>
      </c>
      <c r="E87" s="769">
        <v>73711</v>
      </c>
      <c r="F87" s="770">
        <v>72074</v>
      </c>
      <c r="G87" s="770">
        <v>73712</v>
      </c>
      <c r="H87" s="770">
        <v>0</v>
      </c>
      <c r="I87" s="769">
        <v>-1638</v>
      </c>
      <c r="J87" s="793"/>
    </row>
    <row r="88" spans="1:10" ht="13.5" thickBot="1" x14ac:dyDescent="0.25">
      <c r="A88" s="768" t="s">
        <v>218</v>
      </c>
      <c r="B88" s="768" t="s">
        <v>626</v>
      </c>
      <c r="C88" s="768" t="s">
        <v>552</v>
      </c>
      <c r="D88" s="768" t="s">
        <v>627</v>
      </c>
      <c r="E88" s="769">
        <v>15000</v>
      </c>
      <c r="F88" s="770">
        <v>15000</v>
      </c>
      <c r="G88" s="770">
        <v>14750</v>
      </c>
      <c r="H88" s="770">
        <v>0</v>
      </c>
      <c r="I88" s="769">
        <v>250</v>
      </c>
      <c r="J88" s="793"/>
    </row>
    <row r="89" spans="1:10" ht="13.5" thickBot="1" x14ac:dyDescent="0.25">
      <c r="A89" s="771" t="s">
        <v>628</v>
      </c>
      <c r="B89" s="771" t="s">
        <v>626</v>
      </c>
      <c r="C89" s="771" t="s">
        <v>554</v>
      </c>
      <c r="D89" s="771" t="s">
        <v>627</v>
      </c>
      <c r="E89" s="772">
        <v>0</v>
      </c>
      <c r="F89" s="770">
        <v>0</v>
      </c>
      <c r="G89" s="770">
        <v>773.45</v>
      </c>
      <c r="H89" s="770">
        <v>0</v>
      </c>
      <c r="I89" s="769">
        <v>-773.45</v>
      </c>
      <c r="J89" s="793"/>
    </row>
    <row r="90" spans="1:10" ht="13.5" thickBot="1" x14ac:dyDescent="0.25">
      <c r="A90" s="771" t="s">
        <v>629</v>
      </c>
      <c r="B90" s="771" t="s">
        <v>626</v>
      </c>
      <c r="C90" s="771" t="s">
        <v>556</v>
      </c>
      <c r="D90" s="771" t="s">
        <v>627</v>
      </c>
      <c r="E90" s="772">
        <v>0</v>
      </c>
      <c r="F90" s="770">
        <v>0</v>
      </c>
      <c r="G90" s="770">
        <v>213.87</v>
      </c>
      <c r="H90" s="770">
        <v>0</v>
      </c>
      <c r="I90" s="769">
        <v>-213.87</v>
      </c>
      <c r="J90" s="793"/>
    </row>
    <row r="91" spans="1:10" ht="13.5" thickBot="1" x14ac:dyDescent="0.25">
      <c r="A91" s="771" t="s">
        <v>630</v>
      </c>
      <c r="B91" s="771" t="s">
        <v>626</v>
      </c>
      <c r="C91" s="771" t="s">
        <v>558</v>
      </c>
      <c r="D91" s="771" t="s">
        <v>627</v>
      </c>
      <c r="E91" s="772">
        <v>0</v>
      </c>
      <c r="F91" s="770">
        <v>0</v>
      </c>
      <c r="G91" s="770">
        <v>150</v>
      </c>
      <c r="H91" s="770">
        <v>0</v>
      </c>
      <c r="I91" s="769">
        <v>-150</v>
      </c>
      <c r="J91" s="793"/>
    </row>
    <row r="92" spans="1:10" ht="13.5" thickBot="1" x14ac:dyDescent="0.25">
      <c r="A92" s="768" t="s">
        <v>631</v>
      </c>
      <c r="B92" s="768" t="s">
        <v>626</v>
      </c>
      <c r="C92" s="768" t="s">
        <v>560</v>
      </c>
      <c r="D92" s="768" t="s">
        <v>627</v>
      </c>
      <c r="E92" s="769">
        <v>0</v>
      </c>
      <c r="F92" s="770">
        <v>0</v>
      </c>
      <c r="G92" s="770">
        <v>235.37</v>
      </c>
      <c r="H92" s="770">
        <v>0</v>
      </c>
      <c r="I92" s="769">
        <v>-235.37</v>
      </c>
      <c r="J92" s="793"/>
    </row>
    <row r="93" spans="1:10" ht="13.5" thickBot="1" x14ac:dyDescent="0.25">
      <c r="A93" s="768" t="s">
        <v>632</v>
      </c>
      <c r="B93" s="768" t="s">
        <v>626</v>
      </c>
      <c r="C93" s="768" t="s">
        <v>562</v>
      </c>
      <c r="D93" s="768" t="s">
        <v>627</v>
      </c>
      <c r="E93" s="769">
        <v>0</v>
      </c>
      <c r="F93" s="770">
        <v>0</v>
      </c>
      <c r="G93" s="770">
        <v>342</v>
      </c>
      <c r="H93" s="770">
        <v>0</v>
      </c>
      <c r="I93" s="769">
        <v>-342</v>
      </c>
      <c r="J93" s="793"/>
    </row>
    <row r="94" spans="1:10" ht="13.5" thickBot="1" x14ac:dyDescent="0.25">
      <c r="A94" s="771" t="s">
        <v>369</v>
      </c>
      <c r="B94" s="771" t="s">
        <v>633</v>
      </c>
      <c r="C94" s="771" t="s">
        <v>448</v>
      </c>
      <c r="D94" s="771" t="s">
        <v>627</v>
      </c>
      <c r="E94" s="772">
        <v>370397</v>
      </c>
      <c r="F94" s="770">
        <v>0</v>
      </c>
      <c r="G94" s="770">
        <v>0</v>
      </c>
      <c r="H94" s="770">
        <v>0</v>
      </c>
      <c r="I94" s="769">
        <v>0</v>
      </c>
      <c r="J94" s="793"/>
    </row>
    <row r="95" spans="1:10" ht="13.5" thickBot="1" x14ac:dyDescent="0.25">
      <c r="A95" s="771" t="s">
        <v>383</v>
      </c>
      <c r="B95" s="771" t="s">
        <v>633</v>
      </c>
      <c r="C95" s="771" t="s">
        <v>448</v>
      </c>
      <c r="D95" s="771" t="s">
        <v>627</v>
      </c>
      <c r="E95" s="772">
        <v>0</v>
      </c>
      <c r="F95" s="770">
        <v>370397</v>
      </c>
      <c r="G95" s="770">
        <v>332322.45</v>
      </c>
      <c r="H95" s="770">
        <v>0</v>
      </c>
      <c r="I95" s="769">
        <v>124948.38</v>
      </c>
      <c r="J95" s="793"/>
    </row>
    <row r="96" spans="1:10" ht="13.5" thickBot="1" x14ac:dyDescent="0.25">
      <c r="A96" s="771" t="s">
        <v>370</v>
      </c>
      <c r="B96" s="771" t="s">
        <v>634</v>
      </c>
      <c r="C96" s="771" t="s">
        <v>448</v>
      </c>
      <c r="D96" s="771" t="s">
        <v>627</v>
      </c>
      <c r="E96" s="772">
        <v>82111</v>
      </c>
      <c r="F96" s="770">
        <v>82111</v>
      </c>
      <c r="G96" s="770">
        <v>0</v>
      </c>
      <c r="H96" s="770">
        <v>0</v>
      </c>
      <c r="I96" s="769">
        <v>82111</v>
      </c>
      <c r="J96" s="793"/>
    </row>
    <row r="97" spans="1:13" s="778" customFormat="1" ht="13.5" thickBot="1" x14ac:dyDescent="0.25">
      <c r="A97" s="784" t="s">
        <v>371</v>
      </c>
      <c r="B97" s="784" t="s">
        <v>635</v>
      </c>
      <c r="C97" s="784" t="s">
        <v>451</v>
      </c>
      <c r="D97" s="784" t="s">
        <v>627</v>
      </c>
      <c r="E97" s="785">
        <v>2343</v>
      </c>
      <c r="F97" s="770">
        <v>2343</v>
      </c>
      <c r="G97" s="770">
        <v>0</v>
      </c>
      <c r="H97" s="786">
        <v>0</v>
      </c>
      <c r="I97" s="785">
        <v>2343</v>
      </c>
      <c r="J97" s="793"/>
    </row>
    <row r="98" spans="1:13" s="778" customFormat="1" ht="13.5" thickBot="1" x14ac:dyDescent="0.25">
      <c r="A98" s="784" t="s">
        <v>372</v>
      </c>
      <c r="B98" s="784" t="s">
        <v>636</v>
      </c>
      <c r="C98" s="784" t="s">
        <v>451</v>
      </c>
      <c r="D98" s="784" t="s">
        <v>627</v>
      </c>
      <c r="E98" s="785">
        <v>5670</v>
      </c>
      <c r="F98" s="770">
        <v>5670</v>
      </c>
      <c r="G98" s="770">
        <v>6204.45</v>
      </c>
      <c r="H98" s="786">
        <v>0</v>
      </c>
      <c r="I98" s="785">
        <v>-534.45000000000005</v>
      </c>
      <c r="J98" s="793"/>
    </row>
    <row r="99" spans="1:13" s="778" customFormat="1" ht="13.5" thickBot="1" x14ac:dyDescent="0.25">
      <c r="A99" s="787" t="s">
        <v>373</v>
      </c>
      <c r="B99" s="787" t="s">
        <v>637</v>
      </c>
      <c r="C99" s="787" t="s">
        <v>451</v>
      </c>
      <c r="D99" s="787" t="s">
        <v>627</v>
      </c>
      <c r="E99" s="788">
        <v>75190</v>
      </c>
      <c r="F99" s="770">
        <v>76527</v>
      </c>
      <c r="G99" s="770">
        <v>57394.87</v>
      </c>
      <c r="H99" s="786">
        <v>0</v>
      </c>
      <c r="I99" s="785">
        <v>0.5</v>
      </c>
      <c r="J99" s="793"/>
    </row>
    <row r="100" spans="1:13" ht="13.5" thickBot="1" x14ac:dyDescent="0.25">
      <c r="A100" s="771" t="s">
        <v>374</v>
      </c>
      <c r="B100" s="771" t="s">
        <v>638</v>
      </c>
      <c r="C100" s="771" t="s">
        <v>451</v>
      </c>
      <c r="D100" s="771" t="s">
        <v>627</v>
      </c>
      <c r="E100" s="772">
        <v>11259</v>
      </c>
      <c r="F100" s="770">
        <v>11259</v>
      </c>
      <c r="G100" s="770">
        <v>15384</v>
      </c>
      <c r="H100" s="770">
        <v>0</v>
      </c>
      <c r="I100" s="769">
        <v>-4125</v>
      </c>
      <c r="J100" s="793"/>
    </row>
    <row r="101" spans="1:13" ht="13.5" thickBot="1" x14ac:dyDescent="0.25">
      <c r="A101" s="771" t="s">
        <v>224</v>
      </c>
      <c r="B101" s="771" t="s">
        <v>639</v>
      </c>
      <c r="C101" s="771" t="s">
        <v>456</v>
      </c>
      <c r="D101" s="771" t="s">
        <v>627</v>
      </c>
      <c r="E101" s="772">
        <v>11000</v>
      </c>
      <c r="F101" s="770">
        <v>11000</v>
      </c>
      <c r="G101" s="770">
        <v>11000</v>
      </c>
      <c r="H101" s="770">
        <v>0</v>
      </c>
      <c r="I101" s="769">
        <v>0</v>
      </c>
      <c r="J101" s="793"/>
    </row>
    <row r="102" spans="1:13" ht="13.5" thickBot="1" x14ac:dyDescent="0.25">
      <c r="A102" s="768" t="s">
        <v>223</v>
      </c>
      <c r="B102" s="768" t="s">
        <v>640</v>
      </c>
      <c r="C102" s="768" t="s">
        <v>444</v>
      </c>
      <c r="D102" s="768" t="s">
        <v>641</v>
      </c>
      <c r="E102" s="769">
        <v>28800</v>
      </c>
      <c r="F102" s="770">
        <v>28800</v>
      </c>
      <c r="G102" s="770">
        <v>15059.32</v>
      </c>
      <c r="H102" s="770">
        <v>0</v>
      </c>
      <c r="I102" s="769">
        <v>15581.42</v>
      </c>
      <c r="J102" s="793">
        <f>F102-G102</f>
        <v>13740.68</v>
      </c>
    </row>
    <row r="103" spans="1:13" ht="13.5" thickBot="1" x14ac:dyDescent="0.25">
      <c r="A103" s="771" t="s">
        <v>642</v>
      </c>
      <c r="B103" s="771" t="s">
        <v>643</v>
      </c>
      <c r="C103" s="771" t="s">
        <v>469</v>
      </c>
      <c r="D103" s="771"/>
      <c r="E103" s="772">
        <v>0</v>
      </c>
      <c r="F103" s="770">
        <v>0</v>
      </c>
      <c r="G103" s="770">
        <v>378.87</v>
      </c>
      <c r="H103" s="770">
        <v>0</v>
      </c>
      <c r="I103" s="769">
        <v>-378.87</v>
      </c>
      <c r="J103" s="793"/>
    </row>
    <row r="104" spans="1:13" ht="13.5" thickBot="1" x14ac:dyDescent="0.25">
      <c r="A104" s="771"/>
      <c r="B104" s="771"/>
      <c r="C104" s="771"/>
      <c r="D104" s="771"/>
      <c r="E104" s="806">
        <f>SUM(E76:E103)</f>
        <v>742634</v>
      </c>
      <c r="F104" s="806">
        <f>SUM(F76:F103)</f>
        <v>742634</v>
      </c>
      <c r="G104" s="806">
        <f>SUM(G76:G103)</f>
        <v>673922.41999999993</v>
      </c>
      <c r="H104" s="806">
        <f>SUM(H76:H103)</f>
        <v>0</v>
      </c>
      <c r="I104" s="806">
        <f>SUM(I76:I103)</f>
        <v>136907.85000000003</v>
      </c>
    </row>
    <row r="105" spans="1:13" ht="13.5" thickBot="1" x14ac:dyDescent="0.25">
      <c r="A105" s="771"/>
      <c r="B105" s="771"/>
      <c r="C105" s="771"/>
      <c r="D105" s="771"/>
      <c r="E105" s="772"/>
      <c r="F105" s="770"/>
      <c r="G105" s="770"/>
      <c r="H105" s="770"/>
      <c r="I105" s="769"/>
    </row>
    <row r="106" spans="1:13" ht="13.5" thickBot="1" x14ac:dyDescent="0.25">
      <c r="A106" s="771" t="s">
        <v>0</v>
      </c>
      <c r="B106" s="771" t="s">
        <v>644</v>
      </c>
      <c r="C106" s="771" t="s">
        <v>645</v>
      </c>
      <c r="D106" s="771" t="s">
        <v>1</v>
      </c>
      <c r="E106" s="772">
        <v>180475</v>
      </c>
      <c r="F106" s="770">
        <v>180475</v>
      </c>
      <c r="G106" s="770">
        <v>718054</v>
      </c>
      <c r="H106" s="770">
        <v>0</v>
      </c>
      <c r="I106" s="769">
        <v>113975</v>
      </c>
      <c r="J106" s="793">
        <f t="shared" ref="J106:J167" si="3">E106-F106</f>
        <v>0</v>
      </c>
      <c r="L106">
        <f>VLOOKUP(A106,'1213A 080212'!H:J,3,0)</f>
        <v>180475</v>
      </c>
      <c r="M106" s="793">
        <f>F106-L106</f>
        <v>0</v>
      </c>
    </row>
    <row r="107" spans="1:13" ht="13.5" thickBot="1" x14ac:dyDescent="0.25">
      <c r="A107" s="771" t="s">
        <v>2</v>
      </c>
      <c r="B107" s="771" t="s">
        <v>646</v>
      </c>
      <c r="C107" s="771" t="s">
        <v>647</v>
      </c>
      <c r="D107" s="771" t="s">
        <v>3</v>
      </c>
      <c r="E107" s="772">
        <v>16000</v>
      </c>
      <c r="F107" s="770">
        <v>15895</v>
      </c>
      <c r="G107" s="770">
        <v>9630</v>
      </c>
      <c r="H107" s="770">
        <v>0</v>
      </c>
      <c r="I107" s="769">
        <v>0</v>
      </c>
      <c r="J107" s="793">
        <f t="shared" si="3"/>
        <v>105</v>
      </c>
      <c r="L107">
        <f>VLOOKUP(A107,'1213A 080212'!H:J,3,0)</f>
        <v>15895</v>
      </c>
      <c r="M107" s="793">
        <f t="shared" ref="M107:M168" si="4">F107-L107</f>
        <v>0</v>
      </c>
    </row>
    <row r="108" spans="1:13" ht="13.5" thickBot="1" x14ac:dyDescent="0.25">
      <c r="A108" s="768" t="s">
        <v>328</v>
      </c>
      <c r="B108" s="768" t="s">
        <v>646</v>
      </c>
      <c r="C108" s="768" t="s">
        <v>648</v>
      </c>
      <c r="D108" s="768" t="s">
        <v>3</v>
      </c>
      <c r="E108" s="769">
        <v>864</v>
      </c>
      <c r="F108" s="770">
        <v>969</v>
      </c>
      <c r="G108" s="770">
        <v>965.7</v>
      </c>
      <c r="H108" s="770">
        <v>0</v>
      </c>
      <c r="I108" s="769">
        <v>129.22</v>
      </c>
      <c r="J108" s="793">
        <f t="shared" si="3"/>
        <v>-105</v>
      </c>
      <c r="L108">
        <f>VLOOKUP(A108,'1213A 080212'!H:J,3,0)</f>
        <v>969</v>
      </c>
      <c r="M108" s="793">
        <f t="shared" si="4"/>
        <v>0</v>
      </c>
    </row>
    <row r="109" spans="1:13" s="819" customFormat="1" ht="13.5" thickBot="1" x14ac:dyDescent="0.25">
      <c r="A109" s="816" t="s">
        <v>649</v>
      </c>
      <c r="B109" s="816" t="s">
        <v>650</v>
      </c>
      <c r="C109" s="816" t="s">
        <v>651</v>
      </c>
      <c r="D109" s="816" t="s">
        <v>652</v>
      </c>
      <c r="E109" s="817">
        <v>0</v>
      </c>
      <c r="F109" s="770">
        <v>7726</v>
      </c>
      <c r="G109" s="770">
        <v>0</v>
      </c>
      <c r="H109" s="770">
        <v>0</v>
      </c>
      <c r="I109" s="817">
        <v>7726</v>
      </c>
      <c r="J109" s="807">
        <f t="shared" si="3"/>
        <v>-7726</v>
      </c>
      <c r="L109" t="e">
        <f>VLOOKUP(A109,'1213A 080212'!H:J,3,0)</f>
        <v>#N/A</v>
      </c>
      <c r="M109" s="793" t="e">
        <f t="shared" si="4"/>
        <v>#N/A</v>
      </c>
    </row>
    <row r="110" spans="1:13" ht="13.5" thickBot="1" x14ac:dyDescent="0.25">
      <c r="A110" s="771" t="s">
        <v>4</v>
      </c>
      <c r="B110" s="771" t="s">
        <v>653</v>
      </c>
      <c r="C110" s="771" t="s">
        <v>639</v>
      </c>
      <c r="D110" s="771" t="s">
        <v>652</v>
      </c>
      <c r="E110" s="772">
        <v>706963</v>
      </c>
      <c r="F110" s="770">
        <v>579822</v>
      </c>
      <c r="G110" s="770">
        <v>617431.16</v>
      </c>
      <c r="H110" s="770">
        <v>0</v>
      </c>
      <c r="I110" s="769">
        <v>4059.94</v>
      </c>
      <c r="J110" s="793">
        <f t="shared" si="3"/>
        <v>127141</v>
      </c>
      <c r="L110">
        <f>VLOOKUP(A110,'1213A 080212'!H:J,3,0)</f>
        <v>579822</v>
      </c>
      <c r="M110" s="793">
        <f t="shared" si="4"/>
        <v>0</v>
      </c>
    </row>
    <row r="111" spans="1:13" ht="13.5" thickBot="1" x14ac:dyDescent="0.25">
      <c r="A111" s="771" t="s">
        <v>5</v>
      </c>
      <c r="B111" s="771" t="s">
        <v>653</v>
      </c>
      <c r="C111" s="771" t="s">
        <v>654</v>
      </c>
      <c r="D111" s="771" t="s">
        <v>652</v>
      </c>
      <c r="E111" s="772">
        <v>159485</v>
      </c>
      <c r="F111" s="770">
        <v>137314</v>
      </c>
      <c r="G111" s="770">
        <v>131942.06</v>
      </c>
      <c r="H111" s="770">
        <v>0</v>
      </c>
      <c r="I111" s="769">
        <v>5371.94</v>
      </c>
      <c r="J111" s="793">
        <f t="shared" si="3"/>
        <v>22171</v>
      </c>
      <c r="L111">
        <f>VLOOKUP(A111,'1213A 080212'!H:J,3,0)</f>
        <v>137314</v>
      </c>
      <c r="M111" s="793">
        <f t="shared" si="4"/>
        <v>0</v>
      </c>
    </row>
    <row r="112" spans="1:13" ht="13.5" thickBot="1" x14ac:dyDescent="0.25">
      <c r="A112" s="771" t="s">
        <v>6</v>
      </c>
      <c r="B112" s="771" t="s">
        <v>653</v>
      </c>
      <c r="C112" s="771" t="s">
        <v>459</v>
      </c>
      <c r="D112" s="771" t="s">
        <v>652</v>
      </c>
      <c r="E112" s="772">
        <v>21421</v>
      </c>
      <c r="F112" s="770">
        <v>21421</v>
      </c>
      <c r="G112" s="770">
        <v>21590.93</v>
      </c>
      <c r="H112" s="770">
        <v>0</v>
      </c>
      <c r="I112" s="769">
        <v>-3944.23</v>
      </c>
      <c r="J112" s="793">
        <f t="shared" si="3"/>
        <v>0</v>
      </c>
      <c r="L112">
        <f>VLOOKUP(A112,'1213A 080212'!H:J,3,0)</f>
        <v>21421</v>
      </c>
      <c r="M112" s="793">
        <f t="shared" si="4"/>
        <v>0</v>
      </c>
    </row>
    <row r="113" spans="1:13" ht="13.5" thickBot="1" x14ac:dyDescent="0.25">
      <c r="A113" s="768" t="s">
        <v>7</v>
      </c>
      <c r="B113" s="768" t="s">
        <v>653</v>
      </c>
      <c r="C113" s="768" t="s">
        <v>655</v>
      </c>
      <c r="D113" s="768" t="s">
        <v>652</v>
      </c>
      <c r="E113" s="769">
        <v>137895</v>
      </c>
      <c r="F113" s="770">
        <v>143895</v>
      </c>
      <c r="G113" s="770">
        <v>166197.51999999999</v>
      </c>
      <c r="H113" s="770">
        <v>0</v>
      </c>
      <c r="I113" s="769">
        <v>4517.2299999999996</v>
      </c>
      <c r="J113" s="793">
        <f t="shared" si="3"/>
        <v>-6000</v>
      </c>
      <c r="L113">
        <f>VLOOKUP(A113,'1213A 080212'!H:J,3,0)</f>
        <v>143895</v>
      </c>
      <c r="M113" s="793">
        <f t="shared" si="4"/>
        <v>0</v>
      </c>
    </row>
    <row r="114" spans="1:13" ht="13.5" thickBot="1" x14ac:dyDescent="0.25">
      <c r="A114" s="768" t="s">
        <v>8</v>
      </c>
      <c r="B114" s="768" t="s">
        <v>653</v>
      </c>
      <c r="C114" s="768" t="s">
        <v>656</v>
      </c>
      <c r="D114" s="768" t="s">
        <v>652</v>
      </c>
      <c r="E114" s="769">
        <v>74236</v>
      </c>
      <c r="F114" s="770">
        <v>47707</v>
      </c>
      <c r="G114" s="770">
        <v>47706.54</v>
      </c>
      <c r="H114" s="770">
        <v>0</v>
      </c>
      <c r="I114" s="769">
        <v>0.46</v>
      </c>
      <c r="J114" s="793">
        <f t="shared" si="3"/>
        <v>26529</v>
      </c>
      <c r="L114">
        <f>VLOOKUP(A114,'1213A 080212'!H:J,3,0)</f>
        <v>47707</v>
      </c>
      <c r="M114" s="793">
        <f t="shared" si="4"/>
        <v>0</v>
      </c>
    </row>
    <row r="115" spans="1:13" ht="13.5" thickBot="1" x14ac:dyDescent="0.25">
      <c r="A115" s="771" t="s">
        <v>9</v>
      </c>
      <c r="B115" s="771" t="s">
        <v>657</v>
      </c>
      <c r="C115" s="771" t="s">
        <v>639</v>
      </c>
      <c r="D115" s="771" t="s">
        <v>652</v>
      </c>
      <c r="E115" s="772">
        <v>677482</v>
      </c>
      <c r="F115" s="770">
        <v>566528</v>
      </c>
      <c r="G115" s="770">
        <v>628312.12</v>
      </c>
      <c r="H115" s="770">
        <v>0</v>
      </c>
      <c r="I115" s="769">
        <v>-264.26</v>
      </c>
      <c r="J115" s="793">
        <f t="shared" si="3"/>
        <v>110954</v>
      </c>
      <c r="L115">
        <f>VLOOKUP(A115,'1213A 080212'!H:J,3,0)</f>
        <v>566528</v>
      </c>
      <c r="M115" s="793">
        <f t="shared" si="4"/>
        <v>0</v>
      </c>
    </row>
    <row r="116" spans="1:13" ht="13.5" thickBot="1" x14ac:dyDescent="0.25">
      <c r="A116" s="771" t="s">
        <v>10</v>
      </c>
      <c r="B116" s="771" t="s">
        <v>657</v>
      </c>
      <c r="C116" s="771" t="s">
        <v>654</v>
      </c>
      <c r="D116" s="771" t="s">
        <v>652</v>
      </c>
      <c r="E116" s="772">
        <v>121560</v>
      </c>
      <c r="F116" s="770">
        <v>176301</v>
      </c>
      <c r="G116" s="770">
        <v>175141.63</v>
      </c>
      <c r="H116" s="770">
        <v>0</v>
      </c>
      <c r="I116" s="769">
        <v>12306.68</v>
      </c>
      <c r="J116" s="793">
        <f t="shared" si="3"/>
        <v>-54741</v>
      </c>
      <c r="L116">
        <f>VLOOKUP(A116,'1213A 080212'!H:J,3,0)</f>
        <v>176301</v>
      </c>
      <c r="M116" s="793">
        <f t="shared" si="4"/>
        <v>0</v>
      </c>
    </row>
    <row r="117" spans="1:13" ht="13.5" thickBot="1" x14ac:dyDescent="0.25">
      <c r="A117" s="771" t="s">
        <v>11</v>
      </c>
      <c r="B117" s="771" t="s">
        <v>657</v>
      </c>
      <c r="C117" s="771" t="s">
        <v>459</v>
      </c>
      <c r="D117" s="771" t="s">
        <v>652</v>
      </c>
      <c r="E117" s="772">
        <v>30758</v>
      </c>
      <c r="F117" s="770">
        <v>30758</v>
      </c>
      <c r="G117" s="770">
        <v>24849.29</v>
      </c>
      <c r="H117" s="770">
        <v>0</v>
      </c>
      <c r="I117" s="769">
        <v>0</v>
      </c>
      <c r="J117" s="793">
        <f t="shared" si="3"/>
        <v>0</v>
      </c>
      <c r="L117">
        <f>VLOOKUP(A117,'1213A 080212'!H:J,3,0)</f>
        <v>30758</v>
      </c>
      <c r="M117" s="793">
        <f t="shared" si="4"/>
        <v>0</v>
      </c>
    </row>
    <row r="118" spans="1:13" ht="13.5" thickBot="1" x14ac:dyDescent="0.25">
      <c r="A118" s="768" t="s">
        <v>12</v>
      </c>
      <c r="B118" s="768" t="s">
        <v>657</v>
      </c>
      <c r="C118" s="768" t="s">
        <v>655</v>
      </c>
      <c r="D118" s="768" t="s">
        <v>652</v>
      </c>
      <c r="E118" s="769">
        <v>55236</v>
      </c>
      <c r="F118" s="770">
        <v>63357</v>
      </c>
      <c r="G118" s="770">
        <v>79920.509999999995</v>
      </c>
      <c r="H118" s="770">
        <v>0</v>
      </c>
      <c r="I118" s="769">
        <v>-5510.92</v>
      </c>
      <c r="J118" s="793">
        <f t="shared" si="3"/>
        <v>-8121</v>
      </c>
      <c r="L118">
        <f>VLOOKUP(A118,'1213A 080212'!H:J,3,0)</f>
        <v>63357</v>
      </c>
      <c r="M118" s="793">
        <f t="shared" si="4"/>
        <v>0</v>
      </c>
    </row>
    <row r="119" spans="1:13" ht="13.5" thickBot="1" x14ac:dyDescent="0.25">
      <c r="A119" s="768" t="s">
        <v>13</v>
      </c>
      <c r="B119" s="768" t="s">
        <v>657</v>
      </c>
      <c r="C119" s="768" t="s">
        <v>656</v>
      </c>
      <c r="D119" s="768" t="s">
        <v>652</v>
      </c>
      <c r="E119" s="769">
        <v>14964</v>
      </c>
      <c r="F119" s="770">
        <v>23079</v>
      </c>
      <c r="G119" s="770">
        <v>25640.17</v>
      </c>
      <c r="H119" s="770">
        <v>0</v>
      </c>
      <c r="I119" s="769">
        <v>-202.99</v>
      </c>
      <c r="J119" s="793">
        <f t="shared" si="3"/>
        <v>-8115</v>
      </c>
      <c r="L119">
        <f>VLOOKUP(A119,'1213A 080212'!H:J,3,0)</f>
        <v>23079</v>
      </c>
      <c r="M119" s="793">
        <f t="shared" si="4"/>
        <v>0</v>
      </c>
    </row>
    <row r="120" spans="1:13" ht="13.5" thickBot="1" x14ac:dyDescent="0.25">
      <c r="A120" s="771" t="s">
        <v>14</v>
      </c>
      <c r="B120" s="771" t="s">
        <v>658</v>
      </c>
      <c r="C120" s="771" t="s">
        <v>659</v>
      </c>
      <c r="D120" s="771" t="s">
        <v>652</v>
      </c>
      <c r="E120" s="772">
        <v>50694</v>
      </c>
      <c r="F120" s="770">
        <v>47825</v>
      </c>
      <c r="G120" s="770">
        <v>47825</v>
      </c>
      <c r="H120" s="770">
        <v>0</v>
      </c>
      <c r="I120" s="769">
        <v>0</v>
      </c>
      <c r="J120" s="793">
        <f t="shared" si="3"/>
        <v>2869</v>
      </c>
      <c r="L120">
        <f>VLOOKUP(A120,'1213A 080212'!H:J,3,0)</f>
        <v>47825</v>
      </c>
      <c r="M120" s="793">
        <f t="shared" si="4"/>
        <v>0</v>
      </c>
    </row>
    <row r="121" spans="1:13" ht="13.5" thickBot="1" x14ac:dyDescent="0.25">
      <c r="A121" s="771" t="s">
        <v>15</v>
      </c>
      <c r="B121" s="771" t="s">
        <v>658</v>
      </c>
      <c r="C121" s="771" t="s">
        <v>659</v>
      </c>
      <c r="D121" s="771" t="s">
        <v>652</v>
      </c>
      <c r="E121" s="772">
        <v>196910</v>
      </c>
      <c r="F121" s="770">
        <v>193709</v>
      </c>
      <c r="G121" s="770">
        <v>193708.68</v>
      </c>
      <c r="H121" s="770">
        <v>0</v>
      </c>
      <c r="I121" s="769">
        <v>0.32</v>
      </c>
      <c r="J121" s="793">
        <f t="shared" si="3"/>
        <v>3201</v>
      </c>
      <c r="L121">
        <f>VLOOKUP(A121,'1213A 080212'!H:J,3,0)</f>
        <v>193709</v>
      </c>
      <c r="M121" s="793">
        <f t="shared" si="4"/>
        <v>0</v>
      </c>
    </row>
    <row r="122" spans="1:13" s="813" customFormat="1" ht="13.5" thickBot="1" x14ac:dyDescent="0.25">
      <c r="A122" s="814" t="s">
        <v>16</v>
      </c>
      <c r="B122" s="814" t="s">
        <v>660</v>
      </c>
      <c r="C122" s="814" t="s">
        <v>448</v>
      </c>
      <c r="D122" s="814" t="s">
        <v>652</v>
      </c>
      <c r="E122" s="815">
        <v>341575</v>
      </c>
      <c r="F122" s="770">
        <v>398419</v>
      </c>
      <c r="G122" s="770">
        <v>398419</v>
      </c>
      <c r="H122" s="770">
        <v>0</v>
      </c>
      <c r="I122" s="810">
        <v>155095</v>
      </c>
      <c r="J122" s="812">
        <f t="shared" si="3"/>
        <v>-56844</v>
      </c>
      <c r="L122">
        <f>VLOOKUP(A122,'1213A 080212'!H:J,3,0)</f>
        <v>398419</v>
      </c>
      <c r="M122" s="793">
        <f t="shared" si="4"/>
        <v>0</v>
      </c>
    </row>
    <row r="123" spans="1:13" ht="13.5" thickBot="1" x14ac:dyDescent="0.25">
      <c r="A123" s="768" t="s">
        <v>283</v>
      </c>
      <c r="B123" s="768" t="s">
        <v>661</v>
      </c>
      <c r="C123" s="768" t="s">
        <v>662</v>
      </c>
      <c r="D123" s="768" t="s">
        <v>652</v>
      </c>
      <c r="E123" s="769">
        <v>0</v>
      </c>
      <c r="F123" s="770">
        <v>0</v>
      </c>
      <c r="G123" s="770">
        <v>0</v>
      </c>
      <c r="H123" s="770">
        <v>0</v>
      </c>
      <c r="I123" s="769">
        <v>0</v>
      </c>
      <c r="J123" s="793">
        <f t="shared" si="3"/>
        <v>0</v>
      </c>
      <c r="L123" t="e">
        <f>VLOOKUP(A123,'1213A 080212'!H:J,3,0)</f>
        <v>#N/A</v>
      </c>
      <c r="M123" s="793" t="e">
        <f t="shared" si="4"/>
        <v>#N/A</v>
      </c>
    </row>
    <row r="124" spans="1:13" ht="13.5" thickBot="1" x14ac:dyDescent="0.25">
      <c r="A124" s="768" t="s">
        <v>17</v>
      </c>
      <c r="B124" s="768" t="s">
        <v>661</v>
      </c>
      <c r="C124" s="768" t="s">
        <v>442</v>
      </c>
      <c r="D124" s="768" t="s">
        <v>652</v>
      </c>
      <c r="E124" s="769">
        <v>148826</v>
      </c>
      <c r="F124" s="770">
        <v>148826</v>
      </c>
      <c r="G124" s="770">
        <v>135001.15</v>
      </c>
      <c r="H124" s="770">
        <v>0</v>
      </c>
      <c r="I124" s="769">
        <v>15026.14</v>
      </c>
      <c r="J124" s="793">
        <f t="shared" si="3"/>
        <v>0</v>
      </c>
      <c r="L124">
        <f>VLOOKUP(A124,'1213A 080212'!H:J,3,0)</f>
        <v>4957</v>
      </c>
      <c r="M124" s="793">
        <f t="shared" si="4"/>
        <v>143869</v>
      </c>
    </row>
    <row r="125" spans="1:13" ht="13.5" thickBot="1" x14ac:dyDescent="0.25">
      <c r="A125" s="771" t="s">
        <v>18</v>
      </c>
      <c r="B125" s="771" t="s">
        <v>661</v>
      </c>
      <c r="C125" s="771" t="s">
        <v>647</v>
      </c>
      <c r="D125" s="771" t="s">
        <v>652</v>
      </c>
      <c r="E125" s="772">
        <v>82700</v>
      </c>
      <c r="F125" s="770">
        <v>82700</v>
      </c>
      <c r="G125" s="770">
        <v>77700</v>
      </c>
      <c r="H125" s="770">
        <v>0</v>
      </c>
      <c r="I125" s="769">
        <v>5000</v>
      </c>
      <c r="J125" s="793">
        <f t="shared" si="3"/>
        <v>0</v>
      </c>
      <c r="L125">
        <f>VLOOKUP(A125,'1213A 080212'!H:J,3,0)</f>
        <v>78700</v>
      </c>
      <c r="M125" s="793">
        <f t="shared" si="4"/>
        <v>4000</v>
      </c>
    </row>
    <row r="126" spans="1:13" ht="13.5" thickBot="1" x14ac:dyDescent="0.25">
      <c r="A126" s="771" t="s">
        <v>19</v>
      </c>
      <c r="B126" s="771" t="s">
        <v>661</v>
      </c>
      <c r="C126" s="771" t="s">
        <v>663</v>
      </c>
      <c r="D126" s="771" t="s">
        <v>652</v>
      </c>
      <c r="E126" s="772">
        <v>9500</v>
      </c>
      <c r="F126" s="770">
        <v>9500</v>
      </c>
      <c r="G126" s="770">
        <v>7977.69</v>
      </c>
      <c r="H126" s="770">
        <v>0</v>
      </c>
      <c r="I126" s="769">
        <v>1630.56</v>
      </c>
      <c r="J126" s="793">
        <f t="shared" si="3"/>
        <v>0</v>
      </c>
      <c r="L126">
        <f>VLOOKUP(A126,'1213A 080212'!H:J,3,0)</f>
        <v>4500</v>
      </c>
      <c r="M126" s="793">
        <f t="shared" si="4"/>
        <v>5000</v>
      </c>
    </row>
    <row r="127" spans="1:13" ht="13.5" thickBot="1" x14ac:dyDescent="0.25">
      <c r="A127" s="771" t="s">
        <v>20</v>
      </c>
      <c r="B127" s="771" t="s">
        <v>661</v>
      </c>
      <c r="C127" s="771" t="s">
        <v>462</v>
      </c>
      <c r="D127" s="771" t="s">
        <v>652</v>
      </c>
      <c r="E127" s="772">
        <v>15000</v>
      </c>
      <c r="F127" s="770">
        <v>15000</v>
      </c>
      <c r="G127" s="770">
        <v>12169.14</v>
      </c>
      <c r="H127" s="770">
        <v>0</v>
      </c>
      <c r="I127" s="769">
        <v>8415.32</v>
      </c>
      <c r="J127" s="793">
        <f t="shared" si="3"/>
        <v>0</v>
      </c>
      <c r="L127">
        <f>VLOOKUP(A127,'1213A 080212'!H:J,3,0)</f>
        <v>15000</v>
      </c>
      <c r="M127" s="793">
        <f t="shared" si="4"/>
        <v>0</v>
      </c>
    </row>
    <row r="128" spans="1:13" ht="13.5" thickBot="1" x14ac:dyDescent="0.25">
      <c r="A128" s="768" t="s">
        <v>21</v>
      </c>
      <c r="B128" s="768" t="s">
        <v>661</v>
      </c>
      <c r="C128" s="768" t="s">
        <v>22</v>
      </c>
      <c r="D128" s="768" t="s">
        <v>652</v>
      </c>
      <c r="E128" s="769">
        <v>0</v>
      </c>
      <c r="F128" s="770">
        <v>0</v>
      </c>
      <c r="G128" s="770">
        <v>-231</v>
      </c>
      <c r="H128" s="770">
        <v>0</v>
      </c>
      <c r="I128" s="769">
        <v>231</v>
      </c>
      <c r="J128" s="793">
        <f t="shared" si="3"/>
        <v>0</v>
      </c>
      <c r="L128">
        <f>VLOOKUP(A128,'1213A 080212'!H:J,3,0)</f>
        <v>0</v>
      </c>
      <c r="M128" s="793">
        <f t="shared" si="4"/>
        <v>0</v>
      </c>
    </row>
    <row r="129" spans="1:13" ht="13.5" thickBot="1" x14ac:dyDescent="0.25">
      <c r="A129" s="771" t="s">
        <v>137</v>
      </c>
      <c r="B129" s="771" t="s">
        <v>661</v>
      </c>
      <c r="C129" s="771" t="s">
        <v>664</v>
      </c>
      <c r="D129" s="771" t="s">
        <v>652</v>
      </c>
      <c r="E129" s="772">
        <v>15000</v>
      </c>
      <c r="F129" s="770">
        <v>19496</v>
      </c>
      <c r="G129" s="770">
        <v>24334.26</v>
      </c>
      <c r="H129" s="770">
        <v>0</v>
      </c>
      <c r="I129" s="769">
        <v>-2115.1799999999998</v>
      </c>
      <c r="J129" s="793">
        <f t="shared" si="3"/>
        <v>-4496</v>
      </c>
      <c r="L129">
        <f>VLOOKUP(A129,'1213A 080212'!H:J,3,0)</f>
        <v>19496</v>
      </c>
      <c r="M129" s="793">
        <f t="shared" si="4"/>
        <v>0</v>
      </c>
    </row>
    <row r="130" spans="1:13" ht="13.5" thickBot="1" x14ac:dyDescent="0.25">
      <c r="A130" s="771" t="s">
        <v>138</v>
      </c>
      <c r="B130" s="771" t="s">
        <v>661</v>
      </c>
      <c r="C130" s="771" t="s">
        <v>648</v>
      </c>
      <c r="D130" s="771" t="s">
        <v>652</v>
      </c>
      <c r="E130" s="772">
        <v>165000</v>
      </c>
      <c r="F130" s="770">
        <v>165000</v>
      </c>
      <c r="G130" s="770">
        <v>216651.24</v>
      </c>
      <c r="H130" s="770">
        <v>0</v>
      </c>
      <c r="I130" s="769">
        <v>-4888.1400000000003</v>
      </c>
      <c r="J130" s="793">
        <f t="shared" si="3"/>
        <v>0</v>
      </c>
      <c r="L130">
        <f>VLOOKUP(A130,'1213A 080212'!H:J,3,0)</f>
        <v>165000</v>
      </c>
      <c r="M130" s="793">
        <f t="shared" si="4"/>
        <v>0</v>
      </c>
    </row>
    <row r="131" spans="1:13" ht="13.5" thickBot="1" x14ac:dyDescent="0.25">
      <c r="A131" s="771" t="s">
        <v>336</v>
      </c>
      <c r="B131" s="771" t="s">
        <v>661</v>
      </c>
      <c r="C131" s="771" t="s">
        <v>665</v>
      </c>
      <c r="D131" s="771" t="s">
        <v>652</v>
      </c>
      <c r="E131" s="772">
        <v>44260</v>
      </c>
      <c r="F131" s="770">
        <v>44260</v>
      </c>
      <c r="G131" s="770">
        <v>30681.71</v>
      </c>
      <c r="H131" s="770">
        <v>0</v>
      </c>
      <c r="I131" s="769">
        <v>13578.29</v>
      </c>
      <c r="J131" s="793">
        <f t="shared" si="3"/>
        <v>0</v>
      </c>
      <c r="L131">
        <f>VLOOKUP(A131,'1213A 080212'!H:J,3,0)</f>
        <v>44260</v>
      </c>
      <c r="M131" s="793">
        <f t="shared" si="4"/>
        <v>0</v>
      </c>
    </row>
    <row r="132" spans="1:13" ht="13.5" thickBot="1" x14ac:dyDescent="0.25">
      <c r="A132" s="768" t="s">
        <v>337</v>
      </c>
      <c r="B132" s="768" t="s">
        <v>661</v>
      </c>
      <c r="C132" s="768" t="s">
        <v>560</v>
      </c>
      <c r="D132" s="768" t="s">
        <v>652</v>
      </c>
      <c r="E132" s="769">
        <v>44260</v>
      </c>
      <c r="F132" s="770">
        <v>44260</v>
      </c>
      <c r="G132" s="770">
        <v>30681.7</v>
      </c>
      <c r="H132" s="770">
        <v>0</v>
      </c>
      <c r="I132" s="769">
        <v>13578.3</v>
      </c>
      <c r="J132" s="793">
        <f t="shared" si="3"/>
        <v>0</v>
      </c>
      <c r="L132">
        <f>VLOOKUP(A132,'1213A 080212'!H:J,3,0)</f>
        <v>44260</v>
      </c>
      <c r="M132" s="793">
        <f t="shared" si="4"/>
        <v>0</v>
      </c>
    </row>
    <row r="133" spans="1:13" ht="13.5" thickBot="1" x14ac:dyDescent="0.25">
      <c r="A133" s="768" t="s">
        <v>666</v>
      </c>
      <c r="B133" s="768" t="s">
        <v>667</v>
      </c>
      <c r="C133" s="768" t="s">
        <v>662</v>
      </c>
      <c r="D133" s="768" t="s">
        <v>652</v>
      </c>
      <c r="E133" s="769">
        <v>0</v>
      </c>
      <c r="F133" s="770">
        <v>0</v>
      </c>
      <c r="G133" s="770">
        <v>0</v>
      </c>
      <c r="H133" s="770">
        <v>0</v>
      </c>
      <c r="I133" s="769">
        <v>0</v>
      </c>
      <c r="J133" s="793">
        <f t="shared" si="3"/>
        <v>0</v>
      </c>
      <c r="L133" t="e">
        <f>VLOOKUP(A133,'1213A 080212'!H:J,3,0)</f>
        <v>#N/A</v>
      </c>
      <c r="M133" s="793" t="e">
        <f t="shared" si="4"/>
        <v>#N/A</v>
      </c>
    </row>
    <row r="134" spans="1:13" ht="13.5" thickBot="1" x14ac:dyDescent="0.25">
      <c r="A134" s="771" t="s">
        <v>668</v>
      </c>
      <c r="B134" s="771" t="s">
        <v>667</v>
      </c>
      <c r="C134" s="771" t="s">
        <v>669</v>
      </c>
      <c r="D134" s="771" t="s">
        <v>652</v>
      </c>
      <c r="E134" s="772">
        <v>0</v>
      </c>
      <c r="F134" s="770">
        <v>0</v>
      </c>
      <c r="G134" s="770">
        <v>0</v>
      </c>
      <c r="H134" s="770">
        <v>0</v>
      </c>
      <c r="I134" s="769">
        <v>0</v>
      </c>
      <c r="J134" s="793">
        <f t="shared" si="3"/>
        <v>0</v>
      </c>
      <c r="L134" t="e">
        <f>VLOOKUP(A134,'1213A 080212'!H:J,3,0)</f>
        <v>#N/A</v>
      </c>
      <c r="M134" s="793" t="e">
        <f t="shared" si="4"/>
        <v>#N/A</v>
      </c>
    </row>
    <row r="135" spans="1:13" ht="13.5" thickBot="1" x14ac:dyDescent="0.25">
      <c r="A135" s="771" t="s">
        <v>670</v>
      </c>
      <c r="B135" s="771" t="s">
        <v>667</v>
      </c>
      <c r="C135" s="771" t="s">
        <v>556</v>
      </c>
      <c r="D135" s="771" t="s">
        <v>652</v>
      </c>
      <c r="E135" s="772">
        <v>0</v>
      </c>
      <c r="F135" s="770">
        <v>0</v>
      </c>
      <c r="G135" s="770">
        <v>0</v>
      </c>
      <c r="H135" s="770">
        <v>0</v>
      </c>
      <c r="I135" s="769">
        <v>0</v>
      </c>
      <c r="J135" s="793">
        <f t="shared" si="3"/>
        <v>0</v>
      </c>
      <c r="L135" t="e">
        <f>VLOOKUP(A135,'1213A 080212'!H:J,3,0)</f>
        <v>#N/A</v>
      </c>
      <c r="M135" s="793" t="e">
        <f t="shared" si="4"/>
        <v>#N/A</v>
      </c>
    </row>
    <row r="136" spans="1:13" ht="13.5" thickBot="1" x14ac:dyDescent="0.25">
      <c r="A136" s="771" t="s">
        <v>671</v>
      </c>
      <c r="B136" s="771" t="s">
        <v>667</v>
      </c>
      <c r="C136" s="771" t="s">
        <v>560</v>
      </c>
      <c r="D136" s="771" t="s">
        <v>652</v>
      </c>
      <c r="E136" s="772">
        <v>0</v>
      </c>
      <c r="F136" s="770">
        <v>0</v>
      </c>
      <c r="G136" s="770">
        <v>0</v>
      </c>
      <c r="H136" s="770">
        <v>0</v>
      </c>
      <c r="I136" s="769">
        <v>0</v>
      </c>
      <c r="J136" s="793">
        <f t="shared" si="3"/>
        <v>0</v>
      </c>
      <c r="L136" t="e">
        <f>VLOOKUP(A136,'1213A 080212'!H:J,3,0)</f>
        <v>#N/A</v>
      </c>
      <c r="M136" s="793" t="e">
        <f t="shared" si="4"/>
        <v>#N/A</v>
      </c>
    </row>
    <row r="137" spans="1:13" ht="13.5" thickBot="1" x14ac:dyDescent="0.25">
      <c r="A137" s="768" t="s">
        <v>672</v>
      </c>
      <c r="B137" s="768" t="s">
        <v>667</v>
      </c>
      <c r="C137" s="768" t="s">
        <v>562</v>
      </c>
      <c r="D137" s="768" t="s">
        <v>652</v>
      </c>
      <c r="E137" s="769">
        <v>0</v>
      </c>
      <c r="F137" s="770">
        <v>0</v>
      </c>
      <c r="G137" s="770">
        <v>0</v>
      </c>
      <c r="H137" s="770">
        <v>0</v>
      </c>
      <c r="I137" s="769">
        <v>0</v>
      </c>
      <c r="J137" s="793">
        <f t="shared" si="3"/>
        <v>0</v>
      </c>
      <c r="L137" t="e">
        <f>VLOOKUP(A137,'1213A 080212'!H:J,3,0)</f>
        <v>#N/A</v>
      </c>
      <c r="M137" s="793" t="e">
        <f t="shared" si="4"/>
        <v>#N/A</v>
      </c>
    </row>
    <row r="138" spans="1:13" ht="13.5" thickBot="1" x14ac:dyDescent="0.25">
      <c r="A138" s="768" t="s">
        <v>271</v>
      </c>
      <c r="B138" s="768" t="s">
        <v>667</v>
      </c>
      <c r="C138" s="768" t="s">
        <v>673</v>
      </c>
      <c r="D138" s="768" t="s">
        <v>652</v>
      </c>
      <c r="E138" s="769">
        <v>140000</v>
      </c>
      <c r="F138" s="770">
        <v>140000</v>
      </c>
      <c r="G138" s="770">
        <v>135925.82</v>
      </c>
      <c r="H138" s="770">
        <v>0</v>
      </c>
      <c r="I138" s="769">
        <v>-1036</v>
      </c>
      <c r="J138" s="793">
        <f t="shared" si="3"/>
        <v>0</v>
      </c>
      <c r="L138">
        <f>VLOOKUP(A138,'1213A 080212'!H:J,3,0)</f>
        <v>140000</v>
      </c>
      <c r="M138" s="793">
        <f t="shared" si="4"/>
        <v>0</v>
      </c>
    </row>
    <row r="139" spans="1:13" ht="13.5" thickBot="1" x14ac:dyDescent="0.25">
      <c r="A139" s="771" t="s">
        <v>23</v>
      </c>
      <c r="B139" s="771" t="s">
        <v>667</v>
      </c>
      <c r="C139" s="771" t="s">
        <v>619</v>
      </c>
      <c r="D139" s="771" t="s">
        <v>652</v>
      </c>
      <c r="E139" s="772">
        <v>50000</v>
      </c>
      <c r="F139" s="770">
        <v>50000</v>
      </c>
      <c r="G139" s="770">
        <v>42757.18</v>
      </c>
      <c r="H139" s="770">
        <v>0</v>
      </c>
      <c r="I139" s="769">
        <v>7242.82</v>
      </c>
      <c r="J139" s="793">
        <f t="shared" si="3"/>
        <v>0</v>
      </c>
      <c r="L139">
        <f>VLOOKUP(A139,'1213A 080212'!H:J,3,0)</f>
        <v>50000</v>
      </c>
      <c r="M139" s="793">
        <f t="shared" si="4"/>
        <v>0</v>
      </c>
    </row>
    <row r="140" spans="1:13" ht="13.5" thickBot="1" x14ac:dyDescent="0.25">
      <c r="A140" s="771" t="s">
        <v>362</v>
      </c>
      <c r="B140" s="771" t="s">
        <v>667</v>
      </c>
      <c r="C140" s="771" t="s">
        <v>662</v>
      </c>
      <c r="D140" s="771" t="s">
        <v>652</v>
      </c>
      <c r="E140" s="772">
        <v>40000</v>
      </c>
      <c r="F140" s="770">
        <v>0</v>
      </c>
      <c r="G140" s="770">
        <v>0</v>
      </c>
      <c r="H140" s="770">
        <v>0</v>
      </c>
      <c r="I140" s="769">
        <v>0</v>
      </c>
      <c r="J140" s="807">
        <f t="shared" si="3"/>
        <v>40000</v>
      </c>
      <c r="L140" t="e">
        <f>VLOOKUP(A140,'1213A 080212'!H:J,3,0)</f>
        <v>#N/A</v>
      </c>
      <c r="M140" s="793" t="e">
        <f t="shared" si="4"/>
        <v>#N/A</v>
      </c>
    </row>
    <row r="141" spans="1:13" ht="13.5" thickBot="1" x14ac:dyDescent="0.25">
      <c r="A141" s="771" t="s">
        <v>674</v>
      </c>
      <c r="B141" s="771" t="s">
        <v>667</v>
      </c>
      <c r="C141" s="771" t="s">
        <v>673</v>
      </c>
      <c r="D141" s="771" t="s">
        <v>652</v>
      </c>
      <c r="E141" s="772">
        <v>0</v>
      </c>
      <c r="F141" s="770">
        <v>0</v>
      </c>
      <c r="G141" s="770">
        <v>0</v>
      </c>
      <c r="H141" s="770">
        <v>0</v>
      </c>
      <c r="I141" s="769">
        <v>0</v>
      </c>
      <c r="J141" s="807">
        <f t="shared" si="3"/>
        <v>0</v>
      </c>
      <c r="L141" t="e">
        <f>VLOOKUP(A141,'1213A 080212'!H:J,3,0)</f>
        <v>#N/A</v>
      </c>
      <c r="M141" s="793" t="e">
        <f t="shared" si="4"/>
        <v>#N/A</v>
      </c>
    </row>
    <row r="142" spans="1:13" s="819" customFormat="1" ht="13.5" thickBot="1" x14ac:dyDescent="0.25">
      <c r="A142" s="816" t="s">
        <v>385</v>
      </c>
      <c r="B142" s="816" t="s">
        <v>667</v>
      </c>
      <c r="C142" s="816" t="s">
        <v>662</v>
      </c>
      <c r="D142" s="816" t="s">
        <v>652</v>
      </c>
      <c r="E142" s="817">
        <v>0</v>
      </c>
      <c r="F142" s="770">
        <v>37000</v>
      </c>
      <c r="G142" s="770">
        <v>27750</v>
      </c>
      <c r="H142" s="770">
        <v>0</v>
      </c>
      <c r="I142" s="817">
        <v>9250</v>
      </c>
      <c r="J142" s="807">
        <f t="shared" si="3"/>
        <v>-37000</v>
      </c>
      <c r="L142">
        <f>VLOOKUP(A142,'1213A 080212'!H:J,3,0)</f>
        <v>40000</v>
      </c>
      <c r="M142" s="793">
        <f t="shared" si="4"/>
        <v>-3000</v>
      </c>
    </row>
    <row r="143" spans="1:13" s="819" customFormat="1" ht="13.5" thickBot="1" x14ac:dyDescent="0.25">
      <c r="A143" s="816" t="s">
        <v>675</v>
      </c>
      <c r="B143" s="816" t="s">
        <v>667</v>
      </c>
      <c r="C143" s="816" t="s">
        <v>556</v>
      </c>
      <c r="D143" s="816" t="s">
        <v>652</v>
      </c>
      <c r="E143" s="817">
        <v>0</v>
      </c>
      <c r="F143" s="770">
        <v>1000</v>
      </c>
      <c r="G143" s="770">
        <v>412.11</v>
      </c>
      <c r="H143" s="770">
        <v>0</v>
      </c>
      <c r="I143" s="817">
        <v>587.89</v>
      </c>
      <c r="J143" s="807">
        <f t="shared" si="3"/>
        <v>-1000</v>
      </c>
      <c r="L143" t="e">
        <f>VLOOKUP(A143,'1213A 080212'!H:J,3,0)</f>
        <v>#N/A</v>
      </c>
      <c r="M143" s="793" t="e">
        <f t="shared" si="4"/>
        <v>#N/A</v>
      </c>
    </row>
    <row r="144" spans="1:13" s="819" customFormat="1" ht="13.5" thickBot="1" x14ac:dyDescent="0.25">
      <c r="A144" s="820" t="s">
        <v>676</v>
      </c>
      <c r="B144" s="820" t="s">
        <v>667</v>
      </c>
      <c r="C144" s="820" t="s">
        <v>560</v>
      </c>
      <c r="D144" s="820" t="s">
        <v>652</v>
      </c>
      <c r="E144" s="821">
        <v>0</v>
      </c>
      <c r="F144" s="770">
        <v>1000</v>
      </c>
      <c r="G144" s="770">
        <v>457.59</v>
      </c>
      <c r="H144" s="770">
        <v>0</v>
      </c>
      <c r="I144" s="817">
        <v>542.41</v>
      </c>
      <c r="J144" s="807">
        <f t="shared" si="3"/>
        <v>-1000</v>
      </c>
      <c r="L144" t="e">
        <f>VLOOKUP(A144,'1213A 080212'!H:J,3,0)</f>
        <v>#N/A</v>
      </c>
      <c r="M144" s="793" t="e">
        <f t="shared" si="4"/>
        <v>#N/A</v>
      </c>
    </row>
    <row r="145" spans="1:13" s="819" customFormat="1" ht="13.5" thickBot="1" x14ac:dyDescent="0.25">
      <c r="A145" s="820" t="s">
        <v>677</v>
      </c>
      <c r="B145" s="820" t="s">
        <v>667</v>
      </c>
      <c r="C145" s="820" t="s">
        <v>562</v>
      </c>
      <c r="D145" s="820" t="s">
        <v>652</v>
      </c>
      <c r="E145" s="821">
        <v>0</v>
      </c>
      <c r="F145" s="770">
        <v>1000</v>
      </c>
      <c r="G145" s="770">
        <v>557.01</v>
      </c>
      <c r="H145" s="770">
        <v>0</v>
      </c>
      <c r="I145" s="817">
        <v>442.99</v>
      </c>
      <c r="J145" s="807">
        <f t="shared" si="3"/>
        <v>-1000</v>
      </c>
      <c r="L145" t="e">
        <f>VLOOKUP(A145,'1213A 080212'!H:J,3,0)</f>
        <v>#N/A</v>
      </c>
      <c r="M145" s="793" t="e">
        <f t="shared" si="4"/>
        <v>#N/A</v>
      </c>
    </row>
    <row r="146" spans="1:13" ht="13.5" thickBot="1" x14ac:dyDescent="0.25">
      <c r="A146" s="771" t="s">
        <v>25</v>
      </c>
      <c r="B146" s="771" t="s">
        <v>678</v>
      </c>
      <c r="C146" s="771" t="s">
        <v>679</v>
      </c>
      <c r="D146" s="771" t="s">
        <v>652</v>
      </c>
      <c r="E146" s="772">
        <v>4588774</v>
      </c>
      <c r="F146" s="770">
        <v>4363909</v>
      </c>
      <c r="G146" s="770">
        <v>4350648.25</v>
      </c>
      <c r="H146" s="770">
        <v>0</v>
      </c>
      <c r="I146" s="769">
        <v>276129.05</v>
      </c>
      <c r="J146" s="793">
        <f t="shared" si="3"/>
        <v>224865</v>
      </c>
      <c r="L146" t="e">
        <f>VLOOKUP(A146,'1213A 080212'!H:J,3,0)</f>
        <v>#N/A</v>
      </c>
      <c r="M146" s="793" t="e">
        <f t="shared" si="4"/>
        <v>#N/A</v>
      </c>
    </row>
    <row r="147" spans="1:13" ht="13.5" thickBot="1" x14ac:dyDescent="0.25">
      <c r="A147" s="768" t="s">
        <v>26</v>
      </c>
      <c r="B147" s="768" t="s">
        <v>678</v>
      </c>
      <c r="C147" s="768" t="s">
        <v>448</v>
      </c>
      <c r="D147" s="768" t="s">
        <v>652</v>
      </c>
      <c r="E147" s="769">
        <v>0</v>
      </c>
      <c r="F147" s="770">
        <v>0</v>
      </c>
      <c r="G147" s="770">
        <v>0</v>
      </c>
      <c r="H147" s="770">
        <v>0</v>
      </c>
      <c r="I147" s="769">
        <v>0</v>
      </c>
      <c r="J147" s="793">
        <f t="shared" si="3"/>
        <v>0</v>
      </c>
      <c r="L147" t="e">
        <f>VLOOKUP(A147,'1213A 080212'!H:J,3,0)</f>
        <v>#N/A</v>
      </c>
      <c r="M147" s="793" t="e">
        <f t="shared" si="4"/>
        <v>#N/A</v>
      </c>
    </row>
    <row r="148" spans="1:13" ht="13.5" thickBot="1" x14ac:dyDescent="0.25">
      <c r="A148" s="768" t="s">
        <v>27</v>
      </c>
      <c r="B148" s="768" t="s">
        <v>678</v>
      </c>
      <c r="C148" s="768" t="s">
        <v>679</v>
      </c>
      <c r="D148" s="768" t="s">
        <v>652</v>
      </c>
      <c r="E148" s="769">
        <v>3920774</v>
      </c>
      <c r="F148" s="770">
        <v>3797227</v>
      </c>
      <c r="G148" s="770">
        <v>3558377.78</v>
      </c>
      <c r="H148" s="770">
        <v>0</v>
      </c>
      <c r="I148" s="769">
        <v>212470.43</v>
      </c>
      <c r="J148" s="793">
        <f t="shared" si="3"/>
        <v>123547</v>
      </c>
      <c r="L148" t="e">
        <f>VLOOKUP(A148,'1213A 080212'!H:J,3,0)</f>
        <v>#N/A</v>
      </c>
      <c r="M148" s="793" t="e">
        <f t="shared" si="4"/>
        <v>#N/A</v>
      </c>
    </row>
    <row r="149" spans="1:13" ht="13.5" thickBot="1" x14ac:dyDescent="0.25">
      <c r="A149" s="768" t="s">
        <v>368</v>
      </c>
      <c r="B149" s="768" t="s">
        <v>681</v>
      </c>
      <c r="C149" s="768" t="s">
        <v>683</v>
      </c>
      <c r="D149" s="768" t="s">
        <v>652</v>
      </c>
      <c r="E149" s="769">
        <v>238000</v>
      </c>
      <c r="F149" s="770">
        <v>188257</v>
      </c>
      <c r="G149" s="770">
        <v>188258.31</v>
      </c>
      <c r="H149" s="770">
        <v>0</v>
      </c>
      <c r="I149" s="769">
        <v>-1.31</v>
      </c>
      <c r="J149" s="793">
        <f t="shared" si="3"/>
        <v>49743</v>
      </c>
      <c r="L149">
        <f>VLOOKUP(A149,'1213A 080212'!H:J,3,0)</f>
        <v>225458</v>
      </c>
      <c r="M149" s="793">
        <f t="shared" si="4"/>
        <v>-37201</v>
      </c>
    </row>
    <row r="150" spans="1:13" ht="13.5" thickBot="1" x14ac:dyDescent="0.25">
      <c r="A150" s="768" t="s">
        <v>684</v>
      </c>
      <c r="B150" s="768" t="s">
        <v>681</v>
      </c>
      <c r="C150" s="768" t="s">
        <v>685</v>
      </c>
      <c r="D150" s="768" t="s">
        <v>652</v>
      </c>
      <c r="E150" s="769">
        <v>0</v>
      </c>
      <c r="F150" s="770">
        <v>18913</v>
      </c>
      <c r="G150" s="770">
        <v>18912.52</v>
      </c>
      <c r="H150" s="770">
        <v>0</v>
      </c>
      <c r="I150" s="769">
        <v>0.48</v>
      </c>
      <c r="J150" s="793">
        <f t="shared" si="3"/>
        <v>-18913</v>
      </c>
      <c r="L150" t="e">
        <f>VLOOKUP(A150,'1213A 080212'!H:J,3,0)</f>
        <v>#N/A</v>
      </c>
      <c r="M150" s="793" t="e">
        <f t="shared" si="4"/>
        <v>#N/A</v>
      </c>
    </row>
    <row r="151" spans="1:13" ht="13.5" thickBot="1" x14ac:dyDescent="0.25">
      <c r="A151" s="768" t="s">
        <v>686</v>
      </c>
      <c r="B151" s="768" t="s">
        <v>681</v>
      </c>
      <c r="C151" s="768" t="s">
        <v>687</v>
      </c>
      <c r="D151" s="768" t="s">
        <v>652</v>
      </c>
      <c r="E151" s="769">
        <v>0</v>
      </c>
      <c r="F151" s="770">
        <v>10491</v>
      </c>
      <c r="G151" s="770">
        <v>10490.54</v>
      </c>
      <c r="H151" s="770">
        <v>0</v>
      </c>
      <c r="I151" s="769">
        <v>0.46</v>
      </c>
      <c r="J151" s="793">
        <f t="shared" si="3"/>
        <v>-10491</v>
      </c>
      <c r="L151" t="e">
        <f>VLOOKUP(A151,'1213A 080212'!H:J,3,0)</f>
        <v>#N/A</v>
      </c>
      <c r="M151" s="793" t="e">
        <f t="shared" si="4"/>
        <v>#N/A</v>
      </c>
    </row>
    <row r="152" spans="1:13" ht="13.5" thickBot="1" x14ac:dyDescent="0.25">
      <c r="A152" s="768" t="s">
        <v>688</v>
      </c>
      <c r="B152" s="768" t="s">
        <v>681</v>
      </c>
      <c r="C152" s="768" t="s">
        <v>556</v>
      </c>
      <c r="D152" s="768" t="s">
        <v>652</v>
      </c>
      <c r="E152" s="769">
        <v>0</v>
      </c>
      <c r="F152" s="770">
        <v>2682</v>
      </c>
      <c r="G152" s="770">
        <v>2681.72</v>
      </c>
      <c r="H152" s="770">
        <v>0</v>
      </c>
      <c r="I152" s="769">
        <v>0.28000000000000003</v>
      </c>
      <c r="J152" s="793">
        <f t="shared" si="3"/>
        <v>-2682</v>
      </c>
      <c r="L152" t="e">
        <f>VLOOKUP(A152,'1213A 080212'!H:J,3,0)</f>
        <v>#N/A</v>
      </c>
      <c r="M152" s="793" t="e">
        <f t="shared" si="4"/>
        <v>#N/A</v>
      </c>
    </row>
    <row r="153" spans="1:13" ht="13.5" thickBot="1" x14ac:dyDescent="0.25">
      <c r="A153" s="771" t="s">
        <v>689</v>
      </c>
      <c r="B153" s="771" t="s">
        <v>681</v>
      </c>
      <c r="C153" s="771" t="s">
        <v>690</v>
      </c>
      <c r="D153" s="771" t="s">
        <v>652</v>
      </c>
      <c r="E153" s="772">
        <v>0</v>
      </c>
      <c r="F153" s="770">
        <v>11</v>
      </c>
      <c r="G153" s="770">
        <v>10.6</v>
      </c>
      <c r="H153" s="770">
        <v>0</v>
      </c>
      <c r="I153" s="769">
        <v>0.4</v>
      </c>
      <c r="J153" s="793">
        <f t="shared" si="3"/>
        <v>-11</v>
      </c>
      <c r="L153" t="e">
        <f>VLOOKUP(A153,'1213A 080212'!H:J,3,0)</f>
        <v>#N/A</v>
      </c>
      <c r="M153" s="793" t="e">
        <f t="shared" si="4"/>
        <v>#N/A</v>
      </c>
    </row>
    <row r="154" spans="1:13" ht="13.5" thickBot="1" x14ac:dyDescent="0.25">
      <c r="A154" s="771" t="s">
        <v>691</v>
      </c>
      <c r="B154" s="771" t="s">
        <v>681</v>
      </c>
      <c r="C154" s="771" t="s">
        <v>560</v>
      </c>
      <c r="D154" s="771" t="s">
        <v>652</v>
      </c>
      <c r="E154" s="772">
        <v>0</v>
      </c>
      <c r="F154" s="770">
        <v>2977</v>
      </c>
      <c r="G154" s="770">
        <v>2977.44</v>
      </c>
      <c r="H154" s="770">
        <v>0</v>
      </c>
      <c r="I154" s="769">
        <v>-0.44</v>
      </c>
      <c r="J154" s="793">
        <f t="shared" si="3"/>
        <v>-2977</v>
      </c>
      <c r="L154" t="e">
        <f>VLOOKUP(A154,'1213A 080212'!H:J,3,0)</f>
        <v>#N/A</v>
      </c>
      <c r="M154" s="793" t="e">
        <f t="shared" si="4"/>
        <v>#N/A</v>
      </c>
    </row>
    <row r="155" spans="1:13" ht="13.5" thickBot="1" x14ac:dyDescent="0.25">
      <c r="A155" s="771" t="s">
        <v>692</v>
      </c>
      <c r="B155" s="771" t="s">
        <v>681</v>
      </c>
      <c r="C155" s="771" t="s">
        <v>562</v>
      </c>
      <c r="D155" s="771" t="s">
        <v>652</v>
      </c>
      <c r="E155" s="772">
        <v>0</v>
      </c>
      <c r="F155" s="770">
        <v>2127</v>
      </c>
      <c r="G155" s="770">
        <v>2126.85</v>
      </c>
      <c r="H155" s="770">
        <v>0</v>
      </c>
      <c r="I155" s="769">
        <v>0.15</v>
      </c>
      <c r="J155" s="793">
        <f t="shared" si="3"/>
        <v>-2127</v>
      </c>
      <c r="L155" t="e">
        <f>VLOOKUP(A155,'1213A 080212'!H:J,3,0)</f>
        <v>#N/A</v>
      </c>
      <c r="M155" s="793" t="e">
        <f t="shared" si="4"/>
        <v>#N/A</v>
      </c>
    </row>
    <row r="156" spans="1:13" ht="13.5" thickBot="1" x14ac:dyDescent="0.25">
      <c r="A156" s="768" t="s">
        <v>28</v>
      </c>
      <c r="B156" s="768" t="s">
        <v>694</v>
      </c>
      <c r="C156" s="768" t="s">
        <v>695</v>
      </c>
      <c r="D156" s="768" t="s">
        <v>696</v>
      </c>
      <c r="E156" s="769">
        <v>207307</v>
      </c>
      <c r="F156" s="770">
        <v>48656</v>
      </c>
      <c r="G156" s="770">
        <v>7610.69</v>
      </c>
      <c r="H156" s="770">
        <v>0</v>
      </c>
      <c r="I156" s="769">
        <v>211750.19</v>
      </c>
      <c r="J156" s="793">
        <f t="shared" si="3"/>
        <v>158651</v>
      </c>
      <c r="K156" s="793"/>
      <c r="L156">
        <f>VLOOKUP(A156,'1213A 080212'!H:J,3,0)</f>
        <v>48656</v>
      </c>
      <c r="M156" s="793">
        <f t="shared" si="4"/>
        <v>0</v>
      </c>
    </row>
    <row r="157" spans="1:13" ht="13.5" thickBot="1" x14ac:dyDescent="0.25">
      <c r="A157" s="771" t="s">
        <v>29</v>
      </c>
      <c r="B157" s="771" t="s">
        <v>694</v>
      </c>
      <c r="C157" s="771" t="s">
        <v>697</v>
      </c>
      <c r="D157" s="771" t="s">
        <v>696</v>
      </c>
      <c r="E157" s="772">
        <v>7500</v>
      </c>
      <c r="F157" s="770">
        <v>7500</v>
      </c>
      <c r="G157" s="770">
        <v>5411.21</v>
      </c>
      <c r="H157" s="770">
        <v>0</v>
      </c>
      <c r="I157" s="769">
        <v>2088.79</v>
      </c>
      <c r="J157" s="793">
        <f t="shared" si="3"/>
        <v>0</v>
      </c>
      <c r="L157">
        <f>VLOOKUP(A157,'1213A 080212'!H:J,3,0)</f>
        <v>7500</v>
      </c>
      <c r="M157" s="793">
        <f t="shared" si="4"/>
        <v>0</v>
      </c>
    </row>
    <row r="158" spans="1:13" ht="13.5" thickBot="1" x14ac:dyDescent="0.25">
      <c r="A158" s="771" t="s">
        <v>698</v>
      </c>
      <c r="B158" s="771" t="s">
        <v>694</v>
      </c>
      <c r="C158" s="771" t="s">
        <v>554</v>
      </c>
      <c r="D158" s="771" t="s">
        <v>696</v>
      </c>
      <c r="E158" s="772">
        <v>0</v>
      </c>
      <c r="F158" s="770">
        <v>0</v>
      </c>
      <c r="G158" s="770">
        <v>627.85</v>
      </c>
      <c r="H158" s="770">
        <v>0</v>
      </c>
      <c r="I158" s="769">
        <v>-118.09</v>
      </c>
      <c r="J158" s="793">
        <f t="shared" si="3"/>
        <v>0</v>
      </c>
      <c r="L158" t="e">
        <f>VLOOKUP(A158,'1213A 080212'!H:J,3,0)</f>
        <v>#N/A</v>
      </c>
      <c r="M158" s="793" t="e">
        <f t="shared" si="4"/>
        <v>#N/A</v>
      </c>
    </row>
    <row r="159" spans="1:13" ht="13.5" thickBot="1" x14ac:dyDescent="0.25">
      <c r="A159" s="771" t="s">
        <v>699</v>
      </c>
      <c r="B159" s="771" t="s">
        <v>694</v>
      </c>
      <c r="C159" s="771" t="s">
        <v>685</v>
      </c>
      <c r="D159" s="771" t="s">
        <v>696</v>
      </c>
      <c r="E159" s="772">
        <v>0</v>
      </c>
      <c r="F159" s="770">
        <v>0</v>
      </c>
      <c r="G159" s="770">
        <v>0</v>
      </c>
      <c r="H159" s="770">
        <v>0</v>
      </c>
      <c r="I159" s="769">
        <v>-5035.53</v>
      </c>
      <c r="J159" s="793">
        <f t="shared" si="3"/>
        <v>0</v>
      </c>
      <c r="L159" t="e">
        <f>VLOOKUP(A159,'1213A 080212'!H:J,3,0)</f>
        <v>#N/A</v>
      </c>
      <c r="M159" s="793" t="e">
        <f t="shared" si="4"/>
        <v>#N/A</v>
      </c>
    </row>
    <row r="160" spans="1:13" ht="13.5" thickBot="1" x14ac:dyDescent="0.25">
      <c r="A160" s="768" t="s">
        <v>700</v>
      </c>
      <c r="B160" s="768" t="s">
        <v>694</v>
      </c>
      <c r="C160" s="768" t="s">
        <v>687</v>
      </c>
      <c r="D160" s="768" t="s">
        <v>696</v>
      </c>
      <c r="E160" s="769">
        <v>0</v>
      </c>
      <c r="F160" s="770">
        <v>0</v>
      </c>
      <c r="G160" s="770">
        <v>0</v>
      </c>
      <c r="H160" s="770">
        <v>0</v>
      </c>
      <c r="I160" s="769">
        <v>-2858.21</v>
      </c>
      <c r="J160" s="793">
        <f t="shared" si="3"/>
        <v>0</v>
      </c>
      <c r="L160" t="e">
        <f>VLOOKUP(A160,'1213A 080212'!H:J,3,0)</f>
        <v>#N/A</v>
      </c>
      <c r="M160" s="793" t="e">
        <f t="shared" si="4"/>
        <v>#N/A</v>
      </c>
    </row>
    <row r="161" spans="1:13" ht="13.5" thickBot="1" x14ac:dyDescent="0.25">
      <c r="A161" s="768" t="s">
        <v>701</v>
      </c>
      <c r="B161" s="768" t="s">
        <v>694</v>
      </c>
      <c r="C161" s="768" t="s">
        <v>556</v>
      </c>
      <c r="D161" s="768" t="s">
        <v>696</v>
      </c>
      <c r="E161" s="769">
        <v>0</v>
      </c>
      <c r="F161" s="770">
        <v>0</v>
      </c>
      <c r="G161" s="770">
        <v>110.35</v>
      </c>
      <c r="H161" s="770">
        <v>0</v>
      </c>
      <c r="I161" s="769">
        <v>-689.21</v>
      </c>
      <c r="J161" s="793">
        <f t="shared" si="3"/>
        <v>0</v>
      </c>
      <c r="L161" t="e">
        <f>VLOOKUP(A161,'1213A 080212'!H:J,3,0)</f>
        <v>#N/A</v>
      </c>
      <c r="M161" s="793" t="e">
        <f t="shared" si="4"/>
        <v>#N/A</v>
      </c>
    </row>
    <row r="162" spans="1:13" ht="13.5" thickBot="1" x14ac:dyDescent="0.25">
      <c r="A162" s="771" t="s">
        <v>30</v>
      </c>
      <c r="B162" s="771" t="s">
        <v>694</v>
      </c>
      <c r="C162" s="771" t="s">
        <v>702</v>
      </c>
      <c r="D162" s="771" t="s">
        <v>696</v>
      </c>
      <c r="E162" s="772">
        <v>60000</v>
      </c>
      <c r="F162" s="770">
        <v>60000</v>
      </c>
      <c r="G162" s="770">
        <v>59999.99</v>
      </c>
      <c r="H162" s="770">
        <v>0</v>
      </c>
      <c r="I162" s="769">
        <v>0.01</v>
      </c>
      <c r="J162" s="793">
        <f t="shared" si="3"/>
        <v>0</v>
      </c>
      <c r="L162">
        <f>VLOOKUP(A162,'1213A 080212'!H:J,3,0)</f>
        <v>60000</v>
      </c>
      <c r="M162" s="793">
        <f t="shared" si="4"/>
        <v>0</v>
      </c>
    </row>
    <row r="163" spans="1:13" ht="13.5" thickBot="1" x14ac:dyDescent="0.25">
      <c r="A163" s="771" t="s">
        <v>703</v>
      </c>
      <c r="B163" s="771" t="s">
        <v>694</v>
      </c>
      <c r="C163" s="771" t="s">
        <v>560</v>
      </c>
      <c r="D163" s="771" t="s">
        <v>696</v>
      </c>
      <c r="E163" s="772">
        <v>0</v>
      </c>
      <c r="F163" s="770">
        <v>0</v>
      </c>
      <c r="G163" s="770">
        <v>122.53</v>
      </c>
      <c r="H163" s="770">
        <v>0</v>
      </c>
      <c r="I163" s="769">
        <v>-765.28</v>
      </c>
      <c r="J163" s="793">
        <f t="shared" si="3"/>
        <v>0</v>
      </c>
      <c r="L163" t="e">
        <f>VLOOKUP(A163,'1213A 080212'!H:J,3,0)</f>
        <v>#N/A</v>
      </c>
      <c r="M163" s="793" t="e">
        <f t="shared" si="4"/>
        <v>#N/A</v>
      </c>
    </row>
    <row r="164" spans="1:13" ht="13.5" thickBot="1" x14ac:dyDescent="0.25">
      <c r="A164" s="771" t="s">
        <v>704</v>
      </c>
      <c r="B164" s="771" t="s">
        <v>694</v>
      </c>
      <c r="C164" s="771" t="s">
        <v>562</v>
      </c>
      <c r="D164" s="771" t="s">
        <v>696</v>
      </c>
      <c r="E164" s="772">
        <v>0</v>
      </c>
      <c r="F164" s="770">
        <v>0</v>
      </c>
      <c r="G164" s="770">
        <v>87.52</v>
      </c>
      <c r="H164" s="770">
        <v>0</v>
      </c>
      <c r="I164" s="769">
        <v>-546.61</v>
      </c>
      <c r="J164" s="793">
        <f t="shared" si="3"/>
        <v>0</v>
      </c>
      <c r="L164" t="e">
        <f>VLOOKUP(A164,'1213A 080212'!H:J,3,0)</f>
        <v>#N/A</v>
      </c>
      <c r="M164" s="793" t="e">
        <f t="shared" si="4"/>
        <v>#N/A</v>
      </c>
    </row>
    <row r="165" spans="1:13" ht="13.5" thickBot="1" x14ac:dyDescent="0.25">
      <c r="A165" s="768" t="s">
        <v>31</v>
      </c>
      <c r="B165" s="768" t="s">
        <v>694</v>
      </c>
      <c r="C165" s="768" t="s">
        <v>705</v>
      </c>
      <c r="D165" s="768" t="s">
        <v>696</v>
      </c>
      <c r="E165" s="769">
        <v>200000</v>
      </c>
      <c r="F165" s="770">
        <v>0</v>
      </c>
      <c r="G165" s="770">
        <v>0</v>
      </c>
      <c r="H165" s="770">
        <v>0</v>
      </c>
      <c r="I165" s="769">
        <v>0</v>
      </c>
      <c r="J165" s="807">
        <f t="shared" si="3"/>
        <v>200000</v>
      </c>
      <c r="L165">
        <f>VLOOKUP(A165,'1213A 080212'!H:J,3,0)</f>
        <v>200000</v>
      </c>
      <c r="M165" s="793">
        <f t="shared" si="4"/>
        <v>-200000</v>
      </c>
    </row>
    <row r="166" spans="1:13" ht="13.5" thickBot="1" x14ac:dyDescent="0.25">
      <c r="A166" s="768" t="s">
        <v>706</v>
      </c>
      <c r="B166" s="768" t="s">
        <v>694</v>
      </c>
      <c r="C166" s="768" t="s">
        <v>705</v>
      </c>
      <c r="D166" s="768" t="s">
        <v>696</v>
      </c>
      <c r="E166" s="769">
        <v>0</v>
      </c>
      <c r="F166" s="770">
        <v>200000</v>
      </c>
      <c r="G166" s="770">
        <v>202070.07</v>
      </c>
      <c r="H166" s="770">
        <v>0</v>
      </c>
      <c r="I166" s="769">
        <v>115868.99</v>
      </c>
      <c r="J166" s="807">
        <f t="shared" si="3"/>
        <v>-200000</v>
      </c>
      <c r="L166" t="e">
        <f>VLOOKUP(A166,'1213A 080212'!H:J,3,0)</f>
        <v>#N/A</v>
      </c>
      <c r="M166" s="793" t="e">
        <f t="shared" si="4"/>
        <v>#N/A</v>
      </c>
    </row>
    <row r="167" spans="1:13" ht="13.5" thickBot="1" x14ac:dyDescent="0.25">
      <c r="A167" s="771" t="s">
        <v>32</v>
      </c>
      <c r="B167" s="771" t="s">
        <v>694</v>
      </c>
      <c r="C167" s="771" t="s">
        <v>621</v>
      </c>
      <c r="D167" s="771" t="s">
        <v>696</v>
      </c>
      <c r="E167" s="772">
        <v>43900</v>
      </c>
      <c r="F167" s="770">
        <v>43900</v>
      </c>
      <c r="G167" s="770">
        <v>41591.07</v>
      </c>
      <c r="H167" s="770">
        <v>0</v>
      </c>
      <c r="I167" s="769">
        <v>129.05000000000001</v>
      </c>
      <c r="J167" s="793">
        <f t="shared" si="3"/>
        <v>0</v>
      </c>
      <c r="L167">
        <f>VLOOKUP(A167,'1213A 080212'!H:J,3,0)</f>
        <v>43900</v>
      </c>
      <c r="M167" s="793">
        <f t="shared" si="4"/>
        <v>0</v>
      </c>
    </row>
    <row r="168" spans="1:13" ht="13.5" thickBot="1" x14ac:dyDescent="0.25">
      <c r="A168" s="771" t="s">
        <v>33</v>
      </c>
      <c r="B168" s="771" t="s">
        <v>694</v>
      </c>
      <c r="C168" s="771" t="s">
        <v>442</v>
      </c>
      <c r="D168" s="771" t="s">
        <v>696</v>
      </c>
      <c r="E168" s="772">
        <v>135000</v>
      </c>
      <c r="F168" s="770">
        <v>135000</v>
      </c>
      <c r="G168" s="770">
        <v>134610.04</v>
      </c>
      <c r="H168" s="770">
        <v>0</v>
      </c>
      <c r="I168" s="769">
        <v>-0.04</v>
      </c>
      <c r="J168" s="793">
        <f t="shared" ref="J168:J202" si="5">E168-F168</f>
        <v>0</v>
      </c>
      <c r="L168">
        <f>VLOOKUP(A168,'1213A 080212'!H:J,3,0)</f>
        <v>65000</v>
      </c>
      <c r="M168" s="793">
        <f t="shared" si="4"/>
        <v>70000</v>
      </c>
    </row>
    <row r="169" spans="1:13" ht="13.5" thickBot="1" x14ac:dyDescent="0.25">
      <c r="A169" s="771" t="s">
        <v>34</v>
      </c>
      <c r="B169" s="771" t="s">
        <v>694</v>
      </c>
      <c r="C169" s="771" t="s">
        <v>707</v>
      </c>
      <c r="D169" s="771" t="s">
        <v>696</v>
      </c>
      <c r="E169" s="772">
        <v>90000</v>
      </c>
      <c r="F169" s="770">
        <v>90000</v>
      </c>
      <c r="G169" s="770">
        <v>85853.96</v>
      </c>
      <c r="H169" s="770">
        <v>0</v>
      </c>
      <c r="I169" s="769">
        <v>11557.38</v>
      </c>
      <c r="J169" s="793">
        <f t="shared" si="5"/>
        <v>0</v>
      </c>
      <c r="L169">
        <f>VLOOKUP(A169,'1213A 080212'!H:J,3,0)</f>
        <v>90000</v>
      </c>
      <c r="M169" s="793">
        <f t="shared" ref="M169:M200" si="6">F169-L169</f>
        <v>0</v>
      </c>
    </row>
    <row r="170" spans="1:13" ht="13.5" thickBot="1" x14ac:dyDescent="0.25">
      <c r="A170" s="768" t="s">
        <v>35</v>
      </c>
      <c r="B170" s="768" t="s">
        <v>694</v>
      </c>
      <c r="C170" s="768" t="s">
        <v>708</v>
      </c>
      <c r="D170" s="768" t="s">
        <v>696</v>
      </c>
      <c r="E170" s="769">
        <v>3000</v>
      </c>
      <c r="F170" s="770">
        <v>3000</v>
      </c>
      <c r="G170" s="770">
        <v>1950.67</v>
      </c>
      <c r="H170" s="770">
        <v>0</v>
      </c>
      <c r="I170" s="769">
        <v>1049.33</v>
      </c>
      <c r="J170" s="793">
        <f t="shared" si="5"/>
        <v>0</v>
      </c>
      <c r="L170">
        <f>VLOOKUP(A170,'1213A 080212'!H:J,3,0)</f>
        <v>3000</v>
      </c>
      <c r="M170" s="793">
        <f t="shared" si="6"/>
        <v>0</v>
      </c>
    </row>
    <row r="171" spans="1:13" ht="13.5" thickBot="1" x14ac:dyDescent="0.25">
      <c r="A171" s="768" t="s">
        <v>36</v>
      </c>
      <c r="B171" s="768" t="s">
        <v>709</v>
      </c>
      <c r="C171" s="768" t="s">
        <v>710</v>
      </c>
      <c r="D171" s="768" t="s">
        <v>696</v>
      </c>
      <c r="E171" s="769">
        <v>5200</v>
      </c>
      <c r="F171" s="770">
        <v>5200</v>
      </c>
      <c r="G171" s="770">
        <v>0</v>
      </c>
      <c r="H171" s="770">
        <v>0</v>
      </c>
      <c r="I171" s="769">
        <v>5200</v>
      </c>
      <c r="J171" s="793">
        <f t="shared" si="5"/>
        <v>0</v>
      </c>
      <c r="L171">
        <f>VLOOKUP(A171,'1213A 080212'!H:J,3,0)</f>
        <v>5200</v>
      </c>
      <c r="M171" s="793">
        <f t="shared" si="6"/>
        <v>0</v>
      </c>
    </row>
    <row r="172" spans="1:13" ht="13.5" thickBot="1" x14ac:dyDescent="0.25">
      <c r="A172" s="771" t="s">
        <v>37</v>
      </c>
      <c r="B172" s="771" t="s">
        <v>711</v>
      </c>
      <c r="C172" s="771" t="s">
        <v>712</v>
      </c>
      <c r="D172" s="771" t="s">
        <v>696</v>
      </c>
      <c r="E172" s="772">
        <v>1000</v>
      </c>
      <c r="F172" s="770">
        <v>1000</v>
      </c>
      <c r="G172" s="770">
        <v>0</v>
      </c>
      <c r="H172" s="770">
        <v>0</v>
      </c>
      <c r="I172" s="769">
        <v>1000</v>
      </c>
      <c r="J172" s="793">
        <f t="shared" si="5"/>
        <v>0</v>
      </c>
      <c r="L172">
        <f>VLOOKUP(A172,'1213A 080212'!H:J,3,0)</f>
        <v>1000</v>
      </c>
      <c r="M172" s="793">
        <f t="shared" si="6"/>
        <v>0</v>
      </c>
    </row>
    <row r="173" spans="1:13" ht="13.5" thickBot="1" x14ac:dyDescent="0.25">
      <c r="A173" s="771" t="s">
        <v>40</v>
      </c>
      <c r="B173" s="771" t="s">
        <v>713</v>
      </c>
      <c r="C173" s="771" t="s">
        <v>710</v>
      </c>
      <c r="D173" s="771" t="s">
        <v>39</v>
      </c>
      <c r="E173" s="772">
        <v>4000</v>
      </c>
      <c r="F173" s="770">
        <v>4000</v>
      </c>
      <c r="G173" s="770">
        <v>228.28</v>
      </c>
      <c r="H173" s="770">
        <v>0</v>
      </c>
      <c r="I173" s="769">
        <v>3771.72</v>
      </c>
      <c r="J173" s="793">
        <f t="shared" si="5"/>
        <v>0</v>
      </c>
      <c r="L173">
        <f>VLOOKUP(A173,'1213A 080212'!H:J,3,0)</f>
        <v>4000</v>
      </c>
      <c r="M173" s="793">
        <f t="shared" si="6"/>
        <v>0</v>
      </c>
    </row>
    <row r="174" spans="1:13" ht="13.5" thickBot="1" x14ac:dyDescent="0.25">
      <c r="A174" s="771" t="s">
        <v>714</v>
      </c>
      <c r="B174" s="771" t="s">
        <v>715</v>
      </c>
      <c r="C174" s="771" t="s">
        <v>716</v>
      </c>
      <c r="D174" s="771" t="s">
        <v>717</v>
      </c>
      <c r="E174" s="772">
        <v>0</v>
      </c>
      <c r="F174" s="770">
        <v>0</v>
      </c>
      <c r="G174" s="770">
        <v>0</v>
      </c>
      <c r="H174" s="770">
        <v>0</v>
      </c>
      <c r="I174" s="769">
        <v>0</v>
      </c>
      <c r="J174" s="793">
        <f t="shared" si="5"/>
        <v>0</v>
      </c>
      <c r="L174" t="e">
        <f>VLOOKUP(A174,'1213A 080212'!H:J,3,0)</f>
        <v>#N/A</v>
      </c>
      <c r="M174" s="793" t="e">
        <f t="shared" si="6"/>
        <v>#N/A</v>
      </c>
    </row>
    <row r="175" spans="1:13" ht="13.5" thickBot="1" x14ac:dyDescent="0.25">
      <c r="A175" s="768" t="s">
        <v>326</v>
      </c>
      <c r="B175" s="768" t="s">
        <v>715</v>
      </c>
      <c r="C175" s="768" t="s">
        <v>442</v>
      </c>
      <c r="D175" s="768" t="s">
        <v>717</v>
      </c>
      <c r="E175" s="769">
        <v>20000</v>
      </c>
      <c r="F175" s="770">
        <v>17941</v>
      </c>
      <c r="G175" s="770">
        <v>17940.150000000001</v>
      </c>
      <c r="H175" s="770">
        <v>0</v>
      </c>
      <c r="I175" s="769">
        <v>0.85</v>
      </c>
      <c r="J175" s="807">
        <f t="shared" si="5"/>
        <v>2059</v>
      </c>
      <c r="L175">
        <f>VLOOKUP(A175,'1213A 080212'!H:J,3,0)</f>
        <v>17941</v>
      </c>
      <c r="M175" s="793">
        <f t="shared" si="6"/>
        <v>0</v>
      </c>
    </row>
    <row r="176" spans="1:13" ht="13.5" thickBot="1" x14ac:dyDescent="0.25">
      <c r="A176" s="768" t="s">
        <v>318</v>
      </c>
      <c r="B176" s="768" t="s">
        <v>718</v>
      </c>
      <c r="C176" s="768" t="s">
        <v>442</v>
      </c>
      <c r="D176" s="768" t="s">
        <v>717</v>
      </c>
      <c r="E176" s="769">
        <v>7600</v>
      </c>
      <c r="F176" s="770">
        <v>7600</v>
      </c>
      <c r="G176" s="770">
        <v>8293.4500000000007</v>
      </c>
      <c r="H176" s="770">
        <v>0</v>
      </c>
      <c r="I176" s="769">
        <v>-899.52</v>
      </c>
      <c r="J176" s="807">
        <f t="shared" si="5"/>
        <v>0</v>
      </c>
      <c r="L176">
        <f>VLOOKUP(A176,'1213A 080212'!H:J,3,0)</f>
        <v>7600</v>
      </c>
      <c r="M176" s="793">
        <f t="shared" si="6"/>
        <v>0</v>
      </c>
    </row>
    <row r="177" spans="1:13" ht="13.5" thickBot="1" x14ac:dyDescent="0.25">
      <c r="A177" s="771" t="s">
        <v>319</v>
      </c>
      <c r="B177" s="771" t="s">
        <v>718</v>
      </c>
      <c r="C177" s="771" t="s">
        <v>451</v>
      </c>
      <c r="D177" s="771" t="s">
        <v>717</v>
      </c>
      <c r="E177" s="772">
        <v>6200</v>
      </c>
      <c r="F177" s="770">
        <v>6200</v>
      </c>
      <c r="G177" s="770">
        <v>6200</v>
      </c>
      <c r="H177" s="770">
        <v>0</v>
      </c>
      <c r="I177" s="769">
        <v>0</v>
      </c>
      <c r="J177" s="807">
        <f t="shared" si="5"/>
        <v>0</v>
      </c>
      <c r="L177">
        <f>VLOOKUP(A177,'1213A 080212'!H:J,3,0)</f>
        <v>6200</v>
      </c>
      <c r="M177" s="793">
        <f t="shared" si="6"/>
        <v>0</v>
      </c>
    </row>
    <row r="178" spans="1:13" ht="13.5" thickBot="1" x14ac:dyDescent="0.25">
      <c r="A178" s="771" t="s">
        <v>315</v>
      </c>
      <c r="B178" s="771" t="s">
        <v>719</v>
      </c>
      <c r="C178" s="771" t="s">
        <v>716</v>
      </c>
      <c r="D178" s="771" t="s">
        <v>717</v>
      </c>
      <c r="E178" s="772">
        <v>9210</v>
      </c>
      <c r="F178" s="770">
        <v>9660</v>
      </c>
      <c r="G178" s="770">
        <v>9525</v>
      </c>
      <c r="H178" s="770">
        <v>0</v>
      </c>
      <c r="I178" s="769">
        <v>408</v>
      </c>
      <c r="J178" s="807">
        <f t="shared" si="5"/>
        <v>-450</v>
      </c>
      <c r="L178">
        <f>VLOOKUP(A178,'1213A 080212'!H:J,3,0)</f>
        <v>9660</v>
      </c>
      <c r="M178" s="793">
        <f t="shared" si="6"/>
        <v>0</v>
      </c>
    </row>
    <row r="179" spans="1:13" ht="13.5" thickBot="1" x14ac:dyDescent="0.25">
      <c r="A179" s="771" t="s">
        <v>355</v>
      </c>
      <c r="B179" s="771" t="s">
        <v>719</v>
      </c>
      <c r="C179" s="771" t="s">
        <v>442</v>
      </c>
      <c r="D179" s="771" t="s">
        <v>717</v>
      </c>
      <c r="E179" s="772">
        <v>4590</v>
      </c>
      <c r="F179" s="770">
        <v>4590</v>
      </c>
      <c r="G179" s="770">
        <v>4590</v>
      </c>
      <c r="H179" s="770">
        <v>0</v>
      </c>
      <c r="I179" s="769">
        <v>0</v>
      </c>
      <c r="J179" s="807">
        <f t="shared" si="5"/>
        <v>0</v>
      </c>
      <c r="L179">
        <f>VLOOKUP(A179,'1213A 080212'!H:J,3,0)</f>
        <v>4590</v>
      </c>
      <c r="M179" s="793">
        <f t="shared" si="6"/>
        <v>0</v>
      </c>
    </row>
    <row r="180" spans="1:13" ht="13.5" thickBot="1" x14ac:dyDescent="0.25">
      <c r="A180" s="768" t="s">
        <v>317</v>
      </c>
      <c r="B180" s="768" t="s">
        <v>710</v>
      </c>
      <c r="C180" s="768" t="s">
        <v>716</v>
      </c>
      <c r="D180" s="768" t="s">
        <v>717</v>
      </c>
      <c r="E180" s="769">
        <v>7000</v>
      </c>
      <c r="F180" s="770">
        <v>6550</v>
      </c>
      <c r="G180" s="770">
        <v>6286.92</v>
      </c>
      <c r="H180" s="770">
        <v>0</v>
      </c>
      <c r="I180" s="769">
        <v>14.55</v>
      </c>
      <c r="J180" s="807">
        <f t="shared" si="5"/>
        <v>450</v>
      </c>
      <c r="L180">
        <f>VLOOKUP(A180,'1213A 080212'!H:J,3,0)</f>
        <v>6550</v>
      </c>
      <c r="M180" s="793">
        <f t="shared" si="6"/>
        <v>0</v>
      </c>
    </row>
    <row r="181" spans="1:13" ht="13.5" thickBot="1" x14ac:dyDescent="0.25">
      <c r="A181" s="768" t="s">
        <v>316</v>
      </c>
      <c r="B181" s="768" t="s">
        <v>720</v>
      </c>
      <c r="C181" s="768" t="s">
        <v>716</v>
      </c>
      <c r="D181" s="768" t="s">
        <v>717</v>
      </c>
      <c r="E181" s="769">
        <v>11000</v>
      </c>
      <c r="F181" s="770">
        <v>13059</v>
      </c>
      <c r="G181" s="770">
        <v>12661.84</v>
      </c>
      <c r="H181" s="770">
        <v>0</v>
      </c>
      <c r="I181" s="769">
        <v>0</v>
      </c>
      <c r="J181" s="807">
        <f t="shared" si="5"/>
        <v>-2059</v>
      </c>
      <c r="L181">
        <f>VLOOKUP(A181,'1213A 080212'!H:J,3,0)</f>
        <v>13059</v>
      </c>
      <c r="M181" s="793">
        <f t="shared" si="6"/>
        <v>0</v>
      </c>
    </row>
    <row r="182" spans="1:13" ht="13.5" thickBot="1" x14ac:dyDescent="0.25">
      <c r="A182" s="771" t="s">
        <v>314</v>
      </c>
      <c r="B182" s="771" t="s">
        <v>156</v>
      </c>
      <c r="C182" s="771" t="s">
        <v>716</v>
      </c>
      <c r="D182" s="771" t="s">
        <v>717</v>
      </c>
      <c r="E182" s="772">
        <v>35000</v>
      </c>
      <c r="F182" s="770">
        <v>35000</v>
      </c>
      <c r="G182" s="770">
        <v>34547.660000000003</v>
      </c>
      <c r="H182" s="770">
        <v>0</v>
      </c>
      <c r="I182" s="769">
        <v>-3000</v>
      </c>
      <c r="J182" s="793">
        <f t="shared" si="5"/>
        <v>0</v>
      </c>
      <c r="L182">
        <f>VLOOKUP(A182,'1213A 080212'!H:J,3,0)</f>
        <v>35000</v>
      </c>
      <c r="M182" s="793">
        <f t="shared" si="6"/>
        <v>0</v>
      </c>
    </row>
    <row r="183" spans="1:13" ht="13.5" thickBot="1" x14ac:dyDescent="0.25">
      <c r="A183" s="771" t="s">
        <v>146</v>
      </c>
      <c r="B183" s="771" t="s">
        <v>721</v>
      </c>
      <c r="C183" s="771" t="s">
        <v>722</v>
      </c>
      <c r="D183" s="771" t="s">
        <v>723</v>
      </c>
      <c r="E183" s="772">
        <v>7000</v>
      </c>
      <c r="F183" s="770">
        <v>7000</v>
      </c>
      <c r="G183" s="770">
        <v>7438.91</v>
      </c>
      <c r="H183" s="770">
        <v>0</v>
      </c>
      <c r="I183" s="769">
        <v>0</v>
      </c>
      <c r="J183" s="793">
        <f t="shared" si="5"/>
        <v>0</v>
      </c>
      <c r="L183">
        <f>VLOOKUP(A183,'1213A 080212'!H:J,3,0)</f>
        <v>7000</v>
      </c>
      <c r="M183" s="793">
        <f t="shared" si="6"/>
        <v>0</v>
      </c>
    </row>
    <row r="184" spans="1:13" ht="13.5" thickBot="1" x14ac:dyDescent="0.25">
      <c r="A184" s="771" t="s">
        <v>41</v>
      </c>
      <c r="B184" s="771" t="s">
        <v>721</v>
      </c>
      <c r="C184" s="771" t="s">
        <v>563</v>
      </c>
      <c r="D184" s="771" t="s">
        <v>723</v>
      </c>
      <c r="E184" s="772">
        <v>604984</v>
      </c>
      <c r="F184" s="770">
        <v>604984</v>
      </c>
      <c r="G184" s="770">
        <v>598747.5</v>
      </c>
      <c r="H184" s="770">
        <v>0</v>
      </c>
      <c r="I184" s="769">
        <v>13323.35</v>
      </c>
      <c r="J184" s="793">
        <f t="shared" si="5"/>
        <v>0</v>
      </c>
      <c r="L184">
        <f>VLOOKUP(A184,'1213A 080212'!H:J,3,0)</f>
        <v>564984</v>
      </c>
      <c r="M184" s="793">
        <f t="shared" si="6"/>
        <v>40000</v>
      </c>
    </row>
    <row r="185" spans="1:13" ht="13.5" thickBot="1" x14ac:dyDescent="0.25">
      <c r="A185" s="768" t="s">
        <v>42</v>
      </c>
      <c r="B185" s="768" t="s">
        <v>724</v>
      </c>
      <c r="C185" s="768" t="s">
        <v>451</v>
      </c>
      <c r="D185" s="768" t="s">
        <v>725</v>
      </c>
      <c r="E185" s="769">
        <v>0</v>
      </c>
      <c r="F185" s="770">
        <v>0</v>
      </c>
      <c r="G185" s="770">
        <v>0</v>
      </c>
      <c r="H185" s="770">
        <v>0</v>
      </c>
      <c r="I185" s="769">
        <v>0</v>
      </c>
      <c r="J185" s="793">
        <f t="shared" si="5"/>
        <v>0</v>
      </c>
      <c r="L185" t="e">
        <f>VLOOKUP(A185,'1213A 080212'!H:J,3,0)</f>
        <v>#N/A</v>
      </c>
      <c r="M185" s="793" t="e">
        <f t="shared" si="6"/>
        <v>#N/A</v>
      </c>
    </row>
    <row r="186" spans="1:13" s="819" customFormat="1" ht="13.5" thickBot="1" x14ac:dyDescent="0.25">
      <c r="A186" s="816" t="s">
        <v>43</v>
      </c>
      <c r="B186" s="816" t="s">
        <v>724</v>
      </c>
      <c r="C186" s="816" t="s">
        <v>451</v>
      </c>
      <c r="D186" s="816" t="s">
        <v>725</v>
      </c>
      <c r="E186" s="817">
        <v>211734</v>
      </c>
      <c r="F186" s="770">
        <v>211734</v>
      </c>
      <c r="G186" s="770">
        <v>156470.45000000001</v>
      </c>
      <c r="H186" s="770">
        <v>0</v>
      </c>
      <c r="I186" s="817">
        <v>0</v>
      </c>
      <c r="J186" s="807">
        <f t="shared" si="5"/>
        <v>0</v>
      </c>
      <c r="L186" s="819" t="e">
        <f>VLOOKUP(A186,'1213A 080212'!H:J,3,0)</f>
        <v>#N/A</v>
      </c>
      <c r="M186" s="807" t="e">
        <f t="shared" si="6"/>
        <v>#N/A</v>
      </c>
    </row>
    <row r="187" spans="1:13" ht="13.5" thickBot="1" x14ac:dyDescent="0.25">
      <c r="A187" s="771" t="s">
        <v>44</v>
      </c>
      <c r="B187" s="771" t="s">
        <v>724</v>
      </c>
      <c r="C187" s="771" t="s">
        <v>621</v>
      </c>
      <c r="D187" s="771" t="s">
        <v>725</v>
      </c>
      <c r="E187" s="772">
        <v>35000</v>
      </c>
      <c r="F187" s="770">
        <v>35000</v>
      </c>
      <c r="G187" s="770">
        <v>30758.63</v>
      </c>
      <c r="H187" s="770">
        <v>0</v>
      </c>
      <c r="I187" s="769">
        <v>592.6</v>
      </c>
      <c r="J187" s="793">
        <f t="shared" si="5"/>
        <v>0</v>
      </c>
      <c r="L187">
        <f>VLOOKUP(A187,'1213A 080212'!H:J,3,0)</f>
        <v>35000</v>
      </c>
      <c r="M187" s="793">
        <f t="shared" si="6"/>
        <v>0</v>
      </c>
    </row>
    <row r="188" spans="1:13" ht="13.5" thickBot="1" x14ac:dyDescent="0.25">
      <c r="A188" s="771" t="s">
        <v>45</v>
      </c>
      <c r="B188" s="771" t="s">
        <v>724</v>
      </c>
      <c r="C188" s="771" t="s">
        <v>726</v>
      </c>
      <c r="D188" s="771" t="s">
        <v>725</v>
      </c>
      <c r="E188" s="772">
        <v>115300</v>
      </c>
      <c r="F188" s="770">
        <v>115300</v>
      </c>
      <c r="G188" s="770">
        <v>94076.37</v>
      </c>
      <c r="H188" s="770">
        <v>0</v>
      </c>
      <c r="I188" s="769">
        <v>6.33</v>
      </c>
      <c r="J188" s="793">
        <f t="shared" si="5"/>
        <v>0</v>
      </c>
      <c r="L188">
        <f>VLOOKUP(A188,'1213A 080212'!H:J,3,0)</f>
        <v>115300</v>
      </c>
      <c r="M188" s="793">
        <f t="shared" si="6"/>
        <v>0</v>
      </c>
    </row>
    <row r="189" spans="1:13" ht="13.5" thickBot="1" x14ac:dyDescent="0.25">
      <c r="A189" s="771" t="s">
        <v>46</v>
      </c>
      <c r="B189" s="771" t="s">
        <v>724</v>
      </c>
      <c r="C189" s="771" t="s">
        <v>710</v>
      </c>
      <c r="D189" s="771" t="s">
        <v>725</v>
      </c>
      <c r="E189" s="772">
        <v>25000</v>
      </c>
      <c r="F189" s="770">
        <v>25000</v>
      </c>
      <c r="G189" s="770">
        <v>25000</v>
      </c>
      <c r="H189" s="770">
        <v>0</v>
      </c>
      <c r="I189" s="769">
        <v>0</v>
      </c>
      <c r="J189" s="793">
        <f t="shared" si="5"/>
        <v>0</v>
      </c>
      <c r="L189">
        <f>VLOOKUP(A189,'1213A 080212'!H:J,3,0)</f>
        <v>25000</v>
      </c>
      <c r="M189" s="793">
        <f t="shared" si="6"/>
        <v>0</v>
      </c>
    </row>
    <row r="190" spans="1:13" s="819" customFormat="1" ht="13.5" thickBot="1" x14ac:dyDescent="0.25">
      <c r="A190" s="816" t="s">
        <v>47</v>
      </c>
      <c r="B190" s="816" t="s">
        <v>724</v>
      </c>
      <c r="C190" s="816" t="s">
        <v>469</v>
      </c>
      <c r="D190" s="816" t="s">
        <v>725</v>
      </c>
      <c r="E190" s="817">
        <v>30000</v>
      </c>
      <c r="F190" s="770">
        <v>30000</v>
      </c>
      <c r="G190" s="770">
        <v>22940.63</v>
      </c>
      <c r="H190" s="770">
        <v>0</v>
      </c>
      <c r="I190" s="817">
        <v>42.7</v>
      </c>
      <c r="J190" s="807">
        <f t="shared" si="5"/>
        <v>0</v>
      </c>
      <c r="L190" s="819">
        <f>VLOOKUP(A190,'1213A 080212'!H:J,3,0)</f>
        <v>30000</v>
      </c>
      <c r="M190" s="807">
        <f t="shared" si="6"/>
        <v>0</v>
      </c>
    </row>
    <row r="191" spans="1:13" ht="13.5" thickBot="1" x14ac:dyDescent="0.25">
      <c r="A191" s="768" t="s">
        <v>48</v>
      </c>
      <c r="B191" s="768" t="s">
        <v>724</v>
      </c>
      <c r="C191" s="768" t="s">
        <v>727</v>
      </c>
      <c r="D191" s="768" t="s">
        <v>725</v>
      </c>
      <c r="E191" s="769">
        <v>50000</v>
      </c>
      <c r="F191" s="770">
        <v>50000</v>
      </c>
      <c r="G191" s="770">
        <v>50000</v>
      </c>
      <c r="H191" s="770">
        <v>0</v>
      </c>
      <c r="I191" s="769">
        <v>0</v>
      </c>
      <c r="J191" s="793">
        <f t="shared" si="5"/>
        <v>0</v>
      </c>
      <c r="L191">
        <f>VLOOKUP(A191,'1213A 080212'!H:J,3,0)</f>
        <v>50000</v>
      </c>
      <c r="M191" s="793">
        <f t="shared" si="6"/>
        <v>0</v>
      </c>
    </row>
    <row r="192" spans="1:13" ht="13.5" thickBot="1" x14ac:dyDescent="0.25">
      <c r="A192" s="771" t="s">
        <v>49</v>
      </c>
      <c r="B192" s="771" t="s">
        <v>728</v>
      </c>
      <c r="C192" s="771" t="s">
        <v>469</v>
      </c>
      <c r="D192" s="771" t="s">
        <v>725</v>
      </c>
      <c r="E192" s="772">
        <v>490753</v>
      </c>
      <c r="F192" s="770">
        <v>490753</v>
      </c>
      <c r="G192" s="770">
        <v>476233.11</v>
      </c>
      <c r="H192" s="770">
        <v>0</v>
      </c>
      <c r="I192" s="769">
        <v>0</v>
      </c>
      <c r="J192" s="793">
        <f t="shared" si="5"/>
        <v>0</v>
      </c>
      <c r="L192">
        <f>VLOOKUP(A192,'1213A 080212'!H:J,3,0)</f>
        <v>490753</v>
      </c>
      <c r="M192" s="793">
        <f t="shared" si="6"/>
        <v>0</v>
      </c>
    </row>
    <row r="193" spans="1:13" ht="13.5" thickBot="1" x14ac:dyDescent="0.25">
      <c r="A193" s="771" t="s">
        <v>246</v>
      </c>
      <c r="B193" s="771" t="s">
        <v>729</v>
      </c>
      <c r="C193" s="771" t="s">
        <v>442</v>
      </c>
      <c r="D193" s="771" t="s">
        <v>725</v>
      </c>
      <c r="E193" s="772">
        <v>0</v>
      </c>
      <c r="F193" s="770">
        <v>0</v>
      </c>
      <c r="G193" s="770">
        <v>0</v>
      </c>
      <c r="H193" s="770">
        <v>0</v>
      </c>
      <c r="I193" s="769">
        <v>0</v>
      </c>
      <c r="J193" s="793">
        <f t="shared" si="5"/>
        <v>0</v>
      </c>
      <c r="L193" t="e">
        <f>VLOOKUP(A193,'1213A 080212'!H:J,3,0)</f>
        <v>#N/A</v>
      </c>
      <c r="M193" s="793" t="e">
        <f t="shared" si="6"/>
        <v>#N/A</v>
      </c>
    </row>
    <row r="194" spans="1:13" ht="13.5" thickBot="1" x14ac:dyDescent="0.25">
      <c r="A194" s="771" t="s">
        <v>50</v>
      </c>
      <c r="B194" s="771" t="s">
        <v>729</v>
      </c>
      <c r="C194" s="771" t="s">
        <v>730</v>
      </c>
      <c r="D194" s="771" t="s">
        <v>725</v>
      </c>
      <c r="E194" s="772">
        <v>160000</v>
      </c>
      <c r="F194" s="770">
        <v>160000</v>
      </c>
      <c r="G194" s="770">
        <v>165321.18</v>
      </c>
      <c r="H194" s="770">
        <v>0</v>
      </c>
      <c r="I194" s="769">
        <v>-6109.74</v>
      </c>
      <c r="J194" s="793">
        <f t="shared" si="5"/>
        <v>0</v>
      </c>
      <c r="L194">
        <f>VLOOKUP(A194,'1213A 080212'!H:J,3,0)</f>
        <v>160000</v>
      </c>
      <c r="M194" s="793">
        <f t="shared" si="6"/>
        <v>0</v>
      </c>
    </row>
    <row r="195" spans="1:13" ht="13.5" thickBot="1" x14ac:dyDescent="0.25">
      <c r="A195" s="768" t="s">
        <v>51</v>
      </c>
      <c r="B195" s="768" t="s">
        <v>729</v>
      </c>
      <c r="C195" s="768" t="s">
        <v>731</v>
      </c>
      <c r="D195" s="768" t="s">
        <v>725</v>
      </c>
      <c r="E195" s="769">
        <v>52000</v>
      </c>
      <c r="F195" s="770">
        <v>52000</v>
      </c>
      <c r="G195" s="770">
        <v>46850.79</v>
      </c>
      <c r="H195" s="770">
        <v>0</v>
      </c>
      <c r="I195" s="769">
        <v>0</v>
      </c>
      <c r="J195" s="793">
        <f t="shared" si="5"/>
        <v>0</v>
      </c>
      <c r="L195">
        <f>VLOOKUP(A195,'1213A 080212'!H:J,3,0)</f>
        <v>52000</v>
      </c>
      <c r="M195" s="793">
        <f t="shared" si="6"/>
        <v>0</v>
      </c>
    </row>
    <row r="196" spans="1:13" ht="13.5" thickBot="1" x14ac:dyDescent="0.25">
      <c r="A196" s="771" t="s">
        <v>52</v>
      </c>
      <c r="B196" s="771" t="s">
        <v>729</v>
      </c>
      <c r="C196" s="771" t="s">
        <v>469</v>
      </c>
      <c r="D196" s="771" t="s">
        <v>725</v>
      </c>
      <c r="E196" s="772">
        <v>70000</v>
      </c>
      <c r="F196" s="770">
        <v>62274</v>
      </c>
      <c r="G196" s="770">
        <v>58344.94</v>
      </c>
      <c r="H196" s="770">
        <v>0</v>
      </c>
      <c r="I196" s="769">
        <v>0.56000000000000005</v>
      </c>
      <c r="J196" s="807">
        <f t="shared" si="5"/>
        <v>7726</v>
      </c>
      <c r="L196">
        <f>VLOOKUP(A196,'1213A 080212'!H:J,3,0)</f>
        <v>62274</v>
      </c>
      <c r="M196" s="793">
        <f t="shared" si="6"/>
        <v>0</v>
      </c>
    </row>
    <row r="197" spans="1:13" ht="13.5" thickBot="1" x14ac:dyDescent="0.25">
      <c r="A197" s="771" t="s">
        <v>53</v>
      </c>
      <c r="B197" s="771" t="s">
        <v>732</v>
      </c>
      <c r="C197" s="771" t="s">
        <v>442</v>
      </c>
      <c r="D197" s="771" t="s">
        <v>733</v>
      </c>
      <c r="E197" s="772">
        <v>380073</v>
      </c>
      <c r="F197" s="770">
        <v>380073</v>
      </c>
      <c r="G197" s="770">
        <v>332805.03000000003</v>
      </c>
      <c r="H197" s="770">
        <v>0</v>
      </c>
      <c r="I197" s="769">
        <v>6751.3</v>
      </c>
      <c r="J197" s="793">
        <f t="shared" si="5"/>
        <v>0</v>
      </c>
      <c r="L197">
        <f>VLOOKUP(A197,'1213A 080212'!H:J,3,0)</f>
        <v>0</v>
      </c>
      <c r="M197" s="793">
        <f t="shared" si="6"/>
        <v>380073</v>
      </c>
    </row>
    <row r="198" spans="1:13" ht="13.5" thickBot="1" x14ac:dyDescent="0.25">
      <c r="A198" s="771" t="s">
        <v>54</v>
      </c>
      <c r="B198" s="771" t="s">
        <v>732</v>
      </c>
      <c r="C198" s="771" t="s">
        <v>55</v>
      </c>
      <c r="D198" s="771" t="s">
        <v>733</v>
      </c>
      <c r="E198" s="772">
        <v>60000</v>
      </c>
      <c r="F198" s="770">
        <v>60000</v>
      </c>
      <c r="G198" s="770">
        <v>57233.01</v>
      </c>
      <c r="H198" s="770">
        <v>0</v>
      </c>
      <c r="I198" s="769">
        <v>-50.57</v>
      </c>
      <c r="J198" s="793">
        <f t="shared" si="5"/>
        <v>0</v>
      </c>
      <c r="L198">
        <f>VLOOKUP(A198,'1213A 080212'!H:J,3,0)</f>
        <v>60000</v>
      </c>
      <c r="M198" s="793">
        <f t="shared" si="6"/>
        <v>0</v>
      </c>
    </row>
    <row r="199" spans="1:13" ht="13.5" thickBot="1" x14ac:dyDescent="0.25">
      <c r="A199" s="768" t="s">
        <v>56</v>
      </c>
      <c r="B199" s="768" t="s">
        <v>734</v>
      </c>
      <c r="C199" s="768" t="s">
        <v>621</v>
      </c>
      <c r="D199" s="768" t="s">
        <v>733</v>
      </c>
      <c r="E199" s="769">
        <v>21100</v>
      </c>
      <c r="F199" s="770">
        <v>21100</v>
      </c>
      <c r="G199" s="770">
        <v>19450.48</v>
      </c>
      <c r="H199" s="770">
        <v>0</v>
      </c>
      <c r="I199" s="769">
        <v>382.6</v>
      </c>
      <c r="J199" s="793">
        <f t="shared" si="5"/>
        <v>0</v>
      </c>
      <c r="L199" t="e">
        <f>VLOOKUP(A199,'1213A 080212'!H:J,3,0)</f>
        <v>#N/A</v>
      </c>
      <c r="M199" s="793" t="e">
        <f t="shared" si="6"/>
        <v>#N/A</v>
      </c>
    </row>
    <row r="200" spans="1:13" ht="13.5" thickBot="1" x14ac:dyDescent="0.25">
      <c r="A200" s="768" t="s">
        <v>57</v>
      </c>
      <c r="B200" s="768" t="s">
        <v>734</v>
      </c>
      <c r="C200" s="768" t="s">
        <v>442</v>
      </c>
      <c r="D200" s="768" t="s">
        <v>733</v>
      </c>
      <c r="E200" s="769">
        <v>57000</v>
      </c>
      <c r="F200" s="770">
        <v>57000</v>
      </c>
      <c r="G200" s="770">
        <v>56067.08</v>
      </c>
      <c r="H200" s="770">
        <v>0</v>
      </c>
      <c r="I200" s="769">
        <v>0</v>
      </c>
      <c r="J200" s="793">
        <f t="shared" si="5"/>
        <v>0</v>
      </c>
      <c r="L200" t="e">
        <f>VLOOKUP(A200,'1213A 080212'!H:J,3,0)</f>
        <v>#N/A</v>
      </c>
      <c r="M200" s="793" t="e">
        <f t="shared" si="6"/>
        <v>#N/A</v>
      </c>
    </row>
    <row r="201" spans="1:13" ht="12.75" customHeight="1" x14ac:dyDescent="0.2">
      <c r="M201" s="793"/>
    </row>
    <row r="202" spans="1:13" x14ac:dyDescent="0.2">
      <c r="A202" s="794"/>
      <c r="B202" s="794"/>
      <c r="C202" s="794"/>
      <c r="D202" s="794"/>
      <c r="E202" s="795">
        <f>SUM(E106:E201)</f>
        <v>15516063</v>
      </c>
      <c r="F202" s="795">
        <f t="shared" ref="F202:I202" si="7">SUM(F106:F201)</f>
        <v>14841910</v>
      </c>
      <c r="G202" s="795">
        <f t="shared" si="7"/>
        <v>15002701.279999992</v>
      </c>
      <c r="H202" s="795">
        <f t="shared" si="7"/>
        <v>0</v>
      </c>
      <c r="I202" s="795">
        <f t="shared" si="7"/>
        <v>1203210.7900000003</v>
      </c>
      <c r="J202" s="793">
        <f t="shared" si="5"/>
        <v>674153</v>
      </c>
      <c r="M202" s="793"/>
    </row>
    <row r="203" spans="1:13" x14ac:dyDescent="0.2">
      <c r="D203" s="808" t="s">
        <v>756</v>
      </c>
      <c r="E203" s="807">
        <f>E74+E104+E202</f>
        <v>17194201</v>
      </c>
      <c r="F203" s="807">
        <f>F74+F104+F202</f>
        <v>16521685</v>
      </c>
      <c r="G203" s="807">
        <f>G74+G104+G202</f>
        <v>16612779.349999992</v>
      </c>
      <c r="H203" s="807">
        <f>H74+H104+H202</f>
        <v>0</v>
      </c>
      <c r="I203" s="807">
        <f>I74+I104+I202</f>
        <v>1369340.1200000003</v>
      </c>
      <c r="M203" s="793"/>
    </row>
    <row r="204" spans="1:13" s="830" customFormat="1" ht="13.5" thickBot="1" x14ac:dyDescent="0.25">
      <c r="D204" s="808"/>
      <c r="E204" s="831"/>
      <c r="F204" s="831"/>
      <c r="G204" s="831"/>
      <c r="H204" s="831"/>
      <c r="I204" s="831"/>
      <c r="M204" s="831"/>
    </row>
    <row r="205" spans="1:13" ht="13.5" thickBot="1" x14ac:dyDescent="0.25">
      <c r="A205" s="771"/>
      <c r="B205" s="771"/>
      <c r="C205" s="771"/>
      <c r="D205" s="771"/>
      <c r="E205" s="772"/>
      <c r="F205" s="770">
        <f>SUM(F32:F72)</f>
        <v>33200</v>
      </c>
      <c r="G205" s="770">
        <f>SUM(G32:G72)</f>
        <v>9579.56</v>
      </c>
      <c r="H205" s="770">
        <f>SUM(H32:H72)</f>
        <v>0</v>
      </c>
      <c r="I205" s="770">
        <f>SUM(I32:I72)</f>
        <v>23820.44</v>
      </c>
      <c r="J205" s="793">
        <f>F205-G205</f>
        <v>23620.440000000002</v>
      </c>
    </row>
    <row r="206" spans="1:13" ht="13.5" thickBot="1" x14ac:dyDescent="0.25">
      <c r="A206" s="771" t="s">
        <v>307</v>
      </c>
      <c r="B206" s="771" t="s">
        <v>443</v>
      </c>
      <c r="C206" s="771" t="s">
        <v>446</v>
      </c>
      <c r="D206" s="771" t="s">
        <v>445</v>
      </c>
      <c r="E206" s="772">
        <v>0</v>
      </c>
      <c r="F206" s="770">
        <v>13747</v>
      </c>
      <c r="G206" s="770">
        <v>0</v>
      </c>
      <c r="H206" s="770">
        <v>0</v>
      </c>
      <c r="I206" s="769">
        <v>13747</v>
      </c>
      <c r="J206" t="str">
        <f t="shared" ref="J206:J249" si="8">MID(A206,17,5)</f>
        <v>55220</v>
      </c>
      <c r="M206" s="793"/>
    </row>
    <row r="207" spans="1:13" ht="13.5" thickBot="1" x14ac:dyDescent="0.25">
      <c r="A207" s="771" t="s">
        <v>468</v>
      </c>
      <c r="B207" s="771" t="s">
        <v>465</v>
      </c>
      <c r="C207" s="771" t="s">
        <v>446</v>
      </c>
      <c r="D207" s="771" t="s">
        <v>466</v>
      </c>
      <c r="E207" s="772">
        <v>0</v>
      </c>
      <c r="F207" s="770">
        <v>1199</v>
      </c>
      <c r="G207" s="770">
        <v>558.77</v>
      </c>
      <c r="H207" s="770">
        <v>0</v>
      </c>
      <c r="I207" s="769">
        <v>1165.23</v>
      </c>
      <c r="J207" t="str">
        <f t="shared" si="8"/>
        <v>55220</v>
      </c>
      <c r="M207" s="793"/>
    </row>
    <row r="208" spans="1:13" ht="13.5" thickBot="1" x14ac:dyDescent="0.25">
      <c r="A208" s="771" t="s">
        <v>473</v>
      </c>
      <c r="B208" s="771" t="s">
        <v>471</v>
      </c>
      <c r="C208" s="771" t="s">
        <v>446</v>
      </c>
      <c r="D208" s="771" t="s">
        <v>472</v>
      </c>
      <c r="E208" s="772">
        <v>0</v>
      </c>
      <c r="F208" s="770">
        <v>2755</v>
      </c>
      <c r="G208" s="770">
        <v>0</v>
      </c>
      <c r="H208" s="770">
        <v>0</v>
      </c>
      <c r="I208" s="769">
        <v>2755</v>
      </c>
      <c r="J208" t="str">
        <f t="shared" si="8"/>
        <v>55220</v>
      </c>
      <c r="M208" s="793"/>
    </row>
    <row r="209" spans="1:13" ht="13.5" thickBot="1" x14ac:dyDescent="0.25">
      <c r="A209" s="771" t="s">
        <v>477</v>
      </c>
      <c r="B209" s="771" t="s">
        <v>475</v>
      </c>
      <c r="C209" s="771" t="s">
        <v>446</v>
      </c>
      <c r="D209" s="771" t="s">
        <v>476</v>
      </c>
      <c r="E209" s="772">
        <v>0</v>
      </c>
      <c r="F209" s="770">
        <v>200</v>
      </c>
      <c r="G209" s="770">
        <v>0</v>
      </c>
      <c r="H209" s="770">
        <v>0</v>
      </c>
      <c r="I209" s="769">
        <v>200</v>
      </c>
      <c r="J209" t="str">
        <f t="shared" si="8"/>
        <v>55220</v>
      </c>
      <c r="M209" s="793"/>
    </row>
    <row r="210" spans="1:13" ht="13.5" thickBot="1" x14ac:dyDescent="0.25">
      <c r="A210" s="768" t="s">
        <v>480</v>
      </c>
      <c r="B210" s="768" t="s">
        <v>479</v>
      </c>
      <c r="C210" s="768" t="s">
        <v>446</v>
      </c>
      <c r="D210" s="768" t="s">
        <v>476</v>
      </c>
      <c r="E210" s="769">
        <v>0</v>
      </c>
      <c r="F210" s="770">
        <v>2636</v>
      </c>
      <c r="G210" s="770">
        <v>400</v>
      </c>
      <c r="H210" s="770">
        <v>0</v>
      </c>
      <c r="I210" s="769">
        <v>2636</v>
      </c>
      <c r="J210" t="str">
        <f t="shared" si="8"/>
        <v>55220</v>
      </c>
      <c r="M210" s="793"/>
    </row>
    <row r="211" spans="1:13" ht="13.5" thickBot="1" x14ac:dyDescent="0.25">
      <c r="A211" s="768" t="s">
        <v>483</v>
      </c>
      <c r="B211" s="768" t="s">
        <v>482</v>
      </c>
      <c r="C211" s="768" t="s">
        <v>446</v>
      </c>
      <c r="D211" s="768" t="s">
        <v>476</v>
      </c>
      <c r="E211" s="769">
        <v>0</v>
      </c>
      <c r="F211" s="770">
        <v>1252</v>
      </c>
      <c r="G211" s="770">
        <v>0</v>
      </c>
      <c r="H211" s="770">
        <v>0</v>
      </c>
      <c r="I211" s="769">
        <v>1252</v>
      </c>
      <c r="J211" t="str">
        <f t="shared" si="8"/>
        <v>55220</v>
      </c>
      <c r="M211" s="793"/>
    </row>
    <row r="212" spans="1:13" ht="13.5" thickBot="1" x14ac:dyDescent="0.25">
      <c r="A212" s="771" t="s">
        <v>486</v>
      </c>
      <c r="B212" s="771" t="s">
        <v>485</v>
      </c>
      <c r="C212" s="771" t="s">
        <v>446</v>
      </c>
      <c r="D212" s="771" t="s">
        <v>476</v>
      </c>
      <c r="E212" s="772">
        <v>0</v>
      </c>
      <c r="F212" s="770">
        <v>58</v>
      </c>
      <c r="G212" s="770">
        <v>58</v>
      </c>
      <c r="H212" s="770">
        <v>0</v>
      </c>
      <c r="I212" s="769">
        <v>0</v>
      </c>
      <c r="J212" t="str">
        <f t="shared" si="8"/>
        <v>55220</v>
      </c>
      <c r="M212" s="793"/>
    </row>
    <row r="213" spans="1:13" ht="13.5" thickBot="1" x14ac:dyDescent="0.25">
      <c r="A213" s="771" t="s">
        <v>489</v>
      </c>
      <c r="B213" s="771" t="s">
        <v>488</v>
      </c>
      <c r="C213" s="771" t="s">
        <v>446</v>
      </c>
      <c r="D213" s="771" t="s">
        <v>476</v>
      </c>
      <c r="E213" s="772">
        <v>0</v>
      </c>
      <c r="F213" s="770">
        <v>2600</v>
      </c>
      <c r="G213" s="770">
        <v>0</v>
      </c>
      <c r="H213" s="770">
        <v>0</v>
      </c>
      <c r="I213" s="769">
        <v>2600</v>
      </c>
      <c r="J213" t="str">
        <f t="shared" si="8"/>
        <v>55220</v>
      </c>
      <c r="M213" s="793"/>
    </row>
    <row r="214" spans="1:13" ht="13.5" thickBot="1" x14ac:dyDescent="0.25">
      <c r="A214" s="771" t="s">
        <v>492</v>
      </c>
      <c r="B214" s="771" t="s">
        <v>491</v>
      </c>
      <c r="C214" s="771" t="s">
        <v>446</v>
      </c>
      <c r="D214" s="771" t="s">
        <v>476</v>
      </c>
      <c r="E214" s="772">
        <v>0</v>
      </c>
      <c r="F214" s="770">
        <v>1523</v>
      </c>
      <c r="G214" s="770">
        <v>129</v>
      </c>
      <c r="H214" s="770">
        <v>0</v>
      </c>
      <c r="I214" s="769">
        <v>1394</v>
      </c>
      <c r="J214" t="str">
        <f t="shared" si="8"/>
        <v>55220</v>
      </c>
      <c r="M214" s="793"/>
    </row>
    <row r="215" spans="1:13" ht="13.5" thickBot="1" x14ac:dyDescent="0.25">
      <c r="A215" s="768" t="s">
        <v>495</v>
      </c>
      <c r="B215" s="768" t="s">
        <v>494</v>
      </c>
      <c r="C215" s="768" t="s">
        <v>446</v>
      </c>
      <c r="D215" s="768" t="s">
        <v>476</v>
      </c>
      <c r="E215" s="769">
        <v>0</v>
      </c>
      <c r="F215" s="770">
        <v>1400</v>
      </c>
      <c r="G215" s="770">
        <v>0</v>
      </c>
      <c r="H215" s="770">
        <v>0</v>
      </c>
      <c r="I215" s="769">
        <v>1400</v>
      </c>
      <c r="J215" t="str">
        <f t="shared" si="8"/>
        <v>55220</v>
      </c>
      <c r="M215" s="793"/>
    </row>
    <row r="216" spans="1:13" ht="13.5" thickBot="1" x14ac:dyDescent="0.25">
      <c r="A216" s="768" t="s">
        <v>498</v>
      </c>
      <c r="B216" s="768" t="s">
        <v>497</v>
      </c>
      <c r="C216" s="768" t="s">
        <v>446</v>
      </c>
      <c r="D216" s="768" t="s">
        <v>476</v>
      </c>
      <c r="E216" s="769">
        <v>0</v>
      </c>
      <c r="F216" s="770">
        <v>792</v>
      </c>
      <c r="G216" s="770">
        <v>0</v>
      </c>
      <c r="H216" s="770">
        <v>0</v>
      </c>
      <c r="I216" s="769">
        <v>792</v>
      </c>
      <c r="J216" t="str">
        <f t="shared" si="8"/>
        <v>55220</v>
      </c>
      <c r="M216" s="793"/>
    </row>
    <row r="217" spans="1:13" ht="13.5" thickBot="1" x14ac:dyDescent="0.25">
      <c r="A217" s="771" t="s">
        <v>499</v>
      </c>
      <c r="B217" s="771" t="s">
        <v>500</v>
      </c>
      <c r="C217" s="771" t="s">
        <v>446</v>
      </c>
      <c r="D217" s="771" t="s">
        <v>501</v>
      </c>
      <c r="E217" s="772">
        <v>0</v>
      </c>
      <c r="F217" s="770">
        <v>200</v>
      </c>
      <c r="G217" s="770">
        <v>0</v>
      </c>
      <c r="H217" s="770">
        <v>0</v>
      </c>
      <c r="I217" s="769">
        <v>200</v>
      </c>
      <c r="J217" t="str">
        <f t="shared" si="8"/>
        <v>55220</v>
      </c>
      <c r="M217" s="793"/>
    </row>
    <row r="218" spans="1:13" ht="13.5" thickBot="1" x14ac:dyDescent="0.25">
      <c r="A218" s="771" t="s">
        <v>504</v>
      </c>
      <c r="B218" s="771" t="s">
        <v>503</v>
      </c>
      <c r="C218" s="771" t="s">
        <v>446</v>
      </c>
      <c r="D218" s="771" t="s">
        <v>501</v>
      </c>
      <c r="E218" s="772">
        <v>0</v>
      </c>
      <c r="F218" s="770">
        <v>2500</v>
      </c>
      <c r="G218" s="770">
        <v>0</v>
      </c>
      <c r="H218" s="770">
        <v>0</v>
      </c>
      <c r="I218" s="769">
        <v>2500</v>
      </c>
      <c r="J218" t="str">
        <f t="shared" si="8"/>
        <v>55220</v>
      </c>
      <c r="M218" s="793"/>
    </row>
    <row r="219" spans="1:13" ht="13.5" thickBot="1" x14ac:dyDescent="0.25">
      <c r="A219" s="771" t="s">
        <v>507</v>
      </c>
      <c r="B219" s="771" t="s">
        <v>506</v>
      </c>
      <c r="C219" s="771" t="s">
        <v>446</v>
      </c>
      <c r="D219" s="771" t="s">
        <v>501</v>
      </c>
      <c r="E219" s="772">
        <v>0</v>
      </c>
      <c r="F219" s="770">
        <v>3608</v>
      </c>
      <c r="G219" s="770">
        <v>0</v>
      </c>
      <c r="H219" s="770">
        <v>0</v>
      </c>
      <c r="I219" s="769">
        <v>3608</v>
      </c>
      <c r="J219" t="str">
        <f t="shared" si="8"/>
        <v>55220</v>
      </c>
      <c r="M219" s="793"/>
    </row>
    <row r="220" spans="1:13" ht="13.5" thickBot="1" x14ac:dyDescent="0.25">
      <c r="A220" s="768" t="s">
        <v>510</v>
      </c>
      <c r="B220" s="768" t="s">
        <v>509</v>
      </c>
      <c r="C220" s="768" t="s">
        <v>446</v>
      </c>
      <c r="D220" s="768" t="s">
        <v>501</v>
      </c>
      <c r="E220" s="769">
        <v>0</v>
      </c>
      <c r="F220" s="770">
        <v>1600</v>
      </c>
      <c r="G220" s="770">
        <v>0</v>
      </c>
      <c r="H220" s="770">
        <v>0</v>
      </c>
      <c r="I220" s="769">
        <v>1600</v>
      </c>
      <c r="J220" t="str">
        <f t="shared" si="8"/>
        <v>55220</v>
      </c>
      <c r="M220" s="793"/>
    </row>
    <row r="221" spans="1:13" ht="13.5" thickBot="1" x14ac:dyDescent="0.25">
      <c r="A221" s="768" t="s">
        <v>513</v>
      </c>
      <c r="B221" s="768" t="s">
        <v>512</v>
      </c>
      <c r="C221" s="768" t="s">
        <v>446</v>
      </c>
      <c r="D221" s="768" t="s">
        <v>501</v>
      </c>
      <c r="E221" s="769">
        <v>0</v>
      </c>
      <c r="F221" s="770">
        <v>2800</v>
      </c>
      <c r="G221" s="770">
        <v>0</v>
      </c>
      <c r="H221" s="770">
        <v>0</v>
      </c>
      <c r="I221" s="769">
        <v>2800</v>
      </c>
      <c r="J221" t="str">
        <f t="shared" si="8"/>
        <v>55220</v>
      </c>
      <c r="M221" s="793"/>
    </row>
    <row r="222" spans="1:13" ht="13.5" thickBot="1" x14ac:dyDescent="0.25">
      <c r="A222" s="771" t="s">
        <v>516</v>
      </c>
      <c r="B222" s="771" t="s">
        <v>515</v>
      </c>
      <c r="C222" s="771" t="s">
        <v>446</v>
      </c>
      <c r="D222" s="771" t="s">
        <v>501</v>
      </c>
      <c r="E222" s="772">
        <v>0</v>
      </c>
      <c r="F222" s="770">
        <v>1</v>
      </c>
      <c r="G222" s="770">
        <v>0</v>
      </c>
      <c r="H222" s="770">
        <v>0</v>
      </c>
      <c r="I222" s="769">
        <v>1</v>
      </c>
      <c r="J222" t="str">
        <f t="shared" si="8"/>
        <v>55220</v>
      </c>
      <c r="M222" s="793"/>
    </row>
    <row r="223" spans="1:13" ht="13.5" thickBot="1" x14ac:dyDescent="0.25">
      <c r="A223" s="771" t="s">
        <v>519</v>
      </c>
      <c r="B223" s="771" t="s">
        <v>518</v>
      </c>
      <c r="C223" s="771" t="s">
        <v>446</v>
      </c>
      <c r="D223" s="771" t="s">
        <v>501</v>
      </c>
      <c r="E223" s="772">
        <v>0</v>
      </c>
      <c r="F223" s="770">
        <v>2735</v>
      </c>
      <c r="G223" s="770">
        <v>0</v>
      </c>
      <c r="H223" s="770">
        <v>0</v>
      </c>
      <c r="I223" s="769">
        <v>2735</v>
      </c>
      <c r="J223" t="str">
        <f t="shared" si="8"/>
        <v>55220</v>
      </c>
      <c r="M223" s="793"/>
    </row>
    <row r="224" spans="1:13" ht="13.5" thickBot="1" x14ac:dyDescent="0.25">
      <c r="A224" s="771" t="s">
        <v>523</v>
      </c>
      <c r="B224" s="771" t="s">
        <v>521</v>
      </c>
      <c r="C224" s="771" t="s">
        <v>446</v>
      </c>
      <c r="D224" s="771" t="s">
        <v>522</v>
      </c>
      <c r="E224" s="772">
        <v>0</v>
      </c>
      <c r="F224" s="770">
        <v>3072</v>
      </c>
      <c r="G224" s="770">
        <v>945</v>
      </c>
      <c r="H224" s="770">
        <v>0</v>
      </c>
      <c r="I224" s="769">
        <v>2127</v>
      </c>
      <c r="J224" t="str">
        <f t="shared" si="8"/>
        <v>55220</v>
      </c>
      <c r="M224" s="793"/>
    </row>
    <row r="225" spans="1:13" ht="13.5" thickBot="1" x14ac:dyDescent="0.25">
      <c r="A225" s="768" t="s">
        <v>526</v>
      </c>
      <c r="B225" s="768" t="s">
        <v>525</v>
      </c>
      <c r="C225" s="768" t="s">
        <v>446</v>
      </c>
      <c r="D225" s="768" t="s">
        <v>522</v>
      </c>
      <c r="E225" s="769">
        <v>0</v>
      </c>
      <c r="F225" s="770">
        <v>274</v>
      </c>
      <c r="G225" s="770">
        <v>0</v>
      </c>
      <c r="H225" s="770">
        <v>0</v>
      </c>
      <c r="I225" s="769">
        <v>274</v>
      </c>
      <c r="J225" t="str">
        <f t="shared" si="8"/>
        <v>55220</v>
      </c>
      <c r="M225" s="793"/>
    </row>
    <row r="226" spans="1:13" ht="13.5" thickBot="1" x14ac:dyDescent="0.25">
      <c r="A226" s="768" t="s">
        <v>529</v>
      </c>
      <c r="B226" s="768" t="s">
        <v>528</v>
      </c>
      <c r="C226" s="768" t="s">
        <v>446</v>
      </c>
      <c r="D226" s="768" t="s">
        <v>522</v>
      </c>
      <c r="E226" s="769">
        <v>0</v>
      </c>
      <c r="F226" s="770">
        <v>2723</v>
      </c>
      <c r="G226" s="770">
        <v>0</v>
      </c>
      <c r="H226" s="770">
        <v>0</v>
      </c>
      <c r="I226" s="769">
        <v>2723</v>
      </c>
      <c r="J226" t="str">
        <f t="shared" si="8"/>
        <v>55220</v>
      </c>
      <c r="M226" s="793"/>
    </row>
    <row r="227" spans="1:13" ht="13.5" thickBot="1" x14ac:dyDescent="0.25">
      <c r="A227" s="771" t="s">
        <v>533</v>
      </c>
      <c r="B227" s="771" t="s">
        <v>531</v>
      </c>
      <c r="C227" s="771" t="s">
        <v>446</v>
      </c>
      <c r="D227" s="771" t="s">
        <v>532</v>
      </c>
      <c r="E227" s="772">
        <v>0</v>
      </c>
      <c r="F227" s="770">
        <v>2244</v>
      </c>
      <c r="G227" s="770">
        <v>1441.55</v>
      </c>
      <c r="H227" s="770">
        <v>0</v>
      </c>
      <c r="I227" s="769">
        <v>802.45</v>
      </c>
      <c r="J227" t="str">
        <f t="shared" si="8"/>
        <v>55220</v>
      </c>
      <c r="M227" s="793"/>
    </row>
    <row r="228" spans="1:13" ht="13.5" thickBot="1" x14ac:dyDescent="0.25">
      <c r="A228" s="771" t="s">
        <v>536</v>
      </c>
      <c r="B228" s="771" t="s">
        <v>535</v>
      </c>
      <c r="C228" s="771" t="s">
        <v>446</v>
      </c>
      <c r="D228" s="771" t="s">
        <v>532</v>
      </c>
      <c r="E228" s="772">
        <v>0</v>
      </c>
      <c r="F228" s="770">
        <v>80</v>
      </c>
      <c r="G228" s="770">
        <v>78.77</v>
      </c>
      <c r="H228" s="770">
        <v>0</v>
      </c>
      <c r="I228" s="769">
        <v>1.23</v>
      </c>
      <c r="J228" t="str">
        <f t="shared" si="8"/>
        <v>55220</v>
      </c>
      <c r="M228" s="793"/>
    </row>
    <row r="229" spans="1:13" ht="13.5" thickBot="1" x14ac:dyDescent="0.25">
      <c r="A229" s="771" t="s">
        <v>539</v>
      </c>
      <c r="B229" s="771" t="s">
        <v>538</v>
      </c>
      <c r="C229" s="771" t="s">
        <v>446</v>
      </c>
      <c r="D229" s="771" t="s">
        <v>532</v>
      </c>
      <c r="E229" s="772">
        <v>0</v>
      </c>
      <c r="F229" s="770">
        <v>1293</v>
      </c>
      <c r="G229" s="770">
        <v>1293</v>
      </c>
      <c r="H229" s="770">
        <v>0</v>
      </c>
      <c r="I229" s="769">
        <v>0</v>
      </c>
      <c r="J229" t="str">
        <f t="shared" si="8"/>
        <v>55220</v>
      </c>
      <c r="M229" s="793"/>
    </row>
    <row r="230" spans="1:13" ht="13.5" thickBot="1" x14ac:dyDescent="0.25">
      <c r="A230" s="768" t="s">
        <v>540</v>
      </c>
      <c r="B230" s="768" t="s">
        <v>541</v>
      </c>
      <c r="C230" s="768" t="s">
        <v>446</v>
      </c>
      <c r="D230" s="768" t="s">
        <v>532</v>
      </c>
      <c r="E230" s="769">
        <v>0</v>
      </c>
      <c r="F230" s="770">
        <v>0</v>
      </c>
      <c r="G230" s="770">
        <v>0</v>
      </c>
      <c r="H230" s="770">
        <v>0</v>
      </c>
      <c r="I230" s="769">
        <v>0</v>
      </c>
      <c r="J230" t="str">
        <f t="shared" si="8"/>
        <v>55220</v>
      </c>
      <c r="M230" s="793"/>
    </row>
    <row r="231" spans="1:13" ht="13.5" thickBot="1" x14ac:dyDescent="0.25">
      <c r="A231" s="768" t="s">
        <v>544</v>
      </c>
      <c r="B231" s="768" t="s">
        <v>543</v>
      </c>
      <c r="C231" s="768" t="s">
        <v>446</v>
      </c>
      <c r="D231" s="768" t="s">
        <v>532</v>
      </c>
      <c r="E231" s="769">
        <v>0</v>
      </c>
      <c r="F231" s="770">
        <v>897</v>
      </c>
      <c r="G231" s="770">
        <v>942</v>
      </c>
      <c r="H231" s="770">
        <v>0</v>
      </c>
      <c r="I231" s="769">
        <v>-45</v>
      </c>
      <c r="J231" t="str">
        <f t="shared" si="8"/>
        <v>55220</v>
      </c>
      <c r="M231" s="793"/>
    </row>
    <row r="232" spans="1:13" ht="13.5" thickBot="1" x14ac:dyDescent="0.25">
      <c r="A232" s="771" t="s">
        <v>547</v>
      </c>
      <c r="B232" s="771" t="s">
        <v>546</v>
      </c>
      <c r="C232" s="771" t="s">
        <v>446</v>
      </c>
      <c r="D232" s="771" t="s">
        <v>532</v>
      </c>
      <c r="E232" s="772">
        <v>0</v>
      </c>
      <c r="F232" s="770">
        <v>1423</v>
      </c>
      <c r="G232" s="770">
        <v>0</v>
      </c>
      <c r="H232" s="770">
        <v>0</v>
      </c>
      <c r="I232" s="769">
        <v>1423</v>
      </c>
      <c r="J232" t="str">
        <f t="shared" si="8"/>
        <v>55220</v>
      </c>
      <c r="M232" s="793"/>
    </row>
    <row r="233" spans="1:13" ht="13.5" thickBot="1" x14ac:dyDescent="0.25">
      <c r="A233" s="771" t="s">
        <v>550</v>
      </c>
      <c r="B233" s="771" t="s">
        <v>549</v>
      </c>
      <c r="C233" s="771" t="s">
        <v>446</v>
      </c>
      <c r="D233" s="771" t="s">
        <v>262</v>
      </c>
      <c r="E233" s="772">
        <v>0</v>
      </c>
      <c r="F233" s="770">
        <v>5553</v>
      </c>
      <c r="G233" s="770">
        <v>1638.57</v>
      </c>
      <c r="H233" s="770">
        <v>0</v>
      </c>
      <c r="I233" s="769">
        <v>3914.43</v>
      </c>
      <c r="J233" t="str">
        <f t="shared" si="8"/>
        <v>55220</v>
      </c>
      <c r="M233" s="793"/>
    </row>
    <row r="234" spans="1:13" ht="13.5" thickBot="1" x14ac:dyDescent="0.25">
      <c r="A234" s="771" t="s">
        <v>567</v>
      </c>
      <c r="B234" s="771" t="s">
        <v>565</v>
      </c>
      <c r="C234" s="771" t="s">
        <v>446</v>
      </c>
      <c r="D234" s="771" t="s">
        <v>566</v>
      </c>
      <c r="E234" s="772">
        <v>0</v>
      </c>
      <c r="F234" s="770">
        <v>9575</v>
      </c>
      <c r="G234" s="770">
        <v>600</v>
      </c>
      <c r="H234" s="770">
        <v>0</v>
      </c>
      <c r="I234" s="769">
        <v>8975</v>
      </c>
      <c r="J234" t="str">
        <f t="shared" si="8"/>
        <v>55220</v>
      </c>
      <c r="M234" s="793"/>
    </row>
    <row r="235" spans="1:13" ht="13.5" thickBot="1" x14ac:dyDescent="0.25">
      <c r="A235" s="768" t="s">
        <v>570</v>
      </c>
      <c r="B235" s="768" t="s">
        <v>569</v>
      </c>
      <c r="C235" s="768" t="s">
        <v>446</v>
      </c>
      <c r="D235" s="768" t="s">
        <v>566</v>
      </c>
      <c r="E235" s="769">
        <v>0</v>
      </c>
      <c r="F235" s="770">
        <v>4100</v>
      </c>
      <c r="G235" s="770">
        <v>0</v>
      </c>
      <c r="H235" s="770">
        <v>0</v>
      </c>
      <c r="I235" s="769">
        <v>4100</v>
      </c>
      <c r="J235" t="str">
        <f t="shared" si="8"/>
        <v>55220</v>
      </c>
      <c r="M235" s="793"/>
    </row>
    <row r="236" spans="1:13" ht="13.5" thickBot="1" x14ac:dyDescent="0.25">
      <c r="A236" s="768" t="s">
        <v>573</v>
      </c>
      <c r="B236" s="768" t="s">
        <v>572</v>
      </c>
      <c r="C236" s="768" t="s">
        <v>446</v>
      </c>
      <c r="D236" s="768" t="s">
        <v>566</v>
      </c>
      <c r="E236" s="769">
        <v>0</v>
      </c>
      <c r="F236" s="770">
        <v>7035</v>
      </c>
      <c r="G236" s="770">
        <v>1195.8699999999999</v>
      </c>
      <c r="H236" s="770">
        <v>0</v>
      </c>
      <c r="I236" s="769">
        <v>5839.13</v>
      </c>
      <c r="J236" t="str">
        <f t="shared" si="8"/>
        <v>55220</v>
      </c>
      <c r="M236" s="793"/>
    </row>
    <row r="237" spans="1:13" ht="13.5" thickBot="1" x14ac:dyDescent="0.25">
      <c r="A237" s="771" t="s">
        <v>576</v>
      </c>
      <c r="B237" s="771" t="s">
        <v>575</v>
      </c>
      <c r="C237" s="771" t="s">
        <v>446</v>
      </c>
      <c r="D237" s="771" t="s">
        <v>566</v>
      </c>
      <c r="E237" s="772">
        <v>0</v>
      </c>
      <c r="F237" s="770">
        <v>2299</v>
      </c>
      <c r="G237" s="770">
        <v>0</v>
      </c>
      <c r="H237" s="770">
        <v>0</v>
      </c>
      <c r="I237" s="769">
        <v>2299</v>
      </c>
      <c r="J237" t="str">
        <f t="shared" si="8"/>
        <v>55220</v>
      </c>
      <c r="M237" s="793"/>
    </row>
    <row r="238" spans="1:13" ht="13.5" thickBot="1" x14ac:dyDescent="0.25">
      <c r="A238" s="771" t="s">
        <v>580</v>
      </c>
      <c r="B238" s="771" t="s">
        <v>578</v>
      </c>
      <c r="C238" s="771" t="s">
        <v>446</v>
      </c>
      <c r="D238" s="771" t="s">
        <v>579</v>
      </c>
      <c r="E238" s="772">
        <v>0</v>
      </c>
      <c r="F238" s="770">
        <v>309</v>
      </c>
      <c r="G238" s="770">
        <v>0</v>
      </c>
      <c r="H238" s="770">
        <v>0</v>
      </c>
      <c r="I238" s="769">
        <v>309</v>
      </c>
      <c r="J238" t="str">
        <f t="shared" si="8"/>
        <v>55220</v>
      </c>
      <c r="M238" s="793"/>
    </row>
    <row r="239" spans="1:13" ht="13.5" thickBot="1" x14ac:dyDescent="0.25">
      <c r="A239" s="771" t="s">
        <v>583</v>
      </c>
      <c r="B239" s="771" t="s">
        <v>582</v>
      </c>
      <c r="C239" s="771" t="s">
        <v>446</v>
      </c>
      <c r="D239" s="771" t="s">
        <v>579</v>
      </c>
      <c r="E239" s="772">
        <v>0</v>
      </c>
      <c r="F239" s="770">
        <v>600</v>
      </c>
      <c r="G239" s="770">
        <v>0</v>
      </c>
      <c r="H239" s="770">
        <v>0</v>
      </c>
      <c r="I239" s="769">
        <v>600</v>
      </c>
      <c r="J239" t="str">
        <f t="shared" si="8"/>
        <v>55220</v>
      </c>
      <c r="M239" s="793"/>
    </row>
    <row r="240" spans="1:13" ht="13.5" thickBot="1" x14ac:dyDescent="0.25">
      <c r="A240" s="768" t="s">
        <v>586</v>
      </c>
      <c r="B240" s="768" t="s">
        <v>585</v>
      </c>
      <c r="C240" s="768" t="s">
        <v>446</v>
      </c>
      <c r="D240" s="768" t="s">
        <v>579</v>
      </c>
      <c r="E240" s="769">
        <v>0</v>
      </c>
      <c r="F240" s="770">
        <v>1400</v>
      </c>
      <c r="G240" s="770">
        <v>0</v>
      </c>
      <c r="H240" s="770">
        <v>0</v>
      </c>
      <c r="I240" s="769">
        <v>1400</v>
      </c>
      <c r="J240" t="str">
        <f t="shared" si="8"/>
        <v>55220</v>
      </c>
      <c r="M240" s="793"/>
    </row>
    <row r="241" spans="1:13" ht="13.5" thickBot="1" x14ac:dyDescent="0.25">
      <c r="A241" s="768" t="s">
        <v>589</v>
      </c>
      <c r="B241" s="768" t="s">
        <v>588</v>
      </c>
      <c r="C241" s="768" t="s">
        <v>446</v>
      </c>
      <c r="D241" s="768" t="s">
        <v>579</v>
      </c>
      <c r="E241" s="769">
        <v>0</v>
      </c>
      <c r="F241" s="770">
        <v>1000</v>
      </c>
      <c r="G241" s="770">
        <v>0</v>
      </c>
      <c r="H241" s="770">
        <v>0</v>
      </c>
      <c r="I241" s="769">
        <v>1000</v>
      </c>
      <c r="J241" t="str">
        <f t="shared" si="8"/>
        <v>55220</v>
      </c>
      <c r="M241" s="793"/>
    </row>
    <row r="242" spans="1:13" ht="13.5" thickBot="1" x14ac:dyDescent="0.25">
      <c r="A242" s="771" t="s">
        <v>590</v>
      </c>
      <c r="B242" s="771" t="s">
        <v>591</v>
      </c>
      <c r="C242" s="771" t="s">
        <v>446</v>
      </c>
      <c r="D242" s="771" t="s">
        <v>579</v>
      </c>
      <c r="E242" s="772">
        <v>0</v>
      </c>
      <c r="F242" s="770">
        <v>280</v>
      </c>
      <c r="G242" s="770">
        <v>0</v>
      </c>
      <c r="H242" s="770">
        <v>0</v>
      </c>
      <c r="I242" s="769">
        <v>280</v>
      </c>
      <c r="J242" t="str">
        <f t="shared" si="8"/>
        <v>55220</v>
      </c>
      <c r="M242" s="793"/>
    </row>
    <row r="243" spans="1:13" ht="13.5" thickBot="1" x14ac:dyDescent="0.25">
      <c r="A243" s="771" t="s">
        <v>594</v>
      </c>
      <c r="B243" s="771" t="s">
        <v>593</v>
      </c>
      <c r="C243" s="771" t="s">
        <v>446</v>
      </c>
      <c r="D243" s="771" t="s">
        <v>579</v>
      </c>
      <c r="E243" s="772">
        <v>0</v>
      </c>
      <c r="F243" s="770">
        <v>3800</v>
      </c>
      <c r="G243" s="770">
        <v>0</v>
      </c>
      <c r="H243" s="770">
        <v>0</v>
      </c>
      <c r="I243" s="769">
        <v>3800</v>
      </c>
      <c r="J243" t="str">
        <f t="shared" si="8"/>
        <v>55220</v>
      </c>
      <c r="M243" s="793"/>
    </row>
    <row r="244" spans="1:13" ht="13.5" thickBot="1" x14ac:dyDescent="0.25">
      <c r="A244" s="771" t="s">
        <v>597</v>
      </c>
      <c r="B244" s="771" t="s">
        <v>596</v>
      </c>
      <c r="C244" s="771" t="s">
        <v>446</v>
      </c>
      <c r="D244" s="771" t="s">
        <v>579</v>
      </c>
      <c r="E244" s="772">
        <v>0</v>
      </c>
      <c r="F244" s="770">
        <v>5800</v>
      </c>
      <c r="G244" s="770">
        <v>0</v>
      </c>
      <c r="H244" s="770">
        <v>0</v>
      </c>
      <c r="I244" s="769">
        <v>5800</v>
      </c>
      <c r="J244" t="str">
        <f t="shared" si="8"/>
        <v>55220</v>
      </c>
      <c r="M244" s="793"/>
    </row>
    <row r="245" spans="1:13" ht="13.5" thickBot="1" x14ac:dyDescent="0.25">
      <c r="A245" s="768" t="s">
        <v>600</v>
      </c>
      <c r="B245" s="768" t="s">
        <v>599</v>
      </c>
      <c r="C245" s="768" t="s">
        <v>446</v>
      </c>
      <c r="D245" s="768" t="s">
        <v>579</v>
      </c>
      <c r="E245" s="769">
        <v>0</v>
      </c>
      <c r="F245" s="770">
        <v>2600</v>
      </c>
      <c r="G245" s="770">
        <v>0</v>
      </c>
      <c r="H245" s="770">
        <v>0</v>
      </c>
      <c r="I245" s="769">
        <v>2600</v>
      </c>
      <c r="J245" t="str">
        <f t="shared" si="8"/>
        <v>55220</v>
      </c>
      <c r="M245" s="793"/>
    </row>
    <row r="246" spans="1:13" ht="13.5" thickBot="1" x14ac:dyDescent="0.25">
      <c r="A246" s="768" t="s">
        <v>603</v>
      </c>
      <c r="B246" s="768" t="s">
        <v>602</v>
      </c>
      <c r="C246" s="768" t="s">
        <v>446</v>
      </c>
      <c r="D246" s="768" t="s">
        <v>579</v>
      </c>
      <c r="E246" s="769">
        <v>0</v>
      </c>
      <c r="F246" s="770">
        <v>1630</v>
      </c>
      <c r="G246" s="770">
        <v>0</v>
      </c>
      <c r="H246" s="770">
        <v>0</v>
      </c>
      <c r="I246" s="769">
        <v>1630</v>
      </c>
      <c r="J246" t="str">
        <f t="shared" si="8"/>
        <v>55220</v>
      </c>
      <c r="M246" s="793"/>
    </row>
    <row r="247" spans="1:13" ht="13.5" thickBot="1" x14ac:dyDescent="0.25">
      <c r="A247" s="771" t="s">
        <v>606</v>
      </c>
      <c r="B247" s="771" t="s">
        <v>605</v>
      </c>
      <c r="C247" s="771" t="s">
        <v>446</v>
      </c>
      <c r="D247" s="771" t="s">
        <v>579</v>
      </c>
      <c r="E247" s="772">
        <v>0</v>
      </c>
      <c r="F247" s="770">
        <v>4200</v>
      </c>
      <c r="G247" s="770">
        <v>0</v>
      </c>
      <c r="H247" s="770">
        <v>0</v>
      </c>
      <c r="I247" s="769">
        <v>4200</v>
      </c>
      <c r="J247" t="str">
        <f t="shared" si="8"/>
        <v>55220</v>
      </c>
      <c r="M247" s="793"/>
    </row>
    <row r="248" spans="1:13" ht="13.5" thickBot="1" x14ac:dyDescent="0.25">
      <c r="A248" s="771" t="s">
        <v>609</v>
      </c>
      <c r="B248" s="771" t="s">
        <v>608</v>
      </c>
      <c r="C248" s="771" t="s">
        <v>446</v>
      </c>
      <c r="D248" s="771" t="s">
        <v>579</v>
      </c>
      <c r="E248" s="772">
        <v>0</v>
      </c>
      <c r="F248" s="770">
        <v>2400</v>
      </c>
      <c r="G248" s="770">
        <v>0</v>
      </c>
      <c r="H248" s="770">
        <v>0</v>
      </c>
      <c r="I248" s="769">
        <v>2400</v>
      </c>
      <c r="J248" t="str">
        <f t="shared" si="8"/>
        <v>55220</v>
      </c>
      <c r="M248" s="793"/>
    </row>
    <row r="249" spans="1:13" ht="13.5" thickBot="1" x14ac:dyDescent="0.25">
      <c r="A249" s="771" t="s">
        <v>612</v>
      </c>
      <c r="B249" s="771" t="s">
        <v>611</v>
      </c>
      <c r="C249" s="771" t="s">
        <v>446</v>
      </c>
      <c r="D249" s="771" t="s">
        <v>611</v>
      </c>
      <c r="E249" s="772">
        <v>0</v>
      </c>
      <c r="F249" s="770">
        <v>14798</v>
      </c>
      <c r="G249" s="770">
        <v>400</v>
      </c>
      <c r="H249" s="770">
        <v>0</v>
      </c>
      <c r="I249" s="769">
        <v>14398</v>
      </c>
      <c r="J249" t="str">
        <f t="shared" si="8"/>
        <v>55220</v>
      </c>
      <c r="M249" s="793"/>
    </row>
    <row r="250" spans="1:13" ht="13.5" thickBot="1" x14ac:dyDescent="0.25">
      <c r="A250" s="771"/>
      <c r="B250" s="771"/>
      <c r="C250" s="771"/>
      <c r="D250" s="771"/>
      <c r="E250" s="772"/>
      <c r="F250" s="770">
        <f>SUM(F206:F249)</f>
        <v>120991</v>
      </c>
      <c r="G250" s="770">
        <f t="shared" ref="G250:I250" si="9">SUM(G206:G249)</f>
        <v>9680.5299999999988</v>
      </c>
      <c r="H250" s="770">
        <f t="shared" si="9"/>
        <v>0</v>
      </c>
      <c r="I250" s="770">
        <f t="shared" si="9"/>
        <v>112235.47</v>
      </c>
      <c r="J250" s="793">
        <f>F250-G250</f>
        <v>111310.47</v>
      </c>
      <c r="M250" s="793"/>
    </row>
    <row r="251" spans="1:13" ht="13.5" thickBot="1" x14ac:dyDescent="0.25">
      <c r="A251" s="768" t="s">
        <v>344</v>
      </c>
      <c r="B251" s="768" t="s">
        <v>640</v>
      </c>
      <c r="C251" s="768" t="s">
        <v>446</v>
      </c>
      <c r="D251" s="768" t="s">
        <v>641</v>
      </c>
      <c r="E251" s="769">
        <v>0</v>
      </c>
      <c r="F251" s="770">
        <v>136909</v>
      </c>
      <c r="G251" s="770">
        <v>0</v>
      </c>
      <c r="H251" s="770">
        <v>0</v>
      </c>
      <c r="I251" s="769">
        <v>136909</v>
      </c>
      <c r="J251" s="793">
        <f>F251-G251</f>
        <v>136909</v>
      </c>
      <c r="M251" s="793"/>
    </row>
    <row r="252" spans="1:13" ht="12.75" customHeight="1" x14ac:dyDescent="0.2">
      <c r="F252" s="793">
        <f>SUM(F32:F251)</f>
        <v>49107205</v>
      </c>
      <c r="G252" s="793">
        <f>SUM(G32:G251)</f>
        <v>49008702.579999991</v>
      </c>
      <c r="M252" s="793"/>
    </row>
    <row r="253" spans="1:13" ht="12.75" customHeight="1" thickBot="1" x14ac:dyDescent="0.25">
      <c r="M253" s="793"/>
    </row>
    <row r="254" spans="1:13" ht="13.5" thickBot="1" x14ac:dyDescent="0.25">
      <c r="A254" s="771" t="s">
        <v>735</v>
      </c>
      <c r="B254" s="771" t="s">
        <v>660</v>
      </c>
      <c r="C254" s="771" t="s">
        <v>736</v>
      </c>
      <c r="D254" s="771" t="s">
        <v>652</v>
      </c>
      <c r="E254" s="772">
        <v>-341575</v>
      </c>
      <c r="F254" s="770">
        <v>-398419</v>
      </c>
      <c r="G254" s="770">
        <v>-398419</v>
      </c>
      <c r="H254" s="770">
        <v>0</v>
      </c>
      <c r="I254" s="769">
        <v>0</v>
      </c>
      <c r="M254" s="793"/>
    </row>
    <row r="255" spans="1:13" s="819" customFormat="1" ht="13.5" thickBot="1" x14ac:dyDescent="0.25">
      <c r="A255" s="816" t="s">
        <v>680</v>
      </c>
      <c r="B255" s="816" t="s">
        <v>681</v>
      </c>
      <c r="C255" s="816" t="s">
        <v>682</v>
      </c>
      <c r="D255" s="816" t="s">
        <v>652</v>
      </c>
      <c r="E255" s="817">
        <v>0</v>
      </c>
      <c r="F255" s="770">
        <v>-347866</v>
      </c>
      <c r="G255" s="770">
        <v>-347865.76</v>
      </c>
      <c r="H255" s="818">
        <v>0</v>
      </c>
      <c r="I255" s="817">
        <v>63274.7</v>
      </c>
      <c r="J255" s="807">
        <f>E255-F255</f>
        <v>347866</v>
      </c>
      <c r="L255" t="e">
        <f>VLOOKUP(A255,'1213A 080212'!H:J,3,0)</f>
        <v>#N/A</v>
      </c>
      <c r="M255" s="793" t="e">
        <f>F255-L255</f>
        <v>#N/A</v>
      </c>
    </row>
    <row r="256" spans="1:13" ht="12.75" customHeight="1" thickBot="1" x14ac:dyDescent="0.25"/>
    <row r="257" spans="1:13" s="813" customFormat="1" ht="13.5" thickBot="1" x14ac:dyDescent="0.25">
      <c r="A257" s="809" t="s">
        <v>693</v>
      </c>
      <c r="B257" s="809" t="s">
        <v>681</v>
      </c>
      <c r="C257" s="809" t="s">
        <v>448</v>
      </c>
      <c r="D257" s="809" t="s">
        <v>652</v>
      </c>
      <c r="E257" s="810">
        <v>0</v>
      </c>
      <c r="F257" s="770">
        <v>972156</v>
      </c>
      <c r="G257" s="770">
        <v>972155.68</v>
      </c>
      <c r="H257" s="811">
        <v>0</v>
      </c>
      <c r="I257" s="810">
        <v>341379.31</v>
      </c>
      <c r="J257" s="812">
        <f>E257-F257</f>
        <v>-972156</v>
      </c>
      <c r="L257" t="e">
        <f>VLOOKUP(A257,'1213A 080212'!H:J,3,0)</f>
        <v>#N/A</v>
      </c>
      <c r="M257" s="793" t="e">
        <f>F257-L257</f>
        <v>#N/A</v>
      </c>
    </row>
  </sheetData>
  <sortState ref="A163:N247">
    <sortCondition ref="J163:J247"/>
  </sortState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18"/>
  <sheetViews>
    <sheetView workbookViewId="0">
      <selection activeCell="E104" sqref="E104"/>
    </sheetView>
  </sheetViews>
  <sheetFormatPr defaultRowHeight="12.75" x14ac:dyDescent="0.2"/>
  <cols>
    <col min="1" max="1" width="26.5703125" bestFit="1" customWidth="1"/>
    <col min="2" max="2" width="25.140625" bestFit="1" customWidth="1"/>
  </cols>
  <sheetData>
    <row r="3" spans="1:2" x14ac:dyDescent="0.2">
      <c r="A3" s="773" t="s">
        <v>737</v>
      </c>
      <c r="B3" t="s">
        <v>742</v>
      </c>
    </row>
    <row r="4" spans="1:2" x14ac:dyDescent="0.2">
      <c r="A4" s="774" t="s">
        <v>195</v>
      </c>
      <c r="B4" s="775">
        <v>1</v>
      </c>
    </row>
    <row r="5" spans="1:2" x14ac:dyDescent="0.2">
      <c r="A5" s="774" t="s">
        <v>738</v>
      </c>
      <c r="B5" s="775">
        <v>1</v>
      </c>
    </row>
    <row r="6" spans="1:2" x14ac:dyDescent="0.2">
      <c r="A6" s="774" t="s">
        <v>184</v>
      </c>
      <c r="B6" s="775">
        <v>1</v>
      </c>
    </row>
    <row r="7" spans="1:2" x14ac:dyDescent="0.2">
      <c r="A7" s="774" t="s">
        <v>185</v>
      </c>
      <c r="B7" s="775">
        <v>1</v>
      </c>
    </row>
    <row r="8" spans="1:2" x14ac:dyDescent="0.2">
      <c r="A8" s="774" t="s">
        <v>381</v>
      </c>
      <c r="B8" s="775">
        <v>1</v>
      </c>
    </row>
    <row r="9" spans="1:2" x14ac:dyDescent="0.2">
      <c r="A9" s="774" t="s">
        <v>382</v>
      </c>
      <c r="B9" s="775">
        <v>1</v>
      </c>
    </row>
    <row r="10" spans="1:2" x14ac:dyDescent="0.2">
      <c r="A10" s="774" t="s">
        <v>377</v>
      </c>
      <c r="B10" s="775">
        <v>1</v>
      </c>
    </row>
    <row r="11" spans="1:2" x14ac:dyDescent="0.2">
      <c r="A11" s="774" t="s">
        <v>739</v>
      </c>
      <c r="B11" s="775">
        <v>1</v>
      </c>
    </row>
    <row r="12" spans="1:2" x14ac:dyDescent="0.2">
      <c r="A12" s="774" t="s">
        <v>379</v>
      </c>
      <c r="B12" s="775">
        <v>1</v>
      </c>
    </row>
    <row r="13" spans="1:2" x14ac:dyDescent="0.2">
      <c r="A13" s="774" t="s">
        <v>380</v>
      </c>
      <c r="B13" s="775">
        <v>1</v>
      </c>
    </row>
    <row r="14" spans="1:2" x14ac:dyDescent="0.2">
      <c r="A14" s="774" t="s">
        <v>404</v>
      </c>
      <c r="B14" s="775">
        <v>1</v>
      </c>
    </row>
    <row r="15" spans="1:2" x14ac:dyDescent="0.2">
      <c r="A15" s="774" t="s">
        <v>186</v>
      </c>
      <c r="B15" s="775">
        <v>1</v>
      </c>
    </row>
    <row r="16" spans="1:2" x14ac:dyDescent="0.2">
      <c r="A16" s="774" t="s">
        <v>187</v>
      </c>
      <c r="B16" s="775">
        <v>1</v>
      </c>
    </row>
    <row r="17" spans="1:2" x14ac:dyDescent="0.2">
      <c r="A17" s="774" t="s">
        <v>188</v>
      </c>
      <c r="B17" s="775">
        <v>1</v>
      </c>
    </row>
    <row r="18" spans="1:2" x14ac:dyDescent="0.2">
      <c r="A18" s="774" t="s">
        <v>190</v>
      </c>
      <c r="B18" s="775">
        <v>1</v>
      </c>
    </row>
    <row r="19" spans="1:2" x14ac:dyDescent="0.2">
      <c r="A19" s="774" t="s">
        <v>310</v>
      </c>
      <c r="B19" s="775">
        <v>1</v>
      </c>
    </row>
    <row r="20" spans="1:2" x14ac:dyDescent="0.2">
      <c r="A20" s="774" t="s">
        <v>191</v>
      </c>
      <c r="B20" s="775">
        <v>1</v>
      </c>
    </row>
    <row r="21" spans="1:2" x14ac:dyDescent="0.2">
      <c r="A21" s="774" t="s">
        <v>192</v>
      </c>
      <c r="B21" s="775">
        <v>1</v>
      </c>
    </row>
    <row r="22" spans="1:2" x14ac:dyDescent="0.2">
      <c r="A22" s="774" t="s">
        <v>193</v>
      </c>
      <c r="B22" s="775">
        <v>1</v>
      </c>
    </row>
    <row r="23" spans="1:2" x14ac:dyDescent="0.2">
      <c r="A23" s="774" t="s">
        <v>194</v>
      </c>
      <c r="B23" s="775">
        <v>1</v>
      </c>
    </row>
    <row r="24" spans="1:2" x14ac:dyDescent="0.2">
      <c r="A24" s="774" t="s">
        <v>196</v>
      </c>
      <c r="B24" s="775">
        <v>1</v>
      </c>
    </row>
    <row r="25" spans="1:2" x14ac:dyDescent="0.2">
      <c r="A25" s="774" t="s">
        <v>197</v>
      </c>
      <c r="B25" s="775">
        <v>1</v>
      </c>
    </row>
    <row r="26" spans="1:2" x14ac:dyDescent="0.2">
      <c r="A26" s="774" t="s">
        <v>198</v>
      </c>
      <c r="B26" s="775">
        <v>1</v>
      </c>
    </row>
    <row r="27" spans="1:2" x14ac:dyDescent="0.2">
      <c r="A27" s="774" t="s">
        <v>189</v>
      </c>
      <c r="B27" s="775">
        <v>1</v>
      </c>
    </row>
    <row r="28" spans="1:2" x14ac:dyDescent="0.2">
      <c r="A28" s="774" t="s">
        <v>221</v>
      </c>
      <c r="B28" s="775">
        <v>1</v>
      </c>
    </row>
    <row r="29" spans="1:2" x14ac:dyDescent="0.2">
      <c r="A29" s="774" t="s">
        <v>219</v>
      </c>
      <c r="B29" s="775">
        <v>1</v>
      </c>
    </row>
    <row r="30" spans="1:2" x14ac:dyDescent="0.2">
      <c r="A30" s="774" t="s">
        <v>220</v>
      </c>
      <c r="B30" s="775">
        <v>1</v>
      </c>
    </row>
    <row r="31" spans="1:2" x14ac:dyDescent="0.2">
      <c r="A31" s="774" t="s">
        <v>222</v>
      </c>
      <c r="B31" s="775">
        <v>1</v>
      </c>
    </row>
    <row r="32" spans="1:2" x14ac:dyDescent="0.2">
      <c r="A32" s="774" t="s">
        <v>210</v>
      </c>
      <c r="B32" s="775">
        <v>1</v>
      </c>
    </row>
    <row r="33" spans="1:2" x14ac:dyDescent="0.2">
      <c r="A33" s="774" t="s">
        <v>211</v>
      </c>
      <c r="B33" s="775">
        <v>1</v>
      </c>
    </row>
    <row r="34" spans="1:2" x14ac:dyDescent="0.2">
      <c r="A34" s="774" t="s">
        <v>212</v>
      </c>
      <c r="B34" s="775">
        <v>1</v>
      </c>
    </row>
    <row r="35" spans="1:2" x14ac:dyDescent="0.2">
      <c r="A35" s="774" t="s">
        <v>213</v>
      </c>
      <c r="B35" s="775">
        <v>1</v>
      </c>
    </row>
    <row r="36" spans="1:2" x14ac:dyDescent="0.2">
      <c r="A36" s="774" t="s">
        <v>214</v>
      </c>
      <c r="B36" s="775">
        <v>1</v>
      </c>
    </row>
    <row r="37" spans="1:2" x14ac:dyDescent="0.2">
      <c r="A37" s="774" t="s">
        <v>215</v>
      </c>
      <c r="B37" s="775">
        <v>1</v>
      </c>
    </row>
    <row r="38" spans="1:2" x14ac:dyDescent="0.2">
      <c r="A38" s="774" t="s">
        <v>216</v>
      </c>
      <c r="B38" s="775">
        <v>1</v>
      </c>
    </row>
    <row r="39" spans="1:2" x14ac:dyDescent="0.2">
      <c r="A39" s="774" t="s">
        <v>217</v>
      </c>
      <c r="B39" s="775">
        <v>1</v>
      </c>
    </row>
    <row r="40" spans="1:2" x14ac:dyDescent="0.2">
      <c r="A40" s="774" t="s">
        <v>218</v>
      </c>
      <c r="B40" s="775">
        <v>1</v>
      </c>
    </row>
    <row r="41" spans="1:2" x14ac:dyDescent="0.2">
      <c r="A41" s="774" t="s">
        <v>383</v>
      </c>
      <c r="B41" s="775">
        <v>1</v>
      </c>
    </row>
    <row r="42" spans="1:2" x14ac:dyDescent="0.2">
      <c r="A42" s="774" t="s">
        <v>384</v>
      </c>
      <c r="B42" s="775">
        <v>1</v>
      </c>
    </row>
    <row r="43" spans="1:2" x14ac:dyDescent="0.2">
      <c r="A43" s="774" t="s">
        <v>371</v>
      </c>
      <c r="B43" s="775">
        <v>1</v>
      </c>
    </row>
    <row r="44" spans="1:2" x14ac:dyDescent="0.2">
      <c r="A44" s="774" t="s">
        <v>740</v>
      </c>
      <c r="B44" s="775">
        <v>1</v>
      </c>
    </row>
    <row r="45" spans="1:2" x14ac:dyDescent="0.2">
      <c r="A45" s="774" t="s">
        <v>373</v>
      </c>
      <c r="B45" s="775">
        <v>1</v>
      </c>
    </row>
    <row r="46" spans="1:2" x14ac:dyDescent="0.2">
      <c r="A46" s="774" t="s">
        <v>374</v>
      </c>
      <c r="B46" s="775">
        <v>1</v>
      </c>
    </row>
    <row r="47" spans="1:2" x14ac:dyDescent="0.2">
      <c r="A47" s="774" t="s">
        <v>403</v>
      </c>
      <c r="B47" s="775">
        <v>1</v>
      </c>
    </row>
    <row r="48" spans="1:2" x14ac:dyDescent="0.2">
      <c r="A48" s="774" t="s">
        <v>224</v>
      </c>
      <c r="B48" s="775">
        <v>1</v>
      </c>
    </row>
    <row r="49" spans="1:2" x14ac:dyDescent="0.2">
      <c r="A49" s="774" t="s">
        <v>223</v>
      </c>
      <c r="B49" s="775">
        <v>1</v>
      </c>
    </row>
    <row r="50" spans="1:2" x14ac:dyDescent="0.2">
      <c r="A50" s="774" t="s">
        <v>0</v>
      </c>
      <c r="B50" s="775">
        <v>1</v>
      </c>
    </row>
    <row r="51" spans="1:2" x14ac:dyDescent="0.2">
      <c r="A51" s="774" t="s">
        <v>2</v>
      </c>
      <c r="B51" s="775">
        <v>1</v>
      </c>
    </row>
    <row r="52" spans="1:2" x14ac:dyDescent="0.2">
      <c r="A52" s="774" t="s">
        <v>328</v>
      </c>
      <c r="B52" s="775">
        <v>1</v>
      </c>
    </row>
    <row r="53" spans="1:2" x14ac:dyDescent="0.2">
      <c r="A53" s="774" t="s">
        <v>4</v>
      </c>
      <c r="B53" s="775">
        <v>1</v>
      </c>
    </row>
    <row r="54" spans="1:2" x14ac:dyDescent="0.2">
      <c r="A54" s="774" t="s">
        <v>5</v>
      </c>
      <c r="B54" s="775">
        <v>1</v>
      </c>
    </row>
    <row r="55" spans="1:2" x14ac:dyDescent="0.2">
      <c r="A55" s="774" t="s">
        <v>6</v>
      </c>
      <c r="B55" s="775">
        <v>1</v>
      </c>
    </row>
    <row r="56" spans="1:2" x14ac:dyDescent="0.2">
      <c r="A56" s="774" t="s">
        <v>7</v>
      </c>
      <c r="B56" s="775">
        <v>1</v>
      </c>
    </row>
    <row r="57" spans="1:2" x14ac:dyDescent="0.2">
      <c r="A57" s="774" t="s">
        <v>8</v>
      </c>
      <c r="B57" s="775">
        <v>1</v>
      </c>
    </row>
    <row r="58" spans="1:2" x14ac:dyDescent="0.2">
      <c r="A58" s="774" t="s">
        <v>9</v>
      </c>
      <c r="B58" s="775">
        <v>1</v>
      </c>
    </row>
    <row r="59" spans="1:2" x14ac:dyDescent="0.2">
      <c r="A59" s="774" t="s">
        <v>10</v>
      </c>
      <c r="B59" s="775">
        <v>1</v>
      </c>
    </row>
    <row r="60" spans="1:2" x14ac:dyDescent="0.2">
      <c r="A60" s="774" t="s">
        <v>11</v>
      </c>
      <c r="B60" s="775">
        <v>1</v>
      </c>
    </row>
    <row r="61" spans="1:2" x14ac:dyDescent="0.2">
      <c r="A61" s="774" t="s">
        <v>12</v>
      </c>
      <c r="B61" s="775">
        <v>1</v>
      </c>
    </row>
    <row r="62" spans="1:2" x14ac:dyDescent="0.2">
      <c r="A62" s="774" t="s">
        <v>13</v>
      </c>
      <c r="B62" s="775">
        <v>1</v>
      </c>
    </row>
    <row r="63" spans="1:2" x14ac:dyDescent="0.2">
      <c r="A63" s="774" t="s">
        <v>14</v>
      </c>
      <c r="B63" s="775">
        <v>1</v>
      </c>
    </row>
    <row r="64" spans="1:2" x14ac:dyDescent="0.2">
      <c r="A64" s="774" t="s">
        <v>15</v>
      </c>
      <c r="B64" s="775">
        <v>1</v>
      </c>
    </row>
    <row r="65" spans="1:2" x14ac:dyDescent="0.2">
      <c r="A65" s="774" t="s">
        <v>16</v>
      </c>
      <c r="B65" s="775">
        <v>1</v>
      </c>
    </row>
    <row r="66" spans="1:2" x14ac:dyDescent="0.2">
      <c r="A66" s="774" t="s">
        <v>20</v>
      </c>
      <c r="B66" s="775">
        <v>1</v>
      </c>
    </row>
    <row r="67" spans="1:2" x14ac:dyDescent="0.2">
      <c r="A67" s="774" t="s">
        <v>21</v>
      </c>
      <c r="B67" s="775">
        <v>1</v>
      </c>
    </row>
    <row r="68" spans="1:2" x14ac:dyDescent="0.2">
      <c r="A68" s="774" t="s">
        <v>137</v>
      </c>
      <c r="B68" s="775">
        <v>1</v>
      </c>
    </row>
    <row r="69" spans="1:2" x14ac:dyDescent="0.2">
      <c r="A69" s="774" t="s">
        <v>138</v>
      </c>
      <c r="B69" s="775">
        <v>1</v>
      </c>
    </row>
    <row r="70" spans="1:2" x14ac:dyDescent="0.2">
      <c r="A70" s="774" t="s">
        <v>336</v>
      </c>
      <c r="B70" s="775">
        <v>1</v>
      </c>
    </row>
    <row r="71" spans="1:2" x14ac:dyDescent="0.2">
      <c r="A71" s="774" t="s">
        <v>337</v>
      </c>
      <c r="B71" s="775">
        <v>1</v>
      </c>
    </row>
    <row r="72" spans="1:2" x14ac:dyDescent="0.2">
      <c r="A72" s="774" t="s">
        <v>271</v>
      </c>
      <c r="B72" s="775">
        <v>1</v>
      </c>
    </row>
    <row r="73" spans="1:2" x14ac:dyDescent="0.2">
      <c r="A73" s="774" t="s">
        <v>23</v>
      </c>
      <c r="B73" s="775">
        <v>1</v>
      </c>
    </row>
    <row r="74" spans="1:2" x14ac:dyDescent="0.2">
      <c r="A74" s="774" t="s">
        <v>385</v>
      </c>
      <c r="B74" s="775">
        <v>1</v>
      </c>
    </row>
    <row r="75" spans="1:2" x14ac:dyDescent="0.2">
      <c r="A75" s="774" t="s">
        <v>424</v>
      </c>
      <c r="B75" s="775">
        <v>1</v>
      </c>
    </row>
    <row r="76" spans="1:2" x14ac:dyDescent="0.2">
      <c r="A76" s="774" t="s">
        <v>368</v>
      </c>
      <c r="B76" s="775">
        <v>1</v>
      </c>
    </row>
    <row r="77" spans="1:2" x14ac:dyDescent="0.2">
      <c r="A77" s="774" t="s">
        <v>28</v>
      </c>
      <c r="B77" s="775">
        <v>1</v>
      </c>
    </row>
    <row r="78" spans="1:2" x14ac:dyDescent="0.2">
      <c r="A78" s="774" t="s">
        <v>29</v>
      </c>
      <c r="B78" s="775">
        <v>1</v>
      </c>
    </row>
    <row r="79" spans="1:2" x14ac:dyDescent="0.2">
      <c r="A79" s="774" t="s">
        <v>30</v>
      </c>
      <c r="B79" s="775">
        <v>1</v>
      </c>
    </row>
    <row r="80" spans="1:2" x14ac:dyDescent="0.2">
      <c r="A80" s="774" t="s">
        <v>31</v>
      </c>
      <c r="B80" s="775">
        <v>1</v>
      </c>
    </row>
    <row r="81" spans="1:2" x14ac:dyDescent="0.2">
      <c r="A81" s="774" t="s">
        <v>32</v>
      </c>
      <c r="B81" s="775">
        <v>1</v>
      </c>
    </row>
    <row r="82" spans="1:2" x14ac:dyDescent="0.2">
      <c r="A82" s="774" t="s">
        <v>34</v>
      </c>
      <c r="B82" s="775">
        <v>1</v>
      </c>
    </row>
    <row r="83" spans="1:2" x14ac:dyDescent="0.2">
      <c r="A83" s="774" t="s">
        <v>35</v>
      </c>
      <c r="B83" s="775">
        <v>1</v>
      </c>
    </row>
    <row r="84" spans="1:2" x14ac:dyDescent="0.2">
      <c r="A84" s="774" t="s">
        <v>36</v>
      </c>
      <c r="B84" s="775">
        <v>1</v>
      </c>
    </row>
    <row r="85" spans="1:2" x14ac:dyDescent="0.2">
      <c r="A85" s="774" t="s">
        <v>37</v>
      </c>
      <c r="B85" s="775">
        <v>1</v>
      </c>
    </row>
    <row r="86" spans="1:2" x14ac:dyDescent="0.2">
      <c r="A86" s="774" t="s">
        <v>40</v>
      </c>
      <c r="B86" s="775">
        <v>1</v>
      </c>
    </row>
    <row r="87" spans="1:2" x14ac:dyDescent="0.2">
      <c r="A87" s="774" t="s">
        <v>326</v>
      </c>
      <c r="B87" s="775">
        <v>1</v>
      </c>
    </row>
    <row r="88" spans="1:2" x14ac:dyDescent="0.2">
      <c r="A88" s="774" t="s">
        <v>318</v>
      </c>
      <c r="B88" s="775">
        <v>1</v>
      </c>
    </row>
    <row r="89" spans="1:2" x14ac:dyDescent="0.2">
      <c r="A89" s="774" t="s">
        <v>319</v>
      </c>
      <c r="B89" s="775">
        <v>1</v>
      </c>
    </row>
    <row r="90" spans="1:2" x14ac:dyDescent="0.2">
      <c r="A90" s="774" t="s">
        <v>315</v>
      </c>
      <c r="B90" s="775">
        <v>1</v>
      </c>
    </row>
    <row r="91" spans="1:2" x14ac:dyDescent="0.2">
      <c r="A91" s="774" t="s">
        <v>355</v>
      </c>
      <c r="B91" s="775">
        <v>1</v>
      </c>
    </row>
    <row r="92" spans="1:2" x14ac:dyDescent="0.2">
      <c r="A92" s="774" t="s">
        <v>317</v>
      </c>
      <c r="B92" s="775">
        <v>1</v>
      </c>
    </row>
    <row r="93" spans="1:2" x14ac:dyDescent="0.2">
      <c r="A93" s="774" t="s">
        <v>316</v>
      </c>
      <c r="B93" s="775">
        <v>1</v>
      </c>
    </row>
    <row r="94" spans="1:2" x14ac:dyDescent="0.2">
      <c r="A94" s="774" t="s">
        <v>314</v>
      </c>
      <c r="B94" s="775">
        <v>1</v>
      </c>
    </row>
    <row r="95" spans="1:2" x14ac:dyDescent="0.2">
      <c r="A95" s="774" t="s">
        <v>146</v>
      </c>
      <c r="B95" s="775">
        <v>1</v>
      </c>
    </row>
    <row r="96" spans="1:2" x14ac:dyDescent="0.2">
      <c r="A96" s="774" t="s">
        <v>44</v>
      </c>
      <c r="B96" s="775">
        <v>1</v>
      </c>
    </row>
    <row r="97" spans="1:3" x14ac:dyDescent="0.2">
      <c r="A97" s="774" t="s">
        <v>45</v>
      </c>
      <c r="B97" s="775">
        <v>1</v>
      </c>
    </row>
    <row r="98" spans="1:3" x14ac:dyDescent="0.2">
      <c r="A98" s="774" t="s">
        <v>46</v>
      </c>
      <c r="B98" s="775">
        <v>1</v>
      </c>
    </row>
    <row r="99" spans="1:3" x14ac:dyDescent="0.2">
      <c r="A99" s="774" t="s">
        <v>420</v>
      </c>
      <c r="B99" s="775">
        <v>1</v>
      </c>
    </row>
    <row r="100" spans="1:3" x14ac:dyDescent="0.2">
      <c r="A100" s="774" t="s">
        <v>47</v>
      </c>
      <c r="B100" s="775">
        <v>1</v>
      </c>
    </row>
    <row r="101" spans="1:3" x14ac:dyDescent="0.2">
      <c r="A101" s="774" t="s">
        <v>48</v>
      </c>
      <c r="B101" s="775">
        <v>1</v>
      </c>
    </row>
    <row r="102" spans="1:3" x14ac:dyDescent="0.2">
      <c r="A102" s="774" t="s">
        <v>50</v>
      </c>
      <c r="B102" s="775">
        <v>1</v>
      </c>
    </row>
    <row r="103" spans="1:3" x14ac:dyDescent="0.2">
      <c r="A103" s="774" t="s">
        <v>51</v>
      </c>
      <c r="B103" s="775">
        <v>1</v>
      </c>
    </row>
    <row r="104" spans="1:3" x14ac:dyDescent="0.2">
      <c r="A104" s="774" t="s">
        <v>52</v>
      </c>
      <c r="B104" s="775">
        <v>1</v>
      </c>
    </row>
    <row r="105" spans="1:3" x14ac:dyDescent="0.2">
      <c r="A105" s="774" t="s">
        <v>54</v>
      </c>
      <c r="B105" s="775">
        <v>1</v>
      </c>
    </row>
    <row r="106" spans="1:3" x14ac:dyDescent="0.2">
      <c r="A106" s="774" t="s">
        <v>56</v>
      </c>
      <c r="B106" s="775">
        <v>1</v>
      </c>
    </row>
    <row r="107" spans="1:3" x14ac:dyDescent="0.2">
      <c r="A107" s="774" t="s">
        <v>57</v>
      </c>
      <c r="B107" s="775">
        <v>1</v>
      </c>
    </row>
    <row r="108" spans="1:3" s="778" customFormat="1" x14ac:dyDescent="0.2">
      <c r="A108" s="776" t="s">
        <v>307</v>
      </c>
      <c r="B108" s="777">
        <v>2</v>
      </c>
      <c r="C108" s="778" t="s">
        <v>743</v>
      </c>
    </row>
    <row r="109" spans="1:3" s="778" customFormat="1" x14ac:dyDescent="0.2">
      <c r="A109" s="776" t="s">
        <v>274</v>
      </c>
      <c r="B109" s="777">
        <v>2</v>
      </c>
      <c r="C109" s="778" t="s">
        <v>743</v>
      </c>
    </row>
    <row r="110" spans="1:3" s="778" customFormat="1" x14ac:dyDescent="0.2">
      <c r="A110" s="776" t="s">
        <v>741</v>
      </c>
      <c r="B110" s="777">
        <v>2</v>
      </c>
      <c r="C110" s="778" t="s">
        <v>743</v>
      </c>
    </row>
    <row r="111" spans="1:3" s="778" customFormat="1" x14ac:dyDescent="0.2">
      <c r="A111" s="776" t="s">
        <v>344</v>
      </c>
      <c r="B111" s="777">
        <v>2</v>
      </c>
      <c r="C111" s="778" t="s">
        <v>743</v>
      </c>
    </row>
    <row r="112" spans="1:3" s="778" customFormat="1" x14ac:dyDescent="0.2">
      <c r="A112" s="776" t="s">
        <v>18</v>
      </c>
      <c r="B112" s="777">
        <v>2</v>
      </c>
      <c r="C112" s="778" t="s">
        <v>743</v>
      </c>
    </row>
    <row r="113" spans="1:3" s="778" customFormat="1" x14ac:dyDescent="0.2">
      <c r="A113" s="776" t="s">
        <v>19</v>
      </c>
      <c r="B113" s="777">
        <v>2</v>
      </c>
      <c r="C113" s="778" t="s">
        <v>743</v>
      </c>
    </row>
    <row r="114" spans="1:3" s="778" customFormat="1" x14ac:dyDescent="0.2">
      <c r="A114" s="776" t="s">
        <v>33</v>
      </c>
      <c r="B114" s="777">
        <v>2</v>
      </c>
      <c r="C114" s="778" t="s">
        <v>743</v>
      </c>
    </row>
    <row r="115" spans="1:3" s="778" customFormat="1" x14ac:dyDescent="0.2">
      <c r="A115" s="776" t="s">
        <v>41</v>
      </c>
      <c r="B115" s="777">
        <v>2</v>
      </c>
      <c r="C115" s="778" t="s">
        <v>743</v>
      </c>
    </row>
    <row r="116" spans="1:3" s="778" customFormat="1" x14ac:dyDescent="0.2">
      <c r="A116" s="776" t="s">
        <v>49</v>
      </c>
      <c r="B116" s="777">
        <v>2</v>
      </c>
      <c r="C116" s="778" t="s">
        <v>743</v>
      </c>
    </row>
    <row r="117" spans="1:3" s="778" customFormat="1" x14ac:dyDescent="0.2">
      <c r="A117" s="776" t="s">
        <v>17</v>
      </c>
      <c r="B117" s="777">
        <v>3</v>
      </c>
      <c r="C117" s="778" t="s">
        <v>743</v>
      </c>
    </row>
    <row r="118" spans="1:3" s="778" customFormat="1" x14ac:dyDescent="0.2">
      <c r="A118" s="776" t="s">
        <v>53</v>
      </c>
      <c r="B118" s="777">
        <v>14</v>
      </c>
      <c r="C118" s="778" t="s">
        <v>743</v>
      </c>
    </row>
  </sheetData>
  <sortState ref="A4:C118">
    <sortCondition ref="B4:B118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182"/>
  <sheetViews>
    <sheetView topLeftCell="A49" workbookViewId="0">
      <selection activeCell="E104" sqref="E104"/>
    </sheetView>
  </sheetViews>
  <sheetFormatPr defaultRowHeight="12.75" x14ac:dyDescent="0.2"/>
  <cols>
    <col min="1" max="1" width="26.140625" style="74" customWidth="1"/>
  </cols>
  <sheetData>
    <row r="1" spans="1:1" ht="13.5" thickBot="1" x14ac:dyDescent="0.25"/>
    <row r="2" spans="1:1" x14ac:dyDescent="0.2">
      <c r="A2" s="80"/>
    </row>
    <row r="3" spans="1:1" ht="13.5" thickBot="1" x14ac:dyDescent="0.25">
      <c r="A3" s="88" t="s">
        <v>62</v>
      </c>
    </row>
    <row r="4" spans="1:1" x14ac:dyDescent="0.2">
      <c r="A4" s="676" t="s">
        <v>210</v>
      </c>
    </row>
    <row r="5" spans="1:1" x14ac:dyDescent="0.2">
      <c r="A5" s="677" t="s">
        <v>211</v>
      </c>
    </row>
    <row r="6" spans="1:1" x14ac:dyDescent="0.2">
      <c r="A6" s="657"/>
    </row>
    <row r="7" spans="1:1" x14ac:dyDescent="0.2">
      <c r="A7" s="679" t="s">
        <v>212</v>
      </c>
    </row>
    <row r="8" spans="1:1" x14ac:dyDescent="0.2">
      <c r="A8" s="679" t="s">
        <v>213</v>
      </c>
    </row>
    <row r="9" spans="1:1" x14ac:dyDescent="0.2">
      <c r="A9" s="679" t="s">
        <v>214</v>
      </c>
    </row>
    <row r="10" spans="1:1" x14ac:dyDescent="0.2">
      <c r="A10" s="679" t="s">
        <v>215</v>
      </c>
    </row>
    <row r="11" spans="1:1" x14ac:dyDescent="0.2">
      <c r="A11" s="657"/>
    </row>
    <row r="12" spans="1:1" x14ac:dyDescent="0.2">
      <c r="A12" s="20" t="s">
        <v>223</v>
      </c>
    </row>
    <row r="13" spans="1:1" x14ac:dyDescent="0.2">
      <c r="A13" s="20" t="s">
        <v>387</v>
      </c>
    </row>
    <row r="14" spans="1:1" x14ac:dyDescent="0.2">
      <c r="A14" s="21" t="s">
        <v>390</v>
      </c>
    </row>
    <row r="15" spans="1:1" x14ac:dyDescent="0.2">
      <c r="A15" s="21" t="s">
        <v>390</v>
      </c>
    </row>
    <row r="16" spans="1:1" x14ac:dyDescent="0.2">
      <c r="A16" s="20" t="s">
        <v>217</v>
      </c>
    </row>
    <row r="17" spans="1:1" x14ac:dyDescent="0.2">
      <c r="A17" s="20" t="s">
        <v>218</v>
      </c>
    </row>
    <row r="18" spans="1:1" x14ac:dyDescent="0.2">
      <c r="A18" s="20" t="s">
        <v>219</v>
      </c>
    </row>
    <row r="19" spans="1:1" x14ac:dyDescent="0.2">
      <c r="A19" s="20" t="s">
        <v>220</v>
      </c>
    </row>
    <row r="20" spans="1:1" x14ac:dyDescent="0.2">
      <c r="A20" s="20" t="s">
        <v>221</v>
      </c>
    </row>
    <row r="21" spans="1:1" x14ac:dyDescent="0.2">
      <c r="A21" s="20" t="s">
        <v>222</v>
      </c>
    </row>
    <row r="22" spans="1:1" x14ac:dyDescent="0.2">
      <c r="A22" s="48" t="s">
        <v>383</v>
      </c>
    </row>
    <row r="23" spans="1:1" x14ac:dyDescent="0.2">
      <c r="A23" s="29" t="s">
        <v>384</v>
      </c>
    </row>
    <row r="24" spans="1:1" x14ac:dyDescent="0.2">
      <c r="A24" s="20" t="s">
        <v>403</v>
      </c>
    </row>
    <row r="25" spans="1:1" x14ac:dyDescent="0.2">
      <c r="A25" s="20" t="s">
        <v>216</v>
      </c>
    </row>
    <row r="26" spans="1:1" x14ac:dyDescent="0.2">
      <c r="A26" s="48" t="s">
        <v>371</v>
      </c>
    </row>
    <row r="27" spans="1:1" x14ac:dyDescent="0.2">
      <c r="A27" s="29" t="s">
        <v>421</v>
      </c>
    </row>
    <row r="28" spans="1:1" x14ac:dyDescent="0.2">
      <c r="A28" s="48" t="s">
        <v>373</v>
      </c>
    </row>
    <row r="29" spans="1:1" ht="13.5" thickBot="1" x14ac:dyDescent="0.25">
      <c r="A29" s="654" t="s">
        <v>374</v>
      </c>
    </row>
    <row r="30" spans="1:1" ht="13.5" thickBot="1" x14ac:dyDescent="0.25">
      <c r="A30" s="123" t="s">
        <v>209</v>
      </c>
    </row>
    <row r="31" spans="1:1" x14ac:dyDescent="0.2">
      <c r="A31" s="130"/>
    </row>
    <row r="32" spans="1:1" ht="13.5" thickBot="1" x14ac:dyDescent="0.25">
      <c r="A32" s="134"/>
    </row>
    <row r="33" spans="1:1" x14ac:dyDescent="0.2">
      <c r="A33" s="80"/>
    </row>
    <row r="34" spans="1:1" ht="13.5" thickBot="1" x14ac:dyDescent="0.25">
      <c r="A34" s="88" t="s">
        <v>62</v>
      </c>
    </row>
    <row r="35" spans="1:1" x14ac:dyDescent="0.2">
      <c r="A35" s="685" t="s">
        <v>193</v>
      </c>
    </row>
    <row r="36" spans="1:1" x14ac:dyDescent="0.2">
      <c r="A36" s="685" t="s">
        <v>194</v>
      </c>
    </row>
    <row r="37" spans="1:1" x14ac:dyDescent="0.2">
      <c r="A37" s="637"/>
    </row>
    <row r="38" spans="1:1" x14ac:dyDescent="0.2">
      <c r="A38" s="685" t="s">
        <v>196</v>
      </c>
    </row>
    <row r="39" spans="1:1" x14ac:dyDescent="0.2">
      <c r="A39" s="685" t="s">
        <v>197</v>
      </c>
    </row>
    <row r="40" spans="1:1" x14ac:dyDescent="0.2">
      <c r="A40" s="685" t="s">
        <v>198</v>
      </c>
    </row>
    <row r="41" spans="1:1" x14ac:dyDescent="0.2">
      <c r="A41" s="637"/>
    </row>
    <row r="42" spans="1:1" x14ac:dyDescent="0.2">
      <c r="A42" s="16" t="s">
        <v>185</v>
      </c>
    </row>
    <row r="43" spans="1:1" x14ac:dyDescent="0.2">
      <c r="A43" s="16" t="s">
        <v>186</v>
      </c>
    </row>
    <row r="44" spans="1:1" x14ac:dyDescent="0.2">
      <c r="A44" s="24" t="s">
        <v>274</v>
      </c>
    </row>
    <row r="45" spans="1:1" x14ac:dyDescent="0.2">
      <c r="A45" s="24" t="s">
        <v>274</v>
      </c>
    </row>
    <row r="46" spans="1:1" x14ac:dyDescent="0.2">
      <c r="A46" s="16" t="s">
        <v>188</v>
      </c>
    </row>
    <row r="47" spans="1:1" x14ac:dyDescent="0.2">
      <c r="A47" s="16" t="s">
        <v>187</v>
      </c>
    </row>
    <row r="48" spans="1:1" x14ac:dyDescent="0.2">
      <c r="A48" s="16" t="s">
        <v>391</v>
      </c>
    </row>
    <row r="49" spans="1:1" x14ac:dyDescent="0.2">
      <c r="A49" s="16" t="s">
        <v>195</v>
      </c>
    </row>
    <row r="50" spans="1:1" x14ac:dyDescent="0.2">
      <c r="A50" s="48" t="s">
        <v>381</v>
      </c>
    </row>
    <row r="51" spans="1:1" x14ac:dyDescent="0.2">
      <c r="A51" s="29" t="s">
        <v>382</v>
      </c>
    </row>
    <row r="52" spans="1:1" x14ac:dyDescent="0.2">
      <c r="A52" s="23" t="s">
        <v>404</v>
      </c>
    </row>
    <row r="53" spans="1:1" x14ac:dyDescent="0.2">
      <c r="A53" s="23" t="s">
        <v>184</v>
      </c>
    </row>
    <row r="54" spans="1:1" x14ac:dyDescent="0.2">
      <c r="A54" s="48" t="s">
        <v>377</v>
      </c>
    </row>
    <row r="55" spans="1:1" x14ac:dyDescent="0.2">
      <c r="A55" s="29" t="s">
        <v>422</v>
      </c>
    </row>
    <row r="56" spans="1:1" x14ac:dyDescent="0.2">
      <c r="A56" s="48" t="s">
        <v>379</v>
      </c>
    </row>
    <row r="57" spans="1:1" x14ac:dyDescent="0.2">
      <c r="A57" s="630" t="s">
        <v>380</v>
      </c>
    </row>
    <row r="58" spans="1:1" x14ac:dyDescent="0.2">
      <c r="A58" s="23" t="s">
        <v>189</v>
      </c>
    </row>
    <row r="59" spans="1:1" x14ac:dyDescent="0.2">
      <c r="A59" s="695" t="s">
        <v>190</v>
      </c>
    </row>
    <row r="60" spans="1:1" x14ac:dyDescent="0.2">
      <c r="A60" s="695" t="s">
        <v>310</v>
      </c>
    </row>
    <row r="61" spans="1:1" x14ac:dyDescent="0.2">
      <c r="A61" s="695" t="s">
        <v>191</v>
      </c>
    </row>
    <row r="62" spans="1:1" x14ac:dyDescent="0.2">
      <c r="A62" s="695" t="s">
        <v>192</v>
      </c>
    </row>
    <row r="63" spans="1:1" ht="13.5" thickBot="1" x14ac:dyDescent="0.25">
      <c r="A63" s="648"/>
    </row>
    <row r="64" spans="1:1" ht="13.5" thickBot="1" x14ac:dyDescent="0.25">
      <c r="A64" s="123" t="s">
        <v>208</v>
      </c>
    </row>
    <row r="66" spans="1:1" ht="13.5" thickBot="1" x14ac:dyDescent="0.25"/>
    <row r="67" spans="1:1" x14ac:dyDescent="0.2">
      <c r="A67" s="80"/>
    </row>
    <row r="68" spans="1:1" ht="13.5" thickBot="1" x14ac:dyDescent="0.25">
      <c r="A68" s="88" t="s">
        <v>62</v>
      </c>
    </row>
    <row r="69" spans="1:1" x14ac:dyDescent="0.2">
      <c r="A69" s="738" t="s">
        <v>19</v>
      </c>
    </row>
    <row r="70" spans="1:1" x14ac:dyDescent="0.2">
      <c r="A70" s="504" t="s">
        <v>19</v>
      </c>
    </row>
    <row r="71" spans="1:1" x14ac:dyDescent="0.2">
      <c r="A71" s="48" t="s">
        <v>14</v>
      </c>
    </row>
    <row r="72" spans="1:1" x14ac:dyDescent="0.2">
      <c r="A72" s="29" t="s">
        <v>15</v>
      </c>
    </row>
    <row r="73" spans="1:1" x14ac:dyDescent="0.2">
      <c r="A73" s="699" t="s">
        <v>9</v>
      </c>
    </row>
    <row r="74" spans="1:1" x14ac:dyDescent="0.2">
      <c r="A74" s="702" t="s">
        <v>10</v>
      </c>
    </row>
    <row r="75" spans="1:1" x14ac:dyDescent="0.2">
      <c r="A75" s="702" t="s">
        <v>11</v>
      </c>
    </row>
    <row r="76" spans="1:1" x14ac:dyDescent="0.2">
      <c r="A76" s="702" t="s">
        <v>12</v>
      </c>
    </row>
    <row r="77" spans="1:1" x14ac:dyDescent="0.2">
      <c r="A77" s="702" t="s">
        <v>13</v>
      </c>
    </row>
    <row r="78" spans="1:1" x14ac:dyDescent="0.2">
      <c r="A78" s="669" t="s">
        <v>428</v>
      </c>
    </row>
    <row r="79" spans="1:1" x14ac:dyDescent="0.2">
      <c r="A79" s="699" t="s">
        <v>4</v>
      </c>
    </row>
    <row r="80" spans="1:1" x14ac:dyDescent="0.2">
      <c r="A80" s="702" t="s">
        <v>5</v>
      </c>
    </row>
    <row r="81" spans="1:1" x14ac:dyDescent="0.2">
      <c r="A81" s="702" t="s">
        <v>6</v>
      </c>
    </row>
    <row r="82" spans="1:1" x14ac:dyDescent="0.2">
      <c r="A82" s="702" t="s">
        <v>7</v>
      </c>
    </row>
    <row r="83" spans="1:1" x14ac:dyDescent="0.2">
      <c r="A83" s="702" t="s">
        <v>8</v>
      </c>
    </row>
    <row r="84" spans="1:1" x14ac:dyDescent="0.2">
      <c r="A84" s="669" t="s">
        <v>428</v>
      </c>
    </row>
    <row r="85" spans="1:1" x14ac:dyDescent="0.2">
      <c r="A85" s="29" t="s">
        <v>16</v>
      </c>
    </row>
    <row r="86" spans="1:1" x14ac:dyDescent="0.2">
      <c r="A86" s="41" t="s">
        <v>424</v>
      </c>
    </row>
    <row r="87" spans="1:1" x14ac:dyDescent="0.2">
      <c r="A87" s="32" t="s">
        <v>0</v>
      </c>
    </row>
    <row r="88" spans="1:1" x14ac:dyDescent="0.2">
      <c r="A88" s="49" t="s">
        <v>385</v>
      </c>
    </row>
    <row r="89" spans="1:1" x14ac:dyDescent="0.2">
      <c r="A89" s="710" t="s">
        <v>21</v>
      </c>
    </row>
    <row r="90" spans="1:1" x14ac:dyDescent="0.2">
      <c r="A90" s="677" t="s">
        <v>137</v>
      </c>
    </row>
    <row r="91" spans="1:1" x14ac:dyDescent="0.2">
      <c r="A91" s="713" t="s">
        <v>138</v>
      </c>
    </row>
    <row r="92" spans="1:1" x14ac:dyDescent="0.2">
      <c r="A92" s="669" t="s">
        <v>428</v>
      </c>
    </row>
    <row r="93" spans="1:1" x14ac:dyDescent="0.2">
      <c r="A93" s="669" t="s">
        <v>428</v>
      </c>
    </row>
    <row r="94" spans="1:1" x14ac:dyDescent="0.2">
      <c r="A94" s="669" t="s">
        <v>428</v>
      </c>
    </row>
    <row r="95" spans="1:1" x14ac:dyDescent="0.2">
      <c r="A95" s="669" t="s">
        <v>428</v>
      </c>
    </row>
    <row r="96" spans="1:1" x14ac:dyDescent="0.2">
      <c r="A96" s="49" t="s">
        <v>41</v>
      </c>
    </row>
    <row r="97" spans="1:1" x14ac:dyDescent="0.2">
      <c r="A97" s="34" t="s">
        <v>41</v>
      </c>
    </row>
    <row r="98" spans="1:1" x14ac:dyDescent="0.2">
      <c r="A98" s="33" t="s">
        <v>28</v>
      </c>
    </row>
    <row r="99" spans="1:1" x14ac:dyDescent="0.2">
      <c r="A99" s="32" t="s">
        <v>29</v>
      </c>
    </row>
    <row r="100" spans="1:1" x14ac:dyDescent="0.2">
      <c r="A100" s="32" t="s">
        <v>30</v>
      </c>
    </row>
    <row r="101" spans="1:1" x14ac:dyDescent="0.2">
      <c r="A101" s="33" t="s">
        <v>31</v>
      </c>
    </row>
    <row r="102" spans="1:1" x14ac:dyDescent="0.2">
      <c r="A102" s="338" t="s">
        <v>420</v>
      </c>
    </row>
    <row r="103" spans="1:1" x14ac:dyDescent="0.2">
      <c r="A103" s="32" t="s">
        <v>44</v>
      </c>
    </row>
    <row r="104" spans="1:1" x14ac:dyDescent="0.2">
      <c r="A104" s="753" t="s">
        <v>45</v>
      </c>
    </row>
    <row r="105" spans="1:1" x14ac:dyDescent="0.2">
      <c r="A105" s="753" t="s">
        <v>47</v>
      </c>
    </row>
    <row r="106" spans="1:1" x14ac:dyDescent="0.2">
      <c r="A106" s="753" t="s">
        <v>49</v>
      </c>
    </row>
    <row r="107" spans="1:1" x14ac:dyDescent="0.2">
      <c r="A107" s="754" t="s">
        <v>52</v>
      </c>
    </row>
    <row r="108" spans="1:1" x14ac:dyDescent="0.2">
      <c r="A108" s="666" t="s">
        <v>49</v>
      </c>
    </row>
    <row r="109" spans="1:1" x14ac:dyDescent="0.2">
      <c r="A109" s="32" t="s">
        <v>50</v>
      </c>
    </row>
    <row r="110" spans="1:1" x14ac:dyDescent="0.2">
      <c r="A110" s="32" t="s">
        <v>48</v>
      </c>
    </row>
    <row r="111" spans="1:1" x14ac:dyDescent="0.2">
      <c r="A111" s="32" t="s">
        <v>51</v>
      </c>
    </row>
    <row r="112" spans="1:1" x14ac:dyDescent="0.2">
      <c r="A112" s="140" t="s">
        <v>57</v>
      </c>
    </row>
    <row r="113" spans="1:1" x14ac:dyDescent="0.2">
      <c r="A113" s="33" t="s">
        <v>53</v>
      </c>
    </row>
    <row r="114" spans="1:1" x14ac:dyDescent="0.2">
      <c r="A114" s="33" t="s">
        <v>53</v>
      </c>
    </row>
    <row r="115" spans="1:1" x14ac:dyDescent="0.2">
      <c r="A115" s="33" t="s">
        <v>53</v>
      </c>
    </row>
    <row r="116" spans="1:1" x14ac:dyDescent="0.2">
      <c r="A116" s="33" t="s">
        <v>53</v>
      </c>
    </row>
    <row r="117" spans="1:1" x14ac:dyDescent="0.2">
      <c r="A117" s="33" t="s">
        <v>53</v>
      </c>
    </row>
    <row r="118" spans="1:1" x14ac:dyDescent="0.2">
      <c r="A118" s="33" t="s">
        <v>53</v>
      </c>
    </row>
    <row r="119" spans="1:1" x14ac:dyDescent="0.2">
      <c r="A119" s="33" t="s">
        <v>53</v>
      </c>
    </row>
    <row r="120" spans="1:1" x14ac:dyDescent="0.2">
      <c r="A120" s="33" t="s">
        <v>53</v>
      </c>
    </row>
    <row r="121" spans="1:1" x14ac:dyDescent="0.2">
      <c r="A121" s="33" t="s">
        <v>53</v>
      </c>
    </row>
    <row r="122" spans="1:1" x14ac:dyDescent="0.2">
      <c r="A122" s="33" t="s">
        <v>53</v>
      </c>
    </row>
    <row r="123" spans="1:1" x14ac:dyDescent="0.2">
      <c r="A123" s="46" t="s">
        <v>53</v>
      </c>
    </row>
    <row r="124" spans="1:1" x14ac:dyDescent="0.2">
      <c r="A124" s="46" t="s">
        <v>53</v>
      </c>
    </row>
    <row r="125" spans="1:1" x14ac:dyDescent="0.2">
      <c r="A125" s="33" t="s">
        <v>53</v>
      </c>
    </row>
    <row r="126" spans="1:1" x14ac:dyDescent="0.2">
      <c r="A126" s="17" t="s">
        <v>53</v>
      </c>
    </row>
    <row r="127" spans="1:1" x14ac:dyDescent="0.2">
      <c r="A127" s="16" t="s">
        <v>336</v>
      </c>
    </row>
    <row r="128" spans="1:1" x14ac:dyDescent="0.2">
      <c r="A128" s="16" t="s">
        <v>337</v>
      </c>
    </row>
    <row r="129" spans="1:1" x14ac:dyDescent="0.2">
      <c r="A129" s="16" t="s">
        <v>326</v>
      </c>
    </row>
    <row r="130" spans="1:1" ht="13.5" thickBot="1" x14ac:dyDescent="0.25">
      <c r="A130" s="16" t="s">
        <v>368</v>
      </c>
    </row>
    <row r="131" spans="1:1" ht="13.5" thickBot="1" x14ac:dyDescent="0.25">
      <c r="A131" s="169" t="s">
        <v>133</v>
      </c>
    </row>
    <row r="132" spans="1:1" x14ac:dyDescent="0.2">
      <c r="A132" s="127"/>
    </row>
    <row r="133" spans="1:1" ht="13.5" thickBot="1" x14ac:dyDescent="0.25">
      <c r="A133" s="129"/>
    </row>
    <row r="134" spans="1:1" x14ac:dyDescent="0.2">
      <c r="A134" s="80"/>
    </row>
    <row r="135" spans="1:1" ht="13.5" thickBot="1" x14ac:dyDescent="0.25">
      <c r="A135" s="88" t="s">
        <v>62</v>
      </c>
    </row>
    <row r="136" spans="1:1" x14ac:dyDescent="0.2">
      <c r="A136" s="32" t="s">
        <v>2</v>
      </c>
    </row>
    <row r="137" spans="1:1" x14ac:dyDescent="0.2">
      <c r="A137" s="45" t="s">
        <v>328</v>
      </c>
    </row>
    <row r="138" spans="1:1" x14ac:dyDescent="0.2">
      <c r="A138" s="49" t="s">
        <v>17</v>
      </c>
    </row>
    <row r="139" spans="1:1" x14ac:dyDescent="0.2">
      <c r="A139" s="49" t="s">
        <v>17</v>
      </c>
    </row>
    <row r="140" spans="1:1" x14ac:dyDescent="0.2">
      <c r="A140" s="49" t="s">
        <v>17</v>
      </c>
    </row>
    <row r="141" spans="1:1" x14ac:dyDescent="0.2">
      <c r="A141" s="49" t="s">
        <v>18</v>
      </c>
    </row>
    <row r="142" spans="1:1" x14ac:dyDescent="0.2">
      <c r="A142" s="17" t="s">
        <v>18</v>
      </c>
    </row>
    <row r="143" spans="1:1" x14ac:dyDescent="0.2">
      <c r="A143" s="32" t="s">
        <v>20</v>
      </c>
    </row>
    <row r="144" spans="1:1" x14ac:dyDescent="0.2">
      <c r="A144" s="33" t="s">
        <v>23</v>
      </c>
    </row>
    <row r="145" spans="1:1" x14ac:dyDescent="0.2">
      <c r="A145" s="32" t="s">
        <v>271</v>
      </c>
    </row>
    <row r="146" spans="1:1" x14ac:dyDescent="0.2">
      <c r="A146" s="32" t="s">
        <v>40</v>
      </c>
    </row>
    <row r="147" spans="1:1" x14ac:dyDescent="0.2">
      <c r="A147" s="49" t="s">
        <v>33</v>
      </c>
    </row>
    <row r="148" spans="1:1" x14ac:dyDescent="0.2">
      <c r="A148" s="34" t="s">
        <v>33</v>
      </c>
    </row>
    <row r="149" spans="1:1" x14ac:dyDescent="0.2">
      <c r="A149" s="17" t="s">
        <v>32</v>
      </c>
    </row>
    <row r="150" spans="1:1" x14ac:dyDescent="0.2">
      <c r="A150" s="32" t="s">
        <v>34</v>
      </c>
    </row>
    <row r="151" spans="1:1" x14ac:dyDescent="0.2">
      <c r="A151" s="32" t="s">
        <v>35</v>
      </c>
    </row>
    <row r="152" spans="1:1" x14ac:dyDescent="0.2">
      <c r="A152" s="32" t="s">
        <v>36</v>
      </c>
    </row>
    <row r="153" spans="1:1" x14ac:dyDescent="0.2">
      <c r="A153" s="5" t="s">
        <v>37</v>
      </c>
    </row>
    <row r="154" spans="1:1" x14ac:dyDescent="0.2">
      <c r="A154" s="717" t="s">
        <v>314</v>
      </c>
    </row>
    <row r="155" spans="1:1" x14ac:dyDescent="0.2">
      <c r="A155" s="717" t="s">
        <v>315</v>
      </c>
    </row>
    <row r="156" spans="1:1" x14ac:dyDescent="0.2">
      <c r="A156" s="717" t="s">
        <v>355</v>
      </c>
    </row>
    <row r="157" spans="1:1" x14ac:dyDescent="0.2">
      <c r="A157" s="717" t="s">
        <v>316</v>
      </c>
    </row>
    <row r="158" spans="1:1" x14ac:dyDescent="0.2">
      <c r="A158" s="717" t="s">
        <v>317</v>
      </c>
    </row>
    <row r="159" spans="1:1" x14ac:dyDescent="0.2">
      <c r="A159" s="669" t="s">
        <v>428</v>
      </c>
    </row>
    <row r="160" spans="1:1" x14ac:dyDescent="0.2">
      <c r="A160" s="49" t="s">
        <v>318</v>
      </c>
    </row>
    <row r="161" spans="1:1" x14ac:dyDescent="0.2">
      <c r="A161" s="34" t="s">
        <v>319</v>
      </c>
    </row>
    <row r="162" spans="1:1" x14ac:dyDescent="0.2">
      <c r="A162" s="35" t="s">
        <v>146</v>
      </c>
    </row>
    <row r="163" spans="1:1" x14ac:dyDescent="0.2">
      <c r="A163" s="32" t="s">
        <v>46</v>
      </c>
    </row>
    <row r="164" spans="1:1" x14ac:dyDescent="0.2">
      <c r="A164" s="32" t="s">
        <v>54</v>
      </c>
    </row>
    <row r="165" spans="1:1" ht="13.5" thickBot="1" x14ac:dyDescent="0.25">
      <c r="A165" s="32" t="s">
        <v>56</v>
      </c>
    </row>
    <row r="166" spans="1:1" ht="13.5" thickBot="1" x14ac:dyDescent="0.25">
      <c r="A166" s="196" t="s">
        <v>115</v>
      </c>
    </row>
    <row r="167" spans="1:1" x14ac:dyDescent="0.2">
      <c r="A167" s="198"/>
    </row>
    <row r="168" spans="1:1" x14ac:dyDescent="0.2">
      <c r="A168" s="205" t="s">
        <v>286</v>
      </c>
    </row>
    <row r="169" spans="1:1" x14ac:dyDescent="0.2">
      <c r="A169" s="205" t="s">
        <v>287</v>
      </c>
    </row>
    <row r="170" spans="1:1" x14ac:dyDescent="0.2">
      <c r="A170" s="198"/>
    </row>
    <row r="171" spans="1:1" ht="15.75" x14ac:dyDescent="0.2">
      <c r="A171" s="215" t="s">
        <v>116</v>
      </c>
    </row>
    <row r="174" spans="1:1" x14ac:dyDescent="0.2">
      <c r="A174" s="16" t="s">
        <v>307</v>
      </c>
    </row>
    <row r="175" spans="1:1" x14ac:dyDescent="0.2">
      <c r="A175" s="16" t="s">
        <v>307</v>
      </c>
    </row>
    <row r="176" spans="1:1" x14ac:dyDescent="0.2">
      <c r="A176" s="16"/>
    </row>
    <row r="177" spans="1:1" x14ac:dyDescent="0.2">
      <c r="A177" s="16" t="s">
        <v>344</v>
      </c>
    </row>
    <row r="178" spans="1:1" x14ac:dyDescent="0.2">
      <c r="A178" s="16" t="s">
        <v>344</v>
      </c>
    </row>
    <row r="179" spans="1:1" x14ac:dyDescent="0.2">
      <c r="A179" s="527"/>
    </row>
    <row r="180" spans="1:1" ht="15.75" x14ac:dyDescent="0.2">
      <c r="A180" s="494" t="s">
        <v>341</v>
      </c>
    </row>
    <row r="182" spans="1:1" x14ac:dyDescent="0.2">
      <c r="A182" s="74" t="s">
        <v>407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8"/>
  <sheetViews>
    <sheetView zoomScaleNormal="100" workbookViewId="0">
      <pane ySplit="1" topLeftCell="A71" activePane="bottomLeft" state="frozen"/>
      <selection activeCell="E104" sqref="E104"/>
      <selection pane="bottomLeft" activeCell="G239" sqref="G239"/>
    </sheetView>
  </sheetViews>
  <sheetFormatPr defaultRowHeight="12.75" customHeight="1" x14ac:dyDescent="0.2"/>
  <cols>
    <col min="1" max="1" width="22.7109375" bestFit="1" customWidth="1"/>
    <col min="2" max="3" width="21.5703125" bestFit="1" customWidth="1"/>
    <col min="4" max="4" width="30.7109375" bestFit="1" customWidth="1"/>
    <col min="5" max="5" width="15.28515625" customWidth="1"/>
    <col min="6" max="6" width="14.28515625" bestFit="1" customWidth="1"/>
    <col min="7" max="8" width="14.42578125" bestFit="1" customWidth="1"/>
    <col min="9" max="9" width="13.42578125" bestFit="1" customWidth="1"/>
    <col min="10" max="10" width="12.140625" customWidth="1"/>
  </cols>
  <sheetData>
    <row r="1" spans="1:10" ht="13.5" thickBot="1" x14ac:dyDescent="0.25">
      <c r="A1" s="767" t="s">
        <v>62</v>
      </c>
      <c r="B1" s="767" t="s">
        <v>431</v>
      </c>
      <c r="C1" s="767" t="s">
        <v>432</v>
      </c>
      <c r="D1" s="767" t="s">
        <v>433</v>
      </c>
      <c r="E1" s="767" t="s">
        <v>434</v>
      </c>
      <c r="F1" s="767" t="s">
        <v>435</v>
      </c>
      <c r="G1" s="767" t="s">
        <v>436</v>
      </c>
      <c r="H1" s="767" t="s">
        <v>437</v>
      </c>
      <c r="I1" s="767" t="s">
        <v>438</v>
      </c>
    </row>
    <row r="2" spans="1:10" ht="12.75" customHeight="1" thickBot="1" x14ac:dyDescent="0.25">
      <c r="A2" s="866"/>
      <c r="B2" s="867"/>
      <c r="C2" s="867"/>
      <c r="D2" s="867"/>
      <c r="E2" s="867"/>
      <c r="F2" s="867"/>
      <c r="G2" s="867"/>
      <c r="H2" s="867"/>
      <c r="I2" s="867"/>
    </row>
    <row r="3" spans="1:10" ht="13.5" thickBot="1" x14ac:dyDescent="0.25">
      <c r="A3" s="768" t="s">
        <v>779</v>
      </c>
      <c r="B3" s="768" t="s">
        <v>181</v>
      </c>
      <c r="C3" s="768" t="s">
        <v>662</v>
      </c>
      <c r="D3" s="768" t="s">
        <v>244</v>
      </c>
      <c r="E3" s="769">
        <v>0</v>
      </c>
      <c r="F3" s="770">
        <f>VLOOKUP(A3,Sheet2!A:F,6,0)</f>
        <v>6000</v>
      </c>
      <c r="G3" s="770">
        <f>VLOOKUP(A3,Sheet2!A:E,5,0)</f>
        <v>405</v>
      </c>
      <c r="H3" s="770">
        <f>VLOOKUP(A3,Sheet2!A:C,3,0)</f>
        <v>0</v>
      </c>
      <c r="I3" s="769">
        <f>F3-G3-H3</f>
        <v>5595</v>
      </c>
      <c r="J3" s="812">
        <f>E3-F3</f>
        <v>-6000</v>
      </c>
    </row>
    <row r="4" spans="1:10" ht="13.5" thickBot="1" x14ac:dyDescent="0.25">
      <c r="A4" s="768" t="s">
        <v>780</v>
      </c>
      <c r="B4" s="768" t="s">
        <v>181</v>
      </c>
      <c r="C4" s="768" t="s">
        <v>556</v>
      </c>
      <c r="D4" s="768" t="s">
        <v>244</v>
      </c>
      <c r="E4" s="769">
        <v>0</v>
      </c>
      <c r="F4" s="770">
        <f>VLOOKUP(A4,Sheet2!A:F,6,0)</f>
        <v>87</v>
      </c>
      <c r="G4" s="770">
        <f>VLOOKUP(A4,Sheet2!A:E,5,0)</f>
        <v>5.87</v>
      </c>
      <c r="H4" s="770">
        <f>VLOOKUP(A4,Sheet2!A:C,3,0)</f>
        <v>0</v>
      </c>
      <c r="I4" s="769">
        <f t="shared" ref="I4:I62" si="0">F4-G4-H4</f>
        <v>81.13</v>
      </c>
      <c r="J4" s="812">
        <f t="shared" ref="J4:J75" si="1">E4-F4</f>
        <v>-87</v>
      </c>
    </row>
    <row r="5" spans="1:10" ht="13.5" thickBot="1" x14ac:dyDescent="0.25">
      <c r="A5" s="768" t="s">
        <v>781</v>
      </c>
      <c r="B5" s="768" t="s">
        <v>181</v>
      </c>
      <c r="C5" s="768" t="s">
        <v>782</v>
      </c>
      <c r="D5" s="768" t="s">
        <v>244</v>
      </c>
      <c r="E5" s="769">
        <v>0</v>
      </c>
      <c r="F5" s="770">
        <f>VLOOKUP(A5,Sheet2!A:F,6,0)</f>
        <v>0</v>
      </c>
      <c r="G5" s="770">
        <f>VLOOKUP(A5,Sheet2!A:E,5,0)</f>
        <v>0</v>
      </c>
      <c r="H5" s="770">
        <f>VLOOKUP(A5,Sheet2!A:C,3,0)</f>
        <v>0</v>
      </c>
      <c r="I5" s="769">
        <f t="shared" si="0"/>
        <v>0</v>
      </c>
      <c r="J5" s="812">
        <f t="shared" si="1"/>
        <v>0</v>
      </c>
    </row>
    <row r="6" spans="1:10" ht="13.5" thickBot="1" x14ac:dyDescent="0.25">
      <c r="A6" s="768" t="s">
        <v>783</v>
      </c>
      <c r="B6" s="768" t="s">
        <v>181</v>
      </c>
      <c r="C6" s="768" t="s">
        <v>665</v>
      </c>
      <c r="D6" s="768" t="s">
        <v>244</v>
      </c>
      <c r="E6" s="769">
        <v>0</v>
      </c>
      <c r="F6" s="770">
        <f>VLOOKUP(A6,Sheet2!A:F,6,0)</f>
        <v>66</v>
      </c>
      <c r="G6" s="770">
        <f>VLOOKUP(A6,Sheet2!A:E,5,0)</f>
        <v>4.46</v>
      </c>
      <c r="H6" s="770">
        <f>VLOOKUP(A6,Sheet2!A:C,3,0)</f>
        <v>0</v>
      </c>
      <c r="I6" s="769">
        <f t="shared" si="0"/>
        <v>61.54</v>
      </c>
      <c r="J6" s="812">
        <f t="shared" si="1"/>
        <v>-66</v>
      </c>
    </row>
    <row r="7" spans="1:10" ht="13.5" thickBot="1" x14ac:dyDescent="0.25">
      <c r="A7" s="768" t="s">
        <v>784</v>
      </c>
      <c r="B7" s="768" t="s">
        <v>181</v>
      </c>
      <c r="C7" s="768" t="s">
        <v>562</v>
      </c>
      <c r="D7" s="768" t="s">
        <v>244</v>
      </c>
      <c r="E7" s="769">
        <v>0</v>
      </c>
      <c r="F7" s="770">
        <f>VLOOKUP(A7,Sheet2!A:F,6,0)</f>
        <v>89</v>
      </c>
      <c r="G7" s="770">
        <f>VLOOKUP(A7,Sheet2!A:E,5,0)</f>
        <v>5.98</v>
      </c>
      <c r="H7" s="770">
        <f>VLOOKUP(A7,Sheet2!A:C,3,0)</f>
        <v>0</v>
      </c>
      <c r="I7" s="769">
        <f t="shared" si="0"/>
        <v>83.02</v>
      </c>
      <c r="J7" s="812">
        <f t="shared" si="1"/>
        <v>-89</v>
      </c>
    </row>
    <row r="8" spans="1:10" ht="13.5" thickBot="1" x14ac:dyDescent="0.25">
      <c r="A8" s="771" t="s">
        <v>942</v>
      </c>
      <c r="B8" s="771" t="s">
        <v>181</v>
      </c>
      <c r="C8" s="771"/>
      <c r="D8" s="771" t="s">
        <v>244</v>
      </c>
      <c r="E8" s="772"/>
      <c r="F8" s="770">
        <f>VLOOKUP(A8,Sheet2!A:F,6,0)</f>
        <v>685</v>
      </c>
      <c r="G8" s="770">
        <f>VLOOKUP(A8,Sheet2!A:E,5,0)</f>
        <v>46.24</v>
      </c>
      <c r="H8" s="770">
        <f>VLOOKUP(A8,Sheet2!A:C,3,0)</f>
        <v>0</v>
      </c>
      <c r="I8" s="769">
        <f>F8-G8-H8</f>
        <v>638.76</v>
      </c>
      <c r="J8" s="793">
        <f>E8-F8</f>
        <v>-685</v>
      </c>
    </row>
    <row r="9" spans="1:10" ht="13.5" thickBot="1" x14ac:dyDescent="0.25">
      <c r="A9" s="771" t="s">
        <v>943</v>
      </c>
      <c r="B9" s="771" t="s">
        <v>181</v>
      </c>
      <c r="C9" s="771"/>
      <c r="D9" s="771" t="s">
        <v>244</v>
      </c>
      <c r="E9" s="772"/>
      <c r="F9" s="770">
        <f>VLOOKUP(A9,Sheet2!A:F,6,0)</f>
        <v>372</v>
      </c>
      <c r="G9" s="770">
        <f>VLOOKUP(A9,Sheet2!A:E,5,0)</f>
        <v>25.11</v>
      </c>
      <c r="H9" s="770">
        <f>VLOOKUP(A9,Sheet2!A:C,3,0)</f>
        <v>0</v>
      </c>
      <c r="I9" s="769">
        <f>F9-G9-H9</f>
        <v>346.89</v>
      </c>
      <c r="J9" s="793">
        <f>E9-F9</f>
        <v>-372</v>
      </c>
    </row>
    <row r="10" spans="1:10" ht="13.5" thickBot="1" x14ac:dyDescent="0.25">
      <c r="A10" s="768" t="s">
        <v>751</v>
      </c>
      <c r="B10" s="768" t="s">
        <v>181</v>
      </c>
      <c r="C10" s="768" t="s">
        <v>621</v>
      </c>
      <c r="D10" s="768" t="s">
        <v>244</v>
      </c>
      <c r="E10" s="769">
        <v>10000</v>
      </c>
      <c r="F10" s="770">
        <f>VLOOKUP(A10,Sheet2!A:F,6,0)</f>
        <v>2701</v>
      </c>
      <c r="G10" s="770">
        <f>VLOOKUP(A10,Sheet2!A:E,5,0)</f>
        <v>99</v>
      </c>
      <c r="H10" s="770">
        <f>VLOOKUP(A10,Sheet2!A:C,3,0)</f>
        <v>0</v>
      </c>
      <c r="I10" s="769">
        <f>F10-G10-H10</f>
        <v>2602</v>
      </c>
      <c r="J10" s="812">
        <f>E10-F10</f>
        <v>7299</v>
      </c>
    </row>
    <row r="11" spans="1:10" ht="13.5" thickBot="1" x14ac:dyDescent="0.25">
      <c r="A11" s="771" t="s">
        <v>738</v>
      </c>
      <c r="B11" s="771" t="s">
        <v>181</v>
      </c>
      <c r="C11" s="771" t="s">
        <v>619</v>
      </c>
      <c r="D11" s="771" t="s">
        <v>244</v>
      </c>
      <c r="E11" s="772">
        <v>18953</v>
      </c>
      <c r="F11" s="770">
        <f>VLOOKUP(A11,Sheet2!A:F,6,0)</f>
        <v>18953</v>
      </c>
      <c r="G11" s="770">
        <f>VLOOKUP(A11,Sheet2!A:E,5,0)</f>
        <v>18326</v>
      </c>
      <c r="H11" s="770">
        <f>VLOOKUP(A11,Sheet2!A:C,3,0)</f>
        <v>0</v>
      </c>
      <c r="I11" s="769">
        <f t="shared" si="0"/>
        <v>627</v>
      </c>
      <c r="J11" s="793">
        <f t="shared" si="1"/>
        <v>0</v>
      </c>
    </row>
    <row r="12" spans="1:10" ht="13.5" thickBot="1" x14ac:dyDescent="0.25">
      <c r="A12" s="771" t="s">
        <v>184</v>
      </c>
      <c r="B12" s="771" t="s">
        <v>441</v>
      </c>
      <c r="C12" s="771" t="s">
        <v>442</v>
      </c>
      <c r="D12" s="771" t="s">
        <v>441</v>
      </c>
      <c r="E12" s="772">
        <v>7479</v>
      </c>
      <c r="F12" s="770">
        <f>VLOOKUP(A12,Sheet2!A:F,6,0)</f>
        <v>7479</v>
      </c>
      <c r="G12" s="770">
        <f>VLOOKUP(A12,Sheet2!A:E,5,0)</f>
        <v>7479</v>
      </c>
      <c r="H12" s="770">
        <f>VLOOKUP(A12,Sheet2!A:C,3,0)</f>
        <v>0</v>
      </c>
      <c r="I12" s="769">
        <f t="shared" si="0"/>
        <v>0</v>
      </c>
      <c r="J12" s="793">
        <f t="shared" si="1"/>
        <v>0</v>
      </c>
    </row>
    <row r="13" spans="1:10" ht="13.5" thickBot="1" x14ac:dyDescent="0.25">
      <c r="A13" s="771" t="s">
        <v>760</v>
      </c>
      <c r="B13" s="771" t="s">
        <v>785</v>
      </c>
      <c r="C13" s="771" t="s">
        <v>442</v>
      </c>
      <c r="D13" s="771" t="s">
        <v>785</v>
      </c>
      <c r="E13" s="772">
        <v>2500</v>
      </c>
      <c r="F13" s="770">
        <f>VLOOKUP(A13,Sheet2!A:F,6,0)</f>
        <v>2500</v>
      </c>
      <c r="G13" s="770">
        <f>VLOOKUP(A13,Sheet2!A:E,5,0)</f>
        <v>2500</v>
      </c>
      <c r="H13" s="770">
        <f>VLOOKUP(A13,Sheet2!A:C,3,0)</f>
        <v>0</v>
      </c>
      <c r="I13" s="769">
        <f t="shared" si="0"/>
        <v>0</v>
      </c>
      <c r="J13" s="793">
        <f t="shared" si="1"/>
        <v>0</v>
      </c>
    </row>
    <row r="14" spans="1:10" ht="13.5" thickBot="1" x14ac:dyDescent="0.25">
      <c r="A14" s="771" t="s">
        <v>185</v>
      </c>
      <c r="B14" s="771" t="s">
        <v>443</v>
      </c>
      <c r="C14" s="771" t="s">
        <v>444</v>
      </c>
      <c r="D14" s="771" t="s">
        <v>445</v>
      </c>
      <c r="E14" s="772">
        <v>33200</v>
      </c>
      <c r="F14" s="770">
        <f>VLOOKUP(A14,Sheet2!A:F,6,0)</f>
        <v>0</v>
      </c>
      <c r="G14" s="770">
        <f>VLOOKUP(A14,Sheet2!A:E,5,0)</f>
        <v>0</v>
      </c>
      <c r="H14" s="770">
        <f>VLOOKUP(A14,Sheet2!A:C,3,0)</f>
        <v>0</v>
      </c>
      <c r="I14" s="769">
        <f t="shared" si="0"/>
        <v>0</v>
      </c>
      <c r="J14" s="812">
        <f t="shared" si="1"/>
        <v>33200</v>
      </c>
    </row>
    <row r="15" spans="1:10" ht="13.5" thickBot="1" x14ac:dyDescent="0.25">
      <c r="A15" s="768" t="s">
        <v>470</v>
      </c>
      <c r="B15" s="768" t="s">
        <v>471</v>
      </c>
      <c r="C15" s="768" t="s">
        <v>444</v>
      </c>
      <c r="D15" s="768" t="s">
        <v>472</v>
      </c>
      <c r="E15" s="769">
        <v>0</v>
      </c>
      <c r="F15" s="770">
        <f>VLOOKUP(A15,Sheet2!A:F,6,0)</f>
        <v>360</v>
      </c>
      <c r="G15" s="770">
        <f>VLOOKUP(A15,Sheet2!A:E,5,0)</f>
        <v>0</v>
      </c>
      <c r="H15" s="770">
        <f>VLOOKUP(A15,Sheet2!A:C,3,0)</f>
        <v>0</v>
      </c>
      <c r="I15" s="769">
        <f t="shared" ref="I15:I54" si="2">F15-G15-H15</f>
        <v>360</v>
      </c>
      <c r="J15" s="812">
        <f t="shared" si="1"/>
        <v>-360</v>
      </c>
    </row>
    <row r="16" spans="1:10" ht="13.5" thickBot="1" x14ac:dyDescent="0.25">
      <c r="A16" s="771" t="s">
        <v>789</v>
      </c>
      <c r="B16" s="771" t="s">
        <v>790</v>
      </c>
      <c r="C16" s="771" t="s">
        <v>444</v>
      </c>
      <c r="D16" s="771" t="s">
        <v>476</v>
      </c>
      <c r="E16" s="772">
        <v>0</v>
      </c>
      <c r="F16" s="770">
        <f>VLOOKUP(A16,Sheet2!A:F,6,0)</f>
        <v>400</v>
      </c>
      <c r="G16" s="770">
        <f>VLOOKUP(A16,Sheet2!A:E,5,0)</f>
        <v>0</v>
      </c>
      <c r="H16" s="770">
        <f>VLOOKUP(A16,Sheet2!A:C,3,0)</f>
        <v>0</v>
      </c>
      <c r="I16" s="769">
        <f t="shared" si="2"/>
        <v>400</v>
      </c>
      <c r="J16" s="812">
        <f t="shared" si="1"/>
        <v>-400</v>
      </c>
    </row>
    <row r="17" spans="1:10" ht="13.5" thickBot="1" x14ac:dyDescent="0.25">
      <c r="A17" s="771" t="s">
        <v>474</v>
      </c>
      <c r="B17" s="771" t="s">
        <v>475</v>
      </c>
      <c r="C17" s="771" t="s">
        <v>444</v>
      </c>
      <c r="D17" s="771" t="s">
        <v>476</v>
      </c>
      <c r="E17" s="772">
        <v>0</v>
      </c>
      <c r="F17" s="770">
        <f>VLOOKUP(A17,Sheet2!A:F,6,0)</f>
        <v>200</v>
      </c>
      <c r="G17" s="770">
        <f>VLOOKUP(A17,Sheet2!A:E,5,0)</f>
        <v>0</v>
      </c>
      <c r="H17" s="770">
        <f>VLOOKUP(A17,Sheet2!A:C,3,0)</f>
        <v>0</v>
      </c>
      <c r="I17" s="769">
        <f t="shared" si="2"/>
        <v>200</v>
      </c>
      <c r="J17" s="812">
        <f t="shared" si="1"/>
        <v>-200</v>
      </c>
    </row>
    <row r="18" spans="1:10" ht="13.5" thickBot="1" x14ac:dyDescent="0.25">
      <c r="A18" s="771" t="s">
        <v>478</v>
      </c>
      <c r="B18" s="771" t="s">
        <v>479</v>
      </c>
      <c r="C18" s="771" t="s">
        <v>444</v>
      </c>
      <c r="D18" s="771" t="s">
        <v>476</v>
      </c>
      <c r="E18" s="772">
        <v>0</v>
      </c>
      <c r="F18" s="770">
        <f>VLOOKUP(A18,Sheet2!A:F,6,0)</f>
        <v>600</v>
      </c>
      <c r="G18" s="770">
        <f>VLOOKUP(A18,Sheet2!A:E,5,0)</f>
        <v>0</v>
      </c>
      <c r="H18" s="770">
        <f>VLOOKUP(A18,Sheet2!A:C,3,0)</f>
        <v>0</v>
      </c>
      <c r="I18" s="769">
        <f t="shared" si="2"/>
        <v>600</v>
      </c>
      <c r="J18" s="812">
        <f t="shared" si="1"/>
        <v>-600</v>
      </c>
    </row>
    <row r="19" spans="1:10" ht="13.5" thickBot="1" x14ac:dyDescent="0.25">
      <c r="A19" s="768" t="s">
        <v>481</v>
      </c>
      <c r="B19" s="768" t="s">
        <v>482</v>
      </c>
      <c r="C19" s="768" t="s">
        <v>444</v>
      </c>
      <c r="D19" s="768" t="s">
        <v>476</v>
      </c>
      <c r="E19" s="769">
        <v>0</v>
      </c>
      <c r="F19" s="770">
        <f>VLOOKUP(A19,Sheet2!A:F,6,0)</f>
        <v>200</v>
      </c>
      <c r="G19" s="770">
        <f>VLOOKUP(A19,Sheet2!A:E,5,0)</f>
        <v>0</v>
      </c>
      <c r="H19" s="770">
        <f>VLOOKUP(A19,Sheet2!A:C,3,0)</f>
        <v>0</v>
      </c>
      <c r="I19" s="769">
        <f t="shared" si="2"/>
        <v>200</v>
      </c>
      <c r="J19" s="812">
        <f t="shared" si="1"/>
        <v>-200</v>
      </c>
    </row>
    <row r="20" spans="1:10" ht="13.5" thickBot="1" x14ac:dyDescent="0.25">
      <c r="A20" s="771" t="s">
        <v>484</v>
      </c>
      <c r="B20" s="771" t="s">
        <v>485</v>
      </c>
      <c r="C20" s="771" t="s">
        <v>444</v>
      </c>
      <c r="D20" s="771" t="s">
        <v>476</v>
      </c>
      <c r="E20" s="772">
        <v>0</v>
      </c>
      <c r="F20" s="770">
        <f>VLOOKUP(A20,Sheet2!A:F,6,0)</f>
        <v>600</v>
      </c>
      <c r="G20" s="770">
        <f>VLOOKUP(A20,Sheet2!A:E,5,0)</f>
        <v>311.8</v>
      </c>
      <c r="H20" s="770">
        <f>VLOOKUP(A20,Sheet2!A:C,3,0)</f>
        <v>0</v>
      </c>
      <c r="I20" s="769">
        <f t="shared" si="2"/>
        <v>288.2</v>
      </c>
      <c r="J20" s="812">
        <f t="shared" si="1"/>
        <v>-600</v>
      </c>
    </row>
    <row r="21" spans="1:10" ht="13.5" thickBot="1" x14ac:dyDescent="0.25">
      <c r="A21" s="771" t="s">
        <v>487</v>
      </c>
      <c r="B21" s="771" t="s">
        <v>488</v>
      </c>
      <c r="C21" s="771" t="s">
        <v>444</v>
      </c>
      <c r="D21" s="771" t="s">
        <v>476</v>
      </c>
      <c r="E21" s="772">
        <v>0</v>
      </c>
      <c r="F21" s="770">
        <f>VLOOKUP(A21,Sheet2!A:F,6,0)</f>
        <v>400</v>
      </c>
      <c r="G21" s="770">
        <f>VLOOKUP(A21,Sheet2!A:E,5,0)</f>
        <v>0</v>
      </c>
      <c r="H21" s="770">
        <f>VLOOKUP(A21,Sheet2!A:C,3,0)</f>
        <v>0</v>
      </c>
      <c r="I21" s="769">
        <f t="shared" si="2"/>
        <v>400</v>
      </c>
      <c r="J21" s="812">
        <f t="shared" si="1"/>
        <v>-400</v>
      </c>
    </row>
    <row r="22" spans="1:10" ht="13.5" thickBot="1" x14ac:dyDescent="0.25">
      <c r="A22" s="771" t="s">
        <v>490</v>
      </c>
      <c r="B22" s="771" t="s">
        <v>491</v>
      </c>
      <c r="C22" s="771" t="s">
        <v>444</v>
      </c>
      <c r="D22" s="771" t="s">
        <v>476</v>
      </c>
      <c r="E22" s="772">
        <v>0</v>
      </c>
      <c r="F22" s="770">
        <f>VLOOKUP(A22,Sheet2!A:F,6,0)</f>
        <v>800</v>
      </c>
      <c r="G22" s="770">
        <f>VLOOKUP(A22,Sheet2!A:E,5,0)</f>
        <v>0</v>
      </c>
      <c r="H22" s="770">
        <f>VLOOKUP(A22,Sheet2!A:C,3,0)</f>
        <v>0</v>
      </c>
      <c r="I22" s="769">
        <f t="shared" si="2"/>
        <v>800</v>
      </c>
      <c r="J22" s="812">
        <f t="shared" si="1"/>
        <v>-800</v>
      </c>
    </row>
    <row r="23" spans="1:10" ht="13.5" thickBot="1" x14ac:dyDescent="0.25">
      <c r="A23" s="768" t="s">
        <v>493</v>
      </c>
      <c r="B23" s="768" t="s">
        <v>494</v>
      </c>
      <c r="C23" s="768" t="s">
        <v>444</v>
      </c>
      <c r="D23" s="768" t="s">
        <v>476</v>
      </c>
      <c r="E23" s="769">
        <v>0</v>
      </c>
      <c r="F23" s="770">
        <f>VLOOKUP(A23,Sheet2!A:F,6,0)</f>
        <v>400</v>
      </c>
      <c r="G23" s="770">
        <f>VLOOKUP(A23,Sheet2!A:E,5,0)</f>
        <v>0</v>
      </c>
      <c r="H23" s="770">
        <f>VLOOKUP(A23,Sheet2!A:C,3,0)</f>
        <v>0</v>
      </c>
      <c r="I23" s="769">
        <f t="shared" si="2"/>
        <v>400</v>
      </c>
      <c r="J23" s="812">
        <f t="shared" si="1"/>
        <v>-400</v>
      </c>
    </row>
    <row r="24" spans="1:10" ht="13.5" thickBot="1" x14ac:dyDescent="0.25">
      <c r="A24" s="771" t="s">
        <v>496</v>
      </c>
      <c r="B24" s="771" t="s">
        <v>497</v>
      </c>
      <c r="C24" s="771" t="s">
        <v>444</v>
      </c>
      <c r="D24" s="771" t="s">
        <v>476</v>
      </c>
      <c r="E24" s="772">
        <v>0</v>
      </c>
      <c r="F24" s="770">
        <f>VLOOKUP(A24,Sheet2!A:F,6,0)</f>
        <v>400</v>
      </c>
      <c r="G24" s="770">
        <f>VLOOKUP(A24,Sheet2!A:E,5,0)</f>
        <v>0</v>
      </c>
      <c r="H24" s="770">
        <f>VLOOKUP(A24,Sheet2!A:C,3,0)</f>
        <v>0</v>
      </c>
      <c r="I24" s="769">
        <f t="shared" si="2"/>
        <v>400</v>
      </c>
      <c r="J24" s="812">
        <f t="shared" si="1"/>
        <v>-400</v>
      </c>
    </row>
    <row r="25" spans="1:10" ht="13.5" thickBot="1" x14ac:dyDescent="0.25">
      <c r="A25" s="771" t="s">
        <v>502</v>
      </c>
      <c r="B25" s="771" t="s">
        <v>503</v>
      </c>
      <c r="C25" s="771" t="s">
        <v>444</v>
      </c>
      <c r="D25" s="771" t="s">
        <v>501</v>
      </c>
      <c r="E25" s="772">
        <v>0</v>
      </c>
      <c r="F25" s="770">
        <f>VLOOKUP(A25,Sheet2!A:F,6,0)</f>
        <v>400</v>
      </c>
      <c r="G25" s="770">
        <f>VLOOKUP(A25,Sheet2!A:E,5,0)</f>
        <v>0</v>
      </c>
      <c r="H25" s="770">
        <f>VLOOKUP(A25,Sheet2!A:C,3,0)</f>
        <v>0</v>
      </c>
      <c r="I25" s="769">
        <f t="shared" si="2"/>
        <v>400</v>
      </c>
      <c r="J25" s="812">
        <f t="shared" si="1"/>
        <v>-400</v>
      </c>
    </row>
    <row r="26" spans="1:10" ht="13.5" thickBot="1" x14ac:dyDescent="0.25">
      <c r="A26" s="771" t="s">
        <v>505</v>
      </c>
      <c r="B26" s="771" t="s">
        <v>506</v>
      </c>
      <c r="C26" s="771" t="s">
        <v>444</v>
      </c>
      <c r="D26" s="771" t="s">
        <v>501</v>
      </c>
      <c r="E26" s="772">
        <v>0</v>
      </c>
      <c r="F26" s="770">
        <f>VLOOKUP(A26,Sheet2!A:F,6,0)</f>
        <v>600</v>
      </c>
      <c r="G26" s="770">
        <f>VLOOKUP(A26,Sheet2!A:E,5,0)</f>
        <v>0</v>
      </c>
      <c r="H26" s="770">
        <f>VLOOKUP(A26,Sheet2!A:C,3,0)</f>
        <v>0</v>
      </c>
      <c r="I26" s="769">
        <f t="shared" si="2"/>
        <v>600</v>
      </c>
      <c r="J26" s="812">
        <f t="shared" si="1"/>
        <v>-600</v>
      </c>
    </row>
    <row r="27" spans="1:10" ht="13.5" thickBot="1" x14ac:dyDescent="0.25">
      <c r="A27" s="768" t="s">
        <v>508</v>
      </c>
      <c r="B27" s="768" t="s">
        <v>509</v>
      </c>
      <c r="C27" s="768" t="s">
        <v>444</v>
      </c>
      <c r="D27" s="768" t="s">
        <v>501</v>
      </c>
      <c r="E27" s="769">
        <v>0</v>
      </c>
      <c r="F27" s="770">
        <f>VLOOKUP(A27,Sheet2!A:F,6,0)</f>
        <v>200</v>
      </c>
      <c r="G27" s="770">
        <f>VLOOKUP(A27,Sheet2!A:E,5,0)</f>
        <v>0</v>
      </c>
      <c r="H27" s="770">
        <f>VLOOKUP(A27,Sheet2!A:C,3,0)</f>
        <v>0</v>
      </c>
      <c r="I27" s="769">
        <f t="shared" si="2"/>
        <v>200</v>
      </c>
      <c r="J27" s="812">
        <f t="shared" si="1"/>
        <v>-200</v>
      </c>
    </row>
    <row r="28" spans="1:10" ht="13.5" thickBot="1" x14ac:dyDescent="0.25">
      <c r="A28" s="771" t="s">
        <v>511</v>
      </c>
      <c r="B28" s="771" t="s">
        <v>512</v>
      </c>
      <c r="C28" s="771" t="s">
        <v>444</v>
      </c>
      <c r="D28" s="771" t="s">
        <v>501</v>
      </c>
      <c r="E28" s="772">
        <v>0</v>
      </c>
      <c r="F28" s="770">
        <f>VLOOKUP(A28,Sheet2!A:F,6,0)</f>
        <v>400</v>
      </c>
      <c r="G28" s="770">
        <f>VLOOKUP(A28,Sheet2!A:E,5,0)</f>
        <v>0</v>
      </c>
      <c r="H28" s="770">
        <f>VLOOKUP(A28,Sheet2!A:C,3,0)</f>
        <v>0</v>
      </c>
      <c r="I28" s="769">
        <f t="shared" si="2"/>
        <v>400</v>
      </c>
      <c r="J28" s="812">
        <f t="shared" si="1"/>
        <v>-400</v>
      </c>
    </row>
    <row r="29" spans="1:10" ht="13.5" thickBot="1" x14ac:dyDescent="0.25">
      <c r="A29" s="771" t="s">
        <v>514</v>
      </c>
      <c r="B29" s="771" t="s">
        <v>515</v>
      </c>
      <c r="C29" s="771" t="s">
        <v>444</v>
      </c>
      <c r="D29" s="771" t="s">
        <v>501</v>
      </c>
      <c r="E29" s="772">
        <v>0</v>
      </c>
      <c r="F29" s="770">
        <f>VLOOKUP(A29,Sheet2!A:F,6,0)</f>
        <v>200</v>
      </c>
      <c r="G29" s="770">
        <f>VLOOKUP(A29,Sheet2!A:E,5,0)</f>
        <v>0</v>
      </c>
      <c r="H29" s="770">
        <f>VLOOKUP(A29,Sheet2!A:C,3,0)</f>
        <v>0</v>
      </c>
      <c r="I29" s="769">
        <f t="shared" si="2"/>
        <v>200</v>
      </c>
      <c r="J29" s="812">
        <f t="shared" si="1"/>
        <v>-200</v>
      </c>
    </row>
    <row r="30" spans="1:10" ht="13.5" thickBot="1" x14ac:dyDescent="0.25">
      <c r="A30" s="771" t="s">
        <v>517</v>
      </c>
      <c r="B30" s="771" t="s">
        <v>518</v>
      </c>
      <c r="C30" s="771" t="s">
        <v>444</v>
      </c>
      <c r="D30" s="771" t="s">
        <v>501</v>
      </c>
      <c r="E30" s="772">
        <v>0</v>
      </c>
      <c r="F30" s="770">
        <f>VLOOKUP(A30,Sheet2!A:F,6,0)</f>
        <v>680</v>
      </c>
      <c r="G30" s="770">
        <f>VLOOKUP(A30,Sheet2!A:E,5,0)</f>
        <v>0</v>
      </c>
      <c r="H30" s="770">
        <f>VLOOKUP(A30,Sheet2!A:C,3,0)</f>
        <v>0</v>
      </c>
      <c r="I30" s="769">
        <f t="shared" si="2"/>
        <v>680</v>
      </c>
      <c r="J30" s="812">
        <f t="shared" si="1"/>
        <v>-680</v>
      </c>
    </row>
    <row r="31" spans="1:10" ht="13.5" thickBot="1" x14ac:dyDescent="0.25">
      <c r="A31" s="768" t="s">
        <v>520</v>
      </c>
      <c r="B31" s="768" t="s">
        <v>521</v>
      </c>
      <c r="C31" s="768" t="s">
        <v>444</v>
      </c>
      <c r="D31" s="768" t="s">
        <v>522</v>
      </c>
      <c r="E31" s="769">
        <v>0</v>
      </c>
      <c r="F31" s="770">
        <f>VLOOKUP(A31,Sheet2!A:F,6,0)</f>
        <v>1200</v>
      </c>
      <c r="G31" s="770">
        <f>VLOOKUP(A31,Sheet2!A:E,5,0)</f>
        <v>400</v>
      </c>
      <c r="H31" s="770">
        <f>VLOOKUP(A31,Sheet2!A:C,3,0)</f>
        <v>0</v>
      </c>
      <c r="I31" s="769">
        <f t="shared" si="2"/>
        <v>800</v>
      </c>
      <c r="J31" s="812">
        <f t="shared" si="1"/>
        <v>-1200</v>
      </c>
    </row>
    <row r="32" spans="1:10" ht="13.5" thickBot="1" x14ac:dyDescent="0.25">
      <c r="A32" s="771" t="s">
        <v>524</v>
      </c>
      <c r="B32" s="771" t="s">
        <v>525</v>
      </c>
      <c r="C32" s="771" t="s">
        <v>444</v>
      </c>
      <c r="D32" s="771" t="s">
        <v>522</v>
      </c>
      <c r="E32" s="772">
        <v>0</v>
      </c>
      <c r="F32" s="770">
        <f>VLOOKUP(A32,Sheet2!A:F,6,0)</f>
        <v>800</v>
      </c>
      <c r="G32" s="770">
        <f>VLOOKUP(A32,Sheet2!A:E,5,0)</f>
        <v>320.16000000000003</v>
      </c>
      <c r="H32" s="770">
        <f>VLOOKUP(A32,Sheet2!A:C,3,0)</f>
        <v>0</v>
      </c>
      <c r="I32" s="769">
        <f t="shared" si="2"/>
        <v>479.84</v>
      </c>
      <c r="J32" s="812">
        <f t="shared" si="1"/>
        <v>-800</v>
      </c>
    </row>
    <row r="33" spans="1:10" ht="13.5" thickBot="1" x14ac:dyDescent="0.25">
      <c r="A33" s="771" t="s">
        <v>527</v>
      </c>
      <c r="B33" s="771" t="s">
        <v>528</v>
      </c>
      <c r="C33" s="771" t="s">
        <v>444</v>
      </c>
      <c r="D33" s="771" t="s">
        <v>522</v>
      </c>
      <c r="E33" s="772">
        <v>0</v>
      </c>
      <c r="F33" s="770">
        <f>VLOOKUP(A33,Sheet2!A:F,6,0)</f>
        <v>600</v>
      </c>
      <c r="G33" s="770">
        <f>VLOOKUP(A33,Sheet2!A:E,5,0)</f>
        <v>0</v>
      </c>
      <c r="H33" s="770">
        <f>VLOOKUP(A33,Sheet2!A:C,3,0)</f>
        <v>0</v>
      </c>
      <c r="I33" s="769">
        <f t="shared" si="2"/>
        <v>600</v>
      </c>
      <c r="J33" s="812">
        <f t="shared" si="1"/>
        <v>-600</v>
      </c>
    </row>
    <row r="34" spans="1:10" ht="13.5" thickBot="1" x14ac:dyDescent="0.25">
      <c r="A34" s="771" t="s">
        <v>530</v>
      </c>
      <c r="B34" s="771" t="s">
        <v>531</v>
      </c>
      <c r="C34" s="771" t="s">
        <v>444</v>
      </c>
      <c r="D34" s="771" t="s">
        <v>532</v>
      </c>
      <c r="E34" s="772">
        <v>0</v>
      </c>
      <c r="F34" s="770">
        <f>VLOOKUP(A34,Sheet2!A:F,6,0)</f>
        <v>3200</v>
      </c>
      <c r="G34" s="770">
        <f>VLOOKUP(A34,Sheet2!A:E,5,0)</f>
        <v>0</v>
      </c>
      <c r="H34" s="770">
        <f>VLOOKUP(A34,Sheet2!A:C,3,0)</f>
        <v>0</v>
      </c>
      <c r="I34" s="769">
        <f t="shared" si="2"/>
        <v>3200</v>
      </c>
      <c r="J34" s="812">
        <f t="shared" si="1"/>
        <v>-3200</v>
      </c>
    </row>
    <row r="35" spans="1:10" ht="13.5" thickBot="1" x14ac:dyDescent="0.25">
      <c r="A35" s="768" t="s">
        <v>534</v>
      </c>
      <c r="B35" s="768" t="s">
        <v>535</v>
      </c>
      <c r="C35" s="768" t="s">
        <v>444</v>
      </c>
      <c r="D35" s="768" t="s">
        <v>532</v>
      </c>
      <c r="E35" s="769">
        <v>0</v>
      </c>
      <c r="F35" s="770">
        <f>VLOOKUP(A35,Sheet2!A:F,6,0)</f>
        <v>800</v>
      </c>
      <c r="G35" s="770">
        <f>VLOOKUP(A35,Sheet2!A:E,5,0)</f>
        <v>0</v>
      </c>
      <c r="H35" s="770">
        <f>VLOOKUP(A35,Sheet2!A:C,3,0)</f>
        <v>0</v>
      </c>
      <c r="I35" s="769">
        <f t="shared" si="2"/>
        <v>800</v>
      </c>
      <c r="J35" s="812">
        <f t="shared" si="1"/>
        <v>-800</v>
      </c>
    </row>
    <row r="36" spans="1:10" ht="13.5" thickBot="1" x14ac:dyDescent="0.25">
      <c r="A36" s="771" t="s">
        <v>537</v>
      </c>
      <c r="B36" s="771" t="s">
        <v>538</v>
      </c>
      <c r="C36" s="771" t="s">
        <v>444</v>
      </c>
      <c r="D36" s="771" t="s">
        <v>532</v>
      </c>
      <c r="E36" s="772">
        <v>0</v>
      </c>
      <c r="F36" s="770">
        <f>VLOOKUP(A36,Sheet2!A:F,6,0)</f>
        <v>400</v>
      </c>
      <c r="G36" s="770">
        <f>VLOOKUP(A36,Sheet2!A:E,5,0)</f>
        <v>0</v>
      </c>
      <c r="H36" s="770">
        <f>VLOOKUP(A36,Sheet2!A:C,3,0)</f>
        <v>0</v>
      </c>
      <c r="I36" s="769">
        <f t="shared" si="2"/>
        <v>400</v>
      </c>
      <c r="J36" s="812">
        <f t="shared" si="1"/>
        <v>-400</v>
      </c>
    </row>
    <row r="37" spans="1:10" ht="13.5" thickBot="1" x14ac:dyDescent="0.25">
      <c r="A37" s="771" t="s">
        <v>542</v>
      </c>
      <c r="B37" s="771" t="s">
        <v>543</v>
      </c>
      <c r="C37" s="771" t="s">
        <v>444</v>
      </c>
      <c r="D37" s="771" t="s">
        <v>532</v>
      </c>
      <c r="E37" s="772">
        <v>0</v>
      </c>
      <c r="F37" s="770">
        <f>VLOOKUP(A37,Sheet2!A:F,6,0)</f>
        <v>400</v>
      </c>
      <c r="G37" s="770">
        <f>VLOOKUP(A37,Sheet2!A:E,5,0)</f>
        <v>45</v>
      </c>
      <c r="H37" s="770">
        <f>VLOOKUP(A37,Sheet2!A:C,3,0)</f>
        <v>0</v>
      </c>
      <c r="I37" s="769">
        <f t="shared" si="2"/>
        <v>355</v>
      </c>
      <c r="J37" s="812">
        <f t="shared" si="1"/>
        <v>-400</v>
      </c>
    </row>
    <row r="38" spans="1:10" ht="13.5" thickBot="1" x14ac:dyDescent="0.25">
      <c r="A38" s="771" t="s">
        <v>545</v>
      </c>
      <c r="B38" s="771" t="s">
        <v>546</v>
      </c>
      <c r="C38" s="771" t="s">
        <v>444</v>
      </c>
      <c r="D38" s="771" t="s">
        <v>532</v>
      </c>
      <c r="E38" s="772">
        <v>0</v>
      </c>
      <c r="F38" s="770">
        <f>VLOOKUP(A38,Sheet2!A:F,6,0)</f>
        <v>800</v>
      </c>
      <c r="G38" s="770">
        <f>VLOOKUP(A38,Sheet2!A:E,5,0)</f>
        <v>0</v>
      </c>
      <c r="H38" s="770">
        <f>VLOOKUP(A38,Sheet2!A:C,3,0)</f>
        <v>0</v>
      </c>
      <c r="I38" s="769">
        <f t="shared" si="2"/>
        <v>800</v>
      </c>
      <c r="J38" s="812">
        <f t="shared" si="1"/>
        <v>-800</v>
      </c>
    </row>
    <row r="39" spans="1:10" ht="13.5" thickBot="1" x14ac:dyDescent="0.25">
      <c r="A39" s="768" t="s">
        <v>548</v>
      </c>
      <c r="B39" s="768" t="s">
        <v>549</v>
      </c>
      <c r="C39" s="768" t="s">
        <v>444</v>
      </c>
      <c r="D39" s="768" t="s">
        <v>262</v>
      </c>
      <c r="E39" s="769">
        <v>0</v>
      </c>
      <c r="F39" s="770">
        <f>VLOOKUP(A39,Sheet2!A:F,6,0)</f>
        <v>3200</v>
      </c>
      <c r="G39" s="770">
        <f>VLOOKUP(A39,Sheet2!A:E,5,0)</f>
        <v>0</v>
      </c>
      <c r="H39" s="770">
        <f>VLOOKUP(A39,Sheet2!A:C,3,0)</f>
        <v>0</v>
      </c>
      <c r="I39" s="769">
        <f t="shared" si="2"/>
        <v>3200</v>
      </c>
      <c r="J39" s="812">
        <f t="shared" si="1"/>
        <v>-3200</v>
      </c>
    </row>
    <row r="40" spans="1:10" ht="13.5" thickBot="1" x14ac:dyDescent="0.25">
      <c r="A40" s="771" t="s">
        <v>564</v>
      </c>
      <c r="B40" s="771" t="s">
        <v>565</v>
      </c>
      <c r="C40" s="771" t="s">
        <v>444</v>
      </c>
      <c r="D40" s="771" t="s">
        <v>566</v>
      </c>
      <c r="E40" s="772">
        <v>0</v>
      </c>
      <c r="F40" s="770">
        <f>VLOOKUP(A40,Sheet2!A:F,6,0)</f>
        <v>1600</v>
      </c>
      <c r="G40" s="770">
        <f>VLOOKUP(A40,Sheet2!A:E,5,0)</f>
        <v>0</v>
      </c>
      <c r="H40" s="770">
        <f>VLOOKUP(A40,Sheet2!A:C,3,0)</f>
        <v>0</v>
      </c>
      <c r="I40" s="769">
        <f t="shared" si="2"/>
        <v>1600</v>
      </c>
      <c r="J40" s="812">
        <f t="shared" si="1"/>
        <v>-1600</v>
      </c>
    </row>
    <row r="41" spans="1:10" ht="13.5" thickBot="1" x14ac:dyDescent="0.25">
      <c r="A41" s="771" t="s">
        <v>568</v>
      </c>
      <c r="B41" s="771" t="s">
        <v>569</v>
      </c>
      <c r="C41" s="771" t="s">
        <v>444</v>
      </c>
      <c r="D41" s="771" t="s">
        <v>566</v>
      </c>
      <c r="E41" s="772">
        <v>0</v>
      </c>
      <c r="F41" s="770">
        <f>VLOOKUP(A41,Sheet2!A:F,6,0)</f>
        <v>600</v>
      </c>
      <c r="G41" s="770">
        <f>VLOOKUP(A41,Sheet2!A:E,5,0)</f>
        <v>0</v>
      </c>
      <c r="H41" s="770">
        <f>VLOOKUP(A41,Sheet2!A:C,3,0)</f>
        <v>0</v>
      </c>
      <c r="I41" s="769">
        <f t="shared" si="2"/>
        <v>600</v>
      </c>
      <c r="J41" s="812">
        <f t="shared" si="1"/>
        <v>-600</v>
      </c>
    </row>
    <row r="42" spans="1:10" ht="13.5" thickBot="1" x14ac:dyDescent="0.25">
      <c r="A42" s="771" t="s">
        <v>571</v>
      </c>
      <c r="B42" s="771" t="s">
        <v>572</v>
      </c>
      <c r="C42" s="771" t="s">
        <v>444</v>
      </c>
      <c r="D42" s="771" t="s">
        <v>566</v>
      </c>
      <c r="E42" s="772">
        <v>0</v>
      </c>
      <c r="F42" s="770">
        <f>VLOOKUP(A42,Sheet2!A:F,6,0)</f>
        <v>2640</v>
      </c>
      <c r="G42" s="770">
        <f>VLOOKUP(A42,Sheet2!A:E,5,0)</f>
        <v>170</v>
      </c>
      <c r="H42" s="770">
        <f>VLOOKUP(A42,Sheet2!A:C,3,0)</f>
        <v>0</v>
      </c>
      <c r="I42" s="769">
        <f t="shared" si="2"/>
        <v>2470</v>
      </c>
      <c r="J42" s="812">
        <f t="shared" si="1"/>
        <v>-2640</v>
      </c>
    </row>
    <row r="43" spans="1:10" ht="13.5" thickBot="1" x14ac:dyDescent="0.25">
      <c r="A43" s="768" t="s">
        <v>574</v>
      </c>
      <c r="B43" s="768" t="s">
        <v>575</v>
      </c>
      <c r="C43" s="768" t="s">
        <v>444</v>
      </c>
      <c r="D43" s="768" t="s">
        <v>566</v>
      </c>
      <c r="E43" s="769">
        <v>0</v>
      </c>
      <c r="F43" s="770">
        <f>VLOOKUP(A43,Sheet2!A:F,6,0)</f>
        <v>960</v>
      </c>
      <c r="G43" s="770">
        <f>VLOOKUP(A43,Sheet2!A:E,5,0)</f>
        <v>200</v>
      </c>
      <c r="H43" s="770">
        <f>VLOOKUP(A43,Sheet2!A:C,3,0)</f>
        <v>0</v>
      </c>
      <c r="I43" s="769">
        <f t="shared" si="2"/>
        <v>760</v>
      </c>
      <c r="J43" s="812">
        <f t="shared" si="1"/>
        <v>-960</v>
      </c>
    </row>
    <row r="44" spans="1:10" ht="13.5" thickBot="1" x14ac:dyDescent="0.25">
      <c r="A44" s="771" t="s">
        <v>581</v>
      </c>
      <c r="B44" s="771" t="s">
        <v>582</v>
      </c>
      <c r="C44" s="771" t="s">
        <v>444</v>
      </c>
      <c r="D44" s="771" t="s">
        <v>579</v>
      </c>
      <c r="E44" s="772">
        <v>0</v>
      </c>
      <c r="F44" s="770">
        <f>VLOOKUP(A44,Sheet2!A:F,6,0)</f>
        <v>200</v>
      </c>
      <c r="G44" s="770">
        <f>VLOOKUP(A44,Sheet2!A:E,5,0)</f>
        <v>0</v>
      </c>
      <c r="H44" s="770">
        <f>VLOOKUP(A44,Sheet2!A:C,3,0)</f>
        <v>0</v>
      </c>
      <c r="I44" s="769">
        <f t="shared" si="2"/>
        <v>200</v>
      </c>
      <c r="J44" s="812">
        <f t="shared" si="1"/>
        <v>-200</v>
      </c>
    </row>
    <row r="45" spans="1:10" ht="13.5" thickBot="1" x14ac:dyDescent="0.25">
      <c r="A45" s="771" t="s">
        <v>584</v>
      </c>
      <c r="B45" s="771" t="s">
        <v>585</v>
      </c>
      <c r="C45" s="771" t="s">
        <v>444</v>
      </c>
      <c r="D45" s="771" t="s">
        <v>579</v>
      </c>
      <c r="E45" s="772">
        <v>0</v>
      </c>
      <c r="F45" s="770">
        <f>VLOOKUP(A45,Sheet2!A:F,6,0)</f>
        <v>200</v>
      </c>
      <c r="G45" s="770">
        <f>VLOOKUP(A45,Sheet2!A:E,5,0)</f>
        <v>0</v>
      </c>
      <c r="H45" s="770">
        <f>VLOOKUP(A45,Sheet2!A:C,3,0)</f>
        <v>0</v>
      </c>
      <c r="I45" s="769">
        <f t="shared" si="2"/>
        <v>200</v>
      </c>
      <c r="J45" s="812">
        <f t="shared" si="1"/>
        <v>-200</v>
      </c>
    </row>
    <row r="46" spans="1:10" ht="13.5" thickBot="1" x14ac:dyDescent="0.25">
      <c r="A46" s="771" t="s">
        <v>587</v>
      </c>
      <c r="B46" s="771" t="s">
        <v>588</v>
      </c>
      <c r="C46" s="771" t="s">
        <v>444</v>
      </c>
      <c r="D46" s="771" t="s">
        <v>579</v>
      </c>
      <c r="E46" s="772">
        <v>0</v>
      </c>
      <c r="F46" s="770">
        <f>VLOOKUP(A46,Sheet2!A:F,6,0)</f>
        <v>400</v>
      </c>
      <c r="G46" s="770">
        <f>VLOOKUP(A46,Sheet2!A:E,5,0)</f>
        <v>0</v>
      </c>
      <c r="H46" s="770">
        <f>VLOOKUP(A46,Sheet2!A:C,3,0)</f>
        <v>0</v>
      </c>
      <c r="I46" s="769">
        <f t="shared" si="2"/>
        <v>400</v>
      </c>
      <c r="J46" s="812">
        <f t="shared" si="1"/>
        <v>-400</v>
      </c>
    </row>
    <row r="47" spans="1:10" ht="13.5" thickBot="1" x14ac:dyDescent="0.25">
      <c r="A47" s="768" t="s">
        <v>592</v>
      </c>
      <c r="B47" s="768" t="s">
        <v>593</v>
      </c>
      <c r="C47" s="768" t="s">
        <v>444</v>
      </c>
      <c r="D47" s="768" t="s">
        <v>579</v>
      </c>
      <c r="E47" s="769">
        <v>0</v>
      </c>
      <c r="F47" s="770">
        <f>VLOOKUP(A47,Sheet2!A:F,6,0)</f>
        <v>400</v>
      </c>
      <c r="G47" s="770">
        <f>VLOOKUP(A47,Sheet2!A:E,5,0)</f>
        <v>0</v>
      </c>
      <c r="H47" s="770">
        <f>VLOOKUP(A47,Sheet2!A:C,3,0)</f>
        <v>0</v>
      </c>
      <c r="I47" s="769">
        <f t="shared" si="2"/>
        <v>400</v>
      </c>
      <c r="J47" s="812">
        <f t="shared" si="1"/>
        <v>-400</v>
      </c>
    </row>
    <row r="48" spans="1:10" ht="13.5" thickBot="1" x14ac:dyDescent="0.25">
      <c r="A48" s="768" t="s">
        <v>595</v>
      </c>
      <c r="B48" s="768" t="s">
        <v>596</v>
      </c>
      <c r="C48" s="768" t="s">
        <v>444</v>
      </c>
      <c r="D48" s="768" t="s">
        <v>579</v>
      </c>
      <c r="E48" s="769">
        <v>0</v>
      </c>
      <c r="F48" s="770">
        <f>VLOOKUP(A48,Sheet2!A:F,6,0)</f>
        <v>600</v>
      </c>
      <c r="G48" s="770">
        <f>VLOOKUP(A48,Sheet2!A:E,5,0)</f>
        <v>0</v>
      </c>
      <c r="H48" s="770">
        <f>VLOOKUP(A48,Sheet2!A:C,3,0)</f>
        <v>0</v>
      </c>
      <c r="I48" s="769">
        <f t="shared" si="2"/>
        <v>600</v>
      </c>
      <c r="J48" s="812">
        <f t="shared" si="1"/>
        <v>-600</v>
      </c>
    </row>
    <row r="49" spans="1:10" ht="13.5" thickBot="1" x14ac:dyDescent="0.25">
      <c r="A49" s="768" t="s">
        <v>598</v>
      </c>
      <c r="B49" s="768" t="s">
        <v>599</v>
      </c>
      <c r="C49" s="768" t="s">
        <v>444</v>
      </c>
      <c r="D49" s="768" t="s">
        <v>579</v>
      </c>
      <c r="E49" s="769">
        <v>0</v>
      </c>
      <c r="F49" s="770">
        <f>VLOOKUP(A49,Sheet2!A:F,6,0)</f>
        <v>400</v>
      </c>
      <c r="G49" s="770">
        <f>VLOOKUP(A49,Sheet2!A:E,5,0)</f>
        <v>0</v>
      </c>
      <c r="H49" s="770">
        <f>VLOOKUP(A49,Sheet2!A:C,3,0)</f>
        <v>0</v>
      </c>
      <c r="I49" s="769">
        <f t="shared" si="2"/>
        <v>400</v>
      </c>
      <c r="J49" s="812">
        <f t="shared" si="1"/>
        <v>-400</v>
      </c>
    </row>
    <row r="50" spans="1:10" ht="13.5" thickBot="1" x14ac:dyDescent="0.25">
      <c r="A50" s="771" t="s">
        <v>601</v>
      </c>
      <c r="B50" s="771" t="s">
        <v>602</v>
      </c>
      <c r="C50" s="771" t="s">
        <v>444</v>
      </c>
      <c r="D50" s="771" t="s">
        <v>579</v>
      </c>
      <c r="E50" s="772">
        <v>0</v>
      </c>
      <c r="F50" s="770">
        <f>VLOOKUP(A50,Sheet2!A:F,6,0)</f>
        <v>360</v>
      </c>
      <c r="G50" s="770">
        <f>VLOOKUP(A50,Sheet2!A:E,5,0)</f>
        <v>0</v>
      </c>
      <c r="H50" s="770">
        <f>VLOOKUP(A50,Sheet2!A:C,3,0)</f>
        <v>0</v>
      </c>
      <c r="I50" s="769">
        <f t="shared" si="2"/>
        <v>360</v>
      </c>
      <c r="J50" s="812">
        <f t="shared" si="1"/>
        <v>-360</v>
      </c>
    </row>
    <row r="51" spans="1:10" ht="13.5" thickBot="1" x14ac:dyDescent="0.25">
      <c r="A51" s="771" t="s">
        <v>604</v>
      </c>
      <c r="B51" s="771" t="s">
        <v>605</v>
      </c>
      <c r="C51" s="771" t="s">
        <v>444</v>
      </c>
      <c r="D51" s="771" t="s">
        <v>579</v>
      </c>
      <c r="E51" s="772">
        <v>0</v>
      </c>
      <c r="F51" s="770">
        <f>VLOOKUP(A51,Sheet2!A:F,6,0)</f>
        <v>400</v>
      </c>
      <c r="G51" s="770">
        <f>VLOOKUP(A51,Sheet2!A:E,5,0)</f>
        <v>0</v>
      </c>
      <c r="H51" s="770">
        <f>VLOOKUP(A51,Sheet2!A:C,3,0)</f>
        <v>0</v>
      </c>
      <c r="I51" s="769">
        <f t="shared" si="2"/>
        <v>400</v>
      </c>
      <c r="J51" s="812">
        <f t="shared" si="1"/>
        <v>-400</v>
      </c>
    </row>
    <row r="52" spans="1:10" ht="13.5" thickBot="1" x14ac:dyDescent="0.25">
      <c r="A52" s="771" t="s">
        <v>607</v>
      </c>
      <c r="B52" s="771" t="s">
        <v>608</v>
      </c>
      <c r="C52" s="771" t="s">
        <v>444</v>
      </c>
      <c r="D52" s="771" t="s">
        <v>579</v>
      </c>
      <c r="E52" s="772">
        <v>0</v>
      </c>
      <c r="F52" s="770">
        <f>VLOOKUP(A52,Sheet2!A:F,6,0)</f>
        <v>200</v>
      </c>
      <c r="G52" s="770">
        <f>VLOOKUP(A52,Sheet2!A:E,5,0)</f>
        <v>0</v>
      </c>
      <c r="H52" s="770">
        <f>VLOOKUP(A52,Sheet2!A:C,3,0)</f>
        <v>0</v>
      </c>
      <c r="I52" s="769">
        <f t="shared" si="2"/>
        <v>200</v>
      </c>
      <c r="J52" s="812">
        <f t="shared" si="1"/>
        <v>-200</v>
      </c>
    </row>
    <row r="53" spans="1:10" ht="13.5" thickBot="1" x14ac:dyDescent="0.25">
      <c r="A53" s="768" t="s">
        <v>610</v>
      </c>
      <c r="B53" s="768" t="s">
        <v>611</v>
      </c>
      <c r="C53" s="768" t="s">
        <v>444</v>
      </c>
      <c r="D53" s="768" t="s">
        <v>611</v>
      </c>
      <c r="E53" s="769">
        <v>0</v>
      </c>
      <c r="F53" s="770">
        <f>VLOOKUP(A53,Sheet2!A:F,6,0)</f>
        <v>5200</v>
      </c>
      <c r="G53" s="770">
        <f>VLOOKUP(A53,Sheet2!A:E,5,0)</f>
        <v>1596.34</v>
      </c>
      <c r="H53" s="770">
        <f>VLOOKUP(A53,Sheet2!A:C,3,0)</f>
        <v>0</v>
      </c>
      <c r="I53" s="769">
        <f t="shared" si="2"/>
        <v>3603.66</v>
      </c>
      <c r="J53" s="812">
        <f t="shared" si="1"/>
        <v>-5200</v>
      </c>
    </row>
    <row r="54" spans="1:10" ht="13.5" thickBot="1" x14ac:dyDescent="0.25">
      <c r="A54" s="771" t="s">
        <v>467</v>
      </c>
      <c r="B54" s="771" t="s">
        <v>465</v>
      </c>
      <c r="C54" s="771" t="s">
        <v>444</v>
      </c>
      <c r="D54" s="771" t="s">
        <v>466</v>
      </c>
      <c r="E54" s="772">
        <v>0</v>
      </c>
      <c r="F54" s="770">
        <f>VLOOKUP(A54,Sheet2!A:F,6,0)</f>
        <v>800</v>
      </c>
      <c r="G54" s="770">
        <f>VLOOKUP(A54,Sheet2!A:E,5,0)</f>
        <v>200</v>
      </c>
      <c r="H54" s="770">
        <f>VLOOKUP(A54,Sheet2!A:C,3,0)</f>
        <v>0</v>
      </c>
      <c r="I54" s="769">
        <f t="shared" si="2"/>
        <v>600</v>
      </c>
      <c r="J54" s="812">
        <f t="shared" si="1"/>
        <v>-800</v>
      </c>
    </row>
    <row r="55" spans="1:10" ht="13.5" thickBot="1" x14ac:dyDescent="0.25">
      <c r="A55" s="771" t="s">
        <v>381</v>
      </c>
      <c r="B55" s="771" t="s">
        <v>447</v>
      </c>
      <c r="C55" s="771" t="s">
        <v>448</v>
      </c>
      <c r="D55" s="771" t="s">
        <v>445</v>
      </c>
      <c r="E55" s="772">
        <v>468710</v>
      </c>
      <c r="F55" s="770">
        <f>VLOOKUP(A55,Sheet2!A:F,6,0)</f>
        <v>468710</v>
      </c>
      <c r="G55" s="770">
        <f>VLOOKUP(A55,Sheet2!A:E,5,0)</f>
        <v>0</v>
      </c>
      <c r="H55" s="770">
        <f>VLOOKUP(A55,Sheet2!A:C,3,0)</f>
        <v>0</v>
      </c>
      <c r="I55" s="769">
        <f t="shared" si="0"/>
        <v>468710</v>
      </c>
      <c r="J55" s="793">
        <f t="shared" si="1"/>
        <v>0</v>
      </c>
    </row>
    <row r="56" spans="1:10" ht="13.5" thickBot="1" x14ac:dyDescent="0.25">
      <c r="A56" s="768" t="s">
        <v>382</v>
      </c>
      <c r="B56" s="768" t="s">
        <v>449</v>
      </c>
      <c r="C56" s="768" t="s">
        <v>448</v>
      </c>
      <c r="D56" s="768" t="s">
        <v>445</v>
      </c>
      <c r="E56" s="769">
        <v>89345</v>
      </c>
      <c r="F56" s="770">
        <f>VLOOKUP(A56,Sheet2!A:F,6,0)</f>
        <v>89345</v>
      </c>
      <c r="G56" s="770">
        <f>VLOOKUP(A56,Sheet2!A:E,5,0)</f>
        <v>0</v>
      </c>
      <c r="H56" s="770">
        <f>VLOOKUP(A56,Sheet2!A:C,3,0)</f>
        <v>0</v>
      </c>
      <c r="I56" s="769">
        <f t="shared" si="0"/>
        <v>89345</v>
      </c>
      <c r="J56" s="793">
        <f t="shared" si="1"/>
        <v>0</v>
      </c>
    </row>
    <row r="57" spans="1:10" ht="13.5" thickBot="1" x14ac:dyDescent="0.25">
      <c r="A57" s="771" t="s">
        <v>739</v>
      </c>
      <c r="B57" s="771" t="s">
        <v>452</v>
      </c>
      <c r="C57" s="771" t="s">
        <v>451</v>
      </c>
      <c r="D57" s="771" t="s">
        <v>445</v>
      </c>
      <c r="E57" s="772">
        <v>6500</v>
      </c>
      <c r="F57" s="770">
        <f>VLOOKUP(A57,Sheet2!A:F,6,0)</f>
        <v>6500</v>
      </c>
      <c r="G57" s="770">
        <f>VLOOKUP(A57,Sheet2!A:E,5,0)</f>
        <v>6255</v>
      </c>
      <c r="H57" s="770">
        <f>VLOOKUP(A57,Sheet2!A:C,3,0)</f>
        <v>0</v>
      </c>
      <c r="I57" s="769">
        <f t="shared" si="0"/>
        <v>245</v>
      </c>
      <c r="J57" s="793">
        <f t="shared" si="1"/>
        <v>0</v>
      </c>
    </row>
    <row r="58" spans="1:10" ht="13.5" thickBot="1" x14ac:dyDescent="0.25">
      <c r="A58" s="771" t="s">
        <v>379</v>
      </c>
      <c r="B58" s="771" t="s">
        <v>453</v>
      </c>
      <c r="C58" s="771" t="s">
        <v>451</v>
      </c>
      <c r="D58" s="771" t="s">
        <v>445</v>
      </c>
      <c r="E58" s="772">
        <v>78691</v>
      </c>
      <c r="F58" s="770">
        <f>VLOOKUP(A58,Sheet2!A:F,6,0)-F81</f>
        <v>78691</v>
      </c>
      <c r="G58" s="770">
        <f>VLOOKUP(A58,Sheet2!A:E,5,0)-G81</f>
        <v>78690.63</v>
      </c>
      <c r="H58" s="770">
        <f>VLOOKUP(A58,Sheet2!A:C,3,0)</f>
        <v>0</v>
      </c>
      <c r="I58" s="769">
        <f t="shared" si="0"/>
        <v>0.36999999999534339</v>
      </c>
      <c r="J58" s="793">
        <f t="shared" si="1"/>
        <v>0</v>
      </c>
    </row>
    <row r="59" spans="1:10" ht="13.5" thickBot="1" x14ac:dyDescent="0.25">
      <c r="A59" s="771" t="s">
        <v>380</v>
      </c>
      <c r="B59" s="771" t="s">
        <v>454</v>
      </c>
      <c r="C59" s="771" t="s">
        <v>451</v>
      </c>
      <c r="D59" s="771" t="s">
        <v>445</v>
      </c>
      <c r="E59" s="772">
        <v>15609</v>
      </c>
      <c r="F59" s="770">
        <f>VLOOKUP(A59,Sheet2!A:F,6,0)</f>
        <v>15609</v>
      </c>
      <c r="G59" s="770">
        <f>VLOOKUP(A59,Sheet2!A:E,5,0)</f>
        <v>15614</v>
      </c>
      <c r="H59" s="770">
        <f>VLOOKUP(A59,Sheet2!A:C,3,0)</f>
        <v>0</v>
      </c>
      <c r="I59" s="769">
        <f t="shared" si="0"/>
        <v>-5</v>
      </c>
      <c r="J59" s="793">
        <f t="shared" si="1"/>
        <v>0</v>
      </c>
    </row>
    <row r="60" spans="1:10" ht="13.5" thickBot="1" x14ac:dyDescent="0.25">
      <c r="A60" s="768" t="s">
        <v>404</v>
      </c>
      <c r="B60" s="768" t="s">
        <v>788</v>
      </c>
      <c r="C60" s="768" t="s">
        <v>451</v>
      </c>
      <c r="D60" s="768" t="s">
        <v>445</v>
      </c>
      <c r="E60" s="769">
        <v>19057</v>
      </c>
      <c r="F60" s="770">
        <f>VLOOKUP(A60,Sheet2!A:F,6,0)</f>
        <v>19057</v>
      </c>
      <c r="G60" s="770">
        <f>VLOOKUP(A60,Sheet2!A:E,5,0)</f>
        <v>8160</v>
      </c>
      <c r="H60" s="770">
        <f>VLOOKUP(A60,Sheet2!A:C,3,0)</f>
        <v>0</v>
      </c>
      <c r="I60" s="769">
        <f t="shared" si="0"/>
        <v>10897</v>
      </c>
      <c r="J60" s="793">
        <f t="shared" si="1"/>
        <v>0</v>
      </c>
    </row>
    <row r="61" spans="1:10" ht="13.5" thickBot="1" x14ac:dyDescent="0.25">
      <c r="A61" s="771" t="s">
        <v>186</v>
      </c>
      <c r="B61" s="771" t="s">
        <v>455</v>
      </c>
      <c r="C61" s="771" t="s">
        <v>456</v>
      </c>
      <c r="D61" s="771" t="s">
        <v>445</v>
      </c>
      <c r="E61" s="772">
        <v>27500</v>
      </c>
      <c r="F61" s="770">
        <f>VLOOKUP(A61,Sheet2!A:F,6,0)</f>
        <v>27500</v>
      </c>
      <c r="G61" s="770">
        <f>VLOOKUP(A61,Sheet2!A:E,5,0)</f>
        <v>0</v>
      </c>
      <c r="H61" s="770">
        <f>VLOOKUP(A61,Sheet2!A:C,3,0)</f>
        <v>0</v>
      </c>
      <c r="I61" s="769">
        <f t="shared" si="0"/>
        <v>27500</v>
      </c>
      <c r="J61" s="793">
        <f t="shared" si="1"/>
        <v>0</v>
      </c>
    </row>
    <row r="62" spans="1:10" ht="13.5" thickBot="1" x14ac:dyDescent="0.25">
      <c r="A62" s="768" t="s">
        <v>274</v>
      </c>
      <c r="B62" s="768" t="s">
        <v>465</v>
      </c>
      <c r="C62" s="768" t="s">
        <v>469</v>
      </c>
      <c r="D62" s="768" t="s">
        <v>466</v>
      </c>
      <c r="E62" s="769">
        <v>45032</v>
      </c>
      <c r="F62" s="770">
        <f>VLOOKUP(A62,Sheet2!A:F,6,0)</f>
        <v>45032</v>
      </c>
      <c r="G62" s="770">
        <f>VLOOKUP(A62,Sheet2!A:E,5,0)</f>
        <v>42645.91</v>
      </c>
      <c r="H62" s="770">
        <f>VLOOKUP(A62,Sheet2!A:C,3,0)</f>
        <v>2364.09</v>
      </c>
      <c r="I62" s="769">
        <f t="shared" si="0"/>
        <v>21.999999999996362</v>
      </c>
      <c r="J62" s="793">
        <f t="shared" si="1"/>
        <v>0</v>
      </c>
    </row>
    <row r="63" spans="1:10" ht="13.5" thickBot="1" x14ac:dyDescent="0.25">
      <c r="A63" s="768" t="s">
        <v>187</v>
      </c>
      <c r="B63" s="768" t="s">
        <v>551</v>
      </c>
      <c r="C63" s="768" t="s">
        <v>552</v>
      </c>
      <c r="D63" s="768" t="s">
        <v>262</v>
      </c>
      <c r="E63" s="769">
        <v>24625</v>
      </c>
      <c r="F63" s="770">
        <f>VLOOKUP(A63,Sheet2!A:F,6,0)</f>
        <v>23018</v>
      </c>
      <c r="G63" s="770">
        <f>VLOOKUP(A63,Sheet2!A:E,5,0)</f>
        <v>9750</v>
      </c>
      <c r="H63" s="770">
        <f>VLOOKUP(A63,Sheet2!A:C,3,0)</f>
        <v>0</v>
      </c>
      <c r="I63" s="769">
        <f t="shared" ref="I63:I149" si="3">F63-G63-H63</f>
        <v>13268</v>
      </c>
      <c r="J63" s="793">
        <f t="shared" si="1"/>
        <v>1607</v>
      </c>
    </row>
    <row r="64" spans="1:10" ht="13.5" thickBot="1" x14ac:dyDescent="0.25">
      <c r="A64" s="771" t="s">
        <v>553</v>
      </c>
      <c r="B64" s="771" t="s">
        <v>861</v>
      </c>
      <c r="C64" s="771"/>
      <c r="D64" s="771"/>
      <c r="E64" s="772"/>
      <c r="F64" s="770">
        <f>VLOOKUP(A64,Sheet2!A:F,6,0)</f>
        <v>1532</v>
      </c>
      <c r="G64" s="770">
        <f>VLOOKUP(A64,Sheet2!A:E,5,0)</f>
        <v>701.27</v>
      </c>
      <c r="H64" s="770">
        <f>VLOOKUP(A64,Sheet2!A:C,3,0)</f>
        <v>0</v>
      </c>
      <c r="I64" s="769">
        <f t="shared" ref="I64:I70" si="4">F64-G64-H64</f>
        <v>830.73</v>
      </c>
      <c r="J64" s="793">
        <f t="shared" ref="J64:J70" si="5">E64-F64</f>
        <v>-1532</v>
      </c>
    </row>
    <row r="65" spans="1:10" ht="13.5" thickBot="1" x14ac:dyDescent="0.25">
      <c r="A65" s="771" t="s">
        <v>944</v>
      </c>
      <c r="B65" s="771" t="s">
        <v>861</v>
      </c>
      <c r="C65" s="771"/>
      <c r="D65" s="771"/>
      <c r="E65" s="772"/>
      <c r="F65" s="770">
        <f>VLOOKUP(A65,Sheet2!A:F,6,0)</f>
        <v>0</v>
      </c>
      <c r="G65" s="770">
        <f>VLOOKUP(A65,Sheet2!A:E,5,0)</f>
        <v>50</v>
      </c>
      <c r="H65" s="770">
        <f>VLOOKUP(A65,Sheet2!A:C,3,0)</f>
        <v>0</v>
      </c>
      <c r="I65" s="769">
        <f t="shared" si="4"/>
        <v>-50</v>
      </c>
      <c r="J65" s="793">
        <f t="shared" si="5"/>
        <v>0</v>
      </c>
    </row>
    <row r="66" spans="1:10" ht="13.5" thickBot="1" x14ac:dyDescent="0.25">
      <c r="A66" s="771" t="s">
        <v>945</v>
      </c>
      <c r="B66" s="771" t="s">
        <v>861</v>
      </c>
      <c r="C66" s="771"/>
      <c r="D66" s="771"/>
      <c r="E66" s="772"/>
      <c r="F66" s="770">
        <f>VLOOKUP(A66,Sheet2!A:F,6,0)</f>
        <v>330</v>
      </c>
      <c r="G66" s="770">
        <f>VLOOKUP(A66,Sheet2!A:E,5,0)</f>
        <v>123.23</v>
      </c>
      <c r="H66" s="770">
        <f>VLOOKUP(A66,Sheet2!A:C,3,0)</f>
        <v>0</v>
      </c>
      <c r="I66" s="769">
        <f t="shared" si="4"/>
        <v>206.76999999999998</v>
      </c>
      <c r="J66" s="793">
        <f t="shared" si="5"/>
        <v>-330</v>
      </c>
    </row>
    <row r="67" spans="1:10" ht="13.5" thickBot="1" x14ac:dyDescent="0.25">
      <c r="A67" s="771" t="s">
        <v>946</v>
      </c>
      <c r="B67" s="771" t="s">
        <v>861</v>
      </c>
      <c r="C67" s="771"/>
      <c r="D67" s="771"/>
      <c r="E67" s="772"/>
      <c r="F67" s="770">
        <f>VLOOKUP(A67,Sheet2!A:F,6,0)</f>
        <v>250</v>
      </c>
      <c r="G67" s="770">
        <f>VLOOKUP(A67,Sheet2!A:E,5,0)</f>
        <v>106.77</v>
      </c>
      <c r="H67" s="770">
        <f>VLOOKUP(A67,Sheet2!A:C,3,0)</f>
        <v>0</v>
      </c>
      <c r="I67" s="769">
        <f t="shared" si="4"/>
        <v>143.23000000000002</v>
      </c>
      <c r="J67" s="793">
        <f t="shared" si="5"/>
        <v>-250</v>
      </c>
    </row>
    <row r="68" spans="1:10" ht="13.5" thickBot="1" x14ac:dyDescent="0.25">
      <c r="A68" s="771" t="s">
        <v>561</v>
      </c>
      <c r="B68" s="771" t="s">
        <v>861</v>
      </c>
      <c r="C68" s="771"/>
      <c r="D68" s="771"/>
      <c r="E68" s="772"/>
      <c r="F68" s="770">
        <f>VLOOKUP(A68,Sheet2!A:F,6,0)</f>
        <v>336</v>
      </c>
      <c r="G68" s="770">
        <f>VLOOKUP(A68,Sheet2!A:E,5,0)</f>
        <v>143.37</v>
      </c>
      <c r="H68" s="770">
        <f>VLOOKUP(A68,Sheet2!A:C,3,0)</f>
        <v>0</v>
      </c>
      <c r="I68" s="769">
        <f t="shared" si="4"/>
        <v>192.63</v>
      </c>
      <c r="J68" s="793">
        <f t="shared" si="5"/>
        <v>-336</v>
      </c>
    </row>
    <row r="69" spans="1:10" ht="13.5" thickBot="1" x14ac:dyDescent="0.25">
      <c r="A69" s="771" t="s">
        <v>981</v>
      </c>
      <c r="B69" s="771"/>
      <c r="C69" s="771"/>
      <c r="D69" s="771"/>
      <c r="E69" s="772"/>
      <c r="F69" s="770">
        <f>VLOOKUP(A69,Sheet2!A:F,6,0)</f>
        <v>345</v>
      </c>
      <c r="G69" s="770">
        <f>VLOOKUP(A69,Sheet2!A:E,5,0)</f>
        <v>0</v>
      </c>
      <c r="H69" s="770">
        <f>VLOOKUP(A69,Sheet2!A:C,3,0)</f>
        <v>0</v>
      </c>
      <c r="I69" s="769">
        <f t="shared" ref="I69" si="6">F69-G69-H69</f>
        <v>345</v>
      </c>
      <c r="J69" s="793"/>
    </row>
    <row r="70" spans="1:10" ht="13.5" thickBot="1" x14ac:dyDescent="0.25">
      <c r="A70" s="771" t="s">
        <v>188</v>
      </c>
      <c r="B70" s="771" t="s">
        <v>551</v>
      </c>
      <c r="C70" s="771" t="s">
        <v>563</v>
      </c>
      <c r="D70" s="771" t="s">
        <v>262</v>
      </c>
      <c r="E70" s="772">
        <v>110568</v>
      </c>
      <c r="F70" s="770">
        <f>VLOOKUP(A70,Sheet2!A:F,6,0)</f>
        <v>109382</v>
      </c>
      <c r="G70" s="770">
        <f>VLOOKUP(A70,Sheet2!A:E,5,0)</f>
        <v>109381.68</v>
      </c>
      <c r="H70" s="770">
        <f>VLOOKUP(A70,Sheet2!A:C,3,0)</f>
        <v>0</v>
      </c>
      <c r="I70" s="769">
        <f t="shared" si="4"/>
        <v>0.32000000000698492</v>
      </c>
      <c r="J70" s="793">
        <f t="shared" si="5"/>
        <v>1186</v>
      </c>
    </row>
    <row r="71" spans="1:10" ht="13.5" thickBot="1" x14ac:dyDescent="0.25">
      <c r="A71" s="771" t="s">
        <v>190</v>
      </c>
      <c r="B71" s="771" t="s">
        <v>613</v>
      </c>
      <c r="C71" s="771" t="s">
        <v>552</v>
      </c>
      <c r="D71" s="771" t="s">
        <v>294</v>
      </c>
      <c r="E71" s="772">
        <v>4400</v>
      </c>
      <c r="F71" s="770">
        <f>VLOOKUP(A71,Sheet2!A:F,6,0)</f>
        <v>4400</v>
      </c>
      <c r="G71" s="770">
        <f>VLOOKUP(A71,Sheet2!A:E,5,0)</f>
        <v>0</v>
      </c>
      <c r="H71" s="770">
        <f>VLOOKUP(A71,Sheet2!A:C,3,0)</f>
        <v>0</v>
      </c>
      <c r="I71" s="769">
        <f t="shared" si="3"/>
        <v>4400</v>
      </c>
      <c r="J71" s="793">
        <f t="shared" si="1"/>
        <v>0</v>
      </c>
    </row>
    <row r="72" spans="1:10" ht="13.5" thickBot="1" x14ac:dyDescent="0.25">
      <c r="A72" s="768" t="s">
        <v>191</v>
      </c>
      <c r="B72" s="768" t="s">
        <v>613</v>
      </c>
      <c r="C72" s="768" t="s">
        <v>614</v>
      </c>
      <c r="D72" s="768" t="s">
        <v>294</v>
      </c>
      <c r="E72" s="769">
        <v>1100</v>
      </c>
      <c r="F72" s="770">
        <f>VLOOKUP(A72,Sheet2!A:F,6,0)</f>
        <v>1100</v>
      </c>
      <c r="G72" s="770">
        <f>VLOOKUP(A72,Sheet2!A:E,5,0)</f>
        <v>1025.6300000000001</v>
      </c>
      <c r="H72" s="770">
        <f>VLOOKUP(A72,Sheet2!A:C,3,0)</f>
        <v>0</v>
      </c>
      <c r="I72" s="769">
        <f t="shared" si="3"/>
        <v>74.369999999999891</v>
      </c>
      <c r="J72" s="793">
        <f t="shared" si="1"/>
        <v>0</v>
      </c>
    </row>
    <row r="73" spans="1:10" ht="13.5" thickBot="1" x14ac:dyDescent="0.25">
      <c r="A73" s="768" t="s">
        <v>192</v>
      </c>
      <c r="B73" s="768" t="s">
        <v>613</v>
      </c>
      <c r="C73" s="768" t="s">
        <v>440</v>
      </c>
      <c r="D73" s="768" t="s">
        <v>294</v>
      </c>
      <c r="E73" s="769">
        <v>3300</v>
      </c>
      <c r="F73" s="770">
        <f>VLOOKUP(A73,Sheet2!A:F,6,0)</f>
        <v>3300</v>
      </c>
      <c r="G73" s="770">
        <f>VLOOKUP(A73,Sheet2!A:E,5,0)</f>
        <v>0</v>
      </c>
      <c r="H73" s="770">
        <f>VLOOKUP(A73,Sheet2!A:C,3,0)</f>
        <v>0</v>
      </c>
      <c r="I73" s="769">
        <f t="shared" si="3"/>
        <v>3300</v>
      </c>
      <c r="J73" s="793">
        <f t="shared" si="1"/>
        <v>0</v>
      </c>
    </row>
    <row r="74" spans="1:10" ht="13.5" thickBot="1" x14ac:dyDescent="0.25">
      <c r="A74" s="771" t="s">
        <v>193</v>
      </c>
      <c r="B74" s="771" t="s">
        <v>615</v>
      </c>
      <c r="C74" s="771" t="s">
        <v>614</v>
      </c>
      <c r="D74" s="771" t="s">
        <v>294</v>
      </c>
      <c r="E74" s="772">
        <v>1100</v>
      </c>
      <c r="F74" s="770">
        <f>VLOOKUP(A74,Sheet2!A:F,6,0)</f>
        <v>1100</v>
      </c>
      <c r="G74" s="770">
        <f>VLOOKUP(A74,Sheet2!A:E,5,0)</f>
        <v>0</v>
      </c>
      <c r="H74" s="770">
        <f>VLOOKUP(A74,Sheet2!A:C,3,0)</f>
        <v>0</v>
      </c>
      <c r="I74" s="769">
        <f t="shared" si="3"/>
        <v>1100</v>
      </c>
      <c r="J74" s="793">
        <f t="shared" si="1"/>
        <v>0</v>
      </c>
    </row>
    <row r="75" spans="1:10" ht="13.5" thickBot="1" x14ac:dyDescent="0.25">
      <c r="A75" s="771" t="s">
        <v>194</v>
      </c>
      <c r="B75" s="771" t="s">
        <v>615</v>
      </c>
      <c r="C75" s="771" t="s">
        <v>440</v>
      </c>
      <c r="D75" s="771" t="s">
        <v>294</v>
      </c>
      <c r="E75" s="772">
        <v>3300</v>
      </c>
      <c r="F75" s="770">
        <f>VLOOKUP(A75,Sheet2!A:F,6,0)</f>
        <v>3300</v>
      </c>
      <c r="G75" s="770">
        <f>VLOOKUP(A75,Sheet2!A:E,5,0)</f>
        <v>0</v>
      </c>
      <c r="H75" s="770">
        <f>VLOOKUP(A75,Sheet2!A:C,3,0)</f>
        <v>0</v>
      </c>
      <c r="I75" s="769">
        <f t="shared" si="3"/>
        <v>3300</v>
      </c>
      <c r="J75" s="793">
        <f t="shared" si="1"/>
        <v>0</v>
      </c>
    </row>
    <row r="76" spans="1:10" ht="13.5" thickBot="1" x14ac:dyDescent="0.25">
      <c r="A76" s="771" t="s">
        <v>196</v>
      </c>
      <c r="B76" s="771" t="s">
        <v>616</v>
      </c>
      <c r="C76" s="771" t="s">
        <v>614</v>
      </c>
      <c r="D76" s="771" t="s">
        <v>294</v>
      </c>
      <c r="E76" s="772">
        <v>3660</v>
      </c>
      <c r="F76" s="770">
        <f>VLOOKUP(A76,Sheet2!A:F,6,0)</f>
        <v>3660</v>
      </c>
      <c r="G76" s="770">
        <f>VLOOKUP(A76,Sheet2!A:E,5,0)</f>
        <v>452.71</v>
      </c>
      <c r="H76" s="770">
        <f>VLOOKUP(A76,Sheet2!A:C,3,0)</f>
        <v>0</v>
      </c>
      <c r="I76" s="769">
        <f t="shared" si="3"/>
        <v>3207.29</v>
      </c>
      <c r="J76" s="793">
        <f t="shared" ref="J76:J79" si="7">E76-F76</f>
        <v>0</v>
      </c>
    </row>
    <row r="77" spans="1:10" ht="13.5" thickBot="1" x14ac:dyDescent="0.25">
      <c r="A77" s="768" t="s">
        <v>197</v>
      </c>
      <c r="B77" s="768" t="s">
        <v>616</v>
      </c>
      <c r="C77" s="768" t="s">
        <v>442</v>
      </c>
      <c r="D77" s="768" t="s">
        <v>294</v>
      </c>
      <c r="E77" s="769">
        <v>440</v>
      </c>
      <c r="F77" s="770">
        <f>VLOOKUP(A77,Sheet2!A:F,6,0)</f>
        <v>440</v>
      </c>
      <c r="G77" s="770">
        <f>VLOOKUP(A77,Sheet2!A:E,5,0)</f>
        <v>0</v>
      </c>
      <c r="H77" s="770">
        <f>VLOOKUP(A77,Sheet2!A:C,3,0)</f>
        <v>0</v>
      </c>
      <c r="I77" s="769">
        <f t="shared" si="3"/>
        <v>440</v>
      </c>
      <c r="J77" s="793">
        <f t="shared" si="7"/>
        <v>0</v>
      </c>
    </row>
    <row r="78" spans="1:10" ht="13.5" thickBot="1" x14ac:dyDescent="0.25">
      <c r="A78" s="771" t="s">
        <v>198</v>
      </c>
      <c r="B78" s="771" t="s">
        <v>616</v>
      </c>
      <c r="C78" s="771" t="s">
        <v>440</v>
      </c>
      <c r="D78" s="771" t="s">
        <v>294</v>
      </c>
      <c r="E78" s="772">
        <v>300</v>
      </c>
      <c r="F78" s="770">
        <f>VLOOKUP(A78,Sheet2!A:F,6,0)</f>
        <v>300</v>
      </c>
      <c r="G78" s="770">
        <f>VLOOKUP(A78,Sheet2!A:E,5,0)</f>
        <v>85</v>
      </c>
      <c r="H78" s="770">
        <f>VLOOKUP(A78,Sheet2!A:C,3,0)</f>
        <v>0</v>
      </c>
      <c r="I78" s="769">
        <f t="shared" si="3"/>
        <v>215</v>
      </c>
      <c r="J78" s="793">
        <f t="shared" si="7"/>
        <v>0</v>
      </c>
    </row>
    <row r="79" spans="1:10" ht="13.5" thickBot="1" x14ac:dyDescent="0.25">
      <c r="A79" s="771" t="s">
        <v>189</v>
      </c>
      <c r="B79" s="771" t="s">
        <v>264</v>
      </c>
      <c r="C79" s="771" t="s">
        <v>617</v>
      </c>
      <c r="D79" s="771" t="s">
        <v>264</v>
      </c>
      <c r="E79" s="772">
        <v>34000</v>
      </c>
      <c r="F79" s="770">
        <f>VLOOKUP(A79,Sheet2!A:F,6,0)</f>
        <v>34000</v>
      </c>
      <c r="G79" s="770">
        <f>VLOOKUP(A79,Sheet2!A:E,5,0)</f>
        <v>34000</v>
      </c>
      <c r="H79" s="770">
        <f>VLOOKUP(A79,Sheet2!A:C,3,0)</f>
        <v>0</v>
      </c>
      <c r="I79" s="769">
        <f t="shared" si="3"/>
        <v>0</v>
      </c>
      <c r="J79" s="793">
        <f t="shared" si="7"/>
        <v>0</v>
      </c>
    </row>
    <row r="80" spans="1:10" ht="13.5" thickBot="1" x14ac:dyDescent="0.25">
      <c r="A80" s="771"/>
      <c r="B80" s="771"/>
      <c r="C80" s="771"/>
      <c r="D80" s="771" t="s">
        <v>948</v>
      </c>
      <c r="E80" s="806">
        <f>SUM(E3:E79)</f>
        <v>1009369</v>
      </c>
      <c r="F80" s="806">
        <f>SUM(F3:F79)</f>
        <v>1009369</v>
      </c>
      <c r="G80" s="806">
        <f>SUM(G3:G79)</f>
        <v>339325.16</v>
      </c>
      <c r="H80" s="806">
        <f>SUM(H3:H79)</f>
        <v>2364.09</v>
      </c>
      <c r="I80" s="806">
        <f>SUM(I3:I79)</f>
        <v>667679.75000000012</v>
      </c>
    </row>
    <row r="81" spans="1:10" s="813" customFormat="1" ht="13.5" thickBot="1" x14ac:dyDescent="0.25">
      <c r="A81" s="814" t="s">
        <v>379</v>
      </c>
      <c r="B81" s="814" t="s">
        <v>453</v>
      </c>
      <c r="C81" s="814" t="s">
        <v>451</v>
      </c>
      <c r="D81" s="814" t="s">
        <v>955</v>
      </c>
      <c r="E81" s="815">
        <v>0</v>
      </c>
      <c r="F81" s="811">
        <v>19132</v>
      </c>
      <c r="G81" s="811">
        <v>19132</v>
      </c>
      <c r="H81" s="811">
        <v>0</v>
      </c>
      <c r="I81" s="810">
        <f t="shared" ref="I81" si="8">F81-G81-H81</f>
        <v>0</v>
      </c>
      <c r="J81" s="812">
        <f t="shared" ref="J81" si="9">E81-F81</f>
        <v>-19132</v>
      </c>
    </row>
    <row r="82" spans="1:10" ht="13.5" thickBot="1" x14ac:dyDescent="0.25">
      <c r="A82" s="768" t="s">
        <v>765</v>
      </c>
      <c r="B82" s="768" t="s">
        <v>786</v>
      </c>
      <c r="C82" s="768" t="s">
        <v>787</v>
      </c>
      <c r="D82" s="768" t="s">
        <v>445</v>
      </c>
      <c r="E82" s="769">
        <v>26000</v>
      </c>
      <c r="F82" s="770">
        <v>26000</v>
      </c>
      <c r="G82" s="770">
        <v>0</v>
      </c>
      <c r="H82" s="770">
        <v>0</v>
      </c>
      <c r="I82" s="769">
        <f>F82-G82-H82</f>
        <v>26000</v>
      </c>
    </row>
    <row r="83" spans="1:10" ht="13.5" thickBot="1" x14ac:dyDescent="0.25">
      <c r="A83" s="768"/>
      <c r="B83" s="768"/>
      <c r="C83" s="768"/>
      <c r="D83" s="768" t="s">
        <v>953</v>
      </c>
      <c r="E83" s="881">
        <f>E80+E81+E82</f>
        <v>1035369</v>
      </c>
      <c r="F83" s="881">
        <f t="shared" ref="F83:I83" si="10">F80+F81+F82</f>
        <v>1054501</v>
      </c>
      <c r="G83" s="881">
        <f t="shared" si="10"/>
        <v>358457.16</v>
      </c>
      <c r="H83" s="881">
        <f t="shared" si="10"/>
        <v>2364.09</v>
      </c>
      <c r="I83" s="881">
        <f t="shared" si="10"/>
        <v>693679.75000000012</v>
      </c>
    </row>
    <row r="84" spans="1:10" ht="13.5" thickBot="1" x14ac:dyDescent="0.25">
      <c r="A84" s="771" t="s">
        <v>307</v>
      </c>
      <c r="B84" s="771" t="s">
        <v>443</v>
      </c>
      <c r="C84" s="771" t="s">
        <v>446</v>
      </c>
      <c r="D84" s="771" t="s">
        <v>445</v>
      </c>
      <c r="E84" s="772">
        <v>0</v>
      </c>
      <c r="F84" s="770">
        <f>VLOOKUP(A84,Sheet2!A:F,6,0)</f>
        <v>13746</v>
      </c>
      <c r="G84" s="770">
        <f>VLOOKUP(A84,Sheet2!A:E,5,0)</f>
        <v>0</v>
      </c>
      <c r="H84" s="770">
        <f>VLOOKUP(A84,Sheet2!A:C,3,0)</f>
        <v>0</v>
      </c>
      <c r="I84" s="769">
        <f t="shared" ref="I84:I125" si="11">F84-G84-H84</f>
        <v>13746</v>
      </c>
    </row>
    <row r="85" spans="1:10" ht="13.5" thickBot="1" x14ac:dyDescent="0.25">
      <c r="A85" s="771" t="s">
        <v>468</v>
      </c>
      <c r="B85" s="771" t="s">
        <v>465</v>
      </c>
      <c r="C85" s="771" t="s">
        <v>446</v>
      </c>
      <c r="D85" s="771" t="s">
        <v>466</v>
      </c>
      <c r="E85" s="772">
        <v>0</v>
      </c>
      <c r="F85" s="770">
        <f>VLOOKUP(A85,Sheet2!A:F,6,0)</f>
        <v>1040</v>
      </c>
      <c r="G85" s="770">
        <f>VLOOKUP(A85,Sheet2!A:E,5,0)</f>
        <v>34.32</v>
      </c>
      <c r="H85" s="770">
        <f>VLOOKUP(A85,Sheet2!A:C,3,0)</f>
        <v>0</v>
      </c>
      <c r="I85" s="769">
        <f t="shared" si="11"/>
        <v>1005.68</v>
      </c>
    </row>
    <row r="86" spans="1:10" ht="13.5" thickBot="1" x14ac:dyDescent="0.25">
      <c r="A86" s="768" t="s">
        <v>473</v>
      </c>
      <c r="B86" s="768" t="s">
        <v>471</v>
      </c>
      <c r="C86" s="768" t="s">
        <v>446</v>
      </c>
      <c r="D86" s="768" t="s">
        <v>472</v>
      </c>
      <c r="E86" s="769">
        <v>0</v>
      </c>
      <c r="F86" s="770">
        <f>VLOOKUP(A86,Sheet2!A:F,6,0)</f>
        <v>2995</v>
      </c>
      <c r="G86" s="770">
        <f>VLOOKUP(A86,Sheet2!A:E,5,0)</f>
        <v>0</v>
      </c>
      <c r="H86" s="770">
        <f>VLOOKUP(A86,Sheet2!A:C,3,0)</f>
        <v>0</v>
      </c>
      <c r="I86" s="769">
        <f t="shared" si="11"/>
        <v>2995</v>
      </c>
    </row>
    <row r="87" spans="1:10" ht="13.5" thickBot="1" x14ac:dyDescent="0.25">
      <c r="A87" s="771" t="s">
        <v>791</v>
      </c>
      <c r="B87" s="771" t="s">
        <v>790</v>
      </c>
      <c r="C87" s="771" t="s">
        <v>446</v>
      </c>
      <c r="D87" s="771" t="s">
        <v>476</v>
      </c>
      <c r="E87" s="772">
        <v>0</v>
      </c>
      <c r="F87" s="770">
        <f>VLOOKUP(A87,Sheet2!A:F,6,0)</f>
        <v>709</v>
      </c>
      <c r="G87" s="770">
        <f>VLOOKUP(A87,Sheet2!A:E,5,0)</f>
        <v>460</v>
      </c>
      <c r="H87" s="770">
        <f>VLOOKUP(A87,Sheet2!A:C,3,0)</f>
        <v>0</v>
      </c>
      <c r="I87" s="769">
        <f t="shared" si="11"/>
        <v>249</v>
      </c>
    </row>
    <row r="88" spans="1:10" ht="13.5" thickBot="1" x14ac:dyDescent="0.25">
      <c r="A88" s="771" t="s">
        <v>477</v>
      </c>
      <c r="B88" s="771" t="s">
        <v>475</v>
      </c>
      <c r="C88" s="771" t="s">
        <v>446</v>
      </c>
      <c r="D88" s="771" t="s">
        <v>476</v>
      </c>
      <c r="E88" s="772">
        <v>0</v>
      </c>
      <c r="F88" s="770">
        <f>VLOOKUP(A88,Sheet2!A:F,6,0)</f>
        <v>400</v>
      </c>
      <c r="G88" s="770">
        <f>VLOOKUP(A88,Sheet2!A:E,5,0)</f>
        <v>0</v>
      </c>
      <c r="H88" s="770">
        <f>VLOOKUP(A88,Sheet2!A:C,3,0)</f>
        <v>0</v>
      </c>
      <c r="I88" s="769">
        <f t="shared" si="11"/>
        <v>400</v>
      </c>
    </row>
    <row r="89" spans="1:10" ht="13.5" thickBot="1" x14ac:dyDescent="0.25">
      <c r="A89" s="771" t="s">
        <v>480</v>
      </c>
      <c r="B89" s="771" t="s">
        <v>479</v>
      </c>
      <c r="C89" s="771" t="s">
        <v>446</v>
      </c>
      <c r="D89" s="771" t="s">
        <v>476</v>
      </c>
      <c r="E89" s="772">
        <v>0</v>
      </c>
      <c r="F89" s="770">
        <f>VLOOKUP(A89,Sheet2!A:F,6,0)</f>
        <v>2836</v>
      </c>
      <c r="G89" s="770">
        <f>VLOOKUP(A89,Sheet2!A:E,5,0)</f>
        <v>0</v>
      </c>
      <c r="H89" s="770">
        <f>VLOOKUP(A89,Sheet2!A:C,3,0)</f>
        <v>0</v>
      </c>
      <c r="I89" s="769">
        <f t="shared" si="11"/>
        <v>2836</v>
      </c>
    </row>
    <row r="90" spans="1:10" ht="13.5" thickBot="1" x14ac:dyDescent="0.25">
      <c r="A90" s="768" t="s">
        <v>483</v>
      </c>
      <c r="B90" s="768" t="s">
        <v>482</v>
      </c>
      <c r="C90" s="768" t="s">
        <v>446</v>
      </c>
      <c r="D90" s="768" t="s">
        <v>476</v>
      </c>
      <c r="E90" s="769">
        <v>0</v>
      </c>
      <c r="F90" s="770">
        <f>VLOOKUP(A90,Sheet2!A:F,6,0)</f>
        <v>1452</v>
      </c>
      <c r="G90" s="770">
        <f>VLOOKUP(A90,Sheet2!A:E,5,0)</f>
        <v>0</v>
      </c>
      <c r="H90" s="770">
        <f>VLOOKUP(A90,Sheet2!A:C,3,0)</f>
        <v>0</v>
      </c>
      <c r="I90" s="769">
        <f t="shared" si="11"/>
        <v>1452</v>
      </c>
    </row>
    <row r="91" spans="1:10" ht="13.5" thickBot="1" x14ac:dyDescent="0.25">
      <c r="A91" s="768" t="s">
        <v>489</v>
      </c>
      <c r="B91" s="768" t="s">
        <v>488</v>
      </c>
      <c r="C91" s="768" t="s">
        <v>446</v>
      </c>
      <c r="D91" s="768" t="s">
        <v>476</v>
      </c>
      <c r="E91" s="769">
        <v>0</v>
      </c>
      <c r="F91" s="770">
        <f>VLOOKUP(A91,Sheet2!A:F,6,0)</f>
        <v>3000</v>
      </c>
      <c r="G91" s="770">
        <f>VLOOKUP(A91,Sheet2!A:E,5,0)</f>
        <v>0</v>
      </c>
      <c r="H91" s="770">
        <f>VLOOKUP(A91,Sheet2!A:C,3,0)</f>
        <v>0</v>
      </c>
      <c r="I91" s="769">
        <f t="shared" si="11"/>
        <v>3000</v>
      </c>
    </row>
    <row r="92" spans="1:10" ht="13.5" thickBot="1" x14ac:dyDescent="0.25">
      <c r="A92" s="771" t="s">
        <v>492</v>
      </c>
      <c r="B92" s="771" t="s">
        <v>491</v>
      </c>
      <c r="C92" s="771" t="s">
        <v>446</v>
      </c>
      <c r="D92" s="771" t="s">
        <v>476</v>
      </c>
      <c r="E92" s="772">
        <v>0</v>
      </c>
      <c r="F92" s="770">
        <f>VLOOKUP(A92,Sheet2!A:F,6,0)</f>
        <v>1994</v>
      </c>
      <c r="G92" s="770">
        <f>VLOOKUP(A92,Sheet2!A:E,5,0)</f>
        <v>0</v>
      </c>
      <c r="H92" s="770">
        <f>VLOOKUP(A92,Sheet2!A:C,3,0)</f>
        <v>0</v>
      </c>
      <c r="I92" s="769">
        <f t="shared" si="11"/>
        <v>1994</v>
      </c>
    </row>
    <row r="93" spans="1:10" ht="13.5" thickBot="1" x14ac:dyDescent="0.25">
      <c r="A93" s="771" t="s">
        <v>495</v>
      </c>
      <c r="B93" s="771" t="s">
        <v>494</v>
      </c>
      <c r="C93" s="771" t="s">
        <v>446</v>
      </c>
      <c r="D93" s="771" t="s">
        <v>476</v>
      </c>
      <c r="E93" s="772">
        <v>0</v>
      </c>
      <c r="F93" s="770">
        <f>VLOOKUP(A93,Sheet2!A:F,6,0)</f>
        <v>1800</v>
      </c>
      <c r="G93" s="770">
        <f>VLOOKUP(A93,Sheet2!A:E,5,0)</f>
        <v>0</v>
      </c>
      <c r="H93" s="770">
        <f>VLOOKUP(A93,Sheet2!A:C,3,0)</f>
        <v>0</v>
      </c>
      <c r="I93" s="769">
        <f t="shared" si="11"/>
        <v>1800</v>
      </c>
    </row>
    <row r="94" spans="1:10" ht="13.5" thickBot="1" x14ac:dyDescent="0.25">
      <c r="A94" s="771" t="s">
        <v>498</v>
      </c>
      <c r="B94" s="771" t="s">
        <v>497</v>
      </c>
      <c r="C94" s="771" t="s">
        <v>446</v>
      </c>
      <c r="D94" s="771" t="s">
        <v>476</v>
      </c>
      <c r="E94" s="772">
        <v>0</v>
      </c>
      <c r="F94" s="770">
        <f>VLOOKUP(A94,Sheet2!A:F,6,0)</f>
        <v>1192</v>
      </c>
      <c r="G94" s="770">
        <f>VLOOKUP(A94,Sheet2!A:E,5,0)</f>
        <v>0</v>
      </c>
      <c r="H94" s="770">
        <f>VLOOKUP(A94,Sheet2!A:C,3,0)</f>
        <v>0</v>
      </c>
      <c r="I94" s="769">
        <f t="shared" si="11"/>
        <v>1192</v>
      </c>
    </row>
    <row r="95" spans="1:10" ht="13.5" thickBot="1" x14ac:dyDescent="0.25">
      <c r="A95" s="768" t="s">
        <v>499</v>
      </c>
      <c r="B95" s="768" t="s">
        <v>500</v>
      </c>
      <c r="C95" s="768" t="s">
        <v>446</v>
      </c>
      <c r="D95" s="768" t="s">
        <v>501</v>
      </c>
      <c r="E95" s="769">
        <v>0</v>
      </c>
      <c r="F95" s="770">
        <f>VLOOKUP(A95,Sheet2!A:F,6,0)</f>
        <v>200</v>
      </c>
      <c r="G95" s="770">
        <f>VLOOKUP(A95,Sheet2!A:E,5,0)</f>
        <v>0</v>
      </c>
      <c r="H95" s="770">
        <f>VLOOKUP(A95,Sheet2!A:C,3,0)</f>
        <v>0</v>
      </c>
      <c r="I95" s="769">
        <f t="shared" si="11"/>
        <v>200</v>
      </c>
    </row>
    <row r="96" spans="1:10" ht="13.5" thickBot="1" x14ac:dyDescent="0.25">
      <c r="A96" s="771" t="s">
        <v>504</v>
      </c>
      <c r="B96" s="771" t="s">
        <v>503</v>
      </c>
      <c r="C96" s="771" t="s">
        <v>446</v>
      </c>
      <c r="D96" s="771" t="s">
        <v>501</v>
      </c>
      <c r="E96" s="772">
        <v>0</v>
      </c>
      <c r="F96" s="770">
        <f>VLOOKUP(A96,Sheet2!A:F,6,0)</f>
        <v>3000</v>
      </c>
      <c r="G96" s="770">
        <f>VLOOKUP(A96,Sheet2!A:E,5,0)</f>
        <v>0</v>
      </c>
      <c r="H96" s="770">
        <f>VLOOKUP(A96,Sheet2!A:C,3,0)</f>
        <v>0</v>
      </c>
      <c r="I96" s="769">
        <f t="shared" si="11"/>
        <v>3000</v>
      </c>
    </row>
    <row r="97" spans="1:9" ht="13.5" thickBot="1" x14ac:dyDescent="0.25">
      <c r="A97" s="771" t="s">
        <v>507</v>
      </c>
      <c r="B97" s="771" t="s">
        <v>506</v>
      </c>
      <c r="C97" s="771" t="s">
        <v>446</v>
      </c>
      <c r="D97" s="771" t="s">
        <v>501</v>
      </c>
      <c r="E97" s="772">
        <v>0</v>
      </c>
      <c r="F97" s="770">
        <f>VLOOKUP(A97,Sheet2!A:F,6,0)</f>
        <v>4008</v>
      </c>
      <c r="G97" s="770">
        <f>VLOOKUP(A97,Sheet2!A:E,5,0)</f>
        <v>0</v>
      </c>
      <c r="H97" s="770">
        <f>VLOOKUP(A97,Sheet2!A:C,3,0)</f>
        <v>0</v>
      </c>
      <c r="I97" s="769">
        <f t="shared" si="11"/>
        <v>4008</v>
      </c>
    </row>
    <row r="98" spans="1:9" ht="13.5" thickBot="1" x14ac:dyDescent="0.25">
      <c r="A98" s="768" t="s">
        <v>510</v>
      </c>
      <c r="B98" s="768" t="s">
        <v>509</v>
      </c>
      <c r="C98" s="768" t="s">
        <v>446</v>
      </c>
      <c r="D98" s="768" t="s">
        <v>501</v>
      </c>
      <c r="E98" s="769">
        <v>0</v>
      </c>
      <c r="F98" s="770">
        <f>VLOOKUP(A98,Sheet2!A:F,6,0)</f>
        <v>1800</v>
      </c>
      <c r="G98" s="770">
        <f>VLOOKUP(A98,Sheet2!A:E,5,0)</f>
        <v>0</v>
      </c>
      <c r="H98" s="770">
        <f>VLOOKUP(A98,Sheet2!A:C,3,0)</f>
        <v>0</v>
      </c>
      <c r="I98" s="769">
        <f t="shared" si="11"/>
        <v>1800</v>
      </c>
    </row>
    <row r="99" spans="1:9" ht="13.5" thickBot="1" x14ac:dyDescent="0.25">
      <c r="A99" s="768" t="s">
        <v>513</v>
      </c>
      <c r="B99" s="768" t="s">
        <v>512</v>
      </c>
      <c r="C99" s="768" t="s">
        <v>446</v>
      </c>
      <c r="D99" s="768" t="s">
        <v>501</v>
      </c>
      <c r="E99" s="769">
        <v>0</v>
      </c>
      <c r="F99" s="770">
        <f>VLOOKUP(A99,Sheet2!A:F,6,0)</f>
        <v>3200</v>
      </c>
      <c r="G99" s="770">
        <f>VLOOKUP(A99,Sheet2!A:E,5,0)</f>
        <v>0</v>
      </c>
      <c r="H99" s="770">
        <f>VLOOKUP(A99,Sheet2!A:C,3,0)</f>
        <v>0</v>
      </c>
      <c r="I99" s="769">
        <f t="shared" si="11"/>
        <v>3200</v>
      </c>
    </row>
    <row r="100" spans="1:9" ht="13.5" thickBot="1" x14ac:dyDescent="0.25">
      <c r="A100" s="771" t="s">
        <v>516</v>
      </c>
      <c r="B100" s="771" t="s">
        <v>515</v>
      </c>
      <c r="C100" s="771" t="s">
        <v>446</v>
      </c>
      <c r="D100" s="771" t="s">
        <v>501</v>
      </c>
      <c r="E100" s="772">
        <v>0</v>
      </c>
      <c r="F100" s="770">
        <f>VLOOKUP(A100,Sheet2!A:F,6,0)</f>
        <v>2</v>
      </c>
      <c r="G100" s="770">
        <f>VLOOKUP(A100,Sheet2!A:E,5,0)</f>
        <v>0</v>
      </c>
      <c r="H100" s="770">
        <f>VLOOKUP(A100,Sheet2!A:C,3,0)</f>
        <v>0</v>
      </c>
      <c r="I100" s="769">
        <f t="shared" si="11"/>
        <v>2</v>
      </c>
    </row>
    <row r="101" spans="1:9" ht="13.5" thickBot="1" x14ac:dyDescent="0.25">
      <c r="A101" s="771" t="s">
        <v>519</v>
      </c>
      <c r="B101" s="771" t="s">
        <v>518</v>
      </c>
      <c r="C101" s="771" t="s">
        <v>446</v>
      </c>
      <c r="D101" s="771" t="s">
        <v>501</v>
      </c>
      <c r="E101" s="772">
        <v>0</v>
      </c>
      <c r="F101" s="770">
        <f>VLOOKUP(A101,Sheet2!A:F,6,0)</f>
        <v>3535</v>
      </c>
      <c r="G101" s="770">
        <f>VLOOKUP(A101,Sheet2!A:E,5,0)</f>
        <v>0</v>
      </c>
      <c r="H101" s="770">
        <f>VLOOKUP(A101,Sheet2!A:C,3,0)</f>
        <v>0</v>
      </c>
      <c r="I101" s="769">
        <f t="shared" si="11"/>
        <v>3535</v>
      </c>
    </row>
    <row r="102" spans="1:9" ht="13.5" thickBot="1" x14ac:dyDescent="0.25">
      <c r="A102" s="771" t="s">
        <v>523</v>
      </c>
      <c r="B102" s="771" t="s">
        <v>521</v>
      </c>
      <c r="C102" s="771" t="s">
        <v>446</v>
      </c>
      <c r="D102" s="771" t="s">
        <v>522</v>
      </c>
      <c r="E102" s="772">
        <v>0</v>
      </c>
      <c r="F102" s="770">
        <f>VLOOKUP(A102,Sheet2!A:F,6,0)</f>
        <v>2687</v>
      </c>
      <c r="G102" s="770">
        <f>VLOOKUP(A102,Sheet2!A:E,5,0)</f>
        <v>700</v>
      </c>
      <c r="H102" s="770">
        <f>VLOOKUP(A102,Sheet2!A:C,3,0)</f>
        <v>0</v>
      </c>
      <c r="I102" s="769">
        <f t="shared" si="11"/>
        <v>1987</v>
      </c>
    </row>
    <row r="103" spans="1:9" ht="13.5" thickBot="1" x14ac:dyDescent="0.25">
      <c r="A103" s="768" t="s">
        <v>526</v>
      </c>
      <c r="B103" s="768" t="s">
        <v>525</v>
      </c>
      <c r="C103" s="768" t="s">
        <v>446</v>
      </c>
      <c r="D103" s="768" t="s">
        <v>522</v>
      </c>
      <c r="E103" s="769">
        <v>0</v>
      </c>
      <c r="F103" s="770">
        <f>VLOOKUP(A103,Sheet2!A:F,6,0)</f>
        <v>615</v>
      </c>
      <c r="G103" s="770">
        <f>VLOOKUP(A103,Sheet2!A:E,5,0)</f>
        <v>0</v>
      </c>
      <c r="H103" s="770">
        <f>VLOOKUP(A103,Sheet2!A:C,3,0)</f>
        <v>0</v>
      </c>
      <c r="I103" s="769">
        <f t="shared" si="11"/>
        <v>615</v>
      </c>
    </row>
    <row r="104" spans="1:9" ht="13.5" thickBot="1" x14ac:dyDescent="0.25">
      <c r="A104" s="768" t="s">
        <v>529</v>
      </c>
      <c r="B104" s="768" t="s">
        <v>528</v>
      </c>
      <c r="C104" s="768" t="s">
        <v>446</v>
      </c>
      <c r="D104" s="768" t="s">
        <v>522</v>
      </c>
      <c r="E104" s="769">
        <v>0</v>
      </c>
      <c r="F104" s="770">
        <f>VLOOKUP(A104,Sheet2!A:F,6,0)</f>
        <v>3323</v>
      </c>
      <c r="G104" s="770">
        <f>VLOOKUP(A104,Sheet2!A:E,5,0)</f>
        <v>0</v>
      </c>
      <c r="H104" s="770">
        <f>VLOOKUP(A104,Sheet2!A:C,3,0)</f>
        <v>0</v>
      </c>
      <c r="I104" s="769">
        <f t="shared" si="11"/>
        <v>3323</v>
      </c>
    </row>
    <row r="105" spans="1:9" ht="13.5" thickBot="1" x14ac:dyDescent="0.25">
      <c r="A105" s="771" t="s">
        <v>533</v>
      </c>
      <c r="B105" s="771" t="s">
        <v>531</v>
      </c>
      <c r="C105" s="771" t="s">
        <v>446</v>
      </c>
      <c r="D105" s="771" t="s">
        <v>532</v>
      </c>
      <c r="E105" s="772">
        <v>0</v>
      </c>
      <c r="F105" s="770">
        <f>VLOOKUP(A105,Sheet2!A:F,6,0)</f>
        <v>3533</v>
      </c>
      <c r="G105" s="770">
        <f>VLOOKUP(A105,Sheet2!A:E,5,0)</f>
        <v>1654.69</v>
      </c>
      <c r="H105" s="770">
        <f>VLOOKUP(A105,Sheet2!A:C,3,0)</f>
        <v>0</v>
      </c>
      <c r="I105" s="769">
        <f t="shared" si="11"/>
        <v>1878.31</v>
      </c>
    </row>
    <row r="106" spans="1:9" ht="13.5" thickBot="1" x14ac:dyDescent="0.25">
      <c r="A106" s="771" t="s">
        <v>536</v>
      </c>
      <c r="B106" s="771" t="s">
        <v>535</v>
      </c>
      <c r="C106" s="771" t="s">
        <v>446</v>
      </c>
      <c r="D106" s="771" t="s">
        <v>532</v>
      </c>
      <c r="E106" s="772">
        <v>0</v>
      </c>
      <c r="F106" s="770">
        <f>VLOOKUP(A106,Sheet2!A:F,6,0)</f>
        <v>326</v>
      </c>
      <c r="G106" s="770">
        <f>VLOOKUP(A106,Sheet2!A:E,5,0)</f>
        <v>0</v>
      </c>
      <c r="H106" s="770">
        <f>VLOOKUP(A106,Sheet2!A:C,3,0)</f>
        <v>0</v>
      </c>
      <c r="I106" s="769">
        <f t="shared" si="11"/>
        <v>326</v>
      </c>
    </row>
    <row r="107" spans="1:9" ht="13.5" thickBot="1" x14ac:dyDescent="0.25">
      <c r="A107" s="771" t="s">
        <v>544</v>
      </c>
      <c r="B107" s="771" t="s">
        <v>543</v>
      </c>
      <c r="C107" s="771" t="s">
        <v>446</v>
      </c>
      <c r="D107" s="771" t="s">
        <v>532</v>
      </c>
      <c r="E107" s="772">
        <v>0</v>
      </c>
      <c r="F107" s="770">
        <f>VLOOKUP(A107,Sheet2!A:F,6,0)</f>
        <v>241</v>
      </c>
      <c r="G107" s="770">
        <f>VLOOKUP(A107,Sheet2!A:E,5,0)</f>
        <v>0</v>
      </c>
      <c r="H107" s="770">
        <f>VLOOKUP(A107,Sheet2!A:C,3,0)</f>
        <v>0</v>
      </c>
      <c r="I107" s="769">
        <f t="shared" si="11"/>
        <v>241</v>
      </c>
    </row>
    <row r="108" spans="1:9" ht="13.5" thickBot="1" x14ac:dyDescent="0.25">
      <c r="A108" s="768" t="s">
        <v>547</v>
      </c>
      <c r="B108" s="768" t="s">
        <v>546</v>
      </c>
      <c r="C108" s="768" t="s">
        <v>446</v>
      </c>
      <c r="D108" s="768" t="s">
        <v>532</v>
      </c>
      <c r="E108" s="769">
        <v>0</v>
      </c>
      <c r="F108" s="770">
        <f>VLOOKUP(A108,Sheet2!A:F,6,0)</f>
        <v>2223</v>
      </c>
      <c r="G108" s="770">
        <f>VLOOKUP(A108,Sheet2!A:E,5,0)</f>
        <v>0</v>
      </c>
      <c r="H108" s="770">
        <f>VLOOKUP(A108,Sheet2!A:C,3,0)</f>
        <v>0</v>
      </c>
      <c r="I108" s="769">
        <f t="shared" si="11"/>
        <v>2223</v>
      </c>
    </row>
    <row r="109" spans="1:9" ht="13.5" thickBot="1" x14ac:dyDescent="0.25">
      <c r="A109" s="771" t="s">
        <v>550</v>
      </c>
      <c r="B109" s="771" t="s">
        <v>549</v>
      </c>
      <c r="C109" s="771" t="s">
        <v>446</v>
      </c>
      <c r="D109" s="771" t="s">
        <v>262</v>
      </c>
      <c r="E109" s="772">
        <v>0</v>
      </c>
      <c r="F109" s="770">
        <f>VLOOKUP(A109,Sheet2!A:F,6,0)</f>
        <v>6015</v>
      </c>
      <c r="G109" s="770">
        <f>VLOOKUP(A109,Sheet2!A:E,5,0)</f>
        <v>964.93</v>
      </c>
      <c r="H109" s="770">
        <f>VLOOKUP(A109,Sheet2!A:C,3,0)</f>
        <v>0</v>
      </c>
      <c r="I109" s="769">
        <f t="shared" si="11"/>
        <v>5050.07</v>
      </c>
    </row>
    <row r="110" spans="1:9" ht="13.5" thickBot="1" x14ac:dyDescent="0.25">
      <c r="A110" s="771" t="s">
        <v>567</v>
      </c>
      <c r="B110" s="771" t="s">
        <v>565</v>
      </c>
      <c r="C110" s="771" t="s">
        <v>446</v>
      </c>
      <c r="D110" s="771" t="s">
        <v>566</v>
      </c>
      <c r="E110" s="772">
        <v>0</v>
      </c>
      <c r="F110" s="770">
        <f>VLOOKUP(A110,Sheet2!A:F,6,0)</f>
        <v>10375</v>
      </c>
      <c r="G110" s="770">
        <f>VLOOKUP(A110,Sheet2!A:E,5,0)</f>
        <v>2869.61</v>
      </c>
      <c r="H110" s="770">
        <f>VLOOKUP(A110,Sheet2!A:C,3,0)</f>
        <v>0</v>
      </c>
      <c r="I110" s="769">
        <f t="shared" si="11"/>
        <v>7505.3899999999994</v>
      </c>
    </row>
    <row r="111" spans="1:9" ht="13.5" thickBot="1" x14ac:dyDescent="0.25">
      <c r="A111" s="771" t="s">
        <v>570</v>
      </c>
      <c r="B111" s="771" t="s">
        <v>569</v>
      </c>
      <c r="C111" s="771" t="s">
        <v>446</v>
      </c>
      <c r="D111" s="771" t="s">
        <v>566</v>
      </c>
      <c r="E111" s="772">
        <v>0</v>
      </c>
      <c r="F111" s="770">
        <f>VLOOKUP(A111,Sheet2!A:F,6,0)</f>
        <v>4700</v>
      </c>
      <c r="G111" s="770">
        <f>VLOOKUP(A111,Sheet2!A:E,5,0)</f>
        <v>0</v>
      </c>
      <c r="H111" s="770">
        <f>VLOOKUP(A111,Sheet2!A:C,3,0)</f>
        <v>0</v>
      </c>
      <c r="I111" s="769">
        <f t="shared" si="11"/>
        <v>4700</v>
      </c>
    </row>
    <row r="112" spans="1:9" ht="13.5" thickBot="1" x14ac:dyDescent="0.25">
      <c r="A112" s="768" t="s">
        <v>573</v>
      </c>
      <c r="B112" s="768" t="s">
        <v>572</v>
      </c>
      <c r="C112" s="768" t="s">
        <v>446</v>
      </c>
      <c r="D112" s="768" t="s">
        <v>566</v>
      </c>
      <c r="E112" s="769">
        <v>0</v>
      </c>
      <c r="F112" s="770">
        <f>VLOOKUP(A112,Sheet2!A:F,6,0)</f>
        <v>7175</v>
      </c>
      <c r="G112" s="770">
        <f>VLOOKUP(A112,Sheet2!A:E,5,0)</f>
        <v>0</v>
      </c>
      <c r="H112" s="770">
        <f>VLOOKUP(A112,Sheet2!A:C,3,0)</f>
        <v>0</v>
      </c>
      <c r="I112" s="769">
        <f t="shared" si="11"/>
        <v>7175</v>
      </c>
    </row>
    <row r="113" spans="1:9" ht="13.5" thickBot="1" x14ac:dyDescent="0.25">
      <c r="A113" s="768" t="s">
        <v>576</v>
      </c>
      <c r="B113" s="768" t="s">
        <v>575</v>
      </c>
      <c r="C113" s="768" t="s">
        <v>446</v>
      </c>
      <c r="D113" s="768" t="s">
        <v>566</v>
      </c>
      <c r="E113" s="769">
        <v>0</v>
      </c>
      <c r="F113" s="770">
        <f>VLOOKUP(A113,Sheet2!A:F,6,0)</f>
        <v>2974</v>
      </c>
      <c r="G113" s="770">
        <f>VLOOKUP(A113,Sheet2!A:E,5,0)</f>
        <v>0</v>
      </c>
      <c r="H113" s="770">
        <f>VLOOKUP(A113,Sheet2!A:C,3,0)</f>
        <v>0</v>
      </c>
      <c r="I113" s="769">
        <f t="shared" si="11"/>
        <v>2974</v>
      </c>
    </row>
    <row r="114" spans="1:9" ht="13.5" thickBot="1" x14ac:dyDescent="0.25">
      <c r="A114" s="771" t="s">
        <v>580</v>
      </c>
      <c r="B114" s="771" t="s">
        <v>578</v>
      </c>
      <c r="C114" s="771" t="s">
        <v>446</v>
      </c>
      <c r="D114" s="771" t="s">
        <v>579</v>
      </c>
      <c r="E114" s="772">
        <v>0</v>
      </c>
      <c r="F114" s="770">
        <f>VLOOKUP(A114,Sheet2!A:F,6,0)</f>
        <v>0</v>
      </c>
      <c r="G114" s="770">
        <f>VLOOKUP(A114,Sheet2!A:E,5,0)</f>
        <v>0</v>
      </c>
      <c r="H114" s="770">
        <f>VLOOKUP(A114,Sheet2!A:C,3,0)</f>
        <v>0</v>
      </c>
      <c r="I114" s="769">
        <f t="shared" si="11"/>
        <v>0</v>
      </c>
    </row>
    <row r="115" spans="1:9" ht="13.5" thickBot="1" x14ac:dyDescent="0.25">
      <c r="A115" s="771" t="s">
        <v>583</v>
      </c>
      <c r="B115" s="771" t="s">
        <v>582</v>
      </c>
      <c r="C115" s="771" t="s">
        <v>446</v>
      </c>
      <c r="D115" s="771" t="s">
        <v>579</v>
      </c>
      <c r="E115" s="772">
        <v>0</v>
      </c>
      <c r="F115" s="770">
        <f>VLOOKUP(A115,Sheet2!A:F,6,0)</f>
        <v>800</v>
      </c>
      <c r="G115" s="770">
        <f>VLOOKUP(A115,Sheet2!A:E,5,0)</f>
        <v>757.3</v>
      </c>
      <c r="H115" s="770">
        <f>VLOOKUP(A115,Sheet2!A:C,3,0)</f>
        <v>0</v>
      </c>
      <c r="I115" s="769">
        <f t="shared" si="11"/>
        <v>42.700000000000045</v>
      </c>
    </row>
    <row r="116" spans="1:9" ht="13.5" thickBot="1" x14ac:dyDescent="0.25">
      <c r="A116" s="771" t="s">
        <v>586</v>
      </c>
      <c r="B116" s="771" t="s">
        <v>585</v>
      </c>
      <c r="C116" s="771" t="s">
        <v>446</v>
      </c>
      <c r="D116" s="771" t="s">
        <v>579</v>
      </c>
      <c r="E116" s="772">
        <v>0</v>
      </c>
      <c r="F116" s="770">
        <f>VLOOKUP(A116,Sheet2!A:F,6,0)</f>
        <v>1600</v>
      </c>
      <c r="G116" s="770">
        <f>VLOOKUP(A116,Sheet2!A:E,5,0)</f>
        <v>0</v>
      </c>
      <c r="H116" s="770">
        <f>VLOOKUP(A116,Sheet2!A:C,3,0)</f>
        <v>0</v>
      </c>
      <c r="I116" s="769">
        <f t="shared" si="11"/>
        <v>1600</v>
      </c>
    </row>
    <row r="117" spans="1:9" ht="13.5" thickBot="1" x14ac:dyDescent="0.25">
      <c r="A117" s="768" t="s">
        <v>589</v>
      </c>
      <c r="B117" s="768" t="s">
        <v>588</v>
      </c>
      <c r="C117" s="768" t="s">
        <v>446</v>
      </c>
      <c r="D117" s="768" t="s">
        <v>579</v>
      </c>
      <c r="E117" s="769">
        <v>0</v>
      </c>
      <c r="F117" s="770">
        <f>VLOOKUP(A117,Sheet2!A:F,6,0)</f>
        <v>1400</v>
      </c>
      <c r="G117" s="770">
        <f>VLOOKUP(A117,Sheet2!A:E,5,0)</f>
        <v>0</v>
      </c>
      <c r="H117" s="770">
        <f>VLOOKUP(A117,Sheet2!A:C,3,0)</f>
        <v>0</v>
      </c>
      <c r="I117" s="769">
        <f t="shared" si="11"/>
        <v>1400</v>
      </c>
    </row>
    <row r="118" spans="1:9" ht="13.5" thickBot="1" x14ac:dyDescent="0.25">
      <c r="A118" s="768" t="s">
        <v>590</v>
      </c>
      <c r="B118" s="768" t="s">
        <v>591</v>
      </c>
      <c r="C118" s="768" t="s">
        <v>446</v>
      </c>
      <c r="D118" s="768" t="s">
        <v>579</v>
      </c>
      <c r="E118" s="769">
        <v>0</v>
      </c>
      <c r="F118" s="770">
        <f>VLOOKUP(A118,Sheet2!A:F,6,0)</f>
        <v>280</v>
      </c>
      <c r="G118" s="770">
        <f>VLOOKUP(A118,Sheet2!A:E,5,0)</f>
        <v>0</v>
      </c>
      <c r="H118" s="770">
        <f>VLOOKUP(A118,Sheet2!A:C,3,0)</f>
        <v>0</v>
      </c>
      <c r="I118" s="769">
        <f t="shared" si="11"/>
        <v>280</v>
      </c>
    </row>
    <row r="119" spans="1:9" ht="13.5" thickBot="1" x14ac:dyDescent="0.25">
      <c r="A119" s="771" t="s">
        <v>594</v>
      </c>
      <c r="B119" s="771" t="s">
        <v>593</v>
      </c>
      <c r="C119" s="771" t="s">
        <v>446</v>
      </c>
      <c r="D119" s="771" t="s">
        <v>579</v>
      </c>
      <c r="E119" s="772">
        <v>0</v>
      </c>
      <c r="F119" s="770">
        <f>VLOOKUP(A119,Sheet2!A:F,6,0)</f>
        <v>4200</v>
      </c>
      <c r="G119" s="770">
        <f>VLOOKUP(A119,Sheet2!A:E,5,0)</f>
        <v>0</v>
      </c>
      <c r="H119" s="770">
        <f>VLOOKUP(A119,Sheet2!A:C,3,0)</f>
        <v>0</v>
      </c>
      <c r="I119" s="769">
        <f t="shared" si="11"/>
        <v>4200</v>
      </c>
    </row>
    <row r="120" spans="1:9" ht="13.5" thickBot="1" x14ac:dyDescent="0.25">
      <c r="A120" s="771" t="s">
        <v>597</v>
      </c>
      <c r="B120" s="771" t="s">
        <v>596</v>
      </c>
      <c r="C120" s="771" t="s">
        <v>446</v>
      </c>
      <c r="D120" s="771" t="s">
        <v>579</v>
      </c>
      <c r="E120" s="772">
        <v>0</v>
      </c>
      <c r="F120" s="770">
        <f>VLOOKUP(A120,Sheet2!A:F,6,0)</f>
        <v>6400</v>
      </c>
      <c r="G120" s="770">
        <f>VLOOKUP(A120,Sheet2!A:E,5,0)</f>
        <v>0</v>
      </c>
      <c r="H120" s="770">
        <f>VLOOKUP(A120,Sheet2!A:C,3,0)</f>
        <v>0</v>
      </c>
      <c r="I120" s="769">
        <f t="shared" si="11"/>
        <v>6400</v>
      </c>
    </row>
    <row r="121" spans="1:9" ht="13.5" thickBot="1" x14ac:dyDescent="0.25">
      <c r="A121" s="771" t="s">
        <v>600</v>
      </c>
      <c r="B121" s="771" t="s">
        <v>599</v>
      </c>
      <c r="C121" s="771" t="s">
        <v>446</v>
      </c>
      <c r="D121" s="771" t="s">
        <v>579</v>
      </c>
      <c r="E121" s="772">
        <v>0</v>
      </c>
      <c r="F121" s="770">
        <f>VLOOKUP(A121,Sheet2!A:F,6,0)</f>
        <v>3000</v>
      </c>
      <c r="G121" s="770">
        <f>VLOOKUP(A121,Sheet2!A:E,5,0)</f>
        <v>0</v>
      </c>
      <c r="H121" s="770">
        <f>VLOOKUP(A121,Sheet2!A:C,3,0)</f>
        <v>0</v>
      </c>
      <c r="I121" s="769">
        <f t="shared" si="11"/>
        <v>3000</v>
      </c>
    </row>
    <row r="122" spans="1:9" ht="13.5" thickBot="1" x14ac:dyDescent="0.25">
      <c r="A122" s="768" t="s">
        <v>603</v>
      </c>
      <c r="B122" s="768" t="s">
        <v>602</v>
      </c>
      <c r="C122" s="768" t="s">
        <v>446</v>
      </c>
      <c r="D122" s="768" t="s">
        <v>579</v>
      </c>
      <c r="E122" s="769">
        <v>0</v>
      </c>
      <c r="F122" s="770">
        <f>VLOOKUP(A122,Sheet2!A:F,6,0)</f>
        <v>1990</v>
      </c>
      <c r="G122" s="770">
        <f>VLOOKUP(A122,Sheet2!A:E,5,0)</f>
        <v>0</v>
      </c>
      <c r="H122" s="770">
        <f>VLOOKUP(A122,Sheet2!A:C,3,0)</f>
        <v>0</v>
      </c>
      <c r="I122" s="769">
        <f t="shared" si="11"/>
        <v>1990</v>
      </c>
    </row>
    <row r="123" spans="1:9" ht="13.5" thickBot="1" x14ac:dyDescent="0.25">
      <c r="A123" s="768" t="s">
        <v>606</v>
      </c>
      <c r="B123" s="768" t="s">
        <v>605</v>
      </c>
      <c r="C123" s="768" t="s">
        <v>446</v>
      </c>
      <c r="D123" s="768" t="s">
        <v>579</v>
      </c>
      <c r="E123" s="769">
        <v>0</v>
      </c>
      <c r="F123" s="770">
        <f>VLOOKUP(A123,Sheet2!A:F,6,0)</f>
        <v>4600</v>
      </c>
      <c r="G123" s="770">
        <f>VLOOKUP(A123,Sheet2!A:E,5,0)</f>
        <v>0</v>
      </c>
      <c r="H123" s="770">
        <f>VLOOKUP(A123,Sheet2!A:C,3,0)</f>
        <v>0</v>
      </c>
      <c r="I123" s="769">
        <f t="shared" si="11"/>
        <v>4600</v>
      </c>
    </row>
    <row r="124" spans="1:9" ht="13.5" thickBot="1" x14ac:dyDescent="0.25">
      <c r="A124" s="771" t="s">
        <v>609</v>
      </c>
      <c r="B124" s="771" t="s">
        <v>608</v>
      </c>
      <c r="C124" s="771" t="s">
        <v>446</v>
      </c>
      <c r="D124" s="771" t="s">
        <v>579</v>
      </c>
      <c r="E124" s="772">
        <v>0</v>
      </c>
      <c r="F124" s="770">
        <f>VLOOKUP(A124,Sheet2!A:F,6,0)</f>
        <v>2600</v>
      </c>
      <c r="G124" s="770">
        <f>VLOOKUP(A124,Sheet2!A:E,5,0)</f>
        <v>0</v>
      </c>
      <c r="H124" s="770">
        <f>VLOOKUP(A124,Sheet2!A:C,3,0)</f>
        <v>0</v>
      </c>
      <c r="I124" s="769">
        <f t="shared" si="11"/>
        <v>2600</v>
      </c>
    </row>
    <row r="125" spans="1:9" ht="13.5" thickBot="1" x14ac:dyDescent="0.25">
      <c r="A125" s="771" t="s">
        <v>612</v>
      </c>
      <c r="B125" s="771" t="s">
        <v>611</v>
      </c>
      <c r="C125" s="771" t="s">
        <v>446</v>
      </c>
      <c r="D125" s="771" t="s">
        <v>611</v>
      </c>
      <c r="E125" s="772">
        <v>0</v>
      </c>
      <c r="F125" s="770">
        <f>VLOOKUP(A125,Sheet2!A:F,6,0)</f>
        <v>16964</v>
      </c>
      <c r="G125" s="770">
        <f>VLOOKUP(A125,Sheet2!A:E,5,0)</f>
        <v>877.64</v>
      </c>
      <c r="H125" s="770">
        <f>VLOOKUP(A125,Sheet2!A:C,3,0)</f>
        <v>0</v>
      </c>
      <c r="I125" s="769">
        <f t="shared" si="11"/>
        <v>16086.36</v>
      </c>
    </row>
    <row r="126" spans="1:9" ht="13.5" thickBot="1" x14ac:dyDescent="0.25">
      <c r="A126" s="771"/>
      <c r="B126" s="771"/>
      <c r="C126" s="771"/>
      <c r="D126" s="771"/>
      <c r="E126" s="806">
        <f>SUM(E84:E125)</f>
        <v>0</v>
      </c>
      <c r="F126" s="806">
        <f t="shared" ref="F126:I126" si="12">SUM(F84:F125)</f>
        <v>134930</v>
      </c>
      <c r="G126" s="806">
        <f t="shared" si="12"/>
        <v>8318.49</v>
      </c>
      <c r="H126" s="806">
        <f t="shared" si="12"/>
        <v>0</v>
      </c>
      <c r="I126" s="806">
        <f t="shared" si="12"/>
        <v>126611.51</v>
      </c>
    </row>
    <row r="127" spans="1:9" ht="13.5" thickBot="1" x14ac:dyDescent="0.25">
      <c r="A127" s="771"/>
      <c r="B127" s="771"/>
      <c r="C127" s="771"/>
      <c r="D127" s="883" t="s">
        <v>987</v>
      </c>
      <c r="E127" s="806">
        <f>E126+E83</f>
        <v>1035369</v>
      </c>
      <c r="F127" s="806">
        <f>F126+F83</f>
        <v>1189431</v>
      </c>
      <c r="G127" s="806">
        <f t="shared" ref="G127:I127" si="13">G126+G83</f>
        <v>366775.64999999997</v>
      </c>
      <c r="H127" s="806">
        <f t="shared" si="13"/>
        <v>2364.09</v>
      </c>
      <c r="I127" s="806">
        <f t="shared" si="13"/>
        <v>820291.26000000013</v>
      </c>
    </row>
    <row r="128" spans="1:9" ht="13.5" thickBot="1" x14ac:dyDescent="0.25">
      <c r="A128" s="771"/>
      <c r="B128" s="771"/>
      <c r="C128" s="771"/>
      <c r="D128" s="771"/>
      <c r="E128" s="806"/>
      <c r="F128" s="806">
        <v>1189431</v>
      </c>
      <c r="G128" s="806"/>
      <c r="H128" s="806"/>
      <c r="I128" s="806"/>
    </row>
    <row r="129" spans="1:11" ht="13.5" thickBot="1" x14ac:dyDescent="0.25">
      <c r="A129" s="771" t="s">
        <v>947</v>
      </c>
      <c r="B129" s="771" t="s">
        <v>618</v>
      </c>
      <c r="C129" s="771" t="s">
        <v>951</v>
      </c>
      <c r="D129" s="771" t="s">
        <v>620</v>
      </c>
      <c r="E129" s="772">
        <v>0</v>
      </c>
      <c r="F129" s="770">
        <f>VLOOKUP(A129,Sheet2!A:F,6,0)</f>
        <v>8500</v>
      </c>
      <c r="G129" s="770">
        <f>VLOOKUP(A129,Sheet2!A:E,5,0)</f>
        <v>1817.64</v>
      </c>
      <c r="H129" s="770">
        <f>VLOOKUP(A129,Sheet2!A:C,3,0)</f>
        <v>0</v>
      </c>
      <c r="I129" s="769">
        <f t="shared" si="3"/>
        <v>6682.36</v>
      </c>
      <c r="J129" s="793">
        <f>E129-F129</f>
        <v>-8500</v>
      </c>
    </row>
    <row r="130" spans="1:11" ht="13.5" thickBot="1" x14ac:dyDescent="0.25">
      <c r="A130" s="771" t="s">
        <v>219</v>
      </c>
      <c r="B130" s="771" t="s">
        <v>618</v>
      </c>
      <c r="C130" s="771" t="s">
        <v>621</v>
      </c>
      <c r="D130" s="771" t="s">
        <v>620</v>
      </c>
      <c r="E130" s="772">
        <v>10000</v>
      </c>
      <c r="F130" s="770">
        <f>VLOOKUP(A130,Sheet2!A:F,6,0)</f>
        <v>1500</v>
      </c>
      <c r="G130" s="770">
        <f>VLOOKUP(A130,Sheet2!A:E,5,0)</f>
        <v>176.12</v>
      </c>
      <c r="H130" s="770">
        <f>VLOOKUP(A130,Sheet2!A:C,3,0)</f>
        <v>0</v>
      </c>
      <c r="I130" s="769">
        <f t="shared" ref="I130" si="14">F130-G130-H130</f>
        <v>1323.88</v>
      </c>
      <c r="J130" s="793">
        <f>E130-F130</f>
        <v>8500</v>
      </c>
    </row>
    <row r="131" spans="1:11" ht="13.5" thickBot="1" x14ac:dyDescent="0.25">
      <c r="A131" s="768" t="s">
        <v>222</v>
      </c>
      <c r="B131" s="768" t="s">
        <v>618</v>
      </c>
      <c r="C131" s="768" t="s">
        <v>619</v>
      </c>
      <c r="D131" s="768" t="s">
        <v>620</v>
      </c>
      <c r="E131" s="769">
        <v>17453</v>
      </c>
      <c r="F131" s="770">
        <f>VLOOKUP(A131,Sheet2!A:F,6,0)</f>
        <v>17453</v>
      </c>
      <c r="G131" s="770">
        <f>VLOOKUP(A131,Sheet2!A:E,5,0)</f>
        <v>15579</v>
      </c>
      <c r="H131" s="770">
        <f>VLOOKUP(A131,Sheet2!A:C,3,0)</f>
        <v>0</v>
      </c>
      <c r="I131" s="769">
        <f t="shared" si="3"/>
        <v>1874</v>
      </c>
      <c r="J131" s="793">
        <f t="shared" ref="J131:J161" si="15">E131-F131</f>
        <v>0</v>
      </c>
    </row>
    <row r="132" spans="1:11" ht="15.75" thickBot="1" x14ac:dyDescent="0.3">
      <c r="A132" s="768" t="s">
        <v>982</v>
      </c>
      <c r="B132" s="768" t="s">
        <v>892</v>
      </c>
      <c r="C132" s="768">
        <v>0</v>
      </c>
      <c r="D132" s="768" t="s">
        <v>620</v>
      </c>
      <c r="E132" s="772">
        <v>0</v>
      </c>
      <c r="F132" s="770">
        <f>VLOOKUP(A132,Sheet2!A:F,6,0)</f>
        <v>0</v>
      </c>
      <c r="G132" s="770">
        <f>VLOOKUP(A132,Sheet2!A:E,5,0)</f>
        <v>149.96</v>
      </c>
      <c r="H132" s="770">
        <f>VLOOKUP(A132,Sheet2!A:C,3,0)</f>
        <v>0</v>
      </c>
      <c r="I132" s="769">
        <f t="shared" si="3"/>
        <v>-149.96</v>
      </c>
      <c r="J132" s="886"/>
      <c r="K132" s="886"/>
    </row>
    <row r="133" spans="1:11" ht="15.75" thickBot="1" x14ac:dyDescent="0.3">
      <c r="A133" s="768" t="s">
        <v>983</v>
      </c>
      <c r="B133" s="768" t="s">
        <v>892</v>
      </c>
      <c r="C133" s="768">
        <v>0</v>
      </c>
      <c r="D133" s="768" t="s">
        <v>620</v>
      </c>
      <c r="E133" s="772">
        <v>0</v>
      </c>
      <c r="F133" s="770">
        <f>VLOOKUP(A133,Sheet2!A:F,6,0)</f>
        <v>0</v>
      </c>
      <c r="G133" s="770">
        <f>VLOOKUP(A133,Sheet2!A:E,5,0)</f>
        <v>25.71</v>
      </c>
      <c r="H133" s="770">
        <f>VLOOKUP(A133,Sheet2!A:C,3,0)</f>
        <v>0</v>
      </c>
      <c r="I133" s="769">
        <f t="shared" si="3"/>
        <v>-25.71</v>
      </c>
      <c r="J133" s="886"/>
      <c r="K133" s="886"/>
    </row>
    <row r="134" spans="1:11" ht="15.75" thickBot="1" x14ac:dyDescent="0.3">
      <c r="A134" s="768" t="s">
        <v>984</v>
      </c>
      <c r="B134" s="768" t="s">
        <v>892</v>
      </c>
      <c r="C134" s="768">
        <v>0</v>
      </c>
      <c r="D134" s="768" t="s">
        <v>620</v>
      </c>
      <c r="E134" s="772">
        <v>0</v>
      </c>
      <c r="F134" s="770">
        <f>VLOOKUP(A134,Sheet2!A:F,6,0)</f>
        <v>0</v>
      </c>
      <c r="G134" s="770">
        <f>VLOOKUP(A134,Sheet2!A:E,5,0)</f>
        <v>19.5</v>
      </c>
      <c r="H134" s="770">
        <f>VLOOKUP(A134,Sheet2!A:C,3,0)</f>
        <v>0</v>
      </c>
      <c r="I134" s="769">
        <f t="shared" si="3"/>
        <v>-19.5</v>
      </c>
      <c r="J134" s="886"/>
      <c r="K134" s="886"/>
    </row>
    <row r="135" spans="1:11" ht="15.75" thickBot="1" x14ac:dyDescent="0.3">
      <c r="A135" s="768" t="s">
        <v>985</v>
      </c>
      <c r="B135" s="768" t="s">
        <v>892</v>
      </c>
      <c r="C135" s="768">
        <v>0</v>
      </c>
      <c r="D135" s="768" t="s">
        <v>620</v>
      </c>
      <c r="E135" s="772">
        <v>0</v>
      </c>
      <c r="F135" s="770">
        <f>VLOOKUP(A135,Sheet2!A:F,6,0)</f>
        <v>0</v>
      </c>
      <c r="G135" s="770">
        <f>VLOOKUP(A135,Sheet2!A:E,5,0)</f>
        <v>26.18</v>
      </c>
      <c r="H135" s="770">
        <f>VLOOKUP(A135,Sheet2!A:C,3,0)</f>
        <v>0</v>
      </c>
      <c r="I135" s="769">
        <f t="shared" si="3"/>
        <v>-26.18</v>
      </c>
      <c r="J135" s="886"/>
      <c r="K135" s="886"/>
    </row>
    <row r="136" spans="1:11" ht="13.5" thickBot="1" x14ac:dyDescent="0.25">
      <c r="A136" s="768" t="s">
        <v>210</v>
      </c>
      <c r="B136" s="768" t="s">
        <v>207</v>
      </c>
      <c r="C136" s="768" t="s">
        <v>621</v>
      </c>
      <c r="D136" s="768" t="s">
        <v>39</v>
      </c>
      <c r="E136" s="769">
        <v>1000</v>
      </c>
      <c r="F136" s="770">
        <f>VLOOKUP(A136,Sheet2!A:F,6,0)</f>
        <v>1000</v>
      </c>
      <c r="G136" s="770">
        <f>VLOOKUP(A136,Sheet2!A:E,5,0)</f>
        <v>163.62</v>
      </c>
      <c r="H136" s="770">
        <f>VLOOKUP(A136,Sheet2!A:C,3,0)</f>
        <v>0</v>
      </c>
      <c r="I136" s="769">
        <f t="shared" si="3"/>
        <v>836.38</v>
      </c>
      <c r="J136" s="793">
        <f t="shared" si="15"/>
        <v>0</v>
      </c>
    </row>
    <row r="137" spans="1:11" ht="13.5" thickBot="1" x14ac:dyDescent="0.25">
      <c r="A137" s="771" t="s">
        <v>211</v>
      </c>
      <c r="B137" s="771" t="s">
        <v>207</v>
      </c>
      <c r="C137" s="771" t="s">
        <v>440</v>
      </c>
      <c r="D137" s="771" t="s">
        <v>39</v>
      </c>
      <c r="E137" s="772">
        <v>3000</v>
      </c>
      <c r="F137" s="770">
        <f>VLOOKUP(A137,Sheet2!A:F,6,0)</f>
        <v>3000</v>
      </c>
      <c r="G137" s="770">
        <f>VLOOKUP(A137,Sheet2!A:E,5,0)</f>
        <v>1067.25</v>
      </c>
      <c r="H137" s="770">
        <f>VLOOKUP(A137,Sheet2!A:C,3,0)</f>
        <v>0</v>
      </c>
      <c r="I137" s="769">
        <f t="shared" si="3"/>
        <v>1932.75</v>
      </c>
      <c r="J137" s="793">
        <f t="shared" si="15"/>
        <v>0</v>
      </c>
    </row>
    <row r="138" spans="1:11" ht="13.5" thickBot="1" x14ac:dyDescent="0.25">
      <c r="A138" s="771" t="s">
        <v>212</v>
      </c>
      <c r="B138" s="771" t="s">
        <v>623</v>
      </c>
      <c r="C138" s="771" t="s">
        <v>624</v>
      </c>
      <c r="D138" s="771" t="s">
        <v>39</v>
      </c>
      <c r="E138" s="772">
        <v>1000</v>
      </c>
      <c r="F138" s="770">
        <f>VLOOKUP(A138,Sheet2!A:F,6,0)</f>
        <v>1000</v>
      </c>
      <c r="G138" s="770">
        <f>VLOOKUP(A138,Sheet2!A:E,5,0)</f>
        <v>0</v>
      </c>
      <c r="H138" s="770">
        <f>VLOOKUP(A138,Sheet2!A:C,3,0)</f>
        <v>0</v>
      </c>
      <c r="I138" s="769">
        <f t="shared" si="3"/>
        <v>1000</v>
      </c>
      <c r="J138" s="793">
        <f t="shared" si="15"/>
        <v>0</v>
      </c>
    </row>
    <row r="139" spans="1:11" ht="13.5" thickBot="1" x14ac:dyDescent="0.25">
      <c r="A139" s="771" t="s">
        <v>213</v>
      </c>
      <c r="B139" s="771" t="s">
        <v>623</v>
      </c>
      <c r="C139" s="771" t="s">
        <v>621</v>
      </c>
      <c r="D139" s="771" t="s">
        <v>39</v>
      </c>
      <c r="E139" s="772">
        <v>500</v>
      </c>
      <c r="F139" s="770">
        <f>VLOOKUP(A139,Sheet2!A:F,6,0)</f>
        <v>500</v>
      </c>
      <c r="G139" s="770">
        <f>VLOOKUP(A139,Sheet2!A:E,5,0)</f>
        <v>0</v>
      </c>
      <c r="H139" s="770">
        <f>VLOOKUP(A139,Sheet2!A:C,3,0)</f>
        <v>0</v>
      </c>
      <c r="I139" s="769">
        <f t="shared" si="3"/>
        <v>500</v>
      </c>
      <c r="J139" s="793">
        <f t="shared" si="15"/>
        <v>0</v>
      </c>
    </row>
    <row r="140" spans="1:11" ht="13.5" thickBot="1" x14ac:dyDescent="0.25">
      <c r="A140" s="768" t="s">
        <v>214</v>
      </c>
      <c r="B140" s="768" t="s">
        <v>623</v>
      </c>
      <c r="C140" s="768" t="s">
        <v>614</v>
      </c>
      <c r="D140" s="768" t="s">
        <v>39</v>
      </c>
      <c r="E140" s="769">
        <v>1500</v>
      </c>
      <c r="F140" s="770">
        <f>VLOOKUP(A140,Sheet2!A:F,6,0)</f>
        <v>1500</v>
      </c>
      <c r="G140" s="770">
        <f>VLOOKUP(A140,Sheet2!A:E,5,0)</f>
        <v>0</v>
      </c>
      <c r="H140" s="770">
        <f>VLOOKUP(A140,Sheet2!A:C,3,0)</f>
        <v>0</v>
      </c>
      <c r="I140" s="769">
        <f t="shared" si="3"/>
        <v>1500</v>
      </c>
      <c r="J140" s="793">
        <f t="shared" si="15"/>
        <v>0</v>
      </c>
    </row>
    <row r="141" spans="1:11" ht="13.5" thickBot="1" x14ac:dyDescent="0.25">
      <c r="A141" s="768" t="s">
        <v>215</v>
      </c>
      <c r="B141" s="768" t="s">
        <v>623</v>
      </c>
      <c r="C141" s="768" t="s">
        <v>625</v>
      </c>
      <c r="D141" s="768" t="s">
        <v>39</v>
      </c>
      <c r="E141" s="769">
        <v>1500</v>
      </c>
      <c r="F141" s="770">
        <f>VLOOKUP(A141,Sheet2!A:F,6,0)</f>
        <v>1500</v>
      </c>
      <c r="G141" s="770">
        <f>VLOOKUP(A141,Sheet2!A:E,5,0)</f>
        <v>197.05</v>
      </c>
      <c r="H141" s="770">
        <f>VLOOKUP(A141,Sheet2!A:C,3,0)</f>
        <v>0</v>
      </c>
      <c r="I141" s="769">
        <f t="shared" si="3"/>
        <v>1302.95</v>
      </c>
      <c r="J141" s="793">
        <f t="shared" si="15"/>
        <v>0</v>
      </c>
    </row>
    <row r="142" spans="1:11" ht="13.5" thickBot="1" x14ac:dyDescent="0.25">
      <c r="A142" s="771" t="s">
        <v>216</v>
      </c>
      <c r="B142" s="771" t="s">
        <v>626</v>
      </c>
      <c r="C142" s="771" t="s">
        <v>442</v>
      </c>
      <c r="D142" s="771" t="s">
        <v>627</v>
      </c>
      <c r="E142" s="772">
        <v>7479</v>
      </c>
      <c r="F142" s="770">
        <f>VLOOKUP(A142,Sheet2!A:F,6,0)</f>
        <v>7479</v>
      </c>
      <c r="G142" s="770">
        <f>VLOOKUP(A142,Sheet2!A:E,5,0)</f>
        <v>7479</v>
      </c>
      <c r="H142" s="770">
        <f>VLOOKUP(A142,Sheet2!A:C,3,0)</f>
        <v>0</v>
      </c>
      <c r="I142" s="769">
        <f t="shared" si="3"/>
        <v>0</v>
      </c>
      <c r="J142" s="793">
        <f t="shared" si="15"/>
        <v>0</v>
      </c>
    </row>
    <row r="143" spans="1:11" ht="13.5" thickBot="1" x14ac:dyDescent="0.25">
      <c r="A143" s="771" t="s">
        <v>291</v>
      </c>
      <c r="B143" s="771" t="s">
        <v>626</v>
      </c>
      <c r="C143" s="771" t="s">
        <v>469</v>
      </c>
      <c r="D143" s="771" t="s">
        <v>627</v>
      </c>
      <c r="E143" s="772">
        <v>0</v>
      </c>
      <c r="F143" s="770">
        <f>VLOOKUP(A143,Sheet2!A:F,6,0)</f>
        <v>0</v>
      </c>
      <c r="G143" s="770">
        <f>VLOOKUP(A143,Sheet2!A:E,5,0)</f>
        <v>0</v>
      </c>
      <c r="H143" s="770">
        <f>VLOOKUP(A143,Sheet2!A:C,3,0)</f>
        <v>0</v>
      </c>
      <c r="I143" s="769">
        <f t="shared" si="3"/>
        <v>0</v>
      </c>
      <c r="J143" s="793">
        <f t="shared" si="15"/>
        <v>0</v>
      </c>
    </row>
    <row r="144" spans="1:11" ht="13.5" thickBot="1" x14ac:dyDescent="0.25">
      <c r="A144" s="768" t="s">
        <v>217</v>
      </c>
      <c r="B144" s="768" t="s">
        <v>626</v>
      </c>
      <c r="C144" s="768" t="s">
        <v>563</v>
      </c>
      <c r="D144" s="768" t="s">
        <v>627</v>
      </c>
      <c r="E144" s="769">
        <v>73711</v>
      </c>
      <c r="F144" s="770">
        <f>VLOOKUP(A144,Sheet2!A:F,6,0)</f>
        <v>73711</v>
      </c>
      <c r="G144" s="770">
        <f>VLOOKUP(A144,Sheet2!A:E,5,0)</f>
        <v>72921.119999999995</v>
      </c>
      <c r="H144" s="770">
        <f>VLOOKUP(A144,Sheet2!A:C,3,0)</f>
        <v>0</v>
      </c>
      <c r="I144" s="769">
        <f t="shared" si="3"/>
        <v>789.88000000000466</v>
      </c>
      <c r="J144" s="793">
        <f t="shared" si="15"/>
        <v>0</v>
      </c>
    </row>
    <row r="145" spans="1:10" ht="13.5" thickBot="1" x14ac:dyDescent="0.25">
      <c r="A145" s="768" t="s">
        <v>218</v>
      </c>
      <c r="B145" s="768" t="s">
        <v>626</v>
      </c>
      <c r="C145" s="768" t="s">
        <v>552</v>
      </c>
      <c r="D145" s="768" t="s">
        <v>627</v>
      </c>
      <c r="E145" s="769">
        <v>15000</v>
      </c>
      <c r="F145" s="770">
        <f>VLOOKUP(A145,Sheet2!A:F,6,0)</f>
        <v>15000</v>
      </c>
      <c r="G145" s="770">
        <f>VLOOKUP(A145,Sheet2!A:E,5,0)</f>
        <v>4375</v>
      </c>
      <c r="H145" s="770">
        <f>VLOOKUP(A145,Sheet2!A:C,3,0)</f>
        <v>0</v>
      </c>
      <c r="I145" s="769">
        <f t="shared" si="3"/>
        <v>10625</v>
      </c>
      <c r="J145" s="793">
        <f t="shared" si="15"/>
        <v>0</v>
      </c>
    </row>
    <row r="146" spans="1:10" ht="13.5" thickBot="1" x14ac:dyDescent="0.25">
      <c r="A146" s="771" t="s">
        <v>792</v>
      </c>
      <c r="B146" s="771" t="s">
        <v>626</v>
      </c>
      <c r="C146" s="771" t="s">
        <v>793</v>
      </c>
      <c r="D146" s="771" t="s">
        <v>627</v>
      </c>
      <c r="E146" s="772">
        <v>0</v>
      </c>
      <c r="F146" s="770">
        <f>VLOOKUP(A146,Sheet2!A:F,6,0)</f>
        <v>0</v>
      </c>
      <c r="G146" s="770">
        <f>VLOOKUP(A146,Sheet2!A:E,5,0)</f>
        <v>150</v>
      </c>
      <c r="H146" s="770">
        <f>VLOOKUP(A146,Sheet2!A:C,3,0)</f>
        <v>0</v>
      </c>
      <c r="I146" s="769">
        <f t="shared" si="3"/>
        <v>-150</v>
      </c>
      <c r="J146" s="793">
        <f t="shared" si="15"/>
        <v>0</v>
      </c>
    </row>
    <row r="147" spans="1:10" ht="13.5" thickBot="1" x14ac:dyDescent="0.25">
      <c r="A147" s="771" t="s">
        <v>794</v>
      </c>
      <c r="B147" s="771" t="s">
        <v>626</v>
      </c>
      <c r="C147" s="771" t="s">
        <v>556</v>
      </c>
      <c r="D147" s="771" t="s">
        <v>627</v>
      </c>
      <c r="E147" s="772">
        <v>0</v>
      </c>
      <c r="F147" s="770">
        <f>VLOOKUP(A147,Sheet2!A:F,6,0)</f>
        <v>0</v>
      </c>
      <c r="G147" s="770">
        <f>VLOOKUP(A147,Sheet2!A:E,5,0)</f>
        <v>63.05</v>
      </c>
      <c r="H147" s="770">
        <f>VLOOKUP(A147,Sheet2!A:C,3,0)</f>
        <v>0</v>
      </c>
      <c r="I147" s="769">
        <f t="shared" si="3"/>
        <v>-63.05</v>
      </c>
      <c r="J147" s="793">
        <f t="shared" si="15"/>
        <v>0</v>
      </c>
    </row>
    <row r="148" spans="1:10" ht="13.5" thickBot="1" x14ac:dyDescent="0.25">
      <c r="A148" s="771" t="s">
        <v>795</v>
      </c>
      <c r="B148" s="771" t="s">
        <v>626</v>
      </c>
      <c r="C148" s="771" t="s">
        <v>665</v>
      </c>
      <c r="D148" s="771" t="s">
        <v>627</v>
      </c>
      <c r="E148" s="772">
        <v>0</v>
      </c>
      <c r="F148" s="770">
        <f>VLOOKUP(A148,Sheet2!A:F,6,0)</f>
        <v>0</v>
      </c>
      <c r="G148" s="770">
        <f>VLOOKUP(A148,Sheet2!A:E,5,0)</f>
        <v>46.37</v>
      </c>
      <c r="H148" s="770">
        <f>VLOOKUP(A148,Sheet2!A:C,3,0)</f>
        <v>0</v>
      </c>
      <c r="I148" s="769">
        <f t="shared" si="3"/>
        <v>-46.37</v>
      </c>
      <c r="J148" s="793">
        <f t="shared" si="15"/>
        <v>0</v>
      </c>
    </row>
    <row r="149" spans="1:10" ht="13.5" thickBot="1" x14ac:dyDescent="0.25">
      <c r="A149" s="768" t="s">
        <v>632</v>
      </c>
      <c r="B149" s="768" t="s">
        <v>626</v>
      </c>
      <c r="C149" s="768" t="s">
        <v>562</v>
      </c>
      <c r="D149" s="768" t="s">
        <v>627</v>
      </c>
      <c r="E149" s="769">
        <v>0</v>
      </c>
      <c r="F149" s="770">
        <f>VLOOKUP(A149,Sheet2!A:F,6,0)</f>
        <v>0</v>
      </c>
      <c r="G149" s="770">
        <f>VLOOKUP(A149,Sheet2!A:E,5,0)</f>
        <v>62.29</v>
      </c>
      <c r="H149" s="770">
        <f>VLOOKUP(A149,Sheet2!A:C,3,0)</f>
        <v>0</v>
      </c>
      <c r="I149" s="769">
        <f t="shared" si="3"/>
        <v>-62.29</v>
      </c>
      <c r="J149" s="793">
        <f t="shared" si="15"/>
        <v>0</v>
      </c>
    </row>
    <row r="150" spans="1:10" ht="13.5" thickBot="1" x14ac:dyDescent="0.25">
      <c r="A150" s="771" t="s">
        <v>628</v>
      </c>
      <c r="B150" s="771" t="s">
        <v>816</v>
      </c>
      <c r="C150" s="771" t="s">
        <v>957</v>
      </c>
      <c r="D150" s="768" t="s">
        <v>627</v>
      </c>
      <c r="E150" s="772"/>
      <c r="F150" s="770">
        <f>VLOOKUP(A150,Sheet2!A:F,6,0)</f>
        <v>0</v>
      </c>
      <c r="G150" s="770">
        <f>VLOOKUP(A150,Sheet2!A:E,5,0)</f>
        <v>51.56</v>
      </c>
      <c r="H150" s="770">
        <f>VLOOKUP(A150,Sheet2!A:C,3,0)</f>
        <v>0</v>
      </c>
      <c r="I150" s="769">
        <f>F150-G150-H150</f>
        <v>-51.56</v>
      </c>
      <c r="J150" s="793">
        <f>E150-F150</f>
        <v>0</v>
      </c>
    </row>
    <row r="151" spans="1:10" ht="13.5" thickBot="1" x14ac:dyDescent="0.25">
      <c r="A151" s="768" t="s">
        <v>383</v>
      </c>
      <c r="B151" s="768" t="s">
        <v>633</v>
      </c>
      <c r="C151" s="768" t="s">
        <v>448</v>
      </c>
      <c r="D151" s="768" t="s">
        <v>627</v>
      </c>
      <c r="E151" s="769">
        <v>340397</v>
      </c>
      <c r="F151" s="770">
        <f>VLOOKUP(A151,Sheet2!A:F,6,0)</f>
        <v>340397</v>
      </c>
      <c r="G151" s="770">
        <f>VLOOKUP(A151,Sheet2!A:E,5,0)</f>
        <v>242743.92</v>
      </c>
      <c r="H151" s="770">
        <f>VLOOKUP(A151,Sheet2!A:C,3,0)</f>
        <v>0</v>
      </c>
      <c r="I151" s="769">
        <f t="shared" ref="I151:I161" si="16">F151-G151-H151</f>
        <v>97653.079999999987</v>
      </c>
      <c r="J151" s="793">
        <f t="shared" si="15"/>
        <v>0</v>
      </c>
    </row>
    <row r="152" spans="1:10" ht="13.5" thickBot="1" x14ac:dyDescent="0.25">
      <c r="A152" s="771" t="s">
        <v>384</v>
      </c>
      <c r="B152" s="771" t="s">
        <v>634</v>
      </c>
      <c r="C152" s="771" t="s">
        <v>448</v>
      </c>
      <c r="D152" s="771" t="s">
        <v>627</v>
      </c>
      <c r="E152" s="772">
        <v>88013</v>
      </c>
      <c r="F152" s="770">
        <f>VLOOKUP(A152,Sheet2!A:F,6,0)</f>
        <v>88013</v>
      </c>
      <c r="G152" s="770">
        <f>VLOOKUP(A152,Sheet2!A:E,5,0)</f>
        <v>0</v>
      </c>
      <c r="H152" s="770">
        <f>VLOOKUP(A152,Sheet2!A:C,3,0)</f>
        <v>0</v>
      </c>
      <c r="I152" s="769">
        <f t="shared" si="16"/>
        <v>88013</v>
      </c>
      <c r="J152" s="793">
        <f t="shared" si="15"/>
        <v>0</v>
      </c>
    </row>
    <row r="153" spans="1:10" ht="13.5" thickBot="1" x14ac:dyDescent="0.25">
      <c r="A153" s="771" t="s">
        <v>740</v>
      </c>
      <c r="B153" s="771" t="s">
        <v>636</v>
      </c>
      <c r="C153" s="771" t="s">
        <v>451</v>
      </c>
      <c r="D153" s="771" t="s">
        <v>627</v>
      </c>
      <c r="E153" s="772">
        <v>6500</v>
      </c>
      <c r="F153" s="770">
        <f>VLOOKUP(A153,Sheet2!A:F,6,0)</f>
        <v>6500</v>
      </c>
      <c r="G153" s="770">
        <f>VLOOKUP(A153,Sheet2!A:E,5,0)</f>
        <v>6255</v>
      </c>
      <c r="H153" s="770">
        <f>VLOOKUP(A153,Sheet2!A:C,3,0)</f>
        <v>0</v>
      </c>
      <c r="I153" s="769">
        <f t="shared" si="16"/>
        <v>245</v>
      </c>
      <c r="J153" s="793">
        <f t="shared" si="15"/>
        <v>0</v>
      </c>
    </row>
    <row r="154" spans="1:10" ht="13.5" thickBot="1" x14ac:dyDescent="0.25">
      <c r="A154" s="771" t="s">
        <v>373</v>
      </c>
      <c r="B154" s="771" t="s">
        <v>637</v>
      </c>
      <c r="C154" s="771" t="s">
        <v>451</v>
      </c>
      <c r="D154" s="771" t="s">
        <v>627</v>
      </c>
      <c r="E154" s="772">
        <v>78691</v>
      </c>
      <c r="F154" s="770">
        <f>VLOOKUP(A154,Sheet2!A:F,6,0)-F164</f>
        <v>78691</v>
      </c>
      <c r="G154" s="770">
        <f>VLOOKUP(A154,Sheet2!A:E,5,0)-G164</f>
        <v>78691.63</v>
      </c>
      <c r="H154" s="770">
        <f>VLOOKUP(A154,Sheet2!A:C,3,0)</f>
        <v>0</v>
      </c>
      <c r="I154" s="769">
        <f t="shared" si="16"/>
        <v>-0.63000000000465661</v>
      </c>
      <c r="J154" s="793">
        <f t="shared" si="15"/>
        <v>0</v>
      </c>
    </row>
    <row r="155" spans="1:10" ht="13.5" thickBot="1" x14ac:dyDescent="0.25">
      <c r="A155" s="768" t="s">
        <v>374</v>
      </c>
      <c r="B155" s="768" t="s">
        <v>638</v>
      </c>
      <c r="C155" s="768" t="s">
        <v>451</v>
      </c>
      <c r="D155" s="768" t="s">
        <v>627</v>
      </c>
      <c r="E155" s="769">
        <v>15609</v>
      </c>
      <c r="F155" s="770">
        <f>VLOOKUP(A155,Sheet2!A:F,6,0)</f>
        <v>15609</v>
      </c>
      <c r="G155" s="770">
        <f>VLOOKUP(A155,Sheet2!A:E,5,0)</f>
        <v>11514.1</v>
      </c>
      <c r="H155" s="770">
        <f>VLOOKUP(A155,Sheet2!A:C,3,0)</f>
        <v>4099.8999999999996</v>
      </c>
      <c r="I155" s="769">
        <f t="shared" si="16"/>
        <v>-5</v>
      </c>
      <c r="J155" s="793">
        <f t="shared" si="15"/>
        <v>0</v>
      </c>
    </row>
    <row r="156" spans="1:10" ht="13.5" thickBot="1" x14ac:dyDescent="0.25">
      <c r="A156" s="768" t="s">
        <v>403</v>
      </c>
      <c r="B156" s="768" t="s">
        <v>788</v>
      </c>
      <c r="C156" s="768" t="s">
        <v>451</v>
      </c>
      <c r="D156" s="768" t="s">
        <v>627</v>
      </c>
      <c r="E156" s="769">
        <v>19057</v>
      </c>
      <c r="F156" s="770">
        <f>VLOOKUP(A156,Sheet2!A:F,6,0)</f>
        <v>19057</v>
      </c>
      <c r="G156" s="770">
        <f>VLOOKUP(A156,Sheet2!A:E,5,0)</f>
        <v>8160</v>
      </c>
      <c r="H156" s="770">
        <f>VLOOKUP(A156,Sheet2!A:C,3,0)</f>
        <v>0</v>
      </c>
      <c r="I156" s="769">
        <f t="shared" si="16"/>
        <v>10897</v>
      </c>
      <c r="J156" s="793">
        <f t="shared" si="15"/>
        <v>0</v>
      </c>
    </row>
    <row r="157" spans="1:10" ht="13.5" thickBot="1" x14ac:dyDescent="0.25">
      <c r="A157" s="771" t="s">
        <v>759</v>
      </c>
      <c r="B157" s="771" t="s">
        <v>796</v>
      </c>
      <c r="C157" s="771" t="s">
        <v>442</v>
      </c>
      <c r="D157" s="771" t="s">
        <v>627</v>
      </c>
      <c r="E157" s="772">
        <v>2500</v>
      </c>
      <c r="F157" s="770">
        <f>VLOOKUP(A157,Sheet2!A:F,6,0)</f>
        <v>2500</v>
      </c>
      <c r="G157" s="770">
        <f>VLOOKUP(A157,Sheet2!A:E,5,0)</f>
        <v>2500</v>
      </c>
      <c r="H157" s="770">
        <f>VLOOKUP(A157,Sheet2!A:C,3,0)</f>
        <v>0</v>
      </c>
      <c r="I157" s="769">
        <f t="shared" si="16"/>
        <v>0</v>
      </c>
      <c r="J157" s="793">
        <f t="shared" si="15"/>
        <v>0</v>
      </c>
    </row>
    <row r="158" spans="1:10" ht="13.5" thickBot="1" x14ac:dyDescent="0.25">
      <c r="A158" s="771" t="s">
        <v>224</v>
      </c>
      <c r="B158" s="771" t="s">
        <v>639</v>
      </c>
      <c r="C158" s="771" t="s">
        <v>456</v>
      </c>
      <c r="D158" s="771" t="s">
        <v>627</v>
      </c>
      <c r="E158" s="772">
        <v>16500</v>
      </c>
      <c r="F158" s="770">
        <f>VLOOKUP(A158,Sheet2!A:F,6,0)</f>
        <v>16500</v>
      </c>
      <c r="G158" s="770">
        <f>VLOOKUP(A158,Sheet2!A:E,5,0)</f>
        <v>16500</v>
      </c>
      <c r="H158" s="770">
        <f>VLOOKUP(A158,Sheet2!A:C,3,0)</f>
        <v>0</v>
      </c>
      <c r="I158" s="769">
        <f t="shared" si="16"/>
        <v>0</v>
      </c>
      <c r="J158" s="793">
        <f t="shared" si="15"/>
        <v>0</v>
      </c>
    </row>
    <row r="159" spans="1:10" ht="13.5" thickBot="1" x14ac:dyDescent="0.25">
      <c r="A159" s="771" t="s">
        <v>741</v>
      </c>
      <c r="B159" s="771" t="s">
        <v>797</v>
      </c>
      <c r="C159" s="771" t="s">
        <v>469</v>
      </c>
      <c r="D159" s="771" t="s">
        <v>798</v>
      </c>
      <c r="E159" s="772">
        <v>42471</v>
      </c>
      <c r="F159" s="770">
        <f>VLOOKUP(A159,Sheet2!A:F,6,0)</f>
        <v>4500</v>
      </c>
      <c r="G159" s="770">
        <f>VLOOKUP(A159,Sheet2!A:E,5,0)</f>
        <v>4500</v>
      </c>
      <c r="H159" s="770">
        <f>VLOOKUP(A159,Sheet2!A:C,3,0)</f>
        <v>0</v>
      </c>
      <c r="I159" s="769">
        <f t="shared" si="16"/>
        <v>0</v>
      </c>
      <c r="J159" s="793">
        <f t="shared" si="15"/>
        <v>37971</v>
      </c>
    </row>
    <row r="160" spans="1:10" ht="13.5" thickBot="1" x14ac:dyDescent="0.25">
      <c r="A160" s="771" t="s">
        <v>642</v>
      </c>
      <c r="B160" s="771" t="s">
        <v>643</v>
      </c>
      <c r="C160" s="771" t="s">
        <v>469</v>
      </c>
      <c r="D160" s="771" t="s">
        <v>798</v>
      </c>
      <c r="E160" s="772">
        <v>0</v>
      </c>
      <c r="F160" s="770">
        <f>VLOOKUP(A160,Sheet2!A:F,6,0)</f>
        <v>37971</v>
      </c>
      <c r="G160" s="770">
        <f>VLOOKUP(A160,Sheet2!A:E,5,0)</f>
        <v>36427.35</v>
      </c>
      <c r="H160" s="770">
        <f>VLOOKUP(A160,Sheet2!A:C,3,0)</f>
        <v>1438.65</v>
      </c>
      <c r="I160" s="769">
        <f>F160-G160-H160</f>
        <v>105.00000000000136</v>
      </c>
      <c r="J160" s="793">
        <f t="shared" si="15"/>
        <v>-37971</v>
      </c>
    </row>
    <row r="161" spans="1:17" ht="13.5" thickBot="1" x14ac:dyDescent="0.25">
      <c r="A161" s="768" t="s">
        <v>223</v>
      </c>
      <c r="B161" s="768" t="s">
        <v>640</v>
      </c>
      <c r="C161" s="768" t="s">
        <v>444</v>
      </c>
      <c r="D161" s="768" t="s">
        <v>641</v>
      </c>
      <c r="E161" s="769">
        <v>28800</v>
      </c>
      <c r="F161" s="770">
        <f>VLOOKUP(A161,Sheet2!A:F,6,0)</f>
        <v>28800</v>
      </c>
      <c r="G161" s="770">
        <f>VLOOKUP(A161,Sheet2!A:E,5,0)</f>
        <v>7802.44</v>
      </c>
      <c r="H161" s="770">
        <f>VLOOKUP(A161,Sheet2!A:C,3,0)</f>
        <v>0</v>
      </c>
      <c r="I161" s="769">
        <f t="shared" si="16"/>
        <v>20997.56</v>
      </c>
      <c r="J161" s="793">
        <f t="shared" si="15"/>
        <v>0</v>
      </c>
    </row>
    <row r="162" spans="1:17" s="876" customFormat="1" ht="13.5" thickBot="1" x14ac:dyDescent="0.25">
      <c r="A162" s="880"/>
      <c r="B162" s="880"/>
      <c r="C162" s="880"/>
      <c r="D162" s="880" t="s">
        <v>949</v>
      </c>
      <c r="E162" s="806">
        <f>SUM(E129:E161)</f>
        <v>770681</v>
      </c>
      <c r="F162" s="806">
        <f>SUM(F129:F161)</f>
        <v>770681</v>
      </c>
      <c r="G162" s="806">
        <f>SUM(G129:G161)</f>
        <v>519464.85999999993</v>
      </c>
      <c r="H162" s="806">
        <f>SUM(H129:H161)</f>
        <v>5538.5499999999993</v>
      </c>
      <c r="I162" s="806">
        <f>SUM(I129:I161)</f>
        <v>245677.58999999997</v>
      </c>
      <c r="K162" s="891">
        <f>E162-F162</f>
        <v>0</v>
      </c>
    </row>
    <row r="163" spans="1:17" ht="13.5" thickBot="1" x14ac:dyDescent="0.25">
      <c r="A163" s="768" t="s">
        <v>344</v>
      </c>
      <c r="B163" s="768" t="s">
        <v>640</v>
      </c>
      <c r="C163" s="768" t="s">
        <v>446</v>
      </c>
      <c r="D163" s="768" t="s">
        <v>641</v>
      </c>
      <c r="E163" s="769">
        <v>0</v>
      </c>
      <c r="F163" s="770">
        <f>VLOOKUP(A163,Sheet2!A:F,6,0)</f>
        <v>150650</v>
      </c>
      <c r="G163" s="770">
        <f>VLOOKUP(A163,Sheet2!A:E,5,0)</f>
        <v>0</v>
      </c>
      <c r="H163" s="770">
        <v>0</v>
      </c>
      <c r="I163" s="769">
        <f>F163-G163-H163</f>
        <v>150650</v>
      </c>
    </row>
    <row r="164" spans="1:17" ht="13.5" thickBot="1" x14ac:dyDescent="0.25">
      <c r="A164" s="771" t="s">
        <v>373</v>
      </c>
      <c r="B164" s="771" t="s">
        <v>637</v>
      </c>
      <c r="C164" s="771" t="s">
        <v>451</v>
      </c>
      <c r="D164" s="771" t="s">
        <v>627</v>
      </c>
      <c r="E164" s="772">
        <v>0</v>
      </c>
      <c r="F164" s="770">
        <f>16944+2187</f>
        <v>19131</v>
      </c>
      <c r="G164" s="770">
        <v>19131</v>
      </c>
      <c r="H164" s="770">
        <v>0</v>
      </c>
      <c r="I164" s="769">
        <f t="shared" ref="I164" si="17">F164-G164-H164</f>
        <v>0</v>
      </c>
    </row>
    <row r="165" spans="1:17" s="813" customFormat="1" ht="13.5" thickBot="1" x14ac:dyDescent="0.25">
      <c r="A165" s="814" t="s">
        <v>766</v>
      </c>
      <c r="B165" s="814" t="s">
        <v>626</v>
      </c>
      <c r="C165" s="814" t="s">
        <v>787</v>
      </c>
      <c r="D165" s="814" t="s">
        <v>627</v>
      </c>
      <c r="E165" s="815">
        <v>26000</v>
      </c>
      <c r="F165" s="770">
        <f>VLOOKUP(A165,Sheet2!A:F,6,0)</f>
        <v>26000</v>
      </c>
      <c r="G165" s="770">
        <f>VLOOKUP(A165,Sheet2!A:E,5,0)</f>
        <v>0</v>
      </c>
      <c r="H165" s="811">
        <v>0</v>
      </c>
      <c r="I165" s="810">
        <f>F165-G165-H165</f>
        <v>26000</v>
      </c>
    </row>
    <row r="166" spans="1:17" ht="13.5" thickBot="1" x14ac:dyDescent="0.25">
      <c r="A166" s="771"/>
      <c r="B166" s="771"/>
      <c r="C166" s="771"/>
      <c r="D166" s="883" t="s">
        <v>950</v>
      </c>
      <c r="E166" s="882">
        <f>E162+E163+E164+E165</f>
        <v>796681</v>
      </c>
      <c r="F166" s="882">
        <f t="shared" ref="F166:I166" si="18">F162+F163+F164+F165</f>
        <v>966462</v>
      </c>
      <c r="G166" s="882">
        <f t="shared" si="18"/>
        <v>538595.85999999987</v>
      </c>
      <c r="H166" s="882">
        <f t="shared" si="18"/>
        <v>5538.5499999999993</v>
      </c>
      <c r="I166" s="882">
        <f t="shared" si="18"/>
        <v>422327.58999999997</v>
      </c>
    </row>
    <row r="167" spans="1:17" ht="13.5" thickBot="1" x14ac:dyDescent="0.25">
      <c r="A167" s="771" t="s">
        <v>804</v>
      </c>
      <c r="B167" s="771" t="s">
        <v>681</v>
      </c>
      <c r="C167" s="771" t="s">
        <v>805</v>
      </c>
      <c r="D167" s="771" t="s">
        <v>652</v>
      </c>
      <c r="E167" s="772">
        <v>-52000</v>
      </c>
      <c r="F167" s="770">
        <f>VLOOKUP(A167,Sheet2!A:F,6,0)</f>
        <v>-52000</v>
      </c>
      <c r="G167" s="770">
        <f>VLOOKUP(A167,Sheet2!A:E,5,0)</f>
        <v>0</v>
      </c>
      <c r="H167" s="770">
        <f>VLOOKUP(A167,Sheet2!A:C,3,0)</f>
        <v>0</v>
      </c>
      <c r="I167" s="769">
        <f t="shared" ref="I167:I169" si="19">F167-G167-H167</f>
        <v>-52000</v>
      </c>
      <c r="K167" t="str">
        <f>RIGHT(A167,3)</f>
        <v>818</v>
      </c>
    </row>
    <row r="168" spans="1:17" ht="13.5" thickBot="1" x14ac:dyDescent="0.25">
      <c r="A168" s="771" t="s">
        <v>806</v>
      </c>
      <c r="B168" s="771" t="s">
        <v>681</v>
      </c>
      <c r="C168" s="771" t="s">
        <v>682</v>
      </c>
      <c r="D168" s="771" t="s">
        <v>652</v>
      </c>
      <c r="E168" s="772">
        <v>-683000</v>
      </c>
      <c r="F168" s="770">
        <f>VLOOKUP(A168,Sheet2!A:F,6,0)</f>
        <v>-683000</v>
      </c>
      <c r="G168" s="770">
        <f>VLOOKUP(A168,Sheet2!A:E,5,0)</f>
        <v>-509240.66</v>
      </c>
      <c r="H168" s="770">
        <f>VLOOKUP(A168,Sheet2!A:C,3,0)</f>
        <v>0</v>
      </c>
      <c r="I168" s="769">
        <f t="shared" si="19"/>
        <v>-173759.34000000003</v>
      </c>
      <c r="K168" t="str">
        <f>RIGHT(A168,3)</f>
        <v>818</v>
      </c>
    </row>
    <row r="169" spans="1:17" ht="13.5" thickBot="1" x14ac:dyDescent="0.25">
      <c r="A169" s="768" t="s">
        <v>767</v>
      </c>
      <c r="B169" s="768" t="s">
        <v>681</v>
      </c>
      <c r="C169" s="768" t="s">
        <v>448</v>
      </c>
      <c r="D169" s="768" t="s">
        <v>652</v>
      </c>
      <c r="E169" s="769">
        <v>683000</v>
      </c>
      <c r="F169" s="770">
        <f>VLOOKUP(A169,Sheet2!A:F,6,0)</f>
        <v>683000</v>
      </c>
      <c r="G169" s="770">
        <f>VLOOKUP(A169,Sheet2!A:E,5,0)</f>
        <v>139713.70000000001</v>
      </c>
      <c r="H169" s="770">
        <f>VLOOKUP(A169,Sheet2!A:C,3,0)</f>
        <v>0</v>
      </c>
      <c r="I169" s="769">
        <f t="shared" si="19"/>
        <v>543286.30000000005</v>
      </c>
      <c r="K169" t="str">
        <f>RIGHT(A169,3)</f>
        <v>818</v>
      </c>
    </row>
    <row r="170" spans="1:17" ht="13.5" thickBot="1" x14ac:dyDescent="0.25">
      <c r="A170" s="768"/>
      <c r="B170" s="768"/>
      <c r="C170" s="768"/>
      <c r="D170" s="892" t="s">
        <v>988</v>
      </c>
      <c r="E170" s="881">
        <f>SUM(E167:E169)</f>
        <v>-52000</v>
      </c>
      <c r="F170" s="881">
        <f t="shared" ref="F170:I170" si="20">SUM(F167:F169)</f>
        <v>-52000</v>
      </c>
      <c r="G170" s="881">
        <f>SUM(G169)</f>
        <v>139713.70000000001</v>
      </c>
      <c r="H170" s="881">
        <f t="shared" si="20"/>
        <v>0</v>
      </c>
      <c r="I170" s="881">
        <f t="shared" si="20"/>
        <v>317526.96000000002</v>
      </c>
    </row>
    <row r="171" spans="1:17" ht="13.5" thickBot="1" x14ac:dyDescent="0.25">
      <c r="A171" s="768" t="s">
        <v>0</v>
      </c>
      <c r="B171" s="768" t="s">
        <v>644</v>
      </c>
      <c r="C171" s="768" t="s">
        <v>645</v>
      </c>
      <c r="D171" s="768" t="s">
        <v>1</v>
      </c>
      <c r="E171" s="769">
        <v>190925</v>
      </c>
      <c r="F171" s="770">
        <f>VLOOKUP(A171,Sheet2!A:F,6,0)</f>
        <v>190925</v>
      </c>
      <c r="G171" s="770">
        <f>VLOOKUP(A171,Sheet2!A:E,5,0)</f>
        <v>77888.95</v>
      </c>
      <c r="H171" s="770">
        <f>VLOOKUP(A171,Sheet2!A:C,3,0)</f>
        <v>0</v>
      </c>
      <c r="I171" s="769">
        <f t="shared" ref="I171:I198" si="21">F171-G171-H171</f>
        <v>113036.05</v>
      </c>
      <c r="J171" t="e">
        <f>SUMIF(#REF!,'Datetel Feb 28, 2013'!A171,#REF!)</f>
        <v>#REF!</v>
      </c>
      <c r="K171" t="str">
        <f t="shared" ref="K171:K203" si="22">RIGHT(A171,3)</f>
        <v>819</v>
      </c>
      <c r="L171" t="e">
        <f>VLOOKUP(A171,#REF!,1,0)</f>
        <v>#REF!</v>
      </c>
      <c r="O171" s="793" t="e">
        <f>G171-J171</f>
        <v>#REF!</v>
      </c>
      <c r="P171" t="e">
        <f>VLOOKUP(A171,#REF!,5,0)</f>
        <v>#REF!</v>
      </c>
      <c r="Q171" s="793" t="e">
        <f>H171-P171</f>
        <v>#REF!</v>
      </c>
    </row>
    <row r="172" spans="1:17" ht="13.5" thickBot="1" x14ac:dyDescent="0.25">
      <c r="A172" s="771" t="s">
        <v>2</v>
      </c>
      <c r="B172" s="771" t="s">
        <v>646</v>
      </c>
      <c r="C172" s="771" t="s">
        <v>647</v>
      </c>
      <c r="D172" s="771" t="s">
        <v>3</v>
      </c>
      <c r="E172" s="772">
        <v>16000</v>
      </c>
      <c r="F172" s="770">
        <f>VLOOKUP(A172,Sheet2!A:F,6,0)</f>
        <v>16000</v>
      </c>
      <c r="G172" s="770">
        <f>VLOOKUP(A172,Sheet2!A:E,5,0)</f>
        <v>9800</v>
      </c>
      <c r="H172" s="770">
        <f>VLOOKUP(A172,Sheet2!A:C,3,0)</f>
        <v>6200</v>
      </c>
      <c r="I172" s="769">
        <f t="shared" si="21"/>
        <v>0</v>
      </c>
      <c r="J172" t="e">
        <f>SUMIF(#REF!,'Datetel Feb 28, 2013'!A172,#REF!)</f>
        <v>#REF!</v>
      </c>
      <c r="K172" t="str">
        <f t="shared" si="22"/>
        <v>819</v>
      </c>
      <c r="L172" t="e">
        <f>VLOOKUP(A172,#REF!,1,0)</f>
        <v>#REF!</v>
      </c>
      <c r="O172" s="793" t="e">
        <f t="shared" ref="O172:O236" si="23">G172-J172</f>
        <v>#REF!</v>
      </c>
      <c r="P172" t="e">
        <f>VLOOKUP(A172,#REF!,5,0)</f>
        <v>#REF!</v>
      </c>
      <c r="Q172" s="793" t="e">
        <f t="shared" ref="Q172:Q235" si="24">H172-P172</f>
        <v>#REF!</v>
      </c>
    </row>
    <row r="173" spans="1:17" ht="13.5" thickBot="1" x14ac:dyDescent="0.25">
      <c r="A173" s="771" t="s">
        <v>328</v>
      </c>
      <c r="B173" s="771" t="s">
        <v>646</v>
      </c>
      <c r="C173" s="771" t="s">
        <v>648</v>
      </c>
      <c r="D173" s="771" t="s">
        <v>3</v>
      </c>
      <c r="E173" s="772">
        <v>864</v>
      </c>
      <c r="F173" s="770">
        <f>VLOOKUP(A173,Sheet2!A:F,6,0)</f>
        <v>864</v>
      </c>
      <c r="G173" s="770">
        <f>VLOOKUP(A173,Sheet2!A:E,5,0)</f>
        <v>0</v>
      </c>
      <c r="H173" s="770">
        <f>VLOOKUP(A173,Sheet2!A:C,3,0)</f>
        <v>0</v>
      </c>
      <c r="I173" s="769">
        <f t="shared" si="21"/>
        <v>864</v>
      </c>
      <c r="J173" t="e">
        <f>SUMIF(#REF!,'Datetel Feb 28, 2013'!A173,#REF!)</f>
        <v>#REF!</v>
      </c>
      <c r="K173" t="str">
        <f t="shared" si="22"/>
        <v>819</v>
      </c>
      <c r="L173" t="e">
        <f>VLOOKUP(A173,#REF!,1,0)</f>
        <v>#REF!</v>
      </c>
      <c r="O173" s="793" t="e">
        <f t="shared" si="23"/>
        <v>#REF!</v>
      </c>
      <c r="P173" t="e">
        <f>VLOOKUP(A173,#REF!,5,0)</f>
        <v>#REF!</v>
      </c>
      <c r="Q173" s="793" t="e">
        <f t="shared" si="24"/>
        <v>#REF!</v>
      </c>
    </row>
    <row r="174" spans="1:17" ht="13.5" thickBot="1" x14ac:dyDescent="0.25">
      <c r="A174" s="771" t="s">
        <v>4</v>
      </c>
      <c r="B174" s="771" t="s">
        <v>653</v>
      </c>
      <c r="C174" s="771" t="s">
        <v>639</v>
      </c>
      <c r="D174" s="771" t="s">
        <v>652</v>
      </c>
      <c r="E174" s="772">
        <v>606963</v>
      </c>
      <c r="F174" s="770">
        <f>VLOOKUP(A174,Sheet2!A:F,6,0)</f>
        <v>605563</v>
      </c>
      <c r="G174" s="770">
        <f>VLOOKUP(A174,Sheet2!A:E,5,0)</f>
        <v>544146.42000000004</v>
      </c>
      <c r="H174" s="770">
        <f>VLOOKUP(A174,Sheet2!A:C,3,0)</f>
        <v>0</v>
      </c>
      <c r="I174" s="769">
        <f t="shared" si="21"/>
        <v>61416.579999999958</v>
      </c>
      <c r="J174" t="e">
        <f>SUMIF(#REF!,'Datetel Feb 28, 2013'!A174,#REF!)</f>
        <v>#REF!</v>
      </c>
      <c r="K174" t="str">
        <f t="shared" si="22"/>
        <v>819</v>
      </c>
      <c r="L174" t="e">
        <f>VLOOKUP(A174,#REF!,1,0)</f>
        <v>#REF!</v>
      </c>
      <c r="O174" s="793" t="e">
        <f t="shared" si="23"/>
        <v>#REF!</v>
      </c>
      <c r="P174" t="e">
        <f>VLOOKUP(A174,#REF!,5,0)</f>
        <v>#REF!</v>
      </c>
      <c r="Q174" s="793" t="e">
        <f t="shared" si="24"/>
        <v>#REF!</v>
      </c>
    </row>
    <row r="175" spans="1:17" ht="13.5" thickBot="1" x14ac:dyDescent="0.25">
      <c r="A175" s="768" t="s">
        <v>5</v>
      </c>
      <c r="B175" s="768" t="s">
        <v>653</v>
      </c>
      <c r="C175" s="768" t="s">
        <v>654</v>
      </c>
      <c r="D175" s="768" t="s">
        <v>652</v>
      </c>
      <c r="E175" s="769">
        <v>159485</v>
      </c>
      <c r="F175" s="770">
        <f>VLOOKUP(A175,Sheet2!A:F,6,0)</f>
        <v>159485</v>
      </c>
      <c r="G175" s="770">
        <f>VLOOKUP(A175,Sheet2!A:E,5,0)</f>
        <v>88794.9</v>
      </c>
      <c r="H175" s="770">
        <f>VLOOKUP(A175,Sheet2!A:C,3,0)</f>
        <v>0</v>
      </c>
      <c r="I175" s="769">
        <f t="shared" si="21"/>
        <v>70690.100000000006</v>
      </c>
      <c r="J175" t="e">
        <f>SUMIF(#REF!,'Datetel Feb 28, 2013'!A175,#REF!)</f>
        <v>#REF!</v>
      </c>
      <c r="K175" t="str">
        <f t="shared" si="22"/>
        <v>819</v>
      </c>
      <c r="L175" t="e">
        <f>VLOOKUP(A175,#REF!,1,0)</f>
        <v>#REF!</v>
      </c>
      <c r="O175" s="793" t="e">
        <f t="shared" si="23"/>
        <v>#REF!</v>
      </c>
      <c r="P175" t="e">
        <f>VLOOKUP(A175,#REF!,5,0)</f>
        <v>#REF!</v>
      </c>
      <c r="Q175" s="793" t="e">
        <f t="shared" si="24"/>
        <v>#REF!</v>
      </c>
    </row>
    <row r="176" spans="1:17" ht="13.5" thickBot="1" x14ac:dyDescent="0.25">
      <c r="A176" s="768" t="s">
        <v>6</v>
      </c>
      <c r="B176" s="768" t="s">
        <v>653</v>
      </c>
      <c r="C176" s="768" t="s">
        <v>459</v>
      </c>
      <c r="D176" s="768" t="s">
        <v>652</v>
      </c>
      <c r="E176" s="769">
        <v>21421</v>
      </c>
      <c r="F176" s="770">
        <f>VLOOKUP(A176,Sheet2!A:F,6,0)</f>
        <v>21421</v>
      </c>
      <c r="G176" s="770">
        <f>VLOOKUP(A176,Sheet2!A:E,5,0)</f>
        <v>8617.66</v>
      </c>
      <c r="H176" s="770">
        <f>VLOOKUP(A176,Sheet2!A:C,3,0)</f>
        <v>12803.34</v>
      </c>
      <c r="I176" s="769">
        <f t="shared" si="21"/>
        <v>0</v>
      </c>
      <c r="J176" t="e">
        <f>SUMIF(#REF!,'Datetel Feb 28, 2013'!A176,#REF!)</f>
        <v>#REF!</v>
      </c>
      <c r="K176" t="str">
        <f t="shared" si="22"/>
        <v>819</v>
      </c>
      <c r="L176" t="e">
        <f>VLOOKUP(A176,#REF!,1,0)</f>
        <v>#REF!</v>
      </c>
      <c r="O176" s="793" t="e">
        <f t="shared" si="23"/>
        <v>#REF!</v>
      </c>
      <c r="P176" t="e">
        <f>VLOOKUP(A176,#REF!,5,0)</f>
        <v>#REF!</v>
      </c>
      <c r="Q176" s="793" t="e">
        <f t="shared" si="24"/>
        <v>#REF!</v>
      </c>
    </row>
    <row r="177" spans="1:17" ht="13.5" thickBot="1" x14ac:dyDescent="0.25">
      <c r="A177" s="771" t="s">
        <v>7</v>
      </c>
      <c r="B177" s="771" t="s">
        <v>653</v>
      </c>
      <c r="C177" s="771" t="s">
        <v>655</v>
      </c>
      <c r="D177" s="771" t="s">
        <v>652</v>
      </c>
      <c r="E177" s="772">
        <v>137895</v>
      </c>
      <c r="F177" s="770">
        <f>VLOOKUP(A177,Sheet2!A:F,6,0)</f>
        <v>137895</v>
      </c>
      <c r="G177" s="770">
        <f>VLOOKUP(A177,Sheet2!A:E,5,0)</f>
        <v>99395.09</v>
      </c>
      <c r="H177" s="770">
        <f>VLOOKUP(A177,Sheet2!A:C,3,0)</f>
        <v>0</v>
      </c>
      <c r="I177" s="769">
        <f t="shared" si="21"/>
        <v>38499.910000000003</v>
      </c>
      <c r="J177" t="e">
        <f>SUMIF(#REF!,'Datetel Feb 28, 2013'!A177,#REF!)</f>
        <v>#REF!</v>
      </c>
      <c r="K177" t="str">
        <f t="shared" si="22"/>
        <v>819</v>
      </c>
      <c r="L177" t="e">
        <f>VLOOKUP(A177,#REF!,1,0)</f>
        <v>#REF!</v>
      </c>
      <c r="O177" s="793" t="e">
        <f t="shared" si="23"/>
        <v>#REF!</v>
      </c>
      <c r="P177" t="e">
        <f>VLOOKUP(A177,#REF!,5,0)</f>
        <v>#REF!</v>
      </c>
      <c r="Q177" s="793" t="e">
        <f t="shared" si="24"/>
        <v>#REF!</v>
      </c>
    </row>
    <row r="178" spans="1:17" ht="13.5" thickBot="1" x14ac:dyDescent="0.25">
      <c r="A178" s="771" t="s">
        <v>8</v>
      </c>
      <c r="B178" s="771" t="s">
        <v>653</v>
      </c>
      <c r="C178" s="771" t="s">
        <v>656</v>
      </c>
      <c r="D178" s="771" t="s">
        <v>652</v>
      </c>
      <c r="E178" s="772">
        <v>74236</v>
      </c>
      <c r="F178" s="770">
        <f>VLOOKUP(A178,Sheet2!A:F,6,0)</f>
        <v>74236</v>
      </c>
      <c r="G178" s="770">
        <f>VLOOKUP(A178,Sheet2!A:E,5,0)</f>
        <v>37559.97</v>
      </c>
      <c r="H178" s="770">
        <f>VLOOKUP(A178,Sheet2!A:C,3,0)</f>
        <v>0</v>
      </c>
      <c r="I178" s="769">
        <f t="shared" si="21"/>
        <v>36676.03</v>
      </c>
      <c r="J178" t="e">
        <f>SUMIF(#REF!,'Datetel Feb 28, 2013'!A178,#REF!)</f>
        <v>#REF!</v>
      </c>
      <c r="K178" t="str">
        <f t="shared" si="22"/>
        <v>819</v>
      </c>
      <c r="L178" t="e">
        <f>VLOOKUP(A178,#REF!,1,0)</f>
        <v>#REF!</v>
      </c>
      <c r="O178" s="793" t="e">
        <f t="shared" si="23"/>
        <v>#REF!</v>
      </c>
      <c r="P178" t="e">
        <f>VLOOKUP(A178,#REF!,5,0)</f>
        <v>#REF!</v>
      </c>
      <c r="Q178" s="793" t="e">
        <f t="shared" si="24"/>
        <v>#REF!</v>
      </c>
    </row>
    <row r="179" spans="1:17" ht="13.5" thickBot="1" x14ac:dyDescent="0.25">
      <c r="A179" s="771" t="s">
        <v>9</v>
      </c>
      <c r="B179" s="771" t="s">
        <v>657</v>
      </c>
      <c r="C179" s="771" t="s">
        <v>639</v>
      </c>
      <c r="D179" s="771" t="s">
        <v>652</v>
      </c>
      <c r="E179" s="772">
        <v>627482</v>
      </c>
      <c r="F179" s="770">
        <f>VLOOKUP(A179,Sheet2!A:F,6,0)</f>
        <v>627482</v>
      </c>
      <c r="G179" s="770">
        <f>VLOOKUP(A179,Sheet2!A:E,5,0)</f>
        <v>401750.09</v>
      </c>
      <c r="H179" s="770">
        <f>VLOOKUP(A179,Sheet2!A:C,3,0)</f>
        <v>0</v>
      </c>
      <c r="I179" s="769">
        <f t="shared" si="21"/>
        <v>225731.90999999997</v>
      </c>
      <c r="J179" t="e">
        <f>SUMIF(#REF!,'Datetel Feb 28, 2013'!A179,#REF!)</f>
        <v>#REF!</v>
      </c>
      <c r="K179" t="str">
        <f t="shared" si="22"/>
        <v>819</v>
      </c>
      <c r="L179" t="e">
        <f>VLOOKUP(A179,#REF!,1,0)</f>
        <v>#REF!</v>
      </c>
      <c r="O179" s="793" t="e">
        <f t="shared" si="23"/>
        <v>#REF!</v>
      </c>
      <c r="P179" t="e">
        <f>VLOOKUP(A179,#REF!,5,0)</f>
        <v>#REF!</v>
      </c>
      <c r="Q179" s="793" t="e">
        <f t="shared" si="24"/>
        <v>#REF!</v>
      </c>
    </row>
    <row r="180" spans="1:17" ht="13.5" thickBot="1" x14ac:dyDescent="0.25">
      <c r="A180" s="768" t="s">
        <v>10</v>
      </c>
      <c r="B180" s="768" t="s">
        <v>657</v>
      </c>
      <c r="C180" s="768" t="s">
        <v>654</v>
      </c>
      <c r="D180" s="768" t="s">
        <v>652</v>
      </c>
      <c r="E180" s="769">
        <v>121560</v>
      </c>
      <c r="F180" s="770">
        <f>VLOOKUP(A180,Sheet2!A:F,6,0)</f>
        <v>121560</v>
      </c>
      <c r="G180" s="770">
        <f>VLOOKUP(A180,Sheet2!A:E,5,0)</f>
        <v>79487.16</v>
      </c>
      <c r="H180" s="770">
        <f>VLOOKUP(A180,Sheet2!A:C,3,0)</f>
        <v>0</v>
      </c>
      <c r="I180" s="769">
        <f t="shared" si="21"/>
        <v>42072.84</v>
      </c>
      <c r="J180" t="e">
        <f>SUMIF(#REF!,'Datetel Feb 28, 2013'!A180,#REF!)</f>
        <v>#REF!</v>
      </c>
      <c r="K180" t="str">
        <f t="shared" si="22"/>
        <v>819</v>
      </c>
      <c r="L180" t="e">
        <f>VLOOKUP(A180,#REF!,1,0)</f>
        <v>#REF!</v>
      </c>
      <c r="O180" s="793" t="e">
        <f t="shared" si="23"/>
        <v>#REF!</v>
      </c>
      <c r="P180" t="e">
        <f>VLOOKUP(A180,#REF!,5,0)</f>
        <v>#REF!</v>
      </c>
      <c r="Q180" s="793" t="e">
        <f t="shared" si="24"/>
        <v>#REF!</v>
      </c>
    </row>
    <row r="181" spans="1:17" ht="13.5" thickBot="1" x14ac:dyDescent="0.25">
      <c r="A181" s="768" t="s">
        <v>11</v>
      </c>
      <c r="B181" s="768" t="s">
        <v>657</v>
      </c>
      <c r="C181" s="768" t="s">
        <v>459</v>
      </c>
      <c r="D181" s="768" t="s">
        <v>652</v>
      </c>
      <c r="E181" s="769">
        <v>30758</v>
      </c>
      <c r="F181" s="770">
        <f>VLOOKUP(A181,Sheet2!A:F,6,0)</f>
        <v>30758</v>
      </c>
      <c r="G181" s="770">
        <f>VLOOKUP(A181,Sheet2!A:E,5,0)</f>
        <v>12690.2</v>
      </c>
      <c r="H181" s="770">
        <f>VLOOKUP(A181,Sheet2!A:C,3,0)</f>
        <v>18067.8</v>
      </c>
      <c r="I181" s="769">
        <f t="shared" si="21"/>
        <v>0</v>
      </c>
      <c r="J181" t="e">
        <f>SUMIF(#REF!,'Datetel Feb 28, 2013'!A181,#REF!)</f>
        <v>#REF!</v>
      </c>
      <c r="K181" t="str">
        <f t="shared" si="22"/>
        <v>819</v>
      </c>
      <c r="L181" t="e">
        <f>VLOOKUP(A181,#REF!,1,0)</f>
        <v>#REF!</v>
      </c>
      <c r="O181" s="793" t="e">
        <f t="shared" si="23"/>
        <v>#REF!</v>
      </c>
      <c r="P181" t="e">
        <f>VLOOKUP(A181,#REF!,5,0)</f>
        <v>#REF!</v>
      </c>
      <c r="Q181" s="793" t="e">
        <f t="shared" si="24"/>
        <v>#REF!</v>
      </c>
    </row>
    <row r="182" spans="1:17" ht="13.5" thickBot="1" x14ac:dyDescent="0.25">
      <c r="A182" s="771" t="s">
        <v>12</v>
      </c>
      <c r="B182" s="771" t="s">
        <v>657</v>
      </c>
      <c r="C182" s="771" t="s">
        <v>655</v>
      </c>
      <c r="D182" s="771" t="s">
        <v>652</v>
      </c>
      <c r="E182" s="772">
        <v>55236</v>
      </c>
      <c r="F182" s="770">
        <f>VLOOKUP(A182,Sheet2!A:F,6,0)</f>
        <v>55236</v>
      </c>
      <c r="G182" s="770">
        <f>VLOOKUP(A182,Sheet2!A:E,5,0)</f>
        <v>51826.17</v>
      </c>
      <c r="H182" s="770">
        <f>VLOOKUP(A182,Sheet2!A:C,3,0)</f>
        <v>0</v>
      </c>
      <c r="I182" s="769">
        <f t="shared" si="21"/>
        <v>3409.8300000000017</v>
      </c>
      <c r="J182" t="e">
        <f>SUMIF(#REF!,'Datetel Feb 28, 2013'!A182,#REF!)</f>
        <v>#REF!</v>
      </c>
      <c r="K182" t="str">
        <f t="shared" si="22"/>
        <v>819</v>
      </c>
      <c r="L182" t="e">
        <f>VLOOKUP(A182,#REF!,1,0)</f>
        <v>#REF!</v>
      </c>
      <c r="O182" s="793" t="e">
        <f t="shared" si="23"/>
        <v>#REF!</v>
      </c>
      <c r="P182" t="e">
        <f>VLOOKUP(A182,#REF!,5,0)</f>
        <v>#REF!</v>
      </c>
      <c r="Q182" s="793" t="e">
        <f t="shared" si="24"/>
        <v>#REF!</v>
      </c>
    </row>
    <row r="183" spans="1:17" ht="13.5" thickBot="1" x14ac:dyDescent="0.25">
      <c r="A183" s="771" t="s">
        <v>13</v>
      </c>
      <c r="B183" s="771" t="s">
        <v>657</v>
      </c>
      <c r="C183" s="771" t="s">
        <v>656</v>
      </c>
      <c r="D183" s="771" t="s">
        <v>652</v>
      </c>
      <c r="E183" s="772">
        <v>14964</v>
      </c>
      <c r="F183" s="770">
        <f>VLOOKUP(A183,Sheet2!A:F,6,0)</f>
        <v>14964</v>
      </c>
      <c r="G183" s="770">
        <f>VLOOKUP(A183,Sheet2!A:E,5,0)</f>
        <v>16443.25</v>
      </c>
      <c r="H183" s="770">
        <f>VLOOKUP(A183,Sheet2!A:C,3,0)</f>
        <v>0</v>
      </c>
      <c r="I183" s="769">
        <f t="shared" si="21"/>
        <v>-1479.25</v>
      </c>
      <c r="J183" t="e">
        <f>SUMIF(#REF!,'Datetel Feb 28, 2013'!A183,#REF!)</f>
        <v>#REF!</v>
      </c>
      <c r="K183" t="str">
        <f t="shared" si="22"/>
        <v>819</v>
      </c>
      <c r="L183" t="e">
        <f>VLOOKUP(A183,#REF!,1,0)</f>
        <v>#REF!</v>
      </c>
      <c r="O183" s="793" t="e">
        <f t="shared" si="23"/>
        <v>#REF!</v>
      </c>
      <c r="P183" t="e">
        <f>VLOOKUP(A183,#REF!,5,0)</f>
        <v>#REF!</v>
      </c>
      <c r="Q183" s="793" t="e">
        <f t="shared" si="24"/>
        <v>#REF!</v>
      </c>
    </row>
    <row r="184" spans="1:17" ht="13.5" thickBot="1" x14ac:dyDescent="0.25">
      <c r="A184" s="771" t="s">
        <v>14</v>
      </c>
      <c r="B184" s="771" t="s">
        <v>658</v>
      </c>
      <c r="C184" s="771" t="s">
        <v>659</v>
      </c>
      <c r="D184" s="771" t="s">
        <v>652</v>
      </c>
      <c r="E184" s="772">
        <v>47825</v>
      </c>
      <c r="F184" s="770">
        <f>VLOOKUP(A184,Sheet2!A:F,6,0)</f>
        <v>47825</v>
      </c>
      <c r="G184" s="770">
        <f>VLOOKUP(A184,Sheet2!A:E,5,0)</f>
        <v>47825</v>
      </c>
      <c r="H184" s="770">
        <f>VLOOKUP(A184,Sheet2!A:C,3,0)</f>
        <v>0</v>
      </c>
      <c r="I184" s="769">
        <f t="shared" si="21"/>
        <v>0</v>
      </c>
      <c r="J184" t="e">
        <f>SUMIF(#REF!,'Datetel Feb 28, 2013'!A184,#REF!)</f>
        <v>#REF!</v>
      </c>
      <c r="K184" t="str">
        <f t="shared" si="22"/>
        <v>819</v>
      </c>
      <c r="L184" t="e">
        <f>VLOOKUP(A184,#REF!,1,0)</f>
        <v>#REF!</v>
      </c>
      <c r="O184" s="793" t="e">
        <f t="shared" si="23"/>
        <v>#REF!</v>
      </c>
      <c r="P184" t="e">
        <f>VLOOKUP(A184,#REF!,5,0)</f>
        <v>#REF!</v>
      </c>
      <c r="Q184" s="793" t="e">
        <f t="shared" si="24"/>
        <v>#REF!</v>
      </c>
    </row>
    <row r="185" spans="1:17" ht="13.5" thickBot="1" x14ac:dyDescent="0.25">
      <c r="A185" s="768" t="s">
        <v>15</v>
      </c>
      <c r="B185" s="768" t="s">
        <v>658</v>
      </c>
      <c r="C185" s="768" t="s">
        <v>659</v>
      </c>
      <c r="D185" s="768" t="s">
        <v>652</v>
      </c>
      <c r="E185" s="769">
        <v>196910</v>
      </c>
      <c r="F185" s="770">
        <f>VLOOKUP(A185,Sheet2!A:F,6,0)</f>
        <v>196910</v>
      </c>
      <c r="G185" s="770">
        <f>VLOOKUP(A185,Sheet2!A:E,5,0)</f>
        <v>193708.68</v>
      </c>
      <c r="H185" s="770">
        <f>VLOOKUP(A185,Sheet2!A:C,3,0)</f>
        <v>0</v>
      </c>
      <c r="I185" s="769">
        <f t="shared" si="21"/>
        <v>3201.320000000007</v>
      </c>
      <c r="J185" t="e">
        <f>SUMIF(#REF!,'Datetel Feb 28, 2013'!A185,#REF!)</f>
        <v>#REF!</v>
      </c>
      <c r="K185" t="str">
        <f t="shared" si="22"/>
        <v>819</v>
      </c>
      <c r="L185" t="e">
        <f>VLOOKUP(A185,#REF!,1,0)</f>
        <v>#REF!</v>
      </c>
      <c r="O185" s="793" t="e">
        <f t="shared" si="23"/>
        <v>#REF!</v>
      </c>
      <c r="P185" t="e">
        <f>VLOOKUP(A185,#REF!,5,0)</f>
        <v>#REF!</v>
      </c>
      <c r="Q185" s="793" t="e">
        <f t="shared" si="24"/>
        <v>#REF!</v>
      </c>
    </row>
    <row r="186" spans="1:17" ht="13.5" thickBot="1" x14ac:dyDescent="0.25">
      <c r="A186" s="768" t="s">
        <v>16</v>
      </c>
      <c r="B186" s="768" t="s">
        <v>660</v>
      </c>
      <c r="C186" s="768" t="s">
        <v>448</v>
      </c>
      <c r="D186" s="768" t="s">
        <v>652</v>
      </c>
      <c r="E186" s="769">
        <v>398419</v>
      </c>
      <c r="F186" s="770">
        <f>VLOOKUP(A186,Sheet2!A:F,6,0)</f>
        <v>398419</v>
      </c>
      <c r="G186" s="770">
        <f>VLOOKUP(A186,Sheet2!A:E,5,0)</f>
        <v>398419</v>
      </c>
      <c r="H186" s="770">
        <f>VLOOKUP(A186,Sheet2!A:C,3,0)</f>
        <v>0</v>
      </c>
      <c r="I186" s="769">
        <f t="shared" si="21"/>
        <v>0</v>
      </c>
      <c r="J186" t="e">
        <f>SUMIF(#REF!,'Datetel Feb 28, 2013'!A186,#REF!)</f>
        <v>#REF!</v>
      </c>
      <c r="K186" t="str">
        <f t="shared" si="22"/>
        <v>819</v>
      </c>
      <c r="L186" t="e">
        <f>VLOOKUP(A186,#REF!,1,0)</f>
        <v>#REF!</v>
      </c>
      <c r="O186" s="793" t="e">
        <f t="shared" si="23"/>
        <v>#REF!</v>
      </c>
      <c r="P186" t="e">
        <f>VLOOKUP(A186,#REF!,5,0)</f>
        <v>#REF!</v>
      </c>
      <c r="Q186" s="793" t="e">
        <f t="shared" si="24"/>
        <v>#REF!</v>
      </c>
    </row>
    <row r="187" spans="1:17" ht="13.5" thickBot="1" x14ac:dyDescent="0.25">
      <c r="A187" s="771" t="s">
        <v>17</v>
      </c>
      <c r="B187" s="771" t="s">
        <v>661</v>
      </c>
      <c r="C187" s="771" t="s">
        <v>442</v>
      </c>
      <c r="D187" s="771" t="s">
        <v>652</v>
      </c>
      <c r="E187" s="772">
        <v>124305</v>
      </c>
      <c r="F187" s="770">
        <f>VLOOKUP(A187,Sheet2!A:F,6,0)</f>
        <v>124305</v>
      </c>
      <c r="G187" s="770">
        <f>VLOOKUP(A187,Sheet2!A:E,5,0)</f>
        <v>122481.76</v>
      </c>
      <c r="H187" s="770">
        <f>VLOOKUP(A187,Sheet2!A:C,3,0)</f>
        <v>1681.16</v>
      </c>
      <c r="I187" s="769">
        <f t="shared" si="21"/>
        <v>142.08000000000516</v>
      </c>
      <c r="J187" t="e">
        <f>SUMIF(#REF!,'Datetel Feb 28, 2013'!A187,#REF!)</f>
        <v>#REF!</v>
      </c>
      <c r="K187" t="str">
        <f t="shared" si="22"/>
        <v>819</v>
      </c>
      <c r="L187" t="e">
        <f>VLOOKUP(A187,#REF!,1,0)</f>
        <v>#REF!</v>
      </c>
      <c r="O187" s="793" t="e">
        <f t="shared" si="23"/>
        <v>#REF!</v>
      </c>
      <c r="P187" t="e">
        <f>VLOOKUP(A187,#REF!,5,0)</f>
        <v>#REF!</v>
      </c>
      <c r="Q187" s="793" t="e">
        <f t="shared" si="24"/>
        <v>#REF!</v>
      </c>
    </row>
    <row r="188" spans="1:17" ht="13.5" thickBot="1" x14ac:dyDescent="0.25">
      <c r="A188" s="771" t="s">
        <v>18</v>
      </c>
      <c r="B188" s="771" t="s">
        <v>661</v>
      </c>
      <c r="C188" s="771" t="s">
        <v>647</v>
      </c>
      <c r="D188" s="771" t="s">
        <v>652</v>
      </c>
      <c r="E188" s="772">
        <v>82700</v>
      </c>
      <c r="F188" s="770">
        <f>VLOOKUP(A188,Sheet2!A:F,6,0)</f>
        <v>82700</v>
      </c>
      <c r="G188" s="770">
        <f>VLOOKUP(A188,Sheet2!A:E,5,0)</f>
        <v>78700</v>
      </c>
      <c r="H188" s="770">
        <f>VLOOKUP(A188,Sheet2!A:C,3,0)</f>
        <v>0</v>
      </c>
      <c r="I188" s="769">
        <f t="shared" si="21"/>
        <v>4000</v>
      </c>
      <c r="J188" t="e">
        <f>SUMIF(#REF!,'Datetel Feb 28, 2013'!A188,#REF!)</f>
        <v>#REF!</v>
      </c>
      <c r="K188" t="str">
        <f t="shared" si="22"/>
        <v>819</v>
      </c>
      <c r="L188" t="e">
        <f>VLOOKUP(A188,#REF!,1,0)</f>
        <v>#REF!</v>
      </c>
      <c r="O188" s="793" t="e">
        <f t="shared" si="23"/>
        <v>#REF!</v>
      </c>
      <c r="P188" t="e">
        <f>VLOOKUP(A188,#REF!,5,0)</f>
        <v>#REF!</v>
      </c>
      <c r="Q188" s="793" t="e">
        <f t="shared" si="24"/>
        <v>#REF!</v>
      </c>
    </row>
    <row r="189" spans="1:17" ht="13.5" thickBot="1" x14ac:dyDescent="0.25">
      <c r="A189" s="771" t="s">
        <v>19</v>
      </c>
      <c r="B189" s="771" t="s">
        <v>661</v>
      </c>
      <c r="C189" s="771" t="s">
        <v>663</v>
      </c>
      <c r="D189" s="771" t="s">
        <v>652</v>
      </c>
      <c r="E189" s="772">
        <v>9500</v>
      </c>
      <c r="F189" s="770">
        <f>VLOOKUP(A189,Sheet2!A:F,6,0)</f>
        <v>9500</v>
      </c>
      <c r="G189" s="770">
        <f>VLOOKUP(A189,Sheet2!A:E,5,0)</f>
        <v>3645.63</v>
      </c>
      <c r="H189" s="770">
        <f>VLOOKUP(A189,Sheet2!A:C,3,0)</f>
        <v>2195.4299999999998</v>
      </c>
      <c r="I189" s="769">
        <f t="shared" si="21"/>
        <v>3658.94</v>
      </c>
      <c r="J189" t="e">
        <f>SUMIF(#REF!,'Datetel Feb 28, 2013'!A189,#REF!)</f>
        <v>#REF!</v>
      </c>
      <c r="K189" t="str">
        <f t="shared" si="22"/>
        <v>819</v>
      </c>
      <c r="L189" t="e">
        <f>VLOOKUP(A189,#REF!,1,0)</f>
        <v>#REF!</v>
      </c>
      <c r="O189" s="793" t="e">
        <f t="shared" si="23"/>
        <v>#REF!</v>
      </c>
      <c r="P189" t="e">
        <f>VLOOKUP(A189,#REF!,5,0)</f>
        <v>#REF!</v>
      </c>
      <c r="Q189" s="793" t="e">
        <f t="shared" si="24"/>
        <v>#REF!</v>
      </c>
    </row>
    <row r="190" spans="1:17" ht="13.5" thickBot="1" x14ac:dyDescent="0.25">
      <c r="A190" s="768" t="s">
        <v>20</v>
      </c>
      <c r="B190" s="768" t="s">
        <v>661</v>
      </c>
      <c r="C190" s="768" t="s">
        <v>462</v>
      </c>
      <c r="D190" s="768" t="s">
        <v>652</v>
      </c>
      <c r="E190" s="769">
        <v>15000</v>
      </c>
      <c r="F190" s="770">
        <f>VLOOKUP(A190,Sheet2!A:F,6,0)</f>
        <v>15000</v>
      </c>
      <c r="G190" s="770">
        <f>VLOOKUP(A190,Sheet2!A:E,5,0)</f>
        <v>2601.92</v>
      </c>
      <c r="H190" s="770">
        <f>VLOOKUP(A190,Sheet2!A:C,3,0)</f>
        <v>0</v>
      </c>
      <c r="I190" s="769">
        <f t="shared" si="21"/>
        <v>12398.08</v>
      </c>
      <c r="J190" t="e">
        <f>SUMIF(#REF!,'Datetel Feb 28, 2013'!A190,#REF!)</f>
        <v>#REF!</v>
      </c>
      <c r="K190" t="str">
        <f t="shared" si="22"/>
        <v>819</v>
      </c>
      <c r="L190" t="e">
        <f>VLOOKUP(A190,#REF!,1,0)</f>
        <v>#REF!</v>
      </c>
      <c r="O190" s="793" t="e">
        <f t="shared" si="23"/>
        <v>#REF!</v>
      </c>
      <c r="P190" t="e">
        <f>VLOOKUP(A190,#REF!,5,0)</f>
        <v>#REF!</v>
      </c>
      <c r="Q190" s="793" t="e">
        <f t="shared" si="24"/>
        <v>#REF!</v>
      </c>
    </row>
    <row r="191" spans="1:17" ht="13.5" thickBot="1" x14ac:dyDescent="0.25">
      <c r="A191" s="768" t="s">
        <v>21</v>
      </c>
      <c r="B191" s="768" t="s">
        <v>661</v>
      </c>
      <c r="C191" s="768" t="s">
        <v>22</v>
      </c>
      <c r="D191" s="768" t="s">
        <v>652</v>
      </c>
      <c r="E191" s="769">
        <v>0</v>
      </c>
      <c r="F191" s="770">
        <f>VLOOKUP(A191,Sheet2!A:F,6,0)</f>
        <v>0</v>
      </c>
      <c r="G191" s="770">
        <f>VLOOKUP(A191,Sheet2!A:E,5,0)</f>
        <v>-81</v>
      </c>
      <c r="H191" s="770">
        <f>VLOOKUP(A191,Sheet2!A:C,3,0)</f>
        <v>0</v>
      </c>
      <c r="I191" s="769">
        <f t="shared" si="21"/>
        <v>81</v>
      </c>
      <c r="J191" t="e">
        <f>SUMIF(#REF!,'Datetel Feb 28, 2013'!A191,#REF!)</f>
        <v>#REF!</v>
      </c>
      <c r="K191" t="str">
        <f t="shared" si="22"/>
        <v>819</v>
      </c>
      <c r="L191" t="e">
        <f>VLOOKUP(A191,#REF!,1,0)</f>
        <v>#REF!</v>
      </c>
      <c r="O191" s="793" t="e">
        <f t="shared" si="23"/>
        <v>#REF!</v>
      </c>
      <c r="P191" t="e">
        <f>VLOOKUP(A191,#REF!,5,0)</f>
        <v>#REF!</v>
      </c>
      <c r="Q191" s="793" t="e">
        <f t="shared" si="24"/>
        <v>#REF!</v>
      </c>
    </row>
    <row r="192" spans="1:17" ht="13.5" thickBot="1" x14ac:dyDescent="0.25">
      <c r="A192" s="771" t="s">
        <v>137</v>
      </c>
      <c r="B192" s="771" t="s">
        <v>661</v>
      </c>
      <c r="C192" s="771" t="s">
        <v>664</v>
      </c>
      <c r="D192" s="771" t="s">
        <v>652</v>
      </c>
      <c r="E192" s="772">
        <v>15000</v>
      </c>
      <c r="F192" s="770">
        <f>VLOOKUP(A192,Sheet2!A:F,6,0)</f>
        <v>15000</v>
      </c>
      <c r="G192" s="770">
        <f>VLOOKUP(A192,Sheet2!A:E,5,0)</f>
        <v>16710.48</v>
      </c>
      <c r="H192" s="770">
        <f>VLOOKUP(A192,Sheet2!A:C,3,0)</f>
        <v>0</v>
      </c>
      <c r="I192" s="769">
        <f t="shared" si="21"/>
        <v>-1710.4799999999996</v>
      </c>
      <c r="J192" t="e">
        <f>SUMIF(#REF!,'Datetel Feb 28, 2013'!A192,#REF!)</f>
        <v>#REF!</v>
      </c>
      <c r="K192" t="str">
        <f t="shared" si="22"/>
        <v>819</v>
      </c>
      <c r="L192" t="e">
        <f>VLOOKUP(A192,#REF!,1,0)</f>
        <v>#REF!</v>
      </c>
      <c r="O192" s="793" t="e">
        <f t="shared" si="23"/>
        <v>#REF!</v>
      </c>
      <c r="P192" t="e">
        <f>VLOOKUP(A192,#REF!,5,0)</f>
        <v>#REF!</v>
      </c>
      <c r="Q192" s="793" t="e">
        <f t="shared" si="24"/>
        <v>#REF!</v>
      </c>
    </row>
    <row r="193" spans="1:17" ht="13.5" thickBot="1" x14ac:dyDescent="0.25">
      <c r="A193" s="771" t="s">
        <v>138</v>
      </c>
      <c r="B193" s="771" t="s">
        <v>661</v>
      </c>
      <c r="C193" s="771" t="s">
        <v>648</v>
      </c>
      <c r="D193" s="771" t="s">
        <v>652</v>
      </c>
      <c r="E193" s="772">
        <v>165000</v>
      </c>
      <c r="F193" s="770">
        <f>VLOOKUP(A193,Sheet2!A:F,6,0)</f>
        <v>165000</v>
      </c>
      <c r="G193" s="770">
        <f>VLOOKUP(A193,Sheet2!A:E,5,0)</f>
        <v>119128.01</v>
      </c>
      <c r="H193" s="770">
        <f>VLOOKUP(A193,Sheet2!A:C,3,0)</f>
        <v>0</v>
      </c>
      <c r="I193" s="769">
        <f t="shared" si="21"/>
        <v>45871.990000000005</v>
      </c>
      <c r="J193" t="e">
        <f>SUMIF(#REF!,'Datetel Feb 28, 2013'!A193,#REF!)</f>
        <v>#REF!</v>
      </c>
      <c r="K193" t="str">
        <f t="shared" si="22"/>
        <v>819</v>
      </c>
      <c r="L193" t="e">
        <f>VLOOKUP(A193,#REF!,1,0)</f>
        <v>#REF!</v>
      </c>
      <c r="O193" s="793" t="e">
        <f t="shared" si="23"/>
        <v>#REF!</v>
      </c>
      <c r="P193" t="e">
        <f>VLOOKUP(A193,#REF!,5,0)</f>
        <v>#REF!</v>
      </c>
      <c r="Q193" s="793" t="e">
        <f t="shared" si="24"/>
        <v>#REF!</v>
      </c>
    </row>
    <row r="194" spans="1:17" ht="13.5" thickBot="1" x14ac:dyDescent="0.25">
      <c r="A194" s="771" t="s">
        <v>336</v>
      </c>
      <c r="B194" s="771" t="s">
        <v>661</v>
      </c>
      <c r="C194" s="768" t="s">
        <v>560</v>
      </c>
      <c r="D194" s="771" t="s">
        <v>652</v>
      </c>
      <c r="E194" s="772">
        <v>32983</v>
      </c>
      <c r="F194" s="770">
        <f>VLOOKUP(A194,Sheet2!A:F,6,0)</f>
        <v>32983</v>
      </c>
      <c r="G194" s="770">
        <f>VLOOKUP(A194,Sheet2!A:E,5,0)</f>
        <v>16392.490000000002</v>
      </c>
      <c r="H194" s="770">
        <f>VLOOKUP(A194,Sheet2!A:C,3,0)</f>
        <v>0</v>
      </c>
      <c r="I194" s="769">
        <f t="shared" si="21"/>
        <v>16590.509999999998</v>
      </c>
      <c r="J194" t="e">
        <f>SUMIF(#REF!,'Datetel Feb 28, 2013'!A194,#REF!)</f>
        <v>#REF!</v>
      </c>
      <c r="K194" t="str">
        <f t="shared" si="22"/>
        <v>819</v>
      </c>
      <c r="L194" t="e">
        <f>VLOOKUP(A194,#REF!,1,0)</f>
        <v>#REF!</v>
      </c>
      <c r="O194" s="793" t="e">
        <f t="shared" si="23"/>
        <v>#REF!</v>
      </c>
      <c r="P194" t="e">
        <f>VLOOKUP(A194,#REF!,5,0)</f>
        <v>#REF!</v>
      </c>
      <c r="Q194" s="793" t="e">
        <f t="shared" si="24"/>
        <v>#REF!</v>
      </c>
    </row>
    <row r="195" spans="1:17" ht="13.5" thickBot="1" x14ac:dyDescent="0.25">
      <c r="A195" s="768" t="s">
        <v>337</v>
      </c>
      <c r="B195" s="768" t="s">
        <v>661</v>
      </c>
      <c r="C195" s="768" t="s">
        <v>560</v>
      </c>
      <c r="D195" s="768" t="s">
        <v>652</v>
      </c>
      <c r="E195" s="769">
        <v>32983</v>
      </c>
      <c r="F195" s="770">
        <f>VLOOKUP(A195,Sheet2!A:F,6,0)</f>
        <v>0</v>
      </c>
      <c r="G195" s="770">
        <f>VLOOKUP(A195,Sheet2!A:E,5,0)</f>
        <v>0</v>
      </c>
      <c r="H195" s="770">
        <f>VLOOKUP(A195,Sheet2!A:C,3,0)</f>
        <v>0</v>
      </c>
      <c r="I195" s="769">
        <f t="shared" si="21"/>
        <v>0</v>
      </c>
      <c r="J195" t="e">
        <f>SUMIF(#REF!,'Datetel Feb 28, 2013'!A195,#REF!)</f>
        <v>#REF!</v>
      </c>
      <c r="K195" t="str">
        <f t="shared" si="22"/>
        <v>819</v>
      </c>
      <c r="L195" t="e">
        <f>VLOOKUP(A195,#REF!,1,0)</f>
        <v>#REF!</v>
      </c>
      <c r="O195" s="793" t="e">
        <f t="shared" si="23"/>
        <v>#REF!</v>
      </c>
      <c r="P195" t="e">
        <f>VLOOKUP(A195,#REF!,5,0)</f>
        <v>#REF!</v>
      </c>
      <c r="Q195" s="793" t="e">
        <f t="shared" si="24"/>
        <v>#REF!</v>
      </c>
    </row>
    <row r="196" spans="1:17" ht="13.5" thickBot="1" x14ac:dyDescent="0.25">
      <c r="A196" t="s">
        <v>986</v>
      </c>
      <c r="B196" t="s">
        <v>911</v>
      </c>
      <c r="C196" s="771" t="s">
        <v>665</v>
      </c>
      <c r="E196">
        <v>0</v>
      </c>
      <c r="F196" s="793">
        <v>32983</v>
      </c>
      <c r="G196" s="793">
        <v>16392.509999999998</v>
      </c>
      <c r="H196" s="770">
        <f>VLOOKUP(A196,Sheet2!A:C,3,0)</f>
        <v>0</v>
      </c>
      <c r="I196" s="769">
        <f t="shared" si="21"/>
        <v>16590.490000000002</v>
      </c>
      <c r="O196" s="793"/>
      <c r="P196" t="e">
        <f>VLOOKUP(A196,#REF!,5,0)</f>
        <v>#REF!</v>
      </c>
      <c r="Q196" s="793" t="e">
        <f t="shared" si="24"/>
        <v>#REF!</v>
      </c>
    </row>
    <row r="197" spans="1:17" ht="13.5" thickBot="1" x14ac:dyDescent="0.25">
      <c r="A197" s="771" t="s">
        <v>271</v>
      </c>
      <c r="B197" s="771" t="s">
        <v>667</v>
      </c>
      <c r="C197" s="771" t="s">
        <v>673</v>
      </c>
      <c r="D197" s="771" t="s">
        <v>652</v>
      </c>
      <c r="E197" s="772">
        <v>140000</v>
      </c>
      <c r="F197" s="770">
        <f>VLOOKUP(A197,Sheet2!A:F,6,0)</f>
        <v>270500</v>
      </c>
      <c r="G197" s="770">
        <f>VLOOKUP(A197,Sheet2!A:E,5,0)</f>
        <v>145733.23000000001</v>
      </c>
      <c r="H197" s="770">
        <f>VLOOKUP(A197,Sheet2!A:C,3,0)</f>
        <v>24766.77</v>
      </c>
      <c r="I197" s="769">
        <f t="shared" si="21"/>
        <v>99999.999999999985</v>
      </c>
      <c r="J197" t="e">
        <f>SUMIF(#REF!,'Datetel Feb 28, 2013'!A197,#REF!)</f>
        <v>#REF!</v>
      </c>
      <c r="K197" t="str">
        <f t="shared" si="22"/>
        <v>819</v>
      </c>
      <c r="L197" t="e">
        <f>VLOOKUP(A197,#REF!,1,0)</f>
        <v>#REF!</v>
      </c>
      <c r="O197" s="793" t="e">
        <f t="shared" si="23"/>
        <v>#REF!</v>
      </c>
      <c r="P197" t="e">
        <f>VLOOKUP(A197,#REF!,5,0)</f>
        <v>#REF!</v>
      </c>
      <c r="Q197" s="793" t="e">
        <f t="shared" si="24"/>
        <v>#REF!</v>
      </c>
    </row>
    <row r="198" spans="1:17" ht="13.5" thickBot="1" x14ac:dyDescent="0.25">
      <c r="A198" s="771" t="s">
        <v>23</v>
      </c>
      <c r="B198" s="771" t="s">
        <v>667</v>
      </c>
      <c r="C198" s="771" t="s">
        <v>619</v>
      </c>
      <c r="D198" s="771" t="s">
        <v>652</v>
      </c>
      <c r="E198" s="772">
        <v>50000</v>
      </c>
      <c r="F198" s="770">
        <f>VLOOKUP(A198,Sheet2!A:F,6,0)</f>
        <v>50000</v>
      </c>
      <c r="G198" s="770">
        <f>VLOOKUP(A198,Sheet2!A:E,5,0)</f>
        <v>39289.42</v>
      </c>
      <c r="H198" s="770">
        <f>VLOOKUP(A198,Sheet2!A:C,3,0)</f>
        <v>0</v>
      </c>
      <c r="I198" s="769">
        <f t="shared" si="21"/>
        <v>10710.580000000002</v>
      </c>
      <c r="J198" t="e">
        <f>SUMIF(#REF!,'Datetel Feb 28, 2013'!A198,#REF!)</f>
        <v>#REF!</v>
      </c>
      <c r="K198" t="str">
        <f t="shared" si="22"/>
        <v>819</v>
      </c>
      <c r="L198" t="e">
        <f>VLOOKUP(A198,#REF!,1,0)</f>
        <v>#REF!</v>
      </c>
      <c r="O198" s="793" t="e">
        <f t="shared" si="23"/>
        <v>#REF!</v>
      </c>
      <c r="P198" t="e">
        <f>VLOOKUP(A198,#REF!,5,0)</f>
        <v>#REF!</v>
      </c>
      <c r="Q198" s="793" t="e">
        <f t="shared" si="24"/>
        <v>#REF!</v>
      </c>
    </row>
    <row r="199" spans="1:17" s="873" customFormat="1" ht="13.5" thickBot="1" x14ac:dyDescent="0.25">
      <c r="A199" s="870" t="s">
        <v>362</v>
      </c>
      <c r="B199" s="870" t="s">
        <v>667</v>
      </c>
      <c r="C199" s="870" t="s">
        <v>662</v>
      </c>
      <c r="D199" s="870" t="s">
        <v>652</v>
      </c>
      <c r="E199" s="871">
        <v>40000</v>
      </c>
      <c r="F199" s="770">
        <f>VLOOKUP(A199,Sheet2!A:F,6,0)</f>
        <v>0</v>
      </c>
      <c r="G199" s="770">
        <f>VLOOKUP(A199,Sheet2!A:E,5,0)</f>
        <v>0</v>
      </c>
      <c r="H199" s="770">
        <f>VLOOKUP(A199,Sheet2!A:C,3,0)</f>
        <v>0</v>
      </c>
      <c r="I199" s="769">
        <f t="shared" ref="I199:I205" si="25">F199-G199-H199</f>
        <v>0</v>
      </c>
      <c r="J199" t="e">
        <f>SUMIF(#REF!,'Datetel Feb 28, 2013'!A199,#REF!)</f>
        <v>#REF!</v>
      </c>
      <c r="K199" s="873" t="str">
        <f t="shared" si="22"/>
        <v>819</v>
      </c>
      <c r="L199" s="873" t="e">
        <f>VLOOKUP(A199,#REF!,1,0)</f>
        <v>#REF!</v>
      </c>
      <c r="O199" s="793" t="e">
        <f t="shared" si="23"/>
        <v>#REF!</v>
      </c>
      <c r="P199" t="e">
        <f>VLOOKUP(A199,#REF!,5,0)</f>
        <v>#REF!</v>
      </c>
      <c r="Q199" s="793" t="e">
        <f t="shared" si="24"/>
        <v>#REF!</v>
      </c>
    </row>
    <row r="200" spans="1:17" s="873" customFormat="1" ht="13.5" thickBot="1" x14ac:dyDescent="0.25">
      <c r="A200" s="874" t="s">
        <v>674</v>
      </c>
      <c r="B200" s="874" t="s">
        <v>667</v>
      </c>
      <c r="C200" s="874" t="s">
        <v>673</v>
      </c>
      <c r="D200" s="874" t="s">
        <v>652</v>
      </c>
      <c r="E200" s="872">
        <v>0</v>
      </c>
      <c r="F200" s="770">
        <f>VLOOKUP(A200,Sheet2!A:F,6,0)</f>
        <v>0</v>
      </c>
      <c r="G200" s="770">
        <f>VLOOKUP(A200,Sheet2!A:E,5,0)</f>
        <v>0</v>
      </c>
      <c r="H200" s="770">
        <f>VLOOKUP(A200,Sheet2!A:C,3,0)</f>
        <v>0</v>
      </c>
      <c r="I200" s="769">
        <f t="shared" si="25"/>
        <v>0</v>
      </c>
      <c r="J200" t="e">
        <f>SUMIF(#REF!,'Datetel Feb 28, 2013'!A200,#REF!)</f>
        <v>#REF!</v>
      </c>
      <c r="K200" s="873" t="str">
        <f t="shared" si="22"/>
        <v>819</v>
      </c>
      <c r="L200" s="873" t="e">
        <f>VLOOKUP(A200,#REF!,1,0)</f>
        <v>#REF!</v>
      </c>
      <c r="O200" s="793" t="e">
        <f t="shared" si="23"/>
        <v>#REF!</v>
      </c>
      <c r="P200" t="e">
        <f>VLOOKUP(A200,#REF!,5,0)</f>
        <v>#REF!</v>
      </c>
      <c r="Q200" s="793" t="e">
        <f t="shared" si="24"/>
        <v>#REF!</v>
      </c>
    </row>
    <row r="201" spans="1:17" s="873" customFormat="1" ht="13.5" thickBot="1" x14ac:dyDescent="0.25">
      <c r="A201" s="874" t="s">
        <v>799</v>
      </c>
      <c r="B201" s="874" t="s">
        <v>667</v>
      </c>
      <c r="C201" s="874" t="s">
        <v>800</v>
      </c>
      <c r="D201" s="874" t="s">
        <v>652</v>
      </c>
      <c r="E201" s="872">
        <v>0</v>
      </c>
      <c r="F201" s="770">
        <f>VLOOKUP(A201,Sheet2!A:F,6,0)</f>
        <v>413</v>
      </c>
      <c r="G201" s="770">
        <f>VLOOKUP(A201,Sheet2!A:E,5,0)</f>
        <v>412.5</v>
      </c>
      <c r="H201" s="770">
        <f>VLOOKUP(A201,Sheet2!A:C,3,0)</f>
        <v>0</v>
      </c>
      <c r="I201" s="769">
        <f t="shared" si="25"/>
        <v>0.5</v>
      </c>
      <c r="J201" t="e">
        <f>SUMIF(#REF!,'Datetel Feb 28, 2013'!A201,#REF!)</f>
        <v>#REF!</v>
      </c>
      <c r="K201" s="873" t="str">
        <f t="shared" si="22"/>
        <v>819</v>
      </c>
      <c r="L201" s="873" t="e">
        <f>VLOOKUP(A201,#REF!,1,0)</f>
        <v>#REF!</v>
      </c>
      <c r="O201" s="793" t="e">
        <f t="shared" si="23"/>
        <v>#REF!</v>
      </c>
      <c r="P201" t="e">
        <f>VLOOKUP(A201,#REF!,5,0)</f>
        <v>#REF!</v>
      </c>
      <c r="Q201" s="793" t="e">
        <f t="shared" si="24"/>
        <v>#REF!</v>
      </c>
    </row>
    <row r="202" spans="1:17" s="873" customFormat="1" ht="13.5" thickBot="1" x14ac:dyDescent="0.25">
      <c r="A202" s="870" t="s">
        <v>385</v>
      </c>
      <c r="B202" s="870" t="s">
        <v>667</v>
      </c>
      <c r="C202" s="870" t="s">
        <v>662</v>
      </c>
      <c r="D202" s="870" t="s">
        <v>652</v>
      </c>
      <c r="E202" s="871">
        <v>0</v>
      </c>
      <c r="F202" s="770">
        <f>VLOOKUP(A202,Sheet2!A:F,6,0)</f>
        <v>38000</v>
      </c>
      <c r="G202" s="770">
        <f>VLOOKUP(A202,Sheet2!A:E,5,0)</f>
        <v>13250</v>
      </c>
      <c r="H202" s="770">
        <f>VLOOKUP(A202,Sheet2!A:C,3,0)</f>
        <v>0</v>
      </c>
      <c r="I202" s="769">
        <f t="shared" si="25"/>
        <v>24750</v>
      </c>
      <c r="J202" t="e">
        <f>SUMIF(#REF!,'Datetel Feb 28, 2013'!A202,#REF!)</f>
        <v>#REF!</v>
      </c>
      <c r="K202" s="873" t="str">
        <f t="shared" si="22"/>
        <v>819</v>
      </c>
      <c r="L202" s="873" t="e">
        <f>VLOOKUP(A202,#REF!,1,0)</f>
        <v>#REF!</v>
      </c>
      <c r="O202" s="793" t="e">
        <f t="shared" si="23"/>
        <v>#REF!</v>
      </c>
      <c r="P202" t="e">
        <f>VLOOKUP(A202,#REF!,5,0)</f>
        <v>#REF!</v>
      </c>
      <c r="Q202" s="793" t="e">
        <f t="shared" si="24"/>
        <v>#REF!</v>
      </c>
    </row>
    <row r="203" spans="1:17" s="873" customFormat="1" ht="13.5" thickBot="1" x14ac:dyDescent="0.25">
      <c r="A203" s="870" t="s">
        <v>801</v>
      </c>
      <c r="B203" s="870" t="s">
        <v>667</v>
      </c>
      <c r="C203" s="870" t="s">
        <v>556</v>
      </c>
      <c r="D203" s="870" t="s">
        <v>652</v>
      </c>
      <c r="E203" s="871">
        <v>0</v>
      </c>
      <c r="F203" s="770">
        <f>VLOOKUP(A203,Sheet2!A:F,6,0)</f>
        <v>575</v>
      </c>
      <c r="G203" s="770">
        <f>VLOOKUP(A203,Sheet2!A:E,5,0)</f>
        <v>198.11</v>
      </c>
      <c r="H203" s="770">
        <f>VLOOKUP(A203,Sheet2!A:C,3,0)</f>
        <v>0</v>
      </c>
      <c r="I203" s="769">
        <f t="shared" si="25"/>
        <v>376.89</v>
      </c>
      <c r="J203" t="e">
        <f>SUMIF(#REF!,'Datetel Feb 28, 2013'!A203,#REF!)</f>
        <v>#REF!</v>
      </c>
      <c r="K203" s="873" t="str">
        <f t="shared" si="22"/>
        <v>819</v>
      </c>
      <c r="L203" s="873" t="e">
        <f>VLOOKUP(A203,#REF!,1,0)</f>
        <v>#REF!</v>
      </c>
      <c r="O203" s="793" t="e">
        <f t="shared" si="23"/>
        <v>#REF!</v>
      </c>
      <c r="P203" t="e">
        <f>VLOOKUP(A203,#REF!,5,0)</f>
        <v>#REF!</v>
      </c>
      <c r="Q203" s="793" t="e">
        <f t="shared" si="24"/>
        <v>#REF!</v>
      </c>
    </row>
    <row r="204" spans="1:17" s="873" customFormat="1" ht="13.5" thickBot="1" x14ac:dyDescent="0.25">
      <c r="A204" s="870" t="s">
        <v>802</v>
      </c>
      <c r="B204" s="870" t="s">
        <v>667</v>
      </c>
      <c r="C204" s="870" t="s">
        <v>665</v>
      </c>
      <c r="D204" s="870" t="s">
        <v>652</v>
      </c>
      <c r="E204" s="871">
        <v>0</v>
      </c>
      <c r="F204" s="770">
        <f>VLOOKUP(A204,Sheet2!A:F,6,0)</f>
        <v>440</v>
      </c>
      <c r="G204" s="770">
        <f>VLOOKUP(A204,Sheet2!A:E,5,0)</f>
        <v>150.30000000000001</v>
      </c>
      <c r="H204" s="770">
        <f>VLOOKUP(A204,Sheet2!A:C,3,0)</f>
        <v>0</v>
      </c>
      <c r="I204" s="769">
        <f t="shared" si="25"/>
        <v>289.7</v>
      </c>
      <c r="J204" t="e">
        <f>SUMIF(#REF!,'Datetel Feb 28, 2013'!A204,#REF!)</f>
        <v>#REF!</v>
      </c>
      <c r="K204" s="873" t="str">
        <f t="shared" ref="K204:K235" si="26">RIGHT(A204,3)</f>
        <v>819</v>
      </c>
      <c r="L204" s="873" t="e">
        <f>VLOOKUP(A204,#REF!,1,0)</f>
        <v>#REF!</v>
      </c>
      <c r="O204" s="793" t="e">
        <f t="shared" si="23"/>
        <v>#REF!</v>
      </c>
      <c r="P204" t="e">
        <f>VLOOKUP(A204,#REF!,5,0)</f>
        <v>#REF!</v>
      </c>
      <c r="Q204" s="793" t="e">
        <f t="shared" si="24"/>
        <v>#REF!</v>
      </c>
    </row>
    <row r="205" spans="1:17" s="873" customFormat="1" ht="13.5" thickBot="1" x14ac:dyDescent="0.25">
      <c r="A205" s="874" t="s">
        <v>677</v>
      </c>
      <c r="B205" s="874" t="s">
        <v>667</v>
      </c>
      <c r="C205" s="874" t="s">
        <v>562</v>
      </c>
      <c r="D205" s="874" t="s">
        <v>652</v>
      </c>
      <c r="E205" s="872">
        <v>0</v>
      </c>
      <c r="F205" s="770">
        <f>VLOOKUP(A205,Sheet2!A:F,6,0)</f>
        <v>572</v>
      </c>
      <c r="G205" s="770">
        <f>VLOOKUP(A205,Sheet2!A:E,5,0)</f>
        <v>201.79</v>
      </c>
      <c r="H205" s="770">
        <f>VLOOKUP(A205,Sheet2!A:C,3,0)</f>
        <v>0</v>
      </c>
      <c r="I205" s="769">
        <f t="shared" si="25"/>
        <v>370.21000000000004</v>
      </c>
      <c r="J205" t="e">
        <f>SUMIF(#REF!,'Datetel Feb 28, 2013'!A205,#REF!)</f>
        <v>#REF!</v>
      </c>
      <c r="K205" s="873" t="str">
        <f t="shared" si="26"/>
        <v>819</v>
      </c>
      <c r="L205" s="873" t="e">
        <f>VLOOKUP(A205,#REF!,1,0)</f>
        <v>#REF!</v>
      </c>
      <c r="O205" s="793" t="e">
        <f t="shared" si="23"/>
        <v>#REF!</v>
      </c>
      <c r="P205" t="e">
        <f>VLOOKUP(A205,#REF!,5,0)</f>
        <v>#REF!</v>
      </c>
      <c r="Q205" s="793" t="e">
        <f t="shared" si="24"/>
        <v>#REF!</v>
      </c>
    </row>
    <row r="206" spans="1:17" ht="13.5" thickBot="1" x14ac:dyDescent="0.25">
      <c r="A206" s="768" t="s">
        <v>25</v>
      </c>
      <c r="B206" s="768" t="s">
        <v>678</v>
      </c>
      <c r="C206" s="768" t="s">
        <v>679</v>
      </c>
      <c r="D206" s="768" t="s">
        <v>652</v>
      </c>
      <c r="E206" s="769">
        <v>0</v>
      </c>
      <c r="F206" s="770">
        <f>VLOOKUP(A206,Sheet2!A:F,6,0)</f>
        <v>0</v>
      </c>
      <c r="G206" s="770">
        <f>VLOOKUP(A206,Sheet2!A:E,5,0)</f>
        <v>0</v>
      </c>
      <c r="H206" s="770">
        <f>VLOOKUP(A206,Sheet2!A:C,3,0)</f>
        <v>0</v>
      </c>
      <c r="I206" s="769">
        <f t="shared" ref="I206:I246" si="27">F206-G206-H206</f>
        <v>0</v>
      </c>
      <c r="J206" t="e">
        <f>SUMIF(#REF!,'Datetel Feb 28, 2013'!A206,#REF!)</f>
        <v>#REF!</v>
      </c>
      <c r="K206" t="str">
        <f t="shared" si="26"/>
        <v>819</v>
      </c>
      <c r="L206" t="e">
        <f>VLOOKUP(A206,#REF!,1,0)</f>
        <v>#REF!</v>
      </c>
      <c r="O206" s="793" t="e">
        <f t="shared" si="23"/>
        <v>#REF!</v>
      </c>
      <c r="P206" t="e">
        <f>VLOOKUP(A206,#REF!,5,0)</f>
        <v>#REF!</v>
      </c>
      <c r="Q206" s="793" t="e">
        <f t="shared" si="24"/>
        <v>#REF!</v>
      </c>
    </row>
    <row r="207" spans="1:17" ht="13.5" thickBot="1" x14ac:dyDescent="0.25">
      <c r="A207" s="771" t="s">
        <v>424</v>
      </c>
      <c r="B207" s="771" t="s">
        <v>678</v>
      </c>
      <c r="C207" s="771" t="s">
        <v>442</v>
      </c>
      <c r="D207" s="771" t="s">
        <v>652</v>
      </c>
      <c r="E207" s="772">
        <v>15480</v>
      </c>
      <c r="F207" s="770">
        <f>VLOOKUP(A207,Sheet2!A:F,6,0)</f>
        <v>15480</v>
      </c>
      <c r="G207" s="770">
        <f>VLOOKUP(A207,Sheet2!A:E,5,0)</f>
        <v>15480</v>
      </c>
      <c r="H207" s="770">
        <f>VLOOKUP(A207,Sheet2!A:C,3,0)</f>
        <v>0</v>
      </c>
      <c r="I207" s="769">
        <f t="shared" si="27"/>
        <v>0</v>
      </c>
      <c r="J207" t="e">
        <f>SUMIF(#REF!,'Datetel Feb 28, 2013'!A207,#REF!)</f>
        <v>#REF!</v>
      </c>
      <c r="K207" t="str">
        <f t="shared" si="26"/>
        <v>819</v>
      </c>
      <c r="L207" t="e">
        <f>VLOOKUP(A207,#REF!,1,0)</f>
        <v>#REF!</v>
      </c>
      <c r="O207" s="793" t="e">
        <f t="shared" si="23"/>
        <v>#REF!</v>
      </c>
      <c r="P207" t="e">
        <f>VLOOKUP(A207,#REF!,5,0)</f>
        <v>#REF!</v>
      </c>
      <c r="Q207" s="793" t="e">
        <f t="shared" si="24"/>
        <v>#REF!</v>
      </c>
    </row>
    <row r="208" spans="1:17" ht="13.5" thickBot="1" x14ac:dyDescent="0.25">
      <c r="A208" s="771" t="s">
        <v>27</v>
      </c>
      <c r="B208" s="771" t="s">
        <v>678</v>
      </c>
      <c r="C208" s="771" t="s">
        <v>679</v>
      </c>
      <c r="D208" s="771" t="s">
        <v>652</v>
      </c>
      <c r="E208" s="772">
        <v>0</v>
      </c>
      <c r="F208" s="770">
        <f>VLOOKUP(A208,Sheet2!A:F,6,0)</f>
        <v>0</v>
      </c>
      <c r="G208" s="770">
        <f>VLOOKUP(A208,Sheet2!A:E,5,0)</f>
        <v>0</v>
      </c>
      <c r="H208" s="770">
        <f>VLOOKUP(A208,Sheet2!A:C,3,0)</f>
        <v>0</v>
      </c>
      <c r="I208" s="769">
        <f t="shared" si="27"/>
        <v>0</v>
      </c>
      <c r="J208" t="e">
        <f>SUMIF(#REF!,'Datetel Feb 28, 2013'!A208,#REF!)</f>
        <v>#REF!</v>
      </c>
      <c r="K208" t="str">
        <f t="shared" si="26"/>
        <v>819</v>
      </c>
      <c r="L208" t="e">
        <f>VLOOKUP(A208,#REF!,1,0)</f>
        <v>#REF!</v>
      </c>
      <c r="O208" s="793" t="e">
        <f t="shared" si="23"/>
        <v>#REF!</v>
      </c>
      <c r="P208" t="e">
        <f>VLOOKUP(A208,#REF!,5,0)</f>
        <v>#REF!</v>
      </c>
      <c r="Q208" s="793" t="e">
        <f t="shared" si="24"/>
        <v>#REF!</v>
      </c>
    </row>
    <row r="209" spans="1:17" ht="13.5" thickBot="1" x14ac:dyDescent="0.25">
      <c r="A209" s="771" t="s">
        <v>803</v>
      </c>
      <c r="B209" s="771" t="s">
        <v>678</v>
      </c>
      <c r="C209" s="771" t="s">
        <v>448</v>
      </c>
      <c r="D209" s="771" t="s">
        <v>652</v>
      </c>
      <c r="E209" s="772">
        <v>7822000</v>
      </c>
      <c r="F209" s="770">
        <f>VLOOKUP(A209,Sheet2!A:F,6,0)</f>
        <v>7822000</v>
      </c>
      <c r="G209" s="770">
        <f>VLOOKUP(A209,Sheet2!A:E,5,0)</f>
        <v>3911000</v>
      </c>
      <c r="H209" s="770">
        <f>VLOOKUP(A209,Sheet2!A:C,3,0)</f>
        <v>0</v>
      </c>
      <c r="I209" s="769">
        <f t="shared" si="27"/>
        <v>3911000</v>
      </c>
      <c r="J209" t="e">
        <f>SUMIF(#REF!,'Datetel Feb 28, 2013'!A209,#REF!)</f>
        <v>#REF!</v>
      </c>
      <c r="K209" t="str">
        <f t="shared" si="26"/>
        <v>819</v>
      </c>
      <c r="L209" t="e">
        <f>VLOOKUP(A209,#REF!,1,0)</f>
        <v>#REF!</v>
      </c>
      <c r="O209" s="793" t="e">
        <f t="shared" si="23"/>
        <v>#REF!</v>
      </c>
      <c r="P209" t="e">
        <f>VLOOKUP(A209,#REF!,5,0)</f>
        <v>#REF!</v>
      </c>
      <c r="Q209" s="793" t="e">
        <f t="shared" si="24"/>
        <v>#REF!</v>
      </c>
    </row>
    <row r="210" spans="1:17" ht="13.5" thickBot="1" x14ac:dyDescent="0.25">
      <c r="A210" s="768" t="s">
        <v>680</v>
      </c>
      <c r="B210" s="768" t="s">
        <v>681</v>
      </c>
      <c r="C210" s="768" t="s">
        <v>682</v>
      </c>
      <c r="D210" s="768" t="s">
        <v>652</v>
      </c>
      <c r="E210" s="769">
        <v>0</v>
      </c>
      <c r="F210" s="770">
        <f>VLOOKUP(A210,Sheet2!A:F,6,0)</f>
        <v>0</v>
      </c>
      <c r="G210" s="770">
        <f>VLOOKUP(A210,Sheet2!A:E,5,0)</f>
        <v>0</v>
      </c>
      <c r="H210" s="770">
        <f>VLOOKUP(A210,Sheet2!A:C,3,0)</f>
        <v>0</v>
      </c>
      <c r="I210" s="769">
        <f t="shared" si="27"/>
        <v>0</v>
      </c>
      <c r="J210" t="e">
        <f>SUMIF(#REF!,'Datetel Feb 28, 2013'!A210,#REF!)</f>
        <v>#REF!</v>
      </c>
      <c r="K210" t="str">
        <f t="shared" si="26"/>
        <v>819</v>
      </c>
      <c r="L210" t="e">
        <f>VLOOKUP(A210,#REF!,1,0)</f>
        <v>#REF!</v>
      </c>
      <c r="O210" s="793" t="e">
        <f t="shared" si="23"/>
        <v>#REF!</v>
      </c>
      <c r="P210" t="e">
        <f>VLOOKUP(A210,#REF!,5,0)</f>
        <v>#REF!</v>
      </c>
      <c r="Q210" s="793" t="e">
        <f t="shared" si="24"/>
        <v>#REF!</v>
      </c>
    </row>
    <row r="211" spans="1:17" ht="13.5" thickBot="1" x14ac:dyDescent="0.25">
      <c r="A211" s="768" t="s">
        <v>807</v>
      </c>
      <c r="B211" s="768" t="s">
        <v>681</v>
      </c>
      <c r="C211" s="768" t="s">
        <v>663</v>
      </c>
      <c r="D211" s="768" t="s">
        <v>652</v>
      </c>
      <c r="E211" s="769">
        <v>0</v>
      </c>
      <c r="F211" s="770">
        <f>VLOOKUP(A211,Sheet2!A:F,6,0)</f>
        <v>0</v>
      </c>
      <c r="G211" s="770">
        <f>VLOOKUP(A211,Sheet2!A:E,5,0)</f>
        <v>10.46</v>
      </c>
      <c r="H211" s="770">
        <f>VLOOKUP(A211,Sheet2!A:C,3,0)</f>
        <v>0</v>
      </c>
      <c r="I211" s="769">
        <f t="shared" si="27"/>
        <v>-10.46</v>
      </c>
      <c r="J211" t="e">
        <f>SUMIF(#REF!,'Datetel Feb 28, 2013'!A211,#REF!)</f>
        <v>#REF!</v>
      </c>
      <c r="K211" t="str">
        <f t="shared" si="26"/>
        <v>819</v>
      </c>
      <c r="L211" t="e">
        <f>VLOOKUP(A211,#REF!,1,0)</f>
        <v>#REF!</v>
      </c>
      <c r="O211" s="793" t="e">
        <f t="shared" si="23"/>
        <v>#REF!</v>
      </c>
      <c r="P211" t="e">
        <f>VLOOKUP(A211,#REF!,5,0)</f>
        <v>#REF!</v>
      </c>
      <c r="Q211" s="793" t="e">
        <f t="shared" si="24"/>
        <v>#REF!</v>
      </c>
    </row>
    <row r="212" spans="1:17" ht="13.5" thickBot="1" x14ac:dyDescent="0.25">
      <c r="A212" s="771" t="s">
        <v>808</v>
      </c>
      <c r="B212" s="771" t="s">
        <v>681</v>
      </c>
      <c r="C212" s="771" t="s">
        <v>809</v>
      </c>
      <c r="D212" s="771" t="s">
        <v>652</v>
      </c>
      <c r="E212" s="772">
        <v>0</v>
      </c>
      <c r="F212" s="770">
        <f>VLOOKUP(A212,Sheet2!A:F,6,0)</f>
        <v>1400</v>
      </c>
      <c r="G212" s="770">
        <f>VLOOKUP(A212,Sheet2!A:E,5,0)</f>
        <v>1400</v>
      </c>
      <c r="H212" s="770">
        <f>VLOOKUP(A212,Sheet2!A:C,3,0)</f>
        <v>0</v>
      </c>
      <c r="I212" s="769">
        <f t="shared" si="27"/>
        <v>0</v>
      </c>
      <c r="J212" t="e">
        <f>SUMIF(#REF!,'Datetel Feb 28, 2013'!A212,#REF!)</f>
        <v>#REF!</v>
      </c>
      <c r="K212" t="str">
        <f t="shared" si="26"/>
        <v>819</v>
      </c>
      <c r="L212" t="e">
        <f>VLOOKUP(A212,#REF!,1,0)</f>
        <v>#REF!</v>
      </c>
      <c r="O212" s="793" t="e">
        <f t="shared" si="23"/>
        <v>#REF!</v>
      </c>
      <c r="P212" t="e">
        <f>VLOOKUP(A212,#REF!,5,0)</f>
        <v>#REF!</v>
      </c>
      <c r="Q212" s="793" t="e">
        <f t="shared" si="24"/>
        <v>#REF!</v>
      </c>
    </row>
    <row r="213" spans="1:17" ht="13.5" thickBot="1" x14ac:dyDescent="0.25">
      <c r="A213" s="771" t="s">
        <v>693</v>
      </c>
      <c r="B213" s="771" t="s">
        <v>681</v>
      </c>
      <c r="C213" s="771" t="s">
        <v>448</v>
      </c>
      <c r="D213" s="771" t="s">
        <v>652</v>
      </c>
      <c r="E213" s="772">
        <v>150000</v>
      </c>
      <c r="F213" s="770">
        <f>VLOOKUP(A213,Sheet2!A:F,6,0)</f>
        <v>150000</v>
      </c>
      <c r="G213" s="770">
        <f>VLOOKUP(A213,Sheet2!A:E,5,0)</f>
        <v>0</v>
      </c>
      <c r="H213" s="770">
        <f>VLOOKUP(A213,Sheet2!A:C,3,0)</f>
        <v>0</v>
      </c>
      <c r="I213" s="769">
        <f t="shared" si="27"/>
        <v>150000</v>
      </c>
      <c r="J213" t="e">
        <f>SUMIF(#REF!,'Datetel Feb 28, 2013'!A213,#REF!)</f>
        <v>#REF!</v>
      </c>
      <c r="K213" t="str">
        <f t="shared" si="26"/>
        <v>819</v>
      </c>
      <c r="L213" t="e">
        <f>VLOOKUP(A213,#REF!,1,0)</f>
        <v>#REF!</v>
      </c>
      <c r="O213" s="793" t="e">
        <f t="shared" si="23"/>
        <v>#REF!</v>
      </c>
      <c r="P213" t="e">
        <f>VLOOKUP(A213,#REF!,5,0)</f>
        <v>#REF!</v>
      </c>
      <c r="Q213" s="793" t="e">
        <f t="shared" si="24"/>
        <v>#REF!</v>
      </c>
    </row>
    <row r="214" spans="1:17" ht="13.5" thickBot="1" x14ac:dyDescent="0.25">
      <c r="A214" s="771" t="s">
        <v>28</v>
      </c>
      <c r="B214" s="771" t="s">
        <v>694</v>
      </c>
      <c r="C214" s="771" t="s">
        <v>695</v>
      </c>
      <c r="D214" s="771" t="s">
        <v>696</v>
      </c>
      <c r="E214" s="772">
        <v>164946</v>
      </c>
      <c r="F214" s="770">
        <f>VLOOKUP(A214,Sheet2!A:F,6,0)</f>
        <v>-12266</v>
      </c>
      <c r="G214" s="770">
        <f>VLOOKUP(A214,Sheet2!A:E,5,0)</f>
        <v>0</v>
      </c>
      <c r="H214" s="770">
        <f>VLOOKUP(A214,Sheet2!A:C,3,0)</f>
        <v>0</v>
      </c>
      <c r="I214" s="769">
        <f t="shared" si="27"/>
        <v>-12266</v>
      </c>
      <c r="J214" t="e">
        <f>SUMIF(#REF!,'Datetel Feb 28, 2013'!A214,#REF!)</f>
        <v>#REF!</v>
      </c>
      <c r="K214" t="str">
        <f t="shared" si="26"/>
        <v>819</v>
      </c>
      <c r="L214" t="e">
        <f>VLOOKUP(A214,#REF!,1,0)</f>
        <v>#REF!</v>
      </c>
      <c r="O214" s="793" t="e">
        <f t="shared" si="23"/>
        <v>#REF!</v>
      </c>
      <c r="P214" t="e">
        <f>VLOOKUP(A214,#REF!,5,0)</f>
        <v>#REF!</v>
      </c>
      <c r="Q214" s="793" t="e">
        <f t="shared" si="24"/>
        <v>#REF!</v>
      </c>
    </row>
    <row r="215" spans="1:17" ht="13.5" thickBot="1" x14ac:dyDescent="0.25">
      <c r="A215" s="768" t="s">
        <v>29</v>
      </c>
      <c r="B215" s="768" t="s">
        <v>694</v>
      </c>
      <c r="C215" s="768" t="s">
        <v>697</v>
      </c>
      <c r="D215" s="768" t="s">
        <v>696</v>
      </c>
      <c r="E215" s="769">
        <v>7500</v>
      </c>
      <c r="F215" s="770">
        <f>VLOOKUP(A215,Sheet2!A:F,6,0)</f>
        <v>7500</v>
      </c>
      <c r="G215" s="770">
        <f>VLOOKUP(A215,Sheet2!A:E,5,0)</f>
        <v>1224.57</v>
      </c>
      <c r="H215" s="770">
        <f>VLOOKUP(A215,Sheet2!A:C,3,0)</f>
        <v>0</v>
      </c>
      <c r="I215" s="769">
        <f t="shared" si="27"/>
        <v>6275.43</v>
      </c>
      <c r="J215" t="e">
        <f>SUMIF(#REF!,'Datetel Feb 28, 2013'!A215,#REF!)</f>
        <v>#REF!</v>
      </c>
      <c r="K215" t="str">
        <f t="shared" si="26"/>
        <v>819</v>
      </c>
      <c r="L215" t="e">
        <f>VLOOKUP(A215,#REF!,1,0)</f>
        <v>#REF!</v>
      </c>
      <c r="O215" s="793" t="e">
        <f t="shared" si="23"/>
        <v>#REF!</v>
      </c>
      <c r="P215" t="e">
        <f>VLOOKUP(A215,#REF!,5,0)</f>
        <v>#REF!</v>
      </c>
      <c r="Q215" s="793" t="e">
        <f t="shared" si="24"/>
        <v>#REF!</v>
      </c>
    </row>
    <row r="216" spans="1:17" ht="13.5" thickBot="1" x14ac:dyDescent="0.25">
      <c r="A216" s="768" t="s">
        <v>30</v>
      </c>
      <c r="B216" s="768" t="s">
        <v>694</v>
      </c>
      <c r="C216" s="768" t="s">
        <v>702</v>
      </c>
      <c r="D216" s="768" t="s">
        <v>696</v>
      </c>
      <c r="E216" s="769">
        <v>60000</v>
      </c>
      <c r="F216" s="770">
        <f>VLOOKUP(A216,Sheet2!A:F,6,0)</f>
        <v>60000</v>
      </c>
      <c r="G216" s="770">
        <f>VLOOKUP(A216,Sheet2!A:E,5,0)</f>
        <v>30000.04</v>
      </c>
      <c r="H216" s="770">
        <f>VLOOKUP(A216,Sheet2!A:C,3,0)</f>
        <v>0</v>
      </c>
      <c r="I216" s="769">
        <f t="shared" si="27"/>
        <v>29999.96</v>
      </c>
      <c r="J216" t="e">
        <f>SUMIF(#REF!,'Datetel Feb 28, 2013'!A216,#REF!)</f>
        <v>#REF!</v>
      </c>
      <c r="K216" t="str">
        <f t="shared" si="26"/>
        <v>819</v>
      </c>
      <c r="L216" t="e">
        <f>VLOOKUP(A216,#REF!,1,0)</f>
        <v>#REF!</v>
      </c>
      <c r="O216" s="793" t="e">
        <f t="shared" si="23"/>
        <v>#REF!</v>
      </c>
      <c r="P216" t="e">
        <f>VLOOKUP(A216,#REF!,5,0)</f>
        <v>#REF!</v>
      </c>
      <c r="Q216" s="793" t="e">
        <f t="shared" si="24"/>
        <v>#REF!</v>
      </c>
    </row>
    <row r="217" spans="1:17" ht="13.5" thickBot="1" x14ac:dyDescent="0.25">
      <c r="A217" s="771" t="s">
        <v>31</v>
      </c>
      <c r="B217" s="771" t="s">
        <v>694</v>
      </c>
      <c r="C217" s="771" t="s">
        <v>705</v>
      </c>
      <c r="D217" s="771" t="s">
        <v>696</v>
      </c>
      <c r="E217" s="772">
        <v>200000</v>
      </c>
      <c r="F217" s="770">
        <f>VLOOKUP(A217,Sheet2!A:F,6,0)</f>
        <v>200000</v>
      </c>
      <c r="G217" s="770">
        <f>VLOOKUP(A217,Sheet2!A:E,5,0)</f>
        <v>104705.96</v>
      </c>
      <c r="H217" s="770">
        <f>VLOOKUP(A217,Sheet2!A:C,3,0)</f>
        <v>0</v>
      </c>
      <c r="I217" s="769">
        <f t="shared" si="27"/>
        <v>95294.04</v>
      </c>
      <c r="J217" t="e">
        <f>SUMIF(#REF!,'Datetel Feb 28, 2013'!A217,#REF!)</f>
        <v>#REF!</v>
      </c>
      <c r="K217" t="str">
        <f t="shared" si="26"/>
        <v>819</v>
      </c>
      <c r="L217" t="e">
        <f>VLOOKUP(A217,#REF!,1,0)</f>
        <v>#REF!</v>
      </c>
      <c r="O217" s="793" t="e">
        <f t="shared" si="23"/>
        <v>#REF!</v>
      </c>
      <c r="P217" t="e">
        <f>VLOOKUP(A217,#REF!,5,0)</f>
        <v>#REF!</v>
      </c>
      <c r="Q217" s="793" t="e">
        <f t="shared" si="24"/>
        <v>#REF!</v>
      </c>
    </row>
    <row r="218" spans="1:17" ht="13.5" thickBot="1" x14ac:dyDescent="0.25">
      <c r="A218" s="771" t="s">
        <v>32</v>
      </c>
      <c r="B218" s="771" t="s">
        <v>694</v>
      </c>
      <c r="C218" s="771" t="s">
        <v>621</v>
      </c>
      <c r="D218" s="771" t="s">
        <v>696</v>
      </c>
      <c r="E218" s="772">
        <v>43900</v>
      </c>
      <c r="F218" s="770">
        <f>VLOOKUP(A218,Sheet2!A:F,6,0)</f>
        <v>43900</v>
      </c>
      <c r="G218" s="770">
        <f>VLOOKUP(A218,Sheet2!A:E,5,0)</f>
        <v>29711.25</v>
      </c>
      <c r="H218" s="770">
        <f>VLOOKUP(A218,Sheet2!A:C,3,0)</f>
        <v>14188.75</v>
      </c>
      <c r="I218" s="769">
        <f t="shared" si="27"/>
        <v>0</v>
      </c>
      <c r="J218" t="e">
        <f>SUMIF(#REF!,'Datetel Feb 28, 2013'!A218,#REF!)</f>
        <v>#REF!</v>
      </c>
      <c r="K218" t="str">
        <f t="shared" si="26"/>
        <v>819</v>
      </c>
      <c r="L218" t="e">
        <f>VLOOKUP(A218,#REF!,1,0)</f>
        <v>#REF!</v>
      </c>
      <c r="O218" s="793" t="e">
        <f t="shared" si="23"/>
        <v>#REF!</v>
      </c>
      <c r="P218" t="e">
        <f>VLOOKUP(A218,#REF!,5,0)</f>
        <v>#REF!</v>
      </c>
      <c r="Q218" s="793" t="e">
        <f t="shared" si="24"/>
        <v>#REF!</v>
      </c>
    </row>
    <row r="219" spans="1:17" s="813" customFormat="1" ht="13.5" thickBot="1" x14ac:dyDescent="0.25">
      <c r="A219" s="814" t="s">
        <v>33</v>
      </c>
      <c r="B219" s="814" t="s">
        <v>694</v>
      </c>
      <c r="C219" s="814" t="s">
        <v>442</v>
      </c>
      <c r="D219" s="814" t="s">
        <v>696</v>
      </c>
      <c r="E219" s="815">
        <v>159057</v>
      </c>
      <c r="F219" s="811">
        <f>VLOOKUP(A219,Sheet2!A:F,6,0)</f>
        <v>179057</v>
      </c>
      <c r="G219" s="811">
        <f>VLOOKUP(A219,Sheet2!A:E,5,0)</f>
        <v>109929.93</v>
      </c>
      <c r="H219" s="770">
        <f>VLOOKUP(A219,Sheet2!A:C,3,0)</f>
        <v>66781.070000000007</v>
      </c>
      <c r="I219" s="810">
        <f t="shared" si="27"/>
        <v>2346</v>
      </c>
      <c r="J219" s="813" t="e">
        <f>SUMIF(#REF!,'Datetel Feb 28, 2013'!A219,#REF!)</f>
        <v>#REF!</v>
      </c>
      <c r="K219" s="813" t="str">
        <f t="shared" si="26"/>
        <v>819</v>
      </c>
      <c r="L219" s="813" t="e">
        <f>VLOOKUP(A219,#REF!,1,0)</f>
        <v>#REF!</v>
      </c>
      <c r="O219" s="812" t="e">
        <f t="shared" si="23"/>
        <v>#REF!</v>
      </c>
      <c r="P219" t="e">
        <f>VLOOKUP(A219,#REF!,5,0)</f>
        <v>#REF!</v>
      </c>
      <c r="Q219" s="793" t="e">
        <f t="shared" si="24"/>
        <v>#REF!</v>
      </c>
    </row>
    <row r="220" spans="1:17" ht="13.5" thickBot="1" x14ac:dyDescent="0.25">
      <c r="A220" s="768" t="s">
        <v>34</v>
      </c>
      <c r="B220" s="768" t="s">
        <v>694</v>
      </c>
      <c r="C220" s="768" t="s">
        <v>707</v>
      </c>
      <c r="D220" s="768" t="s">
        <v>696</v>
      </c>
      <c r="E220" s="769">
        <v>90000</v>
      </c>
      <c r="F220" s="770">
        <f>VLOOKUP(A220,Sheet2!A:F,6,0)</f>
        <v>70000</v>
      </c>
      <c r="G220" s="770">
        <f>VLOOKUP(A220,Sheet2!A:E,5,0)</f>
        <v>13186.18</v>
      </c>
      <c r="H220" s="770">
        <f>VLOOKUP(A220,Sheet2!A:C,3,0)</f>
        <v>46813.82</v>
      </c>
      <c r="I220" s="769">
        <f t="shared" si="27"/>
        <v>10000</v>
      </c>
      <c r="J220" t="e">
        <f>SUMIF(#REF!,'Datetel Feb 28, 2013'!A220,#REF!)</f>
        <v>#REF!</v>
      </c>
      <c r="K220" t="str">
        <f t="shared" si="26"/>
        <v>819</v>
      </c>
      <c r="L220" t="e">
        <f>VLOOKUP(A220,#REF!,1,0)</f>
        <v>#REF!</v>
      </c>
      <c r="O220" s="793" t="e">
        <f t="shared" si="23"/>
        <v>#REF!</v>
      </c>
      <c r="P220" t="e">
        <f>VLOOKUP(A220,#REF!,5,0)</f>
        <v>#REF!</v>
      </c>
      <c r="Q220" s="793" t="e">
        <f t="shared" si="24"/>
        <v>#REF!</v>
      </c>
    </row>
    <row r="221" spans="1:17" ht="13.5" thickBot="1" x14ac:dyDescent="0.25">
      <c r="A221" s="768" t="s">
        <v>35</v>
      </c>
      <c r="B221" s="768" t="s">
        <v>694</v>
      </c>
      <c r="C221" s="768" t="s">
        <v>810</v>
      </c>
      <c r="D221" s="768" t="s">
        <v>696</v>
      </c>
      <c r="E221" s="769">
        <v>3000</v>
      </c>
      <c r="F221" s="770">
        <f>VLOOKUP(A221,Sheet2!A:F,6,0)</f>
        <v>3000</v>
      </c>
      <c r="G221" s="770">
        <f>VLOOKUP(A221,Sheet2!A:E,5,0)</f>
        <v>0</v>
      </c>
      <c r="H221" s="770">
        <f>VLOOKUP(A221,Sheet2!A:C,3,0)</f>
        <v>0</v>
      </c>
      <c r="I221" s="769">
        <f t="shared" si="27"/>
        <v>3000</v>
      </c>
      <c r="J221" t="e">
        <f>SUMIF(#REF!,'Datetel Feb 28, 2013'!A221,#REF!)</f>
        <v>#REF!</v>
      </c>
      <c r="K221" t="str">
        <f t="shared" si="26"/>
        <v>819</v>
      </c>
      <c r="L221" t="e">
        <f>VLOOKUP(A221,#REF!,1,0)</f>
        <v>#REF!</v>
      </c>
      <c r="O221" s="793" t="e">
        <f t="shared" si="23"/>
        <v>#REF!</v>
      </c>
      <c r="P221" t="e">
        <f>VLOOKUP(A221,#REF!,5,0)</f>
        <v>#REF!</v>
      </c>
      <c r="Q221" s="793" t="e">
        <f t="shared" si="24"/>
        <v>#REF!</v>
      </c>
    </row>
    <row r="222" spans="1:17" ht="13.5" thickBot="1" x14ac:dyDescent="0.25">
      <c r="A222" s="771" t="s">
        <v>36</v>
      </c>
      <c r="B222" s="771" t="s">
        <v>709</v>
      </c>
      <c r="C222" s="771" t="s">
        <v>710</v>
      </c>
      <c r="D222" s="771" t="s">
        <v>696</v>
      </c>
      <c r="E222" s="772">
        <v>5200</v>
      </c>
      <c r="F222" s="770">
        <f>VLOOKUP(A222,Sheet2!A:F,6,0)</f>
        <v>5200</v>
      </c>
      <c r="G222" s="770">
        <f>VLOOKUP(A222,Sheet2!A:E,5,0)</f>
        <v>0</v>
      </c>
      <c r="H222" s="770">
        <f>VLOOKUP(A222,Sheet2!A:C,3,0)</f>
        <v>0</v>
      </c>
      <c r="I222" s="769">
        <f t="shared" si="27"/>
        <v>5200</v>
      </c>
      <c r="J222" t="e">
        <f>SUMIF(#REF!,'Datetel Feb 28, 2013'!A222,#REF!)</f>
        <v>#REF!</v>
      </c>
      <c r="K222" t="str">
        <f t="shared" si="26"/>
        <v>819</v>
      </c>
      <c r="L222" t="e">
        <f>VLOOKUP(A222,#REF!,1,0)</f>
        <v>#REF!</v>
      </c>
      <c r="O222" s="793" t="e">
        <f t="shared" si="23"/>
        <v>#REF!</v>
      </c>
      <c r="P222" t="e">
        <f>VLOOKUP(A222,#REF!,5,0)</f>
        <v>#REF!</v>
      </c>
      <c r="Q222" s="793" t="e">
        <f t="shared" si="24"/>
        <v>#REF!</v>
      </c>
    </row>
    <row r="223" spans="1:17" ht="13.5" thickBot="1" x14ac:dyDescent="0.25">
      <c r="A223" s="771" t="s">
        <v>37</v>
      </c>
      <c r="B223" s="771" t="s">
        <v>711</v>
      </c>
      <c r="C223" s="771" t="s">
        <v>712</v>
      </c>
      <c r="D223" s="771" t="s">
        <v>696</v>
      </c>
      <c r="E223" s="772">
        <v>1000</v>
      </c>
      <c r="F223" s="770">
        <f>VLOOKUP(A223,Sheet2!A:F,6,0)</f>
        <v>1000</v>
      </c>
      <c r="G223" s="770">
        <f>VLOOKUP(A223,Sheet2!A:E,5,0)</f>
        <v>0</v>
      </c>
      <c r="H223" s="770">
        <f>VLOOKUP(A223,Sheet2!A:C,3,0)</f>
        <v>0</v>
      </c>
      <c r="I223" s="769">
        <f t="shared" si="27"/>
        <v>1000</v>
      </c>
      <c r="J223" t="e">
        <f>SUMIF(#REF!,'Datetel Feb 28, 2013'!A223,#REF!)</f>
        <v>#REF!</v>
      </c>
      <c r="K223" t="str">
        <f t="shared" si="26"/>
        <v>819</v>
      </c>
      <c r="L223" t="e">
        <f>VLOOKUP(A223,#REF!,1,0)</f>
        <v>#REF!</v>
      </c>
      <c r="O223" s="793" t="e">
        <f t="shared" si="23"/>
        <v>#REF!</v>
      </c>
      <c r="P223" t="e">
        <f>VLOOKUP(A223,#REF!,5,0)</f>
        <v>#REF!</v>
      </c>
      <c r="Q223" s="793" t="e">
        <f t="shared" si="24"/>
        <v>#REF!</v>
      </c>
    </row>
    <row r="224" spans="1:17" ht="13.5" thickBot="1" x14ac:dyDescent="0.25">
      <c r="A224" s="771" t="s">
        <v>40</v>
      </c>
      <c r="B224" s="771" t="s">
        <v>713</v>
      </c>
      <c r="C224" s="771" t="s">
        <v>710</v>
      </c>
      <c r="D224" s="771" t="s">
        <v>39</v>
      </c>
      <c r="E224" s="772">
        <v>4000</v>
      </c>
      <c r="F224" s="770">
        <f>VLOOKUP(A224,Sheet2!A:F,6,0)</f>
        <v>4000</v>
      </c>
      <c r="G224" s="770">
        <f>VLOOKUP(A224,Sheet2!A:E,5,0)</f>
        <v>935.86</v>
      </c>
      <c r="H224" s="770">
        <f>VLOOKUP(A224,Sheet2!A:C,3,0)</f>
        <v>265</v>
      </c>
      <c r="I224" s="769">
        <f t="shared" si="27"/>
        <v>2799.14</v>
      </c>
      <c r="J224" t="e">
        <f>SUMIF(#REF!,'Datetel Feb 28, 2013'!A224,#REF!)</f>
        <v>#REF!</v>
      </c>
      <c r="K224" t="str">
        <f t="shared" si="26"/>
        <v>819</v>
      </c>
      <c r="L224" t="e">
        <f>VLOOKUP(A224,#REF!,1,0)</f>
        <v>#REF!</v>
      </c>
      <c r="O224" s="793" t="e">
        <f t="shared" si="23"/>
        <v>#REF!</v>
      </c>
      <c r="P224" t="e">
        <f>VLOOKUP(A224,#REF!,5,0)</f>
        <v>#REF!</v>
      </c>
      <c r="Q224" s="793" t="e">
        <f t="shared" si="24"/>
        <v>#REF!</v>
      </c>
    </row>
    <row r="225" spans="1:17" ht="13.5" thickBot="1" x14ac:dyDescent="0.25">
      <c r="A225" s="768" t="s">
        <v>326</v>
      </c>
      <c r="B225" s="768" t="s">
        <v>715</v>
      </c>
      <c r="C225" s="768" t="s">
        <v>442</v>
      </c>
      <c r="D225" s="768" t="s">
        <v>717</v>
      </c>
      <c r="E225" s="769">
        <v>20000</v>
      </c>
      <c r="F225" s="770">
        <f>VLOOKUP(A225,Sheet2!A:F,6,0)</f>
        <v>17941</v>
      </c>
      <c r="G225" s="770">
        <f>VLOOKUP(A225,Sheet2!A:E,5,0)</f>
        <v>17940.150000000001</v>
      </c>
      <c r="H225" s="770">
        <f>VLOOKUP(A225,Sheet2!A:C,3,0)</f>
        <v>0</v>
      </c>
      <c r="I225" s="769">
        <f t="shared" si="27"/>
        <v>0.84999999999854481</v>
      </c>
      <c r="J225" t="e">
        <f>SUMIF(#REF!,'Datetel Feb 28, 2013'!A225,#REF!)</f>
        <v>#REF!</v>
      </c>
      <c r="K225" t="str">
        <f t="shared" si="26"/>
        <v>819</v>
      </c>
      <c r="L225" t="e">
        <f>VLOOKUP(A225,#REF!,1,0)</f>
        <v>#REF!</v>
      </c>
      <c r="O225" s="793" t="e">
        <f t="shared" si="23"/>
        <v>#REF!</v>
      </c>
      <c r="P225" t="e">
        <f>VLOOKUP(A225,#REF!,5,0)</f>
        <v>#REF!</v>
      </c>
      <c r="Q225" s="793" t="e">
        <f t="shared" si="24"/>
        <v>#REF!</v>
      </c>
    </row>
    <row r="226" spans="1:17" ht="13.5" thickBot="1" x14ac:dyDescent="0.25">
      <c r="A226" s="768" t="s">
        <v>318</v>
      </c>
      <c r="B226" s="768" t="s">
        <v>718</v>
      </c>
      <c r="C226" s="768" t="s">
        <v>442</v>
      </c>
      <c r="D226" s="768" t="s">
        <v>717</v>
      </c>
      <c r="E226" s="769">
        <v>12124</v>
      </c>
      <c r="F226" s="770">
        <f>VLOOKUP(A226,Sheet2!A:F,6,0)</f>
        <v>11124</v>
      </c>
      <c r="G226" s="770">
        <f>VLOOKUP(A226,Sheet2!A:E,5,0)</f>
        <v>6651.55</v>
      </c>
      <c r="H226" s="770">
        <f>VLOOKUP(A226,Sheet2!A:C,3,0)</f>
        <v>4472.32</v>
      </c>
      <c r="I226" s="769">
        <f t="shared" si="27"/>
        <v>0.13000000000010914</v>
      </c>
      <c r="J226" t="e">
        <f>SUMIF(#REF!,'Datetel Feb 28, 2013'!A226,#REF!)</f>
        <v>#REF!</v>
      </c>
      <c r="K226" t="str">
        <f t="shared" si="26"/>
        <v>819</v>
      </c>
      <c r="L226" t="e">
        <f>VLOOKUP(A226,#REF!,1,0)</f>
        <v>#REF!</v>
      </c>
      <c r="O226" s="793" t="e">
        <f t="shared" si="23"/>
        <v>#REF!</v>
      </c>
      <c r="P226" t="e">
        <f>VLOOKUP(A226,#REF!,5,0)</f>
        <v>#REF!</v>
      </c>
      <c r="Q226" s="793" t="e">
        <f t="shared" si="24"/>
        <v>#REF!</v>
      </c>
    </row>
    <row r="227" spans="1:17" ht="13.5" thickBot="1" x14ac:dyDescent="0.25">
      <c r="A227" s="771" t="s">
        <v>319</v>
      </c>
      <c r="B227" s="771" t="s">
        <v>718</v>
      </c>
      <c r="C227" s="771" t="s">
        <v>451</v>
      </c>
      <c r="D227" s="771" t="s">
        <v>717</v>
      </c>
      <c r="E227" s="772">
        <v>6578</v>
      </c>
      <c r="F227" s="770">
        <f>VLOOKUP(A227,Sheet2!A:F,6,0)</f>
        <v>6578</v>
      </c>
      <c r="G227" s="770">
        <f>VLOOKUP(A227,Sheet2!A:E,5,0)</f>
        <v>0</v>
      </c>
      <c r="H227" s="770">
        <f>VLOOKUP(A227,Sheet2!A:C,3,0)</f>
        <v>6578</v>
      </c>
      <c r="I227" s="769">
        <f t="shared" si="27"/>
        <v>0</v>
      </c>
      <c r="J227" t="e">
        <f>SUMIF(#REF!,'Datetel Feb 28, 2013'!A227,#REF!)</f>
        <v>#REF!</v>
      </c>
      <c r="K227" t="str">
        <f t="shared" si="26"/>
        <v>819</v>
      </c>
      <c r="L227" t="e">
        <f>VLOOKUP(A227,#REF!,1,0)</f>
        <v>#REF!</v>
      </c>
      <c r="O227" s="793" t="e">
        <f t="shared" si="23"/>
        <v>#REF!</v>
      </c>
      <c r="P227" t="e">
        <f>VLOOKUP(A227,#REF!,5,0)</f>
        <v>#REF!</v>
      </c>
      <c r="Q227" s="793" t="e">
        <f t="shared" si="24"/>
        <v>#REF!</v>
      </c>
    </row>
    <row r="228" spans="1:17" ht="13.5" thickBot="1" x14ac:dyDescent="0.25">
      <c r="A228" s="771" t="s">
        <v>315</v>
      </c>
      <c r="B228" s="771" t="s">
        <v>719</v>
      </c>
      <c r="C228" s="771" t="s">
        <v>716</v>
      </c>
      <c r="D228" s="771" t="s">
        <v>717</v>
      </c>
      <c r="E228" s="772">
        <v>5124</v>
      </c>
      <c r="F228" s="770">
        <f>VLOOKUP(A228,Sheet2!A:F,6,0)</f>
        <v>7124</v>
      </c>
      <c r="G228" s="770">
        <f>VLOOKUP(A228,Sheet2!A:E,5,0)</f>
        <v>4346</v>
      </c>
      <c r="H228" s="770">
        <f>VLOOKUP(A228,Sheet2!A:C,3,0)</f>
        <v>380</v>
      </c>
      <c r="I228" s="769">
        <f t="shared" si="27"/>
        <v>2398</v>
      </c>
      <c r="J228" t="e">
        <f>SUMIF(#REF!,'Datetel Feb 28, 2013'!A228,#REF!)</f>
        <v>#REF!</v>
      </c>
      <c r="K228" t="str">
        <f t="shared" si="26"/>
        <v>819</v>
      </c>
      <c r="L228" t="e">
        <f>VLOOKUP(A228,#REF!,1,0)</f>
        <v>#REF!</v>
      </c>
      <c r="O228" s="793" t="e">
        <f t="shared" si="23"/>
        <v>#REF!</v>
      </c>
      <c r="P228" t="e">
        <f>VLOOKUP(A228,#REF!,5,0)</f>
        <v>#REF!</v>
      </c>
      <c r="Q228" s="793" t="e">
        <f t="shared" si="24"/>
        <v>#REF!</v>
      </c>
    </row>
    <row r="229" spans="1:17" ht="13.5" thickBot="1" x14ac:dyDescent="0.25">
      <c r="A229" s="771" t="s">
        <v>355</v>
      </c>
      <c r="B229" s="771" t="s">
        <v>719</v>
      </c>
      <c r="C229" s="771" t="s">
        <v>442</v>
      </c>
      <c r="D229" s="771" t="s">
        <v>717</v>
      </c>
      <c r="E229" s="772">
        <v>4590</v>
      </c>
      <c r="F229" s="770">
        <f>VLOOKUP(A229,Sheet2!A:F,6,0)</f>
        <v>4590</v>
      </c>
      <c r="G229" s="770">
        <f>VLOOKUP(A229,Sheet2!A:E,5,0)</f>
        <v>0</v>
      </c>
      <c r="H229" s="770">
        <f>VLOOKUP(A229,Sheet2!A:C,3,0)</f>
        <v>0</v>
      </c>
      <c r="I229" s="769">
        <f t="shared" si="27"/>
        <v>4590</v>
      </c>
      <c r="J229" t="e">
        <f>SUMIF(#REF!,'Datetel Feb 28, 2013'!A229,#REF!)</f>
        <v>#REF!</v>
      </c>
      <c r="K229" t="str">
        <f t="shared" si="26"/>
        <v>819</v>
      </c>
      <c r="L229" t="e">
        <f>VLOOKUP(A229,#REF!,1,0)</f>
        <v>#REF!</v>
      </c>
      <c r="O229" s="793" t="e">
        <f t="shared" si="23"/>
        <v>#REF!</v>
      </c>
      <c r="P229" t="e">
        <f>VLOOKUP(A229,#REF!,5,0)</f>
        <v>#REF!</v>
      </c>
      <c r="Q229" s="793" t="e">
        <f t="shared" si="24"/>
        <v>#REF!</v>
      </c>
    </row>
    <row r="230" spans="1:17" ht="13.5" thickBot="1" x14ac:dyDescent="0.25">
      <c r="A230" s="768" t="s">
        <v>317</v>
      </c>
      <c r="B230" s="768" t="s">
        <v>710</v>
      </c>
      <c r="C230" s="768" t="s">
        <v>716</v>
      </c>
      <c r="D230" s="768" t="s">
        <v>717</v>
      </c>
      <c r="E230" s="769">
        <v>7000</v>
      </c>
      <c r="F230" s="770">
        <f>VLOOKUP(A230,Sheet2!A:F,6,0)</f>
        <v>7000</v>
      </c>
      <c r="G230" s="770">
        <f>VLOOKUP(A230,Sheet2!A:E,5,0)</f>
        <v>3207.51</v>
      </c>
      <c r="H230" s="770">
        <f>VLOOKUP(A230,Sheet2!A:C,3,0)</f>
        <v>0</v>
      </c>
      <c r="I230" s="769">
        <f t="shared" si="27"/>
        <v>3792.49</v>
      </c>
      <c r="J230" t="e">
        <f>SUMIF(#REF!,'Datetel Feb 28, 2013'!A230,#REF!)</f>
        <v>#REF!</v>
      </c>
      <c r="K230" t="str">
        <f t="shared" si="26"/>
        <v>819</v>
      </c>
      <c r="L230" t="e">
        <f>VLOOKUP(A230,#REF!,1,0)</f>
        <v>#REF!</v>
      </c>
      <c r="O230" s="793" t="e">
        <f t="shared" si="23"/>
        <v>#REF!</v>
      </c>
      <c r="P230" t="e">
        <f>VLOOKUP(A230,#REF!,5,0)</f>
        <v>#REF!</v>
      </c>
      <c r="Q230" s="793" t="e">
        <f t="shared" si="24"/>
        <v>#REF!</v>
      </c>
    </row>
    <row r="231" spans="1:17" ht="13.5" thickBot="1" x14ac:dyDescent="0.25">
      <c r="A231" s="768" t="s">
        <v>316</v>
      </c>
      <c r="B231" s="768" t="s">
        <v>720</v>
      </c>
      <c r="C231" s="768" t="s">
        <v>716</v>
      </c>
      <c r="D231" s="768" t="s">
        <v>717</v>
      </c>
      <c r="E231" s="769">
        <v>13700</v>
      </c>
      <c r="F231" s="770">
        <f>VLOOKUP(A231,Sheet2!A:F,6,0)</f>
        <v>14759</v>
      </c>
      <c r="G231" s="770">
        <f>VLOOKUP(A231,Sheet2!A:E,5,0)</f>
        <v>6870.54</v>
      </c>
      <c r="H231" s="770">
        <f>VLOOKUP(A231,Sheet2!A:C,3,0)</f>
        <v>4646.7</v>
      </c>
      <c r="I231" s="769">
        <f t="shared" si="27"/>
        <v>3241.76</v>
      </c>
      <c r="J231" t="e">
        <f>SUMIF(#REF!,'Datetel Feb 28, 2013'!A231,#REF!)</f>
        <v>#REF!</v>
      </c>
      <c r="K231" t="str">
        <f t="shared" si="26"/>
        <v>819</v>
      </c>
      <c r="L231" t="e">
        <f>VLOOKUP(A231,#REF!,1,0)</f>
        <v>#REF!</v>
      </c>
      <c r="O231" s="793" t="e">
        <f t="shared" si="23"/>
        <v>#REF!</v>
      </c>
      <c r="P231" t="e">
        <f>VLOOKUP(A231,#REF!,5,0)</f>
        <v>#REF!</v>
      </c>
      <c r="Q231" s="793" t="e">
        <f t="shared" si="24"/>
        <v>#REF!</v>
      </c>
    </row>
    <row r="232" spans="1:17" ht="13.5" thickBot="1" x14ac:dyDescent="0.25">
      <c r="A232" s="771" t="s">
        <v>314</v>
      </c>
      <c r="B232" s="771" t="s">
        <v>156</v>
      </c>
      <c r="C232" s="771" t="s">
        <v>716</v>
      </c>
      <c r="D232" s="771" t="s">
        <v>717</v>
      </c>
      <c r="E232" s="772">
        <v>38000</v>
      </c>
      <c r="F232" s="770">
        <f>VLOOKUP(A232,Sheet2!A:F,6,0)</f>
        <v>38000</v>
      </c>
      <c r="G232" s="770">
        <f>VLOOKUP(A232,Sheet2!A:E,5,0)</f>
        <v>19961.53</v>
      </c>
      <c r="H232" s="770">
        <f>VLOOKUP(A232,Sheet2!A:C,3,0)</f>
        <v>18038.47</v>
      </c>
      <c r="I232" s="769">
        <f t="shared" si="27"/>
        <v>0</v>
      </c>
      <c r="J232" t="e">
        <f>SUMIF(#REF!,'Datetel Feb 28, 2013'!A232,#REF!)</f>
        <v>#REF!</v>
      </c>
      <c r="K232" t="str">
        <f t="shared" si="26"/>
        <v>819</v>
      </c>
      <c r="L232" t="e">
        <f>VLOOKUP(A232,#REF!,1,0)</f>
        <v>#REF!</v>
      </c>
      <c r="O232" s="793" t="e">
        <f t="shared" si="23"/>
        <v>#REF!</v>
      </c>
      <c r="P232" t="e">
        <f>VLOOKUP(A232,#REF!,5,0)</f>
        <v>#REF!</v>
      </c>
      <c r="Q232" s="793" t="e">
        <f t="shared" si="24"/>
        <v>#REF!</v>
      </c>
    </row>
    <row r="233" spans="1:17" ht="13.5" thickBot="1" x14ac:dyDescent="0.25">
      <c r="A233" s="771" t="s">
        <v>146</v>
      </c>
      <c r="B233" s="771" t="s">
        <v>721</v>
      </c>
      <c r="C233" s="771" t="s">
        <v>722</v>
      </c>
      <c r="D233" s="771" t="s">
        <v>723</v>
      </c>
      <c r="E233" s="772">
        <v>7000</v>
      </c>
      <c r="F233" s="770">
        <f>VLOOKUP(A233,Sheet2!A:F,6,0)</f>
        <v>7000</v>
      </c>
      <c r="G233" s="770">
        <f>VLOOKUP(A233,Sheet2!A:E,5,0)</f>
        <v>3436.88</v>
      </c>
      <c r="H233" s="770">
        <f>VLOOKUP(A233,Sheet2!A:C,3,0)</f>
        <v>1563.12</v>
      </c>
      <c r="I233" s="769">
        <f t="shared" si="27"/>
        <v>2000</v>
      </c>
      <c r="J233" t="e">
        <f>SUMIF(#REF!,'Datetel Feb 28, 2013'!A233,#REF!)</f>
        <v>#REF!</v>
      </c>
      <c r="K233" t="str">
        <f t="shared" si="26"/>
        <v>819</v>
      </c>
      <c r="L233" t="e">
        <f>VLOOKUP(A233,#REF!,1,0)</f>
        <v>#REF!</v>
      </c>
      <c r="O233" s="793" t="e">
        <f t="shared" si="23"/>
        <v>#REF!</v>
      </c>
      <c r="P233" t="e">
        <f>VLOOKUP(A233,#REF!,5,0)</f>
        <v>#REF!</v>
      </c>
      <c r="Q233" s="793" t="e">
        <f t="shared" si="24"/>
        <v>#REF!</v>
      </c>
    </row>
    <row r="234" spans="1:17" ht="13.5" thickBot="1" x14ac:dyDescent="0.25">
      <c r="A234" s="771" t="s">
        <v>41</v>
      </c>
      <c r="B234" s="771" t="s">
        <v>721</v>
      </c>
      <c r="C234" s="771" t="s">
        <v>563</v>
      </c>
      <c r="D234" s="771" t="s">
        <v>723</v>
      </c>
      <c r="E234" s="772">
        <v>679644</v>
      </c>
      <c r="F234" s="770">
        <f>VLOOKUP(A234,Sheet2!A:F,6,0)</f>
        <v>679644</v>
      </c>
      <c r="G234" s="770">
        <f>VLOOKUP(A234,Sheet2!A:E,5,0)</f>
        <v>666156.87</v>
      </c>
      <c r="H234" s="770">
        <f>VLOOKUP(A234,Sheet2!A:C,3,0)</f>
        <v>0</v>
      </c>
      <c r="I234" s="769">
        <f t="shared" si="27"/>
        <v>13487.130000000005</v>
      </c>
      <c r="J234" t="e">
        <f>SUMIF(#REF!,'Datetel Feb 28, 2013'!A234,#REF!)</f>
        <v>#REF!</v>
      </c>
      <c r="K234" t="str">
        <f t="shared" si="26"/>
        <v>819</v>
      </c>
      <c r="L234" t="e">
        <f>VLOOKUP(A234,#REF!,1,0)</f>
        <v>#REF!</v>
      </c>
      <c r="O234" s="793" t="e">
        <f t="shared" si="23"/>
        <v>#REF!</v>
      </c>
      <c r="P234" t="e">
        <f>VLOOKUP(A234,#REF!,5,0)</f>
        <v>#REF!</v>
      </c>
      <c r="Q234" s="793" t="e">
        <f t="shared" si="24"/>
        <v>#REF!</v>
      </c>
    </row>
    <row r="235" spans="1:17" ht="13.5" thickBot="1" x14ac:dyDescent="0.25">
      <c r="A235" s="768" t="s">
        <v>811</v>
      </c>
      <c r="B235" s="768" t="s">
        <v>812</v>
      </c>
      <c r="C235" s="768" t="s">
        <v>621</v>
      </c>
      <c r="D235" s="768" t="s">
        <v>723</v>
      </c>
      <c r="E235" s="769">
        <v>21100</v>
      </c>
      <c r="F235" s="770">
        <f>VLOOKUP(A235,Sheet2!A:F,6,0)</f>
        <v>21100</v>
      </c>
      <c r="G235" s="770">
        <f>VLOOKUP(A235,Sheet2!A:E,5,0)</f>
        <v>6363.97</v>
      </c>
      <c r="H235" s="770">
        <f>VLOOKUP(A235,Sheet2!A:C,3,0)</f>
        <v>13536.03</v>
      </c>
      <c r="I235" s="769">
        <f t="shared" si="27"/>
        <v>1199.9999999999982</v>
      </c>
      <c r="J235" t="e">
        <f>SUMIF(#REF!,'Datetel Feb 28, 2013'!A235,#REF!)</f>
        <v>#REF!</v>
      </c>
      <c r="K235" t="str">
        <f t="shared" si="26"/>
        <v>819</v>
      </c>
      <c r="L235" t="e">
        <f>VLOOKUP(A235,#REF!,1,0)</f>
        <v>#REF!</v>
      </c>
      <c r="O235" s="793" t="e">
        <f t="shared" si="23"/>
        <v>#REF!</v>
      </c>
      <c r="P235" t="e">
        <f>VLOOKUP(A235,#REF!,5,0)</f>
        <v>#REF!</v>
      </c>
      <c r="Q235" s="793" t="e">
        <f t="shared" si="24"/>
        <v>#REF!</v>
      </c>
    </row>
    <row r="236" spans="1:17" ht="13.5" thickBot="1" x14ac:dyDescent="0.25">
      <c r="A236" s="768" t="s">
        <v>813</v>
      </c>
      <c r="B236" s="768" t="s">
        <v>812</v>
      </c>
      <c r="C236" s="768" t="s">
        <v>442</v>
      </c>
      <c r="D236" s="768" t="s">
        <v>723</v>
      </c>
      <c r="E236" s="769">
        <v>57000</v>
      </c>
      <c r="F236" s="770">
        <f>VLOOKUP(A236,Sheet2!A:F,6,0)</f>
        <v>57000</v>
      </c>
      <c r="G236" s="770">
        <f>VLOOKUP(A236,Sheet2!A:E,5,0)</f>
        <v>30692.23</v>
      </c>
      <c r="H236" s="770">
        <f>VLOOKUP(A236,Sheet2!A:C,3,0)</f>
        <v>20004.77</v>
      </c>
      <c r="I236" s="769">
        <f t="shared" si="27"/>
        <v>6303</v>
      </c>
      <c r="J236" t="e">
        <f>SUMIF(#REF!,'Datetel Feb 28, 2013'!A236,#REF!)</f>
        <v>#REF!</v>
      </c>
      <c r="K236" t="str">
        <f t="shared" ref="K236:K246" si="28">RIGHT(A236,3)</f>
        <v>819</v>
      </c>
      <c r="L236" t="e">
        <f>VLOOKUP(A236,#REF!,1,0)</f>
        <v>#REF!</v>
      </c>
      <c r="O236" s="793" t="e">
        <f t="shared" si="23"/>
        <v>#REF!</v>
      </c>
      <c r="P236" t="e">
        <f>VLOOKUP(A236,#REF!,5,0)</f>
        <v>#REF!</v>
      </c>
      <c r="Q236" s="793" t="e">
        <f t="shared" ref="Q236:Q261" si="29">H236-P236</f>
        <v>#REF!</v>
      </c>
    </row>
    <row r="237" spans="1:17" ht="13.5" thickBot="1" x14ac:dyDescent="0.25">
      <c r="A237" s="771" t="s">
        <v>44</v>
      </c>
      <c r="B237" s="771" t="s">
        <v>724</v>
      </c>
      <c r="C237" s="771" t="s">
        <v>621</v>
      </c>
      <c r="D237" s="771" t="s">
        <v>725</v>
      </c>
      <c r="E237" s="772">
        <v>48817</v>
      </c>
      <c r="F237" s="770">
        <f>VLOOKUP(A237,Sheet2!A:F,6,0)</f>
        <v>51538</v>
      </c>
      <c r="G237" s="770">
        <f>VLOOKUP(A237,Sheet2!A:E,5,0)</f>
        <v>18137.63</v>
      </c>
      <c r="H237" s="770">
        <f>VLOOKUP(A237,Sheet2!A:C,3,0)</f>
        <v>2751.94</v>
      </c>
      <c r="I237" s="769">
        <f t="shared" si="27"/>
        <v>30648.429999999997</v>
      </c>
      <c r="J237" t="e">
        <f>SUMIF(#REF!,'Datetel Feb 28, 2013'!A237,#REF!)</f>
        <v>#REF!</v>
      </c>
      <c r="K237" t="str">
        <f t="shared" si="28"/>
        <v>819</v>
      </c>
      <c r="L237" t="e">
        <f>VLOOKUP(A237,#REF!,1,0)</f>
        <v>#REF!</v>
      </c>
      <c r="O237" s="793" t="e">
        <f t="shared" ref="O237:O246" si="30">G237-J237</f>
        <v>#REF!</v>
      </c>
      <c r="P237" t="e">
        <f>VLOOKUP(A237,#REF!,5,0)</f>
        <v>#REF!</v>
      </c>
      <c r="Q237" s="793" t="e">
        <f t="shared" si="29"/>
        <v>#REF!</v>
      </c>
    </row>
    <row r="238" spans="1:17" ht="13.5" thickBot="1" x14ac:dyDescent="0.25">
      <c r="A238" s="768" t="s">
        <v>420</v>
      </c>
      <c r="B238" s="768" t="s">
        <v>724</v>
      </c>
      <c r="C238" s="768" t="s">
        <v>451</v>
      </c>
      <c r="D238" s="768" t="s">
        <v>725</v>
      </c>
      <c r="E238" s="769">
        <v>219443</v>
      </c>
      <c r="F238" s="770">
        <f>VLOOKUP(A238,Sheet2!A:F,6,0)</f>
        <v>219443</v>
      </c>
      <c r="G238" s="770">
        <f>VLOOKUP(A238,Sheet2!A:E,5,0)</f>
        <v>187245.28</v>
      </c>
      <c r="H238" s="770">
        <f>VLOOKUP(A238,Sheet2!A:C,3,0)</f>
        <v>6260.25</v>
      </c>
      <c r="I238" s="769">
        <f t="shared" si="27"/>
        <v>25937.47</v>
      </c>
      <c r="J238" t="e">
        <f>SUMIF(#REF!,'Datetel Feb 28, 2013'!A238,#REF!)</f>
        <v>#REF!</v>
      </c>
      <c r="K238" t="str">
        <f t="shared" si="28"/>
        <v>819</v>
      </c>
      <c r="L238" t="e">
        <f>VLOOKUP(A238,#REF!,1,0)</f>
        <v>#REF!</v>
      </c>
      <c r="O238" s="793" t="e">
        <f t="shared" si="30"/>
        <v>#REF!</v>
      </c>
      <c r="P238" t="e">
        <f>VLOOKUP(A238,#REF!,5,0)</f>
        <v>#REF!</v>
      </c>
      <c r="Q238" s="793" t="e">
        <f t="shared" si="29"/>
        <v>#REF!</v>
      </c>
    </row>
    <row r="239" spans="1:17" s="813" customFormat="1" ht="13.5" thickBot="1" x14ac:dyDescent="0.25">
      <c r="A239" s="814" t="s">
        <v>47</v>
      </c>
      <c r="B239" s="814" t="s">
        <v>724</v>
      </c>
      <c r="C239" s="814" t="s">
        <v>469</v>
      </c>
      <c r="D239" s="814" t="s">
        <v>725</v>
      </c>
      <c r="E239" s="815">
        <v>855979</v>
      </c>
      <c r="F239" s="770">
        <f>VLOOKUP(A239,Sheet2!A:F,6,0)</f>
        <v>862996</v>
      </c>
      <c r="G239" s="770">
        <f>VLOOKUP(A239,Sheet2!A:E,5,0)</f>
        <v>799558.73</v>
      </c>
      <c r="H239" s="770">
        <f>VLOOKUP(A239,Sheet2!A:C,3,0)</f>
        <v>52.14</v>
      </c>
      <c r="I239" s="769">
        <f t="shared" si="27"/>
        <v>63385.130000000019</v>
      </c>
      <c r="J239" t="e">
        <f>SUMIF(#REF!,'Datetel Feb 28, 2013'!A239,#REF!)</f>
        <v>#REF!</v>
      </c>
      <c r="K239" s="813" t="str">
        <f t="shared" si="28"/>
        <v>819</v>
      </c>
      <c r="L239" s="813" t="e">
        <f>VLOOKUP(A239,#REF!,1,0)</f>
        <v>#REF!</v>
      </c>
      <c r="O239" s="793" t="e">
        <f t="shared" si="30"/>
        <v>#REF!</v>
      </c>
      <c r="P239" t="e">
        <f>VLOOKUP(A239,#REF!,5,0)</f>
        <v>#REF!</v>
      </c>
      <c r="Q239" s="793" t="e">
        <f t="shared" si="29"/>
        <v>#REF!</v>
      </c>
    </row>
    <row r="240" spans="1:17" ht="13.5" thickBot="1" x14ac:dyDescent="0.25">
      <c r="A240" s="771" t="s">
        <v>48</v>
      </c>
      <c r="B240" s="771" t="s">
        <v>724</v>
      </c>
      <c r="C240" s="771" t="s">
        <v>727</v>
      </c>
      <c r="D240" s="771" t="s">
        <v>725</v>
      </c>
      <c r="E240" s="772">
        <v>50000</v>
      </c>
      <c r="F240" s="770">
        <f>VLOOKUP(A240,Sheet2!A:F,6,0)</f>
        <v>50000</v>
      </c>
      <c r="G240" s="770">
        <f>VLOOKUP(A240,Sheet2!A:E,5,0)</f>
        <v>18687.14</v>
      </c>
      <c r="H240" s="770">
        <f>VLOOKUP(A240,Sheet2!A:C,3,0)</f>
        <v>16585.759999999998</v>
      </c>
      <c r="I240" s="769">
        <f>F240-G240-H240</f>
        <v>14727.100000000002</v>
      </c>
      <c r="J240" t="e">
        <f>SUMIF(#REF!,'Datetel Feb 28, 2013'!A240,#REF!)</f>
        <v>#REF!</v>
      </c>
      <c r="K240" t="str">
        <f>RIGHT(A240,3)</f>
        <v>819</v>
      </c>
      <c r="L240" t="e">
        <f>VLOOKUP(A240,#REF!,1,0)</f>
        <v>#REF!</v>
      </c>
      <c r="O240" s="793" t="e">
        <f>G240-J240</f>
        <v>#REF!</v>
      </c>
      <c r="P240" t="e">
        <f>VLOOKUP(A240,#REF!,5,0)</f>
        <v>#REF!</v>
      </c>
      <c r="Q240" s="793" t="e">
        <f t="shared" si="29"/>
        <v>#REF!</v>
      </c>
    </row>
    <row r="241" spans="1:17" ht="13.5" thickBot="1" x14ac:dyDescent="0.25">
      <c r="A241" s="768" t="s">
        <v>50</v>
      </c>
      <c r="B241" s="768" t="s">
        <v>729</v>
      </c>
      <c r="C241" s="768" t="s">
        <v>730</v>
      </c>
      <c r="D241" s="768" t="s">
        <v>725</v>
      </c>
      <c r="E241" s="769">
        <v>157118</v>
      </c>
      <c r="F241" s="770">
        <f>VLOOKUP(A241,Sheet2!A:F,6,0)</f>
        <v>157118</v>
      </c>
      <c r="G241" s="770">
        <f>VLOOKUP(A241,Sheet2!A:E,5,0)</f>
        <v>94557.34</v>
      </c>
      <c r="H241" s="770">
        <f>VLOOKUP(A241,Sheet2!A:C,3,0)</f>
        <v>60442.66</v>
      </c>
      <c r="I241" s="769">
        <f t="shared" si="27"/>
        <v>2118</v>
      </c>
      <c r="J241" t="e">
        <f>SUMIF(#REF!,'Datetel Feb 28, 2013'!A241,#REF!)</f>
        <v>#REF!</v>
      </c>
      <c r="K241" t="str">
        <f t="shared" si="28"/>
        <v>819</v>
      </c>
      <c r="L241" t="e">
        <f>VLOOKUP(A241,#REF!,1,0)</f>
        <v>#REF!</v>
      </c>
      <c r="O241" s="793" t="e">
        <f t="shared" si="30"/>
        <v>#REF!</v>
      </c>
      <c r="P241" t="e">
        <f>VLOOKUP(A241,#REF!,5,0)</f>
        <v>#REF!</v>
      </c>
      <c r="Q241" s="793" t="e">
        <f t="shared" si="29"/>
        <v>#REF!</v>
      </c>
    </row>
    <row r="242" spans="1:17" ht="13.5" thickBot="1" x14ac:dyDescent="0.25">
      <c r="A242" s="768" t="s">
        <v>51</v>
      </c>
      <c r="B242" s="768" t="s">
        <v>729</v>
      </c>
      <c r="C242" s="768" t="s">
        <v>731</v>
      </c>
      <c r="D242" s="768" t="s">
        <v>725</v>
      </c>
      <c r="E242" s="769">
        <v>52000</v>
      </c>
      <c r="F242" s="770">
        <f>VLOOKUP(A242,Sheet2!A:F,6,0)</f>
        <v>54361</v>
      </c>
      <c r="G242" s="770">
        <f>VLOOKUP(A242,Sheet2!A:E,5,0)</f>
        <v>23644.57</v>
      </c>
      <c r="H242" s="770">
        <f>VLOOKUP(A242,Sheet2!A:C,3,0)</f>
        <v>29948.43</v>
      </c>
      <c r="I242" s="769">
        <f t="shared" si="27"/>
        <v>768</v>
      </c>
      <c r="J242" t="e">
        <f>SUMIF(#REF!,'Datetel Feb 28, 2013'!A242,#REF!)</f>
        <v>#REF!</v>
      </c>
      <c r="K242" t="str">
        <f t="shared" si="28"/>
        <v>819</v>
      </c>
      <c r="L242" t="e">
        <f>VLOOKUP(A242,#REF!,1,0)</f>
        <v>#REF!</v>
      </c>
      <c r="O242" s="793" t="e">
        <f t="shared" si="30"/>
        <v>#REF!</v>
      </c>
      <c r="P242" t="e">
        <f>VLOOKUP(A242,#REF!,5,0)</f>
        <v>#REF!</v>
      </c>
      <c r="Q242" s="793" t="e">
        <f t="shared" si="29"/>
        <v>#REF!</v>
      </c>
    </row>
    <row r="243" spans="1:17" ht="13.5" thickBot="1" x14ac:dyDescent="0.25">
      <c r="A243" s="771" t="s">
        <v>53</v>
      </c>
      <c r="B243" s="771" t="s">
        <v>732</v>
      </c>
      <c r="C243" s="771" t="s">
        <v>442</v>
      </c>
      <c r="D243" s="771" t="s">
        <v>733</v>
      </c>
      <c r="E243" s="772">
        <v>380073</v>
      </c>
      <c r="F243" s="770">
        <f>VLOOKUP(A243,Sheet2!A:F,6,0)-F251</f>
        <v>380073</v>
      </c>
      <c r="G243" s="770">
        <f>VLOOKUP(A243,Sheet2!A:E,5,0)-G251</f>
        <v>224365.05</v>
      </c>
      <c r="H243" s="770">
        <f>VLOOKUP(A243,Sheet2!A:C,3,0)</f>
        <v>142747.93</v>
      </c>
      <c r="I243" s="769">
        <f t="shared" si="27"/>
        <v>12960.020000000019</v>
      </c>
      <c r="J243" t="e">
        <f>SUMIF(#REF!,'Datetel Feb 28, 2013'!A243,#REF!)</f>
        <v>#REF!</v>
      </c>
      <c r="K243" t="str">
        <f t="shared" si="28"/>
        <v>819</v>
      </c>
      <c r="L243" t="e">
        <f>VLOOKUP(A243,#REF!,1,0)</f>
        <v>#REF!</v>
      </c>
      <c r="O243" s="793" t="e">
        <f t="shared" si="30"/>
        <v>#REF!</v>
      </c>
      <c r="P243" t="e">
        <f>VLOOKUP(A243,#REF!,5,0)</f>
        <v>#REF!</v>
      </c>
      <c r="Q243" s="793" t="e">
        <f t="shared" si="29"/>
        <v>#REF!</v>
      </c>
    </row>
    <row r="244" spans="1:17" ht="13.5" thickBot="1" x14ac:dyDescent="0.25">
      <c r="A244" s="771" t="s">
        <v>54</v>
      </c>
      <c r="B244" s="771" t="s">
        <v>732</v>
      </c>
      <c r="C244" s="771" t="s">
        <v>55</v>
      </c>
      <c r="D244" s="771" t="s">
        <v>733</v>
      </c>
      <c r="E244" s="772">
        <v>60000</v>
      </c>
      <c r="F244" s="770">
        <f>VLOOKUP(A244,Sheet2!A:F,6,0)</f>
        <v>60000</v>
      </c>
      <c r="G244" s="770">
        <f>VLOOKUP(A244,Sheet2!A:E,5,0)</f>
        <v>41525.839999999997</v>
      </c>
      <c r="H244" s="770">
        <f>VLOOKUP(A244,Sheet2!A:C,3,0)</f>
        <v>18474.16</v>
      </c>
      <c r="I244" s="769">
        <f t="shared" si="27"/>
        <v>0</v>
      </c>
      <c r="J244" t="e">
        <f>SUMIF(#REF!,'Datetel Feb 28, 2013'!A244,#REF!)</f>
        <v>#REF!</v>
      </c>
      <c r="K244" t="str">
        <f t="shared" si="28"/>
        <v>819</v>
      </c>
      <c r="L244" t="e">
        <f>VLOOKUP(A244,#REF!,1,0)</f>
        <v>#REF!</v>
      </c>
      <c r="O244" s="793" t="e">
        <f t="shared" si="30"/>
        <v>#REF!</v>
      </c>
      <c r="P244" t="e">
        <f>VLOOKUP(A244,#REF!,5,0)</f>
        <v>#REF!</v>
      </c>
      <c r="Q244" s="793" t="e">
        <f t="shared" si="29"/>
        <v>#REF!</v>
      </c>
    </row>
    <row r="245" spans="1:17" ht="13.5" thickBot="1" x14ac:dyDescent="0.25">
      <c r="A245" s="768" t="s">
        <v>56</v>
      </c>
      <c r="B245" s="768" t="s">
        <v>734</v>
      </c>
      <c r="C245" s="768" t="s">
        <v>621</v>
      </c>
      <c r="D245" s="768" t="s">
        <v>733</v>
      </c>
      <c r="E245" s="769">
        <v>0</v>
      </c>
      <c r="F245" s="770">
        <f>VLOOKUP(A245,Sheet2!A:F,6,0)</f>
        <v>0</v>
      </c>
      <c r="G245" s="770">
        <f>VLOOKUP(A245,Sheet2!A:E,5,0)</f>
        <v>0</v>
      </c>
      <c r="H245" s="770">
        <f>VLOOKUP(A245,Sheet2!A:C,3,0)</f>
        <v>0</v>
      </c>
      <c r="I245" s="769">
        <f t="shared" si="27"/>
        <v>0</v>
      </c>
      <c r="J245" t="e">
        <f>SUMIF(#REF!,'Datetel Feb 28, 2013'!A245,#REF!)</f>
        <v>#REF!</v>
      </c>
      <c r="K245" t="str">
        <f t="shared" si="28"/>
        <v>819</v>
      </c>
      <c r="L245" t="e">
        <f>VLOOKUP(A245,#REF!,1,0)</f>
        <v>#REF!</v>
      </c>
      <c r="O245" s="793" t="e">
        <f t="shared" si="30"/>
        <v>#REF!</v>
      </c>
      <c r="P245" t="e">
        <f>VLOOKUP(A245,#REF!,5,0)</f>
        <v>#REF!</v>
      </c>
      <c r="Q245" s="793" t="e">
        <f t="shared" si="29"/>
        <v>#REF!</v>
      </c>
    </row>
    <row r="246" spans="1:17" ht="13.5" thickBot="1" x14ac:dyDescent="0.25">
      <c r="A246" s="768" t="s">
        <v>57</v>
      </c>
      <c r="B246" s="768" t="s">
        <v>734</v>
      </c>
      <c r="C246" s="768" t="s">
        <v>442</v>
      </c>
      <c r="D246" s="768" t="s">
        <v>733</v>
      </c>
      <c r="E246" s="769">
        <v>0</v>
      </c>
      <c r="F246" s="770">
        <f>VLOOKUP(A246,Sheet2!A:F,6,0)</f>
        <v>0</v>
      </c>
      <c r="G246" s="770">
        <f>VLOOKUP(A246,Sheet2!A:E,5,0)</f>
        <v>0</v>
      </c>
      <c r="H246" s="770">
        <f>VLOOKUP(A246,Sheet2!A:C,3,0)</f>
        <v>0</v>
      </c>
      <c r="I246" s="769">
        <f t="shared" si="27"/>
        <v>0</v>
      </c>
      <c r="J246" t="e">
        <f>SUMIF(#REF!,'Datetel Feb 28, 2013'!A246,#REF!)</f>
        <v>#REF!</v>
      </c>
      <c r="K246" t="str">
        <f t="shared" si="28"/>
        <v>819</v>
      </c>
      <c r="L246" t="e">
        <f>VLOOKUP(A246,#REF!,1,0)</f>
        <v>#REF!</v>
      </c>
      <c r="O246" s="793" t="e">
        <f t="shared" si="30"/>
        <v>#REF!</v>
      </c>
      <c r="P246" t="e">
        <f>VLOOKUP(A246,#REF!,5,0)</f>
        <v>#REF!</v>
      </c>
      <c r="Q246" s="793" t="e">
        <f t="shared" si="29"/>
        <v>#REF!</v>
      </c>
    </row>
    <row r="247" spans="1:17" ht="12.75" customHeight="1" thickBot="1" x14ac:dyDescent="0.25">
      <c r="D247" s="893" t="s">
        <v>989</v>
      </c>
      <c r="E247" s="891">
        <f>SUM(E171:E246)</f>
        <v>14829787</v>
      </c>
      <c r="F247" s="891">
        <f t="shared" ref="F247:I247" si="31">SUM(F171:F246)</f>
        <v>14795174</v>
      </c>
      <c r="G247" s="891">
        <f t="shared" si="31"/>
        <v>9034492.7500000019</v>
      </c>
      <c r="H247" s="891">
        <f t="shared" si="31"/>
        <v>540245.82000000007</v>
      </c>
      <c r="I247" s="891">
        <f t="shared" si="31"/>
        <v>5220435.4299999978</v>
      </c>
      <c r="L247" t="e">
        <f>VLOOKUP(A247,#REF!,1,0)</f>
        <v>#REF!</v>
      </c>
      <c r="P247" t="e">
        <f>VLOOKUP(A247,#REF!,5,0)</f>
        <v>#REF!</v>
      </c>
      <c r="Q247" s="793" t="e">
        <f t="shared" si="29"/>
        <v>#REF!</v>
      </c>
    </row>
    <row r="248" spans="1:17" ht="13.5" thickBot="1" x14ac:dyDescent="0.25">
      <c r="A248" s="771" t="s">
        <v>45</v>
      </c>
      <c r="B248" s="771" t="s">
        <v>724</v>
      </c>
      <c r="C248" s="771" t="s">
        <v>726</v>
      </c>
      <c r="D248" s="771" t="s">
        <v>725</v>
      </c>
      <c r="E248" s="772">
        <v>0</v>
      </c>
      <c r="F248" s="770">
        <f>VLOOKUP(A248,Sheet2!A:F,6,0)</f>
        <v>21217</v>
      </c>
      <c r="G248" s="770">
        <f>VLOOKUP(A248,Sheet2!A:E,5,0)</f>
        <v>21217.3</v>
      </c>
      <c r="H248" s="770">
        <f>VLOOKUP(A248,Sheet2!A:C,3,0)</f>
        <v>0</v>
      </c>
      <c r="I248" s="769">
        <f>F248-G248-H248</f>
        <v>-0.2999999999992724</v>
      </c>
      <c r="J248" t="e">
        <f>SUMIF(#REF!,'Datetel Feb 28, 2013'!A248,#REF!)</f>
        <v>#REF!</v>
      </c>
      <c r="K248" t="str">
        <f>RIGHT(A248,3)</f>
        <v>819</v>
      </c>
      <c r="L248" t="e">
        <f>VLOOKUP(A248,#REF!,1,0)</f>
        <v>#REF!</v>
      </c>
      <c r="O248" s="793" t="e">
        <f>G248-J248</f>
        <v>#REF!</v>
      </c>
      <c r="P248" t="e">
        <f>VLOOKUP(A248,#REF!,5,0)</f>
        <v>#REF!</v>
      </c>
      <c r="Q248" s="793" t="e">
        <f t="shared" si="29"/>
        <v>#REF!</v>
      </c>
    </row>
    <row r="249" spans="1:17" ht="13.5" thickBot="1" x14ac:dyDescent="0.25">
      <c r="A249" s="771" t="s">
        <v>49</v>
      </c>
      <c r="B249" s="771" t="s">
        <v>728</v>
      </c>
      <c r="C249" s="771" t="s">
        <v>469</v>
      </c>
      <c r="D249" s="771" t="s">
        <v>725</v>
      </c>
      <c r="E249" s="772">
        <v>0</v>
      </c>
      <c r="F249" s="770">
        <f>VLOOKUP(A249,Sheet2!A:F,6,0)</f>
        <v>14521</v>
      </c>
      <c r="G249" s="770">
        <f>VLOOKUP(A249,Sheet2!A:E,5,0)</f>
        <v>14519.89</v>
      </c>
      <c r="H249" s="770">
        <f>VLOOKUP(A249,Sheet2!A:C,3,0)</f>
        <v>0</v>
      </c>
      <c r="I249" s="769">
        <f>F249-G249-H249</f>
        <v>1.1100000000005821</v>
      </c>
      <c r="J249" t="e">
        <f>SUMIF(#REF!,'Datetel Feb 28, 2013'!A249,#REF!)</f>
        <v>#REF!</v>
      </c>
      <c r="K249" t="str">
        <f>RIGHT(A249,3)</f>
        <v>819</v>
      </c>
      <c r="L249" t="e">
        <f>VLOOKUP(A249,#REF!,1,0)</f>
        <v>#REF!</v>
      </c>
      <c r="O249" s="793" t="e">
        <f>G249-J249</f>
        <v>#REF!</v>
      </c>
      <c r="P249" t="e">
        <f>VLOOKUP(A249,#REF!,5,0)</f>
        <v>#REF!</v>
      </c>
      <c r="Q249" s="793" t="e">
        <f t="shared" si="29"/>
        <v>#REF!</v>
      </c>
    </row>
    <row r="250" spans="1:17" ht="13.5" thickBot="1" x14ac:dyDescent="0.25">
      <c r="A250" s="771" t="s">
        <v>52</v>
      </c>
      <c r="B250" s="771" t="s">
        <v>729</v>
      </c>
      <c r="C250" s="771" t="s">
        <v>469</v>
      </c>
      <c r="D250" s="771" t="s">
        <v>725</v>
      </c>
      <c r="E250" s="772">
        <v>0</v>
      </c>
      <c r="F250" s="770">
        <f>VLOOKUP(A250,Sheet2!A:F,6,0)</f>
        <v>3928</v>
      </c>
      <c r="G250" s="770">
        <f>VLOOKUP(A250,Sheet2!A:E,5,0)</f>
        <v>3928.5</v>
      </c>
      <c r="H250" s="770">
        <f>VLOOKUP(A250,Sheet2!A:C,3,0)</f>
        <v>0</v>
      </c>
      <c r="I250" s="769">
        <f>F250-G250-H250</f>
        <v>-0.5</v>
      </c>
      <c r="J250" t="e">
        <f>SUMIF(#REF!,'Datetel Feb 28, 2013'!A250,#REF!)</f>
        <v>#REF!</v>
      </c>
      <c r="K250" t="str">
        <f>RIGHT(A250,3)</f>
        <v>819</v>
      </c>
      <c r="L250" t="e">
        <f>VLOOKUP(A250,#REF!,1,0)</f>
        <v>#REF!</v>
      </c>
      <c r="O250" s="793" t="e">
        <f>G250-J250</f>
        <v>#REF!</v>
      </c>
      <c r="P250" t="e">
        <f>VLOOKUP(A250,#REF!,5,0)</f>
        <v>#REF!</v>
      </c>
      <c r="Q250" s="793" t="e">
        <f t="shared" si="29"/>
        <v>#REF!</v>
      </c>
    </row>
    <row r="251" spans="1:17" ht="13.5" thickBot="1" x14ac:dyDescent="0.25">
      <c r="A251" s="771" t="s">
        <v>53</v>
      </c>
      <c r="B251" s="771" t="s">
        <v>732</v>
      </c>
      <c r="C251" s="771" t="s">
        <v>442</v>
      </c>
      <c r="D251" s="771" t="s">
        <v>733</v>
      </c>
      <c r="E251" s="772"/>
      <c r="F251" s="770">
        <f>3600+551</f>
        <v>4151</v>
      </c>
      <c r="G251" s="770">
        <f>3599.83+550.67</f>
        <v>4150.5</v>
      </c>
      <c r="H251" s="770"/>
      <c r="I251" s="769"/>
      <c r="J251" t="e">
        <f>SUMIF(#REF!,'Datetel Feb 28, 2013'!A251,#REF!)</f>
        <v>#REF!</v>
      </c>
      <c r="K251" t="str">
        <f t="shared" ref="K251" si="32">RIGHT(A251,3)</f>
        <v>819</v>
      </c>
      <c r="L251" t="e">
        <f>VLOOKUP(A251,#REF!,1,0)</f>
        <v>#REF!</v>
      </c>
      <c r="O251" s="793" t="e">
        <f t="shared" ref="O251" si="33">G251-J251</f>
        <v>#REF!</v>
      </c>
      <c r="P251" t="e">
        <f>VLOOKUP(A251,#REF!,5,0)</f>
        <v>#REF!</v>
      </c>
      <c r="Q251" s="793" t="e">
        <f t="shared" si="29"/>
        <v>#REF!</v>
      </c>
    </row>
    <row r="252" spans="1:17" ht="13.5" thickBot="1" x14ac:dyDescent="0.25">
      <c r="A252" s="771" t="s">
        <v>43</v>
      </c>
      <c r="B252" s="771" t="s">
        <v>724</v>
      </c>
      <c r="C252" s="771" t="s">
        <v>451</v>
      </c>
      <c r="D252" s="771" t="s">
        <v>725</v>
      </c>
      <c r="E252" s="772">
        <v>0</v>
      </c>
      <c r="F252" s="770">
        <f>VLOOKUP(A252,Sheet2!A:F,6,0)</f>
        <v>55264</v>
      </c>
      <c r="G252" s="770">
        <f>VLOOKUP(A252,Sheet2!A:E,5,0)</f>
        <v>55263.55</v>
      </c>
      <c r="H252" s="770">
        <f>VLOOKUP(A252,Sheet2!A:C,3,0)</f>
        <v>0</v>
      </c>
      <c r="I252" s="769">
        <f>F252-G252-H252</f>
        <v>0.44999999999708962</v>
      </c>
      <c r="J252" t="e">
        <f>SUMIF(#REF!,'Datetel Feb 28, 2013'!A252,#REF!)</f>
        <v>#REF!</v>
      </c>
      <c r="K252" t="str">
        <f>RIGHT(A252,3)</f>
        <v>819</v>
      </c>
      <c r="L252" t="e">
        <f>VLOOKUP(A252,#REF!,1,0)</f>
        <v>#REF!</v>
      </c>
      <c r="O252" s="793" t="e">
        <f>G252-J252</f>
        <v>#REF!</v>
      </c>
      <c r="P252" t="e">
        <f>VLOOKUP(A252,#REF!,5,0)</f>
        <v>#REF!</v>
      </c>
      <c r="Q252" s="793" t="e">
        <f t="shared" si="29"/>
        <v>#REF!</v>
      </c>
    </row>
    <row r="253" spans="1:17" x14ac:dyDescent="0.2">
      <c r="A253" s="794"/>
      <c r="B253" s="794"/>
      <c r="C253" s="794"/>
      <c r="D253" s="894" t="s">
        <v>990</v>
      </c>
      <c r="E253" s="895">
        <f>SUM(E248:E252)</f>
        <v>0</v>
      </c>
      <c r="F253" s="895">
        <f t="shared" ref="F253:I253" si="34">SUM(F248:F252)</f>
        <v>99081</v>
      </c>
      <c r="G253" s="895">
        <f>SUM(G248:G252)</f>
        <v>99079.74</v>
      </c>
      <c r="H253" s="895">
        <f t="shared" si="34"/>
        <v>0</v>
      </c>
      <c r="I253" s="895">
        <f t="shared" si="34"/>
        <v>0.75999999999839929</v>
      </c>
      <c r="O253" s="793"/>
      <c r="P253" t="e">
        <f>VLOOKUP(A253,#REF!,5,0)</f>
        <v>#REF!</v>
      </c>
      <c r="Q253" s="793" t="e">
        <f t="shared" si="29"/>
        <v>#REF!</v>
      </c>
    </row>
    <row r="254" spans="1:17" ht="12.75" customHeight="1" x14ac:dyDescent="0.2">
      <c r="E254" s="793">
        <f>E247+E170</f>
        <v>14777787</v>
      </c>
      <c r="F254" s="793">
        <f>F170+F247+F253</f>
        <v>14842255</v>
      </c>
      <c r="G254" s="793">
        <f t="shared" ref="G254:I254" si="35">G170+G247+G253</f>
        <v>9273286.1900000013</v>
      </c>
      <c r="H254" s="793">
        <f t="shared" si="35"/>
        <v>540245.82000000007</v>
      </c>
      <c r="I254" s="793">
        <f t="shared" si="35"/>
        <v>5537963.1499999976</v>
      </c>
      <c r="L254" t="e">
        <f>VLOOKUP(A254,#REF!,1,0)</f>
        <v>#REF!</v>
      </c>
      <c r="P254" t="e">
        <f>VLOOKUP(A254,#REF!,5,0)</f>
        <v>#REF!</v>
      </c>
      <c r="Q254" s="793" t="e">
        <f t="shared" si="29"/>
        <v>#REF!</v>
      </c>
    </row>
    <row r="255" spans="1:17" ht="12.75" customHeight="1" x14ac:dyDescent="0.2">
      <c r="L255" t="e">
        <f>VLOOKUP(A255,#REF!,1,0)</f>
        <v>#REF!</v>
      </c>
      <c r="P255" t="e">
        <f>VLOOKUP(A255,#REF!,5,0)</f>
        <v>#REF!</v>
      </c>
      <c r="Q255" s="793" t="e">
        <f t="shared" si="29"/>
        <v>#REF!</v>
      </c>
    </row>
    <row r="256" spans="1:17" ht="12.75" customHeight="1" x14ac:dyDescent="0.2">
      <c r="E256" s="891">
        <f>E127+E166+E254</f>
        <v>16609837</v>
      </c>
      <c r="F256" s="891">
        <f>F80+F162+F247</f>
        <v>16575224</v>
      </c>
      <c r="G256" s="891">
        <f t="shared" ref="G256:I256" si="36">G80+G162+G247</f>
        <v>9893282.7700000014</v>
      </c>
      <c r="H256" s="891">
        <f t="shared" si="36"/>
        <v>548148.46000000008</v>
      </c>
      <c r="I256" s="891">
        <f t="shared" si="36"/>
        <v>6133792.7699999977</v>
      </c>
      <c r="P256" t="e">
        <f>VLOOKUP(A256,#REF!,5,0)</f>
        <v>#REF!</v>
      </c>
      <c r="Q256" s="793" t="e">
        <f t="shared" si="29"/>
        <v>#REF!</v>
      </c>
    </row>
    <row r="257" spans="5:17" ht="12.75" customHeight="1" x14ac:dyDescent="0.2">
      <c r="E257" s="888" t="e">
        <f>#REF!</f>
        <v>#REF!</v>
      </c>
      <c r="F257" s="888" t="e">
        <f>#REF!</f>
        <v>#REF!</v>
      </c>
      <c r="G257" s="888" t="e">
        <f>#REF!</f>
        <v>#REF!</v>
      </c>
      <c r="H257" s="888" t="e">
        <f>#REF!</f>
        <v>#REF!</v>
      </c>
      <c r="I257" s="888" t="e">
        <f>#REF!</f>
        <v>#REF!</v>
      </c>
      <c r="L257" t="e">
        <f>VLOOKUP(A257,#REF!,1,0)</f>
        <v>#REF!</v>
      </c>
      <c r="P257" t="e">
        <f>VLOOKUP(A257,#REF!,5,0)</f>
        <v>#REF!</v>
      </c>
      <c r="Q257" s="793" t="e">
        <f t="shared" si="29"/>
        <v>#REF!</v>
      </c>
    </row>
    <row r="258" spans="5:17" ht="12.75" customHeight="1" x14ac:dyDescent="0.2">
      <c r="F258" s="869" t="e">
        <f>F256-F257</f>
        <v>#REF!</v>
      </c>
      <c r="G258" s="869" t="e">
        <f t="shared" ref="G258:I258" si="37">G256-G257</f>
        <v>#REF!</v>
      </c>
      <c r="H258" s="869" t="e">
        <f t="shared" si="37"/>
        <v>#REF!</v>
      </c>
      <c r="I258" s="869" t="e">
        <f t="shared" si="37"/>
        <v>#REF!</v>
      </c>
      <c r="L258" t="e">
        <f>VLOOKUP(A258,#REF!,1,0)</f>
        <v>#REF!</v>
      </c>
      <c r="P258" t="e">
        <f>VLOOKUP(A258,#REF!,5,0)</f>
        <v>#REF!</v>
      </c>
      <c r="Q258" s="793" t="e">
        <f t="shared" si="29"/>
        <v>#REF!</v>
      </c>
    </row>
    <row r="259" spans="5:17" ht="12.75" customHeight="1" x14ac:dyDescent="0.2">
      <c r="E259" s="793"/>
      <c r="F259" s="793"/>
      <c r="G259" s="793"/>
      <c r="H259" s="793"/>
      <c r="I259" s="793"/>
      <c r="L259" t="e">
        <f>VLOOKUP(A259,#REF!,1,0)</f>
        <v>#REF!</v>
      </c>
      <c r="P259" t="e">
        <f>VLOOKUP(A259,#REF!,5,0)</f>
        <v>#REF!</v>
      </c>
      <c r="Q259" s="793" t="e">
        <f t="shared" si="29"/>
        <v>#REF!</v>
      </c>
    </row>
    <row r="260" spans="5:17" ht="12.75" customHeight="1" x14ac:dyDescent="0.2">
      <c r="P260" t="e">
        <f>VLOOKUP(A260,#REF!,5,0)</f>
        <v>#REF!</v>
      </c>
      <c r="Q260" s="793" t="e">
        <f t="shared" si="29"/>
        <v>#REF!</v>
      </c>
    </row>
    <row r="261" spans="5:17" ht="12.75" customHeight="1" x14ac:dyDescent="0.2">
      <c r="P261" t="e">
        <f>VLOOKUP(A261,#REF!,5,0)</f>
        <v>#REF!</v>
      </c>
      <c r="Q261" s="793" t="e">
        <f t="shared" si="29"/>
        <v>#REF!</v>
      </c>
    </row>
    <row r="262" spans="5:17" ht="12.75" customHeight="1" x14ac:dyDescent="0.2">
      <c r="F262" s="888">
        <v>16998148</v>
      </c>
      <c r="G262" s="888">
        <v>8910454.0199999996</v>
      </c>
      <c r="H262" s="888">
        <v>845435.06</v>
      </c>
      <c r="I262" s="888">
        <v>7242258.9199999999</v>
      </c>
      <c r="J262" s="888"/>
    </row>
    <row r="263" spans="5:17" ht="12.75" customHeight="1" x14ac:dyDescent="0.25">
      <c r="F263" s="887" t="s">
        <v>940</v>
      </c>
      <c r="G263" s="887" t="s">
        <v>939</v>
      </c>
      <c r="H263" s="887" t="s">
        <v>937</v>
      </c>
      <c r="I263" s="887" t="s">
        <v>124</v>
      </c>
    </row>
    <row r="265" spans="5:17" ht="12.75" customHeight="1" x14ac:dyDescent="0.2">
      <c r="F265" s="869">
        <f>F259-F262</f>
        <v>-16998148</v>
      </c>
      <c r="G265" s="869">
        <f t="shared" ref="G265:I265" si="38">G259-G262</f>
        <v>-8910454.0199999996</v>
      </c>
      <c r="H265" s="869">
        <f t="shared" si="38"/>
        <v>-845435.06</v>
      </c>
      <c r="I265" s="869">
        <f t="shared" si="38"/>
        <v>-7242258.9199999999</v>
      </c>
    </row>
    <row r="267" spans="5:17" ht="12.75" customHeight="1" x14ac:dyDescent="0.2">
      <c r="F267" t="e">
        <f>#REF!</f>
        <v>#REF!</v>
      </c>
      <c r="G267" t="e">
        <f>#REF!</f>
        <v>#REF!</v>
      </c>
      <c r="H267" t="e">
        <f>#REF!</f>
        <v>#REF!</v>
      </c>
      <c r="I267" t="e">
        <f>#REF!</f>
        <v>#REF!</v>
      </c>
    </row>
    <row r="268" spans="5:17" ht="12.75" customHeight="1" x14ac:dyDescent="0.2">
      <c r="F268" s="793" t="e">
        <f>F247-F267</f>
        <v>#REF!</v>
      </c>
      <c r="G268" s="793" t="e">
        <f t="shared" ref="G268:J268" si="39">G247-G267</f>
        <v>#REF!</v>
      </c>
      <c r="H268" s="793" t="e">
        <f t="shared" si="39"/>
        <v>#REF!</v>
      </c>
      <c r="I268" s="793" t="e">
        <f t="shared" si="39"/>
        <v>#REF!</v>
      </c>
      <c r="J268" s="793">
        <f t="shared" si="39"/>
        <v>0</v>
      </c>
    </row>
  </sheetData>
  <sortState ref="A42:XFD120">
    <sortCondition ref="C42:C120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7</vt:i4>
      </vt:variant>
    </vt:vector>
  </HeadingPairs>
  <TitlesOfParts>
    <vt:vector size="20" baseType="lpstr">
      <vt:lpstr>1415T 022414</vt:lpstr>
      <vt:lpstr>1314A 071013</vt:lpstr>
      <vt:lpstr>1314T 032913</vt:lpstr>
      <vt:lpstr>1213A 080212</vt:lpstr>
      <vt:lpstr>1213T 031712</vt:lpstr>
      <vt:lpstr>1112Adopt</vt:lpstr>
      <vt:lpstr>Datetel Jul 10, 2013</vt:lpstr>
      <vt:lpstr>Sheet2</vt:lpstr>
      <vt:lpstr>Sheet3</vt:lpstr>
      <vt:lpstr>cognos as of Aug 2</vt:lpstr>
      <vt:lpstr>Sheet4</vt:lpstr>
      <vt:lpstr>Sheet1</vt:lpstr>
      <vt:lpstr>Datetel Feb 28, 2013</vt:lpstr>
      <vt:lpstr>'1112Adopt'!Print_Area</vt:lpstr>
      <vt:lpstr>'1213A 080212'!Print_Area</vt:lpstr>
      <vt:lpstr>'1213T 031712'!Print_Area</vt:lpstr>
      <vt:lpstr>'1314A 071013'!Print_Area</vt:lpstr>
      <vt:lpstr>'1314T 032913'!Print_Area</vt:lpstr>
      <vt:lpstr>'1415T 022414'!Print_Area</vt:lpstr>
      <vt:lpstr>'1112Adopt'!Print_Titles</vt:lpstr>
    </vt:vector>
  </TitlesOfParts>
  <Company>Cognos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Chim</dc:creator>
  <cp:lastModifiedBy>Rick Bennett</cp:lastModifiedBy>
  <cp:lastPrinted>2014-03-12T23:38:04Z</cp:lastPrinted>
  <dcterms:created xsi:type="dcterms:W3CDTF">2011-02-24T19:38:42Z</dcterms:created>
  <dcterms:modified xsi:type="dcterms:W3CDTF">2014-03-13T23:30:55Z</dcterms:modified>
</cp:coreProperties>
</file>