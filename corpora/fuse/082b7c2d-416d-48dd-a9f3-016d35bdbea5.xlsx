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" yWindow="6576" windowWidth="18720" windowHeight="2100" tabRatio="938" activeTab="1"/>
  </bookViews>
  <sheets>
    <sheet name="1-Instructions" sheetId="13" r:id="rId1"/>
    <sheet name="2-Cover Page" sheetId="2" r:id="rId2"/>
    <sheet name="3-Budget Detail" sheetId="3" r:id="rId3"/>
    <sheet name="4-Equipment" sheetId="4" r:id="rId4"/>
    <sheet name="5-Budget Summary" sheetId="5" r:id="rId5"/>
    <sheet name="6- AFR Detail" sheetId="18" r:id="rId6"/>
    <sheet name="7-AFR Equipment Detail" sheetId="19" r:id="rId7"/>
    <sheet name="8-Annual Financial Report" sheetId="17" r:id="rId8"/>
    <sheet name="9-Error Checking" sheetId="8" r:id="rId9"/>
    <sheet name="10-Revisions-Comments" sheetId="12" r:id="rId10"/>
    <sheet name="Indirect Rates" sheetId="20" state="hidden" r:id="rId11"/>
    <sheet name="Other" sheetId="11" r:id="rId12"/>
  </sheets>
  <externalReferences>
    <externalReference r:id="rId13"/>
    <externalReference r:id="rId14"/>
    <externalReference r:id="rId15"/>
    <externalReference r:id="rId16"/>
    <externalReference r:id="rId17"/>
  </externalReferences>
  <definedNames>
    <definedName name="Budget" localSheetId="7">'[1]List Data'!$A$1:$A$2</definedName>
    <definedName name="budget" localSheetId="10">[2]Other!$A$1:$A$4</definedName>
    <definedName name="budget">Other!$A$1:$A$2</definedName>
    <definedName name="Budget_Object">'3-Budget Detail'!$A$6:$A$500</definedName>
    <definedName name="capitalized">Other!$D$17:$D$18</definedName>
    <definedName name="coverpage">'[3]2-Cover Page'!$C$4</definedName>
    <definedName name="detailcode" localSheetId="7">'[4]Calculation Detail'!$E$6:$E$500</definedName>
    <definedName name="detailcode">#REF!</definedName>
    <definedName name="detailcost" localSheetId="7">'[4]Calculation Detail'!$C$6:$C$500</definedName>
    <definedName name="detailcost">#REF!</definedName>
    <definedName name="equipmentcost">#REF!</definedName>
    <definedName name="fundingyear">#REF!</definedName>
    <definedName name="Look1" localSheetId="10">#REF!</definedName>
    <definedName name="Look1">'[5]7-Rate Table'!$A$2:$D$67</definedName>
    <definedName name="Objects" localSheetId="7">'[1]List Data'!$C$1:$C$8</definedName>
    <definedName name="objects" localSheetId="10">[2]Other!$D$1:$D$12</definedName>
    <definedName name="objects">Other!$D$1:$D$14</definedName>
    <definedName name="_xlnm.Print_Area" localSheetId="1">'2-Cover Page'!$A$1:$G$29</definedName>
    <definedName name="_xlnm.Print_Area" localSheetId="4">'5-Budget Summary'!$A$1:$Z$34</definedName>
    <definedName name="_xlnm.Print_Area" localSheetId="7">'8-Annual Financial Report'!$A$1:$I$42</definedName>
    <definedName name="_xlnm.Print_Titles" localSheetId="2">'3-Budget Detail'!$1:$5</definedName>
    <definedName name="_xlnm.Print_Titles" localSheetId="3">'4-Equipment'!$1:$5</definedName>
    <definedName name="Program">'[1]List Data'!$C$11:$C$12</definedName>
    <definedName name="Programs">#REF!</definedName>
    <definedName name="Projects" localSheetId="10">[2]Other!$A$5:$A$14</definedName>
    <definedName name="Projects">Other!$A$5:$A$9</definedName>
    <definedName name="years" localSheetId="10">[3]Other!$A$5</definedName>
    <definedName name="years">[5]Other!$A$5:$A$7</definedName>
  </definedNames>
  <calcPr calcId="145621"/>
</workbook>
</file>

<file path=xl/calcChain.xml><?xml version="1.0" encoding="utf-8"?>
<calcChain xmlns="http://schemas.openxmlformats.org/spreadsheetml/2006/main">
  <c r="C8" i="5" l="1"/>
  <c r="A1" i="12" l="1"/>
  <c r="C1" i="12"/>
  <c r="B2" i="8"/>
  <c r="F5" i="8"/>
  <c r="C10" i="8"/>
  <c r="C11" i="8"/>
  <c r="C6" i="17"/>
  <c r="E13" i="17"/>
  <c r="E14" i="17"/>
  <c r="E15" i="17"/>
  <c r="E16" i="17"/>
  <c r="E17" i="17"/>
  <c r="E18" i="17"/>
  <c r="E19" i="17"/>
  <c r="E20" i="17" s="1"/>
  <c r="E22" i="17"/>
  <c r="E23" i="17"/>
  <c r="E24" i="17"/>
  <c r="E25" i="17"/>
  <c r="E26" i="17"/>
  <c r="E27" i="17"/>
  <c r="E28" i="17"/>
  <c r="E31" i="17"/>
  <c r="E32" i="17"/>
  <c r="A3" i="19"/>
  <c r="F3" i="19"/>
  <c r="A3" i="18"/>
  <c r="D3" i="18"/>
  <c r="A4" i="5"/>
  <c r="C4" i="5"/>
  <c r="C10" i="5" a="1"/>
  <c r="C10" i="5" s="1"/>
  <c r="C11" i="5" a="1"/>
  <c r="C11" i="5" s="1"/>
  <c r="D14" i="17" s="1"/>
  <c r="C12" i="5" a="1"/>
  <c r="C12" i="5" s="1"/>
  <c r="D15" i="17" s="1"/>
  <c r="C13" i="5" a="1"/>
  <c r="C13" i="5" s="1"/>
  <c r="D16" i="17" s="1"/>
  <c r="C14" i="5" a="1"/>
  <c r="C14" i="5" s="1"/>
  <c r="D17" i="17" s="1"/>
  <c r="C15" i="5" a="1"/>
  <c r="C15" i="5" s="1"/>
  <c r="D18" i="17" s="1"/>
  <c r="C16" i="5" a="1"/>
  <c r="C16" i="5" s="1"/>
  <c r="D19" i="17" s="1"/>
  <c r="C20" i="5" a="1"/>
  <c r="C20" i="5" s="1"/>
  <c r="D22" i="17" s="1"/>
  <c r="C21" i="5" a="1"/>
  <c r="C21" i="5" s="1"/>
  <c r="D23" i="17" s="1"/>
  <c r="C22" i="5" a="1"/>
  <c r="C22" i="5" s="1"/>
  <c r="D24" i="17" s="1"/>
  <c r="C23" i="5" a="1"/>
  <c r="C23" i="5" s="1"/>
  <c r="D25" i="17" s="1"/>
  <c r="C24" i="5" a="1"/>
  <c r="C24" i="5" s="1"/>
  <c r="D26" i="17" s="1"/>
  <c r="C25" i="5" a="1"/>
  <c r="C25" i="5" s="1"/>
  <c r="D27" i="17" s="1"/>
  <c r="C26" i="5" a="1"/>
  <c r="C26" i="5" s="1"/>
  <c r="C32" i="5"/>
  <c r="C33" i="5"/>
  <c r="D32" i="17" s="1"/>
  <c r="A3" i="4"/>
  <c r="G3" i="4"/>
  <c r="A1" i="3"/>
  <c r="A1" i="4" s="1"/>
  <c r="A1" i="5" s="1"/>
  <c r="A1" i="18" s="1"/>
  <c r="A1" i="19" s="1"/>
  <c r="A1" i="17" s="1"/>
  <c r="A3" i="3"/>
  <c r="E3" i="3"/>
  <c r="C7" i="2"/>
  <c r="C5" i="17" s="1"/>
  <c r="D11" i="8" l="1"/>
  <c r="E11" i="8" s="1"/>
  <c r="C12" i="8"/>
  <c r="E29" i="17"/>
  <c r="E33" i="17" s="1"/>
  <c r="D31" i="17"/>
  <c r="C27" i="5"/>
  <c r="D28" i="17"/>
  <c r="D29" i="17" s="1"/>
  <c r="D13" i="17"/>
  <c r="D20" i="17" s="1"/>
  <c r="C17" i="5"/>
  <c r="D10" i="8" l="1"/>
  <c r="D12" i="8" s="1"/>
  <c r="E12" i="8" s="1"/>
  <c r="C28" i="5"/>
  <c r="E10" i="8" l="1"/>
  <c r="C30" i="5"/>
  <c r="D30" i="17" s="1"/>
  <c r="D33" i="17" s="1"/>
  <c r="C34" i="5" l="1"/>
</calcChain>
</file>

<file path=xl/comments1.xml><?xml version="1.0" encoding="utf-8"?>
<comments xmlns="http://schemas.openxmlformats.org/spreadsheetml/2006/main">
  <authors>
    <author>Diana Martinez</author>
  </authors>
  <commentList>
    <comment ref="C11" authorId="0">
      <text>
        <r>
          <rPr>
            <sz val="8"/>
            <color indexed="81"/>
            <rFont val="Tahoma"/>
            <family val="2"/>
          </rPr>
          <t xml:space="preserve">Enter date as shown in the following example:
(March 05, 2013)
</t>
        </r>
      </text>
    </comment>
  </commentList>
</comments>
</file>

<file path=xl/comments2.xml><?xml version="1.0" encoding="utf-8"?>
<comments xmlns="http://schemas.openxmlformats.org/spreadsheetml/2006/main">
  <authors>
    <author>Diana Martinez</author>
  </authors>
  <commentList>
    <comment ref="A5" authorId="0">
      <text>
        <r>
          <rPr>
            <b/>
            <u/>
            <sz val="8"/>
            <color indexed="81"/>
            <rFont val="Tahoma"/>
            <family val="2"/>
          </rPr>
          <t xml:space="preserve">Budget Object:
</t>
        </r>
        <r>
          <rPr>
            <b/>
            <i/>
            <sz val="8"/>
            <color indexed="81"/>
            <rFont val="Tahoma"/>
            <family val="2"/>
          </rPr>
          <t>Instructional Program:</t>
        </r>
        <r>
          <rPr>
            <sz val="8"/>
            <color indexed="81"/>
            <rFont val="Tahoma"/>
            <family val="2"/>
          </rPr>
          <t xml:space="preserve">
Salaries (0100)
Employee Benefits (0200)
Purchased Professional &amp; Technical Services (0300)
Other Purchased Services (0500)
Travel, Registration, and Entrance (0580)
Supplies (0600)
</t>
        </r>
        <r>
          <rPr>
            <b/>
            <i/>
            <sz val="8"/>
            <color indexed="81"/>
            <rFont val="Tahoma"/>
            <family val="2"/>
          </rPr>
          <t>Support Program</t>
        </r>
        <r>
          <rPr>
            <sz val="8"/>
            <color indexed="81"/>
            <rFont val="Tahoma"/>
            <family val="2"/>
          </rPr>
          <t>:
Salaries (0100)
Employee Benefits (0200)
Purchased Professional &amp; Technical Services (0300)
Other Purchased Services (0500)
Travel, Registration, and Entrance (0580)
Supplies (0600)</t>
        </r>
      </text>
    </comment>
    <comment ref="C5" authorId="0">
      <text>
        <r>
          <rPr>
            <b/>
            <sz val="8"/>
            <color indexed="81"/>
            <rFont val="Tahoma"/>
            <family val="2"/>
          </rPr>
          <t xml:space="preserve">Show whole dollars only
</t>
        </r>
      </text>
    </comment>
    <comment ref="D5" authorId="0">
      <text>
        <r>
          <rPr>
            <sz val="8"/>
            <color indexed="81"/>
            <rFont val="Tahoma"/>
            <family val="2"/>
          </rPr>
          <t xml:space="preserve">Provide a detailed description of the budgeted costs.  Be very specific.
</t>
        </r>
      </text>
    </comment>
  </commentList>
</comments>
</file>

<file path=xl/comments3.xml><?xml version="1.0" encoding="utf-8"?>
<comments xmlns="http://schemas.openxmlformats.org/spreadsheetml/2006/main">
  <authors>
    <author>Diana Martinez</author>
  </authors>
  <commentList>
    <comment ref="C5" authorId="0">
      <text>
        <r>
          <rPr>
            <sz val="8"/>
            <color indexed="81"/>
            <rFont val="Tahoma"/>
            <family val="2"/>
          </rPr>
          <t xml:space="preserve">This field is optional.  You may use this to keep track of equipment acquired from this grant and fill in the date acquired after the purchase of the equipment.
</t>
        </r>
      </text>
    </comment>
  </commentList>
</comments>
</file>

<file path=xl/comments4.xml><?xml version="1.0" encoding="utf-8"?>
<comments xmlns="http://schemas.openxmlformats.org/spreadsheetml/2006/main">
  <authors>
    <author>petrov_m</author>
  </authors>
  <commentList>
    <comment ref="C29" authorId="0">
      <text>
        <r>
          <rPr>
            <b/>
            <sz val="8"/>
            <color indexed="81"/>
            <rFont val="Tahoma"/>
            <family val="2"/>
          </rPr>
          <t>Input your Indirect Cost rate as a percentage ex. 4.5%</t>
        </r>
      </text>
    </comment>
    <comment ref="C31" authorId="0">
      <text>
        <r>
          <rPr>
            <b/>
            <sz val="8"/>
            <color indexed="81"/>
            <rFont val="Tahoma"/>
            <family val="2"/>
          </rPr>
          <t>Use to override the Indirect Cost from Line 19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Diana Martinez</author>
  </authors>
  <commentList>
    <comment ref="A5" authorId="0">
      <text>
        <r>
          <rPr>
            <b/>
            <u/>
            <sz val="8"/>
            <color indexed="81"/>
            <rFont val="Tahoma"/>
            <family val="2"/>
          </rPr>
          <t xml:space="preserve">Budget Object:
</t>
        </r>
        <r>
          <rPr>
            <b/>
            <i/>
            <sz val="8"/>
            <color indexed="81"/>
            <rFont val="Tahoma"/>
            <family val="2"/>
          </rPr>
          <t>Instructional Program:</t>
        </r>
        <r>
          <rPr>
            <sz val="8"/>
            <color indexed="81"/>
            <rFont val="Tahoma"/>
            <family val="2"/>
          </rPr>
          <t xml:space="preserve">
Salaries (0100)
Employee Benefits (0200)
Purchased Professional &amp; Technical Services (0300)
Other Purchased Services (0500)
Travel, Registration, and Entrance (0580)
Supplies (0600)
</t>
        </r>
        <r>
          <rPr>
            <b/>
            <i/>
            <sz val="8"/>
            <color indexed="81"/>
            <rFont val="Tahoma"/>
            <family val="2"/>
          </rPr>
          <t>Support Program</t>
        </r>
        <r>
          <rPr>
            <sz val="8"/>
            <color indexed="81"/>
            <rFont val="Tahoma"/>
            <family val="2"/>
          </rPr>
          <t>:
Salaries (0100)
Employee Benefits (0200)
Purchased Professional &amp; Technical Services (0300)
Other Purchased Services (0500)
Travel, Registration, and Entrance (0580)
Supplies (0600)</t>
        </r>
      </text>
    </comment>
    <comment ref="B5" authorId="0">
      <text>
        <r>
          <rPr>
            <b/>
            <sz val="8"/>
            <color indexed="81"/>
            <rFont val="Tahoma"/>
            <family val="2"/>
          </rPr>
          <t xml:space="preserve">Show whole dollars only
</t>
        </r>
      </text>
    </comment>
    <comment ref="C5" authorId="0">
      <text>
        <r>
          <rPr>
            <b/>
            <sz val="8"/>
            <color indexed="81"/>
            <rFont val="Tahoma"/>
            <family val="2"/>
          </rPr>
          <t>Provide a detailed description of the budgeted costs.  Be very specific.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Diana Martinez</author>
  </authors>
  <commentList>
    <comment ref="C5" authorId="0">
      <text>
        <r>
          <rPr>
            <sz val="8"/>
            <color indexed="81"/>
            <rFont val="Tahoma"/>
            <family val="2"/>
          </rPr>
          <t xml:space="preserve">This field is optional.  You may use this to keep track of equipment acquired from this grant and fill in the date acquired after the purchase of the equipment.
</t>
        </r>
      </text>
    </comment>
  </commentList>
</comments>
</file>

<file path=xl/comments7.xml><?xml version="1.0" encoding="utf-8"?>
<comments xmlns="http://schemas.openxmlformats.org/spreadsheetml/2006/main">
  <authors>
    <author>williams_a</author>
  </authors>
  <commentList>
    <comment ref="E189" authorId="0">
      <text>
        <r>
          <rPr>
            <b/>
            <sz val="8"/>
            <color indexed="81"/>
            <rFont val="Tahoma"/>
            <family val="2"/>
          </rPr>
          <t>williams_a:</t>
        </r>
        <r>
          <rPr>
            <sz val="8"/>
            <color indexed="81"/>
            <rFont val="Tahoma"/>
            <family val="2"/>
          </rPr>
          <t xml:space="preserve">
Merged rate
</t>
        </r>
      </text>
    </comment>
    <comment ref="F189" authorId="0">
      <text>
        <r>
          <rPr>
            <b/>
            <sz val="8"/>
            <color indexed="81"/>
            <rFont val="Tahoma"/>
            <family val="2"/>
          </rPr>
          <t>williams_a:</t>
        </r>
        <r>
          <rPr>
            <sz val="8"/>
            <color indexed="81"/>
            <rFont val="Tahoma"/>
            <family val="2"/>
          </rPr>
          <t xml:space="preserve">
Merged rate
</t>
        </r>
      </text>
    </comment>
  </commentList>
</comments>
</file>

<file path=xl/sharedStrings.xml><?xml version="1.0" encoding="utf-8"?>
<sst xmlns="http://schemas.openxmlformats.org/spreadsheetml/2006/main" count="575" uniqueCount="412">
  <si>
    <t>Original Budget</t>
  </si>
  <si>
    <t>Revision number:</t>
  </si>
  <si>
    <t>Date:</t>
  </si>
  <si>
    <t>Name:</t>
  </si>
  <si>
    <t>Phone No.:</t>
  </si>
  <si>
    <t>E-mail:</t>
  </si>
  <si>
    <t>BUDGET DETAIL</t>
  </si>
  <si>
    <t>Cost</t>
  </si>
  <si>
    <t>Inst. - Salaries (0100)</t>
  </si>
  <si>
    <t>Inst. - Employee Benefits (0200)</t>
  </si>
  <si>
    <t>Inst. - Purchased Professional &amp; Technical Services (0300)</t>
  </si>
  <si>
    <t>Project 1-Year 2</t>
  </si>
  <si>
    <t>Project 2-Year 2</t>
  </si>
  <si>
    <t>Inst. - Supplies (0600)</t>
  </si>
  <si>
    <t>Project 1-Year 3</t>
  </si>
  <si>
    <t>Inst. - Travel, Registration and Entrance (0580)</t>
  </si>
  <si>
    <t>Project 5-Year 3</t>
  </si>
  <si>
    <t>Inst. - Other Purchased Services (0500)</t>
  </si>
  <si>
    <t>Project 4-Year 3</t>
  </si>
  <si>
    <t>Project 3-Year 2</t>
  </si>
  <si>
    <t>Project 4-Year 2</t>
  </si>
  <si>
    <t>Project 5-Year 2</t>
  </si>
  <si>
    <t>Project 2-Year 3</t>
  </si>
  <si>
    <t>Project 3-Year 3</t>
  </si>
  <si>
    <t>Revised Budget</t>
  </si>
  <si>
    <t>EQUIPMENT REQUEST AND INVENTORY</t>
  </si>
  <si>
    <t>Description of item</t>
  </si>
  <si>
    <t>Serial
Number</t>
  </si>
  <si>
    <t>Date
Acquired</t>
  </si>
  <si>
    <t>Actual Cost</t>
  </si>
  <si>
    <t>Describe Use of Equipment</t>
  </si>
  <si>
    <t>Total</t>
  </si>
  <si>
    <t>Salaries (0100)</t>
  </si>
  <si>
    <t>Employee Benefits (0200)</t>
  </si>
  <si>
    <t>Purchased Professional &amp; Technical Services (0300)</t>
  </si>
  <si>
    <t>Other Purchased Services (0500)</t>
  </si>
  <si>
    <t>Travel, Registration, and Entrance (0580)</t>
  </si>
  <si>
    <t>Supplies (0600)</t>
  </si>
  <si>
    <t>Subtotal-Instructional Program</t>
  </si>
  <si>
    <t>SUPPORT PROGRAM</t>
  </si>
  <si>
    <t>Subtotal- Support Program</t>
  </si>
  <si>
    <t>Error Checking</t>
  </si>
  <si>
    <t>Detail Sheets</t>
  </si>
  <si>
    <t>5-Budget Summary</t>
  </si>
  <si>
    <t>3-Budget Detail</t>
  </si>
  <si>
    <t>4-Equipment</t>
  </si>
  <si>
    <t>If the subtotals do not equal each other, the most likely problem is on the</t>
  </si>
  <si>
    <t>detail sheet.  All required entries may not have been entered.</t>
  </si>
  <si>
    <t>Budget Report:</t>
  </si>
  <si>
    <t>INSTRUCTIONAL PROGRAM</t>
  </si>
  <si>
    <t>Description/Budget Narrative</t>
  </si>
  <si>
    <t>Use this sheet to report any revisions to the original Budget submitted</t>
  </si>
  <si>
    <r>
      <t xml:space="preserve">This page must be completed when submitting a revised budget.   Start with the original electronic budget submitted and make corrections on the </t>
    </r>
    <r>
      <rPr>
        <b/>
        <sz val="10"/>
        <rFont val="Arial"/>
        <family val="2"/>
      </rPr>
      <t>“3-Budget Detail”</t>
    </r>
    <r>
      <rPr>
        <sz val="10"/>
        <rFont val="Arial"/>
        <family val="2"/>
      </rPr>
      <t xml:space="preserve"> and the </t>
    </r>
    <r>
      <rPr>
        <b/>
        <sz val="10"/>
        <rFont val="Arial"/>
        <family val="2"/>
      </rPr>
      <t>“4-Equipment”</t>
    </r>
    <r>
      <rPr>
        <sz val="10"/>
        <rFont val="Arial"/>
        <family val="2"/>
      </rPr>
      <t xml:space="preserve"> pages as appropriate.  On this page, describe in detail the changes/revisions, the reason for the revisions, etc.    </t>
    </r>
    <r>
      <rPr>
        <b/>
        <sz val="10"/>
        <rFont val="Arial"/>
        <family val="2"/>
      </rPr>
      <t xml:space="preserve">Don’t forget to make the appropriate changes on the “2-Cover Page”.   It is important that you mark revision in the budget report box; mark the revision number, and also enter the revision date.  </t>
    </r>
  </si>
  <si>
    <t>Expected Date of Completion</t>
  </si>
  <si>
    <t>Expected Date
of Completion</t>
  </si>
  <si>
    <t>Support - Supplies (0600)</t>
  </si>
  <si>
    <t>Support - Travel, Registration and Entrance (0580)</t>
  </si>
  <si>
    <t>Support - Other Purchased Services (0500)</t>
  </si>
  <si>
    <t>Support - Purchased Professional &amp; Technical Services (0300)</t>
  </si>
  <si>
    <t>Support - Employee Benefits (0200)</t>
  </si>
  <si>
    <t>Support - Salaries (0100)</t>
  </si>
  <si>
    <t>Elizabeth C-1</t>
  </si>
  <si>
    <t>Project 1-Year 4</t>
  </si>
  <si>
    <t>Project 2-Year 4</t>
  </si>
  <si>
    <t>Project 3-Year 4</t>
  </si>
  <si>
    <t>Project 4-Year 4</t>
  </si>
  <si>
    <t>Project 5-Year 4</t>
  </si>
  <si>
    <t>Project 1-Year 5</t>
  </si>
  <si>
    <t>Project 2-Year 5</t>
  </si>
  <si>
    <t>Project 3-Year 5</t>
  </si>
  <si>
    <t>Project 4-Year 5</t>
  </si>
  <si>
    <t>Project 5-Year 5</t>
  </si>
  <si>
    <t>Disctrict Code</t>
  </si>
  <si>
    <t>County</t>
  </si>
  <si>
    <t>District Name</t>
  </si>
  <si>
    <t>Adams</t>
  </si>
  <si>
    <t>Mapleton Public Schools</t>
  </si>
  <si>
    <t>Adams 12 Five Star Schools</t>
  </si>
  <si>
    <t>Adams County 14</t>
  </si>
  <si>
    <t>Brighton 27J</t>
  </si>
  <si>
    <t>Bennett 29J</t>
  </si>
  <si>
    <t>Strasburg 31J</t>
  </si>
  <si>
    <t>Westminster 50</t>
  </si>
  <si>
    <t>Alamosa</t>
  </si>
  <si>
    <t>Alamosa RE 11J</t>
  </si>
  <si>
    <t>Sangre De Cristo RE-22J</t>
  </si>
  <si>
    <t>Arapahoe</t>
  </si>
  <si>
    <t>Englewood 1</t>
  </si>
  <si>
    <t>Sheridan 2</t>
  </si>
  <si>
    <t>Cherry Creek 5</t>
  </si>
  <si>
    <t>Littleton 6</t>
  </si>
  <si>
    <t>Deer Trail 26J</t>
  </si>
  <si>
    <t>Adams-Arapahoe 28 J</t>
  </si>
  <si>
    <t>Byers 32J</t>
  </si>
  <si>
    <t>Archuleta</t>
  </si>
  <si>
    <t>Archuleta County 50 JT</t>
  </si>
  <si>
    <t>Baca</t>
  </si>
  <si>
    <t>Walsh RE-1</t>
  </si>
  <si>
    <t>Pritchett Re-3</t>
  </si>
  <si>
    <t>Springfield RE-4</t>
  </si>
  <si>
    <t>Vilas School District RE-5</t>
  </si>
  <si>
    <t>Campo RE-6</t>
  </si>
  <si>
    <t>Bent</t>
  </si>
  <si>
    <t>Las Animas RE-1</t>
  </si>
  <si>
    <t>McClave RE-2</t>
  </si>
  <si>
    <t>Boulder</t>
  </si>
  <si>
    <t>St Vrain Valley RE-1J</t>
  </si>
  <si>
    <t>Boulder Valley RE 2</t>
  </si>
  <si>
    <t>Chaffee</t>
  </si>
  <si>
    <t>Buena Vista R-31</t>
  </si>
  <si>
    <t>Salida R 32 (J)</t>
  </si>
  <si>
    <t>Cheyenne</t>
  </si>
  <si>
    <t>Kit Carson R-1</t>
  </si>
  <si>
    <t>Cheyenne RE-5</t>
  </si>
  <si>
    <t>Clear Creek</t>
  </si>
  <si>
    <t>Clear Creek RE-1</t>
  </si>
  <si>
    <t>Conejos</t>
  </si>
  <si>
    <t>North Conejos RE-1J</t>
  </si>
  <si>
    <t>Sanford 6J</t>
  </si>
  <si>
    <t>South Conejos RE-10</t>
  </si>
  <si>
    <t>Costilla</t>
  </si>
  <si>
    <t>Centennial R-1</t>
  </si>
  <si>
    <t>Sierra Grande R-30</t>
  </si>
  <si>
    <t>Crowley</t>
  </si>
  <si>
    <t>Crowley County RE-1-J</t>
  </si>
  <si>
    <t>Custer</t>
  </si>
  <si>
    <t>Custer County C-1</t>
  </si>
  <si>
    <t>Delta</t>
  </si>
  <si>
    <t>Delta County 50 (J)</t>
  </si>
  <si>
    <t>Denver</t>
  </si>
  <si>
    <t>Denver County 1</t>
  </si>
  <si>
    <t>Dolores</t>
  </si>
  <si>
    <t>Dolores RE NO 2</t>
  </si>
  <si>
    <t>Douglas</t>
  </si>
  <si>
    <t>Douglas County RE-1</t>
  </si>
  <si>
    <t>Eagle</t>
  </si>
  <si>
    <t>Eagle County RE-50</t>
  </si>
  <si>
    <t>Elbert</t>
  </si>
  <si>
    <t>Kiowa C-2</t>
  </si>
  <si>
    <t>Big Sandy 100J</t>
  </si>
  <si>
    <t>Elbert 200</t>
  </si>
  <si>
    <t>Agate 300</t>
  </si>
  <si>
    <t>El Paso</t>
  </si>
  <si>
    <t>Calhan RJ1</t>
  </si>
  <si>
    <t>Harrison 2</t>
  </si>
  <si>
    <t>Widefield 3</t>
  </si>
  <si>
    <t>Fountain 8</t>
  </si>
  <si>
    <t>Colorado Springs 11</t>
  </si>
  <si>
    <t>Cheyenne Mountain 12</t>
  </si>
  <si>
    <t>Manitou Springs 14</t>
  </si>
  <si>
    <t>Academy 20</t>
  </si>
  <si>
    <t>Ellicott SD #22</t>
  </si>
  <si>
    <t>Peyton 23 JT</t>
  </si>
  <si>
    <t>Hanover 28</t>
  </si>
  <si>
    <t>Lewis Palmer 38</t>
  </si>
  <si>
    <t>Falcon 49</t>
  </si>
  <si>
    <t>Edison 54 JT</t>
  </si>
  <si>
    <t>Miami-Yoder 60</t>
  </si>
  <si>
    <t>Fremont</t>
  </si>
  <si>
    <t>Canon City RE-1</t>
  </si>
  <si>
    <t>Cotopaxi RE-3</t>
  </si>
  <si>
    <t>Garfield</t>
  </si>
  <si>
    <t>Roaring Fork RE-1 (Parachute)</t>
  </si>
  <si>
    <t>Garfield RE-2 (Rifle)</t>
  </si>
  <si>
    <t>Garfield 16</t>
  </si>
  <si>
    <t>Gilpin</t>
  </si>
  <si>
    <t>Gilpin County Re-1</t>
  </si>
  <si>
    <t>Grand</t>
  </si>
  <si>
    <t>West Grand School 1-JT</t>
  </si>
  <si>
    <t>East Grand No 2</t>
  </si>
  <si>
    <t>Gunnison</t>
  </si>
  <si>
    <t>Gunnison Watershed RE-1J</t>
  </si>
  <si>
    <t>Hinsdale</t>
  </si>
  <si>
    <t>Hinsdale County RE-1</t>
  </si>
  <si>
    <t>Huerfano</t>
  </si>
  <si>
    <t>Huerfano RE-1</t>
  </si>
  <si>
    <t>La Veta RE-2</t>
  </si>
  <si>
    <t>Jackson</t>
  </si>
  <si>
    <t>North Park R-1</t>
  </si>
  <si>
    <t>Jefferson</t>
  </si>
  <si>
    <t>Jefferson R-1</t>
  </si>
  <si>
    <t>Kiowa</t>
  </si>
  <si>
    <t>Eads RE-1</t>
  </si>
  <si>
    <t>Plainview RE-2</t>
  </si>
  <si>
    <t>Kit Carson</t>
  </si>
  <si>
    <t>Arriba-Flagler C-20</t>
  </si>
  <si>
    <t>Hi Plains R-23</t>
  </si>
  <si>
    <t>Stratton R-4</t>
  </si>
  <si>
    <t>Bethune R-5</t>
  </si>
  <si>
    <t>Burlington RE-6J</t>
  </si>
  <si>
    <t>Lake</t>
  </si>
  <si>
    <t>Lake County R-1</t>
  </si>
  <si>
    <t>La Plata</t>
  </si>
  <si>
    <t>Durango 9-R</t>
  </si>
  <si>
    <t>Bayfield</t>
  </si>
  <si>
    <t>Ignacio 11 JT</t>
  </si>
  <si>
    <t>Larimer</t>
  </si>
  <si>
    <t>Poudre R-1</t>
  </si>
  <si>
    <t>Thompson R-2J</t>
  </si>
  <si>
    <t>Park (Estes Park) R-3</t>
  </si>
  <si>
    <t>Las Animas</t>
  </si>
  <si>
    <t>Trinidad 1</t>
  </si>
  <si>
    <t>Primero Reorganized RE-2</t>
  </si>
  <si>
    <t>Hoehne Reorganized 3</t>
  </si>
  <si>
    <t>Aguilar Reorganized 6</t>
  </si>
  <si>
    <t>Branson Reorganized 82</t>
  </si>
  <si>
    <t>Kim Reorganized 88</t>
  </si>
  <si>
    <t>Lincoln</t>
  </si>
  <si>
    <t>Genoa-Hugo C-113</t>
  </si>
  <si>
    <t>Limon RE 4J</t>
  </si>
  <si>
    <t>Karval RE-23</t>
  </si>
  <si>
    <t>Logan</t>
  </si>
  <si>
    <t>Valley RE-1</t>
  </si>
  <si>
    <t>Frenchman RE-3</t>
  </si>
  <si>
    <t>Plateau RE-5</t>
  </si>
  <si>
    <t>Mesa</t>
  </si>
  <si>
    <t>De Beque 49JT</t>
  </si>
  <si>
    <t>Plateau Valley 50</t>
  </si>
  <si>
    <t>Mesa County Valley 51</t>
  </si>
  <si>
    <t>Mineral</t>
  </si>
  <si>
    <t>Creede Consolidated 1</t>
  </si>
  <si>
    <t>Moffat</t>
  </si>
  <si>
    <t>Moffat County RE-NO 1</t>
  </si>
  <si>
    <t>Montezuma</t>
  </si>
  <si>
    <t>Montezuma-Cortez RE-1</t>
  </si>
  <si>
    <t>Dolores RE-4A</t>
  </si>
  <si>
    <t>Mancos RE-6</t>
  </si>
  <si>
    <t>Montrose</t>
  </si>
  <si>
    <t>Montrose RE-1J</t>
  </si>
  <si>
    <t>West End RE-2</t>
  </si>
  <si>
    <t>Morgan</t>
  </si>
  <si>
    <t>Brush RE-2 (J)</t>
  </si>
  <si>
    <t>Fort Morgan RE-3</t>
  </si>
  <si>
    <t>Weldon Valley School RE 20J</t>
  </si>
  <si>
    <t>Wiggins RE-50 (J)</t>
  </si>
  <si>
    <t>Otero</t>
  </si>
  <si>
    <t>East Otero R-1</t>
  </si>
  <si>
    <t>Rocky Ford R-2</t>
  </si>
  <si>
    <t>Manzanola 3J</t>
  </si>
  <si>
    <t>Fowler R 4J</t>
  </si>
  <si>
    <t>Cheraw 31</t>
  </si>
  <si>
    <t>Swink 33</t>
  </si>
  <si>
    <t>Ouray</t>
  </si>
  <si>
    <t>Ouray School District R-1</t>
  </si>
  <si>
    <t>Ridgway R-2</t>
  </si>
  <si>
    <t>Park</t>
  </si>
  <si>
    <t>Platte Canyon 1</t>
  </si>
  <si>
    <t>Park County RE-2</t>
  </si>
  <si>
    <t>Phillips</t>
  </si>
  <si>
    <t>Holyoke RE-1J</t>
  </si>
  <si>
    <t>Philllips</t>
  </si>
  <si>
    <t>Haxtun RE-2J</t>
  </si>
  <si>
    <t>Pitkin</t>
  </si>
  <si>
    <t>Aspen 1</t>
  </si>
  <si>
    <t xml:space="preserve">Prowers </t>
  </si>
  <si>
    <t>Granada RE-1</t>
  </si>
  <si>
    <t>Prowers</t>
  </si>
  <si>
    <t>Lamar RE-2</t>
  </si>
  <si>
    <t>Holly RE-3</t>
  </si>
  <si>
    <t>Wiley Re-13 JT</t>
  </si>
  <si>
    <t>Pueblo</t>
  </si>
  <si>
    <t>Pueblo City 60</t>
  </si>
  <si>
    <t>Pueblo No. 70</t>
  </si>
  <si>
    <t>Rio Blanco</t>
  </si>
  <si>
    <t>Meeker RE1</t>
  </si>
  <si>
    <t>Rangely Re-4</t>
  </si>
  <si>
    <t>Rio Grande</t>
  </si>
  <si>
    <t>Del Norte C-7</t>
  </si>
  <si>
    <t>Monte Vista C-8</t>
  </si>
  <si>
    <t>Sargent RE-33J</t>
  </si>
  <si>
    <t>Routt</t>
  </si>
  <si>
    <t>Hayden RE-1</t>
  </si>
  <si>
    <t>Steamboat Springs RE-2</t>
  </si>
  <si>
    <t>South Routt</t>
  </si>
  <si>
    <t>Saguache</t>
  </si>
  <si>
    <t>Mountain Valley RE-1</t>
  </si>
  <si>
    <t>Moffat 2</t>
  </si>
  <si>
    <t>Center 26 JT</t>
  </si>
  <si>
    <t xml:space="preserve">San Juan </t>
  </si>
  <si>
    <t>Silverton 1</t>
  </si>
  <si>
    <t>San Miguel</t>
  </si>
  <si>
    <t>Telluride R-1</t>
  </si>
  <si>
    <t>Norwood R-2J</t>
  </si>
  <si>
    <t>Sedgwick</t>
  </si>
  <si>
    <t>Julesburg RE 1</t>
  </si>
  <si>
    <t>Platte Valley Re-3</t>
  </si>
  <si>
    <t>Summit</t>
  </si>
  <si>
    <t>Summit RE-1</t>
  </si>
  <si>
    <t>Teller</t>
  </si>
  <si>
    <t>Cripple Creek Victor Re-1</t>
  </si>
  <si>
    <t>Woodland Park Re-2</t>
  </si>
  <si>
    <t>Washington</t>
  </si>
  <si>
    <t>Akron R-1</t>
  </si>
  <si>
    <t>Arickaree R-2</t>
  </si>
  <si>
    <t>Otis R-3</t>
  </si>
  <si>
    <t>Lone Star 101</t>
  </si>
  <si>
    <t>Woodlin R-104</t>
  </si>
  <si>
    <t>Weld</t>
  </si>
  <si>
    <t>Weld RE-1</t>
  </si>
  <si>
    <t>Eaton RE-2</t>
  </si>
  <si>
    <t>Keenesburg RE3-J</t>
  </si>
  <si>
    <t>Windsor RE-4</t>
  </si>
  <si>
    <t>Johnstown-Milliken Re-5J</t>
  </si>
  <si>
    <t>Greeley R-6</t>
  </si>
  <si>
    <t>Platte Valley RE-7</t>
  </si>
  <si>
    <t>Fort Lupton RE-8</t>
  </si>
  <si>
    <t>Ault-Highland RE-9</t>
  </si>
  <si>
    <t>Briggsdale RE10</t>
  </si>
  <si>
    <t>Pawnee SD RE-12</t>
  </si>
  <si>
    <t xml:space="preserve">Yuma </t>
  </si>
  <si>
    <t>Yuma 1</t>
  </si>
  <si>
    <t>Wray RD-2</t>
  </si>
  <si>
    <t>Idalia RJ-3</t>
  </si>
  <si>
    <t>Liberty J-4</t>
  </si>
  <si>
    <t>East Central BOCES</t>
  </si>
  <si>
    <t>Mountain BOCES</t>
  </si>
  <si>
    <t>Centennial BOCES</t>
  </si>
  <si>
    <t>Northeast BOCES</t>
  </si>
  <si>
    <t>Pikes Peak BOCES</t>
  </si>
  <si>
    <t>San Juan BOCES</t>
  </si>
  <si>
    <t>San Luis Valley BOCES</t>
  </si>
  <si>
    <t>South Central BOCES</t>
  </si>
  <si>
    <t>Southeastern BOCES</t>
  </si>
  <si>
    <t>Southwest BOCES</t>
  </si>
  <si>
    <t>Northwest Colorado BOCES</t>
  </si>
  <si>
    <t>Adams County BOCES</t>
  </si>
  <si>
    <t>Rio Blanco BOCES RE-1 &amp; RE-4</t>
  </si>
  <si>
    <t>Expeditionary BOCES</t>
  </si>
  <si>
    <t>Grand Valley BOCES</t>
  </si>
  <si>
    <t>Mt Evans BOCES</t>
  </si>
  <si>
    <t>Uncompahgre BOCES</t>
  </si>
  <si>
    <t>Santa Fe Trail BOCES</t>
  </si>
  <si>
    <t>Front Range BOCES</t>
  </si>
  <si>
    <t>Ute Pass BOCES</t>
  </si>
  <si>
    <t>District Name:</t>
  </si>
  <si>
    <t>Indirect Cost Rate</t>
  </si>
  <si>
    <t>Indirect Costs</t>
  </si>
  <si>
    <t>Indirect Cost Override</t>
  </si>
  <si>
    <t>Total - Instructional and Support Programs</t>
  </si>
  <si>
    <t>Grand Total - Lines 15, 17 or 18, 19</t>
  </si>
  <si>
    <t>District:</t>
  </si>
  <si>
    <t>PROGRAM CATEGORIES</t>
  </si>
  <si>
    <t>Budget</t>
  </si>
  <si>
    <t>Actual Expenditures</t>
  </si>
  <si>
    <t>Instructional Program</t>
  </si>
  <si>
    <t xml:space="preserve"> Salaries (0100)</t>
  </si>
  <si>
    <t xml:space="preserve"> Employee Benefits (0200)</t>
  </si>
  <si>
    <t xml:space="preserve"> Purchased Professional &amp; Technical Services (0300)</t>
  </si>
  <si>
    <t xml:space="preserve"> Other Purchased Services (0500)</t>
  </si>
  <si>
    <t xml:space="preserve"> Supplies (0600)</t>
  </si>
  <si>
    <t xml:space="preserve"> Subtotal Instructional Program  (lines 1 through 6)</t>
  </si>
  <si>
    <t>Support Program</t>
  </si>
  <si>
    <t xml:space="preserve"> Subtotal Support Program (lines 8 through 15)</t>
  </si>
  <si>
    <t>Total Budget (lines 7 and 16)</t>
  </si>
  <si>
    <t>Typed Name of Person Preparing Report                 Date</t>
  </si>
  <si>
    <t>Signature of School District Authorized Representative*</t>
  </si>
  <si>
    <t>*Check with your school district budget office for the signature of the school district authorized representative.</t>
  </si>
  <si>
    <t>Annual Financial Report</t>
  </si>
  <si>
    <t>Project 1</t>
  </si>
  <si>
    <t>Project 2</t>
  </si>
  <si>
    <t>Project 3</t>
  </si>
  <si>
    <t>Project 4</t>
  </si>
  <si>
    <t>Project 5</t>
  </si>
  <si>
    <t>Inst. - Other (0800)</t>
  </si>
  <si>
    <t>Support - Other (0800)</t>
  </si>
  <si>
    <t>Other (0800)</t>
  </si>
  <si>
    <t>BUDGET SUMMARY</t>
  </si>
  <si>
    <t>ANNUAL FINANCIAL REPORT DETAIL</t>
  </si>
  <si>
    <t>Indirect Cost Rates for Use in FY2010-2011</t>
  </si>
  <si>
    <t>District Code</t>
  </si>
  <si>
    <t>Restricted Rate</t>
  </si>
  <si>
    <t>Unrestricted Rate</t>
  </si>
  <si>
    <t>Fremont RE-2 School District</t>
  </si>
  <si>
    <t>Buffalo RE-4J</t>
  </si>
  <si>
    <t>Prairie RE-11J</t>
  </si>
  <si>
    <t>CSI</t>
  </si>
  <si>
    <t>Charter School Institute</t>
  </si>
  <si>
    <t>BOCES</t>
  </si>
  <si>
    <t>Submit Excel File To:</t>
  </si>
  <si>
    <t>CDE Contact:</t>
  </si>
  <si>
    <t>Non-Capitalized Equipment (0735)</t>
  </si>
  <si>
    <t>Capitalized Equipment (0730)</t>
  </si>
  <si>
    <t>Capitalized</t>
  </si>
  <si>
    <t>School:</t>
  </si>
  <si>
    <t>Non-Capitalized</t>
  </si>
  <si>
    <t>Name of person completing the budget</t>
  </si>
  <si>
    <t>Date
Purchased</t>
  </si>
  <si>
    <t>ANNUAL FINANCIAL REPORT EQUIPMENT DETAIL</t>
  </si>
  <si>
    <t>Marti Rodriguez   303-866-6739</t>
  </si>
  <si>
    <t>Name of School/s:</t>
  </si>
  <si>
    <t>Date</t>
  </si>
  <si>
    <t>Comment</t>
  </si>
  <si>
    <t>Initials</t>
  </si>
  <si>
    <t>CFDA:  84.360A</t>
  </si>
  <si>
    <t>GRANT CODE:  5360</t>
  </si>
  <si>
    <t>rodriguez_m@cde.state.co.us   AND   perea_d@cde.state.co.us</t>
  </si>
  <si>
    <t>Dawn Perea         303-866-6142</t>
  </si>
  <si>
    <t>Program Contact</t>
  </si>
  <si>
    <t>Grants Fiscal Contact</t>
  </si>
  <si>
    <t>Total Funds Available</t>
  </si>
  <si>
    <t>Carryover is limited to 15%.  Districts are allowed to identify CGP expenditures from July 1, 2014 through September 30, 2014 to be in compliance with the 15% restriction.  Provide information on the 10 Revision-Comment Sheet if your carryover exceeds 15% on this line.</t>
  </si>
  <si>
    <t>JULY 1, 2014 THROUGH JUNE 30, 2015</t>
  </si>
  <si>
    <t>Program/Object</t>
  </si>
  <si>
    <t>Schools</t>
  </si>
  <si>
    <t>FY2014-15</t>
  </si>
  <si>
    <t>FY2014-2015 Allocation:</t>
  </si>
  <si>
    <t>Anticipated Carryover as of June 30, 2014</t>
  </si>
  <si>
    <t xml:space="preserve">Program/Budget </t>
  </si>
  <si>
    <t>Due September 1, 2015</t>
  </si>
  <si>
    <t xml:space="preserve"> </t>
  </si>
  <si>
    <t>COLORADO GRADUATION PATHWAYS</t>
  </si>
  <si>
    <t>FY 14-15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</si>
</sst>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"/>
    <numFmt numFmtId="165" formatCode="_(&quot;$&quot;* #,##0_);_(&quot;$&quot;* \(#,##0\);_(&quot;$&quot;* &quot;-&quot;??_);_(@_)"/>
    <numFmt numFmtId="166" formatCode="_(* #,##0_);_(* \(#,##0\);_(* &quot;-&quot;??_);_(@_)"/>
    <numFmt numFmtId="167" formatCode="[$-409]mmmm\ d\,\ yyyy;@"/>
    <numFmt numFmtId="168" formatCode="mm/dd/yy;@"/>
    <numFmt numFmtId="169" formatCode="0000"/>
    <numFmt numFmtId="170" formatCode="#,##0.0000"/>
  </numFmts>
  <fonts count="42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color indexed="81"/>
      <name val="Tahoma"/>
      <family val="2"/>
    </font>
    <font>
      <sz val="8"/>
      <name val="Arial"/>
      <family val="2"/>
    </font>
    <font>
      <sz val="10"/>
      <name val="Geneva"/>
    </font>
    <font>
      <b/>
      <u/>
      <sz val="8"/>
      <color indexed="81"/>
      <name val="Tahoma"/>
      <family val="2"/>
    </font>
    <font>
      <sz val="6"/>
      <color indexed="22"/>
      <name val="Arial"/>
      <family val="2"/>
    </font>
    <font>
      <b/>
      <i/>
      <sz val="8"/>
      <color indexed="81"/>
      <name val="Tahoma"/>
      <family val="2"/>
    </font>
    <font>
      <b/>
      <u/>
      <sz val="12"/>
      <name val="Arial"/>
      <family val="2"/>
    </font>
    <font>
      <u/>
      <sz val="10"/>
      <color indexed="12"/>
      <name val="Arial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i/>
      <sz val="10"/>
      <name val="Arial"/>
      <family val="2"/>
    </font>
    <font>
      <strike/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indexed="9"/>
      <name val="Calibri"/>
      <family val="2"/>
      <scheme val="minor"/>
    </font>
    <font>
      <u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color indexed="10"/>
      <name val="Calibri"/>
      <family val="2"/>
      <scheme val="minor"/>
    </font>
    <font>
      <sz val="14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/>
      <diagonal/>
    </border>
    <border>
      <left style="medium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7" fillId="0" borderId="0"/>
    <xf numFmtId="0" fontId="14" fillId="0" borderId="0"/>
    <xf numFmtId="0" fontId="2" fillId="0" borderId="0"/>
    <xf numFmtId="0" fontId="7" fillId="0" borderId="0"/>
  </cellStyleXfs>
  <cellXfs count="271">
    <xf numFmtId="0" fontId="0" fillId="0" borderId="0" xfId="0"/>
    <xf numFmtId="0" fontId="0" fillId="0" borderId="0" xfId="0" quotePrefix="1" applyAlignment="1">
      <alignment horizontal="left"/>
    </xf>
    <xf numFmtId="0" fontId="9" fillId="0" borderId="0" xfId="0" applyFont="1" applyFill="1"/>
    <xf numFmtId="0" fontId="0" fillId="0" borderId="0" xfId="0" applyFill="1" applyAlignment="1">
      <alignment horizontal="right"/>
    </xf>
    <xf numFmtId="0" fontId="0" fillId="0" borderId="0" xfId="0" applyFill="1"/>
    <xf numFmtId="0" fontId="4" fillId="0" borderId="0" xfId="0" applyFont="1" applyFill="1"/>
    <xf numFmtId="167" fontId="4" fillId="0" borderId="0" xfId="0" applyNumberFormat="1" applyFont="1" applyFill="1" applyAlignment="1">
      <alignment horizontal="right"/>
    </xf>
    <xf numFmtId="0" fontId="0" fillId="0" borderId="0" xfId="0" applyFill="1" applyAlignment="1">
      <alignment horizontal="center"/>
    </xf>
    <xf numFmtId="0" fontId="0" fillId="0" borderId="0" xfId="0" applyFill="1" applyAlignment="1"/>
    <xf numFmtId="0" fontId="0" fillId="0" borderId="0" xfId="0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/>
    <xf numFmtId="167" fontId="3" fillId="0" borderId="0" xfId="0" applyNumberFormat="1" applyFont="1"/>
    <xf numFmtId="0" fontId="17" fillId="0" borderId="0" xfId="6" applyNumberFormat="1"/>
    <xf numFmtId="0" fontId="17" fillId="0" borderId="0" xfId="6"/>
    <xf numFmtId="0" fontId="17" fillId="0" borderId="5" xfId="6" applyNumberFormat="1" applyBorder="1"/>
    <xf numFmtId="0" fontId="17" fillId="0" borderId="1" xfId="6" applyBorder="1"/>
    <xf numFmtId="0" fontId="2" fillId="0" borderId="1" xfId="6" applyNumberFormat="1" applyFont="1" applyFill="1" applyBorder="1" applyAlignment="1">
      <alignment horizontal="left"/>
    </xf>
    <xf numFmtId="0" fontId="2" fillId="0" borderId="1" xfId="6" applyFont="1" applyFill="1" applyBorder="1"/>
    <xf numFmtId="0" fontId="18" fillId="0" borderId="1" xfId="6" applyFont="1" applyFill="1" applyBorder="1"/>
    <xf numFmtId="10" fontId="17" fillId="0" borderId="1" xfId="6" applyNumberFormat="1" applyBorder="1"/>
    <xf numFmtId="0" fontId="2" fillId="0" borderId="1" xfId="6" quotePrefix="1" applyNumberFormat="1" applyFont="1" applyFill="1" applyBorder="1"/>
    <xf numFmtId="0" fontId="2" fillId="0" borderId="1" xfId="6" quotePrefix="1" applyNumberFormat="1" applyFont="1" applyFill="1" applyBorder="1" applyAlignment="1">
      <alignment horizontal="left"/>
    </xf>
    <xf numFmtId="0" fontId="19" fillId="0" borderId="1" xfId="6" applyFont="1" applyFill="1" applyBorder="1"/>
    <xf numFmtId="0" fontId="20" fillId="0" borderId="1" xfId="6" applyFont="1" applyBorder="1"/>
    <xf numFmtId="0" fontId="16" fillId="0" borderId="1" xfId="6" applyNumberFormat="1" applyFont="1" applyFill="1" applyBorder="1" applyAlignment="1">
      <alignment horizontal="left"/>
    </xf>
    <xf numFmtId="0" fontId="16" fillId="0" borderId="1" xfId="6" applyFont="1" applyFill="1" applyBorder="1"/>
    <xf numFmtId="0" fontId="21" fillId="0" borderId="1" xfId="6" applyFont="1" applyFill="1" applyBorder="1"/>
    <xf numFmtId="10" fontId="20" fillId="0" borderId="1" xfId="6" applyNumberFormat="1" applyFont="1" applyBorder="1"/>
    <xf numFmtId="169" fontId="2" fillId="0" borderId="1" xfId="6" applyNumberFormat="1" applyFont="1" applyFill="1" applyBorder="1" applyAlignment="1">
      <alignment horizontal="left"/>
    </xf>
    <xf numFmtId="169" fontId="15" fillId="0" borderId="1" xfId="6" applyNumberFormat="1" applyFont="1" applyFill="1" applyBorder="1" applyAlignment="1">
      <alignment horizontal="left"/>
    </xf>
    <xf numFmtId="18" fontId="23" fillId="2" borderId="0" xfId="0" applyNumberFormat="1" applyFont="1" applyFill="1" applyAlignment="1"/>
    <xf numFmtId="0" fontId="24" fillId="2" borderId="0" xfId="0" applyFont="1" applyFill="1" applyProtection="1"/>
    <xf numFmtId="0" fontId="23" fillId="2" borderId="0" xfId="0" applyFont="1" applyFill="1" applyAlignment="1" applyProtection="1"/>
    <xf numFmtId="0" fontId="24" fillId="3" borderId="0" xfId="0" applyFont="1" applyFill="1" applyAlignment="1" applyProtection="1">
      <alignment horizontal="center"/>
    </xf>
    <xf numFmtId="0" fontId="24" fillId="3" borderId="0" xfId="0" applyFont="1" applyFill="1" applyProtection="1"/>
    <xf numFmtId="0" fontId="24" fillId="2" borderId="0" xfId="0" applyFont="1" applyFill="1" applyAlignment="1" applyProtection="1">
      <alignment horizontal="center"/>
    </xf>
    <xf numFmtId="3" fontId="4" fillId="0" borderId="0" xfId="0" applyNumberFormat="1" applyFont="1" applyFill="1" applyAlignment="1"/>
    <xf numFmtId="0" fontId="4" fillId="0" borderId="0" xfId="0" applyFont="1" applyFill="1" applyAlignment="1"/>
    <xf numFmtId="0" fontId="0" fillId="0" borderId="0" xfId="0" applyAlignment="1">
      <alignment horizontal="left"/>
    </xf>
    <xf numFmtId="0" fontId="1" fillId="0" borderId="0" xfId="0" applyFont="1"/>
    <xf numFmtId="0" fontId="22" fillId="0" borderId="1" xfId="0" applyFont="1" applyBorder="1" applyAlignment="1">
      <alignment horizontal="left"/>
    </xf>
    <xf numFmtId="0" fontId="22" fillId="0" borderId="1" xfId="0" applyFont="1" applyBorder="1" applyAlignment="1" applyProtection="1">
      <alignment horizontal="left" wrapText="1"/>
      <protection locked="0"/>
    </xf>
    <xf numFmtId="41" fontId="22" fillId="0" borderId="1" xfId="1" applyNumberFormat="1" applyFont="1" applyBorder="1" applyAlignment="1" applyProtection="1">
      <alignment horizontal="left"/>
      <protection locked="0"/>
    </xf>
    <xf numFmtId="0" fontId="22" fillId="0" borderId="1" xfId="1" applyNumberFormat="1" applyFont="1" applyBorder="1" applyAlignment="1" applyProtection="1">
      <alignment horizontal="left" wrapText="1"/>
      <protection locked="0"/>
    </xf>
    <xf numFmtId="14" fontId="22" fillId="0" borderId="1" xfId="0" applyNumberFormat="1" applyFont="1" applyBorder="1" applyAlignment="1" applyProtection="1">
      <alignment horizontal="left" wrapText="1"/>
      <protection locked="0"/>
    </xf>
    <xf numFmtId="41" fontId="22" fillId="0" borderId="1" xfId="1" quotePrefix="1" applyNumberFormat="1" applyFont="1" applyBorder="1" applyAlignment="1" applyProtection="1">
      <alignment horizontal="left"/>
      <protection locked="0"/>
    </xf>
    <xf numFmtId="3" fontId="22" fillId="0" borderId="1" xfId="1" applyNumberFormat="1" applyFont="1" applyBorder="1" applyAlignment="1" applyProtection="1">
      <alignment horizontal="left" wrapText="1"/>
      <protection locked="0"/>
    </xf>
    <xf numFmtId="41" fontId="22" fillId="0" borderId="1" xfId="0" applyNumberFormat="1" applyFont="1" applyBorder="1" applyAlignment="1" applyProtection="1">
      <alignment horizontal="left"/>
      <protection locked="0"/>
    </xf>
    <xf numFmtId="0" fontId="22" fillId="0" borderId="1" xfId="0" applyFont="1" applyFill="1" applyBorder="1" applyAlignment="1" applyProtection="1">
      <alignment horizontal="left" wrapText="1"/>
      <protection locked="0"/>
    </xf>
    <xf numFmtId="164" fontId="22" fillId="0" borderId="1" xfId="0" applyNumberFormat="1" applyFont="1" applyBorder="1" applyAlignment="1" applyProtection="1">
      <alignment horizontal="left" wrapText="1"/>
      <protection locked="0"/>
    </xf>
    <xf numFmtId="164" fontId="22" fillId="0" borderId="1" xfId="0" applyNumberFormat="1" applyFont="1" applyBorder="1" applyAlignment="1" applyProtection="1">
      <alignment horizontal="left"/>
      <protection locked="0"/>
    </xf>
    <xf numFmtId="41" fontId="22" fillId="0" borderId="1" xfId="0" applyNumberFormat="1" applyFont="1" applyBorder="1" applyAlignment="1">
      <alignment horizontal="left"/>
    </xf>
    <xf numFmtId="0" fontId="22" fillId="0" borderId="1" xfId="0" applyFont="1" applyBorder="1" applyAlignment="1">
      <alignment horizontal="left" wrapText="1"/>
    </xf>
    <xf numFmtId="0" fontId="22" fillId="0" borderId="1" xfId="0" applyFont="1" applyBorder="1"/>
    <xf numFmtId="0" fontId="29" fillId="0" borderId="1" xfId="0" applyFont="1" applyBorder="1" applyAlignment="1" applyProtection="1">
      <alignment wrapText="1"/>
      <protection locked="0"/>
    </xf>
    <xf numFmtId="0" fontId="29" fillId="0" borderId="1" xfId="0" applyFont="1" applyBorder="1" applyProtection="1">
      <protection locked="0"/>
    </xf>
    <xf numFmtId="168" fontId="29" fillId="0" borderId="1" xfId="0" applyNumberFormat="1" applyFont="1" applyBorder="1" applyProtection="1">
      <protection locked="0"/>
    </xf>
    <xf numFmtId="41" fontId="22" fillId="0" borderId="1" xfId="0" applyNumberFormat="1" applyFont="1" applyBorder="1" applyAlignment="1" applyProtection="1">
      <alignment horizontal="right"/>
      <protection locked="0"/>
    </xf>
    <xf numFmtId="3" fontId="22" fillId="0" borderId="1" xfId="0" applyNumberFormat="1" applyFont="1" applyBorder="1" applyProtection="1">
      <protection locked="0"/>
    </xf>
    <xf numFmtId="164" fontId="30" fillId="0" borderId="1" xfId="0" applyNumberFormat="1" applyFont="1" applyBorder="1" applyAlignment="1" applyProtection="1">
      <alignment wrapText="1"/>
      <protection locked="0"/>
    </xf>
    <xf numFmtId="168" fontId="30" fillId="0" borderId="1" xfId="0" applyNumberFormat="1" applyFont="1" applyBorder="1" applyAlignment="1" applyProtection="1">
      <alignment wrapText="1"/>
      <protection locked="0"/>
    </xf>
    <xf numFmtId="164" fontId="29" fillId="0" borderId="1" xfId="0" applyNumberFormat="1" applyFont="1" applyBorder="1" applyAlignment="1" applyProtection="1">
      <alignment wrapText="1"/>
      <protection locked="0"/>
    </xf>
    <xf numFmtId="168" fontId="29" fillId="0" borderId="1" xfId="0" applyNumberFormat="1" applyFont="1" applyBorder="1" applyAlignment="1" applyProtection="1">
      <alignment wrapText="1"/>
      <protection locked="0"/>
    </xf>
    <xf numFmtId="41" fontId="29" fillId="0" borderId="1" xfId="0" applyNumberFormat="1" applyFont="1" applyBorder="1" applyAlignment="1" applyProtection="1">
      <alignment horizontal="right"/>
      <protection locked="0"/>
    </xf>
    <xf numFmtId="3" fontId="29" fillId="0" borderId="1" xfId="0" applyNumberFormat="1" applyFont="1" applyBorder="1" applyProtection="1">
      <protection locked="0"/>
    </xf>
    <xf numFmtId="0" fontId="22" fillId="0" borderId="1" xfId="0" applyFont="1" applyBorder="1" applyProtection="1">
      <protection locked="0"/>
    </xf>
    <xf numFmtId="168" fontId="22" fillId="0" borderId="1" xfId="0" applyNumberFormat="1" applyFont="1" applyBorder="1" applyProtection="1">
      <protection locked="0"/>
    </xf>
    <xf numFmtId="168" fontId="22" fillId="0" borderId="1" xfId="0" applyNumberFormat="1" applyFont="1" applyBorder="1"/>
    <xf numFmtId="0" fontId="22" fillId="0" borderId="1" xfId="1" applyNumberFormat="1" applyFont="1" applyBorder="1" applyAlignment="1" applyProtection="1">
      <alignment wrapText="1"/>
      <protection locked="0"/>
    </xf>
    <xf numFmtId="168" fontId="29" fillId="0" borderId="1" xfId="0" applyNumberFormat="1" applyFont="1" applyBorder="1" applyAlignment="1" applyProtection="1">
      <alignment horizontal="left" wrapText="1"/>
      <protection locked="0"/>
    </xf>
    <xf numFmtId="3" fontId="22" fillId="0" borderId="1" xfId="1" applyNumberFormat="1" applyFont="1" applyBorder="1" applyAlignment="1" applyProtection="1">
      <alignment wrapText="1"/>
      <protection locked="0"/>
    </xf>
    <xf numFmtId="0" fontId="29" fillId="0" borderId="1" xfId="0" applyFont="1" applyBorder="1" applyAlignment="1" applyProtection="1">
      <alignment horizontal="left" wrapText="1"/>
      <protection locked="0"/>
    </xf>
    <xf numFmtId="3" fontId="29" fillId="0" borderId="1" xfId="1" applyNumberFormat="1" applyFont="1" applyBorder="1" applyAlignment="1" applyProtection="1">
      <alignment wrapText="1"/>
      <protection locked="0"/>
    </xf>
    <xf numFmtId="41" fontId="22" fillId="0" borderId="1" xfId="1" quotePrefix="1" applyNumberFormat="1" applyFont="1" applyBorder="1" applyAlignment="1" applyProtection="1">
      <alignment horizontal="left" vertical="top"/>
      <protection locked="0"/>
    </xf>
    <xf numFmtId="3" fontId="29" fillId="0" borderId="1" xfId="1" applyNumberFormat="1" applyFont="1" applyBorder="1" applyAlignment="1" applyProtection="1">
      <alignment vertical="top" wrapText="1"/>
      <protection locked="0"/>
    </xf>
    <xf numFmtId="168" fontId="29" fillId="0" borderId="1" xfId="0" applyNumberFormat="1" applyFont="1" applyBorder="1" applyAlignment="1" applyProtection="1">
      <alignment horizontal="left" vertical="top" wrapText="1"/>
      <protection locked="0"/>
    </xf>
    <xf numFmtId="41" fontId="22" fillId="0" borderId="1" xfId="1" applyNumberFormat="1" applyFont="1" applyBorder="1" applyAlignment="1" applyProtection="1">
      <alignment horizontal="left" vertical="top"/>
      <protection locked="0"/>
    </xf>
    <xf numFmtId="41" fontId="29" fillId="0" borderId="1" xfId="1" quotePrefix="1" applyNumberFormat="1" applyFont="1" applyBorder="1" applyAlignment="1" applyProtection="1">
      <alignment horizontal="left" vertical="top"/>
      <protection locked="0"/>
    </xf>
    <xf numFmtId="168" fontId="29" fillId="0" borderId="1" xfId="0" applyNumberFormat="1" applyFont="1" applyFill="1" applyBorder="1" applyAlignment="1" applyProtection="1">
      <alignment horizontal="left" vertical="top" wrapText="1"/>
      <protection locked="0"/>
    </xf>
    <xf numFmtId="168" fontId="29" fillId="0" borderId="1" xfId="0" applyNumberFormat="1" applyFont="1" applyBorder="1" applyAlignment="1" applyProtection="1">
      <alignment horizontal="left"/>
      <protection locked="0"/>
    </xf>
    <xf numFmtId="0" fontId="22" fillId="0" borderId="1" xfId="0" applyFont="1" applyBorder="1" applyAlignment="1">
      <alignment wrapText="1"/>
    </xf>
    <xf numFmtId="168" fontId="22" fillId="0" borderId="1" xfId="0" applyNumberFormat="1" applyFont="1" applyBorder="1" applyAlignment="1">
      <alignment horizontal="left"/>
    </xf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 applyProtection="1">
      <alignment horizontal="left"/>
      <protection locked="0"/>
    </xf>
    <xf numFmtId="3" fontId="22" fillId="0" borderId="1" xfId="0" applyNumberFormat="1" applyFont="1" applyBorder="1" applyAlignment="1" applyProtection="1">
      <alignment horizontal="left"/>
      <protection locked="0"/>
    </xf>
    <xf numFmtId="0" fontId="23" fillId="5" borderId="0" xfId="0" applyFont="1" applyFill="1" applyAlignment="1" applyProtection="1">
      <alignment horizontal="center"/>
    </xf>
    <xf numFmtId="0" fontId="24" fillId="5" borderId="0" xfId="0" applyFont="1" applyFill="1" applyAlignment="1" applyProtection="1">
      <alignment horizontal="center"/>
    </xf>
    <xf numFmtId="0" fontId="24" fillId="5" borderId="0" xfId="0" applyFont="1" applyFill="1" applyAlignment="1" applyProtection="1">
      <alignment horizontal="right"/>
    </xf>
    <xf numFmtId="0" fontId="24" fillId="5" borderId="0" xfId="0" applyFont="1" applyFill="1" applyProtection="1"/>
    <xf numFmtId="14" fontId="24" fillId="5" borderId="0" xfId="0" applyNumberFormat="1" applyFont="1" applyFill="1" applyProtection="1"/>
    <xf numFmtId="0" fontId="24" fillId="5" borderId="0" xfId="0" applyFont="1" applyFill="1" applyBorder="1" applyAlignment="1" applyProtection="1">
      <alignment horizontal="center"/>
    </xf>
    <xf numFmtId="0" fontId="23" fillId="5" borderId="0" xfId="0" applyFont="1" applyFill="1" applyBorder="1" applyAlignment="1" applyProtection="1">
      <alignment horizontal="right"/>
    </xf>
    <xf numFmtId="0" fontId="23" fillId="5" borderId="0" xfId="0" applyFont="1" applyFill="1" applyBorder="1" applyAlignment="1" applyProtection="1">
      <alignment horizontal="right" vertical="center"/>
    </xf>
    <xf numFmtId="0" fontId="24" fillId="5" borderId="0" xfId="0" applyFont="1" applyFill="1" applyBorder="1" applyAlignment="1" applyProtection="1">
      <alignment horizontal="right"/>
    </xf>
    <xf numFmtId="0" fontId="24" fillId="5" borderId="0" xfId="0" applyFont="1" applyFill="1" applyBorder="1" applyProtection="1"/>
    <xf numFmtId="0" fontId="23" fillId="5" borderId="0" xfId="0" applyFont="1" applyFill="1" applyAlignment="1" applyProtection="1">
      <alignment horizontal="right"/>
    </xf>
    <xf numFmtId="0" fontId="24" fillId="5" borderId="0" xfId="0" applyFont="1" applyFill="1" applyBorder="1" applyAlignment="1" applyProtection="1">
      <alignment horizontal="center" vertical="center"/>
    </xf>
    <xf numFmtId="0" fontId="24" fillId="5" borderId="0" xfId="0" applyFont="1" applyFill="1"/>
    <xf numFmtId="0" fontId="23" fillId="5" borderId="0" xfId="0" quotePrefix="1" applyFont="1" applyFill="1" applyBorder="1" applyAlignment="1" applyProtection="1">
      <alignment horizontal="right"/>
    </xf>
    <xf numFmtId="0" fontId="23" fillId="5" borderId="0" xfId="0" quotePrefix="1" applyFont="1" applyFill="1" applyAlignment="1" applyProtection="1">
      <alignment horizontal="right"/>
    </xf>
    <xf numFmtId="0" fontId="25" fillId="5" borderId="0" xfId="0" quotePrefix="1" applyFont="1" applyFill="1" applyBorder="1" applyAlignment="1" applyProtection="1">
      <alignment horizontal="left"/>
    </xf>
    <xf numFmtId="0" fontId="26" fillId="5" borderId="0" xfId="0" applyFont="1" applyFill="1" applyBorder="1" applyProtection="1"/>
    <xf numFmtId="0" fontId="27" fillId="5" borderId="0" xfId="0" applyFont="1" applyFill="1" applyBorder="1" applyAlignment="1" applyProtection="1">
      <alignment horizontal="left"/>
    </xf>
    <xf numFmtId="0" fontId="28" fillId="5" borderId="0" xfId="0" applyFont="1" applyFill="1"/>
    <xf numFmtId="0" fontId="27" fillId="5" borderId="0" xfId="0" applyFont="1" applyFill="1" applyBorder="1" applyProtection="1"/>
    <xf numFmtId="0" fontId="28" fillId="5" borderId="0" xfId="0" applyFont="1" applyFill="1" applyProtection="1"/>
    <xf numFmtId="0" fontId="23" fillId="5" borderId="0" xfId="0" applyFont="1" applyFill="1" applyBorder="1" applyAlignment="1" applyProtection="1">
      <alignment horizontal="left"/>
    </xf>
    <xf numFmtId="0" fontId="23" fillId="5" borderId="0" xfId="0" applyFont="1" applyFill="1" applyBorder="1" applyProtection="1"/>
    <xf numFmtId="0" fontId="24" fillId="5" borderId="0" xfId="0" applyFont="1" applyFill="1" applyBorder="1" applyAlignment="1" applyProtection="1">
      <alignment horizontal="left"/>
    </xf>
    <xf numFmtId="0" fontId="24" fillId="5" borderId="0" xfId="0" quotePrefix="1" applyFont="1" applyFill="1" applyBorder="1" applyAlignment="1" applyProtection="1">
      <alignment horizontal="left"/>
    </xf>
    <xf numFmtId="0" fontId="25" fillId="5" borderId="0" xfId="0" applyFont="1" applyFill="1" applyBorder="1" applyAlignment="1" applyProtection="1">
      <alignment horizontal="right"/>
    </xf>
    <xf numFmtId="0" fontId="23" fillId="5" borderId="0" xfId="0" applyFont="1" applyFill="1" applyBorder="1" applyAlignment="1" applyProtection="1">
      <alignment horizontal="center"/>
    </xf>
    <xf numFmtId="0" fontId="23" fillId="5" borderId="0" xfId="0" applyFont="1" applyFill="1" applyBorder="1" applyAlignment="1" applyProtection="1"/>
    <xf numFmtId="165" fontId="24" fillId="5" borderId="0" xfId="3" applyNumberFormat="1" applyFont="1" applyFill="1" applyBorder="1" applyAlignment="1" applyProtection="1">
      <alignment horizontal="center"/>
    </xf>
    <xf numFmtId="165" fontId="24" fillId="5" borderId="0" xfId="3" applyNumberFormat="1" applyFont="1" applyFill="1" applyBorder="1" applyAlignment="1" applyProtection="1">
      <alignment horizontal="center"/>
      <protection locked="0"/>
    </xf>
    <xf numFmtId="0" fontId="23" fillId="0" borderId="6" xfId="0" applyFont="1" applyFill="1" applyBorder="1" applyAlignment="1" applyProtection="1">
      <alignment horizontal="center"/>
      <protection locked="0"/>
    </xf>
    <xf numFmtId="0" fontId="24" fillId="0" borderId="7" xfId="0" applyFont="1" applyFill="1" applyBorder="1" applyAlignment="1" applyProtection="1">
      <alignment horizontal="center"/>
      <protection locked="0"/>
    </xf>
    <xf numFmtId="167" fontId="24" fillId="0" borderId="7" xfId="0" applyNumberFormat="1" applyFont="1" applyFill="1" applyBorder="1" applyAlignment="1" applyProtection="1">
      <alignment horizontal="center"/>
      <protection locked="0"/>
    </xf>
    <xf numFmtId="0" fontId="22" fillId="4" borderId="0" xfId="0" applyFont="1" applyFill="1"/>
    <xf numFmtId="0" fontId="22" fillId="4" borderId="0" xfId="0" applyFont="1" applyFill="1" applyBorder="1"/>
    <xf numFmtId="0" fontId="31" fillId="4" borderId="0" xfId="9" applyFont="1" applyFill="1" applyBorder="1" applyAlignment="1" applyProtection="1">
      <alignment horizontal="left"/>
    </xf>
    <xf numFmtId="167" fontId="31" fillId="4" borderId="0" xfId="0" applyNumberFormat="1" applyFont="1" applyFill="1" applyBorder="1"/>
    <xf numFmtId="0" fontId="32" fillId="4" borderId="0" xfId="0" quotePrefix="1" applyFont="1" applyFill="1" applyAlignment="1">
      <alignment horizontal="left" indent="1"/>
    </xf>
    <xf numFmtId="0" fontId="31" fillId="4" borderId="0" xfId="0" applyFont="1" applyFill="1"/>
    <xf numFmtId="3" fontId="33" fillId="4" borderId="0" xfId="0" applyNumberFormat="1" applyFont="1" applyFill="1"/>
    <xf numFmtId="0" fontId="22" fillId="4" borderId="0" xfId="0" applyFont="1" applyFill="1" applyAlignment="1">
      <alignment horizontal="center"/>
    </xf>
    <xf numFmtId="0" fontId="22" fillId="4" borderId="0" xfId="0" quotePrefix="1" applyFont="1" applyFill="1" applyAlignment="1">
      <alignment horizontal="left"/>
    </xf>
    <xf numFmtId="3" fontId="22" fillId="4" borderId="0" xfId="0" applyNumberFormat="1" applyFont="1" applyFill="1" applyBorder="1"/>
    <xf numFmtId="0" fontId="31" fillId="4" borderId="0" xfId="0" quotePrefix="1" applyFont="1" applyFill="1" applyAlignment="1">
      <alignment horizontal="left"/>
    </xf>
    <xf numFmtId="3" fontId="22" fillId="4" borderId="7" xfId="0" applyNumberFormat="1" applyFont="1" applyFill="1" applyBorder="1"/>
    <xf numFmtId="0" fontId="32" fillId="4" borderId="0" xfId="0" applyFont="1" applyFill="1" applyAlignment="1">
      <alignment horizontal="left" indent="1"/>
    </xf>
    <xf numFmtId="3" fontId="22" fillId="4" borderId="8" xfId="0" applyNumberFormat="1" applyFont="1" applyFill="1" applyBorder="1"/>
    <xf numFmtId="0" fontId="31" fillId="4" borderId="0" xfId="0" applyFont="1" applyFill="1" applyAlignment="1">
      <alignment horizontal="left"/>
    </xf>
    <xf numFmtId="170" fontId="22" fillId="4" borderId="0" xfId="0" applyNumberFormat="1" applyFont="1" applyFill="1" applyBorder="1" applyProtection="1">
      <protection locked="0"/>
    </xf>
    <xf numFmtId="3" fontId="22" fillId="4" borderId="0" xfId="0" applyNumberFormat="1" applyFont="1" applyFill="1" applyBorder="1" applyProtection="1">
      <protection locked="0"/>
    </xf>
    <xf numFmtId="0" fontId="31" fillId="4" borderId="0" xfId="0" applyFont="1" applyFill="1" applyAlignment="1">
      <alignment horizontal="center" readingOrder="1"/>
    </xf>
    <xf numFmtId="3" fontId="31" fillId="4" borderId="0" xfId="0" applyNumberFormat="1" applyFont="1" applyFill="1" applyBorder="1" applyAlignment="1">
      <alignment horizontal="center" readingOrder="1"/>
    </xf>
    <xf numFmtId="49" fontId="22" fillId="4" borderId="1" xfId="9" applyNumberFormat="1" applyFont="1" applyFill="1" applyBorder="1" applyAlignment="1" applyProtection="1">
      <alignment horizontal="left"/>
    </xf>
    <xf numFmtId="41" fontId="22" fillId="4" borderId="1" xfId="0" applyNumberFormat="1" applyFont="1" applyFill="1" applyBorder="1" applyAlignment="1">
      <alignment horizontal="left"/>
    </xf>
    <xf numFmtId="166" fontId="22" fillId="4" borderId="1" xfId="1" applyNumberFormat="1" applyFont="1" applyFill="1" applyBorder="1" applyAlignment="1">
      <alignment horizontal="left"/>
    </xf>
    <xf numFmtId="167" fontId="22" fillId="4" borderId="1" xfId="9" applyNumberFormat="1" applyFont="1" applyFill="1" applyBorder="1" applyAlignment="1" applyProtection="1">
      <alignment horizontal="right"/>
    </xf>
    <xf numFmtId="0" fontId="22" fillId="4" borderId="1" xfId="0" applyFont="1" applyFill="1" applyBorder="1" applyAlignment="1">
      <alignment horizontal="center"/>
    </xf>
    <xf numFmtId="0" fontId="22" fillId="4" borderId="1" xfId="0" applyNumberFormat="1" applyFont="1" applyFill="1" applyBorder="1" applyAlignment="1">
      <alignment horizontal="center"/>
    </xf>
    <xf numFmtId="0" fontId="22" fillId="4" borderId="1" xfId="1" applyNumberFormat="1" applyFont="1" applyFill="1" applyBorder="1" applyAlignment="1">
      <alignment horizontal="center"/>
    </xf>
    <xf numFmtId="164" fontId="22" fillId="4" borderId="1" xfId="0" applyNumberFormat="1" applyFont="1" applyFill="1" applyBorder="1" applyAlignment="1">
      <alignment horizontal="center" wrapText="1"/>
    </xf>
    <xf numFmtId="41" fontId="22" fillId="4" borderId="1" xfId="0" applyNumberFormat="1" applyFont="1" applyFill="1" applyBorder="1" applyAlignment="1">
      <alignment horizontal="center" wrapText="1"/>
    </xf>
    <xf numFmtId="166" fontId="22" fillId="4" borderId="1" xfId="1" applyNumberFormat="1" applyFont="1" applyFill="1" applyBorder="1" applyAlignment="1">
      <alignment horizontal="center" wrapText="1"/>
    </xf>
    <xf numFmtId="0" fontId="22" fillId="4" borderId="1" xfId="9" applyFont="1" applyFill="1" applyBorder="1" applyAlignment="1" applyProtection="1">
      <alignment horizontal="left"/>
    </xf>
    <xf numFmtId="0" fontId="29" fillId="4" borderId="1" xfId="0" applyFont="1" applyFill="1" applyBorder="1"/>
    <xf numFmtId="168" fontId="29" fillId="4" borderId="1" xfId="0" applyNumberFormat="1" applyFont="1" applyFill="1" applyBorder="1"/>
    <xf numFmtId="41" fontId="29" fillId="4" borderId="1" xfId="0" applyNumberFormat="1" applyFont="1" applyFill="1" applyBorder="1" applyAlignment="1">
      <alignment horizontal="right"/>
    </xf>
    <xf numFmtId="3" fontId="29" fillId="4" borderId="1" xfId="0" applyNumberFormat="1" applyFont="1" applyFill="1" applyBorder="1"/>
    <xf numFmtId="167" fontId="22" fillId="4" borderId="1" xfId="0" applyNumberFormat="1" applyFont="1" applyFill="1" applyBorder="1" applyAlignment="1">
      <alignment horizontal="right"/>
    </xf>
    <xf numFmtId="0" fontId="29" fillId="4" borderId="1" xfId="0" applyFont="1" applyFill="1" applyBorder="1" applyAlignment="1">
      <alignment horizontal="center" wrapText="1"/>
    </xf>
    <xf numFmtId="0" fontId="29" fillId="4" borderId="1" xfId="0" applyFont="1" applyFill="1" applyBorder="1" applyAlignment="1">
      <alignment horizontal="center"/>
    </xf>
    <xf numFmtId="0" fontId="29" fillId="4" borderId="1" xfId="0" applyNumberFormat="1" applyFont="1" applyFill="1" applyBorder="1" applyAlignment="1">
      <alignment horizontal="center"/>
    </xf>
    <xf numFmtId="3" fontId="29" fillId="4" borderId="1" xfId="0" applyNumberFormat="1" applyFont="1" applyFill="1" applyBorder="1" applyAlignment="1">
      <alignment horizontal="center"/>
    </xf>
    <xf numFmtId="0" fontId="29" fillId="4" borderId="1" xfId="0" quotePrefix="1" applyNumberFormat="1" applyFont="1" applyFill="1" applyBorder="1" applyAlignment="1">
      <alignment horizontal="center"/>
    </xf>
    <xf numFmtId="0" fontId="22" fillId="4" borderId="1" xfId="0" applyFont="1" applyFill="1" applyBorder="1" applyAlignment="1">
      <alignment horizontal="center" wrapText="1"/>
    </xf>
    <xf numFmtId="0" fontId="22" fillId="4" borderId="1" xfId="0" quotePrefix="1" applyFont="1" applyFill="1" applyBorder="1" applyAlignment="1">
      <alignment horizontal="center" wrapText="1"/>
    </xf>
    <xf numFmtId="168" fontId="22" fillId="4" borderId="1" xfId="0" applyNumberFormat="1" applyFont="1" applyFill="1" applyBorder="1" applyAlignment="1">
      <alignment horizontal="center" wrapText="1"/>
    </xf>
    <xf numFmtId="3" fontId="22" fillId="4" borderId="1" xfId="0" applyNumberFormat="1" applyFont="1" applyFill="1" applyBorder="1" applyAlignment="1">
      <alignment horizontal="center" wrapText="1"/>
    </xf>
    <xf numFmtId="49" fontId="29" fillId="4" borderId="1" xfId="9" applyNumberFormat="1" applyFont="1" applyFill="1" applyBorder="1" applyAlignment="1" applyProtection="1">
      <alignment horizontal="left"/>
    </xf>
    <xf numFmtId="41" fontId="29" fillId="4" borderId="1" xfId="0" applyNumberFormat="1" applyFont="1" applyFill="1" applyBorder="1" applyAlignment="1">
      <alignment horizontal="left"/>
    </xf>
    <xf numFmtId="166" fontId="29" fillId="4" borderId="1" xfId="1" applyNumberFormat="1" applyFont="1" applyFill="1" applyBorder="1" applyAlignment="1"/>
    <xf numFmtId="167" fontId="29" fillId="4" borderId="1" xfId="9" applyNumberFormat="1" applyFont="1" applyFill="1" applyBorder="1" applyAlignment="1" applyProtection="1">
      <alignment horizontal="left"/>
    </xf>
    <xf numFmtId="41" fontId="29" fillId="4" borderId="1" xfId="0" applyNumberFormat="1" applyFont="1" applyFill="1" applyBorder="1" applyAlignment="1">
      <alignment horizontal="center"/>
    </xf>
    <xf numFmtId="0" fontId="29" fillId="4" borderId="1" xfId="1" applyNumberFormat="1" applyFont="1" applyFill="1" applyBorder="1" applyAlignment="1">
      <alignment horizontal="center"/>
    </xf>
    <xf numFmtId="0" fontId="22" fillId="4" borderId="1" xfId="0" applyFont="1" applyFill="1" applyBorder="1" applyAlignment="1">
      <alignment horizontal="left"/>
    </xf>
    <xf numFmtId="164" fontId="22" fillId="4" borderId="1" xfId="0" applyNumberFormat="1" applyFont="1" applyFill="1" applyBorder="1" applyAlignment="1">
      <alignment horizontal="left"/>
    </xf>
    <xf numFmtId="3" fontId="22" fillId="4" borderId="1" xfId="0" applyNumberFormat="1" applyFont="1" applyFill="1" applyBorder="1" applyAlignment="1">
      <alignment horizontal="left"/>
    </xf>
    <xf numFmtId="3" fontId="22" fillId="4" borderId="1" xfId="0" applyNumberFormat="1" applyFont="1" applyFill="1" applyBorder="1" applyAlignment="1">
      <alignment horizontal="center"/>
    </xf>
    <xf numFmtId="0" fontId="37" fillId="4" borderId="0" xfId="7" applyFont="1" applyFill="1"/>
    <xf numFmtId="0" fontId="37" fillId="4" borderId="0" xfId="0" applyFont="1" applyFill="1"/>
    <xf numFmtId="0" fontId="22" fillId="4" borderId="0" xfId="7" applyFont="1" applyFill="1" applyProtection="1"/>
    <xf numFmtId="0" fontId="22" fillId="4" borderId="0" xfId="7" applyFont="1" applyFill="1"/>
    <xf numFmtId="0" fontId="38" fillId="4" borderId="0" xfId="7" applyFont="1" applyFill="1" applyBorder="1" applyAlignment="1" applyProtection="1">
      <protection hidden="1"/>
    </xf>
    <xf numFmtId="49" fontId="22" fillId="4" borderId="0" xfId="7" applyNumberFormat="1" applyFont="1" applyFill="1" applyProtection="1"/>
    <xf numFmtId="0" fontId="22" fillId="4" borderId="0" xfId="7" applyFont="1" applyFill="1" applyBorder="1" applyAlignment="1" applyProtection="1">
      <alignment horizontal="right"/>
    </xf>
    <xf numFmtId="0" fontId="34" fillId="4" borderId="0" xfId="7" applyFont="1" applyFill="1" applyBorder="1" applyAlignment="1" applyProtection="1">
      <alignment horizontal="center"/>
    </xf>
    <xf numFmtId="0" fontId="35" fillId="4" borderId="0" xfId="7" applyFont="1" applyFill="1" applyProtection="1"/>
    <xf numFmtId="0" fontId="36" fillId="4" borderId="0" xfId="7" quotePrefix="1" applyFont="1" applyFill="1" applyAlignment="1" applyProtection="1">
      <alignment horizontal="left"/>
    </xf>
    <xf numFmtId="0" fontId="22" fillId="4" borderId="0" xfId="7" applyFont="1" applyFill="1" applyAlignment="1" applyProtection="1">
      <alignment horizontal="right"/>
    </xf>
    <xf numFmtId="0" fontId="31" fillId="4" borderId="9" xfId="7" applyFont="1" applyFill="1" applyBorder="1" applyAlignment="1" applyProtection="1">
      <alignment horizontal="left"/>
    </xf>
    <xf numFmtId="0" fontId="31" fillId="4" borderId="10" xfId="7" applyFont="1" applyFill="1" applyBorder="1" applyAlignment="1" applyProtection="1">
      <alignment horizontal="center"/>
    </xf>
    <xf numFmtId="0" fontId="31" fillId="4" borderId="11" xfId="7" applyFont="1" applyFill="1" applyBorder="1" applyAlignment="1" applyProtection="1">
      <alignment horizontal="center" wrapText="1"/>
    </xf>
    <xf numFmtId="0" fontId="22" fillId="4" borderId="11" xfId="7" applyFont="1" applyFill="1" applyBorder="1" applyProtection="1"/>
    <xf numFmtId="0" fontId="22" fillId="4" borderId="12" xfId="7" applyFont="1" applyFill="1" applyBorder="1" applyProtection="1"/>
    <xf numFmtId="41" fontId="22" fillId="4" borderId="15" xfId="7" applyNumberFormat="1" applyFont="1" applyFill="1" applyBorder="1" applyProtection="1">
      <protection hidden="1"/>
    </xf>
    <xf numFmtId="41" fontId="22" fillId="4" borderId="19" xfId="7" applyNumberFormat="1" applyFont="1" applyFill="1" applyBorder="1" applyProtection="1">
      <protection locked="0"/>
    </xf>
    <xf numFmtId="41" fontId="22" fillId="4" borderId="13" xfId="7" applyNumberFormat="1" applyFont="1" applyFill="1" applyBorder="1" applyProtection="1">
      <protection hidden="1"/>
    </xf>
    <xf numFmtId="41" fontId="22" fillId="4" borderId="20" xfId="7" applyNumberFormat="1" applyFont="1" applyFill="1" applyBorder="1" applyProtection="1">
      <protection locked="0"/>
    </xf>
    <xf numFmtId="0" fontId="22" fillId="4" borderId="13" xfId="7" applyFont="1" applyFill="1" applyBorder="1" applyProtection="1"/>
    <xf numFmtId="0" fontId="31" fillId="4" borderId="14" xfId="7" applyFont="1" applyFill="1" applyBorder="1" applyProtection="1"/>
    <xf numFmtId="41" fontId="31" fillId="4" borderId="18" xfId="2" applyNumberFormat="1" applyFont="1" applyFill="1" applyBorder="1" applyProtection="1">
      <protection hidden="1"/>
    </xf>
    <xf numFmtId="41" fontId="31" fillId="4" borderId="21" xfId="2" applyNumberFormat="1" applyFont="1" applyFill="1" applyBorder="1" applyProtection="1">
      <protection hidden="1"/>
    </xf>
    <xf numFmtId="41" fontId="22" fillId="4" borderId="11" xfId="7" applyNumberFormat="1" applyFont="1" applyFill="1" applyBorder="1" applyProtection="1">
      <protection hidden="1"/>
    </xf>
    <xf numFmtId="41" fontId="22" fillId="4" borderId="10" xfId="7" applyNumberFormat="1" applyFont="1" applyFill="1" applyBorder="1" applyProtection="1"/>
    <xf numFmtId="0" fontId="22" fillId="4" borderId="15" xfId="7" applyFont="1" applyFill="1" applyBorder="1" applyProtection="1"/>
    <xf numFmtId="0" fontId="22" fillId="4" borderId="16" xfId="7" applyFont="1" applyFill="1" applyBorder="1" applyProtection="1"/>
    <xf numFmtId="41" fontId="31" fillId="4" borderId="23" xfId="2" applyNumberFormat="1" applyFont="1" applyFill="1" applyBorder="1" applyProtection="1">
      <protection hidden="1"/>
    </xf>
    <xf numFmtId="41" fontId="31" fillId="4" borderId="22" xfId="2" applyNumberFormat="1" applyFont="1" applyFill="1" applyBorder="1" applyProtection="1">
      <protection hidden="1"/>
    </xf>
    <xf numFmtId="41" fontId="31" fillId="4" borderId="11" xfId="2" applyNumberFormat="1" applyFont="1" applyFill="1" applyBorder="1" applyProtection="1">
      <protection hidden="1"/>
    </xf>
    <xf numFmtId="41" fontId="31" fillId="4" borderId="11" xfId="2" applyNumberFormat="1" applyFont="1" applyFill="1" applyBorder="1" applyProtection="1">
      <protection locked="0" hidden="1"/>
    </xf>
    <xf numFmtId="0" fontId="31" fillId="4" borderId="9" xfId="7" applyFont="1" applyFill="1" applyBorder="1" applyProtection="1"/>
    <xf numFmtId="41" fontId="22" fillId="4" borderId="0" xfId="7" applyNumberFormat="1" applyFont="1" applyFill="1" applyProtection="1">
      <protection hidden="1"/>
    </xf>
    <xf numFmtId="41" fontId="22" fillId="4" borderId="0" xfId="7" applyNumberFormat="1" applyFont="1" applyFill="1" applyProtection="1"/>
    <xf numFmtId="0" fontId="22" fillId="4" borderId="0" xfId="7" applyFont="1" applyFill="1" applyProtection="1">
      <protection hidden="1"/>
    </xf>
    <xf numFmtId="0" fontId="31" fillId="4" borderId="0" xfId="7" applyFont="1" applyFill="1" applyAlignment="1" applyProtection="1">
      <alignment horizontal="left"/>
    </xf>
    <xf numFmtId="0" fontId="32" fillId="4" borderId="0" xfId="7" applyFont="1" applyFill="1" applyAlignment="1" applyProtection="1">
      <alignment horizontal="center"/>
    </xf>
    <xf numFmtId="0" fontId="31" fillId="4" borderId="0" xfId="7" quotePrefix="1" applyFont="1" applyFill="1" applyAlignment="1" applyProtection="1">
      <alignment horizontal="left"/>
    </xf>
    <xf numFmtId="0" fontId="31" fillId="4" borderId="0" xfId="7" quotePrefix="1" applyFont="1" applyFill="1" applyAlignment="1" applyProtection="1">
      <alignment horizontal="left"/>
      <protection locked="0"/>
    </xf>
    <xf numFmtId="0" fontId="22" fillId="4" borderId="0" xfId="7" applyFont="1" applyFill="1" applyProtection="1">
      <protection locked="0"/>
    </xf>
    <xf numFmtId="0" fontId="22" fillId="4" borderId="0" xfId="7" applyFont="1" applyFill="1" applyAlignment="1" applyProtection="1">
      <alignment horizontal="right"/>
      <protection locked="0"/>
    </xf>
    <xf numFmtId="0" fontId="22" fillId="4" borderId="17" xfId="7" applyFont="1" applyFill="1" applyBorder="1" applyProtection="1">
      <protection locked="0"/>
    </xf>
    <xf numFmtId="0" fontId="22" fillId="4" borderId="17" xfId="7" applyFont="1" applyFill="1" applyBorder="1" applyProtection="1"/>
    <xf numFmtId="0" fontId="22" fillId="4" borderId="0" xfId="7" quotePrefix="1" applyFont="1" applyFill="1" applyAlignment="1" applyProtection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3" fontId="0" fillId="4" borderId="1" xfId="0" applyNumberFormat="1" applyFill="1" applyBorder="1"/>
    <xf numFmtId="3" fontId="0" fillId="4" borderId="2" xfId="0" applyNumberFormat="1" applyFill="1" applyBorder="1"/>
    <xf numFmtId="3" fontId="0" fillId="4" borderId="3" xfId="0" applyNumberFormat="1" applyFill="1" applyBorder="1"/>
    <xf numFmtId="0" fontId="3" fillId="4" borderId="4" xfId="9" applyFont="1" applyFill="1" applyBorder="1" applyAlignment="1" applyProtection="1">
      <alignment horizontal="left"/>
    </xf>
    <xf numFmtId="0" fontId="3" fillId="0" borderId="0" xfId="0" applyFont="1" applyAlignment="1" applyProtection="1">
      <alignment horizontal="center"/>
      <protection locked="0"/>
    </xf>
    <xf numFmtId="3" fontId="22" fillId="4" borderId="1" xfId="0" applyNumberFormat="1" applyFont="1" applyFill="1" applyBorder="1" applyAlignment="1">
      <alignment wrapText="1"/>
    </xf>
    <xf numFmtId="3" fontId="31" fillId="4" borderId="0" xfId="0" applyNumberFormat="1" applyFont="1" applyFill="1" applyBorder="1" applyAlignment="1">
      <alignment vertical="center"/>
    </xf>
    <xf numFmtId="3" fontId="31" fillId="0" borderId="1" xfId="0" applyNumberFormat="1" applyFont="1" applyFill="1" applyBorder="1" applyProtection="1">
      <protection locked="0"/>
    </xf>
    <xf numFmtId="49" fontId="24" fillId="0" borderId="6" xfId="0" applyNumberFormat="1" applyFont="1" applyFill="1" applyBorder="1" applyAlignment="1" applyProtection="1">
      <alignment horizontal="center"/>
      <protection locked="0"/>
    </xf>
    <xf numFmtId="0" fontId="23" fillId="5" borderId="24" xfId="0" applyFont="1" applyFill="1" applyBorder="1" applyAlignment="1" applyProtection="1">
      <alignment horizontal="center" wrapText="1"/>
    </xf>
    <xf numFmtId="0" fontId="24" fillId="0" borderId="7" xfId="0" applyFont="1" applyFill="1" applyBorder="1" applyAlignment="1" applyProtection="1">
      <alignment horizontal="left"/>
      <protection locked="0"/>
    </xf>
    <xf numFmtId="0" fontId="26" fillId="0" borderId="7" xfId="4" applyFont="1" applyFill="1" applyBorder="1" applyAlignment="1" applyProtection="1">
      <alignment horizontal="left"/>
      <protection locked="0"/>
    </xf>
    <xf numFmtId="18" fontId="39" fillId="5" borderId="0" xfId="0" applyNumberFormat="1" applyFont="1" applyFill="1" applyAlignment="1" applyProtection="1">
      <alignment horizontal="center"/>
    </xf>
    <xf numFmtId="0" fontId="39" fillId="5" borderId="0" xfId="0" applyFont="1" applyFill="1" applyAlignment="1" applyProtection="1">
      <alignment horizontal="center"/>
    </xf>
    <xf numFmtId="0" fontId="24" fillId="0" borderId="6" xfId="0" applyFont="1" applyFill="1" applyBorder="1" applyAlignment="1" applyProtection="1">
      <alignment horizontal="left"/>
      <protection locked="0"/>
    </xf>
    <xf numFmtId="169" fontId="24" fillId="0" borderId="7" xfId="0" quotePrefix="1" applyNumberFormat="1" applyFont="1" applyFill="1" applyBorder="1" applyAlignment="1" applyProtection="1">
      <alignment horizontal="center"/>
      <protection locked="0"/>
    </xf>
    <xf numFmtId="169" fontId="24" fillId="0" borderId="7" xfId="0" applyNumberFormat="1" applyFont="1" applyFill="1" applyBorder="1" applyAlignment="1" applyProtection="1">
      <alignment horizontal="center"/>
      <protection locked="0"/>
    </xf>
    <xf numFmtId="166" fontId="31" fillId="4" borderId="1" xfId="1" quotePrefix="1" applyNumberFormat="1" applyFont="1" applyFill="1" applyBorder="1" applyAlignment="1">
      <alignment horizontal="center"/>
    </xf>
    <xf numFmtId="166" fontId="31" fillId="4" borderId="1" xfId="1" applyNumberFormat="1" applyFont="1" applyFill="1" applyBorder="1" applyAlignment="1">
      <alignment horizontal="center"/>
    </xf>
    <xf numFmtId="3" fontId="39" fillId="4" borderId="1" xfId="0" applyNumberFormat="1" applyFont="1" applyFill="1" applyBorder="1" applyAlignment="1">
      <alignment horizontal="center"/>
    </xf>
    <xf numFmtId="3" fontId="39" fillId="4" borderId="0" xfId="0" applyNumberFormat="1" applyFont="1" applyFill="1" applyAlignment="1">
      <alignment horizontal="center"/>
    </xf>
    <xf numFmtId="0" fontId="39" fillId="4" borderId="0" xfId="0" applyFont="1" applyFill="1" applyAlignment="1">
      <alignment horizontal="center"/>
    </xf>
    <xf numFmtId="0" fontId="39" fillId="4" borderId="0" xfId="0" quotePrefix="1" applyFont="1" applyFill="1" applyAlignment="1">
      <alignment horizontal="center"/>
    </xf>
    <xf numFmtId="0" fontId="39" fillId="4" borderId="0" xfId="0" applyFont="1" applyFill="1" applyBorder="1" applyAlignment="1">
      <alignment horizontal="center"/>
    </xf>
    <xf numFmtId="0" fontId="31" fillId="4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1" fillId="4" borderId="0" xfId="9" applyFont="1" applyFill="1" applyBorder="1" applyAlignment="1" applyProtection="1">
      <alignment horizontal="left" wrapText="1"/>
    </xf>
    <xf numFmtId="0" fontId="6" fillId="0" borderId="0" xfId="0" applyFont="1" applyBorder="1" applyAlignment="1">
      <alignment wrapText="1"/>
    </xf>
    <xf numFmtId="166" fontId="39" fillId="4" borderId="1" xfId="1" quotePrefix="1" applyNumberFormat="1" applyFont="1" applyFill="1" applyBorder="1" applyAlignment="1">
      <alignment horizontal="center"/>
    </xf>
    <xf numFmtId="166" fontId="39" fillId="4" borderId="1" xfId="1" applyNumberFormat="1" applyFont="1" applyFill="1" applyBorder="1" applyAlignment="1">
      <alignment horizontal="center"/>
    </xf>
    <xf numFmtId="0" fontId="22" fillId="4" borderId="0" xfId="7" quotePrefix="1" applyFont="1" applyFill="1" applyAlignment="1" applyProtection="1">
      <alignment horizontal="left"/>
    </xf>
    <xf numFmtId="0" fontId="22" fillId="4" borderId="0" xfId="7" applyFont="1" applyFill="1" applyAlignment="1" applyProtection="1">
      <alignment horizontal="left"/>
    </xf>
    <xf numFmtId="0" fontId="31" fillId="4" borderId="9" xfId="7" applyFont="1" applyFill="1" applyBorder="1" applyAlignment="1" applyProtection="1">
      <alignment horizontal="center"/>
    </xf>
    <xf numFmtId="0" fontId="31" fillId="4" borderId="10" xfId="7" applyFont="1" applyFill="1" applyBorder="1" applyAlignment="1" applyProtection="1">
      <alignment horizontal="center"/>
    </xf>
    <xf numFmtId="0" fontId="31" fillId="4" borderId="0" xfId="7" applyFont="1" applyFill="1" applyAlignment="1" applyProtection="1">
      <alignment horizontal="center"/>
    </xf>
    <xf numFmtId="0" fontId="22" fillId="4" borderId="0" xfId="7" applyFont="1" applyFill="1" applyAlignment="1" applyProtection="1">
      <alignment horizontal="center"/>
    </xf>
    <xf numFmtId="3" fontId="39" fillId="4" borderId="0" xfId="0" applyNumberFormat="1" applyFont="1" applyFill="1" applyBorder="1" applyAlignment="1" applyProtection="1">
      <alignment horizontal="center"/>
    </xf>
    <xf numFmtId="0" fontId="39" fillId="4" borderId="0" xfId="0" applyFont="1" applyFill="1" applyBorder="1" applyAlignment="1" applyProtection="1">
      <alignment horizontal="center"/>
    </xf>
    <xf numFmtId="0" fontId="40" fillId="4" borderId="25" xfId="8" applyFont="1" applyFill="1" applyBorder="1" applyAlignment="1" applyProtection="1">
      <alignment horizontal="center"/>
    </xf>
    <xf numFmtId="0" fontId="40" fillId="4" borderId="0" xfId="8" applyFont="1" applyFill="1" applyBorder="1" applyAlignment="1" applyProtection="1">
      <alignment horizontal="center"/>
    </xf>
    <xf numFmtId="0" fontId="40" fillId="4" borderId="9" xfId="8" applyFont="1" applyFill="1" applyBorder="1" applyAlignment="1" applyProtection="1">
      <alignment horizontal="center"/>
    </xf>
    <xf numFmtId="0" fontId="31" fillId="4" borderId="0" xfId="7" applyFont="1" applyFill="1" applyBorder="1" applyAlignment="1" applyProtection="1">
      <alignment horizontal="center"/>
    </xf>
    <xf numFmtId="0" fontId="31" fillId="4" borderId="14" xfId="7" applyFont="1" applyFill="1" applyBorder="1" applyAlignment="1" applyProtection="1">
      <alignment horizontal="center"/>
    </xf>
    <xf numFmtId="0" fontId="31" fillId="4" borderId="21" xfId="7" applyFont="1" applyFill="1" applyBorder="1" applyAlignment="1" applyProtection="1">
      <alignment horizontal="center"/>
    </xf>
    <xf numFmtId="0" fontId="3" fillId="0" borderId="0" xfId="0" applyFont="1" applyFill="1" applyAlignment="1">
      <alignment horizontal="center" wrapText="1"/>
    </xf>
    <xf numFmtId="0" fontId="11" fillId="0" borderId="0" xfId="0" applyFont="1" applyAlignment="1">
      <alignment horizontal="center"/>
    </xf>
    <xf numFmtId="0" fontId="2" fillId="0" borderId="0" xfId="0" quotePrefix="1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17" fillId="0" borderId="26" xfId="6" applyBorder="1" applyAlignment="1">
      <alignment wrapText="1"/>
    </xf>
    <xf numFmtId="0" fontId="17" fillId="0" borderId="3" xfId="6" applyBorder="1" applyAlignment="1">
      <alignment wrapText="1"/>
    </xf>
  </cellXfs>
  <cellStyles count="10">
    <cellStyle name="Comma" xfId="1" builtinId="3"/>
    <cellStyle name="Comma 2" xfId="2"/>
    <cellStyle name="Currency" xfId="3" builtinId="4"/>
    <cellStyle name="Hyperlink" xfId="4" builtinId="8"/>
    <cellStyle name="Normal" xfId="0" builtinId="0"/>
    <cellStyle name="Normal 2" xfId="5"/>
    <cellStyle name="Normal 2 2" xfId="6"/>
    <cellStyle name="Normal 3" xfId="7"/>
    <cellStyle name="Normal_Budget File" xfId="8"/>
    <cellStyle name="Normal_STEVEMA" xfId="9"/>
  </cellStyles>
  <dxfs count="6">
    <dxf>
      <fill>
        <patternFill>
          <bgColor indexed="29"/>
        </patternFill>
      </fill>
    </dxf>
    <dxf>
      <font>
        <strike/>
        <condense val="0"/>
        <extend val="0"/>
        <color auto="1"/>
      </font>
      <fill>
        <patternFill>
          <bgColor indexed="29"/>
        </patternFill>
      </fill>
    </dxf>
    <dxf>
      <font>
        <strike/>
        <condense val="0"/>
        <extend val="0"/>
        <color auto="1"/>
      </font>
      <fill>
        <patternFill>
          <bgColor indexed="29"/>
        </patternFill>
      </fill>
    </dxf>
    <dxf>
      <font>
        <strike/>
      </font>
    </dxf>
    <dxf>
      <font>
        <strike/>
        <condense val="0"/>
        <extend val="0"/>
        <color auto="1"/>
      </font>
      <fill>
        <patternFill>
          <bgColor indexed="29"/>
        </patternFill>
      </fill>
    </dxf>
    <dxf>
      <font>
        <strike/>
        <condense val="0"/>
        <extend val="0"/>
        <color auto="1"/>
      </font>
      <fill>
        <patternFill>
          <bgColor indexed="2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99060</xdr:colOff>
          <xdr:row>0</xdr:row>
          <xdr:rowOff>137160</xdr:rowOff>
        </xdr:from>
        <xdr:to>
          <xdr:col>5</xdr:col>
          <xdr:colOff>381000</xdr:colOff>
          <xdr:row>50</xdr:row>
          <xdr:rowOff>129540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114300</xdr:colOff>
          <xdr:row>52</xdr:row>
          <xdr:rowOff>7620</xdr:rowOff>
        </xdr:from>
        <xdr:to>
          <xdr:col>5</xdr:col>
          <xdr:colOff>381000</xdr:colOff>
          <xdr:row>104</xdr:row>
          <xdr:rowOff>121920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24</xdr:row>
      <xdr:rowOff>0</xdr:rowOff>
    </xdr:from>
    <xdr:to>
      <xdr:col>2</xdr:col>
      <xdr:colOff>1470660</xdr:colOff>
      <xdr:row>26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5540" y="4419600"/>
          <a:ext cx="1470660" cy="4800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mpetitive%20Grants/Recruitment%20and%20Retention/FY%2007-08/Budgets/0010-66,%20Maplet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mpetitive%20Grants/Title%20I%20-%20SI%20-%20School%20%20Improvement/Cohort%207/Year%201/SIG%20Budget%20Template%20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urly.cde.state.co.us/exchange/morgan_s/Inbox/DIP%20Budget%20Template%20in%20process.xls.EML/DIP%20Budget%20Template%20in%20process.xls/C58EA28C-18C0-4a97-9AF2-036E93DDAFB3/CDDRE%20Budget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ead%20to%20Achieve\Budget%20File%20Examp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OMPETITIVE%20GRANTS/Read%20to%20Achieve/FY%2007-08,%2008-09,%2009-10/Budget%20Fi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Instructions"/>
      <sheetName val="2-Cover Page"/>
      <sheetName val="3-Budget Detail"/>
      <sheetName val="4-Budget Summary"/>
      <sheetName val="5-Annual Financial Report"/>
      <sheetName val="6-District Code Table"/>
      <sheetName val="7-Error Checking"/>
      <sheetName val="List Data"/>
      <sheetName val="Calculation Detail"/>
      <sheetName val="Indirect Rate FY 07-08"/>
      <sheetName val="AFR Variance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>
        <row r="1">
          <cell r="A1" t="str">
            <v>Original Budget</v>
          </cell>
          <cell r="C1" t="str">
            <v>Salaries (0100)</v>
          </cell>
        </row>
        <row r="2">
          <cell r="A2" t="str">
            <v>Revised Budget</v>
          </cell>
          <cell r="C2" t="str">
            <v>Employee Benefits (0200)</v>
          </cell>
        </row>
        <row r="3">
          <cell r="C3" t="str">
            <v>Purchased Professional &amp; Technical Services (0300)</v>
          </cell>
        </row>
        <row r="4">
          <cell r="C4" t="str">
            <v>Purchased Property Services (0400)</v>
          </cell>
        </row>
        <row r="5">
          <cell r="C5" t="str">
            <v>Other Purchased Services (0500)</v>
          </cell>
        </row>
        <row r="6">
          <cell r="C6" t="str">
            <v>Supplies (0600)</v>
          </cell>
        </row>
        <row r="7">
          <cell r="C7" t="str">
            <v>Property (0700)</v>
          </cell>
        </row>
        <row r="8">
          <cell r="C8" t="str">
            <v>Other (0800)</v>
          </cell>
        </row>
        <row r="11">
          <cell r="C11" t="str">
            <v>Instructional Program</v>
          </cell>
        </row>
        <row r="12">
          <cell r="C12" t="str">
            <v>Support Program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Instructions"/>
      <sheetName val="2-Cover Page"/>
      <sheetName val="3-Budget Detail"/>
      <sheetName val="4-Equipment"/>
      <sheetName val="5a-Budget Summary-Year 1"/>
      <sheetName val="5b-Budget Summary-Year 2"/>
      <sheetName val="6a-AFR Expenditure Detail"/>
      <sheetName val="6b-AFR Equipment Detail"/>
      <sheetName val="7-Annual Financial Report"/>
      <sheetName val="8-Error Checking"/>
      <sheetName val="9-Indirect Rates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A1" t="str">
            <v>Original Budget</v>
          </cell>
          <cell r="D1" t="str">
            <v>Instructional Program - Salaries (0100)</v>
          </cell>
        </row>
        <row r="2">
          <cell r="A2" t="str">
            <v>Revised Budget</v>
          </cell>
          <cell r="D2" t="str">
            <v>Instructional Program - Employee Benefits (0200)</v>
          </cell>
        </row>
        <row r="3">
          <cell r="A3" t="str">
            <v>Annual Financial Report</v>
          </cell>
          <cell r="D3" t="str">
            <v>Instructional Program - Purchased Professional &amp; Technical Services (0300)</v>
          </cell>
        </row>
        <row r="4">
          <cell r="A4" t="str">
            <v>Revised Annual Financial Report</v>
          </cell>
          <cell r="D4" t="str">
            <v>Instructional Program - Other Purchased Services (0500)</v>
          </cell>
        </row>
        <row r="5">
          <cell r="A5" t="str">
            <v>Project 1-Year 1</v>
          </cell>
          <cell r="D5" t="str">
            <v>Instructional Program - Travel, Registration and Entrance (0580)</v>
          </cell>
        </row>
        <row r="6">
          <cell r="A6" t="str">
            <v>Project 2-Year 1</v>
          </cell>
          <cell r="D6" t="str">
            <v>Instructional Program - Supplies (0600)</v>
          </cell>
        </row>
        <row r="7">
          <cell r="A7" t="str">
            <v>Project 3-Year 1</v>
          </cell>
          <cell r="D7" t="str">
            <v>Support Program - Salaries (0100)</v>
          </cell>
        </row>
        <row r="8">
          <cell r="A8" t="str">
            <v>Project 4-Year 1</v>
          </cell>
          <cell r="D8" t="str">
            <v>Support Program - Employee Benefits (0200)</v>
          </cell>
        </row>
        <row r="9">
          <cell r="A9" t="str">
            <v>Project 5-Year 1</v>
          </cell>
          <cell r="D9" t="str">
            <v>Support Program - Purchased Professional &amp; Technical Services (0300)</v>
          </cell>
        </row>
        <row r="10">
          <cell r="A10" t="str">
            <v>Project 1-Year 2</v>
          </cell>
          <cell r="D10" t="str">
            <v>Support Program - Other Purchased Services (0500)</v>
          </cell>
        </row>
        <row r="11">
          <cell r="A11" t="str">
            <v>Project 2-Year 2</v>
          </cell>
          <cell r="D11" t="str">
            <v>Support Program - Travel, Registration and Entrance (0580)</v>
          </cell>
        </row>
        <row r="12">
          <cell r="A12" t="str">
            <v>Project 3-Year 2</v>
          </cell>
          <cell r="D12" t="str">
            <v>Support Program - Supplies (0600)</v>
          </cell>
        </row>
        <row r="13">
          <cell r="A13" t="str">
            <v>Project 4-Year 2</v>
          </cell>
        </row>
        <row r="14">
          <cell r="A14" t="str">
            <v>Project 5-Year 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Instructions"/>
      <sheetName val="2-Cover Page"/>
      <sheetName val="3-Budget Detail"/>
      <sheetName val="4-Equipment"/>
      <sheetName val="5-Budget Summary"/>
      <sheetName val="6-AFR Detail"/>
      <sheetName val="7-AFR Equipment"/>
      <sheetName val="8-Annual Financial Report"/>
      <sheetName val="6-Error Checking"/>
      <sheetName val="7-Indirect Rates"/>
      <sheetName val="Other"/>
    </sheetNames>
    <sheetDataSet>
      <sheetData sheetId="0" refreshError="1"/>
      <sheetData sheetId="1">
        <row r="4">
          <cell r="C4" t="str">
            <v>9160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">
          <cell r="A5" t="str">
            <v>Year2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Instructions"/>
      <sheetName val="2-Cover Page"/>
      <sheetName val="3-Budget Detail"/>
      <sheetName val="4-Equipment"/>
      <sheetName val="5-Budget Summary"/>
      <sheetName val="6-Error Checking"/>
      <sheetName val="7-Rate Table"/>
      <sheetName val="Other"/>
      <sheetName val="Calculation Equipment"/>
      <sheetName val="Calculation D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6">
          <cell r="C6">
            <v>14400</v>
          </cell>
          <cell r="E6" t="str">
            <v>0100-Year1</v>
          </cell>
        </row>
        <row r="7">
          <cell r="C7">
            <v>45150</v>
          </cell>
          <cell r="E7" t="str">
            <v>0100-Year1</v>
          </cell>
        </row>
        <row r="8">
          <cell r="C8">
            <v>15300</v>
          </cell>
          <cell r="E8" t="str">
            <v>0100-Year1</v>
          </cell>
        </row>
        <row r="9">
          <cell r="C9">
            <v>510</v>
          </cell>
          <cell r="E9" t="str">
            <v>0100-Year1</v>
          </cell>
        </row>
        <row r="10">
          <cell r="C10">
            <v>14465</v>
          </cell>
          <cell r="E10" t="str">
            <v>0200-Year1</v>
          </cell>
        </row>
        <row r="11">
          <cell r="C11">
            <v>6690</v>
          </cell>
          <cell r="E11" t="str">
            <v>0300-Year1</v>
          </cell>
        </row>
        <row r="12">
          <cell r="C12">
            <v>1755</v>
          </cell>
          <cell r="E12" t="str">
            <v>0300-Year1</v>
          </cell>
        </row>
        <row r="13">
          <cell r="C13">
            <v>22355</v>
          </cell>
          <cell r="E13" t="str">
            <v>0580-Year1</v>
          </cell>
        </row>
        <row r="14">
          <cell r="C14">
            <v>4221</v>
          </cell>
          <cell r="E14" t="str">
            <v>Cost-Year1</v>
          </cell>
        </row>
        <row r="15">
          <cell r="C15">
            <v>22606</v>
          </cell>
          <cell r="E15" t="str">
            <v>0100-Year2</v>
          </cell>
        </row>
        <row r="16">
          <cell r="C16">
            <v>98666</v>
          </cell>
          <cell r="E16" t="str">
            <v>0100-Year2</v>
          </cell>
        </row>
        <row r="17">
          <cell r="C17">
            <v>1</v>
          </cell>
          <cell r="E17" t="str">
            <v>0100-Year2</v>
          </cell>
        </row>
        <row r="18">
          <cell r="C18">
            <v>1</v>
          </cell>
          <cell r="E18" t="str">
            <v>0100-Year2</v>
          </cell>
        </row>
        <row r="19">
          <cell r="C19">
            <v>27173</v>
          </cell>
          <cell r="E19" t="str">
            <v>0200-Year2</v>
          </cell>
        </row>
        <row r="20">
          <cell r="C20">
            <v>22788</v>
          </cell>
          <cell r="E20" t="str">
            <v>0300-Year2</v>
          </cell>
        </row>
        <row r="21">
          <cell r="C21">
            <v>1</v>
          </cell>
          <cell r="E21" t="str">
            <v>0580-Year2</v>
          </cell>
        </row>
        <row r="22">
          <cell r="C22">
            <v>38856</v>
          </cell>
          <cell r="E22" t="str">
            <v>0600-Year2</v>
          </cell>
        </row>
        <row r="23">
          <cell r="C23">
            <v>4221</v>
          </cell>
          <cell r="E23" t="str">
            <v>Cost-Year2</v>
          </cell>
        </row>
        <row r="24">
          <cell r="C24">
            <v>7500</v>
          </cell>
          <cell r="E24" t="str">
            <v>0100-Year3</v>
          </cell>
        </row>
        <row r="25">
          <cell r="C25">
            <v>46504</v>
          </cell>
          <cell r="E25" t="str">
            <v>0100-Year3</v>
          </cell>
        </row>
        <row r="26">
          <cell r="C26">
            <v>16200</v>
          </cell>
          <cell r="E26" t="str">
            <v>0100-Year3</v>
          </cell>
        </row>
        <row r="27">
          <cell r="C27">
            <v>540</v>
          </cell>
          <cell r="E27" t="str">
            <v>0100-Year3</v>
          </cell>
        </row>
        <row r="28">
          <cell r="C28">
            <v>13866</v>
          </cell>
          <cell r="E28" t="str">
            <v>0200-Year3</v>
          </cell>
        </row>
        <row r="29">
          <cell r="C29">
            <v>2230</v>
          </cell>
          <cell r="E29" t="str">
            <v>0300-Year3</v>
          </cell>
        </row>
        <row r="30">
          <cell r="C30">
            <v>12530</v>
          </cell>
          <cell r="E30" t="str">
            <v>0580-Year3</v>
          </cell>
        </row>
        <row r="31">
          <cell r="C31">
            <v>21282</v>
          </cell>
          <cell r="E31" t="str">
            <v>0600-Year3</v>
          </cell>
        </row>
        <row r="32">
          <cell r="C32">
            <v>4221</v>
          </cell>
          <cell r="E32" t="str">
            <v>Cost-Year3</v>
          </cell>
        </row>
        <row r="33">
          <cell r="C33">
            <v>4950</v>
          </cell>
          <cell r="E33" t="str">
            <v>0100-Year1</v>
          </cell>
        </row>
        <row r="34">
          <cell r="C34">
            <v>4050</v>
          </cell>
          <cell r="E34" t="str">
            <v>0580-Year1</v>
          </cell>
        </row>
        <row r="35">
          <cell r="C35">
            <v>2500</v>
          </cell>
          <cell r="E35" t="str">
            <v>0100-Year1</v>
          </cell>
        </row>
        <row r="36">
          <cell r="C36">
            <v>2500</v>
          </cell>
          <cell r="E36" t="str">
            <v>0580-Year1</v>
          </cell>
        </row>
        <row r="37">
          <cell r="C37">
            <v>0</v>
          </cell>
          <cell r="E37" t="str">
            <v>0-0</v>
          </cell>
        </row>
        <row r="38">
          <cell r="C38">
            <v>0</v>
          </cell>
          <cell r="E38" t="str">
            <v>0-0</v>
          </cell>
        </row>
        <row r="39">
          <cell r="C39">
            <v>0</v>
          </cell>
          <cell r="E39" t="str">
            <v>0-0</v>
          </cell>
        </row>
        <row r="40">
          <cell r="C40">
            <v>0</v>
          </cell>
          <cell r="E40" t="str">
            <v>0-0</v>
          </cell>
        </row>
        <row r="41">
          <cell r="C41">
            <v>0</v>
          </cell>
          <cell r="E41" t="str">
            <v>0-0</v>
          </cell>
        </row>
        <row r="42">
          <cell r="C42">
            <v>0</v>
          </cell>
          <cell r="E42" t="str">
            <v>0-0</v>
          </cell>
        </row>
        <row r="43">
          <cell r="C43">
            <v>0</v>
          </cell>
          <cell r="E43" t="str">
            <v>0-0</v>
          </cell>
        </row>
        <row r="44">
          <cell r="C44">
            <v>0</v>
          </cell>
          <cell r="E44" t="str">
            <v>0-0</v>
          </cell>
        </row>
        <row r="45">
          <cell r="C45">
            <v>0</v>
          </cell>
          <cell r="E45" t="str">
            <v>0-0</v>
          </cell>
        </row>
        <row r="46">
          <cell r="C46">
            <v>0</v>
          </cell>
          <cell r="E46" t="str">
            <v>0-0</v>
          </cell>
        </row>
        <row r="47">
          <cell r="C47">
            <v>0</v>
          </cell>
          <cell r="E47" t="str">
            <v>0-0</v>
          </cell>
        </row>
        <row r="48">
          <cell r="C48">
            <v>0</v>
          </cell>
          <cell r="E48" t="str">
            <v>0-0</v>
          </cell>
        </row>
        <row r="49">
          <cell r="C49">
            <v>0</v>
          </cell>
          <cell r="E49" t="str">
            <v>0-0</v>
          </cell>
        </row>
        <row r="50">
          <cell r="C50">
            <v>0</v>
          </cell>
          <cell r="E50" t="str">
            <v>0-0</v>
          </cell>
        </row>
        <row r="51">
          <cell r="C51">
            <v>0</v>
          </cell>
          <cell r="E51" t="str">
            <v>0-0</v>
          </cell>
        </row>
        <row r="52">
          <cell r="C52">
            <v>0</v>
          </cell>
          <cell r="E52" t="str">
            <v>0-0</v>
          </cell>
        </row>
        <row r="53">
          <cell r="C53">
            <v>0</v>
          </cell>
          <cell r="E53" t="str">
            <v>0-0</v>
          </cell>
        </row>
        <row r="54">
          <cell r="C54">
            <v>0</v>
          </cell>
          <cell r="E54" t="str">
            <v>0-0</v>
          </cell>
        </row>
        <row r="55">
          <cell r="C55">
            <v>0</v>
          </cell>
          <cell r="E55" t="str">
            <v>0-0</v>
          </cell>
        </row>
        <row r="56">
          <cell r="C56">
            <v>0</v>
          </cell>
          <cell r="E56" t="str">
            <v>0-0</v>
          </cell>
        </row>
        <row r="57">
          <cell r="C57">
            <v>0</v>
          </cell>
          <cell r="E57" t="str">
            <v>0-0</v>
          </cell>
        </row>
        <row r="58">
          <cell r="C58">
            <v>0</v>
          </cell>
          <cell r="E58" t="str">
            <v>0-0</v>
          </cell>
        </row>
        <row r="59">
          <cell r="C59">
            <v>0</v>
          </cell>
          <cell r="E59" t="str">
            <v>0-0</v>
          </cell>
        </row>
        <row r="60">
          <cell r="C60">
            <v>0</v>
          </cell>
          <cell r="E60" t="str">
            <v>0-0</v>
          </cell>
        </row>
        <row r="61">
          <cell r="C61">
            <v>0</v>
          </cell>
          <cell r="E61" t="str">
            <v>0-0</v>
          </cell>
        </row>
        <row r="62">
          <cell r="C62">
            <v>0</v>
          </cell>
          <cell r="E62" t="str">
            <v>0-0</v>
          </cell>
        </row>
        <row r="63">
          <cell r="C63">
            <v>0</v>
          </cell>
          <cell r="E63" t="str">
            <v>0-0</v>
          </cell>
        </row>
        <row r="64">
          <cell r="C64">
            <v>0</v>
          </cell>
          <cell r="E64" t="str">
            <v>0-0</v>
          </cell>
        </row>
        <row r="65">
          <cell r="C65">
            <v>0</v>
          </cell>
          <cell r="E65" t="str">
            <v>0-0</v>
          </cell>
        </row>
        <row r="66">
          <cell r="C66">
            <v>0</v>
          </cell>
          <cell r="E66" t="str">
            <v>0-0</v>
          </cell>
        </row>
        <row r="67">
          <cell r="C67">
            <v>0</v>
          </cell>
          <cell r="E67" t="str">
            <v>0-0</v>
          </cell>
        </row>
        <row r="68">
          <cell r="C68">
            <v>0</v>
          </cell>
          <cell r="E68" t="str">
            <v>0-0</v>
          </cell>
        </row>
        <row r="69">
          <cell r="C69">
            <v>0</v>
          </cell>
          <cell r="E69" t="str">
            <v>0-0</v>
          </cell>
        </row>
        <row r="70">
          <cell r="C70">
            <v>0</v>
          </cell>
          <cell r="E70" t="str">
            <v>0-0</v>
          </cell>
        </row>
        <row r="71">
          <cell r="C71">
            <v>0</v>
          </cell>
          <cell r="E71" t="str">
            <v>0-0</v>
          </cell>
        </row>
        <row r="72">
          <cell r="C72">
            <v>0</v>
          </cell>
          <cell r="E72" t="str">
            <v>0-0</v>
          </cell>
        </row>
        <row r="73">
          <cell r="C73">
            <v>0</v>
          </cell>
          <cell r="E73" t="str">
            <v>0-0</v>
          </cell>
        </row>
        <row r="74">
          <cell r="C74">
            <v>0</v>
          </cell>
          <cell r="E74" t="str">
            <v>0-0</v>
          </cell>
        </row>
        <row r="75">
          <cell r="C75">
            <v>0</v>
          </cell>
          <cell r="E75" t="str">
            <v>0-0</v>
          </cell>
        </row>
        <row r="76">
          <cell r="C76">
            <v>0</v>
          </cell>
          <cell r="E76" t="str">
            <v>0-0</v>
          </cell>
        </row>
        <row r="77">
          <cell r="C77">
            <v>0</v>
          </cell>
          <cell r="E77" t="str">
            <v>0-0</v>
          </cell>
        </row>
        <row r="78">
          <cell r="C78">
            <v>0</v>
          </cell>
          <cell r="E78" t="str">
            <v>0-0</v>
          </cell>
        </row>
        <row r="79">
          <cell r="C79">
            <v>0</v>
          </cell>
          <cell r="E79" t="str">
            <v>0-0</v>
          </cell>
        </row>
        <row r="80">
          <cell r="C80">
            <v>0</v>
          </cell>
          <cell r="E80" t="str">
            <v>0-0</v>
          </cell>
        </row>
        <row r="81">
          <cell r="C81">
            <v>0</v>
          </cell>
          <cell r="E81" t="str">
            <v>0-0</v>
          </cell>
        </row>
        <row r="82">
          <cell r="C82">
            <v>0</v>
          </cell>
          <cell r="E82" t="str">
            <v>0-0</v>
          </cell>
        </row>
        <row r="83">
          <cell r="C83">
            <v>0</v>
          </cell>
          <cell r="E83" t="str">
            <v>0-0</v>
          </cell>
        </row>
        <row r="84">
          <cell r="C84">
            <v>0</v>
          </cell>
          <cell r="E84" t="str">
            <v>0-0</v>
          </cell>
        </row>
        <row r="85">
          <cell r="C85">
            <v>0</v>
          </cell>
          <cell r="E85" t="str">
            <v>0-0</v>
          </cell>
        </row>
        <row r="86">
          <cell r="C86">
            <v>0</v>
          </cell>
          <cell r="E86" t="str">
            <v>0-0</v>
          </cell>
        </row>
        <row r="87">
          <cell r="C87">
            <v>0</v>
          </cell>
          <cell r="E87" t="str">
            <v>0-0</v>
          </cell>
        </row>
        <row r="88">
          <cell r="C88">
            <v>0</v>
          </cell>
          <cell r="E88" t="str">
            <v>0-0</v>
          </cell>
        </row>
        <row r="89">
          <cell r="C89">
            <v>0</v>
          </cell>
          <cell r="E89" t="str">
            <v>0-0</v>
          </cell>
        </row>
        <row r="90">
          <cell r="C90">
            <v>0</v>
          </cell>
          <cell r="E90" t="str">
            <v>0-0</v>
          </cell>
        </row>
        <row r="91">
          <cell r="C91">
            <v>0</v>
          </cell>
          <cell r="E91" t="str">
            <v>0-0</v>
          </cell>
        </row>
        <row r="92">
          <cell r="C92">
            <v>0</v>
          </cell>
          <cell r="E92" t="str">
            <v>0-0</v>
          </cell>
        </row>
        <row r="93">
          <cell r="C93">
            <v>0</v>
          </cell>
          <cell r="E93" t="str">
            <v>0-0</v>
          </cell>
        </row>
        <row r="94">
          <cell r="C94">
            <v>0</v>
          </cell>
          <cell r="E94" t="str">
            <v>0-0</v>
          </cell>
        </row>
        <row r="95">
          <cell r="C95">
            <v>0</v>
          </cell>
          <cell r="E95" t="str">
            <v>0-0</v>
          </cell>
        </row>
        <row r="96">
          <cell r="C96">
            <v>0</v>
          </cell>
          <cell r="E96" t="str">
            <v>0-0</v>
          </cell>
        </row>
        <row r="97">
          <cell r="C97">
            <v>0</v>
          </cell>
          <cell r="E97" t="str">
            <v>0-0</v>
          </cell>
        </row>
        <row r="98">
          <cell r="C98">
            <v>0</v>
          </cell>
          <cell r="E98" t="str">
            <v>0-0</v>
          </cell>
        </row>
        <row r="99">
          <cell r="C99">
            <v>0</v>
          </cell>
          <cell r="E99" t="str">
            <v>0-0</v>
          </cell>
        </row>
        <row r="100">
          <cell r="C100">
            <v>0</v>
          </cell>
          <cell r="E100" t="str">
            <v>0-0</v>
          </cell>
        </row>
        <row r="101">
          <cell r="C101">
            <v>0</v>
          </cell>
          <cell r="E101" t="str">
            <v>0-0</v>
          </cell>
        </row>
        <row r="102">
          <cell r="C102">
            <v>0</v>
          </cell>
          <cell r="E102" t="str">
            <v>0-0</v>
          </cell>
        </row>
        <row r="103">
          <cell r="C103">
            <v>0</v>
          </cell>
          <cell r="E103" t="str">
            <v>0-0</v>
          </cell>
        </row>
        <row r="104">
          <cell r="C104">
            <v>0</v>
          </cell>
          <cell r="E104" t="str">
            <v>0-0</v>
          </cell>
        </row>
        <row r="105">
          <cell r="C105">
            <v>0</v>
          </cell>
          <cell r="E105" t="str">
            <v>0-0</v>
          </cell>
        </row>
        <row r="106">
          <cell r="C106">
            <v>0</v>
          </cell>
          <cell r="E106" t="str">
            <v>0-0</v>
          </cell>
        </row>
        <row r="107">
          <cell r="C107">
            <v>0</v>
          </cell>
          <cell r="E107" t="str">
            <v>0-0</v>
          </cell>
        </row>
        <row r="108">
          <cell r="C108">
            <v>0</v>
          </cell>
          <cell r="E108" t="str">
            <v>0-0</v>
          </cell>
        </row>
        <row r="109">
          <cell r="C109">
            <v>0</v>
          </cell>
          <cell r="E109" t="str">
            <v>0-0</v>
          </cell>
        </row>
        <row r="110">
          <cell r="C110">
            <v>0</v>
          </cell>
          <cell r="E110" t="str">
            <v>0-0</v>
          </cell>
        </row>
        <row r="111">
          <cell r="C111">
            <v>0</v>
          </cell>
          <cell r="E111" t="str">
            <v>0-0</v>
          </cell>
        </row>
        <row r="112">
          <cell r="C112">
            <v>0</v>
          </cell>
          <cell r="E112" t="str">
            <v>0-0</v>
          </cell>
        </row>
        <row r="113">
          <cell r="C113">
            <v>0</v>
          </cell>
          <cell r="E113" t="str">
            <v>0-0</v>
          </cell>
        </row>
        <row r="114">
          <cell r="C114">
            <v>0</v>
          </cell>
          <cell r="E114" t="str">
            <v>0-0</v>
          </cell>
        </row>
        <row r="115">
          <cell r="C115">
            <v>0</v>
          </cell>
          <cell r="E115" t="str">
            <v>0-0</v>
          </cell>
        </row>
        <row r="116">
          <cell r="C116">
            <v>0</v>
          </cell>
          <cell r="E116" t="str">
            <v>0-0</v>
          </cell>
        </row>
        <row r="117">
          <cell r="C117">
            <v>0</v>
          </cell>
          <cell r="E117" t="str">
            <v>0-0</v>
          </cell>
        </row>
        <row r="118">
          <cell r="C118">
            <v>0</v>
          </cell>
          <cell r="E118" t="str">
            <v>0-0</v>
          </cell>
        </row>
        <row r="119">
          <cell r="C119">
            <v>0</v>
          </cell>
          <cell r="E119" t="str">
            <v>0-0</v>
          </cell>
        </row>
        <row r="120">
          <cell r="C120">
            <v>0</v>
          </cell>
          <cell r="E120" t="str">
            <v>0-0</v>
          </cell>
        </row>
        <row r="121">
          <cell r="C121">
            <v>0</v>
          </cell>
          <cell r="E121" t="str">
            <v>0-0</v>
          </cell>
        </row>
        <row r="122">
          <cell r="C122">
            <v>0</v>
          </cell>
          <cell r="E122" t="str">
            <v>0-0</v>
          </cell>
        </row>
        <row r="123">
          <cell r="C123">
            <v>0</v>
          </cell>
          <cell r="E123" t="str">
            <v>0-0</v>
          </cell>
        </row>
        <row r="124">
          <cell r="C124">
            <v>0</v>
          </cell>
          <cell r="E124" t="str">
            <v>0-0</v>
          </cell>
        </row>
        <row r="125">
          <cell r="C125">
            <v>0</v>
          </cell>
          <cell r="E125" t="str">
            <v>0-0</v>
          </cell>
        </row>
        <row r="126">
          <cell r="C126">
            <v>0</v>
          </cell>
          <cell r="E126" t="str">
            <v>0-0</v>
          </cell>
        </row>
        <row r="127">
          <cell r="C127">
            <v>0</v>
          </cell>
          <cell r="E127" t="str">
            <v>0-0</v>
          </cell>
        </row>
        <row r="128">
          <cell r="C128">
            <v>0</v>
          </cell>
          <cell r="E128" t="str">
            <v>0-0</v>
          </cell>
        </row>
        <row r="129">
          <cell r="C129">
            <v>0</v>
          </cell>
          <cell r="E129" t="str">
            <v>0-0</v>
          </cell>
        </row>
        <row r="130">
          <cell r="C130">
            <v>0</v>
          </cell>
          <cell r="E130" t="str">
            <v>0-0</v>
          </cell>
        </row>
        <row r="131">
          <cell r="C131">
            <v>0</v>
          </cell>
          <cell r="E131" t="str">
            <v>0-0</v>
          </cell>
        </row>
        <row r="132">
          <cell r="C132">
            <v>0</v>
          </cell>
          <cell r="E132" t="str">
            <v>0-0</v>
          </cell>
        </row>
        <row r="133">
          <cell r="C133">
            <v>0</v>
          </cell>
          <cell r="E133" t="str">
            <v>0-0</v>
          </cell>
        </row>
        <row r="134">
          <cell r="C134">
            <v>0</v>
          </cell>
          <cell r="E134" t="str">
            <v>0-0</v>
          </cell>
        </row>
        <row r="135">
          <cell r="C135">
            <v>0</v>
          </cell>
          <cell r="E135" t="str">
            <v>0-0</v>
          </cell>
        </row>
        <row r="136">
          <cell r="C136">
            <v>0</v>
          </cell>
          <cell r="E136" t="str">
            <v>0-0</v>
          </cell>
        </row>
        <row r="137">
          <cell r="C137">
            <v>0</v>
          </cell>
          <cell r="E137" t="str">
            <v>0-0</v>
          </cell>
        </row>
        <row r="138">
          <cell r="C138">
            <v>0</v>
          </cell>
          <cell r="E138" t="str">
            <v>0-0</v>
          </cell>
        </row>
        <row r="139">
          <cell r="C139">
            <v>0</v>
          </cell>
          <cell r="E139" t="str">
            <v>0-0</v>
          </cell>
        </row>
        <row r="140">
          <cell r="C140">
            <v>0</v>
          </cell>
          <cell r="E140" t="str">
            <v>0-0</v>
          </cell>
        </row>
        <row r="141">
          <cell r="C141">
            <v>0</v>
          </cell>
          <cell r="E141" t="str">
            <v>0-0</v>
          </cell>
        </row>
        <row r="142">
          <cell r="C142">
            <v>0</v>
          </cell>
          <cell r="E142" t="str">
            <v>0-0</v>
          </cell>
        </row>
        <row r="143">
          <cell r="C143">
            <v>0</v>
          </cell>
          <cell r="E143" t="str">
            <v>0-0</v>
          </cell>
        </row>
        <row r="144">
          <cell r="C144">
            <v>0</v>
          </cell>
          <cell r="E144" t="str">
            <v>0-0</v>
          </cell>
        </row>
        <row r="145">
          <cell r="C145">
            <v>0</v>
          </cell>
          <cell r="E145" t="str">
            <v>0-0</v>
          </cell>
        </row>
        <row r="146">
          <cell r="C146">
            <v>0</v>
          </cell>
          <cell r="E146" t="str">
            <v>0-0</v>
          </cell>
        </row>
        <row r="147">
          <cell r="C147">
            <v>0</v>
          </cell>
          <cell r="E147" t="str">
            <v>0-0</v>
          </cell>
        </row>
        <row r="148">
          <cell r="C148">
            <v>0</v>
          </cell>
          <cell r="E148" t="str">
            <v>0-0</v>
          </cell>
        </row>
        <row r="149">
          <cell r="C149">
            <v>0</v>
          </cell>
          <cell r="E149" t="str">
            <v>0-0</v>
          </cell>
        </row>
        <row r="150">
          <cell r="C150">
            <v>0</v>
          </cell>
          <cell r="E150" t="str">
            <v>0-0</v>
          </cell>
        </row>
        <row r="151">
          <cell r="C151">
            <v>0</v>
          </cell>
          <cell r="E151" t="str">
            <v>0-0</v>
          </cell>
        </row>
        <row r="152">
          <cell r="C152">
            <v>0</v>
          </cell>
          <cell r="E152" t="str">
            <v>0-0</v>
          </cell>
        </row>
        <row r="153">
          <cell r="C153">
            <v>0</v>
          </cell>
          <cell r="E153" t="str">
            <v>0-0</v>
          </cell>
        </row>
        <row r="154">
          <cell r="C154">
            <v>0</v>
          </cell>
          <cell r="E154" t="str">
            <v>0-0</v>
          </cell>
        </row>
        <row r="155">
          <cell r="C155">
            <v>0</v>
          </cell>
          <cell r="E155" t="str">
            <v>0-0</v>
          </cell>
        </row>
        <row r="156">
          <cell r="C156">
            <v>0</v>
          </cell>
          <cell r="E156" t="str">
            <v>0-0</v>
          </cell>
        </row>
        <row r="157">
          <cell r="C157">
            <v>0</v>
          </cell>
          <cell r="E157" t="str">
            <v>0-0</v>
          </cell>
        </row>
        <row r="158">
          <cell r="C158">
            <v>0</v>
          </cell>
          <cell r="E158" t="str">
            <v>0-0</v>
          </cell>
        </row>
        <row r="159">
          <cell r="C159">
            <v>0</v>
          </cell>
          <cell r="E159" t="str">
            <v>0-0</v>
          </cell>
        </row>
        <row r="160">
          <cell r="C160">
            <v>0</v>
          </cell>
          <cell r="E160" t="str">
            <v>0-0</v>
          </cell>
        </row>
        <row r="161">
          <cell r="C161">
            <v>0</v>
          </cell>
          <cell r="E161" t="str">
            <v>0-0</v>
          </cell>
        </row>
        <row r="162">
          <cell r="C162">
            <v>0</v>
          </cell>
          <cell r="E162" t="str">
            <v>0-0</v>
          </cell>
        </row>
        <row r="163">
          <cell r="C163">
            <v>0</v>
          </cell>
          <cell r="E163" t="str">
            <v>0-0</v>
          </cell>
        </row>
        <row r="164">
          <cell r="C164">
            <v>0</v>
          </cell>
          <cell r="E164" t="str">
            <v>0-0</v>
          </cell>
        </row>
        <row r="165">
          <cell r="C165">
            <v>0</v>
          </cell>
          <cell r="E165" t="str">
            <v>0-0</v>
          </cell>
        </row>
        <row r="166">
          <cell r="C166">
            <v>0</v>
          </cell>
          <cell r="E166" t="str">
            <v>0-0</v>
          </cell>
        </row>
        <row r="167">
          <cell r="C167">
            <v>0</v>
          </cell>
          <cell r="E167" t="str">
            <v>0-0</v>
          </cell>
        </row>
        <row r="168">
          <cell r="C168">
            <v>0</v>
          </cell>
          <cell r="E168" t="str">
            <v>0-0</v>
          </cell>
        </row>
        <row r="169">
          <cell r="C169">
            <v>0</v>
          </cell>
          <cell r="E169" t="str">
            <v>0-0</v>
          </cell>
        </row>
        <row r="170">
          <cell r="C170">
            <v>0</v>
          </cell>
          <cell r="E170" t="str">
            <v>0-0</v>
          </cell>
        </row>
        <row r="171">
          <cell r="C171">
            <v>0</v>
          </cell>
          <cell r="E171" t="str">
            <v>0-0</v>
          </cell>
        </row>
        <row r="172">
          <cell r="C172">
            <v>0</v>
          </cell>
          <cell r="E172" t="str">
            <v>0-0</v>
          </cell>
        </row>
        <row r="173">
          <cell r="C173">
            <v>0</v>
          </cell>
          <cell r="E173" t="str">
            <v>0-0</v>
          </cell>
        </row>
        <row r="174">
          <cell r="C174">
            <v>0</v>
          </cell>
          <cell r="E174" t="str">
            <v>0-0</v>
          </cell>
        </row>
        <row r="175">
          <cell r="C175">
            <v>0</v>
          </cell>
          <cell r="E175" t="str">
            <v>0-0</v>
          </cell>
        </row>
        <row r="176">
          <cell r="C176">
            <v>0</v>
          </cell>
          <cell r="E176" t="str">
            <v>0-0</v>
          </cell>
        </row>
        <row r="177">
          <cell r="C177">
            <v>0</v>
          </cell>
          <cell r="E177" t="str">
            <v>0-0</v>
          </cell>
        </row>
        <row r="178">
          <cell r="C178">
            <v>0</v>
          </cell>
          <cell r="E178" t="str">
            <v>0-0</v>
          </cell>
        </row>
        <row r="179">
          <cell r="C179">
            <v>0</v>
          </cell>
          <cell r="E179" t="str">
            <v>0-0</v>
          </cell>
        </row>
        <row r="180">
          <cell r="C180">
            <v>0</v>
          </cell>
          <cell r="E180" t="str">
            <v>0-0</v>
          </cell>
        </row>
        <row r="181">
          <cell r="C181">
            <v>0</v>
          </cell>
          <cell r="E181" t="str">
            <v>0-0</v>
          </cell>
        </row>
        <row r="182">
          <cell r="C182">
            <v>0</v>
          </cell>
          <cell r="E182" t="str">
            <v>0-0</v>
          </cell>
        </row>
        <row r="183">
          <cell r="C183">
            <v>0</v>
          </cell>
          <cell r="E183" t="str">
            <v>0-0</v>
          </cell>
        </row>
        <row r="184">
          <cell r="C184">
            <v>0</v>
          </cell>
          <cell r="E184" t="str">
            <v>0-0</v>
          </cell>
        </row>
        <row r="185">
          <cell r="C185">
            <v>0</v>
          </cell>
          <cell r="E185" t="str">
            <v>0-0</v>
          </cell>
        </row>
        <row r="186">
          <cell r="C186">
            <v>0</v>
          </cell>
          <cell r="E186" t="str">
            <v>0-0</v>
          </cell>
        </row>
        <row r="187">
          <cell r="C187">
            <v>0</v>
          </cell>
          <cell r="E187" t="str">
            <v>0-0</v>
          </cell>
        </row>
        <row r="188">
          <cell r="C188">
            <v>0</v>
          </cell>
          <cell r="E188" t="str">
            <v>0-0</v>
          </cell>
        </row>
        <row r="189">
          <cell r="C189">
            <v>0</v>
          </cell>
          <cell r="E189" t="str">
            <v>0-0</v>
          </cell>
        </row>
        <row r="190">
          <cell r="C190">
            <v>0</v>
          </cell>
          <cell r="E190" t="str">
            <v>0-0</v>
          </cell>
        </row>
        <row r="191">
          <cell r="C191">
            <v>0</v>
          </cell>
          <cell r="E191" t="str">
            <v>0-0</v>
          </cell>
        </row>
        <row r="192">
          <cell r="C192">
            <v>0</v>
          </cell>
          <cell r="E192" t="str">
            <v>0-0</v>
          </cell>
        </row>
        <row r="193">
          <cell r="C193">
            <v>0</v>
          </cell>
          <cell r="E193" t="str">
            <v>0-0</v>
          </cell>
        </row>
        <row r="194">
          <cell r="C194">
            <v>0</v>
          </cell>
          <cell r="E194" t="str">
            <v>0-0</v>
          </cell>
        </row>
        <row r="195">
          <cell r="C195">
            <v>0</v>
          </cell>
          <cell r="E195" t="str">
            <v>0-0</v>
          </cell>
        </row>
        <row r="196">
          <cell r="C196">
            <v>0</v>
          </cell>
          <cell r="E196" t="str">
            <v>0-0</v>
          </cell>
        </row>
        <row r="197">
          <cell r="C197">
            <v>0</v>
          </cell>
          <cell r="E197" t="str">
            <v>0-0</v>
          </cell>
        </row>
        <row r="198">
          <cell r="C198">
            <v>0</v>
          </cell>
          <cell r="E198" t="str">
            <v>0-0</v>
          </cell>
        </row>
        <row r="199">
          <cell r="C199">
            <v>0</v>
          </cell>
          <cell r="E199" t="str">
            <v>0-0</v>
          </cell>
        </row>
        <row r="200">
          <cell r="C200">
            <v>0</v>
          </cell>
          <cell r="E200" t="str">
            <v>0-0</v>
          </cell>
        </row>
        <row r="201">
          <cell r="C201">
            <v>0</v>
          </cell>
          <cell r="E201" t="str">
            <v>0-0</v>
          </cell>
        </row>
        <row r="202">
          <cell r="C202">
            <v>0</v>
          </cell>
          <cell r="E202" t="str">
            <v>0-0</v>
          </cell>
        </row>
        <row r="203">
          <cell r="C203">
            <v>0</v>
          </cell>
          <cell r="E203" t="str">
            <v>0-0</v>
          </cell>
        </row>
        <row r="204">
          <cell r="C204">
            <v>0</v>
          </cell>
          <cell r="E204" t="str">
            <v>0-0</v>
          </cell>
        </row>
        <row r="205">
          <cell r="C205">
            <v>0</v>
          </cell>
          <cell r="E205" t="str">
            <v>0-0</v>
          </cell>
        </row>
        <row r="206">
          <cell r="C206">
            <v>0</v>
          </cell>
          <cell r="E206" t="str">
            <v>0-0</v>
          </cell>
        </row>
        <row r="207">
          <cell r="C207">
            <v>0</v>
          </cell>
          <cell r="E207" t="str">
            <v>0-0</v>
          </cell>
        </row>
        <row r="208">
          <cell r="C208">
            <v>0</v>
          </cell>
          <cell r="E208" t="str">
            <v>0-0</v>
          </cell>
        </row>
        <row r="209">
          <cell r="C209">
            <v>0</v>
          </cell>
          <cell r="E209" t="str">
            <v>0-0</v>
          </cell>
        </row>
        <row r="210">
          <cell r="C210">
            <v>0</v>
          </cell>
          <cell r="E210" t="str">
            <v>0-0</v>
          </cell>
        </row>
        <row r="211">
          <cell r="C211">
            <v>0</v>
          </cell>
          <cell r="E211" t="str">
            <v>0-0</v>
          </cell>
        </row>
        <row r="212">
          <cell r="C212">
            <v>0</v>
          </cell>
          <cell r="E212" t="str">
            <v>0-0</v>
          </cell>
        </row>
        <row r="213">
          <cell r="C213">
            <v>0</v>
          </cell>
          <cell r="E213" t="str">
            <v>0-0</v>
          </cell>
        </row>
        <row r="214">
          <cell r="C214">
            <v>0</v>
          </cell>
          <cell r="E214" t="str">
            <v>0-0</v>
          </cell>
        </row>
        <row r="215">
          <cell r="C215">
            <v>0</v>
          </cell>
          <cell r="E215" t="str">
            <v>0-0</v>
          </cell>
        </row>
        <row r="216">
          <cell r="C216">
            <v>0</v>
          </cell>
          <cell r="E216" t="str">
            <v>0-0</v>
          </cell>
        </row>
        <row r="217">
          <cell r="C217">
            <v>0</v>
          </cell>
          <cell r="E217" t="str">
            <v>0-0</v>
          </cell>
        </row>
        <row r="218">
          <cell r="C218">
            <v>0</v>
          </cell>
          <cell r="E218" t="str">
            <v>0-0</v>
          </cell>
        </row>
        <row r="219">
          <cell r="C219">
            <v>0</v>
          </cell>
          <cell r="E219" t="str">
            <v>0-0</v>
          </cell>
        </row>
        <row r="220">
          <cell r="C220">
            <v>0</v>
          </cell>
          <cell r="E220" t="str">
            <v>0-0</v>
          </cell>
        </row>
        <row r="221">
          <cell r="C221">
            <v>0</v>
          </cell>
          <cell r="E221" t="str">
            <v>0-0</v>
          </cell>
        </row>
        <row r="222">
          <cell r="C222">
            <v>0</v>
          </cell>
          <cell r="E222" t="str">
            <v>0-0</v>
          </cell>
        </row>
        <row r="223">
          <cell r="C223">
            <v>0</v>
          </cell>
          <cell r="E223" t="str">
            <v>0-0</v>
          </cell>
        </row>
        <row r="224">
          <cell r="C224">
            <v>0</v>
          </cell>
          <cell r="E224" t="str">
            <v>0-0</v>
          </cell>
        </row>
        <row r="225">
          <cell r="C225">
            <v>0</v>
          </cell>
          <cell r="E225" t="str">
            <v>0-0</v>
          </cell>
        </row>
        <row r="226">
          <cell r="C226">
            <v>0</v>
          </cell>
          <cell r="E226" t="str">
            <v>0-0</v>
          </cell>
        </row>
        <row r="227">
          <cell r="C227">
            <v>0</v>
          </cell>
          <cell r="E227" t="str">
            <v>0-0</v>
          </cell>
        </row>
        <row r="228">
          <cell r="C228">
            <v>0</v>
          </cell>
          <cell r="E228" t="str">
            <v>0-0</v>
          </cell>
        </row>
        <row r="229">
          <cell r="C229">
            <v>0</v>
          </cell>
          <cell r="E229" t="str">
            <v>0-0</v>
          </cell>
        </row>
        <row r="230">
          <cell r="C230">
            <v>0</v>
          </cell>
          <cell r="E230" t="str">
            <v>0-0</v>
          </cell>
        </row>
        <row r="231">
          <cell r="C231">
            <v>0</v>
          </cell>
          <cell r="E231" t="str">
            <v>0-0</v>
          </cell>
        </row>
        <row r="232">
          <cell r="C232">
            <v>0</v>
          </cell>
          <cell r="E232" t="str">
            <v>0-0</v>
          </cell>
        </row>
        <row r="233">
          <cell r="C233">
            <v>0</v>
          </cell>
          <cell r="E233" t="str">
            <v>0-0</v>
          </cell>
        </row>
        <row r="234">
          <cell r="C234">
            <v>0</v>
          </cell>
          <cell r="E234" t="str">
            <v>0-0</v>
          </cell>
        </row>
        <row r="235">
          <cell r="C235">
            <v>0</v>
          </cell>
          <cell r="E235" t="str">
            <v>0-0</v>
          </cell>
        </row>
        <row r="236">
          <cell r="C236">
            <v>0</v>
          </cell>
          <cell r="E236" t="str">
            <v>0-0</v>
          </cell>
        </row>
        <row r="237">
          <cell r="C237">
            <v>0</v>
          </cell>
          <cell r="E237" t="str">
            <v>0-0</v>
          </cell>
        </row>
        <row r="238">
          <cell r="C238">
            <v>0</v>
          </cell>
          <cell r="E238" t="str">
            <v>0-0</v>
          </cell>
        </row>
        <row r="239">
          <cell r="C239">
            <v>0</v>
          </cell>
          <cell r="E239" t="str">
            <v>0-0</v>
          </cell>
        </row>
        <row r="240">
          <cell r="C240">
            <v>0</v>
          </cell>
          <cell r="E240" t="str">
            <v>0-0</v>
          </cell>
        </row>
        <row r="241">
          <cell r="C241">
            <v>0</v>
          </cell>
          <cell r="E241" t="str">
            <v>0-0</v>
          </cell>
        </row>
        <row r="242">
          <cell r="C242">
            <v>0</v>
          </cell>
          <cell r="E242" t="str">
            <v>0-0</v>
          </cell>
        </row>
        <row r="243">
          <cell r="C243">
            <v>0</v>
          </cell>
          <cell r="E243" t="str">
            <v>0-0</v>
          </cell>
        </row>
        <row r="244">
          <cell r="C244">
            <v>0</v>
          </cell>
          <cell r="E244" t="str">
            <v>0-0</v>
          </cell>
        </row>
        <row r="245">
          <cell r="C245">
            <v>0</v>
          </cell>
          <cell r="E245" t="str">
            <v>0-0</v>
          </cell>
        </row>
        <row r="246">
          <cell r="C246">
            <v>0</v>
          </cell>
          <cell r="E246" t="str">
            <v>0-0</v>
          </cell>
        </row>
        <row r="247">
          <cell r="C247">
            <v>0</v>
          </cell>
          <cell r="E247" t="str">
            <v>0-0</v>
          </cell>
        </row>
        <row r="248">
          <cell r="C248">
            <v>0</v>
          </cell>
          <cell r="E248" t="str">
            <v>0-0</v>
          </cell>
        </row>
        <row r="249">
          <cell r="C249">
            <v>0</v>
          </cell>
          <cell r="E249" t="str">
            <v>0-0</v>
          </cell>
        </row>
        <row r="250">
          <cell r="C250">
            <v>0</v>
          </cell>
          <cell r="E250" t="str">
            <v>0-0</v>
          </cell>
        </row>
        <row r="251">
          <cell r="C251">
            <v>0</v>
          </cell>
          <cell r="E251" t="str">
            <v>0-0</v>
          </cell>
        </row>
        <row r="252">
          <cell r="C252">
            <v>0</v>
          </cell>
          <cell r="E252" t="str">
            <v>0-0</v>
          </cell>
        </row>
        <row r="253">
          <cell r="C253">
            <v>0</v>
          </cell>
          <cell r="E253" t="str">
            <v>0-0</v>
          </cell>
        </row>
        <row r="254">
          <cell r="C254">
            <v>0</v>
          </cell>
          <cell r="E254" t="str">
            <v>0-0</v>
          </cell>
        </row>
        <row r="255">
          <cell r="C255">
            <v>0</v>
          </cell>
          <cell r="E255" t="str">
            <v>0-0</v>
          </cell>
        </row>
        <row r="256">
          <cell r="C256">
            <v>0</v>
          </cell>
          <cell r="E256" t="str">
            <v>0-0</v>
          </cell>
        </row>
        <row r="257">
          <cell r="C257">
            <v>0</v>
          </cell>
          <cell r="E257" t="str">
            <v>0-0</v>
          </cell>
        </row>
        <row r="258">
          <cell r="C258">
            <v>0</v>
          </cell>
          <cell r="E258" t="str">
            <v>0-0</v>
          </cell>
        </row>
        <row r="259">
          <cell r="C259">
            <v>0</v>
          </cell>
          <cell r="E259" t="str">
            <v>0-0</v>
          </cell>
        </row>
        <row r="260">
          <cell r="C260">
            <v>0</v>
          </cell>
          <cell r="E260" t="str">
            <v>0-0</v>
          </cell>
        </row>
        <row r="261">
          <cell r="C261">
            <v>0</v>
          </cell>
          <cell r="E261" t="str">
            <v>0-0</v>
          </cell>
        </row>
        <row r="262">
          <cell r="C262">
            <v>0</v>
          </cell>
          <cell r="E262" t="str">
            <v>0-0</v>
          </cell>
        </row>
        <row r="263">
          <cell r="C263">
            <v>0</v>
          </cell>
          <cell r="E263" t="str">
            <v>0-0</v>
          </cell>
        </row>
        <row r="264">
          <cell r="C264">
            <v>0</v>
          </cell>
          <cell r="E264" t="str">
            <v>0-0</v>
          </cell>
        </row>
        <row r="265">
          <cell r="C265">
            <v>0</v>
          </cell>
          <cell r="E265" t="str">
            <v>0-0</v>
          </cell>
        </row>
        <row r="266">
          <cell r="C266">
            <v>0</v>
          </cell>
          <cell r="E266" t="str">
            <v>0-0</v>
          </cell>
        </row>
        <row r="267">
          <cell r="C267">
            <v>0</v>
          </cell>
          <cell r="E267" t="str">
            <v>0-0</v>
          </cell>
        </row>
        <row r="268">
          <cell r="C268">
            <v>0</v>
          </cell>
          <cell r="E268" t="str">
            <v>0-0</v>
          </cell>
        </row>
        <row r="269">
          <cell r="C269">
            <v>0</v>
          </cell>
          <cell r="E269" t="str">
            <v>0-0</v>
          </cell>
        </row>
        <row r="270">
          <cell r="C270">
            <v>0</v>
          </cell>
          <cell r="E270" t="str">
            <v>0-0</v>
          </cell>
        </row>
        <row r="271">
          <cell r="C271">
            <v>0</v>
          </cell>
          <cell r="E271" t="str">
            <v>0-0</v>
          </cell>
        </row>
        <row r="272">
          <cell r="C272">
            <v>0</v>
          </cell>
          <cell r="E272" t="str">
            <v>0-0</v>
          </cell>
        </row>
        <row r="273">
          <cell r="C273">
            <v>0</v>
          </cell>
          <cell r="E273" t="str">
            <v>0-0</v>
          </cell>
        </row>
        <row r="274">
          <cell r="C274">
            <v>0</v>
          </cell>
          <cell r="E274" t="str">
            <v>0-0</v>
          </cell>
        </row>
        <row r="275">
          <cell r="C275">
            <v>0</v>
          </cell>
          <cell r="E275" t="str">
            <v>0-0</v>
          </cell>
        </row>
        <row r="276">
          <cell r="C276">
            <v>0</v>
          </cell>
          <cell r="E276" t="str">
            <v>0-0</v>
          </cell>
        </row>
        <row r="277">
          <cell r="C277">
            <v>0</v>
          </cell>
          <cell r="E277" t="str">
            <v>0-0</v>
          </cell>
        </row>
        <row r="278">
          <cell r="C278">
            <v>0</v>
          </cell>
          <cell r="E278" t="str">
            <v>0-0</v>
          </cell>
        </row>
        <row r="279">
          <cell r="C279">
            <v>0</v>
          </cell>
          <cell r="E279" t="str">
            <v>0-0</v>
          </cell>
        </row>
        <row r="280">
          <cell r="C280">
            <v>0</v>
          </cell>
          <cell r="E280" t="str">
            <v>0-0</v>
          </cell>
        </row>
        <row r="281">
          <cell r="C281">
            <v>0</v>
          </cell>
          <cell r="E281" t="str">
            <v>0-0</v>
          </cell>
        </row>
        <row r="282">
          <cell r="C282">
            <v>0</v>
          </cell>
          <cell r="E282" t="str">
            <v>0-0</v>
          </cell>
        </row>
        <row r="283">
          <cell r="C283">
            <v>0</v>
          </cell>
          <cell r="E283" t="str">
            <v>0-0</v>
          </cell>
        </row>
        <row r="284">
          <cell r="C284">
            <v>0</v>
          </cell>
          <cell r="E284" t="str">
            <v>0-0</v>
          </cell>
        </row>
        <row r="285">
          <cell r="C285">
            <v>0</v>
          </cell>
          <cell r="E285" t="str">
            <v>0-0</v>
          </cell>
        </row>
        <row r="286">
          <cell r="C286">
            <v>0</v>
          </cell>
          <cell r="E286" t="str">
            <v>0-0</v>
          </cell>
        </row>
        <row r="287">
          <cell r="C287">
            <v>0</v>
          </cell>
          <cell r="E287" t="str">
            <v>0-0</v>
          </cell>
        </row>
        <row r="288">
          <cell r="C288">
            <v>0</v>
          </cell>
          <cell r="E288" t="str">
            <v>0-0</v>
          </cell>
        </row>
        <row r="289">
          <cell r="C289">
            <v>0</v>
          </cell>
          <cell r="E289" t="str">
            <v>0-0</v>
          </cell>
        </row>
        <row r="290">
          <cell r="C290">
            <v>0</v>
          </cell>
          <cell r="E290" t="str">
            <v>0-0</v>
          </cell>
        </row>
        <row r="291">
          <cell r="C291">
            <v>0</v>
          </cell>
          <cell r="E291" t="str">
            <v>0-0</v>
          </cell>
        </row>
        <row r="292">
          <cell r="C292">
            <v>0</v>
          </cell>
          <cell r="E292" t="str">
            <v>0-0</v>
          </cell>
        </row>
        <row r="293">
          <cell r="C293">
            <v>0</v>
          </cell>
          <cell r="E293" t="str">
            <v>0-0</v>
          </cell>
        </row>
        <row r="294">
          <cell r="C294">
            <v>0</v>
          </cell>
          <cell r="E294" t="str">
            <v>0-0</v>
          </cell>
        </row>
        <row r="295">
          <cell r="C295">
            <v>0</v>
          </cell>
          <cell r="E295" t="str">
            <v>0-0</v>
          </cell>
        </row>
        <row r="296">
          <cell r="C296">
            <v>0</v>
          </cell>
          <cell r="E296" t="str">
            <v>0-0</v>
          </cell>
        </row>
        <row r="297">
          <cell r="C297">
            <v>0</v>
          </cell>
          <cell r="E297" t="str">
            <v>0-0</v>
          </cell>
        </row>
        <row r="298">
          <cell r="C298">
            <v>0</v>
          </cell>
          <cell r="E298" t="str">
            <v>0-0</v>
          </cell>
        </row>
        <row r="299">
          <cell r="C299">
            <v>0</v>
          </cell>
          <cell r="E299" t="str">
            <v>0-0</v>
          </cell>
        </row>
        <row r="300">
          <cell r="C300">
            <v>0</v>
          </cell>
          <cell r="E300" t="str">
            <v>0-0</v>
          </cell>
        </row>
        <row r="301">
          <cell r="C301">
            <v>0</v>
          </cell>
          <cell r="E301" t="str">
            <v>0-0</v>
          </cell>
        </row>
        <row r="302">
          <cell r="C302">
            <v>0</v>
          </cell>
          <cell r="E302" t="str">
            <v>0-0</v>
          </cell>
        </row>
        <row r="303">
          <cell r="C303">
            <v>0</v>
          </cell>
          <cell r="E303" t="str">
            <v>0-0</v>
          </cell>
        </row>
        <row r="304">
          <cell r="C304">
            <v>0</v>
          </cell>
          <cell r="E304" t="str">
            <v>0-0</v>
          </cell>
        </row>
        <row r="305">
          <cell r="C305">
            <v>0</v>
          </cell>
          <cell r="E305" t="str">
            <v>0-0</v>
          </cell>
        </row>
        <row r="306">
          <cell r="C306">
            <v>0</v>
          </cell>
          <cell r="E306" t="str">
            <v>0-0</v>
          </cell>
        </row>
        <row r="307">
          <cell r="C307">
            <v>0</v>
          </cell>
          <cell r="E307" t="str">
            <v>0-0</v>
          </cell>
        </row>
        <row r="308">
          <cell r="C308">
            <v>0</v>
          </cell>
          <cell r="E308" t="str">
            <v>0-0</v>
          </cell>
        </row>
        <row r="309">
          <cell r="C309">
            <v>0</v>
          </cell>
          <cell r="E309" t="str">
            <v>0-0</v>
          </cell>
        </row>
        <row r="310">
          <cell r="C310">
            <v>0</v>
          </cell>
          <cell r="E310" t="str">
            <v>0-0</v>
          </cell>
        </row>
        <row r="311">
          <cell r="C311">
            <v>0</v>
          </cell>
          <cell r="E311" t="str">
            <v>0-0</v>
          </cell>
        </row>
        <row r="312">
          <cell r="C312">
            <v>0</v>
          </cell>
          <cell r="E312" t="str">
            <v>0-0</v>
          </cell>
        </row>
        <row r="313">
          <cell r="C313">
            <v>0</v>
          </cell>
          <cell r="E313" t="str">
            <v>0-0</v>
          </cell>
        </row>
        <row r="314">
          <cell r="C314">
            <v>0</v>
          </cell>
          <cell r="E314" t="str">
            <v>0-0</v>
          </cell>
        </row>
        <row r="315">
          <cell r="C315">
            <v>0</v>
          </cell>
          <cell r="E315" t="str">
            <v>0-0</v>
          </cell>
        </row>
        <row r="316">
          <cell r="C316">
            <v>0</v>
          </cell>
          <cell r="E316" t="str">
            <v>0-0</v>
          </cell>
        </row>
        <row r="317">
          <cell r="C317">
            <v>0</v>
          </cell>
          <cell r="E317" t="str">
            <v>0-0</v>
          </cell>
        </row>
        <row r="318">
          <cell r="C318">
            <v>0</v>
          </cell>
          <cell r="E318" t="str">
            <v>0-0</v>
          </cell>
        </row>
        <row r="319">
          <cell r="C319">
            <v>0</v>
          </cell>
          <cell r="E319" t="str">
            <v>0-0</v>
          </cell>
        </row>
        <row r="320">
          <cell r="C320">
            <v>0</v>
          </cell>
          <cell r="E320" t="str">
            <v>0-0</v>
          </cell>
        </row>
        <row r="321">
          <cell r="C321">
            <v>0</v>
          </cell>
          <cell r="E321" t="str">
            <v>0-0</v>
          </cell>
        </row>
        <row r="322">
          <cell r="C322">
            <v>0</v>
          </cell>
          <cell r="E322" t="str">
            <v>0-0</v>
          </cell>
        </row>
        <row r="323">
          <cell r="C323">
            <v>0</v>
          </cell>
          <cell r="E323" t="str">
            <v>0-0</v>
          </cell>
        </row>
        <row r="324">
          <cell r="C324">
            <v>0</v>
          </cell>
          <cell r="E324" t="str">
            <v>0-0</v>
          </cell>
        </row>
        <row r="325">
          <cell r="C325">
            <v>0</v>
          </cell>
          <cell r="E325" t="str">
            <v>0-0</v>
          </cell>
        </row>
        <row r="326">
          <cell r="C326">
            <v>0</v>
          </cell>
          <cell r="E326" t="str">
            <v>0-0</v>
          </cell>
        </row>
        <row r="327">
          <cell r="C327">
            <v>0</v>
          </cell>
          <cell r="E327" t="str">
            <v>0-0</v>
          </cell>
        </row>
        <row r="328">
          <cell r="C328">
            <v>0</v>
          </cell>
          <cell r="E328" t="str">
            <v>0-0</v>
          </cell>
        </row>
        <row r="329">
          <cell r="C329">
            <v>0</v>
          </cell>
          <cell r="E329" t="str">
            <v>0-0</v>
          </cell>
        </row>
        <row r="330">
          <cell r="C330">
            <v>0</v>
          </cell>
          <cell r="E330" t="str">
            <v>0-0</v>
          </cell>
        </row>
        <row r="331">
          <cell r="C331">
            <v>0</v>
          </cell>
          <cell r="E331" t="str">
            <v>0-0</v>
          </cell>
        </row>
        <row r="332">
          <cell r="C332">
            <v>0</v>
          </cell>
          <cell r="E332" t="str">
            <v>0-0</v>
          </cell>
        </row>
        <row r="333">
          <cell r="C333">
            <v>0</v>
          </cell>
          <cell r="E333" t="str">
            <v>0-0</v>
          </cell>
        </row>
        <row r="334">
          <cell r="C334">
            <v>0</v>
          </cell>
          <cell r="E334" t="str">
            <v>0-0</v>
          </cell>
        </row>
        <row r="335">
          <cell r="C335">
            <v>0</v>
          </cell>
          <cell r="E335" t="str">
            <v>0-0</v>
          </cell>
        </row>
        <row r="336">
          <cell r="C336">
            <v>0</v>
          </cell>
          <cell r="E336" t="str">
            <v>0-0</v>
          </cell>
        </row>
        <row r="337">
          <cell r="C337">
            <v>0</v>
          </cell>
          <cell r="E337" t="str">
            <v>0-0</v>
          </cell>
        </row>
        <row r="338">
          <cell r="C338">
            <v>0</v>
          </cell>
          <cell r="E338" t="str">
            <v>0-0</v>
          </cell>
        </row>
        <row r="339">
          <cell r="C339">
            <v>0</v>
          </cell>
          <cell r="E339" t="str">
            <v>0-0</v>
          </cell>
        </row>
        <row r="340">
          <cell r="C340">
            <v>0</v>
          </cell>
          <cell r="E340" t="str">
            <v>0-0</v>
          </cell>
        </row>
        <row r="341">
          <cell r="C341">
            <v>0</v>
          </cell>
          <cell r="E341" t="str">
            <v>0-0</v>
          </cell>
        </row>
        <row r="342">
          <cell r="C342">
            <v>0</v>
          </cell>
          <cell r="E342" t="str">
            <v>0-0</v>
          </cell>
        </row>
        <row r="343">
          <cell r="C343">
            <v>0</v>
          </cell>
          <cell r="E343" t="str">
            <v>0-0</v>
          </cell>
        </row>
        <row r="344">
          <cell r="C344">
            <v>0</v>
          </cell>
          <cell r="E344" t="str">
            <v>0-0</v>
          </cell>
        </row>
        <row r="345">
          <cell r="C345">
            <v>0</v>
          </cell>
          <cell r="E345" t="str">
            <v>0-0</v>
          </cell>
        </row>
        <row r="346">
          <cell r="C346">
            <v>0</v>
          </cell>
          <cell r="E346" t="str">
            <v>0-0</v>
          </cell>
        </row>
        <row r="347">
          <cell r="C347">
            <v>0</v>
          </cell>
          <cell r="E347" t="str">
            <v>0-0</v>
          </cell>
        </row>
        <row r="348">
          <cell r="C348">
            <v>0</v>
          </cell>
          <cell r="E348" t="str">
            <v>0-0</v>
          </cell>
        </row>
        <row r="349">
          <cell r="C349">
            <v>0</v>
          </cell>
          <cell r="E349" t="str">
            <v>0-0</v>
          </cell>
        </row>
        <row r="350">
          <cell r="C350">
            <v>0</v>
          </cell>
          <cell r="E350" t="str">
            <v>0-0</v>
          </cell>
        </row>
        <row r="351">
          <cell r="C351">
            <v>0</v>
          </cell>
          <cell r="E351" t="str">
            <v>0-0</v>
          </cell>
        </row>
        <row r="352">
          <cell r="C352">
            <v>0</v>
          </cell>
          <cell r="E352" t="str">
            <v>0-0</v>
          </cell>
        </row>
        <row r="353">
          <cell r="C353">
            <v>0</v>
          </cell>
          <cell r="E353" t="str">
            <v>0-0</v>
          </cell>
        </row>
        <row r="354">
          <cell r="C354">
            <v>0</v>
          </cell>
          <cell r="E354" t="str">
            <v>0-0</v>
          </cell>
        </row>
        <row r="355">
          <cell r="C355">
            <v>0</v>
          </cell>
          <cell r="E355" t="str">
            <v>0-0</v>
          </cell>
        </row>
        <row r="356">
          <cell r="C356">
            <v>0</v>
          </cell>
          <cell r="E356" t="str">
            <v>0-0</v>
          </cell>
        </row>
        <row r="357">
          <cell r="C357">
            <v>0</v>
          </cell>
          <cell r="E357" t="str">
            <v>0-0</v>
          </cell>
        </row>
        <row r="358">
          <cell r="C358">
            <v>0</v>
          </cell>
          <cell r="E358" t="str">
            <v>0-0</v>
          </cell>
        </row>
        <row r="359">
          <cell r="C359">
            <v>0</v>
          </cell>
          <cell r="E359" t="str">
            <v>0-0</v>
          </cell>
        </row>
        <row r="360">
          <cell r="C360">
            <v>0</v>
          </cell>
          <cell r="E360" t="str">
            <v>0-0</v>
          </cell>
        </row>
        <row r="361">
          <cell r="C361">
            <v>0</v>
          </cell>
          <cell r="E361" t="str">
            <v>0-0</v>
          </cell>
        </row>
        <row r="362">
          <cell r="C362">
            <v>0</v>
          </cell>
          <cell r="E362" t="str">
            <v>0-0</v>
          </cell>
        </row>
        <row r="363">
          <cell r="C363">
            <v>0</v>
          </cell>
          <cell r="E363" t="str">
            <v>0-0</v>
          </cell>
        </row>
        <row r="364">
          <cell r="C364">
            <v>0</v>
          </cell>
          <cell r="E364" t="str">
            <v>0-0</v>
          </cell>
        </row>
        <row r="365">
          <cell r="C365">
            <v>0</v>
          </cell>
          <cell r="E365" t="str">
            <v>0-0</v>
          </cell>
        </row>
        <row r="366">
          <cell r="C366">
            <v>0</v>
          </cell>
          <cell r="E366" t="str">
            <v>0-0</v>
          </cell>
        </row>
        <row r="367">
          <cell r="C367">
            <v>0</v>
          </cell>
          <cell r="E367" t="str">
            <v>0-0</v>
          </cell>
        </row>
        <row r="368">
          <cell r="C368">
            <v>0</v>
          </cell>
          <cell r="E368" t="str">
            <v>0-0</v>
          </cell>
        </row>
        <row r="369">
          <cell r="C369">
            <v>0</v>
          </cell>
          <cell r="E369" t="str">
            <v>0-0</v>
          </cell>
        </row>
        <row r="370">
          <cell r="C370">
            <v>0</v>
          </cell>
          <cell r="E370" t="str">
            <v>0-0</v>
          </cell>
        </row>
        <row r="371">
          <cell r="C371">
            <v>0</v>
          </cell>
          <cell r="E371" t="str">
            <v>0-0</v>
          </cell>
        </row>
        <row r="372">
          <cell r="C372">
            <v>0</v>
          </cell>
          <cell r="E372" t="str">
            <v>0-0</v>
          </cell>
        </row>
        <row r="373">
          <cell r="C373">
            <v>0</v>
          </cell>
          <cell r="E373" t="str">
            <v>0-0</v>
          </cell>
        </row>
        <row r="374">
          <cell r="C374">
            <v>0</v>
          </cell>
          <cell r="E374" t="str">
            <v>0-0</v>
          </cell>
        </row>
        <row r="375">
          <cell r="C375">
            <v>0</v>
          </cell>
          <cell r="E375" t="str">
            <v>0-0</v>
          </cell>
        </row>
        <row r="376">
          <cell r="C376">
            <v>0</v>
          </cell>
          <cell r="E376" t="str">
            <v>0-0</v>
          </cell>
        </row>
        <row r="377">
          <cell r="C377">
            <v>0</v>
          </cell>
          <cell r="E377" t="str">
            <v>0-0</v>
          </cell>
        </row>
        <row r="378">
          <cell r="C378">
            <v>0</v>
          </cell>
          <cell r="E378" t="str">
            <v>0-0</v>
          </cell>
        </row>
        <row r="379">
          <cell r="C379">
            <v>0</v>
          </cell>
          <cell r="E379" t="str">
            <v>0-0</v>
          </cell>
        </row>
        <row r="380">
          <cell r="C380">
            <v>0</v>
          </cell>
          <cell r="E380" t="str">
            <v>0-0</v>
          </cell>
        </row>
        <row r="381">
          <cell r="C381">
            <v>0</v>
          </cell>
          <cell r="E381" t="str">
            <v>0-0</v>
          </cell>
        </row>
        <row r="382">
          <cell r="C382">
            <v>0</v>
          </cell>
          <cell r="E382" t="str">
            <v>0-0</v>
          </cell>
        </row>
        <row r="383">
          <cell r="C383">
            <v>0</v>
          </cell>
          <cell r="E383" t="str">
            <v>0-0</v>
          </cell>
        </row>
        <row r="384">
          <cell r="C384">
            <v>0</v>
          </cell>
          <cell r="E384" t="str">
            <v>0-0</v>
          </cell>
        </row>
        <row r="385">
          <cell r="C385">
            <v>0</v>
          </cell>
          <cell r="E385" t="str">
            <v>0-0</v>
          </cell>
        </row>
        <row r="386">
          <cell r="C386">
            <v>0</v>
          </cell>
          <cell r="E386" t="str">
            <v>0-0</v>
          </cell>
        </row>
        <row r="387">
          <cell r="C387">
            <v>0</v>
          </cell>
          <cell r="E387" t="str">
            <v>0-0</v>
          </cell>
        </row>
        <row r="388">
          <cell r="C388">
            <v>0</v>
          </cell>
          <cell r="E388" t="str">
            <v>0-0</v>
          </cell>
        </row>
        <row r="389">
          <cell r="C389">
            <v>0</v>
          </cell>
          <cell r="E389" t="str">
            <v>0-0</v>
          </cell>
        </row>
        <row r="390">
          <cell r="C390">
            <v>0</v>
          </cell>
          <cell r="E390" t="str">
            <v>0-0</v>
          </cell>
        </row>
        <row r="391">
          <cell r="C391">
            <v>0</v>
          </cell>
          <cell r="E391" t="str">
            <v>0-0</v>
          </cell>
        </row>
        <row r="392">
          <cell r="C392">
            <v>0</v>
          </cell>
          <cell r="E392" t="str">
            <v>0-0</v>
          </cell>
        </row>
        <row r="393">
          <cell r="C393">
            <v>0</v>
          </cell>
          <cell r="E393" t="str">
            <v>0-0</v>
          </cell>
        </row>
        <row r="394">
          <cell r="C394">
            <v>0</v>
          </cell>
          <cell r="E394" t="str">
            <v>0-0</v>
          </cell>
        </row>
        <row r="395">
          <cell r="C395">
            <v>0</v>
          </cell>
          <cell r="E395" t="str">
            <v>0-0</v>
          </cell>
        </row>
        <row r="396">
          <cell r="C396">
            <v>0</v>
          </cell>
          <cell r="E396" t="str">
            <v>0-0</v>
          </cell>
        </row>
        <row r="397">
          <cell r="C397">
            <v>0</v>
          </cell>
          <cell r="E397" t="str">
            <v>0-0</v>
          </cell>
        </row>
        <row r="398">
          <cell r="C398">
            <v>0</v>
          </cell>
          <cell r="E398" t="str">
            <v>0-0</v>
          </cell>
        </row>
        <row r="399">
          <cell r="C399">
            <v>0</v>
          </cell>
          <cell r="E399" t="str">
            <v>0-0</v>
          </cell>
        </row>
        <row r="400">
          <cell r="C400">
            <v>0</v>
          </cell>
          <cell r="E400" t="str">
            <v>0-0</v>
          </cell>
        </row>
        <row r="401">
          <cell r="C401">
            <v>0</v>
          </cell>
          <cell r="E401" t="str">
            <v>0-0</v>
          </cell>
        </row>
        <row r="402">
          <cell r="C402">
            <v>0</v>
          </cell>
          <cell r="E402" t="str">
            <v>0-0</v>
          </cell>
        </row>
        <row r="403">
          <cell r="C403">
            <v>0</v>
          </cell>
          <cell r="E403" t="str">
            <v>0-0</v>
          </cell>
        </row>
        <row r="404">
          <cell r="C404">
            <v>0</v>
          </cell>
          <cell r="E404" t="str">
            <v>0-0</v>
          </cell>
        </row>
        <row r="405">
          <cell r="C405">
            <v>0</v>
          </cell>
          <cell r="E405" t="str">
            <v>0-0</v>
          </cell>
        </row>
        <row r="406">
          <cell r="C406">
            <v>0</v>
          </cell>
          <cell r="E406" t="str">
            <v>0-0</v>
          </cell>
        </row>
        <row r="407">
          <cell r="C407">
            <v>0</v>
          </cell>
          <cell r="E407" t="str">
            <v>0-0</v>
          </cell>
        </row>
        <row r="408">
          <cell r="C408">
            <v>0</v>
          </cell>
          <cell r="E408" t="str">
            <v>0-0</v>
          </cell>
        </row>
        <row r="409">
          <cell r="C409">
            <v>0</v>
          </cell>
          <cell r="E409" t="str">
            <v>0-0</v>
          </cell>
        </row>
        <row r="410">
          <cell r="C410">
            <v>0</v>
          </cell>
          <cell r="E410" t="str">
            <v>0-0</v>
          </cell>
        </row>
        <row r="411">
          <cell r="C411">
            <v>0</v>
          </cell>
          <cell r="E411" t="str">
            <v>0-0</v>
          </cell>
        </row>
        <row r="412">
          <cell r="C412">
            <v>0</v>
          </cell>
          <cell r="E412" t="str">
            <v>0-0</v>
          </cell>
        </row>
        <row r="413">
          <cell r="C413">
            <v>0</v>
          </cell>
          <cell r="E413" t="str">
            <v>0-0</v>
          </cell>
        </row>
        <row r="414">
          <cell r="C414">
            <v>0</v>
          </cell>
          <cell r="E414" t="str">
            <v>0-0</v>
          </cell>
        </row>
        <row r="415">
          <cell r="C415">
            <v>0</v>
          </cell>
          <cell r="E415" t="str">
            <v>0-0</v>
          </cell>
        </row>
        <row r="416">
          <cell r="C416">
            <v>0</v>
          </cell>
          <cell r="E416" t="str">
            <v>0-0</v>
          </cell>
        </row>
        <row r="417">
          <cell r="C417">
            <v>0</v>
          </cell>
          <cell r="E417" t="str">
            <v>0-0</v>
          </cell>
        </row>
        <row r="418">
          <cell r="C418">
            <v>0</v>
          </cell>
          <cell r="E418" t="str">
            <v>0-0</v>
          </cell>
        </row>
        <row r="419">
          <cell r="C419">
            <v>0</v>
          </cell>
          <cell r="E419" t="str">
            <v>0-0</v>
          </cell>
        </row>
        <row r="420">
          <cell r="C420">
            <v>0</v>
          </cell>
          <cell r="E420" t="str">
            <v>0-0</v>
          </cell>
        </row>
        <row r="421">
          <cell r="C421">
            <v>0</v>
          </cell>
          <cell r="E421" t="str">
            <v>0-0</v>
          </cell>
        </row>
        <row r="422">
          <cell r="C422">
            <v>0</v>
          </cell>
          <cell r="E422" t="str">
            <v>0-0</v>
          </cell>
        </row>
        <row r="423">
          <cell r="C423">
            <v>0</v>
          </cell>
          <cell r="E423" t="str">
            <v>0-0</v>
          </cell>
        </row>
        <row r="424">
          <cell r="C424">
            <v>0</v>
          </cell>
          <cell r="E424" t="str">
            <v>0-0</v>
          </cell>
        </row>
        <row r="425">
          <cell r="C425">
            <v>0</v>
          </cell>
          <cell r="E425" t="str">
            <v>0-0</v>
          </cell>
        </row>
        <row r="426">
          <cell r="C426">
            <v>0</v>
          </cell>
          <cell r="E426" t="str">
            <v>0-0</v>
          </cell>
        </row>
        <row r="427">
          <cell r="C427">
            <v>0</v>
          </cell>
          <cell r="E427" t="str">
            <v>0-0</v>
          </cell>
        </row>
        <row r="428">
          <cell r="C428">
            <v>0</v>
          </cell>
          <cell r="E428" t="str">
            <v>0-0</v>
          </cell>
        </row>
        <row r="429">
          <cell r="C429">
            <v>0</v>
          </cell>
          <cell r="E429" t="str">
            <v>0-0</v>
          </cell>
        </row>
        <row r="430">
          <cell r="C430">
            <v>0</v>
          </cell>
          <cell r="E430" t="str">
            <v>0-0</v>
          </cell>
        </row>
        <row r="431">
          <cell r="C431">
            <v>0</v>
          </cell>
          <cell r="E431" t="str">
            <v>0-0</v>
          </cell>
        </row>
        <row r="432">
          <cell r="C432">
            <v>0</v>
          </cell>
          <cell r="E432" t="str">
            <v>0-0</v>
          </cell>
        </row>
        <row r="433">
          <cell r="C433">
            <v>0</v>
          </cell>
          <cell r="E433" t="str">
            <v>0-0</v>
          </cell>
        </row>
        <row r="434">
          <cell r="C434">
            <v>0</v>
          </cell>
          <cell r="E434" t="str">
            <v>0-0</v>
          </cell>
        </row>
        <row r="435">
          <cell r="C435">
            <v>0</v>
          </cell>
          <cell r="E435" t="str">
            <v>0-0</v>
          </cell>
        </row>
        <row r="436">
          <cell r="C436">
            <v>0</v>
          </cell>
          <cell r="E436" t="str">
            <v>0-0</v>
          </cell>
        </row>
        <row r="437">
          <cell r="C437">
            <v>0</v>
          </cell>
          <cell r="E437" t="str">
            <v>0-0</v>
          </cell>
        </row>
        <row r="438">
          <cell r="C438">
            <v>0</v>
          </cell>
          <cell r="E438" t="str">
            <v>0-0</v>
          </cell>
        </row>
        <row r="439">
          <cell r="C439">
            <v>0</v>
          </cell>
          <cell r="E439" t="str">
            <v>0-0</v>
          </cell>
        </row>
        <row r="440">
          <cell r="C440">
            <v>0</v>
          </cell>
          <cell r="E440" t="str">
            <v>0-0</v>
          </cell>
        </row>
        <row r="441">
          <cell r="C441">
            <v>0</v>
          </cell>
          <cell r="E441" t="str">
            <v>0-0</v>
          </cell>
        </row>
        <row r="442">
          <cell r="C442">
            <v>0</v>
          </cell>
          <cell r="E442" t="str">
            <v>0-0</v>
          </cell>
        </row>
        <row r="443">
          <cell r="C443">
            <v>0</v>
          </cell>
          <cell r="E443" t="str">
            <v>0-0</v>
          </cell>
        </row>
        <row r="444">
          <cell r="C444">
            <v>0</v>
          </cell>
          <cell r="E444" t="str">
            <v>0-0</v>
          </cell>
        </row>
        <row r="445">
          <cell r="C445">
            <v>0</v>
          </cell>
          <cell r="E445" t="str">
            <v>0-0</v>
          </cell>
        </row>
        <row r="446">
          <cell r="C446">
            <v>0</v>
          </cell>
          <cell r="E446" t="str">
            <v>0-0</v>
          </cell>
        </row>
        <row r="447">
          <cell r="C447">
            <v>0</v>
          </cell>
          <cell r="E447" t="str">
            <v>0-0</v>
          </cell>
        </row>
        <row r="448">
          <cell r="C448">
            <v>0</v>
          </cell>
          <cell r="E448" t="str">
            <v>0-0</v>
          </cell>
        </row>
        <row r="449">
          <cell r="C449">
            <v>0</v>
          </cell>
          <cell r="E449" t="str">
            <v>0-0</v>
          </cell>
        </row>
        <row r="450">
          <cell r="C450">
            <v>0</v>
          </cell>
          <cell r="E450" t="str">
            <v>0-0</v>
          </cell>
        </row>
        <row r="451">
          <cell r="C451">
            <v>0</v>
          </cell>
          <cell r="E451" t="str">
            <v>0-0</v>
          </cell>
        </row>
        <row r="452">
          <cell r="C452">
            <v>0</v>
          </cell>
          <cell r="E452" t="str">
            <v>0-0</v>
          </cell>
        </row>
        <row r="453">
          <cell r="C453">
            <v>0</v>
          </cell>
          <cell r="E453" t="str">
            <v>0-0</v>
          </cell>
        </row>
        <row r="454">
          <cell r="C454">
            <v>0</v>
          </cell>
          <cell r="E454" t="str">
            <v>0-0</v>
          </cell>
        </row>
        <row r="455">
          <cell r="C455">
            <v>0</v>
          </cell>
          <cell r="E455" t="str">
            <v>0-0</v>
          </cell>
        </row>
        <row r="456">
          <cell r="C456">
            <v>0</v>
          </cell>
          <cell r="E456" t="str">
            <v>0-0</v>
          </cell>
        </row>
        <row r="457">
          <cell r="C457">
            <v>0</v>
          </cell>
          <cell r="E457" t="str">
            <v>0-0</v>
          </cell>
        </row>
        <row r="458">
          <cell r="C458">
            <v>0</v>
          </cell>
          <cell r="E458" t="str">
            <v>0-0</v>
          </cell>
        </row>
        <row r="459">
          <cell r="C459">
            <v>0</v>
          </cell>
          <cell r="E459" t="str">
            <v>0-0</v>
          </cell>
        </row>
        <row r="460">
          <cell r="C460">
            <v>0</v>
          </cell>
          <cell r="E460" t="str">
            <v>0-0</v>
          </cell>
        </row>
        <row r="461">
          <cell r="C461">
            <v>0</v>
          </cell>
          <cell r="E461" t="str">
            <v>0-0</v>
          </cell>
        </row>
        <row r="462">
          <cell r="C462">
            <v>0</v>
          </cell>
          <cell r="E462" t="str">
            <v>0-0</v>
          </cell>
        </row>
        <row r="463">
          <cell r="C463">
            <v>0</v>
          </cell>
          <cell r="E463" t="str">
            <v>0-0</v>
          </cell>
        </row>
        <row r="464">
          <cell r="C464">
            <v>0</v>
          </cell>
          <cell r="E464" t="str">
            <v>0-0</v>
          </cell>
        </row>
        <row r="465">
          <cell r="C465">
            <v>0</v>
          </cell>
          <cell r="E465" t="str">
            <v>0-0</v>
          </cell>
        </row>
        <row r="466">
          <cell r="C466">
            <v>0</v>
          </cell>
          <cell r="E466" t="str">
            <v>0-0</v>
          </cell>
        </row>
        <row r="467">
          <cell r="C467">
            <v>0</v>
          </cell>
          <cell r="E467" t="str">
            <v>0-0</v>
          </cell>
        </row>
        <row r="468">
          <cell r="C468">
            <v>0</v>
          </cell>
          <cell r="E468" t="str">
            <v>0-0</v>
          </cell>
        </row>
        <row r="469">
          <cell r="C469">
            <v>0</v>
          </cell>
          <cell r="E469" t="str">
            <v>0-0</v>
          </cell>
        </row>
        <row r="470">
          <cell r="C470">
            <v>0</v>
          </cell>
          <cell r="E470" t="str">
            <v>0-0</v>
          </cell>
        </row>
        <row r="471">
          <cell r="C471">
            <v>0</v>
          </cell>
          <cell r="E471" t="str">
            <v>0-0</v>
          </cell>
        </row>
        <row r="472">
          <cell r="C472">
            <v>0</v>
          </cell>
          <cell r="E472" t="str">
            <v>0-0</v>
          </cell>
        </row>
        <row r="473">
          <cell r="C473">
            <v>0</v>
          </cell>
          <cell r="E473" t="str">
            <v>0-0</v>
          </cell>
        </row>
        <row r="474">
          <cell r="C474">
            <v>0</v>
          </cell>
          <cell r="E474" t="str">
            <v>0-0</v>
          </cell>
        </row>
        <row r="475">
          <cell r="C475">
            <v>0</v>
          </cell>
          <cell r="E475" t="str">
            <v>0-0</v>
          </cell>
        </row>
        <row r="476">
          <cell r="C476">
            <v>0</v>
          </cell>
          <cell r="E476" t="str">
            <v>0-0</v>
          </cell>
        </row>
        <row r="477">
          <cell r="C477">
            <v>0</v>
          </cell>
          <cell r="E477" t="str">
            <v>0-0</v>
          </cell>
        </row>
        <row r="478">
          <cell r="C478">
            <v>0</v>
          </cell>
          <cell r="E478" t="str">
            <v>0-0</v>
          </cell>
        </row>
        <row r="479">
          <cell r="C479">
            <v>0</v>
          </cell>
          <cell r="E479" t="str">
            <v>0-0</v>
          </cell>
        </row>
        <row r="480">
          <cell r="C480">
            <v>0</v>
          </cell>
          <cell r="E480" t="str">
            <v>0-0</v>
          </cell>
        </row>
        <row r="481">
          <cell r="C481">
            <v>0</v>
          </cell>
          <cell r="E481" t="str">
            <v>0-0</v>
          </cell>
        </row>
        <row r="482">
          <cell r="C482">
            <v>0</v>
          </cell>
          <cell r="E482" t="str">
            <v>0-0</v>
          </cell>
        </row>
        <row r="483">
          <cell r="C483">
            <v>0</v>
          </cell>
          <cell r="E483" t="str">
            <v>0-0</v>
          </cell>
        </row>
        <row r="484">
          <cell r="C484">
            <v>0</v>
          </cell>
          <cell r="E484" t="str">
            <v>0-0</v>
          </cell>
        </row>
        <row r="485">
          <cell r="C485">
            <v>0</v>
          </cell>
          <cell r="E485" t="str">
            <v>0-0</v>
          </cell>
        </row>
        <row r="486">
          <cell r="C486">
            <v>0</v>
          </cell>
          <cell r="E486" t="str">
            <v>0-0</v>
          </cell>
        </row>
        <row r="487">
          <cell r="C487">
            <v>0</v>
          </cell>
          <cell r="E487" t="str">
            <v>0-0</v>
          </cell>
        </row>
        <row r="488">
          <cell r="C488">
            <v>0</v>
          </cell>
          <cell r="E488" t="str">
            <v>0-0</v>
          </cell>
        </row>
        <row r="489">
          <cell r="C489">
            <v>0</v>
          </cell>
          <cell r="E489" t="str">
            <v>0-0</v>
          </cell>
        </row>
        <row r="490">
          <cell r="C490">
            <v>0</v>
          </cell>
          <cell r="E490" t="str">
            <v>0-0</v>
          </cell>
        </row>
        <row r="491">
          <cell r="C491">
            <v>0</v>
          </cell>
          <cell r="E491" t="str">
            <v>0-0</v>
          </cell>
        </row>
        <row r="492">
          <cell r="C492">
            <v>0</v>
          </cell>
          <cell r="E492" t="str">
            <v>0-0</v>
          </cell>
        </row>
        <row r="493">
          <cell r="C493">
            <v>0</v>
          </cell>
          <cell r="E493" t="str">
            <v>0-0</v>
          </cell>
        </row>
        <row r="494">
          <cell r="C494">
            <v>0</v>
          </cell>
          <cell r="E494" t="str">
            <v>0-0</v>
          </cell>
        </row>
        <row r="495">
          <cell r="C495">
            <v>0</v>
          </cell>
          <cell r="E495" t="str">
            <v>0-0</v>
          </cell>
        </row>
        <row r="496">
          <cell r="C496">
            <v>0</v>
          </cell>
          <cell r="E496" t="str">
            <v>0-0</v>
          </cell>
        </row>
        <row r="497">
          <cell r="C497">
            <v>0</v>
          </cell>
          <cell r="E497" t="str">
            <v>0-0</v>
          </cell>
        </row>
        <row r="498">
          <cell r="C498">
            <v>0</v>
          </cell>
          <cell r="E498" t="str">
            <v>0-0</v>
          </cell>
        </row>
        <row r="499">
          <cell r="C499">
            <v>0</v>
          </cell>
          <cell r="E499" t="str">
            <v>0-0</v>
          </cell>
        </row>
        <row r="500">
          <cell r="C500">
            <v>0</v>
          </cell>
          <cell r="E500" t="str">
            <v>0-0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Instructions"/>
      <sheetName val="2-Cover Page"/>
      <sheetName val="3-Budget Detail"/>
      <sheetName val="4-Equipment"/>
      <sheetName val="5-Budget Summary"/>
      <sheetName val="6-Error Checking"/>
      <sheetName val="7-Rate Table"/>
      <sheetName val="Other"/>
      <sheetName val="Calculation Equipment"/>
      <sheetName val="Calculation D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A2" t="str">
            <v>0030</v>
          </cell>
          <cell r="B2" t="str">
            <v>ADAMS</v>
          </cell>
          <cell r="C2" t="str">
            <v>ADAMS COUNTY 14</v>
          </cell>
          <cell r="D2">
            <v>6.2800000000000009E-2</v>
          </cell>
        </row>
        <row r="3">
          <cell r="A3" t="str">
            <v>0100</v>
          </cell>
          <cell r="B3" t="str">
            <v>ALAMOSA</v>
          </cell>
          <cell r="C3" t="str">
            <v>ALAMOSA RE-11J</v>
          </cell>
          <cell r="D3">
            <v>2.1600000000000001E-2</v>
          </cell>
        </row>
        <row r="4">
          <cell r="A4" t="str">
            <v>0180</v>
          </cell>
          <cell r="B4" t="str">
            <v>ARAPAHOE</v>
          </cell>
          <cell r="C4" t="str">
            <v>ADAMS-ARAPAHOE 28J</v>
          </cell>
          <cell r="D4">
            <v>1.5900000000000001E-2</v>
          </cell>
        </row>
        <row r="5">
          <cell r="A5" t="str">
            <v>0220</v>
          </cell>
          <cell r="B5" t="str">
            <v>ARCHULETA</v>
          </cell>
          <cell r="C5" t="str">
            <v>ARCHULETA COUNTY 50 JT</v>
          </cell>
          <cell r="D5">
            <v>7.5499999999999998E-2</v>
          </cell>
        </row>
        <row r="6">
          <cell r="A6" t="str">
            <v>0230</v>
          </cell>
          <cell r="B6" t="str">
            <v>BACA</v>
          </cell>
          <cell r="C6" t="str">
            <v>WALSH RE-1</v>
          </cell>
          <cell r="D6">
            <v>2.7799999999999998E-2</v>
          </cell>
        </row>
        <row r="7">
          <cell r="A7" t="str">
            <v>0260</v>
          </cell>
          <cell r="B7" t="str">
            <v>BACA</v>
          </cell>
          <cell r="C7" t="str">
            <v>VILAS RE-5</v>
          </cell>
          <cell r="D7">
            <v>2.3E-3</v>
          </cell>
        </row>
        <row r="8">
          <cell r="A8" t="str">
            <v>0290</v>
          </cell>
          <cell r="B8" t="str">
            <v>BENT</v>
          </cell>
          <cell r="C8" t="str">
            <v>LAS ANIMAS RE-1</v>
          </cell>
          <cell r="D8">
            <v>9.0999999999999998E-2</v>
          </cell>
        </row>
        <row r="9">
          <cell r="A9" t="str">
            <v>0510</v>
          </cell>
          <cell r="B9" t="str">
            <v>CHEYENNE</v>
          </cell>
          <cell r="C9" t="str">
            <v>KIT CARSON R-1</v>
          </cell>
          <cell r="D9">
            <v>0</v>
          </cell>
        </row>
        <row r="10">
          <cell r="A10" t="str">
            <v>0580</v>
          </cell>
          <cell r="B10" t="str">
            <v>CONEJOS</v>
          </cell>
          <cell r="C10" t="str">
            <v>SOUTH CONEJOS RE-10</v>
          </cell>
          <cell r="D10">
            <v>2.07E-2</v>
          </cell>
        </row>
        <row r="11">
          <cell r="A11" t="str">
            <v>0770</v>
          </cell>
          <cell r="B11" t="str">
            <v>CROWLEY</v>
          </cell>
          <cell r="C11" t="str">
            <v>CROWLEY COUNTY RE-1J</v>
          </cell>
          <cell r="D11">
            <v>1.6399999999999998E-2</v>
          </cell>
        </row>
        <row r="12">
          <cell r="A12" t="str">
            <v>0870</v>
          </cell>
          <cell r="B12" t="str">
            <v>DELTA</v>
          </cell>
          <cell r="C12" t="str">
            <v>DELTA 50J</v>
          </cell>
          <cell r="D12">
            <v>3.1099999999999999E-2</v>
          </cell>
        </row>
        <row r="13">
          <cell r="A13" t="str">
            <v>0880</v>
          </cell>
          <cell r="B13" t="str">
            <v>DENVER</v>
          </cell>
          <cell r="C13" t="str">
            <v>DENVER COUNTY 1</v>
          </cell>
          <cell r="D13">
            <v>4.6699999999999998E-2</v>
          </cell>
        </row>
        <row r="14">
          <cell r="A14" t="str">
            <v>0890</v>
          </cell>
          <cell r="B14" t="str">
            <v>DOLORES</v>
          </cell>
          <cell r="C14" t="str">
            <v>DOLORES RE-2</v>
          </cell>
          <cell r="D14">
            <v>4.1100000000000005E-2</v>
          </cell>
        </row>
        <row r="15">
          <cell r="A15" t="str">
            <v>0960</v>
          </cell>
          <cell r="B15" t="str">
            <v>ELBERT</v>
          </cell>
          <cell r="C15" t="str">
            <v>AGATE 300</v>
          </cell>
          <cell r="D15">
            <v>4.4400000000000002E-2</v>
          </cell>
        </row>
        <row r="16">
          <cell r="A16" t="str">
            <v>0980</v>
          </cell>
          <cell r="B16" t="str">
            <v>EL PASO</v>
          </cell>
          <cell r="C16" t="str">
            <v>HARRISON 2</v>
          </cell>
          <cell r="D16">
            <v>5.0999999999999997E-2</v>
          </cell>
        </row>
        <row r="17">
          <cell r="A17" t="str">
            <v>0990</v>
          </cell>
          <cell r="B17" t="str">
            <v>EL PASO</v>
          </cell>
          <cell r="C17" t="str">
            <v>WIDEFIELD 3</v>
          </cell>
          <cell r="D17">
            <v>4.5100000000000001E-2</v>
          </cell>
        </row>
        <row r="18">
          <cell r="A18" t="str">
            <v>1010</v>
          </cell>
          <cell r="B18" t="str">
            <v>EL PASO</v>
          </cell>
          <cell r="C18" t="str">
            <v>COLORADO SPRINGS 11</v>
          </cell>
          <cell r="D18">
            <v>7.7600000000000002E-2</v>
          </cell>
        </row>
        <row r="19">
          <cell r="A19" t="str">
            <v>1050</v>
          </cell>
          <cell r="B19" t="str">
            <v>EL PASO</v>
          </cell>
          <cell r="C19" t="str">
            <v>ELLICOTT 22</v>
          </cell>
          <cell r="D19">
            <v>3.5900000000000001E-2</v>
          </cell>
        </row>
        <row r="20">
          <cell r="A20" t="str">
            <v>1150</v>
          </cell>
          <cell r="B20" t="str">
            <v>FREMONT</v>
          </cell>
          <cell r="C20" t="str">
            <v>FLORENCE RE-2</v>
          </cell>
          <cell r="D20">
            <v>2.0499999999999997E-2</v>
          </cell>
        </row>
        <row r="21">
          <cell r="A21" t="str">
            <v>1160</v>
          </cell>
          <cell r="B21" t="str">
            <v>FREMONT</v>
          </cell>
          <cell r="C21" t="str">
            <v>COTOPAXI RE-3</v>
          </cell>
          <cell r="D21">
            <v>1.6299999999999999E-2</v>
          </cell>
        </row>
        <row r="22">
          <cell r="A22" t="str">
            <v>1180</v>
          </cell>
          <cell r="B22" t="str">
            <v>GARFIELD</v>
          </cell>
          <cell r="C22" t="str">
            <v>ROARING FORK RE-1</v>
          </cell>
          <cell r="D22">
            <v>1.84E-2</v>
          </cell>
        </row>
        <row r="23">
          <cell r="A23" t="str">
            <v>1400</v>
          </cell>
          <cell r="B23" t="str">
            <v>HUERFANO</v>
          </cell>
          <cell r="C23" t="str">
            <v>LA VETA RE-2</v>
          </cell>
          <cell r="D23">
            <v>2.29E-2</v>
          </cell>
        </row>
        <row r="24">
          <cell r="A24" t="str">
            <v>1490</v>
          </cell>
          <cell r="B24" t="str">
            <v>KIT CARSON</v>
          </cell>
          <cell r="C24" t="str">
            <v>BETHUNE R-5</v>
          </cell>
          <cell r="D24">
            <v>7.000000000000001E-4</v>
          </cell>
        </row>
        <row r="25">
          <cell r="A25" t="str">
            <v>1510</v>
          </cell>
          <cell r="B25" t="str">
            <v>LAKE</v>
          </cell>
          <cell r="C25" t="str">
            <v>LAKE COUNTY R-1</v>
          </cell>
          <cell r="D25">
            <v>1.46E-2</v>
          </cell>
        </row>
        <row r="26">
          <cell r="A26" t="str">
            <v>1540</v>
          </cell>
          <cell r="B26" t="str">
            <v>LA PLATA</v>
          </cell>
          <cell r="C26" t="str">
            <v>IGNACIO 11JT</v>
          </cell>
          <cell r="D26">
            <v>9.0999999999999998E-2</v>
          </cell>
        </row>
        <row r="27">
          <cell r="A27" t="str">
            <v>1580</v>
          </cell>
          <cell r="B27" t="str">
            <v>LAS ANIMAS</v>
          </cell>
          <cell r="C27" t="str">
            <v>TRINIDAD 1</v>
          </cell>
          <cell r="D27">
            <v>3.6699999999999997E-2</v>
          </cell>
        </row>
        <row r="28">
          <cell r="A28" t="str">
            <v>1750</v>
          </cell>
          <cell r="B28" t="str">
            <v>LAS ANIMAS</v>
          </cell>
          <cell r="C28" t="str">
            <v>BRANSON RE-82</v>
          </cell>
          <cell r="D28">
            <v>5.9999999999999995E-4</v>
          </cell>
        </row>
        <row r="29">
          <cell r="A29" t="str">
            <v>1780</v>
          </cell>
          <cell r="B29" t="str">
            <v>LINCOLN</v>
          </cell>
          <cell r="C29" t="str">
            <v>GENOA-HUGO C113</v>
          </cell>
          <cell r="D29">
            <v>4.41E-2</v>
          </cell>
        </row>
        <row r="30">
          <cell r="A30" t="str">
            <v>1850</v>
          </cell>
          <cell r="B30" t="str">
            <v>LOGAN</v>
          </cell>
          <cell r="C30" t="str">
            <v>FRENCHMAN RE-3</v>
          </cell>
          <cell r="D30">
            <v>9.0999999999999998E-2</v>
          </cell>
        </row>
        <row r="31">
          <cell r="A31" t="str">
            <v>2000</v>
          </cell>
          <cell r="B31" t="str">
            <v>MESA</v>
          </cell>
          <cell r="C31" t="str">
            <v>MESA COUNTY VALLEY 51</v>
          </cell>
          <cell r="D31">
            <v>2.8199999999999999E-2</v>
          </cell>
        </row>
        <row r="32">
          <cell r="A32" t="str">
            <v>2010</v>
          </cell>
          <cell r="B32" t="str">
            <v>MINERAL</v>
          </cell>
          <cell r="C32" t="str">
            <v>CREEDE CONSOLDIATED 1</v>
          </cell>
          <cell r="D32">
            <v>2.29E-2</v>
          </cell>
        </row>
        <row r="33">
          <cell r="A33" t="str">
            <v>2035</v>
          </cell>
          <cell r="B33" t="str">
            <v>MONTEZUMA</v>
          </cell>
          <cell r="C33" t="str">
            <v>MONTEZUMA-CORTEZ RE-1</v>
          </cell>
          <cell r="D33">
            <v>1.77E-2</v>
          </cell>
        </row>
        <row r="34">
          <cell r="A34" t="str">
            <v>2070</v>
          </cell>
          <cell r="B34" t="str">
            <v>MONTEZUMA</v>
          </cell>
          <cell r="C34" t="str">
            <v>MANCOS RE-6</v>
          </cell>
          <cell r="D34">
            <v>4.8499999999999995E-2</v>
          </cell>
        </row>
        <row r="35">
          <cell r="A35" t="str">
            <v>2180</v>
          </cell>
          <cell r="B35" t="str">
            <v>MONTROSE</v>
          </cell>
          <cell r="C35" t="str">
            <v>MONROSE COUNTY RE-1</v>
          </cell>
          <cell r="D35">
            <v>1.6200000000000003E-2</v>
          </cell>
        </row>
        <row r="36">
          <cell r="A36" t="str">
            <v>2190</v>
          </cell>
          <cell r="B36" t="str">
            <v>MONTROSE</v>
          </cell>
          <cell r="C36" t="str">
            <v>WEST END RE-2</v>
          </cell>
          <cell r="D36">
            <v>7.2499999999999995E-2</v>
          </cell>
        </row>
        <row r="37">
          <cell r="A37" t="str">
            <v>2405</v>
          </cell>
          <cell r="B37" t="str">
            <v>MORGAN</v>
          </cell>
          <cell r="C37" t="str">
            <v>FORT MORGAN RE-3</v>
          </cell>
          <cell r="D37">
            <v>6.4500000000000002E-2</v>
          </cell>
        </row>
        <row r="38">
          <cell r="A38" t="str">
            <v>2515</v>
          </cell>
          <cell r="B38" t="str">
            <v>MORGAN</v>
          </cell>
          <cell r="C38" t="str">
            <v>WIGGINS RE-50J</v>
          </cell>
          <cell r="D38">
            <v>9.0999999999999998E-2</v>
          </cell>
        </row>
        <row r="39">
          <cell r="A39" t="str">
            <v>2520</v>
          </cell>
          <cell r="B39" t="str">
            <v>OTERO</v>
          </cell>
          <cell r="C39" t="str">
            <v>EAST OTERO R-1</v>
          </cell>
          <cell r="D39">
            <v>6.4299999999999996E-2</v>
          </cell>
        </row>
        <row r="40">
          <cell r="A40" t="str">
            <v>2535</v>
          </cell>
          <cell r="B40" t="str">
            <v>OTERO</v>
          </cell>
          <cell r="C40" t="str">
            <v>MANZANOLA 3J</v>
          </cell>
          <cell r="D40">
            <v>3.1600000000000003E-2</v>
          </cell>
        </row>
        <row r="41">
          <cell r="A41" t="str">
            <v>2620</v>
          </cell>
          <cell r="B41" t="str">
            <v>PHILLIPS</v>
          </cell>
          <cell r="C41" t="str">
            <v>HOLYOKE RE-1J</v>
          </cell>
          <cell r="D41">
            <v>5.6799999999999996E-2</v>
          </cell>
        </row>
        <row r="42">
          <cell r="A42" t="str">
            <v>2660</v>
          </cell>
          <cell r="B42" t="str">
            <v>PROWERS</v>
          </cell>
          <cell r="C42" t="str">
            <v>LAMAR RE-2</v>
          </cell>
          <cell r="D42">
            <v>4.2099999999999999E-2</v>
          </cell>
        </row>
        <row r="43">
          <cell r="A43" t="str">
            <v>2690</v>
          </cell>
          <cell r="B43" t="str">
            <v>PUEBLO</v>
          </cell>
          <cell r="C43" t="str">
            <v>PUEBLO CITY 60</v>
          </cell>
          <cell r="D43">
            <v>6.4199999999999993E-2</v>
          </cell>
        </row>
        <row r="44">
          <cell r="A44" t="str">
            <v>2730</v>
          </cell>
          <cell r="B44" t="str">
            <v>RIO GRANDE</v>
          </cell>
          <cell r="C44" t="str">
            <v>DEL NORTE C-7</v>
          </cell>
          <cell r="D44">
            <v>2.8999999999999998E-2</v>
          </cell>
        </row>
        <row r="45">
          <cell r="A45" t="str">
            <v>2740</v>
          </cell>
          <cell r="B45" t="str">
            <v>RIO GRANDE</v>
          </cell>
          <cell r="C45" t="str">
            <v>MONTE VISTA C-8</v>
          </cell>
          <cell r="D45">
            <v>2.6499999999999999E-2</v>
          </cell>
        </row>
        <row r="46">
          <cell r="A46" t="str">
            <v>2750</v>
          </cell>
          <cell r="B46" t="str">
            <v>RIO GRANDE</v>
          </cell>
          <cell r="C46" t="str">
            <v>SARGENT RE-33J</v>
          </cell>
          <cell r="D46">
            <v>3.9000000000000003E-3</v>
          </cell>
        </row>
        <row r="47">
          <cell r="A47" t="str">
            <v>2790</v>
          </cell>
          <cell r="B47" t="str">
            <v>SAGUACHE</v>
          </cell>
          <cell r="C47" t="str">
            <v>MOUNTAIN VALLEY RE-1</v>
          </cell>
          <cell r="D47">
            <v>9.0999999999999998E-2</v>
          </cell>
        </row>
        <row r="48">
          <cell r="A48" t="str">
            <v>2800</v>
          </cell>
          <cell r="B48" t="str">
            <v>SAGUACHE</v>
          </cell>
          <cell r="C48" t="str">
            <v>MOFFAT 2</v>
          </cell>
          <cell r="D48">
            <v>9.0999999999999998E-2</v>
          </cell>
        </row>
        <row r="49">
          <cell r="A49" t="str">
            <v>2820</v>
          </cell>
          <cell r="B49" t="str">
            <v>SAN JUAN</v>
          </cell>
          <cell r="C49" t="str">
            <v>SILVERTON 1</v>
          </cell>
          <cell r="D49">
            <v>9.0999999999999998E-2</v>
          </cell>
        </row>
        <row r="50">
          <cell r="A50" t="str">
            <v>2865</v>
          </cell>
          <cell r="B50" t="str">
            <v>SEDGWICK</v>
          </cell>
          <cell r="C50" t="str">
            <v>PLATTE VALLEY RE-3</v>
          </cell>
          <cell r="D50">
            <v>0</v>
          </cell>
        </row>
        <row r="51">
          <cell r="A51" t="str">
            <v>3120</v>
          </cell>
          <cell r="B51" t="str">
            <v>WELD</v>
          </cell>
          <cell r="C51" t="str">
            <v>GREELEY 6</v>
          </cell>
          <cell r="D51">
            <v>4.2199999999999994E-2</v>
          </cell>
        </row>
        <row r="52">
          <cell r="A52" t="str">
            <v>3145</v>
          </cell>
          <cell r="B52" t="str">
            <v>WELD</v>
          </cell>
          <cell r="C52" t="str">
            <v>AULT-HIGHLAND RE-9</v>
          </cell>
          <cell r="D52">
            <v>6.7500000000000004E-2</v>
          </cell>
        </row>
        <row r="53">
          <cell r="A53" t="str">
            <v>3148</v>
          </cell>
          <cell r="B53" t="str">
            <v>WELD</v>
          </cell>
          <cell r="C53" t="str">
            <v>PAWNEE RE-12</v>
          </cell>
          <cell r="D53">
            <v>6.8000000000000005E-3</v>
          </cell>
        </row>
        <row r="54">
          <cell r="A54" t="str">
            <v>3200</v>
          </cell>
          <cell r="B54" t="str">
            <v>YUMA</v>
          </cell>
          <cell r="C54" t="str">
            <v>YUMA 1</v>
          </cell>
          <cell r="D54">
            <v>3.8399999999999997E-2</v>
          </cell>
        </row>
        <row r="55">
          <cell r="A55" t="str">
            <v>3220</v>
          </cell>
          <cell r="B55" t="str">
            <v>YUMA</v>
          </cell>
          <cell r="C55" t="str">
            <v>IDALIA RJ-3</v>
          </cell>
          <cell r="D55">
            <v>9.0999999999999998E-2</v>
          </cell>
        </row>
        <row r="56">
          <cell r="A56" t="str">
            <v>9025</v>
          </cell>
          <cell r="C56" t="str">
            <v>EAST CENTRAL BOCES</v>
          </cell>
          <cell r="D56">
            <v>9.0999999999999998E-2</v>
          </cell>
        </row>
      </sheetData>
      <sheetData sheetId="7" refreshError="1">
        <row r="5">
          <cell r="A5" t="str">
            <v>Year1</v>
          </cell>
        </row>
        <row r="6">
          <cell r="A6" t="str">
            <v>Year2</v>
          </cell>
        </row>
        <row r="7">
          <cell r="A7" t="str">
            <v>Year3</v>
          </cell>
        </row>
      </sheetData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Microsoft_Word_97_-_2003_Document2.doc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09"/>
  <sheetViews>
    <sheetView zoomScaleNormal="100" workbookViewId="0">
      <selection activeCell="A109" sqref="A109"/>
    </sheetView>
  </sheetViews>
  <sheetFormatPr defaultRowHeight="13.2"/>
  <cols>
    <col min="1" max="1" width="94.33203125" customWidth="1"/>
    <col min="8" max="8" width="18.109375" customWidth="1"/>
    <col min="9" max="9" width="20.6640625" customWidth="1"/>
  </cols>
  <sheetData>
    <row r="109" spans="1:1">
      <c r="A109" s="40"/>
    </row>
  </sheetData>
  <phoneticPr fontId="6" type="noConversion"/>
  <pageMargins left="0.5" right="0.5" top="0.19" bottom="0.76" header="0" footer="0.41"/>
  <pageSetup scale="65" fitToHeight="4" orientation="portrait" r:id="rId1"/>
  <headerFooter alignWithMargins="0">
    <oddFooter>&amp;LPage &amp;P of &amp;N&amp;C&amp;D &amp;T&amp;R&amp;A</oddFooter>
  </headerFooter>
  <rowBreaks count="5" manualBreakCount="5">
    <brk id="50" max="16383" man="1"/>
    <brk id="52" max="16383" man="1"/>
    <brk id="53" max="16383" man="1"/>
    <brk id="54" max="16383" man="1"/>
    <brk id="103" max="16383" man="1"/>
  </rowBreaks>
  <drawing r:id="rId2"/>
  <legacyDrawing r:id="rId3"/>
  <oleObjects>
    <mc:AlternateContent xmlns:mc="http://schemas.openxmlformats.org/markup-compatibility/2006">
      <mc:Choice Requires="x14">
        <oleObject progId="Word.Document.8" shapeId="5121" r:id="rId4">
          <objectPr defaultSize="0" autoPict="0" r:id="rId5">
            <anchor moveWithCells="1" sizeWithCells="1">
              <from>
                <xdr:col>0</xdr:col>
                <xdr:colOff>99060</xdr:colOff>
                <xdr:row>0</xdr:row>
                <xdr:rowOff>137160</xdr:rowOff>
              </from>
              <to>
                <xdr:col>5</xdr:col>
                <xdr:colOff>381000</xdr:colOff>
                <xdr:row>50</xdr:row>
                <xdr:rowOff>129540</xdr:rowOff>
              </to>
            </anchor>
          </objectPr>
        </oleObject>
      </mc:Choice>
      <mc:Fallback>
        <oleObject progId="Word.Document.8" shapeId="5121" r:id="rId4"/>
      </mc:Fallback>
    </mc:AlternateContent>
    <mc:AlternateContent xmlns:mc="http://schemas.openxmlformats.org/markup-compatibility/2006">
      <mc:Choice Requires="x14">
        <oleObject progId="Word.Document.8" shapeId="5122" r:id="rId6">
          <objectPr defaultSize="0" r:id="rId7">
            <anchor moveWithCells="1" sizeWithCells="1">
              <from>
                <xdr:col>0</xdr:col>
                <xdr:colOff>114300</xdr:colOff>
                <xdr:row>52</xdr:row>
                <xdr:rowOff>7620</xdr:rowOff>
              </from>
              <to>
                <xdr:col>5</xdr:col>
                <xdr:colOff>381000</xdr:colOff>
                <xdr:row>104</xdr:row>
                <xdr:rowOff>121920</xdr:rowOff>
              </to>
            </anchor>
          </objectPr>
        </oleObject>
      </mc:Choice>
      <mc:Fallback>
        <oleObject progId="Word.Document.8" shapeId="5122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49"/>
  <sheetViews>
    <sheetView tabSelected="1" zoomScaleNormal="100" workbookViewId="0">
      <selection activeCell="A2" sqref="A2:G2"/>
    </sheetView>
  </sheetViews>
  <sheetFormatPr defaultColWidth="0" defaultRowHeight="14.4" zeroHeight="1"/>
  <cols>
    <col min="1" max="1" width="10.88671875" style="36" customWidth="1"/>
    <col min="2" max="2" width="24.33203125" style="32" customWidth="1"/>
    <col min="3" max="3" width="23.5546875" style="32" customWidth="1"/>
    <col min="4" max="4" width="20.109375" style="32" customWidth="1"/>
    <col min="5" max="5" width="16.88671875" style="32" customWidth="1"/>
    <col min="6" max="6" width="18.6640625" style="32" hidden="1" customWidth="1"/>
    <col min="7" max="7" width="15" style="32" hidden="1" customWidth="1"/>
    <col min="8" max="8" width="12.33203125" style="32" hidden="1" customWidth="1"/>
    <col min="9" max="16384" width="14.33203125" style="32" hidden="1"/>
  </cols>
  <sheetData>
    <row r="1" spans="1:8" ht="18.75" customHeight="1">
      <c r="A1" s="233" t="s">
        <v>410</v>
      </c>
      <c r="B1" s="233"/>
      <c r="C1" s="233"/>
      <c r="D1" s="233"/>
      <c r="E1" s="233"/>
      <c r="F1" s="233"/>
      <c r="G1" s="233"/>
      <c r="H1" s="31"/>
    </row>
    <row r="2" spans="1:8" ht="18">
      <c r="A2" s="234" t="s">
        <v>401</v>
      </c>
      <c r="B2" s="234"/>
      <c r="C2" s="234"/>
      <c r="D2" s="234"/>
      <c r="E2" s="234"/>
      <c r="F2" s="234"/>
      <c r="G2" s="234"/>
      <c r="H2" s="33"/>
    </row>
    <row r="3" spans="1:8">
      <c r="A3" s="86"/>
      <c r="B3" s="86" t="s">
        <v>393</v>
      </c>
      <c r="C3" s="86"/>
      <c r="D3" s="86" t="s">
        <v>394</v>
      </c>
      <c r="E3" s="86"/>
      <c r="F3" s="86"/>
      <c r="G3" s="86"/>
      <c r="H3" s="33"/>
    </row>
    <row r="4" spans="1:8">
      <c r="A4" s="87"/>
      <c r="B4" s="88"/>
      <c r="C4" s="89"/>
      <c r="D4" s="90"/>
      <c r="E4" s="89"/>
      <c r="F4" s="89"/>
      <c r="G4" s="89"/>
    </row>
    <row r="5" spans="1:8">
      <c r="A5" s="91"/>
      <c r="B5" s="92" t="s">
        <v>389</v>
      </c>
      <c r="C5" s="229" t="s">
        <v>409</v>
      </c>
      <c r="D5" s="229"/>
      <c r="E5" s="89"/>
      <c r="F5" s="89"/>
      <c r="G5" s="89"/>
    </row>
    <row r="6" spans="1:8">
      <c r="A6" s="91"/>
      <c r="B6" s="92" t="s">
        <v>72</v>
      </c>
      <c r="C6" s="236"/>
      <c r="D6" s="237"/>
      <c r="E6" s="89"/>
      <c r="F6" s="89"/>
      <c r="G6" s="89"/>
    </row>
    <row r="7" spans="1:8" ht="18.75" customHeight="1">
      <c r="A7" s="91"/>
      <c r="B7" s="93" t="s">
        <v>334</v>
      </c>
      <c r="C7" s="230" t="e">
        <f>VLOOKUP(C6,'Indirect Rates'!B3:E202,3)</f>
        <v>#N/A</v>
      </c>
      <c r="D7" s="230"/>
      <c r="E7" s="89"/>
      <c r="F7" s="89"/>
      <c r="G7" s="89"/>
    </row>
    <row r="8" spans="1:8" ht="6.75" customHeight="1">
      <c r="A8" s="91"/>
      <c r="B8" s="94"/>
      <c r="C8" s="95"/>
      <c r="D8" s="95"/>
      <c r="E8" s="89"/>
      <c r="F8" s="89"/>
      <c r="G8" s="89"/>
    </row>
    <row r="9" spans="1:8">
      <c r="A9" s="91"/>
      <c r="B9" s="96" t="s">
        <v>48</v>
      </c>
      <c r="C9" s="116"/>
      <c r="D9" s="97"/>
      <c r="E9" s="98"/>
      <c r="F9" s="98"/>
      <c r="G9" s="89"/>
    </row>
    <row r="10" spans="1:8">
      <c r="A10" s="91"/>
      <c r="B10" s="96" t="s">
        <v>1</v>
      </c>
      <c r="C10" s="117"/>
      <c r="D10" s="91"/>
      <c r="E10" s="98"/>
      <c r="F10" s="98"/>
      <c r="G10" s="89"/>
    </row>
    <row r="11" spans="1:8">
      <c r="A11" s="91"/>
      <c r="B11" s="92" t="s">
        <v>2</v>
      </c>
      <c r="C11" s="118"/>
      <c r="D11" s="91"/>
      <c r="E11" s="99"/>
      <c r="F11" s="99"/>
      <c r="G11" s="89"/>
    </row>
    <row r="12" spans="1:8">
      <c r="A12" s="91"/>
      <c r="B12" s="92"/>
      <c r="C12" s="89"/>
      <c r="D12" s="91"/>
      <c r="E12" s="100"/>
      <c r="F12" s="99"/>
      <c r="G12" s="89"/>
    </row>
    <row r="13" spans="1:8">
      <c r="A13" s="87"/>
      <c r="B13" s="101" t="s">
        <v>385</v>
      </c>
      <c r="C13" s="89"/>
      <c r="D13" s="102"/>
      <c r="E13" s="89"/>
      <c r="F13" s="89"/>
      <c r="G13" s="89"/>
    </row>
    <row r="14" spans="1:8">
      <c r="A14" s="87"/>
      <c r="B14" s="101"/>
      <c r="C14" s="89"/>
      <c r="D14" s="102"/>
      <c r="E14" s="89"/>
      <c r="F14" s="89"/>
      <c r="G14" s="89"/>
    </row>
    <row r="15" spans="1:8">
      <c r="A15" s="87"/>
      <c r="B15" s="92" t="s">
        <v>3</v>
      </c>
      <c r="C15" s="235"/>
      <c r="D15" s="235"/>
      <c r="E15" s="235"/>
      <c r="F15" s="89"/>
      <c r="G15" s="89"/>
    </row>
    <row r="16" spans="1:8">
      <c r="A16" s="87"/>
      <c r="B16" s="92" t="s">
        <v>4</v>
      </c>
      <c r="C16" s="231"/>
      <c r="D16" s="231"/>
      <c r="E16" s="231"/>
      <c r="F16" s="89"/>
      <c r="G16" s="89"/>
    </row>
    <row r="17" spans="1:7">
      <c r="A17" s="87"/>
      <c r="B17" s="92" t="s">
        <v>5</v>
      </c>
      <c r="C17" s="232"/>
      <c r="D17" s="231"/>
      <c r="E17" s="231"/>
      <c r="F17" s="89"/>
      <c r="G17" s="89"/>
    </row>
    <row r="18" spans="1:7" ht="9" customHeight="1">
      <c r="A18" s="87"/>
      <c r="B18" s="92"/>
      <c r="C18" s="91"/>
      <c r="D18" s="91"/>
      <c r="E18" s="91"/>
      <c r="F18" s="89"/>
      <c r="G18" s="89"/>
    </row>
    <row r="19" spans="1:7" ht="16.5" customHeight="1">
      <c r="A19" s="87"/>
      <c r="B19" s="103" t="s">
        <v>378</v>
      </c>
      <c r="C19" s="104" t="s">
        <v>395</v>
      </c>
      <c r="D19" s="105"/>
      <c r="E19" s="106"/>
      <c r="F19" s="89"/>
      <c r="G19" s="89"/>
    </row>
    <row r="20" spans="1:7" ht="16.5" customHeight="1">
      <c r="A20" s="87"/>
      <c r="B20" s="107" t="s">
        <v>379</v>
      </c>
      <c r="C20" s="98"/>
      <c r="D20" s="108"/>
      <c r="E20" s="89"/>
      <c r="F20" s="89"/>
      <c r="G20" s="89"/>
    </row>
    <row r="21" spans="1:7">
      <c r="A21" s="87"/>
      <c r="B21" s="109" t="s">
        <v>398</v>
      </c>
      <c r="C21" s="109" t="s">
        <v>388</v>
      </c>
      <c r="D21" s="109"/>
      <c r="E21" s="89"/>
      <c r="F21" s="89"/>
      <c r="G21" s="89"/>
    </row>
    <row r="22" spans="1:7">
      <c r="A22" s="87"/>
      <c r="B22" s="109" t="s">
        <v>397</v>
      </c>
      <c r="C22" s="109" t="s">
        <v>396</v>
      </c>
      <c r="D22" s="110"/>
      <c r="E22" s="89"/>
      <c r="F22" s="89"/>
      <c r="G22" s="89"/>
    </row>
    <row r="23" spans="1:7">
      <c r="A23" s="87"/>
      <c r="B23" s="111"/>
      <c r="C23" s="109"/>
      <c r="D23" s="110"/>
      <c r="E23" s="89"/>
      <c r="F23" s="89"/>
      <c r="G23" s="89"/>
    </row>
    <row r="24" spans="1:7">
      <c r="A24" s="87"/>
      <c r="B24" s="95"/>
      <c r="C24" s="112"/>
      <c r="D24" s="113"/>
      <c r="E24" s="113"/>
      <c r="F24" s="113"/>
      <c r="G24" s="113"/>
    </row>
    <row r="25" spans="1:7">
      <c r="A25" s="87"/>
      <c r="B25" s="95"/>
      <c r="C25" s="112"/>
      <c r="D25" s="113"/>
      <c r="E25" s="113"/>
      <c r="F25" s="113"/>
      <c r="G25" s="113"/>
    </row>
    <row r="26" spans="1:7">
      <c r="A26" s="98"/>
      <c r="B26" s="95"/>
      <c r="C26" s="112"/>
      <c r="D26" s="98"/>
      <c r="E26" s="98"/>
      <c r="F26" s="98"/>
      <c r="G26" s="95"/>
    </row>
    <row r="27" spans="1:7">
      <c r="A27" s="98"/>
      <c r="B27" s="95"/>
      <c r="C27" s="114"/>
      <c r="D27" s="98"/>
      <c r="E27" s="98"/>
      <c r="F27" s="98"/>
      <c r="G27" s="89"/>
    </row>
    <row r="28" spans="1:7">
      <c r="A28" s="98"/>
      <c r="B28" s="95"/>
      <c r="C28" s="112"/>
      <c r="D28" s="98"/>
      <c r="E28" s="98"/>
      <c r="F28" s="98"/>
      <c r="G28" s="89"/>
    </row>
    <row r="29" spans="1:7">
      <c r="A29" s="98"/>
      <c r="B29" s="95"/>
      <c r="C29" s="115"/>
      <c r="D29" s="98"/>
      <c r="E29" s="98"/>
      <c r="F29" s="98"/>
      <c r="G29" s="89"/>
    </row>
    <row r="30" spans="1:7" hidden="1">
      <c r="A30" s="34"/>
      <c r="B30" s="35"/>
      <c r="C30" s="35"/>
      <c r="D30" s="35"/>
      <c r="E30" s="35"/>
      <c r="F30" s="35"/>
      <c r="G30" s="35"/>
    </row>
    <row r="31" spans="1:7" hidden="1">
      <c r="A31" s="34"/>
      <c r="B31" s="35"/>
      <c r="C31" s="35"/>
      <c r="D31" s="35"/>
      <c r="E31" s="35"/>
      <c r="F31" s="35"/>
      <c r="G31" s="35"/>
    </row>
    <row r="32" spans="1:7" hidden="1">
      <c r="A32" s="34"/>
      <c r="B32" s="35"/>
      <c r="C32" s="35"/>
      <c r="D32" s="35"/>
      <c r="E32" s="35"/>
      <c r="F32" s="35"/>
      <c r="G32" s="35"/>
    </row>
    <row r="33" spans="1:7" hidden="1">
      <c r="A33" s="34"/>
      <c r="B33" s="35"/>
      <c r="C33" s="35"/>
      <c r="D33" s="35"/>
      <c r="E33" s="35"/>
      <c r="F33" s="35"/>
      <c r="G33" s="35"/>
    </row>
    <row r="34" spans="1:7" hidden="1">
      <c r="A34" s="34"/>
      <c r="B34" s="35"/>
      <c r="C34" s="35"/>
      <c r="D34" s="35"/>
      <c r="E34" s="35"/>
      <c r="F34" s="35"/>
      <c r="G34" s="35"/>
    </row>
    <row r="35" spans="1:7" hidden="1">
      <c r="A35" s="34"/>
      <c r="B35" s="35"/>
      <c r="C35" s="35"/>
      <c r="D35" s="35"/>
      <c r="E35" s="35"/>
      <c r="F35" s="35"/>
      <c r="G35" s="35"/>
    </row>
    <row r="36" spans="1:7" hidden="1">
      <c r="A36" s="34"/>
      <c r="B36" s="35"/>
      <c r="C36" s="35"/>
      <c r="D36" s="35"/>
      <c r="E36" s="35"/>
      <c r="F36" s="35"/>
      <c r="G36" s="35"/>
    </row>
    <row r="37" spans="1:7" hidden="1">
      <c r="A37" s="34"/>
      <c r="B37" s="35"/>
      <c r="C37" s="35"/>
      <c r="D37" s="35"/>
      <c r="E37" s="35"/>
      <c r="F37" s="35"/>
      <c r="G37" s="35"/>
    </row>
    <row r="38" spans="1:7" hidden="1">
      <c r="A38" s="34"/>
      <c r="B38" s="35"/>
      <c r="C38" s="35"/>
      <c r="D38" s="35"/>
      <c r="E38" s="35"/>
      <c r="F38" s="35"/>
      <c r="G38" s="35"/>
    </row>
    <row r="39" spans="1:7" hidden="1">
      <c r="A39" s="34"/>
      <c r="B39" s="35"/>
      <c r="C39" s="35"/>
      <c r="D39" s="35"/>
      <c r="E39" s="35"/>
      <c r="F39" s="35"/>
      <c r="G39" s="35"/>
    </row>
    <row r="40" spans="1:7" hidden="1">
      <c r="A40" s="34"/>
      <c r="B40" s="35"/>
      <c r="C40" s="35"/>
      <c r="D40" s="35"/>
      <c r="E40" s="35"/>
      <c r="F40" s="35"/>
      <c r="G40" s="35"/>
    </row>
    <row r="41" spans="1:7" hidden="1">
      <c r="A41" s="34"/>
      <c r="B41" s="35"/>
      <c r="C41" s="35"/>
      <c r="D41" s="35"/>
      <c r="E41" s="35"/>
      <c r="F41" s="35"/>
      <c r="G41" s="35"/>
    </row>
    <row r="42" spans="1:7" hidden="1">
      <c r="A42" s="34"/>
      <c r="B42" s="35"/>
      <c r="C42" s="35"/>
      <c r="D42" s="35"/>
      <c r="E42" s="35"/>
      <c r="F42" s="35"/>
      <c r="G42" s="35"/>
    </row>
    <row r="43" spans="1:7" hidden="1">
      <c r="A43" s="34"/>
      <c r="B43" s="35"/>
      <c r="C43" s="35"/>
      <c r="D43" s="35"/>
      <c r="E43" s="35"/>
      <c r="F43" s="35"/>
      <c r="G43" s="35"/>
    </row>
    <row r="44" spans="1:7" hidden="1">
      <c r="A44" s="34"/>
      <c r="B44" s="35"/>
      <c r="C44" s="35"/>
      <c r="D44" s="35"/>
      <c r="E44" s="35"/>
      <c r="F44" s="35"/>
      <c r="G44" s="35"/>
    </row>
    <row r="45" spans="1:7" hidden="1">
      <c r="A45" s="34"/>
      <c r="B45" s="35"/>
      <c r="C45" s="35"/>
      <c r="D45" s="35"/>
      <c r="E45" s="35"/>
      <c r="F45" s="35"/>
      <c r="G45" s="35"/>
    </row>
    <row r="46" spans="1:7" hidden="1">
      <c r="A46" s="34"/>
      <c r="B46" s="35"/>
      <c r="C46" s="35"/>
      <c r="D46" s="35"/>
      <c r="E46" s="35"/>
      <c r="F46" s="35"/>
      <c r="G46" s="35"/>
    </row>
    <row r="47" spans="1:7" hidden="1">
      <c r="A47" s="34"/>
      <c r="B47" s="35"/>
      <c r="C47" s="35"/>
      <c r="D47" s="35"/>
      <c r="E47" s="35"/>
      <c r="F47" s="35"/>
      <c r="G47" s="35"/>
    </row>
    <row r="48" spans="1:7" hidden="1">
      <c r="A48" s="34"/>
      <c r="B48" s="35"/>
      <c r="C48" s="35"/>
      <c r="D48" s="35"/>
      <c r="E48" s="35"/>
      <c r="F48" s="35"/>
      <c r="G48" s="35"/>
    </row>
    <row r="49" spans="1:7" hidden="1">
      <c r="A49" s="34"/>
      <c r="B49" s="35"/>
      <c r="C49" s="35"/>
      <c r="D49" s="35"/>
      <c r="E49" s="35"/>
      <c r="F49" s="35"/>
      <c r="G49" s="35"/>
    </row>
  </sheetData>
  <sheetProtection password="F0F2" sheet="1" objects="1" scenarios="1"/>
  <protectedRanges>
    <protectedRange sqref="C10" name="Range4"/>
    <protectedRange sqref="D21:D23" name="Range1"/>
  </protectedRanges>
  <mergeCells count="8">
    <mergeCell ref="C5:D5"/>
    <mergeCell ref="C7:D7"/>
    <mergeCell ref="C16:E16"/>
    <mergeCell ref="C17:E17"/>
    <mergeCell ref="A1:G1"/>
    <mergeCell ref="A2:G2"/>
    <mergeCell ref="C15:E15"/>
    <mergeCell ref="C6:D6"/>
  </mergeCells>
  <phoneticPr fontId="6" type="noConversion"/>
  <dataValidations count="2">
    <dataValidation allowBlank="1" showInputMessage="1" showErrorMessage="1" errorTitle="For CDE Use Only" sqref="C29 C27"/>
    <dataValidation type="list" allowBlank="1" showInputMessage="1" showErrorMessage="1" sqref="C9">
      <formula1>budget</formula1>
    </dataValidation>
  </dataValidations>
  <pageMargins left="0.5" right="0.5" top="0.75" bottom="0.75" header="0.5" footer="0.5"/>
  <pageSetup scale="87" orientation="portrait" r:id="rId1"/>
  <headerFooter alignWithMargins="0">
    <oddFooter>&amp;LPage &amp;P of &amp;N&amp;C&amp;D &amp;T&amp;R&amp;A</oddFooter>
  </headerFooter>
  <rowBreaks count="1" manualBreakCount="1">
    <brk id="29" max="6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00"/>
  <sheetViews>
    <sheetView zoomScaleNormal="100" workbookViewId="0">
      <pane ySplit="5" topLeftCell="A418" activePane="bottomLeft" state="frozen"/>
      <selection pane="bottomLeft" activeCell="A418" sqref="A418:D422"/>
    </sheetView>
  </sheetViews>
  <sheetFormatPr defaultColWidth="0" defaultRowHeight="13.8" zeroHeight="1"/>
  <cols>
    <col min="1" max="2" width="37.109375" style="41" customWidth="1"/>
    <col min="3" max="3" width="9" style="52" customWidth="1"/>
    <col min="4" max="4" width="40.6640625" style="53" customWidth="1"/>
    <col min="5" max="5" width="15.33203125" style="41" customWidth="1"/>
    <col min="6" max="6" width="0" style="41" hidden="1" customWidth="1"/>
    <col min="7" max="7" width="17" style="41" hidden="1" customWidth="1"/>
    <col min="8" max="10" width="0.109375" style="41" hidden="1" customWidth="1"/>
    <col min="11" max="16384" width="0" style="41" hidden="1"/>
  </cols>
  <sheetData>
    <row r="1" spans="1:5">
      <c r="A1" s="238" t="str">
        <f>'2-Cover Page'!A1:G1</f>
        <v>COLORADO GRADUATION PATHWAYS</v>
      </c>
      <c r="B1" s="238"/>
      <c r="C1" s="239"/>
      <c r="D1" s="239"/>
      <c r="E1" s="239"/>
    </row>
    <row r="2" spans="1:5">
      <c r="A2" s="239" t="s">
        <v>6</v>
      </c>
      <c r="B2" s="239"/>
      <c r="C2" s="239"/>
      <c r="D2" s="239"/>
      <c r="E2" s="239"/>
    </row>
    <row r="3" spans="1:5">
      <c r="A3" s="138" t="str">
        <f>'2-Cover Page'!C5</f>
        <v xml:space="preserve"> </v>
      </c>
      <c r="B3" s="138"/>
      <c r="C3" s="139"/>
      <c r="D3" s="140"/>
      <c r="E3" s="141">
        <f>'2-Cover Page'!C11</f>
        <v>0</v>
      </c>
    </row>
    <row r="4" spans="1:5">
      <c r="A4" s="142">
        <v>1</v>
      </c>
      <c r="B4" s="142"/>
      <c r="C4" s="143">
        <v>2</v>
      </c>
      <c r="D4" s="144">
        <v>3</v>
      </c>
      <c r="E4" s="143">
        <v>4</v>
      </c>
    </row>
    <row r="5" spans="1:5" ht="27.6">
      <c r="A5" s="145" t="s">
        <v>402</v>
      </c>
      <c r="B5" s="145" t="s">
        <v>403</v>
      </c>
      <c r="C5" s="146" t="s">
        <v>7</v>
      </c>
      <c r="D5" s="147" t="s">
        <v>50</v>
      </c>
      <c r="E5" s="145" t="s">
        <v>53</v>
      </c>
    </row>
    <row r="6" spans="1:5">
      <c r="A6" s="42"/>
      <c r="B6" s="42"/>
      <c r="C6" s="43"/>
      <c r="D6" s="44"/>
      <c r="E6" s="45"/>
    </row>
    <row r="7" spans="1:5">
      <c r="A7" s="42"/>
      <c r="B7" s="42"/>
      <c r="C7" s="46"/>
      <c r="D7" s="47"/>
      <c r="E7" s="45"/>
    </row>
    <row r="8" spans="1:5">
      <c r="A8" s="42"/>
      <c r="B8" s="42"/>
      <c r="C8" s="48"/>
      <c r="D8" s="47"/>
      <c r="E8" s="45"/>
    </row>
    <row r="9" spans="1:5">
      <c r="A9" s="42"/>
      <c r="B9" s="42"/>
      <c r="C9" s="43"/>
      <c r="D9" s="47"/>
      <c r="E9" s="45"/>
    </row>
    <row r="10" spans="1:5">
      <c r="A10" s="42"/>
      <c r="B10" s="42"/>
      <c r="C10" s="46"/>
      <c r="D10" s="47"/>
      <c r="E10" s="45"/>
    </row>
    <row r="11" spans="1:5">
      <c r="A11" s="42"/>
      <c r="B11" s="42"/>
      <c r="C11" s="43"/>
      <c r="D11" s="47"/>
      <c r="E11" s="45"/>
    </row>
    <row r="12" spans="1:5">
      <c r="A12" s="42"/>
      <c r="B12" s="42"/>
      <c r="C12" s="46"/>
      <c r="D12" s="47"/>
      <c r="E12" s="45"/>
    </row>
    <row r="13" spans="1:5">
      <c r="A13" s="42"/>
      <c r="B13" s="42"/>
      <c r="C13" s="43"/>
      <c r="D13" s="47"/>
      <c r="E13" s="45"/>
    </row>
    <row r="14" spans="1:5">
      <c r="A14" s="42"/>
      <c r="B14" s="42"/>
      <c r="C14" s="46"/>
      <c r="D14" s="47"/>
      <c r="E14" s="45"/>
    </row>
    <row r="15" spans="1:5">
      <c r="A15" s="42"/>
      <c r="B15" s="42"/>
      <c r="C15" s="43"/>
      <c r="D15" s="47"/>
      <c r="E15" s="45"/>
    </row>
    <row r="16" spans="1:5">
      <c r="A16" s="42"/>
      <c r="B16" s="42"/>
      <c r="C16" s="46"/>
      <c r="D16" s="47"/>
      <c r="E16" s="45"/>
    </row>
    <row r="17" spans="1:5">
      <c r="A17" s="42"/>
      <c r="B17" s="42"/>
      <c r="C17" s="43"/>
      <c r="D17" s="47"/>
      <c r="E17" s="45"/>
    </row>
    <row r="18" spans="1:5">
      <c r="A18" s="42"/>
      <c r="B18" s="42"/>
      <c r="C18" s="43"/>
      <c r="D18" s="47"/>
      <c r="E18" s="45"/>
    </row>
    <row r="19" spans="1:5">
      <c r="A19" s="42"/>
      <c r="B19" s="42"/>
      <c r="C19" s="46"/>
      <c r="D19" s="47"/>
      <c r="E19" s="45"/>
    </row>
    <row r="20" spans="1:5">
      <c r="A20" s="42"/>
      <c r="B20" s="42"/>
      <c r="C20" s="43"/>
      <c r="D20" s="47"/>
      <c r="E20" s="45"/>
    </row>
    <row r="21" spans="1:5">
      <c r="A21" s="42"/>
      <c r="B21" s="42"/>
      <c r="C21" s="46"/>
      <c r="D21" s="47"/>
      <c r="E21" s="45"/>
    </row>
    <row r="22" spans="1:5">
      <c r="A22" s="42"/>
      <c r="B22" s="42"/>
      <c r="C22" s="43"/>
      <c r="D22" s="47"/>
      <c r="E22" s="45"/>
    </row>
    <row r="23" spans="1:5">
      <c r="A23" s="42"/>
      <c r="B23" s="42"/>
      <c r="C23" s="46"/>
      <c r="D23" s="47"/>
      <c r="E23" s="45"/>
    </row>
    <row r="24" spans="1:5">
      <c r="A24" s="42"/>
      <c r="B24" s="42"/>
      <c r="C24" s="43"/>
      <c r="D24" s="47"/>
      <c r="E24" s="45"/>
    </row>
    <row r="25" spans="1:5">
      <c r="A25" s="42"/>
      <c r="B25" s="42"/>
      <c r="C25" s="46"/>
      <c r="D25" s="47"/>
      <c r="E25" s="45"/>
    </row>
    <row r="26" spans="1:5">
      <c r="A26" s="42"/>
      <c r="B26" s="42"/>
      <c r="C26" s="43"/>
      <c r="D26" s="47"/>
      <c r="E26" s="45"/>
    </row>
    <row r="27" spans="1:5">
      <c r="A27" s="42"/>
      <c r="B27" s="42"/>
      <c r="C27" s="46"/>
      <c r="D27" s="47"/>
      <c r="E27" s="45"/>
    </row>
    <row r="28" spans="1:5">
      <c r="A28" s="42"/>
      <c r="B28" s="42"/>
      <c r="C28" s="43"/>
      <c r="D28" s="47"/>
      <c r="E28" s="45"/>
    </row>
    <row r="29" spans="1:5">
      <c r="A29" s="42"/>
      <c r="B29" s="42"/>
      <c r="C29" s="46"/>
      <c r="D29" s="47"/>
      <c r="E29" s="45"/>
    </row>
    <row r="30" spans="1:5">
      <c r="A30" s="42"/>
      <c r="B30" s="42"/>
      <c r="C30" s="43"/>
      <c r="D30" s="47"/>
      <c r="E30" s="45"/>
    </row>
    <row r="31" spans="1:5">
      <c r="A31" s="42"/>
      <c r="B31" s="42"/>
      <c r="C31" s="46"/>
      <c r="D31" s="47"/>
      <c r="E31" s="45"/>
    </row>
    <row r="32" spans="1:5">
      <c r="A32" s="42"/>
      <c r="B32" s="42"/>
      <c r="C32" s="43"/>
      <c r="D32" s="47"/>
      <c r="E32" s="45"/>
    </row>
    <row r="33" spans="1:5">
      <c r="A33" s="42"/>
      <c r="B33" s="42"/>
      <c r="C33" s="43"/>
      <c r="D33" s="47"/>
      <c r="E33" s="45"/>
    </row>
    <row r="34" spans="1:5">
      <c r="A34" s="42"/>
      <c r="B34" s="42"/>
      <c r="C34" s="46"/>
      <c r="D34" s="47"/>
      <c r="E34" s="45"/>
    </row>
    <row r="35" spans="1:5">
      <c r="A35" s="42"/>
      <c r="B35" s="42"/>
      <c r="C35" s="43"/>
      <c r="D35" s="47"/>
      <c r="E35" s="45"/>
    </row>
    <row r="36" spans="1:5">
      <c r="A36" s="42"/>
      <c r="B36" s="42"/>
      <c r="C36" s="46"/>
      <c r="D36" s="47"/>
      <c r="E36" s="45"/>
    </row>
    <row r="37" spans="1:5">
      <c r="A37" s="42"/>
      <c r="B37" s="42"/>
      <c r="C37" s="43"/>
      <c r="D37" s="47"/>
      <c r="E37" s="42"/>
    </row>
    <row r="38" spans="1:5">
      <c r="A38" s="42"/>
      <c r="B38" s="42"/>
      <c r="C38" s="46"/>
      <c r="D38" s="47"/>
      <c r="E38" s="42"/>
    </row>
    <row r="39" spans="1:5">
      <c r="A39" s="42"/>
      <c r="B39" s="42"/>
      <c r="C39" s="43"/>
      <c r="D39" s="47"/>
      <c r="E39" s="42"/>
    </row>
    <row r="40" spans="1:5">
      <c r="A40" s="42"/>
      <c r="B40" s="42"/>
      <c r="C40" s="46"/>
      <c r="D40" s="47"/>
      <c r="E40" s="42"/>
    </row>
    <row r="41" spans="1:5">
      <c r="A41" s="42"/>
      <c r="B41" s="42"/>
      <c r="C41" s="43"/>
      <c r="D41" s="47"/>
      <c r="E41" s="42"/>
    </row>
    <row r="42" spans="1:5">
      <c r="A42" s="42"/>
      <c r="B42" s="42"/>
      <c r="C42" s="46"/>
      <c r="D42" s="47"/>
      <c r="E42" s="42"/>
    </row>
    <row r="43" spans="1:5">
      <c r="A43" s="42"/>
      <c r="B43" s="42"/>
      <c r="C43" s="43"/>
      <c r="D43" s="47"/>
      <c r="E43" s="42"/>
    </row>
    <row r="44" spans="1:5">
      <c r="A44" s="42"/>
      <c r="B44" s="42"/>
      <c r="C44" s="46"/>
      <c r="D44" s="47"/>
      <c r="E44" s="42"/>
    </row>
    <row r="45" spans="1:5">
      <c r="A45" s="42"/>
      <c r="B45" s="42"/>
      <c r="C45" s="43"/>
      <c r="D45" s="47"/>
      <c r="E45" s="42"/>
    </row>
    <row r="46" spans="1:5">
      <c r="A46" s="42"/>
      <c r="B46" s="42"/>
      <c r="C46" s="46"/>
      <c r="D46" s="47"/>
      <c r="E46" s="42"/>
    </row>
    <row r="47" spans="1:5">
      <c r="A47" s="42"/>
      <c r="B47" s="42"/>
      <c r="C47" s="43"/>
      <c r="D47" s="47"/>
      <c r="E47" s="42"/>
    </row>
    <row r="48" spans="1:5">
      <c r="A48" s="42"/>
      <c r="B48" s="42"/>
      <c r="C48" s="46"/>
      <c r="D48" s="47"/>
      <c r="E48" s="42"/>
    </row>
    <row r="49" spans="1:5">
      <c r="A49" s="42"/>
      <c r="B49" s="42"/>
      <c r="C49" s="43"/>
      <c r="D49" s="47"/>
      <c r="E49" s="42"/>
    </row>
    <row r="50" spans="1:5">
      <c r="A50" s="42"/>
      <c r="B50" s="42"/>
      <c r="C50" s="46"/>
      <c r="D50" s="47"/>
      <c r="E50" s="42"/>
    </row>
    <row r="51" spans="1:5">
      <c r="A51" s="42"/>
      <c r="B51" s="42"/>
      <c r="C51" s="46"/>
      <c r="D51" s="47"/>
      <c r="E51" s="49"/>
    </row>
    <row r="52" spans="1:5">
      <c r="A52" s="42"/>
      <c r="B52" s="42"/>
      <c r="C52" s="46"/>
      <c r="D52" s="47"/>
      <c r="E52" s="49"/>
    </row>
    <row r="53" spans="1:5">
      <c r="A53" s="42"/>
      <c r="B53" s="42"/>
      <c r="C53" s="46"/>
      <c r="D53" s="47"/>
      <c r="E53" s="49"/>
    </row>
    <row r="54" spans="1:5">
      <c r="A54" s="42"/>
      <c r="B54" s="42"/>
      <c r="C54" s="46"/>
      <c r="D54" s="47"/>
      <c r="E54" s="49"/>
    </row>
    <row r="55" spans="1:5">
      <c r="A55" s="42"/>
      <c r="B55" s="42"/>
      <c r="C55" s="46"/>
      <c r="D55" s="47"/>
      <c r="E55" s="49"/>
    </row>
    <row r="56" spans="1:5">
      <c r="A56" s="42"/>
      <c r="B56" s="42"/>
      <c r="C56" s="46"/>
      <c r="D56" s="47"/>
      <c r="E56" s="49"/>
    </row>
    <row r="57" spans="1:5">
      <c r="A57" s="42"/>
      <c r="B57" s="42"/>
      <c r="C57" s="46"/>
      <c r="D57" s="47"/>
      <c r="E57" s="49"/>
    </row>
    <row r="58" spans="1:5">
      <c r="A58" s="42"/>
      <c r="B58" s="42"/>
      <c r="C58" s="46"/>
      <c r="D58" s="47"/>
      <c r="E58" s="49"/>
    </row>
    <row r="59" spans="1:5">
      <c r="A59" s="42"/>
      <c r="B59" s="42"/>
      <c r="C59" s="46"/>
      <c r="D59" s="47"/>
      <c r="E59" s="49"/>
    </row>
    <row r="60" spans="1:5">
      <c r="A60" s="42"/>
      <c r="B60" s="42"/>
      <c r="C60" s="46"/>
      <c r="D60" s="47"/>
      <c r="E60" s="42"/>
    </row>
    <row r="61" spans="1:5">
      <c r="A61" s="42"/>
      <c r="B61" s="42"/>
      <c r="C61" s="46"/>
      <c r="D61" s="47"/>
      <c r="E61" s="42"/>
    </row>
    <row r="62" spans="1:5">
      <c r="A62" s="42"/>
      <c r="B62" s="42"/>
      <c r="C62" s="46"/>
      <c r="D62" s="47"/>
      <c r="E62" s="42"/>
    </row>
    <row r="63" spans="1:5">
      <c r="A63" s="42"/>
      <c r="B63" s="42"/>
      <c r="C63" s="46"/>
      <c r="D63" s="47"/>
      <c r="E63" s="42"/>
    </row>
    <row r="64" spans="1:5">
      <c r="A64" s="42"/>
      <c r="B64" s="42"/>
      <c r="C64" s="46"/>
      <c r="D64" s="47"/>
      <c r="E64" s="42"/>
    </row>
    <row r="65" spans="1:5">
      <c r="A65" s="42"/>
      <c r="B65" s="42"/>
      <c r="C65" s="46"/>
      <c r="D65" s="47"/>
      <c r="E65" s="42"/>
    </row>
    <row r="66" spans="1:5">
      <c r="A66" s="42"/>
      <c r="B66" s="42"/>
      <c r="C66" s="46"/>
      <c r="D66" s="47"/>
      <c r="E66" s="42"/>
    </row>
    <row r="67" spans="1:5">
      <c r="A67" s="42"/>
      <c r="B67" s="42"/>
      <c r="C67" s="46"/>
      <c r="D67" s="47"/>
      <c r="E67" s="42"/>
    </row>
    <row r="68" spans="1:5">
      <c r="A68" s="42"/>
      <c r="B68" s="42"/>
      <c r="C68" s="46"/>
      <c r="D68" s="47"/>
      <c r="E68" s="42"/>
    </row>
    <row r="69" spans="1:5">
      <c r="A69" s="42"/>
      <c r="B69" s="42"/>
      <c r="C69" s="46"/>
      <c r="D69" s="47"/>
      <c r="E69" s="42"/>
    </row>
    <row r="70" spans="1:5">
      <c r="A70" s="42"/>
      <c r="B70" s="42"/>
      <c r="C70" s="46"/>
      <c r="D70" s="47"/>
      <c r="E70" s="42"/>
    </row>
    <row r="71" spans="1:5">
      <c r="A71" s="42"/>
      <c r="B71" s="42"/>
      <c r="C71" s="46"/>
      <c r="D71" s="47"/>
      <c r="E71" s="42"/>
    </row>
    <row r="72" spans="1:5">
      <c r="A72" s="42"/>
      <c r="B72" s="42"/>
      <c r="C72" s="46"/>
      <c r="D72" s="47"/>
      <c r="E72" s="42"/>
    </row>
    <row r="73" spans="1:5">
      <c r="A73" s="42"/>
      <c r="B73" s="42"/>
      <c r="C73" s="46"/>
      <c r="D73" s="47"/>
      <c r="E73" s="42"/>
    </row>
    <row r="74" spans="1:5">
      <c r="A74" s="42"/>
      <c r="B74" s="42"/>
      <c r="C74" s="46"/>
      <c r="D74" s="47"/>
      <c r="E74" s="42"/>
    </row>
    <row r="75" spans="1:5">
      <c r="A75" s="42"/>
      <c r="B75" s="42"/>
      <c r="C75" s="46"/>
      <c r="D75" s="47"/>
      <c r="E75" s="42"/>
    </row>
    <row r="76" spans="1:5">
      <c r="A76" s="42"/>
      <c r="B76" s="42"/>
      <c r="C76" s="46"/>
      <c r="D76" s="47"/>
      <c r="E76" s="42"/>
    </row>
    <row r="77" spans="1:5">
      <c r="A77" s="42"/>
      <c r="B77" s="42"/>
      <c r="C77" s="46"/>
      <c r="D77" s="47"/>
      <c r="E77" s="42"/>
    </row>
    <row r="78" spans="1:5">
      <c r="A78" s="42"/>
      <c r="B78" s="42"/>
      <c r="C78" s="46"/>
      <c r="D78" s="47"/>
      <c r="E78" s="42"/>
    </row>
    <row r="79" spans="1:5">
      <c r="A79" s="42"/>
      <c r="B79" s="42"/>
      <c r="C79" s="46"/>
      <c r="D79" s="47"/>
      <c r="E79" s="42"/>
    </row>
    <row r="80" spans="1:5">
      <c r="A80" s="42"/>
      <c r="B80" s="42"/>
      <c r="C80" s="46"/>
      <c r="D80" s="47"/>
      <c r="E80" s="42"/>
    </row>
    <row r="81" spans="1:5">
      <c r="A81" s="42"/>
      <c r="B81" s="42"/>
      <c r="C81" s="46"/>
      <c r="D81" s="47"/>
      <c r="E81" s="42"/>
    </row>
    <row r="82" spans="1:5">
      <c r="A82" s="42"/>
      <c r="B82" s="42"/>
      <c r="C82" s="46"/>
      <c r="D82" s="47"/>
      <c r="E82" s="42"/>
    </row>
    <row r="83" spans="1:5">
      <c r="A83" s="42"/>
      <c r="B83" s="42"/>
      <c r="C83" s="46"/>
      <c r="D83" s="47"/>
      <c r="E83" s="42"/>
    </row>
    <row r="84" spans="1:5">
      <c r="A84" s="42"/>
      <c r="B84" s="42"/>
      <c r="C84" s="46"/>
      <c r="D84" s="47"/>
      <c r="E84" s="42"/>
    </row>
    <row r="85" spans="1:5">
      <c r="A85" s="42"/>
      <c r="B85" s="42"/>
      <c r="C85" s="46"/>
      <c r="D85" s="47"/>
      <c r="E85" s="42"/>
    </row>
    <row r="86" spans="1:5">
      <c r="A86" s="42"/>
      <c r="B86" s="42"/>
      <c r="C86" s="46"/>
      <c r="D86" s="47"/>
      <c r="E86" s="42"/>
    </row>
    <row r="87" spans="1:5">
      <c r="A87" s="42"/>
      <c r="B87" s="42"/>
      <c r="C87" s="46"/>
      <c r="D87" s="47"/>
      <c r="E87" s="42"/>
    </row>
    <row r="88" spans="1:5">
      <c r="A88" s="42"/>
      <c r="B88" s="42"/>
      <c r="C88" s="46"/>
      <c r="D88" s="47"/>
      <c r="E88" s="42"/>
    </row>
    <row r="89" spans="1:5">
      <c r="A89" s="42"/>
      <c r="B89" s="42"/>
      <c r="C89" s="46"/>
      <c r="D89" s="47"/>
      <c r="E89" s="42"/>
    </row>
    <row r="90" spans="1:5">
      <c r="A90" s="42"/>
      <c r="B90" s="42"/>
      <c r="C90" s="46"/>
      <c r="D90" s="47"/>
      <c r="E90" s="42"/>
    </row>
    <row r="91" spans="1:5">
      <c r="A91" s="42"/>
      <c r="B91" s="42"/>
      <c r="C91" s="46"/>
      <c r="D91" s="47"/>
      <c r="E91" s="42"/>
    </row>
    <row r="92" spans="1:5">
      <c r="A92" s="42"/>
      <c r="B92" s="42"/>
      <c r="C92" s="46"/>
      <c r="D92" s="47"/>
      <c r="E92" s="42"/>
    </row>
    <row r="93" spans="1:5">
      <c r="A93" s="42"/>
      <c r="B93" s="42"/>
      <c r="C93" s="46"/>
      <c r="D93" s="47"/>
      <c r="E93" s="42"/>
    </row>
    <row r="94" spans="1:5">
      <c r="A94" s="42"/>
      <c r="B94" s="42"/>
      <c r="C94" s="46"/>
      <c r="D94" s="47"/>
      <c r="E94" s="42"/>
    </row>
    <row r="95" spans="1:5">
      <c r="A95" s="42"/>
      <c r="B95" s="42"/>
      <c r="C95" s="46"/>
      <c r="D95" s="47"/>
      <c r="E95" s="42"/>
    </row>
    <row r="96" spans="1:5">
      <c r="A96" s="42"/>
      <c r="B96" s="42"/>
      <c r="C96" s="46"/>
      <c r="D96" s="47"/>
      <c r="E96" s="42"/>
    </row>
    <row r="97" spans="1:5">
      <c r="A97" s="42"/>
      <c r="B97" s="42"/>
      <c r="C97" s="46"/>
      <c r="D97" s="47"/>
      <c r="E97" s="42"/>
    </row>
    <row r="98" spans="1:5">
      <c r="A98" s="42"/>
      <c r="B98" s="42"/>
      <c r="C98" s="46"/>
      <c r="D98" s="47"/>
      <c r="E98" s="42"/>
    </row>
    <row r="99" spans="1:5">
      <c r="A99" s="42"/>
      <c r="B99" s="42"/>
      <c r="C99" s="46"/>
      <c r="D99" s="47"/>
      <c r="E99" s="42"/>
    </row>
    <row r="100" spans="1:5">
      <c r="A100" s="42"/>
      <c r="B100" s="42"/>
      <c r="C100" s="46"/>
      <c r="D100" s="47"/>
      <c r="E100" s="42"/>
    </row>
    <row r="101" spans="1:5">
      <c r="A101" s="42"/>
      <c r="B101" s="42"/>
      <c r="C101" s="46"/>
      <c r="D101" s="47"/>
      <c r="E101" s="42"/>
    </row>
    <row r="102" spans="1:5">
      <c r="A102" s="42"/>
      <c r="B102" s="42"/>
      <c r="C102" s="46"/>
      <c r="D102" s="47"/>
      <c r="E102" s="42"/>
    </row>
    <row r="103" spans="1:5">
      <c r="A103" s="42"/>
      <c r="B103" s="42"/>
      <c r="C103" s="46"/>
      <c r="D103" s="47"/>
      <c r="E103" s="42"/>
    </row>
    <row r="104" spans="1:5">
      <c r="A104" s="42"/>
      <c r="B104" s="42"/>
      <c r="C104" s="46"/>
      <c r="D104" s="47"/>
      <c r="E104" s="42"/>
    </row>
    <row r="105" spans="1:5">
      <c r="A105" s="42"/>
      <c r="B105" s="42"/>
      <c r="C105" s="46"/>
      <c r="D105" s="47"/>
      <c r="E105" s="42"/>
    </row>
    <row r="106" spans="1:5">
      <c r="A106" s="42"/>
      <c r="B106" s="42"/>
      <c r="C106" s="46"/>
      <c r="D106" s="47"/>
      <c r="E106" s="42"/>
    </row>
    <row r="107" spans="1:5">
      <c r="A107" s="42"/>
      <c r="B107" s="42"/>
      <c r="C107" s="46"/>
      <c r="D107" s="47"/>
      <c r="E107" s="42"/>
    </row>
    <row r="108" spans="1:5">
      <c r="A108" s="42"/>
      <c r="B108" s="42"/>
      <c r="C108" s="46"/>
      <c r="D108" s="47"/>
      <c r="E108" s="50"/>
    </row>
    <row r="109" spans="1:5">
      <c r="A109" s="42"/>
      <c r="B109" s="42"/>
      <c r="C109" s="46"/>
      <c r="D109" s="47"/>
      <c r="E109" s="51"/>
    </row>
    <row r="110" spans="1:5">
      <c r="A110" s="42"/>
      <c r="B110" s="42"/>
      <c r="C110" s="46"/>
      <c r="D110" s="47"/>
      <c r="E110" s="51"/>
    </row>
    <row r="111" spans="1:5">
      <c r="A111" s="42"/>
      <c r="B111" s="42"/>
      <c r="C111" s="46"/>
      <c r="D111" s="47"/>
      <c r="E111" s="51"/>
    </row>
    <row r="112" spans="1:5">
      <c r="A112" s="42"/>
      <c r="B112" s="42"/>
      <c r="C112" s="46"/>
      <c r="D112" s="47"/>
      <c r="E112" s="51"/>
    </row>
    <row r="113" spans="1:5">
      <c r="A113" s="42"/>
      <c r="B113" s="42"/>
      <c r="C113" s="46"/>
      <c r="D113" s="47"/>
      <c r="E113" s="51"/>
    </row>
    <row r="114" spans="1:5">
      <c r="A114" s="42"/>
      <c r="B114" s="42"/>
      <c r="C114" s="46"/>
      <c r="D114" s="47"/>
      <c r="E114" s="51"/>
    </row>
    <row r="115" spans="1:5">
      <c r="A115" s="42"/>
      <c r="B115" s="42"/>
      <c r="C115" s="46"/>
      <c r="D115" s="47"/>
      <c r="E115" s="51"/>
    </row>
    <row r="116" spans="1:5">
      <c r="A116" s="42"/>
      <c r="B116" s="42"/>
      <c r="C116" s="46"/>
      <c r="D116" s="47"/>
      <c r="E116" s="51"/>
    </row>
    <row r="117" spans="1:5">
      <c r="A117" s="42"/>
      <c r="B117" s="42"/>
      <c r="C117" s="46"/>
      <c r="D117" s="47"/>
      <c r="E117" s="51"/>
    </row>
    <row r="118" spans="1:5">
      <c r="A118" s="42"/>
      <c r="B118" s="42"/>
      <c r="C118" s="46"/>
      <c r="D118" s="47"/>
      <c r="E118" s="51"/>
    </row>
    <row r="119" spans="1:5">
      <c r="A119" s="42"/>
      <c r="B119" s="42"/>
      <c r="C119" s="46"/>
      <c r="D119" s="47"/>
      <c r="E119" s="51"/>
    </row>
    <row r="120" spans="1:5">
      <c r="A120" s="42"/>
      <c r="B120" s="42"/>
      <c r="C120" s="46"/>
      <c r="D120" s="47"/>
      <c r="E120" s="51"/>
    </row>
    <row r="121" spans="1:5">
      <c r="A121" s="42"/>
      <c r="B121" s="42"/>
      <c r="C121" s="46"/>
      <c r="D121" s="47"/>
      <c r="E121" s="51"/>
    </row>
    <row r="122" spans="1:5">
      <c r="A122" s="42"/>
      <c r="B122" s="42"/>
      <c r="C122" s="46"/>
      <c r="D122" s="47"/>
      <c r="E122" s="51"/>
    </row>
    <row r="123" spans="1:5">
      <c r="A123" s="42"/>
      <c r="B123" s="42"/>
      <c r="C123" s="46"/>
      <c r="D123" s="47"/>
      <c r="E123" s="51"/>
    </row>
    <row r="124" spans="1:5">
      <c r="A124" s="42"/>
      <c r="B124" s="42"/>
      <c r="C124" s="46"/>
      <c r="D124" s="47"/>
      <c r="E124" s="51"/>
    </row>
    <row r="125" spans="1:5">
      <c r="A125" s="42"/>
      <c r="B125" s="42"/>
      <c r="C125" s="46"/>
      <c r="D125" s="47"/>
      <c r="E125" s="51"/>
    </row>
    <row r="126" spans="1:5">
      <c r="A126" s="42"/>
      <c r="B126" s="42"/>
      <c r="C126" s="46"/>
      <c r="D126" s="47"/>
      <c r="E126" s="51"/>
    </row>
    <row r="127" spans="1:5">
      <c r="A127" s="42"/>
      <c r="B127" s="42"/>
      <c r="C127" s="46"/>
      <c r="D127" s="47"/>
      <c r="E127" s="51"/>
    </row>
    <row r="128" spans="1:5">
      <c r="A128" s="42"/>
      <c r="B128" s="42"/>
      <c r="C128" s="46"/>
      <c r="D128" s="47"/>
      <c r="E128" s="51"/>
    </row>
    <row r="129" spans="1:5">
      <c r="A129" s="42"/>
      <c r="B129" s="42"/>
      <c r="C129" s="46"/>
      <c r="D129" s="47"/>
      <c r="E129" s="51"/>
    </row>
    <row r="130" spans="1:5">
      <c r="A130" s="42"/>
      <c r="B130" s="42"/>
      <c r="C130" s="46"/>
      <c r="D130" s="47"/>
      <c r="E130" s="51"/>
    </row>
    <row r="131" spans="1:5">
      <c r="A131" s="42"/>
      <c r="B131" s="42"/>
      <c r="C131" s="46"/>
      <c r="D131" s="47"/>
      <c r="E131" s="51"/>
    </row>
    <row r="132" spans="1:5">
      <c r="A132" s="42"/>
      <c r="B132" s="42"/>
      <c r="C132" s="46"/>
      <c r="D132" s="47"/>
      <c r="E132" s="51"/>
    </row>
    <row r="133" spans="1:5">
      <c r="A133" s="42"/>
      <c r="B133" s="42"/>
      <c r="C133" s="46"/>
      <c r="D133" s="47"/>
      <c r="E133" s="51"/>
    </row>
    <row r="134" spans="1:5">
      <c r="A134" s="42"/>
      <c r="B134" s="42"/>
      <c r="C134" s="46"/>
      <c r="D134" s="47"/>
      <c r="E134" s="51"/>
    </row>
    <row r="135" spans="1:5">
      <c r="A135" s="42"/>
      <c r="B135" s="42"/>
      <c r="C135" s="46"/>
      <c r="D135" s="47"/>
      <c r="E135" s="51"/>
    </row>
    <row r="136" spans="1:5">
      <c r="A136" s="42"/>
      <c r="B136" s="42"/>
      <c r="C136" s="46"/>
      <c r="D136" s="47"/>
      <c r="E136" s="51"/>
    </row>
    <row r="137" spans="1:5">
      <c r="A137" s="42"/>
      <c r="B137" s="42"/>
      <c r="C137" s="46"/>
      <c r="D137" s="47"/>
      <c r="E137" s="51"/>
    </row>
    <row r="138" spans="1:5">
      <c r="A138" s="42"/>
      <c r="B138" s="42"/>
      <c r="C138" s="46"/>
      <c r="D138" s="47"/>
      <c r="E138" s="51"/>
    </row>
    <row r="139" spans="1:5">
      <c r="A139" s="42"/>
      <c r="B139" s="42"/>
      <c r="C139" s="46"/>
      <c r="D139" s="47"/>
      <c r="E139" s="51"/>
    </row>
    <row r="140" spans="1:5">
      <c r="A140" s="42"/>
      <c r="B140" s="42"/>
      <c r="C140" s="46"/>
      <c r="D140" s="47"/>
      <c r="E140" s="51"/>
    </row>
    <row r="141" spans="1:5">
      <c r="A141" s="42"/>
      <c r="B141" s="42"/>
      <c r="C141" s="46"/>
      <c r="D141" s="47"/>
      <c r="E141" s="51"/>
    </row>
    <row r="142" spans="1:5">
      <c r="A142" s="42"/>
      <c r="B142" s="42"/>
      <c r="C142" s="46"/>
      <c r="D142" s="47"/>
      <c r="E142" s="51"/>
    </row>
    <row r="143" spans="1:5">
      <c r="A143" s="42"/>
      <c r="B143" s="42"/>
      <c r="C143" s="46"/>
      <c r="D143" s="47"/>
      <c r="E143" s="51"/>
    </row>
    <row r="144" spans="1:5">
      <c r="A144" s="42"/>
      <c r="B144" s="42"/>
      <c r="C144" s="46"/>
      <c r="D144" s="47"/>
      <c r="E144" s="51"/>
    </row>
    <row r="145" spans="1:5">
      <c r="A145" s="42"/>
      <c r="B145" s="42"/>
      <c r="C145" s="46"/>
      <c r="D145" s="47"/>
      <c r="E145" s="51"/>
    </row>
    <row r="146" spans="1:5">
      <c r="A146" s="42"/>
      <c r="B146" s="42"/>
      <c r="C146" s="46"/>
      <c r="D146" s="47"/>
      <c r="E146" s="51"/>
    </row>
    <row r="147" spans="1:5">
      <c r="A147" s="42"/>
      <c r="B147" s="42"/>
      <c r="C147" s="46"/>
      <c r="D147" s="47"/>
      <c r="E147" s="51"/>
    </row>
    <row r="148" spans="1:5">
      <c r="A148" s="42"/>
      <c r="B148" s="42"/>
      <c r="C148" s="46"/>
      <c r="D148" s="47"/>
      <c r="E148" s="51"/>
    </row>
    <row r="149" spans="1:5">
      <c r="A149" s="42"/>
      <c r="B149" s="42"/>
      <c r="C149" s="46"/>
      <c r="D149" s="47"/>
      <c r="E149" s="51"/>
    </row>
    <row r="150" spans="1:5">
      <c r="A150" s="42"/>
      <c r="B150" s="42"/>
      <c r="C150" s="46"/>
      <c r="D150" s="47"/>
      <c r="E150" s="51"/>
    </row>
    <row r="151" spans="1:5">
      <c r="A151" s="42"/>
      <c r="B151" s="42"/>
      <c r="C151" s="46"/>
      <c r="D151" s="47"/>
      <c r="E151" s="51"/>
    </row>
    <row r="152" spans="1:5">
      <c r="A152" s="42"/>
      <c r="B152" s="42"/>
      <c r="C152" s="46"/>
      <c r="D152" s="47"/>
      <c r="E152" s="51"/>
    </row>
    <row r="153" spans="1:5">
      <c r="A153" s="42"/>
      <c r="B153" s="42"/>
      <c r="C153" s="46"/>
      <c r="D153" s="47"/>
      <c r="E153" s="51"/>
    </row>
    <row r="154" spans="1:5">
      <c r="A154" s="42"/>
      <c r="B154" s="42"/>
      <c r="C154" s="46"/>
      <c r="D154" s="47"/>
      <c r="E154" s="51"/>
    </row>
    <row r="155" spans="1:5">
      <c r="A155" s="42"/>
      <c r="B155" s="42"/>
      <c r="C155" s="46"/>
      <c r="D155" s="47"/>
      <c r="E155" s="51"/>
    </row>
    <row r="156" spans="1:5">
      <c r="A156" s="42"/>
      <c r="B156" s="42"/>
      <c r="C156" s="46"/>
      <c r="D156" s="47"/>
      <c r="E156" s="51"/>
    </row>
    <row r="157" spans="1:5">
      <c r="A157" s="42"/>
      <c r="B157" s="42"/>
      <c r="C157" s="46"/>
      <c r="D157" s="47"/>
      <c r="E157" s="51"/>
    </row>
    <row r="158" spans="1:5">
      <c r="A158" s="42"/>
      <c r="B158" s="42"/>
      <c r="C158" s="46"/>
      <c r="D158" s="47"/>
      <c r="E158" s="51"/>
    </row>
    <row r="159" spans="1:5">
      <c r="A159" s="42"/>
      <c r="B159" s="42"/>
      <c r="C159" s="46"/>
      <c r="D159" s="47"/>
      <c r="E159" s="51"/>
    </row>
    <row r="160" spans="1:5">
      <c r="A160" s="42"/>
      <c r="B160" s="42"/>
      <c r="C160" s="46"/>
      <c r="D160" s="47"/>
      <c r="E160" s="51"/>
    </row>
    <row r="161" spans="1:5">
      <c r="A161" s="42"/>
      <c r="B161" s="42"/>
      <c r="C161" s="46"/>
      <c r="D161" s="47"/>
      <c r="E161" s="51"/>
    </row>
    <row r="162" spans="1:5">
      <c r="A162" s="42"/>
      <c r="B162" s="42"/>
      <c r="C162" s="46"/>
      <c r="D162" s="47"/>
      <c r="E162" s="51"/>
    </row>
    <row r="163" spans="1:5">
      <c r="A163" s="42"/>
      <c r="B163" s="42"/>
      <c r="C163" s="46"/>
      <c r="D163" s="47"/>
      <c r="E163" s="51"/>
    </row>
    <row r="164" spans="1:5">
      <c r="A164" s="42"/>
      <c r="B164" s="42"/>
      <c r="C164" s="46"/>
      <c r="D164" s="47"/>
      <c r="E164" s="51"/>
    </row>
    <row r="165" spans="1:5">
      <c r="A165" s="42"/>
      <c r="B165" s="42"/>
      <c r="C165" s="46"/>
      <c r="D165" s="47"/>
      <c r="E165" s="51"/>
    </row>
    <row r="166" spans="1:5">
      <c r="A166" s="42"/>
      <c r="B166" s="42"/>
      <c r="C166" s="46"/>
      <c r="D166" s="47"/>
      <c r="E166" s="51"/>
    </row>
    <row r="167" spans="1:5">
      <c r="A167" s="42"/>
      <c r="B167" s="42"/>
      <c r="C167" s="46"/>
      <c r="D167" s="47"/>
      <c r="E167" s="51"/>
    </row>
    <row r="168" spans="1:5">
      <c r="A168" s="42"/>
      <c r="B168" s="42"/>
      <c r="C168" s="46"/>
      <c r="D168" s="47"/>
      <c r="E168" s="51"/>
    </row>
    <row r="169" spans="1:5">
      <c r="A169" s="42"/>
      <c r="B169" s="42"/>
      <c r="C169" s="46"/>
      <c r="D169" s="47"/>
      <c r="E169" s="51"/>
    </row>
    <row r="170" spans="1:5">
      <c r="A170" s="42"/>
      <c r="B170" s="42"/>
      <c r="C170" s="46"/>
      <c r="D170" s="47"/>
      <c r="E170" s="51"/>
    </row>
    <row r="171" spans="1:5">
      <c r="A171" s="42"/>
      <c r="B171" s="42"/>
      <c r="C171" s="46"/>
      <c r="D171" s="47"/>
      <c r="E171" s="51"/>
    </row>
    <row r="172" spans="1:5">
      <c r="A172" s="42"/>
      <c r="B172" s="42"/>
      <c r="C172" s="46"/>
      <c r="D172" s="47"/>
      <c r="E172" s="51"/>
    </row>
    <row r="173" spans="1:5">
      <c r="A173" s="42"/>
      <c r="B173" s="42"/>
      <c r="C173" s="46"/>
      <c r="D173" s="47"/>
      <c r="E173" s="51"/>
    </row>
    <row r="174" spans="1:5">
      <c r="A174" s="42"/>
      <c r="B174" s="42"/>
      <c r="C174" s="46"/>
      <c r="D174" s="47"/>
      <c r="E174" s="51"/>
    </row>
    <row r="175" spans="1:5">
      <c r="A175" s="42"/>
      <c r="B175" s="42"/>
      <c r="C175" s="46"/>
      <c r="D175" s="47"/>
      <c r="E175" s="51"/>
    </row>
    <row r="176" spans="1:5">
      <c r="A176" s="42"/>
      <c r="B176" s="42"/>
      <c r="C176" s="46"/>
      <c r="D176" s="47"/>
      <c r="E176" s="51"/>
    </row>
    <row r="177" spans="1:5">
      <c r="A177" s="42"/>
      <c r="B177" s="42"/>
      <c r="C177" s="46"/>
      <c r="D177" s="47"/>
      <c r="E177" s="51"/>
    </row>
    <row r="178" spans="1:5">
      <c r="A178" s="42"/>
      <c r="B178" s="42"/>
      <c r="C178" s="46"/>
      <c r="D178" s="47"/>
      <c r="E178" s="51"/>
    </row>
    <row r="179" spans="1:5">
      <c r="A179" s="42"/>
      <c r="B179" s="42"/>
      <c r="C179" s="46"/>
      <c r="D179" s="47"/>
      <c r="E179" s="51"/>
    </row>
    <row r="180" spans="1:5">
      <c r="A180" s="42"/>
      <c r="B180" s="42"/>
      <c r="C180" s="46"/>
      <c r="D180" s="47"/>
      <c r="E180" s="51"/>
    </row>
    <row r="181" spans="1:5">
      <c r="A181" s="42"/>
      <c r="B181" s="42"/>
      <c r="C181" s="46"/>
      <c r="D181" s="47"/>
      <c r="E181" s="51"/>
    </row>
    <row r="182" spans="1:5">
      <c r="A182" s="42"/>
      <c r="B182" s="42"/>
      <c r="C182" s="46"/>
      <c r="D182" s="47"/>
      <c r="E182" s="51"/>
    </row>
    <row r="183" spans="1:5">
      <c r="A183" s="42"/>
      <c r="B183" s="42"/>
      <c r="C183" s="46"/>
      <c r="D183" s="47"/>
      <c r="E183" s="51"/>
    </row>
    <row r="184" spans="1:5">
      <c r="A184" s="42"/>
      <c r="B184" s="42"/>
      <c r="C184" s="46"/>
      <c r="D184" s="47"/>
      <c r="E184" s="51"/>
    </row>
    <row r="185" spans="1:5">
      <c r="A185" s="42"/>
      <c r="B185" s="42"/>
      <c r="C185" s="46"/>
      <c r="D185" s="47"/>
      <c r="E185" s="51"/>
    </row>
    <row r="186" spans="1:5">
      <c r="A186" s="42"/>
      <c r="B186" s="42"/>
      <c r="C186" s="46"/>
      <c r="D186" s="47"/>
      <c r="E186" s="51"/>
    </row>
    <row r="187" spans="1:5">
      <c r="A187" s="42"/>
      <c r="B187" s="42"/>
      <c r="C187" s="46"/>
      <c r="D187" s="47"/>
      <c r="E187" s="51"/>
    </row>
    <row r="188" spans="1:5">
      <c r="A188" s="42"/>
      <c r="B188" s="42"/>
      <c r="C188" s="46"/>
      <c r="D188" s="47"/>
      <c r="E188" s="51"/>
    </row>
    <row r="189" spans="1:5">
      <c r="A189" s="42"/>
      <c r="B189" s="42"/>
      <c r="C189" s="46"/>
      <c r="D189" s="47"/>
      <c r="E189" s="51"/>
    </row>
    <row r="190" spans="1:5">
      <c r="A190" s="42"/>
      <c r="B190" s="42"/>
      <c r="C190" s="46"/>
      <c r="D190" s="47"/>
      <c r="E190" s="51"/>
    </row>
    <row r="191" spans="1:5">
      <c r="A191" s="42"/>
      <c r="B191" s="42"/>
      <c r="C191" s="46"/>
      <c r="D191" s="47"/>
      <c r="E191" s="51"/>
    </row>
    <row r="192" spans="1:5">
      <c r="A192" s="42"/>
      <c r="B192" s="42"/>
      <c r="C192" s="46"/>
      <c r="D192" s="47"/>
      <c r="E192" s="51"/>
    </row>
    <row r="193" spans="1:5">
      <c r="A193" s="42"/>
      <c r="B193" s="42"/>
      <c r="C193" s="46"/>
      <c r="D193" s="47"/>
      <c r="E193" s="51"/>
    </row>
    <row r="194" spans="1:5">
      <c r="A194" s="42"/>
      <c r="B194" s="42"/>
      <c r="C194" s="46"/>
      <c r="D194" s="47"/>
      <c r="E194" s="51"/>
    </row>
    <row r="195" spans="1:5">
      <c r="A195" s="42"/>
      <c r="B195" s="42"/>
      <c r="C195" s="46"/>
      <c r="D195" s="47"/>
      <c r="E195" s="51"/>
    </row>
    <row r="196" spans="1:5">
      <c r="A196" s="42"/>
      <c r="B196" s="42"/>
      <c r="C196" s="46"/>
      <c r="D196" s="47"/>
      <c r="E196" s="51"/>
    </row>
    <row r="197" spans="1:5">
      <c r="A197" s="42"/>
      <c r="B197" s="42"/>
      <c r="C197" s="46"/>
      <c r="D197" s="47"/>
      <c r="E197" s="51"/>
    </row>
    <row r="198" spans="1:5">
      <c r="A198" s="42"/>
      <c r="B198" s="42"/>
      <c r="C198" s="46"/>
      <c r="D198" s="47"/>
      <c r="E198" s="51"/>
    </row>
    <row r="199" spans="1:5">
      <c r="A199" s="42"/>
      <c r="B199" s="42"/>
      <c r="C199" s="46"/>
      <c r="D199" s="47"/>
      <c r="E199" s="51"/>
    </row>
    <row r="200" spans="1:5">
      <c r="A200" s="42"/>
      <c r="B200" s="42"/>
      <c r="C200" s="46"/>
      <c r="D200" s="47"/>
      <c r="E200" s="51"/>
    </row>
    <row r="201" spans="1:5">
      <c r="A201" s="42"/>
      <c r="B201" s="42"/>
      <c r="C201" s="46"/>
      <c r="D201" s="47"/>
      <c r="E201" s="51"/>
    </row>
    <row r="202" spans="1:5">
      <c r="A202" s="42"/>
      <c r="B202" s="42"/>
      <c r="C202" s="46"/>
      <c r="D202" s="47"/>
      <c r="E202" s="51"/>
    </row>
    <row r="203" spans="1:5">
      <c r="A203" s="42"/>
      <c r="B203" s="42"/>
      <c r="C203" s="46"/>
      <c r="D203" s="47"/>
      <c r="E203" s="51"/>
    </row>
    <row r="204" spans="1:5">
      <c r="A204" s="42"/>
      <c r="B204" s="42"/>
      <c r="C204" s="46"/>
      <c r="D204" s="47"/>
      <c r="E204" s="51"/>
    </row>
    <row r="205" spans="1:5">
      <c r="A205" s="42"/>
      <c r="B205" s="42"/>
      <c r="C205" s="46"/>
      <c r="D205" s="47"/>
      <c r="E205" s="51"/>
    </row>
    <row r="206" spans="1:5">
      <c r="A206" s="42"/>
      <c r="B206" s="42"/>
      <c r="C206" s="46"/>
      <c r="D206" s="47"/>
      <c r="E206" s="51"/>
    </row>
    <row r="207" spans="1:5">
      <c r="A207" s="42"/>
      <c r="B207" s="42"/>
      <c r="C207" s="46"/>
      <c r="D207" s="47"/>
      <c r="E207" s="51"/>
    </row>
    <row r="208" spans="1:5">
      <c r="A208" s="42"/>
      <c r="B208" s="42"/>
      <c r="C208" s="46"/>
      <c r="D208" s="47"/>
      <c r="E208" s="51"/>
    </row>
    <row r="209" spans="1:5">
      <c r="A209" s="42"/>
      <c r="B209" s="42"/>
      <c r="C209" s="46"/>
      <c r="D209" s="47"/>
      <c r="E209" s="51"/>
    </row>
    <row r="210" spans="1:5">
      <c r="A210" s="42"/>
      <c r="B210" s="42"/>
      <c r="C210" s="46"/>
      <c r="D210" s="47"/>
      <c r="E210" s="51"/>
    </row>
    <row r="211" spans="1:5">
      <c r="A211" s="42"/>
      <c r="B211" s="42"/>
      <c r="C211" s="46"/>
      <c r="D211" s="47"/>
      <c r="E211" s="51"/>
    </row>
    <row r="212" spans="1:5">
      <c r="A212" s="42"/>
      <c r="B212" s="42"/>
      <c r="C212" s="46"/>
      <c r="D212" s="47"/>
      <c r="E212" s="51"/>
    </row>
    <row r="213" spans="1:5">
      <c r="A213" s="42"/>
      <c r="B213" s="42"/>
      <c r="C213" s="46"/>
      <c r="D213" s="47"/>
      <c r="E213" s="51"/>
    </row>
    <row r="214" spans="1:5">
      <c r="A214" s="42"/>
      <c r="B214" s="42"/>
      <c r="C214" s="46"/>
      <c r="D214" s="47"/>
      <c r="E214" s="51"/>
    </row>
    <row r="215" spans="1:5">
      <c r="A215" s="42"/>
      <c r="B215" s="42"/>
      <c r="C215" s="46"/>
      <c r="D215" s="47"/>
      <c r="E215" s="51"/>
    </row>
    <row r="216" spans="1:5">
      <c r="A216" s="42"/>
      <c r="B216" s="42"/>
      <c r="C216" s="46"/>
      <c r="D216" s="47"/>
      <c r="E216" s="51"/>
    </row>
    <row r="217" spans="1:5">
      <c r="A217" s="42"/>
      <c r="B217" s="42"/>
      <c r="C217" s="46"/>
      <c r="D217" s="47"/>
      <c r="E217" s="51"/>
    </row>
    <row r="218" spans="1:5">
      <c r="A218" s="42"/>
      <c r="B218" s="42"/>
      <c r="C218" s="46"/>
      <c r="D218" s="47"/>
      <c r="E218" s="51"/>
    </row>
    <row r="219" spans="1:5">
      <c r="A219" s="42"/>
      <c r="B219" s="42"/>
      <c r="C219" s="46"/>
      <c r="D219" s="47"/>
      <c r="E219" s="51"/>
    </row>
    <row r="220" spans="1:5">
      <c r="A220" s="42"/>
      <c r="B220" s="42"/>
      <c r="C220" s="46"/>
      <c r="D220" s="47"/>
      <c r="E220" s="51"/>
    </row>
    <row r="221" spans="1:5">
      <c r="A221" s="42"/>
      <c r="B221" s="42"/>
      <c r="C221" s="46"/>
      <c r="D221" s="47"/>
      <c r="E221" s="51"/>
    </row>
    <row r="222" spans="1:5">
      <c r="A222" s="42"/>
      <c r="B222" s="42"/>
      <c r="C222" s="46"/>
      <c r="D222" s="47"/>
      <c r="E222" s="51"/>
    </row>
    <row r="223" spans="1:5">
      <c r="A223" s="42"/>
      <c r="B223" s="42"/>
      <c r="C223" s="46"/>
      <c r="D223" s="47"/>
      <c r="E223" s="51"/>
    </row>
    <row r="224" spans="1:5">
      <c r="A224" s="42"/>
      <c r="B224" s="42"/>
      <c r="C224" s="46"/>
      <c r="D224" s="47"/>
      <c r="E224" s="51"/>
    </row>
    <row r="225" spans="1:5">
      <c r="A225" s="42"/>
      <c r="B225" s="42"/>
      <c r="C225" s="46"/>
      <c r="D225" s="47"/>
      <c r="E225" s="51"/>
    </row>
    <row r="226" spans="1:5">
      <c r="A226" s="42"/>
      <c r="B226" s="42"/>
      <c r="C226" s="46"/>
      <c r="D226" s="47"/>
      <c r="E226" s="51"/>
    </row>
    <row r="227" spans="1:5">
      <c r="A227" s="42"/>
      <c r="B227" s="42"/>
      <c r="C227" s="46"/>
      <c r="D227" s="47"/>
      <c r="E227" s="51"/>
    </row>
    <row r="228" spans="1:5">
      <c r="A228" s="42"/>
      <c r="B228" s="42"/>
      <c r="C228" s="46"/>
      <c r="D228" s="47"/>
      <c r="E228" s="51"/>
    </row>
    <row r="229" spans="1:5">
      <c r="A229" s="42"/>
      <c r="B229" s="42"/>
      <c r="C229" s="46"/>
      <c r="D229" s="47"/>
      <c r="E229" s="51"/>
    </row>
    <row r="230" spans="1:5">
      <c r="A230" s="42"/>
      <c r="B230" s="42"/>
      <c r="C230" s="46"/>
      <c r="D230" s="47"/>
      <c r="E230" s="51"/>
    </row>
    <row r="231" spans="1:5">
      <c r="A231" s="42"/>
      <c r="B231" s="42"/>
      <c r="C231" s="46"/>
      <c r="D231" s="47"/>
      <c r="E231" s="51"/>
    </row>
    <row r="232" spans="1:5">
      <c r="A232" s="42"/>
      <c r="B232" s="42"/>
      <c r="C232" s="46"/>
      <c r="D232" s="47"/>
      <c r="E232" s="51"/>
    </row>
    <row r="233" spans="1:5">
      <c r="A233" s="42"/>
      <c r="B233" s="42"/>
      <c r="C233" s="46"/>
      <c r="D233" s="47"/>
      <c r="E233" s="51"/>
    </row>
    <row r="234" spans="1:5">
      <c r="A234" s="42"/>
      <c r="B234" s="42"/>
      <c r="C234" s="46"/>
      <c r="D234" s="47"/>
      <c r="E234" s="51"/>
    </row>
    <row r="235" spans="1:5">
      <c r="A235" s="42"/>
      <c r="B235" s="42"/>
      <c r="C235" s="46"/>
      <c r="D235" s="47"/>
      <c r="E235" s="51"/>
    </row>
    <row r="236" spans="1:5">
      <c r="A236" s="42"/>
      <c r="B236" s="42"/>
      <c r="C236" s="46"/>
      <c r="D236" s="47"/>
      <c r="E236" s="51"/>
    </row>
    <row r="237" spans="1:5">
      <c r="A237" s="42"/>
      <c r="B237" s="42"/>
      <c r="C237" s="46"/>
      <c r="D237" s="47"/>
      <c r="E237" s="51"/>
    </row>
    <row r="238" spans="1:5">
      <c r="A238" s="42"/>
      <c r="B238" s="42"/>
      <c r="C238" s="46"/>
      <c r="D238" s="47"/>
      <c r="E238" s="51"/>
    </row>
    <row r="239" spans="1:5">
      <c r="A239" s="42"/>
      <c r="B239" s="42"/>
      <c r="C239" s="46"/>
      <c r="D239" s="47"/>
      <c r="E239" s="51"/>
    </row>
    <row r="240" spans="1:5">
      <c r="A240" s="42"/>
      <c r="B240" s="42"/>
      <c r="C240" s="46"/>
      <c r="D240" s="47"/>
      <c r="E240" s="51"/>
    </row>
    <row r="241" spans="1:5">
      <c r="A241" s="42"/>
      <c r="B241" s="42"/>
      <c r="C241" s="46"/>
      <c r="D241" s="47"/>
      <c r="E241" s="51"/>
    </row>
    <row r="242" spans="1:5">
      <c r="A242" s="42"/>
      <c r="B242" s="42"/>
      <c r="C242" s="46"/>
      <c r="D242" s="47"/>
      <c r="E242" s="51"/>
    </row>
    <row r="243" spans="1:5">
      <c r="A243" s="42"/>
      <c r="B243" s="42"/>
      <c r="C243" s="46"/>
      <c r="D243" s="47"/>
      <c r="E243" s="51"/>
    </row>
    <row r="244" spans="1:5">
      <c r="A244" s="42"/>
      <c r="B244" s="42"/>
      <c r="C244" s="46"/>
      <c r="D244" s="47"/>
      <c r="E244" s="51"/>
    </row>
    <row r="245" spans="1:5">
      <c r="A245" s="42"/>
      <c r="B245" s="42"/>
      <c r="C245" s="46"/>
      <c r="D245" s="47"/>
      <c r="E245" s="51"/>
    </row>
    <row r="246" spans="1:5">
      <c r="A246" s="42"/>
      <c r="B246" s="42"/>
      <c r="C246" s="46"/>
      <c r="D246" s="47"/>
      <c r="E246" s="51"/>
    </row>
    <row r="247" spans="1:5">
      <c r="A247" s="42"/>
      <c r="B247" s="42"/>
      <c r="C247" s="46"/>
      <c r="D247" s="47"/>
      <c r="E247" s="51"/>
    </row>
    <row r="248" spans="1:5">
      <c r="A248" s="42"/>
      <c r="B248" s="42"/>
      <c r="C248" s="46"/>
      <c r="D248" s="47"/>
      <c r="E248" s="51"/>
    </row>
    <row r="249" spans="1:5">
      <c r="A249" s="42"/>
      <c r="B249" s="42"/>
      <c r="C249" s="46"/>
      <c r="D249" s="47"/>
      <c r="E249" s="51"/>
    </row>
    <row r="250" spans="1:5">
      <c r="A250" s="42"/>
      <c r="B250" s="42"/>
      <c r="C250" s="46"/>
      <c r="D250" s="47"/>
      <c r="E250" s="51"/>
    </row>
    <row r="251" spans="1:5">
      <c r="A251" s="42"/>
      <c r="B251" s="42"/>
      <c r="C251" s="46"/>
      <c r="D251" s="47"/>
      <c r="E251" s="51"/>
    </row>
    <row r="252" spans="1:5">
      <c r="A252" s="42"/>
      <c r="B252" s="42"/>
      <c r="C252" s="46"/>
      <c r="D252" s="47"/>
      <c r="E252" s="51"/>
    </row>
    <row r="253" spans="1:5">
      <c r="A253" s="42"/>
      <c r="B253" s="42"/>
      <c r="C253" s="46"/>
      <c r="D253" s="47"/>
      <c r="E253" s="51"/>
    </row>
    <row r="254" spans="1:5">
      <c r="A254" s="42"/>
      <c r="B254" s="42"/>
      <c r="C254" s="46"/>
      <c r="D254" s="47"/>
      <c r="E254" s="51"/>
    </row>
    <row r="255" spans="1:5">
      <c r="A255" s="42"/>
      <c r="B255" s="42"/>
      <c r="C255" s="46"/>
      <c r="D255" s="47"/>
      <c r="E255" s="51"/>
    </row>
    <row r="256" spans="1:5">
      <c r="A256" s="42"/>
      <c r="B256" s="42"/>
      <c r="C256" s="46"/>
      <c r="D256" s="47"/>
      <c r="E256" s="51"/>
    </row>
    <row r="257" spans="1:5">
      <c r="A257" s="42"/>
      <c r="B257" s="42"/>
      <c r="C257" s="46"/>
      <c r="D257" s="47"/>
      <c r="E257" s="51"/>
    </row>
    <row r="258" spans="1:5">
      <c r="A258" s="42"/>
      <c r="B258" s="42"/>
      <c r="C258" s="46"/>
      <c r="D258" s="47"/>
      <c r="E258" s="51"/>
    </row>
    <row r="259" spans="1:5">
      <c r="A259" s="42"/>
      <c r="B259" s="42"/>
      <c r="C259" s="46"/>
      <c r="D259" s="47"/>
      <c r="E259" s="51"/>
    </row>
    <row r="260" spans="1:5">
      <c r="A260" s="42"/>
      <c r="B260" s="42"/>
      <c r="C260" s="46"/>
      <c r="D260" s="47"/>
      <c r="E260" s="51"/>
    </row>
    <row r="261" spans="1:5">
      <c r="A261" s="42"/>
      <c r="B261" s="42"/>
      <c r="C261" s="46"/>
      <c r="D261" s="47"/>
      <c r="E261" s="51"/>
    </row>
    <row r="262" spans="1:5">
      <c r="A262" s="42"/>
      <c r="B262" s="42"/>
      <c r="C262" s="46"/>
      <c r="D262" s="47"/>
      <c r="E262" s="51"/>
    </row>
    <row r="263" spans="1:5">
      <c r="A263" s="42"/>
      <c r="B263" s="42"/>
      <c r="C263" s="46"/>
      <c r="D263" s="47"/>
      <c r="E263" s="51"/>
    </row>
    <row r="264" spans="1:5">
      <c r="A264" s="42"/>
      <c r="B264" s="42"/>
      <c r="C264" s="46"/>
      <c r="D264" s="47"/>
      <c r="E264" s="51"/>
    </row>
    <row r="265" spans="1:5">
      <c r="A265" s="42"/>
      <c r="B265" s="42"/>
      <c r="C265" s="46"/>
      <c r="D265" s="47"/>
      <c r="E265" s="51"/>
    </row>
    <row r="266" spans="1:5">
      <c r="A266" s="42"/>
      <c r="B266" s="42"/>
      <c r="C266" s="46"/>
      <c r="D266" s="47"/>
      <c r="E266" s="51"/>
    </row>
    <row r="267" spans="1:5">
      <c r="A267" s="42"/>
      <c r="B267" s="42"/>
      <c r="C267" s="46"/>
      <c r="D267" s="47"/>
      <c r="E267" s="51"/>
    </row>
    <row r="268" spans="1:5">
      <c r="A268" s="42"/>
      <c r="B268" s="42"/>
      <c r="C268" s="46"/>
      <c r="D268" s="47"/>
      <c r="E268" s="51"/>
    </row>
    <row r="269" spans="1:5">
      <c r="A269" s="42"/>
      <c r="B269" s="42"/>
      <c r="C269" s="46"/>
      <c r="D269" s="47"/>
      <c r="E269" s="51"/>
    </row>
    <row r="270" spans="1:5">
      <c r="A270" s="42"/>
      <c r="B270" s="42"/>
      <c r="C270" s="46"/>
      <c r="D270" s="47"/>
      <c r="E270" s="51"/>
    </row>
    <row r="271" spans="1:5">
      <c r="A271" s="42"/>
      <c r="B271" s="42"/>
      <c r="C271" s="46"/>
      <c r="D271" s="47"/>
      <c r="E271" s="51"/>
    </row>
    <row r="272" spans="1:5">
      <c r="A272" s="42"/>
      <c r="B272" s="42"/>
      <c r="C272" s="46"/>
      <c r="D272" s="47"/>
      <c r="E272" s="51"/>
    </row>
    <row r="273" spans="1:5">
      <c r="A273" s="42"/>
      <c r="B273" s="42"/>
      <c r="C273" s="46"/>
      <c r="D273" s="47"/>
      <c r="E273" s="51"/>
    </row>
    <row r="274" spans="1:5">
      <c r="A274" s="42"/>
      <c r="B274" s="42"/>
      <c r="C274" s="46"/>
      <c r="D274" s="47"/>
      <c r="E274" s="51"/>
    </row>
    <row r="275" spans="1:5">
      <c r="A275" s="42"/>
      <c r="B275" s="42"/>
      <c r="C275" s="46"/>
      <c r="D275" s="47"/>
      <c r="E275" s="51"/>
    </row>
    <row r="276" spans="1:5">
      <c r="A276" s="42"/>
      <c r="B276" s="42"/>
      <c r="C276" s="46"/>
      <c r="D276" s="47"/>
      <c r="E276" s="51"/>
    </row>
    <row r="277" spans="1:5">
      <c r="A277" s="42"/>
      <c r="B277" s="42"/>
      <c r="C277" s="46"/>
      <c r="D277" s="47"/>
      <c r="E277" s="51"/>
    </row>
    <row r="278" spans="1:5">
      <c r="A278" s="42"/>
      <c r="B278" s="42"/>
      <c r="C278" s="46"/>
      <c r="D278" s="47"/>
      <c r="E278" s="51"/>
    </row>
    <row r="279" spans="1:5">
      <c r="A279" s="42"/>
      <c r="B279" s="42"/>
      <c r="C279" s="46"/>
      <c r="D279" s="47"/>
      <c r="E279" s="51"/>
    </row>
    <row r="280" spans="1:5">
      <c r="A280" s="42"/>
      <c r="B280" s="42"/>
      <c r="C280" s="46"/>
      <c r="D280" s="47"/>
      <c r="E280" s="51"/>
    </row>
    <row r="281" spans="1:5">
      <c r="A281" s="42"/>
      <c r="B281" s="42"/>
      <c r="C281" s="46"/>
      <c r="D281" s="47"/>
      <c r="E281" s="51"/>
    </row>
    <row r="282" spans="1:5">
      <c r="A282" s="42"/>
      <c r="B282" s="42"/>
      <c r="C282" s="46"/>
      <c r="D282" s="47"/>
      <c r="E282" s="51"/>
    </row>
    <row r="283" spans="1:5">
      <c r="A283" s="42"/>
      <c r="B283" s="42"/>
      <c r="C283" s="46"/>
      <c r="D283" s="47"/>
      <c r="E283" s="51"/>
    </row>
    <row r="284" spans="1:5">
      <c r="A284" s="42"/>
      <c r="B284" s="42"/>
      <c r="C284" s="46"/>
      <c r="D284" s="47"/>
      <c r="E284" s="51"/>
    </row>
    <row r="285" spans="1:5">
      <c r="A285" s="42"/>
      <c r="B285" s="42"/>
      <c r="C285" s="46"/>
      <c r="D285" s="47"/>
      <c r="E285" s="51"/>
    </row>
    <row r="286" spans="1:5">
      <c r="A286" s="42"/>
      <c r="B286" s="42"/>
      <c r="C286" s="46"/>
      <c r="D286" s="47"/>
      <c r="E286" s="51"/>
    </row>
    <row r="287" spans="1:5">
      <c r="A287" s="42"/>
      <c r="B287" s="42"/>
      <c r="C287" s="46"/>
      <c r="D287" s="47"/>
      <c r="E287" s="51"/>
    </row>
    <row r="288" spans="1:5">
      <c r="A288" s="42"/>
      <c r="B288" s="42"/>
      <c r="C288" s="46"/>
      <c r="D288" s="47"/>
      <c r="E288" s="51"/>
    </row>
    <row r="289" spans="1:5">
      <c r="A289" s="42"/>
      <c r="B289" s="42"/>
      <c r="C289" s="46"/>
      <c r="D289" s="47"/>
      <c r="E289" s="51"/>
    </row>
    <row r="290" spans="1:5">
      <c r="A290" s="42"/>
      <c r="B290" s="42"/>
      <c r="C290" s="46"/>
      <c r="D290" s="47"/>
      <c r="E290" s="51"/>
    </row>
    <row r="291" spans="1:5">
      <c r="A291" s="42"/>
      <c r="B291" s="42"/>
      <c r="C291" s="46"/>
      <c r="D291" s="47"/>
      <c r="E291" s="51"/>
    </row>
    <row r="292" spans="1:5">
      <c r="A292" s="42"/>
      <c r="B292" s="42"/>
      <c r="C292" s="46"/>
      <c r="D292" s="47"/>
      <c r="E292" s="51"/>
    </row>
    <row r="293" spans="1:5">
      <c r="A293" s="42"/>
      <c r="B293" s="42"/>
      <c r="C293" s="46"/>
      <c r="D293" s="47"/>
      <c r="E293" s="51"/>
    </row>
    <row r="294" spans="1:5">
      <c r="A294" s="42"/>
      <c r="B294" s="42"/>
      <c r="C294" s="46"/>
      <c r="D294" s="47"/>
      <c r="E294" s="51"/>
    </row>
    <row r="295" spans="1:5">
      <c r="A295" s="42"/>
      <c r="B295" s="42"/>
      <c r="C295" s="46"/>
      <c r="D295" s="47"/>
      <c r="E295" s="51"/>
    </row>
    <row r="296" spans="1:5">
      <c r="A296" s="42"/>
      <c r="B296" s="42"/>
      <c r="C296" s="46"/>
      <c r="D296" s="47"/>
      <c r="E296" s="51"/>
    </row>
    <row r="297" spans="1:5">
      <c r="A297" s="42"/>
      <c r="B297" s="42"/>
      <c r="C297" s="46"/>
      <c r="D297" s="47"/>
      <c r="E297" s="51"/>
    </row>
    <row r="298" spans="1:5">
      <c r="A298" s="42"/>
      <c r="B298" s="42"/>
      <c r="C298" s="46"/>
      <c r="D298" s="47"/>
      <c r="E298" s="51"/>
    </row>
    <row r="299" spans="1:5">
      <c r="A299" s="42"/>
      <c r="B299" s="42"/>
      <c r="C299" s="46"/>
      <c r="D299" s="47"/>
      <c r="E299" s="51"/>
    </row>
    <row r="300" spans="1:5">
      <c r="A300" s="42"/>
      <c r="B300" s="42"/>
      <c r="C300" s="46"/>
      <c r="D300" s="47"/>
      <c r="E300" s="51"/>
    </row>
    <row r="301" spans="1:5">
      <c r="A301" s="42"/>
      <c r="B301" s="42"/>
      <c r="C301" s="46"/>
      <c r="D301" s="47"/>
      <c r="E301" s="51"/>
    </row>
    <row r="302" spans="1:5">
      <c r="A302" s="42"/>
      <c r="B302" s="42"/>
      <c r="C302" s="46"/>
      <c r="D302" s="47"/>
      <c r="E302" s="51"/>
    </row>
    <row r="303" spans="1:5">
      <c r="A303" s="42"/>
      <c r="B303" s="42"/>
      <c r="C303" s="46"/>
      <c r="D303" s="47"/>
      <c r="E303" s="51"/>
    </row>
    <row r="304" spans="1:5">
      <c r="A304" s="42"/>
      <c r="B304" s="42"/>
      <c r="C304" s="46"/>
      <c r="D304" s="47"/>
      <c r="E304" s="51"/>
    </row>
    <row r="305" spans="1:5">
      <c r="A305" s="42"/>
      <c r="B305" s="42"/>
      <c r="C305" s="46"/>
      <c r="D305" s="47"/>
      <c r="E305" s="51"/>
    </row>
    <row r="306" spans="1:5">
      <c r="A306" s="42"/>
      <c r="B306" s="42"/>
      <c r="C306" s="46"/>
      <c r="D306" s="47"/>
      <c r="E306" s="51"/>
    </row>
    <row r="307" spans="1:5">
      <c r="A307" s="42"/>
      <c r="B307" s="42"/>
      <c r="C307" s="46"/>
      <c r="D307" s="47"/>
      <c r="E307" s="51"/>
    </row>
    <row r="308" spans="1:5">
      <c r="A308" s="42"/>
      <c r="B308" s="42"/>
      <c r="C308" s="46"/>
      <c r="D308" s="47"/>
      <c r="E308" s="51"/>
    </row>
    <row r="309" spans="1:5">
      <c r="A309" s="42"/>
      <c r="B309" s="42"/>
      <c r="C309" s="46"/>
      <c r="D309" s="47"/>
      <c r="E309" s="51"/>
    </row>
    <row r="310" spans="1:5">
      <c r="A310" s="42"/>
      <c r="B310" s="42"/>
      <c r="C310" s="46"/>
      <c r="D310" s="47"/>
      <c r="E310" s="51"/>
    </row>
    <row r="311" spans="1:5">
      <c r="A311" s="42"/>
      <c r="B311" s="42"/>
      <c r="C311" s="46"/>
      <c r="D311" s="47"/>
      <c r="E311" s="51"/>
    </row>
    <row r="312" spans="1:5">
      <c r="A312" s="42"/>
      <c r="B312" s="42"/>
      <c r="C312" s="46"/>
      <c r="D312" s="47"/>
      <c r="E312" s="51"/>
    </row>
    <row r="313" spans="1:5">
      <c r="A313" s="42"/>
      <c r="B313" s="42"/>
      <c r="C313" s="46"/>
      <c r="D313" s="47"/>
      <c r="E313" s="51"/>
    </row>
    <row r="314" spans="1:5">
      <c r="A314" s="42"/>
      <c r="B314" s="42"/>
      <c r="C314" s="46"/>
      <c r="D314" s="47"/>
      <c r="E314" s="51"/>
    </row>
    <row r="315" spans="1:5">
      <c r="A315" s="42"/>
      <c r="B315" s="42"/>
      <c r="C315" s="46"/>
      <c r="D315" s="47"/>
      <c r="E315" s="51"/>
    </row>
    <row r="316" spans="1:5">
      <c r="A316" s="42"/>
      <c r="B316" s="42"/>
      <c r="C316" s="46"/>
      <c r="D316" s="47"/>
      <c r="E316" s="51"/>
    </row>
    <row r="317" spans="1:5">
      <c r="A317" s="42"/>
      <c r="B317" s="42"/>
      <c r="C317" s="46"/>
      <c r="D317" s="47"/>
      <c r="E317" s="51"/>
    </row>
    <row r="318" spans="1:5">
      <c r="A318" s="42"/>
      <c r="B318" s="42"/>
      <c r="C318" s="46"/>
      <c r="D318" s="47"/>
      <c r="E318" s="51"/>
    </row>
    <row r="319" spans="1:5">
      <c r="A319" s="42"/>
      <c r="B319" s="42"/>
      <c r="C319" s="46"/>
      <c r="D319" s="47"/>
      <c r="E319" s="51"/>
    </row>
    <row r="320" spans="1:5">
      <c r="A320" s="42"/>
      <c r="B320" s="42"/>
      <c r="C320" s="46"/>
      <c r="D320" s="47"/>
      <c r="E320" s="51"/>
    </row>
    <row r="321" spans="1:5">
      <c r="A321" s="42"/>
      <c r="B321" s="42"/>
      <c r="C321" s="46"/>
      <c r="D321" s="47"/>
      <c r="E321" s="51"/>
    </row>
    <row r="322" spans="1:5">
      <c r="A322" s="42"/>
      <c r="B322" s="42"/>
      <c r="C322" s="46"/>
      <c r="D322" s="47"/>
      <c r="E322" s="51"/>
    </row>
    <row r="323" spans="1:5">
      <c r="A323" s="42"/>
      <c r="B323" s="42"/>
      <c r="C323" s="46"/>
      <c r="D323" s="47"/>
      <c r="E323" s="51"/>
    </row>
    <row r="324" spans="1:5">
      <c r="A324" s="42"/>
      <c r="B324" s="42"/>
      <c r="C324" s="46"/>
      <c r="D324" s="47"/>
      <c r="E324" s="51"/>
    </row>
    <row r="325" spans="1:5">
      <c r="A325" s="42"/>
      <c r="B325" s="42"/>
      <c r="C325" s="46"/>
      <c r="D325" s="47"/>
      <c r="E325" s="51"/>
    </row>
    <row r="326" spans="1:5">
      <c r="A326" s="42"/>
      <c r="B326" s="42"/>
      <c r="C326" s="46"/>
      <c r="D326" s="47"/>
      <c r="E326" s="51"/>
    </row>
    <row r="327" spans="1:5">
      <c r="A327" s="42"/>
      <c r="B327" s="42"/>
      <c r="C327" s="46"/>
      <c r="D327" s="47"/>
      <c r="E327" s="51"/>
    </row>
    <row r="328" spans="1:5">
      <c r="A328" s="42"/>
      <c r="B328" s="42"/>
      <c r="C328" s="46"/>
      <c r="D328" s="47"/>
      <c r="E328" s="51"/>
    </row>
    <row r="329" spans="1:5">
      <c r="A329" s="42"/>
      <c r="B329" s="42"/>
      <c r="C329" s="46"/>
      <c r="D329" s="47"/>
      <c r="E329" s="51"/>
    </row>
    <row r="330" spans="1:5">
      <c r="A330" s="42"/>
      <c r="B330" s="42"/>
      <c r="C330" s="46"/>
      <c r="D330" s="47"/>
      <c r="E330" s="51"/>
    </row>
    <row r="331" spans="1:5">
      <c r="A331" s="42"/>
      <c r="B331" s="42"/>
      <c r="C331" s="46"/>
      <c r="D331" s="47"/>
      <c r="E331" s="51"/>
    </row>
    <row r="332" spans="1:5">
      <c r="A332" s="42"/>
      <c r="B332" s="42"/>
      <c r="C332" s="46"/>
      <c r="D332" s="47"/>
      <c r="E332" s="51"/>
    </row>
    <row r="333" spans="1:5">
      <c r="A333" s="42"/>
      <c r="B333" s="42"/>
      <c r="C333" s="46"/>
      <c r="D333" s="47"/>
      <c r="E333" s="51"/>
    </row>
    <row r="334" spans="1:5">
      <c r="A334" s="42"/>
      <c r="B334" s="42"/>
      <c r="C334" s="46"/>
      <c r="D334" s="47"/>
      <c r="E334" s="51"/>
    </row>
    <row r="335" spans="1:5">
      <c r="A335" s="42"/>
      <c r="B335" s="42"/>
      <c r="C335" s="46"/>
      <c r="D335" s="47"/>
      <c r="E335" s="51"/>
    </row>
    <row r="336" spans="1:5">
      <c r="A336" s="42"/>
      <c r="B336" s="42"/>
      <c r="C336" s="46"/>
      <c r="D336" s="47"/>
      <c r="E336" s="51"/>
    </row>
    <row r="337" spans="1:5">
      <c r="A337" s="42"/>
      <c r="B337" s="42"/>
      <c r="C337" s="46"/>
      <c r="D337" s="47"/>
      <c r="E337" s="51"/>
    </row>
    <row r="338" spans="1:5">
      <c r="A338" s="42"/>
      <c r="B338" s="42"/>
      <c r="C338" s="46"/>
      <c r="D338" s="47"/>
      <c r="E338" s="51"/>
    </row>
    <row r="339" spans="1:5">
      <c r="A339" s="42"/>
      <c r="B339" s="42"/>
      <c r="C339" s="46"/>
      <c r="D339" s="47"/>
      <c r="E339" s="51"/>
    </row>
    <row r="340" spans="1:5">
      <c r="A340" s="42"/>
      <c r="B340" s="42"/>
      <c r="C340" s="46"/>
      <c r="D340" s="47"/>
      <c r="E340" s="51"/>
    </row>
    <row r="341" spans="1:5">
      <c r="A341" s="42"/>
      <c r="B341" s="42"/>
      <c r="C341" s="46"/>
      <c r="D341" s="47"/>
      <c r="E341" s="51"/>
    </row>
    <row r="342" spans="1:5">
      <c r="A342" s="42"/>
      <c r="B342" s="42"/>
      <c r="C342" s="46"/>
      <c r="D342" s="47"/>
      <c r="E342" s="51"/>
    </row>
    <row r="343" spans="1:5">
      <c r="A343" s="42"/>
      <c r="B343" s="42"/>
      <c r="C343" s="46"/>
      <c r="D343" s="47"/>
      <c r="E343" s="51"/>
    </row>
    <row r="344" spans="1:5">
      <c r="A344" s="42"/>
      <c r="B344" s="42"/>
      <c r="C344" s="46"/>
      <c r="D344" s="47"/>
      <c r="E344" s="51"/>
    </row>
    <row r="345" spans="1:5">
      <c r="A345" s="42"/>
      <c r="B345" s="42"/>
      <c r="C345" s="46"/>
      <c r="D345" s="47"/>
      <c r="E345" s="51"/>
    </row>
    <row r="346" spans="1:5">
      <c r="A346" s="42"/>
      <c r="B346" s="42"/>
      <c r="C346" s="46"/>
      <c r="D346" s="47"/>
      <c r="E346" s="51"/>
    </row>
    <row r="347" spans="1:5">
      <c r="A347" s="42"/>
      <c r="B347" s="42"/>
      <c r="C347" s="46"/>
      <c r="D347" s="47"/>
      <c r="E347" s="51"/>
    </row>
    <row r="348" spans="1:5">
      <c r="A348" s="42"/>
      <c r="B348" s="42"/>
      <c r="C348" s="46"/>
      <c r="D348" s="47"/>
      <c r="E348" s="51"/>
    </row>
    <row r="349" spans="1:5">
      <c r="A349" s="42"/>
      <c r="B349" s="42"/>
      <c r="C349" s="46"/>
      <c r="D349" s="47"/>
      <c r="E349" s="51"/>
    </row>
    <row r="350" spans="1:5">
      <c r="A350" s="42"/>
      <c r="B350" s="42"/>
      <c r="C350" s="46"/>
      <c r="D350" s="47"/>
      <c r="E350" s="51"/>
    </row>
    <row r="351" spans="1:5">
      <c r="A351" s="42"/>
      <c r="B351" s="42"/>
      <c r="C351" s="46"/>
      <c r="D351" s="47"/>
      <c r="E351" s="51"/>
    </row>
    <row r="352" spans="1:5">
      <c r="A352" s="42"/>
      <c r="B352" s="42"/>
      <c r="C352" s="46"/>
      <c r="D352" s="47"/>
      <c r="E352" s="51"/>
    </row>
    <row r="353" spans="1:5">
      <c r="A353" s="42"/>
      <c r="B353" s="42"/>
      <c r="C353" s="46"/>
      <c r="D353" s="47"/>
      <c r="E353" s="51"/>
    </row>
    <row r="354" spans="1:5">
      <c r="A354" s="42"/>
      <c r="B354" s="42"/>
      <c r="C354" s="46"/>
      <c r="D354" s="47"/>
      <c r="E354" s="51"/>
    </row>
    <row r="355" spans="1:5">
      <c r="A355" s="42"/>
      <c r="B355" s="42"/>
      <c r="C355" s="46"/>
      <c r="D355" s="47"/>
      <c r="E355" s="51"/>
    </row>
    <row r="356" spans="1:5">
      <c r="A356" s="42"/>
      <c r="B356" s="42"/>
      <c r="C356" s="46"/>
      <c r="D356" s="47"/>
      <c r="E356" s="51"/>
    </row>
    <row r="357" spans="1:5">
      <c r="A357" s="42"/>
      <c r="B357" s="42"/>
      <c r="C357" s="46"/>
      <c r="D357" s="47"/>
      <c r="E357" s="51"/>
    </row>
    <row r="358" spans="1:5">
      <c r="A358" s="42"/>
      <c r="B358" s="42"/>
      <c r="C358" s="46"/>
      <c r="D358" s="47"/>
      <c r="E358" s="51"/>
    </row>
    <row r="359" spans="1:5">
      <c r="A359" s="42"/>
      <c r="B359" s="42"/>
      <c r="C359" s="46"/>
      <c r="D359" s="47"/>
      <c r="E359" s="51"/>
    </row>
    <row r="360" spans="1:5">
      <c r="A360" s="42"/>
      <c r="B360" s="42"/>
      <c r="C360" s="46"/>
      <c r="D360" s="47"/>
      <c r="E360" s="51"/>
    </row>
    <row r="361" spans="1:5">
      <c r="A361" s="42"/>
      <c r="B361" s="42"/>
      <c r="C361" s="46"/>
      <c r="D361" s="47"/>
      <c r="E361" s="51"/>
    </row>
    <row r="362" spans="1:5">
      <c r="A362" s="42"/>
      <c r="B362" s="42"/>
      <c r="C362" s="46"/>
      <c r="D362" s="47"/>
      <c r="E362" s="51"/>
    </row>
    <row r="363" spans="1:5">
      <c r="A363" s="42"/>
      <c r="B363" s="42"/>
      <c r="C363" s="46"/>
      <c r="D363" s="47"/>
      <c r="E363" s="51"/>
    </row>
    <row r="364" spans="1:5">
      <c r="A364" s="42"/>
      <c r="B364" s="42"/>
      <c r="C364" s="46"/>
      <c r="D364" s="47"/>
      <c r="E364" s="51"/>
    </row>
    <row r="365" spans="1:5">
      <c r="A365" s="42"/>
      <c r="B365" s="42"/>
      <c r="C365" s="46"/>
      <c r="D365" s="47"/>
      <c r="E365" s="51"/>
    </row>
    <row r="366" spans="1:5">
      <c r="A366" s="42"/>
      <c r="B366" s="42"/>
      <c r="C366" s="46"/>
      <c r="D366" s="47"/>
      <c r="E366" s="51"/>
    </row>
    <row r="367" spans="1:5">
      <c r="A367" s="42"/>
      <c r="B367" s="42"/>
      <c r="C367" s="46"/>
      <c r="D367" s="47"/>
      <c r="E367" s="51"/>
    </row>
    <row r="368" spans="1:5">
      <c r="A368" s="42"/>
      <c r="B368" s="42"/>
      <c r="C368" s="46"/>
      <c r="D368" s="47"/>
      <c r="E368" s="51"/>
    </row>
    <row r="369" spans="1:5">
      <c r="A369" s="42"/>
      <c r="B369" s="42"/>
      <c r="C369" s="46"/>
      <c r="D369" s="47"/>
      <c r="E369" s="51"/>
    </row>
    <row r="370" spans="1:5">
      <c r="A370" s="42"/>
      <c r="B370" s="42"/>
      <c r="C370" s="46"/>
      <c r="D370" s="47"/>
      <c r="E370" s="51"/>
    </row>
    <row r="371" spans="1:5">
      <c r="A371" s="42"/>
      <c r="B371" s="42"/>
      <c r="C371" s="46"/>
      <c r="D371" s="47"/>
      <c r="E371" s="51"/>
    </row>
    <row r="372" spans="1:5">
      <c r="A372" s="42"/>
      <c r="B372" s="42"/>
      <c r="C372" s="46"/>
      <c r="D372" s="47"/>
      <c r="E372" s="51"/>
    </row>
    <row r="373" spans="1:5">
      <c r="A373" s="42"/>
      <c r="B373" s="42"/>
      <c r="C373" s="46"/>
      <c r="D373" s="47"/>
      <c r="E373" s="51"/>
    </row>
    <row r="374" spans="1:5">
      <c r="A374" s="42"/>
      <c r="B374" s="42"/>
      <c r="C374" s="46"/>
      <c r="D374" s="47"/>
      <c r="E374" s="51"/>
    </row>
    <row r="375" spans="1:5">
      <c r="A375" s="42"/>
      <c r="B375" s="42"/>
      <c r="C375" s="46"/>
      <c r="D375" s="47"/>
      <c r="E375" s="51"/>
    </row>
    <row r="376" spans="1:5">
      <c r="A376" s="42"/>
      <c r="B376" s="42"/>
      <c r="C376" s="46"/>
      <c r="D376" s="47"/>
      <c r="E376" s="51"/>
    </row>
    <row r="377" spans="1:5">
      <c r="A377" s="42"/>
      <c r="B377" s="42"/>
      <c r="C377" s="46"/>
      <c r="D377" s="47"/>
      <c r="E377" s="51"/>
    </row>
    <row r="378" spans="1:5">
      <c r="A378" s="42"/>
      <c r="B378" s="42"/>
      <c r="C378" s="46"/>
      <c r="D378" s="47"/>
      <c r="E378" s="51"/>
    </row>
    <row r="379" spans="1:5">
      <c r="A379" s="42"/>
      <c r="B379" s="42"/>
      <c r="C379" s="46"/>
      <c r="D379" s="47"/>
      <c r="E379" s="51"/>
    </row>
    <row r="380" spans="1:5">
      <c r="A380" s="42"/>
      <c r="B380" s="42"/>
      <c r="C380" s="46"/>
      <c r="D380" s="47"/>
      <c r="E380" s="51"/>
    </row>
    <row r="381" spans="1:5">
      <c r="A381" s="42"/>
      <c r="B381" s="42"/>
      <c r="C381" s="46"/>
      <c r="D381" s="47"/>
      <c r="E381" s="51"/>
    </row>
    <row r="382" spans="1:5">
      <c r="A382" s="42"/>
      <c r="B382" s="42"/>
      <c r="C382" s="46"/>
      <c r="D382" s="47"/>
      <c r="E382" s="51"/>
    </row>
    <row r="383" spans="1:5">
      <c r="A383" s="42"/>
      <c r="B383" s="42"/>
      <c r="C383" s="46"/>
      <c r="D383" s="47"/>
      <c r="E383" s="51"/>
    </row>
    <row r="384" spans="1:5">
      <c r="A384" s="42"/>
      <c r="B384" s="42"/>
      <c r="C384" s="46"/>
      <c r="D384" s="47"/>
      <c r="E384" s="51"/>
    </row>
    <row r="385" spans="1:5">
      <c r="A385" s="42"/>
      <c r="B385" s="42"/>
      <c r="C385" s="46"/>
      <c r="D385" s="47"/>
      <c r="E385" s="51"/>
    </row>
    <row r="386" spans="1:5">
      <c r="A386" s="42"/>
      <c r="B386" s="42"/>
      <c r="C386" s="46"/>
      <c r="D386" s="47"/>
      <c r="E386" s="51"/>
    </row>
    <row r="387" spans="1:5">
      <c r="A387" s="42"/>
      <c r="B387" s="42"/>
      <c r="C387" s="46"/>
      <c r="D387" s="47"/>
      <c r="E387" s="51"/>
    </row>
    <row r="388" spans="1:5">
      <c r="A388" s="42"/>
      <c r="B388" s="42"/>
      <c r="C388" s="46"/>
      <c r="D388" s="47"/>
      <c r="E388" s="51"/>
    </row>
    <row r="389" spans="1:5">
      <c r="A389" s="42"/>
      <c r="B389" s="42"/>
      <c r="C389" s="46"/>
      <c r="D389" s="47"/>
      <c r="E389" s="51"/>
    </row>
    <row r="390" spans="1:5">
      <c r="A390" s="42"/>
      <c r="B390" s="42"/>
      <c r="C390" s="46"/>
      <c r="D390" s="47"/>
      <c r="E390" s="51"/>
    </row>
    <row r="391" spans="1:5">
      <c r="A391" s="42"/>
      <c r="B391" s="42"/>
      <c r="C391" s="46"/>
      <c r="D391" s="47"/>
      <c r="E391" s="51"/>
    </row>
    <row r="392" spans="1:5">
      <c r="A392" s="42"/>
      <c r="B392" s="42"/>
      <c r="C392" s="46"/>
      <c r="D392" s="47"/>
      <c r="E392" s="51"/>
    </row>
    <row r="393" spans="1:5">
      <c r="A393" s="42"/>
      <c r="B393" s="42"/>
      <c r="C393" s="46"/>
      <c r="D393" s="47"/>
      <c r="E393" s="51"/>
    </row>
    <row r="394" spans="1:5">
      <c r="A394" s="42"/>
      <c r="B394" s="42"/>
      <c r="C394" s="46"/>
      <c r="D394" s="47"/>
      <c r="E394" s="51"/>
    </row>
    <row r="395" spans="1:5">
      <c r="A395" s="42"/>
      <c r="B395" s="42"/>
      <c r="C395" s="46"/>
      <c r="D395" s="47"/>
      <c r="E395" s="51"/>
    </row>
    <row r="396" spans="1:5">
      <c r="A396" s="42"/>
      <c r="B396" s="42"/>
      <c r="C396" s="46"/>
      <c r="D396" s="47"/>
      <c r="E396" s="51"/>
    </row>
    <row r="397" spans="1:5">
      <c r="A397" s="42"/>
      <c r="B397" s="42"/>
      <c r="C397" s="46"/>
      <c r="D397" s="47"/>
      <c r="E397" s="51"/>
    </row>
    <row r="398" spans="1:5">
      <c r="A398" s="42"/>
      <c r="B398" s="42"/>
      <c r="C398" s="46"/>
      <c r="D398" s="47"/>
      <c r="E398" s="51"/>
    </row>
    <row r="399" spans="1:5">
      <c r="A399" s="42"/>
      <c r="B399" s="42"/>
      <c r="C399" s="46"/>
      <c r="D399" s="47"/>
      <c r="E399" s="51"/>
    </row>
    <row r="400" spans="1:5">
      <c r="A400" s="42"/>
      <c r="B400" s="42"/>
      <c r="C400" s="46"/>
      <c r="D400" s="47"/>
      <c r="E400" s="51"/>
    </row>
    <row r="401" spans="1:5">
      <c r="A401" s="42"/>
      <c r="B401" s="42"/>
      <c r="C401" s="46"/>
      <c r="D401" s="47"/>
      <c r="E401" s="51"/>
    </row>
    <row r="402" spans="1:5">
      <c r="A402" s="42"/>
      <c r="B402" s="42"/>
      <c r="C402" s="46"/>
      <c r="D402" s="47"/>
      <c r="E402" s="51"/>
    </row>
    <row r="403" spans="1:5">
      <c r="A403" s="42"/>
      <c r="B403" s="42"/>
      <c r="C403" s="46"/>
      <c r="D403" s="47"/>
      <c r="E403" s="51"/>
    </row>
    <row r="404" spans="1:5">
      <c r="A404" s="42"/>
      <c r="B404" s="42"/>
      <c r="C404" s="46"/>
      <c r="D404" s="47"/>
      <c r="E404" s="51"/>
    </row>
    <row r="405" spans="1:5">
      <c r="A405" s="42"/>
      <c r="B405" s="42"/>
      <c r="C405" s="46"/>
      <c r="D405" s="47"/>
      <c r="E405" s="51"/>
    </row>
    <row r="406" spans="1:5">
      <c r="A406" s="42"/>
      <c r="B406" s="42"/>
      <c r="C406" s="46"/>
      <c r="D406" s="47"/>
      <c r="E406" s="51"/>
    </row>
    <row r="407" spans="1:5">
      <c r="A407" s="42"/>
      <c r="B407" s="42"/>
      <c r="C407" s="46"/>
      <c r="D407" s="47"/>
      <c r="E407" s="51"/>
    </row>
    <row r="408" spans="1:5">
      <c r="A408" s="42"/>
      <c r="B408" s="42"/>
      <c r="C408" s="46"/>
      <c r="D408" s="47"/>
      <c r="E408" s="51"/>
    </row>
    <row r="409" spans="1:5">
      <c r="A409" s="42"/>
      <c r="B409" s="42"/>
      <c r="C409" s="46"/>
      <c r="D409" s="47"/>
      <c r="E409" s="51"/>
    </row>
    <row r="410" spans="1:5">
      <c r="A410" s="42"/>
      <c r="B410" s="42"/>
      <c r="C410" s="46"/>
      <c r="D410" s="47"/>
      <c r="E410" s="51"/>
    </row>
    <row r="411" spans="1:5">
      <c r="A411" s="42"/>
      <c r="B411" s="42"/>
      <c r="C411" s="46"/>
      <c r="D411" s="47"/>
      <c r="E411" s="51"/>
    </row>
    <row r="412" spans="1:5">
      <c r="A412" s="42"/>
      <c r="B412" s="42"/>
      <c r="C412" s="46"/>
      <c r="D412" s="47"/>
      <c r="E412" s="51"/>
    </row>
    <row r="413" spans="1:5">
      <c r="A413" s="42"/>
      <c r="B413" s="42"/>
      <c r="C413" s="46"/>
      <c r="D413" s="47"/>
      <c r="E413" s="51"/>
    </row>
    <row r="414" spans="1:5">
      <c r="A414" s="42"/>
      <c r="B414" s="42"/>
      <c r="C414" s="46"/>
      <c r="D414" s="47"/>
      <c r="E414" s="51"/>
    </row>
    <row r="415" spans="1:5">
      <c r="A415" s="42"/>
      <c r="B415" s="42"/>
      <c r="C415" s="46"/>
      <c r="D415" s="47"/>
      <c r="E415" s="51"/>
    </row>
    <row r="416" spans="1:5">
      <c r="A416" s="42"/>
      <c r="B416" s="42"/>
      <c r="C416" s="46"/>
      <c r="D416" s="47"/>
      <c r="E416" s="51"/>
    </row>
    <row r="417" spans="1:5">
      <c r="A417" s="42"/>
      <c r="B417" s="42"/>
      <c r="C417" s="46"/>
      <c r="D417" s="47"/>
      <c r="E417" s="51"/>
    </row>
    <row r="418" spans="1:5">
      <c r="A418" s="42"/>
      <c r="B418" s="42"/>
      <c r="C418" s="46"/>
      <c r="D418" s="47"/>
      <c r="E418" s="51"/>
    </row>
    <row r="419" spans="1:5">
      <c r="A419" s="42"/>
      <c r="B419" s="42"/>
      <c r="C419" s="46"/>
      <c r="D419" s="47"/>
      <c r="E419" s="51"/>
    </row>
    <row r="420" spans="1:5">
      <c r="A420" s="42"/>
      <c r="B420" s="42"/>
      <c r="C420" s="46"/>
      <c r="D420" s="47"/>
      <c r="E420" s="51"/>
    </row>
    <row r="421" spans="1:5">
      <c r="A421" s="42"/>
      <c r="B421" s="42"/>
      <c r="C421" s="46"/>
      <c r="D421" s="47"/>
      <c r="E421" s="51"/>
    </row>
    <row r="422" spans="1:5">
      <c r="A422" s="42"/>
      <c r="B422" s="42"/>
      <c r="C422" s="46"/>
      <c r="D422" s="47"/>
      <c r="E422" s="51"/>
    </row>
    <row r="423" spans="1:5">
      <c r="A423" s="42"/>
      <c r="B423" s="42"/>
      <c r="C423" s="46"/>
      <c r="D423" s="47"/>
      <c r="E423" s="51"/>
    </row>
    <row r="424" spans="1:5">
      <c r="A424" s="42"/>
      <c r="B424" s="42"/>
      <c r="C424" s="46"/>
      <c r="D424" s="47"/>
      <c r="E424" s="51"/>
    </row>
    <row r="425" spans="1:5">
      <c r="A425" s="42"/>
      <c r="B425" s="42"/>
      <c r="C425" s="46"/>
      <c r="D425" s="47"/>
      <c r="E425" s="51"/>
    </row>
    <row r="426" spans="1:5">
      <c r="A426" s="42"/>
      <c r="B426" s="42"/>
      <c r="C426" s="46"/>
      <c r="D426" s="47"/>
      <c r="E426" s="51"/>
    </row>
    <row r="427" spans="1:5">
      <c r="A427" s="42"/>
      <c r="B427" s="42"/>
      <c r="C427" s="46"/>
      <c r="D427" s="47"/>
      <c r="E427" s="51"/>
    </row>
    <row r="428" spans="1:5">
      <c r="A428" s="42"/>
      <c r="B428" s="42"/>
      <c r="C428" s="46"/>
      <c r="D428" s="47"/>
      <c r="E428" s="51"/>
    </row>
    <row r="429" spans="1:5">
      <c r="A429" s="42"/>
      <c r="B429" s="42"/>
      <c r="C429" s="46"/>
      <c r="D429" s="47"/>
      <c r="E429" s="51"/>
    </row>
    <row r="430" spans="1:5">
      <c r="A430" s="42"/>
      <c r="B430" s="42"/>
      <c r="C430" s="46"/>
      <c r="D430" s="47"/>
      <c r="E430" s="51"/>
    </row>
    <row r="431" spans="1:5">
      <c r="A431" s="42"/>
      <c r="B431" s="42"/>
      <c r="C431" s="46"/>
      <c r="D431" s="47"/>
      <c r="E431" s="51"/>
    </row>
    <row r="432" spans="1:5">
      <c r="A432" s="42"/>
      <c r="B432" s="42"/>
      <c r="C432" s="46"/>
      <c r="D432" s="47"/>
      <c r="E432" s="51"/>
    </row>
    <row r="433" spans="1:5">
      <c r="A433" s="42"/>
      <c r="B433" s="42"/>
      <c r="C433" s="46"/>
      <c r="D433" s="47"/>
      <c r="E433" s="51"/>
    </row>
    <row r="434" spans="1:5">
      <c r="A434" s="42"/>
      <c r="B434" s="42"/>
      <c r="C434" s="46"/>
      <c r="D434" s="47"/>
      <c r="E434" s="51"/>
    </row>
    <row r="435" spans="1:5">
      <c r="A435" s="42"/>
      <c r="B435" s="42"/>
      <c r="C435" s="46"/>
      <c r="D435" s="47"/>
      <c r="E435" s="51"/>
    </row>
    <row r="436" spans="1:5">
      <c r="A436" s="42"/>
      <c r="B436" s="42"/>
      <c r="C436" s="46"/>
      <c r="D436" s="47"/>
      <c r="E436" s="51"/>
    </row>
    <row r="437" spans="1:5">
      <c r="A437" s="42"/>
      <c r="B437" s="42"/>
      <c r="C437" s="46"/>
      <c r="D437" s="47"/>
      <c r="E437" s="51"/>
    </row>
    <row r="438" spans="1:5">
      <c r="A438" s="42"/>
      <c r="B438" s="42"/>
      <c r="C438" s="46"/>
      <c r="D438" s="47"/>
      <c r="E438" s="51"/>
    </row>
    <row r="439" spans="1:5">
      <c r="A439" s="42"/>
      <c r="B439" s="42"/>
      <c r="C439" s="46"/>
      <c r="D439" s="47"/>
      <c r="E439" s="51"/>
    </row>
    <row r="440" spans="1:5">
      <c r="A440" s="42"/>
      <c r="B440" s="42"/>
      <c r="C440" s="46"/>
      <c r="D440" s="47"/>
      <c r="E440" s="51"/>
    </row>
    <row r="441" spans="1:5">
      <c r="A441" s="42"/>
      <c r="B441" s="42"/>
      <c r="C441" s="46"/>
      <c r="D441" s="47"/>
      <c r="E441" s="51"/>
    </row>
    <row r="442" spans="1:5">
      <c r="A442" s="42"/>
      <c r="B442" s="42"/>
      <c r="C442" s="46"/>
      <c r="D442" s="47"/>
      <c r="E442" s="51"/>
    </row>
    <row r="443" spans="1:5">
      <c r="A443" s="42"/>
      <c r="B443" s="42"/>
      <c r="C443" s="46"/>
      <c r="D443" s="47"/>
      <c r="E443" s="51"/>
    </row>
    <row r="444" spans="1:5">
      <c r="A444" s="42"/>
      <c r="B444" s="42"/>
      <c r="C444" s="46"/>
      <c r="D444" s="47"/>
      <c r="E444" s="51"/>
    </row>
    <row r="445" spans="1:5">
      <c r="A445" s="42"/>
      <c r="B445" s="42"/>
      <c r="C445" s="46"/>
      <c r="D445" s="47"/>
      <c r="E445" s="51"/>
    </row>
    <row r="446" spans="1:5">
      <c r="A446" s="42"/>
      <c r="B446" s="42"/>
      <c r="C446" s="46"/>
      <c r="D446" s="47"/>
      <c r="E446" s="51"/>
    </row>
    <row r="447" spans="1:5">
      <c r="A447" s="42"/>
      <c r="B447" s="42"/>
      <c r="C447" s="46"/>
      <c r="D447" s="47"/>
      <c r="E447" s="51"/>
    </row>
    <row r="448" spans="1:5">
      <c r="A448" s="42"/>
      <c r="B448" s="42"/>
      <c r="C448" s="46"/>
      <c r="D448" s="47"/>
      <c r="E448" s="51"/>
    </row>
    <row r="449" spans="1:5">
      <c r="A449" s="42"/>
      <c r="B449" s="42"/>
      <c r="C449" s="46"/>
      <c r="D449" s="47"/>
      <c r="E449" s="51"/>
    </row>
    <row r="450" spans="1:5">
      <c r="A450" s="42"/>
      <c r="B450" s="42"/>
      <c r="C450" s="46"/>
      <c r="D450" s="47"/>
      <c r="E450" s="51"/>
    </row>
    <row r="451" spans="1:5">
      <c r="A451" s="42"/>
      <c r="B451" s="42"/>
      <c r="C451" s="46"/>
      <c r="D451" s="47"/>
      <c r="E451" s="51"/>
    </row>
    <row r="452" spans="1:5">
      <c r="A452" s="42"/>
      <c r="B452" s="42"/>
      <c r="C452" s="46"/>
      <c r="D452" s="47"/>
      <c r="E452" s="51"/>
    </row>
    <row r="453" spans="1:5">
      <c r="A453" s="42"/>
      <c r="B453" s="42"/>
      <c r="C453" s="46"/>
      <c r="D453" s="47"/>
      <c r="E453" s="51"/>
    </row>
    <row r="454" spans="1:5">
      <c r="A454" s="42"/>
      <c r="B454" s="42"/>
      <c r="C454" s="46"/>
      <c r="D454" s="47"/>
      <c r="E454" s="51"/>
    </row>
    <row r="455" spans="1:5">
      <c r="A455" s="42"/>
      <c r="B455" s="42"/>
      <c r="C455" s="46"/>
      <c r="D455" s="47"/>
      <c r="E455" s="51"/>
    </row>
    <row r="456" spans="1:5">
      <c r="A456" s="42"/>
      <c r="B456" s="42"/>
      <c r="C456" s="46"/>
      <c r="D456" s="47"/>
      <c r="E456" s="51"/>
    </row>
    <row r="457" spans="1:5">
      <c r="A457" s="42"/>
      <c r="B457" s="42"/>
      <c r="C457" s="46"/>
      <c r="D457" s="47"/>
      <c r="E457" s="51"/>
    </row>
    <row r="458" spans="1:5">
      <c r="A458" s="42"/>
      <c r="B458" s="42"/>
      <c r="C458" s="46"/>
      <c r="D458" s="47"/>
      <c r="E458" s="51"/>
    </row>
    <row r="459" spans="1:5">
      <c r="A459" s="42"/>
      <c r="B459" s="42"/>
      <c r="C459" s="46"/>
      <c r="D459" s="47"/>
      <c r="E459" s="51"/>
    </row>
    <row r="460" spans="1:5">
      <c r="A460" s="42"/>
      <c r="B460" s="42"/>
      <c r="C460" s="46"/>
      <c r="D460" s="47"/>
      <c r="E460" s="51"/>
    </row>
    <row r="461" spans="1:5">
      <c r="A461" s="42"/>
      <c r="B461" s="42"/>
      <c r="C461" s="46"/>
      <c r="D461" s="47"/>
      <c r="E461" s="51"/>
    </row>
    <row r="462" spans="1:5">
      <c r="A462" s="42"/>
      <c r="B462" s="42"/>
      <c r="C462" s="46"/>
      <c r="D462" s="47"/>
      <c r="E462" s="51"/>
    </row>
    <row r="463" spans="1:5">
      <c r="A463" s="42"/>
      <c r="B463" s="42"/>
      <c r="C463" s="46"/>
      <c r="D463" s="47"/>
      <c r="E463" s="51"/>
    </row>
    <row r="464" spans="1:5">
      <c r="A464" s="42"/>
      <c r="B464" s="42"/>
      <c r="C464" s="46"/>
      <c r="D464" s="47"/>
      <c r="E464" s="51"/>
    </row>
    <row r="465" spans="1:5">
      <c r="A465" s="42"/>
      <c r="B465" s="42"/>
      <c r="C465" s="46"/>
      <c r="D465" s="47"/>
      <c r="E465" s="51"/>
    </row>
    <row r="466" spans="1:5">
      <c r="A466" s="42"/>
      <c r="B466" s="42"/>
      <c r="C466" s="46"/>
      <c r="D466" s="47"/>
      <c r="E466" s="51"/>
    </row>
    <row r="467" spans="1:5">
      <c r="A467" s="42"/>
      <c r="B467" s="42"/>
      <c r="C467" s="46"/>
      <c r="D467" s="47"/>
      <c r="E467" s="51"/>
    </row>
    <row r="468" spans="1:5">
      <c r="A468" s="42"/>
      <c r="B468" s="42"/>
      <c r="C468" s="46"/>
      <c r="D468" s="47"/>
      <c r="E468" s="51"/>
    </row>
    <row r="469" spans="1:5">
      <c r="A469" s="42"/>
      <c r="B469" s="42"/>
      <c r="C469" s="46"/>
      <c r="D469" s="47"/>
      <c r="E469" s="51"/>
    </row>
    <row r="470" spans="1:5">
      <c r="A470" s="42"/>
      <c r="B470" s="42"/>
      <c r="C470" s="46"/>
      <c r="D470" s="47"/>
      <c r="E470" s="51"/>
    </row>
    <row r="471" spans="1:5">
      <c r="A471" s="42"/>
      <c r="B471" s="42"/>
      <c r="C471" s="46"/>
      <c r="D471" s="47"/>
      <c r="E471" s="51"/>
    </row>
    <row r="472" spans="1:5">
      <c r="A472" s="42"/>
      <c r="B472" s="42"/>
      <c r="C472" s="46"/>
      <c r="D472" s="47"/>
      <c r="E472" s="51"/>
    </row>
    <row r="473" spans="1:5">
      <c r="A473" s="42"/>
      <c r="B473" s="42"/>
      <c r="C473" s="46"/>
      <c r="D473" s="47"/>
      <c r="E473" s="51"/>
    </row>
    <row r="474" spans="1:5">
      <c r="A474" s="42"/>
      <c r="B474" s="42"/>
      <c r="C474" s="46"/>
      <c r="D474" s="47"/>
      <c r="E474" s="51"/>
    </row>
    <row r="475" spans="1:5">
      <c r="A475" s="42"/>
      <c r="B475" s="42"/>
      <c r="C475" s="46"/>
      <c r="D475" s="47"/>
      <c r="E475" s="51"/>
    </row>
    <row r="476" spans="1:5">
      <c r="A476" s="42"/>
      <c r="B476" s="42"/>
      <c r="C476" s="46"/>
      <c r="D476" s="47"/>
      <c r="E476" s="51"/>
    </row>
    <row r="477" spans="1:5">
      <c r="A477" s="42"/>
      <c r="B477" s="42"/>
      <c r="C477" s="46"/>
      <c r="D477" s="47"/>
      <c r="E477" s="51"/>
    </row>
    <row r="478" spans="1:5">
      <c r="A478" s="42"/>
      <c r="B478" s="42"/>
      <c r="C478" s="46"/>
      <c r="D478" s="47"/>
      <c r="E478" s="51"/>
    </row>
    <row r="479" spans="1:5">
      <c r="A479" s="42"/>
      <c r="B479" s="42"/>
      <c r="C479" s="46"/>
      <c r="D479" s="47"/>
      <c r="E479" s="51"/>
    </row>
    <row r="480" spans="1:5">
      <c r="A480" s="42"/>
      <c r="B480" s="42"/>
      <c r="C480" s="46"/>
      <c r="D480" s="47"/>
      <c r="E480" s="51"/>
    </row>
    <row r="481" spans="1:5">
      <c r="A481" s="42"/>
      <c r="B481" s="42"/>
      <c r="C481" s="46"/>
      <c r="D481" s="47"/>
      <c r="E481" s="51"/>
    </row>
    <row r="482" spans="1:5">
      <c r="A482" s="42"/>
      <c r="B482" s="42"/>
      <c r="C482" s="46"/>
      <c r="D482" s="47"/>
      <c r="E482" s="51"/>
    </row>
    <row r="483" spans="1:5">
      <c r="A483" s="42"/>
      <c r="B483" s="42"/>
      <c r="C483" s="46"/>
      <c r="D483" s="47"/>
      <c r="E483" s="51"/>
    </row>
    <row r="484" spans="1:5">
      <c r="A484" s="42"/>
      <c r="B484" s="42"/>
      <c r="C484" s="46"/>
      <c r="D484" s="47"/>
      <c r="E484" s="51"/>
    </row>
    <row r="485" spans="1:5">
      <c r="A485" s="42"/>
      <c r="B485" s="42"/>
      <c r="C485" s="46"/>
      <c r="D485" s="47"/>
      <c r="E485" s="51"/>
    </row>
    <row r="486" spans="1:5">
      <c r="A486" s="42"/>
      <c r="B486" s="42"/>
      <c r="C486" s="46"/>
      <c r="D486" s="47"/>
      <c r="E486" s="51"/>
    </row>
    <row r="487" spans="1:5">
      <c r="A487" s="42"/>
      <c r="B487" s="42"/>
      <c r="C487" s="46"/>
      <c r="D487" s="47"/>
      <c r="E487" s="51"/>
    </row>
    <row r="488" spans="1:5">
      <c r="A488" s="42"/>
      <c r="B488" s="42"/>
      <c r="C488" s="46"/>
      <c r="D488" s="47"/>
      <c r="E488" s="51"/>
    </row>
    <row r="489" spans="1:5">
      <c r="A489" s="42"/>
      <c r="B489" s="42"/>
      <c r="C489" s="46"/>
      <c r="D489" s="47"/>
      <c r="E489" s="51"/>
    </row>
    <row r="490" spans="1:5">
      <c r="A490" s="42"/>
      <c r="B490" s="42"/>
      <c r="C490" s="46"/>
      <c r="D490" s="47"/>
      <c r="E490" s="51"/>
    </row>
    <row r="491" spans="1:5">
      <c r="A491" s="42"/>
      <c r="B491" s="42"/>
      <c r="C491" s="46"/>
      <c r="D491" s="47"/>
      <c r="E491" s="51"/>
    </row>
    <row r="492" spans="1:5">
      <c r="A492" s="42"/>
      <c r="B492" s="42"/>
      <c r="C492" s="46"/>
      <c r="D492" s="47"/>
      <c r="E492" s="51"/>
    </row>
    <row r="493" spans="1:5">
      <c r="A493" s="42"/>
      <c r="B493" s="42"/>
      <c r="C493" s="46"/>
      <c r="D493" s="47"/>
      <c r="E493" s="51"/>
    </row>
    <row r="494" spans="1:5">
      <c r="A494" s="42"/>
      <c r="B494" s="42"/>
      <c r="C494" s="46"/>
      <c r="D494" s="47"/>
      <c r="E494" s="51"/>
    </row>
    <row r="495" spans="1:5">
      <c r="A495" s="42"/>
      <c r="B495" s="42"/>
      <c r="C495" s="46"/>
      <c r="D495" s="47"/>
      <c r="E495" s="51"/>
    </row>
    <row r="496" spans="1:5">
      <c r="A496" s="42"/>
      <c r="B496" s="42"/>
      <c r="C496" s="46"/>
      <c r="D496" s="47"/>
      <c r="E496" s="51"/>
    </row>
    <row r="497" spans="1:5">
      <c r="A497" s="42"/>
      <c r="B497" s="42"/>
      <c r="C497" s="46"/>
      <c r="D497" s="47"/>
      <c r="E497" s="51"/>
    </row>
    <row r="498" spans="1:5">
      <c r="A498" s="42"/>
      <c r="B498" s="42"/>
      <c r="C498" s="46"/>
      <c r="D498" s="47"/>
      <c r="E498" s="51"/>
    </row>
    <row r="499" spans="1:5">
      <c r="A499" s="42"/>
      <c r="B499" s="42"/>
      <c r="C499" s="46"/>
      <c r="D499" s="47"/>
      <c r="E499" s="51"/>
    </row>
    <row r="500" spans="1:5">
      <c r="A500" s="42"/>
      <c r="B500" s="42"/>
      <c r="C500" s="46"/>
      <c r="D500" s="47"/>
      <c r="E500" s="51"/>
    </row>
  </sheetData>
  <sheetProtection password="EF32" sheet="1" objects="1" scenarios="1"/>
  <mergeCells count="2">
    <mergeCell ref="A1:E1"/>
    <mergeCell ref="A2:E2"/>
  </mergeCells>
  <phoneticPr fontId="6" type="noConversion"/>
  <conditionalFormatting sqref="C18:C500 C6:C7">
    <cfRule type="expression" dxfId="5" priority="2" stopIfTrue="1">
      <formula>AND(ISTEXT(#REF!)=TRUE,C6&lt;&gt;"318",#REF!="equipment (0730)",ISTEXT(C6)=TRUE)</formula>
    </cfRule>
  </conditionalFormatting>
  <conditionalFormatting sqref="C9:C17">
    <cfRule type="expression" dxfId="4" priority="4" stopIfTrue="1">
      <formula>AND(ISTEXT(#REF!)=TRUE,C9&lt;&gt;"318",#REF!="equipment (0730)",ISTEXT(C9)=TRUE)</formula>
    </cfRule>
  </conditionalFormatting>
  <dataValidations count="1">
    <dataValidation type="list" allowBlank="1" showInputMessage="1" showErrorMessage="1" sqref="A6:A65536">
      <formula1>objects</formula1>
    </dataValidation>
  </dataValidations>
  <pageMargins left="0.25" right="0.25" top="0.75" bottom="0.75" header="0.5" footer="0.5"/>
  <pageSetup scale="75" orientation="portrait" r:id="rId1"/>
  <headerFooter alignWithMargins="0">
    <oddFooter>&amp;LPage &amp;P of &amp;N&amp;C&amp;D &amp;T&amp;R&amp;A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50"/>
  <sheetViews>
    <sheetView zoomScaleNormal="100" workbookViewId="0">
      <pane ySplit="5" topLeftCell="A6" activePane="bottomLeft" state="frozen"/>
      <selection pane="bottomLeft" activeCell="E25" sqref="E25"/>
    </sheetView>
  </sheetViews>
  <sheetFormatPr defaultColWidth="0" defaultRowHeight="13.8" zeroHeight="1"/>
  <cols>
    <col min="1" max="1" width="34.109375" style="66" customWidth="1"/>
    <col min="2" max="2" width="9.109375" style="66" hidden="1" customWidth="1"/>
    <col min="3" max="3" width="9.109375" style="67" customWidth="1"/>
    <col min="4" max="4" width="12.5546875" style="58" customWidth="1"/>
    <col min="5" max="5" width="13.6640625" style="66" bestFit="1" customWidth="1"/>
    <col min="6" max="6" width="30" style="66" customWidth="1"/>
    <col min="7" max="7" width="15.33203125" style="68" customWidth="1"/>
    <col min="8" max="9" width="17" style="54" hidden="1" customWidth="1"/>
    <col min="10" max="16384" width="0" style="54" hidden="1"/>
  </cols>
  <sheetData>
    <row r="1" spans="1:7" ht="18">
      <c r="A1" s="240" t="str">
        <f>'3-Budget Detail'!A1:E1</f>
        <v>COLORADO GRADUATION PATHWAYS</v>
      </c>
      <c r="B1" s="240"/>
      <c r="C1" s="240"/>
      <c r="D1" s="240"/>
      <c r="E1" s="240"/>
      <c r="F1" s="240"/>
      <c r="G1" s="240"/>
    </row>
    <row r="2" spans="1:7" ht="18">
      <c r="A2" s="240" t="s">
        <v>25</v>
      </c>
      <c r="B2" s="240"/>
      <c r="C2" s="240"/>
      <c r="D2" s="240"/>
      <c r="E2" s="240"/>
      <c r="F2" s="240"/>
      <c r="G2" s="240"/>
    </row>
    <row r="3" spans="1:7">
      <c r="A3" s="148" t="str">
        <f>'2-Cover Page'!C5</f>
        <v xml:space="preserve"> </v>
      </c>
      <c r="B3" s="149"/>
      <c r="C3" s="150"/>
      <c r="D3" s="151"/>
      <c r="E3" s="152"/>
      <c r="F3" s="152"/>
      <c r="G3" s="153">
        <f>'2-Cover Page'!C11</f>
        <v>0</v>
      </c>
    </row>
    <row r="4" spans="1:7">
      <c r="A4" s="154">
        <v>1</v>
      </c>
      <c r="B4" s="155">
        <v>2</v>
      </c>
      <c r="C4" s="156">
        <v>2</v>
      </c>
      <c r="D4" s="156">
        <v>3</v>
      </c>
      <c r="E4" s="157">
        <v>4</v>
      </c>
      <c r="F4" s="157">
        <v>5</v>
      </c>
      <c r="G4" s="158">
        <v>6</v>
      </c>
    </row>
    <row r="5" spans="1:7" ht="27.6">
      <c r="A5" s="159" t="s">
        <v>26</v>
      </c>
      <c r="B5" s="160" t="s">
        <v>27</v>
      </c>
      <c r="C5" s="161" t="s">
        <v>28</v>
      </c>
      <c r="D5" s="146" t="s">
        <v>29</v>
      </c>
      <c r="E5" s="162" t="s">
        <v>382</v>
      </c>
      <c r="F5" s="145" t="s">
        <v>30</v>
      </c>
      <c r="G5" s="161" t="s">
        <v>54</v>
      </c>
    </row>
    <row r="6" spans="1:7">
      <c r="A6" s="55"/>
      <c r="B6" s="56"/>
      <c r="C6" s="63"/>
      <c r="E6" s="59"/>
      <c r="F6" s="60"/>
      <c r="G6" s="61"/>
    </row>
    <row r="7" spans="1:7">
      <c r="A7" s="55"/>
      <c r="B7" s="56"/>
      <c r="C7" s="57"/>
      <c r="E7" s="59"/>
      <c r="F7" s="62"/>
      <c r="G7" s="63"/>
    </row>
    <row r="8" spans="1:7">
      <c r="A8" s="55"/>
      <c r="B8" s="56"/>
      <c r="C8" s="57"/>
      <c r="E8" s="59"/>
      <c r="F8" s="62"/>
      <c r="G8" s="63"/>
    </row>
    <row r="9" spans="1:7">
      <c r="A9" s="55"/>
      <c r="B9" s="56"/>
      <c r="C9" s="57"/>
      <c r="E9" s="59"/>
      <c r="F9" s="62"/>
      <c r="G9" s="63"/>
    </row>
    <row r="10" spans="1:7">
      <c r="A10" s="55"/>
      <c r="B10" s="56"/>
      <c r="C10" s="57"/>
      <c r="E10" s="59"/>
      <c r="F10" s="62"/>
      <c r="G10" s="63"/>
    </row>
    <row r="11" spans="1:7">
      <c r="A11" s="55"/>
      <c r="B11" s="56"/>
      <c r="C11" s="57"/>
      <c r="E11" s="59"/>
      <c r="F11" s="62"/>
      <c r="G11" s="63"/>
    </row>
    <row r="12" spans="1:7">
      <c r="A12" s="55"/>
      <c r="B12" s="56"/>
      <c r="C12" s="57"/>
      <c r="E12" s="59"/>
      <c r="F12" s="62"/>
      <c r="G12" s="63"/>
    </row>
    <row r="13" spans="1:7">
      <c r="A13" s="55"/>
      <c r="B13" s="56"/>
      <c r="C13" s="57"/>
      <c r="E13" s="59"/>
      <c r="F13" s="62"/>
      <c r="G13" s="63"/>
    </row>
    <row r="14" spans="1:7">
      <c r="A14" s="55"/>
      <c r="B14" s="56"/>
      <c r="C14" s="57"/>
      <c r="E14" s="59"/>
      <c r="F14" s="62"/>
      <c r="G14" s="63"/>
    </row>
    <row r="15" spans="1:7">
      <c r="A15" s="55"/>
      <c r="B15" s="56"/>
      <c r="C15" s="57"/>
      <c r="E15" s="59"/>
      <c r="F15" s="62"/>
      <c r="G15" s="63"/>
    </row>
    <row r="16" spans="1:7">
      <c r="A16" s="55"/>
      <c r="B16" s="56"/>
      <c r="C16" s="57"/>
      <c r="E16" s="59"/>
      <c r="F16" s="62"/>
      <c r="G16" s="63"/>
    </row>
    <row r="17" spans="1:7">
      <c r="A17" s="55"/>
      <c r="B17" s="56"/>
      <c r="C17" s="57"/>
      <c r="E17" s="59"/>
      <c r="F17" s="62"/>
      <c r="G17" s="63"/>
    </row>
    <row r="18" spans="1:7">
      <c r="A18" s="55"/>
      <c r="B18" s="56"/>
      <c r="C18" s="57"/>
      <c r="E18" s="59"/>
      <c r="F18" s="62"/>
      <c r="G18" s="63"/>
    </row>
    <row r="19" spans="1:7">
      <c r="A19" s="55"/>
      <c r="B19" s="56"/>
      <c r="C19" s="57"/>
      <c r="E19" s="59"/>
      <c r="F19" s="62"/>
      <c r="G19" s="63"/>
    </row>
    <row r="20" spans="1:7">
      <c r="A20" s="55"/>
      <c r="B20" s="56"/>
      <c r="C20" s="57"/>
      <c r="E20" s="59"/>
      <c r="F20" s="62"/>
      <c r="G20" s="63"/>
    </row>
    <row r="21" spans="1:7">
      <c r="A21" s="55"/>
      <c r="B21" s="56"/>
      <c r="C21" s="57"/>
      <c r="E21" s="59"/>
      <c r="F21" s="62"/>
      <c r="G21" s="63"/>
    </row>
    <row r="22" spans="1:7">
      <c r="A22" s="55"/>
      <c r="B22" s="56"/>
      <c r="C22" s="57"/>
      <c r="E22" s="59"/>
      <c r="F22" s="62"/>
      <c r="G22" s="63"/>
    </row>
    <row r="23" spans="1:7">
      <c r="A23" s="55"/>
      <c r="B23" s="56"/>
      <c r="C23" s="57"/>
      <c r="E23" s="59"/>
      <c r="F23" s="62"/>
      <c r="G23" s="63"/>
    </row>
    <row r="24" spans="1:7">
      <c r="A24" s="55"/>
      <c r="B24" s="56"/>
      <c r="C24" s="57"/>
      <c r="E24" s="59"/>
      <c r="F24" s="62"/>
      <c r="G24" s="63"/>
    </row>
    <row r="25" spans="1:7">
      <c r="A25" s="55"/>
      <c r="B25" s="56"/>
      <c r="C25" s="57"/>
      <c r="E25" s="59"/>
      <c r="F25" s="62"/>
      <c r="G25" s="63"/>
    </row>
    <row r="26" spans="1:7">
      <c r="A26" s="55"/>
      <c r="B26" s="56"/>
      <c r="C26" s="57"/>
      <c r="E26" s="59"/>
      <c r="F26" s="62"/>
      <c r="G26" s="63"/>
    </row>
    <row r="27" spans="1:7">
      <c r="A27" s="55"/>
      <c r="B27" s="56"/>
      <c r="C27" s="57"/>
      <c r="E27" s="59"/>
      <c r="F27" s="62"/>
      <c r="G27" s="63"/>
    </row>
    <row r="28" spans="1:7">
      <c r="A28" s="55"/>
      <c r="B28" s="56"/>
      <c r="C28" s="57"/>
      <c r="E28" s="59"/>
      <c r="F28" s="62"/>
      <c r="G28" s="63"/>
    </row>
    <row r="29" spans="1:7">
      <c r="A29" s="55"/>
      <c r="B29" s="56"/>
      <c r="C29" s="57"/>
      <c r="E29" s="59"/>
      <c r="F29" s="62"/>
      <c r="G29" s="63"/>
    </row>
    <row r="30" spans="1:7">
      <c r="A30" s="55"/>
      <c r="B30" s="56"/>
      <c r="C30" s="57"/>
      <c r="E30" s="59"/>
      <c r="F30" s="62"/>
      <c r="G30" s="63"/>
    </row>
    <row r="31" spans="1:7">
      <c r="A31" s="55"/>
      <c r="B31" s="56"/>
      <c r="C31" s="57"/>
      <c r="E31" s="59"/>
      <c r="F31" s="62"/>
      <c r="G31" s="63"/>
    </row>
    <row r="32" spans="1:7">
      <c r="A32" s="55"/>
      <c r="B32" s="56"/>
      <c r="C32" s="57"/>
      <c r="E32" s="59"/>
      <c r="F32" s="62"/>
      <c r="G32" s="63"/>
    </row>
    <row r="33" spans="1:7">
      <c r="A33" s="55"/>
      <c r="B33" s="56"/>
      <c r="C33" s="57"/>
      <c r="E33" s="59"/>
      <c r="F33" s="62"/>
      <c r="G33" s="63"/>
    </row>
    <row r="34" spans="1:7">
      <c r="A34" s="55"/>
      <c r="B34" s="56"/>
      <c r="C34" s="57"/>
      <c r="E34" s="59"/>
      <c r="F34" s="62"/>
      <c r="G34" s="63"/>
    </row>
    <row r="35" spans="1:7">
      <c r="A35" s="55"/>
      <c r="B35" s="56"/>
      <c r="C35" s="57"/>
      <c r="E35" s="59"/>
      <c r="F35" s="62"/>
      <c r="G35" s="63"/>
    </row>
    <row r="36" spans="1:7">
      <c r="A36" s="55"/>
      <c r="B36" s="56"/>
      <c r="C36" s="57"/>
      <c r="E36" s="59"/>
      <c r="F36" s="62"/>
      <c r="G36" s="63"/>
    </row>
    <row r="37" spans="1:7">
      <c r="A37" s="55"/>
      <c r="B37" s="56"/>
      <c r="C37" s="57"/>
      <c r="E37" s="59"/>
      <c r="F37" s="62"/>
      <c r="G37" s="63"/>
    </row>
    <row r="38" spans="1:7">
      <c r="A38" s="55"/>
      <c r="B38" s="56"/>
      <c r="C38" s="57"/>
      <c r="E38" s="59"/>
      <c r="F38" s="62"/>
      <c r="G38" s="63"/>
    </row>
    <row r="39" spans="1:7">
      <c r="A39" s="55"/>
      <c r="B39" s="56"/>
      <c r="C39" s="57"/>
      <c r="E39" s="59"/>
      <c r="F39" s="62"/>
      <c r="G39" s="63"/>
    </row>
    <row r="40" spans="1:7">
      <c r="A40" s="55"/>
      <c r="B40" s="56"/>
      <c r="C40" s="57"/>
      <c r="E40" s="59"/>
      <c r="F40" s="62"/>
      <c r="G40" s="63"/>
    </row>
    <row r="41" spans="1:7">
      <c r="A41" s="55"/>
      <c r="B41" s="56"/>
      <c r="C41" s="57"/>
      <c r="E41" s="59"/>
      <c r="F41" s="62"/>
      <c r="G41" s="63"/>
    </row>
    <row r="42" spans="1:7">
      <c r="A42" s="55"/>
      <c r="B42" s="56"/>
      <c r="C42" s="57"/>
      <c r="E42" s="59"/>
      <c r="F42" s="62"/>
      <c r="G42" s="63"/>
    </row>
    <row r="43" spans="1:7">
      <c r="A43" s="55"/>
      <c r="B43" s="56"/>
      <c r="C43" s="57"/>
      <c r="E43" s="59"/>
      <c r="F43" s="62"/>
      <c r="G43" s="63"/>
    </row>
    <row r="44" spans="1:7">
      <c r="A44" s="55"/>
      <c r="B44" s="56"/>
      <c r="C44" s="57"/>
      <c r="E44" s="59"/>
      <c r="F44" s="62"/>
      <c r="G44" s="63"/>
    </row>
    <row r="45" spans="1:7">
      <c r="A45" s="55"/>
      <c r="B45" s="56"/>
      <c r="C45" s="57"/>
      <c r="E45" s="59"/>
      <c r="F45" s="62"/>
      <c r="G45" s="63"/>
    </row>
    <row r="46" spans="1:7">
      <c r="A46" s="55"/>
      <c r="B46" s="56"/>
      <c r="C46" s="57"/>
      <c r="E46" s="59"/>
      <c r="F46" s="62"/>
      <c r="G46" s="63"/>
    </row>
    <row r="47" spans="1:7">
      <c r="A47" s="55"/>
      <c r="B47" s="56"/>
      <c r="C47" s="57"/>
      <c r="E47" s="59"/>
      <c r="F47" s="62"/>
      <c r="G47" s="63"/>
    </row>
    <row r="48" spans="1:7">
      <c r="A48" s="55"/>
      <c r="B48" s="56"/>
      <c r="C48" s="57"/>
      <c r="E48" s="59"/>
      <c r="F48" s="62"/>
      <c r="G48" s="63"/>
    </row>
    <row r="49" spans="1:7">
      <c r="A49" s="55"/>
      <c r="B49" s="56"/>
      <c r="C49" s="57"/>
      <c r="E49" s="59"/>
      <c r="F49" s="62"/>
      <c r="G49" s="63"/>
    </row>
    <row r="50" spans="1:7">
      <c r="A50" s="55"/>
      <c r="B50" s="56"/>
      <c r="C50" s="57"/>
      <c r="E50" s="59"/>
      <c r="F50" s="62"/>
      <c r="G50" s="63"/>
    </row>
    <row r="51" spans="1:7">
      <c r="A51" s="55"/>
      <c r="B51" s="56"/>
      <c r="C51" s="57"/>
      <c r="E51" s="59"/>
      <c r="F51" s="62"/>
      <c r="G51" s="63"/>
    </row>
    <row r="52" spans="1:7">
      <c r="A52" s="55"/>
      <c r="B52" s="56"/>
      <c r="C52" s="57"/>
      <c r="E52" s="59"/>
      <c r="F52" s="62"/>
      <c r="G52" s="63"/>
    </row>
    <row r="53" spans="1:7">
      <c r="A53" s="55"/>
      <c r="B53" s="56"/>
      <c r="C53" s="57"/>
      <c r="E53" s="59"/>
      <c r="F53" s="62"/>
      <c r="G53" s="63"/>
    </row>
    <row r="54" spans="1:7">
      <c r="A54" s="55"/>
      <c r="B54" s="56"/>
      <c r="C54" s="57"/>
      <c r="E54" s="59"/>
      <c r="F54" s="62"/>
      <c r="G54" s="63"/>
    </row>
    <row r="55" spans="1:7">
      <c r="A55" s="55"/>
      <c r="B55" s="56"/>
      <c r="C55" s="57"/>
      <c r="E55" s="59"/>
      <c r="F55" s="62"/>
      <c r="G55" s="63"/>
    </row>
    <row r="56" spans="1:7">
      <c r="A56" s="55"/>
      <c r="B56" s="56"/>
      <c r="C56" s="57"/>
      <c r="E56" s="59"/>
      <c r="F56" s="62"/>
      <c r="G56" s="63"/>
    </row>
    <row r="57" spans="1:7">
      <c r="A57" s="55"/>
      <c r="B57" s="56"/>
      <c r="C57" s="57"/>
      <c r="E57" s="59"/>
      <c r="F57" s="62"/>
      <c r="G57" s="63"/>
    </row>
    <row r="58" spans="1:7">
      <c r="A58" s="55"/>
      <c r="B58" s="56"/>
      <c r="C58" s="57"/>
      <c r="E58" s="59"/>
      <c r="F58" s="62"/>
      <c r="G58" s="63"/>
    </row>
    <row r="59" spans="1:7">
      <c r="A59" s="55"/>
      <c r="B59" s="56"/>
      <c r="C59" s="57"/>
      <c r="E59" s="59"/>
      <c r="F59" s="62"/>
      <c r="G59" s="63"/>
    </row>
    <row r="60" spans="1:7">
      <c r="A60" s="55"/>
      <c r="B60" s="56"/>
      <c r="C60" s="57"/>
      <c r="E60" s="59"/>
      <c r="F60" s="62"/>
      <c r="G60" s="63"/>
    </row>
    <row r="61" spans="1:7">
      <c r="A61" s="55"/>
      <c r="B61" s="56"/>
      <c r="C61" s="57"/>
      <c r="E61" s="59"/>
      <c r="F61" s="62"/>
      <c r="G61" s="63"/>
    </row>
    <row r="62" spans="1:7">
      <c r="A62" s="55"/>
      <c r="B62" s="56"/>
      <c r="C62" s="57"/>
      <c r="E62" s="59"/>
      <c r="F62" s="62"/>
      <c r="G62" s="63"/>
    </row>
    <row r="63" spans="1:7">
      <c r="A63" s="55"/>
      <c r="B63" s="56"/>
      <c r="C63" s="57"/>
      <c r="E63" s="59"/>
      <c r="F63" s="62"/>
      <c r="G63" s="63"/>
    </row>
    <row r="64" spans="1:7">
      <c r="A64" s="55"/>
      <c r="B64" s="56"/>
      <c r="C64" s="57"/>
      <c r="E64" s="59"/>
      <c r="F64" s="62"/>
      <c r="G64" s="63"/>
    </row>
    <row r="65" spans="1:7">
      <c r="A65" s="55"/>
      <c r="B65" s="56"/>
      <c r="C65" s="57"/>
      <c r="E65" s="59"/>
      <c r="F65" s="62"/>
      <c r="G65" s="63"/>
    </row>
    <row r="66" spans="1:7">
      <c r="A66" s="55"/>
      <c r="B66" s="56"/>
      <c r="C66" s="57"/>
      <c r="E66" s="59"/>
      <c r="F66" s="62"/>
      <c r="G66" s="63"/>
    </row>
    <row r="67" spans="1:7">
      <c r="A67" s="55"/>
      <c r="B67" s="56"/>
      <c r="C67" s="57"/>
      <c r="E67" s="59"/>
      <c r="F67" s="62"/>
      <c r="G67" s="63"/>
    </row>
    <row r="68" spans="1:7">
      <c r="A68" s="55"/>
      <c r="B68" s="56"/>
      <c r="C68" s="57"/>
      <c r="E68" s="59"/>
      <c r="F68" s="62"/>
      <c r="G68" s="63"/>
    </row>
    <row r="69" spans="1:7">
      <c r="A69" s="55"/>
      <c r="B69" s="56"/>
      <c r="C69" s="57"/>
      <c r="E69" s="59"/>
      <c r="F69" s="62"/>
      <c r="G69" s="63"/>
    </row>
    <row r="70" spans="1:7">
      <c r="A70" s="55"/>
      <c r="B70" s="56"/>
      <c r="C70" s="57"/>
      <c r="E70" s="59"/>
      <c r="F70" s="62"/>
      <c r="G70" s="63"/>
    </row>
    <row r="71" spans="1:7">
      <c r="A71" s="55"/>
      <c r="B71" s="56"/>
      <c r="C71" s="57"/>
      <c r="E71" s="59"/>
      <c r="F71" s="62"/>
      <c r="G71" s="63"/>
    </row>
    <row r="72" spans="1:7">
      <c r="A72" s="55"/>
      <c r="B72" s="56"/>
      <c r="C72" s="57"/>
      <c r="E72" s="59"/>
      <c r="F72" s="62"/>
      <c r="G72" s="63"/>
    </row>
    <row r="73" spans="1:7">
      <c r="A73" s="55"/>
      <c r="B73" s="56"/>
      <c r="C73" s="57"/>
      <c r="E73" s="59"/>
      <c r="F73" s="62"/>
      <c r="G73" s="63"/>
    </row>
    <row r="74" spans="1:7">
      <c r="A74" s="55"/>
      <c r="B74" s="56"/>
      <c r="C74" s="57"/>
      <c r="E74" s="59"/>
      <c r="F74" s="62"/>
      <c r="G74" s="63"/>
    </row>
    <row r="75" spans="1:7">
      <c r="A75" s="55"/>
      <c r="B75" s="56"/>
      <c r="C75" s="57"/>
      <c r="E75" s="59"/>
      <c r="F75" s="62"/>
      <c r="G75" s="63"/>
    </row>
    <row r="76" spans="1:7">
      <c r="A76" s="55"/>
      <c r="B76" s="56"/>
      <c r="C76" s="57"/>
      <c r="E76" s="59"/>
      <c r="F76" s="62"/>
      <c r="G76" s="63"/>
    </row>
    <row r="77" spans="1:7">
      <c r="A77" s="55"/>
      <c r="B77" s="56"/>
      <c r="C77" s="57"/>
      <c r="E77" s="59"/>
      <c r="F77" s="62"/>
      <c r="G77" s="63"/>
    </row>
    <row r="78" spans="1:7">
      <c r="A78" s="55"/>
      <c r="B78" s="56"/>
      <c r="C78" s="57"/>
      <c r="E78" s="59"/>
      <c r="F78" s="62"/>
      <c r="G78" s="63"/>
    </row>
    <row r="79" spans="1:7">
      <c r="A79" s="55"/>
      <c r="B79" s="56"/>
      <c r="C79" s="57"/>
      <c r="E79" s="59"/>
      <c r="F79" s="62"/>
      <c r="G79" s="63"/>
    </row>
    <row r="80" spans="1:7">
      <c r="A80" s="55"/>
      <c r="B80" s="56"/>
      <c r="C80" s="57"/>
      <c r="E80" s="59"/>
      <c r="F80" s="62"/>
      <c r="G80" s="63"/>
    </row>
    <row r="81" spans="1:7">
      <c r="A81" s="55"/>
      <c r="B81" s="56"/>
      <c r="C81" s="57"/>
      <c r="E81" s="59"/>
      <c r="F81" s="62"/>
      <c r="G81" s="63"/>
    </row>
    <row r="82" spans="1:7">
      <c r="A82" s="55"/>
      <c r="B82" s="56"/>
      <c r="C82" s="57"/>
      <c r="E82" s="59"/>
      <c r="F82" s="62"/>
      <c r="G82" s="63"/>
    </row>
    <row r="83" spans="1:7">
      <c r="A83" s="55"/>
      <c r="B83" s="56"/>
      <c r="C83" s="57"/>
      <c r="E83" s="59"/>
      <c r="F83" s="62"/>
      <c r="G83" s="63"/>
    </row>
    <row r="84" spans="1:7">
      <c r="A84" s="55"/>
      <c r="B84" s="56"/>
      <c r="C84" s="57"/>
      <c r="E84" s="59"/>
      <c r="F84" s="62"/>
      <c r="G84" s="63"/>
    </row>
    <row r="85" spans="1:7">
      <c r="A85" s="55"/>
      <c r="B85" s="56"/>
      <c r="C85" s="57"/>
      <c r="E85" s="59"/>
      <c r="F85" s="62"/>
      <c r="G85" s="63"/>
    </row>
    <row r="86" spans="1:7">
      <c r="A86" s="55"/>
      <c r="B86" s="56"/>
      <c r="C86" s="57"/>
      <c r="E86" s="59"/>
      <c r="F86" s="62"/>
      <c r="G86" s="63"/>
    </row>
    <row r="87" spans="1:7">
      <c r="A87" s="55"/>
      <c r="B87" s="56"/>
      <c r="C87" s="57"/>
      <c r="E87" s="59"/>
      <c r="F87" s="62"/>
      <c r="G87" s="63"/>
    </row>
    <row r="88" spans="1:7">
      <c r="A88" s="55"/>
      <c r="B88" s="56"/>
      <c r="C88" s="57"/>
      <c r="E88" s="59"/>
      <c r="F88" s="62"/>
      <c r="G88" s="63"/>
    </row>
    <row r="89" spans="1:7">
      <c r="A89" s="55"/>
      <c r="B89" s="56"/>
      <c r="C89" s="57"/>
      <c r="E89" s="59"/>
      <c r="F89" s="62"/>
      <c r="G89" s="63"/>
    </row>
    <row r="90" spans="1:7">
      <c r="A90" s="55"/>
      <c r="B90" s="56"/>
      <c r="C90" s="57"/>
      <c r="E90" s="59"/>
      <c r="F90" s="62"/>
      <c r="G90" s="63"/>
    </row>
    <row r="91" spans="1:7">
      <c r="A91" s="55"/>
      <c r="B91" s="56"/>
      <c r="C91" s="57"/>
      <c r="E91" s="59"/>
      <c r="F91" s="62"/>
      <c r="G91" s="63"/>
    </row>
    <row r="92" spans="1:7">
      <c r="A92" s="55"/>
      <c r="B92" s="56"/>
      <c r="C92" s="57"/>
      <c r="E92" s="59"/>
      <c r="F92" s="62"/>
      <c r="G92" s="63"/>
    </row>
    <row r="93" spans="1:7">
      <c r="A93" s="55"/>
      <c r="B93" s="56"/>
      <c r="C93" s="57"/>
      <c r="E93" s="59"/>
      <c r="F93" s="62"/>
      <c r="G93" s="63"/>
    </row>
    <row r="94" spans="1:7">
      <c r="A94" s="55"/>
      <c r="B94" s="56"/>
      <c r="C94" s="57"/>
      <c r="E94" s="59"/>
      <c r="F94" s="62"/>
      <c r="G94" s="63"/>
    </row>
    <row r="95" spans="1:7">
      <c r="A95" s="55"/>
      <c r="B95" s="56"/>
      <c r="C95" s="57"/>
      <c r="E95" s="59"/>
      <c r="F95" s="62"/>
      <c r="G95" s="63"/>
    </row>
    <row r="96" spans="1:7">
      <c r="A96" s="55"/>
      <c r="B96" s="56"/>
      <c r="C96" s="57"/>
      <c r="E96" s="59"/>
      <c r="F96" s="62"/>
      <c r="G96" s="63"/>
    </row>
    <row r="97" spans="1:7">
      <c r="A97" s="55"/>
      <c r="B97" s="56"/>
      <c r="C97" s="57"/>
      <c r="E97" s="59"/>
      <c r="F97" s="62"/>
      <c r="G97" s="63"/>
    </row>
    <row r="98" spans="1:7">
      <c r="A98" s="55"/>
      <c r="B98" s="56"/>
      <c r="C98" s="57"/>
      <c r="E98" s="59"/>
      <c r="F98" s="62"/>
      <c r="G98" s="63"/>
    </row>
    <row r="99" spans="1:7">
      <c r="A99" s="55"/>
      <c r="B99" s="56"/>
      <c r="C99" s="57"/>
      <c r="E99" s="59"/>
      <c r="F99" s="62"/>
      <c r="G99" s="63"/>
    </row>
    <row r="100" spans="1:7" hidden="1">
      <c r="A100" s="55"/>
      <c r="B100" s="56"/>
      <c r="C100" s="57"/>
      <c r="D100" s="64"/>
      <c r="E100" s="65"/>
      <c r="F100" s="65"/>
      <c r="G100" s="63"/>
    </row>
    <row r="101" spans="1:7" hidden="1">
      <c r="A101" s="55"/>
      <c r="B101" s="56"/>
      <c r="C101" s="57"/>
      <c r="D101" s="64"/>
      <c r="E101" s="65"/>
      <c r="F101" s="65"/>
      <c r="G101" s="63"/>
    </row>
    <row r="102" spans="1:7" hidden="1">
      <c r="A102" s="55"/>
      <c r="B102" s="56"/>
      <c r="C102" s="57"/>
      <c r="D102" s="64"/>
      <c r="E102" s="65"/>
      <c r="F102" s="65"/>
      <c r="G102" s="63"/>
    </row>
    <row r="103" spans="1:7" hidden="1">
      <c r="A103" s="55"/>
      <c r="B103" s="56"/>
      <c r="C103" s="57"/>
      <c r="D103" s="64"/>
      <c r="E103" s="65"/>
      <c r="F103" s="65"/>
      <c r="G103" s="63"/>
    </row>
    <row r="104" spans="1:7" hidden="1">
      <c r="A104" s="55"/>
      <c r="B104" s="56"/>
      <c r="C104" s="57"/>
      <c r="D104" s="64"/>
      <c r="E104" s="65"/>
      <c r="F104" s="65"/>
      <c r="G104" s="63"/>
    </row>
    <row r="105" spans="1:7" hidden="1">
      <c r="A105" s="55"/>
      <c r="B105" s="56"/>
      <c r="C105" s="57"/>
      <c r="D105" s="64"/>
      <c r="E105" s="65"/>
      <c r="F105" s="65"/>
      <c r="G105" s="63"/>
    </row>
    <row r="106" spans="1:7" hidden="1">
      <c r="A106" s="55"/>
      <c r="B106" s="56"/>
      <c r="C106" s="57"/>
      <c r="D106" s="64"/>
      <c r="E106" s="65"/>
      <c r="F106" s="65"/>
      <c r="G106" s="63"/>
    </row>
    <row r="107" spans="1:7" hidden="1">
      <c r="A107" s="55"/>
      <c r="B107" s="56"/>
      <c r="C107" s="57"/>
      <c r="D107" s="64"/>
      <c r="E107" s="65"/>
      <c r="F107" s="65"/>
      <c r="G107" s="63"/>
    </row>
    <row r="108" spans="1:7" hidden="1">
      <c r="A108" s="55"/>
      <c r="B108" s="56"/>
      <c r="C108" s="57"/>
      <c r="D108" s="64"/>
      <c r="E108" s="65"/>
      <c r="F108" s="65"/>
      <c r="G108" s="63"/>
    </row>
    <row r="109" spans="1:7" hidden="1">
      <c r="A109" s="55"/>
      <c r="B109" s="56"/>
      <c r="C109" s="57"/>
      <c r="D109" s="64"/>
      <c r="E109" s="65"/>
      <c r="F109" s="65"/>
      <c r="G109" s="63"/>
    </row>
    <row r="110" spans="1:7" hidden="1">
      <c r="A110" s="55"/>
      <c r="B110" s="56"/>
      <c r="C110" s="57"/>
      <c r="D110" s="64"/>
      <c r="E110" s="65"/>
      <c r="F110" s="65"/>
      <c r="G110" s="63"/>
    </row>
    <row r="111" spans="1:7" hidden="1">
      <c r="A111" s="55"/>
      <c r="B111" s="56"/>
      <c r="C111" s="57"/>
      <c r="D111" s="64"/>
      <c r="E111" s="65"/>
      <c r="F111" s="65"/>
      <c r="G111" s="63"/>
    </row>
    <row r="112" spans="1:7" hidden="1">
      <c r="A112" s="55"/>
      <c r="B112" s="56"/>
      <c r="C112" s="57"/>
      <c r="D112" s="64"/>
      <c r="E112" s="65"/>
      <c r="F112" s="65"/>
      <c r="G112" s="63"/>
    </row>
    <row r="113" spans="1:7" hidden="1">
      <c r="A113" s="55"/>
      <c r="B113" s="56"/>
      <c r="C113" s="57"/>
      <c r="D113" s="64"/>
      <c r="E113" s="65"/>
      <c r="F113" s="65"/>
      <c r="G113" s="63"/>
    </row>
    <row r="114" spans="1:7" hidden="1">
      <c r="A114" s="55"/>
      <c r="B114" s="56"/>
      <c r="C114" s="57"/>
      <c r="D114" s="64"/>
      <c r="E114" s="65"/>
      <c r="F114" s="65"/>
      <c r="G114" s="57"/>
    </row>
    <row r="115" spans="1:7" hidden="1">
      <c r="A115" s="55"/>
      <c r="B115" s="56"/>
      <c r="C115" s="57"/>
      <c r="D115" s="64"/>
      <c r="E115" s="65"/>
      <c r="F115" s="65"/>
      <c r="G115" s="57"/>
    </row>
    <row r="116" spans="1:7" hidden="1">
      <c r="A116" s="55"/>
      <c r="B116" s="56"/>
      <c r="C116" s="57"/>
      <c r="D116" s="64"/>
      <c r="E116" s="65"/>
      <c r="F116" s="65"/>
      <c r="G116" s="57"/>
    </row>
    <row r="117" spans="1:7" hidden="1">
      <c r="A117" s="55"/>
      <c r="B117" s="56"/>
      <c r="C117" s="57"/>
      <c r="D117" s="64"/>
      <c r="E117" s="65"/>
      <c r="F117" s="65"/>
      <c r="G117" s="57"/>
    </row>
    <row r="118" spans="1:7" hidden="1">
      <c r="A118" s="55"/>
      <c r="B118" s="56"/>
      <c r="C118" s="57"/>
      <c r="D118" s="64"/>
      <c r="E118" s="65"/>
      <c r="F118" s="65"/>
      <c r="G118" s="57"/>
    </row>
    <row r="119" spans="1:7" hidden="1">
      <c r="A119" s="55"/>
      <c r="B119" s="56"/>
      <c r="C119" s="57"/>
      <c r="D119" s="64"/>
      <c r="E119" s="65"/>
      <c r="F119" s="65"/>
      <c r="G119" s="57"/>
    </row>
    <row r="120" spans="1:7" hidden="1">
      <c r="A120" s="55"/>
      <c r="B120" s="56"/>
      <c r="C120" s="57"/>
      <c r="D120" s="64"/>
      <c r="E120" s="65"/>
      <c r="F120" s="65"/>
      <c r="G120" s="57"/>
    </row>
    <row r="121" spans="1:7" hidden="1">
      <c r="A121" s="55"/>
      <c r="B121" s="56"/>
      <c r="C121" s="57"/>
      <c r="D121" s="64"/>
      <c r="E121" s="65"/>
      <c r="F121" s="65"/>
      <c r="G121" s="57"/>
    </row>
    <row r="122" spans="1:7" hidden="1">
      <c r="A122" s="55"/>
      <c r="B122" s="56"/>
      <c r="C122" s="57"/>
      <c r="D122" s="64"/>
      <c r="E122" s="65"/>
      <c r="F122" s="65"/>
      <c r="G122" s="57"/>
    </row>
    <row r="123" spans="1:7" hidden="1">
      <c r="A123" s="55"/>
      <c r="B123" s="56"/>
      <c r="C123" s="57"/>
      <c r="D123" s="64"/>
      <c r="E123" s="65"/>
      <c r="F123" s="65"/>
      <c r="G123" s="57"/>
    </row>
    <row r="124" spans="1:7" hidden="1">
      <c r="A124" s="55"/>
      <c r="B124" s="56"/>
      <c r="C124" s="57"/>
      <c r="D124" s="64"/>
      <c r="E124" s="65"/>
      <c r="F124" s="65"/>
      <c r="G124" s="57"/>
    </row>
    <row r="125" spans="1:7" hidden="1">
      <c r="A125" s="55"/>
      <c r="B125" s="56"/>
      <c r="C125" s="57"/>
      <c r="D125" s="64"/>
      <c r="E125" s="65"/>
      <c r="F125" s="65"/>
      <c r="G125" s="57"/>
    </row>
    <row r="126" spans="1:7" hidden="1">
      <c r="A126" s="55"/>
      <c r="B126" s="56"/>
      <c r="C126" s="57"/>
      <c r="D126" s="64"/>
      <c r="E126" s="65"/>
      <c r="F126" s="65"/>
      <c r="G126" s="57"/>
    </row>
    <row r="127" spans="1:7" hidden="1">
      <c r="A127" s="55"/>
      <c r="B127" s="56"/>
      <c r="C127" s="57"/>
      <c r="D127" s="64"/>
      <c r="E127" s="65"/>
      <c r="F127" s="65"/>
      <c r="G127" s="57"/>
    </row>
    <row r="128" spans="1:7" hidden="1">
      <c r="A128" s="55"/>
      <c r="B128" s="56"/>
      <c r="C128" s="57"/>
      <c r="D128" s="64"/>
      <c r="E128" s="65"/>
      <c r="F128" s="65"/>
      <c r="G128" s="57"/>
    </row>
    <row r="129" spans="1:7" hidden="1">
      <c r="A129" s="55"/>
      <c r="B129" s="56"/>
      <c r="C129" s="57"/>
      <c r="D129" s="64"/>
      <c r="E129" s="65"/>
      <c r="F129" s="65"/>
      <c r="G129" s="57"/>
    </row>
    <row r="130" spans="1:7" hidden="1">
      <c r="A130" s="55"/>
      <c r="B130" s="56"/>
      <c r="C130" s="57"/>
      <c r="D130" s="64"/>
      <c r="E130" s="65"/>
      <c r="F130" s="65"/>
      <c r="G130" s="57"/>
    </row>
    <row r="131" spans="1:7" hidden="1">
      <c r="A131" s="55"/>
      <c r="B131" s="56"/>
      <c r="C131" s="57"/>
      <c r="D131" s="64"/>
      <c r="E131" s="65"/>
      <c r="F131" s="65"/>
      <c r="G131" s="57"/>
    </row>
    <row r="132" spans="1:7" hidden="1">
      <c r="A132" s="55"/>
      <c r="B132" s="56"/>
      <c r="C132" s="57"/>
      <c r="D132" s="64"/>
      <c r="E132" s="65"/>
      <c r="F132" s="65"/>
      <c r="G132" s="57"/>
    </row>
    <row r="133" spans="1:7" hidden="1">
      <c r="A133" s="55"/>
      <c r="B133" s="56"/>
      <c r="C133" s="57"/>
      <c r="D133" s="64"/>
      <c r="E133" s="65"/>
      <c r="F133" s="65"/>
      <c r="G133" s="57"/>
    </row>
    <row r="134" spans="1:7" hidden="1">
      <c r="A134" s="55"/>
      <c r="B134" s="56"/>
      <c r="C134" s="57"/>
      <c r="D134" s="64"/>
      <c r="E134" s="65"/>
      <c r="F134" s="65"/>
      <c r="G134" s="57"/>
    </row>
    <row r="135" spans="1:7" hidden="1">
      <c r="A135" s="55"/>
      <c r="B135" s="56"/>
      <c r="C135" s="57"/>
      <c r="D135" s="64"/>
      <c r="E135" s="65"/>
      <c r="F135" s="65"/>
      <c r="G135" s="57"/>
    </row>
    <row r="136" spans="1:7" hidden="1">
      <c r="A136" s="55"/>
      <c r="B136" s="56"/>
      <c r="C136" s="57"/>
      <c r="D136" s="64"/>
      <c r="E136" s="65"/>
      <c r="F136" s="65"/>
      <c r="G136" s="57"/>
    </row>
    <row r="137" spans="1:7" hidden="1">
      <c r="A137" s="55"/>
      <c r="B137" s="56"/>
      <c r="C137" s="57"/>
      <c r="D137" s="64"/>
      <c r="E137" s="65"/>
      <c r="F137" s="65"/>
      <c r="G137" s="57"/>
    </row>
    <row r="138" spans="1:7" hidden="1">
      <c r="A138" s="55"/>
      <c r="B138" s="56"/>
      <c r="C138" s="57"/>
      <c r="D138" s="64"/>
      <c r="E138" s="65"/>
      <c r="F138" s="65"/>
      <c r="G138" s="57"/>
    </row>
    <row r="139" spans="1:7" hidden="1">
      <c r="A139" s="55"/>
      <c r="B139" s="56"/>
      <c r="C139" s="57"/>
      <c r="D139" s="64"/>
      <c r="E139" s="65"/>
      <c r="F139" s="65"/>
      <c r="G139" s="57"/>
    </row>
    <row r="140" spans="1:7" hidden="1">
      <c r="A140" s="55"/>
      <c r="B140" s="56"/>
      <c r="C140" s="57"/>
      <c r="D140" s="64"/>
      <c r="E140" s="65"/>
      <c r="F140" s="65"/>
      <c r="G140" s="57"/>
    </row>
    <row r="141" spans="1:7" hidden="1">
      <c r="A141" s="55"/>
      <c r="B141" s="56"/>
      <c r="C141" s="57"/>
      <c r="D141" s="64"/>
      <c r="E141" s="65"/>
      <c r="F141" s="65"/>
      <c r="G141" s="57"/>
    </row>
    <row r="142" spans="1:7" hidden="1">
      <c r="A142" s="55"/>
      <c r="B142" s="56"/>
      <c r="C142" s="57"/>
      <c r="D142" s="64"/>
      <c r="E142" s="65"/>
      <c r="F142" s="65"/>
      <c r="G142" s="57"/>
    </row>
    <row r="143" spans="1:7" hidden="1">
      <c r="A143" s="55"/>
      <c r="B143" s="56"/>
      <c r="C143" s="57"/>
      <c r="D143" s="64"/>
      <c r="E143" s="65"/>
      <c r="F143" s="65"/>
      <c r="G143" s="57"/>
    </row>
    <row r="144" spans="1:7" hidden="1">
      <c r="A144" s="55"/>
      <c r="B144" s="56"/>
      <c r="C144" s="57"/>
      <c r="D144" s="64"/>
      <c r="E144" s="65"/>
      <c r="F144" s="65"/>
      <c r="G144" s="57"/>
    </row>
    <row r="145" spans="1:7" hidden="1">
      <c r="A145" s="55"/>
      <c r="B145" s="56"/>
      <c r="C145" s="57"/>
      <c r="D145" s="64"/>
      <c r="E145" s="65"/>
      <c r="F145" s="65"/>
      <c r="G145" s="57"/>
    </row>
    <row r="146" spans="1:7" hidden="1">
      <c r="A146" s="55"/>
      <c r="B146" s="56"/>
      <c r="C146" s="57"/>
      <c r="D146" s="64"/>
      <c r="E146" s="65"/>
      <c r="F146" s="65"/>
      <c r="G146" s="57"/>
    </row>
    <row r="147" spans="1:7" hidden="1">
      <c r="A147" s="55"/>
      <c r="B147" s="56"/>
      <c r="C147" s="57"/>
      <c r="D147" s="64"/>
      <c r="E147" s="65"/>
      <c r="F147" s="65"/>
      <c r="G147" s="57"/>
    </row>
    <row r="148" spans="1:7" hidden="1">
      <c r="A148" s="55"/>
      <c r="B148" s="56"/>
      <c r="C148" s="57"/>
      <c r="D148" s="64"/>
      <c r="E148" s="65"/>
      <c r="F148" s="65"/>
      <c r="G148" s="57"/>
    </row>
    <row r="149" spans="1:7" hidden="1"/>
    <row r="150" spans="1:7"/>
  </sheetData>
  <sheetProtection password="EF32" sheet="1" objects="1" scenarios="1"/>
  <mergeCells count="2">
    <mergeCell ref="A1:G1"/>
    <mergeCell ref="A2:G2"/>
  </mergeCells>
  <phoneticPr fontId="6" type="noConversion"/>
  <dataValidations count="2">
    <dataValidation type="whole" allowBlank="1" showInputMessage="1" showErrorMessage="1" sqref="D6:D148">
      <formula1>1</formula1>
      <formula2>99999999</formula2>
    </dataValidation>
    <dataValidation type="list" allowBlank="1" showInputMessage="1" showErrorMessage="1" sqref="E6:E150">
      <formula1>capitalized</formula1>
    </dataValidation>
  </dataValidations>
  <pageMargins left="0.5" right="0.5" top="0.75" bottom="0.75" header="0.5" footer="0.5"/>
  <pageSetup scale="75" orientation="portrait" r:id="rId1"/>
  <headerFooter alignWithMargins="0">
    <oddFooter>&amp;LPage &amp;P of &amp;N&amp;C&amp;D &amp;T&amp;R&amp;A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50"/>
  <sheetViews>
    <sheetView zoomScaleNormal="100" workbookViewId="0">
      <selection activeCell="C8" sqref="C8"/>
    </sheetView>
  </sheetViews>
  <sheetFormatPr defaultColWidth="0" defaultRowHeight="0" customHeight="1" zeroHeight="1"/>
  <cols>
    <col min="1" max="1" width="10.88671875" style="119" customWidth="1"/>
    <col min="2" max="2" width="43.109375" style="119" customWidth="1"/>
    <col min="3" max="3" width="13.6640625" style="128" customWidth="1"/>
    <col min="4" max="16384" width="0" style="119" hidden="1"/>
  </cols>
  <sheetData>
    <row r="1" spans="1:3" ht="15.75" customHeight="1">
      <c r="A1" s="241" t="str">
        <f>'4-Equipment'!A1:G1</f>
        <v>COLORADO GRADUATION PATHWAYS</v>
      </c>
      <c r="B1" s="242"/>
      <c r="C1" s="242"/>
    </row>
    <row r="2" spans="1:3" ht="15.75" customHeight="1">
      <c r="A2" s="243" t="s">
        <v>366</v>
      </c>
      <c r="B2" s="243"/>
      <c r="C2" s="243"/>
    </row>
    <row r="3" spans="1:3" s="120" customFormat="1" ht="15.75" customHeight="1">
      <c r="A3" s="244" t="s">
        <v>404</v>
      </c>
      <c r="B3" s="244"/>
      <c r="C3" s="244"/>
    </row>
    <row r="4" spans="1:3" s="120" customFormat="1" ht="15" customHeight="1">
      <c r="A4" s="121" t="str">
        <f>'2-Cover Page'!C5</f>
        <v xml:space="preserve"> </v>
      </c>
      <c r="C4" s="122">
        <f>'2-Cover Page'!C11</f>
        <v>0</v>
      </c>
    </row>
    <row r="5" spans="1:3" s="120" customFormat="1" ht="15" customHeight="1">
      <c r="A5" s="121" t="s">
        <v>405</v>
      </c>
      <c r="C5" s="228"/>
    </row>
    <row r="6" spans="1:3" s="120" customFormat="1" ht="15" customHeight="1">
      <c r="A6" s="121" t="s">
        <v>406</v>
      </c>
      <c r="C6" s="228"/>
    </row>
    <row r="7" spans="1:3" s="120" customFormat="1" ht="43.8" customHeight="1">
      <c r="A7" s="247" t="s">
        <v>400</v>
      </c>
      <c r="B7" s="248"/>
      <c r="C7" s="227"/>
    </row>
    <row r="8" spans="1:3" s="120" customFormat="1" ht="15.75" customHeight="1">
      <c r="A8" s="245" t="s">
        <v>399</v>
      </c>
      <c r="B8" s="246"/>
      <c r="C8" s="226">
        <f>SUM(C5:C6)</f>
        <v>0</v>
      </c>
    </row>
    <row r="9" spans="1:3" ht="15.75" customHeight="1">
      <c r="A9" s="123" t="s">
        <v>49</v>
      </c>
      <c r="B9" s="124"/>
      <c r="C9" s="125"/>
    </row>
    <row r="10" spans="1:3" ht="15.75" customHeight="1">
      <c r="A10" s="126"/>
      <c r="B10" s="127" t="s">
        <v>32</v>
      </c>
      <c r="C10" s="128">
        <f t="array" ref="C10">SUM(IF(LEFT(Budget_Object,3)&amp;RIGHT(Budget_Object,5)="Ins0100)",'3-Budget Detail'!$C$6:$C$500))</f>
        <v>0</v>
      </c>
    </row>
    <row r="11" spans="1:3" ht="15.75" customHeight="1">
      <c r="A11" s="126"/>
      <c r="B11" s="127" t="s">
        <v>33</v>
      </c>
      <c r="C11" s="128">
        <f t="array" ref="C11">SUM(IF(LEFT(Budget_Object,3)&amp;RIGHT(Budget_Object,5)="Ins0200)",'3-Budget Detail'!$C$6:$C$500))</f>
        <v>0</v>
      </c>
    </row>
    <row r="12" spans="1:3" ht="15.75" customHeight="1">
      <c r="A12" s="126"/>
      <c r="B12" s="119" t="s">
        <v>34</v>
      </c>
      <c r="C12" s="128">
        <f t="array" ref="C12">SUM(IF(LEFT(Budget_Object,3)&amp;RIGHT(Budget_Object,5)="Ins0300)",'3-Budget Detail'!$C$6:$C$500))</f>
        <v>0</v>
      </c>
    </row>
    <row r="13" spans="1:3" ht="15.75" customHeight="1">
      <c r="A13" s="126"/>
      <c r="B13" s="119" t="s">
        <v>35</v>
      </c>
      <c r="C13" s="128">
        <f t="array" ref="C13">SUM(IF(LEFT(Budget_Object,3)&amp;RIGHT(Budget_Object,5)="Ins0500)",'3-Budget Detail'!$C$6:$C$500))</f>
        <v>0</v>
      </c>
    </row>
    <row r="14" spans="1:3" ht="15.75" customHeight="1">
      <c r="A14" s="126"/>
      <c r="B14" s="119" t="s">
        <v>36</v>
      </c>
      <c r="C14" s="128">
        <f t="array" ref="C14">SUM(IF(LEFT(Budget_Object,3)&amp;RIGHT(Budget_Object,5)="Ins0580)",'3-Budget Detail'!$C$6:$C$500))</f>
        <v>0</v>
      </c>
    </row>
    <row r="15" spans="1:3" ht="15.75" customHeight="1">
      <c r="A15" s="126"/>
      <c r="B15" s="119" t="s">
        <v>37</v>
      </c>
      <c r="C15" s="128">
        <f t="array" ref="C15">SUM(IF(LEFT(Budget_Object,3)&amp;RIGHT(Budget_Object,5)="Ins0600)",'3-Budget Detail'!$C$6:$C$500))</f>
        <v>0</v>
      </c>
    </row>
    <row r="16" spans="1:3" ht="15.75" customHeight="1">
      <c r="A16" s="126"/>
      <c r="B16" s="119" t="s">
        <v>365</v>
      </c>
      <c r="C16" s="128">
        <f t="array" ref="C16">SUM(IF(LEFT(Budget_Object,3)&amp;RIGHT(Budget_Object,5)="Ins0800)",'3-Budget Detail'!$C$6:$C$500))</f>
        <v>0</v>
      </c>
    </row>
    <row r="17" spans="1:3" ht="15.75" customHeight="1">
      <c r="A17" s="126"/>
      <c r="B17" s="129" t="s">
        <v>38</v>
      </c>
      <c r="C17" s="130">
        <f>SUM(C10:C16)</f>
        <v>0</v>
      </c>
    </row>
    <row r="18" spans="1:3" ht="15.75" customHeight="1">
      <c r="A18" s="126"/>
      <c r="B18" s="129"/>
    </row>
    <row r="19" spans="1:3" ht="15.75" customHeight="1">
      <c r="A19" s="131" t="s">
        <v>39</v>
      </c>
      <c r="B19" s="124"/>
      <c r="C19" s="125"/>
    </row>
    <row r="20" spans="1:3" ht="15.75" customHeight="1">
      <c r="A20" s="126"/>
      <c r="B20" s="127" t="s">
        <v>32</v>
      </c>
      <c r="C20" s="128">
        <f t="array" ref="C20">SUM(IF(LEFT(Budget_Object,3)&amp;RIGHT(Budget_Object,5)="Sup0100)",'3-Budget Detail'!$C$6:$C$500))</f>
        <v>0</v>
      </c>
    </row>
    <row r="21" spans="1:3" ht="15.75" customHeight="1">
      <c r="A21" s="126"/>
      <c r="B21" s="127" t="s">
        <v>33</v>
      </c>
      <c r="C21" s="128">
        <f t="array" ref="C21">SUM(IF(LEFT(Budget_Object,3)&amp;RIGHT(Budget_Object,5)="Sup0200)",'3-Budget Detail'!$C$6:$C$500))</f>
        <v>0</v>
      </c>
    </row>
    <row r="22" spans="1:3" ht="15.75" customHeight="1">
      <c r="A22" s="126"/>
      <c r="B22" s="127" t="s">
        <v>34</v>
      </c>
      <c r="C22" s="128">
        <f t="array" ref="C22">SUM(IF(LEFT(Budget_Object,3)&amp;RIGHT(Budget_Object,5)="Sup0300)",'3-Budget Detail'!$C$6:$C$500))</f>
        <v>0</v>
      </c>
    </row>
    <row r="23" spans="1:3" ht="15.75" customHeight="1">
      <c r="A23" s="126"/>
      <c r="B23" s="127" t="s">
        <v>35</v>
      </c>
      <c r="C23" s="128">
        <f t="array" ref="C23">SUM(IF(LEFT(Budget_Object,3)&amp;RIGHT(Budget_Object,5)="Sup0500)",'3-Budget Detail'!$C$6:$C$500))</f>
        <v>0</v>
      </c>
    </row>
    <row r="24" spans="1:3" ht="15.75" customHeight="1">
      <c r="A24" s="126"/>
      <c r="B24" s="127" t="s">
        <v>36</v>
      </c>
      <c r="C24" s="128">
        <f t="array" ref="C24">SUM(IF(LEFT(Budget_Object,3)&amp;RIGHT(Budget_Object,5)="Sup0580)",'3-Budget Detail'!$C$6:$C$500))</f>
        <v>0</v>
      </c>
    </row>
    <row r="25" spans="1:3" ht="15.75" customHeight="1">
      <c r="A25" s="126"/>
      <c r="B25" s="127" t="s">
        <v>37</v>
      </c>
      <c r="C25" s="128">
        <f t="array" ref="C25">SUM(IF(LEFT(Budget_Object,3)&amp;RIGHT(Budget_Object,5)="Sup0600)",'3-Budget Detail'!$C$6:$C$500))</f>
        <v>0</v>
      </c>
    </row>
    <row r="26" spans="1:3" ht="15.75" customHeight="1">
      <c r="A26" s="126"/>
      <c r="B26" s="119" t="s">
        <v>365</v>
      </c>
      <c r="C26" s="128">
        <f t="array" ref="C26">SUM(IF(LEFT(Budget_Object,3)&amp;RIGHT(Budget_Object,5)="Sup0800)",'3-Budget Detail'!$C$6:$C$500))</f>
        <v>0</v>
      </c>
    </row>
    <row r="27" spans="1:3" ht="15.75" customHeight="1">
      <c r="A27" s="126"/>
      <c r="B27" s="129" t="s">
        <v>40</v>
      </c>
      <c r="C27" s="130">
        <f>SUM(C20:C26)</f>
        <v>0</v>
      </c>
    </row>
    <row r="28" spans="1:3" ht="15.75" customHeight="1" thickBot="1">
      <c r="A28" s="126"/>
      <c r="B28" s="129" t="s">
        <v>338</v>
      </c>
      <c r="C28" s="132">
        <f>+C27+C17</f>
        <v>0</v>
      </c>
    </row>
    <row r="29" spans="1:3" ht="15.75" customHeight="1" thickTop="1">
      <c r="A29" s="126"/>
      <c r="B29" s="133" t="s">
        <v>335</v>
      </c>
      <c r="C29" s="134"/>
    </row>
    <row r="30" spans="1:3" ht="15.75" customHeight="1">
      <c r="A30" s="126"/>
      <c r="B30" s="133" t="s">
        <v>336</v>
      </c>
      <c r="C30" s="128">
        <f>(C28+C32)*C29</f>
        <v>0</v>
      </c>
    </row>
    <row r="31" spans="1:3" ht="15.75" customHeight="1">
      <c r="A31" s="126"/>
      <c r="B31" s="133" t="s">
        <v>337</v>
      </c>
      <c r="C31" s="135"/>
    </row>
    <row r="32" spans="1:3" ht="15.75" customHeight="1">
      <c r="A32" s="126"/>
      <c r="B32" s="119" t="s">
        <v>380</v>
      </c>
      <c r="C32" s="128">
        <f>SUMIF('4-Equipment'!$E$6:$E$150,"non-capitalized",'4-Equipment'!$D$6:$D$150)</f>
        <v>0</v>
      </c>
    </row>
    <row r="33" spans="1:3" ht="15.75" customHeight="1">
      <c r="A33" s="126"/>
      <c r="B33" s="119" t="s">
        <v>381</v>
      </c>
      <c r="C33" s="128">
        <f>SUMIF('4-Equipment'!$E$6:$E$150,"capitalized",'4-Equipment'!$D$6:$D$150)</f>
        <v>0</v>
      </c>
    </row>
    <row r="34" spans="1:3" ht="15.75" customHeight="1" thickBot="1">
      <c r="A34" s="126"/>
      <c r="B34" s="129" t="s">
        <v>339</v>
      </c>
      <c r="C34" s="132">
        <f>IF(ISBLANK(C31)=TRUE,C28+C30+C32,C28+C31+C32+C33)</f>
        <v>0</v>
      </c>
    </row>
    <row r="35" spans="1:3" ht="24" hidden="1" customHeight="1">
      <c r="A35" s="126"/>
      <c r="B35" s="136"/>
      <c r="C35" s="137"/>
    </row>
    <row r="36" spans="1:3" ht="15" hidden="1" customHeight="1">
      <c r="A36" s="126"/>
      <c r="B36" s="124"/>
    </row>
    <row r="37" spans="1:3" ht="15" hidden="1" customHeight="1">
      <c r="A37" s="126"/>
      <c r="B37" s="124"/>
    </row>
    <row r="38" spans="1:3" ht="15" hidden="1" customHeight="1"/>
    <row r="39" spans="1:3" ht="13.8" hidden="1">
      <c r="B39" s="127"/>
    </row>
    <row r="40" spans="1:3" ht="13.8" hidden="1"/>
    <row r="41" spans="1:3" ht="12.75" hidden="1" customHeight="1"/>
    <row r="42" spans="1:3" ht="12.75" hidden="1" customHeight="1"/>
    <row r="43" spans="1:3" ht="12.75" hidden="1" customHeight="1"/>
    <row r="44" spans="1:3" ht="12.75" hidden="1" customHeight="1"/>
    <row r="45" spans="1:3" ht="12.75" hidden="1" customHeight="1"/>
    <row r="46" spans="1:3" ht="12.75" hidden="1" customHeight="1"/>
    <row r="47" spans="1:3" ht="12.75" hidden="1" customHeight="1"/>
    <row r="48" spans="1:3" ht="12.75" hidden="1" customHeight="1"/>
    <row r="49" ht="12.75" hidden="1" customHeight="1"/>
    <row r="50" ht="12.75" hidden="1" customHeight="1"/>
  </sheetData>
  <sheetProtection password="EF32" sheet="1" objects="1" scenarios="1"/>
  <mergeCells count="5">
    <mergeCell ref="A1:C1"/>
    <mergeCell ref="A2:C2"/>
    <mergeCell ref="A3:C3"/>
    <mergeCell ref="A8:B8"/>
    <mergeCell ref="A7:B7"/>
  </mergeCells>
  <phoneticPr fontId="6" type="noConversion"/>
  <conditionalFormatting sqref="C30">
    <cfRule type="expression" dxfId="3" priority="2" stopIfTrue="1">
      <formula>AND(ISBLANK($C$31)=FALSE,$C$31&lt;$C$30)</formula>
    </cfRule>
  </conditionalFormatting>
  <dataValidations count="1">
    <dataValidation type="whole" allowBlank="1" showInputMessage="1" showErrorMessage="1" errorTitle="ERROR!" error="Elected indirect costs must not exceed the indirect costs in cell C25, and must be a whole number." sqref="C31">
      <formula1>0</formula1>
      <formula2>C30</formula2>
    </dataValidation>
  </dataValidations>
  <pageMargins left="0.5" right="0.5" top="0.75" bottom="0.75" header="0.5" footer="0.5"/>
  <pageSetup orientation="portrait" r:id="rId1"/>
  <headerFooter alignWithMargins="0">
    <oddFooter>&amp;LPage &amp;P of &amp;N&amp;C&amp;D &amp;T&amp;R&amp;A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500"/>
  <sheetViews>
    <sheetView zoomScaleNormal="100" workbookViewId="0">
      <pane ySplit="5" topLeftCell="A6" activePane="bottomLeft" state="frozen"/>
      <selection pane="bottomLeft" activeCell="C10" sqref="C10"/>
    </sheetView>
  </sheetViews>
  <sheetFormatPr defaultColWidth="0" defaultRowHeight="12.75" customHeight="1" zeroHeight="1"/>
  <cols>
    <col min="1" max="1" width="37.109375" style="41" customWidth="1"/>
    <col min="2" max="2" width="9" style="52" customWidth="1"/>
    <col min="3" max="3" width="45.6640625" style="81" customWidth="1"/>
    <col min="4" max="4" width="15.33203125" style="82" customWidth="1"/>
    <col min="5" max="5" width="0" style="41" hidden="1" customWidth="1"/>
    <col min="6" max="6" width="17" style="41" hidden="1" customWidth="1"/>
    <col min="7" max="9" width="0.109375" style="41" hidden="1" customWidth="1"/>
    <col min="10" max="16384" width="0" style="41" hidden="1"/>
  </cols>
  <sheetData>
    <row r="1" spans="1:4" ht="18">
      <c r="A1" s="249" t="str">
        <f>'5-Budget Summary'!A1:C1</f>
        <v>COLORADO GRADUATION PATHWAYS</v>
      </c>
      <c r="B1" s="250"/>
      <c r="C1" s="250"/>
      <c r="D1" s="250"/>
    </row>
    <row r="2" spans="1:4" ht="18">
      <c r="A2" s="250" t="s">
        <v>367</v>
      </c>
      <c r="B2" s="250"/>
      <c r="C2" s="250"/>
      <c r="D2" s="250"/>
    </row>
    <row r="3" spans="1:4" ht="13.8">
      <c r="A3" s="163" t="str">
        <f>'2-Cover Page'!C5</f>
        <v xml:space="preserve"> </v>
      </c>
      <c r="B3" s="164"/>
      <c r="C3" s="165"/>
      <c r="D3" s="166">
        <f>'2-Cover Page'!C11</f>
        <v>0</v>
      </c>
    </row>
    <row r="4" spans="1:4" ht="13.8">
      <c r="A4" s="155">
        <v>1</v>
      </c>
      <c r="B4" s="167">
        <v>2</v>
      </c>
      <c r="C4" s="168">
        <v>3</v>
      </c>
      <c r="D4" s="156">
        <v>4</v>
      </c>
    </row>
    <row r="5" spans="1:4" ht="27.6">
      <c r="A5" s="145" t="s">
        <v>407</v>
      </c>
      <c r="B5" s="146" t="s">
        <v>7</v>
      </c>
      <c r="C5" s="147" t="s">
        <v>50</v>
      </c>
      <c r="D5" s="161" t="s">
        <v>53</v>
      </c>
    </row>
    <row r="6" spans="1:4" ht="13.8">
      <c r="A6" s="42"/>
      <c r="B6" s="43"/>
      <c r="C6" s="69"/>
      <c r="D6" s="70"/>
    </row>
    <row r="7" spans="1:4" ht="13.8">
      <c r="A7" s="42"/>
      <c r="B7" s="46"/>
      <c r="C7" s="71"/>
      <c r="D7" s="70"/>
    </row>
    <row r="8" spans="1:4" ht="13.8">
      <c r="A8" s="42"/>
      <c r="B8" s="48"/>
      <c r="C8" s="71"/>
      <c r="D8" s="70"/>
    </row>
    <row r="9" spans="1:4" ht="13.8">
      <c r="A9" s="42"/>
      <c r="B9" s="43"/>
      <c r="C9" s="71"/>
      <c r="D9" s="70"/>
    </row>
    <row r="10" spans="1:4" ht="13.8">
      <c r="A10" s="42"/>
      <c r="B10" s="46"/>
      <c r="C10" s="71"/>
      <c r="D10" s="70"/>
    </row>
    <row r="11" spans="1:4" ht="13.8">
      <c r="A11" s="42"/>
      <c r="B11" s="43"/>
      <c r="C11" s="71"/>
      <c r="D11" s="70"/>
    </row>
    <row r="12" spans="1:4" ht="13.8">
      <c r="A12" s="42"/>
      <c r="B12" s="43"/>
      <c r="C12" s="71"/>
      <c r="D12" s="70"/>
    </row>
    <row r="13" spans="1:4" ht="13.8">
      <c r="A13" s="42"/>
      <c r="B13" s="46"/>
      <c r="C13" s="71"/>
      <c r="D13" s="70"/>
    </row>
    <row r="14" spans="1:4" ht="13.8">
      <c r="A14" s="42"/>
      <c r="B14" s="43"/>
      <c r="C14" s="71"/>
      <c r="D14" s="70"/>
    </row>
    <row r="15" spans="1:4" ht="13.8">
      <c r="A15" s="42"/>
      <c r="B15" s="43"/>
      <c r="C15" s="71"/>
      <c r="D15" s="70"/>
    </row>
    <row r="16" spans="1:4" ht="13.8">
      <c r="A16" s="42"/>
      <c r="B16" s="46"/>
      <c r="C16" s="71"/>
      <c r="D16" s="70"/>
    </row>
    <row r="17" spans="1:4" ht="13.8">
      <c r="A17" s="42"/>
      <c r="B17" s="43"/>
      <c r="C17" s="71"/>
      <c r="D17" s="70"/>
    </row>
    <row r="18" spans="1:4" ht="13.8">
      <c r="A18" s="42"/>
      <c r="B18" s="43"/>
      <c r="C18" s="71"/>
      <c r="D18" s="70"/>
    </row>
    <row r="19" spans="1:4" ht="13.8">
      <c r="A19" s="42"/>
      <c r="B19" s="46"/>
      <c r="C19" s="71"/>
      <c r="D19" s="70"/>
    </row>
    <row r="20" spans="1:4" ht="13.8">
      <c r="A20" s="72"/>
      <c r="B20" s="43"/>
      <c r="C20" s="73"/>
      <c r="D20" s="70"/>
    </row>
    <row r="21" spans="1:4" ht="13.8">
      <c r="A21" s="72"/>
      <c r="B21" s="43"/>
      <c r="C21" s="73"/>
      <c r="D21" s="70"/>
    </row>
    <row r="22" spans="1:4" ht="13.8">
      <c r="A22" s="72"/>
      <c r="B22" s="46"/>
      <c r="C22" s="73"/>
      <c r="D22" s="70"/>
    </row>
    <row r="23" spans="1:4" ht="13.8">
      <c r="A23" s="72"/>
      <c r="B23" s="46"/>
      <c r="C23" s="73"/>
      <c r="D23" s="70"/>
    </row>
    <row r="24" spans="1:4" ht="13.8">
      <c r="A24" s="72"/>
      <c r="B24" s="43"/>
      <c r="C24" s="73"/>
      <c r="D24" s="70"/>
    </row>
    <row r="25" spans="1:4" ht="13.8">
      <c r="A25" s="72"/>
      <c r="B25" s="46"/>
      <c r="C25" s="73"/>
      <c r="D25" s="70"/>
    </row>
    <row r="26" spans="1:4" ht="13.8">
      <c r="A26" s="72"/>
      <c r="B26" s="43"/>
      <c r="C26" s="73"/>
      <c r="D26" s="70"/>
    </row>
    <row r="27" spans="1:4" ht="13.8">
      <c r="A27" s="72"/>
      <c r="B27" s="46"/>
      <c r="C27" s="73"/>
      <c r="D27" s="70"/>
    </row>
    <row r="28" spans="1:4" ht="13.8">
      <c r="A28" s="72"/>
      <c r="B28" s="43"/>
      <c r="C28" s="73"/>
      <c r="D28" s="70"/>
    </row>
    <row r="29" spans="1:4" ht="13.8">
      <c r="A29" s="72"/>
      <c r="B29" s="46"/>
      <c r="C29" s="73"/>
      <c r="D29" s="70"/>
    </row>
    <row r="30" spans="1:4" ht="13.8">
      <c r="A30" s="72"/>
      <c r="B30" s="43"/>
      <c r="C30" s="73"/>
      <c r="D30" s="70"/>
    </row>
    <row r="31" spans="1:4" ht="13.8">
      <c r="A31" s="72"/>
      <c r="B31" s="46"/>
      <c r="C31" s="73"/>
      <c r="D31" s="70"/>
    </row>
    <row r="32" spans="1:4" ht="13.8">
      <c r="A32" s="72"/>
      <c r="B32" s="43"/>
      <c r="C32" s="73"/>
      <c r="D32" s="70"/>
    </row>
    <row r="33" spans="1:4" ht="13.8">
      <c r="A33" s="72"/>
      <c r="B33" s="43"/>
      <c r="C33" s="73"/>
      <c r="D33" s="70"/>
    </row>
    <row r="34" spans="1:4" ht="13.8">
      <c r="A34" s="72"/>
      <c r="B34" s="46"/>
      <c r="C34" s="73"/>
      <c r="D34" s="70"/>
    </row>
    <row r="35" spans="1:4" ht="13.8">
      <c r="A35" s="72"/>
      <c r="B35" s="43"/>
      <c r="C35" s="73"/>
      <c r="D35" s="70"/>
    </row>
    <row r="36" spans="1:4" ht="13.8">
      <c r="A36" s="72"/>
      <c r="B36" s="46"/>
      <c r="C36" s="73"/>
      <c r="D36" s="70"/>
    </row>
    <row r="37" spans="1:4" ht="13.8">
      <c r="A37" s="72"/>
      <c r="B37" s="43"/>
      <c r="C37" s="73"/>
      <c r="D37" s="70"/>
    </row>
    <row r="38" spans="1:4" ht="13.8">
      <c r="A38" s="72"/>
      <c r="B38" s="46"/>
      <c r="C38" s="73"/>
      <c r="D38" s="70"/>
    </row>
    <row r="39" spans="1:4" ht="13.8">
      <c r="A39" s="72"/>
      <c r="B39" s="43"/>
      <c r="C39" s="73"/>
      <c r="D39" s="70"/>
    </row>
    <row r="40" spans="1:4" ht="13.8">
      <c r="A40" s="72"/>
      <c r="B40" s="74"/>
      <c r="C40" s="75"/>
      <c r="D40" s="76"/>
    </row>
    <row r="41" spans="1:4" ht="13.8">
      <c r="A41" s="72"/>
      <c r="B41" s="77"/>
      <c r="C41" s="75"/>
      <c r="D41" s="76"/>
    </row>
    <row r="42" spans="1:4" ht="13.8">
      <c r="A42" s="72"/>
      <c r="B42" s="74"/>
      <c r="C42" s="75"/>
      <c r="D42" s="76"/>
    </row>
    <row r="43" spans="1:4" ht="13.8">
      <c r="A43" s="72"/>
      <c r="B43" s="77"/>
      <c r="C43" s="75"/>
      <c r="D43" s="76"/>
    </row>
    <row r="44" spans="1:4" ht="13.8">
      <c r="A44" s="72"/>
      <c r="B44" s="74"/>
      <c r="C44" s="75"/>
      <c r="D44" s="76"/>
    </row>
    <row r="45" spans="1:4" ht="13.8">
      <c r="A45" s="72"/>
      <c r="B45" s="77"/>
      <c r="C45" s="75"/>
      <c r="D45" s="76"/>
    </row>
    <row r="46" spans="1:4" ht="13.8">
      <c r="A46" s="72"/>
      <c r="B46" s="74"/>
      <c r="C46" s="75"/>
      <c r="D46" s="76"/>
    </row>
    <row r="47" spans="1:4" ht="13.8">
      <c r="A47" s="72"/>
      <c r="B47" s="77"/>
      <c r="C47" s="75"/>
      <c r="D47" s="76"/>
    </row>
    <row r="48" spans="1:4" ht="13.8">
      <c r="A48" s="72"/>
      <c r="B48" s="74"/>
      <c r="C48" s="75"/>
      <c r="D48" s="76"/>
    </row>
    <row r="49" spans="1:4" ht="13.8">
      <c r="A49" s="72"/>
      <c r="B49" s="77"/>
      <c r="C49" s="75"/>
      <c r="D49" s="76"/>
    </row>
    <row r="50" spans="1:4" ht="13.8">
      <c r="A50" s="72"/>
      <c r="B50" s="74"/>
      <c r="C50" s="75"/>
      <c r="D50" s="76"/>
    </row>
    <row r="51" spans="1:4" ht="13.8">
      <c r="A51" s="72"/>
      <c r="B51" s="78"/>
      <c r="C51" s="75"/>
      <c r="D51" s="79"/>
    </row>
    <row r="52" spans="1:4" ht="13.8">
      <c r="A52" s="72"/>
      <c r="B52" s="78"/>
      <c r="C52" s="75"/>
      <c r="D52" s="79"/>
    </row>
    <row r="53" spans="1:4" ht="13.8">
      <c r="A53" s="72"/>
      <c r="B53" s="78"/>
      <c r="C53" s="75"/>
      <c r="D53" s="79"/>
    </row>
    <row r="54" spans="1:4" ht="13.8">
      <c r="A54" s="72"/>
      <c r="B54" s="78"/>
      <c r="C54" s="75"/>
      <c r="D54" s="79"/>
    </row>
    <row r="55" spans="1:4" ht="13.8">
      <c r="A55" s="72"/>
      <c r="B55" s="78"/>
      <c r="C55" s="75"/>
      <c r="D55" s="79"/>
    </row>
    <row r="56" spans="1:4" ht="13.8">
      <c r="A56" s="72"/>
      <c r="B56" s="78"/>
      <c r="C56" s="75"/>
      <c r="D56" s="79"/>
    </row>
    <row r="57" spans="1:4" ht="13.8">
      <c r="A57" s="72"/>
      <c r="B57" s="78"/>
      <c r="C57" s="75"/>
      <c r="D57" s="79"/>
    </row>
    <row r="58" spans="1:4" ht="13.8">
      <c r="A58" s="72"/>
      <c r="B58" s="78"/>
      <c r="C58" s="75"/>
      <c r="D58" s="79"/>
    </row>
    <row r="59" spans="1:4" ht="13.8">
      <c r="A59" s="72"/>
      <c r="B59" s="78"/>
      <c r="C59" s="75"/>
      <c r="D59" s="79"/>
    </row>
    <row r="60" spans="1:4" ht="13.8">
      <c r="A60" s="72"/>
      <c r="B60" s="78"/>
      <c r="C60" s="75"/>
      <c r="D60" s="76"/>
    </row>
    <row r="61" spans="1:4" ht="13.8">
      <c r="A61" s="72"/>
      <c r="B61" s="78"/>
      <c r="C61" s="75"/>
      <c r="D61" s="76"/>
    </row>
    <row r="62" spans="1:4" ht="13.8">
      <c r="A62" s="72"/>
      <c r="B62" s="78"/>
      <c r="C62" s="75"/>
      <c r="D62" s="76"/>
    </row>
    <row r="63" spans="1:4" ht="13.8">
      <c r="A63" s="72"/>
      <c r="B63" s="78"/>
      <c r="C63" s="75"/>
      <c r="D63" s="76"/>
    </row>
    <row r="64" spans="1:4" ht="13.8">
      <c r="A64" s="72"/>
      <c r="B64" s="78"/>
      <c r="C64" s="75"/>
      <c r="D64" s="76"/>
    </row>
    <row r="65" spans="1:4" ht="13.8">
      <c r="A65" s="72"/>
      <c r="B65" s="78"/>
      <c r="C65" s="75"/>
      <c r="D65" s="76"/>
    </row>
    <row r="66" spans="1:4" ht="13.8">
      <c r="A66" s="72"/>
      <c r="B66" s="78"/>
      <c r="C66" s="75"/>
      <c r="D66" s="76"/>
    </row>
    <row r="67" spans="1:4" ht="13.8">
      <c r="A67" s="72"/>
      <c r="B67" s="78"/>
      <c r="C67" s="75"/>
      <c r="D67" s="76"/>
    </row>
    <row r="68" spans="1:4" ht="13.8">
      <c r="A68" s="72"/>
      <c r="B68" s="78"/>
      <c r="C68" s="75"/>
      <c r="D68" s="76"/>
    </row>
    <row r="69" spans="1:4" ht="13.8">
      <c r="A69" s="72"/>
      <c r="B69" s="78"/>
      <c r="C69" s="75"/>
      <c r="D69" s="76"/>
    </row>
    <row r="70" spans="1:4" ht="13.8">
      <c r="A70" s="72"/>
      <c r="B70" s="78"/>
      <c r="C70" s="75"/>
      <c r="D70" s="76"/>
    </row>
    <row r="71" spans="1:4" ht="13.8">
      <c r="A71" s="72"/>
      <c r="B71" s="78"/>
      <c r="C71" s="75"/>
      <c r="D71" s="76"/>
    </row>
    <row r="72" spans="1:4" ht="13.8">
      <c r="A72" s="72"/>
      <c r="B72" s="78"/>
      <c r="C72" s="75"/>
      <c r="D72" s="76"/>
    </row>
    <row r="73" spans="1:4" ht="13.8">
      <c r="A73" s="72"/>
      <c r="B73" s="78"/>
      <c r="C73" s="75"/>
      <c r="D73" s="76"/>
    </row>
    <row r="74" spans="1:4" ht="13.8">
      <c r="A74" s="72"/>
      <c r="B74" s="78"/>
      <c r="C74" s="75"/>
      <c r="D74" s="76"/>
    </row>
    <row r="75" spans="1:4" ht="13.8">
      <c r="A75" s="72"/>
      <c r="B75" s="78"/>
      <c r="C75" s="75"/>
      <c r="D75" s="76"/>
    </row>
    <row r="76" spans="1:4" ht="13.8">
      <c r="A76" s="72"/>
      <c r="B76" s="78"/>
      <c r="C76" s="75"/>
      <c r="D76" s="76"/>
    </row>
    <row r="77" spans="1:4" ht="13.8">
      <c r="A77" s="72"/>
      <c r="B77" s="78"/>
      <c r="C77" s="75"/>
      <c r="D77" s="76"/>
    </row>
    <row r="78" spans="1:4" ht="13.8">
      <c r="A78" s="72"/>
      <c r="B78" s="78"/>
      <c r="C78" s="75"/>
      <c r="D78" s="76"/>
    </row>
    <row r="79" spans="1:4" ht="13.8">
      <c r="A79" s="72"/>
      <c r="B79" s="78"/>
      <c r="C79" s="75"/>
      <c r="D79" s="76"/>
    </row>
    <row r="80" spans="1:4" ht="13.8">
      <c r="A80" s="72"/>
      <c r="B80" s="78"/>
      <c r="C80" s="75"/>
      <c r="D80" s="76"/>
    </row>
    <row r="81" spans="1:4" ht="13.8">
      <c r="A81" s="72"/>
      <c r="B81" s="78"/>
      <c r="C81" s="75"/>
      <c r="D81" s="76"/>
    </row>
    <row r="82" spans="1:4" ht="13.8">
      <c r="A82" s="72"/>
      <c r="B82" s="78"/>
      <c r="C82" s="75"/>
      <c r="D82" s="76"/>
    </row>
    <row r="83" spans="1:4" ht="13.8">
      <c r="A83" s="72"/>
      <c r="B83" s="78"/>
      <c r="C83" s="75"/>
      <c r="D83" s="76"/>
    </row>
    <row r="84" spans="1:4" ht="13.8">
      <c r="A84" s="72"/>
      <c r="B84" s="78"/>
      <c r="C84" s="75"/>
      <c r="D84" s="76"/>
    </row>
    <row r="85" spans="1:4" ht="13.8">
      <c r="A85" s="72"/>
      <c r="B85" s="78"/>
      <c r="C85" s="75"/>
      <c r="D85" s="76"/>
    </row>
    <row r="86" spans="1:4" ht="13.8">
      <c r="A86" s="72"/>
      <c r="B86" s="78"/>
      <c r="C86" s="75"/>
      <c r="D86" s="76"/>
    </row>
    <row r="87" spans="1:4" ht="13.8">
      <c r="A87" s="72"/>
      <c r="B87" s="78"/>
      <c r="C87" s="75"/>
      <c r="D87" s="76"/>
    </row>
    <row r="88" spans="1:4" ht="13.8">
      <c r="A88" s="72"/>
      <c r="B88" s="78"/>
      <c r="C88" s="75"/>
      <c r="D88" s="76"/>
    </row>
    <row r="89" spans="1:4" ht="13.8">
      <c r="A89" s="72"/>
      <c r="B89" s="78"/>
      <c r="C89" s="75"/>
      <c r="D89" s="76"/>
    </row>
    <row r="90" spans="1:4" ht="13.8">
      <c r="A90" s="72"/>
      <c r="B90" s="78"/>
      <c r="C90" s="75"/>
      <c r="D90" s="76"/>
    </row>
    <row r="91" spans="1:4" ht="13.8">
      <c r="A91" s="72"/>
      <c r="B91" s="78"/>
      <c r="C91" s="75"/>
      <c r="D91" s="76"/>
    </row>
    <row r="92" spans="1:4" ht="13.8">
      <c r="A92" s="72"/>
      <c r="B92" s="78"/>
      <c r="C92" s="75"/>
      <c r="D92" s="76"/>
    </row>
    <row r="93" spans="1:4" ht="13.8">
      <c r="A93" s="72"/>
      <c r="B93" s="78"/>
      <c r="C93" s="75"/>
      <c r="D93" s="76"/>
    </row>
    <row r="94" spans="1:4" ht="13.8">
      <c r="A94" s="72"/>
      <c r="B94" s="78"/>
      <c r="C94" s="75"/>
      <c r="D94" s="76"/>
    </row>
    <row r="95" spans="1:4" ht="13.8">
      <c r="A95" s="72"/>
      <c r="B95" s="78"/>
      <c r="C95" s="75"/>
      <c r="D95" s="76"/>
    </row>
    <row r="96" spans="1:4" ht="13.8">
      <c r="A96" s="72"/>
      <c r="B96" s="78"/>
      <c r="C96" s="75"/>
      <c r="D96" s="76"/>
    </row>
    <row r="97" spans="1:4" ht="13.8">
      <c r="A97" s="72"/>
      <c r="B97" s="78"/>
      <c r="C97" s="75"/>
      <c r="D97" s="76"/>
    </row>
    <row r="98" spans="1:4" ht="13.8">
      <c r="A98" s="72"/>
      <c r="B98" s="78"/>
      <c r="C98" s="75"/>
      <c r="D98" s="76"/>
    </row>
    <row r="99" spans="1:4" ht="13.8">
      <c r="A99" s="72"/>
      <c r="B99" s="78"/>
      <c r="C99" s="75"/>
      <c r="D99" s="76"/>
    </row>
    <row r="100" spans="1:4" ht="13.8">
      <c r="A100" s="72"/>
      <c r="B100" s="78"/>
      <c r="C100" s="75"/>
      <c r="D100" s="76"/>
    </row>
    <row r="101" spans="1:4" ht="13.8">
      <c r="A101" s="72"/>
      <c r="B101" s="78"/>
      <c r="C101" s="75"/>
      <c r="D101" s="76"/>
    </row>
    <row r="102" spans="1:4" ht="13.8">
      <c r="A102" s="72"/>
      <c r="B102" s="78"/>
      <c r="C102" s="75"/>
      <c r="D102" s="76"/>
    </row>
    <row r="103" spans="1:4" ht="13.8">
      <c r="A103" s="72"/>
      <c r="B103" s="78"/>
      <c r="C103" s="75"/>
      <c r="D103" s="76"/>
    </row>
    <row r="104" spans="1:4" ht="13.8">
      <c r="A104" s="72"/>
      <c r="B104" s="78"/>
      <c r="C104" s="75"/>
      <c r="D104" s="76"/>
    </row>
    <row r="105" spans="1:4" ht="13.8">
      <c r="A105" s="72"/>
      <c r="B105" s="78"/>
      <c r="C105" s="75"/>
      <c r="D105" s="76"/>
    </row>
    <row r="106" spans="1:4" ht="13.8">
      <c r="A106" s="72"/>
      <c r="B106" s="78"/>
      <c r="C106" s="75"/>
      <c r="D106" s="76"/>
    </row>
    <row r="107" spans="1:4" ht="13.8">
      <c r="A107" s="72"/>
      <c r="B107" s="78"/>
      <c r="C107" s="75"/>
      <c r="D107" s="76"/>
    </row>
    <row r="108" spans="1:4" ht="13.8">
      <c r="A108" s="72"/>
      <c r="B108" s="78"/>
      <c r="C108" s="75"/>
      <c r="D108" s="76"/>
    </row>
    <row r="109" spans="1:4" ht="13.8">
      <c r="A109" s="72"/>
      <c r="B109" s="78"/>
      <c r="C109" s="75"/>
      <c r="D109" s="80"/>
    </row>
    <row r="110" spans="1:4" ht="13.8">
      <c r="A110" s="72"/>
      <c r="B110" s="78"/>
      <c r="C110" s="75"/>
      <c r="D110" s="80"/>
    </row>
    <row r="111" spans="1:4" ht="13.8">
      <c r="A111" s="72"/>
      <c r="B111" s="78"/>
      <c r="C111" s="75"/>
      <c r="D111" s="80"/>
    </row>
    <row r="112" spans="1:4" ht="13.8">
      <c r="A112" s="72"/>
      <c r="B112" s="78"/>
      <c r="C112" s="75"/>
      <c r="D112" s="80"/>
    </row>
    <row r="113" spans="1:4" ht="13.8">
      <c r="A113" s="72"/>
      <c r="B113" s="78"/>
      <c r="C113" s="75"/>
      <c r="D113" s="80"/>
    </row>
    <row r="114" spans="1:4" ht="13.8">
      <c r="A114" s="72"/>
      <c r="B114" s="78"/>
      <c r="C114" s="75"/>
      <c r="D114" s="80"/>
    </row>
    <row r="115" spans="1:4" ht="13.8">
      <c r="A115" s="72"/>
      <c r="B115" s="78"/>
      <c r="C115" s="75"/>
      <c r="D115" s="80"/>
    </row>
    <row r="116" spans="1:4" ht="13.8">
      <c r="A116" s="72"/>
      <c r="B116" s="78"/>
      <c r="C116" s="75"/>
      <c r="D116" s="80"/>
    </row>
    <row r="117" spans="1:4" ht="13.8">
      <c r="A117" s="72"/>
      <c r="B117" s="78"/>
      <c r="C117" s="75"/>
      <c r="D117" s="80"/>
    </row>
    <row r="118" spans="1:4" ht="13.8">
      <c r="A118" s="72"/>
      <c r="B118" s="78"/>
      <c r="C118" s="75"/>
      <c r="D118" s="80"/>
    </row>
    <row r="119" spans="1:4" ht="13.8">
      <c r="A119" s="72"/>
      <c r="B119" s="78"/>
      <c r="C119" s="75"/>
      <c r="D119" s="80"/>
    </row>
    <row r="120" spans="1:4" ht="13.8">
      <c r="A120" s="72"/>
      <c r="B120" s="78"/>
      <c r="C120" s="75"/>
      <c r="D120" s="80"/>
    </row>
    <row r="121" spans="1:4" ht="13.8">
      <c r="A121" s="72"/>
      <c r="B121" s="78"/>
      <c r="C121" s="75"/>
      <c r="D121" s="80"/>
    </row>
    <row r="122" spans="1:4" ht="13.8">
      <c r="A122" s="72"/>
      <c r="B122" s="78"/>
      <c r="C122" s="75"/>
      <c r="D122" s="80"/>
    </row>
    <row r="123" spans="1:4" ht="13.8">
      <c r="A123" s="72"/>
      <c r="B123" s="78"/>
      <c r="C123" s="75"/>
      <c r="D123" s="80"/>
    </row>
    <row r="124" spans="1:4" ht="13.8">
      <c r="A124" s="72"/>
      <c r="B124" s="78"/>
      <c r="C124" s="75"/>
      <c r="D124" s="80"/>
    </row>
    <row r="125" spans="1:4" ht="13.8">
      <c r="A125" s="72"/>
      <c r="B125" s="78"/>
      <c r="C125" s="75"/>
      <c r="D125" s="80"/>
    </row>
    <row r="126" spans="1:4" ht="13.8">
      <c r="A126" s="72"/>
      <c r="B126" s="78"/>
      <c r="C126" s="75"/>
      <c r="D126" s="80"/>
    </row>
    <row r="127" spans="1:4" ht="13.8">
      <c r="A127" s="72"/>
      <c r="B127" s="78"/>
      <c r="C127" s="75"/>
      <c r="D127" s="80"/>
    </row>
    <row r="128" spans="1:4" ht="13.8">
      <c r="A128" s="72"/>
      <c r="B128" s="78"/>
      <c r="C128" s="75"/>
      <c r="D128" s="80"/>
    </row>
    <row r="129" spans="1:4" ht="13.8">
      <c r="A129" s="72"/>
      <c r="B129" s="78"/>
      <c r="C129" s="75"/>
      <c r="D129" s="80"/>
    </row>
    <row r="130" spans="1:4" ht="13.8">
      <c r="A130" s="72"/>
      <c r="B130" s="78"/>
      <c r="C130" s="75"/>
      <c r="D130" s="80"/>
    </row>
    <row r="131" spans="1:4" ht="13.8">
      <c r="A131" s="72"/>
      <c r="B131" s="78"/>
      <c r="C131" s="75"/>
      <c r="D131" s="80"/>
    </row>
    <row r="132" spans="1:4" ht="13.8">
      <c r="A132" s="72"/>
      <c r="B132" s="78"/>
      <c r="C132" s="75"/>
      <c r="D132" s="80"/>
    </row>
    <row r="133" spans="1:4" ht="13.8">
      <c r="A133" s="72"/>
      <c r="B133" s="78"/>
      <c r="C133" s="75"/>
      <c r="D133" s="80"/>
    </row>
    <row r="134" spans="1:4" ht="13.8">
      <c r="A134" s="72"/>
      <c r="B134" s="78"/>
      <c r="C134" s="75"/>
      <c r="D134" s="80"/>
    </row>
    <row r="135" spans="1:4" ht="13.8">
      <c r="A135" s="72"/>
      <c r="B135" s="78"/>
      <c r="C135" s="75"/>
      <c r="D135" s="80"/>
    </row>
    <row r="136" spans="1:4" ht="13.8">
      <c r="A136" s="72"/>
      <c r="B136" s="78"/>
      <c r="C136" s="75"/>
      <c r="D136" s="80"/>
    </row>
    <row r="137" spans="1:4" ht="13.8">
      <c r="A137" s="72"/>
      <c r="B137" s="78"/>
      <c r="C137" s="75"/>
      <c r="D137" s="80"/>
    </row>
    <row r="138" spans="1:4" ht="13.8">
      <c r="A138" s="72"/>
      <c r="B138" s="78"/>
      <c r="C138" s="75"/>
      <c r="D138" s="80"/>
    </row>
    <row r="139" spans="1:4" ht="13.8">
      <c r="A139" s="72"/>
      <c r="B139" s="78"/>
      <c r="C139" s="75"/>
      <c r="D139" s="80"/>
    </row>
    <row r="140" spans="1:4" ht="13.8">
      <c r="A140" s="72"/>
      <c r="B140" s="78"/>
      <c r="C140" s="75"/>
      <c r="D140" s="80"/>
    </row>
    <row r="141" spans="1:4" ht="13.8">
      <c r="A141" s="72"/>
      <c r="B141" s="78"/>
      <c r="C141" s="75"/>
      <c r="D141" s="80"/>
    </row>
    <row r="142" spans="1:4" ht="13.8">
      <c r="A142" s="72"/>
      <c r="B142" s="78"/>
      <c r="C142" s="75"/>
      <c r="D142" s="80"/>
    </row>
    <row r="143" spans="1:4" ht="13.8">
      <c r="A143" s="72"/>
      <c r="B143" s="78"/>
      <c r="C143" s="75"/>
      <c r="D143" s="80"/>
    </row>
    <row r="144" spans="1:4" ht="13.8">
      <c r="A144" s="72"/>
      <c r="B144" s="78"/>
      <c r="C144" s="75"/>
      <c r="D144" s="80"/>
    </row>
    <row r="145" spans="1:4" ht="13.8">
      <c r="A145" s="72"/>
      <c r="B145" s="78"/>
      <c r="C145" s="75"/>
      <c r="D145" s="80"/>
    </row>
    <row r="146" spans="1:4" ht="13.8">
      <c r="A146" s="72"/>
      <c r="B146" s="78"/>
      <c r="C146" s="75"/>
      <c r="D146" s="80"/>
    </row>
    <row r="147" spans="1:4" ht="13.8">
      <c r="A147" s="72"/>
      <c r="B147" s="78"/>
      <c r="C147" s="75"/>
      <c r="D147" s="80"/>
    </row>
    <row r="148" spans="1:4" ht="13.8">
      <c r="A148" s="72"/>
      <c r="B148" s="78"/>
      <c r="C148" s="75"/>
      <c r="D148" s="80"/>
    </row>
    <row r="149" spans="1:4" ht="13.8">
      <c r="A149" s="72"/>
      <c r="B149" s="78"/>
      <c r="C149" s="75"/>
      <c r="D149" s="80"/>
    </row>
    <row r="150" spans="1:4" ht="13.8">
      <c r="A150" s="72"/>
      <c r="B150" s="78"/>
      <c r="C150" s="75"/>
      <c r="D150" s="80"/>
    </row>
    <row r="151" spans="1:4" ht="13.8">
      <c r="A151" s="72"/>
      <c r="B151" s="78"/>
      <c r="C151" s="75"/>
      <c r="D151" s="80"/>
    </row>
    <row r="152" spans="1:4" ht="13.8">
      <c r="A152" s="72"/>
      <c r="B152" s="78"/>
      <c r="C152" s="75"/>
      <c r="D152" s="80"/>
    </row>
    <row r="153" spans="1:4" ht="13.8">
      <c r="A153" s="72"/>
      <c r="B153" s="78"/>
      <c r="C153" s="75"/>
      <c r="D153" s="80"/>
    </row>
    <row r="154" spans="1:4" ht="13.8">
      <c r="A154" s="72"/>
      <c r="B154" s="78"/>
      <c r="C154" s="75"/>
      <c r="D154" s="80"/>
    </row>
    <row r="155" spans="1:4" ht="13.8">
      <c r="A155" s="72"/>
      <c r="B155" s="78"/>
      <c r="C155" s="75"/>
      <c r="D155" s="80"/>
    </row>
    <row r="156" spans="1:4" ht="13.8">
      <c r="A156" s="72"/>
      <c r="B156" s="78"/>
      <c r="C156" s="75"/>
      <c r="D156" s="80"/>
    </row>
    <row r="157" spans="1:4" ht="13.8">
      <c r="A157" s="72"/>
      <c r="B157" s="78"/>
      <c r="C157" s="75"/>
      <c r="D157" s="80"/>
    </row>
    <row r="158" spans="1:4" ht="13.8">
      <c r="A158" s="72"/>
      <c r="B158" s="78"/>
      <c r="C158" s="75"/>
      <c r="D158" s="80"/>
    </row>
    <row r="159" spans="1:4" ht="13.8">
      <c r="A159" s="72"/>
      <c r="B159" s="78"/>
      <c r="C159" s="75"/>
      <c r="D159" s="80"/>
    </row>
    <row r="160" spans="1:4" ht="13.8">
      <c r="A160" s="72"/>
      <c r="B160" s="78"/>
      <c r="C160" s="75"/>
      <c r="D160" s="80"/>
    </row>
    <row r="161" spans="1:4" ht="13.8">
      <c r="A161" s="72"/>
      <c r="B161" s="78"/>
      <c r="C161" s="75"/>
      <c r="D161" s="80"/>
    </row>
    <row r="162" spans="1:4" ht="13.8">
      <c r="A162" s="72"/>
      <c r="B162" s="78"/>
      <c r="C162" s="75"/>
      <c r="D162" s="80"/>
    </row>
    <row r="163" spans="1:4" ht="13.8">
      <c r="A163" s="72"/>
      <c r="B163" s="78"/>
      <c r="C163" s="75"/>
      <c r="D163" s="80"/>
    </row>
    <row r="164" spans="1:4" ht="13.8">
      <c r="A164" s="72"/>
      <c r="B164" s="78"/>
      <c r="C164" s="75"/>
      <c r="D164" s="80"/>
    </row>
    <row r="165" spans="1:4" ht="13.8">
      <c r="A165" s="72"/>
      <c r="B165" s="78"/>
      <c r="C165" s="75"/>
      <c r="D165" s="80"/>
    </row>
    <row r="166" spans="1:4" ht="13.8">
      <c r="A166" s="72"/>
      <c r="B166" s="78"/>
      <c r="C166" s="75"/>
      <c r="D166" s="80"/>
    </row>
    <row r="167" spans="1:4" ht="13.8">
      <c r="A167" s="72"/>
      <c r="B167" s="78"/>
      <c r="C167" s="75"/>
      <c r="D167" s="80"/>
    </row>
    <row r="168" spans="1:4" ht="13.8">
      <c r="A168" s="72"/>
      <c r="B168" s="78"/>
      <c r="C168" s="75"/>
      <c r="D168" s="80"/>
    </row>
    <row r="169" spans="1:4" ht="13.8">
      <c r="A169" s="72"/>
      <c r="B169" s="78"/>
      <c r="C169" s="75"/>
      <c r="D169" s="80"/>
    </row>
    <row r="170" spans="1:4" ht="13.8">
      <c r="A170" s="72"/>
      <c r="B170" s="78"/>
      <c r="C170" s="75"/>
      <c r="D170" s="80"/>
    </row>
    <row r="171" spans="1:4" ht="13.8">
      <c r="A171" s="72"/>
      <c r="B171" s="78"/>
      <c r="C171" s="75"/>
      <c r="D171" s="80"/>
    </row>
    <row r="172" spans="1:4" ht="13.8">
      <c r="A172" s="72"/>
      <c r="B172" s="78"/>
      <c r="C172" s="75"/>
      <c r="D172" s="80"/>
    </row>
    <row r="173" spans="1:4" ht="13.8">
      <c r="A173" s="72"/>
      <c r="B173" s="78"/>
      <c r="C173" s="75"/>
      <c r="D173" s="80"/>
    </row>
    <row r="174" spans="1:4" ht="13.8">
      <c r="A174" s="72"/>
      <c r="B174" s="78"/>
      <c r="C174" s="75"/>
      <c r="D174" s="80"/>
    </row>
    <row r="175" spans="1:4" ht="13.8">
      <c r="A175" s="72"/>
      <c r="B175" s="78"/>
      <c r="C175" s="75"/>
      <c r="D175" s="80"/>
    </row>
    <row r="176" spans="1:4" ht="13.8">
      <c r="A176" s="72"/>
      <c r="B176" s="78"/>
      <c r="C176" s="75"/>
      <c r="D176" s="80"/>
    </row>
    <row r="177" spans="1:4" ht="13.8">
      <c r="A177" s="72"/>
      <c r="B177" s="78"/>
      <c r="C177" s="75"/>
      <c r="D177" s="80"/>
    </row>
    <row r="178" spans="1:4" ht="13.8">
      <c r="A178" s="72"/>
      <c r="B178" s="78"/>
      <c r="C178" s="75"/>
      <c r="D178" s="80"/>
    </row>
    <row r="179" spans="1:4" ht="13.8">
      <c r="A179" s="72"/>
      <c r="B179" s="78"/>
      <c r="C179" s="75"/>
      <c r="D179" s="80"/>
    </row>
    <row r="180" spans="1:4" ht="13.8">
      <c r="A180" s="72"/>
      <c r="B180" s="78"/>
      <c r="C180" s="75"/>
      <c r="D180" s="80"/>
    </row>
    <row r="181" spans="1:4" ht="13.8">
      <c r="A181" s="72"/>
      <c r="B181" s="78"/>
      <c r="C181" s="75"/>
      <c r="D181" s="80"/>
    </row>
    <row r="182" spans="1:4" ht="13.8">
      <c r="A182" s="72"/>
      <c r="B182" s="78"/>
      <c r="C182" s="75"/>
      <c r="D182" s="80"/>
    </row>
    <row r="183" spans="1:4" ht="13.8">
      <c r="A183" s="72"/>
      <c r="B183" s="78"/>
      <c r="C183" s="75"/>
      <c r="D183" s="80"/>
    </row>
    <row r="184" spans="1:4" ht="13.8">
      <c r="A184" s="72"/>
      <c r="B184" s="78"/>
      <c r="C184" s="75"/>
      <c r="D184" s="80"/>
    </row>
    <row r="185" spans="1:4" ht="13.8">
      <c r="A185" s="72"/>
      <c r="B185" s="78"/>
      <c r="C185" s="75"/>
      <c r="D185" s="80"/>
    </row>
    <row r="186" spans="1:4" ht="13.8">
      <c r="A186" s="72"/>
      <c r="B186" s="78"/>
      <c r="C186" s="75"/>
      <c r="D186" s="80"/>
    </row>
    <row r="187" spans="1:4" ht="13.8">
      <c r="A187" s="72"/>
      <c r="B187" s="78"/>
      <c r="C187" s="75"/>
      <c r="D187" s="80"/>
    </row>
    <row r="188" spans="1:4" ht="13.8">
      <c r="A188" s="72"/>
      <c r="B188" s="78"/>
      <c r="C188" s="75"/>
      <c r="D188" s="80"/>
    </row>
    <row r="189" spans="1:4" ht="13.8">
      <c r="A189" s="72"/>
      <c r="B189" s="78"/>
      <c r="C189" s="75"/>
      <c r="D189" s="80"/>
    </row>
    <row r="190" spans="1:4" ht="13.8">
      <c r="A190" s="72"/>
      <c r="B190" s="78"/>
      <c r="C190" s="75"/>
      <c r="D190" s="80"/>
    </row>
    <row r="191" spans="1:4" ht="13.8">
      <c r="A191" s="72"/>
      <c r="B191" s="78"/>
      <c r="C191" s="75"/>
      <c r="D191" s="80"/>
    </row>
    <row r="192" spans="1:4" ht="13.8">
      <c r="A192" s="72"/>
      <c r="B192" s="78"/>
      <c r="C192" s="75"/>
      <c r="D192" s="80"/>
    </row>
    <row r="193" spans="1:4" ht="13.8">
      <c r="A193" s="72"/>
      <c r="B193" s="78"/>
      <c r="C193" s="75"/>
      <c r="D193" s="80"/>
    </row>
    <row r="194" spans="1:4" ht="13.8">
      <c r="A194" s="72"/>
      <c r="B194" s="78"/>
      <c r="C194" s="75"/>
      <c r="D194" s="80"/>
    </row>
    <row r="195" spans="1:4" ht="13.8">
      <c r="A195" s="72"/>
      <c r="B195" s="78"/>
      <c r="C195" s="75"/>
      <c r="D195" s="80"/>
    </row>
    <row r="196" spans="1:4" ht="13.8">
      <c r="A196" s="72"/>
      <c r="B196" s="78"/>
      <c r="C196" s="75"/>
      <c r="D196" s="80"/>
    </row>
    <row r="197" spans="1:4" ht="13.8">
      <c r="A197" s="72"/>
      <c r="B197" s="78"/>
      <c r="C197" s="75"/>
      <c r="D197" s="80"/>
    </row>
    <row r="198" spans="1:4" ht="13.8">
      <c r="A198" s="72"/>
      <c r="B198" s="78"/>
      <c r="C198" s="75"/>
      <c r="D198" s="80"/>
    </row>
    <row r="199" spans="1:4" ht="13.8">
      <c r="A199" s="72"/>
      <c r="B199" s="78"/>
      <c r="C199" s="75"/>
      <c r="D199" s="80"/>
    </row>
    <row r="200" spans="1:4" ht="13.8">
      <c r="A200" s="72"/>
      <c r="B200" s="78"/>
      <c r="C200" s="75"/>
      <c r="D200" s="80"/>
    </row>
    <row r="201" spans="1:4" ht="13.8">
      <c r="A201" s="72"/>
      <c r="B201" s="78"/>
      <c r="C201" s="75"/>
      <c r="D201" s="80"/>
    </row>
    <row r="202" spans="1:4" ht="13.8">
      <c r="A202" s="72"/>
      <c r="B202" s="78"/>
      <c r="C202" s="75"/>
      <c r="D202" s="80"/>
    </row>
    <row r="203" spans="1:4" ht="13.8">
      <c r="A203" s="72"/>
      <c r="B203" s="78"/>
      <c r="C203" s="75"/>
      <c r="D203" s="80"/>
    </row>
    <row r="204" spans="1:4" ht="13.8">
      <c r="A204" s="72"/>
      <c r="B204" s="78"/>
      <c r="C204" s="75"/>
      <c r="D204" s="80"/>
    </row>
    <row r="205" spans="1:4" ht="13.8">
      <c r="A205" s="72"/>
      <c r="B205" s="78"/>
      <c r="C205" s="75"/>
      <c r="D205" s="80"/>
    </row>
    <row r="206" spans="1:4" ht="13.8">
      <c r="A206" s="72"/>
      <c r="B206" s="78"/>
      <c r="C206" s="75"/>
      <c r="D206" s="80"/>
    </row>
    <row r="207" spans="1:4" ht="13.8">
      <c r="A207" s="72"/>
      <c r="B207" s="78"/>
      <c r="C207" s="75"/>
      <c r="D207" s="80"/>
    </row>
    <row r="208" spans="1:4" ht="13.8">
      <c r="A208" s="72"/>
      <c r="B208" s="78"/>
      <c r="C208" s="75"/>
      <c r="D208" s="80"/>
    </row>
    <row r="209" spans="1:4" ht="13.8">
      <c r="A209" s="72"/>
      <c r="B209" s="78"/>
      <c r="C209" s="75"/>
      <c r="D209" s="80"/>
    </row>
    <row r="210" spans="1:4" ht="13.8">
      <c r="A210" s="72"/>
      <c r="B210" s="78"/>
      <c r="C210" s="75"/>
      <c r="D210" s="80"/>
    </row>
    <row r="211" spans="1:4" ht="13.8">
      <c r="A211" s="72"/>
      <c r="B211" s="78"/>
      <c r="C211" s="75"/>
      <c r="D211" s="80"/>
    </row>
    <row r="212" spans="1:4" ht="13.8">
      <c r="A212" s="72"/>
      <c r="B212" s="78"/>
      <c r="C212" s="75"/>
      <c r="D212" s="80"/>
    </row>
    <row r="213" spans="1:4" ht="13.8">
      <c r="A213" s="72"/>
      <c r="B213" s="78"/>
      <c r="C213" s="75"/>
      <c r="D213" s="80"/>
    </row>
    <row r="214" spans="1:4" ht="13.8">
      <c r="A214" s="72"/>
      <c r="B214" s="78"/>
      <c r="C214" s="75"/>
      <c r="D214" s="80"/>
    </row>
    <row r="215" spans="1:4" ht="13.8">
      <c r="A215" s="72"/>
      <c r="B215" s="78"/>
      <c r="C215" s="75"/>
      <c r="D215" s="80"/>
    </row>
    <row r="216" spans="1:4" ht="13.8">
      <c r="A216" s="72"/>
      <c r="B216" s="78"/>
      <c r="C216" s="75"/>
      <c r="D216" s="80"/>
    </row>
    <row r="217" spans="1:4" ht="13.8">
      <c r="A217" s="72"/>
      <c r="B217" s="78"/>
      <c r="C217" s="75"/>
      <c r="D217" s="80"/>
    </row>
    <row r="218" spans="1:4" ht="13.8">
      <c r="A218" s="72"/>
      <c r="B218" s="78"/>
      <c r="C218" s="75"/>
      <c r="D218" s="80"/>
    </row>
    <row r="219" spans="1:4" ht="13.8">
      <c r="A219" s="72"/>
      <c r="B219" s="78"/>
      <c r="C219" s="75"/>
      <c r="D219" s="80"/>
    </row>
    <row r="220" spans="1:4" ht="13.8">
      <c r="A220" s="72"/>
      <c r="B220" s="78"/>
      <c r="C220" s="75"/>
      <c r="D220" s="80"/>
    </row>
    <row r="221" spans="1:4" ht="13.8">
      <c r="A221" s="72"/>
      <c r="B221" s="78"/>
      <c r="C221" s="75"/>
      <c r="D221" s="80"/>
    </row>
    <row r="222" spans="1:4" ht="13.8">
      <c r="A222" s="72"/>
      <c r="B222" s="78"/>
      <c r="C222" s="75"/>
      <c r="D222" s="80"/>
    </row>
    <row r="223" spans="1:4" ht="13.8">
      <c r="A223" s="72"/>
      <c r="B223" s="78"/>
      <c r="C223" s="75"/>
      <c r="D223" s="80"/>
    </row>
    <row r="224" spans="1:4" ht="13.8">
      <c r="A224" s="72"/>
      <c r="B224" s="78"/>
      <c r="C224" s="75"/>
      <c r="D224" s="80"/>
    </row>
    <row r="225" spans="1:4" ht="13.8">
      <c r="A225" s="72"/>
      <c r="B225" s="78"/>
      <c r="C225" s="75"/>
      <c r="D225" s="80"/>
    </row>
    <row r="226" spans="1:4" ht="13.8">
      <c r="A226" s="72"/>
      <c r="B226" s="78"/>
      <c r="C226" s="75"/>
      <c r="D226" s="80"/>
    </row>
    <row r="227" spans="1:4" ht="13.8">
      <c r="A227" s="72"/>
      <c r="B227" s="78"/>
      <c r="C227" s="75"/>
      <c r="D227" s="80"/>
    </row>
    <row r="228" spans="1:4" ht="13.8">
      <c r="A228" s="72"/>
      <c r="B228" s="78"/>
      <c r="C228" s="75"/>
      <c r="D228" s="80"/>
    </row>
    <row r="229" spans="1:4" ht="13.8">
      <c r="A229" s="72"/>
      <c r="B229" s="78"/>
      <c r="C229" s="75"/>
      <c r="D229" s="80"/>
    </row>
    <row r="230" spans="1:4" ht="13.8">
      <c r="A230" s="72"/>
      <c r="B230" s="78"/>
      <c r="C230" s="75"/>
      <c r="D230" s="80"/>
    </row>
    <row r="231" spans="1:4" ht="13.8">
      <c r="A231" s="72"/>
      <c r="B231" s="78"/>
      <c r="C231" s="75"/>
      <c r="D231" s="80"/>
    </row>
    <row r="232" spans="1:4" ht="13.8">
      <c r="A232" s="72"/>
      <c r="B232" s="78"/>
      <c r="C232" s="75"/>
      <c r="D232" s="80"/>
    </row>
    <row r="233" spans="1:4" ht="13.8">
      <c r="A233" s="72"/>
      <c r="B233" s="78"/>
      <c r="C233" s="75"/>
      <c r="D233" s="80"/>
    </row>
    <row r="234" spans="1:4" ht="13.8">
      <c r="A234" s="72"/>
      <c r="B234" s="78"/>
      <c r="C234" s="75"/>
      <c r="D234" s="80"/>
    </row>
    <row r="235" spans="1:4" ht="13.8">
      <c r="A235" s="72"/>
      <c r="B235" s="78"/>
      <c r="C235" s="75"/>
      <c r="D235" s="80"/>
    </row>
    <row r="236" spans="1:4" ht="13.8">
      <c r="A236" s="72"/>
      <c r="B236" s="78"/>
      <c r="C236" s="75"/>
      <c r="D236" s="80"/>
    </row>
    <row r="237" spans="1:4" ht="13.8">
      <c r="A237" s="72"/>
      <c r="B237" s="78"/>
      <c r="C237" s="75"/>
      <c r="D237" s="80"/>
    </row>
    <row r="238" spans="1:4" ht="13.8">
      <c r="A238" s="72"/>
      <c r="B238" s="78"/>
      <c r="C238" s="75"/>
      <c r="D238" s="80"/>
    </row>
    <row r="239" spans="1:4" ht="13.8">
      <c r="A239" s="72"/>
      <c r="B239" s="78"/>
      <c r="C239" s="75"/>
      <c r="D239" s="80"/>
    </row>
    <row r="240" spans="1:4" ht="13.8">
      <c r="A240" s="72"/>
      <c r="B240" s="78"/>
      <c r="C240" s="75"/>
      <c r="D240" s="80"/>
    </row>
    <row r="241" spans="1:4" ht="13.8">
      <c r="A241" s="72"/>
      <c r="B241" s="78"/>
      <c r="C241" s="75"/>
      <c r="D241" s="80"/>
    </row>
    <row r="242" spans="1:4" ht="13.8">
      <c r="A242" s="72"/>
      <c r="B242" s="78"/>
      <c r="C242" s="75"/>
      <c r="D242" s="80"/>
    </row>
    <row r="243" spans="1:4" ht="13.8">
      <c r="A243" s="72"/>
      <c r="B243" s="78"/>
      <c r="C243" s="75"/>
      <c r="D243" s="80"/>
    </row>
    <row r="244" spans="1:4" ht="13.8">
      <c r="A244" s="72"/>
      <c r="B244" s="78"/>
      <c r="C244" s="75"/>
      <c r="D244" s="80"/>
    </row>
    <row r="245" spans="1:4" ht="13.8">
      <c r="A245" s="72"/>
      <c r="B245" s="78"/>
      <c r="C245" s="75"/>
      <c r="D245" s="80"/>
    </row>
    <row r="246" spans="1:4" ht="13.8">
      <c r="A246" s="72"/>
      <c r="B246" s="78"/>
      <c r="C246" s="75"/>
      <c r="D246" s="80"/>
    </row>
    <row r="247" spans="1:4" ht="13.8">
      <c r="A247" s="72"/>
      <c r="B247" s="78"/>
      <c r="C247" s="75"/>
      <c r="D247" s="80"/>
    </row>
    <row r="248" spans="1:4" ht="13.8">
      <c r="A248" s="72"/>
      <c r="B248" s="78"/>
      <c r="C248" s="75"/>
      <c r="D248" s="80"/>
    </row>
    <row r="249" spans="1:4" ht="13.8">
      <c r="A249" s="72"/>
      <c r="B249" s="78"/>
      <c r="C249" s="75"/>
      <c r="D249" s="80"/>
    </row>
    <row r="250" spans="1:4" ht="13.8">
      <c r="A250" s="72"/>
      <c r="B250" s="78"/>
      <c r="C250" s="75"/>
      <c r="D250" s="80"/>
    </row>
    <row r="251" spans="1:4" ht="13.8">
      <c r="A251" s="72"/>
      <c r="B251" s="78"/>
      <c r="C251" s="75"/>
      <c r="D251" s="80"/>
    </row>
    <row r="252" spans="1:4" ht="13.8">
      <c r="A252" s="72"/>
      <c r="B252" s="78"/>
      <c r="C252" s="75"/>
      <c r="D252" s="80"/>
    </row>
    <row r="253" spans="1:4" ht="13.8">
      <c r="A253" s="72"/>
      <c r="B253" s="78"/>
      <c r="C253" s="75"/>
      <c r="D253" s="80"/>
    </row>
    <row r="254" spans="1:4" ht="13.8">
      <c r="A254" s="72"/>
      <c r="B254" s="78"/>
      <c r="C254" s="75"/>
      <c r="D254" s="80"/>
    </row>
    <row r="255" spans="1:4" ht="13.8">
      <c r="A255" s="72"/>
      <c r="B255" s="78"/>
      <c r="C255" s="75"/>
      <c r="D255" s="80"/>
    </row>
    <row r="256" spans="1:4" ht="13.8">
      <c r="A256" s="72"/>
      <c r="B256" s="78"/>
      <c r="C256" s="75"/>
      <c r="D256" s="80"/>
    </row>
    <row r="257" spans="1:4" ht="13.8">
      <c r="A257" s="72"/>
      <c r="B257" s="78"/>
      <c r="C257" s="75"/>
      <c r="D257" s="80"/>
    </row>
    <row r="258" spans="1:4" ht="13.8">
      <c r="A258" s="72"/>
      <c r="B258" s="78"/>
      <c r="C258" s="75"/>
      <c r="D258" s="80"/>
    </row>
    <row r="259" spans="1:4" ht="13.8">
      <c r="A259" s="72"/>
      <c r="B259" s="78"/>
      <c r="C259" s="75"/>
      <c r="D259" s="80"/>
    </row>
    <row r="260" spans="1:4" ht="13.8">
      <c r="A260" s="72"/>
      <c r="B260" s="78"/>
      <c r="C260" s="75"/>
      <c r="D260" s="80"/>
    </row>
    <row r="261" spans="1:4" ht="13.8">
      <c r="A261" s="72"/>
      <c r="B261" s="78"/>
      <c r="C261" s="75"/>
      <c r="D261" s="80"/>
    </row>
    <row r="262" spans="1:4" ht="13.8">
      <c r="A262" s="72"/>
      <c r="B262" s="78"/>
      <c r="C262" s="75"/>
      <c r="D262" s="80"/>
    </row>
    <row r="263" spans="1:4" ht="13.8">
      <c r="A263" s="72"/>
      <c r="B263" s="78"/>
      <c r="C263" s="75"/>
      <c r="D263" s="80"/>
    </row>
    <row r="264" spans="1:4" ht="13.8">
      <c r="A264" s="72"/>
      <c r="B264" s="78"/>
      <c r="C264" s="75"/>
      <c r="D264" s="80"/>
    </row>
    <row r="265" spans="1:4" ht="13.8">
      <c r="A265" s="72"/>
      <c r="B265" s="78"/>
      <c r="C265" s="75"/>
      <c r="D265" s="80"/>
    </row>
    <row r="266" spans="1:4" ht="13.8">
      <c r="A266" s="72"/>
      <c r="B266" s="78"/>
      <c r="C266" s="75"/>
      <c r="D266" s="80"/>
    </row>
    <row r="267" spans="1:4" ht="13.8">
      <c r="A267" s="72"/>
      <c r="B267" s="78"/>
      <c r="C267" s="75"/>
      <c r="D267" s="80"/>
    </row>
    <row r="268" spans="1:4" ht="13.8">
      <c r="A268" s="72"/>
      <c r="B268" s="78"/>
      <c r="C268" s="75"/>
      <c r="D268" s="80"/>
    </row>
    <row r="269" spans="1:4" ht="13.8">
      <c r="A269" s="72"/>
      <c r="B269" s="78"/>
      <c r="C269" s="75"/>
      <c r="D269" s="80"/>
    </row>
    <row r="270" spans="1:4" ht="13.8">
      <c r="A270" s="72"/>
      <c r="B270" s="78"/>
      <c r="C270" s="75"/>
      <c r="D270" s="80"/>
    </row>
    <row r="271" spans="1:4" ht="13.8">
      <c r="A271" s="72"/>
      <c r="B271" s="78"/>
      <c r="C271" s="75"/>
      <c r="D271" s="80"/>
    </row>
    <row r="272" spans="1:4" ht="13.8">
      <c r="A272" s="72"/>
      <c r="B272" s="78"/>
      <c r="C272" s="75"/>
      <c r="D272" s="80"/>
    </row>
    <row r="273" spans="1:4" ht="13.8">
      <c r="A273" s="72"/>
      <c r="B273" s="78"/>
      <c r="C273" s="75"/>
      <c r="D273" s="80"/>
    </row>
    <row r="274" spans="1:4" ht="13.8">
      <c r="A274" s="72"/>
      <c r="B274" s="78"/>
      <c r="C274" s="75"/>
      <c r="D274" s="80"/>
    </row>
    <row r="275" spans="1:4" ht="13.8">
      <c r="A275" s="72"/>
      <c r="B275" s="78"/>
      <c r="C275" s="75"/>
      <c r="D275" s="80"/>
    </row>
    <row r="276" spans="1:4" ht="13.8">
      <c r="A276" s="72"/>
      <c r="B276" s="78"/>
      <c r="C276" s="75"/>
      <c r="D276" s="80"/>
    </row>
    <row r="277" spans="1:4" ht="13.8">
      <c r="A277" s="72"/>
      <c r="B277" s="78"/>
      <c r="C277" s="75"/>
      <c r="D277" s="80"/>
    </row>
    <row r="278" spans="1:4" ht="13.8">
      <c r="A278" s="72"/>
      <c r="B278" s="78"/>
      <c r="C278" s="75"/>
      <c r="D278" s="80"/>
    </row>
    <row r="279" spans="1:4" ht="13.8">
      <c r="A279" s="72"/>
      <c r="B279" s="78"/>
      <c r="C279" s="75"/>
      <c r="D279" s="80"/>
    </row>
    <row r="280" spans="1:4" ht="13.8">
      <c r="A280" s="72"/>
      <c r="B280" s="78"/>
      <c r="C280" s="75"/>
      <c r="D280" s="80"/>
    </row>
    <row r="281" spans="1:4" ht="13.8">
      <c r="A281" s="72"/>
      <c r="B281" s="78"/>
      <c r="C281" s="75"/>
      <c r="D281" s="80"/>
    </row>
    <row r="282" spans="1:4" ht="13.8">
      <c r="A282" s="72"/>
      <c r="B282" s="78"/>
      <c r="C282" s="75"/>
      <c r="D282" s="80"/>
    </row>
    <row r="283" spans="1:4" ht="13.8">
      <c r="A283" s="72"/>
      <c r="B283" s="78"/>
      <c r="C283" s="75"/>
      <c r="D283" s="80"/>
    </row>
    <row r="284" spans="1:4" ht="13.8">
      <c r="A284" s="72"/>
      <c r="B284" s="78"/>
      <c r="C284" s="75"/>
      <c r="D284" s="80"/>
    </row>
    <row r="285" spans="1:4" ht="13.8">
      <c r="A285" s="72"/>
      <c r="B285" s="78"/>
      <c r="C285" s="75"/>
      <c r="D285" s="80"/>
    </row>
    <row r="286" spans="1:4" ht="13.8">
      <c r="A286" s="72"/>
      <c r="B286" s="78"/>
      <c r="C286" s="75"/>
      <c r="D286" s="80"/>
    </row>
    <row r="287" spans="1:4" ht="13.8">
      <c r="A287" s="72"/>
      <c r="B287" s="78"/>
      <c r="C287" s="75"/>
      <c r="D287" s="80"/>
    </row>
    <row r="288" spans="1:4" ht="13.8">
      <c r="A288" s="72"/>
      <c r="B288" s="78"/>
      <c r="C288" s="75"/>
      <c r="D288" s="80"/>
    </row>
    <row r="289" spans="1:4" ht="13.8">
      <c r="A289" s="72"/>
      <c r="B289" s="78"/>
      <c r="C289" s="75"/>
      <c r="D289" s="80"/>
    </row>
    <row r="290" spans="1:4" ht="13.8">
      <c r="A290" s="72"/>
      <c r="B290" s="78"/>
      <c r="C290" s="75"/>
      <c r="D290" s="80"/>
    </row>
    <row r="291" spans="1:4" ht="13.8">
      <c r="A291" s="72"/>
      <c r="B291" s="78"/>
      <c r="C291" s="75"/>
      <c r="D291" s="80"/>
    </row>
    <row r="292" spans="1:4" ht="13.8">
      <c r="A292" s="72"/>
      <c r="B292" s="78"/>
      <c r="C292" s="75"/>
      <c r="D292" s="80"/>
    </row>
    <row r="293" spans="1:4" ht="13.8">
      <c r="A293" s="72"/>
      <c r="B293" s="78"/>
      <c r="C293" s="75"/>
      <c r="D293" s="80"/>
    </row>
    <row r="294" spans="1:4" ht="13.8">
      <c r="A294" s="72"/>
      <c r="B294" s="78"/>
      <c r="C294" s="75"/>
      <c r="D294" s="80"/>
    </row>
    <row r="295" spans="1:4" ht="13.8">
      <c r="A295" s="72"/>
      <c r="B295" s="78"/>
      <c r="C295" s="75"/>
      <c r="D295" s="80"/>
    </row>
    <row r="296" spans="1:4" ht="13.8">
      <c r="A296" s="72"/>
      <c r="B296" s="78"/>
      <c r="C296" s="75"/>
      <c r="D296" s="80"/>
    </row>
    <row r="297" spans="1:4" ht="13.8">
      <c r="A297" s="72"/>
      <c r="B297" s="78"/>
      <c r="C297" s="75"/>
      <c r="D297" s="80"/>
    </row>
    <row r="298" spans="1:4" ht="13.8">
      <c r="A298" s="72"/>
      <c r="B298" s="78"/>
      <c r="C298" s="75"/>
      <c r="D298" s="80"/>
    </row>
    <row r="299" spans="1:4" ht="13.8">
      <c r="A299" s="72"/>
      <c r="B299" s="78"/>
      <c r="C299" s="75"/>
      <c r="D299" s="80"/>
    </row>
    <row r="300" spans="1:4" ht="13.8">
      <c r="A300" s="72"/>
      <c r="B300" s="78"/>
      <c r="C300" s="75"/>
      <c r="D300" s="80"/>
    </row>
    <row r="301" spans="1:4" ht="13.8">
      <c r="A301" s="72"/>
      <c r="B301" s="78"/>
      <c r="C301" s="75"/>
      <c r="D301" s="80"/>
    </row>
    <row r="302" spans="1:4" ht="13.8">
      <c r="A302" s="72"/>
      <c r="B302" s="78"/>
      <c r="C302" s="75"/>
      <c r="D302" s="80"/>
    </row>
    <row r="303" spans="1:4" ht="13.8">
      <c r="A303" s="72"/>
      <c r="B303" s="78"/>
      <c r="C303" s="75"/>
      <c r="D303" s="80"/>
    </row>
    <row r="304" spans="1:4" ht="13.8">
      <c r="A304" s="72"/>
      <c r="B304" s="78"/>
      <c r="C304" s="75"/>
      <c r="D304" s="80"/>
    </row>
    <row r="305" spans="1:4" ht="13.8">
      <c r="A305" s="72"/>
      <c r="B305" s="78"/>
      <c r="C305" s="75"/>
      <c r="D305" s="80"/>
    </row>
    <row r="306" spans="1:4" ht="13.8">
      <c r="A306" s="72"/>
      <c r="B306" s="78"/>
      <c r="C306" s="75"/>
      <c r="D306" s="80"/>
    </row>
    <row r="307" spans="1:4" ht="13.8">
      <c r="A307" s="72"/>
      <c r="B307" s="78"/>
      <c r="C307" s="75"/>
      <c r="D307" s="80"/>
    </row>
    <row r="308" spans="1:4" ht="13.8">
      <c r="A308" s="72"/>
      <c r="B308" s="78"/>
      <c r="C308" s="75"/>
      <c r="D308" s="80"/>
    </row>
    <row r="309" spans="1:4" ht="13.8">
      <c r="A309" s="72"/>
      <c r="B309" s="78"/>
      <c r="C309" s="75"/>
      <c r="D309" s="80"/>
    </row>
    <row r="310" spans="1:4" ht="13.8">
      <c r="A310" s="72"/>
      <c r="B310" s="78"/>
      <c r="C310" s="75"/>
      <c r="D310" s="80"/>
    </row>
    <row r="311" spans="1:4" ht="13.8">
      <c r="A311" s="72"/>
      <c r="B311" s="78"/>
      <c r="C311" s="75"/>
      <c r="D311" s="80"/>
    </row>
    <row r="312" spans="1:4" ht="13.8">
      <c r="A312" s="72"/>
      <c r="B312" s="78"/>
      <c r="C312" s="75"/>
      <c r="D312" s="80"/>
    </row>
    <row r="313" spans="1:4" ht="13.8">
      <c r="A313" s="72"/>
      <c r="B313" s="78"/>
      <c r="C313" s="75"/>
      <c r="D313" s="80"/>
    </row>
    <row r="314" spans="1:4" ht="13.8">
      <c r="A314" s="72"/>
      <c r="B314" s="78"/>
      <c r="C314" s="75"/>
      <c r="D314" s="80"/>
    </row>
    <row r="315" spans="1:4" ht="13.8">
      <c r="A315" s="72"/>
      <c r="B315" s="78"/>
      <c r="C315" s="75"/>
      <c r="D315" s="80"/>
    </row>
    <row r="316" spans="1:4" ht="13.8">
      <c r="A316" s="72"/>
      <c r="B316" s="78"/>
      <c r="C316" s="75"/>
      <c r="D316" s="80"/>
    </row>
    <row r="317" spans="1:4" ht="13.8">
      <c r="A317" s="72"/>
      <c r="B317" s="78"/>
      <c r="C317" s="75"/>
      <c r="D317" s="80"/>
    </row>
    <row r="318" spans="1:4" ht="13.8">
      <c r="A318" s="72"/>
      <c r="B318" s="78"/>
      <c r="C318" s="75"/>
      <c r="D318" s="80"/>
    </row>
    <row r="319" spans="1:4" ht="13.8">
      <c r="A319" s="72"/>
      <c r="B319" s="78"/>
      <c r="C319" s="75"/>
      <c r="D319" s="80"/>
    </row>
    <row r="320" spans="1:4" ht="13.8">
      <c r="A320" s="72"/>
      <c r="B320" s="78"/>
      <c r="C320" s="75"/>
      <c r="D320" s="80"/>
    </row>
    <row r="321" spans="1:4" ht="13.8">
      <c r="A321" s="72"/>
      <c r="B321" s="78"/>
      <c r="C321" s="75"/>
      <c r="D321" s="80"/>
    </row>
    <row r="322" spans="1:4" ht="13.8">
      <c r="A322" s="72"/>
      <c r="B322" s="78"/>
      <c r="C322" s="75"/>
      <c r="D322" s="80"/>
    </row>
    <row r="323" spans="1:4" ht="13.8">
      <c r="A323" s="72"/>
      <c r="B323" s="78"/>
      <c r="C323" s="75"/>
      <c r="D323" s="80"/>
    </row>
    <row r="324" spans="1:4" ht="13.8">
      <c r="A324" s="72"/>
      <c r="B324" s="78"/>
      <c r="C324" s="75"/>
      <c r="D324" s="80"/>
    </row>
    <row r="325" spans="1:4" ht="13.8">
      <c r="A325" s="72"/>
      <c r="B325" s="78"/>
      <c r="C325" s="75"/>
      <c r="D325" s="80"/>
    </row>
    <row r="326" spans="1:4" ht="13.8">
      <c r="A326" s="72"/>
      <c r="B326" s="78"/>
      <c r="C326" s="75"/>
      <c r="D326" s="80"/>
    </row>
    <row r="327" spans="1:4" ht="13.8">
      <c r="A327" s="72"/>
      <c r="B327" s="78"/>
      <c r="C327" s="75"/>
      <c r="D327" s="80"/>
    </row>
    <row r="328" spans="1:4" ht="13.8">
      <c r="A328" s="72"/>
      <c r="B328" s="78"/>
      <c r="C328" s="75"/>
      <c r="D328" s="80"/>
    </row>
    <row r="329" spans="1:4" ht="13.8">
      <c r="A329" s="72"/>
      <c r="B329" s="78"/>
      <c r="C329" s="75"/>
      <c r="D329" s="80"/>
    </row>
    <row r="330" spans="1:4" ht="13.8">
      <c r="A330" s="72"/>
      <c r="B330" s="78"/>
      <c r="C330" s="75"/>
      <c r="D330" s="80"/>
    </row>
    <row r="331" spans="1:4" ht="13.8">
      <c r="A331" s="72"/>
      <c r="B331" s="78"/>
      <c r="C331" s="75"/>
      <c r="D331" s="80"/>
    </row>
    <row r="332" spans="1:4" ht="13.8">
      <c r="A332" s="72"/>
      <c r="B332" s="78"/>
      <c r="C332" s="75"/>
      <c r="D332" s="80"/>
    </row>
    <row r="333" spans="1:4" ht="13.8">
      <c r="A333" s="72"/>
      <c r="B333" s="78"/>
      <c r="C333" s="75"/>
      <c r="D333" s="80"/>
    </row>
    <row r="334" spans="1:4" ht="13.8">
      <c r="A334" s="72"/>
      <c r="B334" s="78"/>
      <c r="C334" s="75"/>
      <c r="D334" s="80"/>
    </row>
    <row r="335" spans="1:4" ht="13.8">
      <c r="A335" s="72"/>
      <c r="B335" s="78"/>
      <c r="C335" s="75"/>
      <c r="D335" s="80"/>
    </row>
    <row r="336" spans="1:4" ht="13.8">
      <c r="A336" s="72"/>
      <c r="B336" s="78"/>
      <c r="C336" s="75"/>
      <c r="D336" s="80"/>
    </row>
    <row r="337" spans="1:4" ht="13.8">
      <c r="A337" s="72"/>
      <c r="B337" s="78"/>
      <c r="C337" s="75"/>
      <c r="D337" s="80"/>
    </row>
    <row r="338" spans="1:4" ht="13.8">
      <c r="A338" s="72"/>
      <c r="B338" s="78"/>
      <c r="C338" s="75"/>
      <c r="D338" s="80"/>
    </row>
    <row r="339" spans="1:4" ht="13.8">
      <c r="A339" s="72"/>
      <c r="B339" s="78"/>
      <c r="C339" s="75"/>
      <c r="D339" s="80"/>
    </row>
    <row r="340" spans="1:4" ht="13.8">
      <c r="A340" s="72"/>
      <c r="B340" s="78"/>
      <c r="C340" s="75"/>
      <c r="D340" s="80"/>
    </row>
    <row r="341" spans="1:4" ht="13.8">
      <c r="A341" s="72"/>
      <c r="B341" s="78"/>
      <c r="C341" s="75"/>
      <c r="D341" s="80"/>
    </row>
    <row r="342" spans="1:4" ht="13.8">
      <c r="A342" s="72"/>
      <c r="B342" s="78"/>
      <c r="C342" s="75"/>
      <c r="D342" s="80"/>
    </row>
    <row r="343" spans="1:4" ht="13.8">
      <c r="A343" s="72"/>
      <c r="B343" s="78"/>
      <c r="C343" s="75"/>
      <c r="D343" s="80"/>
    </row>
    <row r="344" spans="1:4" ht="13.8">
      <c r="A344" s="72"/>
      <c r="B344" s="78"/>
      <c r="C344" s="75"/>
      <c r="D344" s="80"/>
    </row>
    <row r="345" spans="1:4" ht="13.8">
      <c r="A345" s="72"/>
      <c r="B345" s="78"/>
      <c r="C345" s="75"/>
      <c r="D345" s="80"/>
    </row>
    <row r="346" spans="1:4" ht="13.8">
      <c r="A346" s="72"/>
      <c r="B346" s="78"/>
      <c r="C346" s="75"/>
      <c r="D346" s="80"/>
    </row>
    <row r="347" spans="1:4" ht="13.8">
      <c r="A347" s="72"/>
      <c r="B347" s="78"/>
      <c r="C347" s="75"/>
      <c r="D347" s="80"/>
    </row>
    <row r="348" spans="1:4" ht="13.8">
      <c r="A348" s="72"/>
      <c r="B348" s="78"/>
      <c r="C348" s="75"/>
      <c r="D348" s="80"/>
    </row>
    <row r="349" spans="1:4" ht="13.8">
      <c r="A349" s="72"/>
      <c r="B349" s="78"/>
      <c r="C349" s="75"/>
      <c r="D349" s="80"/>
    </row>
    <row r="350" spans="1:4" ht="13.8">
      <c r="A350" s="72"/>
      <c r="B350" s="78"/>
      <c r="C350" s="75"/>
      <c r="D350" s="80"/>
    </row>
    <row r="351" spans="1:4" ht="13.8">
      <c r="A351" s="72"/>
      <c r="B351" s="78"/>
      <c r="C351" s="75"/>
      <c r="D351" s="80"/>
    </row>
    <row r="352" spans="1:4" ht="13.8">
      <c r="A352" s="72"/>
      <c r="B352" s="78"/>
      <c r="C352" s="75"/>
      <c r="D352" s="80"/>
    </row>
    <row r="353" spans="1:4" ht="13.8">
      <c r="A353" s="72"/>
      <c r="B353" s="78"/>
      <c r="C353" s="75"/>
      <c r="D353" s="80"/>
    </row>
    <row r="354" spans="1:4" ht="13.8">
      <c r="A354" s="72"/>
      <c r="B354" s="78"/>
      <c r="C354" s="75"/>
      <c r="D354" s="80"/>
    </row>
    <row r="355" spans="1:4" ht="13.8">
      <c r="A355" s="72"/>
      <c r="B355" s="78"/>
      <c r="C355" s="75"/>
      <c r="D355" s="80"/>
    </row>
    <row r="356" spans="1:4" ht="13.8">
      <c r="A356" s="72"/>
      <c r="B356" s="78"/>
      <c r="C356" s="75"/>
      <c r="D356" s="80"/>
    </row>
    <row r="357" spans="1:4" ht="13.8">
      <c r="A357" s="72"/>
      <c r="B357" s="78"/>
      <c r="C357" s="75"/>
      <c r="D357" s="80"/>
    </row>
    <row r="358" spans="1:4" ht="13.8">
      <c r="A358" s="72"/>
      <c r="B358" s="78"/>
      <c r="C358" s="75"/>
      <c r="D358" s="80"/>
    </row>
    <row r="359" spans="1:4" ht="13.8">
      <c r="A359" s="72"/>
      <c r="B359" s="78"/>
      <c r="C359" s="75"/>
      <c r="D359" s="80"/>
    </row>
    <row r="360" spans="1:4" ht="13.8">
      <c r="A360" s="72"/>
      <c r="B360" s="78"/>
      <c r="C360" s="75"/>
      <c r="D360" s="80"/>
    </row>
    <row r="361" spans="1:4" ht="13.8">
      <c r="A361" s="72"/>
      <c r="B361" s="78"/>
      <c r="C361" s="75"/>
      <c r="D361" s="80"/>
    </row>
    <row r="362" spans="1:4" ht="13.8">
      <c r="A362" s="72"/>
      <c r="B362" s="78"/>
      <c r="C362" s="75"/>
      <c r="D362" s="80"/>
    </row>
    <row r="363" spans="1:4" ht="13.8">
      <c r="A363" s="72"/>
      <c r="B363" s="78"/>
      <c r="C363" s="75"/>
      <c r="D363" s="80"/>
    </row>
    <row r="364" spans="1:4" ht="13.8">
      <c r="A364" s="72"/>
      <c r="B364" s="78"/>
      <c r="C364" s="75"/>
      <c r="D364" s="80"/>
    </row>
    <row r="365" spans="1:4" ht="13.8">
      <c r="A365" s="72"/>
      <c r="B365" s="78"/>
      <c r="C365" s="75"/>
      <c r="D365" s="80"/>
    </row>
    <row r="366" spans="1:4" ht="13.8">
      <c r="A366" s="72"/>
      <c r="B366" s="78"/>
      <c r="C366" s="75"/>
      <c r="D366" s="80"/>
    </row>
    <row r="367" spans="1:4" ht="13.8">
      <c r="A367" s="72"/>
      <c r="B367" s="78"/>
      <c r="C367" s="75"/>
      <c r="D367" s="80"/>
    </row>
    <row r="368" spans="1:4" ht="13.8">
      <c r="A368" s="72"/>
      <c r="B368" s="78"/>
      <c r="C368" s="75"/>
      <c r="D368" s="80"/>
    </row>
    <row r="369" spans="1:4" ht="13.8">
      <c r="A369" s="72"/>
      <c r="B369" s="78"/>
      <c r="C369" s="75"/>
      <c r="D369" s="80"/>
    </row>
    <row r="370" spans="1:4" ht="13.8">
      <c r="A370" s="72"/>
      <c r="B370" s="78"/>
      <c r="C370" s="75"/>
      <c r="D370" s="80"/>
    </row>
    <row r="371" spans="1:4" ht="13.8">
      <c r="A371" s="72"/>
      <c r="B371" s="78"/>
      <c r="C371" s="75"/>
      <c r="D371" s="80"/>
    </row>
    <row r="372" spans="1:4" ht="13.8">
      <c r="A372" s="72"/>
      <c r="B372" s="78"/>
      <c r="C372" s="75"/>
      <c r="D372" s="80"/>
    </row>
    <row r="373" spans="1:4" ht="13.8">
      <c r="A373" s="72"/>
      <c r="B373" s="78"/>
      <c r="C373" s="75"/>
      <c r="D373" s="80"/>
    </row>
    <row r="374" spans="1:4" ht="13.8">
      <c r="A374" s="72"/>
      <c r="B374" s="78"/>
      <c r="C374" s="75"/>
      <c r="D374" s="80"/>
    </row>
    <row r="375" spans="1:4" ht="13.8">
      <c r="A375" s="72"/>
      <c r="B375" s="78"/>
      <c r="C375" s="75"/>
      <c r="D375" s="80"/>
    </row>
    <row r="376" spans="1:4" ht="13.8">
      <c r="A376" s="72"/>
      <c r="B376" s="78"/>
      <c r="C376" s="75"/>
      <c r="D376" s="80"/>
    </row>
    <row r="377" spans="1:4" ht="13.8">
      <c r="A377" s="72"/>
      <c r="B377" s="78"/>
      <c r="C377" s="75"/>
      <c r="D377" s="80"/>
    </row>
    <row r="378" spans="1:4" ht="13.8">
      <c r="A378" s="72"/>
      <c r="B378" s="78"/>
      <c r="C378" s="75"/>
      <c r="D378" s="80"/>
    </row>
    <row r="379" spans="1:4" ht="13.8">
      <c r="A379" s="72"/>
      <c r="B379" s="78"/>
      <c r="C379" s="75"/>
      <c r="D379" s="80"/>
    </row>
    <row r="380" spans="1:4" ht="13.8">
      <c r="A380" s="72"/>
      <c r="B380" s="78"/>
      <c r="C380" s="75"/>
      <c r="D380" s="80"/>
    </row>
    <row r="381" spans="1:4" ht="13.8">
      <c r="A381" s="72"/>
      <c r="B381" s="78"/>
      <c r="C381" s="75"/>
      <c r="D381" s="80"/>
    </row>
    <row r="382" spans="1:4" ht="13.8">
      <c r="A382" s="72"/>
      <c r="B382" s="78"/>
      <c r="C382" s="75"/>
      <c r="D382" s="80"/>
    </row>
    <row r="383" spans="1:4" ht="13.8">
      <c r="A383" s="72"/>
      <c r="B383" s="78"/>
      <c r="C383" s="75"/>
      <c r="D383" s="80"/>
    </row>
    <row r="384" spans="1:4" ht="13.8">
      <c r="A384" s="72"/>
      <c r="B384" s="78"/>
      <c r="C384" s="75"/>
      <c r="D384" s="80"/>
    </row>
    <row r="385" spans="1:4" ht="13.8">
      <c r="A385" s="72"/>
      <c r="B385" s="78"/>
      <c r="C385" s="75"/>
      <c r="D385" s="80"/>
    </row>
    <row r="386" spans="1:4" ht="13.8">
      <c r="A386" s="72"/>
      <c r="B386" s="78"/>
      <c r="C386" s="75"/>
      <c r="D386" s="80"/>
    </row>
    <row r="387" spans="1:4" ht="13.8">
      <c r="A387" s="72"/>
      <c r="B387" s="78"/>
      <c r="C387" s="75"/>
      <c r="D387" s="80"/>
    </row>
    <row r="388" spans="1:4" ht="13.8">
      <c r="A388" s="72"/>
      <c r="B388" s="78"/>
      <c r="C388" s="75"/>
      <c r="D388" s="80"/>
    </row>
    <row r="389" spans="1:4" ht="13.8">
      <c r="A389" s="72"/>
      <c r="B389" s="78"/>
      <c r="C389" s="75"/>
      <c r="D389" s="80"/>
    </row>
    <row r="390" spans="1:4" ht="13.8">
      <c r="A390" s="72"/>
      <c r="B390" s="78"/>
      <c r="C390" s="75"/>
      <c r="D390" s="80"/>
    </row>
    <row r="391" spans="1:4" ht="13.8">
      <c r="A391" s="72"/>
      <c r="B391" s="78"/>
      <c r="C391" s="75"/>
      <c r="D391" s="80"/>
    </row>
    <row r="392" spans="1:4" ht="13.8">
      <c r="A392" s="72"/>
      <c r="B392" s="78"/>
      <c r="C392" s="75"/>
      <c r="D392" s="80"/>
    </row>
    <row r="393" spans="1:4" ht="13.8">
      <c r="A393" s="72"/>
      <c r="B393" s="78"/>
      <c r="C393" s="75"/>
      <c r="D393" s="80"/>
    </row>
    <row r="394" spans="1:4" ht="13.8">
      <c r="A394" s="72"/>
      <c r="B394" s="78"/>
      <c r="C394" s="75"/>
      <c r="D394" s="80"/>
    </row>
    <row r="395" spans="1:4" ht="13.8">
      <c r="A395" s="72"/>
      <c r="B395" s="78"/>
      <c r="C395" s="75"/>
      <c r="D395" s="80"/>
    </row>
    <row r="396" spans="1:4" ht="13.8">
      <c r="A396" s="72"/>
      <c r="B396" s="78"/>
      <c r="C396" s="75"/>
      <c r="D396" s="80"/>
    </row>
    <row r="397" spans="1:4" ht="13.8">
      <c r="A397" s="72"/>
      <c r="B397" s="78"/>
      <c r="C397" s="75"/>
      <c r="D397" s="80"/>
    </row>
    <row r="398" spans="1:4" ht="13.8">
      <c r="A398" s="72"/>
      <c r="B398" s="78"/>
      <c r="C398" s="75"/>
      <c r="D398" s="80"/>
    </row>
    <row r="399" spans="1:4" ht="13.8">
      <c r="A399" s="72"/>
      <c r="B399" s="78"/>
      <c r="C399" s="75"/>
      <c r="D399" s="80"/>
    </row>
    <row r="400" spans="1:4" ht="13.8">
      <c r="A400" s="72"/>
      <c r="B400" s="78"/>
      <c r="C400" s="75"/>
      <c r="D400" s="80"/>
    </row>
    <row r="401" spans="1:4" ht="13.8">
      <c r="A401" s="72"/>
      <c r="B401" s="78"/>
      <c r="C401" s="75"/>
      <c r="D401" s="80"/>
    </row>
    <row r="402" spans="1:4" ht="13.8">
      <c r="A402" s="72"/>
      <c r="B402" s="78"/>
      <c r="C402" s="75"/>
      <c r="D402" s="80"/>
    </row>
    <row r="403" spans="1:4" ht="13.8">
      <c r="A403" s="72"/>
      <c r="B403" s="78"/>
      <c r="C403" s="75"/>
      <c r="D403" s="80"/>
    </row>
    <row r="404" spans="1:4" ht="13.8">
      <c r="A404" s="72"/>
      <c r="B404" s="78"/>
      <c r="C404" s="75"/>
      <c r="D404" s="80"/>
    </row>
    <row r="405" spans="1:4" ht="13.8">
      <c r="A405" s="72"/>
      <c r="B405" s="78"/>
      <c r="C405" s="75"/>
      <c r="D405" s="80"/>
    </row>
    <row r="406" spans="1:4" ht="13.8">
      <c r="A406" s="72"/>
      <c r="B406" s="78"/>
      <c r="C406" s="75"/>
      <c r="D406" s="80"/>
    </row>
    <row r="407" spans="1:4" ht="13.8">
      <c r="A407" s="72"/>
      <c r="B407" s="78"/>
      <c r="C407" s="75"/>
      <c r="D407" s="80"/>
    </row>
    <row r="408" spans="1:4" ht="13.8">
      <c r="A408" s="72"/>
      <c r="B408" s="78"/>
      <c r="C408" s="75"/>
      <c r="D408" s="80"/>
    </row>
    <row r="409" spans="1:4" ht="13.8">
      <c r="A409" s="72"/>
      <c r="B409" s="78"/>
      <c r="C409" s="75"/>
      <c r="D409" s="80"/>
    </row>
    <row r="410" spans="1:4" ht="13.8">
      <c r="A410" s="72"/>
      <c r="B410" s="78"/>
      <c r="C410" s="75"/>
      <c r="D410" s="80"/>
    </row>
    <row r="411" spans="1:4" ht="13.8">
      <c r="A411" s="72"/>
      <c r="B411" s="78"/>
      <c r="C411" s="75"/>
      <c r="D411" s="80"/>
    </row>
    <row r="412" spans="1:4" ht="13.8">
      <c r="A412" s="72"/>
      <c r="B412" s="78"/>
      <c r="C412" s="75"/>
      <c r="D412" s="80"/>
    </row>
    <row r="413" spans="1:4" ht="13.8">
      <c r="A413" s="72"/>
      <c r="B413" s="78"/>
      <c r="C413" s="75"/>
      <c r="D413" s="80"/>
    </row>
    <row r="414" spans="1:4" ht="13.8">
      <c r="A414" s="72"/>
      <c r="B414" s="78"/>
      <c r="C414" s="75"/>
      <c r="D414" s="80"/>
    </row>
    <row r="415" spans="1:4" ht="13.8">
      <c r="A415" s="72"/>
      <c r="B415" s="78"/>
      <c r="C415" s="75"/>
      <c r="D415" s="80"/>
    </row>
    <row r="416" spans="1:4" ht="13.8">
      <c r="A416" s="72"/>
      <c r="B416" s="78"/>
      <c r="C416" s="75"/>
      <c r="D416" s="80"/>
    </row>
    <row r="417" spans="1:4" ht="13.8">
      <c r="A417" s="72"/>
      <c r="B417" s="78"/>
      <c r="C417" s="75"/>
      <c r="D417" s="80"/>
    </row>
    <row r="418" spans="1:4" ht="13.8">
      <c r="A418" s="72"/>
      <c r="B418" s="78"/>
      <c r="C418" s="75"/>
      <c r="D418" s="80"/>
    </row>
    <row r="419" spans="1:4" ht="13.8">
      <c r="A419" s="72"/>
      <c r="B419" s="78"/>
      <c r="C419" s="75"/>
      <c r="D419" s="80"/>
    </row>
    <row r="420" spans="1:4" ht="13.8">
      <c r="A420" s="72"/>
      <c r="B420" s="78"/>
      <c r="C420" s="75"/>
      <c r="D420" s="80"/>
    </row>
    <row r="421" spans="1:4" ht="13.8">
      <c r="A421" s="72"/>
      <c r="B421" s="78"/>
      <c r="C421" s="75"/>
      <c r="D421" s="80"/>
    </row>
    <row r="422" spans="1:4" ht="13.8">
      <c r="A422" s="72"/>
      <c r="B422" s="78"/>
      <c r="C422" s="75"/>
      <c r="D422" s="80"/>
    </row>
    <row r="423" spans="1:4" ht="13.8">
      <c r="A423" s="72"/>
      <c r="B423" s="78"/>
      <c r="C423" s="75"/>
      <c r="D423" s="80"/>
    </row>
    <row r="424" spans="1:4" ht="13.8">
      <c r="A424" s="72"/>
      <c r="B424" s="78"/>
      <c r="C424" s="75"/>
      <c r="D424" s="80"/>
    </row>
    <row r="425" spans="1:4" ht="13.8">
      <c r="A425" s="72"/>
      <c r="B425" s="78"/>
      <c r="C425" s="75"/>
      <c r="D425" s="80"/>
    </row>
    <row r="426" spans="1:4" ht="13.8">
      <c r="A426" s="72"/>
      <c r="B426" s="78"/>
      <c r="C426" s="75"/>
      <c r="D426" s="80"/>
    </row>
    <row r="427" spans="1:4" ht="13.8">
      <c r="A427" s="72"/>
      <c r="B427" s="78"/>
      <c r="C427" s="75"/>
      <c r="D427" s="80"/>
    </row>
    <row r="428" spans="1:4" ht="13.8">
      <c r="A428" s="72"/>
      <c r="B428" s="78"/>
      <c r="C428" s="75"/>
      <c r="D428" s="80"/>
    </row>
    <row r="429" spans="1:4" ht="13.8">
      <c r="A429" s="72"/>
      <c r="B429" s="78"/>
      <c r="C429" s="75"/>
      <c r="D429" s="80"/>
    </row>
    <row r="430" spans="1:4" ht="13.8">
      <c r="A430" s="72"/>
      <c r="B430" s="78"/>
      <c r="C430" s="75"/>
      <c r="D430" s="80"/>
    </row>
    <row r="431" spans="1:4" ht="13.8">
      <c r="A431" s="72"/>
      <c r="B431" s="78"/>
      <c r="C431" s="75"/>
      <c r="D431" s="80"/>
    </row>
    <row r="432" spans="1:4" ht="13.8">
      <c r="A432" s="72"/>
      <c r="B432" s="78"/>
      <c r="C432" s="75"/>
      <c r="D432" s="80"/>
    </row>
    <row r="433" spans="1:4" ht="13.8">
      <c r="A433" s="72"/>
      <c r="B433" s="78"/>
      <c r="C433" s="75"/>
      <c r="D433" s="80"/>
    </row>
    <row r="434" spans="1:4" ht="13.8">
      <c r="A434" s="72"/>
      <c r="B434" s="78"/>
      <c r="C434" s="75"/>
      <c r="D434" s="80"/>
    </row>
    <row r="435" spans="1:4" ht="13.8">
      <c r="A435" s="72"/>
      <c r="B435" s="78"/>
      <c r="C435" s="75"/>
      <c r="D435" s="80"/>
    </row>
    <row r="436" spans="1:4" ht="13.8">
      <c r="A436" s="72"/>
      <c r="B436" s="78"/>
      <c r="C436" s="75"/>
      <c r="D436" s="80"/>
    </row>
    <row r="437" spans="1:4" ht="13.8">
      <c r="A437" s="72"/>
      <c r="B437" s="78"/>
      <c r="C437" s="75"/>
      <c r="D437" s="80"/>
    </row>
    <row r="438" spans="1:4" ht="13.8">
      <c r="A438" s="72"/>
      <c r="B438" s="78"/>
      <c r="C438" s="75"/>
      <c r="D438" s="80"/>
    </row>
    <row r="439" spans="1:4" ht="13.8">
      <c r="A439" s="72"/>
      <c r="B439" s="78"/>
      <c r="C439" s="75"/>
      <c r="D439" s="80"/>
    </row>
    <row r="440" spans="1:4" ht="13.8">
      <c r="A440" s="72"/>
      <c r="B440" s="78"/>
      <c r="C440" s="75"/>
      <c r="D440" s="80"/>
    </row>
    <row r="441" spans="1:4" ht="13.8">
      <c r="A441" s="72"/>
      <c r="B441" s="78"/>
      <c r="C441" s="75"/>
      <c r="D441" s="80"/>
    </row>
    <row r="442" spans="1:4" ht="13.8">
      <c r="A442" s="72"/>
      <c r="B442" s="78"/>
      <c r="C442" s="75"/>
      <c r="D442" s="80"/>
    </row>
    <row r="443" spans="1:4" ht="13.8">
      <c r="A443" s="72"/>
      <c r="B443" s="78"/>
      <c r="C443" s="75"/>
      <c r="D443" s="80"/>
    </row>
    <row r="444" spans="1:4" ht="13.8">
      <c r="A444" s="72"/>
      <c r="B444" s="78"/>
      <c r="C444" s="75"/>
      <c r="D444" s="80"/>
    </row>
    <row r="445" spans="1:4" ht="13.8">
      <c r="A445" s="72"/>
      <c r="B445" s="78"/>
      <c r="C445" s="75"/>
      <c r="D445" s="80"/>
    </row>
    <row r="446" spans="1:4" ht="13.8">
      <c r="A446" s="72"/>
      <c r="B446" s="78"/>
      <c r="C446" s="75"/>
      <c r="D446" s="80"/>
    </row>
    <row r="447" spans="1:4" ht="13.8">
      <c r="A447" s="72"/>
      <c r="B447" s="78"/>
      <c r="C447" s="75"/>
      <c r="D447" s="80"/>
    </row>
    <row r="448" spans="1:4" ht="13.8">
      <c r="A448" s="72"/>
      <c r="B448" s="78"/>
      <c r="C448" s="75"/>
      <c r="D448" s="80"/>
    </row>
    <row r="449" spans="1:4" ht="13.8">
      <c r="A449" s="72"/>
      <c r="B449" s="78"/>
      <c r="C449" s="75"/>
      <c r="D449" s="80"/>
    </row>
    <row r="450" spans="1:4" ht="13.8">
      <c r="A450" s="72"/>
      <c r="B450" s="78"/>
      <c r="C450" s="75"/>
      <c r="D450" s="80"/>
    </row>
    <row r="451" spans="1:4" ht="13.8">
      <c r="A451" s="72"/>
      <c r="B451" s="78"/>
      <c r="C451" s="75"/>
      <c r="D451" s="80"/>
    </row>
    <row r="452" spans="1:4" ht="13.8">
      <c r="A452" s="72"/>
      <c r="B452" s="78"/>
      <c r="C452" s="75"/>
      <c r="D452" s="80"/>
    </row>
    <row r="453" spans="1:4" ht="13.8">
      <c r="A453" s="72"/>
      <c r="B453" s="78"/>
      <c r="C453" s="75"/>
      <c r="D453" s="80"/>
    </row>
    <row r="454" spans="1:4" ht="13.8">
      <c r="A454" s="72"/>
      <c r="B454" s="78"/>
      <c r="C454" s="75"/>
      <c r="D454" s="80"/>
    </row>
    <row r="455" spans="1:4" ht="13.8">
      <c r="A455" s="72"/>
      <c r="B455" s="78"/>
      <c r="C455" s="75"/>
      <c r="D455" s="80"/>
    </row>
    <row r="456" spans="1:4" ht="13.8">
      <c r="A456" s="72"/>
      <c r="B456" s="78"/>
      <c r="C456" s="75"/>
      <c r="D456" s="80"/>
    </row>
    <row r="457" spans="1:4" ht="13.8">
      <c r="A457" s="72"/>
      <c r="B457" s="78"/>
      <c r="C457" s="75"/>
      <c r="D457" s="80"/>
    </row>
    <row r="458" spans="1:4" ht="13.8">
      <c r="A458" s="72"/>
      <c r="B458" s="78"/>
      <c r="C458" s="75"/>
      <c r="D458" s="80"/>
    </row>
    <row r="459" spans="1:4" ht="13.8">
      <c r="A459" s="72"/>
      <c r="B459" s="78"/>
      <c r="C459" s="75"/>
      <c r="D459" s="80"/>
    </row>
    <row r="460" spans="1:4" ht="13.8">
      <c r="A460" s="72"/>
      <c r="B460" s="78"/>
      <c r="C460" s="75"/>
      <c r="D460" s="80"/>
    </row>
    <row r="461" spans="1:4" ht="13.8">
      <c r="A461" s="72"/>
      <c r="B461" s="78"/>
      <c r="C461" s="75"/>
      <c r="D461" s="80"/>
    </row>
    <row r="462" spans="1:4" ht="13.8">
      <c r="A462" s="72"/>
      <c r="B462" s="78"/>
      <c r="C462" s="75"/>
      <c r="D462" s="80"/>
    </row>
    <row r="463" spans="1:4" ht="13.8">
      <c r="A463" s="72"/>
      <c r="B463" s="78"/>
      <c r="C463" s="75"/>
      <c r="D463" s="80"/>
    </row>
    <row r="464" spans="1:4" ht="13.8">
      <c r="A464" s="72"/>
      <c r="B464" s="78"/>
      <c r="C464" s="75"/>
      <c r="D464" s="80"/>
    </row>
    <row r="465" spans="1:4" ht="13.8">
      <c r="A465" s="72"/>
      <c r="B465" s="78"/>
      <c r="C465" s="75"/>
      <c r="D465" s="80"/>
    </row>
    <row r="466" spans="1:4" ht="13.8">
      <c r="A466" s="72"/>
      <c r="B466" s="78"/>
      <c r="C466" s="75"/>
      <c r="D466" s="80"/>
    </row>
    <row r="467" spans="1:4" ht="13.8">
      <c r="A467" s="72"/>
      <c r="B467" s="78"/>
      <c r="C467" s="75"/>
      <c r="D467" s="80"/>
    </row>
    <row r="468" spans="1:4" ht="13.8">
      <c r="A468" s="72"/>
      <c r="B468" s="78"/>
      <c r="C468" s="75"/>
      <c r="D468" s="80"/>
    </row>
    <row r="469" spans="1:4" ht="13.8">
      <c r="A469" s="72"/>
      <c r="B469" s="78"/>
      <c r="C469" s="75"/>
      <c r="D469" s="80"/>
    </row>
    <row r="470" spans="1:4" ht="13.8">
      <c r="A470" s="72"/>
      <c r="B470" s="78"/>
      <c r="C470" s="75"/>
      <c r="D470" s="80"/>
    </row>
    <row r="471" spans="1:4" ht="13.8">
      <c r="A471" s="72"/>
      <c r="B471" s="78"/>
      <c r="C471" s="75"/>
      <c r="D471" s="80"/>
    </row>
    <row r="472" spans="1:4" ht="13.8">
      <c r="A472" s="72"/>
      <c r="B472" s="78"/>
      <c r="C472" s="75"/>
      <c r="D472" s="80"/>
    </row>
    <row r="473" spans="1:4" ht="13.8">
      <c r="A473" s="72"/>
      <c r="B473" s="78"/>
      <c r="C473" s="75"/>
      <c r="D473" s="80"/>
    </row>
    <row r="474" spans="1:4" ht="13.8">
      <c r="A474" s="72"/>
      <c r="B474" s="78"/>
      <c r="C474" s="75"/>
      <c r="D474" s="80"/>
    </row>
    <row r="475" spans="1:4" ht="13.8">
      <c r="A475" s="72"/>
      <c r="B475" s="78"/>
      <c r="C475" s="75"/>
      <c r="D475" s="80"/>
    </row>
    <row r="476" spans="1:4" ht="13.8">
      <c r="A476" s="72"/>
      <c r="B476" s="78"/>
      <c r="C476" s="75"/>
      <c r="D476" s="80"/>
    </row>
    <row r="477" spans="1:4" ht="13.8">
      <c r="A477" s="72"/>
      <c r="B477" s="78"/>
      <c r="C477" s="75"/>
      <c r="D477" s="80"/>
    </row>
    <row r="478" spans="1:4" ht="13.8">
      <c r="A478" s="72"/>
      <c r="B478" s="78"/>
      <c r="C478" s="75"/>
      <c r="D478" s="80"/>
    </row>
    <row r="479" spans="1:4" ht="13.8">
      <c r="A479" s="72"/>
      <c r="B479" s="78"/>
      <c r="C479" s="75"/>
      <c r="D479" s="80"/>
    </row>
    <row r="480" spans="1:4" ht="13.8">
      <c r="A480" s="72"/>
      <c r="B480" s="78"/>
      <c r="C480" s="75"/>
      <c r="D480" s="80"/>
    </row>
    <row r="481" spans="1:4" ht="13.8">
      <c r="A481" s="72"/>
      <c r="B481" s="78"/>
      <c r="C481" s="75"/>
      <c r="D481" s="80"/>
    </row>
    <row r="482" spans="1:4" ht="13.8">
      <c r="A482" s="72"/>
      <c r="B482" s="78"/>
      <c r="C482" s="75"/>
      <c r="D482" s="80"/>
    </row>
    <row r="483" spans="1:4" ht="13.8">
      <c r="A483" s="72"/>
      <c r="B483" s="78"/>
      <c r="C483" s="75"/>
      <c r="D483" s="80"/>
    </row>
    <row r="484" spans="1:4" ht="13.8">
      <c r="A484" s="72"/>
      <c r="B484" s="78"/>
      <c r="C484" s="75"/>
      <c r="D484" s="80"/>
    </row>
    <row r="485" spans="1:4" ht="13.8">
      <c r="A485" s="72"/>
      <c r="B485" s="78"/>
      <c r="C485" s="75"/>
      <c r="D485" s="80"/>
    </row>
    <row r="486" spans="1:4" ht="13.8">
      <c r="A486" s="72"/>
      <c r="B486" s="78"/>
      <c r="C486" s="75"/>
      <c r="D486" s="80"/>
    </row>
    <row r="487" spans="1:4" ht="13.8">
      <c r="A487" s="72"/>
      <c r="B487" s="78"/>
      <c r="C487" s="75"/>
      <c r="D487" s="80"/>
    </row>
    <row r="488" spans="1:4" ht="13.8">
      <c r="A488" s="72"/>
      <c r="B488" s="78"/>
      <c r="C488" s="75"/>
      <c r="D488" s="80"/>
    </row>
    <row r="489" spans="1:4" ht="13.8">
      <c r="A489" s="72"/>
      <c r="B489" s="78"/>
      <c r="C489" s="75"/>
      <c r="D489" s="80"/>
    </row>
    <row r="490" spans="1:4" ht="13.8">
      <c r="A490" s="72"/>
      <c r="B490" s="78"/>
      <c r="C490" s="75"/>
      <c r="D490" s="80"/>
    </row>
    <row r="491" spans="1:4" ht="13.8">
      <c r="A491" s="72"/>
      <c r="B491" s="78"/>
      <c r="C491" s="75"/>
      <c r="D491" s="80"/>
    </row>
    <row r="492" spans="1:4" ht="13.8">
      <c r="A492" s="72"/>
      <c r="B492" s="78"/>
      <c r="C492" s="75"/>
      <c r="D492" s="80"/>
    </row>
    <row r="493" spans="1:4" ht="13.8">
      <c r="A493" s="72"/>
      <c r="B493" s="78"/>
      <c r="C493" s="75"/>
      <c r="D493" s="80"/>
    </row>
    <row r="494" spans="1:4" ht="13.8">
      <c r="A494" s="72"/>
      <c r="B494" s="78"/>
      <c r="C494" s="75"/>
      <c r="D494" s="80"/>
    </row>
    <row r="495" spans="1:4" ht="13.8">
      <c r="A495" s="72"/>
      <c r="B495" s="78"/>
      <c r="C495" s="75"/>
      <c r="D495" s="80"/>
    </row>
    <row r="496" spans="1:4" ht="13.8">
      <c r="A496" s="72"/>
      <c r="B496" s="78"/>
      <c r="C496" s="75"/>
      <c r="D496" s="80"/>
    </row>
    <row r="497" spans="1:4" ht="13.8">
      <c r="A497" s="72"/>
      <c r="B497" s="78"/>
      <c r="C497" s="75"/>
      <c r="D497" s="80"/>
    </row>
    <row r="498" spans="1:4" ht="13.8">
      <c r="A498" s="72"/>
      <c r="B498" s="78"/>
      <c r="C498" s="75"/>
      <c r="D498" s="80"/>
    </row>
    <row r="499" spans="1:4" ht="13.8">
      <c r="A499" s="72"/>
      <c r="B499" s="78"/>
      <c r="C499" s="75"/>
      <c r="D499" s="80"/>
    </row>
    <row r="500" spans="1:4" ht="13.8">
      <c r="A500" s="72"/>
      <c r="B500" s="78"/>
      <c r="C500" s="75"/>
      <c r="D500" s="80"/>
    </row>
  </sheetData>
  <sheetProtection password="EF32" sheet="1" objects="1" scenarios="1"/>
  <mergeCells count="2">
    <mergeCell ref="A1:D1"/>
    <mergeCell ref="A2:D2"/>
  </mergeCells>
  <conditionalFormatting sqref="B6:B7 B18:B500">
    <cfRule type="expression" dxfId="2" priority="4" stopIfTrue="1">
      <formula>AND(ISTEXT(#REF!)=TRUE,B6&lt;&gt;"318",#REF!="equipment (0730)",ISTEXT(B6)=TRUE)</formula>
    </cfRule>
  </conditionalFormatting>
  <conditionalFormatting sqref="B9:B17 B19:B20 B22">
    <cfRule type="expression" dxfId="1" priority="3" stopIfTrue="1">
      <formula>AND(ISTEXT(#REF!)=TRUE,B9&lt;&gt;"318",#REF!="equipment (0730)",ISTEXT(B9)=TRUE)</formula>
    </cfRule>
  </conditionalFormatting>
  <dataValidations count="1">
    <dataValidation type="list" allowBlank="1" showInputMessage="1" showErrorMessage="1" sqref="A6:A65536">
      <formula1>objects</formula1>
    </dataValidation>
  </dataValidations>
  <pageMargins left="0.25" right="0.25" top="0.75" bottom="0.75" header="0.5" footer="0.5"/>
  <pageSetup scale="75" orientation="portrait" r:id="rId1"/>
  <headerFooter alignWithMargins="0">
    <oddFooter>&amp;LPage &amp;P of &amp;N&amp;C&amp;D &amp;T&amp;R&amp;A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50"/>
  <sheetViews>
    <sheetView zoomScaleNormal="100" workbookViewId="0">
      <pane ySplit="5" topLeftCell="A6" activePane="bottomLeft" state="frozen"/>
      <selection pane="bottomLeft" activeCell="E6" sqref="E6"/>
    </sheetView>
  </sheetViews>
  <sheetFormatPr defaultColWidth="0" defaultRowHeight="12.75" customHeight="1" zeroHeight="1"/>
  <cols>
    <col min="1" max="1" width="34.109375" style="84" customWidth="1"/>
    <col min="2" max="2" width="9.109375" style="84" hidden="1" customWidth="1"/>
    <col min="3" max="3" width="9.109375" style="84" customWidth="1"/>
    <col min="4" max="4" width="12.5546875" style="48" customWidth="1"/>
    <col min="5" max="5" width="12.5546875" style="84" customWidth="1"/>
    <col min="6" max="6" width="34.44140625" style="84" customWidth="1"/>
    <col min="7" max="9" width="17" style="41" hidden="1" customWidth="1"/>
    <col min="10" max="16384" width="0" style="41" hidden="1"/>
  </cols>
  <sheetData>
    <row r="1" spans="1:6" ht="18">
      <c r="A1" s="240" t="str">
        <f>'6- AFR Detail'!A1:D1</f>
        <v>COLORADO GRADUATION PATHWAYS</v>
      </c>
      <c r="B1" s="240"/>
      <c r="C1" s="240"/>
      <c r="D1" s="240"/>
      <c r="E1" s="240"/>
      <c r="F1" s="240"/>
    </row>
    <row r="2" spans="1:6" ht="18">
      <c r="A2" s="240" t="s">
        <v>387</v>
      </c>
      <c r="B2" s="240"/>
      <c r="C2" s="240"/>
      <c r="D2" s="240"/>
      <c r="E2" s="240"/>
      <c r="F2" s="240"/>
    </row>
    <row r="3" spans="1:6" ht="13.8">
      <c r="A3" s="148" t="str">
        <f>'2-Cover Page'!C5</f>
        <v xml:space="preserve"> </v>
      </c>
      <c r="B3" s="169"/>
      <c r="C3" s="170"/>
      <c r="D3" s="139"/>
      <c r="E3" s="171"/>
      <c r="F3" s="153">
        <f>'2-Cover Page'!C11</f>
        <v>0</v>
      </c>
    </row>
    <row r="4" spans="1:6" s="83" customFormat="1" ht="13.8">
      <c r="A4" s="159">
        <v>1</v>
      </c>
      <c r="B4" s="142">
        <v>2</v>
      </c>
      <c r="C4" s="143">
        <v>2</v>
      </c>
      <c r="D4" s="143">
        <v>3</v>
      </c>
      <c r="E4" s="172">
        <v>4</v>
      </c>
      <c r="F4" s="172">
        <v>5</v>
      </c>
    </row>
    <row r="5" spans="1:6" ht="25.5" customHeight="1">
      <c r="A5" s="159" t="s">
        <v>26</v>
      </c>
      <c r="B5" s="160" t="s">
        <v>27</v>
      </c>
      <c r="C5" s="145" t="s">
        <v>386</v>
      </c>
      <c r="D5" s="146" t="s">
        <v>29</v>
      </c>
      <c r="E5" s="162" t="s">
        <v>382</v>
      </c>
      <c r="F5" s="145" t="s">
        <v>30</v>
      </c>
    </row>
    <row r="6" spans="1:6" ht="13.8">
      <c r="A6" s="42"/>
      <c r="C6" s="51"/>
      <c r="E6" s="85"/>
      <c r="F6" s="50"/>
    </row>
    <row r="7" spans="1:6" ht="13.8">
      <c r="A7" s="42"/>
      <c r="C7" s="51"/>
      <c r="E7" s="85"/>
      <c r="F7" s="50"/>
    </row>
    <row r="8" spans="1:6" ht="13.8">
      <c r="A8" s="42"/>
      <c r="C8" s="51"/>
      <c r="E8" s="85"/>
      <c r="F8" s="50"/>
    </row>
    <row r="9" spans="1:6" ht="13.8">
      <c r="A9" s="42"/>
      <c r="C9" s="51"/>
      <c r="E9" s="85"/>
      <c r="F9" s="50"/>
    </row>
    <row r="10" spans="1:6" ht="13.8">
      <c r="A10" s="42"/>
      <c r="C10" s="51"/>
      <c r="E10" s="85"/>
      <c r="F10" s="50"/>
    </row>
    <row r="11" spans="1:6" ht="13.8">
      <c r="A11" s="42"/>
      <c r="C11" s="51"/>
      <c r="E11" s="85"/>
      <c r="F11" s="50"/>
    </row>
    <row r="12" spans="1:6" ht="13.8">
      <c r="A12" s="42"/>
      <c r="C12" s="51"/>
      <c r="E12" s="85"/>
      <c r="F12" s="50"/>
    </row>
    <row r="13" spans="1:6" ht="13.8">
      <c r="A13" s="42"/>
      <c r="C13" s="51"/>
      <c r="E13" s="85"/>
      <c r="F13" s="50"/>
    </row>
    <row r="14" spans="1:6" ht="13.8">
      <c r="A14" s="42"/>
      <c r="C14" s="51"/>
      <c r="E14" s="85"/>
      <c r="F14" s="50"/>
    </row>
    <row r="15" spans="1:6" ht="13.8">
      <c r="A15" s="42"/>
      <c r="C15" s="51"/>
      <c r="E15" s="85"/>
      <c r="F15" s="50"/>
    </row>
    <row r="16" spans="1:6" ht="13.8">
      <c r="A16" s="42"/>
      <c r="C16" s="51"/>
      <c r="E16" s="85"/>
      <c r="F16" s="50"/>
    </row>
    <row r="17" spans="1:6" ht="13.8">
      <c r="A17" s="42"/>
      <c r="C17" s="51"/>
      <c r="E17" s="85"/>
      <c r="F17" s="50"/>
    </row>
    <row r="18" spans="1:6" ht="13.8">
      <c r="A18" s="42"/>
      <c r="C18" s="51"/>
      <c r="E18" s="85"/>
      <c r="F18" s="50"/>
    </row>
    <row r="19" spans="1:6" ht="13.8">
      <c r="A19" s="42"/>
      <c r="C19" s="51"/>
      <c r="E19" s="85"/>
      <c r="F19" s="50"/>
    </row>
    <row r="20" spans="1:6" ht="13.8">
      <c r="A20" s="42"/>
      <c r="C20" s="51"/>
      <c r="E20" s="85"/>
      <c r="F20" s="50"/>
    </row>
    <row r="21" spans="1:6" ht="13.8">
      <c r="A21" s="42"/>
      <c r="C21" s="51"/>
      <c r="E21" s="85"/>
      <c r="F21" s="50"/>
    </row>
    <row r="22" spans="1:6" ht="13.8">
      <c r="A22" s="42"/>
      <c r="C22" s="51"/>
      <c r="E22" s="85"/>
      <c r="F22" s="50"/>
    </row>
    <row r="23" spans="1:6" ht="13.8">
      <c r="A23" s="42"/>
      <c r="C23" s="51"/>
      <c r="E23" s="85"/>
      <c r="F23" s="50"/>
    </row>
    <row r="24" spans="1:6" ht="13.8">
      <c r="A24" s="42"/>
      <c r="C24" s="51"/>
      <c r="E24" s="85"/>
      <c r="F24" s="50"/>
    </row>
    <row r="25" spans="1:6" ht="13.8">
      <c r="A25" s="42"/>
      <c r="C25" s="51"/>
      <c r="E25" s="85"/>
      <c r="F25" s="50"/>
    </row>
    <row r="26" spans="1:6" ht="13.8">
      <c r="A26" s="42"/>
      <c r="C26" s="51"/>
      <c r="E26" s="85"/>
      <c r="F26" s="50"/>
    </row>
    <row r="27" spans="1:6" ht="13.8">
      <c r="A27" s="42"/>
      <c r="C27" s="51"/>
      <c r="E27" s="85"/>
      <c r="F27" s="50"/>
    </row>
    <row r="28" spans="1:6" ht="13.8">
      <c r="A28" s="42"/>
      <c r="C28" s="51"/>
      <c r="E28" s="85"/>
      <c r="F28" s="50"/>
    </row>
    <row r="29" spans="1:6" ht="13.8">
      <c r="A29" s="42"/>
      <c r="C29" s="51"/>
      <c r="E29" s="85"/>
      <c r="F29" s="50"/>
    </row>
    <row r="30" spans="1:6" ht="13.8">
      <c r="A30" s="42"/>
      <c r="C30" s="51"/>
      <c r="E30" s="85"/>
      <c r="F30" s="50"/>
    </row>
    <row r="31" spans="1:6" ht="13.8">
      <c r="A31" s="42"/>
      <c r="C31" s="51"/>
      <c r="E31" s="85"/>
      <c r="F31" s="50"/>
    </row>
    <row r="32" spans="1:6" ht="13.8">
      <c r="A32" s="42"/>
      <c r="C32" s="51"/>
      <c r="E32" s="85"/>
      <c r="F32" s="50"/>
    </row>
    <row r="33" spans="1:6" ht="13.8">
      <c r="A33" s="42"/>
      <c r="C33" s="51"/>
      <c r="E33" s="85"/>
      <c r="F33" s="50"/>
    </row>
    <row r="34" spans="1:6" ht="13.8">
      <c r="A34" s="42"/>
      <c r="C34" s="51"/>
      <c r="E34" s="85"/>
      <c r="F34" s="50"/>
    </row>
    <row r="35" spans="1:6" ht="13.8">
      <c r="A35" s="42"/>
      <c r="C35" s="51"/>
      <c r="E35" s="85"/>
      <c r="F35" s="50"/>
    </row>
    <row r="36" spans="1:6" ht="13.8">
      <c r="A36" s="42"/>
      <c r="C36" s="51"/>
      <c r="E36" s="85"/>
      <c r="F36" s="50"/>
    </row>
    <row r="37" spans="1:6" ht="13.8">
      <c r="A37" s="42"/>
      <c r="C37" s="51"/>
      <c r="E37" s="85"/>
      <c r="F37" s="50"/>
    </row>
    <row r="38" spans="1:6" ht="13.8">
      <c r="A38" s="42"/>
      <c r="C38" s="51"/>
      <c r="E38" s="85"/>
      <c r="F38" s="50"/>
    </row>
    <row r="39" spans="1:6" ht="13.8">
      <c r="A39" s="42"/>
      <c r="C39" s="51"/>
      <c r="E39" s="85"/>
      <c r="F39" s="50"/>
    </row>
    <row r="40" spans="1:6" ht="13.8">
      <c r="A40" s="42"/>
      <c r="C40" s="51"/>
      <c r="E40" s="85"/>
      <c r="F40" s="50"/>
    </row>
    <row r="41" spans="1:6" ht="13.8">
      <c r="A41" s="42"/>
      <c r="C41" s="51"/>
      <c r="E41" s="85"/>
      <c r="F41" s="50"/>
    </row>
    <row r="42" spans="1:6" ht="13.8">
      <c r="A42" s="42"/>
      <c r="C42" s="51"/>
      <c r="E42" s="85"/>
      <c r="F42" s="50"/>
    </row>
    <row r="43" spans="1:6" ht="13.8">
      <c r="A43" s="42"/>
      <c r="C43" s="51"/>
      <c r="E43" s="85"/>
      <c r="F43" s="50"/>
    </row>
    <row r="44" spans="1:6" ht="13.8">
      <c r="A44" s="42"/>
      <c r="C44" s="51"/>
      <c r="E44" s="85"/>
      <c r="F44" s="50"/>
    </row>
    <row r="45" spans="1:6" ht="13.8">
      <c r="A45" s="42"/>
      <c r="C45" s="51"/>
      <c r="E45" s="85"/>
      <c r="F45" s="50"/>
    </row>
    <row r="46" spans="1:6" ht="13.8">
      <c r="A46" s="42"/>
      <c r="C46" s="51"/>
      <c r="E46" s="85"/>
      <c r="F46" s="50"/>
    </row>
    <row r="47" spans="1:6" ht="13.8">
      <c r="A47" s="42"/>
      <c r="C47" s="51"/>
      <c r="E47" s="85"/>
      <c r="F47" s="50"/>
    </row>
    <row r="48" spans="1:6" ht="13.8">
      <c r="A48" s="42"/>
      <c r="C48" s="51"/>
      <c r="E48" s="85"/>
      <c r="F48" s="50"/>
    </row>
    <row r="49" spans="1:6" ht="13.8">
      <c r="A49" s="42"/>
      <c r="C49" s="51"/>
      <c r="E49" s="85"/>
      <c r="F49" s="50"/>
    </row>
    <row r="50" spans="1:6" ht="13.8">
      <c r="A50" s="42"/>
      <c r="C50" s="51"/>
      <c r="E50" s="85"/>
      <c r="F50" s="50"/>
    </row>
    <row r="51" spans="1:6" ht="13.8">
      <c r="A51" s="42"/>
      <c r="C51" s="51"/>
      <c r="E51" s="85"/>
      <c r="F51" s="50"/>
    </row>
    <row r="52" spans="1:6" ht="13.8">
      <c r="A52" s="42"/>
      <c r="C52" s="51"/>
      <c r="E52" s="85"/>
      <c r="F52" s="50"/>
    </row>
    <row r="53" spans="1:6" ht="13.8">
      <c r="A53" s="42"/>
      <c r="C53" s="51"/>
      <c r="E53" s="85"/>
      <c r="F53" s="50"/>
    </row>
    <row r="54" spans="1:6" ht="13.8">
      <c r="A54" s="42"/>
      <c r="C54" s="51"/>
      <c r="E54" s="85"/>
      <c r="F54" s="50"/>
    </row>
    <row r="55" spans="1:6" ht="13.8">
      <c r="A55" s="42"/>
      <c r="C55" s="51"/>
      <c r="E55" s="85"/>
      <c r="F55" s="50"/>
    </row>
    <row r="56" spans="1:6" ht="13.8">
      <c r="A56" s="42"/>
      <c r="C56" s="51"/>
      <c r="E56" s="85"/>
      <c r="F56" s="50"/>
    </row>
    <row r="57" spans="1:6" ht="13.8">
      <c r="A57" s="42"/>
      <c r="C57" s="51"/>
      <c r="E57" s="85"/>
      <c r="F57" s="50"/>
    </row>
    <row r="58" spans="1:6" ht="13.8">
      <c r="A58" s="42"/>
      <c r="C58" s="51"/>
      <c r="E58" s="85"/>
      <c r="F58" s="50"/>
    </row>
    <row r="59" spans="1:6" ht="13.8">
      <c r="A59" s="42"/>
      <c r="C59" s="51"/>
      <c r="E59" s="85"/>
      <c r="F59" s="50"/>
    </row>
    <row r="60" spans="1:6" ht="13.8">
      <c r="A60" s="42"/>
      <c r="C60" s="51"/>
      <c r="E60" s="85"/>
      <c r="F60" s="50"/>
    </row>
    <row r="61" spans="1:6" ht="13.8">
      <c r="A61" s="42"/>
      <c r="C61" s="51"/>
      <c r="E61" s="85"/>
      <c r="F61" s="50"/>
    </row>
    <row r="62" spans="1:6" ht="13.8">
      <c r="A62" s="42"/>
      <c r="C62" s="51"/>
      <c r="E62" s="85"/>
      <c r="F62" s="50"/>
    </row>
    <row r="63" spans="1:6" ht="13.8">
      <c r="A63" s="42"/>
      <c r="C63" s="51"/>
      <c r="E63" s="85"/>
      <c r="F63" s="50"/>
    </row>
    <row r="64" spans="1:6" ht="13.8">
      <c r="A64" s="42"/>
      <c r="C64" s="51"/>
      <c r="E64" s="85"/>
      <c r="F64" s="50"/>
    </row>
    <row r="65" spans="1:6" ht="13.8">
      <c r="A65" s="42"/>
      <c r="C65" s="51"/>
      <c r="E65" s="85"/>
      <c r="F65" s="50"/>
    </row>
    <row r="66" spans="1:6" ht="13.8">
      <c r="A66" s="42"/>
      <c r="C66" s="51"/>
      <c r="E66" s="85"/>
      <c r="F66" s="50"/>
    </row>
    <row r="67" spans="1:6" ht="13.8">
      <c r="A67" s="42"/>
      <c r="C67" s="51"/>
      <c r="E67" s="85"/>
      <c r="F67" s="50"/>
    </row>
    <row r="68" spans="1:6" ht="13.8">
      <c r="A68" s="42"/>
      <c r="C68" s="51"/>
      <c r="E68" s="85"/>
      <c r="F68" s="50"/>
    </row>
    <row r="69" spans="1:6" ht="13.8">
      <c r="A69" s="42"/>
      <c r="C69" s="51"/>
      <c r="E69" s="85"/>
      <c r="F69" s="50"/>
    </row>
    <row r="70" spans="1:6" ht="13.8">
      <c r="A70" s="42"/>
      <c r="C70" s="51"/>
      <c r="E70" s="85"/>
      <c r="F70" s="50"/>
    </row>
    <row r="71" spans="1:6" ht="13.8">
      <c r="A71" s="42"/>
      <c r="C71" s="51"/>
      <c r="E71" s="85"/>
      <c r="F71" s="50"/>
    </row>
    <row r="72" spans="1:6" ht="13.8">
      <c r="A72" s="42"/>
      <c r="C72" s="51"/>
      <c r="E72" s="85"/>
      <c r="F72" s="50"/>
    </row>
    <row r="73" spans="1:6" ht="13.8">
      <c r="A73" s="42"/>
      <c r="C73" s="51"/>
      <c r="E73" s="85"/>
      <c r="F73" s="50"/>
    </row>
    <row r="74" spans="1:6" ht="13.8">
      <c r="A74" s="42"/>
      <c r="C74" s="51"/>
      <c r="E74" s="85"/>
      <c r="F74" s="50"/>
    </row>
    <row r="75" spans="1:6" ht="13.8">
      <c r="A75" s="42"/>
      <c r="C75" s="51"/>
      <c r="E75" s="85"/>
      <c r="F75" s="50"/>
    </row>
    <row r="76" spans="1:6" ht="13.8">
      <c r="A76" s="42"/>
      <c r="C76" s="51"/>
      <c r="E76" s="85"/>
      <c r="F76" s="50"/>
    </row>
    <row r="77" spans="1:6" ht="13.8">
      <c r="A77" s="42"/>
      <c r="C77" s="51"/>
      <c r="E77" s="85"/>
      <c r="F77" s="50"/>
    </row>
    <row r="78" spans="1:6" ht="13.8">
      <c r="A78" s="42"/>
      <c r="C78" s="51"/>
      <c r="E78" s="85"/>
      <c r="F78" s="50"/>
    </row>
    <row r="79" spans="1:6" ht="13.8">
      <c r="A79" s="42"/>
      <c r="C79" s="51"/>
      <c r="E79" s="85"/>
      <c r="F79" s="50"/>
    </row>
    <row r="80" spans="1:6" ht="13.8">
      <c r="A80" s="42"/>
      <c r="C80" s="51"/>
      <c r="E80" s="85"/>
      <c r="F80" s="50"/>
    </row>
    <row r="81" spans="1:6" ht="13.8">
      <c r="A81" s="42"/>
      <c r="C81" s="51"/>
      <c r="E81" s="85"/>
      <c r="F81" s="50"/>
    </row>
    <row r="82" spans="1:6" ht="13.8">
      <c r="A82" s="42"/>
      <c r="C82" s="51"/>
      <c r="E82" s="85"/>
      <c r="F82" s="50"/>
    </row>
    <row r="83" spans="1:6" ht="13.8">
      <c r="A83" s="42"/>
      <c r="C83" s="51"/>
      <c r="E83" s="85"/>
      <c r="F83" s="50"/>
    </row>
    <row r="84" spans="1:6" ht="13.8">
      <c r="A84" s="42"/>
      <c r="C84" s="51"/>
      <c r="E84" s="85"/>
      <c r="F84" s="50"/>
    </row>
    <row r="85" spans="1:6" ht="13.8">
      <c r="A85" s="42"/>
      <c r="C85" s="51"/>
      <c r="E85" s="85"/>
      <c r="F85" s="50"/>
    </row>
    <row r="86" spans="1:6" ht="13.8">
      <c r="A86" s="42"/>
      <c r="C86" s="51"/>
      <c r="E86" s="85"/>
      <c r="F86" s="50"/>
    </row>
    <row r="87" spans="1:6" ht="13.8">
      <c r="A87" s="42"/>
      <c r="C87" s="51"/>
      <c r="E87" s="85"/>
      <c r="F87" s="50"/>
    </row>
    <row r="88" spans="1:6" ht="13.8">
      <c r="A88" s="42"/>
      <c r="C88" s="51"/>
      <c r="E88" s="85"/>
      <c r="F88" s="50"/>
    </row>
    <row r="89" spans="1:6" ht="13.8">
      <c r="A89" s="42"/>
      <c r="C89" s="51"/>
      <c r="E89" s="85"/>
      <c r="F89" s="50"/>
    </row>
    <row r="90" spans="1:6" ht="13.8">
      <c r="A90" s="42"/>
      <c r="C90" s="51"/>
      <c r="E90" s="85"/>
      <c r="F90" s="50"/>
    </row>
    <row r="91" spans="1:6" ht="13.8">
      <c r="A91" s="42"/>
      <c r="C91" s="51"/>
      <c r="E91" s="85"/>
      <c r="F91" s="50"/>
    </row>
    <row r="92" spans="1:6" ht="13.8">
      <c r="A92" s="42"/>
      <c r="C92" s="51"/>
      <c r="E92" s="85"/>
      <c r="F92" s="50"/>
    </row>
    <row r="93" spans="1:6" ht="13.8">
      <c r="A93" s="42"/>
      <c r="C93" s="51"/>
      <c r="E93" s="85"/>
      <c r="F93" s="50"/>
    </row>
    <row r="94" spans="1:6" ht="13.8">
      <c r="A94" s="42"/>
      <c r="C94" s="51"/>
      <c r="E94" s="85"/>
      <c r="F94" s="50"/>
    </row>
    <row r="95" spans="1:6" ht="13.8">
      <c r="A95" s="42"/>
      <c r="C95" s="51"/>
      <c r="E95" s="85"/>
      <c r="F95" s="50"/>
    </row>
    <row r="96" spans="1:6" ht="13.8">
      <c r="A96" s="42"/>
      <c r="C96" s="51"/>
      <c r="E96" s="85"/>
      <c r="F96" s="50"/>
    </row>
    <row r="97" spans="1:6" ht="13.8">
      <c r="A97" s="42"/>
      <c r="C97" s="51"/>
      <c r="E97" s="85"/>
      <c r="F97" s="50"/>
    </row>
    <row r="98" spans="1:6" ht="13.8">
      <c r="A98" s="42"/>
      <c r="C98" s="51"/>
      <c r="E98" s="85"/>
      <c r="F98" s="50"/>
    </row>
    <row r="99" spans="1:6" ht="13.8">
      <c r="A99" s="42"/>
      <c r="C99" s="51"/>
      <c r="E99" s="85"/>
      <c r="F99" s="50"/>
    </row>
    <row r="100" spans="1:6" ht="13.8" hidden="1">
      <c r="A100" s="42"/>
      <c r="C100" s="51"/>
      <c r="E100" s="85"/>
      <c r="F100" s="85"/>
    </row>
    <row r="101" spans="1:6" ht="13.8" hidden="1">
      <c r="A101" s="42"/>
      <c r="C101" s="51"/>
      <c r="E101" s="85"/>
      <c r="F101" s="85"/>
    </row>
    <row r="102" spans="1:6" ht="13.8" hidden="1">
      <c r="A102" s="42"/>
      <c r="C102" s="51"/>
      <c r="E102" s="85"/>
      <c r="F102" s="85"/>
    </row>
    <row r="103" spans="1:6" ht="13.8" hidden="1">
      <c r="A103" s="42"/>
      <c r="C103" s="51"/>
      <c r="E103" s="85"/>
      <c r="F103" s="85"/>
    </row>
    <row r="104" spans="1:6" ht="13.8" hidden="1">
      <c r="A104" s="42"/>
      <c r="C104" s="51"/>
      <c r="E104" s="85"/>
      <c r="F104" s="85"/>
    </row>
    <row r="105" spans="1:6" ht="13.8" hidden="1">
      <c r="A105" s="42"/>
      <c r="C105" s="51"/>
      <c r="E105" s="85"/>
      <c r="F105" s="85"/>
    </row>
    <row r="106" spans="1:6" ht="13.8" hidden="1">
      <c r="A106" s="42"/>
      <c r="C106" s="51"/>
      <c r="E106" s="85"/>
      <c r="F106" s="85"/>
    </row>
    <row r="107" spans="1:6" ht="13.8" hidden="1">
      <c r="A107" s="42"/>
      <c r="C107" s="51"/>
      <c r="E107" s="85"/>
      <c r="F107" s="85"/>
    </row>
    <row r="108" spans="1:6" ht="13.8" hidden="1">
      <c r="A108" s="42"/>
      <c r="C108" s="51"/>
      <c r="E108" s="85"/>
      <c r="F108" s="85"/>
    </row>
    <row r="109" spans="1:6" ht="13.8" hidden="1">
      <c r="A109" s="42"/>
      <c r="C109" s="51"/>
      <c r="E109" s="85"/>
      <c r="F109" s="85"/>
    </row>
    <row r="110" spans="1:6" ht="13.8" hidden="1">
      <c r="A110" s="42"/>
      <c r="C110" s="51"/>
      <c r="E110" s="85"/>
      <c r="F110" s="85"/>
    </row>
    <row r="111" spans="1:6" ht="13.8" hidden="1">
      <c r="A111" s="42"/>
      <c r="C111" s="51"/>
      <c r="E111" s="85"/>
      <c r="F111" s="85"/>
    </row>
    <row r="112" spans="1:6" ht="13.8" hidden="1">
      <c r="A112" s="42"/>
      <c r="C112" s="51"/>
      <c r="E112" s="85"/>
      <c r="F112" s="85"/>
    </row>
    <row r="113" spans="1:6" ht="13.8" hidden="1">
      <c r="A113" s="42"/>
      <c r="C113" s="51"/>
      <c r="E113" s="85"/>
      <c r="F113" s="85"/>
    </row>
    <row r="114" spans="1:6" ht="13.8" hidden="1">
      <c r="A114" s="42"/>
      <c r="C114" s="51"/>
      <c r="E114" s="85"/>
      <c r="F114" s="85"/>
    </row>
    <row r="115" spans="1:6" ht="13.8" hidden="1">
      <c r="A115" s="42"/>
      <c r="C115" s="51"/>
      <c r="E115" s="85"/>
      <c r="F115" s="85"/>
    </row>
    <row r="116" spans="1:6" ht="13.8" hidden="1">
      <c r="A116" s="42"/>
      <c r="C116" s="51"/>
      <c r="E116" s="85"/>
      <c r="F116" s="85"/>
    </row>
    <row r="117" spans="1:6" ht="13.8" hidden="1">
      <c r="A117" s="42"/>
      <c r="C117" s="51"/>
      <c r="E117" s="85"/>
      <c r="F117" s="85"/>
    </row>
    <row r="118" spans="1:6" ht="13.8" hidden="1">
      <c r="A118" s="42"/>
      <c r="C118" s="51"/>
      <c r="E118" s="85"/>
      <c r="F118" s="85"/>
    </row>
    <row r="119" spans="1:6" ht="13.8" hidden="1">
      <c r="A119" s="42"/>
      <c r="C119" s="51"/>
      <c r="E119" s="85"/>
      <c r="F119" s="85"/>
    </row>
    <row r="120" spans="1:6" ht="13.8" hidden="1">
      <c r="A120" s="42"/>
      <c r="C120" s="51"/>
      <c r="E120" s="85"/>
      <c r="F120" s="85"/>
    </row>
    <row r="121" spans="1:6" ht="13.8" hidden="1">
      <c r="A121" s="42"/>
      <c r="C121" s="51"/>
      <c r="E121" s="85"/>
      <c r="F121" s="85"/>
    </row>
    <row r="122" spans="1:6" ht="13.8" hidden="1">
      <c r="A122" s="42"/>
      <c r="C122" s="51"/>
      <c r="E122" s="85"/>
      <c r="F122" s="85"/>
    </row>
    <row r="123" spans="1:6" ht="13.8" hidden="1">
      <c r="A123" s="42"/>
      <c r="C123" s="51"/>
      <c r="E123" s="85"/>
      <c r="F123" s="85"/>
    </row>
    <row r="124" spans="1:6" ht="13.8" hidden="1">
      <c r="A124" s="42"/>
      <c r="C124" s="51"/>
      <c r="E124" s="85"/>
      <c r="F124" s="85"/>
    </row>
    <row r="125" spans="1:6" ht="13.8" hidden="1">
      <c r="A125" s="42"/>
      <c r="C125" s="51"/>
      <c r="E125" s="85"/>
      <c r="F125" s="85"/>
    </row>
    <row r="126" spans="1:6" ht="13.8" hidden="1">
      <c r="A126" s="42"/>
      <c r="C126" s="51"/>
      <c r="E126" s="85"/>
      <c r="F126" s="85"/>
    </row>
    <row r="127" spans="1:6" ht="13.8" hidden="1">
      <c r="A127" s="42"/>
      <c r="C127" s="51"/>
      <c r="E127" s="85"/>
      <c r="F127" s="85"/>
    </row>
    <row r="128" spans="1:6" ht="13.8" hidden="1">
      <c r="A128" s="42"/>
      <c r="C128" s="51"/>
      <c r="E128" s="85"/>
      <c r="F128" s="85"/>
    </row>
    <row r="129" spans="1:6" ht="13.8" hidden="1">
      <c r="A129" s="42"/>
      <c r="C129" s="51"/>
      <c r="E129" s="85"/>
      <c r="F129" s="85"/>
    </row>
    <row r="130" spans="1:6" ht="13.8" hidden="1">
      <c r="A130" s="42"/>
      <c r="C130" s="51"/>
      <c r="E130" s="85"/>
      <c r="F130" s="85"/>
    </row>
    <row r="131" spans="1:6" ht="13.8" hidden="1">
      <c r="A131" s="42"/>
      <c r="C131" s="51"/>
      <c r="E131" s="85"/>
      <c r="F131" s="85"/>
    </row>
    <row r="132" spans="1:6" ht="13.8" hidden="1">
      <c r="A132" s="42"/>
      <c r="C132" s="51"/>
      <c r="E132" s="85"/>
      <c r="F132" s="85"/>
    </row>
    <row r="133" spans="1:6" ht="13.8" hidden="1">
      <c r="A133" s="42"/>
      <c r="C133" s="51"/>
      <c r="E133" s="85"/>
      <c r="F133" s="85"/>
    </row>
    <row r="134" spans="1:6" ht="13.8" hidden="1">
      <c r="A134" s="42"/>
      <c r="C134" s="51"/>
      <c r="E134" s="85"/>
      <c r="F134" s="85"/>
    </row>
    <row r="135" spans="1:6" ht="13.8" hidden="1">
      <c r="A135" s="42"/>
      <c r="C135" s="51"/>
      <c r="E135" s="85"/>
      <c r="F135" s="85"/>
    </row>
    <row r="136" spans="1:6" ht="13.8" hidden="1">
      <c r="A136" s="42"/>
      <c r="C136" s="51"/>
      <c r="E136" s="85"/>
      <c r="F136" s="85"/>
    </row>
    <row r="137" spans="1:6" ht="13.8" hidden="1">
      <c r="A137" s="42"/>
      <c r="C137" s="51"/>
      <c r="E137" s="85"/>
      <c r="F137" s="85"/>
    </row>
    <row r="138" spans="1:6" ht="13.8" hidden="1">
      <c r="A138" s="42"/>
      <c r="C138" s="51"/>
      <c r="E138" s="85"/>
      <c r="F138" s="85"/>
    </row>
    <row r="139" spans="1:6" ht="13.8" hidden="1">
      <c r="A139" s="42"/>
      <c r="C139" s="51"/>
      <c r="E139" s="85"/>
      <c r="F139" s="85"/>
    </row>
    <row r="140" spans="1:6" ht="13.8" hidden="1">
      <c r="A140" s="42"/>
      <c r="C140" s="51"/>
      <c r="E140" s="85"/>
      <c r="F140" s="85"/>
    </row>
    <row r="141" spans="1:6" ht="13.8" hidden="1">
      <c r="A141" s="42"/>
      <c r="C141" s="51"/>
      <c r="E141" s="85"/>
      <c r="F141" s="85"/>
    </row>
    <row r="142" spans="1:6" ht="13.8" hidden="1">
      <c r="A142" s="42"/>
      <c r="C142" s="51"/>
      <c r="E142" s="85"/>
      <c r="F142" s="85"/>
    </row>
    <row r="143" spans="1:6" ht="13.8" hidden="1">
      <c r="A143" s="42"/>
      <c r="C143" s="51"/>
      <c r="E143" s="85"/>
      <c r="F143" s="85"/>
    </row>
    <row r="144" spans="1:6" ht="13.8" hidden="1">
      <c r="A144" s="42"/>
      <c r="C144" s="51"/>
      <c r="E144" s="85"/>
      <c r="F144" s="85"/>
    </row>
    <row r="145" spans="1:6" ht="13.8" hidden="1">
      <c r="A145" s="42"/>
      <c r="C145" s="51"/>
      <c r="E145" s="85"/>
      <c r="F145" s="85"/>
    </row>
    <row r="146" spans="1:6" ht="13.8" hidden="1">
      <c r="A146" s="42"/>
      <c r="C146" s="51"/>
      <c r="E146" s="85"/>
      <c r="F146" s="85"/>
    </row>
    <row r="147" spans="1:6" ht="13.8" hidden="1">
      <c r="A147" s="42"/>
      <c r="C147" s="51"/>
      <c r="E147" s="85"/>
      <c r="F147" s="85"/>
    </row>
    <row r="148" spans="1:6" ht="13.8" hidden="1">
      <c r="A148" s="42"/>
      <c r="C148" s="51"/>
      <c r="E148" s="85"/>
      <c r="F148" s="85"/>
    </row>
    <row r="149" spans="1:6" ht="13.8" hidden="1"/>
    <row r="150" spans="1:6" ht="12.75" customHeight="1"/>
  </sheetData>
  <sheetProtection password="EF32" sheet="1" objects="1" scenarios="1"/>
  <mergeCells count="2">
    <mergeCell ref="A1:F1"/>
    <mergeCell ref="A2:F2"/>
  </mergeCells>
  <dataValidations count="2">
    <dataValidation type="whole" allowBlank="1" showInputMessage="1" showErrorMessage="1" sqref="D6:D148">
      <formula1>1</formula1>
      <formula2>99999999</formula2>
    </dataValidation>
    <dataValidation type="list" allowBlank="1" showInputMessage="1" showErrorMessage="1" sqref="E6:E150">
      <formula1>capitalized</formula1>
    </dataValidation>
  </dataValidations>
  <pageMargins left="0.5" right="0.5" top="0.75" bottom="0.75" header="0.5" footer="0.5"/>
  <pageSetup scale="75" orientation="portrait" r:id="rId1"/>
  <headerFooter alignWithMargins="0">
    <oddFooter>&amp;LPage &amp;P of &amp;N&amp;C&amp;D &amp;T&amp;R&amp;A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IU48"/>
  <sheetViews>
    <sheetView showGridLines="0" defaultGridColor="0" colorId="22" zoomScaleNormal="100" workbookViewId="0">
      <selection activeCell="E11" sqref="E11"/>
    </sheetView>
  </sheetViews>
  <sheetFormatPr defaultColWidth="0" defaultRowHeight="13.8" zeroHeight="1"/>
  <cols>
    <col min="1" max="1" width="6.33203125" style="176" customWidth="1"/>
    <col min="2" max="2" width="4.5546875" style="176" customWidth="1"/>
    <col min="3" max="3" width="48.33203125" style="176" customWidth="1"/>
    <col min="4" max="5" width="12.6640625" style="176" customWidth="1"/>
    <col min="6" max="6" width="11.88671875" style="176" bestFit="1" customWidth="1"/>
    <col min="7" max="7" width="20.109375" style="176" bestFit="1" customWidth="1"/>
    <col min="8" max="8" width="11.88671875" style="176" bestFit="1" customWidth="1"/>
    <col min="9" max="9" width="20.109375" style="176" hidden="1" customWidth="1"/>
    <col min="10" max="10" width="11.88671875" style="119" hidden="1" customWidth="1"/>
    <col min="11" max="11" width="20.109375" style="176" hidden="1" customWidth="1"/>
    <col min="12" max="12" width="11.88671875" style="176" hidden="1" customWidth="1"/>
    <col min="13" max="13" width="20.109375" style="176" hidden="1" customWidth="1"/>
    <col min="14" max="255" width="14.6640625" style="176" hidden="1" customWidth="1"/>
    <col min="256" max="16384" width="6.33203125" style="176" hidden="1"/>
  </cols>
  <sheetData>
    <row r="1" spans="1:13" s="173" customFormat="1" ht="15.75" customHeight="1" thickBot="1">
      <c r="A1" s="257" t="str">
        <f>'7-AFR Equipment Detail'!A1:F1</f>
        <v>COLORADO GRADUATION PATHWAYS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</row>
    <row r="2" spans="1:13" s="261" customFormat="1" ht="15" customHeight="1" thickBot="1">
      <c r="A2" s="259" t="s">
        <v>357</v>
      </c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</row>
    <row r="3" spans="1:13" s="173" customFormat="1" ht="18" customHeight="1">
      <c r="A3" s="260" t="s">
        <v>411</v>
      </c>
      <c r="B3" s="260"/>
      <c r="C3" s="260"/>
      <c r="D3" s="260"/>
      <c r="E3" s="260"/>
      <c r="F3" s="260"/>
      <c r="G3" s="260"/>
      <c r="H3" s="260"/>
      <c r="I3" s="260"/>
      <c r="J3" s="174"/>
    </row>
    <row r="4" spans="1:13">
      <c r="A4" s="175"/>
      <c r="B4" s="175"/>
      <c r="C4" s="175"/>
      <c r="D4" s="175"/>
      <c r="E4" s="175"/>
      <c r="F4" s="175"/>
      <c r="G4" s="175"/>
      <c r="H4" s="175"/>
      <c r="I4" s="119"/>
    </row>
    <row r="5" spans="1:13" ht="15.75" customHeight="1">
      <c r="A5" s="262" t="s">
        <v>340</v>
      </c>
      <c r="B5" s="262"/>
      <c r="C5" s="177" t="e">
        <f>+'2-Cover Page'!C7:D7</f>
        <v>#N/A</v>
      </c>
      <c r="D5" s="175"/>
      <c r="E5" s="175"/>
      <c r="F5" s="175"/>
      <c r="G5" s="175"/>
      <c r="H5" s="175"/>
      <c r="I5" s="119"/>
    </row>
    <row r="6" spans="1:13" ht="16.5" customHeight="1">
      <c r="A6" s="255" t="s">
        <v>383</v>
      </c>
      <c r="B6" s="255"/>
      <c r="C6" s="178" t="str">
        <f>'2-Cover Page'!C5:D5</f>
        <v xml:space="preserve"> </v>
      </c>
      <c r="D6" s="175"/>
      <c r="E6" s="175"/>
      <c r="F6" s="175"/>
      <c r="G6" s="179"/>
      <c r="H6" s="180"/>
      <c r="I6" s="180"/>
    </row>
    <row r="7" spans="1:13">
      <c r="A7" s="256"/>
      <c r="B7" s="256"/>
      <c r="C7" s="181" t="s">
        <v>408</v>
      </c>
      <c r="D7" s="175"/>
      <c r="E7" s="175"/>
      <c r="F7" s="175"/>
      <c r="G7" s="179"/>
      <c r="H7" s="180"/>
      <c r="I7" s="180"/>
    </row>
    <row r="8" spans="1:13">
      <c r="A8" s="175"/>
      <c r="B8" s="175"/>
      <c r="C8" s="182"/>
      <c r="D8" s="183"/>
      <c r="E8" s="183"/>
      <c r="F8" s="183"/>
      <c r="G8" s="183"/>
      <c r="H8" s="183"/>
      <c r="I8" s="183"/>
    </row>
    <row r="9" spans="1:13" ht="10.5" customHeight="1" thickBot="1">
      <c r="A9" s="175"/>
      <c r="B9" s="175"/>
      <c r="C9" s="175"/>
      <c r="D9" s="175"/>
      <c r="E9" s="175"/>
      <c r="F9" s="175"/>
      <c r="G9" s="175"/>
      <c r="H9" s="183"/>
      <c r="I9" s="183"/>
    </row>
    <row r="10" spans="1:13" ht="14.4" thickBot="1">
      <c r="A10" s="175"/>
      <c r="B10" s="175"/>
      <c r="C10" s="175"/>
      <c r="D10" s="253" t="s">
        <v>411</v>
      </c>
      <c r="E10" s="254"/>
      <c r="F10" s="119"/>
      <c r="G10" s="119"/>
      <c r="H10" s="119"/>
      <c r="I10" s="119"/>
      <c r="K10" s="119"/>
      <c r="L10" s="119"/>
      <c r="M10" s="119"/>
    </row>
    <row r="11" spans="1:13" ht="28.2" thickBot="1">
      <c r="A11" s="175"/>
      <c r="B11" s="184"/>
      <c r="C11" s="185" t="s">
        <v>341</v>
      </c>
      <c r="D11" s="185" t="s">
        <v>342</v>
      </c>
      <c r="E11" s="186" t="s">
        <v>343</v>
      </c>
      <c r="F11" s="119"/>
      <c r="G11" s="119"/>
      <c r="H11" s="119"/>
      <c r="I11" s="119"/>
      <c r="K11" s="119"/>
      <c r="L11" s="119"/>
      <c r="M11" s="119"/>
    </row>
    <row r="12" spans="1:13" ht="15.75" customHeight="1" thickBot="1">
      <c r="A12" s="175"/>
      <c r="B12" s="263" t="s">
        <v>344</v>
      </c>
      <c r="C12" s="264"/>
      <c r="D12" s="187"/>
      <c r="E12" s="187"/>
      <c r="F12" s="119"/>
      <c r="G12" s="119"/>
      <c r="H12" s="119"/>
      <c r="I12" s="119"/>
      <c r="K12" s="119"/>
      <c r="L12" s="119"/>
      <c r="M12" s="119"/>
    </row>
    <row r="13" spans="1:13">
      <c r="A13" s="175"/>
      <c r="B13" s="188">
        <v>1</v>
      </c>
      <c r="C13" s="188" t="s">
        <v>345</v>
      </c>
      <c r="D13" s="189">
        <f>+'5-Budget Summary'!C10</f>
        <v>0</v>
      </c>
      <c r="E13" s="190">
        <f>SUMIF('6- AFR Detail'!$A$6:$A$500,"Inst. - Salaries (0100)",'6- AFR Detail'!$B$6:$B$500)</f>
        <v>0</v>
      </c>
      <c r="F13" s="119"/>
      <c r="G13" s="119"/>
      <c r="H13" s="119"/>
      <c r="I13" s="119"/>
      <c r="K13" s="119"/>
      <c r="L13" s="119"/>
      <c r="M13" s="119"/>
    </row>
    <row r="14" spans="1:13">
      <c r="A14" s="175"/>
      <c r="B14" s="188">
        <v>2</v>
      </c>
      <c r="C14" s="188" t="s">
        <v>346</v>
      </c>
      <c r="D14" s="191">
        <f>+'5-Budget Summary'!C11</f>
        <v>0</v>
      </c>
      <c r="E14" s="192">
        <f>SUMIF('6- AFR Detail'!$A$6:$A$500,"Inst. - Employee Benefits (0200)",'6- AFR Detail'!$B$6:$B$500)</f>
        <v>0</v>
      </c>
      <c r="F14" s="119"/>
      <c r="G14" s="119"/>
      <c r="H14" s="119"/>
      <c r="I14" s="119"/>
      <c r="K14" s="119"/>
      <c r="L14" s="119"/>
      <c r="M14" s="119"/>
    </row>
    <row r="15" spans="1:13">
      <c r="A15" s="175"/>
      <c r="B15" s="188">
        <v>3</v>
      </c>
      <c r="C15" s="188" t="s">
        <v>347</v>
      </c>
      <c r="D15" s="191">
        <f>+'5-Budget Summary'!C12</f>
        <v>0</v>
      </c>
      <c r="E15" s="192">
        <f>SUMIF('6- AFR Detail'!$A$6:$A$500,"Inst. - Purchased Professional &amp; Technical Services (0300)",'6- AFR Detail'!$B$6:$B$500)</f>
        <v>0</v>
      </c>
      <c r="F15" s="119"/>
      <c r="G15" s="119"/>
      <c r="H15" s="119"/>
      <c r="I15" s="119"/>
      <c r="K15" s="119"/>
      <c r="L15" s="119"/>
      <c r="M15" s="119"/>
    </row>
    <row r="16" spans="1:13">
      <c r="A16" s="175"/>
      <c r="B16" s="188">
        <v>4</v>
      </c>
      <c r="C16" s="188" t="s">
        <v>348</v>
      </c>
      <c r="D16" s="191">
        <f>+'5-Budget Summary'!C13</f>
        <v>0</v>
      </c>
      <c r="E16" s="192">
        <f>SUMIF('6- AFR Detail'!$A$6:$A$500,"Inst. - Other Purchased Services (0500)",'6- AFR Detail'!$B$6:$B$500)</f>
        <v>0</v>
      </c>
      <c r="F16" s="119"/>
      <c r="G16" s="119"/>
      <c r="H16" s="119"/>
      <c r="I16" s="119"/>
      <c r="K16" s="119"/>
      <c r="L16" s="119"/>
      <c r="M16" s="119"/>
    </row>
    <row r="17" spans="1:13">
      <c r="A17" s="175"/>
      <c r="B17" s="188">
        <v>5</v>
      </c>
      <c r="C17" s="188" t="s">
        <v>36</v>
      </c>
      <c r="D17" s="191">
        <f>+'5-Budget Summary'!C14</f>
        <v>0</v>
      </c>
      <c r="E17" s="192">
        <f>SUMIF('6- AFR Detail'!$A$6:$A$500,"Inst. - Travel, Registration and Entrance (0580)",'6- AFR Detail'!$B$6:$B$500)</f>
        <v>0</v>
      </c>
      <c r="F17" s="119"/>
      <c r="G17" s="119"/>
      <c r="H17" s="119"/>
      <c r="I17" s="119"/>
      <c r="K17" s="119"/>
      <c r="L17" s="119"/>
      <c r="M17" s="119"/>
    </row>
    <row r="18" spans="1:13">
      <c r="A18" s="175"/>
      <c r="B18" s="188">
        <v>6</v>
      </c>
      <c r="C18" s="188" t="s">
        <v>349</v>
      </c>
      <c r="D18" s="191">
        <f>+'5-Budget Summary'!C15</f>
        <v>0</v>
      </c>
      <c r="E18" s="192">
        <f>SUMIF('6- AFR Detail'!$A$6:$A$500,"Inst. - Supplies (0600)",'6- AFR Detail'!$B$6:$B$500)</f>
        <v>0</v>
      </c>
      <c r="F18" s="119"/>
      <c r="G18" s="119"/>
      <c r="H18" s="119"/>
      <c r="I18" s="119"/>
      <c r="K18" s="119"/>
      <c r="L18" s="119"/>
      <c r="M18" s="119"/>
    </row>
    <row r="19" spans="1:13">
      <c r="A19" s="175"/>
      <c r="B19" s="193">
        <v>7</v>
      </c>
      <c r="C19" s="193" t="s">
        <v>365</v>
      </c>
      <c r="D19" s="191">
        <f>+'5-Budget Summary'!C16</f>
        <v>0</v>
      </c>
      <c r="E19" s="192">
        <f>SUMIF('6- AFR Detail'!$A$6:$A$500,"Inst. - Other (0800)",'6- AFR Detail'!$B$6:$B$500)</f>
        <v>0</v>
      </c>
      <c r="F19" s="119"/>
      <c r="G19" s="119"/>
      <c r="H19" s="119"/>
      <c r="I19" s="119"/>
      <c r="K19" s="119"/>
      <c r="L19" s="119"/>
      <c r="M19" s="119"/>
    </row>
    <row r="20" spans="1:13" ht="14.4" thickBot="1">
      <c r="A20" s="175"/>
      <c r="B20" s="194">
        <v>8</v>
      </c>
      <c r="C20" s="194" t="s">
        <v>350</v>
      </c>
      <c r="D20" s="195">
        <f>SUM(D13:D19)</f>
        <v>0</v>
      </c>
      <c r="E20" s="196">
        <f>SUM(E13:E19)</f>
        <v>0</v>
      </c>
      <c r="F20" s="119"/>
      <c r="G20" s="119"/>
      <c r="H20" s="119"/>
      <c r="I20" s="119"/>
      <c r="K20" s="119"/>
      <c r="L20" s="119"/>
      <c r="M20" s="119"/>
    </row>
    <row r="21" spans="1:13" ht="15.75" customHeight="1" thickBot="1">
      <c r="A21" s="175"/>
      <c r="B21" s="253" t="s">
        <v>351</v>
      </c>
      <c r="C21" s="254"/>
      <c r="D21" s="197"/>
      <c r="E21" s="198"/>
      <c r="F21" s="119"/>
      <c r="G21" s="119"/>
      <c r="H21" s="119"/>
      <c r="I21" s="119"/>
      <c r="K21" s="119"/>
      <c r="L21" s="119"/>
      <c r="M21" s="119"/>
    </row>
    <row r="22" spans="1:13">
      <c r="A22" s="175"/>
      <c r="B22" s="199">
        <v>9</v>
      </c>
      <c r="C22" s="200" t="s">
        <v>345</v>
      </c>
      <c r="D22" s="189">
        <f>+'5-Budget Summary'!C20</f>
        <v>0</v>
      </c>
      <c r="E22" s="190">
        <f>SUMIF('6- AFR Detail'!$A$6:$A$500,"Support - Salaries (0100)",'6- AFR Detail'!$B$6:$B$500)</f>
        <v>0</v>
      </c>
      <c r="F22" s="119"/>
      <c r="G22" s="119"/>
      <c r="H22" s="119"/>
      <c r="I22" s="119"/>
      <c r="K22" s="119"/>
      <c r="L22" s="119"/>
      <c r="M22" s="119"/>
    </row>
    <row r="23" spans="1:13">
      <c r="A23" s="175"/>
      <c r="B23" s="188">
        <v>10</v>
      </c>
      <c r="C23" s="188" t="s">
        <v>346</v>
      </c>
      <c r="D23" s="191">
        <f>+'5-Budget Summary'!C21</f>
        <v>0</v>
      </c>
      <c r="E23" s="192">
        <f>SUMIF('6- AFR Detail'!$A$6:$A$500,"Support - Employee Benefits (0200)",'6- AFR Detail'!$B$6:$B$500)</f>
        <v>0</v>
      </c>
      <c r="F23" s="119"/>
      <c r="G23" s="119"/>
      <c r="H23" s="119"/>
      <c r="I23" s="119"/>
      <c r="K23" s="119"/>
      <c r="L23" s="119"/>
      <c r="M23" s="119"/>
    </row>
    <row r="24" spans="1:13">
      <c r="A24" s="175"/>
      <c r="B24" s="188">
        <v>11</v>
      </c>
      <c r="C24" s="188" t="s">
        <v>347</v>
      </c>
      <c r="D24" s="191">
        <f>+'5-Budget Summary'!C22</f>
        <v>0</v>
      </c>
      <c r="E24" s="192">
        <f>SUMIF('6- AFR Detail'!$A$6:$A$500,"Support - Purchased Professional &amp; Technical Services (0300)",'6- AFR Detail'!$B$6:$B$500)</f>
        <v>0</v>
      </c>
      <c r="F24" s="119"/>
      <c r="G24" s="119"/>
      <c r="H24" s="119"/>
      <c r="I24" s="119"/>
      <c r="K24" s="119"/>
      <c r="L24" s="119"/>
      <c r="M24" s="119"/>
    </row>
    <row r="25" spans="1:13">
      <c r="A25" s="175"/>
      <c r="B25" s="188">
        <v>12</v>
      </c>
      <c r="C25" s="188" t="s">
        <v>348</v>
      </c>
      <c r="D25" s="191">
        <f>+'5-Budget Summary'!C23</f>
        <v>0</v>
      </c>
      <c r="E25" s="192">
        <f>SUMIF('6- AFR Detail'!$A$6:$A$500,"Support - Other Purchased Services (0500)",'6- AFR Detail'!$B$6:$B$500)</f>
        <v>0</v>
      </c>
      <c r="F25" s="119"/>
      <c r="G25" s="119"/>
      <c r="H25" s="119"/>
      <c r="I25" s="119"/>
      <c r="K25" s="119"/>
      <c r="L25" s="119"/>
      <c r="M25" s="119"/>
    </row>
    <row r="26" spans="1:13">
      <c r="A26" s="175"/>
      <c r="B26" s="188">
        <v>13</v>
      </c>
      <c r="C26" s="188" t="s">
        <v>36</v>
      </c>
      <c r="D26" s="191">
        <f>+'5-Budget Summary'!C24</f>
        <v>0</v>
      </c>
      <c r="E26" s="192">
        <f>SUMIF('6- AFR Detail'!$A$6:$A$500,"Support - Travel, Registration and Entrance (0580)",'6- AFR Detail'!$B$6:$B$500)</f>
        <v>0</v>
      </c>
      <c r="F26" s="119"/>
      <c r="G26" s="119"/>
      <c r="H26" s="119"/>
      <c r="I26" s="119"/>
      <c r="K26" s="119"/>
      <c r="L26" s="119"/>
      <c r="M26" s="119"/>
    </row>
    <row r="27" spans="1:13">
      <c r="A27" s="175"/>
      <c r="B27" s="188">
        <v>14</v>
      </c>
      <c r="C27" s="188" t="s">
        <v>349</v>
      </c>
      <c r="D27" s="191">
        <f>+'5-Budget Summary'!C25</f>
        <v>0</v>
      </c>
      <c r="E27" s="192">
        <f>SUMIF('6- AFR Detail'!$A$6:$A$500,"Support - Supplies (0600)",'6- AFR Detail'!$B$6:$B$500)</f>
        <v>0</v>
      </c>
      <c r="F27" s="119"/>
      <c r="G27" s="119"/>
      <c r="H27" s="119"/>
      <c r="I27" s="119"/>
      <c r="K27" s="119"/>
      <c r="L27" s="119"/>
      <c r="M27" s="119"/>
    </row>
    <row r="28" spans="1:13">
      <c r="A28" s="175"/>
      <c r="B28" s="193">
        <v>15</v>
      </c>
      <c r="C28" s="193" t="s">
        <v>365</v>
      </c>
      <c r="D28" s="191">
        <f>+'5-Budget Summary'!C26</f>
        <v>0</v>
      </c>
      <c r="E28" s="192">
        <f>SUMIF('6- AFR Detail'!$A$6:$A$500,"Support - Other (0800)",'6- AFR Detail'!$B$6:$B$500)</f>
        <v>0</v>
      </c>
      <c r="F28" s="119"/>
      <c r="G28" s="119"/>
      <c r="H28" s="119"/>
      <c r="I28" s="119"/>
      <c r="K28" s="119"/>
      <c r="L28" s="119"/>
      <c r="M28" s="119"/>
    </row>
    <row r="29" spans="1:13" ht="14.4" thickBot="1">
      <c r="A29" s="175"/>
      <c r="B29" s="194">
        <v>16</v>
      </c>
      <c r="C29" s="194" t="s">
        <v>352</v>
      </c>
      <c r="D29" s="201">
        <f>SUM(D22:D28)</f>
        <v>0</v>
      </c>
      <c r="E29" s="202">
        <f>SUM(E22:E28)</f>
        <v>0</v>
      </c>
      <c r="F29" s="119"/>
      <c r="G29" s="119"/>
      <c r="H29" s="119"/>
      <c r="I29" s="119"/>
      <c r="K29" s="119"/>
      <c r="L29" s="119"/>
      <c r="M29" s="119"/>
    </row>
    <row r="30" spans="1:13" ht="14.4" thickBot="1">
      <c r="A30" s="175"/>
      <c r="B30" s="194">
        <v>17</v>
      </c>
      <c r="C30" s="194" t="s">
        <v>336</v>
      </c>
      <c r="D30" s="203">
        <f>IF(ISBLANK('5-Budget Summary'!C31)=TRUE,'5-Budget Summary'!C30,'5-Budget Summary'!C31)</f>
        <v>0</v>
      </c>
      <c r="E30" s="204"/>
      <c r="F30" s="119"/>
      <c r="G30" s="119"/>
      <c r="H30" s="119"/>
      <c r="I30" s="119"/>
      <c r="K30" s="119"/>
      <c r="L30" s="119"/>
      <c r="M30" s="119"/>
    </row>
    <row r="31" spans="1:13" ht="14.4" thickBot="1">
      <c r="A31" s="175"/>
      <c r="B31" s="194">
        <v>18</v>
      </c>
      <c r="C31" s="194" t="s">
        <v>380</v>
      </c>
      <c r="D31" s="203">
        <f>+'5-Budget Summary'!C32</f>
        <v>0</v>
      </c>
      <c r="E31" s="203">
        <f>+SUMIF('7-AFR Equipment Detail'!$E$6:$E$150,"non-capitalized",'7-AFR Equipment Detail'!$D$6:$D$150)</f>
        <v>0</v>
      </c>
      <c r="F31" s="119"/>
      <c r="G31" s="119"/>
      <c r="H31" s="119"/>
      <c r="I31" s="119"/>
      <c r="K31" s="119"/>
      <c r="L31" s="119"/>
      <c r="M31" s="119"/>
    </row>
    <row r="32" spans="1:13" ht="14.4" thickBot="1">
      <c r="A32" s="175"/>
      <c r="B32" s="194">
        <v>19</v>
      </c>
      <c r="C32" s="194" t="s">
        <v>381</v>
      </c>
      <c r="D32" s="203">
        <f>+'5-Budget Summary'!C33</f>
        <v>0</v>
      </c>
      <c r="E32" s="203">
        <f>+SUMIF('7-AFR Equipment Detail'!$E$6:$E$150,"capitalized",'7-AFR Equipment Detail'!$D$6:$D$150)</f>
        <v>0</v>
      </c>
      <c r="F32" s="119"/>
      <c r="G32" s="119"/>
      <c r="H32" s="119"/>
      <c r="I32" s="119"/>
      <c r="K32" s="119"/>
      <c r="L32" s="119"/>
      <c r="M32" s="119"/>
    </row>
    <row r="33" spans="1:13" ht="18.899999999999999" customHeight="1" thickBot="1">
      <c r="A33" s="175"/>
      <c r="B33" s="194">
        <v>20</v>
      </c>
      <c r="C33" s="205" t="s">
        <v>353</v>
      </c>
      <c r="D33" s="203">
        <f>D29+D20+D30+D31</f>
        <v>0</v>
      </c>
      <c r="E33" s="203">
        <f>E29+E20+E30+E31</f>
        <v>0</v>
      </c>
      <c r="F33" s="119"/>
      <c r="G33" s="119"/>
      <c r="H33" s="119"/>
      <c r="I33" s="119"/>
      <c r="K33" s="119"/>
      <c r="L33" s="119"/>
      <c r="M33" s="119"/>
    </row>
    <row r="34" spans="1:13">
      <c r="A34" s="175"/>
      <c r="B34" s="175"/>
      <c r="C34" s="175"/>
      <c r="D34" s="206"/>
      <c r="E34" s="207"/>
      <c r="F34" s="119"/>
      <c r="G34" s="119"/>
      <c r="H34" s="208"/>
      <c r="I34" s="175"/>
      <c r="J34" s="208"/>
      <c r="K34" s="175"/>
      <c r="L34" s="208"/>
      <c r="M34" s="175"/>
    </row>
    <row r="35" spans="1:13">
      <c r="A35" s="175"/>
      <c r="B35" s="175"/>
      <c r="C35" s="209"/>
      <c r="D35" s="210"/>
      <c r="E35" s="210"/>
      <c r="F35" s="210"/>
      <c r="G35" s="210"/>
      <c r="H35" s="183"/>
      <c r="I35" s="183"/>
    </row>
    <row r="36" spans="1:13">
      <c r="A36" s="175"/>
      <c r="B36" s="175"/>
      <c r="C36" s="211"/>
      <c r="D36" s="175"/>
      <c r="E36" s="175"/>
      <c r="F36" s="175"/>
      <c r="G36" s="175"/>
      <c r="H36" s="183"/>
      <c r="I36" s="183"/>
    </row>
    <row r="37" spans="1:13">
      <c r="A37" s="175"/>
      <c r="B37" s="175"/>
      <c r="C37" s="212"/>
      <c r="D37" s="213"/>
      <c r="E37" s="213"/>
      <c r="F37" s="213"/>
      <c r="G37" s="213"/>
      <c r="H37" s="214"/>
      <c r="I37" s="214"/>
    </row>
    <row r="38" spans="1:13">
      <c r="A38" s="175"/>
      <c r="B38" s="175"/>
      <c r="C38" s="213"/>
      <c r="D38" s="213"/>
      <c r="E38" s="175"/>
      <c r="F38" s="175"/>
      <c r="G38" s="175"/>
      <c r="H38" s="175"/>
      <c r="I38" s="175"/>
    </row>
    <row r="39" spans="1:13" ht="14.4" thickBot="1">
      <c r="A39" s="175"/>
      <c r="B39" s="175"/>
      <c r="C39" s="215"/>
      <c r="D39" s="215"/>
      <c r="E39" s="175"/>
      <c r="F39" s="216"/>
      <c r="G39" s="216"/>
      <c r="H39" s="216"/>
      <c r="I39" s="216"/>
    </row>
    <row r="40" spans="1:13">
      <c r="A40" s="175"/>
      <c r="B40" s="175"/>
      <c r="C40" s="217" t="s">
        <v>354</v>
      </c>
      <c r="D40" s="175"/>
      <c r="E40" s="175"/>
      <c r="F40" s="251" t="s">
        <v>355</v>
      </c>
      <c r="G40" s="252"/>
      <c r="H40" s="252"/>
      <c r="I40" s="252"/>
    </row>
    <row r="41" spans="1:13">
      <c r="A41" s="175"/>
      <c r="B41" s="175"/>
      <c r="C41" s="175"/>
      <c r="D41" s="175"/>
      <c r="E41" s="175"/>
      <c r="F41" s="175"/>
      <c r="G41" s="175"/>
      <c r="H41" s="175"/>
      <c r="I41" s="175"/>
    </row>
    <row r="42" spans="1:13">
      <c r="A42" s="175"/>
      <c r="B42" s="175"/>
      <c r="C42" s="175" t="s">
        <v>356</v>
      </c>
      <c r="D42" s="175"/>
      <c r="E42" s="175"/>
      <c r="F42" s="175"/>
      <c r="G42" s="175"/>
      <c r="H42" s="175"/>
      <c r="I42" s="175"/>
    </row>
    <row r="43" spans="1:13">
      <c r="A43" s="175"/>
      <c r="B43" s="175"/>
      <c r="C43" s="175"/>
      <c r="D43" s="175"/>
      <c r="E43" s="175"/>
      <c r="F43" s="175"/>
      <c r="G43" s="175"/>
      <c r="H43" s="175"/>
      <c r="I43" s="175"/>
    </row>
    <row r="44" spans="1:13" hidden="1"/>
    <row r="45" spans="1:13" hidden="1"/>
    <row r="46" spans="1:13" hidden="1"/>
    <row r="47" spans="1:13" hidden="1"/>
    <row r="48" spans="1:13"/>
  </sheetData>
  <sheetProtection password="EF32" sheet="1" objects="1" scenarios="1"/>
  <mergeCells count="10">
    <mergeCell ref="F40:I40"/>
    <mergeCell ref="D10:E10"/>
    <mergeCell ref="A6:B6"/>
    <mergeCell ref="A7:B7"/>
    <mergeCell ref="A1:M1"/>
    <mergeCell ref="A2:XFD2"/>
    <mergeCell ref="A5:B5"/>
    <mergeCell ref="B12:C12"/>
    <mergeCell ref="B21:C21"/>
    <mergeCell ref="A3:I3"/>
  </mergeCells>
  <phoneticPr fontId="0" type="noConversion"/>
  <dataValidations count="1">
    <dataValidation allowBlank="1" showInputMessage="1" showErrorMessage="1" prompt="Please enter the actual amount of indirect costs expended here." sqref="E30"/>
  </dataValidations>
  <pageMargins left="0.2" right="0.2" top="0.45" bottom="0.2" header="0" footer="0"/>
  <pageSetup scale="99" orientation="landscape" horizontalDpi="360" r:id="rId1"/>
  <headerFooter alignWithMargins="0"/>
  <ignoredErrors>
    <ignoredError sqref="E13 E14:E28" unlocked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1"/>
  <sheetViews>
    <sheetView workbookViewId="0">
      <selection activeCell="C24" sqref="C24"/>
    </sheetView>
  </sheetViews>
  <sheetFormatPr defaultRowHeight="13.2"/>
  <cols>
    <col min="2" max="2" width="22.6640625" customWidth="1"/>
    <col min="3" max="3" width="18.44140625" customWidth="1"/>
    <col min="4" max="4" width="18" customWidth="1"/>
    <col min="5" max="5" width="14.44140625" customWidth="1"/>
    <col min="6" max="6" width="14.88671875" bestFit="1" customWidth="1"/>
    <col min="7" max="7" width="17" customWidth="1"/>
  </cols>
  <sheetData>
    <row r="2" spans="1:6">
      <c r="B2" s="224" t="str">
        <f>'2-Cover Page'!C5</f>
        <v xml:space="preserve"> </v>
      </c>
    </row>
    <row r="4" spans="1:6">
      <c r="A4" s="2"/>
      <c r="B4" s="3"/>
      <c r="C4" s="265" t="s">
        <v>41</v>
      </c>
      <c r="D4" s="265"/>
      <c r="E4" s="4"/>
      <c r="F4" s="4"/>
    </row>
    <row r="5" spans="1:6">
      <c r="A5" s="5"/>
      <c r="B5" s="37"/>
      <c r="C5" s="38"/>
      <c r="D5" s="38"/>
      <c r="E5" s="38"/>
      <c r="F5" s="6">
        <f>'2-Cover Page'!C11</f>
        <v>0</v>
      </c>
    </row>
    <row r="6" spans="1:6">
      <c r="A6" s="4"/>
      <c r="B6" s="3"/>
      <c r="C6" s="4"/>
      <c r="D6" s="4"/>
      <c r="E6" s="7"/>
      <c r="F6" s="4"/>
    </row>
    <row r="7" spans="1:6">
      <c r="A7" s="4"/>
      <c r="B7" s="3"/>
      <c r="C7" s="4"/>
      <c r="D7" s="4"/>
      <c r="E7" s="7"/>
      <c r="F7" s="4"/>
    </row>
    <row r="8" spans="1:6">
      <c r="A8" s="4"/>
      <c r="B8" s="3"/>
      <c r="C8" s="4"/>
      <c r="D8" s="4"/>
      <c r="E8" s="7"/>
      <c r="F8" s="4"/>
    </row>
    <row r="9" spans="1:6">
      <c r="A9" s="4"/>
      <c r="B9" s="218"/>
      <c r="C9" s="219" t="s">
        <v>42</v>
      </c>
      <c r="D9" s="220" t="s">
        <v>43</v>
      </c>
      <c r="E9" s="219"/>
      <c r="F9" s="4"/>
    </row>
    <row r="10" spans="1:6">
      <c r="A10" s="4"/>
      <c r="B10" s="218" t="s">
        <v>44</v>
      </c>
      <c r="C10" s="221">
        <f>+SUM('3-Budget Detail'!C6:C500)</f>
        <v>0</v>
      </c>
      <c r="D10" s="221">
        <f>+'5-Budget Summary'!C17+'5-Budget Summary'!C27</f>
        <v>0</v>
      </c>
      <c r="E10" s="219" t="str">
        <f>IF(C10=D10,"equal","not equal!")</f>
        <v>equal</v>
      </c>
      <c r="F10" s="4"/>
    </row>
    <row r="11" spans="1:6" ht="13.8" thickBot="1">
      <c r="A11" s="4"/>
      <c r="B11" s="218" t="s">
        <v>45</v>
      </c>
      <c r="C11" s="222">
        <f>SUM('4-Equipment'!D6:D150)</f>
        <v>0</v>
      </c>
      <c r="D11" s="221">
        <f>+'5-Budget Summary'!C32+'5-Budget Summary'!C33</f>
        <v>0</v>
      </c>
      <c r="E11" s="219" t="str">
        <f>IF(C11=D11,"equal","not equal!")</f>
        <v>equal</v>
      </c>
      <c r="F11" s="4"/>
    </row>
    <row r="12" spans="1:6">
      <c r="A12" s="4"/>
      <c r="B12" s="219" t="s">
        <v>31</v>
      </c>
      <c r="C12" s="223">
        <f>SUM(C10:C11)</f>
        <v>0</v>
      </c>
      <c r="D12" s="223">
        <f>SUM(D10:D11)</f>
        <v>0</v>
      </c>
      <c r="E12" s="219" t="str">
        <f>IF(C12=D12,"equal","not equal!")</f>
        <v>equal</v>
      </c>
      <c r="F12" s="4"/>
    </row>
    <row r="13" spans="1:6">
      <c r="A13" s="4"/>
      <c r="B13" s="3"/>
      <c r="C13" s="4"/>
      <c r="D13" s="4"/>
      <c r="E13" s="7"/>
      <c r="F13" s="4"/>
    </row>
    <row r="14" spans="1:6">
      <c r="A14" s="4"/>
      <c r="B14" s="3"/>
      <c r="C14" s="4"/>
      <c r="D14" s="4"/>
      <c r="E14" s="7"/>
      <c r="F14" s="4"/>
    </row>
    <row r="15" spans="1:6">
      <c r="A15" s="4"/>
      <c r="B15" s="8" t="s">
        <v>46</v>
      </c>
      <c r="C15" s="4"/>
      <c r="D15" s="4"/>
      <c r="E15" s="7"/>
      <c r="F15" s="4"/>
    </row>
    <row r="16" spans="1:6">
      <c r="A16" s="4"/>
      <c r="B16" s="8" t="s">
        <v>47</v>
      </c>
      <c r="C16" s="4"/>
      <c r="D16" s="4"/>
      <c r="E16" s="4"/>
      <c r="F16" s="4"/>
    </row>
    <row r="17" spans="1:6">
      <c r="A17" s="4"/>
      <c r="B17" s="8"/>
      <c r="C17" s="4"/>
      <c r="D17" s="4"/>
      <c r="E17" s="4"/>
      <c r="F17" s="4"/>
    </row>
    <row r="31" spans="1:6">
      <c r="E31" s="9"/>
    </row>
  </sheetData>
  <sheetProtection password="EF32" sheet="1" objects="1" scenarios="1"/>
  <mergeCells count="1">
    <mergeCell ref="C4:D4"/>
  </mergeCells>
  <phoneticPr fontId="6" type="noConversion"/>
  <conditionalFormatting sqref="E10:E12">
    <cfRule type="expression" dxfId="0" priority="1" stopIfTrue="1">
      <formula>LEFT(E10,3)="not"</formula>
    </cfRule>
  </conditionalFormatting>
  <pageMargins left="0.5" right="0.5" top="0.75" bottom="0.75" header="0.5" footer="0.5"/>
  <pageSetup orientation="portrait" r:id="rId1"/>
  <headerFooter alignWithMargins="0">
    <oddFooter>&amp;LPage &amp;P of &amp;N&amp;C&amp;D &amp;T&amp;R&amp;A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7"/>
  <sheetViews>
    <sheetView zoomScaleNormal="100" workbookViewId="0">
      <selection activeCell="B12" sqref="B12"/>
    </sheetView>
  </sheetViews>
  <sheetFormatPr defaultRowHeight="13.2"/>
  <cols>
    <col min="1" max="1" width="13.44140625" customWidth="1"/>
    <col min="2" max="2" width="59" customWidth="1"/>
    <col min="3" max="3" width="15.33203125" customWidth="1"/>
  </cols>
  <sheetData>
    <row r="1" spans="1:3">
      <c r="A1" s="11" t="str">
        <f>'2-Cover Page'!C5</f>
        <v xml:space="preserve"> </v>
      </c>
      <c r="C1" s="12">
        <f>'2-Cover Page'!C11</f>
        <v>0</v>
      </c>
    </row>
    <row r="3" spans="1:3" ht="15.6">
      <c r="A3" s="266" t="s">
        <v>51</v>
      </c>
      <c r="B3" s="266"/>
      <c r="C3" s="266"/>
    </row>
    <row r="5" spans="1:3" ht="66.75" customHeight="1">
      <c r="A5" s="267" t="s">
        <v>52</v>
      </c>
      <c r="B5" s="268"/>
      <c r="C5" s="268"/>
    </row>
    <row r="6" spans="1:3">
      <c r="A6" s="225" t="s">
        <v>390</v>
      </c>
      <c r="B6" s="225" t="s">
        <v>391</v>
      </c>
      <c r="C6" s="225" t="s">
        <v>392</v>
      </c>
    </row>
    <row r="7" spans="1:3">
      <c r="A7" s="10"/>
      <c r="B7" s="10"/>
      <c r="C7" s="10"/>
    </row>
    <row r="8" spans="1:3">
      <c r="A8" s="10"/>
      <c r="B8" s="10"/>
      <c r="C8" s="10"/>
    </row>
    <row r="9" spans="1:3">
      <c r="A9" s="10"/>
      <c r="B9" s="10"/>
      <c r="C9" s="10"/>
    </row>
    <row r="10" spans="1:3">
      <c r="A10" s="10"/>
      <c r="B10" s="10"/>
      <c r="C10" s="10"/>
    </row>
    <row r="11" spans="1:3">
      <c r="A11" s="10"/>
      <c r="B11" s="10"/>
      <c r="C11" s="10"/>
    </row>
    <row r="12" spans="1:3">
      <c r="A12" s="10"/>
      <c r="B12" s="10"/>
      <c r="C12" s="10"/>
    </row>
    <row r="13" spans="1:3">
      <c r="A13" s="10"/>
      <c r="B13" s="10"/>
      <c r="C13" s="10"/>
    </row>
    <row r="14" spans="1:3">
      <c r="A14" s="10"/>
      <c r="B14" s="10"/>
      <c r="C14" s="10"/>
    </row>
    <row r="15" spans="1:3">
      <c r="A15" s="10"/>
      <c r="B15" s="10"/>
      <c r="C15" s="10"/>
    </row>
    <row r="16" spans="1:3">
      <c r="A16" s="10"/>
      <c r="B16" s="10"/>
      <c r="C16" s="10"/>
    </row>
    <row r="17" spans="1:3">
      <c r="A17" s="10"/>
      <c r="B17" s="10"/>
      <c r="C17" s="10"/>
    </row>
    <row r="18" spans="1:3">
      <c r="A18" s="10"/>
      <c r="B18" s="10"/>
      <c r="C18" s="10"/>
    </row>
    <row r="19" spans="1:3">
      <c r="A19" s="10"/>
      <c r="B19" s="10"/>
      <c r="C19" s="10"/>
    </row>
    <row r="20" spans="1:3">
      <c r="A20" s="10"/>
      <c r="B20" s="10"/>
      <c r="C20" s="10"/>
    </row>
    <row r="21" spans="1:3">
      <c r="A21" s="10"/>
      <c r="B21" s="10"/>
      <c r="C21" s="10"/>
    </row>
    <row r="22" spans="1:3">
      <c r="A22" s="10"/>
      <c r="B22" s="10"/>
      <c r="C22" s="10"/>
    </row>
    <row r="23" spans="1:3">
      <c r="A23" s="10"/>
      <c r="B23" s="10"/>
      <c r="C23" s="10"/>
    </row>
    <row r="24" spans="1:3">
      <c r="A24" s="10"/>
      <c r="B24" s="10"/>
      <c r="C24" s="10"/>
    </row>
    <row r="25" spans="1:3">
      <c r="A25" s="10"/>
      <c r="B25" s="10"/>
      <c r="C25" s="10"/>
    </row>
    <row r="26" spans="1:3">
      <c r="A26" s="10"/>
      <c r="B26" s="10"/>
      <c r="C26" s="10"/>
    </row>
    <row r="27" spans="1:3">
      <c r="A27" s="10"/>
      <c r="B27" s="10"/>
      <c r="C27" s="10"/>
    </row>
    <row r="28" spans="1:3">
      <c r="A28" s="10"/>
      <c r="B28" s="10"/>
      <c r="C28" s="10"/>
    </row>
    <row r="29" spans="1:3">
      <c r="A29" s="10"/>
      <c r="B29" s="10"/>
      <c r="C29" s="10"/>
    </row>
    <row r="30" spans="1:3">
      <c r="A30" s="10"/>
      <c r="B30" s="10"/>
      <c r="C30" s="10"/>
    </row>
    <row r="31" spans="1:3">
      <c r="A31" s="10"/>
      <c r="B31" s="10"/>
      <c r="C31" s="10"/>
    </row>
    <row r="32" spans="1:3">
      <c r="A32" s="10"/>
      <c r="B32" s="10"/>
      <c r="C32" s="10"/>
    </row>
    <row r="33" spans="1:3">
      <c r="A33" s="10"/>
      <c r="B33" s="10"/>
      <c r="C33" s="10"/>
    </row>
    <row r="34" spans="1:3">
      <c r="A34" s="10"/>
      <c r="B34" s="10"/>
      <c r="C34" s="10"/>
    </row>
    <row r="35" spans="1:3">
      <c r="A35" s="10"/>
      <c r="B35" s="10"/>
      <c r="C35" s="10"/>
    </row>
    <row r="36" spans="1:3">
      <c r="A36" s="10"/>
      <c r="B36" s="10"/>
      <c r="C36" s="10"/>
    </row>
    <row r="37" spans="1:3">
      <c r="A37" s="10"/>
      <c r="B37" s="10"/>
      <c r="C37" s="10"/>
    </row>
    <row r="38" spans="1:3">
      <c r="A38" s="10"/>
      <c r="B38" s="10"/>
      <c r="C38" s="10"/>
    </row>
    <row r="39" spans="1:3">
      <c r="A39" s="10"/>
      <c r="B39" s="10"/>
      <c r="C39" s="10"/>
    </row>
    <row r="40" spans="1:3">
      <c r="A40" s="10"/>
      <c r="B40" s="10"/>
      <c r="C40" s="10"/>
    </row>
    <row r="41" spans="1:3">
      <c r="A41" s="10"/>
      <c r="B41" s="10"/>
      <c r="C41" s="10"/>
    </row>
    <row r="42" spans="1:3">
      <c r="A42" s="10"/>
      <c r="B42" s="10"/>
      <c r="C42" s="10"/>
    </row>
    <row r="43" spans="1:3">
      <c r="A43" s="10"/>
      <c r="B43" s="10"/>
      <c r="C43" s="10"/>
    </row>
    <row r="44" spans="1:3">
      <c r="A44" s="10"/>
      <c r="B44" s="10"/>
      <c r="C44" s="10"/>
    </row>
    <row r="45" spans="1:3">
      <c r="A45" s="10"/>
      <c r="B45" s="10"/>
      <c r="C45" s="10"/>
    </row>
    <row r="46" spans="1:3">
      <c r="A46" s="10"/>
      <c r="B46" s="10"/>
      <c r="C46" s="10"/>
    </row>
    <row r="47" spans="1:3">
      <c r="A47" s="10"/>
      <c r="B47" s="10"/>
      <c r="C47" s="10"/>
    </row>
    <row r="48" spans="1:3">
      <c r="A48" s="10"/>
      <c r="B48" s="10"/>
      <c r="C48" s="10"/>
    </row>
    <row r="49" spans="1:3">
      <c r="A49" s="10"/>
      <c r="B49" s="10"/>
      <c r="C49" s="10"/>
    </row>
    <row r="50" spans="1:3">
      <c r="A50" s="10"/>
      <c r="B50" s="10"/>
      <c r="C50" s="10"/>
    </row>
    <row r="51" spans="1:3">
      <c r="A51" s="10"/>
      <c r="B51" s="10"/>
      <c r="C51" s="10"/>
    </row>
    <row r="52" spans="1:3">
      <c r="A52" s="10"/>
      <c r="B52" s="10"/>
      <c r="C52" s="10"/>
    </row>
    <row r="53" spans="1:3">
      <c r="A53" s="10"/>
      <c r="B53" s="10"/>
      <c r="C53" s="10"/>
    </row>
    <row r="54" spans="1:3">
      <c r="A54" s="10"/>
      <c r="B54" s="10"/>
      <c r="C54" s="10"/>
    </row>
    <row r="55" spans="1:3">
      <c r="A55" s="10"/>
      <c r="B55" s="10"/>
      <c r="C55" s="10"/>
    </row>
    <row r="56" spans="1:3">
      <c r="A56" s="10"/>
      <c r="B56" s="10"/>
      <c r="C56" s="10"/>
    </row>
    <row r="57" spans="1:3">
      <c r="A57" s="10"/>
      <c r="B57" s="10"/>
      <c r="C57" s="10"/>
    </row>
    <row r="58" spans="1:3">
      <c r="A58" s="10"/>
      <c r="B58" s="10"/>
      <c r="C58" s="10"/>
    </row>
    <row r="59" spans="1:3">
      <c r="A59" s="10"/>
      <c r="B59" s="10"/>
      <c r="C59" s="10"/>
    </row>
    <row r="60" spans="1:3">
      <c r="A60" s="10"/>
      <c r="B60" s="10"/>
      <c r="C60" s="10"/>
    </row>
    <row r="61" spans="1:3">
      <c r="A61" s="10"/>
      <c r="B61" s="10"/>
      <c r="C61" s="10"/>
    </row>
    <row r="62" spans="1:3">
      <c r="A62" s="10"/>
      <c r="B62" s="10"/>
      <c r="C62" s="10"/>
    </row>
    <row r="63" spans="1:3">
      <c r="A63" s="10"/>
      <c r="B63" s="10"/>
      <c r="C63" s="10"/>
    </row>
    <row r="64" spans="1:3">
      <c r="A64" s="10"/>
      <c r="B64" s="10"/>
      <c r="C64" s="10"/>
    </row>
    <row r="65" spans="1:3">
      <c r="A65" s="10"/>
      <c r="B65" s="10"/>
      <c r="C65" s="10"/>
    </row>
    <row r="66" spans="1:3">
      <c r="A66" s="10"/>
      <c r="B66" s="10"/>
      <c r="C66" s="10"/>
    </row>
    <row r="67" spans="1:3">
      <c r="A67" s="10"/>
      <c r="B67" s="10"/>
      <c r="C67" s="10"/>
    </row>
    <row r="68" spans="1:3">
      <c r="A68" s="10"/>
      <c r="B68" s="10"/>
      <c r="C68" s="10"/>
    </row>
    <row r="69" spans="1:3">
      <c r="A69" s="10"/>
      <c r="B69" s="10"/>
      <c r="C69" s="10"/>
    </row>
    <row r="70" spans="1:3">
      <c r="A70" s="10"/>
      <c r="B70" s="10"/>
      <c r="C70" s="10"/>
    </row>
    <row r="71" spans="1:3">
      <c r="A71" s="10"/>
      <c r="B71" s="10"/>
      <c r="C71" s="10"/>
    </row>
    <row r="72" spans="1:3">
      <c r="A72" s="10"/>
      <c r="B72" s="10"/>
      <c r="C72" s="10"/>
    </row>
    <row r="73" spans="1:3">
      <c r="A73" s="10"/>
      <c r="B73" s="10"/>
      <c r="C73" s="10"/>
    </row>
    <row r="74" spans="1:3">
      <c r="A74" s="10"/>
      <c r="B74" s="10"/>
      <c r="C74" s="10"/>
    </row>
    <row r="75" spans="1:3">
      <c r="A75" s="10"/>
      <c r="B75" s="10"/>
      <c r="C75" s="10"/>
    </row>
    <row r="76" spans="1:3">
      <c r="A76" s="10"/>
      <c r="B76" s="10"/>
      <c r="C76" s="10"/>
    </row>
    <row r="77" spans="1:3">
      <c r="A77" s="10"/>
      <c r="B77" s="10"/>
      <c r="C77" s="10"/>
    </row>
    <row r="78" spans="1:3">
      <c r="A78" s="10"/>
      <c r="B78" s="10"/>
      <c r="C78" s="10"/>
    </row>
    <row r="79" spans="1:3">
      <c r="A79" s="10"/>
      <c r="B79" s="10"/>
      <c r="C79" s="10"/>
    </row>
    <row r="80" spans="1:3">
      <c r="A80" s="10"/>
      <c r="B80" s="10"/>
      <c r="C80" s="10"/>
    </row>
    <row r="81" spans="1:3">
      <c r="A81" s="10"/>
      <c r="B81" s="10"/>
      <c r="C81" s="10"/>
    </row>
    <row r="82" spans="1:3">
      <c r="A82" s="10"/>
      <c r="B82" s="10"/>
      <c r="C82" s="10"/>
    </row>
    <row r="83" spans="1:3">
      <c r="A83" s="10"/>
      <c r="B83" s="10"/>
      <c r="C83" s="10"/>
    </row>
    <row r="84" spans="1:3">
      <c r="A84" s="10"/>
      <c r="B84" s="10"/>
      <c r="C84" s="10"/>
    </row>
    <row r="85" spans="1:3">
      <c r="A85" s="10"/>
      <c r="B85" s="10"/>
      <c r="C85" s="10"/>
    </row>
    <row r="86" spans="1:3">
      <c r="A86" s="10"/>
      <c r="B86" s="10"/>
      <c r="C86" s="10"/>
    </row>
    <row r="87" spans="1:3">
      <c r="A87" s="10"/>
      <c r="B87" s="10"/>
      <c r="C87" s="10"/>
    </row>
    <row r="88" spans="1:3">
      <c r="A88" s="10"/>
      <c r="B88" s="10"/>
      <c r="C88" s="10"/>
    </row>
    <row r="89" spans="1:3">
      <c r="A89" s="10"/>
      <c r="B89" s="10"/>
      <c r="C89" s="10"/>
    </row>
    <row r="90" spans="1:3">
      <c r="A90" s="10"/>
      <c r="B90" s="10"/>
      <c r="C90" s="10"/>
    </row>
    <row r="91" spans="1:3">
      <c r="A91" s="10"/>
      <c r="B91" s="10"/>
      <c r="C91" s="10"/>
    </row>
    <row r="92" spans="1:3">
      <c r="A92" s="10"/>
      <c r="B92" s="10"/>
      <c r="C92" s="10"/>
    </row>
    <row r="93" spans="1:3">
      <c r="A93" s="10"/>
      <c r="B93" s="10"/>
      <c r="C93" s="10"/>
    </row>
    <row r="94" spans="1:3">
      <c r="A94" s="10"/>
      <c r="B94" s="10"/>
      <c r="C94" s="10"/>
    </row>
    <row r="95" spans="1:3">
      <c r="A95" s="10"/>
      <c r="B95" s="10"/>
      <c r="C95" s="10"/>
    </row>
    <row r="96" spans="1:3">
      <c r="A96" s="10"/>
      <c r="B96" s="10"/>
      <c r="C96" s="10"/>
    </row>
    <row r="97" spans="1:3">
      <c r="A97" s="10"/>
      <c r="B97" s="10"/>
      <c r="C97" s="10"/>
    </row>
    <row r="98" spans="1:3">
      <c r="A98" s="10"/>
      <c r="B98" s="10"/>
      <c r="C98" s="10"/>
    </row>
    <row r="99" spans="1:3">
      <c r="A99" s="10"/>
      <c r="B99" s="10"/>
      <c r="C99" s="10"/>
    </row>
    <row r="100" spans="1:3">
      <c r="A100" s="10"/>
      <c r="B100" s="10"/>
      <c r="C100" s="10"/>
    </row>
    <row r="101" spans="1:3">
      <c r="A101" s="10"/>
      <c r="B101" s="10"/>
      <c r="C101" s="10"/>
    </row>
    <row r="102" spans="1:3">
      <c r="A102" s="10"/>
      <c r="B102" s="10"/>
      <c r="C102" s="10"/>
    </row>
    <row r="103" spans="1:3">
      <c r="A103" s="10"/>
      <c r="B103" s="10"/>
      <c r="C103" s="10"/>
    </row>
    <row r="104" spans="1:3">
      <c r="A104" s="10"/>
      <c r="B104" s="10"/>
      <c r="C104" s="10"/>
    </row>
    <row r="105" spans="1:3">
      <c r="A105" s="10"/>
      <c r="B105" s="10"/>
      <c r="C105" s="10"/>
    </row>
    <row r="106" spans="1:3">
      <c r="A106" s="10"/>
      <c r="B106" s="10"/>
      <c r="C106" s="10"/>
    </row>
    <row r="107" spans="1:3">
      <c r="A107" s="10"/>
      <c r="B107" s="10"/>
      <c r="C107" s="10"/>
    </row>
    <row r="108" spans="1:3">
      <c r="A108" s="10"/>
      <c r="B108" s="10"/>
      <c r="C108" s="10"/>
    </row>
    <row r="109" spans="1:3">
      <c r="A109" s="10"/>
      <c r="B109" s="10"/>
      <c r="C109" s="10"/>
    </row>
    <row r="110" spans="1:3">
      <c r="A110" s="10"/>
      <c r="B110" s="10"/>
      <c r="C110" s="10"/>
    </row>
    <row r="111" spans="1:3">
      <c r="A111" s="10"/>
      <c r="B111" s="10"/>
      <c r="C111" s="10"/>
    </row>
    <row r="112" spans="1:3">
      <c r="A112" s="10"/>
      <c r="B112" s="10"/>
      <c r="C112" s="10"/>
    </row>
    <row r="113" spans="1:3">
      <c r="A113" s="10"/>
      <c r="B113" s="10"/>
      <c r="C113" s="10"/>
    </row>
    <row r="114" spans="1:3">
      <c r="A114" s="10"/>
      <c r="B114" s="10"/>
      <c r="C114" s="10"/>
    </row>
    <row r="115" spans="1:3">
      <c r="A115" s="10"/>
      <c r="B115" s="10"/>
      <c r="C115" s="10"/>
    </row>
    <row r="116" spans="1:3">
      <c r="A116" s="10"/>
      <c r="B116" s="10"/>
      <c r="C116" s="10"/>
    </row>
    <row r="117" spans="1:3">
      <c r="A117" s="10"/>
      <c r="B117" s="10"/>
      <c r="C117" s="10"/>
    </row>
    <row r="118" spans="1:3">
      <c r="A118" s="10"/>
      <c r="B118" s="10"/>
      <c r="C118" s="10"/>
    </row>
    <row r="119" spans="1:3">
      <c r="A119" s="10"/>
      <c r="B119" s="10"/>
      <c r="C119" s="10"/>
    </row>
    <row r="120" spans="1:3">
      <c r="A120" s="10"/>
      <c r="B120" s="10"/>
      <c r="C120" s="10"/>
    </row>
    <row r="121" spans="1:3">
      <c r="A121" s="10"/>
      <c r="B121" s="10"/>
      <c r="C121" s="10"/>
    </row>
    <row r="122" spans="1:3">
      <c r="A122" s="10"/>
      <c r="B122" s="10"/>
      <c r="C122" s="10"/>
    </row>
    <row r="123" spans="1:3">
      <c r="A123" s="10"/>
      <c r="B123" s="10"/>
      <c r="C123" s="10"/>
    </row>
    <row r="124" spans="1:3">
      <c r="A124" s="10"/>
      <c r="B124" s="10"/>
      <c r="C124" s="10"/>
    </row>
    <row r="125" spans="1:3">
      <c r="A125" s="10"/>
      <c r="B125" s="10"/>
      <c r="C125" s="10"/>
    </row>
    <row r="126" spans="1:3">
      <c r="A126" s="10"/>
      <c r="B126" s="10"/>
      <c r="C126" s="10"/>
    </row>
    <row r="127" spans="1:3">
      <c r="A127" s="10"/>
      <c r="B127" s="10"/>
      <c r="C127" s="10"/>
    </row>
    <row r="128" spans="1:3">
      <c r="A128" s="10"/>
      <c r="B128" s="10"/>
      <c r="C128" s="10"/>
    </row>
    <row r="129" spans="1:3">
      <c r="A129" s="10"/>
      <c r="B129" s="10"/>
      <c r="C129" s="10"/>
    </row>
    <row r="130" spans="1:3">
      <c r="A130" s="10"/>
      <c r="B130" s="10"/>
      <c r="C130" s="10"/>
    </row>
    <row r="131" spans="1:3">
      <c r="A131" s="10"/>
      <c r="B131" s="10"/>
      <c r="C131" s="10"/>
    </row>
    <row r="132" spans="1:3">
      <c r="A132" s="10"/>
      <c r="B132" s="10"/>
      <c r="C132" s="10"/>
    </row>
    <row r="133" spans="1:3">
      <c r="A133" s="10"/>
      <c r="B133" s="10"/>
      <c r="C133" s="10"/>
    </row>
    <row r="134" spans="1:3">
      <c r="A134" s="10"/>
      <c r="B134" s="10"/>
      <c r="C134" s="10"/>
    </row>
    <row r="135" spans="1:3">
      <c r="A135" s="10"/>
      <c r="B135" s="10"/>
      <c r="C135" s="10"/>
    </row>
    <row r="136" spans="1:3">
      <c r="A136" s="10"/>
      <c r="B136" s="10"/>
      <c r="C136" s="10"/>
    </row>
    <row r="137" spans="1:3">
      <c r="A137" s="10"/>
      <c r="B137" s="10"/>
      <c r="C137" s="10"/>
    </row>
    <row r="138" spans="1:3">
      <c r="A138" s="10"/>
      <c r="B138" s="10"/>
      <c r="C138" s="10"/>
    </row>
    <row r="139" spans="1:3">
      <c r="A139" s="10"/>
      <c r="B139" s="10"/>
      <c r="C139" s="10"/>
    </row>
    <row r="140" spans="1:3">
      <c r="A140" s="10"/>
      <c r="B140" s="10"/>
      <c r="C140" s="10"/>
    </row>
    <row r="141" spans="1:3">
      <c r="A141" s="10"/>
      <c r="B141" s="10"/>
      <c r="C141" s="10"/>
    </row>
    <row r="142" spans="1:3">
      <c r="A142" s="10"/>
      <c r="B142" s="10"/>
      <c r="C142" s="10"/>
    </row>
    <row r="143" spans="1:3">
      <c r="A143" s="10"/>
      <c r="B143" s="10"/>
      <c r="C143" s="10"/>
    </row>
    <row r="144" spans="1:3">
      <c r="A144" s="10"/>
      <c r="B144" s="10"/>
      <c r="C144" s="10"/>
    </row>
    <row r="145" spans="1:3">
      <c r="A145" s="10"/>
      <c r="B145" s="10"/>
      <c r="C145" s="10"/>
    </row>
    <row r="146" spans="1:3">
      <c r="A146" s="10"/>
      <c r="B146" s="10"/>
      <c r="C146" s="10"/>
    </row>
    <row r="147" spans="1:3">
      <c r="A147" s="10"/>
      <c r="B147" s="10"/>
      <c r="C147" s="10"/>
    </row>
    <row r="148" spans="1:3">
      <c r="A148" s="10"/>
      <c r="B148" s="10"/>
      <c r="C148" s="10"/>
    </row>
    <row r="149" spans="1:3">
      <c r="A149" s="10"/>
      <c r="B149" s="10"/>
      <c r="C149" s="10"/>
    </row>
    <row r="150" spans="1:3">
      <c r="A150" s="10"/>
      <c r="B150" s="10"/>
      <c r="C150" s="10"/>
    </row>
    <row r="151" spans="1:3">
      <c r="A151" s="10"/>
      <c r="B151" s="10"/>
      <c r="C151" s="10"/>
    </row>
    <row r="152" spans="1:3">
      <c r="A152" s="10"/>
      <c r="B152" s="10"/>
      <c r="C152" s="10"/>
    </row>
    <row r="153" spans="1:3">
      <c r="A153" s="10"/>
      <c r="B153" s="10"/>
      <c r="C153" s="10"/>
    </row>
    <row r="154" spans="1:3">
      <c r="A154" s="10"/>
      <c r="B154" s="10"/>
      <c r="C154" s="10"/>
    </row>
    <row r="155" spans="1:3">
      <c r="A155" s="10"/>
      <c r="B155" s="10"/>
      <c r="C155" s="10"/>
    </row>
    <row r="156" spans="1:3">
      <c r="A156" s="10"/>
      <c r="B156" s="10"/>
      <c r="C156" s="10"/>
    </row>
    <row r="157" spans="1:3">
      <c r="A157" s="10"/>
      <c r="B157" s="10"/>
      <c r="C157" s="10"/>
    </row>
    <row r="158" spans="1:3">
      <c r="A158" s="10"/>
      <c r="B158" s="10"/>
      <c r="C158" s="10"/>
    </row>
    <row r="159" spans="1:3">
      <c r="A159" s="10"/>
      <c r="B159" s="10"/>
      <c r="C159" s="10"/>
    </row>
    <row r="160" spans="1:3">
      <c r="A160" s="10"/>
      <c r="B160" s="10"/>
      <c r="C160" s="10"/>
    </row>
    <row r="161" spans="1:3">
      <c r="A161" s="10"/>
      <c r="B161" s="10"/>
      <c r="C161" s="10"/>
    </row>
    <row r="162" spans="1:3">
      <c r="A162" s="10"/>
      <c r="B162" s="10"/>
      <c r="C162" s="10"/>
    </row>
    <row r="163" spans="1:3">
      <c r="A163" s="10"/>
      <c r="B163" s="10"/>
      <c r="C163" s="10"/>
    </row>
    <row r="164" spans="1:3">
      <c r="A164" s="10"/>
      <c r="B164" s="10"/>
      <c r="C164" s="10"/>
    </row>
    <row r="165" spans="1:3">
      <c r="A165" s="10"/>
      <c r="B165" s="10"/>
      <c r="C165" s="10"/>
    </row>
    <row r="166" spans="1:3">
      <c r="A166" s="10"/>
      <c r="B166" s="10"/>
      <c r="C166" s="10"/>
    </row>
    <row r="167" spans="1:3">
      <c r="A167" s="10"/>
      <c r="B167" s="10"/>
      <c r="C167" s="10"/>
    </row>
    <row r="168" spans="1:3">
      <c r="A168" s="10"/>
      <c r="B168" s="10"/>
      <c r="C168" s="10"/>
    </row>
    <row r="169" spans="1:3">
      <c r="A169" s="10"/>
      <c r="B169" s="10"/>
      <c r="C169" s="10"/>
    </row>
    <row r="170" spans="1:3">
      <c r="A170" s="10"/>
      <c r="B170" s="10"/>
      <c r="C170" s="10"/>
    </row>
    <row r="171" spans="1:3">
      <c r="A171" s="10"/>
      <c r="B171" s="10"/>
      <c r="C171" s="10"/>
    </row>
    <row r="172" spans="1:3">
      <c r="A172" s="10"/>
      <c r="B172" s="10"/>
      <c r="C172" s="10"/>
    </row>
    <row r="173" spans="1:3">
      <c r="A173" s="10"/>
      <c r="B173" s="10"/>
      <c r="C173" s="10"/>
    </row>
    <row r="174" spans="1:3">
      <c r="A174" s="10"/>
      <c r="B174" s="10"/>
      <c r="C174" s="10"/>
    </row>
    <row r="175" spans="1:3">
      <c r="A175" s="10"/>
      <c r="B175" s="10"/>
      <c r="C175" s="10"/>
    </row>
    <row r="176" spans="1:3">
      <c r="A176" s="10"/>
      <c r="B176" s="10"/>
      <c r="C176" s="10"/>
    </row>
    <row r="177" spans="1:3">
      <c r="A177" s="10"/>
      <c r="B177" s="10"/>
      <c r="C177" s="10"/>
    </row>
    <row r="178" spans="1:3">
      <c r="A178" s="10"/>
      <c r="B178" s="10"/>
      <c r="C178" s="10"/>
    </row>
    <row r="179" spans="1:3">
      <c r="A179" s="10"/>
      <c r="B179" s="10"/>
      <c r="C179" s="10"/>
    </row>
    <row r="180" spans="1:3">
      <c r="A180" s="10"/>
      <c r="B180" s="10"/>
      <c r="C180" s="10"/>
    </row>
    <row r="181" spans="1:3">
      <c r="A181" s="10"/>
      <c r="B181" s="10"/>
      <c r="C181" s="10"/>
    </row>
    <row r="182" spans="1:3">
      <c r="A182" s="10"/>
      <c r="B182" s="10"/>
      <c r="C182" s="10"/>
    </row>
    <row r="183" spans="1:3">
      <c r="A183" s="10"/>
      <c r="B183" s="10"/>
      <c r="C183" s="10"/>
    </row>
    <row r="184" spans="1:3">
      <c r="A184" s="10"/>
      <c r="B184" s="10"/>
      <c r="C184" s="10"/>
    </row>
    <row r="185" spans="1:3">
      <c r="A185" s="10"/>
      <c r="B185" s="10"/>
      <c r="C185" s="10"/>
    </row>
    <row r="186" spans="1:3">
      <c r="A186" s="10"/>
      <c r="B186" s="10"/>
      <c r="C186" s="10"/>
    </row>
    <row r="187" spans="1:3">
      <c r="A187" s="10"/>
      <c r="B187" s="10"/>
      <c r="C187" s="10"/>
    </row>
    <row r="188" spans="1:3">
      <c r="A188" s="10"/>
      <c r="B188" s="10"/>
      <c r="C188" s="10"/>
    </row>
    <row r="189" spans="1:3">
      <c r="A189" s="10"/>
      <c r="B189" s="10"/>
      <c r="C189" s="10"/>
    </row>
    <row r="190" spans="1:3">
      <c r="A190" s="10"/>
      <c r="B190" s="10"/>
      <c r="C190" s="10"/>
    </row>
    <row r="191" spans="1:3">
      <c r="A191" s="10"/>
      <c r="B191" s="10"/>
      <c r="C191" s="10"/>
    </row>
    <row r="192" spans="1:3">
      <c r="A192" s="10"/>
      <c r="B192" s="10"/>
      <c r="C192" s="10"/>
    </row>
    <row r="193" spans="1:3">
      <c r="A193" s="10"/>
      <c r="B193" s="10"/>
      <c r="C193" s="10"/>
    </row>
    <row r="194" spans="1:3">
      <c r="A194" s="10"/>
      <c r="B194" s="10"/>
      <c r="C194" s="10"/>
    </row>
    <row r="195" spans="1:3">
      <c r="A195" s="10"/>
      <c r="B195" s="10"/>
      <c r="C195" s="10"/>
    </row>
    <row r="196" spans="1:3">
      <c r="A196" s="10"/>
      <c r="B196" s="10"/>
      <c r="C196" s="10"/>
    </row>
    <row r="197" spans="1:3">
      <c r="A197" s="10"/>
      <c r="B197" s="10"/>
      <c r="C197" s="10"/>
    </row>
    <row r="198" spans="1:3">
      <c r="A198" s="10"/>
      <c r="B198" s="10"/>
      <c r="C198" s="10"/>
    </row>
    <row r="199" spans="1:3">
      <c r="A199" s="10"/>
      <c r="B199" s="10"/>
      <c r="C199" s="10"/>
    </row>
    <row r="200" spans="1:3">
      <c r="A200" s="10"/>
      <c r="B200" s="10"/>
      <c r="C200" s="10"/>
    </row>
    <row r="201" spans="1:3">
      <c r="A201" s="10"/>
      <c r="B201" s="10"/>
      <c r="C201" s="10"/>
    </row>
    <row r="202" spans="1:3">
      <c r="A202" s="10"/>
      <c r="B202" s="10"/>
      <c r="C202" s="10"/>
    </row>
    <row r="203" spans="1:3">
      <c r="A203" s="10"/>
      <c r="B203" s="10"/>
      <c r="C203" s="10"/>
    </row>
    <row r="204" spans="1:3">
      <c r="A204" s="10"/>
      <c r="B204" s="10"/>
      <c r="C204" s="10"/>
    </row>
    <row r="205" spans="1:3">
      <c r="A205" s="10"/>
      <c r="B205" s="10"/>
      <c r="C205" s="10"/>
    </row>
    <row r="206" spans="1:3">
      <c r="A206" s="10"/>
      <c r="B206" s="10"/>
      <c r="C206" s="10"/>
    </row>
    <row r="207" spans="1:3">
      <c r="A207" s="10"/>
      <c r="B207" s="10"/>
      <c r="C207" s="10"/>
    </row>
    <row r="208" spans="1:3">
      <c r="A208" s="10"/>
      <c r="B208" s="10"/>
      <c r="C208" s="10"/>
    </row>
    <row r="209" spans="1:3">
      <c r="A209" s="10"/>
      <c r="B209" s="10"/>
      <c r="C209" s="10"/>
    </row>
    <row r="210" spans="1:3">
      <c r="A210" s="10"/>
      <c r="B210" s="10"/>
      <c r="C210" s="10"/>
    </row>
    <row r="211" spans="1:3">
      <c r="A211" s="10"/>
      <c r="B211" s="10"/>
      <c r="C211" s="10"/>
    </row>
    <row r="212" spans="1:3">
      <c r="A212" s="10"/>
      <c r="B212" s="10"/>
      <c r="C212" s="10"/>
    </row>
    <row r="213" spans="1:3">
      <c r="A213" s="10"/>
      <c r="B213" s="10"/>
      <c r="C213" s="10"/>
    </row>
    <row r="214" spans="1:3">
      <c r="A214" s="10"/>
      <c r="B214" s="10"/>
      <c r="C214" s="10"/>
    </row>
    <row r="215" spans="1:3">
      <c r="A215" s="10"/>
      <c r="B215" s="10"/>
      <c r="C215" s="10"/>
    </row>
    <row r="216" spans="1:3">
      <c r="A216" s="10"/>
      <c r="B216" s="10"/>
      <c r="C216" s="10"/>
    </row>
    <row r="217" spans="1:3">
      <c r="A217" s="10"/>
      <c r="B217" s="10"/>
      <c r="C217" s="10"/>
    </row>
    <row r="218" spans="1:3">
      <c r="A218" s="10"/>
      <c r="B218" s="10"/>
      <c r="C218" s="10"/>
    </row>
    <row r="219" spans="1:3">
      <c r="A219" s="10"/>
      <c r="B219" s="10"/>
      <c r="C219" s="10"/>
    </row>
    <row r="220" spans="1:3">
      <c r="A220" s="10"/>
      <c r="B220" s="10"/>
      <c r="C220" s="10"/>
    </row>
    <row r="221" spans="1:3">
      <c r="A221" s="10"/>
      <c r="B221" s="10"/>
      <c r="C221" s="10"/>
    </row>
    <row r="222" spans="1:3">
      <c r="A222" s="10"/>
      <c r="B222" s="10"/>
      <c r="C222" s="10"/>
    </row>
    <row r="223" spans="1:3">
      <c r="A223" s="10"/>
      <c r="B223" s="10"/>
      <c r="C223" s="10"/>
    </row>
    <row r="224" spans="1:3">
      <c r="A224" s="10"/>
      <c r="B224" s="10"/>
      <c r="C224" s="10"/>
    </row>
    <row r="225" spans="1:3">
      <c r="A225" s="10"/>
      <c r="B225" s="10"/>
      <c r="C225" s="10"/>
    </row>
    <row r="226" spans="1:3">
      <c r="A226" s="10"/>
      <c r="B226" s="10"/>
      <c r="C226" s="10"/>
    </row>
    <row r="227" spans="1:3">
      <c r="A227" s="10"/>
      <c r="B227" s="10"/>
      <c r="C227" s="10"/>
    </row>
    <row r="228" spans="1:3">
      <c r="A228" s="10"/>
      <c r="B228" s="10"/>
      <c r="C228" s="10"/>
    </row>
    <row r="229" spans="1:3">
      <c r="A229" s="10"/>
      <c r="B229" s="10"/>
      <c r="C229" s="10"/>
    </row>
    <row r="230" spans="1:3">
      <c r="A230" s="10"/>
      <c r="B230" s="10"/>
      <c r="C230" s="10"/>
    </row>
    <row r="231" spans="1:3">
      <c r="A231" s="10"/>
      <c r="B231" s="10"/>
      <c r="C231" s="10"/>
    </row>
    <row r="232" spans="1:3">
      <c r="A232" s="10"/>
      <c r="B232" s="10"/>
      <c r="C232" s="10"/>
    </row>
    <row r="233" spans="1:3">
      <c r="A233" s="10"/>
      <c r="B233" s="10"/>
      <c r="C233" s="10"/>
    </row>
    <row r="234" spans="1:3">
      <c r="A234" s="10"/>
      <c r="B234" s="10"/>
      <c r="C234" s="10"/>
    </row>
    <row r="235" spans="1:3">
      <c r="A235" s="10"/>
      <c r="B235" s="10"/>
      <c r="C235" s="10"/>
    </row>
    <row r="236" spans="1:3">
      <c r="A236" s="10"/>
      <c r="B236" s="10"/>
      <c r="C236" s="10"/>
    </row>
    <row r="237" spans="1:3">
      <c r="A237" s="10"/>
      <c r="B237" s="10"/>
      <c r="C237" s="10"/>
    </row>
    <row r="238" spans="1:3">
      <c r="A238" s="10"/>
      <c r="B238" s="10"/>
      <c r="C238" s="10"/>
    </row>
    <row r="239" spans="1:3">
      <c r="A239" s="10"/>
      <c r="B239" s="10"/>
      <c r="C239" s="10"/>
    </row>
    <row r="240" spans="1:3">
      <c r="A240" s="10"/>
      <c r="B240" s="10"/>
      <c r="C240" s="10"/>
    </row>
    <row r="241" spans="1:3">
      <c r="A241" s="10"/>
      <c r="B241" s="10"/>
      <c r="C241" s="10"/>
    </row>
    <row r="242" spans="1:3">
      <c r="A242" s="10"/>
      <c r="B242" s="10"/>
      <c r="C242" s="10"/>
    </row>
    <row r="243" spans="1:3">
      <c r="A243" s="10"/>
      <c r="B243" s="10"/>
      <c r="C243" s="10"/>
    </row>
    <row r="244" spans="1:3">
      <c r="A244" s="10"/>
      <c r="B244" s="10"/>
      <c r="C244" s="10"/>
    </row>
    <row r="245" spans="1:3">
      <c r="A245" s="10"/>
      <c r="B245" s="10"/>
      <c r="C245" s="10"/>
    </row>
    <row r="246" spans="1:3">
      <c r="A246" s="10"/>
      <c r="B246" s="10"/>
      <c r="C246" s="10"/>
    </row>
    <row r="247" spans="1:3">
      <c r="A247" s="10"/>
      <c r="B247" s="10"/>
      <c r="C247" s="10"/>
    </row>
    <row r="248" spans="1:3">
      <c r="A248" s="10"/>
      <c r="B248" s="10"/>
      <c r="C248" s="10"/>
    </row>
    <row r="249" spans="1:3">
      <c r="A249" s="10"/>
      <c r="B249" s="10"/>
      <c r="C249" s="10"/>
    </row>
    <row r="250" spans="1:3">
      <c r="A250" s="10"/>
      <c r="B250" s="10"/>
      <c r="C250" s="10"/>
    </row>
    <row r="251" spans="1:3">
      <c r="A251" s="10"/>
      <c r="B251" s="10"/>
      <c r="C251" s="10"/>
    </row>
    <row r="252" spans="1:3">
      <c r="A252" s="10"/>
      <c r="B252" s="10"/>
      <c r="C252" s="10"/>
    </row>
    <row r="253" spans="1:3">
      <c r="A253" s="10"/>
      <c r="B253" s="10"/>
      <c r="C253" s="10"/>
    </row>
    <row r="254" spans="1:3">
      <c r="A254" s="10"/>
      <c r="B254" s="10"/>
      <c r="C254" s="10"/>
    </row>
    <row r="255" spans="1:3">
      <c r="A255" s="10"/>
      <c r="B255" s="10"/>
      <c r="C255" s="10"/>
    </row>
    <row r="256" spans="1:3">
      <c r="A256" s="10"/>
      <c r="B256" s="10"/>
      <c r="C256" s="10"/>
    </row>
    <row r="257" spans="1:3">
      <c r="A257" s="10"/>
      <c r="B257" s="10"/>
      <c r="C257" s="10"/>
    </row>
    <row r="258" spans="1:3">
      <c r="A258" s="10"/>
      <c r="B258" s="10"/>
      <c r="C258" s="10"/>
    </row>
    <row r="259" spans="1:3">
      <c r="A259" s="10"/>
      <c r="B259" s="10"/>
      <c r="C259" s="10"/>
    </row>
    <row r="260" spans="1:3">
      <c r="A260" s="10"/>
      <c r="B260" s="10"/>
      <c r="C260" s="10"/>
    </row>
    <row r="261" spans="1:3">
      <c r="A261" s="10"/>
      <c r="B261" s="10"/>
      <c r="C261" s="10"/>
    </row>
    <row r="262" spans="1:3">
      <c r="A262" s="10"/>
      <c r="B262" s="10"/>
      <c r="C262" s="10"/>
    </row>
    <row r="263" spans="1:3">
      <c r="A263" s="10"/>
      <c r="B263" s="10"/>
      <c r="C263" s="10"/>
    </row>
    <row r="264" spans="1:3">
      <c r="A264" s="10"/>
      <c r="B264" s="10"/>
      <c r="C264" s="10"/>
    </row>
    <row r="265" spans="1:3">
      <c r="A265" s="10"/>
      <c r="B265" s="10"/>
      <c r="C265" s="10"/>
    </row>
    <row r="266" spans="1:3">
      <c r="A266" s="10"/>
      <c r="B266" s="10"/>
      <c r="C266" s="10"/>
    </row>
    <row r="267" spans="1:3">
      <c r="A267" s="10"/>
      <c r="B267" s="10"/>
      <c r="C267" s="10"/>
    </row>
    <row r="268" spans="1:3">
      <c r="A268" s="10"/>
      <c r="B268" s="10"/>
      <c r="C268" s="10"/>
    </row>
    <row r="269" spans="1:3">
      <c r="A269" s="10"/>
      <c r="B269" s="10"/>
      <c r="C269" s="10"/>
    </row>
    <row r="270" spans="1:3">
      <c r="A270" s="10"/>
      <c r="B270" s="10"/>
      <c r="C270" s="10"/>
    </row>
    <row r="271" spans="1:3">
      <c r="A271" s="10"/>
      <c r="B271" s="10"/>
      <c r="C271" s="10"/>
    </row>
    <row r="272" spans="1:3">
      <c r="A272" s="10"/>
      <c r="B272" s="10"/>
      <c r="C272" s="10"/>
    </row>
    <row r="273" spans="1:3">
      <c r="A273" s="10"/>
      <c r="B273" s="10"/>
      <c r="C273" s="10"/>
    </row>
    <row r="274" spans="1:3">
      <c r="A274" s="10"/>
      <c r="B274" s="10"/>
      <c r="C274" s="10"/>
    </row>
    <row r="275" spans="1:3">
      <c r="A275" s="10"/>
      <c r="B275" s="10"/>
      <c r="C275" s="10"/>
    </row>
    <row r="276" spans="1:3">
      <c r="A276" s="10"/>
      <c r="B276" s="10"/>
      <c r="C276" s="10"/>
    </row>
    <row r="277" spans="1:3">
      <c r="A277" s="10"/>
      <c r="B277" s="10"/>
      <c r="C277" s="10"/>
    </row>
    <row r="278" spans="1:3">
      <c r="A278" s="10"/>
      <c r="B278" s="10"/>
      <c r="C278" s="10"/>
    </row>
    <row r="279" spans="1:3">
      <c r="A279" s="10"/>
      <c r="B279" s="10"/>
      <c r="C279" s="10"/>
    </row>
    <row r="280" spans="1:3">
      <c r="A280" s="10"/>
      <c r="B280" s="10"/>
      <c r="C280" s="10"/>
    </row>
    <row r="281" spans="1:3">
      <c r="A281" s="10"/>
      <c r="B281" s="10"/>
      <c r="C281" s="10"/>
    </row>
    <row r="282" spans="1:3">
      <c r="A282" s="10"/>
      <c r="B282" s="10"/>
      <c r="C282" s="10"/>
    </row>
    <row r="283" spans="1:3">
      <c r="A283" s="10"/>
      <c r="B283" s="10"/>
      <c r="C283" s="10"/>
    </row>
    <row r="284" spans="1:3">
      <c r="A284" s="10"/>
      <c r="B284" s="10"/>
      <c r="C284" s="10"/>
    </row>
    <row r="285" spans="1:3">
      <c r="A285" s="10"/>
      <c r="B285" s="10"/>
      <c r="C285" s="10"/>
    </row>
    <row r="286" spans="1:3">
      <c r="A286" s="10"/>
      <c r="B286" s="10"/>
      <c r="C286" s="10"/>
    </row>
    <row r="287" spans="1:3">
      <c r="A287" s="10"/>
      <c r="B287" s="10"/>
      <c r="C287" s="10"/>
    </row>
    <row r="288" spans="1:3">
      <c r="A288" s="10"/>
      <c r="B288" s="10"/>
      <c r="C288" s="10"/>
    </row>
    <row r="289" spans="1:3">
      <c r="A289" s="10"/>
      <c r="B289" s="10"/>
      <c r="C289" s="10"/>
    </row>
    <row r="290" spans="1:3">
      <c r="A290" s="10"/>
      <c r="B290" s="10"/>
      <c r="C290" s="10"/>
    </row>
    <row r="291" spans="1:3">
      <c r="A291" s="10"/>
      <c r="B291" s="10"/>
      <c r="C291" s="10"/>
    </row>
    <row r="292" spans="1:3">
      <c r="A292" s="10"/>
      <c r="B292" s="10"/>
      <c r="C292" s="10"/>
    </row>
    <row r="293" spans="1:3">
      <c r="A293" s="10"/>
      <c r="B293" s="10"/>
      <c r="C293" s="10"/>
    </row>
    <row r="294" spans="1:3">
      <c r="A294" s="10"/>
      <c r="B294" s="10"/>
      <c r="C294" s="10"/>
    </row>
    <row r="295" spans="1:3">
      <c r="A295" s="10"/>
      <c r="B295" s="10"/>
      <c r="C295" s="10"/>
    </row>
    <row r="296" spans="1:3">
      <c r="A296" s="10"/>
      <c r="B296" s="10"/>
      <c r="C296" s="10"/>
    </row>
    <row r="297" spans="1:3">
      <c r="A297" s="10"/>
      <c r="B297" s="10"/>
      <c r="C297" s="10"/>
    </row>
    <row r="298" spans="1:3">
      <c r="A298" s="10"/>
      <c r="B298" s="10"/>
      <c r="C298" s="10"/>
    </row>
    <row r="299" spans="1:3">
      <c r="A299" s="10"/>
      <c r="B299" s="10"/>
      <c r="C299" s="10"/>
    </row>
    <row r="300" spans="1:3">
      <c r="A300" s="10"/>
      <c r="B300" s="10"/>
      <c r="C300" s="10"/>
    </row>
    <row r="301" spans="1:3">
      <c r="A301" s="10"/>
      <c r="B301" s="10"/>
      <c r="C301" s="10"/>
    </row>
    <row r="302" spans="1:3">
      <c r="A302" s="10"/>
      <c r="B302" s="10"/>
      <c r="C302" s="10"/>
    </row>
    <row r="303" spans="1:3">
      <c r="A303" s="10"/>
      <c r="B303" s="10"/>
      <c r="C303" s="10"/>
    </row>
    <row r="304" spans="1:3">
      <c r="A304" s="10"/>
      <c r="B304" s="10"/>
      <c r="C304" s="10"/>
    </row>
    <row r="305" spans="1:3">
      <c r="A305" s="10"/>
      <c r="B305" s="10"/>
      <c r="C305" s="10"/>
    </row>
    <row r="306" spans="1:3">
      <c r="A306" s="10"/>
      <c r="B306" s="10"/>
      <c r="C306" s="10"/>
    </row>
    <row r="307" spans="1:3">
      <c r="A307" s="10"/>
      <c r="B307" s="10"/>
      <c r="C307" s="10"/>
    </row>
    <row r="308" spans="1:3">
      <c r="A308" s="10"/>
      <c r="B308" s="10"/>
      <c r="C308" s="10"/>
    </row>
    <row r="309" spans="1:3">
      <c r="A309" s="10"/>
      <c r="B309" s="10"/>
      <c r="C309" s="10"/>
    </row>
    <row r="310" spans="1:3">
      <c r="A310" s="10"/>
      <c r="B310" s="10"/>
      <c r="C310" s="10"/>
    </row>
    <row r="311" spans="1:3">
      <c r="A311" s="10"/>
      <c r="B311" s="10"/>
      <c r="C311" s="10"/>
    </row>
    <row r="312" spans="1:3">
      <c r="A312" s="10"/>
      <c r="B312" s="10"/>
      <c r="C312" s="10"/>
    </row>
    <row r="313" spans="1:3">
      <c r="A313" s="10"/>
      <c r="B313" s="10"/>
      <c r="C313" s="10"/>
    </row>
    <row r="314" spans="1:3">
      <c r="A314" s="10"/>
      <c r="B314" s="10"/>
      <c r="C314" s="10"/>
    </row>
    <row r="315" spans="1:3">
      <c r="A315" s="10"/>
      <c r="B315" s="10"/>
      <c r="C315" s="10"/>
    </row>
    <row r="316" spans="1:3">
      <c r="A316" s="10"/>
      <c r="B316" s="10"/>
      <c r="C316" s="10"/>
    </row>
    <row r="317" spans="1:3">
      <c r="A317" s="10"/>
      <c r="B317" s="10"/>
      <c r="C317" s="10"/>
    </row>
    <row r="318" spans="1:3">
      <c r="A318" s="10"/>
      <c r="B318" s="10"/>
      <c r="C318" s="10"/>
    </row>
    <row r="319" spans="1:3">
      <c r="A319" s="10"/>
      <c r="B319" s="10"/>
      <c r="C319" s="10"/>
    </row>
    <row r="320" spans="1:3">
      <c r="A320" s="10"/>
      <c r="B320" s="10"/>
      <c r="C320" s="10"/>
    </row>
    <row r="321" spans="1:3">
      <c r="A321" s="10"/>
      <c r="B321" s="10"/>
      <c r="C321" s="10"/>
    </row>
    <row r="322" spans="1:3">
      <c r="A322" s="10"/>
      <c r="B322" s="10"/>
      <c r="C322" s="10"/>
    </row>
    <row r="323" spans="1:3">
      <c r="A323" s="10"/>
      <c r="B323" s="10"/>
      <c r="C323" s="10"/>
    </row>
    <row r="324" spans="1:3">
      <c r="A324" s="10"/>
      <c r="B324" s="10"/>
      <c r="C324" s="10"/>
    </row>
    <row r="325" spans="1:3">
      <c r="A325" s="10"/>
      <c r="B325" s="10"/>
      <c r="C325" s="10"/>
    </row>
    <row r="326" spans="1:3">
      <c r="A326" s="10"/>
      <c r="B326" s="10"/>
      <c r="C326" s="10"/>
    </row>
    <row r="327" spans="1:3">
      <c r="A327" s="10"/>
      <c r="B327" s="10"/>
      <c r="C327" s="10"/>
    </row>
    <row r="328" spans="1:3">
      <c r="A328" s="10"/>
      <c r="B328" s="10"/>
      <c r="C328" s="10"/>
    </row>
    <row r="329" spans="1:3">
      <c r="A329" s="10"/>
      <c r="B329" s="10"/>
      <c r="C329" s="10"/>
    </row>
    <row r="330" spans="1:3">
      <c r="A330" s="10"/>
      <c r="B330" s="10"/>
      <c r="C330" s="10"/>
    </row>
    <row r="331" spans="1:3">
      <c r="A331" s="10"/>
      <c r="B331" s="10"/>
      <c r="C331" s="10"/>
    </row>
    <row r="332" spans="1:3">
      <c r="A332" s="10"/>
      <c r="B332" s="10"/>
      <c r="C332" s="10"/>
    </row>
    <row r="333" spans="1:3">
      <c r="A333" s="10"/>
      <c r="B333" s="10"/>
      <c r="C333" s="10"/>
    </row>
    <row r="334" spans="1:3">
      <c r="A334" s="10"/>
      <c r="B334" s="10"/>
      <c r="C334" s="10"/>
    </row>
    <row r="335" spans="1:3">
      <c r="A335" s="10"/>
      <c r="B335" s="10"/>
      <c r="C335" s="10"/>
    </row>
    <row r="336" spans="1:3">
      <c r="A336" s="10"/>
      <c r="B336" s="10"/>
      <c r="C336" s="10"/>
    </row>
    <row r="337" spans="1:3">
      <c r="A337" s="10"/>
      <c r="B337" s="10"/>
      <c r="C337" s="10"/>
    </row>
    <row r="338" spans="1:3">
      <c r="A338" s="10"/>
      <c r="B338" s="10"/>
      <c r="C338" s="10"/>
    </row>
    <row r="339" spans="1:3">
      <c r="A339" s="10"/>
      <c r="B339" s="10"/>
      <c r="C339" s="10"/>
    </row>
    <row r="340" spans="1:3">
      <c r="A340" s="10"/>
      <c r="B340" s="10"/>
      <c r="C340" s="10"/>
    </row>
    <row r="341" spans="1:3">
      <c r="A341" s="10"/>
      <c r="B341" s="10"/>
      <c r="C341" s="10"/>
    </row>
    <row r="342" spans="1:3">
      <c r="A342" s="10"/>
      <c r="B342" s="10"/>
      <c r="C342" s="10"/>
    </row>
    <row r="343" spans="1:3">
      <c r="A343" s="10"/>
      <c r="B343" s="10"/>
      <c r="C343" s="10"/>
    </row>
    <row r="344" spans="1:3">
      <c r="A344" s="10"/>
      <c r="B344" s="10"/>
      <c r="C344" s="10"/>
    </row>
    <row r="345" spans="1:3">
      <c r="A345" s="10"/>
      <c r="B345" s="10"/>
      <c r="C345" s="10"/>
    </row>
    <row r="346" spans="1:3">
      <c r="A346" s="10"/>
      <c r="B346" s="10"/>
      <c r="C346" s="10"/>
    </row>
    <row r="347" spans="1:3">
      <c r="A347" s="10"/>
      <c r="B347" s="10"/>
      <c r="C347" s="10"/>
    </row>
    <row r="348" spans="1:3">
      <c r="A348" s="10"/>
      <c r="B348" s="10"/>
      <c r="C348" s="10"/>
    </row>
    <row r="349" spans="1:3">
      <c r="A349" s="10"/>
      <c r="B349" s="10"/>
      <c r="C349" s="10"/>
    </row>
    <row r="350" spans="1:3">
      <c r="A350" s="10"/>
      <c r="B350" s="10"/>
      <c r="C350" s="10"/>
    </row>
    <row r="351" spans="1:3">
      <c r="A351" s="10"/>
      <c r="B351" s="10"/>
      <c r="C351" s="10"/>
    </row>
    <row r="352" spans="1:3">
      <c r="A352" s="10"/>
      <c r="B352" s="10"/>
      <c r="C352" s="10"/>
    </row>
    <row r="353" spans="1:3">
      <c r="A353" s="10"/>
      <c r="B353" s="10"/>
      <c r="C353" s="10"/>
    </row>
    <row r="354" spans="1:3">
      <c r="A354" s="10"/>
      <c r="B354" s="10"/>
      <c r="C354" s="10"/>
    </row>
    <row r="355" spans="1:3">
      <c r="A355" s="10"/>
      <c r="B355" s="10"/>
      <c r="C355" s="10"/>
    </row>
    <row r="356" spans="1:3">
      <c r="A356" s="10"/>
      <c r="B356" s="10"/>
      <c r="C356" s="10"/>
    </row>
    <row r="357" spans="1:3">
      <c r="A357" s="10"/>
      <c r="B357" s="10"/>
      <c r="C357" s="10"/>
    </row>
    <row r="358" spans="1:3">
      <c r="A358" s="10"/>
      <c r="B358" s="10"/>
      <c r="C358" s="10"/>
    </row>
    <row r="359" spans="1:3">
      <c r="A359" s="10"/>
      <c r="B359" s="10"/>
      <c r="C359" s="10"/>
    </row>
    <row r="360" spans="1:3">
      <c r="A360" s="10"/>
      <c r="B360" s="10"/>
      <c r="C360" s="10"/>
    </row>
    <row r="361" spans="1:3">
      <c r="A361" s="10"/>
      <c r="B361" s="10"/>
      <c r="C361" s="10"/>
    </row>
    <row r="362" spans="1:3">
      <c r="A362" s="10"/>
      <c r="B362" s="10"/>
      <c r="C362" s="10"/>
    </row>
    <row r="363" spans="1:3">
      <c r="A363" s="10"/>
      <c r="B363" s="10"/>
      <c r="C363" s="10"/>
    </row>
    <row r="364" spans="1:3">
      <c r="A364" s="10"/>
      <c r="B364" s="10"/>
      <c r="C364" s="10"/>
    </row>
    <row r="365" spans="1:3">
      <c r="A365" s="10"/>
      <c r="B365" s="10"/>
      <c r="C365" s="10"/>
    </row>
    <row r="366" spans="1:3">
      <c r="A366" s="10"/>
      <c r="B366" s="10"/>
      <c r="C366" s="10"/>
    </row>
    <row r="367" spans="1:3">
      <c r="A367" s="10"/>
      <c r="B367" s="10"/>
      <c r="C367" s="10"/>
    </row>
    <row r="368" spans="1:3">
      <c r="A368" s="10"/>
      <c r="B368" s="10"/>
      <c r="C368" s="10"/>
    </row>
    <row r="369" spans="1:3">
      <c r="A369" s="10"/>
      <c r="B369" s="10"/>
      <c r="C369" s="10"/>
    </row>
    <row r="370" spans="1:3">
      <c r="A370" s="10"/>
      <c r="B370" s="10"/>
      <c r="C370" s="10"/>
    </row>
    <row r="371" spans="1:3">
      <c r="A371" s="10"/>
      <c r="B371" s="10"/>
      <c r="C371" s="10"/>
    </row>
    <row r="372" spans="1:3">
      <c r="A372" s="10"/>
      <c r="B372" s="10"/>
      <c r="C372" s="10"/>
    </row>
    <row r="373" spans="1:3">
      <c r="A373" s="10"/>
      <c r="B373" s="10"/>
      <c r="C373" s="10"/>
    </row>
    <row r="374" spans="1:3">
      <c r="A374" s="10"/>
      <c r="B374" s="10"/>
      <c r="C374" s="10"/>
    </row>
    <row r="375" spans="1:3">
      <c r="A375" s="10"/>
      <c r="B375" s="10"/>
      <c r="C375" s="10"/>
    </row>
    <row r="376" spans="1:3">
      <c r="A376" s="10"/>
      <c r="B376" s="10"/>
      <c r="C376" s="10"/>
    </row>
    <row r="377" spans="1:3">
      <c r="A377" s="10"/>
      <c r="B377" s="10"/>
      <c r="C377" s="10"/>
    </row>
    <row r="378" spans="1:3">
      <c r="A378" s="10"/>
      <c r="B378" s="10"/>
      <c r="C378" s="10"/>
    </row>
    <row r="379" spans="1:3">
      <c r="A379" s="10"/>
      <c r="B379" s="10"/>
      <c r="C379" s="10"/>
    </row>
    <row r="380" spans="1:3">
      <c r="A380" s="10"/>
      <c r="B380" s="10"/>
      <c r="C380" s="10"/>
    </row>
    <row r="381" spans="1:3">
      <c r="A381" s="10"/>
      <c r="B381" s="10"/>
      <c r="C381" s="10"/>
    </row>
    <row r="382" spans="1:3">
      <c r="A382" s="10"/>
      <c r="B382" s="10"/>
      <c r="C382" s="10"/>
    </row>
    <row r="383" spans="1:3">
      <c r="A383" s="10"/>
      <c r="B383" s="10"/>
      <c r="C383" s="10"/>
    </row>
    <row r="384" spans="1:3">
      <c r="A384" s="10"/>
      <c r="B384" s="10"/>
      <c r="C384" s="10"/>
    </row>
    <row r="385" spans="1:3">
      <c r="A385" s="10"/>
      <c r="B385" s="10"/>
      <c r="C385" s="10"/>
    </row>
    <row r="386" spans="1:3">
      <c r="A386" s="10"/>
      <c r="B386" s="10"/>
      <c r="C386" s="10"/>
    </row>
    <row r="387" spans="1:3">
      <c r="A387" s="10"/>
      <c r="B387" s="10"/>
      <c r="C387" s="10"/>
    </row>
    <row r="388" spans="1:3">
      <c r="A388" s="10"/>
      <c r="B388" s="10"/>
      <c r="C388" s="10"/>
    </row>
    <row r="389" spans="1:3">
      <c r="A389" s="10"/>
      <c r="B389" s="10"/>
      <c r="C389" s="10"/>
    </row>
    <row r="390" spans="1:3">
      <c r="A390" s="10"/>
      <c r="B390" s="10"/>
      <c r="C390" s="10"/>
    </row>
    <row r="391" spans="1:3">
      <c r="A391" s="10"/>
      <c r="B391" s="10"/>
      <c r="C391" s="10"/>
    </row>
    <row r="392" spans="1:3">
      <c r="A392" s="10"/>
      <c r="B392" s="10"/>
      <c r="C392" s="10"/>
    </row>
    <row r="393" spans="1:3">
      <c r="A393" s="10"/>
      <c r="B393" s="10"/>
      <c r="C393" s="10"/>
    </row>
    <row r="394" spans="1:3">
      <c r="A394" s="10"/>
      <c r="B394" s="10"/>
      <c r="C394" s="10"/>
    </row>
    <row r="395" spans="1:3">
      <c r="A395" s="10"/>
      <c r="B395" s="10"/>
      <c r="C395" s="10"/>
    </row>
    <row r="396" spans="1:3">
      <c r="A396" s="10"/>
      <c r="B396" s="10"/>
      <c r="C396" s="10"/>
    </row>
    <row r="397" spans="1:3">
      <c r="A397" s="10"/>
      <c r="B397" s="10"/>
      <c r="C397" s="10"/>
    </row>
    <row r="398" spans="1:3">
      <c r="A398" s="10"/>
      <c r="B398" s="10"/>
      <c r="C398" s="10"/>
    </row>
    <row r="399" spans="1:3">
      <c r="A399" s="10"/>
      <c r="B399" s="10"/>
      <c r="C399" s="10"/>
    </row>
    <row r="400" spans="1:3">
      <c r="A400" s="10"/>
      <c r="B400" s="10"/>
      <c r="C400" s="10"/>
    </row>
    <row r="401" spans="1:3">
      <c r="A401" s="10"/>
      <c r="B401" s="10"/>
      <c r="C401" s="10"/>
    </row>
    <row r="402" spans="1:3">
      <c r="A402" s="10"/>
      <c r="B402" s="10"/>
      <c r="C402" s="10"/>
    </row>
    <row r="403" spans="1:3">
      <c r="A403" s="10"/>
      <c r="B403" s="10"/>
      <c r="C403" s="10"/>
    </row>
    <row r="404" spans="1:3">
      <c r="A404" s="10"/>
      <c r="B404" s="10"/>
      <c r="C404" s="10"/>
    </row>
    <row r="405" spans="1:3">
      <c r="A405" s="10"/>
      <c r="B405" s="10"/>
      <c r="C405" s="10"/>
    </row>
    <row r="406" spans="1:3">
      <c r="A406" s="10"/>
      <c r="B406" s="10"/>
      <c r="C406" s="10"/>
    </row>
    <row r="407" spans="1:3">
      <c r="A407" s="10"/>
      <c r="B407" s="10"/>
      <c r="C407" s="10"/>
    </row>
    <row r="408" spans="1:3">
      <c r="A408" s="10"/>
      <c r="B408" s="10"/>
      <c r="C408" s="10"/>
    </row>
    <row r="409" spans="1:3">
      <c r="A409" s="10"/>
      <c r="B409" s="10"/>
      <c r="C409" s="10"/>
    </row>
    <row r="410" spans="1:3">
      <c r="A410" s="10"/>
      <c r="B410" s="10"/>
      <c r="C410" s="10"/>
    </row>
    <row r="411" spans="1:3">
      <c r="A411" s="10"/>
      <c r="B411" s="10"/>
      <c r="C411" s="10"/>
    </row>
    <row r="412" spans="1:3">
      <c r="A412" s="10"/>
      <c r="B412" s="10"/>
      <c r="C412" s="10"/>
    </row>
    <row r="413" spans="1:3">
      <c r="A413" s="10"/>
      <c r="B413" s="10"/>
      <c r="C413" s="10"/>
    </row>
    <row r="414" spans="1:3">
      <c r="A414" s="10"/>
      <c r="B414" s="10"/>
      <c r="C414" s="10"/>
    </row>
    <row r="415" spans="1:3">
      <c r="A415" s="10"/>
      <c r="B415" s="10"/>
      <c r="C415" s="10"/>
    </row>
    <row r="416" spans="1:3">
      <c r="A416" s="10"/>
      <c r="B416" s="10"/>
      <c r="C416" s="10"/>
    </row>
    <row r="417" spans="1:3">
      <c r="A417" s="10"/>
      <c r="B417" s="10"/>
      <c r="C417" s="10"/>
    </row>
    <row r="418" spans="1:3">
      <c r="A418" s="10"/>
      <c r="B418" s="10"/>
      <c r="C418" s="10"/>
    </row>
    <row r="419" spans="1:3">
      <c r="A419" s="10"/>
      <c r="B419" s="10"/>
      <c r="C419" s="10"/>
    </row>
    <row r="420" spans="1:3">
      <c r="A420" s="10"/>
      <c r="B420" s="10"/>
      <c r="C420" s="10"/>
    </row>
    <row r="421" spans="1:3">
      <c r="A421" s="10"/>
      <c r="B421" s="10"/>
      <c r="C421" s="10"/>
    </row>
    <row r="422" spans="1:3">
      <c r="A422" s="10"/>
      <c r="B422" s="10"/>
      <c r="C422" s="10"/>
    </row>
    <row r="423" spans="1:3">
      <c r="A423" s="10"/>
      <c r="B423" s="10"/>
      <c r="C423" s="10"/>
    </row>
    <row r="424" spans="1:3">
      <c r="A424" s="10"/>
      <c r="B424" s="10"/>
      <c r="C424" s="10"/>
    </row>
    <row r="425" spans="1:3">
      <c r="A425" s="10"/>
      <c r="B425" s="10"/>
      <c r="C425" s="10"/>
    </row>
    <row r="426" spans="1:3">
      <c r="A426" s="10"/>
      <c r="B426" s="10"/>
      <c r="C426" s="10"/>
    </row>
    <row r="427" spans="1:3">
      <c r="A427" s="10"/>
      <c r="B427" s="10"/>
      <c r="C427" s="10"/>
    </row>
    <row r="428" spans="1:3">
      <c r="A428" s="10"/>
      <c r="B428" s="10"/>
      <c r="C428" s="10"/>
    </row>
    <row r="429" spans="1:3">
      <c r="A429" s="10"/>
      <c r="B429" s="10"/>
      <c r="C429" s="10"/>
    </row>
    <row r="430" spans="1:3">
      <c r="A430" s="10"/>
      <c r="B430" s="10"/>
      <c r="C430" s="10"/>
    </row>
    <row r="431" spans="1:3">
      <c r="A431" s="10"/>
      <c r="B431" s="10"/>
      <c r="C431" s="10"/>
    </row>
    <row r="432" spans="1:3">
      <c r="A432" s="10"/>
      <c r="B432" s="10"/>
      <c r="C432" s="10"/>
    </row>
    <row r="433" spans="1:3">
      <c r="A433" s="10"/>
      <c r="B433" s="10"/>
      <c r="C433" s="10"/>
    </row>
    <row r="434" spans="1:3">
      <c r="A434" s="10"/>
      <c r="B434" s="10"/>
      <c r="C434" s="10"/>
    </row>
    <row r="435" spans="1:3">
      <c r="A435" s="10"/>
      <c r="B435" s="10"/>
      <c r="C435" s="10"/>
    </row>
    <row r="436" spans="1:3">
      <c r="A436" s="10"/>
      <c r="B436" s="10"/>
      <c r="C436" s="10"/>
    </row>
    <row r="437" spans="1:3">
      <c r="A437" s="10"/>
      <c r="B437" s="10"/>
      <c r="C437" s="10"/>
    </row>
    <row r="438" spans="1:3">
      <c r="A438" s="10"/>
      <c r="B438" s="10"/>
      <c r="C438" s="10"/>
    </row>
    <row r="439" spans="1:3">
      <c r="A439" s="10"/>
      <c r="B439" s="10"/>
      <c r="C439" s="10"/>
    </row>
    <row r="440" spans="1:3">
      <c r="A440" s="10"/>
      <c r="B440" s="10"/>
      <c r="C440" s="10"/>
    </row>
    <row r="441" spans="1:3">
      <c r="A441" s="10"/>
      <c r="B441" s="10"/>
      <c r="C441" s="10"/>
    </row>
    <row r="442" spans="1:3">
      <c r="A442" s="10"/>
      <c r="B442" s="10"/>
      <c r="C442" s="10"/>
    </row>
    <row r="443" spans="1:3">
      <c r="A443" s="10"/>
      <c r="B443" s="10"/>
      <c r="C443" s="10"/>
    </row>
    <row r="444" spans="1:3">
      <c r="A444" s="10"/>
      <c r="B444" s="10"/>
      <c r="C444" s="10"/>
    </row>
    <row r="445" spans="1:3">
      <c r="A445" s="10"/>
      <c r="B445" s="10"/>
      <c r="C445" s="10"/>
    </row>
    <row r="446" spans="1:3">
      <c r="A446" s="10"/>
      <c r="B446" s="10"/>
      <c r="C446" s="10"/>
    </row>
    <row r="447" spans="1:3">
      <c r="A447" s="10"/>
      <c r="B447" s="10"/>
      <c r="C447" s="10"/>
    </row>
    <row r="448" spans="1:3">
      <c r="A448" s="10"/>
      <c r="B448" s="10"/>
      <c r="C448" s="10"/>
    </row>
    <row r="449" spans="1:3">
      <c r="A449" s="10"/>
      <c r="B449" s="10"/>
      <c r="C449" s="10"/>
    </row>
    <row r="450" spans="1:3">
      <c r="A450" s="10"/>
      <c r="B450" s="10"/>
      <c r="C450" s="10"/>
    </row>
    <row r="451" spans="1:3">
      <c r="A451" s="10"/>
      <c r="B451" s="10"/>
      <c r="C451" s="10"/>
    </row>
    <row r="452" spans="1:3">
      <c r="A452" s="10"/>
      <c r="B452" s="10"/>
      <c r="C452" s="10"/>
    </row>
    <row r="453" spans="1:3">
      <c r="A453" s="10"/>
      <c r="B453" s="10"/>
      <c r="C453" s="10"/>
    </row>
    <row r="454" spans="1:3">
      <c r="A454" s="10"/>
      <c r="B454" s="10"/>
      <c r="C454" s="10"/>
    </row>
    <row r="455" spans="1:3">
      <c r="A455" s="10"/>
      <c r="B455" s="10"/>
      <c r="C455" s="10"/>
    </row>
    <row r="456" spans="1:3">
      <c r="A456" s="10"/>
      <c r="B456" s="10"/>
      <c r="C456" s="10"/>
    </row>
    <row r="457" spans="1:3">
      <c r="A457" s="10"/>
      <c r="B457" s="10"/>
      <c r="C457" s="10"/>
    </row>
    <row r="458" spans="1:3">
      <c r="A458" s="10"/>
      <c r="B458" s="10"/>
      <c r="C458" s="10"/>
    </row>
    <row r="459" spans="1:3">
      <c r="A459" s="10"/>
      <c r="B459" s="10"/>
      <c r="C459" s="10"/>
    </row>
    <row r="460" spans="1:3">
      <c r="A460" s="10"/>
      <c r="B460" s="10"/>
      <c r="C460" s="10"/>
    </row>
    <row r="461" spans="1:3">
      <c r="A461" s="10"/>
      <c r="B461" s="10"/>
      <c r="C461" s="10"/>
    </row>
    <row r="462" spans="1:3">
      <c r="A462" s="10"/>
      <c r="B462" s="10"/>
      <c r="C462" s="10"/>
    </row>
    <row r="463" spans="1:3">
      <c r="A463" s="10"/>
      <c r="B463" s="10"/>
      <c r="C463" s="10"/>
    </row>
    <row r="464" spans="1:3">
      <c r="A464" s="10"/>
      <c r="B464" s="10"/>
      <c r="C464" s="10"/>
    </row>
    <row r="465" spans="1:3">
      <c r="A465" s="10"/>
      <c r="B465" s="10"/>
      <c r="C465" s="10"/>
    </row>
    <row r="466" spans="1:3">
      <c r="A466" s="10"/>
      <c r="B466" s="10"/>
      <c r="C466" s="10"/>
    </row>
    <row r="467" spans="1:3">
      <c r="A467" s="10"/>
      <c r="B467" s="10"/>
      <c r="C467" s="10"/>
    </row>
    <row r="468" spans="1:3">
      <c r="A468" s="10"/>
      <c r="B468" s="10"/>
      <c r="C468" s="10"/>
    </row>
    <row r="469" spans="1:3">
      <c r="A469" s="10"/>
      <c r="B469" s="10"/>
      <c r="C469" s="10"/>
    </row>
    <row r="470" spans="1:3">
      <c r="A470" s="10"/>
      <c r="B470" s="10"/>
      <c r="C470" s="10"/>
    </row>
    <row r="471" spans="1:3">
      <c r="A471" s="10"/>
      <c r="B471" s="10"/>
      <c r="C471" s="10"/>
    </row>
    <row r="472" spans="1:3">
      <c r="A472" s="10"/>
      <c r="B472" s="10"/>
      <c r="C472" s="10"/>
    </row>
    <row r="473" spans="1:3">
      <c r="A473" s="10"/>
      <c r="B473" s="10"/>
      <c r="C473" s="10"/>
    </row>
    <row r="474" spans="1:3">
      <c r="A474" s="10"/>
      <c r="B474" s="10"/>
      <c r="C474" s="10"/>
    </row>
    <row r="475" spans="1:3">
      <c r="A475" s="10"/>
      <c r="B475" s="10"/>
      <c r="C475" s="10"/>
    </row>
    <row r="476" spans="1:3">
      <c r="A476" s="10"/>
      <c r="B476" s="10"/>
      <c r="C476" s="10"/>
    </row>
    <row r="477" spans="1:3">
      <c r="A477" s="10"/>
      <c r="B477" s="10"/>
      <c r="C477" s="10"/>
    </row>
    <row r="478" spans="1:3">
      <c r="A478" s="10"/>
      <c r="B478" s="10"/>
      <c r="C478" s="10"/>
    </row>
    <row r="479" spans="1:3">
      <c r="A479" s="10"/>
      <c r="B479" s="10"/>
      <c r="C479" s="10"/>
    </row>
    <row r="480" spans="1:3">
      <c r="A480" s="10"/>
      <c r="B480" s="10"/>
      <c r="C480" s="10"/>
    </row>
    <row r="481" spans="1:3">
      <c r="A481" s="10"/>
      <c r="B481" s="10"/>
      <c r="C481" s="10"/>
    </row>
    <row r="482" spans="1:3">
      <c r="A482" s="10"/>
      <c r="B482" s="10"/>
      <c r="C482" s="10"/>
    </row>
    <row r="483" spans="1:3">
      <c r="A483" s="10"/>
      <c r="B483" s="10"/>
      <c r="C483" s="10"/>
    </row>
    <row r="484" spans="1:3">
      <c r="A484" s="10"/>
      <c r="B484" s="10"/>
      <c r="C484" s="10"/>
    </row>
    <row r="485" spans="1:3">
      <c r="A485" s="10"/>
      <c r="B485" s="10"/>
      <c r="C485" s="10"/>
    </row>
    <row r="486" spans="1:3">
      <c r="A486" s="10"/>
      <c r="B486" s="10"/>
      <c r="C486" s="10"/>
    </row>
    <row r="487" spans="1:3">
      <c r="A487" s="10"/>
      <c r="B487" s="10"/>
      <c r="C487" s="10"/>
    </row>
    <row r="488" spans="1:3">
      <c r="A488" s="10"/>
      <c r="B488" s="10"/>
      <c r="C488" s="10"/>
    </row>
    <row r="489" spans="1:3">
      <c r="A489" s="10"/>
      <c r="B489" s="10"/>
      <c r="C489" s="10"/>
    </row>
    <row r="490" spans="1:3">
      <c r="A490" s="10"/>
      <c r="B490" s="10"/>
      <c r="C490" s="10"/>
    </row>
    <row r="491" spans="1:3">
      <c r="A491" s="10"/>
      <c r="B491" s="10"/>
      <c r="C491" s="10"/>
    </row>
    <row r="492" spans="1:3">
      <c r="A492" s="10"/>
      <c r="B492" s="10"/>
      <c r="C492" s="10"/>
    </row>
    <row r="493" spans="1:3">
      <c r="A493" s="10"/>
      <c r="B493" s="10"/>
      <c r="C493" s="10"/>
    </row>
    <row r="494" spans="1:3">
      <c r="A494" s="10"/>
      <c r="B494" s="10"/>
      <c r="C494" s="10"/>
    </row>
    <row r="495" spans="1:3">
      <c r="A495" s="10"/>
      <c r="B495" s="10"/>
      <c r="C495" s="10"/>
    </row>
    <row r="496" spans="1:3">
      <c r="A496" s="10"/>
      <c r="B496" s="10"/>
      <c r="C496" s="10"/>
    </row>
    <row r="497" spans="1:3">
      <c r="A497" s="10"/>
      <c r="B497" s="10"/>
      <c r="C497" s="10"/>
    </row>
    <row r="498" spans="1:3">
      <c r="A498" s="10"/>
      <c r="B498" s="10"/>
      <c r="C498" s="10"/>
    </row>
    <row r="499" spans="1:3">
      <c r="A499" s="10"/>
      <c r="B499" s="10"/>
      <c r="C499" s="10"/>
    </row>
    <row r="500" spans="1:3">
      <c r="A500" s="10"/>
      <c r="B500" s="10"/>
      <c r="C500" s="10"/>
    </row>
    <row r="501" spans="1:3">
      <c r="A501" s="10"/>
      <c r="B501" s="10"/>
      <c r="C501" s="10"/>
    </row>
    <row r="502" spans="1:3">
      <c r="A502" s="10"/>
      <c r="B502" s="10"/>
      <c r="C502" s="10"/>
    </row>
    <row r="503" spans="1:3">
      <c r="A503" s="10"/>
      <c r="B503" s="10"/>
      <c r="C503" s="10"/>
    </row>
    <row r="504" spans="1:3">
      <c r="A504" s="10"/>
      <c r="B504" s="10"/>
      <c r="C504" s="10"/>
    </row>
    <row r="505" spans="1:3">
      <c r="A505" s="10"/>
      <c r="B505" s="10"/>
      <c r="C505" s="10"/>
    </row>
    <row r="506" spans="1:3">
      <c r="A506" s="10"/>
      <c r="B506" s="10"/>
      <c r="C506" s="10"/>
    </row>
    <row r="507" spans="1:3">
      <c r="A507" s="10"/>
      <c r="B507" s="10"/>
      <c r="C507" s="10"/>
    </row>
    <row r="508" spans="1:3">
      <c r="A508" s="10"/>
      <c r="B508" s="10"/>
      <c r="C508" s="10"/>
    </row>
    <row r="509" spans="1:3">
      <c r="A509" s="10"/>
      <c r="B509" s="10"/>
      <c r="C509" s="10"/>
    </row>
    <row r="510" spans="1:3">
      <c r="A510" s="10"/>
      <c r="B510" s="10"/>
      <c r="C510" s="10"/>
    </row>
    <row r="511" spans="1:3">
      <c r="A511" s="10"/>
      <c r="B511" s="10"/>
      <c r="C511" s="10"/>
    </row>
    <row r="512" spans="1:3">
      <c r="A512" s="10"/>
      <c r="B512" s="10"/>
      <c r="C512" s="10"/>
    </row>
    <row r="513" spans="1:3">
      <c r="A513" s="10"/>
      <c r="B513" s="10"/>
      <c r="C513" s="10"/>
    </row>
    <row r="514" spans="1:3">
      <c r="A514" s="10"/>
      <c r="B514" s="10"/>
      <c r="C514" s="10"/>
    </row>
    <row r="515" spans="1:3">
      <c r="A515" s="10"/>
      <c r="B515" s="10"/>
      <c r="C515" s="10"/>
    </row>
    <row r="516" spans="1:3">
      <c r="A516" s="10"/>
      <c r="B516" s="10"/>
      <c r="C516" s="10"/>
    </row>
    <row r="517" spans="1:3">
      <c r="A517" s="10"/>
      <c r="B517" s="10"/>
      <c r="C517" s="10"/>
    </row>
    <row r="518" spans="1:3">
      <c r="A518" s="10"/>
      <c r="B518" s="10"/>
      <c r="C518" s="10"/>
    </row>
    <row r="519" spans="1:3">
      <c r="A519" s="10"/>
      <c r="B519" s="10"/>
      <c r="C519" s="10"/>
    </row>
    <row r="520" spans="1:3">
      <c r="A520" s="10"/>
      <c r="B520" s="10"/>
      <c r="C520" s="10"/>
    </row>
    <row r="521" spans="1:3">
      <c r="A521" s="10"/>
      <c r="B521" s="10"/>
      <c r="C521" s="10"/>
    </row>
    <row r="522" spans="1:3">
      <c r="A522" s="10"/>
      <c r="B522" s="10"/>
      <c r="C522" s="10"/>
    </row>
    <row r="523" spans="1:3">
      <c r="A523" s="10"/>
      <c r="B523" s="10"/>
      <c r="C523" s="10"/>
    </row>
    <row r="524" spans="1:3">
      <c r="A524" s="10"/>
      <c r="B524" s="10"/>
      <c r="C524" s="10"/>
    </row>
    <row r="525" spans="1:3">
      <c r="A525" s="10"/>
      <c r="B525" s="10"/>
      <c r="C525" s="10"/>
    </row>
    <row r="526" spans="1:3">
      <c r="A526" s="10"/>
      <c r="B526" s="10"/>
      <c r="C526" s="10"/>
    </row>
    <row r="527" spans="1:3">
      <c r="A527" s="10"/>
      <c r="B527" s="10"/>
      <c r="C527" s="10"/>
    </row>
    <row r="528" spans="1:3">
      <c r="A528" s="10"/>
      <c r="B528" s="10"/>
      <c r="C528" s="10"/>
    </row>
    <row r="529" spans="1:3">
      <c r="A529" s="10"/>
      <c r="B529" s="10"/>
      <c r="C529" s="10"/>
    </row>
    <row r="530" spans="1:3">
      <c r="A530" s="10"/>
      <c r="B530" s="10"/>
      <c r="C530" s="10"/>
    </row>
    <row r="531" spans="1:3">
      <c r="A531" s="10"/>
      <c r="B531" s="10"/>
      <c r="C531" s="10"/>
    </row>
    <row r="532" spans="1:3">
      <c r="A532" s="10"/>
      <c r="B532" s="10"/>
      <c r="C532" s="10"/>
    </row>
    <row r="533" spans="1:3">
      <c r="A533" s="10"/>
      <c r="B533" s="10"/>
      <c r="C533" s="10"/>
    </row>
    <row r="534" spans="1:3">
      <c r="A534" s="10"/>
      <c r="B534" s="10"/>
      <c r="C534" s="10"/>
    </row>
    <row r="535" spans="1:3">
      <c r="A535" s="10"/>
      <c r="B535" s="10"/>
      <c r="C535" s="10"/>
    </row>
    <row r="536" spans="1:3">
      <c r="A536" s="10"/>
      <c r="B536" s="10"/>
      <c r="C536" s="10"/>
    </row>
    <row r="537" spans="1:3">
      <c r="A537" s="10"/>
      <c r="B537" s="10"/>
      <c r="C537" s="10"/>
    </row>
    <row r="538" spans="1:3">
      <c r="A538" s="10"/>
      <c r="B538" s="10"/>
      <c r="C538" s="10"/>
    </row>
    <row r="539" spans="1:3">
      <c r="A539" s="10"/>
      <c r="B539" s="10"/>
      <c r="C539" s="10"/>
    </row>
    <row r="540" spans="1:3">
      <c r="A540" s="10"/>
      <c r="B540" s="10"/>
      <c r="C540" s="10"/>
    </row>
    <row r="541" spans="1:3">
      <c r="A541" s="10"/>
      <c r="B541" s="10"/>
      <c r="C541" s="10"/>
    </row>
    <row r="542" spans="1:3">
      <c r="A542" s="10"/>
      <c r="B542" s="10"/>
      <c r="C542" s="10"/>
    </row>
    <row r="543" spans="1:3">
      <c r="A543" s="10"/>
      <c r="B543" s="10"/>
      <c r="C543" s="10"/>
    </row>
    <row r="544" spans="1:3">
      <c r="A544" s="10"/>
      <c r="B544" s="10"/>
      <c r="C544" s="10"/>
    </row>
    <row r="545" spans="1:3">
      <c r="A545" s="10"/>
      <c r="B545" s="10"/>
      <c r="C545" s="10"/>
    </row>
    <row r="546" spans="1:3">
      <c r="A546" s="10"/>
      <c r="B546" s="10"/>
      <c r="C546" s="10"/>
    </row>
    <row r="547" spans="1:3">
      <c r="A547" s="10"/>
      <c r="B547" s="10"/>
      <c r="C547" s="10"/>
    </row>
    <row r="548" spans="1:3">
      <c r="A548" s="10"/>
      <c r="B548" s="10"/>
      <c r="C548" s="10"/>
    </row>
    <row r="549" spans="1:3">
      <c r="A549" s="10"/>
      <c r="B549" s="10"/>
      <c r="C549" s="10"/>
    </row>
    <row r="550" spans="1:3">
      <c r="A550" s="10"/>
      <c r="B550" s="10"/>
      <c r="C550" s="10"/>
    </row>
    <row r="551" spans="1:3">
      <c r="A551" s="10"/>
      <c r="B551" s="10"/>
      <c r="C551" s="10"/>
    </row>
    <row r="552" spans="1:3">
      <c r="A552" s="10"/>
      <c r="B552" s="10"/>
      <c r="C552" s="10"/>
    </row>
    <row r="553" spans="1:3">
      <c r="A553" s="10"/>
      <c r="B553" s="10"/>
      <c r="C553" s="10"/>
    </row>
    <row r="554" spans="1:3">
      <c r="A554" s="10"/>
      <c r="B554" s="10"/>
      <c r="C554" s="10"/>
    </row>
    <row r="555" spans="1:3">
      <c r="A555" s="10"/>
      <c r="B555" s="10"/>
      <c r="C555" s="10"/>
    </row>
    <row r="556" spans="1:3">
      <c r="A556" s="10"/>
      <c r="B556" s="10"/>
      <c r="C556" s="10"/>
    </row>
    <row r="557" spans="1:3">
      <c r="A557" s="10"/>
      <c r="B557" s="10"/>
      <c r="C557" s="10"/>
    </row>
    <row r="558" spans="1:3">
      <c r="A558" s="10"/>
      <c r="B558" s="10"/>
      <c r="C558" s="10"/>
    </row>
    <row r="559" spans="1:3">
      <c r="A559" s="10"/>
      <c r="B559" s="10"/>
      <c r="C559" s="10"/>
    </row>
    <row r="560" spans="1:3">
      <c r="A560" s="10"/>
      <c r="B560" s="10"/>
      <c r="C560" s="10"/>
    </row>
    <row r="561" spans="1:3">
      <c r="A561" s="10"/>
      <c r="B561" s="10"/>
      <c r="C561" s="10"/>
    </row>
    <row r="562" spans="1:3">
      <c r="A562" s="10"/>
      <c r="B562" s="10"/>
      <c r="C562" s="10"/>
    </row>
    <row r="563" spans="1:3">
      <c r="A563" s="10"/>
      <c r="B563" s="10"/>
      <c r="C563" s="10"/>
    </row>
    <row r="564" spans="1:3">
      <c r="A564" s="10"/>
      <c r="B564" s="10"/>
      <c r="C564" s="10"/>
    </row>
    <row r="565" spans="1:3">
      <c r="A565" s="10"/>
      <c r="B565" s="10"/>
      <c r="C565" s="10"/>
    </row>
    <row r="566" spans="1:3">
      <c r="A566" s="10"/>
      <c r="B566" s="10"/>
      <c r="C566" s="10"/>
    </row>
    <row r="567" spans="1:3">
      <c r="A567" s="10"/>
      <c r="B567" s="10"/>
      <c r="C567" s="10"/>
    </row>
    <row r="568" spans="1:3">
      <c r="A568" s="10"/>
      <c r="B568" s="10"/>
      <c r="C568" s="10"/>
    </row>
    <row r="569" spans="1:3">
      <c r="A569" s="10"/>
      <c r="B569" s="10"/>
      <c r="C569" s="10"/>
    </row>
    <row r="570" spans="1:3">
      <c r="A570" s="10"/>
      <c r="B570" s="10"/>
      <c r="C570" s="10"/>
    </row>
    <row r="571" spans="1:3">
      <c r="A571" s="10"/>
      <c r="B571" s="10"/>
      <c r="C571" s="10"/>
    </row>
    <row r="572" spans="1:3">
      <c r="A572" s="10"/>
      <c r="B572" s="10"/>
      <c r="C572" s="10"/>
    </row>
    <row r="573" spans="1:3">
      <c r="A573" s="10"/>
      <c r="B573" s="10"/>
      <c r="C573" s="10"/>
    </row>
    <row r="574" spans="1:3">
      <c r="A574" s="10"/>
      <c r="B574" s="10"/>
      <c r="C574" s="10"/>
    </row>
    <row r="575" spans="1:3">
      <c r="A575" s="10"/>
      <c r="B575" s="10"/>
      <c r="C575" s="10"/>
    </row>
    <row r="576" spans="1:3">
      <c r="A576" s="10"/>
      <c r="B576" s="10"/>
      <c r="C576" s="10"/>
    </row>
    <row r="577" spans="1:3">
      <c r="A577" s="10"/>
      <c r="B577" s="10"/>
      <c r="C577" s="10"/>
    </row>
    <row r="578" spans="1:3">
      <c r="A578" s="10"/>
      <c r="B578" s="10"/>
      <c r="C578" s="10"/>
    </row>
    <row r="579" spans="1:3">
      <c r="A579" s="10"/>
      <c r="B579" s="10"/>
      <c r="C579" s="10"/>
    </row>
    <row r="580" spans="1:3">
      <c r="A580" s="10"/>
      <c r="B580" s="10"/>
      <c r="C580" s="10"/>
    </row>
    <row r="581" spans="1:3">
      <c r="A581" s="10"/>
      <c r="B581" s="10"/>
      <c r="C581" s="10"/>
    </row>
    <row r="582" spans="1:3">
      <c r="A582" s="10"/>
      <c r="B582" s="10"/>
      <c r="C582" s="10"/>
    </row>
    <row r="583" spans="1:3">
      <c r="A583" s="10"/>
      <c r="B583" s="10"/>
      <c r="C583" s="10"/>
    </row>
    <row r="584" spans="1:3">
      <c r="A584" s="10"/>
      <c r="B584" s="10"/>
      <c r="C584" s="10"/>
    </row>
    <row r="585" spans="1:3">
      <c r="A585" s="10"/>
      <c r="B585" s="10"/>
      <c r="C585" s="10"/>
    </row>
    <row r="586" spans="1:3">
      <c r="A586" s="10"/>
      <c r="B586" s="10"/>
      <c r="C586" s="10"/>
    </row>
    <row r="587" spans="1:3">
      <c r="A587" s="10"/>
      <c r="B587" s="10"/>
      <c r="C587" s="10"/>
    </row>
    <row r="588" spans="1:3">
      <c r="A588" s="10"/>
      <c r="B588" s="10"/>
      <c r="C588" s="10"/>
    </row>
    <row r="589" spans="1:3">
      <c r="A589" s="10"/>
      <c r="B589" s="10"/>
      <c r="C589" s="10"/>
    </row>
    <row r="590" spans="1:3">
      <c r="A590" s="10"/>
      <c r="B590" s="10"/>
      <c r="C590" s="10"/>
    </row>
    <row r="591" spans="1:3">
      <c r="A591" s="10"/>
      <c r="B591" s="10"/>
      <c r="C591" s="10"/>
    </row>
    <row r="592" spans="1:3">
      <c r="A592" s="10"/>
      <c r="B592" s="10"/>
      <c r="C592" s="10"/>
    </row>
    <row r="593" spans="1:3">
      <c r="A593" s="10"/>
      <c r="B593" s="10"/>
      <c r="C593" s="10"/>
    </row>
    <row r="594" spans="1:3">
      <c r="A594" s="10"/>
      <c r="B594" s="10"/>
      <c r="C594" s="10"/>
    </row>
    <row r="595" spans="1:3">
      <c r="A595" s="10"/>
      <c r="B595" s="10"/>
      <c r="C595" s="10"/>
    </row>
    <row r="596" spans="1:3">
      <c r="A596" s="10"/>
      <c r="B596" s="10"/>
      <c r="C596" s="10"/>
    </row>
    <row r="597" spans="1:3">
      <c r="A597" s="10"/>
      <c r="B597" s="10"/>
      <c r="C597" s="10"/>
    </row>
    <row r="598" spans="1:3">
      <c r="A598" s="10"/>
      <c r="B598" s="10"/>
      <c r="C598" s="10"/>
    </row>
    <row r="599" spans="1:3">
      <c r="A599" s="10"/>
      <c r="B599" s="10"/>
      <c r="C599" s="10"/>
    </row>
    <row r="600" spans="1:3">
      <c r="A600" s="10"/>
      <c r="B600" s="10"/>
      <c r="C600" s="10"/>
    </row>
    <row r="601" spans="1:3">
      <c r="A601" s="10"/>
      <c r="B601" s="10"/>
      <c r="C601" s="10"/>
    </row>
    <row r="602" spans="1:3">
      <c r="A602" s="10"/>
      <c r="B602" s="10"/>
      <c r="C602" s="10"/>
    </row>
    <row r="603" spans="1:3">
      <c r="A603" s="10"/>
      <c r="B603" s="10"/>
      <c r="C603" s="10"/>
    </row>
    <row r="604" spans="1:3">
      <c r="A604" s="10"/>
      <c r="B604" s="10"/>
      <c r="C604" s="10"/>
    </row>
    <row r="605" spans="1:3">
      <c r="A605" s="10"/>
      <c r="B605" s="10"/>
      <c r="C605" s="10"/>
    </row>
    <row r="606" spans="1:3">
      <c r="A606" s="10"/>
      <c r="B606" s="10"/>
      <c r="C606" s="10"/>
    </row>
    <row r="607" spans="1:3">
      <c r="A607" s="10"/>
      <c r="B607" s="10"/>
      <c r="C607" s="10"/>
    </row>
    <row r="608" spans="1:3">
      <c r="A608" s="10"/>
      <c r="B608" s="10"/>
      <c r="C608" s="10"/>
    </row>
    <row r="609" spans="1:3">
      <c r="A609" s="10"/>
      <c r="B609" s="10"/>
      <c r="C609" s="10"/>
    </row>
    <row r="610" spans="1:3">
      <c r="A610" s="10"/>
      <c r="B610" s="10"/>
      <c r="C610" s="10"/>
    </row>
    <row r="611" spans="1:3">
      <c r="A611" s="10"/>
      <c r="B611" s="10"/>
      <c r="C611" s="10"/>
    </row>
    <row r="612" spans="1:3">
      <c r="A612" s="10"/>
      <c r="B612" s="10"/>
      <c r="C612" s="10"/>
    </row>
    <row r="613" spans="1:3">
      <c r="A613" s="10"/>
      <c r="B613" s="10"/>
      <c r="C613" s="10"/>
    </row>
    <row r="614" spans="1:3">
      <c r="A614" s="10"/>
      <c r="B614" s="10"/>
      <c r="C614" s="10"/>
    </row>
    <row r="615" spans="1:3">
      <c r="A615" s="10"/>
      <c r="B615" s="10"/>
      <c r="C615" s="10"/>
    </row>
    <row r="616" spans="1:3">
      <c r="A616" s="10"/>
      <c r="B616" s="10"/>
      <c r="C616" s="10"/>
    </row>
    <row r="617" spans="1:3">
      <c r="A617" s="10"/>
      <c r="B617" s="10"/>
      <c r="C617" s="10"/>
    </row>
    <row r="618" spans="1:3">
      <c r="A618" s="10"/>
      <c r="B618" s="10"/>
      <c r="C618" s="10"/>
    </row>
    <row r="619" spans="1:3">
      <c r="A619" s="10"/>
      <c r="B619" s="10"/>
      <c r="C619" s="10"/>
    </row>
    <row r="620" spans="1:3">
      <c r="A620" s="10"/>
      <c r="B620" s="10"/>
      <c r="C620" s="10"/>
    </row>
    <row r="621" spans="1:3">
      <c r="A621" s="10"/>
      <c r="B621" s="10"/>
      <c r="C621" s="10"/>
    </row>
    <row r="622" spans="1:3">
      <c r="A622" s="10"/>
      <c r="B622" s="10"/>
      <c r="C622" s="10"/>
    </row>
    <row r="623" spans="1:3">
      <c r="A623" s="10"/>
      <c r="B623" s="10"/>
      <c r="C623" s="10"/>
    </row>
    <row r="624" spans="1:3">
      <c r="A624" s="10"/>
      <c r="B624" s="10"/>
      <c r="C624" s="10"/>
    </row>
    <row r="625" spans="1:3">
      <c r="A625" s="10"/>
      <c r="B625" s="10"/>
      <c r="C625" s="10"/>
    </row>
    <row r="626" spans="1:3">
      <c r="A626" s="10"/>
      <c r="B626" s="10"/>
      <c r="C626" s="10"/>
    </row>
    <row r="627" spans="1:3">
      <c r="A627" s="10"/>
      <c r="B627" s="10"/>
      <c r="C627" s="10"/>
    </row>
    <row r="628" spans="1:3">
      <c r="A628" s="10"/>
      <c r="B628" s="10"/>
      <c r="C628" s="10"/>
    </row>
    <row r="629" spans="1:3">
      <c r="A629" s="10"/>
      <c r="B629" s="10"/>
      <c r="C629" s="10"/>
    </row>
    <row r="630" spans="1:3">
      <c r="A630" s="10"/>
      <c r="B630" s="10"/>
      <c r="C630" s="10"/>
    </row>
    <row r="631" spans="1:3">
      <c r="A631" s="10"/>
      <c r="B631" s="10"/>
      <c r="C631" s="10"/>
    </row>
    <row r="632" spans="1:3">
      <c r="A632" s="10"/>
      <c r="B632" s="10"/>
      <c r="C632" s="10"/>
    </row>
    <row r="633" spans="1:3">
      <c r="A633" s="10"/>
      <c r="B633" s="10"/>
      <c r="C633" s="10"/>
    </row>
    <row r="634" spans="1:3">
      <c r="A634" s="10"/>
      <c r="B634" s="10"/>
      <c r="C634" s="10"/>
    </row>
    <row r="635" spans="1:3">
      <c r="A635" s="10"/>
      <c r="B635" s="10"/>
      <c r="C635" s="10"/>
    </row>
    <row r="636" spans="1:3">
      <c r="A636" s="10"/>
      <c r="B636" s="10"/>
      <c r="C636" s="10"/>
    </row>
    <row r="637" spans="1:3">
      <c r="A637" s="10"/>
      <c r="B637" s="10"/>
      <c r="C637" s="10"/>
    </row>
  </sheetData>
  <mergeCells count="2">
    <mergeCell ref="A3:C3"/>
    <mergeCell ref="A5:C5"/>
  </mergeCells>
  <phoneticPr fontId="6" type="noConversion"/>
  <pageMargins left="0.75" right="0.75" top="1" bottom="1" header="0.5" footer="0.5"/>
  <pageSetup scale="97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02"/>
  <sheetViews>
    <sheetView workbookViewId="0">
      <selection activeCell="E3" sqref="E3"/>
    </sheetView>
  </sheetViews>
  <sheetFormatPr defaultColWidth="9.109375" defaultRowHeight="14.4"/>
  <cols>
    <col min="1" max="1" width="21.109375" style="14" bestFit="1" customWidth="1"/>
    <col min="2" max="2" width="12.33203125" style="13" bestFit="1" customWidth="1"/>
    <col min="3" max="3" width="10.88671875" style="14" bestFit="1" customWidth="1"/>
    <col min="4" max="4" width="27" style="14" bestFit="1" customWidth="1"/>
    <col min="5" max="5" width="14.5546875" style="14" bestFit="1" customWidth="1"/>
    <col min="6" max="6" width="16.5546875" style="14" bestFit="1" customWidth="1"/>
    <col min="7" max="16384" width="9.109375" style="14"/>
  </cols>
  <sheetData>
    <row r="1" spans="1:6">
      <c r="A1" s="269" t="s">
        <v>368</v>
      </c>
    </row>
    <row r="2" spans="1:6">
      <c r="A2" s="270"/>
      <c r="B2" s="15" t="s">
        <v>369</v>
      </c>
      <c r="C2" s="16" t="s">
        <v>73</v>
      </c>
      <c r="D2" s="16" t="s">
        <v>74</v>
      </c>
      <c r="E2" s="16" t="s">
        <v>370</v>
      </c>
      <c r="F2" s="16" t="s">
        <v>371</v>
      </c>
    </row>
    <row r="3" spans="1:6">
      <c r="A3" s="16">
        <v>20102011</v>
      </c>
      <c r="B3" s="29">
        <v>10</v>
      </c>
      <c r="C3" s="18" t="s">
        <v>75</v>
      </c>
      <c r="D3" s="19" t="s">
        <v>76</v>
      </c>
      <c r="E3" s="20">
        <v>6.1199999999999997E-2</v>
      </c>
      <c r="F3" s="20">
        <v>0.20019999999999999</v>
      </c>
    </row>
    <row r="4" spans="1:6">
      <c r="A4" s="16">
        <v>20102011</v>
      </c>
      <c r="B4" s="29">
        <v>20</v>
      </c>
      <c r="C4" s="18" t="s">
        <v>75</v>
      </c>
      <c r="D4" s="19" t="s">
        <v>77</v>
      </c>
      <c r="E4" s="20">
        <v>5.5599999999999997E-2</v>
      </c>
      <c r="F4" s="20">
        <v>0.16700000000000001</v>
      </c>
    </row>
    <row r="5" spans="1:6">
      <c r="A5" s="16">
        <v>20102011</v>
      </c>
      <c r="B5" s="29">
        <v>30</v>
      </c>
      <c r="C5" s="18" t="s">
        <v>75</v>
      </c>
      <c r="D5" s="19" t="s">
        <v>78</v>
      </c>
      <c r="E5" s="20">
        <v>4.4600000000000001E-2</v>
      </c>
      <c r="F5" s="20">
        <v>0.1694</v>
      </c>
    </row>
    <row r="6" spans="1:6">
      <c r="A6" s="16">
        <v>20102011</v>
      </c>
      <c r="B6" s="29">
        <v>40</v>
      </c>
      <c r="C6" s="18" t="s">
        <v>75</v>
      </c>
      <c r="D6" s="19" t="s">
        <v>79</v>
      </c>
      <c r="E6" s="20">
        <v>3.73E-2</v>
      </c>
      <c r="F6" s="20">
        <v>0.21490000000000001</v>
      </c>
    </row>
    <row r="7" spans="1:6">
      <c r="A7" s="16">
        <v>20102011</v>
      </c>
      <c r="B7" s="29">
        <v>50</v>
      </c>
      <c r="C7" s="18" t="s">
        <v>75</v>
      </c>
      <c r="D7" s="19" t="s">
        <v>80</v>
      </c>
      <c r="E7" s="20">
        <v>8.0799999999999997E-2</v>
      </c>
      <c r="F7" s="20">
        <v>0.26829999999999998</v>
      </c>
    </row>
    <row r="8" spans="1:6">
      <c r="A8" s="16">
        <v>20102011</v>
      </c>
      <c r="B8" s="29">
        <v>60</v>
      </c>
      <c r="C8" s="18" t="s">
        <v>75</v>
      </c>
      <c r="D8" s="19" t="s">
        <v>81</v>
      </c>
      <c r="E8" s="20">
        <v>3.04E-2</v>
      </c>
      <c r="F8" s="20">
        <v>0.31929999999999997</v>
      </c>
    </row>
    <row r="9" spans="1:6">
      <c r="A9" s="16">
        <v>20102011</v>
      </c>
      <c r="B9" s="29">
        <v>70</v>
      </c>
      <c r="C9" s="18" t="s">
        <v>75</v>
      </c>
      <c r="D9" s="19" t="s">
        <v>82</v>
      </c>
      <c r="E9" s="20">
        <v>8.4199999999999997E-2</v>
      </c>
      <c r="F9" s="20">
        <v>0.2387</v>
      </c>
    </row>
    <row r="10" spans="1:6">
      <c r="A10" s="16">
        <v>20102011</v>
      </c>
      <c r="B10" s="29">
        <v>100</v>
      </c>
      <c r="C10" s="18" t="s">
        <v>83</v>
      </c>
      <c r="D10" s="19" t="s">
        <v>84</v>
      </c>
      <c r="E10" s="20">
        <v>5.7700000000000001E-2</v>
      </c>
      <c r="F10" s="20">
        <v>0.22259999999999999</v>
      </c>
    </row>
    <row r="11" spans="1:6">
      <c r="A11" s="16">
        <v>20102011</v>
      </c>
      <c r="B11" s="29">
        <v>110</v>
      </c>
      <c r="C11" s="18" t="s">
        <v>83</v>
      </c>
      <c r="D11" s="19" t="s">
        <v>85</v>
      </c>
      <c r="E11" s="20">
        <v>2.4199999999999999E-2</v>
      </c>
      <c r="F11" s="20">
        <v>0.2631</v>
      </c>
    </row>
    <row r="12" spans="1:6">
      <c r="A12" s="16">
        <v>20102011</v>
      </c>
      <c r="B12" s="29">
        <v>120</v>
      </c>
      <c r="C12" s="18" t="s">
        <v>86</v>
      </c>
      <c r="D12" s="19" t="s">
        <v>87</v>
      </c>
      <c r="E12" s="20">
        <v>5.5199999999999999E-2</v>
      </c>
      <c r="F12" s="20">
        <v>0.19089999999999999</v>
      </c>
    </row>
    <row r="13" spans="1:6">
      <c r="A13" s="16">
        <v>20102011</v>
      </c>
      <c r="B13" s="29">
        <v>123</v>
      </c>
      <c r="C13" s="18" t="s">
        <v>86</v>
      </c>
      <c r="D13" s="19" t="s">
        <v>88</v>
      </c>
      <c r="E13" s="20">
        <v>9.2999999999999999E-2</v>
      </c>
      <c r="F13" s="20">
        <v>0.23050000000000001</v>
      </c>
    </row>
    <row r="14" spans="1:6">
      <c r="A14" s="16">
        <v>20102011</v>
      </c>
      <c r="B14" s="29">
        <v>130</v>
      </c>
      <c r="C14" s="18" t="s">
        <v>86</v>
      </c>
      <c r="D14" s="19" t="s">
        <v>89</v>
      </c>
      <c r="E14" s="20">
        <v>4.6899999999999997E-2</v>
      </c>
      <c r="F14" s="20">
        <v>0.1469</v>
      </c>
    </row>
    <row r="15" spans="1:6">
      <c r="A15" s="16">
        <v>20102011</v>
      </c>
      <c r="B15" s="29">
        <v>140</v>
      </c>
      <c r="C15" s="18" t="s">
        <v>86</v>
      </c>
      <c r="D15" s="19" t="s">
        <v>90</v>
      </c>
      <c r="E15" s="20">
        <v>7.7399999999999997E-2</v>
      </c>
      <c r="F15" s="20">
        <v>0.1903</v>
      </c>
    </row>
    <row r="16" spans="1:6">
      <c r="A16" s="16">
        <v>20102011</v>
      </c>
      <c r="B16" s="29">
        <v>170</v>
      </c>
      <c r="C16" s="18" t="s">
        <v>86</v>
      </c>
      <c r="D16" s="19" t="s">
        <v>91</v>
      </c>
      <c r="E16" s="20">
        <v>0.105</v>
      </c>
      <c r="F16" s="20">
        <v>0.4667</v>
      </c>
    </row>
    <row r="17" spans="1:6">
      <c r="A17" s="16">
        <v>20102011</v>
      </c>
      <c r="B17" s="29">
        <v>180</v>
      </c>
      <c r="C17" s="18" t="s">
        <v>86</v>
      </c>
      <c r="D17" s="19" t="s">
        <v>92</v>
      </c>
      <c r="E17" s="20">
        <v>6.6199999999999995E-2</v>
      </c>
      <c r="F17" s="20">
        <v>0.2082</v>
      </c>
    </row>
    <row r="18" spans="1:6">
      <c r="A18" s="16">
        <v>20102011</v>
      </c>
      <c r="B18" s="29">
        <v>190</v>
      </c>
      <c r="C18" s="18" t="s">
        <v>86</v>
      </c>
      <c r="D18" s="19" t="s">
        <v>93</v>
      </c>
      <c r="E18" s="20">
        <v>6.83E-2</v>
      </c>
      <c r="F18" s="20">
        <v>0.253</v>
      </c>
    </row>
    <row r="19" spans="1:6">
      <c r="A19" s="16">
        <v>20102011</v>
      </c>
      <c r="B19" s="29">
        <v>220</v>
      </c>
      <c r="C19" s="18" t="s">
        <v>94</v>
      </c>
      <c r="D19" s="19" t="s">
        <v>95</v>
      </c>
      <c r="E19" s="20">
        <v>8.1699999999999995E-2</v>
      </c>
      <c r="F19" s="20">
        <v>0.22559999999999999</v>
      </c>
    </row>
    <row r="20" spans="1:6">
      <c r="A20" s="16">
        <v>20102011</v>
      </c>
      <c r="B20" s="29">
        <v>230</v>
      </c>
      <c r="C20" s="18" t="s">
        <v>96</v>
      </c>
      <c r="D20" s="19" t="s">
        <v>97</v>
      </c>
      <c r="E20" s="20">
        <v>2.9700000000000001E-2</v>
      </c>
      <c r="F20" s="20">
        <v>0.3453</v>
      </c>
    </row>
    <row r="21" spans="1:6">
      <c r="A21" s="16">
        <v>20102011</v>
      </c>
      <c r="B21" s="29">
        <v>240</v>
      </c>
      <c r="C21" s="18" t="s">
        <v>96</v>
      </c>
      <c r="D21" s="19" t="s">
        <v>98</v>
      </c>
      <c r="E21" s="20">
        <v>0.105</v>
      </c>
      <c r="F21" s="20">
        <v>0.46579999999999999</v>
      </c>
    </row>
    <row r="22" spans="1:6">
      <c r="A22" s="16">
        <v>20102011</v>
      </c>
      <c r="B22" s="29">
        <v>250</v>
      </c>
      <c r="C22" s="18" t="s">
        <v>96</v>
      </c>
      <c r="D22" s="19" t="s">
        <v>99</v>
      </c>
      <c r="E22" s="20">
        <v>5.0099999999999999E-2</v>
      </c>
      <c r="F22" s="20">
        <v>0.31990000000000002</v>
      </c>
    </row>
    <row r="23" spans="1:6">
      <c r="A23" s="16">
        <v>20102011</v>
      </c>
      <c r="B23" s="29">
        <v>260</v>
      </c>
      <c r="C23" s="18" t="s">
        <v>96</v>
      </c>
      <c r="D23" s="19" t="s">
        <v>100</v>
      </c>
      <c r="E23" s="20">
        <v>0.105</v>
      </c>
      <c r="F23" s="20">
        <v>0.40429999999999999</v>
      </c>
    </row>
    <row r="24" spans="1:6">
      <c r="A24" s="16">
        <v>20102011</v>
      </c>
      <c r="B24" s="29">
        <v>270</v>
      </c>
      <c r="C24" s="18" t="s">
        <v>96</v>
      </c>
      <c r="D24" s="19" t="s">
        <v>101</v>
      </c>
      <c r="E24" s="20">
        <v>-8.0000000000000004E-4</v>
      </c>
      <c r="F24" s="20">
        <v>0.3216</v>
      </c>
    </row>
    <row r="25" spans="1:6">
      <c r="A25" s="16">
        <v>20102011</v>
      </c>
      <c r="B25" s="29">
        <v>290</v>
      </c>
      <c r="C25" s="18" t="s">
        <v>102</v>
      </c>
      <c r="D25" s="19" t="s">
        <v>103</v>
      </c>
      <c r="E25" s="20">
        <v>2.4400000000000002E-2</v>
      </c>
      <c r="F25" s="20">
        <v>0.14069999999999999</v>
      </c>
    </row>
    <row r="26" spans="1:6">
      <c r="A26" s="16">
        <v>20102011</v>
      </c>
      <c r="B26" s="29">
        <v>310</v>
      </c>
      <c r="C26" s="18" t="s">
        <v>102</v>
      </c>
      <c r="D26" s="19" t="s">
        <v>104</v>
      </c>
      <c r="E26" s="20">
        <v>3.1699999999999999E-2</v>
      </c>
      <c r="F26" s="20">
        <v>0.30309999999999998</v>
      </c>
    </row>
    <row r="27" spans="1:6">
      <c r="A27" s="16">
        <v>20102011</v>
      </c>
      <c r="B27" s="29">
        <v>470</v>
      </c>
      <c r="C27" s="18" t="s">
        <v>105</v>
      </c>
      <c r="D27" s="19" t="s">
        <v>106</v>
      </c>
      <c r="E27" s="20">
        <v>4.6300000000000001E-2</v>
      </c>
      <c r="F27" s="20">
        <v>0.18149999999999999</v>
      </c>
    </row>
    <row r="28" spans="1:6">
      <c r="A28" s="16">
        <v>20102011</v>
      </c>
      <c r="B28" s="29">
        <v>480</v>
      </c>
      <c r="C28" s="18" t="s">
        <v>105</v>
      </c>
      <c r="D28" s="19" t="s">
        <v>107</v>
      </c>
      <c r="E28" s="20">
        <v>7.1400000000000005E-2</v>
      </c>
      <c r="F28" s="20">
        <v>0.18940000000000001</v>
      </c>
    </row>
    <row r="29" spans="1:6">
      <c r="A29" s="16">
        <v>20102011</v>
      </c>
      <c r="B29" s="29">
        <v>490</v>
      </c>
      <c r="C29" s="18" t="s">
        <v>108</v>
      </c>
      <c r="D29" s="19" t="s">
        <v>109</v>
      </c>
      <c r="E29" s="20">
        <v>3.8600000000000002E-2</v>
      </c>
      <c r="F29" s="20">
        <v>0.2364</v>
      </c>
    </row>
    <row r="30" spans="1:6">
      <c r="A30" s="16">
        <v>20102011</v>
      </c>
      <c r="B30" s="29">
        <v>500</v>
      </c>
      <c r="C30" s="18" t="s">
        <v>108</v>
      </c>
      <c r="D30" s="19" t="s">
        <v>110</v>
      </c>
      <c r="E30" s="20">
        <v>5.9900000000000002E-2</v>
      </c>
      <c r="F30" s="20">
        <v>0.3352</v>
      </c>
    </row>
    <row r="31" spans="1:6">
      <c r="A31" s="16">
        <v>20102011</v>
      </c>
      <c r="B31" s="29">
        <v>510</v>
      </c>
      <c r="C31" s="18" t="s">
        <v>111</v>
      </c>
      <c r="D31" s="19" t="s">
        <v>112</v>
      </c>
      <c r="E31" s="20">
        <v>-1.1000000000000001E-3</v>
      </c>
      <c r="F31" s="20">
        <v>0.36870000000000003</v>
      </c>
    </row>
    <row r="32" spans="1:6">
      <c r="A32" s="16">
        <v>20102011</v>
      </c>
      <c r="B32" s="29">
        <v>520</v>
      </c>
      <c r="C32" s="18" t="s">
        <v>111</v>
      </c>
      <c r="D32" s="19" t="s">
        <v>113</v>
      </c>
      <c r="E32" s="20">
        <v>8.6E-3</v>
      </c>
      <c r="F32" s="20">
        <v>0.3463</v>
      </c>
    </row>
    <row r="33" spans="1:6">
      <c r="A33" s="16">
        <v>20102011</v>
      </c>
      <c r="B33" s="29">
        <v>540</v>
      </c>
      <c r="C33" s="18" t="s">
        <v>114</v>
      </c>
      <c r="D33" s="19" t="s">
        <v>115</v>
      </c>
      <c r="E33" s="20">
        <v>6.8400000000000002E-2</v>
      </c>
      <c r="F33" s="20">
        <v>0.2477</v>
      </c>
    </row>
    <row r="34" spans="1:6">
      <c r="A34" s="16">
        <v>20102011</v>
      </c>
      <c r="B34" s="29">
        <v>550</v>
      </c>
      <c r="C34" s="18" t="s">
        <v>116</v>
      </c>
      <c r="D34" s="19" t="s">
        <v>117</v>
      </c>
      <c r="E34" s="20">
        <v>4.8000000000000001E-2</v>
      </c>
      <c r="F34" s="20">
        <v>0.2331</v>
      </c>
    </row>
    <row r="35" spans="1:6">
      <c r="A35" s="16">
        <v>20102011</v>
      </c>
      <c r="B35" s="29">
        <v>560</v>
      </c>
      <c r="C35" s="18" t="s">
        <v>116</v>
      </c>
      <c r="D35" s="19" t="s">
        <v>118</v>
      </c>
      <c r="E35" s="20">
        <v>2.0899999999999998E-2</v>
      </c>
      <c r="F35" s="20">
        <v>0.29959999999999998</v>
      </c>
    </row>
    <row r="36" spans="1:6">
      <c r="A36" s="16">
        <v>20102011</v>
      </c>
      <c r="B36" s="29">
        <v>580</v>
      </c>
      <c r="C36" s="18" t="s">
        <v>116</v>
      </c>
      <c r="D36" s="19" t="s">
        <v>119</v>
      </c>
      <c r="E36" s="20">
        <v>4.3900000000000002E-2</v>
      </c>
      <c r="F36" s="20">
        <v>0.2863</v>
      </c>
    </row>
    <row r="37" spans="1:6">
      <c r="A37" s="16">
        <v>20102011</v>
      </c>
      <c r="B37" s="29">
        <v>640</v>
      </c>
      <c r="C37" s="18" t="s">
        <v>120</v>
      </c>
      <c r="D37" s="19" t="s">
        <v>121</v>
      </c>
      <c r="E37" s="20">
        <v>3.1099999999999999E-2</v>
      </c>
      <c r="F37" s="20">
        <v>0.25140000000000001</v>
      </c>
    </row>
    <row r="38" spans="1:6">
      <c r="A38" s="16">
        <v>20102011</v>
      </c>
      <c r="B38" s="29">
        <v>740</v>
      </c>
      <c r="C38" s="18" t="s">
        <v>120</v>
      </c>
      <c r="D38" s="19" t="s">
        <v>122</v>
      </c>
      <c r="E38" s="20">
        <v>1.9E-2</v>
      </c>
      <c r="F38" s="20">
        <v>0.26479999999999998</v>
      </c>
    </row>
    <row r="39" spans="1:6">
      <c r="A39" s="16">
        <v>20102011</v>
      </c>
      <c r="B39" s="29">
        <v>770</v>
      </c>
      <c r="C39" s="18" t="s">
        <v>123</v>
      </c>
      <c r="D39" s="19" t="s">
        <v>124</v>
      </c>
      <c r="E39" s="20">
        <v>0.105</v>
      </c>
      <c r="F39" s="20">
        <v>0.42459999999999998</v>
      </c>
    </row>
    <row r="40" spans="1:6">
      <c r="A40" s="16">
        <v>20102011</v>
      </c>
      <c r="B40" s="29">
        <v>860</v>
      </c>
      <c r="C40" s="18" t="s">
        <v>125</v>
      </c>
      <c r="D40" s="19" t="s">
        <v>126</v>
      </c>
      <c r="E40" s="20">
        <v>2.4899999999999999E-2</v>
      </c>
      <c r="F40" s="20">
        <v>0.29270000000000002</v>
      </c>
    </row>
    <row r="41" spans="1:6">
      <c r="A41" s="16">
        <v>20102011</v>
      </c>
      <c r="B41" s="29">
        <v>870</v>
      </c>
      <c r="C41" s="18" t="s">
        <v>127</v>
      </c>
      <c r="D41" s="19" t="s">
        <v>128</v>
      </c>
      <c r="E41" s="20">
        <v>2.64E-2</v>
      </c>
      <c r="F41" s="20">
        <v>0.16500000000000001</v>
      </c>
    </row>
    <row r="42" spans="1:6">
      <c r="A42" s="16">
        <v>20102011</v>
      </c>
      <c r="B42" s="30">
        <v>880</v>
      </c>
      <c r="C42" s="18" t="s">
        <v>129</v>
      </c>
      <c r="D42" s="19" t="s">
        <v>130</v>
      </c>
      <c r="E42" s="20">
        <v>6.1199999999999997E-2</v>
      </c>
      <c r="F42" s="20">
        <v>0.13700000000000001</v>
      </c>
    </row>
    <row r="43" spans="1:6">
      <c r="A43" s="16">
        <v>20102011</v>
      </c>
      <c r="B43" s="29">
        <v>890</v>
      </c>
      <c r="C43" s="18" t="s">
        <v>131</v>
      </c>
      <c r="D43" s="19" t="s">
        <v>132</v>
      </c>
      <c r="E43" s="20">
        <v>6.3700000000000007E-2</v>
      </c>
      <c r="F43" s="20">
        <v>0.34229999999999999</v>
      </c>
    </row>
    <row r="44" spans="1:6">
      <c r="A44" s="16">
        <v>20102011</v>
      </c>
      <c r="B44" s="29">
        <v>900</v>
      </c>
      <c r="C44" s="18" t="s">
        <v>133</v>
      </c>
      <c r="D44" s="19" t="s">
        <v>134</v>
      </c>
      <c r="E44" s="20">
        <v>8.1600000000000006E-2</v>
      </c>
      <c r="F44" s="20">
        <v>0.17979999999999999</v>
      </c>
    </row>
    <row r="45" spans="1:6">
      <c r="A45" s="16">
        <v>20102011</v>
      </c>
      <c r="B45" s="29">
        <v>910</v>
      </c>
      <c r="C45" s="18" t="s">
        <v>135</v>
      </c>
      <c r="D45" s="19" t="s">
        <v>136</v>
      </c>
      <c r="E45" s="20">
        <v>5.0299999999999997E-2</v>
      </c>
      <c r="F45" s="20">
        <v>0.16489999999999999</v>
      </c>
    </row>
    <row r="46" spans="1:6">
      <c r="A46" s="16">
        <v>20102011</v>
      </c>
      <c r="B46" s="29">
        <v>920</v>
      </c>
      <c r="C46" s="18" t="s">
        <v>137</v>
      </c>
      <c r="D46" s="19" t="s">
        <v>61</v>
      </c>
      <c r="E46" s="20">
        <v>0.105</v>
      </c>
      <c r="F46" s="20">
        <v>0.39539999999999997</v>
      </c>
    </row>
    <row r="47" spans="1:6">
      <c r="A47" s="16">
        <v>20102011</v>
      </c>
      <c r="B47" s="29">
        <v>930</v>
      </c>
      <c r="C47" s="18" t="s">
        <v>137</v>
      </c>
      <c r="D47" s="19" t="s">
        <v>138</v>
      </c>
      <c r="E47" s="20">
        <v>4.7699999999999999E-2</v>
      </c>
      <c r="F47" s="20">
        <v>0.19769999999999999</v>
      </c>
    </row>
    <row r="48" spans="1:6">
      <c r="A48" s="16">
        <v>20102011</v>
      </c>
      <c r="B48" s="29">
        <v>940</v>
      </c>
      <c r="C48" s="18" t="s">
        <v>137</v>
      </c>
      <c r="D48" s="19" t="s">
        <v>139</v>
      </c>
      <c r="E48" s="20">
        <v>1.1000000000000001E-3</v>
      </c>
      <c r="F48" s="20">
        <v>0.1759</v>
      </c>
    </row>
    <row r="49" spans="1:6">
      <c r="A49" s="16">
        <v>20102011</v>
      </c>
      <c r="B49" s="29">
        <v>950</v>
      </c>
      <c r="C49" s="18" t="s">
        <v>137</v>
      </c>
      <c r="D49" s="19" t="s">
        <v>140</v>
      </c>
      <c r="E49" s="20">
        <v>3.1899999999999998E-2</v>
      </c>
      <c r="F49" s="20">
        <v>0.2747</v>
      </c>
    </row>
    <row r="50" spans="1:6">
      <c r="A50" s="16">
        <v>20102011</v>
      </c>
      <c r="B50" s="29">
        <v>960</v>
      </c>
      <c r="C50" s="18" t="s">
        <v>137</v>
      </c>
      <c r="D50" s="19" t="s">
        <v>141</v>
      </c>
      <c r="E50" s="20">
        <v>4.58E-2</v>
      </c>
      <c r="F50" s="20">
        <v>0.38429999999999997</v>
      </c>
    </row>
    <row r="51" spans="1:6">
      <c r="A51" s="16">
        <v>20102011</v>
      </c>
      <c r="B51" s="29">
        <v>970</v>
      </c>
      <c r="C51" s="18" t="s">
        <v>142</v>
      </c>
      <c r="D51" s="19" t="s">
        <v>143</v>
      </c>
      <c r="E51" s="20">
        <v>5.2200000000000003E-2</v>
      </c>
      <c r="F51" s="20">
        <v>0.30370000000000003</v>
      </c>
    </row>
    <row r="52" spans="1:6">
      <c r="A52" s="16">
        <v>20102011</v>
      </c>
      <c r="B52" s="29">
        <v>980</v>
      </c>
      <c r="C52" s="18" t="s">
        <v>142</v>
      </c>
      <c r="D52" s="19" t="s">
        <v>144</v>
      </c>
      <c r="E52" s="20">
        <v>5.8900000000000001E-2</v>
      </c>
      <c r="F52" s="20">
        <v>0.1797</v>
      </c>
    </row>
    <row r="53" spans="1:6">
      <c r="A53" s="16">
        <v>20102011</v>
      </c>
      <c r="B53" s="29">
        <v>990</v>
      </c>
      <c r="C53" s="18" t="s">
        <v>142</v>
      </c>
      <c r="D53" s="19" t="s">
        <v>145</v>
      </c>
      <c r="E53" s="20">
        <v>6.2300000000000001E-2</v>
      </c>
      <c r="F53" s="20">
        <v>0.22409999999999999</v>
      </c>
    </row>
    <row r="54" spans="1:6">
      <c r="A54" s="16">
        <v>20102011</v>
      </c>
      <c r="B54" s="17">
        <v>1000</v>
      </c>
      <c r="C54" s="18" t="s">
        <v>142</v>
      </c>
      <c r="D54" s="19" t="s">
        <v>146</v>
      </c>
      <c r="E54" s="20">
        <v>6.6100000000000006E-2</v>
      </c>
      <c r="F54" s="20">
        <v>0.2036</v>
      </c>
    </row>
    <row r="55" spans="1:6">
      <c r="A55" s="16">
        <v>20102011</v>
      </c>
      <c r="B55" s="17">
        <v>1010</v>
      </c>
      <c r="C55" s="18" t="s">
        <v>142</v>
      </c>
      <c r="D55" s="19" t="s">
        <v>147</v>
      </c>
      <c r="E55" s="20">
        <v>0.105</v>
      </c>
      <c r="F55" s="20">
        <v>0.2727</v>
      </c>
    </row>
    <row r="56" spans="1:6">
      <c r="A56" s="16">
        <v>20102011</v>
      </c>
      <c r="B56" s="17">
        <v>1020</v>
      </c>
      <c r="C56" s="18" t="s">
        <v>142</v>
      </c>
      <c r="D56" s="19" t="s">
        <v>148</v>
      </c>
      <c r="E56" s="20">
        <v>3.3599999999999998E-2</v>
      </c>
      <c r="F56" s="20">
        <v>0.24640000000000001</v>
      </c>
    </row>
    <row r="57" spans="1:6">
      <c r="A57" s="16">
        <v>20102011</v>
      </c>
      <c r="B57" s="17">
        <v>1030</v>
      </c>
      <c r="C57" s="18" t="s">
        <v>142</v>
      </c>
      <c r="D57" s="19" t="s">
        <v>149</v>
      </c>
      <c r="E57" s="20">
        <v>3.5099999999999999E-2</v>
      </c>
      <c r="F57" s="20">
        <v>0.15440000000000001</v>
      </c>
    </row>
    <row r="58" spans="1:6">
      <c r="A58" s="16">
        <v>20102011</v>
      </c>
      <c r="B58" s="17">
        <v>1040</v>
      </c>
      <c r="C58" s="18" t="s">
        <v>142</v>
      </c>
      <c r="D58" s="19" t="s">
        <v>150</v>
      </c>
      <c r="E58" s="20">
        <v>7.2099999999999997E-2</v>
      </c>
      <c r="F58" s="20">
        <v>0.20660000000000001</v>
      </c>
    </row>
    <row r="59" spans="1:6">
      <c r="A59" s="16">
        <v>20102011</v>
      </c>
      <c r="B59" s="17">
        <v>1050</v>
      </c>
      <c r="C59" s="18" t="s">
        <v>142</v>
      </c>
      <c r="D59" s="19" t="s">
        <v>151</v>
      </c>
      <c r="E59" s="20">
        <v>4.0599999999999997E-2</v>
      </c>
      <c r="F59" s="20">
        <v>0.25130000000000002</v>
      </c>
    </row>
    <row r="60" spans="1:6">
      <c r="A60" s="16">
        <v>20102011</v>
      </c>
      <c r="B60" s="17">
        <v>1060</v>
      </c>
      <c r="C60" s="18" t="s">
        <v>142</v>
      </c>
      <c r="D60" s="19" t="s">
        <v>152</v>
      </c>
      <c r="E60" s="20">
        <v>0.105</v>
      </c>
      <c r="F60" s="20">
        <v>0.30640000000000001</v>
      </c>
    </row>
    <row r="61" spans="1:6">
      <c r="A61" s="16">
        <v>20102011</v>
      </c>
      <c r="B61" s="17">
        <v>1070</v>
      </c>
      <c r="C61" s="18" t="s">
        <v>142</v>
      </c>
      <c r="D61" s="19" t="s">
        <v>153</v>
      </c>
      <c r="E61" s="20">
        <v>2.1600000000000001E-2</v>
      </c>
      <c r="F61" s="20">
        <v>0.35730000000000001</v>
      </c>
    </row>
    <row r="62" spans="1:6">
      <c r="A62" s="16">
        <v>20102011</v>
      </c>
      <c r="B62" s="17">
        <v>1080</v>
      </c>
      <c r="C62" s="18" t="s">
        <v>142</v>
      </c>
      <c r="D62" s="19" t="s">
        <v>154</v>
      </c>
      <c r="E62" s="20">
        <v>5.4800000000000001E-2</v>
      </c>
      <c r="F62" s="20">
        <v>0.25569999999999998</v>
      </c>
    </row>
    <row r="63" spans="1:6">
      <c r="A63" s="16">
        <v>20102011</v>
      </c>
      <c r="B63" s="17">
        <v>1110</v>
      </c>
      <c r="C63" s="18" t="s">
        <v>142</v>
      </c>
      <c r="D63" s="19" t="s">
        <v>155</v>
      </c>
      <c r="E63" s="20">
        <v>6.5299999999999997E-2</v>
      </c>
      <c r="F63" s="20">
        <v>0.23719999999999999</v>
      </c>
    </row>
    <row r="64" spans="1:6">
      <c r="A64" s="16">
        <v>20102011</v>
      </c>
      <c r="B64" s="17">
        <v>1120</v>
      </c>
      <c r="C64" s="18" t="s">
        <v>142</v>
      </c>
      <c r="D64" s="19" t="s">
        <v>156</v>
      </c>
      <c r="E64" s="20">
        <v>8.9899999999999994E-2</v>
      </c>
      <c r="F64" s="20">
        <v>0.29060000000000002</v>
      </c>
    </row>
    <row r="65" spans="1:6">
      <c r="A65" s="16">
        <v>20102011</v>
      </c>
      <c r="B65" s="17">
        <v>1130</v>
      </c>
      <c r="C65" s="18" t="s">
        <v>142</v>
      </c>
      <c r="D65" s="19" t="s">
        <v>157</v>
      </c>
      <c r="E65" s="20">
        <v>6.3500000000000001E-2</v>
      </c>
      <c r="F65" s="20">
        <v>0.4083</v>
      </c>
    </row>
    <row r="66" spans="1:6">
      <c r="A66" s="16">
        <v>20102011</v>
      </c>
      <c r="B66" s="17">
        <v>1140</v>
      </c>
      <c r="C66" s="18" t="s">
        <v>158</v>
      </c>
      <c r="D66" s="19" t="s">
        <v>159</v>
      </c>
      <c r="E66" s="20">
        <v>-3.2000000000000001E-2</v>
      </c>
      <c r="F66" s="20">
        <v>0.1154</v>
      </c>
    </row>
    <row r="67" spans="1:6">
      <c r="A67" s="16">
        <v>20102011</v>
      </c>
      <c r="B67" s="17">
        <v>1150</v>
      </c>
      <c r="C67" s="18" t="s">
        <v>158</v>
      </c>
      <c r="D67" s="19" t="s">
        <v>372</v>
      </c>
      <c r="E67" s="20">
        <v>4.58E-2</v>
      </c>
      <c r="F67" s="20">
        <v>0.26419999999999999</v>
      </c>
    </row>
    <row r="68" spans="1:6">
      <c r="A68" s="16">
        <v>20102011</v>
      </c>
      <c r="B68" s="17">
        <v>1160</v>
      </c>
      <c r="C68" s="18" t="s">
        <v>158</v>
      </c>
      <c r="D68" s="19" t="s">
        <v>160</v>
      </c>
      <c r="E68" s="20">
        <v>5.16E-2</v>
      </c>
      <c r="F68" s="20">
        <v>0.16880000000000001</v>
      </c>
    </row>
    <row r="69" spans="1:6">
      <c r="A69" s="16">
        <v>20102011</v>
      </c>
      <c r="B69" s="17">
        <v>1180</v>
      </c>
      <c r="C69" s="18" t="s">
        <v>161</v>
      </c>
      <c r="D69" s="19" t="s">
        <v>162</v>
      </c>
      <c r="E69" s="20">
        <v>4.8099999999999997E-2</v>
      </c>
      <c r="F69" s="20">
        <v>0.19009999999999999</v>
      </c>
    </row>
    <row r="70" spans="1:6">
      <c r="A70" s="16">
        <v>20102011</v>
      </c>
      <c r="B70" s="17">
        <v>1195</v>
      </c>
      <c r="C70" s="18" t="s">
        <v>161</v>
      </c>
      <c r="D70" s="19" t="s">
        <v>163</v>
      </c>
      <c r="E70" s="20">
        <v>5.7599999999999998E-2</v>
      </c>
      <c r="F70" s="20">
        <v>0.22450000000000001</v>
      </c>
    </row>
    <row r="71" spans="1:6">
      <c r="A71" s="16">
        <v>20102011</v>
      </c>
      <c r="B71" s="17">
        <v>1220</v>
      </c>
      <c r="C71" s="18" t="s">
        <v>161</v>
      </c>
      <c r="D71" s="19" t="s">
        <v>164</v>
      </c>
      <c r="E71" s="20">
        <v>5.8799999999999998E-2</v>
      </c>
      <c r="F71" s="20">
        <v>0.26640000000000003</v>
      </c>
    </row>
    <row r="72" spans="1:6">
      <c r="A72" s="16">
        <v>20102011</v>
      </c>
      <c r="B72" s="17">
        <v>1330</v>
      </c>
      <c r="C72" s="18" t="s">
        <v>165</v>
      </c>
      <c r="D72" s="19" t="s">
        <v>166</v>
      </c>
      <c r="E72" s="20">
        <v>5.2999999999999999E-2</v>
      </c>
      <c r="F72" s="20">
        <v>0.41089999999999999</v>
      </c>
    </row>
    <row r="73" spans="1:6">
      <c r="A73" s="16">
        <v>20102011</v>
      </c>
      <c r="B73" s="17">
        <v>1340</v>
      </c>
      <c r="C73" s="18" t="s">
        <v>167</v>
      </c>
      <c r="D73" s="19" t="s">
        <v>168</v>
      </c>
      <c r="E73" s="20">
        <v>5.74E-2</v>
      </c>
      <c r="F73" s="20">
        <v>0.71160000000000001</v>
      </c>
    </row>
    <row r="74" spans="1:6">
      <c r="A74" s="16">
        <v>20102011</v>
      </c>
      <c r="B74" s="17">
        <v>1350</v>
      </c>
      <c r="C74" s="18" t="s">
        <v>167</v>
      </c>
      <c r="D74" s="19" t="s">
        <v>169</v>
      </c>
      <c r="E74" s="20">
        <v>2.9399999999999999E-2</v>
      </c>
      <c r="F74" s="20">
        <v>0.20660000000000001</v>
      </c>
    </row>
    <row r="75" spans="1:6">
      <c r="A75" s="16">
        <v>20102011</v>
      </c>
      <c r="B75" s="17">
        <v>1360</v>
      </c>
      <c r="C75" s="18" t="s">
        <v>170</v>
      </c>
      <c r="D75" s="19" t="s">
        <v>171</v>
      </c>
      <c r="E75" s="20">
        <v>3.5000000000000003E-2</v>
      </c>
      <c r="F75" s="20">
        <v>0.1603</v>
      </c>
    </row>
    <row r="76" spans="1:6">
      <c r="A76" s="16">
        <v>20102011</v>
      </c>
      <c r="B76" s="17">
        <v>1380</v>
      </c>
      <c r="C76" s="18" t="s">
        <v>172</v>
      </c>
      <c r="D76" s="19" t="s">
        <v>173</v>
      </c>
      <c r="E76" s="20">
        <v>4.1300000000000003E-2</v>
      </c>
      <c r="F76" s="20">
        <v>0.37909999999999999</v>
      </c>
    </row>
    <row r="77" spans="1:6">
      <c r="A77" s="16">
        <v>20102011</v>
      </c>
      <c r="B77" s="17">
        <v>1390</v>
      </c>
      <c r="C77" s="18" t="s">
        <v>174</v>
      </c>
      <c r="D77" s="19" t="s">
        <v>175</v>
      </c>
      <c r="E77" s="20">
        <v>9.2700000000000005E-2</v>
      </c>
      <c r="F77" s="20">
        <v>0.29870000000000002</v>
      </c>
    </row>
    <row r="78" spans="1:6">
      <c r="A78" s="16">
        <v>20102011</v>
      </c>
      <c r="B78" s="17">
        <v>1400</v>
      </c>
      <c r="C78" s="18" t="s">
        <v>174</v>
      </c>
      <c r="D78" s="19" t="s">
        <v>176</v>
      </c>
      <c r="E78" s="20">
        <v>3.95E-2</v>
      </c>
      <c r="F78" s="20">
        <v>0.24859999999999999</v>
      </c>
    </row>
    <row r="79" spans="1:6">
      <c r="A79" s="16">
        <v>20102011</v>
      </c>
      <c r="B79" s="17">
        <v>1410</v>
      </c>
      <c r="C79" s="18" t="s">
        <v>177</v>
      </c>
      <c r="D79" s="19" t="s">
        <v>178</v>
      </c>
      <c r="E79" s="20">
        <v>9.2200000000000004E-2</v>
      </c>
      <c r="F79" s="20">
        <v>0.2964</v>
      </c>
    </row>
    <row r="80" spans="1:6">
      <c r="A80" s="16">
        <v>20102011</v>
      </c>
      <c r="B80" s="17">
        <v>1420</v>
      </c>
      <c r="C80" s="18" t="s">
        <v>179</v>
      </c>
      <c r="D80" s="19" t="s">
        <v>180</v>
      </c>
      <c r="E80" s="20">
        <v>4.6300000000000001E-2</v>
      </c>
      <c r="F80" s="20">
        <v>0.17749999999999999</v>
      </c>
    </row>
    <row r="81" spans="1:6">
      <c r="A81" s="16">
        <v>20102011</v>
      </c>
      <c r="B81" s="17">
        <v>1430</v>
      </c>
      <c r="C81" s="18" t="s">
        <v>181</v>
      </c>
      <c r="D81" s="19" t="s">
        <v>182</v>
      </c>
      <c r="E81" s="20">
        <v>4.9000000000000002E-2</v>
      </c>
      <c r="F81" s="20">
        <v>0.2147</v>
      </c>
    </row>
    <row r="82" spans="1:6">
      <c r="A82" s="16">
        <v>20102011</v>
      </c>
      <c r="B82" s="17">
        <v>1440</v>
      </c>
      <c r="C82" s="18" t="s">
        <v>181</v>
      </c>
      <c r="D82" s="19" t="s">
        <v>183</v>
      </c>
      <c r="E82" s="20">
        <v>0.105</v>
      </c>
      <c r="F82" s="20">
        <v>0.3785</v>
      </c>
    </row>
    <row r="83" spans="1:6">
      <c r="A83" s="16">
        <v>20102011</v>
      </c>
      <c r="B83" s="17">
        <v>1450</v>
      </c>
      <c r="C83" s="18" t="s">
        <v>184</v>
      </c>
      <c r="D83" s="19" t="s">
        <v>185</v>
      </c>
      <c r="E83" s="20">
        <v>5.9799999999999999E-2</v>
      </c>
      <c r="F83" s="20">
        <v>0.33629999999999999</v>
      </c>
    </row>
    <row r="84" spans="1:6">
      <c r="A84" s="16">
        <v>20102011</v>
      </c>
      <c r="B84" s="17">
        <v>1460</v>
      </c>
      <c r="C84" s="18" t="s">
        <v>184</v>
      </c>
      <c r="D84" s="19" t="s">
        <v>186</v>
      </c>
      <c r="E84" s="20">
        <v>7.1300000000000002E-2</v>
      </c>
      <c r="F84" s="20">
        <v>0.34239999999999998</v>
      </c>
    </row>
    <row r="85" spans="1:6">
      <c r="A85" s="16">
        <v>20102011</v>
      </c>
      <c r="B85" s="17">
        <v>1480</v>
      </c>
      <c r="C85" s="18" t="s">
        <v>184</v>
      </c>
      <c r="D85" s="19" t="s">
        <v>187</v>
      </c>
      <c r="E85" s="20">
        <v>8.0000000000000004E-4</v>
      </c>
      <c r="F85" s="20">
        <v>0.27650000000000002</v>
      </c>
    </row>
    <row r="86" spans="1:6">
      <c r="A86" s="16">
        <v>20102011</v>
      </c>
      <c r="B86" s="17">
        <v>1490</v>
      </c>
      <c r="C86" s="18" t="s">
        <v>184</v>
      </c>
      <c r="D86" s="19" t="s">
        <v>188</v>
      </c>
      <c r="E86" s="20">
        <v>8.5099999999999995E-2</v>
      </c>
      <c r="F86" s="20">
        <v>0.45689999999999997</v>
      </c>
    </row>
    <row r="87" spans="1:6">
      <c r="A87" s="16">
        <v>20102011</v>
      </c>
      <c r="B87" s="17">
        <v>1500</v>
      </c>
      <c r="C87" s="18" t="s">
        <v>184</v>
      </c>
      <c r="D87" s="19" t="s">
        <v>189</v>
      </c>
      <c r="E87" s="20">
        <v>1.5699999999999999E-2</v>
      </c>
      <c r="F87" s="20">
        <v>0.17219999999999999</v>
      </c>
    </row>
    <row r="88" spans="1:6">
      <c r="A88" s="16">
        <v>20102011</v>
      </c>
      <c r="B88" s="17">
        <v>1510</v>
      </c>
      <c r="C88" s="18" t="s">
        <v>190</v>
      </c>
      <c r="D88" s="19" t="s">
        <v>191</v>
      </c>
      <c r="E88" s="20">
        <v>1.8E-3</v>
      </c>
      <c r="F88" s="20">
        <v>0.1946</v>
      </c>
    </row>
    <row r="89" spans="1:6">
      <c r="A89" s="16">
        <v>20102011</v>
      </c>
      <c r="B89" s="17">
        <v>1520</v>
      </c>
      <c r="C89" s="18" t="s">
        <v>192</v>
      </c>
      <c r="D89" s="19" t="s">
        <v>193</v>
      </c>
      <c r="E89" s="20">
        <v>7.8399999999999997E-2</v>
      </c>
      <c r="F89" s="20">
        <v>0.24510000000000001</v>
      </c>
    </row>
    <row r="90" spans="1:6">
      <c r="A90" s="16">
        <v>20102011</v>
      </c>
      <c r="B90" s="17">
        <v>1530</v>
      </c>
      <c r="C90" s="18" t="s">
        <v>192</v>
      </c>
      <c r="D90" s="19" t="s">
        <v>194</v>
      </c>
      <c r="E90" s="20">
        <v>9.1700000000000004E-2</v>
      </c>
      <c r="F90" s="20">
        <v>0.2964</v>
      </c>
    </row>
    <row r="91" spans="1:6">
      <c r="A91" s="16">
        <v>20102011</v>
      </c>
      <c r="B91" s="17">
        <v>1540</v>
      </c>
      <c r="C91" s="18" t="s">
        <v>192</v>
      </c>
      <c r="D91" s="19" t="s">
        <v>195</v>
      </c>
      <c r="E91" s="20">
        <v>0.105</v>
      </c>
      <c r="F91" s="20">
        <v>0.20319999999999999</v>
      </c>
    </row>
    <row r="92" spans="1:6">
      <c r="A92" s="16">
        <v>20102011</v>
      </c>
      <c r="B92" s="17">
        <v>1550</v>
      </c>
      <c r="C92" s="18" t="s">
        <v>196</v>
      </c>
      <c r="D92" s="19" t="s">
        <v>197</v>
      </c>
      <c r="E92" s="20">
        <v>6.0600000000000001E-2</v>
      </c>
      <c r="F92" s="20">
        <v>0.19489999999999999</v>
      </c>
    </row>
    <row r="93" spans="1:6">
      <c r="A93" s="16">
        <v>20102011</v>
      </c>
      <c r="B93" s="17">
        <v>1560</v>
      </c>
      <c r="C93" s="18" t="s">
        <v>196</v>
      </c>
      <c r="D93" s="19" t="s">
        <v>198</v>
      </c>
      <c r="E93" s="20">
        <v>5.5800000000000002E-2</v>
      </c>
      <c r="F93" s="20">
        <v>0.16900000000000001</v>
      </c>
    </row>
    <row r="94" spans="1:6">
      <c r="A94" s="16">
        <v>20102011</v>
      </c>
      <c r="B94" s="17">
        <v>1570</v>
      </c>
      <c r="C94" s="18" t="s">
        <v>196</v>
      </c>
      <c r="D94" s="19" t="s">
        <v>199</v>
      </c>
      <c r="E94" s="20">
        <v>7.0999999999999994E-2</v>
      </c>
      <c r="F94" s="20">
        <v>0.2198</v>
      </c>
    </row>
    <row r="95" spans="1:6">
      <c r="A95" s="16">
        <v>20102011</v>
      </c>
      <c r="B95" s="17">
        <v>1580</v>
      </c>
      <c r="C95" s="18" t="s">
        <v>200</v>
      </c>
      <c r="D95" s="19" t="s">
        <v>201</v>
      </c>
      <c r="E95" s="20">
        <v>4.8000000000000001E-2</v>
      </c>
      <c r="F95" s="20">
        <v>0.19939999999999999</v>
      </c>
    </row>
    <row r="96" spans="1:6">
      <c r="A96" s="16">
        <v>20102011</v>
      </c>
      <c r="B96" s="17">
        <v>1590</v>
      </c>
      <c r="C96" s="18" t="s">
        <v>200</v>
      </c>
      <c r="D96" s="19" t="s">
        <v>202</v>
      </c>
      <c r="E96" s="20">
        <v>3.6999999999999998E-2</v>
      </c>
      <c r="F96" s="20">
        <v>0.36080000000000001</v>
      </c>
    </row>
    <row r="97" spans="1:6">
      <c r="A97" s="16">
        <v>20102011</v>
      </c>
      <c r="B97" s="17">
        <v>1600</v>
      </c>
      <c r="C97" s="18" t="s">
        <v>200</v>
      </c>
      <c r="D97" s="19" t="s">
        <v>203</v>
      </c>
      <c r="E97" s="20">
        <v>0.105</v>
      </c>
      <c r="F97" s="20">
        <v>0.40350000000000003</v>
      </c>
    </row>
    <row r="98" spans="1:6">
      <c r="A98" s="16">
        <v>20102011</v>
      </c>
      <c r="B98" s="17">
        <v>1620</v>
      </c>
      <c r="C98" s="18" t="s">
        <v>200</v>
      </c>
      <c r="D98" s="19" t="s">
        <v>204</v>
      </c>
      <c r="E98" s="20">
        <v>9.3399999999999997E-2</v>
      </c>
      <c r="F98" s="20">
        <v>0.72430000000000005</v>
      </c>
    </row>
    <row r="99" spans="1:6">
      <c r="A99" s="16">
        <v>20102011</v>
      </c>
      <c r="B99" s="17">
        <v>1750</v>
      </c>
      <c r="C99" s="18" t="s">
        <v>200</v>
      </c>
      <c r="D99" s="19" t="s">
        <v>205</v>
      </c>
      <c r="E99" s="20">
        <v>0.105</v>
      </c>
      <c r="F99" s="20">
        <v>0.34489999999999998</v>
      </c>
    </row>
    <row r="100" spans="1:6">
      <c r="A100" s="16">
        <v>20102011</v>
      </c>
      <c r="B100" s="17">
        <v>1760</v>
      </c>
      <c r="C100" s="18" t="s">
        <v>200</v>
      </c>
      <c r="D100" s="19" t="s">
        <v>206</v>
      </c>
      <c r="E100" s="20">
        <v>1.7299999999999999E-2</v>
      </c>
      <c r="F100" s="20">
        <v>0.4783</v>
      </c>
    </row>
    <row r="101" spans="1:6">
      <c r="A101" s="16">
        <v>20102011</v>
      </c>
      <c r="B101" s="17">
        <v>1780</v>
      </c>
      <c r="C101" s="18" t="s">
        <v>207</v>
      </c>
      <c r="D101" s="19" t="s">
        <v>208</v>
      </c>
      <c r="E101" s="20">
        <v>4.5600000000000002E-2</v>
      </c>
      <c r="F101" s="20">
        <v>0.2606</v>
      </c>
    </row>
    <row r="102" spans="1:6">
      <c r="A102" s="16">
        <v>20102011</v>
      </c>
      <c r="B102" s="17">
        <v>1790</v>
      </c>
      <c r="C102" s="18" t="s">
        <v>207</v>
      </c>
      <c r="D102" s="19" t="s">
        <v>209</v>
      </c>
      <c r="E102" s="20">
        <v>7.7499999999999999E-2</v>
      </c>
      <c r="F102" s="20">
        <v>0.23949999999999999</v>
      </c>
    </row>
    <row r="103" spans="1:6">
      <c r="A103" s="16">
        <v>20102011</v>
      </c>
      <c r="B103" s="17">
        <v>1810</v>
      </c>
      <c r="C103" s="18" t="s">
        <v>207</v>
      </c>
      <c r="D103" s="19" t="s">
        <v>210</v>
      </c>
      <c r="E103" s="20">
        <v>8.9999999999999998E-4</v>
      </c>
      <c r="F103" s="20">
        <v>0.1575</v>
      </c>
    </row>
    <row r="104" spans="1:6">
      <c r="A104" s="16">
        <v>20102011</v>
      </c>
      <c r="B104" s="17">
        <v>1828</v>
      </c>
      <c r="C104" s="18" t="s">
        <v>211</v>
      </c>
      <c r="D104" s="19" t="s">
        <v>212</v>
      </c>
      <c r="E104" s="20">
        <v>2.35E-2</v>
      </c>
      <c r="F104" s="20">
        <v>0.2203</v>
      </c>
    </row>
    <row r="105" spans="1:6">
      <c r="A105" s="16">
        <v>20102011</v>
      </c>
      <c r="B105" s="17">
        <v>1850</v>
      </c>
      <c r="C105" s="18" t="s">
        <v>211</v>
      </c>
      <c r="D105" s="19" t="s">
        <v>213</v>
      </c>
      <c r="E105" s="20">
        <v>7.4399999999999994E-2</v>
      </c>
      <c r="F105" s="20">
        <v>0.32790000000000002</v>
      </c>
    </row>
    <row r="106" spans="1:6">
      <c r="A106" s="16">
        <v>20102011</v>
      </c>
      <c r="B106" s="17">
        <v>1860</v>
      </c>
      <c r="C106" s="18" t="s">
        <v>211</v>
      </c>
      <c r="D106" s="19" t="s">
        <v>373</v>
      </c>
      <c r="E106" s="20">
        <v>4.0399999999999998E-2</v>
      </c>
      <c r="F106" s="20">
        <v>0.21659999999999999</v>
      </c>
    </row>
    <row r="107" spans="1:6">
      <c r="A107" s="16">
        <v>20102011</v>
      </c>
      <c r="B107" s="17">
        <v>1870</v>
      </c>
      <c r="C107" s="18" t="s">
        <v>211</v>
      </c>
      <c r="D107" s="19" t="s">
        <v>214</v>
      </c>
      <c r="E107" s="20">
        <v>3.6700000000000003E-2</v>
      </c>
      <c r="F107" s="20">
        <v>0.29799999999999999</v>
      </c>
    </row>
    <row r="108" spans="1:6">
      <c r="A108" s="16">
        <v>20102011</v>
      </c>
      <c r="B108" s="17">
        <v>1980</v>
      </c>
      <c r="C108" s="18" t="s">
        <v>215</v>
      </c>
      <c r="D108" s="19" t="s">
        <v>216</v>
      </c>
      <c r="E108" s="20">
        <v>3.15E-2</v>
      </c>
      <c r="F108" s="20">
        <v>0.32229999999999998</v>
      </c>
    </row>
    <row r="109" spans="1:6">
      <c r="A109" s="16">
        <v>20102011</v>
      </c>
      <c r="B109" s="17">
        <v>1990</v>
      </c>
      <c r="C109" s="18" t="s">
        <v>215</v>
      </c>
      <c r="D109" s="19" t="s">
        <v>217</v>
      </c>
      <c r="E109" s="20">
        <v>5.91E-2</v>
      </c>
      <c r="F109" s="20">
        <v>0.2223</v>
      </c>
    </row>
    <row r="110" spans="1:6">
      <c r="A110" s="16">
        <v>20102011</v>
      </c>
      <c r="B110" s="17">
        <v>2000</v>
      </c>
      <c r="C110" s="18" t="s">
        <v>215</v>
      </c>
      <c r="D110" s="19" t="s">
        <v>218</v>
      </c>
      <c r="E110" s="20">
        <v>5.45E-2</v>
      </c>
      <c r="F110" s="20">
        <v>0.20250000000000001</v>
      </c>
    </row>
    <row r="111" spans="1:6">
      <c r="A111" s="16">
        <v>20102011</v>
      </c>
      <c r="B111" s="17">
        <v>2010</v>
      </c>
      <c r="C111" s="18" t="s">
        <v>219</v>
      </c>
      <c r="D111" s="19" t="s">
        <v>220</v>
      </c>
      <c r="E111" s="20">
        <v>5.2200000000000003E-2</v>
      </c>
      <c r="F111" s="20">
        <v>0.35220000000000001</v>
      </c>
    </row>
    <row r="112" spans="1:6">
      <c r="A112" s="16">
        <v>20102011</v>
      </c>
      <c r="B112" s="17">
        <v>2020</v>
      </c>
      <c r="C112" s="18" t="s">
        <v>221</v>
      </c>
      <c r="D112" s="19" t="s">
        <v>222</v>
      </c>
      <c r="E112" s="20">
        <v>4.3099999999999999E-2</v>
      </c>
      <c r="F112" s="20">
        <v>0.2142</v>
      </c>
    </row>
    <row r="113" spans="1:6">
      <c r="A113" s="16">
        <v>20102011</v>
      </c>
      <c r="B113" s="17">
        <v>2035</v>
      </c>
      <c r="C113" s="18" t="s">
        <v>223</v>
      </c>
      <c r="D113" s="19" t="s">
        <v>224</v>
      </c>
      <c r="E113" s="20">
        <v>6.2600000000000003E-2</v>
      </c>
      <c r="F113" s="20">
        <v>0.2049</v>
      </c>
    </row>
    <row r="114" spans="1:6">
      <c r="A114" s="16">
        <v>20102011</v>
      </c>
      <c r="B114" s="17">
        <v>2055</v>
      </c>
      <c r="C114" s="18" t="s">
        <v>223</v>
      </c>
      <c r="D114" s="19" t="s">
        <v>225</v>
      </c>
      <c r="E114" s="20">
        <v>7.6700000000000004E-2</v>
      </c>
      <c r="F114" s="20">
        <v>0.28999999999999998</v>
      </c>
    </row>
    <row r="115" spans="1:6">
      <c r="A115" s="16">
        <v>20102011</v>
      </c>
      <c r="B115" s="17">
        <v>2070</v>
      </c>
      <c r="C115" s="18" t="s">
        <v>223</v>
      </c>
      <c r="D115" s="19" t="s">
        <v>226</v>
      </c>
      <c r="E115" s="20">
        <v>7.4399999999999994E-2</v>
      </c>
      <c r="F115" s="20">
        <v>0.38800000000000001</v>
      </c>
    </row>
    <row r="116" spans="1:6">
      <c r="A116" s="16">
        <v>20102011</v>
      </c>
      <c r="B116" s="17">
        <v>2180</v>
      </c>
      <c r="C116" s="18" t="s">
        <v>227</v>
      </c>
      <c r="D116" s="19" t="s">
        <v>228</v>
      </c>
      <c r="E116" s="20">
        <v>0.105</v>
      </c>
      <c r="F116" s="20">
        <v>0.2727</v>
      </c>
    </row>
    <row r="117" spans="1:6">
      <c r="A117" s="16">
        <v>20102011</v>
      </c>
      <c r="B117" s="17">
        <v>2190</v>
      </c>
      <c r="C117" s="18" t="s">
        <v>227</v>
      </c>
      <c r="D117" s="19" t="s">
        <v>229</v>
      </c>
      <c r="E117" s="20">
        <v>4.8599999999999997E-2</v>
      </c>
      <c r="F117" s="20">
        <v>0.36230000000000001</v>
      </c>
    </row>
    <row r="118" spans="1:6">
      <c r="A118" s="16">
        <v>20102011</v>
      </c>
      <c r="B118" s="17">
        <v>2395</v>
      </c>
      <c r="C118" s="18" t="s">
        <v>230</v>
      </c>
      <c r="D118" s="19" t="s">
        <v>231</v>
      </c>
      <c r="E118" s="20">
        <v>4.3799999999999999E-2</v>
      </c>
      <c r="F118" s="20">
        <v>0.22900000000000001</v>
      </c>
    </row>
    <row r="119" spans="1:6">
      <c r="A119" s="16">
        <v>20102011</v>
      </c>
      <c r="B119" s="17">
        <v>2405</v>
      </c>
      <c r="C119" s="18" t="s">
        <v>230</v>
      </c>
      <c r="D119" s="19" t="s">
        <v>232</v>
      </c>
      <c r="E119" s="20">
        <v>0.105</v>
      </c>
      <c r="F119" s="20">
        <v>0.31019999999999998</v>
      </c>
    </row>
    <row r="120" spans="1:6">
      <c r="A120" s="16">
        <v>20102011</v>
      </c>
      <c r="B120" s="17">
        <v>2505</v>
      </c>
      <c r="C120" s="18" t="s">
        <v>230</v>
      </c>
      <c r="D120" s="19" t="s">
        <v>233</v>
      </c>
      <c r="E120" s="20">
        <v>2.3099999999999999E-2</v>
      </c>
      <c r="F120" s="20">
        <v>0.23180000000000001</v>
      </c>
    </row>
    <row r="121" spans="1:6">
      <c r="A121" s="16">
        <v>20102011</v>
      </c>
      <c r="B121" s="17">
        <v>2515</v>
      </c>
      <c r="C121" s="18" t="s">
        <v>230</v>
      </c>
      <c r="D121" s="19" t="s">
        <v>234</v>
      </c>
      <c r="E121" s="20">
        <v>6.1699999999999998E-2</v>
      </c>
      <c r="F121" s="20">
        <v>0.31240000000000001</v>
      </c>
    </row>
    <row r="122" spans="1:6">
      <c r="A122" s="16">
        <v>20102011</v>
      </c>
      <c r="B122" s="17">
        <v>2520</v>
      </c>
      <c r="C122" s="18" t="s">
        <v>235</v>
      </c>
      <c r="D122" s="19" t="s">
        <v>236</v>
      </c>
      <c r="E122" s="20">
        <v>4.8399999999999999E-2</v>
      </c>
      <c r="F122" s="20">
        <v>0.311</v>
      </c>
    </row>
    <row r="123" spans="1:6">
      <c r="A123" s="16">
        <v>20102011</v>
      </c>
      <c r="B123" s="17">
        <v>2530</v>
      </c>
      <c r="C123" s="18" t="s">
        <v>235</v>
      </c>
      <c r="D123" s="19" t="s">
        <v>237</v>
      </c>
      <c r="E123" s="20">
        <v>3.56E-2</v>
      </c>
      <c r="F123" s="20">
        <v>0.25040000000000001</v>
      </c>
    </row>
    <row r="124" spans="1:6">
      <c r="A124" s="16">
        <v>20102011</v>
      </c>
      <c r="B124" s="17">
        <v>2535</v>
      </c>
      <c r="C124" s="18" t="s">
        <v>235</v>
      </c>
      <c r="D124" s="19" t="s">
        <v>238</v>
      </c>
      <c r="E124" s="20">
        <v>1.8100000000000002E-2</v>
      </c>
      <c r="F124" s="20">
        <v>0.1265</v>
      </c>
    </row>
    <row r="125" spans="1:6">
      <c r="A125" s="16">
        <v>20102011</v>
      </c>
      <c r="B125" s="17">
        <v>2540</v>
      </c>
      <c r="C125" s="18" t="s">
        <v>235</v>
      </c>
      <c r="D125" s="19" t="s">
        <v>239</v>
      </c>
      <c r="E125" s="20">
        <v>4.4400000000000002E-2</v>
      </c>
      <c r="F125" s="20">
        <v>0.2243</v>
      </c>
    </row>
    <row r="126" spans="1:6">
      <c r="A126" s="16">
        <v>20102011</v>
      </c>
      <c r="B126" s="17">
        <v>2560</v>
      </c>
      <c r="C126" s="18" t="s">
        <v>235</v>
      </c>
      <c r="D126" s="19" t="s">
        <v>240</v>
      </c>
      <c r="E126" s="20">
        <v>1.3299999999999999E-2</v>
      </c>
      <c r="F126" s="20">
        <v>0.35070000000000001</v>
      </c>
    </row>
    <row r="127" spans="1:6">
      <c r="A127" s="16">
        <v>20102011</v>
      </c>
      <c r="B127" s="17">
        <v>2570</v>
      </c>
      <c r="C127" s="18" t="s">
        <v>235</v>
      </c>
      <c r="D127" s="19" t="s">
        <v>241</v>
      </c>
      <c r="E127" s="20">
        <v>2.53E-2</v>
      </c>
      <c r="F127" s="20">
        <v>0.2601</v>
      </c>
    </row>
    <row r="128" spans="1:6">
      <c r="A128" s="16">
        <v>20102011</v>
      </c>
      <c r="B128" s="17">
        <v>2580</v>
      </c>
      <c r="C128" s="18" t="s">
        <v>242</v>
      </c>
      <c r="D128" s="19" t="s">
        <v>243</v>
      </c>
      <c r="E128" s="20">
        <v>2.3199999999999998E-2</v>
      </c>
      <c r="F128" s="20">
        <v>0.16639999999999999</v>
      </c>
    </row>
    <row r="129" spans="1:6">
      <c r="A129" s="16">
        <v>20102011</v>
      </c>
      <c r="B129" s="17">
        <v>2590</v>
      </c>
      <c r="C129" s="18" t="s">
        <v>242</v>
      </c>
      <c r="D129" s="19" t="s">
        <v>244</v>
      </c>
      <c r="E129" s="20">
        <v>4.4200000000000003E-2</v>
      </c>
      <c r="F129" s="20">
        <v>0.2238</v>
      </c>
    </row>
    <row r="130" spans="1:6">
      <c r="A130" s="16">
        <v>20102011</v>
      </c>
      <c r="B130" s="17">
        <v>2600</v>
      </c>
      <c r="C130" s="18" t="s">
        <v>245</v>
      </c>
      <c r="D130" s="19" t="s">
        <v>246</v>
      </c>
      <c r="E130" s="20">
        <v>6.5299999999999997E-2</v>
      </c>
      <c r="F130" s="20">
        <v>0.19170000000000001</v>
      </c>
    </row>
    <row r="131" spans="1:6">
      <c r="A131" s="16">
        <v>20102011</v>
      </c>
      <c r="B131" s="17">
        <v>2610</v>
      </c>
      <c r="C131" s="18" t="s">
        <v>245</v>
      </c>
      <c r="D131" s="19" t="s">
        <v>247</v>
      </c>
      <c r="E131" s="20">
        <v>5.57E-2</v>
      </c>
      <c r="F131" s="20">
        <v>0.34360000000000002</v>
      </c>
    </row>
    <row r="132" spans="1:6">
      <c r="A132" s="16">
        <v>20102011</v>
      </c>
      <c r="B132" s="17">
        <v>2620</v>
      </c>
      <c r="C132" s="18" t="s">
        <v>248</v>
      </c>
      <c r="D132" s="19" t="s">
        <v>249</v>
      </c>
      <c r="E132" s="20">
        <v>2.87E-2</v>
      </c>
      <c r="F132" s="20">
        <v>0.21909999999999999</v>
      </c>
    </row>
    <row r="133" spans="1:6">
      <c r="A133" s="16">
        <v>20102011</v>
      </c>
      <c r="B133" s="17">
        <v>2630</v>
      </c>
      <c r="C133" s="18" t="s">
        <v>250</v>
      </c>
      <c r="D133" s="19" t="s">
        <v>251</v>
      </c>
      <c r="E133" s="20">
        <v>3.9300000000000002E-2</v>
      </c>
      <c r="F133" s="20">
        <v>0.37330000000000002</v>
      </c>
    </row>
    <row r="134" spans="1:6">
      <c r="A134" s="16">
        <v>20102011</v>
      </c>
      <c r="B134" s="17">
        <v>2640</v>
      </c>
      <c r="C134" s="18" t="s">
        <v>252</v>
      </c>
      <c r="D134" s="19" t="s">
        <v>253</v>
      </c>
      <c r="E134" s="20">
        <v>3.1300000000000001E-2</v>
      </c>
      <c r="F134" s="20">
        <v>0.2185</v>
      </c>
    </row>
    <row r="135" spans="1:6">
      <c r="A135" s="16">
        <v>20102011</v>
      </c>
      <c r="B135" s="17">
        <v>2650</v>
      </c>
      <c r="C135" s="18" t="s">
        <v>254</v>
      </c>
      <c r="D135" s="19" t="s">
        <v>255</v>
      </c>
      <c r="E135" s="20">
        <v>2.29E-2</v>
      </c>
      <c r="F135" s="20">
        <v>0.21790000000000001</v>
      </c>
    </row>
    <row r="136" spans="1:6">
      <c r="A136" s="16">
        <v>20102011</v>
      </c>
      <c r="B136" s="17">
        <v>2660</v>
      </c>
      <c r="C136" s="18" t="s">
        <v>256</v>
      </c>
      <c r="D136" s="19" t="s">
        <v>257</v>
      </c>
      <c r="E136" s="20">
        <v>7.1000000000000004E-3</v>
      </c>
      <c r="F136" s="20">
        <v>0.1351</v>
      </c>
    </row>
    <row r="137" spans="1:6">
      <c r="A137" s="16">
        <v>20102011</v>
      </c>
      <c r="B137" s="17">
        <v>2670</v>
      </c>
      <c r="C137" s="18" t="s">
        <v>256</v>
      </c>
      <c r="D137" s="19" t="s">
        <v>258</v>
      </c>
      <c r="E137" s="20">
        <v>4.6399999999999997E-2</v>
      </c>
      <c r="F137" s="20">
        <v>0.24379999999999999</v>
      </c>
    </row>
    <row r="138" spans="1:6">
      <c r="A138" s="16">
        <v>20102011</v>
      </c>
      <c r="B138" s="17">
        <v>2680</v>
      </c>
      <c r="C138" s="18" t="s">
        <v>256</v>
      </c>
      <c r="D138" s="19" t="s">
        <v>259</v>
      </c>
      <c r="E138" s="20">
        <v>0.105</v>
      </c>
      <c r="F138" s="20">
        <v>0.29859999999999998</v>
      </c>
    </row>
    <row r="139" spans="1:6">
      <c r="A139" s="16">
        <v>20102011</v>
      </c>
      <c r="B139" s="17">
        <v>2690</v>
      </c>
      <c r="C139" s="18" t="s">
        <v>260</v>
      </c>
      <c r="D139" s="19" t="s">
        <v>261</v>
      </c>
      <c r="E139" s="20">
        <v>5.6399999999999999E-2</v>
      </c>
      <c r="F139" s="20">
        <v>0.2334</v>
      </c>
    </row>
    <row r="140" spans="1:6">
      <c r="A140" s="16">
        <v>20102011</v>
      </c>
      <c r="B140" s="17">
        <v>2700</v>
      </c>
      <c r="C140" s="18" t="s">
        <v>260</v>
      </c>
      <c r="D140" s="19" t="s">
        <v>262</v>
      </c>
      <c r="E140" s="20">
        <v>8.9300000000000004E-2</v>
      </c>
      <c r="F140" s="20">
        <v>0.27639999999999998</v>
      </c>
    </row>
    <row r="141" spans="1:6">
      <c r="A141" s="16">
        <v>20102011</v>
      </c>
      <c r="B141" s="17">
        <v>2710</v>
      </c>
      <c r="C141" s="18" t="s">
        <v>263</v>
      </c>
      <c r="D141" s="19" t="s">
        <v>264</v>
      </c>
      <c r="E141" s="20">
        <v>3.85E-2</v>
      </c>
      <c r="F141" s="20">
        <v>0.19389999999999999</v>
      </c>
    </row>
    <row r="142" spans="1:6">
      <c r="A142" s="16">
        <v>20102011</v>
      </c>
      <c r="B142" s="17">
        <v>2720</v>
      </c>
      <c r="C142" s="18" t="s">
        <v>263</v>
      </c>
      <c r="D142" s="19" t="s">
        <v>265</v>
      </c>
      <c r="E142" s="20">
        <v>4.7100000000000003E-2</v>
      </c>
      <c r="F142" s="20">
        <v>0.32940000000000003</v>
      </c>
    </row>
    <row r="143" spans="1:6">
      <c r="A143" s="16">
        <v>20102011</v>
      </c>
      <c r="B143" s="17">
        <v>2730</v>
      </c>
      <c r="C143" s="18" t="s">
        <v>266</v>
      </c>
      <c r="D143" s="19" t="s">
        <v>267</v>
      </c>
      <c r="E143" s="20">
        <v>3.1699999999999999E-2</v>
      </c>
      <c r="F143" s="20">
        <v>0.27010000000000001</v>
      </c>
    </row>
    <row r="144" spans="1:6">
      <c r="A144" s="16">
        <v>20102011</v>
      </c>
      <c r="B144" s="17">
        <v>2740</v>
      </c>
      <c r="C144" s="18" t="s">
        <v>266</v>
      </c>
      <c r="D144" s="19" t="s">
        <v>268</v>
      </c>
      <c r="E144" s="20">
        <v>3.5700000000000003E-2</v>
      </c>
      <c r="F144" s="20">
        <v>0.23100000000000001</v>
      </c>
    </row>
    <row r="145" spans="1:6">
      <c r="A145" s="16">
        <v>20102011</v>
      </c>
      <c r="B145" s="17">
        <v>2750</v>
      </c>
      <c r="C145" s="18" t="s">
        <v>266</v>
      </c>
      <c r="D145" s="19" t="s">
        <v>269</v>
      </c>
      <c r="E145" s="20">
        <v>5.2299999999999999E-2</v>
      </c>
      <c r="F145" s="20">
        <v>0.28339999999999999</v>
      </c>
    </row>
    <row r="146" spans="1:6">
      <c r="A146" s="16">
        <v>20102011</v>
      </c>
      <c r="B146" s="17">
        <v>2760</v>
      </c>
      <c r="C146" s="18" t="s">
        <v>270</v>
      </c>
      <c r="D146" s="19" t="s">
        <v>271</v>
      </c>
      <c r="E146" s="20">
        <v>2.9100000000000001E-2</v>
      </c>
      <c r="F146" s="20">
        <v>0.1789</v>
      </c>
    </row>
    <row r="147" spans="1:6">
      <c r="A147" s="16">
        <v>20102011</v>
      </c>
      <c r="B147" s="17">
        <v>2770</v>
      </c>
      <c r="C147" s="18" t="s">
        <v>270</v>
      </c>
      <c r="D147" s="19" t="s">
        <v>272</v>
      </c>
      <c r="E147" s="20">
        <v>2.8799999999999999E-2</v>
      </c>
      <c r="F147" s="20">
        <v>0.17710000000000001</v>
      </c>
    </row>
    <row r="148" spans="1:6">
      <c r="A148" s="16">
        <v>20102011</v>
      </c>
      <c r="B148" s="17">
        <v>2780</v>
      </c>
      <c r="C148" s="18" t="s">
        <v>270</v>
      </c>
      <c r="D148" s="19" t="s">
        <v>273</v>
      </c>
      <c r="E148" s="20">
        <v>1.8200000000000001E-2</v>
      </c>
      <c r="F148" s="20">
        <v>0.254</v>
      </c>
    </row>
    <row r="149" spans="1:6">
      <c r="A149" s="16">
        <v>20102011</v>
      </c>
      <c r="B149" s="17">
        <v>2790</v>
      </c>
      <c r="C149" s="18" t="s">
        <v>274</v>
      </c>
      <c r="D149" s="19" t="s">
        <v>275</v>
      </c>
      <c r="E149" s="20">
        <v>4.6699999999999998E-2</v>
      </c>
      <c r="F149" s="20">
        <v>0.29570000000000002</v>
      </c>
    </row>
    <row r="150" spans="1:6">
      <c r="A150" s="16">
        <v>20102011</v>
      </c>
      <c r="B150" s="17">
        <v>2800</v>
      </c>
      <c r="C150" s="18" t="s">
        <v>274</v>
      </c>
      <c r="D150" s="19" t="s">
        <v>276</v>
      </c>
      <c r="E150" s="20">
        <v>0.105</v>
      </c>
      <c r="F150" s="20">
        <v>0.3306</v>
      </c>
    </row>
    <row r="151" spans="1:6">
      <c r="A151" s="16">
        <v>20102011</v>
      </c>
      <c r="B151" s="17">
        <v>2810</v>
      </c>
      <c r="C151" s="18" t="s">
        <v>274</v>
      </c>
      <c r="D151" s="19" t="s">
        <v>277</v>
      </c>
      <c r="E151" s="20">
        <v>2.9100000000000001E-2</v>
      </c>
      <c r="F151" s="20">
        <v>0.27210000000000001</v>
      </c>
    </row>
    <row r="152" spans="1:6">
      <c r="A152" s="16">
        <v>20102011</v>
      </c>
      <c r="B152" s="17">
        <v>2820</v>
      </c>
      <c r="C152" s="18" t="s">
        <v>278</v>
      </c>
      <c r="D152" s="19" t="s">
        <v>279</v>
      </c>
      <c r="E152" s="20">
        <v>8.9800000000000005E-2</v>
      </c>
      <c r="F152" s="20">
        <v>0.75719999999999998</v>
      </c>
    </row>
    <row r="153" spans="1:6">
      <c r="A153" s="16">
        <v>20102011</v>
      </c>
      <c r="B153" s="17">
        <v>2830</v>
      </c>
      <c r="C153" s="18" t="s">
        <v>280</v>
      </c>
      <c r="D153" s="19" t="s">
        <v>281</v>
      </c>
      <c r="E153" s="20">
        <v>7.0199999999999999E-2</v>
      </c>
      <c r="F153" s="20">
        <v>0.218</v>
      </c>
    </row>
    <row r="154" spans="1:6">
      <c r="A154" s="16">
        <v>20102011</v>
      </c>
      <c r="B154" s="17">
        <v>2840</v>
      </c>
      <c r="C154" s="18" t="s">
        <v>280</v>
      </c>
      <c r="D154" s="19" t="s">
        <v>282</v>
      </c>
      <c r="E154" s="20">
        <v>8.3599999999999994E-2</v>
      </c>
      <c r="F154" s="20">
        <v>0.27079999999999999</v>
      </c>
    </row>
    <row r="155" spans="1:6">
      <c r="A155" s="16">
        <v>20102011</v>
      </c>
      <c r="B155" s="17">
        <v>2862</v>
      </c>
      <c r="C155" s="18" t="s">
        <v>283</v>
      </c>
      <c r="D155" s="19" t="s">
        <v>284</v>
      </c>
      <c r="E155" s="20">
        <v>3.5000000000000001E-3</v>
      </c>
      <c r="F155" s="20">
        <v>2.2100000000000002E-2</v>
      </c>
    </row>
    <row r="156" spans="1:6">
      <c r="A156" s="16">
        <v>20102011</v>
      </c>
      <c r="B156" s="17">
        <v>2865</v>
      </c>
      <c r="C156" s="18" t="s">
        <v>283</v>
      </c>
      <c r="D156" s="19" t="s">
        <v>285</v>
      </c>
      <c r="E156" s="20">
        <v>8.0000000000000002E-3</v>
      </c>
      <c r="F156" s="20">
        <v>0.3291</v>
      </c>
    </row>
    <row r="157" spans="1:6">
      <c r="A157" s="16">
        <v>20102011</v>
      </c>
      <c r="B157" s="17">
        <v>3000</v>
      </c>
      <c r="C157" s="18" t="s">
        <v>286</v>
      </c>
      <c r="D157" s="19" t="s">
        <v>287</v>
      </c>
      <c r="E157" s="20">
        <v>0.105</v>
      </c>
      <c r="F157" s="20">
        <v>0.4899</v>
      </c>
    </row>
    <row r="158" spans="1:6">
      <c r="A158" s="16">
        <v>20102011</v>
      </c>
      <c r="B158" s="17">
        <v>3010</v>
      </c>
      <c r="C158" s="18" t="s">
        <v>288</v>
      </c>
      <c r="D158" s="19" t="s">
        <v>289</v>
      </c>
      <c r="E158" s="20">
        <v>3.0700000000000002E-2</v>
      </c>
      <c r="F158" s="20">
        <v>0.18190000000000001</v>
      </c>
    </row>
    <row r="159" spans="1:6">
      <c r="A159" s="16">
        <v>20102011</v>
      </c>
      <c r="B159" s="17">
        <v>3020</v>
      </c>
      <c r="C159" s="18" t="s">
        <v>288</v>
      </c>
      <c r="D159" s="19" t="s">
        <v>290</v>
      </c>
      <c r="E159" s="20">
        <v>5.2200000000000003E-2</v>
      </c>
      <c r="F159" s="20">
        <v>0.186</v>
      </c>
    </row>
    <row r="160" spans="1:6">
      <c r="A160" s="16">
        <v>20102011</v>
      </c>
      <c r="B160" s="17">
        <v>3030</v>
      </c>
      <c r="C160" s="18" t="s">
        <v>291</v>
      </c>
      <c r="D160" s="19" t="s">
        <v>292</v>
      </c>
      <c r="E160" s="20">
        <v>0.05</v>
      </c>
      <c r="F160" s="20">
        <v>0.28289999999999998</v>
      </c>
    </row>
    <row r="161" spans="1:6">
      <c r="A161" s="16">
        <v>20102011</v>
      </c>
      <c r="B161" s="17">
        <v>3040</v>
      </c>
      <c r="C161" s="18" t="s">
        <v>291</v>
      </c>
      <c r="D161" s="19" t="s">
        <v>293</v>
      </c>
      <c r="E161" s="20">
        <v>7.1900000000000006E-2</v>
      </c>
      <c r="F161" s="20">
        <v>0.39829999999999999</v>
      </c>
    </row>
    <row r="162" spans="1:6">
      <c r="A162" s="16">
        <v>20102011</v>
      </c>
      <c r="B162" s="17">
        <v>3050</v>
      </c>
      <c r="C162" s="18" t="s">
        <v>291</v>
      </c>
      <c r="D162" s="19" t="s">
        <v>294</v>
      </c>
      <c r="E162" s="20">
        <v>4.1300000000000003E-2</v>
      </c>
      <c r="F162" s="20">
        <v>0.56620000000000004</v>
      </c>
    </row>
    <row r="163" spans="1:6">
      <c r="A163" s="16">
        <v>20102011</v>
      </c>
      <c r="B163" s="17">
        <v>3060</v>
      </c>
      <c r="C163" s="18" t="s">
        <v>291</v>
      </c>
      <c r="D163" s="19" t="s">
        <v>295</v>
      </c>
      <c r="E163" s="20">
        <v>9.5399999999999999E-2</v>
      </c>
      <c r="F163" s="20">
        <v>0.4279</v>
      </c>
    </row>
    <row r="164" spans="1:6">
      <c r="A164" s="16">
        <v>20102011</v>
      </c>
      <c r="B164" s="17">
        <v>3070</v>
      </c>
      <c r="C164" s="18" t="s">
        <v>291</v>
      </c>
      <c r="D164" s="19" t="s">
        <v>296</v>
      </c>
      <c r="E164" s="20">
        <v>7.8899999999999998E-2</v>
      </c>
      <c r="F164" s="20">
        <v>0.43319999999999997</v>
      </c>
    </row>
    <row r="165" spans="1:6">
      <c r="A165" s="16">
        <v>20102011</v>
      </c>
      <c r="B165" s="17">
        <v>3080</v>
      </c>
      <c r="C165" s="18" t="s">
        <v>297</v>
      </c>
      <c r="D165" s="19" t="s">
        <v>298</v>
      </c>
      <c r="E165" s="20">
        <v>3.9800000000000002E-2</v>
      </c>
      <c r="F165" s="20">
        <v>0.19689999999999999</v>
      </c>
    </row>
    <row r="166" spans="1:6">
      <c r="A166" s="16">
        <v>20102011</v>
      </c>
      <c r="B166" s="17">
        <v>3085</v>
      </c>
      <c r="C166" s="18" t="s">
        <v>297</v>
      </c>
      <c r="D166" s="19" t="s">
        <v>299</v>
      </c>
      <c r="E166" s="20">
        <v>4.2200000000000001E-2</v>
      </c>
      <c r="F166" s="20">
        <v>0.2039</v>
      </c>
    </row>
    <row r="167" spans="1:6">
      <c r="A167" s="16">
        <v>20102011</v>
      </c>
      <c r="B167" s="17">
        <v>3090</v>
      </c>
      <c r="C167" s="18" t="s">
        <v>297</v>
      </c>
      <c r="D167" s="19" t="s">
        <v>300</v>
      </c>
      <c r="E167" s="20">
        <v>6.1899999999999997E-2</v>
      </c>
      <c r="F167" s="20">
        <v>0.2621</v>
      </c>
    </row>
    <row r="168" spans="1:6">
      <c r="A168" s="16">
        <v>20102011</v>
      </c>
      <c r="B168" s="17">
        <v>3100</v>
      </c>
      <c r="C168" s="18" t="s">
        <v>297</v>
      </c>
      <c r="D168" s="19" t="s">
        <v>301</v>
      </c>
      <c r="E168" s="20">
        <v>9.3299999999999994E-2</v>
      </c>
      <c r="F168" s="20">
        <v>0.29049999999999998</v>
      </c>
    </row>
    <row r="169" spans="1:6">
      <c r="A169" s="16">
        <v>20102011</v>
      </c>
      <c r="B169" s="17">
        <v>3110</v>
      </c>
      <c r="C169" s="18" t="s">
        <v>297</v>
      </c>
      <c r="D169" s="19" t="s">
        <v>302</v>
      </c>
      <c r="E169" s="20">
        <v>3.7999999999999999E-2</v>
      </c>
      <c r="F169" s="20">
        <v>0.2656</v>
      </c>
    </row>
    <row r="170" spans="1:6">
      <c r="A170" s="16">
        <v>20102011</v>
      </c>
      <c r="B170" s="17">
        <v>3120</v>
      </c>
      <c r="C170" s="18" t="s">
        <v>297</v>
      </c>
      <c r="D170" s="19" t="s">
        <v>303</v>
      </c>
      <c r="E170" s="20">
        <v>6.1800000000000001E-2</v>
      </c>
      <c r="F170" s="20">
        <v>0.18959999999999999</v>
      </c>
    </row>
    <row r="171" spans="1:6">
      <c r="A171" s="16">
        <v>20102011</v>
      </c>
      <c r="B171" s="17">
        <v>3130</v>
      </c>
      <c r="C171" s="18" t="s">
        <v>297</v>
      </c>
      <c r="D171" s="19" t="s">
        <v>304</v>
      </c>
      <c r="E171" s="20">
        <v>5.6399999999999999E-2</v>
      </c>
      <c r="F171" s="20">
        <v>0.27400000000000002</v>
      </c>
    </row>
    <row r="172" spans="1:6">
      <c r="A172" s="16">
        <v>20102011</v>
      </c>
      <c r="B172" s="17">
        <v>3140</v>
      </c>
      <c r="C172" s="18" t="s">
        <v>297</v>
      </c>
      <c r="D172" s="19" t="s">
        <v>305</v>
      </c>
      <c r="E172" s="20">
        <v>7.2300000000000003E-2</v>
      </c>
      <c r="F172" s="20">
        <v>0.23799999999999999</v>
      </c>
    </row>
    <row r="173" spans="1:6">
      <c r="A173" s="16">
        <v>20102011</v>
      </c>
      <c r="B173" s="17">
        <v>3145</v>
      </c>
      <c r="C173" s="18" t="s">
        <v>297</v>
      </c>
      <c r="D173" s="19" t="s">
        <v>306</v>
      </c>
      <c r="E173" s="20">
        <v>4.4999999999999998E-2</v>
      </c>
      <c r="F173" s="20">
        <v>0.2427</v>
      </c>
    </row>
    <row r="174" spans="1:6">
      <c r="A174" s="16">
        <v>20102011</v>
      </c>
      <c r="B174" s="17">
        <v>3146</v>
      </c>
      <c r="C174" s="18" t="s">
        <v>297</v>
      </c>
      <c r="D174" s="19" t="s">
        <v>307</v>
      </c>
      <c r="E174" s="20">
        <v>1.5800000000000002E-2</v>
      </c>
      <c r="F174" s="20">
        <v>0.50429999999999997</v>
      </c>
    </row>
    <row r="175" spans="1:6">
      <c r="A175" s="16">
        <v>20102011</v>
      </c>
      <c r="B175" s="17">
        <v>3147</v>
      </c>
      <c r="C175" s="18" t="s">
        <v>297</v>
      </c>
      <c r="D175" s="19" t="s">
        <v>374</v>
      </c>
      <c r="E175" s="20">
        <v>0.1011</v>
      </c>
      <c r="F175" s="20">
        <v>0.3201</v>
      </c>
    </row>
    <row r="176" spans="1:6">
      <c r="A176" s="16">
        <v>20102011</v>
      </c>
      <c r="B176" s="17">
        <v>3148</v>
      </c>
      <c r="C176" s="18" t="s">
        <v>297</v>
      </c>
      <c r="D176" s="19" t="s">
        <v>308</v>
      </c>
      <c r="E176" s="20">
        <v>1.9800000000000002E-2</v>
      </c>
      <c r="F176" s="20">
        <v>0.4178</v>
      </c>
    </row>
    <row r="177" spans="1:6">
      <c r="A177" s="16">
        <v>20102011</v>
      </c>
      <c r="B177" s="21">
        <v>3200</v>
      </c>
      <c r="C177" s="18" t="s">
        <v>309</v>
      </c>
      <c r="D177" s="18" t="s">
        <v>310</v>
      </c>
      <c r="E177" s="20">
        <v>3.32E-2</v>
      </c>
      <c r="F177" s="20">
        <v>0.24399999999999999</v>
      </c>
    </row>
    <row r="178" spans="1:6">
      <c r="A178" s="16">
        <v>20102011</v>
      </c>
      <c r="B178" s="21">
        <v>3210</v>
      </c>
      <c r="C178" s="18" t="s">
        <v>309</v>
      </c>
      <c r="D178" s="18" t="s">
        <v>311</v>
      </c>
      <c r="E178" s="20">
        <v>4.4200000000000003E-2</v>
      </c>
      <c r="F178" s="20">
        <v>0.25750000000000001</v>
      </c>
    </row>
    <row r="179" spans="1:6">
      <c r="A179" s="16">
        <v>20102011</v>
      </c>
      <c r="B179" s="21">
        <v>3220</v>
      </c>
      <c r="C179" s="18" t="s">
        <v>309</v>
      </c>
      <c r="D179" s="18" t="s">
        <v>312</v>
      </c>
      <c r="E179" s="20">
        <v>2.98E-2</v>
      </c>
      <c r="F179" s="20">
        <v>0.30599999999999999</v>
      </c>
    </row>
    <row r="180" spans="1:6">
      <c r="A180" s="16">
        <v>20102011</v>
      </c>
      <c r="B180" s="21">
        <v>3230</v>
      </c>
      <c r="C180" s="18" t="s">
        <v>309</v>
      </c>
      <c r="D180" s="18" t="s">
        <v>313</v>
      </c>
      <c r="E180" s="20">
        <v>4.8599999999999997E-2</v>
      </c>
      <c r="F180" s="20">
        <v>0.30980000000000002</v>
      </c>
    </row>
    <row r="181" spans="1:6">
      <c r="A181" s="16">
        <v>20102011</v>
      </c>
      <c r="B181" s="22">
        <v>8001</v>
      </c>
      <c r="C181" s="18" t="s">
        <v>375</v>
      </c>
      <c r="D181" s="18" t="s">
        <v>376</v>
      </c>
      <c r="E181" s="20">
        <v>1.6199999999999999E-2</v>
      </c>
      <c r="F181" s="20">
        <v>0.1661</v>
      </c>
    </row>
    <row r="182" spans="1:6">
      <c r="A182" s="16">
        <v>20102011</v>
      </c>
      <c r="B182" s="17">
        <v>9025</v>
      </c>
      <c r="C182" s="18" t="s">
        <v>377</v>
      </c>
      <c r="D182" s="23" t="s">
        <v>314</v>
      </c>
      <c r="E182" s="20">
        <v>4.2200000000000001E-2</v>
      </c>
      <c r="F182" s="20">
        <v>0.11890000000000001</v>
      </c>
    </row>
    <row r="183" spans="1:6">
      <c r="A183" s="16">
        <v>20102011</v>
      </c>
      <c r="B183" s="17">
        <v>9030</v>
      </c>
      <c r="C183" s="18" t="s">
        <v>377</v>
      </c>
      <c r="D183" s="23" t="s">
        <v>315</v>
      </c>
      <c r="E183" s="20">
        <v>6.3899999999999998E-2</v>
      </c>
      <c r="F183" s="20">
        <v>8.8999999999999996E-2</v>
      </c>
    </row>
    <row r="184" spans="1:6">
      <c r="A184" s="16">
        <v>20102011</v>
      </c>
      <c r="B184" s="17">
        <v>9035</v>
      </c>
      <c r="C184" s="18" t="s">
        <v>377</v>
      </c>
      <c r="D184" s="23" t="s">
        <v>316</v>
      </c>
      <c r="E184" s="20">
        <v>0.105</v>
      </c>
      <c r="F184" s="20">
        <v>0.53</v>
      </c>
    </row>
    <row r="185" spans="1:6">
      <c r="A185" s="16">
        <v>20102011</v>
      </c>
      <c r="B185" s="17">
        <v>9040</v>
      </c>
      <c r="C185" s="18" t="s">
        <v>377</v>
      </c>
      <c r="D185" s="23" t="s">
        <v>317</v>
      </c>
      <c r="E185" s="20">
        <v>0.105</v>
      </c>
      <c r="F185" s="20">
        <v>0.1187</v>
      </c>
    </row>
    <row r="186" spans="1:6">
      <c r="A186" s="16">
        <v>20102011</v>
      </c>
      <c r="B186" s="17">
        <v>9045</v>
      </c>
      <c r="C186" s="18" t="s">
        <v>377</v>
      </c>
      <c r="D186" s="23" t="s">
        <v>318</v>
      </c>
      <c r="E186" s="20">
        <v>0.105</v>
      </c>
      <c r="F186" s="20">
        <v>0.2422</v>
      </c>
    </row>
    <row r="187" spans="1:6">
      <c r="A187" s="24">
        <v>20102011</v>
      </c>
      <c r="B187" s="25">
        <v>9050</v>
      </c>
      <c r="C187" s="26" t="s">
        <v>377</v>
      </c>
      <c r="D187" s="27" t="s">
        <v>319</v>
      </c>
      <c r="E187" s="28">
        <v>9.4899999999999998E-2</v>
      </c>
      <c r="F187" s="28">
        <v>6.8699999999999997E-2</v>
      </c>
    </row>
    <row r="188" spans="1:6">
      <c r="A188" s="24">
        <v>20102011</v>
      </c>
      <c r="B188" s="25">
        <v>9080</v>
      </c>
      <c r="C188" s="26" t="s">
        <v>377</v>
      </c>
      <c r="D188" s="27" t="s">
        <v>323</v>
      </c>
      <c r="E188" s="28">
        <v>2.5700000000000001E-2</v>
      </c>
      <c r="F188" s="28">
        <v>5.0500000000000003E-2</v>
      </c>
    </row>
    <row r="189" spans="1:6">
      <c r="A189" s="16">
        <v>20102011</v>
      </c>
      <c r="B189" s="17">
        <v>9050</v>
      </c>
      <c r="C189" s="18" t="s">
        <v>377</v>
      </c>
      <c r="D189" s="23" t="s">
        <v>319</v>
      </c>
      <c r="E189" s="20">
        <v>6.0299999999999999E-2</v>
      </c>
      <c r="F189" s="20">
        <v>5.96E-2</v>
      </c>
    </row>
    <row r="190" spans="1:6">
      <c r="A190" s="16">
        <v>20102011</v>
      </c>
      <c r="B190" s="17">
        <v>9055</v>
      </c>
      <c r="C190" s="18" t="s">
        <v>377</v>
      </c>
      <c r="D190" s="23" t="s">
        <v>320</v>
      </c>
      <c r="E190" s="20">
        <v>4.1399999999999999E-2</v>
      </c>
      <c r="F190" s="20">
        <v>4.9200000000000001E-2</v>
      </c>
    </row>
    <row r="191" spans="1:6">
      <c r="A191" s="16">
        <v>20102011</v>
      </c>
      <c r="B191" s="17">
        <v>9060</v>
      </c>
      <c r="C191" s="18" t="s">
        <v>377</v>
      </c>
      <c r="D191" s="23" t="s">
        <v>321</v>
      </c>
      <c r="E191" s="20">
        <v>0.105</v>
      </c>
      <c r="F191" s="20">
        <v>0.19439999999999999</v>
      </c>
    </row>
    <row r="192" spans="1:6">
      <c r="A192" s="16">
        <v>20102011</v>
      </c>
      <c r="B192" s="17">
        <v>9075</v>
      </c>
      <c r="C192" s="18" t="s">
        <v>377</v>
      </c>
      <c r="D192" s="23" t="s">
        <v>322</v>
      </c>
      <c r="E192" s="20">
        <v>0.105</v>
      </c>
      <c r="F192" s="20">
        <v>0.36930000000000002</v>
      </c>
    </row>
    <row r="193" spans="1:6">
      <c r="A193" s="16">
        <v>20102011</v>
      </c>
      <c r="B193" s="17">
        <v>9095</v>
      </c>
      <c r="C193" s="18" t="s">
        <v>377</v>
      </c>
      <c r="D193" s="19" t="s">
        <v>324</v>
      </c>
      <c r="E193" s="20">
        <v>5.4800000000000001E-2</v>
      </c>
      <c r="F193" s="20">
        <v>0.1045</v>
      </c>
    </row>
    <row r="194" spans="1:6">
      <c r="A194" s="16">
        <v>20102011</v>
      </c>
      <c r="B194" s="17">
        <v>9120</v>
      </c>
      <c r="C194" s="18" t="s">
        <v>377</v>
      </c>
      <c r="D194" s="23" t="s">
        <v>325</v>
      </c>
      <c r="E194" s="20">
        <v>0</v>
      </c>
      <c r="F194" s="20">
        <v>0</v>
      </c>
    </row>
    <row r="195" spans="1:6">
      <c r="A195" s="16">
        <v>20102011</v>
      </c>
      <c r="B195" s="17">
        <v>9125</v>
      </c>
      <c r="C195" s="18" t="s">
        <v>377</v>
      </c>
      <c r="D195" s="23" t="s">
        <v>326</v>
      </c>
      <c r="E195" s="20">
        <v>2.9499999999999998E-2</v>
      </c>
      <c r="F195" s="20">
        <v>5.1999999999999998E-2</v>
      </c>
    </row>
    <row r="196" spans="1:6">
      <c r="A196" s="16">
        <v>20102011</v>
      </c>
      <c r="B196" s="17">
        <v>9130</v>
      </c>
      <c r="C196" s="18" t="s">
        <v>377</v>
      </c>
      <c r="D196" s="23" t="s">
        <v>327</v>
      </c>
      <c r="E196" s="20">
        <v>6.6199999999999995E-2</v>
      </c>
      <c r="F196" s="20">
        <v>9.1200000000000003E-2</v>
      </c>
    </row>
    <row r="197" spans="1:6">
      <c r="A197" s="16">
        <v>20102011</v>
      </c>
      <c r="B197" s="17">
        <v>9135</v>
      </c>
      <c r="C197" s="18" t="s">
        <v>377</v>
      </c>
      <c r="D197" s="23" t="s">
        <v>328</v>
      </c>
      <c r="E197" s="20">
        <v>0.105</v>
      </c>
      <c r="F197" s="20">
        <v>0.72889999999999999</v>
      </c>
    </row>
    <row r="198" spans="1:6">
      <c r="A198" s="16">
        <v>20102011</v>
      </c>
      <c r="B198" s="17">
        <v>9140</v>
      </c>
      <c r="C198" s="18" t="s">
        <v>377</v>
      </c>
      <c r="D198" s="23" t="s">
        <v>329</v>
      </c>
      <c r="E198" s="20">
        <v>-5.4000000000000003E-3</v>
      </c>
      <c r="F198" s="20">
        <v>-7.1000000000000004E-3</v>
      </c>
    </row>
    <row r="199" spans="1:6">
      <c r="A199" s="16">
        <v>20102011</v>
      </c>
      <c r="B199" s="17">
        <v>9145</v>
      </c>
      <c r="C199" s="18" t="s">
        <v>377</v>
      </c>
      <c r="D199" s="23" t="s">
        <v>330</v>
      </c>
      <c r="E199" s="20">
        <v>-2.9999999999999997E-4</v>
      </c>
      <c r="F199" s="20">
        <v>-1.4E-3</v>
      </c>
    </row>
    <row r="200" spans="1:6">
      <c r="A200" s="16">
        <v>20102011</v>
      </c>
      <c r="B200" s="17">
        <v>9150</v>
      </c>
      <c r="C200" s="18" t="s">
        <v>377</v>
      </c>
      <c r="D200" s="23" t="s">
        <v>331</v>
      </c>
      <c r="E200" s="20">
        <v>2.0500000000000001E-2</v>
      </c>
      <c r="F200" s="20">
        <v>7.8899999999999998E-2</v>
      </c>
    </row>
    <row r="201" spans="1:6">
      <c r="A201" s="16">
        <v>20102011</v>
      </c>
      <c r="B201" s="17">
        <v>9160</v>
      </c>
      <c r="C201" s="18" t="s">
        <v>377</v>
      </c>
      <c r="D201" s="23" t="s">
        <v>332</v>
      </c>
      <c r="E201" s="20">
        <v>0.105</v>
      </c>
      <c r="F201" s="20">
        <v>0.99990000000000001</v>
      </c>
    </row>
    <row r="202" spans="1:6">
      <c r="A202" s="16">
        <v>20102011</v>
      </c>
      <c r="B202" s="17">
        <v>9165</v>
      </c>
      <c r="C202" s="18" t="s">
        <v>377</v>
      </c>
      <c r="D202" s="23" t="s">
        <v>333</v>
      </c>
      <c r="E202" s="20">
        <v>0</v>
      </c>
      <c r="F202" s="20">
        <v>0</v>
      </c>
    </row>
  </sheetData>
  <mergeCells count="1">
    <mergeCell ref="A1:A2"/>
  </mergeCells>
  <pageMargins left="0.2" right="0.2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activeCell="D17" sqref="D17:D18"/>
    </sheetView>
  </sheetViews>
  <sheetFormatPr defaultRowHeight="13.2"/>
  <cols>
    <col min="4" max="4" width="46.109375" customWidth="1"/>
  </cols>
  <sheetData>
    <row r="1" spans="1:4">
      <c r="A1" s="1" t="s">
        <v>0</v>
      </c>
      <c r="D1" s="1" t="s">
        <v>8</v>
      </c>
    </row>
    <row r="2" spans="1:4">
      <c r="A2" s="1" t="s">
        <v>24</v>
      </c>
      <c r="D2" s="1" t="s">
        <v>9</v>
      </c>
    </row>
    <row r="3" spans="1:4">
      <c r="D3" s="1" t="s">
        <v>10</v>
      </c>
    </row>
    <row r="4" spans="1:4">
      <c r="D4" s="1" t="s">
        <v>17</v>
      </c>
    </row>
    <row r="5" spans="1:4">
      <c r="A5" s="1" t="s">
        <v>358</v>
      </c>
      <c r="D5" s="1" t="s">
        <v>15</v>
      </c>
    </row>
    <row r="6" spans="1:4">
      <c r="A6" s="1" t="s">
        <v>359</v>
      </c>
      <c r="D6" s="1" t="s">
        <v>13</v>
      </c>
    </row>
    <row r="7" spans="1:4">
      <c r="A7" s="1" t="s">
        <v>360</v>
      </c>
      <c r="D7" s="1" t="s">
        <v>363</v>
      </c>
    </row>
    <row r="8" spans="1:4">
      <c r="A8" s="1" t="s">
        <v>361</v>
      </c>
      <c r="D8" s="1" t="s">
        <v>60</v>
      </c>
    </row>
    <row r="9" spans="1:4">
      <c r="A9" s="1" t="s">
        <v>362</v>
      </c>
      <c r="D9" s="1" t="s">
        <v>59</v>
      </c>
    </row>
    <row r="10" spans="1:4">
      <c r="A10" s="1" t="s">
        <v>11</v>
      </c>
      <c r="D10" s="1" t="s">
        <v>58</v>
      </c>
    </row>
    <row r="11" spans="1:4">
      <c r="A11" s="1" t="s">
        <v>12</v>
      </c>
      <c r="D11" s="1" t="s">
        <v>57</v>
      </c>
    </row>
    <row r="12" spans="1:4">
      <c r="A12" s="1" t="s">
        <v>19</v>
      </c>
      <c r="D12" s="1" t="s">
        <v>56</v>
      </c>
    </row>
    <row r="13" spans="1:4">
      <c r="A13" s="1" t="s">
        <v>20</v>
      </c>
      <c r="D13" s="1" t="s">
        <v>55</v>
      </c>
    </row>
    <row r="14" spans="1:4">
      <c r="A14" s="1" t="s">
        <v>21</v>
      </c>
      <c r="D14" s="1" t="s">
        <v>364</v>
      </c>
    </row>
    <row r="15" spans="1:4">
      <c r="A15" s="1" t="s">
        <v>14</v>
      </c>
    </row>
    <row r="16" spans="1:4">
      <c r="A16" s="1" t="s">
        <v>22</v>
      </c>
    </row>
    <row r="17" spans="1:4">
      <c r="A17" s="1" t="s">
        <v>23</v>
      </c>
      <c r="D17" s="39" t="s">
        <v>382</v>
      </c>
    </row>
    <row r="18" spans="1:4">
      <c r="A18" s="1" t="s">
        <v>18</v>
      </c>
      <c r="D18" t="s">
        <v>384</v>
      </c>
    </row>
    <row r="19" spans="1:4">
      <c r="A19" s="1" t="s">
        <v>16</v>
      </c>
    </row>
    <row r="20" spans="1:4">
      <c r="A20" s="1" t="s">
        <v>62</v>
      </c>
    </row>
    <row r="21" spans="1:4">
      <c r="A21" s="1" t="s">
        <v>63</v>
      </c>
    </row>
    <row r="22" spans="1:4">
      <c r="A22" s="1" t="s">
        <v>64</v>
      </c>
    </row>
    <row r="23" spans="1:4">
      <c r="A23" s="1" t="s">
        <v>65</v>
      </c>
    </row>
    <row r="24" spans="1:4">
      <c r="A24" s="1" t="s">
        <v>66</v>
      </c>
    </row>
    <row r="25" spans="1:4">
      <c r="A25" s="1" t="s">
        <v>67</v>
      </c>
    </row>
    <row r="26" spans="1:4">
      <c r="A26" s="1" t="s">
        <v>68</v>
      </c>
    </row>
    <row r="27" spans="1:4">
      <c r="A27" s="1" t="s">
        <v>69</v>
      </c>
    </row>
    <row r="28" spans="1:4">
      <c r="A28" s="1" t="s">
        <v>70</v>
      </c>
    </row>
    <row r="29" spans="1:4">
      <c r="A29" s="1" t="s">
        <v>71</v>
      </c>
    </row>
  </sheetData>
  <phoneticPr fontId="6" type="noConversion"/>
  <dataValidations count="3">
    <dataValidation type="list" allowBlank="1" showInputMessage="1" showErrorMessage="1" sqref="D2:D7 D14">
      <formula1>D2:D13</formula1>
    </dataValidation>
    <dataValidation type="list" allowBlank="1" showInputMessage="1" showErrorMessage="1" sqref="D8:D13">
      <formula1>D8:D18</formula1>
    </dataValidation>
    <dataValidation type="list" allowBlank="1" showInputMessage="1" showErrorMessage="1" sqref="D1">
      <formula1>D1:D13</formula1>
    </dataValidation>
  </dataValidation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1-Instructions</vt:lpstr>
      <vt:lpstr>2-Cover Page</vt:lpstr>
      <vt:lpstr>3-Budget Detail</vt:lpstr>
      <vt:lpstr>4-Equipment</vt:lpstr>
      <vt:lpstr>5-Budget Summary</vt:lpstr>
      <vt:lpstr>6- AFR Detail</vt:lpstr>
      <vt:lpstr>7-AFR Equipment Detail</vt:lpstr>
      <vt:lpstr>8-Annual Financial Report</vt:lpstr>
      <vt:lpstr>9-Error Checking</vt:lpstr>
      <vt:lpstr>10-Revisions-Comments</vt:lpstr>
      <vt:lpstr>Indirect Rates</vt:lpstr>
      <vt:lpstr>Other</vt:lpstr>
      <vt:lpstr>budget</vt:lpstr>
      <vt:lpstr>Budget_Object</vt:lpstr>
      <vt:lpstr>capitalized</vt:lpstr>
      <vt:lpstr>objects</vt:lpstr>
      <vt:lpstr>'2-Cover Page'!Print_Area</vt:lpstr>
      <vt:lpstr>'5-Budget Summary'!Print_Area</vt:lpstr>
      <vt:lpstr>'8-Annual Financial Report'!Print_Area</vt:lpstr>
      <vt:lpstr>'3-Budget Detail'!Print_Titles</vt:lpstr>
      <vt:lpstr>'4-Equipment'!Print_Titles</vt:lpstr>
      <vt:lpstr>Projects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Rodriguez, Marti</dc:creator>
  <cp:lastModifiedBy>Rodriguez, Marti</cp:lastModifiedBy>
  <cp:lastPrinted>2013-03-20T15:35:53Z</cp:lastPrinted>
  <dcterms:created xsi:type="dcterms:W3CDTF">2004-07-30T15:33:42Z</dcterms:created>
  <dcterms:modified xsi:type="dcterms:W3CDTF">2014-05-15T22:15:23Z</dcterms:modified>
</cp:coreProperties>
</file>