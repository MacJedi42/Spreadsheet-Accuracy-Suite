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LIE\Dropbox\Print this!!\Check this\"/>
    </mc:Choice>
  </mc:AlternateContent>
  <bookViews>
    <workbookView xWindow="0" yWindow="0" windowWidth="17970" windowHeight="6120" activeTab="1"/>
  </bookViews>
  <sheets>
    <sheet name="Index 1 Student Achievement" sheetId="1" r:id="rId1"/>
    <sheet name="Index 3 Closing the Gap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" i="1" l="1"/>
  <c r="G21" i="1"/>
  <c r="D21" i="1"/>
  <c r="D16" i="1"/>
  <c r="D15" i="1"/>
  <c r="D14" i="1"/>
  <c r="G16" i="1"/>
  <c r="G15" i="1"/>
  <c r="G14" i="1"/>
  <c r="J16" i="1"/>
  <c r="J15" i="1"/>
  <c r="J14" i="1"/>
  <c r="M16" i="1"/>
  <c r="M15" i="1"/>
  <c r="M14" i="1"/>
  <c r="J9" i="1"/>
  <c r="J8" i="1"/>
  <c r="J7" i="1"/>
  <c r="G9" i="1"/>
  <c r="G8" i="1"/>
  <c r="G7" i="1"/>
  <c r="D9" i="1"/>
  <c r="D8" i="1"/>
  <c r="D7" i="1"/>
  <c r="M25" i="1"/>
  <c r="J25" i="1"/>
  <c r="G25" i="1"/>
  <c r="D25" i="1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F32" i="2" l="1"/>
  <c r="E32" i="2"/>
  <c r="F30" i="2"/>
  <c r="C30" i="2"/>
  <c r="B30" i="2"/>
  <c r="E30" i="2"/>
  <c r="F29" i="2"/>
  <c r="E29" i="2"/>
  <c r="B29" i="2"/>
  <c r="F31" i="2"/>
  <c r="E31" i="2"/>
  <c r="G32" i="2" l="1"/>
  <c r="G30" i="2"/>
  <c r="G29" i="2"/>
  <c r="G31" i="2"/>
  <c r="D30" i="2"/>
  <c r="C32" i="2"/>
  <c r="C31" i="2"/>
  <c r="C29" i="2"/>
  <c r="D29" i="2" s="1"/>
  <c r="B32" i="2"/>
  <c r="B31" i="2"/>
  <c r="I33" i="2"/>
  <c r="B17" i="1"/>
  <c r="H30" i="2" l="1"/>
  <c r="H29" i="2"/>
  <c r="D31" i="2"/>
  <c r="H31" i="2" s="1"/>
  <c r="D32" i="2"/>
  <c r="H32" i="2" s="1"/>
  <c r="L21" i="1"/>
  <c r="O25" i="1"/>
  <c r="N25" i="1"/>
  <c r="K21" i="1"/>
  <c r="O15" i="1"/>
  <c r="O16" i="1"/>
  <c r="N15" i="1"/>
  <c r="N16" i="1"/>
  <c r="O14" i="1"/>
  <c r="N14" i="1"/>
  <c r="L8" i="1"/>
  <c r="L9" i="1"/>
  <c r="L7" i="1"/>
  <c r="K8" i="1"/>
  <c r="K9" i="1"/>
  <c r="K7" i="1"/>
  <c r="L17" i="1"/>
  <c r="K17" i="1"/>
  <c r="H33" i="2" l="1"/>
  <c r="H34" i="2" s="1"/>
  <c r="M17" i="1"/>
  <c r="P25" i="1"/>
  <c r="M7" i="1"/>
  <c r="K29" i="1"/>
  <c r="M21" i="1"/>
  <c r="M9" i="1"/>
  <c r="M8" i="1"/>
  <c r="P16" i="1"/>
  <c r="P14" i="1"/>
  <c r="P15" i="1"/>
  <c r="K10" i="1"/>
  <c r="L29" i="1"/>
  <c r="L10" i="1"/>
  <c r="O17" i="1"/>
  <c r="N17" i="1"/>
  <c r="N29" i="1" s="1"/>
  <c r="I17" i="1"/>
  <c r="H17" i="1"/>
  <c r="F17" i="1"/>
  <c r="E17" i="1"/>
  <c r="C17" i="1"/>
  <c r="D17" i="1" s="1"/>
  <c r="I10" i="1"/>
  <c r="H10" i="1"/>
  <c r="F10" i="1"/>
  <c r="E10" i="1"/>
  <c r="C10" i="1"/>
  <c r="B10" i="1"/>
  <c r="G17" i="1" l="1"/>
  <c r="M29" i="1"/>
  <c r="M10" i="1"/>
  <c r="J17" i="1"/>
  <c r="P17" i="1"/>
  <c r="H29" i="1"/>
  <c r="J10" i="1"/>
  <c r="B29" i="1"/>
  <c r="D10" i="1"/>
  <c r="G10" i="1"/>
  <c r="E29" i="1"/>
  <c r="F29" i="1"/>
  <c r="I29" i="1"/>
  <c r="C29" i="1"/>
  <c r="O29" i="1"/>
  <c r="P29" i="1" s="1"/>
  <c r="J29" i="1" l="1"/>
  <c r="D29" i="1"/>
  <c r="G29" i="1"/>
</calcChain>
</file>

<file path=xl/sharedStrings.xml><?xml version="1.0" encoding="utf-8"?>
<sst xmlns="http://schemas.openxmlformats.org/spreadsheetml/2006/main" count="162" uniqueCount="72">
  <si>
    <t xml:space="preserve">Reports: </t>
  </si>
  <si>
    <t>3rd Grade Reading</t>
  </si>
  <si>
    <t>4th Grade Reading</t>
  </si>
  <si>
    <t>5th Grade Reading</t>
  </si>
  <si>
    <t># Met Level II</t>
  </si>
  <si>
    <t>Total Students Assessed</t>
  </si>
  <si>
    <t>Percentage of students meeting Level II</t>
  </si>
  <si>
    <t>STAAR</t>
  </si>
  <si>
    <t>STAAR Modified</t>
  </si>
  <si>
    <t>STAAR ALT</t>
  </si>
  <si>
    <t>Reading Overall</t>
  </si>
  <si>
    <t>Campus Reading</t>
  </si>
  <si>
    <t>3rd Grade Math</t>
  </si>
  <si>
    <t>4th Grade Math</t>
  </si>
  <si>
    <t>5th Grade Math</t>
  </si>
  <si>
    <t>Campus Math</t>
  </si>
  <si>
    <t>4th Grade Writing</t>
  </si>
  <si>
    <t>5th Grade Science</t>
  </si>
  <si>
    <t>Writing Overall</t>
  </si>
  <si>
    <t>Math Overall</t>
  </si>
  <si>
    <t>Science Overall</t>
  </si>
  <si>
    <t>All STAAR Assessments</t>
  </si>
  <si>
    <t xml:space="preserve"> All STAAR Modified Assessments</t>
  </si>
  <si>
    <t>All STAAR ALT Assessments</t>
  </si>
  <si>
    <t xml:space="preserve">Index 1 </t>
  </si>
  <si>
    <t>STAAR L</t>
  </si>
  <si>
    <t>All STAAR L Assessments</t>
  </si>
  <si>
    <t>Excluded Results:</t>
  </si>
  <si>
    <t xml:space="preserve">5th and 8th grade when retest results are available-  Use selections above with the exception in Select Analysis: Choose HIGHEST Test Result </t>
  </si>
  <si>
    <t>Index 1                 Break Down</t>
  </si>
  <si>
    <t>Reading</t>
  </si>
  <si>
    <t>Math</t>
  </si>
  <si>
    <t>Writing</t>
  </si>
  <si>
    <t>Science</t>
  </si>
  <si>
    <t>Total Points</t>
  </si>
  <si>
    <t>Total</t>
  </si>
  <si>
    <t>Index Score</t>
  </si>
  <si>
    <t># of Tests</t>
  </si>
  <si>
    <t>Minimum size:</t>
  </si>
  <si>
    <t>Performance Rate</t>
  </si>
  <si>
    <t>Maximum Points 200  each for  two sub pops OR 300 for three sub pops</t>
  </si>
  <si>
    <t>3rd Grade Reading SPAN</t>
  </si>
  <si>
    <t>3rd Grade Reading ENG</t>
  </si>
  <si>
    <t>4th Grade Reading ENG</t>
  </si>
  <si>
    <t>5th Grade Reading ENG</t>
  </si>
  <si>
    <t>4th Grade Reading SPAN</t>
  </si>
  <si>
    <t>4th Grade Math ENG</t>
  </si>
  <si>
    <t>4th Grade Math SPAN</t>
  </si>
  <si>
    <t>5th Grade Reading SPAN</t>
  </si>
  <si>
    <t>3rd Grade Math ENG</t>
  </si>
  <si>
    <t>3rd Grade Math SPAN</t>
  </si>
  <si>
    <t>5th Grade Math ENG</t>
  </si>
  <si>
    <t>5th  Grade Math SPAN</t>
  </si>
  <si>
    <t>4th Grade Writing ENG</t>
  </si>
  <si>
    <t>4th Grade Writing SPAN</t>
  </si>
  <si>
    <t>5th Grade Science ENG</t>
  </si>
  <si>
    <t>5th Grade Science SPAN</t>
  </si>
  <si>
    <t>Reports for Lowest Performing Ethnicities:</t>
  </si>
  <si>
    <t>.</t>
  </si>
  <si>
    <t>Use Pinnacle.  STAAR tab --&gt; Standard Selections: Enrollment Status =Active and Snapshot Status=Active --&gt;Selection Master-Special Pops  --&gt;Select Analysis=Summary by Assessment</t>
  </si>
  <si>
    <t>Reports for Economically Disadvantaged English results:</t>
  </si>
  <si>
    <t xml:space="preserve">Use Pinnacle.   For English results only:  Special Pops Tab --&gt;Selection Master:  Special population=Choose all then unclick LEP; Not LEP will appear in Current Selections --&gt;STAAR tab --&gt; Standard Selections: Enrollment Status =Active and Snapshot Status=Active --&gt;Selection Master-Test Language= English--&gt;Select Analysis=Summary by Special Pop </t>
  </si>
  <si>
    <t>Reports for Economically Disadvantaged Spanish results:</t>
  </si>
  <si>
    <t xml:space="preserve">Use Pinnacle STAAR tab --&gt; Standard Selections: Enrollment Status =Active and Snapshot Status=Active --&gt;Selection Master-Test Language=Spanish--&gt;Select Analysis=Summary by Special Pop </t>
  </si>
  <si>
    <t>Use Pinnacle.   STAAR tab --&gt; Standard Selections: Enrollment Status =Active and Snapshot Status=Active and Ethnicity=Hispanic for campuses --&gt;Select Analysis=Summary by Assessment</t>
  </si>
  <si>
    <t>25 students.  For 2013 the only ethnicity to meet the minimum size requirement is Hispanic; however, the district meet the Hispanic and African American Ethnicity/Race minimum size requirements.</t>
  </si>
  <si>
    <t>Economically Disadvantaged</t>
  </si>
  <si>
    <t>Lowest Performing Ethnicity Group 1</t>
  </si>
  <si>
    <t>Warning!  DO NOT Delete Formulas!  Type only in the white cells!</t>
  </si>
  <si>
    <t>Warning!  Type only in the white cells!</t>
  </si>
  <si>
    <t xml:space="preserve">o ONLY LEP students tested on English Assessments 
o Asylees/refugees in US Schools Years 1, 2, 3, 4, 5
</t>
  </si>
  <si>
    <t>o Students in US Schools Year 1, 2 or 3
o Asylees or refugees in US Schools Years 1, 2, 3, 4 or 5
o Recent immigrants entering grade 9 or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</si>
</sst>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sz val="9"/>
      <color theme="1"/>
      <name val="Cambria"/>
      <family val="1"/>
    </font>
    <font>
      <sz val="9"/>
      <name val="Cambria"/>
      <family val="1"/>
    </font>
    <font>
      <sz val="8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</fills>
  <borders count="4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499984740745262"/>
      </right>
      <top style="medium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34998626667073579"/>
      </right>
      <top style="medium">
        <color theme="0" tint="-0.34998626667073579"/>
      </top>
      <bottom style="thin">
        <color theme="0" tint="-0.499984740745262"/>
      </bottom>
      <diagonal/>
    </border>
    <border>
      <left style="medium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34998626667073579"/>
      </left>
      <right style="thin">
        <color theme="0" tint="-0.499984740745262"/>
      </right>
      <top style="thin">
        <color theme="0" tint="-0.499984740745262"/>
      </top>
      <bottom style="medium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34998626667073579"/>
      </bottom>
      <diagonal/>
    </border>
    <border>
      <left style="thin">
        <color theme="0" tint="-0.499984740745262"/>
      </left>
      <right style="medium">
        <color theme="0" tint="-0.34998626667073579"/>
      </right>
      <top style="thin">
        <color theme="0" tint="-0.499984740745262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499984740745262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34998626667073579"/>
      </left>
      <right style="medium">
        <color theme="0" tint="-0.34998626667073579"/>
      </right>
      <top style="thin">
        <color theme="0" tint="-0.499984740745262"/>
      </top>
      <bottom style="medium">
        <color theme="0" tint="-0.3499862666707357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0" fillId="0" borderId="0" xfId="0" applyAlignment="1"/>
    <xf numFmtId="0" fontId="6" fillId="8" borderId="10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21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wrapText="1"/>
    </xf>
    <xf numFmtId="0" fontId="8" fillId="8" borderId="6" xfId="0" applyFont="1" applyFill="1" applyBorder="1" applyAlignment="1">
      <alignment wrapText="1"/>
    </xf>
    <xf numFmtId="0" fontId="6" fillId="0" borderId="0" xfId="0" applyFont="1" applyAlignment="1">
      <alignment vertical="top" wrapText="1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0" fontId="2" fillId="0" borderId="18" xfId="0" applyFont="1" applyBorder="1" applyAlignment="1" applyProtection="1">
      <alignment horizontal="center" vertical="center"/>
      <protection locked="0"/>
    </xf>
    <xf numFmtId="0" fontId="2" fillId="0" borderId="23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7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1" fontId="2" fillId="8" borderId="11" xfId="1" applyNumberFormat="1" applyFont="1" applyFill="1" applyBorder="1" applyAlignment="1">
      <alignment horizontal="center" vertical="center" wrapText="1"/>
    </xf>
    <xf numFmtId="1" fontId="2" fillId="8" borderId="11" xfId="1" applyNumberFormat="1" applyFont="1" applyFill="1" applyBorder="1" applyAlignment="1">
      <alignment horizontal="center" vertical="center"/>
    </xf>
    <xf numFmtId="1" fontId="2" fillId="8" borderId="16" xfId="1" applyNumberFormat="1" applyFont="1" applyFill="1" applyBorder="1" applyAlignment="1">
      <alignment horizontal="center" vertical="center"/>
    </xf>
    <xf numFmtId="1" fontId="2" fillId="8" borderId="20" xfId="0" applyNumberFormat="1" applyFont="1" applyFill="1" applyBorder="1" applyAlignment="1">
      <alignment horizontal="center" vertical="center"/>
    </xf>
    <xf numFmtId="0" fontId="2" fillId="8" borderId="11" xfId="0" applyFont="1" applyFill="1" applyBorder="1" applyAlignment="1" applyProtection="1">
      <alignment horizontal="center" vertical="center"/>
      <protection locked="0"/>
    </xf>
    <xf numFmtId="0" fontId="2" fillId="8" borderId="19" xfId="0" applyFont="1" applyFill="1" applyBorder="1" applyAlignment="1" applyProtection="1">
      <alignment horizontal="center" vertical="center"/>
      <protection locked="0"/>
    </xf>
    <xf numFmtId="0" fontId="2" fillId="8" borderId="28" xfId="0" applyFont="1" applyFill="1" applyBorder="1"/>
    <xf numFmtId="0" fontId="2" fillId="8" borderId="29" xfId="0" applyFont="1" applyFill="1" applyBorder="1"/>
    <xf numFmtId="0" fontId="2" fillId="8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1" fontId="2" fillId="8" borderId="31" xfId="1" applyNumberFormat="1" applyFont="1" applyFill="1" applyBorder="1" applyAlignment="1">
      <alignment horizontal="center" vertical="center"/>
    </xf>
    <xf numFmtId="1" fontId="2" fillId="8" borderId="32" xfId="1" applyNumberFormat="1" applyFont="1" applyFill="1" applyBorder="1" applyAlignment="1">
      <alignment horizontal="center" vertical="center"/>
    </xf>
    <xf numFmtId="1" fontId="2" fillId="8" borderId="3" xfId="0" applyNumberFormat="1" applyFont="1" applyFill="1" applyBorder="1" applyAlignment="1">
      <alignment horizontal="center" vertical="center"/>
    </xf>
    <xf numFmtId="0" fontId="4" fillId="0" borderId="0" xfId="0" applyFont="1" applyAlignment="1"/>
    <xf numFmtId="0" fontId="2" fillId="7" borderId="1" xfId="0" applyFont="1" applyFill="1" applyBorder="1" applyAlignment="1">
      <alignment horizontal="center"/>
    </xf>
    <xf numFmtId="0" fontId="6" fillId="7" borderId="37" xfId="0" applyFont="1" applyFill="1" applyBorder="1" applyAlignment="1">
      <alignment horizontal="center" wrapText="1"/>
    </xf>
    <xf numFmtId="0" fontId="6" fillId="7" borderId="38" xfId="0" applyFont="1" applyFill="1" applyBorder="1" applyAlignment="1">
      <alignment horizontal="center" wrapText="1"/>
    </xf>
    <xf numFmtId="0" fontId="2" fillId="7" borderId="39" xfId="0" applyFont="1" applyFill="1" applyBorder="1" applyAlignment="1">
      <alignment horizontal="center"/>
    </xf>
    <xf numFmtId="0" fontId="2" fillId="7" borderId="40" xfId="0" applyFont="1" applyFill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37" xfId="0" applyFont="1" applyBorder="1" applyAlignment="1" applyProtection="1">
      <alignment horizontal="center"/>
      <protection locked="0"/>
    </xf>
    <xf numFmtId="0" fontId="7" fillId="3" borderId="2" xfId="0" applyFont="1" applyFill="1" applyBorder="1" applyAlignment="1">
      <alignment horizontal="center" wrapText="1"/>
    </xf>
    <xf numFmtId="0" fontId="7" fillId="3" borderId="10" xfId="0" applyFont="1" applyFill="1" applyBorder="1" applyAlignment="1">
      <alignment horizontal="center" wrapText="1"/>
    </xf>
    <xf numFmtId="0" fontId="7" fillId="3" borderId="11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wrapText="1"/>
    </xf>
    <xf numFmtId="0" fontId="2" fillId="0" borderId="2" xfId="0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/>
    <xf numFmtId="0" fontId="6" fillId="2" borderId="10" xfId="0" applyFont="1" applyFill="1" applyBorder="1" applyAlignment="1">
      <alignment horizontal="center" wrapText="1"/>
    </xf>
    <xf numFmtId="0" fontId="6" fillId="2" borderId="11" xfId="0" applyFont="1" applyFill="1" applyBorder="1" applyAlignment="1">
      <alignment horizontal="center" wrapText="1"/>
    </xf>
    <xf numFmtId="0" fontId="2" fillId="0" borderId="10" xfId="0" applyFont="1" applyBorder="1" applyAlignment="1" applyProtection="1">
      <alignment horizontal="center"/>
      <protection locked="0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5" fillId="3" borderId="44" xfId="0" applyFont="1" applyFill="1" applyBorder="1" applyAlignment="1">
      <alignment horizontal="center" wrapText="1"/>
    </xf>
    <xf numFmtId="0" fontId="2" fillId="4" borderId="44" xfId="0" applyFont="1" applyFill="1" applyBorder="1"/>
    <xf numFmtId="0" fontId="2" fillId="6" borderId="44" xfId="0" applyFont="1" applyFill="1" applyBorder="1"/>
    <xf numFmtId="0" fontId="2" fillId="7" borderId="43" xfId="0" applyFont="1" applyFill="1" applyBorder="1"/>
    <xf numFmtId="0" fontId="2" fillId="7" borderId="44" xfId="0" applyFont="1" applyFill="1" applyBorder="1"/>
    <xf numFmtId="0" fontId="2" fillId="7" borderId="37" xfId="0" applyFont="1" applyFill="1" applyBorder="1" applyAlignment="1">
      <alignment horizontal="center"/>
    </xf>
    <xf numFmtId="0" fontId="3" fillId="5" borderId="37" xfId="0" applyFont="1" applyFill="1" applyBorder="1" applyAlignment="1">
      <alignment horizontal="center" wrapText="1"/>
    </xf>
    <xf numFmtId="0" fontId="3" fillId="5" borderId="38" xfId="0" applyFont="1" applyFill="1" applyBorder="1" applyAlignment="1">
      <alignment horizontal="center" wrapText="1"/>
    </xf>
    <xf numFmtId="0" fontId="2" fillId="0" borderId="39" xfId="0" applyFont="1" applyBorder="1" applyAlignment="1" applyProtection="1">
      <alignment horizontal="center"/>
      <protection locked="0"/>
    </xf>
    <xf numFmtId="0" fontId="2" fillId="0" borderId="40" xfId="0" applyFont="1" applyBorder="1" applyAlignment="1" applyProtection="1">
      <alignment horizontal="center"/>
      <protection locked="0"/>
    </xf>
    <xf numFmtId="0" fontId="2" fillId="6" borderId="39" xfId="0" applyFont="1" applyFill="1" applyBorder="1" applyAlignment="1">
      <alignment horizontal="center"/>
    </xf>
    <xf numFmtId="0" fontId="2" fillId="6" borderId="40" xfId="0" applyFont="1" applyFill="1" applyBorder="1" applyAlignment="1">
      <alignment horizontal="center"/>
    </xf>
    <xf numFmtId="0" fontId="6" fillId="4" borderId="37" xfId="0" applyFont="1" applyFill="1" applyBorder="1" applyAlignment="1">
      <alignment horizontal="center" wrapText="1"/>
    </xf>
    <xf numFmtId="0" fontId="6" fillId="4" borderId="38" xfId="0" applyFont="1" applyFill="1" applyBorder="1" applyAlignment="1">
      <alignment horizontal="center" wrapText="1"/>
    </xf>
    <xf numFmtId="0" fontId="2" fillId="4" borderId="39" xfId="0" applyFont="1" applyFill="1" applyBorder="1" applyAlignment="1">
      <alignment horizontal="center"/>
    </xf>
    <xf numFmtId="0" fontId="2" fillId="4" borderId="40" xfId="0" applyFont="1" applyFill="1" applyBorder="1" applyAlignment="1">
      <alignment horizontal="center"/>
    </xf>
    <xf numFmtId="0" fontId="7" fillId="3" borderId="37" xfId="0" applyFont="1" applyFill="1" applyBorder="1" applyAlignment="1">
      <alignment horizontal="center" wrapText="1"/>
    </xf>
    <xf numFmtId="0" fontId="5" fillId="3" borderId="39" xfId="0" applyFont="1" applyFill="1" applyBorder="1" applyAlignment="1">
      <alignment horizontal="center"/>
    </xf>
    <xf numFmtId="0" fontId="5" fillId="3" borderId="40" xfId="0" applyFont="1" applyFill="1" applyBorder="1" applyAlignment="1">
      <alignment horizontal="center"/>
    </xf>
    <xf numFmtId="0" fontId="0" fillId="0" borderId="0" xfId="0" applyAlignment="1">
      <alignment horizontal="center"/>
    </xf>
    <xf numFmtId="9" fontId="6" fillId="2" borderId="11" xfId="0" applyNumberFormat="1" applyFont="1" applyFill="1" applyBorder="1" applyAlignment="1">
      <alignment horizontal="center" wrapText="1"/>
    </xf>
    <xf numFmtId="9" fontId="6" fillId="7" borderId="38" xfId="0" applyNumberFormat="1" applyFont="1" applyFill="1" applyBorder="1" applyAlignment="1">
      <alignment horizontal="center" wrapText="1"/>
    </xf>
    <xf numFmtId="9" fontId="3" fillId="5" borderId="38" xfId="0" applyNumberFormat="1" applyFont="1" applyFill="1" applyBorder="1" applyAlignment="1">
      <alignment horizontal="center" wrapText="1"/>
    </xf>
    <xf numFmtId="9" fontId="6" fillId="4" borderId="38" xfId="0" applyNumberFormat="1" applyFont="1" applyFill="1" applyBorder="1" applyAlignment="1">
      <alignment horizontal="center" wrapText="1"/>
    </xf>
    <xf numFmtId="9" fontId="7" fillId="3" borderId="11" xfId="0" applyNumberFormat="1" applyFont="1" applyFill="1" applyBorder="1" applyAlignment="1">
      <alignment horizontal="center" wrapText="1"/>
    </xf>
    <xf numFmtId="9" fontId="7" fillId="3" borderId="38" xfId="0" applyNumberFormat="1" applyFont="1" applyFill="1" applyBorder="1" applyAlignment="1">
      <alignment horizontal="center" wrapText="1"/>
    </xf>
    <xf numFmtId="9" fontId="2" fillId="2" borderId="11" xfId="1" applyFont="1" applyFill="1" applyBorder="1" applyAlignment="1">
      <alignment horizontal="center"/>
    </xf>
    <xf numFmtId="9" fontId="2" fillId="2" borderId="31" xfId="1" applyFont="1" applyFill="1" applyBorder="1" applyAlignment="1">
      <alignment horizontal="center"/>
    </xf>
    <xf numFmtId="9" fontId="2" fillId="7" borderId="38" xfId="1" applyFont="1" applyFill="1" applyBorder="1" applyAlignment="1">
      <alignment horizontal="center"/>
    </xf>
    <xf numFmtId="9" fontId="2" fillId="7" borderId="41" xfId="1" applyFont="1" applyFill="1" applyBorder="1" applyAlignment="1">
      <alignment horizontal="center"/>
    </xf>
    <xf numFmtId="9" fontId="2" fillId="5" borderId="41" xfId="1" applyFont="1" applyFill="1" applyBorder="1" applyAlignment="1">
      <alignment horizontal="center"/>
    </xf>
    <xf numFmtId="9" fontId="2" fillId="4" borderId="41" xfId="1" applyFont="1" applyFill="1" applyBorder="1" applyAlignment="1">
      <alignment horizontal="center"/>
    </xf>
    <xf numFmtId="9" fontId="5" fillId="3" borderId="31" xfId="1" applyFont="1" applyFill="1" applyBorder="1" applyAlignment="1">
      <alignment horizontal="center"/>
    </xf>
    <xf numFmtId="9" fontId="2" fillId="2" borderId="11" xfId="0" applyNumberFormat="1" applyFont="1" applyFill="1" applyBorder="1" applyAlignment="1">
      <alignment horizontal="center"/>
    </xf>
    <xf numFmtId="9" fontId="2" fillId="2" borderId="31" xfId="0" applyNumberFormat="1" applyFont="1" applyFill="1" applyBorder="1" applyAlignment="1">
      <alignment horizontal="center"/>
    </xf>
    <xf numFmtId="9" fontId="2" fillId="0" borderId="0" xfId="0" applyNumberFormat="1" applyFont="1" applyAlignment="1">
      <alignment horizontal="center"/>
    </xf>
    <xf numFmtId="9" fontId="2" fillId="7" borderId="38" xfId="0" applyNumberFormat="1" applyFont="1" applyFill="1" applyBorder="1" applyAlignment="1">
      <alignment horizontal="center"/>
    </xf>
    <xf numFmtId="9" fontId="2" fillId="7" borderId="41" xfId="0" applyNumberFormat="1" applyFont="1" applyFill="1" applyBorder="1" applyAlignment="1">
      <alignment horizontal="center"/>
    </xf>
    <xf numFmtId="9" fontId="2" fillId="5" borderId="41" xfId="0" applyNumberFormat="1" applyFont="1" applyFill="1" applyBorder="1" applyAlignment="1">
      <alignment horizontal="center"/>
    </xf>
    <xf numFmtId="9" fontId="2" fillId="4" borderId="41" xfId="0" applyNumberFormat="1" applyFont="1" applyFill="1" applyBorder="1" applyAlignment="1">
      <alignment horizontal="center"/>
    </xf>
    <xf numFmtId="9" fontId="5" fillId="3" borderId="31" xfId="0" applyNumberFormat="1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9" fontId="5" fillId="3" borderId="41" xfId="0" applyNumberFormat="1" applyFont="1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5" fillId="3" borderId="42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5" fillId="3" borderId="34" xfId="0" applyFont="1" applyFill="1" applyBorder="1" applyAlignment="1">
      <alignment horizontal="center"/>
    </xf>
    <xf numFmtId="0" fontId="5" fillId="3" borderId="35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/>
    </xf>
    <xf numFmtId="0" fontId="2" fillId="6" borderId="42" xfId="0" applyFont="1" applyFill="1" applyBorder="1" applyAlignment="1">
      <alignment horizontal="center"/>
    </xf>
    <xf numFmtId="0" fontId="2" fillId="6" borderId="43" xfId="0" applyFont="1" applyFill="1" applyBorder="1" applyAlignment="1">
      <alignment horizontal="center"/>
    </xf>
    <xf numFmtId="0" fontId="2" fillId="5" borderId="34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5" borderId="36" xfId="0" applyFont="1" applyFill="1" applyBorder="1" applyAlignment="1">
      <alignment horizontal="center"/>
    </xf>
    <xf numFmtId="0" fontId="2" fillId="4" borderId="42" xfId="0" applyFont="1" applyFill="1" applyBorder="1" applyAlignment="1">
      <alignment horizontal="center"/>
    </xf>
    <xf numFmtId="0" fontId="2" fillId="4" borderId="43" xfId="0" applyFont="1" applyFill="1" applyBorder="1" applyAlignment="1">
      <alignment horizontal="center"/>
    </xf>
    <xf numFmtId="0" fontId="2" fillId="4" borderId="34" xfId="0" applyFont="1" applyFill="1" applyBorder="1" applyAlignment="1">
      <alignment horizontal="center"/>
    </xf>
    <xf numFmtId="0" fontId="2" fillId="4" borderId="35" xfId="0" applyFont="1" applyFill="1" applyBorder="1" applyAlignment="1">
      <alignment horizontal="center"/>
    </xf>
    <xf numFmtId="0" fontId="2" fillId="4" borderId="3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7" borderId="3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7" borderId="42" xfId="0" applyFont="1" applyFill="1" applyBorder="1" applyAlignment="1">
      <alignment horizontal="center"/>
    </xf>
    <xf numFmtId="0" fontId="2" fillId="7" borderId="4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8" borderId="14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8" borderId="25" xfId="0" applyFont="1" applyFill="1" applyBorder="1" applyAlignment="1">
      <alignment horizontal="right"/>
    </xf>
    <xf numFmtId="0" fontId="2" fillId="8" borderId="30" xfId="0" applyFont="1" applyFill="1" applyBorder="1" applyAlignment="1">
      <alignment horizontal="right"/>
    </xf>
    <xf numFmtId="0" fontId="2" fillId="8" borderId="33" xfId="0" applyFont="1" applyFill="1" applyBorder="1" applyAlignment="1">
      <alignment horizontal="right"/>
    </xf>
    <xf numFmtId="0" fontId="2" fillId="8" borderId="26" xfId="0" applyFont="1" applyFill="1" applyBorder="1" applyAlignment="1">
      <alignment horizontal="right"/>
    </xf>
    <xf numFmtId="0" fontId="2" fillId="8" borderId="27" xfId="0" applyFont="1" applyFill="1" applyBorder="1" applyAlignment="1">
      <alignment horizontal="right"/>
    </xf>
    <xf numFmtId="0" fontId="2" fillId="8" borderId="4" xfId="0" applyFont="1" applyFill="1" applyBorder="1" applyAlignment="1">
      <alignment horizontal="center" vertical="top"/>
    </xf>
    <xf numFmtId="0" fontId="2" fillId="8" borderId="5" xfId="0" applyFont="1" applyFill="1" applyBorder="1" applyAlignment="1">
      <alignment horizontal="center" vertical="top"/>
    </xf>
    <xf numFmtId="0" fontId="2" fillId="8" borderId="7" xfId="0" applyFont="1" applyFill="1" applyBorder="1" applyAlignment="1">
      <alignment horizontal="center" wrapText="1"/>
    </xf>
    <xf numFmtId="0" fontId="2" fillId="8" borderId="8" xfId="0" applyFont="1" applyFill="1" applyBorder="1" applyAlignment="1">
      <alignment horizontal="center" wrapText="1"/>
    </xf>
    <xf numFmtId="0" fontId="2" fillId="8" borderId="9" xfId="0" applyFont="1" applyFill="1" applyBorder="1" applyAlignment="1">
      <alignment horizontal="center" wrapText="1"/>
    </xf>
    <xf numFmtId="1" fontId="2" fillId="8" borderId="20" xfId="1" applyNumberFormat="1" applyFont="1" applyFill="1" applyBorder="1" applyAlignment="1">
      <alignment horizontal="center" vertical="center"/>
    </xf>
    <xf numFmtId="1" fontId="2" fillId="8" borderId="21" xfId="1" applyNumberFormat="1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/>
    </xf>
    <xf numFmtId="0" fontId="2" fillId="8" borderId="28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8" fillId="8" borderId="9" xfId="0" applyFont="1" applyFill="1" applyBorder="1" applyAlignment="1">
      <alignment horizontal="center" wrapText="1"/>
    </xf>
    <xf numFmtId="0" fontId="8" fillId="8" borderId="11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CCFF"/>
      <color rgb="FFFFFFCC"/>
      <color rgb="FF99FF99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  <pageSetUpPr fitToPage="1"/>
  </sheetPr>
  <dimension ref="A1:P29"/>
  <sheetViews>
    <sheetView view="pageLayout" zoomScaleNormal="80" workbookViewId="0">
      <selection activeCell="B4" sqref="B4:P4"/>
    </sheetView>
  </sheetViews>
  <sheetFormatPr defaultRowHeight="15" x14ac:dyDescent="0.25"/>
  <cols>
    <col min="1" max="1" width="19" customWidth="1"/>
    <col min="2" max="3" width="9.140625" style="2"/>
    <col min="4" max="4" width="15.140625" style="93" customWidth="1"/>
    <col min="5" max="6" width="9.140625" style="2"/>
    <col min="7" max="7" width="14.5703125" style="115" customWidth="1"/>
    <col min="8" max="9" width="9.140625" style="2"/>
    <col min="10" max="10" width="14.42578125" style="115" customWidth="1"/>
    <col min="11" max="12" width="9.140625" style="2"/>
    <col min="13" max="13" width="14.42578125" style="115" customWidth="1"/>
    <col min="14" max="15" width="9.140625" style="2"/>
    <col min="16" max="16" width="14.42578125" style="115" customWidth="1"/>
  </cols>
  <sheetData>
    <row r="1" spans="1:16" x14ac:dyDescent="0.25">
      <c r="A1" s="118" t="s">
        <v>68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</row>
    <row r="2" spans="1:16" s="1" customFormat="1" ht="29.25" customHeight="1" x14ac:dyDescent="0.2">
      <c r="A2" s="1" t="s">
        <v>0</v>
      </c>
      <c r="B2" s="117" t="s">
        <v>59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</row>
    <row r="3" spans="1:16" s="1" customFormat="1" ht="14.25" customHeight="1" x14ac:dyDescent="0.2">
      <c r="B3" s="117" t="s">
        <v>28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</row>
    <row r="4" spans="1:16" s="1" customFormat="1" ht="52.5" customHeight="1" thickBot="1" x14ac:dyDescent="0.25">
      <c r="A4" s="3" t="s">
        <v>27</v>
      </c>
      <c r="B4" s="117" t="s">
        <v>71</v>
      </c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</row>
    <row r="5" spans="1:16" s="1" customFormat="1" ht="14.25" x14ac:dyDescent="0.2">
      <c r="A5" s="146"/>
      <c r="B5" s="140" t="s">
        <v>7</v>
      </c>
      <c r="C5" s="141"/>
      <c r="D5" s="142"/>
      <c r="E5" s="140" t="s">
        <v>8</v>
      </c>
      <c r="F5" s="141"/>
      <c r="G5" s="142"/>
      <c r="H5" s="140" t="s">
        <v>9</v>
      </c>
      <c r="I5" s="141"/>
      <c r="J5" s="142"/>
      <c r="K5" s="140" t="s">
        <v>10</v>
      </c>
      <c r="L5" s="141"/>
      <c r="M5" s="142"/>
      <c r="N5" s="4"/>
      <c r="O5" s="4"/>
      <c r="P5" s="109"/>
    </row>
    <row r="6" spans="1:16" s="1" customFormat="1" ht="41.25" customHeight="1" x14ac:dyDescent="0.2">
      <c r="A6" s="147"/>
      <c r="B6" s="68" t="s">
        <v>5</v>
      </c>
      <c r="C6" s="63" t="s">
        <v>4</v>
      </c>
      <c r="D6" s="69" t="s">
        <v>6</v>
      </c>
      <c r="E6" s="68" t="s">
        <v>5</v>
      </c>
      <c r="F6" s="63" t="s">
        <v>4</v>
      </c>
      <c r="G6" s="94" t="s">
        <v>6</v>
      </c>
      <c r="H6" s="68" t="s">
        <v>5</v>
      </c>
      <c r="I6" s="63" t="s">
        <v>4</v>
      </c>
      <c r="J6" s="94" t="s">
        <v>6</v>
      </c>
      <c r="K6" s="68" t="s">
        <v>5</v>
      </c>
      <c r="L6" s="63" t="s">
        <v>4</v>
      </c>
      <c r="M6" s="94" t="s">
        <v>6</v>
      </c>
      <c r="N6" s="4"/>
      <c r="O6" s="4"/>
      <c r="P6" s="109"/>
    </row>
    <row r="7" spans="1:16" s="1" customFormat="1" ht="14.25" x14ac:dyDescent="0.2">
      <c r="A7" s="66" t="s">
        <v>1</v>
      </c>
      <c r="B7" s="70"/>
      <c r="C7" s="64"/>
      <c r="D7" s="100" t="str">
        <f>IFERROR((SUM(C7/B7)), "")</f>
        <v/>
      </c>
      <c r="E7" s="70"/>
      <c r="F7" s="64"/>
      <c r="G7" s="107" t="str">
        <f>IFERROR((SUM(F7/E7)), "")</f>
        <v/>
      </c>
      <c r="H7" s="70"/>
      <c r="I7" s="64"/>
      <c r="J7" s="107" t="str">
        <f>IFERROR((SUM(I7/H7)), "")</f>
        <v/>
      </c>
      <c r="K7" s="73">
        <f>B7+E7+H7</f>
        <v>0</v>
      </c>
      <c r="L7" s="65">
        <f>C7+F7+I7</f>
        <v>0</v>
      </c>
      <c r="M7" s="107" t="str">
        <f>IFERROR((SUM(L7/K7)), "")</f>
        <v/>
      </c>
      <c r="N7" s="4"/>
      <c r="O7" s="4"/>
      <c r="P7" s="109"/>
    </row>
    <row r="8" spans="1:16" s="1" customFormat="1" ht="14.25" x14ac:dyDescent="0.2">
      <c r="A8" s="66" t="s">
        <v>2</v>
      </c>
      <c r="B8" s="70"/>
      <c r="C8" s="64"/>
      <c r="D8" s="100" t="str">
        <f>IFERROR((SUM(C8/B8)), "")</f>
        <v/>
      </c>
      <c r="E8" s="70"/>
      <c r="F8" s="64"/>
      <c r="G8" s="107" t="str">
        <f>IFERROR((SUM(F8/E8)), "")</f>
        <v/>
      </c>
      <c r="H8" s="70"/>
      <c r="I8" s="64"/>
      <c r="J8" s="107" t="str">
        <f>IFERROR((SUM(I8/H8)), "")</f>
        <v/>
      </c>
      <c r="K8" s="73">
        <f t="shared" ref="K8:K9" si="0">B8+E8+H8</f>
        <v>0</v>
      </c>
      <c r="L8" s="65">
        <f t="shared" ref="L8:L9" si="1">C8+F8+I8</f>
        <v>0</v>
      </c>
      <c r="M8" s="107" t="str">
        <f t="shared" ref="M8:M10" si="2">IFERROR((SUM(L8/K8)), "")</f>
        <v/>
      </c>
      <c r="N8" s="4"/>
      <c r="O8" s="4"/>
      <c r="P8" s="109"/>
    </row>
    <row r="9" spans="1:16" s="1" customFormat="1" ht="14.25" x14ac:dyDescent="0.2">
      <c r="A9" s="66" t="s">
        <v>3</v>
      </c>
      <c r="B9" s="70"/>
      <c r="C9" s="64"/>
      <c r="D9" s="100" t="str">
        <f>IFERROR((SUM(C9/B9)), "")</f>
        <v/>
      </c>
      <c r="E9" s="70"/>
      <c r="F9" s="64"/>
      <c r="G9" s="107" t="str">
        <f>IFERROR((SUM(F9/E9)), "")</f>
        <v/>
      </c>
      <c r="H9" s="70"/>
      <c r="I9" s="64"/>
      <c r="J9" s="107" t="str">
        <f>IFERROR((SUM(I9/H9)), "")</f>
        <v/>
      </c>
      <c r="K9" s="73">
        <f t="shared" si="0"/>
        <v>0</v>
      </c>
      <c r="L9" s="65">
        <f t="shared" si="1"/>
        <v>0</v>
      </c>
      <c r="M9" s="107" t="str">
        <f t="shared" si="2"/>
        <v/>
      </c>
      <c r="N9" s="4"/>
      <c r="O9" s="4"/>
      <c r="P9" s="109"/>
    </row>
    <row r="10" spans="1:16" s="1" customFormat="1" thickBot="1" x14ac:dyDescent="0.25">
      <c r="A10" s="67" t="s">
        <v>11</v>
      </c>
      <c r="B10" s="71">
        <f>SUM(B7:B9)</f>
        <v>0</v>
      </c>
      <c r="C10" s="72">
        <f>SUM(C7:C9)</f>
        <v>0</v>
      </c>
      <c r="D10" s="101" t="str">
        <f>IFERROR((SUM(C10/B10)), "")</f>
        <v/>
      </c>
      <c r="E10" s="71">
        <f>SUM(E7:E9)</f>
        <v>0</v>
      </c>
      <c r="F10" s="72">
        <f>SUM(F7:F9)</f>
        <v>0</v>
      </c>
      <c r="G10" s="108" t="str">
        <f>IFERROR((SUM(F10/E10)), "")</f>
        <v/>
      </c>
      <c r="H10" s="71">
        <f>SUM(H7:H9)</f>
        <v>0</v>
      </c>
      <c r="I10" s="72">
        <f>SUM(I7:I9)</f>
        <v>0</v>
      </c>
      <c r="J10" s="108" t="str">
        <f>IFERROR((SUM(I10/H10)), "")</f>
        <v/>
      </c>
      <c r="K10" s="71">
        <f>SUM(K7:K9)</f>
        <v>0</v>
      </c>
      <c r="L10" s="72">
        <f>SUM(L7:L9)</f>
        <v>0</v>
      </c>
      <c r="M10" s="107" t="str">
        <f t="shared" si="2"/>
        <v/>
      </c>
      <c r="N10" s="4"/>
      <c r="O10" s="4"/>
      <c r="P10" s="109"/>
    </row>
    <row r="11" spans="1:16" s="1" customFormat="1" thickBot="1" x14ac:dyDescent="0.25">
      <c r="B11" s="4"/>
      <c r="C11" s="4"/>
      <c r="D11" s="4"/>
      <c r="E11" s="4"/>
      <c r="F11" s="4"/>
      <c r="G11" s="109"/>
      <c r="H11" s="4"/>
      <c r="I11" s="4"/>
      <c r="J11" s="109"/>
      <c r="K11" s="4"/>
      <c r="L11" s="4"/>
      <c r="M11" s="109"/>
      <c r="N11" s="4"/>
      <c r="O11" s="4"/>
      <c r="P11" s="109"/>
    </row>
    <row r="12" spans="1:16" s="1" customFormat="1" ht="14.25" x14ac:dyDescent="0.2">
      <c r="A12" s="148"/>
      <c r="B12" s="143" t="s">
        <v>7</v>
      </c>
      <c r="C12" s="144"/>
      <c r="D12" s="145"/>
      <c r="E12" s="143" t="s">
        <v>8</v>
      </c>
      <c r="F12" s="144"/>
      <c r="G12" s="145"/>
      <c r="H12" s="143" t="s">
        <v>9</v>
      </c>
      <c r="I12" s="144"/>
      <c r="J12" s="145"/>
      <c r="K12" s="143" t="s">
        <v>25</v>
      </c>
      <c r="L12" s="144"/>
      <c r="M12" s="145"/>
      <c r="N12" s="143" t="s">
        <v>19</v>
      </c>
      <c r="O12" s="144"/>
      <c r="P12" s="145"/>
    </row>
    <row r="13" spans="1:16" s="1" customFormat="1" ht="38.25" customHeight="1" x14ac:dyDescent="0.2">
      <c r="A13" s="149"/>
      <c r="B13" s="52" t="s">
        <v>5</v>
      </c>
      <c r="C13" s="6" t="s">
        <v>4</v>
      </c>
      <c r="D13" s="53" t="s">
        <v>6</v>
      </c>
      <c r="E13" s="52" t="s">
        <v>5</v>
      </c>
      <c r="F13" s="6" t="s">
        <v>4</v>
      </c>
      <c r="G13" s="95" t="s">
        <v>6</v>
      </c>
      <c r="H13" s="52" t="s">
        <v>5</v>
      </c>
      <c r="I13" s="6" t="s">
        <v>4</v>
      </c>
      <c r="J13" s="95" t="s">
        <v>6</v>
      </c>
      <c r="K13" s="52" t="s">
        <v>5</v>
      </c>
      <c r="L13" s="6" t="s">
        <v>4</v>
      </c>
      <c r="M13" s="95" t="s">
        <v>6</v>
      </c>
      <c r="N13" s="52" t="s">
        <v>5</v>
      </c>
      <c r="O13" s="6" t="s">
        <v>4</v>
      </c>
      <c r="P13" s="95" t="s">
        <v>6</v>
      </c>
    </row>
    <row r="14" spans="1:16" s="1" customFormat="1" ht="14.25" x14ac:dyDescent="0.2">
      <c r="A14" s="77" t="s">
        <v>12</v>
      </c>
      <c r="B14" s="57"/>
      <c r="C14" s="56"/>
      <c r="D14" s="102" t="str">
        <f>IFERROR((SUM(C14/B14)), "")</f>
        <v/>
      </c>
      <c r="E14" s="57"/>
      <c r="F14" s="56"/>
      <c r="G14" s="110" t="str">
        <f>IFERROR((SUM(F14/E14)), "")</f>
        <v/>
      </c>
      <c r="H14" s="57"/>
      <c r="I14" s="56"/>
      <c r="J14" s="110" t="str">
        <f>IFERROR((SUM(I14/H14)), "")</f>
        <v/>
      </c>
      <c r="K14" s="57"/>
      <c r="L14" s="56"/>
      <c r="M14" s="110" t="str">
        <f>IFERROR((SUM(L14/K14)), "")</f>
        <v/>
      </c>
      <c r="N14" s="79">
        <f>B14+E14+H14+K14</f>
        <v>0</v>
      </c>
      <c r="O14" s="51">
        <f>C14+F14+I14+L14</f>
        <v>0</v>
      </c>
      <c r="P14" s="110" t="str">
        <f>IFERROR((SUM(O14/N14)), "")</f>
        <v/>
      </c>
    </row>
    <row r="15" spans="1:16" s="1" customFormat="1" ht="14.25" x14ac:dyDescent="0.2">
      <c r="A15" s="77" t="s">
        <v>13</v>
      </c>
      <c r="B15" s="57"/>
      <c r="C15" s="56"/>
      <c r="D15" s="102" t="str">
        <f>IFERROR((SUM(C15/B15)), "")</f>
        <v/>
      </c>
      <c r="E15" s="57"/>
      <c r="F15" s="56"/>
      <c r="G15" s="110" t="str">
        <f>IFERROR((SUM(F15/E15)), "")</f>
        <v/>
      </c>
      <c r="H15" s="57"/>
      <c r="I15" s="56"/>
      <c r="J15" s="110" t="str">
        <f>IFERROR((SUM(I15/H15)), "")</f>
        <v/>
      </c>
      <c r="K15" s="57"/>
      <c r="L15" s="56"/>
      <c r="M15" s="110" t="str">
        <f>IFERROR((SUM(L15/K15)), "")</f>
        <v/>
      </c>
      <c r="N15" s="79">
        <f t="shared" ref="N15:N16" si="3">B15+E15+H15+K15</f>
        <v>0</v>
      </c>
      <c r="O15" s="51">
        <f t="shared" ref="O15:O16" si="4">C15+F15+I15+L15</f>
        <v>0</v>
      </c>
      <c r="P15" s="110" t="str">
        <f>IFERROR((SUM(O15/N15)), "")</f>
        <v/>
      </c>
    </row>
    <row r="16" spans="1:16" s="1" customFormat="1" ht="14.25" x14ac:dyDescent="0.2">
      <c r="A16" s="77" t="s">
        <v>14</v>
      </c>
      <c r="B16" s="57"/>
      <c r="C16" s="56"/>
      <c r="D16" s="102" t="str">
        <f>IFERROR((SUM(C16/B16)), "")</f>
        <v/>
      </c>
      <c r="E16" s="57"/>
      <c r="F16" s="56"/>
      <c r="G16" s="110" t="str">
        <f>IFERROR((SUM(F16/E16)), "")</f>
        <v/>
      </c>
      <c r="H16" s="57"/>
      <c r="I16" s="56"/>
      <c r="J16" s="110" t="str">
        <f>IFERROR((SUM(I16/H16)), "")</f>
        <v/>
      </c>
      <c r="K16" s="57"/>
      <c r="L16" s="56"/>
      <c r="M16" s="110" t="str">
        <f>IFERROR((SUM(L16/K16)), "")</f>
        <v/>
      </c>
      <c r="N16" s="79">
        <f t="shared" si="3"/>
        <v>0</v>
      </c>
      <c r="O16" s="51">
        <f t="shared" si="4"/>
        <v>0</v>
      </c>
      <c r="P16" s="110" t="str">
        <f>IFERROR((SUM(O16/N16)), "")</f>
        <v/>
      </c>
    </row>
    <row r="17" spans="1:16" s="1" customFormat="1" thickBot="1" x14ac:dyDescent="0.25">
      <c r="A17" s="78" t="s">
        <v>15</v>
      </c>
      <c r="B17" s="54">
        <f>SUM(B14:B16)</f>
        <v>0</v>
      </c>
      <c r="C17" s="55">
        <f>SUM(C14:C16)</f>
        <v>0</v>
      </c>
      <c r="D17" s="103" t="str">
        <f>IFERROR((SUM(C17/B17)), "")</f>
        <v/>
      </c>
      <c r="E17" s="54">
        <f>SUM(E14:E16)</f>
        <v>0</v>
      </c>
      <c r="F17" s="55">
        <f>SUM(F14:F16)</f>
        <v>0</v>
      </c>
      <c r="G17" s="111" t="str">
        <f>IFERROR((SUM(F17/E17)), "")</f>
        <v/>
      </c>
      <c r="H17" s="54">
        <f>SUM(H14:H16)</f>
        <v>0</v>
      </c>
      <c r="I17" s="55">
        <f>SUM(I14:I16)</f>
        <v>0</v>
      </c>
      <c r="J17" s="111" t="str">
        <f>IFERROR((SUM(I17/H17)), "")</f>
        <v/>
      </c>
      <c r="K17" s="54">
        <f>SUM(K14:K16)</f>
        <v>0</v>
      </c>
      <c r="L17" s="55">
        <f>SUM(L14:L16)</f>
        <v>0</v>
      </c>
      <c r="M17" s="111" t="str">
        <f>IFERROR((SUM(L17/K17)), "")</f>
        <v/>
      </c>
      <c r="N17" s="54">
        <f>SUM(N14:N16)</f>
        <v>0</v>
      </c>
      <c r="O17" s="55">
        <f>SUM(O14:O16)</f>
        <v>0</v>
      </c>
      <c r="P17" s="111" t="e">
        <f t="shared" ref="P17" si="5">SUM(O17/N17)</f>
        <v>#DIV/0!</v>
      </c>
    </row>
    <row r="18" spans="1:16" s="1" customFormat="1" thickBot="1" x14ac:dyDescent="0.25">
      <c r="B18" s="4"/>
      <c r="C18" s="4"/>
      <c r="D18" s="4"/>
      <c r="E18" s="4"/>
      <c r="F18" s="4"/>
      <c r="G18" s="109"/>
      <c r="H18" s="4"/>
      <c r="I18" s="4"/>
      <c r="J18" s="109"/>
      <c r="K18" s="4"/>
      <c r="L18" s="4"/>
      <c r="M18" s="109"/>
      <c r="N18" s="4"/>
      <c r="O18" s="4"/>
      <c r="P18" s="109"/>
    </row>
    <row r="19" spans="1:16" s="1" customFormat="1" ht="14.25" x14ac:dyDescent="0.2">
      <c r="A19" s="130"/>
      <c r="B19" s="132" t="s">
        <v>7</v>
      </c>
      <c r="C19" s="133"/>
      <c r="D19" s="134"/>
      <c r="E19" s="132" t="s">
        <v>8</v>
      </c>
      <c r="F19" s="133"/>
      <c r="G19" s="134"/>
      <c r="H19" s="132" t="s">
        <v>9</v>
      </c>
      <c r="I19" s="133"/>
      <c r="J19" s="134"/>
      <c r="K19" s="132" t="s">
        <v>18</v>
      </c>
      <c r="L19" s="133"/>
      <c r="M19" s="134"/>
      <c r="N19" s="4"/>
      <c r="O19" s="4"/>
      <c r="P19" s="109"/>
    </row>
    <row r="20" spans="1:16" s="1" customFormat="1" ht="38.25" x14ac:dyDescent="0.2">
      <c r="A20" s="131"/>
      <c r="B20" s="80" t="s">
        <v>5</v>
      </c>
      <c r="C20" s="5" t="s">
        <v>4</v>
      </c>
      <c r="D20" s="81" t="s">
        <v>6</v>
      </c>
      <c r="E20" s="80" t="s">
        <v>5</v>
      </c>
      <c r="F20" s="5" t="s">
        <v>4</v>
      </c>
      <c r="G20" s="96" t="s">
        <v>6</v>
      </c>
      <c r="H20" s="80" t="s">
        <v>5</v>
      </c>
      <c r="I20" s="5" t="s">
        <v>4</v>
      </c>
      <c r="J20" s="96" t="s">
        <v>6</v>
      </c>
      <c r="K20" s="80" t="s">
        <v>5</v>
      </c>
      <c r="L20" s="5" t="s">
        <v>4</v>
      </c>
      <c r="M20" s="96" t="s">
        <v>6</v>
      </c>
      <c r="N20" s="4"/>
      <c r="O20" s="4"/>
      <c r="P20" s="109"/>
    </row>
    <row r="21" spans="1:16" s="1" customFormat="1" thickBot="1" x14ac:dyDescent="0.25">
      <c r="A21" s="76" t="s">
        <v>16</v>
      </c>
      <c r="B21" s="82"/>
      <c r="C21" s="83"/>
      <c r="D21" s="104" t="str">
        <f>IFERROR((SUM(C21/B21)), "")</f>
        <v/>
      </c>
      <c r="E21" s="82"/>
      <c r="F21" s="83"/>
      <c r="G21" s="112" t="str">
        <f>IFERROR((SUM(F21/E21)), "")</f>
        <v/>
      </c>
      <c r="H21" s="82"/>
      <c r="I21" s="83"/>
      <c r="J21" s="112" t="str">
        <f>IFERROR((SUM(I21/H21)), "")</f>
        <v/>
      </c>
      <c r="K21" s="84">
        <f>B21+E21+H21</f>
        <v>0</v>
      </c>
      <c r="L21" s="85">
        <f>C21+F21+I21</f>
        <v>0</v>
      </c>
      <c r="M21" s="112" t="str">
        <f>IFERROR((SUM(L21/K21)), "")</f>
        <v/>
      </c>
      <c r="N21" s="4"/>
      <c r="O21" s="4"/>
      <c r="P21" s="109"/>
    </row>
    <row r="22" spans="1:16" s="1" customFormat="1" thickBot="1" x14ac:dyDescent="0.25">
      <c r="B22" s="4"/>
      <c r="C22" s="4"/>
      <c r="D22" s="4"/>
      <c r="E22" s="4"/>
      <c r="F22" s="4"/>
      <c r="G22" s="109"/>
      <c r="H22" s="4"/>
      <c r="I22" s="4"/>
      <c r="J22" s="109"/>
      <c r="K22" s="4"/>
      <c r="L22" s="4"/>
      <c r="M22" s="109"/>
      <c r="N22" s="4"/>
      <c r="O22" s="4"/>
      <c r="P22" s="109"/>
    </row>
    <row r="23" spans="1:16" s="1" customFormat="1" ht="14.25" x14ac:dyDescent="0.2">
      <c r="A23" s="135"/>
      <c r="B23" s="137" t="s">
        <v>7</v>
      </c>
      <c r="C23" s="138"/>
      <c r="D23" s="139"/>
      <c r="E23" s="137" t="s">
        <v>8</v>
      </c>
      <c r="F23" s="138"/>
      <c r="G23" s="139"/>
      <c r="H23" s="137" t="s">
        <v>9</v>
      </c>
      <c r="I23" s="138"/>
      <c r="J23" s="139"/>
      <c r="K23" s="137" t="s">
        <v>25</v>
      </c>
      <c r="L23" s="138"/>
      <c r="M23" s="139"/>
      <c r="N23" s="137" t="s">
        <v>20</v>
      </c>
      <c r="O23" s="138"/>
      <c r="P23" s="139"/>
    </row>
    <row r="24" spans="1:16" s="1" customFormat="1" ht="39" customHeight="1" x14ac:dyDescent="0.2">
      <c r="A24" s="136"/>
      <c r="B24" s="86" t="s">
        <v>5</v>
      </c>
      <c r="C24" s="7" t="s">
        <v>4</v>
      </c>
      <c r="D24" s="87" t="s">
        <v>6</v>
      </c>
      <c r="E24" s="86" t="s">
        <v>5</v>
      </c>
      <c r="F24" s="7" t="s">
        <v>4</v>
      </c>
      <c r="G24" s="97" t="s">
        <v>6</v>
      </c>
      <c r="H24" s="86" t="s">
        <v>5</v>
      </c>
      <c r="I24" s="7" t="s">
        <v>4</v>
      </c>
      <c r="J24" s="97" t="s">
        <v>6</v>
      </c>
      <c r="K24" s="86" t="s">
        <v>5</v>
      </c>
      <c r="L24" s="7" t="s">
        <v>4</v>
      </c>
      <c r="M24" s="97" t="s">
        <v>6</v>
      </c>
      <c r="N24" s="86" t="s">
        <v>5</v>
      </c>
      <c r="O24" s="7" t="s">
        <v>4</v>
      </c>
      <c r="P24" s="97" t="s">
        <v>6</v>
      </c>
    </row>
    <row r="25" spans="1:16" s="1" customFormat="1" thickBot="1" x14ac:dyDescent="0.25">
      <c r="A25" s="75" t="s">
        <v>17</v>
      </c>
      <c r="B25" s="82"/>
      <c r="C25" s="83"/>
      <c r="D25" s="105" t="str">
        <f>IFERROR((SUM(C25/B25)), "")</f>
        <v/>
      </c>
      <c r="E25" s="82"/>
      <c r="F25" s="83"/>
      <c r="G25" s="113" t="str">
        <f>IFERROR((SUM(F25/E25)), "")</f>
        <v/>
      </c>
      <c r="H25" s="82"/>
      <c r="I25" s="83"/>
      <c r="J25" s="113" t="str">
        <f>IFERROR((SUM(I25/H25)), "")</f>
        <v/>
      </c>
      <c r="K25" s="82"/>
      <c r="L25" s="83"/>
      <c r="M25" s="113" t="str">
        <f>IFERROR((SUM(L25/K25)), "")</f>
        <v/>
      </c>
      <c r="N25" s="88">
        <f>B25+E25+H25+K25</f>
        <v>0</v>
      </c>
      <c r="O25" s="89">
        <f>C25+F25+I25+L25</f>
        <v>0</v>
      </c>
      <c r="P25" s="113" t="str">
        <f>IFERROR((SUM(O25/N25)), "")</f>
        <v/>
      </c>
    </row>
    <row r="26" spans="1:16" s="1" customFormat="1" thickBot="1" x14ac:dyDescent="0.25">
      <c r="B26" s="4"/>
      <c r="C26" s="4"/>
      <c r="D26" s="4"/>
      <c r="E26" s="4"/>
      <c r="F26" s="4"/>
      <c r="G26" s="109"/>
      <c r="H26" s="4"/>
      <c r="I26" s="4"/>
      <c r="J26" s="109"/>
      <c r="K26" s="4"/>
      <c r="L26" s="4"/>
      <c r="M26" s="109"/>
      <c r="N26" s="4"/>
      <c r="O26" s="4"/>
      <c r="P26" s="109" t="s">
        <v>58</v>
      </c>
    </row>
    <row r="27" spans="1:16" s="1" customFormat="1" ht="14.25" x14ac:dyDescent="0.2">
      <c r="A27" s="119"/>
      <c r="B27" s="121" t="s">
        <v>21</v>
      </c>
      <c r="C27" s="122"/>
      <c r="D27" s="123"/>
      <c r="E27" s="124" t="s">
        <v>22</v>
      </c>
      <c r="F27" s="125"/>
      <c r="G27" s="126"/>
      <c r="H27" s="121" t="s">
        <v>23</v>
      </c>
      <c r="I27" s="122"/>
      <c r="J27" s="123"/>
      <c r="K27" s="121" t="s">
        <v>26</v>
      </c>
      <c r="L27" s="122"/>
      <c r="M27" s="123"/>
      <c r="N27" s="127" t="s">
        <v>24</v>
      </c>
      <c r="O27" s="128"/>
      <c r="P27" s="129"/>
    </row>
    <row r="28" spans="1:16" s="1" customFormat="1" ht="40.5" customHeight="1" x14ac:dyDescent="0.2">
      <c r="A28" s="120"/>
      <c r="B28" s="59" t="s">
        <v>5</v>
      </c>
      <c r="C28" s="58" t="s">
        <v>4</v>
      </c>
      <c r="D28" s="60" t="s">
        <v>6</v>
      </c>
      <c r="E28" s="59" t="s">
        <v>5</v>
      </c>
      <c r="F28" s="58" t="s">
        <v>4</v>
      </c>
      <c r="G28" s="98" t="s">
        <v>6</v>
      </c>
      <c r="H28" s="59" t="s">
        <v>5</v>
      </c>
      <c r="I28" s="58" t="s">
        <v>4</v>
      </c>
      <c r="J28" s="98" t="s">
        <v>6</v>
      </c>
      <c r="K28" s="59" t="s">
        <v>5</v>
      </c>
      <c r="L28" s="58" t="s">
        <v>4</v>
      </c>
      <c r="M28" s="98" t="s">
        <v>6</v>
      </c>
      <c r="N28" s="90" t="s">
        <v>5</v>
      </c>
      <c r="O28" s="8" t="s">
        <v>4</v>
      </c>
      <c r="P28" s="99" t="s">
        <v>6</v>
      </c>
    </row>
    <row r="29" spans="1:16" s="1" customFormat="1" ht="29.25" thickBot="1" x14ac:dyDescent="0.25">
      <c r="A29" s="74" t="s">
        <v>29</v>
      </c>
      <c r="B29" s="61">
        <f>SUM(B17+B21+B25+B10)</f>
        <v>0</v>
      </c>
      <c r="C29" s="62">
        <f>SUM(C17+C21+C25+C10)</f>
        <v>0</v>
      </c>
      <c r="D29" s="106" t="str">
        <f>IFERROR((SUM(C29/B29)), "")</f>
        <v/>
      </c>
      <c r="E29" s="61">
        <f>E17+E21+E25+E10</f>
        <v>0</v>
      </c>
      <c r="F29" s="62">
        <f>F17+F21+F25+F10</f>
        <v>0</v>
      </c>
      <c r="G29" s="114" t="str">
        <f>IFERROR((SUM(F29/E29)), "")</f>
        <v/>
      </c>
      <c r="H29" s="61">
        <f>H10+H17+H21+H25</f>
        <v>0</v>
      </c>
      <c r="I29" s="62">
        <f>I10+I17+I21+I25</f>
        <v>0</v>
      </c>
      <c r="J29" s="114" t="str">
        <f>IFERROR((SUM(I29/H29)), "")</f>
        <v/>
      </c>
      <c r="K29" s="61">
        <f>SUM(K17+K25)</f>
        <v>0</v>
      </c>
      <c r="L29" s="62">
        <f>SUM(L17+L25)</f>
        <v>0</v>
      </c>
      <c r="M29" s="114" t="str">
        <f>IFERROR((SUM(L29/K29)), "")</f>
        <v/>
      </c>
      <c r="N29" s="91">
        <f>K10+N17+N25+K21</f>
        <v>0</v>
      </c>
      <c r="O29" s="92">
        <f>L10+O17+O25+L21</f>
        <v>0</v>
      </c>
      <c r="P29" s="116" t="str">
        <f>IFERROR((SUM(O29/N29)), "")</f>
        <v/>
      </c>
    </row>
  </sheetData>
  <sheetProtection algorithmName="SHA-512" hashValue="q8XxNupwhS7Q1LhfbY7stGbMOsMaX5EX+PduVg1F0gLYdBZDAJxfZvds8xso/3v3KzhMFhpCEAWXvIgKszxwew==" saltValue="Ci2oqUkCQTpqFvFurgGP/Q==" spinCount="100000" sheet="1" objects="1" scenarios="1"/>
  <mergeCells count="32">
    <mergeCell ref="A5:A6"/>
    <mergeCell ref="A12:A13"/>
    <mergeCell ref="B12:D12"/>
    <mergeCell ref="E12:G12"/>
    <mergeCell ref="H12:J12"/>
    <mergeCell ref="N12:P12"/>
    <mergeCell ref="K12:M12"/>
    <mergeCell ref="E23:G23"/>
    <mergeCell ref="H23:J23"/>
    <mergeCell ref="N23:P23"/>
    <mergeCell ref="K23:M23"/>
    <mergeCell ref="B4:P4"/>
    <mergeCell ref="B5:D5"/>
    <mergeCell ref="E5:G5"/>
    <mergeCell ref="H5:J5"/>
    <mergeCell ref="K5:M5"/>
    <mergeCell ref="B3:P3"/>
    <mergeCell ref="A1:P1"/>
    <mergeCell ref="B2:P2"/>
    <mergeCell ref="A27:A28"/>
    <mergeCell ref="B27:D27"/>
    <mergeCell ref="E27:G27"/>
    <mergeCell ref="H27:J27"/>
    <mergeCell ref="N27:P27"/>
    <mergeCell ref="K27:M27"/>
    <mergeCell ref="A19:A20"/>
    <mergeCell ref="B19:D19"/>
    <mergeCell ref="E19:G19"/>
    <mergeCell ref="H19:J19"/>
    <mergeCell ref="K19:M19"/>
    <mergeCell ref="A23:A24"/>
    <mergeCell ref="B23:D23"/>
  </mergeCells>
  <dataValidations count="1">
    <dataValidation type="whole" allowBlank="1" showInputMessage="1" showErrorMessage="1" sqref="B7:C9 E7:F9 H7:I9 B14:C16 E14:F16 H14:I16 K14:L16 H21:I21 E21:F21 B21:C21 B25:C25 E25:F25 H25:I25 K25:L25">
      <formula1>0</formula1>
      <formula2>1000</formula2>
    </dataValidation>
  </dataValidations>
  <pageMargins left="0.50416666666666665" right="0.7" top="0.62" bottom="0.4" header="0.25" footer="0.25"/>
  <pageSetup scale="68" orientation="landscape" horizontalDpi="4294967293" r:id="rId1"/>
  <headerFooter>
    <oddHeader>&amp;C&amp;"Cambria,Bold"&amp;12Index 1: Student Achievement
2012-2013</oddHeader>
    <oddFooter>&amp;CCreated by E. Gearhart Adapted from Technical Description: Performance Index Indicators and Index Construction Guide from TEA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34"/>
  <sheetViews>
    <sheetView tabSelected="1" view="pageLayout" zoomScale="80" zoomScaleNormal="100" zoomScalePageLayoutView="80" workbookViewId="0">
      <selection activeCell="I14" sqref="I14"/>
    </sheetView>
  </sheetViews>
  <sheetFormatPr defaultRowHeight="15" x14ac:dyDescent="0.25"/>
  <cols>
    <col min="1" max="1" width="21.7109375" customWidth="1"/>
    <col min="3" max="3" width="9.140625" customWidth="1"/>
    <col min="4" max="4" width="12.7109375" customWidth="1"/>
    <col min="7" max="7" width="12.5703125" customWidth="1"/>
    <col min="8" max="8" width="14" customWidth="1"/>
    <col min="9" max="9" width="19" customWidth="1"/>
    <col min="10" max="10" width="10.42578125" customWidth="1"/>
  </cols>
  <sheetData>
    <row r="1" spans="1:13" x14ac:dyDescent="0.25">
      <c r="A1" s="150" t="s">
        <v>69</v>
      </c>
      <c r="B1" s="150"/>
      <c r="C1" s="150"/>
      <c r="D1" s="150"/>
      <c r="E1" s="150"/>
      <c r="F1" s="150"/>
      <c r="G1" s="150"/>
      <c r="H1" s="150"/>
      <c r="I1" s="150"/>
      <c r="J1" s="150"/>
      <c r="K1" s="50"/>
      <c r="L1" s="50"/>
      <c r="M1" s="13"/>
    </row>
    <row r="2" spans="1:13" s="1" customFormat="1" ht="54" customHeight="1" x14ac:dyDescent="0.2">
      <c r="A2" s="24" t="s">
        <v>60</v>
      </c>
      <c r="B2" s="117" t="s">
        <v>61</v>
      </c>
      <c r="C2" s="117"/>
      <c r="D2" s="117"/>
      <c r="E2" s="117"/>
      <c r="F2" s="117"/>
      <c r="G2" s="117"/>
      <c r="H2" s="117"/>
      <c r="I2" s="117"/>
      <c r="J2" s="117"/>
      <c r="K2" s="12"/>
      <c r="L2" s="12"/>
      <c r="M2" s="12"/>
    </row>
    <row r="3" spans="1:13" s="1" customFormat="1" ht="36" customHeight="1" x14ac:dyDescent="0.2">
      <c r="A3" s="24" t="s">
        <v>62</v>
      </c>
      <c r="B3" s="117" t="s">
        <v>63</v>
      </c>
      <c r="C3" s="117"/>
      <c r="D3" s="117"/>
      <c r="E3" s="117"/>
      <c r="F3" s="117"/>
      <c r="G3" s="117"/>
      <c r="H3" s="117"/>
      <c r="I3" s="117"/>
      <c r="J3" s="117"/>
      <c r="K3" s="12"/>
      <c r="L3" s="12"/>
      <c r="M3" s="12"/>
    </row>
    <row r="4" spans="1:13" s="1" customFormat="1" ht="30" customHeight="1" x14ac:dyDescent="0.2">
      <c r="A4" s="24" t="s">
        <v>57</v>
      </c>
      <c r="B4" s="117" t="s">
        <v>64</v>
      </c>
      <c r="C4" s="117"/>
      <c r="D4" s="117"/>
      <c r="E4" s="117"/>
      <c r="F4" s="117"/>
      <c r="G4" s="117"/>
      <c r="H4" s="117"/>
      <c r="I4" s="117"/>
      <c r="J4" s="117"/>
      <c r="K4" s="12"/>
      <c r="L4" s="12"/>
      <c r="M4" s="12"/>
    </row>
    <row r="5" spans="1:13" s="1" customFormat="1" ht="14.25" x14ac:dyDescent="0.2">
      <c r="A5" s="151" t="s">
        <v>28</v>
      </c>
      <c r="B5" s="151"/>
      <c r="C5" s="151"/>
      <c r="D5" s="151"/>
      <c r="E5" s="151"/>
      <c r="F5" s="151"/>
      <c r="G5" s="151"/>
      <c r="H5" s="151"/>
      <c r="I5" s="151"/>
      <c r="J5" s="151"/>
      <c r="K5" s="12"/>
      <c r="L5" s="12"/>
      <c r="M5" s="12"/>
    </row>
    <row r="6" spans="1:13" s="1" customFormat="1" ht="32.25" customHeight="1" x14ac:dyDescent="0.2">
      <c r="A6" s="3" t="s">
        <v>27</v>
      </c>
      <c r="B6" s="117" t="s">
        <v>70</v>
      </c>
      <c r="C6" s="117"/>
      <c r="D6" s="117"/>
      <c r="E6" s="117"/>
      <c r="F6" s="117"/>
      <c r="G6" s="117"/>
      <c r="H6" s="117"/>
      <c r="I6" s="117"/>
      <c r="J6" s="117"/>
      <c r="K6" s="12"/>
      <c r="L6" s="12"/>
      <c r="M6" s="12"/>
    </row>
    <row r="7" spans="1:13" s="1" customFormat="1" ht="30" customHeight="1" thickBot="1" x14ac:dyDescent="0.25">
      <c r="A7" s="3" t="s">
        <v>38</v>
      </c>
      <c r="B7" s="117" t="s">
        <v>65</v>
      </c>
      <c r="C7" s="117"/>
      <c r="D7" s="117"/>
      <c r="E7" s="117"/>
      <c r="F7" s="117"/>
      <c r="G7" s="117"/>
      <c r="H7" s="117"/>
      <c r="I7" s="117"/>
      <c r="J7" s="117"/>
      <c r="K7" s="12"/>
      <c r="L7" s="12"/>
      <c r="M7" s="10"/>
    </row>
    <row r="8" spans="1:13" ht="33" customHeight="1" x14ac:dyDescent="0.25">
      <c r="A8" s="160"/>
      <c r="B8" s="152" t="s">
        <v>66</v>
      </c>
      <c r="C8" s="153"/>
      <c r="D8" s="154"/>
      <c r="E8" s="162" t="s">
        <v>67</v>
      </c>
      <c r="F8" s="163"/>
      <c r="G8" s="164"/>
      <c r="H8" s="10"/>
      <c r="I8" s="10"/>
    </row>
    <row r="9" spans="1:13" s="9" customFormat="1" ht="24" x14ac:dyDescent="0.25">
      <c r="A9" s="161"/>
      <c r="B9" s="17" t="s">
        <v>37</v>
      </c>
      <c r="C9" s="15" t="s">
        <v>4</v>
      </c>
      <c r="D9" s="16" t="s">
        <v>39</v>
      </c>
      <c r="E9" s="14" t="s">
        <v>37</v>
      </c>
      <c r="F9" s="15" t="s">
        <v>4</v>
      </c>
      <c r="G9" s="16" t="s">
        <v>39</v>
      </c>
      <c r="H9" s="1"/>
      <c r="I9" s="1"/>
    </row>
    <row r="10" spans="1:13" s="9" customFormat="1" ht="16.5" customHeight="1" x14ac:dyDescent="0.25">
      <c r="A10" s="22" t="s">
        <v>42</v>
      </c>
      <c r="B10" s="25"/>
      <c r="C10" s="26"/>
      <c r="D10" s="37" t="str">
        <f t="shared" ref="D10:D25" si="0">IFERROR((SUM((C10/B10)*100)), "")</f>
        <v/>
      </c>
      <c r="E10" s="33"/>
      <c r="F10" s="26"/>
      <c r="G10" s="37" t="str">
        <f t="shared" ref="G10:G25" si="1">IFERROR((SUM((F10/E10)*100)), "")</f>
        <v/>
      </c>
      <c r="H10" s="11"/>
      <c r="I10" s="11"/>
    </row>
    <row r="11" spans="1:13" ht="16.5" customHeight="1" x14ac:dyDescent="0.25">
      <c r="A11" s="22" t="s">
        <v>41</v>
      </c>
      <c r="B11" s="25"/>
      <c r="C11" s="26"/>
      <c r="D11" s="37" t="str">
        <f t="shared" si="0"/>
        <v/>
      </c>
      <c r="E11" s="33"/>
      <c r="F11" s="26"/>
      <c r="G11" s="37" t="str">
        <f t="shared" si="1"/>
        <v/>
      </c>
      <c r="H11" s="11"/>
      <c r="I11" s="11"/>
    </row>
    <row r="12" spans="1:13" ht="16.5" customHeight="1" x14ac:dyDescent="0.25">
      <c r="A12" s="22" t="s">
        <v>43</v>
      </c>
      <c r="B12" s="27"/>
      <c r="C12" s="28"/>
      <c r="D12" s="37" t="str">
        <f t="shared" si="0"/>
        <v/>
      </c>
      <c r="E12" s="34"/>
      <c r="F12" s="28"/>
      <c r="G12" s="37" t="str">
        <f t="shared" si="1"/>
        <v/>
      </c>
      <c r="H12" s="1"/>
      <c r="I12" s="1"/>
    </row>
    <row r="13" spans="1:13" ht="16.5" customHeight="1" x14ac:dyDescent="0.25">
      <c r="A13" s="22" t="s">
        <v>45</v>
      </c>
      <c r="B13" s="27"/>
      <c r="C13" s="28"/>
      <c r="D13" s="37" t="str">
        <f t="shared" si="0"/>
        <v/>
      </c>
      <c r="E13" s="34"/>
      <c r="F13" s="28"/>
      <c r="G13" s="37" t="str">
        <f t="shared" si="1"/>
        <v/>
      </c>
      <c r="H13" s="1"/>
      <c r="I13" s="1"/>
    </row>
    <row r="14" spans="1:13" ht="16.5" customHeight="1" x14ac:dyDescent="0.25">
      <c r="A14" s="22" t="s">
        <v>44</v>
      </c>
      <c r="B14" s="27"/>
      <c r="C14" s="28"/>
      <c r="D14" s="37" t="str">
        <f t="shared" si="0"/>
        <v/>
      </c>
      <c r="E14" s="34"/>
      <c r="F14" s="28"/>
      <c r="G14" s="37" t="str">
        <f t="shared" si="1"/>
        <v/>
      </c>
      <c r="H14" s="1"/>
      <c r="I14" s="1"/>
    </row>
    <row r="15" spans="1:13" ht="16.5" customHeight="1" x14ac:dyDescent="0.25">
      <c r="A15" s="22" t="s">
        <v>48</v>
      </c>
      <c r="B15" s="27"/>
      <c r="C15" s="28"/>
      <c r="D15" s="37" t="str">
        <f t="shared" si="0"/>
        <v/>
      </c>
      <c r="E15" s="34"/>
      <c r="F15" s="28"/>
      <c r="G15" s="37" t="str">
        <f t="shared" si="1"/>
        <v/>
      </c>
      <c r="H15" s="1"/>
      <c r="I15" s="1"/>
    </row>
    <row r="16" spans="1:13" ht="16.5" customHeight="1" x14ac:dyDescent="0.25">
      <c r="A16" s="22" t="s">
        <v>49</v>
      </c>
      <c r="B16" s="27"/>
      <c r="C16" s="28"/>
      <c r="D16" s="37" t="str">
        <f t="shared" si="0"/>
        <v/>
      </c>
      <c r="E16" s="34"/>
      <c r="F16" s="28"/>
      <c r="G16" s="37" t="str">
        <f t="shared" si="1"/>
        <v/>
      </c>
      <c r="H16" s="1"/>
      <c r="I16" s="1"/>
    </row>
    <row r="17" spans="1:9" ht="16.5" customHeight="1" x14ac:dyDescent="0.25">
      <c r="A17" s="22" t="s">
        <v>50</v>
      </c>
      <c r="B17" s="27"/>
      <c r="C17" s="28"/>
      <c r="D17" s="37" t="str">
        <f t="shared" si="0"/>
        <v/>
      </c>
      <c r="E17" s="34"/>
      <c r="F17" s="28"/>
      <c r="G17" s="37" t="str">
        <f t="shared" si="1"/>
        <v/>
      </c>
      <c r="H17" s="1"/>
      <c r="I17" s="1"/>
    </row>
    <row r="18" spans="1:9" ht="16.5" customHeight="1" x14ac:dyDescent="0.25">
      <c r="A18" s="22" t="s">
        <v>46</v>
      </c>
      <c r="B18" s="27"/>
      <c r="C18" s="28"/>
      <c r="D18" s="37" t="str">
        <f t="shared" si="0"/>
        <v/>
      </c>
      <c r="E18" s="34"/>
      <c r="F18" s="28"/>
      <c r="G18" s="37" t="str">
        <f t="shared" si="1"/>
        <v/>
      </c>
      <c r="H18" s="1"/>
      <c r="I18" s="1"/>
    </row>
    <row r="19" spans="1:9" ht="16.5" customHeight="1" x14ac:dyDescent="0.25">
      <c r="A19" s="22" t="s">
        <v>47</v>
      </c>
      <c r="B19" s="27"/>
      <c r="C19" s="28"/>
      <c r="D19" s="37" t="str">
        <f t="shared" si="0"/>
        <v/>
      </c>
      <c r="E19" s="34"/>
      <c r="F19" s="28"/>
      <c r="G19" s="37" t="str">
        <f t="shared" si="1"/>
        <v/>
      </c>
      <c r="H19" s="1"/>
      <c r="I19" s="1"/>
    </row>
    <row r="20" spans="1:9" ht="16.5" customHeight="1" x14ac:dyDescent="0.25">
      <c r="A20" s="22" t="s">
        <v>51</v>
      </c>
      <c r="B20" s="27"/>
      <c r="C20" s="28"/>
      <c r="D20" s="37" t="str">
        <f t="shared" si="0"/>
        <v/>
      </c>
      <c r="E20" s="34"/>
      <c r="F20" s="28"/>
      <c r="G20" s="37" t="str">
        <f t="shared" si="1"/>
        <v/>
      </c>
      <c r="H20" s="1"/>
      <c r="I20" s="1"/>
    </row>
    <row r="21" spans="1:9" ht="16.5" customHeight="1" x14ac:dyDescent="0.25">
      <c r="A21" s="22" t="s">
        <v>52</v>
      </c>
      <c r="B21" s="27"/>
      <c r="C21" s="28"/>
      <c r="D21" s="37" t="str">
        <f t="shared" si="0"/>
        <v/>
      </c>
      <c r="E21" s="34"/>
      <c r="F21" s="28"/>
      <c r="G21" s="37" t="str">
        <f t="shared" si="1"/>
        <v/>
      </c>
      <c r="H21" s="1"/>
      <c r="I21" s="1"/>
    </row>
    <row r="22" spans="1:9" x14ac:dyDescent="0.25">
      <c r="A22" s="22" t="s">
        <v>53</v>
      </c>
      <c r="B22" s="27"/>
      <c r="C22" s="28"/>
      <c r="D22" s="37" t="str">
        <f t="shared" si="0"/>
        <v/>
      </c>
      <c r="E22" s="34"/>
      <c r="F22" s="28"/>
      <c r="G22" s="37" t="str">
        <f t="shared" si="1"/>
        <v/>
      </c>
      <c r="H22" s="1"/>
      <c r="I22" s="1"/>
    </row>
    <row r="23" spans="1:9" x14ac:dyDescent="0.25">
      <c r="A23" s="22" t="s">
        <v>54</v>
      </c>
      <c r="B23" s="27"/>
      <c r="C23" s="28"/>
      <c r="D23" s="37" t="str">
        <f t="shared" si="0"/>
        <v/>
      </c>
      <c r="E23" s="34"/>
      <c r="F23" s="28"/>
      <c r="G23" s="37" t="str">
        <f t="shared" si="1"/>
        <v/>
      </c>
      <c r="H23" s="1"/>
      <c r="I23" s="1"/>
    </row>
    <row r="24" spans="1:9" x14ac:dyDescent="0.25">
      <c r="A24" s="22" t="s">
        <v>55</v>
      </c>
      <c r="B24" s="29"/>
      <c r="C24" s="30"/>
      <c r="D24" s="37" t="str">
        <f t="shared" si="0"/>
        <v/>
      </c>
      <c r="E24" s="35"/>
      <c r="F24" s="30"/>
      <c r="G24" s="37" t="str">
        <f t="shared" si="1"/>
        <v/>
      </c>
      <c r="H24" s="1"/>
      <c r="I24" s="1"/>
    </row>
    <row r="25" spans="1:9" ht="15.75" thickBot="1" x14ac:dyDescent="0.3">
      <c r="A25" s="23" t="s">
        <v>56</v>
      </c>
      <c r="B25" s="31"/>
      <c r="C25" s="32"/>
      <c r="D25" s="37" t="str">
        <f t="shared" si="0"/>
        <v/>
      </c>
      <c r="E25" s="36"/>
      <c r="F25" s="32"/>
      <c r="G25" s="37" t="str">
        <f t="shared" si="1"/>
        <v/>
      </c>
      <c r="H25" s="1"/>
      <c r="I25" s="1"/>
    </row>
    <row r="26" spans="1:9" ht="15.75" thickBot="1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ht="36" customHeight="1" x14ac:dyDescent="0.25">
      <c r="A27" s="167"/>
      <c r="B27" s="169" t="s">
        <v>66</v>
      </c>
      <c r="C27" s="153"/>
      <c r="D27" s="170"/>
      <c r="E27" s="162" t="s">
        <v>67</v>
      </c>
      <c r="F27" s="163"/>
      <c r="G27" s="164"/>
      <c r="H27" s="171" t="s">
        <v>34</v>
      </c>
      <c r="I27" s="173" t="s">
        <v>40</v>
      </c>
    </row>
    <row r="28" spans="1:9" ht="28.5" customHeight="1" x14ac:dyDescent="0.25">
      <c r="A28" s="168"/>
      <c r="B28" s="14" t="s">
        <v>37</v>
      </c>
      <c r="C28" s="15" t="s">
        <v>4</v>
      </c>
      <c r="D28" s="18" t="s">
        <v>39</v>
      </c>
      <c r="E28" s="14" t="s">
        <v>37</v>
      </c>
      <c r="F28" s="15" t="s">
        <v>4</v>
      </c>
      <c r="G28" s="16" t="s">
        <v>39</v>
      </c>
      <c r="H28" s="172"/>
      <c r="I28" s="174"/>
    </row>
    <row r="29" spans="1:9" x14ac:dyDescent="0.25">
      <c r="A29" s="43" t="s">
        <v>30</v>
      </c>
      <c r="B29" s="19">
        <f>SUM(B10:B15)</f>
        <v>0</v>
      </c>
      <c r="C29" s="20">
        <f>SUM(C10:C15)</f>
        <v>0</v>
      </c>
      <c r="D29" s="39" t="str">
        <f>IFERROR((SUM((C29/B29)*100)), "")</f>
        <v/>
      </c>
      <c r="E29" s="19">
        <f>SUM(E10:E15)</f>
        <v>0</v>
      </c>
      <c r="F29" s="20">
        <f>SUM(F10:F15)</f>
        <v>0</v>
      </c>
      <c r="G29" s="38" t="str">
        <f>IFERROR((SUM((F29/E29)*100)), "")</f>
        <v/>
      </c>
      <c r="H29" s="49" t="str">
        <f>IFERROR((SUM(D29+G29)), "")</f>
        <v/>
      </c>
      <c r="I29" s="41">
        <v>200</v>
      </c>
    </row>
    <row r="30" spans="1:9" x14ac:dyDescent="0.25">
      <c r="A30" s="43" t="s">
        <v>31</v>
      </c>
      <c r="B30" s="19">
        <f>SUM(B16:B21)</f>
        <v>0</v>
      </c>
      <c r="C30" s="20">
        <f>SUM(C16:C21)</f>
        <v>0</v>
      </c>
      <c r="D30" s="39" t="str">
        <f>IFERROR((SUM((C30/B30)*100)), "")</f>
        <v/>
      </c>
      <c r="E30" s="19">
        <f>SUM(E16:E21)</f>
        <v>0</v>
      </c>
      <c r="F30" s="20">
        <f>SUM(F16:F21)</f>
        <v>0</v>
      </c>
      <c r="G30" s="38" t="str">
        <f>IFERROR((SUM((F30/E30)*100)), "")</f>
        <v/>
      </c>
      <c r="H30" s="49" t="str">
        <f>IFERROR((SUM(D30+G30)), "")</f>
        <v/>
      </c>
      <c r="I30" s="41">
        <v>200</v>
      </c>
    </row>
    <row r="31" spans="1:9" x14ac:dyDescent="0.25">
      <c r="A31" s="43" t="s">
        <v>32</v>
      </c>
      <c r="B31" s="19">
        <f>SUM(B22:B23)</f>
        <v>0</v>
      </c>
      <c r="C31" s="20">
        <f>SUM(C22:C23)</f>
        <v>0</v>
      </c>
      <c r="D31" s="39" t="str">
        <f>IFERROR((SUM((C31/B31)*100)), "")</f>
        <v/>
      </c>
      <c r="E31" s="19">
        <f>E23+SUM(E22:E23)</f>
        <v>0</v>
      </c>
      <c r="F31" s="20">
        <f>F23+SUM(F22:F23)</f>
        <v>0</v>
      </c>
      <c r="G31" s="38" t="str">
        <f>IFERROR((SUM((F31/E31)*100)), "")</f>
        <v/>
      </c>
      <c r="H31" s="49" t="str">
        <f>IFERROR((SUM(D31+G31)), "")</f>
        <v/>
      </c>
      <c r="I31" s="41">
        <v>200</v>
      </c>
    </row>
    <row r="32" spans="1:9" ht="15.75" thickBot="1" x14ac:dyDescent="0.3">
      <c r="A32" s="44" t="s">
        <v>33</v>
      </c>
      <c r="B32" s="45">
        <f>SUM(B24:B25)</f>
        <v>0</v>
      </c>
      <c r="C32" s="46">
        <f>SUM(C24:C25)</f>
        <v>0</v>
      </c>
      <c r="D32" s="48" t="str">
        <f>IFERROR((SUM((C32/B32)*100)), "")</f>
        <v/>
      </c>
      <c r="E32" s="45">
        <f>SUM(E24:E25)</f>
        <v>0</v>
      </c>
      <c r="F32" s="46">
        <f>SUM(F24:F25)</f>
        <v>0</v>
      </c>
      <c r="G32" s="47" t="str">
        <f>IFERROR((SUM((F32/E32)*100)), "")</f>
        <v/>
      </c>
      <c r="H32" s="49" t="str">
        <f>IFERROR((SUM(D32+G32)), "")</f>
        <v/>
      </c>
      <c r="I32" s="42">
        <v>200</v>
      </c>
    </row>
    <row r="33" spans="1:9" ht="15.75" thickBot="1" x14ac:dyDescent="0.3">
      <c r="A33" s="155" t="s">
        <v>35</v>
      </c>
      <c r="B33" s="156"/>
      <c r="C33" s="156"/>
      <c r="D33" s="156"/>
      <c r="E33" s="156"/>
      <c r="F33" s="156"/>
      <c r="G33" s="157"/>
      <c r="H33" s="40">
        <f>IFERROR((SUM(H29:H32)), "")</f>
        <v>0</v>
      </c>
      <c r="I33" s="21">
        <f>SUM(I29:I32)</f>
        <v>800</v>
      </c>
    </row>
    <row r="34" spans="1:9" ht="15.75" thickBot="1" x14ac:dyDescent="0.3">
      <c r="A34" s="155" t="s">
        <v>36</v>
      </c>
      <c r="B34" s="158"/>
      <c r="C34" s="158"/>
      <c r="D34" s="158"/>
      <c r="E34" s="158"/>
      <c r="F34" s="158"/>
      <c r="G34" s="159"/>
      <c r="H34" s="165">
        <f>IFERROR((SUM(H33/I33)*100), "")</f>
        <v>0</v>
      </c>
      <c r="I34" s="166"/>
    </row>
  </sheetData>
  <sheetProtection algorithmName="SHA-512" hashValue="UacimPp6UWiVyHTp4ztgPipnR9fNL3ClZMZ1Ou/mjg7rF+4ZJ41OFY4pD67nsDBI7lKSZPXx2jKuRSsqZjEkmw==" saltValue="9W5oJYwWgpGGNDzLk3FNng==" spinCount="100000" sheet="1" objects="1" scenarios="1"/>
  <mergeCells count="18">
    <mergeCell ref="B8:D8"/>
    <mergeCell ref="A33:G33"/>
    <mergeCell ref="A34:G34"/>
    <mergeCell ref="B7:J7"/>
    <mergeCell ref="A8:A9"/>
    <mergeCell ref="E8:G8"/>
    <mergeCell ref="H34:I34"/>
    <mergeCell ref="A27:A28"/>
    <mergeCell ref="B27:D27"/>
    <mergeCell ref="E27:G27"/>
    <mergeCell ref="H27:H28"/>
    <mergeCell ref="I27:I28"/>
    <mergeCell ref="A1:J1"/>
    <mergeCell ref="B2:J2"/>
    <mergeCell ref="B3:J3"/>
    <mergeCell ref="B4:J4"/>
    <mergeCell ref="B6:J6"/>
    <mergeCell ref="A5:J5"/>
  </mergeCells>
  <dataValidations count="1">
    <dataValidation type="whole" allowBlank="1" showInputMessage="1" showErrorMessage="1" sqref="B10:C25 E10:F25">
      <formula1>0</formula1>
      <formula2>1000</formula2>
    </dataValidation>
  </dataValidations>
  <pageMargins left="0.43" right="0.19" top="0.7" bottom="0.53" header="0.24" footer="0.3"/>
  <pageSetup orientation="landscape" horizontalDpi="4294967294" r:id="rId1"/>
  <headerFooter>
    <oddHeader>&amp;C&amp;"Cambria,Bold"&amp;12Index 3:  Closing Performance Gaps
2012-2013</oddHeader>
    <oddFooter>&amp;CCreated by E. Gearhart Adapted from Technical Description: Performance Index Indicators and Index Construction Guide from TEA&amp;R&amp;P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1 Student Achievement</vt:lpstr>
      <vt:lpstr>Index 3 Closing the Gap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GEARHART</dc:creator>
  <cp:lastModifiedBy>ELLIE GEARHART</cp:lastModifiedBy>
  <cp:lastPrinted>2013-05-21T18:54:54Z</cp:lastPrinted>
  <dcterms:created xsi:type="dcterms:W3CDTF">2013-05-19T15:35:03Z</dcterms:created>
  <dcterms:modified xsi:type="dcterms:W3CDTF">2013-05-22T02:24:37Z</dcterms:modified>
</cp:coreProperties>
</file>