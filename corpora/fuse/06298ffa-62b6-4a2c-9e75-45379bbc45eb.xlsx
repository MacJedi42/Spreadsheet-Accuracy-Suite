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6636" yWindow="972" windowWidth="11352" windowHeight="7368"/>
  </bookViews>
  <sheets>
    <sheet name="Sheet1" sheetId="1" r:id="rId1"/>
    <sheet name="Sheet2" sheetId="2" r:id="rId2"/>
    <sheet name="Sheet3" sheetId="3" r:id="rId3"/>
  </sheets>
  <definedNames>
    <definedName name="_xlnm.Print_Area" localSheetId="0">Sheet1!$A$1:$I$134</definedName>
  </definedNames>
  <calcPr calcId="145621"/>
</workbook>
</file>

<file path=xl/calcChain.xml><?xml version="1.0" encoding="utf-8"?>
<calcChain xmlns="http://schemas.openxmlformats.org/spreadsheetml/2006/main">
  <c r="J30" i="1" l="1"/>
  <c r="G49" i="1"/>
  <c r="G47" i="1"/>
  <c r="G39" i="1"/>
  <c r="G41" i="1"/>
  <c r="G43" i="1"/>
  <c r="G37" i="1"/>
  <c r="G35" i="1"/>
  <c r="G33" i="1"/>
  <c r="I110" i="1" l="1"/>
  <c r="I108" i="1"/>
  <c r="I106" i="1"/>
  <c r="I78" i="1"/>
  <c r="I70" i="1"/>
  <c r="I68" i="1"/>
  <c r="I21" i="1"/>
  <c r="I20" i="1"/>
  <c r="I19" i="1"/>
  <c r="I18" i="1"/>
  <c r="I15" i="1"/>
  <c r="I14" i="1"/>
  <c r="I13" i="1"/>
  <c r="I12" i="1"/>
  <c r="I90" i="1"/>
  <c r="I49" i="1"/>
  <c r="I47" i="1"/>
  <c r="I43" i="1"/>
  <c r="I41" i="1"/>
  <c r="I39" i="1"/>
  <c r="I37" i="1"/>
  <c r="I35" i="1"/>
  <c r="I33" i="1"/>
  <c r="I132" i="1" l="1"/>
</calcChain>
</file>

<file path=xl/sharedStrings.xml><?xml version="1.0" encoding="utf-8"?>
<sst xmlns="http://schemas.openxmlformats.org/spreadsheetml/2006/main" count="91" uniqueCount="82">
  <si>
    <t>Salary</t>
  </si>
  <si>
    <t>Health Insurance</t>
  </si>
  <si>
    <t>Basic PPO Plan</t>
  </si>
  <si>
    <t>Retirement</t>
  </si>
  <si>
    <t>1-5 years of employment</t>
  </si>
  <si>
    <t>&gt;10 years</t>
  </si>
  <si>
    <t>Police Officers 1-5 years</t>
  </si>
  <si>
    <t>Police Officers &gt;10 years</t>
  </si>
  <si>
    <t>Employee + Spouse / Partner……………</t>
  </si>
  <si>
    <t>High Deductible (including premium and HSA contribution)</t>
  </si>
  <si>
    <t>Enrolled? (yes or no)</t>
  </si>
  <si>
    <t>Multiplied By</t>
  </si>
  <si>
    <t>***Police Officers employed prior to April 1986 receive an additional 2.65% or their salary contribution to a 457 retirement account.  Officers employed after the April 1986 date receive 2.20% contribution.</t>
  </si>
  <si>
    <t>Annual Salary</t>
  </si>
  <si>
    <t>Cafeteria Option (formerly known as Fitness Wellness)</t>
  </si>
  <si>
    <t>Safety Wellness Bucks</t>
  </si>
  <si>
    <t>Safety Wellness Bucks is celebrating its second anniversary.  Safety Wellness Bucks illustrate the connection between safety and wellness as well as reward employees for their personal attention to health and safety.  Employees in low risk categories can receive up to $50.00, moderate risk categories are eligible for $55.00 and high risk categories $60.00.</t>
  </si>
  <si>
    <t xml:space="preserve">Continuing efforts to keep our employees healthy and happy, Aspen Recreation Fun Passes are made available to all full time employees and their families in exchange for volunteer hours. </t>
  </si>
  <si>
    <t>Annual ARC Fun Pass</t>
  </si>
  <si>
    <t>Golf and Stick &amp; Puck Passes</t>
  </si>
  <si>
    <t>By volunteering for additional hours (see City of Aspen Policies and Procedures for details) employees are eligible to receive a pass for free rounds of golf and or the stick and puck pass for free inclusion in informal hockey play.  Count how many times you used this benefit and use the dollar amount associated below to calculate the value.</t>
  </si>
  <si>
    <t>Goals &amp; Outcomes</t>
  </si>
  <si>
    <t>Your Total Goals &amp; Outcomes Reward………..…..…………………………………………………</t>
  </si>
  <si>
    <t>Lookin' Good Vouchers</t>
  </si>
  <si>
    <t># Vouchers You Received</t>
  </si>
  <si>
    <t>Service Awards</t>
  </si>
  <si>
    <t>Police Officers employed before April 1987</t>
  </si>
  <si>
    <t>Police Officers employed after April 1987</t>
  </si>
  <si>
    <t>Hourly Pay-Rate</t>
  </si>
  <si>
    <t># Vacation Hours Received</t>
  </si>
  <si>
    <t>Dollar Amount of Your Service Award………………………………………………………………..</t>
  </si>
  <si>
    <t>The City of Aspen rewards loyal employees.  Whether you receive $100 and 16 hours of vacation time for 5 years of service or $800 and 40 hours of vacation time for 40 years of service, the City of Aspen appreciates your dedication and loyalty.</t>
  </si>
  <si>
    <t>Transportation</t>
  </si>
  <si>
    <t>The City promotes alternative methods of transportation.  RFTA Punch Passes or Zone Passes are provided to employees to promote green voyages.  Compensation is dependent on the individual employee’s usage of this excellent benefit.  Zone pass costs are described below.</t>
  </si>
  <si>
    <t>Carbondale / Aspen Zone Pass……………………………</t>
  </si>
  <si>
    <t>Glenwood / Aspen Zone Pass…..…………………………</t>
  </si>
  <si>
    <t>Basalt / Aspen Zone Pass……....……………………………</t>
  </si>
  <si>
    <t>Annually, employees may elect to cash out some of their accrued vacation time.  Depending on departmental funds and approval, employees may cash out up to 40 hours of vacation time with a mandatory minimum balance of 40 hours.</t>
  </si>
  <si>
    <t>Your Total Vacation Cash Out Amount…….…..…..…………………………………………………</t>
  </si>
  <si>
    <t>Work-Life Benefits</t>
  </si>
  <si>
    <t>Personal Value of Work-Life Benefits…….…..…..…………………………………………………</t>
  </si>
  <si>
    <t>Training and Development</t>
  </si>
  <si>
    <t>Miscellaneous Compensation</t>
  </si>
  <si>
    <t>Personal Value of Miscellaneous Compensation.…………………………………………………</t>
  </si>
  <si>
    <t>Vacation Cash Out</t>
  </si>
  <si>
    <t>(2 adults &amp; 2 children - add $107 for each additional family member)</t>
  </si>
  <si>
    <t>Employee Golf Pass Value……….………………………..</t>
  </si>
  <si>
    <t>(however, employee hockey pass is unlimited)</t>
  </si>
  <si>
    <t>10 Sessions Hokey Value……..…………………………….</t>
  </si>
  <si>
    <t>Annual Value of Zone Pass</t>
  </si>
  <si>
    <t>Value of Additional Vacation Hours……..……………….</t>
  </si>
  <si>
    <t>Value of Vouchers Received……..…………………………</t>
  </si>
  <si>
    <t>1 Child………...…………………………………………………………</t>
  </si>
  <si>
    <t>1 Adult…….....…………………………………………………………</t>
  </si>
  <si>
    <t xml:space="preserve">Family……….………………………………………………………….. </t>
  </si>
  <si>
    <t>Your Total Safety Wellness Bucks Reward……….…………………………………………………</t>
  </si>
  <si>
    <t>Annual Benefit…..…………………………………………………………………………………………….</t>
  </si>
  <si>
    <t>Family…...……………………………………….…….</t>
  </si>
  <si>
    <t>Single + One…..………..………………………….</t>
  </si>
  <si>
    <t>Single…...………………………………………………</t>
  </si>
  <si>
    <t>Your Annual Salary………….……………………………………………………………………………….</t>
  </si>
  <si>
    <t>To reward employees for accomplishing departmental goals paramount to the City of Aspen’s values, employees can receive up to $1,350.00.</t>
  </si>
  <si>
    <t xml:space="preserve">The City of Aspen provides various tools for employees to prepare for retirement.  The City contributes 5.5% of an employee’s salary to a 401(a) plan.  After five (5) years of employment, this figure increases to 6.5%, and 7.5% for ten (10) years or more.  Police Officers receive a contribution of 9.5% of the employee’s salary from the City.  After five (5) years of service as a Police Officer the City contributes 10.5%, and 11.5% after ten (10) years of service.  Police also receive a 457 contribution from the City (see below).  </t>
  </si>
  <si>
    <t xml:space="preserve">These $20.00 vouchers are the perfect pick me up reward for your hard work.  They are available at any time through the year to give to co-workers when they are “lookin’ good!” </t>
  </si>
  <si>
    <t>Your 2013 Total Compensation…….……………………………………………………………</t>
  </si>
  <si>
    <t xml:space="preserve">The City of Aspen is pleased to provide you with your Total Compensation Statement.  Below you will find a set of equations to help illustrate a picture of your total compensation.  When you consider your paycheck combined with the value of your benefits, you have a better understanding of your total comprehensive and competitive compensation package.  All you need is your most recent pay check.  Note:  when you exit this report, the information will not be saved or retained.  Use the guide below to discover the array of benefits your employer is providing.    </t>
  </si>
  <si>
    <t xml:space="preserve"> In 2013, the City provides two health care options.  Look below to identify the portion of your health insurance premiums the City is paying annually as well as a City contribution in the amount of $500 or $1,000 to the High Deductible Health Savings Account (HSA).   If you are a tobacco user, please add $360 to the annual cost.                                                                                                                                            </t>
  </si>
  <si>
    <t>Please review this information carefully.  Every effort has been made to report your compensation and benefits information accurately.</t>
  </si>
  <si>
    <t>El Jebel / Aspen Zone Pass……….…………………………</t>
  </si>
  <si>
    <t>Depending on the department needs, employees may participate in a 9/80 work schedule or a flexible work arrangement.  Assign your own value based on personal costs avoided (parking garage avg. cost of $12.00/day, childcare avg. cost of $60/day, etc.).</t>
  </si>
  <si>
    <t xml:space="preserve"> Value of Training Benefits……....…..…..…………………………………………………</t>
  </si>
  <si>
    <t>Trainings and development dollars spent.   The City offers a tuition reimubursement of up to $3,000 per fiscal year.</t>
  </si>
  <si>
    <t>Include the City HSA contribution amount of $500 or $1,000 (enter amount)</t>
  </si>
  <si>
    <t>Are you a Patrol Officer? (yes or no)</t>
  </si>
  <si>
    <t xml:space="preserve">&gt;5 years but &lt;=10 years </t>
  </si>
  <si>
    <t>Police Officers &gt;5 years but &lt;=10 years</t>
  </si>
  <si>
    <t>Month and Year of Hire</t>
  </si>
  <si>
    <t>Yrs of Svc through 1/1/2013</t>
  </si>
  <si>
    <t xml:space="preserve">The above list is only a partial representation of a City of Aspen employee’s total compensation.  Please remember other benefits such as the Employee Assistance Program (EAP), Employee Holiday Party, Outstanding Employee Bonus ($500), Above and Beyond Bonus ($100), Wheeler ticket discounts, department carpool, City Nutritionist consultation ($100 per hour) and Employee Referral Reward ($400).  </t>
  </si>
  <si>
    <r>
      <t xml:space="preserve">The City of Aspen understands the benefit of promoting a healthy and active lifestyle and loves helping you enjoy your health related and active pursuits.  This help comes in the form of a Cafeteria Option benefit.  For regular full time employees in 2013 the dollar amount is $620.00. </t>
    </r>
    <r>
      <rPr>
        <b/>
        <sz val="11"/>
        <color theme="1"/>
        <rFont val="Calibri"/>
        <family val="2"/>
        <scheme val="minor"/>
      </rPr>
      <t xml:space="preserve"> For employees hired in 2013, the award amount is prorated after introductory status is completed</t>
    </r>
    <r>
      <rPr>
        <sz val="11"/>
        <color theme="1"/>
        <rFont val="Calibri"/>
        <family val="2"/>
        <scheme val="minor"/>
      </rPr>
      <t>.  Please see section 7.5 in the Policies and Procedures Manual for more information.</t>
    </r>
  </si>
  <si>
    <t xml:space="preserve">There are several ways to calculate your annual salary.  If you have your electronic payroll information available, you may calculate your annual salary by multiplying the number of paydays (26) by your gross pay for one pay period.  For a general calculation of annual salary, multiply your hourly pay rate by 2080 (the average number of hours worked in one year based on a 40 hour work week).  Please also note on your electronic pay stub the various types of hourly compensation you are eligible to receive; taking care to note overtime and other compensatory hours.  </t>
  </si>
  <si>
    <r>
      <rPr>
        <b/>
        <sz val="14"/>
        <color theme="1"/>
        <rFont val="Calibri"/>
        <family val="2"/>
        <scheme val="minor"/>
      </rPr>
      <t xml:space="preserve"> </t>
    </r>
    <r>
      <rPr>
        <b/>
        <u/>
        <sz val="14"/>
        <color theme="1"/>
        <rFont val="Calibri"/>
        <family val="2"/>
        <scheme val="minor"/>
      </rPr>
      <t>2013 Total Compensation Report</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</si>
</sst>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0.00"/>
    <numFmt numFmtId="165" formatCode="0.0%"/>
    <numFmt numFmtId="166" formatCode="[$-409]mmm\ yyyy;@"/>
  </numFmts>
  <fonts count="10" x14ac:knownFonts="1">
    <font>
      <sz val="11"/>
      <color theme="1"/>
      <name val="Calibri"/>
      <family val="2"/>
      <scheme val="minor"/>
    </font>
    <font>
      <b/>
      <sz val="11"/>
      <color theme="1"/>
      <name val="Calibri"/>
      <family val="2"/>
      <scheme val="minor"/>
    </font>
    <font>
      <b/>
      <sz val="12"/>
      <color theme="1"/>
      <name val="Calibri"/>
      <family val="2"/>
      <scheme val="minor"/>
    </font>
    <font>
      <b/>
      <sz val="13"/>
      <color theme="1"/>
      <name val="Calibri"/>
      <family val="2"/>
      <scheme val="minor"/>
    </font>
    <font>
      <sz val="13"/>
      <color theme="1"/>
      <name val="Calibri"/>
      <family val="2"/>
      <scheme val="minor"/>
    </font>
    <font>
      <b/>
      <sz val="11"/>
      <color rgb="FFFF0000"/>
      <name val="Calibri"/>
      <family val="2"/>
      <scheme val="minor"/>
    </font>
    <font>
      <b/>
      <u/>
      <sz val="14"/>
      <color theme="1"/>
      <name val="Calibri"/>
      <family val="2"/>
      <scheme val="minor"/>
    </font>
    <font>
      <b/>
      <sz val="14"/>
      <color theme="1"/>
      <name val="Calibri"/>
      <family val="2"/>
      <scheme val="minor"/>
    </font>
    <font>
      <sz val="11"/>
      <name val="Calibri"/>
      <family val="2"/>
      <scheme val="minor"/>
    </font>
    <font>
      <sz val="10"/>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83">
    <xf numFmtId="0" fontId="0" fillId="0" borderId="0" xfId="0"/>
    <xf numFmtId="164" fontId="0" fillId="2" borderId="1" xfId="0" applyNumberFormat="1" applyFill="1" applyBorder="1" applyAlignment="1" applyProtection="1">
      <protection locked="0"/>
    </xf>
    <xf numFmtId="0" fontId="0" fillId="2" borderId="1" xfId="0" applyFill="1" applyBorder="1" applyAlignment="1" applyProtection="1">
      <alignment horizontal="center"/>
      <protection locked="0"/>
    </xf>
    <xf numFmtId="164" fontId="0" fillId="2" borderId="1" xfId="0" applyNumberFormat="1" applyFill="1" applyBorder="1" applyProtection="1">
      <protection locked="0"/>
    </xf>
    <xf numFmtId="0" fontId="0" fillId="0" borderId="0" xfId="0" applyProtection="1"/>
    <xf numFmtId="0" fontId="2" fillId="3" borderId="3" xfId="0" applyFont="1" applyFill="1" applyBorder="1" applyProtection="1"/>
    <xf numFmtId="0" fontId="0" fillId="3" borderId="4" xfId="0" applyFill="1" applyBorder="1" applyProtection="1"/>
    <xf numFmtId="164" fontId="0" fillId="3" borderId="4" xfId="0" applyNumberFormat="1" applyFill="1" applyBorder="1" applyProtection="1"/>
    <xf numFmtId="164" fontId="0" fillId="3" borderId="5" xfId="0" applyNumberFormat="1" applyFill="1" applyBorder="1" applyProtection="1"/>
    <xf numFmtId="0" fontId="2" fillId="3" borderId="6" xfId="0" applyFont="1" applyFill="1" applyBorder="1" applyProtection="1"/>
    <xf numFmtId="0" fontId="2" fillId="3" borderId="7" xfId="0" applyFont="1" applyFill="1" applyBorder="1" applyProtection="1"/>
    <xf numFmtId="0" fontId="0" fillId="3" borderId="0" xfId="0" applyFill="1" applyBorder="1" applyAlignment="1" applyProtection="1">
      <alignment wrapText="1"/>
    </xf>
    <xf numFmtId="164" fontId="0" fillId="3" borderId="0" xfId="0" applyNumberFormat="1" applyFill="1" applyBorder="1" applyAlignment="1" applyProtection="1">
      <alignment wrapText="1"/>
    </xf>
    <xf numFmtId="0" fontId="0" fillId="3" borderId="8" xfId="0" applyFill="1" applyBorder="1" applyAlignment="1" applyProtection="1"/>
    <xf numFmtId="0" fontId="2" fillId="3" borderId="6" xfId="0" applyFont="1" applyFill="1" applyBorder="1" applyAlignment="1" applyProtection="1">
      <alignment vertical="center"/>
    </xf>
    <xf numFmtId="0" fontId="1" fillId="3" borderId="0" xfId="0" applyFont="1" applyFill="1" applyBorder="1" applyAlignment="1" applyProtection="1">
      <alignment vertical="center"/>
    </xf>
    <xf numFmtId="0" fontId="0" fillId="3" borderId="0" xfId="0" applyFill="1" applyBorder="1" applyAlignment="1" applyProtection="1">
      <alignment vertical="center"/>
    </xf>
    <xf numFmtId="164" fontId="0" fillId="3" borderId="0" xfId="0" applyNumberFormat="1" applyFill="1" applyBorder="1" applyAlignment="1" applyProtection="1">
      <alignment vertical="center"/>
    </xf>
    <xf numFmtId="0" fontId="1" fillId="3" borderId="0" xfId="0" applyFont="1" applyFill="1" applyBorder="1" applyAlignment="1" applyProtection="1">
      <alignment horizontal="center" vertical="center"/>
    </xf>
    <xf numFmtId="164" fontId="0" fillId="3" borderId="8" xfId="0" applyNumberFormat="1" applyFill="1" applyBorder="1" applyAlignment="1" applyProtection="1">
      <alignment vertical="center"/>
    </xf>
    <xf numFmtId="0" fontId="0" fillId="0" borderId="0" xfId="0" applyAlignment="1" applyProtection="1">
      <alignment vertical="center"/>
    </xf>
    <xf numFmtId="0" fontId="0" fillId="3" borderId="0" xfId="0" applyFill="1" applyBorder="1" applyProtection="1"/>
    <xf numFmtId="164" fontId="0" fillId="3" borderId="0" xfId="0" applyNumberFormat="1" applyFill="1" applyBorder="1" applyProtection="1"/>
    <xf numFmtId="164" fontId="0" fillId="3" borderId="8" xfId="0" applyNumberFormat="1" applyFill="1" applyBorder="1" applyProtection="1"/>
    <xf numFmtId="0" fontId="0" fillId="3" borderId="9" xfId="0" applyFill="1" applyBorder="1" applyProtection="1"/>
    <xf numFmtId="164" fontId="0" fillId="3" borderId="9" xfId="0" applyNumberFormat="1" applyFill="1" applyBorder="1" applyProtection="1"/>
    <xf numFmtId="0" fontId="0" fillId="3" borderId="0" xfId="0" applyFill="1" applyBorder="1" applyAlignment="1" applyProtection="1">
      <alignment vertical="center" wrapText="1"/>
    </xf>
    <xf numFmtId="0" fontId="1" fillId="3" borderId="0" xfId="0" applyFont="1" applyFill="1" applyBorder="1" applyAlignment="1" applyProtection="1">
      <alignment horizontal="center" vertical="center" wrapText="1"/>
    </xf>
    <xf numFmtId="0" fontId="0" fillId="3" borderId="8" xfId="0" applyFill="1" applyBorder="1" applyAlignment="1" applyProtection="1">
      <alignment vertical="center"/>
    </xf>
    <xf numFmtId="9" fontId="0" fillId="3" borderId="0" xfId="0" applyNumberFormat="1" applyFill="1" applyBorder="1" applyProtection="1"/>
    <xf numFmtId="164" fontId="0" fillId="3" borderId="10" xfId="0" applyNumberFormat="1" applyFill="1" applyBorder="1" applyProtection="1"/>
    <xf numFmtId="10" fontId="0" fillId="3" borderId="0" xfId="0" applyNumberFormat="1" applyFill="1" applyBorder="1" applyProtection="1"/>
    <xf numFmtId="10" fontId="0" fillId="3" borderId="9" xfId="0" applyNumberFormat="1" applyFill="1" applyBorder="1" applyProtection="1"/>
    <xf numFmtId="164" fontId="0" fillId="3" borderId="2" xfId="0" applyNumberFormat="1" applyFill="1" applyBorder="1" applyProtection="1"/>
    <xf numFmtId="0" fontId="1" fillId="3" borderId="9" xfId="0" applyFont="1" applyFill="1" applyBorder="1" applyProtection="1"/>
    <xf numFmtId="0" fontId="1" fillId="3" borderId="0" xfId="0" applyFont="1" applyFill="1" applyBorder="1" applyProtection="1"/>
    <xf numFmtId="0" fontId="1" fillId="3" borderId="0" xfId="0" applyFont="1" applyFill="1" applyBorder="1" applyAlignment="1" applyProtection="1">
      <alignment horizontal="center"/>
    </xf>
    <xf numFmtId="0" fontId="3" fillId="3" borderId="11" xfId="0" applyFont="1" applyFill="1" applyBorder="1" applyProtection="1"/>
    <xf numFmtId="0" fontId="4" fillId="3" borderId="10" xfId="0" applyFont="1" applyFill="1" applyBorder="1" applyProtection="1"/>
    <xf numFmtId="164" fontId="4" fillId="3" borderId="10" xfId="0" applyNumberFormat="1" applyFont="1" applyFill="1" applyBorder="1" applyProtection="1"/>
    <xf numFmtId="164" fontId="3" fillId="3" borderId="12" xfId="0" applyNumberFormat="1" applyFont="1" applyFill="1" applyBorder="1" applyProtection="1"/>
    <xf numFmtId="0" fontId="4" fillId="0" borderId="0" xfId="0" applyFont="1" applyProtection="1"/>
    <xf numFmtId="0" fontId="2" fillId="0" borderId="0" xfId="0" applyFont="1" applyProtection="1"/>
    <xf numFmtId="164" fontId="0" fillId="0" borderId="0" xfId="0" applyNumberFormat="1" applyProtection="1"/>
    <xf numFmtId="164" fontId="0" fillId="3" borderId="13" xfId="0" applyNumberFormat="1" applyFill="1" applyBorder="1" applyProtection="1"/>
    <xf numFmtId="0" fontId="0" fillId="3" borderId="9" xfId="0" applyFill="1" applyBorder="1" applyAlignment="1" applyProtection="1">
      <alignment horizontal="center"/>
      <protection locked="0"/>
    </xf>
    <xf numFmtId="0" fontId="5" fillId="0" borderId="0" xfId="0" applyFont="1" applyProtection="1"/>
    <xf numFmtId="4" fontId="0" fillId="2" borderId="1" xfId="0" applyNumberFormat="1" applyFill="1" applyBorder="1" applyProtection="1">
      <protection locked="0"/>
    </xf>
    <xf numFmtId="165" fontId="0" fillId="3" borderId="0" xfId="0" applyNumberFormat="1" applyFill="1" applyBorder="1" applyProtection="1"/>
    <xf numFmtId="164" fontId="0" fillId="3" borderId="8" xfId="0" applyNumberFormat="1" applyFill="1" applyBorder="1" applyProtection="1">
      <protection hidden="1"/>
    </xf>
    <xf numFmtId="164" fontId="0" fillId="3" borderId="8" xfId="0" applyNumberFormat="1" applyFill="1" applyBorder="1" applyAlignment="1" applyProtection="1">
      <alignment vertical="center"/>
      <protection hidden="1"/>
    </xf>
    <xf numFmtId="164" fontId="0" fillId="3" borderId="13" xfId="0" applyNumberFormat="1" applyFill="1" applyBorder="1" applyProtection="1">
      <protection hidden="1"/>
    </xf>
    <xf numFmtId="164" fontId="0" fillId="3" borderId="2" xfId="0" applyNumberFormat="1" applyFill="1" applyBorder="1" applyProtection="1">
      <protection hidden="1"/>
    </xf>
    <xf numFmtId="0" fontId="0" fillId="3" borderId="0" xfId="0" applyFill="1" applyBorder="1" applyAlignment="1" applyProtection="1"/>
    <xf numFmtId="0" fontId="0" fillId="2" borderId="1" xfId="0" applyFill="1" applyBorder="1" applyAlignment="1" applyProtection="1">
      <alignment horizontal="center" wrapText="1"/>
    </xf>
    <xf numFmtId="164" fontId="0" fillId="4" borderId="1" xfId="0" applyNumberFormat="1" applyFill="1" applyBorder="1" applyProtection="1">
      <protection locked="0"/>
    </xf>
    <xf numFmtId="0" fontId="0" fillId="3" borderId="8" xfId="0" applyFill="1" applyBorder="1" applyAlignment="1" applyProtection="1">
      <alignment horizontal="center"/>
    </xf>
    <xf numFmtId="166" fontId="0" fillId="2" borderId="1" xfId="0" applyNumberFormat="1" applyFill="1" applyBorder="1" applyAlignment="1" applyProtection="1">
      <alignment horizontal="center" wrapText="1"/>
    </xf>
    <xf numFmtId="2" fontId="0" fillId="3" borderId="8" xfId="0" applyNumberFormat="1" applyFill="1" applyBorder="1" applyAlignment="1" applyProtection="1">
      <alignment horizontal="center"/>
    </xf>
    <xf numFmtId="0" fontId="9" fillId="3" borderId="8" xfId="0" applyFont="1" applyFill="1" applyBorder="1" applyAlignment="1" applyProtection="1">
      <alignment horizontal="center"/>
    </xf>
    <xf numFmtId="0" fontId="9" fillId="3" borderId="0" xfId="0" applyFont="1" applyFill="1" applyBorder="1" applyAlignment="1" applyProtection="1">
      <alignment horizontal="center"/>
    </xf>
    <xf numFmtId="0" fontId="0" fillId="3" borderId="0" xfId="0" applyFill="1" applyBorder="1" applyAlignment="1" applyProtection="1">
      <alignment horizontal="center"/>
    </xf>
    <xf numFmtId="0" fontId="0" fillId="0" borderId="0" xfId="0" applyAlignment="1" applyProtection="1">
      <alignment horizontal="center"/>
    </xf>
    <xf numFmtId="2" fontId="8" fillId="0" borderId="1" xfId="0" applyNumberFormat="1" applyFont="1" applyFill="1" applyBorder="1" applyAlignment="1" applyProtection="1">
      <alignment horizontal="center"/>
    </xf>
    <xf numFmtId="0" fontId="0" fillId="3" borderId="0" xfId="0" applyFill="1" applyBorder="1" applyAlignment="1" applyProtection="1">
      <alignment horizontal="left" vertical="top" wrapText="1"/>
    </xf>
    <xf numFmtId="0" fontId="0" fillId="3" borderId="8" xfId="0" applyFill="1" applyBorder="1" applyAlignment="1" applyProtection="1">
      <alignment horizontal="left" vertical="top"/>
    </xf>
    <xf numFmtId="0" fontId="6" fillId="0" borderId="0" xfId="0" applyFont="1" applyAlignment="1" applyProtection="1">
      <alignment horizontal="center" vertical="center" wrapText="1"/>
    </xf>
    <xf numFmtId="0" fontId="7" fillId="0" borderId="0" xfId="0" applyFont="1" applyAlignment="1" applyProtection="1">
      <alignment horizontal="center" vertical="center" wrapText="1"/>
    </xf>
    <xf numFmtId="0" fontId="7" fillId="0" borderId="0" xfId="0" applyFont="1" applyAlignment="1" applyProtection="1">
      <alignment horizontal="center" vertical="center"/>
    </xf>
    <xf numFmtId="0" fontId="1" fillId="0" borderId="0" xfId="0" applyFont="1" applyAlignment="1" applyProtection="1"/>
    <xf numFmtId="0" fontId="1" fillId="3" borderId="0" xfId="0" applyFont="1" applyFill="1" applyBorder="1" applyAlignment="1" applyProtection="1">
      <alignment horizontal="center" vertical="center" wrapText="1"/>
    </xf>
    <xf numFmtId="0" fontId="8" fillId="3" borderId="0" xfId="0" applyFont="1" applyFill="1" applyBorder="1" applyAlignment="1" applyProtection="1">
      <alignment horizontal="left" vertical="top" wrapText="1"/>
    </xf>
    <xf numFmtId="0" fontId="8" fillId="3" borderId="8" xfId="0" applyFont="1" applyFill="1" applyBorder="1" applyAlignment="1" applyProtection="1">
      <alignment horizontal="left" vertical="top"/>
    </xf>
    <xf numFmtId="0" fontId="6" fillId="5" borderId="11" xfId="0" applyFont="1" applyFill="1" applyBorder="1" applyAlignment="1" applyProtection="1">
      <alignment horizontal="center" wrapText="1"/>
    </xf>
    <xf numFmtId="0" fontId="7" fillId="5" borderId="10" xfId="0" applyFont="1" applyFill="1" applyBorder="1" applyAlignment="1" applyProtection="1">
      <alignment horizontal="center" wrapText="1"/>
    </xf>
    <xf numFmtId="0" fontId="7" fillId="5" borderId="10" xfId="0" applyFont="1" applyFill="1" applyBorder="1" applyAlignment="1" applyProtection="1">
      <alignment horizontal="center"/>
    </xf>
    <xf numFmtId="0" fontId="1" fillId="5" borderId="12" xfId="0" applyFont="1" applyFill="1" applyBorder="1" applyAlignment="1" applyProtection="1"/>
    <xf numFmtId="0" fontId="1" fillId="3" borderId="9" xfId="0" applyFont="1" applyFill="1" applyBorder="1" applyAlignment="1" applyProtection="1">
      <alignment wrapText="1"/>
    </xf>
    <xf numFmtId="0" fontId="0" fillId="3" borderId="11" xfId="0" applyFill="1" applyBorder="1" applyAlignment="1" applyProtection="1">
      <alignment horizontal="left" vertical="top" wrapText="1"/>
    </xf>
    <xf numFmtId="0" fontId="0" fillId="3" borderId="10" xfId="0" applyFill="1" applyBorder="1" applyAlignment="1" applyProtection="1">
      <alignment horizontal="left" vertical="top" wrapText="1"/>
    </xf>
    <xf numFmtId="0" fontId="0" fillId="3" borderId="10" xfId="0" applyFill="1" applyBorder="1" applyAlignment="1" applyProtection="1">
      <alignment horizontal="left" vertical="top"/>
    </xf>
    <xf numFmtId="0" fontId="0" fillId="0" borderId="12" xfId="0" applyBorder="1" applyAlignment="1" applyProtection="1">
      <alignment horizontal="left" vertical="top"/>
    </xf>
    <xf numFmtId="0" fontId="1" fillId="0" borderId="2"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369795</xdr:colOff>
      <xdr:row>0</xdr:row>
      <xdr:rowOff>0</xdr:rowOff>
    </xdr:from>
    <xdr:to>
      <xdr:col>6</xdr:col>
      <xdr:colOff>392205</xdr:colOff>
      <xdr:row>0</xdr:row>
      <xdr:rowOff>605117</xdr:rowOff>
    </xdr:to>
    <xdr:pic>
      <xdr:nvPicPr>
        <xdr:cNvPr id="2" name="Picture 1"/>
        <xdr:cNvPicPr/>
      </xdr:nvPicPr>
      <xdr:blipFill>
        <a:blip xmlns:r="http://schemas.openxmlformats.org/officeDocument/2006/relationships" r:embed="rId1" cstate="print"/>
        <a:srcRect/>
        <a:stretch>
          <a:fillRect/>
        </a:stretch>
      </xdr:blipFill>
      <xdr:spPr bwMode="auto">
        <a:xfrm>
          <a:off x="3675530" y="0"/>
          <a:ext cx="683557" cy="605117"/>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4"/>
  <sheetViews>
    <sheetView tabSelected="1" topLeftCell="A28" zoomScale="85" zoomScaleNormal="85" workbookViewId="0">
      <selection activeCell="J2" sqref="J2"/>
    </sheetView>
  </sheetViews>
  <sheetFormatPr defaultColWidth="9.109375" defaultRowHeight="15.6" x14ac:dyDescent="0.3"/>
  <cols>
    <col min="1" max="1" width="9.88671875" style="42" customWidth="1"/>
    <col min="2" max="6" width="9.88671875" style="4" customWidth="1"/>
    <col min="7" max="7" width="19.6640625" style="43" customWidth="1"/>
    <col min="8" max="8" width="19.6640625" style="4" customWidth="1"/>
    <col min="9" max="9" width="21.5546875" style="43" customWidth="1"/>
    <col min="10" max="10" width="40.44140625" style="4" customWidth="1"/>
    <col min="11" max="16384" width="9.109375" style="4"/>
  </cols>
  <sheetData>
    <row r="1" spans="1:9" ht="60" customHeight="1" x14ac:dyDescent="0.35">
      <c r="A1" s="73" t="s">
        <v>81</v>
      </c>
      <c r="B1" s="74"/>
      <c r="C1" s="74"/>
      <c r="D1" s="74"/>
      <c r="E1" s="74"/>
      <c r="F1" s="74"/>
      <c r="G1" s="74"/>
      <c r="H1" s="75"/>
      <c r="I1" s="76"/>
    </row>
    <row r="2" spans="1:9" ht="73.5" customHeight="1" x14ac:dyDescent="0.3">
      <c r="A2" s="78" t="s">
        <v>65</v>
      </c>
      <c r="B2" s="79"/>
      <c r="C2" s="79"/>
      <c r="D2" s="79"/>
      <c r="E2" s="79"/>
      <c r="F2" s="79"/>
      <c r="G2" s="79"/>
      <c r="H2" s="80"/>
      <c r="I2" s="81"/>
    </row>
    <row r="4" spans="1:9" x14ac:dyDescent="0.3">
      <c r="A4" s="5" t="s">
        <v>0</v>
      </c>
      <c r="B4" s="6"/>
      <c r="C4" s="6"/>
      <c r="D4" s="6"/>
      <c r="E4" s="6"/>
      <c r="F4" s="6"/>
      <c r="G4" s="7"/>
      <c r="H4" s="6"/>
      <c r="I4" s="8"/>
    </row>
    <row r="5" spans="1:9" ht="97.5" customHeight="1" x14ac:dyDescent="0.3">
      <c r="A5" s="9"/>
      <c r="B5" s="64" t="s">
        <v>80</v>
      </c>
      <c r="C5" s="64"/>
      <c r="D5" s="64"/>
      <c r="E5" s="64"/>
      <c r="F5" s="64"/>
      <c r="G5" s="64"/>
      <c r="H5" s="64"/>
      <c r="I5" s="65"/>
    </row>
    <row r="6" spans="1:9" ht="18" customHeight="1" x14ac:dyDescent="0.3">
      <c r="A6" s="10"/>
      <c r="B6" s="77" t="s">
        <v>60</v>
      </c>
      <c r="C6" s="77"/>
      <c r="D6" s="77"/>
      <c r="E6" s="77"/>
      <c r="F6" s="77"/>
      <c r="G6" s="77"/>
      <c r="H6" s="77"/>
      <c r="I6" s="1"/>
    </row>
    <row r="8" spans="1:9" x14ac:dyDescent="0.3">
      <c r="A8" s="5" t="s">
        <v>1</v>
      </c>
      <c r="B8" s="6"/>
      <c r="C8" s="6"/>
      <c r="D8" s="6"/>
      <c r="E8" s="6"/>
      <c r="F8" s="6"/>
      <c r="G8" s="7"/>
      <c r="H8" s="6"/>
      <c r="I8" s="8"/>
    </row>
    <row r="9" spans="1:9" ht="66" customHeight="1" x14ac:dyDescent="0.3">
      <c r="A9" s="9"/>
      <c r="B9" s="64" t="s">
        <v>66</v>
      </c>
      <c r="C9" s="64"/>
      <c r="D9" s="64"/>
      <c r="E9" s="64"/>
      <c r="F9" s="64"/>
      <c r="G9" s="64"/>
      <c r="H9" s="64"/>
      <c r="I9" s="65"/>
    </row>
    <row r="10" spans="1:9" ht="6.9" customHeight="1" x14ac:dyDescent="0.3">
      <c r="A10" s="9"/>
      <c r="B10" s="11"/>
      <c r="C10" s="11"/>
      <c r="D10" s="11"/>
      <c r="E10" s="11"/>
      <c r="F10" s="11"/>
      <c r="G10" s="12"/>
      <c r="H10" s="11"/>
      <c r="I10" s="13"/>
    </row>
    <row r="11" spans="1:9" s="20" customFormat="1" x14ac:dyDescent="0.3">
      <c r="A11" s="14"/>
      <c r="B11" s="15" t="s">
        <v>2</v>
      </c>
      <c r="C11" s="16"/>
      <c r="D11" s="16"/>
      <c r="E11" s="16"/>
      <c r="F11" s="16"/>
      <c r="G11" s="17"/>
      <c r="H11" s="18" t="s">
        <v>10</v>
      </c>
      <c r="I11" s="19"/>
    </row>
    <row r="12" spans="1:9" x14ac:dyDescent="0.3">
      <c r="A12" s="9"/>
      <c r="B12" s="21"/>
      <c r="C12" s="21" t="s">
        <v>59</v>
      </c>
      <c r="D12" s="21"/>
      <c r="E12" s="21"/>
      <c r="F12" s="21"/>
      <c r="G12" s="22">
        <v>9780</v>
      </c>
      <c r="H12" s="2"/>
      <c r="I12" s="49" t="str">
        <f>IF(H12="yes",G12,"")</f>
        <v/>
      </c>
    </row>
    <row r="13" spans="1:9" x14ac:dyDescent="0.3">
      <c r="A13" s="9"/>
      <c r="B13" s="21"/>
      <c r="C13" s="21" t="s">
        <v>58</v>
      </c>
      <c r="D13" s="21"/>
      <c r="E13" s="21"/>
      <c r="F13" s="21"/>
      <c r="G13" s="22">
        <v>19582.32</v>
      </c>
      <c r="H13" s="2"/>
      <c r="I13" s="49" t="str">
        <f>IF(H13="yes",G13,"")</f>
        <v/>
      </c>
    </row>
    <row r="14" spans="1:9" x14ac:dyDescent="0.3">
      <c r="A14" s="9"/>
      <c r="B14" s="21"/>
      <c r="C14" s="21" t="s">
        <v>8</v>
      </c>
      <c r="D14" s="21"/>
      <c r="E14" s="21"/>
      <c r="F14" s="21"/>
      <c r="G14" s="22">
        <v>18311.88</v>
      </c>
      <c r="H14" s="2"/>
      <c r="I14" s="49" t="str">
        <f>IF(H14="yes",G14,"")</f>
        <v/>
      </c>
    </row>
    <row r="15" spans="1:9" x14ac:dyDescent="0.3">
      <c r="A15" s="9"/>
      <c r="B15" s="21"/>
      <c r="C15" s="21" t="s">
        <v>57</v>
      </c>
      <c r="D15" s="21"/>
      <c r="E15" s="21"/>
      <c r="F15" s="21"/>
      <c r="G15" s="22">
        <v>29574.48</v>
      </c>
      <c r="H15" s="2"/>
      <c r="I15" s="49" t="str">
        <f>IF(H15="yes",G15,"")</f>
        <v/>
      </c>
    </row>
    <row r="16" spans="1:9" ht="6.9" customHeight="1" x14ac:dyDescent="0.3">
      <c r="A16" s="9"/>
      <c r="B16" s="21"/>
      <c r="C16" s="21"/>
      <c r="D16" s="21"/>
      <c r="E16" s="21"/>
      <c r="F16" s="21"/>
      <c r="G16" s="22"/>
      <c r="H16" s="21"/>
      <c r="I16" s="49"/>
    </row>
    <row r="17" spans="1:10" s="20" customFormat="1" x14ac:dyDescent="0.3">
      <c r="A17" s="14"/>
      <c r="B17" s="15" t="s">
        <v>9</v>
      </c>
      <c r="C17" s="16"/>
      <c r="D17" s="16"/>
      <c r="E17" s="16"/>
      <c r="F17" s="16"/>
      <c r="G17" s="17"/>
      <c r="H17" s="18" t="s">
        <v>10</v>
      </c>
      <c r="I17" s="50"/>
    </row>
    <row r="18" spans="1:10" x14ac:dyDescent="0.3">
      <c r="A18" s="9"/>
      <c r="B18" s="21"/>
      <c r="C18" s="21" t="s">
        <v>59</v>
      </c>
      <c r="D18" s="21"/>
      <c r="E18" s="21"/>
      <c r="F18" s="21"/>
      <c r="G18" s="22">
        <v>8216.52</v>
      </c>
      <c r="H18" s="2"/>
      <c r="I18" s="49" t="str">
        <f>IF(H18="yes",G18,"")</f>
        <v/>
      </c>
    </row>
    <row r="19" spans="1:10" x14ac:dyDescent="0.3">
      <c r="A19" s="9"/>
      <c r="B19" s="21"/>
      <c r="C19" s="21" t="s">
        <v>58</v>
      </c>
      <c r="D19" s="21"/>
      <c r="E19" s="21"/>
      <c r="F19" s="21"/>
      <c r="G19" s="22">
        <v>16433.16</v>
      </c>
      <c r="H19" s="2"/>
      <c r="I19" s="49" t="str">
        <f>IF(H19="yes",G19,"")</f>
        <v/>
      </c>
    </row>
    <row r="20" spans="1:10" x14ac:dyDescent="0.3">
      <c r="A20" s="9"/>
      <c r="B20" s="21"/>
      <c r="C20" s="21" t="s">
        <v>8</v>
      </c>
      <c r="D20" s="21"/>
      <c r="E20" s="21"/>
      <c r="F20" s="21"/>
      <c r="G20" s="22">
        <v>15365.64</v>
      </c>
      <c r="H20" s="2"/>
      <c r="I20" s="49" t="str">
        <f>IF(H20="yes",G20,"")</f>
        <v/>
      </c>
    </row>
    <row r="21" spans="1:10" x14ac:dyDescent="0.3">
      <c r="A21" s="9"/>
      <c r="B21" s="21"/>
      <c r="C21" s="21" t="s">
        <v>57</v>
      </c>
      <c r="D21" s="21"/>
      <c r="E21" s="21"/>
      <c r="F21" s="21"/>
      <c r="G21" s="22">
        <v>24813.96</v>
      </c>
      <c r="H21" s="2"/>
      <c r="I21" s="51" t="str">
        <f>IF(H21="yes",G21,"")</f>
        <v/>
      </c>
    </row>
    <row r="22" spans="1:10" s="20" customFormat="1" x14ac:dyDescent="0.3">
      <c r="A22" s="14"/>
      <c r="B22" s="15"/>
      <c r="C22" s="16"/>
      <c r="D22" s="16"/>
      <c r="E22" s="16"/>
      <c r="F22" s="16"/>
      <c r="G22" s="17"/>
      <c r="H22" s="18"/>
      <c r="I22" s="50"/>
    </row>
    <row r="23" spans="1:10" x14ac:dyDescent="0.3">
      <c r="A23" s="10"/>
      <c r="B23" s="77" t="s">
        <v>72</v>
      </c>
      <c r="C23" s="77"/>
      <c r="D23" s="77"/>
      <c r="E23" s="77"/>
      <c r="F23" s="77"/>
      <c r="G23" s="82"/>
      <c r="H23" s="2"/>
      <c r="I23" s="52"/>
      <c r="J23" s="46"/>
    </row>
    <row r="25" spans="1:10" x14ac:dyDescent="0.3">
      <c r="A25" s="5" t="s">
        <v>3</v>
      </c>
      <c r="B25" s="6"/>
      <c r="C25" s="6"/>
      <c r="D25" s="6"/>
      <c r="E25" s="6"/>
      <c r="F25" s="6"/>
      <c r="G25" s="7"/>
      <c r="H25" s="6"/>
      <c r="I25" s="8"/>
    </row>
    <row r="26" spans="1:10" ht="86.25" customHeight="1" x14ac:dyDescent="0.3">
      <c r="A26" s="9"/>
      <c r="B26" s="64" t="s">
        <v>62</v>
      </c>
      <c r="C26" s="64"/>
      <c r="D26" s="64"/>
      <c r="E26" s="64"/>
      <c r="F26" s="64"/>
      <c r="G26" s="64"/>
      <c r="H26" s="64"/>
      <c r="I26" s="65"/>
    </row>
    <row r="27" spans="1:10" ht="6.9" customHeight="1" x14ac:dyDescent="0.3">
      <c r="A27" s="9"/>
      <c r="B27" s="11"/>
      <c r="C27" s="11"/>
      <c r="D27" s="11"/>
      <c r="E27" s="11"/>
      <c r="F27" s="11"/>
      <c r="G27" s="11"/>
      <c r="H27" s="11"/>
      <c r="I27" s="13"/>
    </row>
    <row r="28" spans="1:10" x14ac:dyDescent="0.3">
      <c r="A28" s="9"/>
      <c r="B28" s="11"/>
      <c r="C28" s="53" t="s">
        <v>73</v>
      </c>
      <c r="D28" s="11"/>
      <c r="E28" s="11"/>
      <c r="F28" s="11"/>
      <c r="G28" s="54"/>
      <c r="H28" s="60"/>
      <c r="I28" s="59"/>
      <c r="J28" s="62" t="s">
        <v>77</v>
      </c>
    </row>
    <row r="29" spans="1:10" ht="6.9" customHeight="1" x14ac:dyDescent="0.3">
      <c r="A29" s="9"/>
      <c r="B29" s="11"/>
      <c r="C29" s="11"/>
      <c r="D29" s="11"/>
      <c r="E29" s="11"/>
      <c r="F29" s="11"/>
      <c r="G29" s="11"/>
      <c r="H29" s="61"/>
      <c r="I29" s="56"/>
    </row>
    <row r="30" spans="1:10" x14ac:dyDescent="0.3">
      <c r="A30" s="9"/>
      <c r="B30" s="11"/>
      <c r="C30" s="53" t="s">
        <v>76</v>
      </c>
      <c r="D30" s="11"/>
      <c r="E30" s="11"/>
      <c r="F30" s="11"/>
      <c r="G30" s="57"/>
      <c r="H30" s="61"/>
      <c r="I30" s="58"/>
      <c r="J30" s="63" t="str">
        <f>IF(ISBLANK(G30),"Need to enter data in form",DATEDIF(G30,DATE(2013,1,1),"M")/12)</f>
        <v>Need to enter data in form</v>
      </c>
    </row>
    <row r="31" spans="1:10" s="20" customFormat="1" ht="33.75" customHeight="1" x14ac:dyDescent="0.3">
      <c r="A31" s="14"/>
      <c r="B31" s="70"/>
      <c r="C31" s="70"/>
      <c r="D31" s="70"/>
      <c r="E31" s="70"/>
      <c r="F31" s="26"/>
      <c r="G31" s="27" t="s">
        <v>13</v>
      </c>
      <c r="H31" s="27" t="s">
        <v>11</v>
      </c>
      <c r="I31" s="28"/>
      <c r="J31" s="4"/>
    </row>
    <row r="32" spans="1:10" s="20" customFormat="1" ht="6.9" customHeight="1" x14ac:dyDescent="0.3">
      <c r="A32" s="14"/>
      <c r="B32" s="27"/>
      <c r="C32" s="27"/>
      <c r="D32" s="27"/>
      <c r="E32" s="27"/>
      <c r="F32" s="26"/>
      <c r="G32" s="27"/>
      <c r="H32" s="27"/>
      <c r="I32" s="28"/>
    </row>
    <row r="33" spans="1:10" x14ac:dyDescent="0.3">
      <c r="A33" s="9"/>
      <c r="B33" s="21"/>
      <c r="C33" s="21" t="s">
        <v>4</v>
      </c>
      <c r="D33" s="21"/>
      <c r="E33" s="21"/>
      <c r="F33" s="21"/>
      <c r="G33" s="55">
        <f>IF(OR(ISBLANK(G28),ISBLANK(G30)),0,IF(G28="yes",0,IF(J30&lt;=5,I6,0)))</f>
        <v>0</v>
      </c>
      <c r="H33" s="48">
        <v>5.5E-2</v>
      </c>
      <c r="I33" s="23">
        <f>SUM(G33)*0.05</f>
        <v>0</v>
      </c>
    </row>
    <row r="34" spans="1:10" ht="6.9" customHeight="1" x14ac:dyDescent="0.3">
      <c r="A34" s="9"/>
      <c r="B34" s="21"/>
      <c r="C34" s="21"/>
      <c r="D34" s="21"/>
      <c r="E34" s="21"/>
      <c r="F34" s="21"/>
      <c r="G34" s="30"/>
      <c r="H34" s="48"/>
      <c r="I34" s="23"/>
    </row>
    <row r="35" spans="1:10" x14ac:dyDescent="0.3">
      <c r="A35" s="9"/>
      <c r="B35" s="21"/>
      <c r="C35" s="21" t="s">
        <v>74</v>
      </c>
      <c r="D35" s="21"/>
      <c r="E35" s="21"/>
      <c r="F35" s="21"/>
      <c r="G35" s="55">
        <f>IF(OR(ISBLANK(G28),ISBLANK(G30)),0,IF(G28="yes",0,IF(AND(J30&gt;5,J30&lt;=10),I6,0)))</f>
        <v>0</v>
      </c>
      <c r="H35" s="48">
        <v>6.5000000000000002E-2</v>
      </c>
      <c r="I35" s="23">
        <f>SUM(G35)*0.06</f>
        <v>0</v>
      </c>
    </row>
    <row r="36" spans="1:10" ht="6.9" customHeight="1" x14ac:dyDescent="0.3">
      <c r="A36" s="9"/>
      <c r="B36" s="21"/>
      <c r="C36" s="21"/>
      <c r="D36" s="21"/>
      <c r="E36" s="21"/>
      <c r="F36" s="21"/>
      <c r="G36" s="30"/>
      <c r="H36" s="48"/>
      <c r="I36" s="23"/>
    </row>
    <row r="37" spans="1:10" x14ac:dyDescent="0.3">
      <c r="A37" s="9"/>
      <c r="B37" s="21"/>
      <c r="C37" s="21" t="s">
        <v>5</v>
      </c>
      <c r="D37" s="21"/>
      <c r="E37" s="21"/>
      <c r="F37" s="21"/>
      <c r="G37" s="55">
        <f>IF(OR(ISBLANK(G28),ISBLANK(G30)),0,IF(G28="yes",0,IF(J30&gt;10,I6,0)))</f>
        <v>0</v>
      </c>
      <c r="H37" s="48">
        <v>7.4999999999999997E-2</v>
      </c>
      <c r="I37" s="23">
        <f>SUM(G37)*0.07</f>
        <v>0</v>
      </c>
    </row>
    <row r="38" spans="1:10" ht="6.9" customHeight="1" x14ac:dyDescent="0.3">
      <c r="A38" s="9"/>
      <c r="B38" s="21"/>
      <c r="C38" s="21"/>
      <c r="D38" s="21"/>
      <c r="E38" s="21"/>
      <c r="F38" s="21"/>
      <c r="G38" s="30"/>
      <c r="H38" s="48"/>
      <c r="I38" s="23"/>
    </row>
    <row r="39" spans="1:10" x14ac:dyDescent="0.3">
      <c r="A39" s="9"/>
      <c r="B39" s="21"/>
      <c r="C39" s="21" t="s">
        <v>6</v>
      </c>
      <c r="D39" s="21"/>
      <c r="E39" s="21"/>
      <c r="F39" s="21"/>
      <c r="G39" s="55">
        <f>IF(OR(ISBLANK(G28),ISBLANK(G30)),0,IF(G28="no",0,IF(J30&lt;=5,I6,0)))</f>
        <v>0</v>
      </c>
      <c r="H39" s="48">
        <v>9.5000000000000001E-2</v>
      </c>
      <c r="I39" s="23">
        <f>SUM(G39)*0.09</f>
        <v>0</v>
      </c>
    </row>
    <row r="40" spans="1:10" ht="6.9" customHeight="1" x14ac:dyDescent="0.3">
      <c r="A40" s="9"/>
      <c r="B40" s="21"/>
      <c r="C40" s="21"/>
      <c r="D40" s="21"/>
      <c r="E40" s="21"/>
      <c r="F40" s="21"/>
      <c r="G40" s="30"/>
      <c r="H40" s="48"/>
      <c r="I40" s="23"/>
    </row>
    <row r="41" spans="1:10" x14ac:dyDescent="0.3">
      <c r="A41" s="9"/>
      <c r="B41" s="21"/>
      <c r="C41" s="21" t="s">
        <v>75</v>
      </c>
      <c r="D41" s="21"/>
      <c r="E41" s="21"/>
      <c r="F41" s="21"/>
      <c r="G41" s="55">
        <f>IF(OR(ISBLANK(G28),ISBLANK(G30)),0,IF(G28="no",0,IF(AND(J30&gt;5,J30&lt;=10),I6,0)))</f>
        <v>0</v>
      </c>
      <c r="H41" s="48">
        <v>0.105</v>
      </c>
      <c r="I41" s="23">
        <f>SUM(G41)*0.1</f>
        <v>0</v>
      </c>
    </row>
    <row r="42" spans="1:10" ht="6.9" customHeight="1" x14ac:dyDescent="0.3">
      <c r="A42" s="9"/>
      <c r="B42" s="21"/>
      <c r="C42" s="21"/>
      <c r="D42" s="21"/>
      <c r="E42" s="21"/>
      <c r="F42" s="21"/>
      <c r="G42" s="30"/>
      <c r="H42" s="48"/>
      <c r="I42" s="23"/>
    </row>
    <row r="43" spans="1:10" x14ac:dyDescent="0.3">
      <c r="A43" s="9"/>
      <c r="B43" s="21"/>
      <c r="C43" s="21" t="s">
        <v>7</v>
      </c>
      <c r="D43" s="21"/>
      <c r="E43" s="21"/>
      <c r="F43" s="21"/>
      <c r="G43" s="55">
        <f>IF(OR(ISBLANK(G28),ISBLANK(G30)),0,IF(G28="no",0,IF(J30&gt;10,I6,0)))</f>
        <v>0</v>
      </c>
      <c r="H43" s="48">
        <v>0.115</v>
      </c>
      <c r="I43" s="23">
        <f>SUM(G43)*0.11</f>
        <v>0</v>
      </c>
    </row>
    <row r="44" spans="1:10" ht="6.9" customHeight="1" x14ac:dyDescent="0.3">
      <c r="A44" s="9"/>
      <c r="B44" s="21"/>
      <c r="C44" s="21"/>
      <c r="D44" s="21"/>
      <c r="E44" s="21"/>
      <c r="F44" s="21"/>
      <c r="G44" s="22"/>
      <c r="H44" s="21"/>
      <c r="I44" s="23"/>
    </row>
    <row r="45" spans="1:10" ht="39" customHeight="1" x14ac:dyDescent="0.3">
      <c r="A45" s="9"/>
      <c r="B45" s="64" t="s">
        <v>12</v>
      </c>
      <c r="C45" s="64"/>
      <c r="D45" s="64"/>
      <c r="E45" s="64"/>
      <c r="F45" s="64"/>
      <c r="G45" s="64"/>
      <c r="H45" s="64"/>
      <c r="I45" s="65"/>
      <c r="J45" s="46"/>
    </row>
    <row r="46" spans="1:10" ht="6.9" customHeight="1" x14ac:dyDescent="0.3">
      <c r="A46" s="9"/>
      <c r="B46" s="21"/>
      <c r="C46" s="21"/>
      <c r="D46" s="21"/>
      <c r="E46" s="21"/>
      <c r="F46" s="21"/>
      <c r="G46" s="22"/>
      <c r="H46" s="21"/>
      <c r="I46" s="23"/>
    </row>
    <row r="47" spans="1:10" x14ac:dyDescent="0.3">
      <c r="A47" s="9"/>
      <c r="B47" s="21"/>
      <c r="C47" s="21" t="s">
        <v>26</v>
      </c>
      <c r="D47" s="21"/>
      <c r="E47" s="21"/>
      <c r="F47" s="21"/>
      <c r="G47" s="55">
        <f>IF(AND(G28="yes",G30&lt;=DATE(1987,4,30)),I6,0)</f>
        <v>0</v>
      </c>
      <c r="H47" s="31">
        <v>2.6499999999999999E-2</v>
      </c>
      <c r="I47" s="23">
        <f>SUM(G47)*0.0265</f>
        <v>0</v>
      </c>
    </row>
    <row r="48" spans="1:10" ht="6.9" customHeight="1" x14ac:dyDescent="0.3">
      <c r="A48" s="9"/>
      <c r="B48" s="21"/>
      <c r="C48" s="21"/>
      <c r="D48" s="21"/>
      <c r="E48" s="21"/>
      <c r="F48" s="21"/>
      <c r="G48" s="30"/>
      <c r="H48" s="29"/>
      <c r="I48" s="23"/>
    </row>
    <row r="49" spans="1:9" x14ac:dyDescent="0.3">
      <c r="A49" s="10"/>
      <c r="B49" s="24"/>
      <c r="C49" s="24" t="s">
        <v>27</v>
      </c>
      <c r="D49" s="24"/>
      <c r="E49" s="24"/>
      <c r="F49" s="24"/>
      <c r="G49" s="55">
        <f>IF(AND(G28="yes",G30&gt;DATE(1987,4,30)),I6,0)</f>
        <v>0</v>
      </c>
      <c r="H49" s="32">
        <v>2.1999999999999999E-2</v>
      </c>
      <c r="I49" s="33">
        <f>SUM(G49)*0.022</f>
        <v>0</v>
      </c>
    </row>
    <row r="51" spans="1:9" x14ac:dyDescent="0.3">
      <c r="A51" s="5" t="s">
        <v>14</v>
      </c>
      <c r="B51" s="6"/>
      <c r="C51" s="6"/>
      <c r="D51" s="6"/>
      <c r="E51" s="6"/>
      <c r="F51" s="6"/>
      <c r="G51" s="7"/>
      <c r="H51" s="6"/>
      <c r="I51" s="8"/>
    </row>
    <row r="52" spans="1:9" ht="85.5" customHeight="1" x14ac:dyDescent="0.3">
      <c r="A52" s="9"/>
      <c r="B52" s="64" t="s">
        <v>79</v>
      </c>
      <c r="C52" s="64"/>
      <c r="D52" s="64"/>
      <c r="E52" s="64"/>
      <c r="F52" s="64"/>
      <c r="G52" s="64"/>
      <c r="H52" s="64"/>
      <c r="I52" s="65"/>
    </row>
    <row r="53" spans="1:9" ht="6.9" customHeight="1" x14ac:dyDescent="0.3">
      <c r="A53" s="9"/>
      <c r="B53" s="21"/>
      <c r="C53" s="21"/>
      <c r="D53" s="21"/>
      <c r="E53" s="21"/>
      <c r="F53" s="21"/>
      <c r="G53" s="22"/>
      <c r="H53" s="21"/>
      <c r="I53" s="23"/>
    </row>
    <row r="54" spans="1:9" x14ac:dyDescent="0.3">
      <c r="A54" s="10"/>
      <c r="B54" s="34" t="s">
        <v>56</v>
      </c>
      <c r="C54" s="24"/>
      <c r="D54" s="24"/>
      <c r="E54" s="24"/>
      <c r="F54" s="24"/>
      <c r="G54" s="25"/>
      <c r="H54" s="24"/>
      <c r="I54" s="3"/>
    </row>
    <row r="56" spans="1:9" x14ac:dyDescent="0.3">
      <c r="A56" s="5" t="s">
        <v>15</v>
      </c>
      <c r="B56" s="6"/>
      <c r="C56" s="6"/>
      <c r="D56" s="6"/>
      <c r="E56" s="6"/>
      <c r="F56" s="6"/>
      <c r="G56" s="7"/>
      <c r="H56" s="6"/>
      <c r="I56" s="8"/>
    </row>
    <row r="57" spans="1:9" ht="72" customHeight="1" x14ac:dyDescent="0.3">
      <c r="A57" s="9"/>
      <c r="B57" s="64" t="s">
        <v>16</v>
      </c>
      <c r="C57" s="64"/>
      <c r="D57" s="64"/>
      <c r="E57" s="64"/>
      <c r="F57" s="64"/>
      <c r="G57" s="64"/>
      <c r="H57" s="64"/>
      <c r="I57" s="65"/>
    </row>
    <row r="58" spans="1:9" ht="6.9" customHeight="1" x14ac:dyDescent="0.3">
      <c r="A58" s="9"/>
      <c r="B58" s="21"/>
      <c r="C58" s="21"/>
      <c r="D58" s="21"/>
      <c r="E58" s="21"/>
      <c r="F58" s="21"/>
      <c r="G58" s="22"/>
      <c r="H58" s="21"/>
      <c r="I58" s="23"/>
    </row>
    <row r="59" spans="1:9" x14ac:dyDescent="0.3">
      <c r="A59" s="10"/>
      <c r="B59" s="34" t="s">
        <v>55</v>
      </c>
      <c r="C59" s="24"/>
      <c r="D59" s="24"/>
      <c r="E59" s="24"/>
      <c r="F59" s="24"/>
      <c r="G59" s="25"/>
      <c r="H59" s="24"/>
      <c r="I59" s="3"/>
    </row>
    <row r="61" spans="1:9" x14ac:dyDescent="0.3">
      <c r="A61" s="5" t="s">
        <v>18</v>
      </c>
      <c r="B61" s="6"/>
      <c r="C61" s="6"/>
      <c r="D61" s="6"/>
      <c r="E61" s="6"/>
      <c r="F61" s="6"/>
      <c r="G61" s="7"/>
      <c r="H61" s="6"/>
      <c r="I61" s="8"/>
    </row>
    <row r="62" spans="1:9" ht="29.25" customHeight="1" x14ac:dyDescent="0.3">
      <c r="A62" s="9"/>
      <c r="B62" s="64" t="s">
        <v>17</v>
      </c>
      <c r="C62" s="64"/>
      <c r="D62" s="64"/>
      <c r="E62" s="64"/>
      <c r="F62" s="64"/>
      <c r="G62" s="64"/>
      <c r="H62" s="64"/>
      <c r="I62" s="65"/>
    </row>
    <row r="63" spans="1:9" ht="6.9" customHeight="1" x14ac:dyDescent="0.3">
      <c r="A63" s="9"/>
      <c r="B63" s="11"/>
      <c r="C63" s="11"/>
      <c r="D63" s="11"/>
      <c r="E63" s="11"/>
      <c r="F63" s="11"/>
      <c r="G63" s="11"/>
      <c r="H63" s="11"/>
      <c r="I63" s="13"/>
    </row>
    <row r="64" spans="1:9" x14ac:dyDescent="0.3">
      <c r="A64" s="9"/>
      <c r="B64" s="35"/>
      <c r="C64" s="21"/>
      <c r="D64" s="21"/>
      <c r="E64" s="21"/>
      <c r="F64" s="21"/>
      <c r="G64" s="22"/>
      <c r="H64" s="36" t="s">
        <v>10</v>
      </c>
      <c r="I64" s="23"/>
    </row>
    <row r="65" spans="1:9" x14ac:dyDescent="0.3">
      <c r="A65" s="9"/>
      <c r="B65" s="21" t="s">
        <v>54</v>
      </c>
      <c r="C65" s="21"/>
      <c r="D65" s="21"/>
      <c r="E65" s="21"/>
      <c r="F65" s="21"/>
      <c r="G65" s="22">
        <v>1240</v>
      </c>
      <c r="H65" s="2"/>
      <c r="I65" s="23"/>
    </row>
    <row r="66" spans="1:9" x14ac:dyDescent="0.3">
      <c r="A66" s="9"/>
      <c r="B66" s="21" t="s">
        <v>45</v>
      </c>
      <c r="C66" s="21"/>
      <c r="D66" s="21"/>
      <c r="E66" s="21"/>
      <c r="F66" s="21"/>
      <c r="G66" s="22"/>
      <c r="H66" s="21"/>
      <c r="I66" s="23"/>
    </row>
    <row r="67" spans="1:9" ht="6.9" customHeight="1" x14ac:dyDescent="0.3">
      <c r="A67" s="9"/>
      <c r="B67" s="21"/>
      <c r="C67" s="21"/>
      <c r="D67" s="21"/>
      <c r="E67" s="21"/>
      <c r="F67" s="21"/>
      <c r="G67" s="22"/>
      <c r="H67" s="21"/>
      <c r="I67" s="23"/>
    </row>
    <row r="68" spans="1:9" x14ac:dyDescent="0.3">
      <c r="A68" s="9"/>
      <c r="B68" s="21" t="s">
        <v>53</v>
      </c>
      <c r="C68" s="21"/>
      <c r="D68" s="21"/>
      <c r="E68" s="21"/>
      <c r="F68" s="21"/>
      <c r="G68" s="22">
        <v>569</v>
      </c>
      <c r="H68" s="2"/>
      <c r="I68" s="23" t="str">
        <f>IF(H68="yes",G68,"")</f>
        <v/>
      </c>
    </row>
    <row r="69" spans="1:9" ht="6.9" customHeight="1" x14ac:dyDescent="0.3">
      <c r="A69" s="9"/>
      <c r="B69" s="21"/>
      <c r="C69" s="21"/>
      <c r="D69" s="21"/>
      <c r="E69" s="21"/>
      <c r="F69" s="21"/>
      <c r="G69" s="22"/>
      <c r="H69" s="21"/>
      <c r="I69" s="23"/>
    </row>
    <row r="70" spans="1:9" x14ac:dyDescent="0.3">
      <c r="A70" s="9"/>
      <c r="B70" s="21" t="s">
        <v>52</v>
      </c>
      <c r="C70" s="21"/>
      <c r="D70" s="21"/>
      <c r="E70" s="21"/>
      <c r="F70" s="21"/>
      <c r="G70" s="22">
        <v>459</v>
      </c>
      <c r="H70" s="2"/>
      <c r="I70" s="23" t="str">
        <f>IF(H70="yes",G70,"")</f>
        <v/>
      </c>
    </row>
    <row r="71" spans="1:9" ht="6.9" customHeight="1" x14ac:dyDescent="0.3">
      <c r="A71" s="9"/>
      <c r="B71" s="21"/>
      <c r="C71" s="21"/>
      <c r="D71" s="21"/>
      <c r="E71" s="21"/>
      <c r="F71" s="21"/>
      <c r="G71" s="22"/>
      <c r="H71" s="21"/>
      <c r="I71" s="23"/>
    </row>
    <row r="72" spans="1:9" x14ac:dyDescent="0.3">
      <c r="A72" s="9" t="s">
        <v>19</v>
      </c>
      <c r="B72" s="21"/>
      <c r="C72" s="21"/>
      <c r="D72" s="21"/>
      <c r="E72" s="21"/>
      <c r="F72" s="21"/>
      <c r="G72" s="22"/>
      <c r="H72" s="21"/>
      <c r="I72" s="23"/>
    </row>
    <row r="73" spans="1:9" ht="48" customHeight="1" x14ac:dyDescent="0.3">
      <c r="A73" s="9"/>
      <c r="B73" s="64" t="s">
        <v>20</v>
      </c>
      <c r="C73" s="64"/>
      <c r="D73" s="64"/>
      <c r="E73" s="64"/>
      <c r="F73" s="64"/>
      <c r="G73" s="64"/>
      <c r="H73" s="64"/>
      <c r="I73" s="65"/>
    </row>
    <row r="74" spans="1:9" ht="6.9" customHeight="1" x14ac:dyDescent="0.3">
      <c r="A74" s="9"/>
      <c r="B74" s="21"/>
      <c r="C74" s="21"/>
      <c r="D74" s="21"/>
      <c r="E74" s="21"/>
      <c r="F74" s="21"/>
      <c r="G74" s="22"/>
      <c r="H74" s="21"/>
      <c r="I74" s="23"/>
    </row>
    <row r="75" spans="1:9" x14ac:dyDescent="0.3">
      <c r="A75" s="9"/>
      <c r="B75" s="35"/>
      <c r="C75" s="21"/>
      <c r="D75" s="21"/>
      <c r="E75" s="21"/>
      <c r="F75" s="21"/>
      <c r="G75" s="22"/>
      <c r="H75" s="36" t="s">
        <v>10</v>
      </c>
      <c r="I75" s="23"/>
    </row>
    <row r="76" spans="1:9" x14ac:dyDescent="0.3">
      <c r="A76" s="9"/>
      <c r="B76" s="21" t="s">
        <v>46</v>
      </c>
      <c r="C76" s="21"/>
      <c r="D76" s="21"/>
      <c r="E76" s="21"/>
      <c r="F76" s="21"/>
      <c r="G76" s="22">
        <v>750</v>
      </c>
      <c r="H76" s="2"/>
      <c r="I76" s="23"/>
    </row>
    <row r="77" spans="1:9" ht="6.9" customHeight="1" x14ac:dyDescent="0.3">
      <c r="A77" s="9"/>
      <c r="B77" s="21"/>
      <c r="C77" s="21"/>
      <c r="D77" s="21"/>
      <c r="E77" s="21"/>
      <c r="F77" s="21"/>
      <c r="G77" s="22"/>
      <c r="H77" s="21"/>
      <c r="I77" s="23"/>
    </row>
    <row r="78" spans="1:9" x14ac:dyDescent="0.3">
      <c r="A78" s="9"/>
      <c r="B78" s="21" t="s">
        <v>48</v>
      </c>
      <c r="C78" s="21"/>
      <c r="D78" s="21"/>
      <c r="E78" s="21"/>
      <c r="F78" s="21"/>
      <c r="G78" s="22">
        <v>114</v>
      </c>
      <c r="H78" s="2"/>
      <c r="I78" s="44" t="str">
        <f>IF(H78="yes",G78,"")</f>
        <v/>
      </c>
    </row>
    <row r="79" spans="1:9" x14ac:dyDescent="0.3">
      <c r="A79" s="10"/>
      <c r="B79" s="24" t="s">
        <v>47</v>
      </c>
      <c r="C79" s="24"/>
      <c r="D79" s="24"/>
      <c r="E79" s="24"/>
      <c r="F79" s="24"/>
      <c r="G79" s="25"/>
      <c r="H79" s="45"/>
      <c r="I79" s="33"/>
    </row>
    <row r="81" spans="1:10" x14ac:dyDescent="0.3">
      <c r="A81" s="5" t="s">
        <v>21</v>
      </c>
      <c r="B81" s="6"/>
      <c r="C81" s="6"/>
      <c r="D81" s="6"/>
      <c r="E81" s="6"/>
      <c r="F81" s="6"/>
      <c r="G81" s="7"/>
      <c r="H81" s="6"/>
      <c r="I81" s="8"/>
    </row>
    <row r="82" spans="1:10" ht="29.25" customHeight="1" x14ac:dyDescent="0.3">
      <c r="A82" s="9"/>
      <c r="B82" s="71" t="s">
        <v>61</v>
      </c>
      <c r="C82" s="71"/>
      <c r="D82" s="71"/>
      <c r="E82" s="71"/>
      <c r="F82" s="71"/>
      <c r="G82" s="71"/>
      <c r="H82" s="71"/>
      <c r="I82" s="72"/>
      <c r="J82" s="46"/>
    </row>
    <row r="83" spans="1:10" ht="6.9" customHeight="1" x14ac:dyDescent="0.3">
      <c r="A83" s="9"/>
      <c r="B83" s="21"/>
      <c r="C83" s="21"/>
      <c r="D83" s="21"/>
      <c r="E83" s="21"/>
      <c r="F83" s="21"/>
      <c r="G83" s="22"/>
      <c r="H83" s="21"/>
      <c r="I83" s="23"/>
    </row>
    <row r="84" spans="1:10" x14ac:dyDescent="0.3">
      <c r="A84" s="10"/>
      <c r="B84" s="34" t="s">
        <v>22</v>
      </c>
      <c r="C84" s="24"/>
      <c r="D84" s="24"/>
      <c r="E84" s="24"/>
      <c r="F84" s="24"/>
      <c r="G84" s="25"/>
      <c r="H84" s="24"/>
      <c r="I84" s="3"/>
    </row>
    <row r="86" spans="1:10" x14ac:dyDescent="0.3">
      <c r="A86" s="5" t="s">
        <v>23</v>
      </c>
      <c r="B86" s="6"/>
      <c r="C86" s="6"/>
      <c r="D86" s="6"/>
      <c r="E86" s="6"/>
      <c r="F86" s="6"/>
      <c r="G86" s="7"/>
      <c r="H86" s="6"/>
      <c r="I86" s="8"/>
    </row>
    <row r="87" spans="1:10" ht="29.25" customHeight="1" x14ac:dyDescent="0.3">
      <c r="A87" s="9"/>
      <c r="B87" s="64" t="s">
        <v>63</v>
      </c>
      <c r="C87" s="64"/>
      <c r="D87" s="64"/>
      <c r="E87" s="64"/>
      <c r="F87" s="64"/>
      <c r="G87" s="64"/>
      <c r="H87" s="64"/>
      <c r="I87" s="65"/>
    </row>
    <row r="88" spans="1:10" ht="6.9" customHeight="1" x14ac:dyDescent="0.3">
      <c r="A88" s="9"/>
      <c r="B88" s="21"/>
      <c r="C88" s="21"/>
      <c r="D88" s="21"/>
      <c r="E88" s="21"/>
      <c r="F88" s="21"/>
      <c r="G88" s="22"/>
      <c r="H88" s="21"/>
      <c r="I88" s="23"/>
    </row>
    <row r="89" spans="1:10" ht="28.8" x14ac:dyDescent="0.3">
      <c r="A89" s="9"/>
      <c r="B89" s="35"/>
      <c r="C89" s="21"/>
      <c r="D89" s="21"/>
      <c r="E89" s="21"/>
      <c r="F89" s="21"/>
      <c r="G89" s="22"/>
      <c r="H89" s="27" t="s">
        <v>24</v>
      </c>
      <c r="I89" s="23"/>
    </row>
    <row r="90" spans="1:10" x14ac:dyDescent="0.3">
      <c r="A90" s="10"/>
      <c r="B90" s="34" t="s">
        <v>51</v>
      </c>
      <c r="C90" s="24"/>
      <c r="D90" s="24"/>
      <c r="E90" s="24"/>
      <c r="F90" s="24"/>
      <c r="G90" s="25"/>
      <c r="H90" s="2"/>
      <c r="I90" s="33">
        <f>SUM(G90)*H90</f>
        <v>0</v>
      </c>
    </row>
    <row r="92" spans="1:10" x14ac:dyDescent="0.3">
      <c r="A92" s="5" t="s">
        <v>25</v>
      </c>
      <c r="B92" s="6"/>
      <c r="C92" s="6"/>
      <c r="D92" s="6"/>
      <c r="E92" s="6"/>
      <c r="F92" s="6"/>
      <c r="G92" s="7"/>
      <c r="H92" s="6"/>
      <c r="I92" s="8"/>
    </row>
    <row r="93" spans="1:10" ht="55.5" customHeight="1" x14ac:dyDescent="0.3">
      <c r="A93" s="9"/>
      <c r="B93" s="64" t="s">
        <v>31</v>
      </c>
      <c r="C93" s="64"/>
      <c r="D93" s="64"/>
      <c r="E93" s="64"/>
      <c r="F93" s="64"/>
      <c r="G93" s="64"/>
      <c r="H93" s="64"/>
      <c r="I93" s="65"/>
    </row>
    <row r="94" spans="1:10" ht="6.9" customHeight="1" x14ac:dyDescent="0.3">
      <c r="A94" s="9"/>
      <c r="B94" s="21"/>
      <c r="C94" s="21"/>
      <c r="D94" s="21"/>
      <c r="E94" s="21"/>
      <c r="F94" s="21"/>
      <c r="G94" s="22"/>
      <c r="H94" s="21"/>
      <c r="I94" s="23"/>
    </row>
    <row r="95" spans="1:10" s="20" customFormat="1" ht="33.75" customHeight="1" x14ac:dyDescent="0.3">
      <c r="A95" s="14"/>
      <c r="B95" s="70"/>
      <c r="C95" s="70"/>
      <c r="D95" s="70"/>
      <c r="E95" s="70"/>
      <c r="F95" s="26"/>
      <c r="G95" s="27" t="s">
        <v>28</v>
      </c>
      <c r="H95" s="27" t="s">
        <v>29</v>
      </c>
      <c r="I95" s="28"/>
    </row>
    <row r="96" spans="1:10" x14ac:dyDescent="0.3">
      <c r="A96" s="9"/>
      <c r="B96" s="35" t="s">
        <v>50</v>
      </c>
      <c r="C96" s="21"/>
      <c r="D96" s="21"/>
      <c r="E96" s="21"/>
      <c r="F96" s="21"/>
      <c r="G96" s="3"/>
      <c r="H96" s="47"/>
      <c r="I96" s="23"/>
    </row>
    <row r="97" spans="1:9" ht="6.9" customHeight="1" x14ac:dyDescent="0.3">
      <c r="A97" s="9"/>
      <c r="B97" s="21"/>
      <c r="C97" s="21"/>
      <c r="D97" s="21"/>
      <c r="E97" s="21"/>
      <c r="F97" s="21"/>
      <c r="G97" s="22"/>
      <c r="H97" s="21"/>
      <c r="I97" s="23"/>
    </row>
    <row r="98" spans="1:9" x14ac:dyDescent="0.3">
      <c r="A98" s="10"/>
      <c r="B98" s="34" t="s">
        <v>30</v>
      </c>
      <c r="C98" s="24"/>
      <c r="D98" s="24"/>
      <c r="E98" s="24"/>
      <c r="F98" s="24"/>
      <c r="G98" s="25"/>
      <c r="H98" s="24"/>
      <c r="I98" s="3"/>
    </row>
    <row r="100" spans="1:9" x14ac:dyDescent="0.3">
      <c r="A100" s="5" t="s">
        <v>32</v>
      </c>
      <c r="B100" s="6"/>
      <c r="C100" s="6"/>
      <c r="D100" s="6"/>
      <c r="E100" s="6"/>
      <c r="F100" s="6"/>
      <c r="G100" s="7"/>
      <c r="H100" s="6"/>
      <c r="I100" s="8"/>
    </row>
    <row r="101" spans="1:9" ht="51.75" customHeight="1" x14ac:dyDescent="0.3">
      <c r="A101" s="9"/>
      <c r="B101" s="64" t="s">
        <v>33</v>
      </c>
      <c r="C101" s="64"/>
      <c r="D101" s="64"/>
      <c r="E101" s="64"/>
      <c r="F101" s="64"/>
      <c r="G101" s="64"/>
      <c r="H101" s="64"/>
      <c r="I101" s="65"/>
    </row>
    <row r="102" spans="1:9" ht="6.9" customHeight="1" x14ac:dyDescent="0.3">
      <c r="A102" s="9"/>
      <c r="B102" s="11"/>
      <c r="C102" s="11"/>
      <c r="D102" s="11"/>
      <c r="E102" s="11"/>
      <c r="F102" s="11"/>
      <c r="G102" s="11"/>
      <c r="H102" s="11"/>
      <c r="I102" s="13"/>
    </row>
    <row r="103" spans="1:9" x14ac:dyDescent="0.3">
      <c r="A103" s="9"/>
      <c r="B103" s="70" t="s">
        <v>49</v>
      </c>
      <c r="C103" s="70"/>
      <c r="D103" s="70"/>
      <c r="E103" s="70"/>
      <c r="F103" s="21"/>
      <c r="G103" s="22"/>
      <c r="H103" s="36" t="s">
        <v>10</v>
      </c>
      <c r="I103" s="23"/>
    </row>
    <row r="104" spans="1:9" x14ac:dyDescent="0.3">
      <c r="A104" s="9"/>
      <c r="B104" s="21" t="s">
        <v>35</v>
      </c>
      <c r="C104" s="21"/>
      <c r="D104" s="21"/>
      <c r="E104" s="21"/>
      <c r="F104" s="21"/>
      <c r="G104" s="22">
        <v>1395</v>
      </c>
      <c r="H104" s="2"/>
      <c r="I104" s="23"/>
    </row>
    <row r="105" spans="1:9" ht="6.9" customHeight="1" x14ac:dyDescent="0.3">
      <c r="A105" s="9"/>
      <c r="B105" s="21"/>
      <c r="C105" s="21"/>
      <c r="D105" s="21"/>
      <c r="E105" s="21"/>
      <c r="F105" s="21"/>
      <c r="G105" s="22"/>
      <c r="H105" s="21"/>
      <c r="I105" s="23"/>
    </row>
    <row r="106" spans="1:9" x14ac:dyDescent="0.3">
      <c r="A106" s="9"/>
      <c r="B106" s="21" t="s">
        <v>34</v>
      </c>
      <c r="C106" s="21"/>
      <c r="D106" s="21"/>
      <c r="E106" s="21"/>
      <c r="F106" s="21"/>
      <c r="G106" s="22">
        <v>1365</v>
      </c>
      <c r="H106" s="2"/>
      <c r="I106" s="23" t="str">
        <f>IF(H106="yes",G106,"")</f>
        <v/>
      </c>
    </row>
    <row r="107" spans="1:9" ht="6.9" customHeight="1" x14ac:dyDescent="0.3">
      <c r="A107" s="9"/>
      <c r="B107" s="21"/>
      <c r="C107" s="21"/>
      <c r="D107" s="21"/>
      <c r="E107" s="21"/>
      <c r="F107" s="21"/>
      <c r="G107" s="22"/>
      <c r="H107" s="21"/>
      <c r="I107" s="23"/>
    </row>
    <row r="108" spans="1:9" x14ac:dyDescent="0.3">
      <c r="A108" s="9"/>
      <c r="B108" s="21" t="s">
        <v>68</v>
      </c>
      <c r="C108" s="21"/>
      <c r="D108" s="21"/>
      <c r="E108" s="21"/>
      <c r="F108" s="21"/>
      <c r="G108" s="22">
        <v>1319</v>
      </c>
      <c r="H108" s="2"/>
      <c r="I108" s="23" t="str">
        <f>IF(H108="yes",G108,"")</f>
        <v/>
      </c>
    </row>
    <row r="109" spans="1:9" ht="6.9" customHeight="1" x14ac:dyDescent="0.3">
      <c r="A109" s="9"/>
      <c r="B109" s="21"/>
      <c r="C109" s="21"/>
      <c r="D109" s="21"/>
      <c r="E109" s="21"/>
      <c r="F109" s="21"/>
      <c r="G109" s="22"/>
      <c r="H109" s="21"/>
      <c r="I109" s="23"/>
    </row>
    <row r="110" spans="1:9" x14ac:dyDescent="0.3">
      <c r="A110" s="10"/>
      <c r="B110" s="24" t="s">
        <v>36</v>
      </c>
      <c r="C110" s="24"/>
      <c r="D110" s="24"/>
      <c r="E110" s="24"/>
      <c r="F110" s="24"/>
      <c r="G110" s="25">
        <v>1183</v>
      </c>
      <c r="H110" s="2"/>
      <c r="I110" s="33" t="str">
        <f>IF(H110="yes",G110,"")</f>
        <v/>
      </c>
    </row>
    <row r="112" spans="1:9" x14ac:dyDescent="0.3">
      <c r="A112" s="5" t="s">
        <v>44</v>
      </c>
      <c r="B112" s="6"/>
      <c r="C112" s="6"/>
      <c r="D112" s="6"/>
      <c r="E112" s="6"/>
      <c r="F112" s="6"/>
      <c r="G112" s="7"/>
      <c r="H112" s="6"/>
      <c r="I112" s="8"/>
    </row>
    <row r="113" spans="1:9" ht="50.25" customHeight="1" x14ac:dyDescent="0.3">
      <c r="A113" s="9"/>
      <c r="B113" s="64" t="s">
        <v>37</v>
      </c>
      <c r="C113" s="64"/>
      <c r="D113" s="64"/>
      <c r="E113" s="64"/>
      <c r="F113" s="64"/>
      <c r="G113" s="64"/>
      <c r="H113" s="64"/>
      <c r="I113" s="65"/>
    </row>
    <row r="114" spans="1:9" ht="6.9" customHeight="1" x14ac:dyDescent="0.3">
      <c r="A114" s="9"/>
      <c r="B114" s="21"/>
      <c r="C114" s="21"/>
      <c r="D114" s="21"/>
      <c r="E114" s="21"/>
      <c r="F114" s="21"/>
      <c r="G114" s="22"/>
      <c r="H114" s="21"/>
      <c r="I114" s="23"/>
    </row>
    <row r="115" spans="1:9" x14ac:dyDescent="0.3">
      <c r="A115" s="10"/>
      <c r="B115" s="34" t="s">
        <v>38</v>
      </c>
      <c r="C115" s="24"/>
      <c r="D115" s="24"/>
      <c r="E115" s="24"/>
      <c r="F115" s="24"/>
      <c r="G115" s="25"/>
      <c r="H115" s="24"/>
      <c r="I115" s="3"/>
    </row>
    <row r="117" spans="1:9" x14ac:dyDescent="0.3">
      <c r="A117" s="5" t="s">
        <v>39</v>
      </c>
      <c r="B117" s="6"/>
      <c r="C117" s="6"/>
      <c r="D117" s="6"/>
      <c r="E117" s="6"/>
      <c r="F117" s="6"/>
      <c r="G117" s="7"/>
      <c r="H117" s="6"/>
      <c r="I117" s="8"/>
    </row>
    <row r="118" spans="1:9" ht="48" customHeight="1" x14ac:dyDescent="0.3">
      <c r="A118" s="9"/>
      <c r="B118" s="64" t="s">
        <v>69</v>
      </c>
      <c r="C118" s="64"/>
      <c r="D118" s="64"/>
      <c r="E118" s="64"/>
      <c r="F118" s="64"/>
      <c r="G118" s="64"/>
      <c r="H118" s="64"/>
      <c r="I118" s="65"/>
    </row>
    <row r="119" spans="1:9" ht="0.75" customHeight="1" x14ac:dyDescent="0.3">
      <c r="A119" s="9"/>
      <c r="B119" s="64" t="s">
        <v>69</v>
      </c>
      <c r="C119" s="64"/>
      <c r="D119" s="64"/>
      <c r="E119" s="64"/>
      <c r="F119" s="64"/>
      <c r="G119" s="64"/>
      <c r="H119" s="64"/>
      <c r="I119" s="65"/>
    </row>
    <row r="120" spans="1:9" x14ac:dyDescent="0.3">
      <c r="A120" s="10"/>
      <c r="B120" s="34" t="s">
        <v>40</v>
      </c>
      <c r="C120" s="24"/>
      <c r="D120" s="24"/>
      <c r="E120" s="24"/>
      <c r="F120" s="24"/>
      <c r="G120" s="25"/>
      <c r="H120" s="24"/>
      <c r="I120" s="3"/>
    </row>
    <row r="122" spans="1:9" x14ac:dyDescent="0.3">
      <c r="A122" s="5" t="s">
        <v>41</v>
      </c>
      <c r="B122" s="6"/>
      <c r="C122" s="6"/>
      <c r="D122" s="6"/>
      <c r="E122" s="6"/>
      <c r="F122" s="6"/>
      <c r="G122" s="7"/>
      <c r="H122" s="6"/>
      <c r="I122" s="8"/>
    </row>
    <row r="123" spans="1:9" ht="33.75" customHeight="1" x14ac:dyDescent="0.3">
      <c r="A123" s="9"/>
      <c r="B123" s="64" t="s">
        <v>71</v>
      </c>
      <c r="C123" s="64"/>
      <c r="D123" s="64"/>
      <c r="E123" s="64"/>
      <c r="F123" s="64"/>
      <c r="G123" s="64"/>
      <c r="H123" s="64"/>
      <c r="I123" s="65"/>
    </row>
    <row r="124" spans="1:9" ht="6" customHeight="1" x14ac:dyDescent="0.3">
      <c r="A124" s="9"/>
      <c r="B124" s="21"/>
      <c r="C124" s="21"/>
      <c r="D124" s="21"/>
      <c r="E124" s="21"/>
      <c r="F124" s="21"/>
      <c r="G124" s="22"/>
      <c r="H124" s="21"/>
      <c r="I124" s="23"/>
    </row>
    <row r="125" spans="1:9" x14ac:dyDescent="0.3">
      <c r="A125" s="10"/>
      <c r="B125" s="34" t="s">
        <v>70</v>
      </c>
      <c r="C125" s="24"/>
      <c r="D125" s="24"/>
      <c r="E125" s="24"/>
      <c r="F125" s="24"/>
      <c r="G125" s="25"/>
      <c r="H125" s="24"/>
      <c r="I125" s="3"/>
    </row>
    <row r="127" spans="1:9" x14ac:dyDescent="0.3">
      <c r="A127" s="5" t="s">
        <v>42</v>
      </c>
      <c r="B127" s="6"/>
      <c r="C127" s="6"/>
      <c r="D127" s="6"/>
      <c r="E127" s="6"/>
      <c r="F127" s="6"/>
      <c r="G127" s="7"/>
      <c r="H127" s="6"/>
      <c r="I127" s="8"/>
    </row>
    <row r="128" spans="1:9" ht="86.25" customHeight="1" x14ac:dyDescent="0.3">
      <c r="A128" s="9"/>
      <c r="B128" s="64" t="s">
        <v>78</v>
      </c>
      <c r="C128" s="64"/>
      <c r="D128" s="64"/>
      <c r="E128" s="64"/>
      <c r="F128" s="64"/>
      <c r="G128" s="64"/>
      <c r="H128" s="64"/>
      <c r="I128" s="65"/>
    </row>
    <row r="129" spans="1:9" ht="6.9" customHeight="1" x14ac:dyDescent="0.3">
      <c r="A129" s="9"/>
      <c r="B129" s="21"/>
      <c r="C129" s="21"/>
      <c r="D129" s="21"/>
      <c r="E129" s="21"/>
      <c r="F129" s="21"/>
      <c r="G129" s="22"/>
      <c r="H129" s="21"/>
      <c r="I129" s="23"/>
    </row>
    <row r="130" spans="1:9" x14ac:dyDescent="0.3">
      <c r="A130" s="10"/>
      <c r="B130" s="34" t="s">
        <v>43</v>
      </c>
      <c r="C130" s="24"/>
      <c r="D130" s="24"/>
      <c r="E130" s="24"/>
      <c r="F130" s="24"/>
      <c r="G130" s="25"/>
      <c r="H130" s="24"/>
      <c r="I130" s="3"/>
    </row>
    <row r="132" spans="1:9" s="41" customFormat="1" ht="17.399999999999999" x14ac:dyDescent="0.35">
      <c r="A132" s="37" t="s">
        <v>64</v>
      </c>
      <c r="B132" s="38"/>
      <c r="C132" s="38"/>
      <c r="D132" s="38"/>
      <c r="E132" s="38"/>
      <c r="F132" s="38"/>
      <c r="G132" s="39"/>
      <c r="H132" s="38"/>
      <c r="I132" s="40">
        <f>SUM(I6,I12,I13,I14,I15,I18,I19,I20,I21,I23,I33,I35,I37,I39,I41,I43,I47,I49,I54,I59,I65,I68,I70,I76,I78,I84,I90,I96,I98,I104,I106,I108,I110,I115,I120,I125,I130)</f>
        <v>0</v>
      </c>
    </row>
    <row r="134" spans="1:9" ht="45.75" customHeight="1" x14ac:dyDescent="0.3">
      <c r="A134" s="66" t="s">
        <v>67</v>
      </c>
      <c r="B134" s="67"/>
      <c r="C134" s="67"/>
      <c r="D134" s="67"/>
      <c r="E134" s="67"/>
      <c r="F134" s="67"/>
      <c r="G134" s="67"/>
      <c r="H134" s="68"/>
      <c r="I134" s="69"/>
    </row>
  </sheetData>
  <mergeCells count="25">
    <mergeCell ref="A1:I1"/>
    <mergeCell ref="B6:H6"/>
    <mergeCell ref="B9:I9"/>
    <mergeCell ref="B26:I26"/>
    <mergeCell ref="B52:I52"/>
    <mergeCell ref="B45:I45"/>
    <mergeCell ref="B31:E31"/>
    <mergeCell ref="B5:I5"/>
    <mergeCell ref="A2:I2"/>
    <mergeCell ref="B23:G23"/>
    <mergeCell ref="B57:I57"/>
    <mergeCell ref="B62:I62"/>
    <mergeCell ref="B73:I73"/>
    <mergeCell ref="B82:I82"/>
    <mergeCell ref="B87:I87"/>
    <mergeCell ref="B123:I123"/>
    <mergeCell ref="B128:I128"/>
    <mergeCell ref="A134:I134"/>
    <mergeCell ref="B93:I93"/>
    <mergeCell ref="B95:E95"/>
    <mergeCell ref="B101:I101"/>
    <mergeCell ref="B103:E103"/>
    <mergeCell ref="B113:I113"/>
    <mergeCell ref="B118:I118"/>
    <mergeCell ref="B119:I119"/>
  </mergeCells>
  <pageMargins left="0.7" right="0.7" top="0.75" bottom="0.75" header="0.3" footer="0.3"/>
  <pageSetup scale="76" fitToHeight="3" orientation="portrait" r:id="rId1"/>
  <rowBreaks count="2" manualBreakCount="2">
    <brk id="50" max="8" man="1"/>
    <brk id="99" max="8"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adac</dc:creator>
  <cp:lastModifiedBy>Piper McDougall</cp:lastModifiedBy>
  <cp:lastPrinted>2011-04-01T21:28:29Z</cp:lastPrinted>
  <dcterms:created xsi:type="dcterms:W3CDTF">2011-03-30T16:17:39Z</dcterms:created>
  <dcterms:modified xsi:type="dcterms:W3CDTF">2013-04-15T20:35:35Z</dcterms:modified>
</cp:coreProperties>
</file>