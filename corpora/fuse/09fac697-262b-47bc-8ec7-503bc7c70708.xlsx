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840" windowWidth="19416" windowHeight="8760"/>
  </bookViews>
  <sheets>
    <sheet name="Weekly Menu 9-12 (2)" sheetId="4" r:id="rId1"/>
  </sheets>
  <definedNames>
    <definedName name="_xlnm.Print_Area" localSheetId="0">'Weekly Menu 9-12 (2)'!$A$1:$Q$30</definedName>
  </definedNames>
  <calcPr calcId="145621"/>
</workbook>
</file>

<file path=xl/calcChain.xml><?xml version="1.0" encoding="utf-8"?>
<calcChain xmlns="http://schemas.openxmlformats.org/spreadsheetml/2006/main">
  <c r="P22" i="4" l="1"/>
  <c r="N22" i="4" l="1"/>
  <c r="N27" i="4"/>
  <c r="N10" i="4" l="1"/>
  <c r="N11" i="4"/>
  <c r="N12" i="4"/>
  <c r="N13" i="4"/>
  <c r="N9" i="4"/>
  <c r="N24" i="4" l="1"/>
  <c r="P24" i="4" s="1"/>
  <c r="N23" i="4"/>
  <c r="N21" i="4"/>
  <c r="N28" i="4" l="1"/>
  <c r="Q24" i="4" l="1"/>
  <c r="Q28" i="4" l="1"/>
  <c r="Q23" i="4"/>
  <c r="N14" i="4" l="1"/>
  <c r="P14" i="4" s="1"/>
  <c r="Q14" i="4" s="1"/>
  <c r="N6" i="4" l="1"/>
  <c r="P6" i="4" s="1"/>
  <c r="Q6" i="4" s="1"/>
  <c r="D7" i="4"/>
  <c r="F7" i="4"/>
  <c r="H7" i="4"/>
  <c r="J7" i="4"/>
  <c r="L7" i="4"/>
  <c r="P9" i="4"/>
  <c r="Q9" i="4" s="1"/>
  <c r="P10" i="4"/>
  <c r="Q10" i="4" s="1"/>
  <c r="P11" i="4"/>
  <c r="Q11" i="4" s="1"/>
  <c r="P12" i="4"/>
  <c r="Q12" i="4" s="1"/>
  <c r="P13" i="4"/>
  <c r="Q13" i="4" s="1"/>
  <c r="D18" i="4"/>
  <c r="F18" i="4"/>
  <c r="H18" i="4"/>
  <c r="J18" i="4"/>
  <c r="L18" i="4"/>
  <c r="Q21" i="4"/>
  <c r="N26" i="4"/>
  <c r="Q26" i="4" s="1"/>
  <c r="N30" i="4"/>
  <c r="Q30" i="4" s="1"/>
  <c r="N18" i="4" l="1"/>
  <c r="P18" i="4" s="1"/>
  <c r="Q18" i="4" s="1"/>
</calcChain>
</file>

<file path=xl/comments1.xml><?xml version="1.0" encoding="utf-8"?>
<comments xmlns="http://schemas.openxmlformats.org/spreadsheetml/2006/main">
  <authors>
    <author>Oberholser, Cheryl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Oberholser, Cheryl: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<sst xmlns="http://schemas.openxmlformats.org/spreadsheetml/2006/main" count="178" uniqueCount="94">
  <si>
    <t>Offer 1 cup/day</t>
  </si>
  <si>
    <t>Non-fat (flavored or unflavored) or 1% unflavored</t>
  </si>
  <si>
    <t>cup</t>
  </si>
  <si>
    <t>MILK</t>
  </si>
  <si>
    <t>Minimum of 2 oz. per day</t>
  </si>
  <si>
    <t>MEAT / MEAT ALT.</t>
  </si>
  <si>
    <t>Half of all grains must be whole grain</t>
  </si>
  <si>
    <t>List only WGR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</si>
  <si>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</si>
  <si>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</si>
  <si>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</si>
  <si>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</si>
  <si>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</si>
  <si>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</si>
  <si>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</si>
  <si>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</si>
  <si>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starchy</t>
  </si>
  <si>
    <t>½ cup of legumes</t>
  </si>
  <si>
    <t>1 ¼ cup of red/orange</t>
  </si>
  <si>
    <t>½ cup dark green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</si>
  <si>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</si>
  <si>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</si>
  <si>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</si>
  <si>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</si>
  <si>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</si>
  <si>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</si>
  <si>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</si>
  <si>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</si>
  <si>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</si>
  <si>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</si>
  <si>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</si>
  <si>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</si>
  <si>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</si>
  <si>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</si>
  <si>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9-12</t>
  </si>
  <si>
    <t>Fruit bar</t>
  </si>
  <si>
    <t>Additional Vegetable</t>
  </si>
  <si>
    <t>Minimum of 2 per day</t>
  </si>
  <si>
    <t>10 per week minimum</t>
  </si>
  <si>
    <t>12 per week maximum</t>
  </si>
  <si>
    <t>Breaded chicken pattie sandwich</t>
  </si>
  <si>
    <t>Hamburger</t>
  </si>
  <si>
    <t xml:space="preserve">Shredded chicken taco salad </t>
  </si>
  <si>
    <t>Pizza w/2 oz. low fat moz.</t>
  </si>
  <si>
    <t>Mini turkey corn dogs (6 each)</t>
  </si>
  <si>
    <t>Fat free chocolate, strawberry, white and low fat white</t>
  </si>
  <si>
    <t>Sloppy Joe</t>
  </si>
  <si>
    <t>Cucumber slices w/ ff ranch dip</t>
  </si>
  <si>
    <t>Oven baked FF</t>
  </si>
  <si>
    <t>Carrot sticks w/ff ranch dip</t>
  </si>
  <si>
    <t>Whole grain round roll</t>
  </si>
  <si>
    <t>Whole grain pizza crust</t>
  </si>
  <si>
    <t>Deli bar</t>
  </si>
  <si>
    <t>Grilled chicken sandwich</t>
  </si>
  <si>
    <t xml:space="preserve">Hamburger </t>
  </si>
  <si>
    <t>oz.</t>
  </si>
  <si>
    <t xml:space="preserve">Marinated bean salad </t>
  </si>
  <si>
    <t>Steamed green bean</t>
  </si>
  <si>
    <t>Weekly Average: 792, Saturated fat 6.24%, Sodium 1808</t>
  </si>
  <si>
    <t>Fruit Totals              (for each day)</t>
  </si>
  <si>
    <t>VEG TOTALS                            (for each day)</t>
  </si>
  <si>
    <t>Carrots &amp; red peppers</t>
  </si>
  <si>
    <t>Green peas</t>
  </si>
  <si>
    <t>Carrot &amp; celery sticks w/ ff ranch dip</t>
  </si>
  <si>
    <t>Deli bar - steak or kaiser roll</t>
  </si>
  <si>
    <t>Whole grain dinner roll - 2 each</t>
  </si>
  <si>
    <t>Whole grain round roll and dinner rolls</t>
  </si>
  <si>
    <t>Whole grain tortilla chips</t>
  </si>
  <si>
    <t xml:space="preserve">Breading on corn dog </t>
  </si>
  <si>
    <t>Garlic bread</t>
  </si>
  <si>
    <t xml:space="preserve">Whole grain round roll </t>
  </si>
  <si>
    <t>Cauliflower &amp; sliced cucumber</t>
  </si>
  <si>
    <t>Total oz. eq. of grains offered for this week</t>
  </si>
  <si>
    <t>Total oz. eq. of whole  grain rich offered for this week</t>
  </si>
  <si>
    <t>1 cup of fruit</t>
  </si>
  <si>
    <t>Salad bar-1 cup romaine &amp; spinach w/ dressing*</t>
  </si>
  <si>
    <t xml:space="preserve">1 1/2 cup additional </t>
  </si>
  <si>
    <t>Breading on corn dog  &amp; taco chips</t>
  </si>
  <si>
    <t>Date: Week # 1</t>
  </si>
  <si>
    <t>VEGETABLES            1 cup of vegs/day</t>
  </si>
  <si>
    <t xml:space="preserve">Required weekly vegetable sub-groups adds up to 3 1/2 cups; weekly total of all vegetables is 5 cups </t>
  </si>
  <si>
    <t xml:space="preserve">Students have a choice of either the salad bar or two additional vegetables (1 cup) </t>
  </si>
  <si>
    <t>Potato Puffs</t>
  </si>
  <si>
    <t>Chef salad w/ham</t>
  </si>
  <si>
    <t>Mashed potato bowl w/ ground beef                    USDA recipe D-43</t>
  </si>
  <si>
    <t>Potato &amp; mixed vegetables in mashed potato bowl</t>
  </si>
  <si>
    <r>
      <rPr>
        <sz val="11"/>
        <color theme="1"/>
        <rFont val="Times New Roman"/>
        <family val="1"/>
      </rPr>
      <t>¾</t>
    </r>
    <r>
      <rPr>
        <sz val="11"/>
        <color theme="1"/>
        <rFont val="Calibri"/>
        <family val="2"/>
        <scheme val="minor"/>
      </rPr>
      <t xml:space="preserve"> cup of other</t>
    </r>
  </si>
  <si>
    <r>
      <t xml:space="preserve">Enter daily </t>
    </r>
    <r>
      <rPr>
        <b/>
        <sz val="11"/>
        <color theme="1"/>
        <rFont val="Calibri"/>
        <family val="2"/>
        <scheme val="minor"/>
      </rPr>
      <t xml:space="preserve">minimum </t>
    </r>
    <r>
      <rPr>
        <sz val="11"/>
        <color theme="1"/>
        <rFont val="Calibri"/>
        <family val="2"/>
        <scheme val="minor"/>
      </rPr>
      <t>offering</t>
    </r>
  </si>
  <si>
    <r>
      <t xml:space="preserve">Enter daily </t>
    </r>
    <r>
      <rPr>
        <b/>
        <sz val="11"/>
        <color theme="1"/>
        <rFont val="Calibri"/>
        <family val="2"/>
        <scheme val="minor"/>
      </rPr>
      <t xml:space="preserve">maximum </t>
    </r>
    <r>
      <rPr>
        <sz val="11"/>
        <color theme="1"/>
        <rFont val="Calibri"/>
        <family val="2"/>
        <scheme val="minor"/>
      </rPr>
      <t>offering</t>
    </r>
  </si>
  <si>
    <t>Quantity difference (actual vs. required)</t>
  </si>
  <si>
    <t>Garbanzo beans</t>
  </si>
  <si>
    <t>Sautéed Zucchini</t>
  </si>
  <si>
    <t>Iceberg lettuce &amp; sliced tomato cup (1/4 c tomato &amp; 1/2 c lettuce)</t>
  </si>
  <si>
    <t>Steamed Brussels sprouts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</si>
</sst>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11" xfId="0" applyNumberFormat="1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</xf>
    <xf numFmtId="0" fontId="1" fillId="9" borderId="13" xfId="0" applyFont="1" applyFill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12" fontId="3" fillId="0" borderId="36" xfId="0" applyNumberFormat="1" applyFont="1" applyBorder="1" applyAlignment="1" applyProtection="1">
      <alignment horizontal="center" vertical="center" wrapText="1"/>
    </xf>
    <xf numFmtId="0" fontId="1" fillId="9" borderId="8" xfId="0" applyFont="1" applyFill="1" applyBorder="1" applyAlignment="1" applyProtection="1">
      <alignment horizontal="center" vertical="center" wrapText="1"/>
    </xf>
    <xf numFmtId="12" fontId="1" fillId="9" borderId="8" xfId="0" applyNumberFormat="1" applyFont="1" applyFill="1" applyBorder="1" applyAlignment="1" applyProtection="1">
      <alignment horizontal="center" vertical="center" wrapText="1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3" fillId="7" borderId="17" xfId="0" applyFont="1" applyFill="1" applyBorder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1" fillId="0" borderId="34" xfId="0" applyFont="1" applyBorder="1" applyAlignment="1" applyProtection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9" borderId="17" xfId="0" applyFont="1" applyFill="1" applyBorder="1" applyAlignment="1" applyProtection="1">
      <alignment horizontal="center" vertical="center"/>
      <protection locked="0"/>
    </xf>
    <xf numFmtId="0" fontId="2" fillId="3" borderId="35" xfId="0" applyFont="1" applyFill="1" applyBorder="1" applyAlignment="1" applyProtection="1">
      <alignment horizontal="center" vertical="center" wrapText="1"/>
    </xf>
    <xf numFmtId="0" fontId="2" fillId="3" borderId="18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12" fillId="0" borderId="8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12" fillId="0" borderId="6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0" fillId="0" borderId="8" xfId="0" applyFont="1" applyBorder="1" applyAlignment="1" applyProtection="1">
      <alignment horizontal="center" vertical="center" wrapText="1"/>
    </xf>
    <xf numFmtId="12" fontId="0" fillId="0" borderId="8" xfId="0" applyNumberFormat="1" applyFont="1" applyBorder="1" applyAlignment="1" applyProtection="1">
      <alignment horizontal="center" vertical="center" wrapText="1"/>
    </xf>
    <xf numFmtId="0" fontId="0" fillId="0" borderId="7" xfId="0" applyFont="1" applyBorder="1" applyAlignment="1" applyProtection="1">
      <alignment horizontal="center" vertical="center" wrapText="1"/>
    </xf>
    <xf numFmtId="0" fontId="0" fillId="0" borderId="6" xfId="0" applyFont="1" applyBorder="1" applyAlignment="1" applyProtection="1">
      <alignment horizontal="center" vertical="center" wrapText="1"/>
    </xf>
    <xf numFmtId="0" fontId="0" fillId="0" borderId="6" xfId="0" applyFont="1" applyBorder="1" applyAlignment="1" applyProtection="1">
      <alignment horizontal="center" vertical="center" wrapText="1"/>
      <protection locked="0"/>
    </xf>
    <xf numFmtId="12" fontId="0" fillId="0" borderId="6" xfId="0" applyNumberFormat="1" applyFont="1" applyBorder="1" applyAlignment="1" applyProtection="1">
      <alignment horizontal="center" vertical="center" wrapText="1"/>
      <protection locked="0"/>
    </xf>
    <xf numFmtId="12" fontId="0" fillId="0" borderId="6" xfId="0" applyNumberFormat="1" applyFont="1" applyBorder="1" applyAlignment="1" applyProtection="1">
      <alignment horizontal="center" vertical="center" wrapText="1"/>
    </xf>
    <xf numFmtId="12" fontId="0" fillId="0" borderId="16" xfId="0" applyNumberFormat="1" applyFont="1" applyFill="1" applyBorder="1" applyAlignment="1" applyProtection="1">
      <alignment horizontal="center" vertical="center" wrapText="1"/>
    </xf>
    <xf numFmtId="0" fontId="0" fillId="0" borderId="4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  <protection locked="0"/>
    </xf>
    <xf numFmtId="12" fontId="0" fillId="0" borderId="1" xfId="0" applyNumberFormat="1" applyFont="1" applyBorder="1" applyAlignment="1" applyProtection="1">
      <alignment horizontal="center" vertical="center" wrapText="1"/>
      <protection locked="0"/>
    </xf>
    <xf numFmtId="12" fontId="0" fillId="0" borderId="1" xfId="0" applyNumberFormat="1" applyFont="1" applyBorder="1" applyAlignment="1" applyProtection="1">
      <alignment horizontal="center" vertical="center" wrapText="1"/>
    </xf>
    <xf numFmtId="12" fontId="0" fillId="0" borderId="3" xfId="0" applyNumberFormat="1" applyFont="1" applyFill="1" applyBorder="1" applyAlignment="1" applyProtection="1">
      <alignment horizontal="center" vertical="center" wrapText="1"/>
    </xf>
    <xf numFmtId="0" fontId="0" fillId="8" borderId="1" xfId="0" applyFont="1" applyFill="1" applyBorder="1" applyAlignment="1" applyProtection="1">
      <alignment horizontal="center" vertical="center" wrapText="1"/>
    </xf>
    <xf numFmtId="12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8" xfId="0" applyFont="1" applyBorder="1" applyAlignment="1" applyProtection="1">
      <alignment horizontal="center" vertical="center" wrapText="1"/>
      <protection locked="0"/>
    </xf>
    <xf numFmtId="12" fontId="0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13" xfId="0" applyFont="1" applyBorder="1" applyAlignment="1" applyProtection="1">
      <alignment horizontal="center" vertical="center" wrapText="1"/>
      <protection locked="0"/>
    </xf>
    <xf numFmtId="0" fontId="0" fillId="0" borderId="11" xfId="0" applyFont="1" applyBorder="1" applyAlignment="1" applyProtection="1">
      <alignment horizontal="center" vertical="center" wrapText="1"/>
      <protection locked="0"/>
    </xf>
    <xf numFmtId="12" fontId="0" fillId="0" borderId="11" xfId="0" applyNumberFormat="1" applyFont="1" applyBorder="1" applyAlignment="1" applyProtection="1">
      <alignment horizontal="center" vertical="center" wrapText="1"/>
      <protection locked="0"/>
    </xf>
    <xf numFmtId="0" fontId="0" fillId="7" borderId="17" xfId="0" applyFont="1" applyFill="1" applyBorder="1" applyAlignment="1" applyProtection="1">
      <alignment horizontal="center" vertical="center" wrapText="1"/>
    </xf>
    <xf numFmtId="0" fontId="0" fillId="7" borderId="38" xfId="0" applyFont="1" applyFill="1" applyBorder="1" applyAlignment="1" applyProtection="1">
      <alignment horizontal="center" vertical="center" wrapText="1"/>
    </xf>
    <xf numFmtId="12" fontId="0" fillId="7" borderId="38" xfId="0" applyNumberFormat="1" applyFont="1" applyFill="1" applyBorder="1" applyAlignment="1" applyProtection="1">
      <alignment horizontal="center" vertical="center" wrapText="1"/>
    </xf>
    <xf numFmtId="12" fontId="0" fillId="7" borderId="39" xfId="0" applyNumberFormat="1" applyFont="1" applyFill="1" applyBorder="1" applyAlignment="1" applyProtection="1">
      <alignment horizontal="center" vertical="center" wrapText="1"/>
    </xf>
    <xf numFmtId="12" fontId="0" fillId="0" borderId="22" xfId="0" applyNumberFormat="1" applyFont="1" applyFill="1" applyBorder="1" applyAlignment="1" applyProtection="1">
      <alignment horizontal="center" vertical="center" wrapText="1"/>
    </xf>
    <xf numFmtId="12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14" xfId="0" applyFont="1" applyBorder="1" applyAlignment="1" applyProtection="1">
      <alignment horizontal="center" vertical="center" wrapText="1"/>
    </xf>
    <xf numFmtId="0" fontId="0" fillId="0" borderId="13" xfId="0" applyFont="1" applyFill="1" applyBorder="1" applyAlignment="1" applyProtection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 wrapText="1"/>
    </xf>
    <xf numFmtId="12" fontId="0" fillId="6" borderId="11" xfId="0" applyNumberFormat="1" applyFont="1" applyFill="1" applyBorder="1" applyAlignment="1" applyProtection="1">
      <alignment horizontal="center" vertical="center" wrapText="1"/>
    </xf>
    <xf numFmtId="0" fontId="0" fillId="5" borderId="14" xfId="0" applyFont="1" applyFill="1" applyBorder="1" applyAlignment="1" applyProtection="1">
      <alignment horizontal="center" vertical="center" wrapText="1"/>
    </xf>
    <xf numFmtId="16" fontId="0" fillId="0" borderId="28" xfId="0" applyNumberFormat="1" applyFont="1" applyBorder="1" applyAlignment="1" applyProtection="1">
      <alignment horizontal="center" vertical="center" wrapText="1"/>
    </xf>
    <xf numFmtId="16" fontId="10" fillId="0" borderId="9" xfId="0" applyNumberFormat="1" applyFont="1" applyBorder="1" applyAlignment="1" applyProtection="1">
      <alignment horizontal="center" vertical="center" wrapText="1"/>
    </xf>
    <xf numFmtId="16" fontId="0" fillId="0" borderId="6" xfId="0" applyNumberFormat="1" applyFont="1" applyBorder="1" applyAlignment="1" applyProtection="1">
      <alignment horizontal="center" vertical="center" wrapText="1"/>
    </xf>
    <xf numFmtId="12" fontId="10" fillId="0" borderId="1" xfId="0" applyNumberFormat="1" applyFont="1" applyBorder="1" applyAlignment="1" applyProtection="1">
      <alignment horizontal="center" vertical="center" wrapText="1"/>
    </xf>
    <xf numFmtId="16" fontId="0" fillId="0" borderId="1" xfId="0" applyNumberFormat="1" applyFont="1" applyBorder="1" applyAlignment="1" applyProtection="1">
      <alignment horizontal="center" vertical="center" wrapText="1"/>
    </xf>
    <xf numFmtId="12" fontId="10" fillId="0" borderId="3" xfId="0" applyNumberFormat="1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horizontal="center" vertical="center" wrapText="1"/>
    </xf>
    <xf numFmtId="0" fontId="0" fillId="0" borderId="37" xfId="0" applyFont="1" applyBorder="1" applyAlignment="1" applyProtection="1">
      <alignment horizontal="center" vertical="center" wrapText="1"/>
      <protection locked="0"/>
    </xf>
    <xf numFmtId="0" fontId="0" fillId="0" borderId="5" xfId="0" applyFont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0" fillId="0" borderId="33" xfId="0" applyFont="1" applyBorder="1" applyAlignment="1" applyProtection="1">
      <alignment horizontal="center" vertical="center" wrapText="1"/>
    </xf>
    <xf numFmtId="0" fontId="0" fillId="0" borderId="33" xfId="0" applyFont="1" applyBorder="1" applyAlignment="1" applyProtection="1">
      <alignment horizontal="center" vertical="center" wrapText="1"/>
      <protection locked="0"/>
    </xf>
    <xf numFmtId="12" fontId="0" fillId="0" borderId="33" xfId="0" applyNumberFormat="1" applyFont="1" applyBorder="1" applyAlignment="1" applyProtection="1">
      <alignment horizontal="center" vertical="center" wrapText="1"/>
      <protection locked="0"/>
    </xf>
    <xf numFmtId="12" fontId="0" fillId="0" borderId="33" xfId="0" applyNumberFormat="1" applyFont="1" applyBorder="1" applyAlignment="1" applyProtection="1">
      <alignment horizontal="center" vertical="center" wrapText="1"/>
    </xf>
    <xf numFmtId="0" fontId="9" fillId="2" borderId="35" xfId="0" applyFont="1" applyFill="1" applyBorder="1" applyAlignment="1" applyProtection="1">
      <alignment horizontal="center" vertical="center" wrapText="1"/>
    </xf>
    <xf numFmtId="0" fontId="0" fillId="0" borderId="12" xfId="0" applyFont="1" applyBorder="1" applyAlignment="1" applyProtection="1">
      <alignment horizontal="center" vertical="center" wrapText="1"/>
    </xf>
    <xf numFmtId="0" fontId="0" fillId="0" borderId="24" xfId="0" applyFont="1" applyBorder="1" applyAlignment="1" applyProtection="1">
      <alignment horizontal="center" vertical="center" wrapText="1"/>
    </xf>
    <xf numFmtId="0" fontId="0" fillId="0" borderId="30" xfId="0" applyFont="1" applyBorder="1" applyAlignment="1" applyProtection="1">
      <alignment horizontal="center" vertical="center" wrapText="1"/>
    </xf>
    <xf numFmtId="0" fontId="0" fillId="0" borderId="10" xfId="0" applyFont="1" applyBorder="1" applyAlignment="1" applyProtection="1">
      <alignment horizontal="center" vertical="center" wrapText="1"/>
    </xf>
    <xf numFmtId="0" fontId="3" fillId="0" borderId="14" xfId="0" applyFont="1" applyBorder="1" applyAlignment="1" applyProtection="1">
      <alignment horizontal="center" vertical="center" wrapText="1"/>
    </xf>
    <xf numFmtId="0" fontId="3" fillId="0" borderId="32" xfId="0" applyFont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8" fillId="0" borderId="28" xfId="0" applyFont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0" fillId="9" borderId="19" xfId="0" applyFill="1" applyBorder="1" applyAlignment="1" applyProtection="1">
      <alignment horizontal="center" vertical="center"/>
      <protection locked="0"/>
    </xf>
    <xf numFmtId="0" fontId="0" fillId="9" borderId="18" xfId="0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 wrapText="1"/>
    </xf>
    <xf numFmtId="0" fontId="9" fillId="4" borderId="35" xfId="0" applyFont="1" applyFill="1" applyBorder="1" applyAlignment="1" applyProtection="1">
      <alignment horizontal="left" vertical="center" wrapText="1"/>
    </xf>
    <xf numFmtId="0" fontId="9" fillId="4" borderId="19" xfId="0" applyFont="1" applyFill="1" applyBorder="1" applyAlignment="1" applyProtection="1">
      <alignment horizontal="left" vertical="center" wrapText="1"/>
    </xf>
    <xf numFmtId="0" fontId="9" fillId="4" borderId="18" xfId="0" applyFont="1" applyFill="1" applyBorder="1" applyAlignment="1" applyProtection="1">
      <alignment horizontal="left" vertical="center" wrapText="1"/>
    </xf>
    <xf numFmtId="0" fontId="6" fillId="7" borderId="20" xfId="0" applyFont="1" applyFill="1" applyBorder="1" applyAlignment="1" applyProtection="1">
      <alignment horizontal="center" vertical="center" wrapText="1"/>
    </xf>
    <xf numFmtId="0" fontId="6" fillId="7" borderId="19" xfId="0" applyFont="1" applyFill="1" applyBorder="1" applyAlignment="1" applyProtection="1">
      <alignment horizontal="center" vertical="center" wrapText="1"/>
    </xf>
    <xf numFmtId="0" fontId="6" fillId="7" borderId="18" xfId="0" applyFont="1" applyFill="1" applyBorder="1" applyAlignment="1" applyProtection="1">
      <alignment horizontal="center" vertical="center" wrapText="1"/>
    </xf>
    <xf numFmtId="0" fontId="0" fillId="0" borderId="15" xfId="0" applyFont="1" applyBorder="1" applyAlignment="1" applyProtection="1">
      <alignment horizontal="center" vertical="center" wrapText="1"/>
    </xf>
    <xf numFmtId="0" fontId="0" fillId="0" borderId="13" xfId="0" applyFont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0" fillId="0" borderId="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12" fontId="0" fillId="0" borderId="8" xfId="0" applyNumberFormat="1" applyFont="1" applyBorder="1" applyAlignment="1" applyProtection="1">
      <alignment horizontal="center" vertical="center" wrapText="1"/>
    </xf>
    <xf numFmtId="12" fontId="0" fillId="0" borderId="11" xfId="0" applyNumberFormat="1" applyFont="1" applyBorder="1" applyAlignment="1" applyProtection="1">
      <alignment horizontal="center" vertical="center" wrapText="1"/>
    </xf>
    <xf numFmtId="12" fontId="0" fillId="0" borderId="6" xfId="0" applyNumberFormat="1" applyFont="1" applyBorder="1" applyAlignment="1" applyProtection="1">
      <alignment horizontal="center" vertical="center" wrapText="1"/>
    </xf>
    <xf numFmtId="12" fontId="0" fillId="0" borderId="8" xfId="0" applyNumberFormat="1" applyFont="1" applyFill="1" applyBorder="1" applyAlignment="1" applyProtection="1">
      <alignment horizontal="center" vertical="center" wrapText="1"/>
    </xf>
    <xf numFmtId="12" fontId="0" fillId="0" borderId="11" xfId="0" applyNumberFormat="1" applyFont="1" applyFill="1" applyBorder="1" applyAlignment="1" applyProtection="1">
      <alignment horizontal="center" vertical="center" wrapText="1"/>
    </xf>
    <xf numFmtId="12" fontId="0" fillId="0" borderId="6" xfId="0" applyNumberFormat="1" applyFont="1" applyFill="1" applyBorder="1" applyAlignment="1" applyProtection="1">
      <alignment horizontal="center" vertical="center" wrapText="1"/>
    </xf>
    <xf numFmtId="0" fontId="1" fillId="0" borderId="25" xfId="0" applyFont="1" applyBorder="1" applyAlignment="1" applyProtection="1">
      <alignment horizontal="center" vertical="center" wrapText="1"/>
    </xf>
    <xf numFmtId="0" fontId="0" fillId="0" borderId="24" xfId="0" applyBorder="1" applyAlignment="1" applyProtection="1">
      <alignment horizontal="center" vertical="center" wrapText="1"/>
    </xf>
    <xf numFmtId="0" fontId="0" fillId="0" borderId="24" xfId="0" applyFont="1" applyBorder="1" applyAlignment="1" applyProtection="1">
      <alignment horizontal="center" vertical="center" wrapText="1"/>
    </xf>
    <xf numFmtId="0" fontId="0" fillId="0" borderId="23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2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center" wrapText="1"/>
    </xf>
    <xf numFmtId="0" fontId="3" fillId="0" borderId="33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12" fontId="0" fillId="0" borderId="9" xfId="0" applyNumberFormat="1" applyFont="1" applyBorder="1" applyAlignment="1" applyProtection="1">
      <alignment horizontal="center" vertical="center" wrapText="1"/>
    </xf>
    <xf numFmtId="12" fontId="0" fillId="0" borderId="9" xfId="0" applyNumberFormat="1" applyFont="1" applyFill="1" applyBorder="1" applyAlignment="1" applyProtection="1">
      <alignment horizontal="center" vertical="center" wrapText="1"/>
    </xf>
    <xf numFmtId="0" fontId="0" fillId="0" borderId="40" xfId="0" applyFont="1" applyBorder="1" applyAlignment="1" applyProtection="1">
      <alignment horizontal="center" vertical="center" wrapText="1"/>
    </xf>
    <xf numFmtId="0" fontId="0" fillId="0" borderId="7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139"/>
  <sheetViews>
    <sheetView tabSelected="1" view="pageLayout" zoomScale="75" zoomScaleNormal="100" zoomScalePageLayoutView="75" workbookViewId="0">
      <selection activeCell="E15" sqref="E15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20.6640625" style="2" customWidth="1"/>
    <col min="4" max="4" width="6.33203125" style="3" customWidth="1"/>
    <col min="5" max="5" width="20.6640625" style="2" customWidth="1"/>
    <col min="6" max="6" width="6.44140625" style="2" customWidth="1"/>
    <col min="7" max="7" width="20.6640625" style="2" customWidth="1"/>
    <col min="8" max="8" width="6.44140625" style="2" customWidth="1"/>
    <col min="9" max="9" width="20.6640625" style="2" customWidth="1"/>
    <col min="10" max="10" width="6.44140625" style="2" customWidth="1"/>
    <col min="11" max="11" width="20.6640625" style="2" customWidth="1"/>
    <col min="12" max="12" width="6.44140625" style="2" customWidth="1"/>
    <col min="13" max="13" width="1.44140625" style="2" customWidth="1"/>
    <col min="14" max="14" width="6.6640625" style="2" customWidth="1"/>
    <col min="15" max="16" width="15.332031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7.6" x14ac:dyDescent="0.3">
      <c r="A1" s="31" t="s">
        <v>78</v>
      </c>
      <c r="B1" s="18" t="s">
        <v>34</v>
      </c>
      <c r="C1" s="98" t="s">
        <v>58</v>
      </c>
      <c r="D1" s="98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27"/>
      <c r="Q1" s="20" t="s">
        <v>33</v>
      </c>
    </row>
    <row r="2" spans="1:34" ht="12" customHeight="1" x14ac:dyDescent="0.3">
      <c r="A2" s="124"/>
      <c r="B2" s="125"/>
      <c r="C2" s="126" t="s">
        <v>32</v>
      </c>
      <c r="D2" s="126"/>
      <c r="E2" s="126"/>
      <c r="F2" s="126"/>
      <c r="G2" s="126"/>
      <c r="H2" s="126"/>
      <c r="I2" s="126"/>
      <c r="J2" s="126"/>
      <c r="K2" s="126"/>
      <c r="L2" s="126"/>
      <c r="M2" s="91"/>
      <c r="N2" s="126" t="s">
        <v>31</v>
      </c>
      <c r="O2" s="126"/>
      <c r="P2" s="126"/>
      <c r="Q2" s="127"/>
    </row>
    <row r="3" spans="1:34" ht="13.95" customHeight="1" x14ac:dyDescent="0.3">
      <c r="A3" s="110" t="s">
        <v>14</v>
      </c>
      <c r="B3" s="115" t="s">
        <v>13</v>
      </c>
      <c r="C3" s="128" t="s">
        <v>30</v>
      </c>
      <c r="D3" s="129"/>
      <c r="E3" s="128" t="s">
        <v>29</v>
      </c>
      <c r="F3" s="129"/>
      <c r="G3" s="128" t="s">
        <v>28</v>
      </c>
      <c r="H3" s="129"/>
      <c r="I3" s="128" t="s">
        <v>27</v>
      </c>
      <c r="J3" s="129"/>
      <c r="K3" s="128" t="s">
        <v>26</v>
      </c>
      <c r="L3" s="129"/>
      <c r="M3" s="12"/>
      <c r="N3" s="130" t="s">
        <v>10</v>
      </c>
      <c r="O3" s="130" t="s">
        <v>25</v>
      </c>
      <c r="P3" s="130" t="s">
        <v>89</v>
      </c>
      <c r="Q3" s="94" t="s">
        <v>24</v>
      </c>
    </row>
    <row r="4" spans="1:34" ht="27.6" customHeight="1" thickBot="1" x14ac:dyDescent="0.35">
      <c r="A4" s="111"/>
      <c r="B4" s="116"/>
      <c r="C4" s="40" t="s">
        <v>12</v>
      </c>
      <c r="D4" s="41" t="s">
        <v>23</v>
      </c>
      <c r="E4" s="40" t="s">
        <v>12</v>
      </c>
      <c r="F4" s="40" t="s">
        <v>23</v>
      </c>
      <c r="G4" s="40" t="s">
        <v>12</v>
      </c>
      <c r="H4" s="40" t="s">
        <v>23</v>
      </c>
      <c r="I4" s="40" t="s">
        <v>12</v>
      </c>
      <c r="J4" s="40" t="s">
        <v>23</v>
      </c>
      <c r="K4" s="40" t="s">
        <v>12</v>
      </c>
      <c r="L4" s="40" t="s">
        <v>23</v>
      </c>
      <c r="M4" s="24"/>
      <c r="N4" s="131"/>
      <c r="O4" s="132"/>
      <c r="P4" s="131"/>
      <c r="Q4" s="95"/>
    </row>
    <row r="5" spans="1:34" ht="15.75" thickBot="1" x14ac:dyDescent="0.3">
      <c r="A5" s="32" t="s">
        <v>22</v>
      </c>
      <c r="B5" s="100" t="s">
        <v>20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2"/>
    </row>
    <row r="6" spans="1:34" s="10" customFormat="1" x14ac:dyDescent="0.3">
      <c r="A6" s="58" t="s">
        <v>22</v>
      </c>
      <c r="B6" s="59" t="s">
        <v>74</v>
      </c>
      <c r="C6" s="59" t="s">
        <v>35</v>
      </c>
      <c r="D6" s="60">
        <v>1</v>
      </c>
      <c r="E6" s="59" t="s">
        <v>35</v>
      </c>
      <c r="F6" s="60">
        <v>1</v>
      </c>
      <c r="G6" s="59" t="s">
        <v>35</v>
      </c>
      <c r="H6" s="60">
        <v>1</v>
      </c>
      <c r="I6" s="59" t="s">
        <v>35</v>
      </c>
      <c r="J6" s="60">
        <v>1</v>
      </c>
      <c r="K6" s="59" t="s">
        <v>35</v>
      </c>
      <c r="L6" s="60">
        <v>1</v>
      </c>
      <c r="M6" s="11"/>
      <c r="N6" s="135">
        <f>SUM(D6,F6,H6,J6,L6)</f>
        <v>5</v>
      </c>
      <c r="O6" s="136">
        <v>5</v>
      </c>
      <c r="P6" s="136">
        <f>N6-O6</f>
        <v>0</v>
      </c>
      <c r="Q6" s="103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0" customFormat="1" ht="28.2" thickBot="1" x14ac:dyDescent="0.35">
      <c r="A7" s="13" t="s">
        <v>59</v>
      </c>
      <c r="B7" s="16"/>
      <c r="C7" s="16" t="s">
        <v>15</v>
      </c>
      <c r="D7" s="17">
        <f>D6</f>
        <v>1</v>
      </c>
      <c r="E7" s="16" t="s">
        <v>15</v>
      </c>
      <c r="F7" s="17">
        <f>F6</f>
        <v>1</v>
      </c>
      <c r="G7" s="16" t="s">
        <v>15</v>
      </c>
      <c r="H7" s="17">
        <f>H6</f>
        <v>1</v>
      </c>
      <c r="I7" s="16" t="s">
        <v>15</v>
      </c>
      <c r="J7" s="17">
        <f>J6</f>
        <v>1</v>
      </c>
      <c r="K7" s="16" t="s">
        <v>15</v>
      </c>
      <c r="L7" s="17">
        <f>L6</f>
        <v>1</v>
      </c>
      <c r="M7" s="9"/>
      <c r="N7" s="119"/>
      <c r="O7" s="122"/>
      <c r="P7" s="122"/>
      <c r="Q7" s="96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9.25" customHeight="1" thickBot="1" x14ac:dyDescent="0.4">
      <c r="A8" s="26" t="s">
        <v>21</v>
      </c>
      <c r="B8" s="107" t="s">
        <v>81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9"/>
    </row>
    <row r="9" spans="1:34" ht="43.2" x14ac:dyDescent="0.3">
      <c r="A9" s="42" t="s">
        <v>79</v>
      </c>
      <c r="B9" s="43" t="s">
        <v>19</v>
      </c>
      <c r="C9" s="44" t="s">
        <v>75</v>
      </c>
      <c r="D9" s="45">
        <v>0.5</v>
      </c>
      <c r="E9" s="44" t="s">
        <v>75</v>
      </c>
      <c r="F9" s="45">
        <v>0.5</v>
      </c>
      <c r="G9" s="44" t="s">
        <v>75</v>
      </c>
      <c r="H9" s="45">
        <v>0.5</v>
      </c>
      <c r="I9" s="44" t="s">
        <v>75</v>
      </c>
      <c r="J9" s="45">
        <v>0.5</v>
      </c>
      <c r="K9" s="44" t="s">
        <v>75</v>
      </c>
      <c r="L9" s="45">
        <v>0.5</v>
      </c>
      <c r="M9" s="45"/>
      <c r="N9" s="46">
        <f>D9+F9+H9+J9+L9</f>
        <v>2.5</v>
      </c>
      <c r="O9" s="46">
        <v>0.5</v>
      </c>
      <c r="P9" s="47">
        <f>N9-O9</f>
        <v>2</v>
      </c>
      <c r="Q9" s="21" t="str">
        <f>IF(P9&gt;=0,"MEETS","DOES NOT MEET")</f>
        <v>MEETS</v>
      </c>
    </row>
    <row r="10" spans="1:34" ht="28.8" x14ac:dyDescent="0.3">
      <c r="A10" s="48"/>
      <c r="B10" s="49" t="s">
        <v>18</v>
      </c>
      <c r="C10" s="50" t="s">
        <v>61</v>
      </c>
      <c r="D10" s="51">
        <v>0.35</v>
      </c>
      <c r="E10" s="50" t="s">
        <v>61</v>
      </c>
      <c r="F10" s="51">
        <v>0.35</v>
      </c>
      <c r="G10" s="50" t="s">
        <v>61</v>
      </c>
      <c r="H10" s="51">
        <v>0.35</v>
      </c>
      <c r="I10" s="50" t="s">
        <v>61</v>
      </c>
      <c r="J10" s="51">
        <v>0.35</v>
      </c>
      <c r="K10" s="50" t="s">
        <v>61</v>
      </c>
      <c r="L10" s="51">
        <v>0.35</v>
      </c>
      <c r="M10" s="51"/>
      <c r="N10" s="46">
        <f t="shared" ref="N10:N13" si="0">D10+F10+H10+J10+L10</f>
        <v>1.75</v>
      </c>
      <c r="O10" s="52">
        <v>1.25</v>
      </c>
      <c r="P10" s="53">
        <f>N10-O10</f>
        <v>0.5</v>
      </c>
      <c r="Q10" s="8" t="str">
        <f>IF(P10&gt;=0,"MEETS","DOES NOT MEET")</f>
        <v>MEETS</v>
      </c>
    </row>
    <row r="11" spans="1:34" ht="28.8" x14ac:dyDescent="0.3">
      <c r="A11" s="48"/>
      <c r="B11" s="54" t="s">
        <v>17</v>
      </c>
      <c r="C11" s="50" t="s">
        <v>90</v>
      </c>
      <c r="D11" s="51">
        <v>0.2</v>
      </c>
      <c r="E11" s="50" t="s">
        <v>90</v>
      </c>
      <c r="F11" s="51">
        <v>0.2</v>
      </c>
      <c r="G11" s="50" t="s">
        <v>90</v>
      </c>
      <c r="H11" s="51">
        <v>0.2</v>
      </c>
      <c r="I11" s="50" t="s">
        <v>90</v>
      </c>
      <c r="J11" s="51">
        <v>0.2</v>
      </c>
      <c r="K11" s="50" t="s">
        <v>90</v>
      </c>
      <c r="L11" s="51">
        <v>0.2</v>
      </c>
      <c r="M11" s="51"/>
      <c r="N11" s="46">
        <f t="shared" si="0"/>
        <v>1</v>
      </c>
      <c r="O11" s="52">
        <v>0.5</v>
      </c>
      <c r="P11" s="53">
        <f>N11-O11</f>
        <v>0.5</v>
      </c>
      <c r="Q11" s="8" t="str">
        <f>IF(P11&gt;=0,"MEETS","DOES NOT MEET")</f>
        <v>MEETS</v>
      </c>
    </row>
    <row r="12" spans="1:34" ht="28.8" x14ac:dyDescent="0.3">
      <c r="A12" s="48"/>
      <c r="B12" s="49" t="s">
        <v>16</v>
      </c>
      <c r="C12" s="50" t="s">
        <v>62</v>
      </c>
      <c r="D12" s="51">
        <v>0.125</v>
      </c>
      <c r="E12" s="50" t="s">
        <v>62</v>
      </c>
      <c r="F12" s="51">
        <v>0.125</v>
      </c>
      <c r="G12" s="50" t="s">
        <v>62</v>
      </c>
      <c r="H12" s="51">
        <v>0.125</v>
      </c>
      <c r="I12" s="50" t="s">
        <v>62</v>
      </c>
      <c r="J12" s="51">
        <v>0.125</v>
      </c>
      <c r="K12" s="50" t="s">
        <v>62</v>
      </c>
      <c r="L12" s="51">
        <v>0.125</v>
      </c>
      <c r="M12" s="51"/>
      <c r="N12" s="46">
        <f t="shared" si="0"/>
        <v>0.625</v>
      </c>
      <c r="O12" s="52">
        <v>0.5</v>
      </c>
      <c r="P12" s="53">
        <f>N12-O12</f>
        <v>0.125</v>
      </c>
      <c r="Q12" s="8" t="str">
        <f>IF(P12&gt;=0,"MEETS","DOES NOT MEET")</f>
        <v>MEETS</v>
      </c>
    </row>
    <row r="13" spans="1:34" ht="25.5" customHeight="1" x14ac:dyDescent="0.3">
      <c r="A13" s="110" t="s">
        <v>80</v>
      </c>
      <c r="B13" s="49" t="s">
        <v>86</v>
      </c>
      <c r="C13" s="50" t="s">
        <v>71</v>
      </c>
      <c r="D13" s="51">
        <v>0.2</v>
      </c>
      <c r="E13" s="50" t="s">
        <v>71</v>
      </c>
      <c r="F13" s="51">
        <v>0.2</v>
      </c>
      <c r="G13" s="50" t="s">
        <v>71</v>
      </c>
      <c r="H13" s="51">
        <v>0.2</v>
      </c>
      <c r="I13" s="50" t="s">
        <v>71</v>
      </c>
      <c r="J13" s="51">
        <v>0.2</v>
      </c>
      <c r="K13" s="50" t="s">
        <v>71</v>
      </c>
      <c r="L13" s="51">
        <v>0.2</v>
      </c>
      <c r="M13" s="51"/>
      <c r="N13" s="46">
        <f t="shared" si="0"/>
        <v>1</v>
      </c>
      <c r="O13" s="52">
        <v>0.75</v>
      </c>
      <c r="P13" s="55">
        <f>N13-O13</f>
        <v>0.25</v>
      </c>
      <c r="Q13" s="8" t="str">
        <f>IF(P13&gt;=0,"MEETS","DOES NOT MEET")</f>
        <v>MEETS</v>
      </c>
    </row>
    <row r="14" spans="1:34" x14ac:dyDescent="0.3">
      <c r="A14" s="111"/>
      <c r="B14" s="115" t="s">
        <v>76</v>
      </c>
      <c r="C14" s="112" t="s">
        <v>36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4"/>
      <c r="N14" s="118">
        <f>D15+F15+H15+J15+L15+D16+F16+H16+J16++L16+D17+F17+H17+J17+L17</f>
        <v>5.75</v>
      </c>
      <c r="O14" s="118">
        <v>1.5</v>
      </c>
      <c r="P14" s="121">
        <f t="shared" ref="P14" si="1">N14-O14</f>
        <v>4.25</v>
      </c>
      <c r="Q14" s="117" t="str">
        <f t="shared" ref="Q14" si="2">IF(P14&gt;=0,"MEETS","DOES NOT MEET")</f>
        <v>MEETS</v>
      </c>
    </row>
    <row r="15" spans="1:34" ht="43.2" x14ac:dyDescent="0.3">
      <c r="A15" s="111"/>
      <c r="B15" s="116"/>
      <c r="C15" s="50" t="s">
        <v>63</v>
      </c>
      <c r="D15" s="51">
        <v>0.5</v>
      </c>
      <c r="E15" s="50" t="s">
        <v>91</v>
      </c>
      <c r="F15" s="51">
        <v>0.5</v>
      </c>
      <c r="G15" s="50" t="s">
        <v>56</v>
      </c>
      <c r="H15" s="51">
        <v>0.5</v>
      </c>
      <c r="I15" s="50" t="s">
        <v>49</v>
      </c>
      <c r="J15" s="51">
        <v>0.5</v>
      </c>
      <c r="K15" s="50" t="s">
        <v>92</v>
      </c>
      <c r="L15" s="51">
        <v>0.5</v>
      </c>
      <c r="M15" s="51"/>
      <c r="N15" s="119"/>
      <c r="O15" s="119"/>
      <c r="P15" s="122"/>
      <c r="Q15" s="96"/>
    </row>
    <row r="16" spans="1:34" ht="28.8" x14ac:dyDescent="0.3">
      <c r="A16" s="111"/>
      <c r="B16" s="116"/>
      <c r="C16" s="50" t="s">
        <v>57</v>
      </c>
      <c r="D16" s="51">
        <v>0.5</v>
      </c>
      <c r="E16" s="50" t="s">
        <v>48</v>
      </c>
      <c r="F16" s="51">
        <v>0.5</v>
      </c>
      <c r="G16" s="50" t="s">
        <v>47</v>
      </c>
      <c r="H16" s="51">
        <v>0.5</v>
      </c>
      <c r="I16" s="50" t="s">
        <v>93</v>
      </c>
      <c r="J16" s="51">
        <v>0.5</v>
      </c>
      <c r="K16" s="50" t="s">
        <v>82</v>
      </c>
      <c r="L16" s="51">
        <v>0.5</v>
      </c>
      <c r="M16" s="51"/>
      <c r="N16" s="119"/>
      <c r="O16" s="119"/>
      <c r="P16" s="122"/>
      <c r="Q16" s="96"/>
    </row>
    <row r="17" spans="1:17" ht="43.8" thickBot="1" x14ac:dyDescent="0.35">
      <c r="A17" s="111"/>
      <c r="B17" s="116"/>
      <c r="C17" s="56" t="s">
        <v>85</v>
      </c>
      <c r="D17" s="57">
        <v>0.75</v>
      </c>
      <c r="E17" s="56"/>
      <c r="F17" s="57"/>
      <c r="G17" s="56"/>
      <c r="H17" s="57"/>
      <c r="I17" s="56"/>
      <c r="J17" s="57"/>
      <c r="K17" s="56"/>
      <c r="L17" s="57"/>
      <c r="M17" s="51"/>
      <c r="N17" s="120"/>
      <c r="O17" s="120"/>
      <c r="P17" s="123"/>
      <c r="Q17" s="97"/>
    </row>
    <row r="18" spans="1:17" ht="29.4" thickBot="1" x14ac:dyDescent="0.35">
      <c r="A18" s="61" t="s">
        <v>60</v>
      </c>
      <c r="B18" s="62"/>
      <c r="C18" s="62" t="s">
        <v>15</v>
      </c>
      <c r="D18" s="63">
        <f>SUM(D9:D17)</f>
        <v>3.125</v>
      </c>
      <c r="E18" s="62" t="s">
        <v>15</v>
      </c>
      <c r="F18" s="63">
        <f>SUM(F9:F17)</f>
        <v>2.375</v>
      </c>
      <c r="G18" s="62" t="s">
        <v>15</v>
      </c>
      <c r="H18" s="63">
        <f>SUM(H9:H17)</f>
        <v>2.375</v>
      </c>
      <c r="I18" s="62" t="s">
        <v>15</v>
      </c>
      <c r="J18" s="63">
        <f>SUM(J9:J17)</f>
        <v>2.375</v>
      </c>
      <c r="K18" s="62" t="s">
        <v>15</v>
      </c>
      <c r="L18" s="64">
        <f>SUM(L9:L17)</f>
        <v>2.375</v>
      </c>
      <c r="M18" s="65"/>
      <c r="N18" s="66">
        <f>SUM(N9:N17)</f>
        <v>12.625</v>
      </c>
      <c r="O18" s="66">
        <v>5</v>
      </c>
      <c r="P18" s="66">
        <f>N18-O18</f>
        <v>7.625</v>
      </c>
      <c r="Q18" s="67" t="str">
        <f>IF(P18&gt;=0,"MEETS","DOES NOT MEET")</f>
        <v>MEETS</v>
      </c>
    </row>
    <row r="19" spans="1:17" ht="29.4" thickBot="1" x14ac:dyDescent="0.35">
      <c r="A19" s="68" t="s">
        <v>14</v>
      </c>
      <c r="B19" s="69" t="s">
        <v>13</v>
      </c>
      <c r="C19" s="69" t="s">
        <v>12</v>
      </c>
      <c r="D19" s="69" t="s">
        <v>11</v>
      </c>
      <c r="E19" s="70" t="s">
        <v>12</v>
      </c>
      <c r="F19" s="69" t="s">
        <v>11</v>
      </c>
      <c r="G19" s="70" t="s">
        <v>12</v>
      </c>
      <c r="H19" s="69" t="s">
        <v>11</v>
      </c>
      <c r="I19" s="70" t="s">
        <v>12</v>
      </c>
      <c r="J19" s="69" t="s">
        <v>11</v>
      </c>
      <c r="K19" s="70" t="s">
        <v>12</v>
      </c>
      <c r="L19" s="69" t="s">
        <v>11</v>
      </c>
      <c r="M19" s="66"/>
      <c r="N19" s="66" t="s">
        <v>10</v>
      </c>
      <c r="O19" s="66" t="s">
        <v>9</v>
      </c>
      <c r="P19" s="66"/>
      <c r="Q19" s="71"/>
    </row>
    <row r="20" spans="1:17" ht="15.75" customHeight="1" thickBot="1" x14ac:dyDescent="0.35">
      <c r="A20" s="104" t="s">
        <v>8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</row>
    <row r="21" spans="1:17" ht="43.2" x14ac:dyDescent="0.3">
      <c r="A21" s="137" t="s">
        <v>37</v>
      </c>
      <c r="B21" s="43" t="s">
        <v>87</v>
      </c>
      <c r="C21" s="44" t="s">
        <v>65</v>
      </c>
      <c r="D21" s="38">
        <v>2</v>
      </c>
      <c r="E21" s="39" t="s">
        <v>50</v>
      </c>
      <c r="F21" s="38">
        <v>2</v>
      </c>
      <c r="G21" s="38" t="s">
        <v>68</v>
      </c>
      <c r="H21" s="38">
        <v>2</v>
      </c>
      <c r="I21" s="38" t="s">
        <v>69</v>
      </c>
      <c r="J21" s="38">
        <v>2</v>
      </c>
      <c r="K21" s="38" t="s">
        <v>70</v>
      </c>
      <c r="L21" s="38">
        <v>2</v>
      </c>
      <c r="M21" s="44"/>
      <c r="N21" s="46">
        <f>D21+F21+H21+J21+L21</f>
        <v>10</v>
      </c>
      <c r="O21" s="72" t="s">
        <v>38</v>
      </c>
      <c r="P21" s="73" t="s">
        <v>72</v>
      </c>
      <c r="Q21" s="92" t="str">
        <f>IF(AND((N21)&gt;=10,(N21)&lt;=12),"MEETS","DOES NOT MEET")</f>
        <v>MEETS</v>
      </c>
    </row>
    <row r="22" spans="1:17" ht="28.8" x14ac:dyDescent="0.3">
      <c r="A22" s="111"/>
      <c r="B22" s="43"/>
      <c r="C22" s="39" t="s">
        <v>50</v>
      </c>
      <c r="D22" s="38">
        <v>2</v>
      </c>
      <c r="E22" s="39" t="s">
        <v>50</v>
      </c>
      <c r="F22" s="38">
        <v>2</v>
      </c>
      <c r="G22" s="38" t="s">
        <v>67</v>
      </c>
      <c r="H22" s="38">
        <v>2</v>
      </c>
      <c r="I22" s="38" t="s">
        <v>51</v>
      </c>
      <c r="J22" s="38">
        <v>2</v>
      </c>
      <c r="K22" s="38" t="s">
        <v>70</v>
      </c>
      <c r="L22" s="38">
        <v>2</v>
      </c>
      <c r="M22" s="44"/>
      <c r="N22" s="46">
        <f>D22+F22+H22+J22+L22</f>
        <v>10</v>
      </c>
      <c r="O22" s="74"/>
      <c r="P22" s="75">
        <f>N21+N22+N23</f>
        <v>30</v>
      </c>
      <c r="Q22" s="93"/>
    </row>
    <row r="23" spans="1:17" ht="57.6" x14ac:dyDescent="0.3">
      <c r="A23" s="138"/>
      <c r="B23" s="43" t="s">
        <v>88</v>
      </c>
      <c r="C23" s="39" t="s">
        <v>64</v>
      </c>
      <c r="D23" s="45">
        <v>2</v>
      </c>
      <c r="E23" s="39" t="s">
        <v>64</v>
      </c>
      <c r="F23" s="44">
        <v>2</v>
      </c>
      <c r="G23" s="39" t="s">
        <v>64</v>
      </c>
      <c r="H23" s="44">
        <v>2</v>
      </c>
      <c r="I23" s="39" t="s">
        <v>64</v>
      </c>
      <c r="J23" s="44">
        <v>2</v>
      </c>
      <c r="K23" s="39" t="s">
        <v>64</v>
      </c>
      <c r="L23" s="44">
        <v>2</v>
      </c>
      <c r="M23" s="44"/>
      <c r="N23" s="52">
        <f>D23+F23+H23+J23+L23</f>
        <v>10</v>
      </c>
      <c r="O23" s="76" t="s">
        <v>39</v>
      </c>
      <c r="P23" s="77" t="s">
        <v>73</v>
      </c>
      <c r="Q23" s="78" t="str">
        <f>IF(AND((N23)&gt;=10,(N23)&lt;=12),"MEETS","DOES NOT MEET")</f>
        <v>MEETS</v>
      </c>
    </row>
    <row r="24" spans="1:17" ht="43.8" thickBot="1" x14ac:dyDescent="0.35">
      <c r="A24" s="22"/>
      <c r="B24" s="79" t="s">
        <v>7</v>
      </c>
      <c r="C24" s="59" t="s">
        <v>66</v>
      </c>
      <c r="D24" s="60">
        <v>4</v>
      </c>
      <c r="E24" s="59" t="s">
        <v>50</v>
      </c>
      <c r="F24" s="59">
        <v>4</v>
      </c>
      <c r="G24" s="36" t="s">
        <v>77</v>
      </c>
      <c r="H24" s="59">
        <v>4</v>
      </c>
      <c r="I24" s="36" t="s">
        <v>51</v>
      </c>
      <c r="J24" s="59">
        <v>2</v>
      </c>
      <c r="K24" s="36" t="s">
        <v>50</v>
      </c>
      <c r="L24" s="59">
        <v>4</v>
      </c>
      <c r="M24" s="59"/>
      <c r="N24" s="41">
        <f>D24+F24+H24+J24+L24</f>
        <v>18</v>
      </c>
      <c r="O24" s="40" t="s">
        <v>6</v>
      </c>
      <c r="P24" s="15">
        <f>N24</f>
        <v>18</v>
      </c>
      <c r="Q24" s="25" t="str">
        <f>IF(N24&gt;=((N23+N21)/2),"MEETS","DOES NOT MEET")</f>
        <v>MEETS</v>
      </c>
    </row>
    <row r="25" spans="1:17" ht="24" customHeight="1" thickBot="1" x14ac:dyDescent="0.35">
      <c r="A25" s="33" t="s">
        <v>5</v>
      </c>
      <c r="B25" s="37"/>
      <c r="C25" s="37"/>
      <c r="D25" s="37" t="s">
        <v>55</v>
      </c>
      <c r="E25" s="37"/>
      <c r="F25" s="37" t="s">
        <v>55</v>
      </c>
      <c r="G25" s="37"/>
      <c r="H25" s="37" t="s">
        <v>55</v>
      </c>
      <c r="I25" s="37"/>
      <c r="J25" s="37" t="s">
        <v>55</v>
      </c>
      <c r="K25" s="37"/>
      <c r="L25" s="37" t="s">
        <v>55</v>
      </c>
      <c r="M25" s="37"/>
      <c r="N25" s="37"/>
      <c r="O25" s="37"/>
      <c r="P25" s="28"/>
      <c r="Q25" s="34"/>
    </row>
    <row r="26" spans="1:17" ht="43.2" x14ac:dyDescent="0.3">
      <c r="A26" s="111" t="s">
        <v>4</v>
      </c>
      <c r="B26" s="43" t="s">
        <v>87</v>
      </c>
      <c r="C26" s="44" t="s">
        <v>84</v>
      </c>
      <c r="D26" s="45">
        <v>2</v>
      </c>
      <c r="E26" s="38" t="s">
        <v>40</v>
      </c>
      <c r="F26" s="38">
        <v>2</v>
      </c>
      <c r="G26" s="38" t="s">
        <v>42</v>
      </c>
      <c r="H26" s="38">
        <v>2</v>
      </c>
      <c r="I26" s="38" t="s">
        <v>83</v>
      </c>
      <c r="J26" s="38">
        <v>2</v>
      </c>
      <c r="K26" s="38" t="s">
        <v>41</v>
      </c>
      <c r="L26" s="38">
        <v>2</v>
      </c>
      <c r="M26" s="80"/>
      <c r="N26" s="46">
        <f>SUM(D26,F26,H26,J26,L26)</f>
        <v>10</v>
      </c>
      <c r="O26" s="43" t="s">
        <v>38</v>
      </c>
      <c r="P26" s="133"/>
      <c r="Q26" s="96" t="str">
        <f>IF(AND((N26)&gt;=10,(N26)&lt;=12),"MEETS","DOES NOT MEET")</f>
        <v>MEETS</v>
      </c>
    </row>
    <row r="27" spans="1:17" ht="28.8" x14ac:dyDescent="0.3">
      <c r="A27" s="111"/>
      <c r="B27" s="49"/>
      <c r="C27" s="50" t="s">
        <v>46</v>
      </c>
      <c r="D27" s="51">
        <v>2</v>
      </c>
      <c r="E27" s="39" t="s">
        <v>54</v>
      </c>
      <c r="F27" s="39">
        <v>2</v>
      </c>
      <c r="G27" s="39" t="s">
        <v>44</v>
      </c>
      <c r="H27" s="39">
        <v>2</v>
      </c>
      <c r="I27" s="50" t="s">
        <v>43</v>
      </c>
      <c r="J27" s="50">
        <v>2</v>
      </c>
      <c r="K27" s="50" t="s">
        <v>53</v>
      </c>
      <c r="L27" s="50">
        <v>2</v>
      </c>
      <c r="M27" s="81"/>
      <c r="N27" s="52">
        <f>D27:D28+F27:F28+H27:H28+J27:J28+L27:L28</f>
        <v>10</v>
      </c>
      <c r="O27" s="49"/>
      <c r="P27" s="134"/>
      <c r="Q27" s="97"/>
    </row>
    <row r="28" spans="1:17" ht="43.8" thickBot="1" x14ac:dyDescent="0.35">
      <c r="A28" s="111"/>
      <c r="B28" s="79" t="s">
        <v>88</v>
      </c>
      <c r="C28" s="56" t="s">
        <v>52</v>
      </c>
      <c r="D28" s="57">
        <v>2.25</v>
      </c>
      <c r="E28" s="56" t="s">
        <v>52</v>
      </c>
      <c r="F28" s="57">
        <v>2.25</v>
      </c>
      <c r="G28" s="56" t="s">
        <v>52</v>
      </c>
      <c r="H28" s="57">
        <v>2.25</v>
      </c>
      <c r="I28" s="56" t="s">
        <v>52</v>
      </c>
      <c r="J28" s="57">
        <v>2.25</v>
      </c>
      <c r="K28" s="56" t="s">
        <v>52</v>
      </c>
      <c r="L28" s="57">
        <v>2.25</v>
      </c>
      <c r="M28" s="82"/>
      <c r="N28" s="41">
        <f>D28+F28+H28+J28+L28</f>
        <v>11.25</v>
      </c>
      <c r="O28" s="40" t="s">
        <v>39</v>
      </c>
      <c r="P28" s="23"/>
      <c r="Q28" s="25" t="str">
        <f t="shared" ref="Q28" si="3">IF(AND((N28)&gt;=10,(N28)&lt;=12),"MEETS","DOES NOT MEET")</f>
        <v>MEETS</v>
      </c>
    </row>
    <row r="29" spans="1:17" ht="15" thickBot="1" x14ac:dyDescent="0.35">
      <c r="A29" s="89" t="s">
        <v>3</v>
      </c>
      <c r="B29" s="83"/>
      <c r="C29" s="83"/>
      <c r="D29" s="83" t="s">
        <v>2</v>
      </c>
      <c r="E29" s="83"/>
      <c r="F29" s="84" t="s">
        <v>2</v>
      </c>
      <c r="G29" s="83"/>
      <c r="H29" s="83" t="s">
        <v>2</v>
      </c>
      <c r="I29" s="83"/>
      <c r="J29" s="84" t="s">
        <v>2</v>
      </c>
      <c r="K29" s="83"/>
      <c r="L29" s="83" t="s">
        <v>2</v>
      </c>
      <c r="M29" s="83"/>
      <c r="N29" s="83"/>
      <c r="O29" s="83"/>
      <c r="P29" s="29"/>
      <c r="Q29" s="35"/>
    </row>
    <row r="30" spans="1:17" ht="69" customHeight="1" thickBot="1" x14ac:dyDescent="0.35">
      <c r="A30" s="90"/>
      <c r="B30" s="85" t="s">
        <v>1</v>
      </c>
      <c r="C30" s="86" t="s">
        <v>45</v>
      </c>
      <c r="D30" s="87">
        <v>1</v>
      </c>
      <c r="E30" s="86" t="s">
        <v>45</v>
      </c>
      <c r="F30" s="86">
        <v>1</v>
      </c>
      <c r="G30" s="86" t="s">
        <v>45</v>
      </c>
      <c r="H30" s="86">
        <v>1</v>
      </c>
      <c r="I30" s="86" t="s">
        <v>45</v>
      </c>
      <c r="J30" s="86">
        <v>1</v>
      </c>
      <c r="K30" s="86" t="s">
        <v>45</v>
      </c>
      <c r="L30" s="86">
        <v>1</v>
      </c>
      <c r="M30" s="86"/>
      <c r="N30" s="88">
        <f>SUM(D30,F30,H30,J30,L30)</f>
        <v>5</v>
      </c>
      <c r="O30" s="85" t="s">
        <v>0</v>
      </c>
      <c r="P30" s="30"/>
      <c r="Q30" s="14" t="str">
        <f>IF(N30&gt;=5,"MEETS","DOES NOT MEET")</f>
        <v>MEETS</v>
      </c>
    </row>
    <row r="31" spans="1:17" x14ac:dyDescent="0.3">
      <c r="A31" s="7"/>
      <c r="B31" s="5"/>
      <c r="C31" s="19"/>
      <c r="D31" s="6"/>
      <c r="E31" s="19"/>
      <c r="F31" s="19"/>
      <c r="G31" s="19"/>
      <c r="H31" s="19"/>
      <c r="I31" s="19"/>
      <c r="J31" s="19"/>
      <c r="K31" s="19"/>
      <c r="L31" s="19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">
      <c r="A138" s="7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3">
      <c r="A139" s="7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</sheetData>
  <mergeCells count="34">
    <mergeCell ref="A26:A28"/>
    <mergeCell ref="P26:P27"/>
    <mergeCell ref="N6:N7"/>
    <mergeCell ref="O6:O7"/>
    <mergeCell ref="P6:P7"/>
    <mergeCell ref="A21:A23"/>
    <mergeCell ref="C2:L2"/>
    <mergeCell ref="N2:Q2"/>
    <mergeCell ref="A3:A4"/>
    <mergeCell ref="B3:B4"/>
    <mergeCell ref="C3:D3"/>
    <mergeCell ref="E3:F3"/>
    <mergeCell ref="G3:H3"/>
    <mergeCell ref="I3:J3"/>
    <mergeCell ref="K3:L3"/>
    <mergeCell ref="N3:N4"/>
    <mergeCell ref="O3:O4"/>
    <mergeCell ref="P3:P4"/>
    <mergeCell ref="Q21:Q22"/>
    <mergeCell ref="Q3:Q4"/>
    <mergeCell ref="Q26:Q27"/>
    <mergeCell ref="C1:O1"/>
    <mergeCell ref="B5:Q5"/>
    <mergeCell ref="Q6:Q7"/>
    <mergeCell ref="A20:Q20"/>
    <mergeCell ref="B8:Q8"/>
    <mergeCell ref="A13:A17"/>
    <mergeCell ref="C14:M14"/>
    <mergeCell ref="B14:B17"/>
    <mergeCell ref="Q14:Q17"/>
    <mergeCell ref="N14:N17"/>
    <mergeCell ref="O14:O17"/>
    <mergeCell ref="P14:P17"/>
    <mergeCell ref="A2:B2"/>
  </mergeCells>
  <conditionalFormatting sqref="Q6 Q9:Q14 Q18:Q19 Q21 Q23">
    <cfRule type="containsText" dxfId="15" priority="17" operator="containsText" text="MEETS">
      <formula>NOT(ISERROR(SEARCH("MEETS",Q6)))</formula>
    </cfRule>
    <cfRule type="containsText" dxfId="14" priority="18" operator="containsText" text="DOES NOT MEET">
      <formula>NOT(ISERROR(SEARCH("DOES NOT MEET",Q6)))</formula>
    </cfRule>
  </conditionalFormatting>
  <conditionalFormatting sqref="P6">
    <cfRule type="cellIs" dxfId="13" priority="16" operator="lessThan">
      <formula>0</formula>
    </cfRule>
  </conditionalFormatting>
  <conditionalFormatting sqref="F18 H18 L18 D18">
    <cfRule type="cellIs" dxfId="12" priority="15" operator="lessThan">
      <formula>1</formula>
    </cfRule>
  </conditionalFormatting>
  <conditionalFormatting sqref="Q26 Q28">
    <cfRule type="containsText" dxfId="11" priority="13" operator="containsText" text="MEETS">
      <formula>NOT(ISERROR(SEARCH("MEETS",Q26)))</formula>
    </cfRule>
    <cfRule type="containsText" dxfId="10" priority="14" operator="containsText" text="DOES NOT MEET">
      <formula>NOT(ISERROR(SEARCH("DOES NOT MEET",Q26)))</formula>
    </cfRule>
  </conditionalFormatting>
  <conditionalFormatting sqref="Q30">
    <cfRule type="containsText" dxfId="9" priority="9" operator="containsText" text="MEETS">
      <formula>NOT(ISERROR(SEARCH("MEETS",Q30)))</formula>
    </cfRule>
    <cfRule type="containsText" dxfId="8" priority="10" operator="containsText" text="DOES NOT MEET">
      <formula>NOT(ISERROR(SEARCH("DOES NOT MEET",Q30)))</formula>
    </cfRule>
  </conditionalFormatting>
  <conditionalFormatting sqref="D7">
    <cfRule type="cellIs" dxfId="7" priority="8" operator="lessThan">
      <formula>1</formula>
    </cfRule>
  </conditionalFormatting>
  <conditionalFormatting sqref="F7">
    <cfRule type="cellIs" dxfId="6" priority="7" operator="lessThan">
      <formula>1</formula>
    </cfRule>
  </conditionalFormatting>
  <conditionalFormatting sqref="H7">
    <cfRule type="cellIs" dxfId="5" priority="6" operator="lessThan">
      <formula>1</formula>
    </cfRule>
  </conditionalFormatting>
  <conditionalFormatting sqref="J7">
    <cfRule type="cellIs" dxfId="4" priority="5" operator="lessThan">
      <formula>1</formula>
    </cfRule>
  </conditionalFormatting>
  <conditionalFormatting sqref="L7">
    <cfRule type="cellIs" dxfId="3" priority="4" operator="lessThan">
      <formula>1</formula>
    </cfRule>
  </conditionalFormatting>
  <conditionalFormatting sqref="J18">
    <cfRule type="cellIs" dxfId="2" priority="3" operator="lessThan">
      <formula>1</formula>
    </cfRule>
  </conditionalFormatting>
  <conditionalFormatting sqref="Q24">
    <cfRule type="containsText" dxfId="1" priority="1" operator="containsText" text="MEETS">
      <formula>NOT(ISERROR(SEARCH("MEETS",Q24)))</formula>
    </cfRule>
    <cfRule type="containsText" dxfId="0" priority="2" operator="containsText" text="DOES NOT MEET">
      <formula>NOT(ISERROR(SEARCH("DOES NOT MEET",Q24)))</formula>
    </cfRule>
  </conditionalFormatting>
  <pageMargins left="0.2" right="0.2" top="0.84233333333333338" bottom="0.399555555555556" header="0.23022222222222199" footer="0.3"/>
  <pageSetup scale="55" orientation="landscape" r:id="rId1"/>
  <headerFooter>
    <oddHeader xml:space="preserve">&amp;L&amp;G&amp;C&amp;"-,Bold"&amp;20Sample Menu 
Grades 9-12 - Week # 1&amp;"-,Regular"&amp;18
&amp;11Sample menu with daily salad bar that meets requirements for all vegetable sub groups. Must be available to all students </oddHeader>
    <oddFooter>&amp;L*Assorted dressings included in recipe for salad bar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Menu 9-12 (2)</vt:lpstr>
      <vt:lpstr>'Weekly Menu 9-12 (2)'!Print_Area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2012-11-08T19:32:58Z</cp:lastPrinted>
  <dcterms:created xsi:type="dcterms:W3CDTF">2012-06-06T19:00:56Z</dcterms:created>
  <dcterms:modified xsi:type="dcterms:W3CDTF">2012-11-08T19:56:27Z</dcterms:modified>
</cp:coreProperties>
</file>