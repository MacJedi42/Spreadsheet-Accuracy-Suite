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J7" i="1" l="1"/>
  <c r="H7" i="1"/>
  <c r="F7" i="1"/>
  <c r="D7" i="1"/>
  <c r="B7" i="1"/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<sst xmlns="http://schemas.openxmlformats.org/spreadsheetml/2006/main" count="80" uniqueCount="34">
  <si>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</si>
  <si>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</si>
  <si>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</si>
  <si>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</si>
  <si>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</si>
  <si>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</si>
  <si>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</si>
  <si>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</si>
  <si>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</si>
  <si>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</si>
  <si>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</si>
  <si>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</si>
  <si>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</si>
  <si>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</si>
  <si>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</si>
  <si>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</si>
  <si>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</si>
  <si>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</si>
  <si>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</si>
  <si>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</si>
  <si>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</si>
  <si>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</si>
  <si>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</si>
  <si>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</si>
  <si>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</si>
  <si>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</si>
  <si>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</si>
  <si>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</si>
  <si>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</si>
  <si>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</si>
  <si>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</si>
  <si>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MVC UG SUCCESS RATE (DEV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</si>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</sst>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36" t="s">
        <v>0</v>
      </c>
      <c r="B1" s="34" t="s">
        <v>31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5" ht="15" customHeight="1" x14ac:dyDescent="0.25">
      <c r="A2" s="37"/>
      <c r="B2" s="30" t="s">
        <v>25</v>
      </c>
      <c r="C2" s="31"/>
      <c r="D2" s="30" t="s">
        <v>26</v>
      </c>
      <c r="E2" s="31"/>
      <c r="F2" s="30" t="s">
        <v>27</v>
      </c>
      <c r="G2" s="31"/>
      <c r="H2" s="30" t="s">
        <v>28</v>
      </c>
      <c r="I2" s="31"/>
      <c r="J2" s="30" t="s">
        <v>29</v>
      </c>
      <c r="K2" s="31"/>
      <c r="L2" s="30" t="s">
        <v>32</v>
      </c>
      <c r="M2" s="31"/>
      <c r="N2" s="30" t="s">
        <v>33</v>
      </c>
      <c r="O2" s="31"/>
    </row>
    <row r="3" spans="1:15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38" t="s">
        <v>30</v>
      </c>
      <c r="M3" s="39" t="s">
        <v>2</v>
      </c>
      <c r="N3" s="38" t="s">
        <v>30</v>
      </c>
      <c r="O3" s="39" t="s">
        <v>2</v>
      </c>
    </row>
    <row r="4" spans="1:15" x14ac:dyDescent="0.25">
      <c r="A4" s="23" t="s">
        <v>3</v>
      </c>
      <c r="B4" s="10">
        <v>3850</v>
      </c>
      <c r="C4" s="4">
        <v>0.66493506493506493</v>
      </c>
      <c r="D4" s="10">
        <v>3916</v>
      </c>
      <c r="E4" s="4">
        <v>0.68309499489274772</v>
      </c>
      <c r="F4" s="10">
        <v>3854</v>
      </c>
      <c r="G4" s="4">
        <v>0.71302542812662173</v>
      </c>
      <c r="H4" s="10">
        <v>3198</v>
      </c>
      <c r="I4" s="4">
        <v>0.71575984990619135</v>
      </c>
      <c r="J4" s="10">
        <v>2699</v>
      </c>
      <c r="K4" s="4">
        <v>0.68210448314190442</v>
      </c>
      <c r="L4" s="10">
        <v>2643</v>
      </c>
      <c r="M4" s="4">
        <v>0.65720000000000001</v>
      </c>
      <c r="N4" s="10">
        <v>2919</v>
      </c>
      <c r="O4" s="4">
        <v>0.64988009592326135</v>
      </c>
    </row>
    <row r="5" spans="1:15" x14ac:dyDescent="0.25">
      <c r="A5" s="23" t="s">
        <v>4</v>
      </c>
      <c r="B5" s="10">
        <v>1974</v>
      </c>
      <c r="C5" s="4">
        <v>0.58865248226950351</v>
      </c>
      <c r="D5" s="10">
        <v>2192</v>
      </c>
      <c r="E5" s="4">
        <v>0.6021897810218978</v>
      </c>
      <c r="F5" s="10">
        <v>2085</v>
      </c>
      <c r="G5" s="4">
        <v>0.60815347721822544</v>
      </c>
      <c r="H5" s="10">
        <v>1923</v>
      </c>
      <c r="I5" s="4">
        <v>0.62558502340093602</v>
      </c>
      <c r="J5" s="10">
        <v>1903</v>
      </c>
      <c r="K5" s="4">
        <v>0.60851287440882817</v>
      </c>
      <c r="L5" s="10">
        <v>1921</v>
      </c>
      <c r="M5" s="4">
        <v>0.60119999999999996</v>
      </c>
      <c r="N5" s="10">
        <v>2173</v>
      </c>
      <c r="O5" s="4">
        <v>0.56557754256787851</v>
      </c>
    </row>
    <row r="6" spans="1:15" x14ac:dyDescent="0.25">
      <c r="A6" s="23" t="s">
        <v>5</v>
      </c>
      <c r="B6" s="10">
        <v>37</v>
      </c>
      <c r="C6" s="4">
        <v>0.67567567567567566</v>
      </c>
      <c r="D6" s="10">
        <v>68</v>
      </c>
      <c r="E6" s="4">
        <v>0.61764705882352944</v>
      </c>
      <c r="F6" s="10">
        <v>79</v>
      </c>
      <c r="G6" s="4">
        <v>0.72151898734177211</v>
      </c>
      <c r="H6" s="10">
        <v>43</v>
      </c>
      <c r="I6" s="4">
        <v>0.65116279069767447</v>
      </c>
      <c r="J6" s="10">
        <v>38</v>
      </c>
      <c r="K6" s="4">
        <v>0.60526315789473684</v>
      </c>
      <c r="L6" s="10">
        <v>33</v>
      </c>
      <c r="M6" s="4">
        <v>0.63639999999999997</v>
      </c>
      <c r="N6" s="10">
        <v>43</v>
      </c>
      <c r="O6" s="4">
        <v>0.65116279069767447</v>
      </c>
    </row>
    <row r="7" spans="1:15" x14ac:dyDescent="0.25">
      <c r="A7" s="8" t="s">
        <v>23</v>
      </c>
      <c r="B7" s="10">
        <f>SUM(B4:B6)</f>
        <v>5861</v>
      </c>
      <c r="C7" s="4">
        <v>0.63931069783313432</v>
      </c>
      <c r="D7" s="10">
        <f>SUM(D4:D6)</f>
        <v>6176</v>
      </c>
      <c r="E7" s="4">
        <v>0.65365932642487046</v>
      </c>
      <c r="F7" s="10">
        <f>SUM(F4:F6)</f>
        <v>6018</v>
      </c>
      <c r="G7" s="4">
        <v>0.67680292455965441</v>
      </c>
      <c r="H7" s="10">
        <f>SUM(H4:H6)</f>
        <v>5164</v>
      </c>
      <c r="I7" s="4">
        <v>0.6816421378776143</v>
      </c>
      <c r="J7" s="10">
        <f>SUM(J4:J6)</f>
        <v>4640</v>
      </c>
      <c r="K7" s="4">
        <v>0.65129310344827585</v>
      </c>
      <c r="L7" s="10">
        <v>4597</v>
      </c>
      <c r="M7" s="4">
        <v>0.63370000000000004</v>
      </c>
      <c r="N7" s="10">
        <v>5135</v>
      </c>
      <c r="O7" s="4">
        <v>0.61421616358325215</v>
      </c>
    </row>
    <row r="8" spans="1:15" ht="15.75" thickBot="1" x14ac:dyDescent="0.3">
      <c r="A8" s="9"/>
      <c r="B8" s="32" t="str">
        <f>B2</f>
        <v>AY07-08</v>
      </c>
      <c r="C8" s="33"/>
      <c r="D8" s="32" t="str">
        <f t="shared" ref="D8" si="0">D2</f>
        <v>AY08-09</v>
      </c>
      <c r="E8" s="33"/>
      <c r="F8" s="32" t="str">
        <f t="shared" ref="F8" si="1">F2</f>
        <v>AY09-10</v>
      </c>
      <c r="G8" s="33"/>
      <c r="H8" s="32" t="str">
        <f t="shared" ref="H8" si="2">H2</f>
        <v>AY10-11</v>
      </c>
      <c r="I8" s="33"/>
      <c r="J8" s="32" t="str">
        <f t="shared" ref="J8" si="3">J2</f>
        <v>AY11-12</v>
      </c>
      <c r="K8" s="33"/>
      <c r="L8" s="32" t="s">
        <v>32</v>
      </c>
      <c r="M8" s="33"/>
      <c r="N8" s="32" t="s">
        <v>33</v>
      </c>
      <c r="O8" s="33"/>
    </row>
    <row r="9" spans="1:15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38" t="s">
        <v>30</v>
      </c>
      <c r="O9" s="39" t="s">
        <v>2</v>
      </c>
    </row>
    <row r="10" spans="1:15" x14ac:dyDescent="0.25">
      <c r="A10" s="21" t="s">
        <v>7</v>
      </c>
      <c r="B10" s="10">
        <v>2802</v>
      </c>
      <c r="C10" s="4">
        <v>0.65845824411134901</v>
      </c>
      <c r="D10" s="10">
        <v>2860</v>
      </c>
      <c r="E10" s="4">
        <v>0.68251748251748257</v>
      </c>
      <c r="F10" s="10">
        <v>2628</v>
      </c>
      <c r="G10" s="4">
        <v>0.70205479452054798</v>
      </c>
      <c r="H10" s="10">
        <v>2168</v>
      </c>
      <c r="I10" s="4">
        <v>0.70618081180811809</v>
      </c>
      <c r="J10" s="10">
        <v>1805</v>
      </c>
      <c r="K10" s="4">
        <v>0.67091412742382273</v>
      </c>
      <c r="L10" s="10">
        <v>1656</v>
      </c>
      <c r="M10" s="4">
        <v>0.66239999999999999</v>
      </c>
      <c r="N10" s="10">
        <v>1675</v>
      </c>
      <c r="O10" s="4">
        <v>0.63880597014925378</v>
      </c>
    </row>
    <row r="11" spans="1:15" x14ac:dyDescent="0.25">
      <c r="A11" s="26" t="s">
        <v>8</v>
      </c>
      <c r="B11" s="10">
        <v>1555</v>
      </c>
      <c r="C11" s="4">
        <v>0.5839228295819936</v>
      </c>
      <c r="D11" s="10">
        <v>1719</v>
      </c>
      <c r="E11" s="4">
        <v>0.6079115764979639</v>
      </c>
      <c r="F11" s="10">
        <v>1820</v>
      </c>
      <c r="G11" s="4">
        <v>0.64725274725274728</v>
      </c>
      <c r="H11" s="10">
        <v>1713</v>
      </c>
      <c r="I11" s="4">
        <v>0.64039696438995919</v>
      </c>
      <c r="J11" s="10">
        <v>1785</v>
      </c>
      <c r="K11" s="4">
        <v>0.61680672268907566</v>
      </c>
      <c r="L11" s="10">
        <v>1950</v>
      </c>
      <c r="M11" s="4">
        <v>0.60560000000000003</v>
      </c>
      <c r="N11" s="10">
        <v>2393</v>
      </c>
      <c r="O11" s="4">
        <v>0.59423318010865023</v>
      </c>
    </row>
    <row r="12" spans="1:15" x14ac:dyDescent="0.25">
      <c r="A12" s="25" t="s">
        <v>9</v>
      </c>
      <c r="B12" s="17">
        <v>384</v>
      </c>
      <c r="C12" s="11">
        <v>0.58854166666666663</v>
      </c>
      <c r="D12" s="17">
        <v>437</v>
      </c>
      <c r="E12" s="11">
        <v>0.56292906178489699</v>
      </c>
      <c r="F12" s="17">
        <v>432</v>
      </c>
      <c r="G12" s="11">
        <v>0.60648148148148151</v>
      </c>
      <c r="H12" s="17">
        <v>307</v>
      </c>
      <c r="I12" s="11">
        <v>0.60912052117263848</v>
      </c>
      <c r="J12" s="17">
        <v>266</v>
      </c>
      <c r="K12" s="11">
        <v>0.56766917293233088</v>
      </c>
      <c r="L12" s="17">
        <v>289</v>
      </c>
      <c r="M12" s="11">
        <v>0.53890000000000005</v>
      </c>
      <c r="N12" s="17">
        <v>334</v>
      </c>
      <c r="O12" s="11">
        <v>0.56886227544910184</v>
      </c>
    </row>
    <row r="13" spans="1:15" x14ac:dyDescent="0.25">
      <c r="A13" s="26" t="s">
        <v>10</v>
      </c>
      <c r="B13" s="10">
        <v>173</v>
      </c>
      <c r="C13" s="4">
        <v>0.71098265895953761</v>
      </c>
      <c r="D13" s="10">
        <v>197</v>
      </c>
      <c r="E13" s="4">
        <v>0.7258883248730964</v>
      </c>
      <c r="F13" s="10">
        <v>185</v>
      </c>
      <c r="G13" s="4">
        <v>0.76216216216216215</v>
      </c>
      <c r="H13" s="10">
        <v>163</v>
      </c>
      <c r="I13" s="4">
        <v>0.80368098159509205</v>
      </c>
      <c r="J13" s="10">
        <v>138</v>
      </c>
      <c r="K13" s="4">
        <v>0.75362318840579712</v>
      </c>
      <c r="L13" s="10">
        <v>121</v>
      </c>
      <c r="M13" s="4">
        <v>0.80169999999999997</v>
      </c>
      <c r="N13" s="10">
        <v>114</v>
      </c>
      <c r="O13" s="4">
        <v>0.72807017543859653</v>
      </c>
    </row>
    <row r="14" spans="1:15" x14ac:dyDescent="0.25">
      <c r="A14" s="26" t="s">
        <v>11</v>
      </c>
      <c r="B14" s="10">
        <v>61</v>
      </c>
      <c r="C14" s="4">
        <v>0.60655737704918034</v>
      </c>
      <c r="D14" s="10">
        <v>59</v>
      </c>
      <c r="E14" s="4">
        <v>0.57627118644067798</v>
      </c>
      <c r="F14" s="10">
        <v>50</v>
      </c>
      <c r="G14" s="4">
        <v>0.54</v>
      </c>
      <c r="H14" s="10">
        <v>44</v>
      </c>
      <c r="I14" s="4">
        <v>0.70454545454545459</v>
      </c>
      <c r="J14" s="10">
        <v>28</v>
      </c>
      <c r="K14" s="4">
        <v>0.7857142857142857</v>
      </c>
      <c r="L14" s="10">
        <v>17</v>
      </c>
      <c r="M14" s="4">
        <v>0.58819999999999995</v>
      </c>
      <c r="N14" s="10">
        <v>18</v>
      </c>
      <c r="O14" s="4">
        <v>0.5</v>
      </c>
    </row>
    <row r="15" spans="1:15" x14ac:dyDescent="0.25">
      <c r="A15" s="26" t="s">
        <v>12</v>
      </c>
      <c r="B15" s="10">
        <v>327</v>
      </c>
      <c r="C15" s="4">
        <v>0.72477064220183485</v>
      </c>
      <c r="D15" s="10">
        <v>317</v>
      </c>
      <c r="E15" s="4">
        <v>0.77602523659305989</v>
      </c>
      <c r="F15" s="10">
        <v>276</v>
      </c>
      <c r="G15" s="4">
        <v>0.71739130434782605</v>
      </c>
      <c r="H15" s="10">
        <v>229</v>
      </c>
      <c r="I15" s="4">
        <v>0.76855895196506552</v>
      </c>
      <c r="J15" s="10">
        <v>203</v>
      </c>
      <c r="K15" s="4">
        <v>0.76354679802955661</v>
      </c>
      <c r="L15" s="10">
        <v>207</v>
      </c>
      <c r="M15" s="4">
        <v>0.73909999999999998</v>
      </c>
      <c r="N15" s="10">
        <v>208</v>
      </c>
      <c r="O15" s="4">
        <v>0.73076923076923073</v>
      </c>
    </row>
    <row r="16" spans="1:15" x14ac:dyDescent="0.25">
      <c r="A16" s="26" t="s">
        <v>13</v>
      </c>
      <c r="B16" s="10">
        <v>45</v>
      </c>
      <c r="C16" s="4">
        <v>0.66666666666666663</v>
      </c>
      <c r="D16" s="10">
        <v>45</v>
      </c>
      <c r="E16" s="4">
        <v>0.64444444444444449</v>
      </c>
      <c r="F16" s="10">
        <v>34</v>
      </c>
      <c r="G16" s="4">
        <v>0.6470588235294118</v>
      </c>
      <c r="H16" s="10">
        <v>47</v>
      </c>
      <c r="I16" s="4">
        <v>0.7021276595744681</v>
      </c>
      <c r="J16" s="10">
        <v>21</v>
      </c>
      <c r="K16" s="4">
        <v>0.61904761904761907</v>
      </c>
      <c r="L16" s="10">
        <v>16</v>
      </c>
      <c r="M16" s="4">
        <v>0.625</v>
      </c>
      <c r="N16" s="10">
        <v>17</v>
      </c>
      <c r="O16" s="4">
        <v>0.76470588235294112</v>
      </c>
    </row>
    <row r="17" spans="1:15" x14ac:dyDescent="0.25">
      <c r="A17" s="26" t="s">
        <v>14</v>
      </c>
      <c r="B17" s="10">
        <v>69</v>
      </c>
      <c r="C17" s="4">
        <v>0.56520000000000004</v>
      </c>
      <c r="D17" s="10">
        <v>84</v>
      </c>
      <c r="E17" s="4">
        <v>0.41670000000000001</v>
      </c>
      <c r="F17" s="10">
        <v>154</v>
      </c>
      <c r="G17" s="4">
        <v>0.6169</v>
      </c>
      <c r="H17" s="10">
        <v>195</v>
      </c>
      <c r="I17" s="4">
        <v>0.63590000000000002</v>
      </c>
      <c r="J17" s="10">
        <v>236</v>
      </c>
      <c r="K17" s="4">
        <v>0.65249999999999997</v>
      </c>
      <c r="L17" s="10">
        <v>247</v>
      </c>
      <c r="M17" s="4">
        <v>0.60319999999999996</v>
      </c>
      <c r="N17" s="10">
        <v>329</v>
      </c>
      <c r="O17" s="4">
        <v>0.55927051671732519</v>
      </c>
    </row>
    <row r="18" spans="1:15" ht="15.75" thickBot="1" x14ac:dyDescent="0.3">
      <c r="A18" s="27" t="s">
        <v>5</v>
      </c>
      <c r="B18" s="10">
        <v>445</v>
      </c>
      <c r="C18" s="4">
        <v>0.67865168539325837</v>
      </c>
      <c r="D18" s="10">
        <v>458</v>
      </c>
      <c r="E18" s="4">
        <v>0.67030567685589515</v>
      </c>
      <c r="F18" s="10">
        <v>439</v>
      </c>
      <c r="G18" s="4">
        <v>0.69476082004555806</v>
      </c>
      <c r="H18" s="10">
        <v>298</v>
      </c>
      <c r="I18" s="4">
        <v>0.70469798657718119</v>
      </c>
      <c r="J18" s="10">
        <v>158</v>
      </c>
      <c r="K18" s="4">
        <v>0.70253164556962022</v>
      </c>
      <c r="L18" s="10">
        <v>94</v>
      </c>
      <c r="M18" s="4">
        <v>0.63829999999999998</v>
      </c>
      <c r="N18" s="10">
        <v>47</v>
      </c>
      <c r="O18" s="4">
        <v>0.65957446808510634</v>
      </c>
    </row>
    <row r="19" spans="1:15" ht="15.75" thickBot="1" x14ac:dyDescent="0.3">
      <c r="A19" s="12"/>
      <c r="B19" s="28" t="str">
        <f>B8</f>
        <v>AY07-08</v>
      </c>
      <c r="C19" s="29"/>
      <c r="D19" s="28" t="str">
        <f t="shared" ref="D19" si="4">D8</f>
        <v>AY08-09</v>
      </c>
      <c r="E19" s="29"/>
      <c r="F19" s="28" t="str">
        <f t="shared" ref="F19" si="5">F8</f>
        <v>AY09-10</v>
      </c>
      <c r="G19" s="29"/>
      <c r="H19" s="28" t="str">
        <f t="shared" ref="H19" si="6">H8</f>
        <v>AY10-11</v>
      </c>
      <c r="I19" s="29"/>
      <c r="J19" s="28" t="str">
        <f t="shared" ref="J19" si="7">J8</f>
        <v>AY11-12</v>
      </c>
      <c r="K19" s="29"/>
      <c r="L19" s="32" t="s">
        <v>32</v>
      </c>
      <c r="M19" s="33"/>
      <c r="N19" s="32" t="s">
        <v>33</v>
      </c>
      <c r="O19" s="33"/>
    </row>
    <row r="20" spans="1:15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38" t="s">
        <v>30</v>
      </c>
      <c r="O20" s="39" t="s">
        <v>2</v>
      </c>
    </row>
    <row r="21" spans="1:15" x14ac:dyDescent="0.25">
      <c r="A21" s="15" t="s">
        <v>16</v>
      </c>
      <c r="B21" s="10">
        <v>116</v>
      </c>
      <c r="C21" s="4">
        <v>0.81034482758620685</v>
      </c>
      <c r="D21" s="10">
        <v>111</v>
      </c>
      <c r="E21" s="4">
        <v>0.77477477477477474</v>
      </c>
      <c r="F21" s="10">
        <v>55</v>
      </c>
      <c r="G21" s="4">
        <v>0.61818181818181817</v>
      </c>
      <c r="H21" s="10">
        <v>37</v>
      </c>
      <c r="I21" s="4">
        <v>0.89189189189189189</v>
      </c>
      <c r="J21" s="10">
        <v>62</v>
      </c>
      <c r="K21" s="4">
        <v>0.69354838709677424</v>
      </c>
      <c r="L21" s="10">
        <v>81</v>
      </c>
      <c r="M21" s="4">
        <v>0.61729999999999996</v>
      </c>
      <c r="N21" s="10">
        <v>143</v>
      </c>
      <c r="O21" s="4">
        <v>0.67832167832167833</v>
      </c>
    </row>
    <row r="22" spans="1:15" x14ac:dyDescent="0.25">
      <c r="A22" s="16" t="s">
        <v>17</v>
      </c>
      <c r="B22" s="10">
        <v>2286</v>
      </c>
      <c r="C22" s="4">
        <v>0.55949256342957132</v>
      </c>
      <c r="D22" s="10">
        <v>2462</v>
      </c>
      <c r="E22" s="4">
        <v>0.5832656376929326</v>
      </c>
      <c r="F22" s="10">
        <v>2081</v>
      </c>
      <c r="G22" s="4">
        <v>0.63527150408457478</v>
      </c>
      <c r="H22" s="10">
        <v>1608</v>
      </c>
      <c r="I22" s="4">
        <v>0.63184079601990051</v>
      </c>
      <c r="J22" s="10">
        <v>1588</v>
      </c>
      <c r="K22" s="4">
        <v>0.6385390428211587</v>
      </c>
      <c r="L22" s="10">
        <v>1587</v>
      </c>
      <c r="M22" s="4">
        <v>0.62780000000000002</v>
      </c>
      <c r="N22" s="10">
        <v>1926</v>
      </c>
      <c r="O22" s="4">
        <v>0.60020768431983385</v>
      </c>
    </row>
    <row r="23" spans="1:15" x14ac:dyDescent="0.25">
      <c r="A23" s="16" t="s">
        <v>18</v>
      </c>
      <c r="B23" s="10">
        <v>1626</v>
      </c>
      <c r="C23" s="4">
        <v>0.61193111931119315</v>
      </c>
      <c r="D23" s="10">
        <v>1706</v>
      </c>
      <c r="E23" s="4">
        <v>0.64126611957796009</v>
      </c>
      <c r="F23" s="10">
        <v>1693</v>
      </c>
      <c r="G23" s="4">
        <v>0.62728883638511523</v>
      </c>
      <c r="H23" s="10">
        <v>1645</v>
      </c>
      <c r="I23" s="4">
        <v>0.63586626139817626</v>
      </c>
      <c r="J23" s="10">
        <v>1628</v>
      </c>
      <c r="K23" s="4">
        <v>0.62039312039312045</v>
      </c>
      <c r="L23" s="10">
        <v>1598</v>
      </c>
      <c r="M23" s="4">
        <v>0.58699999999999997</v>
      </c>
      <c r="N23" s="10">
        <v>1711</v>
      </c>
      <c r="O23" s="4">
        <v>0.57919345412039747</v>
      </c>
    </row>
    <row r="24" spans="1:15" x14ac:dyDescent="0.25">
      <c r="A24" s="16" t="s">
        <v>19</v>
      </c>
      <c r="B24" s="10">
        <v>540</v>
      </c>
      <c r="C24" s="4">
        <v>0.69444444444444442</v>
      </c>
      <c r="D24" s="10">
        <v>535</v>
      </c>
      <c r="E24" s="4">
        <v>0.68971962616822435</v>
      </c>
      <c r="F24" s="10">
        <v>655</v>
      </c>
      <c r="G24" s="4">
        <v>0.74045801526717558</v>
      </c>
      <c r="H24" s="10">
        <v>589</v>
      </c>
      <c r="I24" s="4">
        <v>0.74533106960950768</v>
      </c>
      <c r="J24" s="10">
        <v>447</v>
      </c>
      <c r="K24" s="4">
        <v>0.6174496644295302</v>
      </c>
      <c r="L24" s="10">
        <v>475</v>
      </c>
      <c r="M24" s="4">
        <v>0.65539999999999998</v>
      </c>
      <c r="N24" s="10">
        <v>509</v>
      </c>
      <c r="O24" s="4">
        <v>0.69351669941060901</v>
      </c>
    </row>
    <row r="25" spans="1:15" x14ac:dyDescent="0.25">
      <c r="A25" s="16" t="s">
        <v>20</v>
      </c>
      <c r="B25" s="10">
        <v>333</v>
      </c>
      <c r="C25" s="4">
        <v>0.75375375375375375</v>
      </c>
      <c r="D25" s="10">
        <v>352</v>
      </c>
      <c r="E25" s="4">
        <v>0.76136363636363635</v>
      </c>
      <c r="F25" s="10">
        <v>387</v>
      </c>
      <c r="G25" s="4">
        <v>0.78552971576227393</v>
      </c>
      <c r="H25" s="10">
        <v>386</v>
      </c>
      <c r="I25" s="4">
        <v>0.74352331606217614</v>
      </c>
      <c r="J25" s="10">
        <v>289</v>
      </c>
      <c r="K25" s="4">
        <v>0.75778546712802763</v>
      </c>
      <c r="L25" s="10">
        <v>279</v>
      </c>
      <c r="M25" s="4">
        <v>0.68389999999999995</v>
      </c>
      <c r="N25" s="10">
        <v>282</v>
      </c>
      <c r="O25" s="4">
        <v>0.67375886524822692</v>
      </c>
    </row>
    <row r="26" spans="1:15" x14ac:dyDescent="0.25">
      <c r="A26" s="16" t="s">
        <v>21</v>
      </c>
      <c r="B26" s="10">
        <v>339</v>
      </c>
      <c r="C26" s="4">
        <v>0.81710914454277284</v>
      </c>
      <c r="D26" s="10">
        <v>323</v>
      </c>
      <c r="E26" s="4">
        <v>0.79256965944272451</v>
      </c>
      <c r="F26" s="10">
        <v>349</v>
      </c>
      <c r="G26" s="4">
        <v>0.7564469914040115</v>
      </c>
      <c r="H26" s="10">
        <v>289</v>
      </c>
      <c r="I26" s="4">
        <v>0.79238754325259519</v>
      </c>
      <c r="J26" s="10">
        <v>198</v>
      </c>
      <c r="K26" s="4">
        <v>0.70202020202020199</v>
      </c>
      <c r="L26" s="10">
        <v>177</v>
      </c>
      <c r="M26" s="4">
        <v>0.68930000000000002</v>
      </c>
      <c r="N26" s="10">
        <v>172</v>
      </c>
      <c r="O26" s="4">
        <v>0.65697674418604646</v>
      </c>
    </row>
    <row r="27" spans="1:15" x14ac:dyDescent="0.25">
      <c r="A27" s="6" t="s">
        <v>22</v>
      </c>
      <c r="B27" s="10">
        <v>428</v>
      </c>
      <c r="C27" s="4">
        <v>0.80373831775700932</v>
      </c>
      <c r="D27" s="10">
        <v>473</v>
      </c>
      <c r="E27" s="4">
        <v>0.78646934460887952</v>
      </c>
      <c r="F27" s="10">
        <v>533</v>
      </c>
      <c r="G27" s="4">
        <v>0.75609756097560976</v>
      </c>
      <c r="H27" s="10">
        <v>413</v>
      </c>
      <c r="I27" s="4">
        <v>0.76997578692493951</v>
      </c>
      <c r="J27" s="10">
        <v>304</v>
      </c>
      <c r="K27" s="4">
        <v>0.75986842105263153</v>
      </c>
      <c r="L27" s="10">
        <v>249</v>
      </c>
      <c r="M27" s="4">
        <v>0.73829999999999996</v>
      </c>
      <c r="N27" s="10">
        <v>256</v>
      </c>
      <c r="O27" s="4">
        <v>0.62890625</v>
      </c>
    </row>
    <row r="28" spans="1:15" x14ac:dyDescent="0.25">
      <c r="A28" s="6" t="s">
        <v>24</v>
      </c>
      <c r="B28" s="10">
        <v>193</v>
      </c>
      <c r="C28" s="4">
        <v>0.68393782383419688</v>
      </c>
      <c r="D28" s="10">
        <v>214</v>
      </c>
      <c r="E28" s="4">
        <v>0.7289719626168224</v>
      </c>
      <c r="F28" s="10">
        <v>265</v>
      </c>
      <c r="G28" s="4">
        <v>0.75094339622641515</v>
      </c>
      <c r="H28" s="10">
        <v>197</v>
      </c>
      <c r="I28" s="4">
        <v>0.77157360406091369</v>
      </c>
      <c r="J28" s="10">
        <v>124</v>
      </c>
      <c r="K28" s="4">
        <v>0.72580645161290325</v>
      </c>
      <c r="L28" s="10">
        <v>151</v>
      </c>
      <c r="M28" s="4">
        <v>0.755</v>
      </c>
      <c r="N28" s="10">
        <v>136</v>
      </c>
      <c r="O28" s="4">
        <v>0.68382352941176472</v>
      </c>
    </row>
    <row r="29" spans="1:15" ht="15.75" thickBot="1" x14ac:dyDescent="0.3">
      <c r="A29" s="27" t="s">
        <v>5</v>
      </c>
      <c r="B29" s="18"/>
      <c r="C29" s="5"/>
      <c r="D29" s="18"/>
      <c r="E29" s="5"/>
      <c r="F29" s="18"/>
      <c r="G29" s="5"/>
      <c r="H29" s="18"/>
      <c r="I29" s="5"/>
      <c r="J29" s="18"/>
      <c r="K29" s="5"/>
      <c r="L29" s="18"/>
      <c r="M29" s="5"/>
      <c r="N29" s="18"/>
      <c r="O29" s="5"/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B19:C19"/>
    <mergeCell ref="B8:C8"/>
    <mergeCell ref="D8:E8"/>
    <mergeCell ref="F8:G8"/>
    <mergeCell ref="H8:I8"/>
    <mergeCell ref="D19:E19"/>
    <mergeCell ref="F19:G19"/>
    <mergeCell ref="H19:I19"/>
    <mergeCell ref="B1:M1"/>
    <mergeCell ref="A1:A2"/>
    <mergeCell ref="B2:C2"/>
    <mergeCell ref="D2:E2"/>
    <mergeCell ref="F2:G2"/>
    <mergeCell ref="H2:I2"/>
    <mergeCell ref="J2:K2"/>
    <mergeCell ref="J19:K19"/>
    <mergeCell ref="L2:M2"/>
    <mergeCell ref="L8:M8"/>
    <mergeCell ref="L19:M19"/>
    <mergeCell ref="J8:K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MVC Credit Success Rates (DEV)</dc:title>
  <dc:creator>nmesaris</dc:creator>
  <cp:lastModifiedBy>Wesley Klein</cp:lastModifiedBy>
  <dcterms:created xsi:type="dcterms:W3CDTF">2012-06-05T22:10:59Z</dcterms:created>
  <dcterms:modified xsi:type="dcterms:W3CDTF">2014-07-23T20:56:11Z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