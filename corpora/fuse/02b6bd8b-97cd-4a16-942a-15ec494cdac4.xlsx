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showInkAnnotation="0" autoCompressPictures="0"/>
  <bookViews>
    <workbookView xWindow="0" yWindow="0" windowWidth="25600" windowHeight="18380" tabRatio="500" activeTab="1"/>
  </bookViews>
  <sheets>
    <sheet name="Pop 20-24" sheetId="1" r:id="rId1"/>
    <sheet name="Scl Lvrs" sheetId="2" r:id="rId2"/>
    <sheet name="Graduates" sheetId="3" r:id="rId3"/>
    <sheet name="Grad Dest" sheetId="4" r:id="rId4"/>
    <sheet name="Grad Employment" sheetId="5" r:id="rId5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1" i="4" l="1"/>
  <c r="D31" i="4"/>
  <c r="C30" i="4"/>
  <c r="D30" i="4"/>
  <c r="C29" i="4"/>
  <c r="D29" i="4"/>
  <c r="C28" i="4"/>
  <c r="D28" i="4"/>
  <c r="C27" i="4"/>
  <c r="D27" i="4"/>
  <c r="C26" i="4"/>
  <c r="D26" i="4"/>
  <c r="C25" i="4"/>
  <c r="D25" i="4"/>
  <c r="C24" i="4"/>
  <c r="D24" i="4"/>
  <c r="C23" i="4"/>
  <c r="D23" i="4"/>
  <c r="C22" i="4"/>
  <c r="D22" i="4"/>
  <c r="C21" i="4"/>
  <c r="D21" i="4"/>
  <c r="C20" i="4"/>
  <c r="D20" i="4"/>
  <c r="C19" i="4"/>
  <c r="D19" i="4"/>
  <c r="C18" i="4"/>
  <c r="D18" i="4"/>
  <c r="B17" i="4"/>
  <c r="E17" i="4"/>
  <c r="C17" i="4"/>
  <c r="D17" i="4"/>
  <c r="B16" i="4"/>
  <c r="E16" i="4"/>
  <c r="C16" i="4"/>
  <c r="D16" i="4"/>
  <c r="B15" i="4"/>
  <c r="E15" i="4"/>
  <c r="C15" i="4"/>
  <c r="D15" i="4"/>
  <c r="B14" i="4"/>
  <c r="E14" i="4"/>
  <c r="C14" i="4"/>
  <c r="D14" i="4"/>
  <c r="B13" i="4"/>
  <c r="E13" i="4"/>
  <c r="C13" i="4"/>
  <c r="D13" i="4"/>
  <c r="B12" i="4"/>
  <c r="E12" i="4"/>
  <c r="C12" i="4"/>
  <c r="D12" i="4"/>
</calcChain>
</file>

<file path=xl/sharedStrings.xml><?xml version="1.0" encoding="utf-8"?>
<sst xmlns="http://schemas.openxmlformats.org/spreadsheetml/2006/main" count="49" uniqueCount="49">
  <si>
    <t>Population 20-24 year olds</t>
  </si>
  <si>
    <t>Elementary</t>
    <phoneticPr fontId="0" type="noConversion"/>
  </si>
  <si>
    <t>Intermediate</t>
  </si>
  <si>
    <t>Advanced</t>
    <phoneticPr fontId="0" type="noConversion"/>
  </si>
  <si>
    <t>Frank Barrington</t>
  </si>
  <si>
    <t>Department of Mathematics and Statistics</t>
  </si>
  <si>
    <t>The University of Melbourne</t>
  </si>
  <si>
    <t>Victoria 3010 AUSTRALIA</t>
  </si>
  <si>
    <t>f.barrington@ms.unimelb.edu.au</t>
  </si>
  <si>
    <t>From a report for Australian Mathematical Sciences Institute &amp; International Centre of Excellence for Education in Mathematics 2008</t>
  </si>
  <si>
    <t>National strategy for Mathematical Science in Australia</t>
  </si>
  <si>
    <t xml:space="preserve">PhD Graduates </t>
    <phoneticPr fontId="0" type="noConversion"/>
  </si>
  <si>
    <t>Masters Graduates</t>
    <phoneticPr fontId="0" type="noConversion"/>
  </si>
  <si>
    <t>Bachelor Honours Graduates</t>
    <phoneticPr fontId="0" type="noConversion"/>
  </si>
  <si>
    <t>Degree Level: Bachelor (All)</t>
    <phoneticPr fontId="0" type="noConversion"/>
  </si>
  <si>
    <t>GradStats online</t>
    <phoneticPr fontId="0" type="noConversion"/>
  </si>
  <si>
    <t>GradFacts Online</t>
    <phoneticPr fontId="0" type="noConversion"/>
  </si>
  <si>
    <t>Major Activities for Mathematics Graduates</t>
  </si>
  <si>
    <t>Total N</t>
    <phoneticPr fontId="0" type="noConversion"/>
  </si>
  <si>
    <t>Full-Time Employment</t>
    <phoneticPr fontId="0" type="noConversion"/>
  </si>
  <si>
    <t>Other</t>
    <phoneticPr fontId="0" type="noConversion"/>
  </si>
  <si>
    <t xml:space="preserve"> Full-Time Study</t>
    <phoneticPr fontId="0" type="noConversion"/>
  </si>
  <si>
    <t>In FT employment as % of those available for employment</t>
    <phoneticPr fontId="0" type="noConversion"/>
  </si>
  <si>
    <t>Govt</t>
  </si>
  <si>
    <t>Professional</t>
  </si>
  <si>
    <t>Ag &amp; Forestry</t>
  </si>
  <si>
    <t>Mining &amp; Exploration</t>
  </si>
  <si>
    <t>Manufacturing</t>
  </si>
  <si>
    <t>Power &amp; Services</t>
  </si>
  <si>
    <t>Construction</t>
  </si>
  <si>
    <t>Trade Wholesale &amp; Retail</t>
  </si>
  <si>
    <t>Transport &amp; Storage</t>
  </si>
  <si>
    <t>Radio &amp; TV</t>
  </si>
  <si>
    <t>Business</t>
  </si>
  <si>
    <t>Community Services</t>
  </si>
  <si>
    <t>Entertainment &amp; Recreation</t>
  </si>
  <si>
    <t>Education</t>
  </si>
  <si>
    <t>Not Stated</t>
  </si>
  <si>
    <t>Australian Bureau of Statistics</t>
  </si>
  <si>
    <r>
      <t>3105.0.65.001 - Australian Historical Population Statistics, 2008 </t>
    </r>
    <r>
      <rPr>
        <sz val="7.8"/>
        <color theme="1"/>
        <rFont val="Calibri"/>
        <family val="2"/>
        <scheme val="minor"/>
      </rPr>
      <t> </t>
    </r>
  </si>
  <si>
    <t>http://www.abs.gov.au/ausstats/abs@.nsf/mf/3105.0.65.001</t>
  </si>
  <si>
    <t>Assoc. Prof. Peter Johnston</t>
  </si>
  <si>
    <t>Griffith University</t>
  </si>
  <si>
    <t>Nathan</t>
  </si>
  <si>
    <t>Queensland 4111</t>
  </si>
  <si>
    <t xml:space="preserve">AUSTRALIA </t>
  </si>
  <si>
    <t xml:space="preserve">Associate Professor in Applied Mathematics    </t>
  </si>
  <si>
    <t xml:space="preserve">School of Biomolecular and Physical Science  </t>
  </si>
  <si>
    <t xml:space="preserve">graduate Reports complied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</si>
</sst>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theme="1"/>
      <name val="Arial"/>
    </font>
    <font>
      <b/>
      <sz val="10"/>
      <color theme="1"/>
      <name val="Arial"/>
    </font>
    <font>
      <sz val="7.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0" fillId="0" borderId="0" xfId="0" applyNumberFormat="1" applyFill="1" applyAlignment="1">
      <alignment horizont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Z7"/>
  <sheetViews>
    <sheetView workbookViewId="0">
      <selection activeCell="A11" sqref="A11"/>
    </sheetView>
  </sheetViews>
  <sheetFormatPr baseColWidth="10" defaultRowHeight="15" x14ac:dyDescent="0"/>
  <cols>
    <col min="1" max="1" width="24" customWidth="1"/>
  </cols>
  <sheetData>
    <row r="2" spans="1:52" s="1" customFormat="1">
      <c r="B2" s="1">
        <v>1960</v>
      </c>
      <c r="C2" s="1">
        <v>1961</v>
      </c>
      <c r="D2" s="1">
        <v>1962</v>
      </c>
      <c r="E2" s="1">
        <v>1963</v>
      </c>
      <c r="F2" s="1">
        <v>1964</v>
      </c>
      <c r="G2" s="1">
        <v>1965</v>
      </c>
      <c r="H2" s="1">
        <v>1966</v>
      </c>
      <c r="I2" s="1">
        <v>1967</v>
      </c>
      <c r="J2" s="1">
        <v>1968</v>
      </c>
      <c r="K2" s="1">
        <v>1969</v>
      </c>
      <c r="L2" s="1">
        <v>1970</v>
      </c>
      <c r="M2" s="1">
        <v>1971</v>
      </c>
      <c r="N2" s="1">
        <v>1972</v>
      </c>
      <c r="O2" s="1">
        <v>1973</v>
      </c>
      <c r="P2" s="1">
        <v>1974</v>
      </c>
      <c r="Q2" s="1">
        <v>1975</v>
      </c>
      <c r="R2" s="1">
        <v>1976</v>
      </c>
      <c r="S2" s="1">
        <v>1977</v>
      </c>
      <c r="T2" s="1">
        <v>1978</v>
      </c>
      <c r="U2" s="1">
        <v>1979</v>
      </c>
      <c r="V2" s="1">
        <v>1980</v>
      </c>
      <c r="W2" s="1">
        <v>1981</v>
      </c>
      <c r="X2" s="1">
        <v>1982</v>
      </c>
      <c r="Y2" s="1">
        <v>1983</v>
      </c>
      <c r="Z2" s="1">
        <v>1984</v>
      </c>
      <c r="AA2" s="1">
        <v>1985</v>
      </c>
      <c r="AB2" s="1">
        <v>1986</v>
      </c>
      <c r="AC2" s="1">
        <v>1987</v>
      </c>
      <c r="AD2" s="1">
        <v>1988</v>
      </c>
      <c r="AE2" s="1">
        <v>1989</v>
      </c>
      <c r="AF2" s="1">
        <v>1990</v>
      </c>
      <c r="AG2" s="1">
        <v>1991</v>
      </c>
      <c r="AH2" s="1">
        <v>1992</v>
      </c>
      <c r="AI2" s="1">
        <v>1993</v>
      </c>
      <c r="AJ2" s="1">
        <v>1994</v>
      </c>
      <c r="AK2" s="1">
        <v>1995</v>
      </c>
      <c r="AL2" s="1">
        <v>1996</v>
      </c>
      <c r="AM2" s="1">
        <v>1997</v>
      </c>
      <c r="AN2" s="1">
        <v>1998</v>
      </c>
      <c r="AO2" s="1">
        <v>1999</v>
      </c>
      <c r="AP2" s="1">
        <v>2000</v>
      </c>
      <c r="AQ2" s="1">
        <v>2001</v>
      </c>
      <c r="AR2" s="1">
        <v>2002</v>
      </c>
      <c r="AS2" s="1">
        <v>2003</v>
      </c>
      <c r="AT2" s="1">
        <v>2004</v>
      </c>
      <c r="AU2" s="1">
        <v>2005</v>
      </c>
      <c r="AV2" s="1">
        <v>2006</v>
      </c>
      <c r="AW2" s="1">
        <v>2007</v>
      </c>
      <c r="AX2" s="1">
        <v>2008</v>
      </c>
      <c r="AY2" s="1">
        <v>2009</v>
      </c>
      <c r="AZ2" s="1">
        <v>2010</v>
      </c>
    </row>
    <row r="3" spans="1:52">
      <c r="A3" t="s">
        <v>0</v>
      </c>
      <c r="B3">
        <v>669800</v>
      </c>
      <c r="C3">
        <v>695100</v>
      </c>
      <c r="D3">
        <v>716200</v>
      </c>
      <c r="E3">
        <v>735300</v>
      </c>
      <c r="F3">
        <v>773800</v>
      </c>
      <c r="G3">
        <v>817800</v>
      </c>
      <c r="H3">
        <v>859159</v>
      </c>
      <c r="I3">
        <v>929824</v>
      </c>
      <c r="J3">
        <v>991828</v>
      </c>
      <c r="K3">
        <v>1035159</v>
      </c>
      <c r="L3">
        <v>1075643</v>
      </c>
      <c r="M3">
        <v>1140607</v>
      </c>
      <c r="N3">
        <v>1128504</v>
      </c>
      <c r="O3">
        <v>1138271</v>
      </c>
      <c r="P3">
        <v>1156689</v>
      </c>
      <c r="Q3">
        <v>1164852</v>
      </c>
      <c r="R3">
        <v>1173358</v>
      </c>
      <c r="S3">
        <v>1189213</v>
      </c>
      <c r="T3">
        <v>1210115</v>
      </c>
      <c r="U3">
        <v>1240002</v>
      </c>
      <c r="V3">
        <v>1269148</v>
      </c>
      <c r="W3">
        <v>1301866</v>
      </c>
      <c r="X3">
        <v>1333401</v>
      </c>
      <c r="Y3">
        <v>1348438</v>
      </c>
      <c r="Z3">
        <v>1351931</v>
      </c>
      <c r="AA3">
        <v>1349451</v>
      </c>
      <c r="AB3">
        <v>1336709</v>
      </c>
      <c r="AC3">
        <v>1327203</v>
      </c>
      <c r="AD3">
        <v>1325819</v>
      </c>
      <c r="AE3">
        <v>1335896</v>
      </c>
      <c r="AF3">
        <v>1358360</v>
      </c>
      <c r="AG3">
        <v>1396764</v>
      </c>
      <c r="AH3">
        <v>1430396</v>
      </c>
      <c r="AI3">
        <v>1442801</v>
      </c>
      <c r="AJ3">
        <v>1439785</v>
      </c>
      <c r="AK3">
        <v>1429521</v>
      </c>
      <c r="AL3">
        <v>1396866</v>
      </c>
      <c r="AM3">
        <v>1358251</v>
      </c>
      <c r="AN3">
        <v>1324276</v>
      </c>
      <c r="AO3">
        <v>1301080</v>
      </c>
      <c r="AP3">
        <v>1291138</v>
      </c>
      <c r="AQ3">
        <v>1302412</v>
      </c>
      <c r="AR3">
        <v>1330110</v>
      </c>
      <c r="AS3">
        <v>1366686</v>
      </c>
      <c r="AT3">
        <v>1399667</v>
      </c>
      <c r="AU3">
        <v>1435898</v>
      </c>
      <c r="AV3">
        <v>1471858</v>
      </c>
      <c r="AW3">
        <v>1494136</v>
      </c>
      <c r="AX3">
        <v>1530590</v>
      </c>
      <c r="AY3">
        <v>1613332</v>
      </c>
      <c r="AZ3">
        <v>1648245</v>
      </c>
    </row>
    <row r="5" spans="1:52">
      <c r="A5" t="s">
        <v>38</v>
      </c>
    </row>
    <row r="6" spans="1:52">
      <c r="A6" t="s">
        <v>39</v>
      </c>
    </row>
    <row r="7" spans="1:52">
      <c r="A7" t="s">
        <v>40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18" sqref="A18"/>
    </sheetView>
  </sheetViews>
  <sheetFormatPr baseColWidth="10" defaultRowHeight="15" x14ac:dyDescent="0"/>
  <sheetData>
    <row r="1" spans="1:4">
      <c r="B1" s="2" t="s">
        <v>1</v>
      </c>
      <c r="C1" s="2" t="s">
        <v>2</v>
      </c>
      <c r="D1" s="2" t="s">
        <v>3</v>
      </c>
    </row>
    <row r="2" spans="1:4">
      <c r="A2" s="2">
        <v>1995</v>
      </c>
      <c r="B2" s="2">
        <v>37</v>
      </c>
      <c r="C2" s="2">
        <v>27.2</v>
      </c>
      <c r="D2" s="2">
        <v>14.1</v>
      </c>
    </row>
    <row r="3" spans="1:4">
      <c r="A3" s="2">
        <v>1996</v>
      </c>
      <c r="B3" s="2">
        <v>37</v>
      </c>
      <c r="C3" s="2">
        <v>26.9</v>
      </c>
      <c r="D3" s="2">
        <v>13.5</v>
      </c>
    </row>
    <row r="4" spans="1:4">
      <c r="A4" s="2">
        <v>1997</v>
      </c>
      <c r="B4" s="2">
        <v>39</v>
      </c>
      <c r="C4" s="2">
        <v>27.1</v>
      </c>
      <c r="D4" s="2">
        <v>13.5</v>
      </c>
    </row>
    <row r="5" spans="1:4">
      <c r="A5" s="2">
        <v>1998</v>
      </c>
      <c r="B5" s="2">
        <v>39</v>
      </c>
      <c r="C5" s="2">
        <v>26.1</v>
      </c>
      <c r="D5" s="2">
        <v>12.7</v>
      </c>
    </row>
    <row r="6" spans="1:4">
      <c r="A6" s="2">
        <v>1999</v>
      </c>
      <c r="B6" s="2">
        <v>41</v>
      </c>
      <c r="C6" s="2">
        <v>25.1</v>
      </c>
      <c r="D6" s="2">
        <v>12.3</v>
      </c>
    </row>
    <row r="7" spans="1:4">
      <c r="A7" s="2">
        <v>2000</v>
      </c>
      <c r="B7" s="2">
        <v>47</v>
      </c>
      <c r="C7" s="2">
        <v>25</v>
      </c>
      <c r="D7" s="2">
        <v>11.9</v>
      </c>
    </row>
    <row r="8" spans="1:4">
      <c r="A8" s="2">
        <v>2001</v>
      </c>
      <c r="B8" s="2">
        <v>45</v>
      </c>
      <c r="C8" s="2">
        <v>24.2</v>
      </c>
      <c r="D8" s="2">
        <v>11.3</v>
      </c>
    </row>
    <row r="9" spans="1:4">
      <c r="A9" s="2">
        <v>2002</v>
      </c>
      <c r="B9" s="2">
        <v>46</v>
      </c>
      <c r="C9" s="2">
        <v>23.4</v>
      </c>
      <c r="D9" s="2">
        <v>11.1</v>
      </c>
    </row>
    <row r="10" spans="1:4">
      <c r="A10" s="2">
        <v>2003</v>
      </c>
      <c r="B10" s="2">
        <v>47</v>
      </c>
      <c r="C10" s="2">
        <v>23.5</v>
      </c>
      <c r="D10" s="2">
        <v>11.8</v>
      </c>
    </row>
    <row r="11" spans="1:4">
      <c r="A11" s="2">
        <v>2004</v>
      </c>
      <c r="B11" s="2">
        <v>46</v>
      </c>
      <c r="C11" s="2">
        <v>22.6</v>
      </c>
      <c r="D11" s="2">
        <v>11.7</v>
      </c>
    </row>
    <row r="12" spans="1:4">
      <c r="A12" s="2">
        <v>2005</v>
      </c>
      <c r="B12" s="2">
        <v>47</v>
      </c>
      <c r="C12" s="2">
        <v>22</v>
      </c>
      <c r="D12" s="2">
        <v>11.3</v>
      </c>
    </row>
    <row r="13" spans="1:4">
      <c r="A13" s="2">
        <v>2006</v>
      </c>
      <c r="B13" s="2">
        <v>48</v>
      </c>
      <c r="C13" s="2">
        <v>21.9</v>
      </c>
      <c r="D13" s="2">
        <v>10.7</v>
      </c>
    </row>
    <row r="14" spans="1:4">
      <c r="A14" s="2">
        <v>2007</v>
      </c>
      <c r="B14" s="2">
        <v>48</v>
      </c>
      <c r="C14" s="2">
        <v>21.2</v>
      </c>
      <c r="D14" s="2">
        <v>10.3</v>
      </c>
    </row>
    <row r="16" spans="1:4">
      <c r="A16" t="s">
        <v>9</v>
      </c>
    </row>
    <row r="17" spans="1:1">
      <c r="A17" t="s">
        <v>10</v>
      </c>
    </row>
    <row r="19" spans="1:1">
      <c r="A19" t="s">
        <v>4</v>
      </c>
    </row>
    <row r="20" spans="1:1">
      <c r="A20" t="s">
        <v>5</v>
      </c>
    </row>
    <row r="21" spans="1:1">
      <c r="A21" t="s">
        <v>6</v>
      </c>
    </row>
    <row r="22" spans="1:1">
      <c r="A22" t="s">
        <v>7</v>
      </c>
    </row>
    <row r="23" spans="1:1">
      <c r="A23" t="s">
        <v>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"/>
  <sheetViews>
    <sheetView workbookViewId="0">
      <selection activeCell="A16" sqref="A16"/>
    </sheetView>
  </sheetViews>
  <sheetFormatPr baseColWidth="10" defaultRowHeight="12" x14ac:dyDescent="0"/>
  <cols>
    <col min="1" max="1" width="26.1640625" style="10" customWidth="1"/>
    <col min="2" max="52" width="8.1640625" style="8" customWidth="1"/>
    <col min="53" max="16384" width="10.83203125" style="8"/>
  </cols>
  <sheetData>
    <row r="1" spans="1:52" s="10" customFormat="1">
      <c r="A1" s="3"/>
      <c r="B1" s="4">
        <v>1960</v>
      </c>
      <c r="C1" s="4">
        <v>1961</v>
      </c>
      <c r="D1" s="4">
        <v>1962</v>
      </c>
      <c r="E1" s="4">
        <v>1963</v>
      </c>
      <c r="F1" s="4">
        <v>1964</v>
      </c>
      <c r="G1" s="4">
        <v>1965</v>
      </c>
      <c r="H1" s="4">
        <v>1966</v>
      </c>
      <c r="I1" s="4">
        <v>1967</v>
      </c>
      <c r="J1" s="4">
        <v>1968</v>
      </c>
      <c r="K1" s="4">
        <v>1969</v>
      </c>
      <c r="L1" s="4">
        <v>1970</v>
      </c>
      <c r="M1" s="4">
        <v>1971</v>
      </c>
      <c r="N1" s="4">
        <v>1972</v>
      </c>
      <c r="O1" s="4">
        <v>1973</v>
      </c>
      <c r="P1" s="4">
        <v>1974</v>
      </c>
      <c r="Q1" s="4">
        <v>1975</v>
      </c>
      <c r="R1" s="4">
        <v>1976</v>
      </c>
      <c r="S1" s="4">
        <v>1977</v>
      </c>
      <c r="T1" s="4">
        <v>1978</v>
      </c>
      <c r="U1" s="4">
        <v>1979</v>
      </c>
      <c r="V1" s="4">
        <v>1980</v>
      </c>
      <c r="W1" s="4">
        <v>1981</v>
      </c>
      <c r="X1" s="4">
        <v>1982</v>
      </c>
      <c r="Y1" s="4">
        <v>1983</v>
      </c>
      <c r="Z1" s="4">
        <v>1984</v>
      </c>
      <c r="AA1" s="4">
        <v>1985</v>
      </c>
      <c r="AB1" s="4">
        <v>1986</v>
      </c>
      <c r="AC1" s="4">
        <v>1987</v>
      </c>
      <c r="AD1" s="4">
        <v>1988</v>
      </c>
      <c r="AE1" s="4">
        <v>1989</v>
      </c>
      <c r="AF1" s="4">
        <v>1990</v>
      </c>
      <c r="AG1" s="4">
        <v>1991</v>
      </c>
      <c r="AH1" s="4">
        <v>1992</v>
      </c>
      <c r="AI1" s="4">
        <v>1993</v>
      </c>
      <c r="AJ1" s="4">
        <v>1994</v>
      </c>
      <c r="AK1" s="4">
        <v>1995</v>
      </c>
      <c r="AL1" s="4">
        <v>1996</v>
      </c>
      <c r="AM1" s="4">
        <v>1997</v>
      </c>
      <c r="AN1" s="4">
        <v>1998</v>
      </c>
      <c r="AO1" s="4">
        <v>1999</v>
      </c>
      <c r="AP1" s="4">
        <v>2000</v>
      </c>
      <c r="AQ1" s="4">
        <v>2001</v>
      </c>
      <c r="AR1" s="5">
        <v>2002</v>
      </c>
      <c r="AS1" s="4">
        <v>2003</v>
      </c>
      <c r="AT1" s="4">
        <v>2004</v>
      </c>
      <c r="AU1" s="4">
        <v>2005</v>
      </c>
      <c r="AV1" s="4">
        <v>2006</v>
      </c>
      <c r="AW1" s="4">
        <v>2007</v>
      </c>
      <c r="AX1" s="4">
        <v>2008</v>
      </c>
      <c r="AY1" s="4">
        <v>2009</v>
      </c>
      <c r="AZ1" s="9">
        <v>2010</v>
      </c>
    </row>
    <row r="2" spans="1:52">
      <c r="A2" s="11" t="s">
        <v>11</v>
      </c>
      <c r="B2" s="7">
        <v>6</v>
      </c>
      <c r="C2" s="7">
        <v>3</v>
      </c>
      <c r="D2" s="7">
        <v>8</v>
      </c>
      <c r="E2" s="7">
        <v>7</v>
      </c>
      <c r="F2" s="7">
        <v>9</v>
      </c>
      <c r="G2" s="7">
        <v>13</v>
      </c>
      <c r="H2" s="7">
        <v>19</v>
      </c>
      <c r="I2" s="7">
        <v>17</v>
      </c>
      <c r="J2" s="7">
        <v>33</v>
      </c>
      <c r="K2" s="7">
        <v>43</v>
      </c>
      <c r="L2" s="7">
        <v>44</v>
      </c>
      <c r="M2" s="7">
        <v>36</v>
      </c>
      <c r="N2" s="7">
        <v>35</v>
      </c>
      <c r="O2" s="7">
        <v>44</v>
      </c>
      <c r="P2" s="7">
        <v>42</v>
      </c>
      <c r="Q2" s="7">
        <v>42</v>
      </c>
      <c r="R2" s="7">
        <v>34</v>
      </c>
      <c r="S2" s="7">
        <v>39</v>
      </c>
      <c r="T2" s="7">
        <v>35</v>
      </c>
      <c r="U2" s="7">
        <v>42</v>
      </c>
      <c r="V2" s="7">
        <v>26</v>
      </c>
      <c r="W2" s="7">
        <v>34</v>
      </c>
      <c r="X2" s="7">
        <v>31</v>
      </c>
      <c r="Y2" s="7">
        <v>51</v>
      </c>
      <c r="Z2" s="7">
        <v>33</v>
      </c>
      <c r="AA2" s="7">
        <v>32</v>
      </c>
      <c r="AB2" s="7">
        <v>33</v>
      </c>
      <c r="AC2" s="7">
        <v>42</v>
      </c>
      <c r="AD2" s="7">
        <v>38</v>
      </c>
      <c r="AE2" s="7">
        <v>24</v>
      </c>
      <c r="AF2" s="7">
        <v>33</v>
      </c>
      <c r="AG2" s="7">
        <v>31</v>
      </c>
      <c r="AH2" s="7">
        <v>35</v>
      </c>
      <c r="AI2" s="7">
        <v>37</v>
      </c>
      <c r="AJ2" s="7">
        <v>34</v>
      </c>
      <c r="AK2" s="7">
        <v>76</v>
      </c>
      <c r="AL2" s="7">
        <v>41</v>
      </c>
      <c r="AM2" s="7">
        <v>62</v>
      </c>
      <c r="AN2" s="7">
        <v>65</v>
      </c>
      <c r="AO2" s="7">
        <v>51</v>
      </c>
      <c r="AP2" s="7">
        <v>69</v>
      </c>
      <c r="AQ2" s="7">
        <v>70</v>
      </c>
      <c r="AR2" s="7">
        <v>68</v>
      </c>
      <c r="AS2" s="7">
        <v>71</v>
      </c>
      <c r="AT2" s="7">
        <v>50</v>
      </c>
      <c r="AU2" s="7">
        <v>78</v>
      </c>
      <c r="AV2" s="7">
        <v>69</v>
      </c>
      <c r="AW2" s="7">
        <v>78</v>
      </c>
      <c r="AX2" s="7">
        <v>78</v>
      </c>
      <c r="AY2" s="7">
        <v>69</v>
      </c>
      <c r="AZ2" s="7"/>
    </row>
    <row r="3" spans="1:52">
      <c r="A3" s="11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</row>
    <row r="4" spans="1:52">
      <c r="A4" s="11" t="s">
        <v>12</v>
      </c>
      <c r="B4" s="7">
        <v>6</v>
      </c>
      <c r="C4" s="7">
        <v>4</v>
      </c>
      <c r="D4" s="7">
        <v>14</v>
      </c>
      <c r="E4" s="7">
        <v>18</v>
      </c>
      <c r="F4" s="7">
        <v>17</v>
      </c>
      <c r="G4" s="7">
        <v>23</v>
      </c>
      <c r="H4" s="7">
        <v>19</v>
      </c>
      <c r="I4" s="7">
        <v>36</v>
      </c>
      <c r="J4" s="7">
        <v>32</v>
      </c>
      <c r="K4" s="7">
        <v>28</v>
      </c>
      <c r="L4" s="7">
        <v>37</v>
      </c>
      <c r="M4" s="7">
        <v>27</v>
      </c>
      <c r="N4" s="7">
        <v>25</v>
      </c>
      <c r="O4" s="7">
        <v>18</v>
      </c>
      <c r="P4" s="7">
        <v>22</v>
      </c>
      <c r="Q4" s="7">
        <v>27</v>
      </c>
      <c r="R4" s="7">
        <v>40</v>
      </c>
      <c r="S4" s="7">
        <v>31</v>
      </c>
      <c r="T4" s="7">
        <v>37</v>
      </c>
      <c r="U4" s="7">
        <v>20</v>
      </c>
      <c r="V4" s="7">
        <v>21</v>
      </c>
      <c r="W4" s="7">
        <v>26</v>
      </c>
      <c r="X4" s="7">
        <v>20</v>
      </c>
      <c r="Y4" s="7">
        <v>18</v>
      </c>
      <c r="Z4" s="7">
        <v>15</v>
      </c>
      <c r="AA4" s="7">
        <v>17</v>
      </c>
      <c r="AB4" s="7">
        <v>11</v>
      </c>
      <c r="AC4" s="7">
        <v>22</v>
      </c>
      <c r="AD4" s="7">
        <v>12</v>
      </c>
      <c r="AE4" s="7">
        <v>19</v>
      </c>
      <c r="AF4" s="7">
        <v>18</v>
      </c>
      <c r="AG4" s="7">
        <v>21</v>
      </c>
      <c r="AH4" s="7">
        <v>22</v>
      </c>
      <c r="AI4" s="7">
        <v>29</v>
      </c>
      <c r="AJ4" s="7">
        <v>25</v>
      </c>
      <c r="AK4" s="7">
        <v>23</v>
      </c>
      <c r="AL4" s="7">
        <v>19</v>
      </c>
      <c r="AM4" s="7">
        <v>14</v>
      </c>
      <c r="AN4" s="7">
        <v>16</v>
      </c>
      <c r="AO4" s="7">
        <v>15</v>
      </c>
      <c r="AP4" s="7">
        <v>13</v>
      </c>
      <c r="AQ4" s="7">
        <v>17</v>
      </c>
      <c r="AR4" s="7">
        <v>18</v>
      </c>
      <c r="AS4" s="7">
        <v>16</v>
      </c>
      <c r="AT4" s="7">
        <v>16</v>
      </c>
      <c r="AU4" s="7">
        <v>16</v>
      </c>
      <c r="AV4" s="7">
        <v>23</v>
      </c>
      <c r="AW4" s="7">
        <v>14</v>
      </c>
      <c r="AX4" s="7">
        <v>20</v>
      </c>
      <c r="AY4" s="7">
        <v>15</v>
      </c>
      <c r="AZ4" s="7"/>
    </row>
    <row r="5" spans="1:52">
      <c r="A5" s="1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</row>
    <row r="6" spans="1:52">
      <c r="A6" s="11" t="s">
        <v>13</v>
      </c>
      <c r="B6" s="7">
        <v>42</v>
      </c>
      <c r="C6" s="7">
        <v>47</v>
      </c>
      <c r="D6" s="7">
        <v>53</v>
      </c>
      <c r="E6" s="7">
        <v>84</v>
      </c>
      <c r="F6" s="7">
        <v>75</v>
      </c>
      <c r="G6" s="7">
        <v>90</v>
      </c>
      <c r="H6" s="7">
        <v>110</v>
      </c>
      <c r="I6" s="7">
        <v>116</v>
      </c>
      <c r="J6" s="7">
        <v>134</v>
      </c>
      <c r="K6" s="7">
        <v>143</v>
      </c>
      <c r="L6" s="7">
        <v>115</v>
      </c>
      <c r="M6" s="7">
        <v>177</v>
      </c>
      <c r="N6" s="7">
        <v>148</v>
      </c>
      <c r="O6" s="7">
        <v>160</v>
      </c>
      <c r="P6" s="7">
        <v>183</v>
      </c>
      <c r="Q6" s="7">
        <v>147</v>
      </c>
      <c r="R6" s="7">
        <v>142</v>
      </c>
      <c r="S6" s="7">
        <v>179</v>
      </c>
      <c r="T6" s="7">
        <v>161</v>
      </c>
      <c r="U6" s="7">
        <v>123</v>
      </c>
      <c r="V6" s="7">
        <v>132</v>
      </c>
      <c r="W6" s="7">
        <v>126</v>
      </c>
      <c r="X6" s="7">
        <v>109</v>
      </c>
      <c r="Y6" s="7">
        <v>102</v>
      </c>
      <c r="Z6" s="7">
        <v>113</v>
      </c>
      <c r="AA6" s="7">
        <v>124</v>
      </c>
      <c r="AB6" s="7">
        <v>120</v>
      </c>
      <c r="AC6" s="7">
        <v>124</v>
      </c>
      <c r="AD6" s="7">
        <v>169</v>
      </c>
      <c r="AE6" s="7">
        <v>136</v>
      </c>
      <c r="AF6" s="7">
        <v>142</v>
      </c>
      <c r="AG6" s="7">
        <v>176</v>
      </c>
      <c r="AH6" s="7">
        <v>255</v>
      </c>
      <c r="AI6" s="7">
        <v>215</v>
      </c>
      <c r="AJ6" s="7">
        <v>197</v>
      </c>
      <c r="AK6" s="7">
        <v>171</v>
      </c>
      <c r="AL6" s="7">
        <v>114</v>
      </c>
      <c r="AM6" s="7">
        <v>150</v>
      </c>
      <c r="AN6" s="7">
        <v>131</v>
      </c>
      <c r="AO6" s="7">
        <v>142</v>
      </c>
      <c r="AP6" s="7">
        <v>136</v>
      </c>
      <c r="AQ6" s="7">
        <v>162</v>
      </c>
      <c r="AR6" s="7">
        <v>161</v>
      </c>
      <c r="AS6" s="7">
        <v>159</v>
      </c>
      <c r="AT6" s="7">
        <v>138</v>
      </c>
      <c r="AU6" s="7">
        <v>152</v>
      </c>
      <c r="AV6" s="7">
        <v>154</v>
      </c>
      <c r="AW6" s="7">
        <v>174</v>
      </c>
      <c r="AX6" s="7">
        <v>162</v>
      </c>
      <c r="AY6" s="7">
        <v>153</v>
      </c>
      <c r="AZ6" s="7"/>
    </row>
    <row r="7" spans="1:52">
      <c r="A7" s="11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</row>
    <row r="9" spans="1:52">
      <c r="A9" s="10" t="s">
        <v>48</v>
      </c>
    </row>
    <row r="10" spans="1:52">
      <c r="A10" s="10" t="s">
        <v>41</v>
      </c>
    </row>
    <row r="11" spans="1:52">
      <c r="A11" s="10" t="s">
        <v>46</v>
      </c>
    </row>
    <row r="12" spans="1:52">
      <c r="A12" s="10" t="s">
        <v>47</v>
      </c>
    </row>
    <row r="13" spans="1:52">
      <c r="A13" s="10" t="s">
        <v>42</v>
      </c>
    </row>
    <row r="14" spans="1:52">
      <c r="A14" s="10" t="s">
        <v>43</v>
      </c>
    </row>
    <row r="15" spans="1:52">
      <c r="A15" s="10" t="s">
        <v>44</v>
      </c>
    </row>
    <row r="16" spans="1:52">
      <c r="A16" s="10" t="s">
        <v>45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C6" sqref="C6"/>
    </sheetView>
  </sheetViews>
  <sheetFormatPr baseColWidth="10" defaultRowHeight="15" x14ac:dyDescent="0"/>
  <cols>
    <col min="3" max="3" width="12" customWidth="1"/>
    <col min="7" max="7" width="16.1640625" customWidth="1"/>
  </cols>
  <sheetData>
    <row r="1" spans="1:9">
      <c r="A1" s="6" t="s">
        <v>14</v>
      </c>
      <c r="B1" s="6"/>
      <c r="C1" s="6"/>
      <c r="D1" s="6"/>
      <c r="E1" s="6" t="s">
        <v>15</v>
      </c>
      <c r="F1" s="6"/>
      <c r="G1" s="6"/>
      <c r="H1" s="6" t="s">
        <v>16</v>
      </c>
      <c r="I1" s="6"/>
    </row>
    <row r="2" spans="1:9">
      <c r="A2" s="6"/>
      <c r="B2" s="6"/>
      <c r="C2" s="6"/>
      <c r="D2" s="6"/>
      <c r="E2" s="6"/>
      <c r="F2" s="6"/>
      <c r="G2" s="6"/>
      <c r="H2" s="6"/>
      <c r="I2" s="6"/>
    </row>
    <row r="3" spans="1:9">
      <c r="A3" s="6" t="s">
        <v>17</v>
      </c>
      <c r="B3" s="6"/>
      <c r="C3" s="6"/>
      <c r="D3" s="6"/>
      <c r="E3" s="6"/>
      <c r="F3" s="6"/>
      <c r="G3" s="6"/>
      <c r="H3" s="6"/>
      <c r="I3" s="6"/>
    </row>
    <row r="4" spans="1:9" ht="60">
      <c r="A4" s="13"/>
      <c r="B4" s="13" t="s">
        <v>18</v>
      </c>
      <c r="C4" s="13" t="s">
        <v>19</v>
      </c>
      <c r="D4" s="13" t="s">
        <v>20</v>
      </c>
      <c r="E4" s="13" t="s">
        <v>21</v>
      </c>
      <c r="F4" s="13"/>
      <c r="G4" s="13" t="s">
        <v>22</v>
      </c>
      <c r="H4" s="13"/>
    </row>
    <row r="5" spans="1:9">
      <c r="A5" s="2">
        <v>1982</v>
      </c>
      <c r="B5" s="2"/>
      <c r="C5" s="12"/>
      <c r="D5" s="12"/>
      <c r="E5" s="12"/>
      <c r="F5" s="12"/>
      <c r="G5" s="12">
        <v>86.7</v>
      </c>
      <c r="H5" s="2"/>
    </row>
    <row r="6" spans="1:9">
      <c r="A6" s="2">
        <v>1983</v>
      </c>
      <c r="B6" s="2"/>
      <c r="C6" s="12"/>
      <c r="D6" s="12"/>
      <c r="E6" s="12"/>
      <c r="F6" s="12"/>
      <c r="G6" s="12">
        <v>80.400000000000006</v>
      </c>
      <c r="H6" s="2"/>
    </row>
    <row r="7" spans="1:9">
      <c r="A7" s="2">
        <v>1984</v>
      </c>
      <c r="B7" s="2"/>
      <c r="C7" s="12"/>
      <c r="D7" s="12"/>
      <c r="E7" s="12"/>
      <c r="F7" s="12"/>
      <c r="G7" s="12">
        <v>82.3</v>
      </c>
      <c r="H7" s="2"/>
    </row>
    <row r="8" spans="1:9">
      <c r="A8" s="2">
        <v>1985</v>
      </c>
      <c r="B8" s="2"/>
      <c r="C8" s="12"/>
      <c r="D8" s="12"/>
      <c r="E8" s="12"/>
      <c r="F8" s="12"/>
      <c r="G8" s="12">
        <v>88.1</v>
      </c>
      <c r="H8" s="2"/>
    </row>
    <row r="9" spans="1:9">
      <c r="A9" s="2">
        <v>1986</v>
      </c>
      <c r="B9" s="2"/>
      <c r="C9" s="12"/>
      <c r="D9" s="12"/>
      <c r="E9" s="12"/>
      <c r="F9" s="12"/>
      <c r="G9" s="12">
        <v>89.6</v>
      </c>
      <c r="H9" s="2"/>
    </row>
    <row r="10" spans="1:9">
      <c r="A10" s="2">
        <v>1987</v>
      </c>
      <c r="B10" s="2"/>
      <c r="C10" s="12"/>
      <c r="D10" s="12"/>
      <c r="E10" s="12"/>
      <c r="F10" s="12"/>
      <c r="G10" s="12">
        <v>90.7</v>
      </c>
      <c r="H10" s="2"/>
    </row>
    <row r="11" spans="1:9">
      <c r="A11" s="2">
        <v>1988</v>
      </c>
      <c r="B11" s="2"/>
      <c r="C11" s="12"/>
      <c r="D11" s="12"/>
      <c r="E11" s="12"/>
      <c r="F11" s="12"/>
      <c r="G11" s="12">
        <v>88</v>
      </c>
      <c r="H11" s="2"/>
    </row>
    <row r="12" spans="1:9">
      <c r="A12" s="2">
        <v>1989</v>
      </c>
      <c r="B12" s="2">
        <f>263+186+181+180+26</f>
        <v>836</v>
      </c>
      <c r="C12" s="12">
        <f>((45.2/100*263)+(36.6/100*186)+(35.9/100*181)+(53.9/100*180)+(50/100*26))/B12*100</f>
        <v>43.295574162679429</v>
      </c>
      <c r="D12" s="12">
        <f t="shared" ref="D12:D31" si="0">100-(C12+E12)</f>
        <v>22.949282296650722</v>
      </c>
      <c r="E12" s="12">
        <f>((32.7/100*263)+(38.2/100*186)+(47/100*181)+(16.7/100*180)+(38.5/100*26))/B12*100</f>
        <v>33.755143540669849</v>
      </c>
      <c r="F12" s="12"/>
      <c r="G12" s="12">
        <v>87.2</v>
      </c>
      <c r="H12" s="2"/>
    </row>
    <row r="13" spans="1:9">
      <c r="A13" s="2">
        <v>1990</v>
      </c>
      <c r="B13" s="2">
        <f>258+191+185+190+8</f>
        <v>832</v>
      </c>
      <c r="C13" s="12">
        <f>((46.1/100*258)+(38.2/100*191)+(36.8/100*185)+(55.8/100*190)+(62.5/100*8))/B13*100</f>
        <v>44.591346153846153</v>
      </c>
      <c r="D13" s="12">
        <f t="shared" si="0"/>
        <v>17.670192307692304</v>
      </c>
      <c r="E13" s="12">
        <f>((27.9/100*258)+(48.7/100*191)+(51.9/100*185)+(26.3/100*190)+(37.5/100*8))/B13*100</f>
        <v>37.738461538461543</v>
      </c>
      <c r="F13" s="12"/>
      <c r="G13" s="12">
        <v>85.7</v>
      </c>
      <c r="H13" s="2"/>
    </row>
    <row r="14" spans="1:9">
      <c r="A14" s="2">
        <v>1991</v>
      </c>
      <c r="B14" s="2">
        <f>308+139+218+223+8</f>
        <v>896</v>
      </c>
      <c r="C14" s="12">
        <f>((35.1/100*308)+(23/100*139)+(27.5/100*218)+(55.6/100*223)+(12.5/100*8))/B14*100</f>
        <v>36.27410714285714</v>
      </c>
      <c r="D14" s="12">
        <f t="shared" si="0"/>
        <v>21.962500000000006</v>
      </c>
      <c r="E14" s="12">
        <f>((38/100*308)+(55.4/100*139)+(56/100*218)+(23.8/100*223)+(62.5/100*8))/B14*100</f>
        <v>41.763392857142854</v>
      </c>
      <c r="F14" s="12"/>
      <c r="G14" s="12">
        <v>72.5</v>
      </c>
      <c r="H14" s="2"/>
    </row>
    <row r="15" spans="1:9">
      <c r="A15" s="2">
        <v>1992</v>
      </c>
      <c r="B15" s="2">
        <f>311+171+181+236</f>
        <v>899</v>
      </c>
      <c r="C15" s="12">
        <f>((28.4/100*311)+(29.8/100*171)+(14.4/100*181)+(31.8/100*236))/B15*100</f>
        <v>26.740155728587318</v>
      </c>
      <c r="D15" s="12">
        <f t="shared" si="0"/>
        <v>25.690989988876538</v>
      </c>
      <c r="E15" s="12">
        <f>((39.7/100*311)+(48/100*171)+(66.9/100*181)+(42.8/100*236))/B15*100</f>
        <v>47.568854282536151</v>
      </c>
      <c r="F15" s="12"/>
      <c r="G15" s="12">
        <v>60.3</v>
      </c>
      <c r="H15" s="2"/>
    </row>
    <row r="16" spans="1:9">
      <c r="A16" s="2">
        <v>1993</v>
      </c>
      <c r="B16" s="2">
        <f>331+151+187+248</f>
        <v>917</v>
      </c>
      <c r="C16" s="12">
        <f>((22.4/100*331)+(23.2/100*151)+(18.7/100*187)+(37.9/100*248))/B16*100</f>
        <v>25.969138495092693</v>
      </c>
      <c r="D16" s="12">
        <f t="shared" si="0"/>
        <v>26.938604143947657</v>
      </c>
      <c r="E16" s="12">
        <f>((49.8/100*331)+(46.4/100*151)+(64.2/100*187)+(31/100*248))/B16*100</f>
        <v>47.092257360959657</v>
      </c>
      <c r="F16" s="12"/>
      <c r="G16" s="12">
        <v>59.7</v>
      </c>
      <c r="H16" s="2"/>
    </row>
    <row r="17" spans="1:8">
      <c r="A17" s="2">
        <v>1994</v>
      </c>
      <c r="B17" s="2">
        <f>290+194+201+245</f>
        <v>930</v>
      </c>
      <c r="C17" s="12">
        <f>((21.7/100*290)+(25.3/100*194)+(18.9/100*201)+(36.3/100*245))/B17*100</f>
        <v>25.692043010752691</v>
      </c>
      <c r="D17" s="12">
        <f t="shared" si="0"/>
        <v>30.641397849462351</v>
      </c>
      <c r="E17" s="12">
        <f>((45.9*290/100)+(43.3*194/100)+(57.7*201/100)+(29.8*245/100))/B17*100</f>
        <v>43.666559139784951</v>
      </c>
      <c r="F17" s="12"/>
      <c r="G17" s="12">
        <v>59.3</v>
      </c>
      <c r="H17" s="2"/>
    </row>
    <row r="18" spans="1:8">
      <c r="A18" s="2">
        <v>1995</v>
      </c>
      <c r="B18" s="2"/>
      <c r="C18" s="12">
        <f>(64.7/100*417)/913*100</f>
        <v>29.550821467688941</v>
      </c>
      <c r="D18" s="12">
        <f t="shared" si="0"/>
        <v>27.249178532311049</v>
      </c>
      <c r="E18" s="12">
        <v>43.2</v>
      </c>
      <c r="F18" s="12"/>
      <c r="G18" s="12">
        <v>64.7</v>
      </c>
      <c r="H18" s="2"/>
    </row>
    <row r="19" spans="1:8">
      <c r="A19" s="2">
        <v>1996</v>
      </c>
      <c r="B19" s="2"/>
      <c r="C19" s="12">
        <f>(67/100*421)/781*100</f>
        <v>36.116517285531366</v>
      </c>
      <c r="D19" s="12">
        <f t="shared" si="0"/>
        <v>27.483482714468636</v>
      </c>
      <c r="E19" s="12">
        <v>36.4</v>
      </c>
      <c r="F19" s="12"/>
      <c r="G19" s="12">
        <v>67</v>
      </c>
      <c r="H19" s="2"/>
    </row>
    <row r="20" spans="1:8">
      <c r="A20" s="2">
        <v>1997</v>
      </c>
      <c r="B20" s="2"/>
      <c r="C20" s="12">
        <f>(67.5/100*372)/759*100</f>
        <v>33.083003952569172</v>
      </c>
      <c r="D20" s="12">
        <f t="shared" si="0"/>
        <v>24.616996047430831</v>
      </c>
      <c r="E20" s="12">
        <v>42.3</v>
      </c>
      <c r="F20" s="12"/>
      <c r="G20" s="12">
        <v>49</v>
      </c>
      <c r="H20" s="2"/>
    </row>
    <row r="21" spans="1:8">
      <c r="A21" s="2">
        <v>1998</v>
      </c>
      <c r="B21" s="2">
        <v>657</v>
      </c>
      <c r="C21" s="12">
        <f>((55.4/100*B21)*73.9/100)/B21*100</f>
        <v>40.940599999999996</v>
      </c>
      <c r="D21" s="12">
        <f t="shared" si="0"/>
        <v>20.959400000000002</v>
      </c>
      <c r="E21" s="12">
        <v>38.1</v>
      </c>
      <c r="F21" s="12"/>
      <c r="G21" s="12"/>
      <c r="H21" s="2"/>
    </row>
    <row r="22" spans="1:8">
      <c r="A22" s="2">
        <v>1999</v>
      </c>
      <c r="B22" s="2">
        <v>587</v>
      </c>
      <c r="C22" s="12">
        <f>((51.7/100*B22)*76.2/100)/B22*100</f>
        <v>39.395400000000002</v>
      </c>
      <c r="D22" s="12">
        <f t="shared" si="0"/>
        <v>18.904599999999988</v>
      </c>
      <c r="E22" s="12">
        <v>41.7</v>
      </c>
      <c r="F22" s="12"/>
      <c r="G22" s="12">
        <v>76.2</v>
      </c>
      <c r="H22" s="2"/>
    </row>
    <row r="23" spans="1:8">
      <c r="A23" s="2">
        <v>2000</v>
      </c>
      <c r="B23" s="2">
        <v>474</v>
      </c>
      <c r="C23" s="12">
        <f>((49.8/100*B23)*G23/100)/B23*100</f>
        <v>41.582999999999998</v>
      </c>
      <c r="D23" s="12">
        <f t="shared" si="0"/>
        <v>16.417000000000002</v>
      </c>
      <c r="E23" s="12">
        <v>42</v>
      </c>
      <c r="F23" s="12"/>
      <c r="G23" s="12">
        <v>83.5</v>
      </c>
      <c r="H23" s="2"/>
    </row>
    <row r="24" spans="1:8">
      <c r="A24" s="2">
        <v>2001</v>
      </c>
      <c r="B24" s="2">
        <v>431</v>
      </c>
      <c r="C24" s="12">
        <f>((50.3/100*B24)*G24/100)/B24*100</f>
        <v>40.541800000000009</v>
      </c>
      <c r="D24" s="12">
        <f t="shared" si="0"/>
        <v>17.458199999999991</v>
      </c>
      <c r="E24" s="12">
        <v>42</v>
      </c>
      <c r="F24" s="12"/>
      <c r="G24" s="12">
        <v>80.599999999999994</v>
      </c>
      <c r="H24" s="2"/>
    </row>
    <row r="25" spans="1:8">
      <c r="A25" s="2">
        <v>2002</v>
      </c>
      <c r="B25" s="2">
        <v>391</v>
      </c>
      <c r="C25" s="12">
        <f>((44.8/100*B25)*G25/100)/B25*100</f>
        <v>32.524799999999992</v>
      </c>
      <c r="D25" s="12">
        <f t="shared" si="0"/>
        <v>22.675200000000018</v>
      </c>
      <c r="E25" s="12">
        <v>44.8</v>
      </c>
      <c r="F25" s="12"/>
      <c r="G25" s="12">
        <v>72.599999999999994</v>
      </c>
      <c r="H25" s="2"/>
    </row>
    <row r="26" spans="1:8">
      <c r="A26" s="2">
        <v>2003</v>
      </c>
      <c r="B26" s="2">
        <v>508</v>
      </c>
      <c r="C26" s="12">
        <f>((47.2/100*B26)*G26/100)/B26*100</f>
        <v>31.954400000000007</v>
      </c>
      <c r="D26" s="12">
        <f t="shared" si="0"/>
        <v>22.745599999999996</v>
      </c>
      <c r="E26" s="12">
        <v>45.3</v>
      </c>
      <c r="F26" s="12"/>
      <c r="G26" s="12">
        <v>67.7</v>
      </c>
      <c r="H26" s="2"/>
    </row>
    <row r="27" spans="1:8">
      <c r="A27" s="2">
        <v>2004</v>
      </c>
      <c r="B27" s="2">
        <v>477</v>
      </c>
      <c r="C27" s="12">
        <f>((48.8/100*B27)*G27/100)/B27*100</f>
        <v>31.427199999999999</v>
      </c>
      <c r="D27" s="12">
        <f t="shared" si="0"/>
        <v>23.272800000000004</v>
      </c>
      <c r="E27" s="12">
        <v>45.3</v>
      </c>
      <c r="F27" s="12"/>
      <c r="G27" s="12">
        <v>64.400000000000006</v>
      </c>
      <c r="H27" s="2"/>
    </row>
    <row r="28" spans="1:8">
      <c r="A28" s="2">
        <v>2005</v>
      </c>
      <c r="B28" s="2">
        <v>432</v>
      </c>
      <c r="C28" s="12">
        <f>((43.1/100*B28)*G28/100)/B28*100</f>
        <v>31.290599999999998</v>
      </c>
      <c r="D28" s="12">
        <f t="shared" si="0"/>
        <v>18.009399999999999</v>
      </c>
      <c r="E28" s="12">
        <v>50.7</v>
      </c>
      <c r="F28" s="12"/>
      <c r="G28" s="12">
        <v>72.599999999999994</v>
      </c>
      <c r="H28" s="2"/>
    </row>
    <row r="29" spans="1:8">
      <c r="A29" s="2">
        <v>2006</v>
      </c>
      <c r="B29" s="2">
        <v>259</v>
      </c>
      <c r="C29" s="12">
        <f>((52.7/100*B29)*G29/100)/B29*100</f>
        <v>45.163899999999998</v>
      </c>
      <c r="D29" s="12">
        <f t="shared" si="0"/>
        <v>17.93610000000001</v>
      </c>
      <c r="E29" s="12">
        <v>36.9</v>
      </c>
      <c r="F29" s="12"/>
      <c r="G29" s="12">
        <v>85.7</v>
      </c>
      <c r="H29" s="2"/>
    </row>
    <row r="30" spans="1:8">
      <c r="A30" s="2">
        <v>2007</v>
      </c>
      <c r="B30" s="2">
        <v>483</v>
      </c>
      <c r="C30" s="12">
        <f>((49.7/100*B30)*G30/100)/B30*100</f>
        <v>40.157600000000002</v>
      </c>
      <c r="D30" s="12">
        <f t="shared" si="0"/>
        <v>21.742400000000004</v>
      </c>
      <c r="E30" s="12">
        <v>38.1</v>
      </c>
      <c r="F30" s="12"/>
      <c r="G30" s="12">
        <v>80.8</v>
      </c>
      <c r="H30" s="2"/>
    </row>
    <row r="31" spans="1:8">
      <c r="A31" s="2">
        <v>2008</v>
      </c>
      <c r="B31" s="2">
        <v>494</v>
      </c>
      <c r="C31" s="12">
        <f>((53/100*B31)*G31/100)/B31*100</f>
        <v>45.314999999999998</v>
      </c>
      <c r="D31" s="12">
        <f t="shared" si="0"/>
        <v>16.185000000000002</v>
      </c>
      <c r="E31" s="12">
        <v>38.5</v>
      </c>
      <c r="F31" s="12"/>
      <c r="G31" s="12">
        <v>85.5</v>
      </c>
      <c r="H31" s="2"/>
    </row>
    <row r="32" spans="1:8">
      <c r="A32" s="2">
        <v>2009</v>
      </c>
      <c r="B32" s="2">
        <v>251</v>
      </c>
      <c r="C32" s="2">
        <v>73.3</v>
      </c>
      <c r="D32" s="12"/>
      <c r="E32" s="12">
        <v>37.4</v>
      </c>
      <c r="F32" s="2"/>
      <c r="G32" s="2"/>
      <c r="H32" s="2"/>
    </row>
    <row r="33" spans="1:8">
      <c r="A33" s="2">
        <v>2010</v>
      </c>
      <c r="B33" s="2"/>
      <c r="C33" s="2"/>
      <c r="D33" s="2"/>
      <c r="E33" s="2"/>
      <c r="F33" s="2"/>
      <c r="G33" s="2"/>
      <c r="H33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E40" sqref="E40"/>
    </sheetView>
  </sheetViews>
  <sheetFormatPr baseColWidth="10" defaultRowHeight="15" x14ac:dyDescent="0"/>
  <cols>
    <col min="1" max="1" width="26.1640625" style="17" customWidth="1"/>
  </cols>
  <sheetData>
    <row r="1" spans="1:6">
      <c r="A1" s="15"/>
      <c r="B1" s="14"/>
      <c r="C1" s="14"/>
      <c r="D1" s="14"/>
      <c r="E1" s="14"/>
      <c r="F1" s="14"/>
    </row>
    <row r="2" spans="1:6" s="1" customFormat="1">
      <c r="A2" s="15"/>
      <c r="B2" s="16">
        <v>1990</v>
      </c>
      <c r="C2" s="16">
        <v>1991</v>
      </c>
      <c r="D2" s="16">
        <v>1992</v>
      </c>
      <c r="E2" s="16">
        <v>1993</v>
      </c>
      <c r="F2" s="16">
        <v>1994</v>
      </c>
    </row>
    <row r="3" spans="1:6">
      <c r="A3" s="15" t="s">
        <v>23</v>
      </c>
      <c r="B3" s="14">
        <v>12.625120192307692</v>
      </c>
      <c r="C3" s="14">
        <v>9.9608258928571427</v>
      </c>
      <c r="D3" s="14">
        <v>6.9002224694104566</v>
      </c>
      <c r="E3" s="14">
        <v>6.1474372955288983</v>
      </c>
      <c r="F3" s="14">
        <v>6.2677419354838699</v>
      </c>
    </row>
    <row r="4" spans="1:6">
      <c r="A4" s="15" t="s">
        <v>24</v>
      </c>
      <c r="B4" s="14">
        <v>1.9137019230769232</v>
      </c>
      <c r="C4" s="14">
        <v>4.0243303571428575</v>
      </c>
      <c r="D4" s="14">
        <v>2.8908787541713012</v>
      </c>
      <c r="E4" s="14">
        <v>3.0468920392584518</v>
      </c>
      <c r="F4" s="14">
        <v>2.1430107526881721</v>
      </c>
    </row>
    <row r="5" spans="1:6">
      <c r="A5" s="15" t="s">
        <v>25</v>
      </c>
      <c r="B5" s="14">
        <v>0.11117788461538461</v>
      </c>
      <c r="C5" s="14">
        <v>0.10859374999999999</v>
      </c>
      <c r="D5" s="14">
        <v>0</v>
      </c>
      <c r="E5" s="14">
        <v>0.19803707742639043</v>
      </c>
      <c r="F5" s="14">
        <v>0</v>
      </c>
    </row>
    <row r="6" spans="1:6">
      <c r="A6" s="15" t="s">
        <v>26</v>
      </c>
      <c r="B6" s="14">
        <v>0.48942307692307696</v>
      </c>
      <c r="C6" s="14">
        <v>0.34062499999999996</v>
      </c>
      <c r="D6" s="14">
        <v>0.29466073414905453</v>
      </c>
      <c r="E6" s="14">
        <v>0.10076335877862595</v>
      </c>
      <c r="F6" s="14">
        <v>0.21655913978494626</v>
      </c>
    </row>
    <row r="7" spans="1:6">
      <c r="A7" s="15" t="s">
        <v>27</v>
      </c>
      <c r="B7" s="14">
        <v>4.3168269230769223</v>
      </c>
      <c r="C7" s="14">
        <v>3.5782366071428573</v>
      </c>
      <c r="D7" s="14">
        <v>3.1106785317018906</v>
      </c>
      <c r="E7" s="14">
        <v>1.8291166848418761</v>
      </c>
      <c r="F7" s="14">
        <v>2.4859139784946236</v>
      </c>
    </row>
    <row r="8" spans="1:6">
      <c r="A8" s="15" t="s">
        <v>28</v>
      </c>
      <c r="B8" s="14">
        <v>0</v>
      </c>
      <c r="C8" s="14">
        <v>0.21171874999999998</v>
      </c>
      <c r="D8" s="14">
        <v>0.73815350389321477</v>
      </c>
      <c r="E8" s="14">
        <v>0.26150490730643405</v>
      </c>
      <c r="F8" s="14">
        <v>9.9354838709677429E-2</v>
      </c>
    </row>
    <row r="9" spans="1:6">
      <c r="A9" s="15" t="s">
        <v>29</v>
      </c>
      <c r="B9" s="14">
        <v>0.34074519230769235</v>
      </c>
      <c r="C9" s="14">
        <v>0.21171874999999998</v>
      </c>
      <c r="D9" s="14">
        <v>0.14549499443826475</v>
      </c>
      <c r="E9" s="14">
        <v>0.52377317339149398</v>
      </c>
      <c r="F9" s="14">
        <v>7.4731182795698931E-2</v>
      </c>
    </row>
    <row r="10" spans="1:6">
      <c r="A10" s="15" t="s">
        <v>30</v>
      </c>
      <c r="B10" s="14">
        <v>1.4522836538461539</v>
      </c>
      <c r="C10" s="14">
        <v>0.7650669642857143</v>
      </c>
      <c r="D10" s="14">
        <v>0.53948832035595096</v>
      </c>
      <c r="E10" s="14">
        <v>0.87622682660850604</v>
      </c>
      <c r="F10" s="14">
        <v>1.6149462365591398</v>
      </c>
    </row>
    <row r="11" spans="1:6">
      <c r="A11" s="15" t="s">
        <v>31</v>
      </c>
      <c r="B11" s="14">
        <v>0.59807692307692306</v>
      </c>
      <c r="C11" s="14">
        <v>9.9553571428571422E-2</v>
      </c>
      <c r="D11" s="14">
        <v>0.20556173526140156</v>
      </c>
      <c r="E11" s="14">
        <v>0.39858233369683754</v>
      </c>
      <c r="F11" s="14">
        <v>0</v>
      </c>
    </row>
    <row r="12" spans="1:6">
      <c r="A12" s="15" t="s">
        <v>32</v>
      </c>
      <c r="B12" s="14">
        <v>0</v>
      </c>
      <c r="C12" s="14">
        <v>0.10312500000000001</v>
      </c>
      <c r="D12" s="14">
        <v>0</v>
      </c>
      <c r="E12" s="14">
        <v>0.72529989094874603</v>
      </c>
      <c r="F12" s="14">
        <v>0</v>
      </c>
    </row>
    <row r="13" spans="1:6">
      <c r="A13" s="15" t="s">
        <v>33</v>
      </c>
      <c r="B13" s="14">
        <v>15.985216346153845</v>
      </c>
      <c r="C13" s="14">
        <v>11.273883928571429</v>
      </c>
      <c r="D13" s="14">
        <v>5.303893214682982</v>
      </c>
      <c r="E13" s="14">
        <v>5.5300981461286804</v>
      </c>
      <c r="F13" s="14">
        <v>6.7446236559139781</v>
      </c>
    </row>
    <row r="14" spans="1:6">
      <c r="A14" s="15" t="s">
        <v>34</v>
      </c>
      <c r="B14" s="14">
        <v>0.11478365384615385</v>
      </c>
      <c r="C14" s="14">
        <v>0</v>
      </c>
      <c r="D14" s="14">
        <v>0.19199110122358173</v>
      </c>
      <c r="E14" s="14">
        <v>0</v>
      </c>
      <c r="F14" s="14">
        <v>0</v>
      </c>
    </row>
    <row r="15" spans="1:6">
      <c r="A15" s="15" t="s">
        <v>35</v>
      </c>
      <c r="B15" s="14">
        <v>0.23822115384615389</v>
      </c>
      <c r="C15" s="14">
        <v>0.67656249999999996</v>
      </c>
      <c r="D15" s="14">
        <v>0.56151279199110127</v>
      </c>
      <c r="E15" s="14">
        <v>0.818102508178844</v>
      </c>
      <c r="F15" s="14">
        <v>1.0096774193548388</v>
      </c>
    </row>
    <row r="16" spans="1:6">
      <c r="A16" s="15" t="s">
        <v>36</v>
      </c>
      <c r="B16" s="14">
        <v>5.7586538461538455</v>
      </c>
      <c r="C16" s="14">
        <v>4.4888392857142865</v>
      </c>
      <c r="D16" s="14">
        <v>4.4681868743047835</v>
      </c>
      <c r="E16" s="14">
        <v>3.7544165757906214</v>
      </c>
      <c r="F16" s="14">
        <v>2.886774193548387</v>
      </c>
    </row>
    <row r="17" spans="1:6">
      <c r="A17" s="15" t="s">
        <v>37</v>
      </c>
      <c r="B17" s="14">
        <v>0.57896634615384612</v>
      </c>
      <c r="C17" s="14">
        <v>0.46082589285714276</v>
      </c>
      <c r="D17" s="14">
        <v>0.65350389321468305</v>
      </c>
      <c r="E17" s="14">
        <v>0.4014176663031625</v>
      </c>
      <c r="F17" s="14">
        <v>0.51967741935483869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Pop 20-24</vt:lpstr>
      <vt:lpstr>Scl Lvrs</vt:lpstr>
      <vt:lpstr>Graduates</vt:lpstr>
      <vt:lpstr>Grad Dest</vt:lpstr>
      <vt:lpstr>Grad Employment</vt:lpstr>
    </vt:vector>
  </TitlesOfParts>
  <Company>University of Auckland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Louise Sheryn</dc:creator>
  <cp:lastModifiedBy>Louise Sheryn</cp:lastModifiedBy>
  <dcterms:created xsi:type="dcterms:W3CDTF">2011-12-18T21:52:04Z</dcterms:created>
  <dcterms:modified xsi:type="dcterms:W3CDTF">2011-12-18T22:58:47Z</dcterms:modified>
</cp:coreProperties>
</file>