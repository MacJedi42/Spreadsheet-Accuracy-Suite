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17100" windowHeight="8385"/>
  </bookViews>
  <sheets>
    <sheet name="UTA" sheetId="1" r:id="rId1"/>
  </sheets>
  <externalReferences>
    <externalReference r:id="rId2"/>
    <externalReference r:id="rId3"/>
  </externalReferences>
  <definedNames>
    <definedName name="Academic">UTA!$B$193:$G$213</definedName>
    <definedName name="Annual_Difference">'[1]Revenue Neutral'!$Y$667,'[1]Revenue Neutral'!$Y$647,'[1]Revenue Neutral'!$Y$627,'[1]Revenue Neutral'!$Y$607,'[1]Revenue Neutral'!$Y$587,'[1]Revenue Neutral'!$Y$567,'[1]Revenue Neutral'!$Y$547,'[1]Revenue Neutral'!$Y$527,'[1]Revenue Neutral'!$Y$507,'[1]Revenue Neutral'!$Y$487,'[1]Revenue Neutral'!$Y$467,'[1]Revenue Neutral'!$Y$447,'[1]Revenue Neutral'!$Y$427,'[1]Revenue Neutral'!$Y$407,'[1]Revenue Neutral'!$Y$387,'[1]Revenue Neutral'!$Y$367,'[1]Revenue Neutral'!$Y$347,'[1]Revenue Neutral'!$Y$327,'[1]Revenue Neutral'!$Y$307,'[1]Revenue Neutral'!$Y$287,'[1]Revenue Neutral'!$Y$267,'[1]Revenue Neutral'!$Y$247,'[1]Revenue Neutral'!$Y$227,'[1]Revenue Neutral'!$Y$207,'[1]Revenue Neutral'!$Y$187,'[1]Revenue Neutral'!$Y$167,'[1]Revenue Neutral'!$Y$147,'[1]Revenue Neutral'!$Y$127,'[1]Revenue Neutral'!$Y$107,'[1]Revenue Neutral'!$Y$87,'[1]Revenue Neutral'!$Y$67,'[1]Revenue Neutral'!$Y$47</definedName>
    <definedName name="DOE">UTA!$B$168:$G$188</definedName>
    <definedName name="Institute">UTA!$B$218:$G$238</definedName>
    <definedName name="Institution">UTA!$B$4:$H$4</definedName>
    <definedName name="Salary">UTA!$B$116:$G$136</definedName>
    <definedName name="Student">UTA!$B$243:$G$263</definedName>
    <definedName name="Z_1FFC368C_FAAC_4C27_917C_33EB7F20D079_.wvu.PrintTitles" hidden="1">[2]Midwestern!$A$1:$B$65536,[2]Midwestern!$A$1:$IV$7</definedName>
    <definedName name="Z_390E69FE_30BF_46A8_BB03_D0C9901EA0FB_.wvu.PrintTitles" hidden="1">[2]Midwestern!$A$1:$B$65536,[2]Midwestern!$A$1:$IV$7</definedName>
    <definedName name="Z_4AC09102_7151_4BC1_97EC_C57915589D6D_.wvu.PrintTitles" hidden="1">[2]Midwestern!$A$1:$B$65536,[2]Midwestern!$A$1:$IV$7</definedName>
    <definedName name="Z_59C042EE_7BE0_46D7_83D3_48C0860AA9B7_.wvu.PrintTitles" hidden="1">[2]Midwestern!$A$1:$B$65536,[2]Midwestern!$A$1:$IV$7</definedName>
    <definedName name="Z_5DB122DC_76B1_4E56_B2C5_DC5B34D3FE31_.wvu.PrintTitles" hidden="1">[2]Midwestern!$A$1:$B$65536,[2]Midwestern!$A$1:$IV$7</definedName>
    <definedName name="Z_7E968537_F35A_46C0_AAAE_B8F2523DE409_.wvu.PrintTitles" hidden="1">[2]Midwestern!$A$1:$B$65536,[2]Midwestern!$A$1:$IV$7</definedName>
    <definedName name="Z_999D944D_85B2_4CAE_97DA_DC2EB4BF0AB0_.wvu.PrintTitles" hidden="1">[2]Midwestern!$A$1:$B$65536,[2]Midwestern!$A$1:$IV$7</definedName>
    <definedName name="Z_9A9AF875_8B7A_4EA5_9837_BF2AFF98C487_.wvu.PrintTitles" hidden="1">[2]Midwestern!$A$1:$B$65536,[2]Midwestern!$A$1:$IV$7</definedName>
    <definedName name="Z_C63CB8F7_18C4_4A70_94EC_26C8D6B5C80F_.wvu.PrintTitles" hidden="1">[2]Midwestern!$A$1:$B$65536,[2]Midwestern!$A$1:$IV$7</definedName>
    <definedName name="Z_D8EE2E15_379C_4027_9083_08D90932B4E1_.wvu.PrintTitles" hidden="1">[2]Midwestern!$A$1:$B$65536,[2]Midwestern!$A$1:$IV$7</definedName>
  </definedNames>
  <calcPr calcId="125725"/>
</workbook>
</file>

<file path=xl/calcChain.xml><?xml version="1.0" encoding="utf-8"?>
<calcChain xmlns="http://schemas.openxmlformats.org/spreadsheetml/2006/main">
  <c r="H63" i="1"/>
  <c r="H64"/>
  <c r="H65"/>
  <c r="H66"/>
  <c r="H67"/>
  <c r="H68"/>
  <c r="H69"/>
  <c r="H70"/>
  <c r="H71"/>
  <c r="H72"/>
  <c r="H73"/>
  <c r="H74"/>
  <c r="H75"/>
  <c r="H76"/>
  <c r="H77"/>
  <c r="H78"/>
  <c r="H79"/>
  <c r="H80"/>
  <c r="H81"/>
  <c r="B363"/>
  <c r="B362"/>
  <c r="B361"/>
  <c r="B360"/>
  <c r="B359"/>
  <c r="B358"/>
  <c r="B357"/>
  <c r="B356"/>
  <c r="B355"/>
  <c r="B354"/>
  <c r="B353"/>
  <c r="B352"/>
  <c r="B351"/>
  <c r="B350"/>
  <c r="B349"/>
  <c r="B348"/>
  <c r="B347"/>
  <c r="B346"/>
  <c r="B345"/>
  <c r="B344"/>
  <c r="B343"/>
  <c r="B338"/>
  <c r="B337"/>
  <c r="B336"/>
  <c r="B335"/>
  <c r="B334"/>
  <c r="B333"/>
  <c r="B332"/>
  <c r="B331"/>
  <c r="B330"/>
  <c r="B329"/>
  <c r="B328"/>
  <c r="B327"/>
  <c r="B326"/>
  <c r="B325"/>
  <c r="B324"/>
  <c r="B323"/>
  <c r="B322"/>
  <c r="B321"/>
  <c r="B320"/>
  <c r="B319"/>
  <c r="B314"/>
  <c r="B313"/>
  <c r="B312"/>
  <c r="B311"/>
  <c r="B310"/>
  <c r="B309"/>
  <c r="B308"/>
  <c r="B307"/>
  <c r="B306"/>
  <c r="B305"/>
  <c r="B304"/>
  <c r="B303"/>
  <c r="B302"/>
  <c r="B301"/>
  <c r="B300"/>
  <c r="B299"/>
  <c r="B298"/>
  <c r="B297"/>
  <c r="B296"/>
  <c r="B295"/>
  <c r="B294"/>
  <c r="B289"/>
  <c r="B288"/>
  <c r="B287"/>
  <c r="B286"/>
  <c r="B285"/>
  <c r="B284"/>
  <c r="B283"/>
  <c r="B282"/>
  <c r="B281"/>
  <c r="B280"/>
  <c r="B279"/>
  <c r="B278"/>
  <c r="B277"/>
  <c r="B276"/>
  <c r="B275"/>
  <c r="B274"/>
  <c r="B273"/>
  <c r="B272"/>
  <c r="B271"/>
  <c r="B270"/>
  <c r="B269"/>
  <c r="B264"/>
  <c r="B263"/>
  <c r="B262"/>
  <c r="B261"/>
  <c r="B260"/>
  <c r="B259"/>
  <c r="B258"/>
  <c r="B257"/>
  <c r="B256"/>
  <c r="B255"/>
  <c r="B254"/>
  <c r="B253"/>
  <c r="B252"/>
  <c r="B251"/>
  <c r="B250"/>
  <c r="B249"/>
  <c r="B248"/>
  <c r="B247"/>
  <c r="B246"/>
  <c r="B245"/>
  <c r="B244"/>
  <c r="B239"/>
  <c r="B238"/>
  <c r="B237"/>
  <c r="B236"/>
  <c r="B235"/>
  <c r="B234"/>
  <c r="B233"/>
  <c r="B232"/>
  <c r="B231"/>
  <c r="B230"/>
  <c r="B229"/>
  <c r="B228"/>
  <c r="B227"/>
  <c r="B226"/>
  <c r="B225"/>
  <c r="B224"/>
  <c r="B223"/>
  <c r="B222"/>
  <c r="B221"/>
  <c r="B220"/>
  <c r="B219"/>
  <c r="B214"/>
  <c r="B213"/>
  <c r="B212"/>
  <c r="B211"/>
  <c r="B210"/>
  <c r="B209"/>
  <c r="B208"/>
  <c r="B207"/>
  <c r="B206"/>
  <c r="B205"/>
  <c r="B204"/>
  <c r="B203"/>
  <c r="B202"/>
  <c r="B201"/>
  <c r="B200"/>
  <c r="B199"/>
  <c r="B198"/>
  <c r="B197"/>
  <c r="B196"/>
  <c r="B195"/>
  <c r="B194"/>
  <c r="B189"/>
  <c r="B188"/>
  <c r="B187"/>
  <c r="B186"/>
  <c r="B185"/>
  <c r="B184"/>
  <c r="B183"/>
  <c r="B182"/>
  <c r="B181"/>
  <c r="B180"/>
  <c r="B179"/>
  <c r="B178"/>
  <c r="B177"/>
  <c r="B176"/>
  <c r="B175"/>
  <c r="B174"/>
  <c r="B173"/>
  <c r="B172"/>
  <c r="B171"/>
  <c r="B170"/>
  <c r="B169"/>
  <c r="H164"/>
  <c r="G164"/>
  <c r="F164"/>
  <c r="E164"/>
  <c r="D164"/>
  <c r="C164"/>
  <c r="B164"/>
  <c r="B163"/>
  <c r="B162"/>
  <c r="B161"/>
  <c r="B160"/>
  <c r="B159"/>
  <c r="B158"/>
  <c r="B157"/>
  <c r="B156"/>
  <c r="B155"/>
  <c r="B154"/>
  <c r="B153"/>
  <c r="B152"/>
  <c r="B151"/>
  <c r="B150"/>
  <c r="B149"/>
  <c r="I148"/>
  <c r="B148"/>
  <c r="I147"/>
  <c r="B147"/>
  <c r="I146"/>
  <c r="B146"/>
  <c r="I145"/>
  <c r="B145"/>
  <c r="I144"/>
  <c r="B144"/>
  <c r="H142"/>
  <c r="I141" s="1"/>
  <c r="B137"/>
  <c r="B136"/>
  <c r="B135"/>
  <c r="B134"/>
  <c r="B133"/>
  <c r="B132"/>
  <c r="B131"/>
  <c r="B130"/>
  <c r="B129"/>
  <c r="B128"/>
  <c r="B127"/>
  <c r="B126"/>
  <c r="B125"/>
  <c r="B124"/>
  <c r="B123"/>
  <c r="B122"/>
  <c r="B121"/>
  <c r="B120"/>
  <c r="B119"/>
  <c r="B118"/>
  <c r="B117"/>
  <c r="G112"/>
  <c r="F112"/>
  <c r="E112"/>
  <c r="D112"/>
  <c r="C112"/>
  <c r="B112"/>
  <c r="H111"/>
  <c r="B111"/>
  <c r="H110"/>
  <c r="B110"/>
  <c r="H109"/>
  <c r="B109"/>
  <c r="H108"/>
  <c r="B108"/>
  <c r="H107"/>
  <c r="B107"/>
  <c r="H106"/>
  <c r="B106"/>
  <c r="H105"/>
  <c r="B105"/>
  <c r="H104"/>
  <c r="B104"/>
  <c r="H103"/>
  <c r="B103"/>
  <c r="H102"/>
  <c r="B102"/>
  <c r="H101"/>
  <c r="B101"/>
  <c r="H100"/>
  <c r="B100"/>
  <c r="H99"/>
  <c r="B99"/>
  <c r="H98"/>
  <c r="B98"/>
  <c r="H97"/>
  <c r="B97"/>
  <c r="H96"/>
  <c r="B96"/>
  <c r="H95"/>
  <c r="B95"/>
  <c r="H94"/>
  <c r="B94"/>
  <c r="H93"/>
  <c r="B93"/>
  <c r="H92"/>
  <c r="B92"/>
  <c r="B82"/>
  <c r="G136"/>
  <c r="F136"/>
  <c r="E136"/>
  <c r="D136"/>
  <c r="C136"/>
  <c r="B81"/>
  <c r="G135"/>
  <c r="F135"/>
  <c r="E135"/>
  <c r="D135"/>
  <c r="C135"/>
  <c r="B80"/>
  <c r="G134"/>
  <c r="F134"/>
  <c r="E134"/>
  <c r="D134"/>
  <c r="C134"/>
  <c r="B79"/>
  <c r="G133"/>
  <c r="F133"/>
  <c r="E133"/>
  <c r="D133"/>
  <c r="C133"/>
  <c r="B78"/>
  <c r="G132"/>
  <c r="F132"/>
  <c r="E132"/>
  <c r="D132"/>
  <c r="C132"/>
  <c r="B77"/>
  <c r="G131"/>
  <c r="F131"/>
  <c r="E131"/>
  <c r="D131"/>
  <c r="C131"/>
  <c r="B76"/>
  <c r="G130"/>
  <c r="F130"/>
  <c r="E130"/>
  <c r="D130"/>
  <c r="C130"/>
  <c r="B75"/>
  <c r="G129"/>
  <c r="F129"/>
  <c r="E129"/>
  <c r="D129"/>
  <c r="C129"/>
  <c r="B74"/>
  <c r="G128"/>
  <c r="F128"/>
  <c r="E128"/>
  <c r="D128"/>
  <c r="C128"/>
  <c r="B73"/>
  <c r="G127"/>
  <c r="F127"/>
  <c r="E127"/>
  <c r="D127"/>
  <c r="C127"/>
  <c r="B72"/>
  <c r="G126"/>
  <c r="F126"/>
  <c r="E126"/>
  <c r="D126"/>
  <c r="C126"/>
  <c r="B71"/>
  <c r="G125"/>
  <c r="F125"/>
  <c r="E125"/>
  <c r="D125"/>
  <c r="C125"/>
  <c r="B70"/>
  <c r="G124"/>
  <c r="F124"/>
  <c r="E124"/>
  <c r="D124"/>
  <c r="C124"/>
  <c r="B69"/>
  <c r="G123"/>
  <c r="F123"/>
  <c r="E123"/>
  <c r="D123"/>
  <c r="C123"/>
  <c r="B68"/>
  <c r="G122"/>
  <c r="F122"/>
  <c r="E122"/>
  <c r="D122"/>
  <c r="C122"/>
  <c r="B67"/>
  <c r="G121"/>
  <c r="F121"/>
  <c r="E121"/>
  <c r="D121"/>
  <c r="C121"/>
  <c r="B66"/>
  <c r="G120"/>
  <c r="F120"/>
  <c r="E120"/>
  <c r="D120"/>
  <c r="C120"/>
  <c r="B65"/>
  <c r="G119"/>
  <c r="F119"/>
  <c r="E119"/>
  <c r="D119"/>
  <c r="C119"/>
  <c r="B64"/>
  <c r="G118"/>
  <c r="F118"/>
  <c r="E118"/>
  <c r="D118"/>
  <c r="C118"/>
  <c r="B63"/>
  <c r="G117"/>
  <c r="G137" s="1"/>
  <c r="F117"/>
  <c r="F137" s="1"/>
  <c r="E117"/>
  <c r="E137" s="1"/>
  <c r="D117"/>
  <c r="D137" s="1"/>
  <c r="C117"/>
  <c r="B62"/>
  <c r="G313"/>
  <c r="G362" s="1"/>
  <c r="G312"/>
  <c r="G361" s="1"/>
  <c r="G311"/>
  <c r="G360" s="1"/>
  <c r="G310"/>
  <c r="G359" s="1"/>
  <c r="G309"/>
  <c r="G358" s="1"/>
  <c r="G308"/>
  <c r="G357" s="1"/>
  <c r="G307"/>
  <c r="G356" s="1"/>
  <c r="G306"/>
  <c r="G355" s="1"/>
  <c r="G305"/>
  <c r="G354" s="1"/>
  <c r="G304"/>
  <c r="G353" s="1"/>
  <c r="G303"/>
  <c r="G352" s="1"/>
  <c r="G302"/>
  <c r="G351" s="1"/>
  <c r="G301"/>
  <c r="G350" s="1"/>
  <c r="G300"/>
  <c r="G349" s="1"/>
  <c r="G299"/>
  <c r="G348" s="1"/>
  <c r="G298"/>
  <c r="G347" s="1"/>
  <c r="E298"/>
  <c r="E347" s="1"/>
  <c r="G297"/>
  <c r="G346" s="1"/>
  <c r="G296"/>
  <c r="G345" s="1"/>
  <c r="G295"/>
  <c r="G344" s="1"/>
  <c r="G294"/>
  <c r="G343" s="1"/>
  <c r="H56"/>
  <c r="H85" s="1"/>
  <c r="G56"/>
  <c r="G85" s="1"/>
  <c r="D56"/>
  <c r="D85" s="1"/>
  <c r="H26"/>
  <c r="H18"/>
  <c r="H216" s="1"/>
  <c r="H17"/>
  <c r="H241" s="1"/>
  <c r="H16"/>
  <c r="H191" s="1"/>
  <c r="H15"/>
  <c r="H14"/>
  <c r="F19"/>
  <c r="I150" l="1"/>
  <c r="I155" s="1"/>
  <c r="I160" s="1"/>
  <c r="I151"/>
  <c r="I156" s="1"/>
  <c r="I161" s="1"/>
  <c r="I152"/>
  <c r="I157" s="1"/>
  <c r="I162" s="1"/>
  <c r="I153"/>
  <c r="I158" s="1"/>
  <c r="I163" s="1"/>
  <c r="I149"/>
  <c r="I154" s="1"/>
  <c r="I159" s="1"/>
  <c r="H126"/>
  <c r="H128"/>
  <c r="H130"/>
  <c r="H132"/>
  <c r="H134"/>
  <c r="H112"/>
  <c r="H19"/>
  <c r="C137"/>
  <c r="H137" s="1"/>
  <c r="E213" s="1"/>
  <c r="H117"/>
  <c r="H118"/>
  <c r="H119"/>
  <c r="H120"/>
  <c r="H121"/>
  <c r="H122"/>
  <c r="H123"/>
  <c r="H124"/>
  <c r="H125"/>
  <c r="H127"/>
  <c r="H129"/>
  <c r="H131"/>
  <c r="H133"/>
  <c r="H135"/>
  <c r="C53"/>
  <c r="C263" s="1"/>
  <c r="E53"/>
  <c r="E263" s="1"/>
  <c r="G53"/>
  <c r="G314" s="1"/>
  <c r="G363" s="1"/>
  <c r="H136"/>
  <c r="D82"/>
  <c r="F82"/>
  <c r="H87"/>
  <c r="G213"/>
  <c r="G263"/>
  <c r="G261"/>
  <c r="E261"/>
  <c r="C261"/>
  <c r="C259"/>
  <c r="C257"/>
  <c r="C255"/>
  <c r="C253"/>
  <c r="C251"/>
  <c r="C249"/>
  <c r="C247"/>
  <c r="C245"/>
  <c r="C262"/>
  <c r="C260"/>
  <c r="C258"/>
  <c r="C256"/>
  <c r="C254"/>
  <c r="C252"/>
  <c r="C250"/>
  <c r="C248"/>
  <c r="C246"/>
  <c r="C244"/>
  <c r="C238"/>
  <c r="C236"/>
  <c r="C234"/>
  <c r="C232"/>
  <c r="C230"/>
  <c r="C228"/>
  <c r="C226"/>
  <c r="C224"/>
  <c r="C222"/>
  <c r="C220"/>
  <c r="C237"/>
  <c r="C235"/>
  <c r="C233"/>
  <c r="C231"/>
  <c r="C229"/>
  <c r="C227"/>
  <c r="E225"/>
  <c r="G223"/>
  <c r="G221"/>
  <c r="G219"/>
  <c r="H33"/>
  <c r="H34"/>
  <c r="H35"/>
  <c r="H36"/>
  <c r="H37"/>
  <c r="H38"/>
  <c r="H39"/>
  <c r="H40"/>
  <c r="H41"/>
  <c r="H42"/>
  <c r="H43"/>
  <c r="H44"/>
  <c r="H45"/>
  <c r="H46"/>
  <c r="H47"/>
  <c r="H48"/>
  <c r="H49"/>
  <c r="H50"/>
  <c r="H51"/>
  <c r="H52"/>
  <c r="D53"/>
  <c r="F53"/>
  <c r="C82"/>
  <c r="E82"/>
  <c r="G82"/>
  <c r="C219" l="1"/>
  <c r="C221"/>
  <c r="C239" s="1"/>
  <c r="C223"/>
  <c r="C225"/>
  <c r="G225"/>
  <c r="G227"/>
  <c r="G229"/>
  <c r="G231"/>
  <c r="G233"/>
  <c r="G235"/>
  <c r="G237"/>
  <c r="G220"/>
  <c r="G222"/>
  <c r="G224"/>
  <c r="G226"/>
  <c r="G228"/>
  <c r="G230"/>
  <c r="G232"/>
  <c r="G234"/>
  <c r="G236"/>
  <c r="G238"/>
  <c r="G244"/>
  <c r="G264" s="1"/>
  <c r="G246"/>
  <c r="G248"/>
  <c r="G250"/>
  <c r="G252"/>
  <c r="G254"/>
  <c r="G256"/>
  <c r="G258"/>
  <c r="G260"/>
  <c r="G262"/>
  <c r="G245"/>
  <c r="G247"/>
  <c r="G249"/>
  <c r="G251"/>
  <c r="G253"/>
  <c r="G255"/>
  <c r="G257"/>
  <c r="G259"/>
  <c r="E222"/>
  <c r="E219"/>
  <c r="E233"/>
  <c r="E230"/>
  <c r="E238"/>
  <c r="E221"/>
  <c r="E229"/>
  <c r="E237"/>
  <c r="E226"/>
  <c r="E234"/>
  <c r="E252"/>
  <c r="E223"/>
  <c r="E227"/>
  <c r="E231"/>
  <c r="E235"/>
  <c r="E220"/>
  <c r="E224"/>
  <c r="E228"/>
  <c r="E232"/>
  <c r="E236"/>
  <c r="E246"/>
  <c r="E260"/>
  <c r="E244"/>
  <c r="E264" s="1"/>
  <c r="E248"/>
  <c r="E256"/>
  <c r="E245"/>
  <c r="E253"/>
  <c r="E250"/>
  <c r="E254"/>
  <c r="E258"/>
  <c r="E262"/>
  <c r="E249"/>
  <c r="E257"/>
  <c r="E247"/>
  <c r="E251"/>
  <c r="E255"/>
  <c r="E259"/>
  <c r="G194"/>
  <c r="C208"/>
  <c r="D201"/>
  <c r="C201"/>
  <c r="H201" s="1"/>
  <c r="C198"/>
  <c r="E204"/>
  <c r="F194"/>
  <c r="E207"/>
  <c r="E196"/>
  <c r="F199"/>
  <c r="G202"/>
  <c r="C206"/>
  <c r="D211"/>
  <c r="G197"/>
  <c r="D204"/>
  <c r="F210"/>
  <c r="I164"/>
  <c r="C194"/>
  <c r="F195"/>
  <c r="D197"/>
  <c r="G198"/>
  <c r="E200"/>
  <c r="C202"/>
  <c r="F203"/>
  <c r="D205"/>
  <c r="G206"/>
  <c r="F209"/>
  <c r="G212"/>
  <c r="D196"/>
  <c r="E199"/>
  <c r="F202"/>
  <c r="G205"/>
  <c r="C209"/>
  <c r="D212"/>
  <c r="E194"/>
  <c r="D195"/>
  <c r="H195" s="1"/>
  <c r="C196"/>
  <c r="G196"/>
  <c r="F197"/>
  <c r="E198"/>
  <c r="D199"/>
  <c r="C200"/>
  <c r="G200"/>
  <c r="F201"/>
  <c r="E202"/>
  <c r="D203"/>
  <c r="C204"/>
  <c r="G204"/>
  <c r="F205"/>
  <c r="E206"/>
  <c r="D207"/>
  <c r="G208"/>
  <c r="E210"/>
  <c r="C212"/>
  <c r="F213"/>
  <c r="E195"/>
  <c r="C197"/>
  <c r="F198"/>
  <c r="D200"/>
  <c r="G201"/>
  <c r="E203"/>
  <c r="C205"/>
  <c r="F206"/>
  <c r="D208"/>
  <c r="G209"/>
  <c r="E211"/>
  <c r="C213"/>
  <c r="F207"/>
  <c r="E208"/>
  <c r="D209"/>
  <c r="C210"/>
  <c r="G210"/>
  <c r="F211"/>
  <c r="E212"/>
  <c r="D213"/>
  <c r="D194"/>
  <c r="C195"/>
  <c r="G195"/>
  <c r="F196"/>
  <c r="E197"/>
  <c r="D198"/>
  <c r="C199"/>
  <c r="G199"/>
  <c r="F200"/>
  <c r="E201"/>
  <c r="D202"/>
  <c r="C203"/>
  <c r="G203"/>
  <c r="F204"/>
  <c r="E205"/>
  <c r="D206"/>
  <c r="C207"/>
  <c r="G207"/>
  <c r="F208"/>
  <c r="E209"/>
  <c r="D210"/>
  <c r="C211"/>
  <c r="G211"/>
  <c r="F212"/>
  <c r="F222"/>
  <c r="F230"/>
  <c r="F238"/>
  <c r="F223"/>
  <c r="F231"/>
  <c r="F247"/>
  <c r="F255"/>
  <c r="F263"/>
  <c r="F226"/>
  <c r="F234"/>
  <c r="F219"/>
  <c r="F227"/>
  <c r="F235"/>
  <c r="F251"/>
  <c r="F259"/>
  <c r="F244"/>
  <c r="E239"/>
  <c r="C264"/>
  <c r="H53"/>
  <c r="F185"/>
  <c r="D185"/>
  <c r="G185"/>
  <c r="E185"/>
  <c r="C185"/>
  <c r="F181"/>
  <c r="D181"/>
  <c r="G181"/>
  <c r="G281" s="1"/>
  <c r="E181"/>
  <c r="C181"/>
  <c r="F177"/>
  <c r="D177"/>
  <c r="G177"/>
  <c r="E177"/>
  <c r="C177"/>
  <c r="F175"/>
  <c r="D175"/>
  <c r="G175"/>
  <c r="E175"/>
  <c r="C175"/>
  <c r="F173"/>
  <c r="D173"/>
  <c r="G173"/>
  <c r="E173"/>
  <c r="C173"/>
  <c r="F171"/>
  <c r="D171"/>
  <c r="G171"/>
  <c r="E171"/>
  <c r="C171"/>
  <c r="H82"/>
  <c r="H139" s="1"/>
  <c r="D224"/>
  <c r="D228"/>
  <c r="D232"/>
  <c r="D236"/>
  <c r="D221"/>
  <c r="D253"/>
  <c r="D257"/>
  <c r="D261"/>
  <c r="G239"/>
  <c r="F220"/>
  <c r="D222"/>
  <c r="F224"/>
  <c r="D226"/>
  <c r="H226" s="1"/>
  <c r="F228"/>
  <c r="D230"/>
  <c r="F232"/>
  <c r="D234"/>
  <c r="F236"/>
  <c r="D238"/>
  <c r="D219"/>
  <c r="F221"/>
  <c r="H221" s="1"/>
  <c r="D223"/>
  <c r="H223" s="1"/>
  <c r="F225"/>
  <c r="D227"/>
  <c r="F229"/>
  <c r="D231"/>
  <c r="F233"/>
  <c r="D235"/>
  <c r="F237"/>
  <c r="F245"/>
  <c r="D247"/>
  <c r="F249"/>
  <c r="D251"/>
  <c r="F253"/>
  <c r="D255"/>
  <c r="H255" s="1"/>
  <c r="F257"/>
  <c r="D259"/>
  <c r="H259" s="1"/>
  <c r="F261"/>
  <c r="D263"/>
  <c r="D244"/>
  <c r="F246"/>
  <c r="D248"/>
  <c r="F250"/>
  <c r="D252"/>
  <c r="F254"/>
  <c r="D256"/>
  <c r="F258"/>
  <c r="D260"/>
  <c r="F262"/>
  <c r="D186"/>
  <c r="C186"/>
  <c r="C286" s="1"/>
  <c r="C311" s="1"/>
  <c r="C360" s="1"/>
  <c r="G186"/>
  <c r="G286" s="1"/>
  <c r="F184"/>
  <c r="E184"/>
  <c r="D182"/>
  <c r="C182"/>
  <c r="G182"/>
  <c r="F180"/>
  <c r="E180"/>
  <c r="D178"/>
  <c r="C178"/>
  <c r="C278" s="1"/>
  <c r="C303" s="1"/>
  <c r="C352" s="1"/>
  <c r="G178"/>
  <c r="G278" s="1"/>
  <c r="G188"/>
  <c r="G288" s="1"/>
  <c r="E188"/>
  <c r="C188"/>
  <c r="F188"/>
  <c r="D188"/>
  <c r="F187"/>
  <c r="D187"/>
  <c r="G187"/>
  <c r="E187"/>
  <c r="E287" s="1"/>
  <c r="E312" s="1"/>
  <c r="E361" s="1"/>
  <c r="C187"/>
  <c r="F183"/>
  <c r="D183"/>
  <c r="G183"/>
  <c r="E183"/>
  <c r="C183"/>
  <c r="F179"/>
  <c r="D179"/>
  <c r="G179"/>
  <c r="E179"/>
  <c r="E279" s="1"/>
  <c r="E304" s="1"/>
  <c r="E353" s="1"/>
  <c r="C179"/>
  <c r="G176"/>
  <c r="E176"/>
  <c r="C176"/>
  <c r="F176"/>
  <c r="D176"/>
  <c r="G174"/>
  <c r="E174"/>
  <c r="E274" s="1"/>
  <c r="E299" s="1"/>
  <c r="E348" s="1"/>
  <c r="C174"/>
  <c r="F174"/>
  <c r="D174"/>
  <c r="G172"/>
  <c r="G272" s="1"/>
  <c r="E172"/>
  <c r="C172"/>
  <c r="F172"/>
  <c r="D172"/>
  <c r="G170"/>
  <c r="E170"/>
  <c r="C170"/>
  <c r="F170"/>
  <c r="D170"/>
  <c r="F169"/>
  <c r="D169"/>
  <c r="G169"/>
  <c r="E169"/>
  <c r="C169"/>
  <c r="D220"/>
  <c r="H222"/>
  <c r="D225"/>
  <c r="D229"/>
  <c r="H229" s="1"/>
  <c r="D233"/>
  <c r="H234"/>
  <c r="D237"/>
  <c r="H238"/>
  <c r="D245"/>
  <c r="E273"/>
  <c r="D249"/>
  <c r="D246"/>
  <c r="D271" s="1"/>
  <c r="D296" s="1"/>
  <c r="D345" s="1"/>
  <c r="F248"/>
  <c r="D250"/>
  <c r="F252"/>
  <c r="D254"/>
  <c r="F256"/>
  <c r="D258"/>
  <c r="F260"/>
  <c r="D262"/>
  <c r="F186"/>
  <c r="E186"/>
  <c r="D184"/>
  <c r="C184"/>
  <c r="G184"/>
  <c r="G284" s="1"/>
  <c r="F182"/>
  <c r="E182"/>
  <c r="E282" s="1"/>
  <c r="E307" s="1"/>
  <c r="E356" s="1"/>
  <c r="D180"/>
  <c r="C180"/>
  <c r="G180"/>
  <c r="F178"/>
  <c r="E178"/>
  <c r="G280" l="1"/>
  <c r="H233"/>
  <c r="H225"/>
  <c r="G279"/>
  <c r="G287"/>
  <c r="E288"/>
  <c r="E313" s="1"/>
  <c r="E362" s="1"/>
  <c r="G282"/>
  <c r="H235"/>
  <c r="H231"/>
  <c r="H227"/>
  <c r="H232"/>
  <c r="H228"/>
  <c r="H224"/>
  <c r="E271"/>
  <c r="E296" s="1"/>
  <c r="E345" s="1"/>
  <c r="G273"/>
  <c r="E275"/>
  <c r="E300" s="1"/>
  <c r="E349" s="1"/>
  <c r="G277"/>
  <c r="E281"/>
  <c r="E306" s="1"/>
  <c r="E355" s="1"/>
  <c r="H263"/>
  <c r="F276"/>
  <c r="F301" s="1"/>
  <c r="F350" s="1"/>
  <c r="H251"/>
  <c r="H247"/>
  <c r="F239"/>
  <c r="H236"/>
  <c r="H209"/>
  <c r="F214"/>
  <c r="H198"/>
  <c r="E286"/>
  <c r="E311" s="1"/>
  <c r="E360" s="1"/>
  <c r="H237"/>
  <c r="E270"/>
  <c r="E295" s="1"/>
  <c r="E344" s="1"/>
  <c r="G276"/>
  <c r="G283"/>
  <c r="H230"/>
  <c r="G271"/>
  <c r="F285"/>
  <c r="F310" s="1"/>
  <c r="F359" s="1"/>
  <c r="F277"/>
  <c r="F302" s="1"/>
  <c r="F351" s="1"/>
  <c r="F273"/>
  <c r="F298" s="1"/>
  <c r="F347" s="1"/>
  <c r="H211"/>
  <c r="H206"/>
  <c r="G270"/>
  <c r="E272"/>
  <c r="E297" s="1"/>
  <c r="E346" s="1"/>
  <c r="E280"/>
  <c r="E305" s="1"/>
  <c r="E354" s="1"/>
  <c r="G275"/>
  <c r="H204"/>
  <c r="H196"/>
  <c r="D279"/>
  <c r="D304" s="1"/>
  <c r="D353" s="1"/>
  <c r="H213"/>
  <c r="H197"/>
  <c r="E285"/>
  <c r="E310" s="1"/>
  <c r="E359" s="1"/>
  <c r="H205"/>
  <c r="E277"/>
  <c r="E302" s="1"/>
  <c r="E351" s="1"/>
  <c r="C271"/>
  <c r="C296" s="1"/>
  <c r="C345" s="1"/>
  <c r="H194"/>
  <c r="H203"/>
  <c r="G214"/>
  <c r="H210"/>
  <c r="E278"/>
  <c r="E303" s="1"/>
  <c r="E352" s="1"/>
  <c r="F281"/>
  <c r="F306" s="1"/>
  <c r="F355" s="1"/>
  <c r="D275"/>
  <c r="D300" s="1"/>
  <c r="D349" s="1"/>
  <c r="F272"/>
  <c r="F297" s="1"/>
  <c r="F346" s="1"/>
  <c r="G274"/>
  <c r="E276"/>
  <c r="E301" s="1"/>
  <c r="E350" s="1"/>
  <c r="E283"/>
  <c r="E308" s="1"/>
  <c r="E357" s="1"/>
  <c r="F288"/>
  <c r="F313" s="1"/>
  <c r="F362" s="1"/>
  <c r="F280"/>
  <c r="F305" s="1"/>
  <c r="F354" s="1"/>
  <c r="E284"/>
  <c r="E309" s="1"/>
  <c r="E358" s="1"/>
  <c r="H202"/>
  <c r="D285"/>
  <c r="D310" s="1"/>
  <c r="D359" s="1"/>
  <c r="D281"/>
  <c r="D306" s="1"/>
  <c r="D355" s="1"/>
  <c r="D277"/>
  <c r="D302" s="1"/>
  <c r="D351" s="1"/>
  <c r="D273"/>
  <c r="D298" s="1"/>
  <c r="D347" s="1"/>
  <c r="H200"/>
  <c r="H171"/>
  <c r="H175"/>
  <c r="F284"/>
  <c r="F309" s="1"/>
  <c r="F358" s="1"/>
  <c r="H181"/>
  <c r="H207"/>
  <c r="C214"/>
  <c r="D214"/>
  <c r="G285"/>
  <c r="H180"/>
  <c r="H199"/>
  <c r="F271"/>
  <c r="F296" s="1"/>
  <c r="F345" s="1"/>
  <c r="D274"/>
  <c r="D299" s="1"/>
  <c r="D348" s="1"/>
  <c r="H208"/>
  <c r="E214"/>
  <c r="H214" s="1"/>
  <c r="H212"/>
  <c r="H183"/>
  <c r="D287"/>
  <c r="D312" s="1"/>
  <c r="D361" s="1"/>
  <c r="D283"/>
  <c r="D308" s="1"/>
  <c r="D357" s="1"/>
  <c r="H220"/>
  <c r="F275"/>
  <c r="F300" s="1"/>
  <c r="F349" s="1"/>
  <c r="D270"/>
  <c r="D295" s="1"/>
  <c r="D344" s="1"/>
  <c r="F264"/>
  <c r="D269"/>
  <c r="D294" s="1"/>
  <c r="D343" s="1"/>
  <c r="D264"/>
  <c r="H264" s="1"/>
  <c r="H184"/>
  <c r="E189"/>
  <c r="D189"/>
  <c r="H170"/>
  <c r="H174"/>
  <c r="H179"/>
  <c r="H187"/>
  <c r="H246"/>
  <c r="H182"/>
  <c r="F287"/>
  <c r="F312" s="1"/>
  <c r="F361" s="1"/>
  <c r="F283"/>
  <c r="F308" s="1"/>
  <c r="F357" s="1"/>
  <c r="F279"/>
  <c r="F304" s="1"/>
  <c r="F353" s="1"/>
  <c r="D239"/>
  <c r="H239" s="1"/>
  <c r="D286"/>
  <c r="D311" s="1"/>
  <c r="D360" s="1"/>
  <c r="D282"/>
  <c r="D307" s="1"/>
  <c r="D356" s="1"/>
  <c r="D278"/>
  <c r="D303" s="1"/>
  <c r="D352" s="1"/>
  <c r="H173"/>
  <c r="H177"/>
  <c r="H185"/>
  <c r="C282"/>
  <c r="C307" s="1"/>
  <c r="C356" s="1"/>
  <c r="C274"/>
  <c r="C299" s="1"/>
  <c r="C348" s="1"/>
  <c r="C270"/>
  <c r="C295" s="1"/>
  <c r="C344" s="1"/>
  <c r="C285"/>
  <c r="C281"/>
  <c r="C277"/>
  <c r="C273"/>
  <c r="H262"/>
  <c r="H258"/>
  <c r="H254"/>
  <c r="H250"/>
  <c r="H169"/>
  <c r="C189"/>
  <c r="G189"/>
  <c r="F189"/>
  <c r="H172"/>
  <c r="H176"/>
  <c r="H188"/>
  <c r="C288"/>
  <c r="C313" s="1"/>
  <c r="C362" s="1"/>
  <c r="C284"/>
  <c r="C309" s="1"/>
  <c r="C358" s="1"/>
  <c r="C280"/>
  <c r="C305" s="1"/>
  <c r="C354" s="1"/>
  <c r="C276"/>
  <c r="C301" s="1"/>
  <c r="C350" s="1"/>
  <c r="C272"/>
  <c r="C297" s="1"/>
  <c r="C346" s="1"/>
  <c r="E269"/>
  <c r="H178"/>
  <c r="H186"/>
  <c r="D288"/>
  <c r="D313" s="1"/>
  <c r="D362" s="1"/>
  <c r="F286"/>
  <c r="F311" s="1"/>
  <c r="F360" s="1"/>
  <c r="D284"/>
  <c r="D309" s="1"/>
  <c r="D358" s="1"/>
  <c r="F282"/>
  <c r="F307" s="1"/>
  <c r="F356" s="1"/>
  <c r="D280"/>
  <c r="D305" s="1"/>
  <c r="D354" s="1"/>
  <c r="F278"/>
  <c r="F303" s="1"/>
  <c r="F352" s="1"/>
  <c r="D276"/>
  <c r="D301" s="1"/>
  <c r="D350" s="1"/>
  <c r="F274"/>
  <c r="F299" s="1"/>
  <c r="F348" s="1"/>
  <c r="D272"/>
  <c r="D297" s="1"/>
  <c r="D346" s="1"/>
  <c r="F270"/>
  <c r="F295" s="1"/>
  <c r="F344" s="1"/>
  <c r="H261"/>
  <c r="H257"/>
  <c r="H253"/>
  <c r="H249"/>
  <c r="H245"/>
  <c r="H260"/>
  <c r="H256"/>
  <c r="H252"/>
  <c r="H248"/>
  <c r="G269"/>
  <c r="H244"/>
  <c r="C269"/>
  <c r="C294" s="1"/>
  <c r="H219"/>
  <c r="F269"/>
  <c r="F294" s="1"/>
  <c r="F343" s="1"/>
  <c r="C287"/>
  <c r="C283"/>
  <c r="C279"/>
  <c r="C275"/>
  <c r="G289" l="1"/>
  <c r="H271"/>
  <c r="H345" s="1"/>
  <c r="H279"/>
  <c r="C304"/>
  <c r="C353" s="1"/>
  <c r="H273"/>
  <c r="C298"/>
  <c r="C347" s="1"/>
  <c r="H281"/>
  <c r="C306"/>
  <c r="C355" s="1"/>
  <c r="H287"/>
  <c r="C312"/>
  <c r="C361" s="1"/>
  <c r="H275"/>
  <c r="C300"/>
  <c r="C349" s="1"/>
  <c r="H283"/>
  <c r="C308"/>
  <c r="C357" s="1"/>
  <c r="H277"/>
  <c r="C302"/>
  <c r="C351" s="1"/>
  <c r="H285"/>
  <c r="C310"/>
  <c r="C359" s="1"/>
  <c r="E289"/>
  <c r="E314" s="1"/>
  <c r="E363" s="1"/>
  <c r="E294"/>
  <c r="E343" s="1"/>
  <c r="E338"/>
  <c r="D337"/>
  <c r="E336"/>
  <c r="D335"/>
  <c r="E334"/>
  <c r="D333"/>
  <c r="E332"/>
  <c r="D331"/>
  <c r="E330"/>
  <c r="D329"/>
  <c r="E328"/>
  <c r="D327"/>
  <c r="E326"/>
  <c r="D325"/>
  <c r="E324"/>
  <c r="D323"/>
  <c r="E322"/>
  <c r="D321"/>
  <c r="E320"/>
  <c r="D319"/>
  <c r="D338"/>
  <c r="E337"/>
  <c r="D336"/>
  <c r="E335"/>
  <c r="D334"/>
  <c r="E333"/>
  <c r="D332"/>
  <c r="E331"/>
  <c r="D330"/>
  <c r="E329"/>
  <c r="D328"/>
  <c r="E327"/>
  <c r="D326"/>
  <c r="E325"/>
  <c r="D324"/>
  <c r="E323"/>
  <c r="D322"/>
  <c r="E321"/>
  <c r="D320"/>
  <c r="E319"/>
  <c r="C343"/>
  <c r="G338"/>
  <c r="C338"/>
  <c r="F337"/>
  <c r="G336"/>
  <c r="C336"/>
  <c r="F335"/>
  <c r="G334"/>
  <c r="C334"/>
  <c r="F333"/>
  <c r="G332"/>
  <c r="C332"/>
  <c r="F331"/>
  <c r="G330"/>
  <c r="C330"/>
  <c r="F329"/>
  <c r="G328"/>
  <c r="C328"/>
  <c r="F327"/>
  <c r="G326"/>
  <c r="C326"/>
  <c r="F325"/>
  <c r="G324"/>
  <c r="C324"/>
  <c r="F323"/>
  <c r="G322"/>
  <c r="C322"/>
  <c r="F321"/>
  <c r="G320"/>
  <c r="C320"/>
  <c r="F319"/>
  <c r="F338"/>
  <c r="G337"/>
  <c r="F336"/>
  <c r="G335"/>
  <c r="C335"/>
  <c r="F334"/>
  <c r="G333"/>
  <c r="F332"/>
  <c r="G331"/>
  <c r="F330"/>
  <c r="G329"/>
  <c r="F328"/>
  <c r="G327"/>
  <c r="C327"/>
  <c r="F326"/>
  <c r="G325"/>
  <c r="F324"/>
  <c r="G323"/>
  <c r="F322"/>
  <c r="G321"/>
  <c r="C321"/>
  <c r="F320"/>
  <c r="G319"/>
  <c r="C319"/>
  <c r="F289"/>
  <c r="F314" s="1"/>
  <c r="F363" s="1"/>
  <c r="H278"/>
  <c r="H286"/>
  <c r="H272"/>
  <c r="H280"/>
  <c r="H288"/>
  <c r="H189"/>
  <c r="H274"/>
  <c r="D289"/>
  <c r="D314" s="1"/>
  <c r="D363" s="1"/>
  <c r="H269"/>
  <c r="C289"/>
  <c r="H276"/>
  <c r="H284"/>
  <c r="H270"/>
  <c r="H282"/>
  <c r="C323" l="1"/>
  <c r="C331"/>
  <c r="C325"/>
  <c r="C329"/>
  <c r="C333"/>
  <c r="C337"/>
  <c r="H296"/>
  <c r="H356"/>
  <c r="H307"/>
  <c r="H358"/>
  <c r="H309"/>
  <c r="H354"/>
  <c r="H305"/>
  <c r="H360"/>
  <c r="H311"/>
  <c r="H359"/>
  <c r="H310"/>
  <c r="H351"/>
  <c r="H302"/>
  <c r="H357"/>
  <c r="H308"/>
  <c r="H349"/>
  <c r="H300"/>
  <c r="H361"/>
  <c r="H312"/>
  <c r="H355"/>
  <c r="H306"/>
  <c r="H347"/>
  <c r="H298"/>
  <c r="H353"/>
  <c r="H304"/>
  <c r="H344"/>
  <c r="H295"/>
  <c r="H350"/>
  <c r="H301"/>
  <c r="H348"/>
  <c r="H299"/>
  <c r="H362"/>
  <c r="H313"/>
  <c r="H346"/>
  <c r="H297"/>
  <c r="H352"/>
  <c r="H303"/>
  <c r="H343"/>
  <c r="H294"/>
  <c r="H289"/>
  <c r="C314"/>
  <c r="H363" l="1"/>
  <c r="H314"/>
  <c r="C363"/>
</calcChain>
</file>

<file path=xl/sharedStrings.xml><?xml version="1.0" encoding="utf-8"?>
<sst xmlns="http://schemas.openxmlformats.org/spreadsheetml/2006/main" count="192" uniqueCount="95">
  <si>
    <t>Input in blue shaded areas - All other cells are linked</t>
  </si>
  <si>
    <t xml:space="preserve">Each year, the Texas Higher Education Coordinating Board revises the Texas Public Universities Relative Cost Matrix used in its Instruction and Operations Formula Funding Recommendation to the Legislative Budget Board (LBB).  This survey form is designed to collect Instruction, Research, Academic Support, Institutional Support, and Student Services costs for input into the Public University Cost Study using the Fund Group Detail (FDG) reconciled to the Statement of Revenues, Expenses and Changes in Net Assets (SRECNA) from the institution's Annual Financial Report (AFR) provided to the THECB in the Sources and Uses Survey. This survey form collects additional details relating to Teaching Assistants (TA) and Department Operating Expenses (DOE).  The cost items are then inserted into the Cost Study Model to assign a state-wide relative weight to each discipline and level of instruction.  The product of these relative weights, each institution's semester credit hours, and a base rate determines the level of formula funding recommended for each institution. </t>
  </si>
  <si>
    <t>Instructions:
1. Review the data on the FGD table validating it is the correct data for this fiscal year.
2. Update the TA table.
3. Update the DOE table.
4. Explain reconciliation and variance items in the space at the bottom of this form.
5. Return the survey for the THECB staff.</t>
  </si>
  <si>
    <t>Fund Group Detail (FDG)</t>
  </si>
  <si>
    <t>The information below is derived from the Sources and Uses Fund Group Detail. Update the table by including any Intercollegiate Athletic Expenses reported in the institution's AFR.</t>
  </si>
  <si>
    <t>Element</t>
  </si>
  <si>
    <t>Amount</t>
  </si>
  <si>
    <t>Intercollegiate Athletics</t>
  </si>
  <si>
    <t>Adjusted Amount</t>
  </si>
  <si>
    <t>Instruction</t>
  </si>
  <si>
    <t>Research</t>
  </si>
  <si>
    <t>Academic Support</t>
  </si>
  <si>
    <t>Student Services (Adjusted for Student Loan Funds)</t>
  </si>
  <si>
    <t>Institutional Support</t>
  </si>
  <si>
    <t>Total</t>
  </si>
  <si>
    <t>Name</t>
  </si>
  <si>
    <t>Phone</t>
  </si>
  <si>
    <t>Email</t>
  </si>
  <si>
    <t>Sources and Uses Point of Contact</t>
  </si>
  <si>
    <t>Student Enrollment Headcount on the CBM001 Report - No data entry required</t>
  </si>
  <si>
    <t>UGL</t>
  </si>
  <si>
    <t>UGU</t>
  </si>
  <si>
    <t>MAS</t>
  </si>
  <si>
    <t>DOC</t>
  </si>
  <si>
    <t>SP</t>
  </si>
  <si>
    <t>TOT</t>
  </si>
  <si>
    <t>Fall 2008 Headcount</t>
  </si>
  <si>
    <t>CBM001 Point of Contact</t>
  </si>
  <si>
    <t xml:space="preserve">Semester Credit Hours Reported on the CBM004 Report - For your reference only - No data entry required.  </t>
  </si>
  <si>
    <t>Discipline</t>
  </si>
  <si>
    <t>Liberal Arts</t>
  </si>
  <si>
    <t>Science</t>
  </si>
  <si>
    <t>Fine Arts</t>
  </si>
  <si>
    <t>Teacher Education</t>
  </si>
  <si>
    <t>Agriculture</t>
  </si>
  <si>
    <t>Engineering</t>
  </si>
  <si>
    <t>Home Economics</t>
  </si>
  <si>
    <t>Law</t>
  </si>
  <si>
    <t>Social Service</t>
  </si>
  <si>
    <t>Library Science</t>
  </si>
  <si>
    <t>Veterinary Science</t>
  </si>
  <si>
    <t>Vocational Training</t>
  </si>
  <si>
    <t>Physical Training</t>
  </si>
  <si>
    <t>Health Services</t>
  </si>
  <si>
    <t>Pharmacy</t>
  </si>
  <si>
    <t>Business Administration</t>
  </si>
  <si>
    <t>Optometry</t>
  </si>
  <si>
    <t>Teacher Ed-Practice Teaching</t>
  </si>
  <si>
    <t>Technology</t>
  </si>
  <si>
    <t>Nursing</t>
  </si>
  <si>
    <t>Totals</t>
  </si>
  <si>
    <t>CBM004 Point of Contact</t>
  </si>
  <si>
    <t xml:space="preserve">Faculty Salaries on the CBM008 Report - For your reference only - No data entry required.  </t>
  </si>
  <si>
    <t>Institutions report Teaching Load Credits and salary information for each faculty member on the CBM008 report. This model uses Teaching Load Credits to allocate faculty salaries.</t>
  </si>
  <si>
    <t>CBM008 Point of Contact</t>
  </si>
  <si>
    <t>Instruction and Research (all fund sources)</t>
  </si>
  <si>
    <t>The model distributes Instruction and Research expenses by subtracting the Faculty Salaries and Teaching Assistant Salaries.  The difference is allocated as Department Operating Expenses.</t>
  </si>
  <si>
    <t>Teaching Assistant Salaries</t>
  </si>
  <si>
    <t>1. Enter TA Salaries to an academic discipline using departmental budget designations and the faculty member of record (where salaries cannot be directly charged to an academic discipline, allocate them using the non-weighted semester credit hours associated with the costs).
2. Next, directly charge the salaries to the level of instruction (where unknown, allocate costs using the applicable non-weighted semester credit hours associated with the costs).
3. Enter Developmental Education expenses as Undergraduate Lower Level (UGL) Liberal Arts.</t>
  </si>
  <si>
    <t>Total Faculty Salaries (CBM008 Report and TA Salaries Summed)</t>
  </si>
  <si>
    <t>No action required. The model allocates Academic Support and Other Departmental Operating Expense using Total Faculty Salaries.</t>
  </si>
  <si>
    <t>Departmental Operating Expense (all fund sources):</t>
  </si>
  <si>
    <t>Departmental Operating Expense includes all Instruction and Research expenses less Faculty and Teaching Assistant Salaries. ([Instruction Expenses] + [Research Expenses] - [CBM008] - [TA Salaries])
1. Assign Instructional and Research Expenditures (including all non-research related capitalized equipment) to an academic discipline and level of instruction using the institution's departmental budget designations.
2. Enter costs that cannot be directly charged to a level of instruction into the "All Other DOE Expenses" column. The Cost Study Model allocates these expenses by default according to Semester Credit Hours.  Your institution can opt to have a portion or all these expenses allocated by Faculty Salary distribution by updating the cells below.
3. Enter Developmental Education Expenses as Liberal Arts.</t>
  </si>
  <si>
    <r>
      <rPr>
        <b/>
        <sz val="11"/>
        <color indexed="9"/>
        <rFont val="Tahoma"/>
        <family val="2"/>
      </rPr>
      <t xml:space="preserve">All Other DOE Expense Methodology: </t>
    </r>
    <r>
      <rPr>
        <sz val="11"/>
        <color indexed="9"/>
        <rFont val="Tahoma"/>
        <family val="2"/>
      </rPr>
      <t xml:space="preserve">
</t>
    </r>
    <r>
      <rPr>
        <sz val="9"/>
        <color indexed="9"/>
        <rFont val="Tahoma"/>
        <family val="2"/>
      </rPr>
      <t>Expenses will be allocated to a level of instruction by either Faculty Salaries or Semester Credit Hours.  Update the percent of All Other DOE expenses to be allocated by Faculty Salaries.  The Semester Credit Hour Percentage is a calculated field.</t>
    </r>
  </si>
  <si>
    <t>Faculty Salaries</t>
  </si>
  <si>
    <t>Semester Credit Hours</t>
  </si>
  <si>
    <t>All Other DOE Expenses</t>
  </si>
  <si>
    <t>Department Operating Expense</t>
  </si>
  <si>
    <t>Final Departmental Operating Expense (Other Departmental Operating Expense Allocated)</t>
  </si>
  <si>
    <t>No action required. The model allocates Academic Support and Other Departmental Operating Expense using Total Faculty Salaries or Semester Credit Hours.</t>
  </si>
  <si>
    <t>Academic Support Operating Expense (all fund sources)</t>
  </si>
  <si>
    <t>No action required. The model allocates Academic Support costs to the appropriate academic discipline and level of instruction using the institution's Faculty Salaries distribution reported on the CBM008 reports.</t>
  </si>
  <si>
    <t>Institutional Support Operating Expense (all fund sources)</t>
  </si>
  <si>
    <t>No action required. The model allocates Institutional Support costs to the appropriate levels of instruction using the institution's fall semester headcounts reported on the CBM001 report.  Costs are then distributed to academic disciplines using the fiscal year's non-weighted Semester Credit Hours reported in the CBM004 report.</t>
  </si>
  <si>
    <t>Student Services Operating Expense Subtotal (all fund sources)</t>
  </si>
  <si>
    <t>The model allocates Student Services costs to the appropriate levels of instruction using the institution's fall semester student headcount reported on the CBM001 report. Costs are then distributed to academic disciplines using the fiscal year's non-weighted Semester Credit Hours reported on the CBM004 report.</t>
  </si>
  <si>
    <t>All Costs</t>
  </si>
  <si>
    <t>No action required. All Costs is the sum of Total Faculty Salaries, Departmental Operating Expense, Academic Support, Institutional Support , and Student Services Operating Expense.</t>
  </si>
  <si>
    <t>Cost Per SCH</t>
  </si>
  <si>
    <t>No action required. Cost Per SCH is All Costs divided by reported Semester Credit Hours.</t>
  </si>
  <si>
    <t>Relative Weight</t>
  </si>
  <si>
    <t>No action required. The Relative Weight is the Cost Per SCH divided by Undergraduate Lower Level Liberal Arts. For example, if the cost per semester credit hour of Masters Teacher Education is 611 and the Undergraduate Lower Level Liberal Arts cost per semester credit hour is 184, then the relative weight would be 611 divided by 184 or 3.32.</t>
  </si>
  <si>
    <t>Cost Per FTSE</t>
  </si>
  <si>
    <t>No action required. The cost per Full Time Student Equivalent is calculated by dividing the total costs by full time student equivalents. Semester Credit Hours are converted into equivalents using the following conversion factors:  UGL = 30, UGU = 30, MAS = 24, DOC = 18, SP = 24.</t>
  </si>
  <si>
    <t>123-456-7890</t>
  </si>
  <si>
    <t>contessa.head@costu.edu</t>
  </si>
  <si>
    <t>Contess Head</t>
  </si>
  <si>
    <t>Ima Number</t>
  </si>
  <si>
    <t>123-456-7892</t>
  </si>
  <si>
    <t>ima.number@costu.edu</t>
  </si>
  <si>
    <t>Cost University</t>
  </si>
  <si>
    <t>123456</t>
  </si>
  <si>
    <t>THECB Texas Public University Cost Study Fiscal Year 2009</t>
  </si>
  <si>
    <t>Institution Survey for the Year Ended August 31, 2009</t>
  </si>
  <si>
    <t xml:space="preserve"> </t>
  </si>
</sst>
</file>

<file path=xl/styles.xml><?xml version="1.0" encoding="utf-8"?>
<styleSheet xmlns="http://schemas.openxmlformats.org/spreadsheetml/2006/main">
  <numFmts count="10">
    <numFmt numFmtId="5" formatCode="&quot;$&quot;#,##0_);\(&quot;$&quot;#,##0\)"/>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
    <numFmt numFmtId="167" formatCode="_(* #,##0_);_(* \(#,##0\);_(* &quot;0&quot;_);_(@_)"/>
    <numFmt numFmtId="168" formatCode="_(&quot;$&quot;* #,##0_);_(&quot;$&quot;* \(#,##0\);_(&quot;$&quot;* &quot;0&quot;_);_(@_)"/>
    <numFmt numFmtId="169" formatCode="&quot;$&quot;#,##0\ ;\(&quot;$&quot;#,##0\)"/>
  </numFmts>
  <fonts count="14">
    <font>
      <sz val="10"/>
      <name val="Arial"/>
    </font>
    <font>
      <b/>
      <sz val="11"/>
      <color theme="0"/>
      <name val="Tahoma"/>
      <family val="2"/>
    </font>
    <font>
      <sz val="11"/>
      <color theme="0"/>
      <name val="Tahoma"/>
      <family val="2"/>
    </font>
    <font>
      <sz val="10"/>
      <name val="Arial"/>
    </font>
    <font>
      <b/>
      <sz val="11"/>
      <name val="Tahoma"/>
      <family val="2"/>
    </font>
    <font>
      <sz val="11"/>
      <name val="Tahoma"/>
      <family val="2"/>
    </font>
    <font>
      <sz val="11"/>
      <color theme="3" tint="0.39997558519241921"/>
      <name val="Tahoma"/>
      <family val="2"/>
    </font>
    <font>
      <sz val="10"/>
      <name val="MS Sans Serif"/>
      <family val="2"/>
    </font>
    <font>
      <b/>
      <sz val="11"/>
      <color indexed="9"/>
      <name val="Tahoma"/>
      <family val="2"/>
    </font>
    <font>
      <sz val="11"/>
      <color indexed="9"/>
      <name val="Tahoma"/>
      <family val="2"/>
    </font>
    <font>
      <sz val="9"/>
      <color indexed="9"/>
      <name val="Tahoma"/>
      <family val="2"/>
    </font>
    <font>
      <b/>
      <sz val="10"/>
      <name val="Tahoma"/>
      <family val="2"/>
    </font>
    <font>
      <sz val="10"/>
      <name val="Arial"/>
      <family val="2"/>
    </font>
    <font>
      <sz val="10"/>
      <color indexed="24"/>
      <name val="Arial"/>
      <family val="2"/>
    </font>
  </fonts>
  <fills count="8">
    <fill>
      <patternFill patternType="none"/>
    </fill>
    <fill>
      <patternFill patternType="gray125"/>
    </fill>
    <fill>
      <patternFill patternType="solid">
        <fgColor theme="4" tint="0.39997558519241921"/>
        <bgColor indexed="64"/>
      </patternFill>
    </fill>
    <fill>
      <patternFill patternType="solid">
        <fgColor theme="3" tint="-0.499984740745262"/>
        <bgColor indexed="64"/>
      </patternFill>
    </fill>
    <fill>
      <patternFill patternType="solid">
        <fgColor theme="6"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3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64"/>
      </top>
      <bottom/>
      <diagonal/>
    </border>
    <border>
      <left style="thin">
        <color indexed="64"/>
      </left>
      <right/>
      <top style="medium">
        <color indexed="64"/>
      </top>
      <bottom/>
      <diagonal/>
    </border>
    <border>
      <left/>
      <right style="thick">
        <color rgb="FFC00000"/>
      </right>
      <top style="medium">
        <color indexed="64"/>
      </top>
      <bottom/>
      <diagonal/>
    </border>
    <border>
      <left style="thick">
        <color rgb="FFC00000"/>
      </left>
      <right style="thick">
        <color rgb="FFC00000"/>
      </right>
      <top style="thick">
        <color rgb="FFC00000"/>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style="thick">
        <color rgb="FFC00000"/>
      </right>
      <top/>
      <bottom style="medium">
        <color indexed="64"/>
      </bottom>
      <diagonal/>
    </border>
    <border>
      <left style="thick">
        <color rgb="FFC00000"/>
      </left>
      <right style="thick">
        <color rgb="FFC00000"/>
      </right>
      <top/>
      <bottom/>
      <diagonal/>
    </border>
    <border>
      <left style="thick">
        <color rgb="FFC00000"/>
      </left>
      <right style="thick">
        <color rgb="FFC00000"/>
      </right>
      <top/>
      <bottom style="thin">
        <color indexed="64"/>
      </bottom>
      <diagonal/>
    </border>
    <border>
      <left style="thick">
        <color rgb="FFC00000"/>
      </left>
      <right style="thick">
        <color rgb="FFC00000"/>
      </right>
      <top style="thin">
        <color indexed="64"/>
      </top>
      <bottom style="thin">
        <color indexed="64"/>
      </bottom>
      <diagonal/>
    </border>
    <border>
      <left/>
      <right style="thin">
        <color indexed="64"/>
      </right>
      <top style="thin">
        <color indexed="64"/>
      </top>
      <bottom style="thin">
        <color indexed="64"/>
      </bottom>
      <diagonal/>
    </border>
    <border>
      <left style="thick">
        <color rgb="FFC00000"/>
      </left>
      <right style="thick">
        <color rgb="FFC00000"/>
      </right>
      <top style="thin">
        <color indexed="64"/>
      </top>
      <bottom style="thick">
        <color rgb="FFC00000"/>
      </bottom>
      <diagonal/>
    </border>
    <border>
      <left style="thin">
        <color indexed="64"/>
      </left>
      <right/>
      <top/>
      <bottom/>
      <diagonal/>
    </border>
  </borders>
  <cellStyleXfs count="15">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7" fillId="0" borderId="0"/>
    <xf numFmtId="43" fontId="12" fillId="0" borderId="0" applyFont="0" applyFill="0" applyBorder="0" applyAlignment="0" applyProtection="0"/>
    <xf numFmtId="43" fontId="3" fillId="0" borderId="0" applyFont="0" applyFill="0" applyBorder="0" applyAlignment="0" applyProtection="0"/>
    <xf numFmtId="3" fontId="13" fillId="0" borderId="0" applyFont="0" applyFill="0" applyBorder="0" applyAlignment="0" applyProtection="0"/>
    <xf numFmtId="44" fontId="12" fillId="0" borderId="0" applyFont="0" applyFill="0" applyBorder="0" applyAlignment="0" applyProtection="0"/>
    <xf numFmtId="169" fontId="13" fillId="0" borderId="0" applyFont="0" applyFill="0" applyBorder="0" applyAlignment="0" applyProtection="0"/>
    <xf numFmtId="0" fontId="13" fillId="0" borderId="0" applyFont="0" applyFill="0" applyBorder="0" applyAlignment="0" applyProtection="0"/>
    <xf numFmtId="2" fontId="13" fillId="0" borderId="0" applyFont="0" applyFill="0" applyBorder="0" applyAlignment="0" applyProtection="0"/>
    <xf numFmtId="0" fontId="12" fillId="0" borderId="0"/>
    <xf numFmtId="9" fontId="12" fillId="0" borderId="0" applyFont="0" applyFill="0" applyBorder="0" applyAlignment="0" applyProtection="0"/>
    <xf numFmtId="9" fontId="3" fillId="0" borderId="0" applyFont="0" applyFill="0" applyBorder="0" applyAlignment="0" applyProtection="0"/>
  </cellStyleXfs>
  <cellXfs count="129">
    <xf numFmtId="0" fontId="0" fillId="0" borderId="0" xfId="0"/>
    <xf numFmtId="0" fontId="5" fillId="0" borderId="0" xfId="0" applyFont="1" applyFill="1"/>
    <xf numFmtId="0" fontId="4" fillId="0" borderId="0" xfId="0" applyFont="1" applyFill="1" applyBorder="1" applyAlignment="1">
      <alignment horizontal="left" indent="1"/>
    </xf>
    <xf numFmtId="0" fontId="4" fillId="0" borderId="0" xfId="0" quotePrefix="1" applyFont="1" applyFill="1" applyBorder="1" applyAlignment="1">
      <alignment horizontal="left" indent="1"/>
    </xf>
    <xf numFmtId="0" fontId="4" fillId="0" borderId="0" xfId="0" applyFont="1" applyFill="1" applyAlignment="1">
      <alignment horizontal="center"/>
    </xf>
    <xf numFmtId="0" fontId="4" fillId="2" borderId="0" xfId="0" applyFont="1" applyFill="1" applyBorder="1" applyAlignment="1">
      <alignment horizontal="left" indent="1"/>
    </xf>
    <xf numFmtId="0" fontId="4" fillId="2" borderId="0" xfId="0" applyFont="1" applyFill="1" applyAlignment="1">
      <alignment horizontal="center"/>
    </xf>
    <xf numFmtId="42" fontId="5" fillId="0" borderId="0" xfId="0" applyNumberFormat="1" applyFont="1" applyFill="1" applyAlignment="1">
      <alignment horizontal="center"/>
    </xf>
    <xf numFmtId="0" fontId="5" fillId="0" borderId="0" xfId="0" quotePrefix="1" applyFont="1" applyFill="1" applyAlignment="1">
      <alignment vertical="top" wrapText="1"/>
    </xf>
    <xf numFmtId="0" fontId="1" fillId="3" borderId="2" xfId="0" applyFont="1" applyFill="1" applyBorder="1" applyAlignment="1">
      <alignment horizontal="center" vertical="top" wrapText="1"/>
    </xf>
    <xf numFmtId="0" fontId="1" fillId="3" borderId="3" xfId="0" applyFont="1" applyFill="1" applyBorder="1" applyAlignment="1">
      <alignment horizontal="center" vertical="top" wrapText="1"/>
    </xf>
    <xf numFmtId="164" fontId="5" fillId="4" borderId="4" xfId="2" quotePrefix="1" applyNumberFormat="1" applyFont="1" applyFill="1" applyBorder="1" applyAlignment="1">
      <alignment vertical="top" wrapText="1"/>
    </xf>
    <xf numFmtId="0" fontId="6" fillId="0" borderId="5" xfId="0" applyFont="1" applyFill="1" applyBorder="1" applyAlignment="1">
      <alignment horizontal="left" vertical="top" wrapText="1"/>
    </xf>
    <xf numFmtId="164" fontId="5" fillId="0" borderId="4" xfId="2" quotePrefix="1" applyNumberFormat="1" applyFont="1" applyFill="1" applyBorder="1" applyAlignment="1">
      <alignment vertical="top" wrapText="1"/>
    </xf>
    <xf numFmtId="165" fontId="5" fillId="4" borderId="6" xfId="2" quotePrefix="1" applyNumberFormat="1" applyFont="1" applyFill="1" applyBorder="1" applyAlignment="1">
      <alignment vertical="top" wrapText="1"/>
    </xf>
    <xf numFmtId="165" fontId="5" fillId="0" borderId="6" xfId="2" quotePrefix="1" applyNumberFormat="1" applyFont="1" applyFill="1" applyBorder="1" applyAlignment="1">
      <alignment vertical="top" wrapText="1"/>
    </xf>
    <xf numFmtId="0" fontId="6" fillId="0" borderId="4" xfId="0" applyFont="1" applyFill="1" applyBorder="1" applyAlignment="1">
      <alignment horizontal="left" vertical="top" wrapText="1"/>
    </xf>
    <xf numFmtId="165" fontId="5" fillId="2" borderId="6" xfId="2" quotePrefix="1" applyNumberFormat="1" applyFont="1" applyFill="1" applyBorder="1" applyAlignment="1">
      <alignment vertical="top" wrapText="1"/>
    </xf>
    <xf numFmtId="0" fontId="6" fillId="0" borderId="7" xfId="0" applyFont="1" applyFill="1" applyBorder="1" applyAlignment="1">
      <alignment horizontal="left" vertical="top" wrapText="1"/>
    </xf>
    <xf numFmtId="164" fontId="5" fillId="4" borderId="6" xfId="2" quotePrefix="1" applyNumberFormat="1" applyFont="1" applyFill="1" applyBorder="1" applyAlignment="1">
      <alignment vertical="top" wrapText="1"/>
    </xf>
    <xf numFmtId="164" fontId="5" fillId="0" borderId="6" xfId="2" quotePrefix="1" applyNumberFormat="1" applyFont="1" applyFill="1" applyBorder="1" applyAlignment="1">
      <alignment vertical="top" wrapText="1"/>
    </xf>
    <xf numFmtId="0" fontId="6" fillId="0" borderId="0" xfId="0" applyFont="1" applyFill="1" applyAlignment="1">
      <alignment horizontal="left" vertical="top" wrapText="1"/>
    </xf>
    <xf numFmtId="0" fontId="4" fillId="0" borderId="6" xfId="0" applyFont="1" applyFill="1" applyBorder="1" applyAlignment="1">
      <alignment horizontal="center" vertical="top" wrapText="1"/>
    </xf>
    <xf numFmtId="0" fontId="5" fillId="4" borderId="6" xfId="0" applyFont="1" applyFill="1" applyBorder="1" applyAlignment="1">
      <alignment horizontal="left" vertical="top" wrapText="1"/>
    </xf>
    <xf numFmtId="0" fontId="5" fillId="4" borderId="6" xfId="0" quotePrefix="1" applyFont="1" applyFill="1" applyBorder="1" applyAlignment="1">
      <alignment vertical="top" wrapText="1"/>
    </xf>
    <xf numFmtId="0" fontId="4" fillId="0" borderId="0" xfId="0" applyFont="1"/>
    <xf numFmtId="0" fontId="1" fillId="5" borderId="0" xfId="0" applyFont="1" applyFill="1" applyBorder="1" applyAlignment="1">
      <alignment horizontal="center"/>
    </xf>
    <xf numFmtId="0" fontId="1" fillId="3" borderId="10" xfId="0" applyFont="1" applyFill="1" applyBorder="1" applyAlignment="1">
      <alignment horizontal="center" wrapText="1"/>
    </xf>
    <xf numFmtId="0" fontId="1" fillId="3" borderId="11" xfId="0" applyFont="1" applyFill="1" applyBorder="1" applyAlignment="1">
      <alignment horizontal="center" wrapText="1"/>
    </xf>
    <xf numFmtId="0" fontId="1" fillId="3" borderId="12" xfId="0" applyFont="1" applyFill="1" applyBorder="1" applyAlignment="1">
      <alignment horizontal="center" wrapText="1"/>
    </xf>
    <xf numFmtId="0" fontId="5" fillId="0" borderId="0" xfId="4" applyFont="1"/>
    <xf numFmtId="0" fontId="4" fillId="5" borderId="0" xfId="4" applyNumberFormat="1" applyFont="1" applyFill="1" applyBorder="1" applyAlignment="1">
      <alignment horizontal="left" indent="1"/>
    </xf>
    <xf numFmtId="165" fontId="5" fillId="4" borderId="13" xfId="1" quotePrefix="1" applyNumberFormat="1" applyFont="1" applyFill="1" applyBorder="1"/>
    <xf numFmtId="165" fontId="5" fillId="4" borderId="14" xfId="1" quotePrefix="1" applyNumberFormat="1" applyFont="1" applyFill="1" applyBorder="1"/>
    <xf numFmtId="165" fontId="5" fillId="0" borderId="15" xfId="1" applyNumberFormat="1" applyFont="1" applyFill="1" applyBorder="1"/>
    <xf numFmtId="0" fontId="5" fillId="0" borderId="0" xfId="0" applyFont="1" applyAlignment="1">
      <alignment horizontal="left"/>
    </xf>
    <xf numFmtId="0" fontId="5" fillId="0" borderId="0" xfId="0" applyFont="1"/>
    <xf numFmtId="0" fontId="1" fillId="3" borderId="16" xfId="0" applyFont="1" applyFill="1" applyBorder="1" applyAlignment="1">
      <alignment horizontal="center"/>
    </xf>
    <xf numFmtId="0" fontId="1" fillId="3" borderId="17" xfId="0" applyFont="1" applyFill="1" applyBorder="1" applyAlignment="1">
      <alignment horizontal="center" wrapText="1"/>
    </xf>
    <xf numFmtId="0" fontId="1" fillId="3" borderId="18" xfId="0" applyFont="1" applyFill="1" applyBorder="1" applyAlignment="1">
      <alignment horizontal="center" wrapText="1"/>
    </xf>
    <xf numFmtId="166" fontId="5" fillId="0" borderId="6" xfId="0" applyNumberFormat="1" applyFont="1" applyFill="1" applyBorder="1" applyAlignment="1">
      <alignment horizontal="left"/>
    </xf>
    <xf numFmtId="167" fontId="5" fillId="4" borderId="6" xfId="0" applyNumberFormat="1" applyFont="1" applyFill="1" applyBorder="1" applyAlignment="1">
      <alignment horizontal="right"/>
    </xf>
    <xf numFmtId="167" fontId="5" fillId="0" borderId="6" xfId="0" applyNumberFormat="1" applyFont="1" applyFill="1" applyBorder="1" applyAlignment="1">
      <alignment horizontal="right"/>
    </xf>
    <xf numFmtId="0" fontId="5" fillId="0" borderId="6" xfId="0" applyFont="1" applyBorder="1"/>
    <xf numFmtId="0" fontId="4" fillId="0" borderId="6" xfId="0" applyFont="1" applyBorder="1" applyAlignment="1">
      <alignment horizontal="right"/>
    </xf>
    <xf numFmtId="0" fontId="4" fillId="0" borderId="0" xfId="0" applyFont="1" applyBorder="1" applyAlignment="1">
      <alignment horizontal="right"/>
    </xf>
    <xf numFmtId="167" fontId="5" fillId="0" borderId="0" xfId="0" applyNumberFormat="1" applyFont="1" applyFill="1" applyBorder="1" applyAlignment="1">
      <alignment horizontal="right"/>
    </xf>
    <xf numFmtId="0" fontId="6" fillId="0" borderId="0" xfId="0" applyFont="1" applyFill="1" applyAlignment="1">
      <alignment vertical="top" wrapText="1"/>
    </xf>
    <xf numFmtId="0" fontId="5" fillId="0" borderId="0" xfId="0" applyFont="1" applyFill="1" applyAlignment="1">
      <alignment horizontal="left"/>
    </xf>
    <xf numFmtId="168" fontId="5" fillId="4" borderId="6" xfId="0" applyNumberFormat="1" applyFont="1" applyFill="1" applyBorder="1" applyAlignment="1">
      <alignment horizontal="right"/>
    </xf>
    <xf numFmtId="168" fontId="5" fillId="0" borderId="6" xfId="0" applyNumberFormat="1" applyFont="1" applyFill="1" applyBorder="1" applyAlignment="1">
      <alignment horizontal="right"/>
    </xf>
    <xf numFmtId="166" fontId="4" fillId="0" borderId="6" xfId="0" applyNumberFormat="1" applyFont="1" applyFill="1" applyBorder="1" applyAlignment="1">
      <alignment horizontal="right"/>
    </xf>
    <xf numFmtId="5" fontId="4" fillId="0" borderId="0" xfId="2" applyNumberFormat="1" applyFont="1" applyFill="1" applyBorder="1"/>
    <xf numFmtId="5" fontId="4" fillId="0" borderId="0" xfId="2" applyNumberFormat="1" applyFont="1" applyBorder="1"/>
    <xf numFmtId="0" fontId="4" fillId="0" borderId="0" xfId="0" applyFont="1" applyFill="1" applyAlignment="1">
      <alignment horizontal="left"/>
    </xf>
    <xf numFmtId="0" fontId="4" fillId="0" borderId="0" xfId="0" applyFont="1" applyFill="1" applyAlignment="1">
      <alignment horizontal="left" indent="20"/>
    </xf>
    <xf numFmtId="168" fontId="5" fillId="0" borderId="0" xfId="2" applyNumberFormat="1" applyFont="1" applyFill="1" applyBorder="1" applyAlignment="1">
      <alignment horizontal="right"/>
    </xf>
    <xf numFmtId="0" fontId="4" fillId="0" borderId="0" xfId="0" applyFont="1" applyFill="1" applyAlignment="1">
      <alignment horizontal="left" indent="19"/>
    </xf>
    <xf numFmtId="0" fontId="6" fillId="0" borderId="19" xfId="0" applyFont="1" applyFill="1" applyBorder="1" applyAlignment="1">
      <alignment vertical="top" wrapText="1"/>
    </xf>
    <xf numFmtId="168" fontId="5" fillId="6" borderId="6" xfId="2" applyNumberFormat="1" applyFont="1" applyFill="1" applyBorder="1"/>
    <xf numFmtId="168" fontId="5" fillId="0" borderId="6" xfId="2" applyNumberFormat="1" applyFont="1" applyFill="1" applyBorder="1"/>
    <xf numFmtId="167" fontId="5" fillId="6" borderId="6" xfId="2" applyNumberFormat="1" applyFont="1" applyFill="1" applyBorder="1"/>
    <xf numFmtId="167" fontId="5" fillId="0" borderId="6" xfId="2" applyNumberFormat="1" applyFont="1" applyFill="1" applyBorder="1"/>
    <xf numFmtId="166" fontId="4" fillId="0" borderId="0" xfId="0" applyNumberFormat="1" applyFont="1" applyBorder="1" applyAlignment="1">
      <alignment horizontal="right"/>
    </xf>
    <xf numFmtId="168" fontId="5" fillId="0" borderId="0" xfId="2" applyNumberFormat="1" applyFont="1" applyFill="1" applyBorder="1"/>
    <xf numFmtId="168" fontId="5" fillId="0" borderId="20" xfId="2" applyNumberFormat="1" applyFont="1" applyBorder="1"/>
    <xf numFmtId="166" fontId="4" fillId="0" borderId="0" xfId="0" applyNumberFormat="1" applyFont="1" applyFill="1" applyBorder="1" applyAlignment="1">
      <alignment horizontal="right"/>
    </xf>
    <xf numFmtId="168" fontId="5" fillId="0" borderId="0" xfId="0" applyNumberFormat="1" applyFont="1" applyFill="1" applyBorder="1" applyAlignment="1">
      <alignment horizontal="right"/>
    </xf>
    <xf numFmtId="168" fontId="5" fillId="0" borderId="20" xfId="0" applyNumberFormat="1" applyFont="1" applyFill="1" applyBorder="1" applyAlignment="1">
      <alignment horizontal="right"/>
    </xf>
    <xf numFmtId="9" fontId="4" fillId="6" borderId="23" xfId="3" applyFont="1" applyFill="1" applyBorder="1" applyAlignment="1">
      <alignment horizontal="center" vertical="center"/>
    </xf>
    <xf numFmtId="9" fontId="5" fillId="0" borderId="0" xfId="3" applyFont="1" applyFill="1"/>
    <xf numFmtId="9" fontId="4" fillId="0" borderId="27" xfId="3" applyFont="1" applyFill="1" applyBorder="1" applyAlignment="1">
      <alignment horizontal="center" vertical="center"/>
    </xf>
    <xf numFmtId="0" fontId="1" fillId="3" borderId="16" xfId="0" applyFont="1" applyFill="1" applyBorder="1" applyAlignment="1">
      <alignment horizontal="center" vertical="top"/>
    </xf>
    <xf numFmtId="0" fontId="1" fillId="3" borderId="17" xfId="0" applyFont="1" applyFill="1" applyBorder="1" applyAlignment="1">
      <alignment horizontal="center" vertical="top" wrapText="1"/>
    </xf>
    <xf numFmtId="0" fontId="1" fillId="3" borderId="28" xfId="0" applyFont="1" applyFill="1" applyBorder="1" applyAlignment="1">
      <alignment horizontal="center" vertical="top" wrapText="1"/>
    </xf>
    <xf numFmtId="0" fontId="1" fillId="3" borderId="18" xfId="0" applyFont="1" applyFill="1" applyBorder="1" applyAlignment="1">
      <alignment horizontal="center" vertical="top" wrapText="1"/>
    </xf>
    <xf numFmtId="168" fontId="5" fillId="6" borderId="8" xfId="2" applyNumberFormat="1" applyFont="1" applyFill="1" applyBorder="1"/>
    <xf numFmtId="168" fontId="5" fillId="6" borderId="29" xfId="2" applyNumberFormat="1" applyFont="1" applyFill="1" applyBorder="1"/>
    <xf numFmtId="5" fontId="5" fillId="0" borderId="30" xfId="2" applyNumberFormat="1" applyFont="1" applyFill="1" applyBorder="1"/>
    <xf numFmtId="167" fontId="5" fillId="6" borderId="8" xfId="2" applyNumberFormat="1" applyFont="1" applyFill="1" applyBorder="1"/>
    <xf numFmtId="167" fontId="5" fillId="6" borderId="29" xfId="2" applyNumberFormat="1" applyFont="1" applyFill="1" applyBorder="1"/>
    <xf numFmtId="168" fontId="5" fillId="0" borderId="8" xfId="2" applyNumberFormat="1" applyFont="1" applyFill="1" applyBorder="1"/>
    <xf numFmtId="168" fontId="5" fillId="0" borderId="31" xfId="2" applyNumberFormat="1" applyFont="1" applyFill="1" applyBorder="1"/>
    <xf numFmtId="168" fontId="5" fillId="0" borderId="0" xfId="2" applyNumberFormat="1" applyFont="1" applyBorder="1"/>
    <xf numFmtId="5" fontId="5" fillId="0" borderId="0" xfId="2" applyNumberFormat="1" applyFont="1" applyBorder="1"/>
    <xf numFmtId="0" fontId="4" fillId="0" borderId="0" xfId="0" applyFont="1" applyAlignment="1">
      <alignment wrapText="1"/>
    </xf>
    <xf numFmtId="5" fontId="5" fillId="0" borderId="0" xfId="0" applyNumberFormat="1" applyFont="1"/>
    <xf numFmtId="164" fontId="5" fillId="0" borderId="6" xfId="2" applyNumberFormat="1" applyFont="1" applyFill="1" applyBorder="1" applyAlignment="1">
      <alignment horizontal="right"/>
    </xf>
    <xf numFmtId="165" fontId="5" fillId="0" borderId="6" xfId="2" applyNumberFormat="1" applyFont="1" applyFill="1" applyBorder="1" applyAlignment="1">
      <alignment horizontal="right"/>
    </xf>
    <xf numFmtId="164" fontId="5" fillId="0" borderId="0" xfId="2" applyNumberFormat="1" applyFont="1" applyFill="1" applyBorder="1" applyAlignment="1">
      <alignment horizontal="right"/>
    </xf>
    <xf numFmtId="0" fontId="5" fillId="0" borderId="0" xfId="0" applyFont="1" applyFill="1" applyAlignment="1">
      <alignment horizontal="left" indent="19"/>
    </xf>
    <xf numFmtId="168" fontId="5" fillId="0" borderId="0" xfId="0" applyNumberFormat="1" applyFont="1" applyFill="1"/>
    <xf numFmtId="0" fontId="5" fillId="0" borderId="32" xfId="0" applyFont="1" applyBorder="1"/>
    <xf numFmtId="0" fontId="5" fillId="0" borderId="0" xfId="0" applyFont="1" applyBorder="1" applyAlignment="1">
      <alignment vertical="top" wrapText="1"/>
    </xf>
    <xf numFmtId="165" fontId="5" fillId="0" borderId="0" xfId="1" applyNumberFormat="1" applyFont="1" applyFill="1"/>
    <xf numFmtId="164" fontId="5" fillId="0" borderId="32" xfId="0" applyNumberFormat="1" applyFont="1" applyBorder="1"/>
    <xf numFmtId="164" fontId="5" fillId="0" borderId="0" xfId="0" applyNumberFormat="1" applyFont="1" applyFill="1"/>
    <xf numFmtId="167" fontId="5" fillId="0" borderId="8" xfId="2" applyNumberFormat="1" applyFont="1" applyFill="1" applyBorder="1"/>
    <xf numFmtId="43" fontId="5" fillId="0" borderId="6" xfId="1" applyFont="1" applyFill="1" applyBorder="1" applyAlignment="1">
      <alignment horizontal="right"/>
    </xf>
    <xf numFmtId="0" fontId="5" fillId="4" borderId="6" xfId="0" applyFont="1" applyFill="1" applyBorder="1" applyAlignment="1">
      <alignment vertical="top" wrapText="1"/>
    </xf>
    <xf numFmtId="0" fontId="6" fillId="0" borderId="0" xfId="0" applyFont="1" applyFill="1" applyAlignment="1">
      <alignment horizontal="left" vertical="top" wrapText="1" indent="2"/>
    </xf>
    <xf numFmtId="0" fontId="4" fillId="0" borderId="0" xfId="0" applyFont="1" applyFill="1" applyAlignment="1">
      <alignment horizontal="left"/>
    </xf>
    <xf numFmtId="0" fontId="6" fillId="0" borderId="19" xfId="0" applyFont="1" applyFill="1" applyBorder="1" applyAlignment="1">
      <alignment horizontal="left" vertical="top" wrapText="1" indent="2"/>
    </xf>
    <xf numFmtId="0" fontId="5" fillId="0" borderId="20" xfId="0" applyFont="1" applyBorder="1" applyAlignment="1">
      <alignment horizontal="left" vertical="top" wrapText="1"/>
    </xf>
    <xf numFmtId="0" fontId="5" fillId="0" borderId="0" xfId="0" applyFont="1" applyBorder="1" applyAlignment="1">
      <alignment horizontal="left" vertical="top" wrapText="1"/>
    </xf>
    <xf numFmtId="0" fontId="6" fillId="0" borderId="19" xfId="0" applyFont="1" applyFill="1" applyBorder="1" applyAlignment="1">
      <alignment horizontal="left" vertical="top" wrapText="1"/>
    </xf>
    <xf numFmtId="9" fontId="11" fillId="0" borderId="0" xfId="3" applyFont="1" applyBorder="1" applyAlignment="1">
      <alignment horizontal="center" vertical="top" wrapText="1"/>
    </xf>
    <xf numFmtId="0" fontId="1" fillId="7" borderId="25" xfId="0" applyFont="1" applyFill="1" applyBorder="1" applyAlignment="1">
      <alignment horizontal="right" vertical="center" wrapText="1"/>
    </xf>
    <xf numFmtId="0" fontId="1" fillId="7" borderId="26" xfId="0" applyFont="1" applyFill="1" applyBorder="1" applyAlignment="1">
      <alignment horizontal="right" vertical="center" wrapText="1"/>
    </xf>
    <xf numFmtId="0" fontId="4" fillId="0" borderId="0" xfId="0" applyFont="1" applyAlignment="1">
      <alignment horizontal="left" vertical="top" wrapText="1"/>
    </xf>
    <xf numFmtId="0" fontId="6" fillId="0" borderId="19" xfId="0" applyFont="1" applyFill="1" applyBorder="1" applyAlignment="1">
      <alignment horizontal="left" vertical="top" wrapText="1" indent="4"/>
    </xf>
    <xf numFmtId="0" fontId="4" fillId="0" borderId="0" xfId="0" applyFont="1" applyAlignment="1">
      <alignment horizontal="left" wrapText="1"/>
    </xf>
    <xf numFmtId="0" fontId="2" fillId="7" borderId="10" xfId="0" applyFont="1" applyFill="1" applyBorder="1" applyAlignment="1">
      <alignment horizontal="left" vertical="top" wrapText="1" indent="2"/>
    </xf>
    <xf numFmtId="0" fontId="2" fillId="7" borderId="11" xfId="0" applyFont="1" applyFill="1" applyBorder="1" applyAlignment="1">
      <alignment horizontal="left" vertical="top" wrapText="1" indent="2"/>
    </xf>
    <xf numFmtId="0" fontId="2" fillId="7" borderId="24" xfId="0" applyFont="1" applyFill="1" applyBorder="1" applyAlignment="1">
      <alignment horizontal="left" vertical="top" wrapText="1" indent="2"/>
    </xf>
    <xf numFmtId="0" fontId="2" fillId="7" borderId="19" xfId="0" applyFont="1" applyFill="1" applyBorder="1" applyAlignment="1">
      <alignment horizontal="left" vertical="top" wrapText="1" indent="2"/>
    </xf>
    <xf numFmtId="0" fontId="1" fillId="7" borderId="21" xfId="0" applyFont="1" applyFill="1" applyBorder="1" applyAlignment="1">
      <alignment horizontal="right" vertical="center" wrapText="1"/>
    </xf>
    <xf numFmtId="0" fontId="1" fillId="7" borderId="22" xfId="0" applyFont="1" applyFill="1" applyBorder="1" applyAlignment="1">
      <alignment horizontal="right" vertical="center" wrapText="1"/>
    </xf>
    <xf numFmtId="0" fontId="4" fillId="0" borderId="8" xfId="0" applyFont="1" applyFill="1" applyBorder="1" applyAlignment="1">
      <alignment horizontal="left" vertical="top"/>
    </xf>
    <xf numFmtId="0" fontId="4" fillId="0" borderId="9" xfId="0" applyFont="1" applyFill="1" applyBorder="1" applyAlignment="1">
      <alignment horizontal="left" vertical="top"/>
    </xf>
    <xf numFmtId="0" fontId="5" fillId="4" borderId="6" xfId="0" applyFont="1" applyFill="1" applyBorder="1" applyAlignment="1">
      <alignment horizontal="left" vertical="top" wrapText="1"/>
    </xf>
    <xf numFmtId="0" fontId="4" fillId="0" borderId="6" xfId="0" applyFont="1" applyFill="1" applyBorder="1" applyAlignment="1">
      <alignment horizontal="left" vertical="top" indent="2"/>
    </xf>
    <xf numFmtId="0" fontId="4" fillId="0" borderId="6" xfId="0" applyFont="1" applyFill="1" applyBorder="1" applyAlignment="1">
      <alignment horizontal="center" vertical="top" wrapText="1"/>
    </xf>
    <xf numFmtId="0" fontId="6" fillId="0" borderId="0" xfId="0" applyFont="1" applyFill="1" applyAlignment="1">
      <alignment horizontal="left" vertical="top" wrapText="1" indent="4"/>
    </xf>
    <xf numFmtId="0" fontId="4" fillId="0" borderId="0" xfId="0" applyFont="1" applyFill="1" applyAlignment="1">
      <alignment horizontal="left" indent="1"/>
    </xf>
    <xf numFmtId="0" fontId="5" fillId="0" borderId="0" xfId="0" applyFont="1" applyFill="1" applyAlignment="1">
      <alignment horizontal="left" vertical="top" wrapText="1"/>
    </xf>
    <xf numFmtId="0" fontId="1" fillId="3" borderId="1" xfId="0" applyFont="1" applyFill="1" applyBorder="1" applyAlignment="1">
      <alignment horizontal="center" vertical="top" wrapText="1"/>
    </xf>
    <xf numFmtId="0" fontId="1" fillId="3" borderId="2" xfId="0" applyFont="1" applyFill="1" applyBorder="1" applyAlignment="1">
      <alignment horizontal="center" vertical="top" wrapText="1"/>
    </xf>
    <xf numFmtId="0" fontId="4" fillId="0" borderId="4" xfId="0" applyFont="1" applyFill="1" applyBorder="1" applyAlignment="1">
      <alignment horizontal="left" vertical="top" indent="2"/>
    </xf>
  </cellXfs>
  <cellStyles count="15">
    <cellStyle name="Comma" xfId="1" builtinId="3"/>
    <cellStyle name="Comma 2" xfId="5"/>
    <cellStyle name="Comma 3" xfId="6"/>
    <cellStyle name="Comma0" xfId="7"/>
    <cellStyle name="Currency" xfId="2" builtinId="4"/>
    <cellStyle name="Currency 2" xfId="8"/>
    <cellStyle name="Currency0" xfId="9"/>
    <cellStyle name="Date" xfId="10"/>
    <cellStyle name="Fixed" xfId="11"/>
    <cellStyle name="Normal" xfId="0" builtinId="0"/>
    <cellStyle name="Normal 2" xfId="12"/>
    <cellStyle name="Normal_EnrollbyClass" xfId="4"/>
    <cellStyle name="Percent" xfId="3" builtinId="5"/>
    <cellStyle name="Percent 2" xfId="13"/>
    <cellStyle name="Percent 3" xfId="14"/>
  </cellStyles>
  <dxfs count="13">
    <dxf>
      <font>
        <strike val="0"/>
        <color theme="0"/>
      </font>
      <fill>
        <patternFill>
          <bgColor theme="1" tint="4.9989318521683403E-2"/>
        </patternFill>
      </fill>
    </dxf>
    <dxf>
      <font>
        <strike val="0"/>
        <color theme="0"/>
      </font>
      <fill>
        <patternFill>
          <bgColor theme="1" tint="4.9989318521683403E-2"/>
        </patternFill>
      </fill>
    </dxf>
    <dxf>
      <font>
        <strike val="0"/>
        <color theme="0"/>
      </font>
      <fill>
        <patternFill>
          <bgColor rgb="FFFF0000"/>
        </patternFill>
      </fill>
    </dxf>
    <dxf>
      <font>
        <color theme="0"/>
      </font>
      <fill>
        <patternFill>
          <bgColor rgb="FFFF0000"/>
        </patternFill>
      </fill>
    </dxf>
    <dxf>
      <font>
        <b/>
        <i val="0"/>
        <color theme="0"/>
      </font>
      <fill>
        <patternFill>
          <bgColor rgb="FFFF0000"/>
        </patternFill>
      </fill>
    </dxf>
    <dxf>
      <font>
        <strike val="0"/>
        <color theme="0"/>
      </font>
      <fill>
        <patternFill>
          <bgColor theme="1"/>
        </patternFill>
      </fill>
    </dxf>
    <dxf>
      <font>
        <color theme="0"/>
      </font>
      <fill>
        <patternFill>
          <bgColor rgb="FFFF0000"/>
        </patternFill>
      </fill>
    </dxf>
    <dxf>
      <font>
        <color theme="0"/>
      </font>
      <fill>
        <patternFill>
          <bgColor theme="1"/>
        </patternFill>
      </fill>
    </dxf>
    <dxf>
      <font>
        <color theme="0"/>
      </font>
      <fill>
        <patternFill>
          <bgColor theme="1"/>
        </patternFill>
      </fill>
    </dxf>
    <dxf>
      <font>
        <color theme="0"/>
      </font>
      <fill>
        <patternFill>
          <bgColor theme="1"/>
        </patternFill>
      </fill>
    </dxf>
    <dxf>
      <font>
        <strike val="0"/>
        <color theme="0"/>
      </font>
      <fill>
        <patternFill>
          <bgColor theme="1" tint="4.9989318521683403E-2"/>
        </patternFill>
      </fill>
    </dxf>
    <dxf>
      <font>
        <color theme="0"/>
      </font>
      <fill>
        <patternFill>
          <bgColor theme="1"/>
        </patternFill>
      </fill>
    </dxf>
    <dxf>
      <font>
        <strike val="0"/>
        <color theme="0"/>
      </font>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P/PA/Resource/FINANCEFILES/Cost%20Study%20University/Cost%20Study%202009%20(FY2008)/Attempted%20Semester%20Credit%20Hours%20FY2008/01%20Cost%20Study%20FY%202006-2007-2008%20ASC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anetg\Local%20Settings\Temporary%20Internet%20Files\OLK17F\FY2006C2swrk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port"/>
      <sheetName val="Sum Base Case"/>
      <sheetName val="Revenue Neutral"/>
      <sheetName val="Totals"/>
      <sheetName val="Academic"/>
      <sheetName val="Institutional"/>
      <sheetName val="Student"/>
      <sheetName val="Salaries"/>
      <sheetName val="DOE"/>
      <sheetName val="HC"/>
      <sheetName val="CBM004 008"/>
      <sheetName val="Survey"/>
      <sheetName val="Reconciliation"/>
    </sheetNames>
    <sheetDataSet>
      <sheetData sheetId="0" refreshError="1"/>
      <sheetData sheetId="1" refreshError="1"/>
      <sheetData sheetId="2">
        <row r="47">
          <cell r="Y47">
            <v>696284.1383830905</v>
          </cell>
        </row>
        <row r="67">
          <cell r="Y67">
            <v>-148794.45622697473</v>
          </cell>
        </row>
        <row r="87">
          <cell r="Y87">
            <v>-294700.0407621637</v>
          </cell>
        </row>
        <row r="107">
          <cell r="Y107">
            <v>-12110.878597311676</v>
          </cell>
        </row>
        <row r="127">
          <cell r="Y127">
            <v>74243.833677448332</v>
          </cell>
        </row>
        <row r="147">
          <cell r="Y147">
            <v>1105441.012132585</v>
          </cell>
        </row>
        <row r="167">
          <cell r="Y167">
            <v>-620032.86666422896</v>
          </cell>
        </row>
        <row r="187">
          <cell r="Y187">
            <v>2697720.8868795931</v>
          </cell>
        </row>
        <row r="207">
          <cell r="Y207">
            <v>127844.84117612243</v>
          </cell>
        </row>
        <row r="227">
          <cell r="Y227">
            <v>-286995.75159478933</v>
          </cell>
        </row>
        <row r="247">
          <cell r="Y247">
            <v>-96551.582530386746</v>
          </cell>
        </row>
        <row r="267">
          <cell r="Y267">
            <v>-374886.39410948753</v>
          </cell>
        </row>
        <row r="287">
          <cell r="Y287">
            <v>-380222.47354287654</v>
          </cell>
        </row>
        <row r="307">
          <cell r="Y307">
            <v>166719.98235011473</v>
          </cell>
        </row>
        <row r="327">
          <cell r="Y327">
            <v>-51025.621456926689</v>
          </cell>
        </row>
        <row r="347">
          <cell r="Y347">
            <v>-45735.034618780948</v>
          </cell>
        </row>
        <row r="367">
          <cell r="Y367">
            <v>-464219.01695810258</v>
          </cell>
        </row>
        <row r="387">
          <cell r="Y387">
            <v>746494.75118714571</v>
          </cell>
        </row>
        <row r="407">
          <cell r="Y407">
            <v>93927.687224119902</v>
          </cell>
        </row>
        <row r="427">
          <cell r="Y427">
            <v>398873.43004878238</v>
          </cell>
        </row>
        <row r="447">
          <cell r="Y447">
            <v>-135500.50256366841</v>
          </cell>
        </row>
        <row r="467">
          <cell r="Y467">
            <v>-668701.93646429852</v>
          </cell>
        </row>
        <row r="487">
          <cell r="Y487">
            <v>-743209.10399247706</v>
          </cell>
        </row>
        <row r="507">
          <cell r="Y507">
            <v>-627376.07511529699</v>
          </cell>
        </row>
        <row r="527">
          <cell r="Y527">
            <v>-333622.7820064649</v>
          </cell>
        </row>
        <row r="547">
          <cell r="Y547">
            <v>1767236.0151788592</v>
          </cell>
        </row>
        <row r="567">
          <cell r="Y567">
            <v>-3448067.0175629258</v>
          </cell>
        </row>
        <row r="587">
          <cell r="Y587">
            <v>-204163.79885340668</v>
          </cell>
        </row>
        <row r="607">
          <cell r="Y607">
            <v>-439012.91671082377</v>
          </cell>
        </row>
        <row r="627">
          <cell r="Y627">
            <v>74262.944405190647</v>
          </cell>
        </row>
        <row r="647">
          <cell r="Y647">
            <v>-383615.04479929805</v>
          </cell>
        </row>
        <row r="667">
          <cell r="Y667">
            <v>-25350.12384520378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UTArl"/>
      <sheetName val="UTAustin"/>
      <sheetName val="UTDallas"/>
      <sheetName val="UTEP"/>
      <sheetName val="UTPanAm"/>
      <sheetName val="UTBrwnsville"/>
      <sheetName val="UTPB"/>
      <sheetName val="UTSA"/>
      <sheetName val="UTTyler"/>
      <sheetName val="TAMU"/>
      <sheetName val="TAMUG"/>
      <sheetName val="PVAMU"/>
      <sheetName val="Tarleton"/>
      <sheetName val="TAMUCommerce"/>
      <sheetName val="TAMUCorpusChristi"/>
      <sheetName val="TAMUKingsville"/>
      <sheetName val="TAMUInternational"/>
      <sheetName val="TAMUTexarkana"/>
      <sheetName val="WTAMU"/>
      <sheetName val="UH"/>
      <sheetName val="UHClearLake"/>
      <sheetName val="UHDowntown"/>
      <sheetName val="UHVictoria"/>
      <sheetName val="Midwestern"/>
      <sheetName val="UNorthTexas"/>
      <sheetName val="SFASU"/>
      <sheetName val="TSU"/>
      <sheetName val="Tech"/>
      <sheetName val="TWU"/>
      <sheetName val="AngeloState"/>
      <sheetName val="Lamar"/>
      <sheetName val="SamHouston"/>
      <sheetName val="TxStateSanMarcos"/>
      <sheetName val="SulR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
          <cell r="A1" t="str">
            <v>Midwestern State University</v>
          </cell>
        </row>
        <row r="2">
          <cell r="A2" t="str">
            <v>SCHEDULE C-2:  EXPENSES BY OBJECT AND FUND GROUP</v>
          </cell>
        </row>
        <row r="3">
          <cell r="A3" t="str">
            <v>For the year ended August 31, 2006</v>
          </cell>
        </row>
        <row r="4">
          <cell r="A4" t="str">
            <v>UNAUDITED</v>
          </cell>
        </row>
        <row r="5">
          <cell r="A5">
            <v>24</v>
          </cell>
        </row>
        <row r="6">
          <cell r="C6" t="str">
            <v>Salaries</v>
          </cell>
          <cell r="E6" t="str">
            <v>Payroll</v>
          </cell>
          <cell r="G6" t="str">
            <v>Costs of</v>
          </cell>
          <cell r="I6" t="str">
            <v>Professional</v>
          </cell>
          <cell r="M6" t="str">
            <v>Materials</v>
          </cell>
          <cell r="S6" t="str">
            <v>Repairs and</v>
          </cell>
          <cell r="U6" t="str">
            <v>Rentals and</v>
          </cell>
          <cell r="W6" t="str">
            <v>Printing and</v>
          </cell>
          <cell r="Y6" t="str">
            <v>Bad Debt</v>
          </cell>
          <cell r="AA6" t="str">
            <v xml:space="preserve">Claims and </v>
          </cell>
          <cell r="AC6" t="str">
            <v>Scholarships</v>
          </cell>
          <cell r="AE6" t="str">
            <v>Depreciation</v>
          </cell>
          <cell r="AG6" t="str">
            <v>Federal Sponsored</v>
          </cell>
          <cell r="AI6" t="str">
            <v>State Sponsored</v>
          </cell>
          <cell r="AK6" t="str">
            <v>Other</v>
          </cell>
          <cell r="AM6" t="str">
            <v>Subtotal</v>
          </cell>
          <cell r="AO6" t="str">
            <v>Capital</v>
          </cell>
        </row>
        <row r="7">
          <cell r="C7" t="str">
            <v>and Wages</v>
          </cell>
          <cell r="E7" t="str">
            <v>Related Costs</v>
          </cell>
          <cell r="G7" t="str">
            <v>Goods Sold</v>
          </cell>
          <cell r="I7" t="str">
            <v>Fees and Services</v>
          </cell>
          <cell r="K7" t="str">
            <v>Travel</v>
          </cell>
          <cell r="M7" t="str">
            <v>and Supplies</v>
          </cell>
          <cell r="O7" t="str">
            <v>Utilities</v>
          </cell>
          <cell r="Q7" t="str">
            <v>Telecomm</v>
          </cell>
          <cell r="S7" t="str">
            <v>Maintenance</v>
          </cell>
          <cell r="U7" t="str">
            <v>Leases</v>
          </cell>
          <cell r="W7" t="str">
            <v>Reproduction</v>
          </cell>
          <cell r="Y7" t="str">
            <v>Expense</v>
          </cell>
          <cell r="AA7" t="str">
            <v>Losses</v>
          </cell>
          <cell r="AC7" t="str">
            <v>and Fellowships</v>
          </cell>
          <cell r="AE7" t="str">
            <v>and Amortization</v>
          </cell>
          <cell r="AG7" t="str">
            <v>Pass-Throughs</v>
          </cell>
          <cell r="AI7" t="str">
            <v>Pass-Throughs</v>
          </cell>
          <cell r="AK7" t="str">
            <v>Expenses</v>
          </cell>
          <cell r="AM7" t="str">
            <v>Operating Expenses</v>
          </cell>
          <cell r="AO7" t="str">
            <v>Outlay</v>
          </cell>
          <cell r="AQ7" t="str">
            <v>Total</v>
          </cell>
        </row>
        <row r="9">
          <cell r="A9" t="str">
            <v>EDUCATIONAL AND GENERAL</v>
          </cell>
        </row>
        <row r="10">
          <cell r="A10" t="str">
            <v xml:space="preserve">     Instruction</v>
          </cell>
          <cell r="B10" t="str">
            <v>$</v>
          </cell>
        </row>
        <row r="11">
          <cell r="A11" t="str">
            <v xml:space="preserve">     Research</v>
          </cell>
        </row>
        <row r="12">
          <cell r="A12" t="str">
            <v xml:space="preserve">     Public Service</v>
          </cell>
        </row>
        <row r="13">
          <cell r="A13" t="str">
            <v xml:space="preserve">     Hospitals/Clinics</v>
          </cell>
        </row>
        <row r="14">
          <cell r="A14" t="str">
            <v xml:space="preserve">     Academic Support</v>
          </cell>
        </row>
        <row r="15">
          <cell r="A15" t="str">
            <v xml:space="preserve">     Student Services</v>
          </cell>
        </row>
        <row r="16">
          <cell r="A16" t="str">
            <v xml:space="preserve">     Institutional Support</v>
          </cell>
        </row>
        <row r="17">
          <cell r="A17" t="str">
            <v xml:space="preserve">     Operation and Maintenance of Plant</v>
          </cell>
        </row>
        <row r="18">
          <cell r="A18" t="str">
            <v xml:space="preserve">     Scholarships and Fellowships</v>
          </cell>
        </row>
        <row r="19">
          <cell r="A19" t="str">
            <v xml:space="preserve">           Scholarship allowances</v>
          </cell>
        </row>
        <row r="20">
          <cell r="A20" t="str">
            <v xml:space="preserve">     Auxiliary Enterprises</v>
          </cell>
        </row>
        <row r="21">
          <cell r="A21" t="str">
            <v xml:space="preserve">     Amortization</v>
          </cell>
        </row>
        <row r="22">
          <cell r="A22" t="str">
            <v xml:space="preserve">   Total Educational and General</v>
          </cell>
        </row>
        <row r="25">
          <cell r="A25" t="str">
            <v>DESIGNATED</v>
          </cell>
        </row>
        <row r="26">
          <cell r="A26" t="str">
            <v xml:space="preserve">     Instruction</v>
          </cell>
        </row>
        <row r="27">
          <cell r="A27" t="str">
            <v xml:space="preserve">     Research</v>
          </cell>
        </row>
        <row r="28">
          <cell r="A28" t="str">
            <v xml:space="preserve">     Public Service</v>
          </cell>
        </row>
        <row r="29">
          <cell r="A29" t="str">
            <v xml:space="preserve">     Hospitals/Clinics</v>
          </cell>
        </row>
        <row r="30">
          <cell r="A30" t="str">
            <v xml:space="preserve">     Academic Support</v>
          </cell>
        </row>
        <row r="31">
          <cell r="A31" t="str">
            <v xml:space="preserve">     Student Services</v>
          </cell>
        </row>
        <row r="32">
          <cell r="A32" t="str">
            <v xml:space="preserve">     Institutional Support</v>
          </cell>
        </row>
        <row r="33">
          <cell r="A33" t="str">
            <v xml:space="preserve">     Operation and Maintenance of Plant</v>
          </cell>
        </row>
        <row r="34">
          <cell r="A34" t="str">
            <v xml:space="preserve">     Scholarships and Fellowships</v>
          </cell>
        </row>
        <row r="35">
          <cell r="A35" t="str">
            <v xml:space="preserve">          Scholarship Allowances</v>
          </cell>
        </row>
        <row r="36">
          <cell r="A36" t="str">
            <v xml:space="preserve">     Auxiliary Enterprises</v>
          </cell>
        </row>
        <row r="37">
          <cell r="A37" t="str">
            <v xml:space="preserve">     Amortization</v>
          </cell>
        </row>
        <row r="38">
          <cell r="A38" t="str">
            <v xml:space="preserve">   Total Designated</v>
          </cell>
        </row>
        <row r="41">
          <cell r="A41" t="str">
            <v>AUXILIARY ENTERPRISES</v>
          </cell>
        </row>
        <row r="42">
          <cell r="A42" t="str">
            <v xml:space="preserve">     Auxiliary Enterprises</v>
          </cell>
        </row>
        <row r="43">
          <cell r="A43" t="str">
            <v xml:space="preserve">          Scholarship Allowances</v>
          </cell>
        </row>
        <row r="44">
          <cell r="A44" t="str">
            <v xml:space="preserve">   Total Auxiliary Enterprises</v>
          </cell>
        </row>
        <row r="48">
          <cell r="A48" t="str">
            <v>RESTRICTED EXPENDABLE</v>
          </cell>
        </row>
        <row r="49">
          <cell r="A49" t="str">
            <v xml:space="preserve">     Instruction</v>
          </cell>
        </row>
        <row r="50">
          <cell r="A50" t="str">
            <v xml:space="preserve">     Research</v>
          </cell>
        </row>
        <row r="51">
          <cell r="A51" t="str">
            <v xml:space="preserve">     Public Service</v>
          </cell>
        </row>
        <row r="52">
          <cell r="A52" t="str">
            <v xml:space="preserve">     Hospitals/Clinics</v>
          </cell>
        </row>
        <row r="53">
          <cell r="A53" t="str">
            <v xml:space="preserve">     Academic Support</v>
          </cell>
        </row>
        <row r="54">
          <cell r="A54" t="str">
            <v xml:space="preserve">     Student Services</v>
          </cell>
        </row>
        <row r="55">
          <cell r="A55" t="str">
            <v xml:space="preserve">     Institutional Support</v>
          </cell>
        </row>
        <row r="56">
          <cell r="A56" t="str">
            <v xml:space="preserve">     Operation and Maintenance of Plant</v>
          </cell>
        </row>
        <row r="57">
          <cell r="A57" t="str">
            <v xml:space="preserve">     Scholarships and Fellowships</v>
          </cell>
        </row>
        <row r="58">
          <cell r="A58" t="str">
            <v xml:space="preserve">          Scholarship Allowances</v>
          </cell>
        </row>
        <row r="59">
          <cell r="A59" t="str">
            <v xml:space="preserve">     Auxiliary Enterprises</v>
          </cell>
        </row>
        <row r="60">
          <cell r="A60" t="str">
            <v xml:space="preserve">     Amortization</v>
          </cell>
        </row>
        <row r="61">
          <cell r="A61" t="str">
            <v xml:space="preserve">   Total Restricted Expendable</v>
          </cell>
        </row>
        <row r="64">
          <cell r="A64" t="str">
            <v>LOAN FUNDS</v>
          </cell>
        </row>
        <row r="65">
          <cell r="A65" t="str">
            <v xml:space="preserve">     Student Services</v>
          </cell>
        </row>
        <row r="68">
          <cell r="A68" t="str">
            <v>PLANT FUNDS</v>
          </cell>
        </row>
        <row r="69">
          <cell r="A69" t="str">
            <v xml:space="preserve">     Instruction</v>
          </cell>
        </row>
        <row r="70">
          <cell r="A70" t="str">
            <v xml:space="preserve">     Research</v>
          </cell>
        </row>
        <row r="71">
          <cell r="A71" t="str">
            <v xml:space="preserve">     Public Service</v>
          </cell>
        </row>
        <row r="72">
          <cell r="A72" t="str">
            <v xml:space="preserve">     Hospitals/Clinics</v>
          </cell>
        </row>
        <row r="73">
          <cell r="A73" t="str">
            <v xml:space="preserve">     Academic Support</v>
          </cell>
        </row>
        <row r="74">
          <cell r="A74" t="str">
            <v xml:space="preserve">     Student Services</v>
          </cell>
        </row>
        <row r="75">
          <cell r="A75" t="str">
            <v xml:space="preserve">     Institutional Support</v>
          </cell>
        </row>
        <row r="76">
          <cell r="A76" t="str">
            <v xml:space="preserve">     Operation and Maintenance of Plant</v>
          </cell>
        </row>
        <row r="77">
          <cell r="A77" t="str">
            <v xml:space="preserve">     Auxiliary Enterprises</v>
          </cell>
        </row>
        <row r="78">
          <cell r="A78" t="str">
            <v xml:space="preserve">     Depreciation (Investment in Plant)</v>
          </cell>
        </row>
        <row r="79">
          <cell r="A79" t="str">
            <v xml:space="preserve">   Total Plant Funds</v>
          </cell>
        </row>
        <row r="81">
          <cell r="A81" t="str">
            <v>AVAILABLE UNIVERSITY FUND</v>
          </cell>
        </row>
        <row r="82">
          <cell r="A82" t="str">
            <v>TOTAL OPERATING EXPENSES (Exh. B)</v>
          </cell>
          <cell r="B82" t="str">
            <v>$</v>
          </cell>
        </row>
        <row r="84">
          <cell r="A84" t="str">
            <v>Relevant Data Collection Totals</v>
          </cell>
        </row>
        <row r="85">
          <cell r="A85" t="str">
            <v xml:space="preserve">     Instruction</v>
          </cell>
          <cell r="B85" t="str">
            <v>$</v>
          </cell>
        </row>
        <row r="86">
          <cell r="A86" t="str">
            <v xml:space="preserve">     Research</v>
          </cell>
        </row>
        <row r="87">
          <cell r="A87" t="str">
            <v xml:space="preserve">     Public Service</v>
          </cell>
        </row>
        <row r="88">
          <cell r="A88" t="str">
            <v xml:space="preserve">     Hospitals/Clinics</v>
          </cell>
        </row>
        <row r="89">
          <cell r="A89" t="str">
            <v xml:space="preserve">     Academic Support</v>
          </cell>
        </row>
        <row r="90">
          <cell r="A90" t="str">
            <v xml:space="preserve">     Student Services</v>
          </cell>
        </row>
        <row r="91">
          <cell r="A91" t="str">
            <v xml:space="preserve">     Institutional Support</v>
          </cell>
        </row>
        <row r="92">
          <cell r="A92" t="str">
            <v xml:space="preserve">     Operation and Maintenance of Plant</v>
          </cell>
        </row>
        <row r="93">
          <cell r="A93" t="str">
            <v xml:space="preserve">     Scholarships and Fellowships</v>
          </cell>
        </row>
        <row r="94">
          <cell r="A94" t="str">
            <v xml:space="preserve">     Auxiliary Enterprises</v>
          </cell>
        </row>
        <row r="95">
          <cell r="A95" t="str">
            <v xml:space="preserve">     Depreciation (Investment in Plant)</v>
          </cell>
        </row>
        <row r="96">
          <cell r="A96" t="str">
            <v xml:space="preserve">   Totals</v>
          </cell>
          <cell r="B96" t="str">
            <v>$</v>
          </cell>
        </row>
        <row r="98">
          <cell r="A98" t="str">
            <v>Difference</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B1:Q363"/>
  <sheetViews>
    <sheetView showGridLines="0" showZeros="0" tabSelected="1" zoomScaleNormal="100" workbookViewId="0"/>
  </sheetViews>
  <sheetFormatPr defaultRowHeight="14.25"/>
  <cols>
    <col min="1" max="1" width="1.85546875" style="1" customWidth="1"/>
    <col min="2" max="2" width="30.5703125" style="1" customWidth="1"/>
    <col min="3" max="5" width="15.85546875" style="1" bestFit="1" customWidth="1"/>
    <col min="6" max="6" width="16.7109375" style="1" bestFit="1" customWidth="1"/>
    <col min="7" max="7" width="17.5703125" style="1" bestFit="1" customWidth="1"/>
    <col min="8" max="8" width="21.28515625" style="1" bestFit="1" customWidth="1"/>
    <col min="9" max="9" width="16.28515625" style="1" bestFit="1" customWidth="1"/>
    <col min="10" max="10" width="10.85546875" style="1" bestFit="1" customWidth="1"/>
    <col min="11" max="11" width="12" style="1" bestFit="1" customWidth="1"/>
    <col min="12" max="12" width="7.28515625" style="1" bestFit="1" customWidth="1"/>
    <col min="13" max="13" width="8" style="1" bestFit="1" customWidth="1"/>
    <col min="14" max="14" width="8.28515625" style="1" bestFit="1" customWidth="1"/>
    <col min="15" max="15" width="8" style="1" bestFit="1" customWidth="1"/>
    <col min="16" max="16" width="9.140625" style="1" bestFit="1" customWidth="1"/>
    <col min="17" max="16384" width="9.140625" style="1"/>
  </cols>
  <sheetData>
    <row r="1" spans="2:8" customFormat="1" ht="12.75"/>
    <row r="2" spans="2:8">
      <c r="B2" s="101" t="s">
        <v>92</v>
      </c>
      <c r="C2" s="101"/>
      <c r="D2" s="101"/>
      <c r="E2" s="101"/>
      <c r="F2" s="101"/>
      <c r="G2" s="101"/>
      <c r="H2" s="101"/>
    </row>
    <row r="3" spans="2:8">
      <c r="B3" s="124" t="s">
        <v>93</v>
      </c>
      <c r="C3" s="124"/>
      <c r="D3" s="124"/>
      <c r="E3" s="124"/>
      <c r="F3" s="124"/>
      <c r="G3" s="124"/>
      <c r="H3" s="124"/>
    </row>
    <row r="4" spans="2:8">
      <c r="B4" s="2" t="s">
        <v>90</v>
      </c>
      <c r="C4" s="2"/>
      <c r="D4" s="2"/>
      <c r="E4" s="2"/>
      <c r="F4" s="2"/>
      <c r="G4" s="2"/>
      <c r="H4" s="2"/>
    </row>
    <row r="5" spans="2:8">
      <c r="B5" s="3" t="s">
        <v>91</v>
      </c>
      <c r="C5" s="2"/>
      <c r="D5" s="2"/>
      <c r="E5" s="2"/>
      <c r="F5" s="2"/>
      <c r="G5" s="2"/>
      <c r="H5" s="2"/>
    </row>
    <row r="6" spans="2:8">
      <c r="B6" s="2"/>
      <c r="C6" s="2"/>
      <c r="D6" s="2"/>
      <c r="E6" s="2"/>
      <c r="F6" s="2"/>
      <c r="G6" s="2"/>
      <c r="H6" s="4"/>
    </row>
    <row r="7" spans="2:8">
      <c r="B7" s="5" t="s">
        <v>0</v>
      </c>
      <c r="C7" s="5"/>
      <c r="D7" s="5"/>
      <c r="E7" s="5"/>
      <c r="F7" s="5"/>
      <c r="G7" s="5"/>
      <c r="H7" s="6"/>
    </row>
    <row r="8" spans="2:8">
      <c r="B8" s="2"/>
      <c r="C8" s="2"/>
      <c r="D8" s="2"/>
      <c r="E8" s="2"/>
      <c r="F8" s="2"/>
      <c r="G8" s="2"/>
      <c r="H8" s="7"/>
    </row>
    <row r="9" spans="2:8" ht="129" customHeight="1">
      <c r="B9" s="125" t="s">
        <v>1</v>
      </c>
      <c r="C9" s="125"/>
      <c r="D9" s="125"/>
      <c r="E9" s="125"/>
      <c r="F9" s="125"/>
      <c r="G9" s="125"/>
      <c r="H9" s="125"/>
    </row>
    <row r="10" spans="2:8" ht="99.75" customHeight="1">
      <c r="B10" s="100" t="s">
        <v>2</v>
      </c>
      <c r="C10" s="100"/>
      <c r="D10" s="100"/>
      <c r="E10" s="100"/>
      <c r="F10" s="100"/>
      <c r="G10" s="100"/>
      <c r="H10" s="8"/>
    </row>
    <row r="11" spans="2:8">
      <c r="B11" s="101" t="s">
        <v>3</v>
      </c>
      <c r="C11" s="101"/>
      <c r="D11" s="101"/>
      <c r="E11" s="101"/>
      <c r="F11" s="101"/>
      <c r="G11" s="101"/>
      <c r="H11" s="8"/>
    </row>
    <row r="12" spans="2:8" ht="30.75" customHeight="1" thickBot="1">
      <c r="B12" s="100" t="s">
        <v>4</v>
      </c>
      <c r="C12" s="100"/>
      <c r="D12" s="100"/>
      <c r="E12" s="100"/>
      <c r="F12" s="100"/>
      <c r="G12" s="100"/>
      <c r="H12" s="100"/>
    </row>
    <row r="13" spans="2:8" ht="29.25" thickBot="1">
      <c r="B13" s="126" t="s">
        <v>5</v>
      </c>
      <c r="C13" s="127"/>
      <c r="D13" s="127"/>
      <c r="E13" s="127"/>
      <c r="F13" s="9" t="s">
        <v>6</v>
      </c>
      <c r="G13" s="9" t="s">
        <v>7</v>
      </c>
      <c r="H13" s="10" t="s">
        <v>8</v>
      </c>
    </row>
    <row r="14" spans="2:8">
      <c r="B14" s="128" t="s">
        <v>9</v>
      </c>
      <c r="C14" s="128"/>
      <c r="D14" s="128"/>
      <c r="E14" s="128"/>
      <c r="F14" s="11">
        <v>4000000</v>
      </c>
      <c r="G14" s="12"/>
      <c r="H14" s="13">
        <f>F14</f>
        <v>4000000</v>
      </c>
    </row>
    <row r="15" spans="2:8">
      <c r="B15" s="121" t="s">
        <v>10</v>
      </c>
      <c r="C15" s="121"/>
      <c r="D15" s="121"/>
      <c r="E15" s="121"/>
      <c r="F15" s="14">
        <v>2000000</v>
      </c>
      <c r="G15" s="12"/>
      <c r="H15" s="15">
        <f>F15</f>
        <v>2000000</v>
      </c>
    </row>
    <row r="16" spans="2:8">
      <c r="B16" s="121" t="s">
        <v>11</v>
      </c>
      <c r="C16" s="121"/>
      <c r="D16" s="121"/>
      <c r="E16" s="121"/>
      <c r="F16" s="14">
        <v>1000000</v>
      </c>
      <c r="G16" s="16"/>
      <c r="H16" s="15">
        <f>F16</f>
        <v>1000000</v>
      </c>
    </row>
    <row r="17" spans="2:10">
      <c r="B17" s="121" t="s">
        <v>12</v>
      </c>
      <c r="C17" s="121"/>
      <c r="D17" s="121"/>
      <c r="E17" s="121"/>
      <c r="F17" s="14">
        <v>2100000</v>
      </c>
      <c r="G17" s="17">
        <v>100000</v>
      </c>
      <c r="H17" s="15">
        <f>F17-G17</f>
        <v>2000000</v>
      </c>
    </row>
    <row r="18" spans="2:10">
      <c r="B18" s="121" t="s">
        <v>13</v>
      </c>
      <c r="C18" s="121"/>
      <c r="D18" s="121"/>
      <c r="E18" s="121"/>
      <c r="F18" s="14">
        <v>1000000</v>
      </c>
      <c r="G18" s="18"/>
      <c r="H18" s="15">
        <f>F18</f>
        <v>1000000</v>
      </c>
    </row>
    <row r="19" spans="2:10">
      <c r="B19" s="121" t="s">
        <v>14</v>
      </c>
      <c r="C19" s="121"/>
      <c r="D19" s="121"/>
      <c r="E19" s="121"/>
      <c r="F19" s="19">
        <f>SUM(F14:F18)</f>
        <v>10100000</v>
      </c>
      <c r="G19" s="16"/>
      <c r="H19" s="20">
        <f>SUM(H14:H18)</f>
        <v>10000000</v>
      </c>
    </row>
    <row r="20" spans="2:10" ht="13.5" customHeight="1">
      <c r="B20" s="21"/>
      <c r="D20" s="21"/>
      <c r="E20" s="21"/>
      <c r="F20" s="21"/>
      <c r="G20" s="21"/>
      <c r="H20" s="8"/>
    </row>
    <row r="21" spans="2:10" ht="13.5" customHeight="1">
      <c r="B21" s="21"/>
      <c r="D21" s="122" t="s">
        <v>15</v>
      </c>
      <c r="E21" s="122"/>
      <c r="F21" s="122"/>
      <c r="G21" s="22" t="s">
        <v>16</v>
      </c>
      <c r="H21" s="22" t="s">
        <v>17</v>
      </c>
    </row>
    <row r="22" spans="2:10" ht="28.5">
      <c r="B22" s="118" t="s">
        <v>18</v>
      </c>
      <c r="C22" s="119"/>
      <c r="D22" s="120" t="s">
        <v>87</v>
      </c>
      <c r="E22" s="120"/>
      <c r="F22" s="120"/>
      <c r="G22" s="23" t="s">
        <v>84</v>
      </c>
      <c r="H22" s="99" t="s">
        <v>89</v>
      </c>
    </row>
    <row r="23" spans="2:10" ht="13.5" customHeight="1">
      <c r="B23" s="21"/>
      <c r="C23" s="21"/>
      <c r="D23" s="21"/>
      <c r="E23" s="21"/>
      <c r="F23" s="21"/>
      <c r="G23" s="21"/>
      <c r="H23" s="8"/>
    </row>
    <row r="24" spans="2:10" ht="13.5" customHeight="1" thickBot="1">
      <c r="B24" s="25" t="s">
        <v>19</v>
      </c>
      <c r="C24" s="21"/>
      <c r="D24" s="21"/>
      <c r="E24" s="21"/>
      <c r="F24" s="21"/>
      <c r="G24" s="21"/>
      <c r="H24" s="8"/>
    </row>
    <row r="25" spans="2:10" s="30" customFormat="1">
      <c r="B25" s="26"/>
      <c r="C25" s="27" t="s">
        <v>20</v>
      </c>
      <c r="D25" s="28" t="s">
        <v>21</v>
      </c>
      <c r="E25" s="28" t="s">
        <v>22</v>
      </c>
      <c r="F25" s="28" t="s">
        <v>23</v>
      </c>
      <c r="G25" s="28" t="s">
        <v>24</v>
      </c>
      <c r="H25" s="29" t="s">
        <v>25</v>
      </c>
      <c r="J25" s="1"/>
    </row>
    <row r="26" spans="2:10" s="30" customFormat="1" ht="15" thickBot="1">
      <c r="B26" s="31" t="s">
        <v>26</v>
      </c>
      <c r="C26" s="32">
        <v>1000</v>
      </c>
      <c r="D26" s="33">
        <v>500</v>
      </c>
      <c r="E26" s="33">
        <v>200</v>
      </c>
      <c r="F26" s="33">
        <v>100</v>
      </c>
      <c r="G26" s="33">
        <v>0</v>
      </c>
      <c r="H26" s="34">
        <f>SUM(C26:G26)</f>
        <v>1800</v>
      </c>
    </row>
    <row r="27" spans="2:10">
      <c r="C27" s="35"/>
      <c r="D27" s="35"/>
      <c r="E27" s="35"/>
      <c r="F27" s="35"/>
      <c r="G27" s="35"/>
      <c r="H27" s="35"/>
      <c r="I27" s="35"/>
    </row>
    <row r="28" spans="2:10" ht="13.5" customHeight="1">
      <c r="B28" s="21"/>
      <c r="D28" s="122" t="s">
        <v>15</v>
      </c>
      <c r="E28" s="122"/>
      <c r="F28" s="122"/>
      <c r="G28" s="22" t="s">
        <v>16</v>
      </c>
      <c r="H28" s="22" t="s">
        <v>17</v>
      </c>
    </row>
    <row r="29" spans="2:10" ht="28.5">
      <c r="B29" s="118" t="s">
        <v>27</v>
      </c>
      <c r="C29" s="119"/>
      <c r="D29" s="120" t="s">
        <v>86</v>
      </c>
      <c r="E29" s="120"/>
      <c r="F29" s="120"/>
      <c r="G29" s="23" t="s">
        <v>88</v>
      </c>
      <c r="H29" s="99" t="s">
        <v>85</v>
      </c>
    </row>
    <row r="30" spans="2:10" ht="13.5" customHeight="1">
      <c r="B30" s="21"/>
      <c r="C30" s="21"/>
      <c r="D30" s="21"/>
      <c r="E30" s="21"/>
      <c r="F30" s="21"/>
      <c r="G30" s="21"/>
      <c r="H30" s="8"/>
    </row>
    <row r="31" spans="2:10" ht="15" thickBot="1">
      <c r="B31" s="25" t="s">
        <v>28</v>
      </c>
      <c r="C31" s="36"/>
      <c r="D31" s="36"/>
      <c r="E31" s="36"/>
      <c r="F31" s="36"/>
      <c r="G31" s="36"/>
      <c r="H31" s="36"/>
      <c r="I31" s="36"/>
    </row>
    <row r="32" spans="2:10" ht="15" thickBot="1">
      <c r="B32" s="37" t="s">
        <v>29</v>
      </c>
      <c r="C32" s="38" t="s">
        <v>20</v>
      </c>
      <c r="D32" s="38" t="s">
        <v>21</v>
      </c>
      <c r="E32" s="38" t="s">
        <v>22</v>
      </c>
      <c r="F32" s="38" t="s">
        <v>23</v>
      </c>
      <c r="G32" s="38" t="s">
        <v>24</v>
      </c>
      <c r="H32" s="39" t="s">
        <v>25</v>
      </c>
      <c r="I32" s="36"/>
    </row>
    <row r="33" spans="2:9">
      <c r="B33" s="40" t="s">
        <v>30</v>
      </c>
      <c r="C33" s="41">
        <v>5000</v>
      </c>
      <c r="D33" s="41">
        <v>2500</v>
      </c>
      <c r="E33" s="41">
        <v>1000</v>
      </c>
      <c r="F33" s="41">
        <v>500</v>
      </c>
      <c r="G33" s="41">
        <v>0</v>
      </c>
      <c r="H33" s="42">
        <f>SUM(C33:G33)</f>
        <v>9000</v>
      </c>
      <c r="I33" s="36"/>
    </row>
    <row r="34" spans="2:9">
      <c r="B34" s="43" t="s">
        <v>31</v>
      </c>
      <c r="C34" s="41">
        <v>1600</v>
      </c>
      <c r="D34" s="41">
        <v>1700</v>
      </c>
      <c r="E34" s="41">
        <v>2300</v>
      </c>
      <c r="F34" s="41">
        <v>4200</v>
      </c>
      <c r="G34" s="41">
        <v>0</v>
      </c>
      <c r="H34" s="42">
        <f t="shared" ref="H34:H53" si="0">SUM(C34:G34)</f>
        <v>9800</v>
      </c>
      <c r="I34" s="36"/>
    </row>
    <row r="35" spans="2:9">
      <c r="B35" s="43" t="s">
        <v>32</v>
      </c>
      <c r="C35" s="41">
        <v>3700</v>
      </c>
      <c r="D35" s="41">
        <v>400</v>
      </c>
      <c r="E35" s="41">
        <v>4600</v>
      </c>
      <c r="F35" s="41">
        <v>100</v>
      </c>
      <c r="G35" s="41">
        <v>0</v>
      </c>
      <c r="H35" s="42">
        <f t="shared" si="0"/>
        <v>8800</v>
      </c>
      <c r="I35" s="36"/>
    </row>
    <row r="36" spans="2:9">
      <c r="B36" s="43" t="s">
        <v>33</v>
      </c>
      <c r="C36" s="41">
        <v>1000</v>
      </c>
      <c r="D36" s="41">
        <v>2700</v>
      </c>
      <c r="E36" s="41">
        <v>4400</v>
      </c>
      <c r="F36" s="41">
        <v>600</v>
      </c>
      <c r="G36" s="41">
        <v>0</v>
      </c>
      <c r="H36" s="42">
        <f t="shared" si="0"/>
        <v>8700</v>
      </c>
      <c r="I36" s="36"/>
    </row>
    <row r="37" spans="2:9">
      <c r="B37" s="43" t="s">
        <v>34</v>
      </c>
      <c r="C37" s="41">
        <v>300</v>
      </c>
      <c r="D37" s="41">
        <v>2800</v>
      </c>
      <c r="E37" s="41">
        <v>0</v>
      </c>
      <c r="F37" s="41">
        <v>2700</v>
      </c>
      <c r="G37" s="41">
        <v>0</v>
      </c>
      <c r="H37" s="42">
        <f t="shared" si="0"/>
        <v>5800</v>
      </c>
      <c r="I37" s="36"/>
    </row>
    <row r="38" spans="2:9">
      <c r="B38" s="43" t="s">
        <v>35</v>
      </c>
      <c r="C38" s="41">
        <v>1100</v>
      </c>
      <c r="D38" s="41">
        <v>4900</v>
      </c>
      <c r="E38" s="41">
        <v>3400</v>
      </c>
      <c r="F38" s="41">
        <v>1500</v>
      </c>
      <c r="G38" s="41">
        <v>0</v>
      </c>
      <c r="H38" s="42">
        <f t="shared" si="0"/>
        <v>10900</v>
      </c>
      <c r="I38" s="36"/>
    </row>
    <row r="39" spans="2:9">
      <c r="B39" s="43" t="s">
        <v>36</v>
      </c>
      <c r="C39" s="41">
        <v>1000</v>
      </c>
      <c r="D39" s="41">
        <v>1000</v>
      </c>
      <c r="E39" s="41">
        <v>3200</v>
      </c>
      <c r="F39" s="41">
        <v>1700</v>
      </c>
      <c r="G39" s="41">
        <v>0</v>
      </c>
      <c r="H39" s="42">
        <f t="shared" si="0"/>
        <v>6900</v>
      </c>
      <c r="I39" s="36"/>
    </row>
    <row r="40" spans="2:9">
      <c r="B40" s="43" t="s">
        <v>37</v>
      </c>
      <c r="C40" s="41">
        <v>0</v>
      </c>
      <c r="D40" s="41">
        <v>0</v>
      </c>
      <c r="E40" s="41">
        <v>0</v>
      </c>
      <c r="F40" s="41">
        <v>0</v>
      </c>
      <c r="G40" s="41">
        <v>0</v>
      </c>
      <c r="H40" s="42">
        <f t="shared" si="0"/>
        <v>0</v>
      </c>
      <c r="I40" s="36"/>
    </row>
    <row r="41" spans="2:9">
      <c r="B41" s="43" t="s">
        <v>38</v>
      </c>
      <c r="C41" s="41">
        <v>2500</v>
      </c>
      <c r="D41" s="41">
        <v>2600</v>
      </c>
      <c r="E41" s="41">
        <v>4300</v>
      </c>
      <c r="F41" s="41">
        <v>4900</v>
      </c>
      <c r="G41" s="41">
        <v>0</v>
      </c>
      <c r="H41" s="42">
        <f t="shared" si="0"/>
        <v>14300</v>
      </c>
      <c r="I41" s="36"/>
    </row>
    <row r="42" spans="2:9">
      <c r="B42" s="43" t="s">
        <v>39</v>
      </c>
      <c r="C42" s="41">
        <v>2200</v>
      </c>
      <c r="D42" s="41">
        <v>1400</v>
      </c>
      <c r="E42" s="41">
        <v>1000</v>
      </c>
      <c r="F42" s="41">
        <v>2700</v>
      </c>
      <c r="G42" s="41">
        <v>0</v>
      </c>
      <c r="H42" s="42">
        <f t="shared" si="0"/>
        <v>7300</v>
      </c>
      <c r="I42" s="36"/>
    </row>
    <row r="43" spans="2:9">
      <c r="B43" s="43" t="s">
        <v>40</v>
      </c>
      <c r="C43" s="41">
        <v>0</v>
      </c>
      <c r="D43" s="41">
        <v>0</v>
      </c>
      <c r="E43" s="41">
        <v>0</v>
      </c>
      <c r="F43" s="41">
        <v>0</v>
      </c>
      <c r="G43" s="41">
        <v>0</v>
      </c>
      <c r="H43" s="42">
        <f t="shared" si="0"/>
        <v>0</v>
      </c>
      <c r="I43" s="36"/>
    </row>
    <row r="44" spans="2:9">
      <c r="B44" s="43" t="s">
        <v>41</v>
      </c>
      <c r="C44" s="41">
        <v>2500</v>
      </c>
      <c r="D44" s="41">
        <v>2300</v>
      </c>
      <c r="E44" s="41">
        <v>0</v>
      </c>
      <c r="F44" s="41">
        <v>0</v>
      </c>
      <c r="G44" s="41">
        <v>0</v>
      </c>
      <c r="H44" s="42">
        <f t="shared" si="0"/>
        <v>4800</v>
      </c>
      <c r="I44" s="36"/>
    </row>
    <row r="45" spans="2:9">
      <c r="B45" s="43" t="s">
        <v>42</v>
      </c>
      <c r="C45" s="41">
        <v>4600</v>
      </c>
      <c r="D45" s="41">
        <v>4500</v>
      </c>
      <c r="E45" s="41">
        <v>0</v>
      </c>
      <c r="F45" s="41">
        <v>0</v>
      </c>
      <c r="G45" s="41">
        <v>0</v>
      </c>
      <c r="H45" s="42">
        <f t="shared" si="0"/>
        <v>9100</v>
      </c>
      <c r="I45" s="36"/>
    </row>
    <row r="46" spans="2:9">
      <c r="B46" s="43" t="s">
        <v>43</v>
      </c>
      <c r="C46" s="41">
        <v>800</v>
      </c>
      <c r="D46" s="41">
        <v>3200</v>
      </c>
      <c r="E46" s="41">
        <v>0</v>
      </c>
      <c r="F46" s="41">
        <v>0</v>
      </c>
      <c r="G46" s="41">
        <v>0</v>
      </c>
      <c r="H46" s="42">
        <f t="shared" si="0"/>
        <v>4000</v>
      </c>
      <c r="I46" s="36"/>
    </row>
    <row r="47" spans="2:9">
      <c r="B47" s="43" t="s">
        <v>44</v>
      </c>
      <c r="C47" s="41">
        <v>0</v>
      </c>
      <c r="D47" s="41">
        <v>0</v>
      </c>
      <c r="E47" s="41">
        <v>0</v>
      </c>
      <c r="F47" s="41">
        <v>0</v>
      </c>
      <c r="G47" s="41">
        <v>0</v>
      </c>
      <c r="H47" s="42">
        <f t="shared" si="0"/>
        <v>0</v>
      </c>
      <c r="I47" s="36"/>
    </row>
    <row r="48" spans="2:9">
      <c r="B48" s="43" t="s">
        <v>45</v>
      </c>
      <c r="C48" s="41">
        <v>3900</v>
      </c>
      <c r="D48" s="41">
        <v>700</v>
      </c>
      <c r="E48" s="41">
        <v>1500</v>
      </c>
      <c r="F48" s="41">
        <v>1000</v>
      </c>
      <c r="G48" s="41">
        <v>0</v>
      </c>
      <c r="H48" s="42">
        <f t="shared" si="0"/>
        <v>7100</v>
      </c>
      <c r="I48" s="36"/>
    </row>
    <row r="49" spans="2:9">
      <c r="B49" s="43" t="s">
        <v>46</v>
      </c>
      <c r="C49" s="41">
        <v>0</v>
      </c>
      <c r="D49" s="41">
        <v>0</v>
      </c>
      <c r="E49" s="41">
        <v>0</v>
      </c>
      <c r="F49" s="41">
        <v>0</v>
      </c>
      <c r="G49" s="41">
        <v>0</v>
      </c>
      <c r="H49" s="42">
        <f t="shared" si="0"/>
        <v>0</v>
      </c>
      <c r="I49" s="36"/>
    </row>
    <row r="50" spans="2:9">
      <c r="B50" s="43" t="s">
        <v>47</v>
      </c>
      <c r="C50" s="41">
        <v>2600</v>
      </c>
      <c r="D50" s="41">
        <v>3900</v>
      </c>
      <c r="E50" s="41">
        <v>0</v>
      </c>
      <c r="F50" s="41">
        <v>0</v>
      </c>
      <c r="G50" s="41">
        <v>0</v>
      </c>
      <c r="H50" s="42">
        <f t="shared" si="0"/>
        <v>6500</v>
      </c>
      <c r="I50" s="36"/>
    </row>
    <row r="51" spans="2:9">
      <c r="B51" s="43" t="s">
        <v>48</v>
      </c>
      <c r="C51" s="41">
        <v>2700</v>
      </c>
      <c r="D51" s="41">
        <v>1900</v>
      </c>
      <c r="E51" s="41">
        <v>3400</v>
      </c>
      <c r="F51" s="41">
        <v>0</v>
      </c>
      <c r="G51" s="41">
        <v>0</v>
      </c>
      <c r="H51" s="42">
        <f t="shared" si="0"/>
        <v>8000</v>
      </c>
      <c r="I51" s="36"/>
    </row>
    <row r="52" spans="2:9">
      <c r="B52" s="43" t="s">
        <v>49</v>
      </c>
      <c r="C52" s="41">
        <v>0</v>
      </c>
      <c r="D52" s="41">
        <v>0</v>
      </c>
      <c r="E52" s="41">
        <v>0</v>
      </c>
      <c r="F52" s="41">
        <v>0</v>
      </c>
      <c r="G52" s="41">
        <v>0</v>
      </c>
      <c r="H52" s="42">
        <f t="shared" si="0"/>
        <v>0</v>
      </c>
      <c r="I52" s="36"/>
    </row>
    <row r="53" spans="2:9">
      <c r="B53" s="44" t="s">
        <v>50</v>
      </c>
      <c r="C53" s="42">
        <f>SUM(C33:C52)</f>
        <v>35500</v>
      </c>
      <c r="D53" s="42">
        <f>SUM(D33:D52)</f>
        <v>36500</v>
      </c>
      <c r="E53" s="42">
        <f>SUM(E33:E52)</f>
        <v>29100</v>
      </c>
      <c r="F53" s="42">
        <f>SUM(F33:F52)</f>
        <v>19900</v>
      </c>
      <c r="G53" s="42">
        <f>SUM(G33:G52)</f>
        <v>0</v>
      </c>
      <c r="H53" s="42">
        <f t="shared" si="0"/>
        <v>121000</v>
      </c>
      <c r="I53" s="36"/>
    </row>
    <row r="54" spans="2:9">
      <c r="B54" s="45"/>
      <c r="C54" s="46"/>
      <c r="D54" s="46"/>
      <c r="E54" s="46"/>
      <c r="F54" s="46"/>
      <c r="G54" s="46"/>
      <c r="H54" s="46"/>
      <c r="I54" s="36"/>
    </row>
    <row r="55" spans="2:9" ht="13.5" customHeight="1">
      <c r="B55" s="21"/>
      <c r="D55" s="122" t="s">
        <v>15</v>
      </c>
      <c r="E55" s="122"/>
      <c r="F55" s="122"/>
      <c r="G55" s="22" t="s">
        <v>16</v>
      </c>
      <c r="H55" s="22" t="s">
        <v>17</v>
      </c>
    </row>
    <row r="56" spans="2:9" ht="28.5">
      <c r="B56" s="118" t="s">
        <v>51</v>
      </c>
      <c r="C56" s="119"/>
      <c r="D56" s="120" t="str">
        <f>D29</f>
        <v>Contess Head</v>
      </c>
      <c r="E56" s="120"/>
      <c r="F56" s="120"/>
      <c r="G56" s="23" t="str">
        <f>G29</f>
        <v>123-456-7892</v>
      </c>
      <c r="H56" s="24" t="str">
        <f>H29</f>
        <v>contessa.head@costu.edu</v>
      </c>
    </row>
    <row r="57" spans="2:9" ht="13.5" customHeight="1">
      <c r="B57" s="21"/>
      <c r="C57" s="21"/>
      <c r="D57" s="21"/>
      <c r="E57" s="21"/>
      <c r="F57" s="21"/>
      <c r="G57" s="21"/>
      <c r="H57" s="8"/>
    </row>
    <row r="58" spans="2:9">
      <c r="B58" s="25" t="s">
        <v>52</v>
      </c>
      <c r="C58" s="36"/>
      <c r="D58" s="36"/>
      <c r="E58" s="36"/>
      <c r="F58" s="36"/>
      <c r="G58" s="36"/>
      <c r="H58" s="36"/>
      <c r="I58" s="36"/>
    </row>
    <row r="59" spans="2:9" ht="39" customHeight="1">
      <c r="B59" s="123" t="s">
        <v>53</v>
      </c>
      <c r="C59" s="123"/>
      <c r="D59" s="123"/>
      <c r="E59" s="123"/>
      <c r="F59" s="123"/>
      <c r="G59" s="123"/>
      <c r="H59" s="47"/>
    </row>
    <row r="60" spans="2:9" ht="15" thickBot="1">
      <c r="B60" s="48">
        <v>0</v>
      </c>
      <c r="C60" s="36"/>
      <c r="D60" s="36"/>
      <c r="E60" s="36"/>
      <c r="F60" s="36"/>
      <c r="G60" s="36"/>
      <c r="H60" s="36"/>
      <c r="I60" s="36"/>
    </row>
    <row r="61" spans="2:9" ht="15" thickBot="1">
      <c r="B61" s="37" t="s">
        <v>29</v>
      </c>
      <c r="C61" s="38" t="s">
        <v>20</v>
      </c>
      <c r="D61" s="38" t="s">
        <v>21</v>
      </c>
      <c r="E61" s="38" t="s">
        <v>22</v>
      </c>
      <c r="F61" s="38" t="s">
        <v>23</v>
      </c>
      <c r="G61" s="38" t="s">
        <v>24</v>
      </c>
      <c r="H61" s="39" t="s">
        <v>25</v>
      </c>
      <c r="I61" s="36"/>
    </row>
    <row r="62" spans="2:9">
      <c r="B62" s="40" t="str">
        <f>$B$33</f>
        <v>Liberal Arts</v>
      </c>
      <c r="C62" s="49">
        <v>28000</v>
      </c>
      <c r="D62" s="49">
        <v>24000</v>
      </c>
      <c r="E62" s="49">
        <v>23000</v>
      </c>
      <c r="F62" s="49">
        <v>26000</v>
      </c>
      <c r="G62" s="49">
        <v>0</v>
      </c>
      <c r="H62" s="50" t="s">
        <v>94</v>
      </c>
      <c r="I62" s="36"/>
    </row>
    <row r="63" spans="2:9">
      <c r="B63" s="40" t="str">
        <f>$B$34</f>
        <v>Science</v>
      </c>
      <c r="C63" s="41">
        <v>15000</v>
      </c>
      <c r="D63" s="41">
        <v>28000</v>
      </c>
      <c r="E63" s="41">
        <v>102000</v>
      </c>
      <c r="F63" s="41">
        <v>474000</v>
      </c>
      <c r="G63" s="41">
        <v>0</v>
      </c>
      <c r="H63" s="42">
        <f t="shared" ref="H63:H82" si="1">SUM(C63:G63)</f>
        <v>619000</v>
      </c>
      <c r="I63" s="36"/>
    </row>
    <row r="64" spans="2:9">
      <c r="B64" s="40" t="str">
        <f>$B$35</f>
        <v>Fine Arts</v>
      </c>
      <c r="C64" s="41">
        <v>28000</v>
      </c>
      <c r="D64" s="41">
        <v>5000</v>
      </c>
      <c r="E64" s="41">
        <v>137000</v>
      </c>
      <c r="F64" s="41">
        <v>4000</v>
      </c>
      <c r="G64" s="41">
        <v>0</v>
      </c>
      <c r="H64" s="42">
        <f t="shared" si="1"/>
        <v>174000</v>
      </c>
      <c r="I64" s="36"/>
    </row>
    <row r="65" spans="2:9">
      <c r="B65" s="40" t="str">
        <f>$B$36</f>
        <v>Teacher Education</v>
      </c>
      <c r="C65" s="41">
        <v>8000</v>
      </c>
      <c r="D65" s="41">
        <v>26000</v>
      </c>
      <c r="E65" s="41">
        <v>60000</v>
      </c>
      <c r="F65" s="41">
        <v>25000</v>
      </c>
      <c r="G65" s="41">
        <v>0</v>
      </c>
      <c r="H65" s="42">
        <f t="shared" si="1"/>
        <v>119000</v>
      </c>
      <c r="I65" s="36"/>
    </row>
    <row r="66" spans="2:9">
      <c r="B66" s="40" t="str">
        <f>$B$37</f>
        <v>Agriculture</v>
      </c>
      <c r="C66" s="41">
        <v>3000</v>
      </c>
      <c r="D66" s="41">
        <v>39000</v>
      </c>
      <c r="E66" s="41">
        <v>0</v>
      </c>
      <c r="F66" s="41">
        <v>147000</v>
      </c>
      <c r="G66" s="41">
        <v>0</v>
      </c>
      <c r="H66" s="42">
        <f t="shared" si="1"/>
        <v>189000</v>
      </c>
      <c r="I66" s="36"/>
    </row>
    <row r="67" spans="2:9">
      <c r="B67" s="40" t="str">
        <f>$B$38</f>
        <v>Engineering</v>
      </c>
      <c r="C67" s="41">
        <v>15000</v>
      </c>
      <c r="D67" s="41">
        <v>104000</v>
      </c>
      <c r="E67" s="41">
        <v>143000</v>
      </c>
      <c r="F67" s="41">
        <v>132000</v>
      </c>
      <c r="G67" s="41">
        <v>0</v>
      </c>
      <c r="H67" s="42">
        <f t="shared" si="1"/>
        <v>394000</v>
      </c>
      <c r="I67" s="36"/>
    </row>
    <row r="68" spans="2:9">
      <c r="B68" s="40" t="str">
        <f>$B$39</f>
        <v>Home Economics</v>
      </c>
      <c r="C68" s="41">
        <v>6000</v>
      </c>
      <c r="D68" s="41">
        <v>9000</v>
      </c>
      <c r="E68" s="41">
        <v>50000</v>
      </c>
      <c r="F68" s="41">
        <v>62000</v>
      </c>
      <c r="G68" s="41">
        <v>0</v>
      </c>
      <c r="H68" s="42">
        <f t="shared" si="1"/>
        <v>127000</v>
      </c>
      <c r="I68" s="36"/>
    </row>
    <row r="69" spans="2:9">
      <c r="B69" s="40" t="str">
        <f>$B$40</f>
        <v>Law</v>
      </c>
      <c r="C69" s="41">
        <v>0</v>
      </c>
      <c r="D69" s="41">
        <v>0</v>
      </c>
      <c r="E69" s="41">
        <v>0</v>
      </c>
      <c r="F69" s="41">
        <v>0</v>
      </c>
      <c r="G69" s="41">
        <v>0</v>
      </c>
      <c r="H69" s="42">
        <f t="shared" si="1"/>
        <v>0</v>
      </c>
      <c r="I69" s="36"/>
    </row>
    <row r="70" spans="2:9">
      <c r="B70" s="40" t="str">
        <f>$B$41</f>
        <v>Social Service</v>
      </c>
      <c r="C70" s="41">
        <v>27000</v>
      </c>
      <c r="D70" s="41">
        <v>29000</v>
      </c>
      <c r="E70" s="41">
        <v>70000</v>
      </c>
      <c r="F70" s="41">
        <v>373000</v>
      </c>
      <c r="G70" s="41">
        <v>0</v>
      </c>
      <c r="H70" s="42">
        <f t="shared" si="1"/>
        <v>499000</v>
      </c>
      <c r="I70" s="36"/>
    </row>
    <row r="71" spans="2:9">
      <c r="B71" s="40" t="str">
        <f>$B$42</f>
        <v>Library Science</v>
      </c>
      <c r="C71" s="41">
        <v>14000</v>
      </c>
      <c r="D71" s="41">
        <v>8000</v>
      </c>
      <c r="E71" s="41">
        <v>14000</v>
      </c>
      <c r="F71" s="41">
        <v>99000</v>
      </c>
      <c r="G71" s="41">
        <v>0</v>
      </c>
      <c r="H71" s="42">
        <f t="shared" si="1"/>
        <v>135000</v>
      </c>
      <c r="I71" s="36"/>
    </row>
    <row r="72" spans="2:9">
      <c r="B72" s="40" t="str">
        <f>$B$43</f>
        <v>Veterinary Science</v>
      </c>
      <c r="C72" s="41">
        <v>0</v>
      </c>
      <c r="D72" s="41">
        <v>0</v>
      </c>
      <c r="E72" s="41">
        <v>0</v>
      </c>
      <c r="F72" s="41">
        <v>0</v>
      </c>
      <c r="G72" s="41">
        <v>0</v>
      </c>
      <c r="H72" s="42">
        <f t="shared" si="1"/>
        <v>0</v>
      </c>
      <c r="I72" s="36"/>
    </row>
    <row r="73" spans="2:9">
      <c r="B73" s="40" t="str">
        <f>$B$44</f>
        <v>Vocational Training</v>
      </c>
      <c r="C73" s="41">
        <v>23000</v>
      </c>
      <c r="D73" s="41">
        <v>25000</v>
      </c>
      <c r="E73" s="41">
        <v>0</v>
      </c>
      <c r="F73" s="41">
        <v>0</v>
      </c>
      <c r="G73" s="41">
        <v>0</v>
      </c>
      <c r="H73" s="42">
        <f t="shared" si="1"/>
        <v>48000</v>
      </c>
      <c r="I73" s="36"/>
    </row>
    <row r="74" spans="2:9">
      <c r="B74" s="40" t="str">
        <f>$B$45</f>
        <v>Physical Training</v>
      </c>
      <c r="C74" s="41">
        <v>33000</v>
      </c>
      <c r="D74" s="41">
        <v>32000</v>
      </c>
      <c r="E74" s="41">
        <v>0</v>
      </c>
      <c r="F74" s="41">
        <v>0</v>
      </c>
      <c r="G74" s="41">
        <v>0</v>
      </c>
      <c r="H74" s="42">
        <f t="shared" si="1"/>
        <v>65000</v>
      </c>
      <c r="I74" s="36"/>
    </row>
    <row r="75" spans="2:9">
      <c r="B75" s="40" t="str">
        <f>$B$46</f>
        <v>Health Services</v>
      </c>
      <c r="C75" s="41">
        <v>5000</v>
      </c>
      <c r="D75" s="41">
        <v>35000</v>
      </c>
      <c r="E75" s="41">
        <v>81000</v>
      </c>
      <c r="F75" s="41">
        <v>126000</v>
      </c>
      <c r="G75" s="41">
        <v>0</v>
      </c>
      <c r="H75" s="42">
        <f t="shared" si="1"/>
        <v>247000</v>
      </c>
      <c r="I75" s="36"/>
    </row>
    <row r="76" spans="2:9">
      <c r="B76" s="40" t="str">
        <f>$B$47</f>
        <v>Pharmacy</v>
      </c>
      <c r="C76" s="41">
        <v>0</v>
      </c>
      <c r="D76" s="41">
        <v>0</v>
      </c>
      <c r="E76" s="41">
        <v>0</v>
      </c>
      <c r="F76" s="41">
        <v>0</v>
      </c>
      <c r="G76" s="41">
        <v>0</v>
      </c>
      <c r="H76" s="42">
        <f t="shared" si="1"/>
        <v>0</v>
      </c>
      <c r="I76" s="36"/>
    </row>
    <row r="77" spans="2:9">
      <c r="B77" s="40" t="str">
        <f>$B$48</f>
        <v>Business Administration</v>
      </c>
      <c r="C77" s="41">
        <v>24000</v>
      </c>
      <c r="D77" s="41">
        <v>7000</v>
      </c>
      <c r="E77" s="41">
        <v>28000</v>
      </c>
      <c r="F77" s="41">
        <v>133000</v>
      </c>
      <c r="G77" s="41">
        <v>0</v>
      </c>
      <c r="H77" s="42">
        <f t="shared" si="1"/>
        <v>192000</v>
      </c>
      <c r="I77" s="36"/>
    </row>
    <row r="78" spans="2:9">
      <c r="B78" s="40" t="str">
        <f>$B$49</f>
        <v>Optometry</v>
      </c>
      <c r="C78" s="41">
        <v>0</v>
      </c>
      <c r="D78" s="41">
        <v>0</v>
      </c>
      <c r="E78" s="41">
        <v>0</v>
      </c>
      <c r="F78" s="41">
        <v>0</v>
      </c>
      <c r="G78" s="41">
        <v>0</v>
      </c>
      <c r="H78" s="42">
        <f t="shared" si="1"/>
        <v>0</v>
      </c>
      <c r="I78" s="36"/>
    </row>
    <row r="79" spans="2:9">
      <c r="B79" s="40" t="str">
        <f>$B$50</f>
        <v>Teacher Ed-Practice Teaching</v>
      </c>
      <c r="C79" s="41">
        <v>19000</v>
      </c>
      <c r="D79" s="41">
        <v>38000</v>
      </c>
      <c r="E79" s="41">
        <v>0</v>
      </c>
      <c r="F79" s="41">
        <v>0</v>
      </c>
      <c r="G79" s="41">
        <v>0</v>
      </c>
      <c r="H79" s="42">
        <f t="shared" si="1"/>
        <v>57000</v>
      </c>
      <c r="I79" s="36"/>
    </row>
    <row r="80" spans="2:9">
      <c r="B80" s="40" t="str">
        <f>$B$51</f>
        <v>Technology</v>
      </c>
      <c r="C80" s="41">
        <v>28000</v>
      </c>
      <c r="D80" s="41">
        <v>25000</v>
      </c>
      <c r="E80" s="41">
        <v>83000</v>
      </c>
      <c r="F80" s="41">
        <v>0</v>
      </c>
      <c r="G80" s="41">
        <v>0</v>
      </c>
      <c r="H80" s="42">
        <f t="shared" si="1"/>
        <v>136000</v>
      </c>
      <c r="I80" s="36"/>
    </row>
    <row r="81" spans="2:14">
      <c r="B81" s="40" t="str">
        <f>$B$52</f>
        <v>Nursing</v>
      </c>
      <c r="C81" s="41">
        <v>0</v>
      </c>
      <c r="D81" s="41">
        <v>0</v>
      </c>
      <c r="E81" s="41">
        <v>0</v>
      </c>
      <c r="F81" s="41">
        <v>0</v>
      </c>
      <c r="G81" s="41">
        <v>0</v>
      </c>
      <c r="H81" s="42">
        <f t="shared" si="1"/>
        <v>0</v>
      </c>
      <c r="I81" s="36"/>
    </row>
    <row r="82" spans="2:14">
      <c r="B82" s="51" t="str">
        <f>$B$53</f>
        <v>Totals</v>
      </c>
      <c r="C82" s="50">
        <f>SUM(C62:C81)</f>
        <v>276000</v>
      </c>
      <c r="D82" s="50">
        <f>SUM(D62:D81)</f>
        <v>434000</v>
      </c>
      <c r="E82" s="50">
        <f>SUM(E62:E81)</f>
        <v>791000</v>
      </c>
      <c r="F82" s="50">
        <f>SUM(F62:F81)</f>
        <v>1601000</v>
      </c>
      <c r="G82" s="50">
        <f>SUM(G62:G81)</f>
        <v>0</v>
      </c>
      <c r="H82" s="50">
        <f t="shared" si="1"/>
        <v>3102000</v>
      </c>
      <c r="I82" s="36"/>
    </row>
    <row r="83" spans="2:14">
      <c r="B83" s="45"/>
      <c r="C83" s="52"/>
      <c r="D83" s="52"/>
      <c r="E83" s="52"/>
      <c r="F83" s="52"/>
      <c r="G83" s="52"/>
      <c r="H83" s="53"/>
      <c r="I83" s="36"/>
    </row>
    <row r="84" spans="2:14" ht="13.5" customHeight="1">
      <c r="B84" s="21"/>
      <c r="D84" s="122" t="s">
        <v>15</v>
      </c>
      <c r="E84" s="122"/>
      <c r="F84" s="122"/>
      <c r="G84" s="22" t="s">
        <v>16</v>
      </c>
      <c r="H84" s="22" t="s">
        <v>17</v>
      </c>
    </row>
    <row r="85" spans="2:14" ht="28.5">
      <c r="B85" s="118" t="s">
        <v>54</v>
      </c>
      <c r="C85" s="119"/>
      <c r="D85" s="120" t="str">
        <f>D56</f>
        <v>Contess Head</v>
      </c>
      <c r="E85" s="120"/>
      <c r="F85" s="120"/>
      <c r="G85" s="23" t="str">
        <f>G56</f>
        <v>123-456-7892</v>
      </c>
      <c r="H85" s="24" t="str">
        <f>H56</f>
        <v>contessa.head@costu.edu</v>
      </c>
    </row>
    <row r="86" spans="2:14" ht="13.5" customHeight="1">
      <c r="B86" s="21"/>
      <c r="C86" s="21"/>
      <c r="D86" s="21"/>
      <c r="E86" s="21"/>
      <c r="F86" s="21"/>
      <c r="G86" s="21"/>
      <c r="H86" s="8"/>
    </row>
    <row r="87" spans="2:14">
      <c r="B87" s="54" t="s">
        <v>55</v>
      </c>
      <c r="C87" s="55"/>
      <c r="D87" s="55"/>
      <c r="E87" s="55"/>
      <c r="F87" s="55"/>
      <c r="G87" s="55"/>
      <c r="H87" s="56">
        <f>H14+H15</f>
        <v>6000000</v>
      </c>
    </row>
    <row r="88" spans="2:14" ht="42.75" customHeight="1">
      <c r="B88" s="100" t="s">
        <v>56</v>
      </c>
      <c r="C88" s="100"/>
      <c r="D88" s="100"/>
      <c r="E88" s="100"/>
      <c r="F88" s="100"/>
      <c r="G88" s="100"/>
      <c r="H88" s="47"/>
    </row>
    <row r="89" spans="2:14">
      <c r="B89" s="54" t="s">
        <v>57</v>
      </c>
      <c r="C89" s="57"/>
      <c r="D89" s="57"/>
      <c r="E89" s="57"/>
      <c r="F89" s="57"/>
      <c r="G89" s="57"/>
      <c r="H89" s="56"/>
    </row>
    <row r="90" spans="2:14" ht="98.25" customHeight="1" thickBot="1">
      <c r="B90" s="110" t="s">
        <v>58</v>
      </c>
      <c r="C90" s="110"/>
      <c r="D90" s="110"/>
      <c r="E90" s="110"/>
      <c r="F90" s="110"/>
      <c r="G90" s="110"/>
      <c r="H90" s="58"/>
    </row>
    <row r="91" spans="2:14" ht="15" thickBot="1">
      <c r="B91" s="37" t="s">
        <v>29</v>
      </c>
      <c r="C91" s="38" t="s">
        <v>20</v>
      </c>
      <c r="D91" s="38" t="s">
        <v>21</v>
      </c>
      <c r="E91" s="38" t="s">
        <v>22</v>
      </c>
      <c r="F91" s="38" t="s">
        <v>23</v>
      </c>
      <c r="G91" s="38" t="s">
        <v>24</v>
      </c>
      <c r="H91" s="39" t="s">
        <v>25</v>
      </c>
    </row>
    <row r="92" spans="2:14">
      <c r="B92" s="40" t="str">
        <f>$B$33</f>
        <v>Liberal Arts</v>
      </c>
      <c r="C92" s="59">
        <v>8000</v>
      </c>
      <c r="D92" s="59">
        <v>4000</v>
      </c>
      <c r="E92" s="59">
        <v>2000</v>
      </c>
      <c r="F92" s="59">
        <v>1000</v>
      </c>
      <c r="G92" s="59">
        <v>0</v>
      </c>
      <c r="H92" s="60">
        <f t="shared" ref="H92:H112" si="2">SUM(C92:G92)</f>
        <v>15000</v>
      </c>
      <c r="J92" s="91"/>
      <c r="K92" s="91"/>
      <c r="L92" s="91"/>
      <c r="M92" s="91"/>
      <c r="N92" s="91"/>
    </row>
    <row r="93" spans="2:14">
      <c r="B93" s="40" t="str">
        <f>$B$34</f>
        <v>Science</v>
      </c>
      <c r="C93" s="61">
        <v>2000</v>
      </c>
      <c r="D93" s="61">
        <v>3000</v>
      </c>
      <c r="E93" s="61">
        <v>3000</v>
      </c>
      <c r="F93" s="61">
        <v>6000</v>
      </c>
      <c r="G93" s="61">
        <v>0</v>
      </c>
      <c r="H93" s="62">
        <f t="shared" si="2"/>
        <v>14000</v>
      </c>
      <c r="J93" s="91"/>
      <c r="K93" s="91"/>
      <c r="L93" s="91"/>
      <c r="M93" s="91"/>
      <c r="N93" s="91"/>
    </row>
    <row r="94" spans="2:14">
      <c r="B94" s="40" t="str">
        <f>$B$35</f>
        <v>Fine Arts</v>
      </c>
      <c r="C94" s="61">
        <v>6000</v>
      </c>
      <c r="D94" s="61">
        <v>1000</v>
      </c>
      <c r="E94" s="61">
        <v>7000</v>
      </c>
      <c r="F94" s="61">
        <v>0</v>
      </c>
      <c r="G94" s="61">
        <v>0</v>
      </c>
      <c r="H94" s="62">
        <f t="shared" si="2"/>
        <v>14000</v>
      </c>
      <c r="J94" s="91"/>
      <c r="K94" s="91"/>
      <c r="L94" s="91"/>
      <c r="M94" s="91"/>
      <c r="N94" s="91"/>
    </row>
    <row r="95" spans="2:14">
      <c r="B95" s="40" t="str">
        <f>$B$36</f>
        <v>Teacher Education</v>
      </c>
      <c r="C95" s="61">
        <v>2000</v>
      </c>
      <c r="D95" s="61">
        <v>4000</v>
      </c>
      <c r="E95" s="61">
        <v>7000</v>
      </c>
      <c r="F95" s="61">
        <v>1000</v>
      </c>
      <c r="G95" s="61">
        <v>0</v>
      </c>
      <c r="H95" s="62">
        <f t="shared" si="2"/>
        <v>14000</v>
      </c>
      <c r="J95" s="91"/>
      <c r="K95" s="91"/>
      <c r="L95" s="91"/>
      <c r="M95" s="91"/>
      <c r="N95" s="91"/>
    </row>
    <row r="96" spans="2:14">
      <c r="B96" s="40" t="str">
        <f>$B$37</f>
        <v>Agriculture</v>
      </c>
      <c r="C96" s="61">
        <v>0</v>
      </c>
      <c r="D96" s="61">
        <v>4000</v>
      </c>
      <c r="E96" s="61">
        <v>0</v>
      </c>
      <c r="F96" s="61">
        <v>4000</v>
      </c>
      <c r="G96" s="61">
        <v>0</v>
      </c>
      <c r="H96" s="62">
        <f t="shared" si="2"/>
        <v>8000</v>
      </c>
      <c r="J96" s="91"/>
      <c r="K96" s="91"/>
      <c r="L96" s="91"/>
      <c r="M96" s="91"/>
      <c r="N96" s="91"/>
    </row>
    <row r="97" spans="2:14">
      <c r="B97" s="40" t="str">
        <f>$B$38</f>
        <v>Engineering</v>
      </c>
      <c r="C97" s="61">
        <v>2000</v>
      </c>
      <c r="D97" s="61">
        <v>7000</v>
      </c>
      <c r="E97" s="61">
        <v>5000</v>
      </c>
      <c r="F97" s="61">
        <v>2000</v>
      </c>
      <c r="G97" s="61">
        <v>0</v>
      </c>
      <c r="H97" s="62">
        <f t="shared" si="2"/>
        <v>16000</v>
      </c>
      <c r="J97" s="91"/>
      <c r="K97" s="91"/>
      <c r="L97" s="91"/>
      <c r="M97" s="91"/>
      <c r="N97" s="91"/>
    </row>
    <row r="98" spans="2:14">
      <c r="B98" s="40" t="str">
        <f>$B$39</f>
        <v>Home Economics</v>
      </c>
      <c r="C98" s="61">
        <v>2000</v>
      </c>
      <c r="D98" s="61">
        <v>2000</v>
      </c>
      <c r="E98" s="61">
        <v>5000</v>
      </c>
      <c r="F98" s="61">
        <v>3000</v>
      </c>
      <c r="G98" s="61">
        <v>0</v>
      </c>
      <c r="H98" s="62">
        <f t="shared" si="2"/>
        <v>12000</v>
      </c>
      <c r="J98" s="91"/>
      <c r="K98" s="91"/>
      <c r="L98" s="91"/>
      <c r="M98" s="91"/>
      <c r="N98" s="91"/>
    </row>
    <row r="99" spans="2:14">
      <c r="B99" s="40" t="str">
        <f>$B$40</f>
        <v>Law</v>
      </c>
      <c r="C99" s="61">
        <v>0</v>
      </c>
      <c r="D99" s="61">
        <v>0</v>
      </c>
      <c r="E99" s="61">
        <v>0</v>
      </c>
      <c r="F99" s="61">
        <v>0</v>
      </c>
      <c r="G99" s="61">
        <v>0</v>
      </c>
      <c r="H99" s="62">
        <f t="shared" si="2"/>
        <v>0</v>
      </c>
      <c r="J99" s="91"/>
      <c r="K99" s="91"/>
      <c r="L99" s="91"/>
      <c r="M99" s="91"/>
      <c r="N99" s="91"/>
    </row>
    <row r="100" spans="2:14">
      <c r="B100" s="40" t="str">
        <f>$B$41</f>
        <v>Social Service</v>
      </c>
      <c r="C100" s="61">
        <v>4000</v>
      </c>
      <c r="D100" s="61">
        <v>4000</v>
      </c>
      <c r="E100" s="61">
        <v>6000</v>
      </c>
      <c r="F100" s="61">
        <v>7000</v>
      </c>
      <c r="G100" s="61">
        <v>0</v>
      </c>
      <c r="H100" s="62">
        <f t="shared" si="2"/>
        <v>21000</v>
      </c>
      <c r="J100" s="91"/>
      <c r="K100" s="91"/>
      <c r="L100" s="91"/>
      <c r="M100" s="91"/>
      <c r="N100" s="91"/>
    </row>
    <row r="101" spans="2:14">
      <c r="B101" s="40" t="str">
        <f>$B$42</f>
        <v>Library Science</v>
      </c>
      <c r="C101" s="61">
        <v>3000</v>
      </c>
      <c r="D101" s="61">
        <v>2000</v>
      </c>
      <c r="E101" s="61">
        <v>2000</v>
      </c>
      <c r="F101" s="61">
        <v>4000</v>
      </c>
      <c r="G101" s="61">
        <v>0</v>
      </c>
      <c r="H101" s="62">
        <f t="shared" si="2"/>
        <v>11000</v>
      </c>
      <c r="J101" s="91"/>
      <c r="K101" s="91"/>
      <c r="L101" s="91"/>
      <c r="M101" s="91"/>
      <c r="N101" s="91"/>
    </row>
    <row r="102" spans="2:14">
      <c r="B102" s="40" t="str">
        <f>$B$43</f>
        <v>Veterinary Science</v>
      </c>
      <c r="C102" s="61">
        <v>0</v>
      </c>
      <c r="D102" s="61">
        <v>0</v>
      </c>
      <c r="E102" s="61">
        <v>0</v>
      </c>
      <c r="F102" s="61">
        <v>0</v>
      </c>
      <c r="G102" s="61">
        <v>0</v>
      </c>
      <c r="H102" s="62">
        <f t="shared" si="2"/>
        <v>0</v>
      </c>
      <c r="J102" s="91"/>
      <c r="K102" s="91"/>
      <c r="L102" s="91"/>
      <c r="M102" s="91"/>
      <c r="N102" s="91"/>
    </row>
    <row r="103" spans="2:14">
      <c r="B103" s="40" t="str">
        <f>$B$44</f>
        <v>Vocational Training</v>
      </c>
      <c r="C103" s="61">
        <v>4000</v>
      </c>
      <c r="D103" s="61">
        <v>3000</v>
      </c>
      <c r="E103" s="61">
        <v>0</v>
      </c>
      <c r="F103" s="61">
        <v>0</v>
      </c>
      <c r="G103" s="61">
        <v>0</v>
      </c>
      <c r="H103" s="62">
        <f t="shared" si="2"/>
        <v>7000</v>
      </c>
      <c r="J103" s="91"/>
      <c r="K103" s="91"/>
      <c r="L103" s="91"/>
      <c r="M103" s="91"/>
      <c r="N103" s="91"/>
    </row>
    <row r="104" spans="2:14">
      <c r="B104" s="40" t="str">
        <f>$B$45</f>
        <v>Physical Training</v>
      </c>
      <c r="C104" s="61">
        <v>7000</v>
      </c>
      <c r="D104" s="61">
        <v>7000</v>
      </c>
      <c r="E104" s="61">
        <v>0</v>
      </c>
      <c r="F104" s="61">
        <v>0</v>
      </c>
      <c r="G104" s="61">
        <v>0</v>
      </c>
      <c r="H104" s="62">
        <f t="shared" si="2"/>
        <v>14000</v>
      </c>
      <c r="J104" s="91"/>
      <c r="K104" s="91"/>
      <c r="L104" s="91"/>
      <c r="M104" s="91"/>
      <c r="N104" s="91"/>
    </row>
    <row r="105" spans="2:14">
      <c r="B105" s="40" t="str">
        <f>$B$46</f>
        <v>Health Services</v>
      </c>
      <c r="C105" s="61">
        <v>1000</v>
      </c>
      <c r="D105" s="61">
        <v>5000</v>
      </c>
      <c r="E105" s="61">
        <v>7000</v>
      </c>
      <c r="F105" s="61">
        <v>4000</v>
      </c>
      <c r="G105" s="61">
        <v>0</v>
      </c>
      <c r="H105" s="62">
        <f t="shared" si="2"/>
        <v>17000</v>
      </c>
      <c r="J105" s="91"/>
      <c r="K105" s="91"/>
      <c r="L105" s="91"/>
      <c r="M105" s="91"/>
      <c r="N105" s="91"/>
    </row>
    <row r="106" spans="2:14">
      <c r="B106" s="40" t="str">
        <f>$B$47</f>
        <v>Pharmacy</v>
      </c>
      <c r="C106" s="61">
        <v>0</v>
      </c>
      <c r="D106" s="61">
        <v>0</v>
      </c>
      <c r="E106" s="61">
        <v>0</v>
      </c>
      <c r="F106" s="61">
        <v>0</v>
      </c>
      <c r="G106" s="61">
        <v>0</v>
      </c>
      <c r="H106" s="62">
        <f t="shared" si="2"/>
        <v>0</v>
      </c>
      <c r="J106" s="91"/>
      <c r="K106" s="91"/>
      <c r="L106" s="91"/>
      <c r="M106" s="91"/>
      <c r="N106" s="91"/>
    </row>
    <row r="107" spans="2:14">
      <c r="B107" s="40" t="str">
        <f>$B$48</f>
        <v>Business Administration</v>
      </c>
      <c r="C107" s="61">
        <v>6000</v>
      </c>
      <c r="D107" s="61">
        <v>1000</v>
      </c>
      <c r="E107" s="61">
        <v>2000</v>
      </c>
      <c r="F107" s="61">
        <v>2000</v>
      </c>
      <c r="G107" s="61">
        <v>0</v>
      </c>
      <c r="H107" s="62">
        <f t="shared" si="2"/>
        <v>11000</v>
      </c>
      <c r="J107" s="91"/>
      <c r="K107" s="91"/>
      <c r="L107" s="91"/>
      <c r="M107" s="91"/>
      <c r="N107" s="91"/>
    </row>
    <row r="108" spans="2:14">
      <c r="B108" s="40" t="str">
        <f>$B$49</f>
        <v>Optometry</v>
      </c>
      <c r="C108" s="61">
        <v>0</v>
      </c>
      <c r="D108" s="61">
        <v>0</v>
      </c>
      <c r="E108" s="61">
        <v>0</v>
      </c>
      <c r="F108" s="61">
        <v>0</v>
      </c>
      <c r="G108" s="61">
        <v>0</v>
      </c>
      <c r="H108" s="62">
        <f t="shared" si="2"/>
        <v>0</v>
      </c>
      <c r="J108" s="91"/>
      <c r="K108" s="91"/>
      <c r="L108" s="91"/>
      <c r="M108" s="91"/>
      <c r="N108" s="91"/>
    </row>
    <row r="109" spans="2:14">
      <c r="B109" s="40" t="str">
        <f>$B$50</f>
        <v>Teacher Ed-Practice Teaching</v>
      </c>
      <c r="C109" s="61">
        <v>4000</v>
      </c>
      <c r="D109" s="61">
        <v>6000</v>
      </c>
      <c r="E109" s="61">
        <v>0</v>
      </c>
      <c r="F109" s="61">
        <v>0</v>
      </c>
      <c r="G109" s="61">
        <v>0</v>
      </c>
      <c r="H109" s="62">
        <f t="shared" si="2"/>
        <v>10000</v>
      </c>
      <c r="J109" s="91"/>
      <c r="K109" s="91"/>
      <c r="L109" s="91"/>
      <c r="M109" s="91"/>
      <c r="N109" s="91"/>
    </row>
    <row r="110" spans="2:14">
      <c r="B110" s="40" t="str">
        <f>$B$51</f>
        <v>Technology</v>
      </c>
      <c r="C110" s="61">
        <v>4000</v>
      </c>
      <c r="D110" s="61">
        <v>3000</v>
      </c>
      <c r="E110" s="61">
        <v>5000</v>
      </c>
      <c r="F110" s="61">
        <v>0</v>
      </c>
      <c r="G110" s="61">
        <v>0</v>
      </c>
      <c r="H110" s="62">
        <f t="shared" si="2"/>
        <v>12000</v>
      </c>
      <c r="J110" s="91"/>
      <c r="K110" s="91"/>
      <c r="L110" s="91"/>
      <c r="M110" s="91"/>
      <c r="N110" s="91"/>
    </row>
    <row r="111" spans="2:14">
      <c r="B111" s="40" t="str">
        <f>$B$52</f>
        <v>Nursing</v>
      </c>
      <c r="C111" s="61">
        <v>0</v>
      </c>
      <c r="D111" s="61">
        <v>0</v>
      </c>
      <c r="E111" s="61">
        <v>0</v>
      </c>
      <c r="F111" s="61">
        <v>0</v>
      </c>
      <c r="G111" s="61">
        <v>0</v>
      </c>
      <c r="H111" s="62">
        <f t="shared" si="2"/>
        <v>0</v>
      </c>
      <c r="J111" s="91"/>
      <c r="K111" s="91"/>
      <c r="L111" s="91"/>
      <c r="M111" s="91"/>
      <c r="N111" s="91"/>
    </row>
    <row r="112" spans="2:14">
      <c r="B112" s="51" t="str">
        <f>$B$53</f>
        <v>Totals</v>
      </c>
      <c r="C112" s="60">
        <f>SUM(C92:C111)</f>
        <v>55000</v>
      </c>
      <c r="D112" s="60">
        <f>SUM(D92:D111)</f>
        <v>56000</v>
      </c>
      <c r="E112" s="60">
        <f>SUM(E92:E111)</f>
        <v>51000</v>
      </c>
      <c r="F112" s="60">
        <f>SUM(F92:F111)</f>
        <v>34000</v>
      </c>
      <c r="G112" s="60">
        <f>SUM(G92:G111)</f>
        <v>0</v>
      </c>
      <c r="H112" s="60">
        <f t="shared" si="2"/>
        <v>196000</v>
      </c>
    </row>
    <row r="113" spans="2:9">
      <c r="B113" s="63"/>
      <c r="C113" s="64"/>
      <c r="D113" s="64"/>
      <c r="E113" s="64"/>
      <c r="F113" s="64"/>
      <c r="G113" s="64"/>
      <c r="H113" s="65"/>
    </row>
    <row r="114" spans="2:9">
      <c r="B114" s="111" t="s">
        <v>59</v>
      </c>
      <c r="C114" s="111"/>
      <c r="D114" s="111"/>
      <c r="E114" s="111"/>
      <c r="F114" s="111"/>
      <c r="G114" s="111"/>
      <c r="H114" s="111"/>
      <c r="I114" s="36"/>
    </row>
    <row r="115" spans="2:9" ht="43.5" customHeight="1" thickBot="1">
      <c r="B115" s="102" t="s">
        <v>60</v>
      </c>
      <c r="C115" s="102"/>
      <c r="D115" s="102"/>
      <c r="E115" s="102"/>
      <c r="F115" s="102"/>
      <c r="G115" s="102"/>
      <c r="H115" s="58"/>
    </row>
    <row r="116" spans="2:9" ht="15" thickBot="1">
      <c r="B116" s="37" t="s">
        <v>29</v>
      </c>
      <c r="C116" s="38" t="s">
        <v>20</v>
      </c>
      <c r="D116" s="38" t="s">
        <v>21</v>
      </c>
      <c r="E116" s="38" t="s">
        <v>22</v>
      </c>
      <c r="F116" s="38" t="s">
        <v>23</v>
      </c>
      <c r="G116" s="38" t="s">
        <v>24</v>
      </c>
      <c r="H116" s="39" t="s">
        <v>25</v>
      </c>
      <c r="I116" s="36"/>
    </row>
    <row r="117" spans="2:9">
      <c r="B117" s="40" t="str">
        <f>$B$33</f>
        <v>Liberal Arts</v>
      </c>
      <c r="C117" s="50">
        <f t="shared" ref="C117:G132" si="3">C92+C62</f>
        <v>36000</v>
      </c>
      <c r="D117" s="50">
        <f t="shared" si="3"/>
        <v>28000</v>
      </c>
      <c r="E117" s="50">
        <f t="shared" si="3"/>
        <v>25000</v>
      </c>
      <c r="F117" s="50">
        <f t="shared" si="3"/>
        <v>27000</v>
      </c>
      <c r="G117" s="50">
        <f t="shared" si="3"/>
        <v>0</v>
      </c>
      <c r="H117" s="60">
        <f t="shared" ref="H117:H137" si="4">SUM(C117:G117)</f>
        <v>116000</v>
      </c>
      <c r="I117" s="36"/>
    </row>
    <row r="118" spans="2:9">
      <c r="B118" s="40" t="str">
        <f>$B$34</f>
        <v>Science</v>
      </c>
      <c r="C118" s="42">
        <f t="shared" si="3"/>
        <v>17000</v>
      </c>
      <c r="D118" s="42">
        <f t="shared" si="3"/>
        <v>31000</v>
      </c>
      <c r="E118" s="42">
        <f t="shared" si="3"/>
        <v>105000</v>
      </c>
      <c r="F118" s="42">
        <f t="shared" si="3"/>
        <v>480000</v>
      </c>
      <c r="G118" s="42">
        <f t="shared" si="3"/>
        <v>0</v>
      </c>
      <c r="H118" s="62">
        <f t="shared" si="4"/>
        <v>633000</v>
      </c>
      <c r="I118" s="36"/>
    </row>
    <row r="119" spans="2:9">
      <c r="B119" s="40" t="str">
        <f>$B$35</f>
        <v>Fine Arts</v>
      </c>
      <c r="C119" s="42">
        <f t="shared" si="3"/>
        <v>34000</v>
      </c>
      <c r="D119" s="42">
        <f t="shared" si="3"/>
        <v>6000</v>
      </c>
      <c r="E119" s="42">
        <f t="shared" si="3"/>
        <v>144000</v>
      </c>
      <c r="F119" s="42">
        <f t="shared" si="3"/>
        <v>4000</v>
      </c>
      <c r="G119" s="42">
        <f t="shared" si="3"/>
        <v>0</v>
      </c>
      <c r="H119" s="62">
        <f t="shared" si="4"/>
        <v>188000</v>
      </c>
      <c r="I119" s="36"/>
    </row>
    <row r="120" spans="2:9">
      <c r="B120" s="40" t="str">
        <f>$B$36</f>
        <v>Teacher Education</v>
      </c>
      <c r="C120" s="42">
        <f t="shared" si="3"/>
        <v>10000</v>
      </c>
      <c r="D120" s="42">
        <f t="shared" si="3"/>
        <v>30000</v>
      </c>
      <c r="E120" s="42">
        <f t="shared" si="3"/>
        <v>67000</v>
      </c>
      <c r="F120" s="42">
        <f t="shared" si="3"/>
        <v>26000</v>
      </c>
      <c r="G120" s="42">
        <f t="shared" si="3"/>
        <v>0</v>
      </c>
      <c r="H120" s="62">
        <f t="shared" si="4"/>
        <v>133000</v>
      </c>
      <c r="I120" s="36"/>
    </row>
    <row r="121" spans="2:9">
      <c r="B121" s="40" t="str">
        <f>$B$37</f>
        <v>Agriculture</v>
      </c>
      <c r="C121" s="42">
        <f t="shared" si="3"/>
        <v>3000</v>
      </c>
      <c r="D121" s="42">
        <f t="shared" si="3"/>
        <v>43000</v>
      </c>
      <c r="E121" s="42">
        <f t="shared" si="3"/>
        <v>0</v>
      </c>
      <c r="F121" s="42">
        <f t="shared" si="3"/>
        <v>151000</v>
      </c>
      <c r="G121" s="42">
        <f t="shared" si="3"/>
        <v>0</v>
      </c>
      <c r="H121" s="62">
        <f t="shared" si="4"/>
        <v>197000</v>
      </c>
      <c r="I121" s="36"/>
    </row>
    <row r="122" spans="2:9">
      <c r="B122" s="40" t="str">
        <f>$B$38</f>
        <v>Engineering</v>
      </c>
      <c r="C122" s="42">
        <f t="shared" si="3"/>
        <v>17000</v>
      </c>
      <c r="D122" s="42">
        <f t="shared" si="3"/>
        <v>111000</v>
      </c>
      <c r="E122" s="42">
        <f t="shared" si="3"/>
        <v>148000</v>
      </c>
      <c r="F122" s="42">
        <f t="shared" si="3"/>
        <v>134000</v>
      </c>
      <c r="G122" s="42">
        <f t="shared" si="3"/>
        <v>0</v>
      </c>
      <c r="H122" s="62">
        <f t="shared" si="4"/>
        <v>410000</v>
      </c>
      <c r="I122" s="36"/>
    </row>
    <row r="123" spans="2:9">
      <c r="B123" s="40" t="str">
        <f>$B$39</f>
        <v>Home Economics</v>
      </c>
      <c r="C123" s="42">
        <f t="shared" si="3"/>
        <v>8000</v>
      </c>
      <c r="D123" s="42">
        <f t="shared" si="3"/>
        <v>11000</v>
      </c>
      <c r="E123" s="42">
        <f t="shared" si="3"/>
        <v>55000</v>
      </c>
      <c r="F123" s="42">
        <f t="shared" si="3"/>
        <v>65000</v>
      </c>
      <c r="G123" s="42">
        <f t="shared" si="3"/>
        <v>0</v>
      </c>
      <c r="H123" s="62">
        <f t="shared" si="4"/>
        <v>139000</v>
      </c>
      <c r="I123" s="36"/>
    </row>
    <row r="124" spans="2:9">
      <c r="B124" s="40" t="str">
        <f>$B$40</f>
        <v>Law</v>
      </c>
      <c r="C124" s="42">
        <f t="shared" si="3"/>
        <v>0</v>
      </c>
      <c r="D124" s="42">
        <f t="shared" si="3"/>
        <v>0</v>
      </c>
      <c r="E124" s="42">
        <f t="shared" si="3"/>
        <v>0</v>
      </c>
      <c r="F124" s="42">
        <f t="shared" si="3"/>
        <v>0</v>
      </c>
      <c r="G124" s="42">
        <f t="shared" si="3"/>
        <v>0</v>
      </c>
      <c r="H124" s="62">
        <f t="shared" si="4"/>
        <v>0</v>
      </c>
      <c r="I124" s="36"/>
    </row>
    <row r="125" spans="2:9">
      <c r="B125" s="40" t="str">
        <f>$B$41</f>
        <v>Social Service</v>
      </c>
      <c r="C125" s="42">
        <f t="shared" si="3"/>
        <v>31000</v>
      </c>
      <c r="D125" s="42">
        <f t="shared" si="3"/>
        <v>33000</v>
      </c>
      <c r="E125" s="42">
        <f t="shared" si="3"/>
        <v>76000</v>
      </c>
      <c r="F125" s="42">
        <f t="shared" si="3"/>
        <v>380000</v>
      </c>
      <c r="G125" s="42">
        <f t="shared" si="3"/>
        <v>0</v>
      </c>
      <c r="H125" s="62">
        <f t="shared" si="4"/>
        <v>520000</v>
      </c>
      <c r="I125" s="36"/>
    </row>
    <row r="126" spans="2:9">
      <c r="B126" s="40" t="str">
        <f>$B$42</f>
        <v>Library Science</v>
      </c>
      <c r="C126" s="42">
        <f t="shared" si="3"/>
        <v>17000</v>
      </c>
      <c r="D126" s="42">
        <f t="shared" si="3"/>
        <v>10000</v>
      </c>
      <c r="E126" s="42">
        <f t="shared" si="3"/>
        <v>16000</v>
      </c>
      <c r="F126" s="42">
        <f t="shared" si="3"/>
        <v>103000</v>
      </c>
      <c r="G126" s="42">
        <f t="shared" si="3"/>
        <v>0</v>
      </c>
      <c r="H126" s="62">
        <f t="shared" si="4"/>
        <v>146000</v>
      </c>
      <c r="I126" s="36"/>
    </row>
    <row r="127" spans="2:9">
      <c r="B127" s="40" t="str">
        <f>$B$43</f>
        <v>Veterinary Science</v>
      </c>
      <c r="C127" s="42">
        <f t="shared" si="3"/>
        <v>0</v>
      </c>
      <c r="D127" s="42">
        <f t="shared" si="3"/>
        <v>0</v>
      </c>
      <c r="E127" s="42">
        <f t="shared" si="3"/>
        <v>0</v>
      </c>
      <c r="F127" s="42">
        <f t="shared" si="3"/>
        <v>0</v>
      </c>
      <c r="G127" s="42">
        <f t="shared" si="3"/>
        <v>0</v>
      </c>
      <c r="H127" s="62">
        <f t="shared" si="4"/>
        <v>0</v>
      </c>
      <c r="I127" s="36"/>
    </row>
    <row r="128" spans="2:9">
      <c r="B128" s="40" t="str">
        <f>$B$44</f>
        <v>Vocational Training</v>
      </c>
      <c r="C128" s="42">
        <f t="shared" si="3"/>
        <v>27000</v>
      </c>
      <c r="D128" s="42">
        <f t="shared" si="3"/>
        <v>28000</v>
      </c>
      <c r="E128" s="42">
        <f t="shared" si="3"/>
        <v>0</v>
      </c>
      <c r="F128" s="42">
        <f t="shared" si="3"/>
        <v>0</v>
      </c>
      <c r="G128" s="42">
        <f t="shared" si="3"/>
        <v>0</v>
      </c>
      <c r="H128" s="62">
        <f t="shared" si="4"/>
        <v>55000</v>
      </c>
      <c r="I128" s="36"/>
    </row>
    <row r="129" spans="2:17">
      <c r="B129" s="40" t="str">
        <f>$B$45</f>
        <v>Physical Training</v>
      </c>
      <c r="C129" s="42">
        <f t="shared" si="3"/>
        <v>40000</v>
      </c>
      <c r="D129" s="42">
        <f t="shared" si="3"/>
        <v>39000</v>
      </c>
      <c r="E129" s="42">
        <f t="shared" si="3"/>
        <v>0</v>
      </c>
      <c r="F129" s="42">
        <f t="shared" si="3"/>
        <v>0</v>
      </c>
      <c r="G129" s="42">
        <f t="shared" si="3"/>
        <v>0</v>
      </c>
      <c r="H129" s="62">
        <f t="shared" si="4"/>
        <v>79000</v>
      </c>
      <c r="I129" s="36"/>
    </row>
    <row r="130" spans="2:17">
      <c r="B130" s="40" t="str">
        <f>$B$46</f>
        <v>Health Services</v>
      </c>
      <c r="C130" s="42">
        <f t="shared" si="3"/>
        <v>6000</v>
      </c>
      <c r="D130" s="42">
        <f t="shared" si="3"/>
        <v>40000</v>
      </c>
      <c r="E130" s="42">
        <f t="shared" si="3"/>
        <v>88000</v>
      </c>
      <c r="F130" s="42">
        <f t="shared" si="3"/>
        <v>130000</v>
      </c>
      <c r="G130" s="42">
        <f t="shared" si="3"/>
        <v>0</v>
      </c>
      <c r="H130" s="62">
        <f t="shared" si="4"/>
        <v>264000</v>
      </c>
      <c r="I130" s="36"/>
    </row>
    <row r="131" spans="2:17">
      <c r="B131" s="40" t="str">
        <f>$B$47</f>
        <v>Pharmacy</v>
      </c>
      <c r="C131" s="42">
        <f t="shared" si="3"/>
        <v>0</v>
      </c>
      <c r="D131" s="42">
        <f t="shared" si="3"/>
        <v>0</v>
      </c>
      <c r="E131" s="42">
        <f t="shared" si="3"/>
        <v>0</v>
      </c>
      <c r="F131" s="42">
        <f t="shared" si="3"/>
        <v>0</v>
      </c>
      <c r="G131" s="42">
        <f t="shared" si="3"/>
        <v>0</v>
      </c>
      <c r="H131" s="62">
        <f t="shared" si="4"/>
        <v>0</v>
      </c>
      <c r="I131" s="36"/>
    </row>
    <row r="132" spans="2:17">
      <c r="B132" s="40" t="str">
        <f>$B$48</f>
        <v>Business Administration</v>
      </c>
      <c r="C132" s="42">
        <f t="shared" si="3"/>
        <v>30000</v>
      </c>
      <c r="D132" s="42">
        <f t="shared" si="3"/>
        <v>8000</v>
      </c>
      <c r="E132" s="42">
        <f t="shared" si="3"/>
        <v>30000</v>
      </c>
      <c r="F132" s="42">
        <f t="shared" si="3"/>
        <v>135000</v>
      </c>
      <c r="G132" s="42">
        <f t="shared" si="3"/>
        <v>0</v>
      </c>
      <c r="H132" s="62">
        <f t="shared" si="4"/>
        <v>203000</v>
      </c>
      <c r="I132" s="36"/>
    </row>
    <row r="133" spans="2:17">
      <c r="B133" s="40" t="str">
        <f>$B$49</f>
        <v>Optometry</v>
      </c>
      <c r="C133" s="42">
        <f t="shared" ref="C133:G136" si="5">C108+C78</f>
        <v>0</v>
      </c>
      <c r="D133" s="42">
        <f t="shared" si="5"/>
        <v>0</v>
      </c>
      <c r="E133" s="42">
        <f t="shared" si="5"/>
        <v>0</v>
      </c>
      <c r="F133" s="42">
        <f t="shared" si="5"/>
        <v>0</v>
      </c>
      <c r="G133" s="42">
        <f t="shared" si="5"/>
        <v>0</v>
      </c>
      <c r="H133" s="62">
        <f t="shared" si="4"/>
        <v>0</v>
      </c>
      <c r="I133" s="36"/>
    </row>
    <row r="134" spans="2:17">
      <c r="B134" s="40" t="str">
        <f>$B$50</f>
        <v>Teacher Ed-Practice Teaching</v>
      </c>
      <c r="C134" s="42">
        <f t="shared" si="5"/>
        <v>23000</v>
      </c>
      <c r="D134" s="42">
        <f t="shared" si="5"/>
        <v>44000</v>
      </c>
      <c r="E134" s="42">
        <f t="shared" si="5"/>
        <v>0</v>
      </c>
      <c r="F134" s="42">
        <f t="shared" si="5"/>
        <v>0</v>
      </c>
      <c r="G134" s="42">
        <f t="shared" si="5"/>
        <v>0</v>
      </c>
      <c r="H134" s="62">
        <f t="shared" si="4"/>
        <v>67000</v>
      </c>
      <c r="I134" s="36"/>
    </row>
    <row r="135" spans="2:17">
      <c r="B135" s="40" t="str">
        <f>$B$51</f>
        <v>Technology</v>
      </c>
      <c r="C135" s="42">
        <f t="shared" si="5"/>
        <v>32000</v>
      </c>
      <c r="D135" s="42">
        <f t="shared" si="5"/>
        <v>28000</v>
      </c>
      <c r="E135" s="42">
        <f t="shared" si="5"/>
        <v>88000</v>
      </c>
      <c r="F135" s="42">
        <f t="shared" si="5"/>
        <v>0</v>
      </c>
      <c r="G135" s="42">
        <f t="shared" si="5"/>
        <v>0</v>
      </c>
      <c r="H135" s="62">
        <f t="shared" si="4"/>
        <v>148000</v>
      </c>
      <c r="I135" s="36"/>
    </row>
    <row r="136" spans="2:17">
      <c r="B136" s="40" t="str">
        <f>$B$52</f>
        <v>Nursing</v>
      </c>
      <c r="C136" s="42">
        <f t="shared" si="5"/>
        <v>0</v>
      </c>
      <c r="D136" s="42">
        <f t="shared" si="5"/>
        <v>0</v>
      </c>
      <c r="E136" s="42">
        <f t="shared" si="5"/>
        <v>0</v>
      </c>
      <c r="F136" s="42">
        <f t="shared" si="5"/>
        <v>0</v>
      </c>
      <c r="G136" s="42">
        <f t="shared" si="5"/>
        <v>0</v>
      </c>
      <c r="H136" s="62">
        <f t="shared" si="4"/>
        <v>0</v>
      </c>
      <c r="I136" s="36"/>
    </row>
    <row r="137" spans="2:17">
      <c r="B137" s="51" t="str">
        <f>$B$53</f>
        <v>Totals</v>
      </c>
      <c r="C137" s="60">
        <f>SUM(C117:C136)</f>
        <v>331000</v>
      </c>
      <c r="D137" s="60">
        <f>SUM(D117:D136)</f>
        <v>490000</v>
      </c>
      <c r="E137" s="60">
        <f>SUM(E117:E136)</f>
        <v>842000</v>
      </c>
      <c r="F137" s="60">
        <f>SUM(F117:F136)</f>
        <v>1635000</v>
      </c>
      <c r="G137" s="60">
        <f>SUM(G117:G136)</f>
        <v>0</v>
      </c>
      <c r="H137" s="60">
        <f t="shared" si="4"/>
        <v>3298000</v>
      </c>
      <c r="I137" s="36"/>
    </row>
    <row r="138" spans="2:17">
      <c r="B138" s="66"/>
      <c r="C138" s="67"/>
      <c r="D138" s="67"/>
      <c r="E138" s="67"/>
      <c r="F138" s="67"/>
      <c r="G138" s="67"/>
      <c r="H138" s="68"/>
      <c r="I138" s="36"/>
    </row>
    <row r="139" spans="2:17">
      <c r="B139" s="54" t="s">
        <v>61</v>
      </c>
      <c r="C139" s="57"/>
      <c r="D139" s="57"/>
      <c r="E139" s="57"/>
      <c r="F139" s="57"/>
      <c r="G139" s="57"/>
      <c r="H139" s="56">
        <f>H87-H82-H112</f>
        <v>2702000</v>
      </c>
    </row>
    <row r="140" spans="2:17" ht="152.25" customHeight="1" thickBot="1">
      <c r="B140" s="100" t="s">
        <v>62</v>
      </c>
      <c r="C140" s="100"/>
      <c r="D140" s="100"/>
      <c r="E140" s="100"/>
      <c r="F140" s="100"/>
      <c r="G140" s="100"/>
      <c r="H140" s="47"/>
    </row>
    <row r="141" spans="2:17" ht="25.5" customHeight="1" thickTop="1">
      <c r="B141" s="112" t="s">
        <v>63</v>
      </c>
      <c r="C141" s="113"/>
      <c r="D141" s="113"/>
      <c r="E141" s="113"/>
      <c r="F141" s="116" t="s">
        <v>64</v>
      </c>
      <c r="G141" s="117"/>
      <c r="H141" s="69">
        <v>0.25</v>
      </c>
      <c r="I141" s="106" t="str">
        <f>IF(H141+H142=1,"","Error, the two cells on the left must equal 100%")</f>
        <v/>
      </c>
      <c r="L141" s="70"/>
    </row>
    <row r="142" spans="2:17" ht="25.5" customHeight="1" thickBot="1">
      <c r="B142" s="114"/>
      <c r="C142" s="115"/>
      <c r="D142" s="115"/>
      <c r="E142" s="115"/>
      <c r="F142" s="107" t="s">
        <v>65</v>
      </c>
      <c r="G142" s="108"/>
      <c r="H142" s="71">
        <f>1-H141</f>
        <v>0.75</v>
      </c>
      <c r="I142" s="106"/>
    </row>
    <row r="143" spans="2:17" ht="43.5" thickBot="1">
      <c r="B143" s="72" t="s">
        <v>29</v>
      </c>
      <c r="C143" s="73" t="s">
        <v>20</v>
      </c>
      <c r="D143" s="73" t="s">
        <v>21</v>
      </c>
      <c r="E143" s="73" t="s">
        <v>22</v>
      </c>
      <c r="F143" s="73" t="s">
        <v>23</v>
      </c>
      <c r="G143" s="73" t="s">
        <v>24</v>
      </c>
      <c r="H143" s="74" t="s">
        <v>66</v>
      </c>
      <c r="I143" s="75" t="s">
        <v>67</v>
      </c>
    </row>
    <row r="144" spans="2:17">
      <c r="B144" s="40" t="str">
        <f>$B$33</f>
        <v>Liberal Arts</v>
      </c>
      <c r="C144" s="59"/>
      <c r="D144" s="59"/>
      <c r="E144" s="59"/>
      <c r="F144" s="59"/>
      <c r="G144" s="76">
        <v>0</v>
      </c>
      <c r="H144" s="77">
        <v>500000</v>
      </c>
      <c r="I144" s="78">
        <f t="shared" ref="I144:I163" si="6">SUM(C144:H144)</f>
        <v>500000</v>
      </c>
      <c r="K144" s="91"/>
      <c r="L144" s="91"/>
      <c r="M144" s="91"/>
      <c r="N144" s="91"/>
      <c r="O144" s="91"/>
      <c r="P144" s="91"/>
      <c r="Q144" s="91"/>
    </row>
    <row r="145" spans="2:17">
      <c r="B145" s="40" t="str">
        <f>$B$34</f>
        <v>Science</v>
      </c>
      <c r="C145" s="61"/>
      <c r="D145" s="61"/>
      <c r="E145" s="61"/>
      <c r="F145" s="61"/>
      <c r="G145" s="79">
        <v>0</v>
      </c>
      <c r="H145" s="80">
        <v>400000</v>
      </c>
      <c r="I145" s="78">
        <f t="shared" si="6"/>
        <v>400000</v>
      </c>
      <c r="K145" s="91"/>
      <c r="L145" s="91"/>
      <c r="M145" s="91"/>
      <c r="N145" s="91"/>
      <c r="O145" s="91"/>
      <c r="P145" s="91"/>
      <c r="Q145" s="91"/>
    </row>
    <row r="146" spans="2:17">
      <c r="B146" s="40" t="str">
        <f>$B$35</f>
        <v>Fine Arts</v>
      </c>
      <c r="C146" s="61"/>
      <c r="D146" s="61"/>
      <c r="E146" s="61"/>
      <c r="F146" s="61"/>
      <c r="G146" s="79">
        <v>0</v>
      </c>
      <c r="H146" s="80">
        <v>200000</v>
      </c>
      <c r="I146" s="78">
        <f t="shared" si="6"/>
        <v>200000</v>
      </c>
      <c r="K146" s="91"/>
      <c r="L146" s="91"/>
      <c r="M146" s="91"/>
      <c r="N146" s="91"/>
      <c r="O146" s="91"/>
      <c r="P146" s="91"/>
      <c r="Q146" s="91"/>
    </row>
    <row r="147" spans="2:17">
      <c r="B147" s="40" t="str">
        <f>$B$36</f>
        <v>Teacher Education</v>
      </c>
      <c r="C147" s="61"/>
      <c r="D147" s="61"/>
      <c r="E147" s="61"/>
      <c r="F147" s="61"/>
      <c r="G147" s="79">
        <v>0</v>
      </c>
      <c r="H147" s="80">
        <v>100000</v>
      </c>
      <c r="I147" s="78">
        <f t="shared" si="6"/>
        <v>100000</v>
      </c>
      <c r="K147" s="91"/>
      <c r="L147" s="91"/>
      <c r="M147" s="91"/>
      <c r="N147" s="91"/>
      <c r="O147" s="91"/>
      <c r="P147" s="91"/>
      <c r="Q147" s="91"/>
    </row>
    <row r="148" spans="2:17">
      <c r="B148" s="40" t="str">
        <f>$B$37</f>
        <v>Agriculture</v>
      </c>
      <c r="C148" s="61"/>
      <c r="D148" s="61"/>
      <c r="E148" s="61"/>
      <c r="F148" s="61"/>
      <c r="G148" s="79">
        <v>0</v>
      </c>
      <c r="H148" s="80">
        <v>200000</v>
      </c>
      <c r="I148" s="78">
        <f t="shared" si="6"/>
        <v>200000</v>
      </c>
      <c r="K148" s="91"/>
      <c r="L148" s="91"/>
      <c r="M148" s="91"/>
      <c r="N148" s="91"/>
      <c r="O148" s="91"/>
      <c r="P148" s="91"/>
      <c r="Q148" s="91"/>
    </row>
    <row r="149" spans="2:17">
      <c r="B149" s="40" t="str">
        <f>$B$38</f>
        <v>Engineering</v>
      </c>
      <c r="C149" s="61"/>
      <c r="D149" s="61"/>
      <c r="E149" s="61"/>
      <c r="F149" s="61"/>
      <c r="G149" s="79">
        <v>0</v>
      </c>
      <c r="H149" s="80">
        <v>300000</v>
      </c>
      <c r="I149" s="78">
        <f t="shared" si="6"/>
        <v>300000</v>
      </c>
      <c r="K149" s="91"/>
      <c r="L149" s="91"/>
      <c r="M149" s="91"/>
      <c r="N149" s="91"/>
      <c r="O149" s="91"/>
      <c r="P149" s="91"/>
      <c r="Q149" s="91"/>
    </row>
    <row r="150" spans="2:17">
      <c r="B150" s="40" t="str">
        <f>$B$39</f>
        <v>Home Economics</v>
      </c>
      <c r="C150" s="61"/>
      <c r="D150" s="61"/>
      <c r="E150" s="61"/>
      <c r="F150" s="61"/>
      <c r="G150" s="79">
        <v>0</v>
      </c>
      <c r="H150" s="80">
        <v>100000</v>
      </c>
      <c r="I150" s="78">
        <f t="shared" si="6"/>
        <v>100000</v>
      </c>
      <c r="K150" s="91"/>
      <c r="L150" s="91"/>
      <c r="M150" s="91"/>
      <c r="N150" s="91"/>
      <c r="O150" s="91"/>
      <c r="P150" s="91"/>
      <c r="Q150" s="91"/>
    </row>
    <row r="151" spans="2:17">
      <c r="B151" s="40" t="str">
        <f>$B$40</f>
        <v>Law</v>
      </c>
      <c r="C151" s="61"/>
      <c r="D151" s="61"/>
      <c r="E151" s="61"/>
      <c r="F151" s="61"/>
      <c r="G151" s="79">
        <v>0</v>
      </c>
      <c r="H151" s="80">
        <v>0</v>
      </c>
      <c r="I151" s="78">
        <f t="shared" si="6"/>
        <v>0</v>
      </c>
      <c r="K151" s="91"/>
      <c r="L151" s="91"/>
      <c r="M151" s="91"/>
      <c r="N151" s="91"/>
      <c r="O151" s="91"/>
      <c r="P151" s="91"/>
      <c r="Q151" s="91"/>
    </row>
    <row r="152" spans="2:17">
      <c r="B152" s="40" t="str">
        <f>$B$41</f>
        <v>Social Service</v>
      </c>
      <c r="C152" s="61"/>
      <c r="D152" s="61"/>
      <c r="E152" s="61"/>
      <c r="F152" s="61"/>
      <c r="G152" s="79">
        <v>0</v>
      </c>
      <c r="H152" s="80">
        <v>200000</v>
      </c>
      <c r="I152" s="78">
        <f t="shared" si="6"/>
        <v>200000</v>
      </c>
      <c r="K152" s="91"/>
      <c r="L152" s="91"/>
      <c r="M152" s="91"/>
      <c r="N152" s="91"/>
      <c r="O152" s="91"/>
      <c r="P152" s="91"/>
      <c r="Q152" s="91"/>
    </row>
    <row r="153" spans="2:17">
      <c r="B153" s="40" t="str">
        <f>$B$42</f>
        <v>Library Science</v>
      </c>
      <c r="C153" s="61"/>
      <c r="D153" s="61"/>
      <c r="E153" s="61"/>
      <c r="F153" s="61"/>
      <c r="G153" s="79">
        <v>0</v>
      </c>
      <c r="H153" s="80">
        <v>102000</v>
      </c>
      <c r="I153" s="78">
        <f t="shared" si="6"/>
        <v>102000</v>
      </c>
      <c r="K153" s="91"/>
      <c r="L153" s="91"/>
      <c r="M153" s="91"/>
      <c r="N153" s="91"/>
      <c r="O153" s="91"/>
      <c r="P153" s="91"/>
      <c r="Q153" s="91"/>
    </row>
    <row r="154" spans="2:17">
      <c r="B154" s="40" t="str">
        <f>$B$43</f>
        <v>Veterinary Science</v>
      </c>
      <c r="C154" s="61"/>
      <c r="D154" s="61"/>
      <c r="E154" s="61"/>
      <c r="F154" s="61"/>
      <c r="G154" s="79">
        <v>0</v>
      </c>
      <c r="H154" s="80">
        <v>0</v>
      </c>
      <c r="I154" s="78">
        <f t="shared" si="6"/>
        <v>0</v>
      </c>
      <c r="K154" s="91"/>
      <c r="L154" s="91"/>
      <c r="M154" s="91"/>
      <c r="N154" s="91"/>
      <c r="O154" s="91"/>
      <c r="P154" s="91"/>
      <c r="Q154" s="91"/>
    </row>
    <row r="155" spans="2:17">
      <c r="B155" s="40" t="str">
        <f>$B$44</f>
        <v>Vocational Training</v>
      </c>
      <c r="C155" s="61"/>
      <c r="D155" s="61"/>
      <c r="E155" s="61"/>
      <c r="F155" s="61"/>
      <c r="G155" s="79">
        <v>0</v>
      </c>
      <c r="H155" s="80">
        <v>0</v>
      </c>
      <c r="I155" s="78">
        <f t="shared" si="6"/>
        <v>0</v>
      </c>
      <c r="K155" s="91"/>
      <c r="L155" s="91"/>
      <c r="M155" s="91"/>
      <c r="N155" s="91"/>
      <c r="O155" s="91"/>
      <c r="P155" s="91"/>
      <c r="Q155" s="91"/>
    </row>
    <row r="156" spans="2:17">
      <c r="B156" s="40" t="str">
        <f>$B$45</f>
        <v>Physical Training</v>
      </c>
      <c r="C156" s="61"/>
      <c r="D156" s="61"/>
      <c r="E156" s="61"/>
      <c r="F156" s="61"/>
      <c r="G156" s="79">
        <v>0</v>
      </c>
      <c r="H156" s="80">
        <v>0</v>
      </c>
      <c r="I156" s="78">
        <f t="shared" si="6"/>
        <v>0</v>
      </c>
      <c r="K156" s="91"/>
      <c r="L156" s="91"/>
      <c r="M156" s="91"/>
      <c r="N156" s="91"/>
      <c r="O156" s="91"/>
      <c r="P156" s="91"/>
      <c r="Q156" s="91"/>
    </row>
    <row r="157" spans="2:17">
      <c r="B157" s="40" t="str">
        <f>$B$46</f>
        <v>Health Services</v>
      </c>
      <c r="C157" s="61"/>
      <c r="D157" s="61"/>
      <c r="E157" s="61"/>
      <c r="F157" s="61"/>
      <c r="G157" s="79">
        <v>0</v>
      </c>
      <c r="H157" s="80">
        <v>200000</v>
      </c>
      <c r="I157" s="78">
        <f t="shared" si="6"/>
        <v>200000</v>
      </c>
      <c r="K157" s="91"/>
      <c r="L157" s="91"/>
      <c r="M157" s="91"/>
      <c r="N157" s="91"/>
      <c r="O157" s="91"/>
      <c r="P157" s="91"/>
      <c r="Q157" s="91"/>
    </row>
    <row r="158" spans="2:17">
      <c r="B158" s="40" t="str">
        <f>$B$47</f>
        <v>Pharmacy</v>
      </c>
      <c r="C158" s="61"/>
      <c r="D158" s="61"/>
      <c r="E158" s="61"/>
      <c r="F158" s="61"/>
      <c r="G158" s="79">
        <v>0</v>
      </c>
      <c r="H158" s="80">
        <v>0</v>
      </c>
      <c r="I158" s="78">
        <f t="shared" si="6"/>
        <v>0</v>
      </c>
      <c r="K158" s="91"/>
      <c r="L158" s="91"/>
      <c r="M158" s="91"/>
      <c r="N158" s="91"/>
      <c r="O158" s="91"/>
      <c r="P158" s="91"/>
      <c r="Q158" s="91"/>
    </row>
    <row r="159" spans="2:17">
      <c r="B159" s="40" t="str">
        <f>$B$48</f>
        <v>Business Administration</v>
      </c>
      <c r="C159" s="61"/>
      <c r="D159" s="61"/>
      <c r="E159" s="61"/>
      <c r="F159" s="61"/>
      <c r="G159" s="79">
        <v>0</v>
      </c>
      <c r="H159" s="80">
        <v>300000</v>
      </c>
      <c r="I159" s="78">
        <f t="shared" si="6"/>
        <v>300000</v>
      </c>
      <c r="K159" s="91"/>
      <c r="L159" s="91"/>
      <c r="M159" s="91"/>
      <c r="N159" s="91"/>
      <c r="O159" s="91"/>
      <c r="P159" s="91"/>
      <c r="Q159" s="91"/>
    </row>
    <row r="160" spans="2:17">
      <c r="B160" s="40" t="str">
        <f>$B$49</f>
        <v>Optometry</v>
      </c>
      <c r="C160" s="61"/>
      <c r="D160" s="61"/>
      <c r="E160" s="61"/>
      <c r="F160" s="61"/>
      <c r="G160" s="79">
        <v>0</v>
      </c>
      <c r="H160" s="80">
        <v>0</v>
      </c>
      <c r="I160" s="78">
        <f t="shared" si="6"/>
        <v>0</v>
      </c>
      <c r="K160" s="91"/>
      <c r="L160" s="91"/>
      <c r="M160" s="91"/>
      <c r="N160" s="91"/>
      <c r="O160" s="91"/>
      <c r="P160" s="91"/>
      <c r="Q160" s="91"/>
    </row>
    <row r="161" spans="2:17">
      <c r="B161" s="40" t="str">
        <f>$B$50</f>
        <v>Teacher Ed-Practice Teaching</v>
      </c>
      <c r="C161" s="61"/>
      <c r="D161" s="61"/>
      <c r="E161" s="61"/>
      <c r="F161" s="61"/>
      <c r="G161" s="79">
        <v>0</v>
      </c>
      <c r="H161" s="80">
        <v>0</v>
      </c>
      <c r="I161" s="78">
        <f t="shared" si="6"/>
        <v>0</v>
      </c>
      <c r="K161" s="91"/>
      <c r="L161" s="91"/>
      <c r="M161" s="91"/>
      <c r="N161" s="91"/>
      <c r="O161" s="91"/>
      <c r="P161" s="91"/>
      <c r="Q161" s="91"/>
    </row>
    <row r="162" spans="2:17">
      <c r="B162" s="40" t="str">
        <f>$B$51</f>
        <v>Technology</v>
      </c>
      <c r="C162" s="61"/>
      <c r="D162" s="61"/>
      <c r="E162" s="61"/>
      <c r="F162" s="61"/>
      <c r="G162" s="79">
        <v>0</v>
      </c>
      <c r="H162" s="80">
        <v>100000</v>
      </c>
      <c r="I162" s="78">
        <f t="shared" si="6"/>
        <v>100000</v>
      </c>
      <c r="K162" s="91"/>
      <c r="L162" s="91"/>
      <c r="M162" s="91"/>
      <c r="N162" s="91"/>
      <c r="O162" s="91"/>
      <c r="P162" s="91"/>
      <c r="Q162" s="91"/>
    </row>
    <row r="163" spans="2:17">
      <c r="B163" s="40" t="str">
        <f>$B$52</f>
        <v>Nursing</v>
      </c>
      <c r="C163" s="61"/>
      <c r="D163" s="61"/>
      <c r="E163" s="61"/>
      <c r="F163" s="61"/>
      <c r="G163" s="79">
        <v>0</v>
      </c>
      <c r="H163" s="80">
        <v>0</v>
      </c>
      <c r="I163" s="78">
        <f t="shared" si="6"/>
        <v>0</v>
      </c>
      <c r="K163" s="91"/>
      <c r="L163" s="91"/>
      <c r="M163" s="91"/>
      <c r="N163" s="91"/>
      <c r="O163" s="91"/>
      <c r="P163" s="91"/>
      <c r="Q163" s="91"/>
    </row>
    <row r="164" spans="2:17" ht="15" thickBot="1">
      <c r="B164" s="51" t="str">
        <f>$B$53</f>
        <v>Totals</v>
      </c>
      <c r="C164" s="60">
        <f t="shared" ref="C164:H164" si="7">SUM(C144:C163)</f>
        <v>0</v>
      </c>
      <c r="D164" s="60">
        <f t="shared" si="7"/>
        <v>0</v>
      </c>
      <c r="E164" s="60">
        <f t="shared" si="7"/>
        <v>0</v>
      </c>
      <c r="F164" s="60">
        <f t="shared" si="7"/>
        <v>0</v>
      </c>
      <c r="G164" s="81">
        <f t="shared" si="7"/>
        <v>0</v>
      </c>
      <c r="H164" s="82">
        <f t="shared" si="7"/>
        <v>2702000</v>
      </c>
      <c r="I164" s="78">
        <f>SUM(I144:I163)</f>
        <v>2702000</v>
      </c>
    </row>
    <row r="165" spans="2:17" ht="15" thickTop="1">
      <c r="B165" s="45"/>
      <c r="C165" s="64"/>
      <c r="D165" s="64"/>
      <c r="E165" s="64"/>
      <c r="F165" s="64"/>
      <c r="G165" s="64"/>
      <c r="H165" s="83"/>
      <c r="I165" s="84"/>
    </row>
    <row r="166" spans="2:17">
      <c r="B166" s="109" t="s">
        <v>68</v>
      </c>
      <c r="C166" s="109"/>
      <c r="D166" s="109"/>
      <c r="E166" s="109"/>
      <c r="F166" s="109"/>
      <c r="G166" s="109"/>
      <c r="H166" s="85"/>
      <c r="I166" s="85"/>
    </row>
    <row r="167" spans="2:17" ht="43.5" customHeight="1" thickBot="1">
      <c r="B167" s="102" t="s">
        <v>69</v>
      </c>
      <c r="C167" s="102"/>
      <c r="D167" s="102"/>
      <c r="E167" s="102"/>
      <c r="F167" s="102"/>
      <c r="G167" s="102"/>
      <c r="H167" s="58"/>
    </row>
    <row r="168" spans="2:17" ht="15" thickBot="1">
      <c r="B168" s="37" t="s">
        <v>29</v>
      </c>
      <c r="C168" s="38" t="s">
        <v>20</v>
      </c>
      <c r="D168" s="38" t="s">
        <v>21</v>
      </c>
      <c r="E168" s="38" t="s">
        <v>22</v>
      </c>
      <c r="F168" s="38" t="s">
        <v>23</v>
      </c>
      <c r="G168" s="38" t="s">
        <v>24</v>
      </c>
      <c r="H168" s="39" t="s">
        <v>14</v>
      </c>
      <c r="I168" s="36"/>
    </row>
    <row r="169" spans="2:17">
      <c r="B169" s="40" t="str">
        <f>$B$33</f>
        <v>Liberal Arts</v>
      </c>
      <c r="C169" s="50">
        <f t="shared" ref="C169:G184" si="8">C144+$H$141*IF($H117=0,0,$H144*C117/$H117)+IF($H33=0,0,$H$142*$H144*C33/$H33)</f>
        <v>247126.4367816092</v>
      </c>
      <c r="D169" s="50">
        <f t="shared" si="8"/>
        <v>134339.08045977011</v>
      </c>
      <c r="E169" s="50">
        <f t="shared" si="8"/>
        <v>68606.321839080454</v>
      </c>
      <c r="F169" s="50">
        <f t="shared" si="8"/>
        <v>49928.160919540227</v>
      </c>
      <c r="G169" s="50">
        <f t="shared" si="8"/>
        <v>0</v>
      </c>
      <c r="H169" s="60">
        <f t="shared" ref="H169:H189" si="9">SUM(C169:G169)</f>
        <v>500000</v>
      </c>
      <c r="I169" s="86"/>
      <c r="J169" s="70"/>
    </row>
    <row r="170" spans="2:17">
      <c r="B170" s="40" t="str">
        <f>$B$34</f>
        <v>Science</v>
      </c>
      <c r="C170" s="42">
        <f t="shared" si="8"/>
        <v>51665.215849372929</v>
      </c>
      <c r="D170" s="42">
        <f t="shared" si="8"/>
        <v>56938.130702517978</v>
      </c>
      <c r="E170" s="42">
        <f t="shared" si="8"/>
        <v>86995.840990424607</v>
      </c>
      <c r="F170" s="42">
        <f t="shared" si="8"/>
        <v>204400.81245768449</v>
      </c>
      <c r="G170" s="42">
        <f t="shared" si="8"/>
        <v>0</v>
      </c>
      <c r="H170" s="62">
        <f t="shared" si="9"/>
        <v>400000</v>
      </c>
      <c r="I170" s="86"/>
      <c r="J170" s="70"/>
    </row>
    <row r="171" spans="2:17">
      <c r="B171" s="40" t="str">
        <f>$B$35</f>
        <v>Fine Arts</v>
      </c>
      <c r="C171" s="42">
        <f t="shared" si="8"/>
        <v>72110.735009671174</v>
      </c>
      <c r="D171" s="42">
        <f t="shared" si="8"/>
        <v>8413.9264990328811</v>
      </c>
      <c r="E171" s="42">
        <f t="shared" si="8"/>
        <v>116706.96324951644</v>
      </c>
      <c r="F171" s="42">
        <f t="shared" si="8"/>
        <v>2768.3752417794967</v>
      </c>
      <c r="G171" s="42">
        <f t="shared" si="8"/>
        <v>0</v>
      </c>
      <c r="H171" s="62">
        <f t="shared" si="9"/>
        <v>200000</v>
      </c>
      <c r="I171" s="86"/>
      <c r="J171" s="70"/>
    </row>
    <row r="172" spans="2:17">
      <c r="B172" s="40" t="str">
        <f>$B$36</f>
        <v>Teacher Education</v>
      </c>
      <c r="C172" s="42">
        <f t="shared" si="8"/>
        <v>10500.388903292715</v>
      </c>
      <c r="D172" s="42">
        <f t="shared" si="8"/>
        <v>28914.959813326423</v>
      </c>
      <c r="E172" s="42">
        <f t="shared" si="8"/>
        <v>50525.019445164638</v>
      </c>
      <c r="F172" s="42">
        <f t="shared" si="8"/>
        <v>10059.63183821623</v>
      </c>
      <c r="G172" s="42">
        <f t="shared" si="8"/>
        <v>0</v>
      </c>
      <c r="H172" s="62">
        <f t="shared" si="9"/>
        <v>100000</v>
      </c>
      <c r="I172" s="86"/>
      <c r="J172" s="70"/>
    </row>
    <row r="173" spans="2:17">
      <c r="B173" s="40" t="str">
        <f>$B$37</f>
        <v>Agriculture</v>
      </c>
      <c r="C173" s="42">
        <f t="shared" si="8"/>
        <v>8520.0420094521269</v>
      </c>
      <c r="D173" s="42">
        <f t="shared" si="8"/>
        <v>83327.498687204614</v>
      </c>
      <c r="E173" s="42">
        <f t="shared" si="8"/>
        <v>0</v>
      </c>
      <c r="F173" s="42">
        <f t="shared" si="8"/>
        <v>108152.45930334326</v>
      </c>
      <c r="G173" s="42">
        <f t="shared" si="8"/>
        <v>0</v>
      </c>
      <c r="H173" s="62">
        <f t="shared" si="9"/>
        <v>200000</v>
      </c>
      <c r="I173" s="86"/>
      <c r="J173" s="70"/>
    </row>
    <row r="174" spans="2:17">
      <c r="B174" s="40" t="str">
        <f>$B$38</f>
        <v>Engineering</v>
      </c>
      <c r="C174" s="42">
        <f t="shared" si="8"/>
        <v>25816.178115909599</v>
      </c>
      <c r="D174" s="42">
        <f t="shared" si="8"/>
        <v>121451.66703960618</v>
      </c>
      <c r="E174" s="42">
        <f t="shared" si="8"/>
        <v>97256.656970239419</v>
      </c>
      <c r="F174" s="42">
        <f t="shared" si="8"/>
        <v>55475.4978742448</v>
      </c>
      <c r="G174" s="42">
        <f t="shared" si="8"/>
        <v>0</v>
      </c>
      <c r="H174" s="62">
        <f t="shared" si="9"/>
        <v>300000</v>
      </c>
      <c r="I174" s="86"/>
      <c r="J174" s="70"/>
    </row>
    <row r="175" spans="2:17">
      <c r="B175" s="40" t="str">
        <f>$B$39</f>
        <v>Home Economics</v>
      </c>
      <c r="C175" s="42">
        <f t="shared" si="8"/>
        <v>12308.414138254613</v>
      </c>
      <c r="D175" s="42">
        <f t="shared" si="8"/>
        <v>12847.982483578355</v>
      </c>
      <c r="E175" s="42">
        <f t="shared" si="8"/>
        <v>44674.695026587426</v>
      </c>
      <c r="F175" s="42">
        <f t="shared" si="8"/>
        <v>30168.908351579605</v>
      </c>
      <c r="G175" s="42">
        <f t="shared" si="8"/>
        <v>0</v>
      </c>
      <c r="H175" s="62">
        <f t="shared" si="9"/>
        <v>100000</v>
      </c>
      <c r="I175" s="86"/>
      <c r="J175" s="70"/>
    </row>
    <row r="176" spans="2:17">
      <c r="B176" s="40" t="str">
        <f>$B$40</f>
        <v>Law</v>
      </c>
      <c r="C176" s="42">
        <f t="shared" si="8"/>
        <v>0</v>
      </c>
      <c r="D176" s="42">
        <f t="shared" si="8"/>
        <v>0</v>
      </c>
      <c r="E176" s="42">
        <f t="shared" si="8"/>
        <v>0</v>
      </c>
      <c r="F176" s="42">
        <f t="shared" si="8"/>
        <v>0</v>
      </c>
      <c r="G176" s="42">
        <f t="shared" si="8"/>
        <v>0</v>
      </c>
      <c r="H176" s="62">
        <f t="shared" si="9"/>
        <v>0</v>
      </c>
      <c r="I176" s="86"/>
      <c r="J176" s="70"/>
    </row>
    <row r="177" spans="2:10">
      <c r="B177" s="40" t="str">
        <f>$B$41</f>
        <v>Social Service</v>
      </c>
      <c r="C177" s="42">
        <f t="shared" si="8"/>
        <v>29204.545454545456</v>
      </c>
      <c r="D177" s="42">
        <f t="shared" si="8"/>
        <v>30445.804195804194</v>
      </c>
      <c r="E177" s="42">
        <f t="shared" si="8"/>
        <v>52412.587412587411</v>
      </c>
      <c r="F177" s="42">
        <f t="shared" si="8"/>
        <v>87937.062937062932</v>
      </c>
      <c r="G177" s="42">
        <f t="shared" si="8"/>
        <v>0</v>
      </c>
      <c r="H177" s="62">
        <f t="shared" si="9"/>
        <v>200000</v>
      </c>
      <c r="I177" s="86"/>
      <c r="J177" s="70"/>
    </row>
    <row r="178" spans="2:10">
      <c r="B178" s="40" t="str">
        <f>$B$42</f>
        <v>Library Science</v>
      </c>
      <c r="C178" s="42">
        <f t="shared" si="8"/>
        <v>26023.972602739726</v>
      </c>
      <c r="D178" s="42">
        <f t="shared" si="8"/>
        <v>16417.808219178081</v>
      </c>
      <c r="E178" s="42">
        <f t="shared" si="8"/>
        <v>13273.972602739726</v>
      </c>
      <c r="F178" s="42">
        <f t="shared" si="8"/>
        <v>46284.246575342462</v>
      </c>
      <c r="G178" s="42">
        <f t="shared" si="8"/>
        <v>0</v>
      </c>
      <c r="H178" s="62">
        <f t="shared" si="9"/>
        <v>102000</v>
      </c>
      <c r="I178" s="86"/>
      <c r="J178" s="70"/>
    </row>
    <row r="179" spans="2:10">
      <c r="B179" s="40" t="str">
        <f>$B$43</f>
        <v>Veterinary Science</v>
      </c>
      <c r="C179" s="42">
        <f t="shared" si="8"/>
        <v>0</v>
      </c>
      <c r="D179" s="42">
        <f t="shared" si="8"/>
        <v>0</v>
      </c>
      <c r="E179" s="42">
        <f t="shared" si="8"/>
        <v>0</v>
      </c>
      <c r="F179" s="42">
        <f t="shared" si="8"/>
        <v>0</v>
      </c>
      <c r="G179" s="42">
        <f t="shared" si="8"/>
        <v>0</v>
      </c>
      <c r="H179" s="62">
        <f t="shared" si="9"/>
        <v>0</v>
      </c>
      <c r="I179" s="86"/>
      <c r="J179" s="70"/>
    </row>
    <row r="180" spans="2:10">
      <c r="B180" s="40" t="str">
        <f>$B$44</f>
        <v>Vocational Training</v>
      </c>
      <c r="C180" s="42">
        <f t="shared" si="8"/>
        <v>0</v>
      </c>
      <c r="D180" s="42">
        <f t="shared" si="8"/>
        <v>0</v>
      </c>
      <c r="E180" s="42">
        <f t="shared" si="8"/>
        <v>0</v>
      </c>
      <c r="F180" s="42">
        <f t="shared" si="8"/>
        <v>0</v>
      </c>
      <c r="G180" s="42">
        <f t="shared" si="8"/>
        <v>0</v>
      </c>
      <c r="H180" s="62">
        <f t="shared" si="9"/>
        <v>0</v>
      </c>
      <c r="I180" s="86"/>
      <c r="J180" s="70"/>
    </row>
    <row r="181" spans="2:10">
      <c r="B181" s="40" t="str">
        <f>$B$45</f>
        <v>Physical Training</v>
      </c>
      <c r="C181" s="42">
        <f t="shared" si="8"/>
        <v>0</v>
      </c>
      <c r="D181" s="42">
        <f t="shared" si="8"/>
        <v>0</v>
      </c>
      <c r="E181" s="42">
        <f t="shared" si="8"/>
        <v>0</v>
      </c>
      <c r="F181" s="42">
        <f t="shared" si="8"/>
        <v>0</v>
      </c>
      <c r="G181" s="42">
        <f t="shared" si="8"/>
        <v>0</v>
      </c>
      <c r="H181" s="62">
        <f t="shared" si="9"/>
        <v>0</v>
      </c>
      <c r="I181" s="86"/>
      <c r="J181" s="70"/>
    </row>
    <row r="182" spans="2:10">
      <c r="B182" s="40" t="str">
        <f>$B$46</f>
        <v>Health Services</v>
      </c>
      <c r="C182" s="42">
        <f t="shared" si="8"/>
        <v>31136.363636363636</v>
      </c>
      <c r="D182" s="42">
        <f t="shared" si="8"/>
        <v>127575.75757575757</v>
      </c>
      <c r="E182" s="42">
        <f t="shared" si="8"/>
        <v>16666.666666666668</v>
      </c>
      <c r="F182" s="42">
        <f t="shared" si="8"/>
        <v>24621.21212121212</v>
      </c>
      <c r="G182" s="42">
        <f t="shared" si="8"/>
        <v>0</v>
      </c>
      <c r="H182" s="62">
        <f t="shared" si="9"/>
        <v>200000</v>
      </c>
      <c r="I182" s="86"/>
      <c r="J182" s="70"/>
    </row>
    <row r="183" spans="2:10">
      <c r="B183" s="40" t="str">
        <f>$B$47</f>
        <v>Pharmacy</v>
      </c>
      <c r="C183" s="42">
        <f t="shared" si="8"/>
        <v>0</v>
      </c>
      <c r="D183" s="42">
        <f t="shared" si="8"/>
        <v>0</v>
      </c>
      <c r="E183" s="42">
        <f t="shared" si="8"/>
        <v>0</v>
      </c>
      <c r="F183" s="42">
        <f t="shared" si="8"/>
        <v>0</v>
      </c>
      <c r="G183" s="42">
        <f t="shared" si="8"/>
        <v>0</v>
      </c>
      <c r="H183" s="62">
        <f t="shared" si="9"/>
        <v>0</v>
      </c>
      <c r="I183" s="86"/>
      <c r="J183" s="70"/>
    </row>
    <row r="184" spans="2:10">
      <c r="B184" s="40" t="str">
        <f>$B$48</f>
        <v>Business Administration</v>
      </c>
      <c r="C184" s="42">
        <f t="shared" si="8"/>
        <v>134675.29313813918</v>
      </c>
      <c r="D184" s="42">
        <f t="shared" si="8"/>
        <v>25138.763616179836</v>
      </c>
      <c r="E184" s="42">
        <f t="shared" si="8"/>
        <v>58618.955109970164</v>
      </c>
      <c r="F184" s="42">
        <f t="shared" si="8"/>
        <v>81566.98813571081</v>
      </c>
      <c r="G184" s="42">
        <f t="shared" si="8"/>
        <v>0</v>
      </c>
      <c r="H184" s="62">
        <f t="shared" si="9"/>
        <v>300000</v>
      </c>
      <c r="I184" s="86"/>
      <c r="J184" s="70"/>
    </row>
    <row r="185" spans="2:10">
      <c r="B185" s="40" t="str">
        <f>$B$49</f>
        <v>Optometry</v>
      </c>
      <c r="C185" s="42">
        <f t="shared" ref="C185:G188" si="10">C160+$H$141*IF($H133=0,0,$H160*C133/$H133)+IF($H49=0,0,$H$142*$H160*C49/$H49)</f>
        <v>0</v>
      </c>
      <c r="D185" s="42">
        <f t="shared" si="10"/>
        <v>0</v>
      </c>
      <c r="E185" s="42">
        <f t="shared" si="10"/>
        <v>0</v>
      </c>
      <c r="F185" s="42">
        <f t="shared" si="10"/>
        <v>0</v>
      </c>
      <c r="G185" s="42">
        <f t="shared" si="10"/>
        <v>0</v>
      </c>
      <c r="H185" s="62">
        <f t="shared" si="9"/>
        <v>0</v>
      </c>
      <c r="I185" s="86"/>
      <c r="J185" s="70"/>
    </row>
    <row r="186" spans="2:10">
      <c r="B186" s="40" t="str">
        <f>$B$50</f>
        <v>Teacher Ed-Practice Teaching</v>
      </c>
      <c r="C186" s="42">
        <f t="shared" si="10"/>
        <v>0</v>
      </c>
      <c r="D186" s="42">
        <f t="shared" si="10"/>
        <v>0</v>
      </c>
      <c r="E186" s="42">
        <f t="shared" si="10"/>
        <v>0</v>
      </c>
      <c r="F186" s="42">
        <f t="shared" si="10"/>
        <v>0</v>
      </c>
      <c r="G186" s="42">
        <f t="shared" si="10"/>
        <v>0</v>
      </c>
      <c r="H186" s="62">
        <f t="shared" si="9"/>
        <v>0</v>
      </c>
      <c r="I186" s="86"/>
      <c r="J186" s="70"/>
    </row>
    <row r="187" spans="2:10">
      <c r="B187" s="40" t="str">
        <f>$B$51</f>
        <v>Technology</v>
      </c>
      <c r="C187" s="42">
        <f t="shared" si="10"/>
        <v>30717.905405405407</v>
      </c>
      <c r="D187" s="42">
        <f t="shared" si="10"/>
        <v>22542.22972972973</v>
      </c>
      <c r="E187" s="42">
        <f t="shared" si="10"/>
        <v>46739.864864864867</v>
      </c>
      <c r="F187" s="42">
        <f t="shared" si="10"/>
        <v>0</v>
      </c>
      <c r="G187" s="42">
        <f t="shared" si="10"/>
        <v>0</v>
      </c>
      <c r="H187" s="62">
        <f t="shared" si="9"/>
        <v>100000</v>
      </c>
      <c r="I187" s="86"/>
      <c r="J187" s="70"/>
    </row>
    <row r="188" spans="2:10">
      <c r="B188" s="40" t="str">
        <f>$B$52</f>
        <v>Nursing</v>
      </c>
      <c r="C188" s="42">
        <f t="shared" si="10"/>
        <v>0</v>
      </c>
      <c r="D188" s="42">
        <f t="shared" si="10"/>
        <v>0</v>
      </c>
      <c r="E188" s="42">
        <f t="shared" si="10"/>
        <v>0</v>
      </c>
      <c r="F188" s="42">
        <f t="shared" si="10"/>
        <v>0</v>
      </c>
      <c r="G188" s="42">
        <f t="shared" si="10"/>
        <v>0</v>
      </c>
      <c r="H188" s="62">
        <f t="shared" si="9"/>
        <v>0</v>
      </c>
      <c r="I188" s="86"/>
      <c r="J188" s="70"/>
    </row>
    <row r="189" spans="2:10">
      <c r="B189" s="51" t="str">
        <f>$B$53</f>
        <v>Totals</v>
      </c>
      <c r="C189" s="60">
        <f>SUM(C169:C188)</f>
        <v>679805.49104475579</v>
      </c>
      <c r="D189" s="60">
        <f>SUM(D169:D188)</f>
        <v>668353.6090216859</v>
      </c>
      <c r="E189" s="60">
        <f>SUM(E169:E188)</f>
        <v>652477.54417784174</v>
      </c>
      <c r="F189" s="60">
        <f>SUM(F169:F188)</f>
        <v>701363.35575571656</v>
      </c>
      <c r="G189" s="60">
        <f>SUM(G169:G188)</f>
        <v>0</v>
      </c>
      <c r="H189" s="60">
        <f t="shared" si="9"/>
        <v>2702000</v>
      </c>
      <c r="I189" s="86"/>
      <c r="J189" s="70"/>
    </row>
    <row r="190" spans="2:10">
      <c r="B190" s="66"/>
      <c r="C190" s="64"/>
      <c r="D190" s="64"/>
      <c r="E190" s="64"/>
      <c r="F190" s="64"/>
      <c r="G190" s="64"/>
      <c r="H190" s="83"/>
      <c r="I190" s="36"/>
    </row>
    <row r="191" spans="2:10">
      <c r="B191" s="101" t="s">
        <v>70</v>
      </c>
      <c r="C191" s="101"/>
      <c r="D191" s="101"/>
      <c r="E191" s="101"/>
      <c r="F191" s="101"/>
      <c r="G191" s="101"/>
      <c r="H191" s="56">
        <f>H16</f>
        <v>1000000</v>
      </c>
    </row>
    <row r="192" spans="2:10" ht="43.5" customHeight="1" thickBot="1">
      <c r="B192" s="100" t="s">
        <v>71</v>
      </c>
      <c r="C192" s="100"/>
      <c r="D192" s="100"/>
      <c r="E192" s="100"/>
      <c r="F192" s="100"/>
      <c r="G192" s="100"/>
      <c r="H192" s="100"/>
    </row>
    <row r="193" spans="2:9" ht="15" thickBot="1">
      <c r="B193" s="37" t="s">
        <v>29</v>
      </c>
      <c r="C193" s="38" t="s">
        <v>20</v>
      </c>
      <c r="D193" s="38" t="s">
        <v>21</v>
      </c>
      <c r="E193" s="38" t="s">
        <v>22</v>
      </c>
      <c r="F193" s="38" t="s">
        <v>23</v>
      </c>
      <c r="G193" s="38" t="s">
        <v>24</v>
      </c>
      <c r="H193" s="39" t="s">
        <v>14</v>
      </c>
      <c r="I193" s="36"/>
    </row>
    <row r="194" spans="2:9">
      <c r="B194" s="40" t="str">
        <f>$B$33</f>
        <v>Liberal Arts</v>
      </c>
      <c r="C194" s="87">
        <f t="shared" ref="C194:G209" si="11">$H$191*IF($H$137=0,0,C117/$H$137)</f>
        <v>10915.706488781079</v>
      </c>
      <c r="D194" s="87">
        <f t="shared" si="11"/>
        <v>8489.9939357186158</v>
      </c>
      <c r="E194" s="87">
        <f t="shared" si="11"/>
        <v>7580.3517283201936</v>
      </c>
      <c r="F194" s="87">
        <f t="shared" si="11"/>
        <v>8186.7798665858099</v>
      </c>
      <c r="G194" s="87">
        <f t="shared" si="11"/>
        <v>0</v>
      </c>
      <c r="H194" s="87">
        <f>SUM(C194:G194)</f>
        <v>35172.832019405701</v>
      </c>
      <c r="I194" s="36"/>
    </row>
    <row r="195" spans="2:9">
      <c r="B195" s="40" t="str">
        <f>$B$34</f>
        <v>Science</v>
      </c>
      <c r="C195" s="88">
        <f t="shared" si="11"/>
        <v>5154.6391752577319</v>
      </c>
      <c r="D195" s="88">
        <f t="shared" si="11"/>
        <v>9399.6361431170408</v>
      </c>
      <c r="E195" s="88">
        <f t="shared" si="11"/>
        <v>31837.477258944811</v>
      </c>
      <c r="F195" s="88">
        <f t="shared" si="11"/>
        <v>145542.75318374773</v>
      </c>
      <c r="G195" s="88">
        <f t="shared" si="11"/>
        <v>0</v>
      </c>
      <c r="H195" s="88">
        <f t="shared" ref="H195:H214" si="12">SUM(C195:G195)</f>
        <v>191934.50576106732</v>
      </c>
      <c r="I195" s="36"/>
    </row>
    <row r="196" spans="2:9">
      <c r="B196" s="40" t="str">
        <f>$B$35</f>
        <v>Fine Arts</v>
      </c>
      <c r="C196" s="88">
        <f t="shared" si="11"/>
        <v>10309.278350515464</v>
      </c>
      <c r="D196" s="88">
        <f t="shared" si="11"/>
        <v>1819.2844147968467</v>
      </c>
      <c r="E196" s="88">
        <f t="shared" si="11"/>
        <v>43662.825955124317</v>
      </c>
      <c r="F196" s="88">
        <f t="shared" si="11"/>
        <v>1212.8562765312311</v>
      </c>
      <c r="G196" s="88">
        <f t="shared" si="11"/>
        <v>0</v>
      </c>
      <c r="H196" s="88">
        <f t="shared" si="12"/>
        <v>57004.244996967856</v>
      </c>
      <c r="I196" s="36"/>
    </row>
    <row r="197" spans="2:9">
      <c r="B197" s="40" t="str">
        <f>$B$36</f>
        <v>Teacher Education</v>
      </c>
      <c r="C197" s="88">
        <f t="shared" si="11"/>
        <v>3032.1406913280775</v>
      </c>
      <c r="D197" s="88">
        <f t="shared" si="11"/>
        <v>9096.4220739842331</v>
      </c>
      <c r="E197" s="88">
        <f t="shared" si="11"/>
        <v>20315.342631898122</v>
      </c>
      <c r="F197" s="88">
        <f t="shared" si="11"/>
        <v>7883.5657974530013</v>
      </c>
      <c r="G197" s="88">
        <f t="shared" si="11"/>
        <v>0</v>
      </c>
      <c r="H197" s="88">
        <f t="shared" si="12"/>
        <v>40327.471194663434</v>
      </c>
      <c r="I197" s="36"/>
    </row>
    <row r="198" spans="2:9">
      <c r="B198" s="40" t="str">
        <f>$B$37</f>
        <v>Agriculture</v>
      </c>
      <c r="C198" s="88">
        <f t="shared" si="11"/>
        <v>909.64220739842335</v>
      </c>
      <c r="D198" s="88">
        <f t="shared" si="11"/>
        <v>13038.204972710735</v>
      </c>
      <c r="E198" s="88">
        <f t="shared" si="11"/>
        <v>0</v>
      </c>
      <c r="F198" s="88">
        <f t="shared" si="11"/>
        <v>45785.324439053969</v>
      </c>
      <c r="G198" s="88">
        <f t="shared" si="11"/>
        <v>0</v>
      </c>
      <c r="H198" s="88">
        <f t="shared" si="12"/>
        <v>59733.171619163128</v>
      </c>
      <c r="I198" s="36"/>
    </row>
    <row r="199" spans="2:9">
      <c r="B199" s="40" t="str">
        <f>$B$38</f>
        <v>Engineering</v>
      </c>
      <c r="C199" s="88">
        <f t="shared" si="11"/>
        <v>5154.6391752577319</v>
      </c>
      <c r="D199" s="88">
        <f t="shared" si="11"/>
        <v>33656.761673741661</v>
      </c>
      <c r="E199" s="88">
        <f t="shared" si="11"/>
        <v>44875.682231655548</v>
      </c>
      <c r="F199" s="88">
        <f t="shared" si="11"/>
        <v>40630.685263796244</v>
      </c>
      <c r="G199" s="88">
        <f t="shared" si="11"/>
        <v>0</v>
      </c>
      <c r="H199" s="88">
        <f t="shared" si="12"/>
        <v>124317.76834445118</v>
      </c>
      <c r="I199" s="36"/>
    </row>
    <row r="200" spans="2:9">
      <c r="B200" s="40" t="str">
        <f>$B$39</f>
        <v>Home Economics</v>
      </c>
      <c r="C200" s="88">
        <f t="shared" si="11"/>
        <v>2425.7125530624621</v>
      </c>
      <c r="D200" s="88">
        <f t="shared" si="11"/>
        <v>3335.3547604608852</v>
      </c>
      <c r="E200" s="88">
        <f t="shared" si="11"/>
        <v>16676.773802304426</v>
      </c>
      <c r="F200" s="88">
        <f t="shared" si="11"/>
        <v>19708.914493632503</v>
      </c>
      <c r="G200" s="88">
        <f t="shared" si="11"/>
        <v>0</v>
      </c>
      <c r="H200" s="88">
        <f t="shared" si="12"/>
        <v>42146.755609460277</v>
      </c>
      <c r="I200" s="36"/>
    </row>
    <row r="201" spans="2:9">
      <c r="B201" s="40" t="str">
        <f>$B$40</f>
        <v>Law</v>
      </c>
      <c r="C201" s="88">
        <f t="shared" si="11"/>
        <v>0</v>
      </c>
      <c r="D201" s="88">
        <f t="shared" si="11"/>
        <v>0</v>
      </c>
      <c r="E201" s="88">
        <f t="shared" si="11"/>
        <v>0</v>
      </c>
      <c r="F201" s="88">
        <f t="shared" si="11"/>
        <v>0</v>
      </c>
      <c r="G201" s="88">
        <f t="shared" si="11"/>
        <v>0</v>
      </c>
      <c r="H201" s="88">
        <f t="shared" si="12"/>
        <v>0</v>
      </c>
      <c r="I201" s="36"/>
    </row>
    <row r="202" spans="2:9">
      <c r="B202" s="40" t="str">
        <f>$B$41</f>
        <v>Social Service</v>
      </c>
      <c r="C202" s="88">
        <f t="shared" si="11"/>
        <v>9399.6361431170408</v>
      </c>
      <c r="D202" s="88">
        <f t="shared" si="11"/>
        <v>10006.064281382656</v>
      </c>
      <c r="E202" s="88">
        <f t="shared" si="11"/>
        <v>23044.269254093393</v>
      </c>
      <c r="F202" s="88">
        <f t="shared" si="11"/>
        <v>115221.34627046694</v>
      </c>
      <c r="G202" s="88">
        <f t="shared" si="11"/>
        <v>0</v>
      </c>
      <c r="H202" s="88">
        <f t="shared" si="12"/>
        <v>157671.31594906002</v>
      </c>
      <c r="I202" s="36"/>
    </row>
    <row r="203" spans="2:9">
      <c r="B203" s="40" t="str">
        <f>$B$42</f>
        <v>Library Science</v>
      </c>
      <c r="C203" s="88">
        <f t="shared" si="11"/>
        <v>5154.6391752577319</v>
      </c>
      <c r="D203" s="88">
        <f t="shared" si="11"/>
        <v>3032.1406913280775</v>
      </c>
      <c r="E203" s="88">
        <f t="shared" si="11"/>
        <v>4851.4251061249242</v>
      </c>
      <c r="F203" s="88">
        <f t="shared" si="11"/>
        <v>31231.049120679199</v>
      </c>
      <c r="G203" s="88">
        <f t="shared" si="11"/>
        <v>0</v>
      </c>
      <c r="H203" s="88">
        <f t="shared" si="12"/>
        <v>44269.254093389929</v>
      </c>
      <c r="I203" s="36"/>
    </row>
    <row r="204" spans="2:9">
      <c r="B204" s="40" t="str">
        <f>$B$43</f>
        <v>Veterinary Science</v>
      </c>
      <c r="C204" s="88">
        <f t="shared" si="11"/>
        <v>0</v>
      </c>
      <c r="D204" s="88">
        <f t="shared" si="11"/>
        <v>0</v>
      </c>
      <c r="E204" s="88">
        <f t="shared" si="11"/>
        <v>0</v>
      </c>
      <c r="F204" s="88">
        <f t="shared" si="11"/>
        <v>0</v>
      </c>
      <c r="G204" s="88">
        <f t="shared" si="11"/>
        <v>0</v>
      </c>
      <c r="H204" s="88">
        <f t="shared" si="12"/>
        <v>0</v>
      </c>
      <c r="I204" s="36"/>
    </row>
    <row r="205" spans="2:9">
      <c r="B205" s="40" t="str">
        <f>$B$44</f>
        <v>Vocational Training</v>
      </c>
      <c r="C205" s="88">
        <f t="shared" si="11"/>
        <v>8186.7798665858099</v>
      </c>
      <c r="D205" s="88">
        <f t="shared" si="11"/>
        <v>8489.9939357186158</v>
      </c>
      <c r="E205" s="88">
        <f t="shared" si="11"/>
        <v>0</v>
      </c>
      <c r="F205" s="88">
        <f t="shared" si="11"/>
        <v>0</v>
      </c>
      <c r="G205" s="88">
        <f t="shared" si="11"/>
        <v>0</v>
      </c>
      <c r="H205" s="88">
        <f t="shared" si="12"/>
        <v>16676.773802304426</v>
      </c>
      <c r="I205" s="36"/>
    </row>
    <row r="206" spans="2:9">
      <c r="B206" s="40" t="str">
        <f>$B$45</f>
        <v>Physical Training</v>
      </c>
      <c r="C206" s="88">
        <f t="shared" si="11"/>
        <v>12128.56276531231</v>
      </c>
      <c r="D206" s="88">
        <f t="shared" si="11"/>
        <v>11825.348696179502</v>
      </c>
      <c r="E206" s="88">
        <f t="shared" si="11"/>
        <v>0</v>
      </c>
      <c r="F206" s="88">
        <f t="shared" si="11"/>
        <v>0</v>
      </c>
      <c r="G206" s="88">
        <f t="shared" si="11"/>
        <v>0</v>
      </c>
      <c r="H206" s="88">
        <f t="shared" si="12"/>
        <v>23953.911461491814</v>
      </c>
      <c r="I206" s="36"/>
    </row>
    <row r="207" spans="2:9">
      <c r="B207" s="40" t="str">
        <f>$B$46</f>
        <v>Health Services</v>
      </c>
      <c r="C207" s="88">
        <f t="shared" si="11"/>
        <v>1819.2844147968467</v>
      </c>
      <c r="D207" s="88">
        <f t="shared" si="11"/>
        <v>12128.56276531231</v>
      </c>
      <c r="E207" s="88">
        <f t="shared" si="11"/>
        <v>26682.838083687082</v>
      </c>
      <c r="F207" s="88">
        <f t="shared" si="11"/>
        <v>39417.828987265006</v>
      </c>
      <c r="G207" s="88">
        <f t="shared" si="11"/>
        <v>0</v>
      </c>
      <c r="H207" s="88">
        <f t="shared" si="12"/>
        <v>80048.51425106125</v>
      </c>
      <c r="I207" s="36"/>
    </row>
    <row r="208" spans="2:9">
      <c r="B208" s="40" t="str">
        <f>$B$47</f>
        <v>Pharmacy</v>
      </c>
      <c r="C208" s="88">
        <f t="shared" si="11"/>
        <v>0</v>
      </c>
      <c r="D208" s="88">
        <f t="shared" si="11"/>
        <v>0</v>
      </c>
      <c r="E208" s="88">
        <f t="shared" si="11"/>
        <v>0</v>
      </c>
      <c r="F208" s="88">
        <f t="shared" si="11"/>
        <v>0</v>
      </c>
      <c r="G208" s="88">
        <f t="shared" si="11"/>
        <v>0</v>
      </c>
      <c r="H208" s="88">
        <f t="shared" si="12"/>
        <v>0</v>
      </c>
      <c r="I208" s="36"/>
    </row>
    <row r="209" spans="2:9">
      <c r="B209" s="40" t="str">
        <f>$B$48</f>
        <v>Business Administration</v>
      </c>
      <c r="C209" s="88">
        <f t="shared" si="11"/>
        <v>9096.4220739842331</v>
      </c>
      <c r="D209" s="88">
        <f t="shared" si="11"/>
        <v>2425.7125530624621</v>
      </c>
      <c r="E209" s="88">
        <f t="shared" si="11"/>
        <v>9096.4220739842331</v>
      </c>
      <c r="F209" s="88">
        <f t="shared" si="11"/>
        <v>40933.899332929046</v>
      </c>
      <c r="G209" s="88">
        <f t="shared" si="11"/>
        <v>0</v>
      </c>
      <c r="H209" s="88">
        <f t="shared" si="12"/>
        <v>61552.45603395997</v>
      </c>
      <c r="I209" s="36"/>
    </row>
    <row r="210" spans="2:9">
      <c r="B210" s="40" t="str">
        <f>$B$49</f>
        <v>Optometry</v>
      </c>
      <c r="C210" s="88">
        <f t="shared" ref="C210:G213" si="13">$H$191*IF($H$137=0,0,C133/$H$137)</f>
        <v>0</v>
      </c>
      <c r="D210" s="88">
        <f t="shared" si="13"/>
        <v>0</v>
      </c>
      <c r="E210" s="88">
        <f t="shared" si="13"/>
        <v>0</v>
      </c>
      <c r="F210" s="88">
        <f t="shared" si="13"/>
        <v>0</v>
      </c>
      <c r="G210" s="88">
        <f t="shared" si="13"/>
        <v>0</v>
      </c>
      <c r="H210" s="88">
        <f t="shared" si="12"/>
        <v>0</v>
      </c>
      <c r="I210" s="36"/>
    </row>
    <row r="211" spans="2:9">
      <c r="B211" s="40" t="str">
        <f>$B$50</f>
        <v>Teacher Ed-Practice Teaching</v>
      </c>
      <c r="C211" s="88">
        <f t="shared" si="13"/>
        <v>6973.9235900545791</v>
      </c>
      <c r="D211" s="88">
        <f t="shared" si="13"/>
        <v>13341.419041843541</v>
      </c>
      <c r="E211" s="88">
        <f t="shared" si="13"/>
        <v>0</v>
      </c>
      <c r="F211" s="88">
        <f t="shared" si="13"/>
        <v>0</v>
      </c>
      <c r="G211" s="88">
        <f t="shared" si="13"/>
        <v>0</v>
      </c>
      <c r="H211" s="88">
        <f t="shared" si="12"/>
        <v>20315.342631898122</v>
      </c>
      <c r="I211" s="36"/>
    </row>
    <row r="212" spans="2:9">
      <c r="B212" s="40" t="str">
        <f>$B$51</f>
        <v>Technology</v>
      </c>
      <c r="C212" s="88">
        <f t="shared" si="13"/>
        <v>9702.8502122498485</v>
      </c>
      <c r="D212" s="88">
        <f t="shared" si="13"/>
        <v>8489.9939357186158</v>
      </c>
      <c r="E212" s="88">
        <f t="shared" si="13"/>
        <v>26682.838083687082</v>
      </c>
      <c r="F212" s="88">
        <f t="shared" si="13"/>
        <v>0</v>
      </c>
      <c r="G212" s="88">
        <f t="shared" si="13"/>
        <v>0</v>
      </c>
      <c r="H212" s="88">
        <f t="shared" si="12"/>
        <v>44875.682231655548</v>
      </c>
      <c r="I212" s="36"/>
    </row>
    <row r="213" spans="2:9">
      <c r="B213" s="40" t="str">
        <f>$B$52</f>
        <v>Nursing</v>
      </c>
      <c r="C213" s="88">
        <f t="shared" si="13"/>
        <v>0</v>
      </c>
      <c r="D213" s="88">
        <f t="shared" si="13"/>
        <v>0</v>
      </c>
      <c r="E213" s="88">
        <f t="shared" si="13"/>
        <v>0</v>
      </c>
      <c r="F213" s="88">
        <f t="shared" si="13"/>
        <v>0</v>
      </c>
      <c r="G213" s="88">
        <f t="shared" si="13"/>
        <v>0</v>
      </c>
      <c r="H213" s="88">
        <f t="shared" si="12"/>
        <v>0</v>
      </c>
      <c r="I213" s="36"/>
    </row>
    <row r="214" spans="2:9">
      <c r="B214" s="51" t="str">
        <f>$B$53</f>
        <v>Totals</v>
      </c>
      <c r="C214" s="87">
        <f>SUM(C194:C213)</f>
        <v>100363.85688295936</v>
      </c>
      <c r="D214" s="87">
        <f>SUM(D194:D213)</f>
        <v>148574.8938750758</v>
      </c>
      <c r="E214" s="87">
        <f>SUM(E194:E213)</f>
        <v>255306.24620982414</v>
      </c>
      <c r="F214" s="87">
        <f>SUM(F194:F213)</f>
        <v>495755.00303214067</v>
      </c>
      <c r="G214" s="87">
        <f>SUM(G194:G213)</f>
        <v>0</v>
      </c>
      <c r="H214" s="87">
        <f t="shared" si="12"/>
        <v>1000000</v>
      </c>
      <c r="I214" s="36"/>
    </row>
    <row r="215" spans="2:9">
      <c r="B215" s="45"/>
      <c r="C215" s="46"/>
      <c r="D215" s="46"/>
      <c r="E215" s="46"/>
      <c r="F215" s="46"/>
      <c r="G215" s="46"/>
      <c r="H215" s="46"/>
      <c r="I215" s="36"/>
    </row>
    <row r="216" spans="2:9">
      <c r="B216" s="101" t="s">
        <v>72</v>
      </c>
      <c r="C216" s="101"/>
      <c r="D216" s="101"/>
      <c r="E216" s="101"/>
      <c r="F216" s="101"/>
      <c r="G216" s="101"/>
      <c r="H216" s="56">
        <f>H18</f>
        <v>1000000</v>
      </c>
    </row>
    <row r="217" spans="2:9" ht="60.75" customHeight="1" thickBot="1">
      <c r="B217" s="100" t="s">
        <v>73</v>
      </c>
      <c r="C217" s="100"/>
      <c r="D217" s="100"/>
      <c r="E217" s="100"/>
      <c r="F217" s="100"/>
      <c r="G217" s="100"/>
      <c r="H217" s="100"/>
    </row>
    <row r="218" spans="2:9" ht="15" thickBot="1">
      <c r="B218" s="37" t="s">
        <v>29</v>
      </c>
      <c r="C218" s="38" t="s">
        <v>20</v>
      </c>
      <c r="D218" s="38" t="s">
        <v>21</v>
      </c>
      <c r="E218" s="38" t="s">
        <v>22</v>
      </c>
      <c r="F218" s="38" t="s">
        <v>23</v>
      </c>
      <c r="G218" s="38" t="s">
        <v>24</v>
      </c>
      <c r="H218" s="39" t="s">
        <v>14</v>
      </c>
      <c r="I218" s="36"/>
    </row>
    <row r="219" spans="2:9">
      <c r="B219" s="40" t="str">
        <f>$B$33</f>
        <v>Liberal Arts</v>
      </c>
      <c r="C219" s="87">
        <f t="shared" ref="C219:G234" si="14">$H$216*IF($H$26=0,0,C$26/$H$26)*IF(C$53=0,0,C33/C$53)</f>
        <v>78247.261345852909</v>
      </c>
      <c r="D219" s="87">
        <f t="shared" si="14"/>
        <v>19025.875190258754</v>
      </c>
      <c r="E219" s="87">
        <f t="shared" si="14"/>
        <v>3818.2512409316537</v>
      </c>
      <c r="F219" s="87">
        <f t="shared" si="14"/>
        <v>1395.8682300390844</v>
      </c>
      <c r="G219" s="87">
        <f t="shared" si="14"/>
        <v>0</v>
      </c>
      <c r="H219" s="87">
        <f>SUM(C219:G219)</f>
        <v>102487.2560070824</v>
      </c>
      <c r="I219" s="36"/>
    </row>
    <row r="220" spans="2:9">
      <c r="B220" s="40" t="str">
        <f>$B$34</f>
        <v>Science</v>
      </c>
      <c r="C220" s="88">
        <f t="shared" si="14"/>
        <v>25039.12363067293</v>
      </c>
      <c r="D220" s="88">
        <f t="shared" si="14"/>
        <v>12937.595129375954</v>
      </c>
      <c r="E220" s="88">
        <f t="shared" si="14"/>
        <v>8781.9778541428022</v>
      </c>
      <c r="F220" s="88">
        <f t="shared" si="14"/>
        <v>11725.293132328308</v>
      </c>
      <c r="G220" s="88">
        <f t="shared" si="14"/>
        <v>0</v>
      </c>
      <c r="H220" s="88">
        <f t="shared" ref="H220:H239" si="15">SUM(C220:G220)</f>
        <v>58483.98974651999</v>
      </c>
      <c r="I220" s="36"/>
    </row>
    <row r="221" spans="2:9">
      <c r="B221" s="40" t="str">
        <f>$B$35</f>
        <v>Fine Arts</v>
      </c>
      <c r="C221" s="88">
        <f t="shared" si="14"/>
        <v>57902.973395931149</v>
      </c>
      <c r="D221" s="88">
        <f t="shared" si="14"/>
        <v>3044.1400304414005</v>
      </c>
      <c r="E221" s="88">
        <f t="shared" si="14"/>
        <v>17563.955708285604</v>
      </c>
      <c r="F221" s="88">
        <f t="shared" si="14"/>
        <v>279.17364600781684</v>
      </c>
      <c r="G221" s="88">
        <f t="shared" si="14"/>
        <v>0</v>
      </c>
      <c r="H221" s="88">
        <f t="shared" si="15"/>
        <v>78790.242780665954</v>
      </c>
      <c r="I221" s="36"/>
    </row>
    <row r="222" spans="2:9">
      <c r="B222" s="40" t="str">
        <f>$B$36</f>
        <v>Teacher Education</v>
      </c>
      <c r="C222" s="88">
        <f t="shared" si="14"/>
        <v>15649.452269170581</v>
      </c>
      <c r="D222" s="88">
        <f t="shared" si="14"/>
        <v>20547.945205479456</v>
      </c>
      <c r="E222" s="88">
        <f t="shared" si="14"/>
        <v>16800.305460099273</v>
      </c>
      <c r="F222" s="88">
        <f t="shared" si="14"/>
        <v>1675.0418760469011</v>
      </c>
      <c r="G222" s="88">
        <f t="shared" si="14"/>
        <v>0</v>
      </c>
      <c r="H222" s="88">
        <f t="shared" si="15"/>
        <v>54672.744810796212</v>
      </c>
      <c r="I222" s="36"/>
    </row>
    <row r="223" spans="2:9">
      <c r="B223" s="40" t="str">
        <f>$B$37</f>
        <v>Agriculture</v>
      </c>
      <c r="C223" s="88">
        <f t="shared" si="14"/>
        <v>4694.8356807511736</v>
      </c>
      <c r="D223" s="88">
        <f t="shared" si="14"/>
        <v>21308.980213089806</v>
      </c>
      <c r="E223" s="88">
        <f t="shared" si="14"/>
        <v>0</v>
      </c>
      <c r="F223" s="88">
        <f t="shared" si="14"/>
        <v>7537.6884422110552</v>
      </c>
      <c r="G223" s="88">
        <f t="shared" si="14"/>
        <v>0</v>
      </c>
      <c r="H223" s="88">
        <f t="shared" si="15"/>
        <v>33541.504336052036</v>
      </c>
      <c r="I223" s="36"/>
    </row>
    <row r="224" spans="2:9">
      <c r="B224" s="40" t="str">
        <f>$B$38</f>
        <v>Engineering</v>
      </c>
      <c r="C224" s="88">
        <f t="shared" si="14"/>
        <v>17214.39749608764</v>
      </c>
      <c r="D224" s="88">
        <f t="shared" si="14"/>
        <v>37290.715372907158</v>
      </c>
      <c r="E224" s="88">
        <f t="shared" si="14"/>
        <v>12982.054219167621</v>
      </c>
      <c r="F224" s="88">
        <f t="shared" si="14"/>
        <v>4187.6046901172522</v>
      </c>
      <c r="G224" s="88">
        <f t="shared" si="14"/>
        <v>0</v>
      </c>
      <c r="H224" s="88">
        <f t="shared" si="15"/>
        <v>71674.771778279668</v>
      </c>
      <c r="I224" s="36"/>
    </row>
    <row r="225" spans="2:9">
      <c r="B225" s="40" t="str">
        <f>$B$39</f>
        <v>Home Economics</v>
      </c>
      <c r="C225" s="88">
        <f t="shared" si="14"/>
        <v>15649.452269170581</v>
      </c>
      <c r="D225" s="88">
        <f t="shared" si="14"/>
        <v>7610.3500761035011</v>
      </c>
      <c r="E225" s="88">
        <f t="shared" si="14"/>
        <v>12218.40397098129</v>
      </c>
      <c r="F225" s="88">
        <f t="shared" si="14"/>
        <v>4745.9519821328868</v>
      </c>
      <c r="G225" s="88">
        <f t="shared" si="14"/>
        <v>0</v>
      </c>
      <c r="H225" s="88">
        <f t="shared" si="15"/>
        <v>40224.158298388254</v>
      </c>
      <c r="I225" s="36"/>
    </row>
    <row r="226" spans="2:9">
      <c r="B226" s="40" t="str">
        <f>$B$40</f>
        <v>Law</v>
      </c>
      <c r="C226" s="88">
        <f t="shared" si="14"/>
        <v>0</v>
      </c>
      <c r="D226" s="88">
        <f t="shared" si="14"/>
        <v>0</v>
      </c>
      <c r="E226" s="88">
        <f t="shared" si="14"/>
        <v>0</v>
      </c>
      <c r="F226" s="88">
        <f t="shared" si="14"/>
        <v>0</v>
      </c>
      <c r="G226" s="88">
        <f t="shared" si="14"/>
        <v>0</v>
      </c>
      <c r="H226" s="88">
        <f t="shared" si="15"/>
        <v>0</v>
      </c>
      <c r="I226" s="36"/>
    </row>
    <row r="227" spans="2:9">
      <c r="B227" s="40" t="str">
        <f>$B$41</f>
        <v>Social Service</v>
      </c>
      <c r="C227" s="88">
        <f t="shared" si="14"/>
        <v>39123.630672926454</v>
      </c>
      <c r="D227" s="88">
        <f t="shared" si="14"/>
        <v>19786.910197869103</v>
      </c>
      <c r="E227" s="88">
        <f t="shared" si="14"/>
        <v>16418.480336006109</v>
      </c>
      <c r="F227" s="88">
        <f t="shared" si="14"/>
        <v>13679.508654383028</v>
      </c>
      <c r="G227" s="88">
        <f t="shared" si="14"/>
        <v>0</v>
      </c>
      <c r="H227" s="88">
        <f t="shared" si="15"/>
        <v>89008.529861184696</v>
      </c>
      <c r="I227" s="36"/>
    </row>
    <row r="228" spans="2:9">
      <c r="B228" s="40" t="str">
        <f>$B$42</f>
        <v>Library Science</v>
      </c>
      <c r="C228" s="88">
        <f t="shared" si="14"/>
        <v>34428.794992175281</v>
      </c>
      <c r="D228" s="88">
        <f t="shared" si="14"/>
        <v>10654.490106544903</v>
      </c>
      <c r="E228" s="88">
        <f t="shared" si="14"/>
        <v>3818.2512409316537</v>
      </c>
      <c r="F228" s="88">
        <f t="shared" si="14"/>
        <v>7537.6884422110552</v>
      </c>
      <c r="G228" s="88">
        <f t="shared" si="14"/>
        <v>0</v>
      </c>
      <c r="H228" s="88">
        <f t="shared" si="15"/>
        <v>56439.224781862889</v>
      </c>
      <c r="I228" s="36"/>
    </row>
    <row r="229" spans="2:9">
      <c r="B229" s="40" t="str">
        <f>$B$43</f>
        <v>Veterinary Science</v>
      </c>
      <c r="C229" s="88">
        <f t="shared" si="14"/>
        <v>0</v>
      </c>
      <c r="D229" s="88">
        <f t="shared" si="14"/>
        <v>0</v>
      </c>
      <c r="E229" s="88">
        <f t="shared" si="14"/>
        <v>0</v>
      </c>
      <c r="F229" s="88">
        <f t="shared" si="14"/>
        <v>0</v>
      </c>
      <c r="G229" s="88">
        <f t="shared" si="14"/>
        <v>0</v>
      </c>
      <c r="H229" s="88">
        <f t="shared" si="15"/>
        <v>0</v>
      </c>
      <c r="I229" s="36"/>
    </row>
    <row r="230" spans="2:9">
      <c r="B230" s="40" t="str">
        <f>$B$44</f>
        <v>Vocational Training</v>
      </c>
      <c r="C230" s="88">
        <f t="shared" si="14"/>
        <v>39123.630672926454</v>
      </c>
      <c r="D230" s="88">
        <f t="shared" si="14"/>
        <v>17503.805175038055</v>
      </c>
      <c r="E230" s="88">
        <f t="shared" si="14"/>
        <v>0</v>
      </c>
      <c r="F230" s="88">
        <f t="shared" si="14"/>
        <v>0</v>
      </c>
      <c r="G230" s="88">
        <f t="shared" si="14"/>
        <v>0</v>
      </c>
      <c r="H230" s="88">
        <f t="shared" si="15"/>
        <v>56627.435847964509</v>
      </c>
      <c r="I230" s="36"/>
    </row>
    <row r="231" spans="2:9">
      <c r="B231" s="40" t="str">
        <f>$B$45</f>
        <v>Physical Training</v>
      </c>
      <c r="C231" s="88">
        <f t="shared" si="14"/>
        <v>71987.480438184662</v>
      </c>
      <c r="D231" s="88">
        <f t="shared" si="14"/>
        <v>34246.575342465752</v>
      </c>
      <c r="E231" s="88">
        <f t="shared" si="14"/>
        <v>0</v>
      </c>
      <c r="F231" s="88">
        <f t="shared" si="14"/>
        <v>0</v>
      </c>
      <c r="G231" s="88">
        <f t="shared" si="14"/>
        <v>0</v>
      </c>
      <c r="H231" s="88">
        <f t="shared" si="15"/>
        <v>106234.05578065041</v>
      </c>
      <c r="I231" s="36"/>
    </row>
    <row r="232" spans="2:9">
      <c r="B232" s="40" t="str">
        <f>$B$46</f>
        <v>Health Services</v>
      </c>
      <c r="C232" s="88">
        <f t="shared" si="14"/>
        <v>12519.561815336465</v>
      </c>
      <c r="D232" s="88">
        <f t="shared" si="14"/>
        <v>24353.120243531204</v>
      </c>
      <c r="E232" s="88">
        <f t="shared" si="14"/>
        <v>0</v>
      </c>
      <c r="F232" s="88">
        <f t="shared" si="14"/>
        <v>0</v>
      </c>
      <c r="G232" s="88">
        <f t="shared" si="14"/>
        <v>0</v>
      </c>
      <c r="H232" s="88">
        <f t="shared" si="15"/>
        <v>36872.682058867671</v>
      </c>
      <c r="I232" s="36"/>
    </row>
    <row r="233" spans="2:9">
      <c r="B233" s="40" t="str">
        <f>$B$47</f>
        <v>Pharmacy</v>
      </c>
      <c r="C233" s="88">
        <f t="shared" si="14"/>
        <v>0</v>
      </c>
      <c r="D233" s="88">
        <f t="shared" si="14"/>
        <v>0</v>
      </c>
      <c r="E233" s="88">
        <f t="shared" si="14"/>
        <v>0</v>
      </c>
      <c r="F233" s="88">
        <f t="shared" si="14"/>
        <v>0</v>
      </c>
      <c r="G233" s="88">
        <f t="shared" si="14"/>
        <v>0</v>
      </c>
      <c r="H233" s="88">
        <f t="shared" si="15"/>
        <v>0</v>
      </c>
      <c r="I233" s="36"/>
    </row>
    <row r="234" spans="2:9">
      <c r="B234" s="40" t="str">
        <f>$B$48</f>
        <v>Business Administration</v>
      </c>
      <c r="C234" s="88">
        <f t="shared" si="14"/>
        <v>61032.863849765272</v>
      </c>
      <c r="D234" s="88">
        <f t="shared" si="14"/>
        <v>5327.2450532724515</v>
      </c>
      <c r="E234" s="88">
        <f t="shared" si="14"/>
        <v>5727.3768613974798</v>
      </c>
      <c r="F234" s="88">
        <f t="shared" si="14"/>
        <v>2791.7364600781689</v>
      </c>
      <c r="G234" s="88">
        <f t="shared" si="14"/>
        <v>0</v>
      </c>
      <c r="H234" s="88">
        <f t="shared" si="15"/>
        <v>74879.222224513374</v>
      </c>
      <c r="I234" s="36"/>
    </row>
    <row r="235" spans="2:9">
      <c r="B235" s="40" t="str">
        <f>$B$49</f>
        <v>Optometry</v>
      </c>
      <c r="C235" s="88">
        <f t="shared" ref="C235:G238" si="16">$H$216*IF($H$26=0,0,C$26/$H$26)*IF(C$53=0,0,C49/C$53)</f>
        <v>0</v>
      </c>
      <c r="D235" s="88">
        <f t="shared" si="16"/>
        <v>0</v>
      </c>
      <c r="E235" s="88">
        <f t="shared" si="16"/>
        <v>0</v>
      </c>
      <c r="F235" s="88">
        <f t="shared" si="16"/>
        <v>0</v>
      </c>
      <c r="G235" s="88">
        <f t="shared" si="16"/>
        <v>0</v>
      </c>
      <c r="H235" s="88">
        <f t="shared" si="15"/>
        <v>0</v>
      </c>
      <c r="I235" s="36"/>
    </row>
    <row r="236" spans="2:9">
      <c r="B236" s="40" t="str">
        <f>$B$50</f>
        <v>Teacher Ed-Practice Teaching</v>
      </c>
      <c r="C236" s="88">
        <f t="shared" si="16"/>
        <v>40688.575899843512</v>
      </c>
      <c r="D236" s="88">
        <f t="shared" si="16"/>
        <v>29680.365296803659</v>
      </c>
      <c r="E236" s="88">
        <f t="shared" si="16"/>
        <v>0</v>
      </c>
      <c r="F236" s="88">
        <f t="shared" si="16"/>
        <v>0</v>
      </c>
      <c r="G236" s="88">
        <f t="shared" si="16"/>
        <v>0</v>
      </c>
      <c r="H236" s="88">
        <f t="shared" si="15"/>
        <v>70368.941196647167</v>
      </c>
      <c r="I236" s="36"/>
    </row>
    <row r="237" spans="2:9">
      <c r="B237" s="40" t="str">
        <f>$B$51</f>
        <v>Technology</v>
      </c>
      <c r="C237" s="88">
        <f t="shared" si="16"/>
        <v>42253.521126760563</v>
      </c>
      <c r="D237" s="88">
        <f t="shared" si="16"/>
        <v>14459.665144596653</v>
      </c>
      <c r="E237" s="88">
        <f t="shared" si="16"/>
        <v>12982.054219167621</v>
      </c>
      <c r="F237" s="88">
        <f t="shared" si="16"/>
        <v>0</v>
      </c>
      <c r="G237" s="88">
        <f t="shared" si="16"/>
        <v>0</v>
      </c>
      <c r="H237" s="88">
        <f t="shared" si="15"/>
        <v>69695.24049052484</v>
      </c>
      <c r="I237" s="36"/>
    </row>
    <row r="238" spans="2:9">
      <c r="B238" s="40" t="str">
        <f>$B$52</f>
        <v>Nursing</v>
      </c>
      <c r="C238" s="88">
        <f t="shared" si="16"/>
        <v>0</v>
      </c>
      <c r="D238" s="88">
        <f t="shared" si="16"/>
        <v>0</v>
      </c>
      <c r="E238" s="88">
        <f t="shared" si="16"/>
        <v>0</v>
      </c>
      <c r="F238" s="88">
        <f t="shared" si="16"/>
        <v>0</v>
      </c>
      <c r="G238" s="88">
        <f t="shared" si="16"/>
        <v>0</v>
      </c>
      <c r="H238" s="88">
        <f t="shared" si="15"/>
        <v>0</v>
      </c>
      <c r="I238" s="36"/>
    </row>
    <row r="239" spans="2:9">
      <c r="B239" s="51" t="str">
        <f>$B$53</f>
        <v>Totals</v>
      </c>
      <c r="C239" s="87">
        <f>SUM(C219:C238)</f>
        <v>555555.55555555562</v>
      </c>
      <c r="D239" s="87">
        <f>SUM(D219:D238)</f>
        <v>277777.77777777781</v>
      </c>
      <c r="E239" s="87">
        <f>SUM(E219:E238)</f>
        <v>111111.11111111111</v>
      </c>
      <c r="F239" s="87">
        <f>SUM(F219:F238)</f>
        <v>55555.555555555555</v>
      </c>
      <c r="G239" s="87">
        <f>SUM(G219:G238)</f>
        <v>0</v>
      </c>
      <c r="H239" s="87">
        <f t="shared" si="15"/>
        <v>1000000.0000000001</v>
      </c>
      <c r="I239" s="36"/>
    </row>
    <row r="240" spans="2:9">
      <c r="B240" s="63"/>
      <c r="C240" s="89"/>
      <c r="D240" s="89"/>
      <c r="E240" s="89"/>
      <c r="F240" s="89"/>
      <c r="G240" s="89"/>
      <c r="H240" s="89"/>
      <c r="I240" s="36"/>
    </row>
    <row r="241" spans="2:10">
      <c r="B241" s="54" t="s">
        <v>74</v>
      </c>
      <c r="C241" s="90"/>
      <c r="D241" s="90"/>
      <c r="E241" s="90"/>
      <c r="F241" s="90"/>
      <c r="G241" s="90"/>
      <c r="H241" s="56">
        <f>H17</f>
        <v>2000000</v>
      </c>
      <c r="J241" s="91"/>
    </row>
    <row r="242" spans="2:10" ht="61.5" customHeight="1" thickBot="1">
      <c r="B242" s="102" t="s">
        <v>75</v>
      </c>
      <c r="C242" s="102"/>
      <c r="D242" s="102"/>
      <c r="E242" s="102"/>
      <c r="F242" s="102"/>
      <c r="G242" s="102"/>
      <c r="H242" s="58"/>
    </row>
    <row r="243" spans="2:10" ht="15" thickBot="1">
      <c r="B243" s="37" t="s">
        <v>29</v>
      </c>
      <c r="C243" s="38" t="s">
        <v>20</v>
      </c>
      <c r="D243" s="38" t="s">
        <v>21</v>
      </c>
      <c r="E243" s="38" t="s">
        <v>22</v>
      </c>
      <c r="F243" s="38" t="s">
        <v>23</v>
      </c>
      <c r="G243" s="38" t="s">
        <v>24</v>
      </c>
      <c r="H243" s="39" t="s">
        <v>14</v>
      </c>
      <c r="I243" s="36"/>
    </row>
    <row r="244" spans="2:10">
      <c r="B244" s="40" t="str">
        <f>$B$33</f>
        <v>Liberal Arts</v>
      </c>
      <c r="C244" s="87">
        <f>$H$241*IF($H$26=0,0,C$26/$H$26)*IF(C$53=0,0,C33/C$53)</f>
        <v>156494.52269170582</v>
      </c>
      <c r="D244" s="87">
        <f t="shared" ref="C244:G259" si="17">$H$241*IF($H$26=0,0,D$26/$H$26)*IF(D$53=0,0,D33/D$53)</f>
        <v>38051.750380517507</v>
      </c>
      <c r="E244" s="87">
        <f t="shared" si="17"/>
        <v>7636.5024818633074</v>
      </c>
      <c r="F244" s="87">
        <f t="shared" si="17"/>
        <v>2791.7364600781689</v>
      </c>
      <c r="G244" s="87">
        <f t="shared" si="17"/>
        <v>0</v>
      </c>
      <c r="H244" s="87">
        <f>SUM(C244:G244)</f>
        <v>204974.51201416479</v>
      </c>
      <c r="I244" s="36"/>
    </row>
    <row r="245" spans="2:10">
      <c r="B245" s="40" t="str">
        <f>$B$34</f>
        <v>Science</v>
      </c>
      <c r="C245" s="88">
        <f t="shared" si="17"/>
        <v>50078.247261345859</v>
      </c>
      <c r="D245" s="88">
        <f t="shared" si="17"/>
        <v>25875.190258751907</v>
      </c>
      <c r="E245" s="88">
        <f t="shared" si="17"/>
        <v>17563.955708285604</v>
      </c>
      <c r="F245" s="88">
        <f t="shared" si="17"/>
        <v>23450.586264656617</v>
      </c>
      <c r="G245" s="88">
        <f t="shared" si="17"/>
        <v>0</v>
      </c>
      <c r="H245" s="88">
        <f t="shared" ref="H245:H264" si="18">SUM(C245:G245)</f>
        <v>116967.97949303998</v>
      </c>
      <c r="I245" s="36"/>
    </row>
    <row r="246" spans="2:10">
      <c r="B246" s="40" t="str">
        <f>$B$35</f>
        <v>Fine Arts</v>
      </c>
      <c r="C246" s="88">
        <f t="shared" si="17"/>
        <v>115805.9467918623</v>
      </c>
      <c r="D246" s="88">
        <f t="shared" si="17"/>
        <v>6088.2800608828011</v>
      </c>
      <c r="E246" s="88">
        <f t="shared" si="17"/>
        <v>35127.911416571209</v>
      </c>
      <c r="F246" s="88">
        <f t="shared" si="17"/>
        <v>558.34729201563368</v>
      </c>
      <c r="G246" s="88">
        <f t="shared" si="17"/>
        <v>0</v>
      </c>
      <c r="H246" s="88">
        <f t="shared" si="18"/>
        <v>157580.48556133191</v>
      </c>
      <c r="I246" s="36"/>
    </row>
    <row r="247" spans="2:10">
      <c r="B247" s="40" t="str">
        <f>$B$36</f>
        <v>Teacher Education</v>
      </c>
      <c r="C247" s="88">
        <f t="shared" si="17"/>
        <v>31298.904538341161</v>
      </c>
      <c r="D247" s="88">
        <f t="shared" si="17"/>
        <v>41095.890410958913</v>
      </c>
      <c r="E247" s="88">
        <f t="shared" si="17"/>
        <v>33600.610920198546</v>
      </c>
      <c r="F247" s="88">
        <f t="shared" si="17"/>
        <v>3350.0837520938021</v>
      </c>
      <c r="G247" s="88">
        <f t="shared" si="17"/>
        <v>0</v>
      </c>
      <c r="H247" s="88">
        <f t="shared" si="18"/>
        <v>109345.48962159242</v>
      </c>
      <c r="I247" s="36"/>
    </row>
    <row r="248" spans="2:10">
      <c r="B248" s="40" t="str">
        <f>$B$37</f>
        <v>Agriculture</v>
      </c>
      <c r="C248" s="88">
        <f t="shared" si="17"/>
        <v>9389.6713615023473</v>
      </c>
      <c r="D248" s="88">
        <f t="shared" si="17"/>
        <v>42617.960426179612</v>
      </c>
      <c r="E248" s="88">
        <f t="shared" si="17"/>
        <v>0</v>
      </c>
      <c r="F248" s="88">
        <f t="shared" si="17"/>
        <v>15075.37688442211</v>
      </c>
      <c r="G248" s="88">
        <f t="shared" si="17"/>
        <v>0</v>
      </c>
      <c r="H248" s="88">
        <f t="shared" si="18"/>
        <v>67083.008672104072</v>
      </c>
      <c r="I248" s="36"/>
    </row>
    <row r="249" spans="2:10">
      <c r="B249" s="40" t="str">
        <f>$B$38</f>
        <v>Engineering</v>
      </c>
      <c r="C249" s="88">
        <f t="shared" si="17"/>
        <v>34428.794992175281</v>
      </c>
      <c r="D249" s="88">
        <f t="shared" si="17"/>
        <v>74581.430745814316</v>
      </c>
      <c r="E249" s="88">
        <f t="shared" si="17"/>
        <v>25964.108438335243</v>
      </c>
      <c r="F249" s="88">
        <f t="shared" si="17"/>
        <v>8375.2093802345044</v>
      </c>
      <c r="G249" s="88">
        <f t="shared" si="17"/>
        <v>0</v>
      </c>
      <c r="H249" s="88">
        <f t="shared" si="18"/>
        <v>143349.54355655934</v>
      </c>
      <c r="I249" s="36"/>
    </row>
    <row r="250" spans="2:10">
      <c r="B250" s="40" t="str">
        <f>$B$39</f>
        <v>Home Economics</v>
      </c>
      <c r="C250" s="88">
        <f t="shared" si="17"/>
        <v>31298.904538341161</v>
      </c>
      <c r="D250" s="88">
        <f t="shared" si="17"/>
        <v>15220.700152207002</v>
      </c>
      <c r="E250" s="88">
        <f t="shared" si="17"/>
        <v>24436.807941962579</v>
      </c>
      <c r="F250" s="88">
        <f t="shared" si="17"/>
        <v>9491.9039642657735</v>
      </c>
      <c r="G250" s="88">
        <f t="shared" si="17"/>
        <v>0</v>
      </c>
      <c r="H250" s="88">
        <f t="shared" si="18"/>
        <v>80448.316596776509</v>
      </c>
      <c r="I250" s="36"/>
    </row>
    <row r="251" spans="2:10">
      <c r="B251" s="40" t="str">
        <f>$B$40</f>
        <v>Law</v>
      </c>
      <c r="C251" s="88">
        <f t="shared" si="17"/>
        <v>0</v>
      </c>
      <c r="D251" s="88">
        <f t="shared" si="17"/>
        <v>0</v>
      </c>
      <c r="E251" s="88">
        <f t="shared" si="17"/>
        <v>0</v>
      </c>
      <c r="F251" s="88">
        <f t="shared" si="17"/>
        <v>0</v>
      </c>
      <c r="G251" s="88">
        <f t="shared" si="17"/>
        <v>0</v>
      </c>
      <c r="H251" s="88">
        <f t="shared" si="18"/>
        <v>0</v>
      </c>
      <c r="I251" s="36"/>
    </row>
    <row r="252" spans="2:10">
      <c r="B252" s="40" t="str">
        <f>$B$41</f>
        <v>Social Service</v>
      </c>
      <c r="C252" s="88">
        <f t="shared" si="17"/>
        <v>78247.261345852909</v>
      </c>
      <c r="D252" s="88">
        <f t="shared" si="17"/>
        <v>39573.820395738207</v>
      </c>
      <c r="E252" s="88">
        <f t="shared" si="17"/>
        <v>32836.960672012217</v>
      </c>
      <c r="F252" s="88">
        <f t="shared" si="17"/>
        <v>27359.017308766055</v>
      </c>
      <c r="G252" s="88">
        <f t="shared" si="17"/>
        <v>0</v>
      </c>
      <c r="H252" s="88">
        <f t="shared" si="18"/>
        <v>178017.05972236939</v>
      </c>
      <c r="I252" s="36"/>
    </row>
    <row r="253" spans="2:10">
      <c r="B253" s="40" t="str">
        <f>$B$42</f>
        <v>Library Science</v>
      </c>
      <c r="C253" s="88">
        <f t="shared" si="17"/>
        <v>68857.589984350561</v>
      </c>
      <c r="D253" s="88">
        <f t="shared" si="17"/>
        <v>21308.980213089806</v>
      </c>
      <c r="E253" s="88">
        <f t="shared" si="17"/>
        <v>7636.5024818633074</v>
      </c>
      <c r="F253" s="88">
        <f t="shared" si="17"/>
        <v>15075.37688442211</v>
      </c>
      <c r="G253" s="88">
        <f t="shared" si="17"/>
        <v>0</v>
      </c>
      <c r="H253" s="88">
        <f t="shared" si="18"/>
        <v>112878.44956372578</v>
      </c>
      <c r="I253" s="36"/>
    </row>
    <row r="254" spans="2:10">
      <c r="B254" s="40" t="str">
        <f>$B$43</f>
        <v>Veterinary Science</v>
      </c>
      <c r="C254" s="88">
        <f t="shared" si="17"/>
        <v>0</v>
      </c>
      <c r="D254" s="88">
        <f t="shared" si="17"/>
        <v>0</v>
      </c>
      <c r="E254" s="88">
        <f t="shared" si="17"/>
        <v>0</v>
      </c>
      <c r="F254" s="88">
        <f t="shared" si="17"/>
        <v>0</v>
      </c>
      <c r="G254" s="88">
        <f t="shared" si="17"/>
        <v>0</v>
      </c>
      <c r="H254" s="88">
        <f t="shared" si="18"/>
        <v>0</v>
      </c>
      <c r="I254" s="36"/>
    </row>
    <row r="255" spans="2:10">
      <c r="B255" s="40" t="str">
        <f>$B$44</f>
        <v>Vocational Training</v>
      </c>
      <c r="C255" s="88">
        <f t="shared" si="17"/>
        <v>78247.261345852909</v>
      </c>
      <c r="D255" s="88">
        <f t="shared" si="17"/>
        <v>35007.610350076109</v>
      </c>
      <c r="E255" s="88">
        <f t="shared" si="17"/>
        <v>0</v>
      </c>
      <c r="F255" s="88">
        <f t="shared" si="17"/>
        <v>0</v>
      </c>
      <c r="G255" s="88">
        <f t="shared" si="17"/>
        <v>0</v>
      </c>
      <c r="H255" s="88">
        <f t="shared" si="18"/>
        <v>113254.87169592902</v>
      </c>
      <c r="I255" s="36"/>
    </row>
    <row r="256" spans="2:10">
      <c r="B256" s="40" t="str">
        <f>$B$45</f>
        <v>Physical Training</v>
      </c>
      <c r="C256" s="88">
        <f t="shared" si="17"/>
        <v>143974.96087636932</v>
      </c>
      <c r="D256" s="88">
        <f t="shared" si="17"/>
        <v>68493.150684931505</v>
      </c>
      <c r="E256" s="88">
        <f t="shared" si="17"/>
        <v>0</v>
      </c>
      <c r="F256" s="88">
        <f t="shared" si="17"/>
        <v>0</v>
      </c>
      <c r="G256" s="88">
        <f t="shared" si="17"/>
        <v>0</v>
      </c>
      <c r="H256" s="88">
        <f t="shared" si="18"/>
        <v>212468.11156130082</v>
      </c>
      <c r="I256" s="36"/>
    </row>
    <row r="257" spans="2:14">
      <c r="B257" s="40" t="str">
        <f>$B$46</f>
        <v>Health Services</v>
      </c>
      <c r="C257" s="88">
        <f t="shared" si="17"/>
        <v>25039.12363067293</v>
      </c>
      <c r="D257" s="88">
        <f t="shared" si="17"/>
        <v>48706.240487062409</v>
      </c>
      <c r="E257" s="88">
        <f t="shared" si="17"/>
        <v>0</v>
      </c>
      <c r="F257" s="88">
        <f t="shared" si="17"/>
        <v>0</v>
      </c>
      <c r="G257" s="88">
        <f t="shared" si="17"/>
        <v>0</v>
      </c>
      <c r="H257" s="88">
        <f t="shared" si="18"/>
        <v>73745.364117735342</v>
      </c>
      <c r="I257" s="36"/>
    </row>
    <row r="258" spans="2:14">
      <c r="B258" s="40" t="str">
        <f>$B$47</f>
        <v>Pharmacy</v>
      </c>
      <c r="C258" s="88">
        <f t="shared" si="17"/>
        <v>0</v>
      </c>
      <c r="D258" s="88">
        <f t="shared" si="17"/>
        <v>0</v>
      </c>
      <c r="E258" s="88">
        <f t="shared" si="17"/>
        <v>0</v>
      </c>
      <c r="F258" s="88">
        <f t="shared" si="17"/>
        <v>0</v>
      </c>
      <c r="G258" s="88">
        <f t="shared" si="17"/>
        <v>0</v>
      </c>
      <c r="H258" s="88">
        <f t="shared" si="18"/>
        <v>0</v>
      </c>
      <c r="I258" s="36"/>
    </row>
    <row r="259" spans="2:14">
      <c r="B259" s="40" t="str">
        <f>$B$48</f>
        <v>Business Administration</v>
      </c>
      <c r="C259" s="88">
        <f t="shared" si="17"/>
        <v>122065.72769953054</v>
      </c>
      <c r="D259" s="88">
        <f t="shared" si="17"/>
        <v>10654.490106544903</v>
      </c>
      <c r="E259" s="88">
        <f t="shared" si="17"/>
        <v>11454.75372279496</v>
      </c>
      <c r="F259" s="88">
        <f t="shared" si="17"/>
        <v>5583.4729201563378</v>
      </c>
      <c r="G259" s="88">
        <f t="shared" si="17"/>
        <v>0</v>
      </c>
      <c r="H259" s="88">
        <f t="shared" si="18"/>
        <v>149758.44444902675</v>
      </c>
      <c r="I259" s="36"/>
    </row>
    <row r="260" spans="2:14">
      <c r="B260" s="40" t="str">
        <f>$B$49</f>
        <v>Optometry</v>
      </c>
      <c r="C260" s="88">
        <f t="shared" ref="C260:G263" si="19">$H$241*IF($H$26=0,0,C$26/$H$26)*IF(C$53=0,0,C49/C$53)</f>
        <v>0</v>
      </c>
      <c r="D260" s="88">
        <f t="shared" si="19"/>
        <v>0</v>
      </c>
      <c r="E260" s="88">
        <f t="shared" si="19"/>
        <v>0</v>
      </c>
      <c r="F260" s="88">
        <f t="shared" si="19"/>
        <v>0</v>
      </c>
      <c r="G260" s="88">
        <f t="shared" si="19"/>
        <v>0</v>
      </c>
      <c r="H260" s="88">
        <f t="shared" si="18"/>
        <v>0</v>
      </c>
      <c r="I260" s="36"/>
    </row>
    <row r="261" spans="2:14">
      <c r="B261" s="40" t="str">
        <f>$B$50</f>
        <v>Teacher Ed-Practice Teaching</v>
      </c>
      <c r="C261" s="88">
        <f t="shared" si="19"/>
        <v>81377.151799687024</v>
      </c>
      <c r="D261" s="88">
        <f t="shared" si="19"/>
        <v>59360.730593607317</v>
      </c>
      <c r="E261" s="88">
        <f t="shared" si="19"/>
        <v>0</v>
      </c>
      <c r="F261" s="88">
        <f t="shared" si="19"/>
        <v>0</v>
      </c>
      <c r="G261" s="88">
        <f t="shared" si="19"/>
        <v>0</v>
      </c>
      <c r="H261" s="88">
        <f t="shared" si="18"/>
        <v>140737.88239329433</v>
      </c>
      <c r="I261" s="36"/>
    </row>
    <row r="262" spans="2:14">
      <c r="B262" s="40" t="str">
        <f>$B$51</f>
        <v>Technology</v>
      </c>
      <c r="C262" s="88">
        <f t="shared" si="19"/>
        <v>84507.042253521126</v>
      </c>
      <c r="D262" s="88">
        <f t="shared" si="19"/>
        <v>28919.330289193305</v>
      </c>
      <c r="E262" s="88">
        <f t="shared" si="19"/>
        <v>25964.108438335243</v>
      </c>
      <c r="F262" s="88">
        <f t="shared" si="19"/>
        <v>0</v>
      </c>
      <c r="G262" s="88">
        <f t="shared" si="19"/>
        <v>0</v>
      </c>
      <c r="H262" s="88">
        <f t="shared" si="18"/>
        <v>139390.48098104968</v>
      </c>
      <c r="I262" s="36"/>
    </row>
    <row r="263" spans="2:14">
      <c r="B263" s="40" t="str">
        <f>$B$52</f>
        <v>Nursing</v>
      </c>
      <c r="C263" s="88">
        <f t="shared" si="19"/>
        <v>0</v>
      </c>
      <c r="D263" s="88">
        <f t="shared" si="19"/>
        <v>0</v>
      </c>
      <c r="E263" s="88">
        <f t="shared" si="19"/>
        <v>0</v>
      </c>
      <c r="F263" s="88">
        <f t="shared" si="19"/>
        <v>0</v>
      </c>
      <c r="G263" s="88">
        <f t="shared" si="19"/>
        <v>0</v>
      </c>
      <c r="H263" s="88">
        <f t="shared" si="18"/>
        <v>0</v>
      </c>
      <c r="I263" s="36"/>
    </row>
    <row r="264" spans="2:14">
      <c r="B264" s="51" t="str">
        <f>$B$53</f>
        <v>Totals</v>
      </c>
      <c r="C264" s="87">
        <f>SUM(C244:C263)</f>
        <v>1111111.1111111112</v>
      </c>
      <c r="D264" s="87">
        <f>SUM(D244:D263)</f>
        <v>555555.55555555562</v>
      </c>
      <c r="E264" s="87">
        <f>SUM(E244:E263)</f>
        <v>222222.22222222222</v>
      </c>
      <c r="F264" s="87">
        <f>SUM(F244:F263)</f>
        <v>111111.11111111111</v>
      </c>
      <c r="G264" s="87">
        <f>SUM(G244:G263)</f>
        <v>0</v>
      </c>
      <c r="H264" s="87">
        <f t="shared" si="18"/>
        <v>2000000.0000000002</v>
      </c>
      <c r="I264" s="92"/>
    </row>
    <row r="265" spans="2:14">
      <c r="B265" s="103"/>
      <c r="C265" s="103"/>
      <c r="D265" s="103"/>
      <c r="E265" s="103"/>
      <c r="F265" s="103"/>
      <c r="G265" s="103"/>
      <c r="H265" s="104"/>
      <c r="I265" s="93"/>
    </row>
    <row r="266" spans="2:14">
      <c r="B266" s="54" t="s">
        <v>76</v>
      </c>
      <c r="C266" s="90"/>
      <c r="D266" s="90"/>
      <c r="E266" s="90"/>
      <c r="F266" s="90"/>
      <c r="G266" s="90"/>
      <c r="H266" s="56"/>
      <c r="J266" s="91"/>
    </row>
    <row r="267" spans="2:14" ht="45" customHeight="1" thickBot="1">
      <c r="B267" s="100" t="s">
        <v>77</v>
      </c>
      <c r="C267" s="100"/>
      <c r="D267" s="100"/>
      <c r="E267" s="100"/>
      <c r="F267" s="100"/>
      <c r="G267" s="100"/>
      <c r="H267" s="100"/>
    </row>
    <row r="268" spans="2:14" ht="15" thickBot="1">
      <c r="B268" s="37" t="s">
        <v>29</v>
      </c>
      <c r="C268" s="38" t="s">
        <v>20</v>
      </c>
      <c r="D268" s="38" t="s">
        <v>21</v>
      </c>
      <c r="E268" s="38" t="s">
        <v>22</v>
      </c>
      <c r="F268" s="38" t="s">
        <v>23</v>
      </c>
      <c r="G268" s="38" t="s">
        <v>24</v>
      </c>
      <c r="H268" s="39" t="s">
        <v>14</v>
      </c>
      <c r="I268" s="36"/>
    </row>
    <row r="269" spans="2:14">
      <c r="B269" s="40" t="str">
        <f>$B$33</f>
        <v>Liberal Arts</v>
      </c>
      <c r="C269" s="60">
        <f t="shared" ref="C269:G284" si="20">C244+C219+C194+C169+C117</f>
        <v>528783.92730794894</v>
      </c>
      <c r="D269" s="60">
        <f t="shared" si="20"/>
        <v>227906.69996626498</v>
      </c>
      <c r="E269" s="60">
        <f t="shared" si="20"/>
        <v>112641.42729019561</v>
      </c>
      <c r="F269" s="60">
        <f t="shared" si="20"/>
        <v>89302.545476243293</v>
      </c>
      <c r="G269" s="81">
        <f t="shared" si="20"/>
        <v>0</v>
      </c>
      <c r="H269" s="87">
        <f>SUM(C269:G269)</f>
        <v>958634.60004065279</v>
      </c>
      <c r="I269" s="36"/>
      <c r="J269" s="94"/>
      <c r="K269" s="94"/>
      <c r="L269" s="94"/>
      <c r="M269" s="94"/>
      <c r="N269" s="94"/>
    </row>
    <row r="270" spans="2:14">
      <c r="B270" s="40" t="str">
        <f>$B$34</f>
        <v>Science</v>
      </c>
      <c r="C270" s="62">
        <f t="shared" si="20"/>
        <v>148937.22591664945</v>
      </c>
      <c r="D270" s="62">
        <f t="shared" si="20"/>
        <v>136150.55223376286</v>
      </c>
      <c r="E270" s="62">
        <f t="shared" si="20"/>
        <v>250179.25181179782</v>
      </c>
      <c r="F270" s="62">
        <f t="shared" si="20"/>
        <v>865119.44503841712</v>
      </c>
      <c r="G270" s="97">
        <f t="shared" si="20"/>
        <v>0</v>
      </c>
      <c r="H270" s="88">
        <f t="shared" ref="H270:H289" si="21">SUM(C270:G270)</f>
        <v>1400386.4750006273</v>
      </c>
      <c r="I270" s="36"/>
      <c r="J270" s="94"/>
      <c r="K270" s="94"/>
      <c r="L270" s="94"/>
      <c r="M270" s="94"/>
      <c r="N270" s="94"/>
    </row>
    <row r="271" spans="2:14">
      <c r="B271" s="40" t="str">
        <f>$B$35</f>
        <v>Fine Arts</v>
      </c>
      <c r="C271" s="62">
        <f t="shared" si="20"/>
        <v>290128.93354798009</v>
      </c>
      <c r="D271" s="62">
        <f t="shared" si="20"/>
        <v>25365.631005153929</v>
      </c>
      <c r="E271" s="62">
        <f t="shared" si="20"/>
        <v>357061.65632949758</v>
      </c>
      <c r="F271" s="62">
        <f t="shared" si="20"/>
        <v>8818.7524563341794</v>
      </c>
      <c r="G271" s="97">
        <f t="shared" si="20"/>
        <v>0</v>
      </c>
      <c r="H271" s="88">
        <f t="shared" si="21"/>
        <v>681374.97333896579</v>
      </c>
      <c r="I271" s="36"/>
      <c r="J271" s="94"/>
      <c r="K271" s="94"/>
      <c r="L271" s="94"/>
      <c r="M271" s="94"/>
      <c r="N271" s="94"/>
    </row>
    <row r="272" spans="2:14">
      <c r="B272" s="40" t="str">
        <f>$B$36</f>
        <v>Teacher Education</v>
      </c>
      <c r="C272" s="62">
        <f t="shared" si="20"/>
        <v>70480.886402132543</v>
      </c>
      <c r="D272" s="62">
        <f t="shared" si="20"/>
        <v>129655.21750374902</v>
      </c>
      <c r="E272" s="62">
        <f t="shared" si="20"/>
        <v>188241.27845736057</v>
      </c>
      <c r="F272" s="62">
        <f t="shared" si="20"/>
        <v>48968.323263809936</v>
      </c>
      <c r="G272" s="97">
        <f t="shared" si="20"/>
        <v>0</v>
      </c>
      <c r="H272" s="88">
        <f t="shared" si="21"/>
        <v>437345.70562705211</v>
      </c>
      <c r="I272" s="36"/>
      <c r="J272" s="94"/>
      <c r="K272" s="94"/>
      <c r="L272" s="94"/>
      <c r="M272" s="94"/>
      <c r="N272" s="94"/>
    </row>
    <row r="273" spans="2:14">
      <c r="B273" s="40" t="str">
        <f>$B$37</f>
        <v>Agriculture</v>
      </c>
      <c r="C273" s="62">
        <f t="shared" si="20"/>
        <v>26514.191259104071</v>
      </c>
      <c r="D273" s="62">
        <f t="shared" si="20"/>
        <v>203292.64429918479</v>
      </c>
      <c r="E273" s="62">
        <f t="shared" si="20"/>
        <v>0</v>
      </c>
      <c r="F273" s="62">
        <f t="shared" si="20"/>
        <v>327550.84906903037</v>
      </c>
      <c r="G273" s="97">
        <f t="shared" si="20"/>
        <v>0</v>
      </c>
      <c r="H273" s="88">
        <f t="shared" si="21"/>
        <v>557357.68462731922</v>
      </c>
      <c r="I273" s="36"/>
      <c r="J273" s="94"/>
      <c r="K273" s="94"/>
      <c r="L273" s="94"/>
      <c r="M273" s="94"/>
      <c r="N273" s="94"/>
    </row>
    <row r="274" spans="2:14">
      <c r="B274" s="40" t="str">
        <f>$B$38</f>
        <v>Engineering</v>
      </c>
      <c r="C274" s="62">
        <f t="shared" si="20"/>
        <v>99614.009779430256</v>
      </c>
      <c r="D274" s="62">
        <f t="shared" si="20"/>
        <v>377980.57483206934</v>
      </c>
      <c r="E274" s="62">
        <f t="shared" si="20"/>
        <v>329078.50185939786</v>
      </c>
      <c r="F274" s="62">
        <f t="shared" si="20"/>
        <v>242668.9972083928</v>
      </c>
      <c r="G274" s="97">
        <f t="shared" si="20"/>
        <v>0</v>
      </c>
      <c r="H274" s="88">
        <f t="shared" si="21"/>
        <v>1049342.0836792903</v>
      </c>
      <c r="I274" s="36"/>
      <c r="J274" s="94"/>
      <c r="K274" s="94"/>
      <c r="L274" s="94"/>
      <c r="M274" s="94"/>
      <c r="N274" s="94"/>
    </row>
    <row r="275" spans="2:14">
      <c r="B275" s="40" t="str">
        <f>$B$39</f>
        <v>Home Economics</v>
      </c>
      <c r="C275" s="62">
        <f t="shared" si="20"/>
        <v>69682.48349882882</v>
      </c>
      <c r="D275" s="62">
        <f t="shared" si="20"/>
        <v>50014.387472349743</v>
      </c>
      <c r="E275" s="62">
        <f t="shared" si="20"/>
        <v>153006.68074183571</v>
      </c>
      <c r="F275" s="62">
        <f t="shared" si="20"/>
        <v>129115.67879161077</v>
      </c>
      <c r="G275" s="97">
        <f t="shared" si="20"/>
        <v>0</v>
      </c>
      <c r="H275" s="88">
        <f t="shared" si="21"/>
        <v>401819.23050462501</v>
      </c>
      <c r="I275" s="36"/>
      <c r="J275" s="94"/>
      <c r="K275" s="94"/>
      <c r="L275" s="94"/>
      <c r="M275" s="94"/>
      <c r="N275" s="94"/>
    </row>
    <row r="276" spans="2:14">
      <c r="B276" s="40" t="str">
        <f>$B$40</f>
        <v>Law</v>
      </c>
      <c r="C276" s="62">
        <f t="shared" si="20"/>
        <v>0</v>
      </c>
      <c r="D276" s="62">
        <f t="shared" si="20"/>
        <v>0</v>
      </c>
      <c r="E276" s="62">
        <f t="shared" si="20"/>
        <v>0</v>
      </c>
      <c r="F276" s="62">
        <f t="shared" si="20"/>
        <v>0</v>
      </c>
      <c r="G276" s="97">
        <f t="shared" si="20"/>
        <v>0</v>
      </c>
      <c r="H276" s="88">
        <f t="shared" si="21"/>
        <v>0</v>
      </c>
      <c r="I276" s="36"/>
      <c r="J276" s="94"/>
      <c r="K276" s="94"/>
      <c r="L276" s="94"/>
      <c r="M276" s="94"/>
      <c r="N276" s="94"/>
    </row>
    <row r="277" spans="2:14">
      <c r="B277" s="40" t="str">
        <f>$B$41</f>
        <v>Social Service</v>
      </c>
      <c r="C277" s="62">
        <f t="shared" si="20"/>
        <v>186975.07361644186</v>
      </c>
      <c r="D277" s="62">
        <f t="shared" si="20"/>
        <v>132812.59907079415</v>
      </c>
      <c r="E277" s="62">
        <f t="shared" si="20"/>
        <v>200712.29767469913</v>
      </c>
      <c r="F277" s="62">
        <f t="shared" si="20"/>
        <v>624196.93517067889</v>
      </c>
      <c r="G277" s="97">
        <f t="shared" si="20"/>
        <v>0</v>
      </c>
      <c r="H277" s="88">
        <f t="shared" si="21"/>
        <v>1144696.9055326139</v>
      </c>
      <c r="I277" s="36"/>
      <c r="J277" s="94"/>
      <c r="K277" s="94"/>
      <c r="L277" s="94"/>
      <c r="M277" s="94"/>
      <c r="N277" s="94"/>
    </row>
    <row r="278" spans="2:14">
      <c r="B278" s="40" t="str">
        <f>$B$42</f>
        <v>Library Science</v>
      </c>
      <c r="C278" s="62">
        <f t="shared" si="20"/>
        <v>151464.99675452331</v>
      </c>
      <c r="D278" s="62">
        <f t="shared" si="20"/>
        <v>61413.419230140877</v>
      </c>
      <c r="E278" s="62">
        <f t="shared" si="20"/>
        <v>45580.151431659615</v>
      </c>
      <c r="F278" s="62">
        <f t="shared" si="20"/>
        <v>203128.36102265483</v>
      </c>
      <c r="G278" s="97">
        <f t="shared" si="20"/>
        <v>0</v>
      </c>
      <c r="H278" s="88">
        <f t="shared" si="21"/>
        <v>461586.92843897862</v>
      </c>
      <c r="I278" s="36"/>
      <c r="J278" s="94"/>
      <c r="K278" s="94"/>
      <c r="L278" s="94"/>
      <c r="M278" s="94"/>
      <c r="N278" s="94"/>
    </row>
    <row r="279" spans="2:14">
      <c r="B279" s="40" t="str">
        <f>$B$43</f>
        <v>Veterinary Science</v>
      </c>
      <c r="C279" s="62">
        <f t="shared" si="20"/>
        <v>0</v>
      </c>
      <c r="D279" s="62">
        <f t="shared" si="20"/>
        <v>0</v>
      </c>
      <c r="E279" s="62">
        <f t="shared" si="20"/>
        <v>0</v>
      </c>
      <c r="F279" s="62">
        <f t="shared" si="20"/>
        <v>0</v>
      </c>
      <c r="G279" s="97">
        <f t="shared" si="20"/>
        <v>0</v>
      </c>
      <c r="H279" s="88">
        <f t="shared" si="21"/>
        <v>0</v>
      </c>
      <c r="I279" s="36"/>
      <c r="J279" s="94"/>
      <c r="K279" s="94"/>
      <c r="L279" s="94"/>
      <c r="M279" s="94"/>
      <c r="N279" s="94"/>
    </row>
    <row r="280" spans="2:14">
      <c r="B280" s="40" t="str">
        <f>$B$44</f>
        <v>Vocational Training</v>
      </c>
      <c r="C280" s="62">
        <f t="shared" si="20"/>
        <v>152557.67188536515</v>
      </c>
      <c r="D280" s="62">
        <f t="shared" si="20"/>
        <v>89001.409460832772</v>
      </c>
      <c r="E280" s="62">
        <f t="shared" si="20"/>
        <v>0</v>
      </c>
      <c r="F280" s="62">
        <f t="shared" si="20"/>
        <v>0</v>
      </c>
      <c r="G280" s="97">
        <f t="shared" si="20"/>
        <v>0</v>
      </c>
      <c r="H280" s="88">
        <f t="shared" si="21"/>
        <v>241559.08134619793</v>
      </c>
      <c r="I280" s="36"/>
      <c r="J280" s="94"/>
      <c r="K280" s="94"/>
      <c r="L280" s="94"/>
      <c r="M280" s="94"/>
      <c r="N280" s="94"/>
    </row>
    <row r="281" spans="2:14">
      <c r="B281" s="40" t="str">
        <f>$B$45</f>
        <v>Physical Training</v>
      </c>
      <c r="C281" s="62">
        <f t="shared" si="20"/>
        <v>268091.00407986634</v>
      </c>
      <c r="D281" s="62">
        <f t="shared" si="20"/>
        <v>153565.07472357678</v>
      </c>
      <c r="E281" s="62">
        <f t="shared" si="20"/>
        <v>0</v>
      </c>
      <c r="F281" s="62">
        <f t="shared" si="20"/>
        <v>0</v>
      </c>
      <c r="G281" s="97">
        <f t="shared" si="20"/>
        <v>0</v>
      </c>
      <c r="H281" s="88">
        <f t="shared" si="21"/>
        <v>421656.07880344312</v>
      </c>
      <c r="I281" s="36"/>
      <c r="J281" s="94"/>
      <c r="K281" s="94"/>
      <c r="L281" s="94"/>
      <c r="M281" s="94"/>
      <c r="N281" s="94"/>
    </row>
    <row r="282" spans="2:14">
      <c r="B282" s="40" t="str">
        <f>$B$46</f>
        <v>Health Services</v>
      </c>
      <c r="C282" s="62">
        <f t="shared" si="20"/>
        <v>76514.333497169879</v>
      </c>
      <c r="D282" s="62">
        <f t="shared" si="20"/>
        <v>252763.68107166351</v>
      </c>
      <c r="E282" s="62">
        <f t="shared" si="20"/>
        <v>131349.50475035375</v>
      </c>
      <c r="F282" s="62">
        <f t="shared" si="20"/>
        <v>194039.04110847713</v>
      </c>
      <c r="G282" s="97">
        <f t="shared" si="20"/>
        <v>0</v>
      </c>
      <c r="H282" s="88">
        <f t="shared" si="21"/>
        <v>654666.56042766431</v>
      </c>
      <c r="I282" s="36"/>
      <c r="J282" s="94"/>
      <c r="K282" s="94"/>
      <c r="L282" s="94"/>
      <c r="M282" s="94"/>
      <c r="N282" s="94"/>
    </row>
    <row r="283" spans="2:14">
      <c r="B283" s="40" t="str">
        <f>$B$47</f>
        <v>Pharmacy</v>
      </c>
      <c r="C283" s="62">
        <f t="shared" si="20"/>
        <v>0</v>
      </c>
      <c r="D283" s="62">
        <f t="shared" si="20"/>
        <v>0</v>
      </c>
      <c r="E283" s="62">
        <f t="shared" si="20"/>
        <v>0</v>
      </c>
      <c r="F283" s="62">
        <f t="shared" si="20"/>
        <v>0</v>
      </c>
      <c r="G283" s="97">
        <f t="shared" si="20"/>
        <v>0</v>
      </c>
      <c r="H283" s="88">
        <f t="shared" si="21"/>
        <v>0</v>
      </c>
      <c r="I283" s="36"/>
      <c r="J283" s="94"/>
      <c r="K283" s="94"/>
      <c r="L283" s="94"/>
      <c r="M283" s="94"/>
      <c r="N283" s="94"/>
    </row>
    <row r="284" spans="2:14">
      <c r="B284" s="40" t="str">
        <f>$B$48</f>
        <v>Business Administration</v>
      </c>
      <c r="C284" s="62">
        <f t="shared" si="20"/>
        <v>356870.30676141923</v>
      </c>
      <c r="D284" s="62">
        <f t="shared" si="20"/>
        <v>51546.211329059654</v>
      </c>
      <c r="E284" s="62">
        <f t="shared" si="20"/>
        <v>114897.50776814684</v>
      </c>
      <c r="F284" s="62">
        <f t="shared" si="20"/>
        <v>265876.09684887435</v>
      </c>
      <c r="G284" s="97">
        <f t="shared" si="20"/>
        <v>0</v>
      </c>
      <c r="H284" s="88">
        <f t="shared" si="21"/>
        <v>789190.12270750012</v>
      </c>
      <c r="I284" s="36"/>
      <c r="J284" s="94"/>
      <c r="K284" s="94"/>
      <c r="L284" s="94"/>
      <c r="M284" s="94"/>
      <c r="N284" s="94"/>
    </row>
    <row r="285" spans="2:14">
      <c r="B285" s="40" t="str">
        <f>$B$49</f>
        <v>Optometry</v>
      </c>
      <c r="C285" s="62">
        <f t="shared" ref="C285:G288" si="22">C260+C235+C210+C185+C133</f>
        <v>0</v>
      </c>
      <c r="D285" s="62">
        <f t="shared" si="22"/>
        <v>0</v>
      </c>
      <c r="E285" s="62">
        <f t="shared" si="22"/>
        <v>0</v>
      </c>
      <c r="F285" s="62">
        <f t="shared" si="22"/>
        <v>0</v>
      </c>
      <c r="G285" s="97">
        <f t="shared" si="22"/>
        <v>0</v>
      </c>
      <c r="H285" s="88">
        <f t="shared" si="21"/>
        <v>0</v>
      </c>
      <c r="I285" s="36"/>
      <c r="J285" s="94"/>
      <c r="K285" s="94"/>
      <c r="L285" s="94"/>
      <c r="M285" s="94"/>
      <c r="N285" s="94"/>
    </row>
    <row r="286" spans="2:14">
      <c r="B286" s="40" t="str">
        <f>$B$50</f>
        <v>Teacher Ed-Practice Teaching</v>
      </c>
      <c r="C286" s="62">
        <f t="shared" si="22"/>
        <v>152039.6512895851</v>
      </c>
      <c r="D286" s="62">
        <f t="shared" si="22"/>
        <v>146382.5149322545</v>
      </c>
      <c r="E286" s="62">
        <f t="shared" si="22"/>
        <v>0</v>
      </c>
      <c r="F286" s="62">
        <f t="shared" si="22"/>
        <v>0</v>
      </c>
      <c r="G286" s="97">
        <f t="shared" si="22"/>
        <v>0</v>
      </c>
      <c r="H286" s="88">
        <f t="shared" si="21"/>
        <v>298422.16622183961</v>
      </c>
      <c r="I286" s="36"/>
      <c r="J286" s="94"/>
      <c r="K286" s="94"/>
      <c r="L286" s="94"/>
      <c r="M286" s="94"/>
      <c r="N286" s="94"/>
    </row>
    <row r="287" spans="2:14">
      <c r="B287" s="40" t="str">
        <f>$B$51</f>
        <v>Technology</v>
      </c>
      <c r="C287" s="62">
        <f t="shared" si="22"/>
        <v>199181.31899793696</v>
      </c>
      <c r="D287" s="62">
        <f t="shared" si="22"/>
        <v>102411.2190992383</v>
      </c>
      <c r="E287" s="62">
        <f t="shared" si="22"/>
        <v>200368.86560605481</v>
      </c>
      <c r="F287" s="62">
        <f t="shared" si="22"/>
        <v>0</v>
      </c>
      <c r="G287" s="97">
        <f t="shared" si="22"/>
        <v>0</v>
      </c>
      <c r="H287" s="88">
        <f t="shared" si="21"/>
        <v>501961.40370323008</v>
      </c>
      <c r="I287" s="36"/>
      <c r="J287" s="94"/>
      <c r="K287" s="94"/>
      <c r="L287" s="94"/>
      <c r="M287" s="94"/>
      <c r="N287" s="94"/>
    </row>
    <row r="288" spans="2:14">
      <c r="B288" s="40" t="str">
        <f>$B$52</f>
        <v>Nursing</v>
      </c>
      <c r="C288" s="62">
        <f t="shared" si="22"/>
        <v>0</v>
      </c>
      <c r="D288" s="62">
        <f t="shared" si="22"/>
        <v>0</v>
      </c>
      <c r="E288" s="62">
        <f t="shared" si="22"/>
        <v>0</v>
      </c>
      <c r="F288" s="62">
        <f t="shared" si="22"/>
        <v>0</v>
      </c>
      <c r="G288" s="97">
        <f t="shared" si="22"/>
        <v>0</v>
      </c>
      <c r="H288" s="88">
        <f t="shared" si="21"/>
        <v>0</v>
      </c>
      <c r="I288" s="36"/>
      <c r="J288" s="94"/>
      <c r="K288" s="94"/>
      <c r="L288" s="94"/>
      <c r="M288" s="94"/>
      <c r="N288" s="94"/>
    </row>
    <row r="289" spans="2:10">
      <c r="B289" s="51" t="str">
        <f>$B$53</f>
        <v>Totals</v>
      </c>
      <c r="C289" s="87">
        <f>SUM(C269:C288)</f>
        <v>2777836.0145943821</v>
      </c>
      <c r="D289" s="87">
        <f>SUM(D269:D288)</f>
        <v>2140261.8362300955</v>
      </c>
      <c r="E289" s="87">
        <f>SUM(E269:E288)</f>
        <v>2083117.1237209996</v>
      </c>
      <c r="F289" s="87">
        <f>SUM(F269:F288)</f>
        <v>2998785.025454523</v>
      </c>
      <c r="G289" s="87">
        <f>SUM(G269:G288)</f>
        <v>0</v>
      </c>
      <c r="H289" s="87">
        <f t="shared" si="21"/>
        <v>10000000</v>
      </c>
      <c r="I289" s="95"/>
    </row>
    <row r="290" spans="2:10">
      <c r="H290" s="96"/>
    </row>
    <row r="291" spans="2:10">
      <c r="B291" s="54" t="s">
        <v>78</v>
      </c>
      <c r="C291" s="90"/>
      <c r="D291" s="90"/>
      <c r="E291" s="90"/>
      <c r="F291" s="90"/>
      <c r="G291" s="90"/>
      <c r="H291" s="56"/>
      <c r="J291" s="91"/>
    </row>
    <row r="292" spans="2:10" ht="30" customHeight="1" thickBot="1">
      <c r="B292" s="100" t="s">
        <v>79</v>
      </c>
      <c r="C292" s="100"/>
      <c r="D292" s="100"/>
      <c r="E292" s="100"/>
      <c r="F292" s="100"/>
      <c r="G292" s="100"/>
      <c r="H292" s="100"/>
    </row>
    <row r="293" spans="2:10" ht="15" thickBot="1">
      <c r="B293" s="37" t="s">
        <v>29</v>
      </c>
      <c r="C293" s="38" t="s">
        <v>20</v>
      </c>
      <c r="D293" s="38" t="s">
        <v>21</v>
      </c>
      <c r="E293" s="38" t="s">
        <v>22</v>
      </c>
      <c r="F293" s="38" t="s">
        <v>23</v>
      </c>
      <c r="G293" s="38" t="s">
        <v>24</v>
      </c>
      <c r="H293" s="39" t="s">
        <v>14</v>
      </c>
      <c r="I293" s="36"/>
    </row>
    <row r="294" spans="2:10">
      <c r="B294" s="40" t="str">
        <f>$B$33</f>
        <v>Liberal Arts</v>
      </c>
      <c r="C294" s="60">
        <f>IF(C33=0,0,C269/C33)</f>
        <v>105.75678546158979</v>
      </c>
      <c r="D294" s="60">
        <f t="shared" ref="C294:H309" si="23">IF(D33=0,0,D269/D33)</f>
        <v>91.162679986505992</v>
      </c>
      <c r="E294" s="60">
        <f t="shared" si="23"/>
        <v>112.64142729019561</v>
      </c>
      <c r="F294" s="60">
        <f t="shared" si="23"/>
        <v>178.60509095248659</v>
      </c>
      <c r="G294" s="81">
        <f t="shared" si="23"/>
        <v>0</v>
      </c>
      <c r="H294" s="87">
        <f t="shared" si="23"/>
        <v>106.51495556007254</v>
      </c>
      <c r="I294" s="36"/>
    </row>
    <row r="295" spans="2:10">
      <c r="B295" s="40" t="str">
        <f>$B$34</f>
        <v>Science</v>
      </c>
      <c r="C295" s="62">
        <f t="shared" si="23"/>
        <v>93.085766197905912</v>
      </c>
      <c r="D295" s="62">
        <f t="shared" si="23"/>
        <v>80.088560137507571</v>
      </c>
      <c r="E295" s="62">
        <f t="shared" si="23"/>
        <v>108.77358774425993</v>
      </c>
      <c r="F295" s="62">
        <f t="shared" si="23"/>
        <v>205.98082024724218</v>
      </c>
      <c r="G295" s="97">
        <f t="shared" si="23"/>
        <v>0</v>
      </c>
      <c r="H295" s="88">
        <f t="shared" si="23"/>
        <v>142.89657908169667</v>
      </c>
      <c r="I295" s="36"/>
    </row>
    <row r="296" spans="2:10">
      <c r="B296" s="40" t="str">
        <f>$B$35</f>
        <v>Fine Arts</v>
      </c>
      <c r="C296" s="62">
        <f t="shared" si="23"/>
        <v>78.413225283237864</v>
      </c>
      <c r="D296" s="62">
        <f t="shared" si="23"/>
        <v>63.414077512884823</v>
      </c>
      <c r="E296" s="62">
        <f t="shared" si="23"/>
        <v>77.622099202064689</v>
      </c>
      <c r="F296" s="62">
        <f t="shared" si="23"/>
        <v>88.187524563341796</v>
      </c>
      <c r="G296" s="97">
        <f t="shared" si="23"/>
        <v>0</v>
      </c>
      <c r="H296" s="88">
        <f t="shared" si="23"/>
        <v>77.428974243064289</v>
      </c>
      <c r="I296" s="36"/>
    </row>
    <row r="297" spans="2:10">
      <c r="B297" s="40" t="str">
        <f>$B$36</f>
        <v>Teacher Education</v>
      </c>
      <c r="C297" s="62">
        <f t="shared" si="23"/>
        <v>70.480886402132541</v>
      </c>
      <c r="D297" s="62">
        <f t="shared" si="23"/>
        <v>48.02045092731445</v>
      </c>
      <c r="E297" s="62">
        <f t="shared" si="23"/>
        <v>42.782108740309219</v>
      </c>
      <c r="F297" s="62">
        <f t="shared" si="23"/>
        <v>81.613872106349888</v>
      </c>
      <c r="G297" s="97">
        <f t="shared" si="23"/>
        <v>0</v>
      </c>
      <c r="H297" s="88">
        <f t="shared" si="23"/>
        <v>50.269621336442775</v>
      </c>
      <c r="I297" s="36"/>
    </row>
    <row r="298" spans="2:10">
      <c r="B298" s="40" t="str">
        <f>$B$37</f>
        <v>Agriculture</v>
      </c>
      <c r="C298" s="62">
        <f t="shared" si="23"/>
        <v>88.380637530346903</v>
      </c>
      <c r="D298" s="62">
        <f t="shared" si="23"/>
        <v>72.604515821137426</v>
      </c>
      <c r="E298" s="62">
        <f t="shared" si="23"/>
        <v>0</v>
      </c>
      <c r="F298" s="62">
        <f t="shared" si="23"/>
        <v>121.31512928482607</v>
      </c>
      <c r="G298" s="97">
        <f t="shared" si="23"/>
        <v>0</v>
      </c>
      <c r="H298" s="88">
        <f t="shared" si="23"/>
        <v>96.096152521951595</v>
      </c>
      <c r="I298" s="36"/>
    </row>
    <row r="299" spans="2:10">
      <c r="B299" s="40" t="str">
        <f>$B$38</f>
        <v>Engineering</v>
      </c>
      <c r="C299" s="62">
        <f t="shared" si="23"/>
        <v>90.558190708572965</v>
      </c>
      <c r="D299" s="62">
        <f t="shared" si="23"/>
        <v>77.138892822871298</v>
      </c>
      <c r="E299" s="62">
        <f t="shared" si="23"/>
        <v>96.787794664528789</v>
      </c>
      <c r="F299" s="62">
        <f t="shared" si="23"/>
        <v>161.77933147226187</v>
      </c>
      <c r="G299" s="97">
        <f t="shared" si="23"/>
        <v>0</v>
      </c>
      <c r="H299" s="88">
        <f t="shared" si="23"/>
        <v>96.269915933879844</v>
      </c>
      <c r="I299" s="36"/>
    </row>
    <row r="300" spans="2:10">
      <c r="B300" s="40" t="str">
        <f>$B$39</f>
        <v>Home Economics</v>
      </c>
      <c r="C300" s="62">
        <f t="shared" si="23"/>
        <v>69.682483498828816</v>
      </c>
      <c r="D300" s="62">
        <f t="shared" si="23"/>
        <v>50.014387472349746</v>
      </c>
      <c r="E300" s="62">
        <f t="shared" si="23"/>
        <v>47.814587731823657</v>
      </c>
      <c r="F300" s="62">
        <f t="shared" si="23"/>
        <v>75.950399289182812</v>
      </c>
      <c r="G300" s="97">
        <f t="shared" si="23"/>
        <v>0</v>
      </c>
      <c r="H300" s="88">
        <f t="shared" si="23"/>
        <v>58.234671087626815</v>
      </c>
      <c r="I300" s="36"/>
    </row>
    <row r="301" spans="2:10">
      <c r="B301" s="40" t="str">
        <f>$B$40</f>
        <v>Law</v>
      </c>
      <c r="C301" s="62">
        <f t="shared" si="23"/>
        <v>0</v>
      </c>
      <c r="D301" s="62">
        <f t="shared" si="23"/>
        <v>0</v>
      </c>
      <c r="E301" s="62">
        <f t="shared" si="23"/>
        <v>0</v>
      </c>
      <c r="F301" s="62">
        <f t="shared" si="23"/>
        <v>0</v>
      </c>
      <c r="G301" s="97">
        <f t="shared" si="23"/>
        <v>0</v>
      </c>
      <c r="H301" s="88">
        <f t="shared" si="23"/>
        <v>0</v>
      </c>
      <c r="I301" s="36"/>
    </row>
    <row r="302" spans="2:10">
      <c r="B302" s="40" t="str">
        <f>$B$41</f>
        <v>Social Service</v>
      </c>
      <c r="C302" s="62">
        <f t="shared" si="23"/>
        <v>74.790029446576739</v>
      </c>
      <c r="D302" s="62">
        <f t="shared" si="23"/>
        <v>51.081768873382366</v>
      </c>
      <c r="E302" s="62">
        <f t="shared" si="23"/>
        <v>46.6772785289998</v>
      </c>
      <c r="F302" s="62">
        <f t="shared" si="23"/>
        <v>127.38712962666916</v>
      </c>
      <c r="G302" s="97">
        <f t="shared" si="23"/>
        <v>0</v>
      </c>
      <c r="H302" s="88">
        <f t="shared" si="23"/>
        <v>80.048734652630344</v>
      </c>
      <c r="I302" s="36"/>
    </row>
    <row r="303" spans="2:10">
      <c r="B303" s="40" t="str">
        <f>$B$42</f>
        <v>Library Science</v>
      </c>
      <c r="C303" s="62">
        <f t="shared" si="23"/>
        <v>68.847725797510591</v>
      </c>
      <c r="D303" s="62">
        <f t="shared" si="23"/>
        <v>43.866728021529198</v>
      </c>
      <c r="E303" s="62">
        <f t="shared" si="23"/>
        <v>45.580151431659615</v>
      </c>
      <c r="F303" s="62">
        <f t="shared" si="23"/>
        <v>75.232726304686977</v>
      </c>
      <c r="G303" s="97">
        <f t="shared" si="23"/>
        <v>0</v>
      </c>
      <c r="H303" s="88">
        <f t="shared" si="23"/>
        <v>63.231086087531317</v>
      </c>
      <c r="I303" s="36"/>
    </row>
    <row r="304" spans="2:10">
      <c r="B304" s="40" t="str">
        <f>$B$43</f>
        <v>Veterinary Science</v>
      </c>
      <c r="C304" s="62">
        <f t="shared" si="23"/>
        <v>0</v>
      </c>
      <c r="D304" s="62">
        <f t="shared" si="23"/>
        <v>0</v>
      </c>
      <c r="E304" s="62">
        <f t="shared" si="23"/>
        <v>0</v>
      </c>
      <c r="F304" s="62">
        <f t="shared" si="23"/>
        <v>0</v>
      </c>
      <c r="G304" s="97">
        <f t="shared" si="23"/>
        <v>0</v>
      </c>
      <c r="H304" s="88">
        <f t="shared" si="23"/>
        <v>0</v>
      </c>
      <c r="I304" s="36"/>
    </row>
    <row r="305" spans="2:10">
      <c r="B305" s="40" t="str">
        <f>$B$44</f>
        <v>Vocational Training</v>
      </c>
      <c r="C305" s="62">
        <f t="shared" si="23"/>
        <v>61.02306875414606</v>
      </c>
      <c r="D305" s="62">
        <f t="shared" si="23"/>
        <v>38.696264982970767</v>
      </c>
      <c r="E305" s="62">
        <f t="shared" si="23"/>
        <v>0</v>
      </c>
      <c r="F305" s="62">
        <f t="shared" si="23"/>
        <v>0</v>
      </c>
      <c r="G305" s="97">
        <f t="shared" si="23"/>
        <v>0</v>
      </c>
      <c r="H305" s="88">
        <f t="shared" si="23"/>
        <v>50.324808613791234</v>
      </c>
      <c r="I305" s="36"/>
    </row>
    <row r="306" spans="2:10">
      <c r="B306" s="40" t="str">
        <f>$B$45</f>
        <v>Physical Training</v>
      </c>
      <c r="C306" s="62">
        <f t="shared" si="23"/>
        <v>58.280653060840507</v>
      </c>
      <c r="D306" s="62">
        <f t="shared" si="23"/>
        <v>34.125572160794839</v>
      </c>
      <c r="E306" s="62">
        <f t="shared" si="23"/>
        <v>0</v>
      </c>
      <c r="F306" s="62">
        <f t="shared" si="23"/>
        <v>0</v>
      </c>
      <c r="G306" s="97">
        <f t="shared" si="23"/>
        <v>0</v>
      </c>
      <c r="H306" s="88">
        <f t="shared" si="23"/>
        <v>46.335832835543201</v>
      </c>
      <c r="I306" s="36"/>
    </row>
    <row r="307" spans="2:10">
      <c r="B307" s="40" t="str">
        <f>$B$46</f>
        <v>Health Services</v>
      </c>
      <c r="C307" s="62">
        <f t="shared" si="23"/>
        <v>95.642916871462347</v>
      </c>
      <c r="D307" s="62">
        <f t="shared" si="23"/>
        <v>78.988650334894842</v>
      </c>
      <c r="E307" s="62">
        <f t="shared" si="23"/>
        <v>0</v>
      </c>
      <c r="F307" s="62">
        <f t="shared" si="23"/>
        <v>0</v>
      </c>
      <c r="G307" s="97">
        <f t="shared" si="23"/>
        <v>0</v>
      </c>
      <c r="H307" s="88">
        <f t="shared" si="23"/>
        <v>163.66664010691608</v>
      </c>
      <c r="I307" s="36"/>
    </row>
    <row r="308" spans="2:10">
      <c r="B308" s="40" t="str">
        <f>$B$47</f>
        <v>Pharmacy</v>
      </c>
      <c r="C308" s="62">
        <f t="shared" si="23"/>
        <v>0</v>
      </c>
      <c r="D308" s="62">
        <f t="shared" si="23"/>
        <v>0</v>
      </c>
      <c r="E308" s="62">
        <f t="shared" si="23"/>
        <v>0</v>
      </c>
      <c r="F308" s="62">
        <f t="shared" si="23"/>
        <v>0</v>
      </c>
      <c r="G308" s="97">
        <f t="shared" si="23"/>
        <v>0</v>
      </c>
      <c r="H308" s="88">
        <f t="shared" si="23"/>
        <v>0</v>
      </c>
      <c r="I308" s="36"/>
    </row>
    <row r="309" spans="2:10">
      <c r="B309" s="40" t="str">
        <f>$B$48</f>
        <v>Business Administration</v>
      </c>
      <c r="C309" s="62">
        <f t="shared" si="23"/>
        <v>91.505206861902366</v>
      </c>
      <c r="D309" s="62">
        <f t="shared" si="23"/>
        <v>73.637444755799507</v>
      </c>
      <c r="E309" s="62">
        <f t="shared" si="23"/>
        <v>76.598338512097897</v>
      </c>
      <c r="F309" s="62">
        <f t="shared" si="23"/>
        <v>265.87609684887434</v>
      </c>
      <c r="G309" s="97">
        <f t="shared" si="23"/>
        <v>0</v>
      </c>
      <c r="H309" s="88">
        <f t="shared" si="23"/>
        <v>111.15353840950706</v>
      </c>
      <c r="I309" s="36"/>
    </row>
    <row r="310" spans="2:10">
      <c r="B310" s="40" t="str">
        <f>$B$49</f>
        <v>Optometry</v>
      </c>
      <c r="C310" s="62">
        <f t="shared" ref="C310:H314" si="24">IF(C49=0,0,C285/C49)</f>
        <v>0</v>
      </c>
      <c r="D310" s="62">
        <f t="shared" si="24"/>
        <v>0</v>
      </c>
      <c r="E310" s="62">
        <f t="shared" si="24"/>
        <v>0</v>
      </c>
      <c r="F310" s="62">
        <f t="shared" si="24"/>
        <v>0</v>
      </c>
      <c r="G310" s="97">
        <f t="shared" si="24"/>
        <v>0</v>
      </c>
      <c r="H310" s="88">
        <f t="shared" si="24"/>
        <v>0</v>
      </c>
      <c r="I310" s="36"/>
    </row>
    <row r="311" spans="2:10">
      <c r="B311" s="40" t="str">
        <f>$B$50</f>
        <v>Teacher Ed-Practice Teaching</v>
      </c>
      <c r="C311" s="62">
        <f t="shared" si="24"/>
        <v>58.476788957532733</v>
      </c>
      <c r="D311" s="62">
        <f t="shared" si="24"/>
        <v>37.533978187757562</v>
      </c>
      <c r="E311" s="62">
        <f t="shared" si="24"/>
        <v>0</v>
      </c>
      <c r="F311" s="62">
        <f t="shared" si="24"/>
        <v>0</v>
      </c>
      <c r="G311" s="97">
        <f t="shared" si="24"/>
        <v>0</v>
      </c>
      <c r="H311" s="88">
        <f t="shared" si="24"/>
        <v>45.911102495667635</v>
      </c>
      <c r="I311" s="36"/>
    </row>
    <row r="312" spans="2:10">
      <c r="B312" s="40" t="str">
        <f>$B$51</f>
        <v>Technology</v>
      </c>
      <c r="C312" s="62">
        <f t="shared" si="24"/>
        <v>73.770858888124806</v>
      </c>
      <c r="D312" s="62">
        <f t="shared" si="24"/>
        <v>53.900641631178054</v>
      </c>
      <c r="E312" s="62">
        <f t="shared" si="24"/>
        <v>58.932019295898471</v>
      </c>
      <c r="F312" s="62">
        <f t="shared" si="24"/>
        <v>0</v>
      </c>
      <c r="G312" s="97">
        <f t="shared" si="24"/>
        <v>0</v>
      </c>
      <c r="H312" s="88">
        <f t="shared" si="24"/>
        <v>62.745175462903759</v>
      </c>
      <c r="I312" s="36"/>
    </row>
    <row r="313" spans="2:10">
      <c r="B313" s="40" t="str">
        <f>$B$52</f>
        <v>Nursing</v>
      </c>
      <c r="C313" s="62">
        <f t="shared" si="24"/>
        <v>0</v>
      </c>
      <c r="D313" s="62">
        <f t="shared" si="24"/>
        <v>0</v>
      </c>
      <c r="E313" s="62">
        <f t="shared" si="24"/>
        <v>0</v>
      </c>
      <c r="F313" s="62">
        <f t="shared" si="24"/>
        <v>0</v>
      </c>
      <c r="G313" s="97">
        <f t="shared" si="24"/>
        <v>0</v>
      </c>
      <c r="H313" s="88">
        <f t="shared" si="24"/>
        <v>0</v>
      </c>
      <c r="I313" s="36"/>
    </row>
    <row r="314" spans="2:10">
      <c r="B314" s="51" t="str">
        <f>$B$53</f>
        <v>Totals</v>
      </c>
      <c r="C314" s="87">
        <f t="shared" si="24"/>
        <v>78.248901819560061</v>
      </c>
      <c r="D314" s="87">
        <f t="shared" si="24"/>
        <v>58.637310581646453</v>
      </c>
      <c r="E314" s="87">
        <f t="shared" si="24"/>
        <v>71.584780883883141</v>
      </c>
      <c r="F314" s="87">
        <f t="shared" si="24"/>
        <v>150.69271484696097</v>
      </c>
      <c r="G314" s="87">
        <f t="shared" si="24"/>
        <v>0</v>
      </c>
      <c r="H314" s="87">
        <f t="shared" si="24"/>
        <v>82.644628099173559</v>
      </c>
      <c r="I314" s="92"/>
    </row>
    <row r="316" spans="2:10">
      <c r="B316" s="54" t="s">
        <v>80</v>
      </c>
      <c r="C316" s="90"/>
      <c r="D316" s="90"/>
      <c r="E316" s="90"/>
      <c r="F316" s="90"/>
      <c r="G316" s="90"/>
      <c r="H316" s="56"/>
      <c r="J316" s="91"/>
    </row>
    <row r="317" spans="2:10" ht="55.5" customHeight="1" thickBot="1">
      <c r="B317" s="105" t="s">
        <v>81</v>
      </c>
      <c r="C317" s="105"/>
      <c r="D317" s="105"/>
      <c r="E317" s="105"/>
      <c r="F317" s="105"/>
      <c r="G317" s="105"/>
      <c r="H317" s="47"/>
    </row>
    <row r="318" spans="2:10" ht="15" thickBot="1">
      <c r="B318" s="37" t="s">
        <v>29</v>
      </c>
      <c r="C318" s="38" t="s">
        <v>20</v>
      </c>
      <c r="D318" s="38" t="s">
        <v>21</v>
      </c>
      <c r="E318" s="38" t="s">
        <v>22</v>
      </c>
      <c r="F318" s="38" t="s">
        <v>23</v>
      </c>
      <c r="G318" s="38" t="s">
        <v>24</v>
      </c>
      <c r="H318" s="36"/>
    </row>
    <row r="319" spans="2:10">
      <c r="B319" s="40" t="str">
        <f>$B$33</f>
        <v>Liberal Arts</v>
      </c>
      <c r="C319" s="98">
        <f t="shared" ref="C319:G328" si="25">IF($C$294=0,"",C294/$C$294)</f>
        <v>1</v>
      </c>
      <c r="D319" s="98">
        <f t="shared" si="25"/>
        <v>0.86200312905327214</v>
      </c>
      <c r="E319" s="98">
        <f t="shared" si="25"/>
        <v>1.0650988189415636</v>
      </c>
      <c r="F319" s="98">
        <f t="shared" si="25"/>
        <v>1.6888286663871308</v>
      </c>
      <c r="G319" s="98">
        <f t="shared" si="25"/>
        <v>0</v>
      </c>
      <c r="H319" s="36"/>
    </row>
    <row r="320" spans="2:10">
      <c r="B320" s="40" t="str">
        <f>$B$34</f>
        <v>Science</v>
      </c>
      <c r="C320" s="98">
        <f t="shared" si="25"/>
        <v>0.88018717467272201</v>
      </c>
      <c r="D320" s="98">
        <f t="shared" si="25"/>
        <v>0.75729003853464549</v>
      </c>
      <c r="E320" s="98">
        <f t="shared" si="25"/>
        <v>1.0285258507953217</v>
      </c>
      <c r="F320" s="98">
        <f t="shared" si="25"/>
        <v>1.9476842015215481</v>
      </c>
      <c r="G320" s="98">
        <f t="shared" si="25"/>
        <v>0</v>
      </c>
      <c r="H320" s="36"/>
    </row>
    <row r="321" spans="2:8">
      <c r="B321" s="40" t="str">
        <f>$B$35</f>
        <v>Fine Arts</v>
      </c>
      <c r="C321" s="98">
        <f t="shared" si="25"/>
        <v>0.74144864503012964</v>
      </c>
      <c r="D321" s="98">
        <f t="shared" si="25"/>
        <v>0.59962183264275204</v>
      </c>
      <c r="E321" s="98">
        <f t="shared" si="25"/>
        <v>0.73396802733056365</v>
      </c>
      <c r="F321" s="98">
        <f t="shared" si="25"/>
        <v>0.83387107672037708</v>
      </c>
      <c r="G321" s="98">
        <f t="shared" si="25"/>
        <v>0</v>
      </c>
      <c r="H321" s="36"/>
    </row>
    <row r="322" spans="2:8">
      <c r="B322" s="40" t="str">
        <f>$B$36</f>
        <v>Teacher Education</v>
      </c>
      <c r="C322" s="98">
        <f t="shared" si="25"/>
        <v>0.66644316101807732</v>
      </c>
      <c r="D322" s="98">
        <f t="shared" si="25"/>
        <v>0.45406496346993436</v>
      </c>
      <c r="E322" s="98">
        <f t="shared" si="25"/>
        <v>0.40453299099042128</v>
      </c>
      <c r="F322" s="98">
        <f t="shared" si="25"/>
        <v>0.77171286693459062</v>
      </c>
      <c r="G322" s="98">
        <f t="shared" si="25"/>
        <v>0</v>
      </c>
      <c r="H322" s="36"/>
    </row>
    <row r="323" spans="2:8">
      <c r="B323" s="40" t="str">
        <f>$B$37</f>
        <v>Agriculture</v>
      </c>
      <c r="C323" s="98">
        <f t="shared" si="25"/>
        <v>0.83569708690177813</v>
      </c>
      <c r="D323" s="98">
        <f t="shared" si="25"/>
        <v>0.68652347463328434</v>
      </c>
      <c r="E323" s="98">
        <f t="shared" si="25"/>
        <v>0</v>
      </c>
      <c r="F323" s="98">
        <f t="shared" si="25"/>
        <v>1.1471143790474512</v>
      </c>
      <c r="G323" s="98">
        <f t="shared" si="25"/>
        <v>0</v>
      </c>
      <c r="H323" s="36"/>
    </row>
    <row r="324" spans="2:8">
      <c r="B324" s="40" t="str">
        <f>$B$38</f>
        <v>Engineering</v>
      </c>
      <c r="C324" s="98">
        <f t="shared" si="25"/>
        <v>0.85628728514505714</v>
      </c>
      <c r="D324" s="98">
        <f t="shared" si="25"/>
        <v>0.72939899304038203</v>
      </c>
      <c r="E324" s="98">
        <f t="shared" si="25"/>
        <v>0.91519228995175461</v>
      </c>
      <c r="F324" s="98">
        <f t="shared" si="25"/>
        <v>1.5297300382774883</v>
      </c>
      <c r="G324" s="98">
        <f t="shared" si="25"/>
        <v>0</v>
      </c>
      <c r="H324" s="36"/>
    </row>
    <row r="325" spans="2:8">
      <c r="B325" s="40" t="str">
        <f>$B$39</f>
        <v>Home Economics</v>
      </c>
      <c r="C325" s="98">
        <f t="shared" si="25"/>
        <v>0.65889373617673985</v>
      </c>
      <c r="D325" s="98">
        <f t="shared" si="25"/>
        <v>0.47291894561710807</v>
      </c>
      <c r="E325" s="98">
        <f t="shared" si="25"/>
        <v>0.45211839148788824</v>
      </c>
      <c r="F325" s="98">
        <f t="shared" si="25"/>
        <v>0.71816100458885002</v>
      </c>
      <c r="G325" s="98">
        <f t="shared" si="25"/>
        <v>0</v>
      </c>
      <c r="H325" s="36"/>
    </row>
    <row r="326" spans="2:8">
      <c r="B326" s="40" t="str">
        <f>$B$40</f>
        <v>Law</v>
      </c>
      <c r="C326" s="98">
        <f t="shared" si="25"/>
        <v>0</v>
      </c>
      <c r="D326" s="98">
        <f t="shared" si="25"/>
        <v>0</v>
      </c>
      <c r="E326" s="98">
        <f t="shared" si="25"/>
        <v>0</v>
      </c>
      <c r="F326" s="98">
        <f t="shared" si="25"/>
        <v>0</v>
      </c>
      <c r="G326" s="98">
        <f t="shared" si="25"/>
        <v>0</v>
      </c>
      <c r="H326" s="36"/>
    </row>
    <row r="327" spans="2:8">
      <c r="B327" s="40" t="str">
        <f>$B$41</f>
        <v>Social Service</v>
      </c>
      <c r="C327" s="98">
        <f t="shared" si="25"/>
        <v>0.70718894414335254</v>
      </c>
      <c r="D327" s="98">
        <f t="shared" si="25"/>
        <v>0.48301173915630169</v>
      </c>
      <c r="E327" s="98">
        <f t="shared" si="25"/>
        <v>0.44136438456663096</v>
      </c>
      <c r="F327" s="98">
        <f t="shared" si="25"/>
        <v>1.2045291379713445</v>
      </c>
      <c r="G327" s="98">
        <f t="shared" si="25"/>
        <v>0</v>
      </c>
      <c r="H327" s="36"/>
    </row>
    <row r="328" spans="2:8">
      <c r="B328" s="40" t="str">
        <f>$B$42</f>
        <v>Library Science</v>
      </c>
      <c r="C328" s="98">
        <f t="shared" si="25"/>
        <v>0.65100055279682889</v>
      </c>
      <c r="D328" s="98">
        <f t="shared" si="25"/>
        <v>0.41478878003020736</v>
      </c>
      <c r="E328" s="98">
        <f t="shared" si="25"/>
        <v>0.43099032589463537</v>
      </c>
      <c r="F328" s="98">
        <f t="shared" si="25"/>
        <v>0.71137493425432297</v>
      </c>
      <c r="G328" s="98">
        <f t="shared" si="25"/>
        <v>0</v>
      </c>
      <c r="H328" s="36"/>
    </row>
    <row r="329" spans="2:8">
      <c r="B329" s="40" t="str">
        <f>$B$43</f>
        <v>Veterinary Science</v>
      </c>
      <c r="C329" s="98">
        <f t="shared" ref="C329:G338" si="26">IF($C$294=0,"",C304/$C$294)</f>
        <v>0</v>
      </c>
      <c r="D329" s="98">
        <f t="shared" si="26"/>
        <v>0</v>
      </c>
      <c r="E329" s="98">
        <f t="shared" si="26"/>
        <v>0</v>
      </c>
      <c r="F329" s="98">
        <f t="shared" si="26"/>
        <v>0</v>
      </c>
      <c r="G329" s="98">
        <f t="shared" si="26"/>
        <v>0</v>
      </c>
      <c r="H329" s="36"/>
    </row>
    <row r="330" spans="2:8">
      <c r="B330" s="40" t="str">
        <f>$B$44</f>
        <v>Vocational Training</v>
      </c>
      <c r="C330" s="98">
        <f t="shared" si="26"/>
        <v>0.5770132714208609</v>
      </c>
      <c r="D330" s="98">
        <f t="shared" si="26"/>
        <v>0.36589864956726592</v>
      </c>
      <c r="E330" s="98">
        <f t="shared" si="26"/>
        <v>0</v>
      </c>
      <c r="F330" s="98">
        <f t="shared" si="26"/>
        <v>0</v>
      </c>
      <c r="G330" s="98">
        <f t="shared" si="26"/>
        <v>0</v>
      </c>
      <c r="H330" s="36"/>
    </row>
    <row r="331" spans="2:8">
      <c r="B331" s="40" t="str">
        <f>$B$45</f>
        <v>Physical Training</v>
      </c>
      <c r="C331" s="98">
        <f t="shared" si="26"/>
        <v>0.55108192638861631</v>
      </c>
      <c r="D331" s="98">
        <f t="shared" si="26"/>
        <v>0.32267974118019155</v>
      </c>
      <c r="E331" s="98">
        <f t="shared" si="26"/>
        <v>0</v>
      </c>
      <c r="F331" s="98">
        <f t="shared" si="26"/>
        <v>0</v>
      </c>
      <c r="G331" s="98">
        <f t="shared" si="26"/>
        <v>0</v>
      </c>
      <c r="H331" s="36"/>
    </row>
    <row r="332" spans="2:8">
      <c r="B332" s="40" t="str">
        <f>$B$46</f>
        <v>Health Services</v>
      </c>
      <c r="C332" s="98">
        <f t="shared" si="26"/>
        <v>0.904366717029228</v>
      </c>
      <c r="D332" s="98">
        <f t="shared" si="26"/>
        <v>0.74688966755313335</v>
      </c>
      <c r="E332" s="98">
        <f t="shared" si="26"/>
        <v>0</v>
      </c>
      <c r="F332" s="98">
        <f t="shared" si="26"/>
        <v>0</v>
      </c>
      <c r="G332" s="98">
        <f t="shared" si="26"/>
        <v>0</v>
      </c>
      <c r="H332" s="36"/>
    </row>
    <row r="333" spans="2:8">
      <c r="B333" s="40" t="str">
        <f>$B$47</f>
        <v>Pharmacy</v>
      </c>
      <c r="C333" s="98">
        <f t="shared" si="26"/>
        <v>0</v>
      </c>
      <c r="D333" s="98">
        <f t="shared" si="26"/>
        <v>0</v>
      </c>
      <c r="E333" s="98">
        <f t="shared" si="26"/>
        <v>0</v>
      </c>
      <c r="F333" s="98">
        <f t="shared" si="26"/>
        <v>0</v>
      </c>
      <c r="G333" s="98">
        <f t="shared" si="26"/>
        <v>0</v>
      </c>
      <c r="H333" s="36"/>
    </row>
    <row r="334" spans="2:8">
      <c r="B334" s="40" t="str">
        <f>$B$48</f>
        <v>Business Administration</v>
      </c>
      <c r="C334" s="98">
        <f t="shared" si="26"/>
        <v>0.86524194606062887</v>
      </c>
      <c r="D334" s="98">
        <f t="shared" si="26"/>
        <v>0.69629049743143123</v>
      </c>
      <c r="E334" s="98">
        <f t="shared" si="26"/>
        <v>0.7242876963191921</v>
      </c>
      <c r="F334" s="98">
        <f t="shared" si="26"/>
        <v>2.5140334559945461</v>
      </c>
      <c r="G334" s="98">
        <f t="shared" si="26"/>
        <v>0</v>
      </c>
      <c r="H334" s="36"/>
    </row>
    <row r="335" spans="2:8">
      <c r="B335" s="40" t="str">
        <f>$B$49</f>
        <v>Optometry</v>
      </c>
      <c r="C335" s="98">
        <f t="shared" si="26"/>
        <v>0</v>
      </c>
      <c r="D335" s="98">
        <f t="shared" si="26"/>
        <v>0</v>
      </c>
      <c r="E335" s="98">
        <f t="shared" si="26"/>
        <v>0</v>
      </c>
      <c r="F335" s="98">
        <f t="shared" si="26"/>
        <v>0</v>
      </c>
      <c r="G335" s="98">
        <f t="shared" si="26"/>
        <v>0</v>
      </c>
      <c r="H335" s="36"/>
    </row>
    <row r="336" spans="2:8">
      <c r="B336" s="40" t="str">
        <f>$B$50</f>
        <v>Teacher Ed-Practice Teaching</v>
      </c>
      <c r="C336" s="98">
        <f t="shared" si="26"/>
        <v>0.55293652035945384</v>
      </c>
      <c r="D336" s="98">
        <f t="shared" si="26"/>
        <v>0.35490846307341362</v>
      </c>
      <c r="E336" s="98">
        <f t="shared" si="26"/>
        <v>0</v>
      </c>
      <c r="F336" s="98">
        <f t="shared" si="26"/>
        <v>0</v>
      </c>
      <c r="G336" s="98">
        <f t="shared" si="26"/>
        <v>0</v>
      </c>
      <c r="H336" s="36"/>
    </row>
    <row r="337" spans="2:10">
      <c r="B337" s="40" t="str">
        <f>$B$51</f>
        <v>Technology</v>
      </c>
      <c r="C337" s="98">
        <f t="shared" si="26"/>
        <v>0.69755201584599913</v>
      </c>
      <c r="D337" s="98">
        <f t="shared" si="26"/>
        <v>0.50966603604602223</v>
      </c>
      <c r="E337" s="98">
        <f t="shared" si="26"/>
        <v>0.5572410227739214</v>
      </c>
      <c r="F337" s="98">
        <f t="shared" si="26"/>
        <v>0</v>
      </c>
      <c r="G337" s="98">
        <f t="shared" si="26"/>
        <v>0</v>
      </c>
      <c r="H337" s="36"/>
    </row>
    <row r="338" spans="2:10">
      <c r="B338" s="40" t="str">
        <f>$B$52</f>
        <v>Nursing</v>
      </c>
      <c r="C338" s="98">
        <f t="shared" si="26"/>
        <v>0</v>
      </c>
      <c r="D338" s="98">
        <f t="shared" si="26"/>
        <v>0</v>
      </c>
      <c r="E338" s="98">
        <f t="shared" si="26"/>
        <v>0</v>
      </c>
      <c r="F338" s="98">
        <f t="shared" si="26"/>
        <v>0</v>
      </c>
      <c r="G338" s="98">
        <f t="shared" si="26"/>
        <v>0</v>
      </c>
      <c r="H338" s="36"/>
    </row>
    <row r="340" spans="2:10">
      <c r="B340" s="54" t="s">
        <v>82</v>
      </c>
      <c r="C340" s="90"/>
      <c r="D340" s="90"/>
      <c r="E340" s="90"/>
      <c r="F340" s="90"/>
      <c r="G340" s="90"/>
      <c r="H340" s="56"/>
      <c r="J340" s="91"/>
    </row>
    <row r="341" spans="2:10" ht="55.5" customHeight="1" thickBot="1">
      <c r="B341" s="100" t="s">
        <v>83</v>
      </c>
      <c r="C341" s="100"/>
      <c r="D341" s="100"/>
      <c r="E341" s="100"/>
      <c r="F341" s="100"/>
      <c r="G341" s="100"/>
      <c r="H341" s="100"/>
    </row>
    <row r="342" spans="2:10" ht="15" thickBot="1">
      <c r="B342" s="37" t="s">
        <v>29</v>
      </c>
      <c r="C342" s="38" t="s">
        <v>20</v>
      </c>
      <c r="D342" s="38" t="s">
        <v>21</v>
      </c>
      <c r="E342" s="38" t="s">
        <v>22</v>
      </c>
      <c r="F342" s="38" t="s">
        <v>23</v>
      </c>
      <c r="G342" s="38" t="s">
        <v>24</v>
      </c>
      <c r="H342" s="39" t="s">
        <v>14</v>
      </c>
      <c r="I342" s="36"/>
    </row>
    <row r="343" spans="2:10">
      <c r="B343" s="40" t="str">
        <f>$B$33</f>
        <v>Liberal Arts</v>
      </c>
      <c r="C343" s="87">
        <f t="shared" ref="C343:D358" si="27">C294*30</f>
        <v>3172.7035638476937</v>
      </c>
      <c r="D343" s="87">
        <f t="shared" si="27"/>
        <v>2734.8803995951798</v>
      </c>
      <c r="E343" s="87">
        <f>E294*24</f>
        <v>2703.3942549646945</v>
      </c>
      <c r="F343" s="87">
        <f>F294*18</f>
        <v>3214.8916371447585</v>
      </c>
      <c r="G343" s="87">
        <f>G294*24</f>
        <v>0</v>
      </c>
      <c r="H343" s="87">
        <f t="shared" ref="H343:H363" si="28">IF((C33/30+D33/30+E33/12+F33/9+G33/12)=0,0,H269/(C33/30+D33/30+E33/12+F33/9+G33/12))</f>
        <v>2465.0604001045358</v>
      </c>
      <c r="I343" s="36"/>
    </row>
    <row r="344" spans="2:10">
      <c r="B344" s="40" t="str">
        <f>$B$34</f>
        <v>Science</v>
      </c>
      <c r="C344" s="88">
        <f t="shared" si="27"/>
        <v>2792.5729859371772</v>
      </c>
      <c r="D344" s="88">
        <f t="shared" si="27"/>
        <v>2402.6568041252272</v>
      </c>
      <c r="E344" s="88">
        <f>E295*24</f>
        <v>2610.5661058622381</v>
      </c>
      <c r="F344" s="88">
        <f>F295*18</f>
        <v>3707.6547644503594</v>
      </c>
      <c r="G344" s="88">
        <f>G295*24</f>
        <v>0</v>
      </c>
      <c r="H344" s="88">
        <f t="shared" si="28"/>
        <v>1822.6288177882354</v>
      </c>
      <c r="I344" s="36"/>
    </row>
    <row r="345" spans="2:10">
      <c r="B345" s="40" t="str">
        <f>$B$35</f>
        <v>Fine Arts</v>
      </c>
      <c r="C345" s="88">
        <f t="shared" si="27"/>
        <v>2352.396758497136</v>
      </c>
      <c r="D345" s="88">
        <f t="shared" si="27"/>
        <v>1902.4223253865448</v>
      </c>
      <c r="E345" s="88">
        <f t="shared" ref="E345:E363" si="29">E296*24</f>
        <v>1862.9303808495524</v>
      </c>
      <c r="F345" s="88">
        <f t="shared" ref="F345:F363" si="30">F296*18</f>
        <v>1587.3754421401522</v>
      </c>
      <c r="G345" s="88">
        <f t="shared" ref="G345:G363" si="31">G296*24</f>
        <v>0</v>
      </c>
      <c r="H345" s="88">
        <f t="shared" si="28"/>
        <v>1282.9235899687642</v>
      </c>
      <c r="I345" s="36"/>
    </row>
    <row r="346" spans="2:10">
      <c r="B346" s="40" t="str">
        <f>$B$36</f>
        <v>Teacher Education</v>
      </c>
      <c r="C346" s="88">
        <f t="shared" si="27"/>
        <v>2114.4265920639764</v>
      </c>
      <c r="D346" s="88">
        <f t="shared" si="27"/>
        <v>1440.6135278194336</v>
      </c>
      <c r="E346" s="88">
        <f t="shared" si="29"/>
        <v>1026.7706097674213</v>
      </c>
      <c r="F346" s="88">
        <f t="shared" si="30"/>
        <v>1469.0496979142979</v>
      </c>
      <c r="G346" s="88">
        <f t="shared" si="31"/>
        <v>0</v>
      </c>
      <c r="H346" s="88">
        <f t="shared" si="28"/>
        <v>785.65096819230928</v>
      </c>
      <c r="I346" s="36"/>
    </row>
    <row r="347" spans="2:10">
      <c r="B347" s="40" t="str">
        <f>$B$37</f>
        <v>Agriculture</v>
      </c>
      <c r="C347" s="88">
        <f t="shared" si="27"/>
        <v>2651.4191259104073</v>
      </c>
      <c r="D347" s="88">
        <f t="shared" si="27"/>
        <v>2178.1354746341226</v>
      </c>
      <c r="E347" s="88">
        <f t="shared" si="29"/>
        <v>0</v>
      </c>
      <c r="F347" s="88">
        <f t="shared" si="30"/>
        <v>2183.6723271268693</v>
      </c>
      <c r="G347" s="88">
        <f t="shared" si="31"/>
        <v>0</v>
      </c>
      <c r="H347" s="88">
        <f t="shared" si="28"/>
        <v>1381.8785569272377</v>
      </c>
      <c r="I347" s="36"/>
    </row>
    <row r="348" spans="2:10">
      <c r="B348" s="40" t="str">
        <f>$B$38</f>
        <v>Engineering</v>
      </c>
      <c r="C348" s="88">
        <f t="shared" si="27"/>
        <v>2716.745721257189</v>
      </c>
      <c r="D348" s="88">
        <f t="shared" si="27"/>
        <v>2314.1667846861392</v>
      </c>
      <c r="E348" s="88">
        <f t="shared" si="29"/>
        <v>2322.9070719486908</v>
      </c>
      <c r="F348" s="88">
        <f t="shared" si="30"/>
        <v>2912.0279665007138</v>
      </c>
      <c r="G348" s="88">
        <f t="shared" si="31"/>
        <v>0</v>
      </c>
      <c r="H348" s="88">
        <f t="shared" si="28"/>
        <v>1614.3724364296772</v>
      </c>
      <c r="I348" s="36"/>
    </row>
    <row r="349" spans="2:10">
      <c r="B349" s="40" t="str">
        <f>$B$39</f>
        <v>Home Economics</v>
      </c>
      <c r="C349" s="88">
        <f t="shared" si="27"/>
        <v>2090.4745049648645</v>
      </c>
      <c r="D349" s="88">
        <f t="shared" si="27"/>
        <v>1500.4316241704923</v>
      </c>
      <c r="E349" s="88">
        <f t="shared" si="29"/>
        <v>1147.5501055637678</v>
      </c>
      <c r="F349" s="88">
        <f t="shared" si="30"/>
        <v>1367.1071872052905</v>
      </c>
      <c r="G349" s="88">
        <f t="shared" si="31"/>
        <v>0</v>
      </c>
      <c r="H349" s="88">
        <f t="shared" si="28"/>
        <v>769.44107968970741</v>
      </c>
      <c r="I349" s="36"/>
    </row>
    <row r="350" spans="2:10">
      <c r="B350" s="40" t="str">
        <f>$B$40</f>
        <v>Law</v>
      </c>
      <c r="C350" s="88">
        <f t="shared" si="27"/>
        <v>0</v>
      </c>
      <c r="D350" s="88">
        <f t="shared" si="27"/>
        <v>0</v>
      </c>
      <c r="E350" s="88">
        <f t="shared" si="29"/>
        <v>0</v>
      </c>
      <c r="F350" s="88">
        <f t="shared" si="30"/>
        <v>0</v>
      </c>
      <c r="G350" s="88">
        <f t="shared" si="31"/>
        <v>0</v>
      </c>
      <c r="H350" s="88">
        <f t="shared" si="28"/>
        <v>0</v>
      </c>
      <c r="I350" s="36"/>
    </row>
    <row r="351" spans="2:10">
      <c r="B351" s="40" t="str">
        <f>$B$41</f>
        <v>Social Service</v>
      </c>
      <c r="C351" s="88">
        <f t="shared" si="27"/>
        <v>2243.7008833973023</v>
      </c>
      <c r="D351" s="88">
        <f t="shared" si="27"/>
        <v>1532.4530662014711</v>
      </c>
      <c r="E351" s="88">
        <f t="shared" si="29"/>
        <v>1120.2546846959951</v>
      </c>
      <c r="F351" s="88">
        <f t="shared" si="30"/>
        <v>2292.968333280045</v>
      </c>
      <c r="G351" s="88">
        <f t="shared" si="31"/>
        <v>0</v>
      </c>
      <c r="H351" s="88">
        <f t="shared" si="28"/>
        <v>1067.0400983732288</v>
      </c>
      <c r="I351" s="36"/>
    </row>
    <row r="352" spans="2:10">
      <c r="B352" s="40" t="str">
        <f>$B$42</f>
        <v>Library Science</v>
      </c>
      <c r="C352" s="88">
        <f t="shared" si="27"/>
        <v>2065.4317739253179</v>
      </c>
      <c r="D352" s="88">
        <f t="shared" si="27"/>
        <v>1316.001840645876</v>
      </c>
      <c r="E352" s="88">
        <f t="shared" si="29"/>
        <v>1093.9236343598309</v>
      </c>
      <c r="F352" s="88">
        <f t="shared" si="30"/>
        <v>1354.1890734843655</v>
      </c>
      <c r="G352" s="88">
        <f t="shared" si="31"/>
        <v>0</v>
      </c>
      <c r="H352" s="88">
        <f t="shared" si="28"/>
        <v>917.06012272644762</v>
      </c>
      <c r="I352" s="36"/>
    </row>
    <row r="353" spans="2:9">
      <c r="B353" s="40" t="str">
        <f>$B$43</f>
        <v>Veterinary Science</v>
      </c>
      <c r="C353" s="88">
        <f t="shared" si="27"/>
        <v>0</v>
      </c>
      <c r="D353" s="88">
        <f t="shared" si="27"/>
        <v>0</v>
      </c>
      <c r="E353" s="88">
        <f t="shared" si="29"/>
        <v>0</v>
      </c>
      <c r="F353" s="88">
        <f t="shared" si="30"/>
        <v>0</v>
      </c>
      <c r="G353" s="88">
        <f t="shared" si="31"/>
        <v>0</v>
      </c>
      <c r="H353" s="88">
        <f t="shared" si="28"/>
        <v>0</v>
      </c>
      <c r="I353" s="36"/>
    </row>
    <row r="354" spans="2:9">
      <c r="B354" s="40" t="str">
        <f>$B$44</f>
        <v>Vocational Training</v>
      </c>
      <c r="C354" s="88">
        <f t="shared" si="27"/>
        <v>1830.6920626243818</v>
      </c>
      <c r="D354" s="88">
        <f t="shared" si="27"/>
        <v>1160.887949489123</v>
      </c>
      <c r="E354" s="88">
        <f t="shared" si="29"/>
        <v>0</v>
      </c>
      <c r="F354" s="88">
        <f t="shared" si="30"/>
        <v>0</v>
      </c>
      <c r="G354" s="88">
        <f t="shared" si="31"/>
        <v>0</v>
      </c>
      <c r="H354" s="88">
        <f t="shared" si="28"/>
        <v>1509.744258413737</v>
      </c>
      <c r="I354" s="36"/>
    </row>
    <row r="355" spans="2:9">
      <c r="B355" s="40" t="str">
        <f>$B$45</f>
        <v>Physical Training</v>
      </c>
      <c r="C355" s="88">
        <f t="shared" si="27"/>
        <v>1748.4195918252153</v>
      </c>
      <c r="D355" s="88">
        <f t="shared" si="27"/>
        <v>1023.7671648238452</v>
      </c>
      <c r="E355" s="88">
        <f t="shared" si="29"/>
        <v>0</v>
      </c>
      <c r="F355" s="88">
        <f t="shared" si="30"/>
        <v>0</v>
      </c>
      <c r="G355" s="88">
        <f t="shared" si="31"/>
        <v>0</v>
      </c>
      <c r="H355" s="88">
        <f t="shared" si="28"/>
        <v>1390.0749850662958</v>
      </c>
      <c r="I355" s="36"/>
    </row>
    <row r="356" spans="2:9">
      <c r="B356" s="40" t="str">
        <f>$B$46</f>
        <v>Health Services</v>
      </c>
      <c r="C356" s="88">
        <f t="shared" si="27"/>
        <v>2869.2875061438704</v>
      </c>
      <c r="D356" s="88">
        <f t="shared" si="27"/>
        <v>2369.6595100468453</v>
      </c>
      <c r="E356" s="88">
        <f t="shared" si="29"/>
        <v>0</v>
      </c>
      <c r="F356" s="88">
        <f t="shared" si="30"/>
        <v>0</v>
      </c>
      <c r="G356" s="88">
        <f t="shared" si="31"/>
        <v>0</v>
      </c>
      <c r="H356" s="88">
        <f t="shared" si="28"/>
        <v>4909.9992032074824</v>
      </c>
      <c r="I356" s="36"/>
    </row>
    <row r="357" spans="2:9">
      <c r="B357" s="40" t="str">
        <f>$B$47</f>
        <v>Pharmacy</v>
      </c>
      <c r="C357" s="88">
        <f t="shared" si="27"/>
        <v>0</v>
      </c>
      <c r="D357" s="88">
        <f t="shared" si="27"/>
        <v>0</v>
      </c>
      <c r="E357" s="88">
        <f t="shared" si="29"/>
        <v>0</v>
      </c>
      <c r="F357" s="88">
        <f t="shared" si="30"/>
        <v>0</v>
      </c>
      <c r="G357" s="88">
        <f t="shared" si="31"/>
        <v>0</v>
      </c>
      <c r="H357" s="88">
        <f t="shared" si="28"/>
        <v>0</v>
      </c>
      <c r="I357" s="36"/>
    </row>
    <row r="358" spans="2:9">
      <c r="B358" s="40" t="str">
        <f>$B$48</f>
        <v>Business Administration</v>
      </c>
      <c r="C358" s="88">
        <f t="shared" si="27"/>
        <v>2745.1562058570707</v>
      </c>
      <c r="D358" s="88">
        <f t="shared" si="27"/>
        <v>2209.123342673985</v>
      </c>
      <c r="E358" s="88">
        <f t="shared" si="29"/>
        <v>1838.3601242903496</v>
      </c>
      <c r="F358" s="88">
        <f t="shared" si="30"/>
        <v>4785.7697432797377</v>
      </c>
      <c r="G358" s="88">
        <f t="shared" si="31"/>
        <v>0</v>
      </c>
      <c r="H358" s="88">
        <f t="shared" si="28"/>
        <v>2026.4510996768904</v>
      </c>
      <c r="I358" s="36"/>
    </row>
    <row r="359" spans="2:9">
      <c r="B359" s="40" t="str">
        <f>$B$49</f>
        <v>Optometry</v>
      </c>
      <c r="C359" s="88">
        <f t="shared" ref="C359:D363" si="32">C310*30</f>
        <v>0</v>
      </c>
      <c r="D359" s="88">
        <f t="shared" si="32"/>
        <v>0</v>
      </c>
      <c r="E359" s="88">
        <f t="shared" si="29"/>
        <v>0</v>
      </c>
      <c r="F359" s="88">
        <f t="shared" si="30"/>
        <v>0</v>
      </c>
      <c r="G359" s="88">
        <f t="shared" si="31"/>
        <v>0</v>
      </c>
      <c r="H359" s="88">
        <f t="shared" si="28"/>
        <v>0</v>
      </c>
      <c r="I359" s="36"/>
    </row>
    <row r="360" spans="2:9">
      <c r="B360" s="40" t="str">
        <f>$B$50</f>
        <v>Teacher Ed-Practice Teaching</v>
      </c>
      <c r="C360" s="88">
        <f t="shared" si="32"/>
        <v>1754.3036687259819</v>
      </c>
      <c r="D360" s="88">
        <f t="shared" si="32"/>
        <v>1126.0193456327268</v>
      </c>
      <c r="E360" s="88">
        <f t="shared" si="29"/>
        <v>0</v>
      </c>
      <c r="F360" s="88">
        <f t="shared" si="30"/>
        <v>0</v>
      </c>
      <c r="G360" s="88">
        <f t="shared" si="31"/>
        <v>0</v>
      </c>
      <c r="H360" s="88">
        <f t="shared" si="28"/>
        <v>1377.3330748700289</v>
      </c>
      <c r="I360" s="36"/>
    </row>
    <row r="361" spans="2:9">
      <c r="B361" s="40" t="str">
        <f>$B$51</f>
        <v>Technology</v>
      </c>
      <c r="C361" s="88">
        <f t="shared" si="32"/>
        <v>2213.1257666437441</v>
      </c>
      <c r="D361" s="88">
        <f t="shared" si="32"/>
        <v>1617.0192489353417</v>
      </c>
      <c r="E361" s="88">
        <f t="shared" si="29"/>
        <v>1414.3684631015633</v>
      </c>
      <c r="F361" s="88">
        <f t="shared" si="30"/>
        <v>0</v>
      </c>
      <c r="G361" s="88">
        <f t="shared" si="31"/>
        <v>0</v>
      </c>
      <c r="H361" s="88">
        <f t="shared" si="28"/>
        <v>1149.5299321448017</v>
      </c>
      <c r="I361" s="36"/>
    </row>
    <row r="362" spans="2:9">
      <c r="B362" s="40" t="str">
        <f>$B$52</f>
        <v>Nursing</v>
      </c>
      <c r="C362" s="88">
        <f t="shared" si="32"/>
        <v>0</v>
      </c>
      <c r="D362" s="88">
        <f t="shared" si="32"/>
        <v>0</v>
      </c>
      <c r="E362" s="88">
        <f t="shared" si="29"/>
        <v>0</v>
      </c>
      <c r="F362" s="88">
        <f t="shared" si="30"/>
        <v>0</v>
      </c>
      <c r="G362" s="88">
        <f t="shared" si="31"/>
        <v>0</v>
      </c>
      <c r="H362" s="88">
        <f t="shared" si="28"/>
        <v>0</v>
      </c>
      <c r="I362" s="36"/>
    </row>
    <row r="363" spans="2:9">
      <c r="B363" s="51" t="str">
        <f>$B$53</f>
        <v>Totals</v>
      </c>
      <c r="C363" s="87">
        <f t="shared" si="32"/>
        <v>2347.4670545868016</v>
      </c>
      <c r="D363" s="87">
        <f t="shared" si="32"/>
        <v>1759.1193174493935</v>
      </c>
      <c r="E363" s="87">
        <f t="shared" si="29"/>
        <v>1718.0347412131955</v>
      </c>
      <c r="F363" s="87">
        <f t="shared" si="30"/>
        <v>2712.4688672452976</v>
      </c>
      <c r="G363" s="87">
        <f t="shared" si="31"/>
        <v>0</v>
      </c>
      <c r="H363" s="87">
        <f t="shared" si="28"/>
        <v>1421.2396367943149</v>
      </c>
      <c r="I363" s="92"/>
    </row>
  </sheetData>
  <mergeCells count="47">
    <mergeCell ref="B18:E18"/>
    <mergeCell ref="B2:H2"/>
    <mergeCell ref="B3:H3"/>
    <mergeCell ref="B9:H9"/>
    <mergeCell ref="B10:G10"/>
    <mergeCell ref="B11:G11"/>
    <mergeCell ref="B12:H12"/>
    <mergeCell ref="B13:E13"/>
    <mergeCell ref="B14:E14"/>
    <mergeCell ref="B15:E15"/>
    <mergeCell ref="B16:E16"/>
    <mergeCell ref="B17:E17"/>
    <mergeCell ref="B85:C85"/>
    <mergeCell ref="D85:F85"/>
    <mergeCell ref="B19:E19"/>
    <mergeCell ref="D21:F21"/>
    <mergeCell ref="B22:C22"/>
    <mergeCell ref="D22:F22"/>
    <mergeCell ref="D28:F28"/>
    <mergeCell ref="B29:C29"/>
    <mergeCell ref="D29:F29"/>
    <mergeCell ref="D55:F55"/>
    <mergeCell ref="B56:C56"/>
    <mergeCell ref="D56:F56"/>
    <mergeCell ref="B59:G59"/>
    <mergeCell ref="D84:F84"/>
    <mergeCell ref="B192:H192"/>
    <mergeCell ref="B88:G88"/>
    <mergeCell ref="B90:G90"/>
    <mergeCell ref="B114:H114"/>
    <mergeCell ref="B115:G115"/>
    <mergeCell ref="B140:G140"/>
    <mergeCell ref="B141:E142"/>
    <mergeCell ref="F141:G141"/>
    <mergeCell ref="I141:I142"/>
    <mergeCell ref="F142:G142"/>
    <mergeCell ref="B166:G166"/>
    <mergeCell ref="B167:G167"/>
    <mergeCell ref="B191:G191"/>
    <mergeCell ref="B341:H341"/>
    <mergeCell ref="B216:G216"/>
    <mergeCell ref="B217:H217"/>
    <mergeCell ref="B242:G242"/>
    <mergeCell ref="B265:H265"/>
    <mergeCell ref="B267:H267"/>
    <mergeCell ref="B292:H292"/>
    <mergeCell ref="B317:G317"/>
  </mergeCells>
  <conditionalFormatting sqref="B8:G8">
    <cfRule type="expression" dxfId="12" priority="13" stopIfTrue="1">
      <formula>#REF!&gt;5</formula>
    </cfRule>
  </conditionalFormatting>
  <conditionalFormatting sqref="C92:G111">
    <cfRule type="expression" dxfId="11" priority="12" stopIfTrue="1">
      <formula>C33=0</formula>
    </cfRule>
  </conditionalFormatting>
  <conditionalFormatting sqref="C144:G163">
    <cfRule type="expression" dxfId="10" priority="11" stopIfTrue="1">
      <formula>C33=0</formula>
    </cfRule>
  </conditionalFormatting>
  <conditionalFormatting sqref="C62:G81">
    <cfRule type="expression" dxfId="9" priority="10" stopIfTrue="1">
      <formula>C33=0</formula>
    </cfRule>
  </conditionalFormatting>
  <conditionalFormatting sqref="C26">
    <cfRule type="expression" dxfId="8" priority="9" stopIfTrue="1">
      <formula>C53=0</formula>
    </cfRule>
  </conditionalFormatting>
  <conditionalFormatting sqref="D26:G26">
    <cfRule type="expression" dxfId="7" priority="8" stopIfTrue="1">
      <formula>D53=0</formula>
    </cfRule>
  </conditionalFormatting>
  <conditionalFormatting sqref="C26:G26">
    <cfRule type="expression" dxfId="6" priority="7" stopIfTrue="1">
      <formula>AND(C53=0,C26&gt;0)</formula>
    </cfRule>
  </conditionalFormatting>
  <conditionalFormatting sqref="C117:G136">
    <cfRule type="expression" dxfId="5" priority="6" stopIfTrue="1">
      <formula>C33=0</formula>
    </cfRule>
  </conditionalFormatting>
  <conditionalFormatting sqref="H144:H163">
    <cfRule type="expression" dxfId="4" priority="5" stopIfTrue="1">
      <formula>OR(AND(#REF!&gt;0,H144&gt;0,H62=0),AND(#REF!&gt;0,H144&gt;0,H33=0))</formula>
    </cfRule>
  </conditionalFormatting>
  <conditionalFormatting sqref="H189">
    <cfRule type="expression" dxfId="3" priority="4" stopIfTrue="1">
      <formula>$H$189&lt;&gt;$I$164</formula>
    </cfRule>
  </conditionalFormatting>
  <conditionalFormatting sqref="H289">
    <cfRule type="expression" dxfId="2" priority="3" stopIfTrue="1">
      <formula>ROUND($H$289,-1)&lt;&gt;ROUND($H$19,-1)</formula>
    </cfRule>
  </conditionalFormatting>
  <conditionalFormatting sqref="C294:G313">
    <cfRule type="expression" dxfId="1" priority="2" stopIfTrue="1">
      <formula>C33=0</formula>
    </cfRule>
  </conditionalFormatting>
  <conditionalFormatting sqref="C269:G288">
    <cfRule type="expression" dxfId="0" priority="1" stopIfTrue="1">
      <formula>C33=0</formula>
    </cfRule>
  </conditionalFormatting>
  <pageMargins left="0.25" right="0.25" top="0.5" bottom="0.5" header="0.17" footer="0.17"/>
  <pageSetup scale="69" fitToHeight="0" orientation="portrait" r:id="rId1"/>
  <headerFooter alignWithMargins="0"/>
  <rowBreaks count="6" manualBreakCount="6">
    <brk id="57" max="16383" man="1"/>
    <brk id="113" max="16383" man="1"/>
    <brk id="165" max="16383" man="1"/>
    <brk id="215" max="16383" man="1"/>
    <brk id="265" max="16383" man="1"/>
    <brk id="315" max="16383" man="1"/>
  </rowBreaks>
  <ignoredErrors>
    <ignoredError sqref="F343:F363 H17" formula="1"/>
    <ignoredError sqref="B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UTA</vt:lpstr>
      <vt:lpstr>Academic</vt:lpstr>
      <vt:lpstr>DOE</vt:lpstr>
      <vt:lpstr>Institute</vt:lpstr>
      <vt:lpstr>Institution</vt:lpstr>
      <vt:lpstr>Salary</vt:lpstr>
      <vt:lpstr>Student</vt:lpstr>
    </vt:vector>
  </TitlesOfParts>
  <Company>THECB</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Turcotte</dc:creator>
  <cp:lastModifiedBy>Paul Turcotte</cp:lastModifiedBy>
  <dcterms:created xsi:type="dcterms:W3CDTF">2009-10-13T18:27:48Z</dcterms:created>
  <dcterms:modified xsi:type="dcterms:W3CDTF">2009-10-19T14:33:51Z</dcterms:modified>
</cp:coreProperties>
</file>