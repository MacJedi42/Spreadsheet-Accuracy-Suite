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Month 1" state="visible" r:id="rId3"/>
    <sheet sheetId="2" name="Sheet3" state="visible" r:id="rId4"/>
  </sheets>
  <definedNames/>
  <calcPr/>
</workbook>
</file>

<file path=xl/sharedStrings.xml><?xml version="1.0" encoding="utf-8"?>
<sst xmlns="http://schemas.openxmlformats.org/spreadsheetml/2006/main" count="78" uniqueCount="25">
  <si>
    <t>Month 1: __________ - __________</t>
  </si>
  <si>
    <t>Fill in weights and reps for each lift by replacing the "X"'s </t>
  </si>
  <si>
    <t>SUPPLEMENTAL WORK</t>
  </si>
  <si>
    <t>BENCH</t>
  </si>
  <si>
    <t>Max</t>
  </si>
  <si>
    <t>EST. MAX</t>
  </si>
  <si>
    <t>Weight</t>
  </si>
  <si>
    <t>Reps</t>
  </si>
  <si>
    <t>X</t>
  </si>
  <si>
    <t>Sets</t>
  </si>
  <si>
    <t>Percentage</t>
  </si>
  <si>
    <t>Pounds</t>
  </si>
  <si>
    <t>Reps Completed</t>
  </si>
  <si>
    <t>Comments</t>
  </si>
  <si>
    <t>Week 1</t>
  </si>
  <si>
    <t>Week 2</t>
  </si>
  <si>
    <t>Week 3</t>
  </si>
  <si>
    <t>5,3,1</t>
  </si>
  <si>
    <t>Week 4</t>
  </si>
  <si>
    <t>DEADLIFT</t>
  </si>
  <si>
    <t>PRESS</t>
  </si>
  <si>
    <t>SQUAT</t>
  </si>
  <si>
    <t>Weight x Reps x .0333 + Weight = Estimated 1RM</t>
  </si>
  <si>
    <t>  - Warm-up: 1x5 at 40%, 1x5 at 50%, 1x3 at 60%</t>
  </si>
  <si>
    <t>  - LAST SET = (Reps) + Max reps, except for Week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</si>
</sst>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/>
      <i val="0"/>
      <strike val="0"/>
      <u val="none"/>
      <sz val="11.0"/>
      <color rgb="FFFF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6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2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4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fillId="0" numFmtId="0" borderId="0" fontId="0"/>
  </cellStyleXfs>
  <cellXfs count="52">
    <xf applyAlignment="1" fillId="0" xfId="0" numFmtId="0" borderId="0" fontId="0">
      <alignment vertical="bottom" horizontal="general" wrapText="1"/>
    </xf>
    <xf applyBorder="1" fillId="0" xfId="0" numFmtId="0" borderId="1" applyFont="1" fontId="1"/>
    <xf applyBorder="1" applyAlignment="1" fillId="0" xfId="0" numFmtId="0" borderId="2" applyFont="1" fontId="2">
      <alignment vertical="bottom" horizontal="center"/>
    </xf>
    <xf applyBorder="1" applyAlignment="1" fillId="0" xfId="0" numFmtId="0" borderId="3" fontId="0">
      <alignment vertical="bottom" horizontal="general" wrapText="1"/>
    </xf>
    <xf applyBorder="1" applyAlignment="1" fillId="0" xfId="0" numFmtId="0" borderId="4" applyFont="1" fontId="3">
      <alignment vertical="center" horizontal="center"/>
    </xf>
    <xf applyBorder="1" applyAlignment="1" fillId="0" xfId="0" numFmtId="0" borderId="5" applyFont="1" fontId="4">
      <alignment vertical="bottom" horizontal="center"/>
    </xf>
    <xf applyBorder="1" applyAlignment="1" fillId="0" xfId="0" numFmtId="0" borderId="6" applyFont="1" fontId="5">
      <alignment vertical="bottom" horizontal="center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applyFont="1" fontId="6">
      <alignment vertical="bottom" horizontal="center"/>
    </xf>
    <xf applyBorder="1" applyAlignment="1" fillId="0" xfId="0" numFmtId="0" borderId="9" applyFont="1" fontId="7">
      <alignment vertical="bottom" horizontal="center"/>
    </xf>
    <xf applyBorder="1" applyAlignment="1" fillId="0" xfId="0" numFmtId="0" borderId="10" applyFont="1" fontId="8">
      <alignment vertical="center" horizontal="left" wrapText="1"/>
    </xf>
    <xf applyAlignment="1" fillId="0" xfId="0" numFmtId="0" borderId="0" applyFont="1" fontId="9">
      <alignment vertical="bottom" horizontal="left" wrapText="1"/>
    </xf>
    <xf applyAlignment="1" fillId="0" xfId="0" numFmtId="0" borderId="0" applyFont="1" fontId="10">
      <alignment vertical="bottom" horizontal="general" wrapText="1"/>
    </xf>
    <xf applyBorder="1" applyAlignment="1" fillId="0" xfId="0" numFmtId="0" borderId="11" fontId="0">
      <alignment vertical="bottom" horizontal="general" wrapText="1"/>
    </xf>
    <xf applyBorder="1" applyAlignment="1" fillId="0" xfId="0" numFmtId="0" borderId="12" applyFont="1" fontId="11">
      <alignment vertical="center" horizontal="center"/>
    </xf>
    <xf applyBorder="1" applyAlignment="1" fillId="0" xfId="0" numFmtId="0" borderId="13" applyFont="1" fontId="12">
      <alignment vertical="center" horizontal="general"/>
    </xf>
    <xf applyBorder="1" fillId="0" xfId="0" numFmtId="0" borderId="14" applyFont="1" fontId="13"/>
    <xf applyBorder="1" applyAlignment="1" fillId="0" xfId="0" numFmtId="0" borderId="15" applyFont="1" fontId="14">
      <alignment vertical="center" horizontal="general"/>
    </xf>
    <xf applyAlignment="1" fillId="0" xfId="0" numFmtId="0" borderId="0" applyFont="1" fontId="15">
      <alignment vertical="center" horizontal="center"/>
    </xf>
    <xf applyBorder="1" applyAlignment="1" fillId="0" xfId="0" numFmtId="9" borderId="16" applyFont="1" fontId="16" applyNumberFormat="1">
      <alignment vertical="bottom" horizontal="center"/>
    </xf>
    <xf applyAlignment="1" fillId="0" xfId="0" numFmtId="0" borderId="0" applyFont="1" fontId="17">
      <alignment vertical="center" horizontal="left"/>
    </xf>
    <xf applyAlignment="1" fillId="0" xfId="0" numFmtId="0" borderId="0" applyFont="1" fontId="18">
      <alignment vertical="bottom" horizontal="center"/>
    </xf>
    <xf applyBorder="1" applyAlignment="1" fillId="0" xfId="0" numFmtId="0" borderId="17" applyFont="1" fontId="19">
      <alignment vertical="bottom" horizontal="left" wrapText="1"/>
    </xf>
    <xf applyBorder="1" applyAlignment="1" fillId="0" xfId="0" numFmtId="0" borderId="18" applyFont="1" fontId="20">
      <alignment vertical="bottom" horizontal="left" wrapText="1"/>
    </xf>
    <xf applyBorder="1" applyAlignment="1" fillId="0" xfId="0" numFmtId="0" borderId="19" applyFont="1" fontId="21">
      <alignment vertical="bottom" horizontal="left" wrapText="1"/>
    </xf>
    <xf applyBorder="1" applyAlignment="1" fillId="0" xfId="0" numFmtId="0" borderId="20" applyFont="1" fontId="22">
      <alignment vertical="center" horizontal="center"/>
    </xf>
    <xf applyBorder="1" applyAlignment="1" fillId="0" xfId="0" numFmtId="0" borderId="21" applyFont="1" fontId="23">
      <alignment vertical="center" horizontal="center"/>
    </xf>
    <xf applyBorder="1" applyAlignment="1" fillId="0" xfId="0" numFmtId="0" borderId="22" applyFont="1" fontId="24">
      <alignment vertical="bottom" horizontal="center"/>
    </xf>
    <xf fillId="0" xfId="0" numFmtId="0" borderId="0" applyFont="1" fontId="25"/>
    <xf applyBorder="1" applyAlignment="1" fillId="0" xfId="0" numFmtId="0" borderId="23" applyFont="1" fontId="26">
      <alignment vertical="center" horizontal="center"/>
    </xf>
    <xf applyBorder="1" applyAlignment="1" fillId="0" xfId="0" numFmtId="0" borderId="24" applyFont="1" fontId="27">
      <alignment vertical="bottom" horizontal="center"/>
    </xf>
    <xf applyBorder="1" fillId="0" xfId="0" numFmtId="0" borderId="25" applyFont="1" fontId="28"/>
    <xf applyAlignment="1" fillId="0" xfId="0" numFmtId="0" borderId="0" applyFont="1" fontId="29">
      <alignment vertical="bottom" horizontal="left"/>
    </xf>
    <xf applyBorder="1" applyAlignment="1" fillId="0" xfId="0" numFmtId="0" borderId="26" applyFont="1" fontId="30">
      <alignment vertical="bottom" horizontal="center"/>
    </xf>
    <xf applyBorder="1" fillId="0" xfId="0" numFmtId="0" borderId="27" applyFont="1" fontId="31"/>
    <xf applyBorder="1" applyAlignment="1" fillId="0" xfId="0" numFmtId="0" borderId="28" applyFont="1" fontId="32">
      <alignment vertical="bottom" horizontal="center"/>
    </xf>
    <xf applyBorder="1" applyAlignment="1" fillId="0" xfId="0" numFmtId="0" borderId="29" applyFont="1" fontId="33">
      <alignment vertical="center" horizontal="left" wrapText="1"/>
    </xf>
    <xf applyBorder="1" applyAlignment="1" fillId="0" xfId="0" numFmtId="0" borderId="30" applyFont="1" fontId="34">
      <alignment vertical="top" horizontal="left" wrapText="1"/>
    </xf>
    <xf applyBorder="1" applyAlignment="1" fillId="0" xfId="0" numFmtId="0" borderId="31" applyFont="1" fontId="35">
      <alignment vertical="center" horizontal="left" wrapText="1"/>
    </xf>
    <xf applyBorder="1" applyAlignment="1" fillId="0" xfId="0" numFmtId="0" borderId="32" applyFont="1" fontId="36">
      <alignment vertical="center" horizontal="center"/>
    </xf>
    <xf applyBorder="1" applyAlignment="1" fillId="0" xfId="0" numFmtId="0" borderId="33" fontId="0">
      <alignment vertical="bottom" horizontal="general" wrapText="1"/>
    </xf>
    <xf applyBorder="1" applyAlignment="1" fillId="0" xfId="0" numFmtId="0" borderId="34" applyFont="1" fontId="37">
      <alignment vertical="bottom" horizontal="center"/>
    </xf>
    <xf applyBorder="1" applyAlignment="1" fillId="0" xfId="0" numFmtId="0" borderId="35" applyFont="1" fontId="38">
      <alignment vertical="bottom" horizontal="center"/>
    </xf>
    <xf applyBorder="1" applyAlignment="1" fillId="0" xfId="0" numFmtId="0" borderId="36" fontId="0">
      <alignment vertical="bottom" horizontal="general" wrapText="1"/>
    </xf>
    <xf applyBorder="1" applyAlignment="1" fillId="0" xfId="0" numFmtId="0" borderId="37" applyFont="1" fontId="39">
      <alignment vertical="center" horizontal="center"/>
    </xf>
    <xf applyBorder="1" applyAlignment="1" fillId="0" xfId="0" numFmtId="0" borderId="38" applyFont="1" fontId="40">
      <alignment vertical="center" horizontal="general"/>
    </xf>
    <xf applyBorder="1" fillId="0" xfId="0" numFmtId="0" borderId="39" applyFont="1" fontId="41"/>
    <xf applyBorder="1" applyAlignment="1" fillId="0" xfId="0" numFmtId="0" borderId="40" fontId="0">
      <alignment vertical="bottom" horizontal="general" wrapText="1"/>
    </xf>
    <xf applyBorder="1" applyAlignment="1" fillId="0" xfId="0" numFmtId="0" borderId="41" applyFont="1" fontId="42">
      <alignment vertical="bottom" horizontal="center"/>
    </xf>
    <xf applyBorder="1" applyAlignment="1" fillId="0" xfId="0" numFmtId="0" borderId="42" applyFont="1" fontId="43">
      <alignment vertical="center" horizontal="center"/>
    </xf>
    <xf applyBorder="1" fillId="0" xfId="0" numFmtId="0" borderId="43" applyFont="1" fontId="44"/>
    <xf applyAlignment="1" fillId="0" xfId="0" numFmtId="0" borderId="0" applyFont="1" fontId="45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0.29"/>
    <col min="2" customWidth="1" max="3" width="12.0"/>
    <col min="4" customWidth="1" max="6" width="6.0"/>
    <col min="7" customWidth="1" max="9" width="12.0"/>
    <col min="13" customWidth="1" max="13" width="42.57"/>
    <col min="14" customWidth="1" max="14" width="4.14"/>
    <col min="17" customWidth="1" max="17" width="14.43"/>
  </cols>
  <sheetData>
    <row r="1">
      <c t="s" s="51" r="A1">
        <v>0</v>
      </c>
      <c t="s" s="11" r="M1">
        <v>1</v>
      </c>
    </row>
    <row r="2">
      <c s="12" r="M2"/>
    </row>
    <row customHeight="1" r="3" ht="15.75">
      <c s="16" r="A3"/>
      <c s="16" r="B3"/>
      <c s="16" r="C3"/>
      <c s="16" r="D3"/>
      <c s="16" r="E3"/>
      <c s="16" r="F3"/>
      <c s="16" r="G3"/>
      <c s="16" r="H3"/>
      <c s="16" r="I3"/>
      <c s="16" r="J3"/>
      <c s="16" r="K3"/>
      <c s="16" r="L3"/>
      <c t="s" s="21" r="O3">
        <v>2</v>
      </c>
    </row>
    <row r="4">
      <c t="s" s="50" r="A4">
        <v>3</v>
      </c>
      <c t="s" s="2" r="B4">
        <v>4</v>
      </c>
      <c s="19" r="C4">
        <v>0.9</v>
      </c>
      <c s="41" r="D4"/>
      <c s="41" r="E4"/>
      <c s="41" r="F4"/>
      <c t="s" s="9" r="G4">
        <v>5</v>
      </c>
      <c t="s" s="41" r="H4">
        <v>6</v>
      </c>
      <c t="s" s="41" r="I4">
        <v>7</v>
      </c>
      <c s="41" r="J4"/>
      <c s="41" r="K4"/>
      <c s="27" r="L4"/>
      <c s="40" r="M4"/>
    </row>
    <row customHeight="1" r="5" ht="15.75">
      <c s="6" r="A5"/>
      <c t="str" s="30" r="B5">
        <f>G5</f>
        <v>#VALUE!:notNumber:X</v>
      </c>
      <c t="str" s="30" r="C5">
        <f>B5*0.9</f>
        <v>#VALUE!:notNumber:X</v>
      </c>
      <c s="30" r="D5"/>
      <c s="30" r="E5"/>
      <c s="30" r="F5"/>
      <c t="str" s="30" r="G5">
        <f>((H5*I5)*0.0333)+H5</f>
        <v>#VALUE!:notNumber:X</v>
      </c>
      <c t="s" s="30" r="H5">
        <v>8</v>
      </c>
      <c t="s" s="30" r="I5">
        <v>8</v>
      </c>
      <c s="30" r="J5"/>
      <c s="30" r="K5"/>
      <c s="5" r="L5"/>
      <c s="43" r="M5"/>
    </row>
    <row customHeight="1" r="6" ht="15.75">
      <c s="7" r="A6"/>
      <c t="s" s="33" r="B6">
        <v>9</v>
      </c>
      <c t="s" s="42" r="C6">
        <v>7</v>
      </c>
      <c t="s" s="33" r="D6">
        <v>10</v>
      </c>
      <c s="13" r="E6"/>
      <c s="13" r="F6"/>
      <c t="s" s="48" r="G6">
        <v>11</v>
      </c>
      <c s="13" r="H6"/>
      <c s="47" r="I6"/>
      <c t="s" s="33" r="J6">
        <v>12</v>
      </c>
      <c s="13" r="K6"/>
      <c s="47" r="L6"/>
      <c t="s" s="8" r="M6">
        <v>13</v>
      </c>
      <c s="40" r="N6"/>
      <c s="32" r="O6"/>
    </row>
    <row r="7">
      <c t="s" s="15" r="A7">
        <v>14</v>
      </c>
      <c s="39" r="B7">
        <v>3</v>
      </c>
      <c s="44" r="C7">
        <v>5</v>
      </c>
      <c s="39" r="D7">
        <v>0.65</v>
      </c>
      <c s="29" r="E7">
        <v>0.75</v>
      </c>
      <c s="44" r="F7">
        <v>0.85</v>
      </c>
      <c t="str" s="39" r="G7">
        <f>C5*0.65</f>
        <v>#VALUE!:notNumber:X</v>
      </c>
      <c t="str" s="29" r="H7">
        <f>C5*0.75</f>
        <v>#VALUE!:notNumber:X</v>
      </c>
      <c t="str" s="44" r="I7">
        <f>C5*0.85</f>
        <v>#VALUE!:notNumber:X</v>
      </c>
      <c s="39" r="J7"/>
      <c s="3" r="K7"/>
      <c s="44" r="L7"/>
      <c s="24" r="M7"/>
      <c s="40" r="N7"/>
      <c s="32" r="O7"/>
    </row>
    <row r="8">
      <c t="s" s="17" r="A8">
        <v>15</v>
      </c>
      <c s="49" r="B8">
        <v>3</v>
      </c>
      <c s="4" r="C8">
        <v>3</v>
      </c>
      <c s="49" r="D8">
        <v>0.7</v>
      </c>
      <c s="18" r="E8">
        <v>0.8</v>
      </c>
      <c s="4" r="F8">
        <v>0.9</v>
      </c>
      <c t="str" s="49" r="G8">
        <f>C5*0.7</f>
        <v>#VALUE!:notNumber:X</v>
      </c>
      <c t="str" s="18" r="H8">
        <f>C5*0.8</f>
        <v>#VALUE!:notNumber:X</v>
      </c>
      <c t="str" s="4" r="I8">
        <f>C5*0.9</f>
        <v>#VALUE!:notNumber:X</v>
      </c>
      <c s="49" r="J8"/>
      <c s="4" r="L8"/>
      <c s="23" r="M8"/>
      <c s="40" r="N8"/>
    </row>
    <row r="9">
      <c t="s" s="17" r="A9">
        <v>16</v>
      </c>
      <c s="49" r="B9">
        <v>3</v>
      </c>
      <c t="s" s="4" r="C9">
        <v>17</v>
      </c>
      <c s="49" r="D9">
        <v>0.75</v>
      </c>
      <c s="18" r="E9">
        <v>0.85</v>
      </c>
      <c s="4" r="F9">
        <v>0.95</v>
      </c>
      <c t="str" s="49" r="G9">
        <f>C5*0.75</f>
        <v>#VALUE!:notNumber:X</v>
      </c>
      <c t="str" s="18" r="H9">
        <f>C5*0.85</f>
        <v>#VALUE!:notNumber:X</v>
      </c>
      <c t="str" s="4" r="I9">
        <f>C5*0.95</f>
        <v>#VALUE!:notNumber:X</v>
      </c>
      <c s="49" r="J9"/>
      <c s="4" r="L9"/>
      <c s="23" r="M9"/>
      <c s="40" r="N9"/>
    </row>
    <row customHeight="1" r="10" ht="15.75">
      <c t="s" s="45" r="A10">
        <v>18</v>
      </c>
      <c s="26" r="B10">
        <v>3</v>
      </c>
      <c s="14" r="C10">
        <v>5</v>
      </c>
      <c s="26" r="D10">
        <v>0.4</v>
      </c>
      <c s="25" r="E10">
        <v>0.5</v>
      </c>
      <c s="14" r="F10">
        <v>0.6</v>
      </c>
      <c t="str" s="26" r="G10">
        <f>C5*0.4</f>
        <v>#VALUE!:notNumber:X</v>
      </c>
      <c t="str" s="25" r="H10">
        <f>C5*0.5</f>
        <v>#VALUE!:notNumber:X</v>
      </c>
      <c t="str" s="14" r="I10">
        <f>C5*0.6</f>
        <v>#VALUE!:notNumber:X</v>
      </c>
      <c s="26" r="J10"/>
      <c s="25" r="K10"/>
      <c s="14" r="L10"/>
      <c s="22" r="M10"/>
      <c s="40" r="N10"/>
    </row>
    <row r="11">
      <c s="35" r="A11"/>
      <c s="13" r="B11"/>
      <c s="13" r="C11"/>
      <c s="13" r="D11"/>
      <c s="13" r="E11"/>
      <c s="13" r="F11"/>
      <c s="13" r="G11"/>
      <c s="13" r="H11"/>
      <c s="13" r="I11"/>
      <c s="13" r="J11"/>
      <c s="13" r="K11"/>
      <c s="13" r="L11"/>
      <c s="3" r="M11"/>
    </row>
    <row customHeight="1" r="12" ht="15.75">
      <c s="13" r="A12"/>
      <c s="13" r="B12"/>
      <c s="13" r="C12"/>
      <c s="13" r="D12"/>
      <c s="13" r="E12"/>
      <c s="13" r="F12"/>
      <c s="13" r="G12"/>
      <c s="13" r="H12"/>
      <c s="13" r="I12"/>
      <c s="13" r="J12"/>
      <c s="13" r="K12"/>
      <c s="13" r="L12"/>
    </row>
    <row r="13">
      <c t="s" s="50" r="A13">
        <v>19</v>
      </c>
      <c t="s" s="2" r="B13">
        <v>4</v>
      </c>
      <c s="19" r="C13">
        <v>0.9</v>
      </c>
      <c s="34" r="D13"/>
      <c s="34" r="E13"/>
      <c s="34" r="F13"/>
      <c t="s" s="9" r="G13">
        <v>5</v>
      </c>
      <c t="s" s="41" r="H13">
        <v>6</v>
      </c>
      <c t="s" s="41" r="I13">
        <v>7</v>
      </c>
      <c s="34" r="J13"/>
      <c s="34" r="K13"/>
      <c s="46" r="L13"/>
      <c s="40" r="M13"/>
    </row>
    <row customHeight="1" r="14" ht="15.75">
      <c s="6" r="A14"/>
      <c t="str" s="30" r="B14">
        <f>G14</f>
        <v>#VALUE!:notNumber:X</v>
      </c>
      <c t="str" s="30" r="C14">
        <f>B14*0.9</f>
        <v>#VALUE!:notNumber:X</v>
      </c>
      <c s="31" r="D14"/>
      <c s="31" r="E14"/>
      <c s="31" r="F14"/>
      <c t="str" s="30" r="G14">
        <f>((H14*I14)*0.0333)+H14</f>
        <v>#VALUE!:notNumber:X</v>
      </c>
      <c t="s" s="30" r="H14">
        <v>8</v>
      </c>
      <c t="s" s="30" r="I14">
        <v>8</v>
      </c>
      <c s="31" r="J14"/>
      <c s="31" r="K14"/>
      <c s="1" r="L14"/>
      <c s="43" r="M14"/>
    </row>
    <row customHeight="1" r="15" ht="15.75">
      <c s="7" r="A15"/>
      <c t="s" s="33" r="B15">
        <v>9</v>
      </c>
      <c t="s" s="42" r="C15">
        <v>7</v>
      </c>
      <c t="s" s="33" r="D15">
        <v>10</v>
      </c>
      <c s="13" r="E15"/>
      <c s="13" r="F15"/>
      <c t="s" s="48" r="G15">
        <v>11</v>
      </c>
      <c s="13" r="H15"/>
      <c s="47" r="I15"/>
      <c t="s" s="33" r="J15">
        <v>12</v>
      </c>
      <c s="13" r="K15"/>
      <c s="47" r="L15"/>
      <c t="s" s="8" r="M15">
        <v>13</v>
      </c>
      <c s="40" r="N15"/>
      <c s="32" r="O15"/>
    </row>
    <row r="16">
      <c t="s" s="15" r="A16">
        <v>14</v>
      </c>
      <c s="39" r="B16">
        <v>3</v>
      </c>
      <c s="44" r="C16">
        <v>5</v>
      </c>
      <c s="39" r="D16">
        <v>0.65</v>
      </c>
      <c s="29" r="E16">
        <v>0.75</v>
      </c>
      <c s="44" r="F16">
        <v>0.85</v>
      </c>
      <c t="str" s="39" r="G16">
        <f>C14*0.65</f>
        <v>#VALUE!:notNumber:X</v>
      </c>
      <c t="str" s="29" r="H16">
        <f>C14*0.75</f>
        <v>#VALUE!:notNumber:X</v>
      </c>
      <c t="str" s="44" r="I16">
        <f>C14*0.85</f>
        <v>#VALUE!:notNumber:X</v>
      </c>
      <c s="39" r="J16"/>
      <c s="3" r="K16"/>
      <c s="44" r="L16"/>
      <c s="24" r="M16"/>
      <c s="40" r="N16"/>
      <c s="32" r="O16"/>
    </row>
    <row r="17">
      <c t="s" s="17" r="A17">
        <v>15</v>
      </c>
      <c s="49" r="B17">
        <v>3</v>
      </c>
      <c s="4" r="C17">
        <v>3</v>
      </c>
      <c s="49" r="D17">
        <v>0.7</v>
      </c>
      <c s="18" r="E17">
        <v>0.8</v>
      </c>
      <c s="4" r="F17">
        <v>0.9</v>
      </c>
      <c t="str" s="49" r="G17">
        <f>C14*0.7</f>
        <v>#VALUE!:notNumber:X</v>
      </c>
      <c t="str" s="18" r="H17">
        <f>C14*0.8</f>
        <v>#VALUE!:notNumber:X</v>
      </c>
      <c t="str" s="4" r="I17">
        <f>C14*0.9</f>
        <v>#VALUE!:notNumber:X</v>
      </c>
      <c s="49" r="J17"/>
      <c s="4" r="L17"/>
      <c s="23" r="M17"/>
      <c s="40" r="N17"/>
    </row>
    <row r="18">
      <c t="s" s="17" r="A18">
        <v>16</v>
      </c>
      <c s="49" r="B18">
        <v>3</v>
      </c>
      <c t="s" s="4" r="C18">
        <v>17</v>
      </c>
      <c s="49" r="D18">
        <v>0.75</v>
      </c>
      <c s="18" r="E18">
        <v>0.85</v>
      </c>
      <c s="4" r="F18">
        <v>0.95</v>
      </c>
      <c t="str" s="49" r="G18">
        <f>C14*0.75</f>
        <v>#VALUE!:notNumber:X</v>
      </c>
      <c t="str" s="18" r="H18">
        <f>C14*0.85</f>
        <v>#VALUE!:notNumber:X</v>
      </c>
      <c t="str" s="4" r="I18">
        <f>C14*0.95</f>
        <v>#VALUE!:notNumber:X</v>
      </c>
      <c s="49" r="J18"/>
      <c s="4" r="L18"/>
      <c s="23" r="M18"/>
      <c s="40" r="N18"/>
    </row>
    <row customHeight="1" r="19" ht="15.75">
      <c t="s" s="45" r="A19">
        <v>18</v>
      </c>
      <c s="26" r="B19">
        <v>3</v>
      </c>
      <c s="14" r="C19">
        <v>5</v>
      </c>
      <c s="26" r="D19">
        <v>0.4</v>
      </c>
      <c s="25" r="E19">
        <v>0.5</v>
      </c>
      <c s="14" r="F19">
        <v>0.6</v>
      </c>
      <c t="str" s="26" r="G19">
        <f>C14*0.4</f>
        <v>#VALUE!:notNumber:X</v>
      </c>
      <c t="str" s="25" r="H19">
        <f>C14*0.5</f>
        <v>#VALUE!:notNumber:X</v>
      </c>
      <c t="str" s="14" r="I19">
        <f>C14*0.6</f>
        <v>#VALUE!:notNumber:X</v>
      </c>
      <c s="26" r="J19"/>
      <c s="25" r="K19"/>
      <c s="14" r="L19"/>
      <c s="22" r="M19"/>
      <c s="40" r="N19"/>
    </row>
    <row r="20">
      <c s="35" r="A20"/>
      <c s="13" r="B20"/>
      <c s="13" r="C20"/>
      <c s="13" r="D20"/>
      <c s="13" r="E20"/>
      <c s="13" r="F20"/>
      <c s="13" r="G20"/>
      <c s="13" r="H20"/>
      <c s="13" r="I20"/>
      <c s="13" r="J20"/>
      <c s="13" r="K20"/>
      <c s="13" r="L20"/>
      <c s="3" r="M20"/>
    </row>
    <row customHeight="1" r="21" ht="15.75">
      <c s="13" r="A21"/>
      <c s="13" r="B21"/>
      <c s="13" r="C21"/>
      <c s="13" r="D21"/>
      <c s="13" r="E21"/>
      <c s="13" r="F21"/>
      <c s="13" r="G21"/>
      <c s="13" r="H21"/>
      <c s="13" r="I21"/>
      <c s="13" r="J21"/>
      <c s="13" r="K21"/>
      <c s="13" r="L21"/>
    </row>
    <row r="22">
      <c t="s" s="50" r="A22">
        <v>20</v>
      </c>
      <c t="s" s="2" r="B22">
        <v>4</v>
      </c>
      <c s="19" r="C22">
        <v>0.9</v>
      </c>
      <c s="3" r="D22"/>
      <c s="3" r="E22"/>
      <c s="3" r="F22"/>
      <c t="s" s="9" r="G22">
        <v>5</v>
      </c>
      <c t="s" s="41" r="H22">
        <v>6</v>
      </c>
      <c t="s" s="41" r="I22">
        <v>7</v>
      </c>
      <c s="3" r="J22"/>
      <c s="3" r="K22"/>
      <c s="27" r="L22"/>
      <c s="40" r="M22"/>
    </row>
    <row customHeight="1" r="23" ht="15.75">
      <c s="6" r="A23"/>
      <c t="str" s="30" r="B23">
        <f>G23</f>
        <v>#VALUE!:notNumber:X</v>
      </c>
      <c t="str" s="30" r="C23">
        <f>B23*0.9</f>
        <v>#VALUE!:notNumber:X</v>
      </c>
      <c s="30" r="D23"/>
      <c s="30" r="E23"/>
      <c s="30" r="F23"/>
      <c t="str" s="30" r="G23">
        <f>((H23*I23)*0.0333)+H23</f>
        <v>#VALUE!:notNumber:X</v>
      </c>
      <c t="s" s="30" r="H23">
        <v>8</v>
      </c>
      <c t="s" s="30" r="I23">
        <v>8</v>
      </c>
      <c s="30" r="J23"/>
      <c s="30" r="K23"/>
      <c s="5" r="L23"/>
      <c s="43" r="M23"/>
    </row>
    <row customHeight="1" r="24" ht="15.75">
      <c s="7" r="A24"/>
      <c t="s" s="33" r="B24">
        <v>9</v>
      </c>
      <c t="s" s="42" r="C24">
        <v>7</v>
      </c>
      <c t="s" s="33" r="D24">
        <v>10</v>
      </c>
      <c s="13" r="E24"/>
      <c s="13" r="F24"/>
      <c t="s" s="48" r="G24">
        <v>11</v>
      </c>
      <c s="13" r="H24"/>
      <c s="47" r="I24"/>
      <c t="s" s="33" r="J24">
        <v>12</v>
      </c>
      <c s="13" r="K24"/>
      <c s="47" r="L24"/>
      <c t="s" s="8" r="M24">
        <v>13</v>
      </c>
      <c s="40" r="N24"/>
      <c s="32" r="O24"/>
    </row>
    <row r="25">
      <c t="s" s="15" r="A25">
        <v>14</v>
      </c>
      <c s="39" r="B25">
        <v>3</v>
      </c>
      <c s="44" r="C25">
        <v>5</v>
      </c>
      <c s="39" r="D25">
        <v>0.65</v>
      </c>
      <c s="29" r="E25">
        <v>0.75</v>
      </c>
      <c s="44" r="F25">
        <v>0.85</v>
      </c>
      <c t="str" s="39" r="G25">
        <f>C23*0.65</f>
        <v>#VALUE!:notNumber:X</v>
      </c>
      <c t="str" s="29" r="H25">
        <f>C23*0.75</f>
        <v>#VALUE!:notNumber:X</v>
      </c>
      <c t="str" s="44" r="I25">
        <f>C23*0.85</f>
        <v>#VALUE!:notNumber:X</v>
      </c>
      <c s="39" r="J25"/>
      <c s="3" r="K25"/>
      <c s="44" r="L25"/>
      <c s="24" r="M25"/>
      <c s="40" r="N25"/>
      <c s="32" r="O25"/>
    </row>
    <row r="26">
      <c t="s" s="17" r="A26">
        <v>15</v>
      </c>
      <c s="49" r="B26">
        <v>3</v>
      </c>
      <c s="4" r="C26">
        <v>3</v>
      </c>
      <c s="49" r="D26">
        <v>0.7</v>
      </c>
      <c s="18" r="E26">
        <v>0.8</v>
      </c>
      <c s="4" r="F26">
        <v>0.9</v>
      </c>
      <c t="str" s="49" r="G26">
        <f>C23*0.7</f>
        <v>#VALUE!:notNumber:X</v>
      </c>
      <c t="str" s="18" r="H26">
        <f>C23*0.8</f>
        <v>#VALUE!:notNumber:X</v>
      </c>
      <c t="str" s="4" r="I26">
        <f>C23*0.9</f>
        <v>#VALUE!:notNumber:X</v>
      </c>
      <c s="49" r="J26"/>
      <c s="4" r="L26"/>
      <c s="23" r="M26"/>
      <c s="40" r="N26"/>
    </row>
    <row r="27">
      <c t="s" s="17" r="A27">
        <v>16</v>
      </c>
      <c s="49" r="B27">
        <v>3</v>
      </c>
      <c t="s" s="4" r="C27">
        <v>17</v>
      </c>
      <c s="49" r="D27">
        <v>0.75</v>
      </c>
      <c s="18" r="E27">
        <v>0.85</v>
      </c>
      <c s="4" r="F27">
        <v>0.95</v>
      </c>
      <c t="str" s="49" r="G27">
        <f>C23*0.75</f>
        <v>#VALUE!:notNumber:X</v>
      </c>
      <c t="str" s="18" r="H27">
        <f>C23*0.85</f>
        <v>#VALUE!:notNumber:X</v>
      </c>
      <c t="str" s="4" r="I27">
        <f>C23*0.95</f>
        <v>#VALUE!:notNumber:X</v>
      </c>
      <c s="49" r="J27"/>
      <c s="4" r="L27"/>
      <c s="37" r="M27"/>
      <c s="40" r="N27"/>
    </row>
    <row customHeight="1" r="28" ht="15.75">
      <c t="s" s="45" r="A28">
        <v>18</v>
      </c>
      <c s="26" r="B28">
        <v>3</v>
      </c>
      <c s="14" r="C28">
        <v>5</v>
      </c>
      <c s="26" r="D28">
        <v>0.4</v>
      </c>
      <c s="25" r="E28">
        <v>0.5</v>
      </c>
      <c s="14" r="F28">
        <v>0.6</v>
      </c>
      <c t="str" s="26" r="G28">
        <f>C23*0.4</f>
        <v>#VALUE!:notNumber:X</v>
      </c>
      <c t="str" s="25" r="H28">
        <f>C23*0.5</f>
        <v>#VALUE!:notNumber:X</v>
      </c>
      <c t="str" s="14" r="I28">
        <f>C23*0.6</f>
        <v>#VALUE!:notNumber:X</v>
      </c>
      <c s="26" r="J28"/>
      <c s="25" r="K28"/>
      <c s="14" r="L28"/>
      <c s="22" r="M28"/>
      <c s="40" r="N28"/>
    </row>
    <row r="29">
      <c s="35" r="A29"/>
      <c s="13" r="B29"/>
      <c s="13" r="C29"/>
      <c s="13" r="D29"/>
      <c s="13" r="E29"/>
      <c s="13" r="F29"/>
      <c s="13" r="G29"/>
      <c s="13" r="H29"/>
      <c s="13" r="I29"/>
      <c s="13" r="J29"/>
      <c s="13" r="K29"/>
      <c s="13" r="L29"/>
      <c s="3" r="M29"/>
    </row>
    <row customHeight="1" r="30" ht="15.75">
      <c s="13" r="A30"/>
      <c s="13" r="B30"/>
      <c s="13" r="C30"/>
      <c s="13" r="D30"/>
      <c s="13" r="E30"/>
      <c s="13" r="F30"/>
      <c s="13" r="G30"/>
      <c s="13" r="H30"/>
      <c s="13" r="I30"/>
      <c s="13" r="J30"/>
      <c s="13" r="K30"/>
      <c s="13" r="L30"/>
    </row>
    <row r="31">
      <c t="s" s="50" r="A31">
        <v>21</v>
      </c>
      <c t="s" s="2" r="B31">
        <v>4</v>
      </c>
      <c s="19" r="C31">
        <v>0.9</v>
      </c>
      <c s="34" r="D31"/>
      <c s="34" r="E31"/>
      <c s="34" r="F31"/>
      <c t="s" s="9" r="G31">
        <v>5</v>
      </c>
      <c t="s" s="41" r="H31">
        <v>6</v>
      </c>
      <c t="s" s="41" r="I31">
        <v>7</v>
      </c>
      <c s="34" r="J31"/>
      <c s="34" r="K31"/>
      <c s="46" r="L31"/>
      <c s="40" r="M31"/>
    </row>
    <row customHeight="1" r="32" ht="15.75">
      <c s="6" r="A32"/>
      <c t="str" s="30" r="B32">
        <f>G32</f>
        <v>#VALUE!:notNumber:X</v>
      </c>
      <c t="str" s="30" r="C32">
        <f>B32*0.9</f>
        <v>#VALUE!:notNumber:X</v>
      </c>
      <c s="31" r="D32"/>
      <c s="31" r="E32"/>
      <c s="31" r="F32"/>
      <c t="str" s="30" r="G32">
        <f>((H32*I32)*0.0333)+H32</f>
        <v>#VALUE!:notNumber:X</v>
      </c>
      <c t="s" s="30" r="H32">
        <v>8</v>
      </c>
      <c t="s" s="30" r="I32">
        <v>8</v>
      </c>
      <c s="31" r="J32"/>
      <c s="31" r="K32"/>
      <c s="1" r="L32"/>
      <c s="43" r="M32"/>
    </row>
    <row customHeight="1" r="33" ht="15.75">
      <c s="7" r="A33"/>
      <c t="s" s="33" r="B33">
        <v>9</v>
      </c>
      <c t="s" s="42" r="C33">
        <v>7</v>
      </c>
      <c t="s" s="33" r="D33">
        <v>10</v>
      </c>
      <c s="13" r="E33"/>
      <c s="13" r="F33"/>
      <c t="s" s="48" r="G33">
        <v>11</v>
      </c>
      <c s="13" r="H33"/>
      <c s="47" r="I33"/>
      <c t="s" s="33" r="J33">
        <v>12</v>
      </c>
      <c s="13" r="K33"/>
      <c s="47" r="L33"/>
      <c t="s" s="8" r="M33">
        <v>13</v>
      </c>
      <c s="40" r="N33"/>
      <c s="32" r="O33"/>
    </row>
    <row r="34">
      <c t="s" s="15" r="A34">
        <v>14</v>
      </c>
      <c s="39" r="B34">
        <v>3</v>
      </c>
      <c s="44" r="C34">
        <v>5</v>
      </c>
      <c s="39" r="D34">
        <v>0.65</v>
      </c>
      <c s="29" r="E34">
        <v>0.75</v>
      </c>
      <c s="44" r="F34">
        <v>0.85</v>
      </c>
      <c t="str" s="39" r="G34">
        <f>C32*0.65</f>
        <v>#VALUE!:notNumber:X</v>
      </c>
      <c t="str" s="29" r="H34">
        <f>C32*0.75</f>
        <v>#VALUE!:notNumber:X</v>
      </c>
      <c t="str" s="44" r="I34">
        <f>C32*0.85</f>
        <v>#VALUE!:notNumber:X</v>
      </c>
      <c s="39" r="J34"/>
      <c s="3" r="K34"/>
      <c s="44" r="L34"/>
      <c s="38" r="M34"/>
      <c s="40" r="N34"/>
      <c s="20" r="O34"/>
    </row>
    <row r="35">
      <c t="s" s="17" r="A35">
        <v>15</v>
      </c>
      <c s="49" r="B35">
        <v>3</v>
      </c>
      <c s="4" r="C35">
        <v>3</v>
      </c>
      <c s="49" r="D35">
        <v>0.7</v>
      </c>
      <c s="18" r="E35">
        <v>0.8</v>
      </c>
      <c s="4" r="F35">
        <v>0.9</v>
      </c>
      <c t="str" s="49" r="G35">
        <f>C32*0.7</f>
        <v>#VALUE!:notNumber:X</v>
      </c>
      <c t="str" s="18" r="H35">
        <f>C32*0.8</f>
        <v>#VALUE!:notNumber:X</v>
      </c>
      <c t="str" s="4" r="I35">
        <f>C32*0.9</f>
        <v>#VALUE!:notNumber:X</v>
      </c>
      <c s="49" r="J35"/>
      <c s="4" r="L35"/>
      <c s="36" r="M35"/>
      <c s="40" r="N35"/>
    </row>
    <row r="36">
      <c t="s" s="17" r="A36">
        <v>16</v>
      </c>
      <c s="49" r="B36">
        <v>3</v>
      </c>
      <c t="s" s="4" r="C36">
        <v>17</v>
      </c>
      <c s="49" r="D36">
        <v>0.75</v>
      </c>
      <c s="18" r="E36">
        <v>0.85</v>
      </c>
      <c s="4" r="F36">
        <v>0.95</v>
      </c>
      <c t="str" s="49" r="G36">
        <f>C32*0.75</f>
        <v>#VALUE!:notNumber:X</v>
      </c>
      <c t="str" s="18" r="H36">
        <f>C32*0.85</f>
        <v>#VALUE!:notNumber:X</v>
      </c>
      <c t="str" s="4" r="I36">
        <f>C32*0.95</f>
        <v>#VALUE!:notNumber:X</v>
      </c>
      <c s="49" r="J36"/>
      <c s="4" r="L36"/>
      <c s="36" r="M36"/>
      <c s="40" r="N36"/>
    </row>
    <row customHeight="1" r="37" ht="15.75">
      <c t="s" s="45" r="A37">
        <v>18</v>
      </c>
      <c s="26" r="B37">
        <v>3</v>
      </c>
      <c s="14" r="C37">
        <v>5</v>
      </c>
      <c s="26" r="D37">
        <v>0.4</v>
      </c>
      <c s="25" r="E37">
        <v>0.5</v>
      </c>
      <c s="14" r="F37">
        <v>0.6</v>
      </c>
      <c t="str" s="26" r="G37">
        <f>C32*0.4</f>
        <v>#VALUE!:notNumber:X</v>
      </c>
      <c t="str" s="25" r="H37">
        <f>C32*0.5</f>
        <v>#VALUE!:notNumber:X</v>
      </c>
      <c t="str" s="14" r="I37">
        <f>C32*0.6</f>
        <v>#VALUE!:notNumber:X</v>
      </c>
      <c s="26" r="J37"/>
      <c s="25" r="K37"/>
      <c s="14" r="L37"/>
      <c s="10" r="M37"/>
      <c s="40" r="N37"/>
    </row>
    <row r="38">
      <c s="3" r="A38"/>
      <c s="3" r="B38"/>
      <c s="3" r="C38"/>
      <c s="3" r="D38"/>
      <c s="3" r="E38"/>
      <c s="3" r="F38"/>
      <c s="3" r="G38"/>
      <c s="3" r="H38"/>
      <c s="3" r="I38"/>
      <c s="3" r="J38"/>
      <c s="3" r="K38"/>
      <c s="3" r="L38"/>
      <c s="3" r="M38"/>
    </row>
    <row customHeight="1" r="40" ht="21.0">
      <c t="s" s="28" r="G40">
        <v>22</v>
      </c>
    </row>
    <row r="41">
      <c t="s" s="32" r="G41">
        <v>23</v>
      </c>
    </row>
    <row r="42">
      <c t="s" s="32" r="G42">
        <v>24</v>
      </c>
    </row>
    <row r="43">
      <c s="32" r="G43"/>
    </row>
  </sheetData>
  <mergeCells count="34">
    <mergeCell ref="A1:L2"/>
    <mergeCell ref="M1:M2"/>
    <mergeCell ref="O3:Q3"/>
    <mergeCell ref="A5:A6"/>
    <mergeCell ref="D6:F6"/>
    <mergeCell ref="G6:I6"/>
    <mergeCell ref="J6:L6"/>
    <mergeCell ref="O6:Q6"/>
    <mergeCell ref="O7:Q7"/>
    <mergeCell ref="A11:L12"/>
    <mergeCell ref="A14:A15"/>
    <mergeCell ref="D15:F15"/>
    <mergeCell ref="G15:I15"/>
    <mergeCell ref="J15:L15"/>
    <mergeCell ref="O15:Q15"/>
    <mergeCell ref="O16:Q16"/>
    <mergeCell ref="A20:L21"/>
    <mergeCell ref="A23:A24"/>
    <mergeCell ref="D24:F24"/>
    <mergeCell ref="G24:I24"/>
    <mergeCell ref="J24:L24"/>
    <mergeCell ref="O24:Q24"/>
    <mergeCell ref="O25:Q25"/>
    <mergeCell ref="A29:L30"/>
    <mergeCell ref="A32:A33"/>
    <mergeCell ref="D33:F33"/>
    <mergeCell ref="G33:I33"/>
    <mergeCell ref="J33:L33"/>
    <mergeCell ref="O33:Q33"/>
    <mergeCell ref="O34:Q34"/>
    <mergeCell ref="G40:M40"/>
    <mergeCell ref="G41:L41"/>
    <mergeCell ref="G42:L42"/>
    <mergeCell ref="G43:L43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