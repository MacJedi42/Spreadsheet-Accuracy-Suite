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Fields 6-9" sheetId="9" r:id="rId1"/>
    <sheet name="Fields 10-13" sheetId="10" r:id="rId2"/>
    <sheet name="Field 14 - Zone 5A" sheetId="11" r:id="rId3"/>
    <sheet name="Certification Page" sheetId="1" r:id="rId4"/>
    <sheet name="Formulas &amp; Weather Codes" sheetId="7" r:id="rId5"/>
    <sheet name="Dropdown Menu" sheetId="8" state="hidden" r:id="rId6"/>
  </sheets>
  <definedNames>
    <definedName name="County">'Dropdown Menu'!$B$1:$B$101</definedName>
    <definedName name="Flow" localSheetId="2">'Dropdown Menu'!#REF!</definedName>
    <definedName name="Flow" localSheetId="1">'Dropdown Menu'!#REF!</definedName>
    <definedName name="Flow" localSheetId="0">'Dropdown Menu'!#REF!</definedName>
    <definedName name="Flow">'Dropdown Menu'!#REF!</definedName>
    <definedName name="Month">'Dropdown Menu'!$A$1:$A$13</definedName>
    <definedName name="Parameters" localSheetId="2">'Formulas &amp; Weather Codes'!#REF!</definedName>
    <definedName name="Parameters" localSheetId="1">'Formulas &amp; Weather Codes'!#REF!</definedName>
    <definedName name="Parameters" localSheetId="0">'Formulas &amp; Weather Codes'!#REF!</definedName>
    <definedName name="Parameters">'Formulas &amp; Weather Codes'!#REF!</definedName>
    <definedName name="PCS" localSheetId="2">'Formulas &amp; Weather Codes'!#REF!</definedName>
    <definedName name="PCS" localSheetId="1">'Formulas &amp; Weather Codes'!#REF!</definedName>
    <definedName name="PCS" localSheetId="0">'Formulas &amp; Weather Codes'!#REF!</definedName>
    <definedName name="PCS">'Formulas &amp; Weather Codes'!#REF!</definedName>
    <definedName name="PCSCODE" localSheetId="2">'Formulas &amp; Weather Codes'!#REF!</definedName>
    <definedName name="PCSCODE" localSheetId="1">'Formulas &amp; Weather Codes'!#REF!</definedName>
    <definedName name="PCSCODE" localSheetId="0">'Formulas &amp; Weather Codes'!#REF!</definedName>
    <definedName name="PCSCODE">'Formulas &amp; Weather Codes'!#REF!</definedName>
    <definedName name="PPI" localSheetId="2">'Dropdown Menu'!#REF!</definedName>
    <definedName name="PPI" localSheetId="1">'Dropdown Menu'!#REF!</definedName>
    <definedName name="PPI" localSheetId="0">'Dropdown Menu'!#REF!</definedName>
    <definedName name="PPI">'Dropdown Menu'!#REF!</definedName>
    <definedName name="_xlnm.Print_Area" localSheetId="3">'Certification Page'!$A$1:$V$23</definedName>
    <definedName name="_xlnm.Print_Area" localSheetId="2">'Field 14 - Zone 5A'!$A$1:$V$42</definedName>
    <definedName name="_xlnm.Print_Area" localSheetId="1">'Fields 10-13'!$A$1:$V$42</definedName>
    <definedName name="_xlnm.Print_Area" localSheetId="0">'Fields 6-9'!$A$1:$V$42</definedName>
    <definedName name="_xlnm.Print_Area" localSheetId="4">'Formulas &amp; Weather Codes'!#REF!</definedName>
    <definedName name="SamplingType" localSheetId="2">'Dropdown Menu'!#REF!</definedName>
    <definedName name="SamplingType" localSheetId="1">'Dropdown Menu'!#REF!</definedName>
    <definedName name="SamplingType" localSheetId="0">'Dropdown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9"/>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<sst xmlns="http://schemas.openxmlformats.org/spreadsheetml/2006/main" count="403" uniqueCount="192">
  <si>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</si>
  <si>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</si>
  <si>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</si>
  <si>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</si>
  <si>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</si>
  <si>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</si>
  <si>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</si>
  <si>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</si>
  <si>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</si>
  <si>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</si>
  <si>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</si>
  <si>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</si>
  <si>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</si>
  <si>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</si>
  <si>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</si>
  <si>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</si>
  <si>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</si>
  <si>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</si>
  <si>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</si>
  <si>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</si>
  <si>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</si>
  <si>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</si>
  <si>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</si>
  <si>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</si>
  <si>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</si>
  <si>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</si>
  <si>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</si>
  <si>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</si>
  <si>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</si>
  <si>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</si>
  <si>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</si>
  <si>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</si>
  <si>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</si>
  <si>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</si>
  <si>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</si>
  <si>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</si>
  <si>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</si>
  <si>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</si>
  <si>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</si>
  <si>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</si>
  <si>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</si>
  <si>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</si>
  <si>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</si>
  <si>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</si>
  <si>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</si>
  <si>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</si>
  <si>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</si>
  <si>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</si>
  <si>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</si>
  <si>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</si>
  <si>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</si>
  <si>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</si>
  <si>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</si>
  <si>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</si>
  <si>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</si>
  <si>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</si>
  <si>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</si>
  <si>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</si>
  <si>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</si>
  <si>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</si>
  <si>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</si>
  <si>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</si>
  <si>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</si>
  <si>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</si>
  <si>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</si>
  <si>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</si>
  <si>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</si>
  <si>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</si>
  <si>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</si>
  <si>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</si>
  <si>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</si>
  <si>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</si>
  <si>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</si>
  <si>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</si>
  <si>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</si>
  <si>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</si>
  <si>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</si>
  <si>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</si>
  <si>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</si>
  <si>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</si>
  <si>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</si>
  <si>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</si>
  <si>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</si>
  <si>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</si>
  <si>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</si>
  <si>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</si>
  <si>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</si>
  <si>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</si>
  <si>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</si>
  <si>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</si>
  <si>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</si>
  <si>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</si>
  <si>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</si>
  <si>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</si>
  <si>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</si>
  <si>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</si>
  <si>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</si>
  <si>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</si>
  <si>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</si>
  <si>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</si>
  <si>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</si>
  <si>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</si>
  <si>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</si>
  <si>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</si>
  <si>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</si>
  <si>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</si>
  <si>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</si>
  <si>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</si>
  <si>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</si>
  <si>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</si>
  <si>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</si>
  <si>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</si>
  <si>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</si>
  <si>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</si>
  <si>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</si>
  <si>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</si>
  <si>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</si>
  <si>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</si>
  <si>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</si>
  <si>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</si>
  <si>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</si>
  <si>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</si>
  <si>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</si>
  <si>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</si>
  <si>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</si>
  <si>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</si>
  <si>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</si>
  <si>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</si>
  <si>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</si>
  <si>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</si>
  <si>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</si>
  <si>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</si>
  <si>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</si>
  <si>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</si>
  <si>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</si>
  <si>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</si>
  <si>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</si>
  <si>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</si>
  <si>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</si>
  <si>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</si>
  <si>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</si>
  <si>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</si>
  <si>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</si>
  <si>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</si>
  <si>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</si>
  <si>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</si>
  <si>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</si>
  <si>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</si>
  <si>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</si>
  <si>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</si>
  <si>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</si>
  <si>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</si>
  <si>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</si>
  <si>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</si>
  <si>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</si>
  <si>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</si>
  <si>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</si>
  <si>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</si>
  <si>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</si>
  <si>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</si>
  <si>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</si>
  <si>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</si>
  <si>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</si>
  <si>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</si>
  <si>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</si>
  <si>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</si>
  <si>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</si>
  <si>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</si>
  <si>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</si>
  <si>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</si>
  <si>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</si>
  <si>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</si>
  <si>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</si>
  <si>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</si>
  <si>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</si>
  <si>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</si>
  <si>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</si>
  <si>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</si>
  <si>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</si>
  <si>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</si>
  <si>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</si>
  <si>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</si>
  <si>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</si>
  <si>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</si>
  <si>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</si>
  <si>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</si>
  <si>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WQ0005790</t>
  </si>
  <si>
    <t>ZONES 1,2, &amp;3</t>
  </si>
  <si>
    <t>ZONES 4 &amp; 4A</t>
  </si>
  <si>
    <t>ZONES 5 &amp; 5A</t>
  </si>
  <si>
    <t>Oak Island WWTF</t>
  </si>
  <si>
    <t>Certification</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</si>
</sst>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2" borderId="55" xfId="0" applyFont="1" applyFill="1" applyBorder="1" applyAlignment="1" applyProtection="1">
      <alignment horizontal="right" vertical="center"/>
    </xf>
    <xf numFmtId="0" fontId="3" fillId="2" borderId="56"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1" xfId="0" applyFont="1" applyFill="1" applyBorder="1" applyAlignment="1" applyProtection="1">
      <alignment horizontal="right"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39"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4" fillId="2" borderId="44" xfId="0" applyFont="1" applyFill="1" applyBorder="1" applyAlignment="1" applyProtection="1">
      <alignment horizontal="left" vertical="center"/>
    </xf>
    <xf numFmtId="0" fontId="0" fillId="0" borderId="20" xfId="0" applyBorder="1" applyAlignment="1" applyProtection="1">
      <alignment horizontal="left" vertical="center"/>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166" fontId="5" fillId="2" borderId="0" xfId="0" applyNumberFormat="1" applyFont="1" applyFill="1" applyBorder="1" applyAlignment="1" applyProtection="1">
      <protection locked="0"/>
    </xf>
    <xf numFmtId="166" fontId="5" fillId="0" borderId="37"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39" xfId="0" applyNumberFormat="1" applyFont="1" applyBorder="1" applyAlignment="1" applyProtection="1">
      <protection locked="0"/>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3" fillId="2" borderId="36" xfId="0" applyFont="1" applyFill="1" applyBorder="1" applyAlignment="1" applyProtection="1"/>
    <xf numFmtId="0" fontId="0" fillId="0" borderId="51" xfId="0" applyBorder="1" applyAlignment="1" applyProtection="1"/>
    <xf numFmtId="166" fontId="5" fillId="0" borderId="21"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3" fillId="0" borderId="0" xfId="0" applyFont="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4" fillId="2" borderId="0" xfId="0" applyFont="1" applyFill="1" applyBorder="1" applyAlignment="1" applyProtection="1">
      <alignment horizontal="left" vertical="center"/>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31"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D1" sqref="D1:F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7" t="s">
        <v>181</v>
      </c>
      <c r="B1" s="168"/>
      <c r="C1" s="168"/>
      <c r="D1" s="169" t="s">
        <v>186</v>
      </c>
      <c r="E1" s="169"/>
      <c r="F1" s="170"/>
      <c r="G1" s="171" t="s">
        <v>4</v>
      </c>
      <c r="H1" s="172"/>
      <c r="I1" s="169" t="s">
        <v>190</v>
      </c>
      <c r="J1" s="169"/>
      <c r="K1" s="169"/>
      <c r="L1" s="169"/>
      <c r="M1" s="169"/>
      <c r="N1" s="170"/>
      <c r="O1" s="42" t="s">
        <v>7</v>
      </c>
      <c r="P1" s="165" t="s">
        <v>27</v>
      </c>
      <c r="Q1" s="166"/>
      <c r="R1" s="42" t="s">
        <v>5</v>
      </c>
      <c r="S1" s="165"/>
      <c r="T1" s="166"/>
      <c r="U1" s="117" t="s">
        <v>6</v>
      </c>
      <c r="V1" s="116"/>
      <c r="W1" s="2"/>
    </row>
    <row r="2" spans="1:23" ht="18.75" customHeight="1">
      <c r="A2" s="161" t="s">
        <v>176</v>
      </c>
      <c r="B2" s="162"/>
      <c r="C2" s="162"/>
      <c r="D2" s="162"/>
      <c r="E2" s="162"/>
      <c r="F2" s="162"/>
      <c r="G2" s="159" t="s">
        <v>143</v>
      </c>
      <c r="H2" s="160"/>
      <c r="I2" s="151">
        <v>6</v>
      </c>
      <c r="J2" s="152"/>
      <c r="K2" s="153" t="s">
        <v>143</v>
      </c>
      <c r="L2" s="154"/>
      <c r="M2" s="155">
        <v>7</v>
      </c>
      <c r="N2" s="164"/>
      <c r="O2" s="159" t="s">
        <v>143</v>
      </c>
      <c r="P2" s="160"/>
      <c r="Q2" s="151">
        <v>8</v>
      </c>
      <c r="R2" s="152"/>
      <c r="S2" s="153" t="s">
        <v>143</v>
      </c>
      <c r="T2" s="154"/>
      <c r="U2" s="155">
        <v>9</v>
      </c>
      <c r="V2" s="156"/>
    </row>
    <row r="3" spans="1:23" ht="18.75" customHeight="1">
      <c r="A3" s="163"/>
      <c r="B3" s="162"/>
      <c r="C3" s="162"/>
      <c r="D3" s="162"/>
      <c r="E3" s="162"/>
      <c r="F3" s="162"/>
      <c r="G3" s="147" t="s">
        <v>144</v>
      </c>
      <c r="H3" s="157"/>
      <c r="I3" s="145">
        <v>1.25</v>
      </c>
      <c r="J3" s="146"/>
      <c r="K3" s="148" t="s">
        <v>144</v>
      </c>
      <c r="L3" s="158"/>
      <c r="M3" s="127">
        <v>1.7</v>
      </c>
      <c r="N3" s="149"/>
      <c r="O3" s="147" t="s">
        <v>144</v>
      </c>
      <c r="P3" s="157"/>
      <c r="Q3" s="145">
        <v>1.55</v>
      </c>
      <c r="R3" s="146"/>
      <c r="S3" s="148" t="s">
        <v>144</v>
      </c>
      <c r="T3" s="158"/>
      <c r="U3" s="127">
        <v>1.99</v>
      </c>
      <c r="V3" s="128"/>
    </row>
    <row r="4" spans="1:23" ht="18.75" customHeight="1">
      <c r="A4" s="163"/>
      <c r="B4" s="162"/>
      <c r="C4" s="162"/>
      <c r="D4" s="162"/>
      <c r="E4" s="162"/>
      <c r="F4" s="162"/>
      <c r="G4" s="147" t="s">
        <v>145</v>
      </c>
      <c r="H4" s="138"/>
      <c r="I4" s="145"/>
      <c r="J4" s="146"/>
      <c r="K4" s="148" t="s">
        <v>145</v>
      </c>
      <c r="L4" s="126"/>
      <c r="M4" s="127"/>
      <c r="N4" s="149"/>
      <c r="O4" s="147" t="s">
        <v>145</v>
      </c>
      <c r="P4" s="138"/>
      <c r="Q4" s="145"/>
      <c r="R4" s="146"/>
      <c r="S4" s="148" t="s">
        <v>145</v>
      </c>
      <c r="T4" s="126"/>
      <c r="U4" s="127"/>
      <c r="V4" s="128"/>
    </row>
    <row r="5" spans="1:23" ht="18.75" customHeight="1">
      <c r="A5" s="141"/>
      <c r="B5" s="142"/>
      <c r="C5" s="142"/>
      <c r="D5" s="142"/>
      <c r="E5" s="142"/>
      <c r="F5" s="142"/>
      <c r="G5" s="147" t="s">
        <v>151</v>
      </c>
      <c r="H5" s="138"/>
      <c r="I5" s="145">
        <v>0.2</v>
      </c>
      <c r="J5" s="146"/>
      <c r="K5" s="148" t="s">
        <v>151</v>
      </c>
      <c r="L5" s="126"/>
      <c r="M5" s="127">
        <v>0.2</v>
      </c>
      <c r="N5" s="149"/>
      <c r="O5" s="147" t="s">
        <v>151</v>
      </c>
      <c r="P5" s="138"/>
      <c r="Q5" s="145">
        <v>0.2</v>
      </c>
      <c r="R5" s="146"/>
      <c r="S5" s="148" t="s">
        <v>151</v>
      </c>
      <c r="T5" s="126"/>
      <c r="U5" s="127">
        <v>0.2</v>
      </c>
      <c r="V5" s="128"/>
    </row>
    <row r="6" spans="1:23" ht="18.75" customHeight="1" thickBot="1">
      <c r="A6" s="143"/>
      <c r="B6" s="144"/>
      <c r="C6" s="144"/>
      <c r="D6" s="144"/>
      <c r="E6" s="144"/>
      <c r="F6" s="144"/>
      <c r="G6" s="137" t="s">
        <v>152</v>
      </c>
      <c r="H6" s="138"/>
      <c r="I6" s="145">
        <v>127</v>
      </c>
      <c r="J6" s="150"/>
      <c r="K6" s="125" t="s">
        <v>152</v>
      </c>
      <c r="L6" s="126"/>
      <c r="M6" s="127">
        <v>127</v>
      </c>
      <c r="N6" s="149"/>
      <c r="O6" s="137" t="s">
        <v>152</v>
      </c>
      <c r="P6" s="138"/>
      <c r="Q6" s="145">
        <v>127</v>
      </c>
      <c r="R6" s="146"/>
      <c r="S6" s="125" t="s">
        <v>152</v>
      </c>
      <c r="T6" s="126"/>
      <c r="U6" s="127">
        <v>127</v>
      </c>
      <c r="V6" s="128"/>
    </row>
    <row r="7" spans="1:23" ht="18.75" customHeight="1" thickBot="1">
      <c r="A7" s="129" t="s">
        <v>9</v>
      </c>
      <c r="B7" s="132" t="s">
        <v>183</v>
      </c>
      <c r="C7" s="133"/>
      <c r="D7" s="134"/>
      <c r="E7" s="135" t="s">
        <v>182</v>
      </c>
      <c r="F7" s="136"/>
      <c r="G7" s="137" t="s">
        <v>153</v>
      </c>
      <c r="H7" s="138"/>
      <c r="I7" s="25"/>
      <c r="J7" s="43"/>
      <c r="K7" s="125" t="s">
        <v>153</v>
      </c>
      <c r="L7" s="126"/>
      <c r="M7" s="19"/>
      <c r="N7" s="44"/>
      <c r="O7" s="137" t="s">
        <v>153</v>
      </c>
      <c r="P7" s="138"/>
      <c r="Q7" s="25"/>
      <c r="R7" s="43"/>
      <c r="S7" s="125" t="s">
        <v>153</v>
      </c>
      <c r="T7" s="126"/>
      <c r="U7" s="19"/>
      <c r="V7" s="45"/>
    </row>
    <row r="8" spans="1:23" ht="75" customHeight="1">
      <c r="A8" s="130"/>
      <c r="B8" s="139" t="s">
        <v>139</v>
      </c>
      <c r="C8" s="14" t="s">
        <v>3</v>
      </c>
      <c r="D8" s="15" t="s">
        <v>140</v>
      </c>
      <c r="E8" s="114" t="s">
        <v>184</v>
      </c>
      <c r="F8" s="106" t="s">
        <v>185</v>
      </c>
      <c r="G8" s="27" t="s">
        <v>146</v>
      </c>
      <c r="H8" s="11" t="s">
        <v>177</v>
      </c>
      <c r="I8" s="11" t="s">
        <v>148</v>
      </c>
      <c r="J8" s="28" t="s">
        <v>150</v>
      </c>
      <c r="K8" s="31" t="s">
        <v>146</v>
      </c>
      <c r="L8" s="10" t="s">
        <v>175</v>
      </c>
      <c r="M8" s="10" t="s">
        <v>148</v>
      </c>
      <c r="N8" s="32" t="s">
        <v>150</v>
      </c>
      <c r="O8" s="27" t="s">
        <v>146</v>
      </c>
      <c r="P8" s="11" t="s">
        <v>177</v>
      </c>
      <c r="Q8" s="11" t="s">
        <v>148</v>
      </c>
      <c r="R8" s="28" t="s">
        <v>150</v>
      </c>
      <c r="S8" s="31" t="s">
        <v>146</v>
      </c>
      <c r="T8" s="10" t="s">
        <v>177</v>
      </c>
      <c r="U8" s="10" t="s">
        <v>148</v>
      </c>
      <c r="V8" s="35" t="s">
        <v>150</v>
      </c>
    </row>
    <row r="9" spans="1:23" ht="15.75" customHeight="1" thickBot="1">
      <c r="A9" s="131"/>
      <c r="B9" s="140"/>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19" t="s">
        <v>155</v>
      </c>
      <c r="B41" s="120"/>
      <c r="C41" s="120"/>
      <c r="D41" s="121"/>
      <c r="E41" s="121"/>
      <c r="F41" s="121"/>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22" t="s">
        <v>154</v>
      </c>
      <c r="B42" s="123"/>
      <c r="C42" s="123"/>
      <c r="D42" s="124"/>
      <c r="E42" s="124"/>
      <c r="F42" s="124"/>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I2" sqref="I2:J2"/>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7" t="s">
        <v>181</v>
      </c>
      <c r="B1" s="168"/>
      <c r="C1" s="168"/>
      <c r="D1" s="169" t="s">
        <v>186</v>
      </c>
      <c r="E1" s="169"/>
      <c r="F1" s="170"/>
      <c r="G1" s="171" t="s">
        <v>4</v>
      </c>
      <c r="H1" s="172"/>
      <c r="I1" s="169" t="s">
        <v>190</v>
      </c>
      <c r="J1" s="169"/>
      <c r="K1" s="169"/>
      <c r="L1" s="169"/>
      <c r="M1" s="169"/>
      <c r="N1" s="170"/>
      <c r="O1" s="42" t="s">
        <v>7</v>
      </c>
      <c r="P1" s="165" t="s">
        <v>27</v>
      </c>
      <c r="Q1" s="166"/>
      <c r="R1" s="42" t="s">
        <v>5</v>
      </c>
      <c r="S1" s="165"/>
      <c r="T1" s="166"/>
      <c r="U1" s="117" t="s">
        <v>6</v>
      </c>
      <c r="V1" s="116"/>
      <c r="W1" s="2"/>
    </row>
    <row r="2" spans="1:23" ht="18.75" customHeight="1">
      <c r="A2" s="161" t="s">
        <v>176</v>
      </c>
      <c r="B2" s="162"/>
      <c r="C2" s="162"/>
      <c r="D2" s="162"/>
      <c r="E2" s="162"/>
      <c r="F2" s="162"/>
      <c r="G2" s="159" t="s">
        <v>143</v>
      </c>
      <c r="H2" s="160"/>
      <c r="I2" s="151">
        <v>10</v>
      </c>
      <c r="J2" s="152"/>
      <c r="K2" s="153" t="s">
        <v>143</v>
      </c>
      <c r="L2" s="154"/>
      <c r="M2" s="155">
        <v>11</v>
      </c>
      <c r="N2" s="164"/>
      <c r="O2" s="159" t="s">
        <v>143</v>
      </c>
      <c r="P2" s="160"/>
      <c r="Q2" s="151">
        <v>12</v>
      </c>
      <c r="R2" s="152"/>
      <c r="S2" s="153" t="s">
        <v>143</v>
      </c>
      <c r="T2" s="154"/>
      <c r="U2" s="155">
        <v>13</v>
      </c>
      <c r="V2" s="156"/>
    </row>
    <row r="3" spans="1:23" ht="18.75" customHeight="1">
      <c r="A3" s="163"/>
      <c r="B3" s="162"/>
      <c r="C3" s="162"/>
      <c r="D3" s="162"/>
      <c r="E3" s="162"/>
      <c r="F3" s="162"/>
      <c r="G3" s="147" t="s">
        <v>144</v>
      </c>
      <c r="H3" s="157"/>
      <c r="I3" s="145">
        <v>1.75</v>
      </c>
      <c r="J3" s="146"/>
      <c r="K3" s="148" t="s">
        <v>144</v>
      </c>
      <c r="L3" s="158"/>
      <c r="M3" s="127">
        <v>2.4700000000000002</v>
      </c>
      <c r="N3" s="149"/>
      <c r="O3" s="147" t="s">
        <v>144</v>
      </c>
      <c r="P3" s="157"/>
      <c r="Q3" s="145">
        <v>1.62</v>
      </c>
      <c r="R3" s="146"/>
      <c r="S3" s="148" t="s">
        <v>144</v>
      </c>
      <c r="T3" s="158"/>
      <c r="U3" s="127">
        <v>1.19</v>
      </c>
      <c r="V3" s="128"/>
    </row>
    <row r="4" spans="1:23" ht="18.75" customHeight="1">
      <c r="A4" s="163"/>
      <c r="B4" s="162"/>
      <c r="C4" s="162"/>
      <c r="D4" s="162"/>
      <c r="E4" s="162"/>
      <c r="F4" s="162"/>
      <c r="G4" s="147" t="s">
        <v>145</v>
      </c>
      <c r="H4" s="138"/>
      <c r="I4" s="145"/>
      <c r="J4" s="146"/>
      <c r="K4" s="148" t="s">
        <v>145</v>
      </c>
      <c r="L4" s="126"/>
      <c r="M4" s="127"/>
      <c r="N4" s="149"/>
      <c r="O4" s="147" t="s">
        <v>145</v>
      </c>
      <c r="P4" s="138"/>
      <c r="Q4" s="145"/>
      <c r="R4" s="146"/>
      <c r="S4" s="148" t="s">
        <v>145</v>
      </c>
      <c r="T4" s="126"/>
      <c r="U4" s="127"/>
      <c r="V4" s="128"/>
    </row>
    <row r="5" spans="1:23" ht="18.75" customHeight="1">
      <c r="A5" s="141"/>
      <c r="B5" s="142"/>
      <c r="C5" s="142"/>
      <c r="D5" s="142"/>
      <c r="E5" s="142"/>
      <c r="F5" s="142"/>
      <c r="G5" s="147" t="s">
        <v>151</v>
      </c>
      <c r="H5" s="138"/>
      <c r="I5" s="145">
        <v>0.2</v>
      </c>
      <c r="J5" s="146"/>
      <c r="K5" s="148" t="s">
        <v>151</v>
      </c>
      <c r="L5" s="126"/>
      <c r="M5" s="127">
        <v>0.2</v>
      </c>
      <c r="N5" s="149"/>
      <c r="O5" s="147" t="s">
        <v>151</v>
      </c>
      <c r="P5" s="138"/>
      <c r="Q5" s="145">
        <v>0.2</v>
      </c>
      <c r="R5" s="146"/>
      <c r="S5" s="148" t="s">
        <v>151</v>
      </c>
      <c r="T5" s="126"/>
      <c r="U5" s="127">
        <v>0.2</v>
      </c>
      <c r="V5" s="128"/>
    </row>
    <row r="6" spans="1:23" ht="18.75" customHeight="1" thickBot="1">
      <c r="A6" s="143"/>
      <c r="B6" s="144"/>
      <c r="C6" s="144"/>
      <c r="D6" s="144"/>
      <c r="E6" s="144"/>
      <c r="F6" s="144"/>
      <c r="G6" s="137" t="s">
        <v>152</v>
      </c>
      <c r="H6" s="138"/>
      <c r="I6" s="145">
        <v>127</v>
      </c>
      <c r="J6" s="150"/>
      <c r="K6" s="125" t="s">
        <v>152</v>
      </c>
      <c r="L6" s="126"/>
      <c r="M6" s="127">
        <v>127</v>
      </c>
      <c r="N6" s="149"/>
      <c r="O6" s="137" t="s">
        <v>152</v>
      </c>
      <c r="P6" s="138"/>
      <c r="Q6" s="145">
        <v>127</v>
      </c>
      <c r="R6" s="146"/>
      <c r="S6" s="125" t="s">
        <v>152</v>
      </c>
      <c r="T6" s="126"/>
      <c r="U6" s="127">
        <v>127</v>
      </c>
      <c r="V6" s="128"/>
    </row>
    <row r="7" spans="1:23" ht="18.75" customHeight="1" thickBot="1">
      <c r="A7" s="129" t="s">
        <v>9</v>
      </c>
      <c r="B7" s="132" t="s">
        <v>183</v>
      </c>
      <c r="C7" s="133"/>
      <c r="D7" s="134"/>
      <c r="E7" s="135" t="s">
        <v>182</v>
      </c>
      <c r="F7" s="136"/>
      <c r="G7" s="137" t="s">
        <v>153</v>
      </c>
      <c r="H7" s="138"/>
      <c r="I7" s="25"/>
      <c r="J7" s="43"/>
      <c r="K7" s="125" t="s">
        <v>153</v>
      </c>
      <c r="L7" s="126"/>
      <c r="M7" s="19"/>
      <c r="N7" s="44"/>
      <c r="O7" s="137" t="s">
        <v>153</v>
      </c>
      <c r="P7" s="138"/>
      <c r="Q7" s="25"/>
      <c r="R7" s="43"/>
      <c r="S7" s="125" t="s">
        <v>153</v>
      </c>
      <c r="T7" s="126"/>
      <c r="U7" s="19"/>
      <c r="V7" s="45"/>
    </row>
    <row r="8" spans="1:23" ht="75" customHeight="1">
      <c r="A8" s="130"/>
      <c r="B8" s="139" t="s">
        <v>139</v>
      </c>
      <c r="C8" s="14" t="s">
        <v>3</v>
      </c>
      <c r="D8" s="15" t="s">
        <v>140</v>
      </c>
      <c r="E8" s="114" t="s">
        <v>184</v>
      </c>
      <c r="F8" s="106" t="s">
        <v>185</v>
      </c>
      <c r="G8" s="27" t="s">
        <v>146</v>
      </c>
      <c r="H8" s="11" t="s">
        <v>177</v>
      </c>
      <c r="I8" s="11" t="s">
        <v>148</v>
      </c>
      <c r="J8" s="28" t="s">
        <v>150</v>
      </c>
      <c r="K8" s="31" t="s">
        <v>146</v>
      </c>
      <c r="L8" s="10" t="s">
        <v>175</v>
      </c>
      <c r="M8" s="10" t="s">
        <v>148</v>
      </c>
      <c r="N8" s="32" t="s">
        <v>150</v>
      </c>
      <c r="O8" s="27" t="s">
        <v>146</v>
      </c>
      <c r="P8" s="11" t="s">
        <v>177</v>
      </c>
      <c r="Q8" s="11" t="s">
        <v>148</v>
      </c>
      <c r="R8" s="28" t="s">
        <v>150</v>
      </c>
      <c r="S8" s="31" t="s">
        <v>146</v>
      </c>
      <c r="T8" s="10" t="s">
        <v>177</v>
      </c>
      <c r="U8" s="10" t="s">
        <v>148</v>
      </c>
      <c r="V8" s="35" t="s">
        <v>150</v>
      </c>
    </row>
    <row r="9" spans="1:23" ht="15.75" customHeight="1" thickBot="1">
      <c r="A9" s="131"/>
      <c r="B9" s="140"/>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19" t="s">
        <v>155</v>
      </c>
      <c r="B41" s="120"/>
      <c r="C41" s="120"/>
      <c r="D41" s="121"/>
      <c r="E41" s="121"/>
      <c r="F41" s="121"/>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22" t="s">
        <v>154</v>
      </c>
      <c r="B42" s="123"/>
      <c r="C42" s="123"/>
      <c r="D42" s="124"/>
      <c r="E42" s="124"/>
      <c r="F42" s="124"/>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S6:S7 D8:F8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I1" sqref="I1:N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7" t="s">
        <v>181</v>
      </c>
      <c r="B1" s="168"/>
      <c r="C1" s="168"/>
      <c r="D1" s="169" t="s">
        <v>186</v>
      </c>
      <c r="E1" s="169"/>
      <c r="F1" s="170"/>
      <c r="G1" s="171" t="s">
        <v>4</v>
      </c>
      <c r="H1" s="172"/>
      <c r="I1" s="169" t="s">
        <v>190</v>
      </c>
      <c r="J1" s="169"/>
      <c r="K1" s="169"/>
      <c r="L1" s="169"/>
      <c r="M1" s="169"/>
      <c r="N1" s="170"/>
      <c r="O1" s="42" t="s">
        <v>7</v>
      </c>
      <c r="P1" s="165" t="s">
        <v>27</v>
      </c>
      <c r="Q1" s="166"/>
      <c r="R1" s="42" t="s">
        <v>5</v>
      </c>
      <c r="S1" s="165"/>
      <c r="T1" s="166"/>
      <c r="U1" s="117" t="s">
        <v>6</v>
      </c>
      <c r="V1" s="116"/>
      <c r="W1" s="2"/>
    </row>
    <row r="2" spans="1:23" ht="18.75" customHeight="1">
      <c r="A2" s="161" t="s">
        <v>176</v>
      </c>
      <c r="B2" s="162"/>
      <c r="C2" s="162"/>
      <c r="D2" s="162"/>
      <c r="E2" s="162"/>
      <c r="F2" s="162"/>
      <c r="G2" s="159" t="s">
        <v>143</v>
      </c>
      <c r="H2" s="160"/>
      <c r="I2" s="151">
        <v>14</v>
      </c>
      <c r="J2" s="152"/>
      <c r="K2" s="153" t="s">
        <v>143</v>
      </c>
      <c r="L2" s="154"/>
      <c r="M2" s="155" t="s">
        <v>187</v>
      </c>
      <c r="N2" s="164"/>
      <c r="O2" s="159" t="s">
        <v>143</v>
      </c>
      <c r="P2" s="160"/>
      <c r="Q2" s="151" t="s">
        <v>188</v>
      </c>
      <c r="R2" s="152"/>
      <c r="S2" s="153" t="s">
        <v>143</v>
      </c>
      <c r="T2" s="154"/>
      <c r="U2" s="155" t="s">
        <v>189</v>
      </c>
      <c r="V2" s="156"/>
    </row>
    <row r="3" spans="1:23" ht="18.75" customHeight="1">
      <c r="A3" s="163"/>
      <c r="B3" s="162"/>
      <c r="C3" s="162"/>
      <c r="D3" s="162"/>
      <c r="E3" s="162"/>
      <c r="F3" s="162"/>
      <c r="G3" s="147" t="s">
        <v>144</v>
      </c>
      <c r="H3" s="157"/>
      <c r="I3" s="145">
        <v>0.98</v>
      </c>
      <c r="J3" s="146"/>
      <c r="K3" s="148" t="s">
        <v>144</v>
      </c>
      <c r="L3" s="158"/>
      <c r="M3" s="127">
        <v>6.3</v>
      </c>
      <c r="N3" s="149"/>
      <c r="O3" s="147" t="s">
        <v>144</v>
      </c>
      <c r="P3" s="157"/>
      <c r="Q3" s="145">
        <v>2.2000000000000002</v>
      </c>
      <c r="R3" s="146"/>
      <c r="S3" s="148" t="s">
        <v>144</v>
      </c>
      <c r="T3" s="158"/>
      <c r="U3" s="127">
        <v>2.5</v>
      </c>
      <c r="V3" s="128"/>
    </row>
    <row r="4" spans="1:23" ht="18.75" customHeight="1">
      <c r="A4" s="163"/>
      <c r="B4" s="162"/>
      <c r="C4" s="162"/>
      <c r="D4" s="162"/>
      <c r="E4" s="162"/>
      <c r="F4" s="162"/>
      <c r="G4" s="147" t="s">
        <v>145</v>
      </c>
      <c r="H4" s="138"/>
      <c r="I4" s="145"/>
      <c r="J4" s="146"/>
      <c r="K4" s="148" t="s">
        <v>145</v>
      </c>
      <c r="L4" s="126"/>
      <c r="M4" s="127"/>
      <c r="N4" s="149"/>
      <c r="O4" s="147" t="s">
        <v>145</v>
      </c>
      <c r="P4" s="138"/>
      <c r="Q4" s="145"/>
      <c r="R4" s="146"/>
      <c r="S4" s="148" t="s">
        <v>145</v>
      </c>
      <c r="T4" s="126"/>
      <c r="U4" s="127"/>
      <c r="V4" s="128"/>
    </row>
    <row r="5" spans="1:23" ht="18.75" customHeight="1">
      <c r="A5" s="141"/>
      <c r="B5" s="142"/>
      <c r="C5" s="142"/>
      <c r="D5" s="142"/>
      <c r="E5" s="142"/>
      <c r="F5" s="142"/>
      <c r="G5" s="147" t="s">
        <v>151</v>
      </c>
      <c r="H5" s="138"/>
      <c r="I5" s="145">
        <v>0.2</v>
      </c>
      <c r="J5" s="146"/>
      <c r="K5" s="148" t="s">
        <v>151</v>
      </c>
      <c r="L5" s="126"/>
      <c r="M5" s="127">
        <v>0.4</v>
      </c>
      <c r="N5" s="149"/>
      <c r="O5" s="147" t="s">
        <v>151</v>
      </c>
      <c r="P5" s="138"/>
      <c r="Q5" s="145">
        <v>0.4</v>
      </c>
      <c r="R5" s="146"/>
      <c r="S5" s="148" t="s">
        <v>151</v>
      </c>
      <c r="T5" s="126"/>
      <c r="U5" s="127">
        <v>0.4</v>
      </c>
      <c r="V5" s="128"/>
    </row>
    <row r="6" spans="1:23" ht="18.75" customHeight="1" thickBot="1">
      <c r="A6" s="143"/>
      <c r="B6" s="144"/>
      <c r="C6" s="144"/>
      <c r="D6" s="144"/>
      <c r="E6" s="144"/>
      <c r="F6" s="144"/>
      <c r="G6" s="137" t="s">
        <v>152</v>
      </c>
      <c r="H6" s="138"/>
      <c r="I6" s="145">
        <v>127</v>
      </c>
      <c r="J6" s="150"/>
      <c r="K6" s="125" t="s">
        <v>152</v>
      </c>
      <c r="L6" s="126"/>
      <c r="M6" s="127">
        <v>156</v>
      </c>
      <c r="N6" s="149"/>
      <c r="O6" s="137" t="s">
        <v>152</v>
      </c>
      <c r="P6" s="138"/>
      <c r="Q6" s="145">
        <v>52</v>
      </c>
      <c r="R6" s="146"/>
      <c r="S6" s="125" t="s">
        <v>152</v>
      </c>
      <c r="T6" s="126"/>
      <c r="U6" s="127">
        <v>156</v>
      </c>
      <c r="V6" s="128"/>
    </row>
    <row r="7" spans="1:23" ht="18.75" customHeight="1" thickBot="1">
      <c r="A7" s="129" t="s">
        <v>9</v>
      </c>
      <c r="B7" s="132" t="s">
        <v>183</v>
      </c>
      <c r="C7" s="133"/>
      <c r="D7" s="134"/>
      <c r="E7" s="135" t="s">
        <v>182</v>
      </c>
      <c r="F7" s="136"/>
      <c r="G7" s="137" t="s">
        <v>153</v>
      </c>
      <c r="H7" s="138"/>
      <c r="I7" s="25"/>
      <c r="J7" s="43"/>
      <c r="K7" s="125" t="s">
        <v>153</v>
      </c>
      <c r="L7" s="126"/>
      <c r="M7" s="19"/>
      <c r="N7" s="44"/>
      <c r="O7" s="137" t="s">
        <v>153</v>
      </c>
      <c r="P7" s="138"/>
      <c r="Q7" s="25"/>
      <c r="R7" s="43"/>
      <c r="S7" s="125" t="s">
        <v>153</v>
      </c>
      <c r="T7" s="126"/>
      <c r="U7" s="19"/>
      <c r="V7" s="45"/>
    </row>
    <row r="8" spans="1:23" ht="75" customHeight="1">
      <c r="A8" s="130"/>
      <c r="B8" s="139" t="s">
        <v>139</v>
      </c>
      <c r="C8" s="14" t="s">
        <v>3</v>
      </c>
      <c r="D8" s="15" t="s">
        <v>140</v>
      </c>
      <c r="E8" s="114" t="s">
        <v>184</v>
      </c>
      <c r="F8" s="106" t="s">
        <v>185</v>
      </c>
      <c r="G8" s="27" t="s">
        <v>146</v>
      </c>
      <c r="H8" s="11" t="s">
        <v>177</v>
      </c>
      <c r="I8" s="11" t="s">
        <v>148</v>
      </c>
      <c r="J8" s="28" t="s">
        <v>150</v>
      </c>
      <c r="K8" s="31" t="s">
        <v>146</v>
      </c>
      <c r="L8" s="10" t="s">
        <v>175</v>
      </c>
      <c r="M8" s="10" t="s">
        <v>148</v>
      </c>
      <c r="N8" s="32" t="s">
        <v>150</v>
      </c>
      <c r="O8" s="27" t="s">
        <v>146</v>
      </c>
      <c r="P8" s="11" t="s">
        <v>177</v>
      </c>
      <c r="Q8" s="11" t="s">
        <v>148</v>
      </c>
      <c r="R8" s="28" t="s">
        <v>150</v>
      </c>
      <c r="S8" s="31" t="s">
        <v>146</v>
      </c>
      <c r="T8" s="10" t="s">
        <v>177</v>
      </c>
      <c r="U8" s="10" t="s">
        <v>148</v>
      </c>
      <c r="V8" s="35" t="s">
        <v>150</v>
      </c>
    </row>
    <row r="9" spans="1:23" ht="15.75" customHeight="1" thickBot="1">
      <c r="A9" s="131"/>
      <c r="B9" s="140"/>
      <c r="C9" s="18" t="s">
        <v>142</v>
      </c>
      <c r="D9" s="8" t="s">
        <v>141</v>
      </c>
      <c r="E9" s="115" t="s">
        <v>138</v>
      </c>
      <c r="F9" s="113" t="s">
        <v>138</v>
      </c>
      <c r="G9" s="29" t="s">
        <v>149</v>
      </c>
      <c r="H9" s="9" t="s">
        <v>147</v>
      </c>
      <c r="I9" s="9" t="s">
        <v>141</v>
      </c>
      <c r="J9" s="30" t="s">
        <v>141</v>
      </c>
      <c r="K9" s="33" t="s">
        <v>149</v>
      </c>
      <c r="L9" s="7" t="s">
        <v>147</v>
      </c>
      <c r="M9" s="7" t="s">
        <v>141</v>
      </c>
      <c r="N9" s="34" t="s">
        <v>141</v>
      </c>
      <c r="O9" s="29" t="s">
        <v>149</v>
      </c>
      <c r="P9" s="9" t="s">
        <v>147</v>
      </c>
      <c r="Q9" s="9" t="s">
        <v>141</v>
      </c>
      <c r="R9" s="30" t="s">
        <v>141</v>
      </c>
      <c r="S9" s="33" t="s">
        <v>149</v>
      </c>
      <c r="T9" s="7" t="s">
        <v>147</v>
      </c>
      <c r="U9" s="41" t="s">
        <v>141</v>
      </c>
      <c r="V9" s="99" t="s">
        <v>141</v>
      </c>
    </row>
    <row r="10" spans="1:23" ht="15" customHeight="1">
      <c r="A10" s="5">
        <v>1</v>
      </c>
      <c r="B10" s="16"/>
      <c r="C10" s="17"/>
      <c r="D10" s="46"/>
      <c r="E10" s="110"/>
      <c r="F10" s="109"/>
      <c r="G10" s="49"/>
      <c r="H10" s="20"/>
      <c r="I10" s="53" t="str">
        <f t="shared" ref="I10:I40" si="0">IF((ISBLANK($G10))," ",($G10)/($I$3*27152))</f>
        <v xml:space="preserve"> </v>
      </c>
      <c r="J10" s="64" t="str">
        <f>IF((ISBLANK(H10)), " ", IF(H10&lt;60, I10, (I10/H10)*60))</f>
        <v xml:space="preserve"> </v>
      </c>
      <c r="K10" s="90"/>
      <c r="L10" s="91"/>
      <c r="M10" s="61" t="str">
        <f>IF((ISBLANK($K10))," ",($K10)/($M$3*27152))</f>
        <v xml:space="preserve"> </v>
      </c>
      <c r="N10" s="96" t="str">
        <f>IF((ISBLANK(L10)), " ", IF(L10&lt;60, M10, (M10/L10)*60))</f>
        <v xml:space="preserve"> </v>
      </c>
      <c r="O10" s="49"/>
      <c r="P10" s="20"/>
      <c r="Q10" s="53" t="str">
        <f>IF((ISBLANK($O10))," ",($O10)/($Q$3*27152))</f>
        <v xml:space="preserve"> </v>
      </c>
      <c r="R10" s="64" t="str">
        <f>IF((ISBLANK(P10)), " ", IF(P10&lt;60, Q10, (Q10/P10)*60))</f>
        <v xml:space="preserve"> </v>
      </c>
      <c r="S10" s="57"/>
      <c r="T10" s="22"/>
      <c r="U10" s="61" t="str">
        <f>IF((ISBLANK($S10))," ",($S10)/($U$3*27152))</f>
        <v xml:space="preserve"> </v>
      </c>
      <c r="V10" s="100" t="str">
        <f>IF((ISBLANK(T10)), " ", IF(T10&lt;60, U10, (U10/T10)*60))</f>
        <v xml:space="preserve"> </v>
      </c>
    </row>
    <row r="11" spans="1:23" ht="15" customHeight="1">
      <c r="A11" s="5">
        <v>2</v>
      </c>
      <c r="B11" s="16"/>
      <c r="C11" s="3"/>
      <c r="D11" s="47"/>
      <c r="E11" s="111"/>
      <c r="F11" s="107"/>
      <c r="G11" s="50"/>
      <c r="H11" s="13"/>
      <c r="I11" s="54" t="str">
        <f t="shared" si="0"/>
        <v xml:space="preserve"> </v>
      </c>
      <c r="J11" s="65" t="str">
        <f t="shared" ref="J11:J40" si="1">IF((ISBLANK(H11)), " ", IF(H11&lt;60, I11, (I11/H11)*60))</f>
        <v xml:space="preserve"> </v>
      </c>
      <c r="K11" s="93"/>
      <c r="L11" s="3"/>
      <c r="M11" s="62" t="str">
        <f t="shared" ref="M11:M40" si="2">IF((ISBLANK($K11))," ",($K11)/($M$3*27152))</f>
        <v xml:space="preserve"> </v>
      </c>
      <c r="N11" s="98" t="str">
        <f t="shared" ref="N11:N40" si="3">IF((ISBLANK(L11)), " ", IF(L11&lt;60, M11, (M11/L11)*60))</f>
        <v xml:space="preserve"> </v>
      </c>
      <c r="O11" s="50"/>
      <c r="P11" s="13"/>
      <c r="Q11" s="54" t="str">
        <f>IF((ISBLANK($O11))," ",($O11)/($Q$3*27152))</f>
        <v xml:space="preserve"> </v>
      </c>
      <c r="R11" s="65" t="str">
        <f t="shared" ref="R11:R40" si="4">IF((ISBLANK(P11)), " ", IF(P11&lt;60, Q11, (Q11/P11)*60))</f>
        <v xml:space="preserve"> </v>
      </c>
      <c r="S11" s="58"/>
      <c r="T11" s="23"/>
      <c r="U11" s="62" t="str">
        <f>IF((ISBLANK($S11))," ",($S11)/($U$3*27152))</f>
        <v xml:space="preserve"> </v>
      </c>
      <c r="V11" s="101" t="str">
        <f t="shared" ref="V11:V40" si="5">IF((ISBLANK(T11)), " ", IF(T11&lt;60, U11, (U11/T11)*60))</f>
        <v xml:space="preserve"> </v>
      </c>
    </row>
    <row r="12" spans="1:23" ht="15" customHeight="1">
      <c r="A12" s="5">
        <v>3</v>
      </c>
      <c r="B12" s="16"/>
      <c r="C12" s="3"/>
      <c r="D12" s="47"/>
      <c r="E12" s="111"/>
      <c r="F12" s="107"/>
      <c r="G12" s="50"/>
      <c r="H12" s="13"/>
      <c r="I12" s="54" t="str">
        <f t="shared" si="0"/>
        <v xml:space="preserve"> </v>
      </c>
      <c r="J12" s="65" t="str">
        <f t="shared" si="1"/>
        <v xml:space="preserve"> </v>
      </c>
      <c r="K12" s="93"/>
      <c r="L12" s="3"/>
      <c r="M12" s="62" t="str">
        <f t="shared" si="2"/>
        <v xml:space="preserve"> </v>
      </c>
      <c r="N12" s="98" t="str">
        <f t="shared" si="3"/>
        <v xml:space="preserve"> </v>
      </c>
      <c r="O12" s="50"/>
      <c r="P12" s="13"/>
      <c r="Q12" s="54" t="str">
        <f t="shared" ref="Q12:Q40" si="6">IF((ISBLANK($O12))," ",($O12)/($Q$3*27152))</f>
        <v xml:space="preserve"> </v>
      </c>
      <c r="R12" s="65" t="str">
        <f t="shared" si="4"/>
        <v xml:space="preserve"> </v>
      </c>
      <c r="S12" s="58"/>
      <c r="T12" s="23"/>
      <c r="U12" s="62" t="str">
        <f t="shared" ref="U12:U40" si="7">IF((ISBLANK($S12))," ",($S12)/($U$3*27152))</f>
        <v xml:space="preserve"> </v>
      </c>
      <c r="V12" s="101" t="str">
        <f t="shared" si="5"/>
        <v xml:space="preserve"> </v>
      </c>
    </row>
    <row r="13" spans="1:23" ht="15" customHeight="1">
      <c r="A13" s="5">
        <v>4</v>
      </c>
      <c r="B13" s="16"/>
      <c r="C13" s="3"/>
      <c r="D13" s="47"/>
      <c r="E13" s="111"/>
      <c r="F13" s="107"/>
      <c r="G13" s="50"/>
      <c r="H13" s="13"/>
      <c r="I13" s="54" t="str">
        <f t="shared" si="0"/>
        <v xml:space="preserve"> </v>
      </c>
      <c r="J13" s="65" t="str">
        <f t="shared" si="1"/>
        <v xml:space="preserve"> </v>
      </c>
      <c r="K13" s="93"/>
      <c r="L13" s="3"/>
      <c r="M13" s="62" t="str">
        <f t="shared" si="2"/>
        <v xml:space="preserve"> </v>
      </c>
      <c r="N13" s="98" t="str">
        <f t="shared" si="3"/>
        <v xml:space="preserve"> </v>
      </c>
      <c r="O13" s="50"/>
      <c r="P13" s="13"/>
      <c r="Q13" s="54" t="str">
        <f t="shared" si="6"/>
        <v xml:space="preserve"> </v>
      </c>
      <c r="R13" s="65" t="str">
        <f t="shared" si="4"/>
        <v xml:space="preserve"> </v>
      </c>
      <c r="S13" s="58"/>
      <c r="T13" s="23"/>
      <c r="U13" s="62" t="str">
        <f t="shared" si="7"/>
        <v xml:space="preserve"> </v>
      </c>
      <c r="V13" s="101" t="str">
        <f t="shared" si="5"/>
        <v xml:space="preserve"> </v>
      </c>
    </row>
    <row r="14" spans="1:23" ht="15" customHeight="1">
      <c r="A14" s="5">
        <v>5</v>
      </c>
      <c r="B14" s="16"/>
      <c r="C14" s="3"/>
      <c r="D14" s="47"/>
      <c r="E14" s="111"/>
      <c r="F14" s="107"/>
      <c r="G14" s="50"/>
      <c r="H14" s="13"/>
      <c r="I14" s="54" t="str">
        <f t="shared" si="0"/>
        <v xml:space="preserve"> </v>
      </c>
      <c r="J14" s="65" t="str">
        <f t="shared" si="1"/>
        <v xml:space="preserve"> </v>
      </c>
      <c r="K14" s="93"/>
      <c r="L14" s="3"/>
      <c r="M14" s="62" t="str">
        <f t="shared" si="2"/>
        <v xml:space="preserve"> </v>
      </c>
      <c r="N14" s="98" t="str">
        <f t="shared" si="3"/>
        <v xml:space="preserve"> </v>
      </c>
      <c r="O14" s="50"/>
      <c r="P14" s="13"/>
      <c r="Q14" s="54" t="str">
        <f t="shared" si="6"/>
        <v xml:space="preserve"> </v>
      </c>
      <c r="R14" s="65" t="str">
        <f t="shared" si="4"/>
        <v xml:space="preserve"> </v>
      </c>
      <c r="S14" s="58"/>
      <c r="T14" s="23"/>
      <c r="U14" s="62" t="str">
        <f t="shared" si="7"/>
        <v xml:space="preserve"> </v>
      </c>
      <c r="V14" s="101" t="str">
        <f t="shared" si="5"/>
        <v xml:space="preserve"> </v>
      </c>
    </row>
    <row r="15" spans="1:23" ht="15" customHeight="1">
      <c r="A15" s="5">
        <v>6</v>
      </c>
      <c r="B15" s="16"/>
      <c r="C15" s="3"/>
      <c r="D15" s="47"/>
      <c r="E15" s="111"/>
      <c r="F15" s="107"/>
      <c r="G15" s="50"/>
      <c r="H15" s="13"/>
      <c r="I15" s="54" t="str">
        <f t="shared" si="0"/>
        <v xml:space="preserve"> </v>
      </c>
      <c r="J15" s="65" t="str">
        <f t="shared" si="1"/>
        <v xml:space="preserve"> </v>
      </c>
      <c r="K15" s="93"/>
      <c r="L15" s="3"/>
      <c r="M15" s="62" t="str">
        <f t="shared" si="2"/>
        <v xml:space="preserve"> </v>
      </c>
      <c r="N15" s="98" t="str">
        <f t="shared" si="3"/>
        <v xml:space="preserve"> </v>
      </c>
      <c r="O15" s="50"/>
      <c r="P15" s="13"/>
      <c r="Q15" s="54" t="str">
        <f t="shared" si="6"/>
        <v xml:space="preserve"> </v>
      </c>
      <c r="R15" s="65" t="str">
        <f t="shared" si="4"/>
        <v xml:space="preserve"> </v>
      </c>
      <c r="S15" s="58"/>
      <c r="T15" s="23"/>
      <c r="U15" s="62" t="str">
        <f t="shared" si="7"/>
        <v xml:space="preserve"> </v>
      </c>
      <c r="V15" s="101" t="str">
        <f t="shared" si="5"/>
        <v xml:space="preserve"> </v>
      </c>
    </row>
    <row r="16" spans="1:23" ht="15" customHeight="1">
      <c r="A16" s="5">
        <v>7</v>
      </c>
      <c r="B16" s="16"/>
      <c r="C16" s="3"/>
      <c r="D16" s="47"/>
      <c r="E16" s="111"/>
      <c r="F16" s="107"/>
      <c r="G16" s="50"/>
      <c r="H16" s="13"/>
      <c r="I16" s="54" t="str">
        <f t="shared" si="0"/>
        <v xml:space="preserve"> </v>
      </c>
      <c r="J16" s="65" t="str">
        <f t="shared" si="1"/>
        <v xml:space="preserve"> </v>
      </c>
      <c r="K16" s="93"/>
      <c r="L16" s="3"/>
      <c r="M16" s="62" t="str">
        <f t="shared" si="2"/>
        <v xml:space="preserve"> </v>
      </c>
      <c r="N16" s="98" t="str">
        <f t="shared" si="3"/>
        <v xml:space="preserve"> </v>
      </c>
      <c r="O16" s="50"/>
      <c r="P16" s="13"/>
      <c r="Q16" s="54" t="str">
        <f t="shared" si="6"/>
        <v xml:space="preserve"> </v>
      </c>
      <c r="R16" s="65" t="str">
        <f t="shared" si="4"/>
        <v xml:space="preserve"> </v>
      </c>
      <c r="S16" s="58"/>
      <c r="T16" s="23"/>
      <c r="U16" s="62" t="str">
        <f t="shared" si="7"/>
        <v xml:space="preserve"> </v>
      </c>
      <c r="V16" s="101" t="str">
        <f t="shared" si="5"/>
        <v xml:space="preserve"> </v>
      </c>
    </row>
    <row r="17" spans="1:22" ht="15" customHeight="1">
      <c r="A17" s="5">
        <v>8</v>
      </c>
      <c r="B17" s="16"/>
      <c r="C17" s="3"/>
      <c r="D17" s="47"/>
      <c r="E17" s="111"/>
      <c r="F17" s="107"/>
      <c r="G17" s="50"/>
      <c r="H17" s="13"/>
      <c r="I17" s="55" t="str">
        <f t="shared" si="0"/>
        <v xml:space="preserve"> </v>
      </c>
      <c r="J17" s="65" t="str">
        <f t="shared" si="1"/>
        <v xml:space="preserve"> </v>
      </c>
      <c r="K17" s="93"/>
      <c r="L17" s="3"/>
      <c r="M17" s="62" t="str">
        <f t="shared" si="2"/>
        <v xml:space="preserve"> </v>
      </c>
      <c r="N17" s="98" t="str">
        <f t="shared" si="3"/>
        <v xml:space="preserve"> </v>
      </c>
      <c r="O17" s="50"/>
      <c r="P17" s="13"/>
      <c r="Q17" s="54" t="str">
        <f t="shared" si="6"/>
        <v xml:space="preserve"> </v>
      </c>
      <c r="R17" s="65" t="str">
        <f t="shared" si="4"/>
        <v xml:space="preserve"> </v>
      </c>
      <c r="S17" s="58"/>
      <c r="T17" s="23"/>
      <c r="U17" s="62" t="str">
        <f t="shared" si="7"/>
        <v xml:space="preserve"> </v>
      </c>
      <c r="V17" s="101" t="str">
        <f t="shared" si="5"/>
        <v xml:space="preserve"> </v>
      </c>
    </row>
    <row r="18" spans="1:22" ht="15" customHeight="1">
      <c r="A18" s="5">
        <v>9</v>
      </c>
      <c r="B18" s="16"/>
      <c r="C18" s="3"/>
      <c r="D18" s="47"/>
      <c r="E18" s="111"/>
      <c r="F18" s="107"/>
      <c r="G18" s="50"/>
      <c r="H18" s="13"/>
      <c r="I18" s="55" t="str">
        <f t="shared" si="0"/>
        <v xml:space="preserve"> </v>
      </c>
      <c r="J18" s="65" t="str">
        <f t="shared" si="1"/>
        <v xml:space="preserve"> </v>
      </c>
      <c r="K18" s="93"/>
      <c r="L18" s="3"/>
      <c r="M18" s="62" t="str">
        <f t="shared" si="2"/>
        <v xml:space="preserve"> </v>
      </c>
      <c r="N18" s="98" t="str">
        <f t="shared" si="3"/>
        <v xml:space="preserve"> </v>
      </c>
      <c r="O18" s="50"/>
      <c r="P18" s="13"/>
      <c r="Q18" s="54" t="str">
        <f t="shared" si="6"/>
        <v xml:space="preserve"> </v>
      </c>
      <c r="R18" s="65" t="str">
        <f t="shared" si="4"/>
        <v xml:space="preserve"> </v>
      </c>
      <c r="S18" s="58"/>
      <c r="T18" s="23"/>
      <c r="U18" s="62" t="str">
        <f t="shared" si="7"/>
        <v xml:space="preserve"> </v>
      </c>
      <c r="V18" s="101" t="str">
        <f t="shared" si="5"/>
        <v xml:space="preserve"> </v>
      </c>
    </row>
    <row r="19" spans="1:22" ht="15" customHeight="1">
      <c r="A19" s="5">
        <v>10</v>
      </c>
      <c r="B19" s="16"/>
      <c r="C19" s="3"/>
      <c r="D19" s="47"/>
      <c r="E19" s="111"/>
      <c r="F19" s="107"/>
      <c r="G19" s="50"/>
      <c r="H19" s="13"/>
      <c r="I19" s="55" t="str">
        <f t="shared" si="0"/>
        <v xml:space="preserve"> </v>
      </c>
      <c r="J19" s="65" t="str">
        <f t="shared" si="1"/>
        <v xml:space="preserve"> </v>
      </c>
      <c r="K19" s="93"/>
      <c r="L19" s="3"/>
      <c r="M19" s="62" t="str">
        <f t="shared" si="2"/>
        <v xml:space="preserve"> </v>
      </c>
      <c r="N19" s="98" t="str">
        <f t="shared" si="3"/>
        <v xml:space="preserve"> </v>
      </c>
      <c r="O19" s="50"/>
      <c r="P19" s="13"/>
      <c r="Q19" s="54" t="str">
        <f t="shared" si="6"/>
        <v xml:space="preserve"> </v>
      </c>
      <c r="R19" s="65" t="str">
        <f t="shared" si="4"/>
        <v xml:space="preserve"> </v>
      </c>
      <c r="S19" s="58"/>
      <c r="T19" s="23"/>
      <c r="U19" s="62" t="str">
        <f t="shared" si="7"/>
        <v xml:space="preserve"> </v>
      </c>
      <c r="V19" s="101" t="str">
        <f t="shared" si="5"/>
        <v xml:space="preserve"> </v>
      </c>
    </row>
    <row r="20" spans="1:22" ht="15" customHeight="1">
      <c r="A20" s="5">
        <v>11</v>
      </c>
      <c r="B20" s="16"/>
      <c r="C20" s="3"/>
      <c r="D20" s="47"/>
      <c r="E20" s="111"/>
      <c r="F20" s="107"/>
      <c r="G20" s="50"/>
      <c r="H20" s="13"/>
      <c r="I20" s="55" t="str">
        <f t="shared" si="0"/>
        <v xml:space="preserve"> </v>
      </c>
      <c r="J20" s="65" t="str">
        <f t="shared" si="1"/>
        <v xml:space="preserve"> </v>
      </c>
      <c r="K20" s="93"/>
      <c r="L20" s="3"/>
      <c r="M20" s="62" t="str">
        <f t="shared" si="2"/>
        <v xml:space="preserve"> </v>
      </c>
      <c r="N20" s="98" t="str">
        <f t="shared" si="3"/>
        <v xml:space="preserve"> </v>
      </c>
      <c r="O20" s="50"/>
      <c r="P20" s="13"/>
      <c r="Q20" s="54" t="str">
        <f t="shared" si="6"/>
        <v xml:space="preserve"> </v>
      </c>
      <c r="R20" s="65" t="str">
        <f t="shared" si="4"/>
        <v xml:space="preserve"> </v>
      </c>
      <c r="S20" s="58"/>
      <c r="T20" s="23"/>
      <c r="U20" s="62" t="str">
        <f t="shared" si="7"/>
        <v xml:space="preserve"> </v>
      </c>
      <c r="V20" s="101" t="str">
        <f t="shared" si="5"/>
        <v xml:space="preserve"> </v>
      </c>
    </row>
    <row r="21" spans="1:22" ht="15" customHeight="1">
      <c r="A21" s="5">
        <v>12</v>
      </c>
      <c r="B21" s="16"/>
      <c r="C21" s="3"/>
      <c r="D21" s="47"/>
      <c r="E21" s="111"/>
      <c r="F21" s="107"/>
      <c r="G21" s="50"/>
      <c r="H21" s="13"/>
      <c r="I21" s="55" t="str">
        <f t="shared" si="0"/>
        <v xml:space="preserve"> </v>
      </c>
      <c r="J21" s="65" t="str">
        <f t="shared" si="1"/>
        <v xml:space="preserve"> </v>
      </c>
      <c r="K21" s="93"/>
      <c r="L21" s="3"/>
      <c r="M21" s="62" t="str">
        <f t="shared" si="2"/>
        <v xml:space="preserve"> </v>
      </c>
      <c r="N21" s="98" t="str">
        <f t="shared" si="3"/>
        <v xml:space="preserve"> </v>
      </c>
      <c r="O21" s="50"/>
      <c r="P21" s="13"/>
      <c r="Q21" s="54" t="str">
        <f t="shared" si="6"/>
        <v xml:space="preserve"> </v>
      </c>
      <c r="R21" s="65" t="str">
        <f t="shared" si="4"/>
        <v xml:space="preserve"> </v>
      </c>
      <c r="S21" s="58"/>
      <c r="T21" s="23"/>
      <c r="U21" s="62" t="str">
        <f t="shared" si="7"/>
        <v xml:space="preserve"> </v>
      </c>
      <c r="V21" s="101" t="str">
        <f t="shared" si="5"/>
        <v xml:space="preserve"> </v>
      </c>
    </row>
    <row r="22" spans="1:22" ht="15" customHeight="1">
      <c r="A22" s="5">
        <v>13</v>
      </c>
      <c r="B22" s="16"/>
      <c r="C22" s="3"/>
      <c r="D22" s="47"/>
      <c r="E22" s="111"/>
      <c r="F22" s="107"/>
      <c r="G22" s="50"/>
      <c r="H22" s="13"/>
      <c r="I22" s="55" t="str">
        <f t="shared" si="0"/>
        <v xml:space="preserve"> </v>
      </c>
      <c r="J22" s="65" t="str">
        <f t="shared" si="1"/>
        <v xml:space="preserve"> </v>
      </c>
      <c r="K22" s="93"/>
      <c r="L22" s="3"/>
      <c r="M22" s="62" t="str">
        <f t="shared" si="2"/>
        <v xml:space="preserve"> </v>
      </c>
      <c r="N22" s="98" t="str">
        <f t="shared" si="3"/>
        <v xml:space="preserve"> </v>
      </c>
      <c r="O22" s="50"/>
      <c r="P22" s="13"/>
      <c r="Q22" s="54" t="str">
        <f t="shared" si="6"/>
        <v xml:space="preserve"> </v>
      </c>
      <c r="R22" s="65" t="str">
        <f t="shared" si="4"/>
        <v xml:space="preserve"> </v>
      </c>
      <c r="S22" s="58"/>
      <c r="T22" s="23"/>
      <c r="U22" s="62" t="str">
        <f t="shared" si="7"/>
        <v xml:space="preserve"> </v>
      </c>
      <c r="V22" s="101" t="str">
        <f t="shared" si="5"/>
        <v xml:space="preserve"> </v>
      </c>
    </row>
    <row r="23" spans="1:22" ht="15" customHeight="1">
      <c r="A23" s="5">
        <v>14</v>
      </c>
      <c r="B23" s="16"/>
      <c r="C23" s="3"/>
      <c r="D23" s="47"/>
      <c r="E23" s="111"/>
      <c r="F23" s="107"/>
      <c r="G23" s="50"/>
      <c r="H23" s="13"/>
      <c r="I23" s="55" t="str">
        <f t="shared" si="0"/>
        <v xml:space="preserve"> </v>
      </c>
      <c r="J23" s="65" t="str">
        <f t="shared" si="1"/>
        <v xml:space="preserve"> </v>
      </c>
      <c r="K23" s="93"/>
      <c r="L23" s="3"/>
      <c r="M23" s="62" t="str">
        <f t="shared" si="2"/>
        <v xml:space="preserve"> </v>
      </c>
      <c r="N23" s="98" t="str">
        <f t="shared" si="3"/>
        <v xml:space="preserve"> </v>
      </c>
      <c r="O23" s="50"/>
      <c r="P23" s="13"/>
      <c r="Q23" s="54" t="str">
        <f t="shared" si="6"/>
        <v xml:space="preserve"> </v>
      </c>
      <c r="R23" s="65" t="str">
        <f t="shared" si="4"/>
        <v xml:space="preserve"> </v>
      </c>
      <c r="S23" s="58"/>
      <c r="T23" s="23"/>
      <c r="U23" s="62" t="str">
        <f t="shared" si="7"/>
        <v xml:space="preserve"> </v>
      </c>
      <c r="V23" s="101" t="str">
        <f t="shared" si="5"/>
        <v xml:space="preserve"> </v>
      </c>
    </row>
    <row r="24" spans="1:22" ht="15" customHeight="1">
      <c r="A24" s="5">
        <v>15</v>
      </c>
      <c r="B24" s="16"/>
      <c r="C24" s="3"/>
      <c r="D24" s="47"/>
      <c r="E24" s="111"/>
      <c r="F24" s="107"/>
      <c r="G24" s="50"/>
      <c r="H24" s="13"/>
      <c r="I24" s="55" t="str">
        <f t="shared" si="0"/>
        <v xml:space="preserve"> </v>
      </c>
      <c r="J24" s="65" t="str">
        <f t="shared" si="1"/>
        <v xml:space="preserve"> </v>
      </c>
      <c r="K24" s="93"/>
      <c r="L24" s="3"/>
      <c r="M24" s="62" t="str">
        <f t="shared" si="2"/>
        <v xml:space="preserve"> </v>
      </c>
      <c r="N24" s="98" t="str">
        <f t="shared" si="3"/>
        <v xml:space="preserve"> </v>
      </c>
      <c r="O24" s="50"/>
      <c r="P24" s="13"/>
      <c r="Q24" s="54" t="str">
        <f t="shared" si="6"/>
        <v xml:space="preserve"> </v>
      </c>
      <c r="R24" s="65" t="str">
        <f t="shared" si="4"/>
        <v xml:space="preserve"> </v>
      </c>
      <c r="S24" s="58"/>
      <c r="T24" s="23"/>
      <c r="U24" s="62" t="str">
        <f t="shared" si="7"/>
        <v xml:space="preserve"> </v>
      </c>
      <c r="V24" s="101" t="str">
        <f t="shared" si="5"/>
        <v xml:space="preserve"> </v>
      </c>
    </row>
    <row r="25" spans="1:22" ht="15" customHeight="1">
      <c r="A25" s="5">
        <v>16</v>
      </c>
      <c r="B25" s="16"/>
      <c r="C25" s="3"/>
      <c r="D25" s="47"/>
      <c r="E25" s="111"/>
      <c r="F25" s="107"/>
      <c r="G25" s="50"/>
      <c r="H25" s="13"/>
      <c r="I25" s="55" t="str">
        <f t="shared" si="0"/>
        <v xml:space="preserve"> </v>
      </c>
      <c r="J25" s="65" t="str">
        <f t="shared" si="1"/>
        <v xml:space="preserve"> </v>
      </c>
      <c r="K25" s="93"/>
      <c r="L25" s="3"/>
      <c r="M25" s="62" t="str">
        <f t="shared" si="2"/>
        <v xml:space="preserve"> </v>
      </c>
      <c r="N25" s="98" t="str">
        <f t="shared" si="3"/>
        <v xml:space="preserve"> </v>
      </c>
      <c r="O25" s="50"/>
      <c r="P25" s="13"/>
      <c r="Q25" s="54" t="str">
        <f t="shared" si="6"/>
        <v xml:space="preserve"> </v>
      </c>
      <c r="R25" s="65" t="str">
        <f t="shared" si="4"/>
        <v xml:space="preserve"> </v>
      </c>
      <c r="S25" s="58"/>
      <c r="T25" s="23"/>
      <c r="U25" s="62" t="str">
        <f t="shared" si="7"/>
        <v xml:space="preserve"> </v>
      </c>
      <c r="V25" s="101" t="str">
        <f t="shared" si="5"/>
        <v xml:space="preserve"> </v>
      </c>
    </row>
    <row r="26" spans="1:22" ht="15" customHeight="1">
      <c r="A26" s="5">
        <v>17</v>
      </c>
      <c r="B26" s="16"/>
      <c r="C26" s="3"/>
      <c r="D26" s="47"/>
      <c r="E26" s="111"/>
      <c r="F26" s="107"/>
      <c r="G26" s="50"/>
      <c r="H26" s="13"/>
      <c r="I26" s="55" t="str">
        <f t="shared" si="0"/>
        <v xml:space="preserve"> </v>
      </c>
      <c r="J26" s="65" t="str">
        <f t="shared" si="1"/>
        <v xml:space="preserve"> </v>
      </c>
      <c r="K26" s="93"/>
      <c r="L26" s="3"/>
      <c r="M26" s="62" t="str">
        <f t="shared" si="2"/>
        <v xml:space="preserve"> </v>
      </c>
      <c r="N26" s="98" t="str">
        <f t="shared" si="3"/>
        <v xml:space="preserve"> </v>
      </c>
      <c r="O26" s="50"/>
      <c r="P26" s="13"/>
      <c r="Q26" s="54" t="str">
        <f t="shared" si="6"/>
        <v xml:space="preserve"> </v>
      </c>
      <c r="R26" s="65" t="str">
        <f t="shared" si="4"/>
        <v xml:space="preserve"> </v>
      </c>
      <c r="S26" s="58"/>
      <c r="T26" s="23"/>
      <c r="U26" s="62" t="str">
        <f t="shared" si="7"/>
        <v xml:space="preserve"> </v>
      </c>
      <c r="V26" s="101" t="str">
        <f t="shared" si="5"/>
        <v xml:space="preserve"> </v>
      </c>
    </row>
    <row r="27" spans="1:22" ht="15" customHeight="1">
      <c r="A27" s="5">
        <v>18</v>
      </c>
      <c r="B27" s="16"/>
      <c r="C27" s="3"/>
      <c r="D27" s="47"/>
      <c r="E27" s="111"/>
      <c r="F27" s="107"/>
      <c r="G27" s="50"/>
      <c r="H27" s="13"/>
      <c r="I27" s="55" t="str">
        <f t="shared" si="0"/>
        <v xml:space="preserve"> </v>
      </c>
      <c r="J27" s="65" t="str">
        <f t="shared" si="1"/>
        <v xml:space="preserve"> </v>
      </c>
      <c r="K27" s="93"/>
      <c r="L27" s="3"/>
      <c r="M27" s="62" t="str">
        <f t="shared" si="2"/>
        <v xml:space="preserve"> </v>
      </c>
      <c r="N27" s="98" t="str">
        <f t="shared" si="3"/>
        <v xml:space="preserve"> </v>
      </c>
      <c r="O27" s="50"/>
      <c r="P27" s="13"/>
      <c r="Q27" s="54" t="str">
        <f t="shared" si="6"/>
        <v xml:space="preserve"> </v>
      </c>
      <c r="R27" s="65" t="str">
        <f t="shared" si="4"/>
        <v xml:space="preserve"> </v>
      </c>
      <c r="S27" s="58"/>
      <c r="T27" s="23"/>
      <c r="U27" s="62" t="str">
        <f t="shared" si="7"/>
        <v xml:space="preserve"> </v>
      </c>
      <c r="V27" s="101" t="str">
        <f t="shared" si="5"/>
        <v xml:space="preserve"> </v>
      </c>
    </row>
    <row r="28" spans="1:22" ht="15" customHeight="1">
      <c r="A28" s="5">
        <v>19</v>
      </c>
      <c r="B28" s="16"/>
      <c r="C28" s="3"/>
      <c r="D28" s="47"/>
      <c r="E28" s="111"/>
      <c r="F28" s="107"/>
      <c r="G28" s="50"/>
      <c r="H28" s="13"/>
      <c r="I28" s="55" t="str">
        <f t="shared" si="0"/>
        <v xml:space="preserve"> </v>
      </c>
      <c r="J28" s="65" t="str">
        <f t="shared" si="1"/>
        <v xml:space="preserve"> </v>
      </c>
      <c r="K28" s="93"/>
      <c r="L28" s="3"/>
      <c r="M28" s="62" t="str">
        <f t="shared" si="2"/>
        <v xml:space="preserve"> </v>
      </c>
      <c r="N28" s="98" t="str">
        <f t="shared" si="3"/>
        <v xml:space="preserve"> </v>
      </c>
      <c r="O28" s="50"/>
      <c r="P28" s="13"/>
      <c r="Q28" s="54" t="str">
        <f t="shared" si="6"/>
        <v xml:space="preserve"> </v>
      </c>
      <c r="R28" s="65" t="str">
        <f t="shared" si="4"/>
        <v xml:space="preserve"> </v>
      </c>
      <c r="S28" s="58"/>
      <c r="T28" s="23"/>
      <c r="U28" s="62" t="str">
        <f t="shared" si="7"/>
        <v xml:space="preserve"> </v>
      </c>
      <c r="V28" s="101" t="str">
        <f t="shared" si="5"/>
        <v xml:space="preserve"> </v>
      </c>
    </row>
    <row r="29" spans="1:22" ht="15" customHeight="1">
      <c r="A29" s="5">
        <v>20</v>
      </c>
      <c r="B29" s="16"/>
      <c r="C29" s="3"/>
      <c r="D29" s="47"/>
      <c r="E29" s="111"/>
      <c r="F29" s="107"/>
      <c r="G29" s="50"/>
      <c r="H29" s="13"/>
      <c r="I29" s="55" t="str">
        <f t="shared" si="0"/>
        <v xml:space="preserve"> </v>
      </c>
      <c r="J29" s="65" t="str">
        <f t="shared" si="1"/>
        <v xml:space="preserve"> </v>
      </c>
      <c r="K29" s="93"/>
      <c r="L29" s="3"/>
      <c r="M29" s="62" t="str">
        <f t="shared" si="2"/>
        <v xml:space="preserve"> </v>
      </c>
      <c r="N29" s="98" t="str">
        <f t="shared" si="3"/>
        <v xml:space="preserve"> </v>
      </c>
      <c r="O29" s="50"/>
      <c r="P29" s="13"/>
      <c r="Q29" s="54" t="str">
        <f t="shared" si="6"/>
        <v xml:space="preserve"> </v>
      </c>
      <c r="R29" s="65" t="str">
        <f t="shared" si="4"/>
        <v xml:space="preserve"> </v>
      </c>
      <c r="S29" s="58"/>
      <c r="T29" s="23"/>
      <c r="U29" s="62" t="str">
        <f t="shared" si="7"/>
        <v xml:space="preserve"> </v>
      </c>
      <c r="V29" s="101" t="str">
        <f t="shared" si="5"/>
        <v xml:space="preserve"> </v>
      </c>
    </row>
    <row r="30" spans="1:22" ht="15" customHeight="1">
      <c r="A30" s="5">
        <v>21</v>
      </c>
      <c r="B30" s="16"/>
      <c r="C30" s="3"/>
      <c r="D30" s="47"/>
      <c r="E30" s="111"/>
      <c r="F30" s="107"/>
      <c r="G30" s="50"/>
      <c r="H30" s="13"/>
      <c r="I30" s="55" t="str">
        <f t="shared" si="0"/>
        <v xml:space="preserve"> </v>
      </c>
      <c r="J30" s="65" t="str">
        <f t="shared" si="1"/>
        <v xml:space="preserve"> </v>
      </c>
      <c r="K30" s="93"/>
      <c r="L30" s="3"/>
      <c r="M30" s="62" t="str">
        <f t="shared" si="2"/>
        <v xml:space="preserve"> </v>
      </c>
      <c r="N30" s="98" t="str">
        <f t="shared" si="3"/>
        <v xml:space="preserve"> </v>
      </c>
      <c r="O30" s="50"/>
      <c r="P30" s="13"/>
      <c r="Q30" s="54" t="str">
        <f t="shared" si="6"/>
        <v xml:space="preserve"> </v>
      </c>
      <c r="R30" s="65" t="str">
        <f t="shared" si="4"/>
        <v xml:space="preserve"> </v>
      </c>
      <c r="S30" s="58"/>
      <c r="T30" s="23"/>
      <c r="U30" s="62" t="str">
        <f t="shared" si="7"/>
        <v xml:space="preserve"> </v>
      </c>
      <c r="V30" s="101" t="str">
        <f t="shared" si="5"/>
        <v xml:space="preserve"> </v>
      </c>
    </row>
    <row r="31" spans="1:22" ht="15" customHeight="1">
      <c r="A31" s="5">
        <v>22</v>
      </c>
      <c r="B31" s="16"/>
      <c r="C31" s="3"/>
      <c r="D31" s="47"/>
      <c r="E31" s="111"/>
      <c r="F31" s="107"/>
      <c r="G31" s="50"/>
      <c r="H31" s="13"/>
      <c r="I31" s="55" t="str">
        <f t="shared" si="0"/>
        <v xml:space="preserve"> </v>
      </c>
      <c r="J31" s="65" t="str">
        <f t="shared" si="1"/>
        <v xml:space="preserve"> </v>
      </c>
      <c r="K31" s="93"/>
      <c r="L31" s="3"/>
      <c r="M31" s="62" t="str">
        <f t="shared" si="2"/>
        <v xml:space="preserve"> </v>
      </c>
      <c r="N31" s="98" t="str">
        <f t="shared" si="3"/>
        <v xml:space="preserve"> </v>
      </c>
      <c r="O31" s="50"/>
      <c r="P31" s="13"/>
      <c r="Q31" s="54" t="str">
        <f t="shared" si="6"/>
        <v xml:space="preserve"> </v>
      </c>
      <c r="R31" s="65" t="str">
        <f t="shared" si="4"/>
        <v xml:space="preserve"> </v>
      </c>
      <c r="S31" s="58"/>
      <c r="T31" s="23"/>
      <c r="U31" s="62" t="str">
        <f t="shared" si="7"/>
        <v xml:space="preserve"> </v>
      </c>
      <c r="V31" s="101" t="str">
        <f t="shared" si="5"/>
        <v xml:space="preserve"> </v>
      </c>
    </row>
    <row r="32" spans="1:22" ht="15" customHeight="1">
      <c r="A32" s="5">
        <v>23</v>
      </c>
      <c r="B32" s="16"/>
      <c r="C32" s="3"/>
      <c r="D32" s="47"/>
      <c r="E32" s="111"/>
      <c r="F32" s="107"/>
      <c r="G32" s="50"/>
      <c r="H32" s="13"/>
      <c r="I32" s="55" t="str">
        <f t="shared" si="0"/>
        <v xml:space="preserve"> </v>
      </c>
      <c r="J32" s="65" t="str">
        <f t="shared" si="1"/>
        <v xml:space="preserve"> </v>
      </c>
      <c r="K32" s="93"/>
      <c r="L32" s="3"/>
      <c r="M32" s="62" t="str">
        <f t="shared" si="2"/>
        <v xml:space="preserve"> </v>
      </c>
      <c r="N32" s="98" t="str">
        <f t="shared" si="3"/>
        <v xml:space="preserve"> </v>
      </c>
      <c r="O32" s="50"/>
      <c r="P32" s="13"/>
      <c r="Q32" s="54" t="str">
        <f t="shared" si="6"/>
        <v xml:space="preserve"> </v>
      </c>
      <c r="R32" s="65" t="str">
        <f t="shared" si="4"/>
        <v xml:space="preserve"> </v>
      </c>
      <c r="S32" s="58"/>
      <c r="T32" s="23"/>
      <c r="U32" s="62" t="str">
        <f t="shared" si="7"/>
        <v xml:space="preserve"> </v>
      </c>
      <c r="V32" s="101" t="str">
        <f t="shared" si="5"/>
        <v xml:space="preserve"> </v>
      </c>
    </row>
    <row r="33" spans="1:22" ht="15" customHeight="1">
      <c r="A33" s="5">
        <v>24</v>
      </c>
      <c r="B33" s="16"/>
      <c r="C33" s="3"/>
      <c r="D33" s="47"/>
      <c r="E33" s="111"/>
      <c r="F33" s="107"/>
      <c r="G33" s="50"/>
      <c r="H33" s="13"/>
      <c r="I33" s="55" t="str">
        <f t="shared" si="0"/>
        <v xml:space="preserve"> </v>
      </c>
      <c r="J33" s="65" t="str">
        <f t="shared" si="1"/>
        <v xml:space="preserve"> </v>
      </c>
      <c r="K33" s="93"/>
      <c r="L33" s="3"/>
      <c r="M33" s="62" t="str">
        <f t="shared" si="2"/>
        <v xml:space="preserve"> </v>
      </c>
      <c r="N33" s="98" t="str">
        <f t="shared" si="3"/>
        <v xml:space="preserve"> </v>
      </c>
      <c r="O33" s="50"/>
      <c r="P33" s="13"/>
      <c r="Q33" s="54" t="str">
        <f t="shared" si="6"/>
        <v xml:space="preserve"> </v>
      </c>
      <c r="R33" s="65" t="str">
        <f t="shared" si="4"/>
        <v xml:space="preserve"> </v>
      </c>
      <c r="S33" s="58"/>
      <c r="T33" s="23"/>
      <c r="U33" s="62" t="str">
        <f t="shared" si="7"/>
        <v xml:space="preserve"> </v>
      </c>
      <c r="V33" s="101" t="str">
        <f t="shared" si="5"/>
        <v xml:space="preserve"> </v>
      </c>
    </row>
    <row r="34" spans="1:22" ht="15" customHeight="1">
      <c r="A34" s="5">
        <v>25</v>
      </c>
      <c r="B34" s="16"/>
      <c r="C34" s="3"/>
      <c r="D34" s="47"/>
      <c r="E34" s="111"/>
      <c r="F34" s="107"/>
      <c r="G34" s="50"/>
      <c r="H34" s="13"/>
      <c r="I34" s="55" t="str">
        <f t="shared" si="0"/>
        <v xml:space="preserve"> </v>
      </c>
      <c r="J34" s="65" t="str">
        <f t="shared" si="1"/>
        <v xml:space="preserve"> </v>
      </c>
      <c r="K34" s="93"/>
      <c r="L34" s="3"/>
      <c r="M34" s="62" t="str">
        <f t="shared" si="2"/>
        <v xml:space="preserve"> </v>
      </c>
      <c r="N34" s="98" t="str">
        <f t="shared" si="3"/>
        <v xml:space="preserve"> </v>
      </c>
      <c r="O34" s="50"/>
      <c r="P34" s="13"/>
      <c r="Q34" s="54" t="str">
        <f t="shared" si="6"/>
        <v xml:space="preserve"> </v>
      </c>
      <c r="R34" s="65" t="str">
        <f t="shared" si="4"/>
        <v xml:space="preserve"> </v>
      </c>
      <c r="S34" s="58"/>
      <c r="T34" s="23"/>
      <c r="U34" s="62" t="str">
        <f t="shared" si="7"/>
        <v xml:space="preserve"> </v>
      </c>
      <c r="V34" s="101" t="str">
        <f t="shared" si="5"/>
        <v xml:space="preserve"> </v>
      </c>
    </row>
    <row r="35" spans="1:22" ht="15" customHeight="1">
      <c r="A35" s="5">
        <v>26</v>
      </c>
      <c r="B35" s="16"/>
      <c r="C35" s="3"/>
      <c r="D35" s="47"/>
      <c r="E35" s="111"/>
      <c r="F35" s="107"/>
      <c r="G35" s="50"/>
      <c r="H35" s="13"/>
      <c r="I35" s="55" t="str">
        <f t="shared" si="0"/>
        <v xml:space="preserve"> </v>
      </c>
      <c r="J35" s="65" t="str">
        <f t="shared" si="1"/>
        <v xml:space="preserve"> </v>
      </c>
      <c r="K35" s="93"/>
      <c r="L35" s="3"/>
      <c r="M35" s="62" t="str">
        <f t="shared" si="2"/>
        <v xml:space="preserve"> </v>
      </c>
      <c r="N35" s="98" t="str">
        <f t="shared" si="3"/>
        <v xml:space="preserve"> </v>
      </c>
      <c r="O35" s="50"/>
      <c r="P35" s="13"/>
      <c r="Q35" s="54" t="str">
        <f t="shared" si="6"/>
        <v xml:space="preserve"> </v>
      </c>
      <c r="R35" s="65" t="str">
        <f t="shared" si="4"/>
        <v xml:space="preserve"> </v>
      </c>
      <c r="S35" s="58"/>
      <c r="T35" s="23"/>
      <c r="U35" s="62" t="str">
        <f t="shared" si="7"/>
        <v xml:space="preserve"> </v>
      </c>
      <c r="V35" s="101" t="str">
        <f t="shared" si="5"/>
        <v xml:space="preserve"> </v>
      </c>
    </row>
    <row r="36" spans="1:22" ht="15" customHeight="1">
      <c r="A36" s="5">
        <v>27</v>
      </c>
      <c r="B36" s="16"/>
      <c r="C36" s="3"/>
      <c r="D36" s="47"/>
      <c r="E36" s="111"/>
      <c r="F36" s="107"/>
      <c r="G36" s="50"/>
      <c r="H36" s="13"/>
      <c r="I36" s="55" t="str">
        <f t="shared" si="0"/>
        <v xml:space="preserve"> </v>
      </c>
      <c r="J36" s="65" t="str">
        <f t="shared" si="1"/>
        <v xml:space="preserve"> </v>
      </c>
      <c r="K36" s="93"/>
      <c r="L36" s="3"/>
      <c r="M36" s="62" t="str">
        <f t="shared" si="2"/>
        <v xml:space="preserve"> </v>
      </c>
      <c r="N36" s="98" t="str">
        <f t="shared" si="3"/>
        <v xml:space="preserve"> </v>
      </c>
      <c r="O36" s="50"/>
      <c r="P36" s="13"/>
      <c r="Q36" s="54" t="str">
        <f t="shared" si="6"/>
        <v xml:space="preserve"> </v>
      </c>
      <c r="R36" s="65" t="str">
        <f t="shared" si="4"/>
        <v xml:space="preserve"> </v>
      </c>
      <c r="S36" s="58"/>
      <c r="T36" s="23"/>
      <c r="U36" s="62" t="str">
        <f t="shared" si="7"/>
        <v xml:space="preserve"> </v>
      </c>
      <c r="V36" s="101" t="str">
        <f t="shared" si="5"/>
        <v xml:space="preserve"> </v>
      </c>
    </row>
    <row r="37" spans="1:22" ht="15" customHeight="1">
      <c r="A37" s="5">
        <v>28</v>
      </c>
      <c r="B37" s="16"/>
      <c r="C37" s="3"/>
      <c r="D37" s="47"/>
      <c r="E37" s="111"/>
      <c r="F37" s="107"/>
      <c r="G37" s="50"/>
      <c r="H37" s="13"/>
      <c r="I37" s="55" t="str">
        <f t="shared" si="0"/>
        <v xml:space="preserve"> </v>
      </c>
      <c r="J37" s="65" t="str">
        <f t="shared" si="1"/>
        <v xml:space="preserve"> </v>
      </c>
      <c r="K37" s="93"/>
      <c r="L37" s="3"/>
      <c r="M37" s="62" t="str">
        <f t="shared" si="2"/>
        <v xml:space="preserve"> </v>
      </c>
      <c r="N37" s="98" t="str">
        <f t="shared" si="3"/>
        <v xml:space="preserve"> </v>
      </c>
      <c r="O37" s="50"/>
      <c r="P37" s="13"/>
      <c r="Q37" s="54" t="str">
        <f t="shared" si="6"/>
        <v xml:space="preserve"> </v>
      </c>
      <c r="R37" s="65" t="str">
        <f t="shared" si="4"/>
        <v xml:space="preserve"> </v>
      </c>
      <c r="S37" s="58"/>
      <c r="T37" s="23"/>
      <c r="U37" s="62" t="str">
        <f t="shared" si="7"/>
        <v xml:space="preserve"> </v>
      </c>
      <c r="V37" s="101" t="str">
        <f t="shared" si="5"/>
        <v xml:space="preserve"> </v>
      </c>
    </row>
    <row r="38" spans="1:22" ht="15" customHeight="1">
      <c r="A38" s="5">
        <v>29</v>
      </c>
      <c r="B38" s="16"/>
      <c r="C38" s="3"/>
      <c r="D38" s="47"/>
      <c r="E38" s="111"/>
      <c r="F38" s="107"/>
      <c r="G38" s="50"/>
      <c r="H38" s="13"/>
      <c r="I38" s="55" t="str">
        <f t="shared" si="0"/>
        <v xml:space="preserve"> </v>
      </c>
      <c r="J38" s="65" t="str">
        <f t="shared" si="1"/>
        <v xml:space="preserve"> </v>
      </c>
      <c r="K38" s="93"/>
      <c r="L38" s="3"/>
      <c r="M38" s="62" t="str">
        <f t="shared" si="2"/>
        <v xml:space="preserve"> </v>
      </c>
      <c r="N38" s="98" t="str">
        <f t="shared" si="3"/>
        <v xml:space="preserve"> </v>
      </c>
      <c r="O38" s="50"/>
      <c r="P38" s="13"/>
      <c r="Q38" s="54" t="str">
        <f t="shared" si="6"/>
        <v xml:space="preserve"> </v>
      </c>
      <c r="R38" s="65" t="str">
        <f t="shared" si="4"/>
        <v xml:space="preserve"> </v>
      </c>
      <c r="S38" s="58"/>
      <c r="T38" s="23"/>
      <c r="U38" s="62" t="str">
        <f t="shared" si="7"/>
        <v xml:space="preserve"> </v>
      </c>
      <c r="V38" s="101" t="str">
        <f t="shared" si="5"/>
        <v xml:space="preserve"> </v>
      </c>
    </row>
    <row r="39" spans="1:22" ht="15" customHeight="1">
      <c r="A39" s="5">
        <v>30</v>
      </c>
      <c r="B39" s="16"/>
      <c r="C39" s="3"/>
      <c r="D39" s="47"/>
      <c r="E39" s="111"/>
      <c r="F39" s="107"/>
      <c r="G39" s="50"/>
      <c r="H39" s="13"/>
      <c r="I39" s="55" t="str">
        <f t="shared" si="0"/>
        <v xml:space="preserve"> </v>
      </c>
      <c r="J39" s="65" t="str">
        <f t="shared" si="1"/>
        <v xml:space="preserve"> </v>
      </c>
      <c r="K39" s="93"/>
      <c r="L39" s="3"/>
      <c r="M39" s="62" t="str">
        <f t="shared" si="2"/>
        <v xml:space="preserve"> </v>
      </c>
      <c r="N39" s="98" t="str">
        <f t="shared" si="3"/>
        <v xml:space="preserve"> </v>
      </c>
      <c r="O39" s="50"/>
      <c r="P39" s="13"/>
      <c r="Q39" s="54" t="str">
        <f t="shared" si="6"/>
        <v xml:space="preserve"> </v>
      </c>
      <c r="R39" s="65" t="str">
        <f t="shared" si="4"/>
        <v xml:space="preserve"> </v>
      </c>
      <c r="S39" s="58"/>
      <c r="T39" s="23"/>
      <c r="U39" s="62" t="str">
        <f t="shared" si="7"/>
        <v xml:space="preserve"> </v>
      </c>
      <c r="V39" s="101" t="str">
        <f t="shared" si="5"/>
        <v xml:space="preserve"> </v>
      </c>
    </row>
    <row r="40" spans="1:22" ht="15" customHeight="1" thickBot="1">
      <c r="A40" s="5">
        <v>31</v>
      </c>
      <c r="B40" s="16"/>
      <c r="C40" s="12"/>
      <c r="D40" s="48"/>
      <c r="E40" s="112"/>
      <c r="F40" s="108"/>
      <c r="G40" s="51"/>
      <c r="H40" s="21"/>
      <c r="I40" s="55" t="str">
        <f t="shared" si="0"/>
        <v xml:space="preserve"> </v>
      </c>
      <c r="J40" s="95" t="str">
        <f t="shared" si="1"/>
        <v xml:space="preserve"> </v>
      </c>
      <c r="K40" s="94"/>
      <c r="L40" s="17"/>
      <c r="M40" s="92" t="str">
        <f t="shared" si="2"/>
        <v xml:space="preserve"> </v>
      </c>
      <c r="N40" s="97" t="str">
        <f t="shared" si="3"/>
        <v xml:space="preserve"> </v>
      </c>
      <c r="O40" s="51"/>
      <c r="P40" s="21"/>
      <c r="Q40" s="54" t="str">
        <f t="shared" si="6"/>
        <v xml:space="preserve"> </v>
      </c>
      <c r="R40" s="95" t="str">
        <f t="shared" si="4"/>
        <v xml:space="preserve"> </v>
      </c>
      <c r="S40" s="59"/>
      <c r="T40" s="24"/>
      <c r="U40" s="62" t="str">
        <f t="shared" si="7"/>
        <v xml:space="preserve"> </v>
      </c>
      <c r="V40" s="102" t="str">
        <f t="shared" si="5"/>
        <v xml:space="preserve"> </v>
      </c>
    </row>
    <row r="41" spans="1:22" ht="15" customHeight="1">
      <c r="A41" s="119" t="s">
        <v>155</v>
      </c>
      <c r="B41" s="120"/>
      <c r="C41" s="120"/>
      <c r="D41" s="121"/>
      <c r="E41" s="121"/>
      <c r="F41" s="121"/>
      <c r="G41" s="52" t="str">
        <f>IF(ISBLANK($S1)," ",SUM(G10:G40))</f>
        <v xml:space="preserve"> </v>
      </c>
      <c r="H41" s="36"/>
      <c r="I41" s="56" t="str">
        <f>IF(ISBLANK($S1)," ",SUM(I10:I40))</f>
        <v xml:space="preserve"> </v>
      </c>
      <c r="J41" s="37"/>
      <c r="K41" s="60" t="str">
        <f>IF(ISBLANK($S1)," ",SUM(K10:K40))</f>
        <v xml:space="preserve"> </v>
      </c>
      <c r="L41" s="38"/>
      <c r="M41" s="63" t="str">
        <f>IF(ISBLANK($S1)," ",SUM(M10:M40))</f>
        <v xml:space="preserve"> </v>
      </c>
      <c r="N41" s="39"/>
      <c r="O41" s="52" t="str">
        <f>IF(ISBLANK($S1)," ",SUM(O10:O40))</f>
        <v xml:space="preserve"> </v>
      </c>
      <c r="P41" s="36"/>
      <c r="Q41" s="56" t="str">
        <f>IF(ISBLANK($S1)," ",SUM(Q10:Q40))</f>
        <v xml:space="preserve"> </v>
      </c>
      <c r="R41" s="37"/>
      <c r="S41" s="60" t="str">
        <f>IF(ISBLANK($S1)," ",SUM(S10:S40))</f>
        <v xml:space="preserve"> </v>
      </c>
      <c r="T41" s="38"/>
      <c r="U41" s="63" t="str">
        <f>IF(ISBLANK($S1)," ",SUM(U10:U40))</f>
        <v xml:space="preserve"> </v>
      </c>
      <c r="V41" s="40"/>
    </row>
    <row r="42" spans="1:22" ht="15" customHeight="1" thickBot="1">
      <c r="A42" s="122" t="s">
        <v>154</v>
      </c>
      <c r="B42" s="123"/>
      <c r="C42" s="123"/>
      <c r="D42" s="124"/>
      <c r="E42" s="124"/>
      <c r="F42" s="124"/>
      <c r="G42" s="80"/>
      <c r="H42" s="81"/>
      <c r="I42" s="82"/>
      <c r="J42" s="83"/>
      <c r="K42" s="84"/>
      <c r="L42" s="85"/>
      <c r="M42" s="86"/>
      <c r="N42" s="87"/>
      <c r="O42" s="80"/>
      <c r="P42" s="81"/>
      <c r="Q42" s="82"/>
      <c r="R42" s="83"/>
      <c r="S42" s="84"/>
      <c r="T42" s="85"/>
      <c r="U42" s="88"/>
      <c r="V42" s="89"/>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S6:S7 D8:F8 O6:O7 G6:G7 K6:K7"/>
  </dataValidations>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1"/>
  <dimension ref="A1:V23"/>
  <sheetViews>
    <sheetView zoomScale="80" zoomScaleNormal="80" workbookViewId="0">
      <selection sqref="A1:V1"/>
    </sheetView>
  </sheetViews>
  <sheetFormatPr defaultRowHeight="12.75"/>
  <cols>
    <col min="1" max="1" width="3.140625" style="26" customWidth="1"/>
    <col min="2" max="2" width="5.7109375" style="26" customWidth="1"/>
    <col min="3" max="6" width="5.7109375" style="1" customWidth="1"/>
    <col min="7" max="20" width="8.5703125" style="1" customWidth="1"/>
    <col min="21" max="22" width="8.7109375" style="1" customWidth="1"/>
    <col min="23" max="16384" width="9.140625" style="1"/>
  </cols>
  <sheetData>
    <row r="1" spans="1:22" s="6" customFormat="1" ht="30" customHeight="1">
      <c r="A1" s="229" t="s">
        <v>191</v>
      </c>
      <c r="B1" s="229"/>
      <c r="C1" s="229"/>
      <c r="D1" s="229"/>
      <c r="E1" s="229"/>
      <c r="F1" s="229"/>
      <c r="G1" s="229"/>
      <c r="H1" s="229"/>
      <c r="I1" s="229"/>
      <c r="J1" s="229"/>
      <c r="K1" s="229"/>
      <c r="L1" s="229"/>
      <c r="M1" s="229"/>
      <c r="N1" s="229"/>
      <c r="O1" s="229"/>
      <c r="P1" s="229"/>
      <c r="Q1" s="229"/>
      <c r="R1" s="229"/>
      <c r="S1" s="229"/>
      <c r="T1" s="229"/>
      <c r="U1" s="230"/>
      <c r="V1" s="230"/>
    </row>
    <row r="2" spans="1:22" ht="30" customHeight="1">
      <c r="A2" s="229" t="s">
        <v>166</v>
      </c>
      <c r="B2" s="229"/>
      <c r="C2" s="229"/>
      <c r="D2" s="229"/>
      <c r="E2" s="229"/>
      <c r="F2" s="229"/>
      <c r="G2" s="229"/>
      <c r="H2" s="229"/>
      <c r="I2" s="229"/>
      <c r="J2" s="229"/>
      <c r="K2" s="229"/>
      <c r="L2" s="229"/>
      <c r="M2" s="229"/>
      <c r="N2" s="229"/>
      <c r="O2" s="229"/>
      <c r="P2" s="229"/>
      <c r="Q2" s="229"/>
      <c r="R2" s="229"/>
      <c r="S2" s="229"/>
      <c r="T2" s="229"/>
      <c r="U2" s="230"/>
      <c r="V2" s="230"/>
    </row>
    <row r="3" spans="1:22" ht="30" customHeight="1">
      <c r="A3" s="229" t="s">
        <v>167</v>
      </c>
      <c r="B3" s="229"/>
      <c r="C3" s="229"/>
      <c r="D3" s="229"/>
      <c r="E3" s="229"/>
      <c r="F3" s="229"/>
      <c r="G3" s="229"/>
      <c r="H3" s="229"/>
      <c r="I3" s="229"/>
      <c r="J3" s="229"/>
      <c r="K3" s="229"/>
      <c r="L3" s="229"/>
      <c r="M3" s="229"/>
      <c r="N3" s="229"/>
      <c r="O3" s="229"/>
      <c r="P3" s="229"/>
      <c r="Q3" s="229"/>
      <c r="R3" s="229"/>
      <c r="S3" s="229"/>
      <c r="T3" s="229"/>
      <c r="U3" s="230"/>
      <c r="V3" s="230"/>
    </row>
    <row r="4" spans="1:22" ht="30" customHeight="1">
      <c r="A4" s="229" t="s">
        <v>168</v>
      </c>
      <c r="B4" s="229"/>
      <c r="C4" s="229"/>
      <c r="D4" s="229"/>
      <c r="E4" s="229"/>
      <c r="F4" s="229"/>
      <c r="G4" s="229"/>
      <c r="H4" s="229"/>
      <c r="I4" s="229"/>
      <c r="J4" s="229"/>
      <c r="K4" s="229"/>
      <c r="L4" s="229"/>
      <c r="M4" s="229"/>
      <c r="N4" s="229"/>
      <c r="O4" s="229"/>
      <c r="P4" s="229"/>
      <c r="Q4" s="229"/>
      <c r="R4" s="229"/>
      <c r="S4" s="229"/>
      <c r="T4" s="229"/>
      <c r="U4" s="230"/>
      <c r="V4" s="230"/>
    </row>
    <row r="5" spans="1:22" ht="30" customHeight="1">
      <c r="A5" s="229" t="s">
        <v>169</v>
      </c>
      <c r="B5" s="229"/>
      <c r="C5" s="229"/>
      <c r="D5" s="229"/>
      <c r="E5" s="229"/>
      <c r="F5" s="229"/>
      <c r="G5" s="229"/>
      <c r="H5" s="229"/>
      <c r="I5" s="229"/>
      <c r="J5" s="229"/>
      <c r="K5" s="229"/>
      <c r="L5" s="229"/>
      <c r="M5" s="229"/>
      <c r="N5" s="229"/>
      <c r="O5" s="229"/>
      <c r="P5" s="229"/>
      <c r="Q5" s="229"/>
      <c r="R5" s="229"/>
      <c r="S5" s="229"/>
      <c r="T5" s="229"/>
      <c r="U5" s="230"/>
      <c r="V5" s="230"/>
    </row>
    <row r="6" spans="1:22" ht="30" customHeight="1" thickBot="1">
      <c r="A6" s="173" t="s">
        <v>130</v>
      </c>
      <c r="B6" s="174"/>
      <c r="C6" s="174"/>
      <c r="D6" s="174"/>
      <c r="E6" s="174"/>
      <c r="F6" s="174"/>
      <c r="G6" s="174"/>
      <c r="H6" s="174"/>
      <c r="I6" s="174"/>
      <c r="J6" s="174"/>
      <c r="K6" s="174"/>
      <c r="L6" s="174"/>
      <c r="M6" s="174"/>
      <c r="N6" s="174"/>
      <c r="O6" s="174"/>
      <c r="P6" s="174"/>
      <c r="Q6" s="174"/>
      <c r="R6" s="174"/>
      <c r="S6" s="174"/>
      <c r="T6" s="174"/>
      <c r="U6" s="174"/>
      <c r="V6" s="174"/>
    </row>
    <row r="7" spans="1:22" ht="138.75" customHeight="1" thickBot="1">
      <c r="A7" s="190"/>
      <c r="B7" s="191"/>
      <c r="C7" s="191"/>
      <c r="D7" s="191"/>
      <c r="E7" s="191"/>
      <c r="F7" s="191"/>
      <c r="G7" s="191"/>
      <c r="H7" s="191"/>
      <c r="I7" s="191"/>
      <c r="J7" s="191"/>
      <c r="K7" s="191"/>
      <c r="L7" s="191"/>
      <c r="M7" s="191"/>
      <c r="N7" s="191"/>
      <c r="O7" s="191"/>
      <c r="P7" s="191"/>
      <c r="Q7" s="191"/>
      <c r="R7" s="191"/>
      <c r="S7" s="191"/>
      <c r="T7" s="191"/>
      <c r="U7" s="191"/>
      <c r="V7" s="192"/>
    </row>
    <row r="8" spans="1:22" ht="15" customHeight="1" thickBot="1">
      <c r="A8" s="193"/>
      <c r="B8" s="194"/>
      <c r="C8" s="194"/>
      <c r="D8" s="194"/>
      <c r="E8" s="194"/>
      <c r="F8" s="194"/>
      <c r="G8" s="194"/>
      <c r="H8" s="194"/>
      <c r="I8" s="194"/>
      <c r="J8" s="194"/>
      <c r="K8" s="194"/>
      <c r="L8" s="194"/>
      <c r="M8" s="194"/>
      <c r="N8" s="194"/>
      <c r="O8" s="194"/>
      <c r="P8" s="194"/>
      <c r="Q8" s="194"/>
      <c r="R8" s="194"/>
      <c r="S8" s="194"/>
      <c r="T8" s="194"/>
      <c r="U8" s="194"/>
      <c r="V8" s="194"/>
    </row>
    <row r="9" spans="1:22" ht="30.75" customHeight="1" thickBot="1">
      <c r="A9" s="167" t="s">
        <v>10</v>
      </c>
      <c r="B9" s="194"/>
      <c r="C9" s="194"/>
      <c r="D9" s="194"/>
      <c r="E9" s="194"/>
      <c r="F9" s="194"/>
      <c r="G9" s="194"/>
      <c r="H9" s="194"/>
      <c r="I9" s="194"/>
      <c r="J9" s="194"/>
      <c r="K9" s="194"/>
      <c r="L9" s="195"/>
      <c r="M9" s="196" t="s">
        <v>11</v>
      </c>
      <c r="N9" s="194"/>
      <c r="O9" s="194"/>
      <c r="P9" s="194"/>
      <c r="Q9" s="194"/>
      <c r="R9" s="194"/>
      <c r="S9" s="194"/>
      <c r="T9" s="194"/>
      <c r="U9" s="194"/>
      <c r="V9" s="197"/>
    </row>
    <row r="10" spans="1:22" ht="30.75" customHeight="1">
      <c r="A10" s="236" t="s">
        <v>135</v>
      </c>
      <c r="B10" s="199"/>
      <c r="C10" s="233"/>
      <c r="D10" s="234"/>
      <c r="E10" s="234"/>
      <c r="F10" s="234"/>
      <c r="G10" s="234"/>
      <c r="H10" s="234"/>
      <c r="I10" s="234"/>
      <c r="J10" s="234"/>
      <c r="K10" s="234"/>
      <c r="L10" s="235"/>
      <c r="M10" s="198" t="s">
        <v>131</v>
      </c>
      <c r="N10" s="199"/>
      <c r="O10" s="231"/>
      <c r="P10" s="231"/>
      <c r="Q10" s="231"/>
      <c r="R10" s="231"/>
      <c r="S10" s="231"/>
      <c r="T10" s="231"/>
      <c r="U10" s="231"/>
      <c r="V10" s="232"/>
    </row>
    <row r="11" spans="1:22" ht="30.75" customHeight="1">
      <c r="A11" s="200" t="s">
        <v>136</v>
      </c>
      <c r="B11" s="201"/>
      <c r="C11" s="201"/>
      <c r="D11" s="241"/>
      <c r="E11" s="185"/>
      <c r="F11" s="242"/>
      <c r="G11" s="242"/>
      <c r="H11" s="242"/>
      <c r="I11" s="242"/>
      <c r="J11" s="242"/>
      <c r="K11" s="242"/>
      <c r="L11" s="103"/>
      <c r="M11" s="183" t="s">
        <v>132</v>
      </c>
      <c r="N11" s="201"/>
      <c r="O11" s="178"/>
      <c r="P11" s="239"/>
      <c r="Q11" s="239"/>
      <c r="R11" s="239"/>
      <c r="S11" s="239"/>
      <c r="T11" s="239"/>
      <c r="U11" s="239"/>
      <c r="V11" s="240"/>
    </row>
    <row r="12" spans="1:22" ht="30.75" customHeight="1">
      <c r="A12" s="200" t="s">
        <v>137</v>
      </c>
      <c r="B12" s="201"/>
      <c r="C12" s="178"/>
      <c r="D12" s="178"/>
      <c r="E12" s="179"/>
      <c r="F12" s="228" t="s">
        <v>12</v>
      </c>
      <c r="G12" s="201"/>
      <c r="H12" s="201"/>
      <c r="I12" s="185"/>
      <c r="J12" s="181"/>
      <c r="K12" s="181"/>
      <c r="L12" s="182"/>
      <c r="M12" s="183" t="s">
        <v>133</v>
      </c>
      <c r="N12" s="201"/>
      <c r="O12" s="201"/>
      <c r="P12" s="237"/>
      <c r="Q12" s="230"/>
      <c r="R12" s="230"/>
      <c r="S12" s="230"/>
      <c r="T12" s="230"/>
      <c r="U12" s="230"/>
      <c r="V12" s="238"/>
    </row>
    <row r="13" spans="1:22" ht="30.75" customHeight="1">
      <c r="A13" s="180" t="s">
        <v>157</v>
      </c>
      <c r="B13" s="181"/>
      <c r="C13" s="181"/>
      <c r="D13" s="181"/>
      <c r="E13" s="181"/>
      <c r="F13" s="181"/>
      <c r="G13" s="181"/>
      <c r="H13" s="181"/>
      <c r="I13" s="181"/>
      <c r="J13" s="181"/>
      <c r="K13" s="181"/>
      <c r="L13" s="182"/>
      <c r="M13" s="183" t="s">
        <v>134</v>
      </c>
      <c r="N13" s="184"/>
      <c r="O13" s="185"/>
      <c r="P13" s="181"/>
      <c r="Q13" s="181"/>
      <c r="R13" s="186" t="s">
        <v>156</v>
      </c>
      <c r="S13" s="184"/>
      <c r="T13" s="187"/>
      <c r="U13" s="188"/>
      <c r="V13" s="189"/>
    </row>
    <row r="14" spans="1:22" ht="22.5" customHeight="1">
      <c r="A14" s="202"/>
      <c r="B14" s="177"/>
      <c r="C14" s="177"/>
      <c r="D14" s="177"/>
      <c r="E14" s="177"/>
      <c r="F14" s="177"/>
      <c r="G14" s="177"/>
      <c r="H14" s="177"/>
      <c r="I14" s="177"/>
      <c r="J14" s="221"/>
      <c r="K14" s="205"/>
      <c r="L14" s="206"/>
      <c r="M14" s="211"/>
      <c r="N14" s="177"/>
      <c r="O14" s="177"/>
      <c r="P14" s="177"/>
      <c r="Q14" s="177"/>
      <c r="R14" s="177"/>
      <c r="S14" s="177"/>
      <c r="T14" s="221"/>
      <c r="U14" s="205"/>
      <c r="V14" s="213"/>
    </row>
    <row r="15" spans="1:22" ht="22.5" customHeight="1">
      <c r="A15" s="203"/>
      <c r="B15" s="204"/>
      <c r="C15" s="204"/>
      <c r="D15" s="204"/>
      <c r="E15" s="204"/>
      <c r="F15" s="204"/>
      <c r="G15" s="204"/>
      <c r="H15" s="204"/>
      <c r="I15" s="204"/>
      <c r="J15" s="221"/>
      <c r="K15" s="207"/>
      <c r="L15" s="208"/>
      <c r="M15" s="212"/>
      <c r="N15" s="204"/>
      <c r="O15" s="204"/>
      <c r="P15" s="204"/>
      <c r="Q15" s="204"/>
      <c r="R15" s="204"/>
      <c r="S15" s="204"/>
      <c r="T15" s="221"/>
      <c r="U15" s="207"/>
      <c r="V15" s="214"/>
    </row>
    <row r="16" spans="1:22" ht="30" customHeight="1">
      <c r="A16" s="215" t="s">
        <v>13</v>
      </c>
      <c r="B16" s="216"/>
      <c r="C16" s="216"/>
      <c r="D16" s="216"/>
      <c r="E16" s="216"/>
      <c r="F16" s="216"/>
      <c r="G16" s="216"/>
      <c r="H16" s="216"/>
      <c r="I16" s="216"/>
      <c r="J16" s="221"/>
      <c r="K16" s="217" t="s">
        <v>1</v>
      </c>
      <c r="L16" s="218"/>
      <c r="M16" s="219" t="s">
        <v>13</v>
      </c>
      <c r="N16" s="216"/>
      <c r="O16" s="216"/>
      <c r="P16" s="216"/>
      <c r="Q16" s="216"/>
      <c r="R16" s="216"/>
      <c r="S16" s="216"/>
      <c r="T16" s="221"/>
      <c r="U16" s="217" t="s">
        <v>1</v>
      </c>
      <c r="V16" s="220"/>
    </row>
    <row r="17" spans="1:22" ht="68.25" customHeight="1" thickBot="1">
      <c r="A17" s="225" t="s">
        <v>14</v>
      </c>
      <c r="B17" s="226"/>
      <c r="C17" s="226"/>
      <c r="D17" s="226"/>
      <c r="E17" s="226"/>
      <c r="F17" s="226"/>
      <c r="G17" s="226"/>
      <c r="H17" s="226"/>
      <c r="I17" s="226"/>
      <c r="J17" s="226"/>
      <c r="K17" s="226"/>
      <c r="L17" s="227"/>
      <c r="M17" s="222" t="s">
        <v>15</v>
      </c>
      <c r="N17" s="223"/>
      <c r="O17" s="223"/>
      <c r="P17" s="223"/>
      <c r="Q17" s="223"/>
      <c r="R17" s="223"/>
      <c r="S17" s="223"/>
      <c r="T17" s="223"/>
      <c r="U17" s="223"/>
      <c r="V17" s="224"/>
    </row>
    <row r="18" spans="1:22" ht="15" customHeight="1">
      <c r="A18" s="209"/>
      <c r="B18" s="209"/>
      <c r="C18" s="209"/>
      <c r="D18" s="209"/>
      <c r="E18" s="209"/>
      <c r="F18" s="209"/>
      <c r="G18" s="209"/>
      <c r="H18" s="209"/>
      <c r="I18" s="209"/>
      <c r="J18" s="209"/>
      <c r="K18" s="209"/>
      <c r="L18" s="209"/>
      <c r="M18" s="209"/>
      <c r="N18" s="209"/>
      <c r="O18" s="209"/>
      <c r="P18" s="209"/>
      <c r="Q18" s="209"/>
      <c r="R18" s="209"/>
      <c r="S18" s="209"/>
      <c r="T18" s="209"/>
      <c r="U18" s="210"/>
      <c r="V18" s="210"/>
    </row>
    <row r="19" spans="1:22" ht="15" customHeight="1">
      <c r="A19" s="175" t="s">
        <v>17</v>
      </c>
      <c r="B19" s="176"/>
      <c r="C19" s="176"/>
      <c r="D19" s="176"/>
      <c r="E19" s="176"/>
      <c r="F19" s="176"/>
      <c r="G19" s="176"/>
      <c r="H19" s="176"/>
      <c r="I19" s="176"/>
      <c r="J19" s="176"/>
      <c r="K19" s="176"/>
      <c r="L19" s="176"/>
      <c r="M19" s="176"/>
      <c r="N19" s="176"/>
      <c r="O19" s="176"/>
      <c r="P19" s="176"/>
      <c r="Q19" s="176"/>
      <c r="R19" s="176"/>
      <c r="S19" s="176"/>
      <c r="T19" s="176"/>
      <c r="U19" s="177"/>
      <c r="V19" s="177"/>
    </row>
    <row r="20" spans="1:22" ht="15" customHeight="1">
      <c r="A20" s="175" t="s">
        <v>2</v>
      </c>
      <c r="B20" s="176"/>
      <c r="C20" s="176"/>
      <c r="D20" s="176"/>
      <c r="E20" s="176"/>
      <c r="F20" s="176"/>
      <c r="G20" s="176"/>
      <c r="H20" s="176"/>
      <c r="I20" s="176"/>
      <c r="J20" s="176"/>
      <c r="K20" s="176"/>
      <c r="L20" s="176"/>
      <c r="M20" s="176"/>
      <c r="N20" s="176"/>
      <c r="O20" s="176"/>
      <c r="P20" s="176"/>
      <c r="Q20" s="176"/>
      <c r="R20" s="176"/>
      <c r="S20" s="176"/>
      <c r="T20" s="176"/>
      <c r="U20" s="177"/>
      <c r="V20" s="177"/>
    </row>
    <row r="21" spans="1:22" ht="15" customHeight="1">
      <c r="A21" s="175" t="s">
        <v>8</v>
      </c>
      <c r="B21" s="176"/>
      <c r="C21" s="176"/>
      <c r="D21" s="176"/>
      <c r="E21" s="176"/>
      <c r="F21" s="176"/>
      <c r="G21" s="176"/>
      <c r="H21" s="176"/>
      <c r="I21" s="176"/>
      <c r="J21" s="176"/>
      <c r="K21" s="176"/>
      <c r="L21" s="176"/>
      <c r="M21" s="176"/>
      <c r="N21" s="176"/>
      <c r="O21" s="176"/>
      <c r="P21" s="176"/>
      <c r="Q21" s="176"/>
      <c r="R21" s="176"/>
      <c r="S21" s="176"/>
      <c r="T21" s="176"/>
      <c r="U21" s="177"/>
      <c r="V21" s="177"/>
    </row>
    <row r="22" spans="1:22" ht="15" customHeight="1">
      <c r="A22" s="175" t="s">
        <v>0</v>
      </c>
      <c r="B22" s="176"/>
      <c r="C22" s="176"/>
      <c r="D22" s="176"/>
      <c r="E22" s="176"/>
      <c r="F22" s="176"/>
      <c r="G22" s="176"/>
      <c r="H22" s="176"/>
      <c r="I22" s="176"/>
      <c r="J22" s="176"/>
      <c r="K22" s="176"/>
      <c r="L22" s="176"/>
      <c r="M22" s="176"/>
      <c r="N22" s="176"/>
      <c r="O22" s="176"/>
      <c r="P22" s="176"/>
      <c r="Q22" s="176"/>
      <c r="R22" s="176"/>
      <c r="S22" s="176"/>
      <c r="T22" s="176"/>
      <c r="U22" s="177"/>
      <c r="V22" s="177"/>
    </row>
    <row r="23" spans="1:22" ht="15" customHeight="1">
      <c r="A23" s="175" t="s">
        <v>16</v>
      </c>
      <c r="B23" s="176"/>
      <c r="C23" s="176"/>
      <c r="D23" s="176"/>
      <c r="E23" s="176"/>
      <c r="F23" s="176"/>
      <c r="G23" s="176"/>
      <c r="H23" s="176"/>
      <c r="I23" s="176"/>
      <c r="J23" s="176"/>
      <c r="K23" s="176"/>
      <c r="L23" s="176"/>
      <c r="M23" s="176"/>
      <c r="N23" s="176"/>
      <c r="O23" s="176"/>
      <c r="P23" s="176"/>
      <c r="Q23" s="176"/>
      <c r="R23" s="176"/>
      <c r="S23" s="176"/>
      <c r="T23" s="176"/>
      <c r="U23" s="177"/>
      <c r="V23" s="177"/>
    </row>
  </sheetData>
  <sheetProtection password="CD14" sheet="1" objects="1" scenarios="1" selectLockedCells="1"/>
  <mergeCells count="47">
    <mergeCell ref="O10:V10"/>
    <mergeCell ref="M11:N11"/>
    <mergeCell ref="C10:L10"/>
    <mergeCell ref="A10:B10"/>
    <mergeCell ref="I12:L12"/>
    <mergeCell ref="M12:O12"/>
    <mergeCell ref="P12:V12"/>
    <mergeCell ref="O11:V11"/>
    <mergeCell ref="A11:D11"/>
    <mergeCell ref="E11:K11"/>
    <mergeCell ref="A5:V5"/>
    <mergeCell ref="A1:V1"/>
    <mergeCell ref="A2:V2"/>
    <mergeCell ref="A3:V3"/>
    <mergeCell ref="A4:V4"/>
    <mergeCell ref="A23:V23"/>
    <mergeCell ref="A12:B12"/>
    <mergeCell ref="A14:I15"/>
    <mergeCell ref="K14:L15"/>
    <mergeCell ref="A18:V18"/>
    <mergeCell ref="M14:S15"/>
    <mergeCell ref="U14:V15"/>
    <mergeCell ref="A16:I16"/>
    <mergeCell ref="K16:L16"/>
    <mergeCell ref="M16:S16"/>
    <mergeCell ref="U16:V16"/>
    <mergeCell ref="J14:J16"/>
    <mergeCell ref="T14:T16"/>
    <mergeCell ref="M17:V17"/>
    <mergeCell ref="A17:L17"/>
    <mergeCell ref="F12:H12"/>
    <mergeCell ref="A6:V6"/>
    <mergeCell ref="A19:V19"/>
    <mergeCell ref="A20:V20"/>
    <mergeCell ref="A21:V21"/>
    <mergeCell ref="A22:V22"/>
    <mergeCell ref="C12:E12"/>
    <mergeCell ref="A13:L13"/>
    <mergeCell ref="M13:N13"/>
    <mergeCell ref="O13:Q13"/>
    <mergeCell ref="R13:S13"/>
    <mergeCell ref="T13:V13"/>
    <mergeCell ref="A7:V7"/>
    <mergeCell ref="A8:V8"/>
    <mergeCell ref="A9:L9"/>
    <mergeCell ref="M9:V9"/>
    <mergeCell ref="M10:N10"/>
  </mergeCells>
  <phoneticPr fontId="0" type="noConversion"/>
  <printOptions horizontalCentered="1"/>
  <pageMargins left="0.28431321084864403" right="0.28431321084864403" top="0.5" bottom="0.1" header="0.2" footer="0.1"/>
  <pageSetup scale="80" orientation="landscape" r:id="rId1"/>
  <headerFooter alignWithMargins="0">
    <oddHeader>&amp;LFORM: NDAR-1 07-11&amp;C&amp;"Arial,Bold"&amp;12NON-DISCHARGE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6"/>
  </cols>
  <sheetData>
    <row r="1" spans="1:6" ht="18">
      <c r="A1" s="69" t="s">
        <v>178</v>
      </c>
      <c r="B1" s="70"/>
      <c r="C1" s="70"/>
      <c r="D1" s="70"/>
      <c r="E1" s="70"/>
      <c r="F1" s="71"/>
    </row>
    <row r="2" spans="1:6" ht="15">
      <c r="A2" s="72"/>
      <c r="B2" s="73"/>
      <c r="C2" s="73"/>
      <c r="D2" s="73"/>
      <c r="E2" s="73"/>
      <c r="F2" s="74"/>
    </row>
    <row r="3" spans="1:6">
      <c r="A3" s="75"/>
      <c r="B3" s="73"/>
      <c r="C3" s="73"/>
      <c r="D3" s="73"/>
      <c r="E3" s="73"/>
      <c r="F3" s="74"/>
    </row>
    <row r="4" spans="1:6" ht="15">
      <c r="A4" s="72"/>
      <c r="B4" s="73"/>
      <c r="C4" s="73"/>
      <c r="D4" s="73"/>
      <c r="E4" s="73"/>
      <c r="F4" s="74"/>
    </row>
    <row r="5" spans="1:6">
      <c r="A5" s="76"/>
      <c r="B5" s="73"/>
      <c r="C5" s="73"/>
      <c r="D5" s="73"/>
      <c r="E5" s="73"/>
      <c r="F5" s="74"/>
    </row>
    <row r="6" spans="1:6" ht="15">
      <c r="A6" s="104" t="s">
        <v>179</v>
      </c>
      <c r="B6" s="73"/>
      <c r="C6" s="73"/>
      <c r="D6" s="73"/>
      <c r="E6" s="73"/>
      <c r="F6" s="74"/>
    </row>
    <row r="7" spans="1:6" ht="15">
      <c r="A7" s="104"/>
      <c r="B7" s="73"/>
      <c r="C7" s="73"/>
      <c r="D7" s="73"/>
      <c r="E7" s="73"/>
      <c r="F7" s="74"/>
    </row>
    <row r="8" spans="1:6">
      <c r="A8" s="105"/>
      <c r="B8" s="73"/>
      <c r="C8" s="73"/>
      <c r="D8" s="73"/>
      <c r="E8" s="73"/>
      <c r="F8" s="74"/>
    </row>
    <row r="9" spans="1:6" ht="15">
      <c r="A9" s="104" t="s">
        <v>180</v>
      </c>
      <c r="B9" s="73"/>
      <c r="C9" s="73"/>
      <c r="D9" s="73"/>
      <c r="E9" s="73"/>
      <c r="F9" s="74"/>
    </row>
    <row r="10" spans="1:6">
      <c r="A10" s="76"/>
      <c r="B10" s="73"/>
      <c r="C10" s="73"/>
      <c r="D10" s="73"/>
      <c r="E10" s="73"/>
      <c r="F10" s="74"/>
    </row>
    <row r="11" spans="1:6">
      <c r="A11" s="76"/>
      <c r="B11" s="73"/>
      <c r="C11" s="73"/>
      <c r="D11" s="73"/>
      <c r="E11" s="73"/>
      <c r="F11" s="74"/>
    </row>
    <row r="12" spans="1:6">
      <c r="A12" s="76"/>
      <c r="B12" s="73"/>
      <c r="C12" s="73"/>
      <c r="D12" s="73"/>
      <c r="E12" s="73"/>
      <c r="F12" s="74"/>
    </row>
    <row r="13" spans="1:6">
      <c r="A13" s="76"/>
      <c r="B13" s="73"/>
      <c r="C13" s="73"/>
      <c r="D13" s="73"/>
      <c r="E13" s="73"/>
      <c r="F13" s="74"/>
    </row>
    <row r="14" spans="1:6">
      <c r="A14" s="76"/>
      <c r="B14" s="73"/>
      <c r="C14" s="73"/>
      <c r="D14" s="73"/>
      <c r="E14" s="73"/>
      <c r="F14" s="74"/>
    </row>
    <row r="15" spans="1:6">
      <c r="A15" s="76"/>
      <c r="B15" s="73"/>
      <c r="C15" s="73"/>
      <c r="D15" s="73"/>
      <c r="E15" s="73"/>
      <c r="F15" s="74"/>
    </row>
    <row r="16" spans="1:6">
      <c r="A16" s="77"/>
      <c r="B16" s="78"/>
      <c r="C16" s="78"/>
      <c r="D16" s="78"/>
      <c r="E16" s="78"/>
      <c r="F16" s="79"/>
    </row>
    <row r="18" spans="1:2" ht="15.75" thickBot="1">
      <c r="A18" s="243" t="s">
        <v>170</v>
      </c>
      <c r="B18" s="244"/>
    </row>
    <row r="19" spans="1:2" ht="15">
      <c r="A19" s="67" t="s">
        <v>158</v>
      </c>
      <c r="B19" s="67" t="s">
        <v>160</v>
      </c>
    </row>
    <row r="20" spans="1:2" ht="15">
      <c r="A20" s="68" t="s">
        <v>159</v>
      </c>
      <c r="B20" s="68" t="s">
        <v>161</v>
      </c>
    </row>
    <row r="21" spans="1:2" ht="15">
      <c r="A21" s="68" t="s">
        <v>171</v>
      </c>
      <c r="B21" s="68" t="s">
        <v>162</v>
      </c>
    </row>
    <row r="22" spans="1:2" ht="15">
      <c r="A22" s="68" t="s">
        <v>172</v>
      </c>
      <c r="B22" s="68" t="s">
        <v>163</v>
      </c>
    </row>
    <row r="23" spans="1:2" ht="15">
      <c r="A23" s="68" t="s">
        <v>173</v>
      </c>
      <c r="B23" s="68" t="s">
        <v>165</v>
      </c>
    </row>
    <row r="24" spans="1:2" ht="15">
      <c r="A24" s="68" t="s">
        <v>174</v>
      </c>
      <c r="B24" s="68" t="s">
        <v>164</v>
      </c>
    </row>
  </sheetData>
  <mergeCells count="1">
    <mergeCell ref="A18:B18"/>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Fields 6-9</vt:lpstr>
      <vt:lpstr>Fields 10-13</vt:lpstr>
      <vt:lpstr>Field 14 - Zone 5A</vt:lpstr>
      <vt:lpstr>Certification Page</vt:lpstr>
      <vt:lpstr>Formulas &amp; Weather Codes</vt:lpstr>
      <vt:lpstr>Dropdown Menu</vt:lpstr>
      <vt:lpstr>County</vt:lpstr>
      <vt:lpstr>Month</vt:lpstr>
      <vt:lpstr>'Certification Page'!Print_Area</vt:lpstr>
      <vt:lpstr>'Field 14 - Zone 5A'!Print_Area</vt:lpstr>
      <vt:lpstr>'Fields 10-13'!Print_Area</vt:lpstr>
      <vt:lpstr>'Fields 6-9'!Print_Area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2011-08-11T16:02:56Z</cp:lastPrinted>
  <dcterms:created xsi:type="dcterms:W3CDTF">2003-04-30T19:20:22Z</dcterms:created>
  <dcterms:modified xsi:type="dcterms:W3CDTF">2012-03-20T17:55:50Z</dcterms:modified>
</cp:coreProperties>
</file>